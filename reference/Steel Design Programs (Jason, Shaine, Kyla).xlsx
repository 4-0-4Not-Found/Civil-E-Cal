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ton\Documents\STEEL DESIGN\"/>
    </mc:Choice>
  </mc:AlternateContent>
  <xr:revisionPtr revIDLastSave="0" documentId="13_ncr:1_{DAF671EC-DB3F-40FE-8B12-7633D8DB40F1}" xr6:coauthVersionLast="47" xr6:coauthVersionMax="47" xr10:uidLastSave="{00000000-0000-0000-0000-000000000000}"/>
  <bookViews>
    <workbookView xWindow="-108" yWindow="-108" windowWidth="23256" windowHeight="12456" tabRatio="628" activeTab="3" xr2:uid="{00000000-000D-0000-FFFF-FFFF00000000}"/>
  </bookViews>
  <sheets>
    <sheet name="Database 1" sheetId="1" r:id="rId1"/>
    <sheet name="Tension Analysis &amp; Design" sheetId="12" r:id="rId2"/>
    <sheet name=" Compression Analysis &amp; Design" sheetId="14" r:id="rId3"/>
    <sheet name="Bending, Shear, and Deflection" sheetId="13" r:id="rId4"/>
  </sheets>
  <externalReferences>
    <externalReference r:id="rId5"/>
    <externalReference r:id="rId6"/>
  </externalReferences>
  <definedNames>
    <definedName name="_xlnm._FilterDatabase" localSheetId="0" hidden="1">'Database 1'!$DE$2:$DF$185</definedName>
    <definedName name="Ag">'Database 1'!$G$3:$G$139</definedName>
    <definedName name="AgDA">'Database 1'!$DF$3:$DF$185</definedName>
    <definedName name="Agmt">'Database 1'!$G$423:$G$436</definedName>
    <definedName name="AgST">'Database 1'!$DC$3:$DC$30</definedName>
    <definedName name="AgWT">'Database 1'!$CW$3:$CW$285</definedName>
    <definedName name="Angle_Ag">'Database 1'!$G$3:$G$139</definedName>
    <definedName name="angles">'Database 1'!$D$3:$D$139</definedName>
    <definedName name="DA">'Database 1'!$D$465:$D$647</definedName>
    <definedName name="Daag">'Database 1'!$G$465:$G$647</definedName>
    <definedName name="DAnew">'Database 1'!$DE$3:$DE$185</definedName>
    <definedName name="Ix">'Database 1'!$DX$4:$DX$70</definedName>
    <definedName name="Lag">'Database 1'!$CT$3:$CT$139</definedName>
    <definedName name="lightest">'[1]Database 1'!$DS$3:$DS$69</definedName>
    <definedName name="Lnew">'Database 1'!$CS$3:$CS$139</definedName>
    <definedName name="MT">'Database 1'!$D$423:$D$436</definedName>
    <definedName name="MTag">'Database 1'!$CZ$3:$CZ$16</definedName>
    <definedName name="MTnew">'Database 1'!$CY$3:$CY$16</definedName>
    <definedName name="_xlnm.Print_Area" localSheetId="0">'Database 1'!$AY$3:$AY$139</definedName>
    <definedName name="_xlnm.Print_Titles" localSheetId="0">'Database 1'!$D:$D</definedName>
    <definedName name="rxWT">'Database 1'!$AR$140:$AR$422</definedName>
    <definedName name="ryWT">'Database 1'!$AV$140:$AV$422</definedName>
    <definedName name="ST">'Database 1'!$D$437:$D$464</definedName>
    <definedName name="Stag">'Database 1'!$G$437:$G$464</definedName>
    <definedName name="STnew">'Database 1'!$DB$3:$DB$30</definedName>
    <definedName name="Wlightest">'Database 1'!$DT$4:$DT$70</definedName>
    <definedName name="WT">'Database 1'!$D$140:$D$422</definedName>
    <definedName name="Wtag">'Database 1'!$I$140:$I$422</definedName>
    <definedName name="WTnew">'Database 1'!$CV$3:$CV$285</definedName>
    <definedName name="WZx">'Database 1'!$DW$4:$DW$70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3" l="1"/>
  <c r="K11" i="13"/>
  <c r="K10" i="13"/>
  <c r="K9" i="13"/>
  <c r="K14" i="13" s="1"/>
  <c r="E8" i="13"/>
  <c r="C13" i="13" s="1"/>
  <c r="G39" i="14" l="1"/>
  <c r="AG9" i="12" l="1"/>
  <c r="AG10" i="12"/>
  <c r="AC16" i="12"/>
  <c r="Q15" i="12"/>
  <c r="K45" i="13"/>
  <c r="AH19" i="12" l="1"/>
  <c r="AC19" i="12" l="1"/>
  <c r="AA27" i="12" s="1"/>
  <c r="W37" i="12"/>
  <c r="V37" i="12"/>
  <c r="U37" i="12"/>
  <c r="W35" i="12"/>
  <c r="V35" i="12"/>
  <c r="U35" i="12"/>
  <c r="T35" i="12"/>
  <c r="W32" i="12"/>
  <c r="V32" i="12"/>
  <c r="U32" i="12"/>
  <c r="T32" i="12"/>
  <c r="W29" i="12"/>
  <c r="V29" i="12"/>
  <c r="U29" i="12"/>
  <c r="E27" i="12"/>
  <c r="W26" i="12"/>
  <c r="V26" i="12"/>
  <c r="U26" i="12"/>
  <c r="E23" i="12"/>
  <c r="W21" i="12" s="1"/>
  <c r="E21" i="12"/>
  <c r="E20" i="12"/>
  <c r="W15" i="12"/>
  <c r="G14" i="12"/>
  <c r="E11" i="12"/>
  <c r="S11" i="12" s="1"/>
  <c r="AN169" i="14"/>
  <c r="AN168" i="14"/>
  <c r="AN167" i="14"/>
  <c r="AN166" i="14"/>
  <c r="AN165" i="14"/>
  <c r="AN164" i="14"/>
  <c r="AN163" i="14"/>
  <c r="AN162" i="14"/>
  <c r="AN161" i="14"/>
  <c r="AN160" i="14"/>
  <c r="AN159" i="14"/>
  <c r="AN158" i="14"/>
  <c r="AN157" i="14"/>
  <c r="AN151" i="14"/>
  <c r="AN150" i="14"/>
  <c r="AN149" i="14"/>
  <c r="AN148" i="14"/>
  <c r="AN147" i="14"/>
  <c r="AN146" i="14"/>
  <c r="AN145" i="14"/>
  <c r="AN144" i="14"/>
  <c r="AN143" i="14"/>
  <c r="AN142" i="14"/>
  <c r="AN141" i="14"/>
  <c r="AN140" i="14"/>
  <c r="AN139" i="14"/>
  <c r="AN138" i="14"/>
  <c r="AN137" i="14"/>
  <c r="AN136" i="14"/>
  <c r="AN135" i="14"/>
  <c r="AN134" i="14"/>
  <c r="AN128" i="14"/>
  <c r="AN127" i="14"/>
  <c r="AN126" i="14"/>
  <c r="AN125" i="14"/>
  <c r="AN124" i="14"/>
  <c r="AN123" i="14"/>
  <c r="AN122" i="14"/>
  <c r="AN121" i="14"/>
  <c r="AN120" i="14"/>
  <c r="AN119" i="14"/>
  <c r="AN118" i="14"/>
  <c r="AN117" i="14"/>
  <c r="AN116" i="14"/>
  <c r="AN115" i="14"/>
  <c r="AN114" i="14"/>
  <c r="AN113" i="14"/>
  <c r="AN112" i="14"/>
  <c r="AN111" i="14"/>
  <c r="AN110" i="14"/>
  <c r="AN109" i="14"/>
  <c r="AN108" i="14"/>
  <c r="AN107" i="14"/>
  <c r="AN106" i="14"/>
  <c r="AN105" i="14"/>
  <c r="AN104" i="14"/>
  <c r="AN103" i="14"/>
  <c r="AN102" i="14"/>
  <c r="AN101" i="14"/>
  <c r="AN100" i="14"/>
  <c r="AN94" i="14"/>
  <c r="AN93" i="14"/>
  <c r="AN92" i="14"/>
  <c r="AN91" i="14"/>
  <c r="AN90" i="14"/>
  <c r="AN89" i="14"/>
  <c r="AN88" i="14"/>
  <c r="AN87" i="14"/>
  <c r="AN86" i="14"/>
  <c r="AN85" i="14"/>
  <c r="G85" i="14"/>
  <c r="H85" i="14" s="1"/>
  <c r="AN84" i="14"/>
  <c r="AN83" i="14"/>
  <c r="G83" i="14"/>
  <c r="H83" i="14" s="1"/>
  <c r="AN82" i="14"/>
  <c r="AN81" i="14"/>
  <c r="G81" i="14"/>
  <c r="H81" i="14" s="1"/>
  <c r="AN80" i="14"/>
  <c r="AN79" i="14"/>
  <c r="G79" i="14"/>
  <c r="H79" i="14" s="1"/>
  <c r="K79" i="14" s="1"/>
  <c r="AN78" i="14"/>
  <c r="AN77" i="14"/>
  <c r="AN76" i="14"/>
  <c r="AN75" i="14"/>
  <c r="AN74" i="14"/>
  <c r="AN73" i="14"/>
  <c r="F73" i="14"/>
  <c r="AN72" i="14"/>
  <c r="AN71" i="14"/>
  <c r="AN70" i="14"/>
  <c r="F70" i="14"/>
  <c r="AN69" i="14"/>
  <c r="AN68" i="14"/>
  <c r="F68" i="14"/>
  <c r="AN67" i="14"/>
  <c r="AN66" i="14"/>
  <c r="AN65" i="14"/>
  <c r="AN64" i="14"/>
  <c r="AN63" i="14"/>
  <c r="AN62" i="14"/>
  <c r="AN61" i="14"/>
  <c r="AN60" i="14"/>
  <c r="J60" i="14"/>
  <c r="AN59" i="14"/>
  <c r="J59" i="14"/>
  <c r="AX167" i="14" s="1"/>
  <c r="AN58" i="14"/>
  <c r="AN57" i="14"/>
  <c r="G45" i="14"/>
  <c r="H45" i="14" s="1"/>
  <c r="G43" i="14"/>
  <c r="H43" i="14" s="1"/>
  <c r="G41" i="14"/>
  <c r="H41" i="14" s="1"/>
  <c r="H39" i="14"/>
  <c r="K39" i="14" s="1"/>
  <c r="O7" i="14" s="1"/>
  <c r="N28" i="14"/>
  <c r="F20" i="14"/>
  <c r="F19" i="14"/>
  <c r="F18" i="14"/>
  <c r="R9" i="14" s="1"/>
  <c r="F17" i="14"/>
  <c r="R7" i="14" s="1"/>
  <c r="F15" i="14"/>
  <c r="J14" i="14"/>
  <c r="J13" i="14"/>
  <c r="G27" i="14" s="1"/>
  <c r="AE27" i="12" l="1"/>
  <c r="AD27" i="12"/>
  <c r="AC27" i="12"/>
  <c r="J68" i="14"/>
  <c r="G25" i="14"/>
  <c r="AT108" i="14"/>
  <c r="AT123" i="14"/>
  <c r="AS164" i="14"/>
  <c r="AW84" i="14"/>
  <c r="AY84" i="14" s="1"/>
  <c r="AX62" i="14"/>
  <c r="AS84" i="14"/>
  <c r="AU84" i="14" s="1"/>
  <c r="AZ58" i="14"/>
  <c r="AT93" i="14"/>
  <c r="I12" i="12"/>
  <c r="AX75" i="14"/>
  <c r="AS72" i="14"/>
  <c r="AU72" i="14" s="1"/>
  <c r="U7" i="14"/>
  <c r="AZ62" i="14"/>
  <c r="AT105" i="14"/>
  <c r="AT120" i="14"/>
  <c r="AZ159" i="14"/>
  <c r="AS68" i="14"/>
  <c r="AU68" i="14" s="1"/>
  <c r="AW105" i="14"/>
  <c r="AY105" i="14" s="1"/>
  <c r="AZ110" i="14"/>
  <c r="AZ120" i="14"/>
  <c r="AX137" i="14"/>
  <c r="AX143" i="14"/>
  <c r="AT89" i="14"/>
  <c r="AW73" i="14"/>
  <c r="AY73" i="14" s="1"/>
  <c r="AW78" i="14"/>
  <c r="AY78" i="14" s="1"/>
  <c r="AS82" i="14"/>
  <c r="AS101" i="14"/>
  <c r="AU101" i="14" s="1"/>
  <c r="AW167" i="14"/>
  <c r="AY167" i="14" s="1"/>
  <c r="AW115" i="14"/>
  <c r="AY115" i="14" s="1"/>
  <c r="AW143" i="14"/>
  <c r="AY143" i="14" s="1"/>
  <c r="AZ73" i="14"/>
  <c r="AT86" i="14"/>
  <c r="AW91" i="14"/>
  <c r="AY91" i="14" s="1"/>
  <c r="AW151" i="14"/>
  <c r="AY151" i="14" s="1"/>
  <c r="AZ167" i="14"/>
  <c r="AS57" i="14"/>
  <c r="AU57" i="14" s="1"/>
  <c r="AW60" i="14"/>
  <c r="AY60" i="14" s="1"/>
  <c r="AW86" i="14"/>
  <c r="AY86" i="14" s="1"/>
  <c r="AT118" i="14"/>
  <c r="AS128" i="14"/>
  <c r="AX151" i="14"/>
  <c r="AT57" i="14"/>
  <c r="AZ66" i="14"/>
  <c r="AZ79" i="14"/>
  <c r="AT103" i="14"/>
  <c r="AS108" i="14"/>
  <c r="AU108" i="14" s="1"/>
  <c r="AZ113" i="14"/>
  <c r="AW118" i="14"/>
  <c r="AY118" i="14" s="1"/>
  <c r="AS123" i="14"/>
  <c r="AU123" i="14" s="1"/>
  <c r="AX146" i="14"/>
  <c r="AZ60" i="14"/>
  <c r="AS76" i="14"/>
  <c r="AU76" i="14" s="1"/>
  <c r="AW58" i="14"/>
  <c r="AY58" i="14" s="1"/>
  <c r="AZ61" i="14"/>
  <c r="AT66" i="14"/>
  <c r="AW69" i="14"/>
  <c r="AY69" i="14" s="1"/>
  <c r="AT71" i="14"/>
  <c r="AW77" i="14"/>
  <c r="AY77" i="14" s="1"/>
  <c r="AT79" i="14"/>
  <c r="AS83" i="14"/>
  <c r="AU83" i="14" s="1"/>
  <c r="AX85" i="14"/>
  <c r="AS88" i="14"/>
  <c r="AU88" i="14" s="1"/>
  <c r="AW90" i="14"/>
  <c r="AY90" i="14" s="1"/>
  <c r="AZ92" i="14"/>
  <c r="AW100" i="14"/>
  <c r="AY100" i="14" s="1"/>
  <c r="AT102" i="14"/>
  <c r="AS112" i="14"/>
  <c r="AU112" i="14" s="1"/>
  <c r="AS115" i="14"/>
  <c r="AZ117" i="14"/>
  <c r="AX119" i="14"/>
  <c r="AW122" i="14"/>
  <c r="AY122" i="14" s="1"/>
  <c r="AS126" i="14"/>
  <c r="AU126" i="14" s="1"/>
  <c r="AX158" i="14"/>
  <c r="AZ166" i="14"/>
  <c r="W36" i="12"/>
  <c r="AX58" i="14"/>
  <c r="AW64" i="14"/>
  <c r="AY64" i="14" s="1"/>
  <c r="AW66" i="14"/>
  <c r="AY66" i="14" s="1"/>
  <c r="AX69" i="14"/>
  <c r="AW71" i="14"/>
  <c r="AY71" i="14" s="1"/>
  <c r="AS73" i="14"/>
  <c r="AU73" i="14" s="1"/>
  <c r="AW75" i="14"/>
  <c r="AY75" i="14" s="1"/>
  <c r="AX77" i="14"/>
  <c r="AX79" i="14"/>
  <c r="AZ81" i="14"/>
  <c r="AZ88" i="14"/>
  <c r="AX90" i="14"/>
  <c r="AZ100" i="14"/>
  <c r="AX102" i="14"/>
  <c r="AS105" i="14"/>
  <c r="AU105" i="14" s="1"/>
  <c r="AX110" i="14"/>
  <c r="AT112" i="14"/>
  <c r="AT115" i="14"/>
  <c r="AW146" i="14"/>
  <c r="AY146" i="14" s="1"/>
  <c r="AZ158" i="14"/>
  <c r="AW57" i="14"/>
  <c r="AY57" i="14" s="1"/>
  <c r="AT65" i="14"/>
  <c r="AW68" i="14"/>
  <c r="AY68" i="14" s="1"/>
  <c r="AW72" i="14"/>
  <c r="AY72" i="14" s="1"/>
  <c r="AX78" i="14"/>
  <c r="AZ82" i="14"/>
  <c r="AX57" i="14"/>
  <c r="AW65" i="14"/>
  <c r="AY65" i="14" s="1"/>
  <c r="AX72" i="14"/>
  <c r="AZ76" i="14"/>
  <c r="AZ78" i="14"/>
  <c r="AX80" i="14"/>
  <c r="AX89" i="14"/>
  <c r="AX94" i="14"/>
  <c r="AT111" i="14"/>
  <c r="AZ116" i="14"/>
  <c r="AS121" i="14"/>
  <c r="AU121" i="14" s="1"/>
  <c r="AW134" i="14"/>
  <c r="AY134" i="14" s="1"/>
  <c r="AS144" i="14"/>
  <c r="AZ157" i="14"/>
  <c r="AW160" i="14"/>
  <c r="AY160" i="14" s="1"/>
  <c r="AT165" i="14"/>
  <c r="AS168" i="14"/>
  <c r="AT59" i="14"/>
  <c r="AW61" i="14"/>
  <c r="AY61" i="14" s="1"/>
  <c r="AX63" i="14"/>
  <c r="AZ65" i="14"/>
  <c r="AX67" i="14"/>
  <c r="AS69" i="14"/>
  <c r="AU69" i="14" s="1"/>
  <c r="AX70" i="14"/>
  <c r="AZ72" i="14"/>
  <c r="AX74" i="14"/>
  <c r="AZ80" i="14"/>
  <c r="AT85" i="14"/>
  <c r="AW87" i="14"/>
  <c r="AY87" i="14" s="1"/>
  <c r="AS92" i="14"/>
  <c r="AX101" i="14"/>
  <c r="AW104" i="14"/>
  <c r="AY104" i="14" s="1"/>
  <c r="AW106" i="14"/>
  <c r="AY106" i="14" s="1"/>
  <c r="AW109" i="14"/>
  <c r="AY109" i="14" s="1"/>
  <c r="AW111" i="14"/>
  <c r="AY111" i="14" s="1"/>
  <c r="AZ114" i="14"/>
  <c r="AS119" i="14"/>
  <c r="AU119" i="14" s="1"/>
  <c r="AZ125" i="14"/>
  <c r="AT144" i="14"/>
  <c r="AT148" i="14"/>
  <c r="AZ165" i="14"/>
  <c r="AT70" i="14"/>
  <c r="AW80" i="14"/>
  <c r="AY80" i="14" s="1"/>
  <c r="AX86" i="14"/>
  <c r="AW89" i="14"/>
  <c r="AY89" i="14" s="1"/>
  <c r="AZ91" i="14"/>
  <c r="AW94" i="14"/>
  <c r="AY94" i="14" s="1"/>
  <c r="AT101" i="14"/>
  <c r="AX103" i="14"/>
  <c r="AX105" i="14"/>
  <c r="AS111" i="14"/>
  <c r="AU111" i="14" s="1"/>
  <c r="AS116" i="14"/>
  <c r="AZ118" i="14"/>
  <c r="AS147" i="14"/>
  <c r="AW63" i="14"/>
  <c r="AY63" i="14" s="1"/>
  <c r="AW67" i="14"/>
  <c r="AY67" i="14" s="1"/>
  <c r="AW70" i="14"/>
  <c r="AY70" i="14" s="1"/>
  <c r="AW74" i="14"/>
  <c r="AY74" i="14" s="1"/>
  <c r="AW101" i="14"/>
  <c r="AY101" i="14" s="1"/>
  <c r="AS109" i="14"/>
  <c r="AU109" i="14" s="1"/>
  <c r="AT114" i="14"/>
  <c r="AT139" i="14"/>
  <c r="AT58" i="14"/>
  <c r="AZ59" i="14"/>
  <c r="AX61" i="14"/>
  <c r="AZ63" i="14"/>
  <c r="AZ67" i="14"/>
  <c r="AT69" i="14"/>
  <c r="AZ74" i="14"/>
  <c r="AT77" i="14"/>
  <c r="K81" i="14"/>
  <c r="AP168" i="14" s="1"/>
  <c r="AW85" i="14"/>
  <c r="AY85" i="14" s="1"/>
  <c r="AT90" i="14"/>
  <c r="AT92" i="14"/>
  <c r="AS100" i="14"/>
  <c r="AU100" i="14" s="1"/>
  <c r="AZ104" i="14"/>
  <c r="AZ106" i="14"/>
  <c r="AZ109" i="14"/>
  <c r="AX117" i="14"/>
  <c r="AT119" i="14"/>
  <c r="AS122" i="14"/>
  <c r="AU122" i="14" s="1"/>
  <c r="AT135" i="14"/>
  <c r="AS158" i="14"/>
  <c r="AU158" i="14" s="1"/>
  <c r="AT161" i="14"/>
  <c r="U11" i="12"/>
  <c r="Q16" i="12" s="1"/>
  <c r="W22" i="12"/>
  <c r="U36" i="12"/>
  <c r="V36" i="12"/>
  <c r="T21" i="12"/>
  <c r="T22" i="12" s="1"/>
  <c r="T29" i="12"/>
  <c r="U21" i="12"/>
  <c r="U22" i="12" s="1"/>
  <c r="V21" i="12"/>
  <c r="V22" i="12" s="1"/>
  <c r="S12" i="12"/>
  <c r="U12" i="12" s="1"/>
  <c r="Q17" i="12" s="1"/>
  <c r="T26" i="12"/>
  <c r="AO169" i="14"/>
  <c r="AO165" i="14"/>
  <c r="AO161" i="14"/>
  <c r="AO157" i="14"/>
  <c r="AO148" i="14"/>
  <c r="AO144" i="14"/>
  <c r="AO140" i="14"/>
  <c r="AO136" i="14"/>
  <c r="AO127" i="14"/>
  <c r="AO123" i="14"/>
  <c r="AO168" i="14"/>
  <c r="AO164" i="14"/>
  <c r="AO160" i="14"/>
  <c r="AO151" i="14"/>
  <c r="AO147" i="14"/>
  <c r="AO143" i="14"/>
  <c r="AO139" i="14"/>
  <c r="AO135" i="14"/>
  <c r="AO126" i="14"/>
  <c r="AO167" i="14"/>
  <c r="AO158" i="14"/>
  <c r="AO146" i="14"/>
  <c r="AO137" i="14"/>
  <c r="AO125" i="14"/>
  <c r="AO76" i="14"/>
  <c r="AO119" i="14"/>
  <c r="AO115" i="14"/>
  <c r="AO111" i="14"/>
  <c r="AO107" i="14"/>
  <c r="AO134" i="14"/>
  <c r="AO122" i="14"/>
  <c r="AO108" i="14"/>
  <c r="AO61" i="14"/>
  <c r="AO166" i="14"/>
  <c r="AO112" i="14"/>
  <c r="AO159" i="14"/>
  <c r="AO70" i="14"/>
  <c r="AO120" i="14"/>
  <c r="AO117" i="14"/>
  <c r="AO114" i="14"/>
  <c r="AO94" i="14"/>
  <c r="AO90" i="14"/>
  <c r="AO86" i="14"/>
  <c r="AO79" i="14"/>
  <c r="AO78" i="14"/>
  <c r="AO74" i="14"/>
  <c r="AO71" i="14"/>
  <c r="AO69" i="14"/>
  <c r="AO68" i="14"/>
  <c r="AO57" i="14"/>
  <c r="AO141" i="14"/>
  <c r="AO149" i="14"/>
  <c r="AO105" i="14"/>
  <c r="AO92" i="14"/>
  <c r="AO89" i="14"/>
  <c r="AO84" i="14"/>
  <c r="AO82" i="14"/>
  <c r="AO77" i="14"/>
  <c r="AO67" i="14"/>
  <c r="AO65" i="14"/>
  <c r="AO63" i="14"/>
  <c r="AO91" i="14"/>
  <c r="AO72" i="14"/>
  <c r="AO103" i="14"/>
  <c r="AO88" i="14"/>
  <c r="AO85" i="14"/>
  <c r="AO83" i="14"/>
  <c r="AO58" i="14"/>
  <c r="AO102" i="14"/>
  <c r="AO64" i="14"/>
  <c r="AO59" i="14"/>
  <c r="AO138" i="14"/>
  <c r="AO62" i="14"/>
  <c r="AO116" i="14"/>
  <c r="AO109" i="14"/>
  <c r="AO101" i="14"/>
  <c r="AO80" i="14"/>
  <c r="AO106" i="14"/>
  <c r="AO100" i="14"/>
  <c r="AO142" i="14"/>
  <c r="AO104" i="14"/>
  <c r="AO162" i="14"/>
  <c r="AO81" i="14"/>
  <c r="AO150" i="14"/>
  <c r="AO124" i="14"/>
  <c r="AO145" i="14"/>
  <c r="AO128" i="14"/>
  <c r="AO73" i="14"/>
  <c r="AO66" i="14"/>
  <c r="AO60" i="14"/>
  <c r="AO93" i="14"/>
  <c r="AO87" i="14"/>
  <c r="AO75" i="14"/>
  <c r="AO121" i="14"/>
  <c r="AO113" i="14"/>
  <c r="AO110" i="14"/>
  <c r="AO163" i="14"/>
  <c r="AO118" i="14"/>
  <c r="AW93" i="14"/>
  <c r="AY93" i="14" s="1"/>
  <c r="AT94" i="14"/>
  <c r="AZ121" i="14"/>
  <c r="AT147" i="14"/>
  <c r="AX160" i="14"/>
  <c r="K41" i="14"/>
  <c r="O9" i="14" s="1"/>
  <c r="U9" i="14" s="1"/>
  <c r="G31" i="14"/>
  <c r="G33" i="14"/>
  <c r="G32" i="14"/>
  <c r="Q20" i="14"/>
  <c r="G26" i="14"/>
  <c r="G28" i="14" s="1"/>
  <c r="AT167" i="14"/>
  <c r="AW166" i="14"/>
  <c r="AY166" i="14" s="1"/>
  <c r="AT163" i="14"/>
  <c r="AW162" i="14"/>
  <c r="AY162" i="14" s="1"/>
  <c r="AT159" i="14"/>
  <c r="AW158" i="14"/>
  <c r="AY158" i="14" s="1"/>
  <c r="AT150" i="14"/>
  <c r="AW149" i="14"/>
  <c r="AY149" i="14" s="1"/>
  <c r="AT146" i="14"/>
  <c r="AW145" i="14"/>
  <c r="AY145" i="14" s="1"/>
  <c r="AT142" i="14"/>
  <c r="AW141" i="14"/>
  <c r="AY141" i="14" s="1"/>
  <c r="AT138" i="14"/>
  <c r="AW137" i="14"/>
  <c r="AY137" i="14" s="1"/>
  <c r="AT134" i="14"/>
  <c r="AW128" i="14"/>
  <c r="AY128" i="14" s="1"/>
  <c r="AT125" i="14"/>
  <c r="AW124" i="14"/>
  <c r="AY124" i="14" s="1"/>
  <c r="AX169" i="14"/>
  <c r="AZ168" i="14"/>
  <c r="AS167" i="14"/>
  <c r="AU167" i="14" s="1"/>
  <c r="AX165" i="14"/>
  <c r="AZ164" i="14"/>
  <c r="AS163" i="14"/>
  <c r="AU163" i="14" s="1"/>
  <c r="AX161" i="14"/>
  <c r="AZ160" i="14"/>
  <c r="AS159" i="14"/>
  <c r="AU159" i="14" s="1"/>
  <c r="AX157" i="14"/>
  <c r="AZ151" i="14"/>
  <c r="AS150" i="14"/>
  <c r="AU150" i="14" s="1"/>
  <c r="AX148" i="14"/>
  <c r="AZ147" i="14"/>
  <c r="AS146" i="14"/>
  <c r="AU146" i="14" s="1"/>
  <c r="AX144" i="14"/>
  <c r="AZ143" i="14"/>
  <c r="AS142" i="14"/>
  <c r="AU142" i="14" s="1"/>
  <c r="AX140" i="14"/>
  <c r="AZ139" i="14"/>
  <c r="AS138" i="14"/>
  <c r="AU138" i="14" s="1"/>
  <c r="AX136" i="14"/>
  <c r="AZ135" i="14"/>
  <c r="AS134" i="14"/>
  <c r="AU134" i="14" s="1"/>
  <c r="AX127" i="14"/>
  <c r="AZ126" i="14"/>
  <c r="AS125" i="14"/>
  <c r="AU125" i="14" s="1"/>
  <c r="AX123" i="14"/>
  <c r="AZ122" i="14"/>
  <c r="AW169" i="14"/>
  <c r="AY169" i="14" s="1"/>
  <c r="AT166" i="14"/>
  <c r="AW165" i="14"/>
  <c r="AY165" i="14" s="1"/>
  <c r="AT162" i="14"/>
  <c r="AW161" i="14"/>
  <c r="AY161" i="14" s="1"/>
  <c r="AT158" i="14"/>
  <c r="AW157" i="14"/>
  <c r="AY157" i="14" s="1"/>
  <c r="AT149" i="14"/>
  <c r="AW148" i="14"/>
  <c r="AY148" i="14" s="1"/>
  <c r="AT145" i="14"/>
  <c r="AW144" i="14"/>
  <c r="AY144" i="14" s="1"/>
  <c r="AT141" i="14"/>
  <c r="AW140" i="14"/>
  <c r="AY140" i="14" s="1"/>
  <c r="AT137" i="14"/>
  <c r="AW136" i="14"/>
  <c r="AY136" i="14" s="1"/>
  <c r="AT128" i="14"/>
  <c r="AW127" i="14"/>
  <c r="AY127" i="14" s="1"/>
  <c r="AT124" i="14"/>
  <c r="AW123" i="14"/>
  <c r="AY123" i="14" s="1"/>
  <c r="AX168" i="14"/>
  <c r="AX166" i="14"/>
  <c r="AZ163" i="14"/>
  <c r="AZ161" i="14"/>
  <c r="AS160" i="14"/>
  <c r="AU160" i="14" s="1"/>
  <c r="AX159" i="14"/>
  <c r="AT157" i="14"/>
  <c r="AZ149" i="14"/>
  <c r="AX147" i="14"/>
  <c r="AX145" i="14"/>
  <c r="AZ142" i="14"/>
  <c r="AZ140" i="14"/>
  <c r="AS139" i="14"/>
  <c r="AU139" i="14" s="1"/>
  <c r="AX138" i="14"/>
  <c r="AT136" i="14"/>
  <c r="AZ128" i="14"/>
  <c r="AX126" i="14"/>
  <c r="AX124" i="14"/>
  <c r="AX120" i="14"/>
  <c r="AZ119" i="14"/>
  <c r="AS118" i="14"/>
  <c r="AU118" i="14" s="1"/>
  <c r="AX116" i="14"/>
  <c r="AZ115" i="14"/>
  <c r="AS114" i="14"/>
  <c r="AU114" i="14" s="1"/>
  <c r="AX112" i="14"/>
  <c r="AZ111" i="14"/>
  <c r="AS110" i="14"/>
  <c r="AU110" i="14" s="1"/>
  <c r="AX108" i="14"/>
  <c r="AZ107" i="14"/>
  <c r="AS106" i="14"/>
  <c r="AU106" i="14" s="1"/>
  <c r="AX104" i="14"/>
  <c r="AZ103" i="14"/>
  <c r="AS102" i="14"/>
  <c r="AU102" i="14" s="1"/>
  <c r="AX100" i="14"/>
  <c r="AZ94" i="14"/>
  <c r="AS93" i="14"/>
  <c r="AU93" i="14" s="1"/>
  <c r="AX91" i="14"/>
  <c r="AZ90" i="14"/>
  <c r="AS89" i="14"/>
  <c r="AU89" i="14" s="1"/>
  <c r="AX87" i="14"/>
  <c r="AZ86" i="14"/>
  <c r="AS85" i="14"/>
  <c r="AU85" i="14" s="1"/>
  <c r="AX84" i="14"/>
  <c r="AZ83" i="14"/>
  <c r="AX81" i="14"/>
  <c r="AT80" i="14"/>
  <c r="AW79" i="14"/>
  <c r="AY79" i="14" s="1"/>
  <c r="AS78" i="14"/>
  <c r="AU78" i="14" s="1"/>
  <c r="AT74" i="14"/>
  <c r="AX73" i="14"/>
  <c r="AW168" i="14"/>
  <c r="AY168" i="14" s="1"/>
  <c r="AS166" i="14"/>
  <c r="AU166" i="14" s="1"/>
  <c r="AT164" i="14"/>
  <c r="AW159" i="14"/>
  <c r="AY159" i="14" s="1"/>
  <c r="AS157" i="14"/>
  <c r="AU157" i="14" s="1"/>
  <c r="AW147" i="14"/>
  <c r="AY147" i="14" s="1"/>
  <c r="AS145" i="14"/>
  <c r="AU145" i="14" s="1"/>
  <c r="AT143" i="14"/>
  <c r="AW138" i="14"/>
  <c r="AY138" i="14" s="1"/>
  <c r="AS136" i="14"/>
  <c r="AU136" i="14" s="1"/>
  <c r="AW126" i="14"/>
  <c r="AY126" i="14" s="1"/>
  <c r="AS124" i="14"/>
  <c r="AT122" i="14"/>
  <c r="AT121" i="14"/>
  <c r="AW120" i="14"/>
  <c r="AY120" i="14" s="1"/>
  <c r="AT117" i="14"/>
  <c r="AW116" i="14"/>
  <c r="AY116" i="14" s="1"/>
  <c r="AT113" i="14"/>
  <c r="AW112" i="14"/>
  <c r="AY112" i="14" s="1"/>
  <c r="AT109" i="14"/>
  <c r="AW108" i="14"/>
  <c r="AY108" i="14" s="1"/>
  <c r="AS165" i="14"/>
  <c r="AU165" i="14" s="1"/>
  <c r="AX164" i="14"/>
  <c r="AX163" i="14"/>
  <c r="AZ162" i="14"/>
  <c r="AX150" i="14"/>
  <c r="AX149" i="14"/>
  <c r="AZ148" i="14"/>
  <c r="AZ146" i="14"/>
  <c r="AS143" i="14"/>
  <c r="AU143" i="14" s="1"/>
  <c r="AX141" i="14"/>
  <c r="AT140" i="14"/>
  <c r="AX139" i="14"/>
  <c r="AS135" i="14"/>
  <c r="AU135" i="14" s="1"/>
  <c r="AT127" i="14"/>
  <c r="AX125" i="14"/>
  <c r="AX121" i="14"/>
  <c r="AS120" i="14"/>
  <c r="AU120" i="14" s="1"/>
  <c r="AW117" i="14"/>
  <c r="AY117" i="14" s="1"/>
  <c r="AX114" i="14"/>
  <c r="AS113" i="14"/>
  <c r="AU113" i="14" s="1"/>
  <c r="AW110" i="14"/>
  <c r="AY110" i="14" s="1"/>
  <c r="AX107" i="14"/>
  <c r="AS103" i="14"/>
  <c r="AU103" i="14" s="1"/>
  <c r="AS94" i="14"/>
  <c r="AU94" i="14" s="1"/>
  <c r="AS90" i="14"/>
  <c r="AU90" i="14" s="1"/>
  <c r="AS86" i="14"/>
  <c r="AT84" i="14"/>
  <c r="AX82" i="14"/>
  <c r="AW81" i="14"/>
  <c r="AY81" i="14" s="1"/>
  <c r="AT78" i="14"/>
  <c r="AS77" i="14"/>
  <c r="AU77" i="14" s="1"/>
  <c r="AT76" i="14"/>
  <c r="AT75" i="14"/>
  <c r="AS74" i="14"/>
  <c r="AU74" i="14" s="1"/>
  <c r="AT72" i="14"/>
  <c r="AX71" i="14"/>
  <c r="AX68" i="14"/>
  <c r="AS67" i="14"/>
  <c r="AU67" i="14" s="1"/>
  <c r="AX65" i="14"/>
  <c r="AZ64" i="14"/>
  <c r="AS63" i="14"/>
  <c r="AU63" i="14" s="1"/>
  <c r="AW62" i="14"/>
  <c r="AY62" i="14" s="1"/>
  <c r="AW59" i="14"/>
  <c r="AY59" i="14" s="1"/>
  <c r="AW164" i="14"/>
  <c r="AY164" i="14" s="1"/>
  <c r="AW163" i="14"/>
  <c r="AY163" i="14" s="1"/>
  <c r="AT151" i="14"/>
  <c r="AW150" i="14"/>
  <c r="AY150" i="14" s="1"/>
  <c r="AS149" i="14"/>
  <c r="AU149" i="14" s="1"/>
  <c r="AS141" i="14"/>
  <c r="AS140" i="14"/>
  <c r="AW139" i="14"/>
  <c r="AY139" i="14" s="1"/>
  <c r="AZ138" i="14"/>
  <c r="AZ137" i="14"/>
  <c r="AS127" i="14"/>
  <c r="AU127" i="14" s="1"/>
  <c r="AT126" i="14"/>
  <c r="AW125" i="14"/>
  <c r="AY125" i="14" s="1"/>
  <c r="AZ124" i="14"/>
  <c r="AZ123" i="14"/>
  <c r="AW121" i="14"/>
  <c r="AY121" i="14" s="1"/>
  <c r="AX118" i="14"/>
  <c r="AS117" i="14"/>
  <c r="AU117" i="14" s="1"/>
  <c r="AW114" i="14"/>
  <c r="AY114" i="14" s="1"/>
  <c r="AX111" i="14"/>
  <c r="AZ108" i="14"/>
  <c r="AW107" i="14"/>
  <c r="AY107" i="14" s="1"/>
  <c r="AT106" i="14"/>
  <c r="AZ169" i="14"/>
  <c r="AS161" i="14"/>
  <c r="AU161" i="14" s="1"/>
  <c r="AT160" i="14"/>
  <c r="AS148" i="14"/>
  <c r="AU148" i="14" s="1"/>
  <c r="AZ141" i="14"/>
  <c r="AZ134" i="14"/>
  <c r="AW119" i="14"/>
  <c r="AY119" i="14" s="1"/>
  <c r="AX113" i="14"/>
  <c r="AZ112" i="14"/>
  <c r="AT110" i="14"/>
  <c r="AT107" i="14"/>
  <c r="AW102" i="14"/>
  <c r="AY102" i="14" s="1"/>
  <c r="AZ93" i="14"/>
  <c r="AX92" i="14"/>
  <c r="AT91" i="14"/>
  <c r="AZ89" i="14"/>
  <c r="AX88" i="14"/>
  <c r="AT87" i="14"/>
  <c r="AZ85" i="14"/>
  <c r="AZ84" i="14"/>
  <c r="AX83" i="14"/>
  <c r="AW82" i="14"/>
  <c r="AY82" i="14" s="1"/>
  <c r="AS81" i="14"/>
  <c r="AZ77" i="14"/>
  <c r="AX76" i="14"/>
  <c r="AZ70" i="14"/>
  <c r="AT67" i="14"/>
  <c r="AS66" i="14"/>
  <c r="AU66" i="14" s="1"/>
  <c r="AS65" i="14"/>
  <c r="AU65" i="14" s="1"/>
  <c r="AT64" i="14"/>
  <c r="AT63" i="14"/>
  <c r="AT62" i="14"/>
  <c r="AT61" i="14"/>
  <c r="AT60" i="14"/>
  <c r="AS59" i="14"/>
  <c r="AU59" i="14" s="1"/>
  <c r="AS58" i="14"/>
  <c r="AU58" i="14" s="1"/>
  <c r="AT168" i="14"/>
  <c r="AX162" i="14"/>
  <c r="AZ150" i="14"/>
  <c r="AZ144" i="14"/>
  <c r="AX135" i="14"/>
  <c r="AX128" i="14"/>
  <c r="AX122" i="14"/>
  <c r="AT116" i="14"/>
  <c r="AX115" i="14"/>
  <c r="AW113" i="14"/>
  <c r="AY113" i="14" s="1"/>
  <c r="AX109" i="14"/>
  <c r="AS107" i="14"/>
  <c r="AU107" i="14" s="1"/>
  <c r="AX106" i="14"/>
  <c r="AZ105" i="14"/>
  <c r="AT104" i="14"/>
  <c r="AZ101" i="14"/>
  <c r="AT100" i="14"/>
  <c r="AW92" i="14"/>
  <c r="AY92" i="14" s="1"/>
  <c r="AS91" i="14"/>
  <c r="AU91" i="14" s="1"/>
  <c r="AW88" i="14"/>
  <c r="AY88" i="14" s="1"/>
  <c r="AS87" i="14"/>
  <c r="AU87" i="14" s="1"/>
  <c r="AW83" i="14"/>
  <c r="AY83" i="14" s="1"/>
  <c r="AT82" i="14"/>
  <c r="AU82" i="14" s="1"/>
  <c r="AS80" i="14"/>
  <c r="AW76" i="14"/>
  <c r="AY76" i="14" s="1"/>
  <c r="AS75" i="14"/>
  <c r="AU75" i="14" s="1"/>
  <c r="AT73" i="14"/>
  <c r="AZ71" i="14"/>
  <c r="AZ69" i="14"/>
  <c r="AZ68" i="14"/>
  <c r="AS64" i="14"/>
  <c r="AU64" i="14" s="1"/>
  <c r="AS62" i="14"/>
  <c r="AU62" i="14" s="1"/>
  <c r="AS61" i="14"/>
  <c r="AU61" i="14" s="1"/>
  <c r="AS60" i="14"/>
  <c r="AU60" i="14" s="1"/>
  <c r="AZ57" i="14"/>
  <c r="AT169" i="14"/>
  <c r="AS162" i="14"/>
  <c r="AZ145" i="14"/>
  <c r="AX142" i="14"/>
  <c r="AZ136" i="14"/>
  <c r="AW135" i="14"/>
  <c r="AY135" i="14" s="1"/>
  <c r="AX134" i="14"/>
  <c r="AX59" i="14"/>
  <c r="AX60" i="14"/>
  <c r="AX64" i="14"/>
  <c r="AX66" i="14"/>
  <c r="AT68" i="14"/>
  <c r="AS70" i="14"/>
  <c r="AU70" i="14" s="1"/>
  <c r="AS71" i="14"/>
  <c r="AU71" i="14" s="1"/>
  <c r="AZ75" i="14"/>
  <c r="AS79" i="14"/>
  <c r="AU79" i="14" s="1"/>
  <c r="AT81" i="14"/>
  <c r="AT83" i="14"/>
  <c r="AZ87" i="14"/>
  <c r="AT88" i="14"/>
  <c r="AX93" i="14"/>
  <c r="AZ102" i="14"/>
  <c r="AW103" i="14"/>
  <c r="AY103" i="14" s="1"/>
  <c r="AS104" i="14"/>
  <c r="AU104" i="14" s="1"/>
  <c r="AZ127" i="14"/>
  <c r="AS137" i="14"/>
  <c r="AU137" i="14" s="1"/>
  <c r="AW142" i="14"/>
  <c r="AY142" i="14" s="1"/>
  <c r="AS151" i="14"/>
  <c r="AS169" i="14"/>
  <c r="AU140" i="14" l="1"/>
  <c r="V7" i="14"/>
  <c r="Q18" i="14" s="1"/>
  <c r="AU147" i="14"/>
  <c r="AU80" i="14"/>
  <c r="AU168" i="14"/>
  <c r="AP109" i="14"/>
  <c r="AP148" i="14"/>
  <c r="AQ148" i="14" s="1"/>
  <c r="BA148" i="14" s="1"/>
  <c r="AP169" i="14"/>
  <c r="AQ169" i="14" s="1"/>
  <c r="BA169" i="14" s="1"/>
  <c r="AP147" i="14"/>
  <c r="AQ147" i="14" s="1"/>
  <c r="BA147" i="14" s="1"/>
  <c r="AP146" i="14"/>
  <c r="AQ146" i="14" s="1"/>
  <c r="BA146" i="14" s="1"/>
  <c r="AP164" i="14"/>
  <c r="AQ164" i="14" s="1"/>
  <c r="BA164" i="14" s="1"/>
  <c r="AP65" i="14"/>
  <c r="AQ65" i="14" s="1"/>
  <c r="BA65" i="14" s="1"/>
  <c r="AP165" i="14"/>
  <c r="AQ165" i="14" s="1"/>
  <c r="BA165" i="14" s="1"/>
  <c r="AP84" i="14"/>
  <c r="AQ84" i="14" s="1"/>
  <c r="BA84" i="14" s="1"/>
  <c r="AU86" i="14"/>
  <c r="AU164" i="14"/>
  <c r="AU124" i="14"/>
  <c r="AU128" i="14"/>
  <c r="AU144" i="14"/>
  <c r="AU115" i="14"/>
  <c r="AU141" i="14"/>
  <c r="AU92" i="14"/>
  <c r="AP123" i="14"/>
  <c r="AQ123" i="14" s="1"/>
  <c r="BA123" i="14" s="1"/>
  <c r="AP72" i="14"/>
  <c r="AQ72" i="14" s="1"/>
  <c r="BA72" i="14" s="1"/>
  <c r="BB72" i="14" s="1"/>
  <c r="BC72" i="14" s="1"/>
  <c r="AP101" i="14"/>
  <c r="AQ101" i="14" s="1"/>
  <c r="BA101" i="14" s="1"/>
  <c r="AP138" i="14"/>
  <c r="AQ138" i="14" s="1"/>
  <c r="BA138" i="14" s="1"/>
  <c r="AP106" i="14"/>
  <c r="AQ106" i="14" s="1"/>
  <c r="BA106" i="14" s="1"/>
  <c r="AP167" i="14"/>
  <c r="AQ167" i="14" s="1"/>
  <c r="BA167" i="14" s="1"/>
  <c r="AP142" i="14"/>
  <c r="AQ142" i="14" s="1"/>
  <c r="AP94" i="14"/>
  <c r="AQ94" i="14" s="1"/>
  <c r="BA94" i="14" s="1"/>
  <c r="AP60" i="14"/>
  <c r="AQ60" i="14" s="1"/>
  <c r="BA60" i="14" s="1"/>
  <c r="AP136" i="14"/>
  <c r="AQ136" i="14" s="1"/>
  <c r="BA136" i="14" s="1"/>
  <c r="AP57" i="14"/>
  <c r="AQ57" i="14" s="1"/>
  <c r="BA57" i="14" s="1"/>
  <c r="AP157" i="14"/>
  <c r="AQ157" i="14" s="1"/>
  <c r="BA157" i="14" s="1"/>
  <c r="AP103" i="14"/>
  <c r="AQ103" i="14" s="1"/>
  <c r="AP66" i="14"/>
  <c r="AQ66" i="14" s="1"/>
  <c r="AP113" i="14"/>
  <c r="AQ113" i="14" s="1"/>
  <c r="AP68" i="14"/>
  <c r="AQ68" i="14" s="1"/>
  <c r="BA68" i="14" s="1"/>
  <c r="BB68" i="14" s="1"/>
  <c r="BC68" i="14" s="1"/>
  <c r="AP79" i="14"/>
  <c r="AQ79" i="14" s="1"/>
  <c r="BA79" i="14" s="1"/>
  <c r="AP107" i="14"/>
  <c r="AQ107" i="14" s="1"/>
  <c r="BA107" i="14" s="1"/>
  <c r="AP85" i="14"/>
  <c r="AQ85" i="14" s="1"/>
  <c r="AP62" i="14"/>
  <c r="AQ62" i="14" s="1"/>
  <c r="BA62" i="14" s="1"/>
  <c r="AP78" i="14"/>
  <c r="AQ78" i="14" s="1"/>
  <c r="AP144" i="14"/>
  <c r="AQ144" i="14" s="1"/>
  <c r="AP119" i="14"/>
  <c r="AQ119" i="14" s="1"/>
  <c r="BA119" i="14" s="1"/>
  <c r="AP91" i="14"/>
  <c r="AQ91" i="14" s="1"/>
  <c r="BA91" i="14" s="1"/>
  <c r="AP137" i="14"/>
  <c r="AQ137" i="14" s="1"/>
  <c r="BA137" i="14" s="1"/>
  <c r="AP120" i="14"/>
  <c r="AQ120" i="14" s="1"/>
  <c r="BA120" i="14" s="1"/>
  <c r="AP127" i="14"/>
  <c r="AQ127" i="14" s="1"/>
  <c r="BA127" i="14" s="1"/>
  <c r="AP139" i="14"/>
  <c r="AQ139" i="14" s="1"/>
  <c r="AP63" i="14"/>
  <c r="AQ63" i="14" s="1"/>
  <c r="BA63" i="14" s="1"/>
  <c r="AP159" i="14"/>
  <c r="AQ159" i="14" s="1"/>
  <c r="BA159" i="14" s="1"/>
  <c r="AP61" i="14"/>
  <c r="AQ61" i="14" s="1"/>
  <c r="BA61" i="14" s="1"/>
  <c r="AP100" i="14"/>
  <c r="AQ100" i="14" s="1"/>
  <c r="BA100" i="14" s="1"/>
  <c r="AP141" i="14"/>
  <c r="AQ141" i="14" s="1"/>
  <c r="BA141" i="14" s="1"/>
  <c r="AP143" i="14"/>
  <c r="AQ143" i="14" s="1"/>
  <c r="AP118" i="14"/>
  <c r="AQ118" i="14" s="1"/>
  <c r="AP73" i="14"/>
  <c r="AQ73" i="14" s="1"/>
  <c r="AP67" i="14"/>
  <c r="AQ67" i="14" s="1"/>
  <c r="BA67" i="14" s="1"/>
  <c r="AP121" i="14"/>
  <c r="AQ121" i="14" s="1"/>
  <c r="AP149" i="14"/>
  <c r="AQ149" i="14" s="1"/>
  <c r="BA149" i="14" s="1"/>
  <c r="AP69" i="14"/>
  <c r="AQ69" i="14" s="1"/>
  <c r="AP104" i="14"/>
  <c r="AQ104" i="14" s="1"/>
  <c r="BA104" i="14" s="1"/>
  <c r="AP80" i="14"/>
  <c r="AQ80" i="14" s="1"/>
  <c r="BA80" i="14" s="1"/>
  <c r="AP150" i="14"/>
  <c r="AQ150" i="14" s="1"/>
  <c r="AP111" i="14"/>
  <c r="AQ111" i="14" s="1"/>
  <c r="AP151" i="14"/>
  <c r="AQ151" i="14" s="1"/>
  <c r="BA151" i="14" s="1"/>
  <c r="AP163" i="14"/>
  <c r="AQ163" i="14" s="1"/>
  <c r="AP76" i="14"/>
  <c r="AQ76" i="14" s="1"/>
  <c r="BA76" i="14" s="1"/>
  <c r="AP77" i="14"/>
  <c r="AQ77" i="14" s="1"/>
  <c r="BA77" i="14" s="1"/>
  <c r="AP125" i="14"/>
  <c r="AQ125" i="14" s="1"/>
  <c r="BA125" i="14" s="1"/>
  <c r="AP161" i="14"/>
  <c r="AQ161" i="14" s="1"/>
  <c r="BA161" i="14" s="1"/>
  <c r="AP74" i="14"/>
  <c r="AQ74" i="14" s="1"/>
  <c r="AP105" i="14"/>
  <c r="AQ105" i="14" s="1"/>
  <c r="BA105" i="14" s="1"/>
  <c r="AP112" i="14"/>
  <c r="AQ112" i="14" s="1"/>
  <c r="BA112" i="14" s="1"/>
  <c r="AP162" i="14"/>
  <c r="AQ162" i="14" s="1"/>
  <c r="BA162" i="14" s="1"/>
  <c r="AP115" i="14"/>
  <c r="AQ115" i="14" s="1"/>
  <c r="BA115" i="14" s="1"/>
  <c r="AP160" i="14"/>
  <c r="AQ160" i="14" s="1"/>
  <c r="BA160" i="14" s="1"/>
  <c r="AQ109" i="14"/>
  <c r="BA109" i="14" s="1"/>
  <c r="AP75" i="14"/>
  <c r="AQ75" i="14" s="1"/>
  <c r="BA75" i="14" s="1"/>
  <c r="AP124" i="14"/>
  <c r="AQ124" i="14" s="1"/>
  <c r="BA124" i="14" s="1"/>
  <c r="AP89" i="14"/>
  <c r="AQ89" i="14" s="1"/>
  <c r="BA89" i="14" s="1"/>
  <c r="AP145" i="14"/>
  <c r="AQ145" i="14" s="1"/>
  <c r="BA145" i="14" s="1"/>
  <c r="AP110" i="14"/>
  <c r="AQ110" i="14" s="1"/>
  <c r="AP114" i="14"/>
  <c r="AQ114" i="14" s="1"/>
  <c r="AP116" i="14"/>
  <c r="AQ116" i="14" s="1"/>
  <c r="BA116" i="14" s="1"/>
  <c r="AP158" i="14"/>
  <c r="AQ158" i="14" s="1"/>
  <c r="BA158" i="14" s="1"/>
  <c r="AP83" i="14"/>
  <c r="AQ83" i="14" s="1"/>
  <c r="AP122" i="14"/>
  <c r="AQ122" i="14" s="1"/>
  <c r="BA122" i="14" s="1"/>
  <c r="AP87" i="14"/>
  <c r="AQ87" i="14" s="1"/>
  <c r="BA87" i="14" s="1"/>
  <c r="AP70" i="14"/>
  <c r="AQ70" i="14" s="1"/>
  <c r="AP108" i="14"/>
  <c r="AQ108" i="14" s="1"/>
  <c r="AP88" i="14"/>
  <c r="AQ88" i="14" s="1"/>
  <c r="AP140" i="14"/>
  <c r="AQ140" i="14" s="1"/>
  <c r="BA140" i="14" s="1"/>
  <c r="AP117" i="14"/>
  <c r="AQ117" i="14" s="1"/>
  <c r="BA117" i="14" s="1"/>
  <c r="AP128" i="14"/>
  <c r="AQ128" i="14" s="1"/>
  <c r="AP166" i="14"/>
  <c r="AQ166" i="14" s="1"/>
  <c r="AP86" i="14"/>
  <c r="AQ86" i="14" s="1"/>
  <c r="BA86" i="14" s="1"/>
  <c r="AP135" i="14"/>
  <c r="AQ135" i="14" s="1"/>
  <c r="I18" i="12"/>
  <c r="AP82" i="14"/>
  <c r="AQ82" i="14" s="1"/>
  <c r="AP59" i="14"/>
  <c r="AQ59" i="14" s="1"/>
  <c r="BA59" i="14" s="1"/>
  <c r="AP81" i="14"/>
  <c r="AQ81" i="14" s="1"/>
  <c r="BA81" i="14" s="1"/>
  <c r="AP92" i="14"/>
  <c r="AQ92" i="14" s="1"/>
  <c r="AP93" i="14"/>
  <c r="AQ93" i="14" s="1"/>
  <c r="AP58" i="14"/>
  <c r="AQ58" i="14" s="1"/>
  <c r="BA58" i="14" s="1"/>
  <c r="AP71" i="14"/>
  <c r="AQ71" i="14" s="1"/>
  <c r="AP102" i="14"/>
  <c r="AQ102" i="14" s="1"/>
  <c r="BA102" i="14" s="1"/>
  <c r="AP64" i="14"/>
  <c r="AQ64" i="14" s="1"/>
  <c r="BA64" i="14" s="1"/>
  <c r="AP134" i="14"/>
  <c r="AQ134" i="14" s="1"/>
  <c r="BA134" i="14" s="1"/>
  <c r="AP90" i="14"/>
  <c r="AQ90" i="14" s="1"/>
  <c r="BA90" i="14" s="1"/>
  <c r="AP126" i="14"/>
  <c r="AQ126" i="14" s="1"/>
  <c r="BA126" i="14" s="1"/>
  <c r="AU116" i="14"/>
  <c r="AU81" i="14"/>
  <c r="G34" i="14"/>
  <c r="AU151" i="14"/>
  <c r="AQ168" i="14"/>
  <c r="BA168" i="14" s="1"/>
  <c r="T36" i="12"/>
  <c r="T37" i="12" s="1"/>
  <c r="T39" i="12" s="1"/>
  <c r="E24" i="12" s="1"/>
  <c r="I15" i="12" s="1"/>
  <c r="I21" i="12" s="1"/>
  <c r="I24" i="12" s="1"/>
  <c r="AU162" i="14"/>
  <c r="AU169" i="14"/>
  <c r="K24" i="12" l="1"/>
  <c r="I27" i="12" s="1"/>
  <c r="BB165" i="14"/>
  <c r="BC165" i="14" s="1"/>
  <c r="BF165" i="14" s="1"/>
  <c r="BA113" i="14"/>
  <c r="BB113" i="14" s="1"/>
  <c r="BC113" i="14" s="1"/>
  <c r="BB119" i="14"/>
  <c r="BC119" i="14" s="1"/>
  <c r="BF119" i="14" s="1"/>
  <c r="BA70" i="14"/>
  <c r="BB70" i="14" s="1"/>
  <c r="BC70" i="14" s="1"/>
  <c r="BF70" i="14" s="1"/>
  <c r="Q22" i="14"/>
  <c r="Q24" i="14" s="1"/>
  <c r="Q33" i="14" s="1"/>
  <c r="BB136" i="14"/>
  <c r="BC136" i="14" s="1"/>
  <c r="BF136" i="14" s="1"/>
  <c r="BB61" i="14"/>
  <c r="BC61" i="14" s="1"/>
  <c r="BD61" i="14" s="1"/>
  <c r="BB109" i="14"/>
  <c r="BC109" i="14" s="1"/>
  <c r="BA66" i="14"/>
  <c r="BB66" i="14" s="1"/>
  <c r="BC66" i="14" s="1"/>
  <c r="BA73" i="14"/>
  <c r="BB73" i="14" s="1"/>
  <c r="BC73" i="14" s="1"/>
  <c r="BF73" i="14" s="1"/>
  <c r="BA78" i="14"/>
  <c r="BB78" i="14" s="1"/>
  <c r="BC78" i="14" s="1"/>
  <c r="BD78" i="14" s="1"/>
  <c r="BA103" i="14"/>
  <c r="BB103" i="14" s="1"/>
  <c r="BC103" i="14" s="1"/>
  <c r="BA114" i="14"/>
  <c r="BB114" i="14"/>
  <c r="BC114" i="14" s="1"/>
  <c r="BF114" i="14" s="1"/>
  <c r="BA150" i="14"/>
  <c r="BB150" i="14" s="1"/>
  <c r="BC150" i="14" s="1"/>
  <c r="BF150" i="14" s="1"/>
  <c r="BA118" i="14"/>
  <c r="BB118" i="14" s="1"/>
  <c r="BC118" i="14" s="1"/>
  <c r="BF118" i="14" s="1"/>
  <c r="BA139" i="14"/>
  <c r="BB139" i="14" s="1"/>
  <c r="BC139" i="14" s="1"/>
  <c r="BA143" i="14"/>
  <c r="BB143" i="14" s="1"/>
  <c r="BC143" i="14" s="1"/>
  <c r="BA85" i="14"/>
  <c r="BB85" i="14" s="1"/>
  <c r="BC85" i="14" s="1"/>
  <c r="BD85" i="14" s="1"/>
  <c r="BA142" i="14"/>
  <c r="BB142" i="14" s="1"/>
  <c r="BC142" i="14" s="1"/>
  <c r="BD142" i="14" s="1"/>
  <c r="BB60" i="14"/>
  <c r="BC60" i="14" s="1"/>
  <c r="BD60" i="14" s="1"/>
  <c r="BB123" i="14"/>
  <c r="BC123" i="14" s="1"/>
  <c r="BF123" i="14" s="1"/>
  <c r="BB107" i="14"/>
  <c r="BC107" i="14" s="1"/>
  <c r="BF107" i="14" s="1"/>
  <c r="BB138" i="14"/>
  <c r="BC138" i="14" s="1"/>
  <c r="BD138" i="14" s="1"/>
  <c r="BB94" i="14"/>
  <c r="BC94" i="14" s="1"/>
  <c r="BD94" i="14" s="1"/>
  <c r="BE94" i="14" s="1"/>
  <c r="BA88" i="14"/>
  <c r="BB88" i="14" s="1"/>
  <c r="BC88" i="14" s="1"/>
  <c r="BA69" i="14"/>
  <c r="BB69" i="14" s="1"/>
  <c r="BC69" i="14" s="1"/>
  <c r="BA74" i="14"/>
  <c r="BB74" i="14" s="1"/>
  <c r="BC74" i="14" s="1"/>
  <c r="BA163" i="14"/>
  <c r="BB163" i="14" s="1"/>
  <c r="BC163" i="14" s="1"/>
  <c r="BA128" i="14"/>
  <c r="BB128" i="14" s="1"/>
  <c r="BC128" i="14" s="1"/>
  <c r="BD128" i="14" s="1"/>
  <c r="BE128" i="14" s="1"/>
  <c r="BA83" i="14"/>
  <c r="BB83" i="14" s="1"/>
  <c r="BC83" i="14" s="1"/>
  <c r="BA108" i="14"/>
  <c r="BB108" i="14" s="1"/>
  <c r="BC108" i="14" s="1"/>
  <c r="BA135" i="14"/>
  <c r="BB135" i="14" s="1"/>
  <c r="BC135" i="14" s="1"/>
  <c r="BF135" i="14" s="1"/>
  <c r="BA111" i="14"/>
  <c r="BB111" i="14" s="1"/>
  <c r="BC111" i="14" s="1"/>
  <c r="BD111" i="14" s="1"/>
  <c r="BA110" i="14"/>
  <c r="BB110" i="14" s="1"/>
  <c r="BC110" i="14" s="1"/>
  <c r="BA166" i="14"/>
  <c r="BB166" i="14" s="1"/>
  <c r="BC166" i="14" s="1"/>
  <c r="BB57" i="14"/>
  <c r="BC57" i="14" s="1"/>
  <c r="BD57" i="14" s="1"/>
  <c r="BB122" i="14"/>
  <c r="BC122" i="14" s="1"/>
  <c r="BF122" i="14" s="1"/>
  <c r="BB140" i="14"/>
  <c r="BC140" i="14" s="1"/>
  <c r="BF140" i="14" s="1"/>
  <c r="BB87" i="14"/>
  <c r="BC87" i="14" s="1"/>
  <c r="BF87" i="14" s="1"/>
  <c r="BB112" i="14"/>
  <c r="BC112" i="14" s="1"/>
  <c r="BF112" i="14" s="1"/>
  <c r="BB80" i="14"/>
  <c r="BC80" i="14" s="1"/>
  <c r="BB84" i="14"/>
  <c r="BC84" i="14" s="1"/>
  <c r="BF84" i="14" s="1"/>
  <c r="BB77" i="14"/>
  <c r="BC77" i="14" s="1"/>
  <c r="BD77" i="14" s="1"/>
  <c r="BB162" i="14"/>
  <c r="BC162" i="14" s="1"/>
  <c r="BD162" i="14" s="1"/>
  <c r="BB116" i="14"/>
  <c r="BC116" i="14" s="1"/>
  <c r="BF116" i="14" s="1"/>
  <c r="BB125" i="14"/>
  <c r="BC125" i="14" s="1"/>
  <c r="BD125" i="14" s="1"/>
  <c r="BB117" i="14"/>
  <c r="BC117" i="14" s="1"/>
  <c r="BD117" i="14" s="1"/>
  <c r="BB65" i="14"/>
  <c r="BC65" i="14" s="1"/>
  <c r="BB149" i="14"/>
  <c r="BC149" i="14" s="1"/>
  <c r="BD149" i="14" s="1"/>
  <c r="BB105" i="14"/>
  <c r="BC105" i="14" s="1"/>
  <c r="BD105" i="14" s="1"/>
  <c r="BB159" i="14"/>
  <c r="BC159" i="14" s="1"/>
  <c r="BD159" i="14" s="1"/>
  <c r="BB115" i="14"/>
  <c r="BC115" i="14" s="1"/>
  <c r="BD115" i="14" s="1"/>
  <c r="BB67" i="14"/>
  <c r="BC67" i="14" s="1"/>
  <c r="BD67" i="14" s="1"/>
  <c r="BB76" i="14"/>
  <c r="BC76" i="14" s="1"/>
  <c r="BA71" i="14"/>
  <c r="BB71" i="14" s="1"/>
  <c r="BC71" i="14" s="1"/>
  <c r="BF71" i="14" s="1"/>
  <c r="BA93" i="14"/>
  <c r="BB93" i="14" s="1"/>
  <c r="BC93" i="14" s="1"/>
  <c r="BD93" i="14" s="1"/>
  <c r="BA82" i="14"/>
  <c r="BB82" i="14" s="1"/>
  <c r="BC82" i="14" s="1"/>
  <c r="BB100" i="14"/>
  <c r="BC100" i="14" s="1"/>
  <c r="BF100" i="14" s="1"/>
  <c r="BB64" i="14"/>
  <c r="BC64" i="14" s="1"/>
  <c r="BD64" i="14" s="1"/>
  <c r="BB151" i="14"/>
  <c r="BC151" i="14" s="1"/>
  <c r="BF151" i="14" s="1"/>
  <c r="BG151" i="14" s="1"/>
  <c r="BB63" i="14"/>
  <c r="BC63" i="14" s="1"/>
  <c r="BB124" i="14"/>
  <c r="BC124" i="14" s="1"/>
  <c r="BB167" i="14"/>
  <c r="BC167" i="14" s="1"/>
  <c r="BD167" i="14" s="1"/>
  <c r="BB62" i="14"/>
  <c r="BC62" i="14" s="1"/>
  <c r="BB81" i="14"/>
  <c r="BC81" i="14" s="1"/>
  <c r="BF81" i="14" s="1"/>
  <c r="BB160" i="14"/>
  <c r="BC160" i="14" s="1"/>
  <c r="BB59" i="14"/>
  <c r="BC59" i="14" s="1"/>
  <c r="BF59" i="14" s="1"/>
  <c r="BB157" i="14"/>
  <c r="BC157" i="14" s="1"/>
  <c r="BF157" i="14" s="1"/>
  <c r="BB141" i="14"/>
  <c r="BC141" i="14" s="1"/>
  <c r="BF141" i="14" s="1"/>
  <c r="BB104" i="14"/>
  <c r="BC104" i="14" s="1"/>
  <c r="BB75" i="14"/>
  <c r="BC75" i="14" s="1"/>
  <c r="BD75" i="14" s="1"/>
  <c r="BB126" i="14"/>
  <c r="BC126" i="14" s="1"/>
  <c r="BB169" i="14"/>
  <c r="BC169" i="14" s="1"/>
  <c r="BF169" i="14" s="1"/>
  <c r="BG169" i="14" s="1"/>
  <c r="BB102" i="14"/>
  <c r="BC102" i="14" s="1"/>
  <c r="BD102" i="14" s="1"/>
  <c r="BB168" i="14"/>
  <c r="BC168" i="14" s="1"/>
  <c r="BB58" i="14"/>
  <c r="BC58" i="14" s="1"/>
  <c r="BB79" i="14"/>
  <c r="BC79" i="14" s="1"/>
  <c r="BD79" i="14" s="1"/>
  <c r="BB164" i="14"/>
  <c r="BC164" i="14" s="1"/>
  <c r="BB101" i="14"/>
  <c r="BC101" i="14" s="1"/>
  <c r="BB86" i="14"/>
  <c r="BC86" i="14" s="1"/>
  <c r="BB127" i="14"/>
  <c r="BC127" i="14" s="1"/>
  <c r="BB89" i="14"/>
  <c r="BC89" i="14" s="1"/>
  <c r="BD89" i="14" s="1"/>
  <c r="BB106" i="14"/>
  <c r="BC106" i="14" s="1"/>
  <c r="BD106" i="14" s="1"/>
  <c r="BB90" i="14"/>
  <c r="BC90" i="14" s="1"/>
  <c r="BD90" i="14" s="1"/>
  <c r="BB161" i="14"/>
  <c r="BC161" i="14" s="1"/>
  <c r="BB158" i="14"/>
  <c r="BC158" i="14" s="1"/>
  <c r="BF68" i="14"/>
  <c r="BD68" i="14"/>
  <c r="BB120" i="14"/>
  <c r="BC120" i="14" s="1"/>
  <c r="BB148" i="14"/>
  <c r="BC148" i="14" s="1"/>
  <c r="BA144" i="14"/>
  <c r="BB144" i="14" s="1"/>
  <c r="BC144" i="14" s="1"/>
  <c r="BB134" i="14"/>
  <c r="BC134" i="14" s="1"/>
  <c r="BB137" i="14"/>
  <c r="BC137" i="14" s="1"/>
  <c r="BA121" i="14"/>
  <c r="BB121" i="14" s="1"/>
  <c r="BC121" i="14" s="1"/>
  <c r="BB146" i="14"/>
  <c r="BC146" i="14" s="1"/>
  <c r="BB145" i="14"/>
  <c r="BC145" i="14" s="1"/>
  <c r="BA92" i="14"/>
  <c r="BB92" i="14" s="1"/>
  <c r="BC92" i="14" s="1"/>
  <c r="BF72" i="14"/>
  <c r="BD72" i="14"/>
  <c r="BB147" i="14"/>
  <c r="BC147" i="14" s="1"/>
  <c r="BB91" i="14"/>
  <c r="BC91" i="14" s="1"/>
  <c r="BD119" i="14" l="1"/>
  <c r="BD165" i="14"/>
  <c r="BF143" i="14"/>
  <c r="BD143" i="14"/>
  <c r="BD113" i="14"/>
  <c r="BF113" i="14"/>
  <c r="BD140" i="14"/>
  <c r="BF85" i="14"/>
  <c r="BD73" i="14"/>
  <c r="BD118" i="14"/>
  <c r="BD136" i="14"/>
  <c r="BD70" i="14"/>
  <c r="BD150" i="14"/>
  <c r="BF78" i="14"/>
  <c r="Q30" i="14"/>
  <c r="BF125" i="14"/>
  <c r="BF162" i="14"/>
  <c r="BF117" i="14"/>
  <c r="BF60" i="14"/>
  <c r="BD87" i="14"/>
  <c r="BF128" i="14"/>
  <c r="BG128" i="14" s="1"/>
  <c r="BF61" i="14"/>
  <c r="BD100" i="14"/>
  <c r="BF159" i="14"/>
  <c r="BF89" i="14"/>
  <c r="BD114" i="14"/>
  <c r="BF64" i="14"/>
  <c r="BD109" i="14"/>
  <c r="BF109" i="14"/>
  <c r="BD107" i="14"/>
  <c r="BF75" i="14"/>
  <c r="BF167" i="14"/>
  <c r="BF79" i="14"/>
  <c r="BD112" i="14"/>
  <c r="BF108" i="14"/>
  <c r="BD108" i="14"/>
  <c r="BF110" i="14"/>
  <c r="BD110" i="14"/>
  <c r="BF69" i="14"/>
  <c r="BD69" i="14"/>
  <c r="BD83" i="14"/>
  <c r="BF83" i="14"/>
  <c r="BD166" i="14"/>
  <c r="BF166" i="14"/>
  <c r="BD74" i="14"/>
  <c r="BF74" i="14"/>
  <c r="BF103" i="14"/>
  <c r="BD103" i="14"/>
  <c r="BF94" i="14"/>
  <c r="BG94" i="14" s="1"/>
  <c r="BF115" i="14"/>
  <c r="BF142" i="14"/>
  <c r="BF138" i="14"/>
  <c r="BF67" i="14"/>
  <c r="BD66" i="14"/>
  <c r="BF66" i="14"/>
  <c r="BF139" i="14"/>
  <c r="BD139" i="14"/>
  <c r="BD116" i="14"/>
  <c r="BD123" i="14"/>
  <c r="BF102" i="14"/>
  <c r="BF77" i="14"/>
  <c r="BD163" i="14"/>
  <c r="BF163" i="14"/>
  <c r="BF65" i="14"/>
  <c r="BD65" i="14"/>
  <c r="BF111" i="14"/>
  <c r="BF57" i="14"/>
  <c r="BF106" i="14"/>
  <c r="BF149" i="14"/>
  <c r="BG149" i="14" s="1"/>
  <c r="BD84" i="14"/>
  <c r="BD122" i="14"/>
  <c r="BF90" i="14"/>
  <c r="BF80" i="14"/>
  <c r="BD80" i="14"/>
  <c r="BF93" i="14"/>
  <c r="BF105" i="14"/>
  <c r="BD71" i="14"/>
  <c r="BD76" i="14"/>
  <c r="BF76" i="14"/>
  <c r="BD135" i="14"/>
  <c r="BF88" i="14"/>
  <c r="BD88" i="14"/>
  <c r="BD81" i="14"/>
  <c r="BF82" i="14"/>
  <c r="BD82" i="14"/>
  <c r="BD160" i="14"/>
  <c r="BF160" i="14"/>
  <c r="BF124" i="14"/>
  <c r="BD124" i="14"/>
  <c r="BD63" i="14"/>
  <c r="BF63" i="14"/>
  <c r="BD141" i="14"/>
  <c r="BD169" i="14"/>
  <c r="BE169" i="14" s="1"/>
  <c r="BD151" i="14"/>
  <c r="BE151" i="14" s="1"/>
  <c r="BD157" i="14"/>
  <c r="BD59" i="14"/>
  <c r="BF62" i="14"/>
  <c r="BD62" i="14"/>
  <c r="BD104" i="14"/>
  <c r="BF104" i="14"/>
  <c r="BD86" i="14"/>
  <c r="BF86" i="14"/>
  <c r="BD101" i="14"/>
  <c r="BF101" i="14"/>
  <c r="BF164" i="14"/>
  <c r="BD164" i="14"/>
  <c r="BF126" i="14"/>
  <c r="BD126" i="14"/>
  <c r="BD168" i="14"/>
  <c r="BE168" i="14" s="1"/>
  <c r="BF168" i="14"/>
  <c r="BG168" i="14" s="1"/>
  <c r="BD158" i="14"/>
  <c r="BF158" i="14"/>
  <c r="BF161" i="14"/>
  <c r="BD161" i="14"/>
  <c r="BF58" i="14"/>
  <c r="BD58" i="14"/>
  <c r="BE93" i="14"/>
  <c r="BF127" i="14"/>
  <c r="BG127" i="14" s="1"/>
  <c r="BD127" i="14"/>
  <c r="BE127" i="14" s="1"/>
  <c r="BF147" i="14"/>
  <c r="BD147" i="14"/>
  <c r="BF148" i="14"/>
  <c r="BD148" i="14"/>
  <c r="BD92" i="14"/>
  <c r="BE92" i="14" s="1"/>
  <c r="BF92" i="14"/>
  <c r="BF134" i="14"/>
  <c r="BD134" i="14"/>
  <c r="BF120" i="14"/>
  <c r="BD120" i="14"/>
  <c r="BF91" i="14"/>
  <c r="BD91" i="14"/>
  <c r="BD146" i="14"/>
  <c r="BF146" i="14"/>
  <c r="BE149" i="14"/>
  <c r="BF144" i="14"/>
  <c r="BD144" i="14"/>
  <c r="BD121" i="14"/>
  <c r="BF121" i="14"/>
  <c r="BD137" i="14"/>
  <c r="BF137" i="14"/>
  <c r="BD145" i="14"/>
  <c r="BF145" i="14"/>
  <c r="BG150" i="14"/>
  <c r="BE90" i="14" l="1"/>
  <c r="BG163" i="14"/>
  <c r="BG79" i="14"/>
  <c r="BE89" i="14"/>
  <c r="BE150" i="14"/>
  <c r="BE68" i="14"/>
  <c r="BE71" i="14"/>
  <c r="BG142" i="14"/>
  <c r="BG164" i="14"/>
  <c r="BE148" i="14"/>
  <c r="BG125" i="14"/>
  <c r="BE73" i="14"/>
  <c r="BG93" i="14"/>
  <c r="BE100" i="14"/>
  <c r="BG92" i="14"/>
  <c r="BE160" i="14"/>
  <c r="BE163" i="14"/>
  <c r="BE60" i="14"/>
  <c r="BE69" i="14"/>
  <c r="BG148" i="14"/>
  <c r="BE166" i="14"/>
  <c r="BG124" i="14"/>
  <c r="BE109" i="14"/>
  <c r="BE165" i="14"/>
  <c r="BG101" i="14"/>
  <c r="BG167" i="14"/>
  <c r="BG158" i="14"/>
  <c r="BG162" i="14"/>
  <c r="BG166" i="14"/>
  <c r="BE121" i="14"/>
  <c r="BE158" i="14"/>
  <c r="BG135" i="14"/>
  <c r="BG157" i="14"/>
  <c r="BE137" i="14"/>
  <c r="BE108" i="14"/>
  <c r="BG116" i="14"/>
  <c r="BG121" i="14"/>
  <c r="BE110" i="14"/>
  <c r="BG109" i="14"/>
  <c r="BE138" i="14"/>
  <c r="BG102" i="14"/>
  <c r="BE159" i="14"/>
  <c r="BE162" i="14"/>
  <c r="BE167" i="14"/>
  <c r="BG165" i="14"/>
  <c r="BE125" i="14"/>
  <c r="BG122" i="14"/>
  <c r="BG126" i="14"/>
  <c r="BG117" i="14"/>
  <c r="BE157" i="14"/>
  <c r="BG123" i="14"/>
  <c r="BG111" i="14"/>
  <c r="BE124" i="14"/>
  <c r="BE123" i="14"/>
  <c r="BG78" i="14"/>
  <c r="BE161" i="14"/>
  <c r="BE164" i="14"/>
  <c r="BG161" i="14"/>
  <c r="BG160" i="14"/>
  <c r="BG159" i="14"/>
  <c r="BE126" i="14"/>
  <c r="BE122" i="14"/>
  <c r="BE139" i="14"/>
  <c r="BE136" i="14"/>
  <c r="BE120" i="14"/>
  <c r="BE119" i="14"/>
  <c r="BE116" i="14"/>
  <c r="BE118" i="14"/>
  <c r="BE112" i="14"/>
  <c r="BE103" i="14"/>
  <c r="BG68" i="14"/>
  <c r="BG64" i="14"/>
  <c r="BE107" i="14"/>
  <c r="BG65" i="14"/>
  <c r="BG108" i="14"/>
  <c r="BG57" i="14"/>
  <c r="BG62" i="14"/>
  <c r="BE91" i="14"/>
  <c r="BE88" i="14"/>
  <c r="BE83" i="14"/>
  <c r="BE81" i="14"/>
  <c r="BG90" i="14"/>
  <c r="BG75" i="14"/>
  <c r="BG73" i="14"/>
  <c r="BG104" i="14"/>
  <c r="BG145" i="14"/>
  <c r="BE111" i="14"/>
  <c r="BG143" i="14"/>
  <c r="BE106" i="14"/>
  <c r="BG60" i="14"/>
  <c r="BE144" i="14"/>
  <c r="BG70" i="14"/>
  <c r="BE62" i="14"/>
  <c r="BE142" i="14"/>
  <c r="BE66" i="14"/>
  <c r="BG110" i="14"/>
  <c r="BE141" i="14"/>
  <c r="BE113" i="14"/>
  <c r="BE67" i="14"/>
  <c r="BG74" i="14"/>
  <c r="BG139" i="14"/>
  <c r="BE80" i="14"/>
  <c r="BG140" i="14"/>
  <c r="BE135" i="14"/>
  <c r="BE75" i="14"/>
  <c r="BG63" i="14"/>
  <c r="BE74" i="14"/>
  <c r="BE134" i="14"/>
  <c r="BG106" i="14"/>
  <c r="BG88" i="14"/>
  <c r="BE115" i="14"/>
  <c r="BG136" i="14"/>
  <c r="BG86" i="14"/>
  <c r="BE82" i="14"/>
  <c r="BG91" i="14"/>
  <c r="BG76" i="14"/>
  <c r="BG80" i="14"/>
  <c r="BG82" i="14"/>
  <c r="BG81" i="14"/>
  <c r="BG89" i="14"/>
  <c r="BE114" i="14"/>
  <c r="BE101" i="14"/>
  <c r="BE57" i="14"/>
  <c r="BG144" i="14"/>
  <c r="BG138" i="14"/>
  <c r="BG69" i="14"/>
  <c r="BE61" i="14"/>
  <c r="BG85" i="14"/>
  <c r="BE87" i="14"/>
  <c r="BE79" i="14"/>
  <c r="BE102" i="14"/>
  <c r="BE59" i="14"/>
  <c r="BG141" i="14"/>
  <c r="BE147" i="14"/>
  <c r="BE145" i="14"/>
  <c r="BE146" i="14"/>
  <c r="BG72" i="14"/>
  <c r="BG87" i="14"/>
  <c r="BE63" i="14"/>
  <c r="BE85" i="14"/>
  <c r="BG120" i="14"/>
  <c r="BG118" i="14"/>
  <c r="BG103" i="14"/>
  <c r="BG119" i="14"/>
  <c r="BE72" i="14"/>
  <c r="BG59" i="14"/>
  <c r="BE143" i="14"/>
  <c r="BE140" i="14"/>
  <c r="BE84" i="14"/>
  <c r="BG67" i="14"/>
  <c r="BE64" i="14"/>
  <c r="BE70" i="14"/>
  <c r="BE117" i="14"/>
  <c r="BG134" i="14"/>
  <c r="BG114" i="14"/>
  <c r="BG84" i="14"/>
  <c r="BG107" i="14"/>
  <c r="BE104" i="14"/>
  <c r="BG58" i="14"/>
  <c r="BG113" i="14"/>
  <c r="BG137" i="14"/>
  <c r="BE78" i="14"/>
  <c r="BG83" i="14"/>
  <c r="BG66" i="14"/>
  <c r="BE77" i="14"/>
  <c r="BE86" i="14"/>
  <c r="BG77" i="14"/>
  <c r="BG146" i="14"/>
  <c r="BG71" i="14"/>
  <c r="BG100" i="14"/>
  <c r="BE105" i="14"/>
  <c r="BG115" i="14"/>
  <c r="BG105" i="14"/>
  <c r="BG147" i="14"/>
  <c r="BE58" i="14"/>
  <c r="BE65" i="14"/>
  <c r="BE76" i="14"/>
  <c r="BG112" i="14"/>
  <c r="BG61" i="14"/>
  <c r="O74" i="14" l="1"/>
  <c r="Z74" i="14" s="1"/>
  <c r="O60" i="14"/>
  <c r="O58" i="14"/>
  <c r="Y58" i="14" s="1"/>
  <c r="O59" i="14"/>
  <c r="O71" i="14"/>
  <c r="O72" i="14"/>
  <c r="O73" i="14"/>
  <c r="O57" i="14"/>
  <c r="AA74" i="14" l="1"/>
  <c r="AB74" i="14"/>
  <c r="W74" i="14"/>
  <c r="AC74" i="14"/>
  <c r="AD74" i="14" s="1"/>
  <c r="X74" i="14"/>
  <c r="T74" i="14"/>
  <c r="V74" i="14"/>
  <c r="U74" i="14"/>
  <c r="S74" i="14"/>
  <c r="R74" i="14"/>
  <c r="Q74" i="14"/>
  <c r="P74" i="14"/>
  <c r="Y74" i="14"/>
  <c r="S58" i="14"/>
  <c r="T58" i="14"/>
  <c r="V58" i="14"/>
  <c r="W58" i="14"/>
  <c r="AA58" i="14"/>
  <c r="P58" i="14"/>
  <c r="U58" i="14"/>
  <c r="R58" i="14"/>
  <c r="AB58" i="14"/>
  <c r="Q58" i="14"/>
  <c r="Z58" i="14"/>
  <c r="X58" i="14"/>
  <c r="AC58" i="14"/>
  <c r="AD58" i="14" s="1"/>
  <c r="X60" i="14"/>
  <c r="Q60" i="14"/>
  <c r="S60" i="14"/>
  <c r="AA60" i="14"/>
  <c r="Y60" i="14"/>
  <c r="AC60" i="14"/>
  <c r="AD60" i="14" s="1"/>
  <c r="P60" i="14"/>
  <c r="W60" i="14"/>
  <c r="AB60" i="14"/>
  <c r="Z60" i="14"/>
  <c r="U60" i="14"/>
  <c r="V60" i="14"/>
  <c r="R60" i="14"/>
  <c r="T60" i="14"/>
  <c r="W73" i="14"/>
  <c r="Z73" i="14"/>
  <c r="Q73" i="14"/>
  <c r="AB73" i="14"/>
  <c r="R73" i="14"/>
  <c r="AA73" i="14"/>
  <c r="P73" i="14"/>
  <c r="Y73" i="14"/>
  <c r="X73" i="14"/>
  <c r="V73" i="14"/>
  <c r="U73" i="14"/>
  <c r="T73" i="14"/>
  <c r="S73" i="14"/>
  <c r="AC73" i="14"/>
  <c r="AD73" i="14" s="1"/>
  <c r="AB72" i="14"/>
  <c r="T72" i="14"/>
  <c r="Y72" i="14"/>
  <c r="P72" i="14"/>
  <c r="X72" i="14"/>
  <c r="W72" i="14"/>
  <c r="V72" i="14"/>
  <c r="U72" i="14"/>
  <c r="Q72" i="14"/>
  <c r="AA72" i="14"/>
  <c r="Z72" i="14"/>
  <c r="S72" i="14"/>
  <c r="R72" i="14"/>
  <c r="AC72" i="14"/>
  <c r="AD72" i="14" s="1"/>
  <c r="W71" i="14"/>
  <c r="Y71" i="14"/>
  <c r="P71" i="14"/>
  <c r="X71" i="14"/>
  <c r="V71" i="14"/>
  <c r="U71" i="14"/>
  <c r="R71" i="14"/>
  <c r="AB71" i="14"/>
  <c r="Q71" i="14"/>
  <c r="Z71" i="14"/>
  <c r="T71" i="14"/>
  <c r="S71" i="14"/>
  <c r="AC71" i="14"/>
  <c r="AD71" i="14" s="1"/>
  <c r="AA71" i="14"/>
  <c r="Y57" i="14"/>
  <c r="Q57" i="14"/>
  <c r="X57" i="14"/>
  <c r="P57" i="14"/>
  <c r="Z57" i="14"/>
  <c r="W57" i="14"/>
  <c r="U57" i="14"/>
  <c r="AC57" i="14"/>
  <c r="AD57" i="14" s="1"/>
  <c r="V57" i="14"/>
  <c r="T57" i="14"/>
  <c r="S57" i="14"/>
  <c r="AB57" i="14"/>
  <c r="R57" i="14"/>
  <c r="AA57" i="14"/>
  <c r="V59" i="14"/>
  <c r="Z59" i="14"/>
  <c r="Q59" i="14"/>
  <c r="Y59" i="14"/>
  <c r="P59" i="14"/>
  <c r="AA59" i="14"/>
  <c r="X59" i="14"/>
  <c r="U59" i="14"/>
  <c r="S59" i="14"/>
  <c r="R59" i="14"/>
  <c r="W59" i="14"/>
  <c r="T59" i="14"/>
  <c r="AC59" i="14"/>
  <c r="AD59" i="14" s="1"/>
  <c r="AB59" i="14"/>
  <c r="N57" i="14" l="1"/>
  <c r="N72" i="14"/>
  <c r="N71" i="14"/>
  <c r="N74" i="14"/>
  <c r="N59" i="14"/>
  <c r="N60" i="14"/>
  <c r="N73" i="14"/>
  <c r="N58" i="14"/>
  <c r="N63" i="14" l="1"/>
  <c r="N77" i="14"/>
  <c r="AC21" i="12"/>
  <c r="CM94" i="1" s="1"/>
  <c r="AC11" i="12"/>
  <c r="AF27" i="12" s="1"/>
  <c r="AG27" i="12" s="1"/>
  <c r="CN94" i="1" s="1" a="1"/>
  <c r="CN94" i="1" s="1"/>
  <c r="AI27" i="12" l="1"/>
  <c r="I54" i="13"/>
  <c r="M63" i="13"/>
  <c r="N41" i="13"/>
  <c r="H49" i="13" s="1"/>
  <c r="H50" i="13" l="1"/>
  <c r="R11" i="13" l="1"/>
  <c r="C14" i="13" l="1"/>
  <c r="DX5" i="1" l="1"/>
  <c r="DX6" i="1"/>
  <c r="DX7" i="1"/>
  <c r="DX8" i="1"/>
  <c r="DX9" i="1"/>
  <c r="DX10" i="1"/>
  <c r="DX11" i="1"/>
  <c r="DX12" i="1"/>
  <c r="DX13" i="1"/>
  <c r="DX14" i="1"/>
  <c r="DX15" i="1"/>
  <c r="DX16" i="1"/>
  <c r="DX17" i="1"/>
  <c r="DX18" i="1"/>
  <c r="DX19" i="1"/>
  <c r="DX20" i="1"/>
  <c r="DX21" i="1"/>
  <c r="DX22" i="1"/>
  <c r="DX23" i="1"/>
  <c r="DX24" i="1"/>
  <c r="DX25" i="1"/>
  <c r="DX26" i="1"/>
  <c r="DX27" i="1"/>
  <c r="DX28" i="1"/>
  <c r="DX30" i="1"/>
  <c r="DX31" i="1"/>
  <c r="DX32" i="1"/>
  <c r="DX33" i="1"/>
  <c r="DX34" i="1"/>
  <c r="DX35" i="1"/>
  <c r="DX36" i="1"/>
  <c r="DX37" i="1"/>
  <c r="DX38" i="1"/>
  <c r="DX39" i="1"/>
  <c r="DX40" i="1"/>
  <c r="DX41" i="1"/>
  <c r="DX42" i="1"/>
  <c r="DX43" i="1"/>
  <c r="DX44" i="1"/>
  <c r="DX45" i="1"/>
  <c r="DX46" i="1"/>
  <c r="DX52" i="1"/>
  <c r="DX53" i="1"/>
  <c r="DX54" i="1"/>
  <c r="DX55" i="1"/>
  <c r="DX56" i="1"/>
  <c r="DX57" i="1"/>
  <c r="DX58" i="1"/>
  <c r="DX59" i="1"/>
  <c r="DX60" i="1"/>
  <c r="DX61" i="1"/>
  <c r="DX62" i="1"/>
  <c r="DX63" i="1"/>
  <c r="DX64" i="1"/>
  <c r="DX65" i="1"/>
  <c r="DX66" i="1"/>
  <c r="DX67" i="1"/>
  <c r="DX68" i="1"/>
  <c r="DX69" i="1"/>
  <c r="DX70" i="1"/>
  <c r="DX4" i="1"/>
  <c r="DW5" i="1"/>
  <c r="DW6" i="1"/>
  <c r="DW7" i="1"/>
  <c r="DW8" i="1"/>
  <c r="DW9" i="1"/>
  <c r="DW10" i="1"/>
  <c r="DW11" i="1"/>
  <c r="DW12" i="1"/>
  <c r="DW13" i="1"/>
  <c r="DW14" i="1"/>
  <c r="DW15" i="1"/>
  <c r="DW16" i="1"/>
  <c r="DW17" i="1"/>
  <c r="DW18" i="1"/>
  <c r="DW19" i="1"/>
  <c r="DW20" i="1"/>
  <c r="DW21" i="1"/>
  <c r="DW22" i="1"/>
  <c r="DW23" i="1"/>
  <c r="DW24" i="1"/>
  <c r="DW25" i="1"/>
  <c r="DW26" i="1"/>
  <c r="DW27" i="1"/>
  <c r="DW28" i="1"/>
  <c r="DW30" i="1"/>
  <c r="DW31" i="1"/>
  <c r="DW32" i="1"/>
  <c r="DW33" i="1"/>
  <c r="DW34" i="1"/>
  <c r="DW35" i="1"/>
  <c r="DW36" i="1"/>
  <c r="DW37" i="1"/>
  <c r="DW38" i="1"/>
  <c r="DW39" i="1"/>
  <c r="DW40" i="1"/>
  <c r="DW41" i="1"/>
  <c r="DW42" i="1"/>
  <c r="DW43" i="1"/>
  <c r="DW44" i="1"/>
  <c r="DW45" i="1"/>
  <c r="DW46" i="1"/>
  <c r="DW52" i="1"/>
  <c r="DW53" i="1"/>
  <c r="DW54" i="1"/>
  <c r="DW55" i="1"/>
  <c r="DW56" i="1"/>
  <c r="DW57" i="1"/>
  <c r="DW58" i="1"/>
  <c r="DW59" i="1"/>
  <c r="DW60" i="1"/>
  <c r="DW61" i="1"/>
  <c r="DW62" i="1"/>
  <c r="DW63" i="1"/>
  <c r="DW64" i="1"/>
  <c r="DW65" i="1"/>
  <c r="DW66" i="1"/>
  <c r="DW67" i="1"/>
  <c r="DW68" i="1"/>
  <c r="DW69" i="1"/>
  <c r="DW70" i="1"/>
  <c r="DW4" i="1"/>
  <c r="CM143" i="1"/>
  <c r="CN142" i="1" s="1"/>
  <c r="M53" i="13" l="1"/>
  <c r="M55" i="13" s="1"/>
  <c r="M48" i="13"/>
  <c r="M50" i="13" s="1"/>
  <c r="CN137" i="1"/>
  <c r="F60" i="13" l="1"/>
  <c r="H60" i="13"/>
  <c r="I63" i="13" s="1"/>
  <c r="CN136" i="1"/>
  <c r="I60" i="13" l="1"/>
  <c r="K60" i="13"/>
  <c r="M60" i="13"/>
  <c r="CP137" i="1"/>
  <c r="CO137" i="1"/>
  <c r="CO136" i="1"/>
  <c r="H11" i="1"/>
  <c r="CS11" i="1" s="1"/>
  <c r="H12" i="1"/>
  <c r="CS14" i="1" s="1"/>
  <c r="H13" i="1"/>
  <c r="H14" i="1"/>
  <c r="CS13" i="1" s="1"/>
  <c r="H15" i="1"/>
  <c r="CS15" i="1" s="1"/>
  <c r="H16" i="1"/>
  <c r="CS17" i="1" s="1"/>
  <c r="H17" i="1"/>
  <c r="CS24" i="1" s="1"/>
  <c r="H18" i="1"/>
  <c r="CS25" i="1" s="1"/>
  <c r="H19" i="1"/>
  <c r="CS31" i="1" s="1"/>
  <c r="H20" i="1"/>
  <c r="CS16" i="1" s="1"/>
  <c r="H21" i="1"/>
  <c r="H22" i="1"/>
  <c r="CS21" i="1" s="1"/>
  <c r="H23" i="1"/>
  <c r="CS28" i="1" s="1"/>
  <c r="H24" i="1"/>
  <c r="CS33" i="1" s="1"/>
  <c r="H25" i="1"/>
  <c r="CS38" i="1" s="1"/>
  <c r="H26" i="1"/>
  <c r="CS42" i="1" s="1"/>
  <c r="H27" i="1"/>
  <c r="CS19" i="1" s="1"/>
  <c r="H28" i="1"/>
  <c r="CS22" i="1" s="1"/>
  <c r="H29" i="1"/>
  <c r="CS26" i="1" s="1"/>
  <c r="H30" i="1"/>
  <c r="CS34" i="1" s="1"/>
  <c r="H31" i="1"/>
  <c r="CS40" i="1" s="1"/>
  <c r="H32" i="1"/>
  <c r="CS46" i="1" s="1"/>
  <c r="H33" i="1"/>
  <c r="CS51" i="1" s="1"/>
  <c r="H34" i="1"/>
  <c r="CS32" i="1" s="1"/>
  <c r="H35" i="1"/>
  <c r="CS39" i="1" s="1"/>
  <c r="H36" i="1"/>
  <c r="CS50" i="1" s="1"/>
  <c r="H37" i="1"/>
  <c r="CS56" i="1" s="1"/>
  <c r="H38" i="1"/>
  <c r="CS62" i="1" s="1"/>
  <c r="H39" i="1"/>
  <c r="CS20" i="1" s="1"/>
  <c r="H40" i="1"/>
  <c r="CS23" i="1" s="1"/>
  <c r="H41" i="1"/>
  <c r="CS27" i="1" s="1"/>
  <c r="H42" i="1"/>
  <c r="CS35" i="1" s="1"/>
  <c r="H43" i="1"/>
  <c r="CS41" i="1" s="1"/>
  <c r="H44" i="1"/>
  <c r="CS47" i="1" s="1"/>
  <c r="H45" i="1"/>
  <c r="CS52" i="1" s="1"/>
  <c r="H46" i="1"/>
  <c r="CS59" i="1" s="1"/>
  <c r="H47" i="1"/>
  <c r="CS67" i="1" s="1"/>
  <c r="H48" i="1"/>
  <c r="CS29" i="1" s="1"/>
  <c r="H49" i="1"/>
  <c r="CS37" i="1" s="1"/>
  <c r="H50" i="1"/>
  <c r="CS44" i="1" s="1"/>
  <c r="H51" i="1"/>
  <c r="CS49" i="1" s="1"/>
  <c r="H52" i="1"/>
  <c r="CS55" i="1" s="1"/>
  <c r="H53" i="1"/>
  <c r="CS61" i="1" s="1"/>
  <c r="H54" i="1"/>
  <c r="CS69" i="1" s="1"/>
  <c r="H55" i="1"/>
  <c r="CS78" i="1" s="1"/>
  <c r="H56" i="1"/>
  <c r="CS58" i="1" s="1"/>
  <c r="H57" i="1"/>
  <c r="CS71" i="1" s="1"/>
  <c r="H58" i="1"/>
  <c r="CS81" i="1" s="1"/>
  <c r="H59" i="1"/>
  <c r="H60" i="1"/>
  <c r="CS36" i="1" s="1"/>
  <c r="H61" i="1"/>
  <c r="CS43" i="1" s="1"/>
  <c r="H62" i="1"/>
  <c r="CS54" i="1" s="1"/>
  <c r="H63" i="1"/>
  <c r="CS60" i="1" s="1"/>
  <c r="H64" i="1"/>
  <c r="CS68" i="1" s="1"/>
  <c r="H65" i="1"/>
  <c r="CS76" i="1" s="1"/>
  <c r="H66" i="1"/>
  <c r="CS45" i="1" s="1"/>
  <c r="H67" i="1"/>
  <c r="CS53" i="1" s="1"/>
  <c r="H68" i="1"/>
  <c r="H69" i="1"/>
  <c r="CS77" i="1" s="1"/>
  <c r="H70" i="1"/>
  <c r="CS88" i="1" s="1"/>
  <c r="H71" i="1"/>
  <c r="CS104" i="1" s="1"/>
  <c r="H72" i="1"/>
  <c r="CS65" i="1" s="1"/>
  <c r="H73" i="1"/>
  <c r="CS72" i="1" s="1"/>
  <c r="H74" i="1"/>
  <c r="CS82" i="1" s="1"/>
  <c r="H75" i="1"/>
  <c r="CS93" i="1" s="1"/>
  <c r="H76" i="1"/>
  <c r="CS106" i="1" s="1"/>
  <c r="H77" i="1"/>
  <c r="CS48" i="1" s="1"/>
  <c r="H78" i="1"/>
  <c r="CS57" i="1" s="1"/>
  <c r="H79" i="1"/>
  <c r="H80" i="1"/>
  <c r="CS73" i="1" s="1"/>
  <c r="H81" i="1"/>
  <c r="H82" i="1"/>
  <c r="CS94" i="1" s="1"/>
  <c r="H83" i="1"/>
  <c r="CS107" i="1" s="1"/>
  <c r="H84" i="1"/>
  <c r="CS70" i="1" s="1"/>
  <c r="H85" i="1"/>
  <c r="CS86" i="1" s="1"/>
  <c r="H86" i="1"/>
  <c r="CS98" i="1" s="1"/>
  <c r="H87" i="1"/>
  <c r="CS109" i="1" s="1"/>
  <c r="H88" i="1"/>
  <c r="CS64" i="1" s="1"/>
  <c r="H89" i="1"/>
  <c r="CS74" i="1" s="1"/>
  <c r="H90" i="1"/>
  <c r="CS91" i="1" s="1"/>
  <c r="H91" i="1"/>
  <c r="CS103" i="1" s="1"/>
  <c r="H92" i="1"/>
  <c r="CS115" i="1" s="1"/>
  <c r="H93" i="1"/>
  <c r="H94" i="1"/>
  <c r="H95" i="1"/>
  <c r="CS89" i="1" s="1"/>
  <c r="H96" i="1"/>
  <c r="CS102" i="1" s="1"/>
  <c r="H97" i="1"/>
  <c r="CS114" i="1" s="1"/>
  <c r="H98" i="1"/>
  <c r="CS79" i="1" s="1"/>
  <c r="H99" i="1"/>
  <c r="CS87" i="1" s="1"/>
  <c r="H100" i="1"/>
  <c r="CS95" i="1" s="1"/>
  <c r="H101" i="1"/>
  <c r="CS105" i="1" s="1"/>
  <c r="H102" i="1"/>
  <c r="CS117" i="1" s="1"/>
  <c r="H103" i="1"/>
  <c r="CS84" i="1" s="1"/>
  <c r="H104" i="1"/>
  <c r="CS100" i="1" s="1"/>
  <c r="H105" i="1"/>
  <c r="CS110" i="1" s="1"/>
  <c r="H106" i="1"/>
  <c r="CS121" i="1" s="1"/>
  <c r="H107" i="1"/>
  <c r="CS85" i="1" s="1"/>
  <c r="H108" i="1"/>
  <c r="CS92" i="1" s="1"/>
  <c r="H109" i="1"/>
  <c r="CS101" i="1" s="1"/>
  <c r="H110" i="1"/>
  <c r="CS111" i="1" s="1"/>
  <c r="H111" i="1"/>
  <c r="CS122" i="1" s="1"/>
  <c r="H112" i="1"/>
  <c r="CS129" i="1" s="1"/>
  <c r="H113" i="1"/>
  <c r="H114" i="1"/>
  <c r="CS99" i="1" s="1"/>
  <c r="H115" i="1"/>
  <c r="H116" i="1"/>
  <c r="CS116" i="1" s="1"/>
  <c r="H117" i="1"/>
  <c r="CS125" i="1" s="1"/>
  <c r="H118" i="1"/>
  <c r="CS131" i="1" s="1"/>
  <c r="H119" i="1"/>
  <c r="CS97" i="1" s="1"/>
  <c r="H120" i="1"/>
  <c r="CS112" i="1" s="1"/>
  <c r="H121" i="1"/>
  <c r="CS119" i="1" s="1"/>
  <c r="H122" i="1"/>
  <c r="CS126" i="1" s="1"/>
  <c r="H123" i="1"/>
  <c r="CS134" i="1" s="1"/>
  <c r="H124" i="1"/>
  <c r="H125" i="1"/>
  <c r="CS113" i="1" s="1"/>
  <c r="H126" i="1"/>
  <c r="CS120" i="1" s="1"/>
  <c r="H127" i="1"/>
  <c r="CS127" i="1" s="1"/>
  <c r="H128" i="1"/>
  <c r="CS135" i="1" s="1"/>
  <c r="H129" i="1"/>
  <c r="CS118" i="1" s="1"/>
  <c r="H130" i="1"/>
  <c r="H131" i="1"/>
  <c r="CS130" i="1" s="1"/>
  <c r="H132" i="1"/>
  <c r="CS136" i="1" s="1"/>
  <c r="H133" i="1"/>
  <c r="CS132" i="1" s="1"/>
  <c r="H134" i="1"/>
  <c r="CS137" i="1" s="1"/>
  <c r="H135" i="1"/>
  <c r="CS123" i="1" s="1"/>
  <c r="H136" i="1"/>
  <c r="CS128" i="1" s="1"/>
  <c r="H137" i="1"/>
  <c r="CS133" i="1" s="1"/>
  <c r="H138" i="1"/>
  <c r="CS138" i="1" s="1"/>
  <c r="H139" i="1"/>
  <c r="CS139" i="1" s="1"/>
  <c r="H140" i="1"/>
  <c r="CV42" i="1" s="1"/>
  <c r="H141" i="1"/>
  <c r="CV60" i="1" s="1"/>
  <c r="H142" i="1"/>
  <c r="CV72" i="1" s="1"/>
  <c r="H143" i="1"/>
  <c r="CV92" i="1" s="1"/>
  <c r="H144" i="1"/>
  <c r="CV11" i="1" s="1"/>
  <c r="H145" i="1"/>
  <c r="CV14" i="1" s="1"/>
  <c r="H146" i="1"/>
  <c r="CV18" i="1" s="1"/>
  <c r="H147" i="1"/>
  <c r="CV23" i="1" s="1"/>
  <c r="H148" i="1"/>
  <c r="CV26" i="1" s="1"/>
  <c r="H149" i="1"/>
  <c r="CV31" i="1" s="1"/>
  <c r="H150" i="1"/>
  <c r="CV35" i="1" s="1"/>
  <c r="H151" i="1"/>
  <c r="CV48" i="1" s="1"/>
  <c r="H152" i="1"/>
  <c r="CV56" i="1" s="1"/>
  <c r="H153" i="1"/>
  <c r="CV69" i="1" s="1"/>
  <c r="H154" i="1"/>
  <c r="CV82" i="1" s="1"/>
  <c r="H155" i="1"/>
  <c r="CV98" i="1" s="1"/>
  <c r="H156" i="1"/>
  <c r="CV108" i="1" s="1"/>
  <c r="H157" i="1"/>
  <c r="CV28" i="1" s="1"/>
  <c r="H158" i="1"/>
  <c r="CV44" i="1" s="1"/>
  <c r="H159" i="1"/>
  <c r="CV47" i="1" s="1"/>
  <c r="H160" i="1"/>
  <c r="CV57" i="1" s="1"/>
  <c r="H161" i="1"/>
  <c r="CV67" i="1" s="1"/>
  <c r="H162" i="1"/>
  <c r="CV71" i="1" s="1"/>
  <c r="H163" i="1"/>
  <c r="CV87" i="1" s="1"/>
  <c r="H164" i="1"/>
  <c r="CV101" i="1" s="1"/>
  <c r="H165" i="1"/>
  <c r="CV118" i="1" s="1"/>
  <c r="H166" i="1"/>
  <c r="CV127" i="1" s="1"/>
  <c r="H167" i="1"/>
  <c r="CV137" i="1" s="1"/>
  <c r="H168" i="1"/>
  <c r="CV3" i="1" s="1"/>
  <c r="H169" i="1"/>
  <c r="CV5" i="1" s="1"/>
  <c r="H170" i="1"/>
  <c r="CV7" i="1" s="1"/>
  <c r="H171" i="1"/>
  <c r="CV9" i="1" s="1"/>
  <c r="H172" i="1"/>
  <c r="CV12" i="1" s="1"/>
  <c r="H173" i="1"/>
  <c r="CV17" i="1" s="1"/>
  <c r="H174" i="1"/>
  <c r="CV20" i="1" s="1"/>
  <c r="H175" i="1"/>
  <c r="CV22" i="1" s="1"/>
  <c r="H176" i="1"/>
  <c r="CV27" i="1" s="1"/>
  <c r="H177" i="1"/>
  <c r="CV36" i="1" s="1"/>
  <c r="H178" i="1"/>
  <c r="CV45" i="1" s="1"/>
  <c r="H179" i="1"/>
  <c r="CV55" i="1" s="1"/>
  <c r="H180" i="1"/>
  <c r="H181" i="1"/>
  <c r="H182" i="1"/>
  <c r="CV83" i="1" s="1"/>
  <c r="H183" i="1"/>
  <c r="CV90" i="1" s="1"/>
  <c r="H184" i="1"/>
  <c r="CV78" i="1" s="1"/>
  <c r="H185" i="1"/>
  <c r="CV91" i="1" s="1"/>
  <c r="H186" i="1"/>
  <c r="CV103" i="1" s="1"/>
  <c r="H187" i="1"/>
  <c r="CV110" i="1" s="1"/>
  <c r="H188" i="1"/>
  <c r="CV117" i="1" s="1"/>
  <c r="H189" i="1"/>
  <c r="CV124" i="1" s="1"/>
  <c r="H190" i="1"/>
  <c r="CV131" i="1" s="1"/>
  <c r="H191" i="1"/>
  <c r="CV136" i="1" s="1"/>
  <c r="H192" i="1"/>
  <c r="CV146" i="1" s="1"/>
  <c r="H193" i="1"/>
  <c r="CV30" i="1" s="1"/>
  <c r="H194" i="1"/>
  <c r="CV38" i="1" s="1"/>
  <c r="H195" i="1"/>
  <c r="CV49" i="1" s="1"/>
  <c r="H196" i="1"/>
  <c r="CV59" i="1" s="1"/>
  <c r="H197" i="1"/>
  <c r="H198" i="1"/>
  <c r="CV84" i="1" s="1"/>
  <c r="H199" i="1"/>
  <c r="CV96" i="1" s="1"/>
  <c r="H200" i="1"/>
  <c r="CV106" i="1" s="1"/>
  <c r="H201" i="1"/>
  <c r="CV126" i="1" s="1"/>
  <c r="H202" i="1"/>
  <c r="CV134" i="1" s="1"/>
  <c r="H203" i="1"/>
  <c r="CV144" i="1" s="1"/>
  <c r="H204" i="1"/>
  <c r="CV152" i="1" s="1"/>
  <c r="H205" i="1"/>
  <c r="CV159" i="1" s="1"/>
  <c r="H206" i="1"/>
  <c r="CV29" i="1" s="1"/>
  <c r="H207" i="1"/>
  <c r="CV37" i="1" s="1"/>
  <c r="H208" i="1"/>
  <c r="CV46" i="1" s="1"/>
  <c r="H209" i="1"/>
  <c r="CV58" i="1" s="1"/>
  <c r="H210" i="1"/>
  <c r="H211" i="1"/>
  <c r="CV86" i="1" s="1"/>
  <c r="H212" i="1"/>
  <c r="H213" i="1"/>
  <c r="CV115" i="1" s="1"/>
  <c r="H214" i="1"/>
  <c r="CV123" i="1" s="1"/>
  <c r="H215" i="1"/>
  <c r="CV138" i="1" s="1"/>
  <c r="H216" i="1"/>
  <c r="CV147" i="1" s="1"/>
  <c r="H217" i="1"/>
  <c r="CV154" i="1" s="1"/>
  <c r="H218" i="1"/>
  <c r="CV161" i="1" s="1"/>
  <c r="H219" i="1"/>
  <c r="CV166" i="1" s="1"/>
  <c r="H220" i="1"/>
  <c r="CV176" i="1" s="1"/>
  <c r="H221" i="1"/>
  <c r="CV183" i="1" s="1"/>
  <c r="H222" i="1"/>
  <c r="CV16" i="1" s="1"/>
  <c r="H223" i="1"/>
  <c r="CV34" i="1" s="1"/>
  <c r="H224" i="1"/>
  <c r="H225" i="1"/>
  <c r="CV52" i="1" s="1"/>
  <c r="H226" i="1"/>
  <c r="H227" i="1"/>
  <c r="CV75" i="1" s="1"/>
  <c r="H228" i="1"/>
  <c r="H229" i="1"/>
  <c r="CV97" i="1" s="1"/>
  <c r="H230" i="1"/>
  <c r="CV109" i="1" s="1"/>
  <c r="H231" i="1"/>
  <c r="CV119" i="1" s="1"/>
  <c r="H232" i="1"/>
  <c r="CV130" i="1" s="1"/>
  <c r="H233" i="1"/>
  <c r="CV139" i="1" s="1"/>
  <c r="H234" i="1"/>
  <c r="CV153" i="1" s="1"/>
  <c r="H235" i="1"/>
  <c r="CV162" i="1" s="1"/>
  <c r="H236" i="1"/>
  <c r="CV171" i="1" s="1"/>
  <c r="H237" i="1"/>
  <c r="CV179" i="1" s="1"/>
  <c r="H238" i="1"/>
  <c r="CV188" i="1" s="1"/>
  <c r="H239" i="1"/>
  <c r="CV32" i="1" s="1"/>
  <c r="H240" i="1"/>
  <c r="CV43" i="1" s="1"/>
  <c r="H241" i="1"/>
  <c r="CV53" i="1" s="1"/>
  <c r="H242" i="1"/>
  <c r="H243" i="1"/>
  <c r="CV81" i="1" s="1"/>
  <c r="H244" i="1"/>
  <c r="CV94" i="1" s="1"/>
  <c r="H245" i="1"/>
  <c r="CV105" i="1" s="1"/>
  <c r="H246" i="1"/>
  <c r="CV112" i="1" s="1"/>
  <c r="H247" i="1"/>
  <c r="CV121" i="1" s="1"/>
  <c r="H248" i="1"/>
  <c r="CV129" i="1" s="1"/>
  <c r="H249" i="1"/>
  <c r="CV141" i="1" s="1"/>
  <c r="H250" i="1"/>
  <c r="CV150" i="1" s="1"/>
  <c r="H251" i="1"/>
  <c r="CV160" i="1" s="1"/>
  <c r="H252" i="1"/>
  <c r="CV169" i="1" s="1"/>
  <c r="H253" i="1"/>
  <c r="CV170" i="1" s="1"/>
  <c r="H254" i="1"/>
  <c r="H255" i="1"/>
  <c r="H256" i="1"/>
  <c r="CV195" i="1" s="1"/>
  <c r="H257" i="1"/>
  <c r="CV203" i="1" s="1"/>
  <c r="H258" i="1"/>
  <c r="CV210" i="1" s="1"/>
  <c r="H259" i="1"/>
  <c r="CV219" i="1" s="1"/>
  <c r="H260" i="1"/>
  <c r="CV68" i="1" s="1"/>
  <c r="H261" i="1"/>
  <c r="CV80" i="1" s="1"/>
  <c r="H262" i="1"/>
  <c r="CV95" i="1" s="1"/>
  <c r="H263" i="1"/>
  <c r="CV107" i="1" s="1"/>
  <c r="H264" i="1"/>
  <c r="H265" i="1"/>
  <c r="CV128" i="1" s="1"/>
  <c r="H266" i="1"/>
  <c r="H267" i="1"/>
  <c r="CV148" i="1" s="1"/>
  <c r="H268" i="1"/>
  <c r="CV155" i="1" s="1"/>
  <c r="H269" i="1"/>
  <c r="CV164" i="1" s="1"/>
  <c r="H270" i="1"/>
  <c r="CV172" i="1" s="1"/>
  <c r="H271" i="1"/>
  <c r="CV181" i="1" s="1"/>
  <c r="H272" i="1"/>
  <c r="CV190" i="1" s="1"/>
  <c r="H273" i="1"/>
  <c r="CV198" i="1" s="1"/>
  <c r="H274" i="1"/>
  <c r="H275" i="1"/>
  <c r="CV209" i="1" s="1"/>
  <c r="H276" i="1"/>
  <c r="H277" i="1"/>
  <c r="CV229" i="1" s="1"/>
  <c r="H278" i="1"/>
  <c r="CV217" i="1" s="1"/>
  <c r="H279" i="1"/>
  <c r="CV225" i="1" s="1"/>
  <c r="H280" i="1"/>
  <c r="CV236" i="1" s="1"/>
  <c r="H281" i="1"/>
  <c r="CV50" i="1" s="1"/>
  <c r="H282" i="1"/>
  <c r="CV61" i="1" s="1"/>
  <c r="H283" i="1"/>
  <c r="CV76" i="1" s="1"/>
  <c r="H284" i="1"/>
  <c r="CV88" i="1" s="1"/>
  <c r="H285" i="1"/>
  <c r="CV99" i="1" s="1"/>
  <c r="H286" i="1"/>
  <c r="CV113" i="1" s="1"/>
  <c r="H287" i="1"/>
  <c r="CV122" i="1" s="1"/>
  <c r="H288" i="1"/>
  <c r="CV133" i="1" s="1"/>
  <c r="H289" i="1"/>
  <c r="CV143" i="1" s="1"/>
  <c r="H290" i="1"/>
  <c r="CV151" i="1" s="1"/>
  <c r="H291" i="1"/>
  <c r="CV157" i="1" s="1"/>
  <c r="H292" i="1"/>
  <c r="CV167" i="1" s="1"/>
  <c r="H293" i="1"/>
  <c r="CV177" i="1" s="1"/>
  <c r="H294" i="1"/>
  <c r="CV187" i="1" s="1"/>
  <c r="H295" i="1"/>
  <c r="CV196" i="1" s="1"/>
  <c r="H296" i="1"/>
  <c r="CV200" i="1" s="1"/>
  <c r="H297" i="1"/>
  <c r="CV207" i="1" s="1"/>
  <c r="H298" i="1"/>
  <c r="CV213" i="1" s="1"/>
  <c r="H299" i="1"/>
  <c r="H300" i="1"/>
  <c r="CV226" i="1" s="1"/>
  <c r="H301" i="1"/>
  <c r="CV232" i="1" s="1"/>
  <c r="H302" i="1"/>
  <c r="CV239" i="1" s="1"/>
  <c r="H303" i="1"/>
  <c r="CV246" i="1" s="1"/>
  <c r="H304" i="1"/>
  <c r="CV173" i="1" s="1"/>
  <c r="H305" i="1"/>
  <c r="CV184" i="1" s="1"/>
  <c r="H306" i="1"/>
  <c r="CV193" i="1" s="1"/>
  <c r="H307" i="1"/>
  <c r="CV206" i="1" s="1"/>
  <c r="H308" i="1"/>
  <c r="CV216" i="1" s="1"/>
  <c r="H309" i="1"/>
  <c r="CV224" i="1" s="1"/>
  <c r="H310" i="1"/>
  <c r="CV233" i="1" s="1"/>
  <c r="H311" i="1"/>
  <c r="CV238" i="1" s="1"/>
  <c r="H312" i="1"/>
  <c r="CV244" i="1" s="1"/>
  <c r="H313" i="1"/>
  <c r="CV251" i="1" s="1"/>
  <c r="H314" i="1"/>
  <c r="CV257" i="1" s="1"/>
  <c r="H315" i="1"/>
  <c r="CV4" i="1" s="1"/>
  <c r="H316" i="1"/>
  <c r="CV6" i="1" s="1"/>
  <c r="H317" i="1"/>
  <c r="H318" i="1"/>
  <c r="CV10" i="1" s="1"/>
  <c r="H319" i="1"/>
  <c r="CV13" i="1" s="1"/>
  <c r="H320" i="1"/>
  <c r="CV15" i="1" s="1"/>
  <c r="H321" i="1"/>
  <c r="CV19" i="1" s="1"/>
  <c r="H322" i="1"/>
  <c r="CV21" i="1" s="1"/>
  <c r="H323" i="1"/>
  <c r="CV24" i="1" s="1"/>
  <c r="H324" i="1"/>
  <c r="CV25" i="1" s="1"/>
  <c r="H325" i="1"/>
  <c r="CV33" i="1" s="1"/>
  <c r="H326" i="1"/>
  <c r="CV39" i="1" s="1"/>
  <c r="H327" i="1"/>
  <c r="CV51" i="1" s="1"/>
  <c r="H328" i="1"/>
  <c r="CV62" i="1" s="1"/>
  <c r="H329" i="1"/>
  <c r="CV77" i="1" s="1"/>
  <c r="H330" i="1"/>
  <c r="CV89" i="1" s="1"/>
  <c r="H331" i="1"/>
  <c r="CV102" i="1" s="1"/>
  <c r="H332" i="1"/>
  <c r="CV111" i="1" s="1"/>
  <c r="H333" i="1"/>
  <c r="CV120" i="1" s="1"/>
  <c r="H334" i="1"/>
  <c r="CV132" i="1" s="1"/>
  <c r="H335" i="1"/>
  <c r="CV142" i="1" s="1"/>
  <c r="H336" i="1"/>
  <c r="H337" i="1"/>
  <c r="CV156" i="1" s="1"/>
  <c r="H338" i="1"/>
  <c r="CV165" i="1" s="1"/>
  <c r="H339" i="1"/>
  <c r="CV175" i="1" s="1"/>
  <c r="H340" i="1"/>
  <c r="H341" i="1"/>
  <c r="CV191" i="1" s="1"/>
  <c r="H342" i="1"/>
  <c r="CV197" i="1" s="1"/>
  <c r="H343" i="1"/>
  <c r="H344" i="1"/>
  <c r="CV211" i="1" s="1"/>
  <c r="H345" i="1"/>
  <c r="CV222" i="1" s="1"/>
  <c r="H346" i="1"/>
  <c r="H347" i="1"/>
  <c r="CV237" i="1" s="1"/>
  <c r="H348" i="1"/>
  <c r="CV243" i="1" s="1"/>
  <c r="H349" i="1"/>
  <c r="CV248" i="1" s="1"/>
  <c r="H350" i="1"/>
  <c r="CV252" i="1" s="1"/>
  <c r="H351" i="1"/>
  <c r="CV256" i="1" s="1"/>
  <c r="H352" i="1"/>
  <c r="CV262" i="1" s="1"/>
  <c r="H353" i="1"/>
  <c r="H354" i="1"/>
  <c r="CV54" i="1" s="1"/>
  <c r="H355" i="1"/>
  <c r="H356" i="1"/>
  <c r="CV79" i="1" s="1"/>
  <c r="H357" i="1"/>
  <c r="CV93" i="1" s="1"/>
  <c r="H358" i="1"/>
  <c r="H359" i="1"/>
  <c r="H360" i="1"/>
  <c r="H361" i="1"/>
  <c r="CV135" i="1" s="1"/>
  <c r="H362" i="1"/>
  <c r="CV145" i="1" s="1"/>
  <c r="H363" i="1"/>
  <c r="H364" i="1"/>
  <c r="H365" i="1"/>
  <c r="CV178" i="1" s="1"/>
  <c r="H366" i="1"/>
  <c r="CV186" i="1" s="1"/>
  <c r="H367" i="1"/>
  <c r="CV192" i="1" s="1"/>
  <c r="H368" i="1"/>
  <c r="CV199" i="1" s="1"/>
  <c r="H369" i="1"/>
  <c r="CV208" i="1" s="1"/>
  <c r="H370" i="1"/>
  <c r="CV215" i="1" s="1"/>
  <c r="H371" i="1"/>
  <c r="CV223" i="1" s="1"/>
  <c r="H372" i="1"/>
  <c r="CV227" i="1" s="1"/>
  <c r="H373" i="1"/>
  <c r="CV235" i="1" s="1"/>
  <c r="H374" i="1"/>
  <c r="CV241" i="1" s="1"/>
  <c r="H375" i="1"/>
  <c r="CV245" i="1" s="1"/>
  <c r="H376" i="1"/>
  <c r="CV254" i="1" s="1"/>
  <c r="H377" i="1"/>
  <c r="CV258" i="1" s="1"/>
  <c r="H378" i="1"/>
  <c r="CV263" i="1" s="1"/>
  <c r="H379" i="1"/>
  <c r="CV268" i="1" s="1"/>
  <c r="H380" i="1"/>
  <c r="CV273" i="1" s="1"/>
  <c r="H381" i="1"/>
  <c r="CV278" i="1" s="1"/>
  <c r="H382" i="1"/>
  <c r="CV163" i="1" s="1"/>
  <c r="H383" i="1"/>
  <c r="H384" i="1"/>
  <c r="CV185" i="1" s="1"/>
  <c r="H385" i="1"/>
  <c r="H386" i="1"/>
  <c r="H387" i="1"/>
  <c r="CV212" i="1" s="1"/>
  <c r="H388" i="1"/>
  <c r="CV221" i="1" s="1"/>
  <c r="H389" i="1"/>
  <c r="CV228" i="1" s="1"/>
  <c r="H390" i="1"/>
  <c r="H391" i="1"/>
  <c r="CV242" i="1" s="1"/>
  <c r="H392" i="1"/>
  <c r="CV249" i="1" s="1"/>
  <c r="H393" i="1"/>
  <c r="H394" i="1"/>
  <c r="CV259" i="1" s="1"/>
  <c r="H395" i="1"/>
  <c r="H396" i="1"/>
  <c r="CV267" i="1" s="1"/>
  <c r="H397" i="1"/>
  <c r="CV271" i="1" s="1"/>
  <c r="H398" i="1"/>
  <c r="CV276" i="1" s="1"/>
  <c r="H399" i="1"/>
  <c r="CV282" i="1" s="1"/>
  <c r="H400" i="1"/>
  <c r="CV205" i="1" s="1"/>
  <c r="H401" i="1"/>
  <c r="CV214" i="1" s="1"/>
  <c r="H402" i="1"/>
  <c r="CV231" i="1" s="1"/>
  <c r="H403" i="1"/>
  <c r="CV240" i="1" s="1"/>
  <c r="H404" i="1"/>
  <c r="CV247" i="1" s="1"/>
  <c r="H405" i="1"/>
  <c r="H406" i="1"/>
  <c r="CV255" i="1" s="1"/>
  <c r="H407" i="1"/>
  <c r="CV261" i="1" s="1"/>
  <c r="H408" i="1"/>
  <c r="CV265" i="1" s="1"/>
  <c r="H409" i="1"/>
  <c r="CV270" i="1" s="1"/>
  <c r="H410" i="1"/>
  <c r="CV275" i="1" s="1"/>
  <c r="H411" i="1"/>
  <c r="CV279" i="1" s="1"/>
  <c r="H412" i="1"/>
  <c r="CV283" i="1" s="1"/>
  <c r="H413" i="1"/>
  <c r="CV260" i="1" s="1"/>
  <c r="H414" i="1"/>
  <c r="CV266" i="1" s="1"/>
  <c r="H415" i="1"/>
  <c r="H416" i="1"/>
  <c r="CV272" i="1" s="1"/>
  <c r="H417" i="1"/>
  <c r="CV281" i="1" s="1"/>
  <c r="H418" i="1"/>
  <c r="CV284" i="1" s="1"/>
  <c r="H419" i="1"/>
  <c r="CV285" i="1" s="1"/>
  <c r="H420" i="1"/>
  <c r="CV269" i="1" s="1"/>
  <c r="H421" i="1"/>
  <c r="CV274" i="1" s="1"/>
  <c r="H422" i="1"/>
  <c r="CV280" i="1" s="1"/>
  <c r="H423" i="1"/>
  <c r="CY4" i="1" s="1"/>
  <c r="H424" i="1"/>
  <c r="CY6" i="1" s="1"/>
  <c r="H425" i="1"/>
  <c r="CY5" i="1" s="1"/>
  <c r="H426" i="1"/>
  <c r="CY7" i="1" s="1"/>
  <c r="H427" i="1"/>
  <c r="CY8" i="1" s="1"/>
  <c r="H428" i="1"/>
  <c r="CY9" i="1" s="1"/>
  <c r="H429" i="1"/>
  <c r="CY10" i="1" s="1"/>
  <c r="H430" i="1"/>
  <c r="CY11" i="1" s="1"/>
  <c r="H431" i="1"/>
  <c r="CY12" i="1" s="1"/>
  <c r="H432" i="1"/>
  <c r="CY13" i="1" s="1"/>
  <c r="H433" i="1"/>
  <c r="CY15" i="1" s="1"/>
  <c r="H434" i="1"/>
  <c r="CY16" i="1" s="1"/>
  <c r="H435" i="1"/>
  <c r="CY3" i="1" s="1"/>
  <c r="H436" i="1"/>
  <c r="CY14" i="1" s="1"/>
  <c r="H437" i="1"/>
  <c r="DB3" i="1" s="1"/>
  <c r="H438" i="1"/>
  <c r="DB4" i="1" s="1"/>
  <c r="H439" i="1"/>
  <c r="DB5" i="1" s="1"/>
  <c r="H440" i="1"/>
  <c r="DB7" i="1" s="1"/>
  <c r="H441" i="1"/>
  <c r="DB9" i="1" s="1"/>
  <c r="H442" i="1"/>
  <c r="DB6" i="1" s="1"/>
  <c r="H443" i="1"/>
  <c r="DB8" i="1" s="1"/>
  <c r="H444" i="1"/>
  <c r="DB10" i="1" s="1"/>
  <c r="H445" i="1"/>
  <c r="DB12" i="1" s="1"/>
  <c r="H446" i="1"/>
  <c r="DB11" i="1" s="1"/>
  <c r="H447" i="1"/>
  <c r="DB13" i="1" s="1"/>
  <c r="H448" i="1"/>
  <c r="DB14" i="1" s="1"/>
  <c r="H449" i="1"/>
  <c r="DB16" i="1" s="1"/>
  <c r="H450" i="1"/>
  <c r="DB15" i="1" s="1"/>
  <c r="H451" i="1"/>
  <c r="DB17" i="1" s="1"/>
  <c r="H452" i="1"/>
  <c r="DB19" i="1" s="1"/>
  <c r="H453" i="1"/>
  <c r="DB20" i="1" s="1"/>
  <c r="H454" i="1"/>
  <c r="DB18" i="1" s="1"/>
  <c r="H455" i="1"/>
  <c r="DB21" i="1" s="1"/>
  <c r="H456" i="1"/>
  <c r="DB22" i="1" s="1"/>
  <c r="H457" i="1"/>
  <c r="DB23" i="1" s="1"/>
  <c r="H458" i="1"/>
  <c r="DB24" i="1" s="1"/>
  <c r="H459" i="1"/>
  <c r="DB25" i="1" s="1"/>
  <c r="H460" i="1"/>
  <c r="DB26" i="1" s="1"/>
  <c r="H461" i="1"/>
  <c r="DB27" i="1" s="1"/>
  <c r="H462" i="1"/>
  <c r="DB28" i="1" s="1"/>
  <c r="H463" i="1"/>
  <c r="DB29" i="1" s="1"/>
  <c r="H464" i="1"/>
  <c r="DB30" i="1" s="1"/>
  <c r="H465" i="1"/>
  <c r="DE3" i="1" s="1"/>
  <c r="H466" i="1"/>
  <c r="H467" i="1"/>
  <c r="H468" i="1"/>
  <c r="DE6" i="1" s="1"/>
  <c r="H469" i="1"/>
  <c r="H470" i="1"/>
  <c r="H471" i="1"/>
  <c r="DE10" i="1" s="1"/>
  <c r="H472" i="1"/>
  <c r="H473" i="1"/>
  <c r="H474" i="1"/>
  <c r="H475" i="1"/>
  <c r="H476" i="1"/>
  <c r="H477" i="1"/>
  <c r="DE14" i="1" s="1"/>
  <c r="H478" i="1"/>
  <c r="H479" i="1"/>
  <c r="H480" i="1"/>
  <c r="H481" i="1"/>
  <c r="H482" i="1"/>
  <c r="H483" i="1"/>
  <c r="H484" i="1"/>
  <c r="H485" i="1"/>
  <c r="H486" i="1"/>
  <c r="DE26" i="1" s="1"/>
  <c r="H487" i="1"/>
  <c r="H488" i="1"/>
  <c r="H489" i="1"/>
  <c r="DE30" i="1" s="1"/>
  <c r="H490" i="1"/>
  <c r="H491" i="1"/>
  <c r="H492" i="1"/>
  <c r="DE38" i="1" s="1"/>
  <c r="H493" i="1"/>
  <c r="H494" i="1"/>
  <c r="H495" i="1"/>
  <c r="H496" i="1"/>
  <c r="H497" i="1"/>
  <c r="H498" i="1"/>
  <c r="H499" i="1"/>
  <c r="H500" i="1"/>
  <c r="H501" i="1"/>
  <c r="H502" i="1"/>
  <c r="H503" i="1"/>
  <c r="H504" i="1"/>
  <c r="DE42" i="1" s="1"/>
  <c r="H505" i="1"/>
  <c r="H506" i="1"/>
  <c r="H507" i="1"/>
  <c r="H508" i="1"/>
  <c r="H509" i="1"/>
  <c r="H510" i="1"/>
  <c r="H511" i="1"/>
  <c r="H512" i="1"/>
  <c r="H513" i="1"/>
  <c r="H514" i="1"/>
  <c r="H515" i="1"/>
  <c r="H516" i="1"/>
  <c r="DE46" i="1" s="1"/>
  <c r="H517" i="1"/>
  <c r="H518" i="1"/>
  <c r="H519" i="1"/>
  <c r="H520" i="1"/>
  <c r="H521" i="1"/>
  <c r="H522" i="1"/>
  <c r="DE58" i="1" s="1"/>
  <c r="H523" i="1"/>
  <c r="H524" i="1"/>
  <c r="H525" i="1"/>
  <c r="H526" i="1"/>
  <c r="H527" i="1"/>
  <c r="H528" i="1"/>
  <c r="DE74" i="1" s="1"/>
  <c r="H529" i="1"/>
  <c r="H530" i="1"/>
  <c r="H531" i="1"/>
  <c r="DE78" i="1" s="1"/>
  <c r="H532" i="1"/>
  <c r="H533" i="1"/>
  <c r="H534" i="1"/>
  <c r="DE86" i="1" s="1"/>
  <c r="H535" i="1"/>
  <c r="H536" i="1"/>
  <c r="H537" i="1"/>
  <c r="DE94" i="1" s="1"/>
  <c r="H538" i="1"/>
  <c r="H539" i="1"/>
  <c r="H540" i="1"/>
  <c r="DE102" i="1" s="1"/>
  <c r="H541" i="1"/>
  <c r="H542" i="1"/>
  <c r="H543" i="1"/>
  <c r="DE62" i="1" s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DE90" i="1" s="1"/>
  <c r="H568" i="1"/>
  <c r="H569" i="1"/>
  <c r="H570" i="1"/>
  <c r="H571" i="1"/>
  <c r="H572" i="1"/>
  <c r="H573" i="1"/>
  <c r="DE110" i="1" s="1"/>
  <c r="H574" i="1"/>
  <c r="H575" i="1"/>
  <c r="H576" i="1"/>
  <c r="DE122" i="1" s="1"/>
  <c r="H577" i="1"/>
  <c r="H578" i="1"/>
  <c r="H579" i="1"/>
  <c r="H580" i="1"/>
  <c r="H581" i="1"/>
  <c r="H582" i="1"/>
  <c r="H583" i="1"/>
  <c r="H584" i="1"/>
  <c r="H585" i="1"/>
  <c r="H586" i="1"/>
  <c r="H587" i="1"/>
  <c r="H588" i="1"/>
  <c r="DE118" i="1" s="1"/>
  <c r="H589" i="1"/>
  <c r="H590" i="1"/>
  <c r="H591" i="1"/>
  <c r="DE126" i="1" s="1"/>
  <c r="H592" i="1"/>
  <c r="H593" i="1"/>
  <c r="H594" i="1"/>
  <c r="DE142" i="1" s="1"/>
  <c r="H595" i="1"/>
  <c r="H596" i="1"/>
  <c r="H597" i="1"/>
  <c r="DE154" i="1" s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DE150" i="1" s="1"/>
  <c r="H622" i="1"/>
  <c r="H623" i="1"/>
  <c r="H624" i="1"/>
  <c r="DE158" i="1" s="1"/>
  <c r="H625" i="1"/>
  <c r="H626" i="1"/>
  <c r="H627" i="1"/>
  <c r="H628" i="1"/>
  <c r="H629" i="1"/>
  <c r="H630" i="1"/>
  <c r="H631" i="1"/>
  <c r="H632" i="1"/>
  <c r="H633" i="1"/>
  <c r="H634" i="1"/>
  <c r="H635" i="1"/>
  <c r="H636" i="1"/>
  <c r="DE170" i="1" s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8" i="1"/>
  <c r="CS7" i="1" s="1"/>
  <c r="H9" i="1"/>
  <c r="CS9" i="1" s="1"/>
  <c r="H10" i="1"/>
  <c r="CS10" i="1" s="1"/>
  <c r="H4" i="1"/>
  <c r="CS4" i="1" s="1"/>
  <c r="H5" i="1"/>
  <c r="CS5" i="1" s="1"/>
  <c r="H6" i="1"/>
  <c r="CS8" i="1" s="1"/>
  <c r="H7" i="1"/>
  <c r="CS6" i="1" s="1"/>
  <c r="H3" i="1"/>
  <c r="CS3" i="1" s="1"/>
  <c r="CP76" i="1"/>
  <c r="CP75" i="1"/>
  <c r="CM88" i="1"/>
  <c r="CM89" i="1" s="1"/>
  <c r="CM47" i="1"/>
  <c r="CN47" i="1" s="1"/>
  <c r="AA26" i="12" l="1"/>
  <c r="AA28" i="12"/>
  <c r="AE28" i="12" s="1"/>
  <c r="CM95" i="1" s="1"/>
  <c r="C12" i="13"/>
  <c r="E10" i="13"/>
  <c r="E9" i="13"/>
  <c r="R10" i="13"/>
  <c r="Q14" i="13" s="1"/>
  <c r="S14" i="13" s="1"/>
  <c r="K13" i="13"/>
  <c r="J19" i="13"/>
  <c r="I23" i="13"/>
  <c r="CV174" i="1"/>
  <c r="DE175" i="1"/>
  <c r="DE176" i="1"/>
  <c r="DE174" i="1"/>
  <c r="DE23" i="1"/>
  <c r="DE21" i="1"/>
  <c r="CS96" i="1"/>
  <c r="CS63" i="1"/>
  <c r="CV8" i="1"/>
  <c r="CV250" i="1"/>
  <c r="CV234" i="1"/>
  <c r="CV230" i="1"/>
  <c r="CV218" i="1"/>
  <c r="CV202" i="1"/>
  <c r="CV194" i="1"/>
  <c r="CV182" i="1"/>
  <c r="CV158" i="1"/>
  <c r="CV116" i="1"/>
  <c r="CV100" i="1"/>
  <c r="CV85" i="1"/>
  <c r="DE171" i="1"/>
  <c r="DE172" i="1"/>
  <c r="DE173" i="1"/>
  <c r="DE179" i="1"/>
  <c r="DE177" i="1"/>
  <c r="DE135" i="1"/>
  <c r="DE136" i="1"/>
  <c r="DE137" i="1"/>
  <c r="DE139" i="1"/>
  <c r="DE140" i="1"/>
  <c r="DE143" i="1"/>
  <c r="DE141" i="1"/>
  <c r="DE107" i="1"/>
  <c r="DE105" i="1"/>
  <c r="DE71" i="1"/>
  <c r="DE69" i="1"/>
  <c r="CV277" i="1"/>
  <c r="CV253" i="1"/>
  <c r="CV201" i="1"/>
  <c r="CV189" i="1"/>
  <c r="CV149" i="1"/>
  <c r="CV125" i="1"/>
  <c r="CV114" i="1"/>
  <c r="CV104" i="1"/>
  <c r="CV74" i="1"/>
  <c r="CV66" i="1"/>
  <c r="DE138" i="1"/>
  <c r="DE106" i="1"/>
  <c r="DE167" i="1"/>
  <c r="DE165" i="1"/>
  <c r="DE132" i="1"/>
  <c r="DE133" i="1"/>
  <c r="DE91" i="1"/>
  <c r="DE92" i="1"/>
  <c r="DE96" i="1"/>
  <c r="DE97" i="1"/>
  <c r="DE11" i="1"/>
  <c r="DE9" i="1"/>
  <c r="DE180" i="1"/>
  <c r="DE181" i="1"/>
  <c r="DE55" i="1"/>
  <c r="DE56" i="1"/>
  <c r="DE35" i="1"/>
  <c r="DE33" i="1"/>
  <c r="DE24" i="1"/>
  <c r="DE25" i="1"/>
  <c r="DE163" i="1"/>
  <c r="DE164" i="1"/>
  <c r="DE115" i="1"/>
  <c r="DE116" i="1"/>
  <c r="DE75" i="1"/>
  <c r="DE76" i="1"/>
  <c r="DE77" i="1"/>
  <c r="DE67" i="1"/>
  <c r="DE68" i="1"/>
  <c r="DE63" i="1"/>
  <c r="DE64" i="1"/>
  <c r="DE65" i="1"/>
  <c r="DE39" i="1"/>
  <c r="DE40" i="1"/>
  <c r="DE41" i="1"/>
  <c r="DE12" i="1"/>
  <c r="DE13" i="1"/>
  <c r="DE4" i="1"/>
  <c r="DE5" i="1"/>
  <c r="CS12" i="1"/>
  <c r="AA25" i="12" s="1"/>
  <c r="CS108" i="1"/>
  <c r="CS83" i="1"/>
  <c r="CV264" i="1"/>
  <c r="CV220" i="1"/>
  <c r="CV204" i="1"/>
  <c r="CV180" i="1"/>
  <c r="CV168" i="1"/>
  <c r="CV140" i="1"/>
  <c r="CV73" i="1"/>
  <c r="CV65" i="1"/>
  <c r="DE182" i="1"/>
  <c r="DE166" i="1"/>
  <c r="DE134" i="1"/>
  <c r="AA29" i="12" s="1"/>
  <c r="DE70" i="1"/>
  <c r="DE54" i="1"/>
  <c r="DE22" i="1"/>
  <c r="DE131" i="1"/>
  <c r="DE129" i="1"/>
  <c r="DE127" i="1"/>
  <c r="DE128" i="1"/>
  <c r="DE60" i="1"/>
  <c r="DE61" i="1"/>
  <c r="DE79" i="1"/>
  <c r="DE80" i="1"/>
  <c r="DE48" i="1"/>
  <c r="DE49" i="1"/>
  <c r="DE51" i="1"/>
  <c r="DE52" i="1"/>
  <c r="DE53" i="1"/>
  <c r="DE144" i="1"/>
  <c r="DE145" i="1"/>
  <c r="DE99" i="1"/>
  <c r="DE100" i="1"/>
  <c r="DE101" i="1"/>
  <c r="DE84" i="1"/>
  <c r="DE85" i="1"/>
  <c r="DE59" i="1"/>
  <c r="DE57" i="1"/>
  <c r="DE19" i="1"/>
  <c r="DE20" i="1"/>
  <c r="DE183" i="1"/>
  <c r="DE184" i="1"/>
  <c r="DE185" i="1"/>
  <c r="DE151" i="1"/>
  <c r="DE152" i="1"/>
  <c r="DE147" i="1"/>
  <c r="DE148" i="1"/>
  <c r="DE149" i="1"/>
  <c r="DE155" i="1"/>
  <c r="DE153" i="1"/>
  <c r="DE111" i="1"/>
  <c r="DE112" i="1"/>
  <c r="DE113" i="1"/>
  <c r="DE108" i="1"/>
  <c r="DE109" i="1"/>
  <c r="DE95" i="1"/>
  <c r="DE93" i="1"/>
  <c r="DE27" i="1"/>
  <c r="DE31" i="1"/>
  <c r="DE28" i="1"/>
  <c r="DE32" i="1"/>
  <c r="DE29" i="1"/>
  <c r="DE168" i="1"/>
  <c r="DE169" i="1"/>
  <c r="DE156" i="1"/>
  <c r="DE157" i="1"/>
  <c r="DE159" i="1"/>
  <c r="DE160" i="1"/>
  <c r="DE161" i="1"/>
  <c r="DE123" i="1"/>
  <c r="DE124" i="1"/>
  <c r="DE125" i="1"/>
  <c r="DE119" i="1"/>
  <c r="DE117" i="1"/>
  <c r="DE120" i="1"/>
  <c r="DE121" i="1"/>
  <c r="DE83" i="1"/>
  <c r="DE81" i="1"/>
  <c r="DE87" i="1"/>
  <c r="DE88" i="1"/>
  <c r="DE89" i="1"/>
  <c r="DE103" i="1"/>
  <c r="DE104" i="1"/>
  <c r="DE72" i="1"/>
  <c r="DE73" i="1"/>
  <c r="DE47" i="1"/>
  <c r="DE45" i="1"/>
  <c r="DE43" i="1"/>
  <c r="DE44" i="1"/>
  <c r="DE36" i="1"/>
  <c r="DE37" i="1"/>
  <c r="DE15" i="1"/>
  <c r="DE16" i="1"/>
  <c r="DE17" i="1"/>
  <c r="DE7" i="1"/>
  <c r="DE8" i="1"/>
  <c r="CV40" i="1"/>
  <c r="CV41" i="1"/>
  <c r="CV63" i="1"/>
  <c r="CV64" i="1"/>
  <c r="CS80" i="1"/>
  <c r="CV70" i="1"/>
  <c r="DE178" i="1"/>
  <c r="DE162" i="1"/>
  <c r="DE146" i="1"/>
  <c r="DE130" i="1"/>
  <c r="DE114" i="1"/>
  <c r="DE98" i="1"/>
  <c r="DE82" i="1"/>
  <c r="DE66" i="1"/>
  <c r="DE50" i="1"/>
  <c r="DE34" i="1"/>
  <c r="DE18" i="1"/>
  <c r="CS75" i="1"/>
  <c r="CS90" i="1"/>
  <c r="CS66" i="1"/>
  <c r="CS30" i="1"/>
  <c r="CS18" i="1"/>
  <c r="CS124" i="1"/>
  <c r="AD26" i="12" l="1"/>
  <c r="AF26" i="12" s="1"/>
  <c r="AG26" i="12" s="1"/>
  <c r="AE26" i="12"/>
  <c r="CM93" i="1" s="1"/>
  <c r="AD28" i="12"/>
  <c r="AF28" i="12" s="1"/>
  <c r="AG28" i="12" s="1"/>
  <c r="AC28" i="12"/>
  <c r="AE25" i="12"/>
  <c r="CM92" i="1" s="1"/>
  <c r="AC25" i="12"/>
  <c r="AD25" i="12"/>
  <c r="AF25" i="12" s="1"/>
  <c r="AG25" i="12" s="1"/>
  <c r="D19" i="13"/>
  <c r="AC26" i="12"/>
  <c r="D12" i="13"/>
  <c r="D17" i="13"/>
  <c r="AC29" i="12"/>
  <c r="AD29" i="12"/>
  <c r="AF29" i="12" s="1"/>
  <c r="AG29" i="12" s="1"/>
  <c r="AE29" i="12"/>
  <c r="CM96" i="1" s="1"/>
  <c r="K16" i="13"/>
  <c r="K15" i="13"/>
  <c r="J23" i="13"/>
  <c r="I24" i="13"/>
  <c r="I25" i="13" s="1"/>
  <c r="I26" i="13" s="1"/>
  <c r="CN93" i="1" l="1" a="1"/>
  <c r="CN93" i="1" s="1"/>
  <c r="AI26" i="12" s="1"/>
  <c r="CN96" i="1" a="1"/>
  <c r="CN96" i="1" s="1"/>
  <c r="AI29" i="12" s="1"/>
  <c r="CN95" i="1" a="1"/>
  <c r="CN95" i="1" s="1"/>
  <c r="AI28" i="12" s="1"/>
  <c r="CN92" i="1" a="1"/>
  <c r="CN92" i="1" s="1"/>
  <c r="AI25" i="12" s="1"/>
  <c r="J24" i="13"/>
  <c r="L30" i="13" s="1"/>
  <c r="L28" i="13" l="1"/>
  <c r="K63" i="13" l="1"/>
  <c r="O60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toton</author>
  </authors>
  <commentList>
    <comment ref="L9" authorId="0" shapeId="0" xr:uid="{DE63274B-FE85-430C-9136-FC3000D2B826}">
      <text>
        <r>
          <rPr>
            <sz val="9"/>
            <color indexed="81"/>
            <rFont val="Tahoma"/>
            <family val="2"/>
          </rPr>
          <t>Select the design philosophy.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<sst xmlns="http://schemas.openxmlformats.org/spreadsheetml/2006/main" count="66336" uniqueCount="2064">
  <si>
    <t>W</t>
  </si>
  <si>
    <t>d</t>
  </si>
  <si>
    <t>h</t>
  </si>
  <si>
    <t>x</t>
  </si>
  <si>
    <t>F</t>
  </si>
  <si>
    <t>–</t>
  </si>
  <si>
    <t>T</t>
  </si>
  <si>
    <t>L</t>
  </si>
  <si>
    <t>L12X12X1-3/8</t>
  </si>
  <si>
    <t>L12X12X1-1/4</t>
  </si>
  <si>
    <t>L12X12X1-1/8</t>
  </si>
  <si>
    <t>L12X12X1</t>
  </si>
  <si>
    <t>L10X10X1-3/8</t>
  </si>
  <si>
    <t>L10X10X1-1/4</t>
  </si>
  <si>
    <t>L10X10X1-1/8</t>
  </si>
  <si>
    <t>L10X10X1</t>
  </si>
  <si>
    <t>L10X10X7/8</t>
  </si>
  <si>
    <t>L10X10X3/4</t>
  </si>
  <si>
    <t>L8X8X1-1/8</t>
  </si>
  <si>
    <t>L8X8X1</t>
  </si>
  <si>
    <t>L8X8X7/8</t>
  </si>
  <si>
    <t>L8X8X3/4</t>
  </si>
  <si>
    <t>L8X8X5/8</t>
  </si>
  <si>
    <t>L8X8X9/16</t>
  </si>
  <si>
    <t>L8X8X1/2</t>
  </si>
  <si>
    <t>L8X6X1</t>
  </si>
  <si>
    <t>L8X6X7/8</t>
  </si>
  <si>
    <t>L8X6X3/4</t>
  </si>
  <si>
    <t>L8X6X5/8</t>
  </si>
  <si>
    <t>L8X6X9/16</t>
  </si>
  <si>
    <t>L8X6X1/2</t>
  </si>
  <si>
    <t>L8X6X7/16</t>
  </si>
  <si>
    <t>L8X4X1</t>
  </si>
  <si>
    <t>L8X4X7/8</t>
  </si>
  <si>
    <t>L8X4X3/4</t>
  </si>
  <si>
    <t>L8X4X5/8</t>
  </si>
  <si>
    <t>L8X4X9/16</t>
  </si>
  <si>
    <t>L8X4X1/2</t>
  </si>
  <si>
    <t>L8X4X7/16</t>
  </si>
  <si>
    <t>L7X4X3/4</t>
  </si>
  <si>
    <t>L7X4X5/8</t>
  </si>
  <si>
    <t>L7X4X1/2</t>
  </si>
  <si>
    <t>L7X4X7/16</t>
  </si>
  <si>
    <t>L7X4X3/8</t>
  </si>
  <si>
    <t>L6X6X1</t>
  </si>
  <si>
    <t>L6X6X7/8</t>
  </si>
  <si>
    <t>L6X6X3/4</t>
  </si>
  <si>
    <t>L6X6X5/8</t>
  </si>
  <si>
    <t>L6X6X9/16</t>
  </si>
  <si>
    <t>L6X6X1/2</t>
  </si>
  <si>
    <t>L6X6X7/16</t>
  </si>
  <si>
    <t>L6X6X3/8</t>
  </si>
  <si>
    <t>L6X6X5/16</t>
  </si>
  <si>
    <t>L6X4X7/8</t>
  </si>
  <si>
    <t>L6X4X3/4</t>
  </si>
  <si>
    <t>L6X4X5/8</t>
  </si>
  <si>
    <t>L6X4X9/16</t>
  </si>
  <si>
    <t>L6X4X1/2</t>
  </si>
  <si>
    <t>L6X4X7/16</t>
  </si>
  <si>
    <t>L6X4X3/8</t>
  </si>
  <si>
    <t>L6X4X5/16</t>
  </si>
  <si>
    <t>L6X3-1/2X1/2</t>
  </si>
  <si>
    <t>L6X3-1/2X3/8</t>
  </si>
  <si>
    <t>L6X3-1/2X5/16</t>
  </si>
  <si>
    <t>L5X5X7/8</t>
  </si>
  <si>
    <t>L5X5X3/4</t>
  </si>
  <si>
    <t>L5X5X5/8</t>
  </si>
  <si>
    <t>L5X5X1/2</t>
  </si>
  <si>
    <t>L5X5X7/16</t>
  </si>
  <si>
    <t>L5X5X3/8</t>
  </si>
  <si>
    <t>L5X5X5/16</t>
  </si>
  <si>
    <t>L5X3-1/2X3/4</t>
  </si>
  <si>
    <t>L5X3-1/2X5/8</t>
  </si>
  <si>
    <t>L5X3-1/2X1/2</t>
  </si>
  <si>
    <t>L5X3-1/2X3/8</t>
  </si>
  <si>
    <t>L5X3-1/2X5/16</t>
  </si>
  <si>
    <t>L5X3-1/2X1/4</t>
  </si>
  <si>
    <t>L5X3X1/2</t>
  </si>
  <si>
    <t>L5X3X7/16</t>
  </si>
  <si>
    <t>L5X3X3/8</t>
  </si>
  <si>
    <t>L5X3X5/16</t>
  </si>
  <si>
    <t>L5X3X1/4</t>
  </si>
  <si>
    <t>L4X4X3/4</t>
  </si>
  <si>
    <t>L4X4X5/8</t>
  </si>
  <si>
    <t>L4X4X1/2</t>
  </si>
  <si>
    <t>L4X4X7/16</t>
  </si>
  <si>
    <t>L4X4X3/8</t>
  </si>
  <si>
    <t>L4X4X5/16</t>
  </si>
  <si>
    <t>L4X4X1/4</t>
  </si>
  <si>
    <t>L4X3-1/2X1/2</t>
  </si>
  <si>
    <t>L4X3-1/2X3/8</t>
  </si>
  <si>
    <t>L4X3-1/2X5/16</t>
  </si>
  <si>
    <t>L4X3-1/2X1/4</t>
  </si>
  <si>
    <t>L4X3X5/8</t>
  </si>
  <si>
    <t>L4X3X1/2</t>
  </si>
  <si>
    <t>L4X3X3/8</t>
  </si>
  <si>
    <t>L4X3X5/16</t>
  </si>
  <si>
    <t>L4X3X1/4</t>
  </si>
  <si>
    <t>L3-1/2X3-1/2X1/2</t>
  </si>
  <si>
    <t>L3-1/2X3-1/2X7/16</t>
  </si>
  <si>
    <t>L3-1/2X3-1/2X3/8</t>
  </si>
  <si>
    <t>L3-1/2X3-1/2X5/16</t>
  </si>
  <si>
    <t>L3-1/2X3-1/2X1/4</t>
  </si>
  <si>
    <t>L3-1/2X3X1/2</t>
  </si>
  <si>
    <t>L3-1/2X3X7/16</t>
  </si>
  <si>
    <t>L3-1/2X3X3/8</t>
  </si>
  <si>
    <t>L3-1/2X3X5/16</t>
  </si>
  <si>
    <t>L3-1/2X3X1/4</t>
  </si>
  <si>
    <t>L3-1/2X2-1/2X1/2</t>
  </si>
  <si>
    <t>L3-1/2X2-1/2X3/8</t>
  </si>
  <si>
    <t>L3-1/2X2-1/2X5/16</t>
  </si>
  <si>
    <t>L3-1/2X2-1/2X1/4</t>
  </si>
  <si>
    <t>L3X3X1/2</t>
  </si>
  <si>
    <t>L3X3X7/16</t>
  </si>
  <si>
    <t>L3X3X3/8</t>
  </si>
  <si>
    <t>L3X3X5/16</t>
  </si>
  <si>
    <t>L3X3X1/4</t>
  </si>
  <si>
    <t>L3X3X3/16</t>
  </si>
  <si>
    <t>L3X2-1/2X1/2</t>
  </si>
  <si>
    <t>L3X2-1/2X7/16</t>
  </si>
  <si>
    <t>L3X2-1/2X3/8</t>
  </si>
  <si>
    <t>L3X2-1/2X5/16</t>
  </si>
  <si>
    <t>L3X2-1/2X1/4</t>
  </si>
  <si>
    <t>L3X2-1/2X3/16</t>
  </si>
  <si>
    <t>L3X2X1/2</t>
  </si>
  <si>
    <t>L3X2X3/8</t>
  </si>
  <si>
    <t>L3X2X5/16</t>
  </si>
  <si>
    <t>L3X2X1/4</t>
  </si>
  <si>
    <t>L3X2X3/16</t>
  </si>
  <si>
    <t>L2-1/2X2-1/2X1/2</t>
  </si>
  <si>
    <t>L2-1/2X2-1/2X3/8</t>
  </si>
  <si>
    <t>L2-1/2X2-1/2X5/16</t>
  </si>
  <si>
    <t>L2-1/2X2-1/2X1/4</t>
  </si>
  <si>
    <t>L2-1/2X2-1/2X3/16</t>
  </si>
  <si>
    <t>L2-1/2X2X3/8</t>
  </si>
  <si>
    <t>L2-1/2X2X5/16</t>
  </si>
  <si>
    <t>L2-1/2X2X1/4</t>
  </si>
  <si>
    <t>L2-1/2X2X3/16</t>
  </si>
  <si>
    <t>L2-1/2X1-1/2X1/4</t>
  </si>
  <si>
    <t>L2-1/2X1-1/2X3/16</t>
  </si>
  <si>
    <t>L2X2X3/8</t>
  </si>
  <si>
    <t>L2X2X5/16</t>
  </si>
  <si>
    <t>L2X2X1/4</t>
  </si>
  <si>
    <t>L2X2X3/16</t>
  </si>
  <si>
    <t>L2X2X1/8</t>
  </si>
  <si>
    <t>WT</t>
  </si>
  <si>
    <t>WT22X167.5</t>
  </si>
  <si>
    <t>WT22X145</t>
  </si>
  <si>
    <t>WT22X131</t>
  </si>
  <si>
    <t>WT22X115</t>
  </si>
  <si>
    <t>WT20X327.5</t>
  </si>
  <si>
    <t>WT20X296.5</t>
  </si>
  <si>
    <t>WT20X251.5</t>
  </si>
  <si>
    <t>WT20X215.5</t>
  </si>
  <si>
    <t>WT20X198.5</t>
  </si>
  <si>
    <t>WT20X186</t>
  </si>
  <si>
    <t>WT20X181</t>
  </si>
  <si>
    <t>WT20X162</t>
  </si>
  <si>
    <t>WT20X148.5</t>
  </si>
  <si>
    <t>WT20X138.5</t>
  </si>
  <si>
    <t>WT20X124.5</t>
  </si>
  <si>
    <t>WT20X107.5</t>
  </si>
  <si>
    <t>WT20X99.5</t>
  </si>
  <si>
    <t>WT20X196</t>
  </si>
  <si>
    <t>WT20X165.5</t>
  </si>
  <si>
    <t>WT20X163.5</t>
  </si>
  <si>
    <t>WT20X147</t>
  </si>
  <si>
    <t>WT20X139</t>
  </si>
  <si>
    <t>WT20X132</t>
  </si>
  <si>
    <t>WT20X117.5</t>
  </si>
  <si>
    <t>WT20X105.5</t>
  </si>
  <si>
    <t>WT20X91.5</t>
  </si>
  <si>
    <t>WT20X83.5</t>
  </si>
  <si>
    <t>WT20X74.5</t>
  </si>
  <si>
    <t>WT18X462.5</t>
  </si>
  <si>
    <t>WT18X426.5</t>
  </si>
  <si>
    <t>WT18X401</t>
  </si>
  <si>
    <t>WT18X361.5</t>
  </si>
  <si>
    <t>WT18X326</t>
  </si>
  <si>
    <t>WT18X264.5</t>
  </si>
  <si>
    <t>WT18X243.5</t>
  </si>
  <si>
    <t>WT18X220.5</t>
  </si>
  <si>
    <t>WT18X197.5</t>
  </si>
  <si>
    <t>WT18X180.5</t>
  </si>
  <si>
    <t>WT18X165</t>
  </si>
  <si>
    <t>WT18X151</t>
  </si>
  <si>
    <t>WT18X141</t>
  </si>
  <si>
    <t>WT18X131</t>
  </si>
  <si>
    <t>WT18X123.5</t>
  </si>
  <si>
    <t>WT18X115.5</t>
  </si>
  <si>
    <t>WT18X128</t>
  </si>
  <si>
    <t>WT18X116</t>
  </si>
  <si>
    <t>WT18X105</t>
  </si>
  <si>
    <t>WT18X97</t>
  </si>
  <si>
    <t>WT18X91</t>
  </si>
  <si>
    <t>WT18X85</t>
  </si>
  <si>
    <t>WT18X80</t>
  </si>
  <si>
    <t>WT18X75</t>
  </si>
  <si>
    <t>WT18X67.5</t>
  </si>
  <si>
    <t>WT16.5X193.5</t>
  </si>
  <si>
    <t>WT16.5X177</t>
  </si>
  <si>
    <t>WT16.5X159</t>
  </si>
  <si>
    <t>WT16.5X145.5</t>
  </si>
  <si>
    <t>WT16.5X131.5</t>
  </si>
  <si>
    <t>WT16.5X120.5</t>
  </si>
  <si>
    <t>WT16.5X110.5</t>
  </si>
  <si>
    <t>WT16.5X100.5</t>
  </si>
  <si>
    <t>WT16.5X84.5</t>
  </si>
  <si>
    <t>WT16.5X76</t>
  </si>
  <si>
    <t>WT16.5X70.5</t>
  </si>
  <si>
    <t>WT16.5X65</t>
  </si>
  <si>
    <t>WT16.5X59</t>
  </si>
  <si>
    <t>WT15X195.5</t>
  </si>
  <si>
    <t>WT15X178.5</t>
  </si>
  <si>
    <t>WT15X163</t>
  </si>
  <si>
    <t>WT15X146</t>
  </si>
  <si>
    <t>WT15X130.5</t>
  </si>
  <si>
    <t>WT15X117.5</t>
  </si>
  <si>
    <t>WT15X105.5</t>
  </si>
  <si>
    <t>WT15X95.5</t>
  </si>
  <si>
    <t>WT15X86.5</t>
  </si>
  <si>
    <t>WT15X74</t>
  </si>
  <si>
    <t>WT15X66</t>
  </si>
  <si>
    <t>WT15X62</t>
  </si>
  <si>
    <t>WT15X58</t>
  </si>
  <si>
    <t>WT15X54</t>
  </si>
  <si>
    <t>WT15X49.5</t>
  </si>
  <si>
    <t>WT15X45</t>
  </si>
  <si>
    <t>WT13.5X269.5</t>
  </si>
  <si>
    <t>WT13.5X184</t>
  </si>
  <si>
    <t>WT13.5X168</t>
  </si>
  <si>
    <t>WT13.5X153.5</t>
  </si>
  <si>
    <t>WT13.5X140.5</t>
  </si>
  <si>
    <t>WT13.5X129</t>
  </si>
  <si>
    <t>WT13.5X117.5</t>
  </si>
  <si>
    <t>WT13.5X108.5</t>
  </si>
  <si>
    <t>WT13.5X97</t>
  </si>
  <si>
    <t>WT13.5X89</t>
  </si>
  <si>
    <t>WT13.5X80.5</t>
  </si>
  <si>
    <t>WT13.5X73</t>
  </si>
  <si>
    <t>WT13.5X64.5</t>
  </si>
  <si>
    <t>WT13.5X57</t>
  </si>
  <si>
    <t>WT13.5X51</t>
  </si>
  <si>
    <t>WT13.5X47</t>
  </si>
  <si>
    <t>WT13.5X42</t>
  </si>
  <si>
    <t>WT12X185</t>
  </si>
  <si>
    <t>WT12X167.5</t>
  </si>
  <si>
    <t>WT12X153</t>
  </si>
  <si>
    <t>WT12X139.5</t>
  </si>
  <si>
    <t>WT12X125</t>
  </si>
  <si>
    <t>WT12X114.5</t>
  </si>
  <si>
    <t>WT12X103.5</t>
  </si>
  <si>
    <t>WT12X96</t>
  </si>
  <si>
    <t>WT12X88</t>
  </si>
  <si>
    <t>WT12X81</t>
  </si>
  <si>
    <t>WT12X73</t>
  </si>
  <si>
    <t>WT12X65.5</t>
  </si>
  <si>
    <t>WT12X58.5</t>
  </si>
  <si>
    <t>WT12X52</t>
  </si>
  <si>
    <t>WT12X51.5</t>
  </si>
  <si>
    <t>WT12X47</t>
  </si>
  <si>
    <t>WT12X42</t>
  </si>
  <si>
    <t>WT12X38</t>
  </si>
  <si>
    <t>WT12X34</t>
  </si>
  <si>
    <t>WT12X31</t>
  </si>
  <si>
    <t>WT12X27.5</t>
  </si>
  <si>
    <t>WT10.5X137.5</t>
  </si>
  <si>
    <t>WT10.5X124</t>
  </si>
  <si>
    <t>WT10.5X111.5</t>
  </si>
  <si>
    <t>WT10.5X100.5</t>
  </si>
  <si>
    <t>WT10.5X91</t>
  </si>
  <si>
    <t>WT10.5X83</t>
  </si>
  <si>
    <t>WT10.5X73.5</t>
  </si>
  <si>
    <t>WT10.5X66</t>
  </si>
  <si>
    <t>WT10.5X61</t>
  </si>
  <si>
    <t>WT10.5X55.5</t>
  </si>
  <si>
    <t>WT10.5X50.5</t>
  </si>
  <si>
    <t>WT10.5X46.5</t>
  </si>
  <si>
    <t>WT10.5X41.5</t>
  </si>
  <si>
    <t>WT10.5X36.5</t>
  </si>
  <si>
    <t>WT10.5X34</t>
  </si>
  <si>
    <t>WT10.5X31</t>
  </si>
  <si>
    <t>WT10.5X27.5</t>
  </si>
  <si>
    <t>WT10.5X24</t>
  </si>
  <si>
    <t>WT10.5X28.5</t>
  </si>
  <si>
    <t>WT10.5X25</t>
  </si>
  <si>
    <t>WT10.5X22</t>
  </si>
  <si>
    <t>WT9X155.5</t>
  </si>
  <si>
    <t>WT9X141.5</t>
  </si>
  <si>
    <t>WT9X129</t>
  </si>
  <si>
    <t>WT9X117</t>
  </si>
  <si>
    <t>WT9X105.5</t>
  </si>
  <si>
    <t>WT9X96</t>
  </si>
  <si>
    <t>WT9X87.5</t>
  </si>
  <si>
    <t>WT9X79</t>
  </si>
  <si>
    <t>WT9X71.5</t>
  </si>
  <si>
    <t>WT9X65</t>
  </si>
  <si>
    <t>WT9X59.5</t>
  </si>
  <si>
    <t>WT9X53</t>
  </si>
  <si>
    <t>WT9X48.5</t>
  </si>
  <si>
    <t>WT9X43</t>
  </si>
  <si>
    <t>WT9X38</t>
  </si>
  <si>
    <t>WT9X35.5</t>
  </si>
  <si>
    <t>WT9X32.5</t>
  </si>
  <si>
    <t>WT9X30</t>
  </si>
  <si>
    <t>WT9X27.5</t>
  </si>
  <si>
    <t>WT9X25</t>
  </si>
  <si>
    <t>WT9X23</t>
  </si>
  <si>
    <t>WT9X20</t>
  </si>
  <si>
    <t>WT9X17.5</t>
  </si>
  <si>
    <t>WT8X50</t>
  </si>
  <si>
    <t>WT8X44.5</t>
  </si>
  <si>
    <t>WT8X38.5</t>
  </si>
  <si>
    <t>WT8X33.5</t>
  </si>
  <si>
    <t>WT8X28.5</t>
  </si>
  <si>
    <t>WT8X25</t>
  </si>
  <si>
    <t>WT8X22.5</t>
  </si>
  <si>
    <t>WT8X20</t>
  </si>
  <si>
    <t>WT8X18</t>
  </si>
  <si>
    <t>WT8X15.5</t>
  </si>
  <si>
    <t>WT8X13</t>
  </si>
  <si>
    <t>WT7X436.5</t>
  </si>
  <si>
    <t>WT7X404</t>
  </si>
  <si>
    <t>WT7X365</t>
  </si>
  <si>
    <t>WT7X332.5</t>
  </si>
  <si>
    <t>WT7X302.5</t>
  </si>
  <si>
    <t>WT7X275</t>
  </si>
  <si>
    <t>WT7X250</t>
  </si>
  <si>
    <t>WT7X227.5</t>
  </si>
  <si>
    <t>WT7X213</t>
  </si>
  <si>
    <t>WT7X199</t>
  </si>
  <si>
    <t>WT7X185</t>
  </si>
  <si>
    <t>WT7X171</t>
  </si>
  <si>
    <t>WT7X155.5</t>
  </si>
  <si>
    <t>WT7X141.5</t>
  </si>
  <si>
    <t>WT7X128.5</t>
  </si>
  <si>
    <t>WT7X116.5</t>
  </si>
  <si>
    <t>WT7X105.5</t>
  </si>
  <si>
    <t>WT7X96.5</t>
  </si>
  <si>
    <t>WT7X88</t>
  </si>
  <si>
    <t>WT7X79.5</t>
  </si>
  <si>
    <t>WT7X72.5</t>
  </si>
  <si>
    <t>WT7X66</t>
  </si>
  <si>
    <t>WT7X60</t>
  </si>
  <si>
    <t>WT7X54.5</t>
  </si>
  <si>
    <t>WT7X49.5</t>
  </si>
  <si>
    <t>WT7X45</t>
  </si>
  <si>
    <t>WT7X41</t>
  </si>
  <si>
    <t>WT7X37</t>
  </si>
  <si>
    <t>WT7X34</t>
  </si>
  <si>
    <t>WT7X30.5</t>
  </si>
  <si>
    <t>WT7X26.5</t>
  </si>
  <si>
    <t>WT7X24</t>
  </si>
  <si>
    <t>WT7X21.5</t>
  </si>
  <si>
    <t>WT7X19</t>
  </si>
  <si>
    <t>WT7X17</t>
  </si>
  <si>
    <t>WT7X15</t>
  </si>
  <si>
    <t>WT7X13</t>
  </si>
  <si>
    <t>WT7X11</t>
  </si>
  <si>
    <t>WT6X168</t>
  </si>
  <si>
    <t>WT6X152.5</t>
  </si>
  <si>
    <t>WT6X139.5</t>
  </si>
  <si>
    <t>WT6X126</t>
  </si>
  <si>
    <t>WT6X115</t>
  </si>
  <si>
    <t>WT6X105</t>
  </si>
  <si>
    <t>WT6X95</t>
  </si>
  <si>
    <t>WT6X85</t>
  </si>
  <si>
    <t>WT6X76</t>
  </si>
  <si>
    <t>WT6X68</t>
  </si>
  <si>
    <t>WT6X60</t>
  </si>
  <si>
    <t>WT6X53</t>
  </si>
  <si>
    <t>WT6X48</t>
  </si>
  <si>
    <t>WT6X43.5</t>
  </si>
  <si>
    <t>WT6X39.5</t>
  </si>
  <si>
    <t>WT6X36</t>
  </si>
  <si>
    <t>WT6X32.5</t>
  </si>
  <si>
    <t>WT6X29</t>
  </si>
  <si>
    <t>WT6X26.5</t>
  </si>
  <si>
    <t>WT6X25</t>
  </si>
  <si>
    <t>WT6X22.5</t>
  </si>
  <si>
    <t>WT6X20</t>
  </si>
  <si>
    <t>WT6X17.5</t>
  </si>
  <si>
    <t>WT6X15</t>
  </si>
  <si>
    <t>WT6X13</t>
  </si>
  <si>
    <t>WT6X11</t>
  </si>
  <si>
    <t>WT6X9.5</t>
  </si>
  <si>
    <t>WT6X8</t>
  </si>
  <si>
    <t>WT6X7</t>
  </si>
  <si>
    <t>WT5X56</t>
  </si>
  <si>
    <t>WT5X50</t>
  </si>
  <si>
    <t>WT5X44</t>
  </si>
  <si>
    <t>WT5X38.5</t>
  </si>
  <si>
    <t>WT5X34</t>
  </si>
  <si>
    <t>WT5X30</t>
  </si>
  <si>
    <t>WT5X27</t>
  </si>
  <si>
    <t>WT5X24.5</t>
  </si>
  <si>
    <t>WT5X22.5</t>
  </si>
  <si>
    <t>WT5X19.5</t>
  </si>
  <si>
    <t>WT5X16.5</t>
  </si>
  <si>
    <t>WT5X15</t>
  </si>
  <si>
    <t>WT5X13</t>
  </si>
  <si>
    <t>WT5X11</t>
  </si>
  <si>
    <t>WT5X9.5</t>
  </si>
  <si>
    <t>WT5X8.5</t>
  </si>
  <si>
    <t>WT5X7.5</t>
  </si>
  <si>
    <t>WT5X6</t>
  </si>
  <si>
    <t>WT4X33.5</t>
  </si>
  <si>
    <t>WT4X29</t>
  </si>
  <si>
    <t>WT4X24</t>
  </si>
  <si>
    <t>WT4X20</t>
  </si>
  <si>
    <t>WT4X17.5</t>
  </si>
  <si>
    <t>WT4X15.5</t>
  </si>
  <si>
    <t>WT4X14</t>
  </si>
  <si>
    <t>WT4X12</t>
  </si>
  <si>
    <t>WT4X10.5</t>
  </si>
  <si>
    <t>WT4X9</t>
  </si>
  <si>
    <t>WT4X7.5</t>
  </si>
  <si>
    <t>WT4X6.5</t>
  </si>
  <si>
    <t>WT4X5</t>
  </si>
  <si>
    <t>WT3X12.5</t>
  </si>
  <si>
    <t>WT3X10</t>
  </si>
  <si>
    <t>WT3X7.5</t>
  </si>
  <si>
    <t>WT3X8</t>
  </si>
  <si>
    <t>WT3X6</t>
  </si>
  <si>
    <t>WT3X4.5</t>
  </si>
  <si>
    <t>WT3X4.25</t>
  </si>
  <si>
    <t>WT2.5X9.5</t>
  </si>
  <si>
    <t>WT2.5X8</t>
  </si>
  <si>
    <t>WT2X6.5</t>
  </si>
  <si>
    <t>MT</t>
  </si>
  <si>
    <t>MT6.25X6.2</t>
  </si>
  <si>
    <t>MT6.25X5.8</t>
  </si>
  <si>
    <t>MT6X5.9</t>
  </si>
  <si>
    <t>MT6X5.4</t>
  </si>
  <si>
    <t>MT6X5</t>
  </si>
  <si>
    <t>MT5X4.5</t>
  </si>
  <si>
    <t>MT5X4</t>
  </si>
  <si>
    <t>MT5X3.75</t>
  </si>
  <si>
    <t>MT4X3.25</t>
  </si>
  <si>
    <t>MT4X3.1</t>
  </si>
  <si>
    <t>MT3X2.2</t>
  </si>
  <si>
    <t>MT3X1.85</t>
  </si>
  <si>
    <t>MT2.5X9.45</t>
  </si>
  <si>
    <t>MT2X3</t>
  </si>
  <si>
    <t>ST</t>
  </si>
  <si>
    <t>ST12X60.5</t>
  </si>
  <si>
    <t>ST12X53</t>
  </si>
  <si>
    <t>ST12X50</t>
  </si>
  <si>
    <t>ST12X45</t>
  </si>
  <si>
    <t>ST12X40</t>
  </si>
  <si>
    <t>ST10X48</t>
  </si>
  <si>
    <t>ST10X43</t>
  </si>
  <si>
    <t>ST10X37.5</t>
  </si>
  <si>
    <t>ST10X33</t>
  </si>
  <si>
    <t>ST9X35</t>
  </si>
  <si>
    <t>ST9X27.35</t>
  </si>
  <si>
    <t>ST7.5X25</t>
  </si>
  <si>
    <t>ST7.5X21.45</t>
  </si>
  <si>
    <t>ST6X25</t>
  </si>
  <si>
    <t>ST6X20.4</t>
  </si>
  <si>
    <t>ST6X17.5</t>
  </si>
  <si>
    <t>ST6X15.9</t>
  </si>
  <si>
    <t>ST5X17.5</t>
  </si>
  <si>
    <t>ST5X12.7</t>
  </si>
  <si>
    <t>ST4X11.5</t>
  </si>
  <si>
    <t>ST4X9.2</t>
  </si>
  <si>
    <t>ST3X8.6</t>
  </si>
  <si>
    <t>ST3X6.25</t>
  </si>
  <si>
    <t>ST2.5X5</t>
  </si>
  <si>
    <t>ST2X4.75</t>
  </si>
  <si>
    <t>ST2X3.85</t>
  </si>
  <si>
    <t>ST1.5X3.75</t>
  </si>
  <si>
    <t>ST1.5X2.85</t>
  </si>
  <si>
    <t>2L</t>
  </si>
  <si>
    <t xml:space="preserve">Type </t>
  </si>
  <si>
    <t>EDI STD Nomenclature</t>
  </si>
  <si>
    <t>AISC Manual Label</t>
  </si>
  <si>
    <t xml:space="preserve">Boolean Vaiable </t>
  </si>
  <si>
    <t>Wt. (lb/ft)</t>
  </si>
  <si>
    <t>Ag</t>
  </si>
  <si>
    <t>thickness</t>
  </si>
  <si>
    <t>Net Area</t>
  </si>
  <si>
    <t>Carbon</t>
  </si>
  <si>
    <t>A36</t>
  </si>
  <si>
    <t>-</t>
  </si>
  <si>
    <t>Gr. B</t>
  </si>
  <si>
    <t>A500 Gr. B-42</t>
  </si>
  <si>
    <t>A500 Gr. B-46</t>
  </si>
  <si>
    <t>A500 Gr. C-46</t>
  </si>
  <si>
    <t>Gr. C</t>
  </si>
  <si>
    <t>A500 Gr. C-50</t>
  </si>
  <si>
    <t>A501 Gr. A-36</t>
  </si>
  <si>
    <t>Gr. A</t>
  </si>
  <si>
    <t>A501 Gr. B-50</t>
  </si>
  <si>
    <t>A529 Gr. 50</t>
  </si>
  <si>
    <t>Grade 50</t>
  </si>
  <si>
    <t>A529 Gr. 55</t>
  </si>
  <si>
    <t>Grade 55</t>
  </si>
  <si>
    <t>A709</t>
  </si>
  <si>
    <t>A1043 Gr. 36</t>
  </si>
  <si>
    <t>A1043 Gr. 50</t>
  </si>
  <si>
    <t>A1085</t>
  </si>
  <si>
    <t>Corrosion Resistant High-Strength Low-Alloy</t>
  </si>
  <si>
    <t>A572 Gr. 42</t>
  </si>
  <si>
    <t>Grade 42</t>
  </si>
  <si>
    <t>A572 Gr. 50</t>
  </si>
  <si>
    <t>A572 Gr. 55</t>
  </si>
  <si>
    <t>A572 Gr. 60</t>
  </si>
  <si>
    <t>Grade 60</t>
  </si>
  <si>
    <t>A572 Gr. 65</t>
  </si>
  <si>
    <t>Grade 65</t>
  </si>
  <si>
    <t>A618 Gr. Ia, Ib, &amp; II</t>
  </si>
  <si>
    <t>Gr. Ia, Ib, &amp; III</t>
  </si>
  <si>
    <t>A618 Gr. III</t>
  </si>
  <si>
    <t>Gr. III</t>
  </si>
  <si>
    <t>A709 Gr. 50</t>
  </si>
  <si>
    <t>A709 Gr. 50S</t>
  </si>
  <si>
    <t>50S</t>
  </si>
  <si>
    <t>A709 Gr. 50W</t>
  </si>
  <si>
    <t>50W</t>
  </si>
  <si>
    <t>A913 Gr. 50</t>
  </si>
  <si>
    <t>A913 Gr. 60</t>
  </si>
  <si>
    <t>A913 Gr. 65</t>
  </si>
  <si>
    <t>A913 Gr. 70</t>
  </si>
  <si>
    <t>A992</t>
  </si>
  <si>
    <t>A1065 Gr. 50</t>
  </si>
  <si>
    <t>Gr. 50</t>
  </si>
  <si>
    <t>A588</t>
  </si>
  <si>
    <t>A874</t>
  </si>
  <si>
    <t>A1065 Gr. 50W</t>
  </si>
  <si>
    <t>Gr. 50W</t>
  </si>
  <si>
    <t>ASTM Designation</t>
  </si>
  <si>
    <t>Fy</t>
  </si>
  <si>
    <t>Fu</t>
  </si>
  <si>
    <t xml:space="preserve">Steel Type </t>
  </si>
  <si>
    <t>A53 Gr. B</t>
  </si>
  <si>
    <t>Steel Type</t>
  </si>
  <si>
    <t>Fy, Yield Stress (ksi)</t>
  </si>
  <si>
    <t>Fu, Tensile Stress (ksi)</t>
  </si>
  <si>
    <t>No. of Holes</t>
  </si>
  <si>
    <t>Case 8b</t>
  </si>
  <si>
    <t>Case 8a</t>
  </si>
  <si>
    <t>Case 1</t>
  </si>
  <si>
    <t>Block Shear Investigation Parameters</t>
  </si>
  <si>
    <t>Reduction Factor</t>
  </si>
  <si>
    <t>Single Row</t>
  </si>
  <si>
    <t>Multiple Row</t>
  </si>
  <si>
    <t xml:space="preserve">Type of Connection </t>
  </si>
  <si>
    <t>Shearing Area</t>
  </si>
  <si>
    <t xml:space="preserve">Tension Area </t>
  </si>
  <si>
    <t xml:space="preserve">Gross Area </t>
  </si>
  <si>
    <t>Shear Holes</t>
  </si>
  <si>
    <t>Tension Holes</t>
  </si>
  <si>
    <t>Bock Shear Incidents</t>
  </si>
  <si>
    <t>Length</t>
  </si>
  <si>
    <t>Nominal φ</t>
  </si>
  <si>
    <t>Final φ</t>
  </si>
  <si>
    <t>Diameter (φ)</t>
  </si>
  <si>
    <t>Shearing Incidents</t>
  </si>
  <si>
    <t>Case 2</t>
  </si>
  <si>
    <t>Shear Lag Factor</t>
  </si>
  <si>
    <t xml:space="preserve">Shear Lag </t>
  </si>
  <si>
    <t>Length of Connection</t>
  </si>
  <si>
    <t>Critical Net Area</t>
  </si>
  <si>
    <t>Net Areas</t>
  </si>
  <si>
    <t>2L12X12X1-3/8</t>
  </si>
  <si>
    <t>2L12X12X1-3/8X3/4</t>
  </si>
  <si>
    <t>2L12X12X1-3/8X1-1/2</t>
  </si>
  <si>
    <t>2L12X12X1-1/4</t>
  </si>
  <si>
    <t>2L12X12X1-1/4X3/4</t>
  </si>
  <si>
    <t>2L12X12X1-1/4X1-1/2</t>
  </si>
  <si>
    <t>2L12X12X1-1/8</t>
  </si>
  <si>
    <t>2L12X12X1-1/8X3/4</t>
  </si>
  <si>
    <t>2L12X12X1-1/8X1-1/2</t>
  </si>
  <si>
    <t>2L12X12X1</t>
  </si>
  <si>
    <t>2L12X12X1X3/4</t>
  </si>
  <si>
    <t>2L12X12X1X1-1/2</t>
  </si>
  <si>
    <t>2L10X10X1-3/8</t>
  </si>
  <si>
    <t>2L10X10X1-3/8X3/4</t>
  </si>
  <si>
    <t>2L10X10X1-3/8X1-1/2</t>
  </si>
  <si>
    <t>2L10X10X1-1/4</t>
  </si>
  <si>
    <t>2L10X10X1-1/4X3/4</t>
  </si>
  <si>
    <t>2L10X10X1-1/4X1-1/2</t>
  </si>
  <si>
    <t>2L10X10X1-1/8</t>
  </si>
  <si>
    <t>2L10X10X1-1/8X3/4</t>
  </si>
  <si>
    <t>2L10X10X1-1/8X1-1/2</t>
  </si>
  <si>
    <t>2L10X10X1</t>
  </si>
  <si>
    <t>2L10X10X1X3/4</t>
  </si>
  <si>
    <t>2L10X10X1X1-1/2</t>
  </si>
  <si>
    <t>2L10X10X7/8</t>
  </si>
  <si>
    <t>2L10X10X7/8X3/4</t>
  </si>
  <si>
    <t>2L10X10X7/8X1-1/2</t>
  </si>
  <si>
    <t>2L10X10X3/4</t>
  </si>
  <si>
    <t>2L10X10X3/4X3/4</t>
  </si>
  <si>
    <t>2L10X10X3/4X1-1/2</t>
  </si>
  <si>
    <t>2L8X8X1-1/8</t>
  </si>
  <si>
    <t>2L8X8X1-1/8X3/8</t>
  </si>
  <si>
    <t>2L8X8X1-1/8X3/4</t>
  </si>
  <si>
    <t>2L8X8X1</t>
  </si>
  <si>
    <t>2L8X8X1X3/8</t>
  </si>
  <si>
    <t>2L8X8X1X3/4</t>
  </si>
  <si>
    <t>2L8X8X7/8</t>
  </si>
  <si>
    <t>2L8X8X7/8X3/8</t>
  </si>
  <si>
    <t>2L8X8X7/8X3/4</t>
  </si>
  <si>
    <t>2L8X8X3/4</t>
  </si>
  <si>
    <t>2L8X8X3/4X3/8</t>
  </si>
  <si>
    <t>2L8X8X3/4X3/4</t>
  </si>
  <si>
    <t>2L8X8X5/8</t>
  </si>
  <si>
    <t>2L8X8X5/8X3/8</t>
  </si>
  <si>
    <t>2L8X8X5/8X3/4</t>
  </si>
  <si>
    <t>2L8X8X9/16</t>
  </si>
  <si>
    <t>2L8X8X9/16X3/8</t>
  </si>
  <si>
    <t>2L8X8X9/16X3/4</t>
  </si>
  <si>
    <t>2L8X8X1/2</t>
  </si>
  <si>
    <t>2L8X8X1/2X3/8</t>
  </si>
  <si>
    <t>2L8X8X1/2X3/4</t>
  </si>
  <si>
    <t>2L6X6X1</t>
  </si>
  <si>
    <t>2L6X6X1X3/8</t>
  </si>
  <si>
    <t>2L6X6X1X3/4</t>
  </si>
  <si>
    <t>2L6X6X7/8</t>
  </si>
  <si>
    <t>2L6X6X7/8X3/8</t>
  </si>
  <si>
    <t>2L6X6X7/8X3/4</t>
  </si>
  <si>
    <t>2L6X6X3/4</t>
  </si>
  <si>
    <t>2L6X6X3/4X3/8</t>
  </si>
  <si>
    <t>2L6X6X3/4X3/4</t>
  </si>
  <si>
    <t>2L6X6X5/8</t>
  </si>
  <si>
    <t>2L6X6X5/8X3/8</t>
  </si>
  <si>
    <t>2L6X6X5/8X3/4</t>
  </si>
  <si>
    <t>2L6X6X9/16</t>
  </si>
  <si>
    <t>2L6X6X9/16X3/8</t>
  </si>
  <si>
    <t>2L6X6X9/16X3/4</t>
  </si>
  <si>
    <t>2L6X6X1/2</t>
  </si>
  <si>
    <t>2L6X6X1/2X3/8</t>
  </si>
  <si>
    <t>2L6X6X1/2X3/4</t>
  </si>
  <si>
    <t>2L6X6X7/16</t>
  </si>
  <si>
    <t>2L6X6X7/16X3/8</t>
  </si>
  <si>
    <t>2L6X6X7/16X3/4</t>
  </si>
  <si>
    <t>2L6X6X3/8</t>
  </si>
  <si>
    <t>2L6X6X3/8X3/8</t>
  </si>
  <si>
    <t>2L6X6X3/8X3/4</t>
  </si>
  <si>
    <t>2L6X6X5/16</t>
  </si>
  <si>
    <t>2L6X6X5/16X3/8</t>
  </si>
  <si>
    <t>2L6X6X5/16X3/4</t>
  </si>
  <si>
    <t>2L5X5X7/8</t>
  </si>
  <si>
    <t>2L5X5X7/8X3/8</t>
  </si>
  <si>
    <t>2L5X5X7/8X3/4</t>
  </si>
  <si>
    <t>2L5X5X3/4</t>
  </si>
  <si>
    <t>2L5X5X3/4X3/8</t>
  </si>
  <si>
    <t>2L5X5X3/4X3/4</t>
  </si>
  <si>
    <t>2L5X5X5/8</t>
  </si>
  <si>
    <t>2L5X5X5/8X3/8</t>
  </si>
  <si>
    <t>2L5X5X5/8X3/4</t>
  </si>
  <si>
    <t>2L5X5X1/2</t>
  </si>
  <si>
    <t>2L5X5X1/2X3/8</t>
  </si>
  <si>
    <t>2L5X5X1/2X3/4</t>
  </si>
  <si>
    <t>2L5X5X7/16</t>
  </si>
  <si>
    <t>2L5X5X7/16X3/8</t>
  </si>
  <si>
    <t>2L5X5X7/16X3/4</t>
  </si>
  <si>
    <t>2L5X5X3/8</t>
  </si>
  <si>
    <t>2L5X5X3/8X3/8</t>
  </si>
  <si>
    <t>2L5X5X3/8X3/4</t>
  </si>
  <si>
    <t>2L5X5X5/16</t>
  </si>
  <si>
    <t>2L5X5X5/16X3/8</t>
  </si>
  <si>
    <t>2L5X5X5/16X3/4</t>
  </si>
  <si>
    <t>2L4X4X3/4</t>
  </si>
  <si>
    <t>2L4X4X3/4X3/8</t>
  </si>
  <si>
    <t>2L4X4X3/4X3/4</t>
  </si>
  <si>
    <t>2L4X4X5/8</t>
  </si>
  <si>
    <t>2L4X4X5/8X3/8</t>
  </si>
  <si>
    <t>2L4X4X5/8X3/4</t>
  </si>
  <si>
    <t>2L4X4X1/2</t>
  </si>
  <si>
    <t>2L4X4X1/2X3/8</t>
  </si>
  <si>
    <t>2L4X4X1/2X3/4</t>
  </si>
  <si>
    <t>2L4X4X7/16</t>
  </si>
  <si>
    <t>2L4X4X7/16X3/8</t>
  </si>
  <si>
    <t>2L4X4X7/16X3/4</t>
  </si>
  <si>
    <t>2L4X4X3/8</t>
  </si>
  <si>
    <t>2L4X4X3/8X3/8</t>
  </si>
  <si>
    <t>2L4X4X3/8X3/4</t>
  </si>
  <si>
    <t>2L4X4X5/16</t>
  </si>
  <si>
    <t>2L4X4X5/16X3/8</t>
  </si>
  <si>
    <t>2L4X4X5/16X3/4</t>
  </si>
  <si>
    <t>2L4X4X1/4</t>
  </si>
  <si>
    <t>2L4X4X1/4X3/8</t>
  </si>
  <si>
    <t>2L4X4X1/4X3/4</t>
  </si>
  <si>
    <t>2L3-1/2X3-1/2X1/2</t>
  </si>
  <si>
    <t>2L3-1/2X3-1/2X1/2X3/8</t>
  </si>
  <si>
    <t>2L3-1/2X3-1/2X1/2X3/4</t>
  </si>
  <si>
    <t>2L3-1/2X3-1/2X7/16</t>
  </si>
  <si>
    <t>2L3-1/2X3-1/2X7/16X3/8</t>
  </si>
  <si>
    <t>2L3-1/2X3-1/2X7/16X3/4</t>
  </si>
  <si>
    <t>2L3-1/2X3-1/2X3/8</t>
  </si>
  <si>
    <t>2L3-1/2X3-1/2X3/8X3/8</t>
  </si>
  <si>
    <t>2L3-1/2X3-1/2X3/8X3/4</t>
  </si>
  <si>
    <t>2L3-1/2X3-1/2X5/16</t>
  </si>
  <si>
    <t>2L3-1/2X3-1/2X5/16X3/8</t>
  </si>
  <si>
    <t>2L3-1/2X3-1/2X5/16X3/4</t>
  </si>
  <si>
    <t>2L3-1/2X3-1/2X1/4</t>
  </si>
  <si>
    <t>2L3-1/2X3-1/2X1/4X3/8</t>
  </si>
  <si>
    <t>2L3-1/2X3-1/2X1/4X3/4</t>
  </si>
  <si>
    <t>2L3X3X1/2</t>
  </si>
  <si>
    <t>2L3X3X1/2X3/8</t>
  </si>
  <si>
    <t>2L3X3X1/2X3/4</t>
  </si>
  <si>
    <t>2L3X3X7/16</t>
  </si>
  <si>
    <t>2L3X3X7/16X3/8</t>
  </si>
  <si>
    <t>2L3X3X7/16X3/4</t>
  </si>
  <si>
    <t>2L3X3X3/8</t>
  </si>
  <si>
    <t>2L3X3X3/8X3/8</t>
  </si>
  <si>
    <t>2L3X3X3/8X3/4</t>
  </si>
  <si>
    <t>2L3X3X5/16</t>
  </si>
  <si>
    <t>2L3X3X5/16X3/8</t>
  </si>
  <si>
    <t>2L3X3X5/16X3/4</t>
  </si>
  <si>
    <t>2L3X3X1/4</t>
  </si>
  <si>
    <t>2L3X3X1/4X3/8</t>
  </si>
  <si>
    <t>2L3X3X1/4X3/4</t>
  </si>
  <si>
    <t>2L3X3X3/16</t>
  </si>
  <si>
    <t>2L3X3X3/16X3/8</t>
  </si>
  <si>
    <t>2L3X3X3/16X3/4</t>
  </si>
  <si>
    <t>2L2-1/2X2-1/2X1/2</t>
  </si>
  <si>
    <t>2L2-1/2X2-1/2X1/2X3/8</t>
  </si>
  <si>
    <t>2L2-1/2X2-1/2X1/2X3/4</t>
  </si>
  <si>
    <t>2L2-1/2X2-1/2X3/8</t>
  </si>
  <si>
    <t>2L2-1/2X2-1/2X3/8X3/8</t>
  </si>
  <si>
    <t>2L2-1/2X2-1/2X3/8X3/4</t>
  </si>
  <si>
    <t>2L2-1/2X2-1/2X5/16</t>
  </si>
  <si>
    <t>2L2-1/2X2-1/2X5/16X3/8</t>
  </si>
  <si>
    <t>2L2-1/2X2-1/2X5/16X3/4</t>
  </si>
  <si>
    <t>2L2-1/2X2-1/2X1/4</t>
  </si>
  <si>
    <t>2L2-1/2X2-1/2X1/4X3/8</t>
  </si>
  <si>
    <t>2L2-1/2X2-1/2X1/4X3/4</t>
  </si>
  <si>
    <t>2L2-1/2X2-1/2X3/16</t>
  </si>
  <si>
    <t>2L2-1/2X2-1/2X3/16X3/8</t>
  </si>
  <si>
    <t>2L2-1/2X2-1/2X3/16X3/4</t>
  </si>
  <si>
    <t>2L2X2X3/8</t>
  </si>
  <si>
    <t>2L2X2X3/8X3/8</t>
  </si>
  <si>
    <t>2L2X2X3/8X3/4</t>
  </si>
  <si>
    <t>2L2X2X5/16</t>
  </si>
  <si>
    <t>2L2X2X5/16X3/8</t>
  </si>
  <si>
    <t>2L2X2X5/16X3/4</t>
  </si>
  <si>
    <t>2L2X2X1/4</t>
  </si>
  <si>
    <t>2L2X2X1/4X3/8</t>
  </si>
  <si>
    <t>2L2X2X1/4X3/4</t>
  </si>
  <si>
    <t>2L2X2X3/16</t>
  </si>
  <si>
    <t>2L2X2X3/16X3/8</t>
  </si>
  <si>
    <t>2L2X2X3/16X3/4</t>
  </si>
  <si>
    <t>2L2X2X1/8</t>
  </si>
  <si>
    <t>2L2X2X1/8X3/8</t>
  </si>
  <si>
    <t>2L2X2X1/8X3/4</t>
  </si>
  <si>
    <t>2L8X6X1LLBB</t>
  </si>
  <si>
    <t>2L8X6X1X3/8LLBB</t>
  </si>
  <si>
    <t>2L8X6X1X3/4LLBB</t>
  </si>
  <si>
    <t>2L8X6X7/8LLBB</t>
  </si>
  <si>
    <t>2L8X6X7/8X3/8LLBB</t>
  </si>
  <si>
    <t>2L8X6X7/8X3/4LLBB</t>
  </si>
  <si>
    <t>2L8X6X3/4LLBB</t>
  </si>
  <si>
    <t>2L8X6X3/4X3/8LLBB</t>
  </si>
  <si>
    <t>2L8X6X3/4X3/4LLBB</t>
  </si>
  <si>
    <t>2L8X6X5/8LLBB</t>
  </si>
  <si>
    <t>2L8X6X5/8X3/8LLBB</t>
  </si>
  <si>
    <t>2L8X6X5/8X3/4LLBB</t>
  </si>
  <si>
    <t>2L8X6X9/16LLBB</t>
  </si>
  <si>
    <t>2L8X6X9/16X3/8LLBB</t>
  </si>
  <si>
    <t>2L8X6X9/16X3/4LLBB</t>
  </si>
  <si>
    <t>2L8X6X1/2LLBB</t>
  </si>
  <si>
    <t>2L8X6X1/2X3/8LLBB</t>
  </si>
  <si>
    <t>2L8X6X1/2X3/4LLBB</t>
  </si>
  <si>
    <t>2L8X6X7/16LLBB</t>
  </si>
  <si>
    <t>2L8X6X7/16X3/8LLBB</t>
  </si>
  <si>
    <t>2L8X6X7/16X3/4LLBB</t>
  </si>
  <si>
    <t>2L8X4X1LLBB</t>
  </si>
  <si>
    <t>2L8X4X1X3/8LLBB</t>
  </si>
  <si>
    <t>2L8X4X1X3/4LLBB</t>
  </si>
  <si>
    <t>2L8X4X7/8LLBB</t>
  </si>
  <si>
    <t>2L8X4X7/8X3/8LLBB</t>
  </si>
  <si>
    <t>2L8X4X7/8X3/4LLBB</t>
  </si>
  <si>
    <t>2L8X4X3/4LLBB</t>
  </si>
  <si>
    <t>2L8X4X3/4X3/8LLBB</t>
  </si>
  <si>
    <t>2L8X4X3/4X3/4LLBB</t>
  </si>
  <si>
    <t>2L8X4X5/8LLBB</t>
  </si>
  <si>
    <t>2L8X4X5/8X3/8LLBB</t>
  </si>
  <si>
    <t>2L8X4X5/8X3/4LLBB</t>
  </si>
  <si>
    <t>2L8X4X9/16LLBB</t>
  </si>
  <si>
    <t>2L8X4X9/16X3/8LLBB</t>
  </si>
  <si>
    <t>2L8X4X9/16X3/4LLBB</t>
  </si>
  <si>
    <t>2L8X4X1/2LLBB</t>
  </si>
  <si>
    <t>2L8X4X1/2X3/8LLBB</t>
  </si>
  <si>
    <t>2L8X4X1/2X3/4LLBB</t>
  </si>
  <si>
    <t>2L8X4X7/16LLBB</t>
  </si>
  <si>
    <t>2L8X4X7/16X3/8LLBB</t>
  </si>
  <si>
    <t>2L8X4X7/16X3/4LLBB</t>
  </si>
  <si>
    <t>2L7X4X3/4LLBB</t>
  </si>
  <si>
    <t>2L7X4X3/4X3/8LLBB</t>
  </si>
  <si>
    <t>2L7X4X3/4X3/4LLBB</t>
  </si>
  <si>
    <t>2L7X4X5/8LLBB</t>
  </si>
  <si>
    <t>2L7X4X5/8X3/8LLBB</t>
  </si>
  <si>
    <t>2L7X4X5/8X3/4LLBB</t>
  </si>
  <si>
    <t>2L7X4X1/2LLBB</t>
  </si>
  <si>
    <t>2L7X4X1/2X3/8LLBB</t>
  </si>
  <si>
    <t>2L7X4X1/2X3/4LLBB</t>
  </si>
  <si>
    <t>2L7X4X7/16LLBB</t>
  </si>
  <si>
    <t>2L7X4X7/16X3/8LLBB</t>
  </si>
  <si>
    <t>2L7X4X7/16X3/4LLBB</t>
  </si>
  <si>
    <t>2L7X4X3/8LLBB</t>
  </si>
  <si>
    <t>2L7X4X3/8X3/8LLBB</t>
  </si>
  <si>
    <t>2L7X4X3/8X3/4LLBB</t>
  </si>
  <si>
    <t>2L6X4X7/8LLBB</t>
  </si>
  <si>
    <t>2L6X4X7/8X3/8LLBB</t>
  </si>
  <si>
    <t>2L6X4X7/8X3/4LLBB</t>
  </si>
  <si>
    <t>2L6X4X3/4LLBB</t>
  </si>
  <si>
    <t>2L6X4X3/4X3/8LLBB</t>
  </si>
  <si>
    <t>2L6X4X3/4X3/4LLBB</t>
  </si>
  <si>
    <t>2L6X4X5/8LLBB</t>
  </si>
  <si>
    <t>2L6X4X5/8X3/8LLBB</t>
  </si>
  <si>
    <t>2L6X4X5/8X3/4LLBB</t>
  </si>
  <si>
    <t>2L6X4X9/16LLBB</t>
  </si>
  <si>
    <t>2L6X4X9/16X3/8LLBB</t>
  </si>
  <si>
    <t>2L6X4X9/16X3/4LLBB</t>
  </si>
  <si>
    <t>2L6X4X1/2LLBB</t>
  </si>
  <si>
    <t>2L6X4X1/2X3/8LLBB</t>
  </si>
  <si>
    <t>2L6X4X1/2X3/4LLBB</t>
  </si>
  <si>
    <t>2L6X4X7/16LLBB</t>
  </si>
  <si>
    <t>2L6X4X7/16X3/8LLBB</t>
  </si>
  <si>
    <t>2L6X4X7/16X3/4LLBB</t>
  </si>
  <si>
    <t>2L6X4X3/8LLBB</t>
  </si>
  <si>
    <t>2L6X4X3/8X3/8LLBB</t>
  </si>
  <si>
    <t>2L6X4X3/8X3/4LLBB</t>
  </si>
  <si>
    <t>2L6X4X5/16LLBB</t>
  </si>
  <si>
    <t>2L6X4X5/16X3/8LLBB</t>
  </si>
  <si>
    <t>2L6X4X5/16X3/4LLBB</t>
  </si>
  <si>
    <t>2L6X3-1/2X1/2LLBB</t>
  </si>
  <si>
    <t>2L6X3-1/2X1/2X3/8LLBB</t>
  </si>
  <si>
    <t>2L6X3-1/2X1/2X3/4LLBB</t>
  </si>
  <si>
    <t>2L6X3-1/2X3/8LLBB</t>
  </si>
  <si>
    <t>2L6X3-1/2X3/8X3/8LLBB</t>
  </si>
  <si>
    <t>2L6X3-1/2X3/8X3/4LLBB</t>
  </si>
  <si>
    <t>2L6X3-1/2X5/16LLBB</t>
  </si>
  <si>
    <t>2L6X3-1/2X5/16X3/8LLBB</t>
  </si>
  <si>
    <t>2L6X3-1/2X5/16X3/4LLBB</t>
  </si>
  <si>
    <t>2L5X3-1/2X3/4LLBB</t>
  </si>
  <si>
    <t>2L5X3-1/2X3/4X3/8LLBB</t>
  </si>
  <si>
    <t>2L5X3-1/2X3/4X3/4LLBB</t>
  </si>
  <si>
    <t>2L5X3-1/2X5/8LLBB</t>
  </si>
  <si>
    <t>2L5X3-1/2X5/8X3/8LLBB</t>
  </si>
  <si>
    <t>2L5X3-1/2X5/8X3/4LLBB</t>
  </si>
  <si>
    <t>2L5X3-1/2X1/2LLBB</t>
  </si>
  <si>
    <t>2L5X3-1/2X1/2X3/8LLBB</t>
  </si>
  <si>
    <t>2L5X3-1/2X1/2X3/4LLBB</t>
  </si>
  <si>
    <t>2L5X3-1/2X3/8LLBB</t>
  </si>
  <si>
    <t>2L5X3-1/2X3/8X3/8LLBB</t>
  </si>
  <si>
    <t>2L5X3-1/2X3/8X3/4LLBB</t>
  </si>
  <si>
    <t>2L5X3-1/2X5/16LLBB</t>
  </si>
  <si>
    <t>2L5X3-1/2X5/16X3/8LLBB</t>
  </si>
  <si>
    <t>2L5X3-1/2X5/16X3/4LLBB</t>
  </si>
  <si>
    <t>2L5X3-1/2X1/4LLBB</t>
  </si>
  <si>
    <t>2L5X3-1/2X1/4X3/8LLBB</t>
  </si>
  <si>
    <t>2L5X3-1/2X1/4X3/4LLBB</t>
  </si>
  <si>
    <t>2L5X3X1/2LLBB</t>
  </si>
  <si>
    <t>2L5X3X1/2X3/8LLBB</t>
  </si>
  <si>
    <t>2L5X3X1/2X3/4LLBB</t>
  </si>
  <si>
    <t>2L5X3X7/16LLBB</t>
  </si>
  <si>
    <t>2L5X3X7/16X3/8LLBB</t>
  </si>
  <si>
    <t>2L5X3X7/16X3/4LLBB</t>
  </si>
  <si>
    <t>2L5X3X3/8LLBB</t>
  </si>
  <si>
    <t>2L5X3X3/8X3/8LLBB</t>
  </si>
  <si>
    <t>2L5X3X3/8X3/4LLBB</t>
  </si>
  <si>
    <t>2L5X3X5/16LLBB</t>
  </si>
  <si>
    <t>2L5X3X5/16X3/8LLBB</t>
  </si>
  <si>
    <t>2L5X3X5/16X3/4LLBB</t>
  </si>
  <si>
    <t>2L5X3X1/4LLBB</t>
  </si>
  <si>
    <t>2L5X3X1/4X3/8LLBB</t>
  </si>
  <si>
    <t>2L5X3X1/4X3/4LLBB</t>
  </si>
  <si>
    <t>2L4X3-1/2X1/2LLBB</t>
  </si>
  <si>
    <t>2L4X3-1/2X1/2X3/8LLBB</t>
  </si>
  <si>
    <t>2L4X3-1/2X1/2X3/4LLBB</t>
  </si>
  <si>
    <t>2L4X3-1/2X3/8LLBB</t>
  </si>
  <si>
    <t>2L4X3-1/2X3/8X3/8LLBB</t>
  </si>
  <si>
    <t>2L4X3-1/2X3/8X3/4LLBB</t>
  </si>
  <si>
    <t>2L4X3-1/2X5/16LLBB</t>
  </si>
  <si>
    <t>2L4X3-1/2X5/16X3/8LLBB</t>
  </si>
  <si>
    <t>2L4X3-1/2X5/16X3/4LLBB</t>
  </si>
  <si>
    <t>2L4X3-1/2X1/4LLBB</t>
  </si>
  <si>
    <t>2L4X3-1/2X1/4X3/8LLBB</t>
  </si>
  <si>
    <t>2L4X3-1/2X1/4X3/4LLBB</t>
  </si>
  <si>
    <t>2L4X3X5/8LLBB</t>
  </si>
  <si>
    <t>2L4X3X5/8X3/8LLBB</t>
  </si>
  <si>
    <t>2L4X3X5/8X3/4LLBB</t>
  </si>
  <si>
    <t>2L4X3X1/2LLBB</t>
  </si>
  <si>
    <t>2L4X3X1/2X3/8LLBB</t>
  </si>
  <si>
    <t>2L4X3X1/2X3/4LLBB</t>
  </si>
  <si>
    <t>2L4X3X3/8LLBB</t>
  </si>
  <si>
    <t>2L4X3X3/8X3/8LLBB</t>
  </si>
  <si>
    <t>2L4X3X3/8X3/4LLBB</t>
  </si>
  <si>
    <t>2L4X3X5/16LLBB</t>
  </si>
  <si>
    <t>2L4X3X5/16X3/8LLBB</t>
  </si>
  <si>
    <t>2L4X3X5/16X3/4LLBB</t>
  </si>
  <si>
    <t>2L4X3X1/4LLBB</t>
  </si>
  <si>
    <t>2L4X3X1/4X3/8LLBB</t>
  </si>
  <si>
    <t>2L4X3X1/4X3/4LLBB</t>
  </si>
  <si>
    <t>2L3-1/2X3X1/2LLBB</t>
  </si>
  <si>
    <t>2L3-1/2X3X1/2X3/8LLBB</t>
  </si>
  <si>
    <t>2L3-1/2X3X1/2X3/4LLBB</t>
  </si>
  <si>
    <t>2L3-1/2X3X7/16LLBB</t>
  </si>
  <si>
    <t>2L3-1/2X3X7/16X3/8LLBB</t>
  </si>
  <si>
    <t>2L3-1/2X3X7/16X3/4LLBB</t>
  </si>
  <si>
    <t>2L3-1/2X3X3/8LLBB</t>
  </si>
  <si>
    <t>2L3-1/2X3X3/8X3/8LLBB</t>
  </si>
  <si>
    <t>2L3-1/2X3X3/8X3/4LLBB</t>
  </si>
  <si>
    <t>2L3-1/2X3X5/16LLBB</t>
  </si>
  <si>
    <t>2L3-1/2X3X5/16X3/8LLBB</t>
  </si>
  <si>
    <t>2L3-1/2X3X5/16X3/4LLBB</t>
  </si>
  <si>
    <t>2L3-1/2X3X1/4LLBB</t>
  </si>
  <si>
    <t>2L3-1/2X3X1/4X3/8LLBB</t>
  </si>
  <si>
    <t>2L3-1/2X3X1/4X3/4LLBB</t>
  </si>
  <si>
    <t>2L3-1/2X2-1/2X1/2LLBB</t>
  </si>
  <si>
    <t>2L3-1/2X2-1/2X1/2X3/8LLBB</t>
  </si>
  <si>
    <t>2L3-1/2X2-1/2X1/2X3/4LLBB</t>
  </si>
  <si>
    <t>2L3-1/2X2-1/2X3/8LLBB</t>
  </si>
  <si>
    <t>2L3-1/2X2-1/2X3/8X3/8LLBB</t>
  </si>
  <si>
    <t>2L3-1/2X2-1/2X3/8X3/4LLBB</t>
  </si>
  <si>
    <t>2L3-1/2X2-1/2X5/16LLBB</t>
  </si>
  <si>
    <t>2L3-1/2X2-1/2X5/16X3/8LLBB</t>
  </si>
  <si>
    <t>2L3-1/2X2-1/2X5/16X3/4LLBB</t>
  </si>
  <si>
    <t>2L3-1/2X2-1/2X1/4LLBB</t>
  </si>
  <si>
    <t>2L3-1/2X2-1/2X1/4X3/8LLBB</t>
  </si>
  <si>
    <t>2L3-1/2X2-1/2X1/4X3/4LLBB</t>
  </si>
  <si>
    <t>2L3X2-1/2X1/2LLBB</t>
  </si>
  <si>
    <t>2L3X2-1/2X1/2X3/8LLBB</t>
  </si>
  <si>
    <t>2L3X2-1/2X1/2X3/4LLBB</t>
  </si>
  <si>
    <t>2L3X2-1/2X7/16LLBB</t>
  </si>
  <si>
    <t>2L3X2-1/2X7/16X3/8LLBB</t>
  </si>
  <si>
    <t>2L3X2-1/2X7/16X3/4LLBB</t>
  </si>
  <si>
    <t>2L3X2-1/2X3/8LLBB</t>
  </si>
  <si>
    <t>2L3X2-1/2X3/8X3/8LLBB</t>
  </si>
  <si>
    <t>2L3X2-1/2X3/8X3/4LLBB</t>
  </si>
  <si>
    <t>2L3X2-1/2X5/16LLBB</t>
  </si>
  <si>
    <t>2L3X2-1/2X5/16X3/8LLBB</t>
  </si>
  <si>
    <t>2L3X2-1/2X5/16X3/4LLBB</t>
  </si>
  <si>
    <t>2L3X2-1/2X1/4LLBB</t>
  </si>
  <si>
    <t>2L3X2-1/2X1/4X3/8LLBB</t>
  </si>
  <si>
    <t>2L3X2-1/2X1/4X3/4LLBB</t>
  </si>
  <si>
    <t>2L3X2-1/2X3/16LLBB</t>
  </si>
  <si>
    <t>2L3X2-1/2X3/16X3/8LLBB</t>
  </si>
  <si>
    <t>2L3X2-1/2X3/16X3/4LLBB</t>
  </si>
  <si>
    <t>2L3X2X1/2LLBB</t>
  </si>
  <si>
    <t>2L3X2X1/2X3/8LLBB</t>
  </si>
  <si>
    <t>2L3X2X1/2X3/4LLBB</t>
  </si>
  <si>
    <t>2L3X2X3/8LLBB</t>
  </si>
  <si>
    <t>2L3X2X3/8X3/8LLBB</t>
  </si>
  <si>
    <t>2L3X2X3/8X3/4LLBB</t>
  </si>
  <si>
    <t>2L3X2X5/16LLBB</t>
  </si>
  <si>
    <t>2L3X2X5/16X3/8LLBB</t>
  </si>
  <si>
    <t>2L3X2X5/16X3/4LLBB</t>
  </si>
  <si>
    <t>2L3X2X1/4LLBB</t>
  </si>
  <si>
    <t>2L3X2X1/4X3/8LLBB</t>
  </si>
  <si>
    <t>2L3X2X1/4X3/4LLBB</t>
  </si>
  <si>
    <t>2L3X2X3/16LLBB</t>
  </si>
  <si>
    <t>2L3X2X3/16X3/8LLBB</t>
  </si>
  <si>
    <t>2L3X2X3/16X3/4LLBB</t>
  </si>
  <si>
    <t>2L2-1/2X2X3/8LLBB</t>
  </si>
  <si>
    <t>2L2-1/2X2X3/8X3/8LLBB</t>
  </si>
  <si>
    <t>2L2-1/2X2X3/8X3/4LLBB</t>
  </si>
  <si>
    <t>2L2-1/2X2X5/16LLBB</t>
  </si>
  <si>
    <t>2L2-1/2X2X5/16X3/8LLBB</t>
  </si>
  <si>
    <t>2L2-1/2X2X5/16X3/4LLBB</t>
  </si>
  <si>
    <t>2L2-1/2X2X1/4LLBB</t>
  </si>
  <si>
    <t>2L2-1/2X2X1/4X3/8LLBB</t>
  </si>
  <si>
    <t>2L2-1/2X2X1/4X3/4LLBB</t>
  </si>
  <si>
    <t>2L2-1/2X2X3/16LLBB</t>
  </si>
  <si>
    <t>2L2-1/2X2X3/16X3/8LLBB</t>
  </si>
  <si>
    <t>2L2-1/2X2X3/16X3/4LLBB</t>
  </si>
  <si>
    <t>2L2-1/2X1-1/2X1/4LLBB</t>
  </si>
  <si>
    <t>2L2-1/2X1-1/2X1/4X3/8LLBB</t>
  </si>
  <si>
    <t>2L2-1/2X1-1/2X1/4X3/4LLBB</t>
  </si>
  <si>
    <t>2L2-1/2X1-1/2X3/16LLBB</t>
  </si>
  <si>
    <t>2L2-1/2X1-1/2X3/16X3/8LLBB</t>
  </si>
  <si>
    <t>2L2-1/2X1-1/2X3/16X3/4LLBB</t>
  </si>
  <si>
    <t>2L8X6X1SLBB</t>
  </si>
  <si>
    <t>2L8X6X1X3/8SLBB</t>
  </si>
  <si>
    <t>2L8X6X1X3/4SLBB</t>
  </si>
  <si>
    <t>2L8X6X7/8SLBB</t>
  </si>
  <si>
    <t>2L8X6X7/8X3/8SLBB</t>
  </si>
  <si>
    <t>2L8X6X7/8X3/4SLBB</t>
  </si>
  <si>
    <t>2L8X6X3/4SLBB</t>
  </si>
  <si>
    <t>2L8X6X3/4X3/8SLBB</t>
  </si>
  <si>
    <t>2L8X6X3/4X3/4SLBB</t>
  </si>
  <si>
    <t>2L8X6X5/8SLBB</t>
  </si>
  <si>
    <t>2L8X6X5/8X3/8SLBB</t>
  </si>
  <si>
    <t>2L8X6X5/8X3/4SLBB</t>
  </si>
  <si>
    <t>2L8X6X9/16SLBB</t>
  </si>
  <si>
    <t>2L8X6X9/16X3/8SLBB</t>
  </si>
  <si>
    <t>2L8X6X9/16X3/4SLBB</t>
  </si>
  <si>
    <t>2L8X6X1/2SLBB</t>
  </si>
  <si>
    <t>2L8X6X1/2X3/8SLBB</t>
  </si>
  <si>
    <t>2L8X6X1/2X3/4SLBB</t>
  </si>
  <si>
    <t>2L8X6X7/16SLBB</t>
  </si>
  <si>
    <t>2L8X6X7/16X3/8SLBB</t>
  </si>
  <si>
    <t>2L8X6X7/16X3/4SLBB</t>
  </si>
  <si>
    <t>2L8X4X1SLBB</t>
  </si>
  <si>
    <t>2L8X4X1X3/8SLBB</t>
  </si>
  <si>
    <t>2L8X4X1X3/4SLBB</t>
  </si>
  <si>
    <t>2L8X4X7/8SLBB</t>
  </si>
  <si>
    <t>2L8X4X7/8X3/8SLBB</t>
  </si>
  <si>
    <t>2L8X4X7/8X3/4SLBB</t>
  </si>
  <si>
    <t>2L8X4X3/4SLBB</t>
  </si>
  <si>
    <t>2L8X4X3/4X3/8SLBB</t>
  </si>
  <si>
    <t>2L8X4X3/4X3/4SLBB</t>
  </si>
  <si>
    <t>2L8X4X5/8SLBB</t>
  </si>
  <si>
    <t>2L8X4X5/8X3/8SLBB</t>
  </si>
  <si>
    <t>2L8X4X5/8X3/4SLBB</t>
  </si>
  <si>
    <t>2L8X4X9/16SLBB</t>
  </si>
  <si>
    <t>2L8X4X9/16X3/8SLBB</t>
  </si>
  <si>
    <t>2L8X4X9/16X3/4SLBB</t>
  </si>
  <si>
    <t>2L8X4X1/2SLBB</t>
  </si>
  <si>
    <t>2L8X4X1/2X3/8SLBB</t>
  </si>
  <si>
    <t>2L8X4X1/2X3/4SLBB</t>
  </si>
  <si>
    <t>2L8X4X7/16SLBB</t>
  </si>
  <si>
    <t>2L8X4X7/16X3/8SLBB</t>
  </si>
  <si>
    <t>2L8X4X7/16X3/4SLBB</t>
  </si>
  <si>
    <t>2L7X4X3/4SLBB</t>
  </si>
  <si>
    <t>2L7X4X3/4X3/8SLBB</t>
  </si>
  <si>
    <t>2L7X4X3/4X3/4SLBB</t>
  </si>
  <si>
    <t>2L7X4X5/8SLBB</t>
  </si>
  <si>
    <t>2L7X4X5/8X3/8SLBB</t>
  </si>
  <si>
    <t>2L7X4X5/8X3/4SLBB</t>
  </si>
  <si>
    <t>2L7X4X1/2SLBB</t>
  </si>
  <si>
    <t>2L7X4X1/2X3/8SLBB</t>
  </si>
  <si>
    <t>2L7X4X1/2X3/4SLBB</t>
  </si>
  <si>
    <t>2L7X4X7/16SLBB</t>
  </si>
  <si>
    <t>2L7X4X7/16X3/8SLBB</t>
  </si>
  <si>
    <t>2L7X4X7/16X3/4SLBB</t>
  </si>
  <si>
    <t>2L7X4X3/8SLBB</t>
  </si>
  <si>
    <t>2L7X4X3/8X3/8SLBB</t>
  </si>
  <si>
    <t>2L7X4X3/8X3/4SLBB</t>
  </si>
  <si>
    <t>2L6X4X7/8SLBB</t>
  </si>
  <si>
    <t>2L6X4X7/8X3/8SLBB</t>
  </si>
  <si>
    <t>2L6X4X7/8X3/4SLBB</t>
  </si>
  <si>
    <t>2L6X4X3/4SLBB</t>
  </si>
  <si>
    <t>2L6X4X3/4X3/8SLBB</t>
  </si>
  <si>
    <t>2L6X4X3/4X3/4SLBB</t>
  </si>
  <si>
    <t>2L6X4X5/8SLBB</t>
  </si>
  <si>
    <t>2L6X4X5/8X3/8SLBB</t>
  </si>
  <si>
    <t>2L6X4X5/8X3/4SLBB</t>
  </si>
  <si>
    <t>2L6X4X9/16SLBB</t>
  </si>
  <si>
    <t>2L6X4X9/16X3/8SLBB</t>
  </si>
  <si>
    <t>2L6X4X9/16X3/4SLBB</t>
  </si>
  <si>
    <t>2L6X4X1/2SLBB</t>
  </si>
  <si>
    <t>2L6X4X1/2X3/8SLBB</t>
  </si>
  <si>
    <t>2L6X4X1/2X3/4SLBB</t>
  </si>
  <si>
    <t>2L6X4X7/16SLBB</t>
  </si>
  <si>
    <t>2L6X4X7/16X3/8SLBB</t>
  </si>
  <si>
    <t>2L6X4X7/16X3/4SLBB</t>
  </si>
  <si>
    <t>2L6X4X3/8SLBB</t>
  </si>
  <si>
    <t>2L6X4X3/8X3/8SLBB</t>
  </si>
  <si>
    <t>2L6X4X3/8X3/4SLBB</t>
  </si>
  <si>
    <t>2L6X4X5/16SLBB</t>
  </si>
  <si>
    <t>2L6X4X5/16X3/8SLBB</t>
  </si>
  <si>
    <t>2L6X4X5/16X3/4SLBB</t>
  </si>
  <si>
    <t>2L6X3-1/2X1/2SLBB</t>
  </si>
  <si>
    <t>2L6X3-1/2X1/2X3/8SLBB</t>
  </si>
  <si>
    <t>2L6X3-1/2X1/2X3/4SLBB</t>
  </si>
  <si>
    <t>2L6X3-1/2X3/8SLBB</t>
  </si>
  <si>
    <t>2L6X3-1/2X3/8X3/8SLBB</t>
  </si>
  <si>
    <t>2L6X3-1/2X3/8X3/4SLBB</t>
  </si>
  <si>
    <t>2L6X3-1/2X5/16SLBB</t>
  </si>
  <si>
    <t>2L6X3-1/2X5/16X3/8SLBB</t>
  </si>
  <si>
    <t>2L6X3-1/2X5/16X3/4SLBB</t>
  </si>
  <si>
    <t>2L5X3-1/2X3/4SLBB</t>
  </si>
  <si>
    <t>2L5X3-1/2X3/4X3/8SLBB</t>
  </si>
  <si>
    <t>2L5X3-1/2X3/4X3/4SLBB</t>
  </si>
  <si>
    <t>2L5X3-1/2X5/8SLBB</t>
  </si>
  <si>
    <t>2L5X3-1/2X5/8X3/8SLBB</t>
  </si>
  <si>
    <t>2L5X3-1/2X5/8X3/4SLBB</t>
  </si>
  <si>
    <t>2L5X3-1/2X1/2SLBB</t>
  </si>
  <si>
    <t>2L5X3-1/2X1/2X3/8SLBB</t>
  </si>
  <si>
    <t>2L5X3-1/2X1/2X3/4SLBB</t>
  </si>
  <si>
    <t>2L5X3-1/2X3/8SLBB</t>
  </si>
  <si>
    <t>2L5X3-1/2X3/8X3/8SLBB</t>
  </si>
  <si>
    <t>2L5X3-1/2X3/8X3/4SLBB</t>
  </si>
  <si>
    <t>2L5X3-1/2X5/16SLBB</t>
  </si>
  <si>
    <t>2L5X3-1/2X5/16X3/8SLBB</t>
  </si>
  <si>
    <t>2L5X3-1/2X5/16X3/4SLBB</t>
  </si>
  <si>
    <t>2L5X3-1/2X1/4SLBB</t>
  </si>
  <si>
    <t>2L5X3-1/2X1/4X3/8SLBB</t>
  </si>
  <si>
    <t>2L5X3-1/2X1/4X3/4SLBB</t>
  </si>
  <si>
    <t>2L5X3X1/2SLBB</t>
  </si>
  <si>
    <t>2L5X3X1/2X3/8SLBB</t>
  </si>
  <si>
    <t>2L5X3X1/2X3/4SLBB</t>
  </si>
  <si>
    <t>2L5X3X7/16SLBB</t>
  </si>
  <si>
    <t>2L5X3X7/16X3/8SLBB</t>
  </si>
  <si>
    <t>2L5X3X7/16X3/4SLBB</t>
  </si>
  <si>
    <t>2L5X3X3/8SLBB</t>
  </si>
  <si>
    <t>2L5X3X3/8X3/8SLBB</t>
  </si>
  <si>
    <t>2L5X3X3/8X3/4SLBB</t>
  </si>
  <si>
    <t>2L5X3X5/16SLBB</t>
  </si>
  <si>
    <t>2L5X3X5/16X3/8SLBB</t>
  </si>
  <si>
    <t>2L5X3X5/16X3/4SLBB</t>
  </si>
  <si>
    <t>2L5X3X1/4SLBB</t>
  </si>
  <si>
    <t>2L5X3X1/4X3/8SLBB</t>
  </si>
  <si>
    <t>2L5X3X1/4X3/4SLBB</t>
  </si>
  <si>
    <t>2L4X3-1/2X1/2SLBB</t>
  </si>
  <si>
    <t>2L4X3-1/2X1/2X3/8SLBB</t>
  </si>
  <si>
    <t>2L4X3-1/2X1/2X3/4SLBB</t>
  </si>
  <si>
    <t>2L4X3-1/2X3/8SLBB</t>
  </si>
  <si>
    <t>2L4X3-1/2X3/8X3/8SLBB</t>
  </si>
  <si>
    <t>2L4X3-1/2X3/8X3/4SLBB</t>
  </si>
  <si>
    <t>2L4X3-1/2X5/16SLBB</t>
  </si>
  <si>
    <t>2L4X3-1/2X5/16X3/8SLBB</t>
  </si>
  <si>
    <t>2L4X3-1/2X5/16X3/4SLBB</t>
  </si>
  <si>
    <t>2L4X3-1/2X1/4SLBB</t>
  </si>
  <si>
    <t>2L4X3-1/2X1/4X3/8SLBB</t>
  </si>
  <si>
    <t>2L4X3-1/2X1/4X3/4SLBB</t>
  </si>
  <si>
    <t>2L4X3X5/8SLBB</t>
  </si>
  <si>
    <t>2L4X3X5/8X3/8SLBB</t>
  </si>
  <si>
    <t>2L4X3X5/8X3/4SLBB</t>
  </si>
  <si>
    <t>2L4X3X1/2SLBB</t>
  </si>
  <si>
    <t>2L4X3X1/2X3/8SLBB</t>
  </si>
  <si>
    <t>2L4X3X1/2X3/4SLBB</t>
  </si>
  <si>
    <t>2L4X3X3/8SLBB</t>
  </si>
  <si>
    <t>2L4X3X3/8X3/8SLBB</t>
  </si>
  <si>
    <t>2L4X3X3/8X3/4SLBB</t>
  </si>
  <si>
    <t>2L4X3X5/16SLBB</t>
  </si>
  <si>
    <t>2L4X3X5/16X3/8SLBB</t>
  </si>
  <si>
    <t>2L4X3X5/16X3/4SLBB</t>
  </si>
  <si>
    <t>2L4X3X1/4SLBB</t>
  </si>
  <si>
    <t>2L4X3X1/4X3/8SLBB</t>
  </si>
  <si>
    <t>2L4X3X1/4X3/4SLBB</t>
  </si>
  <si>
    <t>2L3-1/2X3X1/2SLBB</t>
  </si>
  <si>
    <t>2L3-1/2X3X1/2X3/8SLBB</t>
  </si>
  <si>
    <t>2L3-1/2X3X1/2X3/4SLBB</t>
  </si>
  <si>
    <t>2L3-1/2X3X7/16SLBB</t>
  </si>
  <si>
    <t>2L3-1/2X3X7/16X3/8SLBB</t>
  </si>
  <si>
    <t>2L3-1/2X3X7/16X3/4SLBB</t>
  </si>
  <si>
    <t>2L3-1/2X3X3/8SLBB</t>
  </si>
  <si>
    <t>2L3-1/2X3X3/8X3/8SLBB</t>
  </si>
  <si>
    <t>2L3-1/2X3X3/8X3/4SLBB</t>
  </si>
  <si>
    <t>2L3-1/2X3X5/16SLBB</t>
  </si>
  <si>
    <t>2L3-1/2X3X5/16X3/8SLBB</t>
  </si>
  <si>
    <t>2L3-1/2X3X5/16X3/4SLBB</t>
  </si>
  <si>
    <t>2L3-1/2X3X1/4SLBB</t>
  </si>
  <si>
    <t>2L3-1/2X3X1/4X3/8SLBB</t>
  </si>
  <si>
    <t>2L3-1/2X3X1/4X3/4SLBB</t>
  </si>
  <si>
    <t>2L3-1/2X2-1/2X1/2SLBB</t>
  </si>
  <si>
    <t>2L3-1/2X2-1/2X1/2X3/8SLBB</t>
  </si>
  <si>
    <t>2L3-1/2X2-1/2X1/2X3/4SLBB</t>
  </si>
  <si>
    <t>2L3-1/2X2-1/2X3/8SLBB</t>
  </si>
  <si>
    <t>2L3-1/2X2-1/2X3/8X3/8SLBB</t>
  </si>
  <si>
    <t>2L3-1/2X2-1/2X3/8X3/4SLBB</t>
  </si>
  <si>
    <t>2L3-1/2X2-1/2X5/16SLBB</t>
  </si>
  <si>
    <t>2L3-1/2X2-1/2X5/16X3/8SLBB</t>
  </si>
  <si>
    <t>2L3-1/2X2-1/2X5/16X3/4SLBB</t>
  </si>
  <si>
    <t>2L3-1/2X2-1/2X1/4SLBB</t>
  </si>
  <si>
    <t>2L3-1/2X2-1/2X1/4X3/8SLBB</t>
  </si>
  <si>
    <t>2L3-1/2X2-1/2X1/4X3/4SLBB</t>
  </si>
  <si>
    <t>2L3X2-1/2X1/2SLBB</t>
  </si>
  <si>
    <t>2L3X2-1/2X1/2X3/8SLBB</t>
  </si>
  <si>
    <t>2L3X2-1/2X1/2X3/4SLBB</t>
  </si>
  <si>
    <t>2L3X2-1/2X7/16SLBB</t>
  </si>
  <si>
    <t>2L3X2-1/2X7/16X3/8SLBB</t>
  </si>
  <si>
    <t>2L3X2-1/2X7/16X3/4SLBB</t>
  </si>
  <si>
    <t>2L3X2-1/2X3/8SLBB</t>
  </si>
  <si>
    <t>2L3X2-1/2X3/8X3/8SLBB</t>
  </si>
  <si>
    <t>2L3X2-1/2X3/8X3/4SLBB</t>
  </si>
  <si>
    <t>2L3X2-1/2X5/16SLBB</t>
  </si>
  <si>
    <t>2L3X2-1/2X5/16X3/8SLBB</t>
  </si>
  <si>
    <t>2L3X2-1/2X5/16X3/4SLBB</t>
  </si>
  <si>
    <t>2L3X2-1/2X1/4SLBB</t>
  </si>
  <si>
    <t>2L3X2-1/2X1/4X3/8SLBB</t>
  </si>
  <si>
    <t>2L3X2-1/2X1/4X3/4SLBB</t>
  </si>
  <si>
    <t>2L3X2-1/2X3/16SLBB</t>
  </si>
  <si>
    <t>2L3X2-1/2X3/16X3/8SLBB</t>
  </si>
  <si>
    <t>2L3X2-1/2X3/16X3/4SLBB</t>
  </si>
  <si>
    <t>2L3X2X1/2SLBB</t>
  </si>
  <si>
    <t>2L3X2X1/2X3/8SLBB</t>
  </si>
  <si>
    <t>2L3X2X1/2X3/4SLBB</t>
  </si>
  <si>
    <t>2L3X2X3/8SLBB</t>
  </si>
  <si>
    <t>2L3X2X3/8X3/8SLBB</t>
  </si>
  <si>
    <t>2L3X2X3/8X3/4SLBB</t>
  </si>
  <si>
    <t>2L3X2X5/16SLBB</t>
  </si>
  <si>
    <t>2L3X2X5/16X3/8SLBB</t>
  </si>
  <si>
    <t>2L3X2X5/16X3/4SLBB</t>
  </si>
  <si>
    <t>2L3X2X1/4SLBB</t>
  </si>
  <si>
    <t>2L3X2X1/4X3/8SLBB</t>
  </si>
  <si>
    <t>2L3X2X1/4X3/4SLBB</t>
  </si>
  <si>
    <t>2L3X2X3/16SLBB</t>
  </si>
  <si>
    <t>2L3X2X3/16X3/8SLBB</t>
  </si>
  <si>
    <t>2L3X2X3/16X3/4SLBB</t>
  </si>
  <si>
    <t>2L2-1/2X2X3/8SLBB</t>
  </si>
  <si>
    <t>2L2-1/2X2X3/8X3/8SLBB</t>
  </si>
  <si>
    <t>2L2-1/2X2X3/8X3/4SLBB</t>
  </si>
  <si>
    <t>2L2-1/2X2X5/16SLBB</t>
  </si>
  <si>
    <t>2L2-1/2X2X5/16X3/8SLBB</t>
  </si>
  <si>
    <t>2L2-1/2X2X5/16X3/4SLBB</t>
  </si>
  <si>
    <t>2L2-1/2X2X1/4SLBB</t>
  </si>
  <si>
    <t>2L2-1/2X2X1/4X3/8SLBB</t>
  </si>
  <si>
    <t>2L2-1/2X2X1/4X3/4SLBB</t>
  </si>
  <si>
    <t>2L2-1/2X2X3/16SLBB</t>
  </si>
  <si>
    <t>2L2-1/2X2X3/16X3/8SLBB</t>
  </si>
  <si>
    <t>2L2-1/2X2X3/16X3/4SLBB</t>
  </si>
  <si>
    <t>2L2-1/2X1-1/2X1/4SLBB</t>
  </si>
  <si>
    <t>2L2-1/2X1-1/2X1/4X3/8SLBB</t>
  </si>
  <si>
    <t>2L2-1/2X1-1/2X1/4X3/4SLBB</t>
  </si>
  <si>
    <t>2L2-1/2X1-1/2X3/16SLBB</t>
  </si>
  <si>
    <t>2L2-1/2X1-1/2X3/16X3/8SLBB</t>
  </si>
  <si>
    <t>2L2-1/2X1-1/2X3/16X3/4SLBB</t>
  </si>
  <si>
    <t>Case 8</t>
  </si>
  <si>
    <t>A325</t>
  </si>
  <si>
    <t>A325M</t>
  </si>
  <si>
    <t>F1852</t>
  </si>
  <si>
    <t>A490</t>
  </si>
  <si>
    <t>A490M</t>
  </si>
  <si>
    <t>F2280</t>
  </si>
  <si>
    <t>F3043</t>
  </si>
  <si>
    <t>F3111</t>
  </si>
  <si>
    <t xml:space="preserve">Bolt Grades </t>
  </si>
  <si>
    <t>Group B</t>
  </si>
  <si>
    <t>Group A</t>
  </si>
  <si>
    <t>Group C</t>
  </si>
  <si>
    <t>A307</t>
  </si>
  <si>
    <t>A354 Gr. BC</t>
  </si>
  <si>
    <t>A354 Gr. BD</t>
  </si>
  <si>
    <t>Group A - X</t>
  </si>
  <si>
    <t>Group B - X</t>
  </si>
  <si>
    <t>Group C - X</t>
  </si>
  <si>
    <t>Group A - N</t>
  </si>
  <si>
    <t>Group B - N</t>
  </si>
  <si>
    <t>N/A</t>
  </si>
  <si>
    <t>Bolt Sizes Pretension (Tb)</t>
  </si>
  <si>
    <t xml:space="preserve">Sizes </t>
  </si>
  <si>
    <t>Class A</t>
  </si>
  <si>
    <t>Class B</t>
  </si>
  <si>
    <t>Tb</t>
  </si>
  <si>
    <t xml:space="preserve">Weld Material </t>
  </si>
  <si>
    <t>min. size of fillet welds</t>
  </si>
  <si>
    <t>rx</t>
  </si>
  <si>
    <t>ry</t>
  </si>
  <si>
    <t>ry+AT+AP2:AP138</t>
  </si>
  <si>
    <t>Angles</t>
  </si>
  <si>
    <t xml:space="preserve">Double Angle </t>
  </si>
  <si>
    <t>Tensile Capacities</t>
  </si>
  <si>
    <t>Tables for Bending, Shear, Deflection Design And Analysis</t>
  </si>
  <si>
    <t>Wide Flange</t>
  </si>
  <si>
    <t>W36X925</t>
  </si>
  <si>
    <t>W36X853</t>
  </si>
  <si>
    <t>W36X802</t>
  </si>
  <si>
    <t>W36X723</t>
  </si>
  <si>
    <t>W40X655</t>
  </si>
  <si>
    <t>W36X652</t>
  </si>
  <si>
    <t>W40X593</t>
  </si>
  <si>
    <t>W36X529</t>
  </si>
  <si>
    <t>W40X503</t>
  </si>
  <si>
    <t>W36X487</t>
  </si>
  <si>
    <t>W14X873</t>
  </si>
  <si>
    <t>W40X431</t>
  </si>
  <si>
    <t>W36X441</t>
  </si>
  <si>
    <t>W27X539</t>
  </si>
  <si>
    <t>W14X808</t>
  </si>
  <si>
    <t>W40X397</t>
  </si>
  <si>
    <t>W40X392</t>
  </si>
  <si>
    <t>W36X395</t>
  </si>
  <si>
    <t>W40X372</t>
  </si>
  <si>
    <t>W14X730</t>
  </si>
  <si>
    <t>W40X362</t>
  </si>
  <si>
    <t>W44X335</t>
  </si>
  <si>
    <t>W33X387</t>
  </si>
  <si>
    <t>W36X361</t>
  </si>
  <si>
    <t>W14X665</t>
  </si>
  <si>
    <t>W40X324</t>
  </si>
  <si>
    <t>W30X391</t>
  </si>
  <si>
    <t>W40X331</t>
  </si>
  <si>
    <t>W33X354</t>
  </si>
  <si>
    <t>W44X290</t>
  </si>
  <si>
    <t>W40X327</t>
  </si>
  <si>
    <t>W36X330</t>
  </si>
  <si>
    <t>W40X297</t>
  </si>
  <si>
    <t>W30X357</t>
  </si>
  <si>
    <t>W14X605</t>
  </si>
  <si>
    <t>W36X302</t>
  </si>
  <si>
    <t>W44X262</t>
  </si>
  <si>
    <t>W40X294</t>
  </si>
  <si>
    <t>W33X318</t>
  </si>
  <si>
    <t>W40X277</t>
  </si>
  <si>
    <t>W27X368</t>
  </si>
  <si>
    <t>W40X278</t>
  </si>
  <si>
    <t>W36X282</t>
  </si>
  <si>
    <t>W30X326</t>
  </si>
  <si>
    <t>W14X550</t>
  </si>
  <si>
    <t>W33X291</t>
  </si>
  <si>
    <t>W40X264</t>
  </si>
  <si>
    <t>W27X336</t>
  </si>
  <si>
    <t>W24X370</t>
  </si>
  <si>
    <t>W40X249</t>
  </si>
  <si>
    <t>W44X230</t>
  </si>
  <si>
    <t>W36X262</t>
  </si>
  <si>
    <t>W30X292</t>
  </si>
  <si>
    <t>W14X500</t>
  </si>
  <si>
    <t>W36X256</t>
  </si>
  <si>
    <t>W33X263</t>
  </si>
  <si>
    <t>W36X247</t>
  </si>
  <si>
    <t>W27X307</t>
  </si>
  <si>
    <t>W24X335</t>
  </si>
  <si>
    <t>W40X235</t>
  </si>
  <si>
    <t>W40X215</t>
  </si>
  <si>
    <t>W36X231</t>
  </si>
  <si>
    <t>W30X261</t>
  </si>
  <si>
    <t>W33X241</t>
  </si>
  <si>
    <t>W36X232</t>
  </si>
  <si>
    <t>W27X281</t>
  </si>
  <si>
    <t>W14X455</t>
  </si>
  <si>
    <t>W24X306</t>
  </si>
  <si>
    <t>W40X211</t>
  </si>
  <si>
    <t>W40X199</t>
  </si>
  <si>
    <t>W14X426</t>
  </si>
  <si>
    <t>W33X221</t>
  </si>
  <si>
    <t>W27X258</t>
  </si>
  <si>
    <t>W30X235</t>
  </si>
  <si>
    <t>W24X279</t>
  </si>
  <si>
    <t>W36X210</t>
  </si>
  <si>
    <t>W14X398</t>
  </si>
  <si>
    <t>W40X183</t>
  </si>
  <si>
    <t>W33X201</t>
  </si>
  <si>
    <t>W27X235</t>
  </si>
  <si>
    <t>W36X194</t>
  </si>
  <si>
    <t>W18X311</t>
  </si>
  <si>
    <t>W30X211</t>
  </si>
  <si>
    <t>W21X275</t>
  </si>
  <si>
    <t>W24X250</t>
  </si>
  <si>
    <t>W14X370</t>
  </si>
  <si>
    <t>W36X183</t>
  </si>
  <si>
    <t>W27X217</t>
  </si>
  <si>
    <t>W40X167</t>
  </si>
  <si>
    <t>W18X283</t>
  </si>
  <si>
    <t>W30X191</t>
  </si>
  <si>
    <t>W24X229</t>
  </si>
  <si>
    <t>W14X342</t>
  </si>
  <si>
    <t>W21X248</t>
  </si>
  <si>
    <t>W36X170</t>
  </si>
  <si>
    <t>W27X194</t>
  </si>
  <si>
    <t>W33X169</t>
  </si>
  <si>
    <t>W36X160</t>
  </si>
  <si>
    <t>W18X258</t>
  </si>
  <si>
    <t>W30X173</t>
  </si>
  <si>
    <t>W24X207</t>
  </si>
  <si>
    <t>W14X311</t>
  </si>
  <si>
    <t>W12X336</t>
  </si>
  <si>
    <t>W21X223</t>
  </si>
  <si>
    <t>W40X149</t>
  </si>
  <si>
    <t>W36X150</t>
  </si>
  <si>
    <t>W27X178</t>
  </si>
  <si>
    <t>W33X152</t>
  </si>
  <si>
    <t>W24X192</t>
  </si>
  <si>
    <t>W18X234</t>
  </si>
  <si>
    <t>W14X283</t>
  </si>
  <si>
    <t>W12X305</t>
  </si>
  <si>
    <t>W21X201</t>
  </si>
  <si>
    <t>W27X161</t>
  </si>
  <si>
    <t>W33X141</t>
  </si>
  <si>
    <t>W24X176</t>
  </si>
  <si>
    <t>W36X135</t>
  </si>
  <si>
    <t>W30X148</t>
  </si>
  <si>
    <t>W18X211</t>
  </si>
  <si>
    <t>W14X257</t>
  </si>
  <si>
    <t>W12X279</t>
  </si>
  <si>
    <t>W21X182</t>
  </si>
  <si>
    <t>W24X162</t>
  </si>
  <si>
    <t>W33X130</t>
  </si>
  <si>
    <t>W27X146</t>
  </si>
  <si>
    <t>W18X192</t>
  </si>
  <si>
    <t>W30X132</t>
  </si>
  <si>
    <t>W14X233</t>
  </si>
  <si>
    <t>W21X166</t>
  </si>
  <si>
    <t>W12X252</t>
  </si>
  <si>
    <t>W24X146</t>
  </si>
  <si>
    <t>W33X118</t>
  </si>
  <si>
    <t>W30X124</t>
  </si>
  <si>
    <t>W18X175</t>
  </si>
  <si>
    <t>W27X129</t>
  </si>
  <si>
    <t>W14X211</t>
  </si>
  <si>
    <t>W12X230</t>
  </si>
  <si>
    <t>W30X116</t>
  </si>
  <si>
    <t>W21X147</t>
  </si>
  <si>
    <t>W24X131</t>
  </si>
  <si>
    <t>W18X158</t>
  </si>
  <si>
    <t>W14X193</t>
  </si>
  <si>
    <t>W12X210</t>
  </si>
  <si>
    <t>W30X108</t>
  </si>
  <si>
    <t>W27X114</t>
  </si>
  <si>
    <t>W21X132</t>
  </si>
  <si>
    <t>W24X117</t>
  </si>
  <si>
    <t>W18X143</t>
  </si>
  <si>
    <t>W14X176</t>
  </si>
  <si>
    <t>W30X99</t>
  </si>
  <si>
    <t>W12X190</t>
  </si>
  <si>
    <t>W21X122</t>
  </si>
  <si>
    <t>W27X102</t>
  </si>
  <si>
    <t>W18X130</t>
  </si>
  <si>
    <t>W24X104</t>
  </si>
  <si>
    <t>W14X159</t>
  </si>
  <si>
    <t>W30X90</t>
  </si>
  <si>
    <t>W24X103</t>
  </si>
  <si>
    <t>W21X111</t>
  </si>
  <si>
    <t>W27X94</t>
  </si>
  <si>
    <t>W12X170</t>
  </si>
  <si>
    <t>W18X119</t>
  </si>
  <si>
    <t>W14X145</t>
  </si>
  <si>
    <t>W24X94</t>
  </si>
  <si>
    <t>W21X101</t>
  </si>
  <si>
    <t>W27X84</t>
  </si>
  <si>
    <t>W12X152</t>
  </si>
  <si>
    <t>W14X132</t>
  </si>
  <si>
    <t>W18X106</t>
  </si>
  <si>
    <t>W24X84</t>
  </si>
  <si>
    <t>W21X93</t>
  </si>
  <si>
    <t>W12X136</t>
  </si>
  <si>
    <t>W14X120</t>
  </si>
  <si>
    <t>W18X97</t>
  </si>
  <si>
    <t>W24X76</t>
  </si>
  <si>
    <t>W16X100</t>
  </si>
  <si>
    <t>W21X83</t>
  </si>
  <si>
    <t>W14X109</t>
  </si>
  <si>
    <t>W18X86</t>
  </si>
  <si>
    <t>W12X120</t>
  </si>
  <si>
    <t>W24X68</t>
  </si>
  <si>
    <t>W16X89</t>
  </si>
  <si>
    <t>W14X99</t>
  </si>
  <si>
    <t>W21X73</t>
  </si>
  <si>
    <t>W12X106</t>
  </si>
  <si>
    <t>W18X76</t>
  </si>
  <si>
    <t>W21X68</t>
  </si>
  <si>
    <t>W14X90</t>
  </si>
  <si>
    <t>W24X62</t>
  </si>
  <si>
    <t>W16X77</t>
  </si>
  <si>
    <t>W12X96</t>
  </si>
  <si>
    <t>W10X112</t>
  </si>
  <si>
    <t>W18X71</t>
  </si>
  <si>
    <t>W21X</t>
  </si>
  <si>
    <t>W14X82</t>
  </si>
  <si>
    <t>W24X</t>
  </si>
  <si>
    <t>W18X65</t>
  </si>
  <si>
    <t>W12X87</t>
  </si>
  <si>
    <t>W16X67</t>
  </si>
  <si>
    <t>W10X100</t>
  </si>
  <si>
    <t>W21X57</t>
  </si>
  <si>
    <t>W14X74</t>
  </si>
  <si>
    <t>W18X60</t>
  </si>
  <si>
    <t>W12X79</t>
  </si>
  <si>
    <t>W14X68</t>
  </si>
  <si>
    <t>W10X88</t>
  </si>
  <si>
    <t>W18X</t>
  </si>
  <si>
    <t>W12X72</t>
  </si>
  <si>
    <t>W16X57</t>
  </si>
  <si>
    <t>W14X61</t>
  </si>
  <si>
    <t>W18X50</t>
  </si>
  <si>
    <t>W10X77</t>
  </si>
  <si>
    <t>W12X65^{f}</t>
  </si>
  <si>
    <t>W21X44</t>
  </si>
  <si>
    <t>W16X50</t>
  </si>
  <si>
    <t>W18X46</t>
  </si>
  <si>
    <t>W14X53</t>
  </si>
  <si>
    <t>W12X58</t>
  </si>
  <si>
    <t>W10X68</t>
  </si>
  <si>
    <t>W16X45</t>
  </si>
  <si>
    <t>W18X40</t>
  </si>
  <si>
    <t>W14X48</t>
  </si>
  <si>
    <t>W12X53</t>
  </si>
  <si>
    <t>W10X60</t>
  </si>
  <si>
    <t>W16X40</t>
  </si>
  <si>
    <t>W12X50</t>
  </si>
  <si>
    <t>W8X67</t>
  </si>
  <si>
    <t>W14X43</t>
  </si>
  <si>
    <t>W10X54</t>
  </si>
  <si>
    <t>W18X35</t>
  </si>
  <si>
    <t>W12X45</t>
  </si>
  <si>
    <t>W16X36</t>
  </si>
  <si>
    <t>W14X38</t>
  </si>
  <si>
    <t>W10X49</t>
  </si>
  <si>
    <t>W8X58</t>
  </si>
  <si>
    <t>W12X40</t>
  </si>
  <si>
    <t>W10X45</t>
  </si>
  <si>
    <t>W14X34</t>
  </si>
  <si>
    <t>W16X31</t>
  </si>
  <si>
    <t>W12X35</t>
  </si>
  <si>
    <t>W8X48</t>
  </si>
  <si>
    <t>W14X30</t>
  </si>
  <si>
    <t>W10X39</t>
  </si>
  <si>
    <t>W16X26</t>
  </si>
  <si>
    <t>W12X30</t>
  </si>
  <si>
    <t>W14X26</t>
  </si>
  <si>
    <t>W8X40</t>
  </si>
  <si>
    <t>W10X33</t>
  </si>
  <si>
    <t>W12X26</t>
  </si>
  <si>
    <t>W10X30</t>
  </si>
  <si>
    <t>W8X35</t>
  </si>
  <si>
    <t>W14X22</t>
  </si>
  <si>
    <t>W10X26</t>
  </si>
  <si>
    <t>W8X31</t>
  </si>
  <si>
    <t>W12X22</t>
  </si>
  <si>
    <t>W8X28</t>
  </si>
  <si>
    <t>W10X22</t>
  </si>
  <si>
    <t>W12X19</t>
  </si>
  <si>
    <t>W8X24</t>
  </si>
  <si>
    <t>W10X19</t>
  </si>
  <si>
    <t>W8X21</t>
  </si>
  <si>
    <t>W12X16</t>
  </si>
  <si>
    <t>W10X17</t>
  </si>
  <si>
    <t>W12X14</t>
  </si>
  <si>
    <t>W8X18</t>
  </si>
  <si>
    <t>W10X15</t>
  </si>
  <si>
    <t>W8X15</t>
  </si>
  <si>
    <t>W10X12</t>
  </si>
  <si>
    <t>W8X13</t>
  </si>
  <si>
    <t>W8X10</t>
  </si>
  <si>
    <t>Zx</t>
  </si>
  <si>
    <t>Ix</t>
  </si>
  <si>
    <t>Lightest Sections</t>
  </si>
  <si>
    <t>W36X182</t>
  </si>
  <si>
    <t>W21X62</t>
  </si>
  <si>
    <t>W24X55</t>
  </si>
  <si>
    <t>W21X55</t>
  </si>
  <si>
    <t>W18X55</t>
  </si>
  <si>
    <t>W21X48</t>
  </si>
  <si>
    <t xml:space="preserve">Wide Flange Basic Propeprties </t>
  </si>
  <si>
    <t>W21X50</t>
  </si>
  <si>
    <t>W12X65</t>
  </si>
  <si>
    <t>W6X25</t>
  </si>
  <si>
    <t>W6X20</t>
  </si>
  <si>
    <t>W6X15</t>
  </si>
  <si>
    <t>W6X16</t>
  </si>
  <si>
    <t>W6X12</t>
  </si>
  <si>
    <t>W6X9</t>
  </si>
  <si>
    <t>W6X8.5</t>
  </si>
  <si>
    <t>W5X19</t>
  </si>
  <si>
    <t>W5X16</t>
  </si>
  <si>
    <t>W4X13</t>
  </si>
  <si>
    <t>Sx</t>
  </si>
  <si>
    <t>Mp</t>
  </si>
  <si>
    <t>Mo</t>
  </si>
  <si>
    <t>type of webs</t>
  </si>
  <si>
    <t>Stiffened</t>
  </si>
  <si>
    <t>Unstiffened</t>
  </si>
  <si>
    <t>k</t>
  </si>
  <si>
    <t>A514 Gr. 100</t>
  </si>
  <si>
    <t>ASD</t>
  </si>
  <si>
    <t>LRFD</t>
  </si>
  <si>
    <t xml:space="preserve">Net Area due to Staggered Holes </t>
  </si>
  <si>
    <t>Structural Member:</t>
  </si>
  <si>
    <t>Thickness:</t>
  </si>
  <si>
    <t>y̅</t>
  </si>
  <si>
    <t>Fracture Capacity (kips)</t>
  </si>
  <si>
    <t xml:space="preserve"> Block Shear Capacity (kips)</t>
  </si>
  <si>
    <t>Structural Member</t>
  </si>
  <si>
    <t>NA</t>
  </si>
  <si>
    <t>Span (ft.)</t>
  </si>
  <si>
    <t xml:space="preserve">Maximum Deflection </t>
  </si>
  <si>
    <t>Design Parameters</t>
  </si>
  <si>
    <t>Dead Load (kips/ft)</t>
  </si>
  <si>
    <t>kips/ft</t>
  </si>
  <si>
    <t>Live Load (kips/ft)</t>
  </si>
  <si>
    <t>AISC Section</t>
  </si>
  <si>
    <t>This will only work on simply supported beams.</t>
  </si>
  <si>
    <t>Checking Section's Capacity</t>
  </si>
  <si>
    <t>Chosen Section</t>
  </si>
  <si>
    <t>Demand</t>
  </si>
  <si>
    <t>Bending (kips-ft)</t>
  </si>
  <si>
    <t>Shear (kips-ft)</t>
  </si>
  <si>
    <t>Capacity</t>
  </si>
  <si>
    <t>Shear Capacity</t>
  </si>
  <si>
    <t>Cases</t>
  </si>
  <si>
    <t>AISC Section (considering Bending Moment &amp; Shear)</t>
  </si>
  <si>
    <t>Bending Moment Capacity</t>
  </si>
  <si>
    <t>Consider flange only!</t>
  </si>
  <si>
    <t>CAPACITY</t>
  </si>
  <si>
    <t xml:space="preserve">        Live Load (kips/ft.)</t>
  </si>
  <si>
    <t>Type of Web</t>
  </si>
  <si>
    <t>Height of bracing, h (in.)</t>
  </si>
  <si>
    <t>Lateral spacing, a (in.)</t>
  </si>
  <si>
    <t>For stiffened web:</t>
  </si>
  <si>
    <t>2a</t>
  </si>
  <si>
    <t>2b</t>
  </si>
  <si>
    <t>2c</t>
  </si>
  <si>
    <t>Design Philosophy:</t>
  </si>
  <si>
    <t>Factored Load:</t>
  </si>
  <si>
    <t>Deflection (ft.)</t>
  </si>
  <si>
    <t>REMARK</t>
  </si>
  <si>
    <t>DESIGN OF BEAM</t>
  </si>
  <si>
    <t>x̅</t>
  </si>
  <si>
    <t>Shorter leg</t>
  </si>
  <si>
    <t>Longer leg</t>
  </si>
  <si>
    <t>Design Philosophy</t>
  </si>
  <si>
    <t>Value</t>
  </si>
  <si>
    <r>
      <t>x</t>
    </r>
    <r>
      <rPr>
        <b/>
        <vertAlign val="subscript"/>
        <sz val="16"/>
        <color theme="0"/>
        <rFont val="Cambria"/>
        <family val="1"/>
        <scheme val="major"/>
      </rPr>
      <t>p</t>
    </r>
  </si>
  <si>
    <r>
      <t>y</t>
    </r>
    <r>
      <rPr>
        <b/>
        <vertAlign val="subscript"/>
        <sz val="16"/>
        <color theme="0"/>
        <rFont val="Cambria"/>
        <family val="1"/>
        <scheme val="major"/>
      </rPr>
      <t>p</t>
    </r>
  </si>
  <si>
    <r>
      <t>Reduction Factor (U</t>
    </r>
    <r>
      <rPr>
        <b/>
        <vertAlign val="subscript"/>
        <sz val="16"/>
        <color theme="0"/>
        <rFont val="Cambria"/>
        <family val="1"/>
        <scheme val="major"/>
      </rPr>
      <t>bs</t>
    </r>
    <r>
      <rPr>
        <b/>
        <sz val="16"/>
        <color theme="0"/>
        <rFont val="Cambria"/>
        <family val="1"/>
        <scheme val="major"/>
      </rPr>
      <t>)</t>
    </r>
  </si>
  <si>
    <t>TABLE 1-1
W-SHAPES DIMENSIONS</t>
  </si>
  <si>
    <t>Sections</t>
  </si>
  <si>
    <t>W
(lb/ft)</t>
  </si>
  <si>
    <t>A
(in.²)</t>
  </si>
  <si>
    <t>d
(in.)</t>
  </si>
  <si>
    <t xml:space="preserve">ddet
(in.) </t>
  </si>
  <si>
    <t>tw
(in.)</t>
  </si>
  <si>
    <t>twdet
(in.)</t>
  </si>
  <si>
    <t>twdet/2
(in.)</t>
  </si>
  <si>
    <t>bf
(in.)</t>
  </si>
  <si>
    <t>bfdet
(in.)</t>
  </si>
  <si>
    <t>tf
(in.)</t>
  </si>
  <si>
    <t>tfdet
(in.)</t>
  </si>
  <si>
    <t>bf/2tf</t>
  </si>
  <si>
    <t>h/tw</t>
  </si>
  <si>
    <t>Ix
(in.⁴)</t>
  </si>
  <si>
    <t>Sx
(in.³)</t>
  </si>
  <si>
    <t>rx
(in.)</t>
  </si>
  <si>
    <t>Zx
(in.³)</t>
  </si>
  <si>
    <t>Iy
(in.⁴)</t>
  </si>
  <si>
    <t>Sy
(in.³)</t>
  </si>
  <si>
    <t>ry
(in.)</t>
  </si>
  <si>
    <t>Zy
(in.³)</t>
  </si>
  <si>
    <t>1 3/4</t>
  </si>
  <si>
    <t>43 5/8</t>
  </si>
  <si>
    <t>15 7/8</t>
  </si>
  <si>
    <t>1 9/16</t>
  </si>
  <si>
    <t>43 1/4</t>
  </si>
  <si>
    <t>13/16</t>
  </si>
  <si>
    <t>15 3/4</t>
  </si>
  <si>
    <t>1 7/16</t>
  </si>
  <si>
    <t>42 7/8</t>
  </si>
  <si>
    <t>1 1/4</t>
  </si>
  <si>
    <t>16 7/8</t>
  </si>
  <si>
    <t>3 9/16</t>
  </si>
  <si>
    <t>1 13/16</t>
  </si>
  <si>
    <t>15/16</t>
  </si>
  <si>
    <t>16 3/4</t>
  </si>
  <si>
    <t>3 1/4</t>
  </si>
  <si>
    <t>16 3/8</t>
  </si>
  <si>
    <t>2 3/4</t>
  </si>
  <si>
    <t>41 1/4</t>
  </si>
  <si>
    <t>1 5/16</t>
  </si>
  <si>
    <t>16 1/4</t>
  </si>
  <si>
    <t>2 3/8</t>
  </si>
  <si>
    <t>16 1/8</t>
  </si>
  <si>
    <t>2 3/16</t>
  </si>
  <si>
    <t>40 5/8</t>
  </si>
  <si>
    <t>1 3/16</t>
  </si>
  <si>
    <t>2 1/16</t>
  </si>
  <si>
    <t>40 1/2</t>
  </si>
  <si>
    <t>1 1/8</t>
  </si>
  <si>
    <t>40 1/8</t>
  </si>
  <si>
    <t>39 7/8</t>
  </si>
  <si>
    <t>1 5/8</t>
  </si>
  <si>
    <t>39 3/4</t>
  </si>
  <si>
    <t>39 3/8</t>
  </si>
  <si>
    <t>38 5/8</t>
  </si>
  <si>
    <t>1 1/16</t>
  </si>
  <si>
    <t>41 5/8</t>
  </si>
  <si>
    <t>12 3/8</t>
  </si>
  <si>
    <t>2 1/2</t>
  </si>
  <si>
    <t>40 3/4</t>
  </si>
  <si>
    <t>12 1/8</t>
  </si>
  <si>
    <t>2 1/8</t>
  </si>
  <si>
    <t>40 3/8</t>
  </si>
  <si>
    <t>1 15/16</t>
  </si>
  <si>
    <t>11 7/8</t>
  </si>
  <si>
    <t>11 3/4</t>
  </si>
  <si>
    <t>38 1/4</t>
  </si>
  <si>
    <t>43 1/8</t>
  </si>
  <si>
    <t>1 1/2</t>
  </si>
  <si>
    <t>18 5/8</t>
  </si>
  <si>
    <t>4 1/2</t>
  </si>
  <si>
    <t>18 1/4</t>
  </si>
  <si>
    <t>42 5/8</t>
  </si>
  <si>
    <t>4 5/16</t>
  </si>
  <si>
    <t>41 3/4</t>
  </si>
  <si>
    <t>17 3/4</t>
  </si>
  <si>
    <t>3 7/8</t>
  </si>
  <si>
    <t>17 5/8</t>
  </si>
  <si>
    <t>17 1/4</t>
  </si>
  <si>
    <t>2 15/16</t>
  </si>
  <si>
    <t>17 1/8</t>
  </si>
  <si>
    <t>2 11/16</t>
  </si>
  <si>
    <t>38 7/8</t>
  </si>
  <si>
    <t>1 3/8</t>
  </si>
  <si>
    <t>2 7/16</t>
  </si>
  <si>
    <t>38 3/8</t>
  </si>
  <si>
    <t>37 5/8</t>
  </si>
  <si>
    <t>16 5/8</t>
  </si>
  <si>
    <t>1 7/8</t>
  </si>
  <si>
    <t>37 3/8</t>
  </si>
  <si>
    <t>1 11/16</t>
  </si>
  <si>
    <t>37 1/8</t>
  </si>
  <si>
    <t>36 7/8</t>
  </si>
  <si>
    <t>16 1/2</t>
  </si>
  <si>
    <t>36 5/8</t>
  </si>
  <si>
    <t>36 1/2</t>
  </si>
  <si>
    <t>12 1/4</t>
  </si>
  <si>
    <t>36 3/4</t>
  </si>
  <si>
    <t>36 3/8</t>
  </si>
  <si>
    <t>36 1/8</t>
  </si>
  <si>
    <t>35 7/8</t>
  </si>
  <si>
    <t>35 1/2</t>
  </si>
  <si>
    <t>2 1/4</t>
  </si>
  <si>
    <t>35 1/8</t>
  </si>
  <si>
    <t>34 7/8</t>
  </si>
  <si>
    <t>34 1/2</t>
  </si>
  <si>
    <t>34 1/8</t>
  </si>
  <si>
    <t>33 7/8</t>
  </si>
  <si>
    <t>33 5/8</t>
  </si>
  <si>
    <t>11 1/2</t>
  </si>
  <si>
    <t>33 1/2</t>
  </si>
  <si>
    <t>11 5/8</t>
  </si>
  <si>
    <t>33 1/4</t>
  </si>
  <si>
    <t>33 1/8</t>
  </si>
  <si>
    <t>32 7/8</t>
  </si>
  <si>
    <t>15 5/8</t>
  </si>
  <si>
    <t>32 3/4</t>
  </si>
  <si>
    <t>15 1/2</t>
  </si>
  <si>
    <t>32 3/8</t>
  </si>
  <si>
    <t>15 3/8</t>
  </si>
  <si>
    <t>15 1/4</t>
  </si>
  <si>
    <t>31 5/8</t>
  </si>
  <si>
    <t>15 1/8</t>
  </si>
  <si>
    <t>31 1/4</t>
  </si>
  <si>
    <t>30 5/8</t>
  </si>
  <si>
    <t>30 1/2</t>
  </si>
  <si>
    <t>10 1/2</t>
  </si>
  <si>
    <t>30 1/4</t>
  </si>
  <si>
    <t>30 1/8</t>
  </si>
  <si>
    <t>29 7/8</t>
  </si>
  <si>
    <t>29 5/8</t>
  </si>
  <si>
    <t>29 1/2</t>
  </si>
  <si>
    <t>10 3/8</t>
  </si>
  <si>
    <t>32 1/2</t>
  </si>
  <si>
    <t>30 3/8</t>
  </si>
  <si>
    <t>14 5/8</t>
  </si>
  <si>
    <t>14 1/2</t>
  </si>
  <si>
    <t>29 1/4</t>
  </si>
  <si>
    <t>14 3/8</t>
  </si>
  <si>
    <t>14 1/4</t>
  </si>
  <si>
    <t>28 5/8</t>
  </si>
  <si>
    <t>28 3/8</t>
  </si>
  <si>
    <t>14 1/8</t>
  </si>
  <si>
    <t>28 1/8</t>
  </si>
  <si>
    <t>27 3/4</t>
  </si>
  <si>
    <t>27 5/8</t>
  </si>
  <si>
    <t>27 3/8</t>
  </si>
  <si>
    <t>27 1/4</t>
  </si>
  <si>
    <t>10 1/8</t>
  </si>
  <si>
    <t>27 1/8</t>
  </si>
  <si>
    <t>26 7/8</t>
  </si>
  <si>
    <t>26 3/4</t>
  </si>
  <si>
    <t>13 5/8</t>
  </si>
  <si>
    <t>27 1/2</t>
  </si>
  <si>
    <t>13 1/2</t>
  </si>
  <si>
    <t>13 3/8</t>
  </si>
  <si>
    <t>13 1/4</t>
  </si>
  <si>
    <t>26 3/8</t>
  </si>
  <si>
    <t>13 1/8</t>
  </si>
  <si>
    <t>25 3/4</t>
  </si>
  <si>
    <t>25 1/2</t>
  </si>
  <si>
    <t>25 1/4</t>
  </si>
  <si>
    <t>12 7/8</t>
  </si>
  <si>
    <t>24 3/4</t>
  </si>
  <si>
    <t>24 1/2</t>
  </si>
  <si>
    <t>24 1/4</t>
  </si>
  <si>
    <t>12 3/4</t>
  </si>
  <si>
    <t>9 1/8</t>
  </si>
  <si>
    <t>24 1/8</t>
  </si>
  <si>
    <t>23 7/8</t>
  </si>
  <si>
    <t>23 3/4</t>
  </si>
  <si>
    <t>23 5/8</t>
  </si>
  <si>
    <t>23 3/8</t>
  </si>
  <si>
    <t>12 5/8</t>
  </si>
  <si>
    <t>22 3/4</t>
  </si>
  <si>
    <t>12 1/2</t>
  </si>
  <si>
    <t>22 1/2</t>
  </si>
  <si>
    <t>21 7/8</t>
  </si>
  <si>
    <t>21 5/8</t>
  </si>
  <si>
    <t>21 1/2</t>
  </si>
  <si>
    <t>21 3/8</t>
  </si>
  <si>
    <t>8 3/8</t>
  </si>
  <si>
    <t>21 1/4</t>
  </si>
  <si>
    <t>8 1/4</t>
  </si>
  <si>
    <t>21 1/8</t>
  </si>
  <si>
    <t>20 3/4</t>
  </si>
  <si>
    <t>20 5/8</t>
  </si>
  <si>
    <t>8 1/8</t>
  </si>
  <si>
    <t>6 1/2</t>
  </si>
  <si>
    <t>20 7/8</t>
  </si>
  <si>
    <t>22 3/8</t>
  </si>
  <si>
    <t>2 5/16</t>
  </si>
  <si>
    <t>20 3/8</t>
  </si>
  <si>
    <t>11 3/8</t>
  </si>
  <si>
    <t>19 3/4</t>
  </si>
  <si>
    <t>11 1/4</t>
  </si>
  <si>
    <t>19 1/2</t>
  </si>
  <si>
    <t>19 1/4</t>
  </si>
  <si>
    <t>11 1/8</t>
  </si>
  <si>
    <t>18 3/4</t>
  </si>
  <si>
    <t>18 3/8</t>
  </si>
  <si>
    <t>18 1/2</t>
  </si>
  <si>
    <t>7 5/8</t>
  </si>
  <si>
    <t>7 1/2</t>
  </si>
  <si>
    <t>18 1/8</t>
  </si>
  <si>
    <t>17 7/8</t>
  </si>
  <si>
    <t>10 1/4</t>
  </si>
  <si>
    <t>7 1/8</t>
  </si>
  <si>
    <t>5 1/2</t>
  </si>
  <si>
    <t>3 15/16</t>
  </si>
  <si>
    <t>3 3/4</t>
  </si>
  <si>
    <t>5 1/8</t>
  </si>
  <si>
    <t>3 1/16</t>
  </si>
  <si>
    <t>4 15/16</t>
  </si>
  <si>
    <t>2 13/16</t>
  </si>
  <si>
    <t>2 5/8</t>
  </si>
  <si>
    <t>17 3/8</t>
  </si>
  <si>
    <t>4 3/16</t>
  </si>
  <si>
    <t>20 1/4</t>
  </si>
  <si>
    <t>3 13/16</t>
  </si>
  <si>
    <t>19 5/8</t>
  </si>
  <si>
    <t>3 1/2</t>
  </si>
  <si>
    <t>3 3/16</t>
  </si>
  <si>
    <t>2 7/8</t>
  </si>
  <si>
    <t>17 1/2</t>
  </si>
  <si>
    <t>14 3/4</t>
  </si>
  <si>
    <t>13 7/8</t>
  </si>
  <si>
    <t>13 3/4</t>
  </si>
  <si>
    <t>6 3/4</t>
  </si>
  <si>
    <t>10 7/8</t>
  </si>
  <si>
    <t>10 5/8</t>
  </si>
  <si>
    <t>9 7/8</t>
  </si>
  <si>
    <t>9 3/4</t>
  </si>
  <si>
    <t>5 3/4</t>
  </si>
  <si>
    <t>8 3/4</t>
  </si>
  <si>
    <t>8 1/2</t>
  </si>
  <si>
    <t>7 7/8</t>
  </si>
  <si>
    <t>5 1/4</t>
  </si>
  <si>
    <t>6 3/8</t>
  </si>
  <si>
    <t>6 1/8</t>
  </si>
  <si>
    <t>6 1/4</t>
  </si>
  <si>
    <t>5 7/8</t>
  </si>
  <si>
    <t>4 1/8</t>
  </si>
  <si>
    <t>ANALYSIS OF W-SECTION FOR AXIAL COMPRESSION</t>
  </si>
  <si>
    <t>CRITICAL  SLENDERNESS RATIO (kL/r)</t>
  </si>
  <si>
    <t>Governing kL</t>
  </si>
  <si>
    <t>Radius of 
Gyration (r)</t>
  </si>
  <si>
    <t xml:space="preserve"> kL/r</t>
  </si>
  <si>
    <t>Governing 
kL/r</t>
  </si>
  <si>
    <t>kLx =</t>
  </si>
  <si>
    <t>ft.</t>
  </si>
  <si>
    <t>rx =</t>
  </si>
  <si>
    <t>in.</t>
  </si>
  <si>
    <t>kLx/rx =</t>
  </si>
  <si>
    <t>W-SECTION</t>
  </si>
  <si>
    <t>W-Section:</t>
  </si>
  <si>
    <t>kLy =</t>
  </si>
  <si>
    <t>ry =</t>
  </si>
  <si>
    <t>kLy/ry =</t>
  </si>
  <si>
    <t>Modulus of Elasticity (E) =</t>
  </si>
  <si>
    <t>ksi</t>
  </si>
  <si>
    <t>Type of Steel:</t>
  </si>
  <si>
    <t>Fy =</t>
  </si>
  <si>
    <t>Fu =</t>
  </si>
  <si>
    <t>in.²</t>
  </si>
  <si>
    <t>CRITICAL STRESS (Fcr)</t>
  </si>
  <si>
    <t>Radius of Gyration (r)</t>
  </si>
  <si>
    <t>USING AISC COLUMN CURVE EQUATIONS</t>
  </si>
  <si>
    <t>4.71√(E/Fy) =</t>
  </si>
  <si>
    <t>λf = bf/2tf =</t>
  </si>
  <si>
    <t>λw = h/tw =</t>
  </si>
  <si>
    <t>Fe = π²E/(kL/r)²</t>
  </si>
  <si>
    <t>COMPACTNESS OF FLANGE AND WEB</t>
  </si>
  <si>
    <t>Fcr =</t>
  </si>
  <si>
    <t>FLANGE</t>
  </si>
  <si>
    <t>kips</t>
  </si>
  <si>
    <t>λf =</t>
  </si>
  <si>
    <t>λpf =</t>
  </si>
  <si>
    <t xml:space="preserve">λrf = </t>
  </si>
  <si>
    <t>COMPRESSION MEMBERS</t>
  </si>
  <si>
    <t>REMARKS:</t>
  </si>
  <si>
    <t>WEB</t>
  </si>
  <si>
    <t>LOAD AND RESISTANCE FACTOR DESIGN (LRFD) - ULTIMATE CAPACITY (Pu)</t>
  </si>
  <si>
    <t>Pu =  φPn = 0.9Pn =</t>
  </si>
  <si>
    <t xml:space="preserve">λw = </t>
  </si>
  <si>
    <t xml:space="preserve">λpw = </t>
  </si>
  <si>
    <t>ALLOWABLE STRENGTH DESIGN (ASD) - SERVICE CAPACITY (Pa)</t>
  </si>
  <si>
    <t xml:space="preserve">λrw = </t>
  </si>
  <si>
    <t>Pa =  Pn/Ω = Pn/1.67 =</t>
  </si>
  <si>
    <t>CRITICAL EFFECTIVE LENGTH (kL)</t>
  </si>
  <si>
    <t>Length (L)</t>
  </si>
  <si>
    <t>Effective Length Factor (k)</t>
  </si>
  <si>
    <t xml:space="preserve">End Connection </t>
  </si>
  <si>
    <t>Fixed-Fixed</t>
  </si>
  <si>
    <t>Fixed-Pinned</t>
  </si>
  <si>
    <t>Pinned-Pinned</t>
  </si>
  <si>
    <t>Pinned-Fixed but Translation Free</t>
  </si>
  <si>
    <t>Fixed-Fixed but Translation Free</t>
  </si>
  <si>
    <t>Fixed-Free</t>
  </si>
  <si>
    <t>Column End Conditions</t>
  </si>
  <si>
    <t>EFFECTIVE LENGTH FACTOR</t>
  </si>
  <si>
    <r>
      <t>t</t>
    </r>
    <r>
      <rPr>
        <b/>
        <i/>
        <vertAlign val="subscript"/>
        <sz val="10"/>
        <rFont val="Cambria"/>
        <family val="1"/>
        <scheme val="major"/>
      </rPr>
      <t>w</t>
    </r>
  </si>
  <si>
    <r>
      <t>h/t</t>
    </r>
    <r>
      <rPr>
        <b/>
        <i/>
        <vertAlign val="subscript"/>
        <sz val="10"/>
        <rFont val="Cambria"/>
        <family val="1"/>
        <scheme val="major"/>
      </rPr>
      <t>w</t>
    </r>
  </si>
  <si>
    <r>
      <t>b</t>
    </r>
    <r>
      <rPr>
        <b/>
        <i/>
        <vertAlign val="subscript"/>
        <sz val="10"/>
        <rFont val="Cambria"/>
        <family val="1"/>
        <scheme val="major"/>
      </rPr>
      <t>f</t>
    </r>
    <r>
      <rPr>
        <b/>
        <i/>
        <sz val="10"/>
        <rFont val="Cambria"/>
        <family val="1"/>
        <scheme val="major"/>
      </rPr>
      <t>/</t>
    </r>
    <r>
      <rPr>
        <b/>
        <sz val="10"/>
        <rFont val="Cambria"/>
        <family val="1"/>
        <scheme val="major"/>
      </rPr>
      <t>2</t>
    </r>
    <r>
      <rPr>
        <b/>
        <i/>
        <sz val="10"/>
        <rFont val="Cambria"/>
        <family val="1"/>
        <scheme val="major"/>
      </rPr>
      <t>t</t>
    </r>
    <r>
      <rPr>
        <b/>
        <i/>
        <vertAlign val="subscript"/>
        <sz val="10"/>
        <rFont val="Cambria"/>
        <family val="1"/>
        <scheme val="major"/>
      </rPr>
      <t>f</t>
    </r>
  </si>
  <si>
    <t>Mean Slip Coefficient</t>
  </si>
  <si>
    <t>REMARKS</t>
  </si>
  <si>
    <t xml:space="preserve">Minimum Edge Distance </t>
  </si>
  <si>
    <t>Dead Load (kips)</t>
  </si>
  <si>
    <t>Live Load (kips)</t>
  </si>
  <si>
    <t>Span Length (ft)</t>
  </si>
  <si>
    <t>Gross Area from Yielding of Gross Section</t>
  </si>
  <si>
    <t>Net Area from Fracture in the Effective Net Section</t>
  </si>
  <si>
    <t>Desired radius of gyration, r (in)</t>
  </si>
  <si>
    <t>Selecting a Section</t>
  </si>
  <si>
    <t>Type</t>
  </si>
  <si>
    <t>t</t>
  </si>
  <si>
    <t>Remarks</t>
  </si>
  <si>
    <t xml:space="preserve">Load Combination </t>
  </si>
  <si>
    <t>GIVEN PARAMETERS</t>
  </si>
  <si>
    <t>Fy  =</t>
  </si>
  <si>
    <t>Fu  =</t>
  </si>
  <si>
    <t>Area of the Section =</t>
  </si>
  <si>
    <t>rx (in.) =</t>
  </si>
  <si>
    <t>ry (in.) =</t>
  </si>
  <si>
    <t>if λf &lt; λpf, flange is compact; if λpf &lt; λf &lt;λrf, flange is non-compact; if λrf &lt; λf, flange is slender</t>
  </si>
  <si>
    <t>Pcr = Pn = AgFcr =</t>
  </si>
  <si>
    <t>if λw &lt; λpw, web is compact; if λpw &lt; λw &lt;λrw, web is non-compact; if λrw &lt; λw, web is slender</t>
  </si>
  <si>
    <t>Effective Length (kL)
ft.</t>
  </si>
  <si>
    <t>NOTE:</t>
  </si>
  <si>
    <t>BLUE FONTS INDICATES USERS INPUT!!</t>
  </si>
  <si>
    <t xml:space="preserve">ft. </t>
  </si>
  <si>
    <t>x =</t>
  </si>
  <si>
    <r>
      <t>y</t>
    </r>
    <r>
      <rPr>
        <b/>
        <vertAlign val="subscript"/>
        <sz val="9"/>
        <color rgb="FF000000"/>
        <rFont val="Lexend"/>
      </rPr>
      <t>1</t>
    </r>
    <r>
      <rPr>
        <b/>
        <sz val="11"/>
        <color rgb="FF000000"/>
        <rFont val="Lexend"/>
      </rPr>
      <t xml:space="preserve"> =</t>
    </r>
  </si>
  <si>
    <r>
      <t>y</t>
    </r>
    <r>
      <rPr>
        <b/>
        <vertAlign val="subscript"/>
        <sz val="9"/>
        <color rgb="FF000000"/>
        <rFont val="Lexend"/>
      </rPr>
      <t>2</t>
    </r>
    <r>
      <rPr>
        <b/>
        <sz val="11"/>
        <color rgb="FF000000"/>
        <rFont val="Lexend"/>
      </rPr>
      <t xml:space="preserve"> =</t>
    </r>
  </si>
  <si>
    <r>
      <t>y</t>
    </r>
    <r>
      <rPr>
        <b/>
        <vertAlign val="subscript"/>
        <sz val="9"/>
        <color rgb="FF000000"/>
        <rFont val="Lexend"/>
      </rPr>
      <t>3</t>
    </r>
    <r>
      <rPr>
        <b/>
        <sz val="11"/>
        <color rgb="FF000000"/>
        <rFont val="Lexend"/>
      </rPr>
      <t xml:space="preserve"> =</t>
    </r>
  </si>
  <si>
    <t>W-SECTIONS</t>
  </si>
  <si>
    <t>DESIGN OF W-SECTION FOR AXIAL COMPRESSION</t>
  </si>
  <si>
    <t xml:space="preserve">SELECT SECTIONS FOR LOAD AND RESISTANCE FACTOR DESIGN (LRFD) </t>
  </si>
  <si>
    <t>W14</t>
  </si>
  <si>
    <t>Ranking</t>
  </si>
  <si>
    <t>Section</t>
  </si>
  <si>
    <t>Ag
(in.²)</t>
  </si>
  <si>
    <t>Weight
(lb/ft)</t>
  </si>
  <si>
    <t>kL/r</t>
  </si>
  <si>
    <t>Compactness</t>
  </si>
  <si>
    <t>Fcr
(ksi)</t>
  </si>
  <si>
    <t>Pn = AgFcr
(kips)</t>
  </si>
  <si>
    <t>Ultimate Capacity
Pu =  φPn = 0.9Pn
(kips)</t>
  </si>
  <si>
    <t>rx/ry</t>
  </si>
  <si>
    <t>kLx/rx</t>
  </si>
  <si>
    <t>kLy/ry</t>
  </si>
  <si>
    <t>Governed
kL/r</t>
  </si>
  <si>
    <t>For Compactness</t>
  </si>
  <si>
    <t>Column Curve</t>
  </si>
  <si>
    <t>Compression Members</t>
  </si>
  <si>
    <t>Flange</t>
  </si>
  <si>
    <t>Web</t>
  </si>
  <si>
    <t>Resistance &gt; Load
 φPn &gt; Pu</t>
  </si>
  <si>
    <t>4.71√(E/Fy)</t>
  </si>
  <si>
    <t>Fe
(ksi)</t>
  </si>
  <si>
    <t>λf</t>
  </si>
  <si>
    <t>λpf</t>
  </si>
  <si>
    <t>λrf</t>
  </si>
  <si>
    <t>λw</t>
  </si>
  <si>
    <t>λpw</t>
  </si>
  <si>
    <t>λrw</t>
  </si>
  <si>
    <t>Pu = 0.9Pn
(kips)</t>
  </si>
  <si>
    <t>Pa = Pn/1.67
(kips)</t>
  </si>
  <si>
    <t>Dead Load (DL) =</t>
  </si>
  <si>
    <t>FOR RESISTANCE FACTOR DESIGN (LRFD), USE:</t>
  </si>
  <si>
    <t>Live Load (LL) =</t>
  </si>
  <si>
    <t>LOAD COMBINATION</t>
  </si>
  <si>
    <t>LOAD AND RESISTANCE FACTOR DESIGN (LRFD)</t>
  </si>
  <si>
    <t>SELECT SECTIONS FOR ALLOWABLE STRENGTH DESIGN (ASD)</t>
  </si>
  <si>
    <t>Pu = 1.4DL</t>
  </si>
  <si>
    <t xml:space="preserve">Pu = </t>
  </si>
  <si>
    <t>Allowabe Capacity
Pa =  Pn/Ω = Pn/1.67
(kips)</t>
  </si>
  <si>
    <t>Resistance &gt; Load
 Pn/Ω &gt; Pa</t>
  </si>
  <si>
    <t xml:space="preserve">Pu = 1.2DL + 1.6LL = </t>
  </si>
  <si>
    <t>ALLOWABLE STRENGTH DESIGN (ASD)</t>
  </si>
  <si>
    <t>Pa = DL + LL =</t>
  </si>
  <si>
    <t>FOR ALLOWABLE STRENGTH DESIGN (ASD), USE:</t>
  </si>
  <si>
    <t>Effective Length (kL)</t>
  </si>
  <si>
    <t>W12</t>
  </si>
  <si>
    <t>Column Curve Equations</t>
  </si>
  <si>
    <t>W10</t>
  </si>
  <si>
    <t>W8</t>
  </si>
  <si>
    <t>ANALYSIS OF BEAM</t>
  </si>
  <si>
    <t>ANALYSIS FOR AXIAL TENSION</t>
  </si>
  <si>
    <t>Ultimate Yielding and Fracture Parameters</t>
  </si>
  <si>
    <t>Given Parameters</t>
  </si>
  <si>
    <t>Bolt φ (in)</t>
  </si>
  <si>
    <t>Hole φ (in)</t>
  </si>
  <si>
    <t>Bolt φ</t>
  </si>
  <si>
    <t>Shear Resistance (Fv)</t>
  </si>
  <si>
    <t>Hole φ</t>
  </si>
  <si>
    <t>Tension Resistance (FT)</t>
  </si>
  <si>
    <t>Path</t>
  </si>
  <si>
    <t>Total Service Load (kips)</t>
  </si>
  <si>
    <r>
      <t>A</t>
    </r>
    <r>
      <rPr>
        <vertAlign val="subscript"/>
        <sz val="11"/>
        <color theme="1"/>
        <rFont val="Lexend"/>
      </rPr>
      <t>g</t>
    </r>
  </si>
  <si>
    <r>
      <t>A</t>
    </r>
    <r>
      <rPr>
        <vertAlign val="subscript"/>
        <sz val="11"/>
        <color theme="1"/>
        <rFont val="Lexend"/>
      </rPr>
      <t>n</t>
    </r>
  </si>
  <si>
    <r>
      <t>Gross Area (in</t>
    </r>
    <r>
      <rPr>
        <vertAlign val="superscript"/>
        <sz val="11"/>
        <color theme="1"/>
        <rFont val="Lexend"/>
      </rPr>
      <t>2</t>
    </r>
    <r>
      <rPr>
        <sz val="11"/>
        <color theme="1"/>
        <rFont val="Lexend"/>
      </rPr>
      <t>)</t>
    </r>
  </si>
  <si>
    <t># of hole in the path</t>
  </si>
  <si>
    <r>
      <t>s</t>
    </r>
    <r>
      <rPr>
        <vertAlign val="subscript"/>
        <sz val="11"/>
        <color theme="1"/>
        <rFont val="Lexend"/>
      </rPr>
      <t>1</t>
    </r>
  </si>
  <si>
    <r>
      <rPr>
        <sz val="11"/>
        <color theme="1"/>
        <rFont val="Lexend"/>
      </rPr>
      <t>g</t>
    </r>
    <r>
      <rPr>
        <vertAlign val="subscript"/>
        <sz val="11"/>
        <color theme="1"/>
        <rFont val="Lexend"/>
      </rPr>
      <t>1</t>
    </r>
  </si>
  <si>
    <t>Shear Lag Factor (U)</t>
  </si>
  <si>
    <t xml:space="preserve">DL to LL </t>
  </si>
  <si>
    <t>DL</t>
  </si>
  <si>
    <t>LL</t>
  </si>
  <si>
    <r>
      <t>(s</t>
    </r>
    <r>
      <rPr>
        <vertAlign val="subscript"/>
        <sz val="11"/>
        <color theme="1"/>
        <rFont val="Lexend"/>
      </rPr>
      <t>2</t>
    </r>
    <r>
      <rPr>
        <sz val="11"/>
        <color theme="1"/>
        <rFont val="Lexend"/>
      </rPr>
      <t>/4g</t>
    </r>
    <r>
      <rPr>
        <vertAlign val="subscript"/>
        <sz val="11"/>
        <color theme="1"/>
        <rFont val="Lexend"/>
      </rPr>
      <t>1</t>
    </r>
    <r>
      <rPr>
        <sz val="11"/>
        <color theme="1"/>
        <rFont val="Lexend"/>
      </rPr>
      <t>)t</t>
    </r>
  </si>
  <si>
    <t>Ratio</t>
  </si>
  <si>
    <r>
      <t>s</t>
    </r>
    <r>
      <rPr>
        <vertAlign val="subscript"/>
        <sz val="11"/>
        <color theme="1"/>
        <rFont val="Lexend"/>
      </rPr>
      <t>2</t>
    </r>
  </si>
  <si>
    <r>
      <rPr>
        <sz val="11"/>
        <color theme="1"/>
        <rFont val="Lexend"/>
      </rPr>
      <t>g</t>
    </r>
    <r>
      <rPr>
        <vertAlign val="subscript"/>
        <sz val="11"/>
        <color theme="1"/>
        <rFont val="Lexend"/>
      </rPr>
      <t>2</t>
    </r>
  </si>
  <si>
    <r>
      <t>(s</t>
    </r>
    <r>
      <rPr>
        <vertAlign val="superscript"/>
        <sz val="11"/>
        <color theme="1"/>
        <rFont val="Lexend"/>
      </rPr>
      <t>2</t>
    </r>
    <r>
      <rPr>
        <sz val="11"/>
        <color theme="1"/>
        <rFont val="Lexend"/>
      </rPr>
      <t>/4g</t>
    </r>
    <r>
      <rPr>
        <vertAlign val="subscript"/>
        <sz val="11"/>
        <color theme="1"/>
        <rFont val="Lexend"/>
      </rPr>
      <t>2</t>
    </r>
    <r>
      <rPr>
        <sz val="11"/>
        <color theme="1"/>
        <rFont val="Lexend"/>
      </rPr>
      <t>)t</t>
    </r>
  </si>
  <si>
    <r>
      <t>s</t>
    </r>
    <r>
      <rPr>
        <vertAlign val="subscript"/>
        <sz val="11"/>
        <color theme="1"/>
        <rFont val="Lexend"/>
      </rPr>
      <t>3</t>
    </r>
  </si>
  <si>
    <r>
      <rPr>
        <sz val="11"/>
        <color theme="1"/>
        <rFont val="Lexend"/>
      </rPr>
      <t>g</t>
    </r>
    <r>
      <rPr>
        <vertAlign val="subscript"/>
        <sz val="11"/>
        <color theme="1"/>
        <rFont val="Lexend"/>
      </rPr>
      <t>3</t>
    </r>
  </si>
  <si>
    <r>
      <t>(s</t>
    </r>
    <r>
      <rPr>
        <vertAlign val="superscript"/>
        <sz val="11"/>
        <color theme="1"/>
        <rFont val="Lexend"/>
      </rPr>
      <t>2</t>
    </r>
    <r>
      <rPr>
        <sz val="11"/>
        <color theme="1"/>
        <rFont val="Lexend"/>
      </rPr>
      <t>/4g</t>
    </r>
    <r>
      <rPr>
        <vertAlign val="subscript"/>
        <sz val="11"/>
        <color theme="1"/>
        <rFont val="Lexend"/>
      </rPr>
      <t>3</t>
    </r>
    <r>
      <rPr>
        <sz val="11"/>
        <color theme="1"/>
        <rFont val="Lexend"/>
      </rPr>
      <t>)t</t>
    </r>
  </si>
  <si>
    <r>
      <t>s</t>
    </r>
    <r>
      <rPr>
        <vertAlign val="subscript"/>
        <sz val="11"/>
        <color theme="1"/>
        <rFont val="Lexend"/>
      </rPr>
      <t>4</t>
    </r>
  </si>
  <si>
    <r>
      <rPr>
        <sz val="11"/>
        <color theme="1"/>
        <rFont val="Lexend"/>
      </rPr>
      <t>g</t>
    </r>
    <r>
      <rPr>
        <vertAlign val="subscript"/>
        <sz val="11"/>
        <color theme="1"/>
        <rFont val="Lexend"/>
      </rPr>
      <t>4</t>
    </r>
  </si>
  <si>
    <r>
      <t>(s</t>
    </r>
    <r>
      <rPr>
        <vertAlign val="superscript"/>
        <sz val="11"/>
        <color theme="1"/>
        <rFont val="Lexend"/>
      </rPr>
      <t>2</t>
    </r>
    <r>
      <rPr>
        <sz val="11"/>
        <color theme="1"/>
        <rFont val="Lexend"/>
      </rPr>
      <t>/4g</t>
    </r>
    <r>
      <rPr>
        <vertAlign val="subscript"/>
        <sz val="11"/>
        <color theme="1"/>
        <rFont val="Lexend"/>
      </rPr>
      <t>4</t>
    </r>
    <r>
      <rPr>
        <sz val="11"/>
        <color theme="1"/>
        <rFont val="Lexend"/>
      </rPr>
      <t>)t</t>
    </r>
  </si>
  <si>
    <r>
      <t>Σ(s</t>
    </r>
    <r>
      <rPr>
        <vertAlign val="superscript"/>
        <sz val="11"/>
        <color theme="1"/>
        <rFont val="Lexend"/>
      </rPr>
      <t>2</t>
    </r>
    <r>
      <rPr>
        <sz val="11"/>
        <color theme="1"/>
        <rFont val="Lexend"/>
      </rPr>
      <t>/4g)t</t>
    </r>
  </si>
  <si>
    <t>DESIGN FOR AXIAL TENSION</t>
  </si>
  <si>
    <t>Yielding Capacity (kips)</t>
  </si>
  <si>
    <t>Cases of h/tw</t>
  </si>
  <si>
    <r>
      <t>F</t>
    </r>
    <r>
      <rPr>
        <b/>
        <vertAlign val="subscript"/>
        <sz val="12"/>
        <color theme="1"/>
        <rFont val="Lexend"/>
      </rPr>
      <t xml:space="preserve">y </t>
    </r>
    <r>
      <rPr>
        <b/>
        <sz val="12"/>
        <color theme="1"/>
        <rFont val="LeXEND"/>
      </rPr>
      <t>(ksi)</t>
    </r>
  </si>
  <si>
    <r>
      <t>Z</t>
    </r>
    <r>
      <rPr>
        <b/>
        <vertAlign val="subscript"/>
        <sz val="11"/>
        <color theme="1"/>
        <rFont val="Lexend"/>
      </rPr>
      <t>x</t>
    </r>
    <r>
      <rPr>
        <b/>
        <sz val="11"/>
        <color theme="1"/>
        <rFont val="Lexend"/>
      </rPr>
      <t xml:space="preserve"> (in</t>
    </r>
    <r>
      <rPr>
        <b/>
        <vertAlign val="superscript"/>
        <sz val="11"/>
        <color theme="1"/>
        <rFont val="Lexend"/>
      </rPr>
      <t>3</t>
    </r>
    <r>
      <rPr>
        <b/>
        <sz val="11"/>
        <color theme="1"/>
        <rFont val="Lexend"/>
      </rPr>
      <t>)</t>
    </r>
  </si>
  <si>
    <r>
      <rPr>
        <b/>
        <sz val="11"/>
        <color theme="1"/>
        <rFont val="Lexend"/>
      </rPr>
      <t>S</t>
    </r>
    <r>
      <rPr>
        <b/>
        <vertAlign val="subscript"/>
        <sz val="11"/>
        <color theme="1"/>
        <rFont val="Lexend"/>
      </rPr>
      <t xml:space="preserve">x </t>
    </r>
    <r>
      <rPr>
        <b/>
        <sz val="11"/>
        <color theme="1"/>
        <rFont val="Lexend"/>
      </rPr>
      <t>(in</t>
    </r>
    <r>
      <rPr>
        <b/>
        <vertAlign val="superscript"/>
        <sz val="11"/>
        <color theme="1"/>
        <rFont val="Lexend"/>
      </rPr>
      <t>3</t>
    </r>
    <r>
      <rPr>
        <b/>
        <sz val="11"/>
        <color theme="1"/>
        <rFont val="Lexend"/>
      </rPr>
      <t>)</t>
    </r>
  </si>
  <si>
    <r>
      <t>I</t>
    </r>
    <r>
      <rPr>
        <b/>
        <vertAlign val="subscript"/>
        <sz val="11"/>
        <color theme="1"/>
        <rFont val="Lexend"/>
      </rPr>
      <t>x</t>
    </r>
    <r>
      <rPr>
        <b/>
        <sz val="11"/>
        <color theme="1"/>
        <rFont val="Lexend"/>
      </rPr>
      <t xml:space="preserve"> (in</t>
    </r>
    <r>
      <rPr>
        <b/>
        <vertAlign val="superscript"/>
        <sz val="11"/>
        <color theme="1"/>
        <rFont val="Lexend"/>
      </rPr>
      <t>3</t>
    </r>
    <r>
      <rPr>
        <b/>
        <sz val="11"/>
        <color theme="1"/>
        <rFont val="Lexend"/>
      </rPr>
      <t>)</t>
    </r>
  </si>
  <si>
    <r>
      <t>t</t>
    </r>
    <r>
      <rPr>
        <b/>
        <vertAlign val="subscript"/>
        <sz val="11"/>
        <color theme="1"/>
        <rFont val="Lexend"/>
      </rPr>
      <t>w</t>
    </r>
  </si>
  <si>
    <r>
      <t>h/t</t>
    </r>
    <r>
      <rPr>
        <b/>
        <vertAlign val="subscript"/>
        <sz val="11"/>
        <color theme="1"/>
        <rFont val="Lexend"/>
      </rPr>
      <t>w</t>
    </r>
  </si>
  <si>
    <r>
      <t>k</t>
    </r>
    <r>
      <rPr>
        <b/>
        <vertAlign val="subscript"/>
        <sz val="11"/>
        <color theme="1"/>
        <rFont val="Lexend"/>
      </rPr>
      <t>v</t>
    </r>
  </si>
  <si>
    <r>
      <t>M</t>
    </r>
    <r>
      <rPr>
        <b/>
        <vertAlign val="subscript"/>
        <sz val="11"/>
        <color theme="1"/>
        <rFont val="Lexend"/>
      </rPr>
      <t>u</t>
    </r>
    <r>
      <rPr>
        <b/>
        <sz val="11"/>
        <color theme="1"/>
        <rFont val="Lexend"/>
      </rPr>
      <t xml:space="preserve"> (kips-ft) </t>
    </r>
  </si>
  <si>
    <r>
      <t>M</t>
    </r>
    <r>
      <rPr>
        <b/>
        <vertAlign val="subscript"/>
        <sz val="11"/>
        <color theme="1"/>
        <rFont val="Lexend"/>
      </rPr>
      <t>a</t>
    </r>
    <r>
      <rPr>
        <b/>
        <sz val="11"/>
        <color theme="1"/>
        <rFont val="Lexend"/>
      </rPr>
      <t xml:space="preserve"> (kips-ft) </t>
    </r>
  </si>
  <si>
    <r>
      <t>Cases of h/t</t>
    </r>
    <r>
      <rPr>
        <b/>
        <vertAlign val="subscript"/>
        <sz val="11"/>
        <color theme="1"/>
        <rFont val="Lexend"/>
      </rPr>
      <t>w</t>
    </r>
  </si>
  <si>
    <r>
      <t>C</t>
    </r>
    <r>
      <rPr>
        <vertAlign val="subscript"/>
        <sz val="11"/>
        <color theme="1"/>
        <rFont val="Lexend"/>
      </rPr>
      <t>v</t>
    </r>
  </si>
  <si>
    <r>
      <t>C</t>
    </r>
    <r>
      <rPr>
        <vertAlign val="subscript"/>
        <sz val="11"/>
        <color theme="1"/>
        <rFont val="Lexend"/>
      </rPr>
      <t>v</t>
    </r>
    <r>
      <rPr>
        <sz val="11"/>
        <color theme="1"/>
        <rFont val="Lexend"/>
      </rPr>
      <t xml:space="preserve"> governed</t>
    </r>
  </si>
  <si>
    <r>
      <t>Φ</t>
    </r>
    <r>
      <rPr>
        <vertAlign val="subscript"/>
        <sz val="11"/>
        <color theme="1"/>
        <rFont val="Lexend"/>
      </rPr>
      <t>v</t>
    </r>
  </si>
  <si>
    <r>
      <t>Ω</t>
    </r>
    <r>
      <rPr>
        <vertAlign val="subscript"/>
        <sz val="11"/>
        <color theme="1"/>
        <rFont val="Lexend"/>
      </rPr>
      <t>v</t>
    </r>
  </si>
  <si>
    <r>
      <t>V</t>
    </r>
    <r>
      <rPr>
        <b/>
        <vertAlign val="subscript"/>
        <sz val="11"/>
        <color theme="1"/>
        <rFont val="Lexend"/>
      </rPr>
      <t>u</t>
    </r>
    <r>
      <rPr>
        <b/>
        <sz val="11"/>
        <color theme="1"/>
        <rFont val="Lexend"/>
      </rPr>
      <t xml:space="preserve"> (kips)</t>
    </r>
  </si>
  <si>
    <r>
      <t>V</t>
    </r>
    <r>
      <rPr>
        <b/>
        <vertAlign val="subscript"/>
        <sz val="11"/>
        <color theme="1"/>
        <rFont val="Lexend"/>
      </rPr>
      <t>a</t>
    </r>
    <r>
      <rPr>
        <b/>
        <sz val="11"/>
        <color theme="1"/>
        <rFont val="Lexend"/>
      </rPr>
      <t xml:space="preserve"> (kips)</t>
    </r>
  </si>
  <si>
    <r>
      <t>Z</t>
    </r>
    <r>
      <rPr>
        <vertAlign val="subscript"/>
        <sz val="11"/>
        <color theme="1"/>
        <rFont val="Lexend"/>
      </rPr>
      <t>x</t>
    </r>
    <r>
      <rPr>
        <sz val="11"/>
        <color theme="1"/>
        <rFont val="Lexend"/>
      </rPr>
      <t xml:space="preserve"> (in</t>
    </r>
    <r>
      <rPr>
        <vertAlign val="superscript"/>
        <sz val="11"/>
        <color theme="1"/>
        <rFont val="Lexend"/>
      </rPr>
      <t>3</t>
    </r>
    <r>
      <rPr>
        <sz val="11"/>
        <color theme="1"/>
        <rFont val="Lexend"/>
      </rPr>
      <t>)</t>
    </r>
  </si>
  <si>
    <r>
      <t>A</t>
    </r>
    <r>
      <rPr>
        <b/>
        <vertAlign val="subscript"/>
        <sz val="11"/>
        <color theme="1"/>
        <rFont val="Lexend"/>
      </rPr>
      <t>w</t>
    </r>
  </si>
  <si>
    <t>Simply-supported Beam:</t>
  </si>
  <si>
    <t>BLUE FONTS INDICATE USERS INPUT!!</t>
  </si>
  <si>
    <r>
      <t>r</t>
    </r>
    <r>
      <rPr>
        <vertAlign val="subscript"/>
        <sz val="14"/>
        <color theme="1"/>
        <rFont val="Lexend"/>
      </rPr>
      <t>min</t>
    </r>
  </si>
  <si>
    <r>
      <t>A</t>
    </r>
    <r>
      <rPr>
        <vertAlign val="subscript"/>
        <sz val="11"/>
        <color theme="1"/>
        <rFont val="Lexend"/>
      </rPr>
      <t>hole</t>
    </r>
  </si>
  <si>
    <r>
      <t>Required A</t>
    </r>
    <r>
      <rPr>
        <vertAlign val="subscript"/>
        <sz val="11"/>
        <color theme="1"/>
        <rFont val="Lexend"/>
      </rPr>
      <t>g</t>
    </r>
  </si>
  <si>
    <t xml:space="preserve"> Tensile Factored Load</t>
  </si>
  <si>
    <r>
      <t>A</t>
    </r>
    <r>
      <rPr>
        <b/>
        <vertAlign val="subscript"/>
        <sz val="11"/>
        <color theme="1"/>
        <rFont val="Lexend"/>
      </rPr>
      <t>g</t>
    </r>
    <r>
      <rPr>
        <b/>
        <sz val="11"/>
        <color theme="1"/>
        <rFont val="Lexend"/>
      </rPr>
      <t xml:space="preserve"> (in</t>
    </r>
    <r>
      <rPr>
        <b/>
        <vertAlign val="superscript"/>
        <sz val="11"/>
        <color theme="1"/>
        <rFont val="Lexend"/>
      </rPr>
      <t>2</t>
    </r>
    <r>
      <rPr>
        <b/>
        <sz val="11"/>
        <color theme="1"/>
        <rFont val="Lexend"/>
      </rPr>
      <t>)</t>
    </r>
  </si>
  <si>
    <r>
      <t>A</t>
    </r>
    <r>
      <rPr>
        <b/>
        <vertAlign val="subscript"/>
        <sz val="11"/>
        <color theme="1"/>
        <rFont val="Lexend"/>
      </rPr>
      <t>n</t>
    </r>
    <r>
      <rPr>
        <b/>
        <sz val="11"/>
        <color theme="1"/>
        <rFont val="Lexend"/>
      </rPr>
      <t xml:space="preserve"> (in</t>
    </r>
    <r>
      <rPr>
        <b/>
        <vertAlign val="superscript"/>
        <sz val="11"/>
        <color theme="1"/>
        <rFont val="Lexend"/>
      </rPr>
      <t>2</t>
    </r>
    <r>
      <rPr>
        <b/>
        <sz val="11"/>
        <color theme="1"/>
        <rFont val="Lexend"/>
      </rPr>
      <t>)</t>
    </r>
  </si>
  <si>
    <t>AISC Section (considering Live Load Deflection)</t>
  </si>
  <si>
    <r>
      <rPr>
        <b/>
        <sz val="12"/>
        <color rgb="FFFF0000"/>
        <rFont val="LeXEND"/>
      </rPr>
      <t>NOTE:</t>
    </r>
    <r>
      <rPr>
        <b/>
        <sz val="12"/>
        <color rgb="FF0070C0"/>
        <rFont val="Lexend"/>
      </rPr>
      <t xml:space="preserve">  BLUE FONTS INDICATES USERS INPUT!!</t>
    </r>
  </si>
  <si>
    <t>2.24 sqrt(E/Fy)</t>
  </si>
  <si>
    <r>
      <t>1.1sqrt(k</t>
    </r>
    <r>
      <rPr>
        <b/>
        <vertAlign val="subscript"/>
        <sz val="10"/>
        <color theme="1"/>
        <rFont val="Lexend"/>
      </rPr>
      <t>v</t>
    </r>
    <r>
      <rPr>
        <b/>
        <sz val="10"/>
        <color theme="1"/>
        <rFont val="Lexend"/>
      </rPr>
      <t>E/Fy)</t>
    </r>
  </si>
  <si>
    <r>
      <t>F</t>
    </r>
    <r>
      <rPr>
        <b/>
        <vertAlign val="subscript"/>
        <sz val="11"/>
        <color theme="1"/>
        <rFont val="Lexend"/>
      </rPr>
      <t xml:space="preserve">y </t>
    </r>
    <r>
      <rPr>
        <b/>
        <sz val="11"/>
        <color theme="1"/>
        <rFont val="Lexend"/>
      </rPr>
      <t>(ksi)</t>
    </r>
  </si>
  <si>
    <r>
      <t>1.37sqrt(k</t>
    </r>
    <r>
      <rPr>
        <b/>
        <vertAlign val="subscript"/>
        <sz val="10"/>
        <color theme="1"/>
        <rFont val="Lexend"/>
      </rPr>
      <t>v</t>
    </r>
    <r>
      <rPr>
        <b/>
        <sz val="10"/>
        <color theme="1"/>
        <rFont val="Lexend"/>
      </rPr>
      <t>E/Fy)</t>
    </r>
  </si>
  <si>
    <r>
      <t>Δ</t>
    </r>
    <r>
      <rPr>
        <b/>
        <vertAlign val="subscript"/>
        <sz val="11"/>
        <color theme="1"/>
        <rFont val="Lexend"/>
      </rPr>
      <t>max</t>
    </r>
    <r>
      <rPr>
        <b/>
        <sz val="11"/>
        <color theme="1"/>
        <rFont val="Lexend"/>
      </rPr>
      <t xml:space="preserve"> (ft.)</t>
    </r>
  </si>
  <si>
    <r>
      <t>λ</t>
    </r>
    <r>
      <rPr>
        <b/>
        <vertAlign val="subscript"/>
        <sz val="11"/>
        <color theme="1"/>
        <rFont val="Lexend"/>
      </rPr>
      <t>f</t>
    </r>
  </si>
  <si>
    <r>
      <t>λ</t>
    </r>
    <r>
      <rPr>
        <b/>
        <vertAlign val="subscript"/>
        <sz val="11"/>
        <color theme="1"/>
        <rFont val="Lexend"/>
      </rPr>
      <t>pf</t>
    </r>
  </si>
  <si>
    <r>
      <t>λ</t>
    </r>
    <r>
      <rPr>
        <b/>
        <vertAlign val="subscript"/>
        <sz val="11"/>
        <color theme="1"/>
        <rFont val="Lexend"/>
      </rPr>
      <t>rf</t>
    </r>
  </si>
  <si>
    <t xml:space="preserve">Capacity/Allowable deflection (ft.)         </t>
  </si>
  <si>
    <r>
      <rPr>
        <b/>
        <sz val="12"/>
        <color rgb="FFFF0000"/>
        <rFont val="LeXEND"/>
      </rPr>
      <t xml:space="preserve">NOTE: </t>
    </r>
    <r>
      <rPr>
        <b/>
        <sz val="12"/>
        <color rgb="FF0070C0"/>
        <rFont val="Lexend"/>
      </rPr>
      <t xml:space="preserve"> BLUE FONTS INDICATE USERS INPUT!!</t>
    </r>
  </si>
  <si>
    <r>
      <t>M</t>
    </r>
    <r>
      <rPr>
        <b/>
        <vertAlign val="subscript"/>
        <sz val="11"/>
        <color theme="1"/>
        <rFont val="Lexend"/>
      </rPr>
      <t xml:space="preserve">u </t>
    </r>
    <r>
      <rPr>
        <b/>
        <sz val="11"/>
        <color theme="1"/>
        <rFont val="Lexend"/>
      </rPr>
      <t>(kips-ft)</t>
    </r>
  </si>
  <si>
    <r>
      <t>I</t>
    </r>
    <r>
      <rPr>
        <b/>
        <vertAlign val="subscript"/>
        <sz val="14"/>
        <color theme="1"/>
        <rFont val="Lexend"/>
      </rPr>
      <t>x(required)</t>
    </r>
  </si>
  <si>
    <t>Dead Load</t>
  </si>
  <si>
    <t>Live Load</t>
  </si>
  <si>
    <t>Controls (kips)</t>
  </si>
  <si>
    <r>
      <t>F</t>
    </r>
    <r>
      <rPr>
        <b/>
        <vertAlign val="subscript"/>
        <sz val="11"/>
        <rFont val="Cambria"/>
        <family val="1"/>
        <scheme val="major"/>
      </rPr>
      <t>nv</t>
    </r>
  </si>
  <si>
    <t>Governed 
kL/r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</si>
</sst>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"/>
    <numFmt numFmtId="168" formatCode="0.000000"/>
    <numFmt numFmtId="169" formatCode="m/d"/>
  </numFmts>
  <fonts count="9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0"/>
      <name val="Cambria"/>
      <family val="1"/>
      <scheme val="major"/>
    </font>
    <font>
      <sz val="1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0"/>
      <color rgb="FF000000"/>
      <name val="Cambria"/>
      <family val="1"/>
      <scheme val="major"/>
    </font>
    <font>
      <b/>
      <sz val="10"/>
      <color rgb="FF000000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name val="Cambria"/>
      <family val="1"/>
      <scheme val="major"/>
    </font>
    <font>
      <b/>
      <sz val="16"/>
      <color theme="0"/>
      <name val="Cambria"/>
      <family val="1"/>
      <scheme val="major"/>
    </font>
    <font>
      <b/>
      <vertAlign val="subscript"/>
      <sz val="16"/>
      <color theme="0"/>
      <name val="Cambria"/>
      <family val="1"/>
      <scheme val="major"/>
    </font>
    <font>
      <b/>
      <sz val="16"/>
      <name val="Cambria"/>
      <family val="1"/>
      <scheme val="major"/>
    </font>
    <font>
      <sz val="16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3"/>
      <color rgb="FF000000"/>
      <name val="Lexend"/>
    </font>
    <font>
      <b/>
      <sz val="11"/>
      <color rgb="FF000000"/>
      <name val="Lexend"/>
    </font>
    <font>
      <sz val="11"/>
      <color rgb="FF000000"/>
      <name val="Lexend"/>
    </font>
    <font>
      <b/>
      <sz val="11"/>
      <color theme="1"/>
      <name val="Lexend"/>
    </font>
    <font>
      <sz val="10"/>
      <color rgb="FF000000"/>
      <name val="Calibri"/>
      <family val="2"/>
      <scheme val="minor"/>
    </font>
    <font>
      <b/>
      <sz val="10"/>
      <color rgb="FFFFFFFF"/>
      <name val="Comfortaa"/>
    </font>
    <font>
      <b/>
      <i/>
      <sz val="10"/>
      <name val="Cambria"/>
      <family val="1"/>
      <scheme val="major"/>
    </font>
    <font>
      <b/>
      <i/>
      <vertAlign val="subscript"/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3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8"/>
      <color rgb="FFFF0000"/>
      <name val="Cambria"/>
      <family val="1"/>
      <scheme val="major"/>
    </font>
    <font>
      <b/>
      <vertAlign val="subscript"/>
      <sz val="11"/>
      <name val="Cambria"/>
      <family val="1"/>
      <scheme val="major"/>
    </font>
    <font>
      <b/>
      <sz val="11"/>
      <name val="Lexend"/>
    </font>
    <font>
      <b/>
      <sz val="11"/>
      <color rgb="FF0070C0"/>
      <name val="Lexend"/>
    </font>
    <font>
      <b/>
      <sz val="11"/>
      <color rgb="FF0070C0"/>
      <name val="Calibri"/>
      <family val="2"/>
      <scheme val="minor"/>
    </font>
    <font>
      <b/>
      <sz val="10"/>
      <color rgb="FF0070C0"/>
      <name val="Arial"/>
      <family val="2"/>
    </font>
    <font>
      <b/>
      <sz val="13"/>
      <color rgb="FFFF0000"/>
      <name val="Lexend"/>
    </font>
    <font>
      <sz val="10"/>
      <color rgb="FFFF0000"/>
      <name val="Arial"/>
      <family val="2"/>
    </font>
    <font>
      <b/>
      <sz val="16"/>
      <color theme="1"/>
      <name val="Times New Roman"/>
      <family val="1"/>
    </font>
    <font>
      <b/>
      <sz val="20"/>
      <color rgb="FF0070C0"/>
      <name val="Times New Roman"/>
      <family val="1"/>
    </font>
    <font>
      <b/>
      <vertAlign val="subscript"/>
      <sz val="9"/>
      <color rgb="FF000000"/>
      <name val="Lexend"/>
    </font>
    <font>
      <sz val="10"/>
      <name val="Lexend"/>
    </font>
    <font>
      <sz val="11"/>
      <color theme="1"/>
      <name val="Lexend"/>
    </font>
    <font>
      <b/>
      <sz val="11"/>
      <color rgb="FF000000"/>
      <name val="Docs-Lexend"/>
    </font>
    <font>
      <b/>
      <sz val="11"/>
      <color rgb="FFFF0000"/>
      <name val="Lexend"/>
    </font>
    <font>
      <b/>
      <sz val="13"/>
      <color theme="1"/>
      <name val="Lexend"/>
    </font>
    <font>
      <vertAlign val="subscript"/>
      <sz val="11"/>
      <color theme="1"/>
      <name val="Lexend"/>
    </font>
    <font>
      <vertAlign val="superscript"/>
      <sz val="11"/>
      <color theme="1"/>
      <name val="Lexend"/>
    </font>
    <font>
      <sz val="8"/>
      <color theme="1"/>
      <name val="Lexend"/>
    </font>
    <font>
      <b/>
      <sz val="14"/>
      <color theme="1"/>
      <name val="Lexend"/>
    </font>
    <font>
      <b/>
      <sz val="16"/>
      <color rgb="FF0070C0"/>
      <name val="Lexend"/>
    </font>
    <font>
      <sz val="16"/>
      <color theme="1"/>
      <name val="Lexend"/>
    </font>
    <font>
      <b/>
      <sz val="10"/>
      <color theme="1"/>
      <name val="Lexend"/>
    </font>
    <font>
      <sz val="18"/>
      <name val="Lexend"/>
    </font>
    <font>
      <b/>
      <sz val="18"/>
      <color theme="1"/>
      <name val="LeXEND"/>
    </font>
    <font>
      <b/>
      <sz val="12"/>
      <color theme="1"/>
      <name val="LeXEND"/>
    </font>
    <font>
      <b/>
      <vertAlign val="subscript"/>
      <sz val="12"/>
      <color theme="1"/>
      <name val="Lexend"/>
    </font>
    <font>
      <b/>
      <vertAlign val="subscript"/>
      <sz val="11"/>
      <color theme="1"/>
      <name val="Lexend"/>
    </font>
    <font>
      <b/>
      <vertAlign val="superscript"/>
      <sz val="11"/>
      <color theme="1"/>
      <name val="Lexend"/>
    </font>
    <font>
      <sz val="11"/>
      <color rgb="FFFF0000"/>
      <name val="Lexend"/>
    </font>
    <font>
      <sz val="10"/>
      <color theme="1"/>
      <name val="Lexend"/>
    </font>
    <font>
      <b/>
      <sz val="14"/>
      <color rgb="FFFF0000"/>
      <name val="Lexend"/>
    </font>
    <font>
      <b/>
      <sz val="14"/>
      <color rgb="FF0070C0"/>
      <name val="Lexend"/>
    </font>
    <font>
      <b/>
      <sz val="16"/>
      <color theme="1"/>
      <name val="Lexend"/>
    </font>
    <font>
      <sz val="14"/>
      <color theme="1"/>
      <name val="Lexend"/>
    </font>
    <font>
      <vertAlign val="subscript"/>
      <sz val="14"/>
      <color theme="1"/>
      <name val="Lexend"/>
    </font>
    <font>
      <b/>
      <sz val="14"/>
      <name val="Lexend"/>
    </font>
    <font>
      <b/>
      <sz val="12"/>
      <color rgb="FF0070C0"/>
      <name val="Lexend"/>
    </font>
    <font>
      <b/>
      <sz val="12"/>
      <color rgb="FFFF0000"/>
      <name val="LeXEND"/>
    </font>
    <font>
      <b/>
      <sz val="12"/>
      <name val="Lexend"/>
    </font>
    <font>
      <b/>
      <sz val="9.5"/>
      <color theme="1"/>
      <name val="Lexend"/>
    </font>
    <font>
      <sz val="11"/>
      <color rgb="FF050505"/>
      <name val="Lexend"/>
    </font>
    <font>
      <b/>
      <vertAlign val="subscript"/>
      <sz val="10"/>
      <color theme="1"/>
      <name val="Lexend"/>
    </font>
    <font>
      <b/>
      <sz val="8"/>
      <color rgb="FFFF0000"/>
      <name val="Lexend"/>
    </font>
    <font>
      <b/>
      <sz val="9"/>
      <color rgb="FFFF0000"/>
      <name val="Lexend"/>
    </font>
    <font>
      <sz val="11"/>
      <color theme="0"/>
      <name val="Calibri"/>
      <family val="2"/>
      <scheme val="minor"/>
    </font>
    <font>
      <b/>
      <sz val="18"/>
      <color theme="0"/>
      <name val="Lexend"/>
    </font>
    <font>
      <sz val="11"/>
      <color theme="0"/>
      <name val="Lexend"/>
    </font>
    <font>
      <b/>
      <vertAlign val="subscript"/>
      <sz val="14"/>
      <color theme="1"/>
      <name val="Lexend"/>
    </font>
    <font>
      <sz val="18"/>
      <color theme="0"/>
      <name val="Lexend"/>
    </font>
    <font>
      <sz val="18"/>
      <color theme="0"/>
      <name val="Arial"/>
      <family val="2"/>
    </font>
    <font>
      <b/>
      <sz val="13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b/>
      <sz val="11"/>
      <color rgb="FF000000"/>
      <name val="Cambria"/>
      <family val="1"/>
      <scheme val="major"/>
    </font>
    <font>
      <b/>
      <sz val="18"/>
      <name val="Cambria"/>
      <family val="1"/>
      <scheme val="major"/>
    </font>
  </fonts>
  <fills count="7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ED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C25AD"/>
        <bgColor indexed="64"/>
      </patternFill>
    </fill>
    <fill>
      <patternFill patternType="solid">
        <fgColor rgb="FF7EA1FF"/>
        <bgColor indexed="64"/>
      </patternFill>
    </fill>
    <fill>
      <patternFill patternType="solid">
        <fgColor rgb="FF5BBCFF"/>
        <bgColor indexed="64"/>
      </patternFill>
    </fill>
    <fill>
      <patternFill patternType="solid">
        <fgColor rgb="FFFFFAB7"/>
        <bgColor indexed="64"/>
      </patternFill>
    </fill>
    <fill>
      <patternFill patternType="solid">
        <fgColor rgb="FFFFD1E3"/>
        <bgColor indexed="64"/>
      </patternFill>
    </fill>
    <fill>
      <patternFill patternType="solid">
        <fgColor rgb="FFFFB1B1"/>
        <bgColor indexed="64"/>
      </patternFill>
    </fill>
    <fill>
      <patternFill patternType="solid">
        <fgColor rgb="FFFFCBCB"/>
        <bgColor indexed="64"/>
      </patternFill>
    </fill>
    <fill>
      <patternFill patternType="solid">
        <fgColor rgb="FFFFEAE3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FCDF2"/>
        <bgColor rgb="FF5ADBE5"/>
      </patternFill>
    </fill>
    <fill>
      <patternFill patternType="solid">
        <fgColor rgb="FFFFFFB9"/>
        <bgColor theme="6"/>
      </patternFill>
    </fill>
    <fill>
      <patternFill patternType="solid">
        <fgColor rgb="FFFFFFB9"/>
        <bgColor indexed="64"/>
      </patternFill>
    </fill>
    <fill>
      <patternFill patternType="solid">
        <fgColor theme="8" tint="0.59999389629810485"/>
        <bgColor theme="8"/>
      </patternFill>
    </fill>
    <fill>
      <patternFill patternType="solid">
        <fgColor rgb="FFC5FBC8"/>
        <bgColor theme="9"/>
      </patternFill>
    </fill>
    <fill>
      <patternFill patternType="solid">
        <fgColor rgb="FFDEC8EE"/>
        <bgColor rgb="FFB6D7A8"/>
      </patternFill>
    </fill>
    <fill>
      <patternFill patternType="solid">
        <fgColor rgb="FF9AE8E6"/>
        <bgColor rgb="FF5ADBE5"/>
      </patternFill>
    </fill>
    <fill>
      <patternFill patternType="solid">
        <fgColor rgb="FFC5FBC8"/>
        <bgColor indexed="64"/>
      </patternFill>
    </fill>
    <fill>
      <patternFill patternType="solid">
        <fgColor rgb="FFDEC8EE"/>
        <bgColor indexed="64"/>
      </patternFill>
    </fill>
    <fill>
      <patternFill patternType="solid">
        <fgColor rgb="FF9AE8E6"/>
        <bgColor indexed="64"/>
      </patternFill>
    </fill>
    <fill>
      <patternFill patternType="solid">
        <fgColor rgb="FF90F895"/>
        <bgColor indexed="64"/>
      </patternFill>
    </fill>
    <fill>
      <patternFill patternType="solid">
        <fgColor rgb="FFFBD1AF"/>
        <bgColor theme="7"/>
      </patternFill>
    </fill>
    <fill>
      <patternFill patternType="solid">
        <fgColor rgb="FFFBD1AF"/>
        <bgColor indexed="64"/>
      </patternFill>
    </fill>
    <fill>
      <patternFill patternType="solid">
        <fgColor theme="8" tint="0.59999389629810485"/>
        <bgColor rgb="FF5ADBE5"/>
      </patternFill>
    </fill>
    <fill>
      <patternFill patternType="solid">
        <fgColor theme="8" tint="0.79998168889431442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rgb="FFC5FBC8"/>
        <bgColor rgb="FF5ADBE5"/>
      </patternFill>
    </fill>
    <fill>
      <patternFill patternType="solid">
        <fgColor rgb="FFFF9F9F"/>
        <bgColor theme="7"/>
      </patternFill>
    </fill>
    <fill>
      <patternFill patternType="solid">
        <fgColor rgb="FF9AE8E6"/>
        <bgColor theme="8"/>
      </patternFill>
    </fill>
    <fill>
      <patternFill patternType="solid">
        <fgColor rgb="FFFFCDCD"/>
        <bgColor theme="7"/>
      </patternFill>
    </fill>
    <fill>
      <patternFill patternType="solid">
        <fgColor rgb="FFFF9F9F"/>
        <bgColor theme="5"/>
      </patternFill>
    </fill>
    <fill>
      <patternFill patternType="solid">
        <fgColor rgb="FF9AE8E6"/>
        <bgColor theme="6"/>
      </patternFill>
    </fill>
    <fill>
      <patternFill patternType="solid">
        <fgColor rgb="FFFFFFB9"/>
        <bgColor theme="5"/>
      </patternFill>
    </fill>
    <fill>
      <patternFill patternType="solid">
        <fgColor rgb="FFFF9F9F"/>
        <bgColor indexed="64"/>
      </patternFill>
    </fill>
    <fill>
      <patternFill patternType="solid">
        <fgColor rgb="FFC5FBC8"/>
        <bgColor theme="8"/>
      </patternFill>
    </fill>
    <fill>
      <patternFill patternType="solid">
        <fgColor rgb="FFC5FBC8"/>
        <bgColor theme="6"/>
      </patternFill>
    </fill>
    <fill>
      <patternFill patternType="solid">
        <fgColor rgb="FF9AE8E6"/>
        <bgColor rgb="FFFF6D01"/>
      </patternFill>
    </fill>
    <fill>
      <patternFill patternType="solid">
        <fgColor rgb="FFFFCDCD"/>
        <bgColor theme="8"/>
      </patternFill>
    </fill>
    <fill>
      <patternFill patternType="solid">
        <fgColor rgb="FFFFCDCD"/>
        <bgColor indexed="64"/>
      </patternFill>
    </fill>
    <fill>
      <patternFill patternType="solid">
        <fgColor rgb="FFFFEFEF"/>
        <bgColor rgb="FFCFE2F3"/>
      </patternFill>
    </fill>
    <fill>
      <patternFill patternType="solid">
        <fgColor rgb="FFFFE5E5"/>
        <bgColor rgb="FFFFFFFF"/>
      </patternFill>
    </fill>
    <fill>
      <patternFill patternType="solid">
        <fgColor rgb="FFE5F4F7"/>
        <bgColor indexed="64"/>
      </patternFill>
    </fill>
    <fill>
      <patternFill patternType="solid">
        <fgColor rgb="FFE5F4F7"/>
        <bgColor rgb="FFFFFFFF"/>
      </patternFill>
    </fill>
    <fill>
      <patternFill patternType="solid">
        <fgColor rgb="FFFFE5E5"/>
        <bgColor rgb="FFCFE2F3"/>
      </patternFill>
    </fill>
    <fill>
      <patternFill patternType="solid">
        <fgColor theme="0"/>
        <bgColor rgb="FFB6D7A8"/>
      </patternFill>
    </fill>
    <fill>
      <patternFill patternType="solid">
        <fgColor rgb="FFD7FCD0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76CE"/>
        <bgColor rgb="FF5ADBE5"/>
      </patternFill>
    </fill>
    <fill>
      <patternFill patternType="solid">
        <fgColor rgb="FFFF76CE"/>
        <bgColor indexed="64"/>
      </patternFill>
    </fill>
    <fill>
      <patternFill patternType="solid">
        <fgColor rgb="FFA3D8FF"/>
        <bgColor indexed="64"/>
      </patternFill>
    </fill>
    <fill>
      <patternFill patternType="solid">
        <fgColor rgb="FFFFCF96"/>
        <bgColor indexed="64"/>
      </patternFill>
    </fill>
    <fill>
      <patternFill patternType="solid">
        <fgColor rgb="FFFFF8E3"/>
        <bgColor indexed="64"/>
      </patternFill>
    </fill>
    <fill>
      <patternFill patternType="solid">
        <fgColor rgb="FFFFF8E3"/>
        <bgColor rgb="FFFFFFFF"/>
      </patternFill>
    </fill>
    <fill>
      <patternFill patternType="solid">
        <fgColor rgb="FFFFEFEF"/>
        <bgColor rgb="FFFFFFFF"/>
      </patternFill>
    </fill>
    <fill>
      <patternFill patternType="solid">
        <fgColor rgb="FFFCD5B4"/>
        <bgColor indexed="64"/>
      </patternFill>
    </fill>
    <fill>
      <patternFill patternType="solid">
        <fgColor rgb="FFFCD5B4"/>
        <bgColor rgb="FF5ADBE5"/>
      </patternFill>
    </fill>
    <fill>
      <patternFill patternType="solid">
        <fgColor rgb="FFFDF0D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1EBFF"/>
        <bgColor indexed="64"/>
      </patternFill>
    </fill>
    <fill>
      <patternFill patternType="solid">
        <fgColor rgb="FFFDF0D1"/>
        <bgColor rgb="FFFFFFFF"/>
      </patternFill>
    </fill>
  </fills>
  <borders count="15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thick">
        <color auto="1"/>
      </left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rgb="FF000000"/>
      </left>
      <right/>
      <top style="thick">
        <color indexed="64"/>
      </top>
      <bottom/>
      <diagonal/>
    </border>
    <border>
      <left style="thick">
        <color rgb="FF000000"/>
      </left>
      <right style="thick">
        <color indexed="64"/>
      </right>
      <top/>
      <bottom/>
      <diagonal/>
    </border>
    <border>
      <left/>
      <right style="thick">
        <color rgb="FF000000"/>
      </right>
      <top style="thick">
        <color indexed="64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ck">
        <color rgb="FF000000"/>
      </left>
      <right/>
      <top/>
      <bottom style="thick">
        <color indexed="64"/>
      </bottom>
      <diagonal/>
    </border>
    <border>
      <left/>
      <right style="thick">
        <color rgb="FF000000"/>
      </right>
      <top/>
      <bottom style="thick">
        <color indexed="64"/>
      </bottom>
      <diagonal/>
    </border>
    <border>
      <left style="thick">
        <color indexed="64"/>
      </left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indexed="64"/>
      </bottom>
      <diagonal/>
    </border>
    <border>
      <left style="thick">
        <color auto="1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medium">
        <color indexed="64"/>
      </left>
      <right/>
      <top style="thick">
        <color auto="1"/>
      </top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auto="1"/>
      </right>
      <top style="thick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thick">
        <color indexed="64"/>
      </right>
      <top style="medium">
        <color auto="1"/>
      </top>
      <bottom style="medium">
        <color auto="1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ck">
        <color indexed="64"/>
      </bottom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thick">
        <color rgb="FF000000"/>
      </right>
      <top/>
      <bottom/>
      <diagonal/>
    </border>
    <border>
      <left style="medium">
        <color indexed="64"/>
      </left>
      <right style="thick">
        <color rgb="FF000000"/>
      </right>
      <top/>
      <bottom style="medium">
        <color indexed="64"/>
      </bottom>
      <diagonal/>
    </border>
    <border>
      <left style="medium">
        <color indexed="64"/>
      </left>
      <right style="thick">
        <color rgb="FF000000"/>
      </right>
      <top style="medium">
        <color indexed="64"/>
      </top>
      <bottom/>
      <diagonal/>
    </border>
    <border>
      <left style="medium">
        <color indexed="64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 style="thick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 style="thick">
        <color auto="1"/>
      </left>
      <right/>
      <top style="thick">
        <color rgb="FF000000"/>
      </top>
      <bottom/>
      <diagonal/>
    </border>
    <border>
      <left style="thick">
        <color auto="1"/>
      </left>
      <right style="medium">
        <color indexed="64"/>
      </right>
      <top/>
      <bottom style="thick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thick">
        <color indexed="64"/>
      </top>
      <bottom/>
      <diagonal/>
    </border>
  </borders>
  <cellStyleXfs count="15">
    <xf numFmtId="0" fontId="0" fillId="0" borderId="0"/>
    <xf numFmtId="0" fontId="2" fillId="0" borderId="0"/>
    <xf numFmtId="0" fontId="3" fillId="2" borderId="1" applyNumberFormat="0" applyFont="0" applyAlignment="0" applyProtection="0"/>
    <xf numFmtId="0" fontId="3" fillId="0" borderId="0"/>
    <xf numFmtId="0" fontId="3" fillId="2" borderId="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5" fillId="0" borderId="0"/>
    <xf numFmtId="0" fontId="2" fillId="2" borderId="1" applyNumberFormat="0" applyFont="0" applyAlignment="0" applyProtection="0"/>
    <xf numFmtId="0" fontId="2" fillId="0" borderId="0"/>
    <xf numFmtId="0" fontId="2" fillId="2" borderId="1" applyNumberFormat="0" applyFont="0" applyAlignment="0" applyProtection="0"/>
    <xf numFmtId="0" fontId="2" fillId="0" borderId="0"/>
    <xf numFmtId="0" fontId="6" fillId="0" borderId="0"/>
    <xf numFmtId="0" fontId="2" fillId="0" borderId="0"/>
  </cellStyleXfs>
  <cellXfs count="1409">
    <xf numFmtId="0" fontId="0" fillId="0" borderId="0" xfId="0"/>
    <xf numFmtId="0" fontId="11" fillId="5" borderId="44" xfId="1" applyFont="1" applyFill="1" applyBorder="1" applyAlignment="1">
      <alignment horizontal="center"/>
    </xf>
    <xf numFmtId="1" fontId="11" fillId="5" borderId="2" xfId="1" applyNumberFormat="1" applyFont="1" applyFill="1" applyBorder="1" applyAlignment="1">
      <alignment horizontal="center"/>
    </xf>
    <xf numFmtId="164" fontId="11" fillId="5" borderId="2" xfId="2" applyNumberFormat="1" applyFont="1" applyFill="1" applyBorder="1" applyAlignment="1">
      <alignment horizontal="center"/>
    </xf>
    <xf numFmtId="164" fontId="11" fillId="5" borderId="2" xfId="1" applyNumberFormat="1" applyFont="1" applyFill="1" applyBorder="1" applyAlignment="1">
      <alignment horizontal="center"/>
    </xf>
    <xf numFmtId="13" fontId="11" fillId="5" borderId="2" xfId="1" applyNumberFormat="1" applyFont="1" applyFill="1" applyBorder="1" applyAlignment="1">
      <alignment horizontal="center"/>
    </xf>
    <xf numFmtId="0" fontId="11" fillId="5" borderId="2" xfId="1" applyFont="1" applyFill="1" applyBorder="1" applyAlignment="1">
      <alignment horizontal="center"/>
    </xf>
    <xf numFmtId="2" fontId="11" fillId="5" borderId="2" xfId="1" applyNumberFormat="1" applyFont="1" applyFill="1" applyBorder="1" applyAlignment="1">
      <alignment horizontal="center"/>
    </xf>
    <xf numFmtId="13" fontId="11" fillId="5" borderId="2" xfId="1" applyNumberFormat="1" applyFont="1" applyFill="1" applyBorder="1" applyAlignment="1">
      <alignment horizontal="center" vertical="center"/>
    </xf>
    <xf numFmtId="2" fontId="11" fillId="5" borderId="2" xfId="2" applyNumberFormat="1" applyFont="1" applyFill="1" applyBorder="1" applyAlignment="1">
      <alignment horizontal="center"/>
    </xf>
    <xf numFmtId="1" fontId="11" fillId="5" borderId="2" xfId="2" applyNumberFormat="1" applyFont="1" applyFill="1" applyBorder="1" applyAlignment="1">
      <alignment horizontal="center"/>
    </xf>
    <xf numFmtId="0" fontId="11" fillId="5" borderId="2" xfId="2" applyNumberFormat="1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164" fontId="11" fillId="5" borderId="2" xfId="9" applyNumberFormat="1" applyFont="1" applyFill="1" applyBorder="1" applyAlignment="1">
      <alignment horizontal="center"/>
    </xf>
    <xf numFmtId="1" fontId="11" fillId="5" borderId="2" xfId="9" applyNumberFormat="1" applyFont="1" applyFill="1" applyBorder="1" applyAlignment="1">
      <alignment horizontal="center"/>
    </xf>
    <xf numFmtId="165" fontId="11" fillId="5" borderId="2" xfId="2" applyNumberFormat="1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164" fontId="11" fillId="5" borderId="2" xfId="0" applyNumberFormat="1" applyFont="1" applyFill="1" applyBorder="1" applyAlignment="1">
      <alignment horizontal="center"/>
    </xf>
    <xf numFmtId="0" fontId="11" fillId="5" borderId="33" xfId="0" applyFont="1" applyFill="1" applyBorder="1" applyAlignment="1">
      <alignment horizontal="center"/>
    </xf>
    <xf numFmtId="164" fontId="12" fillId="5" borderId="2" xfId="0" applyNumberFormat="1" applyFont="1" applyFill="1" applyBorder="1" applyAlignment="1">
      <alignment horizontal="center"/>
    </xf>
    <xf numFmtId="164" fontId="12" fillId="5" borderId="2" xfId="2" applyNumberFormat="1" applyFont="1" applyFill="1" applyBorder="1" applyAlignment="1">
      <alignment horizontal="center"/>
    </xf>
    <xf numFmtId="2" fontId="11" fillId="5" borderId="2" xfId="9" applyNumberFormat="1" applyFont="1" applyFill="1" applyBorder="1" applyAlignment="1">
      <alignment horizontal="center"/>
    </xf>
    <xf numFmtId="165" fontId="11" fillId="5" borderId="2" xfId="1" applyNumberFormat="1" applyFont="1" applyFill="1" applyBorder="1" applyAlignment="1">
      <alignment horizontal="center"/>
    </xf>
    <xf numFmtId="165" fontId="11" fillId="5" borderId="2" xfId="1" applyNumberFormat="1" applyFont="1" applyFill="1" applyBorder="1" applyAlignment="1" applyProtection="1">
      <alignment horizontal="center"/>
      <protection locked="0"/>
    </xf>
    <xf numFmtId="2" fontId="11" fillId="5" borderId="2" xfId="1" applyNumberFormat="1" applyFont="1" applyFill="1" applyBorder="1" applyAlignment="1" applyProtection="1">
      <alignment horizontal="center"/>
      <protection locked="0"/>
    </xf>
    <xf numFmtId="0" fontId="11" fillId="5" borderId="2" xfId="1" applyFont="1" applyFill="1" applyBorder="1" applyAlignment="1" applyProtection="1">
      <alignment horizontal="center"/>
      <protection locked="0"/>
    </xf>
    <xf numFmtId="2" fontId="11" fillId="5" borderId="2" xfId="0" applyNumberFormat="1" applyFont="1" applyFill="1" applyBorder="1" applyAlignment="1">
      <alignment horizontal="center"/>
    </xf>
    <xf numFmtId="2" fontId="12" fillId="5" borderId="2" xfId="0" applyNumberFormat="1" applyFont="1" applyFill="1" applyBorder="1" applyAlignment="1">
      <alignment horizontal="center"/>
    </xf>
    <xf numFmtId="166" fontId="11" fillId="5" borderId="2" xfId="1" applyNumberFormat="1" applyFont="1" applyFill="1" applyBorder="1" applyAlignment="1">
      <alignment horizontal="center"/>
    </xf>
    <xf numFmtId="165" fontId="12" fillId="5" borderId="2" xfId="0" applyNumberFormat="1" applyFont="1" applyFill="1" applyBorder="1" applyAlignment="1">
      <alignment horizontal="center"/>
    </xf>
    <xf numFmtId="165" fontId="11" fillId="5" borderId="2" xfId="0" applyNumberFormat="1" applyFont="1" applyFill="1" applyBorder="1" applyAlignment="1">
      <alignment horizontal="center"/>
    </xf>
    <xf numFmtId="167" fontId="11" fillId="5" borderId="2" xfId="1" applyNumberFormat="1" applyFont="1" applyFill="1" applyBorder="1" applyAlignment="1">
      <alignment horizontal="center"/>
    </xf>
    <xf numFmtId="168" fontId="11" fillId="5" borderId="2" xfId="1" applyNumberFormat="1" applyFont="1" applyFill="1" applyBorder="1" applyAlignment="1">
      <alignment horizontal="center"/>
    </xf>
    <xf numFmtId="2" fontId="11" fillId="5" borderId="2" xfId="10" applyNumberFormat="1" applyFont="1" applyFill="1" applyBorder="1" applyAlignment="1">
      <alignment horizontal="center"/>
    </xf>
    <xf numFmtId="13" fontId="11" fillId="5" borderId="2" xfId="1" applyNumberFormat="1" applyFont="1" applyFill="1" applyBorder="1" applyAlignment="1" applyProtection="1">
      <alignment horizontal="center" vertical="center"/>
      <protection locked="0"/>
    </xf>
    <xf numFmtId="165" fontId="11" fillId="5" borderId="2" xfId="9" applyNumberFormat="1" applyFont="1" applyFill="1" applyBorder="1" applyAlignment="1">
      <alignment horizontal="center"/>
    </xf>
    <xf numFmtId="0" fontId="11" fillId="5" borderId="2" xfId="9" applyNumberFormat="1" applyFont="1" applyFill="1" applyBorder="1" applyAlignment="1">
      <alignment horizontal="center"/>
    </xf>
    <xf numFmtId="2" fontId="11" fillId="5" borderId="2" xfId="8" applyNumberFormat="1" applyFont="1" applyFill="1" applyBorder="1" applyAlignment="1">
      <alignment horizontal="center"/>
    </xf>
    <xf numFmtId="0" fontId="11" fillId="5" borderId="2" xfId="10" applyFont="1" applyFill="1" applyBorder="1" applyAlignment="1">
      <alignment horizontal="center"/>
    </xf>
    <xf numFmtId="164" fontId="11" fillId="5" borderId="2" xfId="10" applyNumberFormat="1" applyFont="1" applyFill="1" applyBorder="1" applyAlignment="1">
      <alignment horizontal="center"/>
    </xf>
    <xf numFmtId="165" fontId="11" fillId="5" borderId="2" xfId="10" applyNumberFormat="1" applyFont="1" applyFill="1" applyBorder="1" applyAlignment="1">
      <alignment horizontal="center"/>
    </xf>
    <xf numFmtId="2" fontId="11" fillId="5" borderId="33" xfId="1" applyNumberFormat="1" applyFont="1" applyFill="1" applyBorder="1" applyAlignment="1">
      <alignment horizontal="center"/>
    </xf>
    <xf numFmtId="0" fontId="11" fillId="5" borderId="49" xfId="1" applyFont="1" applyFill="1" applyBorder="1" applyAlignment="1">
      <alignment horizontal="center"/>
    </xf>
    <xf numFmtId="2" fontId="11" fillId="5" borderId="35" xfId="1" applyNumberFormat="1" applyFont="1" applyFill="1" applyBorder="1" applyAlignment="1">
      <alignment horizontal="center"/>
    </xf>
    <xf numFmtId="164" fontId="11" fillId="5" borderId="35" xfId="2" applyNumberFormat="1" applyFont="1" applyFill="1" applyBorder="1" applyAlignment="1">
      <alignment horizontal="center"/>
    </xf>
    <xf numFmtId="13" fontId="11" fillId="5" borderId="35" xfId="1" applyNumberFormat="1" applyFont="1" applyFill="1" applyBorder="1" applyAlignment="1">
      <alignment horizontal="center"/>
    </xf>
    <xf numFmtId="0" fontId="11" fillId="5" borderId="35" xfId="1" applyFont="1" applyFill="1" applyBorder="1" applyAlignment="1">
      <alignment horizontal="center"/>
    </xf>
    <xf numFmtId="13" fontId="11" fillId="5" borderId="35" xfId="1" applyNumberFormat="1" applyFont="1" applyFill="1" applyBorder="1" applyAlignment="1">
      <alignment horizontal="center" vertical="center"/>
    </xf>
    <xf numFmtId="165" fontId="11" fillId="5" borderId="35" xfId="1" applyNumberFormat="1" applyFont="1" applyFill="1" applyBorder="1" applyAlignment="1">
      <alignment horizontal="center"/>
    </xf>
    <xf numFmtId="164" fontId="11" fillId="5" borderId="35" xfId="1" applyNumberFormat="1" applyFont="1" applyFill="1" applyBorder="1" applyAlignment="1">
      <alignment horizontal="center"/>
    </xf>
    <xf numFmtId="1" fontId="11" fillId="5" borderId="35" xfId="1" applyNumberFormat="1" applyFont="1" applyFill="1" applyBorder="1" applyAlignment="1">
      <alignment horizontal="center"/>
    </xf>
    <xf numFmtId="0" fontId="11" fillId="5" borderId="35" xfId="1" applyFont="1" applyFill="1" applyBorder="1" applyAlignment="1" applyProtection="1">
      <alignment horizontal="center"/>
      <protection locked="0"/>
    </xf>
    <xf numFmtId="0" fontId="11" fillId="5" borderId="35" xfId="0" applyFont="1" applyFill="1" applyBorder="1" applyAlignment="1">
      <alignment horizontal="center"/>
    </xf>
    <xf numFmtId="0" fontId="11" fillId="5" borderId="36" xfId="0" applyFont="1" applyFill="1" applyBorder="1" applyAlignment="1">
      <alignment horizontal="center"/>
    </xf>
    <xf numFmtId="0" fontId="12" fillId="0" borderId="0" xfId="0" applyFont="1"/>
    <xf numFmtId="0" fontId="15" fillId="15" borderId="12" xfId="0" applyFont="1" applyFill="1" applyBorder="1" applyAlignment="1">
      <alignment horizontal="center" vertical="center"/>
    </xf>
    <xf numFmtId="0" fontId="11" fillId="15" borderId="12" xfId="0" applyFont="1" applyFill="1" applyBorder="1" applyAlignment="1">
      <alignment horizontal="center" vertical="center"/>
    </xf>
    <xf numFmtId="0" fontId="15" fillId="15" borderId="3" xfId="0" applyFont="1" applyFill="1" applyBorder="1" applyAlignment="1">
      <alignment horizontal="center" vertical="center" wrapText="1"/>
    </xf>
    <xf numFmtId="0" fontId="15" fillId="15" borderId="29" xfId="0" applyFont="1" applyFill="1" applyBorder="1" applyAlignment="1">
      <alignment horizontal="center" vertical="center" wrapText="1"/>
    </xf>
    <xf numFmtId="0" fontId="15" fillId="15" borderId="32" xfId="0" applyFont="1" applyFill="1" applyBorder="1" applyAlignment="1">
      <alignment horizontal="center" vertical="center" wrapText="1"/>
    </xf>
    <xf numFmtId="0" fontId="15" fillId="15" borderId="32" xfId="0" applyFont="1" applyFill="1" applyBorder="1" applyAlignment="1">
      <alignment horizontal="center"/>
    </xf>
    <xf numFmtId="0" fontId="16" fillId="15" borderId="32" xfId="0" applyFont="1" applyFill="1" applyBorder="1" applyAlignment="1">
      <alignment horizontal="center"/>
    </xf>
    <xf numFmtId="0" fontId="15" fillId="15" borderId="34" xfId="0" applyFont="1" applyFill="1" applyBorder="1" applyAlignment="1">
      <alignment horizontal="center" vertical="center" wrapText="1"/>
    </xf>
    <xf numFmtId="0" fontId="15" fillId="15" borderId="41" xfId="0" applyFont="1" applyFill="1" applyBorder="1" applyAlignment="1">
      <alignment horizontal="center" vertical="center" wrapText="1"/>
    </xf>
    <xf numFmtId="0" fontId="15" fillId="15" borderId="5" xfId="0" applyFont="1" applyFill="1" applyBorder="1" applyAlignment="1">
      <alignment horizontal="center" vertical="center" wrapText="1"/>
    </xf>
    <xf numFmtId="0" fontId="15" fillId="15" borderId="40" xfId="0" applyFont="1" applyFill="1" applyBorder="1" applyAlignment="1">
      <alignment horizontal="center" vertical="center" wrapText="1"/>
    </xf>
    <xf numFmtId="0" fontId="15" fillId="15" borderId="50" xfId="0" applyFont="1" applyFill="1" applyBorder="1" applyAlignment="1">
      <alignment horizontal="center" vertical="center"/>
    </xf>
    <xf numFmtId="0" fontId="15" fillId="15" borderId="51" xfId="0" applyFont="1" applyFill="1" applyBorder="1" applyAlignment="1">
      <alignment horizontal="center" vertical="center"/>
    </xf>
    <xf numFmtId="0" fontId="15" fillId="15" borderId="51" xfId="0" applyFont="1" applyFill="1" applyBorder="1" applyAlignment="1">
      <alignment horizontal="center"/>
    </xf>
    <xf numFmtId="0" fontId="15" fillId="15" borderId="52" xfId="0" applyFont="1" applyFill="1" applyBorder="1" applyAlignment="1">
      <alignment horizontal="center" vertical="center"/>
    </xf>
    <xf numFmtId="0" fontId="15" fillId="15" borderId="24" xfId="0" applyFont="1" applyFill="1" applyBorder="1" applyAlignment="1">
      <alignment horizontal="center" vertical="center"/>
    </xf>
    <xf numFmtId="0" fontId="15" fillId="15" borderId="46" xfId="0" applyFont="1" applyFill="1" applyBorder="1" applyAlignment="1">
      <alignment horizontal="center" vertical="center"/>
    </xf>
    <xf numFmtId="0" fontId="15" fillId="15" borderId="46" xfId="0" applyFont="1" applyFill="1" applyBorder="1" applyAlignment="1">
      <alignment horizontal="center"/>
    </xf>
    <xf numFmtId="0" fontId="15" fillId="15" borderId="37" xfId="0" applyFont="1" applyFill="1" applyBorder="1" applyAlignment="1">
      <alignment horizontal="center" vertical="center"/>
    </xf>
    <xf numFmtId="0" fontId="15" fillId="15" borderId="42" xfId="0" applyFont="1" applyFill="1" applyBorder="1" applyAlignment="1">
      <alignment horizontal="center" vertical="center" wrapText="1"/>
    </xf>
    <xf numFmtId="0" fontId="15" fillId="15" borderId="53" xfId="0" applyFont="1" applyFill="1" applyBorder="1" applyAlignment="1">
      <alignment horizontal="center" vertical="center" wrapText="1"/>
    </xf>
    <xf numFmtId="0" fontId="15" fillId="15" borderId="5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1" fillId="14" borderId="32" xfId="1" applyFont="1" applyFill="1" applyBorder="1" applyAlignment="1">
      <alignment horizontal="center"/>
    </xf>
    <xf numFmtId="0" fontId="11" fillId="14" borderId="2" xfId="1" applyFont="1" applyFill="1" applyBorder="1" applyAlignment="1">
      <alignment horizontal="center"/>
    </xf>
    <xf numFmtId="0" fontId="11" fillId="14" borderId="33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11" fillId="14" borderId="35" xfId="1" applyFont="1" applyFill="1" applyBorder="1" applyAlignment="1">
      <alignment horizontal="center"/>
    </xf>
    <xf numFmtId="0" fontId="11" fillId="14" borderId="36" xfId="1" applyFont="1" applyFill="1" applyBorder="1" applyAlignment="1">
      <alignment horizontal="center"/>
    </xf>
    <xf numFmtId="0" fontId="18" fillId="12" borderId="17" xfId="0" applyFont="1" applyFill="1" applyBorder="1" applyAlignment="1">
      <alignment horizontal="center" vertical="center"/>
    </xf>
    <xf numFmtId="0" fontId="18" fillId="12" borderId="58" xfId="0" applyFont="1" applyFill="1" applyBorder="1" applyAlignment="1">
      <alignment horizontal="center" vertical="center"/>
    </xf>
    <xf numFmtId="0" fontId="12" fillId="12" borderId="54" xfId="0" applyFont="1" applyFill="1" applyBorder="1" applyAlignment="1">
      <alignment horizontal="center" vertical="center"/>
    </xf>
    <xf numFmtId="0" fontId="18" fillId="15" borderId="4" xfId="0" applyFont="1" applyFill="1" applyBorder="1" applyAlignment="1">
      <alignment horizontal="center" vertical="center"/>
    </xf>
    <xf numFmtId="0" fontId="18" fillId="15" borderId="57" xfId="0" applyFont="1" applyFill="1" applyBorder="1" applyAlignment="1">
      <alignment horizontal="center" vertical="center"/>
    </xf>
    <xf numFmtId="0" fontId="18" fillId="15" borderId="44" xfId="0" applyFont="1" applyFill="1" applyBorder="1" applyAlignment="1">
      <alignment horizontal="center" vertical="center"/>
    </xf>
    <xf numFmtId="0" fontId="12" fillId="15" borderId="33" xfId="0" applyFont="1" applyFill="1" applyBorder="1" applyAlignment="1">
      <alignment horizontal="center" vertical="center"/>
    </xf>
    <xf numFmtId="0" fontId="18" fillId="15" borderId="33" xfId="0" applyFont="1" applyFill="1" applyBorder="1" applyAlignment="1">
      <alignment horizontal="center" vertical="center"/>
    </xf>
    <xf numFmtId="0" fontId="18" fillId="15" borderId="49" xfId="0" applyFont="1" applyFill="1" applyBorder="1" applyAlignment="1">
      <alignment horizontal="center" vertical="center"/>
    </xf>
    <xf numFmtId="0" fontId="18" fillId="15" borderId="36" xfId="0" applyFont="1" applyFill="1" applyBorder="1" applyAlignment="1">
      <alignment horizontal="center" vertical="center"/>
    </xf>
    <xf numFmtId="0" fontId="23" fillId="8" borderId="29" xfId="0" applyFont="1" applyFill="1" applyBorder="1" applyAlignment="1">
      <alignment horizontal="center" vertical="center"/>
    </xf>
    <xf numFmtId="0" fontId="23" fillId="8" borderId="30" xfId="0" applyFont="1" applyFill="1" applyBorder="1" applyAlignment="1">
      <alignment horizontal="center" vertical="center"/>
    </xf>
    <xf numFmtId="0" fontId="23" fillId="8" borderId="31" xfId="0" applyFont="1" applyFill="1" applyBorder="1" applyAlignment="1">
      <alignment horizontal="center" vertical="center"/>
    </xf>
    <xf numFmtId="0" fontId="19" fillId="8" borderId="48" xfId="0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horizontal="center" vertical="center"/>
    </xf>
    <xf numFmtId="13" fontId="23" fillId="8" borderId="30" xfId="0" applyNumberFormat="1" applyFont="1" applyFill="1" applyBorder="1" applyAlignment="1">
      <alignment horizontal="center" vertical="center"/>
    </xf>
    <xf numFmtId="13" fontId="23" fillId="8" borderId="31" xfId="0" applyNumberFormat="1" applyFont="1" applyFill="1" applyBorder="1" applyAlignment="1">
      <alignment horizontal="center" vertical="center"/>
    </xf>
    <xf numFmtId="0" fontId="12" fillId="12" borderId="56" xfId="0" applyFont="1" applyFill="1" applyBorder="1" applyAlignment="1">
      <alignment horizontal="center" vertical="center"/>
    </xf>
    <xf numFmtId="0" fontId="12" fillId="12" borderId="51" xfId="0" applyFont="1" applyFill="1" applyBorder="1" applyAlignment="1">
      <alignment horizontal="center" vertical="center"/>
    </xf>
    <xf numFmtId="0" fontId="12" fillId="12" borderId="52" xfId="0" applyFont="1" applyFill="1" applyBorder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0" fontId="18" fillId="12" borderId="56" xfId="0" applyFont="1" applyFill="1" applyBorder="1" applyAlignment="1">
      <alignment horizontal="center" vertical="center"/>
    </xf>
    <xf numFmtId="0" fontId="18" fillId="12" borderId="52" xfId="0" applyFont="1" applyFill="1" applyBorder="1" applyAlignment="1">
      <alignment horizontal="center" vertical="center"/>
    </xf>
    <xf numFmtId="0" fontId="18" fillId="15" borderId="55" xfId="0" applyFont="1" applyFill="1" applyBorder="1" applyAlignment="1">
      <alignment horizontal="center" vertical="center"/>
    </xf>
    <xf numFmtId="0" fontId="12" fillId="15" borderId="38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7" fillId="13" borderId="17" xfId="0" applyFont="1" applyFill="1" applyBorder="1" applyAlignment="1">
      <alignment horizontal="center" vertical="center"/>
    </xf>
    <xf numFmtId="0" fontId="27" fillId="13" borderId="13" xfId="0" applyFont="1" applyFill="1" applyBorder="1" applyAlignment="1">
      <alignment horizontal="center" vertical="center"/>
    </xf>
    <xf numFmtId="0" fontId="27" fillId="13" borderId="16" xfId="0" applyFont="1" applyFill="1" applyBorder="1" applyAlignment="1">
      <alignment horizontal="center" vertical="center"/>
    </xf>
    <xf numFmtId="0" fontId="12" fillId="12" borderId="50" xfId="0" applyFont="1" applyFill="1" applyBorder="1" applyAlignment="1">
      <alignment horizontal="center" vertical="center"/>
    </xf>
    <xf numFmtId="0" fontId="22" fillId="0" borderId="8" xfId="0" applyFont="1" applyBorder="1"/>
    <xf numFmtId="164" fontId="11" fillId="0" borderId="0" xfId="1" applyNumberFormat="1" applyFont="1" applyAlignment="1">
      <alignment horizontal="center"/>
    </xf>
    <xf numFmtId="2" fontId="11" fillId="0" borderId="0" xfId="1" applyNumberFormat="1" applyFont="1" applyAlignment="1">
      <alignment horizontal="center"/>
    </xf>
    <xf numFmtId="0" fontId="11" fillId="0" borderId="0" xfId="1" applyFont="1" applyAlignment="1">
      <alignment horizontal="center"/>
    </xf>
    <xf numFmtId="0" fontId="11" fillId="0" borderId="0" xfId="9" applyNumberFormat="1" applyFont="1" applyFill="1" applyBorder="1" applyAlignment="1">
      <alignment horizontal="center"/>
    </xf>
    <xf numFmtId="0" fontId="11" fillId="0" borderId="0" xfId="10" applyFont="1" applyAlignment="1">
      <alignment horizontal="center"/>
    </xf>
    <xf numFmtId="0" fontId="0" fillId="37" borderId="0" xfId="0" applyFill="1"/>
    <xf numFmtId="0" fontId="0" fillId="37" borderId="82" xfId="0" applyFill="1" applyBorder="1"/>
    <xf numFmtId="0" fontId="0" fillId="37" borderId="21" xfId="0" applyFill="1" applyBorder="1"/>
    <xf numFmtId="0" fontId="0" fillId="37" borderId="15" xfId="0" applyFill="1" applyBorder="1"/>
    <xf numFmtId="0" fontId="0" fillId="37" borderId="28" xfId="0" applyFill="1" applyBorder="1"/>
    <xf numFmtId="0" fontId="51" fillId="0" borderId="28" xfId="0" applyFont="1" applyBorder="1"/>
    <xf numFmtId="0" fontId="51" fillId="37" borderId="28" xfId="0" applyFont="1" applyFill="1" applyBorder="1"/>
    <xf numFmtId="0" fontId="29" fillId="40" borderId="85" xfId="0" applyFont="1" applyFill="1" applyBorder="1" applyAlignment="1">
      <alignment horizontal="center" vertical="center" wrapText="1"/>
    </xf>
    <xf numFmtId="0" fontId="29" fillId="41" borderId="85" xfId="0" applyFont="1" applyFill="1" applyBorder="1" applyAlignment="1">
      <alignment horizontal="center" vertical="center" wrapText="1"/>
    </xf>
    <xf numFmtId="0" fontId="29" fillId="47" borderId="85" xfId="0" applyFont="1" applyFill="1" applyBorder="1" applyAlignment="1">
      <alignment horizontal="center" vertical="center"/>
    </xf>
    <xf numFmtId="0" fontId="29" fillId="43" borderId="85" xfId="0" applyFont="1" applyFill="1" applyBorder="1" applyAlignment="1">
      <alignment horizontal="center" vertical="center"/>
    </xf>
    <xf numFmtId="0" fontId="31" fillId="41" borderId="85" xfId="0" applyFont="1" applyFill="1" applyBorder="1" applyAlignment="1">
      <alignment horizontal="center" vertical="center" wrapText="1"/>
    </xf>
    <xf numFmtId="0" fontId="29" fillId="48" borderId="85" xfId="0" applyFont="1" applyFill="1" applyBorder="1" applyAlignment="1">
      <alignment horizontal="center" wrapText="1"/>
    </xf>
    <xf numFmtId="0" fontId="29" fillId="49" borderId="85" xfId="0" applyFont="1" applyFill="1" applyBorder="1" applyAlignment="1">
      <alignment horizontal="center" vertical="center" wrapText="1"/>
    </xf>
    <xf numFmtId="165" fontId="31" fillId="43" borderId="85" xfId="0" applyNumberFormat="1" applyFont="1" applyFill="1" applyBorder="1" applyAlignment="1">
      <alignment horizontal="center" vertical="center"/>
    </xf>
    <xf numFmtId="0" fontId="31" fillId="39" borderId="85" xfId="0" applyFont="1" applyFill="1" applyBorder="1" applyAlignment="1">
      <alignment horizontal="center" vertical="center"/>
    </xf>
    <xf numFmtId="0" fontId="53" fillId="51" borderId="0" xfId="0" applyFont="1" applyFill="1" applyAlignment="1">
      <alignment horizontal="center" wrapText="1"/>
    </xf>
    <xf numFmtId="0" fontId="30" fillId="51" borderId="0" xfId="0" applyFont="1" applyFill="1" applyAlignment="1">
      <alignment horizontal="center" wrapText="1"/>
    </xf>
    <xf numFmtId="0" fontId="53" fillId="51" borderId="28" xfId="0" applyFont="1" applyFill="1" applyBorder="1" applyAlignment="1">
      <alignment horizontal="center" wrapText="1"/>
    </xf>
    <xf numFmtId="0" fontId="30" fillId="52" borderId="0" xfId="0" applyFont="1" applyFill="1" applyAlignment="1">
      <alignment horizontal="center" vertical="center"/>
    </xf>
    <xf numFmtId="0" fontId="30" fillId="53" borderId="0" xfId="0" applyFont="1" applyFill="1" applyAlignment="1">
      <alignment horizontal="center" vertical="center"/>
    </xf>
    <xf numFmtId="2" fontId="30" fillId="53" borderId="0" xfId="0" applyNumberFormat="1" applyFont="1" applyFill="1" applyAlignment="1">
      <alignment horizontal="center" vertical="center"/>
    </xf>
    <xf numFmtId="2" fontId="30" fillId="54" borderId="0" xfId="0" applyNumberFormat="1" applyFont="1" applyFill="1" applyAlignment="1">
      <alignment horizontal="center" vertical="center"/>
    </xf>
    <xf numFmtId="0" fontId="30" fillId="55" borderId="0" xfId="0" applyFont="1" applyFill="1" applyAlignment="1">
      <alignment horizontal="center" vertical="center"/>
    </xf>
    <xf numFmtId="2" fontId="30" fillId="54" borderId="0" xfId="0" applyNumberFormat="1" applyFont="1" applyFill="1" applyAlignment="1">
      <alignment horizontal="center"/>
    </xf>
    <xf numFmtId="165" fontId="30" fillId="53" borderId="0" xfId="0" applyNumberFormat="1" applyFont="1" applyFill="1" applyAlignment="1">
      <alignment horizontal="center" vertical="center"/>
    </xf>
    <xf numFmtId="0" fontId="53" fillId="51" borderId="73" xfId="0" applyFont="1" applyFill="1" applyBorder="1" applyAlignment="1">
      <alignment horizontal="center" wrapText="1"/>
    </xf>
    <xf numFmtId="0" fontId="30" fillId="51" borderId="73" xfId="0" applyFont="1" applyFill="1" applyBorder="1" applyAlignment="1">
      <alignment horizontal="center" wrapText="1"/>
    </xf>
    <xf numFmtId="0" fontId="53" fillId="51" borderId="80" xfId="0" applyFont="1" applyFill="1" applyBorder="1" applyAlignment="1">
      <alignment horizontal="center" wrapText="1"/>
    </xf>
    <xf numFmtId="0" fontId="51" fillId="37" borderId="0" xfId="0" applyFont="1" applyFill="1"/>
    <xf numFmtId="0" fontId="53" fillId="51" borderId="68" xfId="0" applyFont="1" applyFill="1" applyBorder="1" applyAlignment="1">
      <alignment horizontal="center" wrapText="1"/>
    </xf>
    <xf numFmtId="0" fontId="53" fillId="51" borderId="69" xfId="0" applyFont="1" applyFill="1" applyBorder="1" applyAlignment="1">
      <alignment horizontal="center" wrapText="1"/>
    </xf>
    <xf numFmtId="0" fontId="53" fillId="51" borderId="86" xfId="0" applyFont="1" applyFill="1" applyBorder="1" applyAlignment="1">
      <alignment horizontal="center" wrapText="1"/>
    </xf>
    <xf numFmtId="0" fontId="53" fillId="51" borderId="87" xfId="0" applyFont="1" applyFill="1" applyBorder="1" applyAlignment="1">
      <alignment horizontal="center" wrapText="1"/>
    </xf>
    <xf numFmtId="0" fontId="29" fillId="21" borderId="88" xfId="0" applyFont="1" applyFill="1" applyBorder="1" applyAlignment="1">
      <alignment vertical="center"/>
    </xf>
    <xf numFmtId="165" fontId="30" fillId="54" borderId="0" xfId="0" applyNumberFormat="1" applyFont="1" applyFill="1" applyAlignment="1">
      <alignment horizontal="center" vertical="center"/>
    </xf>
    <xf numFmtId="0" fontId="30" fillId="55" borderId="28" xfId="0" applyFont="1" applyFill="1" applyBorder="1" applyAlignment="1">
      <alignment horizontal="center" vertical="center"/>
    </xf>
    <xf numFmtId="0" fontId="30" fillId="52" borderId="73" xfId="0" applyFont="1" applyFill="1" applyBorder="1" applyAlignment="1">
      <alignment horizontal="center" vertical="center"/>
    </xf>
    <xf numFmtId="0" fontId="30" fillId="55" borderId="80" xfId="0" applyFont="1" applyFill="1" applyBorder="1" applyAlignment="1">
      <alignment horizontal="center" vertical="center"/>
    </xf>
    <xf numFmtId="0" fontId="29" fillId="21" borderId="89" xfId="0" applyFont="1" applyFill="1" applyBorder="1" applyAlignment="1">
      <alignment vertical="center"/>
    </xf>
    <xf numFmtId="0" fontId="30" fillId="55" borderId="23" xfId="0" applyFont="1" applyFill="1" applyBorder="1" applyAlignment="1">
      <alignment horizontal="center" vertical="center"/>
    </xf>
    <xf numFmtId="0" fontId="30" fillId="53" borderId="73" xfId="0" applyFont="1" applyFill="1" applyBorder="1" applyAlignment="1">
      <alignment horizontal="center" vertical="center"/>
    </xf>
    <xf numFmtId="165" fontId="30" fillId="53" borderId="73" xfId="0" applyNumberFormat="1" applyFont="1" applyFill="1" applyBorder="1" applyAlignment="1">
      <alignment horizontal="center" vertical="center"/>
    </xf>
    <xf numFmtId="165" fontId="30" fillId="54" borderId="73" xfId="0" applyNumberFormat="1" applyFont="1" applyFill="1" applyBorder="1" applyAlignment="1">
      <alignment horizontal="center" vertical="center"/>
    </xf>
    <xf numFmtId="0" fontId="30" fillId="55" borderId="73" xfId="0" applyFont="1" applyFill="1" applyBorder="1" applyAlignment="1">
      <alignment horizontal="center" vertical="center"/>
    </xf>
    <xf numFmtId="0" fontId="30" fillId="56" borderId="28" xfId="0" applyFont="1" applyFill="1" applyBorder="1" applyAlignment="1">
      <alignment vertical="center"/>
    </xf>
    <xf numFmtId="0" fontId="31" fillId="28" borderId="72" xfId="0" applyFont="1" applyFill="1" applyBorder="1" applyAlignment="1">
      <alignment horizontal="center" vertical="center"/>
    </xf>
    <xf numFmtId="0" fontId="51" fillId="0" borderId="0" xfId="0" applyFont="1"/>
    <xf numFmtId="0" fontId="12" fillId="12" borderId="45" xfId="0" applyFont="1" applyFill="1" applyBorder="1" applyAlignment="1">
      <alignment horizontal="center"/>
    </xf>
    <xf numFmtId="0" fontId="12" fillId="12" borderId="37" xfId="0" applyFont="1" applyFill="1" applyBorder="1" applyAlignment="1">
      <alignment horizontal="center"/>
    </xf>
    <xf numFmtId="0" fontId="31" fillId="0" borderId="0" xfId="0" applyFont="1" applyAlignment="1">
      <alignment vertical="top"/>
    </xf>
    <xf numFmtId="0" fontId="51" fillId="6" borderId="17" xfId="0" applyFont="1" applyFill="1" applyBorder="1" applyAlignment="1">
      <alignment horizontal="center" vertical="center"/>
    </xf>
    <xf numFmtId="2" fontId="51" fillId="6" borderId="17" xfId="0" applyNumberFormat="1" applyFont="1" applyFill="1" applyBorder="1" applyAlignment="1">
      <alignment horizontal="center" vertical="center"/>
    </xf>
    <xf numFmtId="2" fontId="51" fillId="6" borderId="17" xfId="0" applyNumberFormat="1" applyFont="1" applyFill="1" applyBorder="1" applyAlignment="1">
      <alignment horizontal="center"/>
    </xf>
    <xf numFmtId="0" fontId="12" fillId="12" borderId="55" xfId="0" applyFont="1" applyFill="1" applyBorder="1"/>
    <xf numFmtId="0" fontId="12" fillId="12" borderId="38" xfId="0" applyFont="1" applyFill="1" applyBorder="1"/>
    <xf numFmtId="0" fontId="23" fillId="10" borderId="53" xfId="0" applyFont="1" applyFill="1" applyBorder="1"/>
    <xf numFmtId="0" fontId="23" fillId="10" borderId="54" xfId="0" applyFont="1" applyFill="1" applyBorder="1"/>
    <xf numFmtId="0" fontId="51" fillId="0" borderId="27" xfId="0" applyFont="1" applyBorder="1"/>
    <xf numFmtId="0" fontId="51" fillId="57" borderId="14" xfId="0" applyFont="1" applyFill="1" applyBorder="1" applyAlignment="1">
      <alignment horizontal="center" vertical="center"/>
    </xf>
    <xf numFmtId="0" fontId="51" fillId="57" borderId="13" xfId="0" applyFont="1" applyFill="1" applyBorder="1" applyAlignment="1">
      <alignment horizontal="center" vertical="center"/>
    </xf>
    <xf numFmtId="0" fontId="51" fillId="27" borderId="17" xfId="0" applyFont="1" applyFill="1" applyBorder="1" applyAlignment="1">
      <alignment horizontal="center" vertical="center"/>
    </xf>
    <xf numFmtId="0" fontId="57" fillId="27" borderId="17" xfId="0" applyFont="1" applyFill="1" applyBorder="1" applyAlignment="1">
      <alignment horizontal="center" vertical="center" wrapText="1"/>
    </xf>
    <xf numFmtId="0" fontId="55" fillId="27" borderId="17" xfId="0" applyFont="1" applyFill="1" applyBorder="1" applyAlignment="1">
      <alignment horizontal="center" vertical="center"/>
    </xf>
    <xf numFmtId="0" fontId="51" fillId="28" borderId="22" xfId="0" applyFont="1" applyFill="1" applyBorder="1" applyAlignment="1">
      <alignment horizontal="center" vertical="center"/>
    </xf>
    <xf numFmtId="0" fontId="51" fillId="28" borderId="71" xfId="0" applyFont="1" applyFill="1" applyBorder="1" applyAlignment="1">
      <alignment horizontal="center" vertical="center"/>
    </xf>
    <xf numFmtId="0" fontId="31" fillId="28" borderId="70" xfId="0" applyFont="1" applyFill="1" applyBorder="1" applyAlignment="1">
      <alignment horizontal="center" vertical="center"/>
    </xf>
    <xf numFmtId="0" fontId="18" fillId="0" borderId="0" xfId="0" applyFont="1"/>
    <xf numFmtId="0" fontId="25" fillId="0" borderId="0" xfId="0" applyFont="1" applyAlignment="1">
      <alignment horizontal="center"/>
    </xf>
    <xf numFmtId="0" fontId="51" fillId="58" borderId="71" xfId="0" applyFont="1" applyFill="1" applyBorder="1"/>
    <xf numFmtId="0" fontId="31" fillId="58" borderId="88" xfId="0" applyFont="1" applyFill="1" applyBorder="1" applyAlignment="1">
      <alignment vertical="center"/>
    </xf>
    <xf numFmtId="0" fontId="51" fillId="58" borderId="27" xfId="0" applyFont="1" applyFill="1" applyBorder="1"/>
    <xf numFmtId="0" fontId="51" fillId="58" borderId="89" xfId="0" applyFont="1" applyFill="1" applyBorder="1"/>
    <xf numFmtId="0" fontId="31" fillId="58" borderId="27" xfId="0" applyFont="1" applyFill="1" applyBorder="1" applyAlignment="1">
      <alignment vertical="center"/>
    </xf>
    <xf numFmtId="0" fontId="51" fillId="58" borderId="23" xfId="0" applyFont="1" applyFill="1" applyBorder="1"/>
    <xf numFmtId="0" fontId="51" fillId="58" borderId="73" xfId="0" applyFont="1" applyFill="1" applyBorder="1" applyAlignment="1">
      <alignment horizontal="center" vertical="center"/>
    </xf>
    <xf numFmtId="0" fontId="51" fillId="58" borderId="0" xfId="0" applyFont="1" applyFill="1" applyAlignment="1">
      <alignment horizontal="center" vertical="center"/>
    </xf>
    <xf numFmtId="0" fontId="51" fillId="58" borderId="0" xfId="0" applyFont="1" applyFill="1" applyAlignment="1">
      <alignment vertical="center"/>
    </xf>
    <xf numFmtId="0" fontId="51" fillId="58" borderId="28" xfId="0" applyFont="1" applyFill="1" applyBorder="1" applyAlignment="1">
      <alignment vertical="center"/>
    </xf>
    <xf numFmtId="0" fontId="51" fillId="58" borderId="28" xfId="0" applyFont="1" applyFill="1" applyBorder="1"/>
    <xf numFmtId="0" fontId="51" fillId="58" borderId="0" xfId="0" applyFont="1" applyFill="1"/>
    <xf numFmtId="0" fontId="0" fillId="58" borderId="0" xfId="0" applyFill="1"/>
    <xf numFmtId="0" fontId="51" fillId="58" borderId="117" xfId="0" applyFont="1" applyFill="1" applyBorder="1" applyAlignment="1">
      <alignment vertical="center"/>
    </xf>
    <xf numFmtId="0" fontId="51" fillId="58" borderId="99" xfId="0" applyFont="1" applyFill="1" applyBorder="1" applyAlignment="1">
      <alignment vertical="center"/>
    </xf>
    <xf numFmtId="0" fontId="51" fillId="58" borderId="21" xfId="0" applyFont="1" applyFill="1" applyBorder="1"/>
    <xf numFmtId="0" fontId="51" fillId="58" borderId="15" xfId="0" applyFont="1" applyFill="1" applyBorder="1" applyAlignment="1">
      <alignment horizontal="center" vertical="center"/>
    </xf>
    <xf numFmtId="0" fontId="64" fillId="58" borderId="15" xfId="0" applyFont="1" applyFill="1" applyBorder="1"/>
    <xf numFmtId="0" fontId="51" fillId="58" borderId="8" xfId="0" applyFont="1" applyFill="1" applyBorder="1"/>
    <xf numFmtId="0" fontId="31" fillId="27" borderId="13" xfId="0" applyFont="1" applyFill="1" applyBorder="1" applyAlignment="1">
      <alignment horizontal="center" vertical="center"/>
    </xf>
    <xf numFmtId="0" fontId="66" fillId="27" borderId="13" xfId="0" applyFont="1" applyFill="1" applyBorder="1" applyAlignment="1">
      <alignment horizontal="center" vertical="center"/>
    </xf>
    <xf numFmtId="0" fontId="64" fillId="27" borderId="17" xfId="0" applyFont="1" applyFill="1" applyBorder="1" applyAlignment="1">
      <alignment horizontal="center" vertical="center"/>
    </xf>
    <xf numFmtId="0" fontId="31" fillId="27" borderId="20" xfId="0" applyFont="1" applyFill="1" applyBorder="1" applyAlignment="1">
      <alignment horizontal="center" vertical="center"/>
    </xf>
    <xf numFmtId="0" fontId="31" fillId="27" borderId="0" xfId="0" applyFont="1" applyFill="1" applyAlignment="1">
      <alignment horizontal="center" vertical="center"/>
    </xf>
    <xf numFmtId="0" fontId="51" fillId="58" borderId="74" xfId="0" applyFont="1" applyFill="1" applyBorder="1"/>
    <xf numFmtId="0" fontId="31" fillId="58" borderId="27" xfId="0" applyFont="1" applyFill="1" applyBorder="1"/>
    <xf numFmtId="0" fontId="51" fillId="58" borderId="76" xfId="0" applyFont="1" applyFill="1" applyBorder="1"/>
    <xf numFmtId="0" fontId="51" fillId="58" borderId="28" xfId="0" applyFont="1" applyFill="1" applyBorder="1" applyAlignment="1">
      <alignment horizontal="center" vertical="center"/>
    </xf>
    <xf numFmtId="0" fontId="51" fillId="27" borderId="118" xfId="0" applyFont="1" applyFill="1" applyBorder="1" applyAlignment="1">
      <alignment horizontal="center" vertical="center"/>
    </xf>
    <xf numFmtId="0" fontId="51" fillId="28" borderId="97" xfId="0" applyFont="1" applyFill="1" applyBorder="1" applyAlignment="1">
      <alignment horizontal="center" vertical="center"/>
    </xf>
    <xf numFmtId="0" fontId="51" fillId="28" borderId="136" xfId="0" applyFont="1" applyFill="1" applyBorder="1" applyAlignment="1">
      <alignment horizontal="center" vertical="center"/>
    </xf>
    <xf numFmtId="0" fontId="51" fillId="28" borderId="96" xfId="0" applyFont="1" applyFill="1" applyBorder="1" applyAlignment="1">
      <alignment horizontal="center" vertical="center"/>
    </xf>
    <xf numFmtId="0" fontId="51" fillId="58" borderId="100" xfId="0" applyFont="1" applyFill="1" applyBorder="1"/>
    <xf numFmtId="0" fontId="31" fillId="58" borderId="0" xfId="0" applyFont="1" applyFill="1" applyAlignment="1">
      <alignment horizontal="center"/>
    </xf>
    <xf numFmtId="0" fontId="51" fillId="58" borderId="70" xfId="0" applyFont="1" applyFill="1" applyBorder="1"/>
    <xf numFmtId="0" fontId="51" fillId="58" borderId="72" xfId="0" applyFont="1" applyFill="1" applyBorder="1"/>
    <xf numFmtId="0" fontId="86" fillId="58" borderId="0" xfId="0" applyFont="1" applyFill="1"/>
    <xf numFmtId="0" fontId="51" fillId="58" borderId="73" xfId="0" applyFont="1" applyFill="1" applyBorder="1"/>
    <xf numFmtId="0" fontId="64" fillId="58" borderId="105" xfId="0" applyFont="1" applyFill="1" applyBorder="1"/>
    <xf numFmtId="0" fontId="51" fillId="28" borderId="85" xfId="0" applyFont="1" applyFill="1" applyBorder="1" applyAlignment="1">
      <alignment horizontal="center" vertical="center"/>
    </xf>
    <xf numFmtId="0" fontId="51" fillId="28" borderId="70" xfId="0" applyFont="1" applyFill="1" applyBorder="1" applyAlignment="1">
      <alignment horizontal="center" vertical="center"/>
    </xf>
    <xf numFmtId="0" fontId="51" fillId="58" borderId="15" xfId="0" applyFont="1" applyFill="1" applyBorder="1"/>
    <xf numFmtId="0" fontId="31" fillId="58" borderId="9" xfId="0" applyFont="1" applyFill="1" applyBorder="1" applyAlignment="1">
      <alignment horizontal="left" vertical="center" indent="3"/>
    </xf>
    <xf numFmtId="0" fontId="31" fillId="58" borderId="9" xfId="0" applyFont="1" applyFill="1" applyBorder="1" applyAlignment="1">
      <alignment horizontal="left" vertical="center" indent="6"/>
    </xf>
    <xf numFmtId="0" fontId="31" fillId="58" borderId="9" xfId="0" applyFont="1" applyFill="1" applyBorder="1" applyAlignment="1">
      <alignment horizontal="left" vertical="center" indent="5"/>
    </xf>
    <xf numFmtId="0" fontId="61" fillId="58" borderId="9" xfId="0" applyFont="1" applyFill="1" applyBorder="1" applyAlignment="1">
      <alignment horizontal="left" vertical="center" indent="1"/>
    </xf>
    <xf numFmtId="0" fontId="61" fillId="58" borderId="9" xfId="0" applyFont="1" applyFill="1" applyBorder="1" applyAlignment="1">
      <alignment horizontal="left" indent="1"/>
    </xf>
    <xf numFmtId="0" fontId="61" fillId="58" borderId="9" xfId="0" applyFont="1" applyFill="1" applyBorder="1"/>
    <xf numFmtId="0" fontId="42" fillId="63" borderId="0" xfId="0" applyFont="1" applyFill="1" applyAlignment="1">
      <alignment horizontal="center" vertical="center"/>
    </xf>
    <xf numFmtId="0" fontId="51" fillId="63" borderId="19" xfId="0" applyFont="1" applyFill="1" applyBorder="1" applyAlignment="1">
      <alignment horizontal="center" vertical="center"/>
    </xf>
    <xf numFmtId="0" fontId="42" fillId="63" borderId="104" xfId="0" applyFont="1" applyFill="1" applyBorder="1" applyAlignment="1">
      <alignment horizontal="center" vertical="center"/>
    </xf>
    <xf numFmtId="0" fontId="51" fillId="63" borderId="119" xfId="0" applyFont="1" applyFill="1" applyBorder="1" applyAlignment="1">
      <alignment horizontal="center" vertical="center"/>
    </xf>
    <xf numFmtId="0" fontId="51" fillId="63" borderId="9" xfId="0" applyFont="1" applyFill="1" applyBorder="1" applyAlignment="1">
      <alignment horizontal="center" vertical="center"/>
    </xf>
    <xf numFmtId="0" fontId="42" fillId="63" borderId="17" xfId="0" applyFont="1" applyFill="1" applyBorder="1" applyAlignment="1">
      <alignment horizontal="center" vertical="center"/>
    </xf>
    <xf numFmtId="0" fontId="51" fillId="63" borderId="7" xfId="0" applyFont="1" applyFill="1" applyBorder="1" applyAlignment="1">
      <alignment horizontal="center" vertical="center"/>
    </xf>
    <xf numFmtId="0" fontId="51" fillId="63" borderId="130" xfId="0" applyFont="1" applyFill="1" applyBorder="1" applyAlignment="1">
      <alignment horizontal="center" vertical="center"/>
    </xf>
    <xf numFmtId="0" fontId="51" fillId="63" borderId="17" xfId="0" applyFont="1" applyFill="1" applyBorder="1" applyAlignment="1">
      <alignment horizontal="center" vertical="center"/>
    </xf>
    <xf numFmtId="0" fontId="51" fillId="63" borderId="111" xfId="0" applyFont="1" applyFill="1" applyBorder="1" applyAlignment="1">
      <alignment horizontal="center" vertical="center"/>
    </xf>
    <xf numFmtId="0" fontId="42" fillId="63" borderId="7" xfId="0" applyFont="1" applyFill="1" applyBorder="1" applyAlignment="1">
      <alignment horizontal="center" vertical="center"/>
    </xf>
    <xf numFmtId="0" fontId="42" fillId="63" borderId="130" xfId="0" applyFont="1" applyFill="1" applyBorder="1" applyAlignment="1">
      <alignment horizontal="center" vertical="center"/>
    </xf>
    <xf numFmtId="0" fontId="42" fillId="63" borderId="111" xfId="0" applyFont="1" applyFill="1" applyBorder="1" applyAlignment="1">
      <alignment horizontal="center" vertical="center"/>
    </xf>
    <xf numFmtId="0" fontId="42" fillId="63" borderId="13" xfId="0" applyFont="1" applyFill="1" applyBorder="1" applyAlignment="1">
      <alignment horizontal="center" vertical="center"/>
    </xf>
    <xf numFmtId="12" fontId="42" fillId="63" borderId="14" xfId="0" applyNumberFormat="1" applyFont="1" applyFill="1" applyBorder="1" applyAlignment="1">
      <alignment horizontal="center" vertical="center"/>
    </xf>
    <xf numFmtId="12" fontId="42" fillId="63" borderId="19" xfId="0" applyNumberFormat="1" applyFont="1" applyFill="1" applyBorder="1" applyAlignment="1">
      <alignment horizontal="left" vertical="center" indent="4"/>
    </xf>
    <xf numFmtId="0" fontId="51" fillId="63" borderId="6" xfId="0" applyFont="1" applyFill="1" applyBorder="1" applyAlignment="1">
      <alignment horizontal="center" vertical="center"/>
    </xf>
    <xf numFmtId="0" fontId="51" fillId="63" borderId="18" xfId="0" applyFont="1" applyFill="1" applyBorder="1" applyAlignment="1">
      <alignment vertical="center"/>
    </xf>
    <xf numFmtId="0" fontId="51" fillId="63" borderId="20" xfId="0" applyFont="1" applyFill="1" applyBorder="1" applyAlignment="1">
      <alignment vertical="center"/>
    </xf>
    <xf numFmtId="0" fontId="51" fillId="63" borderId="15" xfId="0" applyFont="1" applyFill="1" applyBorder="1" applyAlignment="1">
      <alignment horizontal="center" vertical="center"/>
    </xf>
    <xf numFmtId="0" fontId="51" fillId="63" borderId="73" xfId="0" applyFont="1" applyFill="1" applyBorder="1" applyAlignment="1">
      <alignment horizontal="center" vertical="center"/>
    </xf>
    <xf numFmtId="0" fontId="51" fillId="63" borderId="79" xfId="0" applyFont="1" applyFill="1" applyBorder="1" applyAlignment="1">
      <alignment horizontal="center" vertical="center"/>
    </xf>
    <xf numFmtId="0" fontId="51" fillId="63" borderId="8" xfId="0" applyFont="1" applyFill="1" applyBorder="1" applyAlignment="1">
      <alignment horizontal="center" vertical="center"/>
    </xf>
    <xf numFmtId="0" fontId="51" fillId="63" borderId="114" xfId="0" applyFont="1" applyFill="1" applyBorder="1" applyAlignment="1">
      <alignment horizontal="center" vertical="center"/>
    </xf>
    <xf numFmtId="164" fontId="51" fillId="63" borderId="10" xfId="0" applyNumberFormat="1" applyFont="1" applyFill="1" applyBorder="1" applyAlignment="1">
      <alignment horizontal="center" vertical="center"/>
    </xf>
    <xf numFmtId="2" fontId="51" fillId="63" borderId="18" xfId="0" applyNumberFormat="1" applyFont="1" applyFill="1" applyBorder="1" applyAlignment="1">
      <alignment horizontal="center" vertical="center"/>
    </xf>
    <xf numFmtId="2" fontId="51" fillId="63" borderId="14" xfId="0" applyNumberFormat="1" applyFont="1" applyFill="1" applyBorder="1" applyAlignment="1">
      <alignment horizontal="center" vertical="center"/>
    </xf>
    <xf numFmtId="0" fontId="42" fillId="63" borderId="129" xfId="0" applyFont="1" applyFill="1" applyBorder="1" applyAlignment="1">
      <alignment horizontal="center" vertical="center"/>
    </xf>
    <xf numFmtId="0" fontId="51" fillId="58" borderId="6" xfId="0" applyFont="1" applyFill="1" applyBorder="1"/>
    <xf numFmtId="0" fontId="69" fillId="58" borderId="0" xfId="0" applyFont="1" applyFill="1" applyAlignment="1">
      <alignment horizontal="left" vertical="center"/>
    </xf>
    <xf numFmtId="0" fontId="51" fillId="58" borderId="0" xfId="0" applyFont="1" applyFill="1" applyAlignment="1">
      <alignment horizontal="right" vertical="center"/>
    </xf>
    <xf numFmtId="0" fontId="51" fillId="58" borderId="0" xfId="0" applyFont="1" applyFill="1" applyAlignment="1">
      <alignment horizontal="left" indent="9"/>
    </xf>
    <xf numFmtId="0" fontId="51" fillId="58" borderId="9" xfId="0" applyFont="1" applyFill="1" applyBorder="1" applyAlignment="1">
      <alignment horizontal="right" indent="5"/>
    </xf>
    <xf numFmtId="165" fontId="51" fillId="58" borderId="0" xfId="0" applyNumberFormat="1" applyFont="1" applyFill="1"/>
    <xf numFmtId="0" fontId="31" fillId="58" borderId="0" xfId="0" applyFont="1" applyFill="1"/>
    <xf numFmtId="0" fontId="58" fillId="58" borderId="0" xfId="0" applyFont="1" applyFill="1" applyAlignment="1">
      <alignment horizontal="left" vertical="center" indent="5"/>
    </xf>
    <xf numFmtId="0" fontId="51" fillId="58" borderId="9" xfId="0" applyFont="1" applyFill="1" applyBorder="1" applyAlignment="1">
      <alignment horizontal="left" indent="11"/>
    </xf>
    <xf numFmtId="0" fontId="51" fillId="58" borderId="112" xfId="0" applyFont="1" applyFill="1" applyBorder="1"/>
    <xf numFmtId="0" fontId="51" fillId="63" borderId="74" xfId="0" applyFont="1" applyFill="1" applyBorder="1" applyAlignment="1">
      <alignment vertical="center"/>
    </xf>
    <xf numFmtId="0" fontId="51" fillId="58" borderId="131" xfId="0" applyFont="1" applyFill="1" applyBorder="1"/>
    <xf numFmtId="0" fontId="51" fillId="58" borderId="22" xfId="0" applyFont="1" applyFill="1" applyBorder="1"/>
    <xf numFmtId="0" fontId="51" fillId="58" borderId="80" xfId="0" applyFont="1" applyFill="1" applyBorder="1"/>
    <xf numFmtId="0" fontId="0" fillId="0" borderId="27" xfId="0" applyBorder="1"/>
    <xf numFmtId="0" fontId="29" fillId="30" borderId="9" xfId="0" applyFont="1" applyFill="1" applyBorder="1" applyAlignment="1">
      <alignment horizontal="center" vertical="center"/>
    </xf>
    <xf numFmtId="0" fontId="29" fillId="30" borderId="16" xfId="0" applyFont="1" applyFill="1" applyBorder="1" applyAlignment="1">
      <alignment horizontal="center" vertical="center"/>
    </xf>
    <xf numFmtId="0" fontId="30" fillId="28" borderId="144" xfId="0" applyFont="1" applyFill="1" applyBorder="1" applyAlignment="1">
      <alignment horizontal="center" vertical="center"/>
    </xf>
    <xf numFmtId="2" fontId="30" fillId="28" borderId="144" xfId="0" applyNumberFormat="1" applyFont="1" applyFill="1" applyBorder="1" applyAlignment="1">
      <alignment horizontal="center" vertical="center"/>
    </xf>
    <xf numFmtId="0" fontId="30" fillId="28" borderId="145" xfId="0" applyFont="1" applyFill="1" applyBorder="1" applyAlignment="1">
      <alignment horizontal="center" vertical="center"/>
    </xf>
    <xf numFmtId="0" fontId="29" fillId="23" borderId="10" xfId="0" applyFont="1" applyFill="1" applyBorder="1" applyAlignment="1">
      <alignment horizontal="center" vertical="center"/>
    </xf>
    <xf numFmtId="0" fontId="29" fillId="23" borderId="17" xfId="0" applyFont="1" applyFill="1" applyBorder="1" applyAlignment="1">
      <alignment horizontal="center" vertical="center"/>
    </xf>
    <xf numFmtId="0" fontId="29" fillId="23" borderId="20" xfId="0" applyFont="1" applyFill="1" applyBorder="1" applyAlignment="1">
      <alignment horizontal="center" vertical="center"/>
    </xf>
    <xf numFmtId="0" fontId="0" fillId="37" borderId="89" xfId="0" applyFill="1" applyBorder="1"/>
    <xf numFmtId="0" fontId="30" fillId="25" borderId="111" xfId="0" applyFont="1" applyFill="1" applyBorder="1" applyAlignment="1">
      <alignment vertical="center"/>
    </xf>
    <xf numFmtId="0" fontId="30" fillId="25" borderId="137" xfId="0" applyFont="1" applyFill="1" applyBorder="1" applyAlignment="1">
      <alignment vertical="center"/>
    </xf>
    <xf numFmtId="0" fontId="30" fillId="58" borderId="142" xfId="0" applyFont="1" applyFill="1" applyBorder="1" applyAlignment="1">
      <alignment vertical="center"/>
    </xf>
    <xf numFmtId="0" fontId="30" fillId="58" borderId="67" xfId="0" applyFont="1" applyFill="1" applyBorder="1" applyAlignment="1">
      <alignment vertical="center"/>
    </xf>
    <xf numFmtId="0" fontId="29" fillId="64" borderId="0" xfId="0" applyFont="1" applyFill="1" applyAlignment="1">
      <alignment horizontal="center" wrapText="1"/>
    </xf>
    <xf numFmtId="0" fontId="30" fillId="64" borderId="0" xfId="0" applyFont="1" applyFill="1" applyAlignment="1">
      <alignment horizontal="center" wrapText="1"/>
    </xf>
    <xf numFmtId="165" fontId="30" fillId="64" borderId="0" xfId="0" applyNumberFormat="1" applyFont="1" applyFill="1" applyAlignment="1">
      <alignment horizontal="center" wrapText="1"/>
    </xf>
    <xf numFmtId="0" fontId="29" fillId="64" borderId="73" xfId="0" applyFont="1" applyFill="1" applyBorder="1" applyAlignment="1">
      <alignment horizontal="center" wrapText="1"/>
    </xf>
    <xf numFmtId="0" fontId="30" fillId="64" borderId="73" xfId="0" applyFont="1" applyFill="1" applyBorder="1" applyAlignment="1">
      <alignment horizontal="center" wrapText="1"/>
    </xf>
    <xf numFmtId="165" fontId="30" fillId="64" borderId="73" xfId="0" applyNumberFormat="1" applyFont="1" applyFill="1" applyBorder="1" applyAlignment="1">
      <alignment horizontal="center" wrapText="1"/>
    </xf>
    <xf numFmtId="0" fontId="84" fillId="37" borderId="0" xfId="0" applyFont="1" applyFill="1"/>
    <xf numFmtId="0" fontId="84" fillId="37" borderId="28" xfId="0" applyFont="1" applyFill="1" applyBorder="1"/>
    <xf numFmtId="0" fontId="51" fillId="27" borderId="97" xfId="0" applyFont="1" applyFill="1" applyBorder="1" applyAlignment="1">
      <alignment horizontal="center" vertical="center"/>
    </xf>
    <xf numFmtId="0" fontId="51" fillId="58" borderId="27" xfId="0" applyFont="1" applyFill="1" applyBorder="1" applyAlignment="1">
      <alignment vertical="center"/>
    </xf>
    <xf numFmtId="0" fontId="51" fillId="58" borderId="84" xfId="0" applyFont="1" applyFill="1" applyBorder="1"/>
    <xf numFmtId="0" fontId="51" fillId="0" borderId="0" xfId="0" applyFont="1" applyAlignment="1">
      <alignment horizontal="center" vertical="center"/>
    </xf>
    <xf numFmtId="0" fontId="51" fillId="58" borderId="105" xfId="0" applyFont="1" applyFill="1" applyBorder="1"/>
    <xf numFmtId="0" fontId="42" fillId="58" borderId="73" xfId="0" applyFont="1" applyFill="1" applyBorder="1" applyAlignment="1">
      <alignment vertical="center"/>
    </xf>
    <xf numFmtId="13" fontId="11" fillId="0" borderId="0" xfId="0" applyNumberFormat="1" applyFont="1"/>
    <xf numFmtId="0" fontId="12" fillId="0" borderId="0" xfId="0" applyFont="1" applyAlignment="1">
      <alignment horizontal="center" vertical="center"/>
    </xf>
    <xf numFmtId="0" fontId="91" fillId="19" borderId="68" xfId="0" applyFont="1" applyFill="1" applyBorder="1"/>
    <xf numFmtId="0" fontId="91" fillId="19" borderId="69" xfId="0" applyFont="1" applyFill="1" applyBorder="1"/>
    <xf numFmtId="0" fontId="92" fillId="36" borderId="62" xfId="0" applyFont="1" applyFill="1" applyBorder="1" applyAlignment="1">
      <alignment horizontal="center" vertical="center"/>
    </xf>
    <xf numFmtId="0" fontId="92" fillId="35" borderId="64" xfId="0" applyFont="1" applyFill="1" applyBorder="1" applyAlignment="1">
      <alignment horizontal="center" vertical="center"/>
    </xf>
    <xf numFmtId="0" fontId="12" fillId="0" borderId="17" xfId="0" applyFont="1" applyBorder="1"/>
    <xf numFmtId="0" fontId="12" fillId="0" borderId="7" xfId="0" applyFont="1" applyBorder="1"/>
    <xf numFmtId="0" fontId="12" fillId="0" borderId="10" xfId="0" applyFont="1" applyBorder="1"/>
    <xf numFmtId="0" fontId="25" fillId="0" borderId="0" xfId="0" applyFont="1"/>
    <xf numFmtId="0" fontId="22" fillId="28" borderId="17" xfId="0" applyFont="1" applyFill="1" applyBorder="1" applyAlignment="1">
      <alignment horizontal="center" vertical="center"/>
    </xf>
    <xf numFmtId="0" fontId="12" fillId="61" borderId="50" xfId="0" applyFont="1" applyFill="1" applyBorder="1" applyAlignment="1">
      <alignment horizontal="center" vertical="center"/>
    </xf>
    <xf numFmtId="0" fontId="12" fillId="61" borderId="51" xfId="0" applyFont="1" applyFill="1" applyBorder="1" applyAlignment="1">
      <alignment horizontal="center" vertical="center"/>
    </xf>
    <xf numFmtId="0" fontId="12" fillId="61" borderId="52" xfId="0" applyFont="1" applyFill="1" applyBorder="1" applyAlignment="1">
      <alignment horizontal="center" vertical="center"/>
    </xf>
    <xf numFmtId="0" fontId="12" fillId="63" borderId="57" xfId="0" applyFont="1" applyFill="1" applyBorder="1" applyAlignment="1">
      <alignment horizontal="center" vertical="center"/>
    </xf>
    <xf numFmtId="0" fontId="12" fillId="63" borderId="33" xfId="0" applyFont="1" applyFill="1" applyBorder="1" applyAlignment="1">
      <alignment horizontal="center" vertical="center"/>
    </xf>
    <xf numFmtId="0" fontId="12" fillId="63" borderId="33" xfId="0" applyFont="1" applyFill="1" applyBorder="1" applyAlignment="1">
      <alignment vertical="center"/>
    </xf>
    <xf numFmtId="0" fontId="12" fillId="63" borderId="36" xfId="0" applyFont="1" applyFill="1" applyBorder="1" applyAlignment="1">
      <alignment vertical="center"/>
    </xf>
    <xf numFmtId="0" fontId="12" fillId="22" borderId="4" xfId="0" applyFont="1" applyFill="1" applyBorder="1" applyAlignment="1">
      <alignment horizontal="center" vertical="center"/>
    </xf>
    <xf numFmtId="0" fontId="12" fillId="22" borderId="47" xfId="0" applyFont="1" applyFill="1" applyBorder="1" applyAlignment="1">
      <alignment horizontal="center" vertical="center"/>
    </xf>
    <xf numFmtId="0" fontId="12" fillId="22" borderId="44" xfId="0" applyFont="1" applyFill="1" applyBorder="1" applyAlignment="1">
      <alignment horizontal="center" vertical="center"/>
    </xf>
    <xf numFmtId="0" fontId="12" fillId="22" borderId="2" xfId="0" applyFont="1" applyFill="1" applyBorder="1" applyAlignment="1">
      <alignment horizontal="center" vertical="center"/>
    </xf>
    <xf numFmtId="0" fontId="12" fillId="22" borderId="2" xfId="0" applyFont="1" applyFill="1" applyBorder="1" applyAlignment="1">
      <alignment vertical="center"/>
    </xf>
    <xf numFmtId="0" fontId="12" fillId="22" borderId="49" xfId="0" applyFont="1" applyFill="1" applyBorder="1" applyAlignment="1">
      <alignment horizontal="center" vertical="center"/>
    </xf>
    <xf numFmtId="0" fontId="12" fillId="22" borderId="35" xfId="0" applyFont="1" applyFill="1" applyBorder="1" applyAlignment="1">
      <alignment vertical="center"/>
    </xf>
    <xf numFmtId="0" fontId="12" fillId="22" borderId="20" xfId="0" applyFont="1" applyFill="1" applyBorder="1" applyAlignment="1">
      <alignment horizontal="center" vertical="center"/>
    </xf>
    <xf numFmtId="0" fontId="12" fillId="63" borderId="59" xfId="0" applyFont="1" applyFill="1" applyBorder="1" applyAlignment="1">
      <alignment horizontal="center" vertical="center"/>
    </xf>
    <xf numFmtId="164" fontId="11" fillId="63" borderId="57" xfId="2" applyNumberFormat="1" applyFont="1" applyFill="1" applyBorder="1" applyAlignment="1">
      <alignment horizontal="center"/>
    </xf>
    <xf numFmtId="0" fontId="12" fillId="63" borderId="32" xfId="0" applyFont="1" applyFill="1" applyBorder="1" applyAlignment="1">
      <alignment horizontal="center" vertical="center"/>
    </xf>
    <xf numFmtId="164" fontId="11" fillId="63" borderId="33" xfId="2" applyNumberFormat="1" applyFont="1" applyFill="1" applyBorder="1" applyAlignment="1">
      <alignment horizontal="center"/>
    </xf>
    <xf numFmtId="164" fontId="11" fillId="63" borderId="33" xfId="1" applyNumberFormat="1" applyFont="1" applyFill="1" applyBorder="1" applyAlignment="1">
      <alignment horizontal="center"/>
    </xf>
    <xf numFmtId="2" fontId="11" fillId="63" borderId="33" xfId="1" applyNumberFormat="1" applyFont="1" applyFill="1" applyBorder="1" applyAlignment="1">
      <alignment horizontal="center"/>
    </xf>
    <xf numFmtId="165" fontId="11" fillId="63" borderId="33" xfId="1" applyNumberFormat="1" applyFont="1" applyFill="1" applyBorder="1" applyAlignment="1">
      <alignment horizontal="center"/>
    </xf>
    <xf numFmtId="0" fontId="12" fillId="63" borderId="34" xfId="0" applyFont="1" applyFill="1" applyBorder="1" applyAlignment="1">
      <alignment horizontal="center" vertical="center"/>
    </xf>
    <xf numFmtId="165" fontId="11" fillId="63" borderId="36" xfId="1" applyNumberFormat="1" applyFont="1" applyFill="1" applyBorder="1" applyAlignment="1">
      <alignment horizontal="center"/>
    </xf>
    <xf numFmtId="0" fontId="12" fillId="63" borderId="59" xfId="0" applyFont="1" applyFill="1" applyBorder="1"/>
    <xf numFmtId="1" fontId="11" fillId="63" borderId="57" xfId="2" applyNumberFormat="1" applyFont="1" applyFill="1" applyBorder="1" applyAlignment="1">
      <alignment horizontal="center"/>
    </xf>
    <xf numFmtId="0" fontId="12" fillId="63" borderId="32" xfId="0" applyFont="1" applyFill="1" applyBorder="1"/>
    <xf numFmtId="1" fontId="11" fillId="63" borderId="33" xfId="2" applyNumberFormat="1" applyFont="1" applyFill="1" applyBorder="1" applyAlignment="1">
      <alignment horizontal="center"/>
    </xf>
    <xf numFmtId="0" fontId="11" fillId="63" borderId="33" xfId="1" applyFont="1" applyFill="1" applyBorder="1" applyAlignment="1">
      <alignment horizontal="center"/>
    </xf>
    <xf numFmtId="0" fontId="12" fillId="63" borderId="34" xfId="0" applyFont="1" applyFill="1" applyBorder="1"/>
    <xf numFmtId="2" fontId="11" fillId="63" borderId="36" xfId="1" applyNumberFormat="1" applyFont="1" applyFill="1" applyBorder="1" applyAlignment="1">
      <alignment horizontal="center"/>
    </xf>
    <xf numFmtId="2" fontId="11" fillId="63" borderId="57" xfId="1" applyNumberFormat="1" applyFont="1" applyFill="1" applyBorder="1" applyAlignment="1">
      <alignment horizontal="center"/>
    </xf>
    <xf numFmtId="164" fontId="11" fillId="63" borderId="57" xfId="1" applyNumberFormat="1" applyFont="1" applyFill="1" applyBorder="1" applyAlignment="1">
      <alignment horizontal="center"/>
    </xf>
    <xf numFmtId="0" fontId="25" fillId="22" borderId="17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9" fillId="0" borderId="0" xfId="0" applyFont="1" applyAlignment="1">
      <alignment vertical="center" textRotation="180"/>
    </xf>
    <xf numFmtId="0" fontId="20" fillId="28" borderId="53" xfId="0" applyFont="1" applyFill="1" applyBorder="1" applyAlignment="1">
      <alignment horizontal="center" vertical="center"/>
    </xf>
    <xf numFmtId="0" fontId="20" fillId="28" borderId="60" xfId="0" applyFont="1" applyFill="1" applyBorder="1" applyAlignment="1">
      <alignment horizontal="center" vertical="center"/>
    </xf>
    <xf numFmtId="12" fontId="12" fillId="58" borderId="59" xfId="0" applyNumberFormat="1" applyFont="1" applyFill="1" applyBorder="1" applyAlignment="1">
      <alignment horizontal="center" vertical="center"/>
    </xf>
    <xf numFmtId="0" fontId="12" fillId="58" borderId="47" xfId="0" applyFont="1" applyFill="1" applyBorder="1" applyAlignment="1">
      <alignment horizontal="center" vertical="center"/>
    </xf>
    <xf numFmtId="12" fontId="12" fillId="58" borderId="32" xfId="0" applyNumberFormat="1" applyFont="1" applyFill="1" applyBorder="1" applyAlignment="1">
      <alignment horizontal="center" vertical="center"/>
    </xf>
    <xf numFmtId="0" fontId="12" fillId="58" borderId="2" xfId="0" applyFont="1" applyFill="1" applyBorder="1" applyAlignment="1">
      <alignment horizontal="center" vertical="center"/>
    </xf>
    <xf numFmtId="12" fontId="12" fillId="58" borderId="34" xfId="0" applyNumberFormat="1" applyFont="1" applyFill="1" applyBorder="1" applyAlignment="1">
      <alignment horizontal="center" vertical="center"/>
    </xf>
    <xf numFmtId="0" fontId="12" fillId="58" borderId="35" xfId="0" applyFont="1" applyFill="1" applyBorder="1" applyAlignment="1">
      <alignment horizontal="center" vertical="center"/>
    </xf>
    <xf numFmtId="0" fontId="12" fillId="68" borderId="7" xfId="0" applyFont="1" applyFill="1" applyBorder="1" applyAlignment="1">
      <alignment horizontal="center" vertical="center"/>
    </xf>
    <xf numFmtId="0" fontId="12" fillId="68" borderId="9" xfId="0" applyFont="1" applyFill="1" applyBorder="1" applyAlignment="1">
      <alignment horizontal="center" vertical="center"/>
    </xf>
    <xf numFmtId="0" fontId="12" fillId="68" borderId="10" xfId="0" applyFont="1" applyFill="1" applyBorder="1" applyAlignment="1">
      <alignment horizontal="center" vertical="center"/>
    </xf>
    <xf numFmtId="0" fontId="12" fillId="68" borderId="12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22" fillId="3" borderId="59" xfId="0" applyFont="1" applyFill="1" applyBorder="1" applyAlignment="1">
      <alignment horizontal="center" vertical="center" wrapText="1"/>
    </xf>
    <xf numFmtId="0" fontId="22" fillId="3" borderId="57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/>
    </xf>
    <xf numFmtId="12" fontId="12" fillId="3" borderId="33" xfId="0" applyNumberFormat="1" applyFon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12" fillId="7" borderId="50" xfId="0" applyFont="1" applyFill="1" applyBorder="1" applyAlignment="1">
      <alignment horizontal="center" vertical="center"/>
    </xf>
    <xf numFmtId="0" fontId="12" fillId="7" borderId="52" xfId="0" applyFont="1" applyFill="1" applyBorder="1" applyAlignment="1">
      <alignment horizontal="center" vertical="center"/>
    </xf>
    <xf numFmtId="0" fontId="12" fillId="5" borderId="26" xfId="0" applyFont="1" applyFill="1" applyBorder="1" applyAlignment="1">
      <alignment horizontal="center" vertical="center"/>
    </xf>
    <xf numFmtId="0" fontId="12" fillId="5" borderId="38" xfId="0" applyFont="1" applyFill="1" applyBorder="1" applyAlignment="1">
      <alignment horizontal="center" vertical="center"/>
    </xf>
    <xf numFmtId="0" fontId="20" fillId="27" borderId="51" xfId="0" applyFont="1" applyFill="1" applyBorder="1" applyAlignment="1">
      <alignment horizontal="center" vertical="center"/>
    </xf>
    <xf numFmtId="0" fontId="20" fillId="27" borderId="52" xfId="0" applyFont="1" applyFill="1" applyBorder="1" applyAlignment="1">
      <alignment horizontal="center" vertical="center"/>
    </xf>
    <xf numFmtId="0" fontId="20" fillId="63" borderId="4" xfId="0" applyFont="1" applyFill="1" applyBorder="1"/>
    <xf numFmtId="0" fontId="20" fillId="63" borderId="57" xfId="0" applyFont="1" applyFill="1" applyBorder="1"/>
    <xf numFmtId="0" fontId="20" fillId="0" borderId="0" xfId="0" applyFont="1"/>
    <xf numFmtId="0" fontId="20" fillId="27" borderId="50" xfId="0" applyFont="1" applyFill="1" applyBorder="1" applyAlignment="1">
      <alignment horizontal="center" vertical="center"/>
    </xf>
    <xf numFmtId="0" fontId="22" fillId="27" borderId="13" xfId="0" applyFont="1" applyFill="1" applyBorder="1" applyAlignment="1">
      <alignment horizontal="center" vertical="center"/>
    </xf>
    <xf numFmtId="0" fontId="11" fillId="69" borderId="29" xfId="1" applyFont="1" applyFill="1" applyBorder="1" applyAlignment="1">
      <alignment horizontal="center"/>
    </xf>
    <xf numFmtId="164" fontId="11" fillId="69" borderId="30" xfId="1" applyNumberFormat="1" applyFont="1" applyFill="1" applyBorder="1" applyAlignment="1">
      <alignment horizontal="center"/>
    </xf>
    <xf numFmtId="2" fontId="11" fillId="69" borderId="30" xfId="1" applyNumberFormat="1" applyFont="1" applyFill="1" applyBorder="1" applyAlignment="1">
      <alignment horizontal="center"/>
    </xf>
    <xf numFmtId="0" fontId="11" fillId="69" borderId="30" xfId="1" applyFont="1" applyFill="1" applyBorder="1" applyAlignment="1">
      <alignment horizontal="center"/>
    </xf>
    <xf numFmtId="0" fontId="11" fillId="69" borderId="31" xfId="1" applyFont="1" applyFill="1" applyBorder="1" applyAlignment="1">
      <alignment horizontal="center"/>
    </xf>
    <xf numFmtId="0" fontId="11" fillId="69" borderId="32" xfId="1" applyFont="1" applyFill="1" applyBorder="1" applyAlignment="1">
      <alignment horizontal="center"/>
    </xf>
    <xf numFmtId="164" fontId="11" fillId="69" borderId="2" xfId="1" applyNumberFormat="1" applyFont="1" applyFill="1" applyBorder="1" applyAlignment="1">
      <alignment horizontal="center"/>
    </xf>
    <xf numFmtId="165" fontId="11" fillId="69" borderId="2" xfId="1" applyNumberFormat="1" applyFont="1" applyFill="1" applyBorder="1" applyAlignment="1">
      <alignment horizontal="center"/>
    </xf>
    <xf numFmtId="2" fontId="11" fillId="69" borderId="2" xfId="1" applyNumberFormat="1" applyFont="1" applyFill="1" applyBorder="1" applyAlignment="1">
      <alignment horizontal="center"/>
    </xf>
    <xf numFmtId="0" fontId="11" fillId="69" borderId="2" xfId="1" applyFont="1" applyFill="1" applyBorder="1" applyAlignment="1">
      <alignment horizontal="center"/>
    </xf>
    <xf numFmtId="0" fontId="11" fillId="69" borderId="33" xfId="1" applyFont="1" applyFill="1" applyBorder="1" applyAlignment="1">
      <alignment horizontal="center"/>
    </xf>
    <xf numFmtId="1" fontId="11" fillId="69" borderId="2" xfId="9" applyNumberFormat="1" applyFont="1" applyFill="1" applyBorder="1" applyAlignment="1">
      <alignment horizontal="center"/>
    </xf>
    <xf numFmtId="0" fontId="11" fillId="69" borderId="2" xfId="9" applyNumberFormat="1" applyFont="1" applyFill="1" applyBorder="1" applyAlignment="1">
      <alignment horizontal="center"/>
    </xf>
    <xf numFmtId="0" fontId="11" fillId="69" borderId="33" xfId="9" applyNumberFormat="1" applyFont="1" applyFill="1" applyBorder="1" applyAlignment="1">
      <alignment horizontal="center"/>
    </xf>
    <xf numFmtId="1" fontId="11" fillId="69" borderId="2" xfId="1" applyNumberFormat="1" applyFont="1" applyFill="1" applyBorder="1" applyAlignment="1">
      <alignment horizontal="center"/>
    </xf>
    <xf numFmtId="164" fontId="11" fillId="69" borderId="2" xfId="10" applyNumberFormat="1" applyFont="1" applyFill="1" applyBorder="1" applyAlignment="1">
      <alignment horizontal="center"/>
    </xf>
    <xf numFmtId="0" fontId="11" fillId="69" borderId="2" xfId="10" applyFont="1" applyFill="1" applyBorder="1" applyAlignment="1">
      <alignment horizontal="center"/>
    </xf>
    <xf numFmtId="0" fontId="11" fillId="69" borderId="33" xfId="10" applyFont="1" applyFill="1" applyBorder="1" applyAlignment="1">
      <alignment horizontal="center"/>
    </xf>
    <xf numFmtId="164" fontId="11" fillId="69" borderId="2" xfId="9" applyNumberFormat="1" applyFont="1" applyFill="1" applyBorder="1" applyAlignment="1">
      <alignment horizontal="center"/>
    </xf>
    <xf numFmtId="164" fontId="11" fillId="69" borderId="33" xfId="1" applyNumberFormat="1" applyFont="1" applyFill="1" applyBorder="1" applyAlignment="1">
      <alignment horizontal="center"/>
    </xf>
    <xf numFmtId="2" fontId="11" fillId="69" borderId="33" xfId="1" applyNumberFormat="1" applyFont="1" applyFill="1" applyBorder="1" applyAlignment="1">
      <alignment horizontal="center"/>
    </xf>
    <xf numFmtId="0" fontId="11" fillId="69" borderId="34" xfId="1" applyFont="1" applyFill="1" applyBorder="1" applyAlignment="1">
      <alignment horizontal="center"/>
    </xf>
    <xf numFmtId="2" fontId="11" fillId="69" borderId="35" xfId="1" applyNumberFormat="1" applyFont="1" applyFill="1" applyBorder="1" applyAlignment="1">
      <alignment horizontal="center"/>
    </xf>
    <xf numFmtId="165" fontId="11" fillId="69" borderId="35" xfId="1" applyNumberFormat="1" applyFont="1" applyFill="1" applyBorder="1" applyAlignment="1">
      <alignment horizontal="center"/>
    </xf>
    <xf numFmtId="164" fontId="11" fillId="69" borderId="35" xfId="1" applyNumberFormat="1" applyFont="1" applyFill="1" applyBorder="1" applyAlignment="1">
      <alignment horizontal="center"/>
    </xf>
    <xf numFmtId="2" fontId="11" fillId="69" borderId="36" xfId="1" applyNumberFormat="1" applyFont="1" applyFill="1" applyBorder="1" applyAlignment="1">
      <alignment horizontal="center"/>
    </xf>
    <xf numFmtId="0" fontId="34" fillId="27" borderId="13" xfId="1" applyFont="1" applyFill="1" applyBorder="1" applyAlignment="1">
      <alignment horizontal="center" vertical="center"/>
    </xf>
    <xf numFmtId="0" fontId="34" fillId="27" borderId="14" xfId="1" applyFont="1" applyFill="1" applyBorder="1" applyAlignment="1">
      <alignment horizontal="center" vertical="center"/>
    </xf>
    <xf numFmtId="0" fontId="21" fillId="22" borderId="17" xfId="0" applyFont="1" applyFill="1" applyBorder="1" applyAlignment="1">
      <alignment horizontal="center" vertical="center"/>
    </xf>
    <xf numFmtId="0" fontId="21" fillId="22" borderId="17" xfId="0" applyFont="1" applyFill="1" applyBorder="1" applyAlignment="1">
      <alignment horizontal="center"/>
    </xf>
    <xf numFmtId="0" fontId="38" fillId="22" borderId="17" xfId="0" applyFont="1" applyFill="1" applyBorder="1" applyAlignment="1">
      <alignment horizontal="center" vertical="center"/>
    </xf>
    <xf numFmtId="0" fontId="18" fillId="70" borderId="59" xfId="0" applyFont="1" applyFill="1" applyBorder="1" applyAlignment="1">
      <alignment horizontal="center" vertical="center"/>
    </xf>
    <xf numFmtId="0" fontId="18" fillId="70" borderId="47" xfId="0" applyFont="1" applyFill="1" applyBorder="1" applyAlignment="1">
      <alignment horizontal="center" vertical="center"/>
    </xf>
    <xf numFmtId="0" fontId="13" fillId="70" borderId="47" xfId="0" applyFont="1" applyFill="1" applyBorder="1" applyAlignment="1">
      <alignment horizontal="center" vertical="center"/>
    </xf>
    <xf numFmtId="0" fontId="12" fillId="70" borderId="47" xfId="0" applyFont="1" applyFill="1" applyBorder="1"/>
    <xf numFmtId="0" fontId="12" fillId="70" borderId="57" xfId="0" applyFont="1" applyFill="1" applyBorder="1"/>
    <xf numFmtId="0" fontId="18" fillId="70" borderId="32" xfId="0" applyFont="1" applyFill="1" applyBorder="1" applyAlignment="1">
      <alignment horizontal="center" vertical="center"/>
    </xf>
    <xf numFmtId="0" fontId="18" fillId="70" borderId="2" xfId="0" applyFont="1" applyFill="1" applyBorder="1" applyAlignment="1">
      <alignment horizontal="center" vertical="center"/>
    </xf>
    <xf numFmtId="0" fontId="13" fillId="70" borderId="2" xfId="0" applyFont="1" applyFill="1" applyBorder="1" applyAlignment="1">
      <alignment horizontal="center" vertical="center"/>
    </xf>
    <xf numFmtId="0" fontId="12" fillId="70" borderId="2" xfId="0" applyFont="1" applyFill="1" applyBorder="1"/>
    <xf numFmtId="0" fontId="12" fillId="70" borderId="33" xfId="0" applyFont="1" applyFill="1" applyBorder="1"/>
    <xf numFmtId="0" fontId="13" fillId="70" borderId="32" xfId="0" applyFont="1" applyFill="1" applyBorder="1" applyAlignment="1">
      <alignment horizontal="center" vertical="center"/>
    </xf>
    <xf numFmtId="0" fontId="11" fillId="70" borderId="32" xfId="1" applyFont="1" applyFill="1" applyBorder="1" applyAlignment="1">
      <alignment horizontal="center"/>
    </xf>
    <xf numFmtId="164" fontId="11" fillId="70" borderId="2" xfId="1" applyNumberFormat="1" applyFont="1" applyFill="1" applyBorder="1" applyAlignment="1">
      <alignment horizontal="center"/>
    </xf>
    <xf numFmtId="0" fontId="12" fillId="70" borderId="2" xfId="0" applyFont="1" applyFill="1" applyBorder="1" applyAlignment="1">
      <alignment horizontal="center"/>
    </xf>
    <xf numFmtId="2" fontId="11" fillId="70" borderId="2" xfId="1" applyNumberFormat="1" applyFont="1" applyFill="1" applyBorder="1" applyAlignment="1">
      <alignment horizontal="center"/>
    </xf>
    <xf numFmtId="0" fontId="11" fillId="70" borderId="34" xfId="1" applyFont="1" applyFill="1" applyBorder="1" applyAlignment="1">
      <alignment horizontal="center"/>
    </xf>
    <xf numFmtId="2" fontId="11" fillId="70" borderId="35" xfId="1" applyNumberFormat="1" applyFont="1" applyFill="1" applyBorder="1" applyAlignment="1">
      <alignment horizontal="center"/>
    </xf>
    <xf numFmtId="0" fontId="12" fillId="70" borderId="35" xfId="0" applyFont="1" applyFill="1" applyBorder="1" applyAlignment="1">
      <alignment horizontal="center"/>
    </xf>
    <xf numFmtId="0" fontId="12" fillId="70" borderId="35" xfId="0" applyFont="1" applyFill="1" applyBorder="1"/>
    <xf numFmtId="0" fontId="12" fillId="70" borderId="36" xfId="0" applyFont="1" applyFill="1" applyBorder="1"/>
    <xf numFmtId="0" fontId="18" fillId="65" borderId="29" xfId="0" applyFont="1" applyFill="1" applyBorder="1" applyAlignment="1">
      <alignment horizontal="center"/>
    </xf>
    <xf numFmtId="0" fontId="18" fillId="58" borderId="30" xfId="0" applyFont="1" applyFill="1" applyBorder="1" applyAlignment="1">
      <alignment horizontal="center"/>
    </xf>
    <xf numFmtId="169" fontId="18" fillId="58" borderId="30" xfId="0" applyNumberFormat="1" applyFont="1" applyFill="1" applyBorder="1" applyAlignment="1">
      <alignment horizontal="center"/>
    </xf>
    <xf numFmtId="0" fontId="18" fillId="58" borderId="31" xfId="0" applyFont="1" applyFill="1" applyBorder="1" applyAlignment="1">
      <alignment horizontal="center"/>
    </xf>
    <xf numFmtId="0" fontId="18" fillId="65" borderId="32" xfId="0" applyFont="1" applyFill="1" applyBorder="1" applyAlignment="1">
      <alignment horizontal="center"/>
    </xf>
    <xf numFmtId="0" fontId="18" fillId="58" borderId="2" xfId="0" applyFont="1" applyFill="1" applyBorder="1" applyAlignment="1">
      <alignment horizontal="center"/>
    </xf>
    <xf numFmtId="169" fontId="18" fillId="58" borderId="2" xfId="0" applyNumberFormat="1" applyFont="1" applyFill="1" applyBorder="1" applyAlignment="1">
      <alignment horizontal="center"/>
    </xf>
    <xf numFmtId="0" fontId="18" fillId="58" borderId="33" xfId="0" applyFont="1" applyFill="1" applyBorder="1" applyAlignment="1">
      <alignment horizontal="center"/>
    </xf>
    <xf numFmtId="0" fontId="18" fillId="65" borderId="34" xfId="0" applyFont="1" applyFill="1" applyBorder="1" applyAlignment="1">
      <alignment horizontal="center"/>
    </xf>
    <xf numFmtId="0" fontId="18" fillId="58" borderId="35" xfId="0" applyFont="1" applyFill="1" applyBorder="1" applyAlignment="1">
      <alignment horizontal="center"/>
    </xf>
    <xf numFmtId="169" fontId="18" fillId="58" borderId="35" xfId="0" applyNumberFormat="1" applyFont="1" applyFill="1" applyBorder="1" applyAlignment="1">
      <alignment horizontal="center"/>
    </xf>
    <xf numFmtId="0" fontId="18" fillId="58" borderId="36" xfId="0" applyFont="1" applyFill="1" applyBorder="1" applyAlignment="1">
      <alignment horizontal="center"/>
    </xf>
    <xf numFmtId="0" fontId="91" fillId="64" borderId="68" xfId="0" applyFont="1" applyFill="1" applyBorder="1" applyAlignment="1">
      <alignment horizontal="center" vertical="center"/>
    </xf>
    <xf numFmtId="0" fontId="91" fillId="64" borderId="68" xfId="0" applyFont="1" applyFill="1" applyBorder="1" applyAlignment="1">
      <alignment horizontal="center"/>
    </xf>
    <xf numFmtId="0" fontId="91" fillId="64" borderId="65" xfId="0" applyFont="1" applyFill="1" applyBorder="1" applyAlignment="1">
      <alignment horizontal="center"/>
    </xf>
    <xf numFmtId="0" fontId="91" fillId="71" borderId="69" xfId="0" applyFont="1" applyFill="1" applyBorder="1" applyAlignment="1">
      <alignment horizontal="center" vertical="center"/>
    </xf>
    <xf numFmtId="0" fontId="91" fillId="71" borderId="69" xfId="0" applyFont="1" applyFill="1" applyBorder="1" applyAlignment="1">
      <alignment horizontal="center"/>
    </xf>
    <xf numFmtId="0" fontId="91" fillId="71" borderId="67" xfId="0" applyFont="1" applyFill="1" applyBorder="1" applyAlignment="1">
      <alignment horizontal="center"/>
    </xf>
    <xf numFmtId="0" fontId="51" fillId="28" borderId="0" xfId="0" applyFont="1" applyFill="1" applyAlignment="1">
      <alignment horizontal="center" vertical="center"/>
    </xf>
    <xf numFmtId="0" fontId="42" fillId="63" borderId="136" xfId="0" applyFont="1" applyFill="1" applyBorder="1" applyAlignment="1">
      <alignment horizontal="center" vertical="center"/>
    </xf>
    <xf numFmtId="0" fontId="51" fillId="28" borderId="108" xfId="0" applyFont="1" applyFill="1" applyBorder="1" applyAlignment="1">
      <alignment horizontal="center" vertical="center"/>
    </xf>
    <xf numFmtId="0" fontId="51" fillId="58" borderId="7" xfId="0" applyFont="1" applyFill="1" applyBorder="1" applyAlignment="1">
      <alignment vertical="center"/>
    </xf>
    <xf numFmtId="0" fontId="51" fillId="0" borderId="17" xfId="0" applyFont="1" applyBorder="1"/>
    <xf numFmtId="0" fontId="51" fillId="28" borderId="9" xfId="0" applyFont="1" applyFill="1" applyBorder="1" applyAlignment="1">
      <alignment horizontal="center" vertical="center"/>
    </xf>
    <xf numFmtId="0" fontId="51" fillId="63" borderId="156" xfId="0" applyFont="1" applyFill="1" applyBorder="1" applyAlignment="1">
      <alignment horizontal="center" vertical="center"/>
    </xf>
    <xf numFmtId="0" fontId="68" fillId="28" borderId="72" xfId="0" applyFont="1" applyFill="1" applyBorder="1" applyAlignment="1">
      <alignment horizontal="center" vertical="center"/>
    </xf>
    <xf numFmtId="0" fontId="51" fillId="63" borderId="118" xfId="0" applyFont="1" applyFill="1" applyBorder="1" applyAlignment="1">
      <alignment horizontal="center" vertical="center"/>
    </xf>
    <xf numFmtId="0" fontId="51" fillId="63" borderId="148" xfId="0" applyFont="1" applyFill="1" applyBorder="1" applyAlignment="1">
      <alignment horizontal="center" vertical="center"/>
    </xf>
    <xf numFmtId="0" fontId="73" fillId="28" borderId="136" xfId="0" applyFont="1" applyFill="1" applyBorder="1" applyAlignment="1">
      <alignment horizontal="center" vertical="center"/>
    </xf>
    <xf numFmtId="0" fontId="51" fillId="63" borderId="10" xfId="0" applyFont="1" applyFill="1" applyBorder="1" applyAlignment="1">
      <alignment horizontal="center" vertical="center"/>
    </xf>
    <xf numFmtId="0" fontId="31" fillId="0" borderId="112" xfId="0" applyFont="1" applyBorder="1" applyAlignment="1">
      <alignment horizontal="center" vertical="center"/>
    </xf>
    <xf numFmtId="0" fontId="38" fillId="18" borderId="63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90" fillId="16" borderId="62" xfId="0" applyFont="1" applyFill="1" applyBorder="1" applyAlignment="1">
      <alignment horizontal="center" vertical="center"/>
    </xf>
    <xf numFmtId="0" fontId="11" fillId="0" borderId="64" xfId="0" applyFont="1" applyBorder="1"/>
    <xf numFmtId="0" fontId="11" fillId="0" borderId="65" xfId="0" applyFont="1" applyBorder="1"/>
    <xf numFmtId="0" fontId="11" fillId="0" borderId="67" xfId="0" applyFont="1" applyBorder="1"/>
    <xf numFmtId="0" fontId="38" fillId="18" borderId="64" xfId="0" applyFont="1" applyFill="1" applyBorder="1" applyAlignment="1">
      <alignment horizontal="center" vertical="center"/>
    </xf>
    <xf numFmtId="0" fontId="11" fillId="0" borderId="69" xfId="0" applyFont="1" applyBorder="1" applyAlignment="1">
      <alignment horizontal="center"/>
    </xf>
    <xf numFmtId="0" fontId="37" fillId="16" borderId="62" xfId="0" applyFont="1" applyFill="1" applyBorder="1" applyAlignment="1">
      <alignment horizontal="center" vertical="center" wrapText="1"/>
    </xf>
    <xf numFmtId="0" fontId="11" fillId="0" borderId="63" xfId="0" applyFont="1" applyBorder="1"/>
    <xf numFmtId="0" fontId="11" fillId="0" borderId="66" xfId="0" applyFont="1" applyBorder="1"/>
    <xf numFmtId="0" fontId="18" fillId="0" borderId="68" xfId="0" applyFont="1" applyBorder="1" applyAlignment="1">
      <alignment horizontal="center"/>
    </xf>
    <xf numFmtId="0" fontId="18" fillId="0" borderId="0" xfId="0" applyFont="1"/>
    <xf numFmtId="0" fontId="11" fillId="0" borderId="69" xfId="0" applyFont="1" applyBorder="1"/>
    <xf numFmtId="0" fontId="12" fillId="11" borderId="48" xfId="0" applyFont="1" applyFill="1" applyBorder="1" applyAlignment="1">
      <alignment horizontal="center"/>
    </xf>
    <xf numFmtId="0" fontId="12" fillId="11" borderId="31" xfId="0" applyFont="1" applyFill="1" applyBorder="1" applyAlignment="1">
      <alignment horizontal="center"/>
    </xf>
    <xf numFmtId="0" fontId="12" fillId="11" borderId="49" xfId="0" applyFont="1" applyFill="1" applyBorder="1" applyAlignment="1">
      <alignment horizontal="center"/>
    </xf>
    <xf numFmtId="0" fontId="12" fillId="11" borderId="36" xfId="0" applyFont="1" applyFill="1" applyBorder="1" applyAlignment="1">
      <alignment horizontal="center"/>
    </xf>
    <xf numFmtId="0" fontId="25" fillId="11" borderId="14" xfId="0" applyFont="1" applyFill="1" applyBorder="1" applyAlignment="1">
      <alignment horizontal="center" vertical="center"/>
    </xf>
    <xf numFmtId="0" fontId="25" fillId="11" borderId="15" xfId="0" applyFont="1" applyFill="1" applyBorder="1" applyAlignment="1">
      <alignment horizontal="center" vertical="center"/>
    </xf>
    <xf numFmtId="0" fontId="25" fillId="11" borderId="16" xfId="0" applyFont="1" applyFill="1" applyBorder="1" applyAlignment="1">
      <alignment horizontal="center" vertical="center"/>
    </xf>
    <xf numFmtId="0" fontId="23" fillId="9" borderId="14" xfId="0" applyFont="1" applyFill="1" applyBorder="1" applyAlignment="1">
      <alignment horizontal="center"/>
    </xf>
    <xf numFmtId="0" fontId="26" fillId="9" borderId="15" xfId="0" applyFont="1" applyFill="1" applyBorder="1" applyAlignment="1">
      <alignment horizontal="center"/>
    </xf>
    <xf numFmtId="0" fontId="26" fillId="9" borderId="16" xfId="0" applyFont="1" applyFill="1" applyBorder="1" applyAlignment="1">
      <alignment horizontal="center"/>
    </xf>
    <xf numFmtId="0" fontId="14" fillId="14" borderId="13" xfId="0" applyFont="1" applyFill="1" applyBorder="1" applyAlignment="1">
      <alignment horizontal="center" vertical="center"/>
    </xf>
    <xf numFmtId="0" fontId="14" fillId="14" borderId="7" xfId="0" applyFont="1" applyFill="1" applyBorder="1" applyAlignment="1">
      <alignment horizontal="center" vertical="center"/>
    </xf>
    <xf numFmtId="0" fontId="14" fillId="14" borderId="10" xfId="0" applyFont="1" applyFill="1" applyBorder="1" applyAlignment="1">
      <alignment horizontal="center" vertical="center"/>
    </xf>
    <xf numFmtId="0" fontId="38" fillId="17" borderId="62" xfId="0" applyFont="1" applyFill="1" applyBorder="1" applyAlignment="1">
      <alignment horizontal="center" vertical="center"/>
    </xf>
    <xf numFmtId="0" fontId="11" fillId="0" borderId="68" xfId="0" applyFont="1" applyBorder="1" applyAlignment="1">
      <alignment horizontal="center"/>
    </xf>
    <xf numFmtId="0" fontId="17" fillId="14" borderId="13" xfId="0" applyFont="1" applyFill="1" applyBorder="1" applyAlignment="1">
      <alignment horizontal="center" vertical="center" wrapText="1"/>
    </xf>
    <xf numFmtId="0" fontId="17" fillId="14" borderId="7" xfId="0" applyFont="1" applyFill="1" applyBorder="1" applyAlignment="1">
      <alignment horizontal="center" vertical="center" wrapText="1"/>
    </xf>
    <xf numFmtId="0" fontId="17" fillId="14" borderId="10" xfId="0" applyFont="1" applyFill="1" applyBorder="1" applyAlignment="1">
      <alignment horizontal="center" vertical="center" wrapText="1"/>
    </xf>
    <xf numFmtId="0" fontId="25" fillId="61" borderId="18" xfId="0" applyFont="1" applyFill="1" applyBorder="1" applyAlignment="1">
      <alignment horizontal="center" vertical="center"/>
    </xf>
    <xf numFmtId="0" fontId="25" fillId="61" borderId="20" xfId="0" applyFont="1" applyFill="1" applyBorder="1" applyAlignment="1">
      <alignment horizontal="center" vertical="center"/>
    </xf>
    <xf numFmtId="0" fontId="25" fillId="27" borderId="18" xfId="0" applyFont="1" applyFill="1" applyBorder="1" applyAlignment="1">
      <alignment horizontal="center" vertical="center"/>
    </xf>
    <xf numFmtId="0" fontId="25" fillId="27" borderId="19" xfId="0" applyFont="1" applyFill="1" applyBorder="1" applyAlignment="1">
      <alignment horizontal="center" vertical="center"/>
    </xf>
    <xf numFmtId="0" fontId="25" fillId="27" borderId="20" xfId="0" applyFont="1" applyFill="1" applyBorder="1" applyAlignment="1">
      <alignment horizontal="center" vertical="center"/>
    </xf>
    <xf numFmtId="0" fontId="20" fillId="28" borderId="61" xfId="0" applyFont="1" applyFill="1" applyBorder="1" applyAlignment="1">
      <alignment horizontal="center" vertical="center"/>
    </xf>
    <xf numFmtId="0" fontId="20" fillId="28" borderId="20" xfId="0" applyFont="1" applyFill="1" applyBorder="1" applyAlignment="1">
      <alignment horizontal="center" vertical="center"/>
    </xf>
    <xf numFmtId="0" fontId="12" fillId="58" borderId="41" xfId="0" applyFont="1" applyFill="1" applyBorder="1" applyAlignment="1">
      <alignment horizontal="center" vertical="center"/>
    </xf>
    <xf numFmtId="0" fontId="12" fillId="58" borderId="26" xfId="0" applyFont="1" applyFill="1" applyBorder="1" applyAlignment="1">
      <alignment horizontal="center" vertical="center"/>
    </xf>
    <xf numFmtId="0" fontId="12" fillId="58" borderId="5" xfId="0" applyFont="1" applyFill="1" applyBorder="1" applyAlignment="1">
      <alignment horizontal="center" vertical="center"/>
    </xf>
    <xf numFmtId="0" fontId="12" fillId="58" borderId="39" xfId="0" applyFont="1" applyFill="1" applyBorder="1" applyAlignment="1">
      <alignment horizontal="center" vertical="center"/>
    </xf>
    <xf numFmtId="0" fontId="25" fillId="62" borderId="18" xfId="0" applyFont="1" applyFill="1" applyBorder="1" applyAlignment="1">
      <alignment horizontal="center" vertical="center"/>
    </xf>
    <xf numFmtId="0" fontId="25" fillId="62" borderId="20" xfId="0" applyFont="1" applyFill="1" applyBorder="1" applyAlignment="1">
      <alignment horizontal="center" vertical="center"/>
    </xf>
    <xf numFmtId="0" fontId="12" fillId="58" borderId="2" xfId="0" applyFont="1" applyFill="1" applyBorder="1" applyAlignment="1">
      <alignment horizontal="center" vertical="center"/>
    </xf>
    <xf numFmtId="0" fontId="12" fillId="58" borderId="33" xfId="0" applyFont="1" applyFill="1" applyBorder="1" applyAlignment="1">
      <alignment horizontal="center" vertical="center"/>
    </xf>
    <xf numFmtId="0" fontId="93" fillId="28" borderId="18" xfId="0" applyFont="1" applyFill="1" applyBorder="1" applyAlignment="1">
      <alignment horizontal="center" vertical="center"/>
    </xf>
    <xf numFmtId="0" fontId="93" fillId="28" borderId="19" xfId="0" applyFont="1" applyFill="1" applyBorder="1" applyAlignment="1">
      <alignment horizontal="center" vertical="center"/>
    </xf>
    <xf numFmtId="0" fontId="93" fillId="28" borderId="20" xfId="0" applyFont="1" applyFill="1" applyBorder="1" applyAlignment="1">
      <alignment horizontal="center" vertical="center"/>
    </xf>
    <xf numFmtId="0" fontId="25" fillId="60" borderId="153" xfId="0" applyFont="1" applyFill="1" applyBorder="1" applyAlignment="1">
      <alignment horizontal="center" vertical="center"/>
    </xf>
    <xf numFmtId="0" fontId="25" fillId="60" borderId="154" xfId="0" applyFont="1" applyFill="1" applyBorder="1" applyAlignment="1">
      <alignment horizontal="center" vertical="center"/>
    </xf>
    <xf numFmtId="0" fontId="25" fillId="60" borderId="155" xfId="0" applyFont="1" applyFill="1" applyBorder="1" applyAlignment="1">
      <alignment horizontal="center" vertical="center"/>
    </xf>
    <xf numFmtId="0" fontId="21" fillId="61" borderId="18" xfId="0" applyFont="1" applyFill="1" applyBorder="1" applyAlignment="1">
      <alignment horizontal="center" vertical="center" wrapText="1"/>
    </xf>
    <xf numFmtId="0" fontId="21" fillId="61" borderId="20" xfId="0" applyFont="1" applyFill="1" applyBorder="1" applyAlignment="1">
      <alignment horizontal="center" vertical="center" wrapText="1"/>
    </xf>
    <xf numFmtId="0" fontId="20" fillId="22" borderId="53" xfId="0" applyFont="1" applyFill="1" applyBorder="1" applyAlignment="1">
      <alignment horizontal="center" vertical="center"/>
    </xf>
    <xf numFmtId="0" fontId="20" fillId="22" borderId="54" xfId="0" applyFont="1" applyFill="1" applyBorder="1" applyAlignment="1">
      <alignment horizontal="center" vertical="center"/>
    </xf>
    <xf numFmtId="0" fontId="12" fillId="58" borderId="35" xfId="0" applyFont="1" applyFill="1" applyBorder="1" applyAlignment="1">
      <alignment horizontal="center" vertical="center"/>
    </xf>
    <xf numFmtId="0" fontId="12" fillId="58" borderId="36" xfId="0" applyFont="1" applyFill="1" applyBorder="1" applyAlignment="1">
      <alignment horizontal="center" vertical="center"/>
    </xf>
    <xf numFmtId="0" fontId="27" fillId="13" borderId="18" xfId="0" applyFont="1" applyFill="1" applyBorder="1" applyAlignment="1">
      <alignment horizontal="center" vertical="center"/>
    </xf>
    <xf numFmtId="0" fontId="27" fillId="13" borderId="20" xfId="0" applyFont="1" applyFill="1" applyBorder="1" applyAlignment="1">
      <alignment horizontal="center" vertical="center"/>
    </xf>
    <xf numFmtId="0" fontId="51" fillId="27" borderId="84" xfId="0" applyFont="1" applyFill="1" applyBorder="1" applyAlignment="1">
      <alignment horizontal="center" vertical="center"/>
    </xf>
    <xf numFmtId="0" fontId="51" fillId="27" borderId="79" xfId="0" applyFont="1" applyFill="1" applyBorder="1" applyAlignment="1">
      <alignment horizontal="center" vertical="center"/>
    </xf>
    <xf numFmtId="0" fontId="51" fillId="28" borderId="94" xfId="0" applyFont="1" applyFill="1" applyBorder="1" applyAlignment="1">
      <alignment horizontal="center" vertical="center"/>
    </xf>
    <xf numFmtId="0" fontId="51" fillId="28" borderId="72" xfId="0" applyFont="1" applyFill="1" applyBorder="1" applyAlignment="1">
      <alignment horizontal="center" vertical="center"/>
    </xf>
    <xf numFmtId="0" fontId="42" fillId="63" borderId="78" xfId="0" applyFont="1" applyFill="1" applyBorder="1" applyAlignment="1">
      <alignment horizontal="center" vertical="center"/>
    </xf>
    <xf numFmtId="0" fontId="42" fillId="63" borderId="80" xfId="0" applyFont="1" applyFill="1" applyBorder="1" applyAlignment="1">
      <alignment horizontal="center" vertical="center"/>
    </xf>
    <xf numFmtId="0" fontId="31" fillId="28" borderId="70" xfId="0" applyFont="1" applyFill="1" applyBorder="1" applyAlignment="1">
      <alignment horizontal="center" vertical="center"/>
    </xf>
    <xf numFmtId="0" fontId="31" fillId="28" borderId="95" xfId="0" applyFont="1" applyFill="1" applyBorder="1" applyAlignment="1">
      <alignment horizontal="center" vertical="center"/>
    </xf>
    <xf numFmtId="0" fontId="31" fillId="28" borderId="94" xfId="0" applyFont="1" applyFill="1" applyBorder="1" applyAlignment="1">
      <alignment horizontal="center" vertical="center"/>
    </xf>
    <xf numFmtId="0" fontId="31" fillId="28" borderId="72" xfId="0" applyFont="1" applyFill="1" applyBorder="1" applyAlignment="1">
      <alignment horizontal="center" vertical="center"/>
    </xf>
    <xf numFmtId="165" fontId="53" fillId="58" borderId="119" xfId="0" applyNumberFormat="1" applyFont="1" applyFill="1" applyBorder="1" applyAlignment="1">
      <alignment horizontal="center" vertical="center"/>
    </xf>
    <xf numFmtId="165" fontId="53" fillId="58" borderId="116" xfId="0" applyNumberFormat="1" applyFont="1" applyFill="1" applyBorder="1" applyAlignment="1">
      <alignment horizontal="center" vertical="center"/>
    </xf>
    <xf numFmtId="165" fontId="53" fillId="58" borderId="101" xfId="0" applyNumberFormat="1" applyFont="1" applyFill="1" applyBorder="1" applyAlignment="1">
      <alignment horizontal="center" vertical="center"/>
    </xf>
    <xf numFmtId="165" fontId="53" fillId="63" borderId="119" xfId="0" applyNumberFormat="1" applyFont="1" applyFill="1" applyBorder="1" applyAlignment="1">
      <alignment horizontal="center" vertical="center"/>
    </xf>
    <xf numFmtId="165" fontId="53" fillId="63" borderId="100" xfId="0" applyNumberFormat="1" applyFont="1" applyFill="1" applyBorder="1" applyAlignment="1">
      <alignment horizontal="center" vertical="center"/>
    </xf>
    <xf numFmtId="0" fontId="31" fillId="28" borderId="71" xfId="0" applyFont="1" applyFill="1" applyBorder="1" applyAlignment="1">
      <alignment horizontal="center" vertical="center"/>
    </xf>
    <xf numFmtId="0" fontId="64" fillId="22" borderId="70" xfId="0" applyFont="1" applyFill="1" applyBorder="1" applyAlignment="1">
      <alignment horizontal="center" vertical="center"/>
    </xf>
    <xf numFmtId="0" fontId="64" fillId="22" borderId="71" xfId="0" applyFont="1" applyFill="1" applyBorder="1" applyAlignment="1">
      <alignment horizontal="center" vertical="center"/>
    </xf>
    <xf numFmtId="0" fontId="64" fillId="22" borderId="21" xfId="0" applyFont="1" applyFill="1" applyBorder="1" applyAlignment="1">
      <alignment horizontal="center" vertical="center"/>
    </xf>
    <xf numFmtId="0" fontId="64" fillId="22" borderId="72" xfId="0" applyFont="1" applyFill="1" applyBorder="1" applyAlignment="1">
      <alignment horizontal="center" vertical="center"/>
    </xf>
    <xf numFmtId="0" fontId="64" fillId="22" borderId="22" xfId="0" applyFont="1" applyFill="1" applyBorder="1" applyAlignment="1">
      <alignment horizontal="center" vertical="center"/>
    </xf>
    <xf numFmtId="0" fontId="64" fillId="22" borderId="23" xfId="0" applyFont="1" applyFill="1" applyBorder="1" applyAlignment="1">
      <alignment horizontal="center" vertical="center"/>
    </xf>
    <xf numFmtId="0" fontId="51" fillId="63" borderId="102" xfId="0" applyFont="1" applyFill="1" applyBorder="1" applyAlignment="1">
      <alignment horizontal="center" vertical="center"/>
    </xf>
    <xf numFmtId="0" fontId="51" fillId="63" borderId="103" xfId="0" applyFont="1" applyFill="1" applyBorder="1" applyAlignment="1">
      <alignment horizontal="center" vertical="center"/>
    </xf>
    <xf numFmtId="0" fontId="70" fillId="58" borderId="14" xfId="0" applyFont="1" applyFill="1" applyBorder="1" applyAlignment="1">
      <alignment horizontal="center" vertical="center"/>
    </xf>
    <xf numFmtId="0" fontId="70" fillId="58" borderId="16" xfId="0" applyFont="1" applyFill="1" applyBorder="1" applyAlignment="1">
      <alignment horizontal="center" vertical="center"/>
    </xf>
    <xf numFmtId="0" fontId="70" fillId="58" borderId="11" xfId="0" applyFont="1" applyFill="1" applyBorder="1" applyAlignment="1">
      <alignment horizontal="center" vertical="center"/>
    </xf>
    <xf numFmtId="0" fontId="70" fillId="58" borderId="12" xfId="0" applyFont="1" applyFill="1" applyBorder="1" applyAlignment="1">
      <alignment horizontal="center" vertical="center"/>
    </xf>
    <xf numFmtId="0" fontId="59" fillId="58" borderId="17" xfId="0" applyFont="1" applyFill="1" applyBorder="1" applyAlignment="1">
      <alignment horizontal="center" vertical="center"/>
    </xf>
    <xf numFmtId="0" fontId="60" fillId="58" borderId="17" xfId="0" applyFont="1" applyFill="1" applyBorder="1" applyAlignment="1">
      <alignment horizontal="center" vertical="center"/>
    </xf>
    <xf numFmtId="0" fontId="42" fillId="63" borderId="21" xfId="0" applyFont="1" applyFill="1" applyBorder="1" applyAlignment="1">
      <alignment horizontal="center" vertical="center"/>
    </xf>
    <xf numFmtId="0" fontId="42" fillId="63" borderId="23" xfId="0" applyFont="1" applyFill="1" applyBorder="1" applyAlignment="1">
      <alignment horizontal="center" vertical="center"/>
    </xf>
    <xf numFmtId="0" fontId="51" fillId="58" borderId="70" xfId="0" applyFont="1" applyFill="1" applyBorder="1" applyAlignment="1">
      <alignment horizontal="center"/>
    </xf>
    <xf numFmtId="0" fontId="51" fillId="58" borderId="71" xfId="0" applyFont="1" applyFill="1" applyBorder="1" applyAlignment="1">
      <alignment horizontal="center"/>
    </xf>
    <xf numFmtId="0" fontId="51" fillId="58" borderId="72" xfId="0" applyFont="1" applyFill="1" applyBorder="1" applyAlignment="1">
      <alignment horizontal="center"/>
    </xf>
    <xf numFmtId="0" fontId="51" fillId="58" borderId="102" xfId="0" applyFont="1" applyFill="1" applyBorder="1" applyAlignment="1">
      <alignment horizontal="center"/>
    </xf>
    <xf numFmtId="0" fontId="51" fillId="58" borderId="103" xfId="0" applyFont="1" applyFill="1" applyBorder="1" applyAlignment="1">
      <alignment horizontal="center"/>
    </xf>
    <xf numFmtId="0" fontId="51" fillId="27" borderId="18" xfId="0" applyFont="1" applyFill="1" applyBorder="1" applyAlignment="1">
      <alignment horizontal="center" vertical="center"/>
    </xf>
    <xf numFmtId="0" fontId="51" fillId="27" borderId="19" xfId="0" applyFont="1" applyFill="1" applyBorder="1" applyAlignment="1">
      <alignment horizontal="center" vertical="center"/>
    </xf>
    <xf numFmtId="0" fontId="51" fillId="27" borderId="20" xfId="0" applyFont="1" applyFill="1" applyBorder="1" applyAlignment="1">
      <alignment horizontal="center" vertical="center"/>
    </xf>
    <xf numFmtId="0" fontId="51" fillId="63" borderId="19" xfId="0" applyFont="1" applyFill="1" applyBorder="1" applyAlignment="1">
      <alignment horizontal="center" vertical="center"/>
    </xf>
    <xf numFmtId="0" fontId="51" fillId="63" borderId="20" xfId="0" applyFont="1" applyFill="1" applyBorder="1" applyAlignment="1">
      <alignment horizontal="center" vertical="center"/>
    </xf>
    <xf numFmtId="0" fontId="51" fillId="27" borderId="0" xfId="0" applyFont="1" applyFill="1" applyAlignment="1">
      <alignment horizontal="center" vertical="center"/>
    </xf>
    <xf numFmtId="0" fontId="51" fillId="27" borderId="115" xfId="0" applyFont="1" applyFill="1" applyBorder="1" applyAlignment="1">
      <alignment horizontal="center"/>
    </xf>
    <xf numFmtId="0" fontId="51" fillId="27" borderId="116" xfId="0" applyFont="1" applyFill="1" applyBorder="1" applyAlignment="1">
      <alignment horizontal="center"/>
    </xf>
    <xf numFmtId="0" fontId="42" fillId="63" borderId="100" xfId="0" applyFont="1" applyFill="1" applyBorder="1" applyAlignment="1">
      <alignment horizontal="center" vertical="center"/>
    </xf>
    <xf numFmtId="0" fontId="42" fillId="63" borderId="101" xfId="0" applyFont="1" applyFill="1" applyBorder="1" applyAlignment="1">
      <alignment horizontal="center" vertical="center"/>
    </xf>
    <xf numFmtId="0" fontId="51" fillId="27" borderId="11" xfId="0" applyFont="1" applyFill="1" applyBorder="1" applyAlignment="1">
      <alignment horizontal="center" vertical="center"/>
    </xf>
    <xf numFmtId="0" fontId="51" fillId="27" borderId="6" xfId="0" applyFont="1" applyFill="1" applyBorder="1" applyAlignment="1">
      <alignment horizontal="center" vertical="center"/>
    </xf>
    <xf numFmtId="0" fontId="51" fillId="63" borderId="18" xfId="0" applyFont="1" applyFill="1" applyBorder="1" applyAlignment="1">
      <alignment horizontal="center" vertical="center"/>
    </xf>
    <xf numFmtId="0" fontId="51" fillId="58" borderId="71" xfId="0" applyFont="1" applyFill="1" applyBorder="1" applyAlignment="1">
      <alignment horizontal="center" vertical="center"/>
    </xf>
    <xf numFmtId="0" fontId="51" fillId="58" borderId="73" xfId="0" applyFont="1" applyFill="1" applyBorder="1" applyAlignment="1">
      <alignment horizontal="center" vertical="center"/>
    </xf>
    <xf numFmtId="0" fontId="51" fillId="63" borderId="129" xfId="0" applyFont="1" applyFill="1" applyBorder="1" applyAlignment="1">
      <alignment horizontal="center" vertical="center"/>
    </xf>
    <xf numFmtId="0" fontId="51" fillId="63" borderId="111" xfId="0" applyFont="1" applyFill="1" applyBorder="1" applyAlignment="1">
      <alignment horizontal="center" vertical="center"/>
    </xf>
    <xf numFmtId="0" fontId="53" fillId="63" borderId="11" xfId="0" applyFont="1" applyFill="1" applyBorder="1" applyAlignment="1">
      <alignment horizontal="center"/>
    </xf>
    <xf numFmtId="0" fontId="53" fillId="63" borderId="6" xfId="0" applyFont="1" applyFill="1" applyBorder="1" applyAlignment="1">
      <alignment horizontal="center"/>
    </xf>
    <xf numFmtId="0" fontId="53" fillId="63" borderId="112" xfId="0" applyFont="1" applyFill="1" applyBorder="1" applyAlignment="1">
      <alignment horizontal="center"/>
    </xf>
    <xf numFmtId="0" fontId="80" fillId="66" borderId="98" xfId="0" applyFont="1" applyFill="1" applyBorder="1" applyAlignment="1">
      <alignment horizontal="center"/>
    </xf>
    <xf numFmtId="0" fontId="80" fillId="66" borderId="99" xfId="0" applyFont="1" applyFill="1" applyBorder="1" applyAlignment="1">
      <alignment horizontal="center"/>
    </xf>
    <xf numFmtId="0" fontId="51" fillId="66" borderId="8" xfId="0" applyFont="1" applyFill="1" applyBorder="1" applyAlignment="1">
      <alignment horizontal="center" vertical="center"/>
    </xf>
    <xf numFmtId="0" fontId="51" fillId="66" borderId="9" xfId="0" applyFont="1" applyFill="1" applyBorder="1" applyAlignment="1">
      <alignment horizontal="center" vertical="center"/>
    </xf>
    <xf numFmtId="165" fontId="51" fillId="63" borderId="18" xfId="0" applyNumberFormat="1" applyFont="1" applyFill="1" applyBorder="1" applyAlignment="1">
      <alignment horizontal="center" vertical="center"/>
    </xf>
    <xf numFmtId="0" fontId="51" fillId="27" borderId="22" xfId="0" applyFont="1" applyFill="1" applyBorder="1" applyAlignment="1">
      <alignment horizontal="center" vertical="center"/>
    </xf>
    <xf numFmtId="0" fontId="51" fillId="27" borderId="23" xfId="0" applyFont="1" applyFill="1" applyBorder="1" applyAlignment="1">
      <alignment horizontal="center" vertical="center"/>
    </xf>
    <xf numFmtId="0" fontId="61" fillId="27" borderId="13" xfId="0" applyFont="1" applyFill="1" applyBorder="1" applyAlignment="1">
      <alignment horizontal="center" vertical="center" wrapText="1"/>
    </xf>
    <xf numFmtId="0" fontId="61" fillId="27" borderId="7" xfId="0" applyFont="1" applyFill="1" applyBorder="1" applyAlignment="1">
      <alignment horizontal="center" vertical="center" wrapText="1"/>
    </xf>
    <xf numFmtId="0" fontId="51" fillId="63" borderId="7" xfId="0" applyFont="1" applyFill="1" applyBorder="1" applyAlignment="1">
      <alignment horizontal="center" vertical="center"/>
    </xf>
    <xf numFmtId="0" fontId="51" fillId="63" borderId="28" xfId="0" applyFont="1" applyFill="1" applyBorder="1" applyAlignment="1">
      <alignment horizontal="center" vertical="center"/>
    </xf>
    <xf numFmtId="0" fontId="51" fillId="27" borderId="109" xfId="0" applyFont="1" applyFill="1" applyBorder="1" applyAlignment="1">
      <alignment horizontal="center" vertical="center"/>
    </xf>
    <xf numFmtId="0" fontId="51" fillId="27" borderId="16" xfId="0" applyFont="1" applyFill="1" applyBorder="1" applyAlignment="1">
      <alignment horizontal="center" vertical="center"/>
    </xf>
    <xf numFmtId="0" fontId="51" fillId="27" borderId="131" xfId="0" applyFont="1" applyFill="1" applyBorder="1" applyAlignment="1">
      <alignment horizontal="center" vertical="center"/>
    </xf>
    <xf numFmtId="0" fontId="51" fillId="27" borderId="12" xfId="0" applyFont="1" applyFill="1" applyBorder="1" applyAlignment="1">
      <alignment horizontal="center" vertical="center"/>
    </xf>
    <xf numFmtId="0" fontId="42" fillId="63" borderId="0" xfId="0" applyFont="1" applyFill="1" applyAlignment="1">
      <alignment horizontal="center" vertical="center"/>
    </xf>
    <xf numFmtId="0" fontId="42" fillId="63" borderId="28" xfId="0" applyFont="1" applyFill="1" applyBorder="1" applyAlignment="1">
      <alignment horizontal="center" vertical="center"/>
    </xf>
    <xf numFmtId="0" fontId="29" fillId="21" borderId="22" xfId="0" applyFont="1" applyFill="1" applyBorder="1" applyAlignment="1">
      <alignment horizontal="center" vertical="center"/>
    </xf>
    <xf numFmtId="0" fontId="50" fillId="22" borderId="21" xfId="0" applyFont="1" applyFill="1" applyBorder="1" applyAlignment="1">
      <alignment horizontal="center" vertical="center"/>
    </xf>
    <xf numFmtId="0" fontId="51" fillId="27" borderId="127" xfId="0" applyFont="1" applyFill="1" applyBorder="1" applyAlignment="1">
      <alignment horizontal="center"/>
    </xf>
    <xf numFmtId="0" fontId="51" fillId="27" borderId="19" xfId="0" applyFont="1" applyFill="1" applyBorder="1" applyAlignment="1">
      <alignment horizontal="center"/>
    </xf>
    <xf numFmtId="0" fontId="51" fillId="63" borderId="74" xfId="0" applyFont="1" applyFill="1" applyBorder="1" applyAlignment="1">
      <alignment horizontal="center" vertical="center"/>
    </xf>
    <xf numFmtId="0" fontId="51" fillId="58" borderId="22" xfId="0" applyFont="1" applyFill="1" applyBorder="1" applyAlignment="1">
      <alignment horizontal="center" vertical="center"/>
    </xf>
    <xf numFmtId="0" fontId="51" fillId="58" borderId="21" xfId="0" applyFont="1" applyFill="1" applyBorder="1" applyAlignment="1">
      <alignment horizontal="center" vertical="center"/>
    </xf>
    <xf numFmtId="0" fontId="51" fillId="58" borderId="23" xfId="0" applyFont="1" applyFill="1" applyBorder="1" applyAlignment="1">
      <alignment horizontal="center" vertical="center"/>
    </xf>
    <xf numFmtId="0" fontId="51" fillId="58" borderId="27" xfId="0" applyFont="1" applyFill="1" applyBorder="1" applyAlignment="1">
      <alignment horizontal="center" vertical="center"/>
    </xf>
    <xf numFmtId="0" fontId="51" fillId="58" borderId="0" xfId="0" applyFont="1" applyFill="1" applyAlignment="1">
      <alignment horizontal="center" vertical="center"/>
    </xf>
    <xf numFmtId="0" fontId="51" fillId="58" borderId="84" xfId="0" applyFont="1" applyFill="1" applyBorder="1" applyAlignment="1">
      <alignment horizontal="center" vertical="center"/>
    </xf>
    <xf numFmtId="0" fontId="51" fillId="27" borderId="125" xfId="0" applyFont="1" applyFill="1" applyBorder="1" applyAlignment="1">
      <alignment horizontal="center"/>
    </xf>
    <xf numFmtId="0" fontId="51" fillId="27" borderId="128" xfId="0" applyFont="1" applyFill="1" applyBorder="1" applyAlignment="1">
      <alignment horizontal="center"/>
    </xf>
    <xf numFmtId="165" fontId="53" fillId="58" borderId="100" xfId="0" applyNumberFormat="1" applyFont="1" applyFill="1" applyBorder="1" applyAlignment="1">
      <alignment horizontal="center" vertical="center"/>
    </xf>
    <xf numFmtId="0" fontId="51" fillId="27" borderId="115" xfId="0" applyFont="1" applyFill="1" applyBorder="1" applyAlignment="1">
      <alignment horizontal="center" vertical="center"/>
    </xf>
    <xf numFmtId="0" fontId="51" fillId="27" borderId="100" xfId="0" applyFont="1" applyFill="1" applyBorder="1" applyAlignment="1">
      <alignment horizontal="center" vertical="center"/>
    </xf>
    <xf numFmtId="0" fontId="51" fillId="63" borderId="119" xfId="0" applyFont="1" applyFill="1" applyBorder="1" applyAlignment="1">
      <alignment horizontal="center"/>
    </xf>
    <xf numFmtId="0" fontId="51" fillId="63" borderId="100" xfId="0" applyFont="1" applyFill="1" applyBorder="1" applyAlignment="1">
      <alignment horizontal="center"/>
    </xf>
    <xf numFmtId="0" fontId="51" fillId="63" borderId="101" xfId="0" applyFont="1" applyFill="1" applyBorder="1" applyAlignment="1">
      <alignment horizontal="center"/>
    </xf>
    <xf numFmtId="0" fontId="51" fillId="27" borderId="125" xfId="0" applyFont="1" applyFill="1" applyBorder="1" applyAlignment="1">
      <alignment horizontal="center" vertical="center"/>
    </xf>
    <xf numFmtId="0" fontId="51" fillId="27" borderId="128" xfId="0" applyFont="1" applyFill="1" applyBorder="1" applyAlignment="1">
      <alignment horizontal="center" vertical="center"/>
    </xf>
    <xf numFmtId="2" fontId="51" fillId="63" borderId="102" xfId="0" applyNumberFormat="1" applyFont="1" applyFill="1" applyBorder="1" applyAlignment="1">
      <alignment horizontal="center"/>
    </xf>
    <xf numFmtId="2" fontId="51" fillId="63" borderId="103" xfId="0" applyNumberFormat="1" applyFont="1" applyFill="1" applyBorder="1" applyAlignment="1">
      <alignment horizontal="center"/>
    </xf>
    <xf numFmtId="0" fontId="51" fillId="27" borderId="99" xfId="0" applyFont="1" applyFill="1" applyBorder="1" applyAlignment="1">
      <alignment horizontal="center" vertical="center"/>
    </xf>
    <xf numFmtId="0" fontId="53" fillId="63" borderId="119" xfId="0" applyFont="1" applyFill="1" applyBorder="1" applyAlignment="1">
      <alignment horizontal="center"/>
    </xf>
    <xf numFmtId="0" fontId="53" fillId="63" borderId="100" xfId="0" applyFont="1" applyFill="1" applyBorder="1" applyAlignment="1">
      <alignment horizontal="center"/>
    </xf>
    <xf numFmtId="0" fontId="31" fillId="28" borderId="94" xfId="0" applyFont="1" applyFill="1" applyBorder="1" applyAlignment="1">
      <alignment horizontal="center"/>
    </xf>
    <xf numFmtId="0" fontId="31" fillId="28" borderId="95" xfId="0" applyFont="1" applyFill="1" applyBorder="1" applyAlignment="1">
      <alignment horizontal="center"/>
    </xf>
    <xf numFmtId="0" fontId="51" fillId="58" borderId="94" xfId="0" applyFont="1" applyFill="1" applyBorder="1" applyAlignment="1">
      <alignment horizontal="center"/>
    </xf>
    <xf numFmtId="0" fontId="51" fillId="27" borderId="21" xfId="0" applyFont="1" applyFill="1" applyBorder="1" applyAlignment="1">
      <alignment horizontal="center" vertical="center"/>
    </xf>
    <xf numFmtId="0" fontId="42" fillId="63" borderId="119" xfId="0" applyFont="1" applyFill="1" applyBorder="1" applyAlignment="1">
      <alignment horizontal="center" vertical="center"/>
    </xf>
    <xf numFmtId="0" fontId="42" fillId="63" borderId="116" xfId="0" applyFont="1" applyFill="1" applyBorder="1" applyAlignment="1">
      <alignment horizontal="center" vertical="center"/>
    </xf>
    <xf numFmtId="165" fontId="51" fillId="63" borderId="108" xfId="0" applyNumberFormat="1" applyFont="1" applyFill="1" applyBorder="1" applyAlignment="1">
      <alignment horizontal="center" vertical="center"/>
    </xf>
    <xf numFmtId="165" fontId="51" fillId="63" borderId="126" xfId="0" applyNumberFormat="1" applyFont="1" applyFill="1" applyBorder="1" applyAlignment="1">
      <alignment horizontal="center" vertical="center"/>
    </xf>
    <xf numFmtId="0" fontId="42" fillId="63" borderId="6" xfId="0" applyFont="1" applyFill="1" applyBorder="1" applyAlignment="1">
      <alignment horizontal="center" vertical="center"/>
    </xf>
    <xf numFmtId="0" fontId="51" fillId="28" borderId="70" xfId="0" applyFont="1" applyFill="1" applyBorder="1" applyAlignment="1">
      <alignment horizontal="center" vertical="center"/>
    </xf>
    <xf numFmtId="0" fontId="51" fillId="28" borderId="95" xfId="0" applyFont="1" applyFill="1" applyBorder="1" applyAlignment="1">
      <alignment horizontal="center" vertical="center"/>
    </xf>
    <xf numFmtId="0" fontId="51" fillId="27" borderId="102" xfId="0" applyFont="1" applyFill="1" applyBorder="1" applyAlignment="1">
      <alignment horizontal="center" vertical="center"/>
    </xf>
    <xf numFmtId="0" fontId="42" fillId="63" borderId="124" xfId="0" applyFont="1" applyFill="1" applyBorder="1" applyAlignment="1">
      <alignment horizontal="center" vertical="center"/>
    </xf>
    <xf numFmtId="0" fontId="42" fillId="63" borderId="128" xfId="0" applyFont="1" applyFill="1" applyBorder="1" applyAlignment="1">
      <alignment horizontal="center" vertical="center"/>
    </xf>
    <xf numFmtId="0" fontId="51" fillId="63" borderId="0" xfId="0" applyFont="1" applyFill="1" applyAlignment="1">
      <alignment horizontal="center" vertical="center"/>
    </xf>
    <xf numFmtId="0" fontId="51" fillId="63" borderId="9" xfId="0" applyFont="1" applyFill="1" applyBorder="1" applyAlignment="1">
      <alignment horizontal="center" vertical="center"/>
    </xf>
    <xf numFmtId="0" fontId="51" fillId="27" borderId="28" xfId="0" applyFont="1" applyFill="1" applyBorder="1" applyAlignment="1">
      <alignment horizontal="center" vertical="center"/>
    </xf>
    <xf numFmtId="0" fontId="51" fillId="58" borderId="15" xfId="0" applyFont="1" applyFill="1" applyBorder="1" applyAlignment="1">
      <alignment horizontal="center"/>
    </xf>
    <xf numFmtId="0" fontId="51" fillId="58" borderId="105" xfId="0" applyFont="1" applyFill="1" applyBorder="1" applyAlignment="1">
      <alignment horizontal="center"/>
    </xf>
    <xf numFmtId="2" fontId="53" fillId="63" borderId="119" xfId="0" applyNumberFormat="1" applyFont="1" applyFill="1" applyBorder="1" applyAlignment="1">
      <alignment horizontal="center"/>
    </xf>
    <xf numFmtId="2" fontId="53" fillId="63" borderId="100" xfId="0" applyNumberFormat="1" applyFont="1" applyFill="1" applyBorder="1" applyAlignment="1">
      <alignment horizontal="center"/>
    </xf>
    <xf numFmtId="2" fontId="53" fillId="63" borderId="101" xfId="0" applyNumberFormat="1" applyFont="1" applyFill="1" applyBorder="1" applyAlignment="1">
      <alignment horizontal="center"/>
    </xf>
    <xf numFmtId="0" fontId="51" fillId="27" borderId="124" xfId="0" applyFont="1" applyFill="1" applyBorder="1" applyAlignment="1">
      <alignment horizontal="center" vertical="center"/>
    </xf>
    <xf numFmtId="0" fontId="51" fillId="63" borderId="124" xfId="0" applyFont="1" applyFill="1" applyBorder="1" applyAlignment="1">
      <alignment horizontal="center" vertical="center"/>
    </xf>
    <xf numFmtId="0" fontId="51" fillId="63" borderId="128" xfId="0" applyFont="1" applyFill="1" applyBorder="1" applyAlignment="1">
      <alignment horizontal="center" vertical="center"/>
    </xf>
    <xf numFmtId="0" fontId="51" fillId="28" borderId="84" xfId="0" applyFont="1" applyFill="1" applyBorder="1" applyAlignment="1">
      <alignment horizontal="center" vertical="center"/>
    </xf>
    <xf numFmtId="0" fontId="51" fillId="28" borderId="79" xfId="0" applyFont="1" applyFill="1" applyBorder="1" applyAlignment="1">
      <alignment horizontal="center" vertical="center"/>
    </xf>
    <xf numFmtId="0" fontId="31" fillId="28" borderId="70" xfId="0" applyFont="1" applyFill="1" applyBorder="1" applyAlignment="1">
      <alignment horizontal="center"/>
    </xf>
    <xf numFmtId="0" fontId="31" fillId="28" borderId="71" xfId="0" applyFont="1" applyFill="1" applyBorder="1" applyAlignment="1">
      <alignment horizontal="center"/>
    </xf>
    <xf numFmtId="0" fontId="31" fillId="28" borderId="72" xfId="0" applyFont="1" applyFill="1" applyBorder="1" applyAlignment="1">
      <alignment horizontal="center"/>
    </xf>
    <xf numFmtId="0" fontId="51" fillId="58" borderId="84" xfId="0" applyFont="1" applyFill="1" applyBorder="1" applyAlignment="1">
      <alignment horizontal="center"/>
    </xf>
    <xf numFmtId="0" fontId="51" fillId="58" borderId="73" xfId="0" applyFont="1" applyFill="1" applyBorder="1" applyAlignment="1">
      <alignment horizontal="center"/>
    </xf>
    <xf numFmtId="0" fontId="51" fillId="58" borderId="80" xfId="0" applyFont="1" applyFill="1" applyBorder="1" applyAlignment="1">
      <alignment horizontal="center"/>
    </xf>
    <xf numFmtId="0" fontId="51" fillId="58" borderId="8" xfId="0" applyFont="1" applyFill="1" applyBorder="1" applyAlignment="1">
      <alignment horizontal="center"/>
    </xf>
    <xf numFmtId="0" fontId="51" fillId="58" borderId="28" xfId="0" applyFont="1" applyFill="1" applyBorder="1" applyAlignment="1">
      <alignment horizontal="center" vertical="center"/>
    </xf>
    <xf numFmtId="0" fontId="51" fillId="28" borderId="78" xfId="0" applyFont="1" applyFill="1" applyBorder="1" applyAlignment="1">
      <alignment horizontal="center" vertical="center"/>
    </xf>
    <xf numFmtId="0" fontId="85" fillId="59" borderId="22" xfId="0" applyFont="1" applyFill="1" applyBorder="1" applyAlignment="1">
      <alignment horizontal="center" vertical="center"/>
    </xf>
    <xf numFmtId="0" fontId="62" fillId="60" borderId="21" xfId="0" applyFont="1" applyFill="1" applyBorder="1"/>
    <xf numFmtId="0" fontId="62" fillId="60" borderId="23" xfId="0" applyFont="1" applyFill="1" applyBorder="1"/>
    <xf numFmtId="0" fontId="62" fillId="60" borderId="84" xfId="0" applyFont="1" applyFill="1" applyBorder="1"/>
    <xf numFmtId="0" fontId="62" fillId="60" borderId="73" xfId="0" applyFont="1" applyFill="1" applyBorder="1"/>
    <xf numFmtId="0" fontId="62" fillId="60" borderId="80" xfId="0" applyFont="1" applyFill="1" applyBorder="1"/>
    <xf numFmtId="0" fontId="50" fillId="22" borderId="21" xfId="0" applyFont="1" applyFill="1" applyBorder="1"/>
    <xf numFmtId="0" fontId="51" fillId="27" borderId="116" xfId="0" applyFont="1" applyFill="1" applyBorder="1" applyAlignment="1">
      <alignment horizontal="center" vertical="center"/>
    </xf>
    <xf numFmtId="0" fontId="51" fillId="27" borderId="98" xfId="0" applyFont="1" applyFill="1" applyBorder="1" applyAlignment="1">
      <alignment horizontal="center" vertical="center"/>
    </xf>
    <xf numFmtId="0" fontId="51" fillId="27" borderId="8" xfId="0" applyFont="1" applyFill="1" applyBorder="1" applyAlignment="1">
      <alignment horizontal="center" vertical="center"/>
    </xf>
    <xf numFmtId="0" fontId="29" fillId="58" borderId="70" xfId="0" applyFont="1" applyFill="1" applyBorder="1" applyAlignment="1">
      <alignment horizontal="center" vertical="center"/>
    </xf>
    <xf numFmtId="0" fontId="51" fillId="58" borderId="71" xfId="0" applyFont="1" applyFill="1" applyBorder="1"/>
    <xf numFmtId="0" fontId="50" fillId="58" borderId="72" xfId="0" applyFont="1" applyFill="1" applyBorder="1"/>
    <xf numFmtId="0" fontId="51" fillId="27" borderId="127" xfId="0" applyFont="1" applyFill="1" applyBorder="1" applyAlignment="1">
      <alignment horizontal="center" vertical="center"/>
    </xf>
    <xf numFmtId="0" fontId="42" fillId="63" borderId="18" xfId="0" applyFont="1" applyFill="1" applyBorder="1" applyAlignment="1">
      <alignment horizontal="center" vertical="center"/>
    </xf>
    <xf numFmtId="0" fontId="42" fillId="63" borderId="19" xfId="0" applyFont="1" applyFill="1" applyBorder="1" applyAlignment="1">
      <alignment horizontal="center" vertical="center"/>
    </xf>
    <xf numFmtId="0" fontId="29" fillId="21" borderId="70" xfId="0" applyFont="1" applyFill="1" applyBorder="1" applyAlignment="1">
      <alignment horizontal="center" vertical="center"/>
    </xf>
    <xf numFmtId="0" fontId="50" fillId="22" borderId="71" xfId="0" applyFont="1" applyFill="1" applyBorder="1"/>
    <xf numFmtId="0" fontId="50" fillId="22" borderId="72" xfId="0" applyFont="1" applyFill="1" applyBorder="1"/>
    <xf numFmtId="0" fontId="51" fillId="27" borderId="27" xfId="0" applyFont="1" applyFill="1" applyBorder="1" applyAlignment="1">
      <alignment horizontal="center" vertical="center"/>
    </xf>
    <xf numFmtId="0" fontId="42" fillId="63" borderId="14" xfId="0" applyFont="1" applyFill="1" applyBorder="1" applyAlignment="1">
      <alignment horizontal="center" vertical="center"/>
    </xf>
    <xf numFmtId="0" fontId="42" fillId="63" borderId="15" xfId="0" applyFont="1" applyFill="1" applyBorder="1" applyAlignment="1">
      <alignment horizontal="center" vertical="center"/>
    </xf>
    <xf numFmtId="0" fontId="42" fillId="63" borderId="105" xfId="0" applyFont="1" applyFill="1" applyBorder="1" applyAlignment="1">
      <alignment horizontal="center" vertical="center"/>
    </xf>
    <xf numFmtId="0" fontId="42" fillId="63" borderId="73" xfId="0" applyFont="1" applyFill="1" applyBorder="1" applyAlignment="1">
      <alignment horizontal="center" vertical="center"/>
    </xf>
    <xf numFmtId="0" fontId="31" fillId="4" borderId="70" xfId="0" applyFont="1" applyFill="1" applyBorder="1" applyAlignment="1">
      <alignment horizontal="center"/>
    </xf>
    <xf numFmtId="0" fontId="31" fillId="4" borderId="71" xfId="0" applyFont="1" applyFill="1" applyBorder="1" applyAlignment="1">
      <alignment horizontal="center"/>
    </xf>
    <xf numFmtId="0" fontId="31" fillId="4" borderId="72" xfId="0" applyFont="1" applyFill="1" applyBorder="1" applyAlignment="1">
      <alignment horizontal="center"/>
    </xf>
    <xf numFmtId="0" fontId="31" fillId="4" borderId="0" xfId="0" applyFont="1" applyFill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42" fillId="63" borderId="102" xfId="0" applyFont="1" applyFill="1" applyBorder="1" applyAlignment="1">
      <alignment horizontal="center" vertical="center"/>
    </xf>
    <xf numFmtId="0" fontId="51" fillId="58" borderId="108" xfId="0" applyFont="1" applyFill="1" applyBorder="1" applyAlignment="1">
      <alignment horizontal="center"/>
    </xf>
    <xf numFmtId="0" fontId="51" fillId="58" borderId="130" xfId="0" applyFont="1" applyFill="1" applyBorder="1" applyAlignment="1">
      <alignment horizontal="center"/>
    </xf>
    <xf numFmtId="0" fontId="51" fillId="58" borderId="126" xfId="0" applyFont="1" applyFill="1" applyBorder="1" applyAlignment="1">
      <alignment horizontal="center"/>
    </xf>
    <xf numFmtId="0" fontId="51" fillId="63" borderId="119" xfId="0" applyFont="1" applyFill="1" applyBorder="1" applyAlignment="1">
      <alignment horizontal="center" vertical="center"/>
    </xf>
    <xf numFmtId="0" fontId="51" fillId="63" borderId="116" xfId="0" applyFont="1" applyFill="1" applyBorder="1" applyAlignment="1">
      <alignment horizontal="center" vertical="center"/>
    </xf>
    <xf numFmtId="0" fontId="51" fillId="57" borderId="53" xfId="0" applyFont="1" applyFill="1" applyBorder="1" applyAlignment="1">
      <alignment horizontal="center" vertical="center"/>
    </xf>
    <xf numFmtId="0" fontId="51" fillId="57" borderId="60" xfId="0" applyFont="1" applyFill="1" applyBorder="1" applyAlignment="1">
      <alignment horizontal="center" vertical="center"/>
    </xf>
    <xf numFmtId="0" fontId="51" fillId="57" borderId="61" xfId="0" applyFont="1" applyFill="1" applyBorder="1" applyAlignment="1">
      <alignment horizontal="center" vertical="center"/>
    </xf>
    <xf numFmtId="0" fontId="51" fillId="58" borderId="21" xfId="0" applyFont="1" applyFill="1" applyBorder="1" applyAlignment="1">
      <alignment horizontal="center"/>
    </xf>
    <xf numFmtId="0" fontId="51" fillId="58" borderId="23" xfId="0" applyFont="1" applyFill="1" applyBorder="1" applyAlignment="1">
      <alignment horizontal="center"/>
    </xf>
    <xf numFmtId="0" fontId="51" fillId="28" borderId="73" xfId="0" applyFont="1" applyFill="1" applyBorder="1" applyAlignment="1">
      <alignment horizontal="center" vertical="center"/>
    </xf>
    <xf numFmtId="0" fontId="51" fillId="63" borderId="71" xfId="0" applyFont="1" applyFill="1" applyBorder="1" applyAlignment="1">
      <alignment horizontal="center" vertical="center"/>
    </xf>
    <xf numFmtId="0" fontId="51" fillId="63" borderId="72" xfId="0" applyFont="1" applyFill="1" applyBorder="1" applyAlignment="1">
      <alignment horizontal="center" vertical="center"/>
    </xf>
    <xf numFmtId="0" fontId="61" fillId="27" borderId="119" xfId="0" applyFont="1" applyFill="1" applyBorder="1" applyAlignment="1">
      <alignment horizontal="center" vertical="center"/>
    </xf>
    <xf numFmtId="0" fontId="61" fillId="27" borderId="100" xfId="0" applyFont="1" applyFill="1" applyBorder="1" applyAlignment="1">
      <alignment horizontal="center" vertical="center"/>
    </xf>
    <xf numFmtId="0" fontId="61" fillId="27" borderId="116" xfId="0" applyFont="1" applyFill="1" applyBorder="1" applyAlignment="1">
      <alignment horizontal="center" vertical="center"/>
    </xf>
    <xf numFmtId="0" fontId="51" fillId="57" borderId="54" xfId="0" applyFont="1" applyFill="1" applyBorder="1" applyAlignment="1">
      <alignment horizontal="center" vertical="center"/>
    </xf>
    <xf numFmtId="0" fontId="51" fillId="57" borderId="110" xfId="0" applyFont="1" applyFill="1" applyBorder="1" applyAlignment="1">
      <alignment horizontal="center" vertical="center"/>
    </xf>
    <xf numFmtId="0" fontId="51" fillId="57" borderId="43" xfId="0" applyFont="1" applyFill="1" applyBorder="1" applyAlignment="1">
      <alignment horizontal="center" vertical="center"/>
    </xf>
    <xf numFmtId="0" fontId="51" fillId="57" borderId="18" xfId="0" applyFont="1" applyFill="1" applyBorder="1" applyAlignment="1">
      <alignment horizontal="center" vertical="center"/>
    </xf>
    <xf numFmtId="0" fontId="51" fillId="57" borderId="20" xfId="0" applyFont="1" applyFill="1" applyBorder="1" applyAlignment="1">
      <alignment horizontal="center" vertical="center"/>
    </xf>
    <xf numFmtId="0" fontId="51" fillId="63" borderId="6" xfId="0" applyFont="1" applyFill="1" applyBorder="1" applyAlignment="1">
      <alignment horizontal="center" vertical="center"/>
    </xf>
    <xf numFmtId="0" fontId="51" fillId="63" borderId="12" xfId="0" applyFont="1" applyFill="1" applyBorder="1" applyAlignment="1">
      <alignment horizontal="center" vertical="center"/>
    </xf>
    <xf numFmtId="0" fontId="70" fillId="58" borderId="29" xfId="0" applyFont="1" applyFill="1" applyBorder="1" applyAlignment="1">
      <alignment horizontal="center" vertical="center"/>
    </xf>
    <xf numFmtId="0" fontId="70" fillId="58" borderId="41" xfId="0" applyFont="1" applyFill="1" applyBorder="1" applyAlignment="1">
      <alignment horizontal="center" vertical="center"/>
    </xf>
    <xf numFmtId="0" fontId="70" fillId="58" borderId="34" xfId="0" applyFont="1" applyFill="1" applyBorder="1" applyAlignment="1">
      <alignment horizontal="center" vertical="center"/>
    </xf>
    <xf numFmtId="0" fontId="70" fillId="58" borderId="40" xfId="0" applyFont="1" applyFill="1" applyBorder="1" applyAlignment="1">
      <alignment horizontal="center" vertical="center"/>
    </xf>
    <xf numFmtId="165" fontId="73" fillId="63" borderId="8" xfId="0" applyNumberFormat="1" applyFont="1" applyFill="1" applyBorder="1" applyAlignment="1">
      <alignment horizontal="center" vertical="center"/>
    </xf>
    <xf numFmtId="165" fontId="73" fillId="63" borderId="28" xfId="0" applyNumberFormat="1" applyFont="1" applyFill="1" applyBorder="1" applyAlignment="1">
      <alignment horizontal="center" vertical="center"/>
    </xf>
    <xf numFmtId="165" fontId="73" fillId="63" borderId="11" xfId="0" applyNumberFormat="1" applyFont="1" applyFill="1" applyBorder="1" applyAlignment="1">
      <alignment horizontal="center" vertical="center"/>
    </xf>
    <xf numFmtId="165" fontId="73" fillId="63" borderId="112" xfId="0" applyNumberFormat="1" applyFont="1" applyFill="1" applyBorder="1" applyAlignment="1">
      <alignment horizontal="center" vertical="center"/>
    </xf>
    <xf numFmtId="165" fontId="73" fillId="63" borderId="10" xfId="0" applyNumberFormat="1" applyFont="1" applyFill="1" applyBorder="1" applyAlignment="1">
      <alignment horizontal="center" vertical="center"/>
    </xf>
    <xf numFmtId="165" fontId="73" fillId="63" borderId="17" xfId="0" applyNumberFormat="1" applyFont="1" applyFill="1" applyBorder="1" applyAlignment="1">
      <alignment horizontal="center" vertical="center"/>
    </xf>
    <xf numFmtId="0" fontId="31" fillId="57" borderId="0" xfId="0" applyFont="1" applyFill="1" applyAlignment="1">
      <alignment horizontal="center" vertical="center"/>
    </xf>
    <xf numFmtId="0" fontId="31" fillId="57" borderId="9" xfId="0" applyFont="1" applyFill="1" applyBorder="1" applyAlignment="1">
      <alignment horizontal="center" vertical="center"/>
    </xf>
    <xf numFmtId="0" fontId="31" fillId="57" borderId="8" xfId="0" applyFont="1" applyFill="1" applyBorder="1" applyAlignment="1">
      <alignment horizontal="center" vertical="center"/>
    </xf>
    <xf numFmtId="0" fontId="31" fillId="57" borderId="11" xfId="0" applyFont="1" applyFill="1" applyBorder="1" applyAlignment="1">
      <alignment horizontal="center" vertical="center"/>
    </xf>
    <xf numFmtId="0" fontId="31" fillId="57" borderId="6" xfId="0" applyFont="1" applyFill="1" applyBorder="1" applyAlignment="1">
      <alignment horizontal="center" vertical="center"/>
    </xf>
    <xf numFmtId="0" fontId="31" fillId="57" borderId="12" xfId="0" applyFont="1" applyFill="1" applyBorder="1" applyAlignment="1">
      <alignment horizontal="center" vertical="center"/>
    </xf>
    <xf numFmtId="0" fontId="61" fillId="57" borderId="18" xfId="0" applyFont="1" applyFill="1" applyBorder="1" applyAlignment="1">
      <alignment horizontal="center" vertical="center"/>
    </xf>
    <xf numFmtId="0" fontId="61" fillId="57" borderId="19" xfId="0" applyFont="1" applyFill="1" applyBorder="1" applyAlignment="1">
      <alignment horizontal="center" vertical="center"/>
    </xf>
    <xf numFmtId="0" fontId="61" fillId="57" borderId="20" xfId="0" applyFont="1" applyFill="1" applyBorder="1" applyAlignment="1">
      <alignment horizontal="center" vertical="center"/>
    </xf>
    <xf numFmtId="0" fontId="51" fillId="28" borderId="0" xfId="0" applyFont="1" applyFill="1" applyAlignment="1">
      <alignment horizontal="center" vertical="center"/>
    </xf>
    <xf numFmtId="0" fontId="51" fillId="28" borderId="9" xfId="0" applyFont="1" applyFill="1" applyBorder="1" applyAlignment="1">
      <alignment horizontal="center" vertical="center"/>
    </xf>
    <xf numFmtId="0" fontId="31" fillId="28" borderId="70" xfId="0" applyFont="1" applyFill="1" applyBorder="1" applyAlignment="1">
      <alignment horizontal="left" vertical="center" indent="2"/>
    </xf>
    <xf numFmtId="0" fontId="31" fillId="28" borderId="71" xfId="0" applyFont="1" applyFill="1" applyBorder="1" applyAlignment="1">
      <alignment horizontal="left" vertical="center" indent="2"/>
    </xf>
    <xf numFmtId="0" fontId="31" fillId="28" borderId="95" xfId="0" applyFont="1" applyFill="1" applyBorder="1" applyAlignment="1">
      <alignment horizontal="left" vertical="center" indent="2"/>
    </xf>
    <xf numFmtId="0" fontId="51" fillId="66" borderId="78" xfId="0" applyFont="1" applyFill="1" applyBorder="1" applyAlignment="1">
      <alignment horizontal="center" vertical="center"/>
    </xf>
    <xf numFmtId="0" fontId="51" fillId="66" borderId="79" xfId="0" applyFont="1" applyFill="1" applyBorder="1" applyAlignment="1">
      <alignment horizontal="center" vertical="center"/>
    </xf>
    <xf numFmtId="165" fontId="51" fillId="63" borderId="11" xfId="0" applyNumberFormat="1" applyFont="1" applyFill="1" applyBorder="1" applyAlignment="1">
      <alignment horizontal="center" vertical="center"/>
    </xf>
    <xf numFmtId="0" fontId="51" fillId="28" borderId="124" xfId="0" applyFont="1" applyFill="1" applyBorder="1" applyAlignment="1">
      <alignment horizontal="center" vertical="center"/>
    </xf>
    <xf numFmtId="0" fontId="51" fillId="28" borderId="128" xfId="0" applyFont="1" applyFill="1" applyBorder="1" applyAlignment="1">
      <alignment horizontal="center" vertical="center"/>
    </xf>
    <xf numFmtId="0" fontId="85" fillId="60" borderId="71" xfId="0" applyFont="1" applyFill="1" applyBorder="1" applyAlignment="1">
      <alignment horizontal="center" vertical="center"/>
    </xf>
    <xf numFmtId="0" fontId="63" fillId="60" borderId="71" xfId="0" applyFont="1" applyFill="1" applyBorder="1" applyAlignment="1">
      <alignment horizontal="center" vertical="center"/>
    </xf>
    <xf numFmtId="0" fontId="63" fillId="60" borderId="72" xfId="0" applyFont="1" applyFill="1" applyBorder="1" applyAlignment="1">
      <alignment horizontal="center" vertical="center"/>
    </xf>
    <xf numFmtId="0" fontId="51" fillId="57" borderId="22" xfId="0" applyFont="1" applyFill="1" applyBorder="1" applyAlignment="1">
      <alignment horizontal="center" vertical="center"/>
    </xf>
    <xf numFmtId="0" fontId="51" fillId="57" borderId="99" xfId="0" applyFont="1" applyFill="1" applyBorder="1" applyAlignment="1">
      <alignment horizontal="center" vertical="center"/>
    </xf>
    <xf numFmtId="0" fontId="42" fillId="63" borderId="118" xfId="0" applyFont="1" applyFill="1" applyBorder="1" applyAlignment="1">
      <alignment horizontal="center" vertical="center"/>
    </xf>
    <xf numFmtId="0" fontId="51" fillId="57" borderId="29" xfId="0" applyFont="1" applyFill="1" applyBorder="1" applyAlignment="1">
      <alignment horizontal="center" vertical="center"/>
    </xf>
    <xf numFmtId="0" fontId="51" fillId="57" borderId="31" xfId="0" applyFont="1" applyFill="1" applyBorder="1" applyAlignment="1">
      <alignment horizontal="center" vertical="center"/>
    </xf>
    <xf numFmtId="0" fontId="51" fillId="57" borderId="42" xfId="0" applyFont="1" applyFill="1" applyBorder="1" applyAlignment="1">
      <alignment horizontal="center" vertical="center"/>
    </xf>
    <xf numFmtId="0" fontId="51" fillId="57" borderId="107" xfId="0" applyFont="1" applyFill="1" applyBorder="1" applyAlignment="1">
      <alignment horizontal="center" vertical="center"/>
    </xf>
    <xf numFmtId="0" fontId="42" fillId="63" borderId="4" xfId="0" applyFont="1" applyFill="1" applyBorder="1" applyAlignment="1">
      <alignment horizontal="center" vertical="center"/>
    </xf>
    <xf numFmtId="0" fontId="42" fillId="63" borderId="57" xfId="0" applyFont="1" applyFill="1" applyBorder="1" applyAlignment="1">
      <alignment horizontal="center" vertical="center"/>
    </xf>
    <xf numFmtId="0" fontId="42" fillId="63" borderId="106" xfId="0" applyFont="1" applyFill="1" applyBorder="1" applyAlignment="1">
      <alignment horizontal="center" vertical="center"/>
    </xf>
    <xf numFmtId="0" fontId="42" fillId="63" borderId="107" xfId="0" applyFont="1" applyFill="1" applyBorder="1" applyAlignment="1">
      <alignment horizontal="center" vertical="center"/>
    </xf>
    <xf numFmtId="0" fontId="51" fillId="57" borderId="6" xfId="0" applyFont="1" applyFill="1" applyBorder="1" applyAlignment="1">
      <alignment horizontal="center" vertical="center"/>
    </xf>
    <xf numFmtId="0" fontId="42" fillId="63" borderId="17" xfId="0" applyFont="1" applyFill="1" applyBorder="1" applyAlignment="1">
      <alignment horizontal="center" vertical="center"/>
    </xf>
    <xf numFmtId="0" fontId="51" fillId="58" borderId="115" xfId="0" applyFont="1" applyFill="1" applyBorder="1" applyAlignment="1">
      <alignment horizontal="right" vertical="center"/>
    </xf>
    <xf numFmtId="0" fontId="51" fillId="58" borderId="100" xfId="0" applyFont="1" applyFill="1" applyBorder="1" applyAlignment="1">
      <alignment horizontal="right" vertical="center"/>
    </xf>
    <xf numFmtId="0" fontId="51" fillId="57" borderId="122" xfId="0" applyFont="1" applyFill="1" applyBorder="1" applyAlignment="1">
      <alignment horizontal="center" vertical="center"/>
    </xf>
    <xf numFmtId="0" fontId="51" fillId="57" borderId="123" xfId="0" applyFont="1" applyFill="1" applyBorder="1" applyAlignment="1">
      <alignment horizontal="center" vertical="center"/>
    </xf>
    <xf numFmtId="0" fontId="51" fillId="57" borderId="34" xfId="0" applyFont="1" applyFill="1" applyBorder="1" applyAlignment="1">
      <alignment horizontal="center" vertical="center"/>
    </xf>
    <xf numFmtId="0" fontId="51" fillId="57" borderId="40" xfId="0" applyFont="1" applyFill="1" applyBorder="1" applyAlignment="1">
      <alignment horizontal="center" vertical="center"/>
    </xf>
    <xf numFmtId="0" fontId="51" fillId="57" borderId="120" xfId="0" applyFont="1" applyFill="1" applyBorder="1" applyAlignment="1">
      <alignment horizontal="center" vertical="center"/>
    </xf>
    <xf numFmtId="0" fontId="51" fillId="57" borderId="121" xfId="0" applyFont="1" applyFill="1" applyBorder="1" applyAlignment="1">
      <alignment horizontal="center" vertical="center"/>
    </xf>
    <xf numFmtId="0" fontId="51" fillId="57" borderId="19" xfId="0" applyFont="1" applyFill="1" applyBorder="1" applyAlignment="1">
      <alignment horizontal="right" vertical="center" indent="5"/>
    </xf>
    <xf numFmtId="0" fontId="51" fillId="57" borderId="20" xfId="0" applyFont="1" applyFill="1" applyBorder="1" applyAlignment="1">
      <alignment horizontal="right" vertical="center" indent="5"/>
    </xf>
    <xf numFmtId="164" fontId="51" fillId="63" borderId="53" xfId="0" applyNumberFormat="1" applyFont="1" applyFill="1" applyBorder="1" applyAlignment="1">
      <alignment horizontal="center"/>
    </xf>
    <xf numFmtId="164" fontId="51" fillId="63" borderId="113" xfId="0" applyNumberFormat="1" applyFont="1" applyFill="1" applyBorder="1" applyAlignment="1">
      <alignment horizontal="center"/>
    </xf>
    <xf numFmtId="0" fontId="51" fillId="63" borderId="50" xfId="0" applyFont="1" applyFill="1" applyBorder="1" applyAlignment="1">
      <alignment horizontal="center" vertical="center"/>
    </xf>
    <xf numFmtId="0" fontId="51" fillId="63" borderId="52" xfId="0" applyFont="1" applyFill="1" applyBorder="1" applyAlignment="1">
      <alignment horizontal="center" vertical="center"/>
    </xf>
    <xf numFmtId="0" fontId="0" fillId="57" borderId="19" xfId="0" applyFill="1" applyBorder="1" applyAlignment="1">
      <alignment horizontal="center" vertical="center"/>
    </xf>
    <xf numFmtId="0" fontId="0" fillId="57" borderId="20" xfId="0" applyFill="1" applyBorder="1" applyAlignment="1">
      <alignment horizontal="center" vertical="center"/>
    </xf>
    <xf numFmtId="0" fontId="42" fillId="63" borderId="20" xfId="0" applyFont="1" applyFill="1" applyBorder="1" applyAlignment="1">
      <alignment horizontal="center" vertical="center"/>
    </xf>
    <xf numFmtId="0" fontId="51" fillId="57" borderId="58" xfId="0" applyFont="1" applyFill="1" applyBorder="1" applyAlignment="1">
      <alignment horizontal="center" vertical="center"/>
    </xf>
    <xf numFmtId="0" fontId="29" fillId="39" borderId="85" xfId="0" applyFont="1" applyFill="1" applyBorder="1" applyAlignment="1">
      <alignment horizontal="center" vertical="center"/>
    </xf>
    <xf numFmtId="0" fontId="2" fillId="45" borderId="85" xfId="0" applyFont="1" applyFill="1" applyBorder="1"/>
    <xf numFmtId="0" fontId="29" fillId="43" borderId="70" xfId="0" applyFont="1" applyFill="1" applyBorder="1" applyAlignment="1">
      <alignment horizontal="center" vertical="center"/>
    </xf>
    <xf numFmtId="0" fontId="0" fillId="45" borderId="85" xfId="0" applyFill="1" applyBorder="1"/>
    <xf numFmtId="0" fontId="29" fillId="28" borderId="21" xfId="0" applyFont="1" applyFill="1" applyBorder="1" applyAlignment="1">
      <alignment horizontal="center" vertical="center"/>
    </xf>
    <xf numFmtId="0" fontId="0" fillId="28" borderId="21" xfId="0" applyFill="1" applyBorder="1"/>
    <xf numFmtId="0" fontId="2" fillId="28" borderId="23" xfId="0" applyFont="1" applyFill="1" applyBorder="1"/>
    <xf numFmtId="0" fontId="2" fillId="28" borderId="84" xfId="0" applyFont="1" applyFill="1" applyBorder="1"/>
    <xf numFmtId="0" fontId="0" fillId="28" borderId="73" xfId="0" applyFill="1" applyBorder="1"/>
    <xf numFmtId="0" fontId="2" fillId="28" borderId="80" xfId="0" applyFont="1" applyFill="1" applyBorder="1"/>
    <xf numFmtId="0" fontId="29" fillId="42" borderId="80" xfId="0" applyFont="1" applyFill="1" applyBorder="1" applyAlignment="1">
      <alignment horizontal="center" vertical="center"/>
    </xf>
    <xf numFmtId="0" fontId="2" fillId="45" borderId="72" xfId="0" applyFont="1" applyFill="1" applyBorder="1"/>
    <xf numFmtId="0" fontId="29" fillId="21" borderId="90" xfId="0" applyFont="1" applyFill="1" applyBorder="1" applyAlignment="1">
      <alignment horizontal="center" vertical="center"/>
    </xf>
    <xf numFmtId="0" fontId="29" fillId="44" borderId="90" xfId="0" applyFont="1" applyFill="1" applyBorder="1" applyAlignment="1">
      <alignment horizontal="center" vertical="center"/>
    </xf>
    <xf numFmtId="0" fontId="2" fillId="22" borderId="90" xfId="0" applyFont="1" applyFill="1" applyBorder="1"/>
    <xf numFmtId="0" fontId="7" fillId="29" borderId="72" xfId="0" applyFont="1" applyFill="1" applyBorder="1" applyAlignment="1">
      <alignment horizontal="center" vertical="center"/>
    </xf>
    <xf numFmtId="0" fontId="29" fillId="43" borderId="85" xfId="0" applyFont="1" applyFill="1" applyBorder="1" applyAlignment="1">
      <alignment horizontal="center" vertical="center"/>
    </xf>
    <xf numFmtId="165" fontId="29" fillId="43" borderId="85" xfId="0" applyNumberFormat="1" applyFont="1" applyFill="1" applyBorder="1" applyAlignment="1">
      <alignment horizontal="center" vertical="center"/>
    </xf>
    <xf numFmtId="0" fontId="29" fillId="47" borderId="85" xfId="0" applyFont="1" applyFill="1" applyBorder="1" applyAlignment="1">
      <alignment horizontal="center" vertical="center"/>
    </xf>
    <xf numFmtId="0" fontId="0" fillId="27" borderId="85" xfId="0" applyFill="1" applyBorder="1"/>
    <xf numFmtId="0" fontId="52" fillId="43" borderId="85" xfId="0" applyFont="1" applyFill="1" applyBorder="1" applyAlignment="1">
      <alignment horizontal="center" vertical="center"/>
    </xf>
    <xf numFmtId="0" fontId="0" fillId="29" borderId="85" xfId="0" applyFill="1" applyBorder="1"/>
    <xf numFmtId="0" fontId="2" fillId="28" borderId="0" xfId="0" applyFont="1" applyFill="1"/>
    <xf numFmtId="0" fontId="0" fillId="28" borderId="0" xfId="0" applyFill="1"/>
    <xf numFmtId="0" fontId="2" fillId="28" borderId="28" xfId="0" applyFont="1" applyFill="1" applyBorder="1"/>
    <xf numFmtId="0" fontId="29" fillId="42" borderId="72" xfId="0" applyFont="1" applyFill="1" applyBorder="1" applyAlignment="1">
      <alignment horizontal="center" vertical="center"/>
    </xf>
    <xf numFmtId="0" fontId="29" fillId="21" borderId="85" xfId="0" applyFont="1" applyFill="1" applyBorder="1" applyAlignment="1">
      <alignment horizontal="center" vertical="center"/>
    </xf>
    <xf numFmtId="0" fontId="29" fillId="44" borderId="85" xfId="0" applyFont="1" applyFill="1" applyBorder="1" applyAlignment="1">
      <alignment horizontal="center" vertical="center"/>
    </xf>
    <xf numFmtId="0" fontId="2" fillId="22" borderId="85" xfId="0" applyFont="1" applyFill="1" applyBorder="1"/>
    <xf numFmtId="0" fontId="29" fillId="44" borderId="63" xfId="0" applyFont="1" applyFill="1" applyBorder="1" applyAlignment="1">
      <alignment horizontal="center" vertical="center"/>
    </xf>
    <xf numFmtId="0" fontId="2" fillId="22" borderId="63" xfId="0" applyFont="1" applyFill="1" applyBorder="1"/>
    <xf numFmtId="0" fontId="2" fillId="22" borderId="93" xfId="0" applyFont="1" applyFill="1" applyBorder="1"/>
    <xf numFmtId="0" fontId="47" fillId="58" borderId="17" xfId="0" applyFont="1" applyFill="1" applyBorder="1" applyAlignment="1">
      <alignment horizontal="center" vertical="center"/>
    </xf>
    <xf numFmtId="0" fontId="48" fillId="58" borderId="17" xfId="0" applyFont="1" applyFill="1" applyBorder="1" applyAlignment="1">
      <alignment horizontal="center" vertical="center"/>
    </xf>
    <xf numFmtId="0" fontId="29" fillId="24" borderId="75" xfId="0" applyFont="1" applyFill="1" applyBorder="1" applyAlignment="1">
      <alignment horizontal="center" vertical="center"/>
    </xf>
    <xf numFmtId="0" fontId="29" fillId="24" borderId="77" xfId="0" applyFont="1" applyFill="1" applyBorder="1" applyAlignment="1">
      <alignment horizontal="center" vertical="center"/>
    </xf>
    <xf numFmtId="0" fontId="42" fillId="63" borderId="8" xfId="0" applyFont="1" applyFill="1" applyBorder="1" applyAlignment="1">
      <alignment horizontal="center" vertical="center"/>
    </xf>
    <xf numFmtId="0" fontId="42" fillId="63" borderId="9" xfId="0" applyFont="1" applyFill="1" applyBorder="1" applyAlignment="1">
      <alignment horizontal="center" vertical="center"/>
    </xf>
    <xf numFmtId="0" fontId="42" fillId="63" borderId="79" xfId="0" applyFont="1" applyFill="1" applyBorder="1" applyAlignment="1">
      <alignment horizontal="center" vertical="center"/>
    </xf>
    <xf numFmtId="0" fontId="42" fillId="63" borderId="13" xfId="0" applyFont="1" applyFill="1" applyBorder="1" applyAlignment="1">
      <alignment horizontal="center" vertical="center"/>
    </xf>
    <xf numFmtId="0" fontId="42" fillId="63" borderId="148" xfId="0" applyFont="1" applyFill="1" applyBorder="1" applyAlignment="1">
      <alignment horizontal="center" vertical="center"/>
    </xf>
    <xf numFmtId="0" fontId="30" fillId="63" borderId="7" xfId="0" applyFont="1" applyFill="1" applyBorder="1" applyAlignment="1">
      <alignment horizontal="center" vertical="center"/>
    </xf>
    <xf numFmtId="0" fontId="30" fillId="63" borderId="148" xfId="0" applyFont="1" applyFill="1" applyBorder="1" applyAlignment="1">
      <alignment horizontal="center" vertical="center"/>
    </xf>
    <xf numFmtId="0" fontId="30" fillId="63" borderId="8" xfId="0" applyFont="1" applyFill="1" applyBorder="1" applyAlignment="1">
      <alignment horizontal="center" vertical="center"/>
    </xf>
    <xf numFmtId="0" fontId="30" fillId="63" borderId="9" xfId="0" applyFont="1" applyFill="1" applyBorder="1" applyAlignment="1">
      <alignment horizontal="center" vertical="center"/>
    </xf>
    <xf numFmtId="0" fontId="30" fillId="63" borderId="78" xfId="0" applyFont="1" applyFill="1" applyBorder="1" applyAlignment="1">
      <alignment horizontal="center" vertical="center"/>
    </xf>
    <xf numFmtId="0" fontId="30" fillId="63" borderId="79" xfId="0" applyFont="1" applyFill="1" applyBorder="1" applyAlignment="1">
      <alignment horizontal="center" vertical="center"/>
    </xf>
    <xf numFmtId="0" fontId="29" fillId="28" borderId="22" xfId="0" applyFont="1" applyFill="1" applyBorder="1" applyAlignment="1">
      <alignment horizontal="center" vertical="center"/>
    </xf>
    <xf numFmtId="0" fontId="30" fillId="28" borderId="21" xfId="0" applyFont="1" applyFill="1" applyBorder="1" applyAlignment="1">
      <alignment horizontal="center" vertical="center"/>
    </xf>
    <xf numFmtId="0" fontId="30" fillId="28" borderId="27" xfId="0" applyFont="1" applyFill="1" applyBorder="1" applyAlignment="1">
      <alignment horizontal="center" vertical="center"/>
    </xf>
    <xf numFmtId="0" fontId="30" fillId="28" borderId="0" xfId="0" applyFont="1" applyFill="1" applyAlignment="1">
      <alignment horizontal="center" vertical="center"/>
    </xf>
    <xf numFmtId="0" fontId="30" fillId="28" borderId="28" xfId="0" applyFont="1" applyFill="1" applyBorder="1" applyAlignment="1">
      <alignment horizontal="center" vertical="center"/>
    </xf>
    <xf numFmtId="0" fontId="29" fillId="24" borderId="147" xfId="0" applyFont="1" applyFill="1" applyBorder="1" applyAlignment="1">
      <alignment horizontal="center" vertical="center"/>
    </xf>
    <xf numFmtId="0" fontId="42" fillId="63" borderId="10" xfId="0" applyFont="1" applyFill="1" applyBorder="1" applyAlignment="1">
      <alignment horizontal="center" vertical="center"/>
    </xf>
    <xf numFmtId="0" fontId="30" fillId="63" borderId="13" xfId="0" applyFont="1" applyFill="1" applyBorder="1" applyAlignment="1">
      <alignment horizontal="center" vertical="center"/>
    </xf>
    <xf numFmtId="0" fontId="30" fillId="63" borderId="10" xfId="0" applyFont="1" applyFill="1" applyBorder="1" applyAlignment="1">
      <alignment horizontal="center" vertical="center"/>
    </xf>
    <xf numFmtId="0" fontId="30" fillId="63" borderId="14" xfId="0" applyFont="1" applyFill="1" applyBorder="1" applyAlignment="1">
      <alignment horizontal="center" vertical="center"/>
    </xf>
    <xf numFmtId="0" fontId="30" fillId="63" borderId="16" xfId="0" applyFont="1" applyFill="1" applyBorder="1" applyAlignment="1">
      <alignment horizontal="center" vertical="center"/>
    </xf>
    <xf numFmtId="0" fontId="30" fillId="63" borderId="11" xfId="0" applyFont="1" applyFill="1" applyBorder="1" applyAlignment="1">
      <alignment horizontal="center" vertical="center"/>
    </xf>
    <xf numFmtId="0" fontId="30" fillId="63" borderId="12" xfId="0" applyFont="1" applyFill="1" applyBorder="1" applyAlignment="1">
      <alignment horizontal="center" vertical="center"/>
    </xf>
    <xf numFmtId="0" fontId="29" fillId="26" borderId="13" xfId="0" applyFont="1" applyFill="1" applyBorder="1" applyAlignment="1">
      <alignment horizontal="center" vertical="center"/>
    </xf>
    <xf numFmtId="0" fontId="29" fillId="26" borderId="7" xfId="0" applyFont="1" applyFill="1" applyBorder="1" applyAlignment="1">
      <alignment horizontal="center" vertical="center"/>
    </xf>
    <xf numFmtId="0" fontId="29" fillId="26" borderId="148" xfId="0" applyFont="1" applyFill="1" applyBorder="1" applyAlignment="1">
      <alignment horizontal="center" vertical="center"/>
    </xf>
    <xf numFmtId="0" fontId="30" fillId="63" borderId="0" xfId="0" applyFont="1" applyFill="1" applyAlignment="1">
      <alignment horizontal="center" vertical="center"/>
    </xf>
    <xf numFmtId="0" fontId="30" fillId="63" borderId="28" xfId="0" applyFont="1" applyFill="1" applyBorder="1" applyAlignment="1">
      <alignment horizontal="center" vertical="center"/>
    </xf>
    <xf numFmtId="0" fontId="30" fillId="63" borderId="73" xfId="0" applyFont="1" applyFill="1" applyBorder="1" applyAlignment="1">
      <alignment horizontal="center" vertical="center"/>
    </xf>
    <xf numFmtId="0" fontId="30" fillId="63" borderId="80" xfId="0" applyFont="1" applyFill="1" applyBorder="1" applyAlignment="1">
      <alignment horizontal="center" vertical="center"/>
    </xf>
    <xf numFmtId="0" fontId="29" fillId="24" borderId="76" xfId="0" applyFont="1" applyFill="1" applyBorder="1" applyAlignment="1">
      <alignment horizontal="center" vertical="center"/>
    </xf>
    <xf numFmtId="0" fontId="42" fillId="63" borderId="16" xfId="0" applyFont="1" applyFill="1" applyBorder="1" applyAlignment="1">
      <alignment horizontal="center" vertical="center"/>
    </xf>
    <xf numFmtId="0" fontId="42" fillId="63" borderId="11" xfId="0" applyFont="1" applyFill="1" applyBorder="1" applyAlignment="1">
      <alignment horizontal="center" vertical="center"/>
    </xf>
    <xf numFmtId="0" fontId="42" fillId="63" borderId="12" xfId="0" applyFont="1" applyFill="1" applyBorder="1" applyAlignment="1">
      <alignment horizontal="center" vertical="center"/>
    </xf>
    <xf numFmtId="0" fontId="42" fillId="63" borderId="7" xfId="0" applyFont="1" applyFill="1" applyBorder="1" applyAlignment="1">
      <alignment horizontal="center" vertical="center"/>
    </xf>
    <xf numFmtId="0" fontId="29" fillId="23" borderId="27" xfId="0" applyFont="1" applyFill="1" applyBorder="1" applyAlignment="1">
      <alignment horizontal="center" vertical="center"/>
    </xf>
    <xf numFmtId="0" fontId="29" fillId="23" borderId="0" xfId="0" applyFont="1" applyFill="1" applyAlignment="1">
      <alignment horizontal="center" vertical="center"/>
    </xf>
    <xf numFmtId="0" fontId="29" fillId="23" borderId="9" xfId="0" applyFont="1" applyFill="1" applyBorder="1" applyAlignment="1">
      <alignment horizontal="center" vertical="center"/>
    </xf>
    <xf numFmtId="0" fontId="29" fillId="23" borderId="11" xfId="0" applyFont="1" applyFill="1" applyBorder="1" applyAlignment="1">
      <alignment horizontal="center" vertical="center"/>
    </xf>
    <xf numFmtId="0" fontId="29" fillId="23" borderId="12" xfId="0" applyFont="1" applyFill="1" applyBorder="1" applyAlignment="1">
      <alignment horizontal="center" vertical="center"/>
    </xf>
    <xf numFmtId="0" fontId="29" fillId="23" borderId="8" xfId="0" applyFont="1" applyFill="1" applyBorder="1" applyAlignment="1">
      <alignment horizontal="center" vertical="center" wrapText="1"/>
    </xf>
    <xf numFmtId="0" fontId="29" fillId="23" borderId="9" xfId="0" applyFont="1" applyFill="1" applyBorder="1" applyAlignment="1">
      <alignment horizontal="center" vertical="center" wrapText="1"/>
    </xf>
    <xf numFmtId="0" fontId="29" fillId="23" borderId="28" xfId="0" applyFont="1" applyFill="1" applyBorder="1" applyAlignment="1">
      <alignment horizontal="center" vertical="center"/>
    </xf>
    <xf numFmtId="0" fontId="54" fillId="67" borderId="63" xfId="0" applyFont="1" applyFill="1" applyBorder="1" applyAlignment="1">
      <alignment horizontal="center" vertical="center" wrapText="1"/>
    </xf>
    <xf numFmtId="0" fontId="50" fillId="66" borderId="63" xfId="0" applyFont="1" applyFill="1" applyBorder="1" applyAlignment="1">
      <alignment wrapText="1"/>
    </xf>
    <xf numFmtId="0" fontId="50" fillId="66" borderId="64" xfId="0" applyFont="1" applyFill="1" applyBorder="1" applyAlignment="1">
      <alignment wrapText="1"/>
    </xf>
    <xf numFmtId="0" fontId="50" fillId="66" borderId="65" xfId="0" applyFont="1" applyFill="1" applyBorder="1" applyAlignment="1">
      <alignment wrapText="1"/>
    </xf>
    <xf numFmtId="0" fontId="50" fillId="66" borderId="66" xfId="0" applyFont="1" applyFill="1" applyBorder="1" applyAlignment="1">
      <alignment wrapText="1"/>
    </xf>
    <xf numFmtId="0" fontId="50" fillId="66" borderId="67" xfId="0" applyFont="1" applyFill="1" applyBorder="1" applyAlignment="1">
      <alignment wrapText="1"/>
    </xf>
    <xf numFmtId="0" fontId="29" fillId="23" borderId="131" xfId="0" applyFont="1" applyFill="1" applyBorder="1" applyAlignment="1">
      <alignment horizontal="center" vertical="center"/>
    </xf>
    <xf numFmtId="0" fontId="29" fillId="23" borderId="6" xfId="0" applyFont="1" applyFill="1" applyBorder="1" applyAlignment="1">
      <alignment horizontal="center" vertical="center"/>
    </xf>
    <xf numFmtId="0" fontId="29" fillId="23" borderId="11" xfId="0" applyFont="1" applyFill="1" applyBorder="1" applyAlignment="1">
      <alignment horizontal="center" vertical="center" wrapText="1"/>
    </xf>
    <xf numFmtId="0" fontId="29" fillId="23" borderId="12" xfId="0" applyFont="1" applyFill="1" applyBorder="1" applyAlignment="1">
      <alignment horizontal="center" vertical="center" wrapText="1"/>
    </xf>
    <xf numFmtId="0" fontId="29" fillId="26" borderId="10" xfId="0" applyFont="1" applyFill="1" applyBorder="1" applyAlignment="1">
      <alignment horizontal="center" vertical="center"/>
    </xf>
    <xf numFmtId="0" fontId="30" fillId="63" borderId="15" xfId="0" applyFont="1" applyFill="1" applyBorder="1" applyAlignment="1">
      <alignment horizontal="center" vertical="center"/>
    </xf>
    <xf numFmtId="0" fontId="30" fillId="63" borderId="105" xfId="0" applyFont="1" applyFill="1" applyBorder="1" applyAlignment="1">
      <alignment horizontal="center" vertical="center"/>
    </xf>
    <xf numFmtId="0" fontId="30" fillId="63" borderId="6" xfId="0" applyFont="1" applyFill="1" applyBorder="1" applyAlignment="1">
      <alignment horizontal="center" vertical="center"/>
    </xf>
    <xf numFmtId="0" fontId="30" fillId="63" borderId="112" xfId="0" applyFont="1" applyFill="1" applyBorder="1" applyAlignment="1">
      <alignment horizontal="center" vertical="center"/>
    </xf>
    <xf numFmtId="0" fontId="51" fillId="63" borderId="14" xfId="0" applyFont="1" applyFill="1" applyBorder="1" applyAlignment="1">
      <alignment horizontal="center" vertical="center"/>
    </xf>
    <xf numFmtId="0" fontId="51" fillId="63" borderId="16" xfId="0" applyFont="1" applyFill="1" applyBorder="1" applyAlignment="1">
      <alignment horizontal="center" vertical="center"/>
    </xf>
    <xf numFmtId="0" fontId="51" fillId="63" borderId="8" xfId="0" applyFont="1" applyFill="1" applyBorder="1" applyAlignment="1">
      <alignment horizontal="center" vertical="center"/>
    </xf>
    <xf numFmtId="0" fontId="51" fillId="28" borderId="13" xfId="0" applyFont="1" applyFill="1" applyBorder="1" applyAlignment="1">
      <alignment horizontal="center" vertical="center"/>
    </xf>
    <xf numFmtId="0" fontId="51" fillId="28" borderId="7" xfId="0" applyFont="1" applyFill="1" applyBorder="1" applyAlignment="1">
      <alignment horizontal="center" vertical="center"/>
    </xf>
    <xf numFmtId="0" fontId="31" fillId="4" borderId="109" xfId="0" applyFont="1" applyFill="1" applyBorder="1" applyAlignment="1">
      <alignment horizontal="center" vertical="center"/>
    </xf>
    <xf numFmtId="0" fontId="51" fillId="4" borderId="15" xfId="0" applyFont="1" applyFill="1" applyBorder="1" applyAlignment="1">
      <alignment horizontal="center" vertical="center"/>
    </xf>
    <xf numFmtId="0" fontId="51" fillId="4" borderId="105" xfId="0" applyFont="1" applyFill="1" applyBorder="1" applyAlignment="1">
      <alignment horizontal="center" vertical="center"/>
    </xf>
    <xf numFmtId="0" fontId="31" fillId="27" borderId="109" xfId="0" applyFont="1" applyFill="1" applyBorder="1" applyAlignment="1">
      <alignment horizontal="center" vertical="center"/>
    </xf>
    <xf numFmtId="0" fontId="31" fillId="27" borderId="15" xfId="0" applyFont="1" applyFill="1" applyBorder="1" applyAlignment="1">
      <alignment horizontal="center" vertical="center"/>
    </xf>
    <xf numFmtId="0" fontId="31" fillId="27" borderId="16" xfId="0" applyFont="1" applyFill="1" applyBorder="1" applyAlignment="1">
      <alignment horizontal="center" vertical="center"/>
    </xf>
    <xf numFmtId="0" fontId="31" fillId="27" borderId="84" xfId="0" applyFont="1" applyFill="1" applyBorder="1" applyAlignment="1">
      <alignment horizontal="center" vertical="center"/>
    </xf>
    <xf numFmtId="0" fontId="31" fillId="27" borderId="73" xfId="0" applyFont="1" applyFill="1" applyBorder="1" applyAlignment="1">
      <alignment horizontal="center" vertical="center"/>
    </xf>
    <xf numFmtId="0" fontId="31" fillId="27" borderId="79" xfId="0" applyFont="1" applyFill="1" applyBorder="1" applyAlignment="1">
      <alignment horizontal="center" vertical="center"/>
    </xf>
    <xf numFmtId="0" fontId="51" fillId="63" borderId="15" xfId="0" applyFont="1" applyFill="1" applyBorder="1" applyAlignment="1">
      <alignment horizontal="center" vertical="center"/>
    </xf>
    <xf numFmtId="0" fontId="51" fillId="63" borderId="73" xfId="0" applyFont="1" applyFill="1" applyBorder="1" applyAlignment="1">
      <alignment horizontal="center" vertical="center"/>
    </xf>
    <xf numFmtId="0" fontId="51" fillId="28" borderId="105" xfId="0" applyFont="1" applyFill="1" applyBorder="1" applyAlignment="1">
      <alignment horizontal="center" vertical="center"/>
    </xf>
    <xf numFmtId="0" fontId="51" fillId="28" borderId="80" xfId="0" applyFont="1" applyFill="1" applyBorder="1" applyAlignment="1">
      <alignment horizontal="center" vertical="center"/>
    </xf>
    <xf numFmtId="0" fontId="51" fillId="58" borderId="22" xfId="0" applyFont="1" applyFill="1" applyBorder="1" applyAlignment="1">
      <alignment horizontal="center" wrapText="1"/>
    </xf>
    <xf numFmtId="0" fontId="51" fillId="58" borderId="21" xfId="0" applyFont="1" applyFill="1" applyBorder="1" applyAlignment="1">
      <alignment horizontal="center" wrapText="1"/>
    </xf>
    <xf numFmtId="0" fontId="51" fillId="58" borderId="23" xfId="0" applyFont="1" applyFill="1" applyBorder="1" applyAlignment="1">
      <alignment horizontal="center" wrapText="1"/>
    </xf>
    <xf numFmtId="0" fontId="50" fillId="22" borderId="85" xfId="0" applyFont="1" applyFill="1" applyBorder="1"/>
    <xf numFmtId="0" fontId="53" fillId="58" borderId="91" xfId="0" applyFont="1" applyFill="1" applyBorder="1" applyAlignment="1">
      <alignment horizontal="center" wrapText="1"/>
    </xf>
    <xf numFmtId="0" fontId="53" fillId="58" borderId="66" xfId="0" applyFont="1" applyFill="1" applyBorder="1" applyAlignment="1">
      <alignment wrapText="1"/>
    </xf>
    <xf numFmtId="0" fontId="53" fillId="58" borderId="92" xfId="0" applyFont="1" applyFill="1" applyBorder="1" applyAlignment="1">
      <alignment wrapText="1"/>
    </xf>
    <xf numFmtId="0" fontId="51" fillId="0" borderId="22" xfId="0" applyFont="1" applyBorder="1" applyAlignment="1">
      <alignment horizontal="center"/>
    </xf>
    <xf numFmtId="0" fontId="51" fillId="0" borderId="21" xfId="0" applyFont="1" applyBorder="1" applyAlignment="1">
      <alignment horizontal="center"/>
    </xf>
    <xf numFmtId="0" fontId="51" fillId="0" borderId="23" xfId="0" applyFont="1" applyBorder="1" applyAlignment="1">
      <alignment horizontal="center"/>
    </xf>
    <xf numFmtId="0" fontId="51" fillId="58" borderId="85" xfId="0" applyFont="1" applyFill="1" applyBorder="1" applyAlignment="1">
      <alignment wrapText="1"/>
    </xf>
    <xf numFmtId="0" fontId="50" fillId="22" borderId="23" xfId="0" applyFont="1" applyFill="1" applyBorder="1"/>
    <xf numFmtId="0" fontId="31" fillId="4" borderId="115" xfId="0" applyFont="1" applyFill="1" applyBorder="1" applyAlignment="1">
      <alignment horizontal="center" vertical="center"/>
    </xf>
    <xf numFmtId="0" fontId="51" fillId="4" borderId="100" xfId="0" applyFont="1" applyFill="1" applyBorder="1" applyAlignment="1">
      <alignment horizontal="center" vertical="center"/>
    </xf>
    <xf numFmtId="0" fontId="51" fillId="4" borderId="101" xfId="0" applyFont="1" applyFill="1" applyBorder="1" applyAlignment="1">
      <alignment horizontal="center" vertical="center"/>
    </xf>
    <xf numFmtId="0" fontId="29" fillId="21" borderId="85" xfId="0" applyFont="1" applyFill="1" applyBorder="1" applyAlignment="1">
      <alignment horizontal="center" vertical="center" wrapText="1"/>
    </xf>
    <xf numFmtId="0" fontId="50" fillId="22" borderId="85" xfId="0" applyFont="1" applyFill="1" applyBorder="1" applyAlignment="1">
      <alignment vertical="center" wrapText="1"/>
    </xf>
    <xf numFmtId="0" fontId="31" fillId="27" borderId="27" xfId="0" applyFont="1" applyFill="1" applyBorder="1" applyAlignment="1">
      <alignment horizontal="center" vertical="center"/>
    </xf>
    <xf numFmtId="0" fontId="51" fillId="27" borderId="9" xfId="0" applyFont="1" applyFill="1" applyBorder="1" applyAlignment="1">
      <alignment horizontal="center" vertical="center"/>
    </xf>
    <xf numFmtId="0" fontId="51" fillId="63" borderId="11" xfId="0" applyFont="1" applyFill="1" applyBorder="1" applyAlignment="1">
      <alignment horizontal="center" vertical="center"/>
    </xf>
    <xf numFmtId="0" fontId="51" fillId="28" borderId="10" xfId="0" applyFont="1" applyFill="1" applyBorder="1" applyAlignment="1">
      <alignment horizontal="center" vertical="center"/>
    </xf>
    <xf numFmtId="0" fontId="31" fillId="27" borderId="7" xfId="0" applyFont="1" applyFill="1" applyBorder="1" applyAlignment="1">
      <alignment horizontal="center" vertical="center"/>
    </xf>
    <xf numFmtId="0" fontId="51" fillId="28" borderId="28" xfId="0" applyFont="1" applyFill="1" applyBorder="1" applyAlignment="1">
      <alignment horizontal="center" vertical="center"/>
    </xf>
    <xf numFmtId="0" fontId="29" fillId="39" borderId="85" xfId="0" applyFont="1" applyFill="1" applyBorder="1" applyAlignment="1">
      <alignment horizontal="center" vertical="center" wrapText="1"/>
    </xf>
    <xf numFmtId="0" fontId="50" fillId="45" borderId="85" xfId="0" applyFont="1" applyFill="1" applyBorder="1" applyAlignment="1">
      <alignment wrapText="1"/>
    </xf>
    <xf numFmtId="0" fontId="29" fillId="40" borderId="85" xfId="0" applyFont="1" applyFill="1" applyBorder="1" applyAlignment="1">
      <alignment horizontal="center" vertical="center" wrapText="1"/>
    </xf>
    <xf numFmtId="0" fontId="51" fillId="29" borderId="85" xfId="0" applyFont="1" applyFill="1" applyBorder="1" applyAlignment="1">
      <alignment wrapText="1"/>
    </xf>
    <xf numFmtId="0" fontId="29" fillId="23" borderId="85" xfId="0" applyFont="1" applyFill="1" applyBorder="1" applyAlignment="1">
      <alignment horizontal="center" vertical="center" wrapText="1"/>
    </xf>
    <xf numFmtId="0" fontId="51" fillId="4" borderId="85" xfId="0" applyFont="1" applyFill="1" applyBorder="1" applyAlignment="1">
      <alignment wrapText="1"/>
    </xf>
    <xf numFmtId="0" fontId="29" fillId="46" borderId="85" xfId="0" applyFont="1" applyFill="1" applyBorder="1" applyAlignment="1">
      <alignment horizontal="center" vertical="center" wrapText="1"/>
    </xf>
    <xf numFmtId="0" fontId="51" fillId="27" borderId="85" xfId="0" applyFont="1" applyFill="1" applyBorder="1" applyAlignment="1">
      <alignment wrapText="1"/>
    </xf>
    <xf numFmtId="0" fontId="29" fillId="41" borderId="85" xfId="0" applyFont="1" applyFill="1" applyBorder="1" applyAlignment="1">
      <alignment horizontal="center" vertical="center" wrapText="1"/>
    </xf>
    <xf numFmtId="0" fontId="50" fillId="50" borderId="85" xfId="0" applyFont="1" applyFill="1" applyBorder="1" applyAlignment="1">
      <alignment wrapText="1"/>
    </xf>
    <xf numFmtId="0" fontId="31" fillId="27" borderId="0" xfId="0" applyFont="1" applyFill="1" applyAlignment="1">
      <alignment horizontal="center" vertical="center"/>
    </xf>
    <xf numFmtId="0" fontId="31" fillId="27" borderId="9" xfId="0" applyFont="1" applyFill="1" applyBorder="1" applyAlignment="1">
      <alignment horizontal="center" vertical="center"/>
    </xf>
    <xf numFmtId="0" fontId="51" fillId="28" borderId="104" xfId="0" applyFont="1" applyFill="1" applyBorder="1" applyAlignment="1">
      <alignment horizontal="center" vertical="center"/>
    </xf>
    <xf numFmtId="0" fontId="51" fillId="28" borderId="130" xfId="0" applyFont="1" applyFill="1" applyBorder="1" applyAlignment="1">
      <alignment horizontal="center" vertical="center"/>
    </xf>
    <xf numFmtId="0" fontId="51" fillId="58" borderId="22" xfId="0" applyFont="1" applyFill="1" applyBorder="1" applyAlignment="1">
      <alignment wrapText="1"/>
    </xf>
    <xf numFmtId="0" fontId="51" fillId="58" borderId="21" xfId="0" applyFont="1" applyFill="1" applyBorder="1" applyAlignment="1">
      <alignment wrapText="1"/>
    </xf>
    <xf numFmtId="0" fontId="51" fillId="58" borderId="23" xfId="0" applyFont="1" applyFill="1" applyBorder="1" applyAlignment="1">
      <alignment wrapText="1"/>
    </xf>
    <xf numFmtId="0" fontId="53" fillId="58" borderId="84" xfId="0" applyFont="1" applyFill="1" applyBorder="1" applyAlignment="1">
      <alignment horizontal="center" wrapText="1"/>
    </xf>
    <xf numFmtId="0" fontId="53" fillId="58" borderId="73" xfId="0" applyFont="1" applyFill="1" applyBorder="1" applyAlignment="1">
      <alignment horizontal="center" wrapText="1"/>
    </xf>
    <xf numFmtId="0" fontId="53" fillId="58" borderId="80" xfId="0" applyFont="1" applyFill="1" applyBorder="1" applyAlignment="1">
      <alignment horizontal="center" wrapText="1"/>
    </xf>
    <xf numFmtId="0" fontId="51" fillId="28" borderId="126" xfId="0" applyFont="1" applyFill="1" applyBorder="1" applyAlignment="1">
      <alignment horizontal="center" vertical="center"/>
    </xf>
    <xf numFmtId="0" fontId="54" fillId="67" borderId="81" xfId="0" applyFont="1" applyFill="1" applyBorder="1" applyAlignment="1">
      <alignment horizontal="center" vertical="center" wrapText="1"/>
    </xf>
    <xf numFmtId="0" fontId="50" fillId="66" borderId="21" xfId="0" applyFont="1" applyFill="1" applyBorder="1" applyAlignment="1">
      <alignment wrapText="1"/>
    </xf>
    <xf numFmtId="0" fontId="50" fillId="66" borderId="83" xfId="0" applyFont="1" applyFill="1" applyBorder="1" applyAlignment="1">
      <alignment wrapText="1"/>
    </xf>
    <xf numFmtId="0" fontId="50" fillId="66" borderId="86" xfId="0" applyFont="1" applyFill="1" applyBorder="1" applyAlignment="1">
      <alignment wrapText="1"/>
    </xf>
    <xf numFmtId="0" fontId="50" fillId="66" borderId="73" xfId="0" applyFont="1" applyFill="1" applyBorder="1" applyAlignment="1">
      <alignment wrapText="1"/>
    </xf>
    <xf numFmtId="0" fontId="50" fillId="66" borderId="87" xfId="0" applyFont="1" applyFill="1" applyBorder="1" applyAlignment="1">
      <alignment wrapText="1"/>
    </xf>
    <xf numFmtId="0" fontId="29" fillId="24" borderId="22" xfId="0" applyFont="1" applyFill="1" applyBorder="1" applyAlignment="1">
      <alignment horizontal="center" vertical="center"/>
    </xf>
    <xf numFmtId="0" fontId="51" fillId="27" borderId="21" xfId="0" applyFont="1" applyFill="1" applyBorder="1"/>
    <xf numFmtId="0" fontId="51" fillId="27" borderId="99" xfId="0" applyFont="1" applyFill="1" applyBorder="1"/>
    <xf numFmtId="0" fontId="50" fillId="27" borderId="27" xfId="0" applyFont="1" applyFill="1" applyBorder="1"/>
    <xf numFmtId="0" fontId="51" fillId="27" borderId="0" xfId="0" applyFont="1" applyFill="1"/>
    <xf numFmtId="0" fontId="51" fillId="27" borderId="9" xfId="0" applyFont="1" applyFill="1" applyBorder="1"/>
    <xf numFmtId="0" fontId="30" fillId="63" borderId="98" xfId="0" applyFont="1" applyFill="1" applyBorder="1" applyAlignment="1">
      <alignment horizontal="center" vertical="center"/>
    </xf>
    <xf numFmtId="0" fontId="30" fillId="63" borderId="21" xfId="0" applyFont="1" applyFill="1" applyBorder="1" applyAlignment="1">
      <alignment horizontal="center" vertical="center"/>
    </xf>
    <xf numFmtId="0" fontId="30" fillId="63" borderId="99" xfId="0" applyFont="1" applyFill="1" applyBorder="1" applyAlignment="1">
      <alignment horizontal="center" vertical="center"/>
    </xf>
    <xf numFmtId="0" fontId="30" fillId="25" borderId="108" xfId="0" applyFont="1" applyFill="1" applyBorder="1" applyAlignment="1">
      <alignment horizontal="center" vertical="center"/>
    </xf>
    <xf numFmtId="0" fontId="30" fillId="25" borderId="137" xfId="0" applyFont="1" applyFill="1" applyBorder="1" applyAlignment="1">
      <alignment horizontal="center" vertical="center"/>
    </xf>
    <xf numFmtId="0" fontId="29" fillId="24" borderId="109" xfId="0" applyFont="1" applyFill="1" applyBorder="1" applyAlignment="1">
      <alignment horizontal="center" vertical="center"/>
    </xf>
    <xf numFmtId="0" fontId="51" fillId="27" borderId="15" xfId="0" applyFont="1" applyFill="1" applyBorder="1"/>
    <xf numFmtId="0" fontId="51" fillId="27" borderId="16" xfId="0" applyFont="1" applyFill="1" applyBorder="1"/>
    <xf numFmtId="0" fontId="50" fillId="27" borderId="131" xfId="0" applyFont="1" applyFill="1" applyBorder="1"/>
    <xf numFmtId="0" fontId="51" fillId="27" borderId="6" xfId="0" applyFont="1" applyFill="1" applyBorder="1"/>
    <xf numFmtId="0" fontId="51" fillId="27" borderId="12" xfId="0" applyFont="1" applyFill="1" applyBorder="1"/>
    <xf numFmtId="0" fontId="42" fillId="63" borderId="15" xfId="0" applyFont="1" applyFill="1" applyBorder="1"/>
    <xf numFmtId="0" fontId="42" fillId="63" borderId="8" xfId="0" applyFont="1" applyFill="1" applyBorder="1"/>
    <xf numFmtId="0" fontId="42" fillId="63" borderId="0" xfId="0" applyFont="1" applyFill="1"/>
    <xf numFmtId="0" fontId="29" fillId="38" borderId="14" xfId="0" applyFont="1" applyFill="1" applyBorder="1" applyAlignment="1">
      <alignment horizontal="center" vertical="center"/>
    </xf>
    <xf numFmtId="0" fontId="30" fillId="63" borderId="18" xfId="0" applyFont="1" applyFill="1" applyBorder="1" applyAlignment="1">
      <alignment horizontal="center" vertical="center"/>
    </xf>
    <xf numFmtId="0" fontId="30" fillId="63" borderId="20" xfId="0" applyFont="1" applyFill="1" applyBorder="1" applyAlignment="1">
      <alignment horizontal="center" vertical="center"/>
    </xf>
    <xf numFmtId="0" fontId="29" fillId="38" borderId="18" xfId="0" applyFont="1" applyFill="1" applyBorder="1" applyAlignment="1">
      <alignment horizontal="center" vertical="center"/>
    </xf>
    <xf numFmtId="0" fontId="51" fillId="27" borderId="20" xfId="0" applyFont="1" applyFill="1" applyBorder="1"/>
    <xf numFmtId="0" fontId="2" fillId="22" borderId="70" xfId="0" applyFont="1" applyFill="1" applyBorder="1"/>
    <xf numFmtId="0" fontId="29" fillId="39" borderId="70" xfId="0" applyFont="1" applyFill="1" applyBorder="1" applyAlignment="1">
      <alignment horizontal="center" vertical="center"/>
    </xf>
    <xf numFmtId="0" fontId="2" fillId="45" borderId="70" xfId="0" applyFont="1" applyFill="1" applyBorder="1"/>
    <xf numFmtId="0" fontId="28" fillId="20" borderId="72" xfId="0" applyFont="1" applyFill="1" applyBorder="1" applyAlignment="1">
      <alignment horizontal="center" vertical="center"/>
    </xf>
    <xf numFmtId="0" fontId="28" fillId="20" borderId="85" xfId="0" applyFont="1" applyFill="1" applyBorder="1" applyAlignment="1">
      <alignment horizontal="center" vertical="center"/>
    </xf>
    <xf numFmtId="0" fontId="28" fillId="20" borderId="70" xfId="0" applyFont="1" applyFill="1" applyBorder="1" applyAlignment="1">
      <alignment horizontal="center" vertical="center"/>
    </xf>
    <xf numFmtId="0" fontId="88" fillId="60" borderId="21" xfId="0" applyFont="1" applyFill="1" applyBorder="1"/>
    <xf numFmtId="0" fontId="88" fillId="60" borderId="23" xfId="0" applyFont="1" applyFill="1" applyBorder="1"/>
    <xf numFmtId="0" fontId="88" fillId="60" borderId="84" xfId="0" applyFont="1" applyFill="1" applyBorder="1"/>
    <xf numFmtId="0" fontId="88" fillId="60" borderId="73" xfId="0" applyFont="1" applyFill="1" applyBorder="1"/>
    <xf numFmtId="0" fontId="88" fillId="60" borderId="80" xfId="0" applyFont="1" applyFill="1" applyBorder="1"/>
    <xf numFmtId="0" fontId="29" fillId="28" borderId="70" xfId="0" applyFont="1" applyFill="1" applyBorder="1" applyAlignment="1">
      <alignment horizontal="center" vertical="center"/>
    </xf>
    <xf numFmtId="0" fontId="30" fillId="28" borderId="71" xfId="0" applyFont="1" applyFill="1" applyBorder="1" applyAlignment="1">
      <alignment horizontal="center" vertical="center"/>
    </xf>
    <xf numFmtId="0" fontId="7" fillId="29" borderId="88" xfId="0" applyFont="1" applyFill="1" applyBorder="1" applyAlignment="1">
      <alignment horizontal="center" vertical="center"/>
    </xf>
    <xf numFmtId="0" fontId="7" fillId="29" borderId="89" xfId="0" applyFont="1" applyFill="1" applyBorder="1" applyAlignment="1">
      <alignment horizontal="center" vertical="center"/>
    </xf>
    <xf numFmtId="0" fontId="7" fillId="29" borderId="90" xfId="0" applyFont="1" applyFill="1" applyBorder="1" applyAlignment="1">
      <alignment horizontal="center" vertical="center"/>
    </xf>
    <xf numFmtId="0" fontId="29" fillId="43" borderId="88" xfId="0" applyFont="1" applyFill="1" applyBorder="1" applyAlignment="1">
      <alignment horizontal="center" vertical="center"/>
    </xf>
    <xf numFmtId="0" fontId="29" fillId="43" borderId="89" xfId="0" applyFont="1" applyFill="1" applyBorder="1" applyAlignment="1">
      <alignment horizontal="center" vertical="center"/>
    </xf>
    <xf numFmtId="0" fontId="29" fillId="43" borderId="90" xfId="0" applyFont="1" applyFill="1" applyBorder="1" applyAlignment="1">
      <alignment horizontal="center" vertical="center"/>
    </xf>
    <xf numFmtId="165" fontId="29" fillId="43" borderId="88" xfId="0" applyNumberFormat="1" applyFont="1" applyFill="1" applyBorder="1" applyAlignment="1">
      <alignment horizontal="center" vertical="center"/>
    </xf>
    <xf numFmtId="165" fontId="29" fillId="43" borderId="89" xfId="0" applyNumberFormat="1" applyFont="1" applyFill="1" applyBorder="1" applyAlignment="1">
      <alignment horizontal="center" vertical="center"/>
    </xf>
    <xf numFmtId="165" fontId="29" fillId="43" borderId="90" xfId="0" applyNumberFormat="1" applyFont="1" applyFill="1" applyBorder="1" applyAlignment="1">
      <alignment horizontal="center" vertical="center"/>
    </xf>
    <xf numFmtId="0" fontId="29" fillId="44" borderId="70" xfId="0" applyFont="1" applyFill="1" applyBorder="1" applyAlignment="1">
      <alignment horizontal="center" vertical="center"/>
    </xf>
    <xf numFmtId="0" fontId="29" fillId="44" borderId="71" xfId="0" applyFont="1" applyFill="1" applyBorder="1" applyAlignment="1">
      <alignment horizontal="center" vertical="center"/>
    </xf>
    <xf numFmtId="0" fontId="29" fillId="44" borderId="72" xfId="0" applyFont="1" applyFill="1" applyBorder="1" applyAlignment="1">
      <alignment horizontal="center" vertical="center"/>
    </xf>
    <xf numFmtId="0" fontId="29" fillId="38" borderId="16" xfId="0" applyFont="1" applyFill="1" applyBorder="1" applyAlignment="1">
      <alignment horizontal="center" vertical="center"/>
    </xf>
    <xf numFmtId="0" fontId="29" fillId="38" borderId="12" xfId="0" applyFont="1" applyFill="1" applyBorder="1" applyAlignment="1">
      <alignment horizontal="center" vertical="center"/>
    </xf>
    <xf numFmtId="0" fontId="29" fillId="38" borderId="13" xfId="0" applyFont="1" applyFill="1" applyBorder="1" applyAlignment="1">
      <alignment horizontal="center" vertical="center"/>
    </xf>
    <xf numFmtId="0" fontId="29" fillId="38" borderId="7" xfId="0" applyFont="1" applyFill="1" applyBorder="1" applyAlignment="1">
      <alignment horizontal="center" vertical="center"/>
    </xf>
    <xf numFmtId="0" fontId="29" fillId="38" borderId="148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0" xfId="0"/>
    <xf numFmtId="0" fontId="2" fillId="0" borderId="69" xfId="0" applyFont="1" applyBorder="1"/>
    <xf numFmtId="0" fontId="0" fillId="29" borderId="10" xfId="0" applyFill="1" applyBorder="1"/>
    <xf numFmtId="2" fontId="30" fillId="63" borderId="13" xfId="0" applyNumberFormat="1" applyFont="1" applyFill="1" applyBorder="1" applyAlignment="1">
      <alignment horizontal="center" vertical="center"/>
    </xf>
    <xf numFmtId="2" fontId="0" fillId="63" borderId="10" xfId="0" applyNumberFormat="1" applyFill="1" applyBorder="1"/>
    <xf numFmtId="2" fontId="30" fillId="63" borderId="0" xfId="0" applyNumberFormat="1" applyFont="1" applyFill="1" applyAlignment="1">
      <alignment horizontal="center" vertical="center"/>
    </xf>
    <xf numFmtId="2" fontId="2" fillId="63" borderId="28" xfId="0" applyNumberFormat="1" applyFont="1" applyFill="1" applyBorder="1"/>
    <xf numFmtId="2" fontId="0" fillId="63" borderId="0" xfId="0" applyNumberFormat="1" applyFill="1"/>
    <xf numFmtId="2" fontId="2" fillId="63" borderId="66" xfId="0" applyNumberFormat="1" applyFont="1" applyFill="1" applyBorder="1"/>
    <xf numFmtId="2" fontId="2" fillId="63" borderId="92" xfId="0" applyNumberFormat="1" applyFont="1" applyFill="1" applyBorder="1"/>
    <xf numFmtId="0" fontId="29" fillId="21" borderId="71" xfId="0" applyFont="1" applyFill="1" applyBorder="1" applyAlignment="1">
      <alignment horizontal="center" vertical="center"/>
    </xf>
    <xf numFmtId="0" fontId="2" fillId="22" borderId="71" xfId="0" applyFont="1" applyFill="1" applyBorder="1"/>
    <xf numFmtId="0" fontId="2" fillId="22" borderId="72" xfId="0" applyFont="1" applyFill="1" applyBorder="1"/>
    <xf numFmtId="0" fontId="2" fillId="27" borderId="147" xfId="0" applyFont="1" applyFill="1" applyBorder="1"/>
    <xf numFmtId="0" fontId="29" fillId="24" borderId="13" xfId="0" applyFont="1" applyFill="1" applyBorder="1" applyAlignment="1">
      <alignment horizontal="center" vertical="center"/>
    </xf>
    <xf numFmtId="0" fontId="0" fillId="27" borderId="10" xfId="0" applyFill="1" applyBorder="1"/>
    <xf numFmtId="0" fontId="47" fillId="58" borderId="29" xfId="0" applyFont="1" applyFill="1" applyBorder="1" applyAlignment="1">
      <alignment horizontal="center" vertical="center"/>
    </xf>
    <xf numFmtId="0" fontId="47" fillId="58" borderId="41" xfId="0" applyFont="1" applyFill="1" applyBorder="1" applyAlignment="1">
      <alignment horizontal="center" vertical="center"/>
    </xf>
    <xf numFmtId="0" fontId="47" fillId="58" borderId="42" xfId="0" applyFont="1" applyFill="1" applyBorder="1" applyAlignment="1">
      <alignment horizontal="center" vertical="center"/>
    </xf>
    <xf numFmtId="0" fontId="47" fillId="58" borderId="3" xfId="0" applyFont="1" applyFill="1" applyBorder="1" applyAlignment="1">
      <alignment horizontal="center" vertical="center"/>
    </xf>
    <xf numFmtId="0" fontId="0" fillId="58" borderId="17" xfId="0" applyFill="1" applyBorder="1" applyAlignment="1">
      <alignment horizontal="center" vertical="center"/>
    </xf>
    <xf numFmtId="0" fontId="29" fillId="65" borderId="151" xfId="0" applyFont="1" applyFill="1" applyBorder="1" applyAlignment="1">
      <alignment horizontal="center" vertical="center"/>
    </xf>
    <xf numFmtId="0" fontId="29" fillId="65" borderId="63" xfId="0" applyFont="1" applyFill="1" applyBorder="1" applyAlignment="1">
      <alignment horizontal="center" vertical="center"/>
    </xf>
    <xf numFmtId="0" fontId="29" fillId="65" borderId="93" xfId="0" applyFont="1" applyFill="1" applyBorder="1" applyAlignment="1">
      <alignment horizontal="center" vertical="center"/>
    </xf>
    <xf numFmtId="0" fontId="29" fillId="21" borderId="72" xfId="0" applyFont="1" applyFill="1" applyBorder="1" applyAlignment="1">
      <alignment horizontal="center" vertical="center"/>
    </xf>
    <xf numFmtId="0" fontId="29" fillId="23" borderId="98" xfId="0" applyFont="1" applyFill="1" applyBorder="1" applyAlignment="1">
      <alignment horizontal="center" vertical="center" wrapText="1"/>
    </xf>
    <xf numFmtId="0" fontId="29" fillId="23" borderId="99" xfId="0" applyFont="1" applyFill="1" applyBorder="1" applyAlignment="1">
      <alignment horizontal="center" vertical="center" wrapText="1"/>
    </xf>
    <xf numFmtId="0" fontId="29" fillId="23" borderId="21" xfId="0" applyFont="1" applyFill="1" applyBorder="1" applyAlignment="1">
      <alignment horizontal="center" vertical="center"/>
    </xf>
    <xf numFmtId="0" fontId="29" fillId="23" borderId="23" xfId="0" applyFont="1" applyFill="1" applyBorder="1" applyAlignment="1">
      <alignment horizontal="center" vertical="center"/>
    </xf>
    <xf numFmtId="0" fontId="30" fillId="3" borderId="127" xfId="0" applyFont="1" applyFill="1" applyBorder="1" applyAlignment="1">
      <alignment horizontal="center" vertical="center" wrapText="1"/>
    </xf>
    <xf numFmtId="0" fontId="0" fillId="3" borderId="19" xfId="0" applyFill="1" applyBorder="1"/>
    <xf numFmtId="0" fontId="2" fillId="3" borderId="74" xfId="0" applyFont="1" applyFill="1" applyBorder="1"/>
    <xf numFmtId="0" fontId="29" fillId="23" borderId="22" xfId="0" applyFont="1" applyFill="1" applyBorder="1" applyAlignment="1">
      <alignment horizontal="center" vertical="center"/>
    </xf>
    <xf numFmtId="0" fontId="29" fillId="23" borderId="99" xfId="0" applyFont="1" applyFill="1" applyBorder="1" applyAlignment="1">
      <alignment horizontal="center" vertical="center"/>
    </xf>
    <xf numFmtId="0" fontId="29" fillId="24" borderId="27" xfId="0" applyFont="1" applyFill="1" applyBorder="1" applyAlignment="1">
      <alignment horizontal="center" vertical="center"/>
    </xf>
    <xf numFmtId="0" fontId="0" fillId="27" borderId="0" xfId="0" applyFill="1"/>
    <xf numFmtId="0" fontId="2" fillId="27" borderId="91" xfId="0" applyFont="1" applyFill="1" applyBorder="1"/>
    <xf numFmtId="0" fontId="2" fillId="27" borderId="66" xfId="0" applyFont="1" applyFill="1" applyBorder="1"/>
    <xf numFmtId="2" fontId="45" fillId="63" borderId="14" xfId="0" applyNumberFormat="1" applyFont="1" applyFill="1" applyBorder="1" applyAlignment="1">
      <alignment horizontal="center" vertical="center"/>
    </xf>
    <xf numFmtId="2" fontId="10" fillId="63" borderId="15" xfId="0" applyNumberFormat="1" applyFont="1" applyFill="1" applyBorder="1"/>
    <xf numFmtId="2" fontId="46" fillId="63" borderId="8" xfId="0" applyNumberFormat="1" applyFont="1" applyFill="1" applyBorder="1"/>
    <xf numFmtId="2" fontId="46" fillId="63" borderId="66" xfId="0" applyNumberFormat="1" applyFont="1" applyFill="1" applyBorder="1"/>
    <xf numFmtId="0" fontId="30" fillId="25" borderId="14" xfId="0" applyFont="1" applyFill="1" applyBorder="1" applyAlignment="1">
      <alignment horizontal="center" vertical="center"/>
    </xf>
    <xf numFmtId="0" fontId="2" fillId="28" borderId="105" xfId="0" applyFont="1" applyFill="1" applyBorder="1"/>
    <xf numFmtId="0" fontId="2" fillId="28" borderId="149" xfId="0" applyFont="1" applyFill="1" applyBorder="1"/>
    <xf numFmtId="0" fontId="2" fillId="28" borderId="92" xfId="0" applyFont="1" applyFill="1" applyBorder="1"/>
    <xf numFmtId="0" fontId="29" fillId="31" borderId="139" xfId="0" applyFont="1" applyFill="1" applyBorder="1" applyAlignment="1">
      <alignment horizontal="center" vertical="center"/>
    </xf>
    <xf numFmtId="0" fontId="2" fillId="32" borderId="141" xfId="0" applyFont="1" applyFill="1" applyBorder="1"/>
    <xf numFmtId="0" fontId="29" fillId="63" borderId="139" xfId="0" applyFont="1" applyFill="1" applyBorder="1" applyAlignment="1">
      <alignment horizontal="center" vertical="center"/>
    </xf>
    <xf numFmtId="0" fontId="4" fillId="63" borderId="140" xfId="0" applyFont="1" applyFill="1" applyBorder="1"/>
    <xf numFmtId="0" fontId="4" fillId="63" borderId="141" xfId="0" applyFont="1" applyFill="1" applyBorder="1"/>
    <xf numFmtId="0" fontId="28" fillId="33" borderId="22" xfId="0" applyFont="1" applyFill="1" applyBorder="1" applyAlignment="1">
      <alignment horizontal="center" vertical="center"/>
    </xf>
    <xf numFmtId="0" fontId="0" fillId="4" borderId="21" xfId="0" applyFill="1" applyBorder="1"/>
    <xf numFmtId="0" fontId="2" fillId="4" borderId="23" xfId="0" applyFont="1" applyFill="1" applyBorder="1"/>
    <xf numFmtId="0" fontId="29" fillId="23" borderId="8" xfId="0" applyFont="1" applyFill="1" applyBorder="1" applyAlignment="1">
      <alignment horizontal="center" vertical="center"/>
    </xf>
    <xf numFmtId="0" fontId="41" fillId="4" borderId="13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31" fillId="4" borderId="11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30" fillId="64" borderId="14" xfId="0" applyFont="1" applyFill="1" applyBorder="1" applyAlignment="1">
      <alignment horizontal="center" vertical="center"/>
    </xf>
    <xf numFmtId="0" fontId="30" fillId="64" borderId="16" xfId="0" applyFont="1" applyFill="1" applyBorder="1" applyAlignment="1">
      <alignment horizontal="center" vertical="center"/>
    </xf>
    <xf numFmtId="0" fontId="30" fillId="64" borderId="11" xfId="0" applyFont="1" applyFill="1" applyBorder="1" applyAlignment="1">
      <alignment horizontal="center" vertical="center"/>
    </xf>
    <xf numFmtId="0" fontId="30" fillId="64" borderId="12" xfId="0" applyFont="1" applyFill="1" applyBorder="1" applyAlignment="1">
      <alignment horizontal="center" vertical="center"/>
    </xf>
    <xf numFmtId="0" fontId="30" fillId="63" borderId="149" xfId="0" applyFont="1" applyFill="1" applyBorder="1" applyAlignment="1">
      <alignment horizontal="center" vertical="center"/>
    </xf>
    <xf numFmtId="0" fontId="30" fillId="63" borderId="146" xfId="0" applyFont="1" applyFill="1" applyBorder="1" applyAlignment="1">
      <alignment horizontal="center" vertical="center"/>
    </xf>
    <xf numFmtId="0" fontId="30" fillId="64" borderId="8" xfId="0" applyFont="1" applyFill="1" applyBorder="1" applyAlignment="1">
      <alignment horizontal="center" vertical="center"/>
    </xf>
    <xf numFmtId="0" fontId="30" fillId="64" borderId="9" xfId="0" applyFont="1" applyFill="1" applyBorder="1" applyAlignment="1">
      <alignment horizontal="center" vertical="center"/>
    </xf>
    <xf numFmtId="0" fontId="30" fillId="64" borderId="149" xfId="0" applyFont="1" applyFill="1" applyBorder="1" applyAlignment="1">
      <alignment horizontal="center" vertical="center"/>
    </xf>
    <xf numFmtId="0" fontId="30" fillId="64" borderId="146" xfId="0" applyFont="1" applyFill="1" applyBorder="1" applyAlignment="1">
      <alignment horizontal="center" vertical="center"/>
    </xf>
    <xf numFmtId="0" fontId="30" fillId="28" borderId="144" xfId="0" applyFont="1" applyFill="1" applyBorder="1" applyAlignment="1">
      <alignment horizontal="center" vertical="center"/>
    </xf>
    <xf numFmtId="0" fontId="30" fillId="28" borderId="143" xfId="0" applyFont="1" applyFill="1" applyBorder="1" applyAlignment="1">
      <alignment horizontal="center" vertical="center"/>
    </xf>
    <xf numFmtId="0" fontId="30" fillId="63" borderId="19" xfId="0" applyFont="1" applyFill="1" applyBorder="1" applyAlignment="1">
      <alignment horizontal="center" vertical="center"/>
    </xf>
    <xf numFmtId="0" fontId="0" fillId="27" borderId="7" xfId="0" applyFill="1" applyBorder="1"/>
    <xf numFmtId="0" fontId="2" fillId="27" borderId="150" xfId="0" applyFont="1" applyFill="1" applyBorder="1"/>
    <xf numFmtId="0" fontId="85" fillId="59" borderId="63" xfId="0" applyFont="1" applyFill="1" applyBorder="1" applyAlignment="1">
      <alignment horizontal="center" vertical="center"/>
    </xf>
    <xf numFmtId="0" fontId="89" fillId="60" borderId="63" xfId="0" applyFont="1" applyFill="1" applyBorder="1"/>
    <xf numFmtId="0" fontId="89" fillId="60" borderId="64" xfId="0" applyFont="1" applyFill="1" applyBorder="1"/>
    <xf numFmtId="0" fontId="89" fillId="60" borderId="66" xfId="0" applyFont="1" applyFill="1" applyBorder="1"/>
    <xf numFmtId="0" fontId="89" fillId="60" borderId="67" xfId="0" applyFont="1" applyFill="1" applyBorder="1"/>
    <xf numFmtId="0" fontId="0" fillId="4" borderId="9" xfId="0" applyFill="1" applyBorder="1"/>
    <xf numFmtId="0" fontId="0" fillId="4" borderId="11" xfId="0" applyFill="1" applyBorder="1"/>
    <xf numFmtId="0" fontId="0" fillId="4" borderId="12" xfId="0" applyFill="1" applyBorder="1"/>
    <xf numFmtId="0" fontId="2" fillId="4" borderId="28" xfId="0" applyFont="1" applyFill="1" applyBorder="1"/>
    <xf numFmtId="0" fontId="0" fillId="4" borderId="6" xfId="0" applyFill="1" applyBorder="1"/>
    <xf numFmtId="0" fontId="2" fillId="4" borderId="112" xfId="0" applyFont="1" applyFill="1" applyBorder="1"/>
    <xf numFmtId="0" fontId="0" fillId="4" borderId="0" xfId="0" applyFill="1"/>
    <xf numFmtId="0" fontId="2" fillId="4" borderId="69" xfId="0" applyFont="1" applyFill="1" applyBorder="1"/>
    <xf numFmtId="0" fontId="0" fillId="29" borderId="7" xfId="0" applyFill="1" applyBorder="1"/>
    <xf numFmtId="0" fontId="2" fillId="29" borderId="150" xfId="0" applyFont="1" applyFill="1" applyBorder="1"/>
    <xf numFmtId="2" fontId="30" fillId="63" borderId="16" xfId="0" applyNumberFormat="1" applyFont="1" applyFill="1" applyBorder="1" applyAlignment="1">
      <alignment horizontal="center" vertical="center"/>
    </xf>
    <xf numFmtId="2" fontId="0" fillId="63" borderId="9" xfId="0" applyNumberFormat="1" applyFill="1" applyBorder="1"/>
    <xf numFmtId="2" fontId="2" fillId="63" borderId="146" xfId="0" applyNumberFormat="1" applyFont="1" applyFill="1" applyBorder="1"/>
    <xf numFmtId="0" fontId="29" fillId="24" borderId="15" xfId="0" applyFont="1" applyFill="1" applyBorder="1" applyAlignment="1">
      <alignment horizontal="center" vertical="center"/>
    </xf>
    <xf numFmtId="0" fontId="29" fillId="24" borderId="16" xfId="0" applyFont="1" applyFill="1" applyBorder="1" applyAlignment="1">
      <alignment horizontal="center" vertical="center"/>
    </xf>
    <xf numFmtId="0" fontId="29" fillId="24" borderId="0" xfId="0" applyFont="1" applyFill="1" applyAlignment="1">
      <alignment horizontal="center" vertical="center"/>
    </xf>
    <xf numFmtId="0" fontId="29" fillId="24" borderId="9" xfId="0" applyFont="1" applyFill="1" applyBorder="1" applyAlignment="1">
      <alignment horizontal="center" vertical="center"/>
    </xf>
    <xf numFmtId="0" fontId="43" fillId="63" borderId="15" xfId="0" applyFont="1" applyFill="1" applyBorder="1"/>
    <xf numFmtId="0" fontId="44" fillId="63" borderId="138" xfId="0" applyFont="1" applyFill="1" applyBorder="1"/>
    <xf numFmtId="0" fontId="43" fillId="63" borderId="0" xfId="0" applyFont="1" applyFill="1"/>
    <xf numFmtId="0" fontId="44" fillId="63" borderId="69" xfId="0" applyFont="1" applyFill="1" applyBorder="1"/>
    <xf numFmtId="0" fontId="2" fillId="27" borderId="76" xfId="0" applyFont="1" applyFill="1" applyBorder="1"/>
    <xf numFmtId="0" fontId="2" fillId="27" borderId="152" xfId="0" applyFont="1" applyFill="1" applyBorder="1"/>
    <xf numFmtId="0" fontId="0" fillId="27" borderId="15" xfId="0" applyFill="1" applyBorder="1"/>
    <xf numFmtId="0" fontId="0" fillId="27" borderId="16" xfId="0" applyFill="1" applyBorder="1"/>
    <xf numFmtId="0" fontId="2" fillId="27" borderId="0" xfId="0" applyFont="1" applyFill="1"/>
    <xf numFmtId="0" fontId="0" fillId="27" borderId="9" xfId="0" applyFill="1" applyBorder="1"/>
    <xf numFmtId="0" fontId="29" fillId="34" borderId="127" xfId="0" applyFont="1" applyFill="1" applyBorder="1" applyAlignment="1">
      <alignment horizontal="center" vertical="center"/>
    </xf>
    <xf numFmtId="0" fontId="30" fillId="3" borderId="127" xfId="0" applyFont="1" applyFill="1" applyBorder="1" applyAlignment="1">
      <alignment horizontal="center" vertical="center"/>
    </xf>
    <xf numFmtId="0" fontId="2" fillId="27" borderId="27" xfId="0" applyFont="1" applyFill="1" applyBorder="1"/>
    <xf numFmtId="2" fontId="10" fillId="63" borderId="16" xfId="0" applyNumberFormat="1" applyFont="1" applyFill="1" applyBorder="1"/>
    <xf numFmtId="2" fontId="10" fillId="63" borderId="11" xfId="0" applyNumberFormat="1" applyFont="1" applyFill="1" applyBorder="1"/>
    <xf numFmtId="2" fontId="10" fillId="63" borderId="6" xfId="0" applyNumberFormat="1" applyFont="1" applyFill="1" applyBorder="1"/>
    <xf numFmtId="2" fontId="10" fillId="63" borderId="12" xfId="0" applyNumberFormat="1" applyFont="1" applyFill="1" applyBorder="1"/>
    <xf numFmtId="0" fontId="30" fillId="25" borderId="0" xfId="0" applyFont="1" applyFill="1" applyAlignment="1">
      <alignment horizontal="center" vertical="center"/>
    </xf>
    <xf numFmtId="0" fontId="29" fillId="58" borderId="109" xfId="0" applyFont="1" applyFill="1" applyBorder="1" applyAlignment="1">
      <alignment horizontal="center" vertical="center"/>
    </xf>
    <xf numFmtId="0" fontId="0" fillId="58" borderId="16" xfId="0" applyFill="1" applyBorder="1"/>
    <xf numFmtId="0" fontId="2" fillId="58" borderId="27" xfId="0" applyFont="1" applyFill="1" applyBorder="1"/>
    <xf numFmtId="0" fontId="0" fillId="58" borderId="9" xfId="0" applyFill="1" applyBorder="1"/>
    <xf numFmtId="0" fontId="2" fillId="58" borderId="91" xfId="0" applyFont="1" applyFill="1" applyBorder="1"/>
    <xf numFmtId="0" fontId="2" fillId="58" borderId="146" xfId="0" applyFont="1" applyFill="1" applyBorder="1"/>
    <xf numFmtId="0" fontId="0" fillId="63" borderId="15" xfId="0" applyFill="1" applyBorder="1"/>
    <xf numFmtId="0" fontId="0" fillId="63" borderId="16" xfId="0" applyFill="1" applyBorder="1"/>
    <xf numFmtId="0" fontId="29" fillId="58" borderId="0" xfId="0" applyFont="1" applyFill="1" applyAlignment="1">
      <alignment horizontal="center" vertical="center"/>
    </xf>
    <xf numFmtId="0" fontId="0" fillId="58" borderId="0" xfId="0" applyFill="1"/>
    <xf numFmtId="0" fontId="2" fillId="58" borderId="28" xfId="0" applyFont="1" applyFill="1" applyBorder="1"/>
    <xf numFmtId="0" fontId="2" fillId="58" borderId="66" xfId="0" applyFont="1" applyFill="1" applyBorder="1"/>
    <xf numFmtId="0" fontId="2" fillId="58" borderId="92" xfId="0" applyFont="1" applyFill="1" applyBorder="1"/>
    <xf numFmtId="0" fontId="29" fillId="24" borderId="18" xfId="0" applyFont="1" applyFill="1" applyBorder="1" applyAlignment="1">
      <alignment horizontal="center" vertical="center"/>
    </xf>
    <xf numFmtId="0" fontId="0" fillId="27" borderId="20" xfId="0" applyFill="1" applyBorder="1"/>
    <xf numFmtId="2" fontId="30" fillId="63" borderId="18" xfId="0" applyNumberFormat="1" applyFont="1" applyFill="1" applyBorder="1" applyAlignment="1">
      <alignment horizontal="center" vertical="center"/>
    </xf>
    <xf numFmtId="2" fontId="0" fillId="63" borderId="19" xfId="0" applyNumberFormat="1" applyFill="1" applyBorder="1"/>
    <xf numFmtId="2" fontId="0" fillId="63" borderId="20" xfId="0" applyNumberFormat="1" applyFill="1" applyBorder="1"/>
    <xf numFmtId="2" fontId="30" fillId="63" borderId="14" xfId="0" applyNumberFormat="1" applyFont="1" applyFill="1" applyBorder="1" applyAlignment="1">
      <alignment horizontal="center" vertical="center"/>
    </xf>
    <xf numFmtId="2" fontId="0" fillId="63" borderId="15" xfId="0" applyNumberFormat="1" applyFill="1" applyBorder="1"/>
    <xf numFmtId="2" fontId="0" fillId="63" borderId="16" xfId="0" applyNumberFormat="1" applyFill="1" applyBorder="1"/>
    <xf numFmtId="0" fontId="2" fillId="27" borderId="84" xfId="0" applyFont="1" applyFill="1" applyBorder="1"/>
    <xf numFmtId="0" fontId="2" fillId="27" borderId="73" xfId="0" applyFont="1" applyFill="1" applyBorder="1"/>
    <xf numFmtId="0" fontId="2" fillId="27" borderId="79" xfId="0" applyFont="1" applyFill="1" applyBorder="1"/>
    <xf numFmtId="2" fontId="30" fillId="63" borderId="8" xfId="0" applyNumberFormat="1" applyFont="1" applyFill="1" applyBorder="1" applyAlignment="1">
      <alignment horizontal="center" vertical="center"/>
    </xf>
    <xf numFmtId="2" fontId="30" fillId="63" borderId="9" xfId="0" applyNumberFormat="1" applyFont="1" applyFill="1" applyBorder="1" applyAlignment="1">
      <alignment horizontal="center" vertical="center"/>
    </xf>
    <xf numFmtId="2" fontId="30" fillId="63" borderId="78" xfId="0" applyNumberFormat="1" applyFont="1" applyFill="1" applyBorder="1" applyAlignment="1">
      <alignment horizontal="center" vertical="center"/>
    </xf>
    <xf numFmtId="2" fontId="30" fillId="63" borderId="73" xfId="0" applyNumberFormat="1" applyFont="1" applyFill="1" applyBorder="1" applyAlignment="1">
      <alignment horizontal="center" vertical="center"/>
    </xf>
    <xf numFmtId="2" fontId="30" fillId="63" borderId="79" xfId="0" applyNumberFormat="1" applyFont="1" applyFill="1" applyBorder="1" applyAlignment="1">
      <alignment horizontal="center" vertical="center"/>
    </xf>
    <xf numFmtId="0" fontId="2" fillId="28" borderId="78" xfId="0" applyFont="1" applyFill="1" applyBorder="1"/>
    <xf numFmtId="0" fontId="32" fillId="58" borderId="109" xfId="0" applyFont="1" applyFill="1" applyBorder="1"/>
    <xf numFmtId="0" fontId="2" fillId="58" borderId="131" xfId="0" applyFont="1" applyFill="1" applyBorder="1"/>
    <xf numFmtId="0" fontId="0" fillId="58" borderId="12" xfId="0" applyFill="1" applyBorder="1"/>
    <xf numFmtId="0" fontId="30" fillId="58" borderId="14" xfId="0" applyFont="1" applyFill="1" applyBorder="1" applyAlignment="1">
      <alignment horizontal="center" vertical="center"/>
    </xf>
    <xf numFmtId="0" fontId="0" fillId="58" borderId="15" xfId="0" applyFill="1" applyBorder="1"/>
    <xf numFmtId="0" fontId="2" fillId="58" borderId="105" xfId="0" applyFont="1" applyFill="1" applyBorder="1"/>
    <xf numFmtId="0" fontId="0" fillId="58" borderId="8" xfId="0" applyFill="1" applyBorder="1"/>
    <xf numFmtId="0" fontId="0" fillId="58" borderId="11" xfId="0" applyFill="1" applyBorder="1"/>
    <xf numFmtId="0" fontId="0" fillId="58" borderId="6" xfId="0" applyFill="1" applyBorder="1"/>
    <xf numFmtId="0" fontId="2" fillId="58" borderId="112" xfId="0" applyFont="1" applyFill="1" applyBorder="1"/>
    <xf numFmtId="0" fontId="33" fillId="65" borderId="22" xfId="0" applyFont="1" applyFill="1" applyBorder="1" applyAlignment="1">
      <alignment horizontal="center"/>
    </xf>
    <xf numFmtId="0" fontId="0" fillId="58" borderId="21" xfId="0" applyFill="1" applyBorder="1"/>
    <xf numFmtId="0" fontId="2" fillId="58" borderId="23" xfId="0" applyFont="1" applyFill="1" applyBorder="1"/>
    <xf numFmtId="0" fontId="4" fillId="22" borderId="71" xfId="0" applyFont="1" applyFill="1" applyBorder="1"/>
    <xf numFmtId="0" fontId="4" fillId="22" borderId="72" xfId="0" applyFont="1" applyFill="1" applyBorder="1"/>
    <xf numFmtId="0" fontId="29" fillId="31" borderId="18" xfId="0" applyFont="1" applyFill="1" applyBorder="1" applyAlignment="1">
      <alignment horizontal="center" vertical="center"/>
    </xf>
    <xf numFmtId="0" fontId="0" fillId="32" borderId="20" xfId="0" applyFill="1" applyBorder="1"/>
    <xf numFmtId="0" fontId="29" fillId="63" borderId="18" xfId="0" applyFont="1" applyFill="1" applyBorder="1" applyAlignment="1">
      <alignment horizontal="center" vertical="center"/>
    </xf>
    <xf numFmtId="0" fontId="7" fillId="63" borderId="19" xfId="0" applyFont="1" applyFill="1" applyBorder="1"/>
    <xf numFmtId="0" fontId="7" fillId="63" borderId="20" xfId="0" applyFont="1" applyFill="1" applyBorder="1"/>
    <xf numFmtId="0" fontId="8" fillId="28" borderId="14" xfId="0" applyFont="1" applyFill="1" applyBorder="1" applyAlignment="1">
      <alignment horizontal="center" vertical="center"/>
    </xf>
    <xf numFmtId="0" fontId="8" fillId="28" borderId="105" xfId="0" applyFont="1" applyFill="1" applyBorder="1" applyAlignment="1">
      <alignment horizontal="center" vertical="center"/>
    </xf>
    <xf numFmtId="0" fontId="8" fillId="28" borderId="8" xfId="0" applyFont="1" applyFill="1" applyBorder="1" applyAlignment="1">
      <alignment horizontal="center" vertical="center"/>
    </xf>
    <xf numFmtId="0" fontId="8" fillId="28" borderId="28" xfId="0" applyFont="1" applyFill="1" applyBorder="1" applyAlignment="1">
      <alignment horizontal="center" vertical="center"/>
    </xf>
    <xf numFmtId="0" fontId="2" fillId="58" borderId="69" xfId="0" applyFont="1" applyFill="1" applyBorder="1"/>
    <xf numFmtId="0" fontId="29" fillId="21" borderId="21" xfId="0" applyFont="1" applyFill="1" applyBorder="1" applyAlignment="1">
      <alignment horizontal="center" vertical="center"/>
    </xf>
    <xf numFmtId="0" fontId="2" fillId="22" borderId="21" xfId="0" applyFont="1" applyFill="1" applyBorder="1"/>
    <xf numFmtId="0" fontId="2" fillId="22" borderId="23" xfId="0" applyFont="1" applyFill="1" applyBorder="1"/>
    <xf numFmtId="0" fontId="2" fillId="27" borderId="131" xfId="0" applyFont="1" applyFill="1" applyBorder="1"/>
    <xf numFmtId="0" fontId="0" fillId="27" borderId="6" xfId="0" applyFill="1" applyBorder="1"/>
    <xf numFmtId="0" fontId="0" fillId="27" borderId="12" xfId="0" applyFill="1" applyBorder="1"/>
    <xf numFmtId="2" fontId="30" fillId="63" borderId="15" xfId="0" applyNumberFormat="1" applyFont="1" applyFill="1" applyBorder="1" applyAlignment="1">
      <alignment horizontal="center" vertical="center"/>
    </xf>
    <xf numFmtId="2" fontId="30" fillId="63" borderId="11" xfId="0" applyNumberFormat="1" applyFont="1" applyFill="1" applyBorder="1" applyAlignment="1">
      <alignment horizontal="center" vertical="center"/>
    </xf>
    <xf numFmtId="2" fontId="30" fillId="63" borderId="6" xfId="0" applyNumberFormat="1" applyFont="1" applyFill="1" applyBorder="1" applyAlignment="1">
      <alignment horizontal="center" vertical="center"/>
    </xf>
    <xf numFmtId="2" fontId="30" fillId="63" borderId="12" xfId="0" applyNumberFormat="1" applyFont="1" applyFill="1" applyBorder="1" applyAlignment="1">
      <alignment horizontal="center" vertical="center"/>
    </xf>
    <xf numFmtId="0" fontId="0" fillId="28" borderId="8" xfId="0" applyFill="1" applyBorder="1"/>
    <xf numFmtId="0" fontId="2" fillId="4" borderId="83" xfId="0" applyFont="1" applyFill="1" applyBorder="1"/>
    <xf numFmtId="0" fontId="31" fillId="24" borderId="125" xfId="0" applyFont="1" applyFill="1" applyBorder="1" applyAlignment="1">
      <alignment horizontal="center"/>
    </xf>
    <xf numFmtId="0" fontId="2" fillId="27" borderId="102" xfId="0" applyFont="1" applyFill="1" applyBorder="1"/>
    <xf numFmtId="0" fontId="2" fillId="27" borderId="128" xfId="0" applyFont="1" applyFill="1" applyBorder="1"/>
    <xf numFmtId="0" fontId="30" fillId="63" borderId="139" xfId="0" applyFont="1" applyFill="1" applyBorder="1" applyAlignment="1">
      <alignment horizontal="center" vertical="center"/>
    </xf>
    <xf numFmtId="0" fontId="30" fillId="63" borderId="140" xfId="0" applyFont="1" applyFill="1" applyBorder="1" applyAlignment="1">
      <alignment horizontal="center" vertical="center"/>
    </xf>
    <xf numFmtId="0" fontId="30" fillId="63" borderId="141" xfId="0" applyFont="1" applyFill="1" applyBorder="1" applyAlignment="1">
      <alignment horizontal="center" vertical="center"/>
    </xf>
    <xf numFmtId="0" fontId="43" fillId="63" borderId="16" xfId="0" applyFont="1" applyFill="1" applyBorder="1"/>
    <xf numFmtId="0" fontId="43" fillId="63" borderId="11" xfId="0" applyFont="1" applyFill="1" applyBorder="1"/>
    <xf numFmtId="0" fontId="43" fillId="63" borderId="12" xfId="0" applyFont="1" applyFill="1" applyBorder="1"/>
    <xf numFmtId="0" fontId="29" fillId="38" borderId="15" xfId="0" applyFont="1" applyFill="1" applyBorder="1" applyAlignment="1">
      <alignment horizontal="center" vertical="center"/>
    </xf>
    <xf numFmtId="0" fontId="29" fillId="38" borderId="6" xfId="0" applyFont="1" applyFill="1" applyBorder="1" applyAlignment="1">
      <alignment horizontal="center" vertical="center"/>
    </xf>
    <xf numFmtId="0" fontId="29" fillId="23" borderId="115" xfId="0" applyFont="1" applyFill="1" applyBorder="1" applyAlignment="1">
      <alignment horizontal="center" vertical="center"/>
    </xf>
    <xf numFmtId="0" fontId="0" fillId="4" borderId="100" xfId="0" applyFill="1" applyBorder="1"/>
    <xf numFmtId="0" fontId="2" fillId="4" borderId="101" xfId="0" applyFont="1" applyFill="1" applyBorder="1"/>
    <xf numFmtId="0" fontId="31" fillId="24" borderId="19" xfId="0" applyFont="1" applyFill="1" applyBorder="1" applyAlignment="1">
      <alignment horizontal="center"/>
    </xf>
    <xf numFmtId="0" fontId="0" fillId="27" borderId="19" xfId="0" applyFill="1" applyBorder="1"/>
    <xf numFmtId="0" fontId="29" fillId="58" borderId="27" xfId="0" applyFont="1" applyFill="1" applyBorder="1" applyAlignment="1">
      <alignment horizontal="center" vertical="center"/>
    </xf>
    <xf numFmtId="0" fontId="30" fillId="63" borderId="17" xfId="0" applyFont="1" applyFill="1" applyBorder="1" applyAlignment="1">
      <alignment horizontal="center" vertical="center"/>
    </xf>
    <xf numFmtId="0" fontId="30" fillId="28" borderId="69" xfId="0" applyFont="1" applyFill="1" applyBorder="1" applyAlignment="1">
      <alignment horizontal="center" vertical="center"/>
    </xf>
    <xf numFmtId="165" fontId="64" fillId="62" borderId="104" xfId="0" applyNumberFormat="1" applyFont="1" applyFill="1" applyBorder="1" applyAlignment="1">
      <alignment horizontal="center" vertical="center"/>
    </xf>
    <xf numFmtId="165" fontId="64" fillId="62" borderId="126" xfId="0" applyNumberFormat="1" applyFont="1" applyFill="1" applyBorder="1" applyAlignment="1">
      <alignment horizontal="center" vertical="center"/>
    </xf>
    <xf numFmtId="0" fontId="51" fillId="27" borderId="20" xfId="0" applyFont="1" applyFill="1" applyBorder="1" applyAlignment="1">
      <alignment horizontal="center"/>
    </xf>
    <xf numFmtId="0" fontId="51" fillId="27" borderId="17" xfId="0" applyFont="1" applyFill="1" applyBorder="1" applyAlignment="1">
      <alignment horizontal="center"/>
    </xf>
    <xf numFmtId="0" fontId="76" fillId="58" borderId="17" xfId="0" applyFont="1" applyFill="1" applyBorder="1" applyAlignment="1">
      <alignment horizontal="center" vertical="center"/>
    </xf>
    <xf numFmtId="0" fontId="31" fillId="27" borderId="18" xfId="0" applyFont="1" applyFill="1" applyBorder="1" applyAlignment="1">
      <alignment horizontal="center" vertical="center"/>
    </xf>
    <xf numFmtId="0" fontId="31" fillId="27" borderId="74" xfId="0" applyFont="1" applyFill="1" applyBorder="1" applyAlignment="1">
      <alignment horizontal="center" vertical="center"/>
    </xf>
    <xf numFmtId="0" fontId="42" fillId="63" borderId="74" xfId="0" applyFont="1" applyFill="1" applyBorder="1" applyAlignment="1">
      <alignment horizontal="center" vertical="center"/>
    </xf>
    <xf numFmtId="0" fontId="31" fillId="58" borderId="0" xfId="0" applyFont="1" applyFill="1" applyAlignment="1">
      <alignment horizontal="center" vertical="center"/>
    </xf>
    <xf numFmtId="0" fontId="31" fillId="58" borderId="9" xfId="0" applyFont="1" applyFill="1" applyBorder="1" applyAlignment="1">
      <alignment horizontal="center" vertical="center"/>
    </xf>
    <xf numFmtId="0" fontId="31" fillId="58" borderId="0" xfId="0" applyFont="1" applyFill="1" applyAlignment="1">
      <alignment horizontal="left" vertical="center" indent="7"/>
    </xf>
    <xf numFmtId="0" fontId="31" fillId="58" borderId="9" xfId="0" applyFont="1" applyFill="1" applyBorder="1" applyAlignment="1">
      <alignment horizontal="left" vertical="center" indent="7"/>
    </xf>
    <xf numFmtId="0" fontId="71" fillId="63" borderId="14" xfId="0" applyFont="1" applyFill="1" applyBorder="1" applyAlignment="1">
      <alignment horizontal="center" vertical="center"/>
    </xf>
    <xf numFmtId="0" fontId="71" fillId="63" borderId="16" xfId="0" applyFont="1" applyFill="1" applyBorder="1" applyAlignment="1">
      <alignment horizontal="center" vertical="center"/>
    </xf>
    <xf numFmtId="0" fontId="71" fillId="63" borderId="11" xfId="0" applyFont="1" applyFill="1" applyBorder="1" applyAlignment="1">
      <alignment horizontal="center" vertical="center"/>
    </xf>
    <xf numFmtId="0" fontId="71" fillId="63" borderId="12" xfId="0" applyFont="1" applyFill="1" applyBorder="1" applyAlignment="1">
      <alignment horizontal="center" vertical="center"/>
    </xf>
    <xf numFmtId="0" fontId="31" fillId="27" borderId="22" xfId="0" applyFont="1" applyFill="1" applyBorder="1" applyAlignment="1">
      <alignment horizontal="center" vertical="center"/>
    </xf>
    <xf numFmtId="0" fontId="31" fillId="27" borderId="99" xfId="0" applyFont="1" applyFill="1" applyBorder="1" applyAlignment="1">
      <alignment horizontal="center" vertical="center"/>
    </xf>
    <xf numFmtId="0" fontId="31" fillId="27" borderId="131" xfId="0" applyFont="1" applyFill="1" applyBorder="1" applyAlignment="1">
      <alignment horizontal="center" vertical="center"/>
    </xf>
    <xf numFmtId="0" fontId="31" fillId="27" borderId="12" xfId="0" applyFont="1" applyFill="1" applyBorder="1" applyAlignment="1">
      <alignment horizontal="center" vertical="center"/>
    </xf>
    <xf numFmtId="0" fontId="53" fillId="63" borderId="14" xfId="0" applyFont="1" applyFill="1" applyBorder="1" applyAlignment="1">
      <alignment horizontal="center" vertical="center"/>
    </xf>
    <xf numFmtId="0" fontId="53" fillId="63" borderId="15" xfId="0" applyFont="1" applyFill="1" applyBorder="1" applyAlignment="1">
      <alignment horizontal="center" vertical="center"/>
    </xf>
    <xf numFmtId="0" fontId="53" fillId="63" borderId="78" xfId="0" applyFont="1" applyFill="1" applyBorder="1" applyAlignment="1">
      <alignment horizontal="center" vertical="center"/>
    </xf>
    <xf numFmtId="0" fontId="53" fillId="63" borderId="73" xfId="0" applyFont="1" applyFill="1" applyBorder="1" applyAlignment="1">
      <alignment horizontal="center" vertical="center"/>
    </xf>
    <xf numFmtId="167" fontId="53" fillId="63" borderId="14" xfId="0" applyNumberFormat="1" applyFont="1" applyFill="1" applyBorder="1" applyAlignment="1">
      <alignment horizontal="center" vertical="center"/>
    </xf>
    <xf numFmtId="167" fontId="53" fillId="63" borderId="15" xfId="0" applyNumberFormat="1" applyFont="1" applyFill="1" applyBorder="1" applyAlignment="1">
      <alignment horizontal="center" vertical="center"/>
    </xf>
    <xf numFmtId="167" fontId="53" fillId="63" borderId="78" xfId="0" applyNumberFormat="1" applyFont="1" applyFill="1" applyBorder="1" applyAlignment="1">
      <alignment horizontal="center" vertical="center"/>
    </xf>
    <xf numFmtId="167" fontId="53" fillId="63" borderId="73" xfId="0" applyNumberFormat="1" applyFont="1" applyFill="1" applyBorder="1" applyAlignment="1">
      <alignment horizontal="center" vertical="center"/>
    </xf>
    <xf numFmtId="167" fontId="53" fillId="63" borderId="16" xfId="0" applyNumberFormat="1" applyFont="1" applyFill="1" applyBorder="1" applyAlignment="1">
      <alignment horizontal="center" vertical="center"/>
    </xf>
    <xf numFmtId="167" fontId="53" fillId="63" borderId="11" xfId="0" applyNumberFormat="1" applyFont="1" applyFill="1" applyBorder="1" applyAlignment="1">
      <alignment horizontal="center" vertical="center"/>
    </xf>
    <xf numFmtId="167" fontId="53" fillId="63" borderId="12" xfId="0" applyNumberFormat="1" applyFont="1" applyFill="1" applyBorder="1" applyAlignment="1">
      <alignment horizontal="center" vertical="center"/>
    </xf>
    <xf numFmtId="167" fontId="53" fillId="63" borderId="79" xfId="0" applyNumberFormat="1" applyFont="1" applyFill="1" applyBorder="1" applyAlignment="1">
      <alignment horizontal="center" vertical="center"/>
    </xf>
    <xf numFmtId="0" fontId="31" fillId="27" borderId="104" xfId="0" applyFont="1" applyFill="1" applyBorder="1" applyAlignment="1">
      <alignment horizontal="center" vertical="center"/>
    </xf>
    <xf numFmtId="0" fontId="31" fillId="27" borderId="137" xfId="0" applyFont="1" applyFill="1" applyBorder="1" applyAlignment="1">
      <alignment horizontal="center" vertical="center"/>
    </xf>
    <xf numFmtId="167" fontId="53" fillId="63" borderId="6" xfId="0" applyNumberFormat="1" applyFont="1" applyFill="1" applyBorder="1" applyAlignment="1">
      <alignment horizontal="center" vertical="center"/>
    </xf>
    <xf numFmtId="0" fontId="75" fillId="66" borderId="109" xfId="0" applyFont="1" applyFill="1" applyBorder="1" applyAlignment="1">
      <alignment horizontal="center" vertical="center"/>
    </xf>
    <xf numFmtId="0" fontId="75" fillId="66" borderId="16" xfId="0" applyFont="1" applyFill="1" applyBorder="1" applyAlignment="1">
      <alignment horizontal="center" vertical="center"/>
    </xf>
    <xf numFmtId="0" fontId="75" fillId="66" borderId="27" xfId="0" applyFont="1" applyFill="1" applyBorder="1" applyAlignment="1">
      <alignment horizontal="center" vertical="center"/>
    </xf>
    <xf numFmtId="0" fontId="75" fillId="66" borderId="9" xfId="0" applyFont="1" applyFill="1" applyBorder="1" applyAlignment="1">
      <alignment horizontal="center" vertical="center"/>
    </xf>
    <xf numFmtId="0" fontId="75" fillId="66" borderId="84" xfId="0" applyFont="1" applyFill="1" applyBorder="1" applyAlignment="1">
      <alignment horizontal="center" vertical="center"/>
    </xf>
    <xf numFmtId="0" fontId="75" fillId="66" borderId="79" xfId="0" applyFont="1" applyFill="1" applyBorder="1" applyAlignment="1">
      <alignment horizontal="center" vertical="center"/>
    </xf>
    <xf numFmtId="0" fontId="75" fillId="62" borderId="104" xfId="0" applyFont="1" applyFill="1" applyBorder="1" applyAlignment="1">
      <alignment horizontal="center" vertical="center"/>
    </xf>
    <xf numFmtId="0" fontId="75" fillId="62" borderId="130" xfId="0" applyFont="1" applyFill="1" applyBorder="1" applyAlignment="1">
      <alignment horizontal="center" vertical="center"/>
    </xf>
    <xf numFmtId="0" fontId="75" fillId="62" borderId="126" xfId="0" applyFont="1" applyFill="1" applyBorder="1" applyAlignment="1">
      <alignment horizontal="center" vertical="center"/>
    </xf>
    <xf numFmtId="0" fontId="61" fillId="28" borderId="70" xfId="0" applyFont="1" applyFill="1" applyBorder="1" applyAlignment="1">
      <alignment horizontal="center" vertical="center"/>
    </xf>
    <xf numFmtId="0" fontId="61" fillId="28" borderId="71" xfId="0" applyFont="1" applyFill="1" applyBorder="1" applyAlignment="1">
      <alignment horizontal="center" vertical="center"/>
    </xf>
    <xf numFmtId="0" fontId="61" fillId="28" borderId="72" xfId="0" applyFont="1" applyFill="1" applyBorder="1" applyAlignment="1">
      <alignment horizontal="center" vertical="center"/>
    </xf>
    <xf numFmtId="0" fontId="85" fillId="60" borderId="0" xfId="0" applyFont="1" applyFill="1" applyAlignment="1">
      <alignment horizontal="center" vertical="center"/>
    </xf>
    <xf numFmtId="0" fontId="85" fillId="60" borderId="72" xfId="0" applyFont="1" applyFill="1" applyBorder="1" applyAlignment="1">
      <alignment horizontal="center" vertical="center"/>
    </xf>
    <xf numFmtId="0" fontId="31" fillId="27" borderId="131" xfId="0" applyFont="1" applyFill="1" applyBorder="1" applyAlignment="1">
      <alignment horizontal="center"/>
    </xf>
    <xf numFmtId="0" fontId="31" fillId="27" borderId="6" xfId="0" applyFont="1" applyFill="1" applyBorder="1" applyAlignment="1">
      <alignment horizontal="center"/>
    </xf>
    <xf numFmtId="0" fontId="31" fillId="27" borderId="12" xfId="0" applyFont="1" applyFill="1" applyBorder="1" applyAlignment="1">
      <alignment horizontal="center"/>
    </xf>
    <xf numFmtId="0" fontId="31" fillId="27" borderId="19" xfId="0" applyFont="1" applyFill="1" applyBorder="1" applyAlignment="1">
      <alignment horizontal="center" vertical="center"/>
    </xf>
    <xf numFmtId="0" fontId="31" fillId="27" borderId="20" xfId="0" applyFont="1" applyFill="1" applyBorder="1" applyAlignment="1">
      <alignment horizontal="center" vertical="center"/>
    </xf>
    <xf numFmtId="0" fontId="42" fillId="63" borderId="11" xfId="0" applyFont="1" applyFill="1" applyBorder="1" applyAlignment="1">
      <alignment horizontal="center"/>
    </xf>
    <xf numFmtId="0" fontId="42" fillId="63" borderId="112" xfId="0" applyFont="1" applyFill="1" applyBorder="1" applyAlignment="1">
      <alignment horizontal="center"/>
    </xf>
    <xf numFmtId="165" fontId="70" fillId="63" borderId="98" xfId="0" applyNumberFormat="1" applyFont="1" applyFill="1" applyBorder="1" applyAlignment="1">
      <alignment horizontal="center" vertical="center"/>
    </xf>
    <xf numFmtId="165" fontId="70" fillId="63" borderId="23" xfId="0" applyNumberFormat="1" applyFont="1" applyFill="1" applyBorder="1" applyAlignment="1">
      <alignment horizontal="center" vertical="center"/>
    </xf>
    <xf numFmtId="165" fontId="70" fillId="63" borderId="11" xfId="0" applyNumberFormat="1" applyFont="1" applyFill="1" applyBorder="1" applyAlignment="1">
      <alignment horizontal="center" vertical="center"/>
    </xf>
    <xf numFmtId="165" fontId="70" fillId="63" borderId="112" xfId="0" applyNumberFormat="1" applyFont="1" applyFill="1" applyBorder="1" applyAlignment="1">
      <alignment horizontal="center" vertical="center"/>
    </xf>
    <xf numFmtId="165" fontId="70" fillId="63" borderId="14" xfId="0" applyNumberFormat="1" applyFont="1" applyFill="1" applyBorder="1" applyAlignment="1">
      <alignment horizontal="center" vertical="center"/>
    </xf>
    <xf numFmtId="165" fontId="70" fillId="63" borderId="105" xfId="0" applyNumberFormat="1" applyFont="1" applyFill="1" applyBorder="1" applyAlignment="1">
      <alignment horizontal="center" vertical="center"/>
    </xf>
    <xf numFmtId="165" fontId="70" fillId="63" borderId="78" xfId="0" applyNumberFormat="1" applyFont="1" applyFill="1" applyBorder="1" applyAlignment="1">
      <alignment horizontal="center" vertical="center"/>
    </xf>
    <xf numFmtId="165" fontId="70" fillId="63" borderId="80" xfId="0" applyNumberFormat="1" applyFont="1" applyFill="1" applyBorder="1" applyAlignment="1">
      <alignment horizontal="center" vertical="center"/>
    </xf>
    <xf numFmtId="0" fontId="75" fillId="28" borderId="22" xfId="0" applyFont="1" applyFill="1" applyBorder="1" applyAlignment="1">
      <alignment horizontal="center" vertical="center"/>
    </xf>
    <xf numFmtId="0" fontId="70" fillId="28" borderId="21" xfId="0" applyFont="1" applyFill="1" applyBorder="1" applyAlignment="1">
      <alignment horizontal="center" vertical="center"/>
    </xf>
    <xf numFmtId="0" fontId="70" fillId="28" borderId="27" xfId="0" applyFont="1" applyFill="1" applyBorder="1" applyAlignment="1">
      <alignment horizontal="center" vertical="center"/>
    </xf>
    <xf numFmtId="0" fontId="70" fillId="28" borderId="0" xfId="0" applyFont="1" applyFill="1" applyAlignment="1">
      <alignment horizontal="center" vertical="center"/>
    </xf>
    <xf numFmtId="0" fontId="70" fillId="28" borderId="84" xfId="0" applyFont="1" applyFill="1" applyBorder="1" applyAlignment="1">
      <alignment horizontal="center" vertical="center"/>
    </xf>
    <xf numFmtId="0" fontId="70" fillId="28" borderId="73" xfId="0" applyFont="1" applyFill="1" applyBorder="1" applyAlignment="1">
      <alignment horizontal="center" vertical="center"/>
    </xf>
    <xf numFmtId="0" fontId="64" fillId="27" borderId="88" xfId="0" applyFont="1" applyFill="1" applyBorder="1" applyAlignment="1">
      <alignment horizontal="center" vertical="center" textRotation="180"/>
    </xf>
    <xf numFmtId="0" fontId="64" fillId="27" borderId="89" xfId="0" applyFont="1" applyFill="1" applyBorder="1" applyAlignment="1">
      <alignment horizontal="center" vertical="center" textRotation="180"/>
    </xf>
    <xf numFmtId="0" fontId="64" fillId="27" borderId="90" xfId="0" applyFont="1" applyFill="1" applyBorder="1" applyAlignment="1">
      <alignment horizontal="center" vertical="center" textRotation="180"/>
    </xf>
    <xf numFmtId="164" fontId="51" fillId="63" borderId="18" xfId="0" applyNumberFormat="1" applyFont="1" applyFill="1" applyBorder="1" applyAlignment="1">
      <alignment horizontal="center"/>
    </xf>
    <xf numFmtId="164" fontId="51" fillId="63" borderId="74" xfId="0" applyNumberFormat="1" applyFont="1" applyFill="1" applyBorder="1" applyAlignment="1">
      <alignment horizontal="center"/>
    </xf>
    <xf numFmtId="0" fontId="51" fillId="63" borderId="14" xfId="0" applyFont="1" applyFill="1" applyBorder="1" applyAlignment="1">
      <alignment horizontal="center"/>
    </xf>
    <xf numFmtId="0" fontId="51" fillId="63" borderId="105" xfId="0" applyFont="1" applyFill="1" applyBorder="1" applyAlignment="1">
      <alignment horizontal="center"/>
    </xf>
    <xf numFmtId="0" fontId="64" fillId="63" borderId="14" xfId="0" applyFont="1" applyFill="1" applyBorder="1" applyAlignment="1">
      <alignment horizontal="center" vertical="center"/>
    </xf>
    <xf numFmtId="0" fontId="64" fillId="63" borderId="15" xfId="0" applyFont="1" applyFill="1" applyBorder="1" applyAlignment="1">
      <alignment horizontal="center" vertical="center"/>
    </xf>
    <xf numFmtId="0" fontId="64" fillId="63" borderId="105" xfId="0" applyFont="1" applyFill="1" applyBorder="1" applyAlignment="1">
      <alignment horizontal="center" vertical="center"/>
    </xf>
    <xf numFmtId="0" fontId="64" fillId="63" borderId="8" xfId="0" applyFont="1" applyFill="1" applyBorder="1" applyAlignment="1">
      <alignment horizontal="center" vertical="center"/>
    </xf>
    <xf numFmtId="0" fontId="64" fillId="63" borderId="0" xfId="0" applyFont="1" applyFill="1" applyAlignment="1">
      <alignment horizontal="center" vertical="center"/>
    </xf>
    <xf numFmtId="0" fontId="64" fillId="63" borderId="28" xfId="0" applyFont="1" applyFill="1" applyBorder="1" applyAlignment="1">
      <alignment horizontal="center" vertical="center"/>
    </xf>
    <xf numFmtId="0" fontId="64" fillId="63" borderId="11" xfId="0" applyFont="1" applyFill="1" applyBorder="1" applyAlignment="1">
      <alignment horizontal="center" vertical="center"/>
    </xf>
    <xf numFmtId="0" fontId="64" fillId="63" borderId="6" xfId="0" applyFont="1" applyFill="1" applyBorder="1" applyAlignment="1">
      <alignment horizontal="center" vertical="center"/>
    </xf>
    <xf numFmtId="0" fontId="64" fillId="63" borderId="112" xfId="0" applyFont="1" applyFill="1" applyBorder="1" applyAlignment="1">
      <alignment horizontal="center" vertical="center"/>
    </xf>
    <xf numFmtId="0" fontId="31" fillId="27" borderId="6" xfId="0" applyFont="1" applyFill="1" applyBorder="1" applyAlignment="1">
      <alignment horizontal="center" vertical="center"/>
    </xf>
    <xf numFmtId="0" fontId="71" fillId="63" borderId="8" xfId="0" applyFont="1" applyFill="1" applyBorder="1" applyAlignment="1">
      <alignment horizontal="center" vertical="center"/>
    </xf>
    <xf numFmtId="0" fontId="71" fillId="63" borderId="0" xfId="0" applyFont="1" applyFill="1" applyAlignment="1">
      <alignment horizontal="center" vertical="center"/>
    </xf>
    <xf numFmtId="0" fontId="71" fillId="63" borderId="28" xfId="0" applyFont="1" applyFill="1" applyBorder="1" applyAlignment="1">
      <alignment horizontal="center" vertical="center"/>
    </xf>
    <xf numFmtId="0" fontId="71" fillId="63" borderId="6" xfId="0" applyFont="1" applyFill="1" applyBorder="1" applyAlignment="1">
      <alignment horizontal="center" vertical="center"/>
    </xf>
    <xf numFmtId="0" fontId="71" fillId="63" borderId="112" xfId="0" applyFont="1" applyFill="1" applyBorder="1" applyAlignment="1">
      <alignment horizontal="center" vertical="center"/>
    </xf>
    <xf numFmtId="0" fontId="82" fillId="58" borderId="18" xfId="0" applyFont="1" applyFill="1" applyBorder="1" applyAlignment="1">
      <alignment horizontal="center"/>
    </xf>
    <xf numFmtId="0" fontId="53" fillId="58" borderId="19" xfId="0" applyFont="1" applyFill="1" applyBorder="1" applyAlignment="1">
      <alignment horizontal="center"/>
    </xf>
    <xf numFmtId="0" fontId="53" fillId="58" borderId="74" xfId="0" applyFont="1" applyFill="1" applyBorder="1" applyAlignment="1">
      <alignment horizontal="center"/>
    </xf>
    <xf numFmtId="0" fontId="71" fillId="63" borderId="98" xfId="0" applyFont="1" applyFill="1" applyBorder="1" applyAlignment="1">
      <alignment horizontal="center" vertical="center"/>
    </xf>
    <xf numFmtId="0" fontId="71" fillId="63" borderId="21" xfId="0" applyFont="1" applyFill="1" applyBorder="1" applyAlignment="1">
      <alignment horizontal="center" vertical="center"/>
    </xf>
    <xf numFmtId="0" fontId="71" fillId="63" borderId="23" xfId="0" applyFont="1" applyFill="1" applyBorder="1" applyAlignment="1">
      <alignment horizontal="center" vertical="center"/>
    </xf>
    <xf numFmtId="0" fontId="71" fillId="63" borderId="78" xfId="0" applyFont="1" applyFill="1" applyBorder="1" applyAlignment="1">
      <alignment horizontal="center" vertical="center"/>
    </xf>
    <xf numFmtId="0" fontId="71" fillId="63" borderId="73" xfId="0" applyFont="1" applyFill="1" applyBorder="1" applyAlignment="1">
      <alignment horizontal="center" vertical="center"/>
    </xf>
    <xf numFmtId="0" fontId="71" fillId="63" borderId="80" xfId="0" applyFont="1" applyFill="1" applyBorder="1" applyAlignment="1">
      <alignment horizontal="center" vertical="center"/>
    </xf>
    <xf numFmtId="0" fontId="31" fillId="27" borderId="72" xfId="0" applyFont="1" applyFill="1" applyBorder="1" applyAlignment="1">
      <alignment horizontal="center" vertical="center"/>
    </xf>
    <xf numFmtId="0" fontId="31" fillId="27" borderId="70" xfId="0" applyFont="1" applyFill="1" applyBorder="1" applyAlignment="1">
      <alignment horizontal="center" vertical="center"/>
    </xf>
    <xf numFmtId="0" fontId="51" fillId="63" borderId="19" xfId="0" applyFont="1" applyFill="1" applyBorder="1" applyAlignment="1">
      <alignment horizontal="center"/>
    </xf>
    <xf numFmtId="0" fontId="51" fillId="63" borderId="20" xfId="0" applyFont="1" applyFill="1" applyBorder="1" applyAlignment="1">
      <alignment horizontal="center"/>
    </xf>
    <xf numFmtId="165" fontId="51" fillId="63" borderId="19" xfId="0" applyNumberFormat="1" applyFont="1" applyFill="1" applyBorder="1" applyAlignment="1">
      <alignment horizontal="center"/>
    </xf>
    <xf numFmtId="165" fontId="51" fillId="63" borderId="20" xfId="0" applyNumberFormat="1" applyFont="1" applyFill="1" applyBorder="1" applyAlignment="1">
      <alignment horizontal="center"/>
    </xf>
    <xf numFmtId="0" fontId="64" fillId="27" borderId="0" xfId="0" applyFont="1" applyFill="1" applyAlignment="1">
      <alignment horizontal="center" vertical="center"/>
    </xf>
    <xf numFmtId="0" fontId="64" fillId="27" borderId="9" xfId="0" applyFont="1" applyFill="1" applyBorder="1" applyAlignment="1">
      <alignment horizontal="center" vertical="center"/>
    </xf>
    <xf numFmtId="0" fontId="64" fillId="27" borderId="6" xfId="0" applyFont="1" applyFill="1" applyBorder="1" applyAlignment="1">
      <alignment horizontal="center" vertical="center"/>
    </xf>
    <xf numFmtId="0" fontId="64" fillId="27" borderId="12" xfId="0" applyFont="1" applyFill="1" applyBorder="1" applyAlignment="1">
      <alignment horizontal="center" vertical="center"/>
    </xf>
    <xf numFmtId="0" fontId="64" fillId="61" borderId="11" xfId="0" applyFont="1" applyFill="1" applyBorder="1" applyAlignment="1">
      <alignment horizontal="center" vertical="center"/>
    </xf>
    <xf numFmtId="0" fontId="64" fillId="61" borderId="6" xfId="0" applyFont="1" applyFill="1" applyBorder="1" applyAlignment="1">
      <alignment horizontal="center" vertical="center"/>
    </xf>
    <xf numFmtId="0" fontId="64" fillId="61" borderId="19" xfId="0" applyFont="1" applyFill="1" applyBorder="1" applyAlignment="1">
      <alignment horizontal="center" vertical="center"/>
    </xf>
    <xf numFmtId="0" fontId="64" fillId="61" borderId="20" xfId="0" applyFont="1" applyFill="1" applyBorder="1" applyAlignment="1">
      <alignment horizontal="center" vertical="center"/>
    </xf>
    <xf numFmtId="0" fontId="64" fillId="61" borderId="18" xfId="0" applyFont="1" applyFill="1" applyBorder="1" applyAlignment="1">
      <alignment horizontal="center" vertical="center"/>
    </xf>
    <xf numFmtId="0" fontId="53" fillId="63" borderId="11" xfId="0" applyFont="1" applyFill="1" applyBorder="1" applyAlignment="1">
      <alignment horizontal="center" vertical="center"/>
    </xf>
    <xf numFmtId="0" fontId="53" fillId="63" borderId="6" xfId="0" applyFont="1" applyFill="1" applyBorder="1" applyAlignment="1">
      <alignment horizontal="center" vertical="center"/>
    </xf>
    <xf numFmtId="0" fontId="31" fillId="58" borderId="0" xfId="0" applyFont="1" applyFill="1" applyAlignment="1">
      <alignment horizontal="left" indent="10"/>
    </xf>
    <xf numFmtId="0" fontId="31" fillId="58" borderId="9" xfId="0" applyFont="1" applyFill="1" applyBorder="1" applyAlignment="1">
      <alignment horizontal="left" indent="10"/>
    </xf>
    <xf numFmtId="0" fontId="31" fillId="58" borderId="27" xfId="0" applyFont="1" applyFill="1" applyBorder="1" applyAlignment="1">
      <alignment horizontal="left" indent="8"/>
    </xf>
    <xf numFmtId="0" fontId="31" fillId="58" borderId="0" xfId="0" applyFont="1" applyFill="1" applyAlignment="1">
      <alignment horizontal="left" indent="8"/>
    </xf>
    <xf numFmtId="0" fontId="31" fillId="58" borderId="9" xfId="0" applyFont="1" applyFill="1" applyBorder="1" applyAlignment="1">
      <alignment horizontal="left" indent="8"/>
    </xf>
    <xf numFmtId="0" fontId="31" fillId="58" borderId="0" xfId="0" applyFont="1" applyFill="1" applyAlignment="1">
      <alignment horizontal="left" indent="12"/>
    </xf>
    <xf numFmtId="0" fontId="31" fillId="58" borderId="9" xfId="0" applyFont="1" applyFill="1" applyBorder="1" applyAlignment="1">
      <alignment horizontal="left" indent="12"/>
    </xf>
    <xf numFmtId="0" fontId="31" fillId="58" borderId="27" xfId="0" applyFont="1" applyFill="1" applyBorder="1" applyAlignment="1">
      <alignment horizontal="left" indent="1"/>
    </xf>
    <xf numFmtId="0" fontId="31" fillId="58" borderId="0" xfId="0" applyFont="1" applyFill="1" applyAlignment="1">
      <alignment horizontal="left" indent="1"/>
    </xf>
    <xf numFmtId="0" fontId="42" fillId="63" borderId="18" xfId="0" applyFont="1" applyFill="1" applyBorder="1" applyAlignment="1">
      <alignment horizontal="center"/>
    </xf>
    <xf numFmtId="0" fontId="42" fillId="63" borderId="74" xfId="0" applyFont="1" applyFill="1" applyBorder="1" applyAlignment="1">
      <alignment horizontal="center"/>
    </xf>
    <xf numFmtId="0" fontId="51" fillId="63" borderId="18" xfId="0" applyFont="1" applyFill="1" applyBorder="1" applyAlignment="1">
      <alignment horizontal="center"/>
    </xf>
    <xf numFmtId="0" fontId="51" fillId="63" borderId="74" xfId="0" applyFont="1" applyFill="1" applyBorder="1" applyAlignment="1">
      <alignment horizontal="center"/>
    </xf>
    <xf numFmtId="167" fontId="51" fillId="63" borderId="18" xfId="0" applyNumberFormat="1" applyFont="1" applyFill="1" applyBorder="1" applyAlignment="1">
      <alignment horizontal="center"/>
    </xf>
    <xf numFmtId="167" fontId="51" fillId="63" borderId="74" xfId="0" applyNumberFormat="1" applyFont="1" applyFill="1" applyBorder="1" applyAlignment="1">
      <alignment horizontal="center"/>
    </xf>
    <xf numFmtId="167" fontId="77" fillId="63" borderId="14" xfId="0" applyNumberFormat="1" applyFont="1" applyFill="1" applyBorder="1" applyAlignment="1">
      <alignment horizontal="center" vertical="center"/>
    </xf>
    <xf numFmtId="167" fontId="77" fillId="63" borderId="16" xfId="0" applyNumberFormat="1" applyFont="1" applyFill="1" applyBorder="1" applyAlignment="1">
      <alignment horizontal="center" vertical="center"/>
    </xf>
    <xf numFmtId="167" fontId="77" fillId="63" borderId="78" xfId="0" applyNumberFormat="1" applyFont="1" applyFill="1" applyBorder="1" applyAlignment="1">
      <alignment horizontal="center" vertical="center"/>
    </xf>
    <xf numFmtId="167" fontId="77" fillId="63" borderId="79" xfId="0" applyNumberFormat="1" applyFont="1" applyFill="1" applyBorder="1" applyAlignment="1">
      <alignment horizontal="center" vertical="center"/>
    </xf>
    <xf numFmtId="165" fontId="70" fillId="63" borderId="24" xfId="0" applyNumberFormat="1" applyFont="1" applyFill="1" applyBorder="1" applyAlignment="1">
      <alignment horizontal="center" vertical="center"/>
    </xf>
    <xf numFmtId="165" fontId="70" fillId="63" borderId="25" xfId="0" applyNumberFormat="1" applyFont="1" applyFill="1" applyBorder="1" applyAlignment="1">
      <alignment horizontal="center" vertical="center"/>
    </xf>
    <xf numFmtId="165" fontId="70" fillId="63" borderId="132" xfId="0" applyNumberFormat="1" applyFont="1" applyFill="1" applyBorder="1" applyAlignment="1">
      <alignment horizontal="center" vertical="center"/>
    </xf>
    <xf numFmtId="165" fontId="70" fillId="63" borderId="133" xfId="0" applyNumberFormat="1" applyFont="1" applyFill="1" applyBorder="1" applyAlignment="1">
      <alignment horizontal="center" vertical="center"/>
    </xf>
    <xf numFmtId="165" fontId="70" fillId="63" borderId="134" xfId="0" applyNumberFormat="1" applyFont="1" applyFill="1" applyBorder="1" applyAlignment="1">
      <alignment horizontal="center" vertical="center"/>
    </xf>
    <xf numFmtId="165" fontId="70" fillId="63" borderId="135" xfId="0" applyNumberFormat="1" applyFont="1" applyFill="1" applyBorder="1" applyAlignment="1">
      <alignment horizontal="center" vertical="center"/>
    </xf>
    <xf numFmtId="0" fontId="76" fillId="63" borderId="15" xfId="0" applyFont="1" applyFill="1" applyBorder="1" applyAlignment="1">
      <alignment horizontal="center" vertical="center"/>
    </xf>
    <xf numFmtId="0" fontId="76" fillId="63" borderId="16" xfId="0" applyFont="1" applyFill="1" applyBorder="1" applyAlignment="1">
      <alignment horizontal="center" vertical="center"/>
    </xf>
    <xf numFmtId="0" fontId="76" fillId="63" borderId="6" xfId="0" applyFont="1" applyFill="1" applyBorder="1" applyAlignment="1">
      <alignment horizontal="center" vertical="center"/>
    </xf>
    <xf numFmtId="0" fontId="76" fillId="63" borderId="12" xfId="0" applyFont="1" applyFill="1" applyBorder="1" applyAlignment="1">
      <alignment horizontal="center" vertical="center"/>
    </xf>
    <xf numFmtId="0" fontId="31" fillId="58" borderId="70" xfId="0" applyFont="1" applyFill="1" applyBorder="1" applyAlignment="1">
      <alignment horizontal="left" indent="1"/>
    </xf>
    <xf numFmtId="0" fontId="31" fillId="58" borderId="71" xfId="0" applyFont="1" applyFill="1" applyBorder="1" applyAlignment="1">
      <alignment horizontal="left" indent="1"/>
    </xf>
    <xf numFmtId="0" fontId="31" fillId="58" borderId="72" xfId="0" applyFont="1" applyFill="1" applyBorder="1" applyAlignment="1">
      <alignment horizontal="left" indent="1"/>
    </xf>
    <xf numFmtId="0" fontId="51" fillId="28" borderId="22" xfId="0" applyFont="1" applyFill="1" applyBorder="1" applyAlignment="1">
      <alignment horizontal="center"/>
    </xf>
    <xf numFmtId="0" fontId="51" fillId="28" borderId="21" xfId="0" applyFont="1" applyFill="1" applyBorder="1" applyAlignment="1">
      <alignment horizontal="center"/>
    </xf>
    <xf numFmtId="0" fontId="51" fillId="28" borderId="23" xfId="0" applyFont="1" applyFill="1" applyBorder="1" applyAlignment="1">
      <alignment horizontal="center"/>
    </xf>
    <xf numFmtId="0" fontId="76" fillId="63" borderId="109" xfId="0" applyFont="1" applyFill="1" applyBorder="1" applyAlignment="1">
      <alignment horizontal="center" vertical="center"/>
    </xf>
    <xf numFmtId="0" fontId="76" fillId="63" borderId="27" xfId="0" applyFont="1" applyFill="1" applyBorder="1" applyAlignment="1">
      <alignment horizontal="center" vertical="center"/>
    </xf>
    <xf numFmtId="0" fontId="76" fillId="63" borderId="9" xfId="0" applyFont="1" applyFill="1" applyBorder="1" applyAlignment="1">
      <alignment horizontal="center" vertical="center"/>
    </xf>
    <xf numFmtId="0" fontId="76" fillId="63" borderId="131" xfId="0" applyFont="1" applyFill="1" applyBorder="1" applyAlignment="1">
      <alignment horizontal="center" vertical="center"/>
    </xf>
    <xf numFmtId="0" fontId="69" fillId="27" borderId="98" xfId="0" applyFont="1" applyFill="1" applyBorder="1" applyAlignment="1">
      <alignment horizontal="center"/>
    </xf>
    <xf numFmtId="0" fontId="69" fillId="27" borderId="99" xfId="0" applyFont="1" applyFill="1" applyBorder="1" applyAlignment="1">
      <alignment horizontal="center"/>
    </xf>
    <xf numFmtId="0" fontId="69" fillId="27" borderId="8" xfId="0" applyFont="1" applyFill="1" applyBorder="1" applyAlignment="1">
      <alignment horizontal="center"/>
    </xf>
    <xf numFmtId="0" fontId="69" fillId="27" borderId="0" xfId="0" applyFont="1" applyFill="1" applyAlignment="1">
      <alignment horizontal="center"/>
    </xf>
    <xf numFmtId="0" fontId="78" fillId="28" borderId="70" xfId="0" applyFont="1" applyFill="1" applyBorder="1" applyAlignment="1">
      <alignment horizontal="center"/>
    </xf>
    <xf numFmtId="0" fontId="78" fillId="28" borderId="71" xfId="0" applyFont="1" applyFill="1" applyBorder="1" applyAlignment="1">
      <alignment horizontal="center"/>
    </xf>
    <xf numFmtId="0" fontId="78" fillId="28" borderId="72" xfId="0" applyFont="1" applyFill="1" applyBorder="1" applyAlignment="1">
      <alignment horizontal="center"/>
    </xf>
    <xf numFmtId="0" fontId="79" fillId="28" borderId="70" xfId="0" applyFont="1" applyFill="1" applyBorder="1" applyAlignment="1">
      <alignment horizontal="center"/>
    </xf>
    <xf numFmtId="0" fontId="79" fillId="28" borderId="72" xfId="0" applyFont="1" applyFill="1" applyBorder="1" applyAlignment="1">
      <alignment horizontal="center"/>
    </xf>
    <xf numFmtId="165" fontId="70" fillId="63" borderId="8" xfId="0" applyNumberFormat="1" applyFont="1" applyFill="1" applyBorder="1" applyAlignment="1">
      <alignment horizontal="center" vertical="center"/>
    </xf>
    <xf numFmtId="165" fontId="70" fillId="63" borderId="0" xfId="0" applyNumberFormat="1" applyFont="1" applyFill="1" applyAlignment="1">
      <alignment horizontal="center" vertical="center"/>
    </xf>
    <xf numFmtId="165" fontId="70" fillId="63" borderId="28" xfId="0" applyNumberFormat="1" applyFont="1" applyFill="1" applyBorder="1" applyAlignment="1">
      <alignment horizontal="center" vertical="center"/>
    </xf>
    <xf numFmtId="165" fontId="70" fillId="63" borderId="6" xfId="0" applyNumberFormat="1" applyFont="1" applyFill="1" applyBorder="1" applyAlignment="1">
      <alignment horizontal="center" vertical="center"/>
    </xf>
    <xf numFmtId="0" fontId="64" fillId="27" borderId="18" xfId="0" applyFont="1" applyFill="1" applyBorder="1" applyAlignment="1">
      <alignment horizontal="center" vertical="center"/>
    </xf>
    <xf numFmtId="0" fontId="64" fillId="27" borderId="20" xfId="0" applyFont="1" applyFill="1" applyBorder="1" applyAlignment="1">
      <alignment horizontal="center" vertical="center"/>
    </xf>
    <xf numFmtId="2" fontId="51" fillId="63" borderId="13" xfId="0" applyNumberFormat="1" applyFont="1" applyFill="1" applyBorder="1" applyAlignment="1">
      <alignment horizontal="center" vertical="center"/>
    </xf>
    <xf numFmtId="2" fontId="51" fillId="63" borderId="7" xfId="0" applyNumberFormat="1" applyFont="1" applyFill="1" applyBorder="1" applyAlignment="1">
      <alignment horizontal="center" vertical="center"/>
    </xf>
    <xf numFmtId="0" fontId="51" fillId="63" borderId="13" xfId="0" applyFont="1" applyFill="1" applyBorder="1" applyAlignment="1">
      <alignment horizontal="center" vertical="center"/>
    </xf>
    <xf numFmtId="0" fontId="83" fillId="58" borderId="22" xfId="0" applyFont="1" applyFill="1" applyBorder="1" applyAlignment="1">
      <alignment horizontal="center" vertical="top"/>
    </xf>
    <xf numFmtId="0" fontId="83" fillId="58" borderId="21" xfId="0" applyFont="1" applyFill="1" applyBorder="1" applyAlignment="1">
      <alignment horizontal="center" vertical="top"/>
    </xf>
    <xf numFmtId="166" fontId="51" fillId="63" borderId="18" xfId="0" applyNumberFormat="1" applyFont="1" applyFill="1" applyBorder="1" applyAlignment="1">
      <alignment horizontal="center" vertical="center"/>
    </xf>
    <xf numFmtId="166" fontId="51" fillId="63" borderId="20" xfId="0" applyNumberFormat="1" applyFont="1" applyFill="1" applyBorder="1" applyAlignment="1">
      <alignment horizontal="center" vertical="center"/>
    </xf>
    <xf numFmtId="0" fontId="64" fillId="22" borderId="84" xfId="0" applyFont="1" applyFill="1" applyBorder="1" applyAlignment="1">
      <alignment horizontal="center" vertical="center"/>
    </xf>
    <xf numFmtId="0" fontId="64" fillId="22" borderId="73" xfId="0" applyFont="1" applyFill="1" applyBorder="1" applyAlignment="1">
      <alignment horizontal="center" vertical="center"/>
    </xf>
    <xf numFmtId="165" fontId="51" fillId="63" borderId="12" xfId="0" applyNumberFormat="1" applyFont="1" applyFill="1" applyBorder="1" applyAlignment="1">
      <alignment horizontal="center" vertical="center"/>
    </xf>
    <xf numFmtId="0" fontId="72" fillId="7" borderId="8" xfId="0" applyFont="1" applyFill="1" applyBorder="1" applyAlignment="1">
      <alignment horizontal="center" vertical="center"/>
    </xf>
    <xf numFmtId="0" fontId="72" fillId="7" borderId="0" xfId="0" applyFont="1" applyFill="1" applyAlignment="1">
      <alignment horizontal="center" vertical="center"/>
    </xf>
    <xf numFmtId="0" fontId="72" fillId="7" borderId="28" xfId="0" applyFont="1" applyFill="1" applyBorder="1" applyAlignment="1">
      <alignment horizontal="center" vertical="center"/>
    </xf>
    <xf numFmtId="0" fontId="72" fillId="7" borderId="11" xfId="0" applyFont="1" applyFill="1" applyBorder="1" applyAlignment="1">
      <alignment horizontal="center" vertical="center"/>
    </xf>
    <xf numFmtId="0" fontId="72" fillId="7" borderId="6" xfId="0" applyFont="1" applyFill="1" applyBorder="1" applyAlignment="1">
      <alignment horizontal="center" vertical="center"/>
    </xf>
    <xf numFmtId="0" fontId="72" fillId="7" borderId="112" xfId="0" applyFont="1" applyFill="1" applyBorder="1" applyAlignment="1">
      <alignment horizontal="center" vertical="center"/>
    </xf>
    <xf numFmtId="0" fontId="64" fillId="58" borderId="0" xfId="0" applyFont="1" applyFill="1" applyAlignment="1">
      <alignment horizontal="left" vertical="center" indent="5"/>
    </xf>
    <xf numFmtId="0" fontId="64" fillId="58" borderId="9" xfId="0" applyFont="1" applyFill="1" applyBorder="1" applyAlignment="1">
      <alignment horizontal="left" vertical="center" indent="5"/>
    </xf>
    <xf numFmtId="0" fontId="72" fillId="66" borderId="14" xfId="0" applyFont="1" applyFill="1" applyBorder="1" applyAlignment="1">
      <alignment horizontal="center" vertical="center"/>
    </xf>
    <xf numFmtId="0" fontId="72" fillId="66" borderId="15" xfId="0" applyFont="1" applyFill="1" applyBorder="1" applyAlignment="1">
      <alignment horizontal="center" vertical="center"/>
    </xf>
    <xf numFmtId="0" fontId="72" fillId="66" borderId="105" xfId="0" applyFont="1" applyFill="1" applyBorder="1" applyAlignment="1">
      <alignment horizontal="center" vertical="center"/>
    </xf>
    <xf numFmtId="0" fontId="72" fillId="66" borderId="11" xfId="0" applyFont="1" applyFill="1" applyBorder="1" applyAlignment="1">
      <alignment horizontal="center" vertical="center"/>
    </xf>
    <xf numFmtId="0" fontId="72" fillId="66" borderId="6" xfId="0" applyFont="1" applyFill="1" applyBorder="1" applyAlignment="1">
      <alignment horizontal="center" vertical="center"/>
    </xf>
    <xf numFmtId="0" fontId="72" fillId="66" borderId="112" xfId="0" applyFont="1" applyFill="1" applyBorder="1" applyAlignment="1">
      <alignment horizontal="center" vertical="center"/>
    </xf>
    <xf numFmtId="0" fontId="31" fillId="58" borderId="27" xfId="0" applyFont="1" applyFill="1" applyBorder="1" applyAlignment="1">
      <alignment horizontal="left" indent="7"/>
    </xf>
    <xf numFmtId="0" fontId="31" fillId="58" borderId="9" xfId="0" applyFont="1" applyFill="1" applyBorder="1" applyAlignment="1">
      <alignment horizontal="left" indent="7"/>
    </xf>
    <xf numFmtId="0" fontId="51" fillId="58" borderId="0" xfId="0" applyFont="1" applyFill="1" applyAlignment="1">
      <alignment horizontal="left" indent="10"/>
    </xf>
    <xf numFmtId="0" fontId="51" fillId="58" borderId="9" xfId="0" applyFont="1" applyFill="1" applyBorder="1" applyAlignment="1">
      <alignment horizontal="left" indent="10"/>
    </xf>
    <xf numFmtId="0" fontId="29" fillId="43" borderId="88" xfId="0" applyFont="1" applyFill="1" applyBorder="1" applyAlignment="1">
      <alignment horizontal="center" vertical="center" wrapText="1"/>
    </xf>
  </cellXfs>
  <cellStyles count="15">
    <cellStyle name="Normal" xfId="0" builtinId="0"/>
    <cellStyle name="Normal 2" xfId="3" xr:uid="{00000000-0005-0000-0000-000002000000}"/>
    <cellStyle name="Normal 2 2" xfId="10" xr:uid="{00000000-0005-0000-0000-000003000000}"/>
    <cellStyle name="Normal 3" xfId="5" xr:uid="{00000000-0005-0000-0000-000004000000}"/>
    <cellStyle name="Normal 4" xfId="6" xr:uid="{00000000-0005-0000-0000-000005000000}"/>
    <cellStyle name="Normal 5" xfId="7" xr:uid="{00000000-0005-0000-0000-000006000000}"/>
    <cellStyle name="Normal 6" xfId="1" xr:uid="{00000000-0005-0000-0000-000007000000}"/>
    <cellStyle name="Normal 7" xfId="8" xr:uid="{00000000-0005-0000-0000-000008000000}"/>
    <cellStyle name="Normal 7 2" xfId="12" xr:uid="{00000000-0005-0000-0000-000009000000}"/>
    <cellStyle name="Normal 8" xfId="13" xr:uid="{00000000-0005-0000-0000-00000A000000}"/>
    <cellStyle name="Normal 8 2" xfId="14" xr:uid="{00000000-0005-0000-0000-00000B000000}"/>
    <cellStyle name="Note 2" xfId="4" xr:uid="{00000000-0005-0000-0000-00000C000000}"/>
    <cellStyle name="Note 2 2" xfId="11" xr:uid="{00000000-0005-0000-0000-00000D000000}"/>
    <cellStyle name="Note 3" xfId="2" xr:uid="{00000000-0005-0000-0000-00000E000000}"/>
    <cellStyle name="Note 3 2" xfId="9" xr:uid="{00000000-0005-0000-0000-00000F000000}"/>
  </cellStyles>
  <dxfs count="6">
    <dxf>
      <fill>
        <patternFill>
          <bgColor rgb="FF42EB35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2FF138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DF0D1"/>
      <color rgb="FFFFF8E3"/>
      <color rgb="FFFFEFEF"/>
      <color rgb="FFFFFFB9"/>
      <color rgb="FFD1EBFF"/>
      <color rgb="FFA3D8FF"/>
      <color rgb="FFFF76CE"/>
      <color rgb="FFDEC8EE"/>
      <color rgb="FFC5FBC8"/>
      <color rgb="FFFFCF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405817</xdr:colOff>
      <xdr:row>53</xdr:row>
      <xdr:rowOff>186851</xdr:rowOff>
    </xdr:from>
    <xdr:to>
      <xdr:col>15</xdr:col>
      <xdr:colOff>537195</xdr:colOff>
      <xdr:row>55</xdr:row>
      <xdr:rowOff>8759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E6EBAF6-013A-B900-9BBC-7968CA91307C}"/>
            </a:ext>
          </a:extLst>
        </xdr:cNvPr>
        <xdr:cNvSpPr txBox="1"/>
      </xdr:nvSpPr>
      <xdr:spPr>
        <a:xfrm>
          <a:off x="1016001" y="10384805"/>
          <a:ext cx="131378" cy="21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 sz="1100"/>
        </a:p>
      </xdr:txBody>
    </xdr:sp>
    <xdr:clientData/>
  </xdr:twoCellAnchor>
  <xdr:twoCellAnchor editAs="oneCell">
    <xdr:from>
      <xdr:col>13</xdr:col>
      <xdr:colOff>179294</xdr:colOff>
      <xdr:row>19</xdr:row>
      <xdr:rowOff>242048</xdr:rowOff>
    </xdr:from>
    <xdr:to>
      <xdr:col>17</xdr:col>
      <xdr:colOff>645459</xdr:colOff>
      <xdr:row>29</xdr:row>
      <xdr:rowOff>177054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E65413A-5457-399E-1824-94FF976C3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7050" y="4604299"/>
          <a:ext cx="3206178" cy="2445615"/>
        </a:xfrm>
        <a:prstGeom prst="rect">
          <a:avLst/>
        </a:prstGeom>
      </xdr:spPr>
    </xdr:pic>
    <xdr:clientData/>
  </xdr:twoCellAnchor>
  <xdr:twoCellAnchor>
    <xdr:from>
      <xdr:col>15</xdr:col>
      <xdr:colOff>804153</xdr:colOff>
      <xdr:row>22</xdr:row>
      <xdr:rowOff>81063</xdr:rowOff>
    </xdr:from>
    <xdr:to>
      <xdr:col>15</xdr:col>
      <xdr:colOff>804153</xdr:colOff>
      <xdr:row>27</xdr:row>
      <xdr:rowOff>16213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44748C4-D8E8-D22B-98EA-B2F4E38E44A5}"/>
            </a:ext>
          </a:extLst>
        </xdr:cNvPr>
        <xdr:cNvCxnSpPr/>
      </xdr:nvCxnSpPr>
      <xdr:spPr>
        <a:xfrm>
          <a:off x="10450749" y="5142689"/>
          <a:ext cx="0" cy="1293779"/>
        </a:xfrm>
        <a:prstGeom prst="line">
          <a:avLst/>
        </a:prstGeom>
        <a:ln w="635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661108</xdr:colOff>
      <xdr:row>25</xdr:row>
      <xdr:rowOff>148682</xdr:rowOff>
    </xdr:from>
    <xdr:to>
      <xdr:col>15</xdr:col>
      <xdr:colOff>807136</xdr:colOff>
      <xdr:row>26</xdr:row>
      <xdr:rowOff>92927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D0554A10-F02E-9B1C-5868-E55A8479E9DF}"/>
            </a:ext>
          </a:extLst>
        </xdr:cNvPr>
        <xdr:cNvCxnSpPr/>
      </xdr:nvCxnSpPr>
      <xdr:spPr>
        <a:xfrm flipH="1">
          <a:off x="10320188" y="6019003"/>
          <a:ext cx="146028" cy="204440"/>
        </a:xfrm>
        <a:prstGeom prst="line">
          <a:avLst/>
        </a:prstGeom>
        <a:ln w="6350">
          <a:solidFill>
            <a:srgbClr val="007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664029</xdr:colOff>
      <xdr:row>26</xdr:row>
      <xdr:rowOff>95250</xdr:rowOff>
    </xdr:from>
    <xdr:to>
      <xdr:col>15</xdr:col>
      <xdr:colOff>664029</xdr:colOff>
      <xdr:row>27</xdr:row>
      <xdr:rowOff>8164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4167C1CC-758C-9D4F-7DB0-9DCEBA0AB7A6}"/>
            </a:ext>
          </a:extLst>
        </xdr:cNvPr>
        <xdr:cNvCxnSpPr/>
      </xdr:nvCxnSpPr>
      <xdr:spPr>
        <a:xfrm>
          <a:off x="10311493" y="6218464"/>
          <a:ext cx="0" cy="201386"/>
        </a:xfrm>
        <a:prstGeom prst="line">
          <a:avLst/>
        </a:prstGeom>
        <a:ln w="635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ton\Downloads\Steel-Design-Final-Project.xlsx" TargetMode="External"/><Relationship Id="rId1" Type="http://schemas.openxmlformats.org/officeDocument/2006/relationships/externalLinkPath" Target="/Users/toton/Downloads/Steel-Design-Final-Projec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ton\Downloads\Steel-Design-Project-Jason-Shaine-Kyla%20(1).xlsx" TargetMode="External"/><Relationship Id="rId1" Type="http://schemas.openxmlformats.org/officeDocument/2006/relationships/externalLinkPath" Target="/Users/owen/Downloads/Steel-Design-Project-Jason-Shaine-Kyla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base 1"/>
      <sheetName val="Tension Analysis &amp; Design"/>
      <sheetName val="Bolted &amp; Welded Connections"/>
      <sheetName val="Bending,Shear, &amp; Deflection"/>
    </sheetNames>
    <sheetDataSet>
      <sheetData sheetId="0">
        <row r="2">
          <cell r="C2" t="str">
            <v>L12X12X1-3/8</v>
          </cell>
          <cell r="D2" t="str">
            <v>F</v>
          </cell>
          <cell r="E2">
            <v>105</v>
          </cell>
          <cell r="F2">
            <v>31.1</v>
          </cell>
          <cell r="G2" t="str">
            <v>L12X12X1-3/8</v>
          </cell>
          <cell r="H2">
            <v>12</v>
          </cell>
          <cell r="I2" t="str">
            <v>–</v>
          </cell>
          <cell r="J2" t="str">
            <v>–</v>
          </cell>
          <cell r="K2" t="str">
            <v>–</v>
          </cell>
          <cell r="L2" t="str">
            <v>–</v>
          </cell>
          <cell r="M2" t="str">
            <v>–</v>
          </cell>
          <cell r="N2" t="str">
            <v>–</v>
          </cell>
          <cell r="O2" t="str">
            <v>–</v>
          </cell>
          <cell r="P2">
            <v>12</v>
          </cell>
          <cell r="Q2" t="str">
            <v>–</v>
          </cell>
          <cell r="R2" t="str">
            <v>–</v>
          </cell>
          <cell r="S2" t="str">
            <v>–</v>
          </cell>
          <cell r="T2" t="str">
            <v>–</v>
          </cell>
          <cell r="U2" t="str">
            <v>–</v>
          </cell>
          <cell r="V2" t="str">
            <v>–</v>
          </cell>
          <cell r="W2">
            <v>1.38</v>
          </cell>
          <cell r="X2" t="str">
            <v>–</v>
          </cell>
          <cell r="Y2" t="str">
            <v>–</v>
          </cell>
          <cell r="Z2">
            <v>2.09</v>
          </cell>
          <cell r="AA2">
            <v>2.0625</v>
          </cell>
          <cell r="AB2" t="str">
            <v>–</v>
          </cell>
          <cell r="AC2">
            <v>3.5</v>
          </cell>
          <cell r="AD2">
            <v>3.5</v>
          </cell>
          <cell r="AE2" t="str">
            <v>–</v>
          </cell>
          <cell r="AF2">
            <v>1.3</v>
          </cell>
          <cell r="AG2">
            <v>1.3</v>
          </cell>
          <cell r="AH2" t="str">
            <v>–</v>
          </cell>
          <cell r="AI2">
            <v>8.6999999999999993</v>
          </cell>
          <cell r="AJ2" t="str">
            <v>–</v>
          </cell>
          <cell r="AK2" t="str">
            <v>–</v>
          </cell>
          <cell r="AL2" t="str">
            <v>–</v>
          </cell>
          <cell r="AM2" t="str">
            <v>–</v>
          </cell>
          <cell r="AN2">
            <v>413</v>
          </cell>
          <cell r="AO2">
            <v>88.1</v>
          </cell>
          <cell r="AP2">
            <v>48.6</v>
          </cell>
          <cell r="AQ2">
            <v>3.64</v>
          </cell>
          <cell r="AR2">
            <v>413</v>
          </cell>
          <cell r="AS2">
            <v>88.1</v>
          </cell>
          <cell r="AT2">
            <v>48.6</v>
          </cell>
          <cell r="AU2">
            <v>3.64</v>
          </cell>
          <cell r="AV2">
            <v>165</v>
          </cell>
        </row>
        <row r="3">
          <cell r="C3" t="str">
            <v>L12X12X1-1/4</v>
          </cell>
          <cell r="D3" t="str">
            <v>F</v>
          </cell>
          <cell r="E3">
            <v>96.4</v>
          </cell>
          <cell r="F3">
            <v>28.4</v>
          </cell>
          <cell r="G3" t="str">
            <v>L12X12X1-1/4</v>
          </cell>
          <cell r="H3">
            <v>12</v>
          </cell>
          <cell r="I3" t="str">
            <v>–</v>
          </cell>
          <cell r="J3" t="str">
            <v>–</v>
          </cell>
          <cell r="K3" t="str">
            <v>–</v>
          </cell>
          <cell r="L3" t="str">
            <v>–</v>
          </cell>
          <cell r="M3" t="str">
            <v>–</v>
          </cell>
          <cell r="N3" t="str">
            <v>–</v>
          </cell>
          <cell r="O3" t="str">
            <v>–</v>
          </cell>
          <cell r="P3">
            <v>12</v>
          </cell>
          <cell r="Q3" t="str">
            <v>–</v>
          </cell>
          <cell r="R3" t="str">
            <v>–</v>
          </cell>
          <cell r="S3" t="str">
            <v>–</v>
          </cell>
          <cell r="T3" t="str">
            <v>–</v>
          </cell>
          <cell r="U3" t="str">
            <v>–</v>
          </cell>
          <cell r="V3" t="str">
            <v>–</v>
          </cell>
          <cell r="W3">
            <v>1.25</v>
          </cell>
          <cell r="X3" t="str">
            <v>–</v>
          </cell>
          <cell r="Y3" t="str">
            <v>–</v>
          </cell>
          <cell r="Z3">
            <v>1.96</v>
          </cell>
          <cell r="AA3">
            <v>1.9375</v>
          </cell>
          <cell r="AB3" t="str">
            <v>–</v>
          </cell>
          <cell r="AC3">
            <v>3.45</v>
          </cell>
          <cell r="AD3">
            <v>3.45</v>
          </cell>
          <cell r="AE3" t="str">
            <v>–</v>
          </cell>
          <cell r="AF3">
            <v>1.18</v>
          </cell>
          <cell r="AG3">
            <v>1.18</v>
          </cell>
          <cell r="AH3" t="str">
            <v>–</v>
          </cell>
          <cell r="AI3">
            <v>9.6</v>
          </cell>
          <cell r="AJ3" t="str">
            <v>–</v>
          </cell>
          <cell r="AK3" t="str">
            <v>–</v>
          </cell>
          <cell r="AL3" t="str">
            <v>–</v>
          </cell>
          <cell r="AM3" t="str">
            <v>–</v>
          </cell>
          <cell r="AN3">
            <v>381</v>
          </cell>
          <cell r="AO3">
            <v>80.7</v>
          </cell>
          <cell r="AP3">
            <v>44.6</v>
          </cell>
          <cell r="AQ3">
            <v>3.66</v>
          </cell>
          <cell r="AR3">
            <v>381</v>
          </cell>
          <cell r="AS3">
            <v>80.7</v>
          </cell>
          <cell r="AT3">
            <v>44.6</v>
          </cell>
          <cell r="AU3">
            <v>3.66</v>
          </cell>
          <cell r="AV3">
            <v>152</v>
          </cell>
          <cell r="CL3" t="str">
            <v>A36</v>
          </cell>
          <cell r="CM3" t="str">
            <v>-</v>
          </cell>
          <cell r="CN3">
            <v>36</v>
          </cell>
          <cell r="CO3">
            <v>58</v>
          </cell>
          <cell r="DS3" t="str">
            <v>W36X925</v>
          </cell>
          <cell r="DT3">
            <v>4130</v>
          </cell>
          <cell r="DU3">
            <v>925</v>
          </cell>
          <cell r="DV3">
            <v>4130</v>
          </cell>
        </row>
        <row r="4">
          <cell r="C4" t="str">
            <v>L12X12X1-1/8</v>
          </cell>
          <cell r="D4" t="str">
            <v>F</v>
          </cell>
          <cell r="E4">
            <v>87.2</v>
          </cell>
          <cell r="F4">
            <v>25.8</v>
          </cell>
          <cell r="G4" t="str">
            <v>L12X12X1-1/8</v>
          </cell>
          <cell r="H4">
            <v>12</v>
          </cell>
          <cell r="I4" t="str">
            <v>–</v>
          </cell>
          <cell r="J4" t="str">
            <v>–</v>
          </cell>
          <cell r="K4" t="str">
            <v>–</v>
          </cell>
          <cell r="L4" t="str">
            <v>–</v>
          </cell>
          <cell r="M4" t="str">
            <v>–</v>
          </cell>
          <cell r="N4" t="str">
            <v>–</v>
          </cell>
          <cell r="O4" t="str">
            <v>–</v>
          </cell>
          <cell r="P4">
            <v>12</v>
          </cell>
          <cell r="Q4" t="str">
            <v>–</v>
          </cell>
          <cell r="R4" t="str">
            <v>–</v>
          </cell>
          <cell r="S4" t="str">
            <v>–</v>
          </cell>
          <cell r="T4" t="str">
            <v>–</v>
          </cell>
          <cell r="U4" t="str">
            <v>–</v>
          </cell>
          <cell r="V4" t="str">
            <v>–</v>
          </cell>
          <cell r="W4">
            <v>1.1299999999999999</v>
          </cell>
          <cell r="X4" t="str">
            <v>–</v>
          </cell>
          <cell r="Y4" t="str">
            <v>–</v>
          </cell>
          <cell r="Z4">
            <v>1.84</v>
          </cell>
          <cell r="AA4">
            <v>1.8125</v>
          </cell>
          <cell r="AB4" t="str">
            <v>–</v>
          </cell>
          <cell r="AC4">
            <v>3.41</v>
          </cell>
          <cell r="AD4">
            <v>3.41</v>
          </cell>
          <cell r="AE4" t="str">
            <v>–</v>
          </cell>
          <cell r="AF4">
            <v>1.08</v>
          </cell>
          <cell r="AG4">
            <v>1.08</v>
          </cell>
          <cell r="AH4" t="str">
            <v>–</v>
          </cell>
          <cell r="AI4">
            <v>10.6</v>
          </cell>
          <cell r="AJ4" t="str">
            <v>–</v>
          </cell>
          <cell r="AK4" t="str">
            <v>–</v>
          </cell>
          <cell r="AL4" t="str">
            <v>–</v>
          </cell>
          <cell r="AM4" t="str">
            <v>–</v>
          </cell>
          <cell r="AN4">
            <v>350</v>
          </cell>
          <cell r="AO4">
            <v>73.7</v>
          </cell>
          <cell r="AP4">
            <v>40.700000000000003</v>
          </cell>
          <cell r="AQ4">
            <v>3.68</v>
          </cell>
          <cell r="AR4">
            <v>350</v>
          </cell>
          <cell r="AS4">
            <v>73.7</v>
          </cell>
          <cell r="AT4">
            <v>40.700000000000003</v>
          </cell>
          <cell r="AU4">
            <v>3.68</v>
          </cell>
          <cell r="AV4">
            <v>140</v>
          </cell>
          <cell r="CL4" t="str">
            <v>A53 Gr. B</v>
          </cell>
          <cell r="CM4" t="str">
            <v>Gr. B</v>
          </cell>
          <cell r="CN4">
            <v>35</v>
          </cell>
          <cell r="CO4">
            <v>60</v>
          </cell>
          <cell r="DS4" t="str">
            <v>W36X853</v>
          </cell>
          <cell r="DT4">
            <v>3920</v>
          </cell>
          <cell r="DU4">
            <v>853</v>
          </cell>
          <cell r="DV4">
            <v>3920</v>
          </cell>
        </row>
        <row r="5">
          <cell r="C5" t="str">
            <v>L12X12X1</v>
          </cell>
          <cell r="D5" t="str">
            <v>F</v>
          </cell>
          <cell r="E5">
            <v>77.8</v>
          </cell>
          <cell r="F5">
            <v>23</v>
          </cell>
          <cell r="G5" t="str">
            <v>L12X12X1</v>
          </cell>
          <cell r="H5">
            <v>12</v>
          </cell>
          <cell r="I5" t="str">
            <v>–</v>
          </cell>
          <cell r="J5" t="str">
            <v>–</v>
          </cell>
          <cell r="K5" t="str">
            <v>–</v>
          </cell>
          <cell r="L5" t="str">
            <v>–</v>
          </cell>
          <cell r="M5" t="str">
            <v>–</v>
          </cell>
          <cell r="N5" t="str">
            <v>–</v>
          </cell>
          <cell r="O5" t="str">
            <v>–</v>
          </cell>
          <cell r="P5">
            <v>12</v>
          </cell>
          <cell r="Q5" t="str">
            <v>–</v>
          </cell>
          <cell r="R5" t="str">
            <v>–</v>
          </cell>
          <cell r="S5" t="str">
            <v>–</v>
          </cell>
          <cell r="T5" t="str">
            <v>–</v>
          </cell>
          <cell r="U5" t="str">
            <v>–</v>
          </cell>
          <cell r="V5" t="str">
            <v>–</v>
          </cell>
          <cell r="W5">
            <v>1</v>
          </cell>
          <cell r="X5" t="str">
            <v>–</v>
          </cell>
          <cell r="Y5" t="str">
            <v>–</v>
          </cell>
          <cell r="Z5">
            <v>1.71</v>
          </cell>
          <cell r="AA5">
            <v>1.6875</v>
          </cell>
          <cell r="AB5" t="str">
            <v>–</v>
          </cell>
          <cell r="AC5">
            <v>3.36</v>
          </cell>
          <cell r="AD5">
            <v>3.36</v>
          </cell>
          <cell r="AE5" t="str">
            <v>–</v>
          </cell>
          <cell r="AF5">
            <v>0.95799999999999996</v>
          </cell>
          <cell r="AG5">
            <v>0.95799999999999996</v>
          </cell>
          <cell r="AH5" t="str">
            <v>–</v>
          </cell>
          <cell r="AI5">
            <v>12</v>
          </cell>
          <cell r="AJ5" t="str">
            <v>–</v>
          </cell>
          <cell r="AK5" t="str">
            <v>–</v>
          </cell>
          <cell r="AL5" t="str">
            <v>–</v>
          </cell>
          <cell r="AM5" t="str">
            <v>–</v>
          </cell>
          <cell r="AN5">
            <v>315</v>
          </cell>
          <cell r="AO5">
            <v>65.900000000000006</v>
          </cell>
          <cell r="AP5">
            <v>36.5</v>
          </cell>
          <cell r="AQ5">
            <v>3.7</v>
          </cell>
          <cell r="AR5">
            <v>315</v>
          </cell>
          <cell r="AS5" t="str">
            <v>ry+AT+AP2:AP138</v>
          </cell>
          <cell r="AT5">
            <v>36.5</v>
          </cell>
          <cell r="AU5">
            <v>3.7</v>
          </cell>
          <cell r="AV5">
            <v>126</v>
          </cell>
          <cell r="CL5" t="str">
            <v>A500 Gr. B-42</v>
          </cell>
          <cell r="CM5" t="str">
            <v>Gr. B</v>
          </cell>
          <cell r="CN5">
            <v>42</v>
          </cell>
          <cell r="CO5">
            <v>58</v>
          </cell>
          <cell r="DS5" t="str">
            <v>W36X802</v>
          </cell>
          <cell r="DT5">
            <v>3660</v>
          </cell>
          <cell r="DU5">
            <v>802</v>
          </cell>
          <cell r="DV5">
            <v>3660</v>
          </cell>
        </row>
        <row r="6">
          <cell r="C6" t="str">
            <v>L10X10X1-3/8</v>
          </cell>
          <cell r="D6" t="str">
            <v>F</v>
          </cell>
          <cell r="E6">
            <v>87.1</v>
          </cell>
          <cell r="F6">
            <v>25.6</v>
          </cell>
          <cell r="G6" t="str">
            <v>L10X10X1-3/8</v>
          </cell>
          <cell r="H6">
            <v>10</v>
          </cell>
          <cell r="I6" t="str">
            <v>–</v>
          </cell>
          <cell r="J6" t="str">
            <v>–</v>
          </cell>
          <cell r="K6" t="str">
            <v>–</v>
          </cell>
          <cell r="L6" t="str">
            <v>–</v>
          </cell>
          <cell r="M6" t="str">
            <v>–</v>
          </cell>
          <cell r="N6" t="str">
            <v>–</v>
          </cell>
          <cell r="O6" t="str">
            <v>–</v>
          </cell>
          <cell r="P6">
            <v>10</v>
          </cell>
          <cell r="Q6" t="str">
            <v>–</v>
          </cell>
          <cell r="R6" t="str">
            <v>–</v>
          </cell>
          <cell r="S6" t="str">
            <v>–</v>
          </cell>
          <cell r="T6" t="str">
            <v>–</v>
          </cell>
          <cell r="U6" t="str">
            <v>–</v>
          </cell>
          <cell r="V6" t="str">
            <v>–</v>
          </cell>
          <cell r="W6">
            <v>1.38</v>
          </cell>
          <cell r="X6" t="str">
            <v>–</v>
          </cell>
          <cell r="Y6" t="str">
            <v>–</v>
          </cell>
          <cell r="Z6">
            <v>2.1800000000000002</v>
          </cell>
          <cell r="AA6">
            <v>2.1875</v>
          </cell>
          <cell r="AB6" t="str">
            <v>–</v>
          </cell>
          <cell r="AC6">
            <v>3</v>
          </cell>
          <cell r="AD6">
            <v>3</v>
          </cell>
          <cell r="AE6" t="str">
            <v>–</v>
          </cell>
          <cell r="AF6">
            <v>1.28</v>
          </cell>
          <cell r="AG6">
            <v>1.28</v>
          </cell>
          <cell r="AH6" t="str">
            <v>–</v>
          </cell>
          <cell r="AI6">
            <v>7.25</v>
          </cell>
          <cell r="AJ6" t="str">
            <v>–</v>
          </cell>
          <cell r="AK6" t="str">
            <v>–</v>
          </cell>
          <cell r="AL6" t="str">
            <v>–</v>
          </cell>
          <cell r="AM6" t="str">
            <v>–</v>
          </cell>
          <cell r="AN6">
            <v>231</v>
          </cell>
          <cell r="AO6">
            <v>59.9</v>
          </cell>
          <cell r="AP6">
            <v>33</v>
          </cell>
          <cell r="AQ6">
            <v>3</v>
          </cell>
          <cell r="AR6">
            <v>231</v>
          </cell>
          <cell r="AS6">
            <v>59.8</v>
          </cell>
          <cell r="AT6">
            <v>33</v>
          </cell>
          <cell r="AU6">
            <v>3</v>
          </cell>
          <cell r="AV6">
            <v>93.3</v>
          </cell>
          <cell r="CL6" t="str">
            <v>A500 Gr. B-46</v>
          </cell>
          <cell r="CM6" t="str">
            <v>Gr. B</v>
          </cell>
          <cell r="CN6">
            <v>46</v>
          </cell>
          <cell r="CO6">
            <v>58</v>
          </cell>
          <cell r="DS6" t="str">
            <v>W36X723</v>
          </cell>
          <cell r="DT6">
            <v>3270</v>
          </cell>
          <cell r="DU6">
            <v>723</v>
          </cell>
          <cell r="DV6">
            <v>3270</v>
          </cell>
        </row>
        <row r="7">
          <cell r="C7" t="str">
            <v>L10X10X1-1/4</v>
          </cell>
          <cell r="D7" t="str">
            <v>F</v>
          </cell>
          <cell r="E7">
            <v>79.900000000000006</v>
          </cell>
          <cell r="F7">
            <v>23.4</v>
          </cell>
          <cell r="G7" t="str">
            <v>L10X10X1-1/4</v>
          </cell>
          <cell r="H7">
            <v>10</v>
          </cell>
          <cell r="I7" t="str">
            <v>–</v>
          </cell>
          <cell r="J7" t="str">
            <v>–</v>
          </cell>
          <cell r="K7" t="str">
            <v>–</v>
          </cell>
          <cell r="L7" t="str">
            <v>–</v>
          </cell>
          <cell r="M7" t="str">
            <v>–</v>
          </cell>
          <cell r="N7" t="str">
            <v>–</v>
          </cell>
          <cell r="O7" t="str">
            <v>–</v>
          </cell>
          <cell r="P7">
            <v>10</v>
          </cell>
          <cell r="Q7" t="str">
            <v>–</v>
          </cell>
          <cell r="R7" t="str">
            <v>–</v>
          </cell>
          <cell r="S7" t="str">
            <v>–</v>
          </cell>
          <cell r="T7" t="str">
            <v>–</v>
          </cell>
          <cell r="U7" t="str">
            <v>–</v>
          </cell>
          <cell r="V7" t="str">
            <v>–</v>
          </cell>
          <cell r="W7">
            <v>1.25</v>
          </cell>
          <cell r="X7" t="str">
            <v>–</v>
          </cell>
          <cell r="Y7" t="str">
            <v>–</v>
          </cell>
          <cell r="Z7">
            <v>2.0499999999999998</v>
          </cell>
          <cell r="AA7">
            <v>2.0625</v>
          </cell>
          <cell r="AB7" t="str">
            <v>–</v>
          </cell>
          <cell r="AC7">
            <v>2.95</v>
          </cell>
          <cell r="AD7">
            <v>2.95</v>
          </cell>
          <cell r="AE7" t="str">
            <v>–</v>
          </cell>
          <cell r="AF7">
            <v>1.17</v>
          </cell>
          <cell r="AG7">
            <v>1.17</v>
          </cell>
          <cell r="AH7" t="str">
            <v>–</v>
          </cell>
          <cell r="AI7">
            <v>8</v>
          </cell>
          <cell r="AJ7" t="str">
            <v>–</v>
          </cell>
          <cell r="AK7" t="str">
            <v>–</v>
          </cell>
          <cell r="AL7" t="str">
            <v>–</v>
          </cell>
          <cell r="AM7" t="str">
            <v>–</v>
          </cell>
          <cell r="AN7">
            <v>213</v>
          </cell>
          <cell r="AO7">
            <v>54.9</v>
          </cell>
          <cell r="AP7">
            <v>30.2</v>
          </cell>
          <cell r="AQ7">
            <v>3.02</v>
          </cell>
          <cell r="AR7">
            <v>213</v>
          </cell>
          <cell r="AS7">
            <v>54.9</v>
          </cell>
          <cell r="AT7">
            <v>30.2</v>
          </cell>
          <cell r="AU7">
            <v>3.02</v>
          </cell>
          <cell r="AV7">
            <v>85.4</v>
          </cell>
          <cell r="CL7" t="str">
            <v>A500 Gr. C-46</v>
          </cell>
          <cell r="CM7" t="str">
            <v>Gr. C</v>
          </cell>
          <cell r="CN7">
            <v>46</v>
          </cell>
          <cell r="CO7">
            <v>62</v>
          </cell>
          <cell r="DS7" t="str">
            <v>W40X655</v>
          </cell>
          <cell r="DT7">
            <v>3080</v>
          </cell>
          <cell r="DU7">
            <v>655</v>
          </cell>
          <cell r="DV7">
            <v>3080</v>
          </cell>
        </row>
        <row r="8">
          <cell r="C8" t="str">
            <v>L10X10X1-1/8</v>
          </cell>
          <cell r="D8" t="str">
            <v>F</v>
          </cell>
          <cell r="E8">
            <v>72.3</v>
          </cell>
          <cell r="F8">
            <v>21.3</v>
          </cell>
          <cell r="G8" t="str">
            <v>L10X10X1-1/8</v>
          </cell>
          <cell r="H8">
            <v>10</v>
          </cell>
          <cell r="I8" t="str">
            <v>–</v>
          </cell>
          <cell r="J8" t="str">
            <v>–</v>
          </cell>
          <cell r="K8" t="str">
            <v>–</v>
          </cell>
          <cell r="L8" t="str">
            <v>–</v>
          </cell>
          <cell r="M8" t="str">
            <v>–</v>
          </cell>
          <cell r="N8" t="str">
            <v>–</v>
          </cell>
          <cell r="O8" t="str">
            <v>–</v>
          </cell>
          <cell r="P8">
            <v>10</v>
          </cell>
          <cell r="Q8" t="str">
            <v>–</v>
          </cell>
          <cell r="R8" t="str">
            <v>–</v>
          </cell>
          <cell r="S8" t="str">
            <v>–</v>
          </cell>
          <cell r="T8" t="str">
            <v>–</v>
          </cell>
          <cell r="U8" t="str">
            <v>–</v>
          </cell>
          <cell r="V8" t="str">
            <v>–</v>
          </cell>
          <cell r="W8">
            <v>1.1299999999999999</v>
          </cell>
          <cell r="X8" t="str">
            <v>–</v>
          </cell>
          <cell r="Y8" t="str">
            <v>–</v>
          </cell>
          <cell r="Z8">
            <v>1.93</v>
          </cell>
          <cell r="AA8">
            <v>1.9375</v>
          </cell>
          <cell r="AB8" t="str">
            <v>–</v>
          </cell>
          <cell r="AC8">
            <v>2.9</v>
          </cell>
          <cell r="AD8">
            <v>2.9</v>
          </cell>
          <cell r="AE8" t="str">
            <v>–</v>
          </cell>
          <cell r="AF8">
            <v>1.07</v>
          </cell>
          <cell r="AG8">
            <v>1.07</v>
          </cell>
          <cell r="AH8" t="str">
            <v>–</v>
          </cell>
          <cell r="AI8">
            <v>8.85</v>
          </cell>
          <cell r="AJ8" t="str">
            <v>–</v>
          </cell>
          <cell r="AK8" t="str">
            <v>–</v>
          </cell>
          <cell r="AL8" t="str">
            <v>–</v>
          </cell>
          <cell r="AM8" t="str">
            <v>–</v>
          </cell>
          <cell r="AN8">
            <v>196</v>
          </cell>
          <cell r="AO8">
            <v>50.2</v>
          </cell>
          <cell r="AP8">
            <v>27.6</v>
          </cell>
          <cell r="AQ8">
            <v>3.03</v>
          </cell>
          <cell r="AR8">
            <v>196</v>
          </cell>
          <cell r="AS8">
            <v>50.2</v>
          </cell>
          <cell r="AT8">
            <v>27.6</v>
          </cell>
          <cell r="AU8">
            <v>3.03</v>
          </cell>
          <cell r="AV8">
            <v>78.2</v>
          </cell>
          <cell r="CL8" t="str">
            <v>A500 Gr. C-50</v>
          </cell>
          <cell r="CM8" t="str">
            <v>Gr. C</v>
          </cell>
          <cell r="CN8">
            <v>50</v>
          </cell>
          <cell r="CO8">
            <v>62</v>
          </cell>
          <cell r="DS8" t="str">
            <v>W36X652</v>
          </cell>
          <cell r="DT8">
            <v>2910</v>
          </cell>
          <cell r="DU8">
            <v>652</v>
          </cell>
          <cell r="DV8">
            <v>2910</v>
          </cell>
        </row>
        <row r="9">
          <cell r="C9" t="str">
            <v>L10X10X1</v>
          </cell>
          <cell r="D9" t="str">
            <v>F</v>
          </cell>
          <cell r="E9">
            <v>64.7</v>
          </cell>
          <cell r="F9">
            <v>19</v>
          </cell>
          <cell r="G9" t="str">
            <v>L10X10X1</v>
          </cell>
          <cell r="H9">
            <v>10</v>
          </cell>
          <cell r="I9" t="str">
            <v>–</v>
          </cell>
          <cell r="J9" t="str">
            <v>–</v>
          </cell>
          <cell r="K9" t="str">
            <v>–</v>
          </cell>
          <cell r="L9" t="str">
            <v>–</v>
          </cell>
          <cell r="M9" t="str">
            <v>–</v>
          </cell>
          <cell r="N9" t="str">
            <v>–</v>
          </cell>
          <cell r="O9" t="str">
            <v>–</v>
          </cell>
          <cell r="P9">
            <v>10</v>
          </cell>
          <cell r="Q9" t="str">
            <v>–</v>
          </cell>
          <cell r="R9" t="str">
            <v>–</v>
          </cell>
          <cell r="S9" t="str">
            <v>–</v>
          </cell>
          <cell r="T9" t="str">
            <v>–</v>
          </cell>
          <cell r="U9" t="str">
            <v>–</v>
          </cell>
          <cell r="V9" t="str">
            <v>–</v>
          </cell>
          <cell r="W9">
            <v>1</v>
          </cell>
          <cell r="X9" t="str">
            <v>–</v>
          </cell>
          <cell r="Y9" t="str">
            <v>–</v>
          </cell>
          <cell r="Z9">
            <v>1.8</v>
          </cell>
          <cell r="AA9">
            <v>1.8125</v>
          </cell>
          <cell r="AB9" t="str">
            <v>–</v>
          </cell>
          <cell r="AC9">
            <v>2.86</v>
          </cell>
          <cell r="AD9">
            <v>2.86</v>
          </cell>
          <cell r="AE9" t="str">
            <v>–</v>
          </cell>
          <cell r="AF9">
            <v>0.95</v>
          </cell>
          <cell r="AG9">
            <v>0.95</v>
          </cell>
          <cell r="AH9" t="str">
            <v>–</v>
          </cell>
          <cell r="AI9">
            <v>10</v>
          </cell>
          <cell r="AJ9" t="str">
            <v>–</v>
          </cell>
          <cell r="AK9" t="str">
            <v>–</v>
          </cell>
          <cell r="AL9" t="str">
            <v>–</v>
          </cell>
          <cell r="AM9" t="str">
            <v>–</v>
          </cell>
          <cell r="AN9">
            <v>177</v>
          </cell>
          <cell r="AO9">
            <v>45</v>
          </cell>
          <cell r="AP9">
            <v>24.8</v>
          </cell>
          <cell r="AQ9">
            <v>3.05</v>
          </cell>
          <cell r="AR9">
            <v>177</v>
          </cell>
          <cell r="AS9">
            <v>45</v>
          </cell>
          <cell r="AT9">
            <v>24.8</v>
          </cell>
          <cell r="AU9">
            <v>3.05</v>
          </cell>
          <cell r="AV9">
            <v>70.400000000000006</v>
          </cell>
          <cell r="CL9" t="str">
            <v>A501 Gr. A-36</v>
          </cell>
          <cell r="CM9" t="str">
            <v>Gr. A</v>
          </cell>
          <cell r="CN9">
            <v>36</v>
          </cell>
          <cell r="CO9">
            <v>58</v>
          </cell>
          <cell r="DS9" t="str">
            <v>W40X593</v>
          </cell>
          <cell r="DT9">
            <v>2760</v>
          </cell>
          <cell r="DU9">
            <v>593</v>
          </cell>
          <cell r="DV9">
            <v>2760</v>
          </cell>
        </row>
        <row r="10">
          <cell r="C10" t="str">
            <v>L10X10X7/8</v>
          </cell>
          <cell r="D10" t="str">
            <v>F</v>
          </cell>
          <cell r="E10">
            <v>56.9</v>
          </cell>
          <cell r="F10">
            <v>16.8</v>
          </cell>
          <cell r="G10" t="str">
            <v>L10X10X7/8</v>
          </cell>
          <cell r="H10">
            <v>10</v>
          </cell>
          <cell r="I10" t="str">
            <v>–</v>
          </cell>
          <cell r="J10" t="str">
            <v>–</v>
          </cell>
          <cell r="K10" t="str">
            <v>–</v>
          </cell>
          <cell r="L10" t="str">
            <v>–</v>
          </cell>
          <cell r="M10" t="str">
            <v>–</v>
          </cell>
          <cell r="N10" t="str">
            <v>–</v>
          </cell>
          <cell r="O10" t="str">
            <v>–</v>
          </cell>
          <cell r="P10">
            <v>10</v>
          </cell>
          <cell r="Q10" t="str">
            <v>–</v>
          </cell>
          <cell r="R10" t="str">
            <v>–</v>
          </cell>
          <cell r="S10" t="str">
            <v>–</v>
          </cell>
          <cell r="T10" t="str">
            <v>–</v>
          </cell>
          <cell r="U10" t="str">
            <v>–</v>
          </cell>
          <cell r="V10" t="str">
            <v>–</v>
          </cell>
          <cell r="W10">
            <v>0.875</v>
          </cell>
          <cell r="X10" t="str">
            <v>–</v>
          </cell>
          <cell r="Y10" t="str">
            <v>–</v>
          </cell>
          <cell r="Z10">
            <v>1.68</v>
          </cell>
          <cell r="AA10">
            <v>1.6875</v>
          </cell>
          <cell r="AB10" t="str">
            <v>–</v>
          </cell>
          <cell r="AC10">
            <v>2.8</v>
          </cell>
          <cell r="AD10">
            <v>2.8</v>
          </cell>
          <cell r="AE10" t="str">
            <v>–</v>
          </cell>
          <cell r="AF10">
            <v>0.84</v>
          </cell>
          <cell r="AG10">
            <v>0.84</v>
          </cell>
          <cell r="AH10" t="str">
            <v>–</v>
          </cell>
          <cell r="AI10">
            <v>11.4</v>
          </cell>
          <cell r="AJ10" t="str">
            <v>–</v>
          </cell>
          <cell r="AK10" t="str">
            <v>–</v>
          </cell>
          <cell r="AL10" t="str">
            <v>–</v>
          </cell>
          <cell r="AM10" t="str">
            <v>–</v>
          </cell>
          <cell r="AN10">
            <v>158</v>
          </cell>
          <cell r="AO10">
            <v>39.9</v>
          </cell>
          <cell r="AP10">
            <v>21.9</v>
          </cell>
          <cell r="AQ10">
            <v>3.07</v>
          </cell>
          <cell r="AR10">
            <v>158</v>
          </cell>
          <cell r="AS10">
            <v>39.9</v>
          </cell>
          <cell r="AT10">
            <v>21.9</v>
          </cell>
          <cell r="AU10">
            <v>3.07</v>
          </cell>
          <cell r="AV10">
            <v>62.8</v>
          </cell>
          <cell r="CL10" t="str">
            <v>A501 Gr. B-50</v>
          </cell>
          <cell r="CM10" t="str">
            <v>Gr. B</v>
          </cell>
          <cell r="CN10">
            <v>50</v>
          </cell>
          <cell r="CO10">
            <v>70</v>
          </cell>
          <cell r="DS10" t="str">
            <v>W36X529</v>
          </cell>
          <cell r="DT10">
            <v>2330</v>
          </cell>
          <cell r="DU10">
            <v>529</v>
          </cell>
          <cell r="DV10">
            <v>2330</v>
          </cell>
        </row>
        <row r="11">
          <cell r="C11" t="str">
            <v>L10X10X3/4</v>
          </cell>
          <cell r="D11" t="str">
            <v>F</v>
          </cell>
          <cell r="E11">
            <v>49.1</v>
          </cell>
          <cell r="F11">
            <v>14.5</v>
          </cell>
          <cell r="G11" t="str">
            <v>L10X10X3/4</v>
          </cell>
          <cell r="H11">
            <v>10</v>
          </cell>
          <cell r="I11" t="str">
            <v>–</v>
          </cell>
          <cell r="J11" t="str">
            <v>–</v>
          </cell>
          <cell r="K11" t="str">
            <v>–</v>
          </cell>
          <cell r="L11" t="str">
            <v>–</v>
          </cell>
          <cell r="M11" t="str">
            <v>–</v>
          </cell>
          <cell r="N11" t="str">
            <v>–</v>
          </cell>
          <cell r="O11" t="str">
            <v>–</v>
          </cell>
          <cell r="P11">
            <v>10</v>
          </cell>
          <cell r="Q11" t="str">
            <v>–</v>
          </cell>
          <cell r="R11" t="str">
            <v>–</v>
          </cell>
          <cell r="S11" t="str">
            <v>–</v>
          </cell>
          <cell r="T11" t="str">
            <v>–</v>
          </cell>
          <cell r="U11" t="str">
            <v>–</v>
          </cell>
          <cell r="V11" t="str">
            <v>–</v>
          </cell>
          <cell r="W11">
            <v>0.75</v>
          </cell>
          <cell r="X11" t="str">
            <v>–</v>
          </cell>
          <cell r="Y11" t="str">
            <v>–</v>
          </cell>
          <cell r="Z11">
            <v>1.55</v>
          </cell>
          <cell r="AA11">
            <v>1.5625</v>
          </cell>
          <cell r="AB11" t="str">
            <v>–</v>
          </cell>
          <cell r="AC11">
            <v>2.76</v>
          </cell>
          <cell r="AD11">
            <v>2.76</v>
          </cell>
          <cell r="AE11" t="str">
            <v>–</v>
          </cell>
          <cell r="AF11">
            <v>0.72499999999999998</v>
          </cell>
          <cell r="AG11">
            <v>0.72499999999999998</v>
          </cell>
          <cell r="AH11" t="str">
            <v>–</v>
          </cell>
          <cell r="AI11">
            <v>13.3</v>
          </cell>
          <cell r="AJ11" t="str">
            <v>–</v>
          </cell>
          <cell r="AK11" t="str">
            <v>–</v>
          </cell>
          <cell r="AL11" t="str">
            <v>–</v>
          </cell>
          <cell r="AM11" t="str">
            <v>–</v>
          </cell>
          <cell r="AN11">
            <v>139</v>
          </cell>
          <cell r="AO11">
            <v>34.6</v>
          </cell>
          <cell r="AP11">
            <v>19.2</v>
          </cell>
          <cell r="AQ11">
            <v>3.1</v>
          </cell>
          <cell r="AR11">
            <v>139</v>
          </cell>
          <cell r="AS11">
            <v>34.6</v>
          </cell>
          <cell r="AT11">
            <v>19.2</v>
          </cell>
          <cell r="AU11">
            <v>3.1</v>
          </cell>
          <cell r="AV11">
            <v>55.7</v>
          </cell>
          <cell r="CL11" t="str">
            <v>A529 Gr. 50</v>
          </cell>
          <cell r="CM11" t="str">
            <v>Grade 50</v>
          </cell>
          <cell r="CN11">
            <v>50</v>
          </cell>
          <cell r="CO11">
            <v>65</v>
          </cell>
          <cell r="DS11" t="str">
            <v>W40X503</v>
          </cell>
          <cell r="DT11">
            <v>2320</v>
          </cell>
          <cell r="DU11">
            <v>503</v>
          </cell>
          <cell r="DV11">
            <v>2320</v>
          </cell>
        </row>
        <row r="12">
          <cell r="C12" t="str">
            <v>L8X8X1-1/8</v>
          </cell>
          <cell r="D12" t="str">
            <v>F</v>
          </cell>
          <cell r="E12">
            <v>56.9</v>
          </cell>
          <cell r="F12">
            <v>16.8</v>
          </cell>
          <cell r="G12" t="str">
            <v>L8X8X1-1/8</v>
          </cell>
          <cell r="H12">
            <v>8</v>
          </cell>
          <cell r="I12" t="str">
            <v>–</v>
          </cell>
          <cell r="J12" t="str">
            <v>–</v>
          </cell>
          <cell r="K12" t="str">
            <v>–</v>
          </cell>
          <cell r="L12" t="str">
            <v>–</v>
          </cell>
          <cell r="M12" t="str">
            <v>–</v>
          </cell>
          <cell r="N12" t="str">
            <v>–</v>
          </cell>
          <cell r="O12" t="str">
            <v>–</v>
          </cell>
          <cell r="P12">
            <v>8</v>
          </cell>
          <cell r="Q12" t="str">
            <v>–</v>
          </cell>
          <cell r="R12" t="str">
            <v>–</v>
          </cell>
          <cell r="S12" t="str">
            <v>–</v>
          </cell>
          <cell r="T12" t="str">
            <v>–</v>
          </cell>
          <cell r="U12" t="str">
            <v>–</v>
          </cell>
          <cell r="V12" t="str">
            <v>–</v>
          </cell>
          <cell r="W12">
            <v>1.1299999999999999</v>
          </cell>
          <cell r="X12" t="str">
            <v>–</v>
          </cell>
          <cell r="Y12" t="str">
            <v>–</v>
          </cell>
          <cell r="Z12">
            <v>1.75</v>
          </cell>
          <cell r="AA12">
            <v>1.75</v>
          </cell>
          <cell r="AB12" t="str">
            <v>–</v>
          </cell>
          <cell r="AC12">
            <v>2.4</v>
          </cell>
          <cell r="AD12">
            <v>2.4</v>
          </cell>
          <cell r="AE12" t="str">
            <v>–</v>
          </cell>
          <cell r="AF12">
            <v>1.05</v>
          </cell>
          <cell r="AG12">
            <v>1.05</v>
          </cell>
          <cell r="AH12" t="str">
            <v>–</v>
          </cell>
          <cell r="AI12">
            <v>7.08</v>
          </cell>
          <cell r="AJ12" t="str">
            <v>–</v>
          </cell>
          <cell r="AK12" t="str">
            <v>–</v>
          </cell>
          <cell r="AL12" t="str">
            <v>–</v>
          </cell>
          <cell r="AM12" t="str">
            <v>–</v>
          </cell>
          <cell r="AN12">
            <v>98.1</v>
          </cell>
          <cell r="AO12">
            <v>31.6</v>
          </cell>
          <cell r="AP12">
            <v>17.5</v>
          </cell>
          <cell r="AQ12">
            <v>2.41</v>
          </cell>
          <cell r="AR12">
            <v>98.1</v>
          </cell>
          <cell r="AS12">
            <v>31.6</v>
          </cell>
          <cell r="AT12">
            <v>17.5</v>
          </cell>
          <cell r="AU12">
            <v>2.41</v>
          </cell>
          <cell r="AV12">
            <v>40.700000000000003</v>
          </cell>
          <cell r="CL12" t="str">
            <v>A529 Gr. 55</v>
          </cell>
          <cell r="CM12" t="str">
            <v>Grade 55</v>
          </cell>
          <cell r="CN12">
            <v>55</v>
          </cell>
          <cell r="CO12">
            <v>70</v>
          </cell>
          <cell r="DS12" t="str">
            <v>W36X487</v>
          </cell>
          <cell r="DT12">
            <v>2130</v>
          </cell>
          <cell r="DU12">
            <v>487</v>
          </cell>
          <cell r="DV12">
            <v>2130</v>
          </cell>
        </row>
        <row r="13">
          <cell r="C13" t="str">
            <v>L8X8X1</v>
          </cell>
          <cell r="D13" t="str">
            <v>F</v>
          </cell>
          <cell r="E13">
            <v>51</v>
          </cell>
          <cell r="F13">
            <v>15.1</v>
          </cell>
          <cell r="G13" t="str">
            <v>L8X8X1</v>
          </cell>
          <cell r="H13">
            <v>8</v>
          </cell>
          <cell r="I13" t="str">
            <v>–</v>
          </cell>
          <cell r="J13" t="str">
            <v>–</v>
          </cell>
          <cell r="K13" t="str">
            <v>–</v>
          </cell>
          <cell r="L13" t="str">
            <v>–</v>
          </cell>
          <cell r="M13" t="str">
            <v>–</v>
          </cell>
          <cell r="N13" t="str">
            <v>–</v>
          </cell>
          <cell r="O13" t="str">
            <v>–</v>
          </cell>
          <cell r="P13">
            <v>8</v>
          </cell>
          <cell r="Q13" t="str">
            <v>–</v>
          </cell>
          <cell r="R13" t="str">
            <v>–</v>
          </cell>
          <cell r="S13" t="str">
            <v>–</v>
          </cell>
          <cell r="T13" t="str">
            <v>–</v>
          </cell>
          <cell r="U13" t="str">
            <v>–</v>
          </cell>
          <cell r="V13" t="str">
            <v>–</v>
          </cell>
          <cell r="W13">
            <v>1</v>
          </cell>
          <cell r="X13" t="str">
            <v>–</v>
          </cell>
          <cell r="Y13" t="str">
            <v>–</v>
          </cell>
          <cell r="Z13">
            <v>1.63</v>
          </cell>
          <cell r="AA13">
            <v>1.625</v>
          </cell>
          <cell r="AB13" t="str">
            <v>–</v>
          </cell>
          <cell r="AC13">
            <v>2.36</v>
          </cell>
          <cell r="AD13">
            <v>2.36</v>
          </cell>
          <cell r="AE13" t="str">
            <v>–</v>
          </cell>
          <cell r="AF13">
            <v>0.94399999999999995</v>
          </cell>
          <cell r="AG13">
            <v>0.94399999999999995</v>
          </cell>
          <cell r="AH13" t="str">
            <v>–</v>
          </cell>
          <cell r="AI13">
            <v>8</v>
          </cell>
          <cell r="AJ13" t="str">
            <v>–</v>
          </cell>
          <cell r="AK13" t="str">
            <v>–</v>
          </cell>
          <cell r="AL13" t="str">
            <v>–</v>
          </cell>
          <cell r="AM13" t="str">
            <v>–</v>
          </cell>
          <cell r="AN13">
            <v>89.1</v>
          </cell>
          <cell r="AO13">
            <v>28.5</v>
          </cell>
          <cell r="AP13">
            <v>15.8</v>
          </cell>
          <cell r="AQ13">
            <v>2.4300000000000002</v>
          </cell>
          <cell r="AR13">
            <v>89.1</v>
          </cell>
          <cell r="AS13">
            <v>28.5</v>
          </cell>
          <cell r="AT13">
            <v>15.8</v>
          </cell>
          <cell r="AU13">
            <v>2.4300000000000002</v>
          </cell>
          <cell r="AV13">
            <v>36.799999999999997</v>
          </cell>
          <cell r="CL13" t="str">
            <v>A709</v>
          </cell>
          <cell r="CM13" t="str">
            <v>-</v>
          </cell>
          <cell r="CN13">
            <v>36</v>
          </cell>
          <cell r="CO13">
            <v>58</v>
          </cell>
          <cell r="DS13" t="str">
            <v>W40X431</v>
          </cell>
          <cell r="DT13">
            <v>1960</v>
          </cell>
          <cell r="DU13">
            <v>431</v>
          </cell>
          <cell r="DV13">
            <v>1960</v>
          </cell>
        </row>
        <row r="14">
          <cell r="C14" t="str">
            <v>L8X8X7/8</v>
          </cell>
          <cell r="D14" t="str">
            <v>F</v>
          </cell>
          <cell r="E14">
            <v>45</v>
          </cell>
          <cell r="F14">
            <v>13.3</v>
          </cell>
          <cell r="G14" t="str">
            <v>L8X8X7/8</v>
          </cell>
          <cell r="H14">
            <v>8</v>
          </cell>
          <cell r="I14" t="str">
            <v>–</v>
          </cell>
          <cell r="J14" t="str">
            <v>–</v>
          </cell>
          <cell r="K14" t="str">
            <v>–</v>
          </cell>
          <cell r="L14" t="str">
            <v>–</v>
          </cell>
          <cell r="M14" t="str">
            <v>–</v>
          </cell>
          <cell r="N14" t="str">
            <v>–</v>
          </cell>
          <cell r="O14" t="str">
            <v>–</v>
          </cell>
          <cell r="P14">
            <v>8</v>
          </cell>
          <cell r="Q14" t="str">
            <v>–</v>
          </cell>
          <cell r="R14" t="str">
            <v>–</v>
          </cell>
          <cell r="S14" t="str">
            <v>–</v>
          </cell>
          <cell r="T14" t="str">
            <v>–</v>
          </cell>
          <cell r="U14" t="str">
            <v>–</v>
          </cell>
          <cell r="V14" t="str">
            <v>–</v>
          </cell>
          <cell r="W14">
            <v>0.875</v>
          </cell>
          <cell r="X14" t="str">
            <v>–</v>
          </cell>
          <cell r="Y14" t="str">
            <v>–</v>
          </cell>
          <cell r="Z14">
            <v>1.5</v>
          </cell>
          <cell r="AA14">
            <v>1.5</v>
          </cell>
          <cell r="AB14" t="str">
            <v>–</v>
          </cell>
          <cell r="AC14">
            <v>2.31</v>
          </cell>
          <cell r="AD14">
            <v>2.31</v>
          </cell>
          <cell r="AE14" t="str">
            <v>–</v>
          </cell>
          <cell r="AF14">
            <v>0.83099999999999996</v>
          </cell>
          <cell r="AG14">
            <v>0.83099999999999996</v>
          </cell>
          <cell r="AH14" t="str">
            <v>–</v>
          </cell>
          <cell r="AI14">
            <v>9.14</v>
          </cell>
          <cell r="AJ14" t="str">
            <v>–</v>
          </cell>
          <cell r="AK14" t="str">
            <v>–</v>
          </cell>
          <cell r="AL14" t="str">
            <v>–</v>
          </cell>
          <cell r="AM14" t="str">
            <v>–</v>
          </cell>
          <cell r="AN14">
            <v>79.7</v>
          </cell>
          <cell r="AO14">
            <v>25.3</v>
          </cell>
          <cell r="AP14">
            <v>14</v>
          </cell>
          <cell r="AQ14">
            <v>2.4500000000000002</v>
          </cell>
          <cell r="AR14">
            <v>79.7</v>
          </cell>
          <cell r="AS14">
            <v>25.3</v>
          </cell>
          <cell r="AT14">
            <v>14</v>
          </cell>
          <cell r="AU14">
            <v>2.4500000000000002</v>
          </cell>
          <cell r="AV14">
            <v>32.700000000000003</v>
          </cell>
          <cell r="CL14" t="str">
            <v>A1043 Gr. 36</v>
          </cell>
          <cell r="CM14">
            <v>36</v>
          </cell>
          <cell r="CN14">
            <v>36</v>
          </cell>
          <cell r="CO14">
            <v>58</v>
          </cell>
          <cell r="DS14" t="str">
            <v>W40X397</v>
          </cell>
          <cell r="DT14">
            <v>1800</v>
          </cell>
          <cell r="DU14">
            <v>397</v>
          </cell>
          <cell r="DV14">
            <v>1800</v>
          </cell>
        </row>
        <row r="15">
          <cell r="C15" t="str">
            <v>L8X8X3/4</v>
          </cell>
          <cell r="D15" t="str">
            <v>F</v>
          </cell>
          <cell r="E15">
            <v>38.9</v>
          </cell>
          <cell r="F15">
            <v>11.5</v>
          </cell>
          <cell r="G15" t="str">
            <v>L8X8X3/4</v>
          </cell>
          <cell r="H15">
            <v>8</v>
          </cell>
          <cell r="I15" t="str">
            <v>–</v>
          </cell>
          <cell r="J15" t="str">
            <v>–</v>
          </cell>
          <cell r="K15" t="str">
            <v>–</v>
          </cell>
          <cell r="L15" t="str">
            <v>–</v>
          </cell>
          <cell r="M15" t="str">
            <v>–</v>
          </cell>
          <cell r="N15" t="str">
            <v>–</v>
          </cell>
          <cell r="O15" t="str">
            <v>–</v>
          </cell>
          <cell r="P15">
            <v>8</v>
          </cell>
          <cell r="Q15" t="str">
            <v>–</v>
          </cell>
          <cell r="R15" t="str">
            <v>–</v>
          </cell>
          <cell r="S15" t="str">
            <v>–</v>
          </cell>
          <cell r="T15" t="str">
            <v>–</v>
          </cell>
          <cell r="U15" t="str">
            <v>–</v>
          </cell>
          <cell r="V15" t="str">
            <v>–</v>
          </cell>
          <cell r="W15">
            <v>0.75</v>
          </cell>
          <cell r="X15" t="str">
            <v>–</v>
          </cell>
          <cell r="Y15" t="str">
            <v>–</v>
          </cell>
          <cell r="Z15">
            <v>1.38</v>
          </cell>
          <cell r="AA15">
            <v>1.375</v>
          </cell>
          <cell r="AB15" t="str">
            <v>–</v>
          </cell>
          <cell r="AC15">
            <v>2.2599999999999998</v>
          </cell>
          <cell r="AD15">
            <v>2.2599999999999998</v>
          </cell>
          <cell r="AE15" t="str">
            <v>–</v>
          </cell>
          <cell r="AF15">
            <v>0.71899999999999997</v>
          </cell>
          <cell r="AG15">
            <v>0.71899999999999997</v>
          </cell>
          <cell r="AH15" t="str">
            <v>–</v>
          </cell>
          <cell r="AI15">
            <v>10.7</v>
          </cell>
          <cell r="AJ15" t="str">
            <v>–</v>
          </cell>
          <cell r="AK15" t="str">
            <v>–</v>
          </cell>
          <cell r="AL15" t="str">
            <v>–</v>
          </cell>
          <cell r="AM15" t="str">
            <v>–</v>
          </cell>
          <cell r="AN15">
            <v>69.900000000000006</v>
          </cell>
          <cell r="AO15">
            <v>22</v>
          </cell>
          <cell r="AP15">
            <v>12.2</v>
          </cell>
          <cell r="AQ15">
            <v>2.46</v>
          </cell>
          <cell r="AR15">
            <v>69.900000000000006</v>
          </cell>
          <cell r="AS15">
            <v>22</v>
          </cell>
          <cell r="AT15">
            <v>12.2</v>
          </cell>
          <cell r="AU15">
            <v>2.46</v>
          </cell>
          <cell r="AV15">
            <v>28.5</v>
          </cell>
          <cell r="CL15" t="str">
            <v>A1043 Gr. 50</v>
          </cell>
          <cell r="CM15">
            <v>50</v>
          </cell>
          <cell r="CN15">
            <v>50</v>
          </cell>
          <cell r="CO15">
            <v>65</v>
          </cell>
          <cell r="DS15" t="str">
            <v>W40X392</v>
          </cell>
          <cell r="DT15">
            <v>1710</v>
          </cell>
          <cell r="DU15">
            <v>392</v>
          </cell>
          <cell r="DV15">
            <v>1710</v>
          </cell>
        </row>
        <row r="16">
          <cell r="C16" t="str">
            <v>L8X8X5/8</v>
          </cell>
          <cell r="D16" t="str">
            <v>F</v>
          </cell>
          <cell r="E16">
            <v>32.700000000000003</v>
          </cell>
          <cell r="F16">
            <v>9.69</v>
          </cell>
          <cell r="G16" t="str">
            <v>L8X8X5/8</v>
          </cell>
          <cell r="H16">
            <v>8</v>
          </cell>
          <cell r="I16" t="str">
            <v>–</v>
          </cell>
          <cell r="J16" t="str">
            <v>–</v>
          </cell>
          <cell r="K16" t="str">
            <v>–</v>
          </cell>
          <cell r="L16" t="str">
            <v>–</v>
          </cell>
          <cell r="M16" t="str">
            <v>–</v>
          </cell>
          <cell r="N16" t="str">
            <v>–</v>
          </cell>
          <cell r="O16" t="str">
            <v>–</v>
          </cell>
          <cell r="P16">
            <v>8</v>
          </cell>
          <cell r="Q16" t="str">
            <v>–</v>
          </cell>
          <cell r="R16" t="str">
            <v>–</v>
          </cell>
          <cell r="S16" t="str">
            <v>–</v>
          </cell>
          <cell r="T16" t="str">
            <v>–</v>
          </cell>
          <cell r="U16" t="str">
            <v>–</v>
          </cell>
          <cell r="V16" t="str">
            <v>–</v>
          </cell>
          <cell r="W16">
            <v>0.625</v>
          </cell>
          <cell r="X16" t="str">
            <v>–</v>
          </cell>
          <cell r="Y16" t="str">
            <v>–</v>
          </cell>
          <cell r="Z16">
            <v>1.25</v>
          </cell>
          <cell r="AA16">
            <v>1.25</v>
          </cell>
          <cell r="AB16" t="str">
            <v>–</v>
          </cell>
          <cell r="AC16">
            <v>2.21</v>
          </cell>
          <cell r="AD16">
            <v>2.21</v>
          </cell>
          <cell r="AE16" t="str">
            <v>–</v>
          </cell>
          <cell r="AF16">
            <v>0.60599999999999998</v>
          </cell>
          <cell r="AG16">
            <v>0.60599999999999998</v>
          </cell>
          <cell r="AH16" t="str">
            <v>–</v>
          </cell>
          <cell r="AI16">
            <v>12.8</v>
          </cell>
          <cell r="AJ16" t="str">
            <v>–</v>
          </cell>
          <cell r="AK16" t="str">
            <v>–</v>
          </cell>
          <cell r="AL16" t="str">
            <v>–</v>
          </cell>
          <cell r="AM16" t="str">
            <v>–</v>
          </cell>
          <cell r="AN16">
            <v>59.6</v>
          </cell>
          <cell r="AO16">
            <v>18.600000000000001</v>
          </cell>
          <cell r="AP16">
            <v>10.3</v>
          </cell>
          <cell r="AQ16">
            <v>2.48</v>
          </cell>
          <cell r="AR16">
            <v>59.6</v>
          </cell>
          <cell r="AS16">
            <v>18.600000000000001</v>
          </cell>
          <cell r="AT16">
            <v>10.3</v>
          </cell>
          <cell r="AU16">
            <v>2.48</v>
          </cell>
          <cell r="AV16">
            <v>24.2</v>
          </cell>
          <cell r="CL16" t="str">
            <v>A1085</v>
          </cell>
          <cell r="CM16" t="str">
            <v>Gr. A</v>
          </cell>
          <cell r="CN16">
            <v>50</v>
          </cell>
          <cell r="CO16">
            <v>65</v>
          </cell>
          <cell r="DS16" t="str">
            <v>W40X372</v>
          </cell>
          <cell r="DT16">
            <v>1680</v>
          </cell>
          <cell r="DU16">
            <v>372</v>
          </cell>
          <cell r="DV16">
            <v>1680</v>
          </cell>
        </row>
        <row r="17">
          <cell r="C17" t="str">
            <v>L8X8X9/16</v>
          </cell>
          <cell r="D17" t="str">
            <v>F</v>
          </cell>
          <cell r="E17">
            <v>29.6</v>
          </cell>
          <cell r="F17">
            <v>8.77</v>
          </cell>
          <cell r="G17" t="str">
            <v>L8X8X9/16</v>
          </cell>
          <cell r="H17">
            <v>8</v>
          </cell>
          <cell r="I17" t="str">
            <v>–</v>
          </cell>
          <cell r="J17" t="str">
            <v>–</v>
          </cell>
          <cell r="K17" t="str">
            <v>–</v>
          </cell>
          <cell r="L17" t="str">
            <v>–</v>
          </cell>
          <cell r="M17" t="str">
            <v>–</v>
          </cell>
          <cell r="N17" t="str">
            <v>–</v>
          </cell>
          <cell r="O17" t="str">
            <v>–</v>
          </cell>
          <cell r="P17">
            <v>8</v>
          </cell>
          <cell r="Q17" t="str">
            <v>–</v>
          </cell>
          <cell r="R17" t="str">
            <v>–</v>
          </cell>
          <cell r="S17" t="str">
            <v>–</v>
          </cell>
          <cell r="T17" t="str">
            <v>–</v>
          </cell>
          <cell r="U17" t="str">
            <v>–</v>
          </cell>
          <cell r="V17" t="str">
            <v>–</v>
          </cell>
          <cell r="W17">
            <v>0.56299999999999994</v>
          </cell>
          <cell r="X17" t="str">
            <v>–</v>
          </cell>
          <cell r="Y17" t="str">
            <v>–</v>
          </cell>
          <cell r="Z17">
            <v>1.19</v>
          </cell>
          <cell r="AA17">
            <v>1.1875</v>
          </cell>
          <cell r="AB17" t="str">
            <v>–</v>
          </cell>
          <cell r="AC17">
            <v>2.19</v>
          </cell>
          <cell r="AD17">
            <v>2.19</v>
          </cell>
          <cell r="AE17" t="str">
            <v>–</v>
          </cell>
          <cell r="AF17">
            <v>0.54800000000000004</v>
          </cell>
          <cell r="AG17">
            <v>0.54800000000000004</v>
          </cell>
          <cell r="AH17" t="str">
            <v>–</v>
          </cell>
          <cell r="AI17">
            <v>14.2</v>
          </cell>
          <cell r="AJ17" t="str">
            <v>–</v>
          </cell>
          <cell r="AK17" t="str">
            <v>–</v>
          </cell>
          <cell r="AL17" t="str">
            <v>–</v>
          </cell>
          <cell r="AM17" t="str">
            <v>–</v>
          </cell>
          <cell r="AN17">
            <v>54.2</v>
          </cell>
          <cell r="AO17">
            <v>16.8</v>
          </cell>
          <cell r="AP17">
            <v>9.33</v>
          </cell>
          <cell r="AQ17">
            <v>2.4900000000000002</v>
          </cell>
          <cell r="AR17">
            <v>54.2</v>
          </cell>
          <cell r="AS17">
            <v>16.8</v>
          </cell>
          <cell r="AT17">
            <v>9.33</v>
          </cell>
          <cell r="AU17">
            <v>2.4900000000000002</v>
          </cell>
          <cell r="AV17">
            <v>21.9</v>
          </cell>
          <cell r="CL17" t="str">
            <v>A572 Gr. 42</v>
          </cell>
          <cell r="CM17" t="str">
            <v>Grade 42</v>
          </cell>
          <cell r="CN17">
            <v>42</v>
          </cell>
          <cell r="CO17">
            <v>60</v>
          </cell>
          <cell r="DS17" t="str">
            <v>W40X362</v>
          </cell>
          <cell r="DT17">
            <v>1640</v>
          </cell>
          <cell r="DU17">
            <v>362</v>
          </cell>
          <cell r="DV17">
            <v>1640</v>
          </cell>
        </row>
        <row r="18">
          <cell r="C18" t="str">
            <v>L8X8X1/2</v>
          </cell>
          <cell r="D18" t="str">
            <v>F</v>
          </cell>
          <cell r="E18">
            <v>26.4</v>
          </cell>
          <cell r="F18">
            <v>7.84</v>
          </cell>
          <cell r="G18" t="str">
            <v>L8X8X1/2</v>
          </cell>
          <cell r="H18">
            <v>8</v>
          </cell>
          <cell r="I18" t="str">
            <v>–</v>
          </cell>
          <cell r="J18" t="str">
            <v>–</v>
          </cell>
          <cell r="K18" t="str">
            <v>–</v>
          </cell>
          <cell r="L18" t="str">
            <v>–</v>
          </cell>
          <cell r="M18" t="str">
            <v>–</v>
          </cell>
          <cell r="N18" t="str">
            <v>–</v>
          </cell>
          <cell r="O18" t="str">
            <v>–</v>
          </cell>
          <cell r="P18">
            <v>8</v>
          </cell>
          <cell r="Q18" t="str">
            <v>–</v>
          </cell>
          <cell r="R18" t="str">
            <v>–</v>
          </cell>
          <cell r="S18" t="str">
            <v>–</v>
          </cell>
          <cell r="T18" t="str">
            <v>–</v>
          </cell>
          <cell r="U18" t="str">
            <v>–</v>
          </cell>
          <cell r="V18" t="str">
            <v>–</v>
          </cell>
          <cell r="W18">
            <v>0.5</v>
          </cell>
          <cell r="X18" t="str">
            <v>–</v>
          </cell>
          <cell r="Y18" t="str">
            <v>–</v>
          </cell>
          <cell r="Z18">
            <v>1.1299999999999999</v>
          </cell>
          <cell r="AA18">
            <v>1.125</v>
          </cell>
          <cell r="AB18" t="str">
            <v>–</v>
          </cell>
          <cell r="AC18">
            <v>2.17</v>
          </cell>
          <cell r="AD18">
            <v>2.17</v>
          </cell>
          <cell r="AE18" t="str">
            <v>–</v>
          </cell>
          <cell r="AF18">
            <v>0.49</v>
          </cell>
          <cell r="AG18">
            <v>0.49</v>
          </cell>
          <cell r="AH18" t="str">
            <v>–</v>
          </cell>
          <cell r="AI18">
            <v>16</v>
          </cell>
          <cell r="AJ18" t="str">
            <v>–</v>
          </cell>
          <cell r="AK18" t="str">
            <v>–</v>
          </cell>
          <cell r="AL18" t="str">
            <v>–</v>
          </cell>
          <cell r="AM18" t="str">
            <v>–</v>
          </cell>
          <cell r="AN18">
            <v>48.8</v>
          </cell>
          <cell r="AO18">
            <v>15.1</v>
          </cell>
          <cell r="AP18">
            <v>8.36</v>
          </cell>
          <cell r="AQ18">
            <v>2.4900000000000002</v>
          </cell>
          <cell r="AR18">
            <v>48.8</v>
          </cell>
          <cell r="AS18">
            <v>15.1</v>
          </cell>
          <cell r="AT18">
            <v>8.36</v>
          </cell>
          <cell r="AU18">
            <v>2.4900000000000002</v>
          </cell>
          <cell r="AV18">
            <v>19.8</v>
          </cell>
          <cell r="CL18" t="str">
            <v>A572 Gr. 50</v>
          </cell>
          <cell r="CM18" t="str">
            <v>Grade 50</v>
          </cell>
          <cell r="CN18">
            <v>50</v>
          </cell>
          <cell r="CO18">
            <v>65</v>
          </cell>
          <cell r="DS18" t="str">
            <v>W44X335</v>
          </cell>
          <cell r="DT18">
            <v>1620</v>
          </cell>
          <cell r="DU18">
            <v>335</v>
          </cell>
          <cell r="DV18">
            <v>1620</v>
          </cell>
        </row>
        <row r="19">
          <cell r="C19" t="str">
            <v>L8X6X1</v>
          </cell>
          <cell r="D19" t="str">
            <v>F</v>
          </cell>
          <cell r="E19">
            <v>44.2</v>
          </cell>
          <cell r="F19">
            <v>13.1</v>
          </cell>
          <cell r="G19" t="str">
            <v>L8X6X1</v>
          </cell>
          <cell r="H19">
            <v>6</v>
          </cell>
          <cell r="I19" t="str">
            <v>–</v>
          </cell>
          <cell r="J19" t="str">
            <v>–</v>
          </cell>
          <cell r="K19" t="str">
            <v>–</v>
          </cell>
          <cell r="L19" t="str">
            <v>–</v>
          </cell>
          <cell r="M19" t="str">
            <v>–</v>
          </cell>
          <cell r="N19" t="str">
            <v>–</v>
          </cell>
          <cell r="O19" t="str">
            <v>–</v>
          </cell>
          <cell r="P19">
            <v>8</v>
          </cell>
          <cell r="Q19" t="str">
            <v>–</v>
          </cell>
          <cell r="R19" t="str">
            <v>–</v>
          </cell>
          <cell r="S19" t="str">
            <v>–</v>
          </cell>
          <cell r="T19" t="str">
            <v>–</v>
          </cell>
          <cell r="U19" t="str">
            <v>–</v>
          </cell>
          <cell r="V19" t="str">
            <v>–</v>
          </cell>
          <cell r="W19">
            <v>1</v>
          </cell>
          <cell r="X19" t="str">
            <v>–</v>
          </cell>
          <cell r="Y19" t="str">
            <v>–</v>
          </cell>
          <cell r="Z19">
            <v>1.5</v>
          </cell>
          <cell r="AA19">
            <v>1.5</v>
          </cell>
          <cell r="AB19" t="str">
            <v>–</v>
          </cell>
          <cell r="AC19">
            <v>1.65</v>
          </cell>
          <cell r="AD19">
            <v>2.65</v>
          </cell>
          <cell r="AE19" t="str">
            <v>–</v>
          </cell>
          <cell r="AF19">
            <v>0.81899999999999995</v>
          </cell>
          <cell r="AG19">
            <v>1.45</v>
          </cell>
          <cell r="AH19" t="str">
            <v>–</v>
          </cell>
          <cell r="AI19">
            <v>8</v>
          </cell>
          <cell r="AJ19" t="str">
            <v>–</v>
          </cell>
          <cell r="AK19" t="str">
            <v>–</v>
          </cell>
          <cell r="AL19" t="str">
            <v>–</v>
          </cell>
          <cell r="AM19" t="str">
            <v>–</v>
          </cell>
          <cell r="AN19">
            <v>80.900000000000006</v>
          </cell>
          <cell r="AO19">
            <v>27.3</v>
          </cell>
          <cell r="AP19">
            <v>15.1</v>
          </cell>
          <cell r="AQ19">
            <v>2.4900000000000002</v>
          </cell>
          <cell r="AR19">
            <v>38.799999999999997</v>
          </cell>
          <cell r="AS19">
            <v>16.2</v>
          </cell>
          <cell r="AT19">
            <v>8.92</v>
          </cell>
          <cell r="AU19">
            <v>1.72</v>
          </cell>
          <cell r="AV19">
            <v>21.3</v>
          </cell>
          <cell r="CL19" t="str">
            <v>A572 Gr. 55</v>
          </cell>
          <cell r="CM19" t="str">
            <v>Grade 55</v>
          </cell>
          <cell r="CN19">
            <v>55</v>
          </cell>
          <cell r="CO19">
            <v>70</v>
          </cell>
          <cell r="DS19" t="str">
            <v>W40X324</v>
          </cell>
          <cell r="DT19">
            <v>1460</v>
          </cell>
          <cell r="DU19">
            <v>324</v>
          </cell>
          <cell r="DV19">
            <v>1460</v>
          </cell>
        </row>
        <row r="20">
          <cell r="C20" t="str">
            <v>L8X6X7/8</v>
          </cell>
          <cell r="D20" t="str">
            <v>F</v>
          </cell>
          <cell r="E20">
            <v>39.1</v>
          </cell>
          <cell r="F20">
            <v>11.5</v>
          </cell>
          <cell r="G20" t="str">
            <v>L8X6X7/8</v>
          </cell>
          <cell r="H20">
            <v>6</v>
          </cell>
          <cell r="I20" t="str">
            <v>–</v>
          </cell>
          <cell r="J20" t="str">
            <v>–</v>
          </cell>
          <cell r="K20" t="str">
            <v>–</v>
          </cell>
          <cell r="L20" t="str">
            <v>–</v>
          </cell>
          <cell r="M20" t="str">
            <v>–</v>
          </cell>
          <cell r="N20" t="str">
            <v>–</v>
          </cell>
          <cell r="O20" t="str">
            <v>–</v>
          </cell>
          <cell r="P20">
            <v>8</v>
          </cell>
          <cell r="Q20" t="str">
            <v>–</v>
          </cell>
          <cell r="R20" t="str">
            <v>–</v>
          </cell>
          <cell r="S20" t="str">
            <v>–</v>
          </cell>
          <cell r="T20" t="str">
            <v>–</v>
          </cell>
          <cell r="U20" t="str">
            <v>–</v>
          </cell>
          <cell r="V20" t="str">
            <v>–</v>
          </cell>
          <cell r="W20">
            <v>0.875</v>
          </cell>
          <cell r="X20" t="str">
            <v>–</v>
          </cell>
          <cell r="Y20" t="str">
            <v>–</v>
          </cell>
          <cell r="Z20">
            <v>1.38</v>
          </cell>
          <cell r="AA20">
            <v>1.375</v>
          </cell>
          <cell r="AB20" t="str">
            <v>–</v>
          </cell>
          <cell r="AC20">
            <v>1.6</v>
          </cell>
          <cell r="AD20">
            <v>2.6</v>
          </cell>
          <cell r="AE20" t="str">
            <v>–</v>
          </cell>
          <cell r="AF20">
            <v>0.71899999999999997</v>
          </cell>
          <cell r="AG20">
            <v>1.43</v>
          </cell>
          <cell r="AH20" t="str">
            <v>–</v>
          </cell>
          <cell r="AI20">
            <v>9.14</v>
          </cell>
          <cell r="AJ20" t="str">
            <v>–</v>
          </cell>
          <cell r="AK20" t="str">
            <v>–</v>
          </cell>
          <cell r="AL20" t="str">
            <v>–</v>
          </cell>
          <cell r="AM20" t="str">
            <v>–</v>
          </cell>
          <cell r="AN20">
            <v>72.400000000000006</v>
          </cell>
          <cell r="AO20">
            <v>24.3</v>
          </cell>
          <cell r="AP20">
            <v>13.4</v>
          </cell>
          <cell r="AQ20">
            <v>2.5</v>
          </cell>
          <cell r="AR20">
            <v>34.9</v>
          </cell>
          <cell r="AS20">
            <v>14.4</v>
          </cell>
          <cell r="AT20">
            <v>7.94</v>
          </cell>
          <cell r="AU20">
            <v>1.74</v>
          </cell>
          <cell r="AV20">
            <v>18.899999999999999</v>
          </cell>
          <cell r="CL20" t="str">
            <v>A572 Gr. 60</v>
          </cell>
          <cell r="CM20" t="str">
            <v>Grade 60</v>
          </cell>
          <cell r="CN20">
            <v>60</v>
          </cell>
          <cell r="CO20">
            <v>75</v>
          </cell>
          <cell r="DS20" t="str">
            <v>W44X290</v>
          </cell>
          <cell r="DT20">
            <v>1410</v>
          </cell>
          <cell r="DU20">
            <v>290</v>
          </cell>
          <cell r="DV20">
            <v>1410</v>
          </cell>
        </row>
        <row r="21">
          <cell r="C21" t="str">
            <v>L8X6X3/4</v>
          </cell>
          <cell r="D21" t="str">
            <v>F</v>
          </cell>
          <cell r="E21">
            <v>33.799999999999997</v>
          </cell>
          <cell r="F21">
            <v>9.99</v>
          </cell>
          <cell r="G21" t="str">
            <v>L8X6X3/4</v>
          </cell>
          <cell r="H21">
            <v>6</v>
          </cell>
          <cell r="I21" t="str">
            <v>–</v>
          </cell>
          <cell r="J21" t="str">
            <v>–</v>
          </cell>
          <cell r="K21" t="str">
            <v>–</v>
          </cell>
          <cell r="L21" t="str">
            <v>–</v>
          </cell>
          <cell r="M21" t="str">
            <v>–</v>
          </cell>
          <cell r="N21" t="str">
            <v>–</v>
          </cell>
          <cell r="O21" t="str">
            <v>–</v>
          </cell>
          <cell r="P21">
            <v>8</v>
          </cell>
          <cell r="Q21" t="str">
            <v>–</v>
          </cell>
          <cell r="R21" t="str">
            <v>–</v>
          </cell>
          <cell r="S21" t="str">
            <v>–</v>
          </cell>
          <cell r="T21" t="str">
            <v>–</v>
          </cell>
          <cell r="U21" t="str">
            <v>–</v>
          </cell>
          <cell r="V21" t="str">
            <v>–</v>
          </cell>
          <cell r="W21">
            <v>0.75</v>
          </cell>
          <cell r="X21" t="str">
            <v>–</v>
          </cell>
          <cell r="Y21" t="str">
            <v>–</v>
          </cell>
          <cell r="Z21">
            <v>1.25</v>
          </cell>
          <cell r="AA21">
            <v>1.25</v>
          </cell>
          <cell r="AB21" t="str">
            <v>–</v>
          </cell>
          <cell r="AC21">
            <v>1.56</v>
          </cell>
          <cell r="AD21">
            <v>2.5499999999999998</v>
          </cell>
          <cell r="AE21" t="str">
            <v>–</v>
          </cell>
          <cell r="AF21">
            <v>0.624</v>
          </cell>
          <cell r="AG21">
            <v>1.34</v>
          </cell>
          <cell r="AH21" t="str">
            <v>–</v>
          </cell>
          <cell r="AI21">
            <v>10.7</v>
          </cell>
          <cell r="AJ21" t="str">
            <v>–</v>
          </cell>
          <cell r="AK21" t="str">
            <v>–</v>
          </cell>
          <cell r="AL21" t="str">
            <v>–</v>
          </cell>
          <cell r="AM21" t="str">
            <v>–</v>
          </cell>
          <cell r="AN21">
            <v>63.5</v>
          </cell>
          <cell r="AO21">
            <v>21.1</v>
          </cell>
          <cell r="AP21">
            <v>11.7</v>
          </cell>
          <cell r="AQ21">
            <v>2.52</v>
          </cell>
          <cell r="AR21">
            <v>30.8</v>
          </cell>
          <cell r="AS21">
            <v>12.5</v>
          </cell>
          <cell r="AT21">
            <v>6.92</v>
          </cell>
          <cell r="AU21">
            <v>1.75</v>
          </cell>
          <cell r="AV21">
            <v>16.600000000000001</v>
          </cell>
          <cell r="CL21" t="str">
            <v>A572 Gr. 65</v>
          </cell>
          <cell r="CM21" t="str">
            <v>Grade 65</v>
          </cell>
          <cell r="CN21">
            <v>65</v>
          </cell>
          <cell r="CO21">
            <v>80</v>
          </cell>
          <cell r="DS21" t="str">
            <v>W44X262</v>
          </cell>
          <cell r="DT21">
            <v>1270</v>
          </cell>
          <cell r="DU21">
            <v>262</v>
          </cell>
          <cell r="DV21">
            <v>1270</v>
          </cell>
        </row>
        <row r="22">
          <cell r="C22" t="str">
            <v>L8X6X5/8</v>
          </cell>
          <cell r="D22" t="str">
            <v>F</v>
          </cell>
          <cell r="E22">
            <v>28.5</v>
          </cell>
          <cell r="F22">
            <v>8.41</v>
          </cell>
          <cell r="G22" t="str">
            <v>L8X6X5/8</v>
          </cell>
          <cell r="H22">
            <v>6</v>
          </cell>
          <cell r="I22" t="str">
            <v>–</v>
          </cell>
          <cell r="J22" t="str">
            <v>–</v>
          </cell>
          <cell r="K22" t="str">
            <v>–</v>
          </cell>
          <cell r="L22" t="str">
            <v>–</v>
          </cell>
          <cell r="M22" t="str">
            <v>–</v>
          </cell>
          <cell r="N22" t="str">
            <v>–</v>
          </cell>
          <cell r="O22" t="str">
            <v>–</v>
          </cell>
          <cell r="P22">
            <v>8</v>
          </cell>
          <cell r="Q22" t="str">
            <v>–</v>
          </cell>
          <cell r="R22" t="str">
            <v>–</v>
          </cell>
          <cell r="S22" t="str">
            <v>–</v>
          </cell>
          <cell r="T22" t="str">
            <v>–</v>
          </cell>
          <cell r="U22" t="str">
            <v>–</v>
          </cell>
          <cell r="V22" t="str">
            <v>–</v>
          </cell>
          <cell r="W22">
            <v>0.625</v>
          </cell>
          <cell r="X22" t="str">
            <v>–</v>
          </cell>
          <cell r="Y22" t="str">
            <v>–</v>
          </cell>
          <cell r="Z22">
            <v>1.1299999999999999</v>
          </cell>
          <cell r="AA22">
            <v>1.125</v>
          </cell>
          <cell r="AB22" t="str">
            <v>–</v>
          </cell>
          <cell r="AC22">
            <v>1.51</v>
          </cell>
          <cell r="AD22">
            <v>2.5</v>
          </cell>
          <cell r="AE22" t="str">
            <v>–</v>
          </cell>
          <cell r="AF22">
            <v>0.52600000000000002</v>
          </cell>
          <cell r="AG22">
            <v>1.27</v>
          </cell>
          <cell r="AH22" t="str">
            <v>–</v>
          </cell>
          <cell r="AI22">
            <v>12.8</v>
          </cell>
          <cell r="AJ22" t="str">
            <v>–</v>
          </cell>
          <cell r="AK22" t="str">
            <v>–</v>
          </cell>
          <cell r="AL22" t="str">
            <v>–</v>
          </cell>
          <cell r="AM22" t="str">
            <v>–</v>
          </cell>
          <cell r="AN22">
            <v>54.2</v>
          </cell>
          <cell r="AO22">
            <v>17.899999999999999</v>
          </cell>
          <cell r="AP22">
            <v>9.86</v>
          </cell>
          <cell r="AQ22">
            <v>2.54</v>
          </cell>
          <cell r="AR22">
            <v>26.4</v>
          </cell>
          <cell r="AS22">
            <v>10.5</v>
          </cell>
          <cell r="AT22">
            <v>5.88</v>
          </cell>
          <cell r="AU22">
            <v>1.77</v>
          </cell>
          <cell r="AV22">
            <v>14.1</v>
          </cell>
          <cell r="CL22" t="str">
            <v>A618 Gr. Ia, Ib, &amp; II</v>
          </cell>
          <cell r="CM22" t="str">
            <v>Gr. Ia, Ib, &amp; III</v>
          </cell>
          <cell r="CN22">
            <v>50</v>
          </cell>
          <cell r="CO22">
            <v>70</v>
          </cell>
          <cell r="DS22" t="str">
            <v>W40X249</v>
          </cell>
          <cell r="DT22">
            <v>1120</v>
          </cell>
          <cell r="DU22">
            <v>249</v>
          </cell>
          <cell r="DV22">
            <v>1120</v>
          </cell>
        </row>
        <row r="23">
          <cell r="C23" t="str">
            <v>L8X6X9/16</v>
          </cell>
          <cell r="D23" t="str">
            <v>F</v>
          </cell>
          <cell r="E23">
            <v>25.7</v>
          </cell>
          <cell r="F23">
            <v>7.61</v>
          </cell>
          <cell r="G23" t="str">
            <v>L8X6X9/16</v>
          </cell>
          <cell r="H23">
            <v>6</v>
          </cell>
          <cell r="I23" t="str">
            <v>–</v>
          </cell>
          <cell r="J23" t="str">
            <v>–</v>
          </cell>
          <cell r="K23" t="str">
            <v>–</v>
          </cell>
          <cell r="L23" t="str">
            <v>–</v>
          </cell>
          <cell r="M23" t="str">
            <v>–</v>
          </cell>
          <cell r="N23" t="str">
            <v>–</v>
          </cell>
          <cell r="O23" t="str">
            <v>–</v>
          </cell>
          <cell r="P23">
            <v>8</v>
          </cell>
          <cell r="Q23" t="str">
            <v>–</v>
          </cell>
          <cell r="R23" t="str">
            <v>–</v>
          </cell>
          <cell r="S23" t="str">
            <v>–</v>
          </cell>
          <cell r="T23" t="str">
            <v>–</v>
          </cell>
          <cell r="U23" t="str">
            <v>–</v>
          </cell>
          <cell r="V23" t="str">
            <v>–</v>
          </cell>
          <cell r="W23">
            <v>0.56299999999999994</v>
          </cell>
          <cell r="X23" t="str">
            <v>–</v>
          </cell>
          <cell r="Y23" t="str">
            <v>–</v>
          </cell>
          <cell r="Z23">
            <v>1.06</v>
          </cell>
          <cell r="AA23">
            <v>1.0625</v>
          </cell>
          <cell r="AB23" t="str">
            <v>–</v>
          </cell>
          <cell r="AC23">
            <v>1.49</v>
          </cell>
          <cell r="AD23">
            <v>2.48</v>
          </cell>
          <cell r="AE23" t="str">
            <v>–</v>
          </cell>
          <cell r="AF23">
            <v>0.47599999999999998</v>
          </cell>
          <cell r="AG23">
            <v>1.24</v>
          </cell>
          <cell r="AH23" t="str">
            <v>–</v>
          </cell>
          <cell r="AI23">
            <v>14.2</v>
          </cell>
          <cell r="AJ23" t="str">
            <v>–</v>
          </cell>
          <cell r="AK23" t="str">
            <v>–</v>
          </cell>
          <cell r="AL23" t="str">
            <v>–</v>
          </cell>
          <cell r="AM23" t="str">
            <v>–</v>
          </cell>
          <cell r="AN23">
            <v>49.4</v>
          </cell>
          <cell r="AO23">
            <v>16.2</v>
          </cell>
          <cell r="AP23">
            <v>8.94</v>
          </cell>
          <cell r="AQ23">
            <v>2.5499999999999998</v>
          </cell>
          <cell r="AR23">
            <v>24.1</v>
          </cell>
          <cell r="AS23">
            <v>9.52</v>
          </cell>
          <cell r="AT23">
            <v>5.34</v>
          </cell>
          <cell r="AU23">
            <v>1.78</v>
          </cell>
          <cell r="AV23">
            <v>12.8</v>
          </cell>
          <cell r="CL23" t="str">
            <v>A618 Gr. III</v>
          </cell>
          <cell r="CM23" t="str">
            <v>Gr. III</v>
          </cell>
          <cell r="CN23">
            <v>50</v>
          </cell>
          <cell r="CO23">
            <v>65</v>
          </cell>
          <cell r="DS23" t="str">
            <v>W44X230</v>
          </cell>
          <cell r="DT23">
            <v>1100</v>
          </cell>
          <cell r="DU23">
            <v>230</v>
          </cell>
          <cell r="DV23">
            <v>1100</v>
          </cell>
        </row>
        <row r="24">
          <cell r="C24" t="str">
            <v>L8X6X1/2</v>
          </cell>
          <cell r="D24" t="str">
            <v>F</v>
          </cell>
          <cell r="E24">
            <v>23</v>
          </cell>
          <cell r="F24">
            <v>6.8</v>
          </cell>
          <cell r="G24" t="str">
            <v>L8X6X1/2</v>
          </cell>
          <cell r="H24">
            <v>6</v>
          </cell>
          <cell r="I24" t="str">
            <v>–</v>
          </cell>
          <cell r="J24" t="str">
            <v>–</v>
          </cell>
          <cell r="K24" t="str">
            <v>–</v>
          </cell>
          <cell r="L24" t="str">
            <v>–</v>
          </cell>
          <cell r="M24" t="str">
            <v>–</v>
          </cell>
          <cell r="N24" t="str">
            <v>–</v>
          </cell>
          <cell r="O24" t="str">
            <v>–</v>
          </cell>
          <cell r="P24">
            <v>8</v>
          </cell>
          <cell r="Q24" t="str">
            <v>–</v>
          </cell>
          <cell r="R24" t="str">
            <v>–</v>
          </cell>
          <cell r="S24" t="str">
            <v>–</v>
          </cell>
          <cell r="T24" t="str">
            <v>–</v>
          </cell>
          <cell r="U24" t="str">
            <v>–</v>
          </cell>
          <cell r="V24" t="str">
            <v>–</v>
          </cell>
          <cell r="W24">
            <v>0.5</v>
          </cell>
          <cell r="X24" t="str">
            <v>–</v>
          </cell>
          <cell r="Y24" t="str">
            <v>–</v>
          </cell>
          <cell r="Z24">
            <v>1</v>
          </cell>
          <cell r="AA24">
            <v>1</v>
          </cell>
          <cell r="AB24" t="str">
            <v>–</v>
          </cell>
          <cell r="AC24">
            <v>1.46</v>
          </cell>
          <cell r="AD24">
            <v>2.46</v>
          </cell>
          <cell r="AE24" t="str">
            <v>–</v>
          </cell>
          <cell r="AF24">
            <v>0.42499999999999999</v>
          </cell>
          <cell r="AG24">
            <v>1.2</v>
          </cell>
          <cell r="AH24" t="str">
            <v>–</v>
          </cell>
          <cell r="AI24">
            <v>16</v>
          </cell>
          <cell r="AJ24" t="str">
            <v>–</v>
          </cell>
          <cell r="AK24" t="str">
            <v>–</v>
          </cell>
          <cell r="AL24" t="str">
            <v>–</v>
          </cell>
          <cell r="AM24" t="str">
            <v>–</v>
          </cell>
          <cell r="AN24">
            <v>44.4</v>
          </cell>
          <cell r="AO24">
            <v>14.6</v>
          </cell>
          <cell r="AP24">
            <v>8.01</v>
          </cell>
          <cell r="AQ24">
            <v>2.5499999999999998</v>
          </cell>
          <cell r="AR24">
            <v>21.7</v>
          </cell>
          <cell r="AS24">
            <v>8.52</v>
          </cell>
          <cell r="AT24">
            <v>4.79</v>
          </cell>
          <cell r="AU24">
            <v>1.79</v>
          </cell>
          <cell r="AV24">
            <v>11.5</v>
          </cell>
          <cell r="CL24" t="str">
            <v>A709 Gr. 50</v>
          </cell>
          <cell r="CM24">
            <v>50</v>
          </cell>
          <cell r="CN24">
            <v>50</v>
          </cell>
          <cell r="CO24">
            <v>65</v>
          </cell>
          <cell r="DS24" t="str">
            <v>W40X215</v>
          </cell>
          <cell r="DT24">
            <v>964</v>
          </cell>
          <cell r="DU24">
            <v>215</v>
          </cell>
          <cell r="DV24">
            <v>964</v>
          </cell>
        </row>
        <row r="25">
          <cell r="C25" t="str">
            <v>L8X6X7/16</v>
          </cell>
          <cell r="D25" t="str">
            <v>F</v>
          </cell>
          <cell r="E25">
            <v>20.2</v>
          </cell>
          <cell r="F25">
            <v>5.99</v>
          </cell>
          <cell r="G25" t="str">
            <v>L8X6X7/16</v>
          </cell>
          <cell r="H25">
            <v>6</v>
          </cell>
          <cell r="I25" t="str">
            <v>–</v>
          </cell>
          <cell r="J25" t="str">
            <v>–</v>
          </cell>
          <cell r="K25" t="str">
            <v>–</v>
          </cell>
          <cell r="L25" t="str">
            <v>–</v>
          </cell>
          <cell r="M25" t="str">
            <v>–</v>
          </cell>
          <cell r="N25" t="str">
            <v>–</v>
          </cell>
          <cell r="O25" t="str">
            <v>–</v>
          </cell>
          <cell r="P25">
            <v>8</v>
          </cell>
          <cell r="Q25" t="str">
            <v>–</v>
          </cell>
          <cell r="R25" t="str">
            <v>–</v>
          </cell>
          <cell r="S25" t="str">
            <v>–</v>
          </cell>
          <cell r="T25" t="str">
            <v>–</v>
          </cell>
          <cell r="U25" t="str">
            <v>–</v>
          </cell>
          <cell r="V25" t="str">
            <v>–</v>
          </cell>
          <cell r="W25">
            <v>0.438</v>
          </cell>
          <cell r="X25" t="str">
            <v>–</v>
          </cell>
          <cell r="Y25" t="str">
            <v>–</v>
          </cell>
          <cell r="Z25">
            <v>0.93799999999999994</v>
          </cell>
          <cell r="AA25">
            <v>0.9375</v>
          </cell>
          <cell r="AB25" t="str">
            <v>–</v>
          </cell>
          <cell r="AC25">
            <v>1.44</v>
          </cell>
          <cell r="AD25">
            <v>2.4300000000000002</v>
          </cell>
          <cell r="AE25" t="str">
            <v>–</v>
          </cell>
          <cell r="AF25">
            <v>0.374</v>
          </cell>
          <cell r="AG25">
            <v>1.1499999999999999</v>
          </cell>
          <cell r="AH25" t="str">
            <v>–</v>
          </cell>
          <cell r="AI25">
            <v>18.3</v>
          </cell>
          <cell r="AJ25" t="str">
            <v>–</v>
          </cell>
          <cell r="AK25" t="str">
            <v>–</v>
          </cell>
          <cell r="AL25" t="str">
            <v>–</v>
          </cell>
          <cell r="AM25" t="str">
            <v>–</v>
          </cell>
          <cell r="AN25">
            <v>39.299999999999997</v>
          </cell>
          <cell r="AO25">
            <v>12.9</v>
          </cell>
          <cell r="AP25">
            <v>7.06</v>
          </cell>
          <cell r="AQ25">
            <v>2.56</v>
          </cell>
          <cell r="AR25">
            <v>19.3</v>
          </cell>
          <cell r="AS25">
            <v>7.5</v>
          </cell>
          <cell r="AT25">
            <v>4.2300000000000004</v>
          </cell>
          <cell r="AU25">
            <v>1.8</v>
          </cell>
          <cell r="AV25">
            <v>10.199999999999999</v>
          </cell>
          <cell r="CL25" t="str">
            <v>A709 Gr. 50S</v>
          </cell>
          <cell r="CM25" t="str">
            <v>50S</v>
          </cell>
          <cell r="CN25">
            <v>50</v>
          </cell>
          <cell r="CO25">
            <v>65</v>
          </cell>
          <cell r="DS25" t="str">
            <v>W40X211</v>
          </cell>
          <cell r="DT25">
            <v>906</v>
          </cell>
          <cell r="DU25">
            <v>211</v>
          </cell>
          <cell r="DV25">
            <v>906</v>
          </cell>
        </row>
        <row r="26">
          <cell r="C26" t="str">
            <v>L8X4X1</v>
          </cell>
          <cell r="D26" t="str">
            <v>F</v>
          </cell>
          <cell r="E26">
            <v>37.4</v>
          </cell>
          <cell r="F26">
            <v>11.1</v>
          </cell>
          <cell r="G26" t="str">
            <v>L8X4X1</v>
          </cell>
          <cell r="H26">
            <v>4</v>
          </cell>
          <cell r="I26" t="str">
            <v>–</v>
          </cell>
          <cell r="J26" t="str">
            <v>–</v>
          </cell>
          <cell r="K26" t="str">
            <v>–</v>
          </cell>
          <cell r="L26" t="str">
            <v>–</v>
          </cell>
          <cell r="M26" t="str">
            <v>–</v>
          </cell>
          <cell r="N26" t="str">
            <v>–</v>
          </cell>
          <cell r="O26" t="str">
            <v>–</v>
          </cell>
          <cell r="P26">
            <v>8</v>
          </cell>
          <cell r="Q26" t="str">
            <v>–</v>
          </cell>
          <cell r="R26" t="str">
            <v>–</v>
          </cell>
          <cell r="S26" t="str">
            <v>–</v>
          </cell>
          <cell r="T26" t="str">
            <v>–</v>
          </cell>
          <cell r="U26" t="str">
            <v>–</v>
          </cell>
          <cell r="V26" t="str">
            <v>–</v>
          </cell>
          <cell r="W26">
            <v>1</v>
          </cell>
          <cell r="X26" t="str">
            <v>–</v>
          </cell>
          <cell r="Y26" t="str">
            <v>–</v>
          </cell>
          <cell r="Z26">
            <v>1.5</v>
          </cell>
          <cell r="AA26">
            <v>1.5</v>
          </cell>
          <cell r="AB26" t="str">
            <v>–</v>
          </cell>
          <cell r="AC26">
            <v>1.04</v>
          </cell>
          <cell r="AD26">
            <v>3.03</v>
          </cell>
          <cell r="AE26" t="str">
            <v>–</v>
          </cell>
          <cell r="AF26">
            <v>0.69399999999999995</v>
          </cell>
          <cell r="AG26">
            <v>2.4500000000000002</v>
          </cell>
          <cell r="AH26" t="str">
            <v>–</v>
          </cell>
          <cell r="AI26">
            <v>8</v>
          </cell>
          <cell r="AJ26" t="str">
            <v>–</v>
          </cell>
          <cell r="AK26" t="str">
            <v>–</v>
          </cell>
          <cell r="AL26" t="str">
            <v>–</v>
          </cell>
          <cell r="AM26" t="str">
            <v>–</v>
          </cell>
          <cell r="AN26">
            <v>69.7</v>
          </cell>
          <cell r="AO26">
            <v>24.3</v>
          </cell>
          <cell r="AP26">
            <v>14</v>
          </cell>
          <cell r="AQ26">
            <v>2.5099999999999998</v>
          </cell>
          <cell r="AR26">
            <v>11.6</v>
          </cell>
          <cell r="AS26">
            <v>7.73</v>
          </cell>
          <cell r="AT26">
            <v>3.94</v>
          </cell>
          <cell r="AU26">
            <v>1.03</v>
          </cell>
          <cell r="AV26">
            <v>7.83</v>
          </cell>
          <cell r="CL26" t="str">
            <v>A709 Gr. 50W</v>
          </cell>
          <cell r="CM26" t="str">
            <v>50W</v>
          </cell>
          <cell r="CN26">
            <v>50</v>
          </cell>
          <cell r="CO26">
            <v>70</v>
          </cell>
          <cell r="DS26" t="str">
            <v>W40X199</v>
          </cell>
          <cell r="DT26">
            <v>869</v>
          </cell>
          <cell r="DU26">
            <v>199</v>
          </cell>
          <cell r="DV26">
            <v>869</v>
          </cell>
        </row>
        <row r="27">
          <cell r="C27" t="str">
            <v>L8X4X7/8</v>
          </cell>
          <cell r="D27" t="str">
            <v>F</v>
          </cell>
          <cell r="E27">
            <v>33.1</v>
          </cell>
          <cell r="F27">
            <v>9.7899999999999991</v>
          </cell>
          <cell r="G27" t="str">
            <v>L8X4X7/8</v>
          </cell>
          <cell r="H27">
            <v>4</v>
          </cell>
          <cell r="I27" t="str">
            <v>–</v>
          </cell>
          <cell r="J27" t="str">
            <v>–</v>
          </cell>
          <cell r="K27" t="str">
            <v>–</v>
          </cell>
          <cell r="L27" t="str">
            <v>–</v>
          </cell>
          <cell r="M27" t="str">
            <v>–</v>
          </cell>
          <cell r="N27" t="str">
            <v>–</v>
          </cell>
          <cell r="O27" t="str">
            <v>–</v>
          </cell>
          <cell r="P27">
            <v>8</v>
          </cell>
          <cell r="Q27" t="str">
            <v>–</v>
          </cell>
          <cell r="R27" t="str">
            <v>–</v>
          </cell>
          <cell r="S27" t="str">
            <v>–</v>
          </cell>
          <cell r="T27" t="str">
            <v>–</v>
          </cell>
          <cell r="U27" t="str">
            <v>–</v>
          </cell>
          <cell r="V27" t="str">
            <v>–</v>
          </cell>
          <cell r="W27">
            <v>0.875</v>
          </cell>
          <cell r="X27" t="str">
            <v>–</v>
          </cell>
          <cell r="Y27" t="str">
            <v>–</v>
          </cell>
          <cell r="Z27">
            <v>1.38</v>
          </cell>
          <cell r="AA27">
            <v>1.375</v>
          </cell>
          <cell r="AB27" t="str">
            <v>–</v>
          </cell>
          <cell r="AC27">
            <v>0.997</v>
          </cell>
          <cell r="AD27">
            <v>2.99</v>
          </cell>
          <cell r="AE27" t="str">
            <v>–</v>
          </cell>
          <cell r="AF27">
            <v>0.61199999999999999</v>
          </cell>
          <cell r="AG27">
            <v>2.41</v>
          </cell>
          <cell r="AH27" t="str">
            <v>–</v>
          </cell>
          <cell r="AI27">
            <v>9.14</v>
          </cell>
          <cell r="AJ27" t="str">
            <v>–</v>
          </cell>
          <cell r="AK27" t="str">
            <v>–</v>
          </cell>
          <cell r="AL27" t="str">
            <v>–</v>
          </cell>
          <cell r="AM27" t="str">
            <v>–</v>
          </cell>
          <cell r="AN27">
            <v>62.6</v>
          </cell>
          <cell r="AO27">
            <v>21.7</v>
          </cell>
          <cell r="AP27">
            <v>12.5</v>
          </cell>
          <cell r="AQ27">
            <v>2.5299999999999998</v>
          </cell>
          <cell r="AR27">
            <v>10.5</v>
          </cell>
          <cell r="AS27">
            <v>6.77</v>
          </cell>
          <cell r="AT27">
            <v>3.51</v>
          </cell>
          <cell r="AU27">
            <v>1.04</v>
          </cell>
          <cell r="AV27">
            <v>6.97</v>
          </cell>
          <cell r="CL27" t="str">
            <v>A913 Gr. 50</v>
          </cell>
          <cell r="CM27">
            <v>50</v>
          </cell>
          <cell r="CN27">
            <v>50</v>
          </cell>
          <cell r="CO27">
            <v>65</v>
          </cell>
          <cell r="DS27" t="str">
            <v>W40X183</v>
          </cell>
          <cell r="DT27">
            <v>774</v>
          </cell>
          <cell r="DU27">
            <v>183</v>
          </cell>
          <cell r="DV27">
            <v>774</v>
          </cell>
        </row>
        <row r="28">
          <cell r="C28" t="str">
            <v>L8X4X3/4</v>
          </cell>
          <cell r="D28" t="str">
            <v>F</v>
          </cell>
          <cell r="E28">
            <v>28.7</v>
          </cell>
          <cell r="F28">
            <v>8.49</v>
          </cell>
          <cell r="G28" t="str">
            <v>L8X4X3/4</v>
          </cell>
          <cell r="H28">
            <v>4</v>
          </cell>
          <cell r="I28" t="str">
            <v>–</v>
          </cell>
          <cell r="J28" t="str">
            <v>–</v>
          </cell>
          <cell r="K28" t="str">
            <v>–</v>
          </cell>
          <cell r="L28" t="str">
            <v>–</v>
          </cell>
          <cell r="M28" t="str">
            <v>–</v>
          </cell>
          <cell r="N28" t="str">
            <v>–</v>
          </cell>
          <cell r="O28" t="str">
            <v>–</v>
          </cell>
          <cell r="P28">
            <v>8</v>
          </cell>
          <cell r="Q28" t="str">
            <v>–</v>
          </cell>
          <cell r="R28" t="str">
            <v>–</v>
          </cell>
          <cell r="S28" t="str">
            <v>–</v>
          </cell>
          <cell r="T28" t="str">
            <v>–</v>
          </cell>
          <cell r="U28" t="str">
            <v>–</v>
          </cell>
          <cell r="V28" t="str">
            <v>–</v>
          </cell>
          <cell r="W28">
            <v>0.75</v>
          </cell>
          <cell r="X28" t="str">
            <v>–</v>
          </cell>
          <cell r="Y28" t="str">
            <v>–</v>
          </cell>
          <cell r="Z28">
            <v>1.25</v>
          </cell>
          <cell r="AA28">
            <v>1.25</v>
          </cell>
          <cell r="AB28" t="str">
            <v>–</v>
          </cell>
          <cell r="AC28">
            <v>0.94899999999999995</v>
          </cell>
          <cell r="AD28">
            <v>2.94</v>
          </cell>
          <cell r="AE28" t="str">
            <v>–</v>
          </cell>
          <cell r="AF28">
            <v>0.53100000000000003</v>
          </cell>
          <cell r="AG28">
            <v>2.34</v>
          </cell>
          <cell r="AH28" t="str">
            <v>–</v>
          </cell>
          <cell r="AI28">
            <v>10.7</v>
          </cell>
          <cell r="AJ28" t="str">
            <v>–</v>
          </cell>
          <cell r="AK28" t="str">
            <v>–</v>
          </cell>
          <cell r="AL28" t="str">
            <v>–</v>
          </cell>
          <cell r="AM28" t="str">
            <v>–</v>
          </cell>
          <cell r="AN28">
            <v>55</v>
          </cell>
          <cell r="AO28">
            <v>18.899999999999999</v>
          </cell>
          <cell r="AP28">
            <v>10.9</v>
          </cell>
          <cell r="AQ28">
            <v>2.5499999999999998</v>
          </cell>
          <cell r="AR28">
            <v>9.3699999999999992</v>
          </cell>
          <cell r="AS28">
            <v>5.82</v>
          </cell>
          <cell r="AT28">
            <v>3.07</v>
          </cell>
          <cell r="AU28">
            <v>1.05</v>
          </cell>
          <cell r="AV28">
            <v>6.14</v>
          </cell>
          <cell r="CL28" t="str">
            <v>A913 Gr. 60</v>
          </cell>
          <cell r="CM28">
            <v>60</v>
          </cell>
          <cell r="CN28">
            <v>60</v>
          </cell>
          <cell r="CO28">
            <v>75</v>
          </cell>
          <cell r="DS28" t="str">
            <v>W36X182</v>
          </cell>
          <cell r="DT28">
            <v>718</v>
          </cell>
          <cell r="DU28">
            <v>182</v>
          </cell>
          <cell r="DV28">
            <v>718</v>
          </cell>
        </row>
        <row r="29">
          <cell r="C29" t="str">
            <v>L8X4X5/8</v>
          </cell>
          <cell r="D29" t="str">
            <v>F</v>
          </cell>
          <cell r="E29">
            <v>24.2</v>
          </cell>
          <cell r="F29">
            <v>7.16</v>
          </cell>
          <cell r="G29" t="str">
            <v>L8X4X5/8</v>
          </cell>
          <cell r="H29">
            <v>4</v>
          </cell>
          <cell r="I29" t="str">
            <v>–</v>
          </cell>
          <cell r="J29" t="str">
            <v>–</v>
          </cell>
          <cell r="K29" t="str">
            <v>–</v>
          </cell>
          <cell r="L29" t="str">
            <v>–</v>
          </cell>
          <cell r="M29" t="str">
            <v>–</v>
          </cell>
          <cell r="N29" t="str">
            <v>–</v>
          </cell>
          <cell r="O29" t="str">
            <v>–</v>
          </cell>
          <cell r="P29">
            <v>8</v>
          </cell>
          <cell r="Q29" t="str">
            <v>–</v>
          </cell>
          <cell r="R29" t="str">
            <v>–</v>
          </cell>
          <cell r="S29" t="str">
            <v>–</v>
          </cell>
          <cell r="T29" t="str">
            <v>–</v>
          </cell>
          <cell r="U29" t="str">
            <v>–</v>
          </cell>
          <cell r="V29" t="str">
            <v>–</v>
          </cell>
          <cell r="W29">
            <v>0.625</v>
          </cell>
          <cell r="X29" t="str">
            <v>–</v>
          </cell>
          <cell r="Y29" t="str">
            <v>–</v>
          </cell>
          <cell r="Z29">
            <v>1.1299999999999999</v>
          </cell>
          <cell r="AA29">
            <v>1.125</v>
          </cell>
          <cell r="AB29" t="str">
            <v>–</v>
          </cell>
          <cell r="AC29">
            <v>0.90200000000000002</v>
          </cell>
          <cell r="AD29">
            <v>2.89</v>
          </cell>
          <cell r="AE29" t="str">
            <v>–</v>
          </cell>
          <cell r="AF29">
            <v>0.44800000000000001</v>
          </cell>
          <cell r="AG29">
            <v>2.27</v>
          </cell>
          <cell r="AH29" t="str">
            <v>–</v>
          </cell>
          <cell r="AI29">
            <v>12.8</v>
          </cell>
          <cell r="AJ29" t="str">
            <v>–</v>
          </cell>
          <cell r="AK29" t="str">
            <v>–</v>
          </cell>
          <cell r="AL29" t="str">
            <v>–</v>
          </cell>
          <cell r="AM29" t="str">
            <v>–</v>
          </cell>
          <cell r="AN29">
            <v>47</v>
          </cell>
          <cell r="AO29">
            <v>16.100000000000001</v>
          </cell>
          <cell r="AP29">
            <v>9.1999999999999993</v>
          </cell>
          <cell r="AQ29">
            <v>2.56</v>
          </cell>
          <cell r="AR29">
            <v>8.11</v>
          </cell>
          <cell r="AS29">
            <v>4.8600000000000003</v>
          </cell>
          <cell r="AT29">
            <v>2.62</v>
          </cell>
          <cell r="AU29">
            <v>1.06</v>
          </cell>
          <cell r="AV29">
            <v>5.24</v>
          </cell>
          <cell r="CL29" t="str">
            <v>A913 Gr. 65</v>
          </cell>
          <cell r="CM29">
            <v>65</v>
          </cell>
          <cell r="CN29">
            <v>65</v>
          </cell>
          <cell r="CO29">
            <v>80</v>
          </cell>
          <cell r="DS29" t="str">
            <v>W40X167</v>
          </cell>
          <cell r="DT29">
            <v>693</v>
          </cell>
          <cell r="DU29">
            <v>167</v>
          </cell>
          <cell r="DV29">
            <v>693</v>
          </cell>
        </row>
        <row r="30">
          <cell r="C30" t="str">
            <v>L8X4X9/16</v>
          </cell>
          <cell r="D30" t="str">
            <v>F</v>
          </cell>
          <cell r="E30">
            <v>21.9</v>
          </cell>
          <cell r="F30">
            <v>6.49</v>
          </cell>
          <cell r="G30" t="str">
            <v>L8X4X9/16</v>
          </cell>
          <cell r="H30">
            <v>4</v>
          </cell>
          <cell r="I30" t="str">
            <v>–</v>
          </cell>
          <cell r="J30" t="str">
            <v>–</v>
          </cell>
          <cell r="K30" t="str">
            <v>–</v>
          </cell>
          <cell r="L30" t="str">
            <v>–</v>
          </cell>
          <cell r="M30" t="str">
            <v>–</v>
          </cell>
          <cell r="N30" t="str">
            <v>–</v>
          </cell>
          <cell r="O30" t="str">
            <v>–</v>
          </cell>
          <cell r="P30">
            <v>8</v>
          </cell>
          <cell r="Q30" t="str">
            <v>–</v>
          </cell>
          <cell r="R30" t="str">
            <v>–</v>
          </cell>
          <cell r="S30" t="str">
            <v>–</v>
          </cell>
          <cell r="T30" t="str">
            <v>–</v>
          </cell>
          <cell r="U30" t="str">
            <v>–</v>
          </cell>
          <cell r="V30" t="str">
            <v>–</v>
          </cell>
          <cell r="W30">
            <v>0.56299999999999994</v>
          </cell>
          <cell r="X30" t="str">
            <v>–</v>
          </cell>
          <cell r="Y30" t="str">
            <v>–</v>
          </cell>
          <cell r="Z30">
            <v>1.06</v>
          </cell>
          <cell r="AA30">
            <v>1.0625</v>
          </cell>
          <cell r="AB30" t="str">
            <v>–</v>
          </cell>
          <cell r="AC30">
            <v>0.878</v>
          </cell>
          <cell r="AD30">
            <v>2.86</v>
          </cell>
          <cell r="AE30" t="str">
            <v>–</v>
          </cell>
          <cell r="AF30">
            <v>0.40600000000000003</v>
          </cell>
          <cell r="AG30">
            <v>2.23</v>
          </cell>
          <cell r="AH30" t="str">
            <v>–</v>
          </cell>
          <cell r="AI30">
            <v>14.2</v>
          </cell>
          <cell r="AJ30" t="str">
            <v>–</v>
          </cell>
          <cell r="AK30" t="str">
            <v>–</v>
          </cell>
          <cell r="AL30" t="str">
            <v>–</v>
          </cell>
          <cell r="AM30" t="str">
            <v>–</v>
          </cell>
          <cell r="AN30">
            <v>42.9</v>
          </cell>
          <cell r="AO30">
            <v>14.6</v>
          </cell>
          <cell r="AP30">
            <v>8.34</v>
          </cell>
          <cell r="AQ30">
            <v>2.57</v>
          </cell>
          <cell r="AR30">
            <v>7.44</v>
          </cell>
          <cell r="AS30">
            <v>4.3899999999999997</v>
          </cell>
          <cell r="AT30">
            <v>2.38</v>
          </cell>
          <cell r="AU30">
            <v>1.07</v>
          </cell>
          <cell r="AV30">
            <v>4.78</v>
          </cell>
          <cell r="CL30" t="str">
            <v>A913 Gr. 70</v>
          </cell>
          <cell r="CM30">
            <v>70</v>
          </cell>
          <cell r="CN30">
            <v>70</v>
          </cell>
          <cell r="CO30">
            <v>90</v>
          </cell>
          <cell r="DS30" t="str">
            <v>W36X160</v>
          </cell>
          <cell r="DT30">
            <v>624</v>
          </cell>
          <cell r="DU30">
            <v>160</v>
          </cell>
          <cell r="DV30">
            <v>624</v>
          </cell>
        </row>
        <row r="31">
          <cell r="C31" t="str">
            <v>L8X4X1/2</v>
          </cell>
          <cell r="D31" t="str">
            <v>F</v>
          </cell>
          <cell r="E31">
            <v>19.600000000000001</v>
          </cell>
          <cell r="F31">
            <v>5.8</v>
          </cell>
          <cell r="G31" t="str">
            <v>L8X4X1/2</v>
          </cell>
          <cell r="H31">
            <v>4</v>
          </cell>
          <cell r="I31" t="str">
            <v>–</v>
          </cell>
          <cell r="J31" t="str">
            <v>–</v>
          </cell>
          <cell r="K31" t="str">
            <v>–</v>
          </cell>
          <cell r="L31" t="str">
            <v>–</v>
          </cell>
          <cell r="M31" t="str">
            <v>–</v>
          </cell>
          <cell r="N31" t="str">
            <v>–</v>
          </cell>
          <cell r="O31" t="str">
            <v>–</v>
          </cell>
          <cell r="P31">
            <v>8</v>
          </cell>
          <cell r="Q31" t="str">
            <v>–</v>
          </cell>
          <cell r="R31" t="str">
            <v>–</v>
          </cell>
          <cell r="S31" t="str">
            <v>–</v>
          </cell>
          <cell r="T31" t="str">
            <v>–</v>
          </cell>
          <cell r="U31" t="str">
            <v>–</v>
          </cell>
          <cell r="V31" t="str">
            <v>–</v>
          </cell>
          <cell r="W31">
            <v>0.5</v>
          </cell>
          <cell r="X31" t="str">
            <v>–</v>
          </cell>
          <cell r="Y31" t="str">
            <v>–</v>
          </cell>
          <cell r="Z31">
            <v>1</v>
          </cell>
          <cell r="AA31">
            <v>1</v>
          </cell>
          <cell r="AB31" t="str">
            <v>–</v>
          </cell>
          <cell r="AC31">
            <v>0.85399999999999998</v>
          </cell>
          <cell r="AD31">
            <v>2.84</v>
          </cell>
          <cell r="AE31" t="str">
            <v>–</v>
          </cell>
          <cell r="AF31">
            <v>0.36299999999999999</v>
          </cell>
          <cell r="AG31">
            <v>2.2000000000000002</v>
          </cell>
          <cell r="AH31" t="str">
            <v>–</v>
          </cell>
          <cell r="AI31">
            <v>16</v>
          </cell>
          <cell r="AJ31" t="str">
            <v>–</v>
          </cell>
          <cell r="AK31" t="str">
            <v>–</v>
          </cell>
          <cell r="AL31" t="str">
            <v>–</v>
          </cell>
          <cell r="AM31" t="str">
            <v>–</v>
          </cell>
          <cell r="AN31">
            <v>38.6</v>
          </cell>
          <cell r="AO31">
            <v>13.1</v>
          </cell>
          <cell r="AP31">
            <v>7.48</v>
          </cell>
          <cell r="AQ31">
            <v>2.58</v>
          </cell>
          <cell r="AR31">
            <v>6.75</v>
          </cell>
          <cell r="AS31">
            <v>3.91</v>
          </cell>
          <cell r="AT31">
            <v>2.15</v>
          </cell>
          <cell r="AU31">
            <v>1.08</v>
          </cell>
          <cell r="AV31">
            <v>4.32</v>
          </cell>
          <cell r="CL31" t="str">
            <v>A992</v>
          </cell>
          <cell r="CN31">
            <v>50</v>
          </cell>
          <cell r="CO31">
            <v>65</v>
          </cell>
          <cell r="DS31" t="str">
            <v>W40X149</v>
          </cell>
          <cell r="DT31">
            <v>598</v>
          </cell>
          <cell r="DU31">
            <v>149</v>
          </cell>
          <cell r="DV31">
            <v>598</v>
          </cell>
        </row>
        <row r="32">
          <cell r="C32" t="str">
            <v>L8X4X7/16</v>
          </cell>
          <cell r="D32" t="str">
            <v>F</v>
          </cell>
          <cell r="E32">
            <v>17.2</v>
          </cell>
          <cell r="F32">
            <v>5.1100000000000003</v>
          </cell>
          <cell r="G32" t="str">
            <v>L8X4X7/16</v>
          </cell>
          <cell r="H32">
            <v>4</v>
          </cell>
          <cell r="I32" t="str">
            <v>–</v>
          </cell>
          <cell r="J32" t="str">
            <v>–</v>
          </cell>
          <cell r="K32" t="str">
            <v>–</v>
          </cell>
          <cell r="L32" t="str">
            <v>–</v>
          </cell>
          <cell r="M32" t="str">
            <v>–</v>
          </cell>
          <cell r="N32" t="str">
            <v>–</v>
          </cell>
          <cell r="O32" t="str">
            <v>–</v>
          </cell>
          <cell r="P32">
            <v>8</v>
          </cell>
          <cell r="Q32" t="str">
            <v>–</v>
          </cell>
          <cell r="R32" t="str">
            <v>–</v>
          </cell>
          <cell r="S32" t="str">
            <v>–</v>
          </cell>
          <cell r="T32" t="str">
            <v>–</v>
          </cell>
          <cell r="U32" t="str">
            <v>–</v>
          </cell>
          <cell r="V32" t="str">
            <v>–</v>
          </cell>
          <cell r="W32">
            <v>0.438</v>
          </cell>
          <cell r="X32" t="str">
            <v>–</v>
          </cell>
          <cell r="Y32" t="str">
            <v>–</v>
          </cell>
          <cell r="Z32">
            <v>0.93799999999999994</v>
          </cell>
          <cell r="AA32">
            <v>0.9375</v>
          </cell>
          <cell r="AB32" t="str">
            <v>–</v>
          </cell>
          <cell r="AC32">
            <v>0.82899999999999996</v>
          </cell>
          <cell r="AD32">
            <v>2.81</v>
          </cell>
          <cell r="AE32" t="str">
            <v>–</v>
          </cell>
          <cell r="AF32">
            <v>0.31900000000000001</v>
          </cell>
          <cell r="AG32">
            <v>2.16</v>
          </cell>
          <cell r="AH32" t="str">
            <v>–</v>
          </cell>
          <cell r="AI32">
            <v>18.3</v>
          </cell>
          <cell r="AJ32" t="str">
            <v>–</v>
          </cell>
          <cell r="AK32" t="str">
            <v>–</v>
          </cell>
          <cell r="AL32" t="str">
            <v>–</v>
          </cell>
          <cell r="AM32" t="str">
            <v>–</v>
          </cell>
          <cell r="AN32">
            <v>34.200000000000003</v>
          </cell>
          <cell r="AO32">
            <v>11.6</v>
          </cell>
          <cell r="AP32">
            <v>6.59</v>
          </cell>
          <cell r="AQ32">
            <v>2.59</v>
          </cell>
          <cell r="AR32">
            <v>6.03</v>
          </cell>
          <cell r="AS32">
            <v>3.42</v>
          </cell>
          <cell r="AT32">
            <v>1.9</v>
          </cell>
          <cell r="AU32">
            <v>1.0900000000000001</v>
          </cell>
          <cell r="AV32">
            <v>3.84</v>
          </cell>
          <cell r="CL32" t="str">
            <v>A1065 Gr. 50</v>
          </cell>
          <cell r="CM32" t="str">
            <v>Gr. 50</v>
          </cell>
          <cell r="CN32">
            <v>50</v>
          </cell>
          <cell r="CO32">
            <v>60</v>
          </cell>
          <cell r="DS32" t="str">
            <v>W33X141</v>
          </cell>
          <cell r="DT32">
            <v>514</v>
          </cell>
          <cell r="DU32">
            <v>141</v>
          </cell>
          <cell r="DV32">
            <v>514</v>
          </cell>
        </row>
        <row r="33">
          <cell r="C33" t="str">
            <v>L7X4X3/4</v>
          </cell>
          <cell r="D33" t="str">
            <v>F</v>
          </cell>
          <cell r="E33">
            <v>26.2</v>
          </cell>
          <cell r="F33">
            <v>7.74</v>
          </cell>
          <cell r="G33" t="str">
            <v>L7X4X3/4</v>
          </cell>
          <cell r="H33">
            <v>4</v>
          </cell>
          <cell r="I33" t="str">
            <v>–</v>
          </cell>
          <cell r="J33" t="str">
            <v>–</v>
          </cell>
          <cell r="K33" t="str">
            <v>–</v>
          </cell>
          <cell r="L33" t="str">
            <v>–</v>
          </cell>
          <cell r="M33" t="str">
            <v>–</v>
          </cell>
          <cell r="N33" t="str">
            <v>–</v>
          </cell>
          <cell r="O33" t="str">
            <v>–</v>
          </cell>
          <cell r="P33">
            <v>7</v>
          </cell>
          <cell r="Q33" t="str">
            <v>–</v>
          </cell>
          <cell r="R33" t="str">
            <v>–</v>
          </cell>
          <cell r="S33" t="str">
            <v>–</v>
          </cell>
          <cell r="T33" t="str">
            <v>–</v>
          </cell>
          <cell r="U33" t="str">
            <v>–</v>
          </cell>
          <cell r="V33" t="str">
            <v>–</v>
          </cell>
          <cell r="W33">
            <v>0.75</v>
          </cell>
          <cell r="X33" t="str">
            <v>–</v>
          </cell>
          <cell r="Y33" t="str">
            <v>–</v>
          </cell>
          <cell r="Z33">
            <v>1.25</v>
          </cell>
          <cell r="AA33">
            <v>1.25</v>
          </cell>
          <cell r="AB33" t="str">
            <v>–</v>
          </cell>
          <cell r="AC33">
            <v>1</v>
          </cell>
          <cell r="AD33">
            <v>2.5</v>
          </cell>
          <cell r="AE33" t="str">
            <v>–</v>
          </cell>
          <cell r="AF33">
            <v>0.55300000000000005</v>
          </cell>
          <cell r="AG33">
            <v>1.84</v>
          </cell>
          <cell r="AH33" t="str">
            <v>–</v>
          </cell>
          <cell r="AI33">
            <v>9.33</v>
          </cell>
          <cell r="AJ33" t="str">
            <v>–</v>
          </cell>
          <cell r="AK33" t="str">
            <v>–</v>
          </cell>
          <cell r="AL33" t="str">
            <v>–</v>
          </cell>
          <cell r="AM33" t="str">
            <v>–</v>
          </cell>
          <cell r="AN33">
            <v>37.799999999999997</v>
          </cell>
          <cell r="AO33">
            <v>14.8</v>
          </cell>
          <cell r="AP33">
            <v>8.39</v>
          </cell>
          <cell r="AQ33">
            <v>2.21</v>
          </cell>
          <cell r="AR33">
            <v>9</v>
          </cell>
          <cell r="AS33">
            <v>5.6</v>
          </cell>
          <cell r="AT33">
            <v>3.01</v>
          </cell>
          <cell r="AU33">
            <v>1.08</v>
          </cell>
          <cell r="AV33">
            <v>5.63</v>
          </cell>
          <cell r="CL33" t="str">
            <v>A588</v>
          </cell>
          <cell r="CN33">
            <v>50</v>
          </cell>
          <cell r="CO33">
            <v>70</v>
          </cell>
          <cell r="DS33" t="str">
            <v>W36X135</v>
          </cell>
          <cell r="DT33">
            <v>509</v>
          </cell>
          <cell r="DU33">
            <v>135</v>
          </cell>
          <cell r="DV33">
            <v>509</v>
          </cell>
        </row>
        <row r="34">
          <cell r="C34" t="str">
            <v>L7X4X5/8</v>
          </cell>
          <cell r="D34" t="str">
            <v>F</v>
          </cell>
          <cell r="E34">
            <v>22.1</v>
          </cell>
          <cell r="F34">
            <v>6.5</v>
          </cell>
          <cell r="G34" t="str">
            <v>L7X4X5/8</v>
          </cell>
          <cell r="H34">
            <v>4</v>
          </cell>
          <cell r="I34" t="str">
            <v>–</v>
          </cell>
          <cell r="J34" t="str">
            <v>–</v>
          </cell>
          <cell r="K34" t="str">
            <v>–</v>
          </cell>
          <cell r="L34" t="str">
            <v>–</v>
          </cell>
          <cell r="M34" t="str">
            <v>–</v>
          </cell>
          <cell r="N34" t="str">
            <v>–</v>
          </cell>
          <cell r="O34" t="str">
            <v>–</v>
          </cell>
          <cell r="P34">
            <v>7</v>
          </cell>
          <cell r="Q34" t="str">
            <v>–</v>
          </cell>
          <cell r="R34" t="str">
            <v>–</v>
          </cell>
          <cell r="S34" t="str">
            <v>–</v>
          </cell>
          <cell r="T34" t="str">
            <v>–</v>
          </cell>
          <cell r="U34" t="str">
            <v>–</v>
          </cell>
          <cell r="V34" t="str">
            <v>–</v>
          </cell>
          <cell r="W34">
            <v>0.625</v>
          </cell>
          <cell r="X34" t="str">
            <v>–</v>
          </cell>
          <cell r="Y34" t="str">
            <v>–</v>
          </cell>
          <cell r="Z34">
            <v>1.1299999999999999</v>
          </cell>
          <cell r="AA34">
            <v>1.125</v>
          </cell>
          <cell r="AB34" t="str">
            <v>–</v>
          </cell>
          <cell r="AC34">
            <v>0.95799999999999996</v>
          </cell>
          <cell r="AD34">
            <v>2.4500000000000002</v>
          </cell>
          <cell r="AE34" t="str">
            <v>–</v>
          </cell>
          <cell r="AF34">
            <v>0.46400000000000002</v>
          </cell>
          <cell r="AG34">
            <v>1.8</v>
          </cell>
          <cell r="AH34" t="str">
            <v>–</v>
          </cell>
          <cell r="AI34">
            <v>11.2</v>
          </cell>
          <cell r="AJ34" t="str">
            <v>–</v>
          </cell>
          <cell r="AK34" t="str">
            <v>–</v>
          </cell>
          <cell r="AL34" t="str">
            <v>–</v>
          </cell>
          <cell r="AM34" t="str">
            <v>–</v>
          </cell>
          <cell r="AN34">
            <v>32.4</v>
          </cell>
          <cell r="AO34">
            <v>12.5</v>
          </cell>
          <cell r="AP34">
            <v>7.12</v>
          </cell>
          <cell r="AQ34">
            <v>2.23</v>
          </cell>
          <cell r="AR34">
            <v>7.79</v>
          </cell>
          <cell r="AS34">
            <v>4.6900000000000004</v>
          </cell>
          <cell r="AT34">
            <v>2.56</v>
          </cell>
          <cell r="AU34">
            <v>1.1000000000000001</v>
          </cell>
          <cell r="AV34">
            <v>4.8099999999999996</v>
          </cell>
          <cell r="CL34" t="str">
            <v>A874</v>
          </cell>
          <cell r="CN34">
            <v>50</v>
          </cell>
          <cell r="CO34">
            <v>60</v>
          </cell>
          <cell r="DS34" t="str">
            <v>W33X130</v>
          </cell>
          <cell r="DT34">
            <v>467</v>
          </cell>
          <cell r="DU34">
            <v>130</v>
          </cell>
          <cell r="DV34">
            <v>467</v>
          </cell>
        </row>
        <row r="35">
          <cell r="C35" t="str">
            <v>L7X4X1/2</v>
          </cell>
          <cell r="D35" t="str">
            <v>F</v>
          </cell>
          <cell r="E35">
            <v>17.899999999999999</v>
          </cell>
          <cell r="F35">
            <v>5.26</v>
          </cell>
          <cell r="G35" t="str">
            <v>L7X4X1/2</v>
          </cell>
          <cell r="H35">
            <v>4</v>
          </cell>
          <cell r="I35" t="str">
            <v>–</v>
          </cell>
          <cell r="J35" t="str">
            <v>–</v>
          </cell>
          <cell r="K35" t="str">
            <v>–</v>
          </cell>
          <cell r="L35" t="str">
            <v>–</v>
          </cell>
          <cell r="M35" t="str">
            <v>–</v>
          </cell>
          <cell r="N35" t="str">
            <v>–</v>
          </cell>
          <cell r="O35" t="str">
            <v>–</v>
          </cell>
          <cell r="P35">
            <v>7</v>
          </cell>
          <cell r="Q35" t="str">
            <v>–</v>
          </cell>
          <cell r="R35" t="str">
            <v>–</v>
          </cell>
          <cell r="S35" t="str">
            <v>–</v>
          </cell>
          <cell r="T35" t="str">
            <v>–</v>
          </cell>
          <cell r="U35" t="str">
            <v>–</v>
          </cell>
          <cell r="V35" t="str">
            <v>–</v>
          </cell>
          <cell r="W35">
            <v>0.5</v>
          </cell>
          <cell r="X35" t="str">
            <v>–</v>
          </cell>
          <cell r="Y35" t="str">
            <v>–</v>
          </cell>
          <cell r="Z35">
            <v>1</v>
          </cell>
          <cell r="AA35">
            <v>1</v>
          </cell>
          <cell r="AB35" t="str">
            <v>–</v>
          </cell>
          <cell r="AC35">
            <v>0.91</v>
          </cell>
          <cell r="AD35">
            <v>2.4</v>
          </cell>
          <cell r="AE35" t="str">
            <v>–</v>
          </cell>
          <cell r="AF35">
            <v>0.376</v>
          </cell>
          <cell r="AG35">
            <v>1.74</v>
          </cell>
          <cell r="AH35" t="str">
            <v>–</v>
          </cell>
          <cell r="AI35">
            <v>14</v>
          </cell>
          <cell r="AJ35" t="str">
            <v>–</v>
          </cell>
          <cell r="AK35" t="str">
            <v>–</v>
          </cell>
          <cell r="AL35" t="str">
            <v>–</v>
          </cell>
          <cell r="AM35" t="str">
            <v>–</v>
          </cell>
          <cell r="AN35">
            <v>26.6</v>
          </cell>
          <cell r="AO35">
            <v>10.199999999999999</v>
          </cell>
          <cell r="AP35">
            <v>5.79</v>
          </cell>
          <cell r="AQ35">
            <v>2.25</v>
          </cell>
          <cell r="AR35">
            <v>6.48</v>
          </cell>
          <cell r="AS35">
            <v>3.77</v>
          </cell>
          <cell r="AT35">
            <v>2.1</v>
          </cell>
          <cell r="AU35">
            <v>1.1100000000000001</v>
          </cell>
          <cell r="AV35">
            <v>3.94</v>
          </cell>
          <cell r="CL35" t="str">
            <v>A1065 Gr. 50W</v>
          </cell>
          <cell r="CM35" t="str">
            <v>Gr. 50W</v>
          </cell>
          <cell r="CN35">
            <v>50</v>
          </cell>
          <cell r="CO35">
            <v>70</v>
          </cell>
          <cell r="DS35" t="str">
            <v>W33X118</v>
          </cell>
          <cell r="DT35">
            <v>415</v>
          </cell>
          <cell r="DU35">
            <v>118</v>
          </cell>
          <cell r="DV35">
            <v>415</v>
          </cell>
        </row>
        <row r="36">
          <cell r="C36" t="str">
            <v>L7X4X7/16</v>
          </cell>
          <cell r="D36" t="str">
            <v>F</v>
          </cell>
          <cell r="E36">
            <v>15.7</v>
          </cell>
          <cell r="F36">
            <v>4.63</v>
          </cell>
          <cell r="G36" t="str">
            <v>L7X4X7/16</v>
          </cell>
          <cell r="H36">
            <v>4</v>
          </cell>
          <cell r="I36" t="str">
            <v>–</v>
          </cell>
          <cell r="J36" t="str">
            <v>–</v>
          </cell>
          <cell r="K36" t="str">
            <v>–</v>
          </cell>
          <cell r="L36" t="str">
            <v>–</v>
          </cell>
          <cell r="M36" t="str">
            <v>–</v>
          </cell>
          <cell r="N36" t="str">
            <v>–</v>
          </cell>
          <cell r="O36" t="str">
            <v>–</v>
          </cell>
          <cell r="P36">
            <v>7</v>
          </cell>
          <cell r="Q36" t="str">
            <v>–</v>
          </cell>
          <cell r="R36" t="str">
            <v>–</v>
          </cell>
          <cell r="S36" t="str">
            <v>–</v>
          </cell>
          <cell r="T36" t="str">
            <v>–</v>
          </cell>
          <cell r="U36" t="str">
            <v>–</v>
          </cell>
          <cell r="V36" t="str">
            <v>–</v>
          </cell>
          <cell r="W36">
            <v>0.438</v>
          </cell>
          <cell r="X36" t="str">
            <v>–</v>
          </cell>
          <cell r="Y36" t="str">
            <v>–</v>
          </cell>
          <cell r="Z36">
            <v>0.93799999999999994</v>
          </cell>
          <cell r="AA36">
            <v>0.9375</v>
          </cell>
          <cell r="AB36" t="str">
            <v>–</v>
          </cell>
          <cell r="AC36">
            <v>0.88600000000000001</v>
          </cell>
          <cell r="AD36">
            <v>2.38</v>
          </cell>
          <cell r="AE36" t="str">
            <v>–</v>
          </cell>
          <cell r="AF36">
            <v>0.33100000000000002</v>
          </cell>
          <cell r="AG36">
            <v>1.71</v>
          </cell>
          <cell r="AH36" t="str">
            <v>–</v>
          </cell>
          <cell r="AI36">
            <v>16</v>
          </cell>
          <cell r="AJ36" t="str">
            <v>–</v>
          </cell>
          <cell r="AK36" t="str">
            <v>–</v>
          </cell>
          <cell r="AL36" t="str">
            <v>–</v>
          </cell>
          <cell r="AM36" t="str">
            <v>–</v>
          </cell>
          <cell r="AN36">
            <v>23.6</v>
          </cell>
          <cell r="AO36">
            <v>9.0299999999999994</v>
          </cell>
          <cell r="AP36">
            <v>5.1100000000000003</v>
          </cell>
          <cell r="AQ36">
            <v>2.2599999999999998</v>
          </cell>
          <cell r="AR36">
            <v>5.79</v>
          </cell>
          <cell r="AS36">
            <v>3.31</v>
          </cell>
          <cell r="AT36">
            <v>1.86</v>
          </cell>
          <cell r="AU36">
            <v>1.1200000000000001</v>
          </cell>
          <cell r="AV36">
            <v>3.5</v>
          </cell>
          <cell r="DS36" t="str">
            <v>W30X116</v>
          </cell>
          <cell r="DT36">
            <v>378</v>
          </cell>
          <cell r="DU36">
            <v>116</v>
          </cell>
          <cell r="DV36">
            <v>378</v>
          </cell>
        </row>
        <row r="37">
          <cell r="C37" t="str">
            <v>L7X4X3/8</v>
          </cell>
          <cell r="D37" t="str">
            <v>F</v>
          </cell>
          <cell r="E37">
            <v>13.6</v>
          </cell>
          <cell r="F37">
            <v>4</v>
          </cell>
          <cell r="G37" t="str">
            <v>L7X4X3/8</v>
          </cell>
          <cell r="H37">
            <v>4</v>
          </cell>
          <cell r="I37" t="str">
            <v>–</v>
          </cell>
          <cell r="J37" t="str">
            <v>–</v>
          </cell>
          <cell r="K37" t="str">
            <v>–</v>
          </cell>
          <cell r="L37" t="str">
            <v>–</v>
          </cell>
          <cell r="M37" t="str">
            <v>–</v>
          </cell>
          <cell r="N37" t="str">
            <v>–</v>
          </cell>
          <cell r="O37" t="str">
            <v>–</v>
          </cell>
          <cell r="P37">
            <v>7</v>
          </cell>
          <cell r="Q37" t="str">
            <v>–</v>
          </cell>
          <cell r="R37" t="str">
            <v>–</v>
          </cell>
          <cell r="S37" t="str">
            <v>–</v>
          </cell>
          <cell r="T37" t="str">
            <v>–</v>
          </cell>
          <cell r="U37" t="str">
            <v>–</v>
          </cell>
          <cell r="V37" t="str">
            <v>–</v>
          </cell>
          <cell r="W37">
            <v>0.375</v>
          </cell>
          <cell r="X37" t="str">
            <v>–</v>
          </cell>
          <cell r="Y37" t="str">
            <v>–</v>
          </cell>
          <cell r="Z37">
            <v>0.875</v>
          </cell>
          <cell r="AA37">
            <v>0.875</v>
          </cell>
          <cell r="AB37" t="str">
            <v>–</v>
          </cell>
          <cell r="AC37">
            <v>0.86099999999999999</v>
          </cell>
          <cell r="AD37">
            <v>2.35</v>
          </cell>
          <cell r="AE37" t="str">
            <v>–</v>
          </cell>
          <cell r="AF37">
            <v>0.28599999999999998</v>
          </cell>
          <cell r="AG37">
            <v>1.67</v>
          </cell>
          <cell r="AH37" t="str">
            <v>–</v>
          </cell>
          <cell r="AI37">
            <v>18.7</v>
          </cell>
          <cell r="AJ37" t="str">
            <v>–</v>
          </cell>
          <cell r="AK37" t="str">
            <v>–</v>
          </cell>
          <cell r="AL37" t="str">
            <v>–</v>
          </cell>
          <cell r="AM37" t="str">
            <v>–</v>
          </cell>
          <cell r="AN37">
            <v>20.5</v>
          </cell>
          <cell r="AO37">
            <v>7.81</v>
          </cell>
          <cell r="AP37">
            <v>4.42</v>
          </cell>
          <cell r="AQ37">
            <v>2.27</v>
          </cell>
          <cell r="AR37">
            <v>5.0599999999999996</v>
          </cell>
          <cell r="AS37">
            <v>2.84</v>
          </cell>
          <cell r="AT37">
            <v>1.61</v>
          </cell>
          <cell r="AU37">
            <v>1.1200000000000001</v>
          </cell>
          <cell r="AV37">
            <v>3.04</v>
          </cell>
          <cell r="DS37" t="str">
            <v>W30X108</v>
          </cell>
          <cell r="DT37">
            <v>346</v>
          </cell>
          <cell r="DU37">
            <v>108</v>
          </cell>
          <cell r="DV37">
            <v>346</v>
          </cell>
        </row>
        <row r="38">
          <cell r="C38" t="str">
            <v>L6X6X1</v>
          </cell>
          <cell r="D38" t="str">
            <v>F</v>
          </cell>
          <cell r="E38">
            <v>37.4</v>
          </cell>
          <cell r="F38">
            <v>11</v>
          </cell>
          <cell r="G38" t="str">
            <v>L6X6X1</v>
          </cell>
          <cell r="H38">
            <v>6</v>
          </cell>
          <cell r="I38" t="str">
            <v>–</v>
          </cell>
          <cell r="J38" t="str">
            <v>–</v>
          </cell>
          <cell r="K38" t="str">
            <v>–</v>
          </cell>
          <cell r="L38" t="str">
            <v>–</v>
          </cell>
          <cell r="M38" t="str">
            <v>–</v>
          </cell>
          <cell r="N38" t="str">
            <v>–</v>
          </cell>
          <cell r="O38" t="str">
            <v>–</v>
          </cell>
          <cell r="P38">
            <v>6</v>
          </cell>
          <cell r="Q38" t="str">
            <v>–</v>
          </cell>
          <cell r="R38" t="str">
            <v>–</v>
          </cell>
          <cell r="S38" t="str">
            <v>–</v>
          </cell>
          <cell r="T38" t="str">
            <v>–</v>
          </cell>
          <cell r="U38" t="str">
            <v>–</v>
          </cell>
          <cell r="V38" t="str">
            <v>–</v>
          </cell>
          <cell r="W38">
            <v>1</v>
          </cell>
          <cell r="X38" t="str">
            <v>–</v>
          </cell>
          <cell r="Y38" t="str">
            <v>–</v>
          </cell>
          <cell r="Z38">
            <v>1.5</v>
          </cell>
          <cell r="AA38">
            <v>1.5</v>
          </cell>
          <cell r="AB38" t="str">
            <v>–</v>
          </cell>
          <cell r="AC38">
            <v>1.86</v>
          </cell>
          <cell r="AD38">
            <v>1.86</v>
          </cell>
          <cell r="AE38" t="str">
            <v>–</v>
          </cell>
          <cell r="AF38">
            <v>0.91700000000000004</v>
          </cell>
          <cell r="AG38">
            <v>0.91700000000000004</v>
          </cell>
          <cell r="AH38" t="str">
            <v>–</v>
          </cell>
          <cell r="AI38">
            <v>6</v>
          </cell>
          <cell r="AJ38" t="str">
            <v>–</v>
          </cell>
          <cell r="AK38" t="str">
            <v>–</v>
          </cell>
          <cell r="AL38" t="str">
            <v>–</v>
          </cell>
          <cell r="AM38" t="str">
            <v>–</v>
          </cell>
          <cell r="AN38">
            <v>35.4</v>
          </cell>
          <cell r="AO38">
            <v>15.4</v>
          </cell>
          <cell r="AP38">
            <v>8.5500000000000007</v>
          </cell>
          <cell r="AQ38">
            <v>1.79</v>
          </cell>
          <cell r="AR38">
            <v>35.4</v>
          </cell>
          <cell r="AS38">
            <v>15.4</v>
          </cell>
          <cell r="AT38">
            <v>8.5500000000000007</v>
          </cell>
          <cell r="AU38">
            <v>1.79</v>
          </cell>
          <cell r="AV38">
            <v>14.9</v>
          </cell>
          <cell r="DS38" t="str">
            <v>W30X99</v>
          </cell>
          <cell r="DT38">
            <v>312</v>
          </cell>
          <cell r="DU38">
            <v>99</v>
          </cell>
          <cell r="DV38">
            <v>312</v>
          </cell>
        </row>
        <row r="39">
          <cell r="C39" t="str">
            <v>L6X6X7/8</v>
          </cell>
          <cell r="D39" t="str">
            <v>F</v>
          </cell>
          <cell r="E39">
            <v>33.1</v>
          </cell>
          <cell r="F39">
            <v>9.75</v>
          </cell>
          <cell r="G39" t="str">
            <v>L6X6X7/8</v>
          </cell>
          <cell r="H39">
            <v>6</v>
          </cell>
          <cell r="I39" t="str">
            <v>–</v>
          </cell>
          <cell r="J39" t="str">
            <v>–</v>
          </cell>
          <cell r="K39" t="str">
            <v>–</v>
          </cell>
          <cell r="L39" t="str">
            <v>–</v>
          </cell>
          <cell r="M39" t="str">
            <v>–</v>
          </cell>
          <cell r="N39" t="str">
            <v>–</v>
          </cell>
          <cell r="O39" t="str">
            <v>–</v>
          </cell>
          <cell r="P39">
            <v>6</v>
          </cell>
          <cell r="Q39" t="str">
            <v>–</v>
          </cell>
          <cell r="R39" t="str">
            <v>–</v>
          </cell>
          <cell r="S39" t="str">
            <v>–</v>
          </cell>
          <cell r="T39" t="str">
            <v>–</v>
          </cell>
          <cell r="U39" t="str">
            <v>–</v>
          </cell>
          <cell r="V39" t="str">
            <v>–</v>
          </cell>
          <cell r="W39">
            <v>0.875</v>
          </cell>
          <cell r="X39" t="str">
            <v>–</v>
          </cell>
          <cell r="Y39" t="str">
            <v>–</v>
          </cell>
          <cell r="Z39">
            <v>1.38</v>
          </cell>
          <cell r="AA39">
            <v>1.375</v>
          </cell>
          <cell r="AB39" t="str">
            <v>–</v>
          </cell>
          <cell r="AC39">
            <v>1.81</v>
          </cell>
          <cell r="AD39">
            <v>1.81</v>
          </cell>
          <cell r="AE39" t="str">
            <v>–</v>
          </cell>
          <cell r="AF39">
            <v>0.81299999999999994</v>
          </cell>
          <cell r="AG39">
            <v>0.81299999999999994</v>
          </cell>
          <cell r="AH39" t="str">
            <v>–</v>
          </cell>
          <cell r="AI39">
            <v>6.86</v>
          </cell>
          <cell r="AJ39" t="str">
            <v>–</v>
          </cell>
          <cell r="AK39" t="str">
            <v>–</v>
          </cell>
          <cell r="AL39" t="str">
            <v>–</v>
          </cell>
          <cell r="AM39" t="str">
            <v>–</v>
          </cell>
          <cell r="AN39">
            <v>31.9</v>
          </cell>
          <cell r="AO39">
            <v>13.7</v>
          </cell>
          <cell r="AP39">
            <v>7.61</v>
          </cell>
          <cell r="AQ39">
            <v>1.81</v>
          </cell>
          <cell r="AR39">
            <v>31.9</v>
          </cell>
          <cell r="AS39">
            <v>13.7</v>
          </cell>
          <cell r="AT39">
            <v>7.61</v>
          </cell>
          <cell r="AU39">
            <v>1.81</v>
          </cell>
          <cell r="AV39">
            <v>13.3</v>
          </cell>
          <cell r="DS39" t="str">
            <v>W30X90</v>
          </cell>
          <cell r="DT39">
            <v>283</v>
          </cell>
          <cell r="DU39">
            <v>90</v>
          </cell>
          <cell r="DV39">
            <v>283</v>
          </cell>
        </row>
        <row r="40">
          <cell r="C40" t="str">
            <v>L6X6X3/4</v>
          </cell>
          <cell r="D40" t="str">
            <v>F</v>
          </cell>
          <cell r="E40">
            <v>28.7</v>
          </cell>
          <cell r="F40">
            <v>8.4600000000000009</v>
          </cell>
          <cell r="G40" t="str">
            <v>L6X6X3/4</v>
          </cell>
          <cell r="H40">
            <v>6</v>
          </cell>
          <cell r="I40" t="str">
            <v>–</v>
          </cell>
          <cell r="J40" t="str">
            <v>–</v>
          </cell>
          <cell r="K40" t="str">
            <v>–</v>
          </cell>
          <cell r="L40" t="str">
            <v>–</v>
          </cell>
          <cell r="M40" t="str">
            <v>–</v>
          </cell>
          <cell r="N40" t="str">
            <v>–</v>
          </cell>
          <cell r="O40" t="str">
            <v>–</v>
          </cell>
          <cell r="P40">
            <v>6</v>
          </cell>
          <cell r="Q40" t="str">
            <v>–</v>
          </cell>
          <cell r="R40" t="str">
            <v>–</v>
          </cell>
          <cell r="S40" t="str">
            <v>–</v>
          </cell>
          <cell r="T40" t="str">
            <v>–</v>
          </cell>
          <cell r="U40" t="str">
            <v>–</v>
          </cell>
          <cell r="V40" t="str">
            <v>–</v>
          </cell>
          <cell r="W40">
            <v>0.75</v>
          </cell>
          <cell r="X40" t="str">
            <v>–</v>
          </cell>
          <cell r="Y40" t="str">
            <v>–</v>
          </cell>
          <cell r="Z40">
            <v>1.25</v>
          </cell>
          <cell r="AA40">
            <v>1.25</v>
          </cell>
          <cell r="AB40" t="str">
            <v>–</v>
          </cell>
          <cell r="AC40">
            <v>1.77</v>
          </cell>
          <cell r="AD40">
            <v>1.77</v>
          </cell>
          <cell r="AE40" t="str">
            <v>–</v>
          </cell>
          <cell r="AF40">
            <v>0.70499999999999996</v>
          </cell>
          <cell r="AG40">
            <v>0.70499999999999996</v>
          </cell>
          <cell r="AH40" t="str">
            <v>–</v>
          </cell>
          <cell r="AI40">
            <v>8</v>
          </cell>
          <cell r="AJ40" t="str">
            <v>–</v>
          </cell>
          <cell r="AK40" t="str">
            <v>–</v>
          </cell>
          <cell r="AL40" t="str">
            <v>–</v>
          </cell>
          <cell r="AM40" t="str">
            <v>–</v>
          </cell>
          <cell r="AN40">
            <v>28.1</v>
          </cell>
          <cell r="AO40">
            <v>11.9</v>
          </cell>
          <cell r="AP40">
            <v>6.64</v>
          </cell>
          <cell r="AQ40">
            <v>1.82</v>
          </cell>
          <cell r="AR40">
            <v>28.1</v>
          </cell>
          <cell r="AS40">
            <v>11.9</v>
          </cell>
          <cell r="AT40">
            <v>6.64</v>
          </cell>
          <cell r="AU40">
            <v>1.82</v>
          </cell>
          <cell r="AV40">
            <v>11.6</v>
          </cell>
          <cell r="DS40" t="str">
            <v>W27X84</v>
          </cell>
          <cell r="DT40">
            <v>244</v>
          </cell>
          <cell r="DU40">
            <v>84</v>
          </cell>
          <cell r="DV40">
            <v>244</v>
          </cell>
        </row>
        <row r="41">
          <cell r="C41" t="str">
            <v>L6X6X5/8</v>
          </cell>
          <cell r="D41" t="str">
            <v>F</v>
          </cell>
          <cell r="E41">
            <v>24.2</v>
          </cell>
          <cell r="F41">
            <v>7.13</v>
          </cell>
          <cell r="G41" t="str">
            <v>L6X6X5/8</v>
          </cell>
          <cell r="H41">
            <v>6</v>
          </cell>
          <cell r="I41" t="str">
            <v>–</v>
          </cell>
          <cell r="J41" t="str">
            <v>–</v>
          </cell>
          <cell r="K41" t="str">
            <v>–</v>
          </cell>
          <cell r="L41" t="str">
            <v>–</v>
          </cell>
          <cell r="M41" t="str">
            <v>–</v>
          </cell>
          <cell r="N41" t="str">
            <v>–</v>
          </cell>
          <cell r="O41" t="str">
            <v>–</v>
          </cell>
          <cell r="P41">
            <v>6</v>
          </cell>
          <cell r="Q41" t="str">
            <v>–</v>
          </cell>
          <cell r="R41" t="str">
            <v>–</v>
          </cell>
          <cell r="S41" t="str">
            <v>–</v>
          </cell>
          <cell r="T41" t="str">
            <v>–</v>
          </cell>
          <cell r="U41" t="str">
            <v>–</v>
          </cell>
          <cell r="V41" t="str">
            <v>–</v>
          </cell>
          <cell r="W41">
            <v>0.625</v>
          </cell>
          <cell r="X41" t="str">
            <v>–</v>
          </cell>
          <cell r="Y41" t="str">
            <v>–</v>
          </cell>
          <cell r="Z41">
            <v>1.1299999999999999</v>
          </cell>
          <cell r="AA41">
            <v>1.125</v>
          </cell>
          <cell r="AB41" t="str">
            <v>–</v>
          </cell>
          <cell r="AC41">
            <v>1.72</v>
          </cell>
          <cell r="AD41">
            <v>1.72</v>
          </cell>
          <cell r="AE41" t="str">
            <v>–</v>
          </cell>
          <cell r="AF41">
            <v>0.59399999999999997</v>
          </cell>
          <cell r="AG41">
            <v>0.59399999999999997</v>
          </cell>
          <cell r="AH41" t="str">
            <v>–</v>
          </cell>
          <cell r="AI41">
            <v>9.6</v>
          </cell>
          <cell r="AJ41" t="str">
            <v>–</v>
          </cell>
          <cell r="AK41" t="str">
            <v>–</v>
          </cell>
          <cell r="AL41" t="str">
            <v>–</v>
          </cell>
          <cell r="AM41" t="str">
            <v>–</v>
          </cell>
          <cell r="AN41">
            <v>24.1</v>
          </cell>
          <cell r="AO41">
            <v>10.1</v>
          </cell>
          <cell r="AP41">
            <v>5.64</v>
          </cell>
          <cell r="AQ41">
            <v>1.84</v>
          </cell>
          <cell r="AR41">
            <v>24.1</v>
          </cell>
          <cell r="AS41">
            <v>10.1</v>
          </cell>
          <cell r="AT41">
            <v>5.64</v>
          </cell>
          <cell r="AU41">
            <v>1.84</v>
          </cell>
          <cell r="AV41">
            <v>9.81</v>
          </cell>
          <cell r="DS41" t="str">
            <v>W24X84</v>
          </cell>
          <cell r="DT41">
            <v>224</v>
          </cell>
          <cell r="DU41">
            <v>84</v>
          </cell>
          <cell r="DV41">
            <v>224</v>
          </cell>
        </row>
        <row r="42">
          <cell r="C42" t="str">
            <v>L6X6X9/16</v>
          </cell>
          <cell r="D42" t="str">
            <v>F</v>
          </cell>
          <cell r="E42">
            <v>21.9</v>
          </cell>
          <cell r="F42">
            <v>6.45</v>
          </cell>
          <cell r="G42" t="str">
            <v>L6X6X9/16</v>
          </cell>
          <cell r="H42">
            <v>6</v>
          </cell>
          <cell r="I42" t="str">
            <v>–</v>
          </cell>
          <cell r="J42" t="str">
            <v>–</v>
          </cell>
          <cell r="K42" t="str">
            <v>–</v>
          </cell>
          <cell r="L42" t="str">
            <v>–</v>
          </cell>
          <cell r="M42" t="str">
            <v>–</v>
          </cell>
          <cell r="N42" t="str">
            <v>–</v>
          </cell>
          <cell r="O42" t="str">
            <v>–</v>
          </cell>
          <cell r="P42">
            <v>6</v>
          </cell>
          <cell r="Q42" t="str">
            <v>–</v>
          </cell>
          <cell r="R42" t="str">
            <v>–</v>
          </cell>
          <cell r="S42" t="str">
            <v>–</v>
          </cell>
          <cell r="T42" t="str">
            <v>–</v>
          </cell>
          <cell r="U42" t="str">
            <v>–</v>
          </cell>
          <cell r="V42" t="str">
            <v>–</v>
          </cell>
          <cell r="W42">
            <v>0.56299999999999994</v>
          </cell>
          <cell r="X42" t="str">
            <v>–</v>
          </cell>
          <cell r="Y42" t="str">
            <v>–</v>
          </cell>
          <cell r="Z42">
            <v>1.06</v>
          </cell>
          <cell r="AA42">
            <v>1.0625</v>
          </cell>
          <cell r="AB42" t="str">
            <v>–</v>
          </cell>
          <cell r="AC42">
            <v>1.7</v>
          </cell>
          <cell r="AD42">
            <v>1.7</v>
          </cell>
          <cell r="AE42" t="str">
            <v>–</v>
          </cell>
          <cell r="AF42">
            <v>0.53800000000000003</v>
          </cell>
          <cell r="AG42">
            <v>0.53800000000000003</v>
          </cell>
          <cell r="AH42" t="str">
            <v>–</v>
          </cell>
          <cell r="AI42">
            <v>10.7</v>
          </cell>
          <cell r="AJ42" t="str">
            <v>–</v>
          </cell>
          <cell r="AK42" t="str">
            <v>–</v>
          </cell>
          <cell r="AL42" t="str">
            <v>–</v>
          </cell>
          <cell r="AM42" t="str">
            <v>–</v>
          </cell>
          <cell r="AN42">
            <v>22</v>
          </cell>
          <cell r="AO42">
            <v>9.18</v>
          </cell>
          <cell r="AP42">
            <v>5.12</v>
          </cell>
          <cell r="AQ42">
            <v>1.85</v>
          </cell>
          <cell r="AR42">
            <v>22</v>
          </cell>
          <cell r="AS42">
            <v>9.18</v>
          </cell>
          <cell r="AT42">
            <v>5.12</v>
          </cell>
          <cell r="AU42">
            <v>1.85</v>
          </cell>
          <cell r="AV42">
            <v>8.9</v>
          </cell>
          <cell r="DS42" t="str">
            <v>W24X76</v>
          </cell>
          <cell r="DT42">
            <v>200</v>
          </cell>
          <cell r="DU42">
            <v>76</v>
          </cell>
          <cell r="DV42">
            <v>200</v>
          </cell>
        </row>
        <row r="43">
          <cell r="C43" t="str">
            <v>L6X6X1/2</v>
          </cell>
          <cell r="D43" t="str">
            <v>F</v>
          </cell>
          <cell r="E43">
            <v>19.600000000000001</v>
          </cell>
          <cell r="F43">
            <v>5.77</v>
          </cell>
          <cell r="G43" t="str">
            <v>L6X6X1/2</v>
          </cell>
          <cell r="H43">
            <v>6</v>
          </cell>
          <cell r="I43" t="str">
            <v>–</v>
          </cell>
          <cell r="J43" t="str">
            <v>–</v>
          </cell>
          <cell r="K43" t="str">
            <v>–</v>
          </cell>
          <cell r="L43" t="str">
            <v>–</v>
          </cell>
          <cell r="M43" t="str">
            <v>–</v>
          </cell>
          <cell r="N43" t="str">
            <v>–</v>
          </cell>
          <cell r="O43" t="str">
            <v>–</v>
          </cell>
          <cell r="P43">
            <v>6</v>
          </cell>
          <cell r="Q43" t="str">
            <v>–</v>
          </cell>
          <cell r="R43" t="str">
            <v>–</v>
          </cell>
          <cell r="S43" t="str">
            <v>–</v>
          </cell>
          <cell r="T43" t="str">
            <v>–</v>
          </cell>
          <cell r="U43" t="str">
            <v>–</v>
          </cell>
          <cell r="V43" t="str">
            <v>–</v>
          </cell>
          <cell r="W43">
            <v>0.5</v>
          </cell>
          <cell r="X43" t="str">
            <v>–</v>
          </cell>
          <cell r="Y43" t="str">
            <v>–</v>
          </cell>
          <cell r="Z43">
            <v>1</v>
          </cell>
          <cell r="AA43">
            <v>1</v>
          </cell>
          <cell r="AB43" t="str">
            <v>–</v>
          </cell>
          <cell r="AC43">
            <v>1.67</v>
          </cell>
          <cell r="AD43">
            <v>1.67</v>
          </cell>
          <cell r="AE43" t="str">
            <v>–</v>
          </cell>
          <cell r="AF43">
            <v>0.48099999999999998</v>
          </cell>
          <cell r="AG43">
            <v>0.48099999999999998</v>
          </cell>
          <cell r="AH43" t="str">
            <v>–</v>
          </cell>
          <cell r="AI43">
            <v>12</v>
          </cell>
          <cell r="AJ43" t="str">
            <v>–</v>
          </cell>
          <cell r="AK43" t="str">
            <v>–</v>
          </cell>
          <cell r="AL43" t="str">
            <v>–</v>
          </cell>
          <cell r="AM43" t="str">
            <v>–</v>
          </cell>
          <cell r="AN43">
            <v>19.899999999999999</v>
          </cell>
          <cell r="AO43">
            <v>8.2200000000000006</v>
          </cell>
          <cell r="AP43">
            <v>4.59</v>
          </cell>
          <cell r="AQ43">
            <v>1.86</v>
          </cell>
          <cell r="AR43">
            <v>19.899999999999999</v>
          </cell>
          <cell r="AS43">
            <v>8.2200000000000006</v>
          </cell>
          <cell r="AT43">
            <v>4.59</v>
          </cell>
          <cell r="AU43">
            <v>1.86</v>
          </cell>
          <cell r="AV43">
            <v>8.06</v>
          </cell>
          <cell r="DS43" t="str">
            <v>W24X68</v>
          </cell>
          <cell r="DT43">
            <v>177</v>
          </cell>
          <cell r="DU43">
            <v>68</v>
          </cell>
          <cell r="DV43">
            <v>177</v>
          </cell>
        </row>
        <row r="44">
          <cell r="C44" t="str">
            <v>L6X6X7/16</v>
          </cell>
          <cell r="D44" t="str">
            <v>F</v>
          </cell>
          <cell r="E44">
            <v>17.2</v>
          </cell>
          <cell r="F44">
            <v>5.08</v>
          </cell>
          <cell r="G44" t="str">
            <v>L6X6X7/16</v>
          </cell>
          <cell r="H44">
            <v>6</v>
          </cell>
          <cell r="I44" t="str">
            <v>–</v>
          </cell>
          <cell r="J44" t="str">
            <v>–</v>
          </cell>
          <cell r="K44" t="str">
            <v>–</v>
          </cell>
          <cell r="L44" t="str">
            <v>–</v>
          </cell>
          <cell r="M44" t="str">
            <v>–</v>
          </cell>
          <cell r="N44" t="str">
            <v>–</v>
          </cell>
          <cell r="O44" t="str">
            <v>–</v>
          </cell>
          <cell r="P44">
            <v>6</v>
          </cell>
          <cell r="Q44" t="str">
            <v>–</v>
          </cell>
          <cell r="R44" t="str">
            <v>–</v>
          </cell>
          <cell r="S44" t="str">
            <v>–</v>
          </cell>
          <cell r="T44" t="str">
            <v>–</v>
          </cell>
          <cell r="U44" t="str">
            <v>–</v>
          </cell>
          <cell r="V44" t="str">
            <v>–</v>
          </cell>
          <cell r="W44">
            <v>0.438</v>
          </cell>
          <cell r="X44" t="str">
            <v>–</v>
          </cell>
          <cell r="Y44" t="str">
            <v>–</v>
          </cell>
          <cell r="Z44">
            <v>0.93799999999999994</v>
          </cell>
          <cell r="AA44">
            <v>0.9375</v>
          </cell>
          <cell r="AB44" t="str">
            <v>–</v>
          </cell>
          <cell r="AC44">
            <v>1.65</v>
          </cell>
          <cell r="AD44">
            <v>1.65</v>
          </cell>
          <cell r="AE44" t="str">
            <v>–</v>
          </cell>
          <cell r="AF44">
            <v>0.42299999999999999</v>
          </cell>
          <cell r="AG44">
            <v>0.42299999999999999</v>
          </cell>
          <cell r="AH44" t="str">
            <v>–</v>
          </cell>
          <cell r="AI44">
            <v>13.7</v>
          </cell>
          <cell r="AJ44" t="str">
            <v>–</v>
          </cell>
          <cell r="AK44" t="str">
            <v>–</v>
          </cell>
          <cell r="AL44" t="str">
            <v>–</v>
          </cell>
          <cell r="AM44" t="str">
            <v>–</v>
          </cell>
          <cell r="AN44">
            <v>17.600000000000001</v>
          </cell>
          <cell r="AO44">
            <v>7.25</v>
          </cell>
          <cell r="AP44">
            <v>4.0599999999999996</v>
          </cell>
          <cell r="AQ44">
            <v>1.86</v>
          </cell>
          <cell r="AR44">
            <v>17.600000000000001</v>
          </cell>
          <cell r="AS44">
            <v>7.25</v>
          </cell>
          <cell r="AT44">
            <v>4.0599999999999996</v>
          </cell>
          <cell r="AU44">
            <v>1.86</v>
          </cell>
          <cell r="AV44">
            <v>7.05</v>
          </cell>
          <cell r="DS44" t="str">
            <v>W21X68</v>
          </cell>
          <cell r="DT44">
            <v>160</v>
          </cell>
          <cell r="DU44">
            <v>68</v>
          </cell>
          <cell r="DV44">
            <v>160</v>
          </cell>
        </row>
        <row r="45">
          <cell r="C45" t="str">
            <v>L6X6X3/8</v>
          </cell>
          <cell r="D45" t="str">
            <v>F</v>
          </cell>
          <cell r="E45">
            <v>14.9</v>
          </cell>
          <cell r="F45">
            <v>4.38</v>
          </cell>
          <cell r="G45" t="str">
            <v>L6X6X3/8</v>
          </cell>
          <cell r="H45">
            <v>6</v>
          </cell>
          <cell r="I45" t="str">
            <v>–</v>
          </cell>
          <cell r="J45" t="str">
            <v>–</v>
          </cell>
          <cell r="K45" t="str">
            <v>–</v>
          </cell>
          <cell r="L45" t="str">
            <v>–</v>
          </cell>
          <cell r="M45" t="str">
            <v>–</v>
          </cell>
          <cell r="N45" t="str">
            <v>–</v>
          </cell>
          <cell r="O45" t="str">
            <v>–</v>
          </cell>
          <cell r="P45">
            <v>6</v>
          </cell>
          <cell r="Q45" t="str">
            <v>–</v>
          </cell>
          <cell r="R45" t="str">
            <v>–</v>
          </cell>
          <cell r="S45" t="str">
            <v>–</v>
          </cell>
          <cell r="T45" t="str">
            <v>–</v>
          </cell>
          <cell r="U45" t="str">
            <v>–</v>
          </cell>
          <cell r="V45" t="str">
            <v>–</v>
          </cell>
          <cell r="W45">
            <v>0.375</v>
          </cell>
          <cell r="X45" t="str">
            <v>–</v>
          </cell>
          <cell r="Y45" t="str">
            <v>–</v>
          </cell>
          <cell r="Z45">
            <v>0.875</v>
          </cell>
          <cell r="AA45">
            <v>0.875</v>
          </cell>
          <cell r="AB45" t="str">
            <v>–</v>
          </cell>
          <cell r="AC45">
            <v>1.62</v>
          </cell>
          <cell r="AD45">
            <v>1.62</v>
          </cell>
          <cell r="AE45" t="str">
            <v>–</v>
          </cell>
          <cell r="AF45">
            <v>0.36499999999999999</v>
          </cell>
          <cell r="AG45">
            <v>0.36499999999999999</v>
          </cell>
          <cell r="AH45" t="str">
            <v>–</v>
          </cell>
          <cell r="AI45">
            <v>16</v>
          </cell>
          <cell r="AJ45" t="str">
            <v>–</v>
          </cell>
          <cell r="AK45" t="str">
            <v>–</v>
          </cell>
          <cell r="AL45" t="str">
            <v>–</v>
          </cell>
          <cell r="AM45" t="str">
            <v>–</v>
          </cell>
          <cell r="AN45">
            <v>15.4</v>
          </cell>
          <cell r="AO45">
            <v>6.27</v>
          </cell>
          <cell r="AP45">
            <v>3.51</v>
          </cell>
          <cell r="AQ45">
            <v>1.87</v>
          </cell>
          <cell r="AR45">
            <v>15.4</v>
          </cell>
          <cell r="AS45">
            <v>6.27</v>
          </cell>
          <cell r="AT45">
            <v>3.51</v>
          </cell>
          <cell r="AU45">
            <v>1.87</v>
          </cell>
          <cell r="AV45">
            <v>6.21</v>
          </cell>
          <cell r="DS45" t="str">
            <v>W24X62</v>
          </cell>
          <cell r="DT45">
            <v>153</v>
          </cell>
          <cell r="DU45">
            <v>62</v>
          </cell>
          <cell r="DV45">
            <v>153</v>
          </cell>
        </row>
        <row r="46">
          <cell r="C46" t="str">
            <v>L6X6X5/16</v>
          </cell>
          <cell r="D46" t="str">
            <v>F</v>
          </cell>
          <cell r="E46">
            <v>12.4</v>
          </cell>
          <cell r="F46">
            <v>3.67</v>
          </cell>
          <cell r="G46" t="str">
            <v>L6X6X5/16</v>
          </cell>
          <cell r="H46">
            <v>6</v>
          </cell>
          <cell r="I46" t="str">
            <v>–</v>
          </cell>
          <cell r="J46" t="str">
            <v>–</v>
          </cell>
          <cell r="K46" t="str">
            <v>–</v>
          </cell>
          <cell r="L46" t="str">
            <v>–</v>
          </cell>
          <cell r="M46" t="str">
            <v>–</v>
          </cell>
          <cell r="N46" t="str">
            <v>–</v>
          </cell>
          <cell r="O46" t="str">
            <v>–</v>
          </cell>
          <cell r="P46">
            <v>6</v>
          </cell>
          <cell r="Q46" t="str">
            <v>–</v>
          </cell>
          <cell r="R46" t="str">
            <v>–</v>
          </cell>
          <cell r="S46" t="str">
            <v>–</v>
          </cell>
          <cell r="T46" t="str">
            <v>–</v>
          </cell>
          <cell r="U46" t="str">
            <v>–</v>
          </cell>
          <cell r="V46" t="str">
            <v>–</v>
          </cell>
          <cell r="W46">
            <v>0.313</v>
          </cell>
          <cell r="X46" t="str">
            <v>–</v>
          </cell>
          <cell r="Y46" t="str">
            <v>–</v>
          </cell>
          <cell r="Z46">
            <v>0.81299999999999994</v>
          </cell>
          <cell r="AA46">
            <v>0.8125</v>
          </cell>
          <cell r="AB46" t="str">
            <v>–</v>
          </cell>
          <cell r="AC46">
            <v>1.6</v>
          </cell>
          <cell r="AD46">
            <v>1.6</v>
          </cell>
          <cell r="AE46" t="str">
            <v>–</v>
          </cell>
          <cell r="AF46">
            <v>0.30599999999999999</v>
          </cell>
          <cell r="AG46">
            <v>0.30599999999999999</v>
          </cell>
          <cell r="AH46" t="str">
            <v>–</v>
          </cell>
          <cell r="AI46">
            <v>19.2</v>
          </cell>
          <cell r="AJ46" t="str">
            <v>–</v>
          </cell>
          <cell r="AK46" t="str">
            <v>–</v>
          </cell>
          <cell r="AL46" t="str">
            <v>–</v>
          </cell>
          <cell r="AM46" t="str">
            <v>–</v>
          </cell>
          <cell r="AN46">
            <v>13</v>
          </cell>
          <cell r="AO46">
            <v>5.26</v>
          </cell>
          <cell r="AP46">
            <v>2.95</v>
          </cell>
          <cell r="AQ46">
            <v>1.88</v>
          </cell>
          <cell r="AR46">
            <v>13</v>
          </cell>
          <cell r="AS46">
            <v>5.26</v>
          </cell>
          <cell r="AT46">
            <v>2.95</v>
          </cell>
          <cell r="AU46">
            <v>1.88</v>
          </cell>
          <cell r="AV46">
            <v>5.2</v>
          </cell>
          <cell r="DS46" t="str">
            <v>W21X62</v>
          </cell>
          <cell r="DT46">
            <v>144</v>
          </cell>
          <cell r="DU46">
            <v>62</v>
          </cell>
          <cell r="DV46">
            <v>144</v>
          </cell>
        </row>
        <row r="47">
          <cell r="C47" t="str">
            <v>L6X4X7/8</v>
          </cell>
          <cell r="D47" t="str">
            <v>F</v>
          </cell>
          <cell r="E47">
            <v>27.2</v>
          </cell>
          <cell r="F47">
            <v>8</v>
          </cell>
          <cell r="G47" t="str">
            <v>L6X4X7/8</v>
          </cell>
          <cell r="H47">
            <v>4</v>
          </cell>
          <cell r="I47" t="str">
            <v>–</v>
          </cell>
          <cell r="J47" t="str">
            <v>–</v>
          </cell>
          <cell r="K47" t="str">
            <v>–</v>
          </cell>
          <cell r="L47" t="str">
            <v>–</v>
          </cell>
          <cell r="M47" t="str">
            <v>–</v>
          </cell>
          <cell r="N47" t="str">
            <v>–</v>
          </cell>
          <cell r="O47" t="str">
            <v>–</v>
          </cell>
          <cell r="P47">
            <v>6</v>
          </cell>
          <cell r="Q47" t="str">
            <v>–</v>
          </cell>
          <cell r="R47" t="str">
            <v>–</v>
          </cell>
          <cell r="S47" t="str">
            <v>–</v>
          </cell>
          <cell r="T47" t="str">
            <v>–</v>
          </cell>
          <cell r="U47" t="str">
            <v>–</v>
          </cell>
          <cell r="V47" t="str">
            <v>–</v>
          </cell>
          <cell r="W47">
            <v>0.875</v>
          </cell>
          <cell r="X47" t="str">
            <v>–</v>
          </cell>
          <cell r="Y47" t="str">
            <v>–</v>
          </cell>
          <cell r="Z47">
            <v>1.38</v>
          </cell>
          <cell r="AA47">
            <v>1.375</v>
          </cell>
          <cell r="AB47" t="str">
            <v>–</v>
          </cell>
          <cell r="AC47">
            <v>1.1200000000000001</v>
          </cell>
          <cell r="AD47">
            <v>2.12</v>
          </cell>
          <cell r="AE47" t="str">
            <v>–</v>
          </cell>
          <cell r="AF47">
            <v>0.66700000000000004</v>
          </cell>
          <cell r="AG47">
            <v>1.43</v>
          </cell>
          <cell r="AH47" t="str">
            <v>–</v>
          </cell>
          <cell r="AI47">
            <v>6.86</v>
          </cell>
          <cell r="AJ47" t="str">
            <v>–</v>
          </cell>
          <cell r="AK47" t="str">
            <v>–</v>
          </cell>
          <cell r="AL47" t="str">
            <v>–</v>
          </cell>
          <cell r="AM47" t="str">
            <v>–</v>
          </cell>
          <cell r="AN47">
            <v>27.7</v>
          </cell>
          <cell r="AO47">
            <v>12.7</v>
          </cell>
          <cell r="AP47">
            <v>7.13</v>
          </cell>
          <cell r="AQ47">
            <v>1.86</v>
          </cell>
          <cell r="AR47">
            <v>9.6999999999999993</v>
          </cell>
          <cell r="AS47">
            <v>6.26</v>
          </cell>
          <cell r="AT47">
            <v>3.37</v>
          </cell>
          <cell r="AU47">
            <v>1.1000000000000001</v>
          </cell>
          <cell r="AV47">
            <v>5.82</v>
          </cell>
          <cell r="DS47" t="str">
            <v>W24X55</v>
          </cell>
          <cell r="DT47">
            <v>134</v>
          </cell>
          <cell r="DU47">
            <v>55</v>
          </cell>
          <cell r="DV47">
            <v>134</v>
          </cell>
        </row>
        <row r="48">
          <cell r="C48" t="str">
            <v>L6X4X3/4</v>
          </cell>
          <cell r="D48" t="str">
            <v>F</v>
          </cell>
          <cell r="E48">
            <v>23.6</v>
          </cell>
          <cell r="F48">
            <v>6.94</v>
          </cell>
          <cell r="G48" t="str">
            <v>L6X4X3/4</v>
          </cell>
          <cell r="H48">
            <v>4</v>
          </cell>
          <cell r="I48" t="str">
            <v>–</v>
          </cell>
          <cell r="J48" t="str">
            <v>–</v>
          </cell>
          <cell r="K48" t="str">
            <v>–</v>
          </cell>
          <cell r="L48" t="str">
            <v>–</v>
          </cell>
          <cell r="M48" t="str">
            <v>–</v>
          </cell>
          <cell r="N48" t="str">
            <v>–</v>
          </cell>
          <cell r="O48" t="str">
            <v>–</v>
          </cell>
          <cell r="P48">
            <v>6</v>
          </cell>
          <cell r="Q48" t="str">
            <v>–</v>
          </cell>
          <cell r="R48" t="str">
            <v>–</v>
          </cell>
          <cell r="S48" t="str">
            <v>–</v>
          </cell>
          <cell r="T48" t="str">
            <v>–</v>
          </cell>
          <cell r="U48" t="str">
            <v>–</v>
          </cell>
          <cell r="V48" t="str">
            <v>–</v>
          </cell>
          <cell r="W48">
            <v>0.75</v>
          </cell>
          <cell r="X48" t="str">
            <v>–</v>
          </cell>
          <cell r="Y48" t="str">
            <v>–</v>
          </cell>
          <cell r="Z48">
            <v>1.25</v>
          </cell>
          <cell r="AA48">
            <v>1.25</v>
          </cell>
          <cell r="AB48" t="str">
            <v>–</v>
          </cell>
          <cell r="AC48">
            <v>1.07</v>
          </cell>
          <cell r="AD48">
            <v>2.0699999999999998</v>
          </cell>
          <cell r="AE48" t="str">
            <v>–</v>
          </cell>
          <cell r="AF48">
            <v>0.57799999999999996</v>
          </cell>
          <cell r="AG48">
            <v>1.37</v>
          </cell>
          <cell r="AH48" t="str">
            <v>–</v>
          </cell>
          <cell r="AI48">
            <v>8</v>
          </cell>
          <cell r="AJ48" t="str">
            <v>–</v>
          </cell>
          <cell r="AK48" t="str">
            <v>–</v>
          </cell>
          <cell r="AL48" t="str">
            <v>–</v>
          </cell>
          <cell r="AM48" t="str">
            <v>–</v>
          </cell>
          <cell r="AN48">
            <v>24.5</v>
          </cell>
          <cell r="AO48">
            <v>11.1</v>
          </cell>
          <cell r="AP48">
            <v>6.23</v>
          </cell>
          <cell r="AQ48">
            <v>1.88</v>
          </cell>
          <cell r="AR48">
            <v>8.6300000000000008</v>
          </cell>
          <cell r="AS48">
            <v>5.42</v>
          </cell>
          <cell r="AT48">
            <v>2.95</v>
          </cell>
          <cell r="AU48">
            <v>1.1200000000000001</v>
          </cell>
          <cell r="AV48">
            <v>5.08</v>
          </cell>
          <cell r="DS48" t="str">
            <v>W21X55</v>
          </cell>
          <cell r="DT48">
            <v>126</v>
          </cell>
          <cell r="DU48">
            <v>55</v>
          </cell>
          <cell r="DV48">
            <v>126</v>
          </cell>
        </row>
        <row r="49">
          <cell r="C49" t="str">
            <v>L6X4X5/8</v>
          </cell>
          <cell r="D49" t="str">
            <v>F</v>
          </cell>
          <cell r="E49">
            <v>20</v>
          </cell>
          <cell r="F49">
            <v>5.86</v>
          </cell>
          <cell r="G49" t="str">
            <v>L6X4X5/8</v>
          </cell>
          <cell r="H49">
            <v>4</v>
          </cell>
          <cell r="I49" t="str">
            <v>–</v>
          </cell>
          <cell r="J49" t="str">
            <v>–</v>
          </cell>
          <cell r="K49" t="str">
            <v>–</v>
          </cell>
          <cell r="L49" t="str">
            <v>–</v>
          </cell>
          <cell r="M49" t="str">
            <v>–</v>
          </cell>
          <cell r="N49" t="str">
            <v>–</v>
          </cell>
          <cell r="O49" t="str">
            <v>–</v>
          </cell>
          <cell r="P49">
            <v>6</v>
          </cell>
          <cell r="Q49" t="str">
            <v>–</v>
          </cell>
          <cell r="R49" t="str">
            <v>–</v>
          </cell>
          <cell r="S49" t="str">
            <v>–</v>
          </cell>
          <cell r="T49" t="str">
            <v>–</v>
          </cell>
          <cell r="U49" t="str">
            <v>–</v>
          </cell>
          <cell r="V49" t="str">
            <v>–</v>
          </cell>
          <cell r="W49">
            <v>0.625</v>
          </cell>
          <cell r="X49" t="str">
            <v>–</v>
          </cell>
          <cell r="Y49" t="str">
            <v>–</v>
          </cell>
          <cell r="Z49">
            <v>1.1299999999999999</v>
          </cell>
          <cell r="AA49">
            <v>1.125</v>
          </cell>
          <cell r="AB49" t="str">
            <v>–</v>
          </cell>
          <cell r="AC49">
            <v>1.03</v>
          </cell>
          <cell r="AD49">
            <v>2.0299999999999998</v>
          </cell>
          <cell r="AE49" t="str">
            <v>–</v>
          </cell>
          <cell r="AF49">
            <v>0.48799999999999999</v>
          </cell>
          <cell r="AG49">
            <v>1.31</v>
          </cell>
          <cell r="AH49" t="str">
            <v>–</v>
          </cell>
          <cell r="AI49">
            <v>9.6</v>
          </cell>
          <cell r="AJ49" t="str">
            <v>–</v>
          </cell>
          <cell r="AK49" t="str">
            <v>–</v>
          </cell>
          <cell r="AL49" t="str">
            <v>–</v>
          </cell>
          <cell r="AM49" t="str">
            <v>–</v>
          </cell>
          <cell r="AN49">
            <v>21</v>
          </cell>
          <cell r="AO49">
            <v>9.44</v>
          </cell>
          <cell r="AP49">
            <v>5.29</v>
          </cell>
          <cell r="AQ49">
            <v>1.89</v>
          </cell>
          <cell r="AR49">
            <v>7.48</v>
          </cell>
          <cell r="AS49">
            <v>4.5599999999999996</v>
          </cell>
          <cell r="AT49">
            <v>2.52</v>
          </cell>
          <cell r="AU49">
            <v>1.1299999999999999</v>
          </cell>
          <cell r="AV49">
            <v>4.32</v>
          </cell>
          <cell r="DS49" t="str">
            <v>W18X55</v>
          </cell>
          <cell r="DT49">
            <v>112</v>
          </cell>
          <cell r="DU49">
            <v>55</v>
          </cell>
          <cell r="DV49">
            <v>112</v>
          </cell>
        </row>
        <row r="50">
          <cell r="C50" t="str">
            <v>L6X4X9/16</v>
          </cell>
          <cell r="D50" t="str">
            <v>F</v>
          </cell>
          <cell r="E50">
            <v>18.100000000000001</v>
          </cell>
          <cell r="F50">
            <v>5.31</v>
          </cell>
          <cell r="G50" t="str">
            <v>L6X4X9/16</v>
          </cell>
          <cell r="H50">
            <v>4</v>
          </cell>
          <cell r="I50" t="str">
            <v>–</v>
          </cell>
          <cell r="J50" t="str">
            <v>–</v>
          </cell>
          <cell r="K50" t="str">
            <v>–</v>
          </cell>
          <cell r="L50" t="str">
            <v>–</v>
          </cell>
          <cell r="M50" t="str">
            <v>–</v>
          </cell>
          <cell r="N50" t="str">
            <v>–</v>
          </cell>
          <cell r="O50" t="str">
            <v>–</v>
          </cell>
          <cell r="P50">
            <v>6</v>
          </cell>
          <cell r="Q50" t="str">
            <v>–</v>
          </cell>
          <cell r="R50" t="str">
            <v>–</v>
          </cell>
          <cell r="S50" t="str">
            <v>–</v>
          </cell>
          <cell r="T50" t="str">
            <v>–</v>
          </cell>
          <cell r="U50" t="str">
            <v>–</v>
          </cell>
          <cell r="V50" t="str">
            <v>–</v>
          </cell>
          <cell r="W50">
            <v>0.56299999999999994</v>
          </cell>
          <cell r="X50" t="str">
            <v>–</v>
          </cell>
          <cell r="Y50" t="str">
            <v>–</v>
          </cell>
          <cell r="Z50">
            <v>1.06</v>
          </cell>
          <cell r="AA50">
            <v>1.0625</v>
          </cell>
          <cell r="AB50" t="str">
            <v>–</v>
          </cell>
          <cell r="AC50">
            <v>1</v>
          </cell>
          <cell r="AD50">
            <v>2</v>
          </cell>
          <cell r="AE50" t="str">
            <v>–</v>
          </cell>
          <cell r="AF50">
            <v>0.443</v>
          </cell>
          <cell r="AG50">
            <v>1.28</v>
          </cell>
          <cell r="AH50" t="str">
            <v>–</v>
          </cell>
          <cell r="AI50">
            <v>10.7</v>
          </cell>
          <cell r="AJ50" t="str">
            <v>–</v>
          </cell>
          <cell r="AK50" t="str">
            <v>–</v>
          </cell>
          <cell r="AL50" t="str">
            <v>–</v>
          </cell>
          <cell r="AM50" t="str">
            <v>–</v>
          </cell>
          <cell r="AN50">
            <v>19.2</v>
          </cell>
          <cell r="AO50">
            <v>8.59</v>
          </cell>
          <cell r="AP50">
            <v>4.8099999999999996</v>
          </cell>
          <cell r="AQ50">
            <v>1.9</v>
          </cell>
          <cell r="AR50">
            <v>6.86</v>
          </cell>
          <cell r="AS50">
            <v>4.13</v>
          </cell>
          <cell r="AT50">
            <v>2.29</v>
          </cell>
          <cell r="AU50">
            <v>1.1399999999999999</v>
          </cell>
          <cell r="AV50">
            <v>3.93</v>
          </cell>
          <cell r="DS50" t="str">
            <v>W21X48</v>
          </cell>
          <cell r="DT50">
            <v>107</v>
          </cell>
          <cell r="DU50">
            <v>48</v>
          </cell>
          <cell r="DV50">
            <v>107</v>
          </cell>
        </row>
        <row r="51">
          <cell r="C51" t="str">
            <v>L6X4X1/2</v>
          </cell>
          <cell r="D51" t="str">
            <v>F</v>
          </cell>
          <cell r="E51">
            <v>16.2</v>
          </cell>
          <cell r="F51">
            <v>4.75</v>
          </cell>
          <cell r="G51" t="str">
            <v>L6X4X1/2</v>
          </cell>
          <cell r="H51">
            <v>4</v>
          </cell>
          <cell r="I51" t="str">
            <v>–</v>
          </cell>
          <cell r="J51" t="str">
            <v>–</v>
          </cell>
          <cell r="K51" t="str">
            <v>–</v>
          </cell>
          <cell r="L51" t="str">
            <v>–</v>
          </cell>
          <cell r="M51" t="str">
            <v>–</v>
          </cell>
          <cell r="N51" t="str">
            <v>–</v>
          </cell>
          <cell r="O51" t="str">
            <v>–</v>
          </cell>
          <cell r="P51">
            <v>6</v>
          </cell>
          <cell r="Q51" t="str">
            <v>–</v>
          </cell>
          <cell r="R51" t="str">
            <v>–</v>
          </cell>
          <cell r="S51" t="str">
            <v>–</v>
          </cell>
          <cell r="T51" t="str">
            <v>–</v>
          </cell>
          <cell r="U51" t="str">
            <v>–</v>
          </cell>
          <cell r="V51" t="str">
            <v>–</v>
          </cell>
          <cell r="W51">
            <v>0.5</v>
          </cell>
          <cell r="X51" t="str">
            <v>–</v>
          </cell>
          <cell r="Y51" t="str">
            <v>–</v>
          </cell>
          <cell r="Z51">
            <v>1</v>
          </cell>
          <cell r="AA51">
            <v>1</v>
          </cell>
          <cell r="AB51" t="str">
            <v>–</v>
          </cell>
          <cell r="AC51">
            <v>0.98099999999999998</v>
          </cell>
          <cell r="AD51">
            <v>1.98</v>
          </cell>
          <cell r="AE51" t="str">
            <v>–</v>
          </cell>
          <cell r="AF51">
            <v>0.39600000000000002</v>
          </cell>
          <cell r="AG51">
            <v>1.25</v>
          </cell>
          <cell r="AH51" t="str">
            <v>–</v>
          </cell>
          <cell r="AI51">
            <v>12</v>
          </cell>
          <cell r="AJ51" t="str">
            <v>–</v>
          </cell>
          <cell r="AK51" t="str">
            <v>–</v>
          </cell>
          <cell r="AL51" t="str">
            <v>–</v>
          </cell>
          <cell r="AM51" t="str">
            <v>–</v>
          </cell>
          <cell r="AN51">
            <v>17.3</v>
          </cell>
          <cell r="AO51">
            <v>7.71</v>
          </cell>
          <cell r="AP51">
            <v>4.3099999999999996</v>
          </cell>
          <cell r="AQ51">
            <v>1.91</v>
          </cell>
          <cell r="AR51">
            <v>6.22</v>
          </cell>
          <cell r="AS51">
            <v>3.69</v>
          </cell>
          <cell r="AT51">
            <v>2.06</v>
          </cell>
          <cell r="AU51">
            <v>1.1399999999999999</v>
          </cell>
          <cell r="AV51">
            <v>3.54</v>
          </cell>
          <cell r="DS51" t="str">
            <v>W21X44</v>
          </cell>
          <cell r="DT51">
            <v>95.4</v>
          </cell>
          <cell r="DU51">
            <v>44</v>
          </cell>
          <cell r="DV51">
            <v>95.4</v>
          </cell>
        </row>
        <row r="52">
          <cell r="C52" t="str">
            <v>L6X4X7/16</v>
          </cell>
          <cell r="D52" t="str">
            <v>F</v>
          </cell>
          <cell r="E52">
            <v>14.3</v>
          </cell>
          <cell r="F52">
            <v>4.18</v>
          </cell>
          <cell r="G52" t="str">
            <v>L6X4X7/16</v>
          </cell>
          <cell r="H52">
            <v>4</v>
          </cell>
          <cell r="I52" t="str">
            <v>–</v>
          </cell>
          <cell r="J52" t="str">
            <v>–</v>
          </cell>
          <cell r="K52" t="str">
            <v>–</v>
          </cell>
          <cell r="L52" t="str">
            <v>–</v>
          </cell>
          <cell r="M52" t="str">
            <v>–</v>
          </cell>
          <cell r="N52" t="str">
            <v>–</v>
          </cell>
          <cell r="O52" t="str">
            <v>–</v>
          </cell>
          <cell r="P52">
            <v>6</v>
          </cell>
          <cell r="Q52" t="str">
            <v>–</v>
          </cell>
          <cell r="R52" t="str">
            <v>–</v>
          </cell>
          <cell r="S52" t="str">
            <v>–</v>
          </cell>
          <cell r="T52" t="str">
            <v>–</v>
          </cell>
          <cell r="U52" t="str">
            <v>–</v>
          </cell>
          <cell r="V52" t="str">
            <v>–</v>
          </cell>
          <cell r="W52">
            <v>0.438</v>
          </cell>
          <cell r="X52" t="str">
            <v>–</v>
          </cell>
          <cell r="Y52" t="str">
            <v>–</v>
          </cell>
          <cell r="Z52">
            <v>0.93799999999999994</v>
          </cell>
          <cell r="AA52">
            <v>0.9375</v>
          </cell>
          <cell r="AB52" t="str">
            <v>–</v>
          </cell>
          <cell r="AC52">
            <v>0.95699999999999996</v>
          </cell>
          <cell r="AD52">
            <v>1.95</v>
          </cell>
          <cell r="AE52" t="str">
            <v>–</v>
          </cell>
          <cell r="AF52">
            <v>0.34799999999999998</v>
          </cell>
          <cell r="AG52">
            <v>1.22</v>
          </cell>
          <cell r="AH52" t="str">
            <v>–</v>
          </cell>
          <cell r="AI52">
            <v>13.7</v>
          </cell>
          <cell r="AJ52" t="str">
            <v>–</v>
          </cell>
          <cell r="AK52" t="str">
            <v>–</v>
          </cell>
          <cell r="AL52" t="str">
            <v>–</v>
          </cell>
          <cell r="AM52" t="str">
            <v>–</v>
          </cell>
          <cell r="AN52">
            <v>15.4</v>
          </cell>
          <cell r="AO52">
            <v>6.81</v>
          </cell>
          <cell r="AP52">
            <v>3.81</v>
          </cell>
          <cell r="AQ52">
            <v>1.92</v>
          </cell>
          <cell r="AR52">
            <v>5.56</v>
          </cell>
          <cell r="AS52">
            <v>3.24</v>
          </cell>
          <cell r="AT52">
            <v>1.83</v>
          </cell>
          <cell r="AU52">
            <v>1.1499999999999999</v>
          </cell>
          <cell r="AV52">
            <v>3.14</v>
          </cell>
          <cell r="DS52" t="str">
            <v>W18X40</v>
          </cell>
          <cell r="DT52">
            <v>78.400000000000006</v>
          </cell>
          <cell r="DU52">
            <v>40</v>
          </cell>
          <cell r="DV52">
            <v>78.400000000000006</v>
          </cell>
        </row>
        <row r="53">
          <cell r="C53" t="str">
            <v>L6X4X3/8</v>
          </cell>
          <cell r="D53" t="str">
            <v>F</v>
          </cell>
          <cell r="E53">
            <v>12.3</v>
          </cell>
          <cell r="F53">
            <v>3.61</v>
          </cell>
          <cell r="G53" t="str">
            <v>L6X4X3/8</v>
          </cell>
          <cell r="H53">
            <v>4</v>
          </cell>
          <cell r="I53" t="str">
            <v>–</v>
          </cell>
          <cell r="J53" t="str">
            <v>–</v>
          </cell>
          <cell r="K53" t="str">
            <v>–</v>
          </cell>
          <cell r="L53" t="str">
            <v>–</v>
          </cell>
          <cell r="M53" t="str">
            <v>–</v>
          </cell>
          <cell r="N53" t="str">
            <v>–</v>
          </cell>
          <cell r="O53" t="str">
            <v>–</v>
          </cell>
          <cell r="P53">
            <v>6</v>
          </cell>
          <cell r="Q53" t="str">
            <v>–</v>
          </cell>
          <cell r="R53" t="str">
            <v>–</v>
          </cell>
          <cell r="S53" t="str">
            <v>–</v>
          </cell>
          <cell r="T53" t="str">
            <v>–</v>
          </cell>
          <cell r="U53" t="str">
            <v>–</v>
          </cell>
          <cell r="V53" t="str">
            <v>–</v>
          </cell>
          <cell r="W53">
            <v>0.375</v>
          </cell>
          <cell r="X53" t="str">
            <v>–</v>
          </cell>
          <cell r="Y53" t="str">
            <v>–</v>
          </cell>
          <cell r="Z53">
            <v>0.875</v>
          </cell>
          <cell r="AA53">
            <v>0.875</v>
          </cell>
          <cell r="AB53" t="str">
            <v>–</v>
          </cell>
          <cell r="AC53">
            <v>0.93300000000000005</v>
          </cell>
          <cell r="AD53">
            <v>1.93</v>
          </cell>
          <cell r="AE53" t="str">
            <v>–</v>
          </cell>
          <cell r="AF53">
            <v>0.30099999999999999</v>
          </cell>
          <cell r="AG53">
            <v>1.19</v>
          </cell>
          <cell r="AH53" t="str">
            <v>–</v>
          </cell>
          <cell r="AI53">
            <v>16</v>
          </cell>
          <cell r="AJ53" t="str">
            <v>–</v>
          </cell>
          <cell r="AK53" t="str">
            <v>–</v>
          </cell>
          <cell r="AL53" t="str">
            <v>–</v>
          </cell>
          <cell r="AM53" t="str">
            <v>–</v>
          </cell>
          <cell r="AN53">
            <v>13.4</v>
          </cell>
          <cell r="AO53">
            <v>5.89</v>
          </cell>
          <cell r="AP53">
            <v>3.3</v>
          </cell>
          <cell r="AQ53">
            <v>1.93</v>
          </cell>
          <cell r="AR53">
            <v>4.8600000000000003</v>
          </cell>
          <cell r="AS53">
            <v>2.79</v>
          </cell>
          <cell r="AT53">
            <v>1.58</v>
          </cell>
          <cell r="AU53">
            <v>1.1599999999999999</v>
          </cell>
          <cell r="AV53">
            <v>2.73</v>
          </cell>
          <cell r="DS53" t="str">
            <v>W16X40</v>
          </cell>
          <cell r="DT53">
            <v>73</v>
          </cell>
          <cell r="DU53">
            <v>40</v>
          </cell>
          <cell r="DV53">
            <v>73</v>
          </cell>
        </row>
        <row r="54">
          <cell r="C54" t="str">
            <v>L6X4X5/16</v>
          </cell>
          <cell r="D54" t="str">
            <v>F</v>
          </cell>
          <cell r="E54">
            <v>10.3</v>
          </cell>
          <cell r="F54">
            <v>3.03</v>
          </cell>
          <cell r="G54" t="str">
            <v>L6X4X5/16</v>
          </cell>
          <cell r="H54">
            <v>4</v>
          </cell>
          <cell r="I54" t="str">
            <v>–</v>
          </cell>
          <cell r="J54" t="str">
            <v>–</v>
          </cell>
          <cell r="K54" t="str">
            <v>–</v>
          </cell>
          <cell r="L54" t="str">
            <v>–</v>
          </cell>
          <cell r="M54" t="str">
            <v>–</v>
          </cell>
          <cell r="N54" t="str">
            <v>–</v>
          </cell>
          <cell r="O54" t="str">
            <v>–</v>
          </cell>
          <cell r="P54">
            <v>6</v>
          </cell>
          <cell r="Q54" t="str">
            <v>–</v>
          </cell>
          <cell r="R54" t="str">
            <v>–</v>
          </cell>
          <cell r="S54" t="str">
            <v>–</v>
          </cell>
          <cell r="T54" t="str">
            <v>–</v>
          </cell>
          <cell r="U54" t="str">
            <v>–</v>
          </cell>
          <cell r="V54" t="str">
            <v>–</v>
          </cell>
          <cell r="W54">
            <v>0.313</v>
          </cell>
          <cell r="X54" t="str">
            <v>–</v>
          </cell>
          <cell r="Y54" t="str">
            <v>–</v>
          </cell>
          <cell r="Z54">
            <v>0.81299999999999994</v>
          </cell>
          <cell r="AA54">
            <v>0.8125</v>
          </cell>
          <cell r="AB54" t="str">
            <v>–</v>
          </cell>
          <cell r="AC54">
            <v>0.90800000000000003</v>
          </cell>
          <cell r="AD54">
            <v>1.9</v>
          </cell>
          <cell r="AE54" t="str">
            <v>–</v>
          </cell>
          <cell r="AF54">
            <v>0.253</v>
          </cell>
          <cell r="AG54">
            <v>1.1499999999999999</v>
          </cell>
          <cell r="AH54" t="str">
            <v>–</v>
          </cell>
          <cell r="AI54">
            <v>19.2</v>
          </cell>
          <cell r="AJ54" t="str">
            <v>–</v>
          </cell>
          <cell r="AK54" t="str">
            <v>–</v>
          </cell>
          <cell r="AL54" t="str">
            <v>–</v>
          </cell>
          <cell r="AM54" t="str">
            <v>–</v>
          </cell>
          <cell r="AN54">
            <v>11.4</v>
          </cell>
          <cell r="AO54">
            <v>4.96</v>
          </cell>
          <cell r="AP54">
            <v>2.77</v>
          </cell>
          <cell r="AQ54">
            <v>1.94</v>
          </cell>
          <cell r="AR54">
            <v>4.13</v>
          </cell>
          <cell r="AS54">
            <v>2.33</v>
          </cell>
          <cell r="AT54">
            <v>1.34</v>
          </cell>
          <cell r="AU54">
            <v>1.17</v>
          </cell>
          <cell r="AV54">
            <v>2.31</v>
          </cell>
          <cell r="DS54" t="str">
            <v>W18X35</v>
          </cell>
          <cell r="DT54">
            <v>66.5</v>
          </cell>
          <cell r="DU54">
            <v>35</v>
          </cell>
          <cell r="DV54">
            <v>66.5</v>
          </cell>
        </row>
        <row r="55">
          <cell r="C55" t="str">
            <v>L6X3-1/2X1/2</v>
          </cell>
          <cell r="D55" t="str">
            <v>F</v>
          </cell>
          <cell r="E55">
            <v>15.3</v>
          </cell>
          <cell r="F55">
            <v>4.5</v>
          </cell>
          <cell r="G55" t="str">
            <v>L6X3-1/2X1/2</v>
          </cell>
          <cell r="H55">
            <v>3.5</v>
          </cell>
          <cell r="I55" t="str">
            <v>–</v>
          </cell>
          <cell r="J55" t="str">
            <v>–</v>
          </cell>
          <cell r="K55" t="str">
            <v>–</v>
          </cell>
          <cell r="L55" t="str">
            <v>–</v>
          </cell>
          <cell r="M55" t="str">
            <v>–</v>
          </cell>
          <cell r="N55" t="str">
            <v>–</v>
          </cell>
          <cell r="O55" t="str">
            <v>–</v>
          </cell>
          <cell r="P55">
            <v>6</v>
          </cell>
          <cell r="Q55" t="str">
            <v>–</v>
          </cell>
          <cell r="R55" t="str">
            <v>–</v>
          </cell>
          <cell r="S55" t="str">
            <v>–</v>
          </cell>
          <cell r="T55" t="str">
            <v>–</v>
          </cell>
          <cell r="U55" t="str">
            <v>–</v>
          </cell>
          <cell r="V55" t="str">
            <v>–</v>
          </cell>
          <cell r="W55">
            <v>0.5</v>
          </cell>
          <cell r="X55" t="str">
            <v>–</v>
          </cell>
          <cell r="Y55" t="str">
            <v>–</v>
          </cell>
          <cell r="Z55">
            <v>1</v>
          </cell>
          <cell r="AA55">
            <v>1</v>
          </cell>
          <cell r="AB55" t="str">
            <v>–</v>
          </cell>
          <cell r="AC55">
            <v>0.82899999999999996</v>
          </cell>
          <cell r="AD55">
            <v>2.0699999999999998</v>
          </cell>
          <cell r="AE55" t="str">
            <v>–</v>
          </cell>
          <cell r="AF55">
            <v>0.375</v>
          </cell>
          <cell r="AG55">
            <v>1.5</v>
          </cell>
          <cell r="AH55" t="str">
            <v>–</v>
          </cell>
          <cell r="AI55">
            <v>12</v>
          </cell>
          <cell r="AJ55" t="str">
            <v>–</v>
          </cell>
          <cell r="AK55" t="str">
            <v>–</v>
          </cell>
          <cell r="AL55" t="str">
            <v>–</v>
          </cell>
          <cell r="AM55" t="str">
            <v>–</v>
          </cell>
          <cell r="AN55">
            <v>16.600000000000001</v>
          </cell>
          <cell r="AO55">
            <v>7.49</v>
          </cell>
          <cell r="AP55">
            <v>4.2300000000000004</v>
          </cell>
          <cell r="AQ55">
            <v>1.92</v>
          </cell>
          <cell r="AR55">
            <v>4.24</v>
          </cell>
          <cell r="AS55">
            <v>2.88</v>
          </cell>
          <cell r="AT55">
            <v>1.59</v>
          </cell>
          <cell r="AU55">
            <v>0.96799999999999997</v>
          </cell>
          <cell r="AV55">
            <v>2.59</v>
          </cell>
          <cell r="DS55" t="str">
            <v>W14X34</v>
          </cell>
          <cell r="DT55">
            <v>54.6</v>
          </cell>
          <cell r="DU55">
            <v>34</v>
          </cell>
          <cell r="DV55">
            <v>54.6</v>
          </cell>
        </row>
        <row r="56">
          <cell r="C56" t="str">
            <v>L6X3-1/2X3/8</v>
          </cell>
          <cell r="D56" t="str">
            <v>F</v>
          </cell>
          <cell r="E56">
            <v>11.7</v>
          </cell>
          <cell r="F56">
            <v>3.44</v>
          </cell>
          <cell r="G56" t="str">
            <v>L6X3-1/2X3/8</v>
          </cell>
          <cell r="H56">
            <v>3.5</v>
          </cell>
          <cell r="I56" t="str">
            <v>–</v>
          </cell>
          <cell r="J56" t="str">
            <v>–</v>
          </cell>
          <cell r="K56" t="str">
            <v>–</v>
          </cell>
          <cell r="L56" t="str">
            <v>–</v>
          </cell>
          <cell r="M56" t="str">
            <v>–</v>
          </cell>
          <cell r="N56" t="str">
            <v>–</v>
          </cell>
          <cell r="O56" t="str">
            <v>–</v>
          </cell>
          <cell r="P56">
            <v>6</v>
          </cell>
          <cell r="Q56" t="str">
            <v>–</v>
          </cell>
          <cell r="R56" t="str">
            <v>–</v>
          </cell>
          <cell r="S56" t="str">
            <v>–</v>
          </cell>
          <cell r="T56" t="str">
            <v>–</v>
          </cell>
          <cell r="U56" t="str">
            <v>–</v>
          </cell>
          <cell r="V56" t="str">
            <v>–</v>
          </cell>
          <cell r="W56">
            <v>0.375</v>
          </cell>
          <cell r="X56" t="str">
            <v>–</v>
          </cell>
          <cell r="Y56" t="str">
            <v>–</v>
          </cell>
          <cell r="Z56">
            <v>0.875</v>
          </cell>
          <cell r="AA56">
            <v>0.875</v>
          </cell>
          <cell r="AB56" t="str">
            <v>–</v>
          </cell>
          <cell r="AC56">
            <v>0.78100000000000003</v>
          </cell>
          <cell r="AD56">
            <v>2.02</v>
          </cell>
          <cell r="AE56" t="str">
            <v>–</v>
          </cell>
          <cell r="AF56">
            <v>0.28699999999999998</v>
          </cell>
          <cell r="AG56">
            <v>1.41</v>
          </cell>
          <cell r="AH56" t="str">
            <v>–</v>
          </cell>
          <cell r="AI56">
            <v>16</v>
          </cell>
          <cell r="AJ56" t="str">
            <v>–</v>
          </cell>
          <cell r="AK56" t="str">
            <v>–</v>
          </cell>
          <cell r="AL56" t="str">
            <v>–</v>
          </cell>
          <cell r="AM56" t="str">
            <v>–</v>
          </cell>
          <cell r="AN56">
            <v>12.9</v>
          </cell>
          <cell r="AO56">
            <v>5.74</v>
          </cell>
          <cell r="AP56">
            <v>3.23</v>
          </cell>
          <cell r="AQ56">
            <v>1.93</v>
          </cell>
          <cell r="AR56">
            <v>3.33</v>
          </cell>
          <cell r="AS56">
            <v>2.1800000000000002</v>
          </cell>
          <cell r="AT56">
            <v>1.22</v>
          </cell>
          <cell r="AU56">
            <v>0.98399999999999999</v>
          </cell>
          <cell r="AV56">
            <v>2.0099999999999998</v>
          </cell>
          <cell r="DS56" t="str">
            <v>W16X31</v>
          </cell>
          <cell r="DT56">
            <v>54</v>
          </cell>
          <cell r="DU56">
            <v>31</v>
          </cell>
          <cell r="DV56">
            <v>54</v>
          </cell>
        </row>
        <row r="57">
          <cell r="C57" t="str">
            <v>L6X3-1/2X5/16</v>
          </cell>
          <cell r="D57" t="str">
            <v>F</v>
          </cell>
          <cell r="E57">
            <v>9.8000000000000007</v>
          </cell>
          <cell r="F57">
            <v>2.89</v>
          </cell>
          <cell r="G57" t="str">
            <v>L6X3-1/2X5/16</v>
          </cell>
          <cell r="H57">
            <v>3.5</v>
          </cell>
          <cell r="I57" t="str">
            <v>–</v>
          </cell>
          <cell r="J57" t="str">
            <v>–</v>
          </cell>
          <cell r="K57" t="str">
            <v>–</v>
          </cell>
          <cell r="L57" t="str">
            <v>–</v>
          </cell>
          <cell r="M57" t="str">
            <v>–</v>
          </cell>
          <cell r="N57" t="str">
            <v>–</v>
          </cell>
          <cell r="O57" t="str">
            <v>–</v>
          </cell>
          <cell r="P57">
            <v>6</v>
          </cell>
          <cell r="Q57" t="str">
            <v>–</v>
          </cell>
          <cell r="R57" t="str">
            <v>–</v>
          </cell>
          <cell r="S57" t="str">
            <v>–</v>
          </cell>
          <cell r="T57" t="str">
            <v>–</v>
          </cell>
          <cell r="U57" t="str">
            <v>–</v>
          </cell>
          <cell r="V57" t="str">
            <v>–</v>
          </cell>
          <cell r="W57">
            <v>0.313</v>
          </cell>
          <cell r="X57" t="str">
            <v>–</v>
          </cell>
          <cell r="Y57" t="str">
            <v>–</v>
          </cell>
          <cell r="Z57">
            <v>0.81299999999999994</v>
          </cell>
          <cell r="AA57">
            <v>0.8125</v>
          </cell>
          <cell r="AB57" t="str">
            <v>–</v>
          </cell>
          <cell r="AC57">
            <v>0.75600000000000001</v>
          </cell>
          <cell r="AD57">
            <v>2</v>
          </cell>
          <cell r="AE57" t="str">
            <v>–</v>
          </cell>
          <cell r="AF57">
            <v>0.24099999999999999</v>
          </cell>
          <cell r="AG57">
            <v>1.38</v>
          </cell>
          <cell r="AH57" t="str">
            <v>–</v>
          </cell>
          <cell r="AI57">
            <v>19.2</v>
          </cell>
          <cell r="AJ57" t="str">
            <v>–</v>
          </cell>
          <cell r="AK57" t="str">
            <v>–</v>
          </cell>
          <cell r="AL57" t="str">
            <v>–</v>
          </cell>
          <cell r="AM57" t="str">
            <v>–</v>
          </cell>
          <cell r="AN57">
            <v>10.9</v>
          </cell>
          <cell r="AO57">
            <v>4.84</v>
          </cell>
          <cell r="AP57">
            <v>2.72</v>
          </cell>
          <cell r="AQ57">
            <v>1.94</v>
          </cell>
          <cell r="AR57">
            <v>2.84</v>
          </cell>
          <cell r="AS57">
            <v>1.82</v>
          </cell>
          <cell r="AT57">
            <v>1.03</v>
          </cell>
          <cell r="AU57">
            <v>0.99099999999999999</v>
          </cell>
          <cell r="AV57">
            <v>1.7</v>
          </cell>
          <cell r="DS57" t="str">
            <v>W14X30</v>
          </cell>
          <cell r="DT57">
            <v>47.3</v>
          </cell>
          <cell r="DU57">
            <v>30</v>
          </cell>
          <cell r="DV57">
            <v>47.3</v>
          </cell>
        </row>
        <row r="58">
          <cell r="C58" t="str">
            <v>L5X5X7/8</v>
          </cell>
          <cell r="D58" t="str">
            <v>F</v>
          </cell>
          <cell r="E58">
            <v>27.2</v>
          </cell>
          <cell r="F58">
            <v>8</v>
          </cell>
          <cell r="G58" t="str">
            <v>L5X5X7/8</v>
          </cell>
          <cell r="H58">
            <v>5</v>
          </cell>
          <cell r="I58" t="str">
            <v>–</v>
          </cell>
          <cell r="J58" t="str">
            <v>–</v>
          </cell>
          <cell r="K58" t="str">
            <v>–</v>
          </cell>
          <cell r="L58" t="str">
            <v>–</v>
          </cell>
          <cell r="M58" t="str">
            <v>–</v>
          </cell>
          <cell r="N58" t="str">
            <v>–</v>
          </cell>
          <cell r="O58" t="str">
            <v>–</v>
          </cell>
          <cell r="P58">
            <v>5</v>
          </cell>
          <cell r="Q58" t="str">
            <v>–</v>
          </cell>
          <cell r="R58" t="str">
            <v>–</v>
          </cell>
          <cell r="S58" t="str">
            <v>–</v>
          </cell>
          <cell r="T58" t="str">
            <v>–</v>
          </cell>
          <cell r="U58" t="str">
            <v>–</v>
          </cell>
          <cell r="V58" t="str">
            <v>–</v>
          </cell>
          <cell r="W58">
            <v>0.875</v>
          </cell>
          <cell r="X58" t="str">
            <v>–</v>
          </cell>
          <cell r="Y58" t="str">
            <v>–</v>
          </cell>
          <cell r="Z58">
            <v>1.38</v>
          </cell>
          <cell r="AA58">
            <v>1.375</v>
          </cell>
          <cell r="AB58" t="str">
            <v>–</v>
          </cell>
          <cell r="AC58">
            <v>1.56</v>
          </cell>
          <cell r="AD58">
            <v>1.56</v>
          </cell>
          <cell r="AE58" t="str">
            <v>–</v>
          </cell>
          <cell r="AF58">
            <v>0.8</v>
          </cell>
          <cell r="AG58">
            <v>0.8</v>
          </cell>
          <cell r="AH58" t="str">
            <v>–</v>
          </cell>
          <cell r="AI58">
            <v>5.71</v>
          </cell>
          <cell r="AJ58" t="str">
            <v>–</v>
          </cell>
          <cell r="AK58" t="str">
            <v>–</v>
          </cell>
          <cell r="AL58" t="str">
            <v>–</v>
          </cell>
          <cell r="AM58" t="str">
            <v>–</v>
          </cell>
          <cell r="AN58">
            <v>17.8</v>
          </cell>
          <cell r="AO58">
            <v>9.31</v>
          </cell>
          <cell r="AP58">
            <v>5.16</v>
          </cell>
          <cell r="AQ58">
            <v>1.49</v>
          </cell>
          <cell r="AR58">
            <v>17.8</v>
          </cell>
          <cell r="AS58">
            <v>9.31</v>
          </cell>
          <cell r="AT58">
            <v>5.16</v>
          </cell>
          <cell r="AU58">
            <v>1.49</v>
          </cell>
          <cell r="AV58">
            <v>7.6</v>
          </cell>
          <cell r="DS58" t="str">
            <v>W16X26</v>
          </cell>
          <cell r="DT58">
            <v>44.2</v>
          </cell>
          <cell r="DU58">
            <v>26</v>
          </cell>
          <cell r="DV58">
            <v>44.2</v>
          </cell>
        </row>
        <row r="59">
          <cell r="C59" t="str">
            <v>L5X5X3/4</v>
          </cell>
          <cell r="D59" t="str">
            <v>F</v>
          </cell>
          <cell r="E59">
            <v>23.6</v>
          </cell>
          <cell r="F59">
            <v>6.98</v>
          </cell>
          <cell r="G59" t="str">
            <v>L5X5X3/4</v>
          </cell>
          <cell r="H59">
            <v>5</v>
          </cell>
          <cell r="I59" t="str">
            <v>–</v>
          </cell>
          <cell r="J59" t="str">
            <v>–</v>
          </cell>
          <cell r="K59" t="str">
            <v>–</v>
          </cell>
          <cell r="L59" t="str">
            <v>–</v>
          </cell>
          <cell r="M59" t="str">
            <v>–</v>
          </cell>
          <cell r="N59" t="str">
            <v>–</v>
          </cell>
          <cell r="O59" t="str">
            <v>–</v>
          </cell>
          <cell r="P59">
            <v>5</v>
          </cell>
          <cell r="Q59" t="str">
            <v>–</v>
          </cell>
          <cell r="R59" t="str">
            <v>–</v>
          </cell>
          <cell r="S59" t="str">
            <v>–</v>
          </cell>
          <cell r="T59" t="str">
            <v>–</v>
          </cell>
          <cell r="U59" t="str">
            <v>–</v>
          </cell>
          <cell r="V59" t="str">
            <v>–</v>
          </cell>
          <cell r="W59">
            <v>0.75</v>
          </cell>
          <cell r="X59" t="str">
            <v>–</v>
          </cell>
          <cell r="Y59" t="str">
            <v>–</v>
          </cell>
          <cell r="Z59">
            <v>1.25</v>
          </cell>
          <cell r="AA59">
            <v>1.25</v>
          </cell>
          <cell r="AB59" t="str">
            <v>–</v>
          </cell>
          <cell r="AC59">
            <v>1.52</v>
          </cell>
          <cell r="AD59">
            <v>1.52</v>
          </cell>
          <cell r="AE59" t="str">
            <v>–</v>
          </cell>
          <cell r="AF59">
            <v>0.69799999999999995</v>
          </cell>
          <cell r="AG59">
            <v>0.69799999999999995</v>
          </cell>
          <cell r="AH59" t="str">
            <v>–</v>
          </cell>
          <cell r="AI59">
            <v>6.67</v>
          </cell>
          <cell r="AJ59" t="str">
            <v>–</v>
          </cell>
          <cell r="AK59" t="str">
            <v>–</v>
          </cell>
          <cell r="AL59" t="str">
            <v>–</v>
          </cell>
          <cell r="AM59" t="str">
            <v>–</v>
          </cell>
          <cell r="AN59">
            <v>15.7</v>
          </cell>
          <cell r="AO59">
            <v>8.14</v>
          </cell>
          <cell r="AP59">
            <v>4.5199999999999996</v>
          </cell>
          <cell r="AQ59">
            <v>1.5</v>
          </cell>
          <cell r="AR59">
            <v>15.7</v>
          </cell>
          <cell r="AS59">
            <v>8.14</v>
          </cell>
          <cell r="AT59">
            <v>4.5199999999999996</v>
          </cell>
          <cell r="AU59">
            <v>1.5</v>
          </cell>
          <cell r="AV59">
            <v>6.55</v>
          </cell>
          <cell r="DS59" t="str">
            <v>W14X26</v>
          </cell>
          <cell r="DT59">
            <v>40.200000000000003</v>
          </cell>
          <cell r="DU59">
            <v>26</v>
          </cell>
          <cell r="DV59">
            <v>40.200000000000003</v>
          </cell>
        </row>
        <row r="60">
          <cell r="C60" t="str">
            <v>L5X5X5/8</v>
          </cell>
          <cell r="D60" t="str">
            <v>F</v>
          </cell>
          <cell r="E60">
            <v>20</v>
          </cell>
          <cell r="F60">
            <v>5.9</v>
          </cell>
          <cell r="G60" t="str">
            <v>L5X5X5/8</v>
          </cell>
          <cell r="H60">
            <v>5</v>
          </cell>
          <cell r="I60" t="str">
            <v>–</v>
          </cell>
          <cell r="J60" t="str">
            <v>–</v>
          </cell>
          <cell r="K60" t="str">
            <v>–</v>
          </cell>
          <cell r="L60" t="str">
            <v>–</v>
          </cell>
          <cell r="M60" t="str">
            <v>–</v>
          </cell>
          <cell r="N60" t="str">
            <v>–</v>
          </cell>
          <cell r="O60" t="str">
            <v>–</v>
          </cell>
          <cell r="P60">
            <v>5</v>
          </cell>
          <cell r="Q60" t="str">
            <v>–</v>
          </cell>
          <cell r="R60" t="str">
            <v>–</v>
          </cell>
          <cell r="S60" t="str">
            <v>–</v>
          </cell>
          <cell r="T60" t="str">
            <v>–</v>
          </cell>
          <cell r="U60" t="str">
            <v>–</v>
          </cell>
          <cell r="V60" t="str">
            <v>–</v>
          </cell>
          <cell r="W60">
            <v>0.625</v>
          </cell>
          <cell r="X60" t="str">
            <v>–</v>
          </cell>
          <cell r="Y60" t="str">
            <v>–</v>
          </cell>
          <cell r="Z60">
            <v>1.1299999999999999</v>
          </cell>
          <cell r="AA60">
            <v>1.125</v>
          </cell>
          <cell r="AB60" t="str">
            <v>–</v>
          </cell>
          <cell r="AC60">
            <v>1.47</v>
          </cell>
          <cell r="AD60">
            <v>1.47</v>
          </cell>
          <cell r="AE60" t="str">
            <v>–</v>
          </cell>
          <cell r="AF60">
            <v>0.59</v>
          </cell>
          <cell r="AG60">
            <v>0.59</v>
          </cell>
          <cell r="AH60" t="str">
            <v>–</v>
          </cell>
          <cell r="AI60">
            <v>8</v>
          </cell>
          <cell r="AJ60" t="str">
            <v>–</v>
          </cell>
          <cell r="AK60" t="str">
            <v>–</v>
          </cell>
          <cell r="AL60" t="str">
            <v>–</v>
          </cell>
          <cell r="AM60" t="str">
            <v>–</v>
          </cell>
          <cell r="AN60">
            <v>13.6</v>
          </cell>
          <cell r="AO60">
            <v>6.93</v>
          </cell>
          <cell r="AP60">
            <v>3.85</v>
          </cell>
          <cell r="AQ60">
            <v>1.52</v>
          </cell>
          <cell r="AR60">
            <v>13.6</v>
          </cell>
          <cell r="AS60">
            <v>6.93</v>
          </cell>
          <cell r="AT60">
            <v>3.85</v>
          </cell>
          <cell r="AU60">
            <v>1.52</v>
          </cell>
          <cell r="AV60">
            <v>5.62</v>
          </cell>
          <cell r="DS60" t="str">
            <v>W12X26</v>
          </cell>
          <cell r="DT60">
            <v>37.200000000000003</v>
          </cell>
          <cell r="DU60">
            <v>26</v>
          </cell>
          <cell r="DV60">
            <v>37.200000000000003</v>
          </cell>
        </row>
        <row r="61">
          <cell r="C61" t="str">
            <v>L5X5X1/2</v>
          </cell>
          <cell r="D61" t="str">
            <v>F</v>
          </cell>
          <cell r="E61">
            <v>16.2</v>
          </cell>
          <cell r="F61">
            <v>4.79</v>
          </cell>
          <cell r="G61" t="str">
            <v>L5X5X1/2</v>
          </cell>
          <cell r="H61">
            <v>5</v>
          </cell>
          <cell r="I61" t="str">
            <v>–</v>
          </cell>
          <cell r="J61" t="str">
            <v>–</v>
          </cell>
          <cell r="K61" t="str">
            <v>–</v>
          </cell>
          <cell r="L61" t="str">
            <v>–</v>
          </cell>
          <cell r="M61" t="str">
            <v>–</v>
          </cell>
          <cell r="N61" t="str">
            <v>–</v>
          </cell>
          <cell r="O61" t="str">
            <v>–</v>
          </cell>
          <cell r="P61">
            <v>5</v>
          </cell>
          <cell r="Q61" t="str">
            <v>–</v>
          </cell>
          <cell r="R61" t="str">
            <v>–</v>
          </cell>
          <cell r="S61" t="str">
            <v>–</v>
          </cell>
          <cell r="T61" t="str">
            <v>–</v>
          </cell>
          <cell r="U61" t="str">
            <v>–</v>
          </cell>
          <cell r="V61" t="str">
            <v>–</v>
          </cell>
          <cell r="W61">
            <v>0.5</v>
          </cell>
          <cell r="X61" t="str">
            <v>–</v>
          </cell>
          <cell r="Y61" t="str">
            <v>–</v>
          </cell>
          <cell r="Z61">
            <v>1</v>
          </cell>
          <cell r="AA61">
            <v>1</v>
          </cell>
          <cell r="AB61" t="str">
            <v>–</v>
          </cell>
          <cell r="AC61">
            <v>1.42</v>
          </cell>
          <cell r="AD61">
            <v>1.42</v>
          </cell>
          <cell r="AE61" t="str">
            <v>–</v>
          </cell>
          <cell r="AF61">
            <v>0.47899999999999998</v>
          </cell>
          <cell r="AG61">
            <v>0.47899999999999998</v>
          </cell>
          <cell r="AH61" t="str">
            <v>–</v>
          </cell>
          <cell r="AI61">
            <v>10</v>
          </cell>
          <cell r="AJ61" t="str">
            <v>–</v>
          </cell>
          <cell r="AK61" t="str">
            <v>–</v>
          </cell>
          <cell r="AL61" t="str">
            <v>–</v>
          </cell>
          <cell r="AM61" t="str">
            <v>–</v>
          </cell>
          <cell r="AN61">
            <v>11.3</v>
          </cell>
          <cell r="AO61">
            <v>5.66</v>
          </cell>
          <cell r="AP61">
            <v>3.15</v>
          </cell>
          <cell r="AQ61">
            <v>1.53</v>
          </cell>
          <cell r="AR61">
            <v>11.3</v>
          </cell>
          <cell r="AS61">
            <v>5.66</v>
          </cell>
          <cell r="AT61">
            <v>3.15</v>
          </cell>
          <cell r="AU61">
            <v>1.53</v>
          </cell>
          <cell r="AV61">
            <v>4.6399999999999997</v>
          </cell>
          <cell r="DS61" t="str">
            <v>W14X22</v>
          </cell>
          <cell r="DT61">
            <v>33.200000000000003</v>
          </cell>
          <cell r="DU61">
            <v>22</v>
          </cell>
          <cell r="DV61">
            <v>33.200000000000003</v>
          </cell>
        </row>
        <row r="62">
          <cell r="C62" t="str">
            <v>L5X5X7/16</v>
          </cell>
          <cell r="D62" t="str">
            <v>F</v>
          </cell>
          <cell r="E62">
            <v>14.3</v>
          </cell>
          <cell r="F62">
            <v>4.22</v>
          </cell>
          <cell r="G62" t="str">
            <v>L5X5X7/16</v>
          </cell>
          <cell r="H62">
            <v>5</v>
          </cell>
          <cell r="I62" t="str">
            <v>–</v>
          </cell>
          <cell r="J62" t="str">
            <v>–</v>
          </cell>
          <cell r="K62" t="str">
            <v>–</v>
          </cell>
          <cell r="L62" t="str">
            <v>–</v>
          </cell>
          <cell r="M62" t="str">
            <v>–</v>
          </cell>
          <cell r="N62" t="str">
            <v>–</v>
          </cell>
          <cell r="O62" t="str">
            <v>–</v>
          </cell>
          <cell r="P62">
            <v>5</v>
          </cell>
          <cell r="Q62" t="str">
            <v>–</v>
          </cell>
          <cell r="R62" t="str">
            <v>–</v>
          </cell>
          <cell r="S62" t="str">
            <v>–</v>
          </cell>
          <cell r="T62" t="str">
            <v>–</v>
          </cell>
          <cell r="U62" t="str">
            <v>–</v>
          </cell>
          <cell r="V62" t="str">
            <v>–</v>
          </cell>
          <cell r="W62">
            <v>0.438</v>
          </cell>
          <cell r="X62" t="str">
            <v>–</v>
          </cell>
          <cell r="Y62" t="str">
            <v>–</v>
          </cell>
          <cell r="Z62">
            <v>0.93799999999999994</v>
          </cell>
          <cell r="AA62">
            <v>0.9375</v>
          </cell>
          <cell r="AB62" t="str">
            <v>–</v>
          </cell>
          <cell r="AC62">
            <v>1.4</v>
          </cell>
          <cell r="AD62">
            <v>1.4</v>
          </cell>
          <cell r="AE62" t="str">
            <v>–</v>
          </cell>
          <cell r="AF62">
            <v>0.42199999999999999</v>
          </cell>
          <cell r="AG62">
            <v>0.42199999999999999</v>
          </cell>
          <cell r="AH62" t="str">
            <v>–</v>
          </cell>
          <cell r="AI62">
            <v>11.4</v>
          </cell>
          <cell r="AJ62" t="str">
            <v>–</v>
          </cell>
          <cell r="AK62" t="str">
            <v>–</v>
          </cell>
          <cell r="AL62" t="str">
            <v>–</v>
          </cell>
          <cell r="AM62" t="str">
            <v>–</v>
          </cell>
          <cell r="AN62">
            <v>10</v>
          </cell>
          <cell r="AO62">
            <v>5</v>
          </cell>
          <cell r="AP62">
            <v>2.78</v>
          </cell>
          <cell r="AQ62">
            <v>1.54</v>
          </cell>
          <cell r="AR62">
            <v>10</v>
          </cell>
          <cell r="AS62">
            <v>5</v>
          </cell>
          <cell r="AT62">
            <v>2.78</v>
          </cell>
          <cell r="AU62">
            <v>1.54</v>
          </cell>
          <cell r="AV62">
            <v>4.04</v>
          </cell>
          <cell r="DS62" t="str">
            <v>W12X22</v>
          </cell>
          <cell r="DT62">
            <v>29.3</v>
          </cell>
          <cell r="DU62">
            <v>22</v>
          </cell>
          <cell r="DV62">
            <v>29.3</v>
          </cell>
        </row>
        <row r="63">
          <cell r="C63" t="str">
            <v>L5X5X3/8</v>
          </cell>
          <cell r="D63" t="str">
            <v>F</v>
          </cell>
          <cell r="E63">
            <v>12.3</v>
          </cell>
          <cell r="F63">
            <v>3.65</v>
          </cell>
          <cell r="G63" t="str">
            <v>L5X5X3/8</v>
          </cell>
          <cell r="H63">
            <v>5</v>
          </cell>
          <cell r="I63" t="str">
            <v>–</v>
          </cell>
          <cell r="J63" t="str">
            <v>–</v>
          </cell>
          <cell r="K63" t="str">
            <v>–</v>
          </cell>
          <cell r="L63" t="str">
            <v>–</v>
          </cell>
          <cell r="M63" t="str">
            <v>–</v>
          </cell>
          <cell r="N63" t="str">
            <v>–</v>
          </cell>
          <cell r="O63" t="str">
            <v>–</v>
          </cell>
          <cell r="P63">
            <v>5</v>
          </cell>
          <cell r="Q63" t="str">
            <v>–</v>
          </cell>
          <cell r="R63" t="str">
            <v>–</v>
          </cell>
          <cell r="S63" t="str">
            <v>–</v>
          </cell>
          <cell r="T63" t="str">
            <v>–</v>
          </cell>
          <cell r="U63" t="str">
            <v>–</v>
          </cell>
          <cell r="V63" t="str">
            <v>–</v>
          </cell>
          <cell r="W63">
            <v>0.375</v>
          </cell>
          <cell r="X63" t="str">
            <v>–</v>
          </cell>
          <cell r="Y63" t="str">
            <v>–</v>
          </cell>
          <cell r="Z63">
            <v>0.875</v>
          </cell>
          <cell r="AA63">
            <v>0.875</v>
          </cell>
          <cell r="AB63" t="str">
            <v>–</v>
          </cell>
          <cell r="AC63">
            <v>1.37</v>
          </cell>
          <cell r="AD63">
            <v>1.37</v>
          </cell>
          <cell r="AE63" t="str">
            <v>–</v>
          </cell>
          <cell r="AF63">
            <v>0.36499999999999999</v>
          </cell>
          <cell r="AG63">
            <v>0.36499999999999999</v>
          </cell>
          <cell r="AH63" t="str">
            <v>–</v>
          </cell>
          <cell r="AI63">
            <v>13.3</v>
          </cell>
          <cell r="AJ63" t="str">
            <v>–</v>
          </cell>
          <cell r="AK63" t="str">
            <v>–</v>
          </cell>
          <cell r="AL63" t="str">
            <v>–</v>
          </cell>
          <cell r="AM63" t="str">
            <v>–</v>
          </cell>
          <cell r="AN63">
            <v>8.76</v>
          </cell>
          <cell r="AO63">
            <v>4.33</v>
          </cell>
          <cell r="AP63">
            <v>2.41</v>
          </cell>
          <cell r="AQ63">
            <v>1.55</v>
          </cell>
          <cell r="AR63">
            <v>8.76</v>
          </cell>
          <cell r="AS63">
            <v>4.33</v>
          </cell>
          <cell r="AT63">
            <v>2.41</v>
          </cell>
          <cell r="AU63">
            <v>1.55</v>
          </cell>
          <cell r="AV63">
            <v>3.55</v>
          </cell>
          <cell r="DS63" t="str">
            <v>W10X22</v>
          </cell>
          <cell r="DT63">
            <v>26</v>
          </cell>
          <cell r="DU63">
            <v>22</v>
          </cell>
          <cell r="DV63">
            <v>26</v>
          </cell>
        </row>
        <row r="64">
          <cell r="C64" t="str">
            <v>L5X5X5/16</v>
          </cell>
          <cell r="D64" t="str">
            <v>F</v>
          </cell>
          <cell r="E64">
            <v>10.3</v>
          </cell>
          <cell r="F64">
            <v>3.07</v>
          </cell>
          <cell r="G64" t="str">
            <v>L5X5X5/16</v>
          </cell>
          <cell r="H64">
            <v>5</v>
          </cell>
          <cell r="I64" t="str">
            <v>–</v>
          </cell>
          <cell r="J64" t="str">
            <v>–</v>
          </cell>
          <cell r="K64" t="str">
            <v>–</v>
          </cell>
          <cell r="L64" t="str">
            <v>–</v>
          </cell>
          <cell r="M64" t="str">
            <v>–</v>
          </cell>
          <cell r="N64" t="str">
            <v>–</v>
          </cell>
          <cell r="O64" t="str">
            <v>–</v>
          </cell>
          <cell r="P64">
            <v>5</v>
          </cell>
          <cell r="Q64" t="str">
            <v>–</v>
          </cell>
          <cell r="R64" t="str">
            <v>–</v>
          </cell>
          <cell r="S64" t="str">
            <v>–</v>
          </cell>
          <cell r="T64" t="str">
            <v>–</v>
          </cell>
          <cell r="U64" t="str">
            <v>–</v>
          </cell>
          <cell r="V64" t="str">
            <v>–</v>
          </cell>
          <cell r="W64">
            <v>0.313</v>
          </cell>
          <cell r="X64" t="str">
            <v>–</v>
          </cell>
          <cell r="Y64" t="str">
            <v>–</v>
          </cell>
          <cell r="Z64">
            <v>0.81299999999999994</v>
          </cell>
          <cell r="AA64">
            <v>0.8125</v>
          </cell>
          <cell r="AB64" t="str">
            <v>–</v>
          </cell>
          <cell r="AC64">
            <v>1.35</v>
          </cell>
          <cell r="AD64">
            <v>1.35</v>
          </cell>
          <cell r="AE64" t="str">
            <v>–</v>
          </cell>
          <cell r="AF64">
            <v>0.307</v>
          </cell>
          <cell r="AG64">
            <v>0.307</v>
          </cell>
          <cell r="AH64" t="str">
            <v>–</v>
          </cell>
          <cell r="AI64">
            <v>16</v>
          </cell>
          <cell r="AJ64" t="str">
            <v>–</v>
          </cell>
          <cell r="AK64" t="str">
            <v>–</v>
          </cell>
          <cell r="AL64" t="str">
            <v>–</v>
          </cell>
          <cell r="AM64" t="str">
            <v>–</v>
          </cell>
          <cell r="AN64">
            <v>7.44</v>
          </cell>
          <cell r="AO64">
            <v>3.65</v>
          </cell>
          <cell r="AP64">
            <v>2.04</v>
          </cell>
          <cell r="AQ64">
            <v>1.56</v>
          </cell>
          <cell r="AR64">
            <v>7.44</v>
          </cell>
          <cell r="AS64">
            <v>3.65</v>
          </cell>
          <cell r="AT64">
            <v>2.04</v>
          </cell>
          <cell r="AU64">
            <v>1.56</v>
          </cell>
          <cell r="AV64">
            <v>3</v>
          </cell>
          <cell r="DS64" t="str">
            <v>W12X19</v>
          </cell>
          <cell r="DT64">
            <v>24.7</v>
          </cell>
          <cell r="DU64">
            <v>19</v>
          </cell>
          <cell r="DV64">
            <v>24.7</v>
          </cell>
        </row>
        <row r="65">
          <cell r="C65" t="str">
            <v>L5X3-1/2X3/4</v>
          </cell>
          <cell r="D65" t="str">
            <v>F</v>
          </cell>
          <cell r="E65">
            <v>19.8</v>
          </cell>
          <cell r="F65">
            <v>5.85</v>
          </cell>
          <cell r="G65" t="str">
            <v>L5X3-1/2X3/4</v>
          </cell>
          <cell r="H65">
            <v>3.5</v>
          </cell>
          <cell r="I65" t="str">
            <v>–</v>
          </cell>
          <cell r="J65" t="str">
            <v>–</v>
          </cell>
          <cell r="K65" t="str">
            <v>–</v>
          </cell>
          <cell r="L65" t="str">
            <v>–</v>
          </cell>
          <cell r="M65" t="str">
            <v>–</v>
          </cell>
          <cell r="N65" t="str">
            <v>–</v>
          </cell>
          <cell r="O65" t="str">
            <v>–</v>
          </cell>
          <cell r="P65">
            <v>5</v>
          </cell>
          <cell r="Q65" t="str">
            <v>–</v>
          </cell>
          <cell r="R65" t="str">
            <v>–</v>
          </cell>
          <cell r="S65" t="str">
            <v>–</v>
          </cell>
          <cell r="T65" t="str">
            <v>–</v>
          </cell>
          <cell r="U65" t="str">
            <v>–</v>
          </cell>
          <cell r="V65" t="str">
            <v>–</v>
          </cell>
          <cell r="W65">
            <v>0.75</v>
          </cell>
          <cell r="X65" t="str">
            <v>–</v>
          </cell>
          <cell r="Y65" t="str">
            <v>–</v>
          </cell>
          <cell r="Z65">
            <v>1.19</v>
          </cell>
          <cell r="AA65">
            <v>1.1875</v>
          </cell>
          <cell r="AB65" t="str">
            <v>–</v>
          </cell>
          <cell r="AC65">
            <v>0.99299999999999999</v>
          </cell>
          <cell r="AD65">
            <v>1.74</v>
          </cell>
          <cell r="AE65" t="str">
            <v>–</v>
          </cell>
          <cell r="AF65">
            <v>0.58499999999999996</v>
          </cell>
          <cell r="AG65">
            <v>1.1000000000000001</v>
          </cell>
          <cell r="AH65" t="str">
            <v>–</v>
          </cell>
          <cell r="AI65">
            <v>6.67</v>
          </cell>
          <cell r="AJ65" t="str">
            <v>–</v>
          </cell>
          <cell r="AK65" t="str">
            <v>–</v>
          </cell>
          <cell r="AL65" t="str">
            <v>–</v>
          </cell>
          <cell r="AM65" t="str">
            <v>–</v>
          </cell>
          <cell r="AN65">
            <v>13.9</v>
          </cell>
          <cell r="AO65">
            <v>7.6</v>
          </cell>
          <cell r="AP65">
            <v>4.26</v>
          </cell>
          <cell r="AQ65">
            <v>1.55</v>
          </cell>
          <cell r="AR65">
            <v>5.52</v>
          </cell>
          <cell r="AS65">
            <v>4.07</v>
          </cell>
          <cell r="AT65">
            <v>2.2000000000000002</v>
          </cell>
          <cell r="AU65">
            <v>0.97399999999999998</v>
          </cell>
          <cell r="AV65">
            <v>3.23</v>
          </cell>
          <cell r="DS65" t="str">
            <v>W10X19</v>
          </cell>
          <cell r="DT65">
            <v>21.6</v>
          </cell>
          <cell r="DU65">
            <v>19</v>
          </cell>
          <cell r="DV65">
            <v>21.6</v>
          </cell>
        </row>
        <row r="66">
          <cell r="C66" t="str">
            <v>L5X3-1/2X5/8</v>
          </cell>
          <cell r="D66" t="str">
            <v>F</v>
          </cell>
          <cell r="E66">
            <v>16.8</v>
          </cell>
          <cell r="F66">
            <v>4.93</v>
          </cell>
          <cell r="G66" t="str">
            <v>L5X3-1/2X5/8</v>
          </cell>
          <cell r="H66">
            <v>3.5</v>
          </cell>
          <cell r="I66" t="str">
            <v>–</v>
          </cell>
          <cell r="J66" t="str">
            <v>–</v>
          </cell>
          <cell r="K66" t="str">
            <v>–</v>
          </cell>
          <cell r="L66" t="str">
            <v>–</v>
          </cell>
          <cell r="M66" t="str">
            <v>–</v>
          </cell>
          <cell r="N66" t="str">
            <v>–</v>
          </cell>
          <cell r="O66" t="str">
            <v>–</v>
          </cell>
          <cell r="P66">
            <v>5</v>
          </cell>
          <cell r="Q66" t="str">
            <v>–</v>
          </cell>
          <cell r="R66" t="str">
            <v>–</v>
          </cell>
          <cell r="S66" t="str">
            <v>–</v>
          </cell>
          <cell r="T66" t="str">
            <v>–</v>
          </cell>
          <cell r="U66" t="str">
            <v>–</v>
          </cell>
          <cell r="V66" t="str">
            <v>–</v>
          </cell>
          <cell r="W66">
            <v>0.625</v>
          </cell>
          <cell r="X66" t="str">
            <v>–</v>
          </cell>
          <cell r="Y66" t="str">
            <v>–</v>
          </cell>
          <cell r="Z66">
            <v>1.06</v>
          </cell>
          <cell r="AA66">
            <v>1.0625</v>
          </cell>
          <cell r="AB66" t="str">
            <v>–</v>
          </cell>
          <cell r="AC66">
            <v>0.94699999999999995</v>
          </cell>
          <cell r="AD66">
            <v>1.69</v>
          </cell>
          <cell r="AE66" t="str">
            <v>–</v>
          </cell>
          <cell r="AF66">
            <v>0.49299999999999999</v>
          </cell>
          <cell r="AG66">
            <v>1.06</v>
          </cell>
          <cell r="AH66" t="str">
            <v>–</v>
          </cell>
          <cell r="AI66">
            <v>8</v>
          </cell>
          <cell r="AJ66" t="str">
            <v>–</v>
          </cell>
          <cell r="AK66" t="str">
            <v>–</v>
          </cell>
          <cell r="AL66" t="str">
            <v>–</v>
          </cell>
          <cell r="AM66" t="str">
            <v>–</v>
          </cell>
          <cell r="AN66">
            <v>12</v>
          </cell>
          <cell r="AO66">
            <v>6.5</v>
          </cell>
          <cell r="AP66">
            <v>3.63</v>
          </cell>
          <cell r="AQ66">
            <v>1.56</v>
          </cell>
          <cell r="AR66">
            <v>4.8</v>
          </cell>
          <cell r="AS66">
            <v>3.43</v>
          </cell>
          <cell r="AT66">
            <v>1.88</v>
          </cell>
          <cell r="AU66">
            <v>0.98699999999999999</v>
          </cell>
          <cell r="AV66">
            <v>2.74</v>
          </cell>
          <cell r="DS66" t="str">
            <v>W12X16</v>
          </cell>
          <cell r="DT66">
            <v>20.100000000000001</v>
          </cell>
          <cell r="DU66">
            <v>16</v>
          </cell>
          <cell r="DV66">
            <v>20.100000000000001</v>
          </cell>
        </row>
        <row r="67">
          <cell r="C67" t="str">
            <v>L5X3-1/2X1/2</v>
          </cell>
          <cell r="D67" t="str">
            <v>F</v>
          </cell>
          <cell r="E67">
            <v>13.6</v>
          </cell>
          <cell r="F67">
            <v>4</v>
          </cell>
          <cell r="G67" t="str">
            <v>L5X3-1/2X1/2</v>
          </cell>
          <cell r="H67">
            <v>3.5</v>
          </cell>
          <cell r="I67" t="str">
            <v>–</v>
          </cell>
          <cell r="J67" t="str">
            <v>–</v>
          </cell>
          <cell r="K67" t="str">
            <v>–</v>
          </cell>
          <cell r="L67" t="str">
            <v>–</v>
          </cell>
          <cell r="M67" t="str">
            <v>–</v>
          </cell>
          <cell r="N67" t="str">
            <v>–</v>
          </cell>
          <cell r="O67" t="str">
            <v>–</v>
          </cell>
          <cell r="P67">
            <v>5</v>
          </cell>
          <cell r="Q67" t="str">
            <v>–</v>
          </cell>
          <cell r="R67" t="str">
            <v>–</v>
          </cell>
          <cell r="S67" t="str">
            <v>–</v>
          </cell>
          <cell r="T67" t="str">
            <v>–</v>
          </cell>
          <cell r="U67" t="str">
            <v>–</v>
          </cell>
          <cell r="V67" t="str">
            <v>–</v>
          </cell>
          <cell r="W67">
            <v>0.5</v>
          </cell>
          <cell r="X67" t="str">
            <v>–</v>
          </cell>
          <cell r="Y67" t="str">
            <v>–</v>
          </cell>
          <cell r="Z67">
            <v>0.93799999999999994</v>
          </cell>
          <cell r="AA67">
            <v>0.9375</v>
          </cell>
          <cell r="AB67" t="str">
            <v>–</v>
          </cell>
          <cell r="AC67">
            <v>0.90100000000000002</v>
          </cell>
          <cell r="AD67">
            <v>1.65</v>
          </cell>
          <cell r="AE67" t="str">
            <v>–</v>
          </cell>
          <cell r="AF67">
            <v>0.4</v>
          </cell>
          <cell r="AG67">
            <v>1</v>
          </cell>
          <cell r="AH67" t="str">
            <v>–</v>
          </cell>
          <cell r="AI67">
            <v>10</v>
          </cell>
          <cell r="AJ67" t="str">
            <v>–</v>
          </cell>
          <cell r="AK67" t="str">
            <v>–</v>
          </cell>
          <cell r="AL67" t="str">
            <v>–</v>
          </cell>
          <cell r="AM67" t="str">
            <v>–</v>
          </cell>
          <cell r="AN67">
            <v>10</v>
          </cell>
          <cell r="AO67">
            <v>5.33</v>
          </cell>
          <cell r="AP67">
            <v>2.97</v>
          </cell>
          <cell r="AQ67">
            <v>1.58</v>
          </cell>
          <cell r="AR67">
            <v>4.0199999999999996</v>
          </cell>
          <cell r="AS67">
            <v>2.79</v>
          </cell>
          <cell r="AT67">
            <v>1.55</v>
          </cell>
          <cell r="AU67">
            <v>1</v>
          </cell>
          <cell r="AV67">
            <v>2.2599999999999998</v>
          </cell>
          <cell r="DS67" t="str">
            <v>W12X14</v>
          </cell>
          <cell r="DT67">
            <v>17.399999999999999</v>
          </cell>
          <cell r="DU67">
            <v>14</v>
          </cell>
          <cell r="DV67">
            <v>17.399999999999999</v>
          </cell>
        </row>
        <row r="68">
          <cell r="C68" t="str">
            <v>L5X3-1/2X3/8</v>
          </cell>
          <cell r="D68" t="str">
            <v>F</v>
          </cell>
          <cell r="E68">
            <v>10.4</v>
          </cell>
          <cell r="F68">
            <v>3.05</v>
          </cell>
          <cell r="G68" t="str">
            <v>L5X3-1/2X3/8</v>
          </cell>
          <cell r="H68">
            <v>3.5</v>
          </cell>
          <cell r="I68" t="str">
            <v>–</v>
          </cell>
          <cell r="J68" t="str">
            <v>–</v>
          </cell>
          <cell r="K68" t="str">
            <v>–</v>
          </cell>
          <cell r="L68" t="str">
            <v>–</v>
          </cell>
          <cell r="M68" t="str">
            <v>–</v>
          </cell>
          <cell r="N68" t="str">
            <v>–</v>
          </cell>
          <cell r="O68" t="str">
            <v>–</v>
          </cell>
          <cell r="P68">
            <v>5</v>
          </cell>
          <cell r="Q68" t="str">
            <v>–</v>
          </cell>
          <cell r="R68" t="str">
            <v>–</v>
          </cell>
          <cell r="S68" t="str">
            <v>–</v>
          </cell>
          <cell r="T68" t="str">
            <v>–</v>
          </cell>
          <cell r="U68" t="str">
            <v>–</v>
          </cell>
          <cell r="V68" t="str">
            <v>–</v>
          </cell>
          <cell r="W68">
            <v>0.375</v>
          </cell>
          <cell r="X68" t="str">
            <v>–</v>
          </cell>
          <cell r="Y68" t="str">
            <v>–</v>
          </cell>
          <cell r="Z68">
            <v>0.81299999999999994</v>
          </cell>
          <cell r="AA68">
            <v>0.8125</v>
          </cell>
          <cell r="AB68" t="str">
            <v>–</v>
          </cell>
          <cell r="AC68">
            <v>0.85399999999999998</v>
          </cell>
          <cell r="AD68">
            <v>1.6</v>
          </cell>
          <cell r="AE68" t="str">
            <v>–</v>
          </cell>
          <cell r="AF68">
            <v>0.30499999999999999</v>
          </cell>
          <cell r="AG68">
            <v>0.93300000000000005</v>
          </cell>
          <cell r="AH68" t="str">
            <v>–</v>
          </cell>
          <cell r="AI68">
            <v>13.3</v>
          </cell>
          <cell r="AJ68" t="str">
            <v>–</v>
          </cell>
          <cell r="AK68" t="str">
            <v>–</v>
          </cell>
          <cell r="AL68" t="str">
            <v>–</v>
          </cell>
          <cell r="AM68" t="str">
            <v>–</v>
          </cell>
          <cell r="AN68">
            <v>7.75</v>
          </cell>
          <cell r="AO68">
            <v>4.09</v>
          </cell>
          <cell r="AP68">
            <v>2.2799999999999998</v>
          </cell>
          <cell r="AQ68">
            <v>1.59</v>
          </cell>
          <cell r="AR68">
            <v>3.15</v>
          </cell>
          <cell r="AS68">
            <v>2.12</v>
          </cell>
          <cell r="AT68">
            <v>1.19</v>
          </cell>
          <cell r="AU68">
            <v>1.02</v>
          </cell>
          <cell r="AV68">
            <v>1.73</v>
          </cell>
          <cell r="DS68" t="str">
            <v>W10X12</v>
          </cell>
          <cell r="DT68">
            <v>12.6</v>
          </cell>
          <cell r="DU68">
            <v>12</v>
          </cell>
          <cell r="DV68">
            <v>12.6</v>
          </cell>
        </row>
        <row r="69">
          <cell r="C69" t="str">
            <v>L5X3-1/2X5/16</v>
          </cell>
          <cell r="D69" t="str">
            <v>F</v>
          </cell>
          <cell r="E69">
            <v>8.6999999999999993</v>
          </cell>
          <cell r="F69">
            <v>2.56</v>
          </cell>
          <cell r="G69" t="str">
            <v>L5X3-1/2X5/16</v>
          </cell>
          <cell r="H69">
            <v>3.5</v>
          </cell>
          <cell r="I69" t="str">
            <v>–</v>
          </cell>
          <cell r="J69" t="str">
            <v>–</v>
          </cell>
          <cell r="K69" t="str">
            <v>–</v>
          </cell>
          <cell r="L69" t="str">
            <v>–</v>
          </cell>
          <cell r="M69" t="str">
            <v>–</v>
          </cell>
          <cell r="N69" t="str">
            <v>–</v>
          </cell>
          <cell r="O69" t="str">
            <v>–</v>
          </cell>
          <cell r="P69">
            <v>5</v>
          </cell>
          <cell r="Q69" t="str">
            <v>–</v>
          </cell>
          <cell r="R69" t="str">
            <v>–</v>
          </cell>
          <cell r="S69" t="str">
            <v>–</v>
          </cell>
          <cell r="T69" t="str">
            <v>–</v>
          </cell>
          <cell r="U69" t="str">
            <v>–</v>
          </cell>
          <cell r="V69" t="str">
            <v>–</v>
          </cell>
          <cell r="W69">
            <v>0.313</v>
          </cell>
          <cell r="X69" t="str">
            <v>–</v>
          </cell>
          <cell r="Y69" t="str">
            <v>–</v>
          </cell>
          <cell r="Z69">
            <v>0.75</v>
          </cell>
          <cell r="AA69">
            <v>0.75</v>
          </cell>
          <cell r="AB69" t="str">
            <v>–</v>
          </cell>
          <cell r="AC69">
            <v>0.82899999999999996</v>
          </cell>
          <cell r="AD69">
            <v>1.57</v>
          </cell>
          <cell r="AE69" t="str">
            <v>–</v>
          </cell>
          <cell r="AF69">
            <v>0.25600000000000001</v>
          </cell>
          <cell r="AG69">
            <v>0.90400000000000003</v>
          </cell>
          <cell r="AH69" t="str">
            <v>–</v>
          </cell>
          <cell r="AI69">
            <v>16</v>
          </cell>
          <cell r="AJ69" t="str">
            <v>–</v>
          </cell>
          <cell r="AK69" t="str">
            <v>–</v>
          </cell>
          <cell r="AL69" t="str">
            <v>–</v>
          </cell>
          <cell r="AM69" t="str">
            <v>–</v>
          </cell>
          <cell r="AN69">
            <v>6.58</v>
          </cell>
          <cell r="AO69">
            <v>3.45</v>
          </cell>
          <cell r="AP69">
            <v>1.92</v>
          </cell>
          <cell r="AQ69">
            <v>1.6</v>
          </cell>
          <cell r="AR69">
            <v>2.69</v>
          </cell>
          <cell r="AS69">
            <v>1.77</v>
          </cell>
          <cell r="AT69">
            <v>1.01</v>
          </cell>
          <cell r="AU69">
            <v>1.02</v>
          </cell>
          <cell r="AV69">
            <v>1.47</v>
          </cell>
          <cell r="DS69" t="str">
            <v>W8X10</v>
          </cell>
          <cell r="DT69">
            <v>8.8699999999999992</v>
          </cell>
          <cell r="DU69">
            <v>10</v>
          </cell>
          <cell r="DV69">
            <v>8.8699999999999992</v>
          </cell>
        </row>
        <row r="70">
          <cell r="C70" t="str">
            <v>L5X3-1/2X1/4</v>
          </cell>
          <cell r="D70" t="str">
            <v>F</v>
          </cell>
          <cell r="E70">
            <v>7</v>
          </cell>
          <cell r="F70">
            <v>2.0699999999999998</v>
          </cell>
          <cell r="G70" t="str">
            <v>L5X3-1/2X1/4</v>
          </cell>
          <cell r="H70">
            <v>3.5</v>
          </cell>
          <cell r="I70" t="str">
            <v>–</v>
          </cell>
          <cell r="J70" t="str">
            <v>–</v>
          </cell>
          <cell r="K70" t="str">
            <v>–</v>
          </cell>
          <cell r="L70" t="str">
            <v>–</v>
          </cell>
          <cell r="M70" t="str">
            <v>–</v>
          </cell>
          <cell r="N70" t="str">
            <v>–</v>
          </cell>
          <cell r="O70" t="str">
            <v>–</v>
          </cell>
          <cell r="P70">
            <v>5</v>
          </cell>
          <cell r="Q70" t="str">
            <v>–</v>
          </cell>
          <cell r="R70" t="str">
            <v>–</v>
          </cell>
          <cell r="S70" t="str">
            <v>–</v>
          </cell>
          <cell r="T70" t="str">
            <v>–</v>
          </cell>
          <cell r="U70" t="str">
            <v>–</v>
          </cell>
          <cell r="V70" t="str">
            <v>–</v>
          </cell>
          <cell r="W70">
            <v>0.25</v>
          </cell>
          <cell r="X70" t="str">
            <v>–</v>
          </cell>
          <cell r="Y70" t="str">
            <v>–</v>
          </cell>
          <cell r="Z70">
            <v>0.68799999999999994</v>
          </cell>
          <cell r="AA70">
            <v>0.6875</v>
          </cell>
          <cell r="AB70" t="str">
            <v>–</v>
          </cell>
          <cell r="AC70">
            <v>0.80400000000000005</v>
          </cell>
          <cell r="AD70">
            <v>1.55</v>
          </cell>
          <cell r="AE70" t="str">
            <v>–</v>
          </cell>
          <cell r="AF70">
            <v>0.20699999999999999</v>
          </cell>
          <cell r="AG70">
            <v>0.86</v>
          </cell>
          <cell r="AH70" t="str">
            <v>–</v>
          </cell>
          <cell r="AI70">
            <v>20</v>
          </cell>
          <cell r="AJ70" t="str">
            <v>–</v>
          </cell>
          <cell r="AK70" t="str">
            <v>–</v>
          </cell>
          <cell r="AL70" t="str">
            <v>–</v>
          </cell>
          <cell r="AM70" t="str">
            <v>–</v>
          </cell>
          <cell r="AN70">
            <v>5.36</v>
          </cell>
          <cell r="AO70">
            <v>2.78</v>
          </cell>
          <cell r="AP70">
            <v>1.55</v>
          </cell>
          <cell r="AQ70">
            <v>1.61</v>
          </cell>
          <cell r="AR70">
            <v>2.2000000000000002</v>
          </cell>
          <cell r="AS70">
            <v>1.42</v>
          </cell>
          <cell r="AT70">
            <v>0.81599999999999995</v>
          </cell>
          <cell r="AU70">
            <v>1.03</v>
          </cell>
          <cell r="AV70">
            <v>1.19</v>
          </cell>
        </row>
        <row r="71">
          <cell r="C71" t="str">
            <v>L5X3X1/2</v>
          </cell>
          <cell r="D71" t="str">
            <v>F</v>
          </cell>
          <cell r="E71">
            <v>12.8</v>
          </cell>
          <cell r="F71">
            <v>3.75</v>
          </cell>
          <cell r="G71" t="str">
            <v>L5X3X1/2</v>
          </cell>
          <cell r="H71">
            <v>3</v>
          </cell>
          <cell r="I71" t="str">
            <v>–</v>
          </cell>
          <cell r="J71" t="str">
            <v>–</v>
          </cell>
          <cell r="K71" t="str">
            <v>–</v>
          </cell>
          <cell r="L71" t="str">
            <v>–</v>
          </cell>
          <cell r="M71" t="str">
            <v>–</v>
          </cell>
          <cell r="N71" t="str">
            <v>–</v>
          </cell>
          <cell r="O71" t="str">
            <v>–</v>
          </cell>
          <cell r="P71">
            <v>5</v>
          </cell>
          <cell r="Q71" t="str">
            <v>–</v>
          </cell>
          <cell r="R71" t="str">
            <v>–</v>
          </cell>
          <cell r="S71" t="str">
            <v>–</v>
          </cell>
          <cell r="T71" t="str">
            <v>–</v>
          </cell>
          <cell r="U71" t="str">
            <v>–</v>
          </cell>
          <cell r="V71" t="str">
            <v>–</v>
          </cell>
          <cell r="W71">
            <v>0.5</v>
          </cell>
          <cell r="X71" t="str">
            <v>–</v>
          </cell>
          <cell r="Y71" t="str">
            <v>–</v>
          </cell>
          <cell r="Z71">
            <v>0.93799999999999994</v>
          </cell>
          <cell r="AA71">
            <v>0.9375</v>
          </cell>
          <cell r="AB71" t="str">
            <v>–</v>
          </cell>
          <cell r="AC71">
            <v>0.746</v>
          </cell>
          <cell r="AD71">
            <v>1.74</v>
          </cell>
          <cell r="AE71" t="str">
            <v>–</v>
          </cell>
          <cell r="AF71">
            <v>0.375</v>
          </cell>
          <cell r="AG71">
            <v>1.25</v>
          </cell>
          <cell r="AH71" t="str">
            <v>–</v>
          </cell>
          <cell r="AI71">
            <v>10</v>
          </cell>
          <cell r="AJ71" t="str">
            <v>–</v>
          </cell>
          <cell r="AK71" t="str">
            <v>–</v>
          </cell>
          <cell r="AL71" t="str">
            <v>–</v>
          </cell>
          <cell r="AM71" t="str">
            <v>–</v>
          </cell>
          <cell r="AN71">
            <v>9.43</v>
          </cell>
          <cell r="AO71">
            <v>5.12</v>
          </cell>
          <cell r="AP71">
            <v>2.89</v>
          </cell>
          <cell r="AQ71">
            <v>1.58</v>
          </cell>
          <cell r="AR71">
            <v>2.5499999999999998</v>
          </cell>
          <cell r="AS71">
            <v>2.08</v>
          </cell>
          <cell r="AT71">
            <v>1.1299999999999999</v>
          </cell>
          <cell r="AU71">
            <v>0.82399999999999995</v>
          </cell>
          <cell r="AV71">
            <v>1.55</v>
          </cell>
        </row>
        <row r="72">
          <cell r="C72" t="str">
            <v>L5X3X7/16</v>
          </cell>
          <cell r="D72" t="str">
            <v>F</v>
          </cell>
          <cell r="E72">
            <v>11.3</v>
          </cell>
          <cell r="F72">
            <v>3.31</v>
          </cell>
          <cell r="G72" t="str">
            <v>L5X3X7/16</v>
          </cell>
          <cell r="H72">
            <v>3</v>
          </cell>
          <cell r="I72" t="str">
            <v>–</v>
          </cell>
          <cell r="J72" t="str">
            <v>–</v>
          </cell>
          <cell r="K72" t="str">
            <v>–</v>
          </cell>
          <cell r="L72" t="str">
            <v>–</v>
          </cell>
          <cell r="M72" t="str">
            <v>–</v>
          </cell>
          <cell r="N72" t="str">
            <v>–</v>
          </cell>
          <cell r="O72" t="str">
            <v>–</v>
          </cell>
          <cell r="P72">
            <v>5</v>
          </cell>
          <cell r="Q72" t="str">
            <v>–</v>
          </cell>
          <cell r="R72" t="str">
            <v>–</v>
          </cell>
          <cell r="S72" t="str">
            <v>–</v>
          </cell>
          <cell r="T72" t="str">
            <v>–</v>
          </cell>
          <cell r="U72" t="str">
            <v>–</v>
          </cell>
          <cell r="V72" t="str">
            <v>–</v>
          </cell>
          <cell r="W72">
            <v>0.438</v>
          </cell>
          <cell r="X72" t="str">
            <v>–</v>
          </cell>
          <cell r="Y72" t="str">
            <v>–</v>
          </cell>
          <cell r="Z72">
            <v>0.875</v>
          </cell>
          <cell r="AA72">
            <v>0.875</v>
          </cell>
          <cell r="AB72" t="str">
            <v>–</v>
          </cell>
          <cell r="AC72">
            <v>0.72199999999999998</v>
          </cell>
          <cell r="AD72">
            <v>1.72</v>
          </cell>
          <cell r="AE72" t="str">
            <v>–</v>
          </cell>
          <cell r="AF72">
            <v>0.33100000000000002</v>
          </cell>
          <cell r="AG72">
            <v>1.22</v>
          </cell>
          <cell r="AH72" t="str">
            <v>–</v>
          </cell>
          <cell r="AI72">
            <v>11.4</v>
          </cell>
          <cell r="AJ72" t="str">
            <v>–</v>
          </cell>
          <cell r="AK72" t="str">
            <v>–</v>
          </cell>
          <cell r="AL72" t="str">
            <v>–</v>
          </cell>
          <cell r="AM72" t="str">
            <v>–</v>
          </cell>
          <cell r="AN72">
            <v>8.41</v>
          </cell>
          <cell r="AO72">
            <v>4.53</v>
          </cell>
          <cell r="AP72">
            <v>2.56</v>
          </cell>
          <cell r="AQ72">
            <v>1.59</v>
          </cell>
          <cell r="AR72">
            <v>2.29</v>
          </cell>
          <cell r="AS72">
            <v>1.82</v>
          </cell>
          <cell r="AT72">
            <v>1</v>
          </cell>
          <cell r="AU72">
            <v>0.83099999999999996</v>
          </cell>
          <cell r="AV72">
            <v>1.37</v>
          </cell>
        </row>
        <row r="73">
          <cell r="C73" t="str">
            <v>L5X3X3/8</v>
          </cell>
          <cell r="D73" t="str">
            <v>F</v>
          </cell>
          <cell r="E73">
            <v>9.8000000000000007</v>
          </cell>
          <cell r="F73">
            <v>2.86</v>
          </cell>
          <cell r="G73" t="str">
            <v>L5X3X3/8</v>
          </cell>
          <cell r="H73">
            <v>3</v>
          </cell>
          <cell r="I73" t="str">
            <v>–</v>
          </cell>
          <cell r="J73" t="str">
            <v>–</v>
          </cell>
          <cell r="K73" t="str">
            <v>–</v>
          </cell>
          <cell r="L73" t="str">
            <v>–</v>
          </cell>
          <cell r="M73" t="str">
            <v>–</v>
          </cell>
          <cell r="N73" t="str">
            <v>–</v>
          </cell>
          <cell r="O73" t="str">
            <v>–</v>
          </cell>
          <cell r="P73">
            <v>5</v>
          </cell>
          <cell r="Q73" t="str">
            <v>–</v>
          </cell>
          <cell r="R73" t="str">
            <v>–</v>
          </cell>
          <cell r="S73" t="str">
            <v>–</v>
          </cell>
          <cell r="T73" t="str">
            <v>–</v>
          </cell>
          <cell r="U73" t="str">
            <v>–</v>
          </cell>
          <cell r="V73" t="str">
            <v>–</v>
          </cell>
          <cell r="W73">
            <v>0.375</v>
          </cell>
          <cell r="X73" t="str">
            <v>–</v>
          </cell>
          <cell r="Y73" t="str">
            <v>–</v>
          </cell>
          <cell r="Z73">
            <v>0.81299999999999994</v>
          </cell>
          <cell r="AA73">
            <v>0.8125</v>
          </cell>
          <cell r="AB73" t="str">
            <v>–</v>
          </cell>
          <cell r="AC73">
            <v>0.69799999999999995</v>
          </cell>
          <cell r="AD73">
            <v>1.69</v>
          </cell>
          <cell r="AE73" t="str">
            <v>–</v>
          </cell>
          <cell r="AF73">
            <v>0.28599999999999998</v>
          </cell>
          <cell r="AG73">
            <v>1.19</v>
          </cell>
          <cell r="AH73" t="str">
            <v>–</v>
          </cell>
          <cell r="AI73">
            <v>13.3</v>
          </cell>
          <cell r="AJ73" t="str">
            <v>–</v>
          </cell>
          <cell r="AK73" t="str">
            <v>–</v>
          </cell>
          <cell r="AL73" t="str">
            <v>–</v>
          </cell>
          <cell r="AM73" t="str">
            <v>–</v>
          </cell>
          <cell r="AN73">
            <v>7.35</v>
          </cell>
          <cell r="AO73">
            <v>3.93</v>
          </cell>
          <cell r="AP73">
            <v>2.2200000000000002</v>
          </cell>
          <cell r="AQ73">
            <v>1.6</v>
          </cell>
          <cell r="AR73">
            <v>2.0099999999999998</v>
          </cell>
          <cell r="AS73">
            <v>1.57</v>
          </cell>
          <cell r="AT73">
            <v>0.874</v>
          </cell>
          <cell r="AU73">
            <v>0.83799999999999997</v>
          </cell>
          <cell r="AV73">
            <v>1.2</v>
          </cell>
        </row>
        <row r="74">
          <cell r="C74" t="str">
            <v>L5X3X5/16</v>
          </cell>
          <cell r="D74" t="str">
            <v>F</v>
          </cell>
          <cell r="E74">
            <v>8.1999999999999993</v>
          </cell>
          <cell r="F74">
            <v>2.41</v>
          </cell>
          <cell r="G74" t="str">
            <v>L5X3X5/16</v>
          </cell>
          <cell r="H74">
            <v>3</v>
          </cell>
          <cell r="I74" t="str">
            <v>–</v>
          </cell>
          <cell r="J74" t="str">
            <v>–</v>
          </cell>
          <cell r="K74" t="str">
            <v>–</v>
          </cell>
          <cell r="L74" t="str">
            <v>–</v>
          </cell>
          <cell r="M74" t="str">
            <v>–</v>
          </cell>
          <cell r="N74" t="str">
            <v>–</v>
          </cell>
          <cell r="O74" t="str">
            <v>–</v>
          </cell>
          <cell r="P74">
            <v>5</v>
          </cell>
          <cell r="Q74" t="str">
            <v>–</v>
          </cell>
          <cell r="R74" t="str">
            <v>–</v>
          </cell>
          <cell r="S74" t="str">
            <v>–</v>
          </cell>
          <cell r="T74" t="str">
            <v>–</v>
          </cell>
          <cell r="U74" t="str">
            <v>–</v>
          </cell>
          <cell r="V74" t="str">
            <v>–</v>
          </cell>
          <cell r="W74">
            <v>0.313</v>
          </cell>
          <cell r="X74" t="str">
            <v>–</v>
          </cell>
          <cell r="Y74" t="str">
            <v>–</v>
          </cell>
          <cell r="Z74">
            <v>0.75</v>
          </cell>
          <cell r="AA74">
            <v>0.75</v>
          </cell>
          <cell r="AB74" t="str">
            <v>–</v>
          </cell>
          <cell r="AC74">
            <v>0.67300000000000004</v>
          </cell>
          <cell r="AD74">
            <v>1.67</v>
          </cell>
          <cell r="AE74" t="str">
            <v>–</v>
          </cell>
          <cell r="AF74">
            <v>0.24099999999999999</v>
          </cell>
          <cell r="AG74">
            <v>1.1399999999999999</v>
          </cell>
          <cell r="AH74" t="str">
            <v>–</v>
          </cell>
          <cell r="AI74">
            <v>16</v>
          </cell>
          <cell r="AJ74" t="str">
            <v>–</v>
          </cell>
          <cell r="AK74" t="str">
            <v>–</v>
          </cell>
          <cell r="AL74" t="str">
            <v>–</v>
          </cell>
          <cell r="AM74" t="str">
            <v>–</v>
          </cell>
          <cell r="AN74">
            <v>6.24</v>
          </cell>
          <cell r="AO74">
            <v>3.32</v>
          </cell>
          <cell r="AP74">
            <v>1.87</v>
          </cell>
          <cell r="AQ74">
            <v>1.61</v>
          </cell>
          <cell r="AR74">
            <v>1.72</v>
          </cell>
          <cell r="AS74">
            <v>1.31</v>
          </cell>
          <cell r="AT74">
            <v>0.73899999999999999</v>
          </cell>
          <cell r="AU74">
            <v>0.84599999999999997</v>
          </cell>
          <cell r="AV74">
            <v>1.01</v>
          </cell>
        </row>
        <row r="75">
          <cell r="C75" t="str">
            <v>L5X3X1/4</v>
          </cell>
          <cell r="D75" t="str">
            <v>F</v>
          </cell>
          <cell r="E75">
            <v>6.6</v>
          </cell>
          <cell r="F75">
            <v>1.94</v>
          </cell>
          <cell r="G75" t="str">
            <v>L5X3X1/4</v>
          </cell>
          <cell r="H75">
            <v>3</v>
          </cell>
          <cell r="I75" t="str">
            <v>–</v>
          </cell>
          <cell r="J75" t="str">
            <v>–</v>
          </cell>
          <cell r="K75" t="str">
            <v>–</v>
          </cell>
          <cell r="L75" t="str">
            <v>–</v>
          </cell>
          <cell r="M75" t="str">
            <v>–</v>
          </cell>
          <cell r="N75" t="str">
            <v>–</v>
          </cell>
          <cell r="O75" t="str">
            <v>–</v>
          </cell>
          <cell r="P75">
            <v>5</v>
          </cell>
          <cell r="Q75" t="str">
            <v>–</v>
          </cell>
          <cell r="R75" t="str">
            <v>–</v>
          </cell>
          <cell r="S75" t="str">
            <v>–</v>
          </cell>
          <cell r="T75" t="str">
            <v>–</v>
          </cell>
          <cell r="U75" t="str">
            <v>–</v>
          </cell>
          <cell r="V75" t="str">
            <v>–</v>
          </cell>
          <cell r="W75">
            <v>0.25</v>
          </cell>
          <cell r="X75" t="str">
            <v>–</v>
          </cell>
          <cell r="Y75" t="str">
            <v>–</v>
          </cell>
          <cell r="Z75">
            <v>0.68799999999999994</v>
          </cell>
          <cell r="AA75">
            <v>0.6875</v>
          </cell>
          <cell r="AB75" t="str">
            <v>–</v>
          </cell>
          <cell r="AC75">
            <v>0.64800000000000002</v>
          </cell>
          <cell r="AD75">
            <v>1.64</v>
          </cell>
          <cell r="AE75" t="str">
            <v>–</v>
          </cell>
          <cell r="AF75">
            <v>0.19400000000000001</v>
          </cell>
          <cell r="AG75">
            <v>1.1200000000000001</v>
          </cell>
          <cell r="AH75" t="str">
            <v>–</v>
          </cell>
          <cell r="AI75">
            <v>20</v>
          </cell>
          <cell r="AJ75" t="str">
            <v>–</v>
          </cell>
          <cell r="AK75" t="str">
            <v>–</v>
          </cell>
          <cell r="AL75" t="str">
            <v>–</v>
          </cell>
          <cell r="AM75" t="str">
            <v>–</v>
          </cell>
          <cell r="AN75">
            <v>5.09</v>
          </cell>
          <cell r="AO75">
            <v>2.68</v>
          </cell>
          <cell r="AP75">
            <v>1.51</v>
          </cell>
          <cell r="AQ75">
            <v>1.62</v>
          </cell>
          <cell r="AR75">
            <v>1.41</v>
          </cell>
          <cell r="AS75">
            <v>1.05</v>
          </cell>
          <cell r="AT75">
            <v>0.6</v>
          </cell>
          <cell r="AU75">
            <v>0.85299999999999998</v>
          </cell>
          <cell r="AV75">
            <v>0.82499999999999996</v>
          </cell>
        </row>
        <row r="76">
          <cell r="C76" t="str">
            <v>L4X4X3/4</v>
          </cell>
          <cell r="D76" t="str">
            <v>F</v>
          </cell>
          <cell r="E76">
            <v>18.5</v>
          </cell>
          <cell r="F76">
            <v>5.44</v>
          </cell>
          <cell r="G76" t="str">
            <v>L4X4X3/4</v>
          </cell>
          <cell r="H76">
            <v>4</v>
          </cell>
          <cell r="I76" t="str">
            <v>–</v>
          </cell>
          <cell r="J76" t="str">
            <v>–</v>
          </cell>
          <cell r="K76" t="str">
            <v>–</v>
          </cell>
          <cell r="L76" t="str">
            <v>–</v>
          </cell>
          <cell r="M76" t="str">
            <v>–</v>
          </cell>
          <cell r="N76" t="str">
            <v>–</v>
          </cell>
          <cell r="O76" t="str">
            <v>–</v>
          </cell>
          <cell r="P76">
            <v>4</v>
          </cell>
          <cell r="Q76" t="str">
            <v>–</v>
          </cell>
          <cell r="R76" t="str">
            <v>–</v>
          </cell>
          <cell r="S76" t="str">
            <v>–</v>
          </cell>
          <cell r="T76" t="str">
            <v>–</v>
          </cell>
          <cell r="U76" t="str">
            <v>–</v>
          </cell>
          <cell r="V76" t="str">
            <v>–</v>
          </cell>
          <cell r="W76">
            <v>0.75</v>
          </cell>
          <cell r="X76" t="str">
            <v>–</v>
          </cell>
          <cell r="Y76" t="str">
            <v>–</v>
          </cell>
          <cell r="Z76">
            <v>1.1299999999999999</v>
          </cell>
          <cell r="AA76">
            <v>1.125</v>
          </cell>
          <cell r="AB76" t="str">
            <v>–</v>
          </cell>
          <cell r="AC76">
            <v>1.27</v>
          </cell>
          <cell r="AD76">
            <v>1.27</v>
          </cell>
          <cell r="AE76" t="str">
            <v>–</v>
          </cell>
          <cell r="AF76">
            <v>0.68</v>
          </cell>
          <cell r="AG76">
            <v>0.68</v>
          </cell>
          <cell r="AH76" t="str">
            <v>–</v>
          </cell>
          <cell r="AI76">
            <v>5.33</v>
          </cell>
          <cell r="AJ76" t="str">
            <v>–</v>
          </cell>
          <cell r="AK76" t="str">
            <v>–</v>
          </cell>
          <cell r="AL76" t="str">
            <v>–</v>
          </cell>
          <cell r="AM76" t="str">
            <v>–</v>
          </cell>
          <cell r="AN76">
            <v>7.62</v>
          </cell>
          <cell r="AO76">
            <v>5.0199999999999996</v>
          </cell>
          <cell r="AP76">
            <v>2.79</v>
          </cell>
          <cell r="AQ76">
            <v>1.18</v>
          </cell>
          <cell r="AR76">
            <v>7.62</v>
          </cell>
          <cell r="AS76">
            <v>5.0199999999999996</v>
          </cell>
          <cell r="AT76">
            <v>2.79</v>
          </cell>
          <cell r="AU76">
            <v>1.18</v>
          </cell>
          <cell r="AV76">
            <v>3.25</v>
          </cell>
        </row>
        <row r="77">
          <cell r="C77" t="str">
            <v>L4X4X5/8</v>
          </cell>
          <cell r="D77" t="str">
            <v>F</v>
          </cell>
          <cell r="E77">
            <v>15.7</v>
          </cell>
          <cell r="F77">
            <v>4.6100000000000003</v>
          </cell>
          <cell r="G77" t="str">
            <v>L4X4X5/8</v>
          </cell>
          <cell r="H77">
            <v>4</v>
          </cell>
          <cell r="I77" t="str">
            <v>–</v>
          </cell>
          <cell r="J77" t="str">
            <v>–</v>
          </cell>
          <cell r="K77" t="str">
            <v>–</v>
          </cell>
          <cell r="L77" t="str">
            <v>–</v>
          </cell>
          <cell r="M77" t="str">
            <v>–</v>
          </cell>
          <cell r="N77" t="str">
            <v>–</v>
          </cell>
          <cell r="O77" t="str">
            <v>–</v>
          </cell>
          <cell r="P77">
            <v>4</v>
          </cell>
          <cell r="Q77" t="str">
            <v>–</v>
          </cell>
          <cell r="R77" t="str">
            <v>–</v>
          </cell>
          <cell r="S77" t="str">
            <v>–</v>
          </cell>
          <cell r="T77" t="str">
            <v>–</v>
          </cell>
          <cell r="U77" t="str">
            <v>–</v>
          </cell>
          <cell r="V77" t="str">
            <v>–</v>
          </cell>
          <cell r="W77">
            <v>0.625</v>
          </cell>
          <cell r="X77" t="str">
            <v>–</v>
          </cell>
          <cell r="Y77" t="str">
            <v>–</v>
          </cell>
          <cell r="Z77">
            <v>1</v>
          </cell>
          <cell r="AA77">
            <v>1</v>
          </cell>
          <cell r="AB77" t="str">
            <v>–</v>
          </cell>
          <cell r="AC77">
            <v>1.22</v>
          </cell>
          <cell r="AD77">
            <v>1.22</v>
          </cell>
          <cell r="AE77" t="str">
            <v>–</v>
          </cell>
          <cell r="AF77">
            <v>0.57599999999999996</v>
          </cell>
          <cell r="AG77">
            <v>0.57599999999999996</v>
          </cell>
          <cell r="AH77" t="str">
            <v>–</v>
          </cell>
          <cell r="AI77">
            <v>6.4</v>
          </cell>
          <cell r="AJ77" t="str">
            <v>–</v>
          </cell>
          <cell r="AK77" t="str">
            <v>–</v>
          </cell>
          <cell r="AL77" t="str">
            <v>–</v>
          </cell>
          <cell r="AM77" t="str">
            <v>–</v>
          </cell>
          <cell r="AN77">
            <v>6.62</v>
          </cell>
          <cell r="AO77">
            <v>4.28</v>
          </cell>
          <cell r="AP77">
            <v>2.38</v>
          </cell>
          <cell r="AQ77">
            <v>1.2</v>
          </cell>
          <cell r="AR77">
            <v>6.62</v>
          </cell>
          <cell r="AS77">
            <v>4.28</v>
          </cell>
          <cell r="AT77">
            <v>2.38</v>
          </cell>
          <cell r="AU77">
            <v>1.2</v>
          </cell>
          <cell r="AV77">
            <v>2.76</v>
          </cell>
        </row>
        <row r="78">
          <cell r="C78" t="str">
            <v>L4X4X1/2</v>
          </cell>
          <cell r="D78" t="str">
            <v>F</v>
          </cell>
          <cell r="E78">
            <v>12.8</v>
          </cell>
          <cell r="F78">
            <v>3.75</v>
          </cell>
          <cell r="G78" t="str">
            <v>L4X4X1/2</v>
          </cell>
          <cell r="H78">
            <v>4</v>
          </cell>
          <cell r="I78" t="str">
            <v>–</v>
          </cell>
          <cell r="J78" t="str">
            <v>–</v>
          </cell>
          <cell r="K78" t="str">
            <v>–</v>
          </cell>
          <cell r="L78" t="str">
            <v>–</v>
          </cell>
          <cell r="M78" t="str">
            <v>–</v>
          </cell>
          <cell r="N78" t="str">
            <v>–</v>
          </cell>
          <cell r="O78" t="str">
            <v>–</v>
          </cell>
          <cell r="P78">
            <v>4</v>
          </cell>
          <cell r="Q78" t="str">
            <v>–</v>
          </cell>
          <cell r="R78" t="str">
            <v>–</v>
          </cell>
          <cell r="S78" t="str">
            <v>–</v>
          </cell>
          <cell r="T78" t="str">
            <v>–</v>
          </cell>
          <cell r="U78" t="str">
            <v>–</v>
          </cell>
          <cell r="V78" t="str">
            <v>–</v>
          </cell>
          <cell r="W78">
            <v>0.5</v>
          </cell>
          <cell r="X78" t="str">
            <v>–</v>
          </cell>
          <cell r="Y78" t="str">
            <v>–</v>
          </cell>
          <cell r="Z78">
            <v>0.875</v>
          </cell>
          <cell r="AA78">
            <v>0.875</v>
          </cell>
          <cell r="AB78" t="str">
            <v>–</v>
          </cell>
          <cell r="AC78">
            <v>1.18</v>
          </cell>
          <cell r="AD78">
            <v>1.18</v>
          </cell>
          <cell r="AE78" t="str">
            <v>–</v>
          </cell>
          <cell r="AF78">
            <v>0.46899999999999997</v>
          </cell>
          <cell r="AG78">
            <v>0.46899999999999997</v>
          </cell>
          <cell r="AH78" t="str">
            <v>–</v>
          </cell>
          <cell r="AI78">
            <v>8</v>
          </cell>
          <cell r="AJ78" t="str">
            <v>–</v>
          </cell>
          <cell r="AK78" t="str">
            <v>–</v>
          </cell>
          <cell r="AL78" t="str">
            <v>–</v>
          </cell>
          <cell r="AM78" t="str">
            <v>–</v>
          </cell>
          <cell r="AN78">
            <v>5.52</v>
          </cell>
          <cell r="AO78">
            <v>3.5</v>
          </cell>
          <cell r="AP78">
            <v>1.96</v>
          </cell>
          <cell r="AQ78">
            <v>1.21</v>
          </cell>
          <cell r="AR78">
            <v>5.52</v>
          </cell>
          <cell r="AS78">
            <v>3.5</v>
          </cell>
          <cell r="AT78">
            <v>1.96</v>
          </cell>
          <cell r="AU78">
            <v>1.21</v>
          </cell>
          <cell r="AV78">
            <v>2.25</v>
          </cell>
        </row>
        <row r="79">
          <cell r="C79" t="str">
            <v>L4X4X7/16</v>
          </cell>
          <cell r="D79" t="str">
            <v>F</v>
          </cell>
          <cell r="E79">
            <v>11.3</v>
          </cell>
          <cell r="F79">
            <v>3.3</v>
          </cell>
          <cell r="G79" t="str">
            <v>L4X4X7/16</v>
          </cell>
          <cell r="H79">
            <v>4</v>
          </cell>
          <cell r="I79" t="str">
            <v>–</v>
          </cell>
          <cell r="J79" t="str">
            <v>–</v>
          </cell>
          <cell r="K79" t="str">
            <v>–</v>
          </cell>
          <cell r="L79" t="str">
            <v>–</v>
          </cell>
          <cell r="M79" t="str">
            <v>–</v>
          </cell>
          <cell r="N79" t="str">
            <v>–</v>
          </cell>
          <cell r="O79" t="str">
            <v>–</v>
          </cell>
          <cell r="P79">
            <v>4</v>
          </cell>
          <cell r="Q79" t="str">
            <v>–</v>
          </cell>
          <cell r="R79" t="str">
            <v>–</v>
          </cell>
          <cell r="S79" t="str">
            <v>–</v>
          </cell>
          <cell r="T79" t="str">
            <v>–</v>
          </cell>
          <cell r="U79" t="str">
            <v>–</v>
          </cell>
          <cell r="V79" t="str">
            <v>–</v>
          </cell>
          <cell r="W79">
            <v>0.438</v>
          </cell>
          <cell r="X79" t="str">
            <v>–</v>
          </cell>
          <cell r="Y79" t="str">
            <v>–</v>
          </cell>
          <cell r="Z79">
            <v>0.81299999999999994</v>
          </cell>
          <cell r="AA79">
            <v>0.8125</v>
          </cell>
          <cell r="AB79" t="str">
            <v>–</v>
          </cell>
          <cell r="AC79">
            <v>1.1499999999999999</v>
          </cell>
          <cell r="AD79">
            <v>1.1499999999999999</v>
          </cell>
          <cell r="AE79" t="str">
            <v>–</v>
          </cell>
          <cell r="AF79">
            <v>0.41299999999999998</v>
          </cell>
          <cell r="AG79">
            <v>0.41299999999999998</v>
          </cell>
          <cell r="AH79" t="str">
            <v>–</v>
          </cell>
          <cell r="AI79">
            <v>9.1300000000000008</v>
          </cell>
          <cell r="AJ79" t="str">
            <v>–</v>
          </cell>
          <cell r="AK79" t="str">
            <v>–</v>
          </cell>
          <cell r="AL79" t="str">
            <v>–</v>
          </cell>
          <cell r="AM79" t="str">
            <v>–</v>
          </cell>
          <cell r="AN79">
            <v>4.93</v>
          </cell>
          <cell r="AO79">
            <v>3.1</v>
          </cell>
          <cell r="AP79">
            <v>1.73</v>
          </cell>
          <cell r="AQ79">
            <v>1.22</v>
          </cell>
          <cell r="AR79">
            <v>4.93</v>
          </cell>
          <cell r="AS79">
            <v>3.1</v>
          </cell>
          <cell r="AT79">
            <v>1.73</v>
          </cell>
          <cell r="AU79">
            <v>1.22</v>
          </cell>
          <cell r="AV79">
            <v>1.99</v>
          </cell>
        </row>
        <row r="80">
          <cell r="C80" t="str">
            <v>L4X4X3/8</v>
          </cell>
          <cell r="D80" t="str">
            <v>F</v>
          </cell>
          <cell r="E80">
            <v>9.8000000000000007</v>
          </cell>
          <cell r="F80">
            <v>2.86</v>
          </cell>
          <cell r="G80" t="str">
            <v>L4X4X3/8</v>
          </cell>
          <cell r="H80">
            <v>4</v>
          </cell>
          <cell r="I80" t="str">
            <v>–</v>
          </cell>
          <cell r="J80" t="str">
            <v>–</v>
          </cell>
          <cell r="K80" t="str">
            <v>–</v>
          </cell>
          <cell r="L80" t="str">
            <v>–</v>
          </cell>
          <cell r="M80" t="str">
            <v>–</v>
          </cell>
          <cell r="N80" t="str">
            <v>–</v>
          </cell>
          <cell r="O80" t="str">
            <v>–</v>
          </cell>
          <cell r="P80">
            <v>4</v>
          </cell>
          <cell r="Q80" t="str">
            <v>–</v>
          </cell>
          <cell r="R80" t="str">
            <v>–</v>
          </cell>
          <cell r="S80" t="str">
            <v>–</v>
          </cell>
          <cell r="T80" t="str">
            <v>–</v>
          </cell>
          <cell r="U80" t="str">
            <v>–</v>
          </cell>
          <cell r="V80" t="str">
            <v>–</v>
          </cell>
          <cell r="W80">
            <v>0.375</v>
          </cell>
          <cell r="X80" t="str">
            <v>–</v>
          </cell>
          <cell r="Y80" t="str">
            <v>–</v>
          </cell>
          <cell r="Z80">
            <v>0.75</v>
          </cell>
          <cell r="AA80">
            <v>0.75</v>
          </cell>
          <cell r="AB80" t="str">
            <v>–</v>
          </cell>
          <cell r="AC80">
            <v>1.1299999999999999</v>
          </cell>
          <cell r="AD80">
            <v>1.1299999999999999</v>
          </cell>
          <cell r="AE80" t="str">
            <v>–</v>
          </cell>
          <cell r="AF80">
            <v>0.35799999999999998</v>
          </cell>
          <cell r="AG80">
            <v>0.35799999999999998</v>
          </cell>
          <cell r="AH80" t="str">
            <v>–</v>
          </cell>
          <cell r="AI80">
            <v>10.7</v>
          </cell>
          <cell r="AJ80" t="str">
            <v>–</v>
          </cell>
          <cell r="AK80" t="str">
            <v>–</v>
          </cell>
          <cell r="AL80" t="str">
            <v>–</v>
          </cell>
          <cell r="AM80" t="str">
            <v>–</v>
          </cell>
          <cell r="AN80">
            <v>4.32</v>
          </cell>
          <cell r="AO80">
            <v>2.69</v>
          </cell>
          <cell r="AP80">
            <v>1.5</v>
          </cell>
          <cell r="AQ80">
            <v>1.23</v>
          </cell>
          <cell r="AR80">
            <v>4.32</v>
          </cell>
          <cell r="AS80">
            <v>2.69</v>
          </cell>
          <cell r="AT80">
            <v>1.5</v>
          </cell>
          <cell r="AU80">
            <v>1.23</v>
          </cell>
          <cell r="AV80">
            <v>1.73</v>
          </cell>
        </row>
        <row r="81">
          <cell r="C81" t="str">
            <v>L4X4X5/16</v>
          </cell>
          <cell r="D81" t="str">
            <v>F</v>
          </cell>
          <cell r="E81">
            <v>8.1999999999999993</v>
          </cell>
          <cell r="F81">
            <v>2.4</v>
          </cell>
          <cell r="G81" t="str">
            <v>L4X4X5/16</v>
          </cell>
          <cell r="H81">
            <v>4</v>
          </cell>
          <cell r="I81" t="str">
            <v>–</v>
          </cell>
          <cell r="J81" t="str">
            <v>–</v>
          </cell>
          <cell r="K81" t="str">
            <v>–</v>
          </cell>
          <cell r="L81" t="str">
            <v>–</v>
          </cell>
          <cell r="M81" t="str">
            <v>–</v>
          </cell>
          <cell r="N81" t="str">
            <v>–</v>
          </cell>
          <cell r="O81" t="str">
            <v>–</v>
          </cell>
          <cell r="P81">
            <v>4</v>
          </cell>
          <cell r="Q81" t="str">
            <v>–</v>
          </cell>
          <cell r="R81" t="str">
            <v>–</v>
          </cell>
          <cell r="S81" t="str">
            <v>–</v>
          </cell>
          <cell r="T81" t="str">
            <v>–</v>
          </cell>
          <cell r="U81" t="str">
            <v>–</v>
          </cell>
          <cell r="V81" t="str">
            <v>–</v>
          </cell>
          <cell r="W81">
            <v>0.313</v>
          </cell>
          <cell r="X81" t="str">
            <v>–</v>
          </cell>
          <cell r="Y81" t="str">
            <v>–</v>
          </cell>
          <cell r="Z81">
            <v>0.68799999999999994</v>
          </cell>
          <cell r="AA81">
            <v>0.6875</v>
          </cell>
          <cell r="AB81" t="str">
            <v>–</v>
          </cell>
          <cell r="AC81">
            <v>1.1100000000000001</v>
          </cell>
          <cell r="AD81">
            <v>1.1100000000000001</v>
          </cell>
          <cell r="AE81" t="str">
            <v>–</v>
          </cell>
          <cell r="AF81">
            <v>0.3</v>
          </cell>
          <cell r="AG81">
            <v>0.3</v>
          </cell>
          <cell r="AH81" t="str">
            <v>–</v>
          </cell>
          <cell r="AI81">
            <v>12.8</v>
          </cell>
          <cell r="AJ81" t="str">
            <v>–</v>
          </cell>
          <cell r="AK81" t="str">
            <v>–</v>
          </cell>
          <cell r="AL81" t="str">
            <v>–</v>
          </cell>
          <cell r="AM81" t="str">
            <v>–</v>
          </cell>
          <cell r="AN81">
            <v>3.67</v>
          </cell>
          <cell r="AO81">
            <v>2.2599999999999998</v>
          </cell>
          <cell r="AP81">
            <v>1.27</v>
          </cell>
          <cell r="AQ81">
            <v>1.24</v>
          </cell>
          <cell r="AR81">
            <v>3.67</v>
          </cell>
          <cell r="AS81">
            <v>2.2599999999999998</v>
          </cell>
          <cell r="AT81">
            <v>1.27</v>
          </cell>
          <cell r="AU81">
            <v>1.24</v>
          </cell>
          <cell r="AV81">
            <v>1.46</v>
          </cell>
        </row>
        <row r="82">
          <cell r="C82" t="str">
            <v>L4X4X1/4</v>
          </cell>
          <cell r="D82" t="str">
            <v>F</v>
          </cell>
          <cell r="E82">
            <v>6.6</v>
          </cell>
          <cell r="F82">
            <v>1.93</v>
          </cell>
          <cell r="G82" t="str">
            <v>L4X4X1/4</v>
          </cell>
          <cell r="H82">
            <v>4</v>
          </cell>
          <cell r="I82" t="str">
            <v>–</v>
          </cell>
          <cell r="J82" t="str">
            <v>–</v>
          </cell>
          <cell r="K82" t="str">
            <v>–</v>
          </cell>
          <cell r="L82" t="str">
            <v>–</v>
          </cell>
          <cell r="M82" t="str">
            <v>–</v>
          </cell>
          <cell r="N82" t="str">
            <v>–</v>
          </cell>
          <cell r="O82" t="str">
            <v>–</v>
          </cell>
          <cell r="P82">
            <v>4</v>
          </cell>
          <cell r="Q82" t="str">
            <v>–</v>
          </cell>
          <cell r="R82" t="str">
            <v>–</v>
          </cell>
          <cell r="S82" t="str">
            <v>–</v>
          </cell>
          <cell r="T82" t="str">
            <v>–</v>
          </cell>
          <cell r="U82" t="str">
            <v>–</v>
          </cell>
          <cell r="V82" t="str">
            <v>–</v>
          </cell>
          <cell r="W82">
            <v>0.25</v>
          </cell>
          <cell r="X82" t="str">
            <v>–</v>
          </cell>
          <cell r="Y82" t="str">
            <v>–</v>
          </cell>
          <cell r="Z82">
            <v>0.625</v>
          </cell>
          <cell r="AA82">
            <v>0.625</v>
          </cell>
          <cell r="AB82" t="str">
            <v>–</v>
          </cell>
          <cell r="AC82">
            <v>1.08</v>
          </cell>
          <cell r="AD82">
            <v>1.08</v>
          </cell>
          <cell r="AE82" t="str">
            <v>–</v>
          </cell>
          <cell r="AF82">
            <v>0.24099999999999999</v>
          </cell>
          <cell r="AG82">
            <v>0.24099999999999999</v>
          </cell>
          <cell r="AH82" t="str">
            <v>–</v>
          </cell>
          <cell r="AI82">
            <v>16</v>
          </cell>
          <cell r="AJ82" t="str">
            <v>–</v>
          </cell>
          <cell r="AK82" t="str">
            <v>–</v>
          </cell>
          <cell r="AL82" t="str">
            <v>–</v>
          </cell>
          <cell r="AM82" t="str">
            <v>–</v>
          </cell>
          <cell r="AN82">
            <v>3</v>
          </cell>
          <cell r="AO82">
            <v>1.82</v>
          </cell>
          <cell r="AP82">
            <v>1.03</v>
          </cell>
          <cell r="AQ82">
            <v>1.25</v>
          </cell>
          <cell r="AR82">
            <v>3</v>
          </cell>
          <cell r="AS82">
            <v>1.82</v>
          </cell>
          <cell r="AT82">
            <v>1.03</v>
          </cell>
          <cell r="AU82">
            <v>1.25</v>
          </cell>
          <cell r="AV82">
            <v>1.19</v>
          </cell>
        </row>
        <row r="83">
          <cell r="C83" t="str">
            <v>L4X3-1/2X1/2</v>
          </cell>
          <cell r="D83" t="str">
            <v>F</v>
          </cell>
          <cell r="E83">
            <v>11.9</v>
          </cell>
          <cell r="F83">
            <v>3.5</v>
          </cell>
          <cell r="G83" t="str">
            <v>L4X3-1/2X1/2</v>
          </cell>
          <cell r="H83">
            <v>3.5</v>
          </cell>
          <cell r="I83" t="str">
            <v>–</v>
          </cell>
          <cell r="J83" t="str">
            <v>–</v>
          </cell>
          <cell r="K83" t="str">
            <v>–</v>
          </cell>
          <cell r="L83" t="str">
            <v>–</v>
          </cell>
          <cell r="M83" t="str">
            <v>–</v>
          </cell>
          <cell r="N83" t="str">
            <v>–</v>
          </cell>
          <cell r="O83" t="str">
            <v>–</v>
          </cell>
          <cell r="P83">
            <v>4</v>
          </cell>
          <cell r="Q83" t="str">
            <v>–</v>
          </cell>
          <cell r="R83" t="str">
            <v>–</v>
          </cell>
          <cell r="S83" t="str">
            <v>–</v>
          </cell>
          <cell r="T83" t="str">
            <v>–</v>
          </cell>
          <cell r="U83" t="str">
            <v>–</v>
          </cell>
          <cell r="V83" t="str">
            <v>–</v>
          </cell>
          <cell r="W83">
            <v>0.5</v>
          </cell>
          <cell r="X83" t="str">
            <v>–</v>
          </cell>
          <cell r="Y83" t="str">
            <v>–</v>
          </cell>
          <cell r="Z83">
            <v>0.875</v>
          </cell>
          <cell r="AA83">
            <v>0.875</v>
          </cell>
          <cell r="AB83" t="str">
            <v>–</v>
          </cell>
          <cell r="AC83">
            <v>0.99399999999999999</v>
          </cell>
          <cell r="AD83">
            <v>1.24</v>
          </cell>
          <cell r="AE83" t="str">
            <v>–</v>
          </cell>
          <cell r="AF83">
            <v>0.438</v>
          </cell>
          <cell r="AG83">
            <v>0.5</v>
          </cell>
          <cell r="AH83" t="str">
            <v>–</v>
          </cell>
          <cell r="AI83">
            <v>8</v>
          </cell>
          <cell r="AJ83" t="str">
            <v>–</v>
          </cell>
          <cell r="AK83" t="str">
            <v>–</v>
          </cell>
          <cell r="AL83" t="str">
            <v>–</v>
          </cell>
          <cell r="AM83" t="str">
            <v>–</v>
          </cell>
          <cell r="AN83">
            <v>5.3</v>
          </cell>
          <cell r="AO83">
            <v>3.46</v>
          </cell>
          <cell r="AP83">
            <v>1.92</v>
          </cell>
          <cell r="AQ83">
            <v>1.23</v>
          </cell>
          <cell r="AR83">
            <v>3.76</v>
          </cell>
          <cell r="AS83">
            <v>2.69</v>
          </cell>
          <cell r="AT83">
            <v>1.5</v>
          </cell>
          <cell r="AU83">
            <v>1.04</v>
          </cell>
          <cell r="AV83">
            <v>1.79</v>
          </cell>
        </row>
        <row r="84">
          <cell r="C84" t="str">
            <v>L4X3-1/2X3/8</v>
          </cell>
          <cell r="D84" t="str">
            <v>F</v>
          </cell>
          <cell r="E84">
            <v>9.1</v>
          </cell>
          <cell r="F84">
            <v>2.68</v>
          </cell>
          <cell r="G84" t="str">
            <v>L4X3-1/2X3/8</v>
          </cell>
          <cell r="H84">
            <v>3.5</v>
          </cell>
          <cell r="I84" t="str">
            <v>–</v>
          </cell>
          <cell r="J84" t="str">
            <v>–</v>
          </cell>
          <cell r="K84" t="str">
            <v>–</v>
          </cell>
          <cell r="L84" t="str">
            <v>–</v>
          </cell>
          <cell r="M84" t="str">
            <v>–</v>
          </cell>
          <cell r="N84" t="str">
            <v>–</v>
          </cell>
          <cell r="O84" t="str">
            <v>–</v>
          </cell>
          <cell r="P84">
            <v>4</v>
          </cell>
          <cell r="Q84" t="str">
            <v>–</v>
          </cell>
          <cell r="R84" t="str">
            <v>–</v>
          </cell>
          <cell r="S84" t="str">
            <v>–</v>
          </cell>
          <cell r="T84" t="str">
            <v>–</v>
          </cell>
          <cell r="U84" t="str">
            <v>–</v>
          </cell>
          <cell r="V84" t="str">
            <v>–</v>
          </cell>
          <cell r="W84">
            <v>0.375</v>
          </cell>
          <cell r="X84" t="str">
            <v>–</v>
          </cell>
          <cell r="Y84" t="str">
            <v>–</v>
          </cell>
          <cell r="Z84">
            <v>0.75</v>
          </cell>
          <cell r="AA84">
            <v>0.75</v>
          </cell>
          <cell r="AB84" t="str">
            <v>–</v>
          </cell>
          <cell r="AC84">
            <v>0.94699999999999995</v>
          </cell>
          <cell r="AD84">
            <v>1.2</v>
          </cell>
          <cell r="AE84" t="str">
            <v>–</v>
          </cell>
          <cell r="AF84">
            <v>0.33500000000000002</v>
          </cell>
          <cell r="AG84">
            <v>0.42699999999999999</v>
          </cell>
          <cell r="AH84" t="str">
            <v>–</v>
          </cell>
          <cell r="AI84">
            <v>10.7</v>
          </cell>
          <cell r="AJ84" t="str">
            <v>–</v>
          </cell>
          <cell r="AK84" t="str">
            <v>–</v>
          </cell>
          <cell r="AL84" t="str">
            <v>–</v>
          </cell>
          <cell r="AM84" t="str">
            <v>–</v>
          </cell>
          <cell r="AN84">
            <v>4.1500000000000004</v>
          </cell>
          <cell r="AO84">
            <v>2.66</v>
          </cell>
          <cell r="AP84">
            <v>1.48</v>
          </cell>
          <cell r="AQ84">
            <v>1.25</v>
          </cell>
          <cell r="AR84">
            <v>2.96</v>
          </cell>
          <cell r="AS84">
            <v>2.06</v>
          </cell>
          <cell r="AT84">
            <v>1.1599999999999999</v>
          </cell>
          <cell r="AU84">
            <v>1.05</v>
          </cell>
          <cell r="AV84">
            <v>1.39</v>
          </cell>
        </row>
        <row r="85">
          <cell r="C85" t="str">
            <v>L4X3-1/2X5/16</v>
          </cell>
          <cell r="D85" t="str">
            <v>F</v>
          </cell>
          <cell r="E85">
            <v>7.7</v>
          </cell>
          <cell r="F85">
            <v>2.25</v>
          </cell>
          <cell r="G85" t="str">
            <v>L4X3-1/2X5/16</v>
          </cell>
          <cell r="H85">
            <v>3.5</v>
          </cell>
          <cell r="I85" t="str">
            <v>–</v>
          </cell>
          <cell r="J85" t="str">
            <v>–</v>
          </cell>
          <cell r="K85" t="str">
            <v>–</v>
          </cell>
          <cell r="L85" t="str">
            <v>–</v>
          </cell>
          <cell r="M85" t="str">
            <v>–</v>
          </cell>
          <cell r="N85" t="str">
            <v>–</v>
          </cell>
          <cell r="O85" t="str">
            <v>–</v>
          </cell>
          <cell r="P85">
            <v>4</v>
          </cell>
          <cell r="Q85" t="str">
            <v>–</v>
          </cell>
          <cell r="R85" t="str">
            <v>–</v>
          </cell>
          <cell r="S85" t="str">
            <v>–</v>
          </cell>
          <cell r="T85" t="str">
            <v>–</v>
          </cell>
          <cell r="U85" t="str">
            <v>–</v>
          </cell>
          <cell r="V85" t="str">
            <v>–</v>
          </cell>
          <cell r="W85">
            <v>0.313</v>
          </cell>
          <cell r="X85" t="str">
            <v>–</v>
          </cell>
          <cell r="Y85" t="str">
            <v>–</v>
          </cell>
          <cell r="Z85">
            <v>0.68799999999999994</v>
          </cell>
          <cell r="AA85">
            <v>0.6875</v>
          </cell>
          <cell r="AB85" t="str">
            <v>–</v>
          </cell>
          <cell r="AC85">
            <v>0.92300000000000004</v>
          </cell>
          <cell r="AD85">
            <v>1.17</v>
          </cell>
          <cell r="AE85" t="str">
            <v>–</v>
          </cell>
          <cell r="AF85">
            <v>0.28100000000000003</v>
          </cell>
          <cell r="AG85">
            <v>0.4</v>
          </cell>
          <cell r="AH85" t="str">
            <v>–</v>
          </cell>
          <cell r="AI85">
            <v>12.8</v>
          </cell>
          <cell r="AJ85" t="str">
            <v>–</v>
          </cell>
          <cell r="AK85" t="str">
            <v>–</v>
          </cell>
          <cell r="AL85" t="str">
            <v>–</v>
          </cell>
          <cell r="AM85" t="str">
            <v>–</v>
          </cell>
          <cell r="AN85">
            <v>3.53</v>
          </cell>
          <cell r="AO85">
            <v>2.2400000000000002</v>
          </cell>
          <cell r="AP85">
            <v>1.25</v>
          </cell>
          <cell r="AQ85">
            <v>1.25</v>
          </cell>
          <cell r="AR85">
            <v>2.52</v>
          </cell>
          <cell r="AS85">
            <v>1.74</v>
          </cell>
          <cell r="AT85">
            <v>0.98</v>
          </cell>
          <cell r="AU85">
            <v>1.06</v>
          </cell>
          <cell r="AV85">
            <v>1.1599999999999999</v>
          </cell>
        </row>
        <row r="86">
          <cell r="C86" t="str">
            <v>L4X3-1/2X1/4</v>
          </cell>
          <cell r="D86" t="str">
            <v>F</v>
          </cell>
          <cell r="E86">
            <v>6.2</v>
          </cell>
          <cell r="F86">
            <v>1.82</v>
          </cell>
          <cell r="G86" t="str">
            <v>L4X3-1/2X1/4</v>
          </cell>
          <cell r="H86">
            <v>3.5</v>
          </cell>
          <cell r="I86" t="str">
            <v>–</v>
          </cell>
          <cell r="J86" t="str">
            <v>–</v>
          </cell>
          <cell r="K86" t="str">
            <v>–</v>
          </cell>
          <cell r="L86" t="str">
            <v>–</v>
          </cell>
          <cell r="M86" t="str">
            <v>–</v>
          </cell>
          <cell r="N86" t="str">
            <v>–</v>
          </cell>
          <cell r="O86" t="str">
            <v>–</v>
          </cell>
          <cell r="P86">
            <v>4</v>
          </cell>
          <cell r="Q86" t="str">
            <v>–</v>
          </cell>
          <cell r="R86" t="str">
            <v>–</v>
          </cell>
          <cell r="S86" t="str">
            <v>–</v>
          </cell>
          <cell r="T86" t="str">
            <v>–</v>
          </cell>
          <cell r="U86" t="str">
            <v>–</v>
          </cell>
          <cell r="V86" t="str">
            <v>–</v>
          </cell>
          <cell r="W86">
            <v>0.25</v>
          </cell>
          <cell r="X86" t="str">
            <v>–</v>
          </cell>
          <cell r="Y86" t="str">
            <v>–</v>
          </cell>
          <cell r="Z86">
            <v>0.625</v>
          </cell>
          <cell r="AA86">
            <v>0.625</v>
          </cell>
          <cell r="AB86" t="str">
            <v>–</v>
          </cell>
          <cell r="AC86">
            <v>0.89700000000000002</v>
          </cell>
          <cell r="AD86">
            <v>1.1399999999999999</v>
          </cell>
          <cell r="AE86" t="str">
            <v>–</v>
          </cell>
          <cell r="AF86">
            <v>0.22800000000000001</v>
          </cell>
          <cell r="AG86">
            <v>0.36</v>
          </cell>
          <cell r="AH86" t="str">
            <v>–</v>
          </cell>
          <cell r="AI86">
            <v>16</v>
          </cell>
          <cell r="AJ86" t="str">
            <v>–</v>
          </cell>
          <cell r="AK86" t="str">
            <v>–</v>
          </cell>
          <cell r="AL86" t="str">
            <v>–</v>
          </cell>
          <cell r="AM86" t="str">
            <v>–</v>
          </cell>
          <cell r="AN86">
            <v>2.89</v>
          </cell>
          <cell r="AO86">
            <v>1.81</v>
          </cell>
          <cell r="AP86">
            <v>1.01</v>
          </cell>
          <cell r="AQ86">
            <v>1.26</v>
          </cell>
          <cell r="AR86">
            <v>2.0699999999999998</v>
          </cell>
          <cell r="AS86">
            <v>1.4</v>
          </cell>
          <cell r="AT86">
            <v>0.79400000000000004</v>
          </cell>
          <cell r="AU86">
            <v>1.07</v>
          </cell>
          <cell r="AV86">
            <v>0.95299999999999996</v>
          </cell>
        </row>
        <row r="87">
          <cell r="C87" t="str">
            <v>L4X3X5/8</v>
          </cell>
          <cell r="D87" t="str">
            <v>F</v>
          </cell>
          <cell r="E87">
            <v>13.6</v>
          </cell>
          <cell r="F87">
            <v>3.99</v>
          </cell>
          <cell r="G87" t="str">
            <v>L4X3X5/8</v>
          </cell>
          <cell r="H87">
            <v>3</v>
          </cell>
          <cell r="I87" t="str">
            <v>–</v>
          </cell>
          <cell r="J87" t="str">
            <v>–</v>
          </cell>
          <cell r="K87" t="str">
            <v>–</v>
          </cell>
          <cell r="L87" t="str">
            <v>–</v>
          </cell>
          <cell r="M87" t="str">
            <v>–</v>
          </cell>
          <cell r="N87" t="str">
            <v>–</v>
          </cell>
          <cell r="O87" t="str">
            <v>–</v>
          </cell>
          <cell r="P87">
            <v>4</v>
          </cell>
          <cell r="Q87" t="str">
            <v>–</v>
          </cell>
          <cell r="R87" t="str">
            <v>–</v>
          </cell>
          <cell r="S87" t="str">
            <v>–</v>
          </cell>
          <cell r="T87" t="str">
            <v>–</v>
          </cell>
          <cell r="U87" t="str">
            <v>–</v>
          </cell>
          <cell r="V87" t="str">
            <v>–</v>
          </cell>
          <cell r="W87">
            <v>0.625</v>
          </cell>
          <cell r="X87" t="str">
            <v>–</v>
          </cell>
          <cell r="Y87" t="str">
            <v>–</v>
          </cell>
          <cell r="Z87">
            <v>1</v>
          </cell>
          <cell r="AA87">
            <v>1</v>
          </cell>
          <cell r="AB87" t="str">
            <v>–</v>
          </cell>
          <cell r="AC87">
            <v>0.86699999999999999</v>
          </cell>
          <cell r="AD87">
            <v>1.37</v>
          </cell>
          <cell r="AE87" t="str">
            <v>–</v>
          </cell>
          <cell r="AF87">
            <v>0.499</v>
          </cell>
          <cell r="AG87">
            <v>0.80800000000000005</v>
          </cell>
          <cell r="AH87" t="str">
            <v>–</v>
          </cell>
          <cell r="AI87">
            <v>6.4</v>
          </cell>
          <cell r="AJ87" t="str">
            <v>–</v>
          </cell>
          <cell r="AK87" t="str">
            <v>–</v>
          </cell>
          <cell r="AL87" t="str">
            <v>–</v>
          </cell>
          <cell r="AM87" t="str">
            <v>–</v>
          </cell>
          <cell r="AN87">
            <v>6.01</v>
          </cell>
          <cell r="AO87">
            <v>4.08</v>
          </cell>
          <cell r="AP87">
            <v>2.2799999999999998</v>
          </cell>
          <cell r="AQ87">
            <v>1.23</v>
          </cell>
          <cell r="AR87">
            <v>2.85</v>
          </cell>
          <cell r="AS87">
            <v>2.4500000000000002</v>
          </cell>
          <cell r="AT87">
            <v>1.34</v>
          </cell>
          <cell r="AU87">
            <v>0.84499999999999997</v>
          </cell>
          <cell r="AV87">
            <v>1.59</v>
          </cell>
        </row>
        <row r="88">
          <cell r="C88" t="str">
            <v>L4X3X1/2</v>
          </cell>
          <cell r="D88" t="str">
            <v>F</v>
          </cell>
          <cell r="E88">
            <v>11.1</v>
          </cell>
          <cell r="F88">
            <v>3.25</v>
          </cell>
          <cell r="G88" t="str">
            <v>L4X3X1/2</v>
          </cell>
          <cell r="H88">
            <v>3</v>
          </cell>
          <cell r="I88" t="str">
            <v>–</v>
          </cell>
          <cell r="J88" t="str">
            <v>–</v>
          </cell>
          <cell r="K88" t="str">
            <v>–</v>
          </cell>
          <cell r="L88" t="str">
            <v>–</v>
          </cell>
          <cell r="M88" t="str">
            <v>–</v>
          </cell>
          <cell r="N88" t="str">
            <v>–</v>
          </cell>
          <cell r="O88" t="str">
            <v>–</v>
          </cell>
          <cell r="P88">
            <v>4</v>
          </cell>
          <cell r="Q88" t="str">
            <v>–</v>
          </cell>
          <cell r="R88" t="str">
            <v>–</v>
          </cell>
          <cell r="S88" t="str">
            <v>–</v>
          </cell>
          <cell r="T88" t="str">
            <v>–</v>
          </cell>
          <cell r="U88" t="str">
            <v>–</v>
          </cell>
          <cell r="V88" t="str">
            <v>–</v>
          </cell>
          <cell r="W88">
            <v>0.5</v>
          </cell>
          <cell r="X88" t="str">
            <v>–</v>
          </cell>
          <cell r="Y88" t="str">
            <v>–</v>
          </cell>
          <cell r="Z88">
            <v>0.875</v>
          </cell>
          <cell r="AA88">
            <v>0.875</v>
          </cell>
          <cell r="AB88" t="str">
            <v>–</v>
          </cell>
          <cell r="AC88">
            <v>0.82199999999999995</v>
          </cell>
          <cell r="AD88">
            <v>1.32</v>
          </cell>
          <cell r="AE88" t="str">
            <v>–</v>
          </cell>
          <cell r="AF88">
            <v>0.40600000000000003</v>
          </cell>
          <cell r="AG88">
            <v>0.75</v>
          </cell>
          <cell r="AH88" t="str">
            <v>–</v>
          </cell>
          <cell r="AI88">
            <v>8</v>
          </cell>
          <cell r="AJ88" t="str">
            <v>–</v>
          </cell>
          <cell r="AK88" t="str">
            <v>–</v>
          </cell>
          <cell r="AL88" t="str">
            <v>–</v>
          </cell>
          <cell r="AM88" t="str">
            <v>–</v>
          </cell>
          <cell r="AN88">
            <v>5.0199999999999996</v>
          </cell>
          <cell r="AO88">
            <v>3.36</v>
          </cell>
          <cell r="AP88">
            <v>1.87</v>
          </cell>
          <cell r="AQ88">
            <v>1.24</v>
          </cell>
          <cell r="AR88">
            <v>2.4</v>
          </cell>
          <cell r="AS88">
            <v>1.99</v>
          </cell>
          <cell r="AT88">
            <v>1.1000000000000001</v>
          </cell>
          <cell r="AU88">
            <v>0.85799999999999998</v>
          </cell>
          <cell r="AV88">
            <v>1.3</v>
          </cell>
        </row>
        <row r="89">
          <cell r="C89" t="str">
            <v>L4X3X3/8</v>
          </cell>
          <cell r="D89" t="str">
            <v>F</v>
          </cell>
          <cell r="E89">
            <v>8.5</v>
          </cell>
          <cell r="F89">
            <v>2.4900000000000002</v>
          </cell>
          <cell r="G89" t="str">
            <v>L4X3X3/8</v>
          </cell>
          <cell r="H89">
            <v>3</v>
          </cell>
          <cell r="I89" t="str">
            <v>–</v>
          </cell>
          <cell r="J89" t="str">
            <v>–</v>
          </cell>
          <cell r="K89" t="str">
            <v>–</v>
          </cell>
          <cell r="L89" t="str">
            <v>–</v>
          </cell>
          <cell r="M89" t="str">
            <v>–</v>
          </cell>
          <cell r="N89" t="str">
            <v>–</v>
          </cell>
          <cell r="O89" t="str">
            <v>–</v>
          </cell>
          <cell r="P89">
            <v>4</v>
          </cell>
          <cell r="Q89" t="str">
            <v>–</v>
          </cell>
          <cell r="R89" t="str">
            <v>–</v>
          </cell>
          <cell r="S89" t="str">
            <v>–</v>
          </cell>
          <cell r="T89" t="str">
            <v>–</v>
          </cell>
          <cell r="U89" t="str">
            <v>–</v>
          </cell>
          <cell r="V89" t="str">
            <v>–</v>
          </cell>
          <cell r="W89">
            <v>0.375</v>
          </cell>
          <cell r="X89" t="str">
            <v>–</v>
          </cell>
          <cell r="Y89" t="str">
            <v>–</v>
          </cell>
          <cell r="Z89">
            <v>0.75</v>
          </cell>
          <cell r="AA89">
            <v>0.75</v>
          </cell>
          <cell r="AB89" t="str">
            <v>–</v>
          </cell>
          <cell r="AC89">
            <v>0.77500000000000002</v>
          </cell>
          <cell r="AD89">
            <v>1.27</v>
          </cell>
          <cell r="AE89" t="str">
            <v>–</v>
          </cell>
          <cell r="AF89">
            <v>0.311</v>
          </cell>
          <cell r="AG89">
            <v>0.68</v>
          </cell>
          <cell r="AH89" t="str">
            <v>–</v>
          </cell>
          <cell r="AI89">
            <v>10.7</v>
          </cell>
          <cell r="AJ89" t="str">
            <v>–</v>
          </cell>
          <cell r="AK89" t="str">
            <v>–</v>
          </cell>
          <cell r="AL89" t="str">
            <v>–</v>
          </cell>
          <cell r="AM89" t="str">
            <v>–</v>
          </cell>
          <cell r="AN89">
            <v>3.94</v>
          </cell>
          <cell r="AO89">
            <v>2.6</v>
          </cell>
          <cell r="AP89">
            <v>1.44</v>
          </cell>
          <cell r="AQ89">
            <v>1.26</v>
          </cell>
          <cell r="AR89">
            <v>1.89</v>
          </cell>
          <cell r="AS89">
            <v>1.52</v>
          </cell>
          <cell r="AT89">
            <v>0.85099999999999998</v>
          </cell>
          <cell r="AU89">
            <v>0.873</v>
          </cell>
          <cell r="AV89">
            <v>1</v>
          </cell>
        </row>
        <row r="90">
          <cell r="C90" t="str">
            <v>L4X3X5/16</v>
          </cell>
          <cell r="D90" t="str">
            <v>F</v>
          </cell>
          <cell r="E90">
            <v>7.2</v>
          </cell>
          <cell r="F90">
            <v>2.09</v>
          </cell>
          <cell r="G90" t="str">
            <v>L4X3X5/16</v>
          </cell>
          <cell r="H90">
            <v>3</v>
          </cell>
          <cell r="I90" t="str">
            <v>–</v>
          </cell>
          <cell r="J90" t="str">
            <v>–</v>
          </cell>
          <cell r="K90" t="str">
            <v>–</v>
          </cell>
          <cell r="L90" t="str">
            <v>–</v>
          </cell>
          <cell r="M90" t="str">
            <v>–</v>
          </cell>
          <cell r="N90" t="str">
            <v>–</v>
          </cell>
          <cell r="O90" t="str">
            <v>–</v>
          </cell>
          <cell r="P90">
            <v>4</v>
          </cell>
          <cell r="Q90" t="str">
            <v>–</v>
          </cell>
          <cell r="R90" t="str">
            <v>–</v>
          </cell>
          <cell r="S90" t="str">
            <v>–</v>
          </cell>
          <cell r="T90" t="str">
            <v>–</v>
          </cell>
          <cell r="U90" t="str">
            <v>–</v>
          </cell>
          <cell r="V90" t="str">
            <v>–</v>
          </cell>
          <cell r="W90">
            <v>0.313</v>
          </cell>
          <cell r="X90" t="str">
            <v>–</v>
          </cell>
          <cell r="Y90" t="str">
            <v>–</v>
          </cell>
          <cell r="Z90">
            <v>0.68799999999999994</v>
          </cell>
          <cell r="AA90">
            <v>0.6875</v>
          </cell>
          <cell r="AB90" t="str">
            <v>–</v>
          </cell>
          <cell r="AC90">
            <v>0.75</v>
          </cell>
          <cell r="AD90">
            <v>1.25</v>
          </cell>
          <cell r="AE90" t="str">
            <v>–</v>
          </cell>
          <cell r="AF90">
            <v>0.26100000000000001</v>
          </cell>
          <cell r="AG90">
            <v>0.65600000000000003</v>
          </cell>
          <cell r="AH90" t="str">
            <v>–</v>
          </cell>
          <cell r="AI90">
            <v>12.8</v>
          </cell>
          <cell r="AJ90" t="str">
            <v>–</v>
          </cell>
          <cell r="AK90" t="str">
            <v>–</v>
          </cell>
          <cell r="AL90" t="str">
            <v>–</v>
          </cell>
          <cell r="AM90" t="str">
            <v>–</v>
          </cell>
          <cell r="AN90">
            <v>3.36</v>
          </cell>
          <cell r="AO90">
            <v>2.19</v>
          </cell>
          <cell r="AP90">
            <v>1.22</v>
          </cell>
          <cell r="AQ90">
            <v>1.27</v>
          </cell>
          <cell r="AR90">
            <v>1.62</v>
          </cell>
          <cell r="AS90">
            <v>1.28</v>
          </cell>
          <cell r="AT90">
            <v>0.72099999999999997</v>
          </cell>
          <cell r="AU90">
            <v>0.88</v>
          </cell>
          <cell r="AV90">
            <v>0.84899999999999998</v>
          </cell>
        </row>
        <row r="91">
          <cell r="C91" t="str">
            <v>L4X3X1/4</v>
          </cell>
          <cell r="D91" t="str">
            <v>F</v>
          </cell>
          <cell r="E91">
            <v>5.8</v>
          </cell>
          <cell r="F91">
            <v>1.69</v>
          </cell>
          <cell r="G91" t="str">
            <v>L4X3X1/4</v>
          </cell>
          <cell r="H91">
            <v>3</v>
          </cell>
          <cell r="I91" t="str">
            <v>–</v>
          </cell>
          <cell r="J91" t="str">
            <v>–</v>
          </cell>
          <cell r="K91" t="str">
            <v>–</v>
          </cell>
          <cell r="L91" t="str">
            <v>–</v>
          </cell>
          <cell r="M91" t="str">
            <v>–</v>
          </cell>
          <cell r="N91" t="str">
            <v>–</v>
          </cell>
          <cell r="O91" t="str">
            <v>–</v>
          </cell>
          <cell r="P91">
            <v>4</v>
          </cell>
          <cell r="Q91" t="str">
            <v>–</v>
          </cell>
          <cell r="R91" t="str">
            <v>–</v>
          </cell>
          <cell r="S91" t="str">
            <v>–</v>
          </cell>
          <cell r="T91" t="str">
            <v>–</v>
          </cell>
          <cell r="U91" t="str">
            <v>–</v>
          </cell>
          <cell r="V91" t="str">
            <v>–</v>
          </cell>
          <cell r="W91">
            <v>0.25</v>
          </cell>
          <cell r="X91" t="str">
            <v>–</v>
          </cell>
          <cell r="Y91" t="str">
            <v>–</v>
          </cell>
          <cell r="Z91">
            <v>0.625</v>
          </cell>
          <cell r="AA91">
            <v>0.625</v>
          </cell>
          <cell r="AB91" t="str">
            <v>–</v>
          </cell>
          <cell r="AC91">
            <v>0.72499999999999998</v>
          </cell>
          <cell r="AD91">
            <v>1.22</v>
          </cell>
          <cell r="AE91" t="str">
            <v>–</v>
          </cell>
          <cell r="AF91">
            <v>0.21099999999999999</v>
          </cell>
          <cell r="AG91">
            <v>0.62</v>
          </cell>
          <cell r="AH91" t="str">
            <v>–</v>
          </cell>
          <cell r="AI91">
            <v>16</v>
          </cell>
          <cell r="AJ91" t="str">
            <v>–</v>
          </cell>
          <cell r="AK91" t="str">
            <v>–</v>
          </cell>
          <cell r="AL91" t="str">
            <v>–</v>
          </cell>
          <cell r="AM91" t="str">
            <v>–</v>
          </cell>
          <cell r="AN91">
            <v>2.75</v>
          </cell>
          <cell r="AO91">
            <v>1.77</v>
          </cell>
          <cell r="AP91">
            <v>0.98799999999999999</v>
          </cell>
          <cell r="AQ91">
            <v>1.27</v>
          </cell>
          <cell r="AR91">
            <v>1.33</v>
          </cell>
          <cell r="AS91">
            <v>1.03</v>
          </cell>
          <cell r="AT91">
            <v>0.58499999999999996</v>
          </cell>
          <cell r="AU91">
            <v>0.88700000000000001</v>
          </cell>
          <cell r="AV91">
            <v>0.69199999999999995</v>
          </cell>
        </row>
        <row r="92">
          <cell r="C92" t="str">
            <v>L3-1/2X3-1/2X1/2</v>
          </cell>
          <cell r="D92" t="str">
            <v>F</v>
          </cell>
          <cell r="E92">
            <v>11.1</v>
          </cell>
          <cell r="F92">
            <v>3.25</v>
          </cell>
          <cell r="G92" t="str">
            <v>L3-1/2X3-1/2X1/2</v>
          </cell>
          <cell r="H92">
            <v>3.5</v>
          </cell>
          <cell r="I92" t="str">
            <v>–</v>
          </cell>
          <cell r="J92" t="str">
            <v>–</v>
          </cell>
          <cell r="K92" t="str">
            <v>–</v>
          </cell>
          <cell r="L92" t="str">
            <v>–</v>
          </cell>
          <cell r="M92" t="str">
            <v>–</v>
          </cell>
          <cell r="N92" t="str">
            <v>–</v>
          </cell>
          <cell r="O92" t="str">
            <v>–</v>
          </cell>
          <cell r="P92">
            <v>3.5</v>
          </cell>
          <cell r="Q92" t="str">
            <v>–</v>
          </cell>
          <cell r="R92" t="str">
            <v>–</v>
          </cell>
          <cell r="S92" t="str">
            <v>–</v>
          </cell>
          <cell r="T92" t="str">
            <v>–</v>
          </cell>
          <cell r="U92" t="str">
            <v>–</v>
          </cell>
          <cell r="V92" t="str">
            <v>–</v>
          </cell>
          <cell r="W92">
            <v>0.5</v>
          </cell>
          <cell r="X92" t="str">
            <v>–</v>
          </cell>
          <cell r="Y92" t="str">
            <v>–</v>
          </cell>
          <cell r="Z92">
            <v>0.875</v>
          </cell>
          <cell r="AA92">
            <v>0.875</v>
          </cell>
          <cell r="AB92" t="str">
            <v>–</v>
          </cell>
          <cell r="AC92">
            <v>1.05</v>
          </cell>
          <cell r="AD92">
            <v>1.05</v>
          </cell>
          <cell r="AE92" t="str">
            <v>–</v>
          </cell>
          <cell r="AF92">
            <v>0.46400000000000002</v>
          </cell>
          <cell r="AG92">
            <v>0.46400000000000002</v>
          </cell>
          <cell r="AH92" t="str">
            <v>–</v>
          </cell>
          <cell r="AI92">
            <v>7</v>
          </cell>
          <cell r="AJ92" t="str">
            <v>–</v>
          </cell>
          <cell r="AK92" t="str">
            <v>–</v>
          </cell>
          <cell r="AL92" t="str">
            <v>–</v>
          </cell>
          <cell r="AM92" t="str">
            <v>–</v>
          </cell>
          <cell r="AN92">
            <v>3.63</v>
          </cell>
          <cell r="AO92">
            <v>2.66</v>
          </cell>
          <cell r="AP92">
            <v>1.48</v>
          </cell>
          <cell r="AQ92">
            <v>1.05</v>
          </cell>
          <cell r="AR92">
            <v>3.63</v>
          </cell>
          <cell r="AS92">
            <v>2.66</v>
          </cell>
          <cell r="AT92">
            <v>1.48</v>
          </cell>
          <cell r="AU92">
            <v>1.05</v>
          </cell>
          <cell r="AV92">
            <v>1.51</v>
          </cell>
        </row>
        <row r="93">
          <cell r="C93" t="str">
            <v>L3-1/2X3-1/2X7/16</v>
          </cell>
          <cell r="D93" t="str">
            <v>F</v>
          </cell>
          <cell r="E93">
            <v>9.8000000000000007</v>
          </cell>
          <cell r="F93">
            <v>2.89</v>
          </cell>
          <cell r="G93" t="str">
            <v>L3-1/2X3-1/2X7/16</v>
          </cell>
          <cell r="H93">
            <v>3.5</v>
          </cell>
          <cell r="I93" t="str">
            <v>–</v>
          </cell>
          <cell r="J93" t="str">
            <v>–</v>
          </cell>
          <cell r="K93" t="str">
            <v>–</v>
          </cell>
          <cell r="L93" t="str">
            <v>–</v>
          </cell>
          <cell r="M93" t="str">
            <v>–</v>
          </cell>
          <cell r="N93" t="str">
            <v>–</v>
          </cell>
          <cell r="O93" t="str">
            <v>–</v>
          </cell>
          <cell r="P93">
            <v>3.5</v>
          </cell>
          <cell r="Q93" t="str">
            <v>–</v>
          </cell>
          <cell r="R93" t="str">
            <v>–</v>
          </cell>
          <cell r="S93" t="str">
            <v>–</v>
          </cell>
          <cell r="T93" t="str">
            <v>–</v>
          </cell>
          <cell r="U93" t="str">
            <v>–</v>
          </cell>
          <cell r="V93" t="str">
            <v>–</v>
          </cell>
          <cell r="W93">
            <v>0.438</v>
          </cell>
          <cell r="X93" t="str">
            <v>–</v>
          </cell>
          <cell r="Y93" t="str">
            <v>–</v>
          </cell>
          <cell r="Z93">
            <v>0.81299999999999994</v>
          </cell>
          <cell r="AA93">
            <v>0.8125</v>
          </cell>
          <cell r="AB93" t="str">
            <v>–</v>
          </cell>
          <cell r="AC93">
            <v>1.03</v>
          </cell>
          <cell r="AD93">
            <v>1.03</v>
          </cell>
          <cell r="AE93" t="str">
            <v>–</v>
          </cell>
          <cell r="AF93">
            <v>0.41299999999999998</v>
          </cell>
          <cell r="AG93">
            <v>0.41299999999999998</v>
          </cell>
          <cell r="AH93" t="str">
            <v>–</v>
          </cell>
          <cell r="AI93">
            <v>7.99</v>
          </cell>
          <cell r="AJ93" t="str">
            <v>–</v>
          </cell>
          <cell r="AK93" t="str">
            <v>–</v>
          </cell>
          <cell r="AL93" t="str">
            <v>–</v>
          </cell>
          <cell r="AM93" t="str">
            <v>–</v>
          </cell>
          <cell r="AN93">
            <v>3.25</v>
          </cell>
          <cell r="AO93">
            <v>2.36</v>
          </cell>
          <cell r="AP93">
            <v>1.32</v>
          </cell>
          <cell r="AQ93">
            <v>1.06</v>
          </cell>
          <cell r="AR93">
            <v>3.25</v>
          </cell>
          <cell r="AS93">
            <v>2.36</v>
          </cell>
          <cell r="AT93">
            <v>1.32</v>
          </cell>
          <cell r="AU93">
            <v>1.06</v>
          </cell>
          <cell r="AV93">
            <v>1.33</v>
          </cell>
        </row>
        <row r="94">
          <cell r="C94" t="str">
            <v>L3-1/2X3-1/2X3/8</v>
          </cell>
          <cell r="D94" t="str">
            <v>F</v>
          </cell>
          <cell r="E94">
            <v>8.5</v>
          </cell>
          <cell r="F94">
            <v>2.5</v>
          </cell>
          <cell r="G94" t="str">
            <v>L3-1/2X3-1/2X3/8</v>
          </cell>
          <cell r="H94">
            <v>3.5</v>
          </cell>
          <cell r="I94" t="str">
            <v>–</v>
          </cell>
          <cell r="J94" t="str">
            <v>–</v>
          </cell>
          <cell r="K94" t="str">
            <v>–</v>
          </cell>
          <cell r="L94" t="str">
            <v>–</v>
          </cell>
          <cell r="M94" t="str">
            <v>–</v>
          </cell>
          <cell r="N94" t="str">
            <v>–</v>
          </cell>
          <cell r="O94" t="str">
            <v>–</v>
          </cell>
          <cell r="P94">
            <v>3.5</v>
          </cell>
          <cell r="Q94" t="str">
            <v>–</v>
          </cell>
          <cell r="R94" t="str">
            <v>–</v>
          </cell>
          <cell r="S94" t="str">
            <v>–</v>
          </cell>
          <cell r="T94" t="str">
            <v>–</v>
          </cell>
          <cell r="U94" t="str">
            <v>–</v>
          </cell>
          <cell r="V94" t="str">
            <v>–</v>
          </cell>
          <cell r="W94">
            <v>0.375</v>
          </cell>
          <cell r="X94" t="str">
            <v>–</v>
          </cell>
          <cell r="Y94" t="str">
            <v>–</v>
          </cell>
          <cell r="Z94">
            <v>0.75</v>
          </cell>
          <cell r="AA94">
            <v>0.75</v>
          </cell>
          <cell r="AB94" t="str">
            <v>–</v>
          </cell>
          <cell r="AC94">
            <v>1</v>
          </cell>
          <cell r="AD94">
            <v>1</v>
          </cell>
          <cell r="AE94" t="str">
            <v>–</v>
          </cell>
          <cell r="AF94">
            <v>0.35699999999999998</v>
          </cell>
          <cell r="AG94">
            <v>0.35699999999999998</v>
          </cell>
          <cell r="AH94" t="str">
            <v>–</v>
          </cell>
          <cell r="AI94">
            <v>9.33</v>
          </cell>
          <cell r="AJ94" t="str">
            <v>–</v>
          </cell>
          <cell r="AK94" t="str">
            <v>–</v>
          </cell>
          <cell r="AL94" t="str">
            <v>–</v>
          </cell>
          <cell r="AM94" t="str">
            <v>–</v>
          </cell>
          <cell r="AN94">
            <v>2.86</v>
          </cell>
          <cell r="AO94">
            <v>2.06</v>
          </cell>
          <cell r="AP94">
            <v>1.1499999999999999</v>
          </cell>
          <cell r="AQ94">
            <v>1.07</v>
          </cell>
          <cell r="AR94">
            <v>2.86</v>
          </cell>
          <cell r="AS94">
            <v>2.06</v>
          </cell>
          <cell r="AT94">
            <v>1.1499999999999999</v>
          </cell>
          <cell r="AU94">
            <v>1.07</v>
          </cell>
          <cell r="AV94">
            <v>1.17</v>
          </cell>
        </row>
        <row r="95">
          <cell r="C95" t="str">
            <v>L3-1/2X3-1/2X5/16</v>
          </cell>
          <cell r="D95" t="str">
            <v>F</v>
          </cell>
          <cell r="E95">
            <v>7.2</v>
          </cell>
          <cell r="F95">
            <v>2.1</v>
          </cell>
          <cell r="G95" t="str">
            <v>L3-1/2X3-1/2X5/16</v>
          </cell>
          <cell r="H95">
            <v>3.5</v>
          </cell>
          <cell r="I95" t="str">
            <v>–</v>
          </cell>
          <cell r="J95" t="str">
            <v>–</v>
          </cell>
          <cell r="K95" t="str">
            <v>–</v>
          </cell>
          <cell r="L95" t="str">
            <v>–</v>
          </cell>
          <cell r="M95" t="str">
            <v>–</v>
          </cell>
          <cell r="N95" t="str">
            <v>–</v>
          </cell>
          <cell r="O95" t="str">
            <v>–</v>
          </cell>
          <cell r="P95">
            <v>3.5</v>
          </cell>
          <cell r="Q95" t="str">
            <v>–</v>
          </cell>
          <cell r="R95" t="str">
            <v>–</v>
          </cell>
          <cell r="S95" t="str">
            <v>–</v>
          </cell>
          <cell r="T95" t="str">
            <v>–</v>
          </cell>
          <cell r="U95" t="str">
            <v>–</v>
          </cell>
          <cell r="V95" t="str">
            <v>–</v>
          </cell>
          <cell r="W95">
            <v>0.313</v>
          </cell>
          <cell r="X95" t="str">
            <v>–</v>
          </cell>
          <cell r="Y95" t="str">
            <v>–</v>
          </cell>
          <cell r="Z95">
            <v>0.68799999999999994</v>
          </cell>
          <cell r="AA95">
            <v>0.6875</v>
          </cell>
          <cell r="AB95" t="str">
            <v>–</v>
          </cell>
          <cell r="AC95">
            <v>0.97899999999999998</v>
          </cell>
          <cell r="AD95">
            <v>0.97899999999999998</v>
          </cell>
          <cell r="AE95" t="str">
            <v>–</v>
          </cell>
          <cell r="AF95">
            <v>0.3</v>
          </cell>
          <cell r="AG95">
            <v>0.3</v>
          </cell>
          <cell r="AH95" t="str">
            <v>–</v>
          </cell>
          <cell r="AI95">
            <v>11.2</v>
          </cell>
          <cell r="AJ95" t="str">
            <v>–</v>
          </cell>
          <cell r="AK95" t="str">
            <v>–</v>
          </cell>
          <cell r="AL95" t="str">
            <v>–</v>
          </cell>
          <cell r="AM95" t="str">
            <v>–</v>
          </cell>
          <cell r="AN95">
            <v>2.44</v>
          </cell>
          <cell r="AO95">
            <v>1.74</v>
          </cell>
          <cell r="AP95">
            <v>0.96899999999999997</v>
          </cell>
          <cell r="AQ95">
            <v>1.08</v>
          </cell>
          <cell r="AR95">
            <v>2.44</v>
          </cell>
          <cell r="AS95">
            <v>1.74</v>
          </cell>
          <cell r="AT95">
            <v>0.96899999999999997</v>
          </cell>
          <cell r="AU95">
            <v>1.08</v>
          </cell>
          <cell r="AV95">
            <v>0.98399999999999999</v>
          </cell>
        </row>
        <row r="96">
          <cell r="C96" t="str">
            <v>L3-1/2X3-1/2X1/4</v>
          </cell>
          <cell r="D96" t="str">
            <v>F</v>
          </cell>
          <cell r="E96">
            <v>5.8</v>
          </cell>
          <cell r="F96">
            <v>1.7</v>
          </cell>
          <cell r="G96" t="str">
            <v>L3-1/2X3-1/2X1/4</v>
          </cell>
          <cell r="H96">
            <v>3.5</v>
          </cell>
          <cell r="I96" t="str">
            <v>–</v>
          </cell>
          <cell r="J96" t="str">
            <v>–</v>
          </cell>
          <cell r="K96" t="str">
            <v>–</v>
          </cell>
          <cell r="L96" t="str">
            <v>–</v>
          </cell>
          <cell r="M96" t="str">
            <v>–</v>
          </cell>
          <cell r="N96" t="str">
            <v>–</v>
          </cell>
          <cell r="O96" t="str">
            <v>–</v>
          </cell>
          <cell r="P96">
            <v>3.5</v>
          </cell>
          <cell r="Q96" t="str">
            <v>–</v>
          </cell>
          <cell r="R96" t="str">
            <v>–</v>
          </cell>
          <cell r="S96" t="str">
            <v>–</v>
          </cell>
          <cell r="T96" t="str">
            <v>–</v>
          </cell>
          <cell r="U96" t="str">
            <v>–</v>
          </cell>
          <cell r="V96" t="str">
            <v>–</v>
          </cell>
          <cell r="W96">
            <v>0.25</v>
          </cell>
          <cell r="X96" t="str">
            <v>–</v>
          </cell>
          <cell r="Y96" t="str">
            <v>–</v>
          </cell>
          <cell r="Z96">
            <v>0.625</v>
          </cell>
          <cell r="AA96">
            <v>0.625</v>
          </cell>
          <cell r="AB96" t="str">
            <v>–</v>
          </cell>
          <cell r="AC96">
            <v>0.95399999999999996</v>
          </cell>
          <cell r="AD96">
            <v>0.95399999999999996</v>
          </cell>
          <cell r="AE96" t="str">
            <v>–</v>
          </cell>
          <cell r="AF96">
            <v>0.24299999999999999</v>
          </cell>
          <cell r="AG96">
            <v>0.24299999999999999</v>
          </cell>
          <cell r="AH96" t="str">
            <v>–</v>
          </cell>
          <cell r="AI96">
            <v>14</v>
          </cell>
          <cell r="AJ96" t="str">
            <v>–</v>
          </cell>
          <cell r="AK96" t="str">
            <v>–</v>
          </cell>
          <cell r="AL96" t="str">
            <v>–</v>
          </cell>
          <cell r="AM96" t="str">
            <v>–</v>
          </cell>
          <cell r="AN96">
            <v>2</v>
          </cell>
          <cell r="AO96">
            <v>1.41</v>
          </cell>
          <cell r="AP96">
            <v>0.78700000000000003</v>
          </cell>
          <cell r="AQ96">
            <v>1.0900000000000001</v>
          </cell>
          <cell r="AR96">
            <v>2</v>
          </cell>
          <cell r="AS96">
            <v>1.41</v>
          </cell>
          <cell r="AT96">
            <v>0.78700000000000003</v>
          </cell>
          <cell r="AU96">
            <v>1.0900000000000001</v>
          </cell>
          <cell r="AV96">
            <v>0.80200000000000005</v>
          </cell>
        </row>
        <row r="97">
          <cell r="C97" t="str">
            <v>L3-1/2X3X1/2</v>
          </cell>
          <cell r="D97" t="str">
            <v>F</v>
          </cell>
          <cell r="E97">
            <v>10.199999999999999</v>
          </cell>
          <cell r="F97">
            <v>3.02</v>
          </cell>
          <cell r="G97" t="str">
            <v>L3-1/2X3X1/2</v>
          </cell>
          <cell r="H97">
            <v>3</v>
          </cell>
          <cell r="I97" t="str">
            <v>–</v>
          </cell>
          <cell r="J97" t="str">
            <v>–</v>
          </cell>
          <cell r="K97" t="str">
            <v>–</v>
          </cell>
          <cell r="L97" t="str">
            <v>–</v>
          </cell>
          <cell r="M97" t="str">
            <v>–</v>
          </cell>
          <cell r="N97" t="str">
            <v>–</v>
          </cell>
          <cell r="O97" t="str">
            <v>–</v>
          </cell>
          <cell r="P97">
            <v>3.5</v>
          </cell>
          <cell r="Q97" t="str">
            <v>–</v>
          </cell>
          <cell r="R97" t="str">
            <v>–</v>
          </cell>
          <cell r="S97" t="str">
            <v>–</v>
          </cell>
          <cell r="T97" t="str">
            <v>–</v>
          </cell>
          <cell r="U97" t="str">
            <v>–</v>
          </cell>
          <cell r="V97" t="str">
            <v>–</v>
          </cell>
          <cell r="W97">
            <v>0.5</v>
          </cell>
          <cell r="X97" t="str">
            <v>–</v>
          </cell>
          <cell r="Y97" t="str">
            <v>–</v>
          </cell>
          <cell r="Z97">
            <v>0.875</v>
          </cell>
          <cell r="AA97">
            <v>0.875</v>
          </cell>
          <cell r="AB97" t="str">
            <v>–</v>
          </cell>
          <cell r="AC97">
            <v>0.86899999999999999</v>
          </cell>
          <cell r="AD97">
            <v>1.1200000000000001</v>
          </cell>
          <cell r="AE97" t="str">
            <v>–</v>
          </cell>
          <cell r="AF97">
            <v>0.43099999999999999</v>
          </cell>
          <cell r="AG97">
            <v>0.48</v>
          </cell>
          <cell r="AH97" t="str">
            <v>–</v>
          </cell>
          <cell r="AI97">
            <v>7</v>
          </cell>
          <cell r="AJ97" t="str">
            <v>–</v>
          </cell>
          <cell r="AK97" t="str">
            <v>–</v>
          </cell>
          <cell r="AL97" t="str">
            <v>–</v>
          </cell>
          <cell r="AM97" t="str">
            <v>–</v>
          </cell>
          <cell r="AN97">
            <v>3.45</v>
          </cell>
          <cell r="AO97">
            <v>2.61</v>
          </cell>
          <cell r="AP97">
            <v>1.45</v>
          </cell>
          <cell r="AQ97">
            <v>1.07</v>
          </cell>
          <cell r="AR97">
            <v>2.3199999999999998</v>
          </cell>
          <cell r="AS97">
            <v>1.97</v>
          </cell>
          <cell r="AT97">
            <v>1.0900000000000001</v>
          </cell>
          <cell r="AU97">
            <v>0.877</v>
          </cell>
          <cell r="AV97">
            <v>1.1499999999999999</v>
          </cell>
        </row>
        <row r="98">
          <cell r="C98" t="str">
            <v>L3-1/2X3X7/16</v>
          </cell>
          <cell r="D98" t="str">
            <v>F</v>
          </cell>
          <cell r="E98">
            <v>9.1</v>
          </cell>
          <cell r="F98">
            <v>2.67</v>
          </cell>
          <cell r="G98" t="str">
            <v>L3-1/2X3X7/16</v>
          </cell>
          <cell r="H98">
            <v>3</v>
          </cell>
          <cell r="I98" t="str">
            <v>–</v>
          </cell>
          <cell r="J98" t="str">
            <v>–</v>
          </cell>
          <cell r="K98" t="str">
            <v>–</v>
          </cell>
          <cell r="L98" t="str">
            <v>–</v>
          </cell>
          <cell r="M98" t="str">
            <v>–</v>
          </cell>
          <cell r="N98" t="str">
            <v>–</v>
          </cell>
          <cell r="O98" t="str">
            <v>–</v>
          </cell>
          <cell r="P98">
            <v>3.5</v>
          </cell>
          <cell r="Q98" t="str">
            <v>–</v>
          </cell>
          <cell r="R98" t="str">
            <v>–</v>
          </cell>
          <cell r="S98" t="str">
            <v>–</v>
          </cell>
          <cell r="T98" t="str">
            <v>–</v>
          </cell>
          <cell r="U98" t="str">
            <v>–</v>
          </cell>
          <cell r="V98" t="str">
            <v>–</v>
          </cell>
          <cell r="W98">
            <v>0.438</v>
          </cell>
          <cell r="X98" t="str">
            <v>–</v>
          </cell>
          <cell r="Y98" t="str">
            <v>–</v>
          </cell>
          <cell r="Z98">
            <v>0.81299999999999994</v>
          </cell>
          <cell r="AA98">
            <v>0.8125</v>
          </cell>
          <cell r="AB98" t="str">
            <v>–</v>
          </cell>
          <cell r="AC98">
            <v>0.84599999999999997</v>
          </cell>
          <cell r="AD98">
            <v>1.0900000000000001</v>
          </cell>
          <cell r="AE98" t="str">
            <v>–</v>
          </cell>
          <cell r="AF98">
            <v>0.38100000000000001</v>
          </cell>
          <cell r="AG98">
            <v>0.44900000000000001</v>
          </cell>
          <cell r="AH98" t="str">
            <v>–</v>
          </cell>
          <cell r="AI98">
            <v>7.99</v>
          </cell>
          <cell r="AJ98" t="str">
            <v>–</v>
          </cell>
          <cell r="AK98" t="str">
            <v>–</v>
          </cell>
          <cell r="AL98" t="str">
            <v>–</v>
          </cell>
          <cell r="AM98" t="str">
            <v>–</v>
          </cell>
          <cell r="AN98">
            <v>3.1</v>
          </cell>
          <cell r="AO98">
            <v>2.3199999999999998</v>
          </cell>
          <cell r="AP98">
            <v>1.29</v>
          </cell>
          <cell r="AQ98">
            <v>1.08</v>
          </cell>
          <cell r="AR98">
            <v>2.09</v>
          </cell>
          <cell r="AS98">
            <v>1.75</v>
          </cell>
          <cell r="AT98">
            <v>0.97099999999999997</v>
          </cell>
          <cell r="AU98">
            <v>0.88500000000000001</v>
          </cell>
          <cell r="AV98">
            <v>1.02</v>
          </cell>
        </row>
        <row r="99">
          <cell r="C99" t="str">
            <v>L3-1/2X3X3/8</v>
          </cell>
          <cell r="D99" t="str">
            <v>F</v>
          </cell>
          <cell r="E99">
            <v>7.9</v>
          </cell>
          <cell r="F99">
            <v>2.3199999999999998</v>
          </cell>
          <cell r="G99" t="str">
            <v>L3-1/2X3X3/8</v>
          </cell>
          <cell r="H99">
            <v>3</v>
          </cell>
          <cell r="I99" t="str">
            <v>–</v>
          </cell>
          <cell r="J99" t="str">
            <v>–</v>
          </cell>
          <cell r="K99" t="str">
            <v>–</v>
          </cell>
          <cell r="L99" t="str">
            <v>–</v>
          </cell>
          <cell r="M99" t="str">
            <v>–</v>
          </cell>
          <cell r="N99" t="str">
            <v>–</v>
          </cell>
          <cell r="O99" t="str">
            <v>–</v>
          </cell>
          <cell r="P99">
            <v>3.5</v>
          </cell>
          <cell r="Q99" t="str">
            <v>–</v>
          </cell>
          <cell r="R99" t="str">
            <v>–</v>
          </cell>
          <cell r="S99" t="str">
            <v>–</v>
          </cell>
          <cell r="T99" t="str">
            <v>–</v>
          </cell>
          <cell r="U99" t="str">
            <v>–</v>
          </cell>
          <cell r="V99" t="str">
            <v>–</v>
          </cell>
          <cell r="W99">
            <v>0.375</v>
          </cell>
          <cell r="X99" t="str">
            <v>–</v>
          </cell>
          <cell r="Y99" t="str">
            <v>–</v>
          </cell>
          <cell r="Z99">
            <v>0.75</v>
          </cell>
          <cell r="AA99">
            <v>0.75</v>
          </cell>
          <cell r="AB99" t="str">
            <v>–</v>
          </cell>
          <cell r="AC99">
            <v>0.82299999999999995</v>
          </cell>
          <cell r="AD99">
            <v>1.07</v>
          </cell>
          <cell r="AE99" t="str">
            <v>–</v>
          </cell>
          <cell r="AF99">
            <v>0.33100000000000002</v>
          </cell>
          <cell r="AG99">
            <v>0.40699999999999997</v>
          </cell>
          <cell r="AH99" t="str">
            <v>–</v>
          </cell>
          <cell r="AI99">
            <v>9.33</v>
          </cell>
          <cell r="AJ99" t="str">
            <v>–</v>
          </cell>
          <cell r="AK99" t="str">
            <v>–</v>
          </cell>
          <cell r="AL99" t="str">
            <v>–</v>
          </cell>
          <cell r="AM99" t="str">
            <v>–</v>
          </cell>
          <cell r="AN99">
            <v>2.73</v>
          </cell>
          <cell r="AO99">
            <v>2.0299999999999998</v>
          </cell>
          <cell r="AP99">
            <v>1.1200000000000001</v>
          </cell>
          <cell r="AQ99">
            <v>1.0900000000000001</v>
          </cell>
          <cell r="AR99">
            <v>1.84</v>
          </cell>
          <cell r="AS99">
            <v>1.52</v>
          </cell>
          <cell r="AT99">
            <v>0.84699999999999998</v>
          </cell>
          <cell r="AU99">
            <v>0.89200000000000002</v>
          </cell>
          <cell r="AV99">
            <v>0.89400000000000002</v>
          </cell>
        </row>
        <row r="100">
          <cell r="C100" t="str">
            <v>L3-1/2X3X5/16</v>
          </cell>
          <cell r="D100" t="str">
            <v>F</v>
          </cell>
          <cell r="E100">
            <v>6.6</v>
          </cell>
          <cell r="F100">
            <v>1.95</v>
          </cell>
          <cell r="G100" t="str">
            <v>L3-1/2X3X5/16</v>
          </cell>
          <cell r="H100">
            <v>3</v>
          </cell>
          <cell r="I100" t="str">
            <v>–</v>
          </cell>
          <cell r="J100" t="str">
            <v>–</v>
          </cell>
          <cell r="K100" t="str">
            <v>–</v>
          </cell>
          <cell r="L100" t="str">
            <v>–</v>
          </cell>
          <cell r="M100" t="str">
            <v>–</v>
          </cell>
          <cell r="N100" t="str">
            <v>–</v>
          </cell>
          <cell r="O100" t="str">
            <v>–</v>
          </cell>
          <cell r="P100">
            <v>3.5</v>
          </cell>
          <cell r="Q100" t="str">
            <v>–</v>
          </cell>
          <cell r="R100" t="str">
            <v>–</v>
          </cell>
          <cell r="S100" t="str">
            <v>–</v>
          </cell>
          <cell r="T100" t="str">
            <v>–</v>
          </cell>
          <cell r="U100" t="str">
            <v>–</v>
          </cell>
          <cell r="V100" t="str">
            <v>–</v>
          </cell>
          <cell r="W100">
            <v>0.313</v>
          </cell>
          <cell r="X100" t="str">
            <v>–</v>
          </cell>
          <cell r="Y100" t="str">
            <v>–</v>
          </cell>
          <cell r="Z100">
            <v>0.68799999999999994</v>
          </cell>
          <cell r="AA100">
            <v>0.6875</v>
          </cell>
          <cell r="AB100" t="str">
            <v>–</v>
          </cell>
          <cell r="AC100">
            <v>0.79800000000000004</v>
          </cell>
          <cell r="AD100">
            <v>1.05</v>
          </cell>
          <cell r="AE100" t="str">
            <v>–</v>
          </cell>
          <cell r="AF100">
            <v>0.27900000000000003</v>
          </cell>
          <cell r="AG100">
            <v>0.38</v>
          </cell>
          <cell r="AH100" t="str">
            <v>–</v>
          </cell>
          <cell r="AI100">
            <v>11.2</v>
          </cell>
          <cell r="AJ100" t="str">
            <v>–</v>
          </cell>
          <cell r="AK100" t="str">
            <v>–</v>
          </cell>
          <cell r="AL100" t="str">
            <v>–</v>
          </cell>
          <cell r="AM100" t="str">
            <v>–</v>
          </cell>
          <cell r="AN100">
            <v>2.33</v>
          </cell>
          <cell r="AO100">
            <v>1.72</v>
          </cell>
          <cell r="AP100">
            <v>0.95099999999999996</v>
          </cell>
          <cell r="AQ100">
            <v>1.0900000000000001</v>
          </cell>
          <cell r="AR100">
            <v>1.58</v>
          </cell>
          <cell r="AS100">
            <v>1.28</v>
          </cell>
          <cell r="AT100">
            <v>0.71799999999999997</v>
          </cell>
          <cell r="AU100">
            <v>0.9</v>
          </cell>
          <cell r="AV100">
            <v>0.75800000000000001</v>
          </cell>
        </row>
        <row r="101">
          <cell r="C101" t="str">
            <v>L3-1/2X3X1/4</v>
          </cell>
          <cell r="D101" t="str">
            <v>F</v>
          </cell>
          <cell r="E101">
            <v>5.4</v>
          </cell>
          <cell r="F101">
            <v>1.58</v>
          </cell>
          <cell r="G101" t="str">
            <v>L3-1/2X3X1/4</v>
          </cell>
          <cell r="H101">
            <v>3</v>
          </cell>
          <cell r="I101" t="str">
            <v>–</v>
          </cell>
          <cell r="J101" t="str">
            <v>–</v>
          </cell>
          <cell r="K101" t="str">
            <v>–</v>
          </cell>
          <cell r="L101" t="str">
            <v>–</v>
          </cell>
          <cell r="M101" t="str">
            <v>–</v>
          </cell>
          <cell r="N101" t="str">
            <v>–</v>
          </cell>
          <cell r="O101" t="str">
            <v>–</v>
          </cell>
          <cell r="P101">
            <v>3.5</v>
          </cell>
          <cell r="Q101" t="str">
            <v>–</v>
          </cell>
          <cell r="R101" t="str">
            <v>–</v>
          </cell>
          <cell r="S101" t="str">
            <v>–</v>
          </cell>
          <cell r="T101" t="str">
            <v>–</v>
          </cell>
          <cell r="U101" t="str">
            <v>–</v>
          </cell>
          <cell r="V101" t="str">
            <v>–</v>
          </cell>
          <cell r="W101">
            <v>0.25</v>
          </cell>
          <cell r="X101" t="str">
            <v>–</v>
          </cell>
          <cell r="Y101" t="str">
            <v>–</v>
          </cell>
          <cell r="Z101">
            <v>0.625</v>
          </cell>
          <cell r="AA101">
            <v>0.625</v>
          </cell>
          <cell r="AB101" t="str">
            <v>–</v>
          </cell>
          <cell r="AC101">
            <v>0.77300000000000002</v>
          </cell>
          <cell r="AD101">
            <v>1.02</v>
          </cell>
          <cell r="AE101" t="str">
            <v>–</v>
          </cell>
          <cell r="AF101">
            <v>0.22600000000000001</v>
          </cell>
          <cell r="AG101">
            <v>0.34</v>
          </cell>
          <cell r="AH101" t="str">
            <v>–</v>
          </cell>
          <cell r="AI101">
            <v>14</v>
          </cell>
          <cell r="AJ101" t="str">
            <v>–</v>
          </cell>
          <cell r="AK101" t="str">
            <v>–</v>
          </cell>
          <cell r="AL101" t="str">
            <v>–</v>
          </cell>
          <cell r="AM101" t="str">
            <v>–</v>
          </cell>
          <cell r="AN101">
            <v>1.92</v>
          </cell>
          <cell r="AO101">
            <v>1.39</v>
          </cell>
          <cell r="AP101">
            <v>0.77300000000000002</v>
          </cell>
          <cell r="AQ101">
            <v>1.1000000000000001</v>
          </cell>
          <cell r="AR101">
            <v>1.3</v>
          </cell>
          <cell r="AS101">
            <v>1.04</v>
          </cell>
          <cell r="AT101">
            <v>0.58499999999999996</v>
          </cell>
          <cell r="AU101">
            <v>0.90800000000000003</v>
          </cell>
          <cell r="AV101">
            <v>0.622</v>
          </cell>
        </row>
        <row r="102">
          <cell r="C102" t="str">
            <v>L3-1/2X2-1/2X1/2</v>
          </cell>
          <cell r="D102" t="str">
            <v>F</v>
          </cell>
          <cell r="E102">
            <v>9.4</v>
          </cell>
          <cell r="F102">
            <v>2.77</v>
          </cell>
          <cell r="G102" t="str">
            <v>L3-1/2X2-1/2X1/2</v>
          </cell>
          <cell r="H102">
            <v>2.5</v>
          </cell>
          <cell r="I102" t="str">
            <v>–</v>
          </cell>
          <cell r="J102" t="str">
            <v>–</v>
          </cell>
          <cell r="K102" t="str">
            <v>–</v>
          </cell>
          <cell r="L102" t="str">
            <v>–</v>
          </cell>
          <cell r="M102" t="str">
            <v>–</v>
          </cell>
          <cell r="N102" t="str">
            <v>–</v>
          </cell>
          <cell r="O102" t="str">
            <v>–</v>
          </cell>
          <cell r="P102">
            <v>3.5</v>
          </cell>
          <cell r="Q102" t="str">
            <v>–</v>
          </cell>
          <cell r="R102" t="str">
            <v>–</v>
          </cell>
          <cell r="S102" t="str">
            <v>–</v>
          </cell>
          <cell r="T102" t="str">
            <v>–</v>
          </cell>
          <cell r="U102" t="str">
            <v>–</v>
          </cell>
          <cell r="V102" t="str">
            <v>–</v>
          </cell>
          <cell r="W102">
            <v>0.5</v>
          </cell>
          <cell r="X102" t="str">
            <v>–</v>
          </cell>
          <cell r="Y102" t="str">
            <v>–</v>
          </cell>
          <cell r="Z102">
            <v>0.875</v>
          </cell>
          <cell r="AA102">
            <v>0.875</v>
          </cell>
          <cell r="AB102" t="str">
            <v>–</v>
          </cell>
          <cell r="AC102">
            <v>0.70099999999999996</v>
          </cell>
          <cell r="AD102">
            <v>1.2</v>
          </cell>
          <cell r="AE102" t="str">
            <v>–</v>
          </cell>
          <cell r="AF102">
            <v>0.39600000000000002</v>
          </cell>
          <cell r="AG102">
            <v>0.73</v>
          </cell>
          <cell r="AH102" t="str">
            <v>–</v>
          </cell>
          <cell r="AI102">
            <v>7</v>
          </cell>
          <cell r="AJ102" t="str">
            <v>–</v>
          </cell>
          <cell r="AK102" t="str">
            <v>–</v>
          </cell>
          <cell r="AL102" t="str">
            <v>–</v>
          </cell>
          <cell r="AM102" t="str">
            <v>–</v>
          </cell>
          <cell r="AN102">
            <v>3.24</v>
          </cell>
          <cell r="AO102">
            <v>2.52</v>
          </cell>
          <cell r="AP102">
            <v>1.41</v>
          </cell>
          <cell r="AQ102">
            <v>1.08</v>
          </cell>
          <cell r="AR102">
            <v>1.36</v>
          </cell>
          <cell r="AS102">
            <v>1.39</v>
          </cell>
          <cell r="AT102">
            <v>0.75600000000000001</v>
          </cell>
          <cell r="AU102">
            <v>0.70099999999999996</v>
          </cell>
          <cell r="AV102">
            <v>0.78100000000000003</v>
          </cell>
        </row>
        <row r="103">
          <cell r="C103" t="str">
            <v>L3-1/2X2-1/2X3/8</v>
          </cell>
          <cell r="D103" t="str">
            <v>F</v>
          </cell>
          <cell r="E103">
            <v>7.2</v>
          </cell>
          <cell r="F103">
            <v>2.12</v>
          </cell>
          <cell r="G103" t="str">
            <v>L3-1/2X2-1/2X3/8</v>
          </cell>
          <cell r="H103">
            <v>2.5</v>
          </cell>
          <cell r="I103" t="str">
            <v>–</v>
          </cell>
          <cell r="J103" t="str">
            <v>–</v>
          </cell>
          <cell r="K103" t="str">
            <v>–</v>
          </cell>
          <cell r="L103" t="str">
            <v>–</v>
          </cell>
          <cell r="M103" t="str">
            <v>–</v>
          </cell>
          <cell r="N103" t="str">
            <v>–</v>
          </cell>
          <cell r="O103" t="str">
            <v>–</v>
          </cell>
          <cell r="P103">
            <v>3.5</v>
          </cell>
          <cell r="Q103" t="str">
            <v>–</v>
          </cell>
          <cell r="R103" t="str">
            <v>–</v>
          </cell>
          <cell r="S103" t="str">
            <v>–</v>
          </cell>
          <cell r="T103" t="str">
            <v>–</v>
          </cell>
          <cell r="U103" t="str">
            <v>–</v>
          </cell>
          <cell r="V103" t="str">
            <v>–</v>
          </cell>
          <cell r="W103">
            <v>0.375</v>
          </cell>
          <cell r="X103" t="str">
            <v>–</v>
          </cell>
          <cell r="Y103" t="str">
            <v>–</v>
          </cell>
          <cell r="Z103">
            <v>0.75</v>
          </cell>
          <cell r="AA103">
            <v>0.75</v>
          </cell>
          <cell r="AB103" t="str">
            <v>–</v>
          </cell>
          <cell r="AC103">
            <v>0.65500000000000003</v>
          </cell>
          <cell r="AD103">
            <v>1.1499999999999999</v>
          </cell>
          <cell r="AE103" t="str">
            <v>–</v>
          </cell>
          <cell r="AF103">
            <v>0.30299999999999999</v>
          </cell>
          <cell r="AG103">
            <v>0.67300000000000004</v>
          </cell>
          <cell r="AH103" t="str">
            <v>–</v>
          </cell>
          <cell r="AI103">
            <v>9.33</v>
          </cell>
          <cell r="AJ103" t="str">
            <v>–</v>
          </cell>
          <cell r="AK103" t="str">
            <v>–</v>
          </cell>
          <cell r="AL103" t="str">
            <v>–</v>
          </cell>
          <cell r="AM103" t="str">
            <v>–</v>
          </cell>
          <cell r="AN103">
            <v>2.56</v>
          </cell>
          <cell r="AO103">
            <v>1.96</v>
          </cell>
          <cell r="AP103">
            <v>1.0900000000000001</v>
          </cell>
          <cell r="AQ103">
            <v>1.1000000000000001</v>
          </cell>
          <cell r="AR103">
            <v>1.0900000000000001</v>
          </cell>
          <cell r="AS103">
            <v>1.07</v>
          </cell>
          <cell r="AT103">
            <v>0.58899999999999997</v>
          </cell>
          <cell r="AU103">
            <v>0.71599999999999997</v>
          </cell>
          <cell r="AV103">
            <v>0.60899999999999999</v>
          </cell>
        </row>
        <row r="104">
          <cell r="C104" t="str">
            <v>L3-1/2X2-1/2X5/16</v>
          </cell>
          <cell r="D104" t="str">
            <v>F</v>
          </cell>
          <cell r="E104">
            <v>6.1</v>
          </cell>
          <cell r="F104">
            <v>1.79</v>
          </cell>
          <cell r="G104" t="str">
            <v>L3-1/2X2-1/2X5/16</v>
          </cell>
          <cell r="H104">
            <v>2.5</v>
          </cell>
          <cell r="I104" t="str">
            <v>–</v>
          </cell>
          <cell r="J104" t="str">
            <v>–</v>
          </cell>
          <cell r="K104" t="str">
            <v>–</v>
          </cell>
          <cell r="L104" t="str">
            <v>–</v>
          </cell>
          <cell r="M104" t="str">
            <v>–</v>
          </cell>
          <cell r="N104" t="str">
            <v>–</v>
          </cell>
          <cell r="O104" t="str">
            <v>–</v>
          </cell>
          <cell r="P104">
            <v>3.5</v>
          </cell>
          <cell r="Q104" t="str">
            <v>–</v>
          </cell>
          <cell r="R104" t="str">
            <v>–</v>
          </cell>
          <cell r="S104" t="str">
            <v>–</v>
          </cell>
          <cell r="T104" t="str">
            <v>–</v>
          </cell>
          <cell r="U104" t="str">
            <v>–</v>
          </cell>
          <cell r="V104" t="str">
            <v>–</v>
          </cell>
          <cell r="W104">
            <v>0.313</v>
          </cell>
          <cell r="X104" t="str">
            <v>–</v>
          </cell>
          <cell r="Y104" t="str">
            <v>–</v>
          </cell>
          <cell r="Z104">
            <v>0.68799999999999994</v>
          </cell>
          <cell r="AA104">
            <v>0.6875</v>
          </cell>
          <cell r="AB104" t="str">
            <v>–</v>
          </cell>
          <cell r="AC104">
            <v>0.63200000000000001</v>
          </cell>
          <cell r="AD104">
            <v>1.1299999999999999</v>
          </cell>
          <cell r="AE104" t="str">
            <v>–</v>
          </cell>
          <cell r="AF104">
            <v>0.25600000000000001</v>
          </cell>
          <cell r="AG104">
            <v>0.63600000000000001</v>
          </cell>
          <cell r="AH104" t="str">
            <v>–</v>
          </cell>
          <cell r="AI104">
            <v>11.2</v>
          </cell>
          <cell r="AJ104" t="str">
            <v>–</v>
          </cell>
          <cell r="AK104" t="str">
            <v>–</v>
          </cell>
          <cell r="AL104" t="str">
            <v>–</v>
          </cell>
          <cell r="AM104" t="str">
            <v>–</v>
          </cell>
          <cell r="AN104">
            <v>2.2000000000000002</v>
          </cell>
          <cell r="AO104">
            <v>1.67</v>
          </cell>
          <cell r="AP104">
            <v>0.92500000000000004</v>
          </cell>
          <cell r="AQ104">
            <v>1.1100000000000001</v>
          </cell>
          <cell r="AR104">
            <v>0.93700000000000006</v>
          </cell>
          <cell r="AS104">
            <v>0.9</v>
          </cell>
          <cell r="AT104">
            <v>0.501</v>
          </cell>
          <cell r="AU104">
            <v>0.72299999999999998</v>
          </cell>
          <cell r="AV104">
            <v>0.51800000000000002</v>
          </cell>
        </row>
        <row r="105">
          <cell r="C105" t="str">
            <v>L3-1/2X2-1/2X1/4</v>
          </cell>
          <cell r="D105" t="str">
            <v>F</v>
          </cell>
          <cell r="E105">
            <v>4.9000000000000004</v>
          </cell>
          <cell r="F105">
            <v>1.45</v>
          </cell>
          <cell r="G105" t="str">
            <v>L3-1/2X2-1/2X1/4</v>
          </cell>
          <cell r="H105">
            <v>2.5</v>
          </cell>
          <cell r="I105" t="str">
            <v>–</v>
          </cell>
          <cell r="J105" t="str">
            <v>–</v>
          </cell>
          <cell r="K105" t="str">
            <v>–</v>
          </cell>
          <cell r="L105" t="str">
            <v>–</v>
          </cell>
          <cell r="M105" t="str">
            <v>–</v>
          </cell>
          <cell r="N105" t="str">
            <v>–</v>
          </cell>
          <cell r="O105" t="str">
            <v>–</v>
          </cell>
          <cell r="P105">
            <v>3.5</v>
          </cell>
          <cell r="Q105" t="str">
            <v>–</v>
          </cell>
          <cell r="R105" t="str">
            <v>–</v>
          </cell>
          <cell r="S105" t="str">
            <v>–</v>
          </cell>
          <cell r="T105" t="str">
            <v>–</v>
          </cell>
          <cell r="U105" t="str">
            <v>–</v>
          </cell>
          <cell r="V105" t="str">
            <v>–</v>
          </cell>
          <cell r="W105">
            <v>0.25</v>
          </cell>
          <cell r="X105" t="str">
            <v>–</v>
          </cell>
          <cell r="Y105" t="str">
            <v>–</v>
          </cell>
          <cell r="Z105">
            <v>0.625</v>
          </cell>
          <cell r="AA105">
            <v>0.625</v>
          </cell>
          <cell r="AB105" t="str">
            <v>–</v>
          </cell>
          <cell r="AC105">
            <v>0.60699999999999998</v>
          </cell>
          <cell r="AD105">
            <v>1.1000000000000001</v>
          </cell>
          <cell r="AE105" t="str">
            <v>–</v>
          </cell>
          <cell r="AF105">
            <v>0.20699999999999999</v>
          </cell>
          <cell r="AG105">
            <v>0.6</v>
          </cell>
          <cell r="AH105" t="str">
            <v>–</v>
          </cell>
          <cell r="AI105">
            <v>14</v>
          </cell>
          <cell r="AJ105" t="str">
            <v>–</v>
          </cell>
          <cell r="AK105" t="str">
            <v>–</v>
          </cell>
          <cell r="AL105" t="str">
            <v>–</v>
          </cell>
          <cell r="AM105" t="str">
            <v>–</v>
          </cell>
          <cell r="AN105">
            <v>1.81</v>
          </cell>
          <cell r="AO105">
            <v>1.36</v>
          </cell>
          <cell r="AP105">
            <v>0.753</v>
          </cell>
          <cell r="AQ105">
            <v>1.1200000000000001</v>
          </cell>
          <cell r="AR105">
            <v>0.77500000000000002</v>
          </cell>
          <cell r="AS105">
            <v>0.72799999999999998</v>
          </cell>
          <cell r="AT105">
            <v>0.41</v>
          </cell>
          <cell r="AU105">
            <v>0.73099999999999998</v>
          </cell>
          <cell r="AV105">
            <v>0.42599999999999999</v>
          </cell>
        </row>
        <row r="106">
          <cell r="C106" t="str">
            <v>L3X3X1/2</v>
          </cell>
          <cell r="D106" t="str">
            <v>F</v>
          </cell>
          <cell r="E106">
            <v>9.4</v>
          </cell>
          <cell r="F106">
            <v>2.76</v>
          </cell>
          <cell r="G106" t="str">
            <v>L3X3X1/2</v>
          </cell>
          <cell r="H106">
            <v>3</v>
          </cell>
          <cell r="I106" t="str">
            <v>–</v>
          </cell>
          <cell r="J106" t="str">
            <v>–</v>
          </cell>
          <cell r="K106" t="str">
            <v>–</v>
          </cell>
          <cell r="L106" t="str">
            <v>–</v>
          </cell>
          <cell r="M106" t="str">
            <v>–</v>
          </cell>
          <cell r="N106" t="str">
            <v>–</v>
          </cell>
          <cell r="O106" t="str">
            <v>–</v>
          </cell>
          <cell r="P106">
            <v>3</v>
          </cell>
          <cell r="Q106" t="str">
            <v>–</v>
          </cell>
          <cell r="R106" t="str">
            <v>–</v>
          </cell>
          <cell r="S106" t="str">
            <v>–</v>
          </cell>
          <cell r="T106" t="str">
            <v>–</v>
          </cell>
          <cell r="U106" t="str">
            <v>–</v>
          </cell>
          <cell r="V106" t="str">
            <v>–</v>
          </cell>
          <cell r="W106">
            <v>0.5</v>
          </cell>
          <cell r="X106" t="str">
            <v>–</v>
          </cell>
          <cell r="Y106" t="str">
            <v>–</v>
          </cell>
          <cell r="Z106">
            <v>0.875</v>
          </cell>
          <cell r="AA106">
            <v>0.875</v>
          </cell>
          <cell r="AB106" t="str">
            <v>–</v>
          </cell>
          <cell r="AC106">
            <v>0.92900000000000005</v>
          </cell>
          <cell r="AD106">
            <v>0.92900000000000005</v>
          </cell>
          <cell r="AE106" t="str">
            <v>–</v>
          </cell>
          <cell r="AF106">
            <v>0.46</v>
          </cell>
          <cell r="AG106">
            <v>0.46</v>
          </cell>
          <cell r="AH106" t="str">
            <v>–</v>
          </cell>
          <cell r="AI106">
            <v>6</v>
          </cell>
          <cell r="AJ106" t="str">
            <v>–</v>
          </cell>
          <cell r="AK106" t="str">
            <v>–</v>
          </cell>
          <cell r="AL106" t="str">
            <v>–</v>
          </cell>
          <cell r="AM106" t="str">
            <v>–</v>
          </cell>
          <cell r="AN106">
            <v>2.2000000000000002</v>
          </cell>
          <cell r="AO106">
            <v>1.91</v>
          </cell>
          <cell r="AP106">
            <v>1.06</v>
          </cell>
          <cell r="AQ106">
            <v>0.89500000000000002</v>
          </cell>
          <cell r="AR106">
            <v>2.2000000000000002</v>
          </cell>
          <cell r="AS106">
            <v>1.91</v>
          </cell>
          <cell r="AT106">
            <v>1.06</v>
          </cell>
          <cell r="AU106">
            <v>0.89500000000000002</v>
          </cell>
          <cell r="AV106">
            <v>0.92200000000000004</v>
          </cell>
        </row>
        <row r="107">
          <cell r="C107" t="str">
            <v>L3X3X7/16</v>
          </cell>
          <cell r="D107" t="str">
            <v>F</v>
          </cell>
          <cell r="E107">
            <v>8.3000000000000007</v>
          </cell>
          <cell r="F107">
            <v>2.4300000000000002</v>
          </cell>
          <cell r="G107" t="str">
            <v>L3X3X7/16</v>
          </cell>
          <cell r="H107">
            <v>3</v>
          </cell>
          <cell r="I107" t="str">
            <v>–</v>
          </cell>
          <cell r="J107" t="str">
            <v>–</v>
          </cell>
          <cell r="K107" t="str">
            <v>–</v>
          </cell>
          <cell r="L107" t="str">
            <v>–</v>
          </cell>
          <cell r="M107" t="str">
            <v>–</v>
          </cell>
          <cell r="N107" t="str">
            <v>–</v>
          </cell>
          <cell r="O107" t="str">
            <v>–</v>
          </cell>
          <cell r="P107">
            <v>3</v>
          </cell>
          <cell r="Q107" t="str">
            <v>–</v>
          </cell>
          <cell r="R107" t="str">
            <v>–</v>
          </cell>
          <cell r="S107" t="str">
            <v>–</v>
          </cell>
          <cell r="T107" t="str">
            <v>–</v>
          </cell>
          <cell r="U107" t="str">
            <v>–</v>
          </cell>
          <cell r="V107" t="str">
            <v>–</v>
          </cell>
          <cell r="W107">
            <v>0.438</v>
          </cell>
          <cell r="X107" t="str">
            <v>–</v>
          </cell>
          <cell r="Y107" t="str">
            <v>–</v>
          </cell>
          <cell r="Z107">
            <v>0.81299999999999994</v>
          </cell>
          <cell r="AA107">
            <v>0.8125</v>
          </cell>
          <cell r="AB107" t="str">
            <v>–</v>
          </cell>
          <cell r="AC107">
            <v>0.90700000000000003</v>
          </cell>
          <cell r="AD107">
            <v>0.90700000000000003</v>
          </cell>
          <cell r="AE107" t="str">
            <v>–</v>
          </cell>
          <cell r="AF107">
            <v>0.40500000000000003</v>
          </cell>
          <cell r="AG107">
            <v>0.40500000000000003</v>
          </cell>
          <cell r="AH107" t="str">
            <v>–</v>
          </cell>
          <cell r="AI107">
            <v>6.85</v>
          </cell>
          <cell r="AJ107" t="str">
            <v>–</v>
          </cell>
          <cell r="AK107" t="str">
            <v>–</v>
          </cell>
          <cell r="AL107" t="str">
            <v>–</v>
          </cell>
          <cell r="AM107" t="str">
            <v>–</v>
          </cell>
          <cell r="AN107">
            <v>1.98</v>
          </cell>
          <cell r="AO107">
            <v>1.7</v>
          </cell>
          <cell r="AP107">
            <v>0.94599999999999995</v>
          </cell>
          <cell r="AQ107">
            <v>0.90300000000000002</v>
          </cell>
          <cell r="AR107">
            <v>1.98</v>
          </cell>
          <cell r="AS107">
            <v>1.7</v>
          </cell>
          <cell r="AT107">
            <v>0.94599999999999995</v>
          </cell>
          <cell r="AU107">
            <v>0.90300000000000002</v>
          </cell>
          <cell r="AV107">
            <v>0.81699999999999995</v>
          </cell>
        </row>
        <row r="108">
          <cell r="C108" t="str">
            <v>L3X3X3/8</v>
          </cell>
          <cell r="D108" t="str">
            <v>F</v>
          </cell>
          <cell r="E108">
            <v>7.2</v>
          </cell>
          <cell r="F108">
            <v>2.11</v>
          </cell>
          <cell r="G108" t="str">
            <v>L3X3X3/8</v>
          </cell>
          <cell r="H108">
            <v>3</v>
          </cell>
          <cell r="I108" t="str">
            <v>–</v>
          </cell>
          <cell r="J108" t="str">
            <v>–</v>
          </cell>
          <cell r="K108" t="str">
            <v>–</v>
          </cell>
          <cell r="L108" t="str">
            <v>–</v>
          </cell>
          <cell r="M108" t="str">
            <v>–</v>
          </cell>
          <cell r="N108" t="str">
            <v>–</v>
          </cell>
          <cell r="O108" t="str">
            <v>–</v>
          </cell>
          <cell r="P108">
            <v>3</v>
          </cell>
          <cell r="Q108" t="str">
            <v>–</v>
          </cell>
          <cell r="R108" t="str">
            <v>–</v>
          </cell>
          <cell r="S108" t="str">
            <v>–</v>
          </cell>
          <cell r="T108" t="str">
            <v>–</v>
          </cell>
          <cell r="U108" t="str">
            <v>–</v>
          </cell>
          <cell r="V108" t="str">
            <v>–</v>
          </cell>
          <cell r="W108">
            <v>0.375</v>
          </cell>
          <cell r="X108" t="str">
            <v>–</v>
          </cell>
          <cell r="Y108" t="str">
            <v>–</v>
          </cell>
          <cell r="Z108">
            <v>0.75</v>
          </cell>
          <cell r="AA108">
            <v>0.75</v>
          </cell>
          <cell r="AB108" t="str">
            <v>–</v>
          </cell>
          <cell r="AC108">
            <v>0.88400000000000001</v>
          </cell>
          <cell r="AD108">
            <v>0.88400000000000001</v>
          </cell>
          <cell r="AE108" t="str">
            <v>–</v>
          </cell>
          <cell r="AF108">
            <v>0.35199999999999998</v>
          </cell>
          <cell r="AG108">
            <v>0.35199999999999998</v>
          </cell>
          <cell r="AH108" t="str">
            <v>–</v>
          </cell>
          <cell r="AI108">
            <v>8</v>
          </cell>
          <cell r="AJ108" t="str">
            <v>–</v>
          </cell>
          <cell r="AK108" t="str">
            <v>–</v>
          </cell>
          <cell r="AL108" t="str">
            <v>–</v>
          </cell>
          <cell r="AM108" t="str">
            <v>–</v>
          </cell>
          <cell r="AN108">
            <v>1.75</v>
          </cell>
          <cell r="AO108">
            <v>1.48</v>
          </cell>
          <cell r="AP108">
            <v>0.82499999999999996</v>
          </cell>
          <cell r="AQ108">
            <v>0.91</v>
          </cell>
          <cell r="AR108">
            <v>1.75</v>
          </cell>
          <cell r="AS108">
            <v>1.48</v>
          </cell>
          <cell r="AT108">
            <v>0.82499999999999996</v>
          </cell>
          <cell r="AU108">
            <v>0.91</v>
          </cell>
          <cell r="AV108">
            <v>0.71599999999999997</v>
          </cell>
        </row>
        <row r="109">
          <cell r="C109" t="str">
            <v>L3X3X5/16</v>
          </cell>
          <cell r="D109" t="str">
            <v>F</v>
          </cell>
          <cell r="E109">
            <v>6.1</v>
          </cell>
          <cell r="F109">
            <v>1.78</v>
          </cell>
          <cell r="G109" t="str">
            <v>L3X3X5/16</v>
          </cell>
          <cell r="H109">
            <v>3</v>
          </cell>
          <cell r="I109" t="str">
            <v>–</v>
          </cell>
          <cell r="J109" t="str">
            <v>–</v>
          </cell>
          <cell r="K109" t="str">
            <v>–</v>
          </cell>
          <cell r="L109" t="str">
            <v>–</v>
          </cell>
          <cell r="M109" t="str">
            <v>–</v>
          </cell>
          <cell r="N109" t="str">
            <v>–</v>
          </cell>
          <cell r="O109" t="str">
            <v>–</v>
          </cell>
          <cell r="P109">
            <v>3</v>
          </cell>
          <cell r="Q109" t="str">
            <v>–</v>
          </cell>
          <cell r="R109" t="str">
            <v>–</v>
          </cell>
          <cell r="S109" t="str">
            <v>–</v>
          </cell>
          <cell r="T109" t="str">
            <v>–</v>
          </cell>
          <cell r="U109" t="str">
            <v>–</v>
          </cell>
          <cell r="V109" t="str">
            <v>–</v>
          </cell>
          <cell r="W109">
            <v>0.313</v>
          </cell>
          <cell r="X109" t="str">
            <v>–</v>
          </cell>
          <cell r="Y109" t="str">
            <v>–</v>
          </cell>
          <cell r="Z109">
            <v>0.68799999999999994</v>
          </cell>
          <cell r="AA109">
            <v>0.6875</v>
          </cell>
          <cell r="AB109" t="str">
            <v>–</v>
          </cell>
          <cell r="AC109">
            <v>0.86</v>
          </cell>
          <cell r="AD109">
            <v>0.86</v>
          </cell>
          <cell r="AE109" t="str">
            <v>–</v>
          </cell>
          <cell r="AF109">
            <v>0.29699999999999999</v>
          </cell>
          <cell r="AG109">
            <v>0.29699999999999999</v>
          </cell>
          <cell r="AH109" t="str">
            <v>–</v>
          </cell>
          <cell r="AI109">
            <v>9.58</v>
          </cell>
          <cell r="AJ109" t="str">
            <v>–</v>
          </cell>
          <cell r="AK109" t="str">
            <v>–</v>
          </cell>
          <cell r="AL109" t="str">
            <v>–</v>
          </cell>
          <cell r="AM109" t="str">
            <v>–</v>
          </cell>
          <cell r="AN109">
            <v>1.5</v>
          </cell>
          <cell r="AO109">
            <v>1.26</v>
          </cell>
          <cell r="AP109">
            <v>0.69899999999999995</v>
          </cell>
          <cell r="AQ109">
            <v>0.91800000000000004</v>
          </cell>
          <cell r="AR109">
            <v>1.5</v>
          </cell>
          <cell r="AS109">
            <v>1.26</v>
          </cell>
          <cell r="AT109">
            <v>0.69899999999999995</v>
          </cell>
          <cell r="AU109">
            <v>0.91800000000000004</v>
          </cell>
          <cell r="AV109">
            <v>0.60599999999999998</v>
          </cell>
        </row>
        <row r="110">
          <cell r="C110" t="str">
            <v>L3X3X1/4</v>
          </cell>
          <cell r="D110" t="str">
            <v>F</v>
          </cell>
          <cell r="E110">
            <v>4.9000000000000004</v>
          </cell>
          <cell r="F110">
            <v>1.44</v>
          </cell>
          <cell r="G110" t="str">
            <v>L3X3X1/4</v>
          </cell>
          <cell r="H110">
            <v>3</v>
          </cell>
          <cell r="I110" t="str">
            <v>–</v>
          </cell>
          <cell r="J110" t="str">
            <v>–</v>
          </cell>
          <cell r="K110" t="str">
            <v>–</v>
          </cell>
          <cell r="L110" t="str">
            <v>–</v>
          </cell>
          <cell r="M110" t="str">
            <v>–</v>
          </cell>
          <cell r="N110" t="str">
            <v>–</v>
          </cell>
          <cell r="O110" t="str">
            <v>–</v>
          </cell>
          <cell r="P110">
            <v>3</v>
          </cell>
          <cell r="Q110" t="str">
            <v>–</v>
          </cell>
          <cell r="R110" t="str">
            <v>–</v>
          </cell>
          <cell r="S110" t="str">
            <v>–</v>
          </cell>
          <cell r="T110" t="str">
            <v>–</v>
          </cell>
          <cell r="U110" t="str">
            <v>–</v>
          </cell>
          <cell r="V110" t="str">
            <v>–</v>
          </cell>
          <cell r="W110">
            <v>0.25</v>
          </cell>
          <cell r="X110" t="str">
            <v>–</v>
          </cell>
          <cell r="Y110" t="str">
            <v>–</v>
          </cell>
          <cell r="Z110">
            <v>0.625</v>
          </cell>
          <cell r="AA110">
            <v>0.625</v>
          </cell>
          <cell r="AB110" t="str">
            <v>–</v>
          </cell>
          <cell r="AC110">
            <v>0.83599999999999997</v>
          </cell>
          <cell r="AD110">
            <v>0.83599999999999997</v>
          </cell>
          <cell r="AE110" t="str">
            <v>–</v>
          </cell>
          <cell r="AF110">
            <v>0.24</v>
          </cell>
          <cell r="AG110">
            <v>0.24</v>
          </cell>
          <cell r="AH110" t="str">
            <v>–</v>
          </cell>
          <cell r="AI110">
            <v>12</v>
          </cell>
          <cell r="AJ110" t="str">
            <v>–</v>
          </cell>
          <cell r="AK110" t="str">
            <v>–</v>
          </cell>
          <cell r="AL110" t="str">
            <v>–</v>
          </cell>
          <cell r="AM110" t="str">
            <v>–</v>
          </cell>
          <cell r="AN110">
            <v>1.23</v>
          </cell>
          <cell r="AO110">
            <v>1.02</v>
          </cell>
          <cell r="AP110">
            <v>0.56899999999999995</v>
          </cell>
          <cell r="AQ110">
            <v>0.92600000000000005</v>
          </cell>
          <cell r="AR110">
            <v>1.23</v>
          </cell>
          <cell r="AS110">
            <v>1.02</v>
          </cell>
          <cell r="AT110">
            <v>0.56899999999999995</v>
          </cell>
          <cell r="AU110">
            <v>0.92600000000000005</v>
          </cell>
          <cell r="AV110">
            <v>0.49</v>
          </cell>
        </row>
        <row r="111">
          <cell r="C111" t="str">
            <v>L3X3X3/16</v>
          </cell>
          <cell r="D111" t="str">
            <v>F</v>
          </cell>
          <cell r="E111">
            <v>3.71</v>
          </cell>
          <cell r="F111">
            <v>1.0900000000000001</v>
          </cell>
          <cell r="G111" t="str">
            <v>L3X3X3/16</v>
          </cell>
          <cell r="H111">
            <v>3</v>
          </cell>
          <cell r="I111" t="str">
            <v>–</v>
          </cell>
          <cell r="J111" t="str">
            <v>–</v>
          </cell>
          <cell r="K111" t="str">
            <v>–</v>
          </cell>
          <cell r="L111" t="str">
            <v>–</v>
          </cell>
          <cell r="M111" t="str">
            <v>–</v>
          </cell>
          <cell r="N111" t="str">
            <v>–</v>
          </cell>
          <cell r="O111" t="str">
            <v>–</v>
          </cell>
          <cell r="P111">
            <v>3</v>
          </cell>
          <cell r="Q111" t="str">
            <v>–</v>
          </cell>
          <cell r="R111" t="str">
            <v>–</v>
          </cell>
          <cell r="S111" t="str">
            <v>–</v>
          </cell>
          <cell r="T111" t="str">
            <v>–</v>
          </cell>
          <cell r="U111" t="str">
            <v>–</v>
          </cell>
          <cell r="V111" t="str">
            <v>–</v>
          </cell>
          <cell r="W111">
            <v>0.188</v>
          </cell>
          <cell r="X111" t="str">
            <v>–</v>
          </cell>
          <cell r="Y111" t="str">
            <v>–</v>
          </cell>
          <cell r="Z111">
            <v>0.56299999999999994</v>
          </cell>
          <cell r="AA111">
            <v>0.5625</v>
          </cell>
          <cell r="AB111" t="str">
            <v>–</v>
          </cell>
          <cell r="AC111">
            <v>0.81200000000000006</v>
          </cell>
          <cell r="AD111">
            <v>0.81200000000000006</v>
          </cell>
          <cell r="AE111" t="str">
            <v>–</v>
          </cell>
          <cell r="AF111">
            <v>0.182</v>
          </cell>
          <cell r="AG111">
            <v>0.182</v>
          </cell>
          <cell r="AH111" t="str">
            <v>–</v>
          </cell>
          <cell r="AI111">
            <v>16</v>
          </cell>
          <cell r="AJ111" t="str">
            <v>–</v>
          </cell>
          <cell r="AK111" t="str">
            <v>–</v>
          </cell>
          <cell r="AL111" t="str">
            <v>–</v>
          </cell>
          <cell r="AM111" t="str">
            <v>–</v>
          </cell>
          <cell r="AN111">
            <v>0.94799999999999995</v>
          </cell>
          <cell r="AO111">
            <v>0.77400000000000002</v>
          </cell>
          <cell r="AP111">
            <v>0.433</v>
          </cell>
          <cell r="AQ111">
            <v>0.93300000000000005</v>
          </cell>
          <cell r="AR111">
            <v>0.94799999999999995</v>
          </cell>
          <cell r="AS111">
            <v>0.77400000000000002</v>
          </cell>
          <cell r="AT111">
            <v>0.433</v>
          </cell>
          <cell r="AU111">
            <v>0.93300000000000005</v>
          </cell>
          <cell r="AV111">
            <v>0.373</v>
          </cell>
        </row>
        <row r="112">
          <cell r="C112" t="str">
            <v>L3X2-1/2X1/2</v>
          </cell>
          <cell r="D112" t="str">
            <v>F</v>
          </cell>
          <cell r="E112">
            <v>8.5</v>
          </cell>
          <cell r="F112">
            <v>2.5</v>
          </cell>
          <cell r="G112" t="str">
            <v>L3X2-1/2X1/2</v>
          </cell>
          <cell r="H112">
            <v>2.5</v>
          </cell>
          <cell r="I112" t="str">
            <v>–</v>
          </cell>
          <cell r="J112" t="str">
            <v>–</v>
          </cell>
          <cell r="K112" t="str">
            <v>–</v>
          </cell>
          <cell r="L112" t="str">
            <v>–</v>
          </cell>
          <cell r="M112" t="str">
            <v>–</v>
          </cell>
          <cell r="N112" t="str">
            <v>–</v>
          </cell>
          <cell r="O112" t="str">
            <v>–</v>
          </cell>
          <cell r="P112">
            <v>3</v>
          </cell>
          <cell r="Q112" t="str">
            <v>–</v>
          </cell>
          <cell r="R112" t="str">
            <v>–</v>
          </cell>
          <cell r="S112" t="str">
            <v>–</v>
          </cell>
          <cell r="T112" t="str">
            <v>–</v>
          </cell>
          <cell r="U112" t="str">
            <v>–</v>
          </cell>
          <cell r="V112" t="str">
            <v>–</v>
          </cell>
          <cell r="W112">
            <v>0.5</v>
          </cell>
          <cell r="X112" t="str">
            <v>–</v>
          </cell>
          <cell r="Y112" t="str">
            <v>–</v>
          </cell>
          <cell r="Z112">
            <v>0.875</v>
          </cell>
          <cell r="AA112">
            <v>0.875</v>
          </cell>
          <cell r="AB112" t="str">
            <v>–</v>
          </cell>
          <cell r="AC112">
            <v>0.746</v>
          </cell>
          <cell r="AD112">
            <v>0.995</v>
          </cell>
          <cell r="AE112" t="str">
            <v>–</v>
          </cell>
          <cell r="AF112">
            <v>0.41699999999999998</v>
          </cell>
          <cell r="AG112">
            <v>0.5</v>
          </cell>
          <cell r="AH112" t="str">
            <v>–</v>
          </cell>
          <cell r="AI112">
            <v>6</v>
          </cell>
          <cell r="AJ112" t="str">
            <v>–</v>
          </cell>
          <cell r="AK112" t="str">
            <v>–</v>
          </cell>
          <cell r="AL112" t="str">
            <v>–</v>
          </cell>
          <cell r="AM112" t="str">
            <v>–</v>
          </cell>
          <cell r="AN112">
            <v>2.0699999999999998</v>
          </cell>
          <cell r="AO112">
            <v>1.86</v>
          </cell>
          <cell r="AP112">
            <v>1.03</v>
          </cell>
          <cell r="AQ112">
            <v>0.91</v>
          </cell>
          <cell r="AR112">
            <v>1.29</v>
          </cell>
          <cell r="AS112">
            <v>1.34</v>
          </cell>
          <cell r="AT112">
            <v>0.73599999999999999</v>
          </cell>
          <cell r="AU112">
            <v>0.71799999999999997</v>
          </cell>
          <cell r="AV112">
            <v>0.66500000000000004</v>
          </cell>
        </row>
        <row r="113">
          <cell r="C113" t="str">
            <v>L3X2-1/2X7/16</v>
          </cell>
          <cell r="D113" t="str">
            <v>F</v>
          </cell>
          <cell r="E113">
            <v>7.6</v>
          </cell>
          <cell r="F113">
            <v>2.2200000000000002</v>
          </cell>
          <cell r="G113" t="str">
            <v>L3X2-1/2X7/16</v>
          </cell>
          <cell r="H113">
            <v>2.5</v>
          </cell>
          <cell r="I113" t="str">
            <v>–</v>
          </cell>
          <cell r="J113" t="str">
            <v>–</v>
          </cell>
          <cell r="K113" t="str">
            <v>–</v>
          </cell>
          <cell r="L113" t="str">
            <v>–</v>
          </cell>
          <cell r="M113" t="str">
            <v>–</v>
          </cell>
          <cell r="N113" t="str">
            <v>–</v>
          </cell>
          <cell r="O113" t="str">
            <v>–</v>
          </cell>
          <cell r="P113">
            <v>3</v>
          </cell>
          <cell r="Q113" t="str">
            <v>–</v>
          </cell>
          <cell r="R113" t="str">
            <v>–</v>
          </cell>
          <cell r="S113" t="str">
            <v>–</v>
          </cell>
          <cell r="T113" t="str">
            <v>–</v>
          </cell>
          <cell r="U113" t="str">
            <v>–</v>
          </cell>
          <cell r="V113" t="str">
            <v>–</v>
          </cell>
          <cell r="W113">
            <v>0.438</v>
          </cell>
          <cell r="X113" t="str">
            <v>–</v>
          </cell>
          <cell r="Y113" t="str">
            <v>–</v>
          </cell>
          <cell r="Z113">
            <v>0.81299999999999994</v>
          </cell>
          <cell r="AA113">
            <v>0.8125</v>
          </cell>
          <cell r="AB113" t="str">
            <v>–</v>
          </cell>
          <cell r="AC113">
            <v>0.72399999999999998</v>
          </cell>
          <cell r="AD113">
            <v>0.97199999999999998</v>
          </cell>
          <cell r="AE113" t="str">
            <v>–</v>
          </cell>
          <cell r="AF113">
            <v>0.37</v>
          </cell>
          <cell r="AG113">
            <v>0.46300000000000002</v>
          </cell>
          <cell r="AH113" t="str">
            <v>–</v>
          </cell>
          <cell r="AI113">
            <v>6.85</v>
          </cell>
          <cell r="AJ113" t="str">
            <v>–</v>
          </cell>
          <cell r="AK113" t="str">
            <v>–</v>
          </cell>
          <cell r="AL113" t="str">
            <v>–</v>
          </cell>
          <cell r="AM113" t="str">
            <v>–</v>
          </cell>
          <cell r="AN113">
            <v>1.87</v>
          </cell>
          <cell r="AO113">
            <v>1.66</v>
          </cell>
          <cell r="AP113">
            <v>0.92100000000000004</v>
          </cell>
          <cell r="AQ113">
            <v>0.91700000000000004</v>
          </cell>
          <cell r="AR113">
            <v>1.17</v>
          </cell>
          <cell r="AS113">
            <v>1.19</v>
          </cell>
          <cell r="AT113">
            <v>0.65600000000000003</v>
          </cell>
          <cell r="AU113">
            <v>0.72399999999999998</v>
          </cell>
          <cell r="AV113">
            <v>0.59399999999999997</v>
          </cell>
        </row>
        <row r="114">
          <cell r="C114" t="str">
            <v>L3X2-1/2X3/8</v>
          </cell>
          <cell r="D114" t="str">
            <v>F</v>
          </cell>
          <cell r="E114">
            <v>6.6</v>
          </cell>
          <cell r="F114">
            <v>1.93</v>
          </cell>
          <cell r="G114" t="str">
            <v>L3X2-1/2X3/8</v>
          </cell>
          <cell r="H114">
            <v>2.5</v>
          </cell>
          <cell r="I114" t="str">
            <v>–</v>
          </cell>
          <cell r="J114" t="str">
            <v>–</v>
          </cell>
          <cell r="K114" t="str">
            <v>–</v>
          </cell>
          <cell r="L114" t="str">
            <v>–</v>
          </cell>
          <cell r="M114" t="str">
            <v>–</v>
          </cell>
          <cell r="N114" t="str">
            <v>–</v>
          </cell>
          <cell r="O114" t="str">
            <v>–</v>
          </cell>
          <cell r="P114">
            <v>3</v>
          </cell>
          <cell r="Q114" t="str">
            <v>–</v>
          </cell>
          <cell r="R114" t="str">
            <v>–</v>
          </cell>
          <cell r="S114" t="str">
            <v>–</v>
          </cell>
          <cell r="T114" t="str">
            <v>–</v>
          </cell>
          <cell r="U114" t="str">
            <v>–</v>
          </cell>
          <cell r="V114" t="str">
            <v>–</v>
          </cell>
          <cell r="W114">
            <v>0.375</v>
          </cell>
          <cell r="X114" t="str">
            <v>–</v>
          </cell>
          <cell r="Y114" t="str">
            <v>–</v>
          </cell>
          <cell r="Z114">
            <v>0.75</v>
          </cell>
          <cell r="AA114">
            <v>0.75</v>
          </cell>
          <cell r="AB114" t="str">
            <v>–</v>
          </cell>
          <cell r="AC114">
            <v>0.70099999999999996</v>
          </cell>
          <cell r="AD114">
            <v>0.94899999999999995</v>
          </cell>
          <cell r="AE114" t="str">
            <v>–</v>
          </cell>
          <cell r="AF114">
            <v>0.32200000000000001</v>
          </cell>
          <cell r="AG114">
            <v>0.42699999999999999</v>
          </cell>
          <cell r="AH114" t="str">
            <v>–</v>
          </cell>
          <cell r="AI114">
            <v>8</v>
          </cell>
          <cell r="AJ114" t="str">
            <v>–</v>
          </cell>
          <cell r="AK114" t="str">
            <v>–</v>
          </cell>
          <cell r="AL114" t="str">
            <v>–</v>
          </cell>
          <cell r="AM114" t="str">
            <v>–</v>
          </cell>
          <cell r="AN114">
            <v>1.65</v>
          </cell>
          <cell r="AO114">
            <v>1.45</v>
          </cell>
          <cell r="AP114">
            <v>0.80300000000000005</v>
          </cell>
          <cell r="AQ114">
            <v>0.92400000000000004</v>
          </cell>
          <cell r="AR114">
            <v>1.03</v>
          </cell>
          <cell r="AS114">
            <v>1.03</v>
          </cell>
          <cell r="AT114">
            <v>0.57299999999999995</v>
          </cell>
          <cell r="AU114">
            <v>0.73099999999999998</v>
          </cell>
          <cell r="AV114">
            <v>0.51400000000000001</v>
          </cell>
        </row>
        <row r="115">
          <cell r="C115" t="str">
            <v>L3X2-1/2X5/16</v>
          </cell>
          <cell r="D115" t="str">
            <v>F</v>
          </cell>
          <cell r="E115">
            <v>5.6</v>
          </cell>
          <cell r="F115">
            <v>1.63</v>
          </cell>
          <cell r="G115" t="str">
            <v>L3X2-1/2X5/16</v>
          </cell>
          <cell r="H115">
            <v>2.5</v>
          </cell>
          <cell r="I115" t="str">
            <v>–</v>
          </cell>
          <cell r="J115" t="str">
            <v>–</v>
          </cell>
          <cell r="K115" t="str">
            <v>–</v>
          </cell>
          <cell r="L115" t="str">
            <v>–</v>
          </cell>
          <cell r="M115" t="str">
            <v>–</v>
          </cell>
          <cell r="N115" t="str">
            <v>–</v>
          </cell>
          <cell r="O115" t="str">
            <v>–</v>
          </cell>
          <cell r="P115">
            <v>3</v>
          </cell>
          <cell r="Q115" t="str">
            <v>–</v>
          </cell>
          <cell r="R115" t="str">
            <v>–</v>
          </cell>
          <cell r="S115" t="str">
            <v>–</v>
          </cell>
          <cell r="T115" t="str">
            <v>–</v>
          </cell>
          <cell r="U115" t="str">
            <v>–</v>
          </cell>
          <cell r="V115" t="str">
            <v>–</v>
          </cell>
          <cell r="W115">
            <v>0.313</v>
          </cell>
          <cell r="X115" t="str">
            <v>–</v>
          </cell>
          <cell r="Y115" t="str">
            <v>–</v>
          </cell>
          <cell r="Z115">
            <v>0.68799999999999994</v>
          </cell>
          <cell r="AA115">
            <v>0.6875</v>
          </cell>
          <cell r="AB115" t="str">
            <v>–</v>
          </cell>
          <cell r="AC115">
            <v>0.67700000000000005</v>
          </cell>
          <cell r="AD115">
            <v>0.92500000000000004</v>
          </cell>
          <cell r="AE115" t="str">
            <v>–</v>
          </cell>
          <cell r="AF115">
            <v>0.27200000000000002</v>
          </cell>
          <cell r="AG115">
            <v>0.39200000000000002</v>
          </cell>
          <cell r="AH115" t="str">
            <v>–</v>
          </cell>
          <cell r="AI115">
            <v>9.58</v>
          </cell>
          <cell r="AJ115" t="str">
            <v>–</v>
          </cell>
          <cell r="AK115" t="str">
            <v>–</v>
          </cell>
          <cell r="AL115" t="str">
            <v>–</v>
          </cell>
          <cell r="AM115" t="str">
            <v>–</v>
          </cell>
          <cell r="AN115">
            <v>1.41</v>
          </cell>
          <cell r="AO115">
            <v>1.23</v>
          </cell>
          <cell r="AP115">
            <v>0.68100000000000005</v>
          </cell>
          <cell r="AQ115">
            <v>0.93200000000000005</v>
          </cell>
          <cell r="AR115">
            <v>0.88800000000000001</v>
          </cell>
          <cell r="AS115">
            <v>0.873</v>
          </cell>
          <cell r="AT115">
            <v>0.48699999999999999</v>
          </cell>
          <cell r="AU115">
            <v>0.73899999999999999</v>
          </cell>
          <cell r="AV115">
            <v>0.435</v>
          </cell>
        </row>
        <row r="116">
          <cell r="C116" t="str">
            <v>L3X2-1/2X1/4</v>
          </cell>
          <cell r="D116" t="str">
            <v>F</v>
          </cell>
          <cell r="E116">
            <v>4.5</v>
          </cell>
          <cell r="F116">
            <v>1.32</v>
          </cell>
          <cell r="G116" t="str">
            <v>L3X2-1/2X1/4</v>
          </cell>
          <cell r="H116">
            <v>2.5</v>
          </cell>
          <cell r="I116" t="str">
            <v>–</v>
          </cell>
          <cell r="J116" t="str">
            <v>–</v>
          </cell>
          <cell r="K116" t="str">
            <v>–</v>
          </cell>
          <cell r="L116" t="str">
            <v>–</v>
          </cell>
          <cell r="M116" t="str">
            <v>–</v>
          </cell>
          <cell r="N116" t="str">
            <v>–</v>
          </cell>
          <cell r="O116" t="str">
            <v>–</v>
          </cell>
          <cell r="P116">
            <v>3</v>
          </cell>
          <cell r="Q116" t="str">
            <v>–</v>
          </cell>
          <cell r="R116" t="str">
            <v>–</v>
          </cell>
          <cell r="S116" t="str">
            <v>–</v>
          </cell>
          <cell r="T116" t="str">
            <v>–</v>
          </cell>
          <cell r="U116" t="str">
            <v>–</v>
          </cell>
          <cell r="V116" t="str">
            <v>–</v>
          </cell>
          <cell r="W116">
            <v>0.25</v>
          </cell>
          <cell r="X116" t="str">
            <v>–</v>
          </cell>
          <cell r="Y116" t="str">
            <v>–</v>
          </cell>
          <cell r="Z116">
            <v>0.625</v>
          </cell>
          <cell r="AA116">
            <v>0.625</v>
          </cell>
          <cell r="AB116" t="str">
            <v>–</v>
          </cell>
          <cell r="AC116">
            <v>0.65300000000000002</v>
          </cell>
          <cell r="AD116">
            <v>0.9</v>
          </cell>
          <cell r="AE116" t="str">
            <v>–</v>
          </cell>
          <cell r="AF116">
            <v>0.22</v>
          </cell>
          <cell r="AG116">
            <v>0.36</v>
          </cell>
          <cell r="AH116" t="str">
            <v>–</v>
          </cell>
          <cell r="AI116">
            <v>12</v>
          </cell>
          <cell r="AJ116" t="str">
            <v>–</v>
          </cell>
          <cell r="AK116" t="str">
            <v>–</v>
          </cell>
          <cell r="AL116" t="str">
            <v>–</v>
          </cell>
          <cell r="AM116" t="str">
            <v>–</v>
          </cell>
          <cell r="AN116">
            <v>1.1599999999999999</v>
          </cell>
          <cell r="AO116">
            <v>1</v>
          </cell>
          <cell r="AP116">
            <v>0.55500000000000005</v>
          </cell>
          <cell r="AQ116">
            <v>0.94</v>
          </cell>
          <cell r="AR116">
            <v>0.73399999999999999</v>
          </cell>
          <cell r="AS116">
            <v>0.70699999999999996</v>
          </cell>
          <cell r="AT116">
            <v>0.39700000000000002</v>
          </cell>
          <cell r="AU116">
            <v>0.746</v>
          </cell>
          <cell r="AV116">
            <v>0.35499999999999998</v>
          </cell>
        </row>
        <row r="117">
          <cell r="C117" t="str">
            <v>L3X2-1/2X3/16</v>
          </cell>
          <cell r="D117" t="str">
            <v>F</v>
          </cell>
          <cell r="E117">
            <v>3.39</v>
          </cell>
          <cell r="F117">
            <v>1</v>
          </cell>
          <cell r="G117" t="str">
            <v>L3X2-1/2X3/16</v>
          </cell>
          <cell r="H117">
            <v>2.5</v>
          </cell>
          <cell r="I117" t="str">
            <v>–</v>
          </cell>
          <cell r="J117" t="str">
            <v>–</v>
          </cell>
          <cell r="K117" t="str">
            <v>–</v>
          </cell>
          <cell r="L117" t="str">
            <v>–</v>
          </cell>
          <cell r="M117" t="str">
            <v>–</v>
          </cell>
          <cell r="N117" t="str">
            <v>–</v>
          </cell>
          <cell r="O117" t="str">
            <v>–</v>
          </cell>
          <cell r="P117">
            <v>3</v>
          </cell>
          <cell r="Q117" t="str">
            <v>–</v>
          </cell>
          <cell r="R117" t="str">
            <v>–</v>
          </cell>
          <cell r="S117" t="str">
            <v>–</v>
          </cell>
          <cell r="T117" t="str">
            <v>–</v>
          </cell>
          <cell r="U117" t="str">
            <v>–</v>
          </cell>
          <cell r="V117" t="str">
            <v>–</v>
          </cell>
          <cell r="W117">
            <v>0.188</v>
          </cell>
          <cell r="X117" t="str">
            <v>–</v>
          </cell>
          <cell r="Y117" t="str">
            <v>–</v>
          </cell>
          <cell r="Z117">
            <v>0.56299999999999994</v>
          </cell>
          <cell r="AA117">
            <v>0.5625</v>
          </cell>
          <cell r="AB117" t="str">
            <v>–</v>
          </cell>
          <cell r="AC117">
            <v>0.627</v>
          </cell>
          <cell r="AD117">
            <v>0.874</v>
          </cell>
          <cell r="AE117" t="str">
            <v>–</v>
          </cell>
          <cell r="AF117">
            <v>0.16700000000000001</v>
          </cell>
          <cell r="AG117">
            <v>0.33300000000000002</v>
          </cell>
          <cell r="AH117" t="str">
            <v>–</v>
          </cell>
          <cell r="AI117">
            <v>16</v>
          </cell>
          <cell r="AJ117" t="str">
            <v>–</v>
          </cell>
          <cell r="AK117" t="str">
            <v>–</v>
          </cell>
          <cell r="AL117" t="str">
            <v>–</v>
          </cell>
          <cell r="AM117" t="str">
            <v>–</v>
          </cell>
          <cell r="AN117">
            <v>0.89900000000000002</v>
          </cell>
          <cell r="AO117">
            <v>0.76100000000000001</v>
          </cell>
          <cell r="AP117">
            <v>0.42299999999999999</v>
          </cell>
          <cell r="AQ117">
            <v>0.94699999999999995</v>
          </cell>
          <cell r="AR117">
            <v>0.56799999999999995</v>
          </cell>
          <cell r="AS117">
            <v>0.53600000000000003</v>
          </cell>
          <cell r="AT117">
            <v>0.30299999999999999</v>
          </cell>
          <cell r="AU117">
            <v>0.753</v>
          </cell>
          <cell r="AV117">
            <v>0.27100000000000002</v>
          </cell>
        </row>
        <row r="118">
          <cell r="C118" t="str">
            <v>L3X2X1/2</v>
          </cell>
          <cell r="D118" t="str">
            <v>F</v>
          </cell>
          <cell r="E118">
            <v>7.7</v>
          </cell>
          <cell r="F118">
            <v>2.2599999999999998</v>
          </cell>
          <cell r="G118" t="str">
            <v>L3X2X1/2</v>
          </cell>
          <cell r="H118">
            <v>2</v>
          </cell>
          <cell r="I118" t="str">
            <v>–</v>
          </cell>
          <cell r="J118" t="str">
            <v>–</v>
          </cell>
          <cell r="K118" t="str">
            <v>–</v>
          </cell>
          <cell r="L118" t="str">
            <v>–</v>
          </cell>
          <cell r="M118" t="str">
            <v>–</v>
          </cell>
          <cell r="N118" t="str">
            <v>–</v>
          </cell>
          <cell r="O118" t="str">
            <v>–</v>
          </cell>
          <cell r="P118">
            <v>3</v>
          </cell>
          <cell r="Q118" t="str">
            <v>–</v>
          </cell>
          <cell r="R118" t="str">
            <v>–</v>
          </cell>
          <cell r="S118" t="str">
            <v>–</v>
          </cell>
          <cell r="T118" t="str">
            <v>–</v>
          </cell>
          <cell r="U118" t="str">
            <v>–</v>
          </cell>
          <cell r="V118" t="str">
            <v>–</v>
          </cell>
          <cell r="W118">
            <v>0.5</v>
          </cell>
          <cell r="X118" t="str">
            <v>–</v>
          </cell>
          <cell r="Y118" t="str">
            <v>–</v>
          </cell>
          <cell r="Z118">
            <v>0.81299999999999994</v>
          </cell>
          <cell r="AA118">
            <v>0.8125</v>
          </cell>
          <cell r="AB118" t="str">
            <v>–</v>
          </cell>
          <cell r="AC118">
            <v>0.57999999999999996</v>
          </cell>
          <cell r="AD118">
            <v>1.08</v>
          </cell>
          <cell r="AE118" t="str">
            <v>–</v>
          </cell>
          <cell r="AF118">
            <v>0.377</v>
          </cell>
          <cell r="AG118">
            <v>0.74</v>
          </cell>
          <cell r="AH118" t="str">
            <v>–</v>
          </cell>
          <cell r="AI118">
            <v>6</v>
          </cell>
          <cell r="AJ118" t="str">
            <v>–</v>
          </cell>
          <cell r="AK118" t="str">
            <v>–</v>
          </cell>
          <cell r="AL118" t="str">
            <v>–</v>
          </cell>
          <cell r="AM118" t="str">
            <v>–</v>
          </cell>
          <cell r="AN118">
            <v>1.92</v>
          </cell>
          <cell r="AO118">
            <v>1.78</v>
          </cell>
          <cell r="AP118">
            <v>1</v>
          </cell>
          <cell r="AQ118">
            <v>0.92200000000000004</v>
          </cell>
          <cell r="AR118">
            <v>0.66700000000000004</v>
          </cell>
          <cell r="AS118">
            <v>0.88700000000000001</v>
          </cell>
          <cell r="AT118">
            <v>0.47</v>
          </cell>
          <cell r="AU118">
            <v>0.54300000000000004</v>
          </cell>
          <cell r="AV118">
            <v>0.40899999999999997</v>
          </cell>
        </row>
        <row r="119">
          <cell r="C119" t="str">
            <v>L3X2X3/8</v>
          </cell>
          <cell r="D119" t="str">
            <v>F</v>
          </cell>
          <cell r="E119">
            <v>5.9</v>
          </cell>
          <cell r="F119">
            <v>1.75</v>
          </cell>
          <cell r="G119" t="str">
            <v>L3X2X3/8</v>
          </cell>
          <cell r="H119">
            <v>2</v>
          </cell>
          <cell r="I119" t="str">
            <v>–</v>
          </cell>
          <cell r="J119" t="str">
            <v>–</v>
          </cell>
          <cell r="K119" t="str">
            <v>–</v>
          </cell>
          <cell r="L119" t="str">
            <v>–</v>
          </cell>
          <cell r="M119" t="str">
            <v>–</v>
          </cell>
          <cell r="N119" t="str">
            <v>–</v>
          </cell>
          <cell r="O119" t="str">
            <v>–</v>
          </cell>
          <cell r="P119">
            <v>3</v>
          </cell>
          <cell r="Q119" t="str">
            <v>–</v>
          </cell>
          <cell r="R119" t="str">
            <v>–</v>
          </cell>
          <cell r="S119" t="str">
            <v>–</v>
          </cell>
          <cell r="T119" t="str">
            <v>–</v>
          </cell>
          <cell r="U119" t="str">
            <v>–</v>
          </cell>
          <cell r="V119" t="str">
            <v>–</v>
          </cell>
          <cell r="W119">
            <v>0.375</v>
          </cell>
          <cell r="X119" t="str">
            <v>–</v>
          </cell>
          <cell r="Y119" t="str">
            <v>–</v>
          </cell>
          <cell r="Z119">
            <v>0.68799999999999994</v>
          </cell>
          <cell r="AA119">
            <v>0.6875</v>
          </cell>
          <cell r="AB119" t="str">
            <v>–</v>
          </cell>
          <cell r="AC119">
            <v>0.53500000000000003</v>
          </cell>
          <cell r="AD119">
            <v>1.03</v>
          </cell>
          <cell r="AE119" t="str">
            <v>–</v>
          </cell>
          <cell r="AF119">
            <v>0.29199999999999998</v>
          </cell>
          <cell r="AG119">
            <v>0.66700000000000004</v>
          </cell>
          <cell r="AH119" t="str">
            <v>–</v>
          </cell>
          <cell r="AI119">
            <v>8</v>
          </cell>
          <cell r="AJ119" t="str">
            <v>–</v>
          </cell>
          <cell r="AK119" t="str">
            <v>–</v>
          </cell>
          <cell r="AL119" t="str">
            <v>–</v>
          </cell>
          <cell r="AM119" t="str">
            <v>–</v>
          </cell>
          <cell r="AN119">
            <v>1.54</v>
          </cell>
          <cell r="AO119">
            <v>1.39</v>
          </cell>
          <cell r="AP119">
            <v>0.77900000000000003</v>
          </cell>
          <cell r="AQ119">
            <v>0.93700000000000006</v>
          </cell>
          <cell r="AR119">
            <v>0.53900000000000003</v>
          </cell>
          <cell r="AS119">
            <v>0.67900000000000005</v>
          </cell>
          <cell r="AT119">
            <v>0.36799999999999999</v>
          </cell>
          <cell r="AU119">
            <v>0.55500000000000005</v>
          </cell>
          <cell r="AV119">
            <v>0.31900000000000001</v>
          </cell>
        </row>
        <row r="120">
          <cell r="C120" t="str">
            <v>L3X2X5/16</v>
          </cell>
          <cell r="D120" t="str">
            <v>F</v>
          </cell>
          <cell r="E120">
            <v>5</v>
          </cell>
          <cell r="F120">
            <v>1.48</v>
          </cell>
          <cell r="G120" t="str">
            <v>L3X2X5/16</v>
          </cell>
          <cell r="H120">
            <v>2</v>
          </cell>
          <cell r="I120" t="str">
            <v>–</v>
          </cell>
          <cell r="J120" t="str">
            <v>–</v>
          </cell>
          <cell r="K120" t="str">
            <v>–</v>
          </cell>
          <cell r="L120" t="str">
            <v>–</v>
          </cell>
          <cell r="M120" t="str">
            <v>–</v>
          </cell>
          <cell r="N120" t="str">
            <v>–</v>
          </cell>
          <cell r="O120" t="str">
            <v>–</v>
          </cell>
          <cell r="P120">
            <v>3</v>
          </cell>
          <cell r="Q120" t="str">
            <v>–</v>
          </cell>
          <cell r="R120" t="str">
            <v>–</v>
          </cell>
          <cell r="S120" t="str">
            <v>–</v>
          </cell>
          <cell r="T120" t="str">
            <v>–</v>
          </cell>
          <cell r="U120" t="str">
            <v>–</v>
          </cell>
          <cell r="V120" t="str">
            <v>–</v>
          </cell>
          <cell r="W120">
            <v>0.313</v>
          </cell>
          <cell r="X120" t="str">
            <v>–</v>
          </cell>
          <cell r="Y120" t="str">
            <v>–</v>
          </cell>
          <cell r="Z120">
            <v>0.625</v>
          </cell>
          <cell r="AA120">
            <v>0.625</v>
          </cell>
          <cell r="AB120" t="str">
            <v>–</v>
          </cell>
          <cell r="AC120">
            <v>0.51100000000000001</v>
          </cell>
          <cell r="AD120">
            <v>1.01</v>
          </cell>
          <cell r="AE120" t="str">
            <v>–</v>
          </cell>
          <cell r="AF120">
            <v>0.247</v>
          </cell>
          <cell r="AG120">
            <v>0.63200000000000001</v>
          </cell>
          <cell r="AH120" t="str">
            <v>–</v>
          </cell>
          <cell r="AI120">
            <v>9.58</v>
          </cell>
          <cell r="AJ120" t="str">
            <v>–</v>
          </cell>
          <cell r="AK120" t="str">
            <v>–</v>
          </cell>
          <cell r="AL120" t="str">
            <v>–</v>
          </cell>
          <cell r="AM120" t="str">
            <v>–</v>
          </cell>
          <cell r="AN120">
            <v>1.32</v>
          </cell>
          <cell r="AO120">
            <v>1.19</v>
          </cell>
          <cell r="AP120">
            <v>0.66200000000000003</v>
          </cell>
          <cell r="AQ120">
            <v>0.94499999999999995</v>
          </cell>
          <cell r="AR120">
            <v>0.46700000000000003</v>
          </cell>
          <cell r="AS120">
            <v>0.57199999999999995</v>
          </cell>
          <cell r="AT120">
            <v>0.314</v>
          </cell>
          <cell r="AU120">
            <v>0.56200000000000006</v>
          </cell>
          <cell r="AV120">
            <v>0.27100000000000002</v>
          </cell>
        </row>
        <row r="121">
          <cell r="C121" t="str">
            <v>L3X2X1/4</v>
          </cell>
          <cell r="D121" t="str">
            <v>F</v>
          </cell>
          <cell r="E121">
            <v>4.0999999999999996</v>
          </cell>
          <cell r="F121">
            <v>1.2</v>
          </cell>
          <cell r="G121" t="str">
            <v>L3X2X1/4</v>
          </cell>
          <cell r="H121">
            <v>2</v>
          </cell>
          <cell r="I121" t="str">
            <v>–</v>
          </cell>
          <cell r="J121" t="str">
            <v>–</v>
          </cell>
          <cell r="K121" t="str">
            <v>–</v>
          </cell>
          <cell r="L121" t="str">
            <v>–</v>
          </cell>
          <cell r="M121" t="str">
            <v>–</v>
          </cell>
          <cell r="N121" t="str">
            <v>–</v>
          </cell>
          <cell r="O121" t="str">
            <v>–</v>
          </cell>
          <cell r="P121">
            <v>3</v>
          </cell>
          <cell r="Q121" t="str">
            <v>–</v>
          </cell>
          <cell r="R121" t="str">
            <v>–</v>
          </cell>
          <cell r="S121" t="str">
            <v>–</v>
          </cell>
          <cell r="T121" t="str">
            <v>–</v>
          </cell>
          <cell r="U121" t="str">
            <v>–</v>
          </cell>
          <cell r="V121" t="str">
            <v>–</v>
          </cell>
          <cell r="W121">
            <v>0.25</v>
          </cell>
          <cell r="X121" t="str">
            <v>–</v>
          </cell>
          <cell r="Y121" t="str">
            <v>–</v>
          </cell>
          <cell r="Z121">
            <v>0.56299999999999994</v>
          </cell>
          <cell r="AA121">
            <v>0.5625</v>
          </cell>
          <cell r="AB121" t="str">
            <v>–</v>
          </cell>
          <cell r="AC121">
            <v>0.48699999999999999</v>
          </cell>
          <cell r="AD121">
            <v>0.98</v>
          </cell>
          <cell r="AE121" t="str">
            <v>–</v>
          </cell>
          <cell r="AF121">
            <v>0.2</v>
          </cell>
          <cell r="AG121">
            <v>0.6</v>
          </cell>
          <cell r="AH121" t="str">
            <v>–</v>
          </cell>
          <cell r="AI121">
            <v>12</v>
          </cell>
          <cell r="AJ121" t="str">
            <v>–</v>
          </cell>
          <cell r="AK121" t="str">
            <v>–</v>
          </cell>
          <cell r="AL121" t="str">
            <v>–</v>
          </cell>
          <cell r="AM121" t="str">
            <v>–</v>
          </cell>
          <cell r="AN121">
            <v>1.0900000000000001</v>
          </cell>
          <cell r="AO121">
            <v>0.96899999999999997</v>
          </cell>
          <cell r="AP121">
            <v>0.54100000000000004</v>
          </cell>
          <cell r="AQ121">
            <v>0.95299999999999996</v>
          </cell>
          <cell r="AR121">
            <v>0.39</v>
          </cell>
          <cell r="AS121">
            <v>0.46300000000000002</v>
          </cell>
          <cell r="AT121">
            <v>0.25800000000000001</v>
          </cell>
          <cell r="AU121">
            <v>0.56899999999999995</v>
          </cell>
          <cell r="AV121">
            <v>0.223</v>
          </cell>
        </row>
        <row r="122">
          <cell r="C122" t="str">
            <v>L3X2X3/16</v>
          </cell>
          <cell r="D122" t="str">
            <v>F</v>
          </cell>
          <cell r="E122">
            <v>3.07</v>
          </cell>
          <cell r="F122">
            <v>0.91700000000000004</v>
          </cell>
          <cell r="G122" t="str">
            <v>L3X2X3/16</v>
          </cell>
          <cell r="H122">
            <v>2</v>
          </cell>
          <cell r="I122" t="str">
            <v>–</v>
          </cell>
          <cell r="J122" t="str">
            <v>–</v>
          </cell>
          <cell r="K122" t="str">
            <v>–</v>
          </cell>
          <cell r="L122" t="str">
            <v>–</v>
          </cell>
          <cell r="M122" t="str">
            <v>–</v>
          </cell>
          <cell r="N122" t="str">
            <v>–</v>
          </cell>
          <cell r="O122" t="str">
            <v>–</v>
          </cell>
          <cell r="P122">
            <v>3</v>
          </cell>
          <cell r="Q122" t="str">
            <v>–</v>
          </cell>
          <cell r="R122" t="str">
            <v>–</v>
          </cell>
          <cell r="S122" t="str">
            <v>–</v>
          </cell>
          <cell r="T122" t="str">
            <v>–</v>
          </cell>
          <cell r="U122" t="str">
            <v>–</v>
          </cell>
          <cell r="V122" t="str">
            <v>–</v>
          </cell>
          <cell r="W122">
            <v>0.188</v>
          </cell>
          <cell r="X122" t="str">
            <v>–</v>
          </cell>
          <cell r="Y122" t="str">
            <v>–</v>
          </cell>
          <cell r="Z122">
            <v>0.5</v>
          </cell>
          <cell r="AA122">
            <v>0.5</v>
          </cell>
          <cell r="AB122" t="str">
            <v>–</v>
          </cell>
          <cell r="AC122">
            <v>0.46200000000000002</v>
          </cell>
          <cell r="AD122">
            <v>0.95199999999999996</v>
          </cell>
          <cell r="AE122" t="str">
            <v>–</v>
          </cell>
          <cell r="AF122">
            <v>0.153</v>
          </cell>
          <cell r="AG122">
            <v>0.55500000000000005</v>
          </cell>
          <cell r="AH122" t="str">
            <v>–</v>
          </cell>
          <cell r="AI122">
            <v>16</v>
          </cell>
          <cell r="AJ122" t="str">
            <v>–</v>
          </cell>
          <cell r="AK122" t="str">
            <v>–</v>
          </cell>
          <cell r="AL122" t="str">
            <v>–</v>
          </cell>
          <cell r="AM122" t="str">
            <v>–</v>
          </cell>
          <cell r="AN122">
            <v>0.84699999999999998</v>
          </cell>
          <cell r="AO122">
            <v>0.74299999999999999</v>
          </cell>
          <cell r="AP122">
            <v>0.41399999999999998</v>
          </cell>
          <cell r="AQ122">
            <v>0.96099999999999997</v>
          </cell>
          <cell r="AR122">
            <v>0.30499999999999999</v>
          </cell>
          <cell r="AS122">
            <v>0.35099999999999998</v>
          </cell>
          <cell r="AT122">
            <v>0.19800000000000001</v>
          </cell>
          <cell r="AU122">
            <v>0.57699999999999996</v>
          </cell>
          <cell r="AV122">
            <v>0.17299999999999999</v>
          </cell>
        </row>
        <row r="123">
          <cell r="C123" t="str">
            <v>L2-1/2X2-1/2X1/2</v>
          </cell>
          <cell r="D123" t="str">
            <v>F</v>
          </cell>
          <cell r="E123">
            <v>7.7</v>
          </cell>
          <cell r="F123">
            <v>2.2599999999999998</v>
          </cell>
          <cell r="G123" t="str">
            <v>L2-1/2X2-1/2X1/2</v>
          </cell>
          <cell r="H123">
            <v>2.5</v>
          </cell>
          <cell r="I123" t="str">
            <v>–</v>
          </cell>
          <cell r="J123" t="str">
            <v>–</v>
          </cell>
          <cell r="K123" t="str">
            <v>–</v>
          </cell>
          <cell r="L123" t="str">
            <v>–</v>
          </cell>
          <cell r="M123" t="str">
            <v>–</v>
          </cell>
          <cell r="N123" t="str">
            <v>–</v>
          </cell>
          <cell r="O123" t="str">
            <v>–</v>
          </cell>
          <cell r="P123">
            <v>2.5</v>
          </cell>
          <cell r="Q123" t="str">
            <v>–</v>
          </cell>
          <cell r="R123" t="str">
            <v>–</v>
          </cell>
          <cell r="S123" t="str">
            <v>–</v>
          </cell>
          <cell r="T123" t="str">
            <v>–</v>
          </cell>
          <cell r="U123" t="str">
            <v>–</v>
          </cell>
          <cell r="V123" t="str">
            <v>–</v>
          </cell>
          <cell r="W123">
            <v>0.5</v>
          </cell>
          <cell r="X123" t="str">
            <v>–</v>
          </cell>
          <cell r="Y123" t="str">
            <v>–</v>
          </cell>
          <cell r="Z123">
            <v>0.75</v>
          </cell>
          <cell r="AA123">
            <v>0.75</v>
          </cell>
          <cell r="AB123" t="str">
            <v>–</v>
          </cell>
          <cell r="AC123">
            <v>0.80300000000000005</v>
          </cell>
          <cell r="AD123">
            <v>0.80300000000000005</v>
          </cell>
          <cell r="AE123" t="str">
            <v>–</v>
          </cell>
          <cell r="AF123">
            <v>0.45200000000000001</v>
          </cell>
          <cell r="AG123">
            <v>0.45200000000000001</v>
          </cell>
          <cell r="AH123" t="str">
            <v>–</v>
          </cell>
          <cell r="AI123">
            <v>5</v>
          </cell>
          <cell r="AJ123" t="str">
            <v>–</v>
          </cell>
          <cell r="AK123" t="str">
            <v>–</v>
          </cell>
          <cell r="AL123" t="str">
            <v>–</v>
          </cell>
          <cell r="AM123" t="str">
            <v>–</v>
          </cell>
          <cell r="AN123">
            <v>1.22</v>
          </cell>
          <cell r="AO123">
            <v>1.29</v>
          </cell>
          <cell r="AP123">
            <v>0.71599999999999997</v>
          </cell>
          <cell r="AQ123">
            <v>0.73499999999999999</v>
          </cell>
          <cell r="AR123">
            <v>1.22</v>
          </cell>
          <cell r="AS123">
            <v>1.29</v>
          </cell>
          <cell r="AT123">
            <v>0.71599999999999997</v>
          </cell>
          <cell r="AU123">
            <v>0.73499999999999999</v>
          </cell>
          <cell r="AV123">
            <v>0.52600000000000002</v>
          </cell>
        </row>
        <row r="124">
          <cell r="C124" t="str">
            <v>L2-1/2X2-1/2X3/8</v>
          </cell>
          <cell r="D124" t="str">
            <v>F</v>
          </cell>
          <cell r="E124">
            <v>5.9</v>
          </cell>
          <cell r="F124">
            <v>1.73</v>
          </cell>
          <cell r="G124" t="str">
            <v>L2-1/2X2-1/2X3/8</v>
          </cell>
          <cell r="H124">
            <v>2.5</v>
          </cell>
          <cell r="I124" t="str">
            <v>–</v>
          </cell>
          <cell r="J124" t="str">
            <v>–</v>
          </cell>
          <cell r="K124" t="str">
            <v>–</v>
          </cell>
          <cell r="L124" t="str">
            <v>–</v>
          </cell>
          <cell r="M124" t="str">
            <v>–</v>
          </cell>
          <cell r="N124" t="str">
            <v>–</v>
          </cell>
          <cell r="O124" t="str">
            <v>–</v>
          </cell>
          <cell r="P124">
            <v>2.5</v>
          </cell>
          <cell r="Q124" t="str">
            <v>–</v>
          </cell>
          <cell r="R124" t="str">
            <v>–</v>
          </cell>
          <cell r="S124" t="str">
            <v>–</v>
          </cell>
          <cell r="T124" t="str">
            <v>–</v>
          </cell>
          <cell r="U124" t="str">
            <v>–</v>
          </cell>
          <cell r="V124" t="str">
            <v>–</v>
          </cell>
          <cell r="W124">
            <v>0.375</v>
          </cell>
          <cell r="X124" t="str">
            <v>–</v>
          </cell>
          <cell r="Y124" t="str">
            <v>–</v>
          </cell>
          <cell r="Z124">
            <v>0.625</v>
          </cell>
          <cell r="AA124">
            <v>0.625</v>
          </cell>
          <cell r="AB124" t="str">
            <v>–</v>
          </cell>
          <cell r="AC124">
            <v>0.75800000000000001</v>
          </cell>
          <cell r="AD124">
            <v>0.75800000000000001</v>
          </cell>
          <cell r="AE124" t="str">
            <v>–</v>
          </cell>
          <cell r="AF124">
            <v>0.34599999999999997</v>
          </cell>
          <cell r="AG124">
            <v>0.34599999999999997</v>
          </cell>
          <cell r="AH124" t="str">
            <v>–</v>
          </cell>
          <cell r="AI124">
            <v>6.67</v>
          </cell>
          <cell r="AJ124" t="str">
            <v>–</v>
          </cell>
          <cell r="AK124" t="str">
            <v>–</v>
          </cell>
          <cell r="AL124" t="str">
            <v>–</v>
          </cell>
          <cell r="AM124" t="str">
            <v>–</v>
          </cell>
          <cell r="AN124">
            <v>0.97199999999999998</v>
          </cell>
          <cell r="AO124">
            <v>1.01</v>
          </cell>
          <cell r="AP124">
            <v>0.55800000000000005</v>
          </cell>
          <cell r="AQ124">
            <v>0.749</v>
          </cell>
          <cell r="AR124">
            <v>0.97199999999999998</v>
          </cell>
          <cell r="AS124">
            <v>1.01</v>
          </cell>
          <cell r="AT124">
            <v>0.55800000000000005</v>
          </cell>
          <cell r="AU124">
            <v>0.749</v>
          </cell>
          <cell r="AV124">
            <v>0.4</v>
          </cell>
        </row>
        <row r="125">
          <cell r="C125" t="str">
            <v>L2-1/2X2-1/2X5/16</v>
          </cell>
          <cell r="D125" t="str">
            <v>F</v>
          </cell>
          <cell r="E125">
            <v>5</v>
          </cell>
          <cell r="F125">
            <v>1.46</v>
          </cell>
          <cell r="G125" t="str">
            <v>L2-1/2X2-1/2X5/16</v>
          </cell>
          <cell r="H125">
            <v>2.5</v>
          </cell>
          <cell r="I125" t="str">
            <v>–</v>
          </cell>
          <cell r="J125" t="str">
            <v>–</v>
          </cell>
          <cell r="K125" t="str">
            <v>–</v>
          </cell>
          <cell r="L125" t="str">
            <v>–</v>
          </cell>
          <cell r="M125" t="str">
            <v>–</v>
          </cell>
          <cell r="N125" t="str">
            <v>–</v>
          </cell>
          <cell r="O125" t="str">
            <v>–</v>
          </cell>
          <cell r="P125">
            <v>2.5</v>
          </cell>
          <cell r="Q125" t="str">
            <v>–</v>
          </cell>
          <cell r="R125" t="str">
            <v>–</v>
          </cell>
          <cell r="S125" t="str">
            <v>–</v>
          </cell>
          <cell r="T125" t="str">
            <v>–</v>
          </cell>
          <cell r="U125" t="str">
            <v>–</v>
          </cell>
          <cell r="V125" t="str">
            <v>–</v>
          </cell>
          <cell r="W125">
            <v>0.313</v>
          </cell>
          <cell r="X125" t="str">
            <v>–</v>
          </cell>
          <cell r="Y125" t="str">
            <v>–</v>
          </cell>
          <cell r="Z125">
            <v>0.56299999999999994</v>
          </cell>
          <cell r="AA125">
            <v>0.5625</v>
          </cell>
          <cell r="AB125" t="str">
            <v>–</v>
          </cell>
          <cell r="AC125">
            <v>0.73499999999999999</v>
          </cell>
          <cell r="AD125">
            <v>0.73499999999999999</v>
          </cell>
          <cell r="AE125" t="str">
            <v>–</v>
          </cell>
          <cell r="AF125">
            <v>0.29199999999999998</v>
          </cell>
          <cell r="AG125">
            <v>0.29199999999999998</v>
          </cell>
          <cell r="AH125" t="str">
            <v>–</v>
          </cell>
          <cell r="AI125">
            <v>7.99</v>
          </cell>
          <cell r="AJ125" t="str">
            <v>–</v>
          </cell>
          <cell r="AK125" t="str">
            <v>–</v>
          </cell>
          <cell r="AL125" t="str">
            <v>–</v>
          </cell>
          <cell r="AM125" t="str">
            <v>–</v>
          </cell>
          <cell r="AN125">
            <v>0.83699999999999997</v>
          </cell>
          <cell r="AO125">
            <v>0.85299999999999998</v>
          </cell>
          <cell r="AP125">
            <v>0.47399999999999998</v>
          </cell>
          <cell r="AQ125">
            <v>0.75600000000000001</v>
          </cell>
          <cell r="AR125">
            <v>0.83699999999999997</v>
          </cell>
          <cell r="AS125">
            <v>0.85299999999999998</v>
          </cell>
          <cell r="AT125">
            <v>0.47399999999999998</v>
          </cell>
          <cell r="AU125">
            <v>0.75600000000000001</v>
          </cell>
          <cell r="AV125">
            <v>0.33800000000000002</v>
          </cell>
        </row>
        <row r="126">
          <cell r="C126" t="str">
            <v>L2-1/2X2-1/2X1/4</v>
          </cell>
          <cell r="D126" t="str">
            <v>F</v>
          </cell>
          <cell r="E126">
            <v>4.0999999999999996</v>
          </cell>
          <cell r="F126">
            <v>1.19</v>
          </cell>
          <cell r="G126" t="str">
            <v>L2-1/2X2-1/2X1/4</v>
          </cell>
          <cell r="H126">
            <v>2.5</v>
          </cell>
          <cell r="I126" t="str">
            <v>–</v>
          </cell>
          <cell r="J126" t="str">
            <v>–</v>
          </cell>
          <cell r="K126" t="str">
            <v>–</v>
          </cell>
          <cell r="L126" t="str">
            <v>–</v>
          </cell>
          <cell r="M126" t="str">
            <v>–</v>
          </cell>
          <cell r="N126" t="str">
            <v>–</v>
          </cell>
          <cell r="O126" t="str">
            <v>–</v>
          </cell>
          <cell r="P126">
            <v>2.5</v>
          </cell>
          <cell r="Q126" t="str">
            <v>–</v>
          </cell>
          <cell r="R126" t="str">
            <v>–</v>
          </cell>
          <cell r="S126" t="str">
            <v>–</v>
          </cell>
          <cell r="T126" t="str">
            <v>–</v>
          </cell>
          <cell r="U126" t="str">
            <v>–</v>
          </cell>
          <cell r="V126" t="str">
            <v>–</v>
          </cell>
          <cell r="W126">
            <v>0.25</v>
          </cell>
          <cell r="X126" t="str">
            <v>–</v>
          </cell>
          <cell r="Y126" t="str">
            <v>–</v>
          </cell>
          <cell r="Z126">
            <v>0.5</v>
          </cell>
          <cell r="AA126">
            <v>0.5</v>
          </cell>
          <cell r="AB126" t="str">
            <v>–</v>
          </cell>
          <cell r="AC126">
            <v>0.71099999999999997</v>
          </cell>
          <cell r="AD126">
            <v>0.71099999999999997</v>
          </cell>
          <cell r="AE126" t="str">
            <v>–</v>
          </cell>
          <cell r="AF126">
            <v>0.23799999999999999</v>
          </cell>
          <cell r="AG126">
            <v>0.23799999999999999</v>
          </cell>
          <cell r="AH126" t="str">
            <v>–</v>
          </cell>
          <cell r="AI126">
            <v>10</v>
          </cell>
          <cell r="AJ126" t="str">
            <v>–</v>
          </cell>
          <cell r="AK126" t="str">
            <v>–</v>
          </cell>
          <cell r="AL126" t="str">
            <v>–</v>
          </cell>
          <cell r="AM126" t="str">
            <v>–</v>
          </cell>
          <cell r="AN126">
            <v>0.69199999999999995</v>
          </cell>
          <cell r="AO126">
            <v>0.69499999999999995</v>
          </cell>
          <cell r="AP126">
            <v>0.38700000000000001</v>
          </cell>
          <cell r="AQ126">
            <v>0.76400000000000001</v>
          </cell>
          <cell r="AR126">
            <v>0.69199999999999995</v>
          </cell>
          <cell r="AS126">
            <v>0.69499999999999995</v>
          </cell>
          <cell r="AT126">
            <v>0.38700000000000001</v>
          </cell>
          <cell r="AU126">
            <v>0.76400000000000001</v>
          </cell>
          <cell r="AV126">
            <v>0.27600000000000002</v>
          </cell>
        </row>
        <row r="127">
          <cell r="C127" t="str">
            <v>L2-1/2X2-1/2X3/16</v>
          </cell>
          <cell r="D127" t="str">
            <v>F</v>
          </cell>
          <cell r="E127">
            <v>3.07</v>
          </cell>
          <cell r="F127">
            <v>0.90100000000000002</v>
          </cell>
          <cell r="G127" t="str">
            <v>L2-1/2X2-1/2X3/16</v>
          </cell>
          <cell r="H127">
            <v>2.5</v>
          </cell>
          <cell r="I127" t="str">
            <v>–</v>
          </cell>
          <cell r="J127" t="str">
            <v>–</v>
          </cell>
          <cell r="K127" t="str">
            <v>–</v>
          </cell>
          <cell r="L127" t="str">
            <v>–</v>
          </cell>
          <cell r="M127" t="str">
            <v>–</v>
          </cell>
          <cell r="N127" t="str">
            <v>–</v>
          </cell>
          <cell r="O127" t="str">
            <v>–</v>
          </cell>
          <cell r="P127">
            <v>2.5</v>
          </cell>
          <cell r="Q127" t="str">
            <v>–</v>
          </cell>
          <cell r="R127" t="str">
            <v>–</v>
          </cell>
          <cell r="S127" t="str">
            <v>–</v>
          </cell>
          <cell r="T127" t="str">
            <v>–</v>
          </cell>
          <cell r="U127" t="str">
            <v>–</v>
          </cell>
          <cell r="V127" t="str">
            <v>–</v>
          </cell>
          <cell r="W127">
            <v>0.188</v>
          </cell>
          <cell r="X127" t="str">
            <v>–</v>
          </cell>
          <cell r="Y127" t="str">
            <v>–</v>
          </cell>
          <cell r="Z127">
            <v>0.438</v>
          </cell>
          <cell r="AA127">
            <v>0.4375</v>
          </cell>
          <cell r="AB127" t="str">
            <v>–</v>
          </cell>
          <cell r="AC127">
            <v>0.68700000000000006</v>
          </cell>
          <cell r="AD127">
            <v>0.68700000000000006</v>
          </cell>
          <cell r="AE127" t="str">
            <v>–</v>
          </cell>
          <cell r="AF127">
            <v>0.18</v>
          </cell>
          <cell r="AG127">
            <v>0.18</v>
          </cell>
          <cell r="AH127" t="str">
            <v>–</v>
          </cell>
          <cell r="AI127">
            <v>13.3</v>
          </cell>
          <cell r="AJ127" t="str">
            <v>–</v>
          </cell>
          <cell r="AK127" t="str">
            <v>–</v>
          </cell>
          <cell r="AL127" t="str">
            <v>–</v>
          </cell>
          <cell r="AM127" t="str">
            <v>–</v>
          </cell>
          <cell r="AN127">
            <v>0.53500000000000003</v>
          </cell>
          <cell r="AO127">
            <v>0.52900000000000003</v>
          </cell>
          <cell r="AP127">
            <v>0.29499999999999998</v>
          </cell>
          <cell r="AQ127">
            <v>0.77100000000000002</v>
          </cell>
          <cell r="AR127">
            <v>0.53500000000000003</v>
          </cell>
          <cell r="AS127">
            <v>0.52900000000000003</v>
          </cell>
          <cell r="AT127">
            <v>0.29499999999999998</v>
          </cell>
          <cell r="AU127">
            <v>0.77100000000000002</v>
          </cell>
          <cell r="AV127">
            <v>0.20899999999999999</v>
          </cell>
        </row>
        <row r="128">
          <cell r="C128" t="str">
            <v>L2-1/2X2X3/8</v>
          </cell>
          <cell r="D128" t="str">
            <v>F</v>
          </cell>
          <cell r="E128">
            <v>5.3</v>
          </cell>
          <cell r="F128">
            <v>1.55</v>
          </cell>
          <cell r="G128" t="str">
            <v>L2-1/2X2X3/8</v>
          </cell>
          <cell r="H128">
            <v>2</v>
          </cell>
          <cell r="I128" t="str">
            <v>–</v>
          </cell>
          <cell r="J128" t="str">
            <v>–</v>
          </cell>
          <cell r="K128" t="str">
            <v>–</v>
          </cell>
          <cell r="L128" t="str">
            <v>–</v>
          </cell>
          <cell r="M128" t="str">
            <v>–</v>
          </cell>
          <cell r="N128" t="str">
            <v>–</v>
          </cell>
          <cell r="O128" t="str">
            <v>–</v>
          </cell>
          <cell r="P128">
            <v>2.5</v>
          </cell>
          <cell r="Q128" t="str">
            <v>–</v>
          </cell>
          <cell r="R128" t="str">
            <v>–</v>
          </cell>
          <cell r="S128" t="str">
            <v>–</v>
          </cell>
          <cell r="T128" t="str">
            <v>–</v>
          </cell>
          <cell r="U128" t="str">
            <v>–</v>
          </cell>
          <cell r="V128" t="str">
            <v>–</v>
          </cell>
          <cell r="W128">
            <v>0.375</v>
          </cell>
          <cell r="X128" t="str">
            <v>–</v>
          </cell>
          <cell r="Y128" t="str">
            <v>–</v>
          </cell>
          <cell r="Z128">
            <v>0.625</v>
          </cell>
          <cell r="AA128">
            <v>0.625</v>
          </cell>
          <cell r="AB128" t="str">
            <v>–</v>
          </cell>
          <cell r="AC128">
            <v>0.57799999999999996</v>
          </cell>
          <cell r="AD128">
            <v>0.82599999999999996</v>
          </cell>
          <cell r="AE128" t="str">
            <v>–</v>
          </cell>
          <cell r="AF128">
            <v>0.31</v>
          </cell>
          <cell r="AG128">
            <v>0.433</v>
          </cell>
          <cell r="AH128" t="str">
            <v>–</v>
          </cell>
          <cell r="AI128">
            <v>6.67</v>
          </cell>
          <cell r="AJ128" t="str">
            <v>–</v>
          </cell>
          <cell r="AK128" t="str">
            <v>–</v>
          </cell>
          <cell r="AL128" t="str">
            <v>–</v>
          </cell>
          <cell r="AM128" t="str">
            <v>–</v>
          </cell>
          <cell r="AN128">
            <v>0.91400000000000003</v>
          </cell>
          <cell r="AO128">
            <v>0.98199999999999998</v>
          </cell>
          <cell r="AP128">
            <v>0.54600000000000004</v>
          </cell>
          <cell r="AQ128">
            <v>0.76600000000000001</v>
          </cell>
          <cell r="AR128">
            <v>0.51300000000000001</v>
          </cell>
          <cell r="AS128">
            <v>0.65700000000000003</v>
          </cell>
          <cell r="AT128">
            <v>0.36099999999999999</v>
          </cell>
          <cell r="AU128">
            <v>0.57399999999999995</v>
          </cell>
          <cell r="AV128">
            <v>0.27300000000000002</v>
          </cell>
        </row>
        <row r="129">
          <cell r="C129" t="str">
            <v>L2-1/2X2X5/16</v>
          </cell>
          <cell r="D129" t="str">
            <v>F</v>
          </cell>
          <cell r="E129">
            <v>4.5</v>
          </cell>
          <cell r="F129">
            <v>1.32</v>
          </cell>
          <cell r="G129" t="str">
            <v>L2-1/2X2X5/16</v>
          </cell>
          <cell r="H129">
            <v>2</v>
          </cell>
          <cell r="I129" t="str">
            <v>–</v>
          </cell>
          <cell r="J129" t="str">
            <v>–</v>
          </cell>
          <cell r="K129" t="str">
            <v>–</v>
          </cell>
          <cell r="L129" t="str">
            <v>–</v>
          </cell>
          <cell r="M129" t="str">
            <v>–</v>
          </cell>
          <cell r="N129" t="str">
            <v>–</v>
          </cell>
          <cell r="O129" t="str">
            <v>–</v>
          </cell>
          <cell r="P129">
            <v>2.5</v>
          </cell>
          <cell r="Q129" t="str">
            <v>–</v>
          </cell>
          <cell r="R129" t="str">
            <v>–</v>
          </cell>
          <cell r="S129" t="str">
            <v>–</v>
          </cell>
          <cell r="T129" t="str">
            <v>–</v>
          </cell>
          <cell r="U129" t="str">
            <v>–</v>
          </cell>
          <cell r="V129" t="str">
            <v>–</v>
          </cell>
          <cell r="W129">
            <v>0.313</v>
          </cell>
          <cell r="X129" t="str">
            <v>–</v>
          </cell>
          <cell r="Y129" t="str">
            <v>–</v>
          </cell>
          <cell r="Z129">
            <v>0.56299999999999994</v>
          </cell>
          <cell r="AA129">
            <v>0.5625</v>
          </cell>
          <cell r="AB129" t="str">
            <v>–</v>
          </cell>
          <cell r="AC129">
            <v>0.55500000000000005</v>
          </cell>
          <cell r="AD129">
            <v>0.80300000000000005</v>
          </cell>
          <cell r="AE129" t="str">
            <v>–</v>
          </cell>
          <cell r="AF129">
            <v>0.26400000000000001</v>
          </cell>
          <cell r="AG129">
            <v>0.38800000000000001</v>
          </cell>
          <cell r="AH129" t="str">
            <v>–</v>
          </cell>
          <cell r="AI129">
            <v>7.99</v>
          </cell>
          <cell r="AJ129" t="str">
            <v>–</v>
          </cell>
          <cell r="AK129" t="str">
            <v>–</v>
          </cell>
          <cell r="AL129" t="str">
            <v>–</v>
          </cell>
          <cell r="AM129" t="str">
            <v>–</v>
          </cell>
          <cell r="AN129">
            <v>0.79</v>
          </cell>
          <cell r="AO129">
            <v>0.83899999999999997</v>
          </cell>
          <cell r="AP129">
            <v>0.46500000000000002</v>
          </cell>
          <cell r="AQ129">
            <v>0.77400000000000002</v>
          </cell>
          <cell r="AR129">
            <v>0.44600000000000001</v>
          </cell>
          <cell r="AS129">
            <v>0.55700000000000005</v>
          </cell>
          <cell r="AT129">
            <v>0.309</v>
          </cell>
          <cell r="AU129">
            <v>0.58099999999999996</v>
          </cell>
          <cell r="AV129">
            <v>0.23300000000000001</v>
          </cell>
        </row>
        <row r="130">
          <cell r="C130" t="str">
            <v>L2-1/2X2X1/4</v>
          </cell>
          <cell r="D130" t="str">
            <v>F</v>
          </cell>
          <cell r="E130">
            <v>3.62</v>
          </cell>
          <cell r="F130">
            <v>1.07</v>
          </cell>
          <cell r="G130" t="str">
            <v>L2-1/2X2X1/4</v>
          </cell>
          <cell r="H130">
            <v>2</v>
          </cell>
          <cell r="I130" t="str">
            <v>–</v>
          </cell>
          <cell r="J130" t="str">
            <v>–</v>
          </cell>
          <cell r="K130" t="str">
            <v>–</v>
          </cell>
          <cell r="L130" t="str">
            <v>–</v>
          </cell>
          <cell r="M130" t="str">
            <v>–</v>
          </cell>
          <cell r="N130" t="str">
            <v>–</v>
          </cell>
          <cell r="O130" t="str">
            <v>–</v>
          </cell>
          <cell r="P130">
            <v>2.5</v>
          </cell>
          <cell r="Q130" t="str">
            <v>–</v>
          </cell>
          <cell r="R130" t="str">
            <v>–</v>
          </cell>
          <cell r="S130" t="str">
            <v>–</v>
          </cell>
          <cell r="T130" t="str">
            <v>–</v>
          </cell>
          <cell r="U130" t="str">
            <v>–</v>
          </cell>
          <cell r="V130" t="str">
            <v>–</v>
          </cell>
          <cell r="W130">
            <v>0.25</v>
          </cell>
          <cell r="X130" t="str">
            <v>–</v>
          </cell>
          <cell r="Y130" t="str">
            <v>–</v>
          </cell>
          <cell r="Z130">
            <v>0.5</v>
          </cell>
          <cell r="AA130">
            <v>0.5</v>
          </cell>
          <cell r="AB130" t="str">
            <v>–</v>
          </cell>
          <cell r="AC130">
            <v>0.53200000000000003</v>
          </cell>
          <cell r="AD130">
            <v>0.77900000000000003</v>
          </cell>
          <cell r="AE130" t="str">
            <v>–</v>
          </cell>
          <cell r="AF130">
            <v>0.214</v>
          </cell>
          <cell r="AG130">
            <v>0.36</v>
          </cell>
          <cell r="AH130" t="str">
            <v>–</v>
          </cell>
          <cell r="AI130">
            <v>10</v>
          </cell>
          <cell r="AJ130" t="str">
            <v>–</v>
          </cell>
          <cell r="AK130" t="str">
            <v>–</v>
          </cell>
          <cell r="AL130" t="str">
            <v>–</v>
          </cell>
          <cell r="AM130" t="str">
            <v>–</v>
          </cell>
          <cell r="AN130">
            <v>0.65600000000000003</v>
          </cell>
          <cell r="AO130">
            <v>0.68799999999999994</v>
          </cell>
          <cell r="AP130">
            <v>0.38100000000000001</v>
          </cell>
          <cell r="AQ130">
            <v>0.78200000000000003</v>
          </cell>
          <cell r="AR130">
            <v>0.372</v>
          </cell>
          <cell r="AS130">
            <v>0.45400000000000001</v>
          </cell>
          <cell r="AT130">
            <v>0.253</v>
          </cell>
          <cell r="AU130">
            <v>0.58899999999999997</v>
          </cell>
          <cell r="AV130">
            <v>0.192</v>
          </cell>
        </row>
        <row r="131">
          <cell r="C131" t="str">
            <v>L2-1/2X2X3/16</v>
          </cell>
          <cell r="D131" t="str">
            <v>F</v>
          </cell>
          <cell r="E131">
            <v>2.75</v>
          </cell>
          <cell r="F131">
            <v>0.81799999999999995</v>
          </cell>
          <cell r="G131" t="str">
            <v>L2-1/2X2X3/16</v>
          </cell>
          <cell r="H131">
            <v>2</v>
          </cell>
          <cell r="I131" t="str">
            <v>–</v>
          </cell>
          <cell r="J131" t="str">
            <v>–</v>
          </cell>
          <cell r="K131" t="str">
            <v>–</v>
          </cell>
          <cell r="L131" t="str">
            <v>–</v>
          </cell>
          <cell r="M131" t="str">
            <v>–</v>
          </cell>
          <cell r="N131" t="str">
            <v>–</v>
          </cell>
          <cell r="O131" t="str">
            <v>–</v>
          </cell>
          <cell r="P131">
            <v>2.5</v>
          </cell>
          <cell r="Q131" t="str">
            <v>–</v>
          </cell>
          <cell r="R131" t="str">
            <v>–</v>
          </cell>
          <cell r="S131" t="str">
            <v>–</v>
          </cell>
          <cell r="T131" t="str">
            <v>–</v>
          </cell>
          <cell r="U131" t="str">
            <v>–</v>
          </cell>
          <cell r="V131" t="str">
            <v>–</v>
          </cell>
          <cell r="W131">
            <v>0.188</v>
          </cell>
          <cell r="X131" t="str">
            <v>–</v>
          </cell>
          <cell r="Y131" t="str">
            <v>–</v>
          </cell>
          <cell r="Z131">
            <v>0.438</v>
          </cell>
          <cell r="AA131">
            <v>0.4375</v>
          </cell>
          <cell r="AB131" t="str">
            <v>–</v>
          </cell>
          <cell r="AC131">
            <v>0.50800000000000001</v>
          </cell>
          <cell r="AD131">
            <v>0.754</v>
          </cell>
          <cell r="AE131" t="str">
            <v>–</v>
          </cell>
          <cell r="AF131">
            <v>0.16400000000000001</v>
          </cell>
          <cell r="AG131">
            <v>0.31900000000000001</v>
          </cell>
          <cell r="AH131" t="str">
            <v>–</v>
          </cell>
          <cell r="AI131">
            <v>13.3</v>
          </cell>
          <cell r="AJ131" t="str">
            <v>–</v>
          </cell>
          <cell r="AK131" t="str">
            <v>–</v>
          </cell>
          <cell r="AL131" t="str">
            <v>–</v>
          </cell>
          <cell r="AM131" t="str">
            <v>–</v>
          </cell>
          <cell r="AN131">
            <v>0.51100000000000001</v>
          </cell>
          <cell r="AO131">
            <v>0.52900000000000003</v>
          </cell>
          <cell r="AP131">
            <v>0.29299999999999998</v>
          </cell>
          <cell r="AQ131">
            <v>0.79</v>
          </cell>
          <cell r="AR131">
            <v>0.29199999999999998</v>
          </cell>
          <cell r="AS131">
            <v>0.34699999999999998</v>
          </cell>
          <cell r="AT131">
            <v>0.19500000000000001</v>
          </cell>
          <cell r="AU131">
            <v>0.59699999999999998</v>
          </cell>
          <cell r="AV131">
            <v>0.14799999999999999</v>
          </cell>
        </row>
        <row r="132">
          <cell r="C132" t="str">
            <v>L2-1/2X1-1/2X1/4</v>
          </cell>
          <cell r="D132" t="str">
            <v>F</v>
          </cell>
          <cell r="E132">
            <v>3.19</v>
          </cell>
          <cell r="F132">
            <v>0.94699999999999995</v>
          </cell>
          <cell r="G132" t="str">
            <v>L2-1/2X1-1/2X1/4</v>
          </cell>
          <cell r="H132">
            <v>1.5</v>
          </cell>
          <cell r="I132" t="str">
            <v>–</v>
          </cell>
          <cell r="J132" t="str">
            <v>–</v>
          </cell>
          <cell r="K132" t="str">
            <v>–</v>
          </cell>
          <cell r="L132" t="str">
            <v>–</v>
          </cell>
          <cell r="M132" t="str">
            <v>–</v>
          </cell>
          <cell r="N132" t="str">
            <v>–</v>
          </cell>
          <cell r="O132" t="str">
            <v>–</v>
          </cell>
          <cell r="P132">
            <v>2.5</v>
          </cell>
          <cell r="Q132" t="str">
            <v>–</v>
          </cell>
          <cell r="R132" t="str">
            <v>–</v>
          </cell>
          <cell r="S132" t="str">
            <v>–</v>
          </cell>
          <cell r="T132" t="str">
            <v>–</v>
          </cell>
          <cell r="U132" t="str">
            <v>–</v>
          </cell>
          <cell r="V132" t="str">
            <v>–</v>
          </cell>
          <cell r="W132">
            <v>0.25</v>
          </cell>
          <cell r="X132" t="str">
            <v>–</v>
          </cell>
          <cell r="Y132" t="str">
            <v>–</v>
          </cell>
          <cell r="Z132">
            <v>0.5</v>
          </cell>
          <cell r="AA132">
            <v>0.5</v>
          </cell>
          <cell r="AB132" t="str">
            <v>–</v>
          </cell>
          <cell r="AC132">
            <v>0.372</v>
          </cell>
          <cell r="AD132">
            <v>0.86599999999999999</v>
          </cell>
          <cell r="AE132" t="str">
            <v>–</v>
          </cell>
          <cell r="AF132">
            <v>0.189</v>
          </cell>
          <cell r="AG132">
            <v>0.60599999999999998</v>
          </cell>
          <cell r="AH132" t="str">
            <v>–</v>
          </cell>
          <cell r="AI132">
            <v>10</v>
          </cell>
          <cell r="AJ132" t="str">
            <v>–</v>
          </cell>
          <cell r="AK132" t="str">
            <v>–</v>
          </cell>
          <cell r="AL132" t="str">
            <v>–</v>
          </cell>
          <cell r="AM132" t="str">
            <v>–</v>
          </cell>
          <cell r="AN132">
            <v>0.59399999999999997</v>
          </cell>
          <cell r="AO132">
            <v>0.64400000000000002</v>
          </cell>
          <cell r="AP132">
            <v>0.36399999999999999</v>
          </cell>
          <cell r="AQ132">
            <v>0.79200000000000004</v>
          </cell>
          <cell r="AR132">
            <v>0.16</v>
          </cell>
          <cell r="AS132">
            <v>0.26100000000000001</v>
          </cell>
          <cell r="AT132">
            <v>0.14199999999999999</v>
          </cell>
          <cell r="AU132">
            <v>0.41099999999999998</v>
          </cell>
          <cell r="AV132">
            <v>9.7699999999999995E-2</v>
          </cell>
        </row>
        <row r="133">
          <cell r="C133" t="str">
            <v>L2-1/2X1-1/2X3/16</v>
          </cell>
          <cell r="D133" t="str">
            <v>F</v>
          </cell>
          <cell r="E133">
            <v>2.44</v>
          </cell>
          <cell r="F133">
            <v>0.72399999999999998</v>
          </cell>
          <cell r="G133" t="str">
            <v>L2-1/2X1-1/2X3/16</v>
          </cell>
          <cell r="H133">
            <v>1.5</v>
          </cell>
          <cell r="I133" t="str">
            <v>–</v>
          </cell>
          <cell r="J133" t="str">
            <v>–</v>
          </cell>
          <cell r="K133" t="str">
            <v>–</v>
          </cell>
          <cell r="L133" t="str">
            <v>–</v>
          </cell>
          <cell r="M133" t="str">
            <v>–</v>
          </cell>
          <cell r="N133" t="str">
            <v>–</v>
          </cell>
          <cell r="O133" t="str">
            <v>–</v>
          </cell>
          <cell r="P133">
            <v>2.5</v>
          </cell>
          <cell r="Q133" t="str">
            <v>–</v>
          </cell>
          <cell r="R133" t="str">
            <v>–</v>
          </cell>
          <cell r="S133" t="str">
            <v>–</v>
          </cell>
          <cell r="T133" t="str">
            <v>–</v>
          </cell>
          <cell r="U133" t="str">
            <v>–</v>
          </cell>
          <cell r="V133" t="str">
            <v>–</v>
          </cell>
          <cell r="W133">
            <v>0.188</v>
          </cell>
          <cell r="X133" t="str">
            <v>–</v>
          </cell>
          <cell r="Y133" t="str">
            <v>–</v>
          </cell>
          <cell r="Z133">
            <v>0.438</v>
          </cell>
          <cell r="AA133">
            <v>0.4375</v>
          </cell>
          <cell r="AB133" t="str">
            <v>–</v>
          </cell>
          <cell r="AC133">
            <v>0.34699999999999998</v>
          </cell>
          <cell r="AD133">
            <v>0.83899999999999997</v>
          </cell>
          <cell r="AE133" t="str">
            <v>–</v>
          </cell>
          <cell r="AF133">
            <v>0.14499999999999999</v>
          </cell>
          <cell r="AG133">
            <v>0.56899999999999995</v>
          </cell>
          <cell r="AH133" t="str">
            <v>–</v>
          </cell>
          <cell r="AI133">
            <v>13.3</v>
          </cell>
          <cell r="AJ133" t="str">
            <v>–</v>
          </cell>
          <cell r="AK133" t="str">
            <v>–</v>
          </cell>
          <cell r="AL133" t="str">
            <v>–</v>
          </cell>
          <cell r="AM133" t="str">
            <v>–</v>
          </cell>
          <cell r="AN133">
            <v>0.46400000000000002</v>
          </cell>
          <cell r="AO133">
            <v>0.497</v>
          </cell>
          <cell r="AP133">
            <v>0.28000000000000003</v>
          </cell>
          <cell r="AQ133">
            <v>0.80100000000000005</v>
          </cell>
          <cell r="AR133">
            <v>0.126</v>
          </cell>
          <cell r="AS133">
            <v>0.19800000000000001</v>
          </cell>
          <cell r="AT133">
            <v>0.11</v>
          </cell>
          <cell r="AU133">
            <v>0.41799999999999998</v>
          </cell>
          <cell r="AV133">
            <v>7.5399999999999995E-2</v>
          </cell>
        </row>
        <row r="134">
          <cell r="C134" t="str">
            <v>L2X2X3/8</v>
          </cell>
          <cell r="D134" t="str">
            <v>F</v>
          </cell>
          <cell r="E134">
            <v>4.7</v>
          </cell>
          <cell r="F134">
            <v>1.37</v>
          </cell>
          <cell r="G134" t="str">
            <v>L2X2X3/8</v>
          </cell>
          <cell r="H134">
            <v>2</v>
          </cell>
          <cell r="I134" t="str">
            <v>–</v>
          </cell>
          <cell r="J134" t="str">
            <v>–</v>
          </cell>
          <cell r="K134" t="str">
            <v>–</v>
          </cell>
          <cell r="L134" t="str">
            <v>–</v>
          </cell>
          <cell r="M134" t="str">
            <v>–</v>
          </cell>
          <cell r="N134" t="str">
            <v>–</v>
          </cell>
          <cell r="O134" t="str">
            <v>–</v>
          </cell>
          <cell r="P134">
            <v>2</v>
          </cell>
          <cell r="Q134" t="str">
            <v>–</v>
          </cell>
          <cell r="R134" t="str">
            <v>–</v>
          </cell>
          <cell r="S134" t="str">
            <v>–</v>
          </cell>
          <cell r="T134" t="str">
            <v>–</v>
          </cell>
          <cell r="U134" t="str">
            <v>–</v>
          </cell>
          <cell r="V134" t="str">
            <v>–</v>
          </cell>
          <cell r="W134">
            <v>0.375</v>
          </cell>
          <cell r="X134" t="str">
            <v>–</v>
          </cell>
          <cell r="Y134" t="str">
            <v>–</v>
          </cell>
          <cell r="Z134">
            <v>0.625</v>
          </cell>
          <cell r="AA134">
            <v>0.625</v>
          </cell>
          <cell r="AB134" t="str">
            <v>–</v>
          </cell>
          <cell r="AC134">
            <v>0.63200000000000001</v>
          </cell>
          <cell r="AD134">
            <v>0.63200000000000001</v>
          </cell>
          <cell r="AE134" t="str">
            <v>–</v>
          </cell>
          <cell r="AF134">
            <v>0.34300000000000003</v>
          </cell>
          <cell r="AG134">
            <v>0.34300000000000003</v>
          </cell>
          <cell r="AH134" t="str">
            <v>–</v>
          </cell>
          <cell r="AI134">
            <v>5.33</v>
          </cell>
          <cell r="AJ134" t="str">
            <v>–</v>
          </cell>
          <cell r="AK134" t="str">
            <v>–</v>
          </cell>
          <cell r="AL134" t="str">
            <v>–</v>
          </cell>
          <cell r="AM134" t="str">
            <v>–</v>
          </cell>
          <cell r="AN134">
            <v>0.47599999999999998</v>
          </cell>
          <cell r="AO134">
            <v>0.629</v>
          </cell>
          <cell r="AP134">
            <v>0.34799999999999998</v>
          </cell>
          <cell r="AQ134">
            <v>0.59099999999999997</v>
          </cell>
          <cell r="AR134">
            <v>0.47599999999999998</v>
          </cell>
          <cell r="AS134">
            <v>0.629</v>
          </cell>
          <cell r="AT134">
            <v>0.34799999999999998</v>
          </cell>
          <cell r="AU134">
            <v>0.59099999999999997</v>
          </cell>
          <cell r="AV134">
            <v>0.20300000000000001</v>
          </cell>
        </row>
        <row r="135">
          <cell r="C135" t="str">
            <v>L2X2X5/16</v>
          </cell>
          <cell r="D135" t="str">
            <v>F</v>
          </cell>
          <cell r="E135">
            <v>3.92</v>
          </cell>
          <cell r="F135">
            <v>1.1599999999999999</v>
          </cell>
          <cell r="G135" t="str">
            <v>L2X2X5/16</v>
          </cell>
          <cell r="H135">
            <v>2</v>
          </cell>
          <cell r="I135" t="str">
            <v>–</v>
          </cell>
          <cell r="J135" t="str">
            <v>–</v>
          </cell>
          <cell r="K135" t="str">
            <v>–</v>
          </cell>
          <cell r="L135" t="str">
            <v>–</v>
          </cell>
          <cell r="M135" t="str">
            <v>–</v>
          </cell>
          <cell r="N135" t="str">
            <v>–</v>
          </cell>
          <cell r="O135" t="str">
            <v>–</v>
          </cell>
          <cell r="P135">
            <v>2</v>
          </cell>
          <cell r="Q135" t="str">
            <v>–</v>
          </cell>
          <cell r="R135" t="str">
            <v>–</v>
          </cell>
          <cell r="S135" t="str">
            <v>–</v>
          </cell>
          <cell r="T135" t="str">
            <v>–</v>
          </cell>
          <cell r="U135" t="str">
            <v>–</v>
          </cell>
          <cell r="V135" t="str">
            <v>–</v>
          </cell>
          <cell r="W135">
            <v>0.313</v>
          </cell>
          <cell r="X135" t="str">
            <v>–</v>
          </cell>
          <cell r="Y135" t="str">
            <v>–</v>
          </cell>
          <cell r="Z135">
            <v>0.56299999999999994</v>
          </cell>
          <cell r="AA135">
            <v>0.5625</v>
          </cell>
          <cell r="AB135" t="str">
            <v>–</v>
          </cell>
          <cell r="AC135">
            <v>0.60899999999999999</v>
          </cell>
          <cell r="AD135">
            <v>0.60899999999999999</v>
          </cell>
          <cell r="AE135" t="str">
            <v>–</v>
          </cell>
          <cell r="AF135">
            <v>0.28999999999999998</v>
          </cell>
          <cell r="AG135">
            <v>0.28999999999999998</v>
          </cell>
          <cell r="AH135" t="str">
            <v>–</v>
          </cell>
          <cell r="AI135">
            <v>6.39</v>
          </cell>
          <cell r="AJ135" t="str">
            <v>–</v>
          </cell>
          <cell r="AK135" t="str">
            <v>–</v>
          </cell>
          <cell r="AL135" t="str">
            <v>–</v>
          </cell>
          <cell r="AM135" t="str">
            <v>–</v>
          </cell>
          <cell r="AN135">
            <v>0.41399999999999998</v>
          </cell>
          <cell r="AO135">
            <v>0.53700000000000003</v>
          </cell>
          <cell r="AP135">
            <v>0.29799999999999999</v>
          </cell>
          <cell r="AQ135">
            <v>0.59799999999999998</v>
          </cell>
          <cell r="AR135">
            <v>0.41399999999999998</v>
          </cell>
          <cell r="AS135">
            <v>0.53700000000000003</v>
          </cell>
          <cell r="AT135">
            <v>0.29799999999999999</v>
          </cell>
          <cell r="AU135">
            <v>0.59799999999999998</v>
          </cell>
          <cell r="AV135">
            <v>0.17199999999999999</v>
          </cell>
        </row>
        <row r="136">
          <cell r="C136" t="str">
            <v>L2X2X1/4</v>
          </cell>
          <cell r="D136" t="str">
            <v>F</v>
          </cell>
          <cell r="E136">
            <v>3.19</v>
          </cell>
          <cell r="F136">
            <v>0.94399999999999995</v>
          </cell>
          <cell r="G136" t="str">
            <v>L2X2X1/4</v>
          </cell>
          <cell r="H136">
            <v>2</v>
          </cell>
          <cell r="I136" t="str">
            <v>–</v>
          </cell>
          <cell r="J136" t="str">
            <v>–</v>
          </cell>
          <cell r="K136" t="str">
            <v>–</v>
          </cell>
          <cell r="L136" t="str">
            <v>–</v>
          </cell>
          <cell r="M136" t="str">
            <v>–</v>
          </cell>
          <cell r="N136" t="str">
            <v>–</v>
          </cell>
          <cell r="O136" t="str">
            <v>–</v>
          </cell>
          <cell r="P136">
            <v>2</v>
          </cell>
          <cell r="Q136" t="str">
            <v>–</v>
          </cell>
          <cell r="R136" t="str">
            <v>–</v>
          </cell>
          <cell r="S136" t="str">
            <v>–</v>
          </cell>
          <cell r="T136" t="str">
            <v>–</v>
          </cell>
          <cell r="U136" t="str">
            <v>–</v>
          </cell>
          <cell r="V136" t="str">
            <v>–</v>
          </cell>
          <cell r="W136">
            <v>0.25</v>
          </cell>
          <cell r="X136" t="str">
            <v>–</v>
          </cell>
          <cell r="Y136" t="str">
            <v>–</v>
          </cell>
          <cell r="Z136">
            <v>0.5</v>
          </cell>
          <cell r="AA136">
            <v>0.5</v>
          </cell>
          <cell r="AB136" t="str">
            <v>–</v>
          </cell>
          <cell r="AC136">
            <v>0.58599999999999997</v>
          </cell>
          <cell r="AD136">
            <v>0.58599999999999997</v>
          </cell>
          <cell r="AE136" t="str">
            <v>–</v>
          </cell>
          <cell r="AF136">
            <v>0.23599999999999999</v>
          </cell>
          <cell r="AG136">
            <v>0.23599999999999999</v>
          </cell>
          <cell r="AH136" t="str">
            <v>–</v>
          </cell>
          <cell r="AI136">
            <v>8</v>
          </cell>
          <cell r="AJ136" t="str">
            <v>–</v>
          </cell>
          <cell r="AK136" t="str">
            <v>–</v>
          </cell>
          <cell r="AL136" t="str">
            <v>–</v>
          </cell>
          <cell r="AM136" t="str">
            <v>–</v>
          </cell>
          <cell r="AN136">
            <v>0.34599999999999997</v>
          </cell>
          <cell r="AO136">
            <v>0.44</v>
          </cell>
          <cell r="AP136">
            <v>0.24399999999999999</v>
          </cell>
          <cell r="AQ136">
            <v>0.60499999999999998</v>
          </cell>
          <cell r="AR136">
            <v>0.34599999999999997</v>
          </cell>
          <cell r="AS136">
            <v>0.44</v>
          </cell>
          <cell r="AT136">
            <v>0.24399999999999999</v>
          </cell>
          <cell r="AU136">
            <v>0.60499999999999998</v>
          </cell>
          <cell r="AV136">
            <v>0.14199999999999999</v>
          </cell>
        </row>
        <row r="137">
          <cell r="C137" t="str">
            <v>L2X2X3/16</v>
          </cell>
          <cell r="D137" t="str">
            <v>F</v>
          </cell>
          <cell r="E137">
            <v>2.44</v>
          </cell>
          <cell r="F137">
            <v>0.72199999999999998</v>
          </cell>
          <cell r="G137" t="str">
            <v>L2X2X3/16</v>
          </cell>
          <cell r="H137">
            <v>2</v>
          </cell>
          <cell r="I137" t="str">
            <v>–</v>
          </cell>
          <cell r="J137" t="str">
            <v>–</v>
          </cell>
          <cell r="K137" t="str">
            <v>–</v>
          </cell>
          <cell r="L137" t="str">
            <v>–</v>
          </cell>
          <cell r="M137" t="str">
            <v>–</v>
          </cell>
          <cell r="N137" t="str">
            <v>–</v>
          </cell>
          <cell r="O137" t="str">
            <v>–</v>
          </cell>
          <cell r="P137">
            <v>2</v>
          </cell>
          <cell r="Q137" t="str">
            <v>–</v>
          </cell>
          <cell r="R137" t="str">
            <v>–</v>
          </cell>
          <cell r="S137" t="str">
            <v>–</v>
          </cell>
          <cell r="T137" t="str">
            <v>–</v>
          </cell>
          <cell r="U137" t="str">
            <v>–</v>
          </cell>
          <cell r="V137" t="str">
            <v>–</v>
          </cell>
          <cell r="W137">
            <v>0.188</v>
          </cell>
          <cell r="X137" t="str">
            <v>–</v>
          </cell>
          <cell r="Y137" t="str">
            <v>–</v>
          </cell>
          <cell r="Z137">
            <v>0.438</v>
          </cell>
          <cell r="AA137">
            <v>0.4375</v>
          </cell>
          <cell r="AB137" t="str">
            <v>–</v>
          </cell>
          <cell r="AC137">
            <v>0.56100000000000005</v>
          </cell>
          <cell r="AD137">
            <v>0.56100000000000005</v>
          </cell>
          <cell r="AE137" t="str">
            <v>–</v>
          </cell>
          <cell r="AF137">
            <v>0.18099999999999999</v>
          </cell>
          <cell r="AG137">
            <v>0.18099999999999999</v>
          </cell>
          <cell r="AH137" t="str">
            <v>–</v>
          </cell>
          <cell r="AI137">
            <v>10.6</v>
          </cell>
          <cell r="AJ137" t="str">
            <v>–</v>
          </cell>
          <cell r="AK137" t="str">
            <v>–</v>
          </cell>
          <cell r="AL137" t="str">
            <v>–</v>
          </cell>
          <cell r="AM137" t="str">
            <v>–</v>
          </cell>
          <cell r="AN137">
            <v>0.27100000000000002</v>
          </cell>
          <cell r="AO137">
            <v>0.33800000000000002</v>
          </cell>
          <cell r="AP137">
            <v>0.188</v>
          </cell>
          <cell r="AQ137">
            <v>0.61199999999999999</v>
          </cell>
          <cell r="AR137">
            <v>0.27100000000000002</v>
          </cell>
          <cell r="AS137">
            <v>0.33800000000000002</v>
          </cell>
          <cell r="AT137">
            <v>0.188</v>
          </cell>
          <cell r="AU137">
            <v>0.61199999999999999</v>
          </cell>
          <cell r="AV137">
            <v>0.109</v>
          </cell>
        </row>
        <row r="138">
          <cell r="C138" t="str">
            <v>L2X2X1/8</v>
          </cell>
          <cell r="D138" t="str">
            <v>F</v>
          </cell>
          <cell r="E138">
            <v>1.65</v>
          </cell>
          <cell r="F138">
            <v>0.49099999999999999</v>
          </cell>
          <cell r="G138" t="str">
            <v>L2X2X1/8</v>
          </cell>
          <cell r="H138">
            <v>2</v>
          </cell>
          <cell r="I138" t="str">
            <v>–</v>
          </cell>
          <cell r="J138" t="str">
            <v>–</v>
          </cell>
          <cell r="K138" t="str">
            <v>–</v>
          </cell>
          <cell r="L138" t="str">
            <v>–</v>
          </cell>
          <cell r="M138" t="str">
            <v>–</v>
          </cell>
          <cell r="N138" t="str">
            <v>–</v>
          </cell>
          <cell r="O138" t="str">
            <v>–</v>
          </cell>
          <cell r="P138">
            <v>2</v>
          </cell>
          <cell r="Q138" t="str">
            <v>–</v>
          </cell>
          <cell r="R138" t="str">
            <v>–</v>
          </cell>
          <cell r="S138" t="str">
            <v>–</v>
          </cell>
          <cell r="T138" t="str">
            <v>–</v>
          </cell>
          <cell r="U138" t="str">
            <v>–</v>
          </cell>
          <cell r="V138" t="str">
            <v>–</v>
          </cell>
          <cell r="W138">
            <v>0.125</v>
          </cell>
          <cell r="X138" t="str">
            <v>–</v>
          </cell>
          <cell r="Y138" t="str">
            <v>–</v>
          </cell>
          <cell r="Z138">
            <v>0.375</v>
          </cell>
          <cell r="AA138">
            <v>0.375</v>
          </cell>
          <cell r="AB138" t="str">
            <v>–</v>
          </cell>
          <cell r="AC138">
            <v>0.53400000000000003</v>
          </cell>
          <cell r="AD138">
            <v>0.53400000000000003</v>
          </cell>
          <cell r="AE138" t="str">
            <v>–</v>
          </cell>
          <cell r="AF138">
            <v>0.123</v>
          </cell>
          <cell r="AG138">
            <v>0.123</v>
          </cell>
          <cell r="AH138" t="str">
            <v>–</v>
          </cell>
          <cell r="AI138">
            <v>16</v>
          </cell>
          <cell r="AJ138" t="str">
            <v>–</v>
          </cell>
          <cell r="AK138" t="str">
            <v>–</v>
          </cell>
          <cell r="AL138" t="str">
            <v>–</v>
          </cell>
          <cell r="AM138" t="str">
            <v>–</v>
          </cell>
          <cell r="AN138">
            <v>0.189</v>
          </cell>
          <cell r="AO138">
            <v>0.23</v>
          </cell>
          <cell r="AP138">
            <v>0.129</v>
          </cell>
          <cell r="AQ138">
            <v>0.62</v>
          </cell>
          <cell r="AR138">
            <v>0.189</v>
          </cell>
          <cell r="AS138">
            <v>0.23</v>
          </cell>
          <cell r="AT138">
            <v>0.129</v>
          </cell>
          <cell r="AU138">
            <v>0.62</v>
          </cell>
          <cell r="AV138">
            <v>7.5600000000000001E-2</v>
          </cell>
        </row>
        <row r="139">
          <cell r="C139" t="str">
            <v>WT22X167.5</v>
          </cell>
          <cell r="D139" t="str">
            <v>F</v>
          </cell>
          <cell r="E139">
            <v>167.5</v>
          </cell>
          <cell r="F139">
            <v>49.2</v>
          </cell>
          <cell r="G139" t="str">
            <v>WT22X167.5</v>
          </cell>
          <cell r="H139">
            <v>22</v>
          </cell>
          <cell r="I139">
            <v>22</v>
          </cell>
          <cell r="J139" t="str">
            <v>–</v>
          </cell>
          <cell r="K139" t="str">
            <v>–</v>
          </cell>
          <cell r="L139" t="str">
            <v>–</v>
          </cell>
          <cell r="M139">
            <v>15.9</v>
          </cell>
          <cell r="N139">
            <v>16</v>
          </cell>
          <cell r="O139" t="str">
            <v>–</v>
          </cell>
          <cell r="P139" t="str">
            <v>–</v>
          </cell>
          <cell r="Q139" t="str">
            <v>–</v>
          </cell>
          <cell r="R139">
            <v>1.03</v>
          </cell>
          <cell r="S139">
            <v>1</v>
          </cell>
          <cell r="T139">
            <v>0.5</v>
          </cell>
          <cell r="U139">
            <v>1.77</v>
          </cell>
          <cell r="V139">
            <v>1.75</v>
          </cell>
          <cell r="W139">
            <v>1.77</v>
          </cell>
          <cell r="X139" t="str">
            <v>–</v>
          </cell>
          <cell r="Y139" t="str">
            <v>–</v>
          </cell>
          <cell r="Z139">
            <v>2.56</v>
          </cell>
          <cell r="AA139">
            <v>3</v>
          </cell>
          <cell r="AB139" t="str">
            <v>–</v>
          </cell>
          <cell r="AC139" t="str">
            <v>–</v>
          </cell>
          <cell r="AD139">
            <v>5.53</v>
          </cell>
          <cell r="AE139" t="str">
            <v>–</v>
          </cell>
          <cell r="AF139" t="str">
            <v>–</v>
          </cell>
          <cell r="AG139">
            <v>1.54</v>
          </cell>
          <cell r="AH139">
            <v>4.5</v>
          </cell>
          <cell r="AI139" t="str">
            <v>–</v>
          </cell>
          <cell r="AJ139" t="str">
            <v>–</v>
          </cell>
          <cell r="AK139" t="str">
            <v>–</v>
          </cell>
          <cell r="AL139" t="str">
            <v>–</v>
          </cell>
          <cell r="AM139">
            <v>21.4</v>
          </cell>
          <cell r="AN139">
            <v>2170</v>
          </cell>
        </row>
        <row r="140">
          <cell r="C140" t="str">
            <v>WT22X145</v>
          </cell>
          <cell r="D140" t="str">
            <v>F</v>
          </cell>
          <cell r="E140">
            <v>145</v>
          </cell>
          <cell r="F140">
            <v>42.6</v>
          </cell>
          <cell r="G140" t="str">
            <v>WT22X145</v>
          </cell>
          <cell r="H140">
            <v>21.8</v>
          </cell>
          <cell r="I140">
            <v>21.75</v>
          </cell>
          <cell r="J140" t="str">
            <v>–</v>
          </cell>
          <cell r="K140" t="str">
            <v>–</v>
          </cell>
          <cell r="L140" t="str">
            <v>–</v>
          </cell>
          <cell r="M140">
            <v>15.8</v>
          </cell>
          <cell r="N140">
            <v>15.875</v>
          </cell>
          <cell r="O140" t="str">
            <v>–</v>
          </cell>
          <cell r="P140" t="str">
            <v>–</v>
          </cell>
          <cell r="Q140" t="str">
            <v>–</v>
          </cell>
          <cell r="R140">
            <v>0.86499999999999999</v>
          </cell>
          <cell r="S140">
            <v>0.875</v>
          </cell>
          <cell r="T140">
            <v>0.4375</v>
          </cell>
          <cell r="U140">
            <v>1.58</v>
          </cell>
          <cell r="V140">
            <v>1.5625</v>
          </cell>
          <cell r="W140">
            <v>1.58</v>
          </cell>
          <cell r="X140" t="str">
            <v>–</v>
          </cell>
          <cell r="Y140" t="str">
            <v>–</v>
          </cell>
          <cell r="Z140">
            <v>2.36</v>
          </cell>
          <cell r="AA140">
            <v>2.8125</v>
          </cell>
          <cell r="AB140" t="str">
            <v>–</v>
          </cell>
          <cell r="AC140" t="str">
            <v>–</v>
          </cell>
          <cell r="AD140">
            <v>5.26</v>
          </cell>
          <cell r="AE140" t="str">
            <v>–</v>
          </cell>
          <cell r="AF140" t="str">
            <v>–</v>
          </cell>
          <cell r="AG140">
            <v>1.35</v>
          </cell>
          <cell r="AH140">
            <v>5.0199999999999996</v>
          </cell>
          <cell r="AI140" t="str">
            <v>–</v>
          </cell>
          <cell r="AJ140" t="str">
            <v>–</v>
          </cell>
          <cell r="AK140" t="str">
            <v>–</v>
          </cell>
          <cell r="AL140" t="str">
            <v>–</v>
          </cell>
          <cell r="AM140">
            <v>25.2</v>
          </cell>
          <cell r="AN140">
            <v>1830</v>
          </cell>
        </row>
        <row r="141">
          <cell r="C141" t="str">
            <v>WT22X131</v>
          </cell>
          <cell r="D141" t="str">
            <v>F</v>
          </cell>
          <cell r="E141">
            <v>131</v>
          </cell>
          <cell r="F141">
            <v>38.5</v>
          </cell>
          <cell r="G141" t="str">
            <v>WT22X131</v>
          </cell>
          <cell r="H141">
            <v>21.7</v>
          </cell>
          <cell r="I141">
            <v>21.625</v>
          </cell>
          <cell r="J141" t="str">
            <v>–</v>
          </cell>
          <cell r="K141" t="str">
            <v>–</v>
          </cell>
          <cell r="L141" t="str">
            <v>–</v>
          </cell>
          <cell r="M141">
            <v>15.8</v>
          </cell>
          <cell r="N141">
            <v>15.75</v>
          </cell>
          <cell r="O141" t="str">
            <v>–</v>
          </cell>
          <cell r="P141" t="str">
            <v>–</v>
          </cell>
          <cell r="Q141" t="str">
            <v>–</v>
          </cell>
          <cell r="R141">
            <v>0.78500000000000003</v>
          </cell>
          <cell r="S141">
            <v>0.8125</v>
          </cell>
          <cell r="T141">
            <v>0.4375</v>
          </cell>
          <cell r="U141">
            <v>1.42</v>
          </cell>
          <cell r="V141">
            <v>1.4375</v>
          </cell>
          <cell r="W141">
            <v>1.42</v>
          </cell>
          <cell r="X141" t="str">
            <v>–</v>
          </cell>
          <cell r="Y141" t="str">
            <v>–</v>
          </cell>
          <cell r="Z141">
            <v>2.2000000000000002</v>
          </cell>
          <cell r="AA141">
            <v>2.625</v>
          </cell>
          <cell r="AB141" t="str">
            <v>–</v>
          </cell>
          <cell r="AC141" t="str">
            <v>–</v>
          </cell>
          <cell r="AD141">
            <v>5.19</v>
          </cell>
          <cell r="AE141" t="str">
            <v>–</v>
          </cell>
          <cell r="AF141" t="str">
            <v>–</v>
          </cell>
          <cell r="AG141">
            <v>1.22</v>
          </cell>
          <cell r="AH141">
            <v>5.57</v>
          </cell>
          <cell r="AI141" t="str">
            <v>–</v>
          </cell>
          <cell r="AJ141" t="str">
            <v>–</v>
          </cell>
          <cell r="AK141" t="str">
            <v>–</v>
          </cell>
          <cell r="AL141" t="str">
            <v>–</v>
          </cell>
          <cell r="AM141">
            <v>27.6</v>
          </cell>
          <cell r="AN141">
            <v>1640</v>
          </cell>
        </row>
        <row r="142">
          <cell r="C142" t="str">
            <v>WT22X115</v>
          </cell>
          <cell r="D142" t="str">
            <v>F</v>
          </cell>
          <cell r="E142">
            <v>115</v>
          </cell>
          <cell r="F142">
            <v>33.9</v>
          </cell>
          <cell r="G142" t="str">
            <v>WT22X115</v>
          </cell>
          <cell r="H142">
            <v>21.5</v>
          </cell>
          <cell r="I142">
            <v>21.5</v>
          </cell>
          <cell r="J142" t="str">
            <v>–</v>
          </cell>
          <cell r="K142" t="str">
            <v>–</v>
          </cell>
          <cell r="L142" t="str">
            <v>–</v>
          </cell>
          <cell r="M142">
            <v>15.8</v>
          </cell>
          <cell r="N142">
            <v>15.75</v>
          </cell>
          <cell r="O142" t="str">
            <v>–</v>
          </cell>
          <cell r="P142" t="str">
            <v>–</v>
          </cell>
          <cell r="Q142" t="str">
            <v>–</v>
          </cell>
          <cell r="R142">
            <v>0.71</v>
          </cell>
          <cell r="S142">
            <v>0.6875</v>
          </cell>
          <cell r="T142">
            <v>0.375</v>
          </cell>
          <cell r="U142">
            <v>1.22</v>
          </cell>
          <cell r="V142">
            <v>1.25</v>
          </cell>
          <cell r="W142">
            <v>1.22</v>
          </cell>
          <cell r="X142" t="str">
            <v>–</v>
          </cell>
          <cell r="Y142" t="str">
            <v>–</v>
          </cell>
          <cell r="Z142">
            <v>2.0099999999999998</v>
          </cell>
          <cell r="AA142">
            <v>2.4375</v>
          </cell>
          <cell r="AB142" t="str">
            <v>–</v>
          </cell>
          <cell r="AC142" t="str">
            <v>–</v>
          </cell>
          <cell r="AD142">
            <v>5.17</v>
          </cell>
          <cell r="AE142" t="str">
            <v>–</v>
          </cell>
          <cell r="AF142" t="str">
            <v>–</v>
          </cell>
          <cell r="AG142">
            <v>1.07</v>
          </cell>
          <cell r="AH142">
            <v>6.45</v>
          </cell>
          <cell r="AI142" t="str">
            <v>–</v>
          </cell>
          <cell r="AJ142" t="str">
            <v>–</v>
          </cell>
          <cell r="AK142" t="str">
            <v>–</v>
          </cell>
          <cell r="AL142" t="str">
            <v>–</v>
          </cell>
          <cell r="AM142">
            <v>30.3</v>
          </cell>
          <cell r="AN142">
            <v>1440</v>
          </cell>
        </row>
        <row r="143">
          <cell r="C143" t="str">
            <v>WT20X327.5</v>
          </cell>
          <cell r="D143" t="str">
            <v>T</v>
          </cell>
          <cell r="E143">
            <v>327.5</v>
          </cell>
          <cell r="F143">
            <v>96.4</v>
          </cell>
          <cell r="G143" t="str">
            <v>WT20X327.5</v>
          </cell>
          <cell r="H143">
            <v>21.8</v>
          </cell>
          <cell r="I143">
            <v>21.75</v>
          </cell>
          <cell r="J143" t="str">
            <v>–</v>
          </cell>
          <cell r="K143" t="str">
            <v>–</v>
          </cell>
          <cell r="L143" t="str">
            <v>–</v>
          </cell>
          <cell r="M143">
            <v>16.899999999999999</v>
          </cell>
          <cell r="N143">
            <v>16.875</v>
          </cell>
          <cell r="O143" t="str">
            <v>–</v>
          </cell>
          <cell r="P143" t="str">
            <v>–</v>
          </cell>
          <cell r="Q143" t="str">
            <v>–</v>
          </cell>
          <cell r="R143">
            <v>1.97</v>
          </cell>
          <cell r="S143">
            <v>2</v>
          </cell>
          <cell r="T143">
            <v>1</v>
          </cell>
          <cell r="U143">
            <v>3.54</v>
          </cell>
          <cell r="V143">
            <v>3.5625</v>
          </cell>
          <cell r="W143">
            <v>3.54</v>
          </cell>
          <cell r="X143" t="str">
            <v>–</v>
          </cell>
          <cell r="Y143" t="str">
            <v>–</v>
          </cell>
          <cell r="Z143">
            <v>4.72</v>
          </cell>
          <cell r="AA143">
            <v>4.8125</v>
          </cell>
          <cell r="AB143" t="str">
            <v>–</v>
          </cell>
          <cell r="AC143" t="str">
            <v>–</v>
          </cell>
          <cell r="AD143">
            <v>5.85</v>
          </cell>
          <cell r="AE143" t="str">
            <v>–</v>
          </cell>
          <cell r="AF143" t="str">
            <v>–</v>
          </cell>
          <cell r="AG143">
            <v>2.85</v>
          </cell>
          <cell r="AH143">
            <v>2.39</v>
          </cell>
          <cell r="AI143" t="str">
            <v>–</v>
          </cell>
          <cell r="AJ143" t="str">
            <v>–</v>
          </cell>
          <cell r="AK143" t="str">
            <v>–</v>
          </cell>
          <cell r="AL143" t="str">
            <v>–</v>
          </cell>
          <cell r="AM143">
            <v>11.1</v>
          </cell>
          <cell r="AN143">
            <v>3730</v>
          </cell>
        </row>
        <row r="144">
          <cell r="C144" t="str">
            <v>WT20X296.5</v>
          </cell>
          <cell r="D144" t="str">
            <v>T</v>
          </cell>
          <cell r="E144">
            <v>296.5</v>
          </cell>
          <cell r="F144">
            <v>87.2</v>
          </cell>
          <cell r="G144" t="str">
            <v>WT20X296.5</v>
          </cell>
          <cell r="H144">
            <v>21.5</v>
          </cell>
          <cell r="I144">
            <v>21.5</v>
          </cell>
          <cell r="J144" t="str">
            <v>–</v>
          </cell>
          <cell r="K144" t="str">
            <v>–</v>
          </cell>
          <cell r="L144" t="str">
            <v>–</v>
          </cell>
          <cell r="M144">
            <v>16.7</v>
          </cell>
          <cell r="N144">
            <v>16.75</v>
          </cell>
          <cell r="O144" t="str">
            <v>–</v>
          </cell>
          <cell r="P144" t="str">
            <v>–</v>
          </cell>
          <cell r="Q144" t="str">
            <v>–</v>
          </cell>
          <cell r="R144">
            <v>1.79</v>
          </cell>
          <cell r="S144">
            <v>1.8125</v>
          </cell>
          <cell r="T144">
            <v>0.9375</v>
          </cell>
          <cell r="U144">
            <v>3.23</v>
          </cell>
          <cell r="V144">
            <v>3.25</v>
          </cell>
          <cell r="W144">
            <v>3.23</v>
          </cell>
          <cell r="X144" t="str">
            <v>–</v>
          </cell>
          <cell r="Y144" t="str">
            <v>–</v>
          </cell>
          <cell r="Z144">
            <v>4.41</v>
          </cell>
          <cell r="AA144">
            <v>4.5</v>
          </cell>
          <cell r="AB144" t="str">
            <v>–</v>
          </cell>
          <cell r="AC144" t="str">
            <v>–</v>
          </cell>
          <cell r="AD144">
            <v>5.66</v>
          </cell>
          <cell r="AE144" t="str">
            <v>–</v>
          </cell>
          <cell r="AF144" t="str">
            <v>–</v>
          </cell>
          <cell r="AG144">
            <v>2.61</v>
          </cell>
          <cell r="AH144">
            <v>2.58</v>
          </cell>
          <cell r="AI144" t="str">
            <v>–</v>
          </cell>
          <cell r="AJ144" t="str">
            <v>–</v>
          </cell>
          <cell r="AK144" t="str">
            <v>–</v>
          </cell>
          <cell r="AL144" t="str">
            <v>–</v>
          </cell>
          <cell r="AM144">
            <v>12</v>
          </cell>
          <cell r="AN144">
            <v>3310</v>
          </cell>
        </row>
        <row r="145">
          <cell r="C145" t="str">
            <v>WT20X251.5</v>
          </cell>
          <cell r="D145" t="str">
            <v>T</v>
          </cell>
          <cell r="E145">
            <v>251.5</v>
          </cell>
          <cell r="F145">
            <v>74</v>
          </cell>
          <cell r="G145" t="str">
            <v>WT20X251.5</v>
          </cell>
          <cell r="H145">
            <v>21</v>
          </cell>
          <cell r="I145">
            <v>21</v>
          </cell>
          <cell r="J145" t="str">
            <v>–</v>
          </cell>
          <cell r="K145" t="str">
            <v>–</v>
          </cell>
          <cell r="L145" t="str">
            <v>–</v>
          </cell>
          <cell r="M145">
            <v>16.399999999999999</v>
          </cell>
          <cell r="N145">
            <v>16.375</v>
          </cell>
          <cell r="O145" t="str">
            <v>–</v>
          </cell>
          <cell r="P145" t="str">
            <v>–</v>
          </cell>
          <cell r="Q145" t="str">
            <v>–</v>
          </cell>
          <cell r="R145">
            <v>1.54</v>
          </cell>
          <cell r="S145">
            <v>1.5625</v>
          </cell>
          <cell r="T145">
            <v>0.8125</v>
          </cell>
          <cell r="U145">
            <v>2.76</v>
          </cell>
          <cell r="V145">
            <v>2.75</v>
          </cell>
          <cell r="W145">
            <v>2.76</v>
          </cell>
          <cell r="X145" t="str">
            <v>–</v>
          </cell>
          <cell r="Y145" t="str">
            <v>–</v>
          </cell>
          <cell r="Z145">
            <v>3.94</v>
          </cell>
          <cell r="AA145">
            <v>4</v>
          </cell>
          <cell r="AB145" t="str">
            <v>–</v>
          </cell>
          <cell r="AC145" t="str">
            <v>–</v>
          </cell>
          <cell r="AD145">
            <v>5.38</v>
          </cell>
          <cell r="AE145" t="str">
            <v>–</v>
          </cell>
          <cell r="AF145" t="str">
            <v>–</v>
          </cell>
          <cell r="AG145">
            <v>2.25</v>
          </cell>
          <cell r="AH145">
            <v>2.98</v>
          </cell>
          <cell r="AI145" t="str">
            <v>–</v>
          </cell>
          <cell r="AJ145" t="str">
            <v>–</v>
          </cell>
          <cell r="AK145" t="str">
            <v>–</v>
          </cell>
          <cell r="AL145" t="str">
            <v>–</v>
          </cell>
          <cell r="AM145">
            <v>13.6</v>
          </cell>
          <cell r="AN145">
            <v>2730</v>
          </cell>
        </row>
        <row r="146">
          <cell r="C146" t="str">
            <v>WT20X215.5</v>
          </cell>
          <cell r="D146" t="str">
            <v>T</v>
          </cell>
          <cell r="E146">
            <v>215.5</v>
          </cell>
          <cell r="F146">
            <v>63.3</v>
          </cell>
          <cell r="G146" t="str">
            <v>WT20X215.5</v>
          </cell>
          <cell r="H146">
            <v>20.6</v>
          </cell>
          <cell r="I146">
            <v>20.625</v>
          </cell>
          <cell r="J146" t="str">
            <v>–</v>
          </cell>
          <cell r="K146" t="str">
            <v>–</v>
          </cell>
          <cell r="L146" t="str">
            <v>–</v>
          </cell>
          <cell r="M146">
            <v>16.2</v>
          </cell>
          <cell r="N146">
            <v>16.25</v>
          </cell>
          <cell r="O146" t="str">
            <v>–</v>
          </cell>
          <cell r="P146" t="str">
            <v>–</v>
          </cell>
          <cell r="Q146" t="str">
            <v>–</v>
          </cell>
          <cell r="R146">
            <v>1.34</v>
          </cell>
          <cell r="S146">
            <v>1.3125</v>
          </cell>
          <cell r="T146">
            <v>0.6875</v>
          </cell>
          <cell r="U146">
            <v>2.36</v>
          </cell>
          <cell r="V146">
            <v>2.375</v>
          </cell>
          <cell r="W146">
            <v>2.36</v>
          </cell>
          <cell r="X146" t="str">
            <v>–</v>
          </cell>
          <cell r="Y146" t="str">
            <v>–</v>
          </cell>
          <cell r="Z146">
            <v>3.54</v>
          </cell>
          <cell r="AA146">
            <v>3.625</v>
          </cell>
          <cell r="AB146" t="str">
            <v>–</v>
          </cell>
          <cell r="AC146" t="str">
            <v>–</v>
          </cell>
          <cell r="AD146">
            <v>5.18</v>
          </cell>
          <cell r="AE146" t="str">
            <v>–</v>
          </cell>
          <cell r="AF146" t="str">
            <v>–</v>
          </cell>
          <cell r="AG146">
            <v>1.95</v>
          </cell>
          <cell r="AH146">
            <v>3.44</v>
          </cell>
          <cell r="AI146" t="str">
            <v>–</v>
          </cell>
          <cell r="AJ146" t="str">
            <v>–</v>
          </cell>
          <cell r="AK146" t="str">
            <v>–</v>
          </cell>
          <cell r="AL146" t="str">
            <v>–</v>
          </cell>
          <cell r="AM146">
            <v>15.4</v>
          </cell>
          <cell r="AN146">
            <v>2290</v>
          </cell>
        </row>
        <row r="147">
          <cell r="C147" t="str">
            <v>WT20X198.5</v>
          </cell>
          <cell r="D147" t="str">
            <v>T</v>
          </cell>
          <cell r="E147">
            <v>198.5</v>
          </cell>
          <cell r="F147">
            <v>58.3</v>
          </cell>
          <cell r="G147" t="str">
            <v>WT20X198.5</v>
          </cell>
          <cell r="H147">
            <v>20.5</v>
          </cell>
          <cell r="I147">
            <v>20.5</v>
          </cell>
          <cell r="J147" t="str">
            <v>–</v>
          </cell>
          <cell r="K147" t="str">
            <v>–</v>
          </cell>
          <cell r="L147" t="str">
            <v>–</v>
          </cell>
          <cell r="M147">
            <v>16.100000000000001</v>
          </cell>
          <cell r="N147">
            <v>16.125</v>
          </cell>
          <cell r="O147" t="str">
            <v>–</v>
          </cell>
          <cell r="P147" t="str">
            <v>–</v>
          </cell>
          <cell r="Q147" t="str">
            <v>–</v>
          </cell>
          <cell r="R147">
            <v>1.22</v>
          </cell>
          <cell r="S147">
            <v>1.25</v>
          </cell>
          <cell r="T147">
            <v>0.625</v>
          </cell>
          <cell r="U147">
            <v>2.2000000000000002</v>
          </cell>
          <cell r="V147">
            <v>2.1875</v>
          </cell>
          <cell r="W147">
            <v>2.2000000000000002</v>
          </cell>
          <cell r="X147" t="str">
            <v>–</v>
          </cell>
          <cell r="Y147" t="str">
            <v>–</v>
          </cell>
          <cell r="Z147">
            <v>3.38</v>
          </cell>
          <cell r="AA147">
            <v>3.5</v>
          </cell>
          <cell r="AB147" t="str">
            <v>–</v>
          </cell>
          <cell r="AC147" t="str">
            <v>–</v>
          </cell>
          <cell r="AD147">
            <v>5.03</v>
          </cell>
          <cell r="AE147" t="str">
            <v>–</v>
          </cell>
          <cell r="AF147" t="str">
            <v>–</v>
          </cell>
          <cell r="AG147">
            <v>1.81</v>
          </cell>
          <cell r="AH147">
            <v>3.66</v>
          </cell>
          <cell r="AI147" t="str">
            <v>–</v>
          </cell>
          <cell r="AJ147" t="str">
            <v>–</v>
          </cell>
          <cell r="AK147" t="str">
            <v>–</v>
          </cell>
          <cell r="AL147" t="str">
            <v>–</v>
          </cell>
          <cell r="AM147">
            <v>16.8</v>
          </cell>
          <cell r="AN147">
            <v>2070</v>
          </cell>
        </row>
        <row r="148">
          <cell r="C148" t="str">
            <v>WT20X186</v>
          </cell>
          <cell r="D148" t="str">
            <v>T</v>
          </cell>
          <cell r="E148">
            <v>186</v>
          </cell>
          <cell r="F148">
            <v>54.7</v>
          </cell>
          <cell r="G148" t="str">
            <v>WT20X186</v>
          </cell>
          <cell r="H148">
            <v>20.3</v>
          </cell>
          <cell r="I148">
            <v>20.375</v>
          </cell>
          <cell r="J148" t="str">
            <v>–</v>
          </cell>
          <cell r="K148" t="str">
            <v>–</v>
          </cell>
          <cell r="L148" t="str">
            <v>–</v>
          </cell>
          <cell r="M148">
            <v>16.100000000000001</v>
          </cell>
          <cell r="N148">
            <v>16.125</v>
          </cell>
          <cell r="O148" t="str">
            <v>–</v>
          </cell>
          <cell r="P148" t="str">
            <v>–</v>
          </cell>
          <cell r="Q148" t="str">
            <v>–</v>
          </cell>
          <cell r="R148">
            <v>1.1599999999999999</v>
          </cell>
          <cell r="S148">
            <v>1.1875</v>
          </cell>
          <cell r="T148">
            <v>0.625</v>
          </cell>
          <cell r="U148">
            <v>2.0499999999999998</v>
          </cell>
          <cell r="V148">
            <v>2.0625</v>
          </cell>
          <cell r="W148">
            <v>2.0499999999999998</v>
          </cell>
          <cell r="X148" t="str">
            <v>–</v>
          </cell>
          <cell r="Y148" t="str">
            <v>–</v>
          </cell>
          <cell r="Z148">
            <v>3.23</v>
          </cell>
          <cell r="AA148">
            <v>3.3125</v>
          </cell>
          <cell r="AB148" t="str">
            <v>–</v>
          </cell>
          <cell r="AC148" t="str">
            <v>–</v>
          </cell>
          <cell r="AD148">
            <v>4.9800000000000004</v>
          </cell>
          <cell r="AE148" t="str">
            <v>–</v>
          </cell>
          <cell r="AF148" t="str">
            <v>–</v>
          </cell>
          <cell r="AG148">
            <v>1.7</v>
          </cell>
          <cell r="AH148">
            <v>3.93</v>
          </cell>
          <cell r="AI148" t="str">
            <v>–</v>
          </cell>
          <cell r="AJ148" t="str">
            <v>–</v>
          </cell>
          <cell r="AK148" t="str">
            <v>–</v>
          </cell>
          <cell r="AL148" t="str">
            <v>–</v>
          </cell>
          <cell r="AM148">
            <v>17.5</v>
          </cell>
          <cell r="AN148">
            <v>1930</v>
          </cell>
        </row>
        <row r="149">
          <cell r="C149" t="str">
            <v>WT20X181</v>
          </cell>
          <cell r="D149" t="str">
            <v>T</v>
          </cell>
          <cell r="E149">
            <v>181</v>
          </cell>
          <cell r="F149">
            <v>53.2</v>
          </cell>
          <cell r="G149" t="str">
            <v>WT20X181</v>
          </cell>
          <cell r="H149">
            <v>20.3</v>
          </cell>
          <cell r="I149">
            <v>20.25</v>
          </cell>
          <cell r="J149" t="str">
            <v>–</v>
          </cell>
          <cell r="K149" t="str">
            <v>–</v>
          </cell>
          <cell r="L149" t="str">
            <v>–</v>
          </cell>
          <cell r="M149">
            <v>16</v>
          </cell>
          <cell r="N149">
            <v>16</v>
          </cell>
          <cell r="O149" t="str">
            <v>–</v>
          </cell>
          <cell r="P149" t="str">
            <v>–</v>
          </cell>
          <cell r="Q149" t="str">
            <v>–</v>
          </cell>
          <cell r="R149">
            <v>1.1200000000000001</v>
          </cell>
          <cell r="S149">
            <v>1.125</v>
          </cell>
          <cell r="T149">
            <v>0.5625</v>
          </cell>
          <cell r="U149">
            <v>2.0099999999999998</v>
          </cell>
          <cell r="V149">
            <v>2</v>
          </cell>
          <cell r="W149">
            <v>2.0099999999999998</v>
          </cell>
          <cell r="X149" t="str">
            <v>–</v>
          </cell>
          <cell r="Y149" t="str">
            <v>–</v>
          </cell>
          <cell r="Z149">
            <v>3.19</v>
          </cell>
          <cell r="AA149">
            <v>3.25</v>
          </cell>
          <cell r="AB149" t="str">
            <v>–</v>
          </cell>
          <cell r="AC149" t="str">
            <v>–</v>
          </cell>
          <cell r="AD149">
            <v>4.91</v>
          </cell>
          <cell r="AE149" t="str">
            <v>–</v>
          </cell>
          <cell r="AF149" t="str">
            <v>–</v>
          </cell>
          <cell r="AG149">
            <v>1.66</v>
          </cell>
          <cell r="AH149">
            <v>3.99</v>
          </cell>
          <cell r="AI149" t="str">
            <v>–</v>
          </cell>
          <cell r="AJ149" t="str">
            <v>–</v>
          </cell>
          <cell r="AK149" t="str">
            <v>–</v>
          </cell>
          <cell r="AL149" t="str">
            <v>–</v>
          </cell>
          <cell r="AM149">
            <v>18.100000000000001</v>
          </cell>
          <cell r="AN149">
            <v>1870</v>
          </cell>
        </row>
        <row r="150">
          <cell r="C150" t="str">
            <v>WT20X162</v>
          </cell>
          <cell r="D150" t="str">
            <v>F</v>
          </cell>
          <cell r="E150">
            <v>162</v>
          </cell>
          <cell r="F150">
            <v>47.7</v>
          </cell>
          <cell r="G150" t="str">
            <v>WT20X162</v>
          </cell>
          <cell r="H150">
            <v>20.100000000000001</v>
          </cell>
          <cell r="I150">
            <v>20.125</v>
          </cell>
          <cell r="J150" t="str">
            <v>–</v>
          </cell>
          <cell r="K150" t="str">
            <v>–</v>
          </cell>
          <cell r="L150" t="str">
            <v>–</v>
          </cell>
          <cell r="M150">
            <v>15.9</v>
          </cell>
          <cell r="N150">
            <v>15.875</v>
          </cell>
          <cell r="O150" t="str">
            <v>–</v>
          </cell>
          <cell r="P150" t="str">
            <v>–</v>
          </cell>
          <cell r="Q150" t="str">
            <v>–</v>
          </cell>
          <cell r="R150">
            <v>1</v>
          </cell>
          <cell r="S150">
            <v>1</v>
          </cell>
          <cell r="T150">
            <v>0.5</v>
          </cell>
          <cell r="U150">
            <v>1.81</v>
          </cell>
          <cell r="V150">
            <v>1.8125</v>
          </cell>
          <cell r="W150">
            <v>1.81</v>
          </cell>
          <cell r="X150" t="str">
            <v>–</v>
          </cell>
          <cell r="Y150" t="str">
            <v>–</v>
          </cell>
          <cell r="Z150">
            <v>2.99</v>
          </cell>
          <cell r="AA150">
            <v>3.0625</v>
          </cell>
          <cell r="AB150" t="str">
            <v>–</v>
          </cell>
          <cell r="AC150" t="str">
            <v>–</v>
          </cell>
          <cell r="AD150">
            <v>4.7699999999999996</v>
          </cell>
          <cell r="AE150" t="str">
            <v>–</v>
          </cell>
          <cell r="AF150" t="str">
            <v>–</v>
          </cell>
          <cell r="AG150">
            <v>1.5</v>
          </cell>
          <cell r="AH150">
            <v>4.4000000000000004</v>
          </cell>
          <cell r="AI150" t="str">
            <v>–</v>
          </cell>
          <cell r="AJ150" t="str">
            <v>–</v>
          </cell>
          <cell r="AK150" t="str">
            <v>–</v>
          </cell>
          <cell r="AL150" t="str">
            <v>–</v>
          </cell>
          <cell r="AM150">
            <v>20.100000000000001</v>
          </cell>
          <cell r="AN150">
            <v>1650</v>
          </cell>
        </row>
        <row r="151">
          <cell r="C151" t="str">
            <v>WT20X148.5</v>
          </cell>
          <cell r="D151" t="str">
            <v>F</v>
          </cell>
          <cell r="E151">
            <v>148.5</v>
          </cell>
          <cell r="F151">
            <v>43.6</v>
          </cell>
          <cell r="G151" t="str">
            <v>WT20X148.5</v>
          </cell>
          <cell r="H151">
            <v>19.899999999999999</v>
          </cell>
          <cell r="I151">
            <v>19.875</v>
          </cell>
          <cell r="J151" t="str">
            <v>–</v>
          </cell>
          <cell r="K151" t="str">
            <v>–</v>
          </cell>
          <cell r="L151" t="str">
            <v>–</v>
          </cell>
          <cell r="M151">
            <v>15.8</v>
          </cell>
          <cell r="N151">
            <v>15.875</v>
          </cell>
          <cell r="O151" t="str">
            <v>–</v>
          </cell>
          <cell r="P151" t="str">
            <v>–</v>
          </cell>
          <cell r="Q151" t="str">
            <v>–</v>
          </cell>
          <cell r="R151">
            <v>0.93</v>
          </cell>
          <cell r="S151">
            <v>0.9375</v>
          </cell>
          <cell r="T151">
            <v>0.5</v>
          </cell>
          <cell r="U151">
            <v>1.65</v>
          </cell>
          <cell r="V151">
            <v>1.625</v>
          </cell>
          <cell r="W151">
            <v>1.65</v>
          </cell>
          <cell r="X151" t="str">
            <v>–</v>
          </cell>
          <cell r="Y151" t="str">
            <v>–</v>
          </cell>
          <cell r="Z151">
            <v>2.83</v>
          </cell>
          <cell r="AA151">
            <v>2.9375</v>
          </cell>
          <cell r="AB151" t="str">
            <v>–</v>
          </cell>
          <cell r="AC151" t="str">
            <v>–</v>
          </cell>
          <cell r="AD151">
            <v>4.71</v>
          </cell>
          <cell r="AE151" t="str">
            <v>–</v>
          </cell>
          <cell r="AF151" t="str">
            <v>–</v>
          </cell>
          <cell r="AG151">
            <v>1.38</v>
          </cell>
          <cell r="AH151">
            <v>4.8</v>
          </cell>
          <cell r="AI151" t="str">
            <v>–</v>
          </cell>
          <cell r="AJ151" t="str">
            <v>–</v>
          </cell>
          <cell r="AK151" t="str">
            <v>–</v>
          </cell>
          <cell r="AL151" t="str">
            <v>–</v>
          </cell>
          <cell r="AM151">
            <v>21.4</v>
          </cell>
          <cell r="AN151">
            <v>1500</v>
          </cell>
        </row>
        <row r="152">
          <cell r="C152" t="str">
            <v>WT20X138.5</v>
          </cell>
          <cell r="D152" t="str">
            <v>F</v>
          </cell>
          <cell r="E152">
            <v>138.5</v>
          </cell>
          <cell r="F152">
            <v>40.700000000000003</v>
          </cell>
          <cell r="G152" t="str">
            <v>WT20X138.5</v>
          </cell>
          <cell r="H152">
            <v>19.8</v>
          </cell>
          <cell r="I152">
            <v>19.875</v>
          </cell>
          <cell r="J152" t="str">
            <v>–</v>
          </cell>
          <cell r="K152" t="str">
            <v>–</v>
          </cell>
          <cell r="L152" t="str">
            <v>–</v>
          </cell>
          <cell r="M152">
            <v>15.8</v>
          </cell>
          <cell r="N152">
            <v>15.875</v>
          </cell>
          <cell r="O152" t="str">
            <v>–</v>
          </cell>
          <cell r="P152" t="str">
            <v>–</v>
          </cell>
          <cell r="Q152" t="str">
            <v>–</v>
          </cell>
          <cell r="R152">
            <v>0.83</v>
          </cell>
          <cell r="S152">
            <v>0.8125</v>
          </cell>
          <cell r="T152">
            <v>0.4375</v>
          </cell>
          <cell r="U152">
            <v>1.58</v>
          </cell>
          <cell r="V152">
            <v>1.5625</v>
          </cell>
          <cell r="W152">
            <v>1.58</v>
          </cell>
          <cell r="X152" t="str">
            <v>–</v>
          </cell>
          <cell r="Y152" t="str">
            <v>–</v>
          </cell>
          <cell r="Z152">
            <v>2.76</v>
          </cell>
          <cell r="AA152">
            <v>2.875</v>
          </cell>
          <cell r="AB152" t="str">
            <v>–</v>
          </cell>
          <cell r="AC152" t="str">
            <v>–</v>
          </cell>
          <cell r="AD152">
            <v>4.5</v>
          </cell>
          <cell r="AE152" t="str">
            <v>–</v>
          </cell>
          <cell r="AF152" t="str">
            <v>–</v>
          </cell>
          <cell r="AG152">
            <v>1.29</v>
          </cell>
          <cell r="AH152">
            <v>5.03</v>
          </cell>
          <cell r="AI152" t="str">
            <v>–</v>
          </cell>
          <cell r="AJ152" t="str">
            <v>–</v>
          </cell>
          <cell r="AK152" t="str">
            <v>–</v>
          </cell>
          <cell r="AL152" t="str">
            <v>–</v>
          </cell>
          <cell r="AM152">
            <v>23.9</v>
          </cell>
          <cell r="AN152">
            <v>1360</v>
          </cell>
        </row>
        <row r="153">
          <cell r="C153" t="str">
            <v>WT20X124.5</v>
          </cell>
          <cell r="D153" t="str">
            <v>F</v>
          </cell>
          <cell r="E153">
            <v>124.5</v>
          </cell>
          <cell r="F153">
            <v>36.700000000000003</v>
          </cell>
          <cell r="G153" t="str">
            <v>WT20X124.5</v>
          </cell>
          <cell r="H153">
            <v>19.7</v>
          </cell>
          <cell r="I153">
            <v>19.75</v>
          </cell>
          <cell r="J153" t="str">
            <v>–</v>
          </cell>
          <cell r="K153" t="str">
            <v>–</v>
          </cell>
          <cell r="L153" t="str">
            <v>–</v>
          </cell>
          <cell r="M153">
            <v>15.8</v>
          </cell>
          <cell r="N153">
            <v>15.75</v>
          </cell>
          <cell r="O153" t="str">
            <v>–</v>
          </cell>
          <cell r="P153" t="str">
            <v>–</v>
          </cell>
          <cell r="Q153" t="str">
            <v>–</v>
          </cell>
          <cell r="R153">
            <v>0.75</v>
          </cell>
          <cell r="S153">
            <v>0.75</v>
          </cell>
          <cell r="T153">
            <v>0.375</v>
          </cell>
          <cell r="U153">
            <v>1.42</v>
          </cell>
          <cell r="V153">
            <v>1.4375</v>
          </cell>
          <cell r="W153">
            <v>1.42</v>
          </cell>
          <cell r="X153" t="str">
            <v>–</v>
          </cell>
          <cell r="Y153" t="str">
            <v>–</v>
          </cell>
          <cell r="Z153">
            <v>2.6</v>
          </cell>
          <cell r="AA153">
            <v>2.6875</v>
          </cell>
          <cell r="AB153" t="str">
            <v>–</v>
          </cell>
          <cell r="AC153" t="str">
            <v>–</v>
          </cell>
          <cell r="AD153">
            <v>4.41</v>
          </cell>
          <cell r="AE153" t="str">
            <v>–</v>
          </cell>
          <cell r="AF153" t="str">
            <v>–</v>
          </cell>
          <cell r="AG153">
            <v>1.1599999999999999</v>
          </cell>
          <cell r="AH153">
            <v>5.55</v>
          </cell>
          <cell r="AI153" t="str">
            <v>–</v>
          </cell>
          <cell r="AJ153" t="str">
            <v>–</v>
          </cell>
          <cell r="AK153" t="str">
            <v>–</v>
          </cell>
          <cell r="AL153" t="str">
            <v>–</v>
          </cell>
          <cell r="AM153">
            <v>26.3</v>
          </cell>
          <cell r="AN153">
            <v>1210</v>
          </cell>
        </row>
        <row r="154">
          <cell r="C154" t="str">
            <v>WT20X107.5</v>
          </cell>
          <cell r="D154" t="str">
            <v>F</v>
          </cell>
          <cell r="E154">
            <v>107.5</v>
          </cell>
          <cell r="F154">
            <v>31.8</v>
          </cell>
          <cell r="G154" t="str">
            <v>WT20X107.5</v>
          </cell>
          <cell r="H154">
            <v>19.5</v>
          </cell>
          <cell r="I154">
            <v>19.5</v>
          </cell>
          <cell r="J154" t="str">
            <v>–</v>
          </cell>
          <cell r="K154" t="str">
            <v>–</v>
          </cell>
          <cell r="L154" t="str">
            <v>–</v>
          </cell>
          <cell r="M154">
            <v>15.8</v>
          </cell>
          <cell r="N154">
            <v>15.75</v>
          </cell>
          <cell r="O154" t="str">
            <v>–</v>
          </cell>
          <cell r="P154" t="str">
            <v>–</v>
          </cell>
          <cell r="Q154" t="str">
            <v>–</v>
          </cell>
          <cell r="R154">
            <v>0.65</v>
          </cell>
          <cell r="S154">
            <v>0.625</v>
          </cell>
          <cell r="T154">
            <v>0.3125</v>
          </cell>
          <cell r="U154">
            <v>1.22</v>
          </cell>
          <cell r="V154">
            <v>1.25</v>
          </cell>
          <cell r="W154">
            <v>1.22</v>
          </cell>
          <cell r="X154" t="str">
            <v>–</v>
          </cell>
          <cell r="Y154" t="str">
            <v>–</v>
          </cell>
          <cell r="Z154">
            <v>2.4</v>
          </cell>
          <cell r="AA154">
            <v>2.5</v>
          </cell>
          <cell r="AB154" t="str">
            <v>–</v>
          </cell>
          <cell r="AC154" t="str">
            <v>–</v>
          </cell>
          <cell r="AD154">
            <v>4.28</v>
          </cell>
          <cell r="AE154" t="str">
            <v>–</v>
          </cell>
          <cell r="AF154" t="str">
            <v>–</v>
          </cell>
          <cell r="AG154">
            <v>1.01</v>
          </cell>
          <cell r="AH154">
            <v>6.45</v>
          </cell>
          <cell r="AI154" t="str">
            <v>–</v>
          </cell>
          <cell r="AJ154" t="str">
            <v>–</v>
          </cell>
          <cell r="AK154" t="str">
            <v>–</v>
          </cell>
          <cell r="AL154" t="str">
            <v>–</v>
          </cell>
          <cell r="AM154">
            <v>30</v>
          </cell>
          <cell r="AN154">
            <v>1030</v>
          </cell>
        </row>
        <row r="155">
          <cell r="C155" t="str">
            <v>WT20X99.5</v>
          </cell>
          <cell r="D155" t="str">
            <v>F</v>
          </cell>
          <cell r="E155">
            <v>99.5</v>
          </cell>
          <cell r="F155">
            <v>29.2</v>
          </cell>
          <cell r="G155" t="str">
            <v>WT20X99.5</v>
          </cell>
          <cell r="H155">
            <v>19.3</v>
          </cell>
          <cell r="I155">
            <v>19.375</v>
          </cell>
          <cell r="J155" t="str">
            <v>–</v>
          </cell>
          <cell r="K155" t="str">
            <v>–</v>
          </cell>
          <cell r="L155" t="str">
            <v>–</v>
          </cell>
          <cell r="M155">
            <v>15.8</v>
          </cell>
          <cell r="N155">
            <v>15.75</v>
          </cell>
          <cell r="O155" t="str">
            <v>–</v>
          </cell>
          <cell r="P155" t="str">
            <v>–</v>
          </cell>
          <cell r="Q155" t="str">
            <v>–</v>
          </cell>
          <cell r="R155">
            <v>0.65</v>
          </cell>
          <cell r="S155">
            <v>0.625</v>
          </cell>
          <cell r="T155">
            <v>0.3125</v>
          </cell>
          <cell r="U155">
            <v>1.07</v>
          </cell>
          <cell r="V155">
            <v>1.0625</v>
          </cell>
          <cell r="W155">
            <v>1.07</v>
          </cell>
          <cell r="X155" t="str">
            <v>–</v>
          </cell>
          <cell r="Y155" t="str">
            <v>–</v>
          </cell>
          <cell r="Z155">
            <v>2.25</v>
          </cell>
          <cell r="AA155">
            <v>2.3125</v>
          </cell>
          <cell r="AB155" t="str">
            <v>–</v>
          </cell>
          <cell r="AC155" t="str">
            <v>–</v>
          </cell>
          <cell r="AD155">
            <v>4.47</v>
          </cell>
          <cell r="AE155" t="str">
            <v>–</v>
          </cell>
          <cell r="AF155" t="str">
            <v>–</v>
          </cell>
          <cell r="AG155">
            <v>0.92900000000000005</v>
          </cell>
          <cell r="AH155">
            <v>7.39</v>
          </cell>
          <cell r="AI155" t="str">
            <v>–</v>
          </cell>
          <cell r="AJ155" t="str">
            <v>–</v>
          </cell>
          <cell r="AK155" t="str">
            <v>–</v>
          </cell>
          <cell r="AL155" t="str">
            <v>–</v>
          </cell>
          <cell r="AM155">
            <v>29.7</v>
          </cell>
          <cell r="AN155">
            <v>988</v>
          </cell>
        </row>
        <row r="156">
          <cell r="C156" t="str">
            <v>WT20X196</v>
          </cell>
          <cell r="D156" t="str">
            <v>T</v>
          </cell>
          <cell r="E156">
            <v>196</v>
          </cell>
          <cell r="F156">
            <v>57.8</v>
          </cell>
          <cell r="G156" t="str">
            <v>WT20X196</v>
          </cell>
          <cell r="H156">
            <v>20.8</v>
          </cell>
          <cell r="I156">
            <v>20.75</v>
          </cell>
          <cell r="J156" t="str">
            <v>–</v>
          </cell>
          <cell r="K156" t="str">
            <v>–</v>
          </cell>
          <cell r="L156" t="str">
            <v>–</v>
          </cell>
          <cell r="M156">
            <v>12.4</v>
          </cell>
          <cell r="N156">
            <v>12.375</v>
          </cell>
          <cell r="O156" t="str">
            <v>–</v>
          </cell>
          <cell r="P156" t="str">
            <v>–</v>
          </cell>
          <cell r="Q156" t="str">
            <v>–</v>
          </cell>
          <cell r="R156">
            <v>1.42</v>
          </cell>
          <cell r="S156">
            <v>1.4375</v>
          </cell>
          <cell r="T156">
            <v>0.75</v>
          </cell>
          <cell r="U156">
            <v>2.52</v>
          </cell>
          <cell r="V156">
            <v>2.5</v>
          </cell>
          <cell r="W156">
            <v>2.52</v>
          </cell>
          <cell r="X156" t="str">
            <v>–</v>
          </cell>
          <cell r="Y156" t="str">
            <v>–</v>
          </cell>
          <cell r="Z156">
            <v>3.7</v>
          </cell>
          <cell r="AA156">
            <v>3.8125</v>
          </cell>
          <cell r="AB156" t="str">
            <v>–</v>
          </cell>
          <cell r="AC156" t="str">
            <v>–</v>
          </cell>
          <cell r="AD156">
            <v>5.94</v>
          </cell>
          <cell r="AE156" t="str">
            <v>–</v>
          </cell>
          <cell r="AF156" t="str">
            <v>–</v>
          </cell>
          <cell r="AG156">
            <v>2.33</v>
          </cell>
          <cell r="AH156">
            <v>2.4500000000000002</v>
          </cell>
          <cell r="AI156" t="str">
            <v>–</v>
          </cell>
          <cell r="AJ156" t="str">
            <v>–</v>
          </cell>
          <cell r="AK156" t="str">
            <v>–</v>
          </cell>
          <cell r="AL156" t="str">
            <v>–</v>
          </cell>
          <cell r="AM156">
            <v>14.6</v>
          </cell>
          <cell r="AN156">
            <v>2270</v>
          </cell>
        </row>
        <row r="157">
          <cell r="C157" t="str">
            <v>WT20X165.5</v>
          </cell>
          <cell r="D157" t="str">
            <v>T</v>
          </cell>
          <cell r="E157">
            <v>165.5</v>
          </cell>
          <cell r="F157">
            <v>48.8</v>
          </cell>
          <cell r="G157" t="str">
            <v>WT20X165.5</v>
          </cell>
          <cell r="H157">
            <v>20.399999999999999</v>
          </cell>
          <cell r="I157">
            <v>20.375</v>
          </cell>
          <cell r="J157" t="str">
            <v>–</v>
          </cell>
          <cell r="K157" t="str">
            <v>–</v>
          </cell>
          <cell r="L157" t="str">
            <v>–</v>
          </cell>
          <cell r="M157">
            <v>12.2</v>
          </cell>
          <cell r="N157">
            <v>12.125</v>
          </cell>
          <cell r="O157" t="str">
            <v>–</v>
          </cell>
          <cell r="P157" t="str">
            <v>–</v>
          </cell>
          <cell r="Q157" t="str">
            <v>–</v>
          </cell>
          <cell r="R157">
            <v>1.22</v>
          </cell>
          <cell r="S157">
            <v>1.25</v>
          </cell>
          <cell r="T157">
            <v>0.625</v>
          </cell>
          <cell r="U157">
            <v>2.13</v>
          </cell>
          <cell r="V157">
            <v>2.125</v>
          </cell>
          <cell r="W157">
            <v>2.13</v>
          </cell>
          <cell r="X157" t="str">
            <v>–</v>
          </cell>
          <cell r="Y157" t="str">
            <v>–</v>
          </cell>
          <cell r="Z157">
            <v>3.31</v>
          </cell>
          <cell r="AA157">
            <v>3.375</v>
          </cell>
          <cell r="AB157" t="str">
            <v>–</v>
          </cell>
          <cell r="AC157" t="str">
            <v>–</v>
          </cell>
          <cell r="AD157">
            <v>5.74</v>
          </cell>
          <cell r="AE157" t="str">
            <v>–</v>
          </cell>
          <cell r="AF157" t="str">
            <v>–</v>
          </cell>
          <cell r="AG157">
            <v>2</v>
          </cell>
          <cell r="AH157">
            <v>2.86</v>
          </cell>
          <cell r="AI157" t="str">
            <v>–</v>
          </cell>
          <cell r="AJ157" t="str">
            <v>–</v>
          </cell>
          <cell r="AK157" t="str">
            <v>–</v>
          </cell>
          <cell r="AL157" t="str">
            <v>–</v>
          </cell>
          <cell r="AM157">
            <v>16.7</v>
          </cell>
          <cell r="AN157">
            <v>1880</v>
          </cell>
        </row>
        <row r="158">
          <cell r="C158" t="str">
            <v>WT20X163.5</v>
          </cell>
          <cell r="D158" t="str">
            <v>T</v>
          </cell>
          <cell r="E158">
            <v>163.5</v>
          </cell>
          <cell r="F158">
            <v>47.9</v>
          </cell>
          <cell r="G158" t="str">
            <v>WT20X163.5</v>
          </cell>
          <cell r="H158">
            <v>20.399999999999999</v>
          </cell>
          <cell r="I158">
            <v>20.375</v>
          </cell>
          <cell r="J158" t="str">
            <v>–</v>
          </cell>
          <cell r="K158" t="str">
            <v>–</v>
          </cell>
          <cell r="L158" t="str">
            <v>–</v>
          </cell>
          <cell r="M158">
            <v>12.1</v>
          </cell>
          <cell r="N158">
            <v>12.125</v>
          </cell>
          <cell r="O158" t="str">
            <v>–</v>
          </cell>
          <cell r="P158" t="str">
            <v>–</v>
          </cell>
          <cell r="Q158" t="str">
            <v>–</v>
          </cell>
          <cell r="R158">
            <v>1.18</v>
          </cell>
          <cell r="S158">
            <v>1.1875</v>
          </cell>
          <cell r="T158">
            <v>0.625</v>
          </cell>
          <cell r="U158">
            <v>2.13</v>
          </cell>
          <cell r="V158">
            <v>2.125</v>
          </cell>
          <cell r="W158">
            <v>2.13</v>
          </cell>
          <cell r="X158" t="str">
            <v>–</v>
          </cell>
          <cell r="Y158" t="str">
            <v>–</v>
          </cell>
          <cell r="Z158">
            <v>3.31</v>
          </cell>
          <cell r="AA158">
            <v>3.375</v>
          </cell>
          <cell r="AB158" t="str">
            <v>–</v>
          </cell>
          <cell r="AC158" t="str">
            <v>–</v>
          </cell>
          <cell r="AD158">
            <v>5.66</v>
          </cell>
          <cell r="AE158" t="str">
            <v>–</v>
          </cell>
          <cell r="AF158" t="str">
            <v>–</v>
          </cell>
          <cell r="AG158">
            <v>1.98</v>
          </cell>
          <cell r="AH158">
            <v>2.85</v>
          </cell>
          <cell r="AI158" t="str">
            <v>–</v>
          </cell>
          <cell r="AJ158" t="str">
            <v>–</v>
          </cell>
          <cell r="AK158" t="str">
            <v>–</v>
          </cell>
          <cell r="AL158" t="str">
            <v>–</v>
          </cell>
          <cell r="AM158">
            <v>17.3</v>
          </cell>
          <cell r="AN158">
            <v>1840</v>
          </cell>
        </row>
        <row r="159">
          <cell r="C159" t="str">
            <v>WT20X147</v>
          </cell>
          <cell r="D159" t="str">
            <v>F</v>
          </cell>
          <cell r="E159">
            <v>147</v>
          </cell>
          <cell r="F159">
            <v>43.1</v>
          </cell>
          <cell r="G159" t="str">
            <v>WT20X147</v>
          </cell>
          <cell r="H159">
            <v>20.2</v>
          </cell>
          <cell r="I159">
            <v>20.25</v>
          </cell>
          <cell r="J159" t="str">
            <v>–</v>
          </cell>
          <cell r="K159" t="str">
            <v>–</v>
          </cell>
          <cell r="L159" t="str">
            <v>–</v>
          </cell>
          <cell r="M159">
            <v>12</v>
          </cell>
          <cell r="N159">
            <v>12</v>
          </cell>
          <cell r="O159" t="str">
            <v>–</v>
          </cell>
          <cell r="P159" t="str">
            <v>–</v>
          </cell>
          <cell r="Q159" t="str">
            <v>–</v>
          </cell>
          <cell r="R159">
            <v>1.06</v>
          </cell>
          <cell r="S159">
            <v>1.0625</v>
          </cell>
          <cell r="T159">
            <v>0.5625</v>
          </cell>
          <cell r="U159">
            <v>1.93</v>
          </cell>
          <cell r="V159">
            <v>1.9375</v>
          </cell>
          <cell r="W159">
            <v>1.93</v>
          </cell>
          <cell r="X159" t="str">
            <v>–</v>
          </cell>
          <cell r="Y159" t="str">
            <v>–</v>
          </cell>
          <cell r="Z159">
            <v>3.11</v>
          </cell>
          <cell r="AA159">
            <v>3.1875</v>
          </cell>
          <cell r="AB159" t="str">
            <v>–</v>
          </cell>
          <cell r="AC159" t="str">
            <v>–</v>
          </cell>
          <cell r="AD159">
            <v>5.51</v>
          </cell>
          <cell r="AE159" t="str">
            <v>–</v>
          </cell>
          <cell r="AF159" t="str">
            <v>–</v>
          </cell>
          <cell r="AG159">
            <v>1.8</v>
          </cell>
          <cell r="AH159">
            <v>3.11</v>
          </cell>
          <cell r="AI159" t="str">
            <v>–</v>
          </cell>
          <cell r="AJ159" t="str">
            <v>–</v>
          </cell>
          <cell r="AK159" t="str">
            <v>–</v>
          </cell>
          <cell r="AL159" t="str">
            <v>–</v>
          </cell>
          <cell r="AM159">
            <v>19.100000000000001</v>
          </cell>
          <cell r="AN159">
            <v>1630</v>
          </cell>
        </row>
        <row r="160">
          <cell r="C160" t="str">
            <v>WT20X139</v>
          </cell>
          <cell r="D160" t="str">
            <v>F</v>
          </cell>
          <cell r="E160">
            <v>139</v>
          </cell>
          <cell r="F160">
            <v>41</v>
          </cell>
          <cell r="G160" t="str">
            <v>WT20X139</v>
          </cell>
          <cell r="H160">
            <v>20.100000000000001</v>
          </cell>
          <cell r="I160">
            <v>20.125</v>
          </cell>
          <cell r="J160" t="str">
            <v>–</v>
          </cell>
          <cell r="K160" t="str">
            <v>–</v>
          </cell>
          <cell r="L160" t="str">
            <v>–</v>
          </cell>
          <cell r="M160">
            <v>12</v>
          </cell>
          <cell r="N160">
            <v>12</v>
          </cell>
          <cell r="O160" t="str">
            <v>–</v>
          </cell>
          <cell r="P160" t="str">
            <v>–</v>
          </cell>
          <cell r="Q160" t="str">
            <v>–</v>
          </cell>
          <cell r="R160">
            <v>1.03</v>
          </cell>
          <cell r="S160">
            <v>1</v>
          </cell>
          <cell r="T160">
            <v>0.5</v>
          </cell>
          <cell r="U160">
            <v>1.81</v>
          </cell>
          <cell r="V160">
            <v>1.8125</v>
          </cell>
          <cell r="W160">
            <v>1.81</v>
          </cell>
          <cell r="X160" t="str">
            <v>–</v>
          </cell>
          <cell r="Y160" t="str">
            <v>–</v>
          </cell>
          <cell r="Z160">
            <v>2.99</v>
          </cell>
          <cell r="AA160">
            <v>3.0625</v>
          </cell>
          <cell r="AB160" t="str">
            <v>–</v>
          </cell>
          <cell r="AC160" t="str">
            <v>–</v>
          </cell>
          <cell r="AD160">
            <v>5.51</v>
          </cell>
          <cell r="AE160" t="str">
            <v>–</v>
          </cell>
          <cell r="AF160" t="str">
            <v>–</v>
          </cell>
          <cell r="AG160">
            <v>1.71</v>
          </cell>
          <cell r="AH160">
            <v>3.31</v>
          </cell>
          <cell r="AI160" t="str">
            <v>–</v>
          </cell>
          <cell r="AJ160" t="str">
            <v>–</v>
          </cell>
          <cell r="AK160" t="str">
            <v>–</v>
          </cell>
          <cell r="AL160" t="str">
            <v>–</v>
          </cell>
          <cell r="AM160">
            <v>19.5</v>
          </cell>
          <cell r="AN160">
            <v>1550</v>
          </cell>
        </row>
        <row r="161">
          <cell r="C161" t="str">
            <v>WT20X132</v>
          </cell>
          <cell r="D161" t="str">
            <v>F</v>
          </cell>
          <cell r="E161">
            <v>132</v>
          </cell>
          <cell r="F161">
            <v>38.700000000000003</v>
          </cell>
          <cell r="G161" t="str">
            <v>WT20X132</v>
          </cell>
          <cell r="H161">
            <v>20</v>
          </cell>
          <cell r="I161">
            <v>20</v>
          </cell>
          <cell r="J161" t="str">
            <v>–</v>
          </cell>
          <cell r="K161" t="str">
            <v>–</v>
          </cell>
          <cell r="L161" t="str">
            <v>–</v>
          </cell>
          <cell r="M161">
            <v>11.9</v>
          </cell>
          <cell r="N161">
            <v>11.875</v>
          </cell>
          <cell r="O161" t="str">
            <v>–</v>
          </cell>
          <cell r="P161" t="str">
            <v>–</v>
          </cell>
          <cell r="Q161" t="str">
            <v>–</v>
          </cell>
          <cell r="R161">
            <v>0.96</v>
          </cell>
          <cell r="S161">
            <v>0.9375</v>
          </cell>
          <cell r="T161">
            <v>0.5</v>
          </cell>
          <cell r="U161">
            <v>1.73</v>
          </cell>
          <cell r="V161">
            <v>1.75</v>
          </cell>
          <cell r="W161">
            <v>1.73</v>
          </cell>
          <cell r="X161" t="str">
            <v>–</v>
          </cell>
          <cell r="Y161" t="str">
            <v>–</v>
          </cell>
          <cell r="Z161">
            <v>2.91</v>
          </cell>
          <cell r="AA161">
            <v>3</v>
          </cell>
          <cell r="AB161" t="str">
            <v>–</v>
          </cell>
          <cell r="AC161" t="str">
            <v>–</v>
          </cell>
          <cell r="AD161">
            <v>5.41</v>
          </cell>
          <cell r="AE161" t="str">
            <v>–</v>
          </cell>
          <cell r="AF161" t="str">
            <v>–</v>
          </cell>
          <cell r="AG161">
            <v>1.63</v>
          </cell>
          <cell r="AH161">
            <v>3.45</v>
          </cell>
          <cell r="AI161" t="str">
            <v>–</v>
          </cell>
          <cell r="AJ161" t="str">
            <v>–</v>
          </cell>
          <cell r="AK161" t="str">
            <v>–</v>
          </cell>
          <cell r="AL161" t="str">
            <v>–</v>
          </cell>
          <cell r="AM161">
            <v>20.8</v>
          </cell>
          <cell r="AN161">
            <v>1450</v>
          </cell>
        </row>
        <row r="162">
          <cell r="C162" t="str">
            <v>WT20X117.5</v>
          </cell>
          <cell r="D162" t="str">
            <v>F</v>
          </cell>
          <cell r="E162">
            <v>117.5</v>
          </cell>
          <cell r="F162">
            <v>34.6</v>
          </cell>
          <cell r="G162" t="str">
            <v>WT20X117.5</v>
          </cell>
          <cell r="H162">
            <v>19.8</v>
          </cell>
          <cell r="I162">
            <v>19.875</v>
          </cell>
          <cell r="J162" t="str">
            <v>–</v>
          </cell>
          <cell r="K162" t="str">
            <v>–</v>
          </cell>
          <cell r="L162" t="str">
            <v>–</v>
          </cell>
          <cell r="M162">
            <v>11.9</v>
          </cell>
          <cell r="N162">
            <v>11.875</v>
          </cell>
          <cell r="O162" t="str">
            <v>–</v>
          </cell>
          <cell r="P162" t="str">
            <v>–</v>
          </cell>
          <cell r="Q162" t="str">
            <v>–</v>
          </cell>
          <cell r="R162">
            <v>0.83</v>
          </cell>
          <cell r="S162">
            <v>0.8125</v>
          </cell>
          <cell r="T162">
            <v>0.4375</v>
          </cell>
          <cell r="U162">
            <v>1.58</v>
          </cell>
          <cell r="V162">
            <v>1.5625</v>
          </cell>
          <cell r="W162">
            <v>1.58</v>
          </cell>
          <cell r="X162" t="str">
            <v>–</v>
          </cell>
          <cell r="Y162" t="str">
            <v>–</v>
          </cell>
          <cell r="Z162">
            <v>2.76</v>
          </cell>
          <cell r="AA162">
            <v>2.875</v>
          </cell>
          <cell r="AB162" t="str">
            <v>–</v>
          </cell>
          <cell r="AC162" t="str">
            <v>–</v>
          </cell>
          <cell r="AD162">
            <v>5.17</v>
          </cell>
          <cell r="AE162" t="str">
            <v>–</v>
          </cell>
          <cell r="AF162" t="str">
            <v>–</v>
          </cell>
          <cell r="AG162">
            <v>1.45</v>
          </cell>
          <cell r="AH162">
            <v>3.77</v>
          </cell>
          <cell r="AI162" t="str">
            <v>–</v>
          </cell>
          <cell r="AJ162" t="str">
            <v>–</v>
          </cell>
          <cell r="AK162" t="str">
            <v>–</v>
          </cell>
          <cell r="AL162" t="str">
            <v>–</v>
          </cell>
          <cell r="AM162">
            <v>23.9</v>
          </cell>
          <cell r="AN162">
            <v>1260</v>
          </cell>
        </row>
        <row r="163">
          <cell r="C163" t="str">
            <v>WT20X105.5</v>
          </cell>
          <cell r="D163" t="str">
            <v>F</v>
          </cell>
          <cell r="E163">
            <v>105.5</v>
          </cell>
          <cell r="F163">
            <v>31.1</v>
          </cell>
          <cell r="G163" t="str">
            <v>WT20X105.5</v>
          </cell>
          <cell r="H163">
            <v>19.7</v>
          </cell>
          <cell r="I163">
            <v>19.625</v>
          </cell>
          <cell r="J163" t="str">
            <v>–</v>
          </cell>
          <cell r="K163" t="str">
            <v>–</v>
          </cell>
          <cell r="L163" t="str">
            <v>–</v>
          </cell>
          <cell r="M163">
            <v>11.8</v>
          </cell>
          <cell r="N163">
            <v>11.75</v>
          </cell>
          <cell r="O163" t="str">
            <v>–</v>
          </cell>
          <cell r="P163" t="str">
            <v>–</v>
          </cell>
          <cell r="Q163" t="str">
            <v>–</v>
          </cell>
          <cell r="R163">
            <v>0.75</v>
          </cell>
          <cell r="S163">
            <v>0.75</v>
          </cell>
          <cell r="T163">
            <v>0.375</v>
          </cell>
          <cell r="U163">
            <v>1.42</v>
          </cell>
          <cell r="V163">
            <v>1.4375</v>
          </cell>
          <cell r="W163">
            <v>1.42</v>
          </cell>
          <cell r="X163" t="str">
            <v>–</v>
          </cell>
          <cell r="Y163" t="str">
            <v>–</v>
          </cell>
          <cell r="Z163">
            <v>2.6</v>
          </cell>
          <cell r="AA163">
            <v>2.6875</v>
          </cell>
          <cell r="AB163" t="str">
            <v>–</v>
          </cell>
          <cell r="AC163" t="str">
            <v>–</v>
          </cell>
          <cell r="AD163">
            <v>5.08</v>
          </cell>
          <cell r="AE163" t="str">
            <v>–</v>
          </cell>
          <cell r="AF163" t="str">
            <v>–</v>
          </cell>
          <cell r="AG163">
            <v>1.31</v>
          </cell>
          <cell r="AH163">
            <v>4.17</v>
          </cell>
          <cell r="AI163" t="str">
            <v>–</v>
          </cell>
          <cell r="AJ163" t="str">
            <v>–</v>
          </cell>
          <cell r="AK163" t="str">
            <v>–</v>
          </cell>
          <cell r="AL163" t="str">
            <v>–</v>
          </cell>
          <cell r="AM163">
            <v>26.3</v>
          </cell>
          <cell r="AN163">
            <v>1120</v>
          </cell>
        </row>
        <row r="164">
          <cell r="C164" t="str">
            <v>WT20X91.5</v>
          </cell>
          <cell r="D164" t="str">
            <v>F</v>
          </cell>
          <cell r="E164">
            <v>91.5</v>
          </cell>
          <cell r="F164">
            <v>26.7</v>
          </cell>
          <cell r="G164" t="str">
            <v>WT20X91.5</v>
          </cell>
          <cell r="H164">
            <v>19.5</v>
          </cell>
          <cell r="I164">
            <v>19.5</v>
          </cell>
          <cell r="J164" t="str">
            <v>–</v>
          </cell>
          <cell r="K164" t="str">
            <v>–</v>
          </cell>
          <cell r="L164" t="str">
            <v>–</v>
          </cell>
          <cell r="M164">
            <v>11.8</v>
          </cell>
          <cell r="N164">
            <v>11.75</v>
          </cell>
          <cell r="O164" t="str">
            <v>–</v>
          </cell>
          <cell r="P164" t="str">
            <v>–</v>
          </cell>
          <cell r="Q164" t="str">
            <v>–</v>
          </cell>
          <cell r="R164">
            <v>0.65</v>
          </cell>
          <cell r="S164">
            <v>0.625</v>
          </cell>
          <cell r="T164">
            <v>0.3125</v>
          </cell>
          <cell r="U164">
            <v>1.2</v>
          </cell>
          <cell r="V164">
            <v>1.1875</v>
          </cell>
          <cell r="W164">
            <v>1.2</v>
          </cell>
          <cell r="X164" t="str">
            <v>–</v>
          </cell>
          <cell r="Y164" t="str">
            <v>–</v>
          </cell>
          <cell r="Z164">
            <v>2.38</v>
          </cell>
          <cell r="AA164">
            <v>2.5</v>
          </cell>
          <cell r="AB164" t="str">
            <v>–</v>
          </cell>
          <cell r="AC164" t="str">
            <v>–</v>
          </cell>
          <cell r="AD164">
            <v>4.97</v>
          </cell>
          <cell r="AE164" t="str">
            <v>–</v>
          </cell>
          <cell r="AF164" t="str">
            <v>–</v>
          </cell>
          <cell r="AG164">
            <v>1.1299999999999999</v>
          </cell>
          <cell r="AH164">
            <v>4.92</v>
          </cell>
          <cell r="AI164" t="str">
            <v>–</v>
          </cell>
          <cell r="AJ164" t="str">
            <v>–</v>
          </cell>
          <cell r="AK164" t="str">
            <v>–</v>
          </cell>
          <cell r="AL164" t="str">
            <v>–</v>
          </cell>
          <cell r="AM164">
            <v>30</v>
          </cell>
          <cell r="AN164">
            <v>955</v>
          </cell>
        </row>
        <row r="165">
          <cell r="C165" t="str">
            <v>WT20X83.5</v>
          </cell>
          <cell r="D165" t="str">
            <v>F</v>
          </cell>
          <cell r="E165">
            <v>83.5</v>
          </cell>
          <cell r="F165">
            <v>24.5</v>
          </cell>
          <cell r="G165" t="str">
            <v>WT20X83.5</v>
          </cell>
          <cell r="H165">
            <v>19.3</v>
          </cell>
          <cell r="I165">
            <v>19.25</v>
          </cell>
          <cell r="J165" t="str">
            <v>–</v>
          </cell>
          <cell r="K165" t="str">
            <v>–</v>
          </cell>
          <cell r="L165" t="str">
            <v>–</v>
          </cell>
          <cell r="M165">
            <v>11.8</v>
          </cell>
          <cell r="N165">
            <v>11.75</v>
          </cell>
          <cell r="O165" t="str">
            <v>–</v>
          </cell>
          <cell r="P165" t="str">
            <v>–</v>
          </cell>
          <cell r="Q165" t="str">
            <v>–</v>
          </cell>
          <cell r="R165">
            <v>0.65</v>
          </cell>
          <cell r="S165">
            <v>0.625</v>
          </cell>
          <cell r="T165">
            <v>0.3125</v>
          </cell>
          <cell r="U165">
            <v>1.03</v>
          </cell>
          <cell r="V165">
            <v>1</v>
          </cell>
          <cell r="W165">
            <v>1.03</v>
          </cell>
          <cell r="X165" t="str">
            <v>–</v>
          </cell>
          <cell r="Y165" t="str">
            <v>–</v>
          </cell>
          <cell r="Z165">
            <v>2.21</v>
          </cell>
          <cell r="AA165">
            <v>2.3125</v>
          </cell>
          <cell r="AB165" t="str">
            <v>–</v>
          </cell>
          <cell r="AC165" t="str">
            <v>–</v>
          </cell>
          <cell r="AD165">
            <v>5.19</v>
          </cell>
          <cell r="AE165" t="str">
            <v>–</v>
          </cell>
          <cell r="AF165" t="str">
            <v>–</v>
          </cell>
          <cell r="AG165">
            <v>1.1000000000000001</v>
          </cell>
          <cell r="AH165">
            <v>5.76</v>
          </cell>
          <cell r="AI165" t="str">
            <v>–</v>
          </cell>
          <cell r="AJ165" t="str">
            <v>–</v>
          </cell>
          <cell r="AK165" t="str">
            <v>–</v>
          </cell>
          <cell r="AL165" t="str">
            <v>–</v>
          </cell>
          <cell r="AM165">
            <v>29.7</v>
          </cell>
          <cell r="AN165">
            <v>899</v>
          </cell>
        </row>
        <row r="166">
          <cell r="C166" t="str">
            <v>WT20X74.5</v>
          </cell>
          <cell r="D166" t="str">
            <v>F</v>
          </cell>
          <cell r="E166">
            <v>74.5</v>
          </cell>
          <cell r="F166">
            <v>21.9</v>
          </cell>
          <cell r="G166" t="str">
            <v>WT20X74.5</v>
          </cell>
          <cell r="H166">
            <v>19.100000000000001</v>
          </cell>
          <cell r="I166">
            <v>19.125</v>
          </cell>
          <cell r="J166" t="str">
            <v>–</v>
          </cell>
          <cell r="K166" t="str">
            <v>–</v>
          </cell>
          <cell r="L166" t="str">
            <v>–</v>
          </cell>
          <cell r="M166">
            <v>11.8</v>
          </cell>
          <cell r="N166">
            <v>11.75</v>
          </cell>
          <cell r="O166" t="str">
            <v>–</v>
          </cell>
          <cell r="P166" t="str">
            <v>–</v>
          </cell>
          <cell r="Q166" t="str">
            <v>–</v>
          </cell>
          <cell r="R166">
            <v>0.63</v>
          </cell>
          <cell r="S166">
            <v>0.625</v>
          </cell>
          <cell r="T166">
            <v>0.3125</v>
          </cell>
          <cell r="U166">
            <v>0.83</v>
          </cell>
          <cell r="V166">
            <v>0.8125</v>
          </cell>
          <cell r="W166">
            <v>0.83</v>
          </cell>
          <cell r="X166" t="str">
            <v>–</v>
          </cell>
          <cell r="Y166" t="str">
            <v>–</v>
          </cell>
          <cell r="Z166">
            <v>2.0099999999999998</v>
          </cell>
          <cell r="AA166">
            <v>2.125</v>
          </cell>
          <cell r="AB166" t="str">
            <v>–</v>
          </cell>
          <cell r="AC166" t="str">
            <v>–</v>
          </cell>
          <cell r="AD166">
            <v>5.45</v>
          </cell>
          <cell r="AE166" t="str">
            <v>–</v>
          </cell>
          <cell r="AF166" t="str">
            <v>–</v>
          </cell>
          <cell r="AG166">
            <v>1.72</v>
          </cell>
          <cell r="AH166">
            <v>7.11</v>
          </cell>
          <cell r="AI166" t="str">
            <v>–</v>
          </cell>
          <cell r="AJ166" t="str">
            <v>–</v>
          </cell>
          <cell r="AK166" t="str">
            <v>–</v>
          </cell>
          <cell r="AL166" t="str">
            <v>–</v>
          </cell>
          <cell r="AM166">
            <v>30.3</v>
          </cell>
          <cell r="AN166">
            <v>815</v>
          </cell>
        </row>
        <row r="167">
          <cell r="C167" t="str">
            <v>WT18X462.5</v>
          </cell>
          <cell r="D167" t="str">
            <v>T</v>
          </cell>
          <cell r="E167">
            <v>462.5</v>
          </cell>
          <cell r="F167">
            <v>136</v>
          </cell>
          <cell r="G167" t="str">
            <v>WT18X462.5</v>
          </cell>
          <cell r="H167">
            <v>21.6</v>
          </cell>
          <cell r="I167">
            <v>21.625</v>
          </cell>
          <cell r="J167" t="str">
            <v>–</v>
          </cell>
          <cell r="K167" t="str">
            <v>–</v>
          </cell>
          <cell r="L167" t="str">
            <v>–</v>
          </cell>
          <cell r="M167">
            <v>18.600000000000001</v>
          </cell>
          <cell r="N167">
            <v>18.625</v>
          </cell>
          <cell r="O167" t="str">
            <v>–</v>
          </cell>
          <cell r="P167" t="str">
            <v>–</v>
          </cell>
          <cell r="Q167" t="str">
            <v>–</v>
          </cell>
          <cell r="R167">
            <v>3.02</v>
          </cell>
          <cell r="S167">
            <v>3</v>
          </cell>
          <cell r="T167">
            <v>1.5</v>
          </cell>
          <cell r="U167">
            <v>4.53</v>
          </cell>
          <cell r="V167">
            <v>4.5</v>
          </cell>
          <cell r="W167">
            <v>4.53</v>
          </cell>
          <cell r="X167" t="str">
            <v>–</v>
          </cell>
          <cell r="Y167" t="str">
            <v>–</v>
          </cell>
          <cell r="Z167">
            <v>5.28</v>
          </cell>
          <cell r="AA167">
            <v>5.375</v>
          </cell>
          <cell r="AB167" t="str">
            <v>–</v>
          </cell>
          <cell r="AC167" t="str">
            <v>–</v>
          </cell>
          <cell r="AD167">
            <v>6.36</v>
          </cell>
          <cell r="AE167" t="str">
            <v>–</v>
          </cell>
          <cell r="AF167" t="str">
            <v>–</v>
          </cell>
          <cell r="AG167">
            <v>3.66</v>
          </cell>
          <cell r="AH167">
            <v>2.0499999999999998</v>
          </cell>
          <cell r="AI167" t="str">
            <v>–</v>
          </cell>
          <cell r="AJ167" t="str">
            <v>–</v>
          </cell>
          <cell r="AK167" t="str">
            <v>–</v>
          </cell>
          <cell r="AL167" t="str">
            <v>–</v>
          </cell>
          <cell r="AM167">
            <v>7.15</v>
          </cell>
          <cell r="AN167">
            <v>5130</v>
          </cell>
        </row>
        <row r="168">
          <cell r="C168" t="str">
            <v>WT18X426.5</v>
          </cell>
          <cell r="D168" t="str">
            <v>T</v>
          </cell>
          <cell r="E168">
            <v>426.5</v>
          </cell>
          <cell r="F168">
            <v>126</v>
          </cell>
          <cell r="G168" t="str">
            <v>WT18X426.5</v>
          </cell>
          <cell r="H168">
            <v>21.6</v>
          </cell>
          <cell r="I168">
            <v>21.625</v>
          </cell>
          <cell r="J168" t="str">
            <v>–</v>
          </cell>
          <cell r="K168" t="str">
            <v>–</v>
          </cell>
          <cell r="L168" t="str">
            <v>–</v>
          </cell>
          <cell r="M168">
            <v>18.2</v>
          </cell>
          <cell r="N168">
            <v>18.25</v>
          </cell>
          <cell r="O168" t="str">
            <v>–</v>
          </cell>
          <cell r="P168" t="str">
            <v>–</v>
          </cell>
          <cell r="Q168" t="str">
            <v>–</v>
          </cell>
          <cell r="R168">
            <v>2.52</v>
          </cell>
          <cell r="S168">
            <v>2.5</v>
          </cell>
          <cell r="T168">
            <v>1.25</v>
          </cell>
          <cell r="U168">
            <v>4.53</v>
          </cell>
          <cell r="V168">
            <v>4.5</v>
          </cell>
          <cell r="W168">
            <v>4.53</v>
          </cell>
          <cell r="X168" t="str">
            <v>–</v>
          </cell>
          <cell r="Y168" t="str">
            <v>–</v>
          </cell>
          <cell r="Z168">
            <v>5.28</v>
          </cell>
          <cell r="AA168">
            <v>5.375</v>
          </cell>
          <cell r="AB168" t="str">
            <v>–</v>
          </cell>
          <cell r="AC168" t="str">
            <v>–</v>
          </cell>
          <cell r="AD168">
            <v>5.95</v>
          </cell>
          <cell r="AE168" t="str">
            <v>–</v>
          </cell>
          <cell r="AF168" t="str">
            <v>–</v>
          </cell>
          <cell r="AG168">
            <v>3.46</v>
          </cell>
          <cell r="AH168">
            <v>2.0099999999999998</v>
          </cell>
          <cell r="AI168" t="str">
            <v>–</v>
          </cell>
          <cell r="AJ168" t="str">
            <v>–</v>
          </cell>
          <cell r="AK168" t="str">
            <v>–</v>
          </cell>
          <cell r="AL168" t="str">
            <v>–</v>
          </cell>
          <cell r="AM168">
            <v>8.57</v>
          </cell>
          <cell r="AN168">
            <v>4480</v>
          </cell>
        </row>
        <row r="169">
          <cell r="C169" t="str">
            <v>WT18X401</v>
          </cell>
          <cell r="D169" t="str">
            <v>T</v>
          </cell>
          <cell r="E169">
            <v>401</v>
          </cell>
          <cell r="F169">
            <v>118</v>
          </cell>
          <cell r="G169" t="str">
            <v>WT18X401</v>
          </cell>
          <cell r="H169">
            <v>21.3</v>
          </cell>
          <cell r="I169">
            <v>21.25</v>
          </cell>
          <cell r="J169" t="str">
            <v>–</v>
          </cell>
          <cell r="K169" t="str">
            <v>–</v>
          </cell>
          <cell r="L169" t="str">
            <v>–</v>
          </cell>
          <cell r="M169">
            <v>18</v>
          </cell>
          <cell r="N169">
            <v>18</v>
          </cell>
          <cell r="O169" t="str">
            <v>–</v>
          </cell>
          <cell r="P169" t="str">
            <v>–</v>
          </cell>
          <cell r="Q169" t="str">
            <v>–</v>
          </cell>
          <cell r="R169">
            <v>2.38</v>
          </cell>
          <cell r="S169">
            <v>2.375</v>
          </cell>
          <cell r="T169">
            <v>1.1875</v>
          </cell>
          <cell r="U169">
            <v>4.29</v>
          </cell>
          <cell r="V169">
            <v>4.3125</v>
          </cell>
          <cell r="W169">
            <v>4.29</v>
          </cell>
          <cell r="X169" t="str">
            <v>–</v>
          </cell>
          <cell r="Y169" t="str">
            <v>–</v>
          </cell>
          <cell r="Z169">
            <v>5.04</v>
          </cell>
          <cell r="AA169">
            <v>5.125</v>
          </cell>
          <cell r="AB169" t="str">
            <v>–</v>
          </cell>
          <cell r="AC169" t="str">
            <v>–</v>
          </cell>
          <cell r="AD169">
            <v>5.8</v>
          </cell>
          <cell r="AE169" t="str">
            <v>–</v>
          </cell>
          <cell r="AF169" t="str">
            <v>–</v>
          </cell>
          <cell r="AG169">
            <v>3.28</v>
          </cell>
          <cell r="AH169">
            <v>2.1</v>
          </cell>
          <cell r="AI169" t="str">
            <v>–</v>
          </cell>
          <cell r="AJ169" t="str">
            <v>–</v>
          </cell>
          <cell r="AK169" t="str">
            <v>–</v>
          </cell>
          <cell r="AL169" t="str">
            <v>–</v>
          </cell>
          <cell r="AM169">
            <v>8.9499999999999993</v>
          </cell>
          <cell r="AN169">
            <v>4110</v>
          </cell>
        </row>
        <row r="170">
          <cell r="C170" t="str">
            <v>WT18X361.5</v>
          </cell>
          <cell r="D170" t="str">
            <v>T</v>
          </cell>
          <cell r="E170">
            <v>361.5</v>
          </cell>
          <cell r="F170">
            <v>107</v>
          </cell>
          <cell r="G170" t="str">
            <v>WT18X361.5</v>
          </cell>
          <cell r="H170">
            <v>20.9</v>
          </cell>
          <cell r="I170">
            <v>20.875</v>
          </cell>
          <cell r="J170" t="str">
            <v>–</v>
          </cell>
          <cell r="K170" t="str">
            <v>–</v>
          </cell>
          <cell r="L170" t="str">
            <v>–</v>
          </cell>
          <cell r="M170">
            <v>17.8</v>
          </cell>
          <cell r="N170">
            <v>17.75</v>
          </cell>
          <cell r="O170" t="str">
            <v>–</v>
          </cell>
          <cell r="P170" t="str">
            <v>–</v>
          </cell>
          <cell r="Q170" t="str">
            <v>–</v>
          </cell>
          <cell r="R170">
            <v>2.17</v>
          </cell>
          <cell r="S170">
            <v>2.1875</v>
          </cell>
          <cell r="T170">
            <v>1.125</v>
          </cell>
          <cell r="U170">
            <v>3.9</v>
          </cell>
          <cell r="V170">
            <v>3.875</v>
          </cell>
          <cell r="W170">
            <v>3.9</v>
          </cell>
          <cell r="X170" t="str">
            <v>–</v>
          </cell>
          <cell r="Y170" t="str">
            <v>–</v>
          </cell>
          <cell r="Z170">
            <v>4.6500000000000004</v>
          </cell>
          <cell r="AA170">
            <v>4.6875</v>
          </cell>
          <cell r="AB170" t="str">
            <v>–</v>
          </cell>
          <cell r="AC170" t="str">
            <v>–</v>
          </cell>
          <cell r="AD170">
            <v>5.55</v>
          </cell>
          <cell r="AE170" t="str">
            <v>–</v>
          </cell>
          <cell r="AF170" t="str">
            <v>–</v>
          </cell>
          <cell r="AG170">
            <v>3.01</v>
          </cell>
          <cell r="AH170">
            <v>2.2799999999999998</v>
          </cell>
          <cell r="AI170" t="str">
            <v>–</v>
          </cell>
          <cell r="AJ170" t="str">
            <v>–</v>
          </cell>
          <cell r="AK170" t="str">
            <v>–</v>
          </cell>
          <cell r="AL170" t="str">
            <v>–</v>
          </cell>
          <cell r="AM170">
            <v>9.6300000000000008</v>
          </cell>
          <cell r="AN170">
            <v>3610</v>
          </cell>
        </row>
        <row r="171">
          <cell r="C171" t="str">
            <v>WT18X326</v>
          </cell>
          <cell r="D171" t="str">
            <v>T</v>
          </cell>
          <cell r="E171">
            <v>326</v>
          </cell>
          <cell r="F171">
            <v>96.2</v>
          </cell>
          <cell r="G171" t="str">
            <v>WT18X326</v>
          </cell>
          <cell r="H171">
            <v>20.5</v>
          </cell>
          <cell r="I171">
            <v>20.5</v>
          </cell>
          <cell r="J171" t="str">
            <v>–</v>
          </cell>
          <cell r="K171" t="str">
            <v>–</v>
          </cell>
          <cell r="L171" t="str">
            <v>–</v>
          </cell>
          <cell r="M171">
            <v>17.600000000000001</v>
          </cell>
          <cell r="N171">
            <v>17.625</v>
          </cell>
          <cell r="O171" t="str">
            <v>–</v>
          </cell>
          <cell r="P171" t="str">
            <v>–</v>
          </cell>
          <cell r="Q171" t="str">
            <v>–</v>
          </cell>
          <cell r="R171">
            <v>1.97</v>
          </cell>
          <cell r="S171">
            <v>2</v>
          </cell>
          <cell r="T171">
            <v>1</v>
          </cell>
          <cell r="U171">
            <v>3.54</v>
          </cell>
          <cell r="V171">
            <v>3.5625</v>
          </cell>
          <cell r="W171">
            <v>3.54</v>
          </cell>
          <cell r="X171" t="str">
            <v>–</v>
          </cell>
          <cell r="Y171" t="str">
            <v>–</v>
          </cell>
          <cell r="Z171">
            <v>4.49</v>
          </cell>
          <cell r="AA171">
            <v>4.8125</v>
          </cell>
          <cell r="AB171" t="str">
            <v>–</v>
          </cell>
          <cell r="AC171" t="str">
            <v>–</v>
          </cell>
          <cell r="AD171">
            <v>5.35</v>
          </cell>
          <cell r="AE171" t="str">
            <v>–</v>
          </cell>
          <cell r="AF171" t="str">
            <v>–</v>
          </cell>
          <cell r="AG171">
            <v>2.73</v>
          </cell>
          <cell r="AH171">
            <v>2.48</v>
          </cell>
          <cell r="AI171" t="str">
            <v>–</v>
          </cell>
          <cell r="AJ171" t="str">
            <v>–</v>
          </cell>
          <cell r="AK171" t="str">
            <v>–</v>
          </cell>
          <cell r="AL171" t="str">
            <v>–</v>
          </cell>
          <cell r="AM171">
            <v>10.4</v>
          </cell>
          <cell r="AN171">
            <v>3160</v>
          </cell>
        </row>
        <row r="172">
          <cell r="C172" t="str">
            <v>WT18X264.5</v>
          </cell>
          <cell r="D172" t="str">
            <v>T</v>
          </cell>
          <cell r="E172">
            <v>264.5</v>
          </cell>
          <cell r="F172">
            <v>77.8</v>
          </cell>
          <cell r="G172" t="str">
            <v>WT18X264.5</v>
          </cell>
          <cell r="H172">
            <v>19.899999999999999</v>
          </cell>
          <cell r="I172">
            <v>19.875</v>
          </cell>
          <cell r="J172" t="str">
            <v>–</v>
          </cell>
          <cell r="K172" t="str">
            <v>–</v>
          </cell>
          <cell r="L172" t="str">
            <v>–</v>
          </cell>
          <cell r="M172">
            <v>17.2</v>
          </cell>
          <cell r="N172">
            <v>17.25</v>
          </cell>
          <cell r="O172" t="str">
            <v>–</v>
          </cell>
          <cell r="P172" t="str">
            <v>–</v>
          </cell>
          <cell r="Q172" t="str">
            <v>–</v>
          </cell>
          <cell r="R172">
            <v>1.61</v>
          </cell>
          <cell r="S172">
            <v>1.625</v>
          </cell>
          <cell r="T172">
            <v>0.8125</v>
          </cell>
          <cell r="U172">
            <v>2.91</v>
          </cell>
          <cell r="V172">
            <v>2.9375</v>
          </cell>
          <cell r="W172">
            <v>2.91</v>
          </cell>
          <cell r="X172" t="str">
            <v>–</v>
          </cell>
          <cell r="Y172" t="str">
            <v>–</v>
          </cell>
          <cell r="Z172">
            <v>3.86</v>
          </cell>
          <cell r="AA172">
            <v>4.1875</v>
          </cell>
          <cell r="AB172" t="str">
            <v>–</v>
          </cell>
          <cell r="AC172" t="str">
            <v>–</v>
          </cell>
          <cell r="AD172">
            <v>4.96</v>
          </cell>
          <cell r="AE172" t="str">
            <v>–</v>
          </cell>
          <cell r="AF172" t="str">
            <v>–</v>
          </cell>
          <cell r="AG172">
            <v>2.2599999999999998</v>
          </cell>
          <cell r="AH172">
            <v>2.96</v>
          </cell>
          <cell r="AI172" t="str">
            <v>–</v>
          </cell>
          <cell r="AJ172" t="str">
            <v>–</v>
          </cell>
          <cell r="AK172" t="str">
            <v>–</v>
          </cell>
          <cell r="AL172" t="str">
            <v>–</v>
          </cell>
          <cell r="AM172">
            <v>12.4</v>
          </cell>
          <cell r="AN172">
            <v>2440</v>
          </cell>
        </row>
        <row r="173">
          <cell r="C173" t="str">
            <v>WT18X243.5</v>
          </cell>
          <cell r="D173" t="str">
            <v>T</v>
          </cell>
          <cell r="E173">
            <v>243.5</v>
          </cell>
          <cell r="F173">
            <v>71.7</v>
          </cell>
          <cell r="G173" t="str">
            <v>WT18X243.5</v>
          </cell>
          <cell r="H173">
            <v>19.7</v>
          </cell>
          <cell r="I173">
            <v>19.625</v>
          </cell>
          <cell r="J173" t="str">
            <v>–</v>
          </cell>
          <cell r="K173" t="str">
            <v>–</v>
          </cell>
          <cell r="L173" t="str">
            <v>–</v>
          </cell>
          <cell r="M173">
            <v>17.100000000000001</v>
          </cell>
          <cell r="N173">
            <v>17.125</v>
          </cell>
          <cell r="O173" t="str">
            <v>–</v>
          </cell>
          <cell r="P173" t="str">
            <v>–</v>
          </cell>
          <cell r="Q173" t="str">
            <v>–</v>
          </cell>
          <cell r="R173">
            <v>1.5</v>
          </cell>
          <cell r="S173">
            <v>1.5</v>
          </cell>
          <cell r="T173">
            <v>0.75</v>
          </cell>
          <cell r="U173">
            <v>2.68</v>
          </cell>
          <cell r="V173">
            <v>2.6875</v>
          </cell>
          <cell r="W173">
            <v>2.68</v>
          </cell>
          <cell r="X173" t="str">
            <v>–</v>
          </cell>
          <cell r="Y173" t="str">
            <v>–</v>
          </cell>
          <cell r="Z173">
            <v>3.63</v>
          </cell>
          <cell r="AA173">
            <v>4</v>
          </cell>
          <cell r="AB173" t="str">
            <v>–</v>
          </cell>
          <cell r="AC173" t="str">
            <v>–</v>
          </cell>
          <cell r="AD173">
            <v>4.84</v>
          </cell>
          <cell r="AE173" t="str">
            <v>–</v>
          </cell>
          <cell r="AF173" t="str">
            <v>–</v>
          </cell>
          <cell r="AG173">
            <v>2.1</v>
          </cell>
          <cell r="AH173">
            <v>3.19</v>
          </cell>
          <cell r="AI173" t="str">
            <v>–</v>
          </cell>
          <cell r="AJ173" t="str">
            <v>–</v>
          </cell>
          <cell r="AK173" t="str">
            <v>–</v>
          </cell>
          <cell r="AL173" t="str">
            <v>–</v>
          </cell>
          <cell r="AM173">
            <v>13.1</v>
          </cell>
          <cell r="AN173">
            <v>2220</v>
          </cell>
        </row>
        <row r="174">
          <cell r="C174" t="str">
            <v>WT18X220.5</v>
          </cell>
          <cell r="D174" t="str">
            <v>T</v>
          </cell>
          <cell r="E174">
            <v>220.5</v>
          </cell>
          <cell r="F174">
            <v>64.900000000000006</v>
          </cell>
          <cell r="G174" t="str">
            <v>WT18X220.5</v>
          </cell>
          <cell r="H174">
            <v>19.399999999999999</v>
          </cell>
          <cell r="I174">
            <v>19.375</v>
          </cell>
          <cell r="J174" t="str">
            <v>–</v>
          </cell>
          <cell r="K174" t="str">
            <v>–</v>
          </cell>
          <cell r="L174" t="str">
            <v>–</v>
          </cell>
          <cell r="M174">
            <v>17</v>
          </cell>
          <cell r="N174">
            <v>17</v>
          </cell>
          <cell r="O174" t="str">
            <v>–</v>
          </cell>
          <cell r="P174" t="str">
            <v>–</v>
          </cell>
          <cell r="Q174" t="str">
            <v>–</v>
          </cell>
          <cell r="R174">
            <v>1.36</v>
          </cell>
          <cell r="S174">
            <v>1.375</v>
          </cell>
          <cell r="T174">
            <v>0.6875</v>
          </cell>
          <cell r="U174">
            <v>2.44</v>
          </cell>
          <cell r="V174">
            <v>2.4375</v>
          </cell>
          <cell r="W174">
            <v>2.44</v>
          </cell>
          <cell r="X174" t="str">
            <v>–</v>
          </cell>
          <cell r="Y174" t="str">
            <v>–</v>
          </cell>
          <cell r="Z174">
            <v>3.39</v>
          </cell>
          <cell r="AA174">
            <v>3.75</v>
          </cell>
          <cell r="AB174" t="str">
            <v>–</v>
          </cell>
          <cell r="AC174" t="str">
            <v>–</v>
          </cell>
          <cell r="AD174">
            <v>4.6900000000000004</v>
          </cell>
          <cell r="AE174" t="str">
            <v>–</v>
          </cell>
          <cell r="AF174" t="str">
            <v>–</v>
          </cell>
          <cell r="AG174">
            <v>1.91</v>
          </cell>
          <cell r="AH174">
            <v>3.48</v>
          </cell>
          <cell r="AI174" t="str">
            <v>–</v>
          </cell>
          <cell r="AJ174" t="str">
            <v>–</v>
          </cell>
          <cell r="AK174" t="str">
            <v>–</v>
          </cell>
          <cell r="AL174" t="str">
            <v>–</v>
          </cell>
          <cell r="AM174">
            <v>14.3</v>
          </cell>
          <cell r="AN174">
            <v>1980</v>
          </cell>
        </row>
        <row r="175">
          <cell r="C175" t="str">
            <v>WT18X197.5</v>
          </cell>
          <cell r="D175" t="str">
            <v>T</v>
          </cell>
          <cell r="E175">
            <v>197.5</v>
          </cell>
          <cell r="F175">
            <v>58.1</v>
          </cell>
          <cell r="G175" t="str">
            <v>WT18X197.5</v>
          </cell>
          <cell r="H175">
            <v>19.2</v>
          </cell>
          <cell r="I175">
            <v>19.25</v>
          </cell>
          <cell r="J175" t="str">
            <v>–</v>
          </cell>
          <cell r="K175" t="str">
            <v>–</v>
          </cell>
          <cell r="L175" t="str">
            <v>–</v>
          </cell>
          <cell r="M175">
            <v>16.8</v>
          </cell>
          <cell r="N175">
            <v>16.875</v>
          </cell>
          <cell r="O175" t="str">
            <v>–</v>
          </cell>
          <cell r="P175" t="str">
            <v>–</v>
          </cell>
          <cell r="Q175" t="str">
            <v>–</v>
          </cell>
          <cell r="R175">
            <v>1.22</v>
          </cell>
          <cell r="S175">
            <v>1.25</v>
          </cell>
          <cell r="T175">
            <v>0.625</v>
          </cell>
          <cell r="U175">
            <v>2.2000000000000002</v>
          </cell>
          <cell r="V175">
            <v>2.1875</v>
          </cell>
          <cell r="W175">
            <v>2.2000000000000002</v>
          </cell>
          <cell r="X175" t="str">
            <v>–</v>
          </cell>
          <cell r="Y175" t="str">
            <v>–</v>
          </cell>
          <cell r="Z175">
            <v>3.15</v>
          </cell>
          <cell r="AA175">
            <v>3.4375</v>
          </cell>
          <cell r="AB175" t="str">
            <v>–</v>
          </cell>
          <cell r="AC175" t="str">
            <v>–</v>
          </cell>
          <cell r="AD175">
            <v>4.53</v>
          </cell>
          <cell r="AE175" t="str">
            <v>–</v>
          </cell>
          <cell r="AF175" t="str">
            <v>–</v>
          </cell>
          <cell r="AG175">
            <v>1.73</v>
          </cell>
          <cell r="AH175">
            <v>3.83</v>
          </cell>
          <cell r="AI175" t="str">
            <v>–</v>
          </cell>
          <cell r="AJ175" t="str">
            <v>–</v>
          </cell>
          <cell r="AK175" t="str">
            <v>–</v>
          </cell>
          <cell r="AL175" t="str">
            <v>–</v>
          </cell>
          <cell r="AM175">
            <v>15.7</v>
          </cell>
          <cell r="AN175">
            <v>1740</v>
          </cell>
        </row>
        <row r="176">
          <cell r="C176" t="str">
            <v>WT18X180.5</v>
          </cell>
          <cell r="D176" t="str">
            <v>T</v>
          </cell>
          <cell r="E176">
            <v>180.5</v>
          </cell>
          <cell r="F176">
            <v>53</v>
          </cell>
          <cell r="G176" t="str">
            <v>WT18X180.5</v>
          </cell>
          <cell r="H176">
            <v>19</v>
          </cell>
          <cell r="I176">
            <v>19</v>
          </cell>
          <cell r="J176" t="str">
            <v>–</v>
          </cell>
          <cell r="K176" t="str">
            <v>–</v>
          </cell>
          <cell r="L176" t="str">
            <v>–</v>
          </cell>
          <cell r="M176">
            <v>16.7</v>
          </cell>
          <cell r="N176">
            <v>16.75</v>
          </cell>
          <cell r="O176" t="str">
            <v>–</v>
          </cell>
          <cell r="P176" t="str">
            <v>–</v>
          </cell>
          <cell r="Q176" t="str">
            <v>–</v>
          </cell>
          <cell r="R176">
            <v>1.1200000000000001</v>
          </cell>
          <cell r="S176">
            <v>1.125</v>
          </cell>
          <cell r="T176">
            <v>0.5625</v>
          </cell>
          <cell r="U176">
            <v>2.0099999999999998</v>
          </cell>
          <cell r="V176">
            <v>2</v>
          </cell>
          <cell r="W176">
            <v>2.0099999999999998</v>
          </cell>
          <cell r="X176" t="str">
            <v>–</v>
          </cell>
          <cell r="Y176" t="str">
            <v>–</v>
          </cell>
          <cell r="Z176">
            <v>2.96</v>
          </cell>
          <cell r="AA176">
            <v>3.3125</v>
          </cell>
          <cell r="AB176" t="str">
            <v>–</v>
          </cell>
          <cell r="AC176" t="str">
            <v>–</v>
          </cell>
          <cell r="AD176">
            <v>4.42</v>
          </cell>
          <cell r="AE176" t="str">
            <v>–</v>
          </cell>
          <cell r="AF176" t="str">
            <v>–</v>
          </cell>
          <cell r="AG176">
            <v>1.59</v>
          </cell>
          <cell r="AH176">
            <v>4.16</v>
          </cell>
          <cell r="AI176" t="str">
            <v>–</v>
          </cell>
          <cell r="AJ176" t="str">
            <v>–</v>
          </cell>
          <cell r="AK176" t="str">
            <v>–</v>
          </cell>
          <cell r="AL176" t="str">
            <v>–</v>
          </cell>
          <cell r="AM176">
            <v>17</v>
          </cell>
          <cell r="AN176">
            <v>1570</v>
          </cell>
        </row>
        <row r="177">
          <cell r="C177" t="str">
            <v>WT18X165</v>
          </cell>
          <cell r="D177" t="str">
            <v>F</v>
          </cell>
          <cell r="E177">
            <v>165</v>
          </cell>
          <cell r="F177">
            <v>48.4</v>
          </cell>
          <cell r="G177" t="str">
            <v>WT18X165</v>
          </cell>
          <cell r="H177">
            <v>18.8</v>
          </cell>
          <cell r="I177">
            <v>18.875</v>
          </cell>
          <cell r="J177" t="str">
            <v>–</v>
          </cell>
          <cell r="K177" t="str">
            <v>–</v>
          </cell>
          <cell r="L177" t="str">
            <v>–</v>
          </cell>
          <cell r="M177">
            <v>16.600000000000001</v>
          </cell>
          <cell r="N177">
            <v>16.625</v>
          </cell>
          <cell r="O177" t="str">
            <v>–</v>
          </cell>
          <cell r="P177" t="str">
            <v>–</v>
          </cell>
          <cell r="Q177" t="str">
            <v>–</v>
          </cell>
          <cell r="R177">
            <v>1.02</v>
          </cell>
          <cell r="S177">
            <v>1</v>
          </cell>
          <cell r="T177">
            <v>0.5</v>
          </cell>
          <cell r="U177">
            <v>1.85</v>
          </cell>
          <cell r="V177">
            <v>1.875</v>
          </cell>
          <cell r="W177">
            <v>1.85</v>
          </cell>
          <cell r="X177" t="str">
            <v>–</v>
          </cell>
          <cell r="Y177" t="str">
            <v>–</v>
          </cell>
          <cell r="Z177">
            <v>2.8</v>
          </cell>
          <cell r="AA177">
            <v>3.125</v>
          </cell>
          <cell r="AB177" t="str">
            <v>–</v>
          </cell>
          <cell r="AC177" t="str">
            <v>–</v>
          </cell>
          <cell r="AD177">
            <v>4.3</v>
          </cell>
          <cell r="AE177" t="str">
            <v>–</v>
          </cell>
          <cell r="AF177" t="str">
            <v>–</v>
          </cell>
          <cell r="AG177">
            <v>1.46</v>
          </cell>
          <cell r="AH177">
            <v>4.49</v>
          </cell>
          <cell r="AI177" t="str">
            <v>–</v>
          </cell>
          <cell r="AJ177" t="str">
            <v>–</v>
          </cell>
          <cell r="AK177" t="str">
            <v>–</v>
          </cell>
          <cell r="AL177" t="str">
            <v>–</v>
          </cell>
          <cell r="AM177">
            <v>18.399999999999999</v>
          </cell>
          <cell r="AN177">
            <v>1410</v>
          </cell>
        </row>
        <row r="178">
          <cell r="C178" t="str">
            <v>WT18X151</v>
          </cell>
          <cell r="D178" t="str">
            <v>F</v>
          </cell>
          <cell r="E178">
            <v>151</v>
          </cell>
          <cell r="F178">
            <v>44.5</v>
          </cell>
          <cell r="G178" t="str">
            <v>WT18X151</v>
          </cell>
          <cell r="H178">
            <v>18.7</v>
          </cell>
          <cell r="I178">
            <v>18.625</v>
          </cell>
          <cell r="J178" t="str">
            <v>–</v>
          </cell>
          <cell r="K178" t="str">
            <v>–</v>
          </cell>
          <cell r="L178" t="str">
            <v>–</v>
          </cell>
          <cell r="M178">
            <v>16.7</v>
          </cell>
          <cell r="N178">
            <v>16.625</v>
          </cell>
          <cell r="O178" t="str">
            <v>–</v>
          </cell>
          <cell r="P178" t="str">
            <v>–</v>
          </cell>
          <cell r="Q178" t="str">
            <v>–</v>
          </cell>
          <cell r="R178">
            <v>0.94499999999999995</v>
          </cell>
          <cell r="S178">
            <v>0.9375</v>
          </cell>
          <cell r="T178">
            <v>0.5</v>
          </cell>
          <cell r="U178">
            <v>1.68</v>
          </cell>
          <cell r="V178">
            <v>1.6875</v>
          </cell>
          <cell r="W178">
            <v>1.68</v>
          </cell>
          <cell r="X178" t="str">
            <v>–</v>
          </cell>
          <cell r="Y178" t="str">
            <v>–</v>
          </cell>
          <cell r="Z178">
            <v>2.63</v>
          </cell>
          <cell r="AA178">
            <v>3</v>
          </cell>
          <cell r="AB178" t="str">
            <v>–</v>
          </cell>
          <cell r="AC178" t="str">
            <v>–</v>
          </cell>
          <cell r="AD178">
            <v>4.22</v>
          </cell>
          <cell r="AE178" t="str">
            <v>–</v>
          </cell>
          <cell r="AF178" t="str">
            <v>–</v>
          </cell>
          <cell r="AG178">
            <v>1.33</v>
          </cell>
          <cell r="AH178">
            <v>4.96</v>
          </cell>
          <cell r="AI178" t="str">
            <v>–</v>
          </cell>
          <cell r="AJ178" t="str">
            <v>–</v>
          </cell>
          <cell r="AK178" t="str">
            <v>–</v>
          </cell>
          <cell r="AL178" t="str">
            <v>–</v>
          </cell>
          <cell r="AM178">
            <v>19.8</v>
          </cell>
          <cell r="AN178">
            <v>1280</v>
          </cell>
        </row>
        <row r="179">
          <cell r="C179" t="str">
            <v>WT18X141</v>
          </cell>
          <cell r="D179" t="str">
            <v>F</v>
          </cell>
          <cell r="E179">
            <v>141</v>
          </cell>
          <cell r="F179">
            <v>41.5</v>
          </cell>
          <cell r="G179" t="str">
            <v>WT18X141</v>
          </cell>
          <cell r="H179">
            <v>18.600000000000001</v>
          </cell>
          <cell r="I179">
            <v>18.5</v>
          </cell>
          <cell r="J179" t="str">
            <v>–</v>
          </cell>
          <cell r="K179" t="str">
            <v>–</v>
          </cell>
          <cell r="L179" t="str">
            <v>–</v>
          </cell>
          <cell r="M179">
            <v>16.600000000000001</v>
          </cell>
          <cell r="N179">
            <v>16.625</v>
          </cell>
          <cell r="O179" t="str">
            <v>–</v>
          </cell>
          <cell r="P179" t="str">
            <v>–</v>
          </cell>
          <cell r="Q179" t="str">
            <v>–</v>
          </cell>
          <cell r="R179">
            <v>0.88500000000000001</v>
          </cell>
          <cell r="S179">
            <v>0.875</v>
          </cell>
          <cell r="T179">
            <v>0.4375</v>
          </cell>
          <cell r="U179">
            <v>1.57</v>
          </cell>
          <cell r="V179">
            <v>1.5625</v>
          </cell>
          <cell r="W179">
            <v>1.57</v>
          </cell>
          <cell r="X179" t="str">
            <v>–</v>
          </cell>
          <cell r="Y179" t="str">
            <v>–</v>
          </cell>
          <cell r="Z179">
            <v>2.52</v>
          </cell>
          <cell r="AA179">
            <v>2.875</v>
          </cell>
          <cell r="AB179" t="str">
            <v>–</v>
          </cell>
          <cell r="AC179" t="str">
            <v>–</v>
          </cell>
          <cell r="AD179">
            <v>4.16</v>
          </cell>
          <cell r="AE179" t="str">
            <v>–</v>
          </cell>
          <cell r="AF179" t="str">
            <v>–</v>
          </cell>
          <cell r="AG179">
            <v>1.25</v>
          </cell>
          <cell r="AH179">
            <v>5.29</v>
          </cell>
          <cell r="AI179" t="str">
            <v>–</v>
          </cell>
          <cell r="AJ179" t="str">
            <v>–</v>
          </cell>
          <cell r="AK179" t="str">
            <v>–</v>
          </cell>
          <cell r="AL179" t="str">
            <v>–</v>
          </cell>
          <cell r="AM179">
            <v>21</v>
          </cell>
          <cell r="AN179">
            <v>1190</v>
          </cell>
        </row>
        <row r="180">
          <cell r="C180" t="str">
            <v>WT18X131</v>
          </cell>
          <cell r="D180" t="str">
            <v>F</v>
          </cell>
          <cell r="E180">
            <v>131</v>
          </cell>
          <cell r="F180">
            <v>38.5</v>
          </cell>
          <cell r="G180" t="str">
            <v>WT18X131</v>
          </cell>
          <cell r="H180">
            <v>18.399999999999999</v>
          </cell>
          <cell r="I180">
            <v>18.375</v>
          </cell>
          <cell r="J180" t="str">
            <v>–</v>
          </cell>
          <cell r="K180" t="str">
            <v>–</v>
          </cell>
          <cell r="L180" t="str">
            <v>–</v>
          </cell>
          <cell r="M180">
            <v>16.600000000000001</v>
          </cell>
          <cell r="N180">
            <v>16.5</v>
          </cell>
          <cell r="O180" t="str">
            <v>–</v>
          </cell>
          <cell r="P180" t="str">
            <v>–</v>
          </cell>
          <cell r="Q180" t="str">
            <v>–</v>
          </cell>
          <cell r="R180">
            <v>0.84</v>
          </cell>
          <cell r="S180">
            <v>0.8125</v>
          </cell>
          <cell r="T180">
            <v>0.4375</v>
          </cell>
          <cell r="U180">
            <v>1.44</v>
          </cell>
          <cell r="V180">
            <v>1.4375</v>
          </cell>
          <cell r="W180">
            <v>1.44</v>
          </cell>
          <cell r="X180" t="str">
            <v>–</v>
          </cell>
          <cell r="Y180" t="str">
            <v>–</v>
          </cell>
          <cell r="Z180">
            <v>2.39</v>
          </cell>
          <cell r="AA180">
            <v>2.75</v>
          </cell>
          <cell r="AB180" t="str">
            <v>–</v>
          </cell>
          <cell r="AC180" t="str">
            <v>–</v>
          </cell>
          <cell r="AD180">
            <v>4.1399999999999997</v>
          </cell>
          <cell r="AE180" t="str">
            <v>–</v>
          </cell>
          <cell r="AF180" t="str">
            <v>–</v>
          </cell>
          <cell r="AG180">
            <v>1.1599999999999999</v>
          </cell>
          <cell r="AH180">
            <v>5.75</v>
          </cell>
          <cell r="AI180" t="str">
            <v>–</v>
          </cell>
          <cell r="AJ180" t="str">
            <v>–</v>
          </cell>
          <cell r="AK180" t="str">
            <v>–</v>
          </cell>
          <cell r="AL180" t="str">
            <v>–</v>
          </cell>
          <cell r="AM180">
            <v>21.9</v>
          </cell>
          <cell r="AN180">
            <v>1110</v>
          </cell>
        </row>
        <row r="181">
          <cell r="C181" t="str">
            <v>WT18X123.5</v>
          </cell>
          <cell r="D181" t="str">
            <v>F</v>
          </cell>
          <cell r="E181">
            <v>123.5</v>
          </cell>
          <cell r="F181">
            <v>36.299999999999997</v>
          </cell>
          <cell r="G181" t="str">
            <v>WT18X123.5</v>
          </cell>
          <cell r="H181">
            <v>18.3</v>
          </cell>
          <cell r="I181">
            <v>18.375</v>
          </cell>
          <cell r="J181" t="str">
            <v>–</v>
          </cell>
          <cell r="K181" t="str">
            <v>–</v>
          </cell>
          <cell r="L181" t="str">
            <v>–</v>
          </cell>
          <cell r="M181">
            <v>16.5</v>
          </cell>
          <cell r="N181">
            <v>16.5</v>
          </cell>
          <cell r="O181" t="str">
            <v>–</v>
          </cell>
          <cell r="P181" t="str">
            <v>–</v>
          </cell>
          <cell r="Q181" t="str">
            <v>–</v>
          </cell>
          <cell r="R181">
            <v>0.8</v>
          </cell>
          <cell r="S181">
            <v>0.8125</v>
          </cell>
          <cell r="T181">
            <v>0.4375</v>
          </cell>
          <cell r="U181">
            <v>1.35</v>
          </cell>
          <cell r="V181">
            <v>1.375</v>
          </cell>
          <cell r="W181">
            <v>1.35</v>
          </cell>
          <cell r="X181" t="str">
            <v>–</v>
          </cell>
          <cell r="Y181" t="str">
            <v>–</v>
          </cell>
          <cell r="Z181">
            <v>2.2999999999999998</v>
          </cell>
          <cell r="AA181">
            <v>2.625</v>
          </cell>
          <cell r="AB181" t="str">
            <v>–</v>
          </cell>
          <cell r="AC181" t="str">
            <v>–</v>
          </cell>
          <cell r="AD181">
            <v>4.12</v>
          </cell>
          <cell r="AE181" t="str">
            <v>–</v>
          </cell>
          <cell r="AF181" t="str">
            <v>–</v>
          </cell>
          <cell r="AG181">
            <v>1.1000000000000001</v>
          </cell>
          <cell r="AH181">
            <v>6.11</v>
          </cell>
          <cell r="AI181" t="str">
            <v>–</v>
          </cell>
          <cell r="AJ181" t="str">
            <v>–</v>
          </cell>
          <cell r="AK181" t="str">
            <v>–</v>
          </cell>
          <cell r="AL181" t="str">
            <v>–</v>
          </cell>
          <cell r="AM181">
            <v>22.9</v>
          </cell>
          <cell r="AN181">
            <v>1040</v>
          </cell>
        </row>
        <row r="182">
          <cell r="C182" t="str">
            <v>WT18X115.5</v>
          </cell>
          <cell r="D182" t="str">
            <v>F</v>
          </cell>
          <cell r="E182">
            <v>115.5</v>
          </cell>
          <cell r="F182">
            <v>34.1</v>
          </cell>
          <cell r="G182" t="str">
            <v>WT18X115.5</v>
          </cell>
          <cell r="H182">
            <v>18.2</v>
          </cell>
          <cell r="I182">
            <v>18.25</v>
          </cell>
          <cell r="J182" t="str">
            <v>–</v>
          </cell>
          <cell r="K182" t="str">
            <v>–</v>
          </cell>
          <cell r="L182" t="str">
            <v>–</v>
          </cell>
          <cell r="M182">
            <v>16.5</v>
          </cell>
          <cell r="N182">
            <v>16.5</v>
          </cell>
          <cell r="O182" t="str">
            <v>–</v>
          </cell>
          <cell r="P182" t="str">
            <v>–</v>
          </cell>
          <cell r="Q182" t="str">
            <v>–</v>
          </cell>
          <cell r="R182">
            <v>0.76</v>
          </cell>
          <cell r="S182">
            <v>0.75</v>
          </cell>
          <cell r="T182">
            <v>0.375</v>
          </cell>
          <cell r="U182">
            <v>1.26</v>
          </cell>
          <cell r="V182">
            <v>1.25</v>
          </cell>
          <cell r="W182">
            <v>1.26</v>
          </cell>
          <cell r="X182" t="str">
            <v>–</v>
          </cell>
          <cell r="Y182" t="str">
            <v>–</v>
          </cell>
          <cell r="Z182">
            <v>2.21</v>
          </cell>
          <cell r="AA182">
            <v>2.5625</v>
          </cell>
          <cell r="AB182" t="str">
            <v>–</v>
          </cell>
          <cell r="AC182" t="str">
            <v>–</v>
          </cell>
          <cell r="AD182">
            <v>4.0999999999999996</v>
          </cell>
          <cell r="AE182" t="str">
            <v>–</v>
          </cell>
          <cell r="AF182" t="str">
            <v>–</v>
          </cell>
          <cell r="AG182">
            <v>1.03</v>
          </cell>
          <cell r="AH182">
            <v>6.54</v>
          </cell>
          <cell r="AI182" t="str">
            <v>–</v>
          </cell>
          <cell r="AJ182" t="str">
            <v>–</v>
          </cell>
          <cell r="AK182" t="str">
            <v>–</v>
          </cell>
          <cell r="AL182" t="str">
            <v>–</v>
          </cell>
          <cell r="AM182">
            <v>23.9</v>
          </cell>
          <cell r="AN182">
            <v>978</v>
          </cell>
        </row>
        <row r="183">
          <cell r="C183" t="str">
            <v>WT18X128</v>
          </cell>
          <cell r="D183" t="str">
            <v>F</v>
          </cell>
          <cell r="E183">
            <v>128</v>
          </cell>
          <cell r="F183">
            <v>37.6</v>
          </cell>
          <cell r="G183" t="str">
            <v>WT18X128</v>
          </cell>
          <cell r="H183">
            <v>18.7</v>
          </cell>
          <cell r="I183">
            <v>18.75</v>
          </cell>
          <cell r="J183" t="str">
            <v>–</v>
          </cell>
          <cell r="K183" t="str">
            <v>–</v>
          </cell>
          <cell r="L183" t="str">
            <v>–</v>
          </cell>
          <cell r="M183">
            <v>12.2</v>
          </cell>
          <cell r="N183">
            <v>12.25</v>
          </cell>
          <cell r="O183" t="str">
            <v>–</v>
          </cell>
          <cell r="P183" t="str">
            <v>–</v>
          </cell>
          <cell r="Q183" t="str">
            <v>–</v>
          </cell>
          <cell r="R183">
            <v>0.96</v>
          </cell>
          <cell r="S183">
            <v>0.9375</v>
          </cell>
          <cell r="T183">
            <v>0.5</v>
          </cell>
          <cell r="U183">
            <v>1.73</v>
          </cell>
          <cell r="V183">
            <v>1.75</v>
          </cell>
          <cell r="W183">
            <v>1.73</v>
          </cell>
          <cell r="X183" t="str">
            <v>–</v>
          </cell>
          <cell r="Y183" t="str">
            <v>–</v>
          </cell>
          <cell r="Z183">
            <v>2.48</v>
          </cell>
          <cell r="AA183">
            <v>2.9375</v>
          </cell>
          <cell r="AB183" t="str">
            <v>–</v>
          </cell>
          <cell r="AC183" t="str">
            <v>–</v>
          </cell>
          <cell r="AD183">
            <v>4.92</v>
          </cell>
          <cell r="AE183" t="str">
            <v>–</v>
          </cell>
          <cell r="AF183" t="str">
            <v>–</v>
          </cell>
          <cell r="AG183">
            <v>1.54</v>
          </cell>
          <cell r="AH183">
            <v>3.53</v>
          </cell>
          <cell r="AI183" t="str">
            <v>–</v>
          </cell>
          <cell r="AJ183" t="str">
            <v>–</v>
          </cell>
          <cell r="AK183" t="str">
            <v>–</v>
          </cell>
          <cell r="AL183" t="str">
            <v>–</v>
          </cell>
          <cell r="AM183">
            <v>19.5</v>
          </cell>
          <cell r="AN183">
            <v>1210</v>
          </cell>
        </row>
        <row r="184">
          <cell r="C184" t="str">
            <v>WT18X116</v>
          </cell>
          <cell r="D184" t="str">
            <v>F</v>
          </cell>
          <cell r="E184">
            <v>116</v>
          </cell>
          <cell r="F184">
            <v>34</v>
          </cell>
          <cell r="G184" t="str">
            <v>WT18X116</v>
          </cell>
          <cell r="H184">
            <v>18.600000000000001</v>
          </cell>
          <cell r="I184">
            <v>18.5</v>
          </cell>
          <cell r="J184" t="str">
            <v>–</v>
          </cell>
          <cell r="K184" t="str">
            <v>–</v>
          </cell>
          <cell r="L184" t="str">
            <v>–</v>
          </cell>
          <cell r="M184">
            <v>12.1</v>
          </cell>
          <cell r="N184">
            <v>12.125</v>
          </cell>
          <cell r="O184" t="str">
            <v>–</v>
          </cell>
          <cell r="P184" t="str">
            <v>–</v>
          </cell>
          <cell r="Q184" t="str">
            <v>–</v>
          </cell>
          <cell r="R184">
            <v>0.87</v>
          </cell>
          <cell r="S184">
            <v>0.875</v>
          </cell>
          <cell r="T184">
            <v>0.4375</v>
          </cell>
          <cell r="U184">
            <v>1.57</v>
          </cell>
          <cell r="V184">
            <v>1.5625</v>
          </cell>
          <cell r="W184">
            <v>1.57</v>
          </cell>
          <cell r="X184" t="str">
            <v>–</v>
          </cell>
          <cell r="Y184" t="str">
            <v>–</v>
          </cell>
          <cell r="Z184">
            <v>2.3199999999999998</v>
          </cell>
          <cell r="AA184">
            <v>2.8125</v>
          </cell>
          <cell r="AB184" t="str">
            <v>–</v>
          </cell>
          <cell r="AC184" t="str">
            <v>–</v>
          </cell>
          <cell r="AD184">
            <v>4.82</v>
          </cell>
          <cell r="AE184" t="str">
            <v>–</v>
          </cell>
          <cell r="AF184" t="str">
            <v>–</v>
          </cell>
          <cell r="AG184">
            <v>1.4</v>
          </cell>
          <cell r="AH184">
            <v>3.86</v>
          </cell>
          <cell r="AI184" t="str">
            <v>–</v>
          </cell>
          <cell r="AJ184" t="str">
            <v>–</v>
          </cell>
          <cell r="AK184" t="str">
            <v>–</v>
          </cell>
          <cell r="AL184" t="str">
            <v>–</v>
          </cell>
          <cell r="AM184">
            <v>21.4</v>
          </cell>
          <cell r="AN184">
            <v>1080</v>
          </cell>
        </row>
        <row r="185">
          <cell r="C185" t="str">
            <v>WT18X105</v>
          </cell>
          <cell r="D185" t="str">
            <v>F</v>
          </cell>
          <cell r="E185">
            <v>105</v>
          </cell>
          <cell r="F185">
            <v>30.9</v>
          </cell>
          <cell r="G185" t="str">
            <v>WT18X105</v>
          </cell>
          <cell r="H185">
            <v>18.3</v>
          </cell>
          <cell r="I185">
            <v>18.375</v>
          </cell>
          <cell r="J185" t="str">
            <v>–</v>
          </cell>
          <cell r="K185" t="str">
            <v>–</v>
          </cell>
          <cell r="L185" t="str">
            <v>–</v>
          </cell>
          <cell r="M185">
            <v>12.2</v>
          </cell>
          <cell r="N185">
            <v>12.125</v>
          </cell>
          <cell r="O185" t="str">
            <v>–</v>
          </cell>
          <cell r="P185" t="str">
            <v>–</v>
          </cell>
          <cell r="Q185" t="str">
            <v>–</v>
          </cell>
          <cell r="R185">
            <v>0.83</v>
          </cell>
          <cell r="S185">
            <v>0.8125</v>
          </cell>
          <cell r="T185">
            <v>0.4375</v>
          </cell>
          <cell r="U185">
            <v>1.36</v>
          </cell>
          <cell r="V185">
            <v>1.375</v>
          </cell>
          <cell r="W185">
            <v>1.36</v>
          </cell>
          <cell r="X185" t="str">
            <v>–</v>
          </cell>
          <cell r="Y185" t="str">
            <v>–</v>
          </cell>
          <cell r="Z185">
            <v>2.11</v>
          </cell>
          <cell r="AA185">
            <v>2.625</v>
          </cell>
          <cell r="AB185" t="str">
            <v>–</v>
          </cell>
          <cell r="AC185" t="str">
            <v>–</v>
          </cell>
          <cell r="AD185">
            <v>4.87</v>
          </cell>
          <cell r="AE185" t="str">
            <v>–</v>
          </cell>
          <cell r="AF185" t="str">
            <v>–</v>
          </cell>
          <cell r="AG185">
            <v>1.27</v>
          </cell>
          <cell r="AH185">
            <v>4.4800000000000004</v>
          </cell>
          <cell r="AI185" t="str">
            <v>–</v>
          </cell>
          <cell r="AJ185" t="str">
            <v>–</v>
          </cell>
          <cell r="AK185" t="str">
            <v>–</v>
          </cell>
          <cell r="AL185" t="str">
            <v>–</v>
          </cell>
          <cell r="AM185">
            <v>22</v>
          </cell>
          <cell r="AN185">
            <v>985</v>
          </cell>
        </row>
        <row r="186">
          <cell r="C186" t="str">
            <v>WT18X97</v>
          </cell>
          <cell r="D186" t="str">
            <v>F</v>
          </cell>
          <cell r="E186">
            <v>97</v>
          </cell>
          <cell r="F186">
            <v>28.5</v>
          </cell>
          <cell r="G186" t="str">
            <v>WT18X97</v>
          </cell>
          <cell r="H186">
            <v>18.2</v>
          </cell>
          <cell r="I186">
            <v>18.25</v>
          </cell>
          <cell r="J186" t="str">
            <v>–</v>
          </cell>
          <cell r="K186" t="str">
            <v>–</v>
          </cell>
          <cell r="L186" t="str">
            <v>–</v>
          </cell>
          <cell r="M186">
            <v>12.1</v>
          </cell>
          <cell r="N186">
            <v>12.125</v>
          </cell>
          <cell r="O186" t="str">
            <v>–</v>
          </cell>
          <cell r="P186" t="str">
            <v>–</v>
          </cell>
          <cell r="Q186" t="str">
            <v>–</v>
          </cell>
          <cell r="R186">
            <v>0.76500000000000001</v>
          </cell>
          <cell r="S186">
            <v>0.75</v>
          </cell>
          <cell r="T186">
            <v>0.375</v>
          </cell>
          <cell r="U186">
            <v>1.26</v>
          </cell>
          <cell r="V186">
            <v>1.25</v>
          </cell>
          <cell r="W186">
            <v>1.26</v>
          </cell>
          <cell r="X186" t="str">
            <v>–</v>
          </cell>
          <cell r="Y186" t="str">
            <v>–</v>
          </cell>
          <cell r="Z186">
            <v>2.0099999999999998</v>
          </cell>
          <cell r="AA186">
            <v>2.5</v>
          </cell>
          <cell r="AB186" t="str">
            <v>–</v>
          </cell>
          <cell r="AC186" t="str">
            <v>–</v>
          </cell>
          <cell r="AD186">
            <v>4.8</v>
          </cell>
          <cell r="AE186" t="str">
            <v>–</v>
          </cell>
          <cell r="AF186" t="str">
            <v>–</v>
          </cell>
          <cell r="AG186">
            <v>1.18</v>
          </cell>
          <cell r="AH186">
            <v>4.8099999999999996</v>
          </cell>
          <cell r="AI186" t="str">
            <v>–</v>
          </cell>
          <cell r="AJ186" t="str">
            <v>–</v>
          </cell>
          <cell r="AK186" t="str">
            <v>–</v>
          </cell>
          <cell r="AL186" t="str">
            <v>–</v>
          </cell>
          <cell r="AM186">
            <v>23.8</v>
          </cell>
          <cell r="AN186">
            <v>901</v>
          </cell>
        </row>
        <row r="187">
          <cell r="C187" t="str">
            <v>WT18X91</v>
          </cell>
          <cell r="D187" t="str">
            <v>F</v>
          </cell>
          <cell r="E187">
            <v>91</v>
          </cell>
          <cell r="F187">
            <v>26.8</v>
          </cell>
          <cell r="G187" t="str">
            <v>WT18X91</v>
          </cell>
          <cell r="H187">
            <v>18.2</v>
          </cell>
          <cell r="I187">
            <v>18.125</v>
          </cell>
          <cell r="J187" t="str">
            <v>–</v>
          </cell>
          <cell r="K187" t="str">
            <v>–</v>
          </cell>
          <cell r="L187" t="str">
            <v>–</v>
          </cell>
          <cell r="M187">
            <v>12.1</v>
          </cell>
          <cell r="N187">
            <v>12.125</v>
          </cell>
          <cell r="O187" t="str">
            <v>–</v>
          </cell>
          <cell r="P187" t="str">
            <v>–</v>
          </cell>
          <cell r="Q187" t="str">
            <v>–</v>
          </cell>
          <cell r="R187">
            <v>0.72499999999999998</v>
          </cell>
          <cell r="S187">
            <v>0.75</v>
          </cell>
          <cell r="T187">
            <v>0.375</v>
          </cell>
          <cell r="U187">
            <v>1.18</v>
          </cell>
          <cell r="V187">
            <v>1.1875</v>
          </cell>
          <cell r="W187">
            <v>1.18</v>
          </cell>
          <cell r="X187" t="str">
            <v>–</v>
          </cell>
          <cell r="Y187" t="str">
            <v>–</v>
          </cell>
          <cell r="Z187">
            <v>1.93</v>
          </cell>
          <cell r="AA187">
            <v>2.375</v>
          </cell>
          <cell r="AB187" t="str">
            <v>–</v>
          </cell>
          <cell r="AC187" t="str">
            <v>–</v>
          </cell>
          <cell r="AD187">
            <v>4.7699999999999996</v>
          </cell>
          <cell r="AE187" t="str">
            <v>–</v>
          </cell>
          <cell r="AF187" t="str">
            <v>–</v>
          </cell>
          <cell r="AG187">
            <v>1.1100000000000001</v>
          </cell>
          <cell r="AH187">
            <v>5.12</v>
          </cell>
          <cell r="AI187" t="str">
            <v>–</v>
          </cell>
          <cell r="AJ187" t="str">
            <v>–</v>
          </cell>
          <cell r="AK187" t="str">
            <v>–</v>
          </cell>
          <cell r="AL187" t="str">
            <v>–</v>
          </cell>
          <cell r="AM187">
            <v>25.1</v>
          </cell>
          <cell r="AN187">
            <v>845</v>
          </cell>
        </row>
        <row r="188">
          <cell r="C188" t="str">
            <v>WT18X85</v>
          </cell>
          <cell r="D188" t="str">
            <v>F</v>
          </cell>
          <cell r="E188">
            <v>85</v>
          </cell>
          <cell r="F188">
            <v>25</v>
          </cell>
          <cell r="G188" t="str">
            <v>WT18X85</v>
          </cell>
          <cell r="H188">
            <v>18.100000000000001</v>
          </cell>
          <cell r="I188">
            <v>18.125</v>
          </cell>
          <cell r="J188" t="str">
            <v>–</v>
          </cell>
          <cell r="K188" t="str">
            <v>–</v>
          </cell>
          <cell r="L188" t="str">
            <v>–</v>
          </cell>
          <cell r="M188">
            <v>12</v>
          </cell>
          <cell r="N188">
            <v>12</v>
          </cell>
          <cell r="O188" t="str">
            <v>–</v>
          </cell>
          <cell r="P188" t="str">
            <v>–</v>
          </cell>
          <cell r="Q188" t="str">
            <v>–</v>
          </cell>
          <cell r="R188">
            <v>0.68</v>
          </cell>
          <cell r="S188">
            <v>0.6875</v>
          </cell>
          <cell r="T188">
            <v>0.375</v>
          </cell>
          <cell r="U188">
            <v>1.1000000000000001</v>
          </cell>
          <cell r="V188">
            <v>1.125</v>
          </cell>
          <cell r="W188">
            <v>1.1000000000000001</v>
          </cell>
          <cell r="X188" t="str">
            <v>–</v>
          </cell>
          <cell r="Y188" t="str">
            <v>–</v>
          </cell>
          <cell r="Z188">
            <v>1.85</v>
          </cell>
          <cell r="AA188">
            <v>2.375</v>
          </cell>
          <cell r="AB188" t="str">
            <v>–</v>
          </cell>
          <cell r="AC188" t="str">
            <v>–</v>
          </cell>
          <cell r="AD188">
            <v>4.7300000000000004</v>
          </cell>
          <cell r="AE188" t="str">
            <v>–</v>
          </cell>
          <cell r="AF188" t="str">
            <v>–</v>
          </cell>
          <cell r="AG188">
            <v>1.04</v>
          </cell>
          <cell r="AH188">
            <v>5.47</v>
          </cell>
          <cell r="AI188" t="str">
            <v>–</v>
          </cell>
          <cell r="AJ188" t="str">
            <v>–</v>
          </cell>
          <cell r="AK188" t="str">
            <v>–</v>
          </cell>
          <cell r="AL188" t="str">
            <v>–</v>
          </cell>
          <cell r="AM188">
            <v>26.6</v>
          </cell>
          <cell r="AN188">
            <v>786</v>
          </cell>
        </row>
        <row r="189">
          <cell r="C189" t="str">
            <v>WT18X80</v>
          </cell>
          <cell r="D189" t="str">
            <v>F</v>
          </cell>
          <cell r="E189">
            <v>80</v>
          </cell>
          <cell r="F189">
            <v>23.5</v>
          </cell>
          <cell r="G189" t="str">
            <v>WT18X80</v>
          </cell>
          <cell r="H189">
            <v>18</v>
          </cell>
          <cell r="I189">
            <v>18</v>
          </cell>
          <cell r="J189" t="str">
            <v>–</v>
          </cell>
          <cell r="K189" t="str">
            <v>–</v>
          </cell>
          <cell r="L189" t="str">
            <v>–</v>
          </cell>
          <cell r="M189">
            <v>12</v>
          </cell>
          <cell r="N189">
            <v>12</v>
          </cell>
          <cell r="O189" t="str">
            <v>–</v>
          </cell>
          <cell r="P189" t="str">
            <v>–</v>
          </cell>
          <cell r="Q189" t="str">
            <v>–</v>
          </cell>
          <cell r="R189">
            <v>0.65</v>
          </cell>
          <cell r="S189">
            <v>0.625</v>
          </cell>
          <cell r="T189">
            <v>0.3125</v>
          </cell>
          <cell r="U189">
            <v>1.02</v>
          </cell>
          <cell r="V189">
            <v>1</v>
          </cell>
          <cell r="W189">
            <v>1.02</v>
          </cell>
          <cell r="X189" t="str">
            <v>–</v>
          </cell>
          <cell r="Y189" t="str">
            <v>–</v>
          </cell>
          <cell r="Z189">
            <v>1.77</v>
          </cell>
          <cell r="AA189">
            <v>2.25</v>
          </cell>
          <cell r="AB189" t="str">
            <v>–</v>
          </cell>
          <cell r="AC189" t="str">
            <v>–</v>
          </cell>
          <cell r="AD189">
            <v>4.74</v>
          </cell>
          <cell r="AE189" t="str">
            <v>–</v>
          </cell>
          <cell r="AF189" t="str">
            <v>–</v>
          </cell>
          <cell r="AG189">
            <v>0.98</v>
          </cell>
          <cell r="AH189">
            <v>5.88</v>
          </cell>
          <cell r="AI189" t="str">
            <v>–</v>
          </cell>
          <cell r="AJ189" t="str">
            <v>–</v>
          </cell>
          <cell r="AK189" t="str">
            <v>–</v>
          </cell>
          <cell r="AL189" t="str">
            <v>–</v>
          </cell>
          <cell r="AM189">
            <v>27.7</v>
          </cell>
          <cell r="AN189">
            <v>740</v>
          </cell>
        </row>
        <row r="190">
          <cell r="C190" t="str">
            <v>WT18X75</v>
          </cell>
          <cell r="D190" t="str">
            <v>F</v>
          </cell>
          <cell r="E190">
            <v>75</v>
          </cell>
          <cell r="F190">
            <v>22.1</v>
          </cell>
          <cell r="G190" t="str">
            <v>WT18X75</v>
          </cell>
          <cell r="H190">
            <v>17.899999999999999</v>
          </cell>
          <cell r="I190">
            <v>17.875</v>
          </cell>
          <cell r="J190" t="str">
            <v>–</v>
          </cell>
          <cell r="K190" t="str">
            <v>–</v>
          </cell>
          <cell r="L190" t="str">
            <v>–</v>
          </cell>
          <cell r="M190">
            <v>12</v>
          </cell>
          <cell r="N190">
            <v>12</v>
          </cell>
          <cell r="O190" t="str">
            <v>–</v>
          </cell>
          <cell r="P190" t="str">
            <v>–</v>
          </cell>
          <cell r="Q190" t="str">
            <v>–</v>
          </cell>
          <cell r="R190">
            <v>0.625</v>
          </cell>
          <cell r="S190">
            <v>0.625</v>
          </cell>
          <cell r="T190">
            <v>0.3125</v>
          </cell>
          <cell r="U190">
            <v>0.94</v>
          </cell>
          <cell r="V190">
            <v>0.9375</v>
          </cell>
          <cell r="W190">
            <v>0.94</v>
          </cell>
          <cell r="X190" t="str">
            <v>–</v>
          </cell>
          <cell r="Y190" t="str">
            <v>–</v>
          </cell>
          <cell r="Z190">
            <v>1.69</v>
          </cell>
          <cell r="AA190">
            <v>2.1875</v>
          </cell>
          <cell r="AB190" t="str">
            <v>–</v>
          </cell>
          <cell r="AC190" t="str">
            <v>–</v>
          </cell>
          <cell r="AD190">
            <v>4.78</v>
          </cell>
          <cell r="AE190" t="str">
            <v>–</v>
          </cell>
          <cell r="AF190" t="str">
            <v>–</v>
          </cell>
          <cell r="AG190">
            <v>0.92300000000000004</v>
          </cell>
          <cell r="AH190">
            <v>6.37</v>
          </cell>
          <cell r="AI190" t="str">
            <v>–</v>
          </cell>
          <cell r="AJ190" t="str">
            <v>–</v>
          </cell>
          <cell r="AK190" t="str">
            <v>–</v>
          </cell>
          <cell r="AL190" t="str">
            <v>–</v>
          </cell>
          <cell r="AM190">
            <v>28.6</v>
          </cell>
          <cell r="AN190">
            <v>698</v>
          </cell>
        </row>
        <row r="191">
          <cell r="C191" t="str">
            <v>WT18X67.5</v>
          </cell>
          <cell r="D191" t="str">
            <v>F</v>
          </cell>
          <cell r="E191">
            <v>67.5</v>
          </cell>
          <cell r="F191">
            <v>19.899999999999999</v>
          </cell>
          <cell r="G191" t="str">
            <v>WT18X67.5</v>
          </cell>
          <cell r="H191">
            <v>17.8</v>
          </cell>
          <cell r="I191">
            <v>17.75</v>
          </cell>
          <cell r="J191" t="str">
            <v>–</v>
          </cell>
          <cell r="K191" t="str">
            <v>–</v>
          </cell>
          <cell r="L191" t="str">
            <v>–</v>
          </cell>
          <cell r="M191">
            <v>12</v>
          </cell>
          <cell r="N191">
            <v>12</v>
          </cell>
          <cell r="O191" t="str">
            <v>–</v>
          </cell>
          <cell r="P191" t="str">
            <v>–</v>
          </cell>
          <cell r="Q191" t="str">
            <v>–</v>
          </cell>
          <cell r="R191">
            <v>0.6</v>
          </cell>
          <cell r="S191">
            <v>0.625</v>
          </cell>
          <cell r="T191">
            <v>0.3125</v>
          </cell>
          <cell r="U191">
            <v>0.79</v>
          </cell>
          <cell r="V191">
            <v>0.8125</v>
          </cell>
          <cell r="W191">
            <v>0.79</v>
          </cell>
          <cell r="X191" t="str">
            <v>–</v>
          </cell>
          <cell r="Y191" t="str">
            <v>–</v>
          </cell>
          <cell r="Z191">
            <v>1.54</v>
          </cell>
          <cell r="AA191">
            <v>2.0625</v>
          </cell>
          <cell r="AB191" t="str">
            <v>–</v>
          </cell>
          <cell r="AC191" t="str">
            <v>–</v>
          </cell>
          <cell r="AD191">
            <v>4.96</v>
          </cell>
          <cell r="AE191" t="str">
            <v>–</v>
          </cell>
          <cell r="AF191" t="str">
            <v>–</v>
          </cell>
          <cell r="AG191">
            <v>1.23</v>
          </cell>
          <cell r="AH191">
            <v>7.56</v>
          </cell>
          <cell r="AI191" t="str">
            <v>–</v>
          </cell>
          <cell r="AJ191" t="str">
            <v>–</v>
          </cell>
          <cell r="AK191" t="str">
            <v>–</v>
          </cell>
          <cell r="AL191" t="str">
            <v>–</v>
          </cell>
          <cell r="AM191">
            <v>29.7</v>
          </cell>
          <cell r="AN191">
            <v>637</v>
          </cell>
        </row>
        <row r="192">
          <cell r="C192" t="str">
            <v>WT16.5X193.5</v>
          </cell>
          <cell r="D192" t="str">
            <v>T</v>
          </cell>
          <cell r="E192">
            <v>193.5</v>
          </cell>
          <cell r="F192">
            <v>57</v>
          </cell>
          <cell r="G192" t="str">
            <v>WT16.5X193.5</v>
          </cell>
          <cell r="H192">
            <v>18</v>
          </cell>
          <cell r="I192">
            <v>18</v>
          </cell>
          <cell r="J192" t="str">
            <v>–</v>
          </cell>
          <cell r="K192" t="str">
            <v>–</v>
          </cell>
          <cell r="L192" t="str">
            <v>–</v>
          </cell>
          <cell r="M192">
            <v>16.2</v>
          </cell>
          <cell r="N192">
            <v>16.25</v>
          </cell>
          <cell r="O192" t="str">
            <v>–</v>
          </cell>
          <cell r="P192" t="str">
            <v>–</v>
          </cell>
          <cell r="Q192" t="str">
            <v>–</v>
          </cell>
          <cell r="R192">
            <v>1.26</v>
          </cell>
          <cell r="S192">
            <v>1.25</v>
          </cell>
          <cell r="T192">
            <v>0.625</v>
          </cell>
          <cell r="U192">
            <v>2.2799999999999998</v>
          </cell>
          <cell r="V192">
            <v>2.25</v>
          </cell>
          <cell r="W192">
            <v>2.2799999999999998</v>
          </cell>
          <cell r="X192" t="str">
            <v>–</v>
          </cell>
          <cell r="Y192" t="str">
            <v>–</v>
          </cell>
          <cell r="Z192">
            <v>3.07</v>
          </cell>
          <cell r="AA192">
            <v>3.5625</v>
          </cell>
          <cell r="AB192" t="str">
            <v>–</v>
          </cell>
          <cell r="AC192" t="str">
            <v>–</v>
          </cell>
          <cell r="AD192">
            <v>4.2699999999999996</v>
          </cell>
          <cell r="AE192" t="str">
            <v>–</v>
          </cell>
          <cell r="AF192" t="str">
            <v>–</v>
          </cell>
          <cell r="AG192">
            <v>1.76</v>
          </cell>
          <cell r="AH192">
            <v>3.55</v>
          </cell>
          <cell r="AI192" t="str">
            <v>–</v>
          </cell>
          <cell r="AJ192" t="str">
            <v>–</v>
          </cell>
          <cell r="AK192" t="str">
            <v>–</v>
          </cell>
          <cell r="AL192" t="str">
            <v>–</v>
          </cell>
          <cell r="AM192">
            <v>14.3</v>
          </cell>
          <cell r="AN192">
            <v>1460</v>
          </cell>
        </row>
        <row r="193">
          <cell r="C193" t="str">
            <v>WT16.5X177</v>
          </cell>
          <cell r="D193" t="str">
            <v>T</v>
          </cell>
          <cell r="E193">
            <v>177</v>
          </cell>
          <cell r="F193">
            <v>52.1</v>
          </cell>
          <cell r="G193" t="str">
            <v>WT16.5X177</v>
          </cell>
          <cell r="H193">
            <v>17.8</v>
          </cell>
          <cell r="I193">
            <v>17.75</v>
          </cell>
          <cell r="J193" t="str">
            <v>–</v>
          </cell>
          <cell r="K193" t="str">
            <v>–</v>
          </cell>
          <cell r="L193" t="str">
            <v>–</v>
          </cell>
          <cell r="M193">
            <v>16.100000000000001</v>
          </cell>
          <cell r="N193">
            <v>16.125</v>
          </cell>
          <cell r="O193" t="str">
            <v>–</v>
          </cell>
          <cell r="P193" t="str">
            <v>–</v>
          </cell>
          <cell r="Q193" t="str">
            <v>–</v>
          </cell>
          <cell r="R193">
            <v>1.1599999999999999</v>
          </cell>
          <cell r="S193">
            <v>1.1875</v>
          </cell>
          <cell r="T193">
            <v>0.625</v>
          </cell>
          <cell r="U193">
            <v>2.09</v>
          </cell>
          <cell r="V193">
            <v>2.0625</v>
          </cell>
          <cell r="W193">
            <v>2.09</v>
          </cell>
          <cell r="X193" t="str">
            <v>–</v>
          </cell>
          <cell r="Y193" t="str">
            <v>–</v>
          </cell>
          <cell r="Z193">
            <v>2.88</v>
          </cell>
          <cell r="AA193">
            <v>3.375</v>
          </cell>
          <cell r="AB193" t="str">
            <v>–</v>
          </cell>
          <cell r="AC193" t="str">
            <v>–</v>
          </cell>
          <cell r="AD193">
            <v>4.1500000000000004</v>
          </cell>
          <cell r="AE193" t="str">
            <v>–</v>
          </cell>
          <cell r="AF193" t="str">
            <v>–</v>
          </cell>
          <cell r="AG193">
            <v>1.62</v>
          </cell>
          <cell r="AH193">
            <v>3.85</v>
          </cell>
          <cell r="AI193" t="str">
            <v>–</v>
          </cell>
          <cell r="AJ193" t="str">
            <v>–</v>
          </cell>
          <cell r="AK193" t="str">
            <v>–</v>
          </cell>
          <cell r="AL193" t="str">
            <v>–</v>
          </cell>
          <cell r="AM193">
            <v>15.3</v>
          </cell>
          <cell r="AN193">
            <v>1320</v>
          </cell>
        </row>
        <row r="194">
          <cell r="C194" t="str">
            <v>WT16.5X159</v>
          </cell>
          <cell r="D194" t="str">
            <v>F</v>
          </cell>
          <cell r="E194">
            <v>159</v>
          </cell>
          <cell r="F194">
            <v>46.8</v>
          </cell>
          <cell r="G194" t="str">
            <v>WT16.5X159</v>
          </cell>
          <cell r="H194">
            <v>17.600000000000001</v>
          </cell>
          <cell r="I194">
            <v>17.625</v>
          </cell>
          <cell r="J194" t="str">
            <v>–</v>
          </cell>
          <cell r="K194" t="str">
            <v>–</v>
          </cell>
          <cell r="L194" t="str">
            <v>–</v>
          </cell>
          <cell r="M194">
            <v>16</v>
          </cell>
          <cell r="N194">
            <v>16</v>
          </cell>
          <cell r="O194" t="str">
            <v>–</v>
          </cell>
          <cell r="P194" t="str">
            <v>–</v>
          </cell>
          <cell r="Q194" t="str">
            <v>–</v>
          </cell>
          <cell r="R194">
            <v>1.04</v>
          </cell>
          <cell r="S194">
            <v>1.0625</v>
          </cell>
          <cell r="T194">
            <v>0.5625</v>
          </cell>
          <cell r="U194">
            <v>1.89</v>
          </cell>
          <cell r="V194">
            <v>1.875</v>
          </cell>
          <cell r="W194">
            <v>1.89</v>
          </cell>
          <cell r="X194" t="str">
            <v>–</v>
          </cell>
          <cell r="Y194" t="str">
            <v>–</v>
          </cell>
          <cell r="Z194">
            <v>2.68</v>
          </cell>
          <cell r="AA194">
            <v>3.1875</v>
          </cell>
          <cell r="AB194" t="str">
            <v>–</v>
          </cell>
          <cell r="AC194" t="str">
            <v>–</v>
          </cell>
          <cell r="AD194">
            <v>4.0199999999999996</v>
          </cell>
          <cell r="AE194" t="str">
            <v>–</v>
          </cell>
          <cell r="AF194" t="str">
            <v>–</v>
          </cell>
          <cell r="AG194">
            <v>1.46</v>
          </cell>
          <cell r="AH194">
            <v>4.2300000000000004</v>
          </cell>
          <cell r="AI194" t="str">
            <v>–</v>
          </cell>
          <cell r="AJ194" t="str">
            <v>–</v>
          </cell>
          <cell r="AK194" t="str">
            <v>–</v>
          </cell>
          <cell r="AL194" t="str">
            <v>–</v>
          </cell>
          <cell r="AM194">
            <v>16.899999999999999</v>
          </cell>
          <cell r="AN194">
            <v>1160</v>
          </cell>
        </row>
        <row r="195">
          <cell r="C195" t="str">
            <v>WT16.5X145.5</v>
          </cell>
          <cell r="D195" t="str">
            <v>F</v>
          </cell>
          <cell r="E195">
            <v>145.5</v>
          </cell>
          <cell r="F195">
            <v>42.8</v>
          </cell>
          <cell r="G195" t="str">
            <v>WT16.5X145.5</v>
          </cell>
          <cell r="H195">
            <v>17.399999999999999</v>
          </cell>
          <cell r="I195">
            <v>17.375</v>
          </cell>
          <cell r="J195" t="str">
            <v>–</v>
          </cell>
          <cell r="K195" t="str">
            <v>–</v>
          </cell>
          <cell r="L195" t="str">
            <v>–</v>
          </cell>
          <cell r="M195">
            <v>15.9</v>
          </cell>
          <cell r="N195">
            <v>15.875</v>
          </cell>
          <cell r="O195" t="str">
            <v>–</v>
          </cell>
          <cell r="P195" t="str">
            <v>–</v>
          </cell>
          <cell r="Q195" t="str">
            <v>–</v>
          </cell>
          <cell r="R195">
            <v>0.96</v>
          </cell>
          <cell r="S195">
            <v>0.9375</v>
          </cell>
          <cell r="T195">
            <v>0.5</v>
          </cell>
          <cell r="U195">
            <v>1.73</v>
          </cell>
          <cell r="V195">
            <v>1.75</v>
          </cell>
          <cell r="W195">
            <v>1.73</v>
          </cell>
          <cell r="X195" t="str">
            <v>–</v>
          </cell>
          <cell r="Y195" t="str">
            <v>–</v>
          </cell>
          <cell r="Z195">
            <v>2.52</v>
          </cell>
          <cell r="AA195">
            <v>2.9375</v>
          </cell>
          <cell r="AB195" t="str">
            <v>–</v>
          </cell>
          <cell r="AC195" t="str">
            <v>–</v>
          </cell>
          <cell r="AD195">
            <v>3.93</v>
          </cell>
          <cell r="AE195" t="str">
            <v>–</v>
          </cell>
          <cell r="AF195" t="str">
            <v>–</v>
          </cell>
          <cell r="AG195">
            <v>1.35</v>
          </cell>
          <cell r="AH195">
            <v>4.5999999999999996</v>
          </cell>
          <cell r="AI195" t="str">
            <v>–</v>
          </cell>
          <cell r="AJ195" t="str">
            <v>–</v>
          </cell>
          <cell r="AK195" t="str">
            <v>–</v>
          </cell>
          <cell r="AL195" t="str">
            <v>–</v>
          </cell>
          <cell r="AM195">
            <v>18.100000000000001</v>
          </cell>
          <cell r="AN195">
            <v>1060</v>
          </cell>
        </row>
        <row r="196">
          <cell r="C196" t="str">
            <v>WT16.5X131.5</v>
          </cell>
          <cell r="D196" t="str">
            <v>F</v>
          </cell>
          <cell r="E196">
            <v>131.5</v>
          </cell>
          <cell r="F196">
            <v>38.700000000000003</v>
          </cell>
          <cell r="G196" t="str">
            <v>WT16.5X131.5</v>
          </cell>
          <cell r="H196">
            <v>17.3</v>
          </cell>
          <cell r="I196">
            <v>17.25</v>
          </cell>
          <cell r="J196" t="str">
            <v>–</v>
          </cell>
          <cell r="K196" t="str">
            <v>–</v>
          </cell>
          <cell r="L196" t="str">
            <v>–</v>
          </cell>
          <cell r="M196">
            <v>15.8</v>
          </cell>
          <cell r="N196">
            <v>15.75</v>
          </cell>
          <cell r="O196" t="str">
            <v>–</v>
          </cell>
          <cell r="P196" t="str">
            <v>–</v>
          </cell>
          <cell r="Q196" t="str">
            <v>–</v>
          </cell>
          <cell r="R196">
            <v>0.87</v>
          </cell>
          <cell r="S196">
            <v>0.875</v>
          </cell>
          <cell r="T196">
            <v>0.4375</v>
          </cell>
          <cell r="U196">
            <v>1.57</v>
          </cell>
          <cell r="V196">
            <v>1.5625</v>
          </cell>
          <cell r="W196">
            <v>1.57</v>
          </cell>
          <cell r="X196" t="str">
            <v>–</v>
          </cell>
          <cell r="Y196" t="str">
            <v>–</v>
          </cell>
          <cell r="Z196">
            <v>2.36</v>
          </cell>
          <cell r="AA196">
            <v>2.8125</v>
          </cell>
          <cell r="AB196" t="str">
            <v>–</v>
          </cell>
          <cell r="AC196" t="str">
            <v>–</v>
          </cell>
          <cell r="AD196">
            <v>3.83</v>
          </cell>
          <cell r="AE196" t="str">
            <v>–</v>
          </cell>
          <cell r="AF196" t="str">
            <v>–</v>
          </cell>
          <cell r="AG196">
            <v>1.23</v>
          </cell>
          <cell r="AH196">
            <v>5.03</v>
          </cell>
          <cell r="AI196" t="str">
            <v>–</v>
          </cell>
          <cell r="AJ196" t="str">
            <v>–</v>
          </cell>
          <cell r="AK196" t="str">
            <v>–</v>
          </cell>
          <cell r="AL196" t="str">
            <v>–</v>
          </cell>
          <cell r="AM196">
            <v>19.899999999999999</v>
          </cell>
          <cell r="AN196">
            <v>943</v>
          </cell>
        </row>
        <row r="197">
          <cell r="C197" t="str">
            <v>WT16.5X120.5</v>
          </cell>
          <cell r="D197" t="str">
            <v>F</v>
          </cell>
          <cell r="E197">
            <v>120.5</v>
          </cell>
          <cell r="F197">
            <v>35.6</v>
          </cell>
          <cell r="G197" t="str">
            <v>WT16.5X120.5</v>
          </cell>
          <cell r="H197">
            <v>17.100000000000001</v>
          </cell>
          <cell r="I197">
            <v>17.125</v>
          </cell>
          <cell r="J197" t="str">
            <v>–</v>
          </cell>
          <cell r="K197" t="str">
            <v>–</v>
          </cell>
          <cell r="L197" t="str">
            <v>–</v>
          </cell>
          <cell r="M197">
            <v>15.9</v>
          </cell>
          <cell r="N197">
            <v>15.875</v>
          </cell>
          <cell r="O197" t="str">
            <v>–</v>
          </cell>
          <cell r="P197" t="str">
            <v>–</v>
          </cell>
          <cell r="Q197" t="str">
            <v>–</v>
          </cell>
          <cell r="R197">
            <v>0.83</v>
          </cell>
          <cell r="S197">
            <v>0.8125</v>
          </cell>
          <cell r="T197">
            <v>0.4375</v>
          </cell>
          <cell r="U197">
            <v>1.4</v>
          </cell>
          <cell r="V197">
            <v>1.375</v>
          </cell>
          <cell r="W197">
            <v>1.4</v>
          </cell>
          <cell r="X197" t="str">
            <v>–</v>
          </cell>
          <cell r="Y197" t="str">
            <v>–</v>
          </cell>
          <cell r="Z197">
            <v>2.19</v>
          </cell>
          <cell r="AA197">
            <v>2.6875</v>
          </cell>
          <cell r="AB197" t="str">
            <v>–</v>
          </cell>
          <cell r="AC197" t="str">
            <v>–</v>
          </cell>
          <cell r="AD197">
            <v>3.84</v>
          </cell>
          <cell r="AE197" t="str">
            <v>–</v>
          </cell>
          <cell r="AF197" t="str">
            <v>–</v>
          </cell>
          <cell r="AG197">
            <v>1.1200000000000001</v>
          </cell>
          <cell r="AH197">
            <v>5.66</v>
          </cell>
          <cell r="AI197" t="str">
            <v>–</v>
          </cell>
          <cell r="AJ197" t="str">
            <v>–</v>
          </cell>
          <cell r="AK197" t="str">
            <v>–</v>
          </cell>
          <cell r="AL197" t="str">
            <v>–</v>
          </cell>
          <cell r="AM197">
            <v>20.6</v>
          </cell>
          <cell r="AN197">
            <v>872</v>
          </cell>
        </row>
        <row r="198">
          <cell r="C198" t="str">
            <v>WT16.5X110.5</v>
          </cell>
          <cell r="D198" t="str">
            <v>F</v>
          </cell>
          <cell r="E198">
            <v>110.5</v>
          </cell>
          <cell r="F198">
            <v>32.6</v>
          </cell>
          <cell r="G198" t="str">
            <v>WT16.5X110.5</v>
          </cell>
          <cell r="H198">
            <v>17</v>
          </cell>
          <cell r="I198">
            <v>17</v>
          </cell>
          <cell r="J198" t="str">
            <v>–</v>
          </cell>
          <cell r="K198" t="str">
            <v>–</v>
          </cell>
          <cell r="L198" t="str">
            <v>–</v>
          </cell>
          <cell r="M198">
            <v>15.8</v>
          </cell>
          <cell r="N198">
            <v>15.75</v>
          </cell>
          <cell r="O198" t="str">
            <v>–</v>
          </cell>
          <cell r="P198" t="str">
            <v>–</v>
          </cell>
          <cell r="Q198" t="str">
            <v>–</v>
          </cell>
          <cell r="R198">
            <v>0.77500000000000002</v>
          </cell>
          <cell r="S198">
            <v>0.75</v>
          </cell>
          <cell r="T198">
            <v>0.375</v>
          </cell>
          <cell r="U198">
            <v>1.28</v>
          </cell>
          <cell r="V198">
            <v>1.25</v>
          </cell>
          <cell r="W198">
            <v>1.28</v>
          </cell>
          <cell r="X198" t="str">
            <v>–</v>
          </cell>
          <cell r="Y198" t="str">
            <v>–</v>
          </cell>
          <cell r="Z198">
            <v>2.06</v>
          </cell>
          <cell r="AA198">
            <v>2.5</v>
          </cell>
          <cell r="AB198" t="str">
            <v>–</v>
          </cell>
          <cell r="AC198" t="str">
            <v>–</v>
          </cell>
          <cell r="AD198">
            <v>3.81</v>
          </cell>
          <cell r="AE198" t="str">
            <v>–</v>
          </cell>
          <cell r="AF198" t="str">
            <v>–</v>
          </cell>
          <cell r="AG198">
            <v>1.03</v>
          </cell>
          <cell r="AH198">
            <v>6.2</v>
          </cell>
          <cell r="AI198" t="str">
            <v>–</v>
          </cell>
          <cell r="AJ198" t="str">
            <v>–</v>
          </cell>
          <cell r="AK198" t="str">
            <v>–</v>
          </cell>
          <cell r="AL198" t="str">
            <v>–</v>
          </cell>
          <cell r="AM198">
            <v>21.9</v>
          </cell>
          <cell r="AN198">
            <v>799</v>
          </cell>
        </row>
        <row r="199">
          <cell r="C199" t="str">
            <v>WT16.5X100.5</v>
          </cell>
          <cell r="D199" t="str">
            <v>F</v>
          </cell>
          <cell r="E199">
            <v>100.5</v>
          </cell>
          <cell r="F199">
            <v>29.7</v>
          </cell>
          <cell r="G199" t="str">
            <v>WT16.5X100.5</v>
          </cell>
          <cell r="H199">
            <v>16.8</v>
          </cell>
          <cell r="I199">
            <v>16.875</v>
          </cell>
          <cell r="J199" t="str">
            <v>–</v>
          </cell>
          <cell r="K199" t="str">
            <v>–</v>
          </cell>
          <cell r="L199" t="str">
            <v>–</v>
          </cell>
          <cell r="M199">
            <v>15.7</v>
          </cell>
          <cell r="N199">
            <v>15.75</v>
          </cell>
          <cell r="O199" t="str">
            <v>–</v>
          </cell>
          <cell r="P199" t="str">
            <v>–</v>
          </cell>
          <cell r="Q199" t="str">
            <v>–</v>
          </cell>
          <cell r="R199">
            <v>0.71499999999999997</v>
          </cell>
          <cell r="S199">
            <v>0.6875</v>
          </cell>
          <cell r="T199">
            <v>0.375</v>
          </cell>
          <cell r="U199">
            <v>1.1499999999999999</v>
          </cell>
          <cell r="V199">
            <v>1.125</v>
          </cell>
          <cell r="W199">
            <v>1.1499999999999999</v>
          </cell>
          <cell r="X199" t="str">
            <v>–</v>
          </cell>
          <cell r="Y199" t="str">
            <v>–</v>
          </cell>
          <cell r="Z199">
            <v>1.94</v>
          </cell>
          <cell r="AA199">
            <v>2.4375</v>
          </cell>
          <cell r="AB199" t="str">
            <v>–</v>
          </cell>
          <cell r="AC199" t="str">
            <v>–</v>
          </cell>
          <cell r="AD199">
            <v>3.77</v>
          </cell>
          <cell r="AE199" t="str">
            <v>–</v>
          </cell>
          <cell r="AF199" t="str">
            <v>–</v>
          </cell>
          <cell r="AG199">
            <v>0.94</v>
          </cell>
          <cell r="AH199">
            <v>6.85</v>
          </cell>
          <cell r="AI199" t="str">
            <v>–</v>
          </cell>
          <cell r="AJ199" t="str">
            <v>–</v>
          </cell>
          <cell r="AK199" t="str">
            <v>–</v>
          </cell>
          <cell r="AL199" t="str">
            <v>–</v>
          </cell>
          <cell r="AM199">
            <v>23.5</v>
          </cell>
          <cell r="AN199">
            <v>725</v>
          </cell>
        </row>
        <row r="200">
          <cell r="C200" t="str">
            <v>WT16.5X84.5</v>
          </cell>
          <cell r="D200" t="str">
            <v>F</v>
          </cell>
          <cell r="E200">
            <v>84.5</v>
          </cell>
          <cell r="F200">
            <v>24.7</v>
          </cell>
          <cell r="G200" t="str">
            <v>WT16.5X84.5</v>
          </cell>
          <cell r="H200">
            <v>16.899999999999999</v>
          </cell>
          <cell r="I200">
            <v>16.875</v>
          </cell>
          <cell r="J200" t="str">
            <v>–</v>
          </cell>
          <cell r="K200" t="str">
            <v>–</v>
          </cell>
          <cell r="L200" t="str">
            <v>–</v>
          </cell>
          <cell r="M200">
            <v>11.5</v>
          </cell>
          <cell r="N200">
            <v>11.5</v>
          </cell>
          <cell r="O200" t="str">
            <v>–</v>
          </cell>
          <cell r="P200" t="str">
            <v>–</v>
          </cell>
          <cell r="Q200" t="str">
            <v>–</v>
          </cell>
          <cell r="R200">
            <v>0.67</v>
          </cell>
          <cell r="S200">
            <v>0.6875</v>
          </cell>
          <cell r="T200">
            <v>0.375</v>
          </cell>
          <cell r="U200">
            <v>1.22</v>
          </cell>
          <cell r="V200">
            <v>1.25</v>
          </cell>
          <cell r="W200">
            <v>1.22</v>
          </cell>
          <cell r="X200" t="str">
            <v>–</v>
          </cell>
          <cell r="Y200" t="str">
            <v>–</v>
          </cell>
          <cell r="Z200">
            <v>1.92</v>
          </cell>
          <cell r="AA200">
            <v>2.4375</v>
          </cell>
          <cell r="AB200" t="str">
            <v>–</v>
          </cell>
          <cell r="AC200" t="str">
            <v>–</v>
          </cell>
          <cell r="AD200">
            <v>4.21</v>
          </cell>
          <cell r="AE200" t="str">
            <v>–</v>
          </cell>
          <cell r="AF200" t="str">
            <v>–</v>
          </cell>
          <cell r="AG200">
            <v>1.08</v>
          </cell>
          <cell r="AH200">
            <v>4.71</v>
          </cell>
          <cell r="AI200" t="str">
            <v>–</v>
          </cell>
          <cell r="AJ200" t="str">
            <v>–</v>
          </cell>
          <cell r="AK200" t="str">
            <v>–</v>
          </cell>
          <cell r="AL200" t="str">
            <v>–</v>
          </cell>
          <cell r="AM200">
            <v>25.2</v>
          </cell>
          <cell r="AN200">
            <v>649</v>
          </cell>
        </row>
        <row r="201">
          <cell r="C201" t="str">
            <v>WT16.5X76</v>
          </cell>
          <cell r="D201" t="str">
            <v>F</v>
          </cell>
          <cell r="E201">
            <v>76</v>
          </cell>
          <cell r="F201">
            <v>22.5</v>
          </cell>
          <cell r="G201" t="str">
            <v>WT16.5X76</v>
          </cell>
          <cell r="H201">
            <v>16.7</v>
          </cell>
          <cell r="I201">
            <v>16.75</v>
          </cell>
          <cell r="J201" t="str">
            <v>–</v>
          </cell>
          <cell r="K201" t="str">
            <v>–</v>
          </cell>
          <cell r="L201" t="str">
            <v>–</v>
          </cell>
          <cell r="M201">
            <v>11.6</v>
          </cell>
          <cell r="N201">
            <v>11.625</v>
          </cell>
          <cell r="O201" t="str">
            <v>–</v>
          </cell>
          <cell r="P201" t="str">
            <v>–</v>
          </cell>
          <cell r="Q201" t="str">
            <v>–</v>
          </cell>
          <cell r="R201">
            <v>0.63500000000000001</v>
          </cell>
          <cell r="S201">
            <v>0.625</v>
          </cell>
          <cell r="T201">
            <v>0.3125</v>
          </cell>
          <cell r="U201">
            <v>1.06</v>
          </cell>
          <cell r="V201">
            <v>1.0625</v>
          </cell>
          <cell r="W201">
            <v>1.06</v>
          </cell>
          <cell r="X201" t="str">
            <v>–</v>
          </cell>
          <cell r="Y201" t="str">
            <v>–</v>
          </cell>
          <cell r="Z201">
            <v>1.76</v>
          </cell>
          <cell r="AA201">
            <v>2.3125</v>
          </cell>
          <cell r="AB201" t="str">
            <v>–</v>
          </cell>
          <cell r="AC201" t="str">
            <v>–</v>
          </cell>
          <cell r="AD201">
            <v>4.26</v>
          </cell>
          <cell r="AE201" t="str">
            <v>–</v>
          </cell>
          <cell r="AF201" t="str">
            <v>–</v>
          </cell>
          <cell r="AG201">
            <v>0.96699999999999997</v>
          </cell>
          <cell r="AH201">
            <v>5.48</v>
          </cell>
          <cell r="AI201" t="str">
            <v>–</v>
          </cell>
          <cell r="AJ201" t="str">
            <v>–</v>
          </cell>
          <cell r="AK201" t="str">
            <v>–</v>
          </cell>
          <cell r="AL201" t="str">
            <v>–</v>
          </cell>
          <cell r="AM201">
            <v>26.3</v>
          </cell>
          <cell r="AN201">
            <v>592</v>
          </cell>
        </row>
        <row r="202">
          <cell r="C202" t="str">
            <v>WT16.5X70.5</v>
          </cell>
          <cell r="D202" t="str">
            <v>F</v>
          </cell>
          <cell r="E202">
            <v>70.5</v>
          </cell>
          <cell r="F202">
            <v>20.7</v>
          </cell>
          <cell r="G202" t="str">
            <v>WT16.5X70.5</v>
          </cell>
          <cell r="H202">
            <v>16.7</v>
          </cell>
          <cell r="I202">
            <v>16.625</v>
          </cell>
          <cell r="J202" t="str">
            <v>–</v>
          </cell>
          <cell r="K202" t="str">
            <v>–</v>
          </cell>
          <cell r="L202" t="str">
            <v>–</v>
          </cell>
          <cell r="M202">
            <v>11.5</v>
          </cell>
          <cell r="N202">
            <v>11.5</v>
          </cell>
          <cell r="O202" t="str">
            <v>–</v>
          </cell>
          <cell r="P202" t="str">
            <v>–</v>
          </cell>
          <cell r="Q202" t="str">
            <v>–</v>
          </cell>
          <cell r="R202">
            <v>0.60499999999999998</v>
          </cell>
          <cell r="S202">
            <v>0.625</v>
          </cell>
          <cell r="T202">
            <v>0.3125</v>
          </cell>
          <cell r="U202">
            <v>0.96</v>
          </cell>
          <cell r="V202">
            <v>0.9375</v>
          </cell>
          <cell r="W202">
            <v>0.96</v>
          </cell>
          <cell r="X202" t="str">
            <v>–</v>
          </cell>
          <cell r="Y202" t="str">
            <v>–</v>
          </cell>
          <cell r="Z202">
            <v>1.66</v>
          </cell>
          <cell r="AA202">
            <v>2.1875</v>
          </cell>
          <cell r="AB202" t="str">
            <v>–</v>
          </cell>
          <cell r="AC202" t="str">
            <v>–</v>
          </cell>
          <cell r="AD202">
            <v>4.29</v>
          </cell>
          <cell r="AE202" t="str">
            <v>–</v>
          </cell>
          <cell r="AF202" t="str">
            <v>–</v>
          </cell>
          <cell r="AG202">
            <v>0.90100000000000002</v>
          </cell>
          <cell r="AH202">
            <v>6.01</v>
          </cell>
          <cell r="AI202" t="str">
            <v>–</v>
          </cell>
          <cell r="AJ202" t="str">
            <v>–</v>
          </cell>
          <cell r="AK202" t="str">
            <v>–</v>
          </cell>
          <cell r="AL202" t="str">
            <v>–</v>
          </cell>
          <cell r="AM202">
            <v>27.6</v>
          </cell>
          <cell r="AN202">
            <v>552</v>
          </cell>
        </row>
        <row r="203">
          <cell r="C203" t="str">
            <v>WT16.5X65</v>
          </cell>
          <cell r="D203" t="str">
            <v>F</v>
          </cell>
          <cell r="E203">
            <v>65</v>
          </cell>
          <cell r="F203">
            <v>19.100000000000001</v>
          </cell>
          <cell r="G203" t="str">
            <v>WT16.5X65</v>
          </cell>
          <cell r="H203">
            <v>16.5</v>
          </cell>
          <cell r="I203">
            <v>16.5</v>
          </cell>
          <cell r="J203" t="str">
            <v>–</v>
          </cell>
          <cell r="K203" t="str">
            <v>–</v>
          </cell>
          <cell r="L203" t="str">
            <v>–</v>
          </cell>
          <cell r="M203">
            <v>11.5</v>
          </cell>
          <cell r="N203">
            <v>11.5</v>
          </cell>
          <cell r="O203" t="str">
            <v>–</v>
          </cell>
          <cell r="P203" t="str">
            <v>–</v>
          </cell>
          <cell r="Q203" t="str">
            <v>–</v>
          </cell>
          <cell r="R203">
            <v>0.57999999999999996</v>
          </cell>
          <cell r="S203">
            <v>0.5625</v>
          </cell>
          <cell r="T203">
            <v>0.3125</v>
          </cell>
          <cell r="U203">
            <v>0.85499999999999998</v>
          </cell>
          <cell r="V203">
            <v>0.875</v>
          </cell>
          <cell r="W203">
            <v>0.85499999999999998</v>
          </cell>
          <cell r="X203" t="str">
            <v>–</v>
          </cell>
          <cell r="Y203" t="str">
            <v>–</v>
          </cell>
          <cell r="Z203">
            <v>1.56</v>
          </cell>
          <cell r="AA203">
            <v>2.125</v>
          </cell>
          <cell r="AB203" t="str">
            <v>–</v>
          </cell>
          <cell r="AC203" t="str">
            <v>–</v>
          </cell>
          <cell r="AD203">
            <v>4.3600000000000003</v>
          </cell>
          <cell r="AE203" t="str">
            <v>–</v>
          </cell>
          <cell r="AF203" t="str">
            <v>–</v>
          </cell>
          <cell r="AG203">
            <v>0.83199999999999996</v>
          </cell>
          <cell r="AH203">
            <v>6.73</v>
          </cell>
          <cell r="AI203" t="str">
            <v>–</v>
          </cell>
          <cell r="AJ203" t="str">
            <v>–</v>
          </cell>
          <cell r="AK203" t="str">
            <v>–</v>
          </cell>
          <cell r="AL203" t="str">
            <v>–</v>
          </cell>
          <cell r="AM203">
            <v>28.4</v>
          </cell>
          <cell r="AN203">
            <v>513</v>
          </cell>
        </row>
        <row r="204">
          <cell r="C204" t="str">
            <v>WT16.5X59</v>
          </cell>
          <cell r="D204" t="str">
            <v>F</v>
          </cell>
          <cell r="E204">
            <v>59</v>
          </cell>
          <cell r="F204">
            <v>17.399999999999999</v>
          </cell>
          <cell r="G204" t="str">
            <v>WT16.5X59</v>
          </cell>
          <cell r="H204">
            <v>16.399999999999999</v>
          </cell>
          <cell r="I204">
            <v>16.375</v>
          </cell>
          <cell r="J204" t="str">
            <v>–</v>
          </cell>
          <cell r="K204" t="str">
            <v>–</v>
          </cell>
          <cell r="L204" t="str">
            <v>–</v>
          </cell>
          <cell r="M204">
            <v>11.5</v>
          </cell>
          <cell r="N204">
            <v>11.5</v>
          </cell>
          <cell r="O204" t="str">
            <v>–</v>
          </cell>
          <cell r="P204" t="str">
            <v>–</v>
          </cell>
          <cell r="Q204" t="str">
            <v>–</v>
          </cell>
          <cell r="R204">
            <v>0.55000000000000004</v>
          </cell>
          <cell r="S204">
            <v>0.5625</v>
          </cell>
          <cell r="T204">
            <v>0.3125</v>
          </cell>
          <cell r="U204">
            <v>0.74</v>
          </cell>
          <cell r="V204">
            <v>0.75</v>
          </cell>
          <cell r="W204">
            <v>0.74</v>
          </cell>
          <cell r="X204" t="str">
            <v>–</v>
          </cell>
          <cell r="Y204" t="str">
            <v>–</v>
          </cell>
          <cell r="Z204">
            <v>1.44</v>
          </cell>
          <cell r="AA204">
            <v>2</v>
          </cell>
          <cell r="AB204" t="str">
            <v>–</v>
          </cell>
          <cell r="AC204" t="str">
            <v>–</v>
          </cell>
          <cell r="AD204">
            <v>4.47</v>
          </cell>
          <cell r="AE204" t="str">
            <v>–</v>
          </cell>
          <cell r="AF204" t="str">
            <v>–</v>
          </cell>
          <cell r="AG204">
            <v>0.86199999999999999</v>
          </cell>
          <cell r="AH204">
            <v>7.76</v>
          </cell>
          <cell r="AI204" t="str">
            <v>–</v>
          </cell>
          <cell r="AJ204" t="str">
            <v>–</v>
          </cell>
          <cell r="AK204" t="str">
            <v>–</v>
          </cell>
          <cell r="AL204" t="str">
            <v>–</v>
          </cell>
          <cell r="AM204">
            <v>29.8</v>
          </cell>
          <cell r="AN204">
            <v>469</v>
          </cell>
        </row>
        <row r="205">
          <cell r="C205" t="str">
            <v>WT15X195.5</v>
          </cell>
          <cell r="D205" t="str">
            <v>T</v>
          </cell>
          <cell r="E205">
            <v>195.5</v>
          </cell>
          <cell r="F205">
            <v>57.6</v>
          </cell>
          <cell r="G205" t="str">
            <v>WT15X195.5</v>
          </cell>
          <cell r="H205">
            <v>16.600000000000001</v>
          </cell>
          <cell r="I205">
            <v>16.625</v>
          </cell>
          <cell r="J205" t="str">
            <v>–</v>
          </cell>
          <cell r="K205" t="str">
            <v>–</v>
          </cell>
          <cell r="L205" t="str">
            <v>–</v>
          </cell>
          <cell r="M205">
            <v>15.6</v>
          </cell>
          <cell r="N205">
            <v>15.625</v>
          </cell>
          <cell r="O205" t="str">
            <v>–</v>
          </cell>
          <cell r="P205" t="str">
            <v>–</v>
          </cell>
          <cell r="Q205" t="str">
            <v>–</v>
          </cell>
          <cell r="R205">
            <v>1.36</v>
          </cell>
          <cell r="S205">
            <v>1.375</v>
          </cell>
          <cell r="T205">
            <v>0.6875</v>
          </cell>
          <cell r="U205">
            <v>2.44</v>
          </cell>
          <cell r="V205">
            <v>2.4375</v>
          </cell>
          <cell r="W205">
            <v>2.44</v>
          </cell>
          <cell r="X205" t="str">
            <v>–</v>
          </cell>
          <cell r="Y205" t="str">
            <v>–</v>
          </cell>
          <cell r="Z205">
            <v>3.23</v>
          </cell>
          <cell r="AA205">
            <v>3.75</v>
          </cell>
          <cell r="AB205" t="str">
            <v>–</v>
          </cell>
          <cell r="AC205" t="str">
            <v>–</v>
          </cell>
          <cell r="AD205">
            <v>4</v>
          </cell>
          <cell r="AE205" t="str">
            <v>–</v>
          </cell>
          <cell r="AF205" t="str">
            <v>–</v>
          </cell>
          <cell r="AG205">
            <v>1.85</v>
          </cell>
          <cell r="AH205">
            <v>3.19</v>
          </cell>
          <cell r="AI205" t="str">
            <v>–</v>
          </cell>
          <cell r="AJ205" t="str">
            <v>–</v>
          </cell>
          <cell r="AK205" t="str">
            <v>–</v>
          </cell>
          <cell r="AL205" t="str">
            <v>–</v>
          </cell>
          <cell r="AM205">
            <v>12.2</v>
          </cell>
          <cell r="AN205">
            <v>1220</v>
          </cell>
        </row>
        <row r="206">
          <cell r="C206" t="str">
            <v>WT15X178.5</v>
          </cell>
          <cell r="D206" t="str">
            <v>T</v>
          </cell>
          <cell r="E206">
            <v>178.5</v>
          </cell>
          <cell r="F206">
            <v>52.5</v>
          </cell>
          <cell r="G206" t="str">
            <v>WT15X178.5</v>
          </cell>
          <cell r="H206">
            <v>16.399999999999999</v>
          </cell>
          <cell r="I206">
            <v>16.375</v>
          </cell>
          <cell r="J206" t="str">
            <v>–</v>
          </cell>
          <cell r="K206" t="str">
            <v>–</v>
          </cell>
          <cell r="L206" t="str">
            <v>–</v>
          </cell>
          <cell r="M206">
            <v>15.5</v>
          </cell>
          <cell r="N206">
            <v>15.5</v>
          </cell>
          <cell r="O206" t="str">
            <v>–</v>
          </cell>
          <cell r="P206" t="str">
            <v>–</v>
          </cell>
          <cell r="Q206" t="str">
            <v>–</v>
          </cell>
          <cell r="R206">
            <v>1.24</v>
          </cell>
          <cell r="S206">
            <v>1.25</v>
          </cell>
          <cell r="T206">
            <v>0.625</v>
          </cell>
          <cell r="U206">
            <v>2.2400000000000002</v>
          </cell>
          <cell r="V206">
            <v>2.25</v>
          </cell>
          <cell r="W206">
            <v>2.2400000000000002</v>
          </cell>
          <cell r="X206" t="str">
            <v>–</v>
          </cell>
          <cell r="Y206" t="str">
            <v>–</v>
          </cell>
          <cell r="Z206">
            <v>3.03</v>
          </cell>
          <cell r="AA206">
            <v>3.5</v>
          </cell>
          <cell r="AB206" t="str">
            <v>–</v>
          </cell>
          <cell r="AC206" t="str">
            <v>–</v>
          </cell>
          <cell r="AD206">
            <v>3.87</v>
          </cell>
          <cell r="AE206" t="str">
            <v>–</v>
          </cell>
          <cell r="AF206" t="str">
            <v>–</v>
          </cell>
          <cell r="AG206">
            <v>1.7</v>
          </cell>
          <cell r="AH206">
            <v>3.45</v>
          </cell>
          <cell r="AI206" t="str">
            <v>–</v>
          </cell>
          <cell r="AJ206" t="str">
            <v>–</v>
          </cell>
          <cell r="AK206" t="str">
            <v>–</v>
          </cell>
          <cell r="AL206" t="str">
            <v>–</v>
          </cell>
          <cell r="AM206">
            <v>13.2</v>
          </cell>
          <cell r="AN206">
            <v>1090</v>
          </cell>
        </row>
        <row r="207">
          <cell r="C207" t="str">
            <v>WT15X163</v>
          </cell>
          <cell r="D207" t="str">
            <v>T</v>
          </cell>
          <cell r="E207">
            <v>163</v>
          </cell>
          <cell r="F207">
            <v>48</v>
          </cell>
          <cell r="G207" t="str">
            <v>WT15X163</v>
          </cell>
          <cell r="H207">
            <v>16.2</v>
          </cell>
          <cell r="I207">
            <v>16.25</v>
          </cell>
          <cell r="J207" t="str">
            <v>–</v>
          </cell>
          <cell r="K207" t="str">
            <v>–</v>
          </cell>
          <cell r="L207" t="str">
            <v>–</v>
          </cell>
          <cell r="M207">
            <v>15.4</v>
          </cell>
          <cell r="N207">
            <v>15.375</v>
          </cell>
          <cell r="O207" t="str">
            <v>–</v>
          </cell>
          <cell r="P207" t="str">
            <v>–</v>
          </cell>
          <cell r="Q207" t="str">
            <v>–</v>
          </cell>
          <cell r="R207">
            <v>1.1399999999999999</v>
          </cell>
          <cell r="S207">
            <v>1.125</v>
          </cell>
          <cell r="T207">
            <v>0.5625</v>
          </cell>
          <cell r="U207">
            <v>2.0499999999999998</v>
          </cell>
          <cell r="V207">
            <v>2.0625</v>
          </cell>
          <cell r="W207">
            <v>2.0499999999999998</v>
          </cell>
          <cell r="X207" t="str">
            <v>–</v>
          </cell>
          <cell r="Y207" t="str">
            <v>–</v>
          </cell>
          <cell r="Z207">
            <v>2.84</v>
          </cell>
          <cell r="AA207">
            <v>3.3125</v>
          </cell>
          <cell r="AB207" t="str">
            <v>–</v>
          </cell>
          <cell r="AC207" t="str">
            <v>–</v>
          </cell>
          <cell r="AD207">
            <v>3.76</v>
          </cell>
          <cell r="AE207" t="str">
            <v>–</v>
          </cell>
          <cell r="AF207" t="str">
            <v>–</v>
          </cell>
          <cell r="AG207">
            <v>1.56</v>
          </cell>
          <cell r="AH207">
            <v>3.75</v>
          </cell>
          <cell r="AI207" t="str">
            <v>–</v>
          </cell>
          <cell r="AJ207" t="str">
            <v>–</v>
          </cell>
          <cell r="AK207" t="str">
            <v>–</v>
          </cell>
          <cell r="AL207" t="str">
            <v>–</v>
          </cell>
          <cell r="AM207">
            <v>14.2</v>
          </cell>
          <cell r="AN207">
            <v>981</v>
          </cell>
        </row>
        <row r="208">
          <cell r="C208" t="str">
            <v>WT15X146</v>
          </cell>
          <cell r="D208" t="str">
            <v>F</v>
          </cell>
          <cell r="E208">
            <v>146</v>
          </cell>
          <cell r="F208">
            <v>43</v>
          </cell>
          <cell r="G208" t="str">
            <v>WT15X146</v>
          </cell>
          <cell r="H208">
            <v>16</v>
          </cell>
          <cell r="I208">
            <v>16</v>
          </cell>
          <cell r="J208" t="str">
            <v>–</v>
          </cell>
          <cell r="K208" t="str">
            <v>–</v>
          </cell>
          <cell r="L208" t="str">
            <v>–</v>
          </cell>
          <cell r="M208">
            <v>15.3</v>
          </cell>
          <cell r="N208">
            <v>15.25</v>
          </cell>
          <cell r="O208" t="str">
            <v>–</v>
          </cell>
          <cell r="P208" t="str">
            <v>–</v>
          </cell>
          <cell r="Q208" t="str">
            <v>–</v>
          </cell>
          <cell r="R208">
            <v>1.02</v>
          </cell>
          <cell r="S208">
            <v>1</v>
          </cell>
          <cell r="T208">
            <v>0.5</v>
          </cell>
          <cell r="U208">
            <v>1.85</v>
          </cell>
          <cell r="V208">
            <v>1.875</v>
          </cell>
          <cell r="W208">
            <v>1.85</v>
          </cell>
          <cell r="X208" t="str">
            <v>–</v>
          </cell>
          <cell r="Y208" t="str">
            <v>–</v>
          </cell>
          <cell r="Z208">
            <v>2.64</v>
          </cell>
          <cell r="AA208">
            <v>3.125</v>
          </cell>
          <cell r="AB208" t="str">
            <v>–</v>
          </cell>
          <cell r="AC208" t="str">
            <v>–</v>
          </cell>
          <cell r="AD208">
            <v>3.62</v>
          </cell>
          <cell r="AE208" t="str">
            <v>–</v>
          </cell>
          <cell r="AF208" t="str">
            <v>–</v>
          </cell>
          <cell r="AG208">
            <v>1.41</v>
          </cell>
          <cell r="AH208">
            <v>4.12</v>
          </cell>
          <cell r="AI208" t="str">
            <v>–</v>
          </cell>
          <cell r="AJ208" t="str">
            <v>–</v>
          </cell>
          <cell r="AK208" t="str">
            <v>–</v>
          </cell>
          <cell r="AL208" t="str">
            <v>–</v>
          </cell>
          <cell r="AM208">
            <v>15.7</v>
          </cell>
          <cell r="AN208">
            <v>861</v>
          </cell>
        </row>
        <row r="209">
          <cell r="C209" t="str">
            <v>WT15X130.5</v>
          </cell>
          <cell r="D209" t="str">
            <v>F</v>
          </cell>
          <cell r="E209">
            <v>130.5</v>
          </cell>
          <cell r="F209">
            <v>38.5</v>
          </cell>
          <cell r="G209" t="str">
            <v>WT15X130.5</v>
          </cell>
          <cell r="H209">
            <v>15.8</v>
          </cell>
          <cell r="I209">
            <v>15.75</v>
          </cell>
          <cell r="J209" t="str">
            <v>–</v>
          </cell>
          <cell r="K209" t="str">
            <v>–</v>
          </cell>
          <cell r="L209" t="str">
            <v>–</v>
          </cell>
          <cell r="M209">
            <v>15.2</v>
          </cell>
          <cell r="N209">
            <v>15.125</v>
          </cell>
          <cell r="O209" t="str">
            <v>–</v>
          </cell>
          <cell r="P209" t="str">
            <v>–</v>
          </cell>
          <cell r="Q209" t="str">
            <v>–</v>
          </cell>
          <cell r="R209">
            <v>0.93</v>
          </cell>
          <cell r="S209">
            <v>0.9375</v>
          </cell>
          <cell r="T209">
            <v>0.5</v>
          </cell>
          <cell r="U209">
            <v>1.65</v>
          </cell>
          <cell r="V209">
            <v>1.625</v>
          </cell>
          <cell r="W209">
            <v>1.65</v>
          </cell>
          <cell r="X209" t="str">
            <v>–</v>
          </cell>
          <cell r="Y209" t="str">
            <v>–</v>
          </cell>
          <cell r="Z209">
            <v>2.44</v>
          </cell>
          <cell r="AA209">
            <v>2.9375</v>
          </cell>
          <cell r="AB209" t="str">
            <v>–</v>
          </cell>
          <cell r="AC209" t="str">
            <v>–</v>
          </cell>
          <cell r="AD209">
            <v>3.54</v>
          </cell>
          <cell r="AE209" t="str">
            <v>–</v>
          </cell>
          <cell r="AF209" t="str">
            <v>–</v>
          </cell>
          <cell r="AG209">
            <v>1.27</v>
          </cell>
          <cell r="AH209">
            <v>4.59</v>
          </cell>
          <cell r="AI209" t="str">
            <v>–</v>
          </cell>
          <cell r="AJ209" t="str">
            <v>–</v>
          </cell>
          <cell r="AK209" t="str">
            <v>–</v>
          </cell>
          <cell r="AL209" t="str">
            <v>–</v>
          </cell>
          <cell r="AM209">
            <v>17</v>
          </cell>
          <cell r="AN209">
            <v>765</v>
          </cell>
        </row>
        <row r="210">
          <cell r="C210" t="str">
            <v>WT15X117.5</v>
          </cell>
          <cell r="D210" t="str">
            <v>F</v>
          </cell>
          <cell r="E210">
            <v>117.5</v>
          </cell>
          <cell r="F210">
            <v>34.700000000000003</v>
          </cell>
          <cell r="G210" t="str">
            <v>WT15X117.5</v>
          </cell>
          <cell r="H210">
            <v>15.7</v>
          </cell>
          <cell r="I210">
            <v>15.625</v>
          </cell>
          <cell r="J210" t="str">
            <v>–</v>
          </cell>
          <cell r="K210" t="str">
            <v>–</v>
          </cell>
          <cell r="L210" t="str">
            <v>–</v>
          </cell>
          <cell r="M210">
            <v>15.1</v>
          </cell>
          <cell r="N210">
            <v>15</v>
          </cell>
          <cell r="O210" t="str">
            <v>–</v>
          </cell>
          <cell r="P210" t="str">
            <v>–</v>
          </cell>
          <cell r="Q210" t="str">
            <v>–</v>
          </cell>
          <cell r="R210">
            <v>0.83</v>
          </cell>
          <cell r="S210">
            <v>0.8125</v>
          </cell>
          <cell r="T210">
            <v>0.4375</v>
          </cell>
          <cell r="U210">
            <v>1.5</v>
          </cell>
          <cell r="V210">
            <v>1.5</v>
          </cell>
          <cell r="W210">
            <v>1.5</v>
          </cell>
          <cell r="X210" t="str">
            <v>–</v>
          </cell>
          <cell r="Y210" t="str">
            <v>–</v>
          </cell>
          <cell r="Z210">
            <v>2.29</v>
          </cell>
          <cell r="AA210">
            <v>2.75</v>
          </cell>
          <cell r="AB210" t="str">
            <v>–</v>
          </cell>
          <cell r="AC210" t="str">
            <v>–</v>
          </cell>
          <cell r="AD210">
            <v>3.41</v>
          </cell>
          <cell r="AE210" t="str">
            <v>–</v>
          </cell>
          <cell r="AF210" t="str">
            <v>–</v>
          </cell>
          <cell r="AG210">
            <v>1.1499999999999999</v>
          </cell>
          <cell r="AH210">
            <v>5.0199999999999996</v>
          </cell>
          <cell r="AI210" t="str">
            <v>–</v>
          </cell>
          <cell r="AJ210" t="str">
            <v>–</v>
          </cell>
          <cell r="AK210" t="str">
            <v>–</v>
          </cell>
          <cell r="AL210" t="str">
            <v>–</v>
          </cell>
          <cell r="AM210">
            <v>18.899999999999999</v>
          </cell>
          <cell r="AN210">
            <v>674</v>
          </cell>
        </row>
        <row r="211">
          <cell r="C211" t="str">
            <v>WT15X105.5</v>
          </cell>
          <cell r="D211" t="str">
            <v>F</v>
          </cell>
          <cell r="E211">
            <v>105.5</v>
          </cell>
          <cell r="F211">
            <v>31.1</v>
          </cell>
          <cell r="G211" t="str">
            <v>WT15X105.5</v>
          </cell>
          <cell r="H211">
            <v>15.5</v>
          </cell>
          <cell r="I211">
            <v>15.5</v>
          </cell>
          <cell r="J211" t="str">
            <v>–</v>
          </cell>
          <cell r="K211" t="str">
            <v>–</v>
          </cell>
          <cell r="L211" t="str">
            <v>–</v>
          </cell>
          <cell r="M211">
            <v>15.1</v>
          </cell>
          <cell r="N211">
            <v>15.125</v>
          </cell>
          <cell r="O211" t="str">
            <v>–</v>
          </cell>
          <cell r="P211" t="str">
            <v>–</v>
          </cell>
          <cell r="Q211" t="str">
            <v>–</v>
          </cell>
          <cell r="R211">
            <v>0.77500000000000002</v>
          </cell>
          <cell r="S211">
            <v>0.75</v>
          </cell>
          <cell r="T211">
            <v>0.375</v>
          </cell>
          <cell r="U211">
            <v>1.32</v>
          </cell>
          <cell r="V211">
            <v>1.3125</v>
          </cell>
          <cell r="W211">
            <v>1.32</v>
          </cell>
          <cell r="X211" t="str">
            <v>–</v>
          </cell>
          <cell r="Y211" t="str">
            <v>–</v>
          </cell>
          <cell r="Z211">
            <v>2.1</v>
          </cell>
          <cell r="AA211">
            <v>2.5625</v>
          </cell>
          <cell r="AB211" t="str">
            <v>–</v>
          </cell>
          <cell r="AC211" t="str">
            <v>–</v>
          </cell>
          <cell r="AD211">
            <v>3.39</v>
          </cell>
          <cell r="AE211" t="str">
            <v>–</v>
          </cell>
          <cell r="AF211" t="str">
            <v>–</v>
          </cell>
          <cell r="AG211">
            <v>1.03</v>
          </cell>
          <cell r="AH211">
            <v>5.74</v>
          </cell>
          <cell r="AI211" t="str">
            <v>–</v>
          </cell>
          <cell r="AJ211" t="str">
            <v>–</v>
          </cell>
          <cell r="AK211" t="str">
            <v>–</v>
          </cell>
          <cell r="AL211" t="str">
            <v>–</v>
          </cell>
          <cell r="AM211">
            <v>20</v>
          </cell>
          <cell r="AN211">
            <v>610</v>
          </cell>
        </row>
        <row r="212">
          <cell r="C212" t="str">
            <v>WT15X95.5</v>
          </cell>
          <cell r="D212" t="str">
            <v>F</v>
          </cell>
          <cell r="E212">
            <v>95.5</v>
          </cell>
          <cell r="F212">
            <v>28</v>
          </cell>
          <cell r="G212" t="str">
            <v>WT15X95.5</v>
          </cell>
          <cell r="H212">
            <v>15.3</v>
          </cell>
          <cell r="I212">
            <v>15.375</v>
          </cell>
          <cell r="J212" t="str">
            <v>–</v>
          </cell>
          <cell r="K212" t="str">
            <v>–</v>
          </cell>
          <cell r="L212" t="str">
            <v>–</v>
          </cell>
          <cell r="M212">
            <v>15</v>
          </cell>
          <cell r="N212">
            <v>15</v>
          </cell>
          <cell r="O212" t="str">
            <v>–</v>
          </cell>
          <cell r="P212" t="str">
            <v>–</v>
          </cell>
          <cell r="Q212" t="str">
            <v>–</v>
          </cell>
          <cell r="R212">
            <v>0.71</v>
          </cell>
          <cell r="S212">
            <v>0.6875</v>
          </cell>
          <cell r="T212">
            <v>0.375</v>
          </cell>
          <cell r="U212">
            <v>1.19</v>
          </cell>
          <cell r="V212">
            <v>1.1875</v>
          </cell>
          <cell r="W212">
            <v>1.19</v>
          </cell>
          <cell r="X212" t="str">
            <v>–</v>
          </cell>
          <cell r="Y212" t="str">
            <v>–</v>
          </cell>
          <cell r="Z212">
            <v>1.97</v>
          </cell>
          <cell r="AA212">
            <v>2.5</v>
          </cell>
          <cell r="AB212" t="str">
            <v>–</v>
          </cell>
          <cell r="AC212" t="str">
            <v>–</v>
          </cell>
          <cell r="AD212">
            <v>3.34</v>
          </cell>
          <cell r="AE212" t="str">
            <v>–</v>
          </cell>
          <cell r="AF212" t="str">
            <v>–</v>
          </cell>
          <cell r="AG212">
            <v>0.93500000000000005</v>
          </cell>
          <cell r="AH212">
            <v>6.35</v>
          </cell>
          <cell r="AI212" t="str">
            <v>–</v>
          </cell>
          <cell r="AJ212" t="str">
            <v>–</v>
          </cell>
          <cell r="AK212" t="str">
            <v>–</v>
          </cell>
          <cell r="AL212" t="str">
            <v>–</v>
          </cell>
          <cell r="AM212">
            <v>21.5</v>
          </cell>
          <cell r="AN212">
            <v>549</v>
          </cell>
        </row>
        <row r="213">
          <cell r="C213" t="str">
            <v>WT15X86.5</v>
          </cell>
          <cell r="D213" t="str">
            <v>F</v>
          </cell>
          <cell r="E213">
            <v>86.5</v>
          </cell>
          <cell r="F213">
            <v>25.4</v>
          </cell>
          <cell r="G213" t="str">
            <v>WT15X86.5</v>
          </cell>
          <cell r="H213">
            <v>15.2</v>
          </cell>
          <cell r="I213">
            <v>15.25</v>
          </cell>
          <cell r="J213" t="str">
            <v>–</v>
          </cell>
          <cell r="K213" t="str">
            <v>–</v>
          </cell>
          <cell r="L213" t="str">
            <v>–</v>
          </cell>
          <cell r="M213">
            <v>15</v>
          </cell>
          <cell r="N213">
            <v>15</v>
          </cell>
          <cell r="O213" t="str">
            <v>–</v>
          </cell>
          <cell r="P213" t="str">
            <v>–</v>
          </cell>
          <cell r="Q213" t="str">
            <v>–</v>
          </cell>
          <cell r="R213">
            <v>0.65500000000000003</v>
          </cell>
          <cell r="S213">
            <v>0.625</v>
          </cell>
          <cell r="T213">
            <v>0.3125</v>
          </cell>
          <cell r="U213">
            <v>1.07</v>
          </cell>
          <cell r="V213">
            <v>1.0625</v>
          </cell>
          <cell r="W213">
            <v>1.07</v>
          </cell>
          <cell r="X213" t="str">
            <v>–</v>
          </cell>
          <cell r="Y213" t="str">
            <v>–</v>
          </cell>
          <cell r="Z213">
            <v>1.85</v>
          </cell>
          <cell r="AA213">
            <v>2.3125</v>
          </cell>
          <cell r="AB213" t="str">
            <v>–</v>
          </cell>
          <cell r="AC213" t="str">
            <v>–</v>
          </cell>
          <cell r="AD213">
            <v>3.31</v>
          </cell>
          <cell r="AE213" t="str">
            <v>–</v>
          </cell>
          <cell r="AF213" t="str">
            <v>–</v>
          </cell>
          <cell r="AG213">
            <v>0.85099999999999998</v>
          </cell>
          <cell r="AH213">
            <v>7.04</v>
          </cell>
          <cell r="AI213" t="str">
            <v>–</v>
          </cell>
          <cell r="AJ213" t="str">
            <v>–</v>
          </cell>
          <cell r="AK213" t="str">
            <v>–</v>
          </cell>
          <cell r="AL213" t="str">
            <v>–</v>
          </cell>
          <cell r="AM213">
            <v>23.2</v>
          </cell>
          <cell r="AN213">
            <v>497</v>
          </cell>
        </row>
        <row r="214">
          <cell r="C214" t="str">
            <v>WT15X74</v>
          </cell>
          <cell r="D214" t="str">
            <v>F</v>
          </cell>
          <cell r="E214">
            <v>74</v>
          </cell>
          <cell r="F214">
            <v>21.8</v>
          </cell>
          <cell r="G214" t="str">
            <v>WT15X74</v>
          </cell>
          <cell r="H214">
            <v>15.3</v>
          </cell>
          <cell r="I214">
            <v>15.375</v>
          </cell>
          <cell r="J214" t="str">
            <v>–</v>
          </cell>
          <cell r="K214" t="str">
            <v>–</v>
          </cell>
          <cell r="L214" t="str">
            <v>–</v>
          </cell>
          <cell r="M214">
            <v>10.5</v>
          </cell>
          <cell r="N214">
            <v>10.5</v>
          </cell>
          <cell r="O214" t="str">
            <v>–</v>
          </cell>
          <cell r="P214" t="str">
            <v>–</v>
          </cell>
          <cell r="Q214" t="str">
            <v>–</v>
          </cell>
          <cell r="R214">
            <v>0.65</v>
          </cell>
          <cell r="S214">
            <v>0.625</v>
          </cell>
          <cell r="T214">
            <v>0.3125</v>
          </cell>
          <cell r="U214">
            <v>1.18</v>
          </cell>
          <cell r="V214">
            <v>1.1875</v>
          </cell>
          <cell r="W214">
            <v>1.18</v>
          </cell>
          <cell r="X214" t="str">
            <v>–</v>
          </cell>
          <cell r="Y214" t="str">
            <v>–</v>
          </cell>
          <cell r="Z214">
            <v>1.83</v>
          </cell>
          <cell r="AA214">
            <v>2.5</v>
          </cell>
          <cell r="AB214" t="str">
            <v>–</v>
          </cell>
          <cell r="AC214" t="str">
            <v>–</v>
          </cell>
          <cell r="AD214">
            <v>3.84</v>
          </cell>
          <cell r="AE214" t="str">
            <v>–</v>
          </cell>
          <cell r="AF214" t="str">
            <v>–</v>
          </cell>
          <cell r="AG214">
            <v>1.04</v>
          </cell>
          <cell r="AH214">
            <v>4.4400000000000004</v>
          </cell>
          <cell r="AI214" t="str">
            <v>–</v>
          </cell>
          <cell r="AJ214" t="str">
            <v>–</v>
          </cell>
          <cell r="AK214" t="str">
            <v>–</v>
          </cell>
          <cell r="AL214" t="str">
            <v>–</v>
          </cell>
          <cell r="AM214">
            <v>23.5</v>
          </cell>
          <cell r="AN214">
            <v>466</v>
          </cell>
        </row>
        <row r="215">
          <cell r="C215" t="str">
            <v>WT15X66</v>
          </cell>
          <cell r="D215" t="str">
            <v>F</v>
          </cell>
          <cell r="E215">
            <v>66</v>
          </cell>
          <cell r="F215">
            <v>19.5</v>
          </cell>
          <cell r="G215" t="str">
            <v>WT15X66</v>
          </cell>
          <cell r="H215">
            <v>15.2</v>
          </cell>
          <cell r="I215">
            <v>15.125</v>
          </cell>
          <cell r="J215" t="str">
            <v>–</v>
          </cell>
          <cell r="K215" t="str">
            <v>–</v>
          </cell>
          <cell r="L215" t="str">
            <v>–</v>
          </cell>
          <cell r="M215">
            <v>10.5</v>
          </cell>
          <cell r="N215">
            <v>10.5</v>
          </cell>
          <cell r="O215" t="str">
            <v>–</v>
          </cell>
          <cell r="P215" t="str">
            <v>–</v>
          </cell>
          <cell r="Q215" t="str">
            <v>–</v>
          </cell>
          <cell r="R215">
            <v>0.61499999999999999</v>
          </cell>
          <cell r="S215">
            <v>0.625</v>
          </cell>
          <cell r="T215">
            <v>0.3125</v>
          </cell>
          <cell r="U215">
            <v>1</v>
          </cell>
          <cell r="V215">
            <v>1</v>
          </cell>
          <cell r="W215">
            <v>1</v>
          </cell>
          <cell r="X215" t="str">
            <v>–</v>
          </cell>
          <cell r="Y215" t="str">
            <v>–</v>
          </cell>
          <cell r="Z215">
            <v>1.65</v>
          </cell>
          <cell r="AA215">
            <v>2.25</v>
          </cell>
          <cell r="AB215" t="str">
            <v>–</v>
          </cell>
          <cell r="AC215" t="str">
            <v>–</v>
          </cell>
          <cell r="AD215">
            <v>3.9</v>
          </cell>
          <cell r="AE215" t="str">
            <v>–</v>
          </cell>
          <cell r="AF215" t="str">
            <v>–</v>
          </cell>
          <cell r="AG215">
            <v>0.92100000000000004</v>
          </cell>
          <cell r="AH215">
            <v>5.27</v>
          </cell>
          <cell r="AI215" t="str">
            <v>–</v>
          </cell>
          <cell r="AJ215" t="str">
            <v>–</v>
          </cell>
          <cell r="AK215" t="str">
            <v>–</v>
          </cell>
          <cell r="AL215" t="str">
            <v>–</v>
          </cell>
          <cell r="AM215">
            <v>24.7</v>
          </cell>
          <cell r="AN215">
            <v>421</v>
          </cell>
        </row>
        <row r="216">
          <cell r="C216" t="str">
            <v>WT15X62</v>
          </cell>
          <cell r="D216" t="str">
            <v>F</v>
          </cell>
          <cell r="E216">
            <v>62</v>
          </cell>
          <cell r="F216">
            <v>18.2</v>
          </cell>
          <cell r="G216" t="str">
            <v>WT15X62</v>
          </cell>
          <cell r="H216">
            <v>15.1</v>
          </cell>
          <cell r="I216">
            <v>15.125</v>
          </cell>
          <cell r="J216" t="str">
            <v>–</v>
          </cell>
          <cell r="K216" t="str">
            <v>–</v>
          </cell>
          <cell r="L216" t="str">
            <v>–</v>
          </cell>
          <cell r="M216">
            <v>10.5</v>
          </cell>
          <cell r="N216">
            <v>10.5</v>
          </cell>
          <cell r="O216" t="str">
            <v>–</v>
          </cell>
          <cell r="P216" t="str">
            <v>–</v>
          </cell>
          <cell r="Q216" t="str">
            <v>–</v>
          </cell>
          <cell r="R216">
            <v>0.58499999999999996</v>
          </cell>
          <cell r="S216">
            <v>0.5625</v>
          </cell>
          <cell r="T216">
            <v>0.3125</v>
          </cell>
          <cell r="U216">
            <v>0.93</v>
          </cell>
          <cell r="V216">
            <v>0.9375</v>
          </cell>
          <cell r="W216">
            <v>0.93</v>
          </cell>
          <cell r="X216" t="str">
            <v>–</v>
          </cell>
          <cell r="Y216" t="str">
            <v>–</v>
          </cell>
          <cell r="Z216">
            <v>1.58</v>
          </cell>
          <cell r="AA216">
            <v>2.25</v>
          </cell>
          <cell r="AB216" t="str">
            <v>–</v>
          </cell>
          <cell r="AC216" t="str">
            <v>–</v>
          </cell>
          <cell r="AD216">
            <v>3.9</v>
          </cell>
          <cell r="AE216" t="str">
            <v>–</v>
          </cell>
          <cell r="AF216" t="str">
            <v>–</v>
          </cell>
          <cell r="AG216">
            <v>0.86699999999999999</v>
          </cell>
          <cell r="AH216">
            <v>5.65</v>
          </cell>
          <cell r="AI216" t="str">
            <v>–</v>
          </cell>
          <cell r="AJ216" t="str">
            <v>–</v>
          </cell>
          <cell r="AK216" t="str">
            <v>–</v>
          </cell>
          <cell r="AL216" t="str">
            <v>–</v>
          </cell>
          <cell r="AM216">
            <v>25.8</v>
          </cell>
          <cell r="AN216">
            <v>396</v>
          </cell>
        </row>
        <row r="217">
          <cell r="C217" t="str">
            <v>WT15X58</v>
          </cell>
          <cell r="D217" t="str">
            <v>F</v>
          </cell>
          <cell r="E217">
            <v>58</v>
          </cell>
          <cell r="F217">
            <v>17.100000000000001</v>
          </cell>
          <cell r="G217" t="str">
            <v>WT15X58</v>
          </cell>
          <cell r="H217">
            <v>15</v>
          </cell>
          <cell r="I217">
            <v>15</v>
          </cell>
          <cell r="J217" t="str">
            <v>–</v>
          </cell>
          <cell r="K217" t="str">
            <v>–</v>
          </cell>
          <cell r="L217" t="str">
            <v>–</v>
          </cell>
          <cell r="M217">
            <v>10.5</v>
          </cell>
          <cell r="N217">
            <v>10.5</v>
          </cell>
          <cell r="O217" t="str">
            <v>–</v>
          </cell>
          <cell r="P217" t="str">
            <v>–</v>
          </cell>
          <cell r="Q217" t="str">
            <v>–</v>
          </cell>
          <cell r="R217">
            <v>0.56499999999999995</v>
          </cell>
          <cell r="S217">
            <v>0.5625</v>
          </cell>
          <cell r="T217">
            <v>0.3125</v>
          </cell>
          <cell r="U217">
            <v>0.85</v>
          </cell>
          <cell r="V217">
            <v>0.875</v>
          </cell>
          <cell r="W217">
            <v>0.85</v>
          </cell>
          <cell r="X217" t="str">
            <v>–</v>
          </cell>
          <cell r="Y217" t="str">
            <v>–</v>
          </cell>
          <cell r="Z217">
            <v>1.5</v>
          </cell>
          <cell r="AA217">
            <v>2.125</v>
          </cell>
          <cell r="AB217" t="str">
            <v>–</v>
          </cell>
          <cell r="AC217" t="str">
            <v>–</v>
          </cell>
          <cell r="AD217">
            <v>3.94</v>
          </cell>
          <cell r="AE217" t="str">
            <v>–</v>
          </cell>
          <cell r="AF217" t="str">
            <v>–</v>
          </cell>
          <cell r="AG217">
            <v>0.81499999999999995</v>
          </cell>
          <cell r="AH217">
            <v>6.17</v>
          </cell>
          <cell r="AI217" t="str">
            <v>–</v>
          </cell>
          <cell r="AJ217" t="str">
            <v>–</v>
          </cell>
          <cell r="AK217" t="str">
            <v>–</v>
          </cell>
          <cell r="AL217" t="str">
            <v>–</v>
          </cell>
          <cell r="AM217">
            <v>26.5</v>
          </cell>
          <cell r="AN217">
            <v>373</v>
          </cell>
        </row>
        <row r="218">
          <cell r="C218" t="str">
            <v>WT15X54</v>
          </cell>
          <cell r="D218" t="str">
            <v>F</v>
          </cell>
          <cell r="E218">
            <v>54</v>
          </cell>
          <cell r="F218">
            <v>15.9</v>
          </cell>
          <cell r="G218" t="str">
            <v>WT15X54</v>
          </cell>
          <cell r="H218">
            <v>14.9</v>
          </cell>
          <cell r="I218">
            <v>14.875</v>
          </cell>
          <cell r="J218" t="str">
            <v>–</v>
          </cell>
          <cell r="K218" t="str">
            <v>–</v>
          </cell>
          <cell r="L218" t="str">
            <v>–</v>
          </cell>
          <cell r="M218">
            <v>10.5</v>
          </cell>
          <cell r="N218">
            <v>10.5</v>
          </cell>
          <cell r="O218" t="str">
            <v>–</v>
          </cell>
          <cell r="P218" t="str">
            <v>–</v>
          </cell>
          <cell r="Q218" t="str">
            <v>–</v>
          </cell>
          <cell r="R218">
            <v>0.54500000000000004</v>
          </cell>
          <cell r="S218">
            <v>0.5625</v>
          </cell>
          <cell r="T218">
            <v>0.3125</v>
          </cell>
          <cell r="U218">
            <v>0.76</v>
          </cell>
          <cell r="V218">
            <v>0.75</v>
          </cell>
          <cell r="W218">
            <v>0.76</v>
          </cell>
          <cell r="X218" t="str">
            <v>–</v>
          </cell>
          <cell r="Y218" t="str">
            <v>–</v>
          </cell>
          <cell r="Z218">
            <v>1.41</v>
          </cell>
          <cell r="AA218">
            <v>2</v>
          </cell>
          <cell r="AB218" t="str">
            <v>–</v>
          </cell>
          <cell r="AC218" t="str">
            <v>–</v>
          </cell>
          <cell r="AD218">
            <v>4.01</v>
          </cell>
          <cell r="AE218" t="str">
            <v>–</v>
          </cell>
          <cell r="AF218" t="str">
            <v>–</v>
          </cell>
          <cell r="AG218">
            <v>0.75700000000000001</v>
          </cell>
          <cell r="AH218">
            <v>6.89</v>
          </cell>
          <cell r="AI218" t="str">
            <v>–</v>
          </cell>
          <cell r="AJ218" t="str">
            <v>–</v>
          </cell>
          <cell r="AK218" t="str">
            <v>–</v>
          </cell>
          <cell r="AL218" t="str">
            <v>–</v>
          </cell>
          <cell r="AM218">
            <v>27.3</v>
          </cell>
          <cell r="AN218">
            <v>349</v>
          </cell>
        </row>
        <row r="219">
          <cell r="C219" t="str">
            <v>WT15X49.5</v>
          </cell>
          <cell r="D219" t="str">
            <v>F</v>
          </cell>
          <cell r="E219">
            <v>49.5</v>
          </cell>
          <cell r="F219">
            <v>14.5</v>
          </cell>
          <cell r="G219" t="str">
            <v>WT15X49.5</v>
          </cell>
          <cell r="H219">
            <v>14.8</v>
          </cell>
          <cell r="I219">
            <v>14.875</v>
          </cell>
          <cell r="J219" t="str">
            <v>–</v>
          </cell>
          <cell r="K219" t="str">
            <v>–</v>
          </cell>
          <cell r="L219" t="str">
            <v>–</v>
          </cell>
          <cell r="M219">
            <v>10.5</v>
          </cell>
          <cell r="N219">
            <v>10.5</v>
          </cell>
          <cell r="O219" t="str">
            <v>–</v>
          </cell>
          <cell r="P219" t="str">
            <v>–</v>
          </cell>
          <cell r="Q219" t="str">
            <v>–</v>
          </cell>
          <cell r="R219">
            <v>0.52</v>
          </cell>
          <cell r="S219">
            <v>0.5</v>
          </cell>
          <cell r="T219">
            <v>0.25</v>
          </cell>
          <cell r="U219">
            <v>0.67</v>
          </cell>
          <cell r="V219">
            <v>0.6875</v>
          </cell>
          <cell r="W219">
            <v>0.67</v>
          </cell>
          <cell r="X219" t="str">
            <v>–</v>
          </cell>
          <cell r="Y219" t="str">
            <v>–</v>
          </cell>
          <cell r="Z219">
            <v>1.32</v>
          </cell>
          <cell r="AA219">
            <v>2</v>
          </cell>
          <cell r="AB219" t="str">
            <v>–</v>
          </cell>
          <cell r="AC219" t="str">
            <v>–</v>
          </cell>
          <cell r="AD219">
            <v>4.09</v>
          </cell>
          <cell r="AE219" t="str">
            <v>–</v>
          </cell>
          <cell r="AF219" t="str">
            <v>–</v>
          </cell>
          <cell r="AG219">
            <v>0.91200000000000003</v>
          </cell>
          <cell r="AH219">
            <v>7.8</v>
          </cell>
          <cell r="AI219" t="str">
            <v>–</v>
          </cell>
          <cell r="AJ219" t="str">
            <v>–</v>
          </cell>
          <cell r="AK219" t="str">
            <v>–</v>
          </cell>
          <cell r="AL219" t="str">
            <v>–</v>
          </cell>
          <cell r="AM219">
            <v>28.5</v>
          </cell>
          <cell r="AN219">
            <v>322</v>
          </cell>
        </row>
        <row r="220">
          <cell r="C220" t="str">
            <v>WT15X45</v>
          </cell>
          <cell r="D220" t="str">
            <v>F</v>
          </cell>
          <cell r="E220">
            <v>45</v>
          </cell>
          <cell r="F220">
            <v>13.2</v>
          </cell>
          <cell r="G220" t="str">
            <v>WT15X45</v>
          </cell>
          <cell r="H220">
            <v>14.8</v>
          </cell>
          <cell r="I220">
            <v>14.75</v>
          </cell>
          <cell r="J220" t="str">
            <v>–</v>
          </cell>
          <cell r="K220" t="str">
            <v>–</v>
          </cell>
          <cell r="L220" t="str">
            <v>–</v>
          </cell>
          <cell r="M220">
            <v>10.4</v>
          </cell>
          <cell r="N220">
            <v>10.375</v>
          </cell>
          <cell r="O220" t="str">
            <v>–</v>
          </cell>
          <cell r="P220" t="str">
            <v>–</v>
          </cell>
          <cell r="Q220" t="str">
            <v>–</v>
          </cell>
          <cell r="R220">
            <v>0.47</v>
          </cell>
          <cell r="S220">
            <v>0.5</v>
          </cell>
          <cell r="T220">
            <v>0.25</v>
          </cell>
          <cell r="U220">
            <v>0.61</v>
          </cell>
          <cell r="V220">
            <v>0.625</v>
          </cell>
          <cell r="W220">
            <v>0.61</v>
          </cell>
          <cell r="X220" t="str">
            <v>–</v>
          </cell>
          <cell r="Y220" t="str">
            <v>–</v>
          </cell>
          <cell r="Z220">
            <v>1.26</v>
          </cell>
          <cell r="AA220">
            <v>1.875</v>
          </cell>
          <cell r="AB220" t="str">
            <v>–</v>
          </cell>
          <cell r="AC220" t="str">
            <v>–</v>
          </cell>
          <cell r="AD220">
            <v>4.04</v>
          </cell>
          <cell r="AE220" t="str">
            <v>–</v>
          </cell>
          <cell r="AF220" t="str">
            <v>–</v>
          </cell>
          <cell r="AG220">
            <v>0.83499999999999996</v>
          </cell>
          <cell r="AH220">
            <v>8.52</v>
          </cell>
          <cell r="AI220" t="str">
            <v>–</v>
          </cell>
          <cell r="AJ220" t="str">
            <v>–</v>
          </cell>
          <cell r="AK220" t="str">
            <v>–</v>
          </cell>
          <cell r="AL220" t="str">
            <v>–</v>
          </cell>
          <cell r="AM220">
            <v>31.5</v>
          </cell>
          <cell r="AN220">
            <v>290</v>
          </cell>
        </row>
        <row r="221">
          <cell r="C221" t="str">
            <v>WT13.5X269.5</v>
          </cell>
          <cell r="D221" t="str">
            <v>T</v>
          </cell>
          <cell r="E221">
            <v>269.5</v>
          </cell>
          <cell r="F221">
            <v>79.3</v>
          </cell>
          <cell r="G221" t="str">
            <v>WT13.5X269.5</v>
          </cell>
          <cell r="H221">
            <v>16.3</v>
          </cell>
          <cell r="I221">
            <v>16.25</v>
          </cell>
          <cell r="J221" t="str">
            <v>–</v>
          </cell>
          <cell r="K221" t="str">
            <v>–</v>
          </cell>
          <cell r="L221" t="str">
            <v>–</v>
          </cell>
          <cell r="M221">
            <v>15.3</v>
          </cell>
          <cell r="N221">
            <v>15.25</v>
          </cell>
          <cell r="O221" t="str">
            <v>–</v>
          </cell>
          <cell r="P221" t="str">
            <v>–</v>
          </cell>
          <cell r="Q221" t="str">
            <v>–</v>
          </cell>
          <cell r="R221">
            <v>1.97</v>
          </cell>
          <cell r="S221">
            <v>2</v>
          </cell>
          <cell r="T221">
            <v>1</v>
          </cell>
          <cell r="U221">
            <v>3.54</v>
          </cell>
          <cell r="V221">
            <v>3.5625</v>
          </cell>
          <cell r="W221">
            <v>3.54</v>
          </cell>
          <cell r="X221" t="str">
            <v>–</v>
          </cell>
          <cell r="Y221" t="str">
            <v>–</v>
          </cell>
          <cell r="Z221">
            <v>4.33</v>
          </cell>
          <cell r="AA221">
            <v>4.4375</v>
          </cell>
          <cell r="AB221" t="str">
            <v>–</v>
          </cell>
          <cell r="AC221" t="str">
            <v>–</v>
          </cell>
          <cell r="AD221">
            <v>4.34</v>
          </cell>
          <cell r="AE221" t="str">
            <v>–</v>
          </cell>
          <cell r="AF221" t="str">
            <v>–</v>
          </cell>
          <cell r="AG221">
            <v>2.6</v>
          </cell>
          <cell r="AH221">
            <v>2.15</v>
          </cell>
          <cell r="AI221" t="str">
            <v>–</v>
          </cell>
          <cell r="AJ221" t="str">
            <v>–</v>
          </cell>
          <cell r="AK221" t="str">
            <v>–</v>
          </cell>
          <cell r="AL221" t="str">
            <v>–</v>
          </cell>
          <cell r="AM221">
            <v>8.3000000000000007</v>
          </cell>
          <cell r="AN221">
            <v>1530</v>
          </cell>
        </row>
        <row r="222">
          <cell r="C222" t="str">
            <v>WT13.5X184</v>
          </cell>
          <cell r="D222" t="str">
            <v>T</v>
          </cell>
          <cell r="E222">
            <v>184</v>
          </cell>
          <cell r="F222">
            <v>54.2</v>
          </cell>
          <cell r="G222" t="str">
            <v>WT13.5X184</v>
          </cell>
          <cell r="H222">
            <v>15.2</v>
          </cell>
          <cell r="I222">
            <v>15.25</v>
          </cell>
          <cell r="J222" t="str">
            <v>–</v>
          </cell>
          <cell r="K222" t="str">
            <v>–</v>
          </cell>
          <cell r="L222" t="str">
            <v>–</v>
          </cell>
          <cell r="M222">
            <v>14.7</v>
          </cell>
          <cell r="N222">
            <v>14.625</v>
          </cell>
          <cell r="O222" t="str">
            <v>–</v>
          </cell>
          <cell r="P222" t="str">
            <v>–</v>
          </cell>
          <cell r="Q222" t="str">
            <v>–</v>
          </cell>
          <cell r="R222">
            <v>1.38</v>
          </cell>
          <cell r="S222">
            <v>1.375</v>
          </cell>
          <cell r="T222">
            <v>0.6875</v>
          </cell>
          <cell r="U222">
            <v>2.48</v>
          </cell>
          <cell r="V222">
            <v>2.5</v>
          </cell>
          <cell r="W222">
            <v>2.48</v>
          </cell>
          <cell r="X222" t="str">
            <v>–</v>
          </cell>
          <cell r="Y222" t="str">
            <v>–</v>
          </cell>
          <cell r="Z222">
            <v>3.27</v>
          </cell>
          <cell r="AA222">
            <v>3.6875</v>
          </cell>
          <cell r="AB222" t="str">
            <v>–</v>
          </cell>
          <cell r="AC222" t="str">
            <v>–</v>
          </cell>
          <cell r="AD222">
            <v>3.71</v>
          </cell>
          <cell r="AE222" t="str">
            <v>–</v>
          </cell>
          <cell r="AF222" t="str">
            <v>–</v>
          </cell>
          <cell r="AG222">
            <v>1.85</v>
          </cell>
          <cell r="AH222">
            <v>2.96</v>
          </cell>
          <cell r="AI222" t="str">
            <v>–</v>
          </cell>
          <cell r="AJ222" t="str">
            <v>–</v>
          </cell>
          <cell r="AK222" t="str">
            <v>–</v>
          </cell>
          <cell r="AL222" t="str">
            <v>–</v>
          </cell>
          <cell r="AM222">
            <v>11</v>
          </cell>
          <cell r="AN222">
            <v>939</v>
          </cell>
        </row>
        <row r="223">
          <cell r="C223" t="str">
            <v>WT13.5X168</v>
          </cell>
          <cell r="D223" t="str">
            <v>T</v>
          </cell>
          <cell r="E223">
            <v>168</v>
          </cell>
          <cell r="F223">
            <v>49.5</v>
          </cell>
          <cell r="G223" t="str">
            <v>WT13.5X168</v>
          </cell>
          <cell r="H223">
            <v>15</v>
          </cell>
          <cell r="I223">
            <v>15</v>
          </cell>
          <cell r="J223" t="str">
            <v>–</v>
          </cell>
          <cell r="K223" t="str">
            <v>–</v>
          </cell>
          <cell r="L223" t="str">
            <v>–</v>
          </cell>
          <cell r="M223">
            <v>14.6</v>
          </cell>
          <cell r="N223">
            <v>14.5</v>
          </cell>
          <cell r="O223" t="str">
            <v>–</v>
          </cell>
          <cell r="P223" t="str">
            <v>–</v>
          </cell>
          <cell r="Q223" t="str">
            <v>–</v>
          </cell>
          <cell r="R223">
            <v>1.26</v>
          </cell>
          <cell r="S223">
            <v>1.25</v>
          </cell>
          <cell r="T223">
            <v>0.625</v>
          </cell>
          <cell r="U223">
            <v>2.2799999999999998</v>
          </cell>
          <cell r="V223">
            <v>2.25</v>
          </cell>
          <cell r="W223">
            <v>2.2799999999999998</v>
          </cell>
          <cell r="X223" t="str">
            <v>–</v>
          </cell>
          <cell r="Y223" t="str">
            <v>–</v>
          </cell>
          <cell r="Z223">
            <v>3.07</v>
          </cell>
          <cell r="AA223">
            <v>3.5</v>
          </cell>
          <cell r="AB223" t="str">
            <v>–</v>
          </cell>
          <cell r="AC223" t="str">
            <v>–</v>
          </cell>
          <cell r="AD223">
            <v>3.58</v>
          </cell>
          <cell r="AE223" t="str">
            <v>–</v>
          </cell>
          <cell r="AF223" t="str">
            <v>–</v>
          </cell>
          <cell r="AG223">
            <v>1.7</v>
          </cell>
          <cell r="AH223">
            <v>3.19</v>
          </cell>
          <cell r="AI223" t="str">
            <v>–</v>
          </cell>
          <cell r="AJ223" t="str">
            <v>–</v>
          </cell>
          <cell r="AK223" t="str">
            <v>–</v>
          </cell>
          <cell r="AL223" t="str">
            <v>–</v>
          </cell>
          <cell r="AM223">
            <v>11.9</v>
          </cell>
          <cell r="AN223">
            <v>839</v>
          </cell>
        </row>
        <row r="224">
          <cell r="C224" t="str">
            <v>WT13.5X153.5</v>
          </cell>
          <cell r="D224" t="str">
            <v>T</v>
          </cell>
          <cell r="E224">
            <v>153.5</v>
          </cell>
          <cell r="F224">
            <v>45.2</v>
          </cell>
          <cell r="G224" t="str">
            <v>WT13.5X153.5</v>
          </cell>
          <cell r="H224">
            <v>14.8</v>
          </cell>
          <cell r="I224">
            <v>14.75</v>
          </cell>
          <cell r="J224" t="str">
            <v>–</v>
          </cell>
          <cell r="K224" t="str">
            <v>–</v>
          </cell>
          <cell r="L224" t="str">
            <v>–</v>
          </cell>
          <cell r="M224">
            <v>14.4</v>
          </cell>
          <cell r="N224">
            <v>14.5</v>
          </cell>
          <cell r="O224" t="str">
            <v>–</v>
          </cell>
          <cell r="P224" t="str">
            <v>–</v>
          </cell>
          <cell r="Q224" t="str">
            <v>–</v>
          </cell>
          <cell r="R224">
            <v>1.1599999999999999</v>
          </cell>
          <cell r="S224">
            <v>1.1875</v>
          </cell>
          <cell r="T224">
            <v>0.625</v>
          </cell>
          <cell r="U224">
            <v>2.09</v>
          </cell>
          <cell r="V224">
            <v>2.0625</v>
          </cell>
          <cell r="W224">
            <v>2.09</v>
          </cell>
          <cell r="X224" t="str">
            <v>–</v>
          </cell>
          <cell r="Y224" t="str">
            <v>–</v>
          </cell>
          <cell r="Z224">
            <v>2.88</v>
          </cell>
          <cell r="AA224">
            <v>3.3125</v>
          </cell>
          <cell r="AB224" t="str">
            <v>–</v>
          </cell>
          <cell r="AC224" t="str">
            <v>–</v>
          </cell>
          <cell r="AD224">
            <v>3.47</v>
          </cell>
          <cell r="AE224" t="str">
            <v>–</v>
          </cell>
          <cell r="AF224" t="str">
            <v>–</v>
          </cell>
          <cell r="AG224">
            <v>1.56</v>
          </cell>
          <cell r="AH224">
            <v>3.46</v>
          </cell>
          <cell r="AI224" t="str">
            <v>–</v>
          </cell>
          <cell r="AJ224" t="str">
            <v>–</v>
          </cell>
          <cell r="AK224" t="str">
            <v>–</v>
          </cell>
          <cell r="AL224" t="str">
            <v>–</v>
          </cell>
          <cell r="AM224">
            <v>12.8</v>
          </cell>
          <cell r="AN224">
            <v>753</v>
          </cell>
        </row>
        <row r="225">
          <cell r="C225" t="str">
            <v>WT13.5X140.5</v>
          </cell>
          <cell r="D225" t="str">
            <v>F</v>
          </cell>
          <cell r="E225">
            <v>140.5</v>
          </cell>
          <cell r="F225">
            <v>41.5</v>
          </cell>
          <cell r="G225" t="str">
            <v>WT13.5X140.5</v>
          </cell>
          <cell r="H225">
            <v>14.6</v>
          </cell>
          <cell r="I225">
            <v>14.625</v>
          </cell>
          <cell r="J225" t="str">
            <v>–</v>
          </cell>
          <cell r="K225" t="str">
            <v>–</v>
          </cell>
          <cell r="L225" t="str">
            <v>–</v>
          </cell>
          <cell r="M225">
            <v>14.4</v>
          </cell>
          <cell r="N225">
            <v>14.375</v>
          </cell>
          <cell r="O225" t="str">
            <v>–</v>
          </cell>
          <cell r="P225" t="str">
            <v>–</v>
          </cell>
          <cell r="Q225" t="str">
            <v>–</v>
          </cell>
          <cell r="R225">
            <v>1.06</v>
          </cell>
          <cell r="S225">
            <v>1.0625</v>
          </cell>
          <cell r="T225">
            <v>0.5625</v>
          </cell>
          <cell r="U225">
            <v>1.93</v>
          </cell>
          <cell r="V225">
            <v>1.9375</v>
          </cell>
          <cell r="W225">
            <v>1.93</v>
          </cell>
          <cell r="X225" t="str">
            <v>–</v>
          </cell>
          <cell r="Y225" t="str">
            <v>–</v>
          </cell>
          <cell r="Z225">
            <v>2.72</v>
          </cell>
          <cell r="AA225">
            <v>3.125</v>
          </cell>
          <cell r="AB225" t="str">
            <v>–</v>
          </cell>
          <cell r="AC225" t="str">
            <v>–</v>
          </cell>
          <cell r="AD225">
            <v>3.35</v>
          </cell>
          <cell r="AE225" t="str">
            <v>–</v>
          </cell>
          <cell r="AF225" t="str">
            <v>–</v>
          </cell>
          <cell r="AG225">
            <v>1.44</v>
          </cell>
          <cell r="AH225">
            <v>3.72</v>
          </cell>
          <cell r="AI225" t="str">
            <v>–</v>
          </cell>
          <cell r="AJ225" t="str">
            <v>–</v>
          </cell>
          <cell r="AK225" t="str">
            <v>–</v>
          </cell>
          <cell r="AL225" t="str">
            <v>–</v>
          </cell>
          <cell r="AM225">
            <v>13.8</v>
          </cell>
          <cell r="AN225">
            <v>677</v>
          </cell>
        </row>
        <row r="226">
          <cell r="C226" t="str">
            <v>WT13.5X129</v>
          </cell>
          <cell r="D226" t="str">
            <v>F</v>
          </cell>
          <cell r="E226">
            <v>129</v>
          </cell>
          <cell r="F226">
            <v>38.1</v>
          </cell>
          <cell r="G226" t="str">
            <v>WT13.5X129</v>
          </cell>
          <cell r="H226">
            <v>14.5</v>
          </cell>
          <cell r="I226">
            <v>14.5</v>
          </cell>
          <cell r="J226" t="str">
            <v>–</v>
          </cell>
          <cell r="K226" t="str">
            <v>–</v>
          </cell>
          <cell r="L226" t="str">
            <v>–</v>
          </cell>
          <cell r="M226">
            <v>14.3</v>
          </cell>
          <cell r="N226">
            <v>14.25</v>
          </cell>
          <cell r="O226" t="str">
            <v>–</v>
          </cell>
          <cell r="P226" t="str">
            <v>–</v>
          </cell>
          <cell r="Q226" t="str">
            <v>–</v>
          </cell>
          <cell r="R226">
            <v>0.98</v>
          </cell>
          <cell r="S226">
            <v>1</v>
          </cell>
          <cell r="T226">
            <v>0.5</v>
          </cell>
          <cell r="U226">
            <v>1.77</v>
          </cell>
          <cell r="V226">
            <v>1.75</v>
          </cell>
          <cell r="W226">
            <v>1.77</v>
          </cell>
          <cell r="X226" t="str">
            <v>–</v>
          </cell>
          <cell r="Y226" t="str">
            <v>–</v>
          </cell>
          <cell r="Z226">
            <v>2.56</v>
          </cell>
          <cell r="AA226">
            <v>3</v>
          </cell>
          <cell r="AB226" t="str">
            <v>–</v>
          </cell>
          <cell r="AC226" t="str">
            <v>–</v>
          </cell>
          <cell r="AD226">
            <v>3.27</v>
          </cell>
          <cell r="AE226" t="str">
            <v>–</v>
          </cell>
          <cell r="AF226" t="str">
            <v>–</v>
          </cell>
          <cell r="AG226">
            <v>1.33</v>
          </cell>
          <cell r="AH226">
            <v>4.03</v>
          </cell>
          <cell r="AI226" t="str">
            <v>–</v>
          </cell>
          <cell r="AJ226" t="str">
            <v>–</v>
          </cell>
          <cell r="AK226" t="str">
            <v>–</v>
          </cell>
          <cell r="AL226" t="str">
            <v>–</v>
          </cell>
          <cell r="AM226">
            <v>14.8</v>
          </cell>
          <cell r="AN226">
            <v>613</v>
          </cell>
        </row>
        <row r="227">
          <cell r="C227" t="str">
            <v>WT13.5X117.5</v>
          </cell>
          <cell r="D227" t="str">
            <v>F</v>
          </cell>
          <cell r="E227">
            <v>117.5</v>
          </cell>
          <cell r="F227">
            <v>34.700000000000003</v>
          </cell>
          <cell r="G227" t="str">
            <v>WT13.5X117.5</v>
          </cell>
          <cell r="H227">
            <v>14.3</v>
          </cell>
          <cell r="I227">
            <v>14.375</v>
          </cell>
          <cell r="J227" t="str">
            <v>–</v>
          </cell>
          <cell r="K227" t="str">
            <v>–</v>
          </cell>
          <cell r="L227" t="str">
            <v>–</v>
          </cell>
          <cell r="M227">
            <v>14.2</v>
          </cell>
          <cell r="N227">
            <v>14.25</v>
          </cell>
          <cell r="O227" t="str">
            <v>–</v>
          </cell>
          <cell r="P227" t="str">
            <v>–</v>
          </cell>
          <cell r="Q227" t="str">
            <v>–</v>
          </cell>
          <cell r="R227">
            <v>0.91</v>
          </cell>
          <cell r="S227">
            <v>0.9375</v>
          </cell>
          <cell r="T227">
            <v>0.5</v>
          </cell>
          <cell r="U227">
            <v>1.61</v>
          </cell>
          <cell r="V227">
            <v>1.625</v>
          </cell>
          <cell r="W227">
            <v>1.61</v>
          </cell>
          <cell r="X227" t="str">
            <v>–</v>
          </cell>
          <cell r="Y227" t="str">
            <v>–</v>
          </cell>
          <cell r="Z227">
            <v>2.4</v>
          </cell>
          <cell r="AA227">
            <v>2.875</v>
          </cell>
          <cell r="AB227" t="str">
            <v>–</v>
          </cell>
          <cell r="AC227" t="str">
            <v>–</v>
          </cell>
          <cell r="AD227">
            <v>3.2</v>
          </cell>
          <cell r="AE227" t="str">
            <v>–</v>
          </cell>
          <cell r="AF227" t="str">
            <v>–</v>
          </cell>
          <cell r="AG227">
            <v>1.22</v>
          </cell>
          <cell r="AH227">
            <v>4.41</v>
          </cell>
          <cell r="AI227" t="str">
            <v>–</v>
          </cell>
          <cell r="AJ227" t="str">
            <v>–</v>
          </cell>
          <cell r="AK227" t="str">
            <v>–</v>
          </cell>
          <cell r="AL227" t="str">
            <v>–</v>
          </cell>
          <cell r="AM227">
            <v>15.7</v>
          </cell>
          <cell r="AN227">
            <v>556</v>
          </cell>
        </row>
        <row r="228">
          <cell r="C228" t="str">
            <v>WT13.5X108.5</v>
          </cell>
          <cell r="D228" t="str">
            <v>F</v>
          </cell>
          <cell r="E228">
            <v>108.5</v>
          </cell>
          <cell r="F228">
            <v>32</v>
          </cell>
          <cell r="G228" t="str">
            <v>WT13.5X108.5</v>
          </cell>
          <cell r="H228">
            <v>14.2</v>
          </cell>
          <cell r="I228">
            <v>14.25</v>
          </cell>
          <cell r="J228" t="str">
            <v>–</v>
          </cell>
          <cell r="K228" t="str">
            <v>–</v>
          </cell>
          <cell r="L228" t="str">
            <v>–</v>
          </cell>
          <cell r="M228">
            <v>14.1</v>
          </cell>
          <cell r="N228">
            <v>14.125</v>
          </cell>
          <cell r="O228" t="str">
            <v>–</v>
          </cell>
          <cell r="P228" t="str">
            <v>–</v>
          </cell>
          <cell r="Q228" t="str">
            <v>–</v>
          </cell>
          <cell r="R228">
            <v>0.83</v>
          </cell>
          <cell r="S228">
            <v>0.8125</v>
          </cell>
          <cell r="T228">
            <v>0.4375</v>
          </cell>
          <cell r="U228">
            <v>1.5</v>
          </cell>
          <cell r="V228">
            <v>1.5</v>
          </cell>
          <cell r="W228">
            <v>1.5</v>
          </cell>
          <cell r="X228" t="str">
            <v>–</v>
          </cell>
          <cell r="Y228" t="str">
            <v>–</v>
          </cell>
          <cell r="Z228">
            <v>2.29</v>
          </cell>
          <cell r="AA228">
            <v>2.6875</v>
          </cell>
          <cell r="AB228" t="str">
            <v>–</v>
          </cell>
          <cell r="AC228" t="str">
            <v>–</v>
          </cell>
          <cell r="AD228">
            <v>3.1</v>
          </cell>
          <cell r="AE228" t="str">
            <v>–</v>
          </cell>
          <cell r="AF228" t="str">
            <v>–</v>
          </cell>
          <cell r="AG228">
            <v>1.1299999999999999</v>
          </cell>
          <cell r="AH228">
            <v>4.71</v>
          </cell>
          <cell r="AI228" t="str">
            <v>–</v>
          </cell>
          <cell r="AJ228" t="str">
            <v>–</v>
          </cell>
          <cell r="AK228" t="str">
            <v>–</v>
          </cell>
          <cell r="AL228" t="str">
            <v>–</v>
          </cell>
          <cell r="AM228">
            <v>17.100000000000001</v>
          </cell>
          <cell r="AN228">
            <v>502</v>
          </cell>
        </row>
        <row r="229">
          <cell r="C229" t="str">
            <v>WT13.5X97</v>
          </cell>
          <cell r="D229" t="str">
            <v>F</v>
          </cell>
          <cell r="E229">
            <v>97</v>
          </cell>
          <cell r="F229">
            <v>28.6</v>
          </cell>
          <cell r="G229" t="str">
            <v>WT13.5X97</v>
          </cell>
          <cell r="H229">
            <v>14.1</v>
          </cell>
          <cell r="I229">
            <v>14</v>
          </cell>
          <cell r="J229" t="str">
            <v>–</v>
          </cell>
          <cell r="K229" t="str">
            <v>–</v>
          </cell>
          <cell r="L229" t="str">
            <v>–</v>
          </cell>
          <cell r="M229">
            <v>14</v>
          </cell>
          <cell r="N229">
            <v>14</v>
          </cell>
          <cell r="O229" t="str">
            <v>–</v>
          </cell>
          <cell r="P229" t="str">
            <v>–</v>
          </cell>
          <cell r="Q229" t="str">
            <v>–</v>
          </cell>
          <cell r="R229">
            <v>0.75</v>
          </cell>
          <cell r="S229">
            <v>0.75</v>
          </cell>
          <cell r="T229">
            <v>0.375</v>
          </cell>
          <cell r="U229">
            <v>1.34</v>
          </cell>
          <cell r="V229">
            <v>1.3125</v>
          </cell>
          <cell r="W229">
            <v>1.34</v>
          </cell>
          <cell r="X229" t="str">
            <v>–</v>
          </cell>
          <cell r="Y229" t="str">
            <v>–</v>
          </cell>
          <cell r="Z229">
            <v>2.13</v>
          </cell>
          <cell r="AA229">
            <v>2.5625</v>
          </cell>
          <cell r="AB229" t="str">
            <v>–</v>
          </cell>
          <cell r="AC229" t="str">
            <v>–</v>
          </cell>
          <cell r="AD229">
            <v>3.02</v>
          </cell>
          <cell r="AE229" t="str">
            <v>–</v>
          </cell>
          <cell r="AF229" t="str">
            <v>–</v>
          </cell>
          <cell r="AG229">
            <v>1.02</v>
          </cell>
          <cell r="AH229">
            <v>5.24</v>
          </cell>
          <cell r="AI229" t="str">
            <v>–</v>
          </cell>
          <cell r="AJ229" t="str">
            <v>–</v>
          </cell>
          <cell r="AK229" t="str">
            <v>–</v>
          </cell>
          <cell r="AL229" t="str">
            <v>–</v>
          </cell>
          <cell r="AM229">
            <v>18.8</v>
          </cell>
          <cell r="AN229">
            <v>444</v>
          </cell>
        </row>
        <row r="230">
          <cell r="C230" t="str">
            <v>WT13.5X89</v>
          </cell>
          <cell r="D230" t="str">
            <v>F</v>
          </cell>
          <cell r="E230">
            <v>89</v>
          </cell>
          <cell r="F230">
            <v>26.3</v>
          </cell>
          <cell r="G230" t="str">
            <v>WT13.5X89</v>
          </cell>
          <cell r="H230">
            <v>13.9</v>
          </cell>
          <cell r="I230">
            <v>13.875</v>
          </cell>
          <cell r="J230" t="str">
            <v>–</v>
          </cell>
          <cell r="K230" t="str">
            <v>–</v>
          </cell>
          <cell r="L230" t="str">
            <v>–</v>
          </cell>
          <cell r="M230">
            <v>14.1</v>
          </cell>
          <cell r="N230">
            <v>14.125</v>
          </cell>
          <cell r="O230" t="str">
            <v>–</v>
          </cell>
          <cell r="P230" t="str">
            <v>–</v>
          </cell>
          <cell r="Q230" t="str">
            <v>–</v>
          </cell>
          <cell r="R230">
            <v>0.72499999999999998</v>
          </cell>
          <cell r="S230">
            <v>0.75</v>
          </cell>
          <cell r="T230">
            <v>0.375</v>
          </cell>
          <cell r="U230">
            <v>1.19</v>
          </cell>
          <cell r="V230">
            <v>1.1875</v>
          </cell>
          <cell r="W230">
            <v>1.19</v>
          </cell>
          <cell r="X230" t="str">
            <v>–</v>
          </cell>
          <cell r="Y230" t="str">
            <v>–</v>
          </cell>
          <cell r="Z230">
            <v>1.98</v>
          </cell>
          <cell r="AA230">
            <v>2.375</v>
          </cell>
          <cell r="AB230" t="str">
            <v>–</v>
          </cell>
          <cell r="AC230" t="str">
            <v>–</v>
          </cell>
          <cell r="AD230">
            <v>3.04</v>
          </cell>
          <cell r="AE230" t="str">
            <v>–</v>
          </cell>
          <cell r="AF230" t="str">
            <v>–</v>
          </cell>
          <cell r="AG230">
            <v>0.93200000000000005</v>
          </cell>
          <cell r="AH230">
            <v>5.92</v>
          </cell>
          <cell r="AI230" t="str">
            <v>–</v>
          </cell>
          <cell r="AJ230" t="str">
            <v>–</v>
          </cell>
          <cell r="AK230" t="str">
            <v>–</v>
          </cell>
          <cell r="AL230" t="str">
            <v>–</v>
          </cell>
          <cell r="AM230">
            <v>19.2</v>
          </cell>
          <cell r="AN230">
            <v>414</v>
          </cell>
        </row>
        <row r="231">
          <cell r="C231" t="str">
            <v>WT13.5X80.5</v>
          </cell>
          <cell r="D231" t="str">
            <v>F</v>
          </cell>
          <cell r="E231">
            <v>80.5</v>
          </cell>
          <cell r="F231">
            <v>23.8</v>
          </cell>
          <cell r="G231" t="str">
            <v>WT13.5X80.5</v>
          </cell>
          <cell r="H231">
            <v>13.8</v>
          </cell>
          <cell r="I231">
            <v>13.75</v>
          </cell>
          <cell r="J231" t="str">
            <v>–</v>
          </cell>
          <cell r="K231" t="str">
            <v>–</v>
          </cell>
          <cell r="L231" t="str">
            <v>–</v>
          </cell>
          <cell r="M231">
            <v>14</v>
          </cell>
          <cell r="N231">
            <v>14</v>
          </cell>
          <cell r="O231" t="str">
            <v>–</v>
          </cell>
          <cell r="P231" t="str">
            <v>–</v>
          </cell>
          <cell r="Q231" t="str">
            <v>–</v>
          </cell>
          <cell r="R231">
            <v>0.66</v>
          </cell>
          <cell r="S231">
            <v>0.6875</v>
          </cell>
          <cell r="T231">
            <v>0.375</v>
          </cell>
          <cell r="U231">
            <v>1.08</v>
          </cell>
          <cell r="V231">
            <v>1.0625</v>
          </cell>
          <cell r="W231">
            <v>1.08</v>
          </cell>
          <cell r="X231" t="str">
            <v>–</v>
          </cell>
          <cell r="Y231" t="str">
            <v>–</v>
          </cell>
          <cell r="Z231">
            <v>1.87</v>
          </cell>
          <cell r="AA231">
            <v>2.3125</v>
          </cell>
          <cell r="AB231" t="str">
            <v>–</v>
          </cell>
          <cell r="AC231" t="str">
            <v>–</v>
          </cell>
          <cell r="AD231">
            <v>2.98</v>
          </cell>
          <cell r="AE231" t="str">
            <v>–</v>
          </cell>
          <cell r="AF231" t="str">
            <v>–</v>
          </cell>
          <cell r="AG231">
            <v>0.84899999999999998</v>
          </cell>
          <cell r="AH231">
            <v>6.49</v>
          </cell>
          <cell r="AI231" t="str">
            <v>–</v>
          </cell>
          <cell r="AJ231" t="str">
            <v>–</v>
          </cell>
          <cell r="AK231" t="str">
            <v>–</v>
          </cell>
          <cell r="AL231" t="str">
            <v>–</v>
          </cell>
          <cell r="AM231">
            <v>20.9</v>
          </cell>
          <cell r="AN231">
            <v>372</v>
          </cell>
        </row>
        <row r="232">
          <cell r="C232" t="str">
            <v>WT13.5X73</v>
          </cell>
          <cell r="D232" t="str">
            <v>F</v>
          </cell>
          <cell r="E232">
            <v>73</v>
          </cell>
          <cell r="F232">
            <v>21.6</v>
          </cell>
          <cell r="G232" t="str">
            <v>WT13.5X73</v>
          </cell>
          <cell r="H232">
            <v>13.7</v>
          </cell>
          <cell r="I232">
            <v>13.75</v>
          </cell>
          <cell r="J232" t="str">
            <v>–</v>
          </cell>
          <cell r="K232" t="str">
            <v>–</v>
          </cell>
          <cell r="L232" t="str">
            <v>–</v>
          </cell>
          <cell r="M232">
            <v>14</v>
          </cell>
          <cell r="N232">
            <v>14</v>
          </cell>
          <cell r="O232" t="str">
            <v>–</v>
          </cell>
          <cell r="P232" t="str">
            <v>–</v>
          </cell>
          <cell r="Q232" t="str">
            <v>–</v>
          </cell>
          <cell r="R232">
            <v>0.60499999999999998</v>
          </cell>
          <cell r="S232">
            <v>0.625</v>
          </cell>
          <cell r="T232">
            <v>0.3125</v>
          </cell>
          <cell r="U232">
            <v>0.97499999999999998</v>
          </cell>
          <cell r="V232">
            <v>1</v>
          </cell>
          <cell r="W232">
            <v>0.97499999999999998</v>
          </cell>
          <cell r="X232" t="str">
            <v>–</v>
          </cell>
          <cell r="Y232" t="str">
            <v>–</v>
          </cell>
          <cell r="Z232">
            <v>1.76</v>
          </cell>
          <cell r="AA232">
            <v>2.1875</v>
          </cell>
          <cell r="AB232" t="str">
            <v>–</v>
          </cell>
          <cell r="AC232" t="str">
            <v>–</v>
          </cell>
          <cell r="AD232">
            <v>2.94</v>
          </cell>
          <cell r="AE232" t="str">
            <v>–</v>
          </cell>
          <cell r="AF232" t="str">
            <v>–</v>
          </cell>
          <cell r="AG232">
            <v>0.77200000000000002</v>
          </cell>
          <cell r="AH232">
            <v>7.16</v>
          </cell>
          <cell r="AI232" t="str">
            <v>–</v>
          </cell>
          <cell r="AJ232" t="str">
            <v>–</v>
          </cell>
          <cell r="AK232" t="str">
            <v>–</v>
          </cell>
          <cell r="AL232" t="str">
            <v>–</v>
          </cell>
          <cell r="AM232">
            <v>22.6</v>
          </cell>
          <cell r="AN232">
            <v>336</v>
          </cell>
        </row>
        <row r="233">
          <cell r="C233" t="str">
            <v>WT13.5X64.5</v>
          </cell>
          <cell r="D233" t="str">
            <v>F</v>
          </cell>
          <cell r="E233">
            <v>64.5</v>
          </cell>
          <cell r="F233">
            <v>18.899999999999999</v>
          </cell>
          <cell r="G233" t="str">
            <v>WT13.5X64.5</v>
          </cell>
          <cell r="H233">
            <v>13.8</v>
          </cell>
          <cell r="I233">
            <v>13.875</v>
          </cell>
          <cell r="J233" t="str">
            <v>–</v>
          </cell>
          <cell r="K233" t="str">
            <v>–</v>
          </cell>
          <cell r="L233" t="str">
            <v>–</v>
          </cell>
          <cell r="M233">
            <v>10</v>
          </cell>
          <cell r="N233">
            <v>10</v>
          </cell>
          <cell r="O233" t="str">
            <v>–</v>
          </cell>
          <cell r="P233" t="str">
            <v>–</v>
          </cell>
          <cell r="Q233" t="str">
            <v>–</v>
          </cell>
          <cell r="R233">
            <v>0.61</v>
          </cell>
          <cell r="S233">
            <v>0.625</v>
          </cell>
          <cell r="T233">
            <v>0.3125</v>
          </cell>
          <cell r="U233">
            <v>1.1000000000000001</v>
          </cell>
          <cell r="V233">
            <v>1.125</v>
          </cell>
          <cell r="W233">
            <v>1.1000000000000001</v>
          </cell>
          <cell r="X233" t="str">
            <v>–</v>
          </cell>
          <cell r="Y233" t="str">
            <v>–</v>
          </cell>
          <cell r="Z233">
            <v>1.7</v>
          </cell>
          <cell r="AA233">
            <v>2.3125</v>
          </cell>
          <cell r="AB233" t="str">
            <v>–</v>
          </cell>
          <cell r="AC233" t="str">
            <v>–</v>
          </cell>
          <cell r="AD233">
            <v>3.39</v>
          </cell>
          <cell r="AE233" t="str">
            <v>–</v>
          </cell>
          <cell r="AF233" t="str">
            <v>–</v>
          </cell>
          <cell r="AG233">
            <v>0.94499999999999995</v>
          </cell>
          <cell r="AH233">
            <v>4.55</v>
          </cell>
          <cell r="AI233" t="str">
            <v>–</v>
          </cell>
          <cell r="AJ233" t="str">
            <v>–</v>
          </cell>
          <cell r="AK233" t="str">
            <v>–</v>
          </cell>
          <cell r="AL233" t="str">
            <v>–</v>
          </cell>
          <cell r="AM233">
            <v>22.6</v>
          </cell>
          <cell r="AN233">
            <v>323</v>
          </cell>
        </row>
        <row r="234">
          <cell r="C234" t="str">
            <v>WT13.5X57</v>
          </cell>
          <cell r="D234" t="str">
            <v>F</v>
          </cell>
          <cell r="E234">
            <v>57</v>
          </cell>
          <cell r="F234">
            <v>16.8</v>
          </cell>
          <cell r="G234" t="str">
            <v>WT13.5X57</v>
          </cell>
          <cell r="H234">
            <v>13.6</v>
          </cell>
          <cell r="I234">
            <v>13.625</v>
          </cell>
          <cell r="J234" t="str">
            <v>–</v>
          </cell>
          <cell r="K234" t="str">
            <v>–</v>
          </cell>
          <cell r="L234" t="str">
            <v>–</v>
          </cell>
          <cell r="M234">
            <v>10.1</v>
          </cell>
          <cell r="N234">
            <v>10.125</v>
          </cell>
          <cell r="O234" t="str">
            <v>–</v>
          </cell>
          <cell r="P234" t="str">
            <v>–</v>
          </cell>
          <cell r="Q234" t="str">
            <v>–</v>
          </cell>
          <cell r="R234">
            <v>0.56999999999999995</v>
          </cell>
          <cell r="S234">
            <v>0.5625</v>
          </cell>
          <cell r="T234">
            <v>0.3125</v>
          </cell>
          <cell r="U234">
            <v>0.93</v>
          </cell>
          <cell r="V234">
            <v>0.9375</v>
          </cell>
          <cell r="W234">
            <v>0.93</v>
          </cell>
          <cell r="X234" t="str">
            <v>–</v>
          </cell>
          <cell r="Y234" t="str">
            <v>–</v>
          </cell>
          <cell r="Z234">
            <v>1.53</v>
          </cell>
          <cell r="AA234">
            <v>2.125</v>
          </cell>
          <cell r="AB234" t="str">
            <v>–</v>
          </cell>
          <cell r="AC234" t="str">
            <v>–</v>
          </cell>
          <cell r="AD234">
            <v>3.42</v>
          </cell>
          <cell r="AE234" t="str">
            <v>–</v>
          </cell>
          <cell r="AF234" t="str">
            <v>–</v>
          </cell>
          <cell r="AG234">
            <v>0.83199999999999996</v>
          </cell>
          <cell r="AH234">
            <v>5.41</v>
          </cell>
          <cell r="AI234" t="str">
            <v>–</v>
          </cell>
          <cell r="AJ234" t="str">
            <v>–</v>
          </cell>
          <cell r="AK234" t="str">
            <v>–</v>
          </cell>
          <cell r="AL234" t="str">
            <v>–</v>
          </cell>
          <cell r="AM234">
            <v>23.9</v>
          </cell>
          <cell r="AN234">
            <v>289</v>
          </cell>
        </row>
        <row r="235">
          <cell r="C235" t="str">
            <v>WT13.5X51</v>
          </cell>
          <cell r="D235" t="str">
            <v>F</v>
          </cell>
          <cell r="E235">
            <v>51</v>
          </cell>
          <cell r="F235">
            <v>15</v>
          </cell>
          <cell r="G235" t="str">
            <v>WT13.5X51</v>
          </cell>
          <cell r="H235">
            <v>13.5</v>
          </cell>
          <cell r="I235">
            <v>13.5</v>
          </cell>
          <cell r="J235" t="str">
            <v>–</v>
          </cell>
          <cell r="K235" t="str">
            <v>–</v>
          </cell>
          <cell r="L235" t="str">
            <v>–</v>
          </cell>
          <cell r="M235">
            <v>10</v>
          </cell>
          <cell r="N235">
            <v>10</v>
          </cell>
          <cell r="O235" t="str">
            <v>–</v>
          </cell>
          <cell r="P235" t="str">
            <v>–</v>
          </cell>
          <cell r="Q235" t="str">
            <v>–</v>
          </cell>
          <cell r="R235">
            <v>0.51500000000000001</v>
          </cell>
          <cell r="S235">
            <v>0.5</v>
          </cell>
          <cell r="T235">
            <v>0.25</v>
          </cell>
          <cell r="U235">
            <v>0.83</v>
          </cell>
          <cell r="V235">
            <v>0.8125</v>
          </cell>
          <cell r="W235">
            <v>0.83</v>
          </cell>
          <cell r="X235" t="str">
            <v>–</v>
          </cell>
          <cell r="Y235" t="str">
            <v>–</v>
          </cell>
          <cell r="Z235">
            <v>1.43</v>
          </cell>
          <cell r="AA235">
            <v>2.0625</v>
          </cell>
          <cell r="AB235" t="str">
            <v>–</v>
          </cell>
          <cell r="AC235" t="str">
            <v>–</v>
          </cell>
          <cell r="AD235">
            <v>3.37</v>
          </cell>
          <cell r="AE235" t="str">
            <v>–</v>
          </cell>
          <cell r="AF235" t="str">
            <v>–</v>
          </cell>
          <cell r="AG235">
            <v>0.75</v>
          </cell>
          <cell r="AH235">
            <v>6.03</v>
          </cell>
          <cell r="AI235" t="str">
            <v>–</v>
          </cell>
          <cell r="AJ235" t="str">
            <v>–</v>
          </cell>
          <cell r="AK235" t="str">
            <v>–</v>
          </cell>
          <cell r="AL235" t="str">
            <v>–</v>
          </cell>
          <cell r="AM235">
            <v>26.2</v>
          </cell>
          <cell r="AN235">
            <v>258</v>
          </cell>
        </row>
        <row r="236">
          <cell r="C236" t="str">
            <v>WT13.5X47</v>
          </cell>
          <cell r="D236" t="str">
            <v>F</v>
          </cell>
          <cell r="E236">
            <v>47</v>
          </cell>
          <cell r="F236">
            <v>13.8</v>
          </cell>
          <cell r="G236" t="str">
            <v>WT13.5X47</v>
          </cell>
          <cell r="H236">
            <v>13.5</v>
          </cell>
          <cell r="I236">
            <v>13.5</v>
          </cell>
          <cell r="J236" t="str">
            <v>–</v>
          </cell>
          <cell r="K236" t="str">
            <v>–</v>
          </cell>
          <cell r="L236" t="str">
            <v>–</v>
          </cell>
          <cell r="M236">
            <v>10</v>
          </cell>
          <cell r="N236">
            <v>10</v>
          </cell>
          <cell r="O236" t="str">
            <v>–</v>
          </cell>
          <cell r="P236" t="str">
            <v>–</v>
          </cell>
          <cell r="Q236" t="str">
            <v>–</v>
          </cell>
          <cell r="R236">
            <v>0.49</v>
          </cell>
          <cell r="S236">
            <v>0.5</v>
          </cell>
          <cell r="T236">
            <v>0.25</v>
          </cell>
          <cell r="U236">
            <v>0.745</v>
          </cell>
          <cell r="V236">
            <v>0.75</v>
          </cell>
          <cell r="W236">
            <v>0.745</v>
          </cell>
          <cell r="X236" t="str">
            <v>–</v>
          </cell>
          <cell r="Y236" t="str">
            <v>–</v>
          </cell>
          <cell r="Z236">
            <v>1.34</v>
          </cell>
          <cell r="AA236">
            <v>1.9375</v>
          </cell>
          <cell r="AB236" t="str">
            <v>–</v>
          </cell>
          <cell r="AC236" t="str">
            <v>–</v>
          </cell>
          <cell r="AD236">
            <v>3.41</v>
          </cell>
          <cell r="AE236" t="str">
            <v>–</v>
          </cell>
          <cell r="AF236" t="str">
            <v>–</v>
          </cell>
          <cell r="AG236">
            <v>0.69199999999999995</v>
          </cell>
          <cell r="AH236">
            <v>6.7</v>
          </cell>
          <cell r="AI236" t="str">
            <v>–</v>
          </cell>
          <cell r="AJ236" t="str">
            <v>–</v>
          </cell>
          <cell r="AK236" t="str">
            <v>–</v>
          </cell>
          <cell r="AL236" t="str">
            <v>–</v>
          </cell>
          <cell r="AM236">
            <v>27.6</v>
          </cell>
          <cell r="AN236">
            <v>239</v>
          </cell>
        </row>
        <row r="237">
          <cell r="C237" t="str">
            <v>WT13.5X42</v>
          </cell>
          <cell r="D237" t="str">
            <v>F</v>
          </cell>
          <cell r="E237">
            <v>42</v>
          </cell>
          <cell r="F237">
            <v>12.4</v>
          </cell>
          <cell r="G237" t="str">
            <v>WT13.5X42</v>
          </cell>
          <cell r="H237">
            <v>13.4</v>
          </cell>
          <cell r="I237">
            <v>13.375</v>
          </cell>
          <cell r="J237" t="str">
            <v>–</v>
          </cell>
          <cell r="K237" t="str">
            <v>–</v>
          </cell>
          <cell r="L237" t="str">
            <v>–</v>
          </cell>
          <cell r="M237">
            <v>10</v>
          </cell>
          <cell r="N237">
            <v>10</v>
          </cell>
          <cell r="O237" t="str">
            <v>–</v>
          </cell>
          <cell r="P237" t="str">
            <v>–</v>
          </cell>
          <cell r="Q237" t="str">
            <v>–</v>
          </cell>
          <cell r="R237">
            <v>0.46</v>
          </cell>
          <cell r="S237">
            <v>0.4375</v>
          </cell>
          <cell r="T237">
            <v>0.25</v>
          </cell>
          <cell r="U237">
            <v>0.64</v>
          </cell>
          <cell r="V237">
            <v>0.625</v>
          </cell>
          <cell r="W237">
            <v>0.64</v>
          </cell>
          <cell r="X237" t="str">
            <v>–</v>
          </cell>
          <cell r="Y237" t="str">
            <v>–</v>
          </cell>
          <cell r="Z237">
            <v>1.24</v>
          </cell>
          <cell r="AA237">
            <v>1.875</v>
          </cell>
          <cell r="AB237" t="str">
            <v>–</v>
          </cell>
          <cell r="AC237" t="str">
            <v>–</v>
          </cell>
          <cell r="AD237">
            <v>3.48</v>
          </cell>
          <cell r="AE237" t="str">
            <v>–</v>
          </cell>
          <cell r="AF237" t="str">
            <v>–</v>
          </cell>
          <cell r="AG237">
            <v>0.621</v>
          </cell>
          <cell r="AH237">
            <v>7.78</v>
          </cell>
          <cell r="AI237" t="str">
            <v>–</v>
          </cell>
          <cell r="AJ237" t="str">
            <v>–</v>
          </cell>
          <cell r="AK237" t="str">
            <v>–</v>
          </cell>
          <cell r="AL237" t="str">
            <v>–</v>
          </cell>
          <cell r="AM237">
            <v>29.1</v>
          </cell>
          <cell r="AN237">
            <v>216</v>
          </cell>
        </row>
        <row r="238">
          <cell r="C238" t="str">
            <v>WT12X185</v>
          </cell>
          <cell r="D238" t="str">
            <v>T</v>
          </cell>
          <cell r="E238">
            <v>185</v>
          </cell>
          <cell r="F238">
            <v>54.5</v>
          </cell>
          <cell r="G238" t="str">
            <v>WT12X185</v>
          </cell>
          <cell r="H238">
            <v>14</v>
          </cell>
          <cell r="I238">
            <v>14</v>
          </cell>
          <cell r="J238" t="str">
            <v>–</v>
          </cell>
          <cell r="K238" t="str">
            <v>–</v>
          </cell>
          <cell r="L238" t="str">
            <v>–</v>
          </cell>
          <cell r="M238">
            <v>13.7</v>
          </cell>
          <cell r="N238">
            <v>13.625</v>
          </cell>
          <cell r="O238" t="str">
            <v>–</v>
          </cell>
          <cell r="P238" t="str">
            <v>–</v>
          </cell>
          <cell r="Q238" t="str">
            <v>–</v>
          </cell>
          <cell r="R238">
            <v>1.52</v>
          </cell>
          <cell r="S238">
            <v>1.5</v>
          </cell>
          <cell r="T238">
            <v>0.75</v>
          </cell>
          <cell r="U238">
            <v>2.72</v>
          </cell>
          <cell r="V238">
            <v>2.75</v>
          </cell>
          <cell r="W238">
            <v>2.72</v>
          </cell>
          <cell r="X238" t="str">
            <v>–</v>
          </cell>
          <cell r="Y238" t="str">
            <v>–</v>
          </cell>
          <cell r="Z238">
            <v>3.22</v>
          </cell>
          <cell r="AA238">
            <v>4</v>
          </cell>
          <cell r="AB238" t="str">
            <v>–</v>
          </cell>
          <cell r="AC238" t="str">
            <v>–</v>
          </cell>
          <cell r="AD238">
            <v>3.57</v>
          </cell>
          <cell r="AE238" t="str">
            <v>–</v>
          </cell>
          <cell r="AF238" t="str">
            <v>–</v>
          </cell>
          <cell r="AG238">
            <v>1.99</v>
          </cell>
          <cell r="AH238">
            <v>2.5099999999999998</v>
          </cell>
          <cell r="AI238" t="str">
            <v>–</v>
          </cell>
          <cell r="AJ238" t="str">
            <v>–</v>
          </cell>
          <cell r="AK238" t="str">
            <v>–</v>
          </cell>
          <cell r="AL238" t="str">
            <v>–</v>
          </cell>
          <cell r="AM238">
            <v>9.1999999999999993</v>
          </cell>
          <cell r="AN238">
            <v>779</v>
          </cell>
        </row>
        <row r="239">
          <cell r="C239" t="str">
            <v>WT12X167.5</v>
          </cell>
          <cell r="D239" t="str">
            <v>T</v>
          </cell>
          <cell r="E239">
            <v>167.5</v>
          </cell>
          <cell r="F239">
            <v>49.1</v>
          </cell>
          <cell r="G239" t="str">
            <v>WT12X167.5</v>
          </cell>
          <cell r="H239">
            <v>13.8</v>
          </cell>
          <cell r="I239">
            <v>13.75</v>
          </cell>
          <cell r="J239" t="str">
            <v>–</v>
          </cell>
          <cell r="K239" t="str">
            <v>–</v>
          </cell>
          <cell r="L239" t="str">
            <v>–</v>
          </cell>
          <cell r="M239">
            <v>13.5</v>
          </cell>
          <cell r="N239">
            <v>13.5</v>
          </cell>
          <cell r="O239" t="str">
            <v>–</v>
          </cell>
          <cell r="P239" t="str">
            <v>–</v>
          </cell>
          <cell r="Q239" t="str">
            <v>–</v>
          </cell>
          <cell r="R239">
            <v>1.38</v>
          </cell>
          <cell r="S239">
            <v>1.375</v>
          </cell>
          <cell r="T239">
            <v>0.6875</v>
          </cell>
          <cell r="U239">
            <v>2.48</v>
          </cell>
          <cell r="V239">
            <v>2.5</v>
          </cell>
          <cell r="W239">
            <v>2.48</v>
          </cell>
          <cell r="X239" t="str">
            <v>–</v>
          </cell>
          <cell r="Y239" t="str">
            <v>–</v>
          </cell>
          <cell r="Z239">
            <v>2.98</v>
          </cell>
          <cell r="AA239">
            <v>3.75</v>
          </cell>
          <cell r="AB239" t="str">
            <v>–</v>
          </cell>
          <cell r="AC239" t="str">
            <v>–</v>
          </cell>
          <cell r="AD239">
            <v>3.42</v>
          </cell>
          <cell r="AE239" t="str">
            <v>–</v>
          </cell>
          <cell r="AF239" t="str">
            <v>–</v>
          </cell>
          <cell r="AG239">
            <v>1.82</v>
          </cell>
          <cell r="AH239">
            <v>2.73</v>
          </cell>
          <cell r="AI239" t="str">
            <v>–</v>
          </cell>
          <cell r="AJ239" t="str">
            <v>–</v>
          </cell>
          <cell r="AK239" t="str">
            <v>–</v>
          </cell>
          <cell r="AL239" t="str">
            <v>–</v>
          </cell>
          <cell r="AM239">
            <v>10</v>
          </cell>
          <cell r="AN239">
            <v>686</v>
          </cell>
        </row>
        <row r="240">
          <cell r="C240" t="str">
            <v>WT12X153</v>
          </cell>
          <cell r="D240" t="str">
            <v>T</v>
          </cell>
          <cell r="E240">
            <v>153</v>
          </cell>
          <cell r="F240">
            <v>44.9</v>
          </cell>
          <cell r="G240" t="str">
            <v>WT12X153</v>
          </cell>
          <cell r="H240">
            <v>13.6</v>
          </cell>
          <cell r="I240">
            <v>13.625</v>
          </cell>
          <cell r="J240" t="str">
            <v>–</v>
          </cell>
          <cell r="K240" t="str">
            <v>–</v>
          </cell>
          <cell r="L240" t="str">
            <v>–</v>
          </cell>
          <cell r="M240">
            <v>13.4</v>
          </cell>
          <cell r="N240">
            <v>13.375</v>
          </cell>
          <cell r="O240" t="str">
            <v>–</v>
          </cell>
          <cell r="P240" t="str">
            <v>–</v>
          </cell>
          <cell r="Q240" t="str">
            <v>–</v>
          </cell>
          <cell r="R240">
            <v>1.26</v>
          </cell>
          <cell r="S240">
            <v>1.25</v>
          </cell>
          <cell r="T240">
            <v>0.625</v>
          </cell>
          <cell r="U240">
            <v>2.2799999999999998</v>
          </cell>
          <cell r="V240">
            <v>2.25</v>
          </cell>
          <cell r="W240">
            <v>2.2799999999999998</v>
          </cell>
          <cell r="X240" t="str">
            <v>–</v>
          </cell>
          <cell r="Y240" t="str">
            <v>–</v>
          </cell>
          <cell r="Z240">
            <v>2.78</v>
          </cell>
          <cell r="AA240">
            <v>3.5625</v>
          </cell>
          <cell r="AB240" t="str">
            <v>–</v>
          </cell>
          <cell r="AC240" t="str">
            <v>–</v>
          </cell>
          <cell r="AD240">
            <v>3.29</v>
          </cell>
          <cell r="AE240" t="str">
            <v>–</v>
          </cell>
          <cell r="AF240" t="str">
            <v>–</v>
          </cell>
          <cell r="AG240">
            <v>1.67</v>
          </cell>
          <cell r="AH240">
            <v>2.94</v>
          </cell>
          <cell r="AI240" t="str">
            <v>–</v>
          </cell>
          <cell r="AJ240" t="str">
            <v>–</v>
          </cell>
          <cell r="AK240" t="str">
            <v>–</v>
          </cell>
          <cell r="AL240" t="str">
            <v>–</v>
          </cell>
          <cell r="AM240">
            <v>10.8</v>
          </cell>
          <cell r="AN240">
            <v>611</v>
          </cell>
        </row>
        <row r="241">
          <cell r="C241" t="str">
            <v>WT12X139.5</v>
          </cell>
          <cell r="D241" t="str">
            <v>T</v>
          </cell>
          <cell r="E241">
            <v>139.5</v>
          </cell>
          <cell r="F241">
            <v>41</v>
          </cell>
          <cell r="G241" t="str">
            <v>WT12X139.5</v>
          </cell>
          <cell r="H241">
            <v>13.4</v>
          </cell>
          <cell r="I241">
            <v>13.375</v>
          </cell>
          <cell r="J241" t="str">
            <v>–</v>
          </cell>
          <cell r="K241" t="str">
            <v>–</v>
          </cell>
          <cell r="L241" t="str">
            <v>–</v>
          </cell>
          <cell r="M241">
            <v>13.3</v>
          </cell>
          <cell r="N241">
            <v>13.25</v>
          </cell>
          <cell r="O241" t="str">
            <v>–</v>
          </cell>
          <cell r="P241" t="str">
            <v>–</v>
          </cell>
          <cell r="Q241" t="str">
            <v>–</v>
          </cell>
          <cell r="R241">
            <v>1.1599999999999999</v>
          </cell>
          <cell r="S241">
            <v>1.1875</v>
          </cell>
          <cell r="T241">
            <v>0.625</v>
          </cell>
          <cell r="U241">
            <v>2.09</v>
          </cell>
          <cell r="V241">
            <v>2.0625</v>
          </cell>
          <cell r="W241">
            <v>2.09</v>
          </cell>
          <cell r="X241" t="str">
            <v>–</v>
          </cell>
          <cell r="Y241" t="str">
            <v>–</v>
          </cell>
          <cell r="Z241">
            <v>2.59</v>
          </cell>
          <cell r="AA241">
            <v>3.375</v>
          </cell>
          <cell r="AB241" t="str">
            <v>–</v>
          </cell>
          <cell r="AC241" t="str">
            <v>–</v>
          </cell>
          <cell r="AD241">
            <v>3.18</v>
          </cell>
          <cell r="AE241" t="str">
            <v>–</v>
          </cell>
          <cell r="AF241" t="str">
            <v>–</v>
          </cell>
          <cell r="AG241">
            <v>1.54</v>
          </cell>
          <cell r="AH241">
            <v>3.18</v>
          </cell>
          <cell r="AI241" t="str">
            <v>–</v>
          </cell>
          <cell r="AJ241" t="str">
            <v>–</v>
          </cell>
          <cell r="AK241" t="str">
            <v>–</v>
          </cell>
          <cell r="AL241" t="str">
            <v>–</v>
          </cell>
          <cell r="AM241">
            <v>11.6</v>
          </cell>
          <cell r="AN241">
            <v>546</v>
          </cell>
        </row>
        <row r="242">
          <cell r="C242" t="str">
            <v>WT12X125</v>
          </cell>
          <cell r="D242" t="str">
            <v>F</v>
          </cell>
          <cell r="E242">
            <v>125</v>
          </cell>
          <cell r="F242">
            <v>36.799999999999997</v>
          </cell>
          <cell r="G242" t="str">
            <v>WT12X125</v>
          </cell>
          <cell r="H242">
            <v>13.2</v>
          </cell>
          <cell r="I242">
            <v>13.125</v>
          </cell>
          <cell r="J242" t="str">
            <v>–</v>
          </cell>
          <cell r="K242" t="str">
            <v>–</v>
          </cell>
          <cell r="L242" t="str">
            <v>–</v>
          </cell>
          <cell r="M242">
            <v>13.2</v>
          </cell>
          <cell r="N242">
            <v>13.125</v>
          </cell>
          <cell r="O242" t="str">
            <v>–</v>
          </cell>
          <cell r="P242" t="str">
            <v>–</v>
          </cell>
          <cell r="Q242" t="str">
            <v>–</v>
          </cell>
          <cell r="R242">
            <v>1.04</v>
          </cell>
          <cell r="S242">
            <v>1.0625</v>
          </cell>
          <cell r="T242">
            <v>0.5625</v>
          </cell>
          <cell r="U242">
            <v>1.89</v>
          </cell>
          <cell r="V242">
            <v>1.875</v>
          </cell>
          <cell r="W242">
            <v>1.89</v>
          </cell>
          <cell r="X242" t="str">
            <v>–</v>
          </cell>
          <cell r="Y242" t="str">
            <v>–</v>
          </cell>
          <cell r="Z242">
            <v>2.39</v>
          </cell>
          <cell r="AA242">
            <v>3.125</v>
          </cell>
          <cell r="AB242" t="str">
            <v>–</v>
          </cell>
          <cell r="AC242" t="str">
            <v>–</v>
          </cell>
          <cell r="AD242">
            <v>3.05</v>
          </cell>
          <cell r="AE242" t="str">
            <v>–</v>
          </cell>
          <cell r="AF242" t="str">
            <v>–</v>
          </cell>
          <cell r="AG242">
            <v>1.39</v>
          </cell>
          <cell r="AH242">
            <v>3.49</v>
          </cell>
          <cell r="AI242" t="str">
            <v>–</v>
          </cell>
          <cell r="AJ242" t="str">
            <v>–</v>
          </cell>
          <cell r="AK242" t="str">
            <v>–</v>
          </cell>
          <cell r="AL242" t="str">
            <v>–</v>
          </cell>
          <cell r="AM242">
            <v>12.7</v>
          </cell>
          <cell r="AN242">
            <v>478</v>
          </cell>
        </row>
        <row r="243">
          <cell r="C243" t="str">
            <v>WT12X114.5</v>
          </cell>
          <cell r="D243" t="str">
            <v>F</v>
          </cell>
          <cell r="E243">
            <v>114.5</v>
          </cell>
          <cell r="F243">
            <v>33.6</v>
          </cell>
          <cell r="G243" t="str">
            <v>WT12X114.5</v>
          </cell>
          <cell r="H243">
            <v>13</v>
          </cell>
          <cell r="I243">
            <v>13</v>
          </cell>
          <cell r="J243" t="str">
            <v>–</v>
          </cell>
          <cell r="K243" t="str">
            <v>–</v>
          </cell>
          <cell r="L243" t="str">
            <v>–</v>
          </cell>
          <cell r="M243">
            <v>13.1</v>
          </cell>
          <cell r="N243">
            <v>13.125</v>
          </cell>
          <cell r="O243" t="str">
            <v>–</v>
          </cell>
          <cell r="P243" t="str">
            <v>–</v>
          </cell>
          <cell r="Q243" t="str">
            <v>–</v>
          </cell>
          <cell r="R243">
            <v>0.96</v>
          </cell>
          <cell r="S243">
            <v>0.9375</v>
          </cell>
          <cell r="T243">
            <v>0.5</v>
          </cell>
          <cell r="U243">
            <v>1.73</v>
          </cell>
          <cell r="V243">
            <v>1.75</v>
          </cell>
          <cell r="W243">
            <v>1.73</v>
          </cell>
          <cell r="X243" t="str">
            <v>–</v>
          </cell>
          <cell r="Y243" t="str">
            <v>–</v>
          </cell>
          <cell r="Z243">
            <v>2.23</v>
          </cell>
          <cell r="AA243">
            <v>3</v>
          </cell>
          <cell r="AB243" t="str">
            <v>–</v>
          </cell>
          <cell r="AC243" t="str">
            <v>–</v>
          </cell>
          <cell r="AD243">
            <v>2.96</v>
          </cell>
          <cell r="AE243" t="str">
            <v>–</v>
          </cell>
          <cell r="AF243" t="str">
            <v>–</v>
          </cell>
          <cell r="AG243">
            <v>1.28</v>
          </cell>
          <cell r="AH243">
            <v>3.79</v>
          </cell>
          <cell r="AI243" t="str">
            <v>–</v>
          </cell>
          <cell r="AJ243" t="str">
            <v>–</v>
          </cell>
          <cell r="AK243" t="str">
            <v>–</v>
          </cell>
          <cell r="AL243" t="str">
            <v>–</v>
          </cell>
          <cell r="AM243">
            <v>13.5</v>
          </cell>
          <cell r="AN243">
            <v>431</v>
          </cell>
        </row>
        <row r="244">
          <cell r="C244" t="str">
            <v>WT12X103.5</v>
          </cell>
          <cell r="D244" t="str">
            <v>F</v>
          </cell>
          <cell r="E244">
            <v>103.5</v>
          </cell>
          <cell r="F244">
            <v>30.3</v>
          </cell>
          <cell r="G244" t="str">
            <v>WT12X103.5</v>
          </cell>
          <cell r="H244">
            <v>12.9</v>
          </cell>
          <cell r="I244">
            <v>12.875</v>
          </cell>
          <cell r="J244" t="str">
            <v>–</v>
          </cell>
          <cell r="K244" t="str">
            <v>–</v>
          </cell>
          <cell r="L244" t="str">
            <v>–</v>
          </cell>
          <cell r="M244">
            <v>13</v>
          </cell>
          <cell r="N244">
            <v>13</v>
          </cell>
          <cell r="O244" t="str">
            <v>–</v>
          </cell>
          <cell r="P244" t="str">
            <v>–</v>
          </cell>
          <cell r="Q244" t="str">
            <v>–</v>
          </cell>
          <cell r="R244">
            <v>0.87</v>
          </cell>
          <cell r="S244">
            <v>0.875</v>
          </cell>
          <cell r="T244">
            <v>0.4375</v>
          </cell>
          <cell r="U244">
            <v>1.57</v>
          </cell>
          <cell r="V244">
            <v>1.5625</v>
          </cell>
          <cell r="W244">
            <v>1.57</v>
          </cell>
          <cell r="X244" t="str">
            <v>–</v>
          </cell>
          <cell r="Y244" t="str">
            <v>–</v>
          </cell>
          <cell r="Z244">
            <v>2.0699999999999998</v>
          </cell>
          <cell r="AA244">
            <v>2.875</v>
          </cell>
          <cell r="AB244" t="str">
            <v>–</v>
          </cell>
          <cell r="AC244" t="str">
            <v>–</v>
          </cell>
          <cell r="AD244">
            <v>2.87</v>
          </cell>
          <cell r="AE244" t="str">
            <v>–</v>
          </cell>
          <cell r="AF244" t="str">
            <v>–</v>
          </cell>
          <cell r="AG244">
            <v>1.17</v>
          </cell>
          <cell r="AH244">
            <v>4.1399999999999997</v>
          </cell>
          <cell r="AI244" t="str">
            <v>–</v>
          </cell>
          <cell r="AJ244" t="str">
            <v>–</v>
          </cell>
          <cell r="AK244" t="str">
            <v>–</v>
          </cell>
          <cell r="AL244" t="str">
            <v>–</v>
          </cell>
          <cell r="AM244">
            <v>14.8</v>
          </cell>
          <cell r="AN244">
            <v>382</v>
          </cell>
        </row>
        <row r="245">
          <cell r="C245" t="str">
            <v>WT12X96</v>
          </cell>
          <cell r="D245" t="str">
            <v>F</v>
          </cell>
          <cell r="E245">
            <v>96</v>
          </cell>
          <cell r="F245">
            <v>28.2</v>
          </cell>
          <cell r="G245" t="str">
            <v>WT12X96</v>
          </cell>
          <cell r="H245">
            <v>12.7</v>
          </cell>
          <cell r="I245">
            <v>12.75</v>
          </cell>
          <cell r="J245" t="str">
            <v>–</v>
          </cell>
          <cell r="K245" t="str">
            <v>–</v>
          </cell>
          <cell r="L245" t="str">
            <v>–</v>
          </cell>
          <cell r="M245">
            <v>13</v>
          </cell>
          <cell r="N245">
            <v>13</v>
          </cell>
          <cell r="O245" t="str">
            <v>–</v>
          </cell>
          <cell r="P245" t="str">
            <v>–</v>
          </cell>
          <cell r="Q245" t="str">
            <v>–</v>
          </cell>
          <cell r="R245">
            <v>0.81</v>
          </cell>
          <cell r="S245">
            <v>0.8125</v>
          </cell>
          <cell r="T245">
            <v>0.4375</v>
          </cell>
          <cell r="U245">
            <v>1.46</v>
          </cell>
          <cell r="V245">
            <v>1.4375</v>
          </cell>
          <cell r="W245">
            <v>1.46</v>
          </cell>
          <cell r="X245" t="str">
            <v>–</v>
          </cell>
          <cell r="Y245" t="str">
            <v>–</v>
          </cell>
          <cell r="Z245">
            <v>1.96</v>
          </cell>
          <cell r="AA245">
            <v>2.75</v>
          </cell>
          <cell r="AB245" t="str">
            <v>–</v>
          </cell>
          <cell r="AC245" t="str">
            <v>–</v>
          </cell>
          <cell r="AD245">
            <v>2.8</v>
          </cell>
          <cell r="AE245" t="str">
            <v>–</v>
          </cell>
          <cell r="AF245" t="str">
            <v>–</v>
          </cell>
          <cell r="AG245">
            <v>1.0900000000000001</v>
          </cell>
          <cell r="AH245">
            <v>4.43</v>
          </cell>
          <cell r="AI245" t="str">
            <v>–</v>
          </cell>
          <cell r="AJ245" t="str">
            <v>–</v>
          </cell>
          <cell r="AK245" t="str">
            <v>–</v>
          </cell>
          <cell r="AL245" t="str">
            <v>–</v>
          </cell>
          <cell r="AM245">
            <v>15.7</v>
          </cell>
          <cell r="AN245">
            <v>350</v>
          </cell>
        </row>
        <row r="246">
          <cell r="C246" t="str">
            <v>WT12X88</v>
          </cell>
          <cell r="D246" t="str">
            <v>F</v>
          </cell>
          <cell r="E246">
            <v>88</v>
          </cell>
          <cell r="F246">
            <v>25.8</v>
          </cell>
          <cell r="G246" t="str">
            <v>WT12X88</v>
          </cell>
          <cell r="H246">
            <v>12.6</v>
          </cell>
          <cell r="I246">
            <v>12.625</v>
          </cell>
          <cell r="J246" t="str">
            <v>–</v>
          </cell>
          <cell r="K246" t="str">
            <v>–</v>
          </cell>
          <cell r="L246" t="str">
            <v>–</v>
          </cell>
          <cell r="M246">
            <v>12.9</v>
          </cell>
          <cell r="N246">
            <v>12.875</v>
          </cell>
          <cell r="O246" t="str">
            <v>–</v>
          </cell>
          <cell r="P246" t="str">
            <v>–</v>
          </cell>
          <cell r="Q246" t="str">
            <v>–</v>
          </cell>
          <cell r="R246">
            <v>0.75</v>
          </cell>
          <cell r="S246">
            <v>0.75</v>
          </cell>
          <cell r="T246">
            <v>0.375</v>
          </cell>
          <cell r="U246">
            <v>1.34</v>
          </cell>
          <cell r="V246">
            <v>1.3125</v>
          </cell>
          <cell r="W246">
            <v>1.34</v>
          </cell>
          <cell r="X246" t="str">
            <v>–</v>
          </cell>
          <cell r="Y246" t="str">
            <v>–</v>
          </cell>
          <cell r="Z246">
            <v>1.84</v>
          </cell>
          <cell r="AA246">
            <v>2.625</v>
          </cell>
          <cell r="AB246" t="str">
            <v>–</v>
          </cell>
          <cell r="AC246" t="str">
            <v>–</v>
          </cell>
          <cell r="AD246">
            <v>2.74</v>
          </cell>
          <cell r="AE246" t="str">
            <v>–</v>
          </cell>
          <cell r="AF246" t="str">
            <v>–</v>
          </cell>
          <cell r="AG246">
            <v>1</v>
          </cell>
          <cell r="AH246">
            <v>4.8099999999999996</v>
          </cell>
          <cell r="AI246" t="str">
            <v>–</v>
          </cell>
          <cell r="AJ246" t="str">
            <v>–</v>
          </cell>
          <cell r="AK246" t="str">
            <v>–</v>
          </cell>
          <cell r="AL246" t="str">
            <v>–</v>
          </cell>
          <cell r="AM246">
            <v>16.8</v>
          </cell>
          <cell r="AN246">
            <v>319</v>
          </cell>
        </row>
        <row r="247">
          <cell r="C247" t="str">
            <v>WT12X81</v>
          </cell>
          <cell r="D247" t="str">
            <v>F</v>
          </cell>
          <cell r="E247">
            <v>81</v>
          </cell>
          <cell r="F247">
            <v>23.9</v>
          </cell>
          <cell r="G247" t="str">
            <v>WT12X81</v>
          </cell>
          <cell r="H247">
            <v>12.5</v>
          </cell>
          <cell r="I247">
            <v>12.5</v>
          </cell>
          <cell r="J247" t="str">
            <v>–</v>
          </cell>
          <cell r="K247" t="str">
            <v>–</v>
          </cell>
          <cell r="L247" t="str">
            <v>–</v>
          </cell>
          <cell r="M247">
            <v>13</v>
          </cell>
          <cell r="N247">
            <v>13</v>
          </cell>
          <cell r="O247" t="str">
            <v>–</v>
          </cell>
          <cell r="P247" t="str">
            <v>–</v>
          </cell>
          <cell r="Q247" t="str">
            <v>–</v>
          </cell>
          <cell r="R247">
            <v>0.70499999999999996</v>
          </cell>
          <cell r="S247">
            <v>0.6875</v>
          </cell>
          <cell r="T247">
            <v>0.375</v>
          </cell>
          <cell r="U247">
            <v>1.22</v>
          </cell>
          <cell r="V247">
            <v>1.25</v>
          </cell>
          <cell r="W247">
            <v>1.22</v>
          </cell>
          <cell r="X247" t="str">
            <v>–</v>
          </cell>
          <cell r="Y247" t="str">
            <v>–</v>
          </cell>
          <cell r="Z247">
            <v>1.72</v>
          </cell>
          <cell r="AA247">
            <v>2.5</v>
          </cell>
          <cell r="AB247" t="str">
            <v>–</v>
          </cell>
          <cell r="AC247" t="str">
            <v>–</v>
          </cell>
          <cell r="AD247">
            <v>2.7</v>
          </cell>
          <cell r="AE247" t="str">
            <v>–</v>
          </cell>
          <cell r="AF247" t="str">
            <v>–</v>
          </cell>
          <cell r="AG247">
            <v>0.92100000000000004</v>
          </cell>
          <cell r="AH247">
            <v>5.31</v>
          </cell>
          <cell r="AI247" t="str">
            <v>–</v>
          </cell>
          <cell r="AJ247" t="str">
            <v>–</v>
          </cell>
          <cell r="AK247" t="str">
            <v>–</v>
          </cell>
          <cell r="AL247" t="str">
            <v>–</v>
          </cell>
          <cell r="AM247">
            <v>17.7</v>
          </cell>
          <cell r="AN247">
            <v>293</v>
          </cell>
        </row>
        <row r="248">
          <cell r="C248" t="str">
            <v>WT12X73</v>
          </cell>
          <cell r="D248" t="str">
            <v>F</v>
          </cell>
          <cell r="E248">
            <v>73</v>
          </cell>
          <cell r="F248">
            <v>21.5</v>
          </cell>
          <cell r="G248" t="str">
            <v>WT12X73</v>
          </cell>
          <cell r="H248">
            <v>12.4</v>
          </cell>
          <cell r="I248">
            <v>12.375</v>
          </cell>
          <cell r="J248" t="str">
            <v>–</v>
          </cell>
          <cell r="K248" t="str">
            <v>–</v>
          </cell>
          <cell r="L248" t="str">
            <v>–</v>
          </cell>
          <cell r="M248">
            <v>12.9</v>
          </cell>
          <cell r="N248">
            <v>12.875</v>
          </cell>
          <cell r="O248" t="str">
            <v>–</v>
          </cell>
          <cell r="P248" t="str">
            <v>–</v>
          </cell>
          <cell r="Q248" t="str">
            <v>–</v>
          </cell>
          <cell r="R248">
            <v>0.65</v>
          </cell>
          <cell r="S248">
            <v>0.625</v>
          </cell>
          <cell r="T248">
            <v>0.3125</v>
          </cell>
          <cell r="U248">
            <v>1.0900000000000001</v>
          </cell>
          <cell r="V248">
            <v>1.0625</v>
          </cell>
          <cell r="W248">
            <v>1.0900000000000001</v>
          </cell>
          <cell r="X248" t="str">
            <v>–</v>
          </cell>
          <cell r="Y248" t="str">
            <v>–</v>
          </cell>
          <cell r="Z248">
            <v>1.59</v>
          </cell>
          <cell r="AA248">
            <v>2.375</v>
          </cell>
          <cell r="AB248" t="str">
            <v>–</v>
          </cell>
          <cell r="AC248" t="str">
            <v>–</v>
          </cell>
          <cell r="AD248">
            <v>2.66</v>
          </cell>
          <cell r="AE248" t="str">
            <v>–</v>
          </cell>
          <cell r="AF248" t="str">
            <v>–</v>
          </cell>
          <cell r="AG248">
            <v>0.83299999999999996</v>
          </cell>
          <cell r="AH248">
            <v>5.92</v>
          </cell>
          <cell r="AI248" t="str">
            <v>–</v>
          </cell>
          <cell r="AJ248" t="str">
            <v>–</v>
          </cell>
          <cell r="AK248" t="str">
            <v>–</v>
          </cell>
          <cell r="AL248" t="str">
            <v>–</v>
          </cell>
          <cell r="AM248">
            <v>19.100000000000001</v>
          </cell>
          <cell r="AN248">
            <v>264</v>
          </cell>
        </row>
        <row r="249">
          <cell r="C249" t="str">
            <v>WT12X65.5</v>
          </cell>
          <cell r="D249" t="str">
            <v>F</v>
          </cell>
          <cell r="E249">
            <v>65.5</v>
          </cell>
          <cell r="F249">
            <v>19.3</v>
          </cell>
          <cell r="G249" t="str">
            <v>WT12X65.5</v>
          </cell>
          <cell r="H249">
            <v>12.2</v>
          </cell>
          <cell r="I249">
            <v>12.25</v>
          </cell>
          <cell r="J249" t="str">
            <v>–</v>
          </cell>
          <cell r="K249" t="str">
            <v>–</v>
          </cell>
          <cell r="L249" t="str">
            <v>–</v>
          </cell>
          <cell r="M249">
            <v>12.9</v>
          </cell>
          <cell r="N249">
            <v>12.875</v>
          </cell>
          <cell r="O249" t="str">
            <v>–</v>
          </cell>
          <cell r="P249" t="str">
            <v>–</v>
          </cell>
          <cell r="Q249" t="str">
            <v>–</v>
          </cell>
          <cell r="R249">
            <v>0.60499999999999998</v>
          </cell>
          <cell r="S249">
            <v>0.625</v>
          </cell>
          <cell r="T249">
            <v>0.3125</v>
          </cell>
          <cell r="U249">
            <v>0.96</v>
          </cell>
          <cell r="V249">
            <v>0.9375</v>
          </cell>
          <cell r="W249">
            <v>0.96</v>
          </cell>
          <cell r="X249" t="str">
            <v>–</v>
          </cell>
          <cell r="Y249" t="str">
            <v>–</v>
          </cell>
          <cell r="Z249">
            <v>1.46</v>
          </cell>
          <cell r="AA249">
            <v>2.25</v>
          </cell>
          <cell r="AB249" t="str">
            <v>–</v>
          </cell>
          <cell r="AC249" t="str">
            <v>–</v>
          </cell>
          <cell r="AD249">
            <v>2.65</v>
          </cell>
          <cell r="AE249" t="str">
            <v>–</v>
          </cell>
          <cell r="AF249" t="str">
            <v>–</v>
          </cell>
          <cell r="AG249">
            <v>0.75</v>
          </cell>
          <cell r="AH249">
            <v>6.7</v>
          </cell>
          <cell r="AI249" t="str">
            <v>–</v>
          </cell>
          <cell r="AJ249" t="str">
            <v>–</v>
          </cell>
          <cell r="AK249" t="str">
            <v>–</v>
          </cell>
          <cell r="AL249" t="str">
            <v>–</v>
          </cell>
          <cell r="AM249">
            <v>20.2</v>
          </cell>
          <cell r="AN249">
            <v>238</v>
          </cell>
        </row>
        <row r="250">
          <cell r="C250" t="str">
            <v>WT12X58.5</v>
          </cell>
          <cell r="D250" t="str">
            <v>F</v>
          </cell>
          <cell r="E250">
            <v>58.5</v>
          </cell>
          <cell r="F250">
            <v>17.2</v>
          </cell>
          <cell r="G250" t="str">
            <v>WT12X58.5</v>
          </cell>
          <cell r="H250">
            <v>12.1</v>
          </cell>
          <cell r="I250">
            <v>12.125</v>
          </cell>
          <cell r="J250" t="str">
            <v>–</v>
          </cell>
          <cell r="K250" t="str">
            <v>–</v>
          </cell>
          <cell r="L250" t="str">
            <v>–</v>
          </cell>
          <cell r="M250">
            <v>12.8</v>
          </cell>
          <cell r="N250">
            <v>12.75</v>
          </cell>
          <cell r="O250" t="str">
            <v>–</v>
          </cell>
          <cell r="P250" t="str">
            <v>–</v>
          </cell>
          <cell r="Q250" t="str">
            <v>–</v>
          </cell>
          <cell r="R250">
            <v>0.55000000000000004</v>
          </cell>
          <cell r="S250">
            <v>0.5625</v>
          </cell>
          <cell r="T250">
            <v>0.3125</v>
          </cell>
          <cell r="U250">
            <v>0.85</v>
          </cell>
          <cell r="V250">
            <v>0.875</v>
          </cell>
          <cell r="W250">
            <v>0.85</v>
          </cell>
          <cell r="X250" t="str">
            <v>–</v>
          </cell>
          <cell r="Y250" t="str">
            <v>–</v>
          </cell>
          <cell r="Z250">
            <v>1.35</v>
          </cell>
          <cell r="AA250">
            <v>2.125</v>
          </cell>
          <cell r="AB250" t="str">
            <v>–</v>
          </cell>
          <cell r="AC250" t="str">
            <v>–</v>
          </cell>
          <cell r="AD250">
            <v>2.62</v>
          </cell>
          <cell r="AE250" t="str">
            <v>–</v>
          </cell>
          <cell r="AF250" t="str">
            <v>–</v>
          </cell>
          <cell r="AG250">
            <v>0.67200000000000004</v>
          </cell>
          <cell r="AH250">
            <v>7.53</v>
          </cell>
          <cell r="AI250" t="str">
            <v>–</v>
          </cell>
          <cell r="AJ250" t="str">
            <v>–</v>
          </cell>
          <cell r="AK250" t="str">
            <v>–</v>
          </cell>
          <cell r="AL250" t="str">
            <v>–</v>
          </cell>
          <cell r="AM250">
            <v>22</v>
          </cell>
          <cell r="AN250">
            <v>212</v>
          </cell>
        </row>
        <row r="251">
          <cell r="C251" t="str">
            <v>WT12X52</v>
          </cell>
          <cell r="D251" t="str">
            <v>F</v>
          </cell>
          <cell r="E251">
            <v>52</v>
          </cell>
          <cell r="F251">
            <v>15.3</v>
          </cell>
          <cell r="G251" t="str">
            <v>WT12X52</v>
          </cell>
          <cell r="H251">
            <v>12</v>
          </cell>
          <cell r="I251">
            <v>12</v>
          </cell>
          <cell r="J251" t="str">
            <v>–</v>
          </cell>
          <cell r="K251" t="str">
            <v>–</v>
          </cell>
          <cell r="L251" t="str">
            <v>–</v>
          </cell>
          <cell r="M251">
            <v>12.8</v>
          </cell>
          <cell r="N251">
            <v>12.75</v>
          </cell>
          <cell r="O251" t="str">
            <v>–</v>
          </cell>
          <cell r="P251" t="str">
            <v>–</v>
          </cell>
          <cell r="Q251" t="str">
            <v>–</v>
          </cell>
          <cell r="R251">
            <v>0.5</v>
          </cell>
          <cell r="S251">
            <v>0.5</v>
          </cell>
          <cell r="T251">
            <v>0.25</v>
          </cell>
          <cell r="U251">
            <v>0.75</v>
          </cell>
          <cell r="V251">
            <v>0.75</v>
          </cell>
          <cell r="W251">
            <v>0.75</v>
          </cell>
          <cell r="X251" t="str">
            <v>–</v>
          </cell>
          <cell r="Y251" t="str">
            <v>–</v>
          </cell>
          <cell r="Z251">
            <v>1.25</v>
          </cell>
          <cell r="AA251">
            <v>2.0625</v>
          </cell>
          <cell r="AB251" t="str">
            <v>–</v>
          </cell>
          <cell r="AC251" t="str">
            <v>–</v>
          </cell>
          <cell r="AD251">
            <v>2.59</v>
          </cell>
          <cell r="AE251" t="str">
            <v>–</v>
          </cell>
          <cell r="AF251" t="str">
            <v>–</v>
          </cell>
          <cell r="AG251">
            <v>0.6</v>
          </cell>
          <cell r="AH251">
            <v>8.5</v>
          </cell>
          <cell r="AI251" t="str">
            <v>–</v>
          </cell>
          <cell r="AJ251" t="str">
            <v>–</v>
          </cell>
          <cell r="AK251" t="str">
            <v>–</v>
          </cell>
          <cell r="AL251" t="str">
            <v>–</v>
          </cell>
          <cell r="AM251">
            <v>24</v>
          </cell>
          <cell r="AN251">
            <v>189</v>
          </cell>
        </row>
        <row r="252">
          <cell r="C252" t="str">
            <v>WT12X51.5</v>
          </cell>
          <cell r="D252" t="str">
            <v>F</v>
          </cell>
          <cell r="E252">
            <v>51.5</v>
          </cell>
          <cell r="F252">
            <v>15.1</v>
          </cell>
          <cell r="G252" t="str">
            <v>WT12X51.5</v>
          </cell>
          <cell r="H252">
            <v>12.3</v>
          </cell>
          <cell r="I252">
            <v>12.25</v>
          </cell>
          <cell r="J252" t="str">
            <v>–</v>
          </cell>
          <cell r="K252" t="str">
            <v>–</v>
          </cell>
          <cell r="L252" t="str">
            <v>–</v>
          </cell>
          <cell r="M252">
            <v>9</v>
          </cell>
          <cell r="N252">
            <v>9</v>
          </cell>
          <cell r="O252" t="str">
            <v>–</v>
          </cell>
          <cell r="P252" t="str">
            <v>–</v>
          </cell>
          <cell r="Q252" t="str">
            <v>–</v>
          </cell>
          <cell r="R252">
            <v>0.55000000000000004</v>
          </cell>
          <cell r="S252">
            <v>0.5625</v>
          </cell>
          <cell r="T252">
            <v>0.3125</v>
          </cell>
          <cell r="U252">
            <v>0.98</v>
          </cell>
          <cell r="V252">
            <v>1</v>
          </cell>
          <cell r="W252">
            <v>0.98</v>
          </cell>
          <cell r="X252" t="str">
            <v>–</v>
          </cell>
          <cell r="Y252" t="str">
            <v>–</v>
          </cell>
          <cell r="Z252">
            <v>1.48</v>
          </cell>
          <cell r="AA252">
            <v>2.25</v>
          </cell>
          <cell r="AB252" t="str">
            <v>–</v>
          </cell>
          <cell r="AC252" t="str">
            <v>–</v>
          </cell>
          <cell r="AD252">
            <v>3.01</v>
          </cell>
          <cell r="AE252" t="str">
            <v>–</v>
          </cell>
          <cell r="AF252" t="str">
            <v>–</v>
          </cell>
          <cell r="AG252">
            <v>0.84099999999999997</v>
          </cell>
          <cell r="AH252">
            <v>4.59</v>
          </cell>
          <cell r="AI252" t="str">
            <v>–</v>
          </cell>
          <cell r="AJ252" t="str">
            <v>–</v>
          </cell>
          <cell r="AK252" t="str">
            <v>–</v>
          </cell>
          <cell r="AL252" t="str">
            <v>–</v>
          </cell>
          <cell r="AM252">
            <v>22.4</v>
          </cell>
          <cell r="AN252">
            <v>204</v>
          </cell>
        </row>
        <row r="253">
          <cell r="C253" t="str">
            <v>WT12X47</v>
          </cell>
          <cell r="D253" t="str">
            <v>F</v>
          </cell>
          <cell r="E253">
            <v>47</v>
          </cell>
          <cell r="F253">
            <v>13.8</v>
          </cell>
          <cell r="G253" t="str">
            <v>WT12X47</v>
          </cell>
          <cell r="H253">
            <v>12.2</v>
          </cell>
          <cell r="I253">
            <v>12.125</v>
          </cell>
          <cell r="J253" t="str">
            <v>–</v>
          </cell>
          <cell r="K253" t="str">
            <v>–</v>
          </cell>
          <cell r="L253" t="str">
            <v>–</v>
          </cell>
          <cell r="M253">
            <v>9.07</v>
          </cell>
          <cell r="N253">
            <v>9.125</v>
          </cell>
          <cell r="O253" t="str">
            <v>–</v>
          </cell>
          <cell r="P253" t="str">
            <v>–</v>
          </cell>
          <cell r="Q253" t="str">
            <v>–</v>
          </cell>
          <cell r="R253">
            <v>0.51500000000000001</v>
          </cell>
          <cell r="S253">
            <v>0.5</v>
          </cell>
          <cell r="T253">
            <v>0.25</v>
          </cell>
          <cell r="U253">
            <v>0.875</v>
          </cell>
          <cell r="V253">
            <v>0.875</v>
          </cell>
          <cell r="W253">
            <v>0.875</v>
          </cell>
          <cell r="X253" t="str">
            <v>–</v>
          </cell>
          <cell r="Y253" t="str">
            <v>–</v>
          </cell>
          <cell r="Z253">
            <v>1.38</v>
          </cell>
          <cell r="AA253">
            <v>2.125</v>
          </cell>
          <cell r="AB253" t="str">
            <v>–</v>
          </cell>
          <cell r="AC253" t="str">
            <v>–</v>
          </cell>
          <cell r="AD253">
            <v>2.99</v>
          </cell>
          <cell r="AE253" t="str">
            <v>–</v>
          </cell>
          <cell r="AF253" t="str">
            <v>–</v>
          </cell>
          <cell r="AG253">
            <v>0.76400000000000001</v>
          </cell>
          <cell r="AH253">
            <v>5.18</v>
          </cell>
          <cell r="AI253" t="str">
            <v>–</v>
          </cell>
          <cell r="AJ253" t="str">
            <v>–</v>
          </cell>
          <cell r="AK253" t="str">
            <v>–</v>
          </cell>
          <cell r="AL253" t="str">
            <v>–</v>
          </cell>
          <cell r="AM253">
            <v>23.7</v>
          </cell>
          <cell r="AN253">
            <v>186</v>
          </cell>
        </row>
        <row r="254">
          <cell r="C254" t="str">
            <v>WT12X42</v>
          </cell>
          <cell r="D254" t="str">
            <v>F</v>
          </cell>
          <cell r="E254">
            <v>42</v>
          </cell>
          <cell r="F254">
            <v>12.4</v>
          </cell>
          <cell r="G254" t="str">
            <v>WT12X42</v>
          </cell>
          <cell r="H254">
            <v>12.1</v>
          </cell>
          <cell r="I254">
            <v>12</v>
          </cell>
          <cell r="J254" t="str">
            <v>–</v>
          </cell>
          <cell r="K254" t="str">
            <v>–</v>
          </cell>
          <cell r="L254" t="str">
            <v>–</v>
          </cell>
          <cell r="M254">
            <v>9.02</v>
          </cell>
          <cell r="N254">
            <v>9</v>
          </cell>
          <cell r="O254" t="str">
            <v>–</v>
          </cell>
          <cell r="P254" t="str">
            <v>–</v>
          </cell>
          <cell r="Q254" t="str">
            <v>–</v>
          </cell>
          <cell r="R254">
            <v>0.47</v>
          </cell>
          <cell r="S254">
            <v>0.5</v>
          </cell>
          <cell r="T254">
            <v>0.25</v>
          </cell>
          <cell r="U254">
            <v>0.77</v>
          </cell>
          <cell r="V254">
            <v>0.75</v>
          </cell>
          <cell r="W254">
            <v>0.77</v>
          </cell>
          <cell r="X254" t="str">
            <v>–</v>
          </cell>
          <cell r="Y254" t="str">
            <v>–</v>
          </cell>
          <cell r="Z254">
            <v>1.27</v>
          </cell>
          <cell r="AA254">
            <v>2.0625</v>
          </cell>
          <cell r="AB254" t="str">
            <v>–</v>
          </cell>
          <cell r="AC254" t="str">
            <v>–</v>
          </cell>
          <cell r="AD254">
            <v>2.97</v>
          </cell>
          <cell r="AE254" t="str">
            <v>–</v>
          </cell>
          <cell r="AF254" t="str">
            <v>–</v>
          </cell>
          <cell r="AG254">
            <v>0.68500000000000005</v>
          </cell>
          <cell r="AH254">
            <v>5.86</v>
          </cell>
          <cell r="AI254" t="str">
            <v>–</v>
          </cell>
          <cell r="AJ254" t="str">
            <v>–</v>
          </cell>
          <cell r="AK254" t="str">
            <v>–</v>
          </cell>
          <cell r="AL254" t="str">
            <v>–</v>
          </cell>
          <cell r="AM254">
            <v>25.7</v>
          </cell>
          <cell r="AN254">
            <v>166</v>
          </cell>
        </row>
        <row r="255">
          <cell r="C255" t="str">
            <v>WT12X38</v>
          </cell>
          <cell r="D255" t="str">
            <v>F</v>
          </cell>
          <cell r="E255">
            <v>38</v>
          </cell>
          <cell r="F255">
            <v>11.2</v>
          </cell>
          <cell r="G255" t="str">
            <v>WT12X38</v>
          </cell>
          <cell r="H255">
            <v>12</v>
          </cell>
          <cell r="I255">
            <v>12</v>
          </cell>
          <cell r="J255" t="str">
            <v>–</v>
          </cell>
          <cell r="K255" t="str">
            <v>–</v>
          </cell>
          <cell r="L255" t="str">
            <v>–</v>
          </cell>
          <cell r="M255">
            <v>8.99</v>
          </cell>
          <cell r="N255">
            <v>9</v>
          </cell>
          <cell r="O255" t="str">
            <v>–</v>
          </cell>
          <cell r="P255" t="str">
            <v>–</v>
          </cell>
          <cell r="Q255" t="str">
            <v>–</v>
          </cell>
          <cell r="R255">
            <v>0.44</v>
          </cell>
          <cell r="S255">
            <v>0.4375</v>
          </cell>
          <cell r="T255">
            <v>0.25</v>
          </cell>
          <cell r="U255">
            <v>0.68</v>
          </cell>
          <cell r="V255">
            <v>0.6875</v>
          </cell>
          <cell r="W255">
            <v>0.68</v>
          </cell>
          <cell r="X255" t="str">
            <v>–</v>
          </cell>
          <cell r="Y255" t="str">
            <v>–</v>
          </cell>
          <cell r="Z255">
            <v>1.18</v>
          </cell>
          <cell r="AA255">
            <v>1.9375</v>
          </cell>
          <cell r="AB255" t="str">
            <v>–</v>
          </cell>
          <cell r="AC255" t="str">
            <v>–</v>
          </cell>
          <cell r="AD255">
            <v>3</v>
          </cell>
          <cell r="AE255" t="str">
            <v>–</v>
          </cell>
          <cell r="AF255" t="str">
            <v>–</v>
          </cell>
          <cell r="AG255">
            <v>0.622</v>
          </cell>
          <cell r="AH255">
            <v>6.61</v>
          </cell>
          <cell r="AI255" t="str">
            <v>–</v>
          </cell>
          <cell r="AJ255" t="str">
            <v>–</v>
          </cell>
          <cell r="AK255" t="str">
            <v>–</v>
          </cell>
          <cell r="AL255" t="str">
            <v>–</v>
          </cell>
          <cell r="AM255">
            <v>27.3</v>
          </cell>
          <cell r="AN255">
            <v>151</v>
          </cell>
        </row>
        <row r="256">
          <cell r="C256" t="str">
            <v>WT12X34</v>
          </cell>
          <cell r="D256" t="str">
            <v>F</v>
          </cell>
          <cell r="E256">
            <v>34</v>
          </cell>
          <cell r="F256">
            <v>10</v>
          </cell>
          <cell r="G256" t="str">
            <v>WT12X34</v>
          </cell>
          <cell r="H256">
            <v>11.9</v>
          </cell>
          <cell r="I256">
            <v>11.875</v>
          </cell>
          <cell r="J256" t="str">
            <v>–</v>
          </cell>
          <cell r="K256" t="str">
            <v>–</v>
          </cell>
          <cell r="L256" t="str">
            <v>–</v>
          </cell>
          <cell r="M256">
            <v>8.9700000000000006</v>
          </cell>
          <cell r="N256">
            <v>9</v>
          </cell>
          <cell r="O256" t="str">
            <v>–</v>
          </cell>
          <cell r="P256" t="str">
            <v>–</v>
          </cell>
          <cell r="Q256" t="str">
            <v>–</v>
          </cell>
          <cell r="R256">
            <v>0.41499999999999998</v>
          </cell>
          <cell r="S256">
            <v>0.4375</v>
          </cell>
          <cell r="T256">
            <v>0.25</v>
          </cell>
          <cell r="U256">
            <v>0.58499999999999996</v>
          </cell>
          <cell r="V256">
            <v>0.5625</v>
          </cell>
          <cell r="W256">
            <v>0.58499999999999996</v>
          </cell>
          <cell r="X256" t="str">
            <v>–</v>
          </cell>
          <cell r="Y256" t="str">
            <v>–</v>
          </cell>
          <cell r="Z256">
            <v>1.0900000000000001</v>
          </cell>
          <cell r="AA256">
            <v>1.875</v>
          </cell>
          <cell r="AB256" t="str">
            <v>–</v>
          </cell>
          <cell r="AC256" t="str">
            <v>–</v>
          </cell>
          <cell r="AD256">
            <v>3.06</v>
          </cell>
          <cell r="AE256" t="str">
            <v>–</v>
          </cell>
          <cell r="AF256" t="str">
            <v>–</v>
          </cell>
          <cell r="AG256">
            <v>0.56000000000000005</v>
          </cell>
          <cell r="AH256">
            <v>7.66</v>
          </cell>
          <cell r="AI256" t="str">
            <v>–</v>
          </cell>
          <cell r="AJ256" t="str">
            <v>–</v>
          </cell>
          <cell r="AK256" t="str">
            <v>–</v>
          </cell>
          <cell r="AL256" t="str">
            <v>–</v>
          </cell>
          <cell r="AM256">
            <v>28.7</v>
          </cell>
          <cell r="AN256">
            <v>137</v>
          </cell>
        </row>
        <row r="257">
          <cell r="C257" t="str">
            <v>WT12X31</v>
          </cell>
          <cell r="D257" t="str">
            <v>F</v>
          </cell>
          <cell r="E257">
            <v>31</v>
          </cell>
          <cell r="F257">
            <v>9.11</v>
          </cell>
          <cell r="G257" t="str">
            <v>WT12X31</v>
          </cell>
          <cell r="H257">
            <v>11.9</v>
          </cell>
          <cell r="I257">
            <v>11.875</v>
          </cell>
          <cell r="J257" t="str">
            <v>–</v>
          </cell>
          <cell r="K257" t="str">
            <v>–</v>
          </cell>
          <cell r="L257" t="str">
            <v>–</v>
          </cell>
          <cell r="M257">
            <v>7.04</v>
          </cell>
          <cell r="N257">
            <v>7</v>
          </cell>
          <cell r="O257" t="str">
            <v>–</v>
          </cell>
          <cell r="P257" t="str">
            <v>–</v>
          </cell>
          <cell r="Q257" t="str">
            <v>–</v>
          </cell>
          <cell r="R257">
            <v>0.43</v>
          </cell>
          <cell r="S257">
            <v>0.4375</v>
          </cell>
          <cell r="T257">
            <v>0.25</v>
          </cell>
          <cell r="U257">
            <v>0.59</v>
          </cell>
          <cell r="V257">
            <v>0.5625</v>
          </cell>
          <cell r="W257">
            <v>0.59</v>
          </cell>
          <cell r="X257" t="str">
            <v>–</v>
          </cell>
          <cell r="Y257" t="str">
            <v>–</v>
          </cell>
          <cell r="Z257">
            <v>1.0900000000000001</v>
          </cell>
          <cell r="AA257">
            <v>1.5</v>
          </cell>
          <cell r="AB257" t="str">
            <v>–</v>
          </cell>
          <cell r="AC257" t="str">
            <v>–</v>
          </cell>
          <cell r="AD257">
            <v>3.46</v>
          </cell>
          <cell r="AE257" t="str">
            <v>–</v>
          </cell>
          <cell r="AF257" t="str">
            <v>–</v>
          </cell>
          <cell r="AG257">
            <v>1.28</v>
          </cell>
          <cell r="AH257">
            <v>5.97</v>
          </cell>
          <cell r="AI257" t="str">
            <v>–</v>
          </cell>
          <cell r="AJ257" t="str">
            <v>–</v>
          </cell>
          <cell r="AK257" t="str">
            <v>–</v>
          </cell>
          <cell r="AL257" t="str">
            <v>–</v>
          </cell>
          <cell r="AM257">
            <v>27.7</v>
          </cell>
          <cell r="AN257">
            <v>131</v>
          </cell>
        </row>
        <row r="258">
          <cell r="C258" t="str">
            <v>WT12X27.5</v>
          </cell>
          <cell r="D258" t="str">
            <v>F</v>
          </cell>
          <cell r="E258">
            <v>27.5</v>
          </cell>
          <cell r="F258">
            <v>8.1</v>
          </cell>
          <cell r="G258" t="str">
            <v>WT12X27.5</v>
          </cell>
          <cell r="H258">
            <v>11.8</v>
          </cell>
          <cell r="I258">
            <v>11.75</v>
          </cell>
          <cell r="J258" t="str">
            <v>–</v>
          </cell>
          <cell r="K258" t="str">
            <v>–</v>
          </cell>
          <cell r="L258" t="str">
            <v>–</v>
          </cell>
          <cell r="M258">
            <v>7.01</v>
          </cell>
          <cell r="N258">
            <v>7</v>
          </cell>
          <cell r="O258" t="str">
            <v>–</v>
          </cell>
          <cell r="P258" t="str">
            <v>–</v>
          </cell>
          <cell r="Q258" t="str">
            <v>–</v>
          </cell>
          <cell r="R258">
            <v>0.39500000000000002</v>
          </cell>
          <cell r="S258">
            <v>0.375</v>
          </cell>
          <cell r="T258">
            <v>0.1875</v>
          </cell>
          <cell r="U258">
            <v>0.505</v>
          </cell>
          <cell r="V258">
            <v>0.5</v>
          </cell>
          <cell r="W258">
            <v>0.505</v>
          </cell>
          <cell r="X258" t="str">
            <v>–</v>
          </cell>
          <cell r="Y258" t="str">
            <v>–</v>
          </cell>
          <cell r="Z258">
            <v>1.01</v>
          </cell>
          <cell r="AA258">
            <v>1.4375</v>
          </cell>
          <cell r="AB258" t="str">
            <v>–</v>
          </cell>
          <cell r="AC258" t="str">
            <v>–</v>
          </cell>
          <cell r="AD258">
            <v>3.5</v>
          </cell>
          <cell r="AE258" t="str">
            <v>–</v>
          </cell>
          <cell r="AF258" t="str">
            <v>–</v>
          </cell>
          <cell r="AG258">
            <v>1.53</v>
          </cell>
          <cell r="AH258">
            <v>6.94</v>
          </cell>
          <cell r="AI258" t="str">
            <v>–</v>
          </cell>
          <cell r="AJ258" t="str">
            <v>–</v>
          </cell>
          <cell r="AK258" t="str">
            <v>–</v>
          </cell>
          <cell r="AL258" t="str">
            <v>–</v>
          </cell>
          <cell r="AM258">
            <v>29.9</v>
          </cell>
          <cell r="AN258">
            <v>117</v>
          </cell>
        </row>
        <row r="259">
          <cell r="C259" t="str">
            <v>WT10.5X137.5</v>
          </cell>
          <cell r="D259" t="str">
            <v>T</v>
          </cell>
          <cell r="E259">
            <v>137.5</v>
          </cell>
          <cell r="F259">
            <v>40.9</v>
          </cell>
          <cell r="G259" t="str">
            <v>WT10.5X137.5</v>
          </cell>
          <cell r="H259">
            <v>12.1</v>
          </cell>
          <cell r="I259">
            <v>12.125</v>
          </cell>
          <cell r="J259" t="str">
            <v>–</v>
          </cell>
          <cell r="K259" t="str">
            <v>–</v>
          </cell>
          <cell r="L259" t="str">
            <v>–</v>
          </cell>
          <cell r="M259">
            <v>12.9</v>
          </cell>
          <cell r="N259">
            <v>12.875</v>
          </cell>
          <cell r="O259" t="str">
            <v>–</v>
          </cell>
          <cell r="P259" t="str">
            <v>–</v>
          </cell>
          <cell r="Q259" t="str">
            <v>–</v>
          </cell>
          <cell r="R259">
            <v>1.22</v>
          </cell>
          <cell r="S259">
            <v>1.25</v>
          </cell>
          <cell r="T259">
            <v>0.625</v>
          </cell>
          <cell r="U259">
            <v>2.19</v>
          </cell>
          <cell r="V259">
            <v>2.1875</v>
          </cell>
          <cell r="W259">
            <v>2.19</v>
          </cell>
          <cell r="X259" t="str">
            <v>–</v>
          </cell>
          <cell r="Y259" t="str">
            <v>–</v>
          </cell>
          <cell r="Z259">
            <v>3.37</v>
          </cell>
          <cell r="AA259">
            <v>3.4375</v>
          </cell>
          <cell r="AB259" t="str">
            <v>–</v>
          </cell>
          <cell r="AC259" t="str">
            <v>–</v>
          </cell>
          <cell r="AD259">
            <v>2.9</v>
          </cell>
          <cell r="AE259" t="str">
            <v>–</v>
          </cell>
          <cell r="AF259" t="str">
            <v>–</v>
          </cell>
          <cell r="AG259">
            <v>1.59</v>
          </cell>
          <cell r="AH259">
            <v>2.95</v>
          </cell>
          <cell r="AI259" t="str">
            <v>–</v>
          </cell>
          <cell r="AJ259" t="str">
            <v>–</v>
          </cell>
          <cell r="AK259" t="str">
            <v>–</v>
          </cell>
          <cell r="AL259" t="str">
            <v>–</v>
          </cell>
          <cell r="AM259">
            <v>9.92</v>
          </cell>
          <cell r="AN259">
            <v>420</v>
          </cell>
        </row>
        <row r="260">
          <cell r="C260" t="str">
            <v>WT10.5X124</v>
          </cell>
          <cell r="D260" t="str">
            <v>F</v>
          </cell>
          <cell r="E260">
            <v>124</v>
          </cell>
          <cell r="F260">
            <v>37</v>
          </cell>
          <cell r="G260" t="str">
            <v>WT10.5X124</v>
          </cell>
          <cell r="H260">
            <v>11.9</v>
          </cell>
          <cell r="I260">
            <v>11.875</v>
          </cell>
          <cell r="J260" t="str">
            <v>–</v>
          </cell>
          <cell r="K260" t="str">
            <v>–</v>
          </cell>
          <cell r="L260" t="str">
            <v>–</v>
          </cell>
          <cell r="M260">
            <v>12.8</v>
          </cell>
          <cell r="N260">
            <v>12.75</v>
          </cell>
          <cell r="O260" t="str">
            <v>–</v>
          </cell>
          <cell r="P260" t="str">
            <v>–</v>
          </cell>
          <cell r="Q260" t="str">
            <v>–</v>
          </cell>
          <cell r="R260">
            <v>1.1000000000000001</v>
          </cell>
          <cell r="S260">
            <v>1.125</v>
          </cell>
          <cell r="T260">
            <v>0.5625</v>
          </cell>
          <cell r="U260">
            <v>1.99</v>
          </cell>
          <cell r="V260">
            <v>2</v>
          </cell>
          <cell r="W260">
            <v>1.99</v>
          </cell>
          <cell r="X260" t="str">
            <v>–</v>
          </cell>
          <cell r="Y260" t="str">
            <v>–</v>
          </cell>
          <cell r="Z260">
            <v>3.17</v>
          </cell>
          <cell r="AA260">
            <v>3.25</v>
          </cell>
          <cell r="AB260" t="str">
            <v>–</v>
          </cell>
          <cell r="AC260" t="str">
            <v>–</v>
          </cell>
          <cell r="AD260">
            <v>2.77</v>
          </cell>
          <cell r="AE260" t="str">
            <v>–</v>
          </cell>
          <cell r="AF260" t="str">
            <v>–</v>
          </cell>
          <cell r="AG260">
            <v>1.45</v>
          </cell>
          <cell r="AH260">
            <v>3.22</v>
          </cell>
          <cell r="AI260" t="str">
            <v>–</v>
          </cell>
          <cell r="AJ260" t="str">
            <v>–</v>
          </cell>
          <cell r="AK260" t="str">
            <v>–</v>
          </cell>
          <cell r="AL260" t="str">
            <v>–</v>
          </cell>
          <cell r="AM260">
            <v>10.8</v>
          </cell>
          <cell r="AN260">
            <v>368</v>
          </cell>
        </row>
        <row r="261">
          <cell r="C261" t="str">
            <v>WT10.5X111.5</v>
          </cell>
          <cell r="D261" t="str">
            <v>F</v>
          </cell>
          <cell r="E261">
            <v>111.5</v>
          </cell>
          <cell r="F261">
            <v>33.200000000000003</v>
          </cell>
          <cell r="G261" t="str">
            <v>WT10.5X111.5</v>
          </cell>
          <cell r="H261">
            <v>11.7</v>
          </cell>
          <cell r="I261">
            <v>11.75</v>
          </cell>
          <cell r="J261" t="str">
            <v>–</v>
          </cell>
          <cell r="K261" t="str">
            <v>–</v>
          </cell>
          <cell r="L261" t="str">
            <v>–</v>
          </cell>
          <cell r="M261">
            <v>12.7</v>
          </cell>
          <cell r="N261">
            <v>12.75</v>
          </cell>
          <cell r="O261" t="str">
            <v>–</v>
          </cell>
          <cell r="P261" t="str">
            <v>–</v>
          </cell>
          <cell r="Q261" t="str">
            <v>–</v>
          </cell>
          <cell r="R261">
            <v>1</v>
          </cell>
          <cell r="S261">
            <v>1</v>
          </cell>
          <cell r="T261">
            <v>0.5</v>
          </cell>
          <cell r="U261">
            <v>1.79</v>
          </cell>
          <cell r="V261">
            <v>1.8125</v>
          </cell>
          <cell r="W261">
            <v>1.79</v>
          </cell>
          <cell r="X261" t="str">
            <v>–</v>
          </cell>
          <cell r="Y261" t="str">
            <v>–</v>
          </cell>
          <cell r="Z261">
            <v>2.9699999999999998</v>
          </cell>
          <cell r="AA261">
            <v>3.0625</v>
          </cell>
          <cell r="AB261" t="str">
            <v>–</v>
          </cell>
          <cell r="AC261" t="str">
            <v>–</v>
          </cell>
          <cell r="AD261">
            <v>2.66</v>
          </cell>
          <cell r="AE261" t="str">
            <v>–</v>
          </cell>
          <cell r="AF261" t="str">
            <v>–</v>
          </cell>
          <cell r="AG261">
            <v>1.31</v>
          </cell>
          <cell r="AH261">
            <v>3.55</v>
          </cell>
          <cell r="AI261" t="str">
            <v>–</v>
          </cell>
          <cell r="AJ261" t="str">
            <v>–</v>
          </cell>
          <cell r="AK261" t="str">
            <v>–</v>
          </cell>
          <cell r="AL261" t="str">
            <v>–</v>
          </cell>
          <cell r="AM261">
            <v>11.7</v>
          </cell>
          <cell r="AN261">
            <v>324</v>
          </cell>
        </row>
        <row r="262">
          <cell r="C262" t="str">
            <v>WT10.5X100.5</v>
          </cell>
          <cell r="D262" t="str">
            <v>F</v>
          </cell>
          <cell r="E262">
            <v>100.5</v>
          </cell>
          <cell r="F262">
            <v>29.6</v>
          </cell>
          <cell r="G262" t="str">
            <v>WT10.5X100.5</v>
          </cell>
          <cell r="H262">
            <v>11.5</v>
          </cell>
          <cell r="I262">
            <v>11.5</v>
          </cell>
          <cell r="J262" t="str">
            <v>–</v>
          </cell>
          <cell r="K262" t="str">
            <v>–</v>
          </cell>
          <cell r="L262" t="str">
            <v>–</v>
          </cell>
          <cell r="M262">
            <v>12.6</v>
          </cell>
          <cell r="N262">
            <v>12.625</v>
          </cell>
          <cell r="O262" t="str">
            <v>–</v>
          </cell>
          <cell r="P262" t="str">
            <v>–</v>
          </cell>
          <cell r="Q262" t="str">
            <v>–</v>
          </cell>
          <cell r="R262">
            <v>0.91</v>
          </cell>
          <cell r="S262">
            <v>0.9375</v>
          </cell>
          <cell r="T262">
            <v>0.5</v>
          </cell>
          <cell r="U262">
            <v>1.63</v>
          </cell>
          <cell r="V262">
            <v>1.625</v>
          </cell>
          <cell r="W262">
            <v>1.63</v>
          </cell>
          <cell r="X262" t="str">
            <v>–</v>
          </cell>
          <cell r="Y262" t="str">
            <v>–</v>
          </cell>
          <cell r="Z262">
            <v>2.13</v>
          </cell>
          <cell r="AA262">
            <v>2.875</v>
          </cell>
          <cell r="AB262" t="str">
            <v>–</v>
          </cell>
          <cell r="AC262" t="str">
            <v>–</v>
          </cell>
          <cell r="AD262">
            <v>2.57</v>
          </cell>
          <cell r="AE262" t="str">
            <v>–</v>
          </cell>
          <cell r="AF262" t="str">
            <v>–</v>
          </cell>
          <cell r="AG262">
            <v>1.18</v>
          </cell>
          <cell r="AH262">
            <v>3.86</v>
          </cell>
          <cell r="AI262" t="str">
            <v>–</v>
          </cell>
          <cell r="AJ262" t="str">
            <v>–</v>
          </cell>
          <cell r="AK262" t="str">
            <v>–</v>
          </cell>
          <cell r="AL262" t="str">
            <v>–</v>
          </cell>
          <cell r="AM262">
            <v>12.6</v>
          </cell>
          <cell r="AN262">
            <v>285</v>
          </cell>
        </row>
        <row r="263">
          <cell r="C263" t="str">
            <v>WT10.5X91</v>
          </cell>
          <cell r="D263" t="str">
            <v>F</v>
          </cell>
          <cell r="E263">
            <v>91</v>
          </cell>
          <cell r="F263">
            <v>26.8</v>
          </cell>
          <cell r="G263" t="str">
            <v>WT10.5X91</v>
          </cell>
          <cell r="H263">
            <v>11.4</v>
          </cell>
          <cell r="I263">
            <v>11.375</v>
          </cell>
          <cell r="J263" t="str">
            <v>–</v>
          </cell>
          <cell r="K263" t="str">
            <v>–</v>
          </cell>
          <cell r="L263" t="str">
            <v>–</v>
          </cell>
          <cell r="M263">
            <v>12.5</v>
          </cell>
          <cell r="N263">
            <v>12.5</v>
          </cell>
          <cell r="O263" t="str">
            <v>–</v>
          </cell>
          <cell r="P263" t="str">
            <v>–</v>
          </cell>
          <cell r="Q263" t="str">
            <v>–</v>
          </cell>
          <cell r="R263">
            <v>0.83</v>
          </cell>
          <cell r="S263">
            <v>0.8125</v>
          </cell>
          <cell r="T263">
            <v>0.4375</v>
          </cell>
          <cell r="U263">
            <v>1.48</v>
          </cell>
          <cell r="V263">
            <v>1.5</v>
          </cell>
          <cell r="W263">
            <v>1.48</v>
          </cell>
          <cell r="X263" t="str">
            <v>–</v>
          </cell>
          <cell r="Y263" t="str">
            <v>–</v>
          </cell>
          <cell r="Z263">
            <v>1.98</v>
          </cell>
          <cell r="AA263">
            <v>2.75</v>
          </cell>
          <cell r="AB263" t="str">
            <v>–</v>
          </cell>
          <cell r="AC263" t="str">
            <v>–</v>
          </cell>
          <cell r="AD263">
            <v>2.48</v>
          </cell>
          <cell r="AE263" t="str">
            <v>–</v>
          </cell>
          <cell r="AF263" t="str">
            <v>–</v>
          </cell>
          <cell r="AG263">
            <v>1.07</v>
          </cell>
          <cell r="AH263">
            <v>4.22</v>
          </cell>
          <cell r="AI263" t="str">
            <v>–</v>
          </cell>
          <cell r="AJ263" t="str">
            <v>–</v>
          </cell>
          <cell r="AK263" t="str">
            <v>–</v>
          </cell>
          <cell r="AL263" t="str">
            <v>–</v>
          </cell>
          <cell r="AM263">
            <v>13.7</v>
          </cell>
          <cell r="AN263">
            <v>253</v>
          </cell>
        </row>
        <row r="264">
          <cell r="C264" t="str">
            <v>WT10.5X83</v>
          </cell>
          <cell r="D264" t="str">
            <v>F</v>
          </cell>
          <cell r="E264">
            <v>83</v>
          </cell>
          <cell r="F264">
            <v>24.4</v>
          </cell>
          <cell r="G264" t="str">
            <v>WT10.5X83</v>
          </cell>
          <cell r="H264">
            <v>11.2</v>
          </cell>
          <cell r="I264">
            <v>11.25</v>
          </cell>
          <cell r="J264" t="str">
            <v>–</v>
          </cell>
          <cell r="K264" t="str">
            <v>–</v>
          </cell>
          <cell r="L264" t="str">
            <v>–</v>
          </cell>
          <cell r="M264">
            <v>12.4</v>
          </cell>
          <cell r="N264">
            <v>12.375</v>
          </cell>
          <cell r="O264" t="str">
            <v>–</v>
          </cell>
          <cell r="P264" t="str">
            <v>–</v>
          </cell>
          <cell r="Q264" t="str">
            <v>–</v>
          </cell>
          <cell r="R264">
            <v>0.75</v>
          </cell>
          <cell r="S264">
            <v>0.75</v>
          </cell>
          <cell r="T264">
            <v>0.375</v>
          </cell>
          <cell r="U264">
            <v>1.36</v>
          </cell>
          <cell r="V264">
            <v>1.375</v>
          </cell>
          <cell r="W264">
            <v>1.36</v>
          </cell>
          <cell r="X264" t="str">
            <v>–</v>
          </cell>
          <cell r="Y264" t="str">
            <v>–</v>
          </cell>
          <cell r="Z264">
            <v>1.86</v>
          </cell>
          <cell r="AA264">
            <v>2.625</v>
          </cell>
          <cell r="AB264" t="str">
            <v>–</v>
          </cell>
          <cell r="AC264" t="str">
            <v>–</v>
          </cell>
          <cell r="AD264">
            <v>2.39</v>
          </cell>
          <cell r="AE264" t="str">
            <v>–</v>
          </cell>
          <cell r="AF264" t="str">
            <v>–</v>
          </cell>
          <cell r="AG264">
            <v>0.98299999999999998</v>
          </cell>
          <cell r="AH264">
            <v>4.57</v>
          </cell>
          <cell r="AI264" t="str">
            <v>–</v>
          </cell>
          <cell r="AJ264" t="str">
            <v>–</v>
          </cell>
          <cell r="AK264" t="str">
            <v>–</v>
          </cell>
          <cell r="AL264" t="str">
            <v>–</v>
          </cell>
          <cell r="AM264">
            <v>14.9</v>
          </cell>
          <cell r="AN264">
            <v>226</v>
          </cell>
        </row>
        <row r="265">
          <cell r="C265" t="str">
            <v>WT10.5X73.5</v>
          </cell>
          <cell r="D265" t="str">
            <v>F</v>
          </cell>
          <cell r="E265">
            <v>73.5</v>
          </cell>
          <cell r="F265">
            <v>21.6</v>
          </cell>
          <cell r="G265" t="str">
            <v>WT10.5X73.5</v>
          </cell>
          <cell r="H265">
            <v>11</v>
          </cell>
          <cell r="I265">
            <v>11</v>
          </cell>
          <cell r="J265" t="str">
            <v>–</v>
          </cell>
          <cell r="K265" t="str">
            <v>–</v>
          </cell>
          <cell r="L265" t="str">
            <v>–</v>
          </cell>
          <cell r="M265">
            <v>12.5</v>
          </cell>
          <cell r="N265">
            <v>12.5</v>
          </cell>
          <cell r="O265" t="str">
            <v>–</v>
          </cell>
          <cell r="P265" t="str">
            <v>–</v>
          </cell>
          <cell r="Q265" t="str">
            <v>–</v>
          </cell>
          <cell r="R265">
            <v>0.72</v>
          </cell>
          <cell r="S265">
            <v>0.75</v>
          </cell>
          <cell r="T265">
            <v>0.375</v>
          </cell>
          <cell r="U265">
            <v>1.1499999999999999</v>
          </cell>
          <cell r="V265">
            <v>1.125</v>
          </cell>
          <cell r="W265">
            <v>1.1499999999999999</v>
          </cell>
          <cell r="X265" t="str">
            <v>–</v>
          </cell>
          <cell r="Y265" t="str">
            <v>–</v>
          </cell>
          <cell r="Z265">
            <v>1.65</v>
          </cell>
          <cell r="AA265">
            <v>2.4375</v>
          </cell>
          <cell r="AB265" t="str">
            <v>–</v>
          </cell>
          <cell r="AC265" t="str">
            <v>–</v>
          </cell>
          <cell r="AD265">
            <v>2.39</v>
          </cell>
          <cell r="AE265" t="str">
            <v>–</v>
          </cell>
          <cell r="AF265" t="str">
            <v>–</v>
          </cell>
          <cell r="AG265">
            <v>0.86399999999999999</v>
          </cell>
          <cell r="AH265">
            <v>5.44</v>
          </cell>
          <cell r="AI265" t="str">
            <v>–</v>
          </cell>
          <cell r="AJ265" t="str">
            <v>–</v>
          </cell>
          <cell r="AK265" t="str">
            <v>–</v>
          </cell>
          <cell r="AL265" t="str">
            <v>–</v>
          </cell>
          <cell r="AM265">
            <v>15.3</v>
          </cell>
          <cell r="AN265">
            <v>204</v>
          </cell>
        </row>
        <row r="266">
          <cell r="C266" t="str">
            <v>WT10.5X66</v>
          </cell>
          <cell r="D266" t="str">
            <v>F</v>
          </cell>
          <cell r="E266">
            <v>66</v>
          </cell>
          <cell r="F266">
            <v>19.399999999999999</v>
          </cell>
          <cell r="G266" t="str">
            <v>WT10.5X66</v>
          </cell>
          <cell r="H266">
            <v>10.9</v>
          </cell>
          <cell r="I266">
            <v>10.875</v>
          </cell>
          <cell r="J266" t="str">
            <v>–</v>
          </cell>
          <cell r="K266" t="str">
            <v>–</v>
          </cell>
          <cell r="L266" t="str">
            <v>–</v>
          </cell>
          <cell r="M266">
            <v>12.4</v>
          </cell>
          <cell r="N266">
            <v>12.5</v>
          </cell>
          <cell r="O266" t="str">
            <v>–</v>
          </cell>
          <cell r="P266" t="str">
            <v>–</v>
          </cell>
          <cell r="Q266" t="str">
            <v>–</v>
          </cell>
          <cell r="R266">
            <v>0.65</v>
          </cell>
          <cell r="S266">
            <v>0.625</v>
          </cell>
          <cell r="T266">
            <v>0.3125</v>
          </cell>
          <cell r="U266">
            <v>1.04</v>
          </cell>
          <cell r="V266">
            <v>1.0625</v>
          </cell>
          <cell r="W266">
            <v>1.04</v>
          </cell>
          <cell r="X266" t="str">
            <v>–</v>
          </cell>
          <cell r="Y266" t="str">
            <v>–</v>
          </cell>
          <cell r="Z266">
            <v>1.54</v>
          </cell>
          <cell r="AA266">
            <v>2.25</v>
          </cell>
          <cell r="AB266" t="str">
            <v>–</v>
          </cell>
          <cell r="AC266" t="str">
            <v>–</v>
          </cell>
          <cell r="AD266">
            <v>2.33</v>
          </cell>
          <cell r="AE266" t="str">
            <v>–</v>
          </cell>
          <cell r="AF266" t="str">
            <v>–</v>
          </cell>
          <cell r="AG266">
            <v>0.78</v>
          </cell>
          <cell r="AH266">
            <v>6.01</v>
          </cell>
          <cell r="AI266" t="str">
            <v>–</v>
          </cell>
          <cell r="AJ266" t="str">
            <v>–</v>
          </cell>
          <cell r="AK266" t="str">
            <v>–</v>
          </cell>
          <cell r="AL266" t="str">
            <v>–</v>
          </cell>
          <cell r="AM266">
            <v>16.8</v>
          </cell>
          <cell r="AN266">
            <v>181</v>
          </cell>
        </row>
        <row r="267">
          <cell r="C267" t="str">
            <v>WT10.5X61</v>
          </cell>
          <cell r="D267" t="str">
            <v>F</v>
          </cell>
          <cell r="E267">
            <v>61</v>
          </cell>
          <cell r="F267">
            <v>17.899999999999999</v>
          </cell>
          <cell r="G267" t="str">
            <v>WT10.5X61</v>
          </cell>
          <cell r="H267">
            <v>10.8</v>
          </cell>
          <cell r="I267">
            <v>10.875</v>
          </cell>
          <cell r="J267" t="str">
            <v>–</v>
          </cell>
          <cell r="K267" t="str">
            <v>–</v>
          </cell>
          <cell r="L267" t="str">
            <v>–</v>
          </cell>
          <cell r="M267">
            <v>12.4</v>
          </cell>
          <cell r="N267">
            <v>12.375</v>
          </cell>
          <cell r="O267" t="str">
            <v>–</v>
          </cell>
          <cell r="P267" t="str">
            <v>–</v>
          </cell>
          <cell r="Q267" t="str">
            <v>–</v>
          </cell>
          <cell r="R267">
            <v>0.6</v>
          </cell>
          <cell r="S267">
            <v>0.625</v>
          </cell>
          <cell r="T267">
            <v>0.3125</v>
          </cell>
          <cell r="U267">
            <v>0.96</v>
          </cell>
          <cell r="V267">
            <v>0.9375</v>
          </cell>
          <cell r="W267">
            <v>0.96</v>
          </cell>
          <cell r="X267" t="str">
            <v>–</v>
          </cell>
          <cell r="Y267" t="str">
            <v>–</v>
          </cell>
          <cell r="Z267">
            <v>1.46</v>
          </cell>
          <cell r="AA267">
            <v>2.25</v>
          </cell>
          <cell r="AB267" t="str">
            <v>–</v>
          </cell>
          <cell r="AC267" t="str">
            <v>–</v>
          </cell>
          <cell r="AD267">
            <v>2.2799999999999998</v>
          </cell>
          <cell r="AE267" t="str">
            <v>–</v>
          </cell>
          <cell r="AF267" t="str">
            <v>–</v>
          </cell>
          <cell r="AG267">
            <v>0.72399999999999998</v>
          </cell>
          <cell r="AH267">
            <v>6.45</v>
          </cell>
          <cell r="AI267" t="str">
            <v>–</v>
          </cell>
          <cell r="AJ267" t="str">
            <v>–</v>
          </cell>
          <cell r="AK267" t="str">
            <v>–</v>
          </cell>
          <cell r="AL267" t="str">
            <v>–</v>
          </cell>
          <cell r="AM267">
            <v>18</v>
          </cell>
          <cell r="AN267">
            <v>166</v>
          </cell>
        </row>
        <row r="268">
          <cell r="C268" t="str">
            <v>WT10.5X55.5</v>
          </cell>
          <cell r="D268" t="str">
            <v>F</v>
          </cell>
          <cell r="E268">
            <v>55.5</v>
          </cell>
          <cell r="F268">
            <v>16.3</v>
          </cell>
          <cell r="G268" t="str">
            <v>WT10.5X55.5</v>
          </cell>
          <cell r="H268">
            <v>10.8</v>
          </cell>
          <cell r="I268">
            <v>10.75</v>
          </cell>
          <cell r="J268" t="str">
            <v>–</v>
          </cell>
          <cell r="K268" t="str">
            <v>–</v>
          </cell>
          <cell r="L268" t="str">
            <v>–</v>
          </cell>
          <cell r="M268">
            <v>12.3</v>
          </cell>
          <cell r="N268">
            <v>12.375</v>
          </cell>
          <cell r="O268" t="str">
            <v>–</v>
          </cell>
          <cell r="P268" t="str">
            <v>–</v>
          </cell>
          <cell r="Q268" t="str">
            <v>–</v>
          </cell>
          <cell r="R268">
            <v>0.55000000000000004</v>
          </cell>
          <cell r="S268">
            <v>0.5625</v>
          </cell>
          <cell r="T268">
            <v>0.3125</v>
          </cell>
          <cell r="U268">
            <v>0.875</v>
          </cell>
          <cell r="V268">
            <v>0.875</v>
          </cell>
          <cell r="W268">
            <v>0.875</v>
          </cell>
          <cell r="X268" t="str">
            <v>–</v>
          </cell>
          <cell r="Y268" t="str">
            <v>–</v>
          </cell>
          <cell r="Z268">
            <v>1.38</v>
          </cell>
          <cell r="AA268">
            <v>2.125</v>
          </cell>
          <cell r="AB268" t="str">
            <v>–</v>
          </cell>
          <cell r="AC268" t="str">
            <v>–</v>
          </cell>
          <cell r="AD268">
            <v>2.23</v>
          </cell>
          <cell r="AE268" t="str">
            <v>–</v>
          </cell>
          <cell r="AF268" t="str">
            <v>–</v>
          </cell>
          <cell r="AG268">
            <v>0.66200000000000003</v>
          </cell>
          <cell r="AH268">
            <v>7.05</v>
          </cell>
          <cell r="AI268" t="str">
            <v>–</v>
          </cell>
          <cell r="AJ268" t="str">
            <v>–</v>
          </cell>
          <cell r="AK268" t="str">
            <v>–</v>
          </cell>
          <cell r="AL268" t="str">
            <v>–</v>
          </cell>
          <cell r="AM268">
            <v>19.600000000000001</v>
          </cell>
          <cell r="AN268">
            <v>150</v>
          </cell>
        </row>
        <row r="269">
          <cell r="C269" t="str">
            <v>WT10.5X50.5</v>
          </cell>
          <cell r="D269" t="str">
            <v>F</v>
          </cell>
          <cell r="E269">
            <v>50.5</v>
          </cell>
          <cell r="F269">
            <v>14.9</v>
          </cell>
          <cell r="G269" t="str">
            <v>WT10.5X50.5</v>
          </cell>
          <cell r="H269">
            <v>10.7</v>
          </cell>
          <cell r="I269">
            <v>10.625</v>
          </cell>
          <cell r="J269" t="str">
            <v>–</v>
          </cell>
          <cell r="K269" t="str">
            <v>–</v>
          </cell>
          <cell r="L269" t="str">
            <v>–</v>
          </cell>
          <cell r="M269">
            <v>12.3</v>
          </cell>
          <cell r="N269">
            <v>12.25</v>
          </cell>
          <cell r="O269" t="str">
            <v>–</v>
          </cell>
          <cell r="P269" t="str">
            <v>–</v>
          </cell>
          <cell r="Q269" t="str">
            <v>–</v>
          </cell>
          <cell r="R269">
            <v>0.5</v>
          </cell>
          <cell r="S269">
            <v>0.5</v>
          </cell>
          <cell r="T269">
            <v>0.25</v>
          </cell>
          <cell r="U269">
            <v>0.8</v>
          </cell>
          <cell r="V269">
            <v>0.8125</v>
          </cell>
          <cell r="W269">
            <v>0.8</v>
          </cell>
          <cell r="X269" t="str">
            <v>–</v>
          </cell>
          <cell r="Y269" t="str">
            <v>–</v>
          </cell>
          <cell r="Z269">
            <v>1.3</v>
          </cell>
          <cell r="AA269">
            <v>2.0625</v>
          </cell>
          <cell r="AB269" t="str">
            <v>–</v>
          </cell>
          <cell r="AC269" t="str">
            <v>–</v>
          </cell>
          <cell r="AD269">
            <v>2.1800000000000002</v>
          </cell>
          <cell r="AE269" t="str">
            <v>–</v>
          </cell>
          <cell r="AF269" t="str">
            <v>–</v>
          </cell>
          <cell r="AG269">
            <v>0.60499999999999998</v>
          </cell>
          <cell r="AH269">
            <v>7.68</v>
          </cell>
          <cell r="AI269" t="str">
            <v>–</v>
          </cell>
          <cell r="AJ269" t="str">
            <v>–</v>
          </cell>
          <cell r="AK269" t="str">
            <v>–</v>
          </cell>
          <cell r="AL269" t="str">
            <v>–</v>
          </cell>
          <cell r="AM269">
            <v>21.4</v>
          </cell>
          <cell r="AN269">
            <v>135</v>
          </cell>
        </row>
        <row r="270">
          <cell r="C270" t="str">
            <v>WT10.5X46.5</v>
          </cell>
          <cell r="D270" t="str">
            <v>F</v>
          </cell>
          <cell r="E270">
            <v>46.5</v>
          </cell>
          <cell r="F270">
            <v>13.7</v>
          </cell>
          <cell r="G270" t="str">
            <v>WT10.5X46.5</v>
          </cell>
          <cell r="H270">
            <v>10.8</v>
          </cell>
          <cell r="I270">
            <v>10.75</v>
          </cell>
          <cell r="J270" t="str">
            <v>–</v>
          </cell>
          <cell r="K270" t="str">
            <v>–</v>
          </cell>
          <cell r="L270" t="str">
            <v>–</v>
          </cell>
          <cell r="M270">
            <v>8.42</v>
          </cell>
          <cell r="N270">
            <v>8.375</v>
          </cell>
          <cell r="O270" t="str">
            <v>–</v>
          </cell>
          <cell r="P270" t="str">
            <v>–</v>
          </cell>
          <cell r="Q270" t="str">
            <v>–</v>
          </cell>
          <cell r="R270">
            <v>0.57999999999999996</v>
          </cell>
          <cell r="S270">
            <v>0.5625</v>
          </cell>
          <cell r="T270">
            <v>0.3125</v>
          </cell>
          <cell r="U270">
            <v>0.93</v>
          </cell>
          <cell r="V270">
            <v>0.9375</v>
          </cell>
          <cell r="W270">
            <v>0.93</v>
          </cell>
          <cell r="X270" t="str">
            <v>–</v>
          </cell>
          <cell r="Y270" t="str">
            <v>–</v>
          </cell>
          <cell r="Z270">
            <v>1.43</v>
          </cell>
          <cell r="AA270">
            <v>1.625</v>
          </cell>
          <cell r="AB270" t="str">
            <v>–</v>
          </cell>
          <cell r="AC270" t="str">
            <v>–</v>
          </cell>
          <cell r="AD270">
            <v>2.74</v>
          </cell>
          <cell r="AE270" t="str">
            <v>–</v>
          </cell>
          <cell r="AF270" t="str">
            <v>–</v>
          </cell>
          <cell r="AG270">
            <v>0.81200000000000006</v>
          </cell>
          <cell r="AH270">
            <v>4.53</v>
          </cell>
          <cell r="AI270" t="str">
            <v>–</v>
          </cell>
          <cell r="AJ270" t="str">
            <v>–</v>
          </cell>
          <cell r="AK270" t="str">
            <v>–</v>
          </cell>
          <cell r="AL270" t="str">
            <v>–</v>
          </cell>
          <cell r="AM270">
            <v>18.600000000000001</v>
          </cell>
          <cell r="AN270">
            <v>144</v>
          </cell>
        </row>
        <row r="271">
          <cell r="C271" t="str">
            <v>WT10.5X41.5</v>
          </cell>
          <cell r="D271" t="str">
            <v>F</v>
          </cell>
          <cell r="E271">
            <v>41.5</v>
          </cell>
          <cell r="F271">
            <v>12.2</v>
          </cell>
          <cell r="G271" t="str">
            <v>WT10.5X41.5</v>
          </cell>
          <cell r="H271">
            <v>10.7</v>
          </cell>
          <cell r="I271">
            <v>10.75</v>
          </cell>
          <cell r="J271" t="str">
            <v>–</v>
          </cell>
          <cell r="K271" t="str">
            <v>–</v>
          </cell>
          <cell r="L271" t="str">
            <v>–</v>
          </cell>
          <cell r="M271">
            <v>8.36</v>
          </cell>
          <cell r="N271">
            <v>8.375</v>
          </cell>
          <cell r="O271" t="str">
            <v>–</v>
          </cell>
          <cell r="P271" t="str">
            <v>–</v>
          </cell>
          <cell r="Q271" t="str">
            <v>–</v>
          </cell>
          <cell r="R271">
            <v>0.51500000000000001</v>
          </cell>
          <cell r="S271">
            <v>0.5</v>
          </cell>
          <cell r="T271">
            <v>0.25</v>
          </cell>
          <cell r="U271">
            <v>0.83499999999999996</v>
          </cell>
          <cell r="V271">
            <v>0.8125</v>
          </cell>
          <cell r="W271">
            <v>0.83499999999999996</v>
          </cell>
          <cell r="X271" t="str">
            <v>–</v>
          </cell>
          <cell r="Y271" t="str">
            <v>–</v>
          </cell>
          <cell r="Z271">
            <v>1.34</v>
          </cell>
          <cell r="AA271">
            <v>1.5</v>
          </cell>
          <cell r="AB271" t="str">
            <v>–</v>
          </cell>
          <cell r="AC271" t="str">
            <v>–</v>
          </cell>
          <cell r="AD271">
            <v>2.66</v>
          </cell>
          <cell r="AE271" t="str">
            <v>–</v>
          </cell>
          <cell r="AF271" t="str">
            <v>–</v>
          </cell>
          <cell r="AG271">
            <v>0.72799999999999998</v>
          </cell>
          <cell r="AH271">
            <v>5</v>
          </cell>
          <cell r="AI271" t="str">
            <v>–</v>
          </cell>
          <cell r="AJ271" t="str">
            <v>–</v>
          </cell>
          <cell r="AK271" t="str">
            <v>–</v>
          </cell>
          <cell r="AL271" t="str">
            <v>–</v>
          </cell>
          <cell r="AM271">
            <v>20.8</v>
          </cell>
          <cell r="AN271">
            <v>127</v>
          </cell>
        </row>
        <row r="272">
          <cell r="C272" t="str">
            <v>WT10.5X36.5</v>
          </cell>
          <cell r="D272" t="str">
            <v>F</v>
          </cell>
          <cell r="E272">
            <v>36.5</v>
          </cell>
          <cell r="F272">
            <v>10.7</v>
          </cell>
          <cell r="G272" t="str">
            <v>WT10.5X36.5</v>
          </cell>
          <cell r="H272">
            <v>10.6</v>
          </cell>
          <cell r="I272">
            <v>10.625</v>
          </cell>
          <cell r="J272" t="str">
            <v>–</v>
          </cell>
          <cell r="K272" t="str">
            <v>–</v>
          </cell>
          <cell r="L272" t="str">
            <v>–</v>
          </cell>
          <cell r="M272">
            <v>8.3000000000000007</v>
          </cell>
          <cell r="N272">
            <v>8.25</v>
          </cell>
          <cell r="O272" t="str">
            <v>–</v>
          </cell>
          <cell r="P272" t="str">
            <v>–</v>
          </cell>
          <cell r="Q272" t="str">
            <v>–</v>
          </cell>
          <cell r="R272">
            <v>0.45500000000000002</v>
          </cell>
          <cell r="S272">
            <v>0.4375</v>
          </cell>
          <cell r="T272">
            <v>0.25</v>
          </cell>
          <cell r="U272">
            <v>0.74</v>
          </cell>
          <cell r="V272">
            <v>0.75</v>
          </cell>
          <cell r="W272">
            <v>0.74</v>
          </cell>
          <cell r="X272" t="str">
            <v>–</v>
          </cell>
          <cell r="Y272" t="str">
            <v>–</v>
          </cell>
          <cell r="Z272">
            <v>1.24</v>
          </cell>
          <cell r="AA272">
            <v>1.4375</v>
          </cell>
          <cell r="AB272" t="str">
            <v>–</v>
          </cell>
          <cell r="AC272" t="str">
            <v>–</v>
          </cell>
          <cell r="AD272">
            <v>2.6</v>
          </cell>
          <cell r="AE272" t="str">
            <v>–</v>
          </cell>
          <cell r="AF272" t="str">
            <v>–</v>
          </cell>
          <cell r="AG272">
            <v>0.64700000000000002</v>
          </cell>
          <cell r="AH272">
            <v>5.6</v>
          </cell>
          <cell r="AI272" t="str">
            <v>–</v>
          </cell>
          <cell r="AJ272" t="str">
            <v>–</v>
          </cell>
          <cell r="AK272" t="str">
            <v>–</v>
          </cell>
          <cell r="AL272" t="str">
            <v>–</v>
          </cell>
          <cell r="AM272">
            <v>23.3</v>
          </cell>
          <cell r="AN272">
            <v>110</v>
          </cell>
        </row>
        <row r="273">
          <cell r="C273" t="str">
            <v>WT10.5X34</v>
          </cell>
          <cell r="D273" t="str">
            <v>F</v>
          </cell>
          <cell r="E273">
            <v>34</v>
          </cell>
          <cell r="F273">
            <v>10</v>
          </cell>
          <cell r="G273" t="str">
            <v>WT10.5X34</v>
          </cell>
          <cell r="H273">
            <v>10.6</v>
          </cell>
          <cell r="I273">
            <v>10.625</v>
          </cell>
          <cell r="J273" t="str">
            <v>–</v>
          </cell>
          <cell r="K273" t="str">
            <v>–</v>
          </cell>
          <cell r="L273" t="str">
            <v>–</v>
          </cell>
          <cell r="M273">
            <v>8.27</v>
          </cell>
          <cell r="N273">
            <v>8.25</v>
          </cell>
          <cell r="O273" t="str">
            <v>–</v>
          </cell>
          <cell r="P273" t="str">
            <v>–</v>
          </cell>
          <cell r="Q273" t="str">
            <v>–</v>
          </cell>
          <cell r="R273">
            <v>0.43</v>
          </cell>
          <cell r="S273">
            <v>0.4375</v>
          </cell>
          <cell r="T273">
            <v>0.25</v>
          </cell>
          <cell r="U273">
            <v>0.68500000000000005</v>
          </cell>
          <cell r="V273">
            <v>0.6875</v>
          </cell>
          <cell r="W273">
            <v>0.68500000000000005</v>
          </cell>
          <cell r="X273" t="str">
            <v>–</v>
          </cell>
          <cell r="Y273" t="str">
            <v>–</v>
          </cell>
          <cell r="Z273">
            <v>1.19</v>
          </cell>
          <cell r="AA273">
            <v>1.375</v>
          </cell>
          <cell r="AB273" t="str">
            <v>–</v>
          </cell>
          <cell r="AC273" t="str">
            <v>–</v>
          </cell>
          <cell r="AD273">
            <v>2.59</v>
          </cell>
          <cell r="AE273" t="str">
            <v>–</v>
          </cell>
          <cell r="AF273" t="str">
            <v>–</v>
          </cell>
          <cell r="AG273">
            <v>0.60599999999999998</v>
          </cell>
          <cell r="AH273">
            <v>6.04</v>
          </cell>
          <cell r="AI273" t="str">
            <v>–</v>
          </cell>
          <cell r="AJ273" t="str">
            <v>–</v>
          </cell>
          <cell r="AK273" t="str">
            <v>–</v>
          </cell>
          <cell r="AL273" t="str">
            <v>–</v>
          </cell>
          <cell r="AM273">
            <v>24.7</v>
          </cell>
          <cell r="AN273">
            <v>103</v>
          </cell>
        </row>
        <row r="274">
          <cell r="C274" t="str">
            <v>WT10.5X31</v>
          </cell>
          <cell r="D274" t="str">
            <v>F</v>
          </cell>
          <cell r="E274">
            <v>31</v>
          </cell>
          <cell r="F274">
            <v>9.1300000000000008</v>
          </cell>
          <cell r="G274" t="str">
            <v>WT10.5X31</v>
          </cell>
          <cell r="H274">
            <v>10.5</v>
          </cell>
          <cell r="I274">
            <v>10.5</v>
          </cell>
          <cell r="J274" t="str">
            <v>–</v>
          </cell>
          <cell r="K274" t="str">
            <v>–</v>
          </cell>
          <cell r="L274" t="str">
            <v>–</v>
          </cell>
          <cell r="M274">
            <v>8.24</v>
          </cell>
          <cell r="N274">
            <v>8.25</v>
          </cell>
          <cell r="O274" t="str">
            <v>–</v>
          </cell>
          <cell r="P274" t="str">
            <v>–</v>
          </cell>
          <cell r="Q274" t="str">
            <v>–</v>
          </cell>
          <cell r="R274">
            <v>0.4</v>
          </cell>
          <cell r="S274">
            <v>0.375</v>
          </cell>
          <cell r="T274">
            <v>0.1875</v>
          </cell>
          <cell r="U274">
            <v>0.61499999999999999</v>
          </cell>
          <cell r="V274">
            <v>0.625</v>
          </cell>
          <cell r="W274">
            <v>0.61499999999999999</v>
          </cell>
          <cell r="X274" t="str">
            <v>–</v>
          </cell>
          <cell r="Y274" t="str">
            <v>–</v>
          </cell>
          <cell r="Z274">
            <v>1.1200000000000001</v>
          </cell>
          <cell r="AA274">
            <v>1.3125</v>
          </cell>
          <cell r="AB274" t="str">
            <v>–</v>
          </cell>
          <cell r="AC274" t="str">
            <v>–</v>
          </cell>
          <cell r="AD274">
            <v>2.58</v>
          </cell>
          <cell r="AE274" t="str">
            <v>–</v>
          </cell>
          <cell r="AF274" t="str">
            <v>–</v>
          </cell>
          <cell r="AG274">
            <v>0.55400000000000005</v>
          </cell>
          <cell r="AH274">
            <v>6.7</v>
          </cell>
          <cell r="AI274" t="str">
            <v>–</v>
          </cell>
          <cell r="AJ274" t="str">
            <v>–</v>
          </cell>
          <cell r="AK274" t="str">
            <v>–</v>
          </cell>
          <cell r="AL274" t="str">
            <v>–</v>
          </cell>
          <cell r="AM274">
            <v>26.3</v>
          </cell>
          <cell r="AN274">
            <v>93.8</v>
          </cell>
        </row>
        <row r="275">
          <cell r="C275" t="str">
            <v>WT10.5X27.5</v>
          </cell>
          <cell r="D275" t="str">
            <v>F</v>
          </cell>
          <cell r="E275">
            <v>27.5</v>
          </cell>
          <cell r="F275">
            <v>8.1</v>
          </cell>
          <cell r="G275" t="str">
            <v>WT10.5X27.5</v>
          </cell>
          <cell r="H275">
            <v>10.4</v>
          </cell>
          <cell r="I275">
            <v>10.375</v>
          </cell>
          <cell r="J275" t="str">
            <v>–</v>
          </cell>
          <cell r="K275" t="str">
            <v>–</v>
          </cell>
          <cell r="L275" t="str">
            <v>–</v>
          </cell>
          <cell r="M275">
            <v>8.2200000000000006</v>
          </cell>
          <cell r="N275">
            <v>8.25</v>
          </cell>
          <cell r="O275" t="str">
            <v>–</v>
          </cell>
          <cell r="P275" t="str">
            <v>–</v>
          </cell>
          <cell r="Q275" t="str">
            <v>–</v>
          </cell>
          <cell r="R275">
            <v>0.375</v>
          </cell>
          <cell r="S275">
            <v>0.375</v>
          </cell>
          <cell r="T275">
            <v>0.1875</v>
          </cell>
          <cell r="U275">
            <v>0.52200000000000002</v>
          </cell>
          <cell r="V275">
            <v>0.5</v>
          </cell>
          <cell r="W275">
            <v>0.52200000000000002</v>
          </cell>
          <cell r="X275" t="str">
            <v>–</v>
          </cell>
          <cell r="Y275" t="str">
            <v>–</v>
          </cell>
          <cell r="Z275">
            <v>1.02</v>
          </cell>
          <cell r="AA275">
            <v>1.1875</v>
          </cell>
          <cell r="AB275" t="str">
            <v>–</v>
          </cell>
          <cell r="AC275" t="str">
            <v>–</v>
          </cell>
          <cell r="AD275">
            <v>2.64</v>
          </cell>
          <cell r="AE275" t="str">
            <v>–</v>
          </cell>
          <cell r="AF275" t="str">
            <v>–</v>
          </cell>
          <cell r="AG275">
            <v>0.49299999999999999</v>
          </cell>
          <cell r="AH275">
            <v>7.87</v>
          </cell>
          <cell r="AI275" t="str">
            <v>–</v>
          </cell>
          <cell r="AJ275" t="str">
            <v>–</v>
          </cell>
          <cell r="AK275" t="str">
            <v>–</v>
          </cell>
          <cell r="AL275" t="str">
            <v>–</v>
          </cell>
          <cell r="AM275">
            <v>27.7</v>
          </cell>
          <cell r="AN275">
            <v>84.4</v>
          </cell>
        </row>
        <row r="276">
          <cell r="C276" t="str">
            <v>WT10.5X24</v>
          </cell>
          <cell r="D276" t="str">
            <v>F</v>
          </cell>
          <cell r="E276">
            <v>24</v>
          </cell>
          <cell r="F276">
            <v>7.07</v>
          </cell>
          <cell r="G276" t="str">
            <v>WT10.5X24</v>
          </cell>
          <cell r="H276">
            <v>10.3</v>
          </cell>
          <cell r="I276">
            <v>10.25</v>
          </cell>
          <cell r="J276" t="str">
            <v>–</v>
          </cell>
          <cell r="K276" t="str">
            <v>–</v>
          </cell>
          <cell r="L276" t="str">
            <v>–</v>
          </cell>
          <cell r="M276">
            <v>8.14</v>
          </cell>
          <cell r="N276">
            <v>8.125</v>
          </cell>
          <cell r="O276" t="str">
            <v>–</v>
          </cell>
          <cell r="P276" t="str">
            <v>–</v>
          </cell>
          <cell r="Q276" t="str">
            <v>–</v>
          </cell>
          <cell r="R276">
            <v>0.35</v>
          </cell>
          <cell r="S276">
            <v>0.375</v>
          </cell>
          <cell r="T276">
            <v>0.1875</v>
          </cell>
          <cell r="U276">
            <v>0.43</v>
          </cell>
          <cell r="V276">
            <v>0.4375</v>
          </cell>
          <cell r="W276">
            <v>0.43</v>
          </cell>
          <cell r="X276" t="str">
            <v>–</v>
          </cell>
          <cell r="Y276" t="str">
            <v>–</v>
          </cell>
          <cell r="Z276">
            <v>0.93</v>
          </cell>
          <cell r="AA276">
            <v>1.125</v>
          </cell>
          <cell r="AB276" t="str">
            <v>–</v>
          </cell>
          <cell r="AC276" t="str">
            <v>–</v>
          </cell>
          <cell r="AD276">
            <v>2.74</v>
          </cell>
          <cell r="AE276" t="str">
            <v>–</v>
          </cell>
          <cell r="AF276" t="str">
            <v>–</v>
          </cell>
          <cell r="AG276">
            <v>0.45900000000000002</v>
          </cell>
          <cell r="AH276">
            <v>9.4700000000000006</v>
          </cell>
          <cell r="AI276" t="str">
            <v>–</v>
          </cell>
          <cell r="AJ276" t="str">
            <v>–</v>
          </cell>
          <cell r="AK276" t="str">
            <v>–</v>
          </cell>
          <cell r="AL276" t="str">
            <v>–</v>
          </cell>
          <cell r="AM276">
            <v>29.4</v>
          </cell>
          <cell r="AN276">
            <v>74.900000000000006</v>
          </cell>
        </row>
        <row r="277">
          <cell r="C277" t="str">
            <v>WT10.5X28.5</v>
          </cell>
          <cell r="D277" t="str">
            <v>F</v>
          </cell>
          <cell r="E277">
            <v>28.5</v>
          </cell>
          <cell r="F277">
            <v>8.3699999999999992</v>
          </cell>
          <cell r="G277" t="str">
            <v>WT10.5X28.5</v>
          </cell>
          <cell r="H277">
            <v>10.5</v>
          </cell>
          <cell r="I277">
            <v>10.5</v>
          </cell>
          <cell r="J277" t="str">
            <v>–</v>
          </cell>
          <cell r="K277" t="str">
            <v>–</v>
          </cell>
          <cell r="L277" t="str">
            <v>–</v>
          </cell>
          <cell r="M277">
            <v>6.56</v>
          </cell>
          <cell r="N277">
            <v>6.5</v>
          </cell>
          <cell r="O277" t="str">
            <v>–</v>
          </cell>
          <cell r="P277" t="str">
            <v>–</v>
          </cell>
          <cell r="Q277" t="str">
            <v>–</v>
          </cell>
          <cell r="R277">
            <v>0.40500000000000003</v>
          </cell>
          <cell r="S277">
            <v>0.375</v>
          </cell>
          <cell r="T277">
            <v>0.1875</v>
          </cell>
          <cell r="U277">
            <v>0.65</v>
          </cell>
          <cell r="V277">
            <v>0.625</v>
          </cell>
          <cell r="W277">
            <v>0.65</v>
          </cell>
          <cell r="X277" t="str">
            <v>–</v>
          </cell>
          <cell r="Y277" t="str">
            <v>–</v>
          </cell>
          <cell r="Z277">
            <v>1.1499999999999999</v>
          </cell>
          <cell r="AA277">
            <v>1.3125</v>
          </cell>
          <cell r="AB277" t="str">
            <v>–</v>
          </cell>
          <cell r="AC277" t="str">
            <v>–</v>
          </cell>
          <cell r="AD277">
            <v>2.85</v>
          </cell>
          <cell r="AE277" t="str">
            <v>–</v>
          </cell>
          <cell r="AF277" t="str">
            <v>–</v>
          </cell>
          <cell r="AG277">
            <v>0.63800000000000001</v>
          </cell>
          <cell r="AH277">
            <v>5.04</v>
          </cell>
          <cell r="AI277" t="str">
            <v>–</v>
          </cell>
          <cell r="AJ277" t="str">
            <v>–</v>
          </cell>
          <cell r="AK277" t="str">
            <v>–</v>
          </cell>
          <cell r="AL277" t="str">
            <v>–</v>
          </cell>
          <cell r="AM277">
            <v>25.9</v>
          </cell>
          <cell r="AN277">
            <v>90.4</v>
          </cell>
        </row>
        <row r="278">
          <cell r="C278" t="str">
            <v>WT10.5X25</v>
          </cell>
          <cell r="D278" t="str">
            <v>F</v>
          </cell>
          <cell r="E278">
            <v>25</v>
          </cell>
          <cell r="F278">
            <v>7.36</v>
          </cell>
          <cell r="G278" t="str">
            <v>WT10.5X25</v>
          </cell>
          <cell r="H278">
            <v>10.4</v>
          </cell>
          <cell r="I278">
            <v>10.375</v>
          </cell>
          <cell r="J278" t="str">
            <v>–</v>
          </cell>
          <cell r="K278" t="str">
            <v>–</v>
          </cell>
          <cell r="L278" t="str">
            <v>–</v>
          </cell>
          <cell r="M278">
            <v>6.53</v>
          </cell>
          <cell r="N278">
            <v>6.5</v>
          </cell>
          <cell r="O278" t="str">
            <v>–</v>
          </cell>
          <cell r="P278" t="str">
            <v>–</v>
          </cell>
          <cell r="Q278" t="str">
            <v>–</v>
          </cell>
          <cell r="R278">
            <v>0.38</v>
          </cell>
          <cell r="S278">
            <v>0.375</v>
          </cell>
          <cell r="T278">
            <v>0.1875</v>
          </cell>
          <cell r="U278">
            <v>0.53500000000000003</v>
          </cell>
          <cell r="V278">
            <v>0.5625</v>
          </cell>
          <cell r="W278">
            <v>0.53500000000000003</v>
          </cell>
          <cell r="X278" t="str">
            <v>–</v>
          </cell>
          <cell r="Y278" t="str">
            <v>–</v>
          </cell>
          <cell r="Z278">
            <v>1.04</v>
          </cell>
          <cell r="AA278">
            <v>1.25</v>
          </cell>
          <cell r="AB278" t="str">
            <v>–</v>
          </cell>
          <cell r="AC278" t="str">
            <v>–</v>
          </cell>
          <cell r="AD278">
            <v>2.93</v>
          </cell>
          <cell r="AE278" t="str">
            <v>–</v>
          </cell>
          <cell r="AF278" t="str">
            <v>–</v>
          </cell>
          <cell r="AG278">
            <v>0.77100000000000002</v>
          </cell>
          <cell r="AH278">
            <v>6.1</v>
          </cell>
          <cell r="AI278" t="str">
            <v>–</v>
          </cell>
          <cell r="AJ278" t="str">
            <v>–</v>
          </cell>
          <cell r="AK278" t="str">
            <v>–</v>
          </cell>
          <cell r="AL278" t="str">
            <v>–</v>
          </cell>
          <cell r="AM278">
            <v>27.4</v>
          </cell>
          <cell r="AN278">
            <v>80.3</v>
          </cell>
        </row>
        <row r="279">
          <cell r="C279" t="str">
            <v>WT10.5X22</v>
          </cell>
          <cell r="D279" t="str">
            <v>F</v>
          </cell>
          <cell r="E279">
            <v>22</v>
          </cell>
          <cell r="F279">
            <v>6.49</v>
          </cell>
          <cell r="G279" t="str">
            <v>WT10.5X22</v>
          </cell>
          <cell r="H279">
            <v>10.3</v>
          </cell>
          <cell r="I279">
            <v>10.375</v>
          </cell>
          <cell r="J279" t="str">
            <v>–</v>
          </cell>
          <cell r="K279" t="str">
            <v>–</v>
          </cell>
          <cell r="L279" t="str">
            <v>–</v>
          </cell>
          <cell r="M279">
            <v>6.5</v>
          </cell>
          <cell r="N279">
            <v>6.5</v>
          </cell>
          <cell r="O279" t="str">
            <v>–</v>
          </cell>
          <cell r="P279" t="str">
            <v>–</v>
          </cell>
          <cell r="Q279" t="str">
            <v>–</v>
          </cell>
          <cell r="R279">
            <v>0.35</v>
          </cell>
          <cell r="S279">
            <v>0.375</v>
          </cell>
          <cell r="T279">
            <v>0.1875</v>
          </cell>
          <cell r="U279">
            <v>0.45</v>
          </cell>
          <cell r="V279">
            <v>0.4375</v>
          </cell>
          <cell r="W279">
            <v>0.45</v>
          </cell>
          <cell r="X279" t="str">
            <v>–</v>
          </cell>
          <cell r="Y279" t="str">
            <v>–</v>
          </cell>
          <cell r="Z279">
            <v>0.95</v>
          </cell>
          <cell r="AA279">
            <v>1.125</v>
          </cell>
          <cell r="AB279" t="str">
            <v>–</v>
          </cell>
          <cell r="AC279" t="str">
            <v>–</v>
          </cell>
          <cell r="AD279">
            <v>2.98</v>
          </cell>
          <cell r="AE279" t="str">
            <v>–</v>
          </cell>
          <cell r="AF279" t="str">
            <v>–</v>
          </cell>
          <cell r="AG279">
            <v>1.06</v>
          </cell>
          <cell r="AH279">
            <v>7.22</v>
          </cell>
          <cell r="AI279" t="str">
            <v>–</v>
          </cell>
          <cell r="AJ279" t="str">
            <v>–</v>
          </cell>
          <cell r="AK279" t="str">
            <v>–</v>
          </cell>
          <cell r="AL279" t="str">
            <v>–</v>
          </cell>
          <cell r="AM279">
            <v>29.4</v>
          </cell>
          <cell r="AN279">
            <v>71.099999999999994</v>
          </cell>
        </row>
        <row r="280">
          <cell r="C280" t="str">
            <v>WT9X155.5</v>
          </cell>
          <cell r="D280" t="str">
            <v>F</v>
          </cell>
          <cell r="E280">
            <v>155.5</v>
          </cell>
          <cell r="F280">
            <v>45.8</v>
          </cell>
          <cell r="G280" t="str">
            <v>WT9X155.5</v>
          </cell>
          <cell r="H280">
            <v>11.2</v>
          </cell>
          <cell r="I280">
            <v>11.125</v>
          </cell>
          <cell r="J280" t="str">
            <v>–</v>
          </cell>
          <cell r="K280" t="str">
            <v>–</v>
          </cell>
          <cell r="L280" t="str">
            <v>–</v>
          </cell>
          <cell r="M280">
            <v>12</v>
          </cell>
          <cell r="N280">
            <v>12</v>
          </cell>
          <cell r="O280" t="str">
            <v>–</v>
          </cell>
          <cell r="P280" t="str">
            <v>–</v>
          </cell>
          <cell r="Q280" t="str">
            <v>–</v>
          </cell>
          <cell r="R280">
            <v>1.52</v>
          </cell>
          <cell r="S280">
            <v>1.5</v>
          </cell>
          <cell r="T280">
            <v>0.75</v>
          </cell>
          <cell r="U280">
            <v>2.74</v>
          </cell>
          <cell r="V280">
            <v>2.75</v>
          </cell>
          <cell r="W280">
            <v>2.74</v>
          </cell>
          <cell r="X280" t="str">
            <v>–</v>
          </cell>
          <cell r="Y280" t="str">
            <v>–</v>
          </cell>
          <cell r="Z280">
            <v>3.24</v>
          </cell>
          <cell r="AA280">
            <v>3.5625</v>
          </cell>
          <cell r="AB280" t="str">
            <v>–</v>
          </cell>
          <cell r="AC280" t="str">
            <v>–</v>
          </cell>
          <cell r="AD280">
            <v>2.93</v>
          </cell>
          <cell r="AE280" t="str">
            <v>–</v>
          </cell>
          <cell r="AF280" t="str">
            <v>–</v>
          </cell>
          <cell r="AG280">
            <v>1.91</v>
          </cell>
          <cell r="AH280">
            <v>2.19</v>
          </cell>
          <cell r="AI280" t="str">
            <v>–</v>
          </cell>
          <cell r="AJ280" t="str">
            <v>–</v>
          </cell>
          <cell r="AK280" t="str">
            <v>–</v>
          </cell>
          <cell r="AL280" t="str">
            <v>–</v>
          </cell>
          <cell r="AM280">
            <v>7.37</v>
          </cell>
          <cell r="AN280">
            <v>383</v>
          </cell>
        </row>
        <row r="281">
          <cell r="C281" t="str">
            <v>WT9X141.5</v>
          </cell>
          <cell r="D281" t="str">
            <v>F</v>
          </cell>
          <cell r="E281">
            <v>141.5</v>
          </cell>
          <cell r="F281">
            <v>41.7</v>
          </cell>
          <cell r="G281" t="str">
            <v>WT9X141.5</v>
          </cell>
          <cell r="H281">
            <v>10.9</v>
          </cell>
          <cell r="I281">
            <v>10.875</v>
          </cell>
          <cell r="J281" t="str">
            <v>–</v>
          </cell>
          <cell r="K281" t="str">
            <v>–</v>
          </cell>
          <cell r="L281" t="str">
            <v>–</v>
          </cell>
          <cell r="M281">
            <v>11.9</v>
          </cell>
          <cell r="N281">
            <v>11.875</v>
          </cell>
          <cell r="O281" t="str">
            <v>–</v>
          </cell>
          <cell r="P281" t="str">
            <v>–</v>
          </cell>
          <cell r="Q281" t="str">
            <v>–</v>
          </cell>
          <cell r="R281">
            <v>1.4</v>
          </cell>
          <cell r="S281">
            <v>1.375</v>
          </cell>
          <cell r="T281">
            <v>0.6875</v>
          </cell>
          <cell r="U281">
            <v>2.5</v>
          </cell>
          <cell r="V281">
            <v>2.5</v>
          </cell>
          <cell r="W281">
            <v>2.5</v>
          </cell>
          <cell r="X281" t="str">
            <v>–</v>
          </cell>
          <cell r="Y281" t="str">
            <v>–</v>
          </cell>
          <cell r="Z281">
            <v>3</v>
          </cell>
          <cell r="AA281">
            <v>3.375</v>
          </cell>
          <cell r="AB281" t="str">
            <v>–</v>
          </cell>
          <cell r="AC281" t="str">
            <v>–</v>
          </cell>
          <cell r="AD281">
            <v>2.8</v>
          </cell>
          <cell r="AE281" t="str">
            <v>–</v>
          </cell>
          <cell r="AF281" t="str">
            <v>–</v>
          </cell>
          <cell r="AG281">
            <v>1.75</v>
          </cell>
          <cell r="AH281">
            <v>2.38</v>
          </cell>
          <cell r="AI281" t="str">
            <v>–</v>
          </cell>
          <cell r="AJ281" t="str">
            <v>–</v>
          </cell>
          <cell r="AK281" t="str">
            <v>–</v>
          </cell>
          <cell r="AL281" t="str">
            <v>–</v>
          </cell>
          <cell r="AM281">
            <v>7.79</v>
          </cell>
          <cell r="AN281">
            <v>337</v>
          </cell>
        </row>
        <row r="282">
          <cell r="C282" t="str">
            <v>WT9X129</v>
          </cell>
          <cell r="D282" t="str">
            <v>F</v>
          </cell>
          <cell r="E282">
            <v>129</v>
          </cell>
          <cell r="F282">
            <v>38</v>
          </cell>
          <cell r="G282" t="str">
            <v>WT9X129</v>
          </cell>
          <cell r="H282">
            <v>10.7</v>
          </cell>
          <cell r="I282">
            <v>10.75</v>
          </cell>
          <cell r="J282" t="str">
            <v>–</v>
          </cell>
          <cell r="K282" t="str">
            <v>–</v>
          </cell>
          <cell r="L282" t="str">
            <v>–</v>
          </cell>
          <cell r="M282">
            <v>11.8</v>
          </cell>
          <cell r="N282">
            <v>11.75</v>
          </cell>
          <cell r="O282" t="str">
            <v>–</v>
          </cell>
          <cell r="P282" t="str">
            <v>–</v>
          </cell>
          <cell r="Q282" t="str">
            <v>–</v>
          </cell>
          <cell r="R282">
            <v>1.28</v>
          </cell>
          <cell r="S282">
            <v>1.25</v>
          </cell>
          <cell r="T282">
            <v>0.625</v>
          </cell>
          <cell r="U282">
            <v>2.2999999999999998</v>
          </cell>
          <cell r="V282">
            <v>2.3125</v>
          </cell>
          <cell r="W282">
            <v>2.2999999999999998</v>
          </cell>
          <cell r="X282" t="str">
            <v>–</v>
          </cell>
          <cell r="Y282" t="str">
            <v>–</v>
          </cell>
          <cell r="Z282">
            <v>2.7</v>
          </cell>
          <cell r="AA282">
            <v>3.1875</v>
          </cell>
          <cell r="AB282" t="str">
            <v>–</v>
          </cell>
          <cell r="AC282" t="str">
            <v>–</v>
          </cell>
          <cell r="AD282">
            <v>2.68</v>
          </cell>
          <cell r="AE282" t="str">
            <v>–</v>
          </cell>
          <cell r="AF282" t="str">
            <v>–</v>
          </cell>
          <cell r="AG282">
            <v>1.61</v>
          </cell>
          <cell r="AH282">
            <v>2.56</v>
          </cell>
          <cell r="AI282" t="str">
            <v>–</v>
          </cell>
          <cell r="AJ282" t="str">
            <v>–</v>
          </cell>
          <cell r="AK282" t="str">
            <v>–</v>
          </cell>
          <cell r="AL282" t="str">
            <v>–</v>
          </cell>
          <cell r="AM282">
            <v>8.36</v>
          </cell>
          <cell r="AN282">
            <v>298</v>
          </cell>
        </row>
        <row r="283">
          <cell r="C283" t="str">
            <v>WT9X117</v>
          </cell>
          <cell r="D283" t="str">
            <v>F</v>
          </cell>
          <cell r="E283">
            <v>117</v>
          </cell>
          <cell r="F283">
            <v>34.299999999999997</v>
          </cell>
          <cell r="G283" t="str">
            <v>WT9X117</v>
          </cell>
          <cell r="H283">
            <v>10.5</v>
          </cell>
          <cell r="I283">
            <v>10.5</v>
          </cell>
          <cell r="J283" t="str">
            <v>–</v>
          </cell>
          <cell r="K283" t="str">
            <v>–</v>
          </cell>
          <cell r="L283" t="str">
            <v>–</v>
          </cell>
          <cell r="M283">
            <v>11.7</v>
          </cell>
          <cell r="N283">
            <v>11.625</v>
          </cell>
          <cell r="O283" t="str">
            <v>–</v>
          </cell>
          <cell r="P283" t="str">
            <v>–</v>
          </cell>
          <cell r="Q283" t="str">
            <v>–</v>
          </cell>
          <cell r="R283">
            <v>1.1599999999999999</v>
          </cell>
          <cell r="S283">
            <v>1.1875</v>
          </cell>
          <cell r="T283">
            <v>0.625</v>
          </cell>
          <cell r="U283">
            <v>2.11</v>
          </cell>
          <cell r="V283">
            <v>2.125</v>
          </cell>
          <cell r="W283">
            <v>2.11</v>
          </cell>
          <cell r="X283" t="str">
            <v>–</v>
          </cell>
          <cell r="Y283" t="str">
            <v>–</v>
          </cell>
          <cell r="Z283">
            <v>2.5099999999999998</v>
          </cell>
          <cell r="AA283">
            <v>3</v>
          </cell>
          <cell r="AB283" t="str">
            <v>–</v>
          </cell>
          <cell r="AC283" t="str">
            <v>–</v>
          </cell>
          <cell r="AD283">
            <v>2.5499999999999998</v>
          </cell>
          <cell r="AE283" t="str">
            <v>–</v>
          </cell>
          <cell r="AF283" t="str">
            <v>–</v>
          </cell>
          <cell r="AG283">
            <v>1.48</v>
          </cell>
          <cell r="AH283">
            <v>2.76</v>
          </cell>
          <cell r="AI283" t="str">
            <v>–</v>
          </cell>
          <cell r="AJ283" t="str">
            <v>–</v>
          </cell>
          <cell r="AK283" t="str">
            <v>–</v>
          </cell>
          <cell r="AL283" t="str">
            <v>–</v>
          </cell>
          <cell r="AM283">
            <v>9.0500000000000007</v>
          </cell>
          <cell r="AN283">
            <v>261</v>
          </cell>
        </row>
        <row r="284">
          <cell r="C284" t="str">
            <v>WT9X105.5</v>
          </cell>
          <cell r="D284" t="str">
            <v>F</v>
          </cell>
          <cell r="E284">
            <v>105.5</v>
          </cell>
          <cell r="F284">
            <v>31.2</v>
          </cell>
          <cell r="G284" t="str">
            <v>WT9X105.5</v>
          </cell>
          <cell r="H284">
            <v>10.3</v>
          </cell>
          <cell r="I284">
            <v>10.375</v>
          </cell>
          <cell r="J284" t="str">
            <v>–</v>
          </cell>
          <cell r="K284" t="str">
            <v>–</v>
          </cell>
          <cell r="L284" t="str">
            <v>–</v>
          </cell>
          <cell r="M284">
            <v>11.6</v>
          </cell>
          <cell r="N284">
            <v>11.5</v>
          </cell>
          <cell r="O284" t="str">
            <v>–</v>
          </cell>
          <cell r="P284" t="str">
            <v>–</v>
          </cell>
          <cell r="Q284" t="str">
            <v>–</v>
          </cell>
          <cell r="R284">
            <v>1.06</v>
          </cell>
          <cell r="S284">
            <v>1.0625</v>
          </cell>
          <cell r="T284">
            <v>0.5625</v>
          </cell>
          <cell r="U284">
            <v>1.91</v>
          </cell>
          <cell r="V284">
            <v>1.9375</v>
          </cell>
          <cell r="W284">
            <v>1.91</v>
          </cell>
          <cell r="X284" t="str">
            <v>–</v>
          </cell>
          <cell r="Y284" t="str">
            <v>–</v>
          </cell>
          <cell r="Z284">
            <v>2.31</v>
          </cell>
          <cell r="AA284">
            <v>2.8125</v>
          </cell>
          <cell r="AB284" t="str">
            <v>–</v>
          </cell>
          <cell r="AC284" t="str">
            <v>–</v>
          </cell>
          <cell r="AD284">
            <v>2.44</v>
          </cell>
          <cell r="AE284" t="str">
            <v>–</v>
          </cell>
          <cell r="AF284" t="str">
            <v>–</v>
          </cell>
          <cell r="AG284">
            <v>1.34</v>
          </cell>
          <cell r="AH284">
            <v>3.02</v>
          </cell>
          <cell r="AI284" t="str">
            <v>–</v>
          </cell>
          <cell r="AJ284" t="str">
            <v>–</v>
          </cell>
          <cell r="AK284" t="str">
            <v>–</v>
          </cell>
          <cell r="AL284" t="str">
            <v>–</v>
          </cell>
          <cell r="AM284">
            <v>9.7200000000000006</v>
          </cell>
          <cell r="AN284">
            <v>229</v>
          </cell>
        </row>
        <row r="285">
          <cell r="C285" t="str">
            <v>WT9X96</v>
          </cell>
          <cell r="D285" t="str">
            <v>F</v>
          </cell>
          <cell r="E285">
            <v>96</v>
          </cell>
          <cell r="F285">
            <v>28.1</v>
          </cell>
          <cell r="G285" t="str">
            <v>WT9X96</v>
          </cell>
          <cell r="H285">
            <v>10.199999999999999</v>
          </cell>
          <cell r="I285">
            <v>10.125</v>
          </cell>
          <cell r="J285" t="str">
            <v>–</v>
          </cell>
          <cell r="K285" t="str">
            <v>–</v>
          </cell>
          <cell r="L285" t="str">
            <v>–</v>
          </cell>
          <cell r="M285">
            <v>11.5</v>
          </cell>
          <cell r="N285">
            <v>11.5</v>
          </cell>
          <cell r="O285" t="str">
            <v>–</v>
          </cell>
          <cell r="P285" t="str">
            <v>–</v>
          </cell>
          <cell r="Q285" t="str">
            <v>–</v>
          </cell>
          <cell r="R285">
            <v>0.96</v>
          </cell>
          <cell r="S285">
            <v>0.9375</v>
          </cell>
          <cell r="T285">
            <v>0.5</v>
          </cell>
          <cell r="U285">
            <v>1.75</v>
          </cell>
          <cell r="V285">
            <v>1.75</v>
          </cell>
          <cell r="W285">
            <v>1.75</v>
          </cell>
          <cell r="X285" t="str">
            <v>–</v>
          </cell>
          <cell r="Y285" t="str">
            <v>–</v>
          </cell>
          <cell r="Z285">
            <v>2.15</v>
          </cell>
          <cell r="AA285">
            <v>2.625</v>
          </cell>
          <cell r="AB285" t="str">
            <v>–</v>
          </cell>
          <cell r="AC285" t="str">
            <v>–</v>
          </cell>
          <cell r="AD285">
            <v>2.34</v>
          </cell>
          <cell r="AE285" t="str">
            <v>–</v>
          </cell>
          <cell r="AF285" t="str">
            <v>–</v>
          </cell>
          <cell r="AG285">
            <v>1.23</v>
          </cell>
          <cell r="AH285">
            <v>3.27</v>
          </cell>
          <cell r="AI285" t="str">
            <v>–</v>
          </cell>
          <cell r="AJ285" t="str">
            <v>–</v>
          </cell>
          <cell r="AK285" t="str">
            <v>–</v>
          </cell>
          <cell r="AL285" t="str">
            <v>–</v>
          </cell>
          <cell r="AM285">
            <v>10.6</v>
          </cell>
          <cell r="AN285">
            <v>202</v>
          </cell>
        </row>
        <row r="286">
          <cell r="C286" t="str">
            <v>WT9X87.5</v>
          </cell>
          <cell r="D286" t="str">
            <v>F</v>
          </cell>
          <cell r="E286">
            <v>87.5</v>
          </cell>
          <cell r="F286">
            <v>25.7</v>
          </cell>
          <cell r="G286" t="str">
            <v>WT9X87.5</v>
          </cell>
          <cell r="H286">
            <v>10</v>
          </cell>
          <cell r="I286">
            <v>10</v>
          </cell>
          <cell r="J286" t="str">
            <v>–</v>
          </cell>
          <cell r="K286" t="str">
            <v>–</v>
          </cell>
          <cell r="L286" t="str">
            <v>–</v>
          </cell>
          <cell r="M286">
            <v>11.4</v>
          </cell>
          <cell r="N286">
            <v>11.375</v>
          </cell>
          <cell r="O286" t="str">
            <v>–</v>
          </cell>
          <cell r="P286" t="str">
            <v>–</v>
          </cell>
          <cell r="Q286" t="str">
            <v>–</v>
          </cell>
          <cell r="R286">
            <v>0.89</v>
          </cell>
          <cell r="S286">
            <v>0.875</v>
          </cell>
          <cell r="T286">
            <v>0.4375</v>
          </cell>
          <cell r="U286">
            <v>1.59</v>
          </cell>
          <cell r="V286">
            <v>1.5625</v>
          </cell>
          <cell r="W286">
            <v>1.59</v>
          </cell>
          <cell r="X286" t="str">
            <v>–</v>
          </cell>
          <cell r="Y286" t="str">
            <v>–</v>
          </cell>
          <cell r="Z286">
            <v>1.99</v>
          </cell>
          <cell r="AA286">
            <v>2.4375</v>
          </cell>
          <cell r="AB286" t="str">
            <v>–</v>
          </cell>
          <cell r="AC286" t="str">
            <v>–</v>
          </cell>
          <cell r="AD286">
            <v>2.2599999999999998</v>
          </cell>
          <cell r="AE286" t="str">
            <v>–</v>
          </cell>
          <cell r="AF286" t="str">
            <v>–</v>
          </cell>
          <cell r="AG286">
            <v>1.1299999999999999</v>
          </cell>
          <cell r="AH286">
            <v>3.58</v>
          </cell>
          <cell r="AI286" t="str">
            <v>–</v>
          </cell>
          <cell r="AJ286" t="str">
            <v>–</v>
          </cell>
          <cell r="AK286" t="str">
            <v>–</v>
          </cell>
          <cell r="AL286" t="str">
            <v>–</v>
          </cell>
          <cell r="AM286">
            <v>11.2</v>
          </cell>
          <cell r="AN286">
            <v>181</v>
          </cell>
        </row>
        <row r="287">
          <cell r="C287" t="str">
            <v>WT9X79</v>
          </cell>
          <cell r="D287" t="str">
            <v>F</v>
          </cell>
          <cell r="E287">
            <v>79</v>
          </cell>
          <cell r="F287">
            <v>23.2</v>
          </cell>
          <cell r="G287" t="str">
            <v>WT9X79</v>
          </cell>
          <cell r="H287">
            <v>9.86</v>
          </cell>
          <cell r="I287">
            <v>9.875</v>
          </cell>
          <cell r="J287" t="str">
            <v>–</v>
          </cell>
          <cell r="K287" t="str">
            <v>–</v>
          </cell>
          <cell r="L287" t="str">
            <v>–</v>
          </cell>
          <cell r="M287">
            <v>11.3</v>
          </cell>
          <cell r="N287">
            <v>11.25</v>
          </cell>
          <cell r="O287" t="str">
            <v>–</v>
          </cell>
          <cell r="P287" t="str">
            <v>–</v>
          </cell>
          <cell r="Q287" t="str">
            <v>–</v>
          </cell>
          <cell r="R287">
            <v>0.81</v>
          </cell>
          <cell r="S287">
            <v>0.8125</v>
          </cell>
          <cell r="T287">
            <v>0.4375</v>
          </cell>
          <cell r="U287">
            <v>1.44</v>
          </cell>
          <cell r="V287">
            <v>1.4375</v>
          </cell>
          <cell r="W287">
            <v>1.44</v>
          </cell>
          <cell r="X287" t="str">
            <v>–</v>
          </cell>
          <cell r="Y287" t="str">
            <v>–</v>
          </cell>
          <cell r="Z287">
            <v>1.84</v>
          </cell>
          <cell r="AA287">
            <v>2.375</v>
          </cell>
          <cell r="AB287" t="str">
            <v>–</v>
          </cell>
          <cell r="AC287" t="str">
            <v>–</v>
          </cell>
          <cell r="AD287">
            <v>2.17</v>
          </cell>
          <cell r="AE287" t="str">
            <v>–</v>
          </cell>
          <cell r="AF287" t="str">
            <v>–</v>
          </cell>
          <cell r="AG287">
            <v>1.02</v>
          </cell>
          <cell r="AH287">
            <v>3.92</v>
          </cell>
          <cell r="AI287" t="str">
            <v>–</v>
          </cell>
          <cell r="AJ287" t="str">
            <v>–</v>
          </cell>
          <cell r="AK287" t="str">
            <v>–</v>
          </cell>
          <cell r="AL287" t="str">
            <v>–</v>
          </cell>
          <cell r="AM287">
            <v>12.2</v>
          </cell>
          <cell r="AN287">
            <v>160</v>
          </cell>
        </row>
        <row r="288">
          <cell r="C288" t="str">
            <v>WT9X71.5</v>
          </cell>
          <cell r="D288" t="str">
            <v>F</v>
          </cell>
          <cell r="E288">
            <v>71.5</v>
          </cell>
          <cell r="F288">
            <v>21</v>
          </cell>
          <cell r="G288" t="str">
            <v>WT9X71.5</v>
          </cell>
          <cell r="H288">
            <v>9.75</v>
          </cell>
          <cell r="I288">
            <v>9.75</v>
          </cell>
          <cell r="J288" t="str">
            <v>–</v>
          </cell>
          <cell r="K288" t="str">
            <v>–</v>
          </cell>
          <cell r="L288" t="str">
            <v>–</v>
          </cell>
          <cell r="M288">
            <v>11.2</v>
          </cell>
          <cell r="N288">
            <v>11.25</v>
          </cell>
          <cell r="O288" t="str">
            <v>–</v>
          </cell>
          <cell r="P288" t="str">
            <v>–</v>
          </cell>
          <cell r="Q288" t="str">
            <v>–</v>
          </cell>
          <cell r="R288">
            <v>0.73</v>
          </cell>
          <cell r="S288">
            <v>0.75</v>
          </cell>
          <cell r="T288">
            <v>0.375</v>
          </cell>
          <cell r="U288">
            <v>1.32</v>
          </cell>
          <cell r="V288">
            <v>1.3125</v>
          </cell>
          <cell r="W288">
            <v>1.32</v>
          </cell>
          <cell r="X288" t="str">
            <v>–</v>
          </cell>
          <cell r="Y288" t="str">
            <v>–</v>
          </cell>
          <cell r="Z288">
            <v>1.72</v>
          </cell>
          <cell r="AA288">
            <v>2.1875</v>
          </cell>
          <cell r="AB288" t="str">
            <v>–</v>
          </cell>
          <cell r="AC288" t="str">
            <v>–</v>
          </cell>
          <cell r="AD288">
            <v>2.09</v>
          </cell>
          <cell r="AE288" t="str">
            <v>–</v>
          </cell>
          <cell r="AF288" t="str">
            <v>–</v>
          </cell>
          <cell r="AG288">
            <v>0.93700000000000006</v>
          </cell>
          <cell r="AH288">
            <v>4.25</v>
          </cell>
          <cell r="AI288" t="str">
            <v>–</v>
          </cell>
          <cell r="AJ288" t="str">
            <v>–</v>
          </cell>
          <cell r="AK288" t="str">
            <v>–</v>
          </cell>
          <cell r="AL288" t="str">
            <v>–</v>
          </cell>
          <cell r="AM288">
            <v>13.4</v>
          </cell>
          <cell r="AN288">
            <v>142</v>
          </cell>
        </row>
        <row r="289">
          <cell r="C289" t="str">
            <v>WT9X65</v>
          </cell>
          <cell r="D289" t="str">
            <v>F</v>
          </cell>
          <cell r="E289">
            <v>65</v>
          </cell>
          <cell r="F289">
            <v>19.2</v>
          </cell>
          <cell r="G289" t="str">
            <v>WT9X65</v>
          </cell>
          <cell r="H289">
            <v>9.6300000000000008</v>
          </cell>
          <cell r="I289">
            <v>9.625</v>
          </cell>
          <cell r="J289" t="str">
            <v>–</v>
          </cell>
          <cell r="K289" t="str">
            <v>–</v>
          </cell>
          <cell r="L289" t="str">
            <v>–</v>
          </cell>
          <cell r="M289">
            <v>11.2</v>
          </cell>
          <cell r="N289">
            <v>11.125</v>
          </cell>
          <cell r="O289" t="str">
            <v>–</v>
          </cell>
          <cell r="P289" t="str">
            <v>–</v>
          </cell>
          <cell r="Q289" t="str">
            <v>–</v>
          </cell>
          <cell r="R289">
            <v>0.67</v>
          </cell>
          <cell r="S289">
            <v>0.6875</v>
          </cell>
          <cell r="T289">
            <v>0.375</v>
          </cell>
          <cell r="U289">
            <v>1.2</v>
          </cell>
          <cell r="V289">
            <v>1.1875</v>
          </cell>
          <cell r="W289">
            <v>1.2</v>
          </cell>
          <cell r="X289" t="str">
            <v>–</v>
          </cell>
          <cell r="Y289" t="str">
            <v>–</v>
          </cell>
          <cell r="Z289">
            <v>1.6</v>
          </cell>
          <cell r="AA289">
            <v>2.0625</v>
          </cell>
          <cell r="AB289" t="str">
            <v>–</v>
          </cell>
          <cell r="AC289" t="str">
            <v>–</v>
          </cell>
          <cell r="AD289">
            <v>2.02</v>
          </cell>
          <cell r="AE289" t="str">
            <v>–</v>
          </cell>
          <cell r="AF289" t="str">
            <v>–</v>
          </cell>
          <cell r="AG289">
            <v>0.85599999999999998</v>
          </cell>
          <cell r="AH289">
            <v>4.6500000000000004</v>
          </cell>
          <cell r="AI289" t="str">
            <v>–</v>
          </cell>
          <cell r="AJ289" t="str">
            <v>–</v>
          </cell>
          <cell r="AK289" t="str">
            <v>–</v>
          </cell>
          <cell r="AL289" t="str">
            <v>–</v>
          </cell>
          <cell r="AM289">
            <v>14.4</v>
          </cell>
          <cell r="AN289">
            <v>127</v>
          </cell>
        </row>
        <row r="290">
          <cell r="C290" t="str">
            <v>WT9X59.5</v>
          </cell>
          <cell r="D290" t="str">
            <v>F</v>
          </cell>
          <cell r="E290">
            <v>59.5</v>
          </cell>
          <cell r="F290">
            <v>17.600000000000001</v>
          </cell>
          <cell r="G290" t="str">
            <v>WT9X59.5</v>
          </cell>
          <cell r="H290">
            <v>9.49</v>
          </cell>
          <cell r="I290">
            <v>9.5</v>
          </cell>
          <cell r="J290" t="str">
            <v>–</v>
          </cell>
          <cell r="K290" t="str">
            <v>–</v>
          </cell>
          <cell r="L290" t="str">
            <v>–</v>
          </cell>
          <cell r="M290">
            <v>11.3</v>
          </cell>
          <cell r="N290">
            <v>11.25</v>
          </cell>
          <cell r="O290" t="str">
            <v>–</v>
          </cell>
          <cell r="P290" t="str">
            <v>–</v>
          </cell>
          <cell r="Q290" t="str">
            <v>–</v>
          </cell>
          <cell r="R290">
            <v>0.65500000000000003</v>
          </cell>
          <cell r="S290">
            <v>0.625</v>
          </cell>
          <cell r="T290">
            <v>0.3125</v>
          </cell>
          <cell r="U290">
            <v>1.06</v>
          </cell>
          <cell r="V290">
            <v>1.0625</v>
          </cell>
          <cell r="W290">
            <v>1.06</v>
          </cell>
          <cell r="X290" t="str">
            <v>–</v>
          </cell>
          <cell r="Y290" t="str">
            <v>–</v>
          </cell>
          <cell r="Z290">
            <v>1.46</v>
          </cell>
          <cell r="AA290">
            <v>1.9375</v>
          </cell>
          <cell r="AB290" t="str">
            <v>–</v>
          </cell>
          <cell r="AC290" t="str">
            <v>–</v>
          </cell>
          <cell r="AD290">
            <v>2.0299999999999998</v>
          </cell>
          <cell r="AE290" t="str">
            <v>–</v>
          </cell>
          <cell r="AF290" t="str">
            <v>–</v>
          </cell>
          <cell r="AG290">
            <v>0.77800000000000002</v>
          </cell>
          <cell r="AH290">
            <v>5.31</v>
          </cell>
          <cell r="AI290" t="str">
            <v>–</v>
          </cell>
          <cell r="AJ290" t="str">
            <v>–</v>
          </cell>
          <cell r="AK290" t="str">
            <v>–</v>
          </cell>
          <cell r="AL290" t="str">
            <v>–</v>
          </cell>
          <cell r="AM290">
            <v>14.5</v>
          </cell>
          <cell r="AN290">
            <v>119</v>
          </cell>
        </row>
        <row r="291">
          <cell r="C291" t="str">
            <v>WT9X53</v>
          </cell>
          <cell r="D291" t="str">
            <v>F</v>
          </cell>
          <cell r="E291">
            <v>53</v>
          </cell>
          <cell r="F291">
            <v>15.6</v>
          </cell>
          <cell r="G291" t="str">
            <v>WT9X53</v>
          </cell>
          <cell r="H291">
            <v>9.3699999999999992</v>
          </cell>
          <cell r="I291">
            <v>9.375</v>
          </cell>
          <cell r="J291" t="str">
            <v>–</v>
          </cell>
          <cell r="K291" t="str">
            <v>–</v>
          </cell>
          <cell r="L291" t="str">
            <v>–</v>
          </cell>
          <cell r="M291">
            <v>11.2</v>
          </cell>
          <cell r="N291">
            <v>11.25</v>
          </cell>
          <cell r="O291" t="str">
            <v>–</v>
          </cell>
          <cell r="P291" t="str">
            <v>–</v>
          </cell>
          <cell r="Q291" t="str">
            <v>–</v>
          </cell>
          <cell r="R291">
            <v>0.59</v>
          </cell>
          <cell r="S291">
            <v>0.5625</v>
          </cell>
          <cell r="T291">
            <v>0.3125</v>
          </cell>
          <cell r="U291">
            <v>0.94</v>
          </cell>
          <cell r="V291">
            <v>0.9375</v>
          </cell>
          <cell r="W291">
            <v>0.94</v>
          </cell>
          <cell r="X291" t="str">
            <v>–</v>
          </cell>
          <cell r="Y291" t="str">
            <v>–</v>
          </cell>
          <cell r="Z291">
            <v>1.34</v>
          </cell>
          <cell r="AA291">
            <v>1.8125</v>
          </cell>
          <cell r="AB291" t="str">
            <v>–</v>
          </cell>
          <cell r="AC291" t="str">
            <v>–</v>
          </cell>
          <cell r="AD291">
            <v>1.97</v>
          </cell>
          <cell r="AE291" t="str">
            <v>–</v>
          </cell>
          <cell r="AF291" t="str">
            <v>–</v>
          </cell>
          <cell r="AG291">
            <v>0.69499999999999995</v>
          </cell>
          <cell r="AH291">
            <v>5.96</v>
          </cell>
          <cell r="AI291" t="str">
            <v>–</v>
          </cell>
          <cell r="AJ291" t="str">
            <v>–</v>
          </cell>
          <cell r="AK291" t="str">
            <v>–</v>
          </cell>
          <cell r="AL291" t="str">
            <v>–</v>
          </cell>
          <cell r="AM291">
            <v>15.9</v>
          </cell>
          <cell r="AN291">
            <v>104</v>
          </cell>
        </row>
        <row r="292">
          <cell r="C292" t="str">
            <v>WT9X48.5</v>
          </cell>
          <cell r="D292" t="str">
            <v>F</v>
          </cell>
          <cell r="E292">
            <v>48.5</v>
          </cell>
          <cell r="F292">
            <v>14.2</v>
          </cell>
          <cell r="G292" t="str">
            <v>WT9X48.5</v>
          </cell>
          <cell r="H292">
            <v>9.3000000000000007</v>
          </cell>
          <cell r="I292">
            <v>9.25</v>
          </cell>
          <cell r="J292" t="str">
            <v>–</v>
          </cell>
          <cell r="K292" t="str">
            <v>–</v>
          </cell>
          <cell r="L292" t="str">
            <v>–</v>
          </cell>
          <cell r="M292">
            <v>11.1</v>
          </cell>
          <cell r="N292">
            <v>11.125</v>
          </cell>
          <cell r="O292" t="str">
            <v>–</v>
          </cell>
          <cell r="P292" t="str">
            <v>–</v>
          </cell>
          <cell r="Q292" t="str">
            <v>–</v>
          </cell>
          <cell r="R292">
            <v>0.53500000000000003</v>
          </cell>
          <cell r="S292">
            <v>0.5625</v>
          </cell>
          <cell r="T292">
            <v>0.3125</v>
          </cell>
          <cell r="U292">
            <v>0.87</v>
          </cell>
          <cell r="V292">
            <v>0.875</v>
          </cell>
          <cell r="W292">
            <v>0.87</v>
          </cell>
          <cell r="X292" t="str">
            <v>–</v>
          </cell>
          <cell r="Y292" t="str">
            <v>–</v>
          </cell>
          <cell r="Z292">
            <v>1.27</v>
          </cell>
          <cell r="AA292">
            <v>1.75</v>
          </cell>
          <cell r="AB292" t="str">
            <v>–</v>
          </cell>
          <cell r="AC292" t="str">
            <v>–</v>
          </cell>
          <cell r="AD292">
            <v>1.91</v>
          </cell>
          <cell r="AE292" t="str">
            <v>–</v>
          </cell>
          <cell r="AF292" t="str">
            <v>–</v>
          </cell>
          <cell r="AG292">
            <v>0.64</v>
          </cell>
          <cell r="AH292">
            <v>6.41</v>
          </cell>
          <cell r="AI292" t="str">
            <v>–</v>
          </cell>
          <cell r="AJ292" t="str">
            <v>–</v>
          </cell>
          <cell r="AK292" t="str">
            <v>–</v>
          </cell>
          <cell r="AL292" t="str">
            <v>–</v>
          </cell>
          <cell r="AM292">
            <v>17.399999999999999</v>
          </cell>
          <cell r="AN292">
            <v>93.8</v>
          </cell>
        </row>
        <row r="293">
          <cell r="C293" t="str">
            <v>WT9X43</v>
          </cell>
          <cell r="D293" t="str">
            <v>F</v>
          </cell>
          <cell r="E293">
            <v>43</v>
          </cell>
          <cell r="F293">
            <v>12.7</v>
          </cell>
          <cell r="G293" t="str">
            <v>WT9X43</v>
          </cell>
          <cell r="H293">
            <v>9.1999999999999993</v>
          </cell>
          <cell r="I293">
            <v>9.25</v>
          </cell>
          <cell r="J293" t="str">
            <v>–</v>
          </cell>
          <cell r="K293" t="str">
            <v>–</v>
          </cell>
          <cell r="L293" t="str">
            <v>–</v>
          </cell>
          <cell r="M293">
            <v>11.1</v>
          </cell>
          <cell r="N293">
            <v>11.125</v>
          </cell>
          <cell r="O293" t="str">
            <v>–</v>
          </cell>
          <cell r="P293" t="str">
            <v>–</v>
          </cell>
          <cell r="Q293" t="str">
            <v>–</v>
          </cell>
          <cell r="R293">
            <v>0.48</v>
          </cell>
          <cell r="S293">
            <v>0.5</v>
          </cell>
          <cell r="T293">
            <v>0.25</v>
          </cell>
          <cell r="U293">
            <v>0.77</v>
          </cell>
          <cell r="V293">
            <v>0.75</v>
          </cell>
          <cell r="W293">
            <v>0.77</v>
          </cell>
          <cell r="X293" t="str">
            <v>–</v>
          </cell>
          <cell r="Y293" t="str">
            <v>–</v>
          </cell>
          <cell r="Z293">
            <v>1.17</v>
          </cell>
          <cell r="AA293">
            <v>1.625</v>
          </cell>
          <cell r="AB293" t="str">
            <v>–</v>
          </cell>
          <cell r="AC293" t="str">
            <v>–</v>
          </cell>
          <cell r="AD293">
            <v>1.86</v>
          </cell>
          <cell r="AE293" t="str">
            <v>–</v>
          </cell>
          <cell r="AF293" t="str">
            <v>–</v>
          </cell>
          <cell r="AG293">
            <v>0.56999999999999995</v>
          </cell>
          <cell r="AH293">
            <v>7.2</v>
          </cell>
          <cell r="AI293" t="str">
            <v>–</v>
          </cell>
          <cell r="AJ293" t="str">
            <v>–</v>
          </cell>
          <cell r="AK293" t="str">
            <v>–</v>
          </cell>
          <cell r="AL293" t="str">
            <v>–</v>
          </cell>
          <cell r="AM293">
            <v>19.2</v>
          </cell>
          <cell r="AN293">
            <v>82.4</v>
          </cell>
        </row>
        <row r="294">
          <cell r="C294" t="str">
            <v>WT9X38</v>
          </cell>
          <cell r="D294" t="str">
            <v>F</v>
          </cell>
          <cell r="E294">
            <v>38</v>
          </cell>
          <cell r="F294">
            <v>11.1</v>
          </cell>
          <cell r="G294" t="str">
            <v>WT9X38</v>
          </cell>
          <cell r="H294">
            <v>9.11</v>
          </cell>
          <cell r="I294">
            <v>9.125</v>
          </cell>
          <cell r="J294" t="str">
            <v>–</v>
          </cell>
          <cell r="K294" t="str">
            <v>–</v>
          </cell>
          <cell r="L294" t="str">
            <v>–</v>
          </cell>
          <cell r="M294">
            <v>11</v>
          </cell>
          <cell r="N294">
            <v>11</v>
          </cell>
          <cell r="O294" t="str">
            <v>–</v>
          </cell>
          <cell r="P294" t="str">
            <v>–</v>
          </cell>
          <cell r="Q294" t="str">
            <v>–</v>
          </cell>
          <cell r="R294">
            <v>0.42499999999999999</v>
          </cell>
          <cell r="S294">
            <v>0.4375</v>
          </cell>
          <cell r="T294">
            <v>0.25</v>
          </cell>
          <cell r="U294">
            <v>0.68</v>
          </cell>
          <cell r="V294">
            <v>0.6875</v>
          </cell>
          <cell r="W294">
            <v>0.68</v>
          </cell>
          <cell r="X294" t="str">
            <v>–</v>
          </cell>
          <cell r="Y294" t="str">
            <v>–</v>
          </cell>
          <cell r="Z294">
            <v>1.08</v>
          </cell>
          <cell r="AA294">
            <v>1.5625</v>
          </cell>
          <cell r="AB294" t="str">
            <v>–</v>
          </cell>
          <cell r="AC294" t="str">
            <v>–</v>
          </cell>
          <cell r="AD294">
            <v>1.8</v>
          </cell>
          <cell r="AE294" t="str">
            <v>–</v>
          </cell>
          <cell r="AF294" t="str">
            <v>–</v>
          </cell>
          <cell r="AG294">
            <v>0.505</v>
          </cell>
          <cell r="AH294">
            <v>8.11</v>
          </cell>
          <cell r="AI294" t="str">
            <v>–</v>
          </cell>
          <cell r="AJ294" t="str">
            <v>–</v>
          </cell>
          <cell r="AK294" t="str">
            <v>–</v>
          </cell>
          <cell r="AL294" t="str">
            <v>–</v>
          </cell>
          <cell r="AM294">
            <v>21.4</v>
          </cell>
          <cell r="AN294">
            <v>71.8</v>
          </cell>
        </row>
        <row r="295">
          <cell r="C295" t="str">
            <v>WT9X35.5</v>
          </cell>
          <cell r="D295" t="str">
            <v>F</v>
          </cell>
          <cell r="E295">
            <v>35.5</v>
          </cell>
          <cell r="F295">
            <v>10.4</v>
          </cell>
          <cell r="G295" t="str">
            <v>WT9X35.5</v>
          </cell>
          <cell r="H295">
            <v>9.24</v>
          </cell>
          <cell r="I295">
            <v>9.25</v>
          </cell>
          <cell r="J295" t="str">
            <v>–</v>
          </cell>
          <cell r="K295" t="str">
            <v>–</v>
          </cell>
          <cell r="L295" t="str">
            <v>–</v>
          </cell>
          <cell r="M295">
            <v>7.64</v>
          </cell>
          <cell r="N295">
            <v>7.625</v>
          </cell>
          <cell r="O295" t="str">
            <v>–</v>
          </cell>
          <cell r="P295" t="str">
            <v>–</v>
          </cell>
          <cell r="Q295" t="str">
            <v>–</v>
          </cell>
          <cell r="R295">
            <v>0.495</v>
          </cell>
          <cell r="S295">
            <v>0.5</v>
          </cell>
          <cell r="T295">
            <v>0.25</v>
          </cell>
          <cell r="U295">
            <v>0.81</v>
          </cell>
          <cell r="V295">
            <v>0.8125</v>
          </cell>
          <cell r="W295">
            <v>0.81</v>
          </cell>
          <cell r="X295" t="str">
            <v>–</v>
          </cell>
          <cell r="Y295" t="str">
            <v>–</v>
          </cell>
          <cell r="Z295">
            <v>1.21</v>
          </cell>
          <cell r="AA295">
            <v>1.5</v>
          </cell>
          <cell r="AB295" t="str">
            <v>–</v>
          </cell>
          <cell r="AC295" t="str">
            <v>–</v>
          </cell>
          <cell r="AD295">
            <v>2.2599999999999998</v>
          </cell>
          <cell r="AE295" t="str">
            <v>–</v>
          </cell>
          <cell r="AF295" t="str">
            <v>–</v>
          </cell>
          <cell r="AG295">
            <v>0.68300000000000005</v>
          </cell>
          <cell r="AH295">
            <v>4.71</v>
          </cell>
          <cell r="AI295" t="str">
            <v>–</v>
          </cell>
          <cell r="AJ295" t="str">
            <v>–</v>
          </cell>
          <cell r="AK295" t="str">
            <v>–</v>
          </cell>
          <cell r="AL295" t="str">
            <v>–</v>
          </cell>
          <cell r="AM295">
            <v>18.7</v>
          </cell>
          <cell r="AN295">
            <v>78.2</v>
          </cell>
        </row>
        <row r="296">
          <cell r="C296" t="str">
            <v>WT9X32.5</v>
          </cell>
          <cell r="D296" t="str">
            <v>F</v>
          </cell>
          <cell r="E296">
            <v>32.5</v>
          </cell>
          <cell r="F296">
            <v>9.5500000000000007</v>
          </cell>
          <cell r="G296" t="str">
            <v>WT9X32.5</v>
          </cell>
          <cell r="H296">
            <v>9.18</v>
          </cell>
          <cell r="I296">
            <v>9.125</v>
          </cell>
          <cell r="J296" t="str">
            <v>–</v>
          </cell>
          <cell r="K296" t="str">
            <v>–</v>
          </cell>
          <cell r="L296" t="str">
            <v>–</v>
          </cell>
          <cell r="M296">
            <v>7.59</v>
          </cell>
          <cell r="N296">
            <v>7.625</v>
          </cell>
          <cell r="O296" t="str">
            <v>–</v>
          </cell>
          <cell r="P296" t="str">
            <v>–</v>
          </cell>
          <cell r="Q296" t="str">
            <v>–</v>
          </cell>
          <cell r="R296">
            <v>0.45</v>
          </cell>
          <cell r="S296">
            <v>0.4375</v>
          </cell>
          <cell r="T296">
            <v>0.25</v>
          </cell>
          <cell r="U296">
            <v>0.75</v>
          </cell>
          <cell r="V296">
            <v>0.75</v>
          </cell>
          <cell r="W296">
            <v>0.75</v>
          </cell>
          <cell r="X296" t="str">
            <v>–</v>
          </cell>
          <cell r="Y296" t="str">
            <v>–</v>
          </cell>
          <cell r="Z296">
            <v>1.1499999999999999</v>
          </cell>
          <cell r="AA296">
            <v>1.4375</v>
          </cell>
          <cell r="AB296" t="str">
            <v>–</v>
          </cell>
          <cell r="AC296" t="str">
            <v>–</v>
          </cell>
          <cell r="AD296">
            <v>2.2000000000000002</v>
          </cell>
          <cell r="AE296" t="str">
            <v>–</v>
          </cell>
          <cell r="AF296" t="str">
            <v>–</v>
          </cell>
          <cell r="AG296">
            <v>0.629</v>
          </cell>
          <cell r="AH296">
            <v>5.0599999999999996</v>
          </cell>
          <cell r="AI296" t="str">
            <v>–</v>
          </cell>
          <cell r="AJ296" t="str">
            <v>–</v>
          </cell>
          <cell r="AK296" t="str">
            <v>–</v>
          </cell>
          <cell r="AL296" t="str">
            <v>–</v>
          </cell>
          <cell r="AM296">
            <v>20.399999999999999</v>
          </cell>
          <cell r="AN296">
            <v>70.7</v>
          </cell>
        </row>
        <row r="297">
          <cell r="C297" t="str">
            <v>WT9X30</v>
          </cell>
          <cell r="D297" t="str">
            <v>F</v>
          </cell>
          <cell r="E297">
            <v>30</v>
          </cell>
          <cell r="F297">
            <v>8.82</v>
          </cell>
          <cell r="G297" t="str">
            <v>WT9X30</v>
          </cell>
          <cell r="H297">
            <v>9.1199999999999992</v>
          </cell>
          <cell r="I297">
            <v>9.125</v>
          </cell>
          <cell r="J297" t="str">
            <v>–</v>
          </cell>
          <cell r="K297" t="str">
            <v>–</v>
          </cell>
          <cell r="L297" t="str">
            <v>–</v>
          </cell>
          <cell r="M297">
            <v>7.56</v>
          </cell>
          <cell r="N297">
            <v>7.5</v>
          </cell>
          <cell r="O297" t="str">
            <v>–</v>
          </cell>
          <cell r="P297" t="str">
            <v>–</v>
          </cell>
          <cell r="Q297" t="str">
            <v>–</v>
          </cell>
          <cell r="R297">
            <v>0.41499999999999998</v>
          </cell>
          <cell r="S297">
            <v>0.4375</v>
          </cell>
          <cell r="T297">
            <v>0.25</v>
          </cell>
          <cell r="U297">
            <v>0.69499999999999995</v>
          </cell>
          <cell r="V297">
            <v>0.6875</v>
          </cell>
          <cell r="W297">
            <v>0.69499999999999995</v>
          </cell>
          <cell r="X297" t="str">
            <v>–</v>
          </cell>
          <cell r="Y297" t="str">
            <v>–</v>
          </cell>
          <cell r="Z297">
            <v>1.1000000000000001</v>
          </cell>
          <cell r="AA297">
            <v>1.375</v>
          </cell>
          <cell r="AB297" t="str">
            <v>–</v>
          </cell>
          <cell r="AC297" t="str">
            <v>–</v>
          </cell>
          <cell r="AD297">
            <v>2.16</v>
          </cell>
          <cell r="AE297" t="str">
            <v>–</v>
          </cell>
          <cell r="AF297" t="str">
            <v>–</v>
          </cell>
          <cell r="AG297">
            <v>0.58299999999999996</v>
          </cell>
          <cell r="AH297">
            <v>5.44</v>
          </cell>
          <cell r="AI297" t="str">
            <v>–</v>
          </cell>
          <cell r="AJ297" t="str">
            <v>–</v>
          </cell>
          <cell r="AK297" t="str">
            <v>–</v>
          </cell>
          <cell r="AL297" t="str">
            <v>–</v>
          </cell>
          <cell r="AM297">
            <v>22</v>
          </cell>
          <cell r="AN297">
            <v>64.7</v>
          </cell>
        </row>
        <row r="298">
          <cell r="C298" t="str">
            <v>WT9X27.5</v>
          </cell>
          <cell r="D298" t="str">
            <v>F</v>
          </cell>
          <cell r="E298">
            <v>27.5</v>
          </cell>
          <cell r="F298">
            <v>8.1</v>
          </cell>
          <cell r="G298" t="str">
            <v>WT9X27.5</v>
          </cell>
          <cell r="H298">
            <v>9.06</v>
          </cell>
          <cell r="I298">
            <v>9</v>
          </cell>
          <cell r="J298" t="str">
            <v>–</v>
          </cell>
          <cell r="K298" t="str">
            <v>–</v>
          </cell>
          <cell r="L298" t="str">
            <v>–</v>
          </cell>
          <cell r="M298">
            <v>7.53</v>
          </cell>
          <cell r="N298">
            <v>7.5</v>
          </cell>
          <cell r="O298" t="str">
            <v>–</v>
          </cell>
          <cell r="P298" t="str">
            <v>–</v>
          </cell>
          <cell r="Q298" t="str">
            <v>–</v>
          </cell>
          <cell r="R298">
            <v>0.39</v>
          </cell>
          <cell r="S298">
            <v>0.375</v>
          </cell>
          <cell r="T298">
            <v>0.1875</v>
          </cell>
          <cell r="U298">
            <v>0.63</v>
          </cell>
          <cell r="V298">
            <v>0.625</v>
          </cell>
          <cell r="W298">
            <v>0.63</v>
          </cell>
          <cell r="X298" t="str">
            <v>–</v>
          </cell>
          <cell r="Y298" t="str">
            <v>–</v>
          </cell>
          <cell r="Z298">
            <v>1.03</v>
          </cell>
          <cell r="AA298">
            <v>1.3125</v>
          </cell>
          <cell r="AB298" t="str">
            <v>–</v>
          </cell>
          <cell r="AC298" t="str">
            <v>–</v>
          </cell>
          <cell r="AD298">
            <v>2.16</v>
          </cell>
          <cell r="AE298" t="str">
            <v>–</v>
          </cell>
          <cell r="AF298" t="str">
            <v>–</v>
          </cell>
          <cell r="AG298">
            <v>0.53800000000000003</v>
          </cell>
          <cell r="AH298">
            <v>5.98</v>
          </cell>
          <cell r="AI298" t="str">
            <v>–</v>
          </cell>
          <cell r="AJ298" t="str">
            <v>–</v>
          </cell>
          <cell r="AK298" t="str">
            <v>–</v>
          </cell>
          <cell r="AL298" t="str">
            <v>–</v>
          </cell>
          <cell r="AM298">
            <v>23.2</v>
          </cell>
          <cell r="AN298">
            <v>59.5</v>
          </cell>
        </row>
        <row r="299">
          <cell r="C299" t="str">
            <v>WT9X25</v>
          </cell>
          <cell r="D299" t="str">
            <v>F</v>
          </cell>
          <cell r="E299">
            <v>25</v>
          </cell>
          <cell r="F299">
            <v>7.34</v>
          </cell>
          <cell r="G299" t="str">
            <v>WT9X25</v>
          </cell>
          <cell r="H299">
            <v>9</v>
          </cell>
          <cell r="I299">
            <v>9</v>
          </cell>
          <cell r="J299" t="str">
            <v>–</v>
          </cell>
          <cell r="K299" t="str">
            <v>–</v>
          </cell>
          <cell r="L299" t="str">
            <v>–</v>
          </cell>
          <cell r="M299">
            <v>7.5</v>
          </cell>
          <cell r="N299">
            <v>7.5</v>
          </cell>
          <cell r="O299" t="str">
            <v>–</v>
          </cell>
          <cell r="P299" t="str">
            <v>–</v>
          </cell>
          <cell r="Q299" t="str">
            <v>–</v>
          </cell>
          <cell r="R299">
            <v>0.35499999999999998</v>
          </cell>
          <cell r="S299">
            <v>0.375</v>
          </cell>
          <cell r="T299">
            <v>0.1875</v>
          </cell>
          <cell r="U299">
            <v>0.56999999999999995</v>
          </cell>
          <cell r="V299">
            <v>0.5625</v>
          </cell>
          <cell r="W299">
            <v>0.56999999999999995</v>
          </cell>
          <cell r="X299" t="str">
            <v>–</v>
          </cell>
          <cell r="Y299" t="str">
            <v>–</v>
          </cell>
          <cell r="Z299">
            <v>0.97199999999999998</v>
          </cell>
          <cell r="AA299">
            <v>1.25</v>
          </cell>
          <cell r="AB299" t="str">
            <v>–</v>
          </cell>
          <cell r="AC299" t="str">
            <v>–</v>
          </cell>
          <cell r="AD299">
            <v>2.12</v>
          </cell>
          <cell r="AE299" t="str">
            <v>–</v>
          </cell>
          <cell r="AF299" t="str">
            <v>–</v>
          </cell>
          <cell r="AG299">
            <v>0.48899999999999999</v>
          </cell>
          <cell r="AH299">
            <v>6.57</v>
          </cell>
          <cell r="AI299" t="str">
            <v>–</v>
          </cell>
          <cell r="AJ299" t="str">
            <v>–</v>
          </cell>
          <cell r="AK299" t="str">
            <v>–</v>
          </cell>
          <cell r="AL299" t="str">
            <v>–</v>
          </cell>
          <cell r="AM299">
            <v>25.4</v>
          </cell>
          <cell r="AN299">
            <v>53.5</v>
          </cell>
        </row>
        <row r="300">
          <cell r="C300" t="str">
            <v>WT9X23</v>
          </cell>
          <cell r="D300" t="str">
            <v>F</v>
          </cell>
          <cell r="E300">
            <v>23</v>
          </cell>
          <cell r="F300">
            <v>6.77</v>
          </cell>
          <cell r="G300" t="str">
            <v>WT9X23</v>
          </cell>
          <cell r="H300">
            <v>9.0299999999999994</v>
          </cell>
          <cell r="I300">
            <v>9</v>
          </cell>
          <cell r="J300" t="str">
            <v>–</v>
          </cell>
          <cell r="K300" t="str">
            <v>–</v>
          </cell>
          <cell r="L300" t="str">
            <v>–</v>
          </cell>
          <cell r="M300">
            <v>6.06</v>
          </cell>
          <cell r="N300">
            <v>6</v>
          </cell>
          <cell r="O300" t="str">
            <v>–</v>
          </cell>
          <cell r="P300" t="str">
            <v>–</v>
          </cell>
          <cell r="Q300" t="str">
            <v>–</v>
          </cell>
          <cell r="R300">
            <v>0.36</v>
          </cell>
          <cell r="S300">
            <v>0.375</v>
          </cell>
          <cell r="T300">
            <v>0.1875</v>
          </cell>
          <cell r="U300">
            <v>0.60499999999999998</v>
          </cell>
          <cell r="V300">
            <v>0.625</v>
          </cell>
          <cell r="W300">
            <v>0.60499999999999998</v>
          </cell>
          <cell r="X300" t="str">
            <v>–</v>
          </cell>
          <cell r="Y300" t="str">
            <v>–</v>
          </cell>
          <cell r="Z300">
            <v>1.01</v>
          </cell>
          <cell r="AA300">
            <v>1.25</v>
          </cell>
          <cell r="AB300" t="str">
            <v>–</v>
          </cell>
          <cell r="AC300" t="str">
            <v>–</v>
          </cell>
          <cell r="AD300">
            <v>2.33</v>
          </cell>
          <cell r="AE300" t="str">
            <v>–</v>
          </cell>
          <cell r="AF300" t="str">
            <v>–</v>
          </cell>
          <cell r="AG300">
            <v>0.55800000000000005</v>
          </cell>
          <cell r="AH300">
            <v>5.01</v>
          </cell>
          <cell r="AI300" t="str">
            <v>–</v>
          </cell>
          <cell r="AJ300" t="str">
            <v>–</v>
          </cell>
          <cell r="AK300" t="str">
            <v>–</v>
          </cell>
          <cell r="AL300" t="str">
            <v>–</v>
          </cell>
          <cell r="AM300">
            <v>25.1</v>
          </cell>
          <cell r="AN300">
            <v>52.1</v>
          </cell>
        </row>
        <row r="301">
          <cell r="C301" t="str">
            <v>WT9X20</v>
          </cell>
          <cell r="D301" t="str">
            <v>F</v>
          </cell>
          <cell r="E301">
            <v>20</v>
          </cell>
          <cell r="F301">
            <v>5.88</v>
          </cell>
          <cell r="G301" t="str">
            <v>WT9X20</v>
          </cell>
          <cell r="H301">
            <v>8.9499999999999993</v>
          </cell>
          <cell r="I301">
            <v>9</v>
          </cell>
          <cell r="J301" t="str">
            <v>–</v>
          </cell>
          <cell r="K301" t="str">
            <v>–</v>
          </cell>
          <cell r="L301" t="str">
            <v>–</v>
          </cell>
          <cell r="M301">
            <v>6.02</v>
          </cell>
          <cell r="N301">
            <v>6</v>
          </cell>
          <cell r="O301" t="str">
            <v>–</v>
          </cell>
          <cell r="P301" t="str">
            <v>–</v>
          </cell>
          <cell r="Q301" t="str">
            <v>–</v>
          </cell>
          <cell r="R301">
            <v>0.315</v>
          </cell>
          <cell r="S301">
            <v>0.3125</v>
          </cell>
          <cell r="T301">
            <v>0.1875</v>
          </cell>
          <cell r="U301">
            <v>0.52500000000000002</v>
          </cell>
          <cell r="V301">
            <v>0.5</v>
          </cell>
          <cell r="W301">
            <v>0.52500000000000002</v>
          </cell>
          <cell r="X301" t="str">
            <v>–</v>
          </cell>
          <cell r="Y301" t="str">
            <v>–</v>
          </cell>
          <cell r="Z301">
            <v>0.92700000000000005</v>
          </cell>
          <cell r="AA301">
            <v>1.1875</v>
          </cell>
          <cell r="AB301" t="str">
            <v>–</v>
          </cell>
          <cell r="AC301" t="str">
            <v>–</v>
          </cell>
          <cell r="AD301">
            <v>2.29</v>
          </cell>
          <cell r="AE301" t="str">
            <v>–</v>
          </cell>
          <cell r="AF301" t="str">
            <v>–</v>
          </cell>
          <cell r="AG301">
            <v>0.48899999999999999</v>
          </cell>
          <cell r="AH301">
            <v>5.73</v>
          </cell>
          <cell r="AI301" t="str">
            <v>–</v>
          </cell>
          <cell r="AJ301" t="str">
            <v>–</v>
          </cell>
          <cell r="AK301" t="str">
            <v>–</v>
          </cell>
          <cell r="AL301" t="str">
            <v>–</v>
          </cell>
          <cell r="AM301">
            <v>28.4</v>
          </cell>
          <cell r="AN301">
            <v>44.8</v>
          </cell>
        </row>
        <row r="302">
          <cell r="C302" t="str">
            <v>WT9X17.5</v>
          </cell>
          <cell r="D302" t="str">
            <v>F</v>
          </cell>
          <cell r="E302">
            <v>17.5</v>
          </cell>
          <cell r="F302">
            <v>5.15</v>
          </cell>
          <cell r="G302" t="str">
            <v>WT9X17.5</v>
          </cell>
          <cell r="H302">
            <v>8.85</v>
          </cell>
          <cell r="I302">
            <v>8.875</v>
          </cell>
          <cell r="J302" t="str">
            <v>–</v>
          </cell>
          <cell r="K302" t="str">
            <v>–</v>
          </cell>
          <cell r="L302" t="str">
            <v>–</v>
          </cell>
          <cell r="M302">
            <v>6</v>
          </cell>
          <cell r="N302">
            <v>6</v>
          </cell>
          <cell r="O302" t="str">
            <v>–</v>
          </cell>
          <cell r="P302" t="str">
            <v>–</v>
          </cell>
          <cell r="Q302" t="str">
            <v>–</v>
          </cell>
          <cell r="R302">
            <v>0.3</v>
          </cell>
          <cell r="S302">
            <v>0.3125</v>
          </cell>
          <cell r="T302">
            <v>0.1875</v>
          </cell>
          <cell r="U302">
            <v>0.42499999999999999</v>
          </cell>
          <cell r="V302">
            <v>0.4375</v>
          </cell>
          <cell r="W302">
            <v>0.42499999999999999</v>
          </cell>
          <cell r="X302" t="str">
            <v>–</v>
          </cell>
          <cell r="Y302" t="str">
            <v>–</v>
          </cell>
          <cell r="Z302">
            <v>0.82699999999999996</v>
          </cell>
          <cell r="AA302">
            <v>1.125</v>
          </cell>
          <cell r="AB302" t="str">
            <v>–</v>
          </cell>
          <cell r="AC302" t="str">
            <v>–</v>
          </cell>
          <cell r="AD302">
            <v>2.39</v>
          </cell>
          <cell r="AE302" t="str">
            <v>–</v>
          </cell>
          <cell r="AF302" t="str">
            <v>–</v>
          </cell>
          <cell r="AG302">
            <v>0.45</v>
          </cell>
          <cell r="AH302">
            <v>7.06</v>
          </cell>
          <cell r="AI302" t="str">
            <v>–</v>
          </cell>
          <cell r="AJ302" t="str">
            <v>–</v>
          </cell>
          <cell r="AK302" t="str">
            <v>–</v>
          </cell>
          <cell r="AL302" t="str">
            <v>–</v>
          </cell>
          <cell r="AM302">
            <v>29.5</v>
          </cell>
          <cell r="AN302">
            <v>40.1</v>
          </cell>
        </row>
        <row r="303">
          <cell r="C303" t="str">
            <v>WT8X50</v>
          </cell>
          <cell r="D303" t="str">
            <v>F</v>
          </cell>
          <cell r="E303">
            <v>50</v>
          </cell>
          <cell r="F303">
            <v>14.7</v>
          </cell>
          <cell r="G303" t="str">
            <v>WT8X50</v>
          </cell>
          <cell r="H303">
            <v>8.49</v>
          </cell>
          <cell r="I303">
            <v>8.5</v>
          </cell>
          <cell r="J303" t="str">
            <v>–</v>
          </cell>
          <cell r="K303" t="str">
            <v>–</v>
          </cell>
          <cell r="L303" t="str">
            <v>–</v>
          </cell>
          <cell r="M303">
            <v>10.4</v>
          </cell>
          <cell r="N303">
            <v>10.375</v>
          </cell>
          <cell r="O303" t="str">
            <v>–</v>
          </cell>
          <cell r="P303" t="str">
            <v>–</v>
          </cell>
          <cell r="Q303" t="str">
            <v>–</v>
          </cell>
          <cell r="R303">
            <v>0.58499999999999996</v>
          </cell>
          <cell r="S303">
            <v>0.5625</v>
          </cell>
          <cell r="T303">
            <v>0.3125</v>
          </cell>
          <cell r="U303">
            <v>0.98499999999999999</v>
          </cell>
          <cell r="V303">
            <v>1</v>
          </cell>
          <cell r="W303">
            <v>0.98499999999999999</v>
          </cell>
          <cell r="X303" t="str">
            <v>–</v>
          </cell>
          <cell r="Y303" t="str">
            <v>–</v>
          </cell>
          <cell r="Z303">
            <v>1.39</v>
          </cell>
          <cell r="AA303">
            <v>1.875</v>
          </cell>
          <cell r="AB303" t="str">
            <v>–</v>
          </cell>
          <cell r="AC303" t="str">
            <v>–</v>
          </cell>
          <cell r="AD303">
            <v>1.76</v>
          </cell>
          <cell r="AE303" t="str">
            <v>–</v>
          </cell>
          <cell r="AF303" t="str">
            <v>–</v>
          </cell>
          <cell r="AG303">
            <v>0.70599999999999996</v>
          </cell>
          <cell r="AH303">
            <v>5.29</v>
          </cell>
          <cell r="AI303" t="str">
            <v>–</v>
          </cell>
          <cell r="AJ303" t="str">
            <v>–</v>
          </cell>
          <cell r="AK303" t="str">
            <v>–</v>
          </cell>
          <cell r="AL303" t="str">
            <v>–</v>
          </cell>
          <cell r="AM303">
            <v>14.5</v>
          </cell>
          <cell r="AN303">
            <v>76.8</v>
          </cell>
        </row>
        <row r="304">
          <cell r="C304" t="str">
            <v>WT8X44.5</v>
          </cell>
          <cell r="D304" t="str">
            <v>F</v>
          </cell>
          <cell r="E304">
            <v>44.5</v>
          </cell>
          <cell r="F304">
            <v>13.1</v>
          </cell>
          <cell r="G304" t="str">
            <v>WT8X44.5</v>
          </cell>
          <cell r="H304">
            <v>8.3800000000000008</v>
          </cell>
          <cell r="I304">
            <v>8.375</v>
          </cell>
          <cell r="J304" t="str">
            <v>–</v>
          </cell>
          <cell r="K304" t="str">
            <v>–</v>
          </cell>
          <cell r="L304" t="str">
            <v>–</v>
          </cell>
          <cell r="M304">
            <v>10.4</v>
          </cell>
          <cell r="N304">
            <v>10.375</v>
          </cell>
          <cell r="O304" t="str">
            <v>–</v>
          </cell>
          <cell r="P304" t="str">
            <v>–</v>
          </cell>
          <cell r="Q304" t="str">
            <v>–</v>
          </cell>
          <cell r="R304">
            <v>0.52500000000000002</v>
          </cell>
          <cell r="S304">
            <v>0.5</v>
          </cell>
          <cell r="T304">
            <v>0.25</v>
          </cell>
          <cell r="U304">
            <v>0.875</v>
          </cell>
          <cell r="V304">
            <v>0.875</v>
          </cell>
          <cell r="W304">
            <v>0.875</v>
          </cell>
          <cell r="X304" t="str">
            <v>–</v>
          </cell>
          <cell r="Y304" t="str">
            <v>–</v>
          </cell>
          <cell r="Z304">
            <v>1.28</v>
          </cell>
          <cell r="AA304">
            <v>1.75</v>
          </cell>
          <cell r="AB304" t="str">
            <v>–</v>
          </cell>
          <cell r="AC304" t="str">
            <v>–</v>
          </cell>
          <cell r="AD304">
            <v>1.7</v>
          </cell>
          <cell r="AE304" t="str">
            <v>–</v>
          </cell>
          <cell r="AF304" t="str">
            <v>–</v>
          </cell>
          <cell r="AG304">
            <v>0.63100000000000001</v>
          </cell>
          <cell r="AH304">
            <v>5.92</v>
          </cell>
          <cell r="AI304" t="str">
            <v>–</v>
          </cell>
          <cell r="AJ304" t="str">
            <v>–</v>
          </cell>
          <cell r="AK304" t="str">
            <v>–</v>
          </cell>
          <cell r="AL304" t="str">
            <v>–</v>
          </cell>
          <cell r="AM304">
            <v>16</v>
          </cell>
          <cell r="AN304">
            <v>67.2</v>
          </cell>
        </row>
        <row r="305">
          <cell r="C305" t="str">
            <v>WT8X38.5</v>
          </cell>
          <cell r="D305" t="str">
            <v>F</v>
          </cell>
          <cell r="E305">
            <v>38.5</v>
          </cell>
          <cell r="F305">
            <v>11.3</v>
          </cell>
          <cell r="G305" t="str">
            <v>WT8X38.5</v>
          </cell>
          <cell r="H305">
            <v>8.26</v>
          </cell>
          <cell r="I305">
            <v>8.25</v>
          </cell>
          <cell r="J305" t="str">
            <v>–</v>
          </cell>
          <cell r="K305" t="str">
            <v>–</v>
          </cell>
          <cell r="L305" t="str">
            <v>–</v>
          </cell>
          <cell r="M305">
            <v>10.3</v>
          </cell>
          <cell r="N305">
            <v>10.25</v>
          </cell>
          <cell r="O305" t="str">
            <v>–</v>
          </cell>
          <cell r="P305" t="str">
            <v>–</v>
          </cell>
          <cell r="Q305" t="str">
            <v>–</v>
          </cell>
          <cell r="R305">
            <v>0.45500000000000002</v>
          </cell>
          <cell r="S305">
            <v>0.4375</v>
          </cell>
          <cell r="T305">
            <v>0.25</v>
          </cell>
          <cell r="U305">
            <v>0.76</v>
          </cell>
          <cell r="V305">
            <v>0.75</v>
          </cell>
          <cell r="W305">
            <v>0.76</v>
          </cell>
          <cell r="X305" t="str">
            <v>–</v>
          </cell>
          <cell r="Y305" t="str">
            <v>–</v>
          </cell>
          <cell r="Z305">
            <v>1.1599999999999999</v>
          </cell>
          <cell r="AA305">
            <v>1.625</v>
          </cell>
          <cell r="AB305" t="str">
            <v>–</v>
          </cell>
          <cell r="AC305" t="str">
            <v>–</v>
          </cell>
          <cell r="AD305">
            <v>1.63</v>
          </cell>
          <cell r="AE305" t="str">
            <v>–</v>
          </cell>
          <cell r="AF305" t="str">
            <v>–</v>
          </cell>
          <cell r="AG305">
            <v>0.54900000000000004</v>
          </cell>
          <cell r="AH305">
            <v>6.77</v>
          </cell>
          <cell r="AI305" t="str">
            <v>–</v>
          </cell>
          <cell r="AJ305" t="str">
            <v>–</v>
          </cell>
          <cell r="AK305" t="str">
            <v>–</v>
          </cell>
          <cell r="AL305" t="str">
            <v>–</v>
          </cell>
          <cell r="AM305">
            <v>18.2</v>
          </cell>
          <cell r="AN305">
            <v>56.9</v>
          </cell>
        </row>
        <row r="306">
          <cell r="C306" t="str">
            <v>WT8X33.5</v>
          </cell>
          <cell r="D306" t="str">
            <v>F</v>
          </cell>
          <cell r="E306">
            <v>33.5</v>
          </cell>
          <cell r="F306">
            <v>9.81</v>
          </cell>
          <cell r="G306" t="str">
            <v>WT8X33.5</v>
          </cell>
          <cell r="H306">
            <v>8.17</v>
          </cell>
          <cell r="I306">
            <v>8.125</v>
          </cell>
          <cell r="J306" t="str">
            <v>–</v>
          </cell>
          <cell r="K306" t="str">
            <v>–</v>
          </cell>
          <cell r="L306" t="str">
            <v>–</v>
          </cell>
          <cell r="M306">
            <v>10.199999999999999</v>
          </cell>
          <cell r="N306">
            <v>10.25</v>
          </cell>
          <cell r="O306" t="str">
            <v>–</v>
          </cell>
          <cell r="P306" t="str">
            <v>–</v>
          </cell>
          <cell r="Q306" t="str">
            <v>–</v>
          </cell>
          <cell r="R306">
            <v>0.39500000000000002</v>
          </cell>
          <cell r="S306">
            <v>0.375</v>
          </cell>
          <cell r="T306">
            <v>0.1875</v>
          </cell>
          <cell r="U306">
            <v>0.66500000000000004</v>
          </cell>
          <cell r="V306">
            <v>0.6875</v>
          </cell>
          <cell r="W306">
            <v>0.66500000000000004</v>
          </cell>
          <cell r="X306" t="str">
            <v>–</v>
          </cell>
          <cell r="Y306" t="str">
            <v>–</v>
          </cell>
          <cell r="Z306">
            <v>1.07</v>
          </cell>
          <cell r="AA306">
            <v>1.5625</v>
          </cell>
          <cell r="AB306" t="str">
            <v>–</v>
          </cell>
          <cell r="AC306" t="str">
            <v>–</v>
          </cell>
          <cell r="AD306">
            <v>1.56</v>
          </cell>
          <cell r="AE306" t="str">
            <v>–</v>
          </cell>
          <cell r="AF306" t="str">
            <v>–</v>
          </cell>
          <cell r="AG306">
            <v>0.48099999999999998</v>
          </cell>
          <cell r="AH306">
            <v>7.7</v>
          </cell>
          <cell r="AI306" t="str">
            <v>–</v>
          </cell>
          <cell r="AJ306" t="str">
            <v>–</v>
          </cell>
          <cell r="AK306" t="str">
            <v>–</v>
          </cell>
          <cell r="AL306" t="str">
            <v>–</v>
          </cell>
          <cell r="AM306">
            <v>20.7</v>
          </cell>
          <cell r="AN306">
            <v>48.6</v>
          </cell>
        </row>
        <row r="307">
          <cell r="C307" t="str">
            <v>WT8X28.5</v>
          </cell>
          <cell r="D307" t="str">
            <v>F</v>
          </cell>
          <cell r="E307">
            <v>28.5</v>
          </cell>
          <cell r="F307">
            <v>8.39</v>
          </cell>
          <cell r="G307" t="str">
            <v>WT8X28.5</v>
          </cell>
          <cell r="H307">
            <v>8.2200000000000006</v>
          </cell>
          <cell r="I307">
            <v>8.25</v>
          </cell>
          <cell r="J307" t="str">
            <v>–</v>
          </cell>
          <cell r="K307" t="str">
            <v>–</v>
          </cell>
          <cell r="L307" t="str">
            <v>–</v>
          </cell>
          <cell r="M307">
            <v>7.12</v>
          </cell>
          <cell r="N307">
            <v>7.125</v>
          </cell>
          <cell r="O307" t="str">
            <v>–</v>
          </cell>
          <cell r="P307" t="str">
            <v>–</v>
          </cell>
          <cell r="Q307" t="str">
            <v>–</v>
          </cell>
          <cell r="R307">
            <v>0.43</v>
          </cell>
          <cell r="S307">
            <v>0.4375</v>
          </cell>
          <cell r="T307">
            <v>0.25</v>
          </cell>
          <cell r="U307">
            <v>0.71499999999999997</v>
          </cell>
          <cell r="V307">
            <v>0.6875</v>
          </cell>
          <cell r="W307">
            <v>0.71499999999999997</v>
          </cell>
          <cell r="X307" t="str">
            <v>–</v>
          </cell>
          <cell r="Y307" t="str">
            <v>–</v>
          </cell>
          <cell r="Z307">
            <v>1.1200000000000001</v>
          </cell>
          <cell r="AA307">
            <v>1.375</v>
          </cell>
          <cell r="AB307" t="str">
            <v>–</v>
          </cell>
          <cell r="AC307" t="str">
            <v>–</v>
          </cell>
          <cell r="AD307">
            <v>1.94</v>
          </cell>
          <cell r="AE307" t="str">
            <v>–</v>
          </cell>
          <cell r="AF307" t="str">
            <v>–</v>
          </cell>
          <cell r="AG307">
            <v>0.58899999999999997</v>
          </cell>
          <cell r="AH307">
            <v>4.9800000000000004</v>
          </cell>
          <cell r="AI307" t="str">
            <v>–</v>
          </cell>
          <cell r="AJ307" t="str">
            <v>–</v>
          </cell>
          <cell r="AK307" t="str">
            <v>–</v>
          </cell>
          <cell r="AL307" t="str">
            <v>–</v>
          </cell>
          <cell r="AM307">
            <v>19.100000000000001</v>
          </cell>
          <cell r="AN307">
            <v>48.7</v>
          </cell>
        </row>
        <row r="308">
          <cell r="C308" t="str">
            <v>WT8X25</v>
          </cell>
          <cell r="D308" t="str">
            <v>F</v>
          </cell>
          <cell r="E308">
            <v>25</v>
          </cell>
          <cell r="F308">
            <v>7.37</v>
          </cell>
          <cell r="G308" t="str">
            <v>WT8X25</v>
          </cell>
          <cell r="H308">
            <v>8.1300000000000008</v>
          </cell>
          <cell r="I308">
            <v>8.125</v>
          </cell>
          <cell r="J308" t="str">
            <v>–</v>
          </cell>
          <cell r="K308" t="str">
            <v>–</v>
          </cell>
          <cell r="L308" t="str">
            <v>–</v>
          </cell>
          <cell r="M308">
            <v>7.07</v>
          </cell>
          <cell r="N308">
            <v>7.125</v>
          </cell>
          <cell r="O308" t="str">
            <v>–</v>
          </cell>
          <cell r="P308" t="str">
            <v>–</v>
          </cell>
          <cell r="Q308" t="str">
            <v>–</v>
          </cell>
          <cell r="R308">
            <v>0.38</v>
          </cell>
          <cell r="S308">
            <v>0.375</v>
          </cell>
          <cell r="T308">
            <v>0.1875</v>
          </cell>
          <cell r="U308">
            <v>0.63</v>
          </cell>
          <cell r="V308">
            <v>0.625</v>
          </cell>
          <cell r="W308">
            <v>0.63</v>
          </cell>
          <cell r="X308" t="str">
            <v>–</v>
          </cell>
          <cell r="Y308" t="str">
            <v>–</v>
          </cell>
          <cell r="Z308">
            <v>1.03</v>
          </cell>
          <cell r="AA308">
            <v>1.3125</v>
          </cell>
          <cell r="AB308" t="str">
            <v>–</v>
          </cell>
          <cell r="AC308" t="str">
            <v>–</v>
          </cell>
          <cell r="AD308">
            <v>1.89</v>
          </cell>
          <cell r="AE308" t="str">
            <v>–</v>
          </cell>
          <cell r="AF308" t="str">
            <v>–</v>
          </cell>
          <cell r="AG308">
            <v>0.52100000000000002</v>
          </cell>
          <cell r="AH308">
            <v>5.61</v>
          </cell>
          <cell r="AI308" t="str">
            <v>–</v>
          </cell>
          <cell r="AJ308" t="str">
            <v>–</v>
          </cell>
          <cell r="AK308" t="str">
            <v>–</v>
          </cell>
          <cell r="AL308" t="str">
            <v>–</v>
          </cell>
          <cell r="AM308">
            <v>21.4</v>
          </cell>
          <cell r="AN308">
            <v>42.3</v>
          </cell>
        </row>
        <row r="309">
          <cell r="C309" t="str">
            <v>WT8X22.5</v>
          </cell>
          <cell r="D309" t="str">
            <v>F</v>
          </cell>
          <cell r="E309">
            <v>22.5</v>
          </cell>
          <cell r="F309">
            <v>6.63</v>
          </cell>
          <cell r="G309" t="str">
            <v>WT8X22.5</v>
          </cell>
          <cell r="H309">
            <v>8.07</v>
          </cell>
          <cell r="I309">
            <v>8.125</v>
          </cell>
          <cell r="J309" t="str">
            <v>–</v>
          </cell>
          <cell r="K309" t="str">
            <v>–</v>
          </cell>
          <cell r="L309" t="str">
            <v>–</v>
          </cell>
          <cell r="M309">
            <v>7.04</v>
          </cell>
          <cell r="N309">
            <v>7</v>
          </cell>
          <cell r="O309" t="str">
            <v>–</v>
          </cell>
          <cell r="P309" t="str">
            <v>–</v>
          </cell>
          <cell r="Q309" t="str">
            <v>–</v>
          </cell>
          <cell r="R309">
            <v>0.34499999999999997</v>
          </cell>
          <cell r="S309">
            <v>0.375</v>
          </cell>
          <cell r="T309">
            <v>0.1875</v>
          </cell>
          <cell r="U309">
            <v>0.56499999999999995</v>
          </cell>
          <cell r="V309">
            <v>0.5625</v>
          </cell>
          <cell r="W309">
            <v>0.56499999999999995</v>
          </cell>
          <cell r="X309" t="str">
            <v>–</v>
          </cell>
          <cell r="Y309" t="str">
            <v>–</v>
          </cell>
          <cell r="Z309">
            <v>0.96699999999999997</v>
          </cell>
          <cell r="AA309">
            <v>1.25</v>
          </cell>
          <cell r="AB309" t="str">
            <v>–</v>
          </cell>
          <cell r="AC309" t="str">
            <v>–</v>
          </cell>
          <cell r="AD309">
            <v>1.86</v>
          </cell>
          <cell r="AE309" t="str">
            <v>–</v>
          </cell>
          <cell r="AF309" t="str">
            <v>–</v>
          </cell>
          <cell r="AG309">
            <v>0.47099999999999997</v>
          </cell>
          <cell r="AH309">
            <v>6.23</v>
          </cell>
          <cell r="AI309" t="str">
            <v>–</v>
          </cell>
          <cell r="AJ309" t="str">
            <v>–</v>
          </cell>
          <cell r="AK309" t="str">
            <v>–</v>
          </cell>
          <cell r="AL309" t="str">
            <v>–</v>
          </cell>
          <cell r="AM309">
            <v>23.4</v>
          </cell>
          <cell r="AN309">
            <v>37.799999999999997</v>
          </cell>
        </row>
        <row r="310">
          <cell r="C310" t="str">
            <v>WT8X20</v>
          </cell>
          <cell r="D310" t="str">
            <v>F</v>
          </cell>
          <cell r="E310">
            <v>20</v>
          </cell>
          <cell r="F310">
            <v>5.89</v>
          </cell>
          <cell r="G310" t="str">
            <v>WT8X20</v>
          </cell>
          <cell r="H310">
            <v>8.01</v>
          </cell>
          <cell r="I310">
            <v>8</v>
          </cell>
          <cell r="J310" t="str">
            <v>–</v>
          </cell>
          <cell r="K310" t="str">
            <v>–</v>
          </cell>
          <cell r="L310" t="str">
            <v>–</v>
          </cell>
          <cell r="M310">
            <v>7</v>
          </cell>
          <cell r="N310">
            <v>7</v>
          </cell>
          <cell r="O310" t="str">
            <v>–</v>
          </cell>
          <cell r="P310" t="str">
            <v>–</v>
          </cell>
          <cell r="Q310" t="str">
            <v>–</v>
          </cell>
          <cell r="R310">
            <v>0.30499999999999999</v>
          </cell>
          <cell r="S310">
            <v>0.3125</v>
          </cell>
          <cell r="T310">
            <v>0.1875</v>
          </cell>
          <cell r="U310">
            <v>0.505</v>
          </cell>
          <cell r="V310">
            <v>0.5</v>
          </cell>
          <cell r="W310">
            <v>0.505</v>
          </cell>
          <cell r="X310" t="str">
            <v>–</v>
          </cell>
          <cell r="Y310" t="str">
            <v>–</v>
          </cell>
          <cell r="Z310">
            <v>0.90700000000000003</v>
          </cell>
          <cell r="AA310">
            <v>1.1875</v>
          </cell>
          <cell r="AB310" t="str">
            <v>–</v>
          </cell>
          <cell r="AC310" t="str">
            <v>–</v>
          </cell>
          <cell r="AD310">
            <v>1.81</v>
          </cell>
          <cell r="AE310" t="str">
            <v>–</v>
          </cell>
          <cell r="AF310" t="str">
            <v>–</v>
          </cell>
          <cell r="AG310">
            <v>0.42099999999999999</v>
          </cell>
          <cell r="AH310">
            <v>6.93</v>
          </cell>
          <cell r="AI310" t="str">
            <v>–</v>
          </cell>
          <cell r="AJ310" t="str">
            <v>–</v>
          </cell>
          <cell r="AK310" t="str">
            <v>–</v>
          </cell>
          <cell r="AL310" t="str">
            <v>–</v>
          </cell>
          <cell r="AM310">
            <v>26.3</v>
          </cell>
          <cell r="AN310">
            <v>33.1</v>
          </cell>
        </row>
        <row r="311">
          <cell r="C311" t="str">
            <v>WT8X18</v>
          </cell>
          <cell r="D311" t="str">
            <v>F</v>
          </cell>
          <cell r="E311">
            <v>18</v>
          </cell>
          <cell r="F311">
            <v>5.29</v>
          </cell>
          <cell r="G311" t="str">
            <v>WT8X18</v>
          </cell>
          <cell r="H311">
            <v>7.93</v>
          </cell>
          <cell r="I311">
            <v>7.875</v>
          </cell>
          <cell r="J311" t="str">
            <v>–</v>
          </cell>
          <cell r="K311" t="str">
            <v>–</v>
          </cell>
          <cell r="L311" t="str">
            <v>–</v>
          </cell>
          <cell r="M311">
            <v>6.99</v>
          </cell>
          <cell r="N311">
            <v>7</v>
          </cell>
          <cell r="O311" t="str">
            <v>–</v>
          </cell>
          <cell r="P311" t="str">
            <v>–</v>
          </cell>
          <cell r="Q311" t="str">
            <v>–</v>
          </cell>
          <cell r="R311">
            <v>0.29499999999999998</v>
          </cell>
          <cell r="S311">
            <v>0.3125</v>
          </cell>
          <cell r="T311">
            <v>0.1875</v>
          </cell>
          <cell r="U311">
            <v>0.43</v>
          </cell>
          <cell r="V311">
            <v>0.4375</v>
          </cell>
          <cell r="W311">
            <v>0.43</v>
          </cell>
          <cell r="X311" t="str">
            <v>–</v>
          </cell>
          <cell r="Y311" t="str">
            <v>–</v>
          </cell>
          <cell r="Z311">
            <v>0.83199999999999996</v>
          </cell>
          <cell r="AA311">
            <v>1.125</v>
          </cell>
          <cell r="AB311" t="str">
            <v>–</v>
          </cell>
          <cell r="AC311" t="str">
            <v>–</v>
          </cell>
          <cell r="AD311">
            <v>1.88</v>
          </cell>
          <cell r="AE311" t="str">
            <v>–</v>
          </cell>
          <cell r="AF311" t="str">
            <v>–</v>
          </cell>
          <cell r="AG311">
            <v>0.378</v>
          </cell>
          <cell r="AH311">
            <v>8.1199999999999992</v>
          </cell>
          <cell r="AI311" t="str">
            <v>–</v>
          </cell>
          <cell r="AJ311" t="str">
            <v>–</v>
          </cell>
          <cell r="AK311" t="str">
            <v>–</v>
          </cell>
          <cell r="AL311" t="str">
            <v>–</v>
          </cell>
          <cell r="AM311">
            <v>26.9</v>
          </cell>
          <cell r="AN311">
            <v>30.6</v>
          </cell>
        </row>
        <row r="312">
          <cell r="C312" t="str">
            <v>WT8X15.5</v>
          </cell>
          <cell r="D312" t="str">
            <v>F</v>
          </cell>
          <cell r="E312">
            <v>15.5</v>
          </cell>
          <cell r="F312">
            <v>4.5599999999999996</v>
          </cell>
          <cell r="G312" t="str">
            <v>WT8X15.5</v>
          </cell>
          <cell r="H312">
            <v>7.94</v>
          </cell>
          <cell r="I312">
            <v>8</v>
          </cell>
          <cell r="J312" t="str">
            <v>–</v>
          </cell>
          <cell r="K312" t="str">
            <v>–</v>
          </cell>
          <cell r="L312" t="str">
            <v>–</v>
          </cell>
          <cell r="M312">
            <v>5.53</v>
          </cell>
          <cell r="N312">
            <v>5.5</v>
          </cell>
          <cell r="O312" t="str">
            <v>–</v>
          </cell>
          <cell r="P312" t="str">
            <v>–</v>
          </cell>
          <cell r="Q312" t="str">
            <v>–</v>
          </cell>
          <cell r="R312">
            <v>0.27500000000000002</v>
          </cell>
          <cell r="S312">
            <v>0.25</v>
          </cell>
          <cell r="T312">
            <v>0.125</v>
          </cell>
          <cell r="U312">
            <v>0.44</v>
          </cell>
          <cell r="V312">
            <v>0.4375</v>
          </cell>
          <cell r="W312">
            <v>0.44</v>
          </cell>
          <cell r="X312" t="str">
            <v>–</v>
          </cell>
          <cell r="Y312" t="str">
            <v>–</v>
          </cell>
          <cell r="Z312">
            <v>0.84199999999999997</v>
          </cell>
          <cell r="AA312">
            <v>1.125</v>
          </cell>
          <cell r="AB312" t="str">
            <v>–</v>
          </cell>
          <cell r="AC312" t="str">
            <v>–</v>
          </cell>
          <cell r="AD312">
            <v>2.02</v>
          </cell>
          <cell r="AE312" t="str">
            <v>–</v>
          </cell>
          <cell r="AF312" t="str">
            <v>–</v>
          </cell>
          <cell r="AG312">
            <v>0.41299999999999998</v>
          </cell>
          <cell r="AH312">
            <v>6.28</v>
          </cell>
          <cell r="AI312" t="str">
            <v>–</v>
          </cell>
          <cell r="AJ312" t="str">
            <v>–</v>
          </cell>
          <cell r="AK312" t="str">
            <v>–</v>
          </cell>
          <cell r="AL312" t="str">
            <v>–</v>
          </cell>
          <cell r="AM312">
            <v>28.9</v>
          </cell>
          <cell r="AN312">
            <v>27.5</v>
          </cell>
        </row>
        <row r="313">
          <cell r="C313" t="str">
            <v>WT8X13</v>
          </cell>
          <cell r="D313" t="str">
            <v>F</v>
          </cell>
          <cell r="E313">
            <v>13</v>
          </cell>
          <cell r="F313">
            <v>3.84</v>
          </cell>
          <cell r="G313" t="str">
            <v>WT8X13</v>
          </cell>
          <cell r="H313">
            <v>7.85</v>
          </cell>
          <cell r="I313">
            <v>7.875</v>
          </cell>
          <cell r="J313" t="str">
            <v>–</v>
          </cell>
          <cell r="K313" t="str">
            <v>–</v>
          </cell>
          <cell r="L313" t="str">
            <v>–</v>
          </cell>
          <cell r="M313">
            <v>5.5</v>
          </cell>
          <cell r="N313">
            <v>5.5</v>
          </cell>
          <cell r="O313" t="str">
            <v>–</v>
          </cell>
          <cell r="P313" t="str">
            <v>–</v>
          </cell>
          <cell r="Q313" t="str">
            <v>–</v>
          </cell>
          <cell r="R313">
            <v>0.25</v>
          </cell>
          <cell r="S313">
            <v>0.25</v>
          </cell>
          <cell r="T313">
            <v>0.125</v>
          </cell>
          <cell r="U313">
            <v>0.34499999999999997</v>
          </cell>
          <cell r="V313">
            <v>0.375</v>
          </cell>
          <cell r="W313">
            <v>0.34499999999999997</v>
          </cell>
          <cell r="X313" t="str">
            <v>–</v>
          </cell>
          <cell r="Y313" t="str">
            <v>–</v>
          </cell>
          <cell r="Z313">
            <v>0.747</v>
          </cell>
          <cell r="AA313">
            <v>1.0625</v>
          </cell>
          <cell r="AB313" t="str">
            <v>–</v>
          </cell>
          <cell r="AC313" t="str">
            <v>–</v>
          </cell>
          <cell r="AD313">
            <v>2.09</v>
          </cell>
          <cell r="AE313" t="str">
            <v>–</v>
          </cell>
          <cell r="AF313" t="str">
            <v>–</v>
          </cell>
          <cell r="AG313">
            <v>0.372</v>
          </cell>
          <cell r="AH313">
            <v>7.97</v>
          </cell>
          <cell r="AI313" t="str">
            <v>–</v>
          </cell>
          <cell r="AJ313" t="str">
            <v>–</v>
          </cell>
          <cell r="AK313" t="str">
            <v>–</v>
          </cell>
          <cell r="AL313" t="str">
            <v>–</v>
          </cell>
          <cell r="AM313">
            <v>31.4</v>
          </cell>
          <cell r="AN313">
            <v>23.5</v>
          </cell>
        </row>
        <row r="314">
          <cell r="C314" t="str">
            <v>WT7X436.5</v>
          </cell>
          <cell r="D314" t="str">
            <v>T</v>
          </cell>
          <cell r="E314">
            <v>436.5</v>
          </cell>
          <cell r="F314">
            <v>129</v>
          </cell>
          <cell r="G314" t="str">
            <v>WT7X436.5</v>
          </cell>
          <cell r="H314">
            <v>11.8</v>
          </cell>
          <cell r="I314">
            <v>11.75</v>
          </cell>
          <cell r="J314" t="str">
            <v>–</v>
          </cell>
          <cell r="K314" t="str">
            <v>–</v>
          </cell>
          <cell r="L314" t="str">
            <v>–</v>
          </cell>
          <cell r="M314">
            <v>18.8</v>
          </cell>
          <cell r="N314">
            <v>18.75</v>
          </cell>
          <cell r="O314" t="str">
            <v>–</v>
          </cell>
          <cell r="P314" t="str">
            <v>–</v>
          </cell>
          <cell r="Q314" t="str">
            <v>–</v>
          </cell>
          <cell r="R314">
            <v>3.94</v>
          </cell>
          <cell r="S314">
            <v>3.9375</v>
          </cell>
          <cell r="T314">
            <v>2</v>
          </cell>
          <cell r="U314">
            <v>5.51</v>
          </cell>
          <cell r="V314">
            <v>5.5</v>
          </cell>
          <cell r="W314">
            <v>5.51</v>
          </cell>
          <cell r="X314" t="str">
            <v>–</v>
          </cell>
          <cell r="Y314" t="str">
            <v>–</v>
          </cell>
          <cell r="Z314">
            <v>6.1</v>
          </cell>
          <cell r="AA314">
            <v>6.1875</v>
          </cell>
          <cell r="AB314" t="str">
            <v>–</v>
          </cell>
          <cell r="AC314" t="str">
            <v>–</v>
          </cell>
          <cell r="AD314">
            <v>3.88</v>
          </cell>
          <cell r="AE314" t="str">
            <v>–</v>
          </cell>
          <cell r="AF314" t="str">
            <v>–</v>
          </cell>
          <cell r="AG314">
            <v>3.43</v>
          </cell>
          <cell r="AH314">
            <v>1.71</v>
          </cell>
          <cell r="AI314" t="str">
            <v>–</v>
          </cell>
          <cell r="AJ314" t="str">
            <v>–</v>
          </cell>
          <cell r="AK314" t="str">
            <v>–</v>
          </cell>
          <cell r="AL314" t="str">
            <v>–</v>
          </cell>
          <cell r="AM314">
            <v>2.99</v>
          </cell>
          <cell r="AN314">
            <v>1040</v>
          </cell>
        </row>
        <row r="315">
          <cell r="C315" t="str">
            <v>WT7X404</v>
          </cell>
          <cell r="D315" t="str">
            <v>T</v>
          </cell>
          <cell r="E315">
            <v>404</v>
          </cell>
          <cell r="F315">
            <v>119</v>
          </cell>
          <cell r="G315" t="str">
            <v>WT7X404</v>
          </cell>
          <cell r="H315">
            <v>11.4</v>
          </cell>
          <cell r="I315">
            <v>11.375</v>
          </cell>
          <cell r="J315" t="str">
            <v>–</v>
          </cell>
          <cell r="K315" t="str">
            <v>–</v>
          </cell>
          <cell r="L315" t="str">
            <v>–</v>
          </cell>
          <cell r="M315">
            <v>18.600000000000001</v>
          </cell>
          <cell r="N315">
            <v>18.625</v>
          </cell>
          <cell r="O315" t="str">
            <v>–</v>
          </cell>
          <cell r="P315" t="str">
            <v>–</v>
          </cell>
          <cell r="Q315" t="str">
            <v>–</v>
          </cell>
          <cell r="R315">
            <v>3.74</v>
          </cell>
          <cell r="S315">
            <v>3.75</v>
          </cell>
          <cell r="T315">
            <v>1.875</v>
          </cell>
          <cell r="U315">
            <v>5.12</v>
          </cell>
          <cell r="V315">
            <v>5.125</v>
          </cell>
          <cell r="W315">
            <v>5.12</v>
          </cell>
          <cell r="X315" t="str">
            <v>–</v>
          </cell>
          <cell r="Y315" t="str">
            <v>–</v>
          </cell>
          <cell r="Z315">
            <v>5.71</v>
          </cell>
          <cell r="AA315">
            <v>5.75</v>
          </cell>
          <cell r="AB315" t="str">
            <v>–</v>
          </cell>
          <cell r="AC315" t="str">
            <v>–</v>
          </cell>
          <cell r="AD315">
            <v>3.69</v>
          </cell>
          <cell r="AE315" t="str">
            <v>–</v>
          </cell>
          <cell r="AF315" t="str">
            <v>–</v>
          </cell>
          <cell r="AG315">
            <v>3.2</v>
          </cell>
          <cell r="AH315">
            <v>1.82</v>
          </cell>
          <cell r="AI315" t="str">
            <v>–</v>
          </cell>
          <cell r="AJ315" t="str">
            <v>–</v>
          </cell>
          <cell r="AK315" t="str">
            <v>–</v>
          </cell>
          <cell r="AL315" t="str">
            <v>–</v>
          </cell>
          <cell r="AM315">
            <v>3.05</v>
          </cell>
          <cell r="AN315">
            <v>898</v>
          </cell>
        </row>
        <row r="316">
          <cell r="C316" t="str">
            <v>WT7X365</v>
          </cell>
          <cell r="D316" t="str">
            <v>T</v>
          </cell>
          <cell r="E316">
            <v>365</v>
          </cell>
          <cell r="F316">
            <v>107</v>
          </cell>
          <cell r="G316" t="str">
            <v>WT7X365</v>
          </cell>
          <cell r="H316">
            <v>11.2</v>
          </cell>
          <cell r="I316">
            <v>11.25</v>
          </cell>
          <cell r="J316" t="str">
            <v>–</v>
          </cell>
          <cell r="K316" t="str">
            <v>–</v>
          </cell>
          <cell r="L316" t="str">
            <v>–</v>
          </cell>
          <cell r="M316">
            <v>17.899999999999999</v>
          </cell>
          <cell r="N316">
            <v>17.875</v>
          </cell>
          <cell r="O316" t="str">
            <v>–</v>
          </cell>
          <cell r="P316" t="str">
            <v>–</v>
          </cell>
          <cell r="Q316" t="str">
            <v>–</v>
          </cell>
          <cell r="R316">
            <v>3.07</v>
          </cell>
          <cell r="S316">
            <v>3.0625</v>
          </cell>
          <cell r="T316">
            <v>1.5625</v>
          </cell>
          <cell r="U316">
            <v>4.91</v>
          </cell>
          <cell r="V316">
            <v>4.9375</v>
          </cell>
          <cell r="W316">
            <v>4.91</v>
          </cell>
          <cell r="X316" t="str">
            <v>–</v>
          </cell>
          <cell r="Y316" t="str">
            <v>–</v>
          </cell>
          <cell r="Z316">
            <v>5.51</v>
          </cell>
          <cell r="AA316">
            <v>6.1875</v>
          </cell>
          <cell r="AB316" t="str">
            <v>–</v>
          </cell>
          <cell r="AC316" t="str">
            <v>–</v>
          </cell>
          <cell r="AD316">
            <v>3.47</v>
          </cell>
          <cell r="AE316" t="str">
            <v>–</v>
          </cell>
          <cell r="AF316" t="str">
            <v>–</v>
          </cell>
          <cell r="AG316">
            <v>3</v>
          </cell>
          <cell r="AH316">
            <v>1.82</v>
          </cell>
          <cell r="AI316" t="str">
            <v>–</v>
          </cell>
          <cell r="AJ316" t="str">
            <v>–</v>
          </cell>
          <cell r="AK316" t="str">
            <v>–</v>
          </cell>
          <cell r="AL316" t="str">
            <v>–</v>
          </cell>
          <cell r="AM316">
            <v>3.65</v>
          </cell>
          <cell r="AN316">
            <v>739</v>
          </cell>
        </row>
        <row r="317">
          <cell r="C317" t="str">
            <v>WT7X332.5</v>
          </cell>
          <cell r="D317" t="str">
            <v>T</v>
          </cell>
          <cell r="E317">
            <v>332.5</v>
          </cell>
          <cell r="F317">
            <v>97.8</v>
          </cell>
          <cell r="G317" t="str">
            <v>WT7X332.5</v>
          </cell>
          <cell r="H317">
            <v>10.8</v>
          </cell>
          <cell r="I317">
            <v>10.875</v>
          </cell>
          <cell r="J317" t="str">
            <v>–</v>
          </cell>
          <cell r="K317" t="str">
            <v>–</v>
          </cell>
          <cell r="L317" t="str">
            <v>–</v>
          </cell>
          <cell r="M317">
            <v>17.7</v>
          </cell>
          <cell r="N317">
            <v>17.625</v>
          </cell>
          <cell r="O317" t="str">
            <v>–</v>
          </cell>
          <cell r="P317" t="str">
            <v>–</v>
          </cell>
          <cell r="Q317" t="str">
            <v>–</v>
          </cell>
          <cell r="R317">
            <v>2.83</v>
          </cell>
          <cell r="S317">
            <v>2.8125</v>
          </cell>
          <cell r="T317">
            <v>1.4375</v>
          </cell>
          <cell r="U317">
            <v>4.5199999999999996</v>
          </cell>
          <cell r="V317">
            <v>4.5</v>
          </cell>
          <cell r="W317">
            <v>4.5199999999999996</v>
          </cell>
          <cell r="X317" t="str">
            <v>–</v>
          </cell>
          <cell r="Y317" t="str">
            <v>–</v>
          </cell>
          <cell r="Z317">
            <v>5.12</v>
          </cell>
          <cell r="AA317">
            <v>5.8125</v>
          </cell>
          <cell r="AB317" t="str">
            <v>–</v>
          </cell>
          <cell r="AC317" t="str">
            <v>–</v>
          </cell>
          <cell r="AD317">
            <v>3.25</v>
          </cell>
          <cell r="AE317" t="str">
            <v>–</v>
          </cell>
          <cell r="AF317" t="str">
            <v>–</v>
          </cell>
          <cell r="AG317">
            <v>2.77</v>
          </cell>
          <cell r="AH317">
            <v>1.95</v>
          </cell>
          <cell r="AI317" t="str">
            <v>–</v>
          </cell>
          <cell r="AJ317" t="str">
            <v>–</v>
          </cell>
          <cell r="AK317" t="str">
            <v>–</v>
          </cell>
          <cell r="AL317" t="str">
            <v>–</v>
          </cell>
          <cell r="AM317">
            <v>3.82</v>
          </cell>
          <cell r="AN317">
            <v>622</v>
          </cell>
        </row>
        <row r="318">
          <cell r="C318" t="str">
            <v>WT7X302.5</v>
          </cell>
          <cell r="D318" t="str">
            <v>T</v>
          </cell>
          <cell r="E318">
            <v>302.5</v>
          </cell>
          <cell r="F318">
            <v>89</v>
          </cell>
          <cell r="G318" t="str">
            <v>WT7X302.5</v>
          </cell>
          <cell r="H318">
            <v>10.5</v>
          </cell>
          <cell r="I318">
            <v>10.5</v>
          </cell>
          <cell r="J318" t="str">
            <v>–</v>
          </cell>
          <cell r="K318" t="str">
            <v>–</v>
          </cell>
          <cell r="L318" t="str">
            <v>–</v>
          </cell>
          <cell r="M318">
            <v>17.399999999999999</v>
          </cell>
          <cell r="N318">
            <v>17.375</v>
          </cell>
          <cell r="O318" t="str">
            <v>–</v>
          </cell>
          <cell r="P318" t="str">
            <v>–</v>
          </cell>
          <cell r="Q318" t="str">
            <v>–</v>
          </cell>
          <cell r="R318">
            <v>2.6</v>
          </cell>
          <cell r="S318">
            <v>2.625</v>
          </cell>
          <cell r="T318">
            <v>1.3125</v>
          </cell>
          <cell r="U318">
            <v>4.16</v>
          </cell>
          <cell r="V318">
            <v>4.1875</v>
          </cell>
          <cell r="W318">
            <v>4.16</v>
          </cell>
          <cell r="X318" t="str">
            <v>–</v>
          </cell>
          <cell r="Y318" t="str">
            <v>–</v>
          </cell>
          <cell r="Z318">
            <v>4.76</v>
          </cell>
          <cell r="AA318">
            <v>5.4375</v>
          </cell>
          <cell r="AB318" t="str">
            <v>–</v>
          </cell>
          <cell r="AC318" t="str">
            <v>–</v>
          </cell>
          <cell r="AD318">
            <v>3.05</v>
          </cell>
          <cell r="AE318" t="str">
            <v>–</v>
          </cell>
          <cell r="AF318" t="str">
            <v>–</v>
          </cell>
          <cell r="AG318">
            <v>2.5499999999999998</v>
          </cell>
          <cell r="AH318">
            <v>2.09</v>
          </cell>
          <cell r="AI318" t="str">
            <v>–</v>
          </cell>
          <cell r="AJ318" t="str">
            <v>–</v>
          </cell>
          <cell r="AK318" t="str">
            <v>–</v>
          </cell>
          <cell r="AL318" t="str">
            <v>–</v>
          </cell>
          <cell r="AM318">
            <v>4.04</v>
          </cell>
          <cell r="AN318">
            <v>524</v>
          </cell>
        </row>
        <row r="319">
          <cell r="C319" t="str">
            <v>WT7X275</v>
          </cell>
          <cell r="D319" t="str">
            <v>T</v>
          </cell>
          <cell r="E319">
            <v>275</v>
          </cell>
          <cell r="F319">
            <v>80.900000000000006</v>
          </cell>
          <cell r="G319" t="str">
            <v>WT7X275</v>
          </cell>
          <cell r="H319">
            <v>10.1</v>
          </cell>
          <cell r="I319">
            <v>10.125</v>
          </cell>
          <cell r="J319" t="str">
            <v>–</v>
          </cell>
          <cell r="K319" t="str">
            <v>–</v>
          </cell>
          <cell r="L319" t="str">
            <v>–</v>
          </cell>
          <cell r="M319">
            <v>17.2</v>
          </cell>
          <cell r="N319">
            <v>17.25</v>
          </cell>
          <cell r="O319" t="str">
            <v>–</v>
          </cell>
          <cell r="P319" t="str">
            <v>–</v>
          </cell>
          <cell r="Q319" t="str">
            <v>–</v>
          </cell>
          <cell r="R319">
            <v>2.38</v>
          </cell>
          <cell r="S319">
            <v>2.375</v>
          </cell>
          <cell r="T319">
            <v>1.1875</v>
          </cell>
          <cell r="U319">
            <v>3.82</v>
          </cell>
          <cell r="V319">
            <v>3.8125</v>
          </cell>
          <cell r="W319">
            <v>3.82</v>
          </cell>
          <cell r="X319" t="str">
            <v>–</v>
          </cell>
          <cell r="Y319" t="str">
            <v>–</v>
          </cell>
          <cell r="Z319">
            <v>4.42</v>
          </cell>
          <cell r="AA319">
            <v>5.125</v>
          </cell>
          <cell r="AB319" t="str">
            <v>–</v>
          </cell>
          <cell r="AC319" t="str">
            <v>–</v>
          </cell>
          <cell r="AD319">
            <v>2.85</v>
          </cell>
          <cell r="AE319" t="str">
            <v>–</v>
          </cell>
          <cell r="AF319" t="str">
            <v>–</v>
          </cell>
          <cell r="AG319">
            <v>2.35</v>
          </cell>
          <cell r="AH319">
            <v>2.25</v>
          </cell>
          <cell r="AI319" t="str">
            <v>–</v>
          </cell>
          <cell r="AJ319" t="str">
            <v>–</v>
          </cell>
          <cell r="AK319" t="str">
            <v>–</v>
          </cell>
          <cell r="AL319" t="str">
            <v>–</v>
          </cell>
          <cell r="AM319">
            <v>4.24</v>
          </cell>
          <cell r="AN319">
            <v>442</v>
          </cell>
        </row>
        <row r="320">
          <cell r="C320" t="str">
            <v>WT7X250</v>
          </cell>
          <cell r="D320" t="str">
            <v>T</v>
          </cell>
          <cell r="E320">
            <v>250</v>
          </cell>
          <cell r="F320">
            <v>73.5</v>
          </cell>
          <cell r="G320" t="str">
            <v>WT7X250</v>
          </cell>
          <cell r="H320">
            <v>9.8000000000000007</v>
          </cell>
          <cell r="I320">
            <v>9.75</v>
          </cell>
          <cell r="J320" t="str">
            <v>–</v>
          </cell>
          <cell r="K320" t="str">
            <v>–</v>
          </cell>
          <cell r="L320" t="str">
            <v>–</v>
          </cell>
          <cell r="M320">
            <v>17</v>
          </cell>
          <cell r="N320">
            <v>17</v>
          </cell>
          <cell r="O320" t="str">
            <v>–</v>
          </cell>
          <cell r="P320" t="str">
            <v>–</v>
          </cell>
          <cell r="Q320" t="str">
            <v>–</v>
          </cell>
          <cell r="R320">
            <v>2.19</v>
          </cell>
          <cell r="S320">
            <v>2.1875</v>
          </cell>
          <cell r="T320">
            <v>1.125</v>
          </cell>
          <cell r="U320">
            <v>3.5</v>
          </cell>
          <cell r="V320">
            <v>3.5</v>
          </cell>
          <cell r="W320">
            <v>3.5</v>
          </cell>
          <cell r="X320" t="str">
            <v>–</v>
          </cell>
          <cell r="Y320" t="str">
            <v>–</v>
          </cell>
          <cell r="Z320">
            <v>4.0999999999999996</v>
          </cell>
          <cell r="AA320">
            <v>4.8125</v>
          </cell>
          <cell r="AB320" t="str">
            <v>–</v>
          </cell>
          <cell r="AC320" t="str">
            <v>–</v>
          </cell>
          <cell r="AD320">
            <v>2.67</v>
          </cell>
          <cell r="AE320" t="str">
            <v>–</v>
          </cell>
          <cell r="AF320" t="str">
            <v>–</v>
          </cell>
          <cell r="AG320">
            <v>2.16</v>
          </cell>
          <cell r="AH320">
            <v>2.4300000000000002</v>
          </cell>
          <cell r="AI320" t="str">
            <v>–</v>
          </cell>
          <cell r="AJ320" t="str">
            <v>–</v>
          </cell>
          <cell r="AK320" t="str">
            <v>–</v>
          </cell>
          <cell r="AL320" t="str">
            <v>–</v>
          </cell>
          <cell r="AM320">
            <v>4.47</v>
          </cell>
          <cell r="AN320">
            <v>375</v>
          </cell>
        </row>
        <row r="321">
          <cell r="C321" t="str">
            <v>WT7X227.5</v>
          </cell>
          <cell r="D321" t="str">
            <v>T</v>
          </cell>
          <cell r="E321">
            <v>227.5</v>
          </cell>
          <cell r="F321">
            <v>66.900000000000006</v>
          </cell>
          <cell r="G321" t="str">
            <v>WT7X227.5</v>
          </cell>
          <cell r="H321">
            <v>9.51</v>
          </cell>
          <cell r="I321">
            <v>9.5</v>
          </cell>
          <cell r="J321" t="str">
            <v>–</v>
          </cell>
          <cell r="K321" t="str">
            <v>–</v>
          </cell>
          <cell r="L321" t="str">
            <v>–</v>
          </cell>
          <cell r="M321">
            <v>16.8</v>
          </cell>
          <cell r="N321">
            <v>16.875</v>
          </cell>
          <cell r="O321" t="str">
            <v>–</v>
          </cell>
          <cell r="P321" t="str">
            <v>–</v>
          </cell>
          <cell r="Q321" t="str">
            <v>–</v>
          </cell>
          <cell r="R321">
            <v>2.02</v>
          </cell>
          <cell r="S321">
            <v>2</v>
          </cell>
          <cell r="T321">
            <v>1</v>
          </cell>
          <cell r="U321">
            <v>3.21</v>
          </cell>
          <cell r="V321">
            <v>3.1875</v>
          </cell>
          <cell r="W321">
            <v>3.21</v>
          </cell>
          <cell r="X321" t="str">
            <v>–</v>
          </cell>
          <cell r="Y321" t="str">
            <v>–</v>
          </cell>
          <cell r="Z321">
            <v>3.81</v>
          </cell>
          <cell r="AA321">
            <v>4.5</v>
          </cell>
          <cell r="AB321" t="str">
            <v>–</v>
          </cell>
          <cell r="AC321" t="str">
            <v>–</v>
          </cell>
          <cell r="AD321">
            <v>2.5099999999999998</v>
          </cell>
          <cell r="AE321" t="str">
            <v>–</v>
          </cell>
          <cell r="AF321" t="str">
            <v>–</v>
          </cell>
          <cell r="AG321">
            <v>1.99</v>
          </cell>
          <cell r="AH321">
            <v>2.62</v>
          </cell>
          <cell r="AI321" t="str">
            <v>–</v>
          </cell>
          <cell r="AJ321" t="str">
            <v>–</v>
          </cell>
          <cell r="AK321" t="str">
            <v>–</v>
          </cell>
          <cell r="AL321" t="str">
            <v>–</v>
          </cell>
          <cell r="AM321">
            <v>4.71</v>
          </cell>
          <cell r="AN321">
            <v>321</v>
          </cell>
        </row>
        <row r="322">
          <cell r="C322" t="str">
            <v>WT7X213</v>
          </cell>
          <cell r="D322" t="str">
            <v>T</v>
          </cell>
          <cell r="E322">
            <v>213</v>
          </cell>
          <cell r="F322">
            <v>62.7</v>
          </cell>
          <cell r="G322" t="str">
            <v>WT7X213</v>
          </cell>
          <cell r="H322">
            <v>9.34</v>
          </cell>
          <cell r="I322">
            <v>9.375</v>
          </cell>
          <cell r="J322" t="str">
            <v>–</v>
          </cell>
          <cell r="K322" t="str">
            <v>–</v>
          </cell>
          <cell r="L322" t="str">
            <v>–</v>
          </cell>
          <cell r="M322">
            <v>16.7</v>
          </cell>
          <cell r="N322">
            <v>16.75</v>
          </cell>
          <cell r="O322" t="str">
            <v>–</v>
          </cell>
          <cell r="P322" t="str">
            <v>–</v>
          </cell>
          <cell r="Q322" t="str">
            <v>–</v>
          </cell>
          <cell r="R322">
            <v>1.88</v>
          </cell>
          <cell r="S322">
            <v>1.875</v>
          </cell>
          <cell r="T322">
            <v>0.9375</v>
          </cell>
          <cell r="U322">
            <v>3.04</v>
          </cell>
          <cell r="V322">
            <v>3.0625</v>
          </cell>
          <cell r="W322">
            <v>3.04</v>
          </cell>
          <cell r="X322" t="str">
            <v>–</v>
          </cell>
          <cell r="Y322" t="str">
            <v>–</v>
          </cell>
          <cell r="Z322">
            <v>3.63</v>
          </cell>
          <cell r="AA322">
            <v>4.3125</v>
          </cell>
          <cell r="AB322" t="str">
            <v>–</v>
          </cell>
          <cell r="AC322" t="str">
            <v>–</v>
          </cell>
          <cell r="AD322">
            <v>2.4</v>
          </cell>
          <cell r="AE322" t="str">
            <v>–</v>
          </cell>
          <cell r="AF322" t="str">
            <v>–</v>
          </cell>
          <cell r="AG322">
            <v>1.88</v>
          </cell>
          <cell r="AH322">
            <v>2.75</v>
          </cell>
          <cell r="AI322" t="str">
            <v>–</v>
          </cell>
          <cell r="AJ322" t="str">
            <v>–</v>
          </cell>
          <cell r="AK322" t="str">
            <v>–</v>
          </cell>
          <cell r="AL322" t="str">
            <v>–</v>
          </cell>
          <cell r="AM322">
            <v>4.97</v>
          </cell>
          <cell r="AN322">
            <v>287</v>
          </cell>
        </row>
        <row r="323">
          <cell r="C323" t="str">
            <v>WT7X199</v>
          </cell>
          <cell r="D323" t="str">
            <v>T</v>
          </cell>
          <cell r="E323">
            <v>199</v>
          </cell>
          <cell r="F323">
            <v>58.4</v>
          </cell>
          <cell r="G323" t="str">
            <v>WT7X199</v>
          </cell>
          <cell r="H323">
            <v>9.15</v>
          </cell>
          <cell r="I323">
            <v>9.125</v>
          </cell>
          <cell r="J323" t="str">
            <v>–</v>
          </cell>
          <cell r="K323" t="str">
            <v>–</v>
          </cell>
          <cell r="L323" t="str">
            <v>–</v>
          </cell>
          <cell r="M323">
            <v>16.600000000000001</v>
          </cell>
          <cell r="N323">
            <v>16.625</v>
          </cell>
          <cell r="O323" t="str">
            <v>–</v>
          </cell>
          <cell r="P323" t="str">
            <v>–</v>
          </cell>
          <cell r="Q323" t="str">
            <v>–</v>
          </cell>
          <cell r="R323">
            <v>1.77</v>
          </cell>
          <cell r="S323">
            <v>1.75</v>
          </cell>
          <cell r="T323">
            <v>0.875</v>
          </cell>
          <cell r="U323">
            <v>2.85</v>
          </cell>
          <cell r="V323">
            <v>2.875</v>
          </cell>
          <cell r="W323">
            <v>2.85</v>
          </cell>
          <cell r="X323" t="str">
            <v>–</v>
          </cell>
          <cell r="Y323" t="str">
            <v>–</v>
          </cell>
          <cell r="Z323">
            <v>3.44</v>
          </cell>
          <cell r="AA323">
            <v>4.125</v>
          </cell>
          <cell r="AB323" t="str">
            <v>–</v>
          </cell>
          <cell r="AC323" t="str">
            <v>–</v>
          </cell>
          <cell r="AD323">
            <v>2.2999999999999998</v>
          </cell>
          <cell r="AE323" t="str">
            <v>–</v>
          </cell>
          <cell r="AF323" t="str">
            <v>–</v>
          </cell>
          <cell r="AG323">
            <v>1.76</v>
          </cell>
          <cell r="AH323">
            <v>2.92</v>
          </cell>
          <cell r="AI323" t="str">
            <v>–</v>
          </cell>
          <cell r="AJ323" t="str">
            <v>–</v>
          </cell>
          <cell r="AK323" t="str">
            <v>–</v>
          </cell>
          <cell r="AL323" t="str">
            <v>–</v>
          </cell>
          <cell r="AM323">
            <v>5.17</v>
          </cell>
          <cell r="AN323">
            <v>257</v>
          </cell>
        </row>
        <row r="324">
          <cell r="C324" t="str">
            <v>WT7X185</v>
          </cell>
          <cell r="D324" t="str">
            <v>T</v>
          </cell>
          <cell r="E324">
            <v>185</v>
          </cell>
          <cell r="F324">
            <v>54.4</v>
          </cell>
          <cell r="G324" t="str">
            <v>WT7X185</v>
          </cell>
          <cell r="H324">
            <v>8.9600000000000009</v>
          </cell>
          <cell r="I324">
            <v>9</v>
          </cell>
          <cell r="J324" t="str">
            <v>–</v>
          </cell>
          <cell r="K324" t="str">
            <v>–</v>
          </cell>
          <cell r="L324" t="str">
            <v>–</v>
          </cell>
          <cell r="M324">
            <v>16.5</v>
          </cell>
          <cell r="N324">
            <v>16.5</v>
          </cell>
          <cell r="O324" t="str">
            <v>–</v>
          </cell>
          <cell r="P324" t="str">
            <v>–</v>
          </cell>
          <cell r="Q324" t="str">
            <v>–</v>
          </cell>
          <cell r="R324">
            <v>1.66</v>
          </cell>
          <cell r="S324">
            <v>1.6875</v>
          </cell>
          <cell r="T324">
            <v>0.8125</v>
          </cell>
          <cell r="U324">
            <v>2.66</v>
          </cell>
          <cell r="V324">
            <v>2.6875</v>
          </cell>
          <cell r="W324">
            <v>2.66</v>
          </cell>
          <cell r="X324" t="str">
            <v>–</v>
          </cell>
          <cell r="Y324" t="str">
            <v>–</v>
          </cell>
          <cell r="Z324">
            <v>3.26</v>
          </cell>
          <cell r="AA324">
            <v>3.9375</v>
          </cell>
          <cell r="AB324" t="str">
            <v>–</v>
          </cell>
          <cell r="AC324" t="str">
            <v>–</v>
          </cell>
          <cell r="AD324">
            <v>2.19</v>
          </cell>
          <cell r="AE324" t="str">
            <v>–</v>
          </cell>
          <cell r="AF324" t="str">
            <v>–</v>
          </cell>
          <cell r="AG324">
            <v>1.65</v>
          </cell>
          <cell r="AH324">
            <v>3.1</v>
          </cell>
          <cell r="AI324" t="str">
            <v>–</v>
          </cell>
          <cell r="AJ324" t="str">
            <v>–</v>
          </cell>
          <cell r="AK324" t="str">
            <v>–</v>
          </cell>
          <cell r="AL324" t="str">
            <v>–</v>
          </cell>
          <cell r="AM324">
            <v>5.4</v>
          </cell>
          <cell r="AN324">
            <v>229</v>
          </cell>
        </row>
        <row r="325">
          <cell r="C325" t="str">
            <v>WT7X171</v>
          </cell>
          <cell r="D325" t="str">
            <v>T</v>
          </cell>
          <cell r="E325">
            <v>171</v>
          </cell>
          <cell r="F325">
            <v>50.3</v>
          </cell>
          <cell r="G325" t="str">
            <v>WT7X171</v>
          </cell>
          <cell r="H325">
            <v>8.77</v>
          </cell>
          <cell r="I325">
            <v>8.75</v>
          </cell>
          <cell r="J325" t="str">
            <v>–</v>
          </cell>
          <cell r="K325" t="str">
            <v>–</v>
          </cell>
          <cell r="L325" t="str">
            <v>–</v>
          </cell>
          <cell r="M325">
            <v>16.399999999999999</v>
          </cell>
          <cell r="N325">
            <v>16.375</v>
          </cell>
          <cell r="O325" t="str">
            <v>–</v>
          </cell>
          <cell r="P325" t="str">
            <v>–</v>
          </cell>
          <cell r="Q325" t="str">
            <v>–</v>
          </cell>
          <cell r="R325">
            <v>1.54</v>
          </cell>
          <cell r="S325">
            <v>1.5625</v>
          </cell>
          <cell r="T325">
            <v>0.8125</v>
          </cell>
          <cell r="U325">
            <v>2.4700000000000002</v>
          </cell>
          <cell r="V325">
            <v>2.5</v>
          </cell>
          <cell r="W325">
            <v>2.4700000000000002</v>
          </cell>
          <cell r="X325" t="str">
            <v>–</v>
          </cell>
          <cell r="Y325" t="str">
            <v>–</v>
          </cell>
          <cell r="Z325">
            <v>3.07</v>
          </cell>
          <cell r="AA325">
            <v>3.75</v>
          </cell>
          <cell r="AB325" t="str">
            <v>–</v>
          </cell>
          <cell r="AC325" t="str">
            <v>–</v>
          </cell>
          <cell r="AD325">
            <v>2.09</v>
          </cell>
          <cell r="AE325" t="str">
            <v>–</v>
          </cell>
          <cell r="AF325" t="str">
            <v>–</v>
          </cell>
          <cell r="AG325">
            <v>1.54</v>
          </cell>
          <cell r="AH325">
            <v>3.31</v>
          </cell>
          <cell r="AI325" t="str">
            <v>–</v>
          </cell>
          <cell r="AJ325" t="str">
            <v>–</v>
          </cell>
          <cell r="AK325" t="str">
            <v>–</v>
          </cell>
          <cell r="AL325" t="str">
            <v>–</v>
          </cell>
          <cell r="AM325">
            <v>5.69</v>
          </cell>
          <cell r="AN325">
            <v>203</v>
          </cell>
        </row>
        <row r="326">
          <cell r="C326" t="str">
            <v>WT7X155.5</v>
          </cell>
          <cell r="D326" t="str">
            <v>T</v>
          </cell>
          <cell r="E326">
            <v>155.5</v>
          </cell>
          <cell r="F326">
            <v>45.7</v>
          </cell>
          <cell r="G326" t="str">
            <v>WT7X155.5</v>
          </cell>
          <cell r="H326">
            <v>8.56</v>
          </cell>
          <cell r="I326">
            <v>8.5</v>
          </cell>
          <cell r="J326" t="str">
            <v>–</v>
          </cell>
          <cell r="K326" t="str">
            <v>–</v>
          </cell>
          <cell r="L326" t="str">
            <v>–</v>
          </cell>
          <cell r="M326">
            <v>16.2</v>
          </cell>
          <cell r="N326">
            <v>16.25</v>
          </cell>
          <cell r="O326" t="str">
            <v>–</v>
          </cell>
          <cell r="P326" t="str">
            <v>–</v>
          </cell>
          <cell r="Q326" t="str">
            <v>–</v>
          </cell>
          <cell r="R326">
            <v>1.41</v>
          </cell>
          <cell r="S326">
            <v>1.4375</v>
          </cell>
          <cell r="T326">
            <v>0.75</v>
          </cell>
          <cell r="U326">
            <v>2.2599999999999998</v>
          </cell>
          <cell r="V326">
            <v>2.25</v>
          </cell>
          <cell r="W326">
            <v>2.2599999999999998</v>
          </cell>
          <cell r="X326" t="str">
            <v>–</v>
          </cell>
          <cell r="Y326" t="str">
            <v>–</v>
          </cell>
          <cell r="Z326">
            <v>2.86</v>
          </cell>
          <cell r="AA326">
            <v>3.5625</v>
          </cell>
          <cell r="AB326" t="str">
            <v>–</v>
          </cell>
          <cell r="AC326" t="str">
            <v>–</v>
          </cell>
          <cell r="AD326">
            <v>1.97</v>
          </cell>
          <cell r="AE326" t="str">
            <v>–</v>
          </cell>
          <cell r="AF326" t="str">
            <v>–</v>
          </cell>
          <cell r="AG326">
            <v>1.41</v>
          </cell>
          <cell r="AH326">
            <v>3.59</v>
          </cell>
          <cell r="AI326" t="str">
            <v>–</v>
          </cell>
          <cell r="AJ326" t="str">
            <v>–</v>
          </cell>
          <cell r="AK326" t="str">
            <v>–</v>
          </cell>
          <cell r="AL326" t="str">
            <v>–</v>
          </cell>
          <cell r="AM326">
            <v>6.07</v>
          </cell>
          <cell r="AN326">
            <v>176</v>
          </cell>
        </row>
        <row r="327">
          <cell r="C327" t="str">
            <v>WT7X141.5</v>
          </cell>
          <cell r="D327" t="str">
            <v>T</v>
          </cell>
          <cell r="E327">
            <v>141.5</v>
          </cell>
          <cell r="F327">
            <v>41.6</v>
          </cell>
          <cell r="G327" t="str">
            <v>WT7X141.5</v>
          </cell>
          <cell r="H327">
            <v>8.3699999999999992</v>
          </cell>
          <cell r="I327">
            <v>8.375</v>
          </cell>
          <cell r="J327" t="str">
            <v>–</v>
          </cell>
          <cell r="K327" t="str">
            <v>–</v>
          </cell>
          <cell r="L327" t="str">
            <v>–</v>
          </cell>
          <cell r="M327">
            <v>16.100000000000001</v>
          </cell>
          <cell r="N327">
            <v>16.125</v>
          </cell>
          <cell r="O327" t="str">
            <v>–</v>
          </cell>
          <cell r="P327" t="str">
            <v>–</v>
          </cell>
          <cell r="Q327" t="str">
            <v>–</v>
          </cell>
          <cell r="R327">
            <v>1.29</v>
          </cell>
          <cell r="S327">
            <v>1.3125</v>
          </cell>
          <cell r="T327">
            <v>0.6875</v>
          </cell>
          <cell r="U327">
            <v>2.0699999999999998</v>
          </cell>
          <cell r="V327">
            <v>2.0625</v>
          </cell>
          <cell r="W327">
            <v>2.0699999999999998</v>
          </cell>
          <cell r="X327" t="str">
            <v>–</v>
          </cell>
          <cell r="Y327" t="str">
            <v>–</v>
          </cell>
          <cell r="Z327">
            <v>2.67</v>
          </cell>
          <cell r="AA327">
            <v>3.375</v>
          </cell>
          <cell r="AB327" t="str">
            <v>–</v>
          </cell>
          <cell r="AC327" t="str">
            <v>–</v>
          </cell>
          <cell r="AD327">
            <v>1.86</v>
          </cell>
          <cell r="AE327" t="str">
            <v>–</v>
          </cell>
          <cell r="AF327" t="str">
            <v>–</v>
          </cell>
          <cell r="AG327">
            <v>1.29</v>
          </cell>
          <cell r="AH327">
            <v>3.89</v>
          </cell>
          <cell r="AI327" t="str">
            <v>–</v>
          </cell>
          <cell r="AJ327" t="str">
            <v>–</v>
          </cell>
          <cell r="AK327" t="str">
            <v>–</v>
          </cell>
          <cell r="AL327" t="str">
            <v>–</v>
          </cell>
          <cell r="AM327">
            <v>6.49</v>
          </cell>
          <cell r="AN327">
            <v>153</v>
          </cell>
        </row>
        <row r="328">
          <cell r="C328" t="str">
            <v>WT7X128.5</v>
          </cell>
          <cell r="D328" t="str">
            <v>F</v>
          </cell>
          <cell r="E328">
            <v>128.5</v>
          </cell>
          <cell r="F328">
            <v>37.799999999999997</v>
          </cell>
          <cell r="G328" t="str">
            <v>WT7X128.5</v>
          </cell>
          <cell r="H328">
            <v>8.19</v>
          </cell>
          <cell r="I328">
            <v>8.25</v>
          </cell>
          <cell r="J328" t="str">
            <v>–</v>
          </cell>
          <cell r="K328" t="str">
            <v>–</v>
          </cell>
          <cell r="L328" t="str">
            <v>–</v>
          </cell>
          <cell r="M328">
            <v>16</v>
          </cell>
          <cell r="N328">
            <v>16</v>
          </cell>
          <cell r="O328" t="str">
            <v>–</v>
          </cell>
          <cell r="P328" t="str">
            <v>–</v>
          </cell>
          <cell r="Q328" t="str">
            <v>–</v>
          </cell>
          <cell r="R328">
            <v>1.18</v>
          </cell>
          <cell r="S328">
            <v>1.1875</v>
          </cell>
          <cell r="T328">
            <v>0.625</v>
          </cell>
          <cell r="U328">
            <v>1.89</v>
          </cell>
          <cell r="V328">
            <v>1.875</v>
          </cell>
          <cell r="W328">
            <v>1.89</v>
          </cell>
          <cell r="X328" t="str">
            <v>–</v>
          </cell>
          <cell r="Y328" t="str">
            <v>–</v>
          </cell>
          <cell r="Z328">
            <v>2.4900000000000002</v>
          </cell>
          <cell r="AA328">
            <v>3.1875</v>
          </cell>
          <cell r="AB328" t="str">
            <v>–</v>
          </cell>
          <cell r="AC328" t="str">
            <v>–</v>
          </cell>
          <cell r="AD328">
            <v>1.75</v>
          </cell>
          <cell r="AE328" t="str">
            <v>–</v>
          </cell>
          <cell r="AF328" t="str">
            <v>–</v>
          </cell>
          <cell r="AG328">
            <v>1.18</v>
          </cell>
          <cell r="AH328">
            <v>4.2300000000000004</v>
          </cell>
          <cell r="AI328" t="str">
            <v>–</v>
          </cell>
          <cell r="AJ328" t="str">
            <v>–</v>
          </cell>
          <cell r="AK328" t="str">
            <v>–</v>
          </cell>
          <cell r="AL328" t="str">
            <v>–</v>
          </cell>
          <cell r="AM328">
            <v>6.94</v>
          </cell>
          <cell r="AN328">
            <v>133</v>
          </cell>
        </row>
        <row r="329">
          <cell r="C329" t="str">
            <v>WT7X116.5</v>
          </cell>
          <cell r="D329" t="str">
            <v>F</v>
          </cell>
          <cell r="E329">
            <v>116.5</v>
          </cell>
          <cell r="F329">
            <v>34.200000000000003</v>
          </cell>
          <cell r="G329" t="str">
            <v>WT7X116.5</v>
          </cell>
          <cell r="H329">
            <v>8.02</v>
          </cell>
          <cell r="I329">
            <v>8</v>
          </cell>
          <cell r="J329" t="str">
            <v>–</v>
          </cell>
          <cell r="K329" t="str">
            <v>–</v>
          </cell>
          <cell r="L329" t="str">
            <v>–</v>
          </cell>
          <cell r="M329">
            <v>15.9</v>
          </cell>
          <cell r="N329">
            <v>15.875</v>
          </cell>
          <cell r="O329" t="str">
            <v>–</v>
          </cell>
          <cell r="P329" t="str">
            <v>–</v>
          </cell>
          <cell r="Q329" t="str">
            <v>–</v>
          </cell>
          <cell r="R329">
            <v>1.07</v>
          </cell>
          <cell r="S329">
            <v>1.0625</v>
          </cell>
          <cell r="T329">
            <v>0.5625</v>
          </cell>
          <cell r="U329">
            <v>1.72</v>
          </cell>
          <cell r="V329">
            <v>1.75</v>
          </cell>
          <cell r="W329">
            <v>1.72</v>
          </cell>
          <cell r="X329" t="str">
            <v>–</v>
          </cell>
          <cell r="Y329" t="str">
            <v>–</v>
          </cell>
          <cell r="Z329">
            <v>2.3199999999999998</v>
          </cell>
          <cell r="AA329">
            <v>3</v>
          </cell>
          <cell r="AB329" t="str">
            <v>–</v>
          </cell>
          <cell r="AC329" t="str">
            <v>–</v>
          </cell>
          <cell r="AD329">
            <v>1.65</v>
          </cell>
          <cell r="AE329" t="str">
            <v>–</v>
          </cell>
          <cell r="AF329" t="str">
            <v>–</v>
          </cell>
          <cell r="AG329">
            <v>1.08</v>
          </cell>
          <cell r="AH329">
            <v>4.62</v>
          </cell>
          <cell r="AI329" t="str">
            <v>–</v>
          </cell>
          <cell r="AJ329" t="str">
            <v>–</v>
          </cell>
          <cell r="AK329" t="str">
            <v>–</v>
          </cell>
          <cell r="AL329" t="str">
            <v>–</v>
          </cell>
          <cell r="AM329">
            <v>7.5</v>
          </cell>
          <cell r="AN329">
            <v>116</v>
          </cell>
        </row>
        <row r="330">
          <cell r="C330" t="str">
            <v>WT7X105.5</v>
          </cell>
          <cell r="D330" t="str">
            <v>F</v>
          </cell>
          <cell r="E330">
            <v>105.5</v>
          </cell>
          <cell r="F330">
            <v>31</v>
          </cell>
          <cell r="G330" t="str">
            <v>WT7X105.5</v>
          </cell>
          <cell r="H330">
            <v>7.86</v>
          </cell>
          <cell r="I330">
            <v>7.875</v>
          </cell>
          <cell r="J330" t="str">
            <v>–</v>
          </cell>
          <cell r="K330" t="str">
            <v>–</v>
          </cell>
          <cell r="L330" t="str">
            <v>–</v>
          </cell>
          <cell r="M330">
            <v>15.8</v>
          </cell>
          <cell r="N330">
            <v>15.75</v>
          </cell>
          <cell r="O330" t="str">
            <v>–</v>
          </cell>
          <cell r="P330" t="str">
            <v>–</v>
          </cell>
          <cell r="Q330" t="str">
            <v>–</v>
          </cell>
          <cell r="R330">
            <v>0.98</v>
          </cell>
          <cell r="S330">
            <v>1</v>
          </cell>
          <cell r="T330">
            <v>0.5</v>
          </cell>
          <cell r="U330">
            <v>1.56</v>
          </cell>
          <cell r="V330">
            <v>1.5625</v>
          </cell>
          <cell r="W330">
            <v>1.56</v>
          </cell>
          <cell r="X330" t="str">
            <v>–</v>
          </cell>
          <cell r="Y330" t="str">
            <v>–</v>
          </cell>
          <cell r="Z330">
            <v>2.16</v>
          </cell>
          <cell r="AA330">
            <v>2.875</v>
          </cell>
          <cell r="AB330" t="str">
            <v>–</v>
          </cell>
          <cell r="AC330" t="str">
            <v>–</v>
          </cell>
          <cell r="AD330">
            <v>1.57</v>
          </cell>
          <cell r="AE330" t="str">
            <v>–</v>
          </cell>
          <cell r="AF330" t="str">
            <v>–</v>
          </cell>
          <cell r="AG330">
            <v>0.98</v>
          </cell>
          <cell r="AH330">
            <v>5.0599999999999996</v>
          </cell>
          <cell r="AI330" t="str">
            <v>–</v>
          </cell>
          <cell r="AJ330" t="str">
            <v>–</v>
          </cell>
          <cell r="AK330" t="str">
            <v>–</v>
          </cell>
          <cell r="AL330" t="str">
            <v>–</v>
          </cell>
          <cell r="AM330">
            <v>8.02</v>
          </cell>
          <cell r="AN330">
            <v>102</v>
          </cell>
        </row>
        <row r="331">
          <cell r="C331" t="str">
            <v>WT7X96.5</v>
          </cell>
          <cell r="D331" t="str">
            <v>F</v>
          </cell>
          <cell r="E331">
            <v>96.5</v>
          </cell>
          <cell r="F331">
            <v>28.4</v>
          </cell>
          <cell r="G331" t="str">
            <v>WT7X96.5</v>
          </cell>
          <cell r="H331">
            <v>7.74</v>
          </cell>
          <cell r="I331">
            <v>7.75</v>
          </cell>
          <cell r="J331" t="str">
            <v>–</v>
          </cell>
          <cell r="K331" t="str">
            <v>–</v>
          </cell>
          <cell r="L331" t="str">
            <v>–</v>
          </cell>
          <cell r="M331">
            <v>15.7</v>
          </cell>
          <cell r="N331">
            <v>15.75</v>
          </cell>
          <cell r="O331" t="str">
            <v>–</v>
          </cell>
          <cell r="P331" t="str">
            <v>–</v>
          </cell>
          <cell r="Q331" t="str">
            <v>–</v>
          </cell>
          <cell r="R331">
            <v>0.89</v>
          </cell>
          <cell r="S331">
            <v>0.875</v>
          </cell>
          <cell r="T331">
            <v>0.4375</v>
          </cell>
          <cell r="U331">
            <v>1.44</v>
          </cell>
          <cell r="V331">
            <v>1.4375</v>
          </cell>
          <cell r="W331">
            <v>1.44</v>
          </cell>
          <cell r="X331" t="str">
            <v>–</v>
          </cell>
          <cell r="Y331" t="str">
            <v>–</v>
          </cell>
          <cell r="Z331">
            <v>2.04</v>
          </cell>
          <cell r="AA331">
            <v>2.75</v>
          </cell>
          <cell r="AB331" t="str">
            <v>–</v>
          </cell>
          <cell r="AC331" t="str">
            <v>–</v>
          </cell>
          <cell r="AD331">
            <v>1.49</v>
          </cell>
          <cell r="AE331" t="str">
            <v>–</v>
          </cell>
          <cell r="AF331" t="str">
            <v>–</v>
          </cell>
          <cell r="AG331">
            <v>0.90300000000000002</v>
          </cell>
          <cell r="AH331">
            <v>5.45</v>
          </cell>
          <cell r="AI331" t="str">
            <v>–</v>
          </cell>
          <cell r="AJ331" t="str">
            <v>–</v>
          </cell>
          <cell r="AK331" t="str">
            <v>–</v>
          </cell>
          <cell r="AL331" t="str">
            <v>–</v>
          </cell>
          <cell r="AM331">
            <v>8.6999999999999993</v>
          </cell>
          <cell r="AN331">
            <v>89.8</v>
          </cell>
        </row>
        <row r="332">
          <cell r="C332" t="str">
            <v>WT7X88</v>
          </cell>
          <cell r="D332" t="str">
            <v>F</v>
          </cell>
          <cell r="E332">
            <v>88</v>
          </cell>
          <cell r="F332">
            <v>25.9</v>
          </cell>
          <cell r="G332" t="str">
            <v>WT7X88</v>
          </cell>
          <cell r="H332">
            <v>7.61</v>
          </cell>
          <cell r="I332">
            <v>7.625</v>
          </cell>
          <cell r="J332" t="str">
            <v>–</v>
          </cell>
          <cell r="K332" t="str">
            <v>–</v>
          </cell>
          <cell r="L332" t="str">
            <v>–</v>
          </cell>
          <cell r="M332">
            <v>15.7</v>
          </cell>
          <cell r="N332">
            <v>15.625</v>
          </cell>
          <cell r="O332" t="str">
            <v>–</v>
          </cell>
          <cell r="P332" t="str">
            <v>–</v>
          </cell>
          <cell r="Q332" t="str">
            <v>–</v>
          </cell>
          <cell r="R332">
            <v>0.83</v>
          </cell>
          <cell r="S332">
            <v>0.8125</v>
          </cell>
          <cell r="T332">
            <v>0.4375</v>
          </cell>
          <cell r="U332">
            <v>1.31</v>
          </cell>
          <cell r="V332">
            <v>1.3125</v>
          </cell>
          <cell r="W332">
            <v>1.31</v>
          </cell>
          <cell r="X332" t="str">
            <v>–</v>
          </cell>
          <cell r="Y332" t="str">
            <v>–</v>
          </cell>
          <cell r="Z332">
            <v>1.91</v>
          </cell>
          <cell r="AA332">
            <v>2.625</v>
          </cell>
          <cell r="AB332" t="str">
            <v>–</v>
          </cell>
          <cell r="AC332" t="str">
            <v>–</v>
          </cell>
          <cell r="AD332">
            <v>1.43</v>
          </cell>
          <cell r="AE332" t="str">
            <v>–</v>
          </cell>
          <cell r="AF332" t="str">
            <v>–</v>
          </cell>
          <cell r="AG332">
            <v>0.82699999999999996</v>
          </cell>
          <cell r="AH332">
            <v>5.97</v>
          </cell>
          <cell r="AI332" t="str">
            <v>–</v>
          </cell>
          <cell r="AJ332" t="str">
            <v>–</v>
          </cell>
          <cell r="AK332" t="str">
            <v>–</v>
          </cell>
          <cell r="AL332" t="str">
            <v>–</v>
          </cell>
          <cell r="AM332">
            <v>9.17</v>
          </cell>
          <cell r="AN332">
            <v>80.5</v>
          </cell>
        </row>
        <row r="333">
          <cell r="C333" t="str">
            <v>WT7X79.5</v>
          </cell>
          <cell r="D333" t="str">
            <v>F</v>
          </cell>
          <cell r="E333">
            <v>79.5</v>
          </cell>
          <cell r="F333">
            <v>23.4</v>
          </cell>
          <cell r="G333" t="str">
            <v>WT7X79.5</v>
          </cell>
          <cell r="H333">
            <v>7.49</v>
          </cell>
          <cell r="I333">
            <v>7.5</v>
          </cell>
          <cell r="J333" t="str">
            <v>–</v>
          </cell>
          <cell r="K333" t="str">
            <v>–</v>
          </cell>
          <cell r="L333" t="str">
            <v>–</v>
          </cell>
          <cell r="M333">
            <v>15.6</v>
          </cell>
          <cell r="N333">
            <v>15.625</v>
          </cell>
          <cell r="O333" t="str">
            <v>–</v>
          </cell>
          <cell r="P333" t="str">
            <v>–</v>
          </cell>
          <cell r="Q333" t="str">
            <v>–</v>
          </cell>
          <cell r="R333">
            <v>0.745</v>
          </cell>
          <cell r="S333">
            <v>0.75</v>
          </cell>
          <cell r="T333">
            <v>0.375</v>
          </cell>
          <cell r="U333">
            <v>1.19</v>
          </cell>
          <cell r="V333">
            <v>1.1875</v>
          </cell>
          <cell r="W333">
            <v>1.19</v>
          </cell>
          <cell r="X333" t="str">
            <v>–</v>
          </cell>
          <cell r="Y333" t="str">
            <v>–</v>
          </cell>
          <cell r="Z333">
            <v>1.79</v>
          </cell>
          <cell r="AA333">
            <v>2.5</v>
          </cell>
          <cell r="AB333" t="str">
            <v>–</v>
          </cell>
          <cell r="AC333" t="str">
            <v>–</v>
          </cell>
          <cell r="AD333">
            <v>1.35</v>
          </cell>
          <cell r="AE333" t="str">
            <v>–</v>
          </cell>
          <cell r="AF333" t="str">
            <v>–</v>
          </cell>
          <cell r="AG333">
            <v>0.751</v>
          </cell>
          <cell r="AH333">
            <v>6.54</v>
          </cell>
          <cell r="AI333" t="str">
            <v>–</v>
          </cell>
          <cell r="AJ333" t="str">
            <v>–</v>
          </cell>
          <cell r="AK333" t="str">
            <v>–</v>
          </cell>
          <cell r="AL333" t="str">
            <v>–</v>
          </cell>
          <cell r="AM333">
            <v>10.1</v>
          </cell>
          <cell r="AN333">
            <v>70.2</v>
          </cell>
        </row>
        <row r="334">
          <cell r="C334" t="str">
            <v>WT7X72.5</v>
          </cell>
          <cell r="D334" t="str">
            <v>F</v>
          </cell>
          <cell r="E334">
            <v>72.5</v>
          </cell>
          <cell r="F334">
            <v>21.3</v>
          </cell>
          <cell r="G334" t="str">
            <v>WT7X72.5</v>
          </cell>
          <cell r="H334">
            <v>7.39</v>
          </cell>
          <cell r="I334">
            <v>7.375</v>
          </cell>
          <cell r="J334" t="str">
            <v>–</v>
          </cell>
          <cell r="K334" t="str">
            <v>–</v>
          </cell>
          <cell r="L334" t="str">
            <v>–</v>
          </cell>
          <cell r="M334">
            <v>15.5</v>
          </cell>
          <cell r="N334">
            <v>15.5</v>
          </cell>
          <cell r="O334" t="str">
            <v>–</v>
          </cell>
          <cell r="P334" t="str">
            <v>–</v>
          </cell>
          <cell r="Q334" t="str">
            <v>–</v>
          </cell>
          <cell r="R334">
            <v>0.68</v>
          </cell>
          <cell r="S334">
            <v>0.6875</v>
          </cell>
          <cell r="T334">
            <v>0.375</v>
          </cell>
          <cell r="U334">
            <v>1.0900000000000001</v>
          </cell>
          <cell r="V334">
            <v>1.0625</v>
          </cell>
          <cell r="W334">
            <v>1.0900000000000001</v>
          </cell>
          <cell r="X334" t="str">
            <v>–</v>
          </cell>
          <cell r="Y334" t="str">
            <v>–</v>
          </cell>
          <cell r="Z334">
            <v>1.69</v>
          </cell>
          <cell r="AA334">
            <v>2.375</v>
          </cell>
          <cell r="AB334" t="str">
            <v>–</v>
          </cell>
          <cell r="AC334" t="str">
            <v>–</v>
          </cell>
          <cell r="AD334">
            <v>1.29</v>
          </cell>
          <cell r="AE334" t="str">
            <v>–</v>
          </cell>
          <cell r="AF334" t="str">
            <v>–</v>
          </cell>
          <cell r="AG334">
            <v>0.68799999999999994</v>
          </cell>
          <cell r="AH334">
            <v>7.11</v>
          </cell>
          <cell r="AI334" t="str">
            <v>–</v>
          </cell>
          <cell r="AJ334" t="str">
            <v>–</v>
          </cell>
          <cell r="AK334" t="str">
            <v>–</v>
          </cell>
          <cell r="AL334" t="str">
            <v>–</v>
          </cell>
          <cell r="AM334">
            <v>10.9</v>
          </cell>
          <cell r="AN334">
            <v>62.5</v>
          </cell>
        </row>
        <row r="335">
          <cell r="C335" t="str">
            <v>WT7X66</v>
          </cell>
          <cell r="D335" t="str">
            <v>F</v>
          </cell>
          <cell r="E335">
            <v>66</v>
          </cell>
          <cell r="F335">
            <v>19.399999999999999</v>
          </cell>
          <cell r="G335" t="str">
            <v>WT7X66</v>
          </cell>
          <cell r="H335">
            <v>7.33</v>
          </cell>
          <cell r="I335">
            <v>7.375</v>
          </cell>
          <cell r="J335" t="str">
            <v>–</v>
          </cell>
          <cell r="K335" t="str">
            <v>–</v>
          </cell>
          <cell r="L335" t="str">
            <v>–</v>
          </cell>
          <cell r="M335">
            <v>14.7</v>
          </cell>
          <cell r="N335">
            <v>14.75</v>
          </cell>
          <cell r="O335" t="str">
            <v>–</v>
          </cell>
          <cell r="P335" t="str">
            <v>–</v>
          </cell>
          <cell r="Q335" t="str">
            <v>–</v>
          </cell>
          <cell r="R335">
            <v>0.64500000000000002</v>
          </cell>
          <cell r="S335">
            <v>0.625</v>
          </cell>
          <cell r="T335">
            <v>0.3125</v>
          </cell>
          <cell r="U335">
            <v>1.03</v>
          </cell>
          <cell r="V335">
            <v>1</v>
          </cell>
          <cell r="W335">
            <v>1.03</v>
          </cell>
          <cell r="X335" t="str">
            <v>–</v>
          </cell>
          <cell r="Y335" t="str">
            <v>–</v>
          </cell>
          <cell r="Z335">
            <v>1.63</v>
          </cell>
          <cell r="AA335">
            <v>2.3125</v>
          </cell>
          <cell r="AB335" t="str">
            <v>–</v>
          </cell>
          <cell r="AC335" t="str">
            <v>–</v>
          </cell>
          <cell r="AD335">
            <v>1.29</v>
          </cell>
          <cell r="AE335" t="str">
            <v>–</v>
          </cell>
          <cell r="AF335" t="str">
            <v>–</v>
          </cell>
          <cell r="AG335">
            <v>0.65800000000000003</v>
          </cell>
          <cell r="AH335">
            <v>7.15</v>
          </cell>
          <cell r="AI335" t="str">
            <v>–</v>
          </cell>
          <cell r="AJ335" t="str">
            <v>–</v>
          </cell>
          <cell r="AK335" t="str">
            <v>–</v>
          </cell>
          <cell r="AL335" t="str">
            <v>–</v>
          </cell>
          <cell r="AM335">
            <v>11.4</v>
          </cell>
          <cell r="AN335">
            <v>57.8</v>
          </cell>
        </row>
        <row r="336">
          <cell r="C336" t="str">
            <v>WT7X60</v>
          </cell>
          <cell r="D336" t="str">
            <v>F</v>
          </cell>
          <cell r="E336">
            <v>60</v>
          </cell>
          <cell r="F336">
            <v>17.7</v>
          </cell>
          <cell r="G336" t="str">
            <v>WT7X60</v>
          </cell>
          <cell r="H336">
            <v>7.24</v>
          </cell>
          <cell r="I336">
            <v>7.25</v>
          </cell>
          <cell r="J336" t="str">
            <v>–</v>
          </cell>
          <cell r="K336" t="str">
            <v>–</v>
          </cell>
          <cell r="L336" t="str">
            <v>–</v>
          </cell>
          <cell r="M336">
            <v>14.7</v>
          </cell>
          <cell r="N336">
            <v>14.625</v>
          </cell>
          <cell r="O336" t="str">
            <v>–</v>
          </cell>
          <cell r="P336" t="str">
            <v>–</v>
          </cell>
          <cell r="Q336" t="str">
            <v>–</v>
          </cell>
          <cell r="R336">
            <v>0.59</v>
          </cell>
          <cell r="S336">
            <v>0.5625</v>
          </cell>
          <cell r="T336">
            <v>0.3125</v>
          </cell>
          <cell r="U336">
            <v>0.94</v>
          </cell>
          <cell r="V336">
            <v>0.9375</v>
          </cell>
          <cell r="W336">
            <v>0.94</v>
          </cell>
          <cell r="X336" t="str">
            <v>–</v>
          </cell>
          <cell r="Y336" t="str">
            <v>–</v>
          </cell>
          <cell r="Z336">
            <v>1.54</v>
          </cell>
          <cell r="AA336">
            <v>2.25</v>
          </cell>
          <cell r="AB336" t="str">
            <v>–</v>
          </cell>
          <cell r="AC336" t="str">
            <v>–</v>
          </cell>
          <cell r="AD336">
            <v>1.24</v>
          </cell>
          <cell r="AE336" t="str">
            <v>–</v>
          </cell>
          <cell r="AF336" t="str">
            <v>–</v>
          </cell>
          <cell r="AG336">
            <v>0.60199999999999998</v>
          </cell>
          <cell r="AH336">
            <v>7.8</v>
          </cell>
          <cell r="AI336" t="str">
            <v>–</v>
          </cell>
          <cell r="AJ336" t="str">
            <v>–</v>
          </cell>
          <cell r="AK336" t="str">
            <v>–</v>
          </cell>
          <cell r="AL336" t="str">
            <v>–</v>
          </cell>
          <cell r="AM336">
            <v>12.3</v>
          </cell>
          <cell r="AN336">
            <v>51.7</v>
          </cell>
        </row>
        <row r="337">
          <cell r="C337" t="str">
            <v>WT7X54.5</v>
          </cell>
          <cell r="D337" t="str">
            <v>F</v>
          </cell>
          <cell r="E337">
            <v>54.5</v>
          </cell>
          <cell r="F337">
            <v>16</v>
          </cell>
          <cell r="G337" t="str">
            <v>WT7X54.5</v>
          </cell>
          <cell r="H337">
            <v>7.16</v>
          </cell>
          <cell r="I337">
            <v>7.125</v>
          </cell>
          <cell r="J337" t="str">
            <v>–</v>
          </cell>
          <cell r="K337" t="str">
            <v>–</v>
          </cell>
          <cell r="L337" t="str">
            <v>–</v>
          </cell>
          <cell r="M337">
            <v>14.6</v>
          </cell>
          <cell r="N337">
            <v>14.625</v>
          </cell>
          <cell r="O337" t="str">
            <v>–</v>
          </cell>
          <cell r="P337" t="str">
            <v>–</v>
          </cell>
          <cell r="Q337" t="str">
            <v>–</v>
          </cell>
          <cell r="R337">
            <v>0.52500000000000002</v>
          </cell>
          <cell r="S337">
            <v>0.5</v>
          </cell>
          <cell r="T337">
            <v>0.25</v>
          </cell>
          <cell r="U337">
            <v>0.86</v>
          </cell>
          <cell r="V337">
            <v>0.875</v>
          </cell>
          <cell r="W337">
            <v>0.86</v>
          </cell>
          <cell r="X337" t="str">
            <v>–</v>
          </cell>
          <cell r="Y337" t="str">
            <v>–</v>
          </cell>
          <cell r="Z337">
            <v>1.46</v>
          </cell>
          <cell r="AA337">
            <v>2.1875</v>
          </cell>
          <cell r="AB337" t="str">
            <v>–</v>
          </cell>
          <cell r="AC337" t="str">
            <v>–</v>
          </cell>
          <cell r="AD337">
            <v>1.17</v>
          </cell>
          <cell r="AE337" t="str">
            <v>–</v>
          </cell>
          <cell r="AF337" t="str">
            <v>–</v>
          </cell>
          <cell r="AG337">
            <v>0.54800000000000004</v>
          </cell>
          <cell r="AH337">
            <v>8.49</v>
          </cell>
          <cell r="AI337" t="str">
            <v>–</v>
          </cell>
          <cell r="AJ337" t="str">
            <v>–</v>
          </cell>
          <cell r="AK337" t="str">
            <v>–</v>
          </cell>
          <cell r="AL337" t="str">
            <v>–</v>
          </cell>
          <cell r="AM337">
            <v>13.6</v>
          </cell>
          <cell r="AN337">
            <v>45.3</v>
          </cell>
        </row>
        <row r="338">
          <cell r="C338" t="str">
            <v>WT7X49.5</v>
          </cell>
          <cell r="D338" t="str">
            <v>F</v>
          </cell>
          <cell r="E338">
            <v>49.5</v>
          </cell>
          <cell r="F338">
            <v>14.6</v>
          </cell>
          <cell r="G338" t="str">
            <v>WT7X49.5</v>
          </cell>
          <cell r="H338">
            <v>7.08</v>
          </cell>
          <cell r="I338">
            <v>7.125</v>
          </cell>
          <cell r="J338" t="str">
            <v>–</v>
          </cell>
          <cell r="K338" t="str">
            <v>–</v>
          </cell>
          <cell r="L338" t="str">
            <v>–</v>
          </cell>
          <cell r="M338">
            <v>14.6</v>
          </cell>
          <cell r="N338">
            <v>14.625</v>
          </cell>
          <cell r="O338" t="str">
            <v>–</v>
          </cell>
          <cell r="P338" t="str">
            <v>–</v>
          </cell>
          <cell r="Q338" t="str">
            <v>–</v>
          </cell>
          <cell r="R338">
            <v>0.48499999999999999</v>
          </cell>
          <cell r="S338">
            <v>0.5</v>
          </cell>
          <cell r="T338">
            <v>0.25</v>
          </cell>
          <cell r="U338">
            <v>0.78</v>
          </cell>
          <cell r="V338">
            <v>0.75</v>
          </cell>
          <cell r="W338">
            <v>0.78</v>
          </cell>
          <cell r="X338" t="str">
            <v>–</v>
          </cell>
          <cell r="Y338" t="str">
            <v>–</v>
          </cell>
          <cell r="Z338">
            <v>1.38</v>
          </cell>
          <cell r="AA338">
            <v>2.0625</v>
          </cell>
          <cell r="AB338" t="str">
            <v>–</v>
          </cell>
          <cell r="AC338" t="str">
            <v>–</v>
          </cell>
          <cell r="AD338">
            <v>1.1399999999999999</v>
          </cell>
          <cell r="AE338" t="str">
            <v>–</v>
          </cell>
          <cell r="AF338" t="str">
            <v>–</v>
          </cell>
          <cell r="AG338">
            <v>0.5</v>
          </cell>
          <cell r="AH338">
            <v>9.34</v>
          </cell>
          <cell r="AI338" t="str">
            <v>–</v>
          </cell>
          <cell r="AJ338" t="str">
            <v>–</v>
          </cell>
          <cell r="AK338" t="str">
            <v>–</v>
          </cell>
          <cell r="AL338" t="str">
            <v>–</v>
          </cell>
          <cell r="AM338">
            <v>14.6</v>
          </cell>
          <cell r="AN338">
            <v>40.9</v>
          </cell>
        </row>
        <row r="339">
          <cell r="C339" t="str">
            <v>WT7X45</v>
          </cell>
          <cell r="D339" t="str">
            <v>F</v>
          </cell>
          <cell r="E339">
            <v>45</v>
          </cell>
          <cell r="F339">
            <v>13.2</v>
          </cell>
          <cell r="G339" t="str">
            <v>WT7X45</v>
          </cell>
          <cell r="H339">
            <v>7.01</v>
          </cell>
          <cell r="I339">
            <v>7</v>
          </cell>
          <cell r="J339" t="str">
            <v>–</v>
          </cell>
          <cell r="K339" t="str">
            <v>–</v>
          </cell>
          <cell r="L339" t="str">
            <v>–</v>
          </cell>
          <cell r="M339">
            <v>14.5</v>
          </cell>
          <cell r="N339">
            <v>14.5</v>
          </cell>
          <cell r="O339" t="str">
            <v>–</v>
          </cell>
          <cell r="P339" t="str">
            <v>–</v>
          </cell>
          <cell r="Q339" t="str">
            <v>–</v>
          </cell>
          <cell r="R339">
            <v>0.44</v>
          </cell>
          <cell r="S339">
            <v>0.4375</v>
          </cell>
          <cell r="T339">
            <v>0.25</v>
          </cell>
          <cell r="U339">
            <v>0.71</v>
          </cell>
          <cell r="V339">
            <v>0.6875</v>
          </cell>
          <cell r="W339">
            <v>0.71</v>
          </cell>
          <cell r="X339" t="str">
            <v>–</v>
          </cell>
          <cell r="Y339" t="str">
            <v>–</v>
          </cell>
          <cell r="Z339">
            <v>1.31</v>
          </cell>
          <cell r="AA339">
            <v>2</v>
          </cell>
          <cell r="AB339" t="str">
            <v>–</v>
          </cell>
          <cell r="AC339" t="str">
            <v>–</v>
          </cell>
          <cell r="AD339">
            <v>1.0900000000000001</v>
          </cell>
          <cell r="AE339" t="str">
            <v>–</v>
          </cell>
          <cell r="AF339" t="str">
            <v>–</v>
          </cell>
          <cell r="AG339">
            <v>0.45600000000000002</v>
          </cell>
          <cell r="AH339">
            <v>10.199999999999999</v>
          </cell>
          <cell r="AI339" t="str">
            <v>–</v>
          </cell>
          <cell r="AJ339" t="str">
            <v>–</v>
          </cell>
          <cell r="AK339" t="str">
            <v>–</v>
          </cell>
          <cell r="AL339" t="str">
            <v>–</v>
          </cell>
          <cell r="AM339">
            <v>15.9</v>
          </cell>
          <cell r="AN339">
            <v>36.5</v>
          </cell>
        </row>
        <row r="340">
          <cell r="C340" t="str">
            <v>WT7X41</v>
          </cell>
          <cell r="D340" t="str">
            <v>F</v>
          </cell>
          <cell r="E340">
            <v>41</v>
          </cell>
          <cell r="F340">
            <v>12</v>
          </cell>
          <cell r="G340" t="str">
            <v>WT7X41</v>
          </cell>
          <cell r="H340">
            <v>7.16</v>
          </cell>
          <cell r="I340">
            <v>7.125</v>
          </cell>
          <cell r="J340" t="str">
            <v>–</v>
          </cell>
          <cell r="K340" t="str">
            <v>–</v>
          </cell>
          <cell r="L340" t="str">
            <v>–</v>
          </cell>
          <cell r="M340">
            <v>10.1</v>
          </cell>
          <cell r="N340">
            <v>10.125</v>
          </cell>
          <cell r="O340" t="str">
            <v>–</v>
          </cell>
          <cell r="P340" t="str">
            <v>–</v>
          </cell>
          <cell r="Q340" t="str">
            <v>–</v>
          </cell>
          <cell r="R340">
            <v>0.51</v>
          </cell>
          <cell r="S340">
            <v>0.5</v>
          </cell>
          <cell r="T340">
            <v>0.25</v>
          </cell>
          <cell r="U340">
            <v>0.85499999999999998</v>
          </cell>
          <cell r="V340">
            <v>0.875</v>
          </cell>
          <cell r="W340">
            <v>0.85499999999999998</v>
          </cell>
          <cell r="X340" t="str">
            <v>–</v>
          </cell>
          <cell r="Y340" t="str">
            <v>–</v>
          </cell>
          <cell r="Z340">
            <v>1.45</v>
          </cell>
          <cell r="AA340">
            <v>1.6875</v>
          </cell>
          <cell r="AB340" t="str">
            <v>–</v>
          </cell>
          <cell r="AC340" t="str">
            <v>–</v>
          </cell>
          <cell r="AD340">
            <v>1.39</v>
          </cell>
          <cell r="AE340" t="str">
            <v>–</v>
          </cell>
          <cell r="AF340" t="str">
            <v>–</v>
          </cell>
          <cell r="AG340">
            <v>0.59299999999999997</v>
          </cell>
          <cell r="AH340">
            <v>5.92</v>
          </cell>
          <cell r="AI340" t="str">
            <v>–</v>
          </cell>
          <cell r="AJ340" t="str">
            <v>–</v>
          </cell>
          <cell r="AK340" t="str">
            <v>–</v>
          </cell>
          <cell r="AL340" t="str">
            <v>–</v>
          </cell>
          <cell r="AM340">
            <v>14</v>
          </cell>
          <cell r="AN340">
            <v>41.2</v>
          </cell>
        </row>
        <row r="341">
          <cell r="C341" t="str">
            <v>WT7X37</v>
          </cell>
          <cell r="D341" t="str">
            <v>F</v>
          </cell>
          <cell r="E341">
            <v>37</v>
          </cell>
          <cell r="F341">
            <v>10.9</v>
          </cell>
          <cell r="G341" t="str">
            <v>WT7X37</v>
          </cell>
          <cell r="H341">
            <v>7.09</v>
          </cell>
          <cell r="I341">
            <v>7.125</v>
          </cell>
          <cell r="J341" t="str">
            <v>–</v>
          </cell>
          <cell r="K341" t="str">
            <v>–</v>
          </cell>
          <cell r="L341" t="str">
            <v>–</v>
          </cell>
          <cell r="M341">
            <v>10.1</v>
          </cell>
          <cell r="N341">
            <v>10.125</v>
          </cell>
          <cell r="O341" t="str">
            <v>–</v>
          </cell>
          <cell r="P341" t="str">
            <v>–</v>
          </cell>
          <cell r="Q341" t="str">
            <v>–</v>
          </cell>
          <cell r="R341">
            <v>0.45</v>
          </cell>
          <cell r="S341">
            <v>0.4375</v>
          </cell>
          <cell r="T341">
            <v>0.25</v>
          </cell>
          <cell r="U341">
            <v>0.78500000000000003</v>
          </cell>
          <cell r="V341">
            <v>0.8125</v>
          </cell>
          <cell r="W341">
            <v>0.78500000000000003</v>
          </cell>
          <cell r="X341" t="str">
            <v>–</v>
          </cell>
          <cell r="Y341" t="str">
            <v>–</v>
          </cell>
          <cell r="Z341">
            <v>1.38</v>
          </cell>
          <cell r="AA341">
            <v>1.625</v>
          </cell>
          <cell r="AB341" t="str">
            <v>–</v>
          </cell>
          <cell r="AC341" t="str">
            <v>–</v>
          </cell>
          <cell r="AD341">
            <v>1.32</v>
          </cell>
          <cell r="AE341" t="str">
            <v>–</v>
          </cell>
          <cell r="AF341" t="str">
            <v>–</v>
          </cell>
          <cell r="AG341">
            <v>0.54100000000000004</v>
          </cell>
          <cell r="AH341">
            <v>6.41</v>
          </cell>
          <cell r="AI341" t="str">
            <v>–</v>
          </cell>
          <cell r="AJ341" t="str">
            <v>–</v>
          </cell>
          <cell r="AK341" t="str">
            <v>–</v>
          </cell>
          <cell r="AL341" t="str">
            <v>–</v>
          </cell>
          <cell r="AM341">
            <v>15.8</v>
          </cell>
          <cell r="AN341">
            <v>36</v>
          </cell>
        </row>
        <row r="342">
          <cell r="C342" t="str">
            <v>WT7X34</v>
          </cell>
          <cell r="D342" t="str">
            <v>F</v>
          </cell>
          <cell r="E342">
            <v>34</v>
          </cell>
          <cell r="F342">
            <v>10</v>
          </cell>
          <cell r="G342" t="str">
            <v>WT7X34</v>
          </cell>
          <cell r="H342">
            <v>7.02</v>
          </cell>
          <cell r="I342">
            <v>7</v>
          </cell>
          <cell r="J342" t="str">
            <v>–</v>
          </cell>
          <cell r="K342" t="str">
            <v>–</v>
          </cell>
          <cell r="L342" t="str">
            <v>–</v>
          </cell>
          <cell r="M342">
            <v>10</v>
          </cell>
          <cell r="N342">
            <v>10</v>
          </cell>
          <cell r="O342" t="str">
            <v>–</v>
          </cell>
          <cell r="P342" t="str">
            <v>–</v>
          </cell>
          <cell r="Q342" t="str">
            <v>–</v>
          </cell>
          <cell r="R342">
            <v>0.41499999999999998</v>
          </cell>
          <cell r="S342">
            <v>0.4375</v>
          </cell>
          <cell r="T342">
            <v>0.25</v>
          </cell>
          <cell r="U342">
            <v>0.72</v>
          </cell>
          <cell r="V342">
            <v>0.75</v>
          </cell>
          <cell r="W342">
            <v>0.72</v>
          </cell>
          <cell r="X342" t="str">
            <v>–</v>
          </cell>
          <cell r="Y342" t="str">
            <v>–</v>
          </cell>
          <cell r="Z342">
            <v>1.31</v>
          </cell>
          <cell r="AA342">
            <v>1.5625</v>
          </cell>
          <cell r="AB342" t="str">
            <v>–</v>
          </cell>
          <cell r="AC342" t="str">
            <v>–</v>
          </cell>
          <cell r="AD342">
            <v>1.29</v>
          </cell>
          <cell r="AE342" t="str">
            <v>–</v>
          </cell>
          <cell r="AF342" t="str">
            <v>–</v>
          </cell>
          <cell r="AG342">
            <v>0.498</v>
          </cell>
          <cell r="AH342">
            <v>6.97</v>
          </cell>
          <cell r="AI342" t="str">
            <v>–</v>
          </cell>
          <cell r="AJ342" t="str">
            <v>–</v>
          </cell>
          <cell r="AK342" t="str">
            <v>–</v>
          </cell>
          <cell r="AL342" t="str">
            <v>–</v>
          </cell>
          <cell r="AM342">
            <v>16.899999999999999</v>
          </cell>
          <cell r="AN342">
            <v>32.6</v>
          </cell>
        </row>
        <row r="343">
          <cell r="C343" t="str">
            <v>WT7X30.5</v>
          </cell>
          <cell r="D343" t="str">
            <v>F</v>
          </cell>
          <cell r="E343">
            <v>30.5</v>
          </cell>
          <cell r="F343">
            <v>8.9600000000000009</v>
          </cell>
          <cell r="G343" t="str">
            <v>WT7X30.5</v>
          </cell>
          <cell r="H343">
            <v>6.95</v>
          </cell>
          <cell r="I343">
            <v>7</v>
          </cell>
          <cell r="J343" t="str">
            <v>–</v>
          </cell>
          <cell r="K343" t="str">
            <v>–</v>
          </cell>
          <cell r="L343" t="str">
            <v>–</v>
          </cell>
          <cell r="M343">
            <v>10</v>
          </cell>
          <cell r="N343">
            <v>10</v>
          </cell>
          <cell r="O343" t="str">
            <v>–</v>
          </cell>
          <cell r="P343" t="str">
            <v>–</v>
          </cell>
          <cell r="Q343" t="str">
            <v>–</v>
          </cell>
          <cell r="R343">
            <v>0.375</v>
          </cell>
          <cell r="S343">
            <v>0.375</v>
          </cell>
          <cell r="T343">
            <v>0.1875</v>
          </cell>
          <cell r="U343">
            <v>0.64500000000000002</v>
          </cell>
          <cell r="V343">
            <v>0.625</v>
          </cell>
          <cell r="W343">
            <v>0.64500000000000002</v>
          </cell>
          <cell r="X343" t="str">
            <v>–</v>
          </cell>
          <cell r="Y343" t="str">
            <v>–</v>
          </cell>
          <cell r="Z343">
            <v>1.24</v>
          </cell>
          <cell r="AA343">
            <v>1.5</v>
          </cell>
          <cell r="AB343" t="str">
            <v>–</v>
          </cell>
          <cell r="AC343" t="str">
            <v>–</v>
          </cell>
          <cell r="AD343">
            <v>1.25</v>
          </cell>
          <cell r="AE343" t="str">
            <v>–</v>
          </cell>
          <cell r="AF343" t="str">
            <v>–</v>
          </cell>
          <cell r="AG343">
            <v>0.44800000000000001</v>
          </cell>
          <cell r="AH343">
            <v>7.75</v>
          </cell>
          <cell r="AI343" t="str">
            <v>–</v>
          </cell>
          <cell r="AJ343" t="str">
            <v>–</v>
          </cell>
          <cell r="AK343" t="str">
            <v>–</v>
          </cell>
          <cell r="AL343" t="str">
            <v>–</v>
          </cell>
          <cell r="AM343">
            <v>18.5</v>
          </cell>
          <cell r="AN343">
            <v>28.9</v>
          </cell>
        </row>
        <row r="344">
          <cell r="C344" t="str">
            <v>WT7X26.5</v>
          </cell>
          <cell r="D344" t="str">
            <v>F</v>
          </cell>
          <cell r="E344">
            <v>26.5</v>
          </cell>
          <cell r="F344">
            <v>7.8</v>
          </cell>
          <cell r="G344" t="str">
            <v>WT7X26.5</v>
          </cell>
          <cell r="H344">
            <v>6.96</v>
          </cell>
          <cell r="I344">
            <v>7</v>
          </cell>
          <cell r="J344" t="str">
            <v>–</v>
          </cell>
          <cell r="K344" t="str">
            <v>–</v>
          </cell>
          <cell r="L344" t="str">
            <v>–</v>
          </cell>
          <cell r="M344">
            <v>8.06</v>
          </cell>
          <cell r="N344">
            <v>8</v>
          </cell>
          <cell r="O344" t="str">
            <v>–</v>
          </cell>
          <cell r="P344" t="str">
            <v>–</v>
          </cell>
          <cell r="Q344" t="str">
            <v>–</v>
          </cell>
          <cell r="R344">
            <v>0.37</v>
          </cell>
          <cell r="S344">
            <v>0.375</v>
          </cell>
          <cell r="T344">
            <v>0.1875</v>
          </cell>
          <cell r="U344">
            <v>0.66</v>
          </cell>
          <cell r="V344">
            <v>0.6875</v>
          </cell>
          <cell r="W344">
            <v>0.66</v>
          </cell>
          <cell r="X344" t="str">
            <v>–</v>
          </cell>
          <cell r="Y344" t="str">
            <v>–</v>
          </cell>
          <cell r="Z344">
            <v>1.25</v>
          </cell>
          <cell r="AA344">
            <v>1.5</v>
          </cell>
          <cell r="AB344" t="str">
            <v>–</v>
          </cell>
          <cell r="AC344" t="str">
            <v>–</v>
          </cell>
          <cell r="AD344">
            <v>1.38</v>
          </cell>
          <cell r="AE344" t="str">
            <v>–</v>
          </cell>
          <cell r="AF344" t="str">
            <v>–</v>
          </cell>
          <cell r="AG344">
            <v>0.48399999999999999</v>
          </cell>
          <cell r="AH344">
            <v>6.11</v>
          </cell>
          <cell r="AI344" t="str">
            <v>–</v>
          </cell>
          <cell r="AJ344" t="str">
            <v>–</v>
          </cell>
          <cell r="AK344" t="str">
            <v>–</v>
          </cell>
          <cell r="AL344" t="str">
            <v>–</v>
          </cell>
          <cell r="AM344">
            <v>18.8</v>
          </cell>
          <cell r="AN344">
            <v>27.6</v>
          </cell>
        </row>
        <row r="345">
          <cell r="C345" t="str">
            <v>WT7X24</v>
          </cell>
          <cell r="D345" t="str">
            <v>F</v>
          </cell>
          <cell r="E345">
            <v>24</v>
          </cell>
          <cell r="F345">
            <v>7.07</v>
          </cell>
          <cell r="G345" t="str">
            <v>WT7X24</v>
          </cell>
          <cell r="H345">
            <v>6.9</v>
          </cell>
          <cell r="I345">
            <v>6.875</v>
          </cell>
          <cell r="J345" t="str">
            <v>–</v>
          </cell>
          <cell r="K345" t="str">
            <v>–</v>
          </cell>
          <cell r="L345" t="str">
            <v>–</v>
          </cell>
          <cell r="M345">
            <v>8.0299999999999994</v>
          </cell>
          <cell r="N345">
            <v>8</v>
          </cell>
          <cell r="O345" t="str">
            <v>–</v>
          </cell>
          <cell r="P345" t="str">
            <v>–</v>
          </cell>
          <cell r="Q345" t="str">
            <v>–</v>
          </cell>
          <cell r="R345">
            <v>0.34</v>
          </cell>
          <cell r="S345">
            <v>0.3125</v>
          </cell>
          <cell r="T345">
            <v>0.1875</v>
          </cell>
          <cell r="U345">
            <v>0.59499999999999997</v>
          </cell>
          <cell r="V345">
            <v>0.625</v>
          </cell>
          <cell r="W345">
            <v>0.59499999999999997</v>
          </cell>
          <cell r="X345" t="str">
            <v>–</v>
          </cell>
          <cell r="Y345" t="str">
            <v>–</v>
          </cell>
          <cell r="Z345">
            <v>1.19</v>
          </cell>
          <cell r="AA345">
            <v>1.4375</v>
          </cell>
          <cell r="AB345" t="str">
            <v>–</v>
          </cell>
          <cell r="AC345" t="str">
            <v>–</v>
          </cell>
          <cell r="AD345">
            <v>1.35</v>
          </cell>
          <cell r="AE345" t="str">
            <v>–</v>
          </cell>
          <cell r="AF345" t="str">
            <v>–</v>
          </cell>
          <cell r="AG345">
            <v>0.44</v>
          </cell>
          <cell r="AH345">
            <v>6.75</v>
          </cell>
          <cell r="AI345" t="str">
            <v>–</v>
          </cell>
          <cell r="AJ345" t="str">
            <v>–</v>
          </cell>
          <cell r="AK345" t="str">
            <v>–</v>
          </cell>
          <cell r="AL345" t="str">
            <v>–</v>
          </cell>
          <cell r="AM345">
            <v>20.3</v>
          </cell>
          <cell r="AN345">
            <v>24.9</v>
          </cell>
        </row>
        <row r="346">
          <cell r="C346" t="str">
            <v>WT7X21.5</v>
          </cell>
          <cell r="D346" t="str">
            <v>F</v>
          </cell>
          <cell r="E346">
            <v>21.5</v>
          </cell>
          <cell r="F346">
            <v>6.31</v>
          </cell>
          <cell r="G346" t="str">
            <v>WT7X21.5</v>
          </cell>
          <cell r="H346">
            <v>6.83</v>
          </cell>
          <cell r="I346">
            <v>6.875</v>
          </cell>
          <cell r="J346" t="str">
            <v>–</v>
          </cell>
          <cell r="K346" t="str">
            <v>–</v>
          </cell>
          <cell r="L346" t="str">
            <v>–</v>
          </cell>
          <cell r="M346">
            <v>8</v>
          </cell>
          <cell r="N346">
            <v>8</v>
          </cell>
          <cell r="O346" t="str">
            <v>–</v>
          </cell>
          <cell r="P346" t="str">
            <v>–</v>
          </cell>
          <cell r="Q346" t="str">
            <v>–</v>
          </cell>
          <cell r="R346">
            <v>0.30499999999999999</v>
          </cell>
          <cell r="S346">
            <v>0.3125</v>
          </cell>
          <cell r="T346">
            <v>0.1875</v>
          </cell>
          <cell r="U346">
            <v>0.53</v>
          </cell>
          <cell r="V346">
            <v>0.5</v>
          </cell>
          <cell r="W346">
            <v>0.53</v>
          </cell>
          <cell r="X346" t="str">
            <v>–</v>
          </cell>
          <cell r="Y346" t="str">
            <v>–</v>
          </cell>
          <cell r="Z346">
            <v>1.1200000000000001</v>
          </cell>
          <cell r="AA346">
            <v>1.375</v>
          </cell>
          <cell r="AB346" t="str">
            <v>–</v>
          </cell>
          <cell r="AC346" t="str">
            <v>–</v>
          </cell>
          <cell r="AD346">
            <v>1.31</v>
          </cell>
          <cell r="AE346" t="str">
            <v>–</v>
          </cell>
          <cell r="AF346" t="str">
            <v>–</v>
          </cell>
          <cell r="AG346">
            <v>0.39500000000000002</v>
          </cell>
          <cell r="AH346">
            <v>7.54</v>
          </cell>
          <cell r="AI346" t="str">
            <v>–</v>
          </cell>
          <cell r="AJ346" t="str">
            <v>–</v>
          </cell>
          <cell r="AK346" t="str">
            <v>–</v>
          </cell>
          <cell r="AL346" t="str">
            <v>–</v>
          </cell>
          <cell r="AM346">
            <v>22.4</v>
          </cell>
          <cell r="AN346">
            <v>21.9</v>
          </cell>
        </row>
        <row r="347">
          <cell r="C347" t="str">
            <v>WT7X19</v>
          </cell>
          <cell r="D347" t="str">
            <v>F</v>
          </cell>
          <cell r="E347">
            <v>19</v>
          </cell>
          <cell r="F347">
            <v>5.58</v>
          </cell>
          <cell r="G347" t="str">
            <v>WT7X19</v>
          </cell>
          <cell r="H347">
            <v>7.05</v>
          </cell>
          <cell r="I347">
            <v>7</v>
          </cell>
          <cell r="J347" t="str">
            <v>–</v>
          </cell>
          <cell r="K347" t="str">
            <v>–</v>
          </cell>
          <cell r="L347" t="str">
            <v>–</v>
          </cell>
          <cell r="M347">
            <v>6.77</v>
          </cell>
          <cell r="N347">
            <v>6.75</v>
          </cell>
          <cell r="O347" t="str">
            <v>–</v>
          </cell>
          <cell r="P347" t="str">
            <v>–</v>
          </cell>
          <cell r="Q347" t="str">
            <v>–</v>
          </cell>
          <cell r="R347">
            <v>0.31</v>
          </cell>
          <cell r="S347">
            <v>0.3125</v>
          </cell>
          <cell r="T347">
            <v>0.1875</v>
          </cell>
          <cell r="U347">
            <v>0.51500000000000001</v>
          </cell>
          <cell r="V347">
            <v>0.5</v>
          </cell>
          <cell r="W347">
            <v>0.51500000000000001</v>
          </cell>
          <cell r="X347" t="str">
            <v>–</v>
          </cell>
          <cell r="Y347" t="str">
            <v>–</v>
          </cell>
          <cell r="Z347">
            <v>0.91500000000000004</v>
          </cell>
          <cell r="AA347">
            <v>1.25</v>
          </cell>
          <cell r="AB347" t="str">
            <v>–</v>
          </cell>
          <cell r="AC347" t="str">
            <v>–</v>
          </cell>
          <cell r="AD347">
            <v>1.54</v>
          </cell>
          <cell r="AE347" t="str">
            <v>–</v>
          </cell>
          <cell r="AF347" t="str">
            <v>–</v>
          </cell>
          <cell r="AG347">
            <v>0.41199999999999998</v>
          </cell>
          <cell r="AH347">
            <v>6.57</v>
          </cell>
          <cell r="AI347" t="str">
            <v>–</v>
          </cell>
          <cell r="AJ347" t="str">
            <v>–</v>
          </cell>
          <cell r="AK347" t="str">
            <v>–</v>
          </cell>
          <cell r="AL347" t="str">
            <v>–</v>
          </cell>
          <cell r="AM347">
            <v>22.7</v>
          </cell>
          <cell r="AN347">
            <v>23.3</v>
          </cell>
        </row>
        <row r="348">
          <cell r="C348" t="str">
            <v>WT7X17</v>
          </cell>
          <cell r="D348" t="str">
            <v>F</v>
          </cell>
          <cell r="E348">
            <v>17</v>
          </cell>
          <cell r="F348">
            <v>5</v>
          </cell>
          <cell r="G348" t="str">
            <v>WT7X17</v>
          </cell>
          <cell r="H348">
            <v>6.99</v>
          </cell>
          <cell r="I348">
            <v>7</v>
          </cell>
          <cell r="J348" t="str">
            <v>–</v>
          </cell>
          <cell r="K348" t="str">
            <v>–</v>
          </cell>
          <cell r="L348" t="str">
            <v>–</v>
          </cell>
          <cell r="M348">
            <v>6.75</v>
          </cell>
          <cell r="N348">
            <v>6.75</v>
          </cell>
          <cell r="O348" t="str">
            <v>–</v>
          </cell>
          <cell r="P348" t="str">
            <v>–</v>
          </cell>
          <cell r="Q348" t="str">
            <v>–</v>
          </cell>
          <cell r="R348">
            <v>0.28499999999999998</v>
          </cell>
          <cell r="S348">
            <v>0.3125</v>
          </cell>
          <cell r="T348">
            <v>0.1875</v>
          </cell>
          <cell r="U348">
            <v>0.45500000000000002</v>
          </cell>
          <cell r="V348">
            <v>0.4375</v>
          </cell>
          <cell r="W348">
            <v>0.45500000000000002</v>
          </cell>
          <cell r="X348" t="str">
            <v>–</v>
          </cell>
          <cell r="Y348" t="str">
            <v>–</v>
          </cell>
          <cell r="Z348">
            <v>0.85499999999999998</v>
          </cell>
          <cell r="AA348">
            <v>1.1875</v>
          </cell>
          <cell r="AB348" t="str">
            <v>–</v>
          </cell>
          <cell r="AC348" t="str">
            <v>–</v>
          </cell>
          <cell r="AD348">
            <v>1.53</v>
          </cell>
          <cell r="AE348" t="str">
            <v>–</v>
          </cell>
          <cell r="AF348" t="str">
            <v>–</v>
          </cell>
          <cell r="AG348">
            <v>0.371</v>
          </cell>
          <cell r="AH348">
            <v>7.41</v>
          </cell>
          <cell r="AI348" t="str">
            <v>–</v>
          </cell>
          <cell r="AJ348" t="str">
            <v>–</v>
          </cell>
          <cell r="AK348" t="str">
            <v>–</v>
          </cell>
          <cell r="AL348" t="str">
            <v>–</v>
          </cell>
          <cell r="AM348">
            <v>24.5</v>
          </cell>
          <cell r="AN348">
            <v>20.9</v>
          </cell>
        </row>
        <row r="349">
          <cell r="C349" t="str">
            <v>WT7X15</v>
          </cell>
          <cell r="D349" t="str">
            <v>F</v>
          </cell>
          <cell r="E349">
            <v>15</v>
          </cell>
          <cell r="F349">
            <v>4.42</v>
          </cell>
          <cell r="G349" t="str">
            <v>WT7X15</v>
          </cell>
          <cell r="H349">
            <v>6.92</v>
          </cell>
          <cell r="I349">
            <v>6.875</v>
          </cell>
          <cell r="J349" t="str">
            <v>–</v>
          </cell>
          <cell r="K349" t="str">
            <v>–</v>
          </cell>
          <cell r="L349" t="str">
            <v>–</v>
          </cell>
          <cell r="M349">
            <v>6.73</v>
          </cell>
          <cell r="N349">
            <v>6.75</v>
          </cell>
          <cell r="O349" t="str">
            <v>–</v>
          </cell>
          <cell r="P349" t="str">
            <v>–</v>
          </cell>
          <cell r="Q349" t="str">
            <v>–</v>
          </cell>
          <cell r="R349">
            <v>0.27</v>
          </cell>
          <cell r="S349">
            <v>0.25</v>
          </cell>
          <cell r="T349">
            <v>0.125</v>
          </cell>
          <cell r="U349">
            <v>0.38500000000000001</v>
          </cell>
          <cell r="V349">
            <v>0.375</v>
          </cell>
          <cell r="W349">
            <v>0.38500000000000001</v>
          </cell>
          <cell r="X349" t="str">
            <v>–</v>
          </cell>
          <cell r="Y349" t="str">
            <v>–</v>
          </cell>
          <cell r="Z349">
            <v>0.78500000000000003</v>
          </cell>
          <cell r="AA349">
            <v>1.125</v>
          </cell>
          <cell r="AB349" t="str">
            <v>–</v>
          </cell>
          <cell r="AC349" t="str">
            <v>–</v>
          </cell>
          <cell r="AD349">
            <v>1.58</v>
          </cell>
          <cell r="AE349" t="str">
            <v>–</v>
          </cell>
          <cell r="AF349" t="str">
            <v>–</v>
          </cell>
          <cell r="AG349">
            <v>0.32900000000000001</v>
          </cell>
          <cell r="AH349">
            <v>8.74</v>
          </cell>
          <cell r="AI349" t="str">
            <v>–</v>
          </cell>
          <cell r="AJ349" t="str">
            <v>–</v>
          </cell>
          <cell r="AK349" t="str">
            <v>–</v>
          </cell>
          <cell r="AL349" t="str">
            <v>–</v>
          </cell>
          <cell r="AM349">
            <v>25.6</v>
          </cell>
          <cell r="AN349">
            <v>19</v>
          </cell>
        </row>
        <row r="350">
          <cell r="C350" t="str">
            <v>WT7X13</v>
          </cell>
          <cell r="D350" t="str">
            <v>F</v>
          </cell>
          <cell r="E350">
            <v>13</v>
          </cell>
          <cell r="F350">
            <v>3.85</v>
          </cell>
          <cell r="G350" t="str">
            <v>WT7X13</v>
          </cell>
          <cell r="H350">
            <v>6.96</v>
          </cell>
          <cell r="I350">
            <v>7</v>
          </cell>
          <cell r="J350" t="str">
            <v>–</v>
          </cell>
          <cell r="K350" t="str">
            <v>–</v>
          </cell>
          <cell r="L350" t="str">
            <v>–</v>
          </cell>
          <cell r="M350">
            <v>5.03</v>
          </cell>
          <cell r="N350">
            <v>5</v>
          </cell>
          <cell r="O350" t="str">
            <v>–</v>
          </cell>
          <cell r="P350" t="str">
            <v>–</v>
          </cell>
          <cell r="Q350" t="str">
            <v>–</v>
          </cell>
          <cell r="R350">
            <v>0.255</v>
          </cell>
          <cell r="S350">
            <v>0.25</v>
          </cell>
          <cell r="T350">
            <v>0.125</v>
          </cell>
          <cell r="U350">
            <v>0.42</v>
          </cell>
          <cell r="V350">
            <v>0.4375</v>
          </cell>
          <cell r="W350">
            <v>0.42</v>
          </cell>
          <cell r="X350" t="str">
            <v>–</v>
          </cell>
          <cell r="Y350" t="str">
            <v>–</v>
          </cell>
          <cell r="Z350">
            <v>0.82</v>
          </cell>
          <cell r="AA350">
            <v>1.125</v>
          </cell>
          <cell r="AB350" t="str">
            <v>–</v>
          </cell>
          <cell r="AC350" t="str">
            <v>–</v>
          </cell>
          <cell r="AD350">
            <v>1.72</v>
          </cell>
          <cell r="AE350" t="str">
            <v>–</v>
          </cell>
          <cell r="AF350" t="str">
            <v>–</v>
          </cell>
          <cell r="AG350">
            <v>0.38300000000000001</v>
          </cell>
          <cell r="AH350">
            <v>5.98</v>
          </cell>
          <cell r="AI350" t="str">
            <v>–</v>
          </cell>
          <cell r="AJ350" t="str">
            <v>–</v>
          </cell>
          <cell r="AK350" t="str">
            <v>–</v>
          </cell>
          <cell r="AL350" t="str">
            <v>–</v>
          </cell>
          <cell r="AM350">
            <v>27.3</v>
          </cell>
          <cell r="AN350">
            <v>17.3</v>
          </cell>
        </row>
        <row r="351">
          <cell r="C351" t="str">
            <v>WT7X11</v>
          </cell>
          <cell r="D351" t="str">
            <v>F</v>
          </cell>
          <cell r="E351">
            <v>11</v>
          </cell>
          <cell r="F351">
            <v>3.25</v>
          </cell>
          <cell r="G351" t="str">
            <v>WT7X11</v>
          </cell>
          <cell r="H351">
            <v>6.87</v>
          </cell>
          <cell r="I351">
            <v>6.875</v>
          </cell>
          <cell r="J351" t="str">
            <v>–</v>
          </cell>
          <cell r="K351" t="str">
            <v>–</v>
          </cell>
          <cell r="L351" t="str">
            <v>–</v>
          </cell>
          <cell r="M351">
            <v>5</v>
          </cell>
          <cell r="N351">
            <v>5</v>
          </cell>
          <cell r="O351" t="str">
            <v>–</v>
          </cell>
          <cell r="P351" t="str">
            <v>–</v>
          </cell>
          <cell r="Q351" t="str">
            <v>–</v>
          </cell>
          <cell r="R351">
            <v>0.23</v>
          </cell>
          <cell r="S351">
            <v>0.25</v>
          </cell>
          <cell r="T351">
            <v>0.125</v>
          </cell>
          <cell r="U351">
            <v>0.33500000000000002</v>
          </cell>
          <cell r="V351">
            <v>0.3125</v>
          </cell>
          <cell r="W351">
            <v>0.33500000000000002</v>
          </cell>
          <cell r="X351" t="str">
            <v>–</v>
          </cell>
          <cell r="Y351" t="str">
            <v>–</v>
          </cell>
          <cell r="Z351">
            <v>0.73499999999999999</v>
          </cell>
          <cell r="AA351">
            <v>1.0625</v>
          </cell>
          <cell r="AB351" t="str">
            <v>–</v>
          </cell>
          <cell r="AC351" t="str">
            <v>–</v>
          </cell>
          <cell r="AD351">
            <v>1.76</v>
          </cell>
          <cell r="AE351" t="str">
            <v>–</v>
          </cell>
          <cell r="AF351" t="str">
            <v>–</v>
          </cell>
          <cell r="AG351">
            <v>0.32500000000000001</v>
          </cell>
          <cell r="AH351">
            <v>7.46</v>
          </cell>
          <cell r="AI351" t="str">
            <v>–</v>
          </cell>
          <cell r="AJ351" t="str">
            <v>–</v>
          </cell>
          <cell r="AK351" t="str">
            <v>–</v>
          </cell>
          <cell r="AL351" t="str">
            <v>–</v>
          </cell>
          <cell r="AM351">
            <v>29.9</v>
          </cell>
          <cell r="AN351">
            <v>14.8</v>
          </cell>
        </row>
        <row r="352">
          <cell r="C352" t="str">
            <v>WT6X168</v>
          </cell>
          <cell r="D352" t="str">
            <v>T</v>
          </cell>
          <cell r="E352">
            <v>168</v>
          </cell>
          <cell r="F352">
            <v>49.5</v>
          </cell>
          <cell r="G352" t="str">
            <v>WT6X168</v>
          </cell>
          <cell r="H352">
            <v>8.41</v>
          </cell>
          <cell r="I352">
            <v>8.375</v>
          </cell>
          <cell r="J352" t="str">
            <v>–</v>
          </cell>
          <cell r="K352" t="str">
            <v>–</v>
          </cell>
          <cell r="L352" t="str">
            <v>–</v>
          </cell>
          <cell r="M352">
            <v>13.4</v>
          </cell>
          <cell r="N352">
            <v>13.375</v>
          </cell>
          <cell r="O352" t="str">
            <v>–</v>
          </cell>
          <cell r="P352" t="str">
            <v>–</v>
          </cell>
          <cell r="Q352" t="str">
            <v>–</v>
          </cell>
          <cell r="R352">
            <v>1.78</v>
          </cell>
          <cell r="S352">
            <v>1.75</v>
          </cell>
          <cell r="T352">
            <v>0.875</v>
          </cell>
          <cell r="U352">
            <v>2.96</v>
          </cell>
          <cell r="V352">
            <v>2.9375</v>
          </cell>
          <cell r="W352">
            <v>2.96</v>
          </cell>
          <cell r="X352" t="str">
            <v>–</v>
          </cell>
          <cell r="Y352" t="str">
            <v>–</v>
          </cell>
          <cell r="Z352">
            <v>3.55</v>
          </cell>
          <cell r="AA352">
            <v>3.875</v>
          </cell>
          <cell r="AB352" t="str">
            <v>–</v>
          </cell>
          <cell r="AC352" t="str">
            <v>–</v>
          </cell>
          <cell r="AD352">
            <v>2.31</v>
          </cell>
          <cell r="AE352" t="str">
            <v>–</v>
          </cell>
          <cell r="AF352" t="str">
            <v>–</v>
          </cell>
          <cell r="AG352">
            <v>1.84</v>
          </cell>
          <cell r="AH352">
            <v>2.2599999999999998</v>
          </cell>
          <cell r="AI352" t="str">
            <v>–</v>
          </cell>
          <cell r="AJ352" t="str">
            <v>–</v>
          </cell>
          <cell r="AK352" t="str">
            <v>–</v>
          </cell>
          <cell r="AL352" t="str">
            <v>–</v>
          </cell>
          <cell r="AM352">
            <v>4.72</v>
          </cell>
          <cell r="AN352">
            <v>190</v>
          </cell>
        </row>
        <row r="353">
          <cell r="C353" t="str">
            <v>WT6X152.5</v>
          </cell>
          <cell r="D353" t="str">
            <v>T</v>
          </cell>
          <cell r="E353">
            <v>152.5</v>
          </cell>
          <cell r="F353">
            <v>44.7</v>
          </cell>
          <cell r="G353" t="str">
            <v>WT6X152.5</v>
          </cell>
          <cell r="H353">
            <v>8.16</v>
          </cell>
          <cell r="I353">
            <v>8.125</v>
          </cell>
          <cell r="J353" t="str">
            <v>–</v>
          </cell>
          <cell r="K353" t="str">
            <v>–</v>
          </cell>
          <cell r="L353" t="str">
            <v>–</v>
          </cell>
          <cell r="M353">
            <v>13.2</v>
          </cell>
          <cell r="N353">
            <v>13.25</v>
          </cell>
          <cell r="O353" t="str">
            <v>–</v>
          </cell>
          <cell r="P353" t="str">
            <v>–</v>
          </cell>
          <cell r="Q353" t="str">
            <v>–</v>
          </cell>
          <cell r="R353">
            <v>1.63</v>
          </cell>
          <cell r="S353">
            <v>1.625</v>
          </cell>
          <cell r="T353">
            <v>0.8125</v>
          </cell>
          <cell r="U353">
            <v>2.71</v>
          </cell>
          <cell r="V353">
            <v>2.6875</v>
          </cell>
          <cell r="W353">
            <v>2.71</v>
          </cell>
          <cell r="X353" t="str">
            <v>–</v>
          </cell>
          <cell r="Y353" t="str">
            <v>–</v>
          </cell>
          <cell r="Z353">
            <v>3.3</v>
          </cell>
          <cell r="AA353">
            <v>3.625</v>
          </cell>
          <cell r="AB353" t="str">
            <v>–</v>
          </cell>
          <cell r="AC353" t="str">
            <v>–</v>
          </cell>
          <cell r="AD353">
            <v>2.16</v>
          </cell>
          <cell r="AE353" t="str">
            <v>–</v>
          </cell>
          <cell r="AF353" t="str">
            <v>–</v>
          </cell>
          <cell r="AG353">
            <v>1.69</v>
          </cell>
          <cell r="AH353">
            <v>2.4500000000000002</v>
          </cell>
          <cell r="AI353" t="str">
            <v>–</v>
          </cell>
          <cell r="AJ353" t="str">
            <v>–</v>
          </cell>
          <cell r="AK353" t="str">
            <v>–</v>
          </cell>
          <cell r="AL353" t="str">
            <v>–</v>
          </cell>
          <cell r="AM353">
            <v>5.01</v>
          </cell>
          <cell r="AN353">
            <v>162</v>
          </cell>
        </row>
        <row r="354">
          <cell r="C354" t="str">
            <v>WT6X139.5</v>
          </cell>
          <cell r="D354" t="str">
            <v>T</v>
          </cell>
          <cell r="E354">
            <v>139.5</v>
          </cell>
          <cell r="F354">
            <v>41</v>
          </cell>
          <cell r="G354" t="str">
            <v>WT6X139.5</v>
          </cell>
          <cell r="H354">
            <v>7.93</v>
          </cell>
          <cell r="I354">
            <v>7.875</v>
          </cell>
          <cell r="J354" t="str">
            <v>–</v>
          </cell>
          <cell r="K354" t="str">
            <v>–</v>
          </cell>
          <cell r="L354" t="str">
            <v>–</v>
          </cell>
          <cell r="M354">
            <v>13.1</v>
          </cell>
          <cell r="N354">
            <v>13.125</v>
          </cell>
          <cell r="O354" t="str">
            <v>–</v>
          </cell>
          <cell r="P354" t="str">
            <v>–</v>
          </cell>
          <cell r="Q354" t="str">
            <v>–</v>
          </cell>
          <cell r="R354">
            <v>1.53</v>
          </cell>
          <cell r="S354">
            <v>1.5</v>
          </cell>
          <cell r="T354">
            <v>0.75</v>
          </cell>
          <cell r="U354">
            <v>2.4700000000000002</v>
          </cell>
          <cell r="V354">
            <v>2.5</v>
          </cell>
          <cell r="W354">
            <v>2.4700000000000002</v>
          </cell>
          <cell r="X354" t="str">
            <v>–</v>
          </cell>
          <cell r="Y354" t="str">
            <v>–</v>
          </cell>
          <cell r="Z354">
            <v>3.07</v>
          </cell>
          <cell r="AA354">
            <v>3.375</v>
          </cell>
          <cell r="AB354" t="str">
            <v>–</v>
          </cell>
          <cell r="AC354" t="str">
            <v>–</v>
          </cell>
          <cell r="AD354">
            <v>2.0499999999999998</v>
          </cell>
          <cell r="AE354" t="str">
            <v>–</v>
          </cell>
          <cell r="AF354" t="str">
            <v>–</v>
          </cell>
          <cell r="AG354">
            <v>1.56</v>
          </cell>
          <cell r="AH354">
            <v>2.66</v>
          </cell>
          <cell r="AI354" t="str">
            <v>–</v>
          </cell>
          <cell r="AJ354" t="str">
            <v>–</v>
          </cell>
          <cell r="AK354" t="str">
            <v>–</v>
          </cell>
          <cell r="AL354" t="str">
            <v>–</v>
          </cell>
          <cell r="AM354">
            <v>5.18</v>
          </cell>
          <cell r="AN354">
            <v>141</v>
          </cell>
        </row>
        <row r="355">
          <cell r="C355" t="str">
            <v>WT6X126</v>
          </cell>
          <cell r="D355" t="str">
            <v>T</v>
          </cell>
          <cell r="E355">
            <v>126</v>
          </cell>
          <cell r="F355">
            <v>37.1</v>
          </cell>
          <cell r="G355" t="str">
            <v>WT6X126</v>
          </cell>
          <cell r="H355">
            <v>7.71</v>
          </cell>
          <cell r="I355">
            <v>7.75</v>
          </cell>
          <cell r="J355" t="str">
            <v>–</v>
          </cell>
          <cell r="K355" t="str">
            <v>–</v>
          </cell>
          <cell r="L355" t="str">
            <v>–</v>
          </cell>
          <cell r="M355">
            <v>13</v>
          </cell>
          <cell r="N355">
            <v>13</v>
          </cell>
          <cell r="O355" t="str">
            <v>–</v>
          </cell>
          <cell r="P355" t="str">
            <v>–</v>
          </cell>
          <cell r="Q355" t="str">
            <v>–</v>
          </cell>
          <cell r="R355">
            <v>1.4</v>
          </cell>
          <cell r="S355">
            <v>1.375</v>
          </cell>
          <cell r="T355">
            <v>0.6875</v>
          </cell>
          <cell r="U355">
            <v>2.25</v>
          </cell>
          <cell r="V355">
            <v>2.25</v>
          </cell>
          <cell r="W355">
            <v>2.25</v>
          </cell>
          <cell r="X355" t="str">
            <v>–</v>
          </cell>
          <cell r="Y355" t="str">
            <v>–</v>
          </cell>
          <cell r="Z355">
            <v>2.85</v>
          </cell>
          <cell r="AA355">
            <v>3.125</v>
          </cell>
          <cell r="AB355" t="str">
            <v>–</v>
          </cell>
          <cell r="AC355" t="str">
            <v>–</v>
          </cell>
          <cell r="AD355">
            <v>1.92</v>
          </cell>
          <cell r="AE355" t="str">
            <v>–</v>
          </cell>
          <cell r="AF355" t="str">
            <v>–</v>
          </cell>
          <cell r="AG355">
            <v>1.42</v>
          </cell>
          <cell r="AH355">
            <v>2.89</v>
          </cell>
          <cell r="AI355" t="str">
            <v>–</v>
          </cell>
          <cell r="AJ355" t="str">
            <v>–</v>
          </cell>
          <cell r="AK355" t="str">
            <v>–</v>
          </cell>
          <cell r="AL355" t="str">
            <v>–</v>
          </cell>
          <cell r="AM355">
            <v>5.51</v>
          </cell>
          <cell r="AN355">
            <v>121</v>
          </cell>
        </row>
        <row r="356">
          <cell r="C356" t="str">
            <v>WT6X115</v>
          </cell>
          <cell r="D356" t="str">
            <v>T</v>
          </cell>
          <cell r="E356">
            <v>115</v>
          </cell>
          <cell r="F356">
            <v>33.799999999999997</v>
          </cell>
          <cell r="G356" t="str">
            <v>WT6X115</v>
          </cell>
          <cell r="H356">
            <v>7.53</v>
          </cell>
          <cell r="I356">
            <v>7.5</v>
          </cell>
          <cell r="J356" t="str">
            <v>–</v>
          </cell>
          <cell r="K356" t="str">
            <v>–</v>
          </cell>
          <cell r="L356" t="str">
            <v>–</v>
          </cell>
          <cell r="M356">
            <v>12.9</v>
          </cell>
          <cell r="N356">
            <v>12.875</v>
          </cell>
          <cell r="O356" t="str">
            <v>–</v>
          </cell>
          <cell r="P356" t="str">
            <v>–</v>
          </cell>
          <cell r="Q356" t="str">
            <v>–</v>
          </cell>
          <cell r="R356">
            <v>1.29</v>
          </cell>
          <cell r="S356">
            <v>1.3125</v>
          </cell>
          <cell r="T356">
            <v>0.6875</v>
          </cell>
          <cell r="U356">
            <v>2.0699999999999998</v>
          </cell>
          <cell r="V356">
            <v>2.0625</v>
          </cell>
          <cell r="W356">
            <v>2.0699999999999998</v>
          </cell>
          <cell r="X356" t="str">
            <v>–</v>
          </cell>
          <cell r="Y356" t="str">
            <v>–</v>
          </cell>
          <cell r="Z356">
            <v>2.67</v>
          </cell>
          <cell r="AA356">
            <v>2.9375</v>
          </cell>
          <cell r="AB356" t="str">
            <v>–</v>
          </cell>
          <cell r="AC356" t="str">
            <v>–</v>
          </cell>
          <cell r="AD356">
            <v>1.82</v>
          </cell>
          <cell r="AE356" t="str">
            <v>–</v>
          </cell>
          <cell r="AF356" t="str">
            <v>–</v>
          </cell>
          <cell r="AG356">
            <v>1.31</v>
          </cell>
          <cell r="AH356">
            <v>3.11</v>
          </cell>
          <cell r="AI356" t="str">
            <v>–</v>
          </cell>
          <cell r="AJ356" t="str">
            <v>–</v>
          </cell>
          <cell r="AK356" t="str">
            <v>–</v>
          </cell>
          <cell r="AL356" t="str">
            <v>–</v>
          </cell>
          <cell r="AM356">
            <v>5.84</v>
          </cell>
          <cell r="AN356">
            <v>106</v>
          </cell>
        </row>
        <row r="357">
          <cell r="C357" t="str">
            <v>WT6X105</v>
          </cell>
          <cell r="D357" t="str">
            <v>F</v>
          </cell>
          <cell r="E357">
            <v>105</v>
          </cell>
          <cell r="F357">
            <v>30.9</v>
          </cell>
          <cell r="G357" t="str">
            <v>WT6X105</v>
          </cell>
          <cell r="H357">
            <v>7.36</v>
          </cell>
          <cell r="I357">
            <v>7.375</v>
          </cell>
          <cell r="J357" t="str">
            <v>–</v>
          </cell>
          <cell r="K357" t="str">
            <v>–</v>
          </cell>
          <cell r="L357" t="str">
            <v>–</v>
          </cell>
          <cell r="M357">
            <v>12.8</v>
          </cell>
          <cell r="N357">
            <v>12.75</v>
          </cell>
          <cell r="O357" t="str">
            <v>–</v>
          </cell>
          <cell r="P357" t="str">
            <v>–</v>
          </cell>
          <cell r="Q357" t="str">
            <v>–</v>
          </cell>
          <cell r="R357">
            <v>1.18</v>
          </cell>
          <cell r="S357">
            <v>1.1875</v>
          </cell>
          <cell r="T357">
            <v>0.625</v>
          </cell>
          <cell r="U357">
            <v>1.9</v>
          </cell>
          <cell r="V357">
            <v>1.875</v>
          </cell>
          <cell r="W357">
            <v>1.9</v>
          </cell>
          <cell r="X357" t="str">
            <v>–</v>
          </cell>
          <cell r="Y357" t="str">
            <v>–</v>
          </cell>
          <cell r="Z357">
            <v>2.5</v>
          </cell>
          <cell r="AA357">
            <v>2.8125</v>
          </cell>
          <cell r="AB357" t="str">
            <v>–</v>
          </cell>
          <cell r="AC357" t="str">
            <v>–</v>
          </cell>
          <cell r="AD357">
            <v>1.72</v>
          </cell>
          <cell r="AE357" t="str">
            <v>–</v>
          </cell>
          <cell r="AF357" t="str">
            <v>–</v>
          </cell>
          <cell r="AG357">
            <v>1.21</v>
          </cell>
          <cell r="AH357">
            <v>3.37</v>
          </cell>
          <cell r="AI357" t="str">
            <v>–</v>
          </cell>
          <cell r="AJ357" t="str">
            <v>–</v>
          </cell>
          <cell r="AK357" t="str">
            <v>–</v>
          </cell>
          <cell r="AL357" t="str">
            <v>–</v>
          </cell>
          <cell r="AM357">
            <v>6.24</v>
          </cell>
          <cell r="AN357">
            <v>92.1</v>
          </cell>
        </row>
        <row r="358">
          <cell r="C358" t="str">
            <v>WT6X95</v>
          </cell>
          <cell r="D358" t="str">
            <v>F</v>
          </cell>
          <cell r="E358">
            <v>95</v>
          </cell>
          <cell r="F358">
            <v>28</v>
          </cell>
          <cell r="G358" t="str">
            <v>WT6X95</v>
          </cell>
          <cell r="H358">
            <v>7.19</v>
          </cell>
          <cell r="I358">
            <v>7.25</v>
          </cell>
          <cell r="J358" t="str">
            <v>–</v>
          </cell>
          <cell r="K358" t="str">
            <v>–</v>
          </cell>
          <cell r="L358" t="str">
            <v>–</v>
          </cell>
          <cell r="M358">
            <v>12.7</v>
          </cell>
          <cell r="N358">
            <v>12.625</v>
          </cell>
          <cell r="O358" t="str">
            <v>–</v>
          </cell>
          <cell r="P358" t="str">
            <v>–</v>
          </cell>
          <cell r="Q358" t="str">
            <v>–</v>
          </cell>
          <cell r="R358">
            <v>1.06</v>
          </cell>
          <cell r="S358">
            <v>1.0625</v>
          </cell>
          <cell r="T358">
            <v>0.5625</v>
          </cell>
          <cell r="U358">
            <v>1.74</v>
          </cell>
          <cell r="V358">
            <v>1.75</v>
          </cell>
          <cell r="W358">
            <v>1.74</v>
          </cell>
          <cell r="X358" t="str">
            <v>–</v>
          </cell>
          <cell r="Y358" t="str">
            <v>–</v>
          </cell>
          <cell r="Z358">
            <v>2.33</v>
          </cell>
          <cell r="AA358">
            <v>2.625</v>
          </cell>
          <cell r="AB358" t="str">
            <v>–</v>
          </cell>
          <cell r="AC358" t="str">
            <v>–</v>
          </cell>
          <cell r="AD358">
            <v>1.62</v>
          </cell>
          <cell r="AE358" t="str">
            <v>–</v>
          </cell>
          <cell r="AF358" t="str">
            <v>–</v>
          </cell>
          <cell r="AG358">
            <v>1.1000000000000001</v>
          </cell>
          <cell r="AH358">
            <v>3.65</v>
          </cell>
          <cell r="AI358" t="str">
            <v>–</v>
          </cell>
          <cell r="AJ358" t="str">
            <v>–</v>
          </cell>
          <cell r="AK358" t="str">
            <v>–</v>
          </cell>
          <cell r="AL358" t="str">
            <v>–</v>
          </cell>
          <cell r="AM358">
            <v>6.78</v>
          </cell>
          <cell r="AN358">
            <v>79</v>
          </cell>
        </row>
        <row r="359">
          <cell r="C359" t="str">
            <v>WT6X85</v>
          </cell>
          <cell r="D359" t="str">
            <v>F</v>
          </cell>
          <cell r="E359">
            <v>85</v>
          </cell>
          <cell r="F359">
            <v>25</v>
          </cell>
          <cell r="G359" t="str">
            <v>WT6X85</v>
          </cell>
          <cell r="H359">
            <v>7.02</v>
          </cell>
          <cell r="I359">
            <v>7</v>
          </cell>
          <cell r="J359" t="str">
            <v>–</v>
          </cell>
          <cell r="K359" t="str">
            <v>–</v>
          </cell>
          <cell r="L359" t="str">
            <v>–</v>
          </cell>
          <cell r="M359">
            <v>12.6</v>
          </cell>
          <cell r="N359">
            <v>12.625</v>
          </cell>
          <cell r="O359" t="str">
            <v>–</v>
          </cell>
          <cell r="P359" t="str">
            <v>–</v>
          </cell>
          <cell r="Q359" t="str">
            <v>–</v>
          </cell>
          <cell r="R359">
            <v>0.96</v>
          </cell>
          <cell r="S359">
            <v>0.9375</v>
          </cell>
          <cell r="T359">
            <v>0.5</v>
          </cell>
          <cell r="U359">
            <v>1.56</v>
          </cell>
          <cell r="V359">
            <v>1.5625</v>
          </cell>
          <cell r="W359">
            <v>1.56</v>
          </cell>
          <cell r="X359" t="str">
            <v>–</v>
          </cell>
          <cell r="Y359" t="str">
            <v>–</v>
          </cell>
          <cell r="Z359">
            <v>2.16</v>
          </cell>
          <cell r="AA359">
            <v>2.4375</v>
          </cell>
          <cell r="AB359" t="str">
            <v>–</v>
          </cell>
          <cell r="AC359" t="str">
            <v>–</v>
          </cell>
          <cell r="AD359">
            <v>1.52</v>
          </cell>
          <cell r="AE359" t="str">
            <v>–</v>
          </cell>
          <cell r="AF359" t="str">
            <v>–</v>
          </cell>
          <cell r="AG359">
            <v>0.99399999999999999</v>
          </cell>
          <cell r="AH359">
            <v>4.03</v>
          </cell>
          <cell r="AI359" t="str">
            <v>–</v>
          </cell>
          <cell r="AJ359" t="str">
            <v>–</v>
          </cell>
          <cell r="AK359" t="str">
            <v>–</v>
          </cell>
          <cell r="AL359" t="str">
            <v>–</v>
          </cell>
          <cell r="AM359">
            <v>7.31</v>
          </cell>
          <cell r="AN359">
            <v>67.8</v>
          </cell>
        </row>
        <row r="360">
          <cell r="C360" t="str">
            <v>WT6X76</v>
          </cell>
          <cell r="D360" t="str">
            <v>F</v>
          </cell>
          <cell r="E360">
            <v>76</v>
          </cell>
          <cell r="F360">
            <v>22.4</v>
          </cell>
          <cell r="G360" t="str">
            <v>WT6X76</v>
          </cell>
          <cell r="H360">
            <v>6.86</v>
          </cell>
          <cell r="I360">
            <v>6.875</v>
          </cell>
          <cell r="J360" t="str">
            <v>–</v>
          </cell>
          <cell r="K360" t="str">
            <v>–</v>
          </cell>
          <cell r="L360" t="str">
            <v>–</v>
          </cell>
          <cell r="M360">
            <v>12.5</v>
          </cell>
          <cell r="N360">
            <v>12.5</v>
          </cell>
          <cell r="O360" t="str">
            <v>–</v>
          </cell>
          <cell r="P360" t="str">
            <v>–</v>
          </cell>
          <cell r="Q360" t="str">
            <v>–</v>
          </cell>
          <cell r="R360">
            <v>0.87</v>
          </cell>
          <cell r="S360">
            <v>0.875</v>
          </cell>
          <cell r="T360">
            <v>0.4375</v>
          </cell>
          <cell r="U360">
            <v>1.4</v>
          </cell>
          <cell r="V360">
            <v>1.375</v>
          </cell>
          <cell r="W360">
            <v>1.4</v>
          </cell>
          <cell r="X360" t="str">
            <v>–</v>
          </cell>
          <cell r="Y360" t="str">
            <v>–</v>
          </cell>
          <cell r="Z360">
            <v>2</v>
          </cell>
          <cell r="AA360">
            <v>2.3125</v>
          </cell>
          <cell r="AB360" t="str">
            <v>–</v>
          </cell>
          <cell r="AC360" t="str">
            <v>–</v>
          </cell>
          <cell r="AD360">
            <v>1.43</v>
          </cell>
          <cell r="AE360" t="str">
            <v>–</v>
          </cell>
          <cell r="AF360" t="str">
            <v>–</v>
          </cell>
          <cell r="AG360">
            <v>0.89600000000000002</v>
          </cell>
          <cell r="AH360">
            <v>4.46</v>
          </cell>
          <cell r="AI360" t="str">
            <v>–</v>
          </cell>
          <cell r="AJ360" t="str">
            <v>–</v>
          </cell>
          <cell r="AK360" t="str">
            <v>–</v>
          </cell>
          <cell r="AL360" t="str">
            <v>–</v>
          </cell>
          <cell r="AM360">
            <v>7.89</v>
          </cell>
          <cell r="AN360">
            <v>58.5</v>
          </cell>
        </row>
        <row r="361">
          <cell r="C361" t="str">
            <v>WT6X68</v>
          </cell>
          <cell r="D361" t="str">
            <v>F</v>
          </cell>
          <cell r="E361">
            <v>68</v>
          </cell>
          <cell r="F361">
            <v>20</v>
          </cell>
          <cell r="G361" t="str">
            <v>WT6X68</v>
          </cell>
          <cell r="H361">
            <v>6.71</v>
          </cell>
          <cell r="I361">
            <v>6.75</v>
          </cell>
          <cell r="J361" t="str">
            <v>–</v>
          </cell>
          <cell r="K361" t="str">
            <v>–</v>
          </cell>
          <cell r="L361" t="str">
            <v>–</v>
          </cell>
          <cell r="M361">
            <v>12.4</v>
          </cell>
          <cell r="N361">
            <v>12.375</v>
          </cell>
          <cell r="O361" t="str">
            <v>–</v>
          </cell>
          <cell r="P361" t="str">
            <v>–</v>
          </cell>
          <cell r="Q361" t="str">
            <v>–</v>
          </cell>
          <cell r="R361">
            <v>0.79</v>
          </cell>
          <cell r="S361">
            <v>0.8125</v>
          </cell>
          <cell r="T361">
            <v>0.4375</v>
          </cell>
          <cell r="U361">
            <v>1.25</v>
          </cell>
          <cell r="V361">
            <v>1.25</v>
          </cell>
          <cell r="W361">
            <v>1.25</v>
          </cell>
          <cell r="X361" t="str">
            <v>–</v>
          </cell>
          <cell r="Y361" t="str">
            <v>–</v>
          </cell>
          <cell r="Z361">
            <v>1.85</v>
          </cell>
          <cell r="AA361">
            <v>2.125</v>
          </cell>
          <cell r="AB361" t="str">
            <v>–</v>
          </cell>
          <cell r="AC361" t="str">
            <v>–</v>
          </cell>
          <cell r="AD361">
            <v>1.35</v>
          </cell>
          <cell r="AE361" t="str">
            <v>–</v>
          </cell>
          <cell r="AF361" t="str">
            <v>–</v>
          </cell>
          <cell r="AG361">
            <v>0.80500000000000005</v>
          </cell>
          <cell r="AH361">
            <v>4.96</v>
          </cell>
          <cell r="AI361" t="str">
            <v>–</v>
          </cell>
          <cell r="AJ361" t="str">
            <v>–</v>
          </cell>
          <cell r="AK361" t="str">
            <v>–</v>
          </cell>
          <cell r="AL361" t="str">
            <v>–</v>
          </cell>
          <cell r="AM361">
            <v>8.49</v>
          </cell>
          <cell r="AN361">
            <v>50.6</v>
          </cell>
        </row>
        <row r="362">
          <cell r="C362" t="str">
            <v>WT6X60</v>
          </cell>
          <cell r="D362" t="str">
            <v>F</v>
          </cell>
          <cell r="E362">
            <v>60</v>
          </cell>
          <cell r="F362">
            <v>17.600000000000001</v>
          </cell>
          <cell r="G362" t="str">
            <v>WT6X60</v>
          </cell>
          <cell r="H362">
            <v>6.56</v>
          </cell>
          <cell r="I362">
            <v>6.5</v>
          </cell>
          <cell r="J362" t="str">
            <v>–</v>
          </cell>
          <cell r="K362" t="str">
            <v>–</v>
          </cell>
          <cell r="L362" t="str">
            <v>–</v>
          </cell>
          <cell r="M362">
            <v>12.3</v>
          </cell>
          <cell r="N362">
            <v>12.375</v>
          </cell>
          <cell r="O362" t="str">
            <v>–</v>
          </cell>
          <cell r="P362" t="str">
            <v>–</v>
          </cell>
          <cell r="Q362" t="str">
            <v>–</v>
          </cell>
          <cell r="R362">
            <v>0.71</v>
          </cell>
          <cell r="S362">
            <v>0.6875</v>
          </cell>
          <cell r="T362">
            <v>0.375</v>
          </cell>
          <cell r="U362">
            <v>1.1100000000000001</v>
          </cell>
          <cell r="V362">
            <v>1.125</v>
          </cell>
          <cell r="W362">
            <v>1.1100000000000001</v>
          </cell>
          <cell r="X362" t="str">
            <v>–</v>
          </cell>
          <cell r="Y362" t="str">
            <v>–</v>
          </cell>
          <cell r="Z362">
            <v>1.7</v>
          </cell>
          <cell r="AA362">
            <v>2</v>
          </cell>
          <cell r="AB362" t="str">
            <v>–</v>
          </cell>
          <cell r="AC362" t="str">
            <v>–</v>
          </cell>
          <cell r="AD362">
            <v>1.28</v>
          </cell>
          <cell r="AE362" t="str">
            <v>–</v>
          </cell>
          <cell r="AF362" t="str">
            <v>–</v>
          </cell>
          <cell r="AG362">
            <v>0.71599999999999997</v>
          </cell>
          <cell r="AH362">
            <v>5.57</v>
          </cell>
          <cell r="AI362" t="str">
            <v>–</v>
          </cell>
          <cell r="AJ362" t="str">
            <v>–</v>
          </cell>
          <cell r="AK362" t="str">
            <v>–</v>
          </cell>
          <cell r="AL362" t="str">
            <v>–</v>
          </cell>
          <cell r="AM362">
            <v>9.24</v>
          </cell>
          <cell r="AN362">
            <v>43.4</v>
          </cell>
        </row>
        <row r="363">
          <cell r="C363" t="str">
            <v>WT6X53</v>
          </cell>
          <cell r="D363" t="str">
            <v>F</v>
          </cell>
          <cell r="E363">
            <v>53</v>
          </cell>
          <cell r="F363">
            <v>15.6</v>
          </cell>
          <cell r="G363" t="str">
            <v>WT6X53</v>
          </cell>
          <cell r="H363">
            <v>6.45</v>
          </cell>
          <cell r="I363">
            <v>6.5</v>
          </cell>
          <cell r="J363" t="str">
            <v>–</v>
          </cell>
          <cell r="K363" t="str">
            <v>–</v>
          </cell>
          <cell r="L363" t="str">
            <v>–</v>
          </cell>
          <cell r="M363">
            <v>12.2</v>
          </cell>
          <cell r="N363">
            <v>12.25</v>
          </cell>
          <cell r="O363" t="str">
            <v>–</v>
          </cell>
          <cell r="P363" t="str">
            <v>–</v>
          </cell>
          <cell r="Q363" t="str">
            <v>–</v>
          </cell>
          <cell r="R363">
            <v>0.61</v>
          </cell>
          <cell r="S363">
            <v>0.625</v>
          </cell>
          <cell r="T363">
            <v>0.3125</v>
          </cell>
          <cell r="U363">
            <v>0.99</v>
          </cell>
          <cell r="V363">
            <v>1</v>
          </cell>
          <cell r="W363">
            <v>0.99</v>
          </cell>
          <cell r="X363" t="str">
            <v>–</v>
          </cell>
          <cell r="Y363" t="str">
            <v>–</v>
          </cell>
          <cell r="Z363">
            <v>1.59</v>
          </cell>
          <cell r="AA363">
            <v>1.875</v>
          </cell>
          <cell r="AB363" t="str">
            <v>–</v>
          </cell>
          <cell r="AC363" t="str">
            <v>–</v>
          </cell>
          <cell r="AD363">
            <v>1.19</v>
          </cell>
          <cell r="AE363" t="str">
            <v>–</v>
          </cell>
          <cell r="AF363" t="str">
            <v>–</v>
          </cell>
          <cell r="AG363">
            <v>0.63700000000000001</v>
          </cell>
          <cell r="AH363">
            <v>6.17</v>
          </cell>
          <cell r="AI363" t="str">
            <v>–</v>
          </cell>
          <cell r="AJ363" t="str">
            <v>–</v>
          </cell>
          <cell r="AK363" t="str">
            <v>–</v>
          </cell>
          <cell r="AL363" t="str">
            <v>–</v>
          </cell>
          <cell r="AM363">
            <v>10.6</v>
          </cell>
          <cell r="AN363">
            <v>36.299999999999997</v>
          </cell>
        </row>
        <row r="364">
          <cell r="C364" t="str">
            <v>WT6X48</v>
          </cell>
          <cell r="D364" t="str">
            <v>F</v>
          </cell>
          <cell r="E364">
            <v>48</v>
          </cell>
          <cell r="F364">
            <v>14.1</v>
          </cell>
          <cell r="G364" t="str">
            <v>WT6X48</v>
          </cell>
          <cell r="H364">
            <v>6.36</v>
          </cell>
          <cell r="I364">
            <v>6.375</v>
          </cell>
          <cell r="J364" t="str">
            <v>–</v>
          </cell>
          <cell r="K364" t="str">
            <v>–</v>
          </cell>
          <cell r="L364" t="str">
            <v>–</v>
          </cell>
          <cell r="M364">
            <v>12.2</v>
          </cell>
          <cell r="N364">
            <v>12.125</v>
          </cell>
          <cell r="O364" t="str">
            <v>–</v>
          </cell>
          <cell r="P364" t="str">
            <v>–</v>
          </cell>
          <cell r="Q364" t="str">
            <v>–</v>
          </cell>
          <cell r="R364">
            <v>0.55000000000000004</v>
          </cell>
          <cell r="S364">
            <v>0.5625</v>
          </cell>
          <cell r="T364">
            <v>0.3125</v>
          </cell>
          <cell r="U364">
            <v>0.9</v>
          </cell>
          <cell r="V364">
            <v>0.875</v>
          </cell>
          <cell r="W364">
            <v>0.9</v>
          </cell>
          <cell r="X364" t="str">
            <v>–</v>
          </cell>
          <cell r="Y364" t="str">
            <v>–</v>
          </cell>
          <cell r="Z364">
            <v>1.5</v>
          </cell>
          <cell r="AA364">
            <v>1.8125</v>
          </cell>
          <cell r="AB364" t="str">
            <v>–</v>
          </cell>
          <cell r="AC364" t="str">
            <v>–</v>
          </cell>
          <cell r="AD364">
            <v>1.1299999999999999</v>
          </cell>
          <cell r="AE364" t="str">
            <v>–</v>
          </cell>
          <cell r="AF364" t="str">
            <v>–</v>
          </cell>
          <cell r="AG364">
            <v>0.57999999999999996</v>
          </cell>
          <cell r="AH364">
            <v>6.76</v>
          </cell>
          <cell r="AI364" t="str">
            <v>–</v>
          </cell>
          <cell r="AJ364" t="str">
            <v>–</v>
          </cell>
          <cell r="AK364" t="str">
            <v>–</v>
          </cell>
          <cell r="AL364" t="str">
            <v>–</v>
          </cell>
          <cell r="AM364">
            <v>11.6</v>
          </cell>
          <cell r="AN364">
            <v>32</v>
          </cell>
        </row>
        <row r="365">
          <cell r="C365" t="str">
            <v>WT6X43.5</v>
          </cell>
          <cell r="D365" t="str">
            <v>F</v>
          </cell>
          <cell r="E365">
            <v>43.5</v>
          </cell>
          <cell r="F365">
            <v>12.8</v>
          </cell>
          <cell r="G365" t="str">
            <v>WT6X43.5</v>
          </cell>
          <cell r="H365">
            <v>6.27</v>
          </cell>
          <cell r="I365">
            <v>6.25</v>
          </cell>
          <cell r="J365" t="str">
            <v>–</v>
          </cell>
          <cell r="K365" t="str">
            <v>–</v>
          </cell>
          <cell r="L365" t="str">
            <v>–</v>
          </cell>
          <cell r="M365">
            <v>12.1</v>
          </cell>
          <cell r="N365">
            <v>12.125</v>
          </cell>
          <cell r="O365" t="str">
            <v>–</v>
          </cell>
          <cell r="P365" t="str">
            <v>–</v>
          </cell>
          <cell r="Q365" t="str">
            <v>–</v>
          </cell>
          <cell r="R365">
            <v>0.51500000000000001</v>
          </cell>
          <cell r="S365">
            <v>0.5</v>
          </cell>
          <cell r="T365">
            <v>0.25</v>
          </cell>
          <cell r="U365">
            <v>0.81</v>
          </cell>
          <cell r="V365">
            <v>0.8125</v>
          </cell>
          <cell r="W365">
            <v>0.81</v>
          </cell>
          <cell r="X365" t="str">
            <v>–</v>
          </cell>
          <cell r="Y365" t="str">
            <v>–</v>
          </cell>
          <cell r="Z365">
            <v>1.41</v>
          </cell>
          <cell r="AA365">
            <v>1.6875</v>
          </cell>
          <cell r="AB365" t="str">
            <v>–</v>
          </cell>
          <cell r="AC365" t="str">
            <v>–</v>
          </cell>
          <cell r="AD365">
            <v>1.1000000000000001</v>
          </cell>
          <cell r="AE365" t="str">
            <v>–</v>
          </cell>
          <cell r="AF365" t="str">
            <v>–</v>
          </cell>
          <cell r="AG365">
            <v>0.52700000000000002</v>
          </cell>
          <cell r="AH365">
            <v>7.48</v>
          </cell>
          <cell r="AI365" t="str">
            <v>–</v>
          </cell>
          <cell r="AJ365" t="str">
            <v>–</v>
          </cell>
          <cell r="AK365" t="str">
            <v>–</v>
          </cell>
          <cell r="AL365" t="str">
            <v>–</v>
          </cell>
          <cell r="AM365">
            <v>12.2</v>
          </cell>
          <cell r="AN365">
            <v>28.9</v>
          </cell>
        </row>
        <row r="366">
          <cell r="C366" t="str">
            <v>WT6X39.5</v>
          </cell>
          <cell r="D366" t="str">
            <v>F</v>
          </cell>
          <cell r="E366">
            <v>39.5</v>
          </cell>
          <cell r="F366">
            <v>11.6</v>
          </cell>
          <cell r="G366" t="str">
            <v>WT6X39.5</v>
          </cell>
          <cell r="H366">
            <v>6.19</v>
          </cell>
          <cell r="I366">
            <v>6.25</v>
          </cell>
          <cell r="J366" t="str">
            <v>–</v>
          </cell>
          <cell r="K366" t="str">
            <v>–</v>
          </cell>
          <cell r="L366" t="str">
            <v>–</v>
          </cell>
          <cell r="M366">
            <v>12.1</v>
          </cell>
          <cell r="N366">
            <v>12.125</v>
          </cell>
          <cell r="O366" t="str">
            <v>–</v>
          </cell>
          <cell r="P366" t="str">
            <v>–</v>
          </cell>
          <cell r="Q366" t="str">
            <v>–</v>
          </cell>
          <cell r="R366">
            <v>0.47</v>
          </cell>
          <cell r="S366">
            <v>0.5</v>
          </cell>
          <cell r="T366">
            <v>0.25</v>
          </cell>
          <cell r="U366">
            <v>0.73499999999999999</v>
          </cell>
          <cell r="V366">
            <v>0.75</v>
          </cell>
          <cell r="W366">
            <v>0.73499999999999999</v>
          </cell>
          <cell r="X366" t="str">
            <v>–</v>
          </cell>
          <cell r="Y366" t="str">
            <v>–</v>
          </cell>
          <cell r="Z366">
            <v>1.33</v>
          </cell>
          <cell r="AA366">
            <v>1.625</v>
          </cell>
          <cell r="AB366" t="str">
            <v>–</v>
          </cell>
          <cell r="AC366" t="str">
            <v>–</v>
          </cell>
          <cell r="AD366">
            <v>1.06</v>
          </cell>
          <cell r="AE366" t="str">
            <v>–</v>
          </cell>
          <cell r="AF366" t="str">
            <v>–</v>
          </cell>
          <cell r="AG366">
            <v>0.48</v>
          </cell>
          <cell r="AH366">
            <v>8.2200000000000006</v>
          </cell>
          <cell r="AI366" t="str">
            <v>–</v>
          </cell>
          <cell r="AJ366" t="str">
            <v>–</v>
          </cell>
          <cell r="AK366" t="str">
            <v>–</v>
          </cell>
          <cell r="AL366" t="str">
            <v>–</v>
          </cell>
          <cell r="AM366">
            <v>13.2</v>
          </cell>
          <cell r="AN366">
            <v>25.8</v>
          </cell>
        </row>
        <row r="367">
          <cell r="C367" t="str">
            <v>WT6X36</v>
          </cell>
          <cell r="D367" t="str">
            <v>F</v>
          </cell>
          <cell r="E367">
            <v>36</v>
          </cell>
          <cell r="F367">
            <v>10.6</v>
          </cell>
          <cell r="G367" t="str">
            <v>WT6X36</v>
          </cell>
          <cell r="H367">
            <v>6.13</v>
          </cell>
          <cell r="I367">
            <v>6.125</v>
          </cell>
          <cell r="J367" t="str">
            <v>–</v>
          </cell>
          <cell r="K367" t="str">
            <v>–</v>
          </cell>
          <cell r="L367" t="str">
            <v>–</v>
          </cell>
          <cell r="M367">
            <v>12</v>
          </cell>
          <cell r="N367">
            <v>12</v>
          </cell>
          <cell r="O367" t="str">
            <v>–</v>
          </cell>
          <cell r="P367" t="str">
            <v>–</v>
          </cell>
          <cell r="Q367" t="str">
            <v>–</v>
          </cell>
          <cell r="R367">
            <v>0.43</v>
          </cell>
          <cell r="S367">
            <v>0.4375</v>
          </cell>
          <cell r="T367">
            <v>0.25</v>
          </cell>
          <cell r="U367">
            <v>0.67</v>
          </cell>
          <cell r="V367">
            <v>0.6875</v>
          </cell>
          <cell r="W367">
            <v>0.67</v>
          </cell>
          <cell r="X367" t="str">
            <v>–</v>
          </cell>
          <cell r="Y367" t="str">
            <v>–</v>
          </cell>
          <cell r="Z367">
            <v>1.27</v>
          </cell>
          <cell r="AA367">
            <v>1.5625</v>
          </cell>
          <cell r="AB367" t="str">
            <v>–</v>
          </cell>
          <cell r="AC367" t="str">
            <v>–</v>
          </cell>
          <cell r="AD367">
            <v>1.02</v>
          </cell>
          <cell r="AE367" t="str">
            <v>–</v>
          </cell>
          <cell r="AF367" t="str">
            <v>–</v>
          </cell>
          <cell r="AG367">
            <v>0.439</v>
          </cell>
          <cell r="AH367">
            <v>8.99</v>
          </cell>
          <cell r="AI367" t="str">
            <v>–</v>
          </cell>
          <cell r="AJ367" t="str">
            <v>–</v>
          </cell>
          <cell r="AK367" t="str">
            <v>–</v>
          </cell>
          <cell r="AL367" t="str">
            <v>–</v>
          </cell>
          <cell r="AM367">
            <v>14.3</v>
          </cell>
          <cell r="AN367">
            <v>23.2</v>
          </cell>
        </row>
        <row r="368">
          <cell r="C368" t="str">
            <v>WT6X32.5</v>
          </cell>
          <cell r="D368" t="str">
            <v>F</v>
          </cell>
          <cell r="E368">
            <v>32.5</v>
          </cell>
          <cell r="F368">
            <v>9.5399999999999991</v>
          </cell>
          <cell r="G368" t="str">
            <v>WT6X32.5</v>
          </cell>
          <cell r="H368">
            <v>6.06</v>
          </cell>
          <cell r="I368">
            <v>6</v>
          </cell>
          <cell r="J368" t="str">
            <v>–</v>
          </cell>
          <cell r="K368" t="str">
            <v>–</v>
          </cell>
          <cell r="L368" t="str">
            <v>–</v>
          </cell>
          <cell r="M368">
            <v>12</v>
          </cell>
          <cell r="N368">
            <v>12</v>
          </cell>
          <cell r="O368" t="str">
            <v>–</v>
          </cell>
          <cell r="P368" t="str">
            <v>–</v>
          </cell>
          <cell r="Q368" t="str">
            <v>–</v>
          </cell>
          <cell r="R368">
            <v>0.39</v>
          </cell>
          <cell r="S368">
            <v>0.375</v>
          </cell>
          <cell r="T368">
            <v>0.1875</v>
          </cell>
          <cell r="U368">
            <v>0.60499999999999998</v>
          </cell>
          <cell r="V368">
            <v>0.625</v>
          </cell>
          <cell r="W368">
            <v>0.60499999999999998</v>
          </cell>
          <cell r="X368" t="str">
            <v>–</v>
          </cell>
          <cell r="Y368" t="str">
            <v>–</v>
          </cell>
          <cell r="Z368">
            <v>1.2</v>
          </cell>
          <cell r="AA368">
            <v>1.5</v>
          </cell>
          <cell r="AB368" t="str">
            <v>–</v>
          </cell>
          <cell r="AC368" t="str">
            <v>–</v>
          </cell>
          <cell r="AD368">
            <v>0.98499999999999999</v>
          </cell>
          <cell r="AE368" t="str">
            <v>–</v>
          </cell>
          <cell r="AF368" t="str">
            <v>–</v>
          </cell>
          <cell r="AG368">
            <v>0.39800000000000002</v>
          </cell>
          <cell r="AH368">
            <v>9.92</v>
          </cell>
          <cell r="AI368" t="str">
            <v>–</v>
          </cell>
          <cell r="AJ368" t="str">
            <v>–</v>
          </cell>
          <cell r="AK368" t="str">
            <v>–</v>
          </cell>
          <cell r="AL368" t="str">
            <v>–</v>
          </cell>
          <cell r="AM368">
            <v>15.5</v>
          </cell>
          <cell r="AN368">
            <v>20.6</v>
          </cell>
        </row>
        <row r="369">
          <cell r="C369" t="str">
            <v>WT6X29</v>
          </cell>
          <cell r="D369" t="str">
            <v>F</v>
          </cell>
          <cell r="E369">
            <v>29</v>
          </cell>
          <cell r="F369">
            <v>8.52</v>
          </cell>
          <cell r="G369" t="str">
            <v>WT6X29</v>
          </cell>
          <cell r="H369">
            <v>6.1</v>
          </cell>
          <cell r="I369">
            <v>6.125</v>
          </cell>
          <cell r="J369" t="str">
            <v>–</v>
          </cell>
          <cell r="K369" t="str">
            <v>–</v>
          </cell>
          <cell r="L369" t="str">
            <v>–</v>
          </cell>
          <cell r="M369">
            <v>10</v>
          </cell>
          <cell r="N369">
            <v>10</v>
          </cell>
          <cell r="O369" t="str">
            <v>–</v>
          </cell>
          <cell r="P369" t="str">
            <v>–</v>
          </cell>
          <cell r="Q369" t="str">
            <v>–</v>
          </cell>
          <cell r="R369">
            <v>0.36</v>
          </cell>
          <cell r="S369">
            <v>0.375</v>
          </cell>
          <cell r="T369">
            <v>0.1875</v>
          </cell>
          <cell r="U369">
            <v>0.64</v>
          </cell>
          <cell r="V369">
            <v>0.625</v>
          </cell>
          <cell r="W369">
            <v>0.64</v>
          </cell>
          <cell r="X369" t="str">
            <v>–</v>
          </cell>
          <cell r="Y369" t="str">
            <v>–</v>
          </cell>
          <cell r="Z369">
            <v>1.24</v>
          </cell>
          <cell r="AA369">
            <v>1.5</v>
          </cell>
          <cell r="AB369" t="str">
            <v>–</v>
          </cell>
          <cell r="AC369" t="str">
            <v>–</v>
          </cell>
          <cell r="AD369">
            <v>1.03</v>
          </cell>
          <cell r="AE369" t="str">
            <v>–</v>
          </cell>
          <cell r="AF369" t="str">
            <v>–</v>
          </cell>
          <cell r="AG369">
            <v>0.42599999999999999</v>
          </cell>
          <cell r="AH369">
            <v>7.82</v>
          </cell>
          <cell r="AI369" t="str">
            <v>–</v>
          </cell>
          <cell r="AJ369" t="str">
            <v>–</v>
          </cell>
          <cell r="AK369" t="str">
            <v>–</v>
          </cell>
          <cell r="AL369" t="str">
            <v>–</v>
          </cell>
          <cell r="AM369">
            <v>16.899999999999999</v>
          </cell>
          <cell r="AN369">
            <v>19.100000000000001</v>
          </cell>
        </row>
        <row r="370">
          <cell r="C370" t="str">
            <v>WT6X26.5</v>
          </cell>
          <cell r="D370" t="str">
            <v>F</v>
          </cell>
          <cell r="E370">
            <v>26.5</v>
          </cell>
          <cell r="F370">
            <v>7.78</v>
          </cell>
          <cell r="G370" t="str">
            <v>WT6X26.5</v>
          </cell>
          <cell r="H370">
            <v>6.03</v>
          </cell>
          <cell r="I370">
            <v>6</v>
          </cell>
          <cell r="J370" t="str">
            <v>–</v>
          </cell>
          <cell r="K370" t="str">
            <v>–</v>
          </cell>
          <cell r="L370" t="str">
            <v>–</v>
          </cell>
          <cell r="M370">
            <v>10</v>
          </cell>
          <cell r="N370">
            <v>10</v>
          </cell>
          <cell r="O370" t="str">
            <v>–</v>
          </cell>
          <cell r="P370" t="str">
            <v>–</v>
          </cell>
          <cell r="Q370" t="str">
            <v>–</v>
          </cell>
          <cell r="R370">
            <v>0.34499999999999997</v>
          </cell>
          <cell r="S370">
            <v>0.375</v>
          </cell>
          <cell r="T370">
            <v>0.1875</v>
          </cell>
          <cell r="U370">
            <v>0.57499999999999996</v>
          </cell>
          <cell r="V370">
            <v>0.5625</v>
          </cell>
          <cell r="W370">
            <v>0.57499999999999996</v>
          </cell>
          <cell r="X370" t="str">
            <v>–</v>
          </cell>
          <cell r="Y370" t="str">
            <v>–</v>
          </cell>
          <cell r="Z370">
            <v>1.18</v>
          </cell>
          <cell r="AA370">
            <v>1.375</v>
          </cell>
          <cell r="AB370" t="str">
            <v>–</v>
          </cell>
          <cell r="AC370" t="str">
            <v>–</v>
          </cell>
          <cell r="AD370">
            <v>1.02</v>
          </cell>
          <cell r="AE370" t="str">
            <v>–</v>
          </cell>
          <cell r="AF370" t="str">
            <v>–</v>
          </cell>
          <cell r="AG370">
            <v>0.38900000000000001</v>
          </cell>
          <cell r="AH370">
            <v>8.69</v>
          </cell>
          <cell r="AI370" t="str">
            <v>–</v>
          </cell>
          <cell r="AJ370" t="str">
            <v>–</v>
          </cell>
          <cell r="AK370" t="str">
            <v>–</v>
          </cell>
          <cell r="AL370" t="str">
            <v>–</v>
          </cell>
          <cell r="AM370">
            <v>17.5</v>
          </cell>
          <cell r="AN370">
            <v>17.7</v>
          </cell>
        </row>
        <row r="371">
          <cell r="C371" t="str">
            <v>WT6X25</v>
          </cell>
          <cell r="D371" t="str">
            <v>F</v>
          </cell>
          <cell r="E371">
            <v>25</v>
          </cell>
          <cell r="F371">
            <v>7.3</v>
          </cell>
          <cell r="G371" t="str">
            <v>WT6X25</v>
          </cell>
          <cell r="H371">
            <v>6.1</v>
          </cell>
          <cell r="I371">
            <v>6.125</v>
          </cell>
          <cell r="J371" t="str">
            <v>–</v>
          </cell>
          <cell r="K371" t="str">
            <v>–</v>
          </cell>
          <cell r="L371" t="str">
            <v>–</v>
          </cell>
          <cell r="M371">
            <v>8.08</v>
          </cell>
          <cell r="N371">
            <v>8.125</v>
          </cell>
          <cell r="O371" t="str">
            <v>–</v>
          </cell>
          <cell r="P371" t="str">
            <v>–</v>
          </cell>
          <cell r="Q371" t="str">
            <v>–</v>
          </cell>
          <cell r="R371">
            <v>0.37</v>
          </cell>
          <cell r="S371">
            <v>0.375</v>
          </cell>
          <cell r="T371">
            <v>0.1875</v>
          </cell>
          <cell r="U371">
            <v>0.64</v>
          </cell>
          <cell r="V371">
            <v>0.625</v>
          </cell>
          <cell r="W371">
            <v>0.64</v>
          </cell>
          <cell r="X371" t="str">
            <v>–</v>
          </cell>
          <cell r="Y371" t="str">
            <v>–</v>
          </cell>
          <cell r="Z371">
            <v>1.1399999999999999</v>
          </cell>
          <cell r="AA371">
            <v>1.5</v>
          </cell>
          <cell r="AB371" t="str">
            <v>–</v>
          </cell>
          <cell r="AC371" t="str">
            <v>–</v>
          </cell>
          <cell r="AD371">
            <v>1.17</v>
          </cell>
          <cell r="AE371" t="str">
            <v>–</v>
          </cell>
          <cell r="AF371" t="str">
            <v>–</v>
          </cell>
          <cell r="AG371">
            <v>0.45200000000000001</v>
          </cell>
          <cell r="AH371">
            <v>6.31</v>
          </cell>
          <cell r="AI371" t="str">
            <v>–</v>
          </cell>
          <cell r="AJ371" t="str">
            <v>–</v>
          </cell>
          <cell r="AK371" t="str">
            <v>–</v>
          </cell>
          <cell r="AL371" t="str">
            <v>–</v>
          </cell>
          <cell r="AM371">
            <v>16.5</v>
          </cell>
          <cell r="AN371">
            <v>18.7</v>
          </cell>
        </row>
        <row r="372">
          <cell r="C372" t="str">
            <v>WT6X22.5</v>
          </cell>
          <cell r="D372" t="str">
            <v>F</v>
          </cell>
          <cell r="E372">
            <v>22.5</v>
          </cell>
          <cell r="F372">
            <v>6.56</v>
          </cell>
          <cell r="G372" t="str">
            <v>WT6X22.5</v>
          </cell>
          <cell r="H372">
            <v>6.03</v>
          </cell>
          <cell r="I372">
            <v>6</v>
          </cell>
          <cell r="J372" t="str">
            <v>–</v>
          </cell>
          <cell r="K372" t="str">
            <v>–</v>
          </cell>
          <cell r="L372" t="str">
            <v>–</v>
          </cell>
          <cell r="M372">
            <v>8.0500000000000007</v>
          </cell>
          <cell r="N372">
            <v>8</v>
          </cell>
          <cell r="O372" t="str">
            <v>–</v>
          </cell>
          <cell r="P372" t="str">
            <v>–</v>
          </cell>
          <cell r="Q372" t="str">
            <v>–</v>
          </cell>
          <cell r="R372">
            <v>0.33500000000000002</v>
          </cell>
          <cell r="S372">
            <v>0.3125</v>
          </cell>
          <cell r="T372">
            <v>0.1875</v>
          </cell>
          <cell r="U372">
            <v>0.57499999999999996</v>
          </cell>
          <cell r="V372">
            <v>0.5625</v>
          </cell>
          <cell r="W372">
            <v>0.57499999999999996</v>
          </cell>
          <cell r="X372" t="str">
            <v>–</v>
          </cell>
          <cell r="Y372" t="str">
            <v>–</v>
          </cell>
          <cell r="Z372">
            <v>1.08</v>
          </cell>
          <cell r="AA372">
            <v>1.375</v>
          </cell>
          <cell r="AB372" t="str">
            <v>–</v>
          </cell>
          <cell r="AC372" t="str">
            <v>–</v>
          </cell>
          <cell r="AD372">
            <v>1.1299999999999999</v>
          </cell>
          <cell r="AE372" t="str">
            <v>–</v>
          </cell>
          <cell r="AF372" t="str">
            <v>–</v>
          </cell>
          <cell r="AG372">
            <v>0.40799999999999997</v>
          </cell>
          <cell r="AH372">
            <v>7</v>
          </cell>
          <cell r="AI372" t="str">
            <v>–</v>
          </cell>
          <cell r="AJ372" t="str">
            <v>–</v>
          </cell>
          <cell r="AK372" t="str">
            <v>–</v>
          </cell>
          <cell r="AL372" t="str">
            <v>–</v>
          </cell>
          <cell r="AM372">
            <v>18</v>
          </cell>
          <cell r="AN372">
            <v>16.600000000000001</v>
          </cell>
        </row>
        <row r="373">
          <cell r="C373" t="str">
            <v>WT6X20</v>
          </cell>
          <cell r="D373" t="str">
            <v>F</v>
          </cell>
          <cell r="E373">
            <v>20</v>
          </cell>
          <cell r="F373">
            <v>5.84</v>
          </cell>
          <cell r="G373" t="str">
            <v>WT6X20</v>
          </cell>
          <cell r="H373">
            <v>5.97</v>
          </cell>
          <cell r="I373">
            <v>6</v>
          </cell>
          <cell r="J373" t="str">
            <v>–</v>
          </cell>
          <cell r="K373" t="str">
            <v>–</v>
          </cell>
          <cell r="L373" t="str">
            <v>–</v>
          </cell>
          <cell r="M373">
            <v>8.01</v>
          </cell>
          <cell r="N373">
            <v>8</v>
          </cell>
          <cell r="O373" t="str">
            <v>–</v>
          </cell>
          <cell r="P373" t="str">
            <v>–</v>
          </cell>
          <cell r="Q373" t="str">
            <v>–</v>
          </cell>
          <cell r="R373">
            <v>0.29499999999999998</v>
          </cell>
          <cell r="S373">
            <v>0.3125</v>
          </cell>
          <cell r="T373">
            <v>0.1875</v>
          </cell>
          <cell r="U373">
            <v>0.51500000000000001</v>
          </cell>
          <cell r="V373">
            <v>0.5</v>
          </cell>
          <cell r="W373">
            <v>0.51500000000000001</v>
          </cell>
          <cell r="X373" t="str">
            <v>–</v>
          </cell>
          <cell r="Y373" t="str">
            <v>–</v>
          </cell>
          <cell r="Z373">
            <v>1.02</v>
          </cell>
          <cell r="AA373">
            <v>1.375</v>
          </cell>
          <cell r="AB373" t="str">
            <v>–</v>
          </cell>
          <cell r="AC373" t="str">
            <v>–</v>
          </cell>
          <cell r="AD373">
            <v>1.0900000000000001</v>
          </cell>
          <cell r="AE373" t="str">
            <v>–</v>
          </cell>
          <cell r="AF373" t="str">
            <v>–</v>
          </cell>
          <cell r="AG373">
            <v>0.36499999999999999</v>
          </cell>
          <cell r="AH373">
            <v>7.77</v>
          </cell>
          <cell r="AI373" t="str">
            <v>–</v>
          </cell>
          <cell r="AJ373" t="str">
            <v>–</v>
          </cell>
          <cell r="AK373" t="str">
            <v>–</v>
          </cell>
          <cell r="AL373" t="str">
            <v>–</v>
          </cell>
          <cell r="AM373">
            <v>20.2</v>
          </cell>
          <cell r="AN373">
            <v>14.4</v>
          </cell>
        </row>
        <row r="374">
          <cell r="C374" t="str">
            <v>WT6X17.5</v>
          </cell>
          <cell r="D374" t="str">
            <v>F</v>
          </cell>
          <cell r="E374">
            <v>17.5</v>
          </cell>
          <cell r="F374">
            <v>5.17</v>
          </cell>
          <cell r="G374" t="str">
            <v>WT6X17.5</v>
          </cell>
          <cell r="H374">
            <v>6.25</v>
          </cell>
          <cell r="I374">
            <v>6.25</v>
          </cell>
          <cell r="J374" t="str">
            <v>–</v>
          </cell>
          <cell r="K374" t="str">
            <v>–</v>
          </cell>
          <cell r="L374" t="str">
            <v>–</v>
          </cell>
          <cell r="M374">
            <v>6.56</v>
          </cell>
          <cell r="N374">
            <v>6.5</v>
          </cell>
          <cell r="O374" t="str">
            <v>–</v>
          </cell>
          <cell r="P374" t="str">
            <v>–</v>
          </cell>
          <cell r="Q374" t="str">
            <v>–</v>
          </cell>
          <cell r="R374">
            <v>0.3</v>
          </cell>
          <cell r="S374">
            <v>0.3125</v>
          </cell>
          <cell r="T374">
            <v>0.1875</v>
          </cell>
          <cell r="U374">
            <v>0.52</v>
          </cell>
          <cell r="V374">
            <v>0.5</v>
          </cell>
          <cell r="W374">
            <v>0.52</v>
          </cell>
          <cell r="X374" t="str">
            <v>–</v>
          </cell>
          <cell r="Y374" t="str">
            <v>–</v>
          </cell>
          <cell r="Z374">
            <v>0.82</v>
          </cell>
          <cell r="AA374">
            <v>1.1875</v>
          </cell>
          <cell r="AB374" t="str">
            <v>–</v>
          </cell>
          <cell r="AC374" t="str">
            <v>–</v>
          </cell>
          <cell r="AD374">
            <v>1.3</v>
          </cell>
          <cell r="AE374" t="str">
            <v>–</v>
          </cell>
          <cell r="AF374" t="str">
            <v>–</v>
          </cell>
          <cell r="AG374">
            <v>0.39400000000000002</v>
          </cell>
          <cell r="AH374">
            <v>6.31</v>
          </cell>
          <cell r="AI374" t="str">
            <v>–</v>
          </cell>
          <cell r="AJ374" t="str">
            <v>–</v>
          </cell>
          <cell r="AK374" t="str">
            <v>–</v>
          </cell>
          <cell r="AL374" t="str">
            <v>–</v>
          </cell>
          <cell r="AM374">
            <v>20.8</v>
          </cell>
          <cell r="AN374">
            <v>16</v>
          </cell>
        </row>
        <row r="375">
          <cell r="C375" t="str">
            <v>WT6X15</v>
          </cell>
          <cell r="D375" t="str">
            <v>F</v>
          </cell>
          <cell r="E375">
            <v>15</v>
          </cell>
          <cell r="F375">
            <v>4.4000000000000004</v>
          </cell>
          <cell r="G375" t="str">
            <v>WT6X15</v>
          </cell>
          <cell r="H375">
            <v>6.17</v>
          </cell>
          <cell r="I375">
            <v>6.125</v>
          </cell>
          <cell r="J375" t="str">
            <v>–</v>
          </cell>
          <cell r="K375" t="str">
            <v>–</v>
          </cell>
          <cell r="L375" t="str">
            <v>–</v>
          </cell>
          <cell r="M375">
            <v>6.52</v>
          </cell>
          <cell r="N375">
            <v>6.5</v>
          </cell>
          <cell r="O375" t="str">
            <v>–</v>
          </cell>
          <cell r="P375" t="str">
            <v>–</v>
          </cell>
          <cell r="Q375" t="str">
            <v>–</v>
          </cell>
          <cell r="R375">
            <v>0.26</v>
          </cell>
          <cell r="S375">
            <v>0.25</v>
          </cell>
          <cell r="T375">
            <v>0.125</v>
          </cell>
          <cell r="U375">
            <v>0.44</v>
          </cell>
          <cell r="V375">
            <v>0.4375</v>
          </cell>
          <cell r="W375">
            <v>0.44</v>
          </cell>
          <cell r="X375" t="str">
            <v>–</v>
          </cell>
          <cell r="Y375" t="str">
            <v>–</v>
          </cell>
          <cell r="Z375">
            <v>0.74</v>
          </cell>
          <cell r="AA375">
            <v>1.125</v>
          </cell>
          <cell r="AB375" t="str">
            <v>–</v>
          </cell>
          <cell r="AC375" t="str">
            <v>–</v>
          </cell>
          <cell r="AD375">
            <v>1.27</v>
          </cell>
          <cell r="AE375" t="str">
            <v>–</v>
          </cell>
          <cell r="AF375" t="str">
            <v>–</v>
          </cell>
          <cell r="AG375">
            <v>0.33700000000000002</v>
          </cell>
          <cell r="AH375">
            <v>7.41</v>
          </cell>
          <cell r="AI375" t="str">
            <v>–</v>
          </cell>
          <cell r="AJ375" t="str">
            <v>–</v>
          </cell>
          <cell r="AK375" t="str">
            <v>–</v>
          </cell>
          <cell r="AL375" t="str">
            <v>–</v>
          </cell>
          <cell r="AM375">
            <v>23.7</v>
          </cell>
          <cell r="AN375">
            <v>13.5</v>
          </cell>
        </row>
        <row r="376">
          <cell r="C376" t="str">
            <v>WT6X13</v>
          </cell>
          <cell r="D376" t="str">
            <v>F</v>
          </cell>
          <cell r="E376">
            <v>13</v>
          </cell>
          <cell r="F376">
            <v>3.82</v>
          </cell>
          <cell r="G376" t="str">
            <v>WT6X13</v>
          </cell>
          <cell r="H376">
            <v>6.11</v>
          </cell>
          <cell r="I376">
            <v>6.125</v>
          </cell>
          <cell r="J376" t="str">
            <v>–</v>
          </cell>
          <cell r="K376" t="str">
            <v>–</v>
          </cell>
          <cell r="L376" t="str">
            <v>–</v>
          </cell>
          <cell r="M376">
            <v>6.49</v>
          </cell>
          <cell r="N376">
            <v>6.5</v>
          </cell>
          <cell r="O376" t="str">
            <v>–</v>
          </cell>
          <cell r="P376" t="str">
            <v>–</v>
          </cell>
          <cell r="Q376" t="str">
            <v>–</v>
          </cell>
          <cell r="R376">
            <v>0.23</v>
          </cell>
          <cell r="S376">
            <v>0.25</v>
          </cell>
          <cell r="T376">
            <v>0.125</v>
          </cell>
          <cell r="U376">
            <v>0.38</v>
          </cell>
          <cell r="V376">
            <v>0.375</v>
          </cell>
          <cell r="W376">
            <v>0.38</v>
          </cell>
          <cell r="X376" t="str">
            <v>–</v>
          </cell>
          <cell r="Y376" t="str">
            <v>–</v>
          </cell>
          <cell r="Z376">
            <v>0.68</v>
          </cell>
          <cell r="AA376">
            <v>1.0625</v>
          </cell>
          <cell r="AB376" t="str">
            <v>–</v>
          </cell>
          <cell r="AC376" t="str">
            <v>–</v>
          </cell>
          <cell r="AD376">
            <v>1.25</v>
          </cell>
          <cell r="AE376" t="str">
            <v>–</v>
          </cell>
          <cell r="AF376" t="str">
            <v>–</v>
          </cell>
          <cell r="AG376">
            <v>0.29499999999999998</v>
          </cell>
          <cell r="AH376">
            <v>8.5399999999999991</v>
          </cell>
          <cell r="AI376" t="str">
            <v>–</v>
          </cell>
          <cell r="AJ376" t="str">
            <v>–</v>
          </cell>
          <cell r="AK376" t="str">
            <v>–</v>
          </cell>
          <cell r="AL376" t="str">
            <v>–</v>
          </cell>
          <cell r="AM376">
            <v>26.6</v>
          </cell>
          <cell r="AN376">
            <v>11.7</v>
          </cell>
        </row>
        <row r="377">
          <cell r="C377" t="str">
            <v>WT6X11</v>
          </cell>
          <cell r="D377" t="str">
            <v>F</v>
          </cell>
          <cell r="E377">
            <v>11</v>
          </cell>
          <cell r="F377">
            <v>3.24</v>
          </cell>
          <cell r="G377" t="str">
            <v>WT6X11</v>
          </cell>
          <cell r="H377">
            <v>6.16</v>
          </cell>
          <cell r="I377">
            <v>6.125</v>
          </cell>
          <cell r="J377" t="str">
            <v>–</v>
          </cell>
          <cell r="K377" t="str">
            <v>–</v>
          </cell>
          <cell r="L377" t="str">
            <v>–</v>
          </cell>
          <cell r="M377">
            <v>4.03</v>
          </cell>
          <cell r="N377">
            <v>4</v>
          </cell>
          <cell r="O377" t="str">
            <v>–</v>
          </cell>
          <cell r="P377" t="str">
            <v>–</v>
          </cell>
          <cell r="Q377" t="str">
            <v>–</v>
          </cell>
          <cell r="R377">
            <v>0.26</v>
          </cell>
          <cell r="S377">
            <v>0.25</v>
          </cell>
          <cell r="T377">
            <v>0.125</v>
          </cell>
          <cell r="U377">
            <v>0.42499999999999999</v>
          </cell>
          <cell r="V377">
            <v>0.4375</v>
          </cell>
          <cell r="W377">
            <v>0.42499999999999999</v>
          </cell>
          <cell r="X377" t="str">
            <v>–</v>
          </cell>
          <cell r="Y377" t="str">
            <v>–</v>
          </cell>
          <cell r="Z377">
            <v>0.72499999999999998</v>
          </cell>
          <cell r="AA377">
            <v>0.9375</v>
          </cell>
          <cell r="AB377" t="str">
            <v>–</v>
          </cell>
          <cell r="AC377" t="str">
            <v>–</v>
          </cell>
          <cell r="AD377">
            <v>1.63</v>
          </cell>
          <cell r="AE377" t="str">
            <v>–</v>
          </cell>
          <cell r="AF377" t="str">
            <v>–</v>
          </cell>
          <cell r="AG377">
            <v>0.40200000000000002</v>
          </cell>
          <cell r="AH377">
            <v>4.74</v>
          </cell>
          <cell r="AI377" t="str">
            <v>–</v>
          </cell>
          <cell r="AJ377" t="str">
            <v>–</v>
          </cell>
          <cell r="AK377" t="str">
            <v>–</v>
          </cell>
          <cell r="AL377" t="str">
            <v>–</v>
          </cell>
          <cell r="AM377">
            <v>23.7</v>
          </cell>
          <cell r="AN377">
            <v>11.7</v>
          </cell>
        </row>
        <row r="378">
          <cell r="C378" t="str">
            <v>WT6X9.5</v>
          </cell>
          <cell r="D378" t="str">
            <v>F</v>
          </cell>
          <cell r="E378">
            <v>9.5</v>
          </cell>
          <cell r="F378">
            <v>2.79</v>
          </cell>
          <cell r="G378" t="str">
            <v>WT6X9.5</v>
          </cell>
          <cell r="H378">
            <v>6.08</v>
          </cell>
          <cell r="I378">
            <v>6.125</v>
          </cell>
          <cell r="J378" t="str">
            <v>–</v>
          </cell>
          <cell r="K378" t="str">
            <v>–</v>
          </cell>
          <cell r="L378" t="str">
            <v>–</v>
          </cell>
          <cell r="M378">
            <v>4.01</v>
          </cell>
          <cell r="N378">
            <v>4</v>
          </cell>
          <cell r="O378" t="str">
            <v>–</v>
          </cell>
          <cell r="P378" t="str">
            <v>–</v>
          </cell>
          <cell r="Q378" t="str">
            <v>–</v>
          </cell>
          <cell r="R378">
            <v>0.23499999999999999</v>
          </cell>
          <cell r="S378">
            <v>0.25</v>
          </cell>
          <cell r="T378">
            <v>0.125</v>
          </cell>
          <cell r="U378">
            <v>0.35</v>
          </cell>
          <cell r="V378">
            <v>0.375</v>
          </cell>
          <cell r="W378">
            <v>0.35</v>
          </cell>
          <cell r="X378" t="str">
            <v>–</v>
          </cell>
          <cell r="Y378" t="str">
            <v>–</v>
          </cell>
          <cell r="Z378">
            <v>0.65</v>
          </cell>
          <cell r="AA378">
            <v>0.875</v>
          </cell>
          <cell r="AB378" t="str">
            <v>–</v>
          </cell>
          <cell r="AC378" t="str">
            <v>–</v>
          </cell>
          <cell r="AD378">
            <v>1.65</v>
          </cell>
          <cell r="AE378" t="str">
            <v>–</v>
          </cell>
          <cell r="AF378" t="str">
            <v>–</v>
          </cell>
          <cell r="AG378">
            <v>0.34799999999999998</v>
          </cell>
          <cell r="AH378">
            <v>5.72</v>
          </cell>
          <cell r="AI378" t="str">
            <v>–</v>
          </cell>
          <cell r="AJ378" t="str">
            <v>–</v>
          </cell>
          <cell r="AK378" t="str">
            <v>–</v>
          </cell>
          <cell r="AL378" t="str">
            <v>–</v>
          </cell>
          <cell r="AM378">
            <v>25.9</v>
          </cell>
          <cell r="AN378">
            <v>10.1</v>
          </cell>
        </row>
        <row r="379">
          <cell r="C379" t="str">
            <v>WT6X8</v>
          </cell>
          <cell r="D379" t="str">
            <v>F</v>
          </cell>
          <cell r="E379">
            <v>8</v>
          </cell>
          <cell r="F379">
            <v>2.36</v>
          </cell>
          <cell r="G379" t="str">
            <v>WT6X8</v>
          </cell>
          <cell r="H379">
            <v>6</v>
          </cell>
          <cell r="I379">
            <v>6</v>
          </cell>
          <cell r="J379" t="str">
            <v>–</v>
          </cell>
          <cell r="K379" t="str">
            <v>–</v>
          </cell>
          <cell r="L379" t="str">
            <v>–</v>
          </cell>
          <cell r="M379">
            <v>3.99</v>
          </cell>
          <cell r="N379">
            <v>4</v>
          </cell>
          <cell r="O379" t="str">
            <v>–</v>
          </cell>
          <cell r="P379" t="str">
            <v>–</v>
          </cell>
          <cell r="Q379" t="str">
            <v>–</v>
          </cell>
          <cell r="R379">
            <v>0.22</v>
          </cell>
          <cell r="S379">
            <v>0.25</v>
          </cell>
          <cell r="T379">
            <v>0.125</v>
          </cell>
          <cell r="U379">
            <v>0.26500000000000001</v>
          </cell>
          <cell r="V379">
            <v>0.25</v>
          </cell>
          <cell r="W379">
            <v>0.26500000000000001</v>
          </cell>
          <cell r="X379" t="str">
            <v>–</v>
          </cell>
          <cell r="Y379" t="str">
            <v>–</v>
          </cell>
          <cell r="Z379">
            <v>0.56499999999999995</v>
          </cell>
          <cell r="AA379">
            <v>0.8125</v>
          </cell>
          <cell r="AB379" t="str">
            <v>–</v>
          </cell>
          <cell r="AC379" t="str">
            <v>–</v>
          </cell>
          <cell r="AD379">
            <v>1.74</v>
          </cell>
          <cell r="AE379" t="str">
            <v>–</v>
          </cell>
          <cell r="AF379" t="str">
            <v>–</v>
          </cell>
          <cell r="AG379">
            <v>0.63900000000000001</v>
          </cell>
          <cell r="AH379">
            <v>7.53</v>
          </cell>
          <cell r="AI379" t="str">
            <v>–</v>
          </cell>
          <cell r="AJ379" t="str">
            <v>–</v>
          </cell>
          <cell r="AK379" t="str">
            <v>–</v>
          </cell>
          <cell r="AL379" t="str">
            <v>–</v>
          </cell>
          <cell r="AM379">
            <v>27.3</v>
          </cell>
          <cell r="AN379">
            <v>8.6999999999999993</v>
          </cell>
        </row>
        <row r="380">
          <cell r="C380" t="str">
            <v>WT6X7</v>
          </cell>
          <cell r="D380" t="str">
            <v>F</v>
          </cell>
          <cell r="E380">
            <v>7</v>
          </cell>
          <cell r="F380">
            <v>2.08</v>
          </cell>
          <cell r="G380" t="str">
            <v>WT6X7</v>
          </cell>
          <cell r="H380">
            <v>5.96</v>
          </cell>
          <cell r="I380">
            <v>6</v>
          </cell>
          <cell r="J380" t="str">
            <v>–</v>
          </cell>
          <cell r="K380" t="str">
            <v>–</v>
          </cell>
          <cell r="L380" t="str">
            <v>–</v>
          </cell>
          <cell r="M380">
            <v>3.97</v>
          </cell>
          <cell r="N380">
            <v>4</v>
          </cell>
          <cell r="O380" t="str">
            <v>–</v>
          </cell>
          <cell r="P380" t="str">
            <v>–</v>
          </cell>
          <cell r="Q380" t="str">
            <v>–</v>
          </cell>
          <cell r="R380">
            <v>0.2</v>
          </cell>
          <cell r="S380">
            <v>0.1875</v>
          </cell>
          <cell r="T380">
            <v>0.125</v>
          </cell>
          <cell r="U380">
            <v>0.22500000000000001</v>
          </cell>
          <cell r="V380">
            <v>0.25</v>
          </cell>
          <cell r="W380">
            <v>0.22500000000000001</v>
          </cell>
          <cell r="X380" t="str">
            <v>–</v>
          </cell>
          <cell r="Y380" t="str">
            <v>–</v>
          </cell>
          <cell r="Z380">
            <v>0.52500000000000002</v>
          </cell>
          <cell r="AA380">
            <v>0.75</v>
          </cell>
          <cell r="AB380" t="str">
            <v>–</v>
          </cell>
          <cell r="AC380" t="str">
            <v>–</v>
          </cell>
          <cell r="AD380">
            <v>1.76</v>
          </cell>
          <cell r="AE380" t="str">
            <v>–</v>
          </cell>
          <cell r="AF380" t="str">
            <v>–</v>
          </cell>
          <cell r="AG380">
            <v>0.76</v>
          </cell>
          <cell r="AH380">
            <v>8.82</v>
          </cell>
          <cell r="AI380" t="str">
            <v>–</v>
          </cell>
          <cell r="AJ380" t="str">
            <v>–</v>
          </cell>
          <cell r="AK380" t="str">
            <v>–</v>
          </cell>
          <cell r="AL380" t="str">
            <v>–</v>
          </cell>
          <cell r="AM380">
            <v>29.8</v>
          </cell>
          <cell r="AN380">
            <v>7.67</v>
          </cell>
        </row>
        <row r="381">
          <cell r="C381" t="str">
            <v>WT5X56</v>
          </cell>
          <cell r="D381" t="str">
            <v>F</v>
          </cell>
          <cell r="E381">
            <v>56</v>
          </cell>
          <cell r="F381">
            <v>16.5</v>
          </cell>
          <cell r="G381" t="str">
            <v>WT5X56</v>
          </cell>
          <cell r="H381">
            <v>5.68</v>
          </cell>
          <cell r="I381">
            <v>5.625</v>
          </cell>
          <cell r="J381" t="str">
            <v>–</v>
          </cell>
          <cell r="K381" t="str">
            <v>–</v>
          </cell>
          <cell r="L381" t="str">
            <v>–</v>
          </cell>
          <cell r="M381">
            <v>10.4</v>
          </cell>
          <cell r="N381">
            <v>10.375</v>
          </cell>
          <cell r="O381" t="str">
            <v>–</v>
          </cell>
          <cell r="P381" t="str">
            <v>–</v>
          </cell>
          <cell r="Q381" t="str">
            <v>–</v>
          </cell>
          <cell r="R381">
            <v>0.755</v>
          </cell>
          <cell r="S381">
            <v>0.75</v>
          </cell>
          <cell r="T381">
            <v>0.375</v>
          </cell>
          <cell r="U381">
            <v>1.25</v>
          </cell>
          <cell r="V381">
            <v>1.25</v>
          </cell>
          <cell r="W381">
            <v>1.25</v>
          </cell>
          <cell r="X381" t="str">
            <v>–</v>
          </cell>
          <cell r="Y381" t="str">
            <v>–</v>
          </cell>
          <cell r="Z381">
            <v>1.75</v>
          </cell>
          <cell r="AA381">
            <v>1.9375</v>
          </cell>
          <cell r="AB381" t="str">
            <v>–</v>
          </cell>
          <cell r="AC381" t="str">
            <v>–</v>
          </cell>
          <cell r="AD381">
            <v>1.21</v>
          </cell>
          <cell r="AE381" t="str">
            <v>–</v>
          </cell>
          <cell r="AF381" t="str">
            <v>–</v>
          </cell>
          <cell r="AG381">
            <v>0.79100000000000004</v>
          </cell>
          <cell r="AH381">
            <v>4.17</v>
          </cell>
          <cell r="AI381" t="str">
            <v>–</v>
          </cell>
          <cell r="AJ381" t="str">
            <v>–</v>
          </cell>
          <cell r="AK381" t="str">
            <v>–</v>
          </cell>
          <cell r="AL381" t="str">
            <v>–</v>
          </cell>
          <cell r="AM381">
            <v>7.52</v>
          </cell>
          <cell r="AN381">
            <v>28.6</v>
          </cell>
        </row>
        <row r="382">
          <cell r="C382" t="str">
            <v>WT5X50</v>
          </cell>
          <cell r="D382" t="str">
            <v>F</v>
          </cell>
          <cell r="E382">
            <v>50</v>
          </cell>
          <cell r="F382">
            <v>14.7</v>
          </cell>
          <cell r="G382" t="str">
            <v>WT5X50</v>
          </cell>
          <cell r="H382">
            <v>5.55</v>
          </cell>
          <cell r="I382">
            <v>5.5</v>
          </cell>
          <cell r="J382" t="str">
            <v>–</v>
          </cell>
          <cell r="K382" t="str">
            <v>–</v>
          </cell>
          <cell r="L382" t="str">
            <v>–</v>
          </cell>
          <cell r="M382">
            <v>10.3</v>
          </cell>
          <cell r="N382">
            <v>10.375</v>
          </cell>
          <cell r="O382" t="str">
            <v>–</v>
          </cell>
          <cell r="P382" t="str">
            <v>–</v>
          </cell>
          <cell r="Q382" t="str">
            <v>–</v>
          </cell>
          <cell r="R382">
            <v>0.68</v>
          </cell>
          <cell r="S382">
            <v>0.6875</v>
          </cell>
          <cell r="T382">
            <v>0.375</v>
          </cell>
          <cell r="U382">
            <v>1.1200000000000001</v>
          </cell>
          <cell r="V382">
            <v>1.125</v>
          </cell>
          <cell r="W382">
            <v>1.1200000000000001</v>
          </cell>
          <cell r="X382" t="str">
            <v>–</v>
          </cell>
          <cell r="Y382" t="str">
            <v>–</v>
          </cell>
          <cell r="Z382">
            <v>1.62</v>
          </cell>
          <cell r="AA382">
            <v>1.8125</v>
          </cell>
          <cell r="AB382" t="str">
            <v>–</v>
          </cell>
          <cell r="AC382" t="str">
            <v>–</v>
          </cell>
          <cell r="AD382">
            <v>1.1299999999999999</v>
          </cell>
          <cell r="AE382" t="str">
            <v>–</v>
          </cell>
          <cell r="AF382" t="str">
            <v>–</v>
          </cell>
          <cell r="AG382">
            <v>0.71099999999999997</v>
          </cell>
          <cell r="AH382">
            <v>4.62</v>
          </cell>
          <cell r="AI382" t="str">
            <v>–</v>
          </cell>
          <cell r="AJ382" t="str">
            <v>–</v>
          </cell>
          <cell r="AK382" t="str">
            <v>–</v>
          </cell>
          <cell r="AL382" t="str">
            <v>–</v>
          </cell>
          <cell r="AM382">
            <v>8.16</v>
          </cell>
          <cell r="AN382">
            <v>24.5</v>
          </cell>
        </row>
        <row r="383">
          <cell r="C383" t="str">
            <v>WT5X44</v>
          </cell>
          <cell r="D383" t="str">
            <v>F</v>
          </cell>
          <cell r="E383">
            <v>44</v>
          </cell>
          <cell r="F383">
            <v>13</v>
          </cell>
          <cell r="G383" t="str">
            <v>WT5X44</v>
          </cell>
          <cell r="H383">
            <v>5.42</v>
          </cell>
          <cell r="I383">
            <v>5.375</v>
          </cell>
          <cell r="J383" t="str">
            <v>–</v>
          </cell>
          <cell r="K383" t="str">
            <v>–</v>
          </cell>
          <cell r="L383" t="str">
            <v>–</v>
          </cell>
          <cell r="M383">
            <v>10.3</v>
          </cell>
          <cell r="N383">
            <v>10.25</v>
          </cell>
          <cell r="O383" t="str">
            <v>–</v>
          </cell>
          <cell r="P383" t="str">
            <v>–</v>
          </cell>
          <cell r="Q383" t="str">
            <v>–</v>
          </cell>
          <cell r="R383">
            <v>0.60499999999999998</v>
          </cell>
          <cell r="S383">
            <v>0.625</v>
          </cell>
          <cell r="T383">
            <v>0.3125</v>
          </cell>
          <cell r="U383">
            <v>0.99</v>
          </cell>
          <cell r="V383">
            <v>1</v>
          </cell>
          <cell r="W383">
            <v>0.99</v>
          </cell>
          <cell r="X383" t="str">
            <v>–</v>
          </cell>
          <cell r="Y383" t="str">
            <v>–</v>
          </cell>
          <cell r="Z383">
            <v>1.49</v>
          </cell>
          <cell r="AA383">
            <v>1.6875</v>
          </cell>
          <cell r="AB383" t="str">
            <v>–</v>
          </cell>
          <cell r="AC383" t="str">
            <v>–</v>
          </cell>
          <cell r="AD383">
            <v>1.06</v>
          </cell>
          <cell r="AE383" t="str">
            <v>–</v>
          </cell>
          <cell r="AF383" t="str">
            <v>–</v>
          </cell>
          <cell r="AG383">
            <v>0.63100000000000001</v>
          </cell>
          <cell r="AH383">
            <v>5.18</v>
          </cell>
          <cell r="AI383" t="str">
            <v>–</v>
          </cell>
          <cell r="AJ383" t="str">
            <v>–</v>
          </cell>
          <cell r="AK383" t="str">
            <v>–</v>
          </cell>
          <cell r="AL383" t="str">
            <v>–</v>
          </cell>
          <cell r="AM383">
            <v>8.9600000000000009</v>
          </cell>
          <cell r="AN383">
            <v>20.8</v>
          </cell>
        </row>
        <row r="384">
          <cell r="C384" t="str">
            <v>WT5X38.5</v>
          </cell>
          <cell r="D384" t="str">
            <v>F</v>
          </cell>
          <cell r="E384">
            <v>38.5</v>
          </cell>
          <cell r="F384">
            <v>11.3</v>
          </cell>
          <cell r="G384" t="str">
            <v>WT5X38.5</v>
          </cell>
          <cell r="H384">
            <v>5.3</v>
          </cell>
          <cell r="I384">
            <v>5.25</v>
          </cell>
          <cell r="J384" t="str">
            <v>–</v>
          </cell>
          <cell r="K384" t="str">
            <v>–</v>
          </cell>
          <cell r="L384" t="str">
            <v>–</v>
          </cell>
          <cell r="M384">
            <v>10.199999999999999</v>
          </cell>
          <cell r="N384">
            <v>10.25</v>
          </cell>
          <cell r="O384" t="str">
            <v>–</v>
          </cell>
          <cell r="P384" t="str">
            <v>–</v>
          </cell>
          <cell r="Q384" t="str">
            <v>–</v>
          </cell>
          <cell r="R384">
            <v>0.53</v>
          </cell>
          <cell r="S384">
            <v>0.5</v>
          </cell>
          <cell r="T384">
            <v>0.25</v>
          </cell>
          <cell r="U384">
            <v>0.87</v>
          </cell>
          <cell r="V384">
            <v>0.875</v>
          </cell>
          <cell r="W384">
            <v>0.87</v>
          </cell>
          <cell r="X384" t="str">
            <v>–</v>
          </cell>
          <cell r="Y384" t="str">
            <v>–</v>
          </cell>
          <cell r="Z384">
            <v>1.37</v>
          </cell>
          <cell r="AA384">
            <v>1.5625</v>
          </cell>
          <cell r="AB384" t="str">
            <v>–</v>
          </cell>
          <cell r="AC384" t="str">
            <v>–</v>
          </cell>
          <cell r="AD384">
            <v>0.99</v>
          </cell>
          <cell r="AE384" t="str">
            <v>–</v>
          </cell>
          <cell r="AF384" t="str">
            <v>–</v>
          </cell>
          <cell r="AG384">
            <v>0.55500000000000005</v>
          </cell>
          <cell r="AH384">
            <v>5.86</v>
          </cell>
          <cell r="AI384" t="str">
            <v>–</v>
          </cell>
          <cell r="AJ384" t="str">
            <v>–</v>
          </cell>
          <cell r="AK384" t="str">
            <v>–</v>
          </cell>
          <cell r="AL384" t="str">
            <v>–</v>
          </cell>
          <cell r="AM384">
            <v>10</v>
          </cell>
          <cell r="AN384">
            <v>17.399999999999999</v>
          </cell>
        </row>
        <row r="385">
          <cell r="C385" t="str">
            <v>WT5X34</v>
          </cell>
          <cell r="D385" t="str">
            <v>F</v>
          </cell>
          <cell r="E385">
            <v>34</v>
          </cell>
          <cell r="F385">
            <v>10</v>
          </cell>
          <cell r="G385" t="str">
            <v>WT5X34</v>
          </cell>
          <cell r="H385">
            <v>5.2</v>
          </cell>
          <cell r="I385">
            <v>5.25</v>
          </cell>
          <cell r="J385" t="str">
            <v>–</v>
          </cell>
          <cell r="K385" t="str">
            <v>–</v>
          </cell>
          <cell r="L385" t="str">
            <v>–</v>
          </cell>
          <cell r="M385">
            <v>10.1</v>
          </cell>
          <cell r="N385">
            <v>10.125</v>
          </cell>
          <cell r="O385" t="str">
            <v>–</v>
          </cell>
          <cell r="P385" t="str">
            <v>–</v>
          </cell>
          <cell r="Q385" t="str">
            <v>–</v>
          </cell>
          <cell r="R385">
            <v>0.47</v>
          </cell>
          <cell r="S385">
            <v>0.5</v>
          </cell>
          <cell r="T385">
            <v>0.25</v>
          </cell>
          <cell r="U385">
            <v>0.77</v>
          </cell>
          <cell r="V385">
            <v>0.75</v>
          </cell>
          <cell r="W385">
            <v>0.77</v>
          </cell>
          <cell r="X385" t="str">
            <v>–</v>
          </cell>
          <cell r="Y385" t="str">
            <v>–</v>
          </cell>
          <cell r="Z385">
            <v>1.27</v>
          </cell>
          <cell r="AA385">
            <v>1.4375</v>
          </cell>
          <cell r="AB385" t="str">
            <v>–</v>
          </cell>
          <cell r="AC385" t="str">
            <v>–</v>
          </cell>
          <cell r="AD385">
            <v>0.93200000000000005</v>
          </cell>
          <cell r="AE385" t="str">
            <v>–</v>
          </cell>
          <cell r="AF385" t="str">
            <v>–</v>
          </cell>
          <cell r="AG385">
            <v>0.49299999999999999</v>
          </cell>
          <cell r="AH385">
            <v>6.58</v>
          </cell>
          <cell r="AI385" t="str">
            <v>–</v>
          </cell>
          <cell r="AJ385" t="str">
            <v>–</v>
          </cell>
          <cell r="AK385" t="str">
            <v>–</v>
          </cell>
          <cell r="AL385" t="str">
            <v>–</v>
          </cell>
          <cell r="AM385">
            <v>11.1</v>
          </cell>
          <cell r="AN385">
            <v>14.9</v>
          </cell>
        </row>
        <row r="386">
          <cell r="C386" t="str">
            <v>WT5X30</v>
          </cell>
          <cell r="D386" t="str">
            <v>F</v>
          </cell>
          <cell r="E386">
            <v>30</v>
          </cell>
          <cell r="F386">
            <v>8.84</v>
          </cell>
          <cell r="G386" t="str">
            <v>WT5X30</v>
          </cell>
          <cell r="H386">
            <v>5.1100000000000003</v>
          </cell>
          <cell r="I386">
            <v>5.125</v>
          </cell>
          <cell r="J386" t="str">
            <v>–</v>
          </cell>
          <cell r="K386" t="str">
            <v>–</v>
          </cell>
          <cell r="L386" t="str">
            <v>–</v>
          </cell>
          <cell r="M386">
            <v>10.1</v>
          </cell>
          <cell r="N386">
            <v>10.125</v>
          </cell>
          <cell r="O386" t="str">
            <v>–</v>
          </cell>
          <cell r="P386" t="str">
            <v>–</v>
          </cell>
          <cell r="Q386" t="str">
            <v>–</v>
          </cell>
          <cell r="R386">
            <v>0.42</v>
          </cell>
          <cell r="S386">
            <v>0.4375</v>
          </cell>
          <cell r="T386">
            <v>0.25</v>
          </cell>
          <cell r="U386">
            <v>0.68</v>
          </cell>
          <cell r="V386">
            <v>0.6875</v>
          </cell>
          <cell r="W386">
            <v>0.68</v>
          </cell>
          <cell r="X386" t="str">
            <v>–</v>
          </cell>
          <cell r="Y386" t="str">
            <v>–</v>
          </cell>
          <cell r="Z386">
            <v>1.18</v>
          </cell>
          <cell r="AA386">
            <v>1.375</v>
          </cell>
          <cell r="AB386" t="str">
            <v>–</v>
          </cell>
          <cell r="AC386" t="str">
            <v>–</v>
          </cell>
          <cell r="AD386">
            <v>0.88400000000000001</v>
          </cell>
          <cell r="AE386" t="str">
            <v>–</v>
          </cell>
          <cell r="AF386" t="str">
            <v>–</v>
          </cell>
          <cell r="AG386">
            <v>0.438</v>
          </cell>
          <cell r="AH386">
            <v>7.41</v>
          </cell>
          <cell r="AI386" t="str">
            <v>–</v>
          </cell>
          <cell r="AJ386" t="str">
            <v>–</v>
          </cell>
          <cell r="AK386" t="str">
            <v>–</v>
          </cell>
          <cell r="AL386" t="str">
            <v>–</v>
          </cell>
          <cell r="AM386">
            <v>12.2</v>
          </cell>
          <cell r="AN386">
            <v>12.9</v>
          </cell>
        </row>
        <row r="387">
          <cell r="C387" t="str">
            <v>WT5X27</v>
          </cell>
          <cell r="D387" t="str">
            <v>F</v>
          </cell>
          <cell r="E387">
            <v>27</v>
          </cell>
          <cell r="F387">
            <v>7.9</v>
          </cell>
          <cell r="G387" t="str">
            <v>WT5X27</v>
          </cell>
          <cell r="H387">
            <v>5.05</v>
          </cell>
          <cell r="I387">
            <v>5</v>
          </cell>
          <cell r="J387" t="str">
            <v>–</v>
          </cell>
          <cell r="K387" t="str">
            <v>–</v>
          </cell>
          <cell r="L387" t="str">
            <v>–</v>
          </cell>
          <cell r="M387">
            <v>10</v>
          </cell>
          <cell r="N387">
            <v>10</v>
          </cell>
          <cell r="O387" t="str">
            <v>–</v>
          </cell>
          <cell r="P387" t="str">
            <v>–</v>
          </cell>
          <cell r="Q387" t="str">
            <v>–</v>
          </cell>
          <cell r="R387">
            <v>0.37</v>
          </cell>
          <cell r="S387">
            <v>0.375</v>
          </cell>
          <cell r="T387">
            <v>0.1875</v>
          </cell>
          <cell r="U387">
            <v>0.61499999999999999</v>
          </cell>
          <cell r="V387">
            <v>0.625</v>
          </cell>
          <cell r="W387">
            <v>0.61499999999999999</v>
          </cell>
          <cell r="X387" t="str">
            <v>–</v>
          </cell>
          <cell r="Y387" t="str">
            <v>–</v>
          </cell>
          <cell r="Z387">
            <v>1.1200000000000001</v>
          </cell>
          <cell r="AA387">
            <v>1.3125</v>
          </cell>
          <cell r="AB387" t="str">
            <v>–</v>
          </cell>
          <cell r="AC387" t="str">
            <v>–</v>
          </cell>
          <cell r="AD387">
            <v>0.83599999999999997</v>
          </cell>
          <cell r="AE387" t="str">
            <v>–</v>
          </cell>
          <cell r="AF387" t="str">
            <v>–</v>
          </cell>
          <cell r="AG387">
            <v>0.39500000000000002</v>
          </cell>
          <cell r="AH387">
            <v>8.15</v>
          </cell>
          <cell r="AI387" t="str">
            <v>–</v>
          </cell>
          <cell r="AJ387" t="str">
            <v>–</v>
          </cell>
          <cell r="AK387" t="str">
            <v>–</v>
          </cell>
          <cell r="AL387" t="str">
            <v>–</v>
          </cell>
          <cell r="AM387">
            <v>13.6</v>
          </cell>
          <cell r="AN387">
            <v>11.1</v>
          </cell>
        </row>
        <row r="388">
          <cell r="C388" t="str">
            <v>WT5X24.5</v>
          </cell>
          <cell r="D388" t="str">
            <v>F</v>
          </cell>
          <cell r="E388">
            <v>24.5</v>
          </cell>
          <cell r="F388">
            <v>7.21</v>
          </cell>
          <cell r="G388" t="str">
            <v>WT5X24.5</v>
          </cell>
          <cell r="H388">
            <v>4.99</v>
          </cell>
          <cell r="I388">
            <v>5</v>
          </cell>
          <cell r="J388" t="str">
            <v>–</v>
          </cell>
          <cell r="K388" t="str">
            <v>–</v>
          </cell>
          <cell r="L388" t="str">
            <v>–</v>
          </cell>
          <cell r="M388">
            <v>10</v>
          </cell>
          <cell r="N388">
            <v>10</v>
          </cell>
          <cell r="O388" t="str">
            <v>–</v>
          </cell>
          <cell r="P388" t="str">
            <v>–</v>
          </cell>
          <cell r="Q388" t="str">
            <v>–</v>
          </cell>
          <cell r="R388">
            <v>0.34</v>
          </cell>
          <cell r="S388">
            <v>0.3125</v>
          </cell>
          <cell r="T388">
            <v>0.1875</v>
          </cell>
          <cell r="U388">
            <v>0.56000000000000005</v>
          </cell>
          <cell r="V388">
            <v>0.5625</v>
          </cell>
          <cell r="W388">
            <v>0.56000000000000005</v>
          </cell>
          <cell r="X388" t="str">
            <v>–</v>
          </cell>
          <cell r="Y388" t="str">
            <v>–</v>
          </cell>
          <cell r="Z388">
            <v>1.06</v>
          </cell>
          <cell r="AA388">
            <v>1.25</v>
          </cell>
          <cell r="AB388" t="str">
            <v>–</v>
          </cell>
          <cell r="AC388" t="str">
            <v>–</v>
          </cell>
          <cell r="AD388">
            <v>0.80700000000000005</v>
          </cell>
          <cell r="AE388" t="str">
            <v>–</v>
          </cell>
          <cell r="AF388" t="str">
            <v>–</v>
          </cell>
          <cell r="AG388">
            <v>0.36099999999999999</v>
          </cell>
          <cell r="AH388">
            <v>8.93</v>
          </cell>
          <cell r="AI388" t="str">
            <v>–</v>
          </cell>
          <cell r="AJ388" t="str">
            <v>–</v>
          </cell>
          <cell r="AK388" t="str">
            <v>–</v>
          </cell>
          <cell r="AL388" t="str">
            <v>–</v>
          </cell>
          <cell r="AM388">
            <v>14.7</v>
          </cell>
          <cell r="AN388">
            <v>10</v>
          </cell>
        </row>
        <row r="389">
          <cell r="C389" t="str">
            <v>WT5X22.5</v>
          </cell>
          <cell r="D389" t="str">
            <v>F</v>
          </cell>
          <cell r="E389">
            <v>22.5</v>
          </cell>
          <cell r="F389">
            <v>6.63</v>
          </cell>
          <cell r="G389" t="str">
            <v>WT5X22.5</v>
          </cell>
          <cell r="H389">
            <v>5.05</v>
          </cell>
          <cell r="I389">
            <v>5</v>
          </cell>
          <cell r="J389" t="str">
            <v>–</v>
          </cell>
          <cell r="K389" t="str">
            <v>–</v>
          </cell>
          <cell r="L389" t="str">
            <v>–</v>
          </cell>
          <cell r="M389">
            <v>8.02</v>
          </cell>
          <cell r="N389">
            <v>8</v>
          </cell>
          <cell r="O389" t="str">
            <v>–</v>
          </cell>
          <cell r="P389" t="str">
            <v>–</v>
          </cell>
          <cell r="Q389" t="str">
            <v>–</v>
          </cell>
          <cell r="R389">
            <v>0.35</v>
          </cell>
          <cell r="S389">
            <v>0.375</v>
          </cell>
          <cell r="T389">
            <v>0.1875</v>
          </cell>
          <cell r="U389">
            <v>0.62</v>
          </cell>
          <cell r="V389">
            <v>0.625</v>
          </cell>
          <cell r="W389">
            <v>0.62</v>
          </cell>
          <cell r="X389" t="str">
            <v>–</v>
          </cell>
          <cell r="Y389" t="str">
            <v>–</v>
          </cell>
          <cell r="Z389">
            <v>1.1200000000000001</v>
          </cell>
          <cell r="AA389">
            <v>1.3125</v>
          </cell>
          <cell r="AB389" t="str">
            <v>–</v>
          </cell>
          <cell r="AC389" t="str">
            <v>–</v>
          </cell>
          <cell r="AD389">
            <v>0.90700000000000003</v>
          </cell>
          <cell r="AE389" t="str">
            <v>–</v>
          </cell>
          <cell r="AF389" t="str">
            <v>–</v>
          </cell>
          <cell r="AG389">
            <v>0.41299999999999998</v>
          </cell>
          <cell r="AH389">
            <v>6.47</v>
          </cell>
          <cell r="AI389" t="str">
            <v>–</v>
          </cell>
          <cell r="AJ389" t="str">
            <v>–</v>
          </cell>
          <cell r="AK389" t="str">
            <v>–</v>
          </cell>
          <cell r="AL389" t="str">
            <v>–</v>
          </cell>
          <cell r="AM389">
            <v>14.4</v>
          </cell>
          <cell r="AN389">
            <v>10.199999999999999</v>
          </cell>
        </row>
        <row r="390">
          <cell r="C390" t="str">
            <v>WT5X19.5</v>
          </cell>
          <cell r="D390" t="str">
            <v>F</v>
          </cell>
          <cell r="E390">
            <v>19.5</v>
          </cell>
          <cell r="F390">
            <v>5.73</v>
          </cell>
          <cell r="G390" t="str">
            <v>WT5X19.5</v>
          </cell>
          <cell r="H390">
            <v>4.96</v>
          </cell>
          <cell r="I390">
            <v>5</v>
          </cell>
          <cell r="J390" t="str">
            <v>–</v>
          </cell>
          <cell r="K390" t="str">
            <v>–</v>
          </cell>
          <cell r="L390" t="str">
            <v>–</v>
          </cell>
          <cell r="M390">
            <v>7.99</v>
          </cell>
          <cell r="N390">
            <v>8</v>
          </cell>
          <cell r="O390" t="str">
            <v>–</v>
          </cell>
          <cell r="P390" t="str">
            <v>–</v>
          </cell>
          <cell r="Q390" t="str">
            <v>–</v>
          </cell>
          <cell r="R390">
            <v>0.315</v>
          </cell>
          <cell r="S390">
            <v>0.3125</v>
          </cell>
          <cell r="T390">
            <v>0.1875</v>
          </cell>
          <cell r="U390">
            <v>0.53</v>
          </cell>
          <cell r="V390">
            <v>0.5</v>
          </cell>
          <cell r="W390">
            <v>0.53</v>
          </cell>
          <cell r="X390" t="str">
            <v>–</v>
          </cell>
          <cell r="Y390" t="str">
            <v>–</v>
          </cell>
          <cell r="Z390">
            <v>1.03</v>
          </cell>
          <cell r="AA390">
            <v>1.1875</v>
          </cell>
          <cell r="AB390" t="str">
            <v>–</v>
          </cell>
          <cell r="AC390" t="str">
            <v>–</v>
          </cell>
          <cell r="AD390">
            <v>0.876</v>
          </cell>
          <cell r="AE390" t="str">
            <v>–</v>
          </cell>
          <cell r="AF390" t="str">
            <v>–</v>
          </cell>
          <cell r="AG390">
            <v>0.35899999999999999</v>
          </cell>
          <cell r="AH390">
            <v>7.53</v>
          </cell>
          <cell r="AI390" t="str">
            <v>–</v>
          </cell>
          <cell r="AJ390" t="str">
            <v>–</v>
          </cell>
          <cell r="AK390" t="str">
            <v>–</v>
          </cell>
          <cell r="AL390" t="str">
            <v>–</v>
          </cell>
          <cell r="AM390">
            <v>15.7</v>
          </cell>
          <cell r="AN390">
            <v>8.84</v>
          </cell>
        </row>
        <row r="391">
          <cell r="C391" t="str">
            <v>WT5X16.5</v>
          </cell>
          <cell r="D391" t="str">
            <v>F</v>
          </cell>
          <cell r="E391">
            <v>16.5</v>
          </cell>
          <cell r="F391">
            <v>4.8499999999999996</v>
          </cell>
          <cell r="G391" t="str">
            <v>WT5X16.5</v>
          </cell>
          <cell r="H391">
            <v>4.87</v>
          </cell>
          <cell r="I391">
            <v>4.875</v>
          </cell>
          <cell r="J391" t="str">
            <v>–</v>
          </cell>
          <cell r="K391" t="str">
            <v>–</v>
          </cell>
          <cell r="L391" t="str">
            <v>–</v>
          </cell>
          <cell r="M391">
            <v>7.96</v>
          </cell>
          <cell r="N391">
            <v>8</v>
          </cell>
          <cell r="O391" t="str">
            <v>–</v>
          </cell>
          <cell r="P391" t="str">
            <v>–</v>
          </cell>
          <cell r="Q391" t="str">
            <v>–</v>
          </cell>
          <cell r="R391">
            <v>0.28999999999999998</v>
          </cell>
          <cell r="S391">
            <v>0.3125</v>
          </cell>
          <cell r="T391">
            <v>0.1875</v>
          </cell>
          <cell r="U391">
            <v>0.435</v>
          </cell>
          <cell r="V391">
            <v>0.4375</v>
          </cell>
          <cell r="W391">
            <v>0.435</v>
          </cell>
          <cell r="X391" t="str">
            <v>–</v>
          </cell>
          <cell r="Y391" t="str">
            <v>–</v>
          </cell>
          <cell r="Z391">
            <v>0.93500000000000005</v>
          </cell>
          <cell r="AA391">
            <v>1.125</v>
          </cell>
          <cell r="AB391" t="str">
            <v>–</v>
          </cell>
          <cell r="AC391" t="str">
            <v>–</v>
          </cell>
          <cell r="AD391">
            <v>0.86899999999999999</v>
          </cell>
          <cell r="AE391" t="str">
            <v>–</v>
          </cell>
          <cell r="AF391" t="str">
            <v>–</v>
          </cell>
          <cell r="AG391">
            <v>0.30499999999999999</v>
          </cell>
          <cell r="AH391">
            <v>9.15</v>
          </cell>
          <cell r="AI391" t="str">
            <v>–</v>
          </cell>
          <cell r="AJ391" t="str">
            <v>–</v>
          </cell>
          <cell r="AK391" t="str">
            <v>–</v>
          </cell>
          <cell r="AL391" t="str">
            <v>–</v>
          </cell>
          <cell r="AM391">
            <v>16.8</v>
          </cell>
          <cell r="AN391">
            <v>7.71</v>
          </cell>
        </row>
        <row r="392">
          <cell r="C392" t="str">
            <v>WT5X15</v>
          </cell>
          <cell r="D392" t="str">
            <v>F</v>
          </cell>
          <cell r="E392">
            <v>15</v>
          </cell>
          <cell r="F392">
            <v>4.42</v>
          </cell>
          <cell r="G392" t="str">
            <v>WT5X15</v>
          </cell>
          <cell r="H392">
            <v>5.24</v>
          </cell>
          <cell r="I392">
            <v>5.25</v>
          </cell>
          <cell r="J392" t="str">
            <v>–</v>
          </cell>
          <cell r="K392" t="str">
            <v>–</v>
          </cell>
          <cell r="L392" t="str">
            <v>–</v>
          </cell>
          <cell r="M392">
            <v>5.81</v>
          </cell>
          <cell r="N392">
            <v>5.75</v>
          </cell>
          <cell r="O392" t="str">
            <v>–</v>
          </cell>
          <cell r="P392" t="str">
            <v>–</v>
          </cell>
          <cell r="Q392" t="str">
            <v>–</v>
          </cell>
          <cell r="R392">
            <v>0.3</v>
          </cell>
          <cell r="S392">
            <v>0.3125</v>
          </cell>
          <cell r="T392">
            <v>0.1875</v>
          </cell>
          <cell r="U392">
            <v>0.51</v>
          </cell>
          <cell r="V392">
            <v>0.5</v>
          </cell>
          <cell r="W392">
            <v>0.51</v>
          </cell>
          <cell r="X392" t="str">
            <v>–</v>
          </cell>
          <cell r="Y392" t="str">
            <v>–</v>
          </cell>
          <cell r="Z392">
            <v>0.81</v>
          </cell>
          <cell r="AA392">
            <v>1.125</v>
          </cell>
          <cell r="AB392" t="str">
            <v>–</v>
          </cell>
          <cell r="AC392" t="str">
            <v>–</v>
          </cell>
          <cell r="AD392">
            <v>1.1000000000000001</v>
          </cell>
          <cell r="AE392" t="str">
            <v>–</v>
          </cell>
          <cell r="AF392" t="str">
            <v>–</v>
          </cell>
          <cell r="AG392">
            <v>0.38</v>
          </cell>
          <cell r="AH392">
            <v>5.7</v>
          </cell>
          <cell r="AI392" t="str">
            <v>–</v>
          </cell>
          <cell r="AJ392" t="str">
            <v>–</v>
          </cell>
          <cell r="AK392" t="str">
            <v>–</v>
          </cell>
          <cell r="AL392" t="str">
            <v>–</v>
          </cell>
          <cell r="AM392">
            <v>17.5</v>
          </cell>
          <cell r="AN392">
            <v>9.2799999999999994</v>
          </cell>
        </row>
        <row r="393">
          <cell r="C393" t="str">
            <v>WT5X13</v>
          </cell>
          <cell r="D393" t="str">
            <v>F</v>
          </cell>
          <cell r="E393">
            <v>13</v>
          </cell>
          <cell r="F393">
            <v>3.81</v>
          </cell>
          <cell r="G393" t="str">
            <v>WT5X13</v>
          </cell>
          <cell r="H393">
            <v>5.17</v>
          </cell>
          <cell r="I393">
            <v>5.125</v>
          </cell>
          <cell r="J393" t="str">
            <v>–</v>
          </cell>
          <cell r="K393" t="str">
            <v>–</v>
          </cell>
          <cell r="L393" t="str">
            <v>–</v>
          </cell>
          <cell r="M393">
            <v>5.77</v>
          </cell>
          <cell r="N393">
            <v>5.75</v>
          </cell>
          <cell r="O393" t="str">
            <v>–</v>
          </cell>
          <cell r="P393" t="str">
            <v>–</v>
          </cell>
          <cell r="Q393" t="str">
            <v>–</v>
          </cell>
          <cell r="R393">
            <v>0.26</v>
          </cell>
          <cell r="S393">
            <v>0.25</v>
          </cell>
          <cell r="T393">
            <v>0.125</v>
          </cell>
          <cell r="U393">
            <v>0.44</v>
          </cell>
          <cell r="V393">
            <v>0.4375</v>
          </cell>
          <cell r="W393">
            <v>0.44</v>
          </cell>
          <cell r="X393" t="str">
            <v>–</v>
          </cell>
          <cell r="Y393" t="str">
            <v>–</v>
          </cell>
          <cell r="Z393">
            <v>0.74</v>
          </cell>
          <cell r="AA393">
            <v>1.0625</v>
          </cell>
          <cell r="AB393" t="str">
            <v>–</v>
          </cell>
          <cell r="AC393" t="str">
            <v>–</v>
          </cell>
          <cell r="AD393">
            <v>1.06</v>
          </cell>
          <cell r="AE393" t="str">
            <v>–</v>
          </cell>
          <cell r="AF393" t="str">
            <v>–</v>
          </cell>
          <cell r="AG393">
            <v>0.33</v>
          </cell>
          <cell r="AH393">
            <v>6.56</v>
          </cell>
          <cell r="AI393" t="str">
            <v>–</v>
          </cell>
          <cell r="AJ393" t="str">
            <v>–</v>
          </cell>
          <cell r="AK393" t="str">
            <v>–</v>
          </cell>
          <cell r="AL393" t="str">
            <v>–</v>
          </cell>
          <cell r="AM393">
            <v>19.899999999999999</v>
          </cell>
          <cell r="AN393">
            <v>7.86</v>
          </cell>
        </row>
        <row r="394">
          <cell r="C394" t="str">
            <v>WT5X11</v>
          </cell>
          <cell r="D394" t="str">
            <v>F</v>
          </cell>
          <cell r="E394">
            <v>11</v>
          </cell>
          <cell r="F394">
            <v>3.24</v>
          </cell>
          <cell r="G394" t="str">
            <v>WT5X11</v>
          </cell>
          <cell r="H394">
            <v>5.09</v>
          </cell>
          <cell r="I394">
            <v>5.125</v>
          </cell>
          <cell r="J394" t="str">
            <v>–</v>
          </cell>
          <cell r="K394" t="str">
            <v>–</v>
          </cell>
          <cell r="L394" t="str">
            <v>–</v>
          </cell>
          <cell r="M394">
            <v>5.75</v>
          </cell>
          <cell r="N394">
            <v>5.75</v>
          </cell>
          <cell r="O394" t="str">
            <v>–</v>
          </cell>
          <cell r="P394" t="str">
            <v>–</v>
          </cell>
          <cell r="Q394" t="str">
            <v>–</v>
          </cell>
          <cell r="R394">
            <v>0.24</v>
          </cell>
          <cell r="S394">
            <v>0.25</v>
          </cell>
          <cell r="T394">
            <v>0.125</v>
          </cell>
          <cell r="U394">
            <v>0.36</v>
          </cell>
          <cell r="V394">
            <v>0.375</v>
          </cell>
          <cell r="W394">
            <v>0.36</v>
          </cell>
          <cell r="X394" t="str">
            <v>–</v>
          </cell>
          <cell r="Y394" t="str">
            <v>–</v>
          </cell>
          <cell r="Z394">
            <v>0.66</v>
          </cell>
          <cell r="AA394">
            <v>0.9375</v>
          </cell>
          <cell r="AB394" t="str">
            <v>–</v>
          </cell>
          <cell r="AC394" t="str">
            <v>–</v>
          </cell>
          <cell r="AD394">
            <v>1.07</v>
          </cell>
          <cell r="AE394" t="str">
            <v>–</v>
          </cell>
          <cell r="AF394" t="str">
            <v>–</v>
          </cell>
          <cell r="AG394">
            <v>0.28199999999999997</v>
          </cell>
          <cell r="AH394">
            <v>7.99</v>
          </cell>
          <cell r="AI394" t="str">
            <v>–</v>
          </cell>
          <cell r="AJ394" t="str">
            <v>–</v>
          </cell>
          <cell r="AK394" t="str">
            <v>–</v>
          </cell>
          <cell r="AL394" t="str">
            <v>–</v>
          </cell>
          <cell r="AM394">
            <v>21.2</v>
          </cell>
          <cell r="AN394">
            <v>6.88</v>
          </cell>
        </row>
        <row r="395">
          <cell r="C395" t="str">
            <v>WT5X9.5</v>
          </cell>
          <cell r="D395" t="str">
            <v>F</v>
          </cell>
          <cell r="E395">
            <v>9.5</v>
          </cell>
          <cell r="F395">
            <v>2.81</v>
          </cell>
          <cell r="G395" t="str">
            <v>WT5X9.5</v>
          </cell>
          <cell r="H395">
            <v>5.12</v>
          </cell>
          <cell r="I395">
            <v>5.125</v>
          </cell>
          <cell r="J395" t="str">
            <v>–</v>
          </cell>
          <cell r="K395" t="str">
            <v>–</v>
          </cell>
          <cell r="L395" t="str">
            <v>–</v>
          </cell>
          <cell r="M395">
            <v>4.0199999999999996</v>
          </cell>
          <cell r="N395">
            <v>4</v>
          </cell>
          <cell r="O395" t="str">
            <v>–</v>
          </cell>
          <cell r="P395" t="str">
            <v>–</v>
          </cell>
          <cell r="Q395" t="str">
            <v>–</v>
          </cell>
          <cell r="R395">
            <v>0.25</v>
          </cell>
          <cell r="S395">
            <v>0.25</v>
          </cell>
          <cell r="T395">
            <v>0.125</v>
          </cell>
          <cell r="U395">
            <v>0.39500000000000002</v>
          </cell>
          <cell r="V395">
            <v>0.375</v>
          </cell>
          <cell r="W395">
            <v>0.39500000000000002</v>
          </cell>
          <cell r="X395" t="str">
            <v>–</v>
          </cell>
          <cell r="Y395" t="str">
            <v>–</v>
          </cell>
          <cell r="Z395">
            <v>0.69499999999999995</v>
          </cell>
          <cell r="AA395">
            <v>0.9375</v>
          </cell>
          <cell r="AB395" t="str">
            <v>–</v>
          </cell>
          <cell r="AC395" t="str">
            <v>–</v>
          </cell>
          <cell r="AD395">
            <v>1.28</v>
          </cell>
          <cell r="AE395" t="str">
            <v>–</v>
          </cell>
          <cell r="AF395" t="str">
            <v>–</v>
          </cell>
          <cell r="AG395">
            <v>0.34899999999999998</v>
          </cell>
          <cell r="AH395">
            <v>5.09</v>
          </cell>
          <cell r="AI395" t="str">
            <v>–</v>
          </cell>
          <cell r="AJ395" t="str">
            <v>–</v>
          </cell>
          <cell r="AK395" t="str">
            <v>–</v>
          </cell>
          <cell r="AL395" t="str">
            <v>–</v>
          </cell>
          <cell r="AM395">
            <v>20.5</v>
          </cell>
          <cell r="AN395">
            <v>6.68</v>
          </cell>
        </row>
        <row r="396">
          <cell r="C396" t="str">
            <v>WT5X8.5</v>
          </cell>
          <cell r="D396" t="str">
            <v>F</v>
          </cell>
          <cell r="E396">
            <v>8.5</v>
          </cell>
          <cell r="F396">
            <v>2.5</v>
          </cell>
          <cell r="G396" t="str">
            <v>WT5X8.5</v>
          </cell>
          <cell r="H396">
            <v>5.0599999999999996</v>
          </cell>
          <cell r="I396">
            <v>5</v>
          </cell>
          <cell r="J396" t="str">
            <v>–</v>
          </cell>
          <cell r="K396" t="str">
            <v>–</v>
          </cell>
          <cell r="L396" t="str">
            <v>–</v>
          </cell>
          <cell r="M396">
            <v>4.01</v>
          </cell>
          <cell r="N396">
            <v>4</v>
          </cell>
          <cell r="O396" t="str">
            <v>–</v>
          </cell>
          <cell r="P396" t="str">
            <v>–</v>
          </cell>
          <cell r="Q396" t="str">
            <v>–</v>
          </cell>
          <cell r="R396">
            <v>0.24</v>
          </cell>
          <cell r="S396">
            <v>0.25</v>
          </cell>
          <cell r="T396">
            <v>0.125</v>
          </cell>
          <cell r="U396">
            <v>0.33</v>
          </cell>
          <cell r="V396">
            <v>0.3125</v>
          </cell>
          <cell r="W396">
            <v>0.33</v>
          </cell>
          <cell r="X396" t="str">
            <v>–</v>
          </cell>
          <cell r="Y396" t="str">
            <v>–</v>
          </cell>
          <cell r="Z396">
            <v>0.63</v>
          </cell>
          <cell r="AA396">
            <v>0.875</v>
          </cell>
          <cell r="AB396" t="str">
            <v>–</v>
          </cell>
          <cell r="AC396" t="str">
            <v>–</v>
          </cell>
          <cell r="AD396">
            <v>1.32</v>
          </cell>
          <cell r="AE396" t="str">
            <v>–</v>
          </cell>
          <cell r="AF396" t="str">
            <v>–</v>
          </cell>
          <cell r="AG396">
            <v>0.311</v>
          </cell>
          <cell r="AH396">
            <v>6.08</v>
          </cell>
          <cell r="AI396" t="str">
            <v>–</v>
          </cell>
          <cell r="AJ396" t="str">
            <v>–</v>
          </cell>
          <cell r="AK396" t="str">
            <v>–</v>
          </cell>
          <cell r="AL396" t="str">
            <v>–</v>
          </cell>
          <cell r="AM396">
            <v>21.1</v>
          </cell>
          <cell r="AN396">
            <v>6.06</v>
          </cell>
        </row>
        <row r="397">
          <cell r="C397" t="str">
            <v>WT5X7.5</v>
          </cell>
          <cell r="D397" t="str">
            <v>F</v>
          </cell>
          <cell r="E397">
            <v>7.5</v>
          </cell>
          <cell r="F397">
            <v>2.21</v>
          </cell>
          <cell r="G397" t="str">
            <v>WT5X7.5</v>
          </cell>
          <cell r="H397">
            <v>5</v>
          </cell>
          <cell r="I397">
            <v>5</v>
          </cell>
          <cell r="J397" t="str">
            <v>–</v>
          </cell>
          <cell r="K397" t="str">
            <v>–</v>
          </cell>
          <cell r="L397" t="str">
            <v>–</v>
          </cell>
          <cell r="M397">
            <v>4</v>
          </cell>
          <cell r="N397">
            <v>4</v>
          </cell>
          <cell r="O397" t="str">
            <v>–</v>
          </cell>
          <cell r="P397" t="str">
            <v>–</v>
          </cell>
          <cell r="Q397" t="str">
            <v>–</v>
          </cell>
          <cell r="R397">
            <v>0.23</v>
          </cell>
          <cell r="S397">
            <v>0.25</v>
          </cell>
          <cell r="T397">
            <v>0.125</v>
          </cell>
          <cell r="U397">
            <v>0.27</v>
          </cell>
          <cell r="V397">
            <v>0.25</v>
          </cell>
          <cell r="W397">
            <v>0.27</v>
          </cell>
          <cell r="X397" t="str">
            <v>–</v>
          </cell>
          <cell r="Y397" t="str">
            <v>–</v>
          </cell>
          <cell r="Z397">
            <v>0.56999999999999995</v>
          </cell>
          <cell r="AA397">
            <v>0.8125</v>
          </cell>
          <cell r="AB397" t="str">
            <v>–</v>
          </cell>
          <cell r="AC397" t="str">
            <v>–</v>
          </cell>
          <cell r="AD397">
            <v>1.37</v>
          </cell>
          <cell r="AE397" t="str">
            <v>–</v>
          </cell>
          <cell r="AF397" t="str">
            <v>–</v>
          </cell>
          <cell r="AG397">
            <v>0.30499999999999999</v>
          </cell>
          <cell r="AH397">
            <v>7.41</v>
          </cell>
          <cell r="AI397" t="str">
            <v>–</v>
          </cell>
          <cell r="AJ397" t="str">
            <v>–</v>
          </cell>
          <cell r="AK397" t="str">
            <v>–</v>
          </cell>
          <cell r="AL397" t="str">
            <v>–</v>
          </cell>
          <cell r="AM397">
            <v>21.7</v>
          </cell>
          <cell r="AN397">
            <v>5.45</v>
          </cell>
        </row>
        <row r="398">
          <cell r="C398" t="str">
            <v>WT5X6</v>
          </cell>
          <cell r="D398" t="str">
            <v>F</v>
          </cell>
          <cell r="E398">
            <v>6</v>
          </cell>
          <cell r="F398">
            <v>1.77</v>
          </cell>
          <cell r="G398" t="str">
            <v>WT5X6</v>
          </cell>
          <cell r="H398">
            <v>4.9400000000000004</v>
          </cell>
          <cell r="I398">
            <v>4.875</v>
          </cell>
          <cell r="J398" t="str">
            <v>–</v>
          </cell>
          <cell r="K398" t="str">
            <v>–</v>
          </cell>
          <cell r="L398" t="str">
            <v>–</v>
          </cell>
          <cell r="M398">
            <v>3.96</v>
          </cell>
          <cell r="N398">
            <v>4</v>
          </cell>
          <cell r="O398" t="str">
            <v>–</v>
          </cell>
          <cell r="P398" t="str">
            <v>–</v>
          </cell>
          <cell r="Q398" t="str">
            <v>–</v>
          </cell>
          <cell r="R398">
            <v>0.19</v>
          </cell>
          <cell r="S398">
            <v>0.1875</v>
          </cell>
          <cell r="T398">
            <v>0.125</v>
          </cell>
          <cell r="U398">
            <v>0.21</v>
          </cell>
          <cell r="V398">
            <v>0.1875</v>
          </cell>
          <cell r="W398">
            <v>0.21</v>
          </cell>
          <cell r="X398" t="str">
            <v>–</v>
          </cell>
          <cell r="Y398" t="str">
            <v>–</v>
          </cell>
          <cell r="Z398">
            <v>0.51</v>
          </cell>
          <cell r="AA398">
            <v>0.75</v>
          </cell>
          <cell r="AB398" t="str">
            <v>–</v>
          </cell>
          <cell r="AC398" t="str">
            <v>–</v>
          </cell>
          <cell r="AD398">
            <v>1.36</v>
          </cell>
          <cell r="AE398" t="str">
            <v>–</v>
          </cell>
          <cell r="AF398" t="str">
            <v>–</v>
          </cell>
          <cell r="AG398">
            <v>0.32200000000000001</v>
          </cell>
          <cell r="AH398">
            <v>9.43</v>
          </cell>
          <cell r="AI398" t="str">
            <v>–</v>
          </cell>
          <cell r="AJ398" t="str">
            <v>–</v>
          </cell>
          <cell r="AK398" t="str">
            <v>–</v>
          </cell>
          <cell r="AL398" t="str">
            <v>–</v>
          </cell>
          <cell r="AM398">
            <v>26</v>
          </cell>
          <cell r="AN398">
            <v>4.3499999999999996</v>
          </cell>
        </row>
        <row r="399">
          <cell r="C399" t="str">
            <v>WT4X33.5</v>
          </cell>
          <cell r="D399" t="str">
            <v>F</v>
          </cell>
          <cell r="E399">
            <v>33.5</v>
          </cell>
          <cell r="F399">
            <v>9.84</v>
          </cell>
          <cell r="G399" t="str">
            <v>WT4X33.5</v>
          </cell>
          <cell r="H399">
            <v>4.5</v>
          </cell>
          <cell r="I399">
            <v>4.5</v>
          </cell>
          <cell r="J399" t="str">
            <v>–</v>
          </cell>
          <cell r="K399" t="str">
            <v>–</v>
          </cell>
          <cell r="L399" t="str">
            <v>–</v>
          </cell>
          <cell r="M399">
            <v>8.2799999999999994</v>
          </cell>
          <cell r="N399">
            <v>8.25</v>
          </cell>
          <cell r="O399" t="str">
            <v>–</v>
          </cell>
          <cell r="P399" t="str">
            <v>–</v>
          </cell>
          <cell r="Q399" t="str">
            <v>–</v>
          </cell>
          <cell r="R399">
            <v>0.56999999999999995</v>
          </cell>
          <cell r="S399">
            <v>0.5625</v>
          </cell>
          <cell r="T399">
            <v>0.3125</v>
          </cell>
          <cell r="U399">
            <v>0.93500000000000005</v>
          </cell>
          <cell r="V399">
            <v>0.9375</v>
          </cell>
          <cell r="W399">
            <v>0.93500000000000005</v>
          </cell>
          <cell r="X399" t="str">
            <v>–</v>
          </cell>
          <cell r="Y399" t="str">
            <v>–</v>
          </cell>
          <cell r="Z399">
            <v>1.33</v>
          </cell>
          <cell r="AA399">
            <v>1.625</v>
          </cell>
          <cell r="AB399" t="str">
            <v>–</v>
          </cell>
          <cell r="AC399" t="str">
            <v>–</v>
          </cell>
          <cell r="AD399">
            <v>0.93600000000000005</v>
          </cell>
          <cell r="AE399" t="str">
            <v>–</v>
          </cell>
          <cell r="AF399" t="str">
            <v>–</v>
          </cell>
          <cell r="AG399">
            <v>0.59399999999999997</v>
          </cell>
          <cell r="AH399">
            <v>4.43</v>
          </cell>
          <cell r="AI399" t="str">
            <v>–</v>
          </cell>
          <cell r="AJ399" t="str">
            <v>–</v>
          </cell>
          <cell r="AK399" t="str">
            <v>–</v>
          </cell>
          <cell r="AL399" t="str">
            <v>–</v>
          </cell>
          <cell r="AM399">
            <v>7.89</v>
          </cell>
          <cell r="AN399">
            <v>10.9</v>
          </cell>
        </row>
        <row r="400">
          <cell r="C400" t="str">
            <v>WT4X29</v>
          </cell>
          <cell r="D400" t="str">
            <v>F</v>
          </cell>
          <cell r="E400">
            <v>29</v>
          </cell>
          <cell r="F400">
            <v>8.5399999999999991</v>
          </cell>
          <cell r="G400" t="str">
            <v>WT4X29</v>
          </cell>
          <cell r="H400">
            <v>4.38</v>
          </cell>
          <cell r="I400">
            <v>4.375</v>
          </cell>
          <cell r="J400" t="str">
            <v>–</v>
          </cell>
          <cell r="K400" t="str">
            <v>–</v>
          </cell>
          <cell r="L400" t="str">
            <v>–</v>
          </cell>
          <cell r="M400">
            <v>8.2200000000000006</v>
          </cell>
          <cell r="N400">
            <v>8.25</v>
          </cell>
          <cell r="O400" t="str">
            <v>–</v>
          </cell>
          <cell r="P400" t="str">
            <v>–</v>
          </cell>
          <cell r="Q400" t="str">
            <v>–</v>
          </cell>
          <cell r="R400">
            <v>0.51</v>
          </cell>
          <cell r="S400">
            <v>0.5</v>
          </cell>
          <cell r="T400">
            <v>0.25</v>
          </cell>
          <cell r="U400">
            <v>0.81</v>
          </cell>
          <cell r="V400">
            <v>0.8125</v>
          </cell>
          <cell r="W400">
            <v>0.81</v>
          </cell>
          <cell r="X400" t="str">
            <v>–</v>
          </cell>
          <cell r="Y400" t="str">
            <v>–</v>
          </cell>
          <cell r="Z400">
            <v>1.2</v>
          </cell>
          <cell r="AA400">
            <v>1.5</v>
          </cell>
          <cell r="AB400" t="str">
            <v>–</v>
          </cell>
          <cell r="AC400" t="str">
            <v>–</v>
          </cell>
          <cell r="AD400">
            <v>0.874</v>
          </cell>
          <cell r="AE400" t="str">
            <v>–</v>
          </cell>
          <cell r="AF400" t="str">
            <v>–</v>
          </cell>
          <cell r="AG400">
            <v>0.52</v>
          </cell>
          <cell r="AH400">
            <v>5.07</v>
          </cell>
          <cell r="AI400" t="str">
            <v>–</v>
          </cell>
          <cell r="AJ400" t="str">
            <v>–</v>
          </cell>
          <cell r="AK400" t="str">
            <v>–</v>
          </cell>
          <cell r="AL400" t="str">
            <v>–</v>
          </cell>
          <cell r="AM400">
            <v>8.59</v>
          </cell>
          <cell r="AN400">
            <v>9.1199999999999992</v>
          </cell>
        </row>
        <row r="401">
          <cell r="C401" t="str">
            <v>WT4X24</v>
          </cell>
          <cell r="D401" t="str">
            <v>F</v>
          </cell>
          <cell r="E401">
            <v>24</v>
          </cell>
          <cell r="F401">
            <v>7.05</v>
          </cell>
          <cell r="G401" t="str">
            <v>WT4X24</v>
          </cell>
          <cell r="H401">
            <v>4.25</v>
          </cell>
          <cell r="I401">
            <v>4.25</v>
          </cell>
          <cell r="J401" t="str">
            <v>–</v>
          </cell>
          <cell r="K401" t="str">
            <v>–</v>
          </cell>
          <cell r="L401" t="str">
            <v>–</v>
          </cell>
          <cell r="M401">
            <v>8.11</v>
          </cell>
          <cell r="N401">
            <v>8.125</v>
          </cell>
          <cell r="O401" t="str">
            <v>–</v>
          </cell>
          <cell r="P401" t="str">
            <v>–</v>
          </cell>
          <cell r="Q401" t="str">
            <v>–</v>
          </cell>
          <cell r="R401">
            <v>0.4</v>
          </cell>
          <cell r="S401">
            <v>0.375</v>
          </cell>
          <cell r="T401">
            <v>0.1875</v>
          </cell>
          <cell r="U401">
            <v>0.68500000000000005</v>
          </cell>
          <cell r="V401">
            <v>0.6875</v>
          </cell>
          <cell r="W401">
            <v>0.68500000000000005</v>
          </cell>
          <cell r="X401" t="str">
            <v>–</v>
          </cell>
          <cell r="Y401" t="str">
            <v>–</v>
          </cell>
          <cell r="Z401">
            <v>1.08</v>
          </cell>
          <cell r="AA401">
            <v>1.375</v>
          </cell>
          <cell r="AB401" t="str">
            <v>–</v>
          </cell>
          <cell r="AC401" t="str">
            <v>–</v>
          </cell>
          <cell r="AD401">
            <v>0.77700000000000002</v>
          </cell>
          <cell r="AE401" t="str">
            <v>–</v>
          </cell>
          <cell r="AF401" t="str">
            <v>–</v>
          </cell>
          <cell r="AG401">
            <v>0.435</v>
          </cell>
          <cell r="AH401">
            <v>5.92</v>
          </cell>
          <cell r="AI401" t="str">
            <v>–</v>
          </cell>
          <cell r="AJ401" t="str">
            <v>–</v>
          </cell>
          <cell r="AK401" t="str">
            <v>–</v>
          </cell>
          <cell r="AL401" t="str">
            <v>–</v>
          </cell>
          <cell r="AM401">
            <v>10.6</v>
          </cell>
          <cell r="AN401">
            <v>6.85</v>
          </cell>
        </row>
        <row r="402">
          <cell r="C402" t="str">
            <v>WT4X20</v>
          </cell>
          <cell r="D402" t="str">
            <v>F</v>
          </cell>
          <cell r="E402">
            <v>20</v>
          </cell>
          <cell r="F402">
            <v>5.87</v>
          </cell>
          <cell r="G402" t="str">
            <v>WT4X20</v>
          </cell>
          <cell r="H402">
            <v>4.13</v>
          </cell>
          <cell r="I402">
            <v>4.125</v>
          </cell>
          <cell r="J402" t="str">
            <v>–</v>
          </cell>
          <cell r="K402" t="str">
            <v>–</v>
          </cell>
          <cell r="L402" t="str">
            <v>–</v>
          </cell>
          <cell r="M402">
            <v>8.07</v>
          </cell>
          <cell r="N402">
            <v>8.125</v>
          </cell>
          <cell r="O402" t="str">
            <v>–</v>
          </cell>
          <cell r="P402" t="str">
            <v>–</v>
          </cell>
          <cell r="Q402" t="str">
            <v>–</v>
          </cell>
          <cell r="R402">
            <v>0.36</v>
          </cell>
          <cell r="S402">
            <v>0.375</v>
          </cell>
          <cell r="T402">
            <v>0.1875</v>
          </cell>
          <cell r="U402">
            <v>0.56000000000000005</v>
          </cell>
          <cell r="V402">
            <v>0.5625</v>
          </cell>
          <cell r="W402">
            <v>0.56000000000000005</v>
          </cell>
          <cell r="X402" t="str">
            <v>–</v>
          </cell>
          <cell r="Y402" t="str">
            <v>–</v>
          </cell>
          <cell r="Z402">
            <v>0.95399999999999996</v>
          </cell>
          <cell r="AA402">
            <v>1.25</v>
          </cell>
          <cell r="AB402" t="str">
            <v>–</v>
          </cell>
          <cell r="AC402" t="str">
            <v>–</v>
          </cell>
          <cell r="AD402">
            <v>0.73499999999999999</v>
          </cell>
          <cell r="AE402" t="str">
            <v>–</v>
          </cell>
          <cell r="AF402" t="str">
            <v>–</v>
          </cell>
          <cell r="AG402">
            <v>0.36399999999999999</v>
          </cell>
          <cell r="AH402">
            <v>7.21</v>
          </cell>
          <cell r="AI402" t="str">
            <v>–</v>
          </cell>
          <cell r="AJ402" t="str">
            <v>–</v>
          </cell>
          <cell r="AK402" t="str">
            <v>–</v>
          </cell>
          <cell r="AL402" t="str">
            <v>–</v>
          </cell>
          <cell r="AM402">
            <v>11.5</v>
          </cell>
          <cell r="AN402">
            <v>5.73</v>
          </cell>
        </row>
        <row r="403">
          <cell r="C403" t="str">
            <v>WT4X17.5</v>
          </cell>
          <cell r="D403" t="str">
            <v>F</v>
          </cell>
          <cell r="E403">
            <v>17.5</v>
          </cell>
          <cell r="F403">
            <v>5.14</v>
          </cell>
          <cell r="G403" t="str">
            <v>WT4X17.5</v>
          </cell>
          <cell r="H403">
            <v>4.0599999999999996</v>
          </cell>
          <cell r="I403">
            <v>4</v>
          </cell>
          <cell r="J403" t="str">
            <v>–</v>
          </cell>
          <cell r="K403" t="str">
            <v>–</v>
          </cell>
          <cell r="L403" t="str">
            <v>–</v>
          </cell>
          <cell r="M403">
            <v>8.02</v>
          </cell>
          <cell r="N403">
            <v>8</v>
          </cell>
          <cell r="O403" t="str">
            <v>–</v>
          </cell>
          <cell r="P403" t="str">
            <v>–</v>
          </cell>
          <cell r="Q403" t="str">
            <v>–</v>
          </cell>
          <cell r="R403">
            <v>0.31</v>
          </cell>
          <cell r="S403">
            <v>0.3125</v>
          </cell>
          <cell r="T403">
            <v>0.1875</v>
          </cell>
          <cell r="U403">
            <v>0.495</v>
          </cell>
          <cell r="V403">
            <v>0.5</v>
          </cell>
          <cell r="W403">
            <v>0.495</v>
          </cell>
          <cell r="X403" t="str">
            <v>–</v>
          </cell>
          <cell r="Y403" t="str">
            <v>–</v>
          </cell>
          <cell r="Z403">
            <v>0.88900000000000001</v>
          </cell>
          <cell r="AA403">
            <v>1.1875</v>
          </cell>
          <cell r="AB403" t="str">
            <v>–</v>
          </cell>
          <cell r="AC403" t="str">
            <v>–</v>
          </cell>
          <cell r="AD403">
            <v>0.68799999999999994</v>
          </cell>
          <cell r="AE403" t="str">
            <v>–</v>
          </cell>
          <cell r="AF403" t="str">
            <v>–</v>
          </cell>
          <cell r="AG403">
            <v>0.32100000000000001</v>
          </cell>
          <cell r="AH403">
            <v>8.1</v>
          </cell>
          <cell r="AI403" t="str">
            <v>–</v>
          </cell>
          <cell r="AJ403" t="str">
            <v>–</v>
          </cell>
          <cell r="AK403" t="str">
            <v>–</v>
          </cell>
          <cell r="AL403" t="str">
            <v>–</v>
          </cell>
          <cell r="AM403">
            <v>13.1</v>
          </cell>
          <cell r="AN403">
            <v>4.82</v>
          </cell>
        </row>
        <row r="404">
          <cell r="C404" t="str">
            <v>WT4X15.5</v>
          </cell>
          <cell r="D404" t="str">
            <v>F</v>
          </cell>
          <cell r="E404">
            <v>15.5</v>
          </cell>
          <cell r="F404">
            <v>4.5599999999999996</v>
          </cell>
          <cell r="G404" t="str">
            <v>WT4X15.5</v>
          </cell>
          <cell r="H404">
            <v>4</v>
          </cell>
          <cell r="I404">
            <v>4</v>
          </cell>
          <cell r="J404" t="str">
            <v>–</v>
          </cell>
          <cell r="K404" t="str">
            <v>–</v>
          </cell>
          <cell r="L404" t="str">
            <v>–</v>
          </cell>
          <cell r="M404">
            <v>8</v>
          </cell>
          <cell r="N404">
            <v>8</v>
          </cell>
          <cell r="O404" t="str">
            <v>–</v>
          </cell>
          <cell r="P404" t="str">
            <v>–</v>
          </cell>
          <cell r="Q404" t="str">
            <v>–</v>
          </cell>
          <cell r="R404">
            <v>0.28499999999999998</v>
          </cell>
          <cell r="S404">
            <v>0.3125</v>
          </cell>
          <cell r="T404">
            <v>0.1875</v>
          </cell>
          <cell r="U404">
            <v>0.435</v>
          </cell>
          <cell r="V404">
            <v>0.4375</v>
          </cell>
          <cell r="W404">
            <v>0.435</v>
          </cell>
          <cell r="X404" t="str">
            <v>–</v>
          </cell>
          <cell r="Y404" t="str">
            <v>–</v>
          </cell>
          <cell r="Z404">
            <v>0.82899999999999996</v>
          </cell>
          <cell r="AA404">
            <v>1.125</v>
          </cell>
          <cell r="AB404" t="str">
            <v>–</v>
          </cell>
          <cell r="AC404" t="str">
            <v>–</v>
          </cell>
          <cell r="AD404">
            <v>0.66800000000000004</v>
          </cell>
          <cell r="AE404" t="str">
            <v>–</v>
          </cell>
          <cell r="AF404" t="str">
            <v>–</v>
          </cell>
          <cell r="AG404">
            <v>0.28499999999999998</v>
          </cell>
          <cell r="AH404">
            <v>9.19</v>
          </cell>
          <cell r="AI404" t="str">
            <v>–</v>
          </cell>
          <cell r="AJ404" t="str">
            <v>–</v>
          </cell>
          <cell r="AK404" t="str">
            <v>–</v>
          </cell>
          <cell r="AL404" t="str">
            <v>–</v>
          </cell>
          <cell r="AM404">
            <v>14</v>
          </cell>
          <cell r="AN404">
            <v>4.28</v>
          </cell>
        </row>
        <row r="405">
          <cell r="C405" t="str">
            <v>WT4X14</v>
          </cell>
          <cell r="D405" t="str">
            <v>F</v>
          </cell>
          <cell r="E405">
            <v>14</v>
          </cell>
          <cell r="F405">
            <v>4.12</v>
          </cell>
          <cell r="G405" t="str">
            <v>WT4X14</v>
          </cell>
          <cell r="H405">
            <v>4.03</v>
          </cell>
          <cell r="I405">
            <v>4</v>
          </cell>
          <cell r="J405" t="str">
            <v>–</v>
          </cell>
          <cell r="K405" t="str">
            <v>–</v>
          </cell>
          <cell r="L405" t="str">
            <v>–</v>
          </cell>
          <cell r="M405">
            <v>6.54</v>
          </cell>
          <cell r="N405">
            <v>6.5</v>
          </cell>
          <cell r="O405" t="str">
            <v>–</v>
          </cell>
          <cell r="P405" t="str">
            <v>–</v>
          </cell>
          <cell r="Q405" t="str">
            <v>–</v>
          </cell>
          <cell r="R405">
            <v>0.28499999999999998</v>
          </cell>
          <cell r="S405">
            <v>0.3125</v>
          </cell>
          <cell r="T405">
            <v>0.1875</v>
          </cell>
          <cell r="U405">
            <v>0.46500000000000002</v>
          </cell>
          <cell r="V405">
            <v>0.4375</v>
          </cell>
          <cell r="W405">
            <v>0.46500000000000002</v>
          </cell>
          <cell r="X405" t="str">
            <v>–</v>
          </cell>
          <cell r="Y405" t="str">
            <v>–</v>
          </cell>
          <cell r="Z405">
            <v>0.85899999999999999</v>
          </cell>
          <cell r="AA405">
            <v>0.9375</v>
          </cell>
          <cell r="AB405" t="str">
            <v>–</v>
          </cell>
          <cell r="AC405" t="str">
            <v>–</v>
          </cell>
          <cell r="AD405">
            <v>0.73399999999999999</v>
          </cell>
          <cell r="AE405" t="str">
            <v>–</v>
          </cell>
          <cell r="AF405" t="str">
            <v>–</v>
          </cell>
          <cell r="AG405">
            <v>0.315</v>
          </cell>
          <cell r="AH405">
            <v>7.03</v>
          </cell>
          <cell r="AI405" t="str">
            <v>–</v>
          </cell>
          <cell r="AJ405" t="str">
            <v>–</v>
          </cell>
          <cell r="AK405" t="str">
            <v>–</v>
          </cell>
          <cell r="AL405" t="str">
            <v>–</v>
          </cell>
          <cell r="AM405">
            <v>14.1</v>
          </cell>
          <cell r="AN405">
            <v>4.2300000000000004</v>
          </cell>
        </row>
        <row r="406">
          <cell r="C406" t="str">
            <v>WT4X12</v>
          </cell>
          <cell r="D406" t="str">
            <v>F</v>
          </cell>
          <cell r="E406">
            <v>12</v>
          </cell>
          <cell r="F406">
            <v>3.54</v>
          </cell>
          <cell r="G406" t="str">
            <v>WT4X12</v>
          </cell>
          <cell r="H406">
            <v>3.97</v>
          </cell>
          <cell r="I406">
            <v>4</v>
          </cell>
          <cell r="J406" t="str">
            <v>–</v>
          </cell>
          <cell r="K406" t="str">
            <v>–</v>
          </cell>
          <cell r="L406" t="str">
            <v>–</v>
          </cell>
          <cell r="M406">
            <v>6.5</v>
          </cell>
          <cell r="N406">
            <v>6.5</v>
          </cell>
          <cell r="O406" t="str">
            <v>–</v>
          </cell>
          <cell r="P406" t="str">
            <v>–</v>
          </cell>
          <cell r="Q406" t="str">
            <v>–</v>
          </cell>
          <cell r="R406">
            <v>0.245</v>
          </cell>
          <cell r="S406">
            <v>0.25</v>
          </cell>
          <cell r="T406">
            <v>0.125</v>
          </cell>
          <cell r="U406">
            <v>0.4</v>
          </cell>
          <cell r="V406">
            <v>0.375</v>
          </cell>
          <cell r="W406">
            <v>0.4</v>
          </cell>
          <cell r="X406" t="str">
            <v>–</v>
          </cell>
          <cell r="Y406" t="str">
            <v>–</v>
          </cell>
          <cell r="Z406">
            <v>0.79400000000000004</v>
          </cell>
          <cell r="AA406">
            <v>0.875</v>
          </cell>
          <cell r="AB406" t="str">
            <v>–</v>
          </cell>
          <cell r="AC406" t="str">
            <v>–</v>
          </cell>
          <cell r="AD406">
            <v>0.69499999999999995</v>
          </cell>
          <cell r="AE406" t="str">
            <v>–</v>
          </cell>
          <cell r="AF406" t="str">
            <v>–</v>
          </cell>
          <cell r="AG406">
            <v>0.27200000000000002</v>
          </cell>
          <cell r="AH406">
            <v>8.1199999999999992</v>
          </cell>
          <cell r="AI406" t="str">
            <v>–</v>
          </cell>
          <cell r="AJ406" t="str">
            <v>–</v>
          </cell>
          <cell r="AK406" t="str">
            <v>–</v>
          </cell>
          <cell r="AL406" t="str">
            <v>–</v>
          </cell>
          <cell r="AM406">
            <v>16.2</v>
          </cell>
          <cell r="AN406">
            <v>3.53</v>
          </cell>
        </row>
        <row r="407">
          <cell r="C407" t="str">
            <v>WT4X10.5</v>
          </cell>
          <cell r="D407" t="str">
            <v>F</v>
          </cell>
          <cell r="E407">
            <v>10.5</v>
          </cell>
          <cell r="F407">
            <v>3.08</v>
          </cell>
          <cell r="G407" t="str">
            <v>WT4X10.5</v>
          </cell>
          <cell r="H407">
            <v>4.1399999999999997</v>
          </cell>
          <cell r="I407">
            <v>4.125</v>
          </cell>
          <cell r="J407" t="str">
            <v>–</v>
          </cell>
          <cell r="K407" t="str">
            <v>–</v>
          </cell>
          <cell r="L407" t="str">
            <v>–</v>
          </cell>
          <cell r="M407">
            <v>5.27</v>
          </cell>
          <cell r="N407">
            <v>5.25</v>
          </cell>
          <cell r="O407" t="str">
            <v>–</v>
          </cell>
          <cell r="P407" t="str">
            <v>–</v>
          </cell>
          <cell r="Q407" t="str">
            <v>–</v>
          </cell>
          <cell r="R407">
            <v>0.25</v>
          </cell>
          <cell r="S407">
            <v>0.25</v>
          </cell>
          <cell r="T407">
            <v>0.125</v>
          </cell>
          <cell r="U407">
            <v>0.4</v>
          </cell>
          <cell r="V407">
            <v>0.375</v>
          </cell>
          <cell r="W407">
            <v>0.4</v>
          </cell>
          <cell r="X407" t="str">
            <v>–</v>
          </cell>
          <cell r="Y407" t="str">
            <v>–</v>
          </cell>
          <cell r="Z407">
            <v>0.7</v>
          </cell>
          <cell r="AA407">
            <v>0.875</v>
          </cell>
          <cell r="AB407" t="str">
            <v>–</v>
          </cell>
          <cell r="AC407" t="str">
            <v>–</v>
          </cell>
          <cell r="AD407">
            <v>0.83099999999999996</v>
          </cell>
          <cell r="AE407" t="str">
            <v>–</v>
          </cell>
          <cell r="AF407" t="str">
            <v>–</v>
          </cell>
          <cell r="AG407">
            <v>0.29199999999999998</v>
          </cell>
          <cell r="AH407">
            <v>6.59</v>
          </cell>
          <cell r="AI407" t="str">
            <v>–</v>
          </cell>
          <cell r="AJ407" t="str">
            <v>–</v>
          </cell>
          <cell r="AK407" t="str">
            <v>–</v>
          </cell>
          <cell r="AL407" t="str">
            <v>–</v>
          </cell>
          <cell r="AM407">
            <v>16.600000000000001</v>
          </cell>
          <cell r="AN407">
            <v>3.9</v>
          </cell>
        </row>
        <row r="408">
          <cell r="C408" t="str">
            <v>WT4X9</v>
          </cell>
          <cell r="D408" t="str">
            <v>F</v>
          </cell>
          <cell r="E408">
            <v>9</v>
          </cell>
          <cell r="F408">
            <v>2.63</v>
          </cell>
          <cell r="G408" t="str">
            <v>WT4X9</v>
          </cell>
          <cell r="H408">
            <v>4.07</v>
          </cell>
          <cell r="I408">
            <v>4.125</v>
          </cell>
          <cell r="J408" t="str">
            <v>–</v>
          </cell>
          <cell r="K408" t="str">
            <v>–</v>
          </cell>
          <cell r="L408" t="str">
            <v>–</v>
          </cell>
          <cell r="M408">
            <v>5.25</v>
          </cell>
          <cell r="N408">
            <v>5.25</v>
          </cell>
          <cell r="O408" t="str">
            <v>–</v>
          </cell>
          <cell r="P408" t="str">
            <v>–</v>
          </cell>
          <cell r="Q408" t="str">
            <v>–</v>
          </cell>
          <cell r="R408">
            <v>0.23</v>
          </cell>
          <cell r="S408">
            <v>0.25</v>
          </cell>
          <cell r="T408">
            <v>0.125</v>
          </cell>
          <cell r="U408">
            <v>0.33</v>
          </cell>
          <cell r="V408">
            <v>0.3125</v>
          </cell>
          <cell r="W408">
            <v>0.33</v>
          </cell>
          <cell r="X408" t="str">
            <v>–</v>
          </cell>
          <cell r="Y408" t="str">
            <v>–</v>
          </cell>
          <cell r="Z408">
            <v>0.63</v>
          </cell>
          <cell r="AA408">
            <v>0.8125</v>
          </cell>
          <cell r="AB408" t="str">
            <v>–</v>
          </cell>
          <cell r="AC408" t="str">
            <v>–</v>
          </cell>
          <cell r="AD408">
            <v>0.83399999999999996</v>
          </cell>
          <cell r="AE408" t="str">
            <v>–</v>
          </cell>
          <cell r="AF408" t="str">
            <v>–</v>
          </cell>
          <cell r="AG408">
            <v>0.251</v>
          </cell>
          <cell r="AH408">
            <v>7.95</v>
          </cell>
          <cell r="AI408" t="str">
            <v>–</v>
          </cell>
          <cell r="AJ408" t="str">
            <v>–</v>
          </cell>
          <cell r="AK408" t="str">
            <v>–</v>
          </cell>
          <cell r="AL408" t="str">
            <v>–</v>
          </cell>
          <cell r="AM408">
            <v>17.7</v>
          </cell>
          <cell r="AN408">
            <v>3.41</v>
          </cell>
        </row>
        <row r="409">
          <cell r="C409" t="str">
            <v>WT4X7.5</v>
          </cell>
          <cell r="D409" t="str">
            <v>F</v>
          </cell>
          <cell r="E409">
            <v>7.5</v>
          </cell>
          <cell r="F409">
            <v>2.2200000000000002</v>
          </cell>
          <cell r="G409" t="str">
            <v>WT4X7.5</v>
          </cell>
          <cell r="H409">
            <v>4.0599999999999996</v>
          </cell>
          <cell r="I409">
            <v>4</v>
          </cell>
          <cell r="J409" t="str">
            <v>–</v>
          </cell>
          <cell r="K409" t="str">
            <v>–</v>
          </cell>
          <cell r="L409" t="str">
            <v>–</v>
          </cell>
          <cell r="M409">
            <v>4.0199999999999996</v>
          </cell>
          <cell r="N409">
            <v>4</v>
          </cell>
          <cell r="O409" t="str">
            <v>–</v>
          </cell>
          <cell r="P409" t="str">
            <v>–</v>
          </cell>
          <cell r="Q409" t="str">
            <v>–</v>
          </cell>
          <cell r="R409">
            <v>0.245</v>
          </cell>
          <cell r="S409">
            <v>0.25</v>
          </cell>
          <cell r="T409">
            <v>0.125</v>
          </cell>
          <cell r="U409">
            <v>0.315</v>
          </cell>
          <cell r="V409">
            <v>0.3125</v>
          </cell>
          <cell r="W409">
            <v>0.315</v>
          </cell>
          <cell r="X409" t="str">
            <v>–</v>
          </cell>
          <cell r="Y409" t="str">
            <v>–</v>
          </cell>
          <cell r="Z409">
            <v>0.61499999999999999</v>
          </cell>
          <cell r="AA409">
            <v>0.8125</v>
          </cell>
          <cell r="AB409" t="str">
            <v>–</v>
          </cell>
          <cell r="AC409" t="str">
            <v>–</v>
          </cell>
          <cell r="AD409">
            <v>0.998</v>
          </cell>
          <cell r="AE409" t="str">
            <v>–</v>
          </cell>
          <cell r="AF409" t="str">
            <v>–</v>
          </cell>
          <cell r="AG409">
            <v>0.27600000000000002</v>
          </cell>
          <cell r="AH409">
            <v>6.37</v>
          </cell>
          <cell r="AI409" t="str">
            <v>–</v>
          </cell>
          <cell r="AJ409" t="str">
            <v>–</v>
          </cell>
          <cell r="AK409" t="str">
            <v>–</v>
          </cell>
          <cell r="AL409" t="str">
            <v>–</v>
          </cell>
          <cell r="AM409">
            <v>16.600000000000001</v>
          </cell>
          <cell r="AN409">
            <v>3.28</v>
          </cell>
        </row>
        <row r="410">
          <cell r="C410" t="str">
            <v>WT4X6.5</v>
          </cell>
          <cell r="D410" t="str">
            <v>F</v>
          </cell>
          <cell r="E410">
            <v>6.5</v>
          </cell>
          <cell r="F410">
            <v>1.92</v>
          </cell>
          <cell r="G410" t="str">
            <v>WT4X6.5</v>
          </cell>
          <cell r="H410">
            <v>4</v>
          </cell>
          <cell r="I410">
            <v>4</v>
          </cell>
          <cell r="J410" t="str">
            <v>–</v>
          </cell>
          <cell r="K410" t="str">
            <v>–</v>
          </cell>
          <cell r="L410" t="str">
            <v>–</v>
          </cell>
          <cell r="M410">
            <v>4</v>
          </cell>
          <cell r="N410">
            <v>4</v>
          </cell>
          <cell r="O410" t="str">
            <v>–</v>
          </cell>
          <cell r="P410" t="str">
            <v>–</v>
          </cell>
          <cell r="Q410" t="str">
            <v>–</v>
          </cell>
          <cell r="R410">
            <v>0.23</v>
          </cell>
          <cell r="S410">
            <v>0.25</v>
          </cell>
          <cell r="T410">
            <v>0.125</v>
          </cell>
          <cell r="U410">
            <v>0.255</v>
          </cell>
          <cell r="V410">
            <v>0.25</v>
          </cell>
          <cell r="W410">
            <v>0.255</v>
          </cell>
          <cell r="X410" t="str">
            <v>–</v>
          </cell>
          <cell r="Y410" t="str">
            <v>–</v>
          </cell>
          <cell r="Z410">
            <v>0.55500000000000005</v>
          </cell>
          <cell r="AA410">
            <v>0.75</v>
          </cell>
          <cell r="AB410" t="str">
            <v>–</v>
          </cell>
          <cell r="AC410" t="str">
            <v>–</v>
          </cell>
          <cell r="AD410">
            <v>1.03</v>
          </cell>
          <cell r="AE410" t="str">
            <v>–</v>
          </cell>
          <cell r="AF410" t="str">
            <v>–</v>
          </cell>
          <cell r="AG410">
            <v>0.24</v>
          </cell>
          <cell r="AH410">
            <v>7.84</v>
          </cell>
          <cell r="AI410" t="str">
            <v>–</v>
          </cell>
          <cell r="AJ410" t="str">
            <v>–</v>
          </cell>
          <cell r="AK410" t="str">
            <v>–</v>
          </cell>
          <cell r="AL410" t="str">
            <v>–</v>
          </cell>
          <cell r="AM410">
            <v>17.399999999999999</v>
          </cell>
          <cell r="AN410">
            <v>2.89</v>
          </cell>
        </row>
        <row r="411">
          <cell r="C411" t="str">
            <v>WT4X5</v>
          </cell>
          <cell r="D411" t="str">
            <v>F</v>
          </cell>
          <cell r="E411">
            <v>5</v>
          </cell>
          <cell r="F411">
            <v>1.48</v>
          </cell>
          <cell r="G411" t="str">
            <v>WT4X5</v>
          </cell>
          <cell r="H411">
            <v>3.95</v>
          </cell>
          <cell r="I411">
            <v>4</v>
          </cell>
          <cell r="J411" t="str">
            <v>–</v>
          </cell>
          <cell r="K411" t="str">
            <v>–</v>
          </cell>
          <cell r="L411" t="str">
            <v>–</v>
          </cell>
          <cell r="M411">
            <v>3.94</v>
          </cell>
          <cell r="N411">
            <v>4</v>
          </cell>
          <cell r="O411" t="str">
            <v>–</v>
          </cell>
          <cell r="P411" t="str">
            <v>–</v>
          </cell>
          <cell r="Q411" t="str">
            <v>–</v>
          </cell>
          <cell r="R411">
            <v>0.17</v>
          </cell>
          <cell r="S411">
            <v>0.1875</v>
          </cell>
          <cell r="T411">
            <v>0.125</v>
          </cell>
          <cell r="U411">
            <v>0.20499999999999999</v>
          </cell>
          <cell r="V411">
            <v>0.1875</v>
          </cell>
          <cell r="W411">
            <v>0.20499999999999999</v>
          </cell>
          <cell r="X411" t="str">
            <v>–</v>
          </cell>
          <cell r="Y411" t="str">
            <v>–</v>
          </cell>
          <cell r="Z411">
            <v>0.505</v>
          </cell>
          <cell r="AA411">
            <v>0.6875</v>
          </cell>
          <cell r="AB411" t="str">
            <v>–</v>
          </cell>
          <cell r="AC411" t="str">
            <v>–</v>
          </cell>
          <cell r="AD411">
            <v>0.95299999999999996</v>
          </cell>
          <cell r="AE411" t="str">
            <v>–</v>
          </cell>
          <cell r="AF411" t="str">
            <v>–</v>
          </cell>
          <cell r="AG411">
            <v>0.188</v>
          </cell>
          <cell r="AH411">
            <v>9.61</v>
          </cell>
          <cell r="AI411" t="str">
            <v>–</v>
          </cell>
          <cell r="AJ411" t="str">
            <v>–</v>
          </cell>
          <cell r="AK411" t="str">
            <v>–</v>
          </cell>
          <cell r="AL411" t="str">
            <v>–</v>
          </cell>
          <cell r="AM411">
            <v>23.2</v>
          </cell>
          <cell r="AN411">
            <v>2.15</v>
          </cell>
        </row>
        <row r="412">
          <cell r="C412" t="str">
            <v>WT3X12.5</v>
          </cell>
          <cell r="D412" t="str">
            <v>F</v>
          </cell>
          <cell r="E412">
            <v>12.5</v>
          </cell>
          <cell r="F412">
            <v>3.67</v>
          </cell>
          <cell r="G412" t="str">
            <v>WT3X12.5</v>
          </cell>
          <cell r="H412">
            <v>3.19</v>
          </cell>
          <cell r="I412">
            <v>3.25</v>
          </cell>
          <cell r="J412" t="str">
            <v>–</v>
          </cell>
          <cell r="K412" t="str">
            <v>–</v>
          </cell>
          <cell r="L412" t="str">
            <v>–</v>
          </cell>
          <cell r="M412">
            <v>6.08</v>
          </cell>
          <cell r="N412">
            <v>6.125</v>
          </cell>
          <cell r="O412" t="str">
            <v>–</v>
          </cell>
          <cell r="P412" t="str">
            <v>–</v>
          </cell>
          <cell r="Q412" t="str">
            <v>–</v>
          </cell>
          <cell r="R412">
            <v>0.32</v>
          </cell>
          <cell r="S412">
            <v>0.3125</v>
          </cell>
          <cell r="T412">
            <v>0.1875</v>
          </cell>
          <cell r="U412">
            <v>0.45500000000000002</v>
          </cell>
          <cell r="V412">
            <v>0.4375</v>
          </cell>
          <cell r="W412">
            <v>0.45500000000000002</v>
          </cell>
          <cell r="X412" t="str">
            <v>–</v>
          </cell>
          <cell r="Y412" t="str">
            <v>–</v>
          </cell>
          <cell r="Z412">
            <v>0.70499999999999996</v>
          </cell>
          <cell r="AA412">
            <v>0.9375</v>
          </cell>
          <cell r="AB412" t="str">
            <v>–</v>
          </cell>
          <cell r="AC412" t="str">
            <v>–</v>
          </cell>
          <cell r="AD412">
            <v>0.61</v>
          </cell>
          <cell r="AE412" t="str">
            <v>–</v>
          </cell>
          <cell r="AF412" t="str">
            <v>–</v>
          </cell>
          <cell r="AG412">
            <v>0.30199999999999999</v>
          </cell>
          <cell r="AH412">
            <v>6.68</v>
          </cell>
          <cell r="AI412" t="str">
            <v>–</v>
          </cell>
          <cell r="AJ412" t="str">
            <v>–</v>
          </cell>
          <cell r="AK412" t="str">
            <v>–</v>
          </cell>
          <cell r="AL412" t="str">
            <v>–</v>
          </cell>
          <cell r="AM412">
            <v>10</v>
          </cell>
          <cell r="AN412">
            <v>2.29</v>
          </cell>
        </row>
        <row r="413">
          <cell r="C413" t="str">
            <v>WT3X10</v>
          </cell>
          <cell r="D413" t="str">
            <v>F</v>
          </cell>
          <cell r="E413">
            <v>10</v>
          </cell>
          <cell r="F413">
            <v>2.94</v>
          </cell>
          <cell r="G413" t="str">
            <v>WT3X10</v>
          </cell>
          <cell r="H413">
            <v>3.1</v>
          </cell>
          <cell r="I413">
            <v>3.125</v>
          </cell>
          <cell r="J413" t="str">
            <v>–</v>
          </cell>
          <cell r="K413" t="str">
            <v>–</v>
          </cell>
          <cell r="L413" t="str">
            <v>–</v>
          </cell>
          <cell r="M413">
            <v>6.02</v>
          </cell>
          <cell r="N413">
            <v>6</v>
          </cell>
          <cell r="O413" t="str">
            <v>–</v>
          </cell>
          <cell r="P413" t="str">
            <v>–</v>
          </cell>
          <cell r="Q413" t="str">
            <v>–</v>
          </cell>
          <cell r="R413">
            <v>0.26</v>
          </cell>
          <cell r="S413">
            <v>0.25</v>
          </cell>
          <cell r="T413">
            <v>0.125</v>
          </cell>
          <cell r="U413">
            <v>0.36499999999999999</v>
          </cell>
          <cell r="V413">
            <v>0.375</v>
          </cell>
          <cell r="W413">
            <v>0.36499999999999999</v>
          </cell>
          <cell r="X413" t="str">
            <v>–</v>
          </cell>
          <cell r="Y413" t="str">
            <v>–</v>
          </cell>
          <cell r="Z413">
            <v>0.61499999999999999</v>
          </cell>
          <cell r="AA413">
            <v>0.875</v>
          </cell>
          <cell r="AB413" t="str">
            <v>–</v>
          </cell>
          <cell r="AC413" t="str">
            <v>–</v>
          </cell>
          <cell r="AD413">
            <v>0.56000000000000005</v>
          </cell>
          <cell r="AE413" t="str">
            <v>–</v>
          </cell>
          <cell r="AF413" t="str">
            <v>–</v>
          </cell>
          <cell r="AG413">
            <v>0.24399999999999999</v>
          </cell>
          <cell r="AH413">
            <v>8.25</v>
          </cell>
          <cell r="AI413" t="str">
            <v>–</v>
          </cell>
          <cell r="AJ413" t="str">
            <v>–</v>
          </cell>
          <cell r="AK413" t="str">
            <v>–</v>
          </cell>
          <cell r="AL413" t="str">
            <v>–</v>
          </cell>
          <cell r="AM413">
            <v>11.9</v>
          </cell>
          <cell r="AN413">
            <v>1.76</v>
          </cell>
        </row>
        <row r="414">
          <cell r="C414" t="str">
            <v>WT3X7.5</v>
          </cell>
          <cell r="D414" t="str">
            <v>F</v>
          </cell>
          <cell r="E414">
            <v>7.5</v>
          </cell>
          <cell r="F414">
            <v>2.21</v>
          </cell>
          <cell r="G414" t="str">
            <v>WT3X7.5</v>
          </cell>
          <cell r="H414">
            <v>3</v>
          </cell>
          <cell r="I414">
            <v>3</v>
          </cell>
          <cell r="J414" t="str">
            <v>–</v>
          </cell>
          <cell r="K414" t="str">
            <v>–</v>
          </cell>
          <cell r="L414" t="str">
            <v>–</v>
          </cell>
          <cell r="M414">
            <v>5.99</v>
          </cell>
          <cell r="N414">
            <v>6</v>
          </cell>
          <cell r="O414" t="str">
            <v>–</v>
          </cell>
          <cell r="P414" t="str">
            <v>–</v>
          </cell>
          <cell r="Q414" t="str">
            <v>–</v>
          </cell>
          <cell r="R414">
            <v>0.23</v>
          </cell>
          <cell r="S414">
            <v>0.25</v>
          </cell>
          <cell r="T414">
            <v>0.125</v>
          </cell>
          <cell r="U414">
            <v>0.26</v>
          </cell>
          <cell r="V414">
            <v>0.25</v>
          </cell>
          <cell r="W414">
            <v>0.26</v>
          </cell>
          <cell r="X414" t="str">
            <v>–</v>
          </cell>
          <cell r="Y414" t="str">
            <v>–</v>
          </cell>
          <cell r="Z414">
            <v>0.51</v>
          </cell>
          <cell r="AA414">
            <v>0.75</v>
          </cell>
          <cell r="AB414" t="str">
            <v>–</v>
          </cell>
          <cell r="AC414" t="str">
            <v>–</v>
          </cell>
          <cell r="AD414">
            <v>0.55800000000000005</v>
          </cell>
          <cell r="AE414" t="str">
            <v>–</v>
          </cell>
          <cell r="AF414" t="str">
            <v>–</v>
          </cell>
          <cell r="AG414">
            <v>0.185</v>
          </cell>
          <cell r="AH414">
            <v>11.5</v>
          </cell>
          <cell r="AI414" t="str">
            <v>–</v>
          </cell>
          <cell r="AJ414" t="str">
            <v>–</v>
          </cell>
          <cell r="AK414" t="str">
            <v>–</v>
          </cell>
          <cell r="AL414" t="str">
            <v>–</v>
          </cell>
          <cell r="AM414">
            <v>13</v>
          </cell>
          <cell r="AN414">
            <v>1.41</v>
          </cell>
        </row>
        <row r="415">
          <cell r="C415" t="str">
            <v>WT3X8</v>
          </cell>
          <cell r="D415" t="str">
            <v>F</v>
          </cell>
          <cell r="E415">
            <v>8</v>
          </cell>
          <cell r="F415">
            <v>2.37</v>
          </cell>
          <cell r="G415" t="str">
            <v>WT3X8</v>
          </cell>
          <cell r="H415">
            <v>3.14</v>
          </cell>
          <cell r="I415">
            <v>3.125</v>
          </cell>
          <cell r="J415" t="str">
            <v>–</v>
          </cell>
          <cell r="K415" t="str">
            <v>–</v>
          </cell>
          <cell r="L415" t="str">
            <v>–</v>
          </cell>
          <cell r="M415">
            <v>4.03</v>
          </cell>
          <cell r="N415">
            <v>4</v>
          </cell>
          <cell r="O415" t="str">
            <v>–</v>
          </cell>
          <cell r="P415" t="str">
            <v>–</v>
          </cell>
          <cell r="Q415" t="str">
            <v>–</v>
          </cell>
          <cell r="R415">
            <v>0.26</v>
          </cell>
          <cell r="S415">
            <v>0.25</v>
          </cell>
          <cell r="T415">
            <v>0.125</v>
          </cell>
          <cell r="U415">
            <v>0.40500000000000003</v>
          </cell>
          <cell r="V415">
            <v>0.375</v>
          </cell>
          <cell r="W415">
            <v>0.40500000000000003</v>
          </cell>
          <cell r="X415" t="str">
            <v>–</v>
          </cell>
          <cell r="Y415" t="str">
            <v>–</v>
          </cell>
          <cell r="Z415">
            <v>0.65500000000000003</v>
          </cell>
          <cell r="AA415">
            <v>0.875</v>
          </cell>
          <cell r="AB415" t="str">
            <v>–</v>
          </cell>
          <cell r="AC415" t="str">
            <v>–</v>
          </cell>
          <cell r="AD415">
            <v>0.67600000000000005</v>
          </cell>
          <cell r="AE415" t="str">
            <v>–</v>
          </cell>
          <cell r="AF415" t="str">
            <v>–</v>
          </cell>
          <cell r="AG415">
            <v>0.29399999999999998</v>
          </cell>
          <cell r="AH415">
            <v>4.9800000000000004</v>
          </cell>
          <cell r="AI415" t="str">
            <v>–</v>
          </cell>
          <cell r="AJ415" t="str">
            <v>–</v>
          </cell>
          <cell r="AK415" t="str">
            <v>–</v>
          </cell>
          <cell r="AL415" t="str">
            <v>–</v>
          </cell>
          <cell r="AM415">
            <v>12.1</v>
          </cell>
          <cell r="AN415">
            <v>1.69</v>
          </cell>
        </row>
        <row r="416">
          <cell r="C416" t="str">
            <v>WT3X6</v>
          </cell>
          <cell r="D416" t="str">
            <v>F</v>
          </cell>
          <cell r="E416">
            <v>6</v>
          </cell>
          <cell r="F416">
            <v>1.78</v>
          </cell>
          <cell r="G416" t="str">
            <v>WT3X6</v>
          </cell>
          <cell r="H416">
            <v>3.02</v>
          </cell>
          <cell r="I416">
            <v>3</v>
          </cell>
          <cell r="J416" t="str">
            <v>–</v>
          </cell>
          <cell r="K416" t="str">
            <v>–</v>
          </cell>
          <cell r="L416" t="str">
            <v>–</v>
          </cell>
          <cell r="M416">
            <v>4</v>
          </cell>
          <cell r="N416">
            <v>4</v>
          </cell>
          <cell r="O416" t="str">
            <v>–</v>
          </cell>
          <cell r="P416" t="str">
            <v>–</v>
          </cell>
          <cell r="Q416" t="str">
            <v>–</v>
          </cell>
          <cell r="R416">
            <v>0.23</v>
          </cell>
          <cell r="S416">
            <v>0.25</v>
          </cell>
          <cell r="T416">
            <v>0.125</v>
          </cell>
          <cell r="U416">
            <v>0.28000000000000003</v>
          </cell>
          <cell r="V416">
            <v>0.25</v>
          </cell>
          <cell r="W416">
            <v>0.28000000000000003</v>
          </cell>
          <cell r="X416" t="str">
            <v>–</v>
          </cell>
          <cell r="Y416" t="str">
            <v>–</v>
          </cell>
          <cell r="Z416">
            <v>0.53</v>
          </cell>
          <cell r="AA416">
            <v>0.75</v>
          </cell>
          <cell r="AB416" t="str">
            <v>–</v>
          </cell>
          <cell r="AC416" t="str">
            <v>–</v>
          </cell>
          <cell r="AD416">
            <v>0.67700000000000005</v>
          </cell>
          <cell r="AE416" t="str">
            <v>–</v>
          </cell>
          <cell r="AF416" t="str">
            <v>–</v>
          </cell>
          <cell r="AG416">
            <v>0.222</v>
          </cell>
          <cell r="AH416">
            <v>7.14</v>
          </cell>
          <cell r="AI416" t="str">
            <v>–</v>
          </cell>
          <cell r="AJ416" t="str">
            <v>–</v>
          </cell>
          <cell r="AK416" t="str">
            <v>–</v>
          </cell>
          <cell r="AL416" t="str">
            <v>–</v>
          </cell>
          <cell r="AM416">
            <v>13.1</v>
          </cell>
          <cell r="AN416">
            <v>1.32</v>
          </cell>
        </row>
        <row r="417">
          <cell r="C417" t="str">
            <v>WT3X4.5</v>
          </cell>
          <cell r="D417" t="str">
            <v>F</v>
          </cell>
          <cell r="E417">
            <v>4.5</v>
          </cell>
          <cell r="F417">
            <v>1.34</v>
          </cell>
          <cell r="G417" t="str">
            <v>WT3X4.5</v>
          </cell>
          <cell r="H417">
            <v>2.95</v>
          </cell>
          <cell r="I417">
            <v>3</v>
          </cell>
          <cell r="J417" t="str">
            <v>–</v>
          </cell>
          <cell r="K417" t="str">
            <v>–</v>
          </cell>
          <cell r="L417" t="str">
            <v>–</v>
          </cell>
          <cell r="M417">
            <v>3.94</v>
          </cell>
          <cell r="N417">
            <v>4</v>
          </cell>
          <cell r="O417" t="str">
            <v>–</v>
          </cell>
          <cell r="P417" t="str">
            <v>–</v>
          </cell>
          <cell r="Q417" t="str">
            <v>–</v>
          </cell>
          <cell r="R417">
            <v>0.17</v>
          </cell>
          <cell r="S417">
            <v>0.1875</v>
          </cell>
          <cell r="T417">
            <v>0.125</v>
          </cell>
          <cell r="U417">
            <v>0.215</v>
          </cell>
          <cell r="V417">
            <v>0.1875</v>
          </cell>
          <cell r="W417">
            <v>0.215</v>
          </cell>
          <cell r="X417" t="str">
            <v>–</v>
          </cell>
          <cell r="Y417" t="str">
            <v>–</v>
          </cell>
          <cell r="Z417">
            <v>0.46500000000000002</v>
          </cell>
          <cell r="AA417">
            <v>0.6875</v>
          </cell>
          <cell r="AB417" t="str">
            <v>–</v>
          </cell>
          <cell r="AC417" t="str">
            <v>–</v>
          </cell>
          <cell r="AD417">
            <v>0.623</v>
          </cell>
          <cell r="AE417" t="str">
            <v>–</v>
          </cell>
          <cell r="AF417" t="str">
            <v>–</v>
          </cell>
          <cell r="AG417">
            <v>0.17</v>
          </cell>
          <cell r="AH417">
            <v>9.16</v>
          </cell>
          <cell r="AI417" t="str">
            <v>–</v>
          </cell>
          <cell r="AJ417" t="str">
            <v>–</v>
          </cell>
          <cell r="AK417" t="str">
            <v>–</v>
          </cell>
          <cell r="AL417" t="str">
            <v>–</v>
          </cell>
          <cell r="AM417">
            <v>17.399999999999999</v>
          </cell>
          <cell r="AN417">
            <v>0.95</v>
          </cell>
        </row>
        <row r="418">
          <cell r="C418" t="str">
            <v>WT3X4.25</v>
          </cell>
          <cell r="D418" t="str">
            <v>F</v>
          </cell>
          <cell r="E418">
            <v>4.25</v>
          </cell>
          <cell r="F418">
            <v>1.26</v>
          </cell>
          <cell r="G418" t="str">
            <v>WT3X4.25</v>
          </cell>
          <cell r="H418">
            <v>2.92</v>
          </cell>
          <cell r="I418">
            <v>2.875</v>
          </cell>
          <cell r="J418" t="str">
            <v>–</v>
          </cell>
          <cell r="K418" t="str">
            <v>–</v>
          </cell>
          <cell r="L418" t="str">
            <v>–</v>
          </cell>
          <cell r="M418">
            <v>3.94</v>
          </cell>
          <cell r="N418">
            <v>4</v>
          </cell>
          <cell r="O418" t="str">
            <v>–</v>
          </cell>
          <cell r="P418" t="str">
            <v>–</v>
          </cell>
          <cell r="Q418" t="str">
            <v>–</v>
          </cell>
          <cell r="R418">
            <v>0.17</v>
          </cell>
          <cell r="S418">
            <v>0.1875</v>
          </cell>
          <cell r="T418">
            <v>0.125</v>
          </cell>
          <cell r="U418">
            <v>0.19500000000000001</v>
          </cell>
          <cell r="V418">
            <v>0.1875</v>
          </cell>
          <cell r="W418">
            <v>0.19500000000000001</v>
          </cell>
          <cell r="X418" t="str">
            <v>–</v>
          </cell>
          <cell r="Y418" t="str">
            <v>–</v>
          </cell>
          <cell r="Z418">
            <v>0.44500000000000001</v>
          </cell>
          <cell r="AA418">
            <v>0.6875</v>
          </cell>
          <cell r="AB418" t="str">
            <v>–</v>
          </cell>
          <cell r="AC418" t="str">
            <v>–</v>
          </cell>
          <cell r="AD418">
            <v>0.63700000000000001</v>
          </cell>
          <cell r="AE418" t="str">
            <v>–</v>
          </cell>
          <cell r="AF418" t="str">
            <v>–</v>
          </cell>
          <cell r="AG418">
            <v>0.16</v>
          </cell>
          <cell r="AH418">
            <v>10.1</v>
          </cell>
          <cell r="AI418" t="str">
            <v>–</v>
          </cell>
          <cell r="AJ418" t="str">
            <v>–</v>
          </cell>
          <cell r="AK418" t="str">
            <v>–</v>
          </cell>
          <cell r="AL418" t="str">
            <v>–</v>
          </cell>
          <cell r="AM418">
            <v>17.2</v>
          </cell>
          <cell r="AN418">
            <v>0.90500000000000003</v>
          </cell>
        </row>
        <row r="419">
          <cell r="C419" t="str">
            <v>WT2.5X9.5</v>
          </cell>
          <cell r="D419" t="str">
            <v>F</v>
          </cell>
          <cell r="E419">
            <v>9.5</v>
          </cell>
          <cell r="F419">
            <v>2.78</v>
          </cell>
          <cell r="G419" t="str">
            <v>WT2.5X9.5</v>
          </cell>
          <cell r="H419">
            <v>2.58</v>
          </cell>
          <cell r="I419">
            <v>2.625</v>
          </cell>
          <cell r="J419" t="str">
            <v>–</v>
          </cell>
          <cell r="K419" t="str">
            <v>–</v>
          </cell>
          <cell r="L419" t="str">
            <v>–</v>
          </cell>
          <cell r="M419">
            <v>5.03</v>
          </cell>
          <cell r="N419">
            <v>5</v>
          </cell>
          <cell r="O419" t="str">
            <v>–</v>
          </cell>
          <cell r="P419" t="str">
            <v>–</v>
          </cell>
          <cell r="Q419" t="str">
            <v>–</v>
          </cell>
          <cell r="R419">
            <v>0.27</v>
          </cell>
          <cell r="S419">
            <v>0.25</v>
          </cell>
          <cell r="T419">
            <v>0.125</v>
          </cell>
          <cell r="U419">
            <v>0.43</v>
          </cell>
          <cell r="V419">
            <v>0.4375</v>
          </cell>
          <cell r="W419">
            <v>0.43</v>
          </cell>
          <cell r="X419" t="str">
            <v>–</v>
          </cell>
          <cell r="Y419" t="str">
            <v>–</v>
          </cell>
          <cell r="Z419">
            <v>0.73</v>
          </cell>
          <cell r="AA419">
            <v>0.8125</v>
          </cell>
          <cell r="AB419" t="str">
            <v>–</v>
          </cell>
          <cell r="AC419" t="str">
            <v>–</v>
          </cell>
          <cell r="AD419">
            <v>0.48699999999999999</v>
          </cell>
          <cell r="AE419" t="str">
            <v>–</v>
          </cell>
          <cell r="AF419" t="str">
            <v>–</v>
          </cell>
          <cell r="AG419">
            <v>0.27600000000000002</v>
          </cell>
          <cell r="AH419">
            <v>5.85</v>
          </cell>
          <cell r="AI419" t="str">
            <v>–</v>
          </cell>
          <cell r="AJ419" t="str">
            <v>–</v>
          </cell>
          <cell r="AK419" t="str">
            <v>–</v>
          </cell>
          <cell r="AL419" t="str">
            <v>–</v>
          </cell>
          <cell r="AM419">
            <v>9.56</v>
          </cell>
          <cell r="AN419">
            <v>1.01</v>
          </cell>
        </row>
        <row r="420">
          <cell r="C420" t="str">
            <v>WT2.5X8</v>
          </cell>
          <cell r="D420" t="str">
            <v>F</v>
          </cell>
          <cell r="E420">
            <v>8</v>
          </cell>
          <cell r="F420">
            <v>2.35</v>
          </cell>
          <cell r="G420" t="str">
            <v>WT2.5X8</v>
          </cell>
          <cell r="H420">
            <v>2.5099999999999998</v>
          </cell>
          <cell r="I420">
            <v>2.5</v>
          </cell>
          <cell r="J420" t="str">
            <v>–</v>
          </cell>
          <cell r="K420" t="str">
            <v>–</v>
          </cell>
          <cell r="L420" t="str">
            <v>–</v>
          </cell>
          <cell r="M420">
            <v>5</v>
          </cell>
          <cell r="N420">
            <v>5</v>
          </cell>
          <cell r="O420" t="str">
            <v>–</v>
          </cell>
          <cell r="P420" t="str">
            <v>–</v>
          </cell>
          <cell r="Q420" t="str">
            <v>–</v>
          </cell>
          <cell r="R420">
            <v>0.24</v>
          </cell>
          <cell r="S420">
            <v>0.25</v>
          </cell>
          <cell r="T420">
            <v>0.125</v>
          </cell>
          <cell r="U420">
            <v>0.36</v>
          </cell>
          <cell r="V420">
            <v>0.375</v>
          </cell>
          <cell r="W420">
            <v>0.36</v>
          </cell>
          <cell r="X420" t="str">
            <v>–</v>
          </cell>
          <cell r="Y420" t="str">
            <v>–</v>
          </cell>
          <cell r="Z420">
            <v>0.66</v>
          </cell>
          <cell r="AA420">
            <v>0.75</v>
          </cell>
          <cell r="AB420" t="str">
            <v>–</v>
          </cell>
          <cell r="AC420" t="str">
            <v>–</v>
          </cell>
          <cell r="AD420">
            <v>0.45800000000000002</v>
          </cell>
          <cell r="AE420" t="str">
            <v>–</v>
          </cell>
          <cell r="AF420" t="str">
            <v>–</v>
          </cell>
          <cell r="AG420">
            <v>0.23499999999999999</v>
          </cell>
          <cell r="AH420">
            <v>6.94</v>
          </cell>
          <cell r="AI420" t="str">
            <v>–</v>
          </cell>
          <cell r="AJ420" t="str">
            <v>–</v>
          </cell>
          <cell r="AK420" t="str">
            <v>–</v>
          </cell>
          <cell r="AL420" t="str">
            <v>–</v>
          </cell>
          <cell r="AM420">
            <v>10.5</v>
          </cell>
          <cell r="AN420">
            <v>0.84499999999999997</v>
          </cell>
        </row>
        <row r="421">
          <cell r="C421" t="str">
            <v>WT2X6.5</v>
          </cell>
          <cell r="D421" t="str">
            <v>F</v>
          </cell>
          <cell r="E421">
            <v>6.5</v>
          </cell>
          <cell r="F421">
            <v>1.91</v>
          </cell>
          <cell r="G421" t="str">
            <v>WT2X6.5</v>
          </cell>
          <cell r="H421">
            <v>2.08</v>
          </cell>
          <cell r="I421">
            <v>2.125</v>
          </cell>
          <cell r="J421" t="str">
            <v>–</v>
          </cell>
          <cell r="K421" t="str">
            <v>–</v>
          </cell>
          <cell r="L421" t="str">
            <v>–</v>
          </cell>
          <cell r="M421">
            <v>4.0599999999999996</v>
          </cell>
          <cell r="N421">
            <v>4</v>
          </cell>
          <cell r="O421" t="str">
            <v>–</v>
          </cell>
          <cell r="P421" t="str">
            <v>–</v>
          </cell>
          <cell r="Q421" t="str">
            <v>–</v>
          </cell>
          <cell r="R421">
            <v>0.28000000000000003</v>
          </cell>
          <cell r="S421">
            <v>0.25</v>
          </cell>
          <cell r="T421">
            <v>0.125</v>
          </cell>
          <cell r="U421">
            <v>0.34499999999999997</v>
          </cell>
          <cell r="V421">
            <v>0.375</v>
          </cell>
          <cell r="W421">
            <v>0.34499999999999997</v>
          </cell>
          <cell r="X421" t="str">
            <v>–</v>
          </cell>
          <cell r="Y421" t="str">
            <v>–</v>
          </cell>
          <cell r="Z421">
            <v>0.59499999999999997</v>
          </cell>
          <cell r="AA421">
            <v>0.75</v>
          </cell>
          <cell r="AB421" t="str">
            <v>–</v>
          </cell>
          <cell r="AC421" t="str">
            <v>–</v>
          </cell>
          <cell r="AD421">
            <v>0.44</v>
          </cell>
          <cell r="AE421" t="str">
            <v>–</v>
          </cell>
          <cell r="AF421" t="str">
            <v>–</v>
          </cell>
          <cell r="AG421">
            <v>0.23599999999999999</v>
          </cell>
          <cell r="AH421">
            <v>5.88</v>
          </cell>
          <cell r="AI421" t="str">
            <v>–</v>
          </cell>
          <cell r="AJ421" t="str">
            <v>–</v>
          </cell>
          <cell r="AK421" t="str">
            <v>–</v>
          </cell>
          <cell r="AL421" t="str">
            <v>–</v>
          </cell>
          <cell r="AM421">
            <v>7.43</v>
          </cell>
          <cell r="AN421">
            <v>0.52600000000000002</v>
          </cell>
        </row>
        <row r="436">
          <cell r="C436" t="str">
            <v>ST12X60.5</v>
          </cell>
          <cell r="D436" t="str">
            <v>F</v>
          </cell>
          <cell r="E436">
            <v>60.5</v>
          </cell>
          <cell r="F436">
            <v>17.8</v>
          </cell>
          <cell r="G436" t="str">
            <v>ST12X60.5</v>
          </cell>
          <cell r="H436">
            <v>12.3</v>
          </cell>
          <cell r="I436">
            <v>12.25</v>
          </cell>
          <cell r="J436" t="str">
            <v>–</v>
          </cell>
          <cell r="K436" t="str">
            <v>–</v>
          </cell>
          <cell r="L436" t="str">
            <v>–</v>
          </cell>
          <cell r="M436">
            <v>8.0500000000000007</v>
          </cell>
          <cell r="N436">
            <v>8</v>
          </cell>
          <cell r="O436" t="str">
            <v>–</v>
          </cell>
          <cell r="P436" t="str">
            <v>–</v>
          </cell>
          <cell r="Q436" t="str">
            <v>–</v>
          </cell>
          <cell r="R436">
            <v>0.8</v>
          </cell>
          <cell r="S436">
            <v>0.8125</v>
          </cell>
          <cell r="T436">
            <v>0.4375</v>
          </cell>
          <cell r="U436">
            <v>1.0900000000000001</v>
          </cell>
          <cell r="V436">
            <v>1.0625</v>
          </cell>
          <cell r="W436">
            <v>1.0900000000000001</v>
          </cell>
          <cell r="X436" t="str">
            <v>–</v>
          </cell>
          <cell r="Y436" t="str">
            <v>–</v>
          </cell>
          <cell r="Z436">
            <v>2</v>
          </cell>
          <cell r="AA436">
            <v>2</v>
          </cell>
          <cell r="AB436" t="str">
            <v>–</v>
          </cell>
          <cell r="AC436" t="str">
            <v>–</v>
          </cell>
          <cell r="AD436">
            <v>3.63</v>
          </cell>
          <cell r="AE436" t="str">
            <v>–</v>
          </cell>
          <cell r="AF436" t="str">
            <v>–</v>
          </cell>
          <cell r="AG436">
            <v>1.26</v>
          </cell>
          <cell r="AH436">
            <v>3.69</v>
          </cell>
          <cell r="AI436" t="str">
            <v>–</v>
          </cell>
          <cell r="AJ436" t="str">
            <v>–</v>
          </cell>
          <cell r="AK436" t="str">
            <v>–</v>
          </cell>
          <cell r="AL436" t="str">
            <v>–</v>
          </cell>
          <cell r="AM436">
            <v>15.4</v>
          </cell>
          <cell r="AN436">
            <v>259</v>
          </cell>
          <cell r="AO436">
            <v>54.5</v>
          </cell>
          <cell r="AP436">
            <v>30.1</v>
          </cell>
          <cell r="AQ436">
            <v>3.82</v>
          </cell>
          <cell r="AR436">
            <v>41.5</v>
          </cell>
          <cell r="AS436">
            <v>18.100000000000001</v>
          </cell>
          <cell r="AT436">
            <v>10.3</v>
          </cell>
          <cell r="AU436">
            <v>1.53</v>
          </cell>
        </row>
        <row r="437">
          <cell r="C437" t="str">
            <v>ST12X53</v>
          </cell>
          <cell r="D437" t="str">
            <v>F</v>
          </cell>
          <cell r="E437">
            <v>53</v>
          </cell>
          <cell r="F437">
            <v>15.6</v>
          </cell>
          <cell r="G437" t="str">
            <v>ST12X53</v>
          </cell>
          <cell r="H437">
            <v>12.3</v>
          </cell>
          <cell r="I437">
            <v>12.25</v>
          </cell>
          <cell r="J437" t="str">
            <v>–</v>
          </cell>
          <cell r="K437" t="str">
            <v>–</v>
          </cell>
          <cell r="L437" t="str">
            <v>–</v>
          </cell>
          <cell r="M437">
            <v>7.87</v>
          </cell>
          <cell r="N437">
            <v>7.875</v>
          </cell>
          <cell r="O437" t="str">
            <v>–</v>
          </cell>
          <cell r="P437" t="str">
            <v>–</v>
          </cell>
          <cell r="Q437" t="str">
            <v>–</v>
          </cell>
          <cell r="R437">
            <v>0.62</v>
          </cell>
          <cell r="S437">
            <v>0.625</v>
          </cell>
          <cell r="T437">
            <v>0.3125</v>
          </cell>
          <cell r="U437">
            <v>1.0900000000000001</v>
          </cell>
          <cell r="V437">
            <v>1.0625</v>
          </cell>
          <cell r="W437">
            <v>1.0900000000000001</v>
          </cell>
          <cell r="X437" t="str">
            <v>–</v>
          </cell>
          <cell r="Y437" t="str">
            <v>–</v>
          </cell>
          <cell r="Z437">
            <v>2</v>
          </cell>
          <cell r="AA437">
            <v>2</v>
          </cell>
          <cell r="AB437" t="str">
            <v>–</v>
          </cell>
          <cell r="AC437" t="str">
            <v>–</v>
          </cell>
          <cell r="AD437">
            <v>3.28</v>
          </cell>
          <cell r="AE437" t="str">
            <v>–</v>
          </cell>
          <cell r="AF437" t="str">
            <v>–</v>
          </cell>
          <cell r="AG437">
            <v>1.02</v>
          </cell>
          <cell r="AH437">
            <v>3.61</v>
          </cell>
          <cell r="AI437" t="str">
            <v>–</v>
          </cell>
          <cell r="AJ437" t="str">
            <v>–</v>
          </cell>
          <cell r="AK437" t="str">
            <v>–</v>
          </cell>
          <cell r="AL437" t="str">
            <v>–</v>
          </cell>
          <cell r="AM437">
            <v>19.8</v>
          </cell>
          <cell r="AN437">
            <v>216</v>
          </cell>
          <cell r="AO437">
            <v>43.3</v>
          </cell>
          <cell r="AP437">
            <v>24.1</v>
          </cell>
          <cell r="AQ437">
            <v>3.72</v>
          </cell>
          <cell r="AR437">
            <v>38.4</v>
          </cell>
          <cell r="AS437">
            <v>16.7</v>
          </cell>
          <cell r="AT437">
            <v>9.76</v>
          </cell>
          <cell r="AU437">
            <v>1.57</v>
          </cell>
        </row>
        <row r="438">
          <cell r="C438" t="str">
            <v>ST12X50</v>
          </cell>
          <cell r="D438" t="str">
            <v>F</v>
          </cell>
          <cell r="E438">
            <v>50</v>
          </cell>
          <cell r="F438">
            <v>14.7</v>
          </cell>
          <cell r="G438" t="str">
            <v>ST12X50</v>
          </cell>
          <cell r="H438">
            <v>12</v>
          </cell>
          <cell r="I438">
            <v>12</v>
          </cell>
          <cell r="J438" t="str">
            <v>–</v>
          </cell>
          <cell r="K438" t="str">
            <v>–</v>
          </cell>
          <cell r="L438" t="str">
            <v>–</v>
          </cell>
          <cell r="M438">
            <v>7.25</v>
          </cell>
          <cell r="N438">
            <v>7.25</v>
          </cell>
          <cell r="O438" t="str">
            <v>–</v>
          </cell>
          <cell r="P438" t="str">
            <v>–</v>
          </cell>
          <cell r="Q438" t="str">
            <v>–</v>
          </cell>
          <cell r="R438">
            <v>0.745</v>
          </cell>
          <cell r="S438">
            <v>0.75</v>
          </cell>
          <cell r="T438">
            <v>0.375</v>
          </cell>
          <cell r="U438">
            <v>0.87</v>
          </cell>
          <cell r="V438">
            <v>0.875</v>
          </cell>
          <cell r="W438">
            <v>0.87</v>
          </cell>
          <cell r="X438" t="str">
            <v>–</v>
          </cell>
          <cell r="Y438" t="str">
            <v>–</v>
          </cell>
          <cell r="Z438">
            <v>1.75</v>
          </cell>
          <cell r="AA438">
            <v>1.75</v>
          </cell>
          <cell r="AB438" t="str">
            <v>–</v>
          </cell>
          <cell r="AC438" t="str">
            <v>–</v>
          </cell>
          <cell r="AD438">
            <v>3.84</v>
          </cell>
          <cell r="AE438" t="str">
            <v>–</v>
          </cell>
          <cell r="AF438" t="str">
            <v>–</v>
          </cell>
          <cell r="AG438">
            <v>2.16</v>
          </cell>
          <cell r="AH438">
            <v>4.17</v>
          </cell>
          <cell r="AI438" t="str">
            <v>–</v>
          </cell>
          <cell r="AJ438" t="str">
            <v>–</v>
          </cell>
          <cell r="AK438" t="str">
            <v>–</v>
          </cell>
          <cell r="AL438" t="str">
            <v>–</v>
          </cell>
          <cell r="AM438">
            <v>16.100000000000001</v>
          </cell>
          <cell r="AN438">
            <v>215</v>
          </cell>
          <cell r="AO438">
            <v>47.5</v>
          </cell>
          <cell r="AP438">
            <v>26.3</v>
          </cell>
          <cell r="AQ438">
            <v>3.83</v>
          </cell>
          <cell r="AR438">
            <v>23.7</v>
          </cell>
          <cell r="AS438">
            <v>12</v>
          </cell>
          <cell r="AT438">
            <v>6.55</v>
          </cell>
          <cell r="AU438">
            <v>1.27</v>
          </cell>
        </row>
        <row r="439">
          <cell r="C439" t="str">
            <v>ST12X45</v>
          </cell>
          <cell r="D439" t="str">
            <v>F</v>
          </cell>
          <cell r="E439">
            <v>45</v>
          </cell>
          <cell r="F439">
            <v>13.2</v>
          </cell>
          <cell r="G439" t="str">
            <v>ST12X45</v>
          </cell>
          <cell r="H439">
            <v>12</v>
          </cell>
          <cell r="I439">
            <v>12</v>
          </cell>
          <cell r="J439" t="str">
            <v>–</v>
          </cell>
          <cell r="K439" t="str">
            <v>–</v>
          </cell>
          <cell r="L439" t="str">
            <v>–</v>
          </cell>
          <cell r="M439">
            <v>7.13</v>
          </cell>
          <cell r="N439">
            <v>7.125</v>
          </cell>
          <cell r="O439" t="str">
            <v>–</v>
          </cell>
          <cell r="P439" t="str">
            <v>–</v>
          </cell>
          <cell r="Q439" t="str">
            <v>–</v>
          </cell>
          <cell r="R439">
            <v>0.625</v>
          </cell>
          <cell r="S439">
            <v>0.625</v>
          </cell>
          <cell r="T439">
            <v>0.3125</v>
          </cell>
          <cell r="U439">
            <v>0.87</v>
          </cell>
          <cell r="V439">
            <v>0.875</v>
          </cell>
          <cell r="W439">
            <v>0.87</v>
          </cell>
          <cell r="X439" t="str">
            <v>–</v>
          </cell>
          <cell r="Y439" t="str">
            <v>–</v>
          </cell>
          <cell r="Z439">
            <v>1.75</v>
          </cell>
          <cell r="AA439">
            <v>1.75</v>
          </cell>
          <cell r="AB439" t="str">
            <v>–</v>
          </cell>
          <cell r="AC439" t="str">
            <v>–</v>
          </cell>
          <cell r="AD439">
            <v>3.6</v>
          </cell>
          <cell r="AE439" t="str">
            <v>–</v>
          </cell>
          <cell r="AF439" t="str">
            <v>–</v>
          </cell>
          <cell r="AG439">
            <v>1.42</v>
          </cell>
          <cell r="AH439">
            <v>4.0999999999999996</v>
          </cell>
          <cell r="AI439" t="str">
            <v>–</v>
          </cell>
          <cell r="AJ439" t="str">
            <v>–</v>
          </cell>
          <cell r="AK439" t="str">
            <v>–</v>
          </cell>
          <cell r="AL439" t="str">
            <v>–</v>
          </cell>
          <cell r="AM439">
            <v>19.2</v>
          </cell>
          <cell r="AN439">
            <v>190</v>
          </cell>
          <cell r="AO439">
            <v>41.1</v>
          </cell>
          <cell r="AP439">
            <v>22.6</v>
          </cell>
          <cell r="AQ439">
            <v>3.79</v>
          </cell>
          <cell r="AR439">
            <v>22.3</v>
          </cell>
          <cell r="AS439">
            <v>11.2</v>
          </cell>
          <cell r="AT439">
            <v>6.27</v>
          </cell>
          <cell r="AU439">
            <v>1.3</v>
          </cell>
        </row>
        <row r="440">
          <cell r="C440" t="str">
            <v>ST12X40</v>
          </cell>
          <cell r="D440" t="str">
            <v>F</v>
          </cell>
          <cell r="E440">
            <v>40</v>
          </cell>
          <cell r="F440">
            <v>11.7</v>
          </cell>
          <cell r="G440" t="str">
            <v>ST12X40</v>
          </cell>
          <cell r="H440">
            <v>12</v>
          </cell>
          <cell r="I440">
            <v>12</v>
          </cell>
          <cell r="J440" t="str">
            <v>–</v>
          </cell>
          <cell r="K440" t="str">
            <v>–</v>
          </cell>
          <cell r="L440" t="str">
            <v>–</v>
          </cell>
          <cell r="M440">
            <v>7</v>
          </cell>
          <cell r="N440">
            <v>7</v>
          </cell>
          <cell r="O440" t="str">
            <v>–</v>
          </cell>
          <cell r="P440" t="str">
            <v>–</v>
          </cell>
          <cell r="Q440" t="str">
            <v>–</v>
          </cell>
          <cell r="R440">
            <v>0.5</v>
          </cell>
          <cell r="S440">
            <v>0.5</v>
          </cell>
          <cell r="T440">
            <v>0.25</v>
          </cell>
          <cell r="U440">
            <v>0.87</v>
          </cell>
          <cell r="V440">
            <v>0.875</v>
          </cell>
          <cell r="W440">
            <v>0.87</v>
          </cell>
          <cell r="X440" t="str">
            <v>–</v>
          </cell>
          <cell r="Y440" t="str">
            <v>–</v>
          </cell>
          <cell r="Z440">
            <v>1.75</v>
          </cell>
          <cell r="AA440">
            <v>1.75</v>
          </cell>
          <cell r="AB440" t="str">
            <v>–</v>
          </cell>
          <cell r="AC440" t="str">
            <v>–</v>
          </cell>
          <cell r="AD440">
            <v>3.3</v>
          </cell>
          <cell r="AE440" t="str">
            <v>–</v>
          </cell>
          <cell r="AF440" t="str">
            <v>–</v>
          </cell>
          <cell r="AG440">
            <v>0.90900000000000003</v>
          </cell>
          <cell r="AH440">
            <v>4.0199999999999996</v>
          </cell>
          <cell r="AI440" t="str">
            <v>–</v>
          </cell>
          <cell r="AJ440" t="str">
            <v>–</v>
          </cell>
          <cell r="AK440" t="str">
            <v>–</v>
          </cell>
          <cell r="AL440" t="str">
            <v>–</v>
          </cell>
          <cell r="AM440">
            <v>24</v>
          </cell>
          <cell r="AN440">
            <v>162</v>
          </cell>
          <cell r="AO440">
            <v>33.6</v>
          </cell>
          <cell r="AP440">
            <v>18.600000000000001</v>
          </cell>
          <cell r="AQ440">
            <v>3.72</v>
          </cell>
          <cell r="AR440">
            <v>21</v>
          </cell>
          <cell r="AS440">
            <v>10.4</v>
          </cell>
          <cell r="AT440">
            <v>6</v>
          </cell>
          <cell r="AU440">
            <v>1.34</v>
          </cell>
        </row>
        <row r="441">
          <cell r="C441" t="str">
            <v>ST10X48</v>
          </cell>
          <cell r="D441" t="str">
            <v>F</v>
          </cell>
          <cell r="E441">
            <v>48</v>
          </cell>
          <cell r="F441">
            <v>14.1</v>
          </cell>
          <cell r="G441" t="str">
            <v>ST10X48</v>
          </cell>
          <cell r="H441">
            <v>10.199999999999999</v>
          </cell>
          <cell r="I441">
            <v>10.125</v>
          </cell>
          <cell r="J441" t="str">
            <v>–</v>
          </cell>
          <cell r="K441" t="str">
            <v>–</v>
          </cell>
          <cell r="L441" t="str">
            <v>–</v>
          </cell>
          <cell r="M441">
            <v>7.2</v>
          </cell>
          <cell r="N441">
            <v>7.25</v>
          </cell>
          <cell r="O441" t="str">
            <v>–</v>
          </cell>
          <cell r="P441" t="str">
            <v>–</v>
          </cell>
          <cell r="Q441" t="str">
            <v>–</v>
          </cell>
          <cell r="R441">
            <v>0.8</v>
          </cell>
          <cell r="S441">
            <v>0.8125</v>
          </cell>
          <cell r="T441">
            <v>0.4375</v>
          </cell>
          <cell r="U441">
            <v>0.92</v>
          </cell>
          <cell r="V441">
            <v>0.9375</v>
          </cell>
          <cell r="W441">
            <v>0.92</v>
          </cell>
          <cell r="X441" t="str">
            <v>–</v>
          </cell>
          <cell r="Y441" t="str">
            <v>–</v>
          </cell>
          <cell r="Z441">
            <v>1.75</v>
          </cell>
          <cell r="AA441">
            <v>1.75</v>
          </cell>
          <cell r="AB441" t="str">
            <v>–</v>
          </cell>
          <cell r="AC441" t="str">
            <v>–</v>
          </cell>
          <cell r="AD441">
            <v>3.13</v>
          </cell>
          <cell r="AE441" t="str">
            <v>–</v>
          </cell>
          <cell r="AF441" t="str">
            <v>–</v>
          </cell>
          <cell r="AG441">
            <v>1.35</v>
          </cell>
          <cell r="AH441">
            <v>3.91</v>
          </cell>
          <cell r="AI441" t="str">
            <v>–</v>
          </cell>
          <cell r="AJ441" t="str">
            <v>–</v>
          </cell>
          <cell r="AK441" t="str">
            <v>–</v>
          </cell>
          <cell r="AL441" t="str">
            <v>–</v>
          </cell>
          <cell r="AM441">
            <v>12.7</v>
          </cell>
          <cell r="AN441">
            <v>143</v>
          </cell>
          <cell r="AO441">
            <v>36.9</v>
          </cell>
          <cell r="AP441">
            <v>20.3</v>
          </cell>
          <cell r="AQ441">
            <v>3.18</v>
          </cell>
          <cell r="AR441">
            <v>25</v>
          </cell>
          <cell r="AS441">
            <v>12.5</v>
          </cell>
          <cell r="AT441">
            <v>6.93</v>
          </cell>
          <cell r="AU441">
            <v>1.33</v>
          </cell>
        </row>
        <row r="442">
          <cell r="C442" t="str">
            <v>ST10X43</v>
          </cell>
          <cell r="D442" t="str">
            <v>F</v>
          </cell>
          <cell r="E442">
            <v>43</v>
          </cell>
          <cell r="F442">
            <v>12.7</v>
          </cell>
          <cell r="G442" t="str">
            <v>ST10X43</v>
          </cell>
          <cell r="H442">
            <v>10.199999999999999</v>
          </cell>
          <cell r="I442">
            <v>10.125</v>
          </cell>
          <cell r="J442" t="str">
            <v>–</v>
          </cell>
          <cell r="K442" t="str">
            <v>–</v>
          </cell>
          <cell r="L442" t="str">
            <v>–</v>
          </cell>
          <cell r="M442">
            <v>7.06</v>
          </cell>
          <cell r="N442">
            <v>7</v>
          </cell>
          <cell r="O442" t="str">
            <v>–</v>
          </cell>
          <cell r="P442" t="str">
            <v>–</v>
          </cell>
          <cell r="Q442" t="str">
            <v>–</v>
          </cell>
          <cell r="R442">
            <v>0.66</v>
          </cell>
          <cell r="S442">
            <v>0.6875</v>
          </cell>
          <cell r="T442">
            <v>0.375</v>
          </cell>
          <cell r="U442">
            <v>0.92</v>
          </cell>
          <cell r="V442">
            <v>0.9375</v>
          </cell>
          <cell r="W442">
            <v>0.92</v>
          </cell>
          <cell r="X442" t="str">
            <v>–</v>
          </cell>
          <cell r="Y442" t="str">
            <v>–</v>
          </cell>
          <cell r="Z442">
            <v>1.75</v>
          </cell>
          <cell r="AA442">
            <v>1.75</v>
          </cell>
          <cell r="AB442" t="str">
            <v>–</v>
          </cell>
          <cell r="AC442" t="str">
            <v>–</v>
          </cell>
          <cell r="AD442">
            <v>2.91</v>
          </cell>
          <cell r="AE442" t="str">
            <v>–</v>
          </cell>
          <cell r="AF442" t="str">
            <v>–</v>
          </cell>
          <cell r="AG442">
            <v>0.97199999999999998</v>
          </cell>
          <cell r="AH442">
            <v>3.84</v>
          </cell>
          <cell r="AI442" t="str">
            <v>–</v>
          </cell>
          <cell r="AJ442" t="str">
            <v>–</v>
          </cell>
          <cell r="AK442" t="str">
            <v>–</v>
          </cell>
          <cell r="AL442" t="str">
            <v>–</v>
          </cell>
          <cell r="AM442">
            <v>15.4</v>
          </cell>
          <cell r="AN442">
            <v>124</v>
          </cell>
          <cell r="AO442">
            <v>31.1</v>
          </cell>
          <cell r="AP442">
            <v>17.2</v>
          </cell>
          <cell r="AQ442">
            <v>3.13</v>
          </cell>
          <cell r="AR442">
            <v>23.3</v>
          </cell>
          <cell r="AS442">
            <v>11.6</v>
          </cell>
          <cell r="AT442">
            <v>6.59</v>
          </cell>
          <cell r="AU442">
            <v>1.36</v>
          </cell>
        </row>
        <row r="443">
          <cell r="C443" t="str">
            <v>ST10X37.5</v>
          </cell>
          <cell r="D443" t="str">
            <v>F</v>
          </cell>
          <cell r="E443">
            <v>37.5</v>
          </cell>
          <cell r="F443">
            <v>11</v>
          </cell>
          <cell r="G443" t="str">
            <v>ST10X37.5</v>
          </cell>
          <cell r="H443">
            <v>10</v>
          </cell>
          <cell r="I443">
            <v>10</v>
          </cell>
          <cell r="J443" t="str">
            <v>–</v>
          </cell>
          <cell r="K443" t="str">
            <v>–</v>
          </cell>
          <cell r="L443" t="str">
            <v>–</v>
          </cell>
          <cell r="M443">
            <v>6.39</v>
          </cell>
          <cell r="N443">
            <v>6.375</v>
          </cell>
          <cell r="O443" t="str">
            <v>–</v>
          </cell>
          <cell r="P443" t="str">
            <v>–</v>
          </cell>
          <cell r="Q443" t="str">
            <v>–</v>
          </cell>
          <cell r="R443">
            <v>0.63500000000000001</v>
          </cell>
          <cell r="S443">
            <v>0.625</v>
          </cell>
          <cell r="T443">
            <v>0.3125</v>
          </cell>
          <cell r="U443">
            <v>0.79500000000000004</v>
          </cell>
          <cell r="V443">
            <v>0.8125</v>
          </cell>
          <cell r="W443">
            <v>0.79500000000000004</v>
          </cell>
          <cell r="X443" t="str">
            <v>–</v>
          </cell>
          <cell r="Y443" t="str">
            <v>–</v>
          </cell>
          <cell r="Z443">
            <v>1.63</v>
          </cell>
          <cell r="AA443">
            <v>1.625</v>
          </cell>
          <cell r="AB443" t="str">
            <v>–</v>
          </cell>
          <cell r="AC443" t="str">
            <v>–</v>
          </cell>
          <cell r="AD443">
            <v>3.07</v>
          </cell>
          <cell r="AE443" t="str">
            <v>–</v>
          </cell>
          <cell r="AF443" t="str">
            <v>–</v>
          </cell>
          <cell r="AG443">
            <v>1.34</v>
          </cell>
          <cell r="AH443">
            <v>4.0199999999999996</v>
          </cell>
          <cell r="AI443" t="str">
            <v>–</v>
          </cell>
          <cell r="AJ443" t="str">
            <v>–</v>
          </cell>
          <cell r="AK443" t="str">
            <v>–</v>
          </cell>
          <cell r="AL443" t="str">
            <v>–</v>
          </cell>
          <cell r="AM443">
            <v>15.7</v>
          </cell>
          <cell r="AN443">
            <v>109</v>
          </cell>
          <cell r="AO443">
            <v>28.6</v>
          </cell>
          <cell r="AP443">
            <v>15.8</v>
          </cell>
          <cell r="AQ443">
            <v>3.15</v>
          </cell>
          <cell r="AR443">
            <v>14.8</v>
          </cell>
          <cell r="AS443">
            <v>8.36</v>
          </cell>
          <cell r="AT443">
            <v>4.62</v>
          </cell>
          <cell r="AU443">
            <v>1.1599999999999999</v>
          </cell>
        </row>
        <row r="444">
          <cell r="C444" t="str">
            <v>ST10X33</v>
          </cell>
          <cell r="D444" t="str">
            <v>F</v>
          </cell>
          <cell r="E444">
            <v>33</v>
          </cell>
          <cell r="F444">
            <v>9.6999999999999993</v>
          </cell>
          <cell r="G444" t="str">
            <v>ST10X33</v>
          </cell>
          <cell r="H444">
            <v>10</v>
          </cell>
          <cell r="I444">
            <v>10</v>
          </cell>
          <cell r="J444" t="str">
            <v>–</v>
          </cell>
          <cell r="K444" t="str">
            <v>–</v>
          </cell>
          <cell r="L444" t="str">
            <v>–</v>
          </cell>
          <cell r="M444">
            <v>6.26</v>
          </cell>
          <cell r="N444">
            <v>6.25</v>
          </cell>
          <cell r="O444" t="str">
            <v>–</v>
          </cell>
          <cell r="P444" t="str">
            <v>–</v>
          </cell>
          <cell r="Q444" t="str">
            <v>–</v>
          </cell>
          <cell r="R444">
            <v>0.505</v>
          </cell>
          <cell r="S444">
            <v>0.5</v>
          </cell>
          <cell r="T444">
            <v>0.25</v>
          </cell>
          <cell r="U444">
            <v>0.79500000000000004</v>
          </cell>
          <cell r="V444">
            <v>0.8125</v>
          </cell>
          <cell r="W444">
            <v>0.79500000000000004</v>
          </cell>
          <cell r="X444" t="str">
            <v>–</v>
          </cell>
          <cell r="Y444" t="str">
            <v>–</v>
          </cell>
          <cell r="Z444">
            <v>1.63</v>
          </cell>
          <cell r="AA444">
            <v>1.625</v>
          </cell>
          <cell r="AB444" t="str">
            <v>–</v>
          </cell>
          <cell r="AC444" t="str">
            <v>–</v>
          </cell>
          <cell r="AD444">
            <v>2.81</v>
          </cell>
          <cell r="AE444" t="str">
            <v>–</v>
          </cell>
          <cell r="AF444" t="str">
            <v>–</v>
          </cell>
          <cell r="AG444">
            <v>0.84099999999999997</v>
          </cell>
          <cell r="AH444">
            <v>3.94</v>
          </cell>
          <cell r="AI444" t="str">
            <v>–</v>
          </cell>
          <cell r="AJ444" t="str">
            <v>–</v>
          </cell>
          <cell r="AK444" t="str">
            <v>–</v>
          </cell>
          <cell r="AL444" t="str">
            <v>–</v>
          </cell>
          <cell r="AM444">
            <v>19.8</v>
          </cell>
          <cell r="AN444">
            <v>92.9</v>
          </cell>
          <cell r="AO444">
            <v>23.4</v>
          </cell>
          <cell r="AP444">
            <v>12.9</v>
          </cell>
          <cell r="AQ444">
            <v>3.1</v>
          </cell>
          <cell r="AR444">
            <v>13.7</v>
          </cell>
          <cell r="AS444">
            <v>7.7</v>
          </cell>
          <cell r="AT444">
            <v>4.3899999999999997</v>
          </cell>
          <cell r="AU444">
            <v>1.19</v>
          </cell>
        </row>
        <row r="445">
          <cell r="C445" t="str">
            <v>ST9X35</v>
          </cell>
          <cell r="D445" t="str">
            <v>F</v>
          </cell>
          <cell r="E445">
            <v>35</v>
          </cell>
          <cell r="F445">
            <v>10.3</v>
          </cell>
          <cell r="G445" t="str">
            <v>ST9X35</v>
          </cell>
          <cell r="H445">
            <v>9</v>
          </cell>
          <cell r="I445">
            <v>9</v>
          </cell>
          <cell r="J445" t="str">
            <v>–</v>
          </cell>
          <cell r="K445" t="str">
            <v>–</v>
          </cell>
          <cell r="L445" t="str">
            <v>–</v>
          </cell>
          <cell r="M445">
            <v>6.25</v>
          </cell>
          <cell r="N445">
            <v>6.25</v>
          </cell>
          <cell r="O445" t="str">
            <v>–</v>
          </cell>
          <cell r="P445" t="str">
            <v>–</v>
          </cell>
          <cell r="Q445" t="str">
            <v>–</v>
          </cell>
          <cell r="R445">
            <v>0.71099999999999997</v>
          </cell>
          <cell r="S445">
            <v>0.6875</v>
          </cell>
          <cell r="T445">
            <v>0.375</v>
          </cell>
          <cell r="U445">
            <v>0.69099999999999995</v>
          </cell>
          <cell r="V445">
            <v>0.6875</v>
          </cell>
          <cell r="W445">
            <v>0.69099999999999995</v>
          </cell>
          <cell r="X445" t="str">
            <v>–</v>
          </cell>
          <cell r="Y445" t="str">
            <v>–</v>
          </cell>
          <cell r="Z445">
            <v>1.5</v>
          </cell>
          <cell r="AA445">
            <v>1.5</v>
          </cell>
          <cell r="AB445" t="str">
            <v>–</v>
          </cell>
          <cell r="AC445" t="str">
            <v>–</v>
          </cell>
          <cell r="AD445">
            <v>2.94</v>
          </cell>
          <cell r="AE445" t="str">
            <v>–</v>
          </cell>
          <cell r="AF445" t="str">
            <v>–</v>
          </cell>
          <cell r="AG445">
            <v>1.78</v>
          </cell>
          <cell r="AH445">
            <v>4.5199999999999996</v>
          </cell>
          <cell r="AI445" t="str">
            <v>–</v>
          </cell>
          <cell r="AJ445" t="str">
            <v>–</v>
          </cell>
          <cell r="AK445" t="str">
            <v>–</v>
          </cell>
          <cell r="AL445" t="str">
            <v>–</v>
          </cell>
          <cell r="AM445">
            <v>12.7</v>
          </cell>
          <cell r="AN445">
            <v>84.5</v>
          </cell>
          <cell r="AO445">
            <v>25.1</v>
          </cell>
          <cell r="AP445">
            <v>14</v>
          </cell>
          <cell r="AQ445">
            <v>2.87</v>
          </cell>
          <cell r="AR445">
            <v>12</v>
          </cell>
          <cell r="AS445">
            <v>7.17</v>
          </cell>
          <cell r="AT445">
            <v>3.84</v>
          </cell>
          <cell r="AU445">
            <v>1.08</v>
          </cell>
        </row>
        <row r="446">
          <cell r="C446" t="str">
            <v>ST9X27.35</v>
          </cell>
          <cell r="D446" t="str">
            <v>F</v>
          </cell>
          <cell r="E446">
            <v>27.35</v>
          </cell>
          <cell r="F446">
            <v>8.02</v>
          </cell>
          <cell r="G446" t="str">
            <v>ST9X27.35</v>
          </cell>
          <cell r="H446">
            <v>9</v>
          </cell>
          <cell r="I446">
            <v>9</v>
          </cell>
          <cell r="J446" t="str">
            <v>–</v>
          </cell>
          <cell r="K446" t="str">
            <v>–</v>
          </cell>
          <cell r="L446" t="str">
            <v>–</v>
          </cell>
          <cell r="M446">
            <v>6</v>
          </cell>
          <cell r="N446">
            <v>6</v>
          </cell>
          <cell r="O446" t="str">
            <v>–</v>
          </cell>
          <cell r="P446" t="str">
            <v>–</v>
          </cell>
          <cell r="Q446" t="str">
            <v>–</v>
          </cell>
          <cell r="R446">
            <v>0.46100000000000002</v>
          </cell>
          <cell r="S446">
            <v>0.4375</v>
          </cell>
          <cell r="T446">
            <v>0.25</v>
          </cell>
          <cell r="U446">
            <v>0.69099999999999995</v>
          </cell>
          <cell r="V446">
            <v>0.6875</v>
          </cell>
          <cell r="W446">
            <v>0.69099999999999995</v>
          </cell>
          <cell r="X446" t="str">
            <v>–</v>
          </cell>
          <cell r="Y446" t="str">
            <v>–</v>
          </cell>
          <cell r="Z446">
            <v>1.5</v>
          </cell>
          <cell r="AA446">
            <v>1.5</v>
          </cell>
          <cell r="AB446" t="str">
            <v>–</v>
          </cell>
          <cell r="AC446" t="str">
            <v>–</v>
          </cell>
          <cell r="AD446">
            <v>2.5099999999999998</v>
          </cell>
          <cell r="AE446" t="str">
            <v>–</v>
          </cell>
          <cell r="AF446" t="str">
            <v>–</v>
          </cell>
          <cell r="AG446">
            <v>0.73699999999999999</v>
          </cell>
          <cell r="AH446">
            <v>4.34</v>
          </cell>
          <cell r="AI446" t="str">
            <v>–</v>
          </cell>
          <cell r="AJ446" t="str">
            <v>–</v>
          </cell>
          <cell r="AK446" t="str">
            <v>–</v>
          </cell>
          <cell r="AL446" t="str">
            <v>–</v>
          </cell>
          <cell r="AM446">
            <v>19.5</v>
          </cell>
          <cell r="AN446">
            <v>62.3</v>
          </cell>
          <cell r="AO446">
            <v>17.3</v>
          </cell>
          <cell r="AP446">
            <v>9.6</v>
          </cell>
          <cell r="AQ446">
            <v>2.79</v>
          </cell>
          <cell r="AR446">
            <v>10.4</v>
          </cell>
          <cell r="AS446">
            <v>6.06</v>
          </cell>
          <cell r="AT446">
            <v>3.45</v>
          </cell>
          <cell r="AU446">
            <v>1.1399999999999999</v>
          </cell>
        </row>
        <row r="447">
          <cell r="C447" t="str">
            <v>ST7.5X25</v>
          </cell>
          <cell r="D447" t="str">
            <v>F</v>
          </cell>
          <cell r="E447">
            <v>25</v>
          </cell>
          <cell r="F447">
            <v>7.34</v>
          </cell>
          <cell r="G447" t="str">
            <v>ST7.5X25</v>
          </cell>
          <cell r="H447">
            <v>7.5</v>
          </cell>
          <cell r="I447">
            <v>7.5</v>
          </cell>
          <cell r="J447" t="str">
            <v>–</v>
          </cell>
          <cell r="K447" t="str">
            <v>–</v>
          </cell>
          <cell r="L447" t="str">
            <v>–</v>
          </cell>
          <cell r="M447">
            <v>5.64</v>
          </cell>
          <cell r="N447">
            <v>5.625</v>
          </cell>
          <cell r="O447" t="str">
            <v>–</v>
          </cell>
          <cell r="P447" t="str">
            <v>–</v>
          </cell>
          <cell r="Q447" t="str">
            <v>–</v>
          </cell>
          <cell r="R447">
            <v>0.55000000000000004</v>
          </cell>
          <cell r="S447">
            <v>0.5625</v>
          </cell>
          <cell r="T447">
            <v>0.3125</v>
          </cell>
          <cell r="U447">
            <v>0.622</v>
          </cell>
          <cell r="V447">
            <v>0.625</v>
          </cell>
          <cell r="W447">
            <v>0.622</v>
          </cell>
          <cell r="X447" t="str">
            <v>–</v>
          </cell>
          <cell r="Y447" t="str">
            <v>–</v>
          </cell>
          <cell r="Z447">
            <v>1.38</v>
          </cell>
          <cell r="AA447">
            <v>1.375</v>
          </cell>
          <cell r="AB447" t="str">
            <v>–</v>
          </cell>
          <cell r="AC447" t="str">
            <v>–</v>
          </cell>
          <cell r="AD447">
            <v>2.25</v>
          </cell>
          <cell r="AE447" t="str">
            <v>–</v>
          </cell>
          <cell r="AF447" t="str">
            <v>–</v>
          </cell>
          <cell r="AG447">
            <v>0.82599999999999996</v>
          </cell>
          <cell r="AH447">
            <v>4.53</v>
          </cell>
          <cell r="AI447" t="str">
            <v>–</v>
          </cell>
          <cell r="AJ447" t="str">
            <v>–</v>
          </cell>
          <cell r="AK447" t="str">
            <v>–</v>
          </cell>
          <cell r="AL447" t="str">
            <v>–</v>
          </cell>
          <cell r="AM447">
            <v>13.6</v>
          </cell>
          <cell r="AN447">
            <v>40.5</v>
          </cell>
          <cell r="AO447">
            <v>14</v>
          </cell>
          <cell r="AP447">
            <v>7.72</v>
          </cell>
          <cell r="AQ447">
            <v>2.35</v>
          </cell>
          <cell r="AR447">
            <v>7.79</v>
          </cell>
          <cell r="AS447">
            <v>4.99</v>
          </cell>
          <cell r="AT447">
            <v>2.76</v>
          </cell>
          <cell r="AU447">
            <v>1.03</v>
          </cell>
        </row>
        <row r="448">
          <cell r="C448" t="str">
            <v>ST7.5X21.45</v>
          </cell>
          <cell r="D448" t="str">
            <v>F</v>
          </cell>
          <cell r="E448">
            <v>21.45</v>
          </cell>
          <cell r="F448">
            <v>6.3</v>
          </cell>
          <cell r="G448" t="str">
            <v>ST7.5X21.45</v>
          </cell>
          <cell r="H448">
            <v>7.5</v>
          </cell>
          <cell r="I448">
            <v>7.5</v>
          </cell>
          <cell r="J448" t="str">
            <v>–</v>
          </cell>
          <cell r="K448" t="str">
            <v>–</v>
          </cell>
          <cell r="L448" t="str">
            <v>–</v>
          </cell>
          <cell r="M448">
            <v>5.5</v>
          </cell>
          <cell r="N448">
            <v>5.5</v>
          </cell>
          <cell r="O448" t="str">
            <v>–</v>
          </cell>
          <cell r="P448" t="str">
            <v>–</v>
          </cell>
          <cell r="Q448" t="str">
            <v>–</v>
          </cell>
          <cell r="R448">
            <v>0.41099999999999998</v>
          </cell>
          <cell r="S448">
            <v>0.4375</v>
          </cell>
          <cell r="T448">
            <v>0.25</v>
          </cell>
          <cell r="U448">
            <v>0.622</v>
          </cell>
          <cell r="V448">
            <v>0.625</v>
          </cell>
          <cell r="W448">
            <v>0.622</v>
          </cell>
          <cell r="X448" t="str">
            <v>–</v>
          </cell>
          <cell r="Y448" t="str">
            <v>–</v>
          </cell>
          <cell r="Z448">
            <v>1.38</v>
          </cell>
          <cell r="AA448">
            <v>1.375</v>
          </cell>
          <cell r="AB448" t="str">
            <v>–</v>
          </cell>
          <cell r="AC448" t="str">
            <v>–</v>
          </cell>
          <cell r="AD448">
            <v>2.0099999999999998</v>
          </cell>
          <cell r="AE448" t="str">
            <v>–</v>
          </cell>
          <cell r="AF448" t="str">
            <v>–</v>
          </cell>
          <cell r="AG448">
            <v>0.60499999999999998</v>
          </cell>
          <cell r="AH448">
            <v>4.42</v>
          </cell>
          <cell r="AI448" t="str">
            <v>–</v>
          </cell>
          <cell r="AJ448" t="str">
            <v>–</v>
          </cell>
          <cell r="AK448" t="str">
            <v>–</v>
          </cell>
          <cell r="AL448" t="str">
            <v>–</v>
          </cell>
          <cell r="AM448">
            <v>18.2</v>
          </cell>
          <cell r="AN448">
            <v>32.9</v>
          </cell>
          <cell r="AO448">
            <v>10.8</v>
          </cell>
          <cell r="AP448">
            <v>5.99</v>
          </cell>
          <cell r="AQ448">
            <v>2.29</v>
          </cell>
          <cell r="AR448">
            <v>7.13</v>
          </cell>
          <cell r="AS448">
            <v>4.54</v>
          </cell>
          <cell r="AT448">
            <v>2.59</v>
          </cell>
          <cell r="AU448">
            <v>1.06</v>
          </cell>
        </row>
        <row r="449">
          <cell r="C449" t="str">
            <v>ST6X25</v>
          </cell>
          <cell r="D449" t="str">
            <v>F</v>
          </cell>
          <cell r="E449">
            <v>25</v>
          </cell>
          <cell r="F449">
            <v>7.33</v>
          </cell>
          <cell r="G449" t="str">
            <v>ST6X25</v>
          </cell>
          <cell r="H449">
            <v>6</v>
          </cell>
          <cell r="I449">
            <v>6</v>
          </cell>
          <cell r="J449" t="str">
            <v>–</v>
          </cell>
          <cell r="K449" t="str">
            <v>–</v>
          </cell>
          <cell r="L449" t="str">
            <v>–</v>
          </cell>
          <cell r="M449">
            <v>5.48</v>
          </cell>
          <cell r="N449">
            <v>5.5</v>
          </cell>
          <cell r="O449" t="str">
            <v>–</v>
          </cell>
          <cell r="P449" t="str">
            <v>–</v>
          </cell>
          <cell r="Q449" t="str">
            <v>–</v>
          </cell>
          <cell r="R449">
            <v>0.68700000000000006</v>
          </cell>
          <cell r="S449">
            <v>0.6875</v>
          </cell>
          <cell r="T449">
            <v>0.375</v>
          </cell>
          <cell r="U449">
            <v>0.65900000000000003</v>
          </cell>
          <cell r="V449">
            <v>0.6875</v>
          </cell>
          <cell r="W449">
            <v>0.65900000000000003</v>
          </cell>
          <cell r="X449" t="str">
            <v>–</v>
          </cell>
          <cell r="Y449" t="str">
            <v>–</v>
          </cell>
          <cell r="Z449">
            <v>1.44</v>
          </cell>
          <cell r="AA449">
            <v>1.4375</v>
          </cell>
          <cell r="AB449" t="str">
            <v>–</v>
          </cell>
          <cell r="AC449" t="str">
            <v>–</v>
          </cell>
          <cell r="AD449">
            <v>1.84</v>
          </cell>
          <cell r="AE449" t="str">
            <v>–</v>
          </cell>
          <cell r="AF449" t="str">
            <v>–</v>
          </cell>
          <cell r="AG449">
            <v>0.75800000000000001</v>
          </cell>
          <cell r="AH449">
            <v>4.17</v>
          </cell>
          <cell r="AI449" t="str">
            <v>–</v>
          </cell>
          <cell r="AJ449" t="str">
            <v>–</v>
          </cell>
          <cell r="AK449" t="str">
            <v>–</v>
          </cell>
          <cell r="AL449" t="str">
            <v>–</v>
          </cell>
          <cell r="AM449">
            <v>8.73</v>
          </cell>
          <cell r="AN449">
            <v>25.1</v>
          </cell>
          <cell r="AO449">
            <v>11</v>
          </cell>
          <cell r="AP449">
            <v>6.04</v>
          </cell>
          <cell r="AQ449">
            <v>1.85</v>
          </cell>
          <cell r="AR449">
            <v>7.79</v>
          </cell>
          <cell r="AS449">
            <v>5.16</v>
          </cell>
          <cell r="AT449">
            <v>2.84</v>
          </cell>
          <cell r="AU449">
            <v>1.03</v>
          </cell>
        </row>
        <row r="450">
          <cell r="C450" t="str">
            <v>ST6X20.4</v>
          </cell>
          <cell r="D450" t="str">
            <v>F</v>
          </cell>
          <cell r="E450">
            <v>20.399999999999999</v>
          </cell>
          <cell r="F450">
            <v>5.96</v>
          </cell>
          <cell r="G450" t="str">
            <v>ST6X20.4</v>
          </cell>
          <cell r="H450">
            <v>6</v>
          </cell>
          <cell r="I450">
            <v>6</v>
          </cell>
          <cell r="J450" t="str">
            <v>–</v>
          </cell>
          <cell r="K450" t="str">
            <v>–</v>
          </cell>
          <cell r="L450" t="str">
            <v>–</v>
          </cell>
          <cell r="M450">
            <v>5.25</v>
          </cell>
          <cell r="N450">
            <v>5.25</v>
          </cell>
          <cell r="O450" t="str">
            <v>–</v>
          </cell>
          <cell r="P450" t="str">
            <v>–</v>
          </cell>
          <cell r="Q450" t="str">
            <v>–</v>
          </cell>
          <cell r="R450">
            <v>0.46200000000000002</v>
          </cell>
          <cell r="S450">
            <v>0.4375</v>
          </cell>
          <cell r="T450">
            <v>0.25</v>
          </cell>
          <cell r="U450">
            <v>0.65900000000000003</v>
          </cell>
          <cell r="V450">
            <v>0.6875</v>
          </cell>
          <cell r="W450">
            <v>0.65900000000000003</v>
          </cell>
          <cell r="X450" t="str">
            <v>–</v>
          </cell>
          <cell r="Y450" t="str">
            <v>–</v>
          </cell>
          <cell r="Z450">
            <v>1.44</v>
          </cell>
          <cell r="AA450">
            <v>1.4375</v>
          </cell>
          <cell r="AB450" t="str">
            <v>–</v>
          </cell>
          <cell r="AC450" t="str">
            <v>–</v>
          </cell>
          <cell r="AD450">
            <v>1.58</v>
          </cell>
          <cell r="AE450" t="str">
            <v>–</v>
          </cell>
          <cell r="AF450" t="str">
            <v>–</v>
          </cell>
          <cell r="AG450">
            <v>0.57699999999999996</v>
          </cell>
          <cell r="AH450">
            <v>3.98</v>
          </cell>
          <cell r="AI450" t="str">
            <v>–</v>
          </cell>
          <cell r="AJ450" t="str">
            <v>–</v>
          </cell>
          <cell r="AK450" t="str">
            <v>–</v>
          </cell>
          <cell r="AL450" t="str">
            <v>–</v>
          </cell>
          <cell r="AM450">
            <v>13</v>
          </cell>
          <cell r="AN450">
            <v>18.899999999999999</v>
          </cell>
          <cell r="AO450">
            <v>7.71</v>
          </cell>
          <cell r="AP450">
            <v>4.2699999999999996</v>
          </cell>
          <cell r="AQ450">
            <v>1.78</v>
          </cell>
          <cell r="AR450">
            <v>6.74</v>
          </cell>
          <cell r="AS450">
            <v>4.43</v>
          </cell>
          <cell r="AT450">
            <v>2.57</v>
          </cell>
          <cell r="AU450">
            <v>1.06</v>
          </cell>
        </row>
        <row r="451">
          <cell r="C451" t="str">
            <v>ST6X17.5</v>
          </cell>
          <cell r="D451" t="str">
            <v>F</v>
          </cell>
          <cell r="E451">
            <v>17.5</v>
          </cell>
          <cell r="F451">
            <v>5.12</v>
          </cell>
          <cell r="G451" t="str">
            <v>ST6X17.5</v>
          </cell>
          <cell r="H451">
            <v>6</v>
          </cell>
          <cell r="I451">
            <v>6</v>
          </cell>
          <cell r="J451" t="str">
            <v>–</v>
          </cell>
          <cell r="K451" t="str">
            <v>–</v>
          </cell>
          <cell r="L451" t="str">
            <v>–</v>
          </cell>
          <cell r="M451">
            <v>5.08</v>
          </cell>
          <cell r="N451">
            <v>5.125</v>
          </cell>
          <cell r="O451" t="str">
            <v>–</v>
          </cell>
          <cell r="P451" t="str">
            <v>–</v>
          </cell>
          <cell r="Q451" t="str">
            <v>–</v>
          </cell>
          <cell r="R451">
            <v>0.42799999999999999</v>
          </cell>
          <cell r="S451">
            <v>0.4375</v>
          </cell>
          <cell r="T451">
            <v>0.25</v>
          </cell>
          <cell r="U451">
            <v>0.54400000000000004</v>
          </cell>
          <cell r="V451">
            <v>0.5625</v>
          </cell>
          <cell r="W451">
            <v>0.54400000000000004</v>
          </cell>
          <cell r="X451" t="str">
            <v>–</v>
          </cell>
          <cell r="Y451" t="str">
            <v>–</v>
          </cell>
          <cell r="Z451">
            <v>1.19</v>
          </cell>
          <cell r="AA451">
            <v>1.1875</v>
          </cell>
          <cell r="AB451" t="str">
            <v>–</v>
          </cell>
          <cell r="AC451" t="str">
            <v>–</v>
          </cell>
          <cell r="AD451">
            <v>1.65</v>
          </cell>
          <cell r="AE451" t="str">
            <v>–</v>
          </cell>
          <cell r="AF451" t="str">
            <v>–</v>
          </cell>
          <cell r="AG451">
            <v>0.54300000000000004</v>
          </cell>
          <cell r="AH451">
            <v>4.67</v>
          </cell>
          <cell r="AI451" t="str">
            <v>–</v>
          </cell>
          <cell r="AJ451" t="str">
            <v>–</v>
          </cell>
          <cell r="AK451" t="str">
            <v>–</v>
          </cell>
          <cell r="AL451" t="str">
            <v>–</v>
          </cell>
          <cell r="AM451">
            <v>14</v>
          </cell>
          <cell r="AN451">
            <v>17.2</v>
          </cell>
          <cell r="AO451">
            <v>7.12</v>
          </cell>
          <cell r="AP451">
            <v>3.95</v>
          </cell>
          <cell r="AQ451">
            <v>1.83</v>
          </cell>
          <cell r="AR451">
            <v>4.92</v>
          </cell>
          <cell r="AS451">
            <v>3.4</v>
          </cell>
          <cell r="AT451">
            <v>1.94</v>
          </cell>
          <cell r="AU451">
            <v>0.98</v>
          </cell>
        </row>
        <row r="452">
          <cell r="C452" t="str">
            <v>ST6X15.9</v>
          </cell>
          <cell r="D452" t="str">
            <v>F</v>
          </cell>
          <cell r="E452">
            <v>15.9</v>
          </cell>
          <cell r="F452">
            <v>4.6500000000000004</v>
          </cell>
          <cell r="G452" t="str">
            <v>ST6X15.9</v>
          </cell>
          <cell r="H452">
            <v>6</v>
          </cell>
          <cell r="I452">
            <v>6</v>
          </cell>
          <cell r="J452" t="str">
            <v>–</v>
          </cell>
          <cell r="K452" t="str">
            <v>–</v>
          </cell>
          <cell r="L452" t="str">
            <v>–</v>
          </cell>
          <cell r="M452">
            <v>5</v>
          </cell>
          <cell r="N452">
            <v>5</v>
          </cell>
          <cell r="O452" t="str">
            <v>–</v>
          </cell>
          <cell r="P452" t="str">
            <v>–</v>
          </cell>
          <cell r="Q452" t="str">
            <v>–</v>
          </cell>
          <cell r="R452">
            <v>0.35</v>
          </cell>
          <cell r="S452">
            <v>0.375</v>
          </cell>
          <cell r="T452">
            <v>0.1875</v>
          </cell>
          <cell r="U452">
            <v>0.54400000000000004</v>
          </cell>
          <cell r="V452">
            <v>0.5625</v>
          </cell>
          <cell r="W452">
            <v>0.54400000000000004</v>
          </cell>
          <cell r="X452" t="str">
            <v>–</v>
          </cell>
          <cell r="Y452" t="str">
            <v>–</v>
          </cell>
          <cell r="Z452">
            <v>1.19</v>
          </cell>
          <cell r="AA452">
            <v>1.1875</v>
          </cell>
          <cell r="AB452" t="str">
            <v>–</v>
          </cell>
          <cell r="AC452" t="str">
            <v>–</v>
          </cell>
          <cell r="AD452">
            <v>1.51</v>
          </cell>
          <cell r="AE452" t="str">
            <v>–</v>
          </cell>
          <cell r="AF452" t="str">
            <v>–</v>
          </cell>
          <cell r="AG452">
            <v>0.48</v>
          </cell>
          <cell r="AH452">
            <v>4.5999999999999996</v>
          </cell>
          <cell r="AI452" t="str">
            <v>–</v>
          </cell>
          <cell r="AJ452" t="str">
            <v>–</v>
          </cell>
          <cell r="AK452" t="str">
            <v>–</v>
          </cell>
          <cell r="AL452" t="str">
            <v>–</v>
          </cell>
          <cell r="AM452">
            <v>17.100000000000001</v>
          </cell>
          <cell r="AN452">
            <v>14.8</v>
          </cell>
          <cell r="AO452">
            <v>5.94</v>
          </cell>
          <cell r="AP452">
            <v>3.3</v>
          </cell>
          <cell r="AQ452">
            <v>1.78</v>
          </cell>
          <cell r="AR452">
            <v>4.66</v>
          </cell>
          <cell r="AS452">
            <v>3.22</v>
          </cell>
          <cell r="AT452">
            <v>1.87</v>
          </cell>
          <cell r="AU452">
            <v>1</v>
          </cell>
        </row>
        <row r="453">
          <cell r="C453" t="str">
            <v>ST5X17.5</v>
          </cell>
          <cell r="D453" t="str">
            <v>F</v>
          </cell>
          <cell r="E453">
            <v>17.5</v>
          </cell>
          <cell r="F453">
            <v>5.14</v>
          </cell>
          <cell r="G453" t="str">
            <v>ST5X17.5</v>
          </cell>
          <cell r="H453">
            <v>5</v>
          </cell>
          <cell r="I453">
            <v>5</v>
          </cell>
          <cell r="J453" t="str">
            <v>–</v>
          </cell>
          <cell r="K453" t="str">
            <v>–</v>
          </cell>
          <cell r="L453" t="str">
            <v>–</v>
          </cell>
          <cell r="M453">
            <v>4.9400000000000004</v>
          </cell>
          <cell r="N453">
            <v>5</v>
          </cell>
          <cell r="O453" t="str">
            <v>–</v>
          </cell>
          <cell r="P453" t="str">
            <v>–</v>
          </cell>
          <cell r="Q453" t="str">
            <v>–</v>
          </cell>
          <cell r="R453">
            <v>0.59399999999999997</v>
          </cell>
          <cell r="S453">
            <v>0.625</v>
          </cell>
          <cell r="T453">
            <v>0.3125</v>
          </cell>
          <cell r="U453">
            <v>0.49099999999999999</v>
          </cell>
          <cell r="V453">
            <v>0.5</v>
          </cell>
          <cell r="W453">
            <v>0.49099999999999999</v>
          </cell>
          <cell r="X453" t="str">
            <v>–</v>
          </cell>
          <cell r="Y453" t="str">
            <v>–</v>
          </cell>
          <cell r="Z453">
            <v>1.1299999999999999</v>
          </cell>
          <cell r="AA453">
            <v>1.125</v>
          </cell>
          <cell r="AB453" t="str">
            <v>–</v>
          </cell>
          <cell r="AC453" t="str">
            <v>–</v>
          </cell>
          <cell r="AD453">
            <v>1.56</v>
          </cell>
          <cell r="AE453" t="str">
            <v>–</v>
          </cell>
          <cell r="AF453" t="str">
            <v>–</v>
          </cell>
          <cell r="AG453">
            <v>0.67300000000000004</v>
          </cell>
          <cell r="AH453">
            <v>5.03</v>
          </cell>
          <cell r="AI453" t="str">
            <v>–</v>
          </cell>
          <cell r="AJ453" t="str">
            <v>–</v>
          </cell>
          <cell r="AK453" t="str">
            <v>–</v>
          </cell>
          <cell r="AL453" t="str">
            <v>–</v>
          </cell>
          <cell r="AM453">
            <v>8.42</v>
          </cell>
          <cell r="AN453">
            <v>12.5</v>
          </cell>
          <cell r="AO453">
            <v>6.58</v>
          </cell>
          <cell r="AP453">
            <v>3.62</v>
          </cell>
          <cell r="AQ453">
            <v>1.56</v>
          </cell>
          <cell r="AR453">
            <v>4.1500000000000004</v>
          </cell>
          <cell r="AS453">
            <v>3.1</v>
          </cell>
          <cell r="AT453">
            <v>1.68</v>
          </cell>
          <cell r="AU453">
            <v>0.89900000000000002</v>
          </cell>
        </row>
        <row r="454">
          <cell r="C454" t="str">
            <v>ST5X12.7</v>
          </cell>
          <cell r="D454" t="str">
            <v>F</v>
          </cell>
          <cell r="E454">
            <v>12.7</v>
          </cell>
          <cell r="F454">
            <v>3.72</v>
          </cell>
          <cell r="G454" t="str">
            <v>ST5X12.7</v>
          </cell>
          <cell r="H454">
            <v>5</v>
          </cell>
          <cell r="I454">
            <v>5</v>
          </cell>
          <cell r="J454" t="str">
            <v>–</v>
          </cell>
          <cell r="K454" t="str">
            <v>–</v>
          </cell>
          <cell r="L454" t="str">
            <v>–</v>
          </cell>
          <cell r="M454">
            <v>4.66</v>
          </cell>
          <cell r="N454">
            <v>4.625</v>
          </cell>
          <cell r="O454" t="str">
            <v>–</v>
          </cell>
          <cell r="P454" t="str">
            <v>–</v>
          </cell>
          <cell r="Q454" t="str">
            <v>–</v>
          </cell>
          <cell r="R454">
            <v>0.311</v>
          </cell>
          <cell r="S454">
            <v>0.3125</v>
          </cell>
          <cell r="T454">
            <v>0.1875</v>
          </cell>
          <cell r="U454">
            <v>0.49099999999999999</v>
          </cell>
          <cell r="V454">
            <v>0.5</v>
          </cell>
          <cell r="W454">
            <v>0.49099999999999999</v>
          </cell>
          <cell r="X454" t="str">
            <v>–</v>
          </cell>
          <cell r="Y454" t="str">
            <v>–</v>
          </cell>
          <cell r="Z454">
            <v>1.1299999999999999</v>
          </cell>
          <cell r="AA454">
            <v>1.125</v>
          </cell>
          <cell r="AB454" t="str">
            <v>–</v>
          </cell>
          <cell r="AC454" t="str">
            <v>–</v>
          </cell>
          <cell r="AD454">
            <v>1.2</v>
          </cell>
          <cell r="AE454" t="str">
            <v>–</v>
          </cell>
          <cell r="AF454" t="str">
            <v>–</v>
          </cell>
          <cell r="AG454">
            <v>0.40300000000000002</v>
          </cell>
          <cell r="AH454">
            <v>4.75</v>
          </cell>
          <cell r="AI454" t="str">
            <v>–</v>
          </cell>
          <cell r="AJ454" t="str">
            <v>–</v>
          </cell>
          <cell r="AK454" t="str">
            <v>–</v>
          </cell>
          <cell r="AL454" t="str">
            <v>–</v>
          </cell>
          <cell r="AM454">
            <v>16.100000000000001</v>
          </cell>
          <cell r="AN454">
            <v>7.79</v>
          </cell>
          <cell r="AO454">
            <v>3.7</v>
          </cell>
          <cell r="AP454">
            <v>2.0499999999999998</v>
          </cell>
          <cell r="AQ454">
            <v>1.45</v>
          </cell>
          <cell r="AR454">
            <v>3.36</v>
          </cell>
          <cell r="AS454">
            <v>2.4900000000000002</v>
          </cell>
          <cell r="AT454">
            <v>1.44</v>
          </cell>
          <cell r="AU454">
            <v>0.95</v>
          </cell>
        </row>
        <row r="455">
          <cell r="C455" t="str">
            <v>ST4X11.5</v>
          </cell>
          <cell r="D455" t="str">
            <v>F</v>
          </cell>
          <cell r="E455">
            <v>11.5</v>
          </cell>
          <cell r="F455">
            <v>3.38</v>
          </cell>
          <cell r="G455" t="str">
            <v>ST4X11.5</v>
          </cell>
          <cell r="H455">
            <v>4</v>
          </cell>
          <cell r="I455">
            <v>4</v>
          </cell>
          <cell r="J455" t="str">
            <v>–</v>
          </cell>
          <cell r="K455" t="str">
            <v>–</v>
          </cell>
          <cell r="L455" t="str">
            <v>–</v>
          </cell>
          <cell r="M455">
            <v>4.17</v>
          </cell>
          <cell r="N455">
            <v>4.125</v>
          </cell>
          <cell r="O455" t="str">
            <v>–</v>
          </cell>
          <cell r="P455" t="str">
            <v>–</v>
          </cell>
          <cell r="Q455" t="str">
            <v>–</v>
          </cell>
          <cell r="R455">
            <v>0.441</v>
          </cell>
          <cell r="S455">
            <v>0.4375</v>
          </cell>
          <cell r="T455">
            <v>0.25</v>
          </cell>
          <cell r="U455">
            <v>0.42499999999999999</v>
          </cell>
          <cell r="V455">
            <v>0.4375</v>
          </cell>
          <cell r="W455">
            <v>0.42499999999999999</v>
          </cell>
          <cell r="X455" t="str">
            <v>–</v>
          </cell>
          <cell r="Y455" t="str">
            <v>–</v>
          </cell>
          <cell r="Z455">
            <v>1</v>
          </cell>
          <cell r="AA455">
            <v>1</v>
          </cell>
          <cell r="AB455" t="str">
            <v>–</v>
          </cell>
          <cell r="AC455" t="str">
            <v>–</v>
          </cell>
          <cell r="AD455">
            <v>1.1499999999999999</v>
          </cell>
          <cell r="AE455" t="str">
            <v>–</v>
          </cell>
          <cell r="AF455" t="str">
            <v>–</v>
          </cell>
          <cell r="AG455">
            <v>0.439</v>
          </cell>
          <cell r="AH455">
            <v>4.91</v>
          </cell>
          <cell r="AI455" t="str">
            <v>–</v>
          </cell>
          <cell r="AJ455" t="str">
            <v>–</v>
          </cell>
          <cell r="AK455" t="str">
            <v>–</v>
          </cell>
          <cell r="AL455" t="str">
            <v>–</v>
          </cell>
          <cell r="AM455">
            <v>9.07</v>
          </cell>
          <cell r="AN455">
            <v>5</v>
          </cell>
          <cell r="AO455">
            <v>3.19</v>
          </cell>
          <cell r="AP455">
            <v>1.76</v>
          </cell>
          <cell r="AQ455">
            <v>1.22</v>
          </cell>
          <cell r="AR455">
            <v>2.13</v>
          </cell>
          <cell r="AS455">
            <v>1.84</v>
          </cell>
          <cell r="AT455">
            <v>1.02</v>
          </cell>
          <cell r="AU455">
            <v>0.79500000000000004</v>
          </cell>
        </row>
        <row r="456">
          <cell r="C456" t="str">
            <v>ST4X9.2</v>
          </cell>
          <cell r="D456" t="str">
            <v>F</v>
          </cell>
          <cell r="E456">
            <v>9.1999999999999993</v>
          </cell>
          <cell r="F456">
            <v>2.7</v>
          </cell>
          <cell r="G456" t="str">
            <v>ST4X9.2</v>
          </cell>
          <cell r="H456">
            <v>4</v>
          </cell>
          <cell r="I456">
            <v>4</v>
          </cell>
          <cell r="J456" t="str">
            <v>–</v>
          </cell>
          <cell r="K456" t="str">
            <v>–</v>
          </cell>
          <cell r="L456" t="str">
            <v>–</v>
          </cell>
          <cell r="M456">
            <v>4</v>
          </cell>
          <cell r="N456">
            <v>4</v>
          </cell>
          <cell r="O456" t="str">
            <v>–</v>
          </cell>
          <cell r="P456" t="str">
            <v>–</v>
          </cell>
          <cell r="Q456" t="str">
            <v>–</v>
          </cell>
          <cell r="R456">
            <v>0.27100000000000002</v>
          </cell>
          <cell r="S456">
            <v>0.25</v>
          </cell>
          <cell r="T456">
            <v>0.125</v>
          </cell>
          <cell r="U456">
            <v>0.42499999999999999</v>
          </cell>
          <cell r="V456">
            <v>0.4375</v>
          </cell>
          <cell r="W456">
            <v>0.42499999999999999</v>
          </cell>
          <cell r="X456" t="str">
            <v>–</v>
          </cell>
          <cell r="Y456" t="str">
            <v>–</v>
          </cell>
          <cell r="Z456">
            <v>1</v>
          </cell>
          <cell r="AA456">
            <v>1</v>
          </cell>
          <cell r="AB456" t="str">
            <v>–</v>
          </cell>
          <cell r="AC456" t="str">
            <v>–</v>
          </cell>
          <cell r="AD456">
            <v>0.94199999999999995</v>
          </cell>
          <cell r="AE456" t="str">
            <v>–</v>
          </cell>
          <cell r="AF456" t="str">
            <v>–</v>
          </cell>
          <cell r="AG456">
            <v>0.33600000000000002</v>
          </cell>
          <cell r="AH456">
            <v>4.71</v>
          </cell>
          <cell r="AI456" t="str">
            <v>–</v>
          </cell>
          <cell r="AJ456" t="str">
            <v>–</v>
          </cell>
          <cell r="AK456" t="str">
            <v>–</v>
          </cell>
          <cell r="AL456" t="str">
            <v>–</v>
          </cell>
          <cell r="AM456">
            <v>14.8</v>
          </cell>
          <cell r="AN456">
            <v>3.49</v>
          </cell>
          <cell r="AO456">
            <v>2.0699999999999998</v>
          </cell>
          <cell r="AP456">
            <v>1.1399999999999999</v>
          </cell>
          <cell r="AQ456">
            <v>1.1399999999999999</v>
          </cell>
          <cell r="AR456">
            <v>1.84</v>
          </cell>
          <cell r="AS456">
            <v>1.59</v>
          </cell>
          <cell r="AT456">
            <v>0.92200000000000004</v>
          </cell>
          <cell r="AU456">
            <v>0.82699999999999996</v>
          </cell>
        </row>
        <row r="457">
          <cell r="C457" t="str">
            <v>ST3X8.6</v>
          </cell>
          <cell r="D457" t="str">
            <v>F</v>
          </cell>
          <cell r="E457">
            <v>8.6</v>
          </cell>
          <cell r="F457">
            <v>2.5299999999999998</v>
          </cell>
          <cell r="G457" t="str">
            <v>ST3X8.6</v>
          </cell>
          <cell r="H457">
            <v>3</v>
          </cell>
          <cell r="I457">
            <v>3</v>
          </cell>
          <cell r="J457" t="str">
            <v>–</v>
          </cell>
          <cell r="K457" t="str">
            <v>–</v>
          </cell>
          <cell r="L457" t="str">
            <v>–</v>
          </cell>
          <cell r="M457">
            <v>3.57</v>
          </cell>
          <cell r="N457">
            <v>3.625</v>
          </cell>
          <cell r="O457" t="str">
            <v>–</v>
          </cell>
          <cell r="P457" t="str">
            <v>–</v>
          </cell>
          <cell r="Q457" t="str">
            <v>–</v>
          </cell>
          <cell r="R457">
            <v>0.46500000000000002</v>
          </cell>
          <cell r="S457">
            <v>0.4375</v>
          </cell>
          <cell r="T457">
            <v>0.25</v>
          </cell>
          <cell r="U457">
            <v>0.35899999999999999</v>
          </cell>
          <cell r="V457">
            <v>0.375</v>
          </cell>
          <cell r="W457">
            <v>0.35899999999999999</v>
          </cell>
          <cell r="X457" t="str">
            <v>–</v>
          </cell>
          <cell r="Y457" t="str">
            <v>–</v>
          </cell>
          <cell r="Z457">
            <v>0.81299999999999994</v>
          </cell>
          <cell r="AA457">
            <v>0.8125</v>
          </cell>
          <cell r="AB457" t="str">
            <v>–</v>
          </cell>
          <cell r="AC457" t="str">
            <v>–</v>
          </cell>
          <cell r="AD457">
            <v>0.91500000000000004</v>
          </cell>
          <cell r="AE457" t="str">
            <v>–</v>
          </cell>
          <cell r="AF457" t="str">
            <v>–</v>
          </cell>
          <cell r="AG457">
            <v>0.39400000000000002</v>
          </cell>
          <cell r="AH457">
            <v>4.97</v>
          </cell>
          <cell r="AI457" t="str">
            <v>–</v>
          </cell>
          <cell r="AJ457" t="str">
            <v>–</v>
          </cell>
          <cell r="AK457" t="str">
            <v>–</v>
          </cell>
          <cell r="AL457" t="str">
            <v>–</v>
          </cell>
          <cell r="AM457">
            <v>6.45</v>
          </cell>
          <cell r="AN457">
            <v>2.12</v>
          </cell>
          <cell r="AO457">
            <v>1.85</v>
          </cell>
          <cell r="AP457">
            <v>1.02</v>
          </cell>
          <cell r="AQ457">
            <v>0.91500000000000004</v>
          </cell>
          <cell r="AR457">
            <v>1.1399999999999999</v>
          </cell>
          <cell r="AS457">
            <v>1.17</v>
          </cell>
          <cell r="AT457">
            <v>0.64200000000000002</v>
          </cell>
          <cell r="AU457">
            <v>0.67300000000000004</v>
          </cell>
        </row>
        <row r="458">
          <cell r="C458" t="str">
            <v>ST3X6.25</v>
          </cell>
          <cell r="D458" t="str">
            <v>F</v>
          </cell>
          <cell r="E458">
            <v>6.25</v>
          </cell>
          <cell r="F458">
            <v>1.83</v>
          </cell>
          <cell r="G458" t="str">
            <v>ST3X6.25</v>
          </cell>
          <cell r="H458">
            <v>3</v>
          </cell>
          <cell r="I458">
            <v>3</v>
          </cell>
          <cell r="J458" t="str">
            <v>–</v>
          </cell>
          <cell r="K458" t="str">
            <v>–</v>
          </cell>
          <cell r="L458" t="str">
            <v>–</v>
          </cell>
          <cell r="M458">
            <v>3.33</v>
          </cell>
          <cell r="N458">
            <v>3.375</v>
          </cell>
          <cell r="O458" t="str">
            <v>–</v>
          </cell>
          <cell r="P458" t="str">
            <v>–</v>
          </cell>
          <cell r="Q458" t="str">
            <v>–</v>
          </cell>
          <cell r="R458">
            <v>0.23200000000000001</v>
          </cell>
          <cell r="S458">
            <v>0.25</v>
          </cell>
          <cell r="T458">
            <v>0.125</v>
          </cell>
          <cell r="U458">
            <v>0.35899999999999999</v>
          </cell>
          <cell r="V458">
            <v>0.375</v>
          </cell>
          <cell r="W458">
            <v>0.35899999999999999</v>
          </cell>
          <cell r="X458" t="str">
            <v>–</v>
          </cell>
          <cell r="Y458" t="str">
            <v>–</v>
          </cell>
          <cell r="Z458">
            <v>0.81299999999999994</v>
          </cell>
          <cell r="AA458">
            <v>0.8125</v>
          </cell>
          <cell r="AB458" t="str">
            <v>–</v>
          </cell>
          <cell r="AC458" t="str">
            <v>–</v>
          </cell>
          <cell r="AD458">
            <v>0.69199999999999995</v>
          </cell>
          <cell r="AE458" t="str">
            <v>–</v>
          </cell>
          <cell r="AF458" t="str">
            <v>–</v>
          </cell>
          <cell r="AG458">
            <v>0.27100000000000002</v>
          </cell>
          <cell r="AH458">
            <v>4.6399999999999997</v>
          </cell>
          <cell r="AI458" t="str">
            <v>–</v>
          </cell>
          <cell r="AJ458" t="str">
            <v>–</v>
          </cell>
          <cell r="AK458" t="str">
            <v>–</v>
          </cell>
          <cell r="AL458" t="str">
            <v>–</v>
          </cell>
          <cell r="AM458">
            <v>12.9</v>
          </cell>
          <cell r="AN458">
            <v>1.26</v>
          </cell>
          <cell r="AO458">
            <v>1.01</v>
          </cell>
          <cell r="AP458">
            <v>0.54700000000000004</v>
          </cell>
          <cell r="AQ458">
            <v>0.83099999999999996</v>
          </cell>
          <cell r="AR458">
            <v>0.90100000000000002</v>
          </cell>
          <cell r="AS458">
            <v>0.93</v>
          </cell>
          <cell r="AT458">
            <v>0.54100000000000004</v>
          </cell>
          <cell r="AU458">
            <v>0.70199999999999996</v>
          </cell>
        </row>
        <row r="459">
          <cell r="C459" t="str">
            <v>ST2.5X5</v>
          </cell>
          <cell r="D459" t="str">
            <v>F</v>
          </cell>
          <cell r="E459">
            <v>5</v>
          </cell>
          <cell r="F459">
            <v>1.46</v>
          </cell>
          <cell r="G459" t="str">
            <v>ST2.5X5</v>
          </cell>
          <cell r="H459">
            <v>2.5</v>
          </cell>
          <cell r="I459">
            <v>2.5</v>
          </cell>
          <cell r="J459" t="str">
            <v>–</v>
          </cell>
          <cell r="K459" t="str">
            <v>–</v>
          </cell>
          <cell r="L459" t="str">
            <v>–</v>
          </cell>
          <cell r="M459">
            <v>3</v>
          </cell>
          <cell r="N459">
            <v>3</v>
          </cell>
          <cell r="O459" t="str">
            <v>–</v>
          </cell>
          <cell r="P459" t="str">
            <v>–</v>
          </cell>
          <cell r="Q459" t="str">
            <v>–</v>
          </cell>
          <cell r="R459">
            <v>0.214</v>
          </cell>
          <cell r="S459">
            <v>0.1875</v>
          </cell>
          <cell r="T459">
            <v>0.125</v>
          </cell>
          <cell r="U459">
            <v>0.32600000000000001</v>
          </cell>
          <cell r="V459">
            <v>0.3125</v>
          </cell>
          <cell r="W459">
            <v>0.32600000000000001</v>
          </cell>
          <cell r="X459" t="str">
            <v>–</v>
          </cell>
          <cell r="Y459" t="str">
            <v>–</v>
          </cell>
          <cell r="Z459">
            <v>0.75</v>
          </cell>
          <cell r="AA459">
            <v>0.75</v>
          </cell>
          <cell r="AB459" t="str">
            <v>–</v>
          </cell>
          <cell r="AC459" t="str">
            <v>–</v>
          </cell>
          <cell r="AD459">
            <v>0.56999999999999995</v>
          </cell>
          <cell r="AE459" t="str">
            <v>–</v>
          </cell>
          <cell r="AF459" t="str">
            <v>–</v>
          </cell>
          <cell r="AG459">
            <v>0.23899999999999999</v>
          </cell>
          <cell r="AH459">
            <v>4.5999999999999996</v>
          </cell>
          <cell r="AI459" t="str">
            <v>–</v>
          </cell>
          <cell r="AJ459" t="str">
            <v>–</v>
          </cell>
          <cell r="AK459" t="str">
            <v>–</v>
          </cell>
          <cell r="AL459" t="str">
            <v>–</v>
          </cell>
          <cell r="AM459">
            <v>11.7</v>
          </cell>
          <cell r="AN459">
            <v>0.67100000000000004</v>
          </cell>
          <cell r="AO459">
            <v>0.65</v>
          </cell>
          <cell r="AP459">
            <v>0.34799999999999998</v>
          </cell>
          <cell r="AQ459">
            <v>0.67700000000000005</v>
          </cell>
          <cell r="AR459">
            <v>0.59699999999999998</v>
          </cell>
          <cell r="AS459">
            <v>0.68600000000000005</v>
          </cell>
          <cell r="AT459">
            <v>0.39800000000000002</v>
          </cell>
          <cell r="AU459">
            <v>0.63800000000000001</v>
          </cell>
        </row>
        <row r="460">
          <cell r="C460" t="str">
            <v>ST2X4.75</v>
          </cell>
          <cell r="D460" t="str">
            <v>F</v>
          </cell>
          <cell r="E460">
            <v>4.75</v>
          </cell>
          <cell r="F460">
            <v>1.4</v>
          </cell>
          <cell r="G460" t="str">
            <v>ST2X4.75</v>
          </cell>
          <cell r="H460">
            <v>2</v>
          </cell>
          <cell r="I460">
            <v>2</v>
          </cell>
          <cell r="J460" t="str">
            <v>–</v>
          </cell>
          <cell r="K460" t="str">
            <v>–</v>
          </cell>
          <cell r="L460" t="str">
            <v>–</v>
          </cell>
          <cell r="M460">
            <v>2.8</v>
          </cell>
          <cell r="N460">
            <v>2.75</v>
          </cell>
          <cell r="O460" t="str">
            <v>–</v>
          </cell>
          <cell r="P460" t="str">
            <v>–</v>
          </cell>
          <cell r="Q460" t="str">
            <v>–</v>
          </cell>
          <cell r="R460">
            <v>0.32600000000000001</v>
          </cell>
          <cell r="S460">
            <v>0.3125</v>
          </cell>
          <cell r="T460">
            <v>0.1875</v>
          </cell>
          <cell r="U460">
            <v>0.29299999999999998</v>
          </cell>
          <cell r="V460">
            <v>0.3125</v>
          </cell>
          <cell r="W460">
            <v>0.29299999999999998</v>
          </cell>
          <cell r="X460" t="str">
            <v>–</v>
          </cell>
          <cell r="Y460" t="str">
            <v>–</v>
          </cell>
          <cell r="Z460">
            <v>0.75</v>
          </cell>
          <cell r="AA460">
            <v>0.75</v>
          </cell>
          <cell r="AB460" t="str">
            <v>–</v>
          </cell>
          <cell r="AC460" t="str">
            <v>–</v>
          </cell>
          <cell r="AD460">
            <v>0.55300000000000005</v>
          </cell>
          <cell r="AE460" t="str">
            <v>–</v>
          </cell>
          <cell r="AF460" t="str">
            <v>–</v>
          </cell>
          <cell r="AG460">
            <v>0.25</v>
          </cell>
          <cell r="AH460">
            <v>4.78</v>
          </cell>
          <cell r="AI460" t="str">
            <v>–</v>
          </cell>
          <cell r="AJ460" t="str">
            <v>–</v>
          </cell>
          <cell r="AK460" t="str">
            <v>–</v>
          </cell>
          <cell r="AL460" t="str">
            <v>–</v>
          </cell>
          <cell r="AM460">
            <v>6.13</v>
          </cell>
          <cell r="AN460">
            <v>0.46200000000000002</v>
          </cell>
          <cell r="AO460">
            <v>0.59199999999999997</v>
          </cell>
          <cell r="AP460">
            <v>0.31900000000000001</v>
          </cell>
          <cell r="AQ460">
            <v>0.57499999999999996</v>
          </cell>
          <cell r="AR460">
            <v>0.44400000000000001</v>
          </cell>
          <cell r="AS460">
            <v>0.56499999999999995</v>
          </cell>
          <cell r="AT460">
            <v>0.317</v>
          </cell>
          <cell r="AU460">
            <v>0.56399999999999995</v>
          </cell>
        </row>
        <row r="461">
          <cell r="C461" t="str">
            <v>ST2X3.85</v>
          </cell>
          <cell r="D461" t="str">
            <v>F</v>
          </cell>
          <cell r="E461">
            <v>3.85</v>
          </cell>
          <cell r="F461">
            <v>1.1299999999999999</v>
          </cell>
          <cell r="G461" t="str">
            <v>ST2X3.85</v>
          </cell>
          <cell r="H461">
            <v>2</v>
          </cell>
          <cell r="I461">
            <v>2</v>
          </cell>
          <cell r="J461" t="str">
            <v>–</v>
          </cell>
          <cell r="K461" t="str">
            <v>–</v>
          </cell>
          <cell r="L461" t="str">
            <v>–</v>
          </cell>
          <cell r="M461">
            <v>2.66</v>
          </cell>
          <cell r="N461">
            <v>2.625</v>
          </cell>
          <cell r="O461" t="str">
            <v>–</v>
          </cell>
          <cell r="P461" t="str">
            <v>–</v>
          </cell>
          <cell r="Q461" t="str">
            <v>–</v>
          </cell>
          <cell r="R461">
            <v>0.193</v>
          </cell>
          <cell r="S461">
            <v>0.1875</v>
          </cell>
          <cell r="T461">
            <v>0.125</v>
          </cell>
          <cell r="U461">
            <v>0.29299999999999998</v>
          </cell>
          <cell r="V461">
            <v>0.3125</v>
          </cell>
          <cell r="W461">
            <v>0.29299999999999998</v>
          </cell>
          <cell r="X461" t="str">
            <v>–</v>
          </cell>
          <cell r="Y461" t="str">
            <v>–</v>
          </cell>
          <cell r="Z461">
            <v>0.75</v>
          </cell>
          <cell r="AA461">
            <v>0.75</v>
          </cell>
          <cell r="AB461" t="str">
            <v>–</v>
          </cell>
          <cell r="AC461" t="str">
            <v>–</v>
          </cell>
          <cell r="AD461">
            <v>0.44800000000000001</v>
          </cell>
          <cell r="AE461" t="str">
            <v>–</v>
          </cell>
          <cell r="AF461" t="str">
            <v>–</v>
          </cell>
          <cell r="AG461">
            <v>0.20399999999999999</v>
          </cell>
          <cell r="AH461">
            <v>4.54</v>
          </cell>
          <cell r="AI461" t="str">
            <v>–</v>
          </cell>
          <cell r="AJ461" t="str">
            <v>–</v>
          </cell>
          <cell r="AK461" t="str">
            <v>–</v>
          </cell>
          <cell r="AL461" t="str">
            <v>–</v>
          </cell>
          <cell r="AM461">
            <v>10.4</v>
          </cell>
          <cell r="AN461">
            <v>0.307</v>
          </cell>
          <cell r="AO461">
            <v>0.38100000000000001</v>
          </cell>
          <cell r="AP461">
            <v>0.19800000000000001</v>
          </cell>
          <cell r="AQ461">
            <v>0.52200000000000002</v>
          </cell>
          <cell r="AR461">
            <v>0.374</v>
          </cell>
          <cell r="AS461">
            <v>0.48499999999999999</v>
          </cell>
          <cell r="AT461">
            <v>0.28100000000000003</v>
          </cell>
          <cell r="AU461">
            <v>0.57599999999999996</v>
          </cell>
        </row>
        <row r="462">
          <cell r="C462" t="str">
            <v>ST1.5X3.75</v>
          </cell>
          <cell r="D462" t="str">
            <v>F</v>
          </cell>
          <cell r="E462">
            <v>3.75</v>
          </cell>
          <cell r="F462">
            <v>1.1000000000000001</v>
          </cell>
          <cell r="G462" t="str">
            <v>ST1.5X3.75</v>
          </cell>
          <cell r="H462">
            <v>1.5</v>
          </cell>
          <cell r="I462">
            <v>1.5</v>
          </cell>
          <cell r="J462" t="str">
            <v>–</v>
          </cell>
          <cell r="K462" t="str">
            <v>–</v>
          </cell>
          <cell r="L462" t="str">
            <v>–</v>
          </cell>
          <cell r="M462">
            <v>2.5099999999999998</v>
          </cell>
          <cell r="N462">
            <v>2.5</v>
          </cell>
          <cell r="O462" t="str">
            <v>–</v>
          </cell>
          <cell r="P462" t="str">
            <v>–</v>
          </cell>
          <cell r="Q462" t="str">
            <v>–</v>
          </cell>
          <cell r="R462">
            <v>0.34899999999999998</v>
          </cell>
          <cell r="S462">
            <v>0.375</v>
          </cell>
          <cell r="T462">
            <v>0.1875</v>
          </cell>
          <cell r="U462">
            <v>0.26</v>
          </cell>
          <cell r="V462">
            <v>0.25</v>
          </cell>
          <cell r="W462">
            <v>0.26</v>
          </cell>
          <cell r="X462" t="str">
            <v>–</v>
          </cell>
          <cell r="Y462" t="str">
            <v>–</v>
          </cell>
          <cell r="Z462">
            <v>0.625</v>
          </cell>
          <cell r="AA462">
            <v>0.625</v>
          </cell>
          <cell r="AB462" t="str">
            <v>–</v>
          </cell>
          <cell r="AC462" t="str">
            <v>–</v>
          </cell>
          <cell r="AD462">
            <v>0.432</v>
          </cell>
          <cell r="AE462" t="str">
            <v>–</v>
          </cell>
          <cell r="AF462" t="str">
            <v>–</v>
          </cell>
          <cell r="AG462">
            <v>0.219</v>
          </cell>
          <cell r="AH462">
            <v>4.83</v>
          </cell>
          <cell r="AI462" t="str">
            <v>–</v>
          </cell>
          <cell r="AJ462" t="str">
            <v>–</v>
          </cell>
          <cell r="AK462" t="str">
            <v>–</v>
          </cell>
          <cell r="AL462" t="str">
            <v>–</v>
          </cell>
          <cell r="AM462">
            <v>4.3</v>
          </cell>
          <cell r="AN462">
            <v>0.2</v>
          </cell>
          <cell r="AO462">
            <v>0.35099999999999998</v>
          </cell>
          <cell r="AP462">
            <v>0.187</v>
          </cell>
          <cell r="AQ462">
            <v>0.42599999999999999</v>
          </cell>
          <cell r="AR462">
            <v>0.28899999999999998</v>
          </cell>
          <cell r="AS462">
            <v>0.41099999999999998</v>
          </cell>
          <cell r="AT462">
            <v>0.23</v>
          </cell>
          <cell r="AU462">
            <v>0.51300000000000001</v>
          </cell>
        </row>
        <row r="463">
          <cell r="C463" t="str">
            <v>ST1.5X2.85</v>
          </cell>
          <cell r="D463" t="str">
            <v>F</v>
          </cell>
          <cell r="E463">
            <v>2.85</v>
          </cell>
          <cell r="F463">
            <v>0.83</v>
          </cell>
          <cell r="G463" t="str">
            <v>ST1.5X2.85</v>
          </cell>
          <cell r="H463">
            <v>1.5</v>
          </cell>
          <cell r="I463">
            <v>1.5</v>
          </cell>
          <cell r="J463" t="str">
            <v>–</v>
          </cell>
          <cell r="K463" t="str">
            <v>–</v>
          </cell>
          <cell r="L463" t="str">
            <v>–</v>
          </cell>
          <cell r="M463">
            <v>2.33</v>
          </cell>
          <cell r="N463">
            <v>2.375</v>
          </cell>
          <cell r="O463" t="str">
            <v>–</v>
          </cell>
          <cell r="P463" t="str">
            <v>–</v>
          </cell>
          <cell r="Q463" t="str">
            <v>–</v>
          </cell>
          <cell r="R463">
            <v>0.17</v>
          </cell>
          <cell r="S463">
            <v>0.1875</v>
          </cell>
          <cell r="T463">
            <v>0.125</v>
          </cell>
          <cell r="U463">
            <v>0.26</v>
          </cell>
          <cell r="V463">
            <v>0.25</v>
          </cell>
          <cell r="W463">
            <v>0.26</v>
          </cell>
          <cell r="X463" t="str">
            <v>–</v>
          </cell>
          <cell r="Y463" t="str">
            <v>–</v>
          </cell>
          <cell r="Z463">
            <v>0.625</v>
          </cell>
          <cell r="AA463">
            <v>0.625</v>
          </cell>
          <cell r="AB463" t="str">
            <v>–</v>
          </cell>
          <cell r="AC463" t="str">
            <v>–</v>
          </cell>
          <cell r="AD463">
            <v>0.32900000000000001</v>
          </cell>
          <cell r="AE463" t="str">
            <v>–</v>
          </cell>
          <cell r="AF463" t="str">
            <v>–</v>
          </cell>
          <cell r="AG463">
            <v>0.17100000000000001</v>
          </cell>
          <cell r="AH463">
            <v>4.4800000000000004</v>
          </cell>
          <cell r="AI463" t="str">
            <v>–</v>
          </cell>
          <cell r="AJ463" t="str">
            <v>–</v>
          </cell>
          <cell r="AK463" t="str">
            <v>–</v>
          </cell>
          <cell r="AL463" t="str">
            <v>–</v>
          </cell>
          <cell r="AM463">
            <v>8.82</v>
          </cell>
          <cell r="AN463">
            <v>0.114</v>
          </cell>
          <cell r="AO463">
            <v>0.19600000000000001</v>
          </cell>
          <cell r="AP463">
            <v>9.7000000000000003E-2</v>
          </cell>
          <cell r="AQ463">
            <v>0.37</v>
          </cell>
          <cell r="AR463">
            <v>0.223</v>
          </cell>
          <cell r="AS463">
            <v>0.32800000000000001</v>
          </cell>
          <cell r="AT463">
            <v>0.192</v>
          </cell>
          <cell r="AU463">
            <v>0.51800000000000002</v>
          </cell>
        </row>
        <row r="464">
          <cell r="C464" t="str">
            <v>2L12X12X1-3/8</v>
          </cell>
          <cell r="D464" t="str">
            <v>F</v>
          </cell>
          <cell r="E464">
            <v>210</v>
          </cell>
          <cell r="F464">
            <v>62.2</v>
          </cell>
          <cell r="G464" t="str">
            <v>2L12X12X1-3/8</v>
          </cell>
          <cell r="H464">
            <v>12</v>
          </cell>
          <cell r="I464" t="str">
            <v>–</v>
          </cell>
          <cell r="J464" t="str">
            <v>–</v>
          </cell>
          <cell r="K464" t="str">
            <v>–</v>
          </cell>
          <cell r="L464" t="str">
            <v>–</v>
          </cell>
          <cell r="M464" t="str">
            <v>–</v>
          </cell>
          <cell r="N464" t="str">
            <v>–</v>
          </cell>
          <cell r="O464" t="str">
            <v>–</v>
          </cell>
          <cell r="P464">
            <v>12</v>
          </cell>
          <cell r="Q464" t="str">
            <v>–</v>
          </cell>
          <cell r="R464" t="str">
            <v>–</v>
          </cell>
          <cell r="S464" t="str">
            <v>–</v>
          </cell>
          <cell r="T464" t="str">
            <v>–</v>
          </cell>
          <cell r="U464" t="str">
            <v>–</v>
          </cell>
          <cell r="V464" t="str">
            <v>–</v>
          </cell>
          <cell r="W464">
            <v>1.38</v>
          </cell>
          <cell r="X464" t="str">
            <v>–</v>
          </cell>
          <cell r="Y464" t="str">
            <v>–</v>
          </cell>
          <cell r="Z464" t="str">
            <v>–</v>
          </cell>
          <cell r="AA464" t="str">
            <v>–</v>
          </cell>
          <cell r="AB464" t="str">
            <v>–</v>
          </cell>
          <cell r="AC464" t="str">
            <v>–</v>
          </cell>
          <cell r="AD464">
            <v>3.5</v>
          </cell>
          <cell r="AE464" t="str">
            <v>–</v>
          </cell>
          <cell r="AF464" t="str">
            <v>–</v>
          </cell>
          <cell r="AG464">
            <v>1.3</v>
          </cell>
          <cell r="AH464" t="str">
            <v>–</v>
          </cell>
          <cell r="AI464">
            <v>8.6999999999999993</v>
          </cell>
          <cell r="AJ464" t="str">
            <v>–</v>
          </cell>
          <cell r="AK464" t="str">
            <v>–</v>
          </cell>
          <cell r="AL464" t="str">
            <v>–</v>
          </cell>
          <cell r="AM464" t="str">
            <v>–</v>
          </cell>
          <cell r="AN464">
            <v>826</v>
          </cell>
          <cell r="AO464">
            <v>176</v>
          </cell>
          <cell r="AP464">
            <v>97.2</v>
          </cell>
          <cell r="AQ464">
            <v>3.64</v>
          </cell>
          <cell r="AR464">
            <v>1590</v>
          </cell>
          <cell r="AS464">
            <v>218</v>
          </cell>
          <cell r="AT464">
            <v>133</v>
          </cell>
          <cell r="AU464">
            <v>5.0599999999999996</v>
          </cell>
        </row>
        <row r="465">
          <cell r="C465" t="str">
            <v>2L12X12X1-3/8X3/4</v>
          </cell>
          <cell r="D465" t="str">
            <v>F</v>
          </cell>
          <cell r="E465">
            <v>210</v>
          </cell>
          <cell r="F465">
            <v>62.2</v>
          </cell>
          <cell r="G465" t="str">
            <v>2L12X12X1-3/8X3/4</v>
          </cell>
          <cell r="H465">
            <v>12</v>
          </cell>
          <cell r="I465" t="str">
            <v>–</v>
          </cell>
          <cell r="J465" t="str">
            <v>–</v>
          </cell>
          <cell r="K465" t="str">
            <v>–</v>
          </cell>
          <cell r="L465" t="str">
            <v>–</v>
          </cell>
          <cell r="M465" t="str">
            <v>–</v>
          </cell>
          <cell r="N465" t="str">
            <v>–</v>
          </cell>
          <cell r="O465" t="str">
            <v>–</v>
          </cell>
          <cell r="P465">
            <v>12</v>
          </cell>
          <cell r="Q465" t="str">
            <v>–</v>
          </cell>
          <cell r="R465" t="str">
            <v>–</v>
          </cell>
          <cell r="S465" t="str">
            <v>–</v>
          </cell>
          <cell r="T465" t="str">
            <v>–</v>
          </cell>
          <cell r="U465" t="str">
            <v>–</v>
          </cell>
          <cell r="V465" t="str">
            <v>–</v>
          </cell>
          <cell r="W465">
            <v>1.38</v>
          </cell>
          <cell r="X465" t="str">
            <v>–</v>
          </cell>
          <cell r="Y465" t="str">
            <v>–</v>
          </cell>
          <cell r="Z465" t="str">
            <v>–</v>
          </cell>
          <cell r="AA465" t="str">
            <v>–</v>
          </cell>
          <cell r="AB465" t="str">
            <v>–</v>
          </cell>
          <cell r="AC465" t="str">
            <v>–</v>
          </cell>
          <cell r="AD465">
            <v>3.5</v>
          </cell>
          <cell r="AE465" t="str">
            <v>–</v>
          </cell>
          <cell r="AF465" t="str">
            <v>–</v>
          </cell>
          <cell r="AG465">
            <v>1.3</v>
          </cell>
          <cell r="AH465" t="str">
            <v>–</v>
          </cell>
          <cell r="AI465">
            <v>8.6999999999999993</v>
          </cell>
          <cell r="AJ465" t="str">
            <v>–</v>
          </cell>
          <cell r="AK465" t="str">
            <v>–</v>
          </cell>
          <cell r="AL465" t="str">
            <v>–</v>
          </cell>
          <cell r="AM465" t="str">
            <v>–</v>
          </cell>
          <cell r="AN465">
            <v>826</v>
          </cell>
          <cell r="AO465">
            <v>176</v>
          </cell>
          <cell r="AP465">
            <v>97.2</v>
          </cell>
          <cell r="AQ465">
            <v>3.64</v>
          </cell>
          <cell r="AR465">
            <v>1760</v>
          </cell>
          <cell r="AS465">
            <v>241</v>
          </cell>
          <cell r="AT465">
            <v>142</v>
          </cell>
          <cell r="AU465">
            <v>5.32</v>
          </cell>
        </row>
        <row r="466">
          <cell r="C466" t="str">
            <v>2L12X12X1-3/8X1-1/2</v>
          </cell>
          <cell r="D466" t="str">
            <v>F</v>
          </cell>
          <cell r="E466">
            <v>210</v>
          </cell>
          <cell r="F466">
            <v>62.2</v>
          </cell>
          <cell r="G466" t="str">
            <v>2L12X12X1-3/8X1-1/2</v>
          </cell>
          <cell r="H466">
            <v>12</v>
          </cell>
          <cell r="I466" t="str">
            <v>–</v>
          </cell>
          <cell r="J466" t="str">
            <v>–</v>
          </cell>
          <cell r="K466" t="str">
            <v>–</v>
          </cell>
          <cell r="L466" t="str">
            <v>–</v>
          </cell>
          <cell r="M466" t="str">
            <v>–</v>
          </cell>
          <cell r="N466" t="str">
            <v>–</v>
          </cell>
          <cell r="O466" t="str">
            <v>–</v>
          </cell>
          <cell r="P466">
            <v>12</v>
          </cell>
          <cell r="Q466" t="str">
            <v>–</v>
          </cell>
          <cell r="R466" t="str">
            <v>–</v>
          </cell>
          <cell r="S466" t="str">
            <v>–</v>
          </cell>
          <cell r="T466" t="str">
            <v>–</v>
          </cell>
          <cell r="U466" t="str">
            <v>–</v>
          </cell>
          <cell r="V466" t="str">
            <v>–</v>
          </cell>
          <cell r="W466">
            <v>1.38</v>
          </cell>
          <cell r="X466" t="str">
            <v>–</v>
          </cell>
          <cell r="Y466" t="str">
            <v>–</v>
          </cell>
          <cell r="Z466" t="str">
            <v>–</v>
          </cell>
          <cell r="AA466" t="str">
            <v>–</v>
          </cell>
          <cell r="AB466" t="str">
            <v>–</v>
          </cell>
          <cell r="AC466" t="str">
            <v>–</v>
          </cell>
          <cell r="AD466">
            <v>3.5</v>
          </cell>
          <cell r="AE466" t="str">
            <v>–</v>
          </cell>
          <cell r="AF466" t="str">
            <v>–</v>
          </cell>
          <cell r="AG466">
            <v>1.3</v>
          </cell>
          <cell r="AH466" t="str">
            <v>–</v>
          </cell>
          <cell r="AI466">
            <v>8.6999999999999993</v>
          </cell>
          <cell r="AJ466" t="str">
            <v>–</v>
          </cell>
          <cell r="AK466" t="str">
            <v>–</v>
          </cell>
          <cell r="AL466" t="str">
            <v>–</v>
          </cell>
          <cell r="AM466" t="str">
            <v>–</v>
          </cell>
          <cell r="AN466">
            <v>826</v>
          </cell>
          <cell r="AO466">
            <v>176</v>
          </cell>
          <cell r="AP466">
            <v>97.2</v>
          </cell>
          <cell r="AQ466">
            <v>3.64</v>
          </cell>
          <cell r="AR466">
            <v>1950</v>
          </cell>
          <cell r="AS466">
            <v>264</v>
          </cell>
          <cell r="AT466">
            <v>153</v>
          </cell>
          <cell r="AU466">
            <v>5.6</v>
          </cell>
        </row>
        <row r="467">
          <cell r="C467" t="str">
            <v>2L12X12X1-1/4</v>
          </cell>
          <cell r="D467" t="str">
            <v>F</v>
          </cell>
          <cell r="E467">
            <v>193</v>
          </cell>
          <cell r="F467">
            <v>56.8</v>
          </cell>
          <cell r="G467" t="str">
            <v>2L12X12X1-1/4</v>
          </cell>
          <cell r="H467">
            <v>12</v>
          </cell>
          <cell r="I467" t="str">
            <v>–</v>
          </cell>
          <cell r="J467" t="str">
            <v>–</v>
          </cell>
          <cell r="K467" t="str">
            <v>–</v>
          </cell>
          <cell r="L467" t="str">
            <v>–</v>
          </cell>
          <cell r="M467" t="str">
            <v>–</v>
          </cell>
          <cell r="N467" t="str">
            <v>–</v>
          </cell>
          <cell r="O467" t="str">
            <v>–</v>
          </cell>
          <cell r="P467">
            <v>12</v>
          </cell>
          <cell r="Q467" t="str">
            <v>–</v>
          </cell>
          <cell r="R467" t="str">
            <v>–</v>
          </cell>
          <cell r="S467" t="str">
            <v>–</v>
          </cell>
          <cell r="T467" t="str">
            <v>–</v>
          </cell>
          <cell r="U467" t="str">
            <v>–</v>
          </cell>
          <cell r="V467" t="str">
            <v>–</v>
          </cell>
          <cell r="W467">
            <v>1.25</v>
          </cell>
          <cell r="X467" t="str">
            <v>–</v>
          </cell>
          <cell r="Y467" t="str">
            <v>–</v>
          </cell>
          <cell r="Z467" t="str">
            <v>–</v>
          </cell>
          <cell r="AA467" t="str">
            <v>–</v>
          </cell>
          <cell r="AB467" t="str">
            <v>–</v>
          </cell>
          <cell r="AC467" t="str">
            <v>–</v>
          </cell>
          <cell r="AD467">
            <v>3.45</v>
          </cell>
          <cell r="AE467" t="str">
            <v>–</v>
          </cell>
          <cell r="AF467" t="str">
            <v>–</v>
          </cell>
          <cell r="AG467">
            <v>1.18</v>
          </cell>
          <cell r="AH467" t="str">
            <v>–</v>
          </cell>
          <cell r="AI467">
            <v>9.6</v>
          </cell>
          <cell r="AJ467" t="str">
            <v>–</v>
          </cell>
          <cell r="AK467" t="str">
            <v>–</v>
          </cell>
          <cell r="AL467" t="str">
            <v>–</v>
          </cell>
          <cell r="AM467" t="str">
            <v>–</v>
          </cell>
          <cell r="AN467">
            <v>762</v>
          </cell>
          <cell r="AO467">
            <v>161</v>
          </cell>
          <cell r="AP467">
            <v>89.2</v>
          </cell>
          <cell r="AQ467">
            <v>3.66</v>
          </cell>
          <cell r="AR467">
            <v>1440</v>
          </cell>
          <cell r="AS467">
            <v>196</v>
          </cell>
          <cell r="AT467">
            <v>120</v>
          </cell>
          <cell r="AU467">
            <v>5.04</v>
          </cell>
        </row>
        <row r="468">
          <cell r="C468" t="str">
            <v>2L12X12X1-1/4X3/4</v>
          </cell>
          <cell r="D468" t="str">
            <v>F</v>
          </cell>
          <cell r="E468">
            <v>193</v>
          </cell>
          <cell r="F468">
            <v>56.8</v>
          </cell>
          <cell r="G468" t="str">
            <v>2L12X12X1-1/4X3/4</v>
          </cell>
          <cell r="H468">
            <v>12</v>
          </cell>
          <cell r="I468" t="str">
            <v>–</v>
          </cell>
          <cell r="J468" t="str">
            <v>–</v>
          </cell>
          <cell r="K468" t="str">
            <v>–</v>
          </cell>
          <cell r="L468" t="str">
            <v>–</v>
          </cell>
          <cell r="M468" t="str">
            <v>–</v>
          </cell>
          <cell r="N468" t="str">
            <v>–</v>
          </cell>
          <cell r="O468" t="str">
            <v>–</v>
          </cell>
          <cell r="P468">
            <v>12</v>
          </cell>
          <cell r="Q468" t="str">
            <v>–</v>
          </cell>
          <cell r="R468" t="str">
            <v>–</v>
          </cell>
          <cell r="S468" t="str">
            <v>–</v>
          </cell>
          <cell r="T468" t="str">
            <v>–</v>
          </cell>
          <cell r="U468" t="str">
            <v>–</v>
          </cell>
          <cell r="V468" t="str">
            <v>–</v>
          </cell>
          <cell r="W468">
            <v>1.25</v>
          </cell>
          <cell r="X468" t="str">
            <v>–</v>
          </cell>
          <cell r="Y468" t="str">
            <v>–</v>
          </cell>
          <cell r="Z468" t="str">
            <v>–</v>
          </cell>
          <cell r="AA468" t="str">
            <v>–</v>
          </cell>
          <cell r="AB468" t="str">
            <v>–</v>
          </cell>
          <cell r="AC468" t="str">
            <v>–</v>
          </cell>
          <cell r="AD468">
            <v>3.45</v>
          </cell>
          <cell r="AE468" t="str">
            <v>–</v>
          </cell>
          <cell r="AF468" t="str">
            <v>–</v>
          </cell>
          <cell r="AG468">
            <v>1.18</v>
          </cell>
          <cell r="AH468" t="str">
            <v>–</v>
          </cell>
          <cell r="AI468">
            <v>9.6</v>
          </cell>
          <cell r="AJ468" t="str">
            <v>–</v>
          </cell>
          <cell r="AK468" t="str">
            <v>–</v>
          </cell>
          <cell r="AL468" t="str">
            <v>–</v>
          </cell>
          <cell r="AM468" t="str">
            <v>–</v>
          </cell>
          <cell r="AN468">
            <v>762</v>
          </cell>
          <cell r="AO468">
            <v>161</v>
          </cell>
          <cell r="AP468">
            <v>89.2</v>
          </cell>
          <cell r="AQ468">
            <v>3.66</v>
          </cell>
          <cell r="AR468">
            <v>1590</v>
          </cell>
          <cell r="AS468">
            <v>217</v>
          </cell>
          <cell r="AT468">
            <v>128</v>
          </cell>
          <cell r="AU468">
            <v>5.29</v>
          </cell>
        </row>
        <row r="469">
          <cell r="C469" t="str">
            <v>2L12X12X1-1/4X1-1/2</v>
          </cell>
          <cell r="D469" t="str">
            <v>F</v>
          </cell>
          <cell r="E469">
            <v>193</v>
          </cell>
          <cell r="F469">
            <v>56.8</v>
          </cell>
          <cell r="G469" t="str">
            <v>2L12X12X1-1/4X1-1/2</v>
          </cell>
          <cell r="H469">
            <v>12</v>
          </cell>
          <cell r="I469" t="str">
            <v>–</v>
          </cell>
          <cell r="J469" t="str">
            <v>–</v>
          </cell>
          <cell r="K469" t="str">
            <v>–</v>
          </cell>
          <cell r="L469" t="str">
            <v>–</v>
          </cell>
          <cell r="M469" t="str">
            <v>–</v>
          </cell>
          <cell r="N469" t="str">
            <v>–</v>
          </cell>
          <cell r="O469" t="str">
            <v>–</v>
          </cell>
          <cell r="P469">
            <v>12</v>
          </cell>
          <cell r="Q469" t="str">
            <v>–</v>
          </cell>
          <cell r="R469" t="str">
            <v>–</v>
          </cell>
          <cell r="S469" t="str">
            <v>–</v>
          </cell>
          <cell r="T469" t="str">
            <v>–</v>
          </cell>
          <cell r="U469" t="str">
            <v>–</v>
          </cell>
          <cell r="V469" t="str">
            <v>–</v>
          </cell>
          <cell r="W469">
            <v>1.25</v>
          </cell>
          <cell r="X469" t="str">
            <v>–</v>
          </cell>
          <cell r="Y469" t="str">
            <v>–</v>
          </cell>
          <cell r="Z469" t="str">
            <v>–</v>
          </cell>
          <cell r="AA469" t="str">
            <v>–</v>
          </cell>
          <cell r="AB469" t="str">
            <v>–</v>
          </cell>
          <cell r="AC469" t="str">
            <v>–</v>
          </cell>
          <cell r="AD469">
            <v>3.45</v>
          </cell>
          <cell r="AE469" t="str">
            <v>–</v>
          </cell>
          <cell r="AF469" t="str">
            <v>–</v>
          </cell>
          <cell r="AG469">
            <v>1.18</v>
          </cell>
          <cell r="AH469" t="str">
            <v>–</v>
          </cell>
          <cell r="AI469">
            <v>9.6</v>
          </cell>
          <cell r="AJ469" t="str">
            <v>–</v>
          </cell>
          <cell r="AK469" t="str">
            <v>–</v>
          </cell>
          <cell r="AL469" t="str">
            <v>–</v>
          </cell>
          <cell r="AM469" t="str">
            <v>–</v>
          </cell>
          <cell r="AN469">
            <v>762</v>
          </cell>
          <cell r="AO469">
            <v>161</v>
          </cell>
          <cell r="AP469">
            <v>89.2</v>
          </cell>
          <cell r="AQ469">
            <v>3.66</v>
          </cell>
          <cell r="AR469">
            <v>1760</v>
          </cell>
          <cell r="AS469">
            <v>239</v>
          </cell>
          <cell r="AT469">
            <v>138</v>
          </cell>
          <cell r="AU469">
            <v>5.57</v>
          </cell>
        </row>
        <row r="470">
          <cell r="C470" t="str">
            <v>2L12X12X1-1/8</v>
          </cell>
          <cell r="D470" t="str">
            <v>F</v>
          </cell>
          <cell r="E470">
            <v>174</v>
          </cell>
          <cell r="F470">
            <v>51.6</v>
          </cell>
          <cell r="G470" t="str">
            <v>2L12X12X1-1/8</v>
          </cell>
          <cell r="H470">
            <v>12</v>
          </cell>
          <cell r="I470" t="str">
            <v>–</v>
          </cell>
          <cell r="J470" t="str">
            <v>–</v>
          </cell>
          <cell r="K470" t="str">
            <v>–</v>
          </cell>
          <cell r="L470" t="str">
            <v>–</v>
          </cell>
          <cell r="M470" t="str">
            <v>–</v>
          </cell>
          <cell r="N470" t="str">
            <v>–</v>
          </cell>
          <cell r="O470" t="str">
            <v>–</v>
          </cell>
          <cell r="P470">
            <v>12</v>
          </cell>
          <cell r="Q470" t="str">
            <v>–</v>
          </cell>
          <cell r="R470" t="str">
            <v>–</v>
          </cell>
          <cell r="S470" t="str">
            <v>–</v>
          </cell>
          <cell r="T470" t="str">
            <v>–</v>
          </cell>
          <cell r="U470" t="str">
            <v>–</v>
          </cell>
          <cell r="V470" t="str">
            <v>–</v>
          </cell>
          <cell r="W470">
            <v>1.1299999999999999</v>
          </cell>
          <cell r="X470" t="str">
            <v>–</v>
          </cell>
          <cell r="Y470" t="str">
            <v>–</v>
          </cell>
          <cell r="Z470" t="str">
            <v>–</v>
          </cell>
          <cell r="AA470" t="str">
            <v>–</v>
          </cell>
          <cell r="AB470" t="str">
            <v>–</v>
          </cell>
          <cell r="AC470" t="str">
            <v>–</v>
          </cell>
          <cell r="AD470">
            <v>3.41</v>
          </cell>
          <cell r="AE470" t="str">
            <v>–</v>
          </cell>
          <cell r="AF470" t="str">
            <v>–</v>
          </cell>
          <cell r="AG470">
            <v>1.08</v>
          </cell>
          <cell r="AH470" t="str">
            <v>–</v>
          </cell>
          <cell r="AI470">
            <v>10.6</v>
          </cell>
          <cell r="AJ470" t="str">
            <v>–</v>
          </cell>
          <cell r="AK470" t="str">
            <v>–</v>
          </cell>
          <cell r="AL470" t="str">
            <v>–</v>
          </cell>
          <cell r="AM470" t="str">
            <v>–</v>
          </cell>
          <cell r="AN470">
            <v>700</v>
          </cell>
          <cell r="AO470">
            <v>147</v>
          </cell>
          <cell r="AP470">
            <v>81.400000000000006</v>
          </cell>
          <cell r="AQ470">
            <v>3.68</v>
          </cell>
          <cell r="AR470">
            <v>1300</v>
          </cell>
          <cell r="AS470">
            <v>176</v>
          </cell>
          <cell r="AT470">
            <v>108</v>
          </cell>
          <cell r="AU470">
            <v>5.0199999999999996</v>
          </cell>
        </row>
        <row r="471">
          <cell r="C471" t="str">
            <v>2L12X12X1-1/8X3/4</v>
          </cell>
          <cell r="D471" t="str">
            <v>F</v>
          </cell>
          <cell r="E471">
            <v>174</v>
          </cell>
          <cell r="F471">
            <v>51.6</v>
          </cell>
          <cell r="G471" t="str">
            <v>2L12X12X1-1/8X3/4</v>
          </cell>
          <cell r="H471">
            <v>12</v>
          </cell>
          <cell r="I471" t="str">
            <v>–</v>
          </cell>
          <cell r="J471" t="str">
            <v>–</v>
          </cell>
          <cell r="K471" t="str">
            <v>–</v>
          </cell>
          <cell r="L471" t="str">
            <v>–</v>
          </cell>
          <cell r="M471" t="str">
            <v>–</v>
          </cell>
          <cell r="N471" t="str">
            <v>–</v>
          </cell>
          <cell r="O471" t="str">
            <v>–</v>
          </cell>
          <cell r="P471">
            <v>12</v>
          </cell>
          <cell r="Q471" t="str">
            <v>–</v>
          </cell>
          <cell r="R471" t="str">
            <v>–</v>
          </cell>
          <cell r="S471" t="str">
            <v>–</v>
          </cell>
          <cell r="T471" t="str">
            <v>–</v>
          </cell>
          <cell r="U471" t="str">
            <v>–</v>
          </cell>
          <cell r="V471" t="str">
            <v>–</v>
          </cell>
          <cell r="W471">
            <v>1.1299999999999999</v>
          </cell>
          <cell r="X471" t="str">
            <v>–</v>
          </cell>
          <cell r="Y471" t="str">
            <v>–</v>
          </cell>
          <cell r="Z471" t="str">
            <v>–</v>
          </cell>
          <cell r="AA471" t="str">
            <v>–</v>
          </cell>
          <cell r="AB471" t="str">
            <v>–</v>
          </cell>
          <cell r="AC471" t="str">
            <v>–</v>
          </cell>
          <cell r="AD471">
            <v>3.41</v>
          </cell>
          <cell r="AE471" t="str">
            <v>–</v>
          </cell>
          <cell r="AF471" t="str">
            <v>–</v>
          </cell>
          <cell r="AG471">
            <v>1.08</v>
          </cell>
          <cell r="AH471" t="str">
            <v>–</v>
          </cell>
          <cell r="AI471">
            <v>10.6</v>
          </cell>
          <cell r="AJ471" t="str">
            <v>–</v>
          </cell>
          <cell r="AK471" t="str">
            <v>–</v>
          </cell>
          <cell r="AL471" t="str">
            <v>–</v>
          </cell>
          <cell r="AM471" t="str">
            <v>–</v>
          </cell>
          <cell r="AN471">
            <v>700</v>
          </cell>
          <cell r="AO471">
            <v>147</v>
          </cell>
          <cell r="AP471">
            <v>81.400000000000006</v>
          </cell>
          <cell r="AQ471">
            <v>3.68</v>
          </cell>
          <cell r="AR471">
            <v>1440</v>
          </cell>
          <cell r="AS471">
            <v>195</v>
          </cell>
          <cell r="AT471">
            <v>116</v>
          </cell>
          <cell r="AU471">
            <v>5.28</v>
          </cell>
        </row>
        <row r="472">
          <cell r="C472" t="str">
            <v>2L12X12X1-1/8X1-1/2</v>
          </cell>
          <cell r="D472" t="str">
            <v>F</v>
          </cell>
          <cell r="E472">
            <v>174</v>
          </cell>
          <cell r="F472">
            <v>51.6</v>
          </cell>
          <cell r="G472" t="str">
            <v>2L12X12X1-1/8X1-1/2</v>
          </cell>
          <cell r="H472">
            <v>12</v>
          </cell>
          <cell r="I472" t="str">
            <v>–</v>
          </cell>
          <cell r="J472" t="str">
            <v>–</v>
          </cell>
          <cell r="K472" t="str">
            <v>–</v>
          </cell>
          <cell r="L472" t="str">
            <v>–</v>
          </cell>
          <cell r="M472" t="str">
            <v>–</v>
          </cell>
          <cell r="N472" t="str">
            <v>–</v>
          </cell>
          <cell r="O472" t="str">
            <v>–</v>
          </cell>
          <cell r="P472">
            <v>12</v>
          </cell>
          <cell r="Q472" t="str">
            <v>–</v>
          </cell>
          <cell r="R472" t="str">
            <v>–</v>
          </cell>
          <cell r="S472" t="str">
            <v>–</v>
          </cell>
          <cell r="T472" t="str">
            <v>–</v>
          </cell>
          <cell r="U472" t="str">
            <v>–</v>
          </cell>
          <cell r="V472" t="str">
            <v>–</v>
          </cell>
          <cell r="W472">
            <v>1.1299999999999999</v>
          </cell>
          <cell r="X472" t="str">
            <v>–</v>
          </cell>
          <cell r="Y472" t="str">
            <v>–</v>
          </cell>
          <cell r="Z472" t="str">
            <v>–</v>
          </cell>
          <cell r="AA472" t="str">
            <v>–</v>
          </cell>
          <cell r="AB472" t="str">
            <v>–</v>
          </cell>
          <cell r="AC472" t="str">
            <v>–</v>
          </cell>
          <cell r="AD472">
            <v>3.41</v>
          </cell>
          <cell r="AE472" t="str">
            <v>–</v>
          </cell>
          <cell r="AF472" t="str">
            <v>–</v>
          </cell>
          <cell r="AG472">
            <v>1.08</v>
          </cell>
          <cell r="AH472" t="str">
            <v>–</v>
          </cell>
          <cell r="AI472">
            <v>10.6</v>
          </cell>
          <cell r="AJ472" t="str">
            <v>–</v>
          </cell>
          <cell r="AK472" t="str">
            <v>–</v>
          </cell>
          <cell r="AL472" t="str">
            <v>–</v>
          </cell>
          <cell r="AM472" t="str">
            <v>–</v>
          </cell>
          <cell r="AN472">
            <v>700</v>
          </cell>
          <cell r="AO472">
            <v>147</v>
          </cell>
          <cell r="AP472">
            <v>81.400000000000006</v>
          </cell>
          <cell r="AQ472">
            <v>3.68</v>
          </cell>
          <cell r="AR472">
            <v>1590</v>
          </cell>
          <cell r="AS472">
            <v>215</v>
          </cell>
          <cell r="AT472">
            <v>125</v>
          </cell>
          <cell r="AU472">
            <v>5.55</v>
          </cell>
        </row>
        <row r="473">
          <cell r="C473" t="str">
            <v>2L12X12X1</v>
          </cell>
          <cell r="D473" t="str">
            <v>F</v>
          </cell>
          <cell r="E473">
            <v>156</v>
          </cell>
          <cell r="F473">
            <v>46</v>
          </cell>
          <cell r="G473" t="str">
            <v>2L12X12X1</v>
          </cell>
          <cell r="H473">
            <v>12</v>
          </cell>
          <cell r="I473" t="str">
            <v>–</v>
          </cell>
          <cell r="J473" t="str">
            <v>–</v>
          </cell>
          <cell r="K473" t="str">
            <v>–</v>
          </cell>
          <cell r="L473" t="str">
            <v>–</v>
          </cell>
          <cell r="M473" t="str">
            <v>–</v>
          </cell>
          <cell r="N473" t="str">
            <v>–</v>
          </cell>
          <cell r="O473" t="str">
            <v>–</v>
          </cell>
          <cell r="P473">
            <v>12</v>
          </cell>
          <cell r="Q473" t="str">
            <v>–</v>
          </cell>
          <cell r="R473" t="str">
            <v>–</v>
          </cell>
          <cell r="S473" t="str">
            <v>–</v>
          </cell>
          <cell r="T473" t="str">
            <v>–</v>
          </cell>
          <cell r="U473" t="str">
            <v>–</v>
          </cell>
          <cell r="V473" t="str">
            <v>–</v>
          </cell>
          <cell r="W473">
            <v>1</v>
          </cell>
          <cell r="X473" t="str">
            <v>–</v>
          </cell>
          <cell r="Y473" t="str">
            <v>–</v>
          </cell>
          <cell r="Z473" t="str">
            <v>–</v>
          </cell>
          <cell r="AA473" t="str">
            <v>–</v>
          </cell>
          <cell r="AB473" t="str">
            <v>–</v>
          </cell>
          <cell r="AC473" t="str">
            <v>–</v>
          </cell>
          <cell r="AD473">
            <v>3.36</v>
          </cell>
          <cell r="AE473" t="str">
            <v>–</v>
          </cell>
          <cell r="AF473" t="str">
            <v>–</v>
          </cell>
          <cell r="AG473">
            <v>0.95799999999999996</v>
          </cell>
          <cell r="AH473" t="str">
            <v>–</v>
          </cell>
          <cell r="AI473">
            <v>12</v>
          </cell>
          <cell r="AJ473" t="str">
            <v>–</v>
          </cell>
          <cell r="AK473" t="str">
            <v>–</v>
          </cell>
          <cell r="AL473" t="str">
            <v>–</v>
          </cell>
          <cell r="AM473" t="str">
            <v>–</v>
          </cell>
          <cell r="AN473">
            <v>630</v>
          </cell>
          <cell r="AO473">
            <v>132</v>
          </cell>
          <cell r="AP473">
            <v>73</v>
          </cell>
          <cell r="AQ473">
            <v>3.7</v>
          </cell>
          <cell r="AR473">
            <v>1150</v>
          </cell>
          <cell r="AS473">
            <v>155</v>
          </cell>
          <cell r="AT473">
            <v>95.8</v>
          </cell>
          <cell r="AU473">
            <v>5</v>
          </cell>
        </row>
        <row r="474">
          <cell r="C474" t="str">
            <v>2L12X12X1X3/4</v>
          </cell>
          <cell r="D474" t="str">
            <v>F</v>
          </cell>
          <cell r="E474">
            <v>156</v>
          </cell>
          <cell r="F474">
            <v>46</v>
          </cell>
          <cell r="G474" t="str">
            <v>2L12X12X1X3/4</v>
          </cell>
          <cell r="H474">
            <v>12</v>
          </cell>
          <cell r="I474" t="str">
            <v>–</v>
          </cell>
          <cell r="J474" t="str">
            <v>–</v>
          </cell>
          <cell r="K474" t="str">
            <v>–</v>
          </cell>
          <cell r="L474" t="str">
            <v>–</v>
          </cell>
          <cell r="M474" t="str">
            <v>–</v>
          </cell>
          <cell r="N474" t="str">
            <v>–</v>
          </cell>
          <cell r="O474" t="str">
            <v>–</v>
          </cell>
          <cell r="P474">
            <v>12</v>
          </cell>
          <cell r="Q474" t="str">
            <v>–</v>
          </cell>
          <cell r="R474" t="str">
            <v>–</v>
          </cell>
          <cell r="S474" t="str">
            <v>–</v>
          </cell>
          <cell r="T474" t="str">
            <v>–</v>
          </cell>
          <cell r="U474" t="str">
            <v>–</v>
          </cell>
          <cell r="V474" t="str">
            <v>–</v>
          </cell>
          <cell r="W474">
            <v>1</v>
          </cell>
          <cell r="X474" t="str">
            <v>–</v>
          </cell>
          <cell r="Y474" t="str">
            <v>–</v>
          </cell>
          <cell r="Z474" t="str">
            <v>–</v>
          </cell>
          <cell r="AA474" t="str">
            <v>–</v>
          </cell>
          <cell r="AB474" t="str">
            <v>–</v>
          </cell>
          <cell r="AC474" t="str">
            <v>–</v>
          </cell>
          <cell r="AD474">
            <v>3.36</v>
          </cell>
          <cell r="AE474" t="str">
            <v>–</v>
          </cell>
          <cell r="AF474" t="str">
            <v>–</v>
          </cell>
          <cell r="AG474">
            <v>0.95799999999999996</v>
          </cell>
          <cell r="AH474" t="str">
            <v>–</v>
          </cell>
          <cell r="AI474">
            <v>12</v>
          </cell>
          <cell r="AJ474" t="str">
            <v>–</v>
          </cell>
          <cell r="AK474" t="str">
            <v>–</v>
          </cell>
          <cell r="AL474" t="str">
            <v>–</v>
          </cell>
          <cell r="AM474" t="str">
            <v>–</v>
          </cell>
          <cell r="AN474">
            <v>630</v>
          </cell>
          <cell r="AO474">
            <v>132</v>
          </cell>
          <cell r="AP474">
            <v>73</v>
          </cell>
          <cell r="AQ474">
            <v>3.7</v>
          </cell>
          <cell r="AR474">
            <v>1270</v>
          </cell>
          <cell r="AS474">
            <v>172</v>
          </cell>
          <cell r="AT474">
            <v>103</v>
          </cell>
          <cell r="AU474">
            <v>5.25</v>
          </cell>
        </row>
        <row r="475">
          <cell r="C475" t="str">
            <v>2L12X12X1X1-1/2</v>
          </cell>
          <cell r="D475" t="str">
            <v>F</v>
          </cell>
          <cell r="E475">
            <v>156</v>
          </cell>
          <cell r="F475">
            <v>46</v>
          </cell>
          <cell r="G475" t="str">
            <v>2L12X12X1X1-1/2</v>
          </cell>
          <cell r="H475">
            <v>12</v>
          </cell>
          <cell r="I475" t="str">
            <v>–</v>
          </cell>
          <cell r="J475" t="str">
            <v>–</v>
          </cell>
          <cell r="K475" t="str">
            <v>–</v>
          </cell>
          <cell r="L475" t="str">
            <v>–</v>
          </cell>
          <cell r="M475" t="str">
            <v>–</v>
          </cell>
          <cell r="N475" t="str">
            <v>–</v>
          </cell>
          <cell r="O475" t="str">
            <v>–</v>
          </cell>
          <cell r="P475">
            <v>12</v>
          </cell>
          <cell r="Q475" t="str">
            <v>–</v>
          </cell>
          <cell r="R475" t="str">
            <v>–</v>
          </cell>
          <cell r="S475" t="str">
            <v>–</v>
          </cell>
          <cell r="T475" t="str">
            <v>–</v>
          </cell>
          <cell r="U475" t="str">
            <v>–</v>
          </cell>
          <cell r="V475" t="str">
            <v>–</v>
          </cell>
          <cell r="W475">
            <v>1</v>
          </cell>
          <cell r="X475" t="str">
            <v>–</v>
          </cell>
          <cell r="Y475" t="str">
            <v>–</v>
          </cell>
          <cell r="Z475" t="str">
            <v>–</v>
          </cell>
          <cell r="AA475" t="str">
            <v>–</v>
          </cell>
          <cell r="AB475" t="str">
            <v>–</v>
          </cell>
          <cell r="AC475" t="str">
            <v>–</v>
          </cell>
          <cell r="AD475">
            <v>3.36</v>
          </cell>
          <cell r="AE475" t="str">
            <v>–</v>
          </cell>
          <cell r="AF475" t="str">
            <v>–</v>
          </cell>
          <cell r="AG475">
            <v>0.95799999999999996</v>
          </cell>
          <cell r="AH475" t="str">
            <v>–</v>
          </cell>
          <cell r="AI475">
            <v>12</v>
          </cell>
          <cell r="AJ475" t="str">
            <v>–</v>
          </cell>
          <cell r="AK475" t="str">
            <v>–</v>
          </cell>
          <cell r="AL475" t="str">
            <v>–</v>
          </cell>
          <cell r="AM475" t="str">
            <v>–</v>
          </cell>
          <cell r="AN475">
            <v>630</v>
          </cell>
          <cell r="AO475">
            <v>132</v>
          </cell>
          <cell r="AP475">
            <v>73</v>
          </cell>
          <cell r="AQ475">
            <v>3.7</v>
          </cell>
          <cell r="AR475">
            <v>1410</v>
          </cell>
          <cell r="AS475">
            <v>189</v>
          </cell>
          <cell r="AT475">
            <v>111</v>
          </cell>
          <cell r="AU475">
            <v>5.54</v>
          </cell>
        </row>
        <row r="476">
          <cell r="C476" t="str">
            <v>2L10X10X1-3/8</v>
          </cell>
          <cell r="D476" t="str">
            <v>F</v>
          </cell>
          <cell r="E476">
            <v>174</v>
          </cell>
          <cell r="F476">
            <v>51.2</v>
          </cell>
          <cell r="G476" t="str">
            <v>2L10X10X1-3/8</v>
          </cell>
          <cell r="H476">
            <v>10</v>
          </cell>
          <cell r="I476" t="str">
            <v>–</v>
          </cell>
          <cell r="J476" t="str">
            <v>–</v>
          </cell>
          <cell r="K476" t="str">
            <v>–</v>
          </cell>
          <cell r="L476" t="str">
            <v>–</v>
          </cell>
          <cell r="M476" t="str">
            <v>–</v>
          </cell>
          <cell r="N476" t="str">
            <v>–</v>
          </cell>
          <cell r="O476" t="str">
            <v>–</v>
          </cell>
          <cell r="P476">
            <v>10</v>
          </cell>
          <cell r="Q476" t="str">
            <v>–</v>
          </cell>
          <cell r="R476" t="str">
            <v>–</v>
          </cell>
          <cell r="S476" t="str">
            <v>–</v>
          </cell>
          <cell r="T476" t="str">
            <v>–</v>
          </cell>
          <cell r="U476" t="str">
            <v>–</v>
          </cell>
          <cell r="V476" t="str">
            <v>–</v>
          </cell>
          <cell r="W476">
            <v>1.38</v>
          </cell>
          <cell r="X476" t="str">
            <v>–</v>
          </cell>
          <cell r="Y476" t="str">
            <v>–</v>
          </cell>
          <cell r="Z476" t="str">
            <v>–</v>
          </cell>
          <cell r="AA476" t="str">
            <v>–</v>
          </cell>
          <cell r="AB476" t="str">
            <v>–</v>
          </cell>
          <cell r="AC476" t="str">
            <v>–</v>
          </cell>
          <cell r="AD476">
            <v>3</v>
          </cell>
          <cell r="AE476" t="str">
            <v>–</v>
          </cell>
          <cell r="AF476" t="str">
            <v>–</v>
          </cell>
          <cell r="AG476">
            <v>1.28</v>
          </cell>
          <cell r="AH476" t="str">
            <v>–</v>
          </cell>
          <cell r="AI476">
            <v>7.25</v>
          </cell>
          <cell r="AJ476" t="str">
            <v>–</v>
          </cell>
          <cell r="AK476" t="str">
            <v>–</v>
          </cell>
          <cell r="AL476" t="str">
            <v>–</v>
          </cell>
          <cell r="AM476" t="str">
            <v>–</v>
          </cell>
          <cell r="AN476">
            <v>462</v>
          </cell>
          <cell r="AO476">
            <v>120</v>
          </cell>
          <cell r="AP476">
            <v>66</v>
          </cell>
          <cell r="AQ476">
            <v>3</v>
          </cell>
          <cell r="AR476">
            <v>923</v>
          </cell>
          <cell r="AS476">
            <v>154</v>
          </cell>
          <cell r="AT476">
            <v>92.3</v>
          </cell>
          <cell r="AU476">
            <v>4.25</v>
          </cell>
        </row>
        <row r="477">
          <cell r="C477" t="str">
            <v>2L10X10X1-3/8X3/4</v>
          </cell>
          <cell r="D477" t="str">
            <v>F</v>
          </cell>
          <cell r="E477">
            <v>174</v>
          </cell>
          <cell r="F477">
            <v>51.2</v>
          </cell>
          <cell r="G477" t="str">
            <v>2L10X10X1-3/8X3/4</v>
          </cell>
          <cell r="H477">
            <v>10</v>
          </cell>
          <cell r="I477" t="str">
            <v>–</v>
          </cell>
          <cell r="J477" t="str">
            <v>–</v>
          </cell>
          <cell r="K477" t="str">
            <v>–</v>
          </cell>
          <cell r="L477" t="str">
            <v>–</v>
          </cell>
          <cell r="M477" t="str">
            <v>–</v>
          </cell>
          <cell r="N477" t="str">
            <v>–</v>
          </cell>
          <cell r="O477" t="str">
            <v>–</v>
          </cell>
          <cell r="P477">
            <v>10</v>
          </cell>
          <cell r="Q477" t="str">
            <v>–</v>
          </cell>
          <cell r="R477" t="str">
            <v>–</v>
          </cell>
          <cell r="S477" t="str">
            <v>–</v>
          </cell>
          <cell r="T477" t="str">
            <v>–</v>
          </cell>
          <cell r="U477" t="str">
            <v>–</v>
          </cell>
          <cell r="V477" t="str">
            <v>–</v>
          </cell>
          <cell r="W477">
            <v>1.38</v>
          </cell>
          <cell r="X477" t="str">
            <v>–</v>
          </cell>
          <cell r="Y477" t="str">
            <v>–</v>
          </cell>
          <cell r="Z477" t="str">
            <v>–</v>
          </cell>
          <cell r="AA477" t="str">
            <v>–</v>
          </cell>
          <cell r="AB477" t="str">
            <v>–</v>
          </cell>
          <cell r="AC477" t="str">
            <v>–</v>
          </cell>
          <cell r="AD477">
            <v>3</v>
          </cell>
          <cell r="AE477" t="str">
            <v>–</v>
          </cell>
          <cell r="AF477" t="str">
            <v>–</v>
          </cell>
          <cell r="AG477">
            <v>1.28</v>
          </cell>
          <cell r="AH477" t="str">
            <v>–</v>
          </cell>
          <cell r="AI477">
            <v>7.25</v>
          </cell>
          <cell r="AJ477" t="str">
            <v>–</v>
          </cell>
          <cell r="AK477" t="str">
            <v>–</v>
          </cell>
          <cell r="AL477" t="str">
            <v>–</v>
          </cell>
          <cell r="AM477" t="str">
            <v>–</v>
          </cell>
          <cell r="AN477">
            <v>462</v>
          </cell>
          <cell r="AO477">
            <v>120</v>
          </cell>
          <cell r="AP477">
            <v>66</v>
          </cell>
          <cell r="AQ477">
            <v>3</v>
          </cell>
          <cell r="AR477">
            <v>1050</v>
          </cell>
          <cell r="AS477">
            <v>173</v>
          </cell>
          <cell r="AT477">
            <v>101</v>
          </cell>
          <cell r="AU477">
            <v>4.53</v>
          </cell>
        </row>
        <row r="478">
          <cell r="C478" t="str">
            <v>2L10X10X1-3/8X1-1/2</v>
          </cell>
          <cell r="D478" t="str">
            <v>F</v>
          </cell>
          <cell r="E478">
            <v>174</v>
          </cell>
          <cell r="F478">
            <v>51.2</v>
          </cell>
          <cell r="G478" t="str">
            <v>2L10X10X1-3/8X1-1/2</v>
          </cell>
          <cell r="H478">
            <v>10</v>
          </cell>
          <cell r="I478" t="str">
            <v>–</v>
          </cell>
          <cell r="J478" t="str">
            <v>–</v>
          </cell>
          <cell r="K478" t="str">
            <v>–</v>
          </cell>
          <cell r="L478" t="str">
            <v>–</v>
          </cell>
          <cell r="M478" t="str">
            <v>–</v>
          </cell>
          <cell r="N478" t="str">
            <v>–</v>
          </cell>
          <cell r="O478" t="str">
            <v>–</v>
          </cell>
          <cell r="P478">
            <v>10</v>
          </cell>
          <cell r="Q478" t="str">
            <v>–</v>
          </cell>
          <cell r="R478" t="str">
            <v>–</v>
          </cell>
          <cell r="S478" t="str">
            <v>–</v>
          </cell>
          <cell r="T478" t="str">
            <v>–</v>
          </cell>
          <cell r="U478" t="str">
            <v>–</v>
          </cell>
          <cell r="V478" t="str">
            <v>–</v>
          </cell>
          <cell r="W478">
            <v>1.38</v>
          </cell>
          <cell r="X478" t="str">
            <v>–</v>
          </cell>
          <cell r="Y478" t="str">
            <v>–</v>
          </cell>
          <cell r="Z478" t="str">
            <v>–</v>
          </cell>
          <cell r="AA478" t="str">
            <v>–</v>
          </cell>
          <cell r="AB478" t="str">
            <v>–</v>
          </cell>
          <cell r="AC478" t="str">
            <v>–</v>
          </cell>
          <cell r="AD478">
            <v>3</v>
          </cell>
          <cell r="AE478" t="str">
            <v>–</v>
          </cell>
          <cell r="AF478" t="str">
            <v>–</v>
          </cell>
          <cell r="AG478">
            <v>1.28</v>
          </cell>
          <cell r="AH478" t="str">
            <v>–</v>
          </cell>
          <cell r="AI478">
            <v>7.25</v>
          </cell>
          <cell r="AJ478" t="str">
            <v>–</v>
          </cell>
          <cell r="AK478" t="str">
            <v>–</v>
          </cell>
          <cell r="AL478" t="str">
            <v>–</v>
          </cell>
          <cell r="AM478" t="str">
            <v>–</v>
          </cell>
          <cell r="AN478">
            <v>462</v>
          </cell>
          <cell r="AO478">
            <v>120</v>
          </cell>
          <cell r="AP478">
            <v>66</v>
          </cell>
          <cell r="AQ478">
            <v>3</v>
          </cell>
          <cell r="AR478">
            <v>1180</v>
          </cell>
          <cell r="AS478">
            <v>192</v>
          </cell>
          <cell r="AT478">
            <v>110</v>
          </cell>
          <cell r="AU478">
            <v>4.8</v>
          </cell>
        </row>
        <row r="479">
          <cell r="C479" t="str">
            <v>2L10X10X1-1/4</v>
          </cell>
          <cell r="D479" t="str">
            <v>F</v>
          </cell>
          <cell r="E479">
            <v>160</v>
          </cell>
          <cell r="F479">
            <v>46.8</v>
          </cell>
          <cell r="G479" t="str">
            <v>2L10X10X1-1/4</v>
          </cell>
          <cell r="H479">
            <v>10</v>
          </cell>
          <cell r="I479" t="str">
            <v>–</v>
          </cell>
          <cell r="J479" t="str">
            <v>–</v>
          </cell>
          <cell r="K479" t="str">
            <v>–</v>
          </cell>
          <cell r="L479" t="str">
            <v>–</v>
          </cell>
          <cell r="M479" t="str">
            <v>–</v>
          </cell>
          <cell r="N479" t="str">
            <v>–</v>
          </cell>
          <cell r="O479" t="str">
            <v>–</v>
          </cell>
          <cell r="P479">
            <v>10</v>
          </cell>
          <cell r="Q479" t="str">
            <v>–</v>
          </cell>
          <cell r="R479" t="str">
            <v>–</v>
          </cell>
          <cell r="S479" t="str">
            <v>–</v>
          </cell>
          <cell r="T479" t="str">
            <v>–</v>
          </cell>
          <cell r="U479" t="str">
            <v>–</v>
          </cell>
          <cell r="V479" t="str">
            <v>–</v>
          </cell>
          <cell r="W479">
            <v>1.25</v>
          </cell>
          <cell r="X479" t="str">
            <v>–</v>
          </cell>
          <cell r="Y479" t="str">
            <v>–</v>
          </cell>
          <cell r="Z479" t="str">
            <v>–</v>
          </cell>
          <cell r="AA479" t="str">
            <v>–</v>
          </cell>
          <cell r="AB479" t="str">
            <v>–</v>
          </cell>
          <cell r="AC479" t="str">
            <v>–</v>
          </cell>
          <cell r="AD479">
            <v>2.95</v>
          </cell>
          <cell r="AE479" t="str">
            <v>–</v>
          </cell>
          <cell r="AF479" t="str">
            <v>–</v>
          </cell>
          <cell r="AG479">
            <v>1.17</v>
          </cell>
          <cell r="AH479" t="str">
            <v>–</v>
          </cell>
          <cell r="AI479">
            <v>8</v>
          </cell>
          <cell r="AJ479" t="str">
            <v>–</v>
          </cell>
          <cell r="AK479" t="str">
            <v>–</v>
          </cell>
          <cell r="AL479" t="str">
            <v>–</v>
          </cell>
          <cell r="AM479" t="str">
            <v>–</v>
          </cell>
          <cell r="AN479">
            <v>426</v>
          </cell>
          <cell r="AO479">
            <v>110</v>
          </cell>
          <cell r="AP479">
            <v>60.4</v>
          </cell>
          <cell r="AQ479">
            <v>3.02</v>
          </cell>
          <cell r="AR479">
            <v>833</v>
          </cell>
          <cell r="AS479">
            <v>138</v>
          </cell>
          <cell r="AT479">
            <v>83.3</v>
          </cell>
          <cell r="AU479">
            <v>4.22</v>
          </cell>
        </row>
        <row r="480">
          <cell r="C480" t="str">
            <v>2L10X10X1-1/4X3/4</v>
          </cell>
          <cell r="D480" t="str">
            <v>F</v>
          </cell>
          <cell r="E480">
            <v>160</v>
          </cell>
          <cell r="F480">
            <v>46.8</v>
          </cell>
          <cell r="G480" t="str">
            <v>2L10X10X1-1/4X3/4</v>
          </cell>
          <cell r="H480">
            <v>10</v>
          </cell>
          <cell r="I480" t="str">
            <v>–</v>
          </cell>
          <cell r="J480" t="str">
            <v>–</v>
          </cell>
          <cell r="K480" t="str">
            <v>–</v>
          </cell>
          <cell r="L480" t="str">
            <v>–</v>
          </cell>
          <cell r="M480" t="str">
            <v>–</v>
          </cell>
          <cell r="N480" t="str">
            <v>–</v>
          </cell>
          <cell r="O480" t="str">
            <v>–</v>
          </cell>
          <cell r="P480">
            <v>10</v>
          </cell>
          <cell r="Q480" t="str">
            <v>–</v>
          </cell>
          <cell r="R480" t="str">
            <v>–</v>
          </cell>
          <cell r="S480" t="str">
            <v>–</v>
          </cell>
          <cell r="T480" t="str">
            <v>–</v>
          </cell>
          <cell r="U480" t="str">
            <v>–</v>
          </cell>
          <cell r="V480" t="str">
            <v>–</v>
          </cell>
          <cell r="W480">
            <v>1.25</v>
          </cell>
          <cell r="X480" t="str">
            <v>–</v>
          </cell>
          <cell r="Y480" t="str">
            <v>–</v>
          </cell>
          <cell r="Z480" t="str">
            <v>–</v>
          </cell>
          <cell r="AA480" t="str">
            <v>–</v>
          </cell>
          <cell r="AB480" t="str">
            <v>–</v>
          </cell>
          <cell r="AC480" t="str">
            <v>–</v>
          </cell>
          <cell r="AD480">
            <v>2.95</v>
          </cell>
          <cell r="AE480" t="str">
            <v>–</v>
          </cell>
          <cell r="AF480" t="str">
            <v>–</v>
          </cell>
          <cell r="AG480">
            <v>1.17</v>
          </cell>
          <cell r="AH480" t="str">
            <v>–</v>
          </cell>
          <cell r="AI480">
            <v>8</v>
          </cell>
          <cell r="AJ480" t="str">
            <v>–</v>
          </cell>
          <cell r="AK480" t="str">
            <v>–</v>
          </cell>
          <cell r="AL480" t="str">
            <v>–</v>
          </cell>
          <cell r="AM480" t="str">
            <v>–</v>
          </cell>
          <cell r="AN480">
            <v>426</v>
          </cell>
          <cell r="AO480">
            <v>110</v>
          </cell>
          <cell r="AP480">
            <v>60.4</v>
          </cell>
          <cell r="AQ480">
            <v>3.02</v>
          </cell>
          <cell r="AR480">
            <v>943</v>
          </cell>
          <cell r="AS480">
            <v>156</v>
          </cell>
          <cell r="AT480">
            <v>90.9</v>
          </cell>
          <cell r="AU480">
            <v>4.49</v>
          </cell>
        </row>
        <row r="481">
          <cell r="C481" t="str">
            <v>2L10X10X1-1/4X1-1/2</v>
          </cell>
          <cell r="D481" t="str">
            <v>F</v>
          </cell>
          <cell r="E481">
            <v>160</v>
          </cell>
          <cell r="F481">
            <v>46.8</v>
          </cell>
          <cell r="G481" t="str">
            <v>2L10X10X1-1/4X1-1/2</v>
          </cell>
          <cell r="H481">
            <v>10</v>
          </cell>
          <cell r="I481" t="str">
            <v>–</v>
          </cell>
          <cell r="J481" t="str">
            <v>–</v>
          </cell>
          <cell r="K481" t="str">
            <v>–</v>
          </cell>
          <cell r="L481" t="str">
            <v>–</v>
          </cell>
          <cell r="M481" t="str">
            <v>–</v>
          </cell>
          <cell r="N481" t="str">
            <v>–</v>
          </cell>
          <cell r="O481" t="str">
            <v>–</v>
          </cell>
          <cell r="P481">
            <v>10</v>
          </cell>
          <cell r="Q481" t="str">
            <v>–</v>
          </cell>
          <cell r="R481" t="str">
            <v>–</v>
          </cell>
          <cell r="S481" t="str">
            <v>–</v>
          </cell>
          <cell r="T481" t="str">
            <v>–</v>
          </cell>
          <cell r="U481" t="str">
            <v>–</v>
          </cell>
          <cell r="V481" t="str">
            <v>–</v>
          </cell>
          <cell r="W481">
            <v>1.25</v>
          </cell>
          <cell r="X481" t="str">
            <v>–</v>
          </cell>
          <cell r="Y481" t="str">
            <v>–</v>
          </cell>
          <cell r="Z481" t="str">
            <v>–</v>
          </cell>
          <cell r="AA481" t="str">
            <v>–</v>
          </cell>
          <cell r="AB481" t="str">
            <v>–</v>
          </cell>
          <cell r="AC481" t="str">
            <v>–</v>
          </cell>
          <cell r="AD481">
            <v>2.95</v>
          </cell>
          <cell r="AE481" t="str">
            <v>–</v>
          </cell>
          <cell r="AF481" t="str">
            <v>–</v>
          </cell>
          <cell r="AG481">
            <v>1.17</v>
          </cell>
          <cell r="AH481" t="str">
            <v>–</v>
          </cell>
          <cell r="AI481">
            <v>8</v>
          </cell>
          <cell r="AJ481" t="str">
            <v>–</v>
          </cell>
          <cell r="AK481" t="str">
            <v>–</v>
          </cell>
          <cell r="AL481" t="str">
            <v>–</v>
          </cell>
          <cell r="AM481" t="str">
            <v>–</v>
          </cell>
          <cell r="AN481">
            <v>426</v>
          </cell>
          <cell r="AO481">
            <v>110</v>
          </cell>
          <cell r="AP481">
            <v>60.4</v>
          </cell>
          <cell r="AQ481">
            <v>3.02</v>
          </cell>
          <cell r="AR481">
            <v>1070</v>
          </cell>
          <cell r="AS481">
            <v>173</v>
          </cell>
          <cell r="AT481">
            <v>99.5</v>
          </cell>
          <cell r="AU481">
            <v>4.78</v>
          </cell>
        </row>
        <row r="482">
          <cell r="C482" t="str">
            <v>2L10X10X1-1/8</v>
          </cell>
          <cell r="D482" t="str">
            <v>F</v>
          </cell>
          <cell r="E482">
            <v>145</v>
          </cell>
          <cell r="F482">
            <v>42.6</v>
          </cell>
          <cell r="G482" t="str">
            <v>2L10X10X1-1/8</v>
          </cell>
          <cell r="H482">
            <v>10</v>
          </cell>
          <cell r="I482" t="str">
            <v>–</v>
          </cell>
          <cell r="J482" t="str">
            <v>–</v>
          </cell>
          <cell r="K482" t="str">
            <v>–</v>
          </cell>
          <cell r="L482" t="str">
            <v>–</v>
          </cell>
          <cell r="M482" t="str">
            <v>–</v>
          </cell>
          <cell r="N482" t="str">
            <v>–</v>
          </cell>
          <cell r="O482" t="str">
            <v>–</v>
          </cell>
          <cell r="P482">
            <v>10</v>
          </cell>
          <cell r="Q482" t="str">
            <v>–</v>
          </cell>
          <cell r="R482" t="str">
            <v>–</v>
          </cell>
          <cell r="S482" t="str">
            <v>–</v>
          </cell>
          <cell r="T482" t="str">
            <v>–</v>
          </cell>
          <cell r="U482" t="str">
            <v>–</v>
          </cell>
          <cell r="V482" t="str">
            <v>–</v>
          </cell>
          <cell r="W482">
            <v>1.1299999999999999</v>
          </cell>
          <cell r="X482" t="str">
            <v>–</v>
          </cell>
          <cell r="Y482" t="str">
            <v>–</v>
          </cell>
          <cell r="Z482" t="str">
            <v>–</v>
          </cell>
          <cell r="AA482" t="str">
            <v>–</v>
          </cell>
          <cell r="AB482" t="str">
            <v>–</v>
          </cell>
          <cell r="AC482" t="str">
            <v>–</v>
          </cell>
          <cell r="AD482">
            <v>2.9</v>
          </cell>
          <cell r="AE482" t="str">
            <v>–</v>
          </cell>
          <cell r="AF482" t="str">
            <v>–</v>
          </cell>
          <cell r="AG482">
            <v>1.07</v>
          </cell>
          <cell r="AH482" t="str">
            <v>–</v>
          </cell>
          <cell r="AI482">
            <v>8.85</v>
          </cell>
          <cell r="AJ482" t="str">
            <v>–</v>
          </cell>
          <cell r="AK482" t="str">
            <v>–</v>
          </cell>
          <cell r="AL482" t="str">
            <v>–</v>
          </cell>
          <cell r="AM482" t="str">
            <v>–</v>
          </cell>
          <cell r="AN482">
            <v>392</v>
          </cell>
          <cell r="AO482">
            <v>100</v>
          </cell>
          <cell r="AP482">
            <v>55.2</v>
          </cell>
          <cell r="AQ482">
            <v>3.03</v>
          </cell>
          <cell r="AR482">
            <v>750</v>
          </cell>
          <cell r="AS482">
            <v>124</v>
          </cell>
          <cell r="AT482">
            <v>75</v>
          </cell>
          <cell r="AU482">
            <v>4.2</v>
          </cell>
        </row>
        <row r="483">
          <cell r="C483" t="str">
            <v>2L10X10X1-1/8X3/4</v>
          </cell>
          <cell r="D483" t="str">
            <v>F</v>
          </cell>
          <cell r="E483">
            <v>145</v>
          </cell>
          <cell r="F483">
            <v>42.6</v>
          </cell>
          <cell r="G483" t="str">
            <v>2L10X10X1-1/8X3/4</v>
          </cell>
          <cell r="H483">
            <v>10</v>
          </cell>
          <cell r="I483" t="str">
            <v>–</v>
          </cell>
          <cell r="J483" t="str">
            <v>–</v>
          </cell>
          <cell r="K483" t="str">
            <v>–</v>
          </cell>
          <cell r="L483" t="str">
            <v>–</v>
          </cell>
          <cell r="M483" t="str">
            <v>–</v>
          </cell>
          <cell r="N483" t="str">
            <v>–</v>
          </cell>
          <cell r="O483" t="str">
            <v>–</v>
          </cell>
          <cell r="P483">
            <v>10</v>
          </cell>
          <cell r="Q483" t="str">
            <v>–</v>
          </cell>
          <cell r="R483" t="str">
            <v>–</v>
          </cell>
          <cell r="S483" t="str">
            <v>–</v>
          </cell>
          <cell r="T483" t="str">
            <v>–</v>
          </cell>
          <cell r="U483" t="str">
            <v>–</v>
          </cell>
          <cell r="V483" t="str">
            <v>–</v>
          </cell>
          <cell r="W483">
            <v>1.1299999999999999</v>
          </cell>
          <cell r="X483" t="str">
            <v>–</v>
          </cell>
          <cell r="Y483" t="str">
            <v>–</v>
          </cell>
          <cell r="Z483" t="str">
            <v>–</v>
          </cell>
          <cell r="AA483" t="str">
            <v>–</v>
          </cell>
          <cell r="AB483" t="str">
            <v>–</v>
          </cell>
          <cell r="AC483" t="str">
            <v>–</v>
          </cell>
          <cell r="AD483">
            <v>2.9</v>
          </cell>
          <cell r="AE483" t="str">
            <v>–</v>
          </cell>
          <cell r="AF483" t="str">
            <v>–</v>
          </cell>
          <cell r="AG483">
            <v>1.07</v>
          </cell>
          <cell r="AH483" t="str">
            <v>–</v>
          </cell>
          <cell r="AI483">
            <v>8.85</v>
          </cell>
          <cell r="AJ483" t="str">
            <v>–</v>
          </cell>
          <cell r="AK483" t="str">
            <v>–</v>
          </cell>
          <cell r="AL483" t="str">
            <v>–</v>
          </cell>
          <cell r="AM483" t="str">
            <v>–</v>
          </cell>
          <cell r="AN483">
            <v>392</v>
          </cell>
          <cell r="AO483">
            <v>100</v>
          </cell>
          <cell r="AP483">
            <v>55.2</v>
          </cell>
          <cell r="AQ483">
            <v>3.03</v>
          </cell>
          <cell r="AR483">
            <v>849</v>
          </cell>
          <cell r="AS483">
            <v>140</v>
          </cell>
          <cell r="AT483">
            <v>81.8</v>
          </cell>
          <cell r="AU483">
            <v>4.46</v>
          </cell>
        </row>
        <row r="484">
          <cell r="C484" t="str">
            <v>2L10X10X1-1/8X1-1/2</v>
          </cell>
          <cell r="D484" t="str">
            <v>F</v>
          </cell>
          <cell r="E484">
            <v>145</v>
          </cell>
          <cell r="F484">
            <v>42.6</v>
          </cell>
          <cell r="G484" t="str">
            <v>2L10X10X1-1/8X1-1/2</v>
          </cell>
          <cell r="H484">
            <v>10</v>
          </cell>
          <cell r="I484" t="str">
            <v>–</v>
          </cell>
          <cell r="J484" t="str">
            <v>–</v>
          </cell>
          <cell r="K484" t="str">
            <v>–</v>
          </cell>
          <cell r="L484" t="str">
            <v>–</v>
          </cell>
          <cell r="M484" t="str">
            <v>–</v>
          </cell>
          <cell r="N484" t="str">
            <v>–</v>
          </cell>
          <cell r="O484" t="str">
            <v>–</v>
          </cell>
          <cell r="P484">
            <v>10</v>
          </cell>
          <cell r="Q484" t="str">
            <v>–</v>
          </cell>
          <cell r="R484" t="str">
            <v>–</v>
          </cell>
          <cell r="S484" t="str">
            <v>–</v>
          </cell>
          <cell r="T484" t="str">
            <v>–</v>
          </cell>
          <cell r="U484" t="str">
            <v>–</v>
          </cell>
          <cell r="V484" t="str">
            <v>–</v>
          </cell>
          <cell r="W484">
            <v>1.1299999999999999</v>
          </cell>
          <cell r="X484" t="str">
            <v>–</v>
          </cell>
          <cell r="Y484" t="str">
            <v>–</v>
          </cell>
          <cell r="Z484" t="str">
            <v>–</v>
          </cell>
          <cell r="AA484" t="str">
            <v>–</v>
          </cell>
          <cell r="AB484" t="str">
            <v>–</v>
          </cell>
          <cell r="AC484" t="str">
            <v>–</v>
          </cell>
          <cell r="AD484">
            <v>2.9</v>
          </cell>
          <cell r="AE484" t="str">
            <v>–</v>
          </cell>
          <cell r="AF484" t="str">
            <v>–</v>
          </cell>
          <cell r="AG484">
            <v>1.07</v>
          </cell>
          <cell r="AH484" t="str">
            <v>–</v>
          </cell>
          <cell r="AI484">
            <v>8.85</v>
          </cell>
          <cell r="AJ484" t="str">
            <v>–</v>
          </cell>
          <cell r="AK484" t="str">
            <v>–</v>
          </cell>
          <cell r="AL484" t="str">
            <v>–</v>
          </cell>
          <cell r="AM484" t="str">
            <v>–</v>
          </cell>
          <cell r="AN484">
            <v>392</v>
          </cell>
          <cell r="AO484">
            <v>100</v>
          </cell>
          <cell r="AP484">
            <v>55.2</v>
          </cell>
          <cell r="AQ484">
            <v>3.03</v>
          </cell>
          <cell r="AR484">
            <v>960</v>
          </cell>
          <cell r="AS484">
            <v>155</v>
          </cell>
          <cell r="AT484">
            <v>89.3</v>
          </cell>
          <cell r="AU484">
            <v>4.75</v>
          </cell>
        </row>
        <row r="485">
          <cell r="C485" t="str">
            <v>2L10X10X1</v>
          </cell>
          <cell r="D485" t="str">
            <v>F</v>
          </cell>
          <cell r="E485">
            <v>129</v>
          </cell>
          <cell r="F485">
            <v>38</v>
          </cell>
          <cell r="G485" t="str">
            <v>2L10X10X1</v>
          </cell>
          <cell r="H485">
            <v>10</v>
          </cell>
          <cell r="I485" t="str">
            <v>–</v>
          </cell>
          <cell r="J485" t="str">
            <v>–</v>
          </cell>
          <cell r="K485" t="str">
            <v>–</v>
          </cell>
          <cell r="L485" t="str">
            <v>–</v>
          </cell>
          <cell r="M485" t="str">
            <v>–</v>
          </cell>
          <cell r="N485" t="str">
            <v>–</v>
          </cell>
          <cell r="O485" t="str">
            <v>–</v>
          </cell>
          <cell r="P485">
            <v>10</v>
          </cell>
          <cell r="Q485" t="str">
            <v>–</v>
          </cell>
          <cell r="R485" t="str">
            <v>–</v>
          </cell>
          <cell r="S485" t="str">
            <v>–</v>
          </cell>
          <cell r="T485" t="str">
            <v>–</v>
          </cell>
          <cell r="U485" t="str">
            <v>–</v>
          </cell>
          <cell r="V485" t="str">
            <v>–</v>
          </cell>
          <cell r="W485">
            <v>1</v>
          </cell>
          <cell r="X485" t="str">
            <v>–</v>
          </cell>
          <cell r="Y485" t="str">
            <v>–</v>
          </cell>
          <cell r="Z485" t="str">
            <v>–</v>
          </cell>
          <cell r="AA485" t="str">
            <v>–</v>
          </cell>
          <cell r="AB485" t="str">
            <v>–</v>
          </cell>
          <cell r="AC485" t="str">
            <v>–</v>
          </cell>
          <cell r="AD485">
            <v>2.86</v>
          </cell>
          <cell r="AE485" t="str">
            <v>–</v>
          </cell>
          <cell r="AF485" t="str">
            <v>–</v>
          </cell>
          <cell r="AG485">
            <v>0.95</v>
          </cell>
          <cell r="AH485" t="str">
            <v>–</v>
          </cell>
          <cell r="AI485">
            <v>10</v>
          </cell>
          <cell r="AJ485" t="str">
            <v>–</v>
          </cell>
          <cell r="AK485" t="str">
            <v>–</v>
          </cell>
          <cell r="AL485" t="str">
            <v>–</v>
          </cell>
          <cell r="AM485" t="str">
            <v>–</v>
          </cell>
          <cell r="AN485">
            <v>354</v>
          </cell>
          <cell r="AO485">
            <v>90</v>
          </cell>
          <cell r="AP485">
            <v>49.6</v>
          </cell>
          <cell r="AQ485">
            <v>3.05</v>
          </cell>
          <cell r="AR485">
            <v>665</v>
          </cell>
          <cell r="AS485">
            <v>109</v>
          </cell>
          <cell r="AT485">
            <v>66.5</v>
          </cell>
          <cell r="AU485">
            <v>4.18</v>
          </cell>
        </row>
        <row r="486">
          <cell r="C486" t="str">
            <v>2L10X10X1X3/4</v>
          </cell>
          <cell r="D486" t="str">
            <v>F</v>
          </cell>
          <cell r="E486">
            <v>129</v>
          </cell>
          <cell r="F486">
            <v>38</v>
          </cell>
          <cell r="G486" t="str">
            <v>2L10X10X1X3/4</v>
          </cell>
          <cell r="H486">
            <v>10</v>
          </cell>
          <cell r="I486" t="str">
            <v>–</v>
          </cell>
          <cell r="J486" t="str">
            <v>–</v>
          </cell>
          <cell r="K486" t="str">
            <v>–</v>
          </cell>
          <cell r="L486" t="str">
            <v>–</v>
          </cell>
          <cell r="M486" t="str">
            <v>–</v>
          </cell>
          <cell r="N486" t="str">
            <v>–</v>
          </cell>
          <cell r="O486" t="str">
            <v>–</v>
          </cell>
          <cell r="P486">
            <v>10</v>
          </cell>
          <cell r="Q486" t="str">
            <v>–</v>
          </cell>
          <cell r="R486" t="str">
            <v>–</v>
          </cell>
          <cell r="S486" t="str">
            <v>–</v>
          </cell>
          <cell r="T486" t="str">
            <v>–</v>
          </cell>
          <cell r="U486" t="str">
            <v>–</v>
          </cell>
          <cell r="V486" t="str">
            <v>–</v>
          </cell>
          <cell r="W486">
            <v>1</v>
          </cell>
          <cell r="X486" t="str">
            <v>–</v>
          </cell>
          <cell r="Y486" t="str">
            <v>–</v>
          </cell>
          <cell r="Z486" t="str">
            <v>–</v>
          </cell>
          <cell r="AA486" t="str">
            <v>–</v>
          </cell>
          <cell r="AB486" t="str">
            <v>–</v>
          </cell>
          <cell r="AC486" t="str">
            <v>–</v>
          </cell>
          <cell r="AD486">
            <v>2.86</v>
          </cell>
          <cell r="AE486" t="str">
            <v>–</v>
          </cell>
          <cell r="AF486" t="str">
            <v>–</v>
          </cell>
          <cell r="AG486">
            <v>0.95</v>
          </cell>
          <cell r="AH486" t="str">
            <v>–</v>
          </cell>
          <cell r="AI486">
            <v>10</v>
          </cell>
          <cell r="AJ486" t="str">
            <v>–</v>
          </cell>
          <cell r="AK486" t="str">
            <v>–</v>
          </cell>
          <cell r="AL486" t="str">
            <v>–</v>
          </cell>
          <cell r="AM486" t="str">
            <v>–</v>
          </cell>
          <cell r="AN486">
            <v>354</v>
          </cell>
          <cell r="AO486">
            <v>90</v>
          </cell>
          <cell r="AP486">
            <v>49.6</v>
          </cell>
          <cell r="AQ486">
            <v>3.05</v>
          </cell>
          <cell r="AR486">
            <v>752</v>
          </cell>
          <cell r="AS486">
            <v>123</v>
          </cell>
          <cell r="AT486">
            <v>72.5</v>
          </cell>
          <cell r="AU486">
            <v>4.45</v>
          </cell>
        </row>
        <row r="487">
          <cell r="C487" t="str">
            <v>2L10X10X1X1-1/2</v>
          </cell>
          <cell r="D487" t="str">
            <v>F</v>
          </cell>
          <cell r="E487">
            <v>129</v>
          </cell>
          <cell r="F487">
            <v>38</v>
          </cell>
          <cell r="G487" t="str">
            <v>2L10X10X1X1-1/2</v>
          </cell>
          <cell r="H487">
            <v>10</v>
          </cell>
          <cell r="I487" t="str">
            <v>–</v>
          </cell>
          <cell r="J487" t="str">
            <v>–</v>
          </cell>
          <cell r="K487" t="str">
            <v>–</v>
          </cell>
          <cell r="L487" t="str">
            <v>–</v>
          </cell>
          <cell r="M487" t="str">
            <v>–</v>
          </cell>
          <cell r="N487" t="str">
            <v>–</v>
          </cell>
          <cell r="O487" t="str">
            <v>–</v>
          </cell>
          <cell r="P487">
            <v>10</v>
          </cell>
          <cell r="Q487" t="str">
            <v>–</v>
          </cell>
          <cell r="R487" t="str">
            <v>–</v>
          </cell>
          <cell r="S487" t="str">
            <v>–</v>
          </cell>
          <cell r="T487" t="str">
            <v>–</v>
          </cell>
          <cell r="U487" t="str">
            <v>–</v>
          </cell>
          <cell r="V487" t="str">
            <v>–</v>
          </cell>
          <cell r="W487">
            <v>1</v>
          </cell>
          <cell r="X487" t="str">
            <v>–</v>
          </cell>
          <cell r="Y487" t="str">
            <v>–</v>
          </cell>
          <cell r="Z487" t="str">
            <v>–</v>
          </cell>
          <cell r="AA487" t="str">
            <v>–</v>
          </cell>
          <cell r="AB487" t="str">
            <v>–</v>
          </cell>
          <cell r="AC487" t="str">
            <v>–</v>
          </cell>
          <cell r="AD487">
            <v>2.86</v>
          </cell>
          <cell r="AE487" t="str">
            <v>–</v>
          </cell>
          <cell r="AF487" t="str">
            <v>–</v>
          </cell>
          <cell r="AG487">
            <v>0.95</v>
          </cell>
          <cell r="AH487" t="str">
            <v>–</v>
          </cell>
          <cell r="AI487">
            <v>10</v>
          </cell>
          <cell r="AJ487" t="str">
            <v>–</v>
          </cell>
          <cell r="AK487" t="str">
            <v>–</v>
          </cell>
          <cell r="AL487" t="str">
            <v>–</v>
          </cell>
          <cell r="AM487" t="str">
            <v>–</v>
          </cell>
          <cell r="AN487">
            <v>354</v>
          </cell>
          <cell r="AO487">
            <v>90</v>
          </cell>
          <cell r="AP487">
            <v>49.6</v>
          </cell>
          <cell r="AQ487">
            <v>3.05</v>
          </cell>
          <cell r="AR487">
            <v>849</v>
          </cell>
          <cell r="AS487">
            <v>137</v>
          </cell>
          <cell r="AT487">
            <v>79</v>
          </cell>
          <cell r="AU487">
            <v>4.7300000000000004</v>
          </cell>
        </row>
        <row r="488">
          <cell r="C488" t="str">
            <v>2L10X10X7/8</v>
          </cell>
          <cell r="D488" t="str">
            <v>F</v>
          </cell>
          <cell r="E488">
            <v>114</v>
          </cell>
          <cell r="F488">
            <v>33.6</v>
          </cell>
          <cell r="G488" t="str">
            <v>2L10X10X7/8</v>
          </cell>
          <cell r="H488">
            <v>10</v>
          </cell>
          <cell r="I488" t="str">
            <v>–</v>
          </cell>
          <cell r="J488" t="str">
            <v>–</v>
          </cell>
          <cell r="K488" t="str">
            <v>–</v>
          </cell>
          <cell r="L488" t="str">
            <v>–</v>
          </cell>
          <cell r="M488" t="str">
            <v>–</v>
          </cell>
          <cell r="N488" t="str">
            <v>–</v>
          </cell>
          <cell r="O488" t="str">
            <v>–</v>
          </cell>
          <cell r="P488">
            <v>10</v>
          </cell>
          <cell r="Q488" t="str">
            <v>–</v>
          </cell>
          <cell r="R488" t="str">
            <v>–</v>
          </cell>
          <cell r="S488" t="str">
            <v>–</v>
          </cell>
          <cell r="T488" t="str">
            <v>–</v>
          </cell>
          <cell r="U488" t="str">
            <v>–</v>
          </cell>
          <cell r="V488" t="str">
            <v>–</v>
          </cell>
          <cell r="W488">
            <v>0.875</v>
          </cell>
          <cell r="X488" t="str">
            <v>–</v>
          </cell>
          <cell r="Y488" t="str">
            <v>–</v>
          </cell>
          <cell r="Z488" t="str">
            <v>–</v>
          </cell>
          <cell r="AA488" t="str">
            <v>–</v>
          </cell>
          <cell r="AB488" t="str">
            <v>–</v>
          </cell>
          <cell r="AC488" t="str">
            <v>–</v>
          </cell>
          <cell r="AD488">
            <v>2.8</v>
          </cell>
          <cell r="AE488" t="str">
            <v>–</v>
          </cell>
          <cell r="AF488" t="str">
            <v>–</v>
          </cell>
          <cell r="AG488">
            <v>0.84</v>
          </cell>
          <cell r="AH488" t="str">
            <v>–</v>
          </cell>
          <cell r="AI488">
            <v>11.4</v>
          </cell>
          <cell r="AJ488" t="str">
            <v>–</v>
          </cell>
          <cell r="AK488" t="str">
            <v>–</v>
          </cell>
          <cell r="AL488" t="str">
            <v>–</v>
          </cell>
          <cell r="AM488" t="str">
            <v>–</v>
          </cell>
          <cell r="AN488">
            <v>316</v>
          </cell>
          <cell r="AO488">
            <v>79.8</v>
          </cell>
          <cell r="AP488">
            <v>43.8</v>
          </cell>
          <cell r="AQ488">
            <v>3.07</v>
          </cell>
          <cell r="AR488">
            <v>579</v>
          </cell>
          <cell r="AS488">
            <v>94.1</v>
          </cell>
          <cell r="AT488">
            <v>57.9</v>
          </cell>
          <cell r="AU488">
            <v>4.1500000000000004</v>
          </cell>
        </row>
        <row r="489">
          <cell r="C489" t="str">
            <v>2L10X10X7/8X3/4</v>
          </cell>
          <cell r="D489" t="str">
            <v>F</v>
          </cell>
          <cell r="E489">
            <v>114</v>
          </cell>
          <cell r="F489">
            <v>33.6</v>
          </cell>
          <cell r="G489" t="str">
            <v>2L10X10X7/8X3/4</v>
          </cell>
          <cell r="H489">
            <v>10</v>
          </cell>
          <cell r="I489" t="str">
            <v>–</v>
          </cell>
          <cell r="J489" t="str">
            <v>–</v>
          </cell>
          <cell r="K489" t="str">
            <v>–</v>
          </cell>
          <cell r="L489" t="str">
            <v>–</v>
          </cell>
          <cell r="M489" t="str">
            <v>–</v>
          </cell>
          <cell r="N489" t="str">
            <v>–</v>
          </cell>
          <cell r="O489" t="str">
            <v>–</v>
          </cell>
          <cell r="P489">
            <v>10</v>
          </cell>
          <cell r="Q489" t="str">
            <v>–</v>
          </cell>
          <cell r="R489" t="str">
            <v>–</v>
          </cell>
          <cell r="S489" t="str">
            <v>–</v>
          </cell>
          <cell r="T489" t="str">
            <v>–</v>
          </cell>
          <cell r="U489" t="str">
            <v>–</v>
          </cell>
          <cell r="V489" t="str">
            <v>–</v>
          </cell>
          <cell r="W489">
            <v>0.875</v>
          </cell>
          <cell r="X489" t="str">
            <v>–</v>
          </cell>
          <cell r="Y489" t="str">
            <v>–</v>
          </cell>
          <cell r="Z489" t="str">
            <v>–</v>
          </cell>
          <cell r="AA489" t="str">
            <v>–</v>
          </cell>
          <cell r="AB489" t="str">
            <v>–</v>
          </cell>
          <cell r="AC489" t="str">
            <v>–</v>
          </cell>
          <cell r="AD489">
            <v>2.8</v>
          </cell>
          <cell r="AE489" t="str">
            <v>–</v>
          </cell>
          <cell r="AF489" t="str">
            <v>–</v>
          </cell>
          <cell r="AG489">
            <v>0.84</v>
          </cell>
          <cell r="AH489" t="str">
            <v>–</v>
          </cell>
          <cell r="AI489">
            <v>11.4</v>
          </cell>
          <cell r="AJ489" t="str">
            <v>–</v>
          </cell>
          <cell r="AK489" t="str">
            <v>–</v>
          </cell>
          <cell r="AL489" t="str">
            <v>–</v>
          </cell>
          <cell r="AM489" t="str">
            <v>–</v>
          </cell>
          <cell r="AN489">
            <v>316</v>
          </cell>
          <cell r="AO489">
            <v>79.8</v>
          </cell>
          <cell r="AP489">
            <v>43.8</v>
          </cell>
          <cell r="AQ489">
            <v>3.07</v>
          </cell>
          <cell r="AR489">
            <v>655</v>
          </cell>
          <cell r="AS489">
            <v>107</v>
          </cell>
          <cell r="AT489">
            <v>63.1</v>
          </cell>
          <cell r="AU489">
            <v>4.42</v>
          </cell>
        </row>
        <row r="490">
          <cell r="C490" t="str">
            <v>2L10X10X7/8X1-1/2</v>
          </cell>
          <cell r="D490" t="str">
            <v>F</v>
          </cell>
          <cell r="E490">
            <v>114</v>
          </cell>
          <cell r="F490">
            <v>33.6</v>
          </cell>
          <cell r="G490" t="str">
            <v>2L10X10X7/8X1-1/2</v>
          </cell>
          <cell r="H490">
            <v>10</v>
          </cell>
          <cell r="I490" t="str">
            <v>–</v>
          </cell>
          <cell r="J490" t="str">
            <v>–</v>
          </cell>
          <cell r="K490" t="str">
            <v>–</v>
          </cell>
          <cell r="L490" t="str">
            <v>–</v>
          </cell>
          <cell r="M490" t="str">
            <v>–</v>
          </cell>
          <cell r="N490" t="str">
            <v>–</v>
          </cell>
          <cell r="O490" t="str">
            <v>–</v>
          </cell>
          <cell r="P490">
            <v>10</v>
          </cell>
          <cell r="Q490" t="str">
            <v>–</v>
          </cell>
          <cell r="R490" t="str">
            <v>–</v>
          </cell>
          <cell r="S490" t="str">
            <v>–</v>
          </cell>
          <cell r="T490" t="str">
            <v>–</v>
          </cell>
          <cell r="U490" t="str">
            <v>–</v>
          </cell>
          <cell r="V490" t="str">
            <v>–</v>
          </cell>
          <cell r="W490">
            <v>0.875</v>
          </cell>
          <cell r="X490" t="str">
            <v>–</v>
          </cell>
          <cell r="Y490" t="str">
            <v>–</v>
          </cell>
          <cell r="Z490" t="str">
            <v>–</v>
          </cell>
          <cell r="AA490" t="str">
            <v>–</v>
          </cell>
          <cell r="AB490" t="str">
            <v>–</v>
          </cell>
          <cell r="AC490" t="str">
            <v>–</v>
          </cell>
          <cell r="AD490">
            <v>2.8</v>
          </cell>
          <cell r="AE490" t="str">
            <v>–</v>
          </cell>
          <cell r="AF490" t="str">
            <v>–</v>
          </cell>
          <cell r="AG490">
            <v>0.84</v>
          </cell>
          <cell r="AH490" t="str">
            <v>–</v>
          </cell>
          <cell r="AI490">
            <v>11.4</v>
          </cell>
          <cell r="AJ490" t="str">
            <v>–</v>
          </cell>
          <cell r="AK490" t="str">
            <v>–</v>
          </cell>
          <cell r="AL490" t="str">
            <v>–</v>
          </cell>
          <cell r="AM490" t="str">
            <v>–</v>
          </cell>
          <cell r="AN490">
            <v>316</v>
          </cell>
          <cell r="AO490">
            <v>79.8</v>
          </cell>
          <cell r="AP490">
            <v>43.8</v>
          </cell>
          <cell r="AQ490">
            <v>3.07</v>
          </cell>
          <cell r="AR490">
            <v>739</v>
          </cell>
          <cell r="AS490">
            <v>119</v>
          </cell>
          <cell r="AT490">
            <v>68.7</v>
          </cell>
          <cell r="AU490">
            <v>4.6900000000000004</v>
          </cell>
        </row>
        <row r="491">
          <cell r="C491" t="str">
            <v>2L10X10X3/4</v>
          </cell>
          <cell r="D491" t="str">
            <v>F</v>
          </cell>
          <cell r="E491">
            <v>98.2</v>
          </cell>
          <cell r="F491">
            <v>29</v>
          </cell>
          <cell r="G491" t="str">
            <v>2L10X10X3/4</v>
          </cell>
          <cell r="H491">
            <v>10</v>
          </cell>
          <cell r="I491" t="str">
            <v>–</v>
          </cell>
          <cell r="J491" t="str">
            <v>–</v>
          </cell>
          <cell r="K491" t="str">
            <v>–</v>
          </cell>
          <cell r="L491" t="str">
            <v>–</v>
          </cell>
          <cell r="M491" t="str">
            <v>–</v>
          </cell>
          <cell r="N491" t="str">
            <v>–</v>
          </cell>
          <cell r="O491" t="str">
            <v>–</v>
          </cell>
          <cell r="P491">
            <v>10</v>
          </cell>
          <cell r="Q491" t="str">
            <v>–</v>
          </cell>
          <cell r="R491" t="str">
            <v>–</v>
          </cell>
          <cell r="S491" t="str">
            <v>–</v>
          </cell>
          <cell r="T491" t="str">
            <v>–</v>
          </cell>
          <cell r="U491" t="str">
            <v>–</v>
          </cell>
          <cell r="V491" t="str">
            <v>–</v>
          </cell>
          <cell r="W491">
            <v>0.75</v>
          </cell>
          <cell r="X491" t="str">
            <v>–</v>
          </cell>
          <cell r="Y491" t="str">
            <v>–</v>
          </cell>
          <cell r="Z491" t="str">
            <v>–</v>
          </cell>
          <cell r="AA491" t="str">
            <v>–</v>
          </cell>
          <cell r="AB491" t="str">
            <v>–</v>
          </cell>
          <cell r="AC491" t="str">
            <v>–</v>
          </cell>
          <cell r="AD491">
            <v>2.76</v>
          </cell>
          <cell r="AE491" t="str">
            <v>–</v>
          </cell>
          <cell r="AF491" t="str">
            <v>–</v>
          </cell>
          <cell r="AG491">
            <v>0.72499999999999998</v>
          </cell>
          <cell r="AH491" t="str">
            <v>–</v>
          </cell>
          <cell r="AI491">
            <v>13.3</v>
          </cell>
          <cell r="AJ491" t="str">
            <v>–</v>
          </cell>
          <cell r="AK491" t="str">
            <v>–</v>
          </cell>
          <cell r="AL491" t="str">
            <v>–</v>
          </cell>
          <cell r="AM491" t="str">
            <v>–</v>
          </cell>
          <cell r="AN491">
            <v>278</v>
          </cell>
          <cell r="AO491">
            <v>69.2</v>
          </cell>
          <cell r="AP491">
            <v>38.4</v>
          </cell>
          <cell r="AQ491">
            <v>3.1</v>
          </cell>
          <cell r="AR491">
            <v>499</v>
          </cell>
          <cell r="AS491">
            <v>80</v>
          </cell>
          <cell r="AT491">
            <v>49.9</v>
          </cell>
          <cell r="AU491">
            <v>4.1500000000000004</v>
          </cell>
        </row>
        <row r="492">
          <cell r="C492" t="str">
            <v>2L10X10X3/4X3/4</v>
          </cell>
          <cell r="D492" t="str">
            <v>F</v>
          </cell>
          <cell r="E492">
            <v>98.2</v>
          </cell>
          <cell r="F492">
            <v>29</v>
          </cell>
          <cell r="G492" t="str">
            <v>2L10X10X3/4X3/4</v>
          </cell>
          <cell r="H492">
            <v>10</v>
          </cell>
          <cell r="I492" t="str">
            <v>–</v>
          </cell>
          <cell r="J492" t="str">
            <v>–</v>
          </cell>
          <cell r="K492" t="str">
            <v>–</v>
          </cell>
          <cell r="L492" t="str">
            <v>–</v>
          </cell>
          <cell r="M492" t="str">
            <v>–</v>
          </cell>
          <cell r="N492" t="str">
            <v>–</v>
          </cell>
          <cell r="O492" t="str">
            <v>–</v>
          </cell>
          <cell r="P492">
            <v>10</v>
          </cell>
          <cell r="Q492" t="str">
            <v>–</v>
          </cell>
          <cell r="R492" t="str">
            <v>–</v>
          </cell>
          <cell r="S492" t="str">
            <v>–</v>
          </cell>
          <cell r="T492" t="str">
            <v>–</v>
          </cell>
          <cell r="U492" t="str">
            <v>–</v>
          </cell>
          <cell r="V492" t="str">
            <v>–</v>
          </cell>
          <cell r="W492">
            <v>0.75</v>
          </cell>
          <cell r="X492" t="str">
            <v>–</v>
          </cell>
          <cell r="Y492" t="str">
            <v>–</v>
          </cell>
          <cell r="Z492" t="str">
            <v>–</v>
          </cell>
          <cell r="AA492" t="str">
            <v>–</v>
          </cell>
          <cell r="AB492" t="str">
            <v>–</v>
          </cell>
          <cell r="AC492" t="str">
            <v>–</v>
          </cell>
          <cell r="AD492">
            <v>2.76</v>
          </cell>
          <cell r="AE492" t="str">
            <v>–</v>
          </cell>
          <cell r="AF492" t="str">
            <v>–</v>
          </cell>
          <cell r="AG492">
            <v>0.72499999999999998</v>
          </cell>
          <cell r="AH492" t="str">
            <v>–</v>
          </cell>
          <cell r="AI492">
            <v>13.3</v>
          </cell>
          <cell r="AJ492" t="str">
            <v>–</v>
          </cell>
          <cell r="AK492" t="str">
            <v>–</v>
          </cell>
          <cell r="AL492" t="str">
            <v>–</v>
          </cell>
          <cell r="AM492" t="str">
            <v>–</v>
          </cell>
          <cell r="AN492">
            <v>278</v>
          </cell>
          <cell r="AO492">
            <v>69.2</v>
          </cell>
          <cell r="AP492">
            <v>38.4</v>
          </cell>
          <cell r="AQ492">
            <v>3.1</v>
          </cell>
          <cell r="AR492">
            <v>563</v>
          </cell>
          <cell r="AS492">
            <v>90.9</v>
          </cell>
          <cell r="AT492">
            <v>54.3</v>
          </cell>
          <cell r="AU492">
            <v>4.41</v>
          </cell>
        </row>
        <row r="493">
          <cell r="C493" t="str">
            <v>2L10X10X3/4X1-1/2</v>
          </cell>
          <cell r="D493" t="str">
            <v>F</v>
          </cell>
          <cell r="E493">
            <v>98.2</v>
          </cell>
          <cell r="F493">
            <v>29</v>
          </cell>
          <cell r="G493" t="str">
            <v>2L10X10X3/4X1-1/2</v>
          </cell>
          <cell r="H493">
            <v>10</v>
          </cell>
          <cell r="I493" t="str">
            <v>–</v>
          </cell>
          <cell r="J493" t="str">
            <v>–</v>
          </cell>
          <cell r="K493" t="str">
            <v>–</v>
          </cell>
          <cell r="L493" t="str">
            <v>–</v>
          </cell>
          <cell r="M493" t="str">
            <v>–</v>
          </cell>
          <cell r="N493" t="str">
            <v>–</v>
          </cell>
          <cell r="O493" t="str">
            <v>–</v>
          </cell>
          <cell r="P493">
            <v>10</v>
          </cell>
          <cell r="Q493" t="str">
            <v>–</v>
          </cell>
          <cell r="R493" t="str">
            <v>–</v>
          </cell>
          <cell r="S493" t="str">
            <v>–</v>
          </cell>
          <cell r="T493" t="str">
            <v>–</v>
          </cell>
          <cell r="U493" t="str">
            <v>–</v>
          </cell>
          <cell r="V493" t="str">
            <v>–</v>
          </cell>
          <cell r="W493">
            <v>0.75</v>
          </cell>
          <cell r="X493" t="str">
            <v>–</v>
          </cell>
          <cell r="Y493" t="str">
            <v>–</v>
          </cell>
          <cell r="Z493" t="str">
            <v>–</v>
          </cell>
          <cell r="AA493" t="str">
            <v>–</v>
          </cell>
          <cell r="AB493" t="str">
            <v>–</v>
          </cell>
          <cell r="AC493" t="str">
            <v>–</v>
          </cell>
          <cell r="AD493">
            <v>2.76</v>
          </cell>
          <cell r="AE493" t="str">
            <v>–</v>
          </cell>
          <cell r="AF493" t="str">
            <v>–</v>
          </cell>
          <cell r="AG493">
            <v>0.72499999999999998</v>
          </cell>
          <cell r="AH493" t="str">
            <v>–</v>
          </cell>
          <cell r="AI493">
            <v>13.3</v>
          </cell>
          <cell r="AJ493" t="str">
            <v>–</v>
          </cell>
          <cell r="AK493" t="str">
            <v>–</v>
          </cell>
          <cell r="AL493" t="str">
            <v>–</v>
          </cell>
          <cell r="AM493" t="str">
            <v>–</v>
          </cell>
          <cell r="AN493">
            <v>278</v>
          </cell>
          <cell r="AO493">
            <v>69.2</v>
          </cell>
          <cell r="AP493">
            <v>38.4</v>
          </cell>
          <cell r="AQ493">
            <v>3.1</v>
          </cell>
          <cell r="AR493">
            <v>635</v>
          </cell>
          <cell r="AS493">
            <v>102</v>
          </cell>
          <cell r="AT493">
            <v>59.1</v>
          </cell>
          <cell r="AU493">
            <v>4.68</v>
          </cell>
        </row>
        <row r="494">
          <cell r="C494" t="str">
            <v>2L8X8X1-1/8</v>
          </cell>
          <cell r="D494" t="str">
            <v>F</v>
          </cell>
          <cell r="E494">
            <v>114</v>
          </cell>
          <cell r="F494">
            <v>33.6</v>
          </cell>
          <cell r="G494" t="str">
            <v>2L8X8X1-1/8</v>
          </cell>
          <cell r="H494">
            <v>8</v>
          </cell>
          <cell r="I494" t="str">
            <v>–</v>
          </cell>
          <cell r="J494" t="str">
            <v>–</v>
          </cell>
          <cell r="K494" t="str">
            <v>–</v>
          </cell>
          <cell r="L494" t="str">
            <v>–</v>
          </cell>
          <cell r="M494" t="str">
            <v>–</v>
          </cell>
          <cell r="N494" t="str">
            <v>–</v>
          </cell>
          <cell r="O494" t="str">
            <v>–</v>
          </cell>
          <cell r="P494">
            <v>8</v>
          </cell>
          <cell r="Q494" t="str">
            <v>–</v>
          </cell>
          <cell r="R494" t="str">
            <v>–</v>
          </cell>
          <cell r="S494" t="str">
            <v>–</v>
          </cell>
          <cell r="T494" t="str">
            <v>–</v>
          </cell>
          <cell r="U494" t="str">
            <v>–</v>
          </cell>
          <cell r="V494" t="str">
            <v>–</v>
          </cell>
          <cell r="W494">
            <v>1.1299999999999999</v>
          </cell>
          <cell r="X494" t="str">
            <v>–</v>
          </cell>
          <cell r="Y494" t="str">
            <v>–</v>
          </cell>
          <cell r="Z494" t="str">
            <v>–</v>
          </cell>
          <cell r="AA494" t="str">
            <v>–</v>
          </cell>
          <cell r="AB494" t="str">
            <v>–</v>
          </cell>
          <cell r="AC494" t="str">
            <v>–</v>
          </cell>
          <cell r="AD494">
            <v>2.4</v>
          </cell>
          <cell r="AE494" t="str">
            <v>–</v>
          </cell>
          <cell r="AF494" t="str">
            <v>–</v>
          </cell>
          <cell r="AG494">
            <v>1.05</v>
          </cell>
          <cell r="AH494" t="str">
            <v>–</v>
          </cell>
          <cell r="AI494">
            <v>7.08</v>
          </cell>
          <cell r="AJ494" t="str">
            <v>–</v>
          </cell>
          <cell r="AK494" t="str">
            <v>–</v>
          </cell>
          <cell r="AL494" t="str">
            <v>–</v>
          </cell>
          <cell r="AM494" t="str">
            <v>–</v>
          </cell>
          <cell r="AN494">
            <v>196</v>
          </cell>
          <cell r="AO494">
            <v>63.2</v>
          </cell>
          <cell r="AP494">
            <v>35</v>
          </cell>
          <cell r="AQ494">
            <v>2.41</v>
          </cell>
          <cell r="AR494">
            <v>391</v>
          </cell>
          <cell r="AS494">
            <v>80.599999999999994</v>
          </cell>
          <cell r="AT494">
            <v>48.9</v>
          </cell>
          <cell r="AU494">
            <v>3.41</v>
          </cell>
        </row>
        <row r="495">
          <cell r="C495" t="str">
            <v>2L8X8X1-1/8X3/8</v>
          </cell>
          <cell r="D495" t="str">
            <v>F</v>
          </cell>
          <cell r="E495">
            <v>114</v>
          </cell>
          <cell r="F495">
            <v>33.6</v>
          </cell>
          <cell r="G495" t="str">
            <v>2L8X8X1-1/8X3/8</v>
          </cell>
          <cell r="H495">
            <v>8</v>
          </cell>
          <cell r="I495" t="str">
            <v>–</v>
          </cell>
          <cell r="J495" t="str">
            <v>–</v>
          </cell>
          <cell r="K495" t="str">
            <v>–</v>
          </cell>
          <cell r="L495" t="str">
            <v>–</v>
          </cell>
          <cell r="M495" t="str">
            <v>–</v>
          </cell>
          <cell r="N495" t="str">
            <v>–</v>
          </cell>
          <cell r="O495" t="str">
            <v>–</v>
          </cell>
          <cell r="P495">
            <v>8</v>
          </cell>
          <cell r="Q495" t="str">
            <v>–</v>
          </cell>
          <cell r="R495" t="str">
            <v>–</v>
          </cell>
          <cell r="S495" t="str">
            <v>–</v>
          </cell>
          <cell r="T495" t="str">
            <v>–</v>
          </cell>
          <cell r="U495" t="str">
            <v>–</v>
          </cell>
          <cell r="V495" t="str">
            <v>–</v>
          </cell>
          <cell r="W495">
            <v>1.1299999999999999</v>
          </cell>
          <cell r="X495" t="str">
            <v>–</v>
          </cell>
          <cell r="Y495" t="str">
            <v>–</v>
          </cell>
          <cell r="Z495" t="str">
            <v>–</v>
          </cell>
          <cell r="AA495" t="str">
            <v>–</v>
          </cell>
          <cell r="AB495" t="str">
            <v>–</v>
          </cell>
          <cell r="AC495" t="str">
            <v>–</v>
          </cell>
          <cell r="AD495">
            <v>2.4</v>
          </cell>
          <cell r="AE495" t="str">
            <v>–</v>
          </cell>
          <cell r="AF495" t="str">
            <v>–</v>
          </cell>
          <cell r="AG495">
            <v>1.05</v>
          </cell>
          <cell r="AH495" t="str">
            <v>–</v>
          </cell>
          <cell r="AI495">
            <v>7.08</v>
          </cell>
          <cell r="AJ495" t="str">
            <v>–</v>
          </cell>
          <cell r="AK495" t="str">
            <v>–</v>
          </cell>
          <cell r="AL495" t="str">
            <v>–</v>
          </cell>
          <cell r="AM495" t="str">
            <v>–</v>
          </cell>
          <cell r="AN495">
            <v>196</v>
          </cell>
          <cell r="AO495">
            <v>63.2</v>
          </cell>
          <cell r="AP495">
            <v>35</v>
          </cell>
          <cell r="AQ495">
            <v>2.41</v>
          </cell>
          <cell r="AR495">
            <v>421</v>
          </cell>
          <cell r="AS495">
            <v>86.9</v>
          </cell>
          <cell r="AT495">
            <v>51.4</v>
          </cell>
          <cell r="AU495">
            <v>3.54</v>
          </cell>
        </row>
        <row r="496">
          <cell r="C496" t="str">
            <v>2L8X8X1-1/8X3/4</v>
          </cell>
          <cell r="D496" t="str">
            <v>F</v>
          </cell>
          <cell r="E496">
            <v>114</v>
          </cell>
          <cell r="F496">
            <v>33.6</v>
          </cell>
          <cell r="G496" t="str">
            <v>2L8X8X1-1/8X3/4</v>
          </cell>
          <cell r="H496">
            <v>8</v>
          </cell>
          <cell r="I496" t="str">
            <v>–</v>
          </cell>
          <cell r="J496" t="str">
            <v>–</v>
          </cell>
          <cell r="K496" t="str">
            <v>–</v>
          </cell>
          <cell r="L496" t="str">
            <v>–</v>
          </cell>
          <cell r="M496" t="str">
            <v>–</v>
          </cell>
          <cell r="N496" t="str">
            <v>–</v>
          </cell>
          <cell r="O496" t="str">
            <v>–</v>
          </cell>
          <cell r="P496">
            <v>8</v>
          </cell>
          <cell r="Q496" t="str">
            <v>–</v>
          </cell>
          <cell r="R496" t="str">
            <v>–</v>
          </cell>
          <cell r="S496" t="str">
            <v>–</v>
          </cell>
          <cell r="T496" t="str">
            <v>–</v>
          </cell>
          <cell r="U496" t="str">
            <v>–</v>
          </cell>
          <cell r="V496" t="str">
            <v>–</v>
          </cell>
          <cell r="W496">
            <v>1.1299999999999999</v>
          </cell>
          <cell r="X496" t="str">
            <v>–</v>
          </cell>
          <cell r="Y496" t="str">
            <v>–</v>
          </cell>
          <cell r="Z496" t="str">
            <v>–</v>
          </cell>
          <cell r="AA496" t="str">
            <v>–</v>
          </cell>
          <cell r="AB496" t="str">
            <v>–</v>
          </cell>
          <cell r="AC496" t="str">
            <v>–</v>
          </cell>
          <cell r="AD496">
            <v>2.4</v>
          </cell>
          <cell r="AE496" t="str">
            <v>–</v>
          </cell>
          <cell r="AF496" t="str">
            <v>–</v>
          </cell>
          <cell r="AG496">
            <v>1.05</v>
          </cell>
          <cell r="AH496" t="str">
            <v>–</v>
          </cell>
          <cell r="AI496">
            <v>7.08</v>
          </cell>
          <cell r="AJ496" t="str">
            <v>–</v>
          </cell>
          <cell r="AK496" t="str">
            <v>–</v>
          </cell>
          <cell r="AL496" t="str">
            <v>–</v>
          </cell>
          <cell r="AM496" t="str">
            <v>–</v>
          </cell>
          <cell r="AN496">
            <v>196</v>
          </cell>
          <cell r="AO496">
            <v>63.2</v>
          </cell>
          <cell r="AP496">
            <v>35</v>
          </cell>
          <cell r="AQ496">
            <v>2.41</v>
          </cell>
          <cell r="AR496">
            <v>455</v>
          </cell>
          <cell r="AS496">
            <v>93.2</v>
          </cell>
          <cell r="AT496">
            <v>54.3</v>
          </cell>
          <cell r="AU496">
            <v>3.68</v>
          </cell>
        </row>
        <row r="497">
          <cell r="C497" t="str">
            <v>2L8X8X1</v>
          </cell>
          <cell r="D497" t="str">
            <v>F</v>
          </cell>
          <cell r="E497">
            <v>102</v>
          </cell>
          <cell r="F497">
            <v>30.2</v>
          </cell>
          <cell r="G497" t="str">
            <v>2L8X8X1</v>
          </cell>
          <cell r="H497">
            <v>8</v>
          </cell>
          <cell r="I497" t="str">
            <v>–</v>
          </cell>
          <cell r="J497" t="str">
            <v>–</v>
          </cell>
          <cell r="K497" t="str">
            <v>–</v>
          </cell>
          <cell r="L497" t="str">
            <v>–</v>
          </cell>
          <cell r="M497" t="str">
            <v>–</v>
          </cell>
          <cell r="N497" t="str">
            <v>–</v>
          </cell>
          <cell r="O497" t="str">
            <v>–</v>
          </cell>
          <cell r="P497">
            <v>8</v>
          </cell>
          <cell r="Q497" t="str">
            <v>–</v>
          </cell>
          <cell r="R497" t="str">
            <v>–</v>
          </cell>
          <cell r="S497" t="str">
            <v>–</v>
          </cell>
          <cell r="T497" t="str">
            <v>–</v>
          </cell>
          <cell r="U497" t="str">
            <v>–</v>
          </cell>
          <cell r="V497" t="str">
            <v>–</v>
          </cell>
          <cell r="W497">
            <v>1</v>
          </cell>
          <cell r="X497" t="str">
            <v>–</v>
          </cell>
          <cell r="Y497" t="str">
            <v>–</v>
          </cell>
          <cell r="Z497" t="str">
            <v>–</v>
          </cell>
          <cell r="AA497" t="str">
            <v>–</v>
          </cell>
          <cell r="AB497" t="str">
            <v>–</v>
          </cell>
          <cell r="AC497" t="str">
            <v>–</v>
          </cell>
          <cell r="AD497">
            <v>2.36</v>
          </cell>
          <cell r="AE497" t="str">
            <v>–</v>
          </cell>
          <cell r="AF497" t="str">
            <v>–</v>
          </cell>
          <cell r="AG497">
            <v>0.94399999999999995</v>
          </cell>
          <cell r="AH497" t="str">
            <v>–</v>
          </cell>
          <cell r="AI497">
            <v>8</v>
          </cell>
          <cell r="AJ497" t="str">
            <v>–</v>
          </cell>
          <cell r="AK497" t="str">
            <v>–</v>
          </cell>
          <cell r="AL497" t="str">
            <v>–</v>
          </cell>
          <cell r="AM497" t="str">
            <v>–</v>
          </cell>
          <cell r="AN497">
            <v>178</v>
          </cell>
          <cell r="AO497">
            <v>57</v>
          </cell>
          <cell r="AP497">
            <v>31.6</v>
          </cell>
          <cell r="AQ497">
            <v>2.4300000000000002</v>
          </cell>
          <cell r="AR497">
            <v>347</v>
          </cell>
          <cell r="AS497">
            <v>71.3</v>
          </cell>
          <cell r="AT497">
            <v>43.4</v>
          </cell>
          <cell r="AU497">
            <v>3.39</v>
          </cell>
        </row>
        <row r="498">
          <cell r="C498" t="str">
            <v>2L8X8X1X3/8</v>
          </cell>
          <cell r="D498" t="str">
            <v>F</v>
          </cell>
          <cell r="E498">
            <v>102</v>
          </cell>
          <cell r="F498">
            <v>30.2</v>
          </cell>
          <cell r="G498" t="str">
            <v>2L8X8X1X3/8</v>
          </cell>
          <cell r="H498">
            <v>8</v>
          </cell>
          <cell r="I498" t="str">
            <v>–</v>
          </cell>
          <cell r="J498" t="str">
            <v>–</v>
          </cell>
          <cell r="K498" t="str">
            <v>–</v>
          </cell>
          <cell r="L498" t="str">
            <v>–</v>
          </cell>
          <cell r="M498" t="str">
            <v>–</v>
          </cell>
          <cell r="N498" t="str">
            <v>–</v>
          </cell>
          <cell r="O498" t="str">
            <v>–</v>
          </cell>
          <cell r="P498">
            <v>8</v>
          </cell>
          <cell r="Q498" t="str">
            <v>–</v>
          </cell>
          <cell r="R498" t="str">
            <v>–</v>
          </cell>
          <cell r="S498" t="str">
            <v>–</v>
          </cell>
          <cell r="T498" t="str">
            <v>–</v>
          </cell>
          <cell r="U498" t="str">
            <v>–</v>
          </cell>
          <cell r="V498" t="str">
            <v>–</v>
          </cell>
          <cell r="W498">
            <v>1</v>
          </cell>
          <cell r="X498" t="str">
            <v>–</v>
          </cell>
          <cell r="Y498" t="str">
            <v>–</v>
          </cell>
          <cell r="Z498" t="str">
            <v>–</v>
          </cell>
          <cell r="AA498" t="str">
            <v>–</v>
          </cell>
          <cell r="AB498" t="str">
            <v>–</v>
          </cell>
          <cell r="AC498" t="str">
            <v>–</v>
          </cell>
          <cell r="AD498">
            <v>2.36</v>
          </cell>
          <cell r="AE498" t="str">
            <v>–</v>
          </cell>
          <cell r="AF498" t="str">
            <v>–</v>
          </cell>
          <cell r="AG498">
            <v>0.94399999999999995</v>
          </cell>
          <cell r="AH498" t="str">
            <v>–</v>
          </cell>
          <cell r="AI498">
            <v>8</v>
          </cell>
          <cell r="AJ498" t="str">
            <v>–</v>
          </cell>
          <cell r="AK498" t="str">
            <v>–</v>
          </cell>
          <cell r="AL498" t="str">
            <v>–</v>
          </cell>
          <cell r="AM498" t="str">
            <v>–</v>
          </cell>
          <cell r="AN498">
            <v>178</v>
          </cell>
          <cell r="AO498">
            <v>57</v>
          </cell>
          <cell r="AP498">
            <v>31.6</v>
          </cell>
          <cell r="AQ498">
            <v>2.4300000000000002</v>
          </cell>
          <cell r="AR498">
            <v>374</v>
          </cell>
          <cell r="AS498">
            <v>76.900000000000006</v>
          </cell>
          <cell r="AT498">
            <v>45.7</v>
          </cell>
          <cell r="AU498">
            <v>3.52</v>
          </cell>
        </row>
        <row r="499">
          <cell r="C499" t="str">
            <v>2L8X8X1X3/4</v>
          </cell>
          <cell r="D499" t="str">
            <v>F</v>
          </cell>
          <cell r="E499">
            <v>102</v>
          </cell>
          <cell r="F499">
            <v>30.2</v>
          </cell>
          <cell r="G499" t="str">
            <v>2L8X8X1X3/4</v>
          </cell>
          <cell r="H499">
            <v>8</v>
          </cell>
          <cell r="I499" t="str">
            <v>–</v>
          </cell>
          <cell r="J499" t="str">
            <v>–</v>
          </cell>
          <cell r="K499" t="str">
            <v>–</v>
          </cell>
          <cell r="L499" t="str">
            <v>–</v>
          </cell>
          <cell r="M499" t="str">
            <v>–</v>
          </cell>
          <cell r="N499" t="str">
            <v>–</v>
          </cell>
          <cell r="O499" t="str">
            <v>–</v>
          </cell>
          <cell r="P499">
            <v>8</v>
          </cell>
          <cell r="Q499" t="str">
            <v>–</v>
          </cell>
          <cell r="R499" t="str">
            <v>–</v>
          </cell>
          <cell r="S499" t="str">
            <v>–</v>
          </cell>
          <cell r="T499" t="str">
            <v>–</v>
          </cell>
          <cell r="U499" t="str">
            <v>–</v>
          </cell>
          <cell r="V499" t="str">
            <v>–</v>
          </cell>
          <cell r="W499">
            <v>1</v>
          </cell>
          <cell r="X499" t="str">
            <v>–</v>
          </cell>
          <cell r="Y499" t="str">
            <v>–</v>
          </cell>
          <cell r="Z499" t="str">
            <v>–</v>
          </cell>
          <cell r="AA499" t="str">
            <v>–</v>
          </cell>
          <cell r="AB499" t="str">
            <v>–</v>
          </cell>
          <cell r="AC499" t="str">
            <v>–</v>
          </cell>
          <cell r="AD499">
            <v>2.36</v>
          </cell>
          <cell r="AE499" t="str">
            <v>–</v>
          </cell>
          <cell r="AF499" t="str">
            <v>–</v>
          </cell>
          <cell r="AG499">
            <v>0.94399999999999995</v>
          </cell>
          <cell r="AH499" t="str">
            <v>–</v>
          </cell>
          <cell r="AI499">
            <v>8</v>
          </cell>
          <cell r="AJ499" t="str">
            <v>–</v>
          </cell>
          <cell r="AK499" t="str">
            <v>–</v>
          </cell>
          <cell r="AL499" t="str">
            <v>–</v>
          </cell>
          <cell r="AM499" t="str">
            <v>–</v>
          </cell>
          <cell r="AN499">
            <v>178</v>
          </cell>
          <cell r="AO499">
            <v>57</v>
          </cell>
          <cell r="AP499">
            <v>31.6</v>
          </cell>
          <cell r="AQ499">
            <v>2.4300000000000002</v>
          </cell>
          <cell r="AR499">
            <v>405</v>
          </cell>
          <cell r="AS499">
            <v>82.6</v>
          </cell>
          <cell r="AT499">
            <v>48.4</v>
          </cell>
          <cell r="AU499">
            <v>3.66</v>
          </cell>
        </row>
        <row r="500">
          <cell r="C500" t="str">
            <v>2L8X8X7/8</v>
          </cell>
          <cell r="D500" t="str">
            <v>F</v>
          </cell>
          <cell r="E500">
            <v>90</v>
          </cell>
          <cell r="F500">
            <v>26.6</v>
          </cell>
          <cell r="G500" t="str">
            <v>2L8X8X7/8</v>
          </cell>
          <cell r="H500">
            <v>8</v>
          </cell>
          <cell r="I500" t="str">
            <v>–</v>
          </cell>
          <cell r="J500" t="str">
            <v>–</v>
          </cell>
          <cell r="K500" t="str">
            <v>–</v>
          </cell>
          <cell r="L500" t="str">
            <v>–</v>
          </cell>
          <cell r="M500" t="str">
            <v>–</v>
          </cell>
          <cell r="N500" t="str">
            <v>–</v>
          </cell>
          <cell r="O500" t="str">
            <v>–</v>
          </cell>
          <cell r="P500">
            <v>8</v>
          </cell>
          <cell r="Q500" t="str">
            <v>–</v>
          </cell>
          <cell r="R500" t="str">
            <v>–</v>
          </cell>
          <cell r="S500" t="str">
            <v>–</v>
          </cell>
          <cell r="T500" t="str">
            <v>–</v>
          </cell>
          <cell r="U500" t="str">
            <v>–</v>
          </cell>
          <cell r="V500" t="str">
            <v>–</v>
          </cell>
          <cell r="W500">
            <v>0.875</v>
          </cell>
          <cell r="X500" t="str">
            <v>–</v>
          </cell>
          <cell r="Y500" t="str">
            <v>–</v>
          </cell>
          <cell r="Z500" t="str">
            <v>–</v>
          </cell>
          <cell r="AA500" t="str">
            <v>–</v>
          </cell>
          <cell r="AB500" t="str">
            <v>–</v>
          </cell>
          <cell r="AC500" t="str">
            <v>–</v>
          </cell>
          <cell r="AD500">
            <v>2.31</v>
          </cell>
          <cell r="AE500" t="str">
            <v>–</v>
          </cell>
          <cell r="AF500" t="str">
            <v>–</v>
          </cell>
          <cell r="AG500">
            <v>0.83099999999999996</v>
          </cell>
          <cell r="AH500" t="str">
            <v>–</v>
          </cell>
          <cell r="AI500">
            <v>9.14</v>
          </cell>
          <cell r="AJ500" t="str">
            <v>–</v>
          </cell>
          <cell r="AK500" t="str">
            <v>–</v>
          </cell>
          <cell r="AL500" t="str">
            <v>–</v>
          </cell>
          <cell r="AM500" t="str">
            <v>–</v>
          </cell>
          <cell r="AN500">
            <v>159</v>
          </cell>
          <cell r="AO500">
            <v>50.6</v>
          </cell>
          <cell r="AP500">
            <v>28</v>
          </cell>
          <cell r="AQ500">
            <v>2.4500000000000002</v>
          </cell>
          <cell r="AR500">
            <v>300</v>
          </cell>
          <cell r="AS500">
            <v>61.4</v>
          </cell>
          <cell r="AT500">
            <v>37.5</v>
          </cell>
          <cell r="AU500">
            <v>3.36</v>
          </cell>
        </row>
        <row r="501">
          <cell r="C501" t="str">
            <v>2L8X8X7/8X3/8</v>
          </cell>
          <cell r="D501" t="str">
            <v>F</v>
          </cell>
          <cell r="E501">
            <v>90</v>
          </cell>
          <cell r="F501">
            <v>26.6</v>
          </cell>
          <cell r="G501" t="str">
            <v>2L8X8X7/8X3/8</v>
          </cell>
          <cell r="H501">
            <v>8</v>
          </cell>
          <cell r="I501" t="str">
            <v>–</v>
          </cell>
          <cell r="J501" t="str">
            <v>–</v>
          </cell>
          <cell r="K501" t="str">
            <v>–</v>
          </cell>
          <cell r="L501" t="str">
            <v>–</v>
          </cell>
          <cell r="M501" t="str">
            <v>–</v>
          </cell>
          <cell r="N501" t="str">
            <v>–</v>
          </cell>
          <cell r="O501" t="str">
            <v>–</v>
          </cell>
          <cell r="P501">
            <v>8</v>
          </cell>
          <cell r="Q501" t="str">
            <v>–</v>
          </cell>
          <cell r="R501" t="str">
            <v>–</v>
          </cell>
          <cell r="S501" t="str">
            <v>–</v>
          </cell>
          <cell r="T501" t="str">
            <v>–</v>
          </cell>
          <cell r="U501" t="str">
            <v>–</v>
          </cell>
          <cell r="V501" t="str">
            <v>–</v>
          </cell>
          <cell r="W501">
            <v>0.875</v>
          </cell>
          <cell r="X501" t="str">
            <v>–</v>
          </cell>
          <cell r="Y501" t="str">
            <v>–</v>
          </cell>
          <cell r="Z501" t="str">
            <v>–</v>
          </cell>
          <cell r="AA501" t="str">
            <v>–</v>
          </cell>
          <cell r="AB501" t="str">
            <v>–</v>
          </cell>
          <cell r="AC501" t="str">
            <v>–</v>
          </cell>
          <cell r="AD501">
            <v>2.31</v>
          </cell>
          <cell r="AE501" t="str">
            <v>–</v>
          </cell>
          <cell r="AF501" t="str">
            <v>–</v>
          </cell>
          <cell r="AG501">
            <v>0.83099999999999996</v>
          </cell>
          <cell r="AH501" t="str">
            <v>–</v>
          </cell>
          <cell r="AI501">
            <v>9.14</v>
          </cell>
          <cell r="AJ501" t="str">
            <v>–</v>
          </cell>
          <cell r="AK501" t="str">
            <v>–</v>
          </cell>
          <cell r="AL501" t="str">
            <v>–</v>
          </cell>
          <cell r="AM501" t="str">
            <v>–</v>
          </cell>
          <cell r="AN501">
            <v>159</v>
          </cell>
          <cell r="AO501">
            <v>50.6</v>
          </cell>
          <cell r="AP501">
            <v>28</v>
          </cell>
          <cell r="AQ501">
            <v>2.4500000000000002</v>
          </cell>
          <cell r="AR501">
            <v>326</v>
          </cell>
          <cell r="AS501">
            <v>66.400000000000006</v>
          </cell>
          <cell r="AT501">
            <v>39.799999999999997</v>
          </cell>
          <cell r="AU501">
            <v>3.5</v>
          </cell>
        </row>
        <row r="502">
          <cell r="C502" t="str">
            <v>2L8X8X7/8X3/4</v>
          </cell>
          <cell r="D502" t="str">
            <v>F</v>
          </cell>
          <cell r="E502">
            <v>90</v>
          </cell>
          <cell r="F502">
            <v>26.6</v>
          </cell>
          <cell r="G502" t="str">
            <v>2L8X8X7/8X3/4</v>
          </cell>
          <cell r="H502">
            <v>8</v>
          </cell>
          <cell r="I502" t="str">
            <v>–</v>
          </cell>
          <cell r="J502" t="str">
            <v>–</v>
          </cell>
          <cell r="K502" t="str">
            <v>–</v>
          </cell>
          <cell r="L502" t="str">
            <v>–</v>
          </cell>
          <cell r="M502" t="str">
            <v>–</v>
          </cell>
          <cell r="N502" t="str">
            <v>–</v>
          </cell>
          <cell r="O502" t="str">
            <v>–</v>
          </cell>
          <cell r="P502">
            <v>8</v>
          </cell>
          <cell r="Q502" t="str">
            <v>–</v>
          </cell>
          <cell r="R502" t="str">
            <v>–</v>
          </cell>
          <cell r="S502" t="str">
            <v>–</v>
          </cell>
          <cell r="T502" t="str">
            <v>–</v>
          </cell>
          <cell r="U502" t="str">
            <v>–</v>
          </cell>
          <cell r="V502" t="str">
            <v>–</v>
          </cell>
          <cell r="W502">
            <v>0.875</v>
          </cell>
          <cell r="X502" t="str">
            <v>–</v>
          </cell>
          <cell r="Y502" t="str">
            <v>–</v>
          </cell>
          <cell r="Z502" t="str">
            <v>–</v>
          </cell>
          <cell r="AA502" t="str">
            <v>–</v>
          </cell>
          <cell r="AB502" t="str">
            <v>–</v>
          </cell>
          <cell r="AC502" t="str">
            <v>–</v>
          </cell>
          <cell r="AD502">
            <v>2.31</v>
          </cell>
          <cell r="AE502" t="str">
            <v>–</v>
          </cell>
          <cell r="AF502" t="str">
            <v>–</v>
          </cell>
          <cell r="AG502">
            <v>0.83099999999999996</v>
          </cell>
          <cell r="AH502" t="str">
            <v>–</v>
          </cell>
          <cell r="AI502">
            <v>9.14</v>
          </cell>
          <cell r="AJ502" t="str">
            <v>–</v>
          </cell>
          <cell r="AK502" t="str">
            <v>–</v>
          </cell>
          <cell r="AL502" t="str">
            <v>–</v>
          </cell>
          <cell r="AM502" t="str">
            <v>–</v>
          </cell>
          <cell r="AN502">
            <v>159</v>
          </cell>
          <cell r="AO502">
            <v>50.6</v>
          </cell>
          <cell r="AP502">
            <v>28</v>
          </cell>
          <cell r="AQ502">
            <v>2.4500000000000002</v>
          </cell>
          <cell r="AR502">
            <v>351</v>
          </cell>
          <cell r="AS502">
            <v>71.400000000000006</v>
          </cell>
          <cell r="AT502">
            <v>41.9</v>
          </cell>
          <cell r="AU502">
            <v>3.63</v>
          </cell>
        </row>
        <row r="503">
          <cell r="C503" t="str">
            <v>2L8X8X3/4</v>
          </cell>
          <cell r="D503" t="str">
            <v>F</v>
          </cell>
          <cell r="E503">
            <v>77.8</v>
          </cell>
          <cell r="F503">
            <v>23</v>
          </cell>
          <cell r="G503" t="str">
            <v>2L8X8X3/4</v>
          </cell>
          <cell r="H503">
            <v>8</v>
          </cell>
          <cell r="I503" t="str">
            <v>–</v>
          </cell>
          <cell r="J503" t="str">
            <v>–</v>
          </cell>
          <cell r="K503" t="str">
            <v>–</v>
          </cell>
          <cell r="L503" t="str">
            <v>–</v>
          </cell>
          <cell r="M503" t="str">
            <v>–</v>
          </cell>
          <cell r="N503" t="str">
            <v>–</v>
          </cell>
          <cell r="O503" t="str">
            <v>–</v>
          </cell>
          <cell r="P503">
            <v>8</v>
          </cell>
          <cell r="Q503" t="str">
            <v>–</v>
          </cell>
          <cell r="R503" t="str">
            <v>–</v>
          </cell>
          <cell r="S503" t="str">
            <v>–</v>
          </cell>
          <cell r="T503" t="str">
            <v>–</v>
          </cell>
          <cell r="U503" t="str">
            <v>–</v>
          </cell>
          <cell r="V503" t="str">
            <v>–</v>
          </cell>
          <cell r="W503">
            <v>0.75</v>
          </cell>
          <cell r="X503" t="str">
            <v>–</v>
          </cell>
          <cell r="Y503" t="str">
            <v>–</v>
          </cell>
          <cell r="Z503" t="str">
            <v>–</v>
          </cell>
          <cell r="AA503" t="str">
            <v>–</v>
          </cell>
          <cell r="AB503" t="str">
            <v>–</v>
          </cell>
          <cell r="AC503" t="str">
            <v>–</v>
          </cell>
          <cell r="AD503">
            <v>2.2599999999999998</v>
          </cell>
          <cell r="AE503" t="str">
            <v>–</v>
          </cell>
          <cell r="AF503" t="str">
            <v>–</v>
          </cell>
          <cell r="AG503">
            <v>0.71899999999999997</v>
          </cell>
          <cell r="AH503" t="str">
            <v>–</v>
          </cell>
          <cell r="AI503">
            <v>10.7</v>
          </cell>
          <cell r="AJ503" t="str">
            <v>–</v>
          </cell>
          <cell r="AK503" t="str">
            <v>–</v>
          </cell>
          <cell r="AL503" t="str">
            <v>–</v>
          </cell>
          <cell r="AM503" t="str">
            <v>–</v>
          </cell>
          <cell r="AN503">
            <v>140</v>
          </cell>
          <cell r="AO503">
            <v>44</v>
          </cell>
          <cell r="AP503">
            <v>24.4</v>
          </cell>
          <cell r="AQ503">
            <v>2.46</v>
          </cell>
          <cell r="AR503">
            <v>257</v>
          </cell>
          <cell r="AS503">
            <v>52</v>
          </cell>
          <cell r="AT503">
            <v>32.1</v>
          </cell>
          <cell r="AU503">
            <v>3.34</v>
          </cell>
        </row>
        <row r="504">
          <cell r="C504" t="str">
            <v>2L8X8X3/4X3/8</v>
          </cell>
          <cell r="D504" t="str">
            <v>F</v>
          </cell>
          <cell r="E504">
            <v>77.8</v>
          </cell>
          <cell r="F504">
            <v>23</v>
          </cell>
          <cell r="G504" t="str">
            <v>2L8X8X3/4X3/8</v>
          </cell>
          <cell r="H504">
            <v>8</v>
          </cell>
          <cell r="I504" t="str">
            <v>–</v>
          </cell>
          <cell r="J504" t="str">
            <v>–</v>
          </cell>
          <cell r="K504" t="str">
            <v>–</v>
          </cell>
          <cell r="L504" t="str">
            <v>–</v>
          </cell>
          <cell r="M504" t="str">
            <v>–</v>
          </cell>
          <cell r="N504" t="str">
            <v>–</v>
          </cell>
          <cell r="O504" t="str">
            <v>–</v>
          </cell>
          <cell r="P504">
            <v>8</v>
          </cell>
          <cell r="Q504" t="str">
            <v>–</v>
          </cell>
          <cell r="R504" t="str">
            <v>–</v>
          </cell>
          <cell r="S504" t="str">
            <v>–</v>
          </cell>
          <cell r="T504" t="str">
            <v>–</v>
          </cell>
          <cell r="U504" t="str">
            <v>–</v>
          </cell>
          <cell r="V504" t="str">
            <v>–</v>
          </cell>
          <cell r="W504">
            <v>0.75</v>
          </cell>
          <cell r="X504" t="str">
            <v>–</v>
          </cell>
          <cell r="Y504" t="str">
            <v>–</v>
          </cell>
          <cell r="Z504" t="str">
            <v>–</v>
          </cell>
          <cell r="AA504" t="str">
            <v>–</v>
          </cell>
          <cell r="AB504" t="str">
            <v>–</v>
          </cell>
          <cell r="AC504" t="str">
            <v>–</v>
          </cell>
          <cell r="AD504">
            <v>2.2599999999999998</v>
          </cell>
          <cell r="AE504" t="str">
            <v>–</v>
          </cell>
          <cell r="AF504" t="str">
            <v>–</v>
          </cell>
          <cell r="AG504">
            <v>0.71899999999999997</v>
          </cell>
          <cell r="AH504" t="str">
            <v>–</v>
          </cell>
          <cell r="AI504">
            <v>10.7</v>
          </cell>
          <cell r="AJ504" t="str">
            <v>–</v>
          </cell>
          <cell r="AK504" t="str">
            <v>–</v>
          </cell>
          <cell r="AL504" t="str">
            <v>–</v>
          </cell>
          <cell r="AM504" t="str">
            <v>–</v>
          </cell>
          <cell r="AN504">
            <v>140</v>
          </cell>
          <cell r="AO504">
            <v>44</v>
          </cell>
          <cell r="AP504">
            <v>24.4</v>
          </cell>
          <cell r="AQ504">
            <v>2.46</v>
          </cell>
          <cell r="AR504">
            <v>277</v>
          </cell>
          <cell r="AS504">
            <v>56.3</v>
          </cell>
          <cell r="AT504">
            <v>33.799999999999997</v>
          </cell>
          <cell r="AU504">
            <v>3.47</v>
          </cell>
        </row>
        <row r="505">
          <cell r="C505" t="str">
            <v>2L8X8X3/4X3/4</v>
          </cell>
          <cell r="D505" t="str">
            <v>F</v>
          </cell>
          <cell r="E505">
            <v>77.8</v>
          </cell>
          <cell r="F505">
            <v>23</v>
          </cell>
          <cell r="G505" t="str">
            <v>2L8X8X3/4X3/4</v>
          </cell>
          <cell r="H505">
            <v>8</v>
          </cell>
          <cell r="I505" t="str">
            <v>–</v>
          </cell>
          <cell r="J505" t="str">
            <v>–</v>
          </cell>
          <cell r="K505" t="str">
            <v>–</v>
          </cell>
          <cell r="L505" t="str">
            <v>–</v>
          </cell>
          <cell r="M505" t="str">
            <v>–</v>
          </cell>
          <cell r="N505" t="str">
            <v>–</v>
          </cell>
          <cell r="O505" t="str">
            <v>–</v>
          </cell>
          <cell r="P505">
            <v>8</v>
          </cell>
          <cell r="Q505" t="str">
            <v>–</v>
          </cell>
          <cell r="R505" t="str">
            <v>–</v>
          </cell>
          <cell r="S505" t="str">
            <v>–</v>
          </cell>
          <cell r="T505" t="str">
            <v>–</v>
          </cell>
          <cell r="U505" t="str">
            <v>–</v>
          </cell>
          <cell r="V505" t="str">
            <v>–</v>
          </cell>
          <cell r="W505">
            <v>0.75</v>
          </cell>
          <cell r="X505" t="str">
            <v>–</v>
          </cell>
          <cell r="Y505" t="str">
            <v>–</v>
          </cell>
          <cell r="Z505" t="str">
            <v>–</v>
          </cell>
          <cell r="AA505" t="str">
            <v>–</v>
          </cell>
          <cell r="AB505" t="str">
            <v>–</v>
          </cell>
          <cell r="AC505" t="str">
            <v>–</v>
          </cell>
          <cell r="AD505">
            <v>2.2599999999999998</v>
          </cell>
          <cell r="AE505" t="str">
            <v>–</v>
          </cell>
          <cell r="AF505" t="str">
            <v>–</v>
          </cell>
          <cell r="AG505">
            <v>0.71899999999999997</v>
          </cell>
          <cell r="AH505" t="str">
            <v>–</v>
          </cell>
          <cell r="AI505">
            <v>10.7</v>
          </cell>
          <cell r="AJ505" t="str">
            <v>–</v>
          </cell>
          <cell r="AK505" t="str">
            <v>–</v>
          </cell>
          <cell r="AL505" t="str">
            <v>–</v>
          </cell>
          <cell r="AM505" t="str">
            <v>–</v>
          </cell>
          <cell r="AN505">
            <v>140</v>
          </cell>
          <cell r="AO505">
            <v>44</v>
          </cell>
          <cell r="AP505">
            <v>24.4</v>
          </cell>
          <cell r="AQ505">
            <v>2.46</v>
          </cell>
          <cell r="AR505">
            <v>300</v>
          </cell>
          <cell r="AS505">
            <v>60.6</v>
          </cell>
          <cell r="AT505">
            <v>35.799999999999997</v>
          </cell>
          <cell r="AU505">
            <v>3.61</v>
          </cell>
        </row>
        <row r="506">
          <cell r="C506" t="str">
            <v>2L8X8X5/8</v>
          </cell>
          <cell r="D506" t="str">
            <v>F</v>
          </cell>
          <cell r="E506">
            <v>65.400000000000006</v>
          </cell>
          <cell r="F506">
            <v>19.399999999999999</v>
          </cell>
          <cell r="G506" t="str">
            <v>2L8X8X5/8</v>
          </cell>
          <cell r="H506">
            <v>8</v>
          </cell>
          <cell r="I506" t="str">
            <v>–</v>
          </cell>
          <cell r="J506" t="str">
            <v>–</v>
          </cell>
          <cell r="K506" t="str">
            <v>–</v>
          </cell>
          <cell r="L506" t="str">
            <v>–</v>
          </cell>
          <cell r="M506" t="str">
            <v>–</v>
          </cell>
          <cell r="N506" t="str">
            <v>–</v>
          </cell>
          <cell r="O506" t="str">
            <v>–</v>
          </cell>
          <cell r="P506">
            <v>8</v>
          </cell>
          <cell r="Q506" t="str">
            <v>–</v>
          </cell>
          <cell r="R506" t="str">
            <v>–</v>
          </cell>
          <cell r="S506" t="str">
            <v>–</v>
          </cell>
          <cell r="T506" t="str">
            <v>–</v>
          </cell>
          <cell r="U506" t="str">
            <v>–</v>
          </cell>
          <cell r="V506" t="str">
            <v>–</v>
          </cell>
          <cell r="W506">
            <v>0.625</v>
          </cell>
          <cell r="X506" t="str">
            <v>–</v>
          </cell>
          <cell r="Y506" t="str">
            <v>–</v>
          </cell>
          <cell r="Z506" t="str">
            <v>–</v>
          </cell>
          <cell r="AA506" t="str">
            <v>–</v>
          </cell>
          <cell r="AB506" t="str">
            <v>–</v>
          </cell>
          <cell r="AC506" t="str">
            <v>–</v>
          </cell>
          <cell r="AD506">
            <v>2.21</v>
          </cell>
          <cell r="AE506" t="str">
            <v>–</v>
          </cell>
          <cell r="AF506" t="str">
            <v>–</v>
          </cell>
          <cell r="AG506">
            <v>0.60599999999999998</v>
          </cell>
          <cell r="AH506" t="str">
            <v>–</v>
          </cell>
          <cell r="AI506">
            <v>12.8</v>
          </cell>
          <cell r="AJ506" t="str">
            <v>–</v>
          </cell>
          <cell r="AK506" t="str">
            <v>–</v>
          </cell>
          <cell r="AL506" t="str">
            <v>–</v>
          </cell>
          <cell r="AM506" t="str">
            <v>–</v>
          </cell>
          <cell r="AN506">
            <v>119</v>
          </cell>
          <cell r="AO506">
            <v>37.200000000000003</v>
          </cell>
          <cell r="AP506">
            <v>20.6</v>
          </cell>
          <cell r="AQ506">
            <v>2.48</v>
          </cell>
          <cell r="AR506">
            <v>214</v>
          </cell>
          <cell r="AS506">
            <v>42.8</v>
          </cell>
          <cell r="AT506">
            <v>26.8</v>
          </cell>
          <cell r="AU506">
            <v>3.32</v>
          </cell>
        </row>
        <row r="507">
          <cell r="C507" t="str">
            <v>2L8X8X5/8X3/8</v>
          </cell>
          <cell r="D507" t="str">
            <v>F</v>
          </cell>
          <cell r="E507">
            <v>65.400000000000006</v>
          </cell>
          <cell r="F507">
            <v>19.399999999999999</v>
          </cell>
          <cell r="G507" t="str">
            <v>2L8X8X5/8X3/8</v>
          </cell>
          <cell r="H507">
            <v>8</v>
          </cell>
          <cell r="I507" t="str">
            <v>–</v>
          </cell>
          <cell r="J507" t="str">
            <v>–</v>
          </cell>
          <cell r="K507" t="str">
            <v>–</v>
          </cell>
          <cell r="L507" t="str">
            <v>–</v>
          </cell>
          <cell r="M507" t="str">
            <v>–</v>
          </cell>
          <cell r="N507" t="str">
            <v>–</v>
          </cell>
          <cell r="O507" t="str">
            <v>–</v>
          </cell>
          <cell r="P507">
            <v>8</v>
          </cell>
          <cell r="Q507" t="str">
            <v>–</v>
          </cell>
          <cell r="R507" t="str">
            <v>–</v>
          </cell>
          <cell r="S507" t="str">
            <v>–</v>
          </cell>
          <cell r="T507" t="str">
            <v>–</v>
          </cell>
          <cell r="U507" t="str">
            <v>–</v>
          </cell>
          <cell r="V507" t="str">
            <v>–</v>
          </cell>
          <cell r="W507">
            <v>0.625</v>
          </cell>
          <cell r="X507" t="str">
            <v>–</v>
          </cell>
          <cell r="Y507" t="str">
            <v>–</v>
          </cell>
          <cell r="Z507" t="str">
            <v>–</v>
          </cell>
          <cell r="AA507" t="str">
            <v>–</v>
          </cell>
          <cell r="AB507" t="str">
            <v>–</v>
          </cell>
          <cell r="AC507" t="str">
            <v>–</v>
          </cell>
          <cell r="AD507">
            <v>2.21</v>
          </cell>
          <cell r="AE507" t="str">
            <v>–</v>
          </cell>
          <cell r="AF507" t="str">
            <v>–</v>
          </cell>
          <cell r="AG507">
            <v>0.60599999999999998</v>
          </cell>
          <cell r="AH507" t="str">
            <v>–</v>
          </cell>
          <cell r="AI507">
            <v>12.8</v>
          </cell>
          <cell r="AJ507" t="str">
            <v>–</v>
          </cell>
          <cell r="AK507" t="str">
            <v>–</v>
          </cell>
          <cell r="AL507" t="str">
            <v>–</v>
          </cell>
          <cell r="AM507" t="str">
            <v>–</v>
          </cell>
          <cell r="AN507">
            <v>119</v>
          </cell>
          <cell r="AO507">
            <v>37.200000000000003</v>
          </cell>
          <cell r="AP507">
            <v>20.6</v>
          </cell>
          <cell r="AQ507">
            <v>2.48</v>
          </cell>
          <cell r="AR507">
            <v>231</v>
          </cell>
          <cell r="AS507">
            <v>46.5</v>
          </cell>
          <cell r="AT507">
            <v>28.2</v>
          </cell>
          <cell r="AU507">
            <v>3.45</v>
          </cell>
        </row>
        <row r="508">
          <cell r="C508" t="str">
            <v>2L8X8X5/8X3/4</v>
          </cell>
          <cell r="D508" t="str">
            <v>F</v>
          </cell>
          <cell r="E508">
            <v>65.400000000000006</v>
          </cell>
          <cell r="F508">
            <v>19.399999999999999</v>
          </cell>
          <cell r="G508" t="str">
            <v>2L8X8X5/8X3/4</v>
          </cell>
          <cell r="H508">
            <v>8</v>
          </cell>
          <cell r="I508" t="str">
            <v>–</v>
          </cell>
          <cell r="J508" t="str">
            <v>–</v>
          </cell>
          <cell r="K508" t="str">
            <v>–</v>
          </cell>
          <cell r="L508" t="str">
            <v>–</v>
          </cell>
          <cell r="M508" t="str">
            <v>–</v>
          </cell>
          <cell r="N508" t="str">
            <v>–</v>
          </cell>
          <cell r="O508" t="str">
            <v>–</v>
          </cell>
          <cell r="P508">
            <v>8</v>
          </cell>
          <cell r="Q508" t="str">
            <v>–</v>
          </cell>
          <cell r="R508" t="str">
            <v>–</v>
          </cell>
          <cell r="S508" t="str">
            <v>–</v>
          </cell>
          <cell r="T508" t="str">
            <v>–</v>
          </cell>
          <cell r="U508" t="str">
            <v>–</v>
          </cell>
          <cell r="V508" t="str">
            <v>–</v>
          </cell>
          <cell r="W508">
            <v>0.625</v>
          </cell>
          <cell r="X508" t="str">
            <v>–</v>
          </cell>
          <cell r="Y508" t="str">
            <v>–</v>
          </cell>
          <cell r="Z508" t="str">
            <v>–</v>
          </cell>
          <cell r="AA508" t="str">
            <v>–</v>
          </cell>
          <cell r="AB508" t="str">
            <v>–</v>
          </cell>
          <cell r="AC508" t="str">
            <v>–</v>
          </cell>
          <cell r="AD508">
            <v>2.21</v>
          </cell>
          <cell r="AE508" t="str">
            <v>–</v>
          </cell>
          <cell r="AF508" t="str">
            <v>–</v>
          </cell>
          <cell r="AG508">
            <v>0.60599999999999998</v>
          </cell>
          <cell r="AH508" t="str">
            <v>–</v>
          </cell>
          <cell r="AI508">
            <v>12.8</v>
          </cell>
          <cell r="AJ508" t="str">
            <v>–</v>
          </cell>
          <cell r="AK508" t="str">
            <v>–</v>
          </cell>
          <cell r="AL508" t="str">
            <v>–</v>
          </cell>
          <cell r="AM508" t="str">
            <v>–</v>
          </cell>
          <cell r="AN508">
            <v>119</v>
          </cell>
          <cell r="AO508">
            <v>37.200000000000003</v>
          </cell>
          <cell r="AP508">
            <v>20.6</v>
          </cell>
          <cell r="AQ508">
            <v>2.48</v>
          </cell>
          <cell r="AR508">
            <v>249</v>
          </cell>
          <cell r="AS508">
            <v>50.1</v>
          </cell>
          <cell r="AT508">
            <v>29.7</v>
          </cell>
          <cell r="AU508">
            <v>3.58</v>
          </cell>
        </row>
        <row r="509">
          <cell r="C509" t="str">
            <v>2L8X8X9/16</v>
          </cell>
          <cell r="D509" t="str">
            <v>F</v>
          </cell>
          <cell r="E509">
            <v>59.2</v>
          </cell>
          <cell r="F509">
            <v>17.5</v>
          </cell>
          <cell r="G509" t="str">
            <v>2L8X8X9/16</v>
          </cell>
          <cell r="H509">
            <v>8</v>
          </cell>
          <cell r="I509" t="str">
            <v>–</v>
          </cell>
          <cell r="J509" t="str">
            <v>–</v>
          </cell>
          <cell r="K509" t="str">
            <v>–</v>
          </cell>
          <cell r="L509" t="str">
            <v>–</v>
          </cell>
          <cell r="M509" t="str">
            <v>–</v>
          </cell>
          <cell r="N509" t="str">
            <v>–</v>
          </cell>
          <cell r="O509" t="str">
            <v>–</v>
          </cell>
          <cell r="P509">
            <v>8</v>
          </cell>
          <cell r="Q509" t="str">
            <v>–</v>
          </cell>
          <cell r="R509" t="str">
            <v>–</v>
          </cell>
          <cell r="S509" t="str">
            <v>–</v>
          </cell>
          <cell r="T509" t="str">
            <v>–</v>
          </cell>
          <cell r="U509" t="str">
            <v>–</v>
          </cell>
          <cell r="V509" t="str">
            <v>–</v>
          </cell>
          <cell r="W509">
            <v>0.56299999999999994</v>
          </cell>
          <cell r="X509" t="str">
            <v>–</v>
          </cell>
          <cell r="Y509" t="str">
            <v>–</v>
          </cell>
          <cell r="Z509" t="str">
            <v>–</v>
          </cell>
          <cell r="AA509" t="str">
            <v>–</v>
          </cell>
          <cell r="AB509" t="str">
            <v>–</v>
          </cell>
          <cell r="AC509" t="str">
            <v>–</v>
          </cell>
          <cell r="AD509">
            <v>2.19</v>
          </cell>
          <cell r="AE509" t="str">
            <v>–</v>
          </cell>
          <cell r="AF509" t="str">
            <v>–</v>
          </cell>
          <cell r="AG509">
            <v>0.54800000000000004</v>
          </cell>
          <cell r="AH509" t="str">
            <v>–</v>
          </cell>
          <cell r="AI509">
            <v>14.2</v>
          </cell>
          <cell r="AJ509" t="str">
            <v>–</v>
          </cell>
          <cell r="AK509" t="str">
            <v>–</v>
          </cell>
          <cell r="AL509" t="str">
            <v>–</v>
          </cell>
          <cell r="AM509" t="str">
            <v>–</v>
          </cell>
          <cell r="AN509">
            <v>108</v>
          </cell>
          <cell r="AO509">
            <v>33.6</v>
          </cell>
          <cell r="AP509">
            <v>18.7</v>
          </cell>
          <cell r="AQ509">
            <v>2.4900000000000002</v>
          </cell>
          <cell r="AR509">
            <v>192</v>
          </cell>
          <cell r="AS509">
            <v>38.4</v>
          </cell>
          <cell r="AT509">
            <v>24</v>
          </cell>
          <cell r="AU509">
            <v>3.31</v>
          </cell>
        </row>
        <row r="510">
          <cell r="C510" t="str">
            <v>2L8X8X9/16X3/8</v>
          </cell>
          <cell r="D510" t="str">
            <v>F</v>
          </cell>
          <cell r="E510">
            <v>59.2</v>
          </cell>
          <cell r="F510">
            <v>17.5</v>
          </cell>
          <cell r="G510" t="str">
            <v>2L8X8X9/16X3/8</v>
          </cell>
          <cell r="H510">
            <v>8</v>
          </cell>
          <cell r="I510" t="str">
            <v>–</v>
          </cell>
          <cell r="J510" t="str">
            <v>–</v>
          </cell>
          <cell r="K510" t="str">
            <v>–</v>
          </cell>
          <cell r="L510" t="str">
            <v>–</v>
          </cell>
          <cell r="M510" t="str">
            <v>–</v>
          </cell>
          <cell r="N510" t="str">
            <v>–</v>
          </cell>
          <cell r="O510" t="str">
            <v>–</v>
          </cell>
          <cell r="P510">
            <v>8</v>
          </cell>
          <cell r="Q510" t="str">
            <v>–</v>
          </cell>
          <cell r="R510" t="str">
            <v>–</v>
          </cell>
          <cell r="S510" t="str">
            <v>–</v>
          </cell>
          <cell r="T510" t="str">
            <v>–</v>
          </cell>
          <cell r="U510" t="str">
            <v>–</v>
          </cell>
          <cell r="V510" t="str">
            <v>–</v>
          </cell>
          <cell r="W510">
            <v>0.56299999999999994</v>
          </cell>
          <cell r="X510" t="str">
            <v>–</v>
          </cell>
          <cell r="Y510" t="str">
            <v>–</v>
          </cell>
          <cell r="Z510" t="str">
            <v>–</v>
          </cell>
          <cell r="AA510" t="str">
            <v>–</v>
          </cell>
          <cell r="AB510" t="str">
            <v>–</v>
          </cell>
          <cell r="AC510" t="str">
            <v>–</v>
          </cell>
          <cell r="AD510">
            <v>2.19</v>
          </cell>
          <cell r="AE510" t="str">
            <v>–</v>
          </cell>
          <cell r="AF510" t="str">
            <v>–</v>
          </cell>
          <cell r="AG510">
            <v>0.54800000000000004</v>
          </cell>
          <cell r="AH510" t="str">
            <v>–</v>
          </cell>
          <cell r="AI510">
            <v>14.2</v>
          </cell>
          <cell r="AJ510" t="str">
            <v>–</v>
          </cell>
          <cell r="AK510" t="str">
            <v>–</v>
          </cell>
          <cell r="AL510" t="str">
            <v>–</v>
          </cell>
          <cell r="AM510" t="str">
            <v>–</v>
          </cell>
          <cell r="AN510">
            <v>108</v>
          </cell>
          <cell r="AO510">
            <v>33.6</v>
          </cell>
          <cell r="AP510">
            <v>18.7</v>
          </cell>
          <cell r="AQ510">
            <v>2.4900000000000002</v>
          </cell>
          <cell r="AR510">
            <v>207</v>
          </cell>
          <cell r="AS510">
            <v>41.7</v>
          </cell>
          <cell r="AT510">
            <v>25.3</v>
          </cell>
          <cell r="AU510">
            <v>3.44</v>
          </cell>
        </row>
        <row r="511">
          <cell r="C511" t="str">
            <v>2L8X8X9/16X3/4</v>
          </cell>
          <cell r="D511" t="str">
            <v>F</v>
          </cell>
          <cell r="E511">
            <v>59.2</v>
          </cell>
          <cell r="F511">
            <v>17.5</v>
          </cell>
          <cell r="G511" t="str">
            <v>2L8X8X9/16X3/4</v>
          </cell>
          <cell r="H511">
            <v>8</v>
          </cell>
          <cell r="I511" t="str">
            <v>–</v>
          </cell>
          <cell r="J511" t="str">
            <v>–</v>
          </cell>
          <cell r="K511" t="str">
            <v>–</v>
          </cell>
          <cell r="L511" t="str">
            <v>–</v>
          </cell>
          <cell r="M511" t="str">
            <v>–</v>
          </cell>
          <cell r="N511" t="str">
            <v>–</v>
          </cell>
          <cell r="O511" t="str">
            <v>–</v>
          </cell>
          <cell r="P511">
            <v>8</v>
          </cell>
          <cell r="Q511" t="str">
            <v>–</v>
          </cell>
          <cell r="R511" t="str">
            <v>–</v>
          </cell>
          <cell r="S511" t="str">
            <v>–</v>
          </cell>
          <cell r="T511" t="str">
            <v>–</v>
          </cell>
          <cell r="U511" t="str">
            <v>–</v>
          </cell>
          <cell r="V511" t="str">
            <v>–</v>
          </cell>
          <cell r="W511">
            <v>0.56299999999999994</v>
          </cell>
          <cell r="X511" t="str">
            <v>–</v>
          </cell>
          <cell r="Y511" t="str">
            <v>–</v>
          </cell>
          <cell r="Z511" t="str">
            <v>–</v>
          </cell>
          <cell r="AA511" t="str">
            <v>–</v>
          </cell>
          <cell r="AB511" t="str">
            <v>–</v>
          </cell>
          <cell r="AC511" t="str">
            <v>–</v>
          </cell>
          <cell r="AD511">
            <v>2.19</v>
          </cell>
          <cell r="AE511" t="str">
            <v>–</v>
          </cell>
          <cell r="AF511" t="str">
            <v>–</v>
          </cell>
          <cell r="AG511">
            <v>0.54800000000000004</v>
          </cell>
          <cell r="AH511" t="str">
            <v>–</v>
          </cell>
          <cell r="AI511">
            <v>14.2</v>
          </cell>
          <cell r="AJ511" t="str">
            <v>–</v>
          </cell>
          <cell r="AK511" t="str">
            <v>–</v>
          </cell>
          <cell r="AL511" t="str">
            <v>–</v>
          </cell>
          <cell r="AM511" t="str">
            <v>–</v>
          </cell>
          <cell r="AN511">
            <v>108</v>
          </cell>
          <cell r="AO511">
            <v>33.6</v>
          </cell>
          <cell r="AP511">
            <v>18.7</v>
          </cell>
          <cell r="AQ511">
            <v>2.4900000000000002</v>
          </cell>
          <cell r="AR511">
            <v>223</v>
          </cell>
          <cell r="AS511">
            <v>45</v>
          </cell>
          <cell r="AT511">
            <v>26.6</v>
          </cell>
          <cell r="AU511">
            <v>3.57</v>
          </cell>
        </row>
        <row r="512">
          <cell r="C512" t="str">
            <v>2L8X8X1/2</v>
          </cell>
          <cell r="D512" t="str">
            <v>F</v>
          </cell>
          <cell r="E512">
            <v>52.8</v>
          </cell>
          <cell r="F512">
            <v>15.7</v>
          </cell>
          <cell r="G512" t="str">
            <v>2L8X8X1/2</v>
          </cell>
          <cell r="H512">
            <v>8</v>
          </cell>
          <cell r="I512" t="str">
            <v>–</v>
          </cell>
          <cell r="J512" t="str">
            <v>–</v>
          </cell>
          <cell r="K512" t="str">
            <v>–</v>
          </cell>
          <cell r="L512" t="str">
            <v>–</v>
          </cell>
          <cell r="M512" t="str">
            <v>–</v>
          </cell>
          <cell r="N512" t="str">
            <v>–</v>
          </cell>
          <cell r="O512" t="str">
            <v>–</v>
          </cell>
          <cell r="P512">
            <v>8</v>
          </cell>
          <cell r="Q512" t="str">
            <v>–</v>
          </cell>
          <cell r="R512" t="str">
            <v>–</v>
          </cell>
          <cell r="S512" t="str">
            <v>–</v>
          </cell>
          <cell r="T512" t="str">
            <v>–</v>
          </cell>
          <cell r="U512" t="str">
            <v>–</v>
          </cell>
          <cell r="V512" t="str">
            <v>–</v>
          </cell>
          <cell r="W512">
            <v>0.5</v>
          </cell>
          <cell r="X512" t="str">
            <v>–</v>
          </cell>
          <cell r="Y512" t="str">
            <v>–</v>
          </cell>
          <cell r="Z512" t="str">
            <v>–</v>
          </cell>
          <cell r="AA512" t="str">
            <v>–</v>
          </cell>
          <cell r="AB512" t="str">
            <v>–</v>
          </cell>
          <cell r="AC512" t="str">
            <v>–</v>
          </cell>
          <cell r="AD512">
            <v>2.17</v>
          </cell>
          <cell r="AE512" t="str">
            <v>–</v>
          </cell>
          <cell r="AF512" t="str">
            <v>–</v>
          </cell>
          <cell r="AG512">
            <v>0.49</v>
          </cell>
          <cell r="AH512" t="str">
            <v>–</v>
          </cell>
          <cell r="AI512">
            <v>16</v>
          </cell>
          <cell r="AJ512" t="str">
            <v>–</v>
          </cell>
          <cell r="AK512" t="str">
            <v>–</v>
          </cell>
          <cell r="AL512" t="str">
            <v>–</v>
          </cell>
          <cell r="AM512" t="str">
            <v>–</v>
          </cell>
          <cell r="AN512">
            <v>97.6</v>
          </cell>
          <cell r="AO512">
            <v>30.2</v>
          </cell>
          <cell r="AP512">
            <v>16.7</v>
          </cell>
          <cell r="AQ512">
            <v>2.4900000000000002</v>
          </cell>
          <cell r="AR512">
            <v>171</v>
          </cell>
          <cell r="AS512">
            <v>34</v>
          </cell>
          <cell r="AT512">
            <v>21.4</v>
          </cell>
          <cell r="AU512">
            <v>3.3</v>
          </cell>
        </row>
        <row r="513">
          <cell r="C513" t="str">
            <v>2L8X8X1/2X3/8</v>
          </cell>
          <cell r="D513" t="str">
            <v>F</v>
          </cell>
          <cell r="E513">
            <v>52.8</v>
          </cell>
          <cell r="F513">
            <v>15.7</v>
          </cell>
          <cell r="G513" t="str">
            <v>2L8X8X1/2X3/8</v>
          </cell>
          <cell r="H513">
            <v>8</v>
          </cell>
          <cell r="I513" t="str">
            <v>–</v>
          </cell>
          <cell r="J513" t="str">
            <v>–</v>
          </cell>
          <cell r="K513" t="str">
            <v>–</v>
          </cell>
          <cell r="L513" t="str">
            <v>–</v>
          </cell>
          <cell r="M513" t="str">
            <v>–</v>
          </cell>
          <cell r="N513" t="str">
            <v>–</v>
          </cell>
          <cell r="O513" t="str">
            <v>–</v>
          </cell>
          <cell r="P513">
            <v>8</v>
          </cell>
          <cell r="Q513" t="str">
            <v>–</v>
          </cell>
          <cell r="R513" t="str">
            <v>–</v>
          </cell>
          <cell r="S513" t="str">
            <v>–</v>
          </cell>
          <cell r="T513" t="str">
            <v>–</v>
          </cell>
          <cell r="U513" t="str">
            <v>–</v>
          </cell>
          <cell r="V513" t="str">
            <v>–</v>
          </cell>
          <cell r="W513">
            <v>0.5</v>
          </cell>
          <cell r="X513" t="str">
            <v>–</v>
          </cell>
          <cell r="Y513" t="str">
            <v>–</v>
          </cell>
          <cell r="Z513" t="str">
            <v>–</v>
          </cell>
          <cell r="AA513" t="str">
            <v>–</v>
          </cell>
          <cell r="AB513" t="str">
            <v>–</v>
          </cell>
          <cell r="AC513" t="str">
            <v>–</v>
          </cell>
          <cell r="AD513">
            <v>2.17</v>
          </cell>
          <cell r="AE513" t="str">
            <v>–</v>
          </cell>
          <cell r="AF513" t="str">
            <v>–</v>
          </cell>
          <cell r="AG513">
            <v>0.49</v>
          </cell>
          <cell r="AH513" t="str">
            <v>–</v>
          </cell>
          <cell r="AI513">
            <v>16</v>
          </cell>
          <cell r="AJ513" t="str">
            <v>–</v>
          </cell>
          <cell r="AK513" t="str">
            <v>–</v>
          </cell>
          <cell r="AL513" t="str">
            <v>–</v>
          </cell>
          <cell r="AM513" t="str">
            <v>–</v>
          </cell>
          <cell r="AN513">
            <v>97.6</v>
          </cell>
          <cell r="AO513">
            <v>30.2</v>
          </cell>
          <cell r="AP513">
            <v>16.7</v>
          </cell>
          <cell r="AQ513">
            <v>2.4900000000000002</v>
          </cell>
          <cell r="AR513">
            <v>185</v>
          </cell>
          <cell r="AS513">
            <v>37</v>
          </cell>
          <cell r="AT513">
            <v>22.6</v>
          </cell>
          <cell r="AU513">
            <v>3.43</v>
          </cell>
        </row>
        <row r="514">
          <cell r="C514" t="str">
            <v>2L8X8X1/2X3/4</v>
          </cell>
          <cell r="D514" t="str">
            <v>F</v>
          </cell>
          <cell r="E514">
            <v>52.8</v>
          </cell>
          <cell r="F514">
            <v>15.7</v>
          </cell>
          <cell r="G514" t="str">
            <v>2L8X8X1/2X3/4</v>
          </cell>
          <cell r="H514">
            <v>8</v>
          </cell>
          <cell r="I514" t="str">
            <v>–</v>
          </cell>
          <cell r="J514" t="str">
            <v>–</v>
          </cell>
          <cell r="K514" t="str">
            <v>–</v>
          </cell>
          <cell r="L514" t="str">
            <v>–</v>
          </cell>
          <cell r="M514" t="str">
            <v>–</v>
          </cell>
          <cell r="N514" t="str">
            <v>–</v>
          </cell>
          <cell r="O514" t="str">
            <v>–</v>
          </cell>
          <cell r="P514">
            <v>8</v>
          </cell>
          <cell r="Q514" t="str">
            <v>–</v>
          </cell>
          <cell r="R514" t="str">
            <v>–</v>
          </cell>
          <cell r="S514" t="str">
            <v>–</v>
          </cell>
          <cell r="T514" t="str">
            <v>–</v>
          </cell>
          <cell r="U514" t="str">
            <v>–</v>
          </cell>
          <cell r="V514" t="str">
            <v>–</v>
          </cell>
          <cell r="W514">
            <v>0.5</v>
          </cell>
          <cell r="X514" t="str">
            <v>–</v>
          </cell>
          <cell r="Y514" t="str">
            <v>–</v>
          </cell>
          <cell r="Z514" t="str">
            <v>–</v>
          </cell>
          <cell r="AA514" t="str">
            <v>–</v>
          </cell>
          <cell r="AB514" t="str">
            <v>–</v>
          </cell>
          <cell r="AC514" t="str">
            <v>–</v>
          </cell>
          <cell r="AD514">
            <v>2.17</v>
          </cell>
          <cell r="AE514" t="str">
            <v>–</v>
          </cell>
          <cell r="AF514" t="str">
            <v>–</v>
          </cell>
          <cell r="AG514">
            <v>0.49</v>
          </cell>
          <cell r="AH514" t="str">
            <v>–</v>
          </cell>
          <cell r="AI514">
            <v>16</v>
          </cell>
          <cell r="AJ514" t="str">
            <v>–</v>
          </cell>
          <cell r="AK514" t="str">
            <v>–</v>
          </cell>
          <cell r="AL514" t="str">
            <v>–</v>
          </cell>
          <cell r="AM514" t="str">
            <v>–</v>
          </cell>
          <cell r="AN514">
            <v>97.6</v>
          </cell>
          <cell r="AO514">
            <v>30.2</v>
          </cell>
          <cell r="AP514">
            <v>16.7</v>
          </cell>
          <cell r="AQ514">
            <v>2.4900000000000002</v>
          </cell>
          <cell r="AR514">
            <v>199</v>
          </cell>
          <cell r="AS514">
            <v>39.9</v>
          </cell>
          <cell r="AT514">
            <v>23.8</v>
          </cell>
          <cell r="AU514">
            <v>3.56</v>
          </cell>
        </row>
        <row r="515">
          <cell r="C515" t="str">
            <v>2L6X6X1</v>
          </cell>
          <cell r="D515" t="str">
            <v>F</v>
          </cell>
          <cell r="E515">
            <v>74.8</v>
          </cell>
          <cell r="F515">
            <v>22</v>
          </cell>
          <cell r="G515" t="str">
            <v>2L6X6X1</v>
          </cell>
          <cell r="H515">
            <v>6</v>
          </cell>
          <cell r="I515" t="str">
            <v>–</v>
          </cell>
          <cell r="J515" t="str">
            <v>–</v>
          </cell>
          <cell r="K515" t="str">
            <v>–</v>
          </cell>
          <cell r="L515" t="str">
            <v>–</v>
          </cell>
          <cell r="M515" t="str">
            <v>–</v>
          </cell>
          <cell r="N515" t="str">
            <v>–</v>
          </cell>
          <cell r="O515" t="str">
            <v>–</v>
          </cell>
          <cell r="P515">
            <v>6</v>
          </cell>
          <cell r="Q515" t="str">
            <v>–</v>
          </cell>
          <cell r="R515" t="str">
            <v>–</v>
          </cell>
          <cell r="S515" t="str">
            <v>–</v>
          </cell>
          <cell r="T515" t="str">
            <v>–</v>
          </cell>
          <cell r="U515" t="str">
            <v>–</v>
          </cell>
          <cell r="V515" t="str">
            <v>–</v>
          </cell>
          <cell r="W515">
            <v>1</v>
          </cell>
          <cell r="X515" t="str">
            <v>–</v>
          </cell>
          <cell r="Y515" t="str">
            <v>–</v>
          </cell>
          <cell r="Z515" t="str">
            <v>–</v>
          </cell>
          <cell r="AA515" t="str">
            <v>–</v>
          </cell>
          <cell r="AB515" t="str">
            <v>–</v>
          </cell>
          <cell r="AC515" t="str">
            <v>–</v>
          </cell>
          <cell r="AD515">
            <v>1.86</v>
          </cell>
          <cell r="AE515" t="str">
            <v>–</v>
          </cell>
          <cell r="AF515" t="str">
            <v>–</v>
          </cell>
          <cell r="AG515">
            <v>0.91700000000000004</v>
          </cell>
          <cell r="AH515" t="str">
            <v>–</v>
          </cell>
          <cell r="AI515">
            <v>6</v>
          </cell>
          <cell r="AJ515" t="str">
            <v>–</v>
          </cell>
          <cell r="AK515" t="str">
            <v>–</v>
          </cell>
          <cell r="AL515" t="str">
            <v>–</v>
          </cell>
          <cell r="AM515" t="str">
            <v>–</v>
          </cell>
          <cell r="AN515">
            <v>70.8</v>
          </cell>
          <cell r="AO515">
            <v>30.8</v>
          </cell>
          <cell r="AP515">
            <v>17.100000000000001</v>
          </cell>
          <cell r="AQ515">
            <v>1.79</v>
          </cell>
          <cell r="AR515">
            <v>146</v>
          </cell>
          <cell r="AS515">
            <v>40.9</v>
          </cell>
          <cell r="AT515">
            <v>24.3</v>
          </cell>
          <cell r="AU515">
            <v>2.58</v>
          </cell>
        </row>
        <row r="516">
          <cell r="C516" t="str">
            <v>2L6X6X1X3/8</v>
          </cell>
          <cell r="D516" t="str">
            <v>F</v>
          </cell>
          <cell r="E516">
            <v>74.8</v>
          </cell>
          <cell r="F516">
            <v>22</v>
          </cell>
          <cell r="G516" t="str">
            <v>2L6X6X1X3/8</v>
          </cell>
          <cell r="H516">
            <v>6</v>
          </cell>
          <cell r="I516" t="str">
            <v>–</v>
          </cell>
          <cell r="J516" t="str">
            <v>–</v>
          </cell>
          <cell r="K516" t="str">
            <v>–</v>
          </cell>
          <cell r="L516" t="str">
            <v>–</v>
          </cell>
          <cell r="M516" t="str">
            <v>–</v>
          </cell>
          <cell r="N516" t="str">
            <v>–</v>
          </cell>
          <cell r="O516" t="str">
            <v>–</v>
          </cell>
          <cell r="P516">
            <v>6</v>
          </cell>
          <cell r="Q516" t="str">
            <v>–</v>
          </cell>
          <cell r="R516" t="str">
            <v>–</v>
          </cell>
          <cell r="S516" t="str">
            <v>–</v>
          </cell>
          <cell r="T516" t="str">
            <v>–</v>
          </cell>
          <cell r="U516" t="str">
            <v>–</v>
          </cell>
          <cell r="V516" t="str">
            <v>–</v>
          </cell>
          <cell r="W516">
            <v>1</v>
          </cell>
          <cell r="X516" t="str">
            <v>–</v>
          </cell>
          <cell r="Y516" t="str">
            <v>–</v>
          </cell>
          <cell r="Z516" t="str">
            <v>–</v>
          </cell>
          <cell r="AA516" t="str">
            <v>–</v>
          </cell>
          <cell r="AB516" t="str">
            <v>–</v>
          </cell>
          <cell r="AC516" t="str">
            <v>–</v>
          </cell>
          <cell r="AD516">
            <v>1.86</v>
          </cell>
          <cell r="AE516" t="str">
            <v>–</v>
          </cell>
          <cell r="AF516" t="str">
            <v>–</v>
          </cell>
          <cell r="AG516">
            <v>0.91700000000000004</v>
          </cell>
          <cell r="AH516" t="str">
            <v>–</v>
          </cell>
          <cell r="AI516">
            <v>6</v>
          </cell>
          <cell r="AJ516" t="str">
            <v>–</v>
          </cell>
          <cell r="AK516" t="str">
            <v>–</v>
          </cell>
          <cell r="AL516" t="str">
            <v>–</v>
          </cell>
          <cell r="AM516" t="str">
            <v>–</v>
          </cell>
          <cell r="AN516">
            <v>70.8</v>
          </cell>
          <cell r="AO516">
            <v>30.8</v>
          </cell>
          <cell r="AP516">
            <v>17.100000000000001</v>
          </cell>
          <cell r="AQ516">
            <v>1.79</v>
          </cell>
          <cell r="AR516">
            <v>163</v>
          </cell>
          <cell r="AS516">
            <v>45</v>
          </cell>
          <cell r="AT516">
            <v>26.3</v>
          </cell>
          <cell r="AU516">
            <v>2.72</v>
          </cell>
        </row>
        <row r="517">
          <cell r="C517" t="str">
            <v>2L6X6X1X3/4</v>
          </cell>
          <cell r="D517" t="str">
            <v>F</v>
          </cell>
          <cell r="E517">
            <v>74.8</v>
          </cell>
          <cell r="F517">
            <v>22</v>
          </cell>
          <cell r="G517" t="str">
            <v>2L6X6X1X3/4</v>
          </cell>
          <cell r="H517">
            <v>6</v>
          </cell>
          <cell r="I517" t="str">
            <v>–</v>
          </cell>
          <cell r="J517" t="str">
            <v>–</v>
          </cell>
          <cell r="K517" t="str">
            <v>–</v>
          </cell>
          <cell r="L517" t="str">
            <v>–</v>
          </cell>
          <cell r="M517" t="str">
            <v>–</v>
          </cell>
          <cell r="N517" t="str">
            <v>–</v>
          </cell>
          <cell r="O517" t="str">
            <v>–</v>
          </cell>
          <cell r="P517">
            <v>6</v>
          </cell>
          <cell r="Q517" t="str">
            <v>–</v>
          </cell>
          <cell r="R517" t="str">
            <v>–</v>
          </cell>
          <cell r="S517" t="str">
            <v>–</v>
          </cell>
          <cell r="T517" t="str">
            <v>–</v>
          </cell>
          <cell r="U517" t="str">
            <v>–</v>
          </cell>
          <cell r="V517" t="str">
            <v>–</v>
          </cell>
          <cell r="W517">
            <v>1</v>
          </cell>
          <cell r="X517" t="str">
            <v>–</v>
          </cell>
          <cell r="Y517" t="str">
            <v>–</v>
          </cell>
          <cell r="Z517" t="str">
            <v>–</v>
          </cell>
          <cell r="AA517" t="str">
            <v>–</v>
          </cell>
          <cell r="AB517" t="str">
            <v>–</v>
          </cell>
          <cell r="AC517" t="str">
            <v>–</v>
          </cell>
          <cell r="AD517">
            <v>1.86</v>
          </cell>
          <cell r="AE517" t="str">
            <v>–</v>
          </cell>
          <cell r="AF517" t="str">
            <v>–</v>
          </cell>
          <cell r="AG517">
            <v>0.91700000000000004</v>
          </cell>
          <cell r="AH517" t="str">
            <v>–</v>
          </cell>
          <cell r="AI517">
            <v>6</v>
          </cell>
          <cell r="AJ517" t="str">
            <v>–</v>
          </cell>
          <cell r="AK517" t="str">
            <v>–</v>
          </cell>
          <cell r="AL517" t="str">
            <v>–</v>
          </cell>
          <cell r="AM517" t="str">
            <v>–</v>
          </cell>
          <cell r="AN517">
            <v>70.8</v>
          </cell>
          <cell r="AO517">
            <v>30.8</v>
          </cell>
          <cell r="AP517">
            <v>17.100000000000001</v>
          </cell>
          <cell r="AQ517">
            <v>1.79</v>
          </cell>
          <cell r="AR517">
            <v>180</v>
          </cell>
          <cell r="AS517">
            <v>49.2</v>
          </cell>
          <cell r="AT517">
            <v>28.2</v>
          </cell>
          <cell r="AU517">
            <v>2.86</v>
          </cell>
        </row>
        <row r="518">
          <cell r="C518" t="str">
            <v>2L6X6X7/8</v>
          </cell>
          <cell r="D518" t="str">
            <v>F</v>
          </cell>
          <cell r="E518">
            <v>66.2</v>
          </cell>
          <cell r="F518">
            <v>19.5</v>
          </cell>
          <cell r="G518" t="str">
            <v>2L6X6X7/8</v>
          </cell>
          <cell r="H518">
            <v>6</v>
          </cell>
          <cell r="I518" t="str">
            <v>–</v>
          </cell>
          <cell r="J518" t="str">
            <v>–</v>
          </cell>
          <cell r="K518" t="str">
            <v>–</v>
          </cell>
          <cell r="L518" t="str">
            <v>–</v>
          </cell>
          <cell r="M518" t="str">
            <v>–</v>
          </cell>
          <cell r="N518" t="str">
            <v>–</v>
          </cell>
          <cell r="O518" t="str">
            <v>–</v>
          </cell>
          <cell r="P518">
            <v>6</v>
          </cell>
          <cell r="Q518" t="str">
            <v>–</v>
          </cell>
          <cell r="R518" t="str">
            <v>–</v>
          </cell>
          <cell r="S518" t="str">
            <v>–</v>
          </cell>
          <cell r="T518" t="str">
            <v>–</v>
          </cell>
          <cell r="U518" t="str">
            <v>–</v>
          </cell>
          <cell r="V518" t="str">
            <v>–</v>
          </cell>
          <cell r="W518">
            <v>0.875</v>
          </cell>
          <cell r="X518" t="str">
            <v>–</v>
          </cell>
          <cell r="Y518" t="str">
            <v>–</v>
          </cell>
          <cell r="Z518" t="str">
            <v>–</v>
          </cell>
          <cell r="AA518" t="str">
            <v>–</v>
          </cell>
          <cell r="AB518" t="str">
            <v>–</v>
          </cell>
          <cell r="AC518" t="str">
            <v>–</v>
          </cell>
          <cell r="AD518">
            <v>1.81</v>
          </cell>
          <cell r="AE518" t="str">
            <v>–</v>
          </cell>
          <cell r="AF518" t="str">
            <v>–</v>
          </cell>
          <cell r="AG518">
            <v>0.81299999999999994</v>
          </cell>
          <cell r="AH518" t="str">
            <v>–</v>
          </cell>
          <cell r="AI518">
            <v>6.86</v>
          </cell>
          <cell r="AJ518" t="str">
            <v>–</v>
          </cell>
          <cell r="AK518" t="str">
            <v>–</v>
          </cell>
          <cell r="AL518" t="str">
            <v>–</v>
          </cell>
          <cell r="AM518" t="str">
            <v>–</v>
          </cell>
          <cell r="AN518">
            <v>63.8</v>
          </cell>
          <cell r="AO518">
            <v>27.4</v>
          </cell>
          <cell r="AP518">
            <v>15.2</v>
          </cell>
          <cell r="AQ518">
            <v>1.81</v>
          </cell>
          <cell r="AR518">
            <v>128</v>
          </cell>
          <cell r="AS518">
            <v>35.299999999999997</v>
          </cell>
          <cell r="AT518">
            <v>21.3</v>
          </cell>
          <cell r="AU518">
            <v>2.56</v>
          </cell>
        </row>
        <row r="519">
          <cell r="C519" t="str">
            <v>2L6X6X7/8X3/8</v>
          </cell>
          <cell r="D519" t="str">
            <v>F</v>
          </cell>
          <cell r="E519">
            <v>66.2</v>
          </cell>
          <cell r="F519">
            <v>19.5</v>
          </cell>
          <cell r="G519" t="str">
            <v>2L6X6X7/8X3/8</v>
          </cell>
          <cell r="H519">
            <v>6</v>
          </cell>
          <cell r="I519" t="str">
            <v>–</v>
          </cell>
          <cell r="J519" t="str">
            <v>–</v>
          </cell>
          <cell r="K519" t="str">
            <v>–</v>
          </cell>
          <cell r="L519" t="str">
            <v>–</v>
          </cell>
          <cell r="M519" t="str">
            <v>–</v>
          </cell>
          <cell r="N519" t="str">
            <v>–</v>
          </cell>
          <cell r="O519" t="str">
            <v>–</v>
          </cell>
          <cell r="P519">
            <v>6</v>
          </cell>
          <cell r="Q519" t="str">
            <v>–</v>
          </cell>
          <cell r="R519" t="str">
            <v>–</v>
          </cell>
          <cell r="S519" t="str">
            <v>–</v>
          </cell>
          <cell r="T519" t="str">
            <v>–</v>
          </cell>
          <cell r="U519" t="str">
            <v>–</v>
          </cell>
          <cell r="V519" t="str">
            <v>–</v>
          </cell>
          <cell r="W519">
            <v>0.875</v>
          </cell>
          <cell r="X519" t="str">
            <v>–</v>
          </cell>
          <cell r="Y519" t="str">
            <v>–</v>
          </cell>
          <cell r="Z519" t="str">
            <v>–</v>
          </cell>
          <cell r="AA519" t="str">
            <v>–</v>
          </cell>
          <cell r="AB519" t="str">
            <v>–</v>
          </cell>
          <cell r="AC519" t="str">
            <v>–</v>
          </cell>
          <cell r="AD519">
            <v>1.81</v>
          </cell>
          <cell r="AE519" t="str">
            <v>–</v>
          </cell>
          <cell r="AF519" t="str">
            <v>–</v>
          </cell>
          <cell r="AG519">
            <v>0.81299999999999994</v>
          </cell>
          <cell r="AH519" t="str">
            <v>–</v>
          </cell>
          <cell r="AI519">
            <v>6.86</v>
          </cell>
          <cell r="AJ519" t="str">
            <v>–</v>
          </cell>
          <cell r="AK519" t="str">
            <v>–</v>
          </cell>
          <cell r="AL519" t="str">
            <v>–</v>
          </cell>
          <cell r="AM519" t="str">
            <v>–</v>
          </cell>
          <cell r="AN519">
            <v>63.8</v>
          </cell>
          <cell r="AO519">
            <v>27.4</v>
          </cell>
          <cell r="AP519">
            <v>15.2</v>
          </cell>
          <cell r="AQ519">
            <v>1.81</v>
          </cell>
          <cell r="AR519">
            <v>142</v>
          </cell>
          <cell r="AS519">
            <v>39</v>
          </cell>
          <cell r="AT519">
            <v>22.9</v>
          </cell>
          <cell r="AU519">
            <v>2.7</v>
          </cell>
        </row>
        <row r="520">
          <cell r="C520" t="str">
            <v>2L6X6X7/8X3/4</v>
          </cell>
          <cell r="D520" t="str">
            <v>F</v>
          </cell>
          <cell r="E520">
            <v>66.2</v>
          </cell>
          <cell r="F520">
            <v>19.5</v>
          </cell>
          <cell r="G520" t="str">
            <v>2L6X6X7/8X3/4</v>
          </cell>
          <cell r="H520">
            <v>6</v>
          </cell>
          <cell r="I520" t="str">
            <v>–</v>
          </cell>
          <cell r="J520" t="str">
            <v>–</v>
          </cell>
          <cell r="K520" t="str">
            <v>–</v>
          </cell>
          <cell r="L520" t="str">
            <v>–</v>
          </cell>
          <cell r="M520" t="str">
            <v>–</v>
          </cell>
          <cell r="N520" t="str">
            <v>–</v>
          </cell>
          <cell r="O520" t="str">
            <v>–</v>
          </cell>
          <cell r="P520">
            <v>6</v>
          </cell>
          <cell r="Q520" t="str">
            <v>–</v>
          </cell>
          <cell r="R520" t="str">
            <v>–</v>
          </cell>
          <cell r="S520" t="str">
            <v>–</v>
          </cell>
          <cell r="T520" t="str">
            <v>–</v>
          </cell>
          <cell r="U520" t="str">
            <v>–</v>
          </cell>
          <cell r="V520" t="str">
            <v>–</v>
          </cell>
          <cell r="W520">
            <v>0.875</v>
          </cell>
          <cell r="X520" t="str">
            <v>–</v>
          </cell>
          <cell r="Y520" t="str">
            <v>–</v>
          </cell>
          <cell r="Z520" t="str">
            <v>–</v>
          </cell>
          <cell r="AA520" t="str">
            <v>–</v>
          </cell>
          <cell r="AB520" t="str">
            <v>–</v>
          </cell>
          <cell r="AC520" t="str">
            <v>–</v>
          </cell>
          <cell r="AD520">
            <v>1.81</v>
          </cell>
          <cell r="AE520" t="str">
            <v>–</v>
          </cell>
          <cell r="AF520" t="str">
            <v>–</v>
          </cell>
          <cell r="AG520">
            <v>0.81299999999999994</v>
          </cell>
          <cell r="AH520" t="str">
            <v>–</v>
          </cell>
          <cell r="AI520">
            <v>6.86</v>
          </cell>
          <cell r="AJ520" t="str">
            <v>–</v>
          </cell>
          <cell r="AK520" t="str">
            <v>–</v>
          </cell>
          <cell r="AL520" t="str">
            <v>–</v>
          </cell>
          <cell r="AM520" t="str">
            <v>–</v>
          </cell>
          <cell r="AN520">
            <v>63.8</v>
          </cell>
          <cell r="AO520">
            <v>27.4</v>
          </cell>
          <cell r="AP520">
            <v>15.2</v>
          </cell>
          <cell r="AQ520">
            <v>1.81</v>
          </cell>
          <cell r="AR520">
            <v>157</v>
          </cell>
          <cell r="AS520">
            <v>42.6</v>
          </cell>
          <cell r="AT520">
            <v>24.6</v>
          </cell>
          <cell r="AU520">
            <v>2.84</v>
          </cell>
        </row>
        <row r="521">
          <cell r="C521" t="str">
            <v>2L6X6X3/4</v>
          </cell>
          <cell r="D521" t="str">
            <v>F</v>
          </cell>
          <cell r="E521">
            <v>57.4</v>
          </cell>
          <cell r="F521">
            <v>16.899999999999999</v>
          </cell>
          <cell r="G521" t="str">
            <v>2L6X6X3/4</v>
          </cell>
          <cell r="H521">
            <v>6</v>
          </cell>
          <cell r="I521" t="str">
            <v>–</v>
          </cell>
          <cell r="J521" t="str">
            <v>–</v>
          </cell>
          <cell r="K521" t="str">
            <v>–</v>
          </cell>
          <cell r="L521" t="str">
            <v>–</v>
          </cell>
          <cell r="M521" t="str">
            <v>–</v>
          </cell>
          <cell r="N521" t="str">
            <v>–</v>
          </cell>
          <cell r="O521" t="str">
            <v>–</v>
          </cell>
          <cell r="P521">
            <v>6</v>
          </cell>
          <cell r="Q521" t="str">
            <v>–</v>
          </cell>
          <cell r="R521" t="str">
            <v>–</v>
          </cell>
          <cell r="S521" t="str">
            <v>–</v>
          </cell>
          <cell r="T521" t="str">
            <v>–</v>
          </cell>
          <cell r="U521" t="str">
            <v>–</v>
          </cell>
          <cell r="V521" t="str">
            <v>–</v>
          </cell>
          <cell r="W521">
            <v>0.75</v>
          </cell>
          <cell r="X521" t="str">
            <v>–</v>
          </cell>
          <cell r="Y521" t="str">
            <v>–</v>
          </cell>
          <cell r="Z521" t="str">
            <v>–</v>
          </cell>
          <cell r="AA521" t="str">
            <v>–</v>
          </cell>
          <cell r="AB521" t="str">
            <v>–</v>
          </cell>
          <cell r="AC521" t="str">
            <v>–</v>
          </cell>
          <cell r="AD521">
            <v>1.77</v>
          </cell>
          <cell r="AE521" t="str">
            <v>–</v>
          </cell>
          <cell r="AF521" t="str">
            <v>–</v>
          </cell>
          <cell r="AG521">
            <v>0.70499999999999996</v>
          </cell>
          <cell r="AH521" t="str">
            <v>–</v>
          </cell>
          <cell r="AI521">
            <v>8</v>
          </cell>
          <cell r="AJ521" t="str">
            <v>–</v>
          </cell>
          <cell r="AK521" t="str">
            <v>–</v>
          </cell>
          <cell r="AL521" t="str">
            <v>–</v>
          </cell>
          <cell r="AM521" t="str">
            <v>–</v>
          </cell>
          <cell r="AN521">
            <v>56.2</v>
          </cell>
          <cell r="AO521">
            <v>23.8</v>
          </cell>
          <cell r="AP521">
            <v>13.3</v>
          </cell>
          <cell r="AQ521">
            <v>1.82</v>
          </cell>
          <cell r="AR521">
            <v>109</v>
          </cell>
          <cell r="AS521">
            <v>29.9</v>
          </cell>
          <cell r="AT521">
            <v>18.2</v>
          </cell>
          <cell r="AU521">
            <v>2.54</v>
          </cell>
        </row>
        <row r="522">
          <cell r="C522" t="str">
            <v>2L6X6X3/4X3/8</v>
          </cell>
          <cell r="D522" t="str">
            <v>F</v>
          </cell>
          <cell r="E522">
            <v>57.4</v>
          </cell>
          <cell r="F522">
            <v>16.899999999999999</v>
          </cell>
          <cell r="G522" t="str">
            <v>2L6X6X3/4X3/8</v>
          </cell>
          <cell r="H522">
            <v>6</v>
          </cell>
          <cell r="I522" t="str">
            <v>–</v>
          </cell>
          <cell r="J522" t="str">
            <v>–</v>
          </cell>
          <cell r="K522" t="str">
            <v>–</v>
          </cell>
          <cell r="L522" t="str">
            <v>–</v>
          </cell>
          <cell r="M522" t="str">
            <v>–</v>
          </cell>
          <cell r="N522" t="str">
            <v>–</v>
          </cell>
          <cell r="O522" t="str">
            <v>–</v>
          </cell>
          <cell r="P522">
            <v>6</v>
          </cell>
          <cell r="Q522" t="str">
            <v>–</v>
          </cell>
          <cell r="R522" t="str">
            <v>–</v>
          </cell>
          <cell r="S522" t="str">
            <v>–</v>
          </cell>
          <cell r="T522" t="str">
            <v>–</v>
          </cell>
          <cell r="U522" t="str">
            <v>–</v>
          </cell>
          <cell r="V522" t="str">
            <v>–</v>
          </cell>
          <cell r="W522">
            <v>0.75</v>
          </cell>
          <cell r="X522" t="str">
            <v>–</v>
          </cell>
          <cell r="Y522" t="str">
            <v>–</v>
          </cell>
          <cell r="Z522" t="str">
            <v>–</v>
          </cell>
          <cell r="AA522" t="str">
            <v>–</v>
          </cell>
          <cell r="AB522" t="str">
            <v>–</v>
          </cell>
          <cell r="AC522" t="str">
            <v>–</v>
          </cell>
          <cell r="AD522">
            <v>1.77</v>
          </cell>
          <cell r="AE522" t="str">
            <v>–</v>
          </cell>
          <cell r="AF522" t="str">
            <v>–</v>
          </cell>
          <cell r="AG522">
            <v>0.70499999999999996</v>
          </cell>
          <cell r="AH522" t="str">
            <v>–</v>
          </cell>
          <cell r="AI522">
            <v>8</v>
          </cell>
          <cell r="AJ522" t="str">
            <v>–</v>
          </cell>
          <cell r="AK522" t="str">
            <v>–</v>
          </cell>
          <cell r="AL522" t="str">
            <v>–</v>
          </cell>
          <cell r="AM522" t="str">
            <v>–</v>
          </cell>
          <cell r="AN522">
            <v>56.2</v>
          </cell>
          <cell r="AO522">
            <v>23.8</v>
          </cell>
          <cell r="AP522">
            <v>13.3</v>
          </cell>
          <cell r="AQ522">
            <v>1.82</v>
          </cell>
          <cell r="AR522">
            <v>120</v>
          </cell>
          <cell r="AS522">
            <v>33.1</v>
          </cell>
          <cell r="AT522">
            <v>19.399999999999999</v>
          </cell>
          <cell r="AU522">
            <v>2.67</v>
          </cell>
        </row>
        <row r="523">
          <cell r="C523" t="str">
            <v>2L6X6X3/4X3/4</v>
          </cell>
          <cell r="D523" t="str">
            <v>F</v>
          </cell>
          <cell r="E523">
            <v>57.4</v>
          </cell>
          <cell r="F523">
            <v>16.899999999999999</v>
          </cell>
          <cell r="G523" t="str">
            <v>2L6X6X3/4X3/4</v>
          </cell>
          <cell r="H523">
            <v>6</v>
          </cell>
          <cell r="I523" t="str">
            <v>–</v>
          </cell>
          <cell r="J523" t="str">
            <v>–</v>
          </cell>
          <cell r="K523" t="str">
            <v>–</v>
          </cell>
          <cell r="L523" t="str">
            <v>–</v>
          </cell>
          <cell r="M523" t="str">
            <v>–</v>
          </cell>
          <cell r="N523" t="str">
            <v>–</v>
          </cell>
          <cell r="O523" t="str">
            <v>–</v>
          </cell>
          <cell r="P523">
            <v>6</v>
          </cell>
          <cell r="Q523" t="str">
            <v>–</v>
          </cell>
          <cell r="R523" t="str">
            <v>–</v>
          </cell>
          <cell r="S523" t="str">
            <v>–</v>
          </cell>
          <cell r="T523" t="str">
            <v>–</v>
          </cell>
          <cell r="U523" t="str">
            <v>–</v>
          </cell>
          <cell r="V523" t="str">
            <v>–</v>
          </cell>
          <cell r="W523">
            <v>0.75</v>
          </cell>
          <cell r="X523" t="str">
            <v>–</v>
          </cell>
          <cell r="Y523" t="str">
            <v>–</v>
          </cell>
          <cell r="Z523" t="str">
            <v>–</v>
          </cell>
          <cell r="AA523" t="str">
            <v>–</v>
          </cell>
          <cell r="AB523" t="str">
            <v>–</v>
          </cell>
          <cell r="AC523" t="str">
            <v>–</v>
          </cell>
          <cell r="AD523">
            <v>1.77</v>
          </cell>
          <cell r="AE523" t="str">
            <v>–</v>
          </cell>
          <cell r="AF523" t="str">
            <v>–</v>
          </cell>
          <cell r="AG523">
            <v>0.70499999999999996</v>
          </cell>
          <cell r="AH523" t="str">
            <v>–</v>
          </cell>
          <cell r="AI523">
            <v>8</v>
          </cell>
          <cell r="AJ523" t="str">
            <v>–</v>
          </cell>
          <cell r="AK523" t="str">
            <v>–</v>
          </cell>
          <cell r="AL523" t="str">
            <v>–</v>
          </cell>
          <cell r="AM523" t="str">
            <v>–</v>
          </cell>
          <cell r="AN523">
            <v>56.2</v>
          </cell>
          <cell r="AO523">
            <v>23.8</v>
          </cell>
          <cell r="AP523">
            <v>13.3</v>
          </cell>
          <cell r="AQ523">
            <v>1.82</v>
          </cell>
          <cell r="AR523">
            <v>133</v>
          </cell>
          <cell r="AS523">
            <v>36.299999999999997</v>
          </cell>
          <cell r="AT523">
            <v>20.9</v>
          </cell>
          <cell r="AU523">
            <v>2.81</v>
          </cell>
        </row>
        <row r="524">
          <cell r="C524" t="str">
            <v>2L6X6X5/8</v>
          </cell>
          <cell r="D524" t="str">
            <v>F</v>
          </cell>
          <cell r="E524">
            <v>48.4</v>
          </cell>
          <cell r="F524">
            <v>14.3</v>
          </cell>
          <cell r="G524" t="str">
            <v>2L6X6X5/8</v>
          </cell>
          <cell r="H524">
            <v>6</v>
          </cell>
          <cell r="I524" t="str">
            <v>–</v>
          </cell>
          <cell r="J524" t="str">
            <v>–</v>
          </cell>
          <cell r="K524" t="str">
            <v>–</v>
          </cell>
          <cell r="L524" t="str">
            <v>–</v>
          </cell>
          <cell r="M524" t="str">
            <v>–</v>
          </cell>
          <cell r="N524" t="str">
            <v>–</v>
          </cell>
          <cell r="O524" t="str">
            <v>–</v>
          </cell>
          <cell r="P524">
            <v>6</v>
          </cell>
          <cell r="Q524" t="str">
            <v>–</v>
          </cell>
          <cell r="R524" t="str">
            <v>–</v>
          </cell>
          <cell r="S524" t="str">
            <v>–</v>
          </cell>
          <cell r="T524" t="str">
            <v>–</v>
          </cell>
          <cell r="U524" t="str">
            <v>–</v>
          </cell>
          <cell r="V524" t="str">
            <v>–</v>
          </cell>
          <cell r="W524">
            <v>0.625</v>
          </cell>
          <cell r="X524" t="str">
            <v>–</v>
          </cell>
          <cell r="Y524" t="str">
            <v>–</v>
          </cell>
          <cell r="Z524" t="str">
            <v>–</v>
          </cell>
          <cell r="AA524" t="str">
            <v>–</v>
          </cell>
          <cell r="AB524" t="str">
            <v>–</v>
          </cell>
          <cell r="AC524" t="str">
            <v>–</v>
          </cell>
          <cell r="AD524">
            <v>1.72</v>
          </cell>
          <cell r="AE524" t="str">
            <v>–</v>
          </cell>
          <cell r="AF524" t="str">
            <v>–</v>
          </cell>
          <cell r="AG524">
            <v>0.59399999999999997</v>
          </cell>
          <cell r="AH524" t="str">
            <v>–</v>
          </cell>
          <cell r="AI524">
            <v>9.6</v>
          </cell>
          <cell r="AJ524" t="str">
            <v>–</v>
          </cell>
          <cell r="AK524" t="str">
            <v>–</v>
          </cell>
          <cell r="AL524" t="str">
            <v>–</v>
          </cell>
          <cell r="AM524" t="str">
            <v>–</v>
          </cell>
          <cell r="AN524">
            <v>48.2</v>
          </cell>
          <cell r="AO524">
            <v>20.2</v>
          </cell>
          <cell r="AP524">
            <v>11.3</v>
          </cell>
          <cell r="AQ524">
            <v>1.84</v>
          </cell>
          <cell r="AR524">
            <v>90.8</v>
          </cell>
          <cell r="AS524">
            <v>24.5</v>
          </cell>
          <cell r="AT524">
            <v>15.1</v>
          </cell>
          <cell r="AU524">
            <v>2.52</v>
          </cell>
        </row>
        <row r="525">
          <cell r="C525" t="str">
            <v>2L6X6X5/8X3/8</v>
          </cell>
          <cell r="D525" t="str">
            <v>F</v>
          </cell>
          <cell r="E525">
            <v>48.4</v>
          </cell>
          <cell r="F525">
            <v>14.3</v>
          </cell>
          <cell r="G525" t="str">
            <v>2L6X6X5/8X3/8</v>
          </cell>
          <cell r="H525">
            <v>6</v>
          </cell>
          <cell r="I525" t="str">
            <v>–</v>
          </cell>
          <cell r="J525" t="str">
            <v>–</v>
          </cell>
          <cell r="K525" t="str">
            <v>–</v>
          </cell>
          <cell r="L525" t="str">
            <v>–</v>
          </cell>
          <cell r="M525" t="str">
            <v>–</v>
          </cell>
          <cell r="N525" t="str">
            <v>–</v>
          </cell>
          <cell r="O525" t="str">
            <v>–</v>
          </cell>
          <cell r="P525">
            <v>6</v>
          </cell>
          <cell r="Q525" t="str">
            <v>–</v>
          </cell>
          <cell r="R525" t="str">
            <v>–</v>
          </cell>
          <cell r="S525" t="str">
            <v>–</v>
          </cell>
          <cell r="T525" t="str">
            <v>–</v>
          </cell>
          <cell r="U525" t="str">
            <v>–</v>
          </cell>
          <cell r="V525" t="str">
            <v>–</v>
          </cell>
          <cell r="W525">
            <v>0.625</v>
          </cell>
          <cell r="X525" t="str">
            <v>–</v>
          </cell>
          <cell r="Y525" t="str">
            <v>–</v>
          </cell>
          <cell r="Z525" t="str">
            <v>–</v>
          </cell>
          <cell r="AA525" t="str">
            <v>–</v>
          </cell>
          <cell r="AB525" t="str">
            <v>–</v>
          </cell>
          <cell r="AC525" t="str">
            <v>–</v>
          </cell>
          <cell r="AD525">
            <v>1.72</v>
          </cell>
          <cell r="AE525" t="str">
            <v>–</v>
          </cell>
          <cell r="AF525" t="str">
            <v>–</v>
          </cell>
          <cell r="AG525">
            <v>0.59399999999999997</v>
          </cell>
          <cell r="AH525" t="str">
            <v>–</v>
          </cell>
          <cell r="AI525">
            <v>9.6</v>
          </cell>
          <cell r="AJ525" t="str">
            <v>–</v>
          </cell>
          <cell r="AK525" t="str">
            <v>–</v>
          </cell>
          <cell r="AL525" t="str">
            <v>–</v>
          </cell>
          <cell r="AM525" t="str">
            <v>–</v>
          </cell>
          <cell r="AN525">
            <v>48.2</v>
          </cell>
          <cell r="AO525">
            <v>20.2</v>
          </cell>
          <cell r="AP525">
            <v>11.3</v>
          </cell>
          <cell r="AQ525">
            <v>1.84</v>
          </cell>
          <cell r="AR525">
            <v>100</v>
          </cell>
          <cell r="AS525">
            <v>27.2</v>
          </cell>
          <cell r="AT525">
            <v>16.2</v>
          </cell>
          <cell r="AU525">
            <v>2.65</v>
          </cell>
        </row>
        <row r="526">
          <cell r="C526" t="str">
            <v>2L6X6X5/8X3/4</v>
          </cell>
          <cell r="D526" t="str">
            <v>F</v>
          </cell>
          <cell r="E526">
            <v>48.4</v>
          </cell>
          <cell r="F526">
            <v>14.3</v>
          </cell>
          <cell r="G526" t="str">
            <v>2L6X6X5/8X3/4</v>
          </cell>
          <cell r="H526">
            <v>6</v>
          </cell>
          <cell r="I526" t="str">
            <v>–</v>
          </cell>
          <cell r="J526" t="str">
            <v>–</v>
          </cell>
          <cell r="K526" t="str">
            <v>–</v>
          </cell>
          <cell r="L526" t="str">
            <v>–</v>
          </cell>
          <cell r="M526" t="str">
            <v>–</v>
          </cell>
          <cell r="N526" t="str">
            <v>–</v>
          </cell>
          <cell r="O526" t="str">
            <v>–</v>
          </cell>
          <cell r="P526">
            <v>6</v>
          </cell>
          <cell r="Q526" t="str">
            <v>–</v>
          </cell>
          <cell r="R526" t="str">
            <v>–</v>
          </cell>
          <cell r="S526" t="str">
            <v>–</v>
          </cell>
          <cell r="T526" t="str">
            <v>–</v>
          </cell>
          <cell r="U526" t="str">
            <v>–</v>
          </cell>
          <cell r="V526" t="str">
            <v>–</v>
          </cell>
          <cell r="W526">
            <v>0.625</v>
          </cell>
          <cell r="X526" t="str">
            <v>–</v>
          </cell>
          <cell r="Y526" t="str">
            <v>–</v>
          </cell>
          <cell r="Z526" t="str">
            <v>–</v>
          </cell>
          <cell r="AA526" t="str">
            <v>–</v>
          </cell>
          <cell r="AB526" t="str">
            <v>–</v>
          </cell>
          <cell r="AC526" t="str">
            <v>–</v>
          </cell>
          <cell r="AD526">
            <v>1.72</v>
          </cell>
          <cell r="AE526" t="str">
            <v>–</v>
          </cell>
          <cell r="AF526" t="str">
            <v>–</v>
          </cell>
          <cell r="AG526">
            <v>0.59399999999999997</v>
          </cell>
          <cell r="AH526" t="str">
            <v>–</v>
          </cell>
          <cell r="AI526">
            <v>9.6</v>
          </cell>
          <cell r="AJ526" t="str">
            <v>–</v>
          </cell>
          <cell r="AK526" t="str">
            <v>–</v>
          </cell>
          <cell r="AL526" t="str">
            <v>–</v>
          </cell>
          <cell r="AM526" t="str">
            <v>–</v>
          </cell>
          <cell r="AN526">
            <v>48.2</v>
          </cell>
          <cell r="AO526">
            <v>20.2</v>
          </cell>
          <cell r="AP526">
            <v>11.3</v>
          </cell>
          <cell r="AQ526">
            <v>1.84</v>
          </cell>
          <cell r="AR526">
            <v>111</v>
          </cell>
          <cell r="AS526">
            <v>29.9</v>
          </cell>
          <cell r="AT526">
            <v>17.399999999999999</v>
          </cell>
          <cell r="AU526">
            <v>2.79</v>
          </cell>
        </row>
        <row r="527">
          <cell r="C527" t="str">
            <v>2L6X6X9/16</v>
          </cell>
          <cell r="D527" t="str">
            <v>F</v>
          </cell>
          <cell r="E527">
            <v>43.8</v>
          </cell>
          <cell r="F527">
            <v>12.9</v>
          </cell>
          <cell r="G527" t="str">
            <v>2L6X6X9/16</v>
          </cell>
          <cell r="H527">
            <v>6</v>
          </cell>
          <cell r="I527" t="str">
            <v>–</v>
          </cell>
          <cell r="J527" t="str">
            <v>–</v>
          </cell>
          <cell r="K527" t="str">
            <v>–</v>
          </cell>
          <cell r="L527" t="str">
            <v>–</v>
          </cell>
          <cell r="M527" t="str">
            <v>–</v>
          </cell>
          <cell r="N527" t="str">
            <v>–</v>
          </cell>
          <cell r="O527" t="str">
            <v>–</v>
          </cell>
          <cell r="P527">
            <v>6</v>
          </cell>
          <cell r="Q527" t="str">
            <v>–</v>
          </cell>
          <cell r="R527" t="str">
            <v>–</v>
          </cell>
          <cell r="S527" t="str">
            <v>–</v>
          </cell>
          <cell r="T527" t="str">
            <v>–</v>
          </cell>
          <cell r="U527" t="str">
            <v>–</v>
          </cell>
          <cell r="V527" t="str">
            <v>–</v>
          </cell>
          <cell r="W527">
            <v>0.56299999999999994</v>
          </cell>
          <cell r="X527" t="str">
            <v>–</v>
          </cell>
          <cell r="Y527" t="str">
            <v>–</v>
          </cell>
          <cell r="Z527" t="str">
            <v>–</v>
          </cell>
          <cell r="AA527" t="str">
            <v>–</v>
          </cell>
          <cell r="AB527" t="str">
            <v>–</v>
          </cell>
          <cell r="AC527" t="str">
            <v>–</v>
          </cell>
          <cell r="AD527">
            <v>1.7</v>
          </cell>
          <cell r="AE527" t="str">
            <v>–</v>
          </cell>
          <cell r="AF527" t="str">
            <v>–</v>
          </cell>
          <cell r="AG527">
            <v>0.53800000000000003</v>
          </cell>
          <cell r="AH527" t="str">
            <v>–</v>
          </cell>
          <cell r="AI527">
            <v>10.7</v>
          </cell>
          <cell r="AJ527" t="str">
            <v>–</v>
          </cell>
          <cell r="AK527" t="str">
            <v>–</v>
          </cell>
          <cell r="AL527" t="str">
            <v>–</v>
          </cell>
          <cell r="AM527" t="str">
            <v>–</v>
          </cell>
          <cell r="AN527">
            <v>44</v>
          </cell>
          <cell r="AO527">
            <v>18.399999999999999</v>
          </cell>
          <cell r="AP527">
            <v>10.199999999999999</v>
          </cell>
          <cell r="AQ527">
            <v>1.85</v>
          </cell>
          <cell r="AR527">
            <v>81.3</v>
          </cell>
          <cell r="AS527">
            <v>21.9</v>
          </cell>
          <cell r="AT527">
            <v>13.6</v>
          </cell>
          <cell r="AU527">
            <v>2.5099999999999998</v>
          </cell>
        </row>
        <row r="528">
          <cell r="C528" t="str">
            <v>2L6X6X9/16X3/8</v>
          </cell>
          <cell r="D528" t="str">
            <v>F</v>
          </cell>
          <cell r="E528">
            <v>43.8</v>
          </cell>
          <cell r="F528">
            <v>12.9</v>
          </cell>
          <cell r="G528" t="str">
            <v>2L6X6X9/16X3/8</v>
          </cell>
          <cell r="H528">
            <v>6</v>
          </cell>
          <cell r="I528" t="str">
            <v>–</v>
          </cell>
          <cell r="J528" t="str">
            <v>–</v>
          </cell>
          <cell r="K528" t="str">
            <v>–</v>
          </cell>
          <cell r="L528" t="str">
            <v>–</v>
          </cell>
          <cell r="M528" t="str">
            <v>–</v>
          </cell>
          <cell r="N528" t="str">
            <v>–</v>
          </cell>
          <cell r="O528" t="str">
            <v>–</v>
          </cell>
          <cell r="P528">
            <v>6</v>
          </cell>
          <cell r="Q528" t="str">
            <v>–</v>
          </cell>
          <cell r="R528" t="str">
            <v>–</v>
          </cell>
          <cell r="S528" t="str">
            <v>–</v>
          </cell>
          <cell r="T528" t="str">
            <v>–</v>
          </cell>
          <cell r="U528" t="str">
            <v>–</v>
          </cell>
          <cell r="V528" t="str">
            <v>–</v>
          </cell>
          <cell r="W528">
            <v>0.56299999999999994</v>
          </cell>
          <cell r="X528" t="str">
            <v>–</v>
          </cell>
          <cell r="Y528" t="str">
            <v>–</v>
          </cell>
          <cell r="Z528" t="str">
            <v>–</v>
          </cell>
          <cell r="AA528" t="str">
            <v>–</v>
          </cell>
          <cell r="AB528" t="str">
            <v>–</v>
          </cell>
          <cell r="AC528" t="str">
            <v>–</v>
          </cell>
          <cell r="AD528">
            <v>1.7</v>
          </cell>
          <cell r="AE528" t="str">
            <v>–</v>
          </cell>
          <cell r="AF528" t="str">
            <v>–</v>
          </cell>
          <cell r="AG528">
            <v>0.53800000000000003</v>
          </cell>
          <cell r="AH528" t="str">
            <v>–</v>
          </cell>
          <cell r="AI528">
            <v>10.7</v>
          </cell>
          <cell r="AJ528" t="str">
            <v>–</v>
          </cell>
          <cell r="AK528" t="str">
            <v>–</v>
          </cell>
          <cell r="AL528" t="str">
            <v>–</v>
          </cell>
          <cell r="AM528" t="str">
            <v>–</v>
          </cell>
          <cell r="AN528">
            <v>44</v>
          </cell>
          <cell r="AO528">
            <v>18.399999999999999</v>
          </cell>
          <cell r="AP528">
            <v>10.199999999999999</v>
          </cell>
          <cell r="AQ528">
            <v>1.85</v>
          </cell>
          <cell r="AR528">
            <v>89.9</v>
          </cell>
          <cell r="AS528">
            <v>24.3</v>
          </cell>
          <cell r="AT528">
            <v>14.5</v>
          </cell>
          <cell r="AU528">
            <v>2.64</v>
          </cell>
        </row>
        <row r="529">
          <cell r="C529" t="str">
            <v>2L6X6X9/16X3/4</v>
          </cell>
          <cell r="D529" t="str">
            <v>F</v>
          </cell>
          <cell r="E529">
            <v>43.8</v>
          </cell>
          <cell r="F529">
            <v>12.9</v>
          </cell>
          <cell r="G529" t="str">
            <v>2L6X6X9/16X3/4</v>
          </cell>
          <cell r="H529">
            <v>6</v>
          </cell>
          <cell r="I529" t="str">
            <v>–</v>
          </cell>
          <cell r="J529" t="str">
            <v>–</v>
          </cell>
          <cell r="K529" t="str">
            <v>–</v>
          </cell>
          <cell r="L529" t="str">
            <v>–</v>
          </cell>
          <cell r="M529" t="str">
            <v>–</v>
          </cell>
          <cell r="N529" t="str">
            <v>–</v>
          </cell>
          <cell r="O529" t="str">
            <v>–</v>
          </cell>
          <cell r="P529">
            <v>6</v>
          </cell>
          <cell r="Q529" t="str">
            <v>–</v>
          </cell>
          <cell r="R529" t="str">
            <v>–</v>
          </cell>
          <cell r="S529" t="str">
            <v>–</v>
          </cell>
          <cell r="T529" t="str">
            <v>–</v>
          </cell>
          <cell r="U529" t="str">
            <v>–</v>
          </cell>
          <cell r="V529" t="str">
            <v>–</v>
          </cell>
          <cell r="W529">
            <v>0.56299999999999994</v>
          </cell>
          <cell r="X529" t="str">
            <v>–</v>
          </cell>
          <cell r="Y529" t="str">
            <v>–</v>
          </cell>
          <cell r="Z529" t="str">
            <v>–</v>
          </cell>
          <cell r="AA529" t="str">
            <v>–</v>
          </cell>
          <cell r="AB529" t="str">
            <v>–</v>
          </cell>
          <cell r="AC529" t="str">
            <v>–</v>
          </cell>
          <cell r="AD529">
            <v>1.7</v>
          </cell>
          <cell r="AE529" t="str">
            <v>–</v>
          </cell>
          <cell r="AF529" t="str">
            <v>–</v>
          </cell>
          <cell r="AG529">
            <v>0.53800000000000003</v>
          </cell>
          <cell r="AH529" t="str">
            <v>–</v>
          </cell>
          <cell r="AI529">
            <v>10.7</v>
          </cell>
          <cell r="AJ529" t="str">
            <v>–</v>
          </cell>
          <cell r="AK529" t="str">
            <v>–</v>
          </cell>
          <cell r="AL529" t="str">
            <v>–</v>
          </cell>
          <cell r="AM529" t="str">
            <v>–</v>
          </cell>
          <cell r="AN529">
            <v>44</v>
          </cell>
          <cell r="AO529">
            <v>18.399999999999999</v>
          </cell>
          <cell r="AP529">
            <v>10.199999999999999</v>
          </cell>
          <cell r="AQ529">
            <v>1.85</v>
          </cell>
          <cell r="AR529">
            <v>99.7</v>
          </cell>
          <cell r="AS529">
            <v>26.8</v>
          </cell>
          <cell r="AT529">
            <v>15.6</v>
          </cell>
          <cell r="AU529">
            <v>2.78</v>
          </cell>
        </row>
        <row r="530">
          <cell r="C530" t="str">
            <v>2L6X6X1/2</v>
          </cell>
          <cell r="D530" t="str">
            <v>F</v>
          </cell>
          <cell r="E530">
            <v>39.200000000000003</v>
          </cell>
          <cell r="F530">
            <v>11.5</v>
          </cell>
          <cell r="G530" t="str">
            <v>2L6X6X1/2</v>
          </cell>
          <cell r="H530">
            <v>6</v>
          </cell>
          <cell r="I530" t="str">
            <v>–</v>
          </cell>
          <cell r="J530" t="str">
            <v>–</v>
          </cell>
          <cell r="K530" t="str">
            <v>–</v>
          </cell>
          <cell r="L530" t="str">
            <v>–</v>
          </cell>
          <cell r="M530" t="str">
            <v>–</v>
          </cell>
          <cell r="N530" t="str">
            <v>–</v>
          </cell>
          <cell r="O530" t="str">
            <v>–</v>
          </cell>
          <cell r="P530">
            <v>6</v>
          </cell>
          <cell r="Q530" t="str">
            <v>–</v>
          </cell>
          <cell r="R530" t="str">
            <v>–</v>
          </cell>
          <cell r="S530" t="str">
            <v>–</v>
          </cell>
          <cell r="T530" t="str">
            <v>–</v>
          </cell>
          <cell r="U530" t="str">
            <v>–</v>
          </cell>
          <cell r="V530" t="str">
            <v>–</v>
          </cell>
          <cell r="W530">
            <v>0.5</v>
          </cell>
          <cell r="X530" t="str">
            <v>–</v>
          </cell>
          <cell r="Y530" t="str">
            <v>–</v>
          </cell>
          <cell r="Z530" t="str">
            <v>–</v>
          </cell>
          <cell r="AA530" t="str">
            <v>–</v>
          </cell>
          <cell r="AB530" t="str">
            <v>–</v>
          </cell>
          <cell r="AC530" t="str">
            <v>–</v>
          </cell>
          <cell r="AD530">
            <v>1.67</v>
          </cell>
          <cell r="AE530" t="str">
            <v>–</v>
          </cell>
          <cell r="AF530" t="str">
            <v>–</v>
          </cell>
          <cell r="AG530">
            <v>0.48099999999999998</v>
          </cell>
          <cell r="AH530" t="str">
            <v>–</v>
          </cell>
          <cell r="AI530">
            <v>12</v>
          </cell>
          <cell r="AJ530" t="str">
            <v>–</v>
          </cell>
          <cell r="AK530" t="str">
            <v>–</v>
          </cell>
          <cell r="AL530" t="str">
            <v>–</v>
          </cell>
          <cell r="AM530" t="str">
            <v>–</v>
          </cell>
          <cell r="AN530">
            <v>39.799999999999997</v>
          </cell>
          <cell r="AO530">
            <v>16.399999999999999</v>
          </cell>
          <cell r="AP530">
            <v>9.18</v>
          </cell>
          <cell r="AQ530">
            <v>1.86</v>
          </cell>
          <cell r="AR530">
            <v>71.900000000000006</v>
          </cell>
          <cell r="AS530">
            <v>19.3</v>
          </cell>
          <cell r="AT530">
            <v>12</v>
          </cell>
          <cell r="AU530">
            <v>2.5</v>
          </cell>
        </row>
        <row r="531">
          <cell r="C531" t="str">
            <v>2L6X6X1/2X3/8</v>
          </cell>
          <cell r="D531" t="str">
            <v>F</v>
          </cell>
          <cell r="E531">
            <v>39.200000000000003</v>
          </cell>
          <cell r="F531">
            <v>11.5</v>
          </cell>
          <cell r="G531" t="str">
            <v>2L6X6X1/2X3/8</v>
          </cell>
          <cell r="H531">
            <v>6</v>
          </cell>
          <cell r="I531" t="str">
            <v>–</v>
          </cell>
          <cell r="J531" t="str">
            <v>–</v>
          </cell>
          <cell r="K531" t="str">
            <v>–</v>
          </cell>
          <cell r="L531" t="str">
            <v>–</v>
          </cell>
          <cell r="M531" t="str">
            <v>–</v>
          </cell>
          <cell r="N531" t="str">
            <v>–</v>
          </cell>
          <cell r="O531" t="str">
            <v>–</v>
          </cell>
          <cell r="P531">
            <v>6</v>
          </cell>
          <cell r="Q531" t="str">
            <v>–</v>
          </cell>
          <cell r="R531" t="str">
            <v>–</v>
          </cell>
          <cell r="S531" t="str">
            <v>–</v>
          </cell>
          <cell r="T531" t="str">
            <v>–</v>
          </cell>
          <cell r="U531" t="str">
            <v>–</v>
          </cell>
          <cell r="V531" t="str">
            <v>–</v>
          </cell>
          <cell r="W531">
            <v>0.5</v>
          </cell>
          <cell r="X531" t="str">
            <v>–</v>
          </cell>
          <cell r="Y531" t="str">
            <v>–</v>
          </cell>
          <cell r="Z531" t="str">
            <v>–</v>
          </cell>
          <cell r="AA531" t="str">
            <v>–</v>
          </cell>
          <cell r="AB531" t="str">
            <v>–</v>
          </cell>
          <cell r="AC531" t="str">
            <v>–</v>
          </cell>
          <cell r="AD531">
            <v>1.67</v>
          </cell>
          <cell r="AE531" t="str">
            <v>–</v>
          </cell>
          <cell r="AF531" t="str">
            <v>–</v>
          </cell>
          <cell r="AG531">
            <v>0.48099999999999998</v>
          </cell>
          <cell r="AH531" t="str">
            <v>–</v>
          </cell>
          <cell r="AI531">
            <v>12</v>
          </cell>
          <cell r="AJ531" t="str">
            <v>–</v>
          </cell>
          <cell r="AK531" t="str">
            <v>–</v>
          </cell>
          <cell r="AL531" t="str">
            <v>–</v>
          </cell>
          <cell r="AM531" t="str">
            <v>–</v>
          </cell>
          <cell r="AN531">
            <v>39.799999999999997</v>
          </cell>
          <cell r="AO531">
            <v>16.399999999999999</v>
          </cell>
          <cell r="AP531">
            <v>9.18</v>
          </cell>
          <cell r="AQ531">
            <v>1.86</v>
          </cell>
          <cell r="AR531">
            <v>79.5</v>
          </cell>
          <cell r="AS531">
            <v>21.4</v>
          </cell>
          <cell r="AT531">
            <v>12.8</v>
          </cell>
          <cell r="AU531">
            <v>2.63</v>
          </cell>
        </row>
        <row r="532">
          <cell r="C532" t="str">
            <v>2L6X6X1/2X3/4</v>
          </cell>
          <cell r="D532" t="str">
            <v>F</v>
          </cell>
          <cell r="E532">
            <v>39.200000000000003</v>
          </cell>
          <cell r="F532">
            <v>11.5</v>
          </cell>
          <cell r="G532" t="str">
            <v>2L6X6X1/2X3/4</v>
          </cell>
          <cell r="H532">
            <v>6</v>
          </cell>
          <cell r="I532" t="str">
            <v>–</v>
          </cell>
          <cell r="J532" t="str">
            <v>–</v>
          </cell>
          <cell r="K532" t="str">
            <v>–</v>
          </cell>
          <cell r="L532" t="str">
            <v>–</v>
          </cell>
          <cell r="M532" t="str">
            <v>–</v>
          </cell>
          <cell r="N532" t="str">
            <v>–</v>
          </cell>
          <cell r="O532" t="str">
            <v>–</v>
          </cell>
          <cell r="P532">
            <v>6</v>
          </cell>
          <cell r="Q532" t="str">
            <v>–</v>
          </cell>
          <cell r="R532" t="str">
            <v>–</v>
          </cell>
          <cell r="S532" t="str">
            <v>–</v>
          </cell>
          <cell r="T532" t="str">
            <v>–</v>
          </cell>
          <cell r="U532" t="str">
            <v>–</v>
          </cell>
          <cell r="V532" t="str">
            <v>–</v>
          </cell>
          <cell r="W532">
            <v>0.5</v>
          </cell>
          <cell r="X532" t="str">
            <v>–</v>
          </cell>
          <cell r="Y532" t="str">
            <v>–</v>
          </cell>
          <cell r="Z532" t="str">
            <v>–</v>
          </cell>
          <cell r="AA532" t="str">
            <v>–</v>
          </cell>
          <cell r="AB532" t="str">
            <v>–</v>
          </cell>
          <cell r="AC532" t="str">
            <v>–</v>
          </cell>
          <cell r="AD532">
            <v>1.67</v>
          </cell>
          <cell r="AE532" t="str">
            <v>–</v>
          </cell>
          <cell r="AF532" t="str">
            <v>–</v>
          </cell>
          <cell r="AG532">
            <v>0.48099999999999998</v>
          </cell>
          <cell r="AH532" t="str">
            <v>–</v>
          </cell>
          <cell r="AI532">
            <v>12</v>
          </cell>
          <cell r="AJ532" t="str">
            <v>–</v>
          </cell>
          <cell r="AK532" t="str">
            <v>–</v>
          </cell>
          <cell r="AL532" t="str">
            <v>–</v>
          </cell>
          <cell r="AM532" t="str">
            <v>–</v>
          </cell>
          <cell r="AN532">
            <v>39.799999999999997</v>
          </cell>
          <cell r="AO532">
            <v>16.399999999999999</v>
          </cell>
          <cell r="AP532">
            <v>9.18</v>
          </cell>
          <cell r="AQ532">
            <v>1.86</v>
          </cell>
          <cell r="AR532">
            <v>87.6</v>
          </cell>
          <cell r="AS532">
            <v>23.6</v>
          </cell>
          <cell r="AT532">
            <v>13.7</v>
          </cell>
          <cell r="AU532">
            <v>2.76</v>
          </cell>
        </row>
        <row r="533">
          <cell r="C533" t="str">
            <v>2L6X6X7/16</v>
          </cell>
          <cell r="D533" t="str">
            <v>F</v>
          </cell>
          <cell r="E533">
            <v>34.4</v>
          </cell>
          <cell r="F533">
            <v>10.199999999999999</v>
          </cell>
          <cell r="G533" t="str">
            <v>2L6X6X7/16</v>
          </cell>
          <cell r="H533">
            <v>6</v>
          </cell>
          <cell r="I533" t="str">
            <v>–</v>
          </cell>
          <cell r="J533" t="str">
            <v>–</v>
          </cell>
          <cell r="K533" t="str">
            <v>–</v>
          </cell>
          <cell r="L533" t="str">
            <v>–</v>
          </cell>
          <cell r="M533" t="str">
            <v>–</v>
          </cell>
          <cell r="N533" t="str">
            <v>–</v>
          </cell>
          <cell r="O533" t="str">
            <v>–</v>
          </cell>
          <cell r="P533">
            <v>6</v>
          </cell>
          <cell r="Q533" t="str">
            <v>–</v>
          </cell>
          <cell r="R533" t="str">
            <v>–</v>
          </cell>
          <cell r="S533" t="str">
            <v>–</v>
          </cell>
          <cell r="T533" t="str">
            <v>–</v>
          </cell>
          <cell r="U533" t="str">
            <v>–</v>
          </cell>
          <cell r="V533" t="str">
            <v>–</v>
          </cell>
          <cell r="W533">
            <v>0.438</v>
          </cell>
          <cell r="X533" t="str">
            <v>–</v>
          </cell>
          <cell r="Y533" t="str">
            <v>–</v>
          </cell>
          <cell r="Z533" t="str">
            <v>–</v>
          </cell>
          <cell r="AA533" t="str">
            <v>–</v>
          </cell>
          <cell r="AB533" t="str">
            <v>–</v>
          </cell>
          <cell r="AC533" t="str">
            <v>–</v>
          </cell>
          <cell r="AD533">
            <v>1.65</v>
          </cell>
          <cell r="AE533" t="str">
            <v>–</v>
          </cell>
          <cell r="AF533" t="str">
            <v>–</v>
          </cell>
          <cell r="AG533">
            <v>0.42299999999999999</v>
          </cell>
          <cell r="AH533" t="str">
            <v>–</v>
          </cell>
          <cell r="AI533">
            <v>13.7</v>
          </cell>
          <cell r="AJ533" t="str">
            <v>–</v>
          </cell>
          <cell r="AK533" t="str">
            <v>–</v>
          </cell>
          <cell r="AL533" t="str">
            <v>–</v>
          </cell>
          <cell r="AM533" t="str">
            <v>–</v>
          </cell>
          <cell r="AN533">
            <v>35.200000000000003</v>
          </cell>
          <cell r="AO533">
            <v>14.5</v>
          </cell>
          <cell r="AP533">
            <v>8.1199999999999992</v>
          </cell>
          <cell r="AQ533">
            <v>1.86</v>
          </cell>
          <cell r="AR533">
            <v>63.2</v>
          </cell>
          <cell r="AS533">
            <v>16.8</v>
          </cell>
          <cell r="AT533">
            <v>10.5</v>
          </cell>
          <cell r="AU533">
            <v>2.4900000000000002</v>
          </cell>
        </row>
        <row r="534">
          <cell r="C534" t="str">
            <v>2L6X6X7/16X3/8</v>
          </cell>
          <cell r="D534" t="str">
            <v>F</v>
          </cell>
          <cell r="E534">
            <v>34.4</v>
          </cell>
          <cell r="F534">
            <v>10.199999999999999</v>
          </cell>
          <cell r="G534" t="str">
            <v>2L6X6X7/16X3/8</v>
          </cell>
          <cell r="H534">
            <v>6</v>
          </cell>
          <cell r="I534" t="str">
            <v>–</v>
          </cell>
          <cell r="J534" t="str">
            <v>–</v>
          </cell>
          <cell r="K534" t="str">
            <v>–</v>
          </cell>
          <cell r="L534" t="str">
            <v>–</v>
          </cell>
          <cell r="M534" t="str">
            <v>–</v>
          </cell>
          <cell r="N534" t="str">
            <v>–</v>
          </cell>
          <cell r="O534" t="str">
            <v>–</v>
          </cell>
          <cell r="P534">
            <v>6</v>
          </cell>
          <cell r="Q534" t="str">
            <v>–</v>
          </cell>
          <cell r="R534" t="str">
            <v>–</v>
          </cell>
          <cell r="S534" t="str">
            <v>–</v>
          </cell>
          <cell r="T534" t="str">
            <v>–</v>
          </cell>
          <cell r="U534" t="str">
            <v>–</v>
          </cell>
          <cell r="V534" t="str">
            <v>–</v>
          </cell>
          <cell r="W534">
            <v>0.438</v>
          </cell>
          <cell r="X534" t="str">
            <v>–</v>
          </cell>
          <cell r="Y534" t="str">
            <v>–</v>
          </cell>
          <cell r="Z534" t="str">
            <v>–</v>
          </cell>
          <cell r="AA534" t="str">
            <v>–</v>
          </cell>
          <cell r="AB534" t="str">
            <v>–</v>
          </cell>
          <cell r="AC534" t="str">
            <v>–</v>
          </cell>
          <cell r="AD534">
            <v>1.65</v>
          </cell>
          <cell r="AE534" t="str">
            <v>–</v>
          </cell>
          <cell r="AF534" t="str">
            <v>–</v>
          </cell>
          <cell r="AG534">
            <v>0.42299999999999999</v>
          </cell>
          <cell r="AH534" t="str">
            <v>–</v>
          </cell>
          <cell r="AI534">
            <v>13.7</v>
          </cell>
          <cell r="AJ534" t="str">
            <v>–</v>
          </cell>
          <cell r="AK534" t="str">
            <v>–</v>
          </cell>
          <cell r="AL534" t="str">
            <v>–</v>
          </cell>
          <cell r="AM534" t="str">
            <v>–</v>
          </cell>
          <cell r="AN534">
            <v>35.200000000000003</v>
          </cell>
          <cell r="AO534">
            <v>14.5</v>
          </cell>
          <cell r="AP534">
            <v>8.1199999999999992</v>
          </cell>
          <cell r="AQ534">
            <v>1.86</v>
          </cell>
          <cell r="AR534">
            <v>70</v>
          </cell>
          <cell r="AS534">
            <v>18.7</v>
          </cell>
          <cell r="AT534">
            <v>11.3</v>
          </cell>
          <cell r="AU534">
            <v>2.62</v>
          </cell>
        </row>
        <row r="535">
          <cell r="C535" t="str">
            <v>2L6X6X7/16X3/4</v>
          </cell>
          <cell r="D535" t="str">
            <v>F</v>
          </cell>
          <cell r="E535">
            <v>34.4</v>
          </cell>
          <cell r="F535">
            <v>10.199999999999999</v>
          </cell>
          <cell r="G535" t="str">
            <v>2L6X6X7/16X3/4</v>
          </cell>
          <cell r="H535">
            <v>6</v>
          </cell>
          <cell r="I535" t="str">
            <v>–</v>
          </cell>
          <cell r="J535" t="str">
            <v>–</v>
          </cell>
          <cell r="K535" t="str">
            <v>–</v>
          </cell>
          <cell r="L535" t="str">
            <v>–</v>
          </cell>
          <cell r="M535" t="str">
            <v>–</v>
          </cell>
          <cell r="N535" t="str">
            <v>–</v>
          </cell>
          <cell r="O535" t="str">
            <v>–</v>
          </cell>
          <cell r="P535">
            <v>6</v>
          </cell>
          <cell r="Q535" t="str">
            <v>–</v>
          </cell>
          <cell r="R535" t="str">
            <v>–</v>
          </cell>
          <cell r="S535" t="str">
            <v>–</v>
          </cell>
          <cell r="T535" t="str">
            <v>–</v>
          </cell>
          <cell r="U535" t="str">
            <v>–</v>
          </cell>
          <cell r="V535" t="str">
            <v>–</v>
          </cell>
          <cell r="W535">
            <v>0.438</v>
          </cell>
          <cell r="X535" t="str">
            <v>–</v>
          </cell>
          <cell r="Y535" t="str">
            <v>–</v>
          </cell>
          <cell r="Z535" t="str">
            <v>–</v>
          </cell>
          <cell r="AA535" t="str">
            <v>–</v>
          </cell>
          <cell r="AB535" t="str">
            <v>–</v>
          </cell>
          <cell r="AC535" t="str">
            <v>–</v>
          </cell>
          <cell r="AD535">
            <v>1.65</v>
          </cell>
          <cell r="AE535" t="str">
            <v>–</v>
          </cell>
          <cell r="AF535" t="str">
            <v>–</v>
          </cell>
          <cell r="AG535">
            <v>0.42299999999999999</v>
          </cell>
          <cell r="AH535" t="str">
            <v>–</v>
          </cell>
          <cell r="AI535">
            <v>13.7</v>
          </cell>
          <cell r="AJ535" t="str">
            <v>–</v>
          </cell>
          <cell r="AK535" t="str">
            <v>–</v>
          </cell>
          <cell r="AL535" t="str">
            <v>–</v>
          </cell>
          <cell r="AM535" t="str">
            <v>–</v>
          </cell>
          <cell r="AN535">
            <v>35.200000000000003</v>
          </cell>
          <cell r="AO535">
            <v>14.5</v>
          </cell>
          <cell r="AP535">
            <v>8.1199999999999992</v>
          </cell>
          <cell r="AQ535">
            <v>1.86</v>
          </cell>
          <cell r="AR535">
            <v>77.099999999999994</v>
          </cell>
          <cell r="AS535">
            <v>20.6</v>
          </cell>
          <cell r="AT535">
            <v>12.1</v>
          </cell>
          <cell r="AU535">
            <v>2.75</v>
          </cell>
        </row>
        <row r="536">
          <cell r="C536" t="str">
            <v>2L6X6X3/8</v>
          </cell>
          <cell r="D536" t="str">
            <v>F</v>
          </cell>
          <cell r="E536">
            <v>29.8</v>
          </cell>
          <cell r="F536">
            <v>8.76</v>
          </cell>
          <cell r="G536" t="str">
            <v>2L6X6X3/8</v>
          </cell>
          <cell r="H536">
            <v>6</v>
          </cell>
          <cell r="I536" t="str">
            <v>–</v>
          </cell>
          <cell r="J536" t="str">
            <v>–</v>
          </cell>
          <cell r="K536" t="str">
            <v>–</v>
          </cell>
          <cell r="L536" t="str">
            <v>–</v>
          </cell>
          <cell r="M536" t="str">
            <v>–</v>
          </cell>
          <cell r="N536" t="str">
            <v>–</v>
          </cell>
          <cell r="O536" t="str">
            <v>–</v>
          </cell>
          <cell r="P536">
            <v>6</v>
          </cell>
          <cell r="Q536" t="str">
            <v>–</v>
          </cell>
          <cell r="R536" t="str">
            <v>–</v>
          </cell>
          <cell r="S536" t="str">
            <v>–</v>
          </cell>
          <cell r="T536" t="str">
            <v>–</v>
          </cell>
          <cell r="U536" t="str">
            <v>–</v>
          </cell>
          <cell r="V536" t="str">
            <v>–</v>
          </cell>
          <cell r="W536">
            <v>0.375</v>
          </cell>
          <cell r="X536" t="str">
            <v>–</v>
          </cell>
          <cell r="Y536" t="str">
            <v>–</v>
          </cell>
          <cell r="Z536" t="str">
            <v>–</v>
          </cell>
          <cell r="AA536" t="str">
            <v>–</v>
          </cell>
          <cell r="AB536" t="str">
            <v>–</v>
          </cell>
          <cell r="AC536" t="str">
            <v>–</v>
          </cell>
          <cell r="AD536">
            <v>1.62</v>
          </cell>
          <cell r="AE536" t="str">
            <v>–</v>
          </cell>
          <cell r="AF536" t="str">
            <v>–</v>
          </cell>
          <cell r="AG536">
            <v>0.36499999999999999</v>
          </cell>
          <cell r="AH536" t="str">
            <v>–</v>
          </cell>
          <cell r="AI536">
            <v>16</v>
          </cell>
          <cell r="AJ536" t="str">
            <v>–</v>
          </cell>
          <cell r="AK536" t="str">
            <v>–</v>
          </cell>
          <cell r="AL536" t="str">
            <v>–</v>
          </cell>
          <cell r="AM536" t="str">
            <v>–</v>
          </cell>
          <cell r="AN536">
            <v>30.8</v>
          </cell>
          <cell r="AO536">
            <v>12.5</v>
          </cell>
          <cell r="AP536">
            <v>7.02</v>
          </cell>
          <cell r="AQ536">
            <v>1.87</v>
          </cell>
          <cell r="AR536">
            <v>53.9</v>
          </cell>
          <cell r="AS536">
            <v>14.2</v>
          </cell>
          <cell r="AT536">
            <v>8.98</v>
          </cell>
          <cell r="AU536">
            <v>2.48</v>
          </cell>
        </row>
        <row r="537">
          <cell r="C537" t="str">
            <v>2L6X6X3/8X3/8</v>
          </cell>
          <cell r="D537" t="str">
            <v>F</v>
          </cell>
          <cell r="E537">
            <v>29.8</v>
          </cell>
          <cell r="F537">
            <v>8.76</v>
          </cell>
          <cell r="G537" t="str">
            <v>2L6X6X3/8X3/8</v>
          </cell>
          <cell r="H537">
            <v>6</v>
          </cell>
          <cell r="I537" t="str">
            <v>–</v>
          </cell>
          <cell r="J537" t="str">
            <v>–</v>
          </cell>
          <cell r="K537" t="str">
            <v>–</v>
          </cell>
          <cell r="L537" t="str">
            <v>–</v>
          </cell>
          <cell r="M537" t="str">
            <v>–</v>
          </cell>
          <cell r="N537" t="str">
            <v>–</v>
          </cell>
          <cell r="O537" t="str">
            <v>–</v>
          </cell>
          <cell r="P537">
            <v>6</v>
          </cell>
          <cell r="Q537" t="str">
            <v>–</v>
          </cell>
          <cell r="R537" t="str">
            <v>–</v>
          </cell>
          <cell r="S537" t="str">
            <v>–</v>
          </cell>
          <cell r="T537" t="str">
            <v>–</v>
          </cell>
          <cell r="U537" t="str">
            <v>–</v>
          </cell>
          <cell r="V537" t="str">
            <v>–</v>
          </cell>
          <cell r="W537">
            <v>0.375</v>
          </cell>
          <cell r="X537" t="str">
            <v>–</v>
          </cell>
          <cell r="Y537" t="str">
            <v>–</v>
          </cell>
          <cell r="Z537" t="str">
            <v>–</v>
          </cell>
          <cell r="AA537" t="str">
            <v>–</v>
          </cell>
          <cell r="AB537" t="str">
            <v>–</v>
          </cell>
          <cell r="AC537" t="str">
            <v>–</v>
          </cell>
          <cell r="AD537">
            <v>1.62</v>
          </cell>
          <cell r="AE537" t="str">
            <v>–</v>
          </cell>
          <cell r="AF537" t="str">
            <v>–</v>
          </cell>
          <cell r="AG537">
            <v>0.36499999999999999</v>
          </cell>
          <cell r="AH537" t="str">
            <v>–</v>
          </cell>
          <cell r="AI537">
            <v>16</v>
          </cell>
          <cell r="AJ537" t="str">
            <v>–</v>
          </cell>
          <cell r="AK537" t="str">
            <v>–</v>
          </cell>
          <cell r="AL537" t="str">
            <v>–</v>
          </cell>
          <cell r="AM537" t="str">
            <v>–</v>
          </cell>
          <cell r="AN537">
            <v>30.8</v>
          </cell>
          <cell r="AO537">
            <v>12.5</v>
          </cell>
          <cell r="AP537">
            <v>7.02</v>
          </cell>
          <cell r="AQ537">
            <v>1.87</v>
          </cell>
          <cell r="AR537">
            <v>59.2</v>
          </cell>
          <cell r="AS537">
            <v>15.8</v>
          </cell>
          <cell r="AT537">
            <v>9.57</v>
          </cell>
          <cell r="AU537">
            <v>2.6</v>
          </cell>
        </row>
        <row r="538">
          <cell r="C538" t="str">
            <v>2L6X6X3/8X3/4</v>
          </cell>
          <cell r="D538" t="str">
            <v>F</v>
          </cell>
          <cell r="E538">
            <v>29.8</v>
          </cell>
          <cell r="F538">
            <v>8.76</v>
          </cell>
          <cell r="G538" t="str">
            <v>2L6X6X3/8X3/4</v>
          </cell>
          <cell r="H538">
            <v>6</v>
          </cell>
          <cell r="I538" t="str">
            <v>–</v>
          </cell>
          <cell r="J538" t="str">
            <v>–</v>
          </cell>
          <cell r="K538" t="str">
            <v>–</v>
          </cell>
          <cell r="L538" t="str">
            <v>–</v>
          </cell>
          <cell r="M538" t="str">
            <v>–</v>
          </cell>
          <cell r="N538" t="str">
            <v>–</v>
          </cell>
          <cell r="O538" t="str">
            <v>–</v>
          </cell>
          <cell r="P538">
            <v>6</v>
          </cell>
          <cell r="Q538" t="str">
            <v>–</v>
          </cell>
          <cell r="R538" t="str">
            <v>–</v>
          </cell>
          <cell r="S538" t="str">
            <v>–</v>
          </cell>
          <cell r="T538" t="str">
            <v>–</v>
          </cell>
          <cell r="U538" t="str">
            <v>–</v>
          </cell>
          <cell r="V538" t="str">
            <v>–</v>
          </cell>
          <cell r="W538">
            <v>0.375</v>
          </cell>
          <cell r="X538" t="str">
            <v>–</v>
          </cell>
          <cell r="Y538" t="str">
            <v>–</v>
          </cell>
          <cell r="Z538" t="str">
            <v>–</v>
          </cell>
          <cell r="AA538" t="str">
            <v>–</v>
          </cell>
          <cell r="AB538" t="str">
            <v>–</v>
          </cell>
          <cell r="AC538" t="str">
            <v>–</v>
          </cell>
          <cell r="AD538">
            <v>1.62</v>
          </cell>
          <cell r="AE538" t="str">
            <v>–</v>
          </cell>
          <cell r="AF538" t="str">
            <v>–</v>
          </cell>
          <cell r="AG538">
            <v>0.36499999999999999</v>
          </cell>
          <cell r="AH538" t="str">
            <v>–</v>
          </cell>
          <cell r="AI538">
            <v>16</v>
          </cell>
          <cell r="AJ538" t="str">
            <v>–</v>
          </cell>
          <cell r="AK538" t="str">
            <v>–</v>
          </cell>
          <cell r="AL538" t="str">
            <v>–</v>
          </cell>
          <cell r="AM538" t="str">
            <v>–</v>
          </cell>
          <cell r="AN538">
            <v>30.8</v>
          </cell>
          <cell r="AO538">
            <v>12.5</v>
          </cell>
          <cell r="AP538">
            <v>7.02</v>
          </cell>
          <cell r="AQ538">
            <v>1.87</v>
          </cell>
          <cell r="AR538">
            <v>65.8</v>
          </cell>
          <cell r="AS538">
            <v>17.5</v>
          </cell>
          <cell r="AT538">
            <v>10.3</v>
          </cell>
          <cell r="AU538">
            <v>2.74</v>
          </cell>
        </row>
        <row r="539">
          <cell r="C539" t="str">
            <v>2L6X6X5/16</v>
          </cell>
          <cell r="D539" t="str">
            <v>F</v>
          </cell>
          <cell r="E539">
            <v>24.8</v>
          </cell>
          <cell r="F539">
            <v>7.34</v>
          </cell>
          <cell r="G539" t="str">
            <v>2L6X6X5/16</v>
          </cell>
          <cell r="H539">
            <v>6</v>
          </cell>
          <cell r="I539" t="str">
            <v>–</v>
          </cell>
          <cell r="J539" t="str">
            <v>–</v>
          </cell>
          <cell r="K539" t="str">
            <v>–</v>
          </cell>
          <cell r="L539" t="str">
            <v>–</v>
          </cell>
          <cell r="M539" t="str">
            <v>–</v>
          </cell>
          <cell r="N539" t="str">
            <v>–</v>
          </cell>
          <cell r="O539" t="str">
            <v>–</v>
          </cell>
          <cell r="P539">
            <v>6</v>
          </cell>
          <cell r="Q539" t="str">
            <v>–</v>
          </cell>
          <cell r="R539" t="str">
            <v>–</v>
          </cell>
          <cell r="S539" t="str">
            <v>–</v>
          </cell>
          <cell r="T539" t="str">
            <v>–</v>
          </cell>
          <cell r="U539" t="str">
            <v>–</v>
          </cell>
          <cell r="V539" t="str">
            <v>–</v>
          </cell>
          <cell r="W539">
            <v>0.313</v>
          </cell>
          <cell r="X539" t="str">
            <v>–</v>
          </cell>
          <cell r="Y539" t="str">
            <v>–</v>
          </cell>
          <cell r="Z539" t="str">
            <v>–</v>
          </cell>
          <cell r="AA539" t="str">
            <v>–</v>
          </cell>
          <cell r="AB539" t="str">
            <v>–</v>
          </cell>
          <cell r="AC539" t="str">
            <v>–</v>
          </cell>
          <cell r="AD539">
            <v>1.6</v>
          </cell>
          <cell r="AE539" t="str">
            <v>–</v>
          </cell>
          <cell r="AF539" t="str">
            <v>–</v>
          </cell>
          <cell r="AG539">
            <v>0.30599999999999999</v>
          </cell>
          <cell r="AH539" t="str">
            <v>–</v>
          </cell>
          <cell r="AI539">
            <v>19.2</v>
          </cell>
          <cell r="AJ539" t="str">
            <v>–</v>
          </cell>
          <cell r="AK539" t="str">
            <v>–</v>
          </cell>
          <cell r="AL539" t="str">
            <v>–</v>
          </cell>
          <cell r="AM539" t="str">
            <v>–</v>
          </cell>
          <cell r="AN539">
            <v>26</v>
          </cell>
          <cell r="AO539">
            <v>10.5</v>
          </cell>
          <cell r="AP539">
            <v>5.9</v>
          </cell>
          <cell r="AQ539">
            <v>1.88</v>
          </cell>
          <cell r="AR539">
            <v>44.8</v>
          </cell>
          <cell r="AS539">
            <v>11.7</v>
          </cell>
          <cell r="AT539">
            <v>7.47</v>
          </cell>
          <cell r="AU539">
            <v>2.4700000000000002</v>
          </cell>
        </row>
        <row r="540">
          <cell r="C540" t="str">
            <v>2L6X6X5/16X3/8</v>
          </cell>
          <cell r="D540" t="str">
            <v>F</v>
          </cell>
          <cell r="E540">
            <v>24.8</v>
          </cell>
          <cell r="F540">
            <v>7.34</v>
          </cell>
          <cell r="G540" t="str">
            <v>2L6X6X5/16X3/8</v>
          </cell>
          <cell r="H540">
            <v>6</v>
          </cell>
          <cell r="I540" t="str">
            <v>–</v>
          </cell>
          <cell r="J540" t="str">
            <v>–</v>
          </cell>
          <cell r="K540" t="str">
            <v>–</v>
          </cell>
          <cell r="L540" t="str">
            <v>–</v>
          </cell>
          <cell r="M540" t="str">
            <v>–</v>
          </cell>
          <cell r="N540" t="str">
            <v>–</v>
          </cell>
          <cell r="O540" t="str">
            <v>–</v>
          </cell>
          <cell r="P540">
            <v>6</v>
          </cell>
          <cell r="Q540" t="str">
            <v>–</v>
          </cell>
          <cell r="R540" t="str">
            <v>–</v>
          </cell>
          <cell r="S540" t="str">
            <v>–</v>
          </cell>
          <cell r="T540" t="str">
            <v>–</v>
          </cell>
          <cell r="U540" t="str">
            <v>–</v>
          </cell>
          <cell r="V540" t="str">
            <v>–</v>
          </cell>
          <cell r="W540">
            <v>0.313</v>
          </cell>
          <cell r="X540" t="str">
            <v>–</v>
          </cell>
          <cell r="Y540" t="str">
            <v>–</v>
          </cell>
          <cell r="Z540" t="str">
            <v>–</v>
          </cell>
          <cell r="AA540" t="str">
            <v>–</v>
          </cell>
          <cell r="AB540" t="str">
            <v>–</v>
          </cell>
          <cell r="AC540" t="str">
            <v>–</v>
          </cell>
          <cell r="AD540">
            <v>1.6</v>
          </cell>
          <cell r="AE540" t="str">
            <v>–</v>
          </cell>
          <cell r="AF540" t="str">
            <v>–</v>
          </cell>
          <cell r="AG540">
            <v>0.30599999999999999</v>
          </cell>
          <cell r="AH540" t="str">
            <v>–</v>
          </cell>
          <cell r="AI540">
            <v>19.2</v>
          </cell>
          <cell r="AJ540" t="str">
            <v>–</v>
          </cell>
          <cell r="AK540" t="str">
            <v>–</v>
          </cell>
          <cell r="AL540" t="str">
            <v>–</v>
          </cell>
          <cell r="AM540" t="str">
            <v>–</v>
          </cell>
          <cell r="AN540">
            <v>26</v>
          </cell>
          <cell r="AO540">
            <v>10.5</v>
          </cell>
          <cell r="AP540">
            <v>5.9</v>
          </cell>
          <cell r="AQ540">
            <v>1.88</v>
          </cell>
          <cell r="AR540">
            <v>49.2</v>
          </cell>
          <cell r="AS540">
            <v>13.1</v>
          </cell>
          <cell r="AT540">
            <v>7.95</v>
          </cell>
          <cell r="AU540">
            <v>2.59</v>
          </cell>
        </row>
        <row r="541">
          <cell r="C541" t="str">
            <v>2L6X6X5/16X3/4</v>
          </cell>
          <cell r="D541" t="str">
            <v>F</v>
          </cell>
          <cell r="E541">
            <v>24.8</v>
          </cell>
          <cell r="F541">
            <v>7.34</v>
          </cell>
          <cell r="G541" t="str">
            <v>2L6X6X5/16X3/4</v>
          </cell>
          <cell r="H541">
            <v>6</v>
          </cell>
          <cell r="I541" t="str">
            <v>–</v>
          </cell>
          <cell r="J541" t="str">
            <v>–</v>
          </cell>
          <cell r="K541" t="str">
            <v>–</v>
          </cell>
          <cell r="L541" t="str">
            <v>–</v>
          </cell>
          <cell r="M541" t="str">
            <v>–</v>
          </cell>
          <cell r="N541" t="str">
            <v>–</v>
          </cell>
          <cell r="O541" t="str">
            <v>–</v>
          </cell>
          <cell r="P541">
            <v>6</v>
          </cell>
          <cell r="Q541" t="str">
            <v>–</v>
          </cell>
          <cell r="R541" t="str">
            <v>–</v>
          </cell>
          <cell r="S541" t="str">
            <v>–</v>
          </cell>
          <cell r="T541" t="str">
            <v>–</v>
          </cell>
          <cell r="U541" t="str">
            <v>–</v>
          </cell>
          <cell r="V541" t="str">
            <v>–</v>
          </cell>
          <cell r="W541">
            <v>0.313</v>
          </cell>
          <cell r="X541" t="str">
            <v>–</v>
          </cell>
          <cell r="Y541" t="str">
            <v>–</v>
          </cell>
          <cell r="Z541" t="str">
            <v>–</v>
          </cell>
          <cell r="AA541" t="str">
            <v>–</v>
          </cell>
          <cell r="AB541" t="str">
            <v>–</v>
          </cell>
          <cell r="AC541" t="str">
            <v>–</v>
          </cell>
          <cell r="AD541">
            <v>1.6</v>
          </cell>
          <cell r="AE541" t="str">
            <v>–</v>
          </cell>
          <cell r="AF541" t="str">
            <v>–</v>
          </cell>
          <cell r="AG541">
            <v>0.30599999999999999</v>
          </cell>
          <cell r="AH541" t="str">
            <v>–</v>
          </cell>
          <cell r="AI541">
            <v>19.2</v>
          </cell>
          <cell r="AJ541" t="str">
            <v>–</v>
          </cell>
          <cell r="AK541" t="str">
            <v>–</v>
          </cell>
          <cell r="AL541" t="str">
            <v>–</v>
          </cell>
          <cell r="AM541" t="str">
            <v>–</v>
          </cell>
          <cell r="AN541">
            <v>26</v>
          </cell>
          <cell r="AO541">
            <v>10.5</v>
          </cell>
          <cell r="AP541">
            <v>5.9</v>
          </cell>
          <cell r="AQ541">
            <v>1.88</v>
          </cell>
          <cell r="AR541">
            <v>54.3</v>
          </cell>
          <cell r="AS541">
            <v>14.5</v>
          </cell>
          <cell r="AT541">
            <v>8.52</v>
          </cell>
          <cell r="AU541">
            <v>2.72</v>
          </cell>
        </row>
        <row r="542">
          <cell r="C542" t="str">
            <v>2L5X5X7/8</v>
          </cell>
          <cell r="D542" t="str">
            <v>F</v>
          </cell>
          <cell r="E542">
            <v>54.4</v>
          </cell>
          <cell r="F542">
            <v>16</v>
          </cell>
          <cell r="G542" t="str">
            <v>2L5X5X7/8</v>
          </cell>
          <cell r="H542">
            <v>5</v>
          </cell>
          <cell r="I542" t="str">
            <v>–</v>
          </cell>
          <cell r="J542" t="str">
            <v>–</v>
          </cell>
          <cell r="K542" t="str">
            <v>–</v>
          </cell>
          <cell r="L542" t="str">
            <v>–</v>
          </cell>
          <cell r="M542" t="str">
            <v>–</v>
          </cell>
          <cell r="N542" t="str">
            <v>–</v>
          </cell>
          <cell r="O542" t="str">
            <v>–</v>
          </cell>
          <cell r="P542">
            <v>5</v>
          </cell>
          <cell r="Q542" t="str">
            <v>–</v>
          </cell>
          <cell r="R542" t="str">
            <v>–</v>
          </cell>
          <cell r="S542" t="str">
            <v>–</v>
          </cell>
          <cell r="T542" t="str">
            <v>–</v>
          </cell>
          <cell r="U542" t="str">
            <v>–</v>
          </cell>
          <cell r="V542" t="str">
            <v>–</v>
          </cell>
          <cell r="W542">
            <v>0.875</v>
          </cell>
          <cell r="X542" t="str">
            <v>–</v>
          </cell>
          <cell r="Y542" t="str">
            <v>–</v>
          </cell>
          <cell r="Z542" t="str">
            <v>–</v>
          </cell>
          <cell r="AA542" t="str">
            <v>–</v>
          </cell>
          <cell r="AB542" t="str">
            <v>–</v>
          </cell>
          <cell r="AC542" t="str">
            <v>–</v>
          </cell>
          <cell r="AD542">
            <v>1.56</v>
          </cell>
          <cell r="AE542" t="str">
            <v>–</v>
          </cell>
          <cell r="AF542" t="str">
            <v>–</v>
          </cell>
          <cell r="AG542">
            <v>0.8</v>
          </cell>
          <cell r="AH542" t="str">
            <v>–</v>
          </cell>
          <cell r="AI542">
            <v>5.71</v>
          </cell>
          <cell r="AJ542" t="str">
            <v>–</v>
          </cell>
          <cell r="AK542" t="str">
            <v>–</v>
          </cell>
          <cell r="AL542" t="str">
            <v>–</v>
          </cell>
          <cell r="AM542" t="str">
            <v>–</v>
          </cell>
          <cell r="AN542">
            <v>35.6</v>
          </cell>
          <cell r="AO542">
            <v>18.600000000000001</v>
          </cell>
          <cell r="AP542">
            <v>10.3</v>
          </cell>
          <cell r="AQ542">
            <v>1.49</v>
          </cell>
          <cell r="AR542">
            <v>74.599999999999994</v>
          </cell>
          <cell r="AS542">
            <v>25</v>
          </cell>
          <cell r="AT542">
            <v>14.9</v>
          </cell>
          <cell r="AU542">
            <v>2.16</v>
          </cell>
        </row>
        <row r="543">
          <cell r="C543" t="str">
            <v>2L5X5X7/8X3/8</v>
          </cell>
          <cell r="D543" t="str">
            <v>F</v>
          </cell>
          <cell r="E543">
            <v>54.4</v>
          </cell>
          <cell r="F543">
            <v>16</v>
          </cell>
          <cell r="G543" t="str">
            <v>2L5X5X7/8X3/8</v>
          </cell>
          <cell r="H543">
            <v>5</v>
          </cell>
          <cell r="I543" t="str">
            <v>–</v>
          </cell>
          <cell r="J543" t="str">
            <v>–</v>
          </cell>
          <cell r="K543" t="str">
            <v>–</v>
          </cell>
          <cell r="L543" t="str">
            <v>–</v>
          </cell>
          <cell r="M543" t="str">
            <v>–</v>
          </cell>
          <cell r="N543" t="str">
            <v>–</v>
          </cell>
          <cell r="O543" t="str">
            <v>–</v>
          </cell>
          <cell r="P543">
            <v>5</v>
          </cell>
          <cell r="Q543" t="str">
            <v>–</v>
          </cell>
          <cell r="R543" t="str">
            <v>–</v>
          </cell>
          <cell r="S543" t="str">
            <v>–</v>
          </cell>
          <cell r="T543" t="str">
            <v>–</v>
          </cell>
          <cell r="U543" t="str">
            <v>–</v>
          </cell>
          <cell r="V543" t="str">
            <v>–</v>
          </cell>
          <cell r="W543">
            <v>0.875</v>
          </cell>
          <cell r="X543" t="str">
            <v>–</v>
          </cell>
          <cell r="Y543" t="str">
            <v>–</v>
          </cell>
          <cell r="Z543" t="str">
            <v>–</v>
          </cell>
          <cell r="AA543" t="str">
            <v>–</v>
          </cell>
          <cell r="AB543" t="str">
            <v>–</v>
          </cell>
          <cell r="AC543" t="str">
            <v>–</v>
          </cell>
          <cell r="AD543">
            <v>1.56</v>
          </cell>
          <cell r="AE543" t="str">
            <v>–</v>
          </cell>
          <cell r="AF543" t="str">
            <v>–</v>
          </cell>
          <cell r="AG543">
            <v>0.8</v>
          </cell>
          <cell r="AH543" t="str">
            <v>–</v>
          </cell>
          <cell r="AI543">
            <v>5.71</v>
          </cell>
          <cell r="AJ543" t="str">
            <v>–</v>
          </cell>
          <cell r="AK543" t="str">
            <v>–</v>
          </cell>
          <cell r="AL543" t="str">
            <v>–</v>
          </cell>
          <cell r="AM543" t="str">
            <v>–</v>
          </cell>
          <cell r="AN543">
            <v>35.6</v>
          </cell>
          <cell r="AO543">
            <v>18.600000000000001</v>
          </cell>
          <cell r="AP543">
            <v>10.3</v>
          </cell>
          <cell r="AQ543">
            <v>1.49</v>
          </cell>
          <cell r="AR543">
            <v>84.6</v>
          </cell>
          <cell r="AS543">
            <v>28</v>
          </cell>
          <cell r="AT543">
            <v>16.3</v>
          </cell>
          <cell r="AU543">
            <v>2.2999999999999998</v>
          </cell>
        </row>
        <row r="544">
          <cell r="C544" t="str">
            <v>2L5X5X7/8X3/4</v>
          </cell>
          <cell r="D544" t="str">
            <v>F</v>
          </cell>
          <cell r="E544">
            <v>54.4</v>
          </cell>
          <cell r="F544">
            <v>16</v>
          </cell>
          <cell r="G544" t="str">
            <v>2L5X5X7/8X3/4</v>
          </cell>
          <cell r="H544">
            <v>5</v>
          </cell>
          <cell r="I544" t="str">
            <v>–</v>
          </cell>
          <cell r="J544" t="str">
            <v>–</v>
          </cell>
          <cell r="K544" t="str">
            <v>–</v>
          </cell>
          <cell r="L544" t="str">
            <v>–</v>
          </cell>
          <cell r="M544" t="str">
            <v>–</v>
          </cell>
          <cell r="N544" t="str">
            <v>–</v>
          </cell>
          <cell r="O544" t="str">
            <v>–</v>
          </cell>
          <cell r="P544">
            <v>5</v>
          </cell>
          <cell r="Q544" t="str">
            <v>–</v>
          </cell>
          <cell r="R544" t="str">
            <v>–</v>
          </cell>
          <cell r="S544" t="str">
            <v>–</v>
          </cell>
          <cell r="T544" t="str">
            <v>–</v>
          </cell>
          <cell r="U544" t="str">
            <v>–</v>
          </cell>
          <cell r="V544" t="str">
            <v>–</v>
          </cell>
          <cell r="W544">
            <v>0.875</v>
          </cell>
          <cell r="X544" t="str">
            <v>–</v>
          </cell>
          <cell r="Y544" t="str">
            <v>–</v>
          </cell>
          <cell r="Z544" t="str">
            <v>–</v>
          </cell>
          <cell r="AA544" t="str">
            <v>–</v>
          </cell>
          <cell r="AB544" t="str">
            <v>–</v>
          </cell>
          <cell r="AC544" t="str">
            <v>–</v>
          </cell>
          <cell r="AD544">
            <v>1.56</v>
          </cell>
          <cell r="AE544" t="str">
            <v>–</v>
          </cell>
          <cell r="AF544" t="str">
            <v>–</v>
          </cell>
          <cell r="AG544">
            <v>0.8</v>
          </cell>
          <cell r="AH544" t="str">
            <v>–</v>
          </cell>
          <cell r="AI544">
            <v>5.71</v>
          </cell>
          <cell r="AJ544" t="str">
            <v>–</v>
          </cell>
          <cell r="AK544" t="str">
            <v>–</v>
          </cell>
          <cell r="AL544" t="str">
            <v>–</v>
          </cell>
          <cell r="AM544" t="str">
            <v>–</v>
          </cell>
          <cell r="AN544">
            <v>35.6</v>
          </cell>
          <cell r="AO544">
            <v>18.600000000000001</v>
          </cell>
          <cell r="AP544">
            <v>10.3</v>
          </cell>
          <cell r="AQ544">
            <v>1.49</v>
          </cell>
          <cell r="AR544">
            <v>95.3</v>
          </cell>
          <cell r="AS544">
            <v>31</v>
          </cell>
          <cell r="AT544">
            <v>17.7</v>
          </cell>
          <cell r="AU544">
            <v>2.44</v>
          </cell>
        </row>
        <row r="545">
          <cell r="C545" t="str">
            <v>2L5X5X3/4</v>
          </cell>
          <cell r="D545" t="str">
            <v>F</v>
          </cell>
          <cell r="E545">
            <v>47.2</v>
          </cell>
          <cell r="F545">
            <v>14</v>
          </cell>
          <cell r="G545" t="str">
            <v>2L5X5X3/4</v>
          </cell>
          <cell r="H545">
            <v>5</v>
          </cell>
          <cell r="I545" t="str">
            <v>–</v>
          </cell>
          <cell r="J545" t="str">
            <v>–</v>
          </cell>
          <cell r="K545" t="str">
            <v>–</v>
          </cell>
          <cell r="L545" t="str">
            <v>–</v>
          </cell>
          <cell r="M545" t="str">
            <v>–</v>
          </cell>
          <cell r="N545" t="str">
            <v>–</v>
          </cell>
          <cell r="O545" t="str">
            <v>–</v>
          </cell>
          <cell r="P545">
            <v>5</v>
          </cell>
          <cell r="Q545" t="str">
            <v>–</v>
          </cell>
          <cell r="R545" t="str">
            <v>–</v>
          </cell>
          <cell r="S545" t="str">
            <v>–</v>
          </cell>
          <cell r="T545" t="str">
            <v>–</v>
          </cell>
          <cell r="U545" t="str">
            <v>–</v>
          </cell>
          <cell r="V545" t="str">
            <v>–</v>
          </cell>
          <cell r="W545">
            <v>0.75</v>
          </cell>
          <cell r="X545" t="str">
            <v>–</v>
          </cell>
          <cell r="Y545" t="str">
            <v>–</v>
          </cell>
          <cell r="Z545" t="str">
            <v>–</v>
          </cell>
          <cell r="AA545" t="str">
            <v>–</v>
          </cell>
          <cell r="AB545" t="str">
            <v>–</v>
          </cell>
          <cell r="AC545" t="str">
            <v>–</v>
          </cell>
          <cell r="AD545">
            <v>1.52</v>
          </cell>
          <cell r="AE545" t="str">
            <v>–</v>
          </cell>
          <cell r="AF545" t="str">
            <v>–</v>
          </cell>
          <cell r="AG545">
            <v>0.69799999999999995</v>
          </cell>
          <cell r="AH545" t="str">
            <v>–</v>
          </cell>
          <cell r="AI545">
            <v>6.67</v>
          </cell>
          <cell r="AJ545" t="str">
            <v>–</v>
          </cell>
          <cell r="AK545" t="str">
            <v>–</v>
          </cell>
          <cell r="AL545" t="str">
            <v>–</v>
          </cell>
          <cell r="AM545" t="str">
            <v>–</v>
          </cell>
          <cell r="AN545">
            <v>31.4</v>
          </cell>
          <cell r="AO545">
            <v>16.3</v>
          </cell>
          <cell r="AP545">
            <v>9.0399999999999991</v>
          </cell>
          <cell r="AQ545">
            <v>1.5</v>
          </cell>
          <cell r="AR545">
            <v>63.5</v>
          </cell>
          <cell r="AS545">
            <v>21.2</v>
          </cell>
          <cell r="AT545">
            <v>12.7</v>
          </cell>
          <cell r="AU545">
            <v>2.13</v>
          </cell>
        </row>
        <row r="546">
          <cell r="C546" t="str">
            <v>2L5X5X3/4X3/8</v>
          </cell>
          <cell r="D546" t="str">
            <v>F</v>
          </cell>
          <cell r="E546">
            <v>47.2</v>
          </cell>
          <cell r="F546">
            <v>14</v>
          </cell>
          <cell r="G546" t="str">
            <v>2L5X5X3/4X3/8</v>
          </cell>
          <cell r="H546">
            <v>5</v>
          </cell>
          <cell r="I546" t="str">
            <v>–</v>
          </cell>
          <cell r="J546" t="str">
            <v>–</v>
          </cell>
          <cell r="K546" t="str">
            <v>–</v>
          </cell>
          <cell r="L546" t="str">
            <v>–</v>
          </cell>
          <cell r="M546" t="str">
            <v>–</v>
          </cell>
          <cell r="N546" t="str">
            <v>–</v>
          </cell>
          <cell r="O546" t="str">
            <v>–</v>
          </cell>
          <cell r="P546">
            <v>5</v>
          </cell>
          <cell r="Q546" t="str">
            <v>–</v>
          </cell>
          <cell r="R546" t="str">
            <v>–</v>
          </cell>
          <cell r="S546" t="str">
            <v>–</v>
          </cell>
          <cell r="T546" t="str">
            <v>–</v>
          </cell>
          <cell r="U546" t="str">
            <v>–</v>
          </cell>
          <cell r="V546" t="str">
            <v>–</v>
          </cell>
          <cell r="W546">
            <v>0.75</v>
          </cell>
          <cell r="X546" t="str">
            <v>–</v>
          </cell>
          <cell r="Y546" t="str">
            <v>–</v>
          </cell>
          <cell r="Z546" t="str">
            <v>–</v>
          </cell>
          <cell r="AA546" t="str">
            <v>–</v>
          </cell>
          <cell r="AB546" t="str">
            <v>–</v>
          </cell>
          <cell r="AC546" t="str">
            <v>–</v>
          </cell>
          <cell r="AD546">
            <v>1.52</v>
          </cell>
          <cell r="AE546" t="str">
            <v>–</v>
          </cell>
          <cell r="AF546" t="str">
            <v>–</v>
          </cell>
          <cell r="AG546">
            <v>0.69799999999999995</v>
          </cell>
          <cell r="AH546" t="str">
            <v>–</v>
          </cell>
          <cell r="AI546">
            <v>6.67</v>
          </cell>
          <cell r="AJ546" t="str">
            <v>–</v>
          </cell>
          <cell r="AK546" t="str">
            <v>–</v>
          </cell>
          <cell r="AL546" t="str">
            <v>–</v>
          </cell>
          <cell r="AM546" t="str">
            <v>–</v>
          </cell>
          <cell r="AN546">
            <v>31.4</v>
          </cell>
          <cell r="AO546">
            <v>16.3</v>
          </cell>
          <cell r="AP546">
            <v>9.0399999999999991</v>
          </cell>
          <cell r="AQ546">
            <v>1.5</v>
          </cell>
          <cell r="AR546">
            <v>72.099999999999994</v>
          </cell>
          <cell r="AS546">
            <v>23.8</v>
          </cell>
          <cell r="AT546">
            <v>13.9</v>
          </cell>
          <cell r="AU546">
            <v>2.27</v>
          </cell>
        </row>
        <row r="547">
          <cell r="C547" t="str">
            <v>2L5X5X3/4X3/4</v>
          </cell>
          <cell r="D547" t="str">
            <v>F</v>
          </cell>
          <cell r="E547">
            <v>47.2</v>
          </cell>
          <cell r="F547">
            <v>14</v>
          </cell>
          <cell r="G547" t="str">
            <v>2L5X5X3/4X3/4</v>
          </cell>
          <cell r="H547">
            <v>5</v>
          </cell>
          <cell r="I547" t="str">
            <v>–</v>
          </cell>
          <cell r="J547" t="str">
            <v>–</v>
          </cell>
          <cell r="K547" t="str">
            <v>–</v>
          </cell>
          <cell r="L547" t="str">
            <v>–</v>
          </cell>
          <cell r="M547" t="str">
            <v>–</v>
          </cell>
          <cell r="N547" t="str">
            <v>–</v>
          </cell>
          <cell r="O547" t="str">
            <v>–</v>
          </cell>
          <cell r="P547">
            <v>5</v>
          </cell>
          <cell r="Q547" t="str">
            <v>–</v>
          </cell>
          <cell r="R547" t="str">
            <v>–</v>
          </cell>
          <cell r="S547" t="str">
            <v>–</v>
          </cell>
          <cell r="T547" t="str">
            <v>–</v>
          </cell>
          <cell r="U547" t="str">
            <v>–</v>
          </cell>
          <cell r="V547" t="str">
            <v>–</v>
          </cell>
          <cell r="W547">
            <v>0.75</v>
          </cell>
          <cell r="X547" t="str">
            <v>–</v>
          </cell>
          <cell r="Y547" t="str">
            <v>–</v>
          </cell>
          <cell r="Z547" t="str">
            <v>–</v>
          </cell>
          <cell r="AA547" t="str">
            <v>–</v>
          </cell>
          <cell r="AB547" t="str">
            <v>–</v>
          </cell>
          <cell r="AC547" t="str">
            <v>–</v>
          </cell>
          <cell r="AD547">
            <v>1.52</v>
          </cell>
          <cell r="AE547" t="str">
            <v>–</v>
          </cell>
          <cell r="AF547" t="str">
            <v>–</v>
          </cell>
          <cell r="AG547">
            <v>0.69799999999999995</v>
          </cell>
          <cell r="AH547" t="str">
            <v>–</v>
          </cell>
          <cell r="AI547">
            <v>6.67</v>
          </cell>
          <cell r="AJ547" t="str">
            <v>–</v>
          </cell>
          <cell r="AK547" t="str">
            <v>–</v>
          </cell>
          <cell r="AL547" t="str">
            <v>–</v>
          </cell>
          <cell r="AM547" t="str">
            <v>–</v>
          </cell>
          <cell r="AN547">
            <v>31.4</v>
          </cell>
          <cell r="AO547">
            <v>16.3</v>
          </cell>
          <cell r="AP547">
            <v>9.0399999999999991</v>
          </cell>
          <cell r="AQ547">
            <v>1.5</v>
          </cell>
          <cell r="AR547">
            <v>81.3</v>
          </cell>
          <cell r="AS547">
            <v>26.5</v>
          </cell>
          <cell r="AT547">
            <v>15.1</v>
          </cell>
          <cell r="AU547">
            <v>2.41</v>
          </cell>
        </row>
        <row r="548">
          <cell r="C548" t="str">
            <v>2L5X5X5/8</v>
          </cell>
          <cell r="D548" t="str">
            <v>F</v>
          </cell>
          <cell r="E548">
            <v>40</v>
          </cell>
          <cell r="F548">
            <v>11.8</v>
          </cell>
          <cell r="G548" t="str">
            <v>2L5X5X5/8</v>
          </cell>
          <cell r="H548">
            <v>5</v>
          </cell>
          <cell r="I548" t="str">
            <v>–</v>
          </cell>
          <cell r="J548" t="str">
            <v>–</v>
          </cell>
          <cell r="K548" t="str">
            <v>–</v>
          </cell>
          <cell r="L548" t="str">
            <v>–</v>
          </cell>
          <cell r="M548" t="str">
            <v>–</v>
          </cell>
          <cell r="N548" t="str">
            <v>–</v>
          </cell>
          <cell r="O548" t="str">
            <v>–</v>
          </cell>
          <cell r="P548">
            <v>5</v>
          </cell>
          <cell r="Q548" t="str">
            <v>–</v>
          </cell>
          <cell r="R548" t="str">
            <v>–</v>
          </cell>
          <cell r="S548" t="str">
            <v>–</v>
          </cell>
          <cell r="T548" t="str">
            <v>–</v>
          </cell>
          <cell r="U548" t="str">
            <v>–</v>
          </cell>
          <cell r="V548" t="str">
            <v>–</v>
          </cell>
          <cell r="W548">
            <v>0.625</v>
          </cell>
          <cell r="X548" t="str">
            <v>–</v>
          </cell>
          <cell r="Y548" t="str">
            <v>–</v>
          </cell>
          <cell r="Z548" t="str">
            <v>–</v>
          </cell>
          <cell r="AA548" t="str">
            <v>–</v>
          </cell>
          <cell r="AB548" t="str">
            <v>–</v>
          </cell>
          <cell r="AC548" t="str">
            <v>–</v>
          </cell>
          <cell r="AD548">
            <v>1.47</v>
          </cell>
          <cell r="AE548" t="str">
            <v>–</v>
          </cell>
          <cell r="AF548" t="str">
            <v>–</v>
          </cell>
          <cell r="AG548">
            <v>0.59</v>
          </cell>
          <cell r="AH548" t="str">
            <v>–</v>
          </cell>
          <cell r="AI548">
            <v>8</v>
          </cell>
          <cell r="AJ548" t="str">
            <v>–</v>
          </cell>
          <cell r="AK548" t="str">
            <v>–</v>
          </cell>
          <cell r="AL548" t="str">
            <v>–</v>
          </cell>
          <cell r="AM548" t="str">
            <v>–</v>
          </cell>
          <cell r="AN548">
            <v>27.2</v>
          </cell>
          <cell r="AO548">
            <v>13.9</v>
          </cell>
          <cell r="AP548">
            <v>7.7</v>
          </cell>
          <cell r="AQ548">
            <v>1.52</v>
          </cell>
          <cell r="AR548">
            <v>52.5</v>
          </cell>
          <cell r="AS548">
            <v>17.3</v>
          </cell>
          <cell r="AT548">
            <v>10.5</v>
          </cell>
          <cell r="AU548">
            <v>2.11</v>
          </cell>
        </row>
        <row r="549">
          <cell r="C549" t="str">
            <v>2L5X5X5/8X3/8</v>
          </cell>
          <cell r="D549" t="str">
            <v>F</v>
          </cell>
          <cell r="E549">
            <v>40</v>
          </cell>
          <cell r="F549">
            <v>11.8</v>
          </cell>
          <cell r="G549" t="str">
            <v>2L5X5X5/8X3/8</v>
          </cell>
          <cell r="H549">
            <v>5</v>
          </cell>
          <cell r="I549" t="str">
            <v>–</v>
          </cell>
          <cell r="J549" t="str">
            <v>–</v>
          </cell>
          <cell r="K549" t="str">
            <v>–</v>
          </cell>
          <cell r="L549" t="str">
            <v>–</v>
          </cell>
          <cell r="M549" t="str">
            <v>–</v>
          </cell>
          <cell r="N549" t="str">
            <v>–</v>
          </cell>
          <cell r="O549" t="str">
            <v>–</v>
          </cell>
          <cell r="P549">
            <v>5</v>
          </cell>
          <cell r="Q549" t="str">
            <v>–</v>
          </cell>
          <cell r="R549" t="str">
            <v>–</v>
          </cell>
          <cell r="S549" t="str">
            <v>–</v>
          </cell>
          <cell r="T549" t="str">
            <v>–</v>
          </cell>
          <cell r="U549" t="str">
            <v>–</v>
          </cell>
          <cell r="V549" t="str">
            <v>–</v>
          </cell>
          <cell r="W549">
            <v>0.625</v>
          </cell>
          <cell r="X549" t="str">
            <v>–</v>
          </cell>
          <cell r="Y549" t="str">
            <v>–</v>
          </cell>
          <cell r="Z549" t="str">
            <v>–</v>
          </cell>
          <cell r="AA549" t="str">
            <v>–</v>
          </cell>
          <cell r="AB549" t="str">
            <v>–</v>
          </cell>
          <cell r="AC549" t="str">
            <v>–</v>
          </cell>
          <cell r="AD549">
            <v>1.47</v>
          </cell>
          <cell r="AE549" t="str">
            <v>–</v>
          </cell>
          <cell r="AF549" t="str">
            <v>–</v>
          </cell>
          <cell r="AG549">
            <v>0.59</v>
          </cell>
          <cell r="AH549" t="str">
            <v>–</v>
          </cell>
          <cell r="AI549">
            <v>8</v>
          </cell>
          <cell r="AJ549" t="str">
            <v>–</v>
          </cell>
          <cell r="AK549" t="str">
            <v>–</v>
          </cell>
          <cell r="AL549" t="str">
            <v>–</v>
          </cell>
          <cell r="AM549" t="str">
            <v>–</v>
          </cell>
          <cell r="AN549">
            <v>27.2</v>
          </cell>
          <cell r="AO549">
            <v>13.9</v>
          </cell>
          <cell r="AP549">
            <v>7.7</v>
          </cell>
          <cell r="AQ549">
            <v>1.52</v>
          </cell>
          <cell r="AR549">
            <v>59.7</v>
          </cell>
          <cell r="AS549">
            <v>19.600000000000001</v>
          </cell>
          <cell r="AT549">
            <v>11.5</v>
          </cell>
          <cell r="AU549">
            <v>2.25</v>
          </cell>
        </row>
        <row r="550">
          <cell r="C550" t="str">
            <v>2L5X5X5/8X3/4</v>
          </cell>
          <cell r="D550" t="str">
            <v>F</v>
          </cell>
          <cell r="E550">
            <v>40</v>
          </cell>
          <cell r="F550">
            <v>11.8</v>
          </cell>
          <cell r="G550" t="str">
            <v>2L5X5X5/8X3/4</v>
          </cell>
          <cell r="H550">
            <v>5</v>
          </cell>
          <cell r="I550" t="str">
            <v>–</v>
          </cell>
          <cell r="J550" t="str">
            <v>–</v>
          </cell>
          <cell r="K550" t="str">
            <v>–</v>
          </cell>
          <cell r="L550" t="str">
            <v>–</v>
          </cell>
          <cell r="M550" t="str">
            <v>–</v>
          </cell>
          <cell r="N550" t="str">
            <v>–</v>
          </cell>
          <cell r="O550" t="str">
            <v>–</v>
          </cell>
          <cell r="P550">
            <v>5</v>
          </cell>
          <cell r="Q550" t="str">
            <v>–</v>
          </cell>
          <cell r="R550" t="str">
            <v>–</v>
          </cell>
          <cell r="S550" t="str">
            <v>–</v>
          </cell>
          <cell r="T550" t="str">
            <v>–</v>
          </cell>
          <cell r="U550" t="str">
            <v>–</v>
          </cell>
          <cell r="V550" t="str">
            <v>–</v>
          </cell>
          <cell r="W550">
            <v>0.625</v>
          </cell>
          <cell r="X550" t="str">
            <v>–</v>
          </cell>
          <cell r="Y550" t="str">
            <v>–</v>
          </cell>
          <cell r="Z550" t="str">
            <v>–</v>
          </cell>
          <cell r="AA550" t="str">
            <v>–</v>
          </cell>
          <cell r="AB550" t="str">
            <v>–</v>
          </cell>
          <cell r="AC550" t="str">
            <v>–</v>
          </cell>
          <cell r="AD550">
            <v>1.47</v>
          </cell>
          <cell r="AE550" t="str">
            <v>–</v>
          </cell>
          <cell r="AF550" t="str">
            <v>–</v>
          </cell>
          <cell r="AG550">
            <v>0.59</v>
          </cell>
          <cell r="AH550" t="str">
            <v>–</v>
          </cell>
          <cell r="AI550">
            <v>8</v>
          </cell>
          <cell r="AJ550" t="str">
            <v>–</v>
          </cell>
          <cell r="AK550" t="str">
            <v>–</v>
          </cell>
          <cell r="AL550" t="str">
            <v>–</v>
          </cell>
          <cell r="AM550" t="str">
            <v>–</v>
          </cell>
          <cell r="AN550">
            <v>27.2</v>
          </cell>
          <cell r="AO550">
            <v>13.9</v>
          </cell>
          <cell r="AP550">
            <v>7.7</v>
          </cell>
          <cell r="AQ550">
            <v>1.52</v>
          </cell>
          <cell r="AR550">
            <v>67.400000000000006</v>
          </cell>
          <cell r="AS550">
            <v>21.8</v>
          </cell>
          <cell r="AT550">
            <v>12.5</v>
          </cell>
          <cell r="AU550">
            <v>2.39</v>
          </cell>
        </row>
        <row r="551">
          <cell r="C551" t="str">
            <v>2L5X5X1/2</v>
          </cell>
          <cell r="D551" t="str">
            <v>F</v>
          </cell>
          <cell r="E551">
            <v>32.4</v>
          </cell>
          <cell r="F551">
            <v>9.58</v>
          </cell>
          <cell r="G551" t="str">
            <v>2L5X5X1/2</v>
          </cell>
          <cell r="H551">
            <v>5</v>
          </cell>
          <cell r="I551" t="str">
            <v>–</v>
          </cell>
          <cell r="J551" t="str">
            <v>–</v>
          </cell>
          <cell r="K551" t="str">
            <v>–</v>
          </cell>
          <cell r="L551" t="str">
            <v>–</v>
          </cell>
          <cell r="M551" t="str">
            <v>–</v>
          </cell>
          <cell r="N551" t="str">
            <v>–</v>
          </cell>
          <cell r="O551" t="str">
            <v>–</v>
          </cell>
          <cell r="P551">
            <v>5</v>
          </cell>
          <cell r="Q551" t="str">
            <v>–</v>
          </cell>
          <cell r="R551" t="str">
            <v>–</v>
          </cell>
          <cell r="S551" t="str">
            <v>–</v>
          </cell>
          <cell r="T551" t="str">
            <v>–</v>
          </cell>
          <cell r="U551" t="str">
            <v>–</v>
          </cell>
          <cell r="V551" t="str">
            <v>–</v>
          </cell>
          <cell r="W551">
            <v>0.5</v>
          </cell>
          <cell r="X551" t="str">
            <v>–</v>
          </cell>
          <cell r="Y551" t="str">
            <v>–</v>
          </cell>
          <cell r="Z551" t="str">
            <v>–</v>
          </cell>
          <cell r="AA551" t="str">
            <v>–</v>
          </cell>
          <cell r="AB551" t="str">
            <v>–</v>
          </cell>
          <cell r="AC551" t="str">
            <v>–</v>
          </cell>
          <cell r="AD551">
            <v>1.42</v>
          </cell>
          <cell r="AE551" t="str">
            <v>–</v>
          </cell>
          <cell r="AF551" t="str">
            <v>–</v>
          </cell>
          <cell r="AG551">
            <v>0.47899999999999998</v>
          </cell>
          <cell r="AH551" t="str">
            <v>–</v>
          </cell>
          <cell r="AI551">
            <v>10</v>
          </cell>
          <cell r="AJ551" t="str">
            <v>–</v>
          </cell>
          <cell r="AK551" t="str">
            <v>–</v>
          </cell>
          <cell r="AL551" t="str">
            <v>–</v>
          </cell>
          <cell r="AM551" t="str">
            <v>–</v>
          </cell>
          <cell r="AN551">
            <v>22.6</v>
          </cell>
          <cell r="AO551">
            <v>11.3</v>
          </cell>
          <cell r="AP551">
            <v>6.3</v>
          </cell>
          <cell r="AQ551">
            <v>1.53</v>
          </cell>
          <cell r="AR551">
            <v>41.8</v>
          </cell>
          <cell r="AS551">
            <v>13.6</v>
          </cell>
          <cell r="AT551">
            <v>8.36</v>
          </cell>
          <cell r="AU551">
            <v>2.09</v>
          </cell>
        </row>
        <row r="552">
          <cell r="C552" t="str">
            <v>2L5X5X1/2X3/8</v>
          </cell>
          <cell r="D552" t="str">
            <v>F</v>
          </cell>
          <cell r="E552">
            <v>32.4</v>
          </cell>
          <cell r="F552">
            <v>9.58</v>
          </cell>
          <cell r="G552" t="str">
            <v>2L5X5X1/2X3/8</v>
          </cell>
          <cell r="H552">
            <v>5</v>
          </cell>
          <cell r="I552" t="str">
            <v>–</v>
          </cell>
          <cell r="J552" t="str">
            <v>–</v>
          </cell>
          <cell r="K552" t="str">
            <v>–</v>
          </cell>
          <cell r="L552" t="str">
            <v>–</v>
          </cell>
          <cell r="M552" t="str">
            <v>–</v>
          </cell>
          <cell r="N552" t="str">
            <v>–</v>
          </cell>
          <cell r="O552" t="str">
            <v>–</v>
          </cell>
          <cell r="P552">
            <v>5</v>
          </cell>
          <cell r="Q552" t="str">
            <v>–</v>
          </cell>
          <cell r="R552" t="str">
            <v>–</v>
          </cell>
          <cell r="S552" t="str">
            <v>–</v>
          </cell>
          <cell r="T552" t="str">
            <v>–</v>
          </cell>
          <cell r="U552" t="str">
            <v>–</v>
          </cell>
          <cell r="V552" t="str">
            <v>–</v>
          </cell>
          <cell r="W552">
            <v>0.5</v>
          </cell>
          <cell r="X552" t="str">
            <v>–</v>
          </cell>
          <cell r="Y552" t="str">
            <v>–</v>
          </cell>
          <cell r="Z552" t="str">
            <v>–</v>
          </cell>
          <cell r="AA552" t="str">
            <v>–</v>
          </cell>
          <cell r="AB552" t="str">
            <v>–</v>
          </cell>
          <cell r="AC552" t="str">
            <v>–</v>
          </cell>
          <cell r="AD552">
            <v>1.42</v>
          </cell>
          <cell r="AE552" t="str">
            <v>–</v>
          </cell>
          <cell r="AF552" t="str">
            <v>–</v>
          </cell>
          <cell r="AG552">
            <v>0.47899999999999998</v>
          </cell>
          <cell r="AH552" t="str">
            <v>–</v>
          </cell>
          <cell r="AI552">
            <v>10</v>
          </cell>
          <cell r="AJ552" t="str">
            <v>–</v>
          </cell>
          <cell r="AK552" t="str">
            <v>–</v>
          </cell>
          <cell r="AL552" t="str">
            <v>–</v>
          </cell>
          <cell r="AM552" t="str">
            <v>–</v>
          </cell>
          <cell r="AN552">
            <v>22.6</v>
          </cell>
          <cell r="AO552">
            <v>11.3</v>
          </cell>
          <cell r="AP552">
            <v>6.3</v>
          </cell>
          <cell r="AQ552">
            <v>1.53</v>
          </cell>
          <cell r="AR552">
            <v>47.2</v>
          </cell>
          <cell r="AS552">
            <v>15.4</v>
          </cell>
          <cell r="AT552">
            <v>9.1</v>
          </cell>
          <cell r="AU552">
            <v>2.2200000000000002</v>
          </cell>
        </row>
        <row r="553">
          <cell r="C553" t="str">
            <v>2L5X5X1/2X3/4</v>
          </cell>
          <cell r="D553" t="str">
            <v>F</v>
          </cell>
          <cell r="E553">
            <v>32.4</v>
          </cell>
          <cell r="F553">
            <v>9.58</v>
          </cell>
          <cell r="G553" t="str">
            <v>2L5X5X1/2X3/4</v>
          </cell>
          <cell r="H553">
            <v>5</v>
          </cell>
          <cell r="I553" t="str">
            <v>–</v>
          </cell>
          <cell r="J553" t="str">
            <v>–</v>
          </cell>
          <cell r="K553" t="str">
            <v>–</v>
          </cell>
          <cell r="L553" t="str">
            <v>–</v>
          </cell>
          <cell r="M553" t="str">
            <v>–</v>
          </cell>
          <cell r="N553" t="str">
            <v>–</v>
          </cell>
          <cell r="O553" t="str">
            <v>–</v>
          </cell>
          <cell r="P553">
            <v>5</v>
          </cell>
          <cell r="Q553" t="str">
            <v>–</v>
          </cell>
          <cell r="R553" t="str">
            <v>–</v>
          </cell>
          <cell r="S553" t="str">
            <v>–</v>
          </cell>
          <cell r="T553" t="str">
            <v>–</v>
          </cell>
          <cell r="U553" t="str">
            <v>–</v>
          </cell>
          <cell r="V553" t="str">
            <v>–</v>
          </cell>
          <cell r="W553">
            <v>0.5</v>
          </cell>
          <cell r="X553" t="str">
            <v>–</v>
          </cell>
          <cell r="Y553" t="str">
            <v>–</v>
          </cell>
          <cell r="Z553" t="str">
            <v>–</v>
          </cell>
          <cell r="AA553" t="str">
            <v>–</v>
          </cell>
          <cell r="AB553" t="str">
            <v>–</v>
          </cell>
          <cell r="AC553" t="str">
            <v>–</v>
          </cell>
          <cell r="AD553">
            <v>1.42</v>
          </cell>
          <cell r="AE553" t="str">
            <v>–</v>
          </cell>
          <cell r="AF553" t="str">
            <v>–</v>
          </cell>
          <cell r="AG553">
            <v>0.47899999999999998</v>
          </cell>
          <cell r="AH553" t="str">
            <v>–</v>
          </cell>
          <cell r="AI553">
            <v>10</v>
          </cell>
          <cell r="AJ553" t="str">
            <v>–</v>
          </cell>
          <cell r="AK553" t="str">
            <v>–</v>
          </cell>
          <cell r="AL553" t="str">
            <v>–</v>
          </cell>
          <cell r="AM553" t="str">
            <v>–</v>
          </cell>
          <cell r="AN553">
            <v>22.6</v>
          </cell>
          <cell r="AO553">
            <v>11.3</v>
          </cell>
          <cell r="AP553">
            <v>6.3</v>
          </cell>
          <cell r="AQ553">
            <v>1.53</v>
          </cell>
          <cell r="AR553">
            <v>53.4</v>
          </cell>
          <cell r="AS553">
            <v>17.2</v>
          </cell>
          <cell r="AT553">
            <v>9.93</v>
          </cell>
          <cell r="AU553">
            <v>2.36</v>
          </cell>
        </row>
        <row r="554">
          <cell r="C554" t="str">
            <v>2L5X5X7/16</v>
          </cell>
          <cell r="D554" t="str">
            <v>F</v>
          </cell>
          <cell r="E554">
            <v>28.6</v>
          </cell>
          <cell r="F554">
            <v>8.44</v>
          </cell>
          <cell r="G554" t="str">
            <v>2L5X5X7/16</v>
          </cell>
          <cell r="H554">
            <v>5</v>
          </cell>
          <cell r="I554" t="str">
            <v>–</v>
          </cell>
          <cell r="J554" t="str">
            <v>–</v>
          </cell>
          <cell r="K554" t="str">
            <v>–</v>
          </cell>
          <cell r="L554" t="str">
            <v>–</v>
          </cell>
          <cell r="M554" t="str">
            <v>–</v>
          </cell>
          <cell r="N554" t="str">
            <v>–</v>
          </cell>
          <cell r="O554" t="str">
            <v>–</v>
          </cell>
          <cell r="P554">
            <v>5</v>
          </cell>
          <cell r="Q554" t="str">
            <v>–</v>
          </cell>
          <cell r="R554" t="str">
            <v>–</v>
          </cell>
          <cell r="S554" t="str">
            <v>–</v>
          </cell>
          <cell r="T554" t="str">
            <v>–</v>
          </cell>
          <cell r="U554" t="str">
            <v>–</v>
          </cell>
          <cell r="V554" t="str">
            <v>–</v>
          </cell>
          <cell r="W554">
            <v>0.438</v>
          </cell>
          <cell r="X554" t="str">
            <v>–</v>
          </cell>
          <cell r="Y554" t="str">
            <v>–</v>
          </cell>
          <cell r="Z554" t="str">
            <v>–</v>
          </cell>
          <cell r="AA554" t="str">
            <v>–</v>
          </cell>
          <cell r="AB554" t="str">
            <v>–</v>
          </cell>
          <cell r="AC554" t="str">
            <v>–</v>
          </cell>
          <cell r="AD554">
            <v>1.4</v>
          </cell>
          <cell r="AE554" t="str">
            <v>–</v>
          </cell>
          <cell r="AF554" t="str">
            <v>–</v>
          </cell>
          <cell r="AG554">
            <v>0.42199999999999999</v>
          </cell>
          <cell r="AH554" t="str">
            <v>–</v>
          </cell>
          <cell r="AI554">
            <v>11.4</v>
          </cell>
          <cell r="AJ554" t="str">
            <v>–</v>
          </cell>
          <cell r="AK554" t="str">
            <v>–</v>
          </cell>
          <cell r="AL554" t="str">
            <v>–</v>
          </cell>
          <cell r="AM554" t="str">
            <v>–</v>
          </cell>
          <cell r="AN554">
            <v>20</v>
          </cell>
          <cell r="AO554">
            <v>10</v>
          </cell>
          <cell r="AP554">
            <v>5.56</v>
          </cell>
          <cell r="AQ554">
            <v>1.54</v>
          </cell>
          <cell r="AR554">
            <v>36.5</v>
          </cell>
          <cell r="AS554">
            <v>11.8</v>
          </cell>
          <cell r="AT554">
            <v>7.3</v>
          </cell>
          <cell r="AU554">
            <v>2.08</v>
          </cell>
        </row>
        <row r="555">
          <cell r="C555" t="str">
            <v>2L5X5X7/16X3/8</v>
          </cell>
          <cell r="D555" t="str">
            <v>F</v>
          </cell>
          <cell r="E555">
            <v>28.6</v>
          </cell>
          <cell r="F555">
            <v>8.44</v>
          </cell>
          <cell r="G555" t="str">
            <v>2L5X5X7/16X3/8</v>
          </cell>
          <cell r="H555">
            <v>5</v>
          </cell>
          <cell r="I555" t="str">
            <v>–</v>
          </cell>
          <cell r="J555" t="str">
            <v>–</v>
          </cell>
          <cell r="K555" t="str">
            <v>–</v>
          </cell>
          <cell r="L555" t="str">
            <v>–</v>
          </cell>
          <cell r="M555" t="str">
            <v>–</v>
          </cell>
          <cell r="N555" t="str">
            <v>–</v>
          </cell>
          <cell r="O555" t="str">
            <v>–</v>
          </cell>
          <cell r="P555">
            <v>5</v>
          </cell>
          <cell r="Q555" t="str">
            <v>–</v>
          </cell>
          <cell r="R555" t="str">
            <v>–</v>
          </cell>
          <cell r="S555" t="str">
            <v>–</v>
          </cell>
          <cell r="T555" t="str">
            <v>–</v>
          </cell>
          <cell r="U555" t="str">
            <v>–</v>
          </cell>
          <cell r="V555" t="str">
            <v>–</v>
          </cell>
          <cell r="W555">
            <v>0.438</v>
          </cell>
          <cell r="X555" t="str">
            <v>–</v>
          </cell>
          <cell r="Y555" t="str">
            <v>–</v>
          </cell>
          <cell r="Z555" t="str">
            <v>–</v>
          </cell>
          <cell r="AA555" t="str">
            <v>–</v>
          </cell>
          <cell r="AB555" t="str">
            <v>–</v>
          </cell>
          <cell r="AC555" t="str">
            <v>–</v>
          </cell>
          <cell r="AD555">
            <v>1.4</v>
          </cell>
          <cell r="AE555" t="str">
            <v>–</v>
          </cell>
          <cell r="AF555" t="str">
            <v>–</v>
          </cell>
          <cell r="AG555">
            <v>0.42199999999999999</v>
          </cell>
          <cell r="AH555" t="str">
            <v>–</v>
          </cell>
          <cell r="AI555">
            <v>11.4</v>
          </cell>
          <cell r="AJ555" t="str">
            <v>–</v>
          </cell>
          <cell r="AK555" t="str">
            <v>–</v>
          </cell>
          <cell r="AL555" t="str">
            <v>–</v>
          </cell>
          <cell r="AM555" t="str">
            <v>–</v>
          </cell>
          <cell r="AN555">
            <v>20</v>
          </cell>
          <cell r="AO555">
            <v>10</v>
          </cell>
          <cell r="AP555">
            <v>5.56</v>
          </cell>
          <cell r="AQ555">
            <v>1.54</v>
          </cell>
          <cell r="AR555">
            <v>41.2</v>
          </cell>
          <cell r="AS555">
            <v>13.4</v>
          </cell>
          <cell r="AT555">
            <v>7.94</v>
          </cell>
          <cell r="AU555">
            <v>2.21</v>
          </cell>
        </row>
        <row r="556">
          <cell r="C556" t="str">
            <v>2L5X5X7/16X3/4</v>
          </cell>
          <cell r="D556" t="str">
            <v>F</v>
          </cell>
          <cell r="E556">
            <v>28.6</v>
          </cell>
          <cell r="F556">
            <v>8.44</v>
          </cell>
          <cell r="G556" t="str">
            <v>2L5X5X7/16X3/4</v>
          </cell>
          <cell r="H556">
            <v>5</v>
          </cell>
          <cell r="I556" t="str">
            <v>–</v>
          </cell>
          <cell r="J556" t="str">
            <v>–</v>
          </cell>
          <cell r="K556" t="str">
            <v>–</v>
          </cell>
          <cell r="L556" t="str">
            <v>–</v>
          </cell>
          <cell r="M556" t="str">
            <v>–</v>
          </cell>
          <cell r="N556" t="str">
            <v>–</v>
          </cell>
          <cell r="O556" t="str">
            <v>–</v>
          </cell>
          <cell r="P556">
            <v>5</v>
          </cell>
          <cell r="Q556" t="str">
            <v>–</v>
          </cell>
          <cell r="R556" t="str">
            <v>–</v>
          </cell>
          <cell r="S556" t="str">
            <v>–</v>
          </cell>
          <cell r="T556" t="str">
            <v>–</v>
          </cell>
          <cell r="U556" t="str">
            <v>–</v>
          </cell>
          <cell r="V556" t="str">
            <v>–</v>
          </cell>
          <cell r="W556">
            <v>0.438</v>
          </cell>
          <cell r="X556" t="str">
            <v>–</v>
          </cell>
          <cell r="Y556" t="str">
            <v>–</v>
          </cell>
          <cell r="Z556" t="str">
            <v>–</v>
          </cell>
          <cell r="AA556" t="str">
            <v>–</v>
          </cell>
          <cell r="AB556" t="str">
            <v>–</v>
          </cell>
          <cell r="AC556" t="str">
            <v>–</v>
          </cell>
          <cell r="AD556">
            <v>1.4</v>
          </cell>
          <cell r="AE556" t="str">
            <v>–</v>
          </cell>
          <cell r="AF556" t="str">
            <v>–</v>
          </cell>
          <cell r="AG556">
            <v>0.42199999999999999</v>
          </cell>
          <cell r="AH556" t="str">
            <v>–</v>
          </cell>
          <cell r="AI556">
            <v>11.4</v>
          </cell>
          <cell r="AJ556" t="str">
            <v>–</v>
          </cell>
          <cell r="AK556" t="str">
            <v>–</v>
          </cell>
          <cell r="AL556" t="str">
            <v>–</v>
          </cell>
          <cell r="AM556" t="str">
            <v>–</v>
          </cell>
          <cell r="AN556">
            <v>20</v>
          </cell>
          <cell r="AO556">
            <v>10</v>
          </cell>
          <cell r="AP556">
            <v>5.56</v>
          </cell>
          <cell r="AQ556">
            <v>1.54</v>
          </cell>
          <cell r="AR556">
            <v>46.6</v>
          </cell>
          <cell r="AS556">
            <v>15</v>
          </cell>
          <cell r="AT556">
            <v>8.67</v>
          </cell>
          <cell r="AU556">
            <v>2.35</v>
          </cell>
        </row>
        <row r="557">
          <cell r="C557" t="str">
            <v>2L5X5X3/8</v>
          </cell>
          <cell r="D557" t="str">
            <v>F</v>
          </cell>
          <cell r="E557">
            <v>24.6</v>
          </cell>
          <cell r="F557">
            <v>7.3</v>
          </cell>
          <cell r="G557" t="str">
            <v>2L5X5X3/8</v>
          </cell>
          <cell r="H557">
            <v>5</v>
          </cell>
          <cell r="I557" t="str">
            <v>–</v>
          </cell>
          <cell r="J557" t="str">
            <v>–</v>
          </cell>
          <cell r="K557" t="str">
            <v>–</v>
          </cell>
          <cell r="L557" t="str">
            <v>–</v>
          </cell>
          <cell r="M557" t="str">
            <v>–</v>
          </cell>
          <cell r="N557" t="str">
            <v>–</v>
          </cell>
          <cell r="O557" t="str">
            <v>–</v>
          </cell>
          <cell r="P557">
            <v>5</v>
          </cell>
          <cell r="Q557" t="str">
            <v>–</v>
          </cell>
          <cell r="R557" t="str">
            <v>–</v>
          </cell>
          <cell r="S557" t="str">
            <v>–</v>
          </cell>
          <cell r="T557" t="str">
            <v>–</v>
          </cell>
          <cell r="U557" t="str">
            <v>–</v>
          </cell>
          <cell r="V557" t="str">
            <v>–</v>
          </cell>
          <cell r="W557">
            <v>0.375</v>
          </cell>
          <cell r="X557" t="str">
            <v>–</v>
          </cell>
          <cell r="Y557" t="str">
            <v>–</v>
          </cell>
          <cell r="Z557" t="str">
            <v>–</v>
          </cell>
          <cell r="AA557" t="str">
            <v>–</v>
          </cell>
          <cell r="AB557" t="str">
            <v>–</v>
          </cell>
          <cell r="AC557" t="str">
            <v>–</v>
          </cell>
          <cell r="AD557">
            <v>1.37</v>
          </cell>
          <cell r="AE557" t="str">
            <v>–</v>
          </cell>
          <cell r="AF557" t="str">
            <v>–</v>
          </cell>
          <cell r="AG557">
            <v>0.36499999999999999</v>
          </cell>
          <cell r="AH557" t="str">
            <v>–</v>
          </cell>
          <cell r="AI557">
            <v>13.3</v>
          </cell>
          <cell r="AJ557" t="str">
            <v>–</v>
          </cell>
          <cell r="AK557" t="str">
            <v>–</v>
          </cell>
          <cell r="AL557" t="str">
            <v>–</v>
          </cell>
          <cell r="AM557" t="str">
            <v>–</v>
          </cell>
          <cell r="AN557">
            <v>17.5</v>
          </cell>
          <cell r="AO557">
            <v>8.66</v>
          </cell>
          <cell r="AP557">
            <v>4.82</v>
          </cell>
          <cell r="AQ557">
            <v>1.55</v>
          </cell>
          <cell r="AR557">
            <v>31.3</v>
          </cell>
          <cell r="AS557">
            <v>10</v>
          </cell>
          <cell r="AT557">
            <v>6.26</v>
          </cell>
          <cell r="AU557">
            <v>2.0699999999999998</v>
          </cell>
        </row>
        <row r="558">
          <cell r="C558" t="str">
            <v>2L5X5X3/8X3/8</v>
          </cell>
          <cell r="D558" t="str">
            <v>F</v>
          </cell>
          <cell r="E558">
            <v>24.6</v>
          </cell>
          <cell r="F558">
            <v>7.3</v>
          </cell>
          <cell r="G558" t="str">
            <v>2L5X5X3/8X3/8</v>
          </cell>
          <cell r="H558">
            <v>5</v>
          </cell>
          <cell r="I558" t="str">
            <v>–</v>
          </cell>
          <cell r="J558" t="str">
            <v>–</v>
          </cell>
          <cell r="K558" t="str">
            <v>–</v>
          </cell>
          <cell r="L558" t="str">
            <v>–</v>
          </cell>
          <cell r="M558" t="str">
            <v>–</v>
          </cell>
          <cell r="N558" t="str">
            <v>–</v>
          </cell>
          <cell r="O558" t="str">
            <v>–</v>
          </cell>
          <cell r="P558">
            <v>5</v>
          </cell>
          <cell r="Q558" t="str">
            <v>–</v>
          </cell>
          <cell r="R558" t="str">
            <v>–</v>
          </cell>
          <cell r="S558" t="str">
            <v>–</v>
          </cell>
          <cell r="T558" t="str">
            <v>–</v>
          </cell>
          <cell r="U558" t="str">
            <v>–</v>
          </cell>
          <cell r="V558" t="str">
            <v>–</v>
          </cell>
          <cell r="W558">
            <v>0.375</v>
          </cell>
          <cell r="X558" t="str">
            <v>–</v>
          </cell>
          <cell r="Y558" t="str">
            <v>–</v>
          </cell>
          <cell r="Z558" t="str">
            <v>–</v>
          </cell>
          <cell r="AA558" t="str">
            <v>–</v>
          </cell>
          <cell r="AB558" t="str">
            <v>–</v>
          </cell>
          <cell r="AC558" t="str">
            <v>–</v>
          </cell>
          <cell r="AD558">
            <v>1.37</v>
          </cell>
          <cell r="AE558" t="str">
            <v>–</v>
          </cell>
          <cell r="AF558" t="str">
            <v>–</v>
          </cell>
          <cell r="AG558">
            <v>0.36499999999999999</v>
          </cell>
          <cell r="AH558" t="str">
            <v>–</v>
          </cell>
          <cell r="AI558">
            <v>13.3</v>
          </cell>
          <cell r="AJ558" t="str">
            <v>–</v>
          </cell>
          <cell r="AK558" t="str">
            <v>–</v>
          </cell>
          <cell r="AL558" t="str">
            <v>–</v>
          </cell>
          <cell r="AM558" t="str">
            <v>–</v>
          </cell>
          <cell r="AN558">
            <v>17.5</v>
          </cell>
          <cell r="AO558">
            <v>8.66</v>
          </cell>
          <cell r="AP558">
            <v>4.82</v>
          </cell>
          <cell r="AQ558">
            <v>1.55</v>
          </cell>
          <cell r="AR558">
            <v>35.299999999999997</v>
          </cell>
          <cell r="AS558">
            <v>11.4</v>
          </cell>
          <cell r="AT558">
            <v>6.8</v>
          </cell>
          <cell r="AU558">
            <v>2.2000000000000002</v>
          </cell>
        </row>
        <row r="559">
          <cell r="C559" t="str">
            <v>2L5X5X3/8X3/4</v>
          </cell>
          <cell r="D559" t="str">
            <v>F</v>
          </cell>
          <cell r="E559">
            <v>24.6</v>
          </cell>
          <cell r="F559">
            <v>7.3</v>
          </cell>
          <cell r="G559" t="str">
            <v>2L5X5X3/8X3/4</v>
          </cell>
          <cell r="H559">
            <v>5</v>
          </cell>
          <cell r="I559" t="str">
            <v>–</v>
          </cell>
          <cell r="J559" t="str">
            <v>–</v>
          </cell>
          <cell r="K559" t="str">
            <v>–</v>
          </cell>
          <cell r="L559" t="str">
            <v>–</v>
          </cell>
          <cell r="M559" t="str">
            <v>–</v>
          </cell>
          <cell r="N559" t="str">
            <v>–</v>
          </cell>
          <cell r="O559" t="str">
            <v>–</v>
          </cell>
          <cell r="P559">
            <v>5</v>
          </cell>
          <cell r="Q559" t="str">
            <v>–</v>
          </cell>
          <cell r="R559" t="str">
            <v>–</v>
          </cell>
          <cell r="S559" t="str">
            <v>–</v>
          </cell>
          <cell r="T559" t="str">
            <v>–</v>
          </cell>
          <cell r="U559" t="str">
            <v>–</v>
          </cell>
          <cell r="V559" t="str">
            <v>–</v>
          </cell>
          <cell r="W559">
            <v>0.375</v>
          </cell>
          <cell r="X559" t="str">
            <v>–</v>
          </cell>
          <cell r="Y559" t="str">
            <v>–</v>
          </cell>
          <cell r="Z559" t="str">
            <v>–</v>
          </cell>
          <cell r="AA559" t="str">
            <v>–</v>
          </cell>
          <cell r="AB559" t="str">
            <v>–</v>
          </cell>
          <cell r="AC559" t="str">
            <v>–</v>
          </cell>
          <cell r="AD559">
            <v>1.37</v>
          </cell>
          <cell r="AE559" t="str">
            <v>–</v>
          </cell>
          <cell r="AF559" t="str">
            <v>–</v>
          </cell>
          <cell r="AG559">
            <v>0.36499999999999999</v>
          </cell>
          <cell r="AH559" t="str">
            <v>–</v>
          </cell>
          <cell r="AI559">
            <v>13.3</v>
          </cell>
          <cell r="AJ559" t="str">
            <v>–</v>
          </cell>
          <cell r="AK559" t="str">
            <v>–</v>
          </cell>
          <cell r="AL559" t="str">
            <v>–</v>
          </cell>
          <cell r="AM559" t="str">
            <v>–</v>
          </cell>
          <cell r="AN559">
            <v>17.5</v>
          </cell>
          <cell r="AO559">
            <v>8.66</v>
          </cell>
          <cell r="AP559">
            <v>4.82</v>
          </cell>
          <cell r="AQ559">
            <v>1.55</v>
          </cell>
          <cell r="AR559">
            <v>40</v>
          </cell>
          <cell r="AS559">
            <v>12.7</v>
          </cell>
          <cell r="AT559">
            <v>7.44</v>
          </cell>
          <cell r="AU559">
            <v>2.34</v>
          </cell>
        </row>
        <row r="560">
          <cell r="C560" t="str">
            <v>2L5X5X5/16</v>
          </cell>
          <cell r="D560" t="str">
            <v>F</v>
          </cell>
          <cell r="E560">
            <v>20.6</v>
          </cell>
          <cell r="F560">
            <v>6.14</v>
          </cell>
          <cell r="G560" t="str">
            <v>2L5X5X5/16</v>
          </cell>
          <cell r="H560">
            <v>5</v>
          </cell>
          <cell r="I560" t="str">
            <v>–</v>
          </cell>
          <cell r="J560" t="str">
            <v>–</v>
          </cell>
          <cell r="K560" t="str">
            <v>–</v>
          </cell>
          <cell r="L560" t="str">
            <v>–</v>
          </cell>
          <cell r="M560" t="str">
            <v>–</v>
          </cell>
          <cell r="N560" t="str">
            <v>–</v>
          </cell>
          <cell r="O560" t="str">
            <v>–</v>
          </cell>
          <cell r="P560">
            <v>5</v>
          </cell>
          <cell r="Q560" t="str">
            <v>–</v>
          </cell>
          <cell r="R560" t="str">
            <v>–</v>
          </cell>
          <cell r="S560" t="str">
            <v>–</v>
          </cell>
          <cell r="T560" t="str">
            <v>–</v>
          </cell>
          <cell r="U560" t="str">
            <v>–</v>
          </cell>
          <cell r="V560" t="str">
            <v>–</v>
          </cell>
          <cell r="W560">
            <v>0.313</v>
          </cell>
          <cell r="X560" t="str">
            <v>–</v>
          </cell>
          <cell r="Y560" t="str">
            <v>–</v>
          </cell>
          <cell r="Z560" t="str">
            <v>–</v>
          </cell>
          <cell r="AA560" t="str">
            <v>–</v>
          </cell>
          <cell r="AB560" t="str">
            <v>–</v>
          </cell>
          <cell r="AC560" t="str">
            <v>–</v>
          </cell>
          <cell r="AD560">
            <v>1.35</v>
          </cell>
          <cell r="AE560" t="str">
            <v>–</v>
          </cell>
          <cell r="AF560" t="str">
            <v>–</v>
          </cell>
          <cell r="AG560">
            <v>0.307</v>
          </cell>
          <cell r="AH560" t="str">
            <v>–</v>
          </cell>
          <cell r="AI560">
            <v>16</v>
          </cell>
          <cell r="AJ560" t="str">
            <v>–</v>
          </cell>
          <cell r="AK560" t="str">
            <v>–</v>
          </cell>
          <cell r="AL560" t="str">
            <v>–</v>
          </cell>
          <cell r="AM560" t="str">
            <v>–</v>
          </cell>
          <cell r="AN560">
            <v>14.9</v>
          </cell>
          <cell r="AO560">
            <v>7.3</v>
          </cell>
          <cell r="AP560">
            <v>4.08</v>
          </cell>
          <cell r="AQ560">
            <v>1.56</v>
          </cell>
          <cell r="AR560">
            <v>26.1</v>
          </cell>
          <cell r="AS560">
            <v>8.2899999999999991</v>
          </cell>
          <cell r="AT560">
            <v>5.22</v>
          </cell>
          <cell r="AU560">
            <v>2.06</v>
          </cell>
        </row>
        <row r="561">
          <cell r="C561" t="str">
            <v>2L5X5X5/16X3/8</v>
          </cell>
          <cell r="D561" t="str">
            <v>F</v>
          </cell>
          <cell r="E561">
            <v>20.6</v>
          </cell>
          <cell r="F561">
            <v>6.14</v>
          </cell>
          <cell r="G561" t="str">
            <v>2L5X5X5/16X3/8</v>
          </cell>
          <cell r="H561">
            <v>5</v>
          </cell>
          <cell r="I561" t="str">
            <v>–</v>
          </cell>
          <cell r="J561" t="str">
            <v>–</v>
          </cell>
          <cell r="K561" t="str">
            <v>–</v>
          </cell>
          <cell r="L561" t="str">
            <v>–</v>
          </cell>
          <cell r="M561" t="str">
            <v>–</v>
          </cell>
          <cell r="N561" t="str">
            <v>–</v>
          </cell>
          <cell r="O561" t="str">
            <v>–</v>
          </cell>
          <cell r="P561">
            <v>5</v>
          </cell>
          <cell r="Q561" t="str">
            <v>–</v>
          </cell>
          <cell r="R561" t="str">
            <v>–</v>
          </cell>
          <cell r="S561" t="str">
            <v>–</v>
          </cell>
          <cell r="T561" t="str">
            <v>–</v>
          </cell>
          <cell r="U561" t="str">
            <v>–</v>
          </cell>
          <cell r="V561" t="str">
            <v>–</v>
          </cell>
          <cell r="W561">
            <v>0.313</v>
          </cell>
          <cell r="X561" t="str">
            <v>–</v>
          </cell>
          <cell r="Y561" t="str">
            <v>–</v>
          </cell>
          <cell r="Z561" t="str">
            <v>–</v>
          </cell>
          <cell r="AA561" t="str">
            <v>–</v>
          </cell>
          <cell r="AB561" t="str">
            <v>–</v>
          </cell>
          <cell r="AC561" t="str">
            <v>–</v>
          </cell>
          <cell r="AD561">
            <v>1.35</v>
          </cell>
          <cell r="AE561" t="str">
            <v>–</v>
          </cell>
          <cell r="AF561" t="str">
            <v>–</v>
          </cell>
          <cell r="AG561">
            <v>0.307</v>
          </cell>
          <cell r="AH561" t="str">
            <v>–</v>
          </cell>
          <cell r="AI561">
            <v>16</v>
          </cell>
          <cell r="AJ561" t="str">
            <v>–</v>
          </cell>
          <cell r="AK561" t="str">
            <v>–</v>
          </cell>
          <cell r="AL561" t="str">
            <v>–</v>
          </cell>
          <cell r="AM561" t="str">
            <v>–</v>
          </cell>
          <cell r="AN561">
            <v>14.9</v>
          </cell>
          <cell r="AO561">
            <v>7.3</v>
          </cell>
          <cell r="AP561">
            <v>4.08</v>
          </cell>
          <cell r="AQ561">
            <v>1.56</v>
          </cell>
          <cell r="AR561">
            <v>29.4</v>
          </cell>
          <cell r="AS561">
            <v>9.44</v>
          </cell>
          <cell r="AT561">
            <v>5.67</v>
          </cell>
          <cell r="AU561">
            <v>2.19</v>
          </cell>
        </row>
        <row r="562">
          <cell r="C562" t="str">
            <v>2L5X5X5/16X3/4</v>
          </cell>
          <cell r="D562" t="str">
            <v>F</v>
          </cell>
          <cell r="E562">
            <v>20.6</v>
          </cell>
          <cell r="F562">
            <v>6.14</v>
          </cell>
          <cell r="G562" t="str">
            <v>2L5X5X5/16X3/4</v>
          </cell>
          <cell r="H562">
            <v>5</v>
          </cell>
          <cell r="I562" t="str">
            <v>–</v>
          </cell>
          <cell r="J562" t="str">
            <v>–</v>
          </cell>
          <cell r="K562" t="str">
            <v>–</v>
          </cell>
          <cell r="L562" t="str">
            <v>–</v>
          </cell>
          <cell r="M562" t="str">
            <v>–</v>
          </cell>
          <cell r="N562" t="str">
            <v>–</v>
          </cell>
          <cell r="O562" t="str">
            <v>–</v>
          </cell>
          <cell r="P562">
            <v>5</v>
          </cell>
          <cell r="Q562" t="str">
            <v>–</v>
          </cell>
          <cell r="R562" t="str">
            <v>–</v>
          </cell>
          <cell r="S562" t="str">
            <v>–</v>
          </cell>
          <cell r="T562" t="str">
            <v>–</v>
          </cell>
          <cell r="U562" t="str">
            <v>–</v>
          </cell>
          <cell r="V562" t="str">
            <v>–</v>
          </cell>
          <cell r="W562">
            <v>0.313</v>
          </cell>
          <cell r="X562" t="str">
            <v>–</v>
          </cell>
          <cell r="Y562" t="str">
            <v>–</v>
          </cell>
          <cell r="Z562" t="str">
            <v>–</v>
          </cell>
          <cell r="AA562" t="str">
            <v>–</v>
          </cell>
          <cell r="AB562" t="str">
            <v>–</v>
          </cell>
          <cell r="AC562" t="str">
            <v>–</v>
          </cell>
          <cell r="AD562">
            <v>1.35</v>
          </cell>
          <cell r="AE562" t="str">
            <v>–</v>
          </cell>
          <cell r="AF562" t="str">
            <v>–</v>
          </cell>
          <cell r="AG562">
            <v>0.307</v>
          </cell>
          <cell r="AH562" t="str">
            <v>–</v>
          </cell>
          <cell r="AI562">
            <v>16</v>
          </cell>
          <cell r="AJ562" t="str">
            <v>–</v>
          </cell>
          <cell r="AK562" t="str">
            <v>–</v>
          </cell>
          <cell r="AL562" t="str">
            <v>–</v>
          </cell>
          <cell r="AM562" t="str">
            <v>–</v>
          </cell>
          <cell r="AN562">
            <v>14.9</v>
          </cell>
          <cell r="AO562">
            <v>7.3</v>
          </cell>
          <cell r="AP562">
            <v>4.08</v>
          </cell>
          <cell r="AQ562">
            <v>1.56</v>
          </cell>
          <cell r="AR562">
            <v>33</v>
          </cell>
          <cell r="AS562">
            <v>10.6</v>
          </cell>
          <cell r="AT562">
            <v>6.14</v>
          </cell>
          <cell r="AU562">
            <v>2.3199999999999998</v>
          </cell>
        </row>
        <row r="563">
          <cell r="C563" t="str">
            <v>2L4X4X3/4</v>
          </cell>
          <cell r="D563" t="str">
            <v>F</v>
          </cell>
          <cell r="E563">
            <v>37</v>
          </cell>
          <cell r="F563">
            <v>10.9</v>
          </cell>
          <cell r="G563" t="str">
            <v>2L4X4X3/4</v>
          </cell>
          <cell r="H563">
            <v>4</v>
          </cell>
          <cell r="I563" t="str">
            <v>–</v>
          </cell>
          <cell r="J563" t="str">
            <v>–</v>
          </cell>
          <cell r="K563" t="str">
            <v>–</v>
          </cell>
          <cell r="L563" t="str">
            <v>–</v>
          </cell>
          <cell r="M563" t="str">
            <v>–</v>
          </cell>
          <cell r="N563" t="str">
            <v>–</v>
          </cell>
          <cell r="O563" t="str">
            <v>–</v>
          </cell>
          <cell r="P563">
            <v>4</v>
          </cell>
          <cell r="Q563" t="str">
            <v>–</v>
          </cell>
          <cell r="R563" t="str">
            <v>–</v>
          </cell>
          <cell r="S563" t="str">
            <v>–</v>
          </cell>
          <cell r="T563" t="str">
            <v>–</v>
          </cell>
          <cell r="U563" t="str">
            <v>–</v>
          </cell>
          <cell r="V563" t="str">
            <v>–</v>
          </cell>
          <cell r="W563">
            <v>0.75</v>
          </cell>
          <cell r="X563" t="str">
            <v>–</v>
          </cell>
          <cell r="Y563" t="str">
            <v>–</v>
          </cell>
          <cell r="Z563" t="str">
            <v>–</v>
          </cell>
          <cell r="AA563" t="str">
            <v>–</v>
          </cell>
          <cell r="AB563" t="str">
            <v>–</v>
          </cell>
          <cell r="AC563" t="str">
            <v>–</v>
          </cell>
          <cell r="AD563">
            <v>1.27</v>
          </cell>
          <cell r="AE563" t="str">
            <v>–</v>
          </cell>
          <cell r="AF563" t="str">
            <v>–</v>
          </cell>
          <cell r="AG563">
            <v>0.68</v>
          </cell>
          <cell r="AH563" t="str">
            <v>–</v>
          </cell>
          <cell r="AI563">
            <v>5.33</v>
          </cell>
          <cell r="AJ563" t="str">
            <v>–</v>
          </cell>
          <cell r="AK563" t="str">
            <v>–</v>
          </cell>
          <cell r="AL563" t="str">
            <v>–</v>
          </cell>
          <cell r="AM563" t="str">
            <v>–</v>
          </cell>
          <cell r="AN563">
            <v>15.2</v>
          </cell>
          <cell r="AO563">
            <v>10</v>
          </cell>
          <cell r="AP563">
            <v>5.58</v>
          </cell>
          <cell r="AQ563">
            <v>1.18</v>
          </cell>
          <cell r="AR563">
            <v>32.6</v>
          </cell>
          <cell r="AS563">
            <v>13.8</v>
          </cell>
          <cell r="AT563">
            <v>8.15</v>
          </cell>
          <cell r="AU563">
            <v>1.73</v>
          </cell>
        </row>
        <row r="564">
          <cell r="C564" t="str">
            <v>2L4X4X3/4X3/8</v>
          </cell>
          <cell r="D564" t="str">
            <v>F</v>
          </cell>
          <cell r="E564">
            <v>37</v>
          </cell>
          <cell r="F564">
            <v>10.9</v>
          </cell>
          <cell r="G564" t="str">
            <v>2L4X4X3/4X3/8</v>
          </cell>
          <cell r="H564">
            <v>4</v>
          </cell>
          <cell r="I564" t="str">
            <v>–</v>
          </cell>
          <cell r="J564" t="str">
            <v>–</v>
          </cell>
          <cell r="K564" t="str">
            <v>–</v>
          </cell>
          <cell r="L564" t="str">
            <v>–</v>
          </cell>
          <cell r="M564" t="str">
            <v>–</v>
          </cell>
          <cell r="N564" t="str">
            <v>–</v>
          </cell>
          <cell r="O564" t="str">
            <v>–</v>
          </cell>
          <cell r="P564">
            <v>4</v>
          </cell>
          <cell r="Q564" t="str">
            <v>–</v>
          </cell>
          <cell r="R564" t="str">
            <v>–</v>
          </cell>
          <cell r="S564" t="str">
            <v>–</v>
          </cell>
          <cell r="T564" t="str">
            <v>–</v>
          </cell>
          <cell r="U564" t="str">
            <v>–</v>
          </cell>
          <cell r="V564" t="str">
            <v>–</v>
          </cell>
          <cell r="W564">
            <v>0.75</v>
          </cell>
          <cell r="X564" t="str">
            <v>–</v>
          </cell>
          <cell r="Y564" t="str">
            <v>–</v>
          </cell>
          <cell r="Z564" t="str">
            <v>–</v>
          </cell>
          <cell r="AA564" t="str">
            <v>–</v>
          </cell>
          <cell r="AB564" t="str">
            <v>–</v>
          </cell>
          <cell r="AC564" t="str">
            <v>–</v>
          </cell>
          <cell r="AD564">
            <v>1.27</v>
          </cell>
          <cell r="AE564" t="str">
            <v>–</v>
          </cell>
          <cell r="AF564" t="str">
            <v>–</v>
          </cell>
          <cell r="AG564">
            <v>0.68</v>
          </cell>
          <cell r="AH564" t="str">
            <v>–</v>
          </cell>
          <cell r="AI564">
            <v>5.33</v>
          </cell>
          <cell r="AJ564" t="str">
            <v>–</v>
          </cell>
          <cell r="AK564" t="str">
            <v>–</v>
          </cell>
          <cell r="AL564" t="str">
            <v>–</v>
          </cell>
          <cell r="AM564" t="str">
            <v>–</v>
          </cell>
          <cell r="AN564">
            <v>15.2</v>
          </cell>
          <cell r="AO564">
            <v>10</v>
          </cell>
          <cell r="AP564">
            <v>5.58</v>
          </cell>
          <cell r="AQ564">
            <v>1.18</v>
          </cell>
          <cell r="AR564">
            <v>38.5</v>
          </cell>
          <cell r="AS564">
            <v>15.9</v>
          </cell>
          <cell r="AT564">
            <v>9.19</v>
          </cell>
          <cell r="AU564">
            <v>1.88</v>
          </cell>
        </row>
        <row r="565">
          <cell r="C565" t="str">
            <v>2L4X4X3/4X3/4</v>
          </cell>
          <cell r="D565" t="str">
            <v>F</v>
          </cell>
          <cell r="E565">
            <v>37</v>
          </cell>
          <cell r="F565">
            <v>10.9</v>
          </cell>
          <cell r="G565" t="str">
            <v>2L4X4X3/4X3/4</v>
          </cell>
          <cell r="H565">
            <v>4</v>
          </cell>
          <cell r="I565" t="str">
            <v>–</v>
          </cell>
          <cell r="J565" t="str">
            <v>–</v>
          </cell>
          <cell r="K565" t="str">
            <v>–</v>
          </cell>
          <cell r="L565" t="str">
            <v>–</v>
          </cell>
          <cell r="M565" t="str">
            <v>–</v>
          </cell>
          <cell r="N565" t="str">
            <v>–</v>
          </cell>
          <cell r="O565" t="str">
            <v>–</v>
          </cell>
          <cell r="P565">
            <v>4</v>
          </cell>
          <cell r="Q565" t="str">
            <v>–</v>
          </cell>
          <cell r="R565" t="str">
            <v>–</v>
          </cell>
          <cell r="S565" t="str">
            <v>–</v>
          </cell>
          <cell r="T565" t="str">
            <v>–</v>
          </cell>
          <cell r="U565" t="str">
            <v>–</v>
          </cell>
          <cell r="V565" t="str">
            <v>–</v>
          </cell>
          <cell r="W565">
            <v>0.75</v>
          </cell>
          <cell r="X565" t="str">
            <v>–</v>
          </cell>
          <cell r="Y565" t="str">
            <v>–</v>
          </cell>
          <cell r="Z565" t="str">
            <v>–</v>
          </cell>
          <cell r="AA565" t="str">
            <v>–</v>
          </cell>
          <cell r="AB565" t="str">
            <v>–</v>
          </cell>
          <cell r="AC565" t="str">
            <v>–</v>
          </cell>
          <cell r="AD565">
            <v>1.27</v>
          </cell>
          <cell r="AE565" t="str">
            <v>–</v>
          </cell>
          <cell r="AF565" t="str">
            <v>–</v>
          </cell>
          <cell r="AG565">
            <v>0.68</v>
          </cell>
          <cell r="AH565" t="str">
            <v>–</v>
          </cell>
          <cell r="AI565">
            <v>5.33</v>
          </cell>
          <cell r="AJ565" t="str">
            <v>–</v>
          </cell>
          <cell r="AK565" t="str">
            <v>–</v>
          </cell>
          <cell r="AL565" t="str">
            <v>–</v>
          </cell>
          <cell r="AM565" t="str">
            <v>–</v>
          </cell>
          <cell r="AN565">
            <v>15.2</v>
          </cell>
          <cell r="AO565">
            <v>10</v>
          </cell>
          <cell r="AP565">
            <v>5.58</v>
          </cell>
          <cell r="AQ565">
            <v>1.18</v>
          </cell>
          <cell r="AR565">
            <v>44.9</v>
          </cell>
          <cell r="AS565">
            <v>17.899999999999999</v>
          </cell>
          <cell r="AT565">
            <v>10.3</v>
          </cell>
          <cell r="AU565">
            <v>2.0299999999999998</v>
          </cell>
        </row>
        <row r="566">
          <cell r="C566" t="str">
            <v>2L4X4X5/8</v>
          </cell>
          <cell r="D566" t="str">
            <v>F</v>
          </cell>
          <cell r="E566">
            <v>31.4</v>
          </cell>
          <cell r="F566">
            <v>9.2200000000000006</v>
          </cell>
          <cell r="G566" t="str">
            <v>2L4X4X5/8</v>
          </cell>
          <cell r="H566">
            <v>4</v>
          </cell>
          <cell r="I566" t="str">
            <v>–</v>
          </cell>
          <cell r="J566" t="str">
            <v>–</v>
          </cell>
          <cell r="K566" t="str">
            <v>–</v>
          </cell>
          <cell r="L566" t="str">
            <v>–</v>
          </cell>
          <cell r="M566" t="str">
            <v>–</v>
          </cell>
          <cell r="N566" t="str">
            <v>–</v>
          </cell>
          <cell r="O566" t="str">
            <v>–</v>
          </cell>
          <cell r="P566">
            <v>4</v>
          </cell>
          <cell r="Q566" t="str">
            <v>–</v>
          </cell>
          <cell r="R566" t="str">
            <v>–</v>
          </cell>
          <cell r="S566" t="str">
            <v>–</v>
          </cell>
          <cell r="T566" t="str">
            <v>–</v>
          </cell>
          <cell r="U566" t="str">
            <v>–</v>
          </cell>
          <cell r="V566" t="str">
            <v>–</v>
          </cell>
          <cell r="W566">
            <v>0.625</v>
          </cell>
          <cell r="X566" t="str">
            <v>–</v>
          </cell>
          <cell r="Y566" t="str">
            <v>–</v>
          </cell>
          <cell r="Z566" t="str">
            <v>–</v>
          </cell>
          <cell r="AA566" t="str">
            <v>–</v>
          </cell>
          <cell r="AB566" t="str">
            <v>–</v>
          </cell>
          <cell r="AC566" t="str">
            <v>–</v>
          </cell>
          <cell r="AD566">
            <v>1.22</v>
          </cell>
          <cell r="AE566" t="str">
            <v>–</v>
          </cell>
          <cell r="AF566" t="str">
            <v>–</v>
          </cell>
          <cell r="AG566">
            <v>0.57599999999999996</v>
          </cell>
          <cell r="AH566" t="str">
            <v>–</v>
          </cell>
          <cell r="AI566">
            <v>6.4</v>
          </cell>
          <cell r="AJ566" t="str">
            <v>–</v>
          </cell>
          <cell r="AK566" t="str">
            <v>–</v>
          </cell>
          <cell r="AL566" t="str">
            <v>–</v>
          </cell>
          <cell r="AM566" t="str">
            <v>–</v>
          </cell>
          <cell r="AN566">
            <v>13.2</v>
          </cell>
          <cell r="AO566">
            <v>8.56</v>
          </cell>
          <cell r="AP566">
            <v>4.76</v>
          </cell>
          <cell r="AQ566">
            <v>1.2</v>
          </cell>
          <cell r="AR566">
            <v>27</v>
          </cell>
          <cell r="AS566">
            <v>11.2</v>
          </cell>
          <cell r="AT566">
            <v>6.75</v>
          </cell>
          <cell r="AU566">
            <v>1.71</v>
          </cell>
        </row>
        <row r="567">
          <cell r="C567" t="str">
            <v>2L4X4X5/8X3/8</v>
          </cell>
          <cell r="D567" t="str">
            <v>F</v>
          </cell>
          <cell r="E567">
            <v>31.4</v>
          </cell>
          <cell r="F567">
            <v>9.2200000000000006</v>
          </cell>
          <cell r="G567" t="str">
            <v>2L4X4X5/8X3/8</v>
          </cell>
          <cell r="H567">
            <v>4</v>
          </cell>
          <cell r="I567" t="str">
            <v>–</v>
          </cell>
          <cell r="J567" t="str">
            <v>–</v>
          </cell>
          <cell r="K567" t="str">
            <v>–</v>
          </cell>
          <cell r="L567" t="str">
            <v>–</v>
          </cell>
          <cell r="M567" t="str">
            <v>–</v>
          </cell>
          <cell r="N567" t="str">
            <v>–</v>
          </cell>
          <cell r="O567" t="str">
            <v>–</v>
          </cell>
          <cell r="P567">
            <v>4</v>
          </cell>
          <cell r="Q567" t="str">
            <v>–</v>
          </cell>
          <cell r="R567" t="str">
            <v>–</v>
          </cell>
          <cell r="S567" t="str">
            <v>–</v>
          </cell>
          <cell r="T567" t="str">
            <v>–</v>
          </cell>
          <cell r="U567" t="str">
            <v>–</v>
          </cell>
          <cell r="V567" t="str">
            <v>–</v>
          </cell>
          <cell r="W567">
            <v>0.625</v>
          </cell>
          <cell r="X567" t="str">
            <v>–</v>
          </cell>
          <cell r="Y567" t="str">
            <v>–</v>
          </cell>
          <cell r="Z567" t="str">
            <v>–</v>
          </cell>
          <cell r="AA567" t="str">
            <v>–</v>
          </cell>
          <cell r="AB567" t="str">
            <v>–</v>
          </cell>
          <cell r="AC567" t="str">
            <v>–</v>
          </cell>
          <cell r="AD567">
            <v>1.22</v>
          </cell>
          <cell r="AE567" t="str">
            <v>–</v>
          </cell>
          <cell r="AF567" t="str">
            <v>–</v>
          </cell>
          <cell r="AG567">
            <v>0.57599999999999996</v>
          </cell>
          <cell r="AH567" t="str">
            <v>–</v>
          </cell>
          <cell r="AI567">
            <v>6.4</v>
          </cell>
          <cell r="AJ567" t="str">
            <v>–</v>
          </cell>
          <cell r="AK567" t="str">
            <v>–</v>
          </cell>
          <cell r="AL567" t="str">
            <v>–</v>
          </cell>
          <cell r="AM567" t="str">
            <v>–</v>
          </cell>
          <cell r="AN567">
            <v>13.2</v>
          </cell>
          <cell r="AO567">
            <v>8.56</v>
          </cell>
          <cell r="AP567">
            <v>4.76</v>
          </cell>
          <cell r="AQ567">
            <v>1.2</v>
          </cell>
          <cell r="AR567">
            <v>31.6</v>
          </cell>
          <cell r="AS567">
            <v>13</v>
          </cell>
          <cell r="AT567">
            <v>7.55</v>
          </cell>
          <cell r="AU567">
            <v>1.85</v>
          </cell>
        </row>
        <row r="568">
          <cell r="C568" t="str">
            <v>2L4X4X5/8X3/4</v>
          </cell>
          <cell r="D568" t="str">
            <v>F</v>
          </cell>
          <cell r="E568">
            <v>31.4</v>
          </cell>
          <cell r="F568">
            <v>9.2200000000000006</v>
          </cell>
          <cell r="G568" t="str">
            <v>2L4X4X5/8X3/4</v>
          </cell>
          <cell r="H568">
            <v>4</v>
          </cell>
          <cell r="I568" t="str">
            <v>–</v>
          </cell>
          <cell r="J568" t="str">
            <v>–</v>
          </cell>
          <cell r="K568" t="str">
            <v>–</v>
          </cell>
          <cell r="L568" t="str">
            <v>–</v>
          </cell>
          <cell r="M568" t="str">
            <v>–</v>
          </cell>
          <cell r="N568" t="str">
            <v>–</v>
          </cell>
          <cell r="O568" t="str">
            <v>–</v>
          </cell>
          <cell r="P568">
            <v>4</v>
          </cell>
          <cell r="Q568" t="str">
            <v>–</v>
          </cell>
          <cell r="R568" t="str">
            <v>–</v>
          </cell>
          <cell r="S568" t="str">
            <v>–</v>
          </cell>
          <cell r="T568" t="str">
            <v>–</v>
          </cell>
          <cell r="U568" t="str">
            <v>–</v>
          </cell>
          <cell r="V568" t="str">
            <v>–</v>
          </cell>
          <cell r="W568">
            <v>0.625</v>
          </cell>
          <cell r="X568" t="str">
            <v>–</v>
          </cell>
          <cell r="Y568" t="str">
            <v>–</v>
          </cell>
          <cell r="Z568" t="str">
            <v>–</v>
          </cell>
          <cell r="AA568" t="str">
            <v>–</v>
          </cell>
          <cell r="AB568" t="str">
            <v>–</v>
          </cell>
          <cell r="AC568" t="str">
            <v>–</v>
          </cell>
          <cell r="AD568">
            <v>1.22</v>
          </cell>
          <cell r="AE568" t="str">
            <v>–</v>
          </cell>
          <cell r="AF568" t="str">
            <v>–</v>
          </cell>
          <cell r="AG568">
            <v>0.57599999999999996</v>
          </cell>
          <cell r="AH568" t="str">
            <v>–</v>
          </cell>
          <cell r="AI568">
            <v>6.4</v>
          </cell>
          <cell r="AJ568" t="str">
            <v>–</v>
          </cell>
          <cell r="AK568" t="str">
            <v>–</v>
          </cell>
          <cell r="AL568" t="str">
            <v>–</v>
          </cell>
          <cell r="AM568" t="str">
            <v>–</v>
          </cell>
          <cell r="AN568">
            <v>13.2</v>
          </cell>
          <cell r="AO568">
            <v>8.56</v>
          </cell>
          <cell r="AP568">
            <v>4.76</v>
          </cell>
          <cell r="AQ568">
            <v>1.2</v>
          </cell>
          <cell r="AR568">
            <v>36.9</v>
          </cell>
          <cell r="AS568">
            <v>14.7</v>
          </cell>
          <cell r="AT568">
            <v>8.43</v>
          </cell>
          <cell r="AU568">
            <v>2</v>
          </cell>
        </row>
        <row r="569">
          <cell r="C569" t="str">
            <v>2L4X4X1/2</v>
          </cell>
          <cell r="D569" t="str">
            <v>F</v>
          </cell>
          <cell r="E569">
            <v>25.6</v>
          </cell>
          <cell r="F569">
            <v>7.5</v>
          </cell>
          <cell r="G569" t="str">
            <v>2L4X4X1/2</v>
          </cell>
          <cell r="H569">
            <v>4</v>
          </cell>
          <cell r="I569" t="str">
            <v>–</v>
          </cell>
          <cell r="J569" t="str">
            <v>–</v>
          </cell>
          <cell r="K569" t="str">
            <v>–</v>
          </cell>
          <cell r="L569" t="str">
            <v>–</v>
          </cell>
          <cell r="M569" t="str">
            <v>–</v>
          </cell>
          <cell r="N569" t="str">
            <v>–</v>
          </cell>
          <cell r="O569" t="str">
            <v>–</v>
          </cell>
          <cell r="P569">
            <v>4</v>
          </cell>
          <cell r="Q569" t="str">
            <v>–</v>
          </cell>
          <cell r="R569" t="str">
            <v>–</v>
          </cell>
          <cell r="S569" t="str">
            <v>–</v>
          </cell>
          <cell r="T569" t="str">
            <v>–</v>
          </cell>
          <cell r="U569" t="str">
            <v>–</v>
          </cell>
          <cell r="V569" t="str">
            <v>–</v>
          </cell>
          <cell r="W569">
            <v>0.5</v>
          </cell>
          <cell r="X569" t="str">
            <v>–</v>
          </cell>
          <cell r="Y569" t="str">
            <v>–</v>
          </cell>
          <cell r="Z569" t="str">
            <v>–</v>
          </cell>
          <cell r="AA569" t="str">
            <v>–</v>
          </cell>
          <cell r="AB569" t="str">
            <v>–</v>
          </cell>
          <cell r="AC569" t="str">
            <v>–</v>
          </cell>
          <cell r="AD569">
            <v>1.18</v>
          </cell>
          <cell r="AE569" t="str">
            <v>–</v>
          </cell>
          <cell r="AF569" t="str">
            <v>–</v>
          </cell>
          <cell r="AG569">
            <v>0.46899999999999997</v>
          </cell>
          <cell r="AH569" t="str">
            <v>–</v>
          </cell>
          <cell r="AI569">
            <v>8</v>
          </cell>
          <cell r="AJ569" t="str">
            <v>–</v>
          </cell>
          <cell r="AK569" t="str">
            <v>–</v>
          </cell>
          <cell r="AL569" t="str">
            <v>–</v>
          </cell>
          <cell r="AM569" t="str">
            <v>–</v>
          </cell>
          <cell r="AN569">
            <v>11</v>
          </cell>
          <cell r="AO569">
            <v>7</v>
          </cell>
          <cell r="AP569">
            <v>3.92</v>
          </cell>
          <cell r="AQ569">
            <v>1.21</v>
          </cell>
          <cell r="AR569">
            <v>21.4</v>
          </cell>
          <cell r="AS569">
            <v>8.85</v>
          </cell>
          <cell r="AT569">
            <v>5.35</v>
          </cell>
          <cell r="AU569">
            <v>1.69</v>
          </cell>
        </row>
        <row r="570">
          <cell r="C570" t="str">
            <v>2L4X4X1/2X3/8</v>
          </cell>
          <cell r="D570" t="str">
            <v>F</v>
          </cell>
          <cell r="E570">
            <v>25.6</v>
          </cell>
          <cell r="F570">
            <v>7.5</v>
          </cell>
          <cell r="G570" t="str">
            <v>2L4X4X1/2X3/8</v>
          </cell>
          <cell r="H570">
            <v>4</v>
          </cell>
          <cell r="I570" t="str">
            <v>–</v>
          </cell>
          <cell r="J570" t="str">
            <v>–</v>
          </cell>
          <cell r="K570" t="str">
            <v>–</v>
          </cell>
          <cell r="L570" t="str">
            <v>–</v>
          </cell>
          <cell r="M570" t="str">
            <v>–</v>
          </cell>
          <cell r="N570" t="str">
            <v>–</v>
          </cell>
          <cell r="O570" t="str">
            <v>–</v>
          </cell>
          <cell r="P570">
            <v>4</v>
          </cell>
          <cell r="Q570" t="str">
            <v>–</v>
          </cell>
          <cell r="R570" t="str">
            <v>–</v>
          </cell>
          <cell r="S570" t="str">
            <v>–</v>
          </cell>
          <cell r="T570" t="str">
            <v>–</v>
          </cell>
          <cell r="U570" t="str">
            <v>–</v>
          </cell>
          <cell r="V570" t="str">
            <v>–</v>
          </cell>
          <cell r="W570">
            <v>0.5</v>
          </cell>
          <cell r="X570" t="str">
            <v>–</v>
          </cell>
          <cell r="Y570" t="str">
            <v>–</v>
          </cell>
          <cell r="Z570" t="str">
            <v>–</v>
          </cell>
          <cell r="AA570" t="str">
            <v>–</v>
          </cell>
          <cell r="AB570" t="str">
            <v>–</v>
          </cell>
          <cell r="AC570" t="str">
            <v>–</v>
          </cell>
          <cell r="AD570">
            <v>1.18</v>
          </cell>
          <cell r="AE570" t="str">
            <v>–</v>
          </cell>
          <cell r="AF570" t="str">
            <v>–</v>
          </cell>
          <cell r="AG570">
            <v>0.46899999999999997</v>
          </cell>
          <cell r="AH570" t="str">
            <v>–</v>
          </cell>
          <cell r="AI570">
            <v>8</v>
          </cell>
          <cell r="AJ570" t="str">
            <v>–</v>
          </cell>
          <cell r="AK570" t="str">
            <v>–</v>
          </cell>
          <cell r="AL570" t="str">
            <v>–</v>
          </cell>
          <cell r="AM570" t="str">
            <v>–</v>
          </cell>
          <cell r="AN570">
            <v>11</v>
          </cell>
          <cell r="AO570">
            <v>7</v>
          </cell>
          <cell r="AP570">
            <v>3.92</v>
          </cell>
          <cell r="AQ570">
            <v>1.21</v>
          </cell>
          <cell r="AR570">
            <v>25.1</v>
          </cell>
          <cell r="AS570">
            <v>10.3</v>
          </cell>
          <cell r="AT570">
            <v>5.99</v>
          </cell>
          <cell r="AU570">
            <v>1.83</v>
          </cell>
        </row>
        <row r="571">
          <cell r="C571" t="str">
            <v>2L4X4X1/2X3/4</v>
          </cell>
          <cell r="D571" t="str">
            <v>F</v>
          </cell>
          <cell r="E571">
            <v>25.6</v>
          </cell>
          <cell r="F571">
            <v>7.5</v>
          </cell>
          <cell r="G571" t="str">
            <v>2L4X4X1/2X3/4</v>
          </cell>
          <cell r="H571">
            <v>4</v>
          </cell>
          <cell r="I571" t="str">
            <v>–</v>
          </cell>
          <cell r="J571" t="str">
            <v>–</v>
          </cell>
          <cell r="K571" t="str">
            <v>–</v>
          </cell>
          <cell r="L571" t="str">
            <v>–</v>
          </cell>
          <cell r="M571" t="str">
            <v>–</v>
          </cell>
          <cell r="N571" t="str">
            <v>–</v>
          </cell>
          <cell r="O571" t="str">
            <v>–</v>
          </cell>
          <cell r="P571">
            <v>4</v>
          </cell>
          <cell r="Q571" t="str">
            <v>–</v>
          </cell>
          <cell r="R571" t="str">
            <v>–</v>
          </cell>
          <cell r="S571" t="str">
            <v>–</v>
          </cell>
          <cell r="T571" t="str">
            <v>–</v>
          </cell>
          <cell r="U571" t="str">
            <v>–</v>
          </cell>
          <cell r="V571" t="str">
            <v>–</v>
          </cell>
          <cell r="W571">
            <v>0.5</v>
          </cell>
          <cell r="X571" t="str">
            <v>–</v>
          </cell>
          <cell r="Y571" t="str">
            <v>–</v>
          </cell>
          <cell r="Z571" t="str">
            <v>–</v>
          </cell>
          <cell r="AA571" t="str">
            <v>–</v>
          </cell>
          <cell r="AB571" t="str">
            <v>–</v>
          </cell>
          <cell r="AC571" t="str">
            <v>–</v>
          </cell>
          <cell r="AD571">
            <v>1.18</v>
          </cell>
          <cell r="AE571" t="str">
            <v>–</v>
          </cell>
          <cell r="AF571" t="str">
            <v>–</v>
          </cell>
          <cell r="AG571">
            <v>0.46899999999999997</v>
          </cell>
          <cell r="AH571" t="str">
            <v>–</v>
          </cell>
          <cell r="AI571">
            <v>8</v>
          </cell>
          <cell r="AJ571" t="str">
            <v>–</v>
          </cell>
          <cell r="AK571" t="str">
            <v>–</v>
          </cell>
          <cell r="AL571" t="str">
            <v>–</v>
          </cell>
          <cell r="AM571" t="str">
            <v>–</v>
          </cell>
          <cell r="AN571">
            <v>11</v>
          </cell>
          <cell r="AO571">
            <v>7</v>
          </cell>
          <cell r="AP571">
            <v>3.92</v>
          </cell>
          <cell r="AQ571">
            <v>1.21</v>
          </cell>
          <cell r="AR571">
            <v>29.1</v>
          </cell>
          <cell r="AS571">
            <v>11.7</v>
          </cell>
          <cell r="AT571">
            <v>6.65</v>
          </cell>
          <cell r="AU571">
            <v>1.97</v>
          </cell>
        </row>
        <row r="572">
          <cell r="C572" t="str">
            <v>2L4X4X7/16</v>
          </cell>
          <cell r="D572" t="str">
            <v>F</v>
          </cell>
          <cell r="E572">
            <v>22.6</v>
          </cell>
          <cell r="F572">
            <v>6.6</v>
          </cell>
          <cell r="G572" t="str">
            <v>2L4X4X7/16</v>
          </cell>
          <cell r="H572">
            <v>4</v>
          </cell>
          <cell r="I572" t="str">
            <v>–</v>
          </cell>
          <cell r="J572" t="str">
            <v>–</v>
          </cell>
          <cell r="K572" t="str">
            <v>–</v>
          </cell>
          <cell r="L572" t="str">
            <v>–</v>
          </cell>
          <cell r="M572" t="str">
            <v>–</v>
          </cell>
          <cell r="N572" t="str">
            <v>–</v>
          </cell>
          <cell r="O572" t="str">
            <v>–</v>
          </cell>
          <cell r="P572">
            <v>4</v>
          </cell>
          <cell r="Q572" t="str">
            <v>–</v>
          </cell>
          <cell r="R572" t="str">
            <v>–</v>
          </cell>
          <cell r="S572" t="str">
            <v>–</v>
          </cell>
          <cell r="T572" t="str">
            <v>–</v>
          </cell>
          <cell r="U572" t="str">
            <v>–</v>
          </cell>
          <cell r="V572" t="str">
            <v>–</v>
          </cell>
          <cell r="W572">
            <v>0.438</v>
          </cell>
          <cell r="X572" t="str">
            <v>–</v>
          </cell>
          <cell r="Y572" t="str">
            <v>–</v>
          </cell>
          <cell r="Z572" t="str">
            <v>–</v>
          </cell>
          <cell r="AA572" t="str">
            <v>–</v>
          </cell>
          <cell r="AB572" t="str">
            <v>–</v>
          </cell>
          <cell r="AC572" t="str">
            <v>–</v>
          </cell>
          <cell r="AD572">
            <v>1.1499999999999999</v>
          </cell>
          <cell r="AE572" t="str">
            <v>–</v>
          </cell>
          <cell r="AF572" t="str">
            <v>–</v>
          </cell>
          <cell r="AG572">
            <v>0.41299999999999998</v>
          </cell>
          <cell r="AH572" t="str">
            <v>–</v>
          </cell>
          <cell r="AI572">
            <v>9.1300000000000008</v>
          </cell>
          <cell r="AJ572" t="str">
            <v>–</v>
          </cell>
          <cell r="AK572" t="str">
            <v>–</v>
          </cell>
          <cell r="AL572" t="str">
            <v>–</v>
          </cell>
          <cell r="AM572" t="str">
            <v>–</v>
          </cell>
          <cell r="AN572">
            <v>9.86</v>
          </cell>
          <cell r="AO572">
            <v>6.2</v>
          </cell>
          <cell r="AP572">
            <v>3.46</v>
          </cell>
          <cell r="AQ572">
            <v>1.22</v>
          </cell>
          <cell r="AR572">
            <v>18.600000000000001</v>
          </cell>
          <cell r="AS572">
            <v>7.59</v>
          </cell>
          <cell r="AT572">
            <v>4.6500000000000004</v>
          </cell>
          <cell r="AU572">
            <v>1.68</v>
          </cell>
        </row>
        <row r="573">
          <cell r="C573" t="str">
            <v>2L4X4X7/16X3/8</v>
          </cell>
          <cell r="D573" t="str">
            <v>F</v>
          </cell>
          <cell r="E573">
            <v>22.6</v>
          </cell>
          <cell r="F573">
            <v>6.6</v>
          </cell>
          <cell r="G573" t="str">
            <v>2L4X4X7/16X3/8</v>
          </cell>
          <cell r="H573">
            <v>4</v>
          </cell>
          <cell r="I573" t="str">
            <v>–</v>
          </cell>
          <cell r="J573" t="str">
            <v>–</v>
          </cell>
          <cell r="K573" t="str">
            <v>–</v>
          </cell>
          <cell r="L573" t="str">
            <v>–</v>
          </cell>
          <cell r="M573" t="str">
            <v>–</v>
          </cell>
          <cell r="N573" t="str">
            <v>–</v>
          </cell>
          <cell r="O573" t="str">
            <v>–</v>
          </cell>
          <cell r="P573">
            <v>4</v>
          </cell>
          <cell r="Q573" t="str">
            <v>–</v>
          </cell>
          <cell r="R573" t="str">
            <v>–</v>
          </cell>
          <cell r="S573" t="str">
            <v>–</v>
          </cell>
          <cell r="T573" t="str">
            <v>–</v>
          </cell>
          <cell r="U573" t="str">
            <v>–</v>
          </cell>
          <cell r="V573" t="str">
            <v>–</v>
          </cell>
          <cell r="W573">
            <v>0.438</v>
          </cell>
          <cell r="X573" t="str">
            <v>–</v>
          </cell>
          <cell r="Y573" t="str">
            <v>–</v>
          </cell>
          <cell r="Z573" t="str">
            <v>–</v>
          </cell>
          <cell r="AA573" t="str">
            <v>–</v>
          </cell>
          <cell r="AB573" t="str">
            <v>–</v>
          </cell>
          <cell r="AC573" t="str">
            <v>–</v>
          </cell>
          <cell r="AD573">
            <v>1.1499999999999999</v>
          </cell>
          <cell r="AE573" t="str">
            <v>–</v>
          </cell>
          <cell r="AF573" t="str">
            <v>–</v>
          </cell>
          <cell r="AG573">
            <v>0.41299999999999998</v>
          </cell>
          <cell r="AH573" t="str">
            <v>–</v>
          </cell>
          <cell r="AI573">
            <v>9.1300000000000008</v>
          </cell>
          <cell r="AJ573" t="str">
            <v>–</v>
          </cell>
          <cell r="AK573" t="str">
            <v>–</v>
          </cell>
          <cell r="AL573" t="str">
            <v>–</v>
          </cell>
          <cell r="AM573" t="str">
            <v>–</v>
          </cell>
          <cell r="AN573">
            <v>9.86</v>
          </cell>
          <cell r="AO573">
            <v>6.2</v>
          </cell>
          <cell r="AP573">
            <v>3.46</v>
          </cell>
          <cell r="AQ573">
            <v>1.22</v>
          </cell>
          <cell r="AR573">
            <v>21.6</v>
          </cell>
          <cell r="AS573">
            <v>8.83</v>
          </cell>
          <cell r="AT573">
            <v>5.16</v>
          </cell>
          <cell r="AU573">
            <v>1.81</v>
          </cell>
        </row>
        <row r="574">
          <cell r="C574" t="str">
            <v>2L4X4X7/16X3/4</v>
          </cell>
          <cell r="D574" t="str">
            <v>F</v>
          </cell>
          <cell r="E574">
            <v>22.6</v>
          </cell>
          <cell r="F574">
            <v>6.6</v>
          </cell>
          <cell r="G574" t="str">
            <v>2L4X4X7/16X3/4</v>
          </cell>
          <cell r="H574">
            <v>4</v>
          </cell>
          <cell r="I574" t="str">
            <v>–</v>
          </cell>
          <cell r="J574" t="str">
            <v>–</v>
          </cell>
          <cell r="K574" t="str">
            <v>–</v>
          </cell>
          <cell r="L574" t="str">
            <v>–</v>
          </cell>
          <cell r="M574" t="str">
            <v>–</v>
          </cell>
          <cell r="N574" t="str">
            <v>–</v>
          </cell>
          <cell r="O574" t="str">
            <v>–</v>
          </cell>
          <cell r="P574">
            <v>4</v>
          </cell>
          <cell r="Q574" t="str">
            <v>–</v>
          </cell>
          <cell r="R574" t="str">
            <v>–</v>
          </cell>
          <cell r="S574" t="str">
            <v>–</v>
          </cell>
          <cell r="T574" t="str">
            <v>–</v>
          </cell>
          <cell r="U574" t="str">
            <v>–</v>
          </cell>
          <cell r="V574" t="str">
            <v>–</v>
          </cell>
          <cell r="W574">
            <v>0.438</v>
          </cell>
          <cell r="X574" t="str">
            <v>–</v>
          </cell>
          <cell r="Y574" t="str">
            <v>–</v>
          </cell>
          <cell r="Z574" t="str">
            <v>–</v>
          </cell>
          <cell r="AA574" t="str">
            <v>–</v>
          </cell>
          <cell r="AB574" t="str">
            <v>–</v>
          </cell>
          <cell r="AC574" t="str">
            <v>–</v>
          </cell>
          <cell r="AD574">
            <v>1.1499999999999999</v>
          </cell>
          <cell r="AE574" t="str">
            <v>–</v>
          </cell>
          <cell r="AF574" t="str">
            <v>–</v>
          </cell>
          <cell r="AG574">
            <v>0.41299999999999998</v>
          </cell>
          <cell r="AH574" t="str">
            <v>–</v>
          </cell>
          <cell r="AI574">
            <v>9.1300000000000008</v>
          </cell>
          <cell r="AJ574" t="str">
            <v>–</v>
          </cell>
          <cell r="AK574" t="str">
            <v>–</v>
          </cell>
          <cell r="AL574" t="str">
            <v>–</v>
          </cell>
          <cell r="AM574" t="str">
            <v>–</v>
          </cell>
          <cell r="AN574">
            <v>9.86</v>
          </cell>
          <cell r="AO574">
            <v>6.2</v>
          </cell>
          <cell r="AP574">
            <v>3.46</v>
          </cell>
          <cell r="AQ574">
            <v>1.22</v>
          </cell>
          <cell r="AR574">
            <v>25.4</v>
          </cell>
          <cell r="AS574">
            <v>10.1</v>
          </cell>
          <cell r="AT574">
            <v>5.81</v>
          </cell>
          <cell r="AU574">
            <v>1.96</v>
          </cell>
        </row>
        <row r="575">
          <cell r="C575" t="str">
            <v>2L4X4X3/8</v>
          </cell>
          <cell r="D575" t="str">
            <v>F</v>
          </cell>
          <cell r="E575">
            <v>19.600000000000001</v>
          </cell>
          <cell r="F575">
            <v>5.72</v>
          </cell>
          <cell r="G575" t="str">
            <v>2L4X4X3/8</v>
          </cell>
          <cell r="H575">
            <v>4</v>
          </cell>
          <cell r="I575" t="str">
            <v>–</v>
          </cell>
          <cell r="J575" t="str">
            <v>–</v>
          </cell>
          <cell r="K575" t="str">
            <v>–</v>
          </cell>
          <cell r="L575" t="str">
            <v>–</v>
          </cell>
          <cell r="M575" t="str">
            <v>–</v>
          </cell>
          <cell r="N575" t="str">
            <v>–</v>
          </cell>
          <cell r="O575" t="str">
            <v>–</v>
          </cell>
          <cell r="P575">
            <v>4</v>
          </cell>
          <cell r="Q575" t="str">
            <v>–</v>
          </cell>
          <cell r="R575" t="str">
            <v>–</v>
          </cell>
          <cell r="S575" t="str">
            <v>–</v>
          </cell>
          <cell r="T575" t="str">
            <v>–</v>
          </cell>
          <cell r="U575" t="str">
            <v>–</v>
          </cell>
          <cell r="V575" t="str">
            <v>–</v>
          </cell>
          <cell r="W575">
            <v>0.375</v>
          </cell>
          <cell r="X575" t="str">
            <v>–</v>
          </cell>
          <cell r="Y575" t="str">
            <v>–</v>
          </cell>
          <cell r="Z575" t="str">
            <v>–</v>
          </cell>
          <cell r="AA575" t="str">
            <v>–</v>
          </cell>
          <cell r="AB575" t="str">
            <v>–</v>
          </cell>
          <cell r="AC575" t="str">
            <v>–</v>
          </cell>
          <cell r="AD575">
            <v>1.1299999999999999</v>
          </cell>
          <cell r="AE575" t="str">
            <v>–</v>
          </cell>
          <cell r="AF575" t="str">
            <v>–</v>
          </cell>
          <cell r="AG575">
            <v>0.35799999999999998</v>
          </cell>
          <cell r="AH575" t="str">
            <v>–</v>
          </cell>
          <cell r="AI575">
            <v>10.7</v>
          </cell>
          <cell r="AJ575" t="str">
            <v>–</v>
          </cell>
          <cell r="AK575" t="str">
            <v>–</v>
          </cell>
          <cell r="AL575" t="str">
            <v>–</v>
          </cell>
          <cell r="AM575" t="str">
            <v>–</v>
          </cell>
          <cell r="AN575">
            <v>8.64</v>
          </cell>
          <cell r="AO575">
            <v>5.38</v>
          </cell>
          <cell r="AP575">
            <v>3</v>
          </cell>
          <cell r="AQ575">
            <v>1.23</v>
          </cell>
          <cell r="AR575">
            <v>16</v>
          </cell>
          <cell r="AS575">
            <v>6.46</v>
          </cell>
          <cell r="AT575">
            <v>4</v>
          </cell>
          <cell r="AU575">
            <v>1.67</v>
          </cell>
        </row>
        <row r="576">
          <cell r="C576" t="str">
            <v>2L4X4X3/8X3/8</v>
          </cell>
          <cell r="D576" t="str">
            <v>F</v>
          </cell>
          <cell r="E576">
            <v>19.600000000000001</v>
          </cell>
          <cell r="F576">
            <v>5.72</v>
          </cell>
          <cell r="G576" t="str">
            <v>2L4X4X3/8X3/8</v>
          </cell>
          <cell r="H576">
            <v>4</v>
          </cell>
          <cell r="I576" t="str">
            <v>–</v>
          </cell>
          <cell r="J576" t="str">
            <v>–</v>
          </cell>
          <cell r="K576" t="str">
            <v>–</v>
          </cell>
          <cell r="L576" t="str">
            <v>–</v>
          </cell>
          <cell r="M576" t="str">
            <v>–</v>
          </cell>
          <cell r="N576" t="str">
            <v>–</v>
          </cell>
          <cell r="O576" t="str">
            <v>–</v>
          </cell>
          <cell r="P576">
            <v>4</v>
          </cell>
          <cell r="Q576" t="str">
            <v>–</v>
          </cell>
          <cell r="R576" t="str">
            <v>–</v>
          </cell>
          <cell r="S576" t="str">
            <v>–</v>
          </cell>
          <cell r="T576" t="str">
            <v>–</v>
          </cell>
          <cell r="U576" t="str">
            <v>–</v>
          </cell>
          <cell r="V576" t="str">
            <v>–</v>
          </cell>
          <cell r="W576">
            <v>0.375</v>
          </cell>
          <cell r="X576" t="str">
            <v>–</v>
          </cell>
          <cell r="Y576" t="str">
            <v>–</v>
          </cell>
          <cell r="Z576" t="str">
            <v>–</v>
          </cell>
          <cell r="AA576" t="str">
            <v>–</v>
          </cell>
          <cell r="AB576" t="str">
            <v>–</v>
          </cell>
          <cell r="AC576" t="str">
            <v>–</v>
          </cell>
          <cell r="AD576">
            <v>1.1299999999999999</v>
          </cell>
          <cell r="AE576" t="str">
            <v>–</v>
          </cell>
          <cell r="AF576" t="str">
            <v>–</v>
          </cell>
          <cell r="AG576">
            <v>0.35799999999999998</v>
          </cell>
          <cell r="AH576" t="str">
            <v>–</v>
          </cell>
          <cell r="AI576">
            <v>10.7</v>
          </cell>
          <cell r="AJ576" t="str">
            <v>–</v>
          </cell>
          <cell r="AK576" t="str">
            <v>–</v>
          </cell>
          <cell r="AL576" t="str">
            <v>–</v>
          </cell>
          <cell r="AM576" t="str">
            <v>–</v>
          </cell>
          <cell r="AN576">
            <v>8.64</v>
          </cell>
          <cell r="AO576">
            <v>5.38</v>
          </cell>
          <cell r="AP576">
            <v>3</v>
          </cell>
          <cell r="AQ576">
            <v>1.23</v>
          </cell>
          <cell r="AR576">
            <v>18.5</v>
          </cell>
          <cell r="AS576">
            <v>7.54</v>
          </cell>
          <cell r="AT576">
            <v>4.42</v>
          </cell>
          <cell r="AU576">
            <v>1.8</v>
          </cell>
        </row>
        <row r="577">
          <cell r="C577" t="str">
            <v>2L4X4X3/8X3/4</v>
          </cell>
          <cell r="D577" t="str">
            <v>F</v>
          </cell>
          <cell r="E577">
            <v>19.600000000000001</v>
          </cell>
          <cell r="F577">
            <v>5.72</v>
          </cell>
          <cell r="G577" t="str">
            <v>2L4X4X3/8X3/4</v>
          </cell>
          <cell r="H577">
            <v>4</v>
          </cell>
          <cell r="I577" t="str">
            <v>–</v>
          </cell>
          <cell r="J577" t="str">
            <v>–</v>
          </cell>
          <cell r="K577" t="str">
            <v>–</v>
          </cell>
          <cell r="L577" t="str">
            <v>–</v>
          </cell>
          <cell r="M577" t="str">
            <v>–</v>
          </cell>
          <cell r="N577" t="str">
            <v>–</v>
          </cell>
          <cell r="O577" t="str">
            <v>–</v>
          </cell>
          <cell r="P577">
            <v>4</v>
          </cell>
          <cell r="Q577" t="str">
            <v>–</v>
          </cell>
          <cell r="R577" t="str">
            <v>–</v>
          </cell>
          <cell r="S577" t="str">
            <v>–</v>
          </cell>
          <cell r="T577" t="str">
            <v>–</v>
          </cell>
          <cell r="U577" t="str">
            <v>–</v>
          </cell>
          <cell r="V577" t="str">
            <v>–</v>
          </cell>
          <cell r="W577">
            <v>0.375</v>
          </cell>
          <cell r="X577" t="str">
            <v>–</v>
          </cell>
          <cell r="Y577" t="str">
            <v>–</v>
          </cell>
          <cell r="Z577" t="str">
            <v>–</v>
          </cell>
          <cell r="AA577" t="str">
            <v>–</v>
          </cell>
          <cell r="AB577" t="str">
            <v>–</v>
          </cell>
          <cell r="AC577" t="str">
            <v>–</v>
          </cell>
          <cell r="AD577">
            <v>1.1299999999999999</v>
          </cell>
          <cell r="AE577" t="str">
            <v>–</v>
          </cell>
          <cell r="AF577" t="str">
            <v>–</v>
          </cell>
          <cell r="AG577">
            <v>0.35799999999999998</v>
          </cell>
          <cell r="AH577" t="str">
            <v>–</v>
          </cell>
          <cell r="AI577">
            <v>10.7</v>
          </cell>
          <cell r="AJ577" t="str">
            <v>–</v>
          </cell>
          <cell r="AK577" t="str">
            <v>–</v>
          </cell>
          <cell r="AL577" t="str">
            <v>–</v>
          </cell>
          <cell r="AM577" t="str">
            <v>–</v>
          </cell>
          <cell r="AN577">
            <v>8.64</v>
          </cell>
          <cell r="AO577">
            <v>5.38</v>
          </cell>
          <cell r="AP577">
            <v>3</v>
          </cell>
          <cell r="AQ577">
            <v>1.23</v>
          </cell>
          <cell r="AR577">
            <v>21.5</v>
          </cell>
          <cell r="AS577">
            <v>8.61</v>
          </cell>
          <cell r="AT577">
            <v>4.91</v>
          </cell>
          <cell r="AU577">
            <v>1.94</v>
          </cell>
        </row>
        <row r="578">
          <cell r="C578" t="str">
            <v>2L4X4X5/16</v>
          </cell>
          <cell r="D578" t="str">
            <v>F</v>
          </cell>
          <cell r="E578">
            <v>16.399999999999999</v>
          </cell>
          <cell r="F578">
            <v>4.8</v>
          </cell>
          <cell r="G578" t="str">
            <v>2L4X4X5/16</v>
          </cell>
          <cell r="H578">
            <v>4</v>
          </cell>
          <cell r="I578" t="str">
            <v>–</v>
          </cell>
          <cell r="J578" t="str">
            <v>–</v>
          </cell>
          <cell r="K578" t="str">
            <v>–</v>
          </cell>
          <cell r="L578" t="str">
            <v>–</v>
          </cell>
          <cell r="M578" t="str">
            <v>–</v>
          </cell>
          <cell r="N578" t="str">
            <v>–</v>
          </cell>
          <cell r="O578" t="str">
            <v>–</v>
          </cell>
          <cell r="P578">
            <v>4</v>
          </cell>
          <cell r="Q578" t="str">
            <v>–</v>
          </cell>
          <cell r="R578" t="str">
            <v>–</v>
          </cell>
          <cell r="S578" t="str">
            <v>–</v>
          </cell>
          <cell r="T578" t="str">
            <v>–</v>
          </cell>
          <cell r="U578" t="str">
            <v>–</v>
          </cell>
          <cell r="V578" t="str">
            <v>–</v>
          </cell>
          <cell r="W578">
            <v>0.313</v>
          </cell>
          <cell r="X578" t="str">
            <v>–</v>
          </cell>
          <cell r="Y578" t="str">
            <v>–</v>
          </cell>
          <cell r="Z578" t="str">
            <v>–</v>
          </cell>
          <cell r="AA578" t="str">
            <v>–</v>
          </cell>
          <cell r="AB578" t="str">
            <v>–</v>
          </cell>
          <cell r="AC578" t="str">
            <v>–</v>
          </cell>
          <cell r="AD578">
            <v>1.1100000000000001</v>
          </cell>
          <cell r="AE578" t="str">
            <v>–</v>
          </cell>
          <cell r="AF578" t="str">
            <v>–</v>
          </cell>
          <cell r="AG578">
            <v>0.3</v>
          </cell>
          <cell r="AH578" t="str">
            <v>–</v>
          </cell>
          <cell r="AI578">
            <v>12.8</v>
          </cell>
          <cell r="AJ578" t="str">
            <v>–</v>
          </cell>
          <cell r="AK578" t="str">
            <v>–</v>
          </cell>
          <cell r="AL578" t="str">
            <v>–</v>
          </cell>
          <cell r="AM578" t="str">
            <v>–</v>
          </cell>
          <cell r="AN578">
            <v>7.34</v>
          </cell>
          <cell r="AO578">
            <v>4.5199999999999996</v>
          </cell>
          <cell r="AP578">
            <v>2.54</v>
          </cell>
          <cell r="AQ578">
            <v>1.24</v>
          </cell>
          <cell r="AR578">
            <v>13.2</v>
          </cell>
          <cell r="AS578">
            <v>5.33</v>
          </cell>
          <cell r="AT578">
            <v>3.3</v>
          </cell>
          <cell r="AU578">
            <v>1.66</v>
          </cell>
        </row>
        <row r="579">
          <cell r="C579" t="str">
            <v>2L4X4X5/16X3/8</v>
          </cell>
          <cell r="D579" t="str">
            <v>F</v>
          </cell>
          <cell r="E579">
            <v>16.399999999999999</v>
          </cell>
          <cell r="F579">
            <v>4.8</v>
          </cell>
          <cell r="G579" t="str">
            <v>2L4X4X5/16X3/8</v>
          </cell>
          <cell r="H579">
            <v>4</v>
          </cell>
          <cell r="I579" t="str">
            <v>–</v>
          </cell>
          <cell r="J579" t="str">
            <v>–</v>
          </cell>
          <cell r="K579" t="str">
            <v>–</v>
          </cell>
          <cell r="L579" t="str">
            <v>–</v>
          </cell>
          <cell r="M579" t="str">
            <v>–</v>
          </cell>
          <cell r="N579" t="str">
            <v>–</v>
          </cell>
          <cell r="O579" t="str">
            <v>–</v>
          </cell>
          <cell r="P579">
            <v>4</v>
          </cell>
          <cell r="Q579" t="str">
            <v>–</v>
          </cell>
          <cell r="R579" t="str">
            <v>–</v>
          </cell>
          <cell r="S579" t="str">
            <v>–</v>
          </cell>
          <cell r="T579" t="str">
            <v>–</v>
          </cell>
          <cell r="U579" t="str">
            <v>–</v>
          </cell>
          <cell r="V579" t="str">
            <v>–</v>
          </cell>
          <cell r="W579">
            <v>0.313</v>
          </cell>
          <cell r="X579" t="str">
            <v>–</v>
          </cell>
          <cell r="Y579" t="str">
            <v>–</v>
          </cell>
          <cell r="Z579" t="str">
            <v>–</v>
          </cell>
          <cell r="AA579" t="str">
            <v>–</v>
          </cell>
          <cell r="AB579" t="str">
            <v>–</v>
          </cell>
          <cell r="AC579" t="str">
            <v>–</v>
          </cell>
          <cell r="AD579">
            <v>1.1100000000000001</v>
          </cell>
          <cell r="AE579" t="str">
            <v>–</v>
          </cell>
          <cell r="AF579" t="str">
            <v>–</v>
          </cell>
          <cell r="AG579">
            <v>0.3</v>
          </cell>
          <cell r="AH579" t="str">
            <v>–</v>
          </cell>
          <cell r="AI579">
            <v>12.8</v>
          </cell>
          <cell r="AJ579" t="str">
            <v>–</v>
          </cell>
          <cell r="AK579" t="str">
            <v>–</v>
          </cell>
          <cell r="AL579" t="str">
            <v>–</v>
          </cell>
          <cell r="AM579" t="str">
            <v>–</v>
          </cell>
          <cell r="AN579">
            <v>7.34</v>
          </cell>
          <cell r="AO579">
            <v>4.5199999999999996</v>
          </cell>
          <cell r="AP579">
            <v>2.54</v>
          </cell>
          <cell r="AQ579">
            <v>1.24</v>
          </cell>
          <cell r="AR579">
            <v>15.4</v>
          </cell>
          <cell r="AS579">
            <v>6.23</v>
          </cell>
          <cell r="AT579">
            <v>3.68</v>
          </cell>
          <cell r="AU579">
            <v>1.79</v>
          </cell>
        </row>
        <row r="580">
          <cell r="C580" t="str">
            <v>2L4X4X5/16X3/4</v>
          </cell>
          <cell r="D580" t="str">
            <v>F</v>
          </cell>
          <cell r="E580">
            <v>16.399999999999999</v>
          </cell>
          <cell r="F580">
            <v>4.8</v>
          </cell>
          <cell r="G580" t="str">
            <v>2L4X4X5/16X3/4</v>
          </cell>
          <cell r="H580">
            <v>4</v>
          </cell>
          <cell r="I580" t="str">
            <v>–</v>
          </cell>
          <cell r="J580" t="str">
            <v>–</v>
          </cell>
          <cell r="K580" t="str">
            <v>–</v>
          </cell>
          <cell r="L580" t="str">
            <v>–</v>
          </cell>
          <cell r="M580" t="str">
            <v>–</v>
          </cell>
          <cell r="N580" t="str">
            <v>–</v>
          </cell>
          <cell r="O580" t="str">
            <v>–</v>
          </cell>
          <cell r="P580">
            <v>4</v>
          </cell>
          <cell r="Q580" t="str">
            <v>–</v>
          </cell>
          <cell r="R580" t="str">
            <v>–</v>
          </cell>
          <cell r="S580" t="str">
            <v>–</v>
          </cell>
          <cell r="T580" t="str">
            <v>–</v>
          </cell>
          <cell r="U580" t="str">
            <v>–</v>
          </cell>
          <cell r="V580" t="str">
            <v>–</v>
          </cell>
          <cell r="W580">
            <v>0.313</v>
          </cell>
          <cell r="X580" t="str">
            <v>–</v>
          </cell>
          <cell r="Y580" t="str">
            <v>–</v>
          </cell>
          <cell r="Z580" t="str">
            <v>–</v>
          </cell>
          <cell r="AA580" t="str">
            <v>–</v>
          </cell>
          <cell r="AB580" t="str">
            <v>–</v>
          </cell>
          <cell r="AC580" t="str">
            <v>–</v>
          </cell>
          <cell r="AD580">
            <v>1.1100000000000001</v>
          </cell>
          <cell r="AE580" t="str">
            <v>–</v>
          </cell>
          <cell r="AF580" t="str">
            <v>–</v>
          </cell>
          <cell r="AG580">
            <v>0.3</v>
          </cell>
          <cell r="AH580" t="str">
            <v>–</v>
          </cell>
          <cell r="AI580">
            <v>12.8</v>
          </cell>
          <cell r="AJ580" t="str">
            <v>–</v>
          </cell>
          <cell r="AK580" t="str">
            <v>–</v>
          </cell>
          <cell r="AL580" t="str">
            <v>–</v>
          </cell>
          <cell r="AM580" t="str">
            <v>–</v>
          </cell>
          <cell r="AN580">
            <v>7.34</v>
          </cell>
          <cell r="AO580">
            <v>4.5199999999999996</v>
          </cell>
          <cell r="AP580">
            <v>2.54</v>
          </cell>
          <cell r="AQ580">
            <v>1.24</v>
          </cell>
          <cell r="AR580">
            <v>17.899999999999999</v>
          </cell>
          <cell r="AS580">
            <v>7.13</v>
          </cell>
          <cell r="AT580">
            <v>4.09</v>
          </cell>
          <cell r="AU580">
            <v>1.93</v>
          </cell>
        </row>
        <row r="581">
          <cell r="C581" t="str">
            <v>2L4X4X1/4</v>
          </cell>
          <cell r="D581" t="str">
            <v>F</v>
          </cell>
          <cell r="E581">
            <v>13.2</v>
          </cell>
          <cell r="F581">
            <v>3.86</v>
          </cell>
          <cell r="G581" t="str">
            <v>2L4X4X1/4</v>
          </cell>
          <cell r="H581">
            <v>4</v>
          </cell>
          <cell r="I581" t="str">
            <v>–</v>
          </cell>
          <cell r="J581" t="str">
            <v>–</v>
          </cell>
          <cell r="K581" t="str">
            <v>–</v>
          </cell>
          <cell r="L581" t="str">
            <v>–</v>
          </cell>
          <cell r="M581" t="str">
            <v>–</v>
          </cell>
          <cell r="N581" t="str">
            <v>–</v>
          </cell>
          <cell r="O581" t="str">
            <v>–</v>
          </cell>
          <cell r="P581">
            <v>4</v>
          </cell>
          <cell r="Q581" t="str">
            <v>–</v>
          </cell>
          <cell r="R581" t="str">
            <v>–</v>
          </cell>
          <cell r="S581" t="str">
            <v>–</v>
          </cell>
          <cell r="T581" t="str">
            <v>–</v>
          </cell>
          <cell r="U581" t="str">
            <v>–</v>
          </cell>
          <cell r="V581" t="str">
            <v>–</v>
          </cell>
          <cell r="W581">
            <v>0.25</v>
          </cell>
          <cell r="X581" t="str">
            <v>–</v>
          </cell>
          <cell r="Y581" t="str">
            <v>–</v>
          </cell>
          <cell r="Z581" t="str">
            <v>–</v>
          </cell>
          <cell r="AA581" t="str">
            <v>–</v>
          </cell>
          <cell r="AB581" t="str">
            <v>–</v>
          </cell>
          <cell r="AC581" t="str">
            <v>–</v>
          </cell>
          <cell r="AD581">
            <v>1.08</v>
          </cell>
          <cell r="AE581" t="str">
            <v>–</v>
          </cell>
          <cell r="AF581" t="str">
            <v>–</v>
          </cell>
          <cell r="AG581">
            <v>0.24099999999999999</v>
          </cell>
          <cell r="AH581" t="str">
            <v>–</v>
          </cell>
          <cell r="AI581">
            <v>16</v>
          </cell>
          <cell r="AJ581" t="str">
            <v>–</v>
          </cell>
          <cell r="AK581" t="str">
            <v>–</v>
          </cell>
          <cell r="AL581" t="str">
            <v>–</v>
          </cell>
          <cell r="AM581" t="str">
            <v>–</v>
          </cell>
          <cell r="AN581">
            <v>6</v>
          </cell>
          <cell r="AO581">
            <v>3.64</v>
          </cell>
          <cell r="AP581">
            <v>2.06</v>
          </cell>
          <cell r="AQ581">
            <v>1.25</v>
          </cell>
          <cell r="AR581">
            <v>10.5</v>
          </cell>
          <cell r="AS581">
            <v>4.17</v>
          </cell>
          <cell r="AT581">
            <v>2.62</v>
          </cell>
          <cell r="AU581">
            <v>1.65</v>
          </cell>
        </row>
        <row r="582">
          <cell r="C582" t="str">
            <v>2L4X4X1/4X3/8</v>
          </cell>
          <cell r="D582" t="str">
            <v>F</v>
          </cell>
          <cell r="E582">
            <v>13.2</v>
          </cell>
          <cell r="F582">
            <v>3.86</v>
          </cell>
          <cell r="G582" t="str">
            <v>2L4X4X1/4X3/8</v>
          </cell>
          <cell r="H582">
            <v>4</v>
          </cell>
          <cell r="I582" t="str">
            <v>–</v>
          </cell>
          <cell r="J582" t="str">
            <v>–</v>
          </cell>
          <cell r="K582" t="str">
            <v>–</v>
          </cell>
          <cell r="L582" t="str">
            <v>–</v>
          </cell>
          <cell r="M582" t="str">
            <v>–</v>
          </cell>
          <cell r="N582" t="str">
            <v>–</v>
          </cell>
          <cell r="O582" t="str">
            <v>–</v>
          </cell>
          <cell r="P582">
            <v>4</v>
          </cell>
          <cell r="Q582" t="str">
            <v>–</v>
          </cell>
          <cell r="R582" t="str">
            <v>–</v>
          </cell>
          <cell r="S582" t="str">
            <v>–</v>
          </cell>
          <cell r="T582" t="str">
            <v>–</v>
          </cell>
          <cell r="U582" t="str">
            <v>–</v>
          </cell>
          <cell r="V582" t="str">
            <v>–</v>
          </cell>
          <cell r="W582">
            <v>0.25</v>
          </cell>
          <cell r="X582" t="str">
            <v>–</v>
          </cell>
          <cell r="Y582" t="str">
            <v>–</v>
          </cell>
          <cell r="Z582" t="str">
            <v>–</v>
          </cell>
          <cell r="AA582" t="str">
            <v>–</v>
          </cell>
          <cell r="AB582" t="str">
            <v>–</v>
          </cell>
          <cell r="AC582" t="str">
            <v>–</v>
          </cell>
          <cell r="AD582">
            <v>1.08</v>
          </cell>
          <cell r="AE582" t="str">
            <v>–</v>
          </cell>
          <cell r="AF582" t="str">
            <v>–</v>
          </cell>
          <cell r="AG582">
            <v>0.24099999999999999</v>
          </cell>
          <cell r="AH582" t="str">
            <v>–</v>
          </cell>
          <cell r="AI582">
            <v>16</v>
          </cell>
          <cell r="AJ582" t="str">
            <v>–</v>
          </cell>
          <cell r="AK582" t="str">
            <v>–</v>
          </cell>
          <cell r="AL582" t="str">
            <v>–</v>
          </cell>
          <cell r="AM582" t="str">
            <v>–</v>
          </cell>
          <cell r="AN582">
            <v>6</v>
          </cell>
          <cell r="AO582">
            <v>3.64</v>
          </cell>
          <cell r="AP582">
            <v>2.06</v>
          </cell>
          <cell r="AQ582">
            <v>1.25</v>
          </cell>
          <cell r="AR582">
            <v>12.2</v>
          </cell>
          <cell r="AS582">
            <v>4.8899999999999997</v>
          </cell>
          <cell r="AT582">
            <v>2.91</v>
          </cell>
          <cell r="AU582">
            <v>1.78</v>
          </cell>
        </row>
        <row r="583">
          <cell r="C583" t="str">
            <v>2L4X4X1/4X3/4</v>
          </cell>
          <cell r="D583" t="str">
            <v>F</v>
          </cell>
          <cell r="E583">
            <v>13.2</v>
          </cell>
          <cell r="F583">
            <v>3.86</v>
          </cell>
          <cell r="G583" t="str">
            <v>2L4X4X1/4X3/4</v>
          </cell>
          <cell r="H583">
            <v>4</v>
          </cell>
          <cell r="I583" t="str">
            <v>–</v>
          </cell>
          <cell r="J583" t="str">
            <v>–</v>
          </cell>
          <cell r="K583" t="str">
            <v>–</v>
          </cell>
          <cell r="L583" t="str">
            <v>–</v>
          </cell>
          <cell r="M583" t="str">
            <v>–</v>
          </cell>
          <cell r="N583" t="str">
            <v>–</v>
          </cell>
          <cell r="O583" t="str">
            <v>–</v>
          </cell>
          <cell r="P583">
            <v>4</v>
          </cell>
          <cell r="Q583" t="str">
            <v>–</v>
          </cell>
          <cell r="R583" t="str">
            <v>–</v>
          </cell>
          <cell r="S583" t="str">
            <v>–</v>
          </cell>
          <cell r="T583" t="str">
            <v>–</v>
          </cell>
          <cell r="U583" t="str">
            <v>–</v>
          </cell>
          <cell r="V583" t="str">
            <v>–</v>
          </cell>
          <cell r="W583">
            <v>0.25</v>
          </cell>
          <cell r="X583" t="str">
            <v>–</v>
          </cell>
          <cell r="Y583" t="str">
            <v>–</v>
          </cell>
          <cell r="Z583" t="str">
            <v>–</v>
          </cell>
          <cell r="AA583" t="str">
            <v>–</v>
          </cell>
          <cell r="AB583" t="str">
            <v>–</v>
          </cell>
          <cell r="AC583" t="str">
            <v>–</v>
          </cell>
          <cell r="AD583">
            <v>1.08</v>
          </cell>
          <cell r="AE583" t="str">
            <v>–</v>
          </cell>
          <cell r="AF583" t="str">
            <v>–</v>
          </cell>
          <cell r="AG583">
            <v>0.24099999999999999</v>
          </cell>
          <cell r="AH583" t="str">
            <v>–</v>
          </cell>
          <cell r="AI583">
            <v>16</v>
          </cell>
          <cell r="AJ583" t="str">
            <v>–</v>
          </cell>
          <cell r="AK583" t="str">
            <v>–</v>
          </cell>
          <cell r="AL583" t="str">
            <v>–</v>
          </cell>
          <cell r="AM583" t="str">
            <v>–</v>
          </cell>
          <cell r="AN583">
            <v>6</v>
          </cell>
          <cell r="AO583">
            <v>3.64</v>
          </cell>
          <cell r="AP583">
            <v>2.06</v>
          </cell>
          <cell r="AQ583">
            <v>1.25</v>
          </cell>
          <cell r="AR583">
            <v>14.1</v>
          </cell>
          <cell r="AS583">
            <v>5.62</v>
          </cell>
          <cell r="AT583">
            <v>3.22</v>
          </cell>
          <cell r="AU583">
            <v>1.91</v>
          </cell>
        </row>
        <row r="584">
          <cell r="C584" t="str">
            <v>2L3-1/2X3-1/2X1/2</v>
          </cell>
          <cell r="D584" t="str">
            <v>F</v>
          </cell>
          <cell r="E584">
            <v>22.2</v>
          </cell>
          <cell r="F584">
            <v>6.5</v>
          </cell>
          <cell r="G584" t="str">
            <v>2L3-1/2X3-1/2X1/2</v>
          </cell>
          <cell r="H584">
            <v>3.5</v>
          </cell>
          <cell r="I584" t="str">
            <v>–</v>
          </cell>
          <cell r="J584" t="str">
            <v>–</v>
          </cell>
          <cell r="K584" t="str">
            <v>–</v>
          </cell>
          <cell r="L584" t="str">
            <v>–</v>
          </cell>
          <cell r="M584" t="str">
            <v>–</v>
          </cell>
          <cell r="N584" t="str">
            <v>–</v>
          </cell>
          <cell r="O584" t="str">
            <v>–</v>
          </cell>
          <cell r="P584">
            <v>3.5</v>
          </cell>
          <cell r="Q584" t="str">
            <v>–</v>
          </cell>
          <cell r="R584" t="str">
            <v>–</v>
          </cell>
          <cell r="S584" t="str">
            <v>–</v>
          </cell>
          <cell r="T584" t="str">
            <v>–</v>
          </cell>
          <cell r="U584" t="str">
            <v>–</v>
          </cell>
          <cell r="V584" t="str">
            <v>–</v>
          </cell>
          <cell r="W584">
            <v>0.5</v>
          </cell>
          <cell r="X584" t="str">
            <v>–</v>
          </cell>
          <cell r="Y584" t="str">
            <v>–</v>
          </cell>
          <cell r="Z584" t="str">
            <v>–</v>
          </cell>
          <cell r="AA584" t="str">
            <v>–</v>
          </cell>
          <cell r="AB584" t="str">
            <v>–</v>
          </cell>
          <cell r="AC584" t="str">
            <v>–</v>
          </cell>
          <cell r="AD584">
            <v>1.05</v>
          </cell>
          <cell r="AE584" t="str">
            <v>–</v>
          </cell>
          <cell r="AF584" t="str">
            <v>–</v>
          </cell>
          <cell r="AG584">
            <v>0.46400000000000002</v>
          </cell>
          <cell r="AH584" t="str">
            <v>–</v>
          </cell>
          <cell r="AI584">
            <v>7</v>
          </cell>
          <cell r="AJ584" t="str">
            <v>–</v>
          </cell>
          <cell r="AK584" t="str">
            <v>–</v>
          </cell>
          <cell r="AL584" t="str">
            <v>–</v>
          </cell>
          <cell r="AM584" t="str">
            <v>–</v>
          </cell>
          <cell r="AN584">
            <v>7.26</v>
          </cell>
          <cell r="AO584">
            <v>5.32</v>
          </cell>
          <cell r="AP584">
            <v>2.96</v>
          </cell>
          <cell r="AQ584">
            <v>1.05</v>
          </cell>
          <cell r="AR584">
            <v>14.4</v>
          </cell>
          <cell r="AS584">
            <v>6.82</v>
          </cell>
          <cell r="AT584">
            <v>4.1100000000000003</v>
          </cell>
          <cell r="AU584">
            <v>1.49</v>
          </cell>
        </row>
        <row r="585">
          <cell r="C585" t="str">
            <v>2L3-1/2X3-1/2X1/2X3/8</v>
          </cell>
          <cell r="D585" t="str">
            <v>F</v>
          </cell>
          <cell r="E585">
            <v>22.2</v>
          </cell>
          <cell r="F585">
            <v>6.5</v>
          </cell>
          <cell r="G585" t="str">
            <v>2L3-1/2X3-1/2X1/2X3/8</v>
          </cell>
          <cell r="H585">
            <v>3.5</v>
          </cell>
          <cell r="I585" t="str">
            <v>–</v>
          </cell>
          <cell r="J585" t="str">
            <v>–</v>
          </cell>
          <cell r="K585" t="str">
            <v>–</v>
          </cell>
          <cell r="L585" t="str">
            <v>–</v>
          </cell>
          <cell r="M585" t="str">
            <v>–</v>
          </cell>
          <cell r="N585" t="str">
            <v>–</v>
          </cell>
          <cell r="O585" t="str">
            <v>–</v>
          </cell>
          <cell r="P585">
            <v>3.5</v>
          </cell>
          <cell r="Q585" t="str">
            <v>–</v>
          </cell>
          <cell r="R585" t="str">
            <v>–</v>
          </cell>
          <cell r="S585" t="str">
            <v>–</v>
          </cell>
          <cell r="T585" t="str">
            <v>–</v>
          </cell>
          <cell r="U585" t="str">
            <v>–</v>
          </cell>
          <cell r="V585" t="str">
            <v>–</v>
          </cell>
          <cell r="W585">
            <v>0.5</v>
          </cell>
          <cell r="X585" t="str">
            <v>–</v>
          </cell>
          <cell r="Y585" t="str">
            <v>–</v>
          </cell>
          <cell r="Z585" t="str">
            <v>–</v>
          </cell>
          <cell r="AA585" t="str">
            <v>–</v>
          </cell>
          <cell r="AB585" t="str">
            <v>–</v>
          </cell>
          <cell r="AC585" t="str">
            <v>–</v>
          </cell>
          <cell r="AD585">
            <v>1.05</v>
          </cell>
          <cell r="AE585" t="str">
            <v>–</v>
          </cell>
          <cell r="AF585" t="str">
            <v>–</v>
          </cell>
          <cell r="AG585">
            <v>0.46400000000000002</v>
          </cell>
          <cell r="AH585" t="str">
            <v>–</v>
          </cell>
          <cell r="AI585">
            <v>7</v>
          </cell>
          <cell r="AJ585" t="str">
            <v>–</v>
          </cell>
          <cell r="AK585" t="str">
            <v>–</v>
          </cell>
          <cell r="AL585" t="str">
            <v>–</v>
          </cell>
          <cell r="AM585" t="str">
            <v>–</v>
          </cell>
          <cell r="AN585">
            <v>7.26</v>
          </cell>
          <cell r="AO585">
            <v>5.32</v>
          </cell>
          <cell r="AP585">
            <v>2.96</v>
          </cell>
          <cell r="AQ585">
            <v>1.05</v>
          </cell>
          <cell r="AR585">
            <v>17.3</v>
          </cell>
          <cell r="AS585">
            <v>8.0399999999999991</v>
          </cell>
          <cell r="AT585">
            <v>4.6900000000000004</v>
          </cell>
          <cell r="AU585">
            <v>1.63</v>
          </cell>
        </row>
        <row r="586">
          <cell r="C586" t="str">
            <v>2L3-1/2X3-1/2X1/2X3/4</v>
          </cell>
          <cell r="D586" t="str">
            <v>F</v>
          </cell>
          <cell r="E586">
            <v>22.2</v>
          </cell>
          <cell r="F586">
            <v>6.5</v>
          </cell>
          <cell r="G586" t="str">
            <v>2L3-1/2X3-1/2X1/2X3/4</v>
          </cell>
          <cell r="H586">
            <v>3.5</v>
          </cell>
          <cell r="I586" t="str">
            <v>–</v>
          </cell>
          <cell r="J586" t="str">
            <v>–</v>
          </cell>
          <cell r="K586" t="str">
            <v>–</v>
          </cell>
          <cell r="L586" t="str">
            <v>–</v>
          </cell>
          <cell r="M586" t="str">
            <v>–</v>
          </cell>
          <cell r="N586" t="str">
            <v>–</v>
          </cell>
          <cell r="O586" t="str">
            <v>–</v>
          </cell>
          <cell r="P586">
            <v>3.5</v>
          </cell>
          <cell r="Q586" t="str">
            <v>–</v>
          </cell>
          <cell r="R586" t="str">
            <v>–</v>
          </cell>
          <cell r="S586" t="str">
            <v>–</v>
          </cell>
          <cell r="T586" t="str">
            <v>–</v>
          </cell>
          <cell r="U586" t="str">
            <v>–</v>
          </cell>
          <cell r="V586" t="str">
            <v>–</v>
          </cell>
          <cell r="W586">
            <v>0.5</v>
          </cell>
          <cell r="X586" t="str">
            <v>–</v>
          </cell>
          <cell r="Y586" t="str">
            <v>–</v>
          </cell>
          <cell r="Z586" t="str">
            <v>–</v>
          </cell>
          <cell r="AA586" t="str">
            <v>–</v>
          </cell>
          <cell r="AB586" t="str">
            <v>–</v>
          </cell>
          <cell r="AC586" t="str">
            <v>–</v>
          </cell>
          <cell r="AD586">
            <v>1.05</v>
          </cell>
          <cell r="AE586" t="str">
            <v>–</v>
          </cell>
          <cell r="AF586" t="str">
            <v>–</v>
          </cell>
          <cell r="AG586">
            <v>0.46400000000000002</v>
          </cell>
          <cell r="AH586" t="str">
            <v>–</v>
          </cell>
          <cell r="AI586">
            <v>7</v>
          </cell>
          <cell r="AJ586" t="str">
            <v>–</v>
          </cell>
          <cell r="AK586" t="str">
            <v>–</v>
          </cell>
          <cell r="AL586" t="str">
            <v>–</v>
          </cell>
          <cell r="AM586" t="str">
            <v>–</v>
          </cell>
          <cell r="AN586">
            <v>7.26</v>
          </cell>
          <cell r="AO586">
            <v>5.32</v>
          </cell>
          <cell r="AP586">
            <v>2.96</v>
          </cell>
          <cell r="AQ586">
            <v>1.05</v>
          </cell>
          <cell r="AR586">
            <v>20.399999999999999</v>
          </cell>
          <cell r="AS586">
            <v>9.26</v>
          </cell>
          <cell r="AT586">
            <v>5.26</v>
          </cell>
          <cell r="AU586">
            <v>1.77</v>
          </cell>
        </row>
        <row r="587">
          <cell r="C587" t="str">
            <v>2L3-1/2X3-1/2X7/16</v>
          </cell>
          <cell r="D587" t="str">
            <v>F</v>
          </cell>
          <cell r="E587">
            <v>19.600000000000001</v>
          </cell>
          <cell r="F587">
            <v>5.78</v>
          </cell>
          <cell r="G587" t="str">
            <v>2L3-1/2X3-1/2X7/16</v>
          </cell>
          <cell r="H587">
            <v>3.5</v>
          </cell>
          <cell r="I587" t="str">
            <v>–</v>
          </cell>
          <cell r="J587" t="str">
            <v>–</v>
          </cell>
          <cell r="K587" t="str">
            <v>–</v>
          </cell>
          <cell r="L587" t="str">
            <v>–</v>
          </cell>
          <cell r="M587" t="str">
            <v>–</v>
          </cell>
          <cell r="N587" t="str">
            <v>–</v>
          </cell>
          <cell r="O587" t="str">
            <v>–</v>
          </cell>
          <cell r="P587">
            <v>3.5</v>
          </cell>
          <cell r="Q587" t="str">
            <v>–</v>
          </cell>
          <cell r="R587" t="str">
            <v>–</v>
          </cell>
          <cell r="S587" t="str">
            <v>–</v>
          </cell>
          <cell r="T587" t="str">
            <v>–</v>
          </cell>
          <cell r="U587" t="str">
            <v>–</v>
          </cell>
          <cell r="V587" t="str">
            <v>–</v>
          </cell>
          <cell r="W587">
            <v>0.438</v>
          </cell>
          <cell r="X587" t="str">
            <v>–</v>
          </cell>
          <cell r="Y587" t="str">
            <v>–</v>
          </cell>
          <cell r="Z587" t="str">
            <v>–</v>
          </cell>
          <cell r="AA587" t="str">
            <v>–</v>
          </cell>
          <cell r="AB587" t="str">
            <v>–</v>
          </cell>
          <cell r="AC587" t="str">
            <v>–</v>
          </cell>
          <cell r="AD587">
            <v>1.03</v>
          </cell>
          <cell r="AE587" t="str">
            <v>–</v>
          </cell>
          <cell r="AF587" t="str">
            <v>–</v>
          </cell>
          <cell r="AG587">
            <v>0.41299999999999998</v>
          </cell>
          <cell r="AH587" t="str">
            <v>–</v>
          </cell>
          <cell r="AI587">
            <v>7.99</v>
          </cell>
          <cell r="AJ587" t="str">
            <v>–</v>
          </cell>
          <cell r="AK587" t="str">
            <v>–</v>
          </cell>
          <cell r="AL587" t="str">
            <v>–</v>
          </cell>
          <cell r="AM587" t="str">
            <v>–</v>
          </cell>
          <cell r="AN587">
            <v>6.5</v>
          </cell>
          <cell r="AO587">
            <v>4.72</v>
          </cell>
          <cell r="AP587">
            <v>2.64</v>
          </cell>
          <cell r="AQ587">
            <v>1.06</v>
          </cell>
          <cell r="AR587">
            <v>12.7</v>
          </cell>
          <cell r="AS587">
            <v>5.95</v>
          </cell>
          <cell r="AT587">
            <v>3.63</v>
          </cell>
          <cell r="AU587">
            <v>1.48</v>
          </cell>
        </row>
        <row r="588">
          <cell r="C588" t="str">
            <v>2L3-1/2X3-1/2X7/16X3/8</v>
          </cell>
          <cell r="D588" t="str">
            <v>F</v>
          </cell>
          <cell r="E588">
            <v>19.600000000000001</v>
          </cell>
          <cell r="F588">
            <v>5.78</v>
          </cell>
          <cell r="G588" t="str">
            <v>2L3-1/2X3-1/2X7/16X3/8</v>
          </cell>
          <cell r="H588">
            <v>3.5</v>
          </cell>
          <cell r="I588" t="str">
            <v>–</v>
          </cell>
          <cell r="J588" t="str">
            <v>–</v>
          </cell>
          <cell r="K588" t="str">
            <v>–</v>
          </cell>
          <cell r="L588" t="str">
            <v>–</v>
          </cell>
          <cell r="M588" t="str">
            <v>–</v>
          </cell>
          <cell r="N588" t="str">
            <v>–</v>
          </cell>
          <cell r="O588" t="str">
            <v>–</v>
          </cell>
          <cell r="P588">
            <v>3.5</v>
          </cell>
          <cell r="Q588" t="str">
            <v>–</v>
          </cell>
          <cell r="R588" t="str">
            <v>–</v>
          </cell>
          <cell r="S588" t="str">
            <v>–</v>
          </cell>
          <cell r="T588" t="str">
            <v>–</v>
          </cell>
          <cell r="U588" t="str">
            <v>–</v>
          </cell>
          <cell r="V588" t="str">
            <v>–</v>
          </cell>
          <cell r="W588">
            <v>0.438</v>
          </cell>
          <cell r="X588" t="str">
            <v>–</v>
          </cell>
          <cell r="Y588" t="str">
            <v>–</v>
          </cell>
          <cell r="Z588" t="str">
            <v>–</v>
          </cell>
          <cell r="AA588" t="str">
            <v>–</v>
          </cell>
          <cell r="AB588" t="str">
            <v>–</v>
          </cell>
          <cell r="AC588" t="str">
            <v>–</v>
          </cell>
          <cell r="AD588">
            <v>1.03</v>
          </cell>
          <cell r="AE588" t="str">
            <v>–</v>
          </cell>
          <cell r="AF588" t="str">
            <v>–</v>
          </cell>
          <cell r="AG588">
            <v>0.41299999999999998</v>
          </cell>
          <cell r="AH588" t="str">
            <v>–</v>
          </cell>
          <cell r="AI588">
            <v>7.99</v>
          </cell>
          <cell r="AJ588" t="str">
            <v>–</v>
          </cell>
          <cell r="AK588" t="str">
            <v>–</v>
          </cell>
          <cell r="AL588" t="str">
            <v>–</v>
          </cell>
          <cell r="AM588" t="str">
            <v>–</v>
          </cell>
          <cell r="AN588">
            <v>6.5</v>
          </cell>
          <cell r="AO588">
            <v>4.72</v>
          </cell>
          <cell r="AP588">
            <v>2.64</v>
          </cell>
          <cell r="AQ588">
            <v>1.06</v>
          </cell>
          <cell r="AR588">
            <v>15</v>
          </cell>
          <cell r="AS588">
            <v>7.04</v>
          </cell>
          <cell r="AT588">
            <v>4.07</v>
          </cell>
          <cell r="AU588">
            <v>1.61</v>
          </cell>
        </row>
        <row r="589">
          <cell r="C589" t="str">
            <v>2L3-1/2X3-1/2X7/16X3/4</v>
          </cell>
          <cell r="D589" t="str">
            <v>F</v>
          </cell>
          <cell r="E589">
            <v>19.600000000000001</v>
          </cell>
          <cell r="F589">
            <v>5.78</v>
          </cell>
          <cell r="G589" t="str">
            <v>2L3-1/2X3-1/2X7/16X3/4</v>
          </cell>
          <cell r="H589">
            <v>3.5</v>
          </cell>
          <cell r="I589" t="str">
            <v>–</v>
          </cell>
          <cell r="J589" t="str">
            <v>–</v>
          </cell>
          <cell r="K589" t="str">
            <v>–</v>
          </cell>
          <cell r="L589" t="str">
            <v>–</v>
          </cell>
          <cell r="M589" t="str">
            <v>–</v>
          </cell>
          <cell r="N589" t="str">
            <v>–</v>
          </cell>
          <cell r="O589" t="str">
            <v>–</v>
          </cell>
          <cell r="P589">
            <v>3.5</v>
          </cell>
          <cell r="Q589" t="str">
            <v>–</v>
          </cell>
          <cell r="R589" t="str">
            <v>–</v>
          </cell>
          <cell r="S589" t="str">
            <v>–</v>
          </cell>
          <cell r="T589" t="str">
            <v>–</v>
          </cell>
          <cell r="U589" t="str">
            <v>–</v>
          </cell>
          <cell r="V589" t="str">
            <v>–</v>
          </cell>
          <cell r="W589">
            <v>0.438</v>
          </cell>
          <cell r="X589" t="str">
            <v>–</v>
          </cell>
          <cell r="Y589" t="str">
            <v>–</v>
          </cell>
          <cell r="Z589" t="str">
            <v>–</v>
          </cell>
          <cell r="AA589" t="str">
            <v>–</v>
          </cell>
          <cell r="AB589" t="str">
            <v>–</v>
          </cell>
          <cell r="AC589" t="str">
            <v>–</v>
          </cell>
          <cell r="AD589">
            <v>1.03</v>
          </cell>
          <cell r="AE589" t="str">
            <v>–</v>
          </cell>
          <cell r="AF589" t="str">
            <v>–</v>
          </cell>
          <cell r="AG589">
            <v>0.41299999999999998</v>
          </cell>
          <cell r="AH589" t="str">
            <v>–</v>
          </cell>
          <cell r="AI589">
            <v>7.99</v>
          </cell>
          <cell r="AJ589" t="str">
            <v>–</v>
          </cell>
          <cell r="AK589" t="str">
            <v>–</v>
          </cell>
          <cell r="AL589" t="str">
            <v>–</v>
          </cell>
          <cell r="AM589" t="str">
            <v>–</v>
          </cell>
          <cell r="AN589">
            <v>6.5</v>
          </cell>
          <cell r="AO589">
            <v>4.72</v>
          </cell>
          <cell r="AP589">
            <v>2.64</v>
          </cell>
          <cell r="AQ589">
            <v>1.06</v>
          </cell>
          <cell r="AR589">
            <v>17.899999999999999</v>
          </cell>
          <cell r="AS589">
            <v>8.1199999999999992</v>
          </cell>
          <cell r="AT589">
            <v>4.62</v>
          </cell>
          <cell r="AU589">
            <v>1.76</v>
          </cell>
        </row>
        <row r="590">
          <cell r="C590" t="str">
            <v>2L3-1/2X3-1/2X3/8</v>
          </cell>
          <cell r="D590" t="str">
            <v>F</v>
          </cell>
          <cell r="E590">
            <v>17</v>
          </cell>
          <cell r="F590">
            <v>5</v>
          </cell>
          <cell r="G590" t="str">
            <v>2L3-1/2X3-1/2X3/8</v>
          </cell>
          <cell r="H590">
            <v>3.5</v>
          </cell>
          <cell r="I590" t="str">
            <v>–</v>
          </cell>
          <cell r="J590" t="str">
            <v>–</v>
          </cell>
          <cell r="K590" t="str">
            <v>–</v>
          </cell>
          <cell r="L590" t="str">
            <v>–</v>
          </cell>
          <cell r="M590" t="str">
            <v>–</v>
          </cell>
          <cell r="N590" t="str">
            <v>–</v>
          </cell>
          <cell r="O590" t="str">
            <v>–</v>
          </cell>
          <cell r="P590">
            <v>3.5</v>
          </cell>
          <cell r="Q590" t="str">
            <v>–</v>
          </cell>
          <cell r="R590" t="str">
            <v>–</v>
          </cell>
          <cell r="S590" t="str">
            <v>–</v>
          </cell>
          <cell r="T590" t="str">
            <v>–</v>
          </cell>
          <cell r="U590" t="str">
            <v>–</v>
          </cell>
          <cell r="V590" t="str">
            <v>–</v>
          </cell>
          <cell r="W590">
            <v>0.375</v>
          </cell>
          <cell r="X590" t="str">
            <v>–</v>
          </cell>
          <cell r="Y590" t="str">
            <v>–</v>
          </cell>
          <cell r="Z590" t="str">
            <v>–</v>
          </cell>
          <cell r="AA590" t="str">
            <v>–</v>
          </cell>
          <cell r="AB590" t="str">
            <v>–</v>
          </cell>
          <cell r="AC590" t="str">
            <v>–</v>
          </cell>
          <cell r="AD590">
            <v>1</v>
          </cell>
          <cell r="AE590" t="str">
            <v>–</v>
          </cell>
          <cell r="AF590" t="str">
            <v>–</v>
          </cell>
          <cell r="AG590">
            <v>0.35699999999999998</v>
          </cell>
          <cell r="AH590" t="str">
            <v>–</v>
          </cell>
          <cell r="AI590">
            <v>9.33</v>
          </cell>
          <cell r="AJ590" t="str">
            <v>–</v>
          </cell>
          <cell r="AK590" t="str">
            <v>–</v>
          </cell>
          <cell r="AL590" t="str">
            <v>–</v>
          </cell>
          <cell r="AM590" t="str">
            <v>–</v>
          </cell>
          <cell r="AN590">
            <v>5.72</v>
          </cell>
          <cell r="AO590">
            <v>4.12</v>
          </cell>
          <cell r="AP590">
            <v>2.2999999999999998</v>
          </cell>
          <cell r="AQ590">
            <v>1.07</v>
          </cell>
          <cell r="AR590">
            <v>10.8</v>
          </cell>
          <cell r="AS590">
            <v>5</v>
          </cell>
          <cell r="AT590">
            <v>3.09</v>
          </cell>
          <cell r="AU590">
            <v>1.47</v>
          </cell>
        </row>
        <row r="591">
          <cell r="C591" t="str">
            <v>2L3-1/2X3-1/2X3/8X3/8</v>
          </cell>
          <cell r="D591" t="str">
            <v>F</v>
          </cell>
          <cell r="E591">
            <v>17</v>
          </cell>
          <cell r="F591">
            <v>5</v>
          </cell>
          <cell r="G591" t="str">
            <v>2L3-1/2X3-1/2X3/8X3/8</v>
          </cell>
          <cell r="H591">
            <v>3.5</v>
          </cell>
          <cell r="I591" t="str">
            <v>–</v>
          </cell>
          <cell r="J591" t="str">
            <v>–</v>
          </cell>
          <cell r="K591" t="str">
            <v>–</v>
          </cell>
          <cell r="L591" t="str">
            <v>–</v>
          </cell>
          <cell r="M591" t="str">
            <v>–</v>
          </cell>
          <cell r="N591" t="str">
            <v>–</v>
          </cell>
          <cell r="O591" t="str">
            <v>–</v>
          </cell>
          <cell r="P591">
            <v>3.5</v>
          </cell>
          <cell r="Q591" t="str">
            <v>–</v>
          </cell>
          <cell r="R591" t="str">
            <v>–</v>
          </cell>
          <cell r="S591" t="str">
            <v>–</v>
          </cell>
          <cell r="T591" t="str">
            <v>–</v>
          </cell>
          <cell r="U591" t="str">
            <v>–</v>
          </cell>
          <cell r="V591" t="str">
            <v>–</v>
          </cell>
          <cell r="W591">
            <v>0.375</v>
          </cell>
          <cell r="X591" t="str">
            <v>–</v>
          </cell>
          <cell r="Y591" t="str">
            <v>–</v>
          </cell>
          <cell r="Z591" t="str">
            <v>–</v>
          </cell>
          <cell r="AA591" t="str">
            <v>–</v>
          </cell>
          <cell r="AB591" t="str">
            <v>–</v>
          </cell>
          <cell r="AC591" t="str">
            <v>–</v>
          </cell>
          <cell r="AD591">
            <v>1</v>
          </cell>
          <cell r="AE591" t="str">
            <v>–</v>
          </cell>
          <cell r="AF591" t="str">
            <v>–</v>
          </cell>
          <cell r="AG591">
            <v>0.35699999999999998</v>
          </cell>
          <cell r="AH591" t="str">
            <v>–</v>
          </cell>
          <cell r="AI591">
            <v>9.33</v>
          </cell>
          <cell r="AJ591" t="str">
            <v>–</v>
          </cell>
          <cell r="AK591" t="str">
            <v>–</v>
          </cell>
          <cell r="AL591" t="str">
            <v>–</v>
          </cell>
          <cell r="AM591" t="str">
            <v>–</v>
          </cell>
          <cell r="AN591">
            <v>5.72</v>
          </cell>
          <cell r="AO591">
            <v>4.12</v>
          </cell>
          <cell r="AP591">
            <v>2.2999999999999998</v>
          </cell>
          <cell r="AQ591">
            <v>1.07</v>
          </cell>
          <cell r="AR591">
            <v>12.8</v>
          </cell>
          <cell r="AS591">
            <v>5.94</v>
          </cell>
          <cell r="AT591">
            <v>3.47</v>
          </cell>
          <cell r="AU591">
            <v>1.6</v>
          </cell>
        </row>
        <row r="592">
          <cell r="C592" t="str">
            <v>2L3-1/2X3-1/2X3/8X3/4</v>
          </cell>
          <cell r="D592" t="str">
            <v>F</v>
          </cell>
          <cell r="E592">
            <v>17</v>
          </cell>
          <cell r="F592">
            <v>5</v>
          </cell>
          <cell r="G592" t="str">
            <v>2L3-1/2X3-1/2X3/8X3/4</v>
          </cell>
          <cell r="H592">
            <v>3.5</v>
          </cell>
          <cell r="I592" t="str">
            <v>–</v>
          </cell>
          <cell r="J592" t="str">
            <v>–</v>
          </cell>
          <cell r="K592" t="str">
            <v>–</v>
          </cell>
          <cell r="L592" t="str">
            <v>–</v>
          </cell>
          <cell r="M592" t="str">
            <v>–</v>
          </cell>
          <cell r="N592" t="str">
            <v>–</v>
          </cell>
          <cell r="O592" t="str">
            <v>–</v>
          </cell>
          <cell r="P592">
            <v>3.5</v>
          </cell>
          <cell r="Q592" t="str">
            <v>–</v>
          </cell>
          <cell r="R592" t="str">
            <v>–</v>
          </cell>
          <cell r="S592" t="str">
            <v>–</v>
          </cell>
          <cell r="T592" t="str">
            <v>–</v>
          </cell>
          <cell r="U592" t="str">
            <v>–</v>
          </cell>
          <cell r="V592" t="str">
            <v>–</v>
          </cell>
          <cell r="W592">
            <v>0.375</v>
          </cell>
          <cell r="X592" t="str">
            <v>–</v>
          </cell>
          <cell r="Y592" t="str">
            <v>–</v>
          </cell>
          <cell r="Z592" t="str">
            <v>–</v>
          </cell>
          <cell r="AA592" t="str">
            <v>–</v>
          </cell>
          <cell r="AB592" t="str">
            <v>–</v>
          </cell>
          <cell r="AC592" t="str">
            <v>–</v>
          </cell>
          <cell r="AD592">
            <v>1</v>
          </cell>
          <cell r="AE592" t="str">
            <v>–</v>
          </cell>
          <cell r="AF592" t="str">
            <v>–</v>
          </cell>
          <cell r="AG592">
            <v>0.35699999999999998</v>
          </cell>
          <cell r="AH592" t="str">
            <v>–</v>
          </cell>
          <cell r="AI592">
            <v>9.33</v>
          </cell>
          <cell r="AJ592" t="str">
            <v>–</v>
          </cell>
          <cell r="AK592" t="str">
            <v>–</v>
          </cell>
          <cell r="AL592" t="str">
            <v>–</v>
          </cell>
          <cell r="AM592" t="str">
            <v>–</v>
          </cell>
          <cell r="AN592">
            <v>5.72</v>
          </cell>
          <cell r="AO592">
            <v>4.12</v>
          </cell>
          <cell r="AP592">
            <v>2.2999999999999998</v>
          </cell>
          <cell r="AQ592">
            <v>1.07</v>
          </cell>
          <cell r="AR592">
            <v>15.1</v>
          </cell>
          <cell r="AS592">
            <v>6.88</v>
          </cell>
          <cell r="AT592">
            <v>3.9</v>
          </cell>
          <cell r="AU592">
            <v>1.74</v>
          </cell>
        </row>
        <row r="593">
          <cell r="C593" t="str">
            <v>2L3-1/2X3-1/2X5/16</v>
          </cell>
          <cell r="D593" t="str">
            <v>F</v>
          </cell>
          <cell r="E593">
            <v>14.4</v>
          </cell>
          <cell r="F593">
            <v>4.2</v>
          </cell>
          <cell r="G593" t="str">
            <v>2L3-1/2X3-1/2X5/16</v>
          </cell>
          <cell r="H593">
            <v>3.5</v>
          </cell>
          <cell r="I593" t="str">
            <v>–</v>
          </cell>
          <cell r="J593" t="str">
            <v>–</v>
          </cell>
          <cell r="K593" t="str">
            <v>–</v>
          </cell>
          <cell r="L593" t="str">
            <v>–</v>
          </cell>
          <cell r="M593" t="str">
            <v>–</v>
          </cell>
          <cell r="N593" t="str">
            <v>–</v>
          </cell>
          <cell r="O593" t="str">
            <v>–</v>
          </cell>
          <cell r="P593">
            <v>3.5</v>
          </cell>
          <cell r="Q593" t="str">
            <v>–</v>
          </cell>
          <cell r="R593" t="str">
            <v>–</v>
          </cell>
          <cell r="S593" t="str">
            <v>–</v>
          </cell>
          <cell r="T593" t="str">
            <v>–</v>
          </cell>
          <cell r="U593" t="str">
            <v>–</v>
          </cell>
          <cell r="V593" t="str">
            <v>–</v>
          </cell>
          <cell r="W593">
            <v>0.313</v>
          </cell>
          <cell r="X593" t="str">
            <v>–</v>
          </cell>
          <cell r="Y593" t="str">
            <v>–</v>
          </cell>
          <cell r="Z593" t="str">
            <v>–</v>
          </cell>
          <cell r="AA593" t="str">
            <v>–</v>
          </cell>
          <cell r="AB593" t="str">
            <v>–</v>
          </cell>
          <cell r="AC593" t="str">
            <v>–</v>
          </cell>
          <cell r="AD593">
            <v>0.97899999999999998</v>
          </cell>
          <cell r="AE593" t="str">
            <v>–</v>
          </cell>
          <cell r="AF593" t="str">
            <v>–</v>
          </cell>
          <cell r="AG593">
            <v>0.3</v>
          </cell>
          <cell r="AH593" t="str">
            <v>–</v>
          </cell>
          <cell r="AI593">
            <v>11.2</v>
          </cell>
          <cell r="AJ593" t="str">
            <v>–</v>
          </cell>
          <cell r="AK593" t="str">
            <v>–</v>
          </cell>
          <cell r="AL593" t="str">
            <v>–</v>
          </cell>
          <cell r="AM593" t="str">
            <v>–</v>
          </cell>
          <cell r="AN593">
            <v>4.88</v>
          </cell>
          <cell r="AO593">
            <v>3.48</v>
          </cell>
          <cell r="AP593">
            <v>1.94</v>
          </cell>
          <cell r="AQ593">
            <v>1.08</v>
          </cell>
          <cell r="AR593">
            <v>8.9499999999999993</v>
          </cell>
          <cell r="AS593">
            <v>4.1100000000000003</v>
          </cell>
          <cell r="AT593">
            <v>2.56</v>
          </cell>
          <cell r="AU593">
            <v>1.46</v>
          </cell>
        </row>
        <row r="594">
          <cell r="C594" t="str">
            <v>2L3-1/2X3-1/2X5/16X3/8</v>
          </cell>
          <cell r="D594" t="str">
            <v>F</v>
          </cell>
          <cell r="E594">
            <v>14.4</v>
          </cell>
          <cell r="F594">
            <v>4.2</v>
          </cell>
          <cell r="G594" t="str">
            <v>2L3-1/2X3-1/2X5/16X3/8</v>
          </cell>
          <cell r="H594">
            <v>3.5</v>
          </cell>
          <cell r="I594" t="str">
            <v>–</v>
          </cell>
          <cell r="J594" t="str">
            <v>–</v>
          </cell>
          <cell r="K594" t="str">
            <v>–</v>
          </cell>
          <cell r="L594" t="str">
            <v>–</v>
          </cell>
          <cell r="M594" t="str">
            <v>–</v>
          </cell>
          <cell r="N594" t="str">
            <v>–</v>
          </cell>
          <cell r="O594" t="str">
            <v>–</v>
          </cell>
          <cell r="P594">
            <v>3.5</v>
          </cell>
          <cell r="Q594" t="str">
            <v>–</v>
          </cell>
          <cell r="R594" t="str">
            <v>–</v>
          </cell>
          <cell r="S594" t="str">
            <v>–</v>
          </cell>
          <cell r="T594" t="str">
            <v>–</v>
          </cell>
          <cell r="U594" t="str">
            <v>–</v>
          </cell>
          <cell r="V594" t="str">
            <v>–</v>
          </cell>
          <cell r="W594">
            <v>0.313</v>
          </cell>
          <cell r="X594" t="str">
            <v>–</v>
          </cell>
          <cell r="Y594" t="str">
            <v>–</v>
          </cell>
          <cell r="Z594" t="str">
            <v>–</v>
          </cell>
          <cell r="AA594" t="str">
            <v>–</v>
          </cell>
          <cell r="AB594" t="str">
            <v>–</v>
          </cell>
          <cell r="AC594" t="str">
            <v>–</v>
          </cell>
          <cell r="AD594">
            <v>0.97899999999999998</v>
          </cell>
          <cell r="AE594" t="str">
            <v>–</v>
          </cell>
          <cell r="AF594" t="str">
            <v>–</v>
          </cell>
          <cell r="AG594">
            <v>0.3</v>
          </cell>
          <cell r="AH594" t="str">
            <v>–</v>
          </cell>
          <cell r="AI594">
            <v>11.2</v>
          </cell>
          <cell r="AJ594" t="str">
            <v>–</v>
          </cell>
          <cell r="AK594" t="str">
            <v>–</v>
          </cell>
          <cell r="AL594" t="str">
            <v>–</v>
          </cell>
          <cell r="AM594" t="str">
            <v>–</v>
          </cell>
          <cell r="AN594">
            <v>4.88</v>
          </cell>
          <cell r="AO594">
            <v>3.48</v>
          </cell>
          <cell r="AP594">
            <v>1.94</v>
          </cell>
          <cell r="AQ594">
            <v>1.08</v>
          </cell>
          <cell r="AR594">
            <v>10.6</v>
          </cell>
          <cell r="AS594">
            <v>4.9000000000000004</v>
          </cell>
          <cell r="AT594">
            <v>2.87</v>
          </cell>
          <cell r="AU594">
            <v>1.59</v>
          </cell>
        </row>
        <row r="595">
          <cell r="C595" t="str">
            <v>2L3-1/2X3-1/2X5/16X3/4</v>
          </cell>
          <cell r="D595" t="str">
            <v>F</v>
          </cell>
          <cell r="E595">
            <v>14.4</v>
          </cell>
          <cell r="F595">
            <v>4.2</v>
          </cell>
          <cell r="G595" t="str">
            <v>2L3-1/2X3-1/2X5/16X3/4</v>
          </cell>
          <cell r="H595">
            <v>3.5</v>
          </cell>
          <cell r="I595" t="str">
            <v>–</v>
          </cell>
          <cell r="J595" t="str">
            <v>–</v>
          </cell>
          <cell r="K595" t="str">
            <v>–</v>
          </cell>
          <cell r="L595" t="str">
            <v>–</v>
          </cell>
          <cell r="M595" t="str">
            <v>–</v>
          </cell>
          <cell r="N595" t="str">
            <v>–</v>
          </cell>
          <cell r="O595" t="str">
            <v>–</v>
          </cell>
          <cell r="P595">
            <v>3.5</v>
          </cell>
          <cell r="Q595" t="str">
            <v>–</v>
          </cell>
          <cell r="R595" t="str">
            <v>–</v>
          </cell>
          <cell r="S595" t="str">
            <v>–</v>
          </cell>
          <cell r="T595" t="str">
            <v>–</v>
          </cell>
          <cell r="U595" t="str">
            <v>–</v>
          </cell>
          <cell r="V595" t="str">
            <v>–</v>
          </cell>
          <cell r="W595">
            <v>0.313</v>
          </cell>
          <cell r="X595" t="str">
            <v>–</v>
          </cell>
          <cell r="Y595" t="str">
            <v>–</v>
          </cell>
          <cell r="Z595" t="str">
            <v>–</v>
          </cell>
          <cell r="AA595" t="str">
            <v>–</v>
          </cell>
          <cell r="AB595" t="str">
            <v>–</v>
          </cell>
          <cell r="AC595" t="str">
            <v>–</v>
          </cell>
          <cell r="AD595">
            <v>0.97899999999999998</v>
          </cell>
          <cell r="AE595" t="str">
            <v>–</v>
          </cell>
          <cell r="AF595" t="str">
            <v>–</v>
          </cell>
          <cell r="AG595">
            <v>0.3</v>
          </cell>
          <cell r="AH595" t="str">
            <v>–</v>
          </cell>
          <cell r="AI595">
            <v>11.2</v>
          </cell>
          <cell r="AJ595" t="str">
            <v>–</v>
          </cell>
          <cell r="AK595" t="str">
            <v>–</v>
          </cell>
          <cell r="AL595" t="str">
            <v>–</v>
          </cell>
          <cell r="AM595" t="str">
            <v>–</v>
          </cell>
          <cell r="AN595">
            <v>4.88</v>
          </cell>
          <cell r="AO595">
            <v>3.48</v>
          </cell>
          <cell r="AP595">
            <v>1.94</v>
          </cell>
          <cell r="AQ595">
            <v>1.08</v>
          </cell>
          <cell r="AR595">
            <v>12.6</v>
          </cell>
          <cell r="AS595">
            <v>5.69</v>
          </cell>
          <cell r="AT595">
            <v>3.25</v>
          </cell>
          <cell r="AU595">
            <v>1.73</v>
          </cell>
        </row>
        <row r="596">
          <cell r="C596" t="str">
            <v>2L3-1/2X3-1/2X1/4</v>
          </cell>
          <cell r="D596" t="str">
            <v>F</v>
          </cell>
          <cell r="E596">
            <v>11.6</v>
          </cell>
          <cell r="F596">
            <v>3.4</v>
          </cell>
          <cell r="G596" t="str">
            <v>2L3-1/2X3-1/2X1/4</v>
          </cell>
          <cell r="H596">
            <v>3.5</v>
          </cell>
          <cell r="I596" t="str">
            <v>–</v>
          </cell>
          <cell r="J596" t="str">
            <v>–</v>
          </cell>
          <cell r="K596" t="str">
            <v>–</v>
          </cell>
          <cell r="L596" t="str">
            <v>–</v>
          </cell>
          <cell r="M596" t="str">
            <v>–</v>
          </cell>
          <cell r="N596" t="str">
            <v>–</v>
          </cell>
          <cell r="O596" t="str">
            <v>–</v>
          </cell>
          <cell r="P596">
            <v>3.5</v>
          </cell>
          <cell r="Q596" t="str">
            <v>–</v>
          </cell>
          <cell r="R596" t="str">
            <v>–</v>
          </cell>
          <cell r="S596" t="str">
            <v>–</v>
          </cell>
          <cell r="T596" t="str">
            <v>–</v>
          </cell>
          <cell r="U596" t="str">
            <v>–</v>
          </cell>
          <cell r="V596" t="str">
            <v>–</v>
          </cell>
          <cell r="W596">
            <v>0.25</v>
          </cell>
          <cell r="X596" t="str">
            <v>–</v>
          </cell>
          <cell r="Y596" t="str">
            <v>–</v>
          </cell>
          <cell r="Z596" t="str">
            <v>–</v>
          </cell>
          <cell r="AA596" t="str">
            <v>–</v>
          </cell>
          <cell r="AB596" t="str">
            <v>–</v>
          </cell>
          <cell r="AC596" t="str">
            <v>–</v>
          </cell>
          <cell r="AD596">
            <v>0.95399999999999996</v>
          </cell>
          <cell r="AE596" t="str">
            <v>–</v>
          </cell>
          <cell r="AF596" t="str">
            <v>–</v>
          </cell>
          <cell r="AG596">
            <v>0.24299999999999999</v>
          </cell>
          <cell r="AH596" t="str">
            <v>–</v>
          </cell>
          <cell r="AI596">
            <v>14</v>
          </cell>
          <cell r="AJ596" t="str">
            <v>–</v>
          </cell>
          <cell r="AK596" t="str">
            <v>–</v>
          </cell>
          <cell r="AL596" t="str">
            <v>–</v>
          </cell>
          <cell r="AM596" t="str">
            <v>–</v>
          </cell>
          <cell r="AN596">
            <v>4</v>
          </cell>
          <cell r="AO596">
            <v>2.82</v>
          </cell>
          <cell r="AP596">
            <v>1.57</v>
          </cell>
          <cell r="AQ596">
            <v>1.0900000000000001</v>
          </cell>
          <cell r="AR596">
            <v>7.05</v>
          </cell>
          <cell r="AS596">
            <v>3.24</v>
          </cell>
          <cell r="AT596">
            <v>2.0099999999999998</v>
          </cell>
          <cell r="AU596">
            <v>1.44</v>
          </cell>
        </row>
        <row r="597">
          <cell r="C597" t="str">
            <v>2L3-1/2X3-1/2X1/4X3/8</v>
          </cell>
          <cell r="D597" t="str">
            <v>F</v>
          </cell>
          <cell r="E597">
            <v>11.6</v>
          </cell>
          <cell r="F597">
            <v>3.4</v>
          </cell>
          <cell r="G597" t="str">
            <v>2L3-1/2X3-1/2X1/4X3/8</v>
          </cell>
          <cell r="H597">
            <v>3.5</v>
          </cell>
          <cell r="I597" t="str">
            <v>–</v>
          </cell>
          <cell r="J597" t="str">
            <v>–</v>
          </cell>
          <cell r="K597" t="str">
            <v>–</v>
          </cell>
          <cell r="L597" t="str">
            <v>–</v>
          </cell>
          <cell r="M597" t="str">
            <v>–</v>
          </cell>
          <cell r="N597" t="str">
            <v>–</v>
          </cell>
          <cell r="O597" t="str">
            <v>–</v>
          </cell>
          <cell r="P597">
            <v>3.5</v>
          </cell>
          <cell r="Q597" t="str">
            <v>–</v>
          </cell>
          <cell r="R597" t="str">
            <v>–</v>
          </cell>
          <cell r="S597" t="str">
            <v>–</v>
          </cell>
          <cell r="T597" t="str">
            <v>–</v>
          </cell>
          <cell r="U597" t="str">
            <v>–</v>
          </cell>
          <cell r="V597" t="str">
            <v>–</v>
          </cell>
          <cell r="W597">
            <v>0.25</v>
          </cell>
          <cell r="X597" t="str">
            <v>–</v>
          </cell>
          <cell r="Y597" t="str">
            <v>–</v>
          </cell>
          <cell r="Z597" t="str">
            <v>–</v>
          </cell>
          <cell r="AA597" t="str">
            <v>–</v>
          </cell>
          <cell r="AB597" t="str">
            <v>–</v>
          </cell>
          <cell r="AC597" t="str">
            <v>–</v>
          </cell>
          <cell r="AD597">
            <v>0.95399999999999996</v>
          </cell>
          <cell r="AE597" t="str">
            <v>–</v>
          </cell>
          <cell r="AF597" t="str">
            <v>–</v>
          </cell>
          <cell r="AG597">
            <v>0.24299999999999999</v>
          </cell>
          <cell r="AH597" t="str">
            <v>–</v>
          </cell>
          <cell r="AI597">
            <v>14</v>
          </cell>
          <cell r="AJ597" t="str">
            <v>–</v>
          </cell>
          <cell r="AK597" t="str">
            <v>–</v>
          </cell>
          <cell r="AL597" t="str">
            <v>–</v>
          </cell>
          <cell r="AM597" t="str">
            <v>–</v>
          </cell>
          <cell r="AN597">
            <v>4</v>
          </cell>
          <cell r="AO597">
            <v>2.82</v>
          </cell>
          <cell r="AP597">
            <v>1.57</v>
          </cell>
          <cell r="AQ597">
            <v>1.0900000000000001</v>
          </cell>
          <cell r="AR597">
            <v>8.3800000000000008</v>
          </cell>
          <cell r="AS597">
            <v>3.88</v>
          </cell>
          <cell r="AT597">
            <v>2.27</v>
          </cell>
          <cell r="AU597">
            <v>1.57</v>
          </cell>
        </row>
        <row r="598">
          <cell r="C598" t="str">
            <v>2L3-1/2X3-1/2X1/4X3/4</v>
          </cell>
          <cell r="D598" t="str">
            <v>F</v>
          </cell>
          <cell r="E598">
            <v>11.6</v>
          </cell>
          <cell r="F598">
            <v>3.4</v>
          </cell>
          <cell r="G598" t="str">
            <v>2L3-1/2X3-1/2X1/4X3/4</v>
          </cell>
          <cell r="H598">
            <v>3.5</v>
          </cell>
          <cell r="I598" t="str">
            <v>–</v>
          </cell>
          <cell r="J598" t="str">
            <v>–</v>
          </cell>
          <cell r="K598" t="str">
            <v>–</v>
          </cell>
          <cell r="L598" t="str">
            <v>–</v>
          </cell>
          <cell r="M598" t="str">
            <v>–</v>
          </cell>
          <cell r="N598" t="str">
            <v>–</v>
          </cell>
          <cell r="O598" t="str">
            <v>–</v>
          </cell>
          <cell r="P598">
            <v>3.5</v>
          </cell>
          <cell r="Q598" t="str">
            <v>–</v>
          </cell>
          <cell r="R598" t="str">
            <v>–</v>
          </cell>
          <cell r="S598" t="str">
            <v>–</v>
          </cell>
          <cell r="T598" t="str">
            <v>–</v>
          </cell>
          <cell r="U598" t="str">
            <v>–</v>
          </cell>
          <cell r="V598" t="str">
            <v>–</v>
          </cell>
          <cell r="W598">
            <v>0.25</v>
          </cell>
          <cell r="X598" t="str">
            <v>–</v>
          </cell>
          <cell r="Y598" t="str">
            <v>–</v>
          </cell>
          <cell r="Z598" t="str">
            <v>–</v>
          </cell>
          <cell r="AA598" t="str">
            <v>–</v>
          </cell>
          <cell r="AB598" t="str">
            <v>–</v>
          </cell>
          <cell r="AC598" t="str">
            <v>–</v>
          </cell>
          <cell r="AD598">
            <v>0.95399999999999996</v>
          </cell>
          <cell r="AE598" t="str">
            <v>–</v>
          </cell>
          <cell r="AF598" t="str">
            <v>–</v>
          </cell>
          <cell r="AG598">
            <v>0.24299999999999999</v>
          </cell>
          <cell r="AH598" t="str">
            <v>–</v>
          </cell>
          <cell r="AI598">
            <v>14</v>
          </cell>
          <cell r="AJ598" t="str">
            <v>–</v>
          </cell>
          <cell r="AK598" t="str">
            <v>–</v>
          </cell>
          <cell r="AL598" t="str">
            <v>–</v>
          </cell>
          <cell r="AM598" t="str">
            <v>–</v>
          </cell>
          <cell r="AN598">
            <v>4</v>
          </cell>
          <cell r="AO598">
            <v>2.82</v>
          </cell>
          <cell r="AP598">
            <v>1.57</v>
          </cell>
          <cell r="AQ598">
            <v>1.0900000000000001</v>
          </cell>
          <cell r="AR598">
            <v>10.1</v>
          </cell>
          <cell r="AS598">
            <v>4.5199999999999996</v>
          </cell>
          <cell r="AT598">
            <v>2.61</v>
          </cell>
          <cell r="AU598">
            <v>1.72</v>
          </cell>
        </row>
        <row r="599">
          <cell r="C599" t="str">
            <v>2L3X3X1/2</v>
          </cell>
          <cell r="D599" t="str">
            <v>F</v>
          </cell>
          <cell r="E599">
            <v>18.8</v>
          </cell>
          <cell r="F599">
            <v>5.52</v>
          </cell>
          <cell r="G599" t="str">
            <v>2L3X3X1/2</v>
          </cell>
          <cell r="H599">
            <v>3</v>
          </cell>
          <cell r="I599" t="str">
            <v>–</v>
          </cell>
          <cell r="J599" t="str">
            <v>–</v>
          </cell>
          <cell r="K599" t="str">
            <v>–</v>
          </cell>
          <cell r="L599" t="str">
            <v>–</v>
          </cell>
          <cell r="M599" t="str">
            <v>–</v>
          </cell>
          <cell r="N599" t="str">
            <v>–</v>
          </cell>
          <cell r="O599" t="str">
            <v>–</v>
          </cell>
          <cell r="P599">
            <v>3</v>
          </cell>
          <cell r="Q599" t="str">
            <v>–</v>
          </cell>
          <cell r="R599" t="str">
            <v>–</v>
          </cell>
          <cell r="S599" t="str">
            <v>–</v>
          </cell>
          <cell r="T599" t="str">
            <v>–</v>
          </cell>
          <cell r="U599" t="str">
            <v>–</v>
          </cell>
          <cell r="V599" t="str">
            <v>–</v>
          </cell>
          <cell r="W599">
            <v>0.5</v>
          </cell>
          <cell r="X599" t="str">
            <v>–</v>
          </cell>
          <cell r="Y599" t="str">
            <v>–</v>
          </cell>
          <cell r="Z599" t="str">
            <v>–</v>
          </cell>
          <cell r="AA599" t="str">
            <v>–</v>
          </cell>
          <cell r="AB599" t="str">
            <v>–</v>
          </cell>
          <cell r="AC599" t="str">
            <v>–</v>
          </cell>
          <cell r="AD599">
            <v>0.92900000000000005</v>
          </cell>
          <cell r="AE599" t="str">
            <v>–</v>
          </cell>
          <cell r="AF599" t="str">
            <v>–</v>
          </cell>
          <cell r="AG599">
            <v>0.46</v>
          </cell>
          <cell r="AH599" t="str">
            <v>–</v>
          </cell>
          <cell r="AI599">
            <v>6</v>
          </cell>
          <cell r="AJ599" t="str">
            <v>–</v>
          </cell>
          <cell r="AK599" t="str">
            <v>–</v>
          </cell>
          <cell r="AL599" t="str">
            <v>–</v>
          </cell>
          <cell r="AM599" t="str">
            <v>–</v>
          </cell>
          <cell r="AN599">
            <v>4.4000000000000004</v>
          </cell>
          <cell r="AO599">
            <v>3.82</v>
          </cell>
          <cell r="AP599">
            <v>2.12</v>
          </cell>
          <cell r="AQ599">
            <v>0.89500000000000002</v>
          </cell>
          <cell r="AR599">
            <v>9.19</v>
          </cell>
          <cell r="AS599">
            <v>5.13</v>
          </cell>
          <cell r="AT599">
            <v>3.06</v>
          </cell>
          <cell r="AU599">
            <v>1.29</v>
          </cell>
        </row>
        <row r="600">
          <cell r="C600" t="str">
            <v>2L3X3X1/2X3/8</v>
          </cell>
          <cell r="D600" t="str">
            <v>F</v>
          </cell>
          <cell r="E600">
            <v>18.8</v>
          </cell>
          <cell r="F600">
            <v>5.52</v>
          </cell>
          <cell r="G600" t="str">
            <v>2L3X3X1/2X3/8</v>
          </cell>
          <cell r="H600">
            <v>3</v>
          </cell>
          <cell r="I600" t="str">
            <v>–</v>
          </cell>
          <cell r="J600" t="str">
            <v>–</v>
          </cell>
          <cell r="K600" t="str">
            <v>–</v>
          </cell>
          <cell r="L600" t="str">
            <v>–</v>
          </cell>
          <cell r="M600" t="str">
            <v>–</v>
          </cell>
          <cell r="N600" t="str">
            <v>–</v>
          </cell>
          <cell r="O600" t="str">
            <v>–</v>
          </cell>
          <cell r="P600">
            <v>3</v>
          </cell>
          <cell r="Q600" t="str">
            <v>–</v>
          </cell>
          <cell r="R600" t="str">
            <v>–</v>
          </cell>
          <cell r="S600" t="str">
            <v>–</v>
          </cell>
          <cell r="T600" t="str">
            <v>–</v>
          </cell>
          <cell r="U600" t="str">
            <v>–</v>
          </cell>
          <cell r="V600" t="str">
            <v>–</v>
          </cell>
          <cell r="W600">
            <v>0.5</v>
          </cell>
          <cell r="X600" t="str">
            <v>–</v>
          </cell>
          <cell r="Y600" t="str">
            <v>–</v>
          </cell>
          <cell r="Z600" t="str">
            <v>–</v>
          </cell>
          <cell r="AA600" t="str">
            <v>–</v>
          </cell>
          <cell r="AB600" t="str">
            <v>–</v>
          </cell>
          <cell r="AC600" t="str">
            <v>–</v>
          </cell>
          <cell r="AD600">
            <v>0.92900000000000005</v>
          </cell>
          <cell r="AE600" t="str">
            <v>–</v>
          </cell>
          <cell r="AF600" t="str">
            <v>–</v>
          </cell>
          <cell r="AG600">
            <v>0.46</v>
          </cell>
          <cell r="AH600" t="str">
            <v>–</v>
          </cell>
          <cell r="AI600">
            <v>6</v>
          </cell>
          <cell r="AJ600" t="str">
            <v>–</v>
          </cell>
          <cell r="AK600" t="str">
            <v>–</v>
          </cell>
          <cell r="AL600" t="str">
            <v>–</v>
          </cell>
          <cell r="AM600" t="str">
            <v>–</v>
          </cell>
          <cell r="AN600">
            <v>4.4000000000000004</v>
          </cell>
          <cell r="AO600">
            <v>3.82</v>
          </cell>
          <cell r="AP600">
            <v>2.12</v>
          </cell>
          <cell r="AQ600">
            <v>0.89500000000000002</v>
          </cell>
          <cell r="AR600">
            <v>11.3</v>
          </cell>
          <cell r="AS600">
            <v>6.16</v>
          </cell>
          <cell r="AT600">
            <v>3.55</v>
          </cell>
          <cell r="AU600">
            <v>1.43</v>
          </cell>
        </row>
        <row r="601">
          <cell r="C601" t="str">
            <v>2L3X3X1/2X3/4</v>
          </cell>
          <cell r="D601" t="str">
            <v>F</v>
          </cell>
          <cell r="E601">
            <v>18.8</v>
          </cell>
          <cell r="F601">
            <v>5.52</v>
          </cell>
          <cell r="G601" t="str">
            <v>2L3X3X1/2X3/4</v>
          </cell>
          <cell r="H601">
            <v>3</v>
          </cell>
          <cell r="I601" t="str">
            <v>–</v>
          </cell>
          <cell r="J601" t="str">
            <v>–</v>
          </cell>
          <cell r="K601" t="str">
            <v>–</v>
          </cell>
          <cell r="L601" t="str">
            <v>–</v>
          </cell>
          <cell r="M601" t="str">
            <v>–</v>
          </cell>
          <cell r="N601" t="str">
            <v>–</v>
          </cell>
          <cell r="O601" t="str">
            <v>–</v>
          </cell>
          <cell r="P601">
            <v>3</v>
          </cell>
          <cell r="Q601" t="str">
            <v>–</v>
          </cell>
          <cell r="R601" t="str">
            <v>–</v>
          </cell>
          <cell r="S601" t="str">
            <v>–</v>
          </cell>
          <cell r="T601" t="str">
            <v>–</v>
          </cell>
          <cell r="U601" t="str">
            <v>–</v>
          </cell>
          <cell r="V601" t="str">
            <v>–</v>
          </cell>
          <cell r="W601">
            <v>0.5</v>
          </cell>
          <cell r="X601" t="str">
            <v>–</v>
          </cell>
          <cell r="Y601" t="str">
            <v>–</v>
          </cell>
          <cell r="Z601" t="str">
            <v>–</v>
          </cell>
          <cell r="AA601" t="str">
            <v>–</v>
          </cell>
          <cell r="AB601" t="str">
            <v>–</v>
          </cell>
          <cell r="AC601" t="str">
            <v>–</v>
          </cell>
          <cell r="AD601">
            <v>0.92900000000000005</v>
          </cell>
          <cell r="AE601" t="str">
            <v>–</v>
          </cell>
          <cell r="AF601" t="str">
            <v>–</v>
          </cell>
          <cell r="AG601">
            <v>0.46</v>
          </cell>
          <cell r="AH601" t="str">
            <v>–</v>
          </cell>
          <cell r="AI601">
            <v>6</v>
          </cell>
          <cell r="AJ601" t="str">
            <v>–</v>
          </cell>
          <cell r="AK601" t="str">
            <v>–</v>
          </cell>
          <cell r="AL601" t="str">
            <v>–</v>
          </cell>
          <cell r="AM601" t="str">
            <v>–</v>
          </cell>
          <cell r="AN601">
            <v>4.4000000000000004</v>
          </cell>
          <cell r="AO601">
            <v>3.82</v>
          </cell>
          <cell r="AP601">
            <v>2.12</v>
          </cell>
          <cell r="AQ601">
            <v>0.89500000000000002</v>
          </cell>
          <cell r="AR601">
            <v>13.8</v>
          </cell>
          <cell r="AS601">
            <v>7.2</v>
          </cell>
          <cell r="AT601">
            <v>4.09</v>
          </cell>
          <cell r="AU601">
            <v>1.58</v>
          </cell>
        </row>
        <row r="602">
          <cell r="C602" t="str">
            <v>2L3X3X7/16</v>
          </cell>
          <cell r="D602" t="str">
            <v>F</v>
          </cell>
          <cell r="E602">
            <v>16.600000000000001</v>
          </cell>
          <cell r="F602">
            <v>4.8600000000000003</v>
          </cell>
          <cell r="G602" t="str">
            <v>2L3X3X7/16</v>
          </cell>
          <cell r="H602">
            <v>3</v>
          </cell>
          <cell r="I602" t="str">
            <v>–</v>
          </cell>
          <cell r="J602" t="str">
            <v>–</v>
          </cell>
          <cell r="K602" t="str">
            <v>–</v>
          </cell>
          <cell r="L602" t="str">
            <v>–</v>
          </cell>
          <cell r="M602" t="str">
            <v>–</v>
          </cell>
          <cell r="N602" t="str">
            <v>–</v>
          </cell>
          <cell r="O602" t="str">
            <v>–</v>
          </cell>
          <cell r="P602">
            <v>3</v>
          </cell>
          <cell r="Q602" t="str">
            <v>–</v>
          </cell>
          <cell r="R602" t="str">
            <v>–</v>
          </cell>
          <cell r="S602" t="str">
            <v>–</v>
          </cell>
          <cell r="T602" t="str">
            <v>–</v>
          </cell>
          <cell r="U602" t="str">
            <v>–</v>
          </cell>
          <cell r="V602" t="str">
            <v>–</v>
          </cell>
          <cell r="W602">
            <v>0.438</v>
          </cell>
          <cell r="X602" t="str">
            <v>–</v>
          </cell>
          <cell r="Y602" t="str">
            <v>–</v>
          </cell>
          <cell r="Z602" t="str">
            <v>–</v>
          </cell>
          <cell r="AA602" t="str">
            <v>–</v>
          </cell>
          <cell r="AB602" t="str">
            <v>–</v>
          </cell>
          <cell r="AC602" t="str">
            <v>–</v>
          </cell>
          <cell r="AD602">
            <v>0.90700000000000003</v>
          </cell>
          <cell r="AE602" t="str">
            <v>–</v>
          </cell>
          <cell r="AF602" t="str">
            <v>–</v>
          </cell>
          <cell r="AG602">
            <v>0.40500000000000003</v>
          </cell>
          <cell r="AH602" t="str">
            <v>–</v>
          </cell>
          <cell r="AI602">
            <v>6.85</v>
          </cell>
          <cell r="AJ602" t="str">
            <v>–</v>
          </cell>
          <cell r="AK602" t="str">
            <v>–</v>
          </cell>
          <cell r="AL602" t="str">
            <v>–</v>
          </cell>
          <cell r="AM602" t="str">
            <v>–</v>
          </cell>
          <cell r="AN602">
            <v>3.96</v>
          </cell>
          <cell r="AO602">
            <v>3.4</v>
          </cell>
          <cell r="AP602">
            <v>1.89</v>
          </cell>
          <cell r="AQ602">
            <v>0.90300000000000002</v>
          </cell>
          <cell r="AR602">
            <v>7.96</v>
          </cell>
          <cell r="AS602">
            <v>4.41</v>
          </cell>
          <cell r="AT602">
            <v>2.65</v>
          </cell>
          <cell r="AU602">
            <v>1.28</v>
          </cell>
        </row>
        <row r="603">
          <cell r="C603" t="str">
            <v>2L3X3X7/16X3/8</v>
          </cell>
          <cell r="D603" t="str">
            <v>F</v>
          </cell>
          <cell r="E603">
            <v>16.600000000000001</v>
          </cell>
          <cell r="F603">
            <v>4.8600000000000003</v>
          </cell>
          <cell r="G603" t="str">
            <v>2L3X3X7/16X3/8</v>
          </cell>
          <cell r="H603">
            <v>3</v>
          </cell>
          <cell r="I603" t="str">
            <v>–</v>
          </cell>
          <cell r="J603" t="str">
            <v>–</v>
          </cell>
          <cell r="K603" t="str">
            <v>–</v>
          </cell>
          <cell r="L603" t="str">
            <v>–</v>
          </cell>
          <cell r="M603" t="str">
            <v>–</v>
          </cell>
          <cell r="N603" t="str">
            <v>–</v>
          </cell>
          <cell r="O603" t="str">
            <v>–</v>
          </cell>
          <cell r="P603">
            <v>3</v>
          </cell>
          <cell r="Q603" t="str">
            <v>–</v>
          </cell>
          <cell r="R603" t="str">
            <v>–</v>
          </cell>
          <cell r="S603" t="str">
            <v>–</v>
          </cell>
          <cell r="T603" t="str">
            <v>–</v>
          </cell>
          <cell r="U603" t="str">
            <v>–</v>
          </cell>
          <cell r="V603" t="str">
            <v>–</v>
          </cell>
          <cell r="W603">
            <v>0.438</v>
          </cell>
          <cell r="X603" t="str">
            <v>–</v>
          </cell>
          <cell r="Y603" t="str">
            <v>–</v>
          </cell>
          <cell r="Z603" t="str">
            <v>–</v>
          </cell>
          <cell r="AA603" t="str">
            <v>–</v>
          </cell>
          <cell r="AB603" t="str">
            <v>–</v>
          </cell>
          <cell r="AC603" t="str">
            <v>–</v>
          </cell>
          <cell r="AD603">
            <v>0.90700000000000003</v>
          </cell>
          <cell r="AE603" t="str">
            <v>–</v>
          </cell>
          <cell r="AF603" t="str">
            <v>–</v>
          </cell>
          <cell r="AG603">
            <v>0.40500000000000003</v>
          </cell>
          <cell r="AH603" t="str">
            <v>–</v>
          </cell>
          <cell r="AI603">
            <v>6.85</v>
          </cell>
          <cell r="AJ603" t="str">
            <v>–</v>
          </cell>
          <cell r="AK603" t="str">
            <v>–</v>
          </cell>
          <cell r="AL603" t="str">
            <v>–</v>
          </cell>
          <cell r="AM603" t="str">
            <v>–</v>
          </cell>
          <cell r="AN603">
            <v>3.96</v>
          </cell>
          <cell r="AO603">
            <v>3.4</v>
          </cell>
          <cell r="AP603">
            <v>1.89</v>
          </cell>
          <cell r="AQ603">
            <v>0.90300000000000002</v>
          </cell>
          <cell r="AR603">
            <v>9.8000000000000007</v>
          </cell>
          <cell r="AS603">
            <v>5.32</v>
          </cell>
          <cell r="AT603">
            <v>3.07</v>
          </cell>
          <cell r="AU603">
            <v>1.42</v>
          </cell>
        </row>
        <row r="604">
          <cell r="C604" t="str">
            <v>2L3X3X7/16X3/4</v>
          </cell>
          <cell r="D604" t="str">
            <v>F</v>
          </cell>
          <cell r="E604">
            <v>16.600000000000001</v>
          </cell>
          <cell r="F604">
            <v>4.8600000000000003</v>
          </cell>
          <cell r="G604" t="str">
            <v>2L3X3X7/16X3/4</v>
          </cell>
          <cell r="H604">
            <v>3</v>
          </cell>
          <cell r="I604" t="str">
            <v>–</v>
          </cell>
          <cell r="J604" t="str">
            <v>–</v>
          </cell>
          <cell r="K604" t="str">
            <v>–</v>
          </cell>
          <cell r="L604" t="str">
            <v>–</v>
          </cell>
          <cell r="M604" t="str">
            <v>–</v>
          </cell>
          <cell r="N604" t="str">
            <v>–</v>
          </cell>
          <cell r="O604" t="str">
            <v>–</v>
          </cell>
          <cell r="P604">
            <v>3</v>
          </cell>
          <cell r="Q604" t="str">
            <v>–</v>
          </cell>
          <cell r="R604" t="str">
            <v>–</v>
          </cell>
          <cell r="S604" t="str">
            <v>–</v>
          </cell>
          <cell r="T604" t="str">
            <v>–</v>
          </cell>
          <cell r="U604" t="str">
            <v>–</v>
          </cell>
          <cell r="V604" t="str">
            <v>–</v>
          </cell>
          <cell r="W604">
            <v>0.438</v>
          </cell>
          <cell r="X604" t="str">
            <v>–</v>
          </cell>
          <cell r="Y604" t="str">
            <v>–</v>
          </cell>
          <cell r="Z604" t="str">
            <v>–</v>
          </cell>
          <cell r="AA604" t="str">
            <v>–</v>
          </cell>
          <cell r="AB604" t="str">
            <v>–</v>
          </cell>
          <cell r="AC604" t="str">
            <v>–</v>
          </cell>
          <cell r="AD604">
            <v>0.90700000000000003</v>
          </cell>
          <cell r="AE604" t="str">
            <v>–</v>
          </cell>
          <cell r="AF604" t="str">
            <v>–</v>
          </cell>
          <cell r="AG604">
            <v>0.40500000000000003</v>
          </cell>
          <cell r="AH604" t="str">
            <v>–</v>
          </cell>
          <cell r="AI604">
            <v>6.85</v>
          </cell>
          <cell r="AJ604" t="str">
            <v>–</v>
          </cell>
          <cell r="AK604" t="str">
            <v>–</v>
          </cell>
          <cell r="AL604" t="str">
            <v>–</v>
          </cell>
          <cell r="AM604" t="str">
            <v>–</v>
          </cell>
          <cell r="AN604">
            <v>3.96</v>
          </cell>
          <cell r="AO604">
            <v>3.4</v>
          </cell>
          <cell r="AP604">
            <v>1.89</v>
          </cell>
          <cell r="AQ604">
            <v>0.90300000000000002</v>
          </cell>
          <cell r="AR604">
            <v>12</v>
          </cell>
          <cell r="AS604">
            <v>6.23</v>
          </cell>
          <cell r="AT604">
            <v>3.56</v>
          </cell>
          <cell r="AU604">
            <v>1.57</v>
          </cell>
        </row>
        <row r="605">
          <cell r="C605" t="str">
            <v>2L3X3X3/8</v>
          </cell>
          <cell r="D605" t="str">
            <v>F</v>
          </cell>
          <cell r="E605">
            <v>14.4</v>
          </cell>
          <cell r="F605">
            <v>4.22</v>
          </cell>
          <cell r="G605" t="str">
            <v>2L3X3X3/8</v>
          </cell>
          <cell r="H605">
            <v>3</v>
          </cell>
          <cell r="I605" t="str">
            <v>–</v>
          </cell>
          <cell r="J605" t="str">
            <v>–</v>
          </cell>
          <cell r="K605" t="str">
            <v>–</v>
          </cell>
          <cell r="L605" t="str">
            <v>–</v>
          </cell>
          <cell r="M605" t="str">
            <v>–</v>
          </cell>
          <cell r="N605" t="str">
            <v>–</v>
          </cell>
          <cell r="O605" t="str">
            <v>–</v>
          </cell>
          <cell r="P605">
            <v>3</v>
          </cell>
          <cell r="Q605" t="str">
            <v>–</v>
          </cell>
          <cell r="R605" t="str">
            <v>–</v>
          </cell>
          <cell r="S605" t="str">
            <v>–</v>
          </cell>
          <cell r="T605" t="str">
            <v>–</v>
          </cell>
          <cell r="U605" t="str">
            <v>–</v>
          </cell>
          <cell r="V605" t="str">
            <v>–</v>
          </cell>
          <cell r="W605">
            <v>0.375</v>
          </cell>
          <cell r="X605" t="str">
            <v>–</v>
          </cell>
          <cell r="Y605" t="str">
            <v>–</v>
          </cell>
          <cell r="Z605" t="str">
            <v>–</v>
          </cell>
          <cell r="AA605" t="str">
            <v>–</v>
          </cell>
          <cell r="AB605" t="str">
            <v>–</v>
          </cell>
          <cell r="AC605" t="str">
            <v>–</v>
          </cell>
          <cell r="AD605">
            <v>0.88400000000000001</v>
          </cell>
          <cell r="AE605" t="str">
            <v>–</v>
          </cell>
          <cell r="AF605" t="str">
            <v>–</v>
          </cell>
          <cell r="AG605">
            <v>0.35199999999999998</v>
          </cell>
          <cell r="AH605" t="str">
            <v>–</v>
          </cell>
          <cell r="AI605">
            <v>8</v>
          </cell>
          <cell r="AJ605" t="str">
            <v>–</v>
          </cell>
          <cell r="AK605" t="str">
            <v>–</v>
          </cell>
          <cell r="AL605" t="str">
            <v>–</v>
          </cell>
          <cell r="AM605" t="str">
            <v>–</v>
          </cell>
          <cell r="AN605">
            <v>3.5</v>
          </cell>
          <cell r="AO605">
            <v>2.96</v>
          </cell>
          <cell r="AP605">
            <v>1.65</v>
          </cell>
          <cell r="AQ605">
            <v>0.91</v>
          </cell>
          <cell r="AR605">
            <v>6.81</v>
          </cell>
          <cell r="AS605">
            <v>3.73</v>
          </cell>
          <cell r="AT605">
            <v>2.27</v>
          </cell>
          <cell r="AU605">
            <v>1.27</v>
          </cell>
        </row>
        <row r="606">
          <cell r="C606" t="str">
            <v>2L3X3X3/8X3/8</v>
          </cell>
          <cell r="D606" t="str">
            <v>F</v>
          </cell>
          <cell r="E606">
            <v>14.4</v>
          </cell>
          <cell r="F606">
            <v>4.22</v>
          </cell>
          <cell r="G606" t="str">
            <v>2L3X3X3/8X3/8</v>
          </cell>
          <cell r="H606">
            <v>3</v>
          </cell>
          <cell r="I606" t="str">
            <v>–</v>
          </cell>
          <cell r="J606" t="str">
            <v>–</v>
          </cell>
          <cell r="K606" t="str">
            <v>–</v>
          </cell>
          <cell r="L606" t="str">
            <v>–</v>
          </cell>
          <cell r="M606" t="str">
            <v>–</v>
          </cell>
          <cell r="N606" t="str">
            <v>–</v>
          </cell>
          <cell r="O606" t="str">
            <v>–</v>
          </cell>
          <cell r="P606">
            <v>3</v>
          </cell>
          <cell r="Q606" t="str">
            <v>–</v>
          </cell>
          <cell r="R606" t="str">
            <v>–</v>
          </cell>
          <cell r="S606" t="str">
            <v>–</v>
          </cell>
          <cell r="T606" t="str">
            <v>–</v>
          </cell>
          <cell r="U606" t="str">
            <v>–</v>
          </cell>
          <cell r="V606" t="str">
            <v>–</v>
          </cell>
          <cell r="W606">
            <v>0.375</v>
          </cell>
          <cell r="X606" t="str">
            <v>–</v>
          </cell>
          <cell r="Y606" t="str">
            <v>–</v>
          </cell>
          <cell r="Z606" t="str">
            <v>–</v>
          </cell>
          <cell r="AA606" t="str">
            <v>–</v>
          </cell>
          <cell r="AB606" t="str">
            <v>–</v>
          </cell>
          <cell r="AC606" t="str">
            <v>–</v>
          </cell>
          <cell r="AD606">
            <v>0.88400000000000001</v>
          </cell>
          <cell r="AE606" t="str">
            <v>–</v>
          </cell>
          <cell r="AF606" t="str">
            <v>–</v>
          </cell>
          <cell r="AG606">
            <v>0.35199999999999998</v>
          </cell>
          <cell r="AH606" t="str">
            <v>–</v>
          </cell>
          <cell r="AI606">
            <v>8</v>
          </cell>
          <cell r="AJ606" t="str">
            <v>–</v>
          </cell>
          <cell r="AK606" t="str">
            <v>–</v>
          </cell>
          <cell r="AL606" t="str">
            <v>–</v>
          </cell>
          <cell r="AM606" t="str">
            <v>–</v>
          </cell>
          <cell r="AN606">
            <v>3.5</v>
          </cell>
          <cell r="AO606">
            <v>2.96</v>
          </cell>
          <cell r="AP606">
            <v>1.65</v>
          </cell>
          <cell r="AQ606">
            <v>0.91</v>
          </cell>
          <cell r="AR606">
            <v>8.39</v>
          </cell>
          <cell r="AS606">
            <v>4.5199999999999996</v>
          </cell>
          <cell r="AT606">
            <v>2.63</v>
          </cell>
          <cell r="AU606">
            <v>1.41</v>
          </cell>
        </row>
        <row r="607">
          <cell r="C607" t="str">
            <v>2L3X3X3/8X3/4</v>
          </cell>
          <cell r="D607" t="str">
            <v>F</v>
          </cell>
          <cell r="E607">
            <v>14.4</v>
          </cell>
          <cell r="F607">
            <v>4.22</v>
          </cell>
          <cell r="G607" t="str">
            <v>2L3X3X3/8X3/4</v>
          </cell>
          <cell r="H607">
            <v>3</v>
          </cell>
          <cell r="I607" t="str">
            <v>–</v>
          </cell>
          <cell r="J607" t="str">
            <v>–</v>
          </cell>
          <cell r="K607" t="str">
            <v>–</v>
          </cell>
          <cell r="L607" t="str">
            <v>–</v>
          </cell>
          <cell r="M607" t="str">
            <v>–</v>
          </cell>
          <cell r="N607" t="str">
            <v>–</v>
          </cell>
          <cell r="O607" t="str">
            <v>–</v>
          </cell>
          <cell r="P607">
            <v>3</v>
          </cell>
          <cell r="Q607" t="str">
            <v>–</v>
          </cell>
          <cell r="R607" t="str">
            <v>–</v>
          </cell>
          <cell r="S607" t="str">
            <v>–</v>
          </cell>
          <cell r="T607" t="str">
            <v>–</v>
          </cell>
          <cell r="U607" t="str">
            <v>–</v>
          </cell>
          <cell r="V607" t="str">
            <v>–</v>
          </cell>
          <cell r="W607">
            <v>0.375</v>
          </cell>
          <cell r="X607" t="str">
            <v>–</v>
          </cell>
          <cell r="Y607" t="str">
            <v>–</v>
          </cell>
          <cell r="Z607" t="str">
            <v>–</v>
          </cell>
          <cell r="AA607" t="str">
            <v>–</v>
          </cell>
          <cell r="AB607" t="str">
            <v>–</v>
          </cell>
          <cell r="AC607" t="str">
            <v>–</v>
          </cell>
          <cell r="AD607">
            <v>0.88400000000000001</v>
          </cell>
          <cell r="AE607" t="str">
            <v>–</v>
          </cell>
          <cell r="AF607" t="str">
            <v>–</v>
          </cell>
          <cell r="AG607">
            <v>0.35199999999999998</v>
          </cell>
          <cell r="AH607" t="str">
            <v>–</v>
          </cell>
          <cell r="AI607">
            <v>8</v>
          </cell>
          <cell r="AJ607" t="str">
            <v>–</v>
          </cell>
          <cell r="AK607" t="str">
            <v>–</v>
          </cell>
          <cell r="AL607" t="str">
            <v>–</v>
          </cell>
          <cell r="AM607" t="str">
            <v>–</v>
          </cell>
          <cell r="AN607">
            <v>3.5</v>
          </cell>
          <cell r="AO607">
            <v>2.96</v>
          </cell>
          <cell r="AP607">
            <v>1.65</v>
          </cell>
          <cell r="AQ607">
            <v>0.91</v>
          </cell>
          <cell r="AR607">
            <v>10.1</v>
          </cell>
          <cell r="AS607">
            <v>5.31</v>
          </cell>
          <cell r="AT607">
            <v>2.99</v>
          </cell>
          <cell r="AU607">
            <v>1.55</v>
          </cell>
        </row>
        <row r="608">
          <cell r="C608" t="str">
            <v>2L3X3X5/16</v>
          </cell>
          <cell r="D608" t="str">
            <v>F</v>
          </cell>
          <cell r="E608">
            <v>12.2</v>
          </cell>
          <cell r="F608">
            <v>3.56</v>
          </cell>
          <cell r="G608" t="str">
            <v>2L3X3X5/16</v>
          </cell>
          <cell r="H608">
            <v>3</v>
          </cell>
          <cell r="I608" t="str">
            <v>–</v>
          </cell>
          <cell r="J608" t="str">
            <v>–</v>
          </cell>
          <cell r="K608" t="str">
            <v>–</v>
          </cell>
          <cell r="L608" t="str">
            <v>–</v>
          </cell>
          <cell r="M608" t="str">
            <v>–</v>
          </cell>
          <cell r="N608" t="str">
            <v>–</v>
          </cell>
          <cell r="O608" t="str">
            <v>–</v>
          </cell>
          <cell r="P608">
            <v>3</v>
          </cell>
          <cell r="Q608" t="str">
            <v>–</v>
          </cell>
          <cell r="R608" t="str">
            <v>–</v>
          </cell>
          <cell r="S608" t="str">
            <v>–</v>
          </cell>
          <cell r="T608" t="str">
            <v>–</v>
          </cell>
          <cell r="U608" t="str">
            <v>–</v>
          </cell>
          <cell r="V608" t="str">
            <v>–</v>
          </cell>
          <cell r="W608">
            <v>0.313</v>
          </cell>
          <cell r="X608" t="str">
            <v>–</v>
          </cell>
          <cell r="Y608" t="str">
            <v>–</v>
          </cell>
          <cell r="Z608" t="str">
            <v>–</v>
          </cell>
          <cell r="AA608" t="str">
            <v>–</v>
          </cell>
          <cell r="AB608" t="str">
            <v>–</v>
          </cell>
          <cell r="AC608" t="str">
            <v>–</v>
          </cell>
          <cell r="AD608">
            <v>0.86</v>
          </cell>
          <cell r="AE608" t="str">
            <v>–</v>
          </cell>
          <cell r="AF608" t="str">
            <v>–</v>
          </cell>
          <cell r="AG608">
            <v>0.29699999999999999</v>
          </cell>
          <cell r="AH608" t="str">
            <v>–</v>
          </cell>
          <cell r="AI608">
            <v>9.58</v>
          </cell>
          <cell r="AJ608" t="str">
            <v>–</v>
          </cell>
          <cell r="AK608" t="str">
            <v>–</v>
          </cell>
          <cell r="AL608" t="str">
            <v>–</v>
          </cell>
          <cell r="AM608" t="str">
            <v>–</v>
          </cell>
          <cell r="AN608">
            <v>3</v>
          </cell>
          <cell r="AO608">
            <v>2.52</v>
          </cell>
          <cell r="AP608">
            <v>1.4</v>
          </cell>
          <cell r="AQ608">
            <v>0.91800000000000004</v>
          </cell>
          <cell r="AR608">
            <v>5.65</v>
          </cell>
          <cell r="AS608">
            <v>3.06</v>
          </cell>
          <cell r="AT608">
            <v>1.88</v>
          </cell>
          <cell r="AU608">
            <v>1.26</v>
          </cell>
        </row>
        <row r="609">
          <cell r="C609" t="str">
            <v>2L3X3X5/16X3/8</v>
          </cell>
          <cell r="D609" t="str">
            <v>F</v>
          </cell>
          <cell r="E609">
            <v>12.2</v>
          </cell>
          <cell r="F609">
            <v>3.56</v>
          </cell>
          <cell r="G609" t="str">
            <v>2L3X3X5/16X3/8</v>
          </cell>
          <cell r="H609">
            <v>3</v>
          </cell>
          <cell r="I609" t="str">
            <v>–</v>
          </cell>
          <cell r="J609" t="str">
            <v>–</v>
          </cell>
          <cell r="K609" t="str">
            <v>–</v>
          </cell>
          <cell r="L609" t="str">
            <v>–</v>
          </cell>
          <cell r="M609" t="str">
            <v>–</v>
          </cell>
          <cell r="N609" t="str">
            <v>–</v>
          </cell>
          <cell r="O609" t="str">
            <v>–</v>
          </cell>
          <cell r="P609">
            <v>3</v>
          </cell>
          <cell r="Q609" t="str">
            <v>–</v>
          </cell>
          <cell r="R609" t="str">
            <v>–</v>
          </cell>
          <cell r="S609" t="str">
            <v>–</v>
          </cell>
          <cell r="T609" t="str">
            <v>–</v>
          </cell>
          <cell r="U609" t="str">
            <v>–</v>
          </cell>
          <cell r="V609" t="str">
            <v>–</v>
          </cell>
          <cell r="W609">
            <v>0.313</v>
          </cell>
          <cell r="X609" t="str">
            <v>–</v>
          </cell>
          <cell r="Y609" t="str">
            <v>–</v>
          </cell>
          <cell r="Z609" t="str">
            <v>–</v>
          </cell>
          <cell r="AA609" t="str">
            <v>–</v>
          </cell>
          <cell r="AB609" t="str">
            <v>–</v>
          </cell>
          <cell r="AC609" t="str">
            <v>–</v>
          </cell>
          <cell r="AD609">
            <v>0.86</v>
          </cell>
          <cell r="AE609" t="str">
            <v>–</v>
          </cell>
          <cell r="AF609" t="str">
            <v>–</v>
          </cell>
          <cell r="AG609">
            <v>0.29699999999999999</v>
          </cell>
          <cell r="AH609" t="str">
            <v>–</v>
          </cell>
          <cell r="AI609">
            <v>9.58</v>
          </cell>
          <cell r="AJ609" t="str">
            <v>–</v>
          </cell>
          <cell r="AK609" t="str">
            <v>–</v>
          </cell>
          <cell r="AL609" t="str">
            <v>–</v>
          </cell>
          <cell r="AM609" t="str">
            <v>–</v>
          </cell>
          <cell r="AN609">
            <v>3</v>
          </cell>
          <cell r="AO609">
            <v>2.52</v>
          </cell>
          <cell r="AP609">
            <v>1.4</v>
          </cell>
          <cell r="AQ609">
            <v>0.91800000000000004</v>
          </cell>
          <cell r="AR609">
            <v>6.88</v>
          </cell>
          <cell r="AS609">
            <v>3.73</v>
          </cell>
          <cell r="AT609">
            <v>2.16</v>
          </cell>
          <cell r="AU609">
            <v>1.39</v>
          </cell>
        </row>
        <row r="610">
          <cell r="C610" t="str">
            <v>2L3X3X5/16X3/4</v>
          </cell>
          <cell r="D610" t="str">
            <v>F</v>
          </cell>
          <cell r="E610">
            <v>12.2</v>
          </cell>
          <cell r="F610">
            <v>3.56</v>
          </cell>
          <cell r="G610" t="str">
            <v>2L3X3X5/16X3/4</v>
          </cell>
          <cell r="H610">
            <v>3</v>
          </cell>
          <cell r="I610" t="str">
            <v>–</v>
          </cell>
          <cell r="J610" t="str">
            <v>–</v>
          </cell>
          <cell r="K610" t="str">
            <v>–</v>
          </cell>
          <cell r="L610" t="str">
            <v>–</v>
          </cell>
          <cell r="M610" t="str">
            <v>–</v>
          </cell>
          <cell r="N610" t="str">
            <v>–</v>
          </cell>
          <cell r="O610" t="str">
            <v>–</v>
          </cell>
          <cell r="P610">
            <v>3</v>
          </cell>
          <cell r="Q610" t="str">
            <v>–</v>
          </cell>
          <cell r="R610" t="str">
            <v>–</v>
          </cell>
          <cell r="S610" t="str">
            <v>–</v>
          </cell>
          <cell r="T610" t="str">
            <v>–</v>
          </cell>
          <cell r="U610" t="str">
            <v>–</v>
          </cell>
          <cell r="V610" t="str">
            <v>–</v>
          </cell>
          <cell r="W610">
            <v>0.313</v>
          </cell>
          <cell r="X610" t="str">
            <v>–</v>
          </cell>
          <cell r="Y610" t="str">
            <v>–</v>
          </cell>
          <cell r="Z610" t="str">
            <v>–</v>
          </cell>
          <cell r="AA610" t="str">
            <v>–</v>
          </cell>
          <cell r="AB610" t="str">
            <v>–</v>
          </cell>
          <cell r="AC610" t="str">
            <v>–</v>
          </cell>
          <cell r="AD610">
            <v>0.86</v>
          </cell>
          <cell r="AE610" t="str">
            <v>–</v>
          </cell>
          <cell r="AF610" t="str">
            <v>–</v>
          </cell>
          <cell r="AG610">
            <v>0.29699999999999999</v>
          </cell>
          <cell r="AH610" t="str">
            <v>–</v>
          </cell>
          <cell r="AI610">
            <v>9.58</v>
          </cell>
          <cell r="AJ610" t="str">
            <v>–</v>
          </cell>
          <cell r="AK610" t="str">
            <v>–</v>
          </cell>
          <cell r="AL610" t="str">
            <v>–</v>
          </cell>
          <cell r="AM610" t="str">
            <v>–</v>
          </cell>
          <cell r="AN610">
            <v>3</v>
          </cell>
          <cell r="AO610">
            <v>2.52</v>
          </cell>
          <cell r="AP610">
            <v>1.4</v>
          </cell>
          <cell r="AQ610">
            <v>0.91800000000000004</v>
          </cell>
          <cell r="AR610">
            <v>8.44</v>
          </cell>
          <cell r="AS610">
            <v>4.4000000000000004</v>
          </cell>
          <cell r="AT610">
            <v>2.5</v>
          </cell>
          <cell r="AU610">
            <v>1.54</v>
          </cell>
        </row>
        <row r="611">
          <cell r="C611" t="str">
            <v>2L3X3X1/4</v>
          </cell>
          <cell r="D611" t="str">
            <v>F</v>
          </cell>
          <cell r="E611">
            <v>9.8000000000000007</v>
          </cell>
          <cell r="F611">
            <v>2.88</v>
          </cell>
          <cell r="G611" t="str">
            <v>2L3X3X1/4</v>
          </cell>
          <cell r="H611">
            <v>3</v>
          </cell>
          <cell r="I611" t="str">
            <v>–</v>
          </cell>
          <cell r="J611" t="str">
            <v>–</v>
          </cell>
          <cell r="K611" t="str">
            <v>–</v>
          </cell>
          <cell r="L611" t="str">
            <v>–</v>
          </cell>
          <cell r="M611" t="str">
            <v>–</v>
          </cell>
          <cell r="N611" t="str">
            <v>–</v>
          </cell>
          <cell r="O611" t="str">
            <v>–</v>
          </cell>
          <cell r="P611">
            <v>3</v>
          </cell>
          <cell r="Q611" t="str">
            <v>–</v>
          </cell>
          <cell r="R611" t="str">
            <v>–</v>
          </cell>
          <cell r="S611" t="str">
            <v>–</v>
          </cell>
          <cell r="T611" t="str">
            <v>–</v>
          </cell>
          <cell r="U611" t="str">
            <v>–</v>
          </cell>
          <cell r="V611" t="str">
            <v>–</v>
          </cell>
          <cell r="W611">
            <v>0.25</v>
          </cell>
          <cell r="X611" t="str">
            <v>–</v>
          </cell>
          <cell r="Y611" t="str">
            <v>–</v>
          </cell>
          <cell r="Z611" t="str">
            <v>–</v>
          </cell>
          <cell r="AA611" t="str">
            <v>–</v>
          </cell>
          <cell r="AB611" t="str">
            <v>–</v>
          </cell>
          <cell r="AC611" t="str">
            <v>–</v>
          </cell>
          <cell r="AD611">
            <v>0.83599999999999997</v>
          </cell>
          <cell r="AE611" t="str">
            <v>–</v>
          </cell>
          <cell r="AF611" t="str">
            <v>–</v>
          </cell>
          <cell r="AG611">
            <v>0.24</v>
          </cell>
          <cell r="AH611" t="str">
            <v>–</v>
          </cell>
          <cell r="AI611">
            <v>12</v>
          </cell>
          <cell r="AJ611" t="str">
            <v>–</v>
          </cell>
          <cell r="AK611" t="str">
            <v>–</v>
          </cell>
          <cell r="AL611" t="str">
            <v>–</v>
          </cell>
          <cell r="AM611" t="str">
            <v>–</v>
          </cell>
          <cell r="AN611">
            <v>2.46</v>
          </cell>
          <cell r="AO611">
            <v>2.04</v>
          </cell>
          <cell r="AP611">
            <v>1.1399999999999999</v>
          </cell>
          <cell r="AQ611">
            <v>0.92600000000000005</v>
          </cell>
          <cell r="AR611">
            <v>4.5</v>
          </cell>
          <cell r="AS611">
            <v>2.41</v>
          </cell>
          <cell r="AT611">
            <v>1.5</v>
          </cell>
          <cell r="AU611">
            <v>1.25</v>
          </cell>
        </row>
        <row r="612">
          <cell r="C612" t="str">
            <v>2L3X3X1/4X3/8</v>
          </cell>
          <cell r="D612" t="str">
            <v>F</v>
          </cell>
          <cell r="E612">
            <v>9.8000000000000007</v>
          </cell>
          <cell r="F612">
            <v>2.88</v>
          </cell>
          <cell r="G612" t="str">
            <v>2L3X3X1/4X3/8</v>
          </cell>
          <cell r="H612">
            <v>3</v>
          </cell>
          <cell r="I612" t="str">
            <v>–</v>
          </cell>
          <cell r="J612" t="str">
            <v>–</v>
          </cell>
          <cell r="K612" t="str">
            <v>–</v>
          </cell>
          <cell r="L612" t="str">
            <v>–</v>
          </cell>
          <cell r="M612" t="str">
            <v>–</v>
          </cell>
          <cell r="N612" t="str">
            <v>–</v>
          </cell>
          <cell r="O612" t="str">
            <v>–</v>
          </cell>
          <cell r="P612">
            <v>3</v>
          </cell>
          <cell r="Q612" t="str">
            <v>–</v>
          </cell>
          <cell r="R612" t="str">
            <v>–</v>
          </cell>
          <cell r="S612" t="str">
            <v>–</v>
          </cell>
          <cell r="T612" t="str">
            <v>–</v>
          </cell>
          <cell r="U612" t="str">
            <v>–</v>
          </cell>
          <cell r="V612" t="str">
            <v>–</v>
          </cell>
          <cell r="W612">
            <v>0.25</v>
          </cell>
          <cell r="X612" t="str">
            <v>–</v>
          </cell>
          <cell r="Y612" t="str">
            <v>–</v>
          </cell>
          <cell r="Z612" t="str">
            <v>–</v>
          </cell>
          <cell r="AA612" t="str">
            <v>–</v>
          </cell>
          <cell r="AB612" t="str">
            <v>–</v>
          </cell>
          <cell r="AC612" t="str">
            <v>–</v>
          </cell>
          <cell r="AD612">
            <v>0.83599999999999997</v>
          </cell>
          <cell r="AE612" t="str">
            <v>–</v>
          </cell>
          <cell r="AF612" t="str">
            <v>–</v>
          </cell>
          <cell r="AG612">
            <v>0.24</v>
          </cell>
          <cell r="AH612" t="str">
            <v>–</v>
          </cell>
          <cell r="AI612">
            <v>12</v>
          </cell>
          <cell r="AJ612" t="str">
            <v>–</v>
          </cell>
          <cell r="AK612" t="str">
            <v>–</v>
          </cell>
          <cell r="AL612" t="str">
            <v>–</v>
          </cell>
          <cell r="AM612" t="str">
            <v>–</v>
          </cell>
          <cell r="AN612">
            <v>2.46</v>
          </cell>
          <cell r="AO612">
            <v>2.04</v>
          </cell>
          <cell r="AP612">
            <v>1.1399999999999999</v>
          </cell>
          <cell r="AQ612">
            <v>0.92600000000000005</v>
          </cell>
          <cell r="AR612">
            <v>5.48</v>
          </cell>
          <cell r="AS612">
            <v>2.95</v>
          </cell>
          <cell r="AT612">
            <v>1.72</v>
          </cell>
          <cell r="AU612">
            <v>1.38</v>
          </cell>
        </row>
        <row r="613">
          <cell r="C613" t="str">
            <v>2L3X3X1/4X3/4</v>
          </cell>
          <cell r="D613" t="str">
            <v>F</v>
          </cell>
          <cell r="E613">
            <v>9.8000000000000007</v>
          </cell>
          <cell r="F613">
            <v>2.88</v>
          </cell>
          <cell r="G613" t="str">
            <v>2L3X3X1/4X3/4</v>
          </cell>
          <cell r="H613">
            <v>3</v>
          </cell>
          <cell r="I613" t="str">
            <v>–</v>
          </cell>
          <cell r="J613" t="str">
            <v>–</v>
          </cell>
          <cell r="K613" t="str">
            <v>–</v>
          </cell>
          <cell r="L613" t="str">
            <v>–</v>
          </cell>
          <cell r="M613" t="str">
            <v>–</v>
          </cell>
          <cell r="N613" t="str">
            <v>–</v>
          </cell>
          <cell r="O613" t="str">
            <v>–</v>
          </cell>
          <cell r="P613">
            <v>3</v>
          </cell>
          <cell r="Q613" t="str">
            <v>–</v>
          </cell>
          <cell r="R613" t="str">
            <v>–</v>
          </cell>
          <cell r="S613" t="str">
            <v>–</v>
          </cell>
          <cell r="T613" t="str">
            <v>–</v>
          </cell>
          <cell r="U613" t="str">
            <v>–</v>
          </cell>
          <cell r="V613" t="str">
            <v>–</v>
          </cell>
          <cell r="W613">
            <v>0.25</v>
          </cell>
          <cell r="X613" t="str">
            <v>–</v>
          </cell>
          <cell r="Y613" t="str">
            <v>–</v>
          </cell>
          <cell r="Z613" t="str">
            <v>–</v>
          </cell>
          <cell r="AA613" t="str">
            <v>–</v>
          </cell>
          <cell r="AB613" t="str">
            <v>–</v>
          </cell>
          <cell r="AC613" t="str">
            <v>–</v>
          </cell>
          <cell r="AD613">
            <v>0.83599999999999997</v>
          </cell>
          <cell r="AE613" t="str">
            <v>–</v>
          </cell>
          <cell r="AF613" t="str">
            <v>–</v>
          </cell>
          <cell r="AG613">
            <v>0.24</v>
          </cell>
          <cell r="AH613" t="str">
            <v>–</v>
          </cell>
          <cell r="AI613">
            <v>12</v>
          </cell>
          <cell r="AJ613" t="str">
            <v>–</v>
          </cell>
          <cell r="AK613" t="str">
            <v>–</v>
          </cell>
          <cell r="AL613" t="str">
            <v>–</v>
          </cell>
          <cell r="AM613" t="str">
            <v>–</v>
          </cell>
          <cell r="AN613">
            <v>2.46</v>
          </cell>
          <cell r="AO613">
            <v>2.04</v>
          </cell>
          <cell r="AP613">
            <v>1.1399999999999999</v>
          </cell>
          <cell r="AQ613">
            <v>0.92600000000000005</v>
          </cell>
          <cell r="AR613">
            <v>6.65</v>
          </cell>
          <cell r="AS613">
            <v>3.49</v>
          </cell>
          <cell r="AT613">
            <v>1.97</v>
          </cell>
          <cell r="AU613">
            <v>1.52</v>
          </cell>
        </row>
        <row r="614">
          <cell r="C614" t="str">
            <v>2L3X3X3/16</v>
          </cell>
          <cell r="D614" t="str">
            <v>F</v>
          </cell>
          <cell r="E614">
            <v>7.42</v>
          </cell>
          <cell r="F614">
            <v>2.1800000000000002</v>
          </cell>
          <cell r="G614" t="str">
            <v>2L3X3X3/16</v>
          </cell>
          <cell r="H614">
            <v>3</v>
          </cell>
          <cell r="I614" t="str">
            <v>–</v>
          </cell>
          <cell r="J614" t="str">
            <v>–</v>
          </cell>
          <cell r="K614" t="str">
            <v>–</v>
          </cell>
          <cell r="L614" t="str">
            <v>–</v>
          </cell>
          <cell r="M614" t="str">
            <v>–</v>
          </cell>
          <cell r="N614" t="str">
            <v>–</v>
          </cell>
          <cell r="O614" t="str">
            <v>–</v>
          </cell>
          <cell r="P614">
            <v>3</v>
          </cell>
          <cell r="Q614" t="str">
            <v>–</v>
          </cell>
          <cell r="R614" t="str">
            <v>–</v>
          </cell>
          <cell r="S614" t="str">
            <v>–</v>
          </cell>
          <cell r="T614" t="str">
            <v>–</v>
          </cell>
          <cell r="U614" t="str">
            <v>–</v>
          </cell>
          <cell r="V614" t="str">
            <v>–</v>
          </cell>
          <cell r="W614">
            <v>0.188</v>
          </cell>
          <cell r="X614" t="str">
            <v>–</v>
          </cell>
          <cell r="Y614" t="str">
            <v>–</v>
          </cell>
          <cell r="Z614" t="str">
            <v>–</v>
          </cell>
          <cell r="AA614" t="str">
            <v>–</v>
          </cell>
          <cell r="AB614" t="str">
            <v>–</v>
          </cell>
          <cell r="AC614" t="str">
            <v>–</v>
          </cell>
          <cell r="AD614">
            <v>0.81200000000000006</v>
          </cell>
          <cell r="AE614" t="str">
            <v>–</v>
          </cell>
          <cell r="AF614" t="str">
            <v>–</v>
          </cell>
          <cell r="AG614">
            <v>0.182</v>
          </cell>
          <cell r="AH614" t="str">
            <v>–</v>
          </cell>
          <cell r="AI614">
            <v>16</v>
          </cell>
          <cell r="AJ614" t="str">
            <v>–</v>
          </cell>
          <cell r="AK614" t="str">
            <v>–</v>
          </cell>
          <cell r="AL614" t="str">
            <v>–</v>
          </cell>
          <cell r="AM614" t="str">
            <v>–</v>
          </cell>
          <cell r="AN614">
            <v>1.9</v>
          </cell>
          <cell r="AO614">
            <v>1.55</v>
          </cell>
          <cell r="AP614">
            <v>0.86599999999999999</v>
          </cell>
          <cell r="AQ614">
            <v>0.93300000000000005</v>
          </cell>
          <cell r="AR614">
            <v>3.35</v>
          </cell>
          <cell r="AS614">
            <v>1.77</v>
          </cell>
          <cell r="AT614">
            <v>1.1200000000000001</v>
          </cell>
          <cell r="AU614">
            <v>1.24</v>
          </cell>
        </row>
        <row r="615">
          <cell r="C615" t="str">
            <v>2L3X3X3/16X3/8</v>
          </cell>
          <cell r="D615" t="str">
            <v>F</v>
          </cell>
          <cell r="E615">
            <v>7.42</v>
          </cell>
          <cell r="F615">
            <v>2.1800000000000002</v>
          </cell>
          <cell r="G615" t="str">
            <v>2L3X3X3/16X3/8</v>
          </cell>
          <cell r="H615">
            <v>3</v>
          </cell>
          <cell r="I615" t="str">
            <v>–</v>
          </cell>
          <cell r="J615" t="str">
            <v>–</v>
          </cell>
          <cell r="K615" t="str">
            <v>–</v>
          </cell>
          <cell r="L615" t="str">
            <v>–</v>
          </cell>
          <cell r="M615" t="str">
            <v>–</v>
          </cell>
          <cell r="N615" t="str">
            <v>–</v>
          </cell>
          <cell r="O615" t="str">
            <v>–</v>
          </cell>
          <cell r="P615">
            <v>3</v>
          </cell>
          <cell r="Q615" t="str">
            <v>–</v>
          </cell>
          <cell r="R615" t="str">
            <v>–</v>
          </cell>
          <cell r="S615" t="str">
            <v>–</v>
          </cell>
          <cell r="T615" t="str">
            <v>–</v>
          </cell>
          <cell r="U615" t="str">
            <v>–</v>
          </cell>
          <cell r="V615" t="str">
            <v>–</v>
          </cell>
          <cell r="W615">
            <v>0.188</v>
          </cell>
          <cell r="X615" t="str">
            <v>–</v>
          </cell>
          <cell r="Y615" t="str">
            <v>–</v>
          </cell>
          <cell r="Z615" t="str">
            <v>–</v>
          </cell>
          <cell r="AA615" t="str">
            <v>–</v>
          </cell>
          <cell r="AB615" t="str">
            <v>–</v>
          </cell>
          <cell r="AC615" t="str">
            <v>–</v>
          </cell>
          <cell r="AD615">
            <v>0.81200000000000006</v>
          </cell>
          <cell r="AE615" t="str">
            <v>–</v>
          </cell>
          <cell r="AF615" t="str">
            <v>–</v>
          </cell>
          <cell r="AG615">
            <v>0.182</v>
          </cell>
          <cell r="AH615" t="str">
            <v>–</v>
          </cell>
          <cell r="AI615">
            <v>16</v>
          </cell>
          <cell r="AJ615" t="str">
            <v>–</v>
          </cell>
          <cell r="AK615" t="str">
            <v>–</v>
          </cell>
          <cell r="AL615" t="str">
            <v>–</v>
          </cell>
          <cell r="AM615" t="str">
            <v>–</v>
          </cell>
          <cell r="AN615">
            <v>1.9</v>
          </cell>
          <cell r="AO615">
            <v>1.55</v>
          </cell>
          <cell r="AP615">
            <v>0.86599999999999999</v>
          </cell>
          <cell r="AQ615">
            <v>0.93300000000000005</v>
          </cell>
          <cell r="AR615">
            <v>4.09</v>
          </cell>
          <cell r="AS615">
            <v>2.1800000000000002</v>
          </cell>
          <cell r="AT615">
            <v>1.28</v>
          </cell>
          <cell r="AU615">
            <v>1.37</v>
          </cell>
        </row>
        <row r="616">
          <cell r="C616" t="str">
            <v>2L3X3X3/16X3/4</v>
          </cell>
          <cell r="D616" t="str">
            <v>F</v>
          </cell>
          <cell r="E616">
            <v>7.42</v>
          </cell>
          <cell r="F616">
            <v>2.1800000000000002</v>
          </cell>
          <cell r="G616" t="str">
            <v>2L3X3X3/16X3/4</v>
          </cell>
          <cell r="H616">
            <v>3</v>
          </cell>
          <cell r="I616" t="str">
            <v>–</v>
          </cell>
          <cell r="J616" t="str">
            <v>–</v>
          </cell>
          <cell r="K616" t="str">
            <v>–</v>
          </cell>
          <cell r="L616" t="str">
            <v>–</v>
          </cell>
          <cell r="M616" t="str">
            <v>–</v>
          </cell>
          <cell r="N616" t="str">
            <v>–</v>
          </cell>
          <cell r="O616" t="str">
            <v>–</v>
          </cell>
          <cell r="P616">
            <v>3</v>
          </cell>
          <cell r="Q616" t="str">
            <v>–</v>
          </cell>
          <cell r="R616" t="str">
            <v>–</v>
          </cell>
          <cell r="S616" t="str">
            <v>–</v>
          </cell>
          <cell r="T616" t="str">
            <v>–</v>
          </cell>
          <cell r="U616" t="str">
            <v>–</v>
          </cell>
          <cell r="V616" t="str">
            <v>–</v>
          </cell>
          <cell r="W616">
            <v>0.188</v>
          </cell>
          <cell r="X616" t="str">
            <v>–</v>
          </cell>
          <cell r="Y616" t="str">
            <v>–</v>
          </cell>
          <cell r="Z616" t="str">
            <v>–</v>
          </cell>
          <cell r="AA616" t="str">
            <v>–</v>
          </cell>
          <cell r="AB616" t="str">
            <v>–</v>
          </cell>
          <cell r="AC616" t="str">
            <v>–</v>
          </cell>
          <cell r="AD616">
            <v>0.81200000000000006</v>
          </cell>
          <cell r="AE616" t="str">
            <v>–</v>
          </cell>
          <cell r="AF616" t="str">
            <v>–</v>
          </cell>
          <cell r="AG616">
            <v>0.182</v>
          </cell>
          <cell r="AH616" t="str">
            <v>–</v>
          </cell>
          <cell r="AI616">
            <v>16</v>
          </cell>
          <cell r="AJ616" t="str">
            <v>–</v>
          </cell>
          <cell r="AK616" t="str">
            <v>–</v>
          </cell>
          <cell r="AL616" t="str">
            <v>–</v>
          </cell>
          <cell r="AM616" t="str">
            <v>–</v>
          </cell>
          <cell r="AN616">
            <v>1.9</v>
          </cell>
          <cell r="AO616">
            <v>1.55</v>
          </cell>
          <cell r="AP616">
            <v>0.86599999999999999</v>
          </cell>
          <cell r="AQ616">
            <v>0.93300000000000005</v>
          </cell>
          <cell r="AR616">
            <v>4.97</v>
          </cell>
          <cell r="AS616">
            <v>2.59</v>
          </cell>
          <cell r="AT616">
            <v>1.47</v>
          </cell>
          <cell r="AU616">
            <v>1.51</v>
          </cell>
        </row>
        <row r="617">
          <cell r="C617" t="str">
            <v>2L2-1/2X2-1/2X1/2</v>
          </cell>
          <cell r="D617" t="str">
            <v>F</v>
          </cell>
          <cell r="E617">
            <v>15.4</v>
          </cell>
          <cell r="F617">
            <v>4.5199999999999996</v>
          </cell>
          <cell r="G617" t="str">
            <v>2L2-1/2X2-1/2X1/2</v>
          </cell>
          <cell r="H617">
            <v>2.5</v>
          </cell>
          <cell r="I617" t="str">
            <v>–</v>
          </cell>
          <cell r="J617" t="str">
            <v>–</v>
          </cell>
          <cell r="K617" t="str">
            <v>–</v>
          </cell>
          <cell r="L617" t="str">
            <v>–</v>
          </cell>
          <cell r="M617" t="str">
            <v>–</v>
          </cell>
          <cell r="N617" t="str">
            <v>–</v>
          </cell>
          <cell r="O617" t="str">
            <v>–</v>
          </cell>
          <cell r="P617">
            <v>2.5</v>
          </cell>
          <cell r="Q617" t="str">
            <v>–</v>
          </cell>
          <cell r="R617" t="str">
            <v>–</v>
          </cell>
          <cell r="S617" t="str">
            <v>–</v>
          </cell>
          <cell r="T617" t="str">
            <v>–</v>
          </cell>
          <cell r="U617" t="str">
            <v>–</v>
          </cell>
          <cell r="V617" t="str">
            <v>–</v>
          </cell>
          <cell r="W617">
            <v>0.5</v>
          </cell>
          <cell r="X617" t="str">
            <v>–</v>
          </cell>
          <cell r="Y617" t="str">
            <v>–</v>
          </cell>
          <cell r="Z617" t="str">
            <v>–</v>
          </cell>
          <cell r="AA617" t="str">
            <v>–</v>
          </cell>
          <cell r="AB617" t="str">
            <v>–</v>
          </cell>
          <cell r="AC617" t="str">
            <v>–</v>
          </cell>
          <cell r="AD617">
            <v>0.80300000000000005</v>
          </cell>
          <cell r="AE617" t="str">
            <v>–</v>
          </cell>
          <cell r="AF617" t="str">
            <v>–</v>
          </cell>
          <cell r="AG617">
            <v>0.45200000000000001</v>
          </cell>
          <cell r="AH617" t="str">
            <v>–</v>
          </cell>
          <cell r="AI617">
            <v>5</v>
          </cell>
          <cell r="AJ617" t="str">
            <v>–</v>
          </cell>
          <cell r="AK617" t="str">
            <v>–</v>
          </cell>
          <cell r="AL617" t="str">
            <v>–</v>
          </cell>
          <cell r="AM617" t="str">
            <v>–</v>
          </cell>
          <cell r="AN617">
            <v>2.44</v>
          </cell>
          <cell r="AO617">
            <v>2.58</v>
          </cell>
          <cell r="AP617">
            <v>1.43</v>
          </cell>
          <cell r="AQ617">
            <v>0.73499999999999999</v>
          </cell>
          <cell r="AR617">
            <v>5.37</v>
          </cell>
          <cell r="AS617">
            <v>3.63</v>
          </cell>
          <cell r="AT617">
            <v>2.15</v>
          </cell>
          <cell r="AU617">
            <v>1.0900000000000001</v>
          </cell>
        </row>
        <row r="618">
          <cell r="C618" t="str">
            <v>2L2-1/2X2-1/2X1/2X3/8</v>
          </cell>
          <cell r="D618" t="str">
            <v>F</v>
          </cell>
          <cell r="E618">
            <v>15.4</v>
          </cell>
          <cell r="F618">
            <v>4.5199999999999996</v>
          </cell>
          <cell r="G618" t="str">
            <v>2L2-1/2X2-1/2X1/2X3/8</v>
          </cell>
          <cell r="H618">
            <v>2.5</v>
          </cell>
          <cell r="I618" t="str">
            <v>–</v>
          </cell>
          <cell r="J618" t="str">
            <v>–</v>
          </cell>
          <cell r="K618" t="str">
            <v>–</v>
          </cell>
          <cell r="L618" t="str">
            <v>–</v>
          </cell>
          <cell r="M618" t="str">
            <v>–</v>
          </cell>
          <cell r="N618" t="str">
            <v>–</v>
          </cell>
          <cell r="O618" t="str">
            <v>–</v>
          </cell>
          <cell r="P618">
            <v>2.5</v>
          </cell>
          <cell r="Q618" t="str">
            <v>–</v>
          </cell>
          <cell r="R618" t="str">
            <v>–</v>
          </cell>
          <cell r="S618" t="str">
            <v>–</v>
          </cell>
          <cell r="T618" t="str">
            <v>–</v>
          </cell>
          <cell r="U618" t="str">
            <v>–</v>
          </cell>
          <cell r="V618" t="str">
            <v>–</v>
          </cell>
          <cell r="W618">
            <v>0.5</v>
          </cell>
          <cell r="X618" t="str">
            <v>–</v>
          </cell>
          <cell r="Y618" t="str">
            <v>–</v>
          </cell>
          <cell r="Z618" t="str">
            <v>–</v>
          </cell>
          <cell r="AA618" t="str">
            <v>–</v>
          </cell>
          <cell r="AB618" t="str">
            <v>–</v>
          </cell>
          <cell r="AC618" t="str">
            <v>–</v>
          </cell>
          <cell r="AD618">
            <v>0.80300000000000005</v>
          </cell>
          <cell r="AE618" t="str">
            <v>–</v>
          </cell>
          <cell r="AF618" t="str">
            <v>–</v>
          </cell>
          <cell r="AG618">
            <v>0.45200000000000001</v>
          </cell>
          <cell r="AH618" t="str">
            <v>–</v>
          </cell>
          <cell r="AI618">
            <v>5</v>
          </cell>
          <cell r="AJ618" t="str">
            <v>–</v>
          </cell>
          <cell r="AK618" t="str">
            <v>–</v>
          </cell>
          <cell r="AL618" t="str">
            <v>–</v>
          </cell>
          <cell r="AM618" t="str">
            <v>–</v>
          </cell>
          <cell r="AN618">
            <v>2.44</v>
          </cell>
          <cell r="AO618">
            <v>2.58</v>
          </cell>
          <cell r="AP618">
            <v>1.43</v>
          </cell>
          <cell r="AQ618">
            <v>0.73499999999999999</v>
          </cell>
          <cell r="AR618">
            <v>6.84</v>
          </cell>
          <cell r="AS618">
            <v>4.4800000000000004</v>
          </cell>
          <cell r="AT618">
            <v>2.5499999999999998</v>
          </cell>
          <cell r="AU618">
            <v>1.23</v>
          </cell>
        </row>
        <row r="619">
          <cell r="C619" t="str">
            <v>2L2-1/2X2-1/2X1/2X3/4</v>
          </cell>
          <cell r="D619" t="str">
            <v>F</v>
          </cell>
          <cell r="E619">
            <v>15.4</v>
          </cell>
          <cell r="F619">
            <v>4.5199999999999996</v>
          </cell>
          <cell r="G619" t="str">
            <v>2L2-1/2X2-1/2X1/2X3/4</v>
          </cell>
          <cell r="H619">
            <v>2.5</v>
          </cell>
          <cell r="I619" t="str">
            <v>–</v>
          </cell>
          <cell r="J619" t="str">
            <v>–</v>
          </cell>
          <cell r="K619" t="str">
            <v>–</v>
          </cell>
          <cell r="L619" t="str">
            <v>–</v>
          </cell>
          <cell r="M619" t="str">
            <v>–</v>
          </cell>
          <cell r="N619" t="str">
            <v>–</v>
          </cell>
          <cell r="O619" t="str">
            <v>–</v>
          </cell>
          <cell r="P619">
            <v>2.5</v>
          </cell>
          <cell r="Q619" t="str">
            <v>–</v>
          </cell>
          <cell r="R619" t="str">
            <v>–</v>
          </cell>
          <cell r="S619" t="str">
            <v>–</v>
          </cell>
          <cell r="T619" t="str">
            <v>–</v>
          </cell>
          <cell r="U619" t="str">
            <v>–</v>
          </cell>
          <cell r="V619" t="str">
            <v>–</v>
          </cell>
          <cell r="W619">
            <v>0.5</v>
          </cell>
          <cell r="X619" t="str">
            <v>–</v>
          </cell>
          <cell r="Y619" t="str">
            <v>–</v>
          </cell>
          <cell r="Z619" t="str">
            <v>–</v>
          </cell>
          <cell r="AA619" t="str">
            <v>–</v>
          </cell>
          <cell r="AB619" t="str">
            <v>–</v>
          </cell>
          <cell r="AC619" t="str">
            <v>–</v>
          </cell>
          <cell r="AD619">
            <v>0.80300000000000005</v>
          </cell>
          <cell r="AE619" t="str">
            <v>–</v>
          </cell>
          <cell r="AF619" t="str">
            <v>–</v>
          </cell>
          <cell r="AG619">
            <v>0.45200000000000001</v>
          </cell>
          <cell r="AH619" t="str">
            <v>–</v>
          </cell>
          <cell r="AI619">
            <v>5</v>
          </cell>
          <cell r="AJ619" t="str">
            <v>–</v>
          </cell>
          <cell r="AK619" t="str">
            <v>–</v>
          </cell>
          <cell r="AL619" t="str">
            <v>–</v>
          </cell>
          <cell r="AM619" t="str">
            <v>–</v>
          </cell>
          <cell r="AN619">
            <v>2.44</v>
          </cell>
          <cell r="AO619">
            <v>2.58</v>
          </cell>
          <cell r="AP619">
            <v>1.43</v>
          </cell>
          <cell r="AQ619">
            <v>0.73499999999999999</v>
          </cell>
          <cell r="AR619">
            <v>8.73</v>
          </cell>
          <cell r="AS619">
            <v>5.32</v>
          </cell>
          <cell r="AT619">
            <v>3.04</v>
          </cell>
          <cell r="AU619">
            <v>1.39</v>
          </cell>
        </row>
        <row r="620">
          <cell r="C620" t="str">
            <v>2L2-1/2X2-1/2X3/8</v>
          </cell>
          <cell r="D620" t="str">
            <v>F</v>
          </cell>
          <cell r="E620">
            <v>11.8</v>
          </cell>
          <cell r="F620">
            <v>3.46</v>
          </cell>
          <cell r="G620" t="str">
            <v>2L2-1/2X2-1/2X3/8</v>
          </cell>
          <cell r="H620">
            <v>2.5</v>
          </cell>
          <cell r="I620" t="str">
            <v>–</v>
          </cell>
          <cell r="J620" t="str">
            <v>–</v>
          </cell>
          <cell r="K620" t="str">
            <v>–</v>
          </cell>
          <cell r="L620" t="str">
            <v>–</v>
          </cell>
          <cell r="M620" t="str">
            <v>–</v>
          </cell>
          <cell r="N620" t="str">
            <v>–</v>
          </cell>
          <cell r="O620" t="str">
            <v>–</v>
          </cell>
          <cell r="P620">
            <v>2.5</v>
          </cell>
          <cell r="Q620" t="str">
            <v>–</v>
          </cell>
          <cell r="R620" t="str">
            <v>–</v>
          </cell>
          <cell r="S620" t="str">
            <v>–</v>
          </cell>
          <cell r="T620" t="str">
            <v>–</v>
          </cell>
          <cell r="U620" t="str">
            <v>–</v>
          </cell>
          <cell r="V620" t="str">
            <v>–</v>
          </cell>
          <cell r="W620">
            <v>0.375</v>
          </cell>
          <cell r="X620" t="str">
            <v>–</v>
          </cell>
          <cell r="Y620" t="str">
            <v>–</v>
          </cell>
          <cell r="Z620" t="str">
            <v>–</v>
          </cell>
          <cell r="AA620" t="str">
            <v>–</v>
          </cell>
          <cell r="AB620" t="str">
            <v>–</v>
          </cell>
          <cell r="AC620" t="str">
            <v>–</v>
          </cell>
          <cell r="AD620">
            <v>0.75800000000000001</v>
          </cell>
          <cell r="AE620" t="str">
            <v>–</v>
          </cell>
          <cell r="AF620" t="str">
            <v>–</v>
          </cell>
          <cell r="AG620">
            <v>0.34599999999999997</v>
          </cell>
          <cell r="AH620" t="str">
            <v>–</v>
          </cell>
          <cell r="AI620">
            <v>6.67</v>
          </cell>
          <cell r="AJ620" t="str">
            <v>–</v>
          </cell>
          <cell r="AK620" t="str">
            <v>–</v>
          </cell>
          <cell r="AL620" t="str">
            <v>–</v>
          </cell>
          <cell r="AM620" t="str">
            <v>–</v>
          </cell>
          <cell r="AN620">
            <v>1.94</v>
          </cell>
          <cell r="AO620">
            <v>2.02</v>
          </cell>
          <cell r="AP620">
            <v>1.1200000000000001</v>
          </cell>
          <cell r="AQ620">
            <v>0.749</v>
          </cell>
          <cell r="AR620">
            <v>3.96</v>
          </cell>
          <cell r="AS620">
            <v>2.62</v>
          </cell>
          <cell r="AT620">
            <v>1.58</v>
          </cell>
          <cell r="AU620">
            <v>1.07</v>
          </cell>
        </row>
        <row r="621">
          <cell r="C621" t="str">
            <v>2L2-1/2X2-1/2X3/8X3/8</v>
          </cell>
          <cell r="D621" t="str">
            <v>F</v>
          </cell>
          <cell r="E621">
            <v>11.8</v>
          </cell>
          <cell r="F621">
            <v>3.46</v>
          </cell>
          <cell r="G621" t="str">
            <v>2L2-1/2X2-1/2X3/8X3/8</v>
          </cell>
          <cell r="H621">
            <v>2.5</v>
          </cell>
          <cell r="I621" t="str">
            <v>–</v>
          </cell>
          <cell r="J621" t="str">
            <v>–</v>
          </cell>
          <cell r="K621" t="str">
            <v>–</v>
          </cell>
          <cell r="L621" t="str">
            <v>–</v>
          </cell>
          <cell r="M621" t="str">
            <v>–</v>
          </cell>
          <cell r="N621" t="str">
            <v>–</v>
          </cell>
          <cell r="O621" t="str">
            <v>–</v>
          </cell>
          <cell r="P621">
            <v>2.5</v>
          </cell>
          <cell r="Q621" t="str">
            <v>–</v>
          </cell>
          <cell r="R621" t="str">
            <v>–</v>
          </cell>
          <cell r="S621" t="str">
            <v>–</v>
          </cell>
          <cell r="T621" t="str">
            <v>–</v>
          </cell>
          <cell r="U621" t="str">
            <v>–</v>
          </cell>
          <cell r="V621" t="str">
            <v>–</v>
          </cell>
          <cell r="W621">
            <v>0.375</v>
          </cell>
          <cell r="X621" t="str">
            <v>–</v>
          </cell>
          <cell r="Y621" t="str">
            <v>–</v>
          </cell>
          <cell r="Z621" t="str">
            <v>–</v>
          </cell>
          <cell r="AA621" t="str">
            <v>–</v>
          </cell>
          <cell r="AB621" t="str">
            <v>–</v>
          </cell>
          <cell r="AC621" t="str">
            <v>–</v>
          </cell>
          <cell r="AD621">
            <v>0.75800000000000001</v>
          </cell>
          <cell r="AE621" t="str">
            <v>–</v>
          </cell>
          <cell r="AF621" t="str">
            <v>–</v>
          </cell>
          <cell r="AG621">
            <v>0.34599999999999997</v>
          </cell>
          <cell r="AH621" t="str">
            <v>–</v>
          </cell>
          <cell r="AI621">
            <v>6.67</v>
          </cell>
          <cell r="AJ621" t="str">
            <v>–</v>
          </cell>
          <cell r="AK621" t="str">
            <v>–</v>
          </cell>
          <cell r="AL621" t="str">
            <v>–</v>
          </cell>
          <cell r="AM621" t="str">
            <v>–</v>
          </cell>
          <cell r="AN621">
            <v>1.94</v>
          </cell>
          <cell r="AO621">
            <v>2.02</v>
          </cell>
          <cell r="AP621">
            <v>1.1200000000000001</v>
          </cell>
          <cell r="AQ621">
            <v>0.749</v>
          </cell>
          <cell r="AR621">
            <v>5.07</v>
          </cell>
          <cell r="AS621">
            <v>3.27</v>
          </cell>
          <cell r="AT621">
            <v>1.89</v>
          </cell>
          <cell r="AU621">
            <v>1.21</v>
          </cell>
        </row>
        <row r="622">
          <cell r="C622" t="str">
            <v>2L2-1/2X2-1/2X3/8X3/4</v>
          </cell>
          <cell r="D622" t="str">
            <v>F</v>
          </cell>
          <cell r="E622">
            <v>11.8</v>
          </cell>
          <cell r="F622">
            <v>3.46</v>
          </cell>
          <cell r="G622" t="str">
            <v>2L2-1/2X2-1/2X3/8X3/4</v>
          </cell>
          <cell r="H622">
            <v>2.5</v>
          </cell>
          <cell r="I622" t="str">
            <v>–</v>
          </cell>
          <cell r="J622" t="str">
            <v>–</v>
          </cell>
          <cell r="K622" t="str">
            <v>–</v>
          </cell>
          <cell r="L622" t="str">
            <v>–</v>
          </cell>
          <cell r="M622" t="str">
            <v>–</v>
          </cell>
          <cell r="N622" t="str">
            <v>–</v>
          </cell>
          <cell r="O622" t="str">
            <v>–</v>
          </cell>
          <cell r="P622">
            <v>2.5</v>
          </cell>
          <cell r="Q622" t="str">
            <v>–</v>
          </cell>
          <cell r="R622" t="str">
            <v>–</v>
          </cell>
          <cell r="S622" t="str">
            <v>–</v>
          </cell>
          <cell r="T622" t="str">
            <v>–</v>
          </cell>
          <cell r="U622" t="str">
            <v>–</v>
          </cell>
          <cell r="V622" t="str">
            <v>–</v>
          </cell>
          <cell r="W622">
            <v>0.375</v>
          </cell>
          <cell r="X622" t="str">
            <v>–</v>
          </cell>
          <cell r="Y622" t="str">
            <v>–</v>
          </cell>
          <cell r="Z622" t="str">
            <v>–</v>
          </cell>
          <cell r="AA622" t="str">
            <v>–</v>
          </cell>
          <cell r="AB622" t="str">
            <v>–</v>
          </cell>
          <cell r="AC622" t="str">
            <v>–</v>
          </cell>
          <cell r="AD622">
            <v>0.75800000000000001</v>
          </cell>
          <cell r="AE622" t="str">
            <v>–</v>
          </cell>
          <cell r="AF622" t="str">
            <v>–</v>
          </cell>
          <cell r="AG622">
            <v>0.34599999999999997</v>
          </cell>
          <cell r="AH622" t="str">
            <v>–</v>
          </cell>
          <cell r="AI622">
            <v>6.67</v>
          </cell>
          <cell r="AJ622" t="str">
            <v>–</v>
          </cell>
          <cell r="AK622" t="str">
            <v>–</v>
          </cell>
          <cell r="AL622" t="str">
            <v>–</v>
          </cell>
          <cell r="AM622" t="str">
            <v>–</v>
          </cell>
          <cell r="AN622">
            <v>1.94</v>
          </cell>
          <cell r="AO622">
            <v>2.02</v>
          </cell>
          <cell r="AP622">
            <v>1.1200000000000001</v>
          </cell>
          <cell r="AQ622">
            <v>0.749</v>
          </cell>
          <cell r="AR622">
            <v>6.4</v>
          </cell>
          <cell r="AS622">
            <v>3.92</v>
          </cell>
          <cell r="AT622">
            <v>2.23</v>
          </cell>
          <cell r="AU622">
            <v>1.36</v>
          </cell>
        </row>
        <row r="623">
          <cell r="C623" t="str">
            <v>2L2-1/2X2-1/2X5/16</v>
          </cell>
          <cell r="D623" t="str">
            <v>F</v>
          </cell>
          <cell r="E623">
            <v>10</v>
          </cell>
          <cell r="F623">
            <v>2.92</v>
          </cell>
          <cell r="G623" t="str">
            <v>2L2-1/2X2-1/2X5/16</v>
          </cell>
          <cell r="H623">
            <v>2.5</v>
          </cell>
          <cell r="I623" t="str">
            <v>–</v>
          </cell>
          <cell r="J623" t="str">
            <v>–</v>
          </cell>
          <cell r="K623" t="str">
            <v>–</v>
          </cell>
          <cell r="L623" t="str">
            <v>–</v>
          </cell>
          <cell r="M623" t="str">
            <v>–</v>
          </cell>
          <cell r="N623" t="str">
            <v>–</v>
          </cell>
          <cell r="O623" t="str">
            <v>–</v>
          </cell>
          <cell r="P623">
            <v>2.5</v>
          </cell>
          <cell r="Q623" t="str">
            <v>–</v>
          </cell>
          <cell r="R623" t="str">
            <v>–</v>
          </cell>
          <cell r="S623" t="str">
            <v>–</v>
          </cell>
          <cell r="T623" t="str">
            <v>–</v>
          </cell>
          <cell r="U623" t="str">
            <v>–</v>
          </cell>
          <cell r="V623" t="str">
            <v>–</v>
          </cell>
          <cell r="W623">
            <v>0.313</v>
          </cell>
          <cell r="X623" t="str">
            <v>–</v>
          </cell>
          <cell r="Y623" t="str">
            <v>–</v>
          </cell>
          <cell r="Z623" t="str">
            <v>–</v>
          </cell>
          <cell r="AA623" t="str">
            <v>–</v>
          </cell>
          <cell r="AB623" t="str">
            <v>–</v>
          </cell>
          <cell r="AC623" t="str">
            <v>–</v>
          </cell>
          <cell r="AD623">
            <v>0.73499999999999999</v>
          </cell>
          <cell r="AE623" t="str">
            <v>–</v>
          </cell>
          <cell r="AF623" t="str">
            <v>–</v>
          </cell>
          <cell r="AG623">
            <v>0.29199999999999998</v>
          </cell>
          <cell r="AH623" t="str">
            <v>–</v>
          </cell>
          <cell r="AI623">
            <v>7.99</v>
          </cell>
          <cell r="AJ623" t="str">
            <v>–</v>
          </cell>
          <cell r="AK623" t="str">
            <v>–</v>
          </cell>
          <cell r="AL623" t="str">
            <v>–</v>
          </cell>
          <cell r="AM623" t="str">
            <v>–</v>
          </cell>
          <cell r="AN623">
            <v>1.67</v>
          </cell>
          <cell r="AO623">
            <v>1.71</v>
          </cell>
          <cell r="AP623">
            <v>0.94799999999999995</v>
          </cell>
          <cell r="AQ623">
            <v>0.75600000000000001</v>
          </cell>
          <cell r="AR623">
            <v>3.22</v>
          </cell>
          <cell r="AS623">
            <v>2.15</v>
          </cell>
          <cell r="AT623">
            <v>1.29</v>
          </cell>
          <cell r="AU623">
            <v>1.05</v>
          </cell>
        </row>
        <row r="624">
          <cell r="C624" t="str">
            <v>2L2-1/2X2-1/2X5/16X3/8</v>
          </cell>
          <cell r="D624" t="str">
            <v>F</v>
          </cell>
          <cell r="E624">
            <v>10</v>
          </cell>
          <cell r="F624">
            <v>2.92</v>
          </cell>
          <cell r="G624" t="str">
            <v>2L2-1/2X2-1/2X5/16X3/8</v>
          </cell>
          <cell r="H624">
            <v>2.5</v>
          </cell>
          <cell r="I624" t="str">
            <v>–</v>
          </cell>
          <cell r="J624" t="str">
            <v>–</v>
          </cell>
          <cell r="K624" t="str">
            <v>–</v>
          </cell>
          <cell r="L624" t="str">
            <v>–</v>
          </cell>
          <cell r="M624" t="str">
            <v>–</v>
          </cell>
          <cell r="N624" t="str">
            <v>–</v>
          </cell>
          <cell r="O624" t="str">
            <v>–</v>
          </cell>
          <cell r="P624">
            <v>2.5</v>
          </cell>
          <cell r="Q624" t="str">
            <v>–</v>
          </cell>
          <cell r="R624" t="str">
            <v>–</v>
          </cell>
          <cell r="S624" t="str">
            <v>–</v>
          </cell>
          <cell r="T624" t="str">
            <v>–</v>
          </cell>
          <cell r="U624" t="str">
            <v>–</v>
          </cell>
          <cell r="V624" t="str">
            <v>–</v>
          </cell>
          <cell r="W624">
            <v>0.313</v>
          </cell>
          <cell r="X624" t="str">
            <v>–</v>
          </cell>
          <cell r="Y624" t="str">
            <v>–</v>
          </cell>
          <cell r="Z624" t="str">
            <v>–</v>
          </cell>
          <cell r="AA624" t="str">
            <v>–</v>
          </cell>
          <cell r="AB624" t="str">
            <v>–</v>
          </cell>
          <cell r="AC624" t="str">
            <v>–</v>
          </cell>
          <cell r="AD624">
            <v>0.73499999999999999</v>
          </cell>
          <cell r="AE624" t="str">
            <v>–</v>
          </cell>
          <cell r="AF624" t="str">
            <v>–</v>
          </cell>
          <cell r="AG624">
            <v>0.29199999999999998</v>
          </cell>
          <cell r="AH624" t="str">
            <v>–</v>
          </cell>
          <cell r="AI624">
            <v>7.99</v>
          </cell>
          <cell r="AJ624" t="str">
            <v>–</v>
          </cell>
          <cell r="AK624" t="str">
            <v>–</v>
          </cell>
          <cell r="AL624" t="str">
            <v>–</v>
          </cell>
          <cell r="AM624" t="str">
            <v>–</v>
          </cell>
          <cell r="AN624">
            <v>1.67</v>
          </cell>
          <cell r="AO624">
            <v>1.71</v>
          </cell>
          <cell r="AP624">
            <v>0.94799999999999995</v>
          </cell>
          <cell r="AQ624">
            <v>0.75600000000000001</v>
          </cell>
          <cell r="AR624">
            <v>4.1399999999999997</v>
          </cell>
          <cell r="AS624">
            <v>2.69</v>
          </cell>
          <cell r="AT624">
            <v>1.54</v>
          </cell>
          <cell r="AU624">
            <v>1.19</v>
          </cell>
        </row>
        <row r="625">
          <cell r="C625" t="str">
            <v>2L2-1/2X2-1/2X5/16X3/4</v>
          </cell>
          <cell r="D625" t="str">
            <v>F</v>
          </cell>
          <cell r="E625">
            <v>10</v>
          </cell>
          <cell r="F625">
            <v>2.92</v>
          </cell>
          <cell r="G625" t="str">
            <v>2L2-1/2X2-1/2X5/16X3/4</v>
          </cell>
          <cell r="H625">
            <v>2.5</v>
          </cell>
          <cell r="I625" t="str">
            <v>–</v>
          </cell>
          <cell r="J625" t="str">
            <v>–</v>
          </cell>
          <cell r="K625" t="str">
            <v>–</v>
          </cell>
          <cell r="L625" t="str">
            <v>–</v>
          </cell>
          <cell r="M625" t="str">
            <v>–</v>
          </cell>
          <cell r="N625" t="str">
            <v>–</v>
          </cell>
          <cell r="O625" t="str">
            <v>–</v>
          </cell>
          <cell r="P625">
            <v>2.5</v>
          </cell>
          <cell r="Q625" t="str">
            <v>–</v>
          </cell>
          <cell r="R625" t="str">
            <v>–</v>
          </cell>
          <cell r="S625" t="str">
            <v>–</v>
          </cell>
          <cell r="T625" t="str">
            <v>–</v>
          </cell>
          <cell r="U625" t="str">
            <v>–</v>
          </cell>
          <cell r="V625" t="str">
            <v>–</v>
          </cell>
          <cell r="W625">
            <v>0.313</v>
          </cell>
          <cell r="X625" t="str">
            <v>–</v>
          </cell>
          <cell r="Y625" t="str">
            <v>–</v>
          </cell>
          <cell r="Z625" t="str">
            <v>–</v>
          </cell>
          <cell r="AA625" t="str">
            <v>–</v>
          </cell>
          <cell r="AB625" t="str">
            <v>–</v>
          </cell>
          <cell r="AC625" t="str">
            <v>–</v>
          </cell>
          <cell r="AD625">
            <v>0.73499999999999999</v>
          </cell>
          <cell r="AE625" t="str">
            <v>–</v>
          </cell>
          <cell r="AF625" t="str">
            <v>–</v>
          </cell>
          <cell r="AG625">
            <v>0.29199999999999998</v>
          </cell>
          <cell r="AH625" t="str">
            <v>–</v>
          </cell>
          <cell r="AI625">
            <v>7.99</v>
          </cell>
          <cell r="AJ625" t="str">
            <v>–</v>
          </cell>
          <cell r="AK625" t="str">
            <v>–</v>
          </cell>
          <cell r="AL625" t="str">
            <v>–</v>
          </cell>
          <cell r="AM625" t="str">
            <v>–</v>
          </cell>
          <cell r="AN625">
            <v>1.67</v>
          </cell>
          <cell r="AO625">
            <v>1.71</v>
          </cell>
          <cell r="AP625">
            <v>0.94799999999999995</v>
          </cell>
          <cell r="AQ625">
            <v>0.75600000000000001</v>
          </cell>
          <cell r="AR625">
            <v>5.24</v>
          </cell>
          <cell r="AS625">
            <v>3.24</v>
          </cell>
          <cell r="AT625">
            <v>1.82</v>
          </cell>
          <cell r="AU625">
            <v>1.34</v>
          </cell>
        </row>
        <row r="626">
          <cell r="C626" t="str">
            <v>2L2-1/2X2-1/2X1/4</v>
          </cell>
          <cell r="D626" t="str">
            <v>F</v>
          </cell>
          <cell r="E626">
            <v>8.1999999999999993</v>
          </cell>
          <cell r="F626">
            <v>2.38</v>
          </cell>
          <cell r="G626" t="str">
            <v>2L2-1/2X2-1/2X1/4</v>
          </cell>
          <cell r="H626">
            <v>2.5</v>
          </cell>
          <cell r="I626" t="str">
            <v>–</v>
          </cell>
          <cell r="J626" t="str">
            <v>–</v>
          </cell>
          <cell r="K626" t="str">
            <v>–</v>
          </cell>
          <cell r="L626" t="str">
            <v>–</v>
          </cell>
          <cell r="M626" t="str">
            <v>–</v>
          </cell>
          <cell r="N626" t="str">
            <v>–</v>
          </cell>
          <cell r="O626" t="str">
            <v>–</v>
          </cell>
          <cell r="P626">
            <v>2.5</v>
          </cell>
          <cell r="Q626" t="str">
            <v>–</v>
          </cell>
          <cell r="R626" t="str">
            <v>–</v>
          </cell>
          <cell r="S626" t="str">
            <v>–</v>
          </cell>
          <cell r="T626" t="str">
            <v>–</v>
          </cell>
          <cell r="U626" t="str">
            <v>–</v>
          </cell>
          <cell r="V626" t="str">
            <v>–</v>
          </cell>
          <cell r="W626">
            <v>0.25</v>
          </cell>
          <cell r="X626" t="str">
            <v>–</v>
          </cell>
          <cell r="Y626" t="str">
            <v>–</v>
          </cell>
          <cell r="Z626" t="str">
            <v>–</v>
          </cell>
          <cell r="AA626" t="str">
            <v>–</v>
          </cell>
          <cell r="AB626" t="str">
            <v>–</v>
          </cell>
          <cell r="AC626" t="str">
            <v>–</v>
          </cell>
          <cell r="AD626">
            <v>0.71099999999999997</v>
          </cell>
          <cell r="AE626" t="str">
            <v>–</v>
          </cell>
          <cell r="AF626" t="str">
            <v>–</v>
          </cell>
          <cell r="AG626">
            <v>0.23799999999999999</v>
          </cell>
          <cell r="AH626" t="str">
            <v>–</v>
          </cell>
          <cell r="AI626">
            <v>10</v>
          </cell>
          <cell r="AJ626" t="str">
            <v>–</v>
          </cell>
          <cell r="AK626" t="str">
            <v>–</v>
          </cell>
          <cell r="AL626" t="str">
            <v>–</v>
          </cell>
          <cell r="AM626" t="str">
            <v>–</v>
          </cell>
          <cell r="AN626">
            <v>1.38</v>
          </cell>
          <cell r="AO626">
            <v>1.39</v>
          </cell>
          <cell r="AP626">
            <v>0.77400000000000002</v>
          </cell>
          <cell r="AQ626">
            <v>0.76400000000000001</v>
          </cell>
          <cell r="AR626">
            <v>2.57</v>
          </cell>
          <cell r="AS626">
            <v>1.69</v>
          </cell>
          <cell r="AT626">
            <v>1.03</v>
          </cell>
          <cell r="AU626">
            <v>1.04</v>
          </cell>
        </row>
        <row r="627">
          <cell r="C627" t="str">
            <v>2L2-1/2X2-1/2X1/4X3/8</v>
          </cell>
          <cell r="D627" t="str">
            <v>F</v>
          </cell>
          <cell r="E627">
            <v>8.1999999999999993</v>
          </cell>
          <cell r="F627">
            <v>2.38</v>
          </cell>
          <cell r="G627" t="str">
            <v>2L2-1/2X2-1/2X1/4X3/8</v>
          </cell>
          <cell r="H627">
            <v>2.5</v>
          </cell>
          <cell r="I627" t="str">
            <v>–</v>
          </cell>
          <cell r="J627" t="str">
            <v>–</v>
          </cell>
          <cell r="K627" t="str">
            <v>–</v>
          </cell>
          <cell r="L627" t="str">
            <v>–</v>
          </cell>
          <cell r="M627" t="str">
            <v>–</v>
          </cell>
          <cell r="N627" t="str">
            <v>–</v>
          </cell>
          <cell r="O627" t="str">
            <v>–</v>
          </cell>
          <cell r="P627">
            <v>2.5</v>
          </cell>
          <cell r="Q627" t="str">
            <v>–</v>
          </cell>
          <cell r="R627" t="str">
            <v>–</v>
          </cell>
          <cell r="S627" t="str">
            <v>–</v>
          </cell>
          <cell r="T627" t="str">
            <v>–</v>
          </cell>
          <cell r="U627" t="str">
            <v>–</v>
          </cell>
          <cell r="V627" t="str">
            <v>–</v>
          </cell>
          <cell r="W627">
            <v>0.25</v>
          </cell>
          <cell r="X627" t="str">
            <v>–</v>
          </cell>
          <cell r="Y627" t="str">
            <v>–</v>
          </cell>
          <cell r="Z627" t="str">
            <v>–</v>
          </cell>
          <cell r="AA627" t="str">
            <v>–</v>
          </cell>
          <cell r="AB627" t="str">
            <v>–</v>
          </cell>
          <cell r="AC627" t="str">
            <v>–</v>
          </cell>
          <cell r="AD627">
            <v>0.71099999999999997</v>
          </cell>
          <cell r="AE627" t="str">
            <v>–</v>
          </cell>
          <cell r="AF627" t="str">
            <v>–</v>
          </cell>
          <cell r="AG627">
            <v>0.23799999999999999</v>
          </cell>
          <cell r="AH627" t="str">
            <v>–</v>
          </cell>
          <cell r="AI627">
            <v>10</v>
          </cell>
          <cell r="AJ627" t="str">
            <v>–</v>
          </cell>
          <cell r="AK627" t="str">
            <v>–</v>
          </cell>
          <cell r="AL627" t="str">
            <v>–</v>
          </cell>
          <cell r="AM627" t="str">
            <v>–</v>
          </cell>
          <cell r="AN627">
            <v>1.38</v>
          </cell>
          <cell r="AO627">
            <v>1.39</v>
          </cell>
          <cell r="AP627">
            <v>0.77400000000000002</v>
          </cell>
          <cell r="AQ627">
            <v>0.76400000000000001</v>
          </cell>
          <cell r="AR627">
            <v>3.31</v>
          </cell>
          <cell r="AS627">
            <v>2.14</v>
          </cell>
          <cell r="AT627">
            <v>1.23</v>
          </cell>
          <cell r="AU627">
            <v>1.18</v>
          </cell>
        </row>
        <row r="628">
          <cell r="C628" t="str">
            <v>2L2-1/2X2-1/2X1/4X3/4</v>
          </cell>
          <cell r="D628" t="str">
            <v>F</v>
          </cell>
          <cell r="E628">
            <v>8.1999999999999993</v>
          </cell>
          <cell r="F628">
            <v>2.38</v>
          </cell>
          <cell r="G628" t="str">
            <v>2L2-1/2X2-1/2X1/4X3/4</v>
          </cell>
          <cell r="H628">
            <v>2.5</v>
          </cell>
          <cell r="I628" t="str">
            <v>–</v>
          </cell>
          <cell r="J628" t="str">
            <v>–</v>
          </cell>
          <cell r="K628" t="str">
            <v>–</v>
          </cell>
          <cell r="L628" t="str">
            <v>–</v>
          </cell>
          <cell r="M628" t="str">
            <v>–</v>
          </cell>
          <cell r="N628" t="str">
            <v>–</v>
          </cell>
          <cell r="O628" t="str">
            <v>–</v>
          </cell>
          <cell r="P628">
            <v>2.5</v>
          </cell>
          <cell r="Q628" t="str">
            <v>–</v>
          </cell>
          <cell r="R628" t="str">
            <v>–</v>
          </cell>
          <cell r="S628" t="str">
            <v>–</v>
          </cell>
          <cell r="T628" t="str">
            <v>–</v>
          </cell>
          <cell r="U628" t="str">
            <v>–</v>
          </cell>
          <cell r="V628" t="str">
            <v>–</v>
          </cell>
          <cell r="W628">
            <v>0.25</v>
          </cell>
          <cell r="X628" t="str">
            <v>–</v>
          </cell>
          <cell r="Y628" t="str">
            <v>–</v>
          </cell>
          <cell r="Z628" t="str">
            <v>–</v>
          </cell>
          <cell r="AA628" t="str">
            <v>–</v>
          </cell>
          <cell r="AB628" t="str">
            <v>–</v>
          </cell>
          <cell r="AC628" t="str">
            <v>–</v>
          </cell>
          <cell r="AD628">
            <v>0.71099999999999997</v>
          </cell>
          <cell r="AE628" t="str">
            <v>–</v>
          </cell>
          <cell r="AF628" t="str">
            <v>–</v>
          </cell>
          <cell r="AG628">
            <v>0.23799999999999999</v>
          </cell>
          <cell r="AH628" t="str">
            <v>–</v>
          </cell>
          <cell r="AI628">
            <v>10</v>
          </cell>
          <cell r="AJ628" t="str">
            <v>–</v>
          </cell>
          <cell r="AK628" t="str">
            <v>–</v>
          </cell>
          <cell r="AL628" t="str">
            <v>–</v>
          </cell>
          <cell r="AM628" t="str">
            <v>–</v>
          </cell>
          <cell r="AN628">
            <v>1.38</v>
          </cell>
          <cell r="AO628">
            <v>1.39</v>
          </cell>
          <cell r="AP628">
            <v>0.77400000000000002</v>
          </cell>
          <cell r="AQ628">
            <v>0.76400000000000001</v>
          </cell>
          <cell r="AR628">
            <v>4.21</v>
          </cell>
          <cell r="AS628">
            <v>2.58</v>
          </cell>
          <cell r="AT628">
            <v>1.46</v>
          </cell>
          <cell r="AU628">
            <v>1.33</v>
          </cell>
        </row>
        <row r="629">
          <cell r="C629" t="str">
            <v>2L2-1/2X2-1/2X3/16</v>
          </cell>
          <cell r="D629" t="str">
            <v>F</v>
          </cell>
          <cell r="E629">
            <v>6.14</v>
          </cell>
          <cell r="F629">
            <v>1.8</v>
          </cell>
          <cell r="G629" t="str">
            <v>2L2-1/2X2-1/2X3/16</v>
          </cell>
          <cell r="H629">
            <v>2.5</v>
          </cell>
          <cell r="I629" t="str">
            <v>–</v>
          </cell>
          <cell r="J629" t="str">
            <v>–</v>
          </cell>
          <cell r="K629" t="str">
            <v>–</v>
          </cell>
          <cell r="L629" t="str">
            <v>–</v>
          </cell>
          <cell r="M629" t="str">
            <v>–</v>
          </cell>
          <cell r="N629" t="str">
            <v>–</v>
          </cell>
          <cell r="O629" t="str">
            <v>–</v>
          </cell>
          <cell r="P629">
            <v>2.5</v>
          </cell>
          <cell r="Q629" t="str">
            <v>–</v>
          </cell>
          <cell r="R629" t="str">
            <v>–</v>
          </cell>
          <cell r="S629" t="str">
            <v>–</v>
          </cell>
          <cell r="T629" t="str">
            <v>–</v>
          </cell>
          <cell r="U629" t="str">
            <v>–</v>
          </cell>
          <cell r="V629" t="str">
            <v>–</v>
          </cell>
          <cell r="W629">
            <v>0.188</v>
          </cell>
          <cell r="X629" t="str">
            <v>–</v>
          </cell>
          <cell r="Y629" t="str">
            <v>–</v>
          </cell>
          <cell r="Z629" t="str">
            <v>–</v>
          </cell>
          <cell r="AA629" t="str">
            <v>–</v>
          </cell>
          <cell r="AB629" t="str">
            <v>–</v>
          </cell>
          <cell r="AC629" t="str">
            <v>–</v>
          </cell>
          <cell r="AD629">
            <v>0.68700000000000006</v>
          </cell>
          <cell r="AE629" t="str">
            <v>–</v>
          </cell>
          <cell r="AF629" t="str">
            <v>–</v>
          </cell>
          <cell r="AG629">
            <v>0.18</v>
          </cell>
          <cell r="AH629" t="str">
            <v>–</v>
          </cell>
          <cell r="AI629">
            <v>13.3</v>
          </cell>
          <cell r="AJ629" t="str">
            <v>–</v>
          </cell>
          <cell r="AK629" t="str">
            <v>–</v>
          </cell>
          <cell r="AL629" t="str">
            <v>–</v>
          </cell>
          <cell r="AM629" t="str">
            <v>–</v>
          </cell>
          <cell r="AN629">
            <v>1.07</v>
          </cell>
          <cell r="AO629">
            <v>1.06</v>
          </cell>
          <cell r="AP629">
            <v>0.59</v>
          </cell>
          <cell r="AQ629">
            <v>0.77100000000000002</v>
          </cell>
          <cell r="AR629">
            <v>1.91</v>
          </cell>
          <cell r="AS629">
            <v>1.24</v>
          </cell>
          <cell r="AT629">
            <v>0.76400000000000001</v>
          </cell>
          <cell r="AU629">
            <v>1.03</v>
          </cell>
        </row>
        <row r="630">
          <cell r="C630" t="str">
            <v>2L2-1/2X2-1/2X3/16X3/8</v>
          </cell>
          <cell r="D630" t="str">
            <v>F</v>
          </cell>
          <cell r="E630">
            <v>6.14</v>
          </cell>
          <cell r="F630">
            <v>1.8</v>
          </cell>
          <cell r="G630" t="str">
            <v>2L2-1/2X2-1/2X3/16X3/8</v>
          </cell>
          <cell r="H630">
            <v>2.5</v>
          </cell>
          <cell r="I630" t="str">
            <v>–</v>
          </cell>
          <cell r="J630" t="str">
            <v>–</v>
          </cell>
          <cell r="K630" t="str">
            <v>–</v>
          </cell>
          <cell r="L630" t="str">
            <v>–</v>
          </cell>
          <cell r="M630" t="str">
            <v>–</v>
          </cell>
          <cell r="N630" t="str">
            <v>–</v>
          </cell>
          <cell r="O630" t="str">
            <v>–</v>
          </cell>
          <cell r="P630">
            <v>2.5</v>
          </cell>
          <cell r="Q630" t="str">
            <v>–</v>
          </cell>
          <cell r="R630" t="str">
            <v>–</v>
          </cell>
          <cell r="S630" t="str">
            <v>–</v>
          </cell>
          <cell r="T630" t="str">
            <v>–</v>
          </cell>
          <cell r="U630" t="str">
            <v>–</v>
          </cell>
          <cell r="V630" t="str">
            <v>–</v>
          </cell>
          <cell r="W630">
            <v>0.188</v>
          </cell>
          <cell r="X630" t="str">
            <v>–</v>
          </cell>
          <cell r="Y630" t="str">
            <v>–</v>
          </cell>
          <cell r="Z630" t="str">
            <v>–</v>
          </cell>
          <cell r="AA630" t="str">
            <v>–</v>
          </cell>
          <cell r="AB630" t="str">
            <v>–</v>
          </cell>
          <cell r="AC630" t="str">
            <v>–</v>
          </cell>
          <cell r="AD630">
            <v>0.68700000000000006</v>
          </cell>
          <cell r="AE630" t="str">
            <v>–</v>
          </cell>
          <cell r="AF630" t="str">
            <v>–</v>
          </cell>
          <cell r="AG630">
            <v>0.18</v>
          </cell>
          <cell r="AH630" t="str">
            <v>–</v>
          </cell>
          <cell r="AI630">
            <v>13.3</v>
          </cell>
          <cell r="AJ630" t="str">
            <v>–</v>
          </cell>
          <cell r="AK630" t="str">
            <v>–</v>
          </cell>
          <cell r="AL630" t="str">
            <v>–</v>
          </cell>
          <cell r="AM630" t="str">
            <v>–</v>
          </cell>
          <cell r="AN630">
            <v>1.07</v>
          </cell>
          <cell r="AO630">
            <v>1.06</v>
          </cell>
          <cell r="AP630">
            <v>0.59</v>
          </cell>
          <cell r="AQ630">
            <v>0.77100000000000002</v>
          </cell>
          <cell r="AR630">
            <v>2.46</v>
          </cell>
          <cell r="AS630">
            <v>1.58</v>
          </cell>
          <cell r="AT630">
            <v>0.91500000000000004</v>
          </cell>
          <cell r="AU630">
            <v>1.17</v>
          </cell>
        </row>
        <row r="631">
          <cell r="C631" t="str">
            <v>2L2-1/2X2-1/2X3/16X3/4</v>
          </cell>
          <cell r="D631" t="str">
            <v>F</v>
          </cell>
          <cell r="E631">
            <v>6.14</v>
          </cell>
          <cell r="F631">
            <v>1.8</v>
          </cell>
          <cell r="G631" t="str">
            <v>2L2-1/2X2-1/2X3/16X3/4</v>
          </cell>
          <cell r="H631">
            <v>2.5</v>
          </cell>
          <cell r="I631" t="str">
            <v>–</v>
          </cell>
          <cell r="J631" t="str">
            <v>–</v>
          </cell>
          <cell r="K631" t="str">
            <v>–</v>
          </cell>
          <cell r="L631" t="str">
            <v>–</v>
          </cell>
          <cell r="M631" t="str">
            <v>–</v>
          </cell>
          <cell r="N631" t="str">
            <v>–</v>
          </cell>
          <cell r="O631" t="str">
            <v>–</v>
          </cell>
          <cell r="P631">
            <v>2.5</v>
          </cell>
          <cell r="Q631" t="str">
            <v>–</v>
          </cell>
          <cell r="R631" t="str">
            <v>–</v>
          </cell>
          <cell r="S631" t="str">
            <v>–</v>
          </cell>
          <cell r="T631" t="str">
            <v>–</v>
          </cell>
          <cell r="U631" t="str">
            <v>–</v>
          </cell>
          <cell r="V631" t="str">
            <v>–</v>
          </cell>
          <cell r="W631">
            <v>0.188</v>
          </cell>
          <cell r="X631" t="str">
            <v>–</v>
          </cell>
          <cell r="Y631" t="str">
            <v>–</v>
          </cell>
          <cell r="Z631" t="str">
            <v>–</v>
          </cell>
          <cell r="AA631" t="str">
            <v>–</v>
          </cell>
          <cell r="AB631" t="str">
            <v>–</v>
          </cell>
          <cell r="AC631" t="str">
            <v>–</v>
          </cell>
          <cell r="AD631">
            <v>0.68700000000000006</v>
          </cell>
          <cell r="AE631" t="str">
            <v>–</v>
          </cell>
          <cell r="AF631" t="str">
            <v>–</v>
          </cell>
          <cell r="AG631">
            <v>0.18</v>
          </cell>
          <cell r="AH631" t="str">
            <v>–</v>
          </cell>
          <cell r="AI631">
            <v>13.3</v>
          </cell>
          <cell r="AJ631" t="str">
            <v>–</v>
          </cell>
          <cell r="AK631" t="str">
            <v>–</v>
          </cell>
          <cell r="AL631" t="str">
            <v>–</v>
          </cell>
          <cell r="AM631" t="str">
            <v>–</v>
          </cell>
          <cell r="AN631">
            <v>1.07</v>
          </cell>
          <cell r="AO631">
            <v>1.06</v>
          </cell>
          <cell r="AP631">
            <v>0.59</v>
          </cell>
          <cell r="AQ631">
            <v>0.77100000000000002</v>
          </cell>
          <cell r="AR631">
            <v>3.09</v>
          </cell>
          <cell r="AS631">
            <v>1.91</v>
          </cell>
          <cell r="AT631">
            <v>1.07</v>
          </cell>
          <cell r="AU631">
            <v>1.31</v>
          </cell>
        </row>
        <row r="632">
          <cell r="C632" t="str">
            <v>2L2X2X3/8</v>
          </cell>
          <cell r="D632" t="str">
            <v>F</v>
          </cell>
          <cell r="E632">
            <v>9.4</v>
          </cell>
          <cell r="F632">
            <v>2.74</v>
          </cell>
          <cell r="G632" t="str">
            <v>2L2X2X3/8</v>
          </cell>
          <cell r="H632">
            <v>2</v>
          </cell>
          <cell r="I632" t="str">
            <v>–</v>
          </cell>
          <cell r="J632" t="str">
            <v>–</v>
          </cell>
          <cell r="K632" t="str">
            <v>–</v>
          </cell>
          <cell r="L632" t="str">
            <v>–</v>
          </cell>
          <cell r="M632" t="str">
            <v>–</v>
          </cell>
          <cell r="N632" t="str">
            <v>–</v>
          </cell>
          <cell r="O632" t="str">
            <v>–</v>
          </cell>
          <cell r="P632">
            <v>2</v>
          </cell>
          <cell r="Q632" t="str">
            <v>–</v>
          </cell>
          <cell r="R632" t="str">
            <v>–</v>
          </cell>
          <cell r="S632" t="str">
            <v>–</v>
          </cell>
          <cell r="T632" t="str">
            <v>–</v>
          </cell>
          <cell r="U632" t="str">
            <v>–</v>
          </cell>
          <cell r="V632" t="str">
            <v>–</v>
          </cell>
          <cell r="W632">
            <v>0.375</v>
          </cell>
          <cell r="X632" t="str">
            <v>–</v>
          </cell>
          <cell r="Y632" t="str">
            <v>–</v>
          </cell>
          <cell r="Z632" t="str">
            <v>–</v>
          </cell>
          <cell r="AA632" t="str">
            <v>–</v>
          </cell>
          <cell r="AB632" t="str">
            <v>–</v>
          </cell>
          <cell r="AC632" t="str">
            <v>–</v>
          </cell>
          <cell r="AD632">
            <v>0.63200000000000001</v>
          </cell>
          <cell r="AE632" t="str">
            <v>–</v>
          </cell>
          <cell r="AF632" t="str">
            <v>–</v>
          </cell>
          <cell r="AG632">
            <v>0.34300000000000003</v>
          </cell>
          <cell r="AH632" t="str">
            <v>–</v>
          </cell>
          <cell r="AI632">
            <v>5.33</v>
          </cell>
          <cell r="AJ632" t="str">
            <v>–</v>
          </cell>
          <cell r="AK632" t="str">
            <v>–</v>
          </cell>
          <cell r="AL632" t="str">
            <v>–</v>
          </cell>
          <cell r="AM632" t="str">
            <v>–</v>
          </cell>
          <cell r="AN632">
            <v>0.95199999999999996</v>
          </cell>
          <cell r="AO632">
            <v>1.26</v>
          </cell>
          <cell r="AP632">
            <v>0.69599999999999995</v>
          </cell>
          <cell r="AQ632">
            <v>0.59099999999999997</v>
          </cell>
          <cell r="AR632">
            <v>2.0499999999999998</v>
          </cell>
          <cell r="AS632">
            <v>1.73</v>
          </cell>
          <cell r="AT632">
            <v>1.02</v>
          </cell>
          <cell r="AU632">
            <v>0.86499999999999999</v>
          </cell>
        </row>
        <row r="633">
          <cell r="C633" t="str">
            <v>2L2X2X3/8X3/8</v>
          </cell>
          <cell r="D633" t="str">
            <v>F</v>
          </cell>
          <cell r="E633">
            <v>9.4</v>
          </cell>
          <cell r="F633">
            <v>2.74</v>
          </cell>
          <cell r="G633" t="str">
            <v>2L2X2X3/8X3/8</v>
          </cell>
          <cell r="H633">
            <v>2</v>
          </cell>
          <cell r="I633" t="str">
            <v>–</v>
          </cell>
          <cell r="J633" t="str">
            <v>–</v>
          </cell>
          <cell r="K633" t="str">
            <v>–</v>
          </cell>
          <cell r="L633" t="str">
            <v>–</v>
          </cell>
          <cell r="M633" t="str">
            <v>–</v>
          </cell>
          <cell r="N633" t="str">
            <v>–</v>
          </cell>
          <cell r="O633" t="str">
            <v>–</v>
          </cell>
          <cell r="P633">
            <v>2</v>
          </cell>
          <cell r="Q633" t="str">
            <v>–</v>
          </cell>
          <cell r="R633" t="str">
            <v>–</v>
          </cell>
          <cell r="S633" t="str">
            <v>–</v>
          </cell>
          <cell r="T633" t="str">
            <v>–</v>
          </cell>
          <cell r="U633" t="str">
            <v>–</v>
          </cell>
          <cell r="V633" t="str">
            <v>–</v>
          </cell>
          <cell r="W633">
            <v>0.375</v>
          </cell>
          <cell r="X633" t="str">
            <v>–</v>
          </cell>
          <cell r="Y633" t="str">
            <v>–</v>
          </cell>
          <cell r="Z633" t="str">
            <v>–</v>
          </cell>
          <cell r="AA633" t="str">
            <v>–</v>
          </cell>
          <cell r="AB633" t="str">
            <v>–</v>
          </cell>
          <cell r="AC633" t="str">
            <v>–</v>
          </cell>
          <cell r="AD633">
            <v>0.63200000000000001</v>
          </cell>
          <cell r="AE633" t="str">
            <v>–</v>
          </cell>
          <cell r="AF633" t="str">
            <v>–</v>
          </cell>
          <cell r="AG633">
            <v>0.34300000000000003</v>
          </cell>
          <cell r="AH633" t="str">
            <v>–</v>
          </cell>
          <cell r="AI633">
            <v>5.33</v>
          </cell>
          <cell r="AJ633" t="str">
            <v>–</v>
          </cell>
          <cell r="AK633" t="str">
            <v>–</v>
          </cell>
          <cell r="AL633" t="str">
            <v>–</v>
          </cell>
          <cell r="AM633" t="str">
            <v>–</v>
          </cell>
          <cell r="AN633">
            <v>0.95199999999999996</v>
          </cell>
          <cell r="AO633">
            <v>1.26</v>
          </cell>
          <cell r="AP633">
            <v>0.69599999999999995</v>
          </cell>
          <cell r="AQ633">
            <v>0.59099999999999997</v>
          </cell>
          <cell r="AR633">
            <v>2.8</v>
          </cell>
          <cell r="AS633">
            <v>2.25</v>
          </cell>
          <cell r="AT633">
            <v>1.28</v>
          </cell>
          <cell r="AU633">
            <v>1.01</v>
          </cell>
        </row>
        <row r="634">
          <cell r="C634" t="str">
            <v>2L2X2X3/8X3/4</v>
          </cell>
          <cell r="D634" t="str">
            <v>F</v>
          </cell>
          <cell r="E634">
            <v>9.4</v>
          </cell>
          <cell r="F634">
            <v>2.74</v>
          </cell>
          <cell r="G634" t="str">
            <v>2L2X2X3/8X3/4</v>
          </cell>
          <cell r="H634">
            <v>2</v>
          </cell>
          <cell r="I634" t="str">
            <v>–</v>
          </cell>
          <cell r="J634" t="str">
            <v>–</v>
          </cell>
          <cell r="K634" t="str">
            <v>–</v>
          </cell>
          <cell r="L634" t="str">
            <v>–</v>
          </cell>
          <cell r="M634" t="str">
            <v>–</v>
          </cell>
          <cell r="N634" t="str">
            <v>–</v>
          </cell>
          <cell r="O634" t="str">
            <v>–</v>
          </cell>
          <cell r="P634">
            <v>2</v>
          </cell>
          <cell r="Q634" t="str">
            <v>–</v>
          </cell>
          <cell r="R634" t="str">
            <v>–</v>
          </cell>
          <cell r="S634" t="str">
            <v>–</v>
          </cell>
          <cell r="T634" t="str">
            <v>–</v>
          </cell>
          <cell r="U634" t="str">
            <v>–</v>
          </cell>
          <cell r="V634" t="str">
            <v>–</v>
          </cell>
          <cell r="W634">
            <v>0.375</v>
          </cell>
          <cell r="X634" t="str">
            <v>–</v>
          </cell>
          <cell r="Y634" t="str">
            <v>–</v>
          </cell>
          <cell r="Z634" t="str">
            <v>–</v>
          </cell>
          <cell r="AA634" t="str">
            <v>–</v>
          </cell>
          <cell r="AB634" t="str">
            <v>–</v>
          </cell>
          <cell r="AC634" t="str">
            <v>–</v>
          </cell>
          <cell r="AD634">
            <v>0.63200000000000001</v>
          </cell>
          <cell r="AE634" t="str">
            <v>–</v>
          </cell>
          <cell r="AF634" t="str">
            <v>–</v>
          </cell>
          <cell r="AG634">
            <v>0.34300000000000003</v>
          </cell>
          <cell r="AH634" t="str">
            <v>–</v>
          </cell>
          <cell r="AI634">
            <v>5.33</v>
          </cell>
          <cell r="AJ634" t="str">
            <v>–</v>
          </cell>
          <cell r="AK634" t="str">
            <v>–</v>
          </cell>
          <cell r="AL634" t="str">
            <v>–</v>
          </cell>
          <cell r="AM634" t="str">
            <v>–</v>
          </cell>
          <cell r="AN634">
            <v>0.95199999999999996</v>
          </cell>
          <cell r="AO634">
            <v>1.26</v>
          </cell>
          <cell r="AP634">
            <v>0.69599999999999995</v>
          </cell>
          <cell r="AQ634">
            <v>0.59099999999999997</v>
          </cell>
          <cell r="AR634">
            <v>3.75</v>
          </cell>
          <cell r="AS634">
            <v>2.76</v>
          </cell>
          <cell r="AT634">
            <v>1.58</v>
          </cell>
          <cell r="AU634">
            <v>1.17</v>
          </cell>
        </row>
        <row r="635">
          <cell r="C635" t="str">
            <v>2L2X2X5/16</v>
          </cell>
          <cell r="D635" t="str">
            <v>F</v>
          </cell>
          <cell r="E635">
            <v>7.84</v>
          </cell>
          <cell r="F635">
            <v>2.3199999999999998</v>
          </cell>
          <cell r="G635" t="str">
            <v>2L2X2X5/16</v>
          </cell>
          <cell r="H635">
            <v>2</v>
          </cell>
          <cell r="I635" t="str">
            <v>–</v>
          </cell>
          <cell r="J635" t="str">
            <v>–</v>
          </cell>
          <cell r="K635" t="str">
            <v>–</v>
          </cell>
          <cell r="L635" t="str">
            <v>–</v>
          </cell>
          <cell r="M635" t="str">
            <v>–</v>
          </cell>
          <cell r="N635" t="str">
            <v>–</v>
          </cell>
          <cell r="O635" t="str">
            <v>–</v>
          </cell>
          <cell r="P635">
            <v>2</v>
          </cell>
          <cell r="Q635" t="str">
            <v>–</v>
          </cell>
          <cell r="R635" t="str">
            <v>–</v>
          </cell>
          <cell r="S635" t="str">
            <v>–</v>
          </cell>
          <cell r="T635" t="str">
            <v>–</v>
          </cell>
          <cell r="U635" t="str">
            <v>–</v>
          </cell>
          <cell r="V635" t="str">
            <v>–</v>
          </cell>
          <cell r="W635">
            <v>0.313</v>
          </cell>
          <cell r="X635" t="str">
            <v>–</v>
          </cell>
          <cell r="Y635" t="str">
            <v>–</v>
          </cell>
          <cell r="Z635" t="str">
            <v>–</v>
          </cell>
          <cell r="AA635" t="str">
            <v>–</v>
          </cell>
          <cell r="AB635" t="str">
            <v>–</v>
          </cell>
          <cell r="AC635" t="str">
            <v>–</v>
          </cell>
          <cell r="AD635">
            <v>0.60899999999999999</v>
          </cell>
          <cell r="AE635" t="str">
            <v>–</v>
          </cell>
          <cell r="AF635" t="str">
            <v>–</v>
          </cell>
          <cell r="AG635">
            <v>0.28999999999999998</v>
          </cell>
          <cell r="AH635" t="str">
            <v>–</v>
          </cell>
          <cell r="AI635">
            <v>6.39</v>
          </cell>
          <cell r="AJ635" t="str">
            <v>–</v>
          </cell>
          <cell r="AK635" t="str">
            <v>–</v>
          </cell>
          <cell r="AL635" t="str">
            <v>–</v>
          </cell>
          <cell r="AM635" t="str">
            <v>–</v>
          </cell>
          <cell r="AN635">
            <v>0.82799999999999996</v>
          </cell>
          <cell r="AO635">
            <v>1.07</v>
          </cell>
          <cell r="AP635">
            <v>0.59599999999999997</v>
          </cell>
          <cell r="AQ635">
            <v>0.59799999999999998</v>
          </cell>
          <cell r="AR635">
            <v>1.69</v>
          </cell>
          <cell r="AS635">
            <v>1.41</v>
          </cell>
          <cell r="AT635">
            <v>0.84499999999999997</v>
          </cell>
          <cell r="AU635">
            <v>0.85299999999999998</v>
          </cell>
        </row>
        <row r="636">
          <cell r="C636" t="str">
            <v>2L2X2X5/16X3/8</v>
          </cell>
          <cell r="D636" t="str">
            <v>F</v>
          </cell>
          <cell r="E636">
            <v>7.84</v>
          </cell>
          <cell r="F636">
            <v>2.3199999999999998</v>
          </cell>
          <cell r="G636" t="str">
            <v>2L2X2X5/16X3/8</v>
          </cell>
          <cell r="H636">
            <v>2</v>
          </cell>
          <cell r="I636" t="str">
            <v>–</v>
          </cell>
          <cell r="J636" t="str">
            <v>–</v>
          </cell>
          <cell r="K636" t="str">
            <v>–</v>
          </cell>
          <cell r="L636" t="str">
            <v>–</v>
          </cell>
          <cell r="M636" t="str">
            <v>–</v>
          </cell>
          <cell r="N636" t="str">
            <v>–</v>
          </cell>
          <cell r="O636" t="str">
            <v>–</v>
          </cell>
          <cell r="P636">
            <v>2</v>
          </cell>
          <cell r="Q636" t="str">
            <v>–</v>
          </cell>
          <cell r="R636" t="str">
            <v>–</v>
          </cell>
          <cell r="S636" t="str">
            <v>–</v>
          </cell>
          <cell r="T636" t="str">
            <v>–</v>
          </cell>
          <cell r="U636" t="str">
            <v>–</v>
          </cell>
          <cell r="V636" t="str">
            <v>–</v>
          </cell>
          <cell r="W636">
            <v>0.313</v>
          </cell>
          <cell r="X636" t="str">
            <v>–</v>
          </cell>
          <cell r="Y636" t="str">
            <v>–</v>
          </cell>
          <cell r="Z636" t="str">
            <v>–</v>
          </cell>
          <cell r="AA636" t="str">
            <v>–</v>
          </cell>
          <cell r="AB636" t="str">
            <v>–</v>
          </cell>
          <cell r="AC636" t="str">
            <v>–</v>
          </cell>
          <cell r="AD636">
            <v>0.60899999999999999</v>
          </cell>
          <cell r="AE636" t="str">
            <v>–</v>
          </cell>
          <cell r="AF636" t="str">
            <v>–</v>
          </cell>
          <cell r="AG636">
            <v>0.28999999999999998</v>
          </cell>
          <cell r="AH636" t="str">
            <v>–</v>
          </cell>
          <cell r="AI636">
            <v>6.39</v>
          </cell>
          <cell r="AJ636" t="str">
            <v>–</v>
          </cell>
          <cell r="AK636" t="str">
            <v>–</v>
          </cell>
          <cell r="AL636" t="str">
            <v>–</v>
          </cell>
          <cell r="AM636" t="str">
            <v>–</v>
          </cell>
          <cell r="AN636">
            <v>0.82799999999999996</v>
          </cell>
          <cell r="AO636">
            <v>1.07</v>
          </cell>
          <cell r="AP636">
            <v>0.59599999999999997</v>
          </cell>
          <cell r="AQ636">
            <v>0.59799999999999998</v>
          </cell>
          <cell r="AR636">
            <v>2.2999999999999998</v>
          </cell>
          <cell r="AS636">
            <v>1.85</v>
          </cell>
          <cell r="AT636">
            <v>1.05</v>
          </cell>
          <cell r="AU636">
            <v>0.996</v>
          </cell>
        </row>
        <row r="637">
          <cell r="C637" t="str">
            <v>2L2X2X5/16X3/4</v>
          </cell>
          <cell r="D637" t="str">
            <v>F</v>
          </cell>
          <cell r="E637">
            <v>7.84</v>
          </cell>
          <cell r="F637">
            <v>2.3199999999999998</v>
          </cell>
          <cell r="G637" t="str">
            <v>2L2X2X5/16X3/4</v>
          </cell>
          <cell r="H637">
            <v>2</v>
          </cell>
          <cell r="I637" t="str">
            <v>–</v>
          </cell>
          <cell r="J637" t="str">
            <v>–</v>
          </cell>
          <cell r="K637" t="str">
            <v>–</v>
          </cell>
          <cell r="L637" t="str">
            <v>–</v>
          </cell>
          <cell r="M637" t="str">
            <v>–</v>
          </cell>
          <cell r="N637" t="str">
            <v>–</v>
          </cell>
          <cell r="O637" t="str">
            <v>–</v>
          </cell>
          <cell r="P637">
            <v>2</v>
          </cell>
          <cell r="Q637" t="str">
            <v>–</v>
          </cell>
          <cell r="R637" t="str">
            <v>–</v>
          </cell>
          <cell r="S637" t="str">
            <v>–</v>
          </cell>
          <cell r="T637" t="str">
            <v>–</v>
          </cell>
          <cell r="U637" t="str">
            <v>–</v>
          </cell>
          <cell r="V637" t="str">
            <v>–</v>
          </cell>
          <cell r="W637">
            <v>0.313</v>
          </cell>
          <cell r="X637" t="str">
            <v>–</v>
          </cell>
          <cell r="Y637" t="str">
            <v>–</v>
          </cell>
          <cell r="Z637" t="str">
            <v>–</v>
          </cell>
          <cell r="AA637" t="str">
            <v>–</v>
          </cell>
          <cell r="AB637" t="str">
            <v>–</v>
          </cell>
          <cell r="AC637" t="str">
            <v>–</v>
          </cell>
          <cell r="AD637">
            <v>0.60899999999999999</v>
          </cell>
          <cell r="AE637" t="str">
            <v>–</v>
          </cell>
          <cell r="AF637" t="str">
            <v>–</v>
          </cell>
          <cell r="AG637">
            <v>0.28999999999999998</v>
          </cell>
          <cell r="AH637" t="str">
            <v>–</v>
          </cell>
          <cell r="AI637">
            <v>6.39</v>
          </cell>
          <cell r="AJ637" t="str">
            <v>–</v>
          </cell>
          <cell r="AK637" t="str">
            <v>–</v>
          </cell>
          <cell r="AL637" t="str">
            <v>–</v>
          </cell>
          <cell r="AM637" t="str">
            <v>–</v>
          </cell>
          <cell r="AN637">
            <v>0.82799999999999996</v>
          </cell>
          <cell r="AO637">
            <v>1.07</v>
          </cell>
          <cell r="AP637">
            <v>0.59599999999999997</v>
          </cell>
          <cell r="AQ637">
            <v>0.59799999999999998</v>
          </cell>
          <cell r="AR637">
            <v>3.07</v>
          </cell>
          <cell r="AS637">
            <v>2.2799999999999998</v>
          </cell>
          <cell r="AT637">
            <v>1.29</v>
          </cell>
          <cell r="AU637">
            <v>1.1499999999999999</v>
          </cell>
        </row>
        <row r="638">
          <cell r="C638" t="str">
            <v>2L2X2X1/4</v>
          </cell>
          <cell r="D638" t="str">
            <v>F</v>
          </cell>
          <cell r="E638">
            <v>6.38</v>
          </cell>
          <cell r="F638">
            <v>1.89</v>
          </cell>
          <cell r="G638" t="str">
            <v>2L2X2X1/4</v>
          </cell>
          <cell r="H638">
            <v>2</v>
          </cell>
          <cell r="I638" t="str">
            <v>–</v>
          </cell>
          <cell r="J638" t="str">
            <v>–</v>
          </cell>
          <cell r="K638" t="str">
            <v>–</v>
          </cell>
          <cell r="L638" t="str">
            <v>–</v>
          </cell>
          <cell r="M638" t="str">
            <v>–</v>
          </cell>
          <cell r="N638" t="str">
            <v>–</v>
          </cell>
          <cell r="O638" t="str">
            <v>–</v>
          </cell>
          <cell r="P638">
            <v>2</v>
          </cell>
          <cell r="Q638" t="str">
            <v>–</v>
          </cell>
          <cell r="R638" t="str">
            <v>–</v>
          </cell>
          <cell r="S638" t="str">
            <v>–</v>
          </cell>
          <cell r="T638" t="str">
            <v>–</v>
          </cell>
          <cell r="U638" t="str">
            <v>–</v>
          </cell>
          <cell r="V638" t="str">
            <v>–</v>
          </cell>
          <cell r="W638">
            <v>0.25</v>
          </cell>
          <cell r="X638" t="str">
            <v>–</v>
          </cell>
          <cell r="Y638" t="str">
            <v>–</v>
          </cell>
          <cell r="Z638" t="str">
            <v>–</v>
          </cell>
          <cell r="AA638" t="str">
            <v>–</v>
          </cell>
          <cell r="AB638" t="str">
            <v>–</v>
          </cell>
          <cell r="AC638" t="str">
            <v>–</v>
          </cell>
          <cell r="AD638">
            <v>0.58599999999999997</v>
          </cell>
          <cell r="AE638" t="str">
            <v>–</v>
          </cell>
          <cell r="AF638" t="str">
            <v>–</v>
          </cell>
          <cell r="AG638">
            <v>0.23599999999999999</v>
          </cell>
          <cell r="AH638" t="str">
            <v>–</v>
          </cell>
          <cell r="AI638">
            <v>8</v>
          </cell>
          <cell r="AJ638" t="str">
            <v>–</v>
          </cell>
          <cell r="AK638" t="str">
            <v>–</v>
          </cell>
          <cell r="AL638" t="str">
            <v>–</v>
          </cell>
          <cell r="AM638" t="str">
            <v>–</v>
          </cell>
          <cell r="AN638">
            <v>0.69199999999999995</v>
          </cell>
          <cell r="AO638">
            <v>0.88</v>
          </cell>
          <cell r="AP638">
            <v>0.48799999999999999</v>
          </cell>
          <cell r="AQ638">
            <v>0.60499999999999998</v>
          </cell>
          <cell r="AR638">
            <v>1.34</v>
          </cell>
          <cell r="AS638">
            <v>1.1100000000000001</v>
          </cell>
          <cell r="AT638">
            <v>0.67</v>
          </cell>
          <cell r="AU638">
            <v>0.84199999999999997</v>
          </cell>
        </row>
        <row r="639">
          <cell r="C639" t="str">
            <v>2L2X2X1/4X3/8</v>
          </cell>
          <cell r="D639" t="str">
            <v>F</v>
          </cell>
          <cell r="E639">
            <v>6.38</v>
          </cell>
          <cell r="F639">
            <v>1.89</v>
          </cell>
          <cell r="G639" t="str">
            <v>2L2X2X1/4X3/8</v>
          </cell>
          <cell r="H639">
            <v>2</v>
          </cell>
          <cell r="I639" t="str">
            <v>–</v>
          </cell>
          <cell r="J639" t="str">
            <v>–</v>
          </cell>
          <cell r="K639" t="str">
            <v>–</v>
          </cell>
          <cell r="L639" t="str">
            <v>–</v>
          </cell>
          <cell r="M639" t="str">
            <v>–</v>
          </cell>
          <cell r="N639" t="str">
            <v>–</v>
          </cell>
          <cell r="O639" t="str">
            <v>–</v>
          </cell>
          <cell r="P639">
            <v>2</v>
          </cell>
          <cell r="Q639" t="str">
            <v>–</v>
          </cell>
          <cell r="R639" t="str">
            <v>–</v>
          </cell>
          <cell r="S639" t="str">
            <v>–</v>
          </cell>
          <cell r="T639" t="str">
            <v>–</v>
          </cell>
          <cell r="U639" t="str">
            <v>–</v>
          </cell>
          <cell r="V639" t="str">
            <v>–</v>
          </cell>
          <cell r="W639">
            <v>0.25</v>
          </cell>
          <cell r="X639" t="str">
            <v>–</v>
          </cell>
          <cell r="Y639" t="str">
            <v>–</v>
          </cell>
          <cell r="Z639" t="str">
            <v>–</v>
          </cell>
          <cell r="AA639" t="str">
            <v>–</v>
          </cell>
          <cell r="AB639" t="str">
            <v>–</v>
          </cell>
          <cell r="AC639" t="str">
            <v>–</v>
          </cell>
          <cell r="AD639">
            <v>0.58599999999999997</v>
          </cell>
          <cell r="AE639" t="str">
            <v>–</v>
          </cell>
          <cell r="AF639" t="str">
            <v>–</v>
          </cell>
          <cell r="AG639">
            <v>0.23599999999999999</v>
          </cell>
          <cell r="AH639" t="str">
            <v>–</v>
          </cell>
          <cell r="AI639">
            <v>8</v>
          </cell>
          <cell r="AJ639" t="str">
            <v>–</v>
          </cell>
          <cell r="AK639" t="str">
            <v>–</v>
          </cell>
          <cell r="AL639" t="str">
            <v>–</v>
          </cell>
          <cell r="AM639" t="str">
            <v>–</v>
          </cell>
          <cell r="AN639">
            <v>0.69199999999999995</v>
          </cell>
          <cell r="AO639">
            <v>0.88</v>
          </cell>
          <cell r="AP639">
            <v>0.48799999999999999</v>
          </cell>
          <cell r="AQ639">
            <v>0.60499999999999998</v>
          </cell>
          <cell r="AR639">
            <v>1.82</v>
          </cell>
          <cell r="AS639">
            <v>1.46</v>
          </cell>
          <cell r="AT639">
            <v>0.83199999999999996</v>
          </cell>
          <cell r="AU639">
            <v>0.98199999999999998</v>
          </cell>
        </row>
        <row r="640">
          <cell r="C640" t="str">
            <v>2L2X2X1/4X3/4</v>
          </cell>
          <cell r="D640" t="str">
            <v>F</v>
          </cell>
          <cell r="E640">
            <v>6.38</v>
          </cell>
          <cell r="F640">
            <v>1.89</v>
          </cell>
          <cell r="G640" t="str">
            <v>2L2X2X1/4X3/4</v>
          </cell>
          <cell r="H640">
            <v>2</v>
          </cell>
          <cell r="I640" t="str">
            <v>–</v>
          </cell>
          <cell r="J640" t="str">
            <v>–</v>
          </cell>
          <cell r="K640" t="str">
            <v>–</v>
          </cell>
          <cell r="L640" t="str">
            <v>–</v>
          </cell>
          <cell r="M640" t="str">
            <v>–</v>
          </cell>
          <cell r="N640" t="str">
            <v>–</v>
          </cell>
          <cell r="O640" t="str">
            <v>–</v>
          </cell>
          <cell r="P640">
            <v>2</v>
          </cell>
          <cell r="Q640" t="str">
            <v>–</v>
          </cell>
          <cell r="R640" t="str">
            <v>–</v>
          </cell>
          <cell r="S640" t="str">
            <v>–</v>
          </cell>
          <cell r="T640" t="str">
            <v>–</v>
          </cell>
          <cell r="U640" t="str">
            <v>–</v>
          </cell>
          <cell r="V640" t="str">
            <v>–</v>
          </cell>
          <cell r="W640">
            <v>0.25</v>
          </cell>
          <cell r="X640" t="str">
            <v>–</v>
          </cell>
          <cell r="Y640" t="str">
            <v>–</v>
          </cell>
          <cell r="Z640" t="str">
            <v>–</v>
          </cell>
          <cell r="AA640" t="str">
            <v>–</v>
          </cell>
          <cell r="AB640" t="str">
            <v>–</v>
          </cell>
          <cell r="AC640" t="str">
            <v>–</v>
          </cell>
          <cell r="AD640">
            <v>0.58599999999999997</v>
          </cell>
          <cell r="AE640" t="str">
            <v>–</v>
          </cell>
          <cell r="AF640" t="str">
            <v>–</v>
          </cell>
          <cell r="AG640">
            <v>0.23599999999999999</v>
          </cell>
          <cell r="AH640" t="str">
            <v>–</v>
          </cell>
          <cell r="AI640">
            <v>8</v>
          </cell>
          <cell r="AJ640" t="str">
            <v>–</v>
          </cell>
          <cell r="AK640" t="str">
            <v>–</v>
          </cell>
          <cell r="AL640" t="str">
            <v>–</v>
          </cell>
          <cell r="AM640" t="str">
            <v>–</v>
          </cell>
          <cell r="AN640">
            <v>0.69199999999999995</v>
          </cell>
          <cell r="AO640">
            <v>0.88</v>
          </cell>
          <cell r="AP640">
            <v>0.48799999999999999</v>
          </cell>
          <cell r="AQ640">
            <v>0.60499999999999998</v>
          </cell>
          <cell r="AR640">
            <v>2.46</v>
          </cell>
          <cell r="AS640">
            <v>1.81</v>
          </cell>
          <cell r="AT640">
            <v>1.04</v>
          </cell>
          <cell r="AU640">
            <v>1.1399999999999999</v>
          </cell>
        </row>
        <row r="641">
          <cell r="C641" t="str">
            <v>2L2X2X3/16</v>
          </cell>
          <cell r="D641" t="str">
            <v>F</v>
          </cell>
          <cell r="E641">
            <v>4.88</v>
          </cell>
          <cell r="F641">
            <v>1.44</v>
          </cell>
          <cell r="G641" t="str">
            <v>2L2X2X3/16</v>
          </cell>
          <cell r="H641">
            <v>2</v>
          </cell>
          <cell r="I641" t="str">
            <v>–</v>
          </cell>
          <cell r="J641" t="str">
            <v>–</v>
          </cell>
          <cell r="K641" t="str">
            <v>–</v>
          </cell>
          <cell r="L641" t="str">
            <v>–</v>
          </cell>
          <cell r="M641" t="str">
            <v>–</v>
          </cell>
          <cell r="N641" t="str">
            <v>–</v>
          </cell>
          <cell r="O641" t="str">
            <v>–</v>
          </cell>
          <cell r="P641">
            <v>2</v>
          </cell>
          <cell r="Q641" t="str">
            <v>–</v>
          </cell>
          <cell r="R641" t="str">
            <v>–</v>
          </cell>
          <cell r="S641" t="str">
            <v>–</v>
          </cell>
          <cell r="T641" t="str">
            <v>–</v>
          </cell>
          <cell r="U641" t="str">
            <v>–</v>
          </cell>
          <cell r="V641" t="str">
            <v>–</v>
          </cell>
          <cell r="W641">
            <v>0.188</v>
          </cell>
          <cell r="X641" t="str">
            <v>–</v>
          </cell>
          <cell r="Y641" t="str">
            <v>–</v>
          </cell>
          <cell r="Z641" t="str">
            <v>–</v>
          </cell>
          <cell r="AA641" t="str">
            <v>–</v>
          </cell>
          <cell r="AB641" t="str">
            <v>–</v>
          </cell>
          <cell r="AC641" t="str">
            <v>–</v>
          </cell>
          <cell r="AD641">
            <v>0.56100000000000005</v>
          </cell>
          <cell r="AE641" t="str">
            <v>–</v>
          </cell>
          <cell r="AF641" t="str">
            <v>–</v>
          </cell>
          <cell r="AG641">
            <v>0.18099999999999999</v>
          </cell>
          <cell r="AH641" t="str">
            <v>–</v>
          </cell>
          <cell r="AI641">
            <v>10.6</v>
          </cell>
          <cell r="AJ641" t="str">
            <v>–</v>
          </cell>
          <cell r="AK641" t="str">
            <v>–</v>
          </cell>
          <cell r="AL641" t="str">
            <v>–</v>
          </cell>
          <cell r="AM641" t="str">
            <v>–</v>
          </cell>
          <cell r="AN641">
            <v>0.54200000000000004</v>
          </cell>
          <cell r="AO641">
            <v>0.67600000000000005</v>
          </cell>
          <cell r="AP641">
            <v>0.376</v>
          </cell>
          <cell r="AQ641">
            <v>0.61199999999999999</v>
          </cell>
          <cell r="AR641">
            <v>0.99399999999999999</v>
          </cell>
          <cell r="AS641">
            <v>0.81</v>
          </cell>
          <cell r="AT641">
            <v>0.497</v>
          </cell>
          <cell r="AU641">
            <v>0.83100000000000007</v>
          </cell>
        </row>
        <row r="642">
          <cell r="C642" t="str">
            <v>2L2X2X3/16X3/8</v>
          </cell>
          <cell r="D642" t="str">
            <v>F</v>
          </cell>
          <cell r="E642">
            <v>4.88</v>
          </cell>
          <cell r="F642">
            <v>1.44</v>
          </cell>
          <cell r="G642" t="str">
            <v>2L2X2X3/16X3/8</v>
          </cell>
          <cell r="H642">
            <v>2</v>
          </cell>
          <cell r="I642" t="str">
            <v>–</v>
          </cell>
          <cell r="J642" t="str">
            <v>–</v>
          </cell>
          <cell r="K642" t="str">
            <v>–</v>
          </cell>
          <cell r="L642" t="str">
            <v>–</v>
          </cell>
          <cell r="M642" t="str">
            <v>–</v>
          </cell>
          <cell r="N642" t="str">
            <v>–</v>
          </cell>
          <cell r="O642" t="str">
            <v>–</v>
          </cell>
          <cell r="P642">
            <v>2</v>
          </cell>
          <cell r="Q642" t="str">
            <v>–</v>
          </cell>
          <cell r="R642" t="str">
            <v>–</v>
          </cell>
          <cell r="S642" t="str">
            <v>–</v>
          </cell>
          <cell r="T642" t="str">
            <v>–</v>
          </cell>
          <cell r="U642" t="str">
            <v>–</v>
          </cell>
          <cell r="V642" t="str">
            <v>–</v>
          </cell>
          <cell r="W642">
            <v>0.188</v>
          </cell>
          <cell r="X642" t="str">
            <v>–</v>
          </cell>
          <cell r="Y642" t="str">
            <v>–</v>
          </cell>
          <cell r="Z642" t="str">
            <v>–</v>
          </cell>
          <cell r="AA642" t="str">
            <v>–</v>
          </cell>
          <cell r="AB642" t="str">
            <v>–</v>
          </cell>
          <cell r="AC642" t="str">
            <v>–</v>
          </cell>
          <cell r="AD642">
            <v>0.56100000000000005</v>
          </cell>
          <cell r="AE642" t="str">
            <v>–</v>
          </cell>
          <cell r="AF642" t="str">
            <v>–</v>
          </cell>
          <cell r="AG642">
            <v>0.18099999999999999</v>
          </cell>
          <cell r="AH642" t="str">
            <v>–</v>
          </cell>
          <cell r="AI642">
            <v>10.6</v>
          </cell>
          <cell r="AJ642" t="str">
            <v>–</v>
          </cell>
          <cell r="AK642" t="str">
            <v>–</v>
          </cell>
          <cell r="AL642" t="str">
            <v>–</v>
          </cell>
          <cell r="AM642" t="str">
            <v>–</v>
          </cell>
          <cell r="AN642">
            <v>0.54200000000000004</v>
          </cell>
          <cell r="AO642">
            <v>0.67600000000000005</v>
          </cell>
          <cell r="AP642">
            <v>0.376</v>
          </cell>
          <cell r="AQ642">
            <v>0.61199999999999999</v>
          </cell>
          <cell r="AR642">
            <v>1.35</v>
          </cell>
          <cell r="AS642">
            <v>1.08</v>
          </cell>
          <cell r="AT642">
            <v>0.61699999999999999</v>
          </cell>
          <cell r="AU642">
            <v>0.96699999999999997</v>
          </cell>
        </row>
        <row r="643">
          <cell r="C643" t="str">
            <v>2L2X2X3/16X3/4</v>
          </cell>
          <cell r="D643" t="str">
            <v>F</v>
          </cell>
          <cell r="E643">
            <v>4.88</v>
          </cell>
          <cell r="F643">
            <v>1.44</v>
          </cell>
          <cell r="G643" t="str">
            <v>2L2X2X3/16X3/4</v>
          </cell>
          <cell r="H643">
            <v>2</v>
          </cell>
          <cell r="I643" t="str">
            <v>–</v>
          </cell>
          <cell r="J643" t="str">
            <v>–</v>
          </cell>
          <cell r="K643" t="str">
            <v>–</v>
          </cell>
          <cell r="L643" t="str">
            <v>–</v>
          </cell>
          <cell r="M643" t="str">
            <v>–</v>
          </cell>
          <cell r="N643" t="str">
            <v>–</v>
          </cell>
          <cell r="O643" t="str">
            <v>–</v>
          </cell>
          <cell r="P643">
            <v>2</v>
          </cell>
          <cell r="Q643" t="str">
            <v>–</v>
          </cell>
          <cell r="R643" t="str">
            <v>–</v>
          </cell>
          <cell r="S643" t="str">
            <v>–</v>
          </cell>
          <cell r="T643" t="str">
            <v>–</v>
          </cell>
          <cell r="U643" t="str">
            <v>–</v>
          </cell>
          <cell r="V643" t="str">
            <v>–</v>
          </cell>
          <cell r="W643">
            <v>0.188</v>
          </cell>
          <cell r="X643" t="str">
            <v>–</v>
          </cell>
          <cell r="Y643" t="str">
            <v>–</v>
          </cell>
          <cell r="Z643" t="str">
            <v>–</v>
          </cell>
          <cell r="AA643" t="str">
            <v>–</v>
          </cell>
          <cell r="AB643" t="str">
            <v>–</v>
          </cell>
          <cell r="AC643" t="str">
            <v>–</v>
          </cell>
          <cell r="AD643">
            <v>0.56100000000000005</v>
          </cell>
          <cell r="AE643" t="str">
            <v>–</v>
          </cell>
          <cell r="AF643" t="str">
            <v>–</v>
          </cell>
          <cell r="AG643">
            <v>0.18099999999999999</v>
          </cell>
          <cell r="AH643" t="str">
            <v>–</v>
          </cell>
          <cell r="AI643">
            <v>10.6</v>
          </cell>
          <cell r="AJ643" t="str">
            <v>–</v>
          </cell>
          <cell r="AK643" t="str">
            <v>–</v>
          </cell>
          <cell r="AL643" t="str">
            <v>–</v>
          </cell>
          <cell r="AM643" t="str">
            <v>–</v>
          </cell>
          <cell r="AN643">
            <v>0.54200000000000004</v>
          </cell>
          <cell r="AO643">
            <v>0.67600000000000005</v>
          </cell>
          <cell r="AP643">
            <v>0.376</v>
          </cell>
          <cell r="AQ643">
            <v>0.61199999999999999</v>
          </cell>
          <cell r="AR643">
            <v>1.81</v>
          </cell>
          <cell r="AS643">
            <v>1.35</v>
          </cell>
          <cell r="AT643">
            <v>0.76200000000000001</v>
          </cell>
          <cell r="AU643">
            <v>1.1200000000000001</v>
          </cell>
        </row>
        <row r="644">
          <cell r="C644" t="str">
            <v>2L2X2X1/8</v>
          </cell>
          <cell r="D644" t="str">
            <v>F</v>
          </cell>
          <cell r="E644">
            <v>3.3</v>
          </cell>
          <cell r="F644">
            <v>0.98199999999999998</v>
          </cell>
          <cell r="G644" t="str">
            <v>2L2X2X1/8</v>
          </cell>
          <cell r="H644">
            <v>2</v>
          </cell>
          <cell r="I644" t="str">
            <v>–</v>
          </cell>
          <cell r="J644" t="str">
            <v>–</v>
          </cell>
          <cell r="K644" t="str">
            <v>–</v>
          </cell>
          <cell r="L644" t="str">
            <v>–</v>
          </cell>
          <cell r="M644" t="str">
            <v>–</v>
          </cell>
          <cell r="N644" t="str">
            <v>–</v>
          </cell>
          <cell r="O644" t="str">
            <v>–</v>
          </cell>
          <cell r="P644">
            <v>2</v>
          </cell>
          <cell r="Q644" t="str">
            <v>–</v>
          </cell>
          <cell r="R644" t="str">
            <v>–</v>
          </cell>
          <cell r="S644" t="str">
            <v>–</v>
          </cell>
          <cell r="T644" t="str">
            <v>–</v>
          </cell>
          <cell r="U644" t="str">
            <v>–</v>
          </cell>
          <cell r="V644" t="str">
            <v>–</v>
          </cell>
          <cell r="W644">
            <v>0.125</v>
          </cell>
          <cell r="X644" t="str">
            <v>–</v>
          </cell>
          <cell r="Y644" t="str">
            <v>–</v>
          </cell>
          <cell r="Z644" t="str">
            <v>–</v>
          </cell>
          <cell r="AA644" t="str">
            <v>–</v>
          </cell>
          <cell r="AB644" t="str">
            <v>–</v>
          </cell>
          <cell r="AC644" t="str">
            <v>–</v>
          </cell>
          <cell r="AD644">
            <v>0.53400000000000003</v>
          </cell>
          <cell r="AE644" t="str">
            <v>–</v>
          </cell>
          <cell r="AF644" t="str">
            <v>–</v>
          </cell>
          <cell r="AG644">
            <v>0.123</v>
          </cell>
          <cell r="AH644" t="str">
            <v>–</v>
          </cell>
          <cell r="AI644">
            <v>16</v>
          </cell>
          <cell r="AJ644" t="str">
            <v>–</v>
          </cell>
          <cell r="AK644" t="str">
            <v>–</v>
          </cell>
          <cell r="AL644" t="str">
            <v>–</v>
          </cell>
          <cell r="AM644" t="str">
            <v>–</v>
          </cell>
          <cell r="AN644">
            <v>0.378</v>
          </cell>
          <cell r="AO644">
            <v>0.46</v>
          </cell>
          <cell r="AP644">
            <v>0.25800000000000001</v>
          </cell>
          <cell r="AQ644">
            <v>0.62</v>
          </cell>
          <cell r="AR644">
            <v>0.65700000000000003</v>
          </cell>
          <cell r="AS644">
            <v>0.52400000000000002</v>
          </cell>
          <cell r="AT644">
            <v>0.32800000000000001</v>
          </cell>
          <cell r="AU644">
            <v>0.81800000000000006</v>
          </cell>
        </row>
        <row r="645">
          <cell r="C645" t="str">
            <v>2L2X2X1/8X3/8</v>
          </cell>
          <cell r="D645" t="str">
            <v>F</v>
          </cell>
          <cell r="E645">
            <v>3.3</v>
          </cell>
          <cell r="F645">
            <v>0.98199999999999998</v>
          </cell>
          <cell r="G645" t="str">
            <v>2L2X2X1/8X3/8</v>
          </cell>
          <cell r="H645">
            <v>2</v>
          </cell>
          <cell r="I645" t="str">
            <v>–</v>
          </cell>
          <cell r="J645" t="str">
            <v>–</v>
          </cell>
          <cell r="K645" t="str">
            <v>–</v>
          </cell>
          <cell r="L645" t="str">
            <v>–</v>
          </cell>
          <cell r="M645" t="str">
            <v>–</v>
          </cell>
          <cell r="N645" t="str">
            <v>–</v>
          </cell>
          <cell r="O645" t="str">
            <v>–</v>
          </cell>
          <cell r="P645">
            <v>2</v>
          </cell>
          <cell r="Q645" t="str">
            <v>–</v>
          </cell>
          <cell r="R645" t="str">
            <v>–</v>
          </cell>
          <cell r="S645" t="str">
            <v>–</v>
          </cell>
          <cell r="T645" t="str">
            <v>–</v>
          </cell>
          <cell r="U645" t="str">
            <v>–</v>
          </cell>
          <cell r="V645" t="str">
            <v>–</v>
          </cell>
          <cell r="W645">
            <v>0.125</v>
          </cell>
          <cell r="X645" t="str">
            <v>–</v>
          </cell>
          <cell r="Y645" t="str">
            <v>–</v>
          </cell>
          <cell r="Z645" t="str">
            <v>–</v>
          </cell>
          <cell r="AA645" t="str">
            <v>–</v>
          </cell>
          <cell r="AB645" t="str">
            <v>–</v>
          </cell>
          <cell r="AC645" t="str">
            <v>–</v>
          </cell>
          <cell r="AD645">
            <v>0.53400000000000003</v>
          </cell>
          <cell r="AE645" t="str">
            <v>–</v>
          </cell>
          <cell r="AF645" t="str">
            <v>–</v>
          </cell>
          <cell r="AG645">
            <v>0.123</v>
          </cell>
          <cell r="AH645" t="str">
            <v>–</v>
          </cell>
          <cell r="AI645">
            <v>16</v>
          </cell>
          <cell r="AJ645" t="str">
            <v>–</v>
          </cell>
          <cell r="AK645" t="str">
            <v>–</v>
          </cell>
          <cell r="AL645" t="str">
            <v>–</v>
          </cell>
          <cell r="AM645" t="str">
            <v>–</v>
          </cell>
          <cell r="AN645">
            <v>0.378</v>
          </cell>
          <cell r="AO645">
            <v>0.46</v>
          </cell>
          <cell r="AP645">
            <v>0.25800000000000001</v>
          </cell>
          <cell r="AQ645">
            <v>0.62</v>
          </cell>
          <cell r="AR645">
            <v>0.88800000000000001</v>
          </cell>
          <cell r="AS645">
            <v>0.70899999999999996</v>
          </cell>
          <cell r="AT645">
            <v>0.40600000000000003</v>
          </cell>
          <cell r="AU645">
            <v>0.95100000000000007</v>
          </cell>
        </row>
        <row r="646">
          <cell r="C646" t="str">
            <v>2L2X2X1/8X3/4</v>
          </cell>
          <cell r="D646" t="str">
            <v>F</v>
          </cell>
          <cell r="E646">
            <v>3.3</v>
          </cell>
          <cell r="F646">
            <v>0.98199999999999998</v>
          </cell>
          <cell r="G646" t="str">
            <v>2L2X2X1/8X3/4</v>
          </cell>
          <cell r="H646">
            <v>2</v>
          </cell>
          <cell r="I646" t="str">
            <v>–</v>
          </cell>
          <cell r="J646" t="str">
            <v>–</v>
          </cell>
          <cell r="K646" t="str">
            <v>–</v>
          </cell>
          <cell r="L646" t="str">
            <v>–</v>
          </cell>
          <cell r="M646" t="str">
            <v>–</v>
          </cell>
          <cell r="N646" t="str">
            <v>–</v>
          </cell>
          <cell r="O646" t="str">
            <v>–</v>
          </cell>
          <cell r="P646">
            <v>2</v>
          </cell>
          <cell r="Q646" t="str">
            <v>–</v>
          </cell>
          <cell r="R646" t="str">
            <v>–</v>
          </cell>
          <cell r="S646" t="str">
            <v>–</v>
          </cell>
          <cell r="T646" t="str">
            <v>–</v>
          </cell>
          <cell r="U646" t="str">
            <v>–</v>
          </cell>
          <cell r="V646" t="str">
            <v>–</v>
          </cell>
          <cell r="W646">
            <v>0.125</v>
          </cell>
          <cell r="X646" t="str">
            <v>–</v>
          </cell>
          <cell r="Y646" t="str">
            <v>–</v>
          </cell>
          <cell r="Z646" t="str">
            <v>–</v>
          </cell>
          <cell r="AA646" t="str">
            <v>–</v>
          </cell>
          <cell r="AB646" t="str">
            <v>–</v>
          </cell>
          <cell r="AC646" t="str">
            <v>–</v>
          </cell>
          <cell r="AD646">
            <v>0.53400000000000003</v>
          </cell>
          <cell r="AE646" t="str">
            <v>–</v>
          </cell>
          <cell r="AF646" t="str">
            <v>–</v>
          </cell>
          <cell r="AG646">
            <v>0.123</v>
          </cell>
          <cell r="AH646" t="str">
            <v>–</v>
          </cell>
          <cell r="AI646">
            <v>16</v>
          </cell>
          <cell r="AJ646" t="str">
            <v>–</v>
          </cell>
          <cell r="AK646" t="str">
            <v>–</v>
          </cell>
          <cell r="AL646" t="str">
            <v>–</v>
          </cell>
          <cell r="AM646" t="str">
            <v>–</v>
          </cell>
          <cell r="AN646">
            <v>0.378</v>
          </cell>
          <cell r="AO646">
            <v>0.46</v>
          </cell>
          <cell r="AP646">
            <v>0.25800000000000001</v>
          </cell>
          <cell r="AQ646">
            <v>0.62</v>
          </cell>
          <cell r="AR646">
            <v>1.19</v>
          </cell>
          <cell r="AS646">
            <v>0.89300000000000002</v>
          </cell>
          <cell r="AT646">
            <v>0.501</v>
          </cell>
          <cell r="AU646">
            <v>1.1000000000000001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base 1"/>
      <sheetName val="Axial Tension"/>
      <sheetName val="AxialCompression"/>
      <sheetName val="Bending, Shear, and Deflection"/>
    </sheetNames>
    <sheetDataSet>
      <sheetData sheetId="0">
        <row r="2">
          <cell r="B2" t="str">
            <v>L12X12X1-3/8</v>
          </cell>
          <cell r="C2" t="str">
            <v>L12X12X1-3/8</v>
          </cell>
          <cell r="D2" t="str">
            <v>F</v>
          </cell>
          <cell r="E2">
            <v>105</v>
          </cell>
          <cell r="F2">
            <v>31.1</v>
          </cell>
          <cell r="G2" t="str">
            <v>L12X12X1-3/8</v>
          </cell>
          <cell r="H2">
            <v>12</v>
          </cell>
          <cell r="I2" t="str">
            <v>–</v>
          </cell>
          <cell r="J2" t="str">
            <v>–</v>
          </cell>
          <cell r="K2" t="str">
            <v>–</v>
          </cell>
          <cell r="L2" t="str">
            <v>–</v>
          </cell>
          <cell r="M2" t="str">
            <v>–</v>
          </cell>
          <cell r="N2" t="str">
            <v>–</v>
          </cell>
          <cell r="O2" t="str">
            <v>–</v>
          </cell>
          <cell r="P2">
            <v>12</v>
          </cell>
          <cell r="Q2" t="str">
            <v>–</v>
          </cell>
          <cell r="R2" t="str">
            <v>–</v>
          </cell>
          <cell r="S2" t="str">
            <v>–</v>
          </cell>
          <cell r="T2" t="str">
            <v>–</v>
          </cell>
          <cell r="U2" t="str">
            <v>–</v>
          </cell>
          <cell r="V2" t="str">
            <v>–</v>
          </cell>
          <cell r="W2">
            <v>1.38</v>
          </cell>
        </row>
        <row r="3">
          <cell r="B3" t="str">
            <v>L12X12X1-1/4</v>
          </cell>
          <cell r="C3" t="str">
            <v>L12X12X1-1/4</v>
          </cell>
          <cell r="D3" t="str">
            <v>F</v>
          </cell>
          <cell r="E3">
            <v>96.4</v>
          </cell>
          <cell r="F3">
            <v>28.4</v>
          </cell>
          <cell r="G3" t="str">
            <v>L12X12X1-1/4</v>
          </cell>
          <cell r="H3">
            <v>12</v>
          </cell>
          <cell r="I3" t="str">
            <v>–</v>
          </cell>
          <cell r="J3" t="str">
            <v>–</v>
          </cell>
          <cell r="K3" t="str">
            <v>–</v>
          </cell>
          <cell r="L3" t="str">
            <v>–</v>
          </cell>
          <cell r="M3" t="str">
            <v>–</v>
          </cell>
          <cell r="N3" t="str">
            <v>–</v>
          </cell>
          <cell r="O3" t="str">
            <v>–</v>
          </cell>
          <cell r="P3">
            <v>12</v>
          </cell>
          <cell r="Q3" t="str">
            <v>–</v>
          </cell>
          <cell r="R3" t="str">
            <v>–</v>
          </cell>
          <cell r="S3" t="str">
            <v>–</v>
          </cell>
          <cell r="T3" t="str">
            <v>–</v>
          </cell>
          <cell r="U3" t="str">
            <v>–</v>
          </cell>
          <cell r="V3" t="str">
            <v>–</v>
          </cell>
          <cell r="W3">
            <v>1.25</v>
          </cell>
          <cell r="CL3" t="str">
            <v>A36</v>
          </cell>
          <cell r="CM3" t="str">
            <v>-</v>
          </cell>
          <cell r="CN3">
            <v>36</v>
          </cell>
          <cell r="CO3">
            <v>58</v>
          </cell>
        </row>
        <row r="4">
          <cell r="B4" t="str">
            <v>L12X12X1-1/8</v>
          </cell>
          <cell r="C4" t="str">
            <v>L12X12X1-1/8</v>
          </cell>
          <cell r="D4" t="str">
            <v>F</v>
          </cell>
          <cell r="E4">
            <v>87.2</v>
          </cell>
          <cell r="F4">
            <v>25.8</v>
          </cell>
          <cell r="G4" t="str">
            <v>L12X12X1-1/8</v>
          </cell>
          <cell r="H4">
            <v>12</v>
          </cell>
          <cell r="I4" t="str">
            <v>–</v>
          </cell>
          <cell r="J4" t="str">
            <v>–</v>
          </cell>
          <cell r="K4" t="str">
            <v>–</v>
          </cell>
          <cell r="L4" t="str">
            <v>–</v>
          </cell>
          <cell r="M4" t="str">
            <v>–</v>
          </cell>
          <cell r="N4" t="str">
            <v>–</v>
          </cell>
          <cell r="O4" t="str">
            <v>–</v>
          </cell>
          <cell r="P4">
            <v>12</v>
          </cell>
          <cell r="Q4" t="str">
            <v>–</v>
          </cell>
          <cell r="R4" t="str">
            <v>–</v>
          </cell>
          <cell r="S4" t="str">
            <v>–</v>
          </cell>
          <cell r="T4" t="str">
            <v>–</v>
          </cell>
          <cell r="U4" t="str">
            <v>–</v>
          </cell>
          <cell r="V4" t="str">
            <v>–</v>
          </cell>
          <cell r="W4">
            <v>1.1299999999999999</v>
          </cell>
          <cell r="CL4" t="str">
            <v>A53 Gr. B</v>
          </cell>
          <cell r="CM4" t="str">
            <v>Gr. B</v>
          </cell>
          <cell r="CN4">
            <v>35</v>
          </cell>
          <cell r="CO4">
            <v>60</v>
          </cell>
        </row>
        <row r="5">
          <cell r="B5" t="str">
            <v>L12X12X1</v>
          </cell>
          <cell r="C5" t="str">
            <v>L12X12X1</v>
          </cell>
          <cell r="D5" t="str">
            <v>F</v>
          </cell>
          <cell r="E5">
            <v>77.8</v>
          </cell>
          <cell r="F5">
            <v>23</v>
          </cell>
          <cell r="G5" t="str">
            <v>L12X12X1</v>
          </cell>
          <cell r="H5">
            <v>12</v>
          </cell>
          <cell r="I5" t="str">
            <v>–</v>
          </cell>
          <cell r="J5" t="str">
            <v>–</v>
          </cell>
          <cell r="K5" t="str">
            <v>–</v>
          </cell>
          <cell r="L5" t="str">
            <v>–</v>
          </cell>
          <cell r="M5" t="str">
            <v>–</v>
          </cell>
          <cell r="N5" t="str">
            <v>–</v>
          </cell>
          <cell r="O5" t="str">
            <v>–</v>
          </cell>
          <cell r="P5">
            <v>12</v>
          </cell>
          <cell r="Q5" t="str">
            <v>–</v>
          </cell>
          <cell r="R5" t="str">
            <v>–</v>
          </cell>
          <cell r="S5" t="str">
            <v>–</v>
          </cell>
          <cell r="T5" t="str">
            <v>–</v>
          </cell>
          <cell r="U5" t="str">
            <v>–</v>
          </cell>
          <cell r="V5" t="str">
            <v>–</v>
          </cell>
          <cell r="W5">
            <v>1</v>
          </cell>
          <cell r="CL5" t="str">
            <v>A500 Gr. B-42</v>
          </cell>
          <cell r="CM5" t="str">
            <v>Gr. B</v>
          </cell>
          <cell r="CN5">
            <v>42</v>
          </cell>
          <cell r="CO5">
            <v>58</v>
          </cell>
          <cell r="EW5" t="str">
            <v>Pinned-Pinned</v>
          </cell>
          <cell r="EX5">
            <v>1</v>
          </cell>
        </row>
        <row r="6">
          <cell r="B6" t="str">
            <v>L10X10X1-3/8</v>
          </cell>
          <cell r="C6" t="str">
            <v>L10X10X1-3/8</v>
          </cell>
          <cell r="D6" t="str">
            <v>F</v>
          </cell>
          <cell r="E6">
            <v>87.1</v>
          </cell>
          <cell r="F6">
            <v>25.6</v>
          </cell>
          <cell r="G6" t="str">
            <v>L10X10X1-3/8</v>
          </cell>
          <cell r="H6">
            <v>10</v>
          </cell>
          <cell r="I6" t="str">
            <v>–</v>
          </cell>
          <cell r="J6" t="str">
            <v>–</v>
          </cell>
          <cell r="K6" t="str">
            <v>–</v>
          </cell>
          <cell r="L6" t="str">
            <v>–</v>
          </cell>
          <cell r="M6" t="str">
            <v>–</v>
          </cell>
          <cell r="N6" t="str">
            <v>–</v>
          </cell>
          <cell r="O6" t="str">
            <v>–</v>
          </cell>
          <cell r="P6">
            <v>10</v>
          </cell>
          <cell r="Q6" t="str">
            <v>–</v>
          </cell>
          <cell r="R6" t="str">
            <v>–</v>
          </cell>
          <cell r="S6" t="str">
            <v>–</v>
          </cell>
          <cell r="T6" t="str">
            <v>–</v>
          </cell>
          <cell r="U6" t="str">
            <v>–</v>
          </cell>
          <cell r="V6" t="str">
            <v>–</v>
          </cell>
          <cell r="W6">
            <v>1.38</v>
          </cell>
          <cell r="CL6" t="str">
            <v>A500 Gr. B-46</v>
          </cell>
          <cell r="CM6" t="str">
            <v>Gr. B</v>
          </cell>
          <cell r="CN6">
            <v>46</v>
          </cell>
          <cell r="CO6">
            <v>58</v>
          </cell>
          <cell r="DZ6" t="str">
            <v>W44X335</v>
          </cell>
          <cell r="EA6">
            <v>335</v>
          </cell>
          <cell r="EB6">
            <v>98.5</v>
          </cell>
          <cell r="EC6">
            <v>44</v>
          </cell>
          <cell r="ED6">
            <v>44</v>
          </cell>
          <cell r="EE6">
            <v>1.03</v>
          </cell>
          <cell r="EF6">
            <v>1</v>
          </cell>
          <cell r="EG6">
            <v>44928</v>
          </cell>
          <cell r="EH6">
            <v>15.9</v>
          </cell>
          <cell r="EI6">
            <v>16</v>
          </cell>
          <cell r="EJ6">
            <v>1.77</v>
          </cell>
          <cell r="EK6" t="str">
            <v>1 3/4</v>
          </cell>
          <cell r="EL6">
            <v>4.5</v>
          </cell>
          <cell r="EM6">
            <v>38</v>
          </cell>
          <cell r="EN6">
            <v>31100</v>
          </cell>
          <cell r="EO6">
            <v>1410</v>
          </cell>
          <cell r="EP6">
            <v>17.8</v>
          </cell>
          <cell r="EQ6">
            <v>1620</v>
          </cell>
          <cell r="ER6">
            <v>1200</v>
          </cell>
          <cell r="ES6">
            <v>150</v>
          </cell>
          <cell r="ET6">
            <v>3.49</v>
          </cell>
          <cell r="EW6" t="str">
            <v>Fixed-Fixed</v>
          </cell>
          <cell r="EX6">
            <v>0.65</v>
          </cell>
        </row>
        <row r="7">
          <cell r="B7" t="str">
            <v>L10X10X1-1/4</v>
          </cell>
          <cell r="C7" t="str">
            <v>L10X10X1-1/4</v>
          </cell>
          <cell r="D7" t="str">
            <v>F</v>
          </cell>
          <cell r="E7">
            <v>79.900000000000006</v>
          </cell>
          <cell r="F7">
            <v>23.4</v>
          </cell>
          <cell r="G7" t="str">
            <v>L10X10X1-1/4</v>
          </cell>
          <cell r="H7">
            <v>10</v>
          </cell>
          <cell r="I7" t="str">
            <v>–</v>
          </cell>
          <cell r="J7" t="str">
            <v>–</v>
          </cell>
          <cell r="K7" t="str">
            <v>–</v>
          </cell>
          <cell r="L7" t="str">
            <v>–</v>
          </cell>
          <cell r="M7" t="str">
            <v>–</v>
          </cell>
          <cell r="N7" t="str">
            <v>–</v>
          </cell>
          <cell r="O7" t="str">
            <v>–</v>
          </cell>
          <cell r="P7">
            <v>10</v>
          </cell>
          <cell r="Q7" t="str">
            <v>–</v>
          </cell>
          <cell r="R7" t="str">
            <v>–</v>
          </cell>
          <cell r="S7" t="str">
            <v>–</v>
          </cell>
          <cell r="T7" t="str">
            <v>–</v>
          </cell>
          <cell r="U7" t="str">
            <v>–</v>
          </cell>
          <cell r="V7" t="str">
            <v>–</v>
          </cell>
          <cell r="W7">
            <v>1.25</v>
          </cell>
          <cell r="CL7" t="str">
            <v>A500 Gr. C-46</v>
          </cell>
          <cell r="CM7" t="str">
            <v>Gr. C</v>
          </cell>
          <cell r="CN7">
            <v>46</v>
          </cell>
          <cell r="CO7">
            <v>62</v>
          </cell>
          <cell r="DZ7" t="str">
            <v>W44X290</v>
          </cell>
          <cell r="EA7">
            <v>290</v>
          </cell>
          <cell r="EB7">
            <v>85.4</v>
          </cell>
          <cell r="EC7">
            <v>43.6</v>
          </cell>
          <cell r="ED7" t="str">
            <v>43 5/8</v>
          </cell>
          <cell r="EE7">
            <v>0.86499999999999999</v>
          </cell>
          <cell r="EF7">
            <v>45115</v>
          </cell>
          <cell r="EG7">
            <v>45123</v>
          </cell>
          <cell r="EH7">
            <v>15.8</v>
          </cell>
          <cell r="EI7" t="str">
            <v>15 7/8</v>
          </cell>
          <cell r="EJ7">
            <v>1.58</v>
          </cell>
          <cell r="EK7" t="str">
            <v>1 9/16</v>
          </cell>
          <cell r="EL7">
            <v>5.0199999999999996</v>
          </cell>
          <cell r="EM7">
            <v>45</v>
          </cell>
          <cell r="EN7">
            <v>27000</v>
          </cell>
          <cell r="EO7">
            <v>1240</v>
          </cell>
          <cell r="EP7">
            <v>17.8</v>
          </cell>
          <cell r="EQ7">
            <v>1410</v>
          </cell>
          <cell r="ER7">
            <v>1040</v>
          </cell>
          <cell r="ES7">
            <v>132</v>
          </cell>
          <cell r="ET7">
            <v>3.49</v>
          </cell>
          <cell r="EW7" t="str">
            <v>Fixed-Free</v>
          </cell>
          <cell r="EX7">
            <v>2.1</v>
          </cell>
        </row>
        <row r="8">
          <cell r="B8" t="str">
            <v>L10X10X1-1/8</v>
          </cell>
          <cell r="C8" t="str">
            <v>L10X10X1-1/8</v>
          </cell>
          <cell r="D8" t="str">
            <v>F</v>
          </cell>
          <cell r="E8">
            <v>72.3</v>
          </cell>
          <cell r="F8">
            <v>21.3</v>
          </cell>
          <cell r="G8" t="str">
            <v>L10X10X1-1/8</v>
          </cell>
          <cell r="H8">
            <v>10</v>
          </cell>
          <cell r="I8" t="str">
            <v>–</v>
          </cell>
          <cell r="J8" t="str">
            <v>–</v>
          </cell>
          <cell r="K8" t="str">
            <v>–</v>
          </cell>
          <cell r="L8" t="str">
            <v>–</v>
          </cell>
          <cell r="M8" t="str">
            <v>–</v>
          </cell>
          <cell r="N8" t="str">
            <v>–</v>
          </cell>
          <cell r="O8" t="str">
            <v>–</v>
          </cell>
          <cell r="P8">
            <v>10</v>
          </cell>
          <cell r="Q8" t="str">
            <v>–</v>
          </cell>
          <cell r="R8" t="str">
            <v>–</v>
          </cell>
          <cell r="S8" t="str">
            <v>–</v>
          </cell>
          <cell r="T8" t="str">
            <v>–</v>
          </cell>
          <cell r="U8" t="str">
            <v>–</v>
          </cell>
          <cell r="V8" t="str">
            <v>–</v>
          </cell>
          <cell r="W8">
            <v>1.1299999999999999</v>
          </cell>
          <cell r="CL8" t="str">
            <v>A500 Gr. C-50</v>
          </cell>
          <cell r="CM8" t="str">
            <v>Gr. C</v>
          </cell>
          <cell r="CN8">
            <v>50</v>
          </cell>
          <cell r="CO8">
            <v>62</v>
          </cell>
          <cell r="DZ8" t="str">
            <v>W44X262</v>
          </cell>
          <cell r="EA8">
            <v>262</v>
          </cell>
          <cell r="EB8">
            <v>77.2</v>
          </cell>
          <cell r="EC8">
            <v>43.3</v>
          </cell>
          <cell r="ED8" t="str">
            <v>43 1/4</v>
          </cell>
          <cell r="EE8">
            <v>0.78500000000000003</v>
          </cell>
          <cell r="EF8" t="str">
            <v>13/16</v>
          </cell>
          <cell r="EG8">
            <v>45123</v>
          </cell>
          <cell r="EH8">
            <v>15.8</v>
          </cell>
          <cell r="EI8" t="str">
            <v>15 3/4</v>
          </cell>
          <cell r="EJ8">
            <v>1.42</v>
          </cell>
          <cell r="EK8" t="str">
            <v>1 7/16</v>
          </cell>
          <cell r="EL8">
            <v>5.57</v>
          </cell>
          <cell r="EM8">
            <v>49.6</v>
          </cell>
          <cell r="EN8">
            <v>24100</v>
          </cell>
          <cell r="EO8">
            <v>1110</v>
          </cell>
          <cell r="EP8">
            <v>17.7</v>
          </cell>
          <cell r="EQ8">
            <v>1270</v>
          </cell>
          <cell r="ER8">
            <v>923</v>
          </cell>
          <cell r="ES8">
            <v>117</v>
          </cell>
          <cell r="ET8">
            <v>3.47</v>
          </cell>
          <cell r="EW8" t="str">
            <v>Fixed-Pinned</v>
          </cell>
          <cell r="EX8">
            <v>0.8</v>
          </cell>
        </row>
        <row r="9">
          <cell r="B9" t="str">
            <v>L10X10X1</v>
          </cell>
          <cell r="C9" t="str">
            <v>L10X10X1</v>
          </cell>
          <cell r="D9" t="str">
            <v>F</v>
          </cell>
          <cell r="E9">
            <v>64.7</v>
          </cell>
          <cell r="F9">
            <v>19</v>
          </cell>
          <cell r="G9" t="str">
            <v>L10X10X1</v>
          </cell>
          <cell r="H9">
            <v>10</v>
          </cell>
          <cell r="I9" t="str">
            <v>–</v>
          </cell>
          <cell r="J9" t="str">
            <v>–</v>
          </cell>
          <cell r="K9" t="str">
            <v>–</v>
          </cell>
          <cell r="L9" t="str">
            <v>–</v>
          </cell>
          <cell r="M9" t="str">
            <v>–</v>
          </cell>
          <cell r="N9" t="str">
            <v>–</v>
          </cell>
          <cell r="O9" t="str">
            <v>–</v>
          </cell>
          <cell r="P9">
            <v>10</v>
          </cell>
          <cell r="Q9" t="str">
            <v>–</v>
          </cell>
          <cell r="R9" t="str">
            <v>–</v>
          </cell>
          <cell r="S9" t="str">
            <v>–</v>
          </cell>
          <cell r="T9" t="str">
            <v>–</v>
          </cell>
          <cell r="U9" t="str">
            <v>–</v>
          </cell>
          <cell r="V9" t="str">
            <v>–</v>
          </cell>
          <cell r="W9">
            <v>1</v>
          </cell>
          <cell r="CL9" t="str">
            <v>A501 Gr. A-36</v>
          </cell>
          <cell r="CM9" t="str">
            <v>Gr. A</v>
          </cell>
          <cell r="CN9">
            <v>36</v>
          </cell>
          <cell r="CO9">
            <v>58</v>
          </cell>
          <cell r="DZ9" t="str">
            <v>W44X230</v>
          </cell>
          <cell r="EA9">
            <v>230</v>
          </cell>
          <cell r="EB9">
            <v>67.8</v>
          </cell>
          <cell r="EC9">
            <v>42.9</v>
          </cell>
          <cell r="ED9" t="str">
            <v>42 7/8</v>
          </cell>
          <cell r="EE9">
            <v>0.71</v>
          </cell>
          <cell r="EF9">
            <v>45246</v>
          </cell>
          <cell r="EG9">
            <v>44993</v>
          </cell>
          <cell r="EH9">
            <v>15.8</v>
          </cell>
          <cell r="EI9" t="str">
            <v>15 3/4</v>
          </cell>
          <cell r="EJ9">
            <v>1.22</v>
          </cell>
          <cell r="EK9" t="str">
            <v>1 1/4</v>
          </cell>
          <cell r="EL9">
            <v>6.45</v>
          </cell>
          <cell r="EM9">
            <v>54.8</v>
          </cell>
          <cell r="EN9">
            <v>20800</v>
          </cell>
          <cell r="EO9">
            <v>971</v>
          </cell>
          <cell r="EP9">
            <v>17.5</v>
          </cell>
          <cell r="EQ9">
            <v>1100</v>
          </cell>
          <cell r="ER9">
            <v>796</v>
          </cell>
          <cell r="ES9">
            <v>101</v>
          </cell>
          <cell r="ET9">
            <v>3.43</v>
          </cell>
          <cell r="EW9" t="str">
            <v>Fixed-Fixed but Translation Free</v>
          </cell>
          <cell r="EX9">
            <v>1.2</v>
          </cell>
        </row>
        <row r="10">
          <cell r="B10" t="str">
            <v>L10X10X7/8</v>
          </cell>
          <cell r="C10" t="str">
            <v>L10X10X7/8</v>
          </cell>
          <cell r="D10" t="str">
            <v>F</v>
          </cell>
          <cell r="E10">
            <v>56.9</v>
          </cell>
          <cell r="F10">
            <v>16.8</v>
          </cell>
          <cell r="G10" t="str">
            <v>L10X10X7/8</v>
          </cell>
          <cell r="H10">
            <v>10</v>
          </cell>
          <cell r="I10" t="str">
            <v>–</v>
          </cell>
          <cell r="J10" t="str">
            <v>–</v>
          </cell>
          <cell r="K10" t="str">
            <v>–</v>
          </cell>
          <cell r="L10" t="str">
            <v>–</v>
          </cell>
          <cell r="M10" t="str">
            <v>–</v>
          </cell>
          <cell r="N10" t="str">
            <v>–</v>
          </cell>
          <cell r="O10" t="str">
            <v>–</v>
          </cell>
          <cell r="P10">
            <v>10</v>
          </cell>
          <cell r="Q10" t="str">
            <v>–</v>
          </cell>
          <cell r="R10" t="str">
            <v>–</v>
          </cell>
          <cell r="S10" t="str">
            <v>–</v>
          </cell>
          <cell r="T10" t="str">
            <v>–</v>
          </cell>
          <cell r="U10" t="str">
            <v>–</v>
          </cell>
          <cell r="V10" t="str">
            <v>–</v>
          </cell>
          <cell r="W10">
            <v>0.875</v>
          </cell>
          <cell r="CL10" t="str">
            <v>A501 Gr. B-50</v>
          </cell>
          <cell r="CM10" t="str">
            <v>Gr. B</v>
          </cell>
          <cell r="CN10">
            <v>50</v>
          </cell>
          <cell r="CO10">
            <v>70</v>
          </cell>
          <cell r="DZ10" t="str">
            <v>W40X655</v>
          </cell>
          <cell r="EA10">
            <v>655</v>
          </cell>
          <cell r="EB10">
            <v>193</v>
          </cell>
          <cell r="EC10">
            <v>43.6</v>
          </cell>
          <cell r="ED10" t="str">
            <v>43 5/8</v>
          </cell>
          <cell r="EE10">
            <v>1.97</v>
          </cell>
          <cell r="EF10">
            <v>2</v>
          </cell>
          <cell r="EG10">
            <v>1</v>
          </cell>
          <cell r="EH10">
            <v>16.899999999999999</v>
          </cell>
          <cell r="EI10" t="str">
            <v>16 7/8</v>
          </cell>
          <cell r="EJ10">
            <v>3.54</v>
          </cell>
          <cell r="EK10" t="str">
            <v>3 9/16</v>
          </cell>
          <cell r="EL10">
            <v>2.39</v>
          </cell>
          <cell r="EM10">
            <v>17.3</v>
          </cell>
          <cell r="EN10">
            <v>56500</v>
          </cell>
          <cell r="EO10">
            <v>2590</v>
          </cell>
          <cell r="EP10">
            <v>17.100000000000001</v>
          </cell>
          <cell r="EQ10">
            <v>3080</v>
          </cell>
          <cell r="ER10">
            <v>2870</v>
          </cell>
          <cell r="ES10">
            <v>340</v>
          </cell>
          <cell r="ET10">
            <v>3.86</v>
          </cell>
          <cell r="EW10" t="str">
            <v>Pinned-Fixed but Translation Free</v>
          </cell>
          <cell r="EX10">
            <v>2</v>
          </cell>
        </row>
        <row r="11">
          <cell r="B11" t="str">
            <v>L10X10X3/4</v>
          </cell>
          <cell r="C11" t="str">
            <v>L10X10X3/4</v>
          </cell>
          <cell r="D11" t="str">
            <v>F</v>
          </cell>
          <cell r="E11">
            <v>49.1</v>
          </cell>
          <cell r="F11">
            <v>14.5</v>
          </cell>
          <cell r="G11" t="str">
            <v>L10X10X3/4</v>
          </cell>
          <cell r="H11">
            <v>10</v>
          </cell>
          <cell r="I11" t="str">
            <v>–</v>
          </cell>
          <cell r="J11" t="str">
            <v>–</v>
          </cell>
          <cell r="K11" t="str">
            <v>–</v>
          </cell>
          <cell r="L11" t="str">
            <v>–</v>
          </cell>
          <cell r="M11" t="str">
            <v>–</v>
          </cell>
          <cell r="N11" t="str">
            <v>–</v>
          </cell>
          <cell r="O11" t="str">
            <v>–</v>
          </cell>
          <cell r="P11">
            <v>10</v>
          </cell>
          <cell r="Q11" t="str">
            <v>–</v>
          </cell>
          <cell r="R11" t="str">
            <v>–</v>
          </cell>
          <cell r="S11" t="str">
            <v>–</v>
          </cell>
          <cell r="T11" t="str">
            <v>–</v>
          </cell>
          <cell r="U11" t="str">
            <v>–</v>
          </cell>
          <cell r="V11" t="str">
            <v>–</v>
          </cell>
          <cell r="W11">
            <v>0.75</v>
          </cell>
          <cell r="CL11" t="str">
            <v>A529 Gr. 50</v>
          </cell>
          <cell r="CM11" t="str">
            <v>Grade 50</v>
          </cell>
          <cell r="CN11">
            <v>50</v>
          </cell>
          <cell r="CO11">
            <v>65</v>
          </cell>
          <cell r="DZ11" t="str">
            <v>W40X593</v>
          </cell>
          <cell r="EA11">
            <v>593</v>
          </cell>
          <cell r="EB11">
            <v>174</v>
          </cell>
          <cell r="EC11">
            <v>43</v>
          </cell>
          <cell r="ED11">
            <v>43</v>
          </cell>
          <cell r="EE11">
            <v>1.79</v>
          </cell>
          <cell r="EF11" t="str">
            <v>1 13/16</v>
          </cell>
          <cell r="EG11" t="str">
            <v>15/16</v>
          </cell>
          <cell r="EH11">
            <v>16.7</v>
          </cell>
          <cell r="EI11" t="str">
            <v>16 3/4</v>
          </cell>
          <cell r="EJ11">
            <v>3.23</v>
          </cell>
          <cell r="EK11" t="str">
            <v>3 1/4</v>
          </cell>
          <cell r="EL11">
            <v>2.58</v>
          </cell>
          <cell r="EM11">
            <v>19.100000000000001</v>
          </cell>
          <cell r="EN11">
            <v>50400</v>
          </cell>
          <cell r="EO11">
            <v>2340</v>
          </cell>
          <cell r="EP11">
            <v>17</v>
          </cell>
          <cell r="EQ11">
            <v>2760</v>
          </cell>
          <cell r="ER11">
            <v>2520</v>
          </cell>
          <cell r="ES11">
            <v>302</v>
          </cell>
          <cell r="ET11">
            <v>3.8</v>
          </cell>
          <cell r="EW11" t="str">
            <v>N/A</v>
          </cell>
          <cell r="EX11">
            <v>0</v>
          </cell>
        </row>
        <row r="12">
          <cell r="B12" t="str">
            <v>L8X8X1-1/8</v>
          </cell>
          <cell r="C12" t="str">
            <v>L8X8X1-1/8</v>
          </cell>
          <cell r="D12" t="str">
            <v>F</v>
          </cell>
          <cell r="E12">
            <v>56.9</v>
          </cell>
          <cell r="F12">
            <v>16.8</v>
          </cell>
          <cell r="G12" t="str">
            <v>L8X8X1-1/8</v>
          </cell>
          <cell r="H12">
            <v>8</v>
          </cell>
          <cell r="I12" t="str">
            <v>–</v>
          </cell>
          <cell r="J12" t="str">
            <v>–</v>
          </cell>
          <cell r="K12" t="str">
            <v>–</v>
          </cell>
          <cell r="L12" t="str">
            <v>–</v>
          </cell>
          <cell r="M12" t="str">
            <v>–</v>
          </cell>
          <cell r="N12" t="str">
            <v>–</v>
          </cell>
          <cell r="O12" t="str">
            <v>–</v>
          </cell>
          <cell r="P12">
            <v>8</v>
          </cell>
          <cell r="Q12" t="str">
            <v>–</v>
          </cell>
          <cell r="R12" t="str">
            <v>–</v>
          </cell>
          <cell r="S12" t="str">
            <v>–</v>
          </cell>
          <cell r="T12" t="str">
            <v>–</v>
          </cell>
          <cell r="U12" t="str">
            <v>–</v>
          </cell>
          <cell r="V12" t="str">
            <v>–</v>
          </cell>
          <cell r="W12">
            <v>1.1299999999999999</v>
          </cell>
          <cell r="CL12" t="str">
            <v>A529 Gr. 55</v>
          </cell>
          <cell r="CM12" t="str">
            <v>Grade 55</v>
          </cell>
          <cell r="CN12">
            <v>55</v>
          </cell>
          <cell r="CO12">
            <v>70</v>
          </cell>
          <cell r="DZ12" t="str">
            <v>W40X503</v>
          </cell>
          <cell r="EA12">
            <v>503</v>
          </cell>
          <cell r="EB12">
            <v>148</v>
          </cell>
          <cell r="EC12">
            <v>42.1</v>
          </cell>
          <cell r="ED12">
            <v>42</v>
          </cell>
          <cell r="EE12">
            <v>1.54</v>
          </cell>
          <cell r="EF12" t="str">
            <v>1 9/16</v>
          </cell>
          <cell r="EG12" t="str">
            <v>13/16</v>
          </cell>
          <cell r="EH12">
            <v>16.399999999999999</v>
          </cell>
          <cell r="EI12" t="str">
            <v>16 3/8</v>
          </cell>
          <cell r="EJ12">
            <v>2.76</v>
          </cell>
          <cell r="EK12" t="str">
            <v>2 3/4</v>
          </cell>
          <cell r="EL12">
            <v>2.98</v>
          </cell>
          <cell r="EM12">
            <v>22.3</v>
          </cell>
          <cell r="EN12">
            <v>41600</v>
          </cell>
          <cell r="EO12">
            <v>1980</v>
          </cell>
          <cell r="EP12">
            <v>16.8</v>
          </cell>
          <cell r="EQ12">
            <v>2320</v>
          </cell>
          <cell r="ER12">
            <v>2040</v>
          </cell>
          <cell r="ES12">
            <v>249</v>
          </cell>
          <cell r="ET12">
            <v>3.72</v>
          </cell>
        </row>
        <row r="13">
          <cell r="B13" t="str">
            <v>L8X8X1</v>
          </cell>
          <cell r="C13" t="str">
            <v>L8X8X1</v>
          </cell>
          <cell r="D13" t="str">
            <v>F</v>
          </cell>
          <cell r="E13">
            <v>51</v>
          </cell>
          <cell r="F13">
            <v>15.1</v>
          </cell>
          <cell r="G13" t="str">
            <v>L8X8X1</v>
          </cell>
          <cell r="H13">
            <v>8</v>
          </cell>
          <cell r="I13" t="str">
            <v>–</v>
          </cell>
          <cell r="J13" t="str">
            <v>–</v>
          </cell>
          <cell r="K13" t="str">
            <v>–</v>
          </cell>
          <cell r="L13" t="str">
            <v>–</v>
          </cell>
          <cell r="M13" t="str">
            <v>–</v>
          </cell>
          <cell r="N13" t="str">
            <v>–</v>
          </cell>
          <cell r="O13" t="str">
            <v>–</v>
          </cell>
          <cell r="P13">
            <v>8</v>
          </cell>
          <cell r="Q13" t="str">
            <v>–</v>
          </cell>
          <cell r="R13" t="str">
            <v>–</v>
          </cell>
          <cell r="S13" t="str">
            <v>–</v>
          </cell>
          <cell r="T13" t="str">
            <v>–</v>
          </cell>
          <cell r="U13" t="str">
            <v>–</v>
          </cell>
          <cell r="V13" t="str">
            <v>–</v>
          </cell>
          <cell r="W13">
            <v>1</v>
          </cell>
          <cell r="CL13" t="str">
            <v>A709</v>
          </cell>
          <cell r="CM13" t="str">
            <v>-</v>
          </cell>
          <cell r="CN13">
            <v>36</v>
          </cell>
          <cell r="CO13">
            <v>58</v>
          </cell>
          <cell r="DZ13" t="str">
            <v>W40X431</v>
          </cell>
          <cell r="EA13">
            <v>431</v>
          </cell>
          <cell r="EB13">
            <v>127</v>
          </cell>
          <cell r="EC13">
            <v>41.3</v>
          </cell>
          <cell r="ED13" t="str">
            <v>41 1/4</v>
          </cell>
          <cell r="EE13">
            <v>1.34</v>
          </cell>
          <cell r="EF13" t="str">
            <v>1 5/16</v>
          </cell>
          <cell r="EG13">
            <v>45246</v>
          </cell>
          <cell r="EH13">
            <v>16.2</v>
          </cell>
          <cell r="EI13" t="str">
            <v>16 1/4</v>
          </cell>
          <cell r="EJ13">
            <v>2.36</v>
          </cell>
          <cell r="EK13" t="str">
            <v>2 3/8</v>
          </cell>
          <cell r="EL13">
            <v>3.44</v>
          </cell>
          <cell r="EM13">
            <v>25.5</v>
          </cell>
          <cell r="EN13">
            <v>34800</v>
          </cell>
          <cell r="EO13">
            <v>1690</v>
          </cell>
          <cell r="EP13">
            <v>16.600000000000001</v>
          </cell>
          <cell r="EQ13">
            <v>1960</v>
          </cell>
          <cell r="ER13">
            <v>1690</v>
          </cell>
          <cell r="ES13">
            <v>208</v>
          </cell>
          <cell r="ET13">
            <v>3.65</v>
          </cell>
        </row>
        <row r="14">
          <cell r="B14" t="str">
            <v>L8X8X7/8</v>
          </cell>
          <cell r="C14" t="str">
            <v>L8X8X7/8</v>
          </cell>
          <cell r="D14" t="str">
            <v>F</v>
          </cell>
          <cell r="E14">
            <v>45</v>
          </cell>
          <cell r="F14">
            <v>13.3</v>
          </cell>
          <cell r="G14" t="str">
            <v>L8X8X7/8</v>
          </cell>
          <cell r="H14">
            <v>8</v>
          </cell>
          <cell r="I14" t="str">
            <v>–</v>
          </cell>
          <cell r="J14" t="str">
            <v>–</v>
          </cell>
          <cell r="K14" t="str">
            <v>–</v>
          </cell>
          <cell r="L14" t="str">
            <v>–</v>
          </cell>
          <cell r="M14" t="str">
            <v>–</v>
          </cell>
          <cell r="N14" t="str">
            <v>–</v>
          </cell>
          <cell r="O14" t="str">
            <v>–</v>
          </cell>
          <cell r="P14">
            <v>8</v>
          </cell>
          <cell r="Q14" t="str">
            <v>–</v>
          </cell>
          <cell r="R14" t="str">
            <v>–</v>
          </cell>
          <cell r="S14" t="str">
            <v>–</v>
          </cell>
          <cell r="T14" t="str">
            <v>–</v>
          </cell>
          <cell r="U14" t="str">
            <v>–</v>
          </cell>
          <cell r="V14" t="str">
            <v>–</v>
          </cell>
          <cell r="W14">
            <v>0.875</v>
          </cell>
          <cell r="CL14" t="str">
            <v>A1043 Gr. 36</v>
          </cell>
          <cell r="CM14">
            <v>36</v>
          </cell>
          <cell r="CN14">
            <v>36</v>
          </cell>
          <cell r="CO14">
            <v>58</v>
          </cell>
          <cell r="DZ14" t="str">
            <v>W40X397</v>
          </cell>
          <cell r="EA14">
            <v>397</v>
          </cell>
          <cell r="EB14">
            <v>117</v>
          </cell>
          <cell r="EC14">
            <v>41</v>
          </cell>
          <cell r="ED14">
            <v>41</v>
          </cell>
          <cell r="EE14">
            <v>1.22</v>
          </cell>
          <cell r="EF14" t="str">
            <v>1 1/4</v>
          </cell>
          <cell r="EG14">
            <v>45054</v>
          </cell>
          <cell r="EH14">
            <v>16.100000000000001</v>
          </cell>
          <cell r="EI14" t="str">
            <v>16 1/8</v>
          </cell>
          <cell r="EJ14">
            <v>2.2000000000000002</v>
          </cell>
          <cell r="EK14" t="str">
            <v>2 3/16</v>
          </cell>
          <cell r="EL14">
            <v>3.66</v>
          </cell>
          <cell r="EM14">
            <v>28</v>
          </cell>
          <cell r="EN14">
            <v>32000</v>
          </cell>
          <cell r="EO14">
            <v>1560</v>
          </cell>
          <cell r="EP14">
            <v>16.600000000000001</v>
          </cell>
          <cell r="EQ14">
            <v>1800</v>
          </cell>
          <cell r="ER14">
            <v>1540</v>
          </cell>
          <cell r="ES14">
            <v>191</v>
          </cell>
          <cell r="ET14">
            <v>3.64</v>
          </cell>
        </row>
        <row r="15">
          <cell r="B15" t="str">
            <v>L8X8X3/4</v>
          </cell>
          <cell r="C15" t="str">
            <v>L8X8X3/4</v>
          </cell>
          <cell r="D15" t="str">
            <v>F</v>
          </cell>
          <cell r="E15">
            <v>38.9</v>
          </cell>
          <cell r="F15">
            <v>11.5</v>
          </cell>
          <cell r="G15" t="str">
            <v>L8X8X3/4</v>
          </cell>
          <cell r="H15">
            <v>8</v>
          </cell>
          <cell r="I15" t="str">
            <v>–</v>
          </cell>
          <cell r="J15" t="str">
            <v>–</v>
          </cell>
          <cell r="K15" t="str">
            <v>–</v>
          </cell>
          <cell r="L15" t="str">
            <v>–</v>
          </cell>
          <cell r="M15" t="str">
            <v>–</v>
          </cell>
          <cell r="N15" t="str">
            <v>–</v>
          </cell>
          <cell r="O15" t="str">
            <v>–</v>
          </cell>
          <cell r="P15">
            <v>8</v>
          </cell>
          <cell r="Q15" t="str">
            <v>–</v>
          </cell>
          <cell r="R15" t="str">
            <v>–</v>
          </cell>
          <cell r="S15" t="str">
            <v>–</v>
          </cell>
          <cell r="T15" t="str">
            <v>–</v>
          </cell>
          <cell r="U15" t="str">
            <v>–</v>
          </cell>
          <cell r="V15" t="str">
            <v>–</v>
          </cell>
          <cell r="W15">
            <v>0.75</v>
          </cell>
          <cell r="CL15" t="str">
            <v>A1043 Gr. 50</v>
          </cell>
          <cell r="CM15">
            <v>50</v>
          </cell>
          <cell r="CN15">
            <v>50</v>
          </cell>
          <cell r="CO15">
            <v>65</v>
          </cell>
          <cell r="DZ15" t="str">
            <v>W40X372</v>
          </cell>
          <cell r="EA15">
            <v>372</v>
          </cell>
          <cell r="EB15">
            <v>110</v>
          </cell>
          <cell r="EC15">
            <v>40.6</v>
          </cell>
          <cell r="ED15" t="str">
            <v>40 5/8</v>
          </cell>
          <cell r="EE15">
            <v>1.1599999999999999</v>
          </cell>
          <cell r="EF15" t="str">
            <v>1 3/16</v>
          </cell>
          <cell r="EG15">
            <v>45054</v>
          </cell>
          <cell r="EH15">
            <v>16.100000000000001</v>
          </cell>
          <cell r="EI15" t="str">
            <v>16 1/8</v>
          </cell>
          <cell r="EJ15">
            <v>2.0499999999999998</v>
          </cell>
          <cell r="EK15" t="str">
            <v>2 1/16</v>
          </cell>
          <cell r="EL15">
            <v>3.93</v>
          </cell>
          <cell r="EM15">
            <v>29.5</v>
          </cell>
          <cell r="EN15">
            <v>29600</v>
          </cell>
          <cell r="EO15">
            <v>1460</v>
          </cell>
          <cell r="EP15">
            <v>16.5</v>
          </cell>
          <cell r="EQ15">
            <v>1680</v>
          </cell>
          <cell r="ER15">
            <v>1420</v>
          </cell>
          <cell r="ES15">
            <v>177</v>
          </cell>
          <cell r="ET15">
            <v>3.6</v>
          </cell>
        </row>
        <row r="16">
          <cell r="B16" t="str">
            <v>L8X8X5/8</v>
          </cell>
          <cell r="C16" t="str">
            <v>L8X8X5/8</v>
          </cell>
          <cell r="D16" t="str">
            <v>F</v>
          </cell>
          <cell r="E16">
            <v>32.700000000000003</v>
          </cell>
          <cell r="F16">
            <v>9.69</v>
          </cell>
          <cell r="G16" t="str">
            <v>L8X8X5/8</v>
          </cell>
          <cell r="H16">
            <v>8</v>
          </cell>
          <cell r="I16" t="str">
            <v>–</v>
          </cell>
          <cell r="J16" t="str">
            <v>–</v>
          </cell>
          <cell r="K16" t="str">
            <v>–</v>
          </cell>
          <cell r="L16" t="str">
            <v>–</v>
          </cell>
          <cell r="M16" t="str">
            <v>–</v>
          </cell>
          <cell r="N16" t="str">
            <v>–</v>
          </cell>
          <cell r="O16" t="str">
            <v>–</v>
          </cell>
          <cell r="P16">
            <v>8</v>
          </cell>
          <cell r="Q16" t="str">
            <v>–</v>
          </cell>
          <cell r="R16" t="str">
            <v>–</v>
          </cell>
          <cell r="S16" t="str">
            <v>–</v>
          </cell>
          <cell r="T16" t="str">
            <v>–</v>
          </cell>
          <cell r="U16" t="str">
            <v>–</v>
          </cell>
          <cell r="V16" t="str">
            <v>–</v>
          </cell>
          <cell r="W16">
            <v>0.625</v>
          </cell>
          <cell r="CL16" t="str">
            <v>A1085</v>
          </cell>
          <cell r="CM16" t="str">
            <v>Gr. A</v>
          </cell>
          <cell r="CN16">
            <v>50</v>
          </cell>
          <cell r="CO16">
            <v>65</v>
          </cell>
          <cell r="DZ16" t="str">
            <v>W40X362</v>
          </cell>
          <cell r="EA16">
            <v>362</v>
          </cell>
          <cell r="EB16">
            <v>106</v>
          </cell>
          <cell r="EC16">
            <v>40.6</v>
          </cell>
          <cell r="ED16" t="str">
            <v>40 1/2</v>
          </cell>
          <cell r="EE16">
            <v>1.1200000000000001</v>
          </cell>
          <cell r="EF16" t="str">
            <v>1 1/8</v>
          </cell>
          <cell r="EG16">
            <v>45185</v>
          </cell>
          <cell r="EH16">
            <v>16</v>
          </cell>
          <cell r="EI16">
            <v>16</v>
          </cell>
          <cell r="EJ16">
            <v>2.0099999999999998</v>
          </cell>
          <cell r="EK16">
            <v>2</v>
          </cell>
          <cell r="EL16">
            <v>3.99</v>
          </cell>
          <cell r="EM16">
            <v>30.5</v>
          </cell>
          <cell r="EN16">
            <v>28900</v>
          </cell>
          <cell r="EO16">
            <v>1420</v>
          </cell>
          <cell r="EP16">
            <v>16.5</v>
          </cell>
          <cell r="EQ16">
            <v>1640</v>
          </cell>
          <cell r="ER16">
            <v>1380</v>
          </cell>
          <cell r="ES16">
            <v>173</v>
          </cell>
          <cell r="ET16">
            <v>3.6</v>
          </cell>
        </row>
        <row r="17">
          <cell r="B17" t="str">
            <v>L8X8X9/16</v>
          </cell>
          <cell r="C17" t="str">
            <v>L8X8X9/16</v>
          </cell>
          <cell r="D17" t="str">
            <v>F</v>
          </cell>
          <cell r="E17">
            <v>29.6</v>
          </cell>
          <cell r="F17">
            <v>8.77</v>
          </cell>
          <cell r="G17" t="str">
            <v>L8X8X9/16</v>
          </cell>
          <cell r="H17">
            <v>8</v>
          </cell>
          <cell r="I17" t="str">
            <v>–</v>
          </cell>
          <cell r="J17" t="str">
            <v>–</v>
          </cell>
          <cell r="K17" t="str">
            <v>–</v>
          </cell>
          <cell r="L17" t="str">
            <v>–</v>
          </cell>
          <cell r="M17" t="str">
            <v>–</v>
          </cell>
          <cell r="N17" t="str">
            <v>–</v>
          </cell>
          <cell r="O17" t="str">
            <v>–</v>
          </cell>
          <cell r="P17">
            <v>8</v>
          </cell>
          <cell r="Q17" t="str">
            <v>–</v>
          </cell>
          <cell r="R17" t="str">
            <v>–</v>
          </cell>
          <cell r="S17" t="str">
            <v>–</v>
          </cell>
          <cell r="T17" t="str">
            <v>–</v>
          </cell>
          <cell r="U17" t="str">
            <v>–</v>
          </cell>
          <cell r="V17" t="str">
            <v>–</v>
          </cell>
          <cell r="W17">
            <v>0.56299999999999994</v>
          </cell>
          <cell r="CL17" t="str">
            <v>A572 Gr. 42</v>
          </cell>
          <cell r="CM17" t="str">
            <v>Grade 42</v>
          </cell>
          <cell r="CN17">
            <v>42</v>
          </cell>
          <cell r="CO17">
            <v>60</v>
          </cell>
          <cell r="DZ17" t="str">
            <v>W40X324</v>
          </cell>
          <cell r="EA17">
            <v>324</v>
          </cell>
          <cell r="EB17">
            <v>95.3</v>
          </cell>
          <cell r="EC17">
            <v>40.200000000000003</v>
          </cell>
          <cell r="ED17" t="str">
            <v>40 1/8</v>
          </cell>
          <cell r="EE17">
            <v>1</v>
          </cell>
          <cell r="EF17">
            <v>1</v>
          </cell>
          <cell r="EG17">
            <v>44928</v>
          </cell>
          <cell r="EH17">
            <v>15.9</v>
          </cell>
          <cell r="EI17" t="str">
            <v>15 7/8</v>
          </cell>
          <cell r="EJ17">
            <v>1.81</v>
          </cell>
          <cell r="EK17" t="str">
            <v>1 13/16</v>
          </cell>
          <cell r="EL17">
            <v>4.4000000000000004</v>
          </cell>
          <cell r="EM17">
            <v>34.200000000000003</v>
          </cell>
          <cell r="EN17">
            <v>25600</v>
          </cell>
          <cell r="EO17">
            <v>1280</v>
          </cell>
          <cell r="EP17">
            <v>16.399999999999999</v>
          </cell>
          <cell r="EQ17">
            <v>1460</v>
          </cell>
          <cell r="ER17">
            <v>1220</v>
          </cell>
          <cell r="ES17">
            <v>153</v>
          </cell>
          <cell r="ET17">
            <v>3.58</v>
          </cell>
        </row>
        <row r="18">
          <cell r="B18" t="str">
            <v>L8X8X1/2</v>
          </cell>
          <cell r="C18" t="str">
            <v>L8X8X1/2</v>
          </cell>
          <cell r="D18" t="str">
            <v>F</v>
          </cell>
          <cell r="E18">
            <v>26.4</v>
          </cell>
          <cell r="F18">
            <v>7.84</v>
          </cell>
          <cell r="G18" t="str">
            <v>L8X8X1/2</v>
          </cell>
          <cell r="H18">
            <v>8</v>
          </cell>
          <cell r="I18" t="str">
            <v>–</v>
          </cell>
          <cell r="J18" t="str">
            <v>–</v>
          </cell>
          <cell r="K18" t="str">
            <v>–</v>
          </cell>
          <cell r="L18" t="str">
            <v>–</v>
          </cell>
          <cell r="M18" t="str">
            <v>–</v>
          </cell>
          <cell r="N18" t="str">
            <v>–</v>
          </cell>
          <cell r="O18" t="str">
            <v>–</v>
          </cell>
          <cell r="P18">
            <v>8</v>
          </cell>
          <cell r="Q18" t="str">
            <v>–</v>
          </cell>
          <cell r="R18" t="str">
            <v>–</v>
          </cell>
          <cell r="S18" t="str">
            <v>–</v>
          </cell>
          <cell r="T18" t="str">
            <v>–</v>
          </cell>
          <cell r="U18" t="str">
            <v>–</v>
          </cell>
          <cell r="V18" t="str">
            <v>–</v>
          </cell>
          <cell r="W18">
            <v>0.5</v>
          </cell>
          <cell r="CL18" t="str">
            <v>A572 Gr. 50</v>
          </cell>
          <cell r="CM18" t="str">
            <v>Grade 50</v>
          </cell>
          <cell r="CN18">
            <v>50</v>
          </cell>
          <cell r="CO18">
            <v>65</v>
          </cell>
          <cell r="DZ18" t="str">
            <v>W40X297</v>
          </cell>
          <cell r="EA18">
            <v>297</v>
          </cell>
          <cell r="EB18">
            <v>87.3</v>
          </cell>
          <cell r="EC18">
            <v>39.799999999999997</v>
          </cell>
          <cell r="ED18" t="str">
            <v>39 7/8</v>
          </cell>
          <cell r="EE18">
            <v>0.93</v>
          </cell>
          <cell r="EF18" t="str">
            <v>15/16</v>
          </cell>
          <cell r="EG18">
            <v>44928</v>
          </cell>
          <cell r="EH18">
            <v>15.8</v>
          </cell>
          <cell r="EI18" t="str">
            <v>15 7/8</v>
          </cell>
          <cell r="EJ18">
            <v>1.65</v>
          </cell>
          <cell r="EK18" t="str">
            <v>1 5/8</v>
          </cell>
          <cell r="EL18">
            <v>4.8</v>
          </cell>
          <cell r="EM18">
            <v>36.799999999999997</v>
          </cell>
          <cell r="EN18">
            <v>23200</v>
          </cell>
          <cell r="EO18">
            <v>1170</v>
          </cell>
          <cell r="EP18">
            <v>16.3</v>
          </cell>
          <cell r="EQ18">
            <v>1330</v>
          </cell>
          <cell r="ER18">
            <v>1090</v>
          </cell>
          <cell r="ES18">
            <v>138</v>
          </cell>
          <cell r="ET18">
            <v>3.54</v>
          </cell>
        </row>
        <row r="19">
          <cell r="B19" t="str">
            <v>L8X6X1</v>
          </cell>
          <cell r="C19" t="str">
            <v>L8X6X1</v>
          </cell>
          <cell r="D19" t="str">
            <v>F</v>
          </cell>
          <cell r="E19">
            <v>44.2</v>
          </cell>
          <cell r="F19">
            <v>13.1</v>
          </cell>
          <cell r="G19" t="str">
            <v>L8X6X1</v>
          </cell>
          <cell r="H19">
            <v>6</v>
          </cell>
          <cell r="I19" t="str">
            <v>–</v>
          </cell>
          <cell r="J19" t="str">
            <v>–</v>
          </cell>
          <cell r="K19" t="str">
            <v>–</v>
          </cell>
          <cell r="L19" t="str">
            <v>–</v>
          </cell>
          <cell r="M19" t="str">
            <v>–</v>
          </cell>
          <cell r="N19" t="str">
            <v>–</v>
          </cell>
          <cell r="O19" t="str">
            <v>–</v>
          </cell>
          <cell r="P19">
            <v>8</v>
          </cell>
          <cell r="Q19" t="str">
            <v>–</v>
          </cell>
          <cell r="R19" t="str">
            <v>–</v>
          </cell>
          <cell r="S19" t="str">
            <v>–</v>
          </cell>
          <cell r="T19" t="str">
            <v>–</v>
          </cell>
          <cell r="U19" t="str">
            <v>–</v>
          </cell>
          <cell r="V19" t="str">
            <v>–</v>
          </cell>
          <cell r="W19">
            <v>1</v>
          </cell>
          <cell r="CL19" t="str">
            <v>A572 Gr. 55</v>
          </cell>
          <cell r="CM19" t="str">
            <v>Grade 55</v>
          </cell>
          <cell r="CN19">
            <v>55</v>
          </cell>
          <cell r="CO19">
            <v>70</v>
          </cell>
          <cell r="DZ19" t="str">
            <v>W40X277</v>
          </cell>
          <cell r="EA19">
            <v>277</v>
          </cell>
          <cell r="EB19">
            <v>81.5</v>
          </cell>
          <cell r="EC19">
            <v>39.700000000000003</v>
          </cell>
          <cell r="ED19" t="str">
            <v>39 3/4</v>
          </cell>
          <cell r="EE19">
            <v>0.83</v>
          </cell>
          <cell r="EF19" t="str">
            <v>13/16</v>
          </cell>
          <cell r="EG19">
            <v>45123</v>
          </cell>
          <cell r="EH19">
            <v>15.8</v>
          </cell>
          <cell r="EI19" t="str">
            <v>15 7/8</v>
          </cell>
          <cell r="EJ19">
            <v>1.58</v>
          </cell>
          <cell r="EK19" t="str">
            <v>1 9/16</v>
          </cell>
          <cell r="EL19">
            <v>5.03</v>
          </cell>
          <cell r="EM19">
            <v>41.2</v>
          </cell>
          <cell r="EN19">
            <v>21900</v>
          </cell>
          <cell r="EO19">
            <v>1100</v>
          </cell>
          <cell r="EP19">
            <v>16.399999999999999</v>
          </cell>
          <cell r="EQ19">
            <v>1250</v>
          </cell>
          <cell r="ER19">
            <v>1040</v>
          </cell>
          <cell r="ES19">
            <v>132</v>
          </cell>
          <cell r="ET19">
            <v>3.58</v>
          </cell>
        </row>
        <row r="20">
          <cell r="B20" t="str">
            <v>L8X6X7/8</v>
          </cell>
          <cell r="C20" t="str">
            <v>L8X6X7/8</v>
          </cell>
          <cell r="D20" t="str">
            <v>F</v>
          </cell>
          <cell r="E20">
            <v>39.1</v>
          </cell>
          <cell r="F20">
            <v>11.5</v>
          </cell>
          <cell r="G20" t="str">
            <v>L8X6X7/8</v>
          </cell>
          <cell r="H20">
            <v>6</v>
          </cell>
          <cell r="I20" t="str">
            <v>–</v>
          </cell>
          <cell r="J20" t="str">
            <v>–</v>
          </cell>
          <cell r="K20" t="str">
            <v>–</v>
          </cell>
          <cell r="L20" t="str">
            <v>–</v>
          </cell>
          <cell r="M20" t="str">
            <v>–</v>
          </cell>
          <cell r="N20" t="str">
            <v>–</v>
          </cell>
          <cell r="O20" t="str">
            <v>–</v>
          </cell>
          <cell r="P20">
            <v>8</v>
          </cell>
          <cell r="Q20" t="str">
            <v>–</v>
          </cell>
          <cell r="R20" t="str">
            <v>–</v>
          </cell>
          <cell r="S20" t="str">
            <v>–</v>
          </cell>
          <cell r="T20" t="str">
            <v>–</v>
          </cell>
          <cell r="U20" t="str">
            <v>–</v>
          </cell>
          <cell r="V20" t="str">
            <v>–</v>
          </cell>
          <cell r="W20">
            <v>0.875</v>
          </cell>
          <cell r="CL20" t="str">
            <v>A572 Gr. 60</v>
          </cell>
          <cell r="CM20" t="str">
            <v>Grade 60</v>
          </cell>
          <cell r="CN20">
            <v>60</v>
          </cell>
          <cell r="CO20">
            <v>75</v>
          </cell>
          <cell r="DZ20" t="str">
            <v>W40X249</v>
          </cell>
          <cell r="EA20">
            <v>249</v>
          </cell>
          <cell r="EB20">
            <v>73.5</v>
          </cell>
          <cell r="EC20">
            <v>39.4</v>
          </cell>
          <cell r="ED20" t="str">
            <v>39 3/8</v>
          </cell>
          <cell r="EE20">
            <v>0.75</v>
          </cell>
          <cell r="EF20">
            <v>44989</v>
          </cell>
          <cell r="EG20">
            <v>44993</v>
          </cell>
          <cell r="EH20">
            <v>15.8</v>
          </cell>
          <cell r="EI20" t="str">
            <v>15 3/4</v>
          </cell>
          <cell r="EJ20">
            <v>1.42</v>
          </cell>
          <cell r="EK20" t="str">
            <v>1 7/16</v>
          </cell>
          <cell r="EL20">
            <v>5.55</v>
          </cell>
          <cell r="EM20">
            <v>45.6</v>
          </cell>
          <cell r="EN20">
            <v>19600</v>
          </cell>
          <cell r="EO20">
            <v>993</v>
          </cell>
          <cell r="EP20">
            <v>16.3</v>
          </cell>
          <cell r="EQ20">
            <v>1120</v>
          </cell>
          <cell r="ER20">
            <v>926</v>
          </cell>
          <cell r="ES20">
            <v>118</v>
          </cell>
          <cell r="ET20">
            <v>3.55</v>
          </cell>
        </row>
        <row r="21">
          <cell r="B21" t="str">
            <v>L8X6X3/4</v>
          </cell>
          <cell r="C21" t="str">
            <v>L8X6X3/4</v>
          </cell>
          <cell r="D21" t="str">
            <v>F</v>
          </cell>
          <cell r="E21">
            <v>33.799999999999997</v>
          </cell>
          <cell r="F21">
            <v>9.99</v>
          </cell>
          <cell r="G21" t="str">
            <v>L8X6X3/4</v>
          </cell>
          <cell r="H21">
            <v>6</v>
          </cell>
          <cell r="I21" t="str">
            <v>–</v>
          </cell>
          <cell r="J21" t="str">
            <v>–</v>
          </cell>
          <cell r="K21" t="str">
            <v>–</v>
          </cell>
          <cell r="L21" t="str">
            <v>–</v>
          </cell>
          <cell r="M21" t="str">
            <v>–</v>
          </cell>
          <cell r="N21" t="str">
            <v>–</v>
          </cell>
          <cell r="O21" t="str">
            <v>–</v>
          </cell>
          <cell r="P21">
            <v>8</v>
          </cell>
          <cell r="Q21" t="str">
            <v>–</v>
          </cell>
          <cell r="R21" t="str">
            <v>–</v>
          </cell>
          <cell r="S21" t="str">
            <v>–</v>
          </cell>
          <cell r="T21" t="str">
            <v>–</v>
          </cell>
          <cell r="U21" t="str">
            <v>–</v>
          </cell>
          <cell r="V21" t="str">
            <v>–</v>
          </cell>
          <cell r="W21">
            <v>0.75</v>
          </cell>
          <cell r="CL21" t="str">
            <v>A572 Gr. 65</v>
          </cell>
          <cell r="CM21" t="str">
            <v>Grade 65</v>
          </cell>
          <cell r="CN21">
            <v>65</v>
          </cell>
          <cell r="CO21">
            <v>80</v>
          </cell>
          <cell r="DZ21" t="str">
            <v>W40X215</v>
          </cell>
          <cell r="EA21">
            <v>215</v>
          </cell>
          <cell r="EB21">
            <v>63.5</v>
          </cell>
          <cell r="EC21">
            <v>39</v>
          </cell>
          <cell r="ED21">
            <v>39</v>
          </cell>
          <cell r="EE21">
            <v>0.65</v>
          </cell>
          <cell r="EF21">
            <v>45054</v>
          </cell>
          <cell r="EG21">
            <v>45062</v>
          </cell>
          <cell r="EH21">
            <v>15.8</v>
          </cell>
          <cell r="EI21" t="str">
            <v>15 3/4</v>
          </cell>
          <cell r="EJ21">
            <v>1.22</v>
          </cell>
          <cell r="EK21" t="str">
            <v>1 1/4</v>
          </cell>
          <cell r="EL21">
            <v>6.45</v>
          </cell>
          <cell r="EM21">
            <v>52.6</v>
          </cell>
          <cell r="EN21">
            <v>16700</v>
          </cell>
          <cell r="EO21">
            <v>859</v>
          </cell>
          <cell r="EP21">
            <v>16.2</v>
          </cell>
          <cell r="EQ21">
            <v>964</v>
          </cell>
          <cell r="ER21">
            <v>803</v>
          </cell>
          <cell r="ES21">
            <v>101</v>
          </cell>
          <cell r="ET21">
            <v>3.54</v>
          </cell>
        </row>
        <row r="22">
          <cell r="B22" t="str">
            <v>L8X6X5/8</v>
          </cell>
          <cell r="C22" t="str">
            <v>L8X6X5/8</v>
          </cell>
          <cell r="D22" t="str">
            <v>F</v>
          </cell>
          <cell r="E22">
            <v>28.5</v>
          </cell>
          <cell r="F22">
            <v>8.41</v>
          </cell>
          <cell r="G22" t="str">
            <v>L8X6X5/8</v>
          </cell>
          <cell r="H22">
            <v>6</v>
          </cell>
          <cell r="I22" t="str">
            <v>–</v>
          </cell>
          <cell r="J22" t="str">
            <v>–</v>
          </cell>
          <cell r="K22" t="str">
            <v>–</v>
          </cell>
          <cell r="L22" t="str">
            <v>–</v>
          </cell>
          <cell r="M22" t="str">
            <v>–</v>
          </cell>
          <cell r="N22" t="str">
            <v>–</v>
          </cell>
          <cell r="O22" t="str">
            <v>–</v>
          </cell>
          <cell r="P22">
            <v>8</v>
          </cell>
          <cell r="Q22" t="str">
            <v>–</v>
          </cell>
          <cell r="R22" t="str">
            <v>–</v>
          </cell>
          <cell r="S22" t="str">
            <v>–</v>
          </cell>
          <cell r="T22" t="str">
            <v>–</v>
          </cell>
          <cell r="U22" t="str">
            <v>–</v>
          </cell>
          <cell r="V22" t="str">
            <v>–</v>
          </cell>
          <cell r="W22">
            <v>0.625</v>
          </cell>
          <cell r="CL22" t="str">
            <v>A618 Gr. Ia, Ib, &amp; II</v>
          </cell>
          <cell r="CM22" t="str">
            <v>Gr. Ia, Ib, &amp; III</v>
          </cell>
          <cell r="CN22">
            <v>50</v>
          </cell>
          <cell r="CO22">
            <v>70</v>
          </cell>
          <cell r="DZ22" t="str">
            <v>W40X199</v>
          </cell>
          <cell r="EA22">
            <v>199</v>
          </cell>
          <cell r="EB22">
            <v>58.8</v>
          </cell>
          <cell r="EC22">
            <v>38.700000000000003</v>
          </cell>
          <cell r="ED22" t="str">
            <v>38 5/8</v>
          </cell>
          <cell r="EE22">
            <v>0.65</v>
          </cell>
          <cell r="EF22">
            <v>45054</v>
          </cell>
          <cell r="EG22">
            <v>45062</v>
          </cell>
          <cell r="EH22">
            <v>15.8</v>
          </cell>
          <cell r="EI22" t="str">
            <v>15 3/4</v>
          </cell>
          <cell r="EJ22">
            <v>1.07</v>
          </cell>
          <cell r="EK22" t="str">
            <v>1 1/16</v>
          </cell>
          <cell r="EL22">
            <v>7.39</v>
          </cell>
          <cell r="EM22">
            <v>52.6</v>
          </cell>
          <cell r="EN22">
            <v>14900</v>
          </cell>
          <cell r="EO22">
            <v>770</v>
          </cell>
          <cell r="EP22">
            <v>16</v>
          </cell>
          <cell r="EQ22">
            <v>869</v>
          </cell>
          <cell r="ER22">
            <v>695</v>
          </cell>
          <cell r="ES22">
            <v>88.2</v>
          </cell>
          <cell r="ET22">
            <v>3.45</v>
          </cell>
        </row>
        <row r="23">
          <cell r="B23" t="str">
            <v>L8X6X9/16</v>
          </cell>
          <cell r="C23" t="str">
            <v>L8X6X9/16</v>
          </cell>
          <cell r="D23" t="str">
            <v>F</v>
          </cell>
          <cell r="E23">
            <v>25.7</v>
          </cell>
          <cell r="F23">
            <v>7.61</v>
          </cell>
          <cell r="G23" t="str">
            <v>L8X6X9/16</v>
          </cell>
          <cell r="H23">
            <v>6</v>
          </cell>
          <cell r="I23" t="str">
            <v>–</v>
          </cell>
          <cell r="J23" t="str">
            <v>–</v>
          </cell>
          <cell r="K23" t="str">
            <v>–</v>
          </cell>
          <cell r="L23" t="str">
            <v>–</v>
          </cell>
          <cell r="M23" t="str">
            <v>–</v>
          </cell>
          <cell r="N23" t="str">
            <v>–</v>
          </cell>
          <cell r="O23" t="str">
            <v>–</v>
          </cell>
          <cell r="P23">
            <v>8</v>
          </cell>
          <cell r="Q23" t="str">
            <v>–</v>
          </cell>
          <cell r="R23" t="str">
            <v>–</v>
          </cell>
          <cell r="S23" t="str">
            <v>–</v>
          </cell>
          <cell r="T23" t="str">
            <v>–</v>
          </cell>
          <cell r="U23" t="str">
            <v>–</v>
          </cell>
          <cell r="V23" t="str">
            <v>–</v>
          </cell>
          <cell r="W23">
            <v>0.56299999999999994</v>
          </cell>
          <cell r="CL23" t="str">
            <v>A618 Gr. III</v>
          </cell>
          <cell r="CM23" t="str">
            <v>Gr. III</v>
          </cell>
          <cell r="CN23">
            <v>50</v>
          </cell>
          <cell r="CO23">
            <v>65</v>
          </cell>
          <cell r="DZ23" t="str">
            <v>W40X392</v>
          </cell>
          <cell r="EA23">
            <v>392</v>
          </cell>
          <cell r="EB23">
            <v>116</v>
          </cell>
          <cell r="EC23">
            <v>41.6</v>
          </cell>
          <cell r="ED23" t="str">
            <v>41 5/8</v>
          </cell>
          <cell r="EE23">
            <v>1.42</v>
          </cell>
          <cell r="EF23" t="str">
            <v>1 7/16</v>
          </cell>
          <cell r="EG23">
            <v>44989</v>
          </cell>
          <cell r="EH23">
            <v>12.4</v>
          </cell>
          <cell r="EI23" t="str">
            <v>12 3/8</v>
          </cell>
          <cell r="EJ23">
            <v>2.52</v>
          </cell>
          <cell r="EK23" t="str">
            <v>2 1/2</v>
          </cell>
          <cell r="EL23">
            <v>2.4500000000000002</v>
          </cell>
          <cell r="EM23">
            <v>24.1</v>
          </cell>
          <cell r="EN23">
            <v>29900</v>
          </cell>
          <cell r="EO23">
            <v>1440</v>
          </cell>
          <cell r="EP23">
            <v>16.100000000000001</v>
          </cell>
          <cell r="EQ23">
            <v>1710</v>
          </cell>
          <cell r="ER23">
            <v>803</v>
          </cell>
          <cell r="ES23">
            <v>130</v>
          </cell>
          <cell r="ET23">
            <v>2.64</v>
          </cell>
        </row>
        <row r="24">
          <cell r="B24" t="str">
            <v>L8X6X1/2</v>
          </cell>
          <cell r="C24" t="str">
            <v>L8X6X1/2</v>
          </cell>
          <cell r="D24" t="str">
            <v>F</v>
          </cell>
          <cell r="E24">
            <v>23</v>
          </cell>
          <cell r="F24">
            <v>6.8</v>
          </cell>
          <cell r="G24" t="str">
            <v>L8X6X1/2</v>
          </cell>
          <cell r="H24">
            <v>6</v>
          </cell>
          <cell r="I24" t="str">
            <v>–</v>
          </cell>
          <cell r="J24" t="str">
            <v>–</v>
          </cell>
          <cell r="K24" t="str">
            <v>–</v>
          </cell>
          <cell r="L24" t="str">
            <v>–</v>
          </cell>
          <cell r="M24" t="str">
            <v>–</v>
          </cell>
          <cell r="N24" t="str">
            <v>–</v>
          </cell>
          <cell r="O24" t="str">
            <v>–</v>
          </cell>
          <cell r="P24">
            <v>8</v>
          </cell>
          <cell r="Q24" t="str">
            <v>–</v>
          </cell>
          <cell r="R24" t="str">
            <v>–</v>
          </cell>
          <cell r="S24" t="str">
            <v>–</v>
          </cell>
          <cell r="T24" t="str">
            <v>–</v>
          </cell>
          <cell r="U24" t="str">
            <v>–</v>
          </cell>
          <cell r="V24" t="str">
            <v>–</v>
          </cell>
          <cell r="W24">
            <v>0.5</v>
          </cell>
          <cell r="CL24" t="str">
            <v>A709 Gr. 50</v>
          </cell>
          <cell r="CM24">
            <v>50</v>
          </cell>
          <cell r="CN24">
            <v>50</v>
          </cell>
          <cell r="CO24">
            <v>65</v>
          </cell>
          <cell r="DZ24" t="str">
            <v>W40X331</v>
          </cell>
          <cell r="EA24">
            <v>331</v>
          </cell>
          <cell r="EB24">
            <v>97.7</v>
          </cell>
          <cell r="EC24">
            <v>40.799999999999997</v>
          </cell>
          <cell r="ED24" t="str">
            <v>40 3/4</v>
          </cell>
          <cell r="EE24">
            <v>1.22</v>
          </cell>
          <cell r="EF24" t="str">
            <v>1 1/4</v>
          </cell>
          <cell r="EG24">
            <v>45054</v>
          </cell>
          <cell r="EH24">
            <v>12.2</v>
          </cell>
          <cell r="EI24" t="str">
            <v>12 1/8</v>
          </cell>
          <cell r="EJ24">
            <v>2.13</v>
          </cell>
          <cell r="EK24" t="str">
            <v>2 1/8</v>
          </cell>
          <cell r="EL24">
            <v>2.86</v>
          </cell>
          <cell r="EM24">
            <v>28</v>
          </cell>
          <cell r="EN24">
            <v>24700</v>
          </cell>
          <cell r="EO24">
            <v>1210</v>
          </cell>
          <cell r="EP24">
            <v>15.9</v>
          </cell>
          <cell r="EQ24">
            <v>1430</v>
          </cell>
          <cell r="ER24">
            <v>644</v>
          </cell>
          <cell r="ES24">
            <v>106</v>
          </cell>
          <cell r="ET24">
            <v>2.57</v>
          </cell>
        </row>
        <row r="25">
          <cell r="B25" t="str">
            <v>L8X6X7/16</v>
          </cell>
          <cell r="C25" t="str">
            <v>L8X6X7/16</v>
          </cell>
          <cell r="D25" t="str">
            <v>F</v>
          </cell>
          <cell r="E25">
            <v>20.2</v>
          </cell>
          <cell r="F25">
            <v>5.99</v>
          </cell>
          <cell r="G25" t="str">
            <v>L8X6X7/16</v>
          </cell>
          <cell r="H25">
            <v>6</v>
          </cell>
          <cell r="I25" t="str">
            <v>–</v>
          </cell>
          <cell r="J25" t="str">
            <v>–</v>
          </cell>
          <cell r="K25" t="str">
            <v>–</v>
          </cell>
          <cell r="L25" t="str">
            <v>–</v>
          </cell>
          <cell r="M25" t="str">
            <v>–</v>
          </cell>
          <cell r="N25" t="str">
            <v>–</v>
          </cell>
          <cell r="O25" t="str">
            <v>–</v>
          </cell>
          <cell r="P25">
            <v>8</v>
          </cell>
          <cell r="Q25" t="str">
            <v>–</v>
          </cell>
          <cell r="R25" t="str">
            <v>–</v>
          </cell>
          <cell r="S25" t="str">
            <v>–</v>
          </cell>
          <cell r="T25" t="str">
            <v>–</v>
          </cell>
          <cell r="U25" t="str">
            <v>–</v>
          </cell>
          <cell r="V25" t="str">
            <v>–</v>
          </cell>
          <cell r="W25">
            <v>0.438</v>
          </cell>
          <cell r="CL25" t="str">
            <v>A709 Gr. 50S</v>
          </cell>
          <cell r="CM25" t="str">
            <v>50S</v>
          </cell>
          <cell r="CN25">
            <v>50</v>
          </cell>
          <cell r="CO25">
            <v>65</v>
          </cell>
          <cell r="DZ25" t="str">
            <v>W40X327</v>
          </cell>
          <cell r="EA25">
            <v>327</v>
          </cell>
          <cell r="EB25">
            <v>95.9</v>
          </cell>
          <cell r="EC25">
            <v>40.799999999999997</v>
          </cell>
          <cell r="ED25" t="str">
            <v>40 3/4</v>
          </cell>
          <cell r="EE25">
            <v>1.18</v>
          </cell>
          <cell r="EF25" t="str">
            <v>1 3/16</v>
          </cell>
          <cell r="EG25">
            <v>45054</v>
          </cell>
          <cell r="EH25">
            <v>12.1</v>
          </cell>
          <cell r="EI25" t="str">
            <v>12 1/8</v>
          </cell>
          <cell r="EJ25">
            <v>2.13</v>
          </cell>
          <cell r="EK25" t="str">
            <v>2 1/8</v>
          </cell>
          <cell r="EL25">
            <v>2.85</v>
          </cell>
          <cell r="EM25">
            <v>29</v>
          </cell>
          <cell r="EN25">
            <v>24500</v>
          </cell>
          <cell r="EO25">
            <v>1200</v>
          </cell>
          <cell r="EP25">
            <v>16</v>
          </cell>
          <cell r="EQ25">
            <v>1410</v>
          </cell>
          <cell r="ER25">
            <v>640</v>
          </cell>
          <cell r="ES25">
            <v>105</v>
          </cell>
          <cell r="ET25">
            <v>2.58</v>
          </cell>
        </row>
        <row r="26">
          <cell r="B26" t="str">
            <v>L8X4X1</v>
          </cell>
          <cell r="C26" t="str">
            <v>L8X4X1</v>
          </cell>
          <cell r="D26" t="str">
            <v>F</v>
          </cell>
          <cell r="E26">
            <v>37.4</v>
          </cell>
          <cell r="F26">
            <v>11.1</v>
          </cell>
          <cell r="G26" t="str">
            <v>L8X4X1</v>
          </cell>
          <cell r="H26">
            <v>4</v>
          </cell>
          <cell r="I26" t="str">
            <v>–</v>
          </cell>
          <cell r="J26" t="str">
            <v>–</v>
          </cell>
          <cell r="K26" t="str">
            <v>–</v>
          </cell>
          <cell r="L26" t="str">
            <v>–</v>
          </cell>
          <cell r="M26" t="str">
            <v>–</v>
          </cell>
          <cell r="N26" t="str">
            <v>–</v>
          </cell>
          <cell r="O26" t="str">
            <v>–</v>
          </cell>
          <cell r="P26">
            <v>8</v>
          </cell>
          <cell r="Q26" t="str">
            <v>–</v>
          </cell>
          <cell r="R26" t="str">
            <v>–</v>
          </cell>
          <cell r="S26" t="str">
            <v>–</v>
          </cell>
          <cell r="T26" t="str">
            <v>–</v>
          </cell>
          <cell r="U26" t="str">
            <v>–</v>
          </cell>
          <cell r="V26" t="str">
            <v>–</v>
          </cell>
          <cell r="W26">
            <v>1</v>
          </cell>
          <cell r="CL26" t="str">
            <v>A709 Gr. 50W</v>
          </cell>
          <cell r="CM26" t="str">
            <v>50W</v>
          </cell>
          <cell r="CN26">
            <v>50</v>
          </cell>
          <cell r="CO26">
            <v>70</v>
          </cell>
          <cell r="DZ26" t="str">
            <v>W40X294</v>
          </cell>
          <cell r="EA26">
            <v>294</v>
          </cell>
          <cell r="EB26">
            <v>86.2</v>
          </cell>
          <cell r="EC26">
            <v>40.4</v>
          </cell>
          <cell r="ED26" t="str">
            <v>40 3/8</v>
          </cell>
          <cell r="EE26">
            <v>1.06</v>
          </cell>
          <cell r="EF26" t="str">
            <v>1 1/16</v>
          </cell>
          <cell r="EG26">
            <v>45185</v>
          </cell>
          <cell r="EH26">
            <v>12</v>
          </cell>
          <cell r="EI26">
            <v>12</v>
          </cell>
          <cell r="EJ26">
            <v>1.93</v>
          </cell>
          <cell r="EK26" t="str">
            <v>1 15/16</v>
          </cell>
          <cell r="EL26">
            <v>3.11</v>
          </cell>
          <cell r="EM26">
            <v>32.200000000000003</v>
          </cell>
          <cell r="EN26">
            <v>21900</v>
          </cell>
          <cell r="EO26">
            <v>1080</v>
          </cell>
          <cell r="EP26">
            <v>15.9</v>
          </cell>
          <cell r="EQ26">
            <v>1270</v>
          </cell>
          <cell r="ER26">
            <v>562</v>
          </cell>
          <cell r="ES26">
            <v>93.5</v>
          </cell>
          <cell r="ET26">
            <v>2.5499999999999998</v>
          </cell>
        </row>
        <row r="27">
          <cell r="B27" t="str">
            <v>L8X4X7/8</v>
          </cell>
          <cell r="C27" t="str">
            <v>L8X4X7/8</v>
          </cell>
          <cell r="D27" t="str">
            <v>F</v>
          </cell>
          <cell r="E27">
            <v>33.1</v>
          </cell>
          <cell r="F27">
            <v>9.7899999999999991</v>
          </cell>
          <cell r="G27" t="str">
            <v>L8X4X7/8</v>
          </cell>
          <cell r="H27">
            <v>4</v>
          </cell>
          <cell r="I27" t="str">
            <v>–</v>
          </cell>
          <cell r="J27" t="str">
            <v>–</v>
          </cell>
          <cell r="K27" t="str">
            <v>–</v>
          </cell>
          <cell r="L27" t="str">
            <v>–</v>
          </cell>
          <cell r="M27" t="str">
            <v>–</v>
          </cell>
          <cell r="N27" t="str">
            <v>–</v>
          </cell>
          <cell r="O27" t="str">
            <v>–</v>
          </cell>
          <cell r="P27">
            <v>8</v>
          </cell>
          <cell r="Q27" t="str">
            <v>–</v>
          </cell>
          <cell r="R27" t="str">
            <v>–</v>
          </cell>
          <cell r="S27" t="str">
            <v>–</v>
          </cell>
          <cell r="T27" t="str">
            <v>–</v>
          </cell>
          <cell r="U27" t="str">
            <v>–</v>
          </cell>
          <cell r="V27" t="str">
            <v>–</v>
          </cell>
          <cell r="W27">
            <v>0.875</v>
          </cell>
          <cell r="CL27" t="str">
            <v>A913 Gr. 50</v>
          </cell>
          <cell r="CM27">
            <v>50</v>
          </cell>
          <cell r="CN27">
            <v>50</v>
          </cell>
          <cell r="CO27">
            <v>65</v>
          </cell>
          <cell r="DZ27" t="str">
            <v>W40X278</v>
          </cell>
          <cell r="EA27">
            <v>278</v>
          </cell>
          <cell r="EB27">
            <v>82.3</v>
          </cell>
          <cell r="EC27">
            <v>40.200000000000003</v>
          </cell>
          <cell r="ED27" t="str">
            <v>40 1/8</v>
          </cell>
          <cell r="EE27">
            <v>1.03</v>
          </cell>
          <cell r="EF27">
            <v>1</v>
          </cell>
          <cell r="EG27">
            <v>44928</v>
          </cell>
          <cell r="EH27">
            <v>12</v>
          </cell>
          <cell r="EI27">
            <v>12</v>
          </cell>
          <cell r="EJ27">
            <v>1.81</v>
          </cell>
          <cell r="EK27" t="str">
            <v>1 13/16</v>
          </cell>
          <cell r="EL27">
            <v>3.31</v>
          </cell>
          <cell r="EM27">
            <v>33.299999999999997</v>
          </cell>
          <cell r="EN27">
            <v>20500</v>
          </cell>
          <cell r="EO27">
            <v>1020</v>
          </cell>
          <cell r="EP27">
            <v>15.8</v>
          </cell>
          <cell r="EQ27">
            <v>1190</v>
          </cell>
          <cell r="ER27">
            <v>521</v>
          </cell>
          <cell r="ES27">
            <v>87.1</v>
          </cell>
          <cell r="ET27">
            <v>2.52</v>
          </cell>
        </row>
        <row r="28">
          <cell r="B28" t="str">
            <v>L8X4X3/4</v>
          </cell>
          <cell r="C28" t="str">
            <v>L8X4X3/4</v>
          </cell>
          <cell r="D28" t="str">
            <v>F</v>
          </cell>
          <cell r="E28">
            <v>28.7</v>
          </cell>
          <cell r="F28">
            <v>8.49</v>
          </cell>
          <cell r="G28" t="str">
            <v>L8X4X3/4</v>
          </cell>
          <cell r="H28">
            <v>4</v>
          </cell>
          <cell r="I28" t="str">
            <v>–</v>
          </cell>
          <cell r="J28" t="str">
            <v>–</v>
          </cell>
          <cell r="K28" t="str">
            <v>–</v>
          </cell>
          <cell r="L28" t="str">
            <v>–</v>
          </cell>
          <cell r="M28" t="str">
            <v>–</v>
          </cell>
          <cell r="N28" t="str">
            <v>–</v>
          </cell>
          <cell r="O28" t="str">
            <v>–</v>
          </cell>
          <cell r="P28">
            <v>8</v>
          </cell>
          <cell r="Q28" t="str">
            <v>–</v>
          </cell>
          <cell r="R28" t="str">
            <v>–</v>
          </cell>
          <cell r="S28" t="str">
            <v>–</v>
          </cell>
          <cell r="T28" t="str">
            <v>–</v>
          </cell>
          <cell r="U28" t="str">
            <v>–</v>
          </cell>
          <cell r="V28" t="str">
            <v>–</v>
          </cell>
          <cell r="W28">
            <v>0.75</v>
          </cell>
          <cell r="CL28" t="str">
            <v>A913 Gr. 60</v>
          </cell>
          <cell r="CM28">
            <v>60</v>
          </cell>
          <cell r="CN28">
            <v>60</v>
          </cell>
          <cell r="CO28">
            <v>75</v>
          </cell>
          <cell r="DZ28" t="str">
            <v>W40X264</v>
          </cell>
          <cell r="EA28">
            <v>264</v>
          </cell>
          <cell r="EB28">
            <v>77.400000000000006</v>
          </cell>
          <cell r="EC28">
            <v>40</v>
          </cell>
          <cell r="ED28">
            <v>40</v>
          </cell>
          <cell r="EE28">
            <v>0.96</v>
          </cell>
          <cell r="EF28" t="str">
            <v>15/16</v>
          </cell>
          <cell r="EG28">
            <v>44928</v>
          </cell>
          <cell r="EH28">
            <v>11.9</v>
          </cell>
          <cell r="EI28" t="str">
            <v>11 7/8</v>
          </cell>
          <cell r="EJ28">
            <v>1.73</v>
          </cell>
          <cell r="EK28" t="str">
            <v>1 3/4</v>
          </cell>
          <cell r="EL28">
            <v>3.45</v>
          </cell>
          <cell r="EM28">
            <v>35.6</v>
          </cell>
          <cell r="EN28">
            <v>19400</v>
          </cell>
          <cell r="EO28">
            <v>971</v>
          </cell>
          <cell r="EP28">
            <v>15.8</v>
          </cell>
          <cell r="EQ28">
            <v>1130</v>
          </cell>
          <cell r="ER28">
            <v>493</v>
          </cell>
          <cell r="ES28">
            <v>82.6</v>
          </cell>
          <cell r="ET28">
            <v>2.52</v>
          </cell>
        </row>
        <row r="29">
          <cell r="B29" t="str">
            <v>L8X4X5/8</v>
          </cell>
          <cell r="C29" t="str">
            <v>L8X4X5/8</v>
          </cell>
          <cell r="D29" t="str">
            <v>F</v>
          </cell>
          <cell r="E29">
            <v>24.2</v>
          </cell>
          <cell r="F29">
            <v>7.16</v>
          </cell>
          <cell r="G29" t="str">
            <v>L8X4X5/8</v>
          </cell>
          <cell r="H29">
            <v>4</v>
          </cell>
          <cell r="I29" t="str">
            <v>–</v>
          </cell>
          <cell r="J29" t="str">
            <v>–</v>
          </cell>
          <cell r="K29" t="str">
            <v>–</v>
          </cell>
          <cell r="L29" t="str">
            <v>–</v>
          </cell>
          <cell r="M29" t="str">
            <v>–</v>
          </cell>
          <cell r="N29" t="str">
            <v>–</v>
          </cell>
          <cell r="O29" t="str">
            <v>–</v>
          </cell>
          <cell r="P29">
            <v>8</v>
          </cell>
          <cell r="Q29" t="str">
            <v>–</v>
          </cell>
          <cell r="R29" t="str">
            <v>–</v>
          </cell>
          <cell r="S29" t="str">
            <v>–</v>
          </cell>
          <cell r="T29" t="str">
            <v>–</v>
          </cell>
          <cell r="U29" t="str">
            <v>–</v>
          </cell>
          <cell r="V29" t="str">
            <v>–</v>
          </cell>
          <cell r="W29">
            <v>0.625</v>
          </cell>
          <cell r="CL29" t="str">
            <v>A913 Gr. 65</v>
          </cell>
          <cell r="CM29">
            <v>65</v>
          </cell>
          <cell r="CN29">
            <v>65</v>
          </cell>
          <cell r="CO29">
            <v>80</v>
          </cell>
          <cell r="DZ29" t="str">
            <v>W40X235</v>
          </cell>
          <cell r="EA29">
            <v>235</v>
          </cell>
          <cell r="EB29">
            <v>69.099999999999994</v>
          </cell>
          <cell r="EC29">
            <v>39.700000000000003</v>
          </cell>
          <cell r="ED29" t="str">
            <v>39 3/4</v>
          </cell>
          <cell r="EE29">
            <v>0.83</v>
          </cell>
          <cell r="EF29" t="str">
            <v>13/16</v>
          </cell>
          <cell r="EG29">
            <v>45123</v>
          </cell>
          <cell r="EH29">
            <v>11.9</v>
          </cell>
          <cell r="EI29" t="str">
            <v>11 7/8</v>
          </cell>
          <cell r="EJ29">
            <v>1.58</v>
          </cell>
          <cell r="EK29" t="str">
            <v>1 9/16</v>
          </cell>
          <cell r="EL29">
            <v>3.77</v>
          </cell>
          <cell r="EM29">
            <v>41.2</v>
          </cell>
          <cell r="EN29">
            <v>17400</v>
          </cell>
          <cell r="EO29">
            <v>875</v>
          </cell>
          <cell r="EP29">
            <v>15.9</v>
          </cell>
          <cell r="EQ29">
            <v>1010</v>
          </cell>
          <cell r="ER29">
            <v>444</v>
          </cell>
          <cell r="ES29">
            <v>74.599999999999994</v>
          </cell>
          <cell r="ET29">
            <v>2.54</v>
          </cell>
        </row>
        <row r="30">
          <cell r="B30" t="str">
            <v>L8X4X9/16</v>
          </cell>
          <cell r="C30" t="str">
            <v>L8X4X9/16</v>
          </cell>
          <cell r="D30" t="str">
            <v>F</v>
          </cell>
          <cell r="E30">
            <v>21.9</v>
          </cell>
          <cell r="F30">
            <v>6.49</v>
          </cell>
          <cell r="G30" t="str">
            <v>L8X4X9/16</v>
          </cell>
          <cell r="H30">
            <v>4</v>
          </cell>
          <cell r="I30" t="str">
            <v>–</v>
          </cell>
          <cell r="J30" t="str">
            <v>–</v>
          </cell>
          <cell r="K30" t="str">
            <v>–</v>
          </cell>
          <cell r="L30" t="str">
            <v>–</v>
          </cell>
          <cell r="M30" t="str">
            <v>–</v>
          </cell>
          <cell r="N30" t="str">
            <v>–</v>
          </cell>
          <cell r="O30" t="str">
            <v>–</v>
          </cell>
          <cell r="P30">
            <v>8</v>
          </cell>
          <cell r="Q30" t="str">
            <v>–</v>
          </cell>
          <cell r="R30" t="str">
            <v>–</v>
          </cell>
          <cell r="S30" t="str">
            <v>–</v>
          </cell>
          <cell r="T30" t="str">
            <v>–</v>
          </cell>
          <cell r="U30" t="str">
            <v>–</v>
          </cell>
          <cell r="V30" t="str">
            <v>–</v>
          </cell>
          <cell r="W30">
            <v>0.56299999999999994</v>
          </cell>
          <cell r="CL30" t="str">
            <v>A913 Gr. 70</v>
          </cell>
          <cell r="CM30">
            <v>70</v>
          </cell>
          <cell r="CN30">
            <v>70</v>
          </cell>
          <cell r="CO30">
            <v>90</v>
          </cell>
          <cell r="DZ30" t="str">
            <v>W40X211</v>
          </cell>
          <cell r="EA30">
            <v>211</v>
          </cell>
          <cell r="EB30">
            <v>62.1</v>
          </cell>
          <cell r="EC30">
            <v>39.4</v>
          </cell>
          <cell r="ED30" t="str">
            <v>39 3/8</v>
          </cell>
          <cell r="EE30">
            <v>0.75</v>
          </cell>
          <cell r="EF30">
            <v>44989</v>
          </cell>
          <cell r="EG30">
            <v>44993</v>
          </cell>
          <cell r="EH30">
            <v>11.8</v>
          </cell>
          <cell r="EI30" t="str">
            <v>11 3/4</v>
          </cell>
          <cell r="EJ30">
            <v>1.42</v>
          </cell>
          <cell r="EK30" t="str">
            <v>1 7/16</v>
          </cell>
          <cell r="EL30">
            <v>4.17</v>
          </cell>
          <cell r="EM30">
            <v>45.6</v>
          </cell>
          <cell r="EN30">
            <v>15500</v>
          </cell>
          <cell r="EO30">
            <v>786</v>
          </cell>
          <cell r="EP30">
            <v>15.8</v>
          </cell>
          <cell r="EQ30">
            <v>906</v>
          </cell>
          <cell r="ER30">
            <v>390</v>
          </cell>
          <cell r="ES30">
            <v>66.099999999999994</v>
          </cell>
          <cell r="ET30">
            <v>2.5099999999999998</v>
          </cell>
        </row>
        <row r="31">
          <cell r="B31" t="str">
            <v>L8X4X1/2</v>
          </cell>
          <cell r="C31" t="str">
            <v>L8X4X1/2</v>
          </cell>
          <cell r="D31" t="str">
            <v>F</v>
          </cell>
          <cell r="E31">
            <v>19.600000000000001</v>
          </cell>
          <cell r="F31">
            <v>5.8</v>
          </cell>
          <cell r="G31" t="str">
            <v>L8X4X1/2</v>
          </cell>
          <cell r="H31">
            <v>4</v>
          </cell>
          <cell r="I31" t="str">
            <v>–</v>
          </cell>
          <cell r="J31" t="str">
            <v>–</v>
          </cell>
          <cell r="K31" t="str">
            <v>–</v>
          </cell>
          <cell r="L31" t="str">
            <v>–</v>
          </cell>
          <cell r="M31" t="str">
            <v>–</v>
          </cell>
          <cell r="N31" t="str">
            <v>–</v>
          </cell>
          <cell r="O31" t="str">
            <v>–</v>
          </cell>
          <cell r="P31">
            <v>8</v>
          </cell>
          <cell r="Q31" t="str">
            <v>–</v>
          </cell>
          <cell r="R31" t="str">
            <v>–</v>
          </cell>
          <cell r="S31" t="str">
            <v>–</v>
          </cell>
          <cell r="T31" t="str">
            <v>–</v>
          </cell>
          <cell r="U31" t="str">
            <v>–</v>
          </cell>
          <cell r="V31" t="str">
            <v>–</v>
          </cell>
          <cell r="W31">
            <v>0.5</v>
          </cell>
          <cell r="CL31" t="str">
            <v>A992</v>
          </cell>
          <cell r="CM31"/>
          <cell r="CN31">
            <v>50</v>
          </cell>
          <cell r="CO31">
            <v>65</v>
          </cell>
          <cell r="DZ31" t="str">
            <v>W40X183</v>
          </cell>
          <cell r="EA31">
            <v>183</v>
          </cell>
          <cell r="EB31">
            <v>53.3</v>
          </cell>
          <cell r="EC31">
            <v>39</v>
          </cell>
          <cell r="ED31">
            <v>39</v>
          </cell>
          <cell r="EE31">
            <v>0.65</v>
          </cell>
          <cell r="EF31">
            <v>45054</v>
          </cell>
          <cell r="EG31">
            <v>45062</v>
          </cell>
          <cell r="EH31">
            <v>11.8</v>
          </cell>
          <cell r="EI31" t="str">
            <v>11 3/4</v>
          </cell>
          <cell r="EJ31">
            <v>1.2</v>
          </cell>
          <cell r="EK31" t="str">
            <v>1 3/16</v>
          </cell>
          <cell r="EL31">
            <v>4.92</v>
          </cell>
          <cell r="EM31">
            <v>52.6</v>
          </cell>
          <cell r="EN31">
            <v>13200</v>
          </cell>
          <cell r="EO31">
            <v>675</v>
          </cell>
          <cell r="EP31">
            <v>15.7</v>
          </cell>
          <cell r="EQ31">
            <v>774</v>
          </cell>
          <cell r="ER31">
            <v>331</v>
          </cell>
          <cell r="ES31">
            <v>56</v>
          </cell>
          <cell r="ET31">
            <v>2.4900000000000002</v>
          </cell>
        </row>
        <row r="32">
          <cell r="B32" t="str">
            <v>L8X4X7/16</v>
          </cell>
          <cell r="C32" t="str">
            <v>L8X4X7/16</v>
          </cell>
          <cell r="D32" t="str">
            <v>F</v>
          </cell>
          <cell r="E32">
            <v>17.2</v>
          </cell>
          <cell r="F32">
            <v>5.1100000000000003</v>
          </cell>
          <cell r="G32" t="str">
            <v>L8X4X7/16</v>
          </cell>
          <cell r="H32">
            <v>4</v>
          </cell>
          <cell r="I32" t="str">
            <v>–</v>
          </cell>
          <cell r="J32" t="str">
            <v>–</v>
          </cell>
          <cell r="K32" t="str">
            <v>–</v>
          </cell>
          <cell r="L32" t="str">
            <v>–</v>
          </cell>
          <cell r="M32" t="str">
            <v>–</v>
          </cell>
          <cell r="N32" t="str">
            <v>–</v>
          </cell>
          <cell r="O32" t="str">
            <v>–</v>
          </cell>
          <cell r="P32">
            <v>8</v>
          </cell>
          <cell r="Q32" t="str">
            <v>–</v>
          </cell>
          <cell r="R32" t="str">
            <v>–</v>
          </cell>
          <cell r="S32" t="str">
            <v>–</v>
          </cell>
          <cell r="T32" t="str">
            <v>–</v>
          </cell>
          <cell r="U32" t="str">
            <v>–</v>
          </cell>
          <cell r="V32" t="str">
            <v>–</v>
          </cell>
          <cell r="W32">
            <v>0.438</v>
          </cell>
          <cell r="CL32" t="str">
            <v>A1065 Gr. 50</v>
          </cell>
          <cell r="CM32" t="str">
            <v>Gr. 50</v>
          </cell>
          <cell r="CN32">
            <v>50</v>
          </cell>
          <cell r="CO32">
            <v>60</v>
          </cell>
          <cell r="DZ32" t="str">
            <v>W40X167</v>
          </cell>
          <cell r="EA32">
            <v>167</v>
          </cell>
          <cell r="EB32">
            <v>49.3</v>
          </cell>
          <cell r="EC32">
            <v>38.6</v>
          </cell>
          <cell r="ED32" t="str">
            <v>38 5/8</v>
          </cell>
          <cell r="EE32">
            <v>0.65</v>
          </cell>
          <cell r="EF32">
            <v>45054</v>
          </cell>
          <cell r="EG32">
            <v>45062</v>
          </cell>
          <cell r="EH32">
            <v>11.8</v>
          </cell>
          <cell r="EI32" t="str">
            <v>11 3/4</v>
          </cell>
          <cell r="EJ32">
            <v>1.03</v>
          </cell>
          <cell r="EK32">
            <v>1</v>
          </cell>
          <cell r="EL32">
            <v>5.76</v>
          </cell>
          <cell r="EM32">
            <v>52.6</v>
          </cell>
          <cell r="EN32">
            <v>11600</v>
          </cell>
          <cell r="EO32">
            <v>600</v>
          </cell>
          <cell r="EP32">
            <v>15.3</v>
          </cell>
          <cell r="EQ32">
            <v>693</v>
          </cell>
          <cell r="ER32">
            <v>283</v>
          </cell>
          <cell r="ES32">
            <v>47.9</v>
          </cell>
          <cell r="ET32">
            <v>2.4</v>
          </cell>
        </row>
        <row r="33">
          <cell r="B33" t="str">
            <v>L7X4X3/4</v>
          </cell>
          <cell r="C33" t="str">
            <v>L7X4X3/4</v>
          </cell>
          <cell r="D33" t="str">
            <v>F</v>
          </cell>
          <cell r="E33">
            <v>26.2</v>
          </cell>
          <cell r="F33">
            <v>7.74</v>
          </cell>
          <cell r="G33" t="str">
            <v>L7X4X3/4</v>
          </cell>
          <cell r="H33">
            <v>4</v>
          </cell>
          <cell r="I33" t="str">
            <v>–</v>
          </cell>
          <cell r="J33" t="str">
            <v>–</v>
          </cell>
          <cell r="K33" t="str">
            <v>–</v>
          </cell>
          <cell r="L33" t="str">
            <v>–</v>
          </cell>
          <cell r="M33" t="str">
            <v>–</v>
          </cell>
          <cell r="N33" t="str">
            <v>–</v>
          </cell>
          <cell r="O33" t="str">
            <v>–</v>
          </cell>
          <cell r="P33">
            <v>7</v>
          </cell>
          <cell r="Q33" t="str">
            <v>–</v>
          </cell>
          <cell r="R33" t="str">
            <v>–</v>
          </cell>
          <cell r="S33" t="str">
            <v>–</v>
          </cell>
          <cell r="T33" t="str">
            <v>–</v>
          </cell>
          <cell r="U33" t="str">
            <v>–</v>
          </cell>
          <cell r="V33" t="str">
            <v>–</v>
          </cell>
          <cell r="W33">
            <v>0.75</v>
          </cell>
          <cell r="CL33" t="str">
            <v>A588</v>
          </cell>
          <cell r="CM33"/>
          <cell r="CN33">
            <v>50</v>
          </cell>
          <cell r="CO33">
            <v>70</v>
          </cell>
          <cell r="DZ33" t="str">
            <v>W40X149</v>
          </cell>
          <cell r="EA33">
            <v>149</v>
          </cell>
          <cell r="EB33">
            <v>43.8</v>
          </cell>
          <cell r="EC33">
            <v>38.200000000000003</v>
          </cell>
          <cell r="ED33" t="str">
            <v>38 1/4</v>
          </cell>
          <cell r="EE33">
            <v>0.63</v>
          </cell>
          <cell r="EF33">
            <v>45054</v>
          </cell>
          <cell r="EG33">
            <v>45062</v>
          </cell>
          <cell r="EH33">
            <v>11.8</v>
          </cell>
          <cell r="EI33" t="str">
            <v>11 3/4</v>
          </cell>
          <cell r="EJ33">
            <v>0.83</v>
          </cell>
          <cell r="EK33" t="str">
            <v>13/16</v>
          </cell>
          <cell r="EL33">
            <v>7.11</v>
          </cell>
          <cell r="EM33">
            <v>54.3</v>
          </cell>
          <cell r="EN33">
            <v>9800</v>
          </cell>
          <cell r="EO33">
            <v>513</v>
          </cell>
          <cell r="EP33">
            <v>15</v>
          </cell>
          <cell r="EQ33">
            <v>598</v>
          </cell>
          <cell r="ER33">
            <v>229</v>
          </cell>
          <cell r="ES33">
            <v>38.799999999999997</v>
          </cell>
          <cell r="ET33">
            <v>2.29</v>
          </cell>
        </row>
        <row r="34">
          <cell r="B34" t="str">
            <v>L7X4X5/8</v>
          </cell>
          <cell r="C34" t="str">
            <v>L7X4X5/8</v>
          </cell>
          <cell r="D34" t="str">
            <v>F</v>
          </cell>
          <cell r="E34">
            <v>22.1</v>
          </cell>
          <cell r="F34">
            <v>6.5</v>
          </cell>
          <cell r="G34" t="str">
            <v>L7X4X5/8</v>
          </cell>
          <cell r="H34">
            <v>4</v>
          </cell>
          <cell r="I34" t="str">
            <v>–</v>
          </cell>
          <cell r="J34" t="str">
            <v>–</v>
          </cell>
          <cell r="K34" t="str">
            <v>–</v>
          </cell>
          <cell r="L34" t="str">
            <v>–</v>
          </cell>
          <cell r="M34" t="str">
            <v>–</v>
          </cell>
          <cell r="N34" t="str">
            <v>–</v>
          </cell>
          <cell r="O34" t="str">
            <v>–</v>
          </cell>
          <cell r="P34">
            <v>7</v>
          </cell>
          <cell r="Q34" t="str">
            <v>–</v>
          </cell>
          <cell r="R34" t="str">
            <v>–</v>
          </cell>
          <cell r="S34" t="str">
            <v>–</v>
          </cell>
          <cell r="T34" t="str">
            <v>–</v>
          </cell>
          <cell r="U34" t="str">
            <v>–</v>
          </cell>
          <cell r="V34" t="str">
            <v>–</v>
          </cell>
          <cell r="W34">
            <v>0.625</v>
          </cell>
          <cell r="CL34" t="str">
            <v>A874</v>
          </cell>
          <cell r="CM34"/>
          <cell r="CN34">
            <v>50</v>
          </cell>
          <cell r="CO34">
            <v>60</v>
          </cell>
          <cell r="DZ34" t="str">
            <v>W36X925</v>
          </cell>
          <cell r="EA34">
            <v>925</v>
          </cell>
          <cell r="EB34">
            <v>272</v>
          </cell>
          <cell r="EC34">
            <v>43.1</v>
          </cell>
          <cell r="ED34" t="str">
            <v>43 1/8</v>
          </cell>
          <cell r="EE34">
            <v>3.02</v>
          </cell>
          <cell r="EF34">
            <v>3</v>
          </cell>
          <cell r="EG34" t="str">
            <v>1 1/2</v>
          </cell>
          <cell r="EH34">
            <v>18.600000000000001</v>
          </cell>
          <cell r="EI34" t="str">
            <v>18 5/8</v>
          </cell>
          <cell r="EJ34">
            <v>4.53</v>
          </cell>
          <cell r="EK34" t="str">
            <v>4 1/2</v>
          </cell>
          <cell r="EL34">
            <v>2.0499999999999998</v>
          </cell>
          <cell r="EM34">
            <v>10.8</v>
          </cell>
          <cell r="EN34">
            <v>73000</v>
          </cell>
          <cell r="EO34">
            <v>3390</v>
          </cell>
          <cell r="EP34">
            <v>16.399999999999999</v>
          </cell>
          <cell r="EQ34">
            <v>4130</v>
          </cell>
          <cell r="ER34">
            <v>4940</v>
          </cell>
          <cell r="ES34">
            <v>531</v>
          </cell>
          <cell r="ET34">
            <v>4.26</v>
          </cell>
        </row>
        <row r="35">
          <cell r="B35" t="str">
            <v>L7X4X1/2</v>
          </cell>
          <cell r="C35" t="str">
            <v>L7X4X1/2</v>
          </cell>
          <cell r="D35" t="str">
            <v>F</v>
          </cell>
          <cell r="E35">
            <v>17.899999999999999</v>
          </cell>
          <cell r="F35">
            <v>5.26</v>
          </cell>
          <cell r="G35" t="str">
            <v>L7X4X1/2</v>
          </cell>
          <cell r="H35">
            <v>4</v>
          </cell>
          <cell r="I35" t="str">
            <v>–</v>
          </cell>
          <cell r="J35" t="str">
            <v>–</v>
          </cell>
          <cell r="K35" t="str">
            <v>–</v>
          </cell>
          <cell r="L35" t="str">
            <v>–</v>
          </cell>
          <cell r="M35" t="str">
            <v>–</v>
          </cell>
          <cell r="N35" t="str">
            <v>–</v>
          </cell>
          <cell r="O35" t="str">
            <v>–</v>
          </cell>
          <cell r="P35">
            <v>7</v>
          </cell>
          <cell r="Q35" t="str">
            <v>–</v>
          </cell>
          <cell r="R35" t="str">
            <v>–</v>
          </cell>
          <cell r="S35" t="str">
            <v>–</v>
          </cell>
          <cell r="T35" t="str">
            <v>–</v>
          </cell>
          <cell r="U35" t="str">
            <v>–</v>
          </cell>
          <cell r="V35" t="str">
            <v>–</v>
          </cell>
          <cell r="W35">
            <v>0.5</v>
          </cell>
          <cell r="CL35" t="str">
            <v>A1065 Gr. 50W</v>
          </cell>
          <cell r="CM35" t="str">
            <v>Gr. 50W</v>
          </cell>
          <cell r="CN35">
            <v>50</v>
          </cell>
          <cell r="CO35">
            <v>70</v>
          </cell>
          <cell r="DZ35" t="str">
            <v>W36X853</v>
          </cell>
          <cell r="EA35">
            <v>853</v>
          </cell>
          <cell r="EB35">
            <v>251</v>
          </cell>
          <cell r="EC35">
            <v>43.1</v>
          </cell>
          <cell r="ED35" t="str">
            <v>43 1/8</v>
          </cell>
          <cell r="EE35">
            <v>2.52</v>
          </cell>
          <cell r="EF35" t="str">
            <v>2 1/2</v>
          </cell>
          <cell r="EG35" t="str">
            <v>1 1/4</v>
          </cell>
          <cell r="EH35">
            <v>18.2</v>
          </cell>
          <cell r="EI35" t="str">
            <v>18 1/4</v>
          </cell>
          <cell r="EJ35">
            <v>4.53</v>
          </cell>
          <cell r="EK35" t="str">
            <v>4 1/2</v>
          </cell>
          <cell r="EL35">
            <v>2.0099999999999998</v>
          </cell>
          <cell r="EM35">
            <v>12.9</v>
          </cell>
          <cell r="EN35">
            <v>70000</v>
          </cell>
          <cell r="EO35">
            <v>3250</v>
          </cell>
          <cell r="EP35">
            <v>16.7</v>
          </cell>
          <cell r="EQ35">
            <v>3920</v>
          </cell>
          <cell r="ER35">
            <v>4600</v>
          </cell>
          <cell r="ES35">
            <v>505</v>
          </cell>
          <cell r="ET35">
            <v>4.28</v>
          </cell>
        </row>
        <row r="36">
          <cell r="B36" t="str">
            <v>L7X4X7/16</v>
          </cell>
          <cell r="C36" t="str">
            <v>L7X4X7/16</v>
          </cell>
          <cell r="D36" t="str">
            <v>F</v>
          </cell>
          <cell r="E36">
            <v>15.7</v>
          </cell>
          <cell r="F36">
            <v>4.63</v>
          </cell>
          <cell r="G36" t="str">
            <v>L7X4X7/16</v>
          </cell>
          <cell r="H36">
            <v>4</v>
          </cell>
          <cell r="I36" t="str">
            <v>–</v>
          </cell>
          <cell r="J36" t="str">
            <v>–</v>
          </cell>
          <cell r="K36" t="str">
            <v>–</v>
          </cell>
          <cell r="L36" t="str">
            <v>–</v>
          </cell>
          <cell r="M36" t="str">
            <v>–</v>
          </cell>
          <cell r="N36" t="str">
            <v>–</v>
          </cell>
          <cell r="O36" t="str">
            <v>–</v>
          </cell>
          <cell r="P36">
            <v>7</v>
          </cell>
          <cell r="Q36" t="str">
            <v>–</v>
          </cell>
          <cell r="R36" t="str">
            <v>–</v>
          </cell>
          <cell r="S36" t="str">
            <v>–</v>
          </cell>
          <cell r="T36" t="str">
            <v>–</v>
          </cell>
          <cell r="U36" t="str">
            <v>–</v>
          </cell>
          <cell r="V36" t="str">
            <v>–</v>
          </cell>
          <cell r="W36">
            <v>0.438</v>
          </cell>
          <cell r="CL36" t="str">
            <v>A514 Gr. 100</v>
          </cell>
          <cell r="CM36" t="str">
            <v>Gr. 50W</v>
          </cell>
          <cell r="CN36">
            <v>100</v>
          </cell>
          <cell r="CO36" t="str">
            <v>NA</v>
          </cell>
          <cell r="DZ36" t="str">
            <v>W36X802</v>
          </cell>
          <cell r="EA36">
            <v>802</v>
          </cell>
          <cell r="EB36">
            <v>236</v>
          </cell>
          <cell r="EC36">
            <v>42.6</v>
          </cell>
          <cell r="ED36" t="str">
            <v>42 5/8</v>
          </cell>
          <cell r="EE36">
            <v>2.38</v>
          </cell>
          <cell r="EF36" t="str">
            <v>2 3/8</v>
          </cell>
          <cell r="EG36" t="str">
            <v>1 3/16</v>
          </cell>
          <cell r="EH36">
            <v>18</v>
          </cell>
          <cell r="EI36">
            <v>18</v>
          </cell>
          <cell r="EJ36">
            <v>4.29</v>
          </cell>
          <cell r="EK36" t="str">
            <v>4 5/16</v>
          </cell>
          <cell r="EL36">
            <v>2.1</v>
          </cell>
          <cell r="EM36">
            <v>13.7</v>
          </cell>
          <cell r="EN36">
            <v>64800</v>
          </cell>
          <cell r="EO36">
            <v>3040</v>
          </cell>
          <cell r="EP36">
            <v>16.600000000000001</v>
          </cell>
          <cell r="EQ36">
            <v>3660</v>
          </cell>
          <cell r="ER36">
            <v>4210</v>
          </cell>
          <cell r="ES36">
            <v>468</v>
          </cell>
          <cell r="ET36">
            <v>4.22</v>
          </cell>
        </row>
        <row r="37">
          <cell r="B37" t="str">
            <v>L7X4X3/8</v>
          </cell>
          <cell r="C37" t="str">
            <v>L7X4X3/8</v>
          </cell>
          <cell r="D37" t="str">
            <v>F</v>
          </cell>
          <cell r="E37">
            <v>13.6</v>
          </cell>
          <cell r="F37">
            <v>4</v>
          </cell>
          <cell r="G37" t="str">
            <v>L7X4X3/8</v>
          </cell>
          <cell r="H37">
            <v>4</v>
          </cell>
          <cell r="I37" t="str">
            <v>–</v>
          </cell>
          <cell r="J37" t="str">
            <v>–</v>
          </cell>
          <cell r="K37" t="str">
            <v>–</v>
          </cell>
          <cell r="L37" t="str">
            <v>–</v>
          </cell>
          <cell r="M37" t="str">
            <v>–</v>
          </cell>
          <cell r="N37" t="str">
            <v>–</v>
          </cell>
          <cell r="O37" t="str">
            <v>–</v>
          </cell>
          <cell r="P37">
            <v>7</v>
          </cell>
          <cell r="Q37" t="str">
            <v>–</v>
          </cell>
          <cell r="R37" t="str">
            <v>–</v>
          </cell>
          <cell r="S37" t="str">
            <v>–</v>
          </cell>
          <cell r="T37" t="str">
            <v>–</v>
          </cell>
          <cell r="U37" t="str">
            <v>–</v>
          </cell>
          <cell r="V37" t="str">
            <v>–</v>
          </cell>
          <cell r="W37">
            <v>0.375</v>
          </cell>
          <cell r="DZ37" t="str">
            <v>W36X723</v>
          </cell>
          <cell r="EA37">
            <v>723</v>
          </cell>
          <cell r="EB37">
            <v>213</v>
          </cell>
          <cell r="EC37">
            <v>41.8</v>
          </cell>
          <cell r="ED37" t="str">
            <v>41 3/4</v>
          </cell>
          <cell r="EE37">
            <v>2.17</v>
          </cell>
          <cell r="EF37" t="str">
            <v>2 3/16</v>
          </cell>
          <cell r="EG37" t="str">
            <v>1 1/8</v>
          </cell>
          <cell r="EH37">
            <v>17.8</v>
          </cell>
          <cell r="EI37" t="str">
            <v>17 3/4</v>
          </cell>
          <cell r="EJ37">
            <v>3.9</v>
          </cell>
          <cell r="EK37" t="str">
            <v>3 7/8</v>
          </cell>
          <cell r="EL37">
            <v>2.2799999999999998</v>
          </cell>
          <cell r="EM37">
            <v>15</v>
          </cell>
          <cell r="EN37">
            <v>57300</v>
          </cell>
          <cell r="EO37">
            <v>2740</v>
          </cell>
          <cell r="EP37">
            <v>16.399999999999999</v>
          </cell>
          <cell r="EQ37">
            <v>3270</v>
          </cell>
          <cell r="ER37">
            <v>3700</v>
          </cell>
          <cell r="ES37">
            <v>416</v>
          </cell>
          <cell r="ET37">
            <v>4.17</v>
          </cell>
        </row>
        <row r="38">
          <cell r="B38" t="str">
            <v>L6X6X1</v>
          </cell>
          <cell r="C38" t="str">
            <v>L6X6X1</v>
          </cell>
          <cell r="D38" t="str">
            <v>F</v>
          </cell>
          <cell r="E38">
            <v>37.4</v>
          </cell>
          <cell r="F38">
            <v>11</v>
          </cell>
          <cell r="G38" t="str">
            <v>L6X6X1</v>
          </cell>
          <cell r="H38">
            <v>6</v>
          </cell>
          <cell r="I38" t="str">
            <v>–</v>
          </cell>
          <cell r="J38" t="str">
            <v>–</v>
          </cell>
          <cell r="K38" t="str">
            <v>–</v>
          </cell>
          <cell r="L38" t="str">
            <v>–</v>
          </cell>
          <cell r="M38" t="str">
            <v>–</v>
          </cell>
          <cell r="N38" t="str">
            <v>–</v>
          </cell>
          <cell r="O38" t="str">
            <v>–</v>
          </cell>
          <cell r="P38">
            <v>6</v>
          </cell>
          <cell r="Q38" t="str">
            <v>–</v>
          </cell>
          <cell r="R38" t="str">
            <v>–</v>
          </cell>
          <cell r="S38" t="str">
            <v>–</v>
          </cell>
          <cell r="T38" t="str">
            <v>–</v>
          </cell>
          <cell r="U38" t="str">
            <v>–</v>
          </cell>
          <cell r="V38" t="str">
            <v>–</v>
          </cell>
          <cell r="W38">
            <v>1</v>
          </cell>
          <cell r="DZ38" t="str">
            <v>W36X652</v>
          </cell>
          <cell r="EA38">
            <v>652</v>
          </cell>
          <cell r="EB38">
            <v>192</v>
          </cell>
          <cell r="EC38">
            <v>41.1</v>
          </cell>
          <cell r="ED38">
            <v>41</v>
          </cell>
          <cell r="EE38">
            <v>1.97</v>
          </cell>
          <cell r="EF38">
            <v>2</v>
          </cell>
          <cell r="EG38">
            <v>1</v>
          </cell>
          <cell r="EH38">
            <v>17.600000000000001</v>
          </cell>
          <cell r="EI38" t="str">
            <v>17 5/8</v>
          </cell>
          <cell r="EJ38">
            <v>3.54</v>
          </cell>
          <cell r="EK38" t="str">
            <v>3 9/16</v>
          </cell>
          <cell r="EL38">
            <v>2.48</v>
          </cell>
          <cell r="EM38">
            <v>16.3</v>
          </cell>
          <cell r="EN38">
            <v>50600</v>
          </cell>
          <cell r="EO38">
            <v>2460</v>
          </cell>
          <cell r="EP38">
            <v>16.2</v>
          </cell>
          <cell r="EQ38">
            <v>2910</v>
          </cell>
          <cell r="ER38">
            <v>3230</v>
          </cell>
          <cell r="ES38">
            <v>367</v>
          </cell>
          <cell r="ET38">
            <v>4.0999999999999996</v>
          </cell>
        </row>
        <row r="39">
          <cell r="B39" t="str">
            <v>L6X6X7/8</v>
          </cell>
          <cell r="C39" t="str">
            <v>L6X6X7/8</v>
          </cell>
          <cell r="D39" t="str">
            <v>F</v>
          </cell>
          <cell r="E39">
            <v>33.1</v>
          </cell>
          <cell r="F39">
            <v>9.75</v>
          </cell>
          <cell r="G39" t="str">
            <v>L6X6X7/8</v>
          </cell>
          <cell r="H39">
            <v>6</v>
          </cell>
          <cell r="I39" t="str">
            <v>–</v>
          </cell>
          <cell r="J39" t="str">
            <v>–</v>
          </cell>
          <cell r="K39" t="str">
            <v>–</v>
          </cell>
          <cell r="L39" t="str">
            <v>–</v>
          </cell>
          <cell r="M39" t="str">
            <v>–</v>
          </cell>
          <cell r="N39" t="str">
            <v>–</v>
          </cell>
          <cell r="O39" t="str">
            <v>–</v>
          </cell>
          <cell r="P39">
            <v>6</v>
          </cell>
          <cell r="Q39" t="str">
            <v>–</v>
          </cell>
          <cell r="R39" t="str">
            <v>–</v>
          </cell>
          <cell r="S39" t="str">
            <v>–</v>
          </cell>
          <cell r="T39" t="str">
            <v>–</v>
          </cell>
          <cell r="U39" t="str">
            <v>–</v>
          </cell>
          <cell r="V39" t="str">
            <v>–</v>
          </cell>
          <cell r="W39">
            <v>0.875</v>
          </cell>
          <cell r="DZ39" t="str">
            <v>W36X529</v>
          </cell>
          <cell r="EA39">
            <v>529</v>
          </cell>
          <cell r="EB39">
            <v>156</v>
          </cell>
          <cell r="EC39">
            <v>39.799999999999997</v>
          </cell>
          <cell r="ED39" t="str">
            <v>39 3/4</v>
          </cell>
          <cell r="EE39">
            <v>1.61</v>
          </cell>
          <cell r="EF39" t="str">
            <v>1 5/8</v>
          </cell>
          <cell r="EG39" t="str">
            <v>13/16</v>
          </cell>
          <cell r="EH39">
            <v>17.2</v>
          </cell>
          <cell r="EI39" t="str">
            <v>17 1/4</v>
          </cell>
          <cell r="EJ39">
            <v>2.91</v>
          </cell>
          <cell r="EK39" t="str">
            <v>2 15/16</v>
          </cell>
          <cell r="EL39">
            <v>2.96</v>
          </cell>
          <cell r="EM39">
            <v>19.899999999999999</v>
          </cell>
          <cell r="EN39">
            <v>39600</v>
          </cell>
          <cell r="EO39">
            <v>1990</v>
          </cell>
          <cell r="EP39">
            <v>16</v>
          </cell>
          <cell r="EQ39">
            <v>2330</v>
          </cell>
          <cell r="ER39">
            <v>2490</v>
          </cell>
          <cell r="ES39">
            <v>289</v>
          </cell>
          <cell r="ET39">
            <v>4</v>
          </cell>
        </row>
        <row r="40">
          <cell r="B40" t="str">
            <v>L6X6X3/4</v>
          </cell>
          <cell r="C40" t="str">
            <v>L6X6X3/4</v>
          </cell>
          <cell r="D40" t="str">
            <v>F</v>
          </cell>
          <cell r="E40">
            <v>28.7</v>
          </cell>
          <cell r="F40">
            <v>8.4600000000000009</v>
          </cell>
          <cell r="G40" t="str">
            <v>L6X6X3/4</v>
          </cell>
          <cell r="H40">
            <v>6</v>
          </cell>
          <cell r="I40" t="str">
            <v>–</v>
          </cell>
          <cell r="J40" t="str">
            <v>–</v>
          </cell>
          <cell r="K40" t="str">
            <v>–</v>
          </cell>
          <cell r="L40" t="str">
            <v>–</v>
          </cell>
          <cell r="M40" t="str">
            <v>–</v>
          </cell>
          <cell r="N40" t="str">
            <v>–</v>
          </cell>
          <cell r="O40" t="str">
            <v>–</v>
          </cell>
          <cell r="P40">
            <v>6</v>
          </cell>
          <cell r="Q40" t="str">
            <v>–</v>
          </cell>
          <cell r="R40" t="str">
            <v>–</v>
          </cell>
          <cell r="S40" t="str">
            <v>–</v>
          </cell>
          <cell r="T40" t="str">
            <v>–</v>
          </cell>
          <cell r="U40" t="str">
            <v>–</v>
          </cell>
          <cell r="V40" t="str">
            <v>–</v>
          </cell>
          <cell r="W40">
            <v>0.75</v>
          </cell>
          <cell r="DZ40" t="str">
            <v>W36X487</v>
          </cell>
          <cell r="EA40">
            <v>487</v>
          </cell>
          <cell r="EB40">
            <v>143</v>
          </cell>
          <cell r="EC40">
            <v>39.299999999999997</v>
          </cell>
          <cell r="ED40" t="str">
            <v>39 3/8</v>
          </cell>
          <cell r="EE40">
            <v>1.5</v>
          </cell>
          <cell r="EF40" t="str">
            <v>1 1/2</v>
          </cell>
          <cell r="EG40">
            <v>44989</v>
          </cell>
          <cell r="EH40">
            <v>17.100000000000001</v>
          </cell>
          <cell r="EI40" t="str">
            <v>17 1/8</v>
          </cell>
          <cell r="EJ40">
            <v>2.68</v>
          </cell>
          <cell r="EK40" t="str">
            <v>2 11/16</v>
          </cell>
          <cell r="EL40">
            <v>3.19</v>
          </cell>
          <cell r="EM40">
            <v>21.4</v>
          </cell>
          <cell r="EN40">
            <v>36000</v>
          </cell>
          <cell r="EO40">
            <v>1830</v>
          </cell>
          <cell r="EP40">
            <v>15.8</v>
          </cell>
          <cell r="EQ40">
            <v>2130</v>
          </cell>
          <cell r="ER40">
            <v>2250</v>
          </cell>
          <cell r="ES40">
            <v>263</v>
          </cell>
          <cell r="ET40">
            <v>3.96</v>
          </cell>
        </row>
        <row r="41">
          <cell r="B41" t="str">
            <v>L6X6X5/8</v>
          </cell>
          <cell r="C41" t="str">
            <v>L6X6X5/8</v>
          </cell>
          <cell r="D41" t="str">
            <v>F</v>
          </cell>
          <cell r="E41">
            <v>24.2</v>
          </cell>
          <cell r="F41">
            <v>7.13</v>
          </cell>
          <cell r="G41" t="str">
            <v>L6X6X5/8</v>
          </cell>
          <cell r="H41">
            <v>6</v>
          </cell>
          <cell r="I41" t="str">
            <v>–</v>
          </cell>
          <cell r="J41" t="str">
            <v>–</v>
          </cell>
          <cell r="K41" t="str">
            <v>–</v>
          </cell>
          <cell r="L41" t="str">
            <v>–</v>
          </cell>
          <cell r="M41" t="str">
            <v>–</v>
          </cell>
          <cell r="N41" t="str">
            <v>–</v>
          </cell>
          <cell r="O41" t="str">
            <v>–</v>
          </cell>
          <cell r="P41">
            <v>6</v>
          </cell>
          <cell r="Q41" t="str">
            <v>–</v>
          </cell>
          <cell r="R41" t="str">
            <v>–</v>
          </cell>
          <cell r="S41" t="str">
            <v>–</v>
          </cell>
          <cell r="T41" t="str">
            <v>–</v>
          </cell>
          <cell r="U41" t="str">
            <v>–</v>
          </cell>
          <cell r="V41" t="str">
            <v>–</v>
          </cell>
          <cell r="W41">
            <v>0.625</v>
          </cell>
          <cell r="DZ41" t="str">
            <v>W36X441</v>
          </cell>
          <cell r="EA41">
            <v>441</v>
          </cell>
          <cell r="EB41">
            <v>130</v>
          </cell>
          <cell r="EC41">
            <v>38.9</v>
          </cell>
          <cell r="ED41" t="str">
            <v>38 7/8</v>
          </cell>
          <cell r="EE41">
            <v>1.36</v>
          </cell>
          <cell r="EF41" t="str">
            <v>1 3/8</v>
          </cell>
          <cell r="EG41">
            <v>45246</v>
          </cell>
          <cell r="EH41">
            <v>17</v>
          </cell>
          <cell r="EI41">
            <v>17</v>
          </cell>
          <cell r="EJ41">
            <v>2.44</v>
          </cell>
          <cell r="EK41" t="str">
            <v>2 7/16</v>
          </cell>
          <cell r="EL41">
            <v>3.48</v>
          </cell>
          <cell r="EM41">
            <v>23.6</v>
          </cell>
          <cell r="EN41">
            <v>32100</v>
          </cell>
          <cell r="EO41">
            <v>1650</v>
          </cell>
          <cell r="EP41">
            <v>15.7</v>
          </cell>
          <cell r="EQ41">
            <v>1910</v>
          </cell>
          <cell r="ER41">
            <v>1990</v>
          </cell>
          <cell r="ES41">
            <v>235</v>
          </cell>
          <cell r="ET41">
            <v>3.92</v>
          </cell>
        </row>
        <row r="42">
          <cell r="B42" t="str">
            <v>L6X6X9/16</v>
          </cell>
          <cell r="C42" t="str">
            <v>L6X6X9/16</v>
          </cell>
          <cell r="D42" t="str">
            <v>F</v>
          </cell>
          <cell r="E42">
            <v>21.9</v>
          </cell>
          <cell r="F42">
            <v>6.45</v>
          </cell>
          <cell r="G42" t="str">
            <v>L6X6X9/16</v>
          </cell>
          <cell r="H42">
            <v>6</v>
          </cell>
          <cell r="I42" t="str">
            <v>–</v>
          </cell>
          <cell r="J42" t="str">
            <v>–</v>
          </cell>
          <cell r="K42" t="str">
            <v>–</v>
          </cell>
          <cell r="L42" t="str">
            <v>–</v>
          </cell>
          <cell r="M42" t="str">
            <v>–</v>
          </cell>
          <cell r="N42" t="str">
            <v>–</v>
          </cell>
          <cell r="O42" t="str">
            <v>–</v>
          </cell>
          <cell r="P42">
            <v>6</v>
          </cell>
          <cell r="Q42" t="str">
            <v>–</v>
          </cell>
          <cell r="R42" t="str">
            <v>–</v>
          </cell>
          <cell r="S42" t="str">
            <v>–</v>
          </cell>
          <cell r="T42" t="str">
            <v>–</v>
          </cell>
          <cell r="U42" t="str">
            <v>–</v>
          </cell>
          <cell r="V42" t="str">
            <v>–</v>
          </cell>
          <cell r="W42">
            <v>0.56299999999999994</v>
          </cell>
          <cell r="DZ42" t="str">
            <v>W36X395</v>
          </cell>
          <cell r="EA42">
            <v>395</v>
          </cell>
          <cell r="EB42">
            <v>116</v>
          </cell>
          <cell r="EC42">
            <v>38.4</v>
          </cell>
          <cell r="ED42" t="str">
            <v>38 3/8</v>
          </cell>
          <cell r="EE42">
            <v>1.22</v>
          </cell>
          <cell r="EF42" t="str">
            <v>1 1/4</v>
          </cell>
          <cell r="EG42">
            <v>45054</v>
          </cell>
          <cell r="EH42">
            <v>16.8</v>
          </cell>
          <cell r="EI42" t="str">
            <v>16 7/8</v>
          </cell>
          <cell r="EJ42">
            <v>2.2000000000000002</v>
          </cell>
          <cell r="EK42" t="str">
            <v>2 3/16</v>
          </cell>
          <cell r="EL42">
            <v>3.83</v>
          </cell>
          <cell r="EM42">
            <v>26.3</v>
          </cell>
          <cell r="EN42">
            <v>28500</v>
          </cell>
          <cell r="EO42">
            <v>1490</v>
          </cell>
          <cell r="EP42">
            <v>15.7</v>
          </cell>
          <cell r="EQ42">
            <v>1710</v>
          </cell>
          <cell r="ER42">
            <v>1750</v>
          </cell>
          <cell r="ES42">
            <v>208</v>
          </cell>
          <cell r="ET42">
            <v>3.88</v>
          </cell>
        </row>
        <row r="43">
          <cell r="B43" t="str">
            <v>L6X6X1/2</v>
          </cell>
          <cell r="C43" t="str">
            <v>L6X6X1/2</v>
          </cell>
          <cell r="D43" t="str">
            <v>F</v>
          </cell>
          <cell r="E43">
            <v>19.600000000000001</v>
          </cell>
          <cell r="F43">
            <v>5.77</v>
          </cell>
          <cell r="G43" t="str">
            <v>L6X6X1/2</v>
          </cell>
          <cell r="H43">
            <v>6</v>
          </cell>
          <cell r="I43" t="str">
            <v>–</v>
          </cell>
          <cell r="J43" t="str">
            <v>–</v>
          </cell>
          <cell r="K43" t="str">
            <v>–</v>
          </cell>
          <cell r="L43" t="str">
            <v>–</v>
          </cell>
          <cell r="M43" t="str">
            <v>–</v>
          </cell>
          <cell r="N43" t="str">
            <v>–</v>
          </cell>
          <cell r="O43" t="str">
            <v>–</v>
          </cell>
          <cell r="P43">
            <v>6</v>
          </cell>
          <cell r="Q43" t="str">
            <v>–</v>
          </cell>
          <cell r="R43" t="str">
            <v>–</v>
          </cell>
          <cell r="S43" t="str">
            <v>–</v>
          </cell>
          <cell r="T43" t="str">
            <v>–</v>
          </cell>
          <cell r="U43" t="str">
            <v>–</v>
          </cell>
          <cell r="V43" t="str">
            <v>–</v>
          </cell>
          <cell r="W43">
            <v>0.5</v>
          </cell>
          <cell r="CK43" t="str">
            <v>Single Row</v>
          </cell>
          <cell r="CL43"/>
          <cell r="CM43">
            <v>1</v>
          </cell>
          <cell r="DZ43" t="str">
            <v>W36X361</v>
          </cell>
          <cell r="EA43">
            <v>361</v>
          </cell>
          <cell r="EB43">
            <v>106</v>
          </cell>
          <cell r="EC43">
            <v>38</v>
          </cell>
          <cell r="ED43">
            <v>38</v>
          </cell>
          <cell r="EE43">
            <v>1.1200000000000001</v>
          </cell>
          <cell r="EF43" t="str">
            <v>1 1/8</v>
          </cell>
          <cell r="EG43">
            <v>45185</v>
          </cell>
          <cell r="EH43">
            <v>16.7</v>
          </cell>
          <cell r="EI43" t="str">
            <v>16 3/4</v>
          </cell>
          <cell r="EJ43">
            <v>2.0099999999999998</v>
          </cell>
          <cell r="EK43">
            <v>2</v>
          </cell>
          <cell r="EL43">
            <v>4.16</v>
          </cell>
          <cell r="EM43">
            <v>28.6</v>
          </cell>
          <cell r="EN43">
            <v>25700</v>
          </cell>
          <cell r="EO43">
            <v>1350</v>
          </cell>
          <cell r="EP43">
            <v>15.6</v>
          </cell>
          <cell r="EQ43">
            <v>1550</v>
          </cell>
          <cell r="ER43">
            <v>1570</v>
          </cell>
          <cell r="ES43">
            <v>188</v>
          </cell>
          <cell r="ET43">
            <v>3.85</v>
          </cell>
        </row>
        <row r="44">
          <cell r="B44" t="str">
            <v>L6X6X7/16</v>
          </cell>
          <cell r="C44" t="str">
            <v>L6X6X7/16</v>
          </cell>
          <cell r="D44" t="str">
            <v>F</v>
          </cell>
          <cell r="E44">
            <v>17.2</v>
          </cell>
          <cell r="F44">
            <v>5.08</v>
          </cell>
          <cell r="G44" t="str">
            <v>L6X6X7/16</v>
          </cell>
          <cell r="H44">
            <v>6</v>
          </cell>
          <cell r="I44" t="str">
            <v>–</v>
          </cell>
          <cell r="J44" t="str">
            <v>–</v>
          </cell>
          <cell r="K44" t="str">
            <v>–</v>
          </cell>
          <cell r="L44" t="str">
            <v>–</v>
          </cell>
          <cell r="M44" t="str">
            <v>–</v>
          </cell>
          <cell r="N44" t="str">
            <v>–</v>
          </cell>
          <cell r="O44" t="str">
            <v>–</v>
          </cell>
          <cell r="P44">
            <v>6</v>
          </cell>
          <cell r="Q44" t="str">
            <v>–</v>
          </cell>
          <cell r="R44" t="str">
            <v>–</v>
          </cell>
          <cell r="S44" t="str">
            <v>–</v>
          </cell>
          <cell r="T44" t="str">
            <v>–</v>
          </cell>
          <cell r="U44" t="str">
            <v>–</v>
          </cell>
          <cell r="V44" t="str">
            <v>–</v>
          </cell>
          <cell r="W44">
            <v>0.438</v>
          </cell>
          <cell r="CK44" t="str">
            <v>Multiple Row</v>
          </cell>
          <cell r="CL44"/>
          <cell r="CM44">
            <v>0.5</v>
          </cell>
          <cell r="DZ44" t="str">
            <v>W36X330</v>
          </cell>
          <cell r="EA44">
            <v>330</v>
          </cell>
          <cell r="EB44">
            <v>96.9</v>
          </cell>
          <cell r="EC44">
            <v>37.700000000000003</v>
          </cell>
          <cell r="ED44" t="str">
            <v>37 5/8</v>
          </cell>
          <cell r="EE44">
            <v>1.02</v>
          </cell>
          <cell r="EF44">
            <v>1</v>
          </cell>
          <cell r="EG44">
            <v>44928</v>
          </cell>
          <cell r="EH44">
            <v>16.600000000000001</v>
          </cell>
          <cell r="EI44" t="str">
            <v>16 5/8</v>
          </cell>
          <cell r="EJ44">
            <v>1.85</v>
          </cell>
          <cell r="EK44" t="str">
            <v>1 7/8</v>
          </cell>
          <cell r="EL44">
            <v>4.49</v>
          </cell>
          <cell r="EM44">
            <v>31.4</v>
          </cell>
          <cell r="EN44">
            <v>23300</v>
          </cell>
          <cell r="EO44">
            <v>1240</v>
          </cell>
          <cell r="EP44">
            <v>15.5</v>
          </cell>
          <cell r="EQ44">
            <v>1410</v>
          </cell>
          <cell r="ER44">
            <v>1420</v>
          </cell>
          <cell r="ES44">
            <v>171</v>
          </cell>
          <cell r="ET44">
            <v>3.83</v>
          </cell>
        </row>
        <row r="45">
          <cell r="B45" t="str">
            <v>L6X6X3/8</v>
          </cell>
          <cell r="C45" t="str">
            <v>L6X6X3/8</v>
          </cell>
          <cell r="D45" t="str">
            <v>F</v>
          </cell>
          <cell r="E45">
            <v>14.9</v>
          </cell>
          <cell r="F45">
            <v>4.38</v>
          </cell>
          <cell r="G45" t="str">
            <v>L6X6X3/8</v>
          </cell>
          <cell r="H45">
            <v>6</v>
          </cell>
          <cell r="I45" t="str">
            <v>–</v>
          </cell>
          <cell r="J45" t="str">
            <v>–</v>
          </cell>
          <cell r="K45" t="str">
            <v>–</v>
          </cell>
          <cell r="L45" t="str">
            <v>–</v>
          </cell>
          <cell r="M45" t="str">
            <v>–</v>
          </cell>
          <cell r="N45" t="str">
            <v>–</v>
          </cell>
          <cell r="O45" t="str">
            <v>–</v>
          </cell>
          <cell r="P45">
            <v>6</v>
          </cell>
          <cell r="Q45" t="str">
            <v>–</v>
          </cell>
          <cell r="R45" t="str">
            <v>–</v>
          </cell>
          <cell r="S45" t="str">
            <v>–</v>
          </cell>
          <cell r="T45" t="str">
            <v>–</v>
          </cell>
          <cell r="U45" t="str">
            <v>–</v>
          </cell>
          <cell r="V45" t="str">
            <v>–</v>
          </cell>
          <cell r="W45">
            <v>0.375</v>
          </cell>
          <cell r="DZ45" t="str">
            <v>W36X302</v>
          </cell>
          <cell r="EA45">
            <v>302</v>
          </cell>
          <cell r="EB45">
            <v>89</v>
          </cell>
          <cell r="EC45">
            <v>37.299999999999997</v>
          </cell>
          <cell r="ED45" t="str">
            <v>37 3/8</v>
          </cell>
          <cell r="EE45">
            <v>0.94499999999999995</v>
          </cell>
          <cell r="EF45" t="str">
            <v>15/16</v>
          </cell>
          <cell r="EG45">
            <v>44928</v>
          </cell>
          <cell r="EH45">
            <v>16.7</v>
          </cell>
          <cell r="EI45" t="str">
            <v>16 5/8</v>
          </cell>
          <cell r="EJ45">
            <v>1.68</v>
          </cell>
          <cell r="EK45" t="str">
            <v>1 11/16</v>
          </cell>
          <cell r="EL45">
            <v>4.96</v>
          </cell>
          <cell r="EM45">
            <v>33.9</v>
          </cell>
          <cell r="EN45">
            <v>21100</v>
          </cell>
          <cell r="EO45">
            <v>1130</v>
          </cell>
          <cell r="EP45">
            <v>15.4</v>
          </cell>
          <cell r="EQ45">
            <v>1280</v>
          </cell>
          <cell r="ER45">
            <v>1300</v>
          </cell>
          <cell r="ES45">
            <v>156</v>
          </cell>
          <cell r="ET45">
            <v>3.82</v>
          </cell>
        </row>
        <row r="46">
          <cell r="B46" t="str">
            <v>L6X6X5/16</v>
          </cell>
          <cell r="C46" t="str">
            <v>L6X6X5/16</v>
          </cell>
          <cell r="D46" t="str">
            <v>F</v>
          </cell>
          <cell r="E46">
            <v>12.4</v>
          </cell>
          <cell r="F46">
            <v>3.67</v>
          </cell>
          <cell r="G46" t="str">
            <v>L6X6X5/16</v>
          </cell>
          <cell r="H46">
            <v>6</v>
          </cell>
          <cell r="I46" t="str">
            <v>–</v>
          </cell>
          <cell r="J46" t="str">
            <v>–</v>
          </cell>
          <cell r="K46" t="str">
            <v>–</v>
          </cell>
          <cell r="L46" t="str">
            <v>–</v>
          </cell>
          <cell r="M46" t="str">
            <v>–</v>
          </cell>
          <cell r="N46" t="str">
            <v>–</v>
          </cell>
          <cell r="O46" t="str">
            <v>–</v>
          </cell>
          <cell r="P46">
            <v>6</v>
          </cell>
          <cell r="Q46" t="str">
            <v>–</v>
          </cell>
          <cell r="R46" t="str">
            <v>–</v>
          </cell>
          <cell r="S46" t="str">
            <v>–</v>
          </cell>
          <cell r="T46" t="str">
            <v>–</v>
          </cell>
          <cell r="U46" t="str">
            <v>–</v>
          </cell>
          <cell r="V46" t="str">
            <v>–</v>
          </cell>
          <cell r="W46">
            <v>0.313</v>
          </cell>
          <cell r="DZ46" t="str">
            <v>W36X282</v>
          </cell>
          <cell r="EA46">
            <v>282</v>
          </cell>
          <cell r="EB46">
            <v>82.9</v>
          </cell>
          <cell r="EC46">
            <v>37.1</v>
          </cell>
          <cell r="ED46" t="str">
            <v>37 1/8</v>
          </cell>
          <cell r="EE46">
            <v>0.88500000000000001</v>
          </cell>
          <cell r="EF46">
            <v>45115</v>
          </cell>
          <cell r="EG46">
            <v>45123</v>
          </cell>
          <cell r="EH46">
            <v>16.600000000000001</v>
          </cell>
          <cell r="EI46" t="str">
            <v>16 5/8</v>
          </cell>
          <cell r="EJ46">
            <v>1.57</v>
          </cell>
          <cell r="EK46" t="str">
            <v>1 9/16</v>
          </cell>
          <cell r="EL46">
            <v>5.29</v>
          </cell>
          <cell r="EM46">
            <v>36.200000000000003</v>
          </cell>
          <cell r="EN46">
            <v>19600</v>
          </cell>
          <cell r="EO46">
            <v>1050</v>
          </cell>
          <cell r="EP46">
            <v>15.4</v>
          </cell>
          <cell r="EQ46">
            <v>1190</v>
          </cell>
          <cell r="ER46">
            <v>1200</v>
          </cell>
          <cell r="ES46">
            <v>144</v>
          </cell>
          <cell r="ET46">
            <v>3.8</v>
          </cell>
        </row>
        <row r="47">
          <cell r="B47" t="str">
            <v>L6X4X7/8</v>
          </cell>
          <cell r="C47" t="str">
            <v>L6X4X7/8</v>
          </cell>
          <cell r="D47" t="str">
            <v>F</v>
          </cell>
          <cell r="E47">
            <v>27.2</v>
          </cell>
          <cell r="F47">
            <v>8</v>
          </cell>
          <cell r="G47" t="str">
            <v>L6X4X7/8</v>
          </cell>
          <cell r="H47">
            <v>4</v>
          </cell>
          <cell r="I47" t="str">
            <v>–</v>
          </cell>
          <cell r="J47" t="str">
            <v>–</v>
          </cell>
          <cell r="K47" t="str">
            <v>–</v>
          </cell>
          <cell r="L47" t="str">
            <v>–</v>
          </cell>
          <cell r="M47" t="str">
            <v>–</v>
          </cell>
          <cell r="N47" t="str">
            <v>–</v>
          </cell>
          <cell r="O47" t="str">
            <v>–</v>
          </cell>
          <cell r="P47">
            <v>6</v>
          </cell>
          <cell r="Q47" t="str">
            <v>–</v>
          </cell>
          <cell r="R47" t="str">
            <v>–</v>
          </cell>
          <cell r="S47" t="str">
            <v>–</v>
          </cell>
          <cell r="T47" t="str">
            <v>–</v>
          </cell>
          <cell r="U47" t="str">
            <v>–</v>
          </cell>
          <cell r="V47" t="str">
            <v>–</v>
          </cell>
          <cell r="W47">
            <v>0.875</v>
          </cell>
          <cell r="DZ47" t="str">
            <v>W36X262</v>
          </cell>
          <cell r="EA47">
            <v>262</v>
          </cell>
          <cell r="EB47">
            <v>77.2</v>
          </cell>
          <cell r="EC47">
            <v>36.9</v>
          </cell>
          <cell r="ED47" t="str">
            <v>36 7/8</v>
          </cell>
          <cell r="EE47">
            <v>0.84</v>
          </cell>
          <cell r="EF47" t="str">
            <v>13/16</v>
          </cell>
          <cell r="EG47">
            <v>45123</v>
          </cell>
          <cell r="EH47">
            <v>16.600000000000001</v>
          </cell>
          <cell r="EI47" t="str">
            <v>16 1/2</v>
          </cell>
          <cell r="EJ47">
            <v>1.44</v>
          </cell>
          <cell r="EK47" t="str">
            <v>1 7/16</v>
          </cell>
          <cell r="EL47">
            <v>5.75</v>
          </cell>
          <cell r="EM47">
            <v>38.200000000000003</v>
          </cell>
          <cell r="EN47">
            <v>17900</v>
          </cell>
          <cell r="EO47">
            <v>972</v>
          </cell>
          <cell r="EP47">
            <v>15.3</v>
          </cell>
          <cell r="EQ47">
            <v>1100</v>
          </cell>
          <cell r="ER47">
            <v>1090</v>
          </cell>
          <cell r="ES47">
            <v>132</v>
          </cell>
          <cell r="ET47">
            <v>3.76</v>
          </cell>
        </row>
        <row r="48">
          <cell r="B48" t="str">
            <v>L6X4X3/4</v>
          </cell>
          <cell r="C48" t="str">
            <v>L6X4X3/4</v>
          </cell>
          <cell r="D48" t="str">
            <v>F</v>
          </cell>
          <cell r="E48">
            <v>23.6</v>
          </cell>
          <cell r="F48">
            <v>6.94</v>
          </cell>
          <cell r="G48" t="str">
            <v>L6X4X3/4</v>
          </cell>
          <cell r="H48">
            <v>4</v>
          </cell>
          <cell r="I48" t="str">
            <v>–</v>
          </cell>
          <cell r="J48" t="str">
            <v>–</v>
          </cell>
          <cell r="K48" t="str">
            <v>–</v>
          </cell>
          <cell r="L48" t="str">
            <v>–</v>
          </cell>
          <cell r="M48" t="str">
            <v>–</v>
          </cell>
          <cell r="N48" t="str">
            <v>–</v>
          </cell>
          <cell r="O48" t="str">
            <v>–</v>
          </cell>
          <cell r="P48">
            <v>6</v>
          </cell>
          <cell r="Q48" t="str">
            <v>–</v>
          </cell>
          <cell r="R48" t="str">
            <v>–</v>
          </cell>
          <cell r="S48" t="str">
            <v>–</v>
          </cell>
          <cell r="T48" t="str">
            <v>–</v>
          </cell>
          <cell r="U48" t="str">
            <v>–</v>
          </cell>
          <cell r="V48" t="str">
            <v>–</v>
          </cell>
          <cell r="W48">
            <v>0.75</v>
          </cell>
          <cell r="CK48" t="str">
            <v>Case 1</v>
          </cell>
          <cell r="CL48"/>
          <cell r="CM48">
            <v>1</v>
          </cell>
          <cell r="DZ48" t="str">
            <v>W36X247</v>
          </cell>
          <cell r="EA48">
            <v>247</v>
          </cell>
          <cell r="EB48">
            <v>72.5</v>
          </cell>
          <cell r="EC48">
            <v>36.700000000000003</v>
          </cell>
          <cell r="ED48" t="str">
            <v>36 5/8</v>
          </cell>
          <cell r="EE48">
            <v>0.8</v>
          </cell>
          <cell r="EF48" t="str">
            <v>13/16</v>
          </cell>
          <cell r="EG48">
            <v>45123</v>
          </cell>
          <cell r="EH48">
            <v>16.5</v>
          </cell>
          <cell r="EI48" t="str">
            <v>16 1/2</v>
          </cell>
          <cell r="EJ48">
            <v>1.35</v>
          </cell>
          <cell r="EK48" t="str">
            <v>1 3/8</v>
          </cell>
          <cell r="EL48">
            <v>6.11</v>
          </cell>
          <cell r="EM48">
            <v>40.1</v>
          </cell>
          <cell r="EN48">
            <v>16700</v>
          </cell>
          <cell r="EO48">
            <v>913</v>
          </cell>
          <cell r="EP48">
            <v>15.2</v>
          </cell>
          <cell r="EQ48">
            <v>1030</v>
          </cell>
          <cell r="ER48">
            <v>1010</v>
          </cell>
          <cell r="ES48">
            <v>123</v>
          </cell>
          <cell r="ET48">
            <v>3.74</v>
          </cell>
        </row>
        <row r="49">
          <cell r="B49" t="str">
            <v>L6X4X5/8</v>
          </cell>
          <cell r="C49" t="str">
            <v>L6X4X5/8</v>
          </cell>
          <cell r="D49" t="str">
            <v>F</v>
          </cell>
          <cell r="E49">
            <v>20</v>
          </cell>
          <cell r="F49">
            <v>5.86</v>
          </cell>
          <cell r="G49" t="str">
            <v>L6X4X5/8</v>
          </cell>
          <cell r="H49">
            <v>4</v>
          </cell>
          <cell r="I49" t="str">
            <v>–</v>
          </cell>
          <cell r="J49" t="str">
            <v>–</v>
          </cell>
          <cell r="K49" t="str">
            <v>–</v>
          </cell>
          <cell r="L49" t="str">
            <v>–</v>
          </cell>
          <cell r="M49" t="str">
            <v>–</v>
          </cell>
          <cell r="N49" t="str">
            <v>–</v>
          </cell>
          <cell r="O49" t="str">
            <v>–</v>
          </cell>
          <cell r="P49">
            <v>6</v>
          </cell>
          <cell r="Q49" t="str">
            <v>–</v>
          </cell>
          <cell r="R49" t="str">
            <v>–</v>
          </cell>
          <cell r="S49" t="str">
            <v>–</v>
          </cell>
          <cell r="T49" t="str">
            <v>–</v>
          </cell>
          <cell r="U49" t="str">
            <v>–</v>
          </cell>
          <cell r="V49" t="str">
            <v>–</v>
          </cell>
          <cell r="W49">
            <v>0.625</v>
          </cell>
          <cell r="CK49" t="str">
            <v>Case 2</v>
          </cell>
          <cell r="CL49" t="e">
            <v>#REF!</v>
          </cell>
          <cell r="CM49" t="e">
            <v>#REF!</v>
          </cell>
          <cell r="DZ49" t="str">
            <v>W36X231</v>
          </cell>
          <cell r="EA49">
            <v>231</v>
          </cell>
          <cell r="EB49">
            <v>68.2</v>
          </cell>
          <cell r="EC49">
            <v>36.5</v>
          </cell>
          <cell r="ED49" t="str">
            <v>36 1/2</v>
          </cell>
          <cell r="EE49">
            <v>0.76</v>
          </cell>
          <cell r="EF49">
            <v>44989</v>
          </cell>
          <cell r="EG49">
            <v>44993</v>
          </cell>
          <cell r="EH49">
            <v>16.5</v>
          </cell>
          <cell r="EI49" t="str">
            <v>16 1/2</v>
          </cell>
          <cell r="EJ49">
            <v>1.26</v>
          </cell>
          <cell r="EK49" t="str">
            <v>1 1/4</v>
          </cell>
          <cell r="EL49">
            <v>6.54</v>
          </cell>
          <cell r="EM49">
            <v>42.2</v>
          </cell>
          <cell r="EN49">
            <v>15600</v>
          </cell>
          <cell r="EO49">
            <v>854</v>
          </cell>
          <cell r="EP49">
            <v>15.1</v>
          </cell>
          <cell r="EQ49">
            <v>963</v>
          </cell>
          <cell r="ER49">
            <v>940</v>
          </cell>
          <cell r="ES49">
            <v>114</v>
          </cell>
          <cell r="ET49">
            <v>3.71</v>
          </cell>
        </row>
        <row r="50">
          <cell r="B50" t="str">
            <v>L6X4X9/16</v>
          </cell>
          <cell r="C50" t="str">
            <v>L6X4X9/16</v>
          </cell>
          <cell r="D50" t="str">
            <v>F</v>
          </cell>
          <cell r="E50">
            <v>18.100000000000001</v>
          </cell>
          <cell r="F50">
            <v>5.31</v>
          </cell>
          <cell r="G50" t="str">
            <v>L6X4X9/16</v>
          </cell>
          <cell r="H50">
            <v>4</v>
          </cell>
          <cell r="I50" t="str">
            <v>–</v>
          </cell>
          <cell r="J50" t="str">
            <v>–</v>
          </cell>
          <cell r="K50" t="str">
            <v>–</v>
          </cell>
          <cell r="L50" t="str">
            <v>–</v>
          </cell>
          <cell r="M50" t="str">
            <v>–</v>
          </cell>
          <cell r="N50" t="str">
            <v>–</v>
          </cell>
          <cell r="O50" t="str">
            <v>–</v>
          </cell>
          <cell r="P50">
            <v>6</v>
          </cell>
          <cell r="Q50" t="str">
            <v>–</v>
          </cell>
          <cell r="R50" t="str">
            <v>–</v>
          </cell>
          <cell r="S50" t="str">
            <v>–</v>
          </cell>
          <cell r="T50" t="str">
            <v>–</v>
          </cell>
          <cell r="U50" t="str">
            <v>–</v>
          </cell>
          <cell r="V50" t="str">
            <v>–</v>
          </cell>
          <cell r="W50">
            <v>0.56299999999999994</v>
          </cell>
          <cell r="CK50" t="str">
            <v>Case 8a</v>
          </cell>
          <cell r="CL50"/>
          <cell r="CM50">
            <v>0.8</v>
          </cell>
          <cell r="DZ50" t="str">
            <v>W36X256</v>
          </cell>
          <cell r="EA50">
            <v>256</v>
          </cell>
          <cell r="EB50">
            <v>75.3</v>
          </cell>
          <cell r="EC50">
            <v>37.4</v>
          </cell>
          <cell r="ED50" t="str">
            <v>37 3/8</v>
          </cell>
          <cell r="EE50">
            <v>0.96</v>
          </cell>
          <cell r="EF50" t="str">
            <v>15/16</v>
          </cell>
          <cell r="EG50">
            <v>44928</v>
          </cell>
          <cell r="EH50">
            <v>12.2</v>
          </cell>
          <cell r="EI50" t="str">
            <v>12 1/4</v>
          </cell>
          <cell r="EJ50">
            <v>1.73</v>
          </cell>
          <cell r="EK50" t="str">
            <v>1 3/4</v>
          </cell>
          <cell r="EL50">
            <v>3.53</v>
          </cell>
          <cell r="EM50">
            <v>33.799999999999997</v>
          </cell>
          <cell r="EN50">
            <v>16800</v>
          </cell>
          <cell r="EO50">
            <v>895</v>
          </cell>
          <cell r="EP50">
            <v>14.9</v>
          </cell>
          <cell r="EQ50">
            <v>1040</v>
          </cell>
          <cell r="ER50">
            <v>528</v>
          </cell>
          <cell r="ES50">
            <v>86.5</v>
          </cell>
          <cell r="ET50">
            <v>2.65</v>
          </cell>
        </row>
        <row r="51">
          <cell r="B51" t="str">
            <v>L6X4X1/2</v>
          </cell>
          <cell r="C51" t="str">
            <v>L6X4X1/2</v>
          </cell>
          <cell r="D51" t="str">
            <v>F</v>
          </cell>
          <cell r="E51">
            <v>16.2</v>
          </cell>
          <cell r="F51">
            <v>4.75</v>
          </cell>
          <cell r="G51" t="str">
            <v>L6X4X1/2</v>
          </cell>
          <cell r="H51">
            <v>4</v>
          </cell>
          <cell r="I51" t="str">
            <v>–</v>
          </cell>
          <cell r="J51" t="str">
            <v>–</v>
          </cell>
          <cell r="K51" t="str">
            <v>–</v>
          </cell>
          <cell r="L51" t="str">
            <v>–</v>
          </cell>
          <cell r="M51" t="str">
            <v>–</v>
          </cell>
          <cell r="N51" t="str">
            <v>–</v>
          </cell>
          <cell r="O51" t="str">
            <v>–</v>
          </cell>
          <cell r="P51">
            <v>6</v>
          </cell>
          <cell r="Q51" t="str">
            <v>–</v>
          </cell>
          <cell r="R51" t="str">
            <v>–</v>
          </cell>
          <cell r="S51" t="str">
            <v>–</v>
          </cell>
          <cell r="T51" t="str">
            <v>–</v>
          </cell>
          <cell r="U51" t="str">
            <v>–</v>
          </cell>
          <cell r="V51" t="str">
            <v>–</v>
          </cell>
          <cell r="W51">
            <v>0.5</v>
          </cell>
          <cell r="CK51" t="str">
            <v>Case 8b</v>
          </cell>
          <cell r="CL51"/>
          <cell r="CM51">
            <v>0.6</v>
          </cell>
          <cell r="DZ51" t="str">
            <v>W36X232</v>
          </cell>
          <cell r="EA51">
            <v>232</v>
          </cell>
          <cell r="EB51">
            <v>68</v>
          </cell>
          <cell r="EC51">
            <v>37.1</v>
          </cell>
          <cell r="ED51" t="str">
            <v>37 1/8</v>
          </cell>
          <cell r="EE51">
            <v>0.87</v>
          </cell>
          <cell r="EF51">
            <v>45115</v>
          </cell>
          <cell r="EG51">
            <v>45123</v>
          </cell>
          <cell r="EH51">
            <v>12.1</v>
          </cell>
          <cell r="EI51" t="str">
            <v>12 1/8</v>
          </cell>
          <cell r="EJ51">
            <v>1.57</v>
          </cell>
          <cell r="EK51" t="str">
            <v>1 9/16</v>
          </cell>
          <cell r="EL51">
            <v>3.86</v>
          </cell>
          <cell r="EM51">
            <v>37.299999999999997</v>
          </cell>
          <cell r="EN51">
            <v>15000</v>
          </cell>
          <cell r="EO51">
            <v>809</v>
          </cell>
          <cell r="EP51">
            <v>14.8</v>
          </cell>
          <cell r="EQ51">
            <v>936</v>
          </cell>
          <cell r="ER51">
            <v>468</v>
          </cell>
          <cell r="ES51">
            <v>77.2</v>
          </cell>
          <cell r="ET51">
            <v>2.62</v>
          </cell>
        </row>
        <row r="52">
          <cell r="B52" t="str">
            <v>L6X4X7/16</v>
          </cell>
          <cell r="C52" t="str">
            <v>L6X4X7/16</v>
          </cell>
          <cell r="D52" t="str">
            <v>F</v>
          </cell>
          <cell r="E52">
            <v>14.3</v>
          </cell>
          <cell r="F52">
            <v>4.18</v>
          </cell>
          <cell r="G52" t="str">
            <v>L6X4X7/16</v>
          </cell>
          <cell r="H52">
            <v>4</v>
          </cell>
          <cell r="I52" t="str">
            <v>–</v>
          </cell>
          <cell r="J52" t="str">
            <v>–</v>
          </cell>
          <cell r="K52" t="str">
            <v>–</v>
          </cell>
          <cell r="L52" t="str">
            <v>–</v>
          </cell>
          <cell r="M52" t="str">
            <v>–</v>
          </cell>
          <cell r="N52" t="str">
            <v>–</v>
          </cell>
          <cell r="O52" t="str">
            <v>–</v>
          </cell>
          <cell r="P52">
            <v>6</v>
          </cell>
          <cell r="Q52" t="str">
            <v>–</v>
          </cell>
          <cell r="R52" t="str">
            <v>–</v>
          </cell>
          <cell r="S52" t="str">
            <v>–</v>
          </cell>
          <cell r="T52" t="str">
            <v>–</v>
          </cell>
          <cell r="U52" t="str">
            <v>–</v>
          </cell>
          <cell r="V52" t="str">
            <v>–</v>
          </cell>
          <cell r="W52">
            <v>0.438</v>
          </cell>
          <cell r="DZ52" t="str">
            <v>W36X210</v>
          </cell>
          <cell r="EA52">
            <v>210</v>
          </cell>
          <cell r="EB52">
            <v>61.9</v>
          </cell>
          <cell r="EC52">
            <v>36.700000000000003</v>
          </cell>
          <cell r="ED52" t="str">
            <v>36 3/4</v>
          </cell>
          <cell r="EE52">
            <v>0.83</v>
          </cell>
          <cell r="EF52" t="str">
            <v>13/16</v>
          </cell>
          <cell r="EG52">
            <v>45123</v>
          </cell>
          <cell r="EH52">
            <v>12.2</v>
          </cell>
          <cell r="EI52" t="str">
            <v>12 1/8</v>
          </cell>
          <cell r="EJ52">
            <v>1.36</v>
          </cell>
          <cell r="EK52" t="str">
            <v>1 3/8</v>
          </cell>
          <cell r="EL52">
            <v>4.4800000000000004</v>
          </cell>
          <cell r="EM52">
            <v>39.1</v>
          </cell>
          <cell r="EN52">
            <v>13200</v>
          </cell>
          <cell r="EO52">
            <v>719</v>
          </cell>
          <cell r="EP52">
            <v>14.6</v>
          </cell>
          <cell r="EQ52">
            <v>833</v>
          </cell>
          <cell r="ER52">
            <v>411</v>
          </cell>
          <cell r="ES52">
            <v>67.5</v>
          </cell>
          <cell r="ET52">
            <v>2.58</v>
          </cell>
        </row>
        <row r="53">
          <cell r="B53" t="str">
            <v>L6X4X3/8</v>
          </cell>
          <cell r="C53" t="str">
            <v>L6X4X3/8</v>
          </cell>
          <cell r="D53" t="str">
            <v>F</v>
          </cell>
          <cell r="E53">
            <v>12.3</v>
          </cell>
          <cell r="F53">
            <v>3.61</v>
          </cell>
          <cell r="G53" t="str">
            <v>L6X4X3/8</v>
          </cell>
          <cell r="H53">
            <v>4</v>
          </cell>
          <cell r="I53" t="str">
            <v>–</v>
          </cell>
          <cell r="J53" t="str">
            <v>–</v>
          </cell>
          <cell r="K53" t="str">
            <v>–</v>
          </cell>
          <cell r="L53" t="str">
            <v>–</v>
          </cell>
          <cell r="M53" t="str">
            <v>–</v>
          </cell>
          <cell r="N53" t="str">
            <v>–</v>
          </cell>
          <cell r="O53" t="str">
            <v>–</v>
          </cell>
          <cell r="P53">
            <v>6</v>
          </cell>
          <cell r="Q53" t="str">
            <v>–</v>
          </cell>
          <cell r="R53" t="str">
            <v>–</v>
          </cell>
          <cell r="S53" t="str">
            <v>–</v>
          </cell>
          <cell r="T53" t="str">
            <v>–</v>
          </cell>
          <cell r="U53" t="str">
            <v>–</v>
          </cell>
          <cell r="V53" t="str">
            <v>–</v>
          </cell>
          <cell r="W53">
            <v>0.375</v>
          </cell>
          <cell r="DZ53" t="str">
            <v>W36X194</v>
          </cell>
          <cell r="EA53">
            <v>194</v>
          </cell>
          <cell r="EB53">
            <v>57</v>
          </cell>
          <cell r="EC53">
            <v>36.5</v>
          </cell>
          <cell r="ED53" t="str">
            <v>36 1/2</v>
          </cell>
          <cell r="EE53">
            <v>0.76500000000000001</v>
          </cell>
          <cell r="EF53">
            <v>44989</v>
          </cell>
          <cell r="EG53">
            <v>44993</v>
          </cell>
          <cell r="EH53">
            <v>12.1</v>
          </cell>
          <cell r="EI53" t="str">
            <v>12 1/8</v>
          </cell>
          <cell r="EJ53">
            <v>1.26</v>
          </cell>
          <cell r="EK53" t="str">
            <v>1 1/4</v>
          </cell>
          <cell r="EL53">
            <v>4.8099999999999996</v>
          </cell>
          <cell r="EM53">
            <v>42.4</v>
          </cell>
          <cell r="EN53">
            <v>12100</v>
          </cell>
          <cell r="EO53">
            <v>664</v>
          </cell>
          <cell r="EP53">
            <v>14.6</v>
          </cell>
          <cell r="EQ53">
            <v>767</v>
          </cell>
          <cell r="ER53">
            <v>375</v>
          </cell>
          <cell r="ES53">
            <v>61.9</v>
          </cell>
          <cell r="ET53">
            <v>2.56</v>
          </cell>
        </row>
        <row r="54">
          <cell r="B54" t="str">
            <v>L6X4X5/16</v>
          </cell>
          <cell r="C54" t="str">
            <v>L6X4X5/16</v>
          </cell>
          <cell r="D54" t="str">
            <v>F</v>
          </cell>
          <cell r="E54">
            <v>10.3</v>
          </cell>
          <cell r="F54">
            <v>3.03</v>
          </cell>
          <cell r="G54" t="str">
            <v>L6X4X5/16</v>
          </cell>
          <cell r="H54">
            <v>4</v>
          </cell>
          <cell r="I54" t="str">
            <v>–</v>
          </cell>
          <cell r="J54" t="str">
            <v>–</v>
          </cell>
          <cell r="K54" t="str">
            <v>–</v>
          </cell>
          <cell r="L54" t="str">
            <v>–</v>
          </cell>
          <cell r="M54" t="str">
            <v>–</v>
          </cell>
          <cell r="N54" t="str">
            <v>–</v>
          </cell>
          <cell r="O54" t="str">
            <v>–</v>
          </cell>
          <cell r="P54">
            <v>6</v>
          </cell>
          <cell r="Q54" t="str">
            <v>–</v>
          </cell>
          <cell r="R54" t="str">
            <v>–</v>
          </cell>
          <cell r="S54" t="str">
            <v>–</v>
          </cell>
          <cell r="T54" t="str">
            <v>–</v>
          </cell>
          <cell r="U54" t="str">
            <v>–</v>
          </cell>
          <cell r="V54" t="str">
            <v>–</v>
          </cell>
          <cell r="W54">
            <v>0.313</v>
          </cell>
          <cell r="DZ54" t="str">
            <v>W36X182</v>
          </cell>
          <cell r="EA54">
            <v>182</v>
          </cell>
          <cell r="EB54">
            <v>53.6</v>
          </cell>
          <cell r="EC54">
            <v>36.299999999999997</v>
          </cell>
          <cell r="ED54" t="str">
            <v>36 3/8</v>
          </cell>
          <cell r="EE54">
            <v>0.72499999999999998</v>
          </cell>
          <cell r="EF54">
            <v>44989</v>
          </cell>
          <cell r="EG54">
            <v>44993</v>
          </cell>
          <cell r="EH54">
            <v>12.1</v>
          </cell>
          <cell r="EI54" t="str">
            <v>12 1/8</v>
          </cell>
          <cell r="EJ54">
            <v>1.18</v>
          </cell>
          <cell r="EK54" t="str">
            <v>1 3/16</v>
          </cell>
          <cell r="EL54">
            <v>5.12</v>
          </cell>
          <cell r="EM54">
            <v>44.8</v>
          </cell>
          <cell r="EN54">
            <v>11300</v>
          </cell>
          <cell r="EO54">
            <v>623</v>
          </cell>
          <cell r="EP54">
            <v>14.5</v>
          </cell>
          <cell r="EQ54">
            <v>718</v>
          </cell>
          <cell r="ER54">
            <v>347</v>
          </cell>
          <cell r="ES54">
            <v>57.6</v>
          </cell>
          <cell r="ET54">
            <v>2.5499999999999998</v>
          </cell>
        </row>
        <row r="55">
          <cell r="B55" t="str">
            <v>L6X3-1/2X1/2</v>
          </cell>
          <cell r="C55" t="str">
            <v>L6X3-1/2X1/2</v>
          </cell>
          <cell r="D55" t="str">
            <v>F</v>
          </cell>
          <cell r="E55">
            <v>15.3</v>
          </cell>
          <cell r="F55">
            <v>4.5</v>
          </cell>
          <cell r="G55" t="str">
            <v>L6X3-1/2X1/2</v>
          </cell>
          <cell r="H55">
            <v>3.5</v>
          </cell>
          <cell r="I55" t="str">
            <v>–</v>
          </cell>
          <cell r="J55" t="str">
            <v>–</v>
          </cell>
          <cell r="K55" t="str">
            <v>–</v>
          </cell>
          <cell r="L55" t="str">
            <v>–</v>
          </cell>
          <cell r="M55" t="str">
            <v>–</v>
          </cell>
          <cell r="N55" t="str">
            <v>–</v>
          </cell>
          <cell r="O55" t="str">
            <v>–</v>
          </cell>
          <cell r="P55">
            <v>6</v>
          </cell>
          <cell r="Q55" t="str">
            <v>–</v>
          </cell>
          <cell r="R55" t="str">
            <v>–</v>
          </cell>
          <cell r="S55" t="str">
            <v>–</v>
          </cell>
          <cell r="T55" t="str">
            <v>–</v>
          </cell>
          <cell r="U55" t="str">
            <v>–</v>
          </cell>
          <cell r="V55" t="str">
            <v>–</v>
          </cell>
          <cell r="W55">
            <v>0.5</v>
          </cell>
          <cell r="DZ55" t="str">
            <v>W36X170</v>
          </cell>
          <cell r="EA55">
            <v>170</v>
          </cell>
          <cell r="EB55">
            <v>50</v>
          </cell>
          <cell r="EC55">
            <v>36.200000000000003</v>
          </cell>
          <cell r="ED55" t="str">
            <v>36 1/8</v>
          </cell>
          <cell r="EE55">
            <v>0.68</v>
          </cell>
          <cell r="EF55">
            <v>45246</v>
          </cell>
          <cell r="EG55">
            <v>44993</v>
          </cell>
          <cell r="EH55">
            <v>12</v>
          </cell>
          <cell r="EI55">
            <v>12</v>
          </cell>
          <cell r="EJ55">
            <v>1.1000000000000001</v>
          </cell>
          <cell r="EK55" t="str">
            <v>1 1/8</v>
          </cell>
          <cell r="EL55">
            <v>5.47</v>
          </cell>
          <cell r="EM55">
            <v>47.7</v>
          </cell>
          <cell r="EN55">
            <v>10500</v>
          </cell>
          <cell r="EO55">
            <v>581</v>
          </cell>
          <cell r="EP55">
            <v>14.5</v>
          </cell>
          <cell r="EQ55">
            <v>668</v>
          </cell>
          <cell r="ER55">
            <v>320</v>
          </cell>
          <cell r="ES55">
            <v>53.2</v>
          </cell>
          <cell r="ET55">
            <v>2.5299999999999998</v>
          </cell>
        </row>
        <row r="56">
          <cell r="B56" t="str">
            <v>L6X3-1/2X3/8</v>
          </cell>
          <cell r="C56" t="str">
            <v>L6X3-1/2X3/8</v>
          </cell>
          <cell r="D56" t="str">
            <v>F</v>
          </cell>
          <cell r="E56">
            <v>11.7</v>
          </cell>
          <cell r="F56">
            <v>3.44</v>
          </cell>
          <cell r="G56" t="str">
            <v>L6X3-1/2X3/8</v>
          </cell>
          <cell r="H56">
            <v>3.5</v>
          </cell>
          <cell r="I56" t="str">
            <v>–</v>
          </cell>
          <cell r="J56" t="str">
            <v>–</v>
          </cell>
          <cell r="K56" t="str">
            <v>–</v>
          </cell>
          <cell r="L56" t="str">
            <v>–</v>
          </cell>
          <cell r="M56" t="str">
            <v>–</v>
          </cell>
          <cell r="N56" t="str">
            <v>–</v>
          </cell>
          <cell r="O56" t="str">
            <v>–</v>
          </cell>
          <cell r="P56">
            <v>6</v>
          </cell>
          <cell r="Q56" t="str">
            <v>–</v>
          </cell>
          <cell r="R56" t="str">
            <v>–</v>
          </cell>
          <cell r="S56" t="str">
            <v>–</v>
          </cell>
          <cell r="T56" t="str">
            <v>–</v>
          </cell>
          <cell r="U56" t="str">
            <v>–</v>
          </cell>
          <cell r="V56" t="str">
            <v>–</v>
          </cell>
          <cell r="W56">
            <v>0.375</v>
          </cell>
          <cell r="DZ56" t="str">
            <v>W36X160</v>
          </cell>
          <cell r="EA56">
            <v>160</v>
          </cell>
          <cell r="EB56">
            <v>47</v>
          </cell>
          <cell r="EC56">
            <v>36</v>
          </cell>
          <cell r="ED56">
            <v>36</v>
          </cell>
          <cell r="EE56">
            <v>0.65</v>
          </cell>
          <cell r="EF56">
            <v>45054</v>
          </cell>
          <cell r="EG56">
            <v>45062</v>
          </cell>
          <cell r="EH56">
            <v>12</v>
          </cell>
          <cell r="EI56">
            <v>12</v>
          </cell>
          <cell r="EJ56">
            <v>1.02</v>
          </cell>
          <cell r="EK56">
            <v>1</v>
          </cell>
          <cell r="EL56">
            <v>5.88</v>
          </cell>
          <cell r="EM56">
            <v>49.9</v>
          </cell>
          <cell r="EN56">
            <v>9760</v>
          </cell>
          <cell r="EO56">
            <v>542</v>
          </cell>
          <cell r="EP56">
            <v>14.4</v>
          </cell>
          <cell r="EQ56">
            <v>624</v>
          </cell>
          <cell r="ER56">
            <v>295</v>
          </cell>
          <cell r="ES56">
            <v>49.1</v>
          </cell>
          <cell r="ET56">
            <v>2.5</v>
          </cell>
        </row>
        <row r="57">
          <cell r="B57" t="str">
            <v>L6X3-1/2X5/16</v>
          </cell>
          <cell r="C57" t="str">
            <v>L6X3-1/2X5/16</v>
          </cell>
          <cell r="D57" t="str">
            <v>F</v>
          </cell>
          <cell r="E57">
            <v>9.8000000000000007</v>
          </cell>
          <cell r="F57">
            <v>2.89</v>
          </cell>
          <cell r="G57" t="str">
            <v>L6X3-1/2X5/16</v>
          </cell>
          <cell r="H57">
            <v>3.5</v>
          </cell>
          <cell r="I57" t="str">
            <v>–</v>
          </cell>
          <cell r="J57" t="str">
            <v>–</v>
          </cell>
          <cell r="K57" t="str">
            <v>–</v>
          </cell>
          <cell r="L57" t="str">
            <v>–</v>
          </cell>
          <cell r="M57" t="str">
            <v>–</v>
          </cell>
          <cell r="N57" t="str">
            <v>–</v>
          </cell>
          <cell r="O57" t="str">
            <v>–</v>
          </cell>
          <cell r="P57">
            <v>6</v>
          </cell>
          <cell r="Q57" t="str">
            <v>–</v>
          </cell>
          <cell r="R57" t="str">
            <v>–</v>
          </cell>
          <cell r="S57" t="str">
            <v>–</v>
          </cell>
          <cell r="T57" t="str">
            <v>–</v>
          </cell>
          <cell r="U57" t="str">
            <v>–</v>
          </cell>
          <cell r="V57" t="str">
            <v>–</v>
          </cell>
          <cell r="W57">
            <v>0.313</v>
          </cell>
          <cell r="DZ57" t="str">
            <v>W36X150</v>
          </cell>
          <cell r="EA57">
            <v>150</v>
          </cell>
          <cell r="EB57">
            <v>44.3</v>
          </cell>
          <cell r="EC57">
            <v>35.9</v>
          </cell>
          <cell r="ED57" t="str">
            <v>35 7/8</v>
          </cell>
          <cell r="EE57">
            <v>0.625</v>
          </cell>
          <cell r="EF57">
            <v>45054</v>
          </cell>
          <cell r="EG57">
            <v>45062</v>
          </cell>
          <cell r="EH57">
            <v>12</v>
          </cell>
          <cell r="EI57">
            <v>12</v>
          </cell>
          <cell r="EJ57">
            <v>0.94</v>
          </cell>
          <cell r="EK57" t="str">
            <v>15/16</v>
          </cell>
          <cell r="EL57">
            <v>6.37</v>
          </cell>
          <cell r="EM57">
            <v>51.9</v>
          </cell>
          <cell r="EN57">
            <v>9040</v>
          </cell>
          <cell r="EO57">
            <v>504</v>
          </cell>
          <cell r="EP57">
            <v>14.3</v>
          </cell>
          <cell r="EQ57">
            <v>581</v>
          </cell>
          <cell r="ER57">
            <v>270</v>
          </cell>
          <cell r="ES57">
            <v>45.1</v>
          </cell>
          <cell r="ET57">
            <v>2.4700000000000002</v>
          </cell>
        </row>
        <row r="58">
          <cell r="B58" t="str">
            <v>L5X5X7/8</v>
          </cell>
          <cell r="C58" t="str">
            <v>L5X5X7/8</v>
          </cell>
          <cell r="D58" t="str">
            <v>F</v>
          </cell>
          <cell r="E58">
            <v>27.2</v>
          </cell>
          <cell r="F58">
            <v>8</v>
          </cell>
          <cell r="G58" t="str">
            <v>L5X5X7/8</v>
          </cell>
          <cell r="H58">
            <v>5</v>
          </cell>
          <cell r="I58" t="str">
            <v>–</v>
          </cell>
          <cell r="J58" t="str">
            <v>–</v>
          </cell>
          <cell r="K58" t="str">
            <v>–</v>
          </cell>
          <cell r="L58" t="str">
            <v>–</v>
          </cell>
          <cell r="M58" t="str">
            <v>–</v>
          </cell>
          <cell r="N58" t="str">
            <v>–</v>
          </cell>
          <cell r="O58" t="str">
            <v>–</v>
          </cell>
          <cell r="P58">
            <v>5</v>
          </cell>
          <cell r="Q58" t="str">
            <v>–</v>
          </cell>
          <cell r="R58" t="str">
            <v>–</v>
          </cell>
          <cell r="S58" t="str">
            <v>–</v>
          </cell>
          <cell r="T58" t="str">
            <v>–</v>
          </cell>
          <cell r="U58" t="str">
            <v>–</v>
          </cell>
          <cell r="V58" t="str">
            <v>–</v>
          </cell>
          <cell r="W58">
            <v>0.875</v>
          </cell>
          <cell r="DZ58" t="str">
            <v>W36X135</v>
          </cell>
          <cell r="EA58">
            <v>135</v>
          </cell>
          <cell r="EB58">
            <v>39.9</v>
          </cell>
          <cell r="EC58">
            <v>35.6</v>
          </cell>
          <cell r="ED58" t="str">
            <v>35 1/2</v>
          </cell>
          <cell r="EE58">
            <v>0.6</v>
          </cell>
          <cell r="EF58">
            <v>45054</v>
          </cell>
          <cell r="EG58">
            <v>45062</v>
          </cell>
          <cell r="EH58">
            <v>12</v>
          </cell>
          <cell r="EI58">
            <v>12</v>
          </cell>
          <cell r="EJ58">
            <v>0.79</v>
          </cell>
          <cell r="EK58" t="str">
            <v>13/16</v>
          </cell>
          <cell r="EL58">
            <v>7.56</v>
          </cell>
          <cell r="EM58">
            <v>54.1</v>
          </cell>
          <cell r="EN58">
            <v>7800</v>
          </cell>
          <cell r="EO58">
            <v>439</v>
          </cell>
          <cell r="EP58">
            <v>14</v>
          </cell>
          <cell r="EQ58">
            <v>509</v>
          </cell>
          <cell r="ER58">
            <v>225</v>
          </cell>
          <cell r="ES58">
            <v>37.700000000000003</v>
          </cell>
          <cell r="ET58">
            <v>2.38</v>
          </cell>
        </row>
        <row r="59">
          <cell r="B59" t="str">
            <v>L5X5X3/4</v>
          </cell>
          <cell r="C59" t="str">
            <v>L5X5X3/4</v>
          </cell>
          <cell r="D59" t="str">
            <v>F</v>
          </cell>
          <cell r="E59">
            <v>23.6</v>
          </cell>
          <cell r="F59">
            <v>6.98</v>
          </cell>
          <cell r="G59" t="str">
            <v>L5X5X3/4</v>
          </cell>
          <cell r="H59">
            <v>5</v>
          </cell>
          <cell r="I59" t="str">
            <v>–</v>
          </cell>
          <cell r="J59" t="str">
            <v>–</v>
          </cell>
          <cell r="K59" t="str">
            <v>–</v>
          </cell>
          <cell r="L59" t="str">
            <v>–</v>
          </cell>
          <cell r="M59" t="str">
            <v>–</v>
          </cell>
          <cell r="N59" t="str">
            <v>–</v>
          </cell>
          <cell r="O59" t="str">
            <v>–</v>
          </cell>
          <cell r="P59">
            <v>5</v>
          </cell>
          <cell r="Q59" t="str">
            <v>–</v>
          </cell>
          <cell r="R59" t="str">
            <v>–</v>
          </cell>
          <cell r="S59" t="str">
            <v>–</v>
          </cell>
          <cell r="T59" t="str">
            <v>–</v>
          </cell>
          <cell r="U59" t="str">
            <v>–</v>
          </cell>
          <cell r="V59" t="str">
            <v>–</v>
          </cell>
          <cell r="W59">
            <v>0.75</v>
          </cell>
          <cell r="DZ59" t="str">
            <v>W33X387</v>
          </cell>
          <cell r="EA59">
            <v>387</v>
          </cell>
          <cell r="EB59">
            <v>114</v>
          </cell>
          <cell r="EC59">
            <v>36</v>
          </cell>
          <cell r="ED59">
            <v>36</v>
          </cell>
          <cell r="EE59">
            <v>1.26</v>
          </cell>
          <cell r="EF59" t="str">
            <v>1 1/4</v>
          </cell>
          <cell r="EG59">
            <v>45054</v>
          </cell>
          <cell r="EH59">
            <v>16.2</v>
          </cell>
          <cell r="EI59" t="str">
            <v>16 1/4</v>
          </cell>
          <cell r="EJ59">
            <v>2.2799999999999998</v>
          </cell>
          <cell r="EK59" t="str">
            <v>2 1/4</v>
          </cell>
          <cell r="EL59">
            <v>3.55</v>
          </cell>
          <cell r="EM59">
            <v>23.7</v>
          </cell>
          <cell r="EN59">
            <v>24300</v>
          </cell>
          <cell r="EO59">
            <v>1350</v>
          </cell>
          <cell r="EP59">
            <v>14.6</v>
          </cell>
          <cell r="EQ59">
            <v>1560</v>
          </cell>
          <cell r="ER59">
            <v>1620</v>
          </cell>
          <cell r="ES59">
            <v>200</v>
          </cell>
          <cell r="ET59">
            <v>3.77</v>
          </cell>
        </row>
        <row r="60">
          <cell r="B60" t="str">
            <v>L5X5X5/8</v>
          </cell>
          <cell r="C60" t="str">
            <v>L5X5X5/8</v>
          </cell>
          <cell r="D60" t="str">
            <v>F</v>
          </cell>
          <cell r="E60">
            <v>20</v>
          </cell>
          <cell r="F60">
            <v>5.9</v>
          </cell>
          <cell r="G60" t="str">
            <v>L5X5X5/8</v>
          </cell>
          <cell r="H60">
            <v>5</v>
          </cell>
          <cell r="I60" t="str">
            <v>–</v>
          </cell>
          <cell r="J60" t="str">
            <v>–</v>
          </cell>
          <cell r="K60" t="str">
            <v>–</v>
          </cell>
          <cell r="L60" t="str">
            <v>–</v>
          </cell>
          <cell r="M60" t="str">
            <v>–</v>
          </cell>
          <cell r="N60" t="str">
            <v>–</v>
          </cell>
          <cell r="O60" t="str">
            <v>–</v>
          </cell>
          <cell r="P60">
            <v>5</v>
          </cell>
          <cell r="Q60" t="str">
            <v>–</v>
          </cell>
          <cell r="R60" t="str">
            <v>–</v>
          </cell>
          <cell r="S60" t="str">
            <v>–</v>
          </cell>
          <cell r="T60" t="str">
            <v>–</v>
          </cell>
          <cell r="U60" t="str">
            <v>–</v>
          </cell>
          <cell r="V60" t="str">
            <v>–</v>
          </cell>
          <cell r="W60">
            <v>0.625</v>
          </cell>
          <cell r="DZ60" t="str">
            <v>W33X354</v>
          </cell>
          <cell r="EA60">
            <v>354</v>
          </cell>
          <cell r="EB60">
            <v>104</v>
          </cell>
          <cell r="EC60">
            <v>35.6</v>
          </cell>
          <cell r="ED60" t="str">
            <v>35 1/2</v>
          </cell>
          <cell r="EE60">
            <v>1.1599999999999999</v>
          </cell>
          <cell r="EF60" t="str">
            <v>1 3/16</v>
          </cell>
          <cell r="EG60">
            <v>45054</v>
          </cell>
          <cell r="EH60">
            <v>16.100000000000001</v>
          </cell>
          <cell r="EI60" t="str">
            <v>16 1/8</v>
          </cell>
          <cell r="EJ60">
            <v>2.09</v>
          </cell>
          <cell r="EK60" t="str">
            <v>2 1/16</v>
          </cell>
          <cell r="EL60">
            <v>3.85</v>
          </cell>
          <cell r="EM60">
            <v>25.7</v>
          </cell>
          <cell r="EN60">
            <v>22000</v>
          </cell>
          <cell r="EO60">
            <v>1240</v>
          </cell>
          <cell r="EP60">
            <v>14.5</v>
          </cell>
          <cell r="EQ60">
            <v>1420</v>
          </cell>
          <cell r="ER60">
            <v>1460</v>
          </cell>
          <cell r="ES60">
            <v>181</v>
          </cell>
          <cell r="ET60">
            <v>3.74</v>
          </cell>
        </row>
        <row r="61">
          <cell r="B61" t="str">
            <v>L5X5X1/2</v>
          </cell>
          <cell r="C61" t="str">
            <v>L5X5X1/2</v>
          </cell>
          <cell r="D61" t="str">
            <v>F</v>
          </cell>
          <cell r="E61">
            <v>16.2</v>
          </cell>
          <cell r="F61">
            <v>4.79</v>
          </cell>
          <cell r="G61" t="str">
            <v>L5X5X1/2</v>
          </cell>
          <cell r="H61">
            <v>5</v>
          </cell>
          <cell r="I61" t="str">
            <v>–</v>
          </cell>
          <cell r="J61" t="str">
            <v>–</v>
          </cell>
          <cell r="K61" t="str">
            <v>–</v>
          </cell>
          <cell r="L61" t="str">
            <v>–</v>
          </cell>
          <cell r="M61" t="str">
            <v>–</v>
          </cell>
          <cell r="N61" t="str">
            <v>–</v>
          </cell>
          <cell r="O61" t="str">
            <v>–</v>
          </cell>
          <cell r="P61">
            <v>5</v>
          </cell>
          <cell r="Q61" t="str">
            <v>–</v>
          </cell>
          <cell r="R61" t="str">
            <v>–</v>
          </cell>
          <cell r="S61" t="str">
            <v>–</v>
          </cell>
          <cell r="T61" t="str">
            <v>–</v>
          </cell>
          <cell r="U61" t="str">
            <v>–</v>
          </cell>
          <cell r="V61" t="str">
            <v>–</v>
          </cell>
          <cell r="W61">
            <v>0.5</v>
          </cell>
          <cell r="DZ61" t="str">
            <v>W33X318</v>
          </cell>
          <cell r="EA61">
            <v>318</v>
          </cell>
          <cell r="EB61">
            <v>93.7</v>
          </cell>
          <cell r="EC61">
            <v>35.200000000000003</v>
          </cell>
          <cell r="ED61" t="str">
            <v>35 1/8</v>
          </cell>
          <cell r="EE61">
            <v>1.04</v>
          </cell>
          <cell r="EF61" t="str">
            <v>1 1/16</v>
          </cell>
          <cell r="EG61">
            <v>45185</v>
          </cell>
          <cell r="EH61">
            <v>16</v>
          </cell>
          <cell r="EI61">
            <v>16</v>
          </cell>
          <cell r="EJ61">
            <v>1.89</v>
          </cell>
          <cell r="EK61" t="str">
            <v>1 7/8</v>
          </cell>
          <cell r="EL61">
            <v>4.2300000000000004</v>
          </cell>
          <cell r="EM61">
            <v>28.7</v>
          </cell>
          <cell r="EN61">
            <v>19500</v>
          </cell>
          <cell r="EO61">
            <v>1110</v>
          </cell>
          <cell r="EP61">
            <v>14.5</v>
          </cell>
          <cell r="EQ61">
            <v>1270</v>
          </cell>
          <cell r="ER61">
            <v>1290</v>
          </cell>
          <cell r="ES61">
            <v>161</v>
          </cell>
          <cell r="ET61">
            <v>3.71</v>
          </cell>
        </row>
        <row r="62">
          <cell r="B62" t="str">
            <v>L5X5X7/16</v>
          </cell>
          <cell r="C62" t="str">
            <v>L5X5X7/16</v>
          </cell>
          <cell r="D62" t="str">
            <v>F</v>
          </cell>
          <cell r="E62">
            <v>14.3</v>
          </cell>
          <cell r="F62">
            <v>4.22</v>
          </cell>
          <cell r="G62" t="str">
            <v>L5X5X7/16</v>
          </cell>
          <cell r="H62">
            <v>5</v>
          </cell>
          <cell r="I62" t="str">
            <v>–</v>
          </cell>
          <cell r="J62" t="str">
            <v>–</v>
          </cell>
          <cell r="K62" t="str">
            <v>–</v>
          </cell>
          <cell r="L62" t="str">
            <v>–</v>
          </cell>
          <cell r="M62" t="str">
            <v>–</v>
          </cell>
          <cell r="N62" t="str">
            <v>–</v>
          </cell>
          <cell r="O62" t="str">
            <v>–</v>
          </cell>
          <cell r="P62">
            <v>5</v>
          </cell>
          <cell r="Q62" t="str">
            <v>–</v>
          </cell>
          <cell r="R62" t="str">
            <v>–</v>
          </cell>
          <cell r="S62" t="str">
            <v>–</v>
          </cell>
          <cell r="T62" t="str">
            <v>–</v>
          </cell>
          <cell r="U62" t="str">
            <v>–</v>
          </cell>
          <cell r="V62" t="str">
            <v>–</v>
          </cell>
          <cell r="W62">
            <v>0.438</v>
          </cell>
          <cell r="DZ62" t="str">
            <v>W33X291</v>
          </cell>
          <cell r="EA62">
            <v>291</v>
          </cell>
          <cell r="EB62">
            <v>85.6</v>
          </cell>
          <cell r="EC62">
            <v>34.799999999999997</v>
          </cell>
          <cell r="ED62" t="str">
            <v>34 7/8</v>
          </cell>
          <cell r="EE62">
            <v>0.96</v>
          </cell>
          <cell r="EF62" t="str">
            <v>15/16</v>
          </cell>
          <cell r="EG62">
            <v>44928</v>
          </cell>
          <cell r="EH62">
            <v>15.9</v>
          </cell>
          <cell r="EI62" t="str">
            <v>15 7/8</v>
          </cell>
          <cell r="EJ62">
            <v>1.73</v>
          </cell>
          <cell r="EK62" t="str">
            <v>1 3/4</v>
          </cell>
          <cell r="EL62">
            <v>4.5999999999999996</v>
          </cell>
          <cell r="EM62">
            <v>31</v>
          </cell>
          <cell r="EN62">
            <v>17700</v>
          </cell>
          <cell r="EO62">
            <v>1020</v>
          </cell>
          <cell r="EP62">
            <v>14.4</v>
          </cell>
          <cell r="EQ62">
            <v>1160</v>
          </cell>
          <cell r="ER62">
            <v>1160</v>
          </cell>
          <cell r="ES62">
            <v>146</v>
          </cell>
          <cell r="ET62">
            <v>3.68</v>
          </cell>
        </row>
        <row r="63">
          <cell r="B63" t="str">
            <v>L5X5X3/8</v>
          </cell>
          <cell r="C63" t="str">
            <v>L5X5X3/8</v>
          </cell>
          <cell r="D63" t="str">
            <v>F</v>
          </cell>
          <cell r="E63">
            <v>12.3</v>
          </cell>
          <cell r="F63">
            <v>3.65</v>
          </cell>
          <cell r="G63" t="str">
            <v>L5X5X3/8</v>
          </cell>
          <cell r="H63">
            <v>5</v>
          </cell>
          <cell r="I63" t="str">
            <v>–</v>
          </cell>
          <cell r="J63" t="str">
            <v>–</v>
          </cell>
          <cell r="K63" t="str">
            <v>–</v>
          </cell>
          <cell r="L63" t="str">
            <v>–</v>
          </cell>
          <cell r="M63" t="str">
            <v>–</v>
          </cell>
          <cell r="N63" t="str">
            <v>–</v>
          </cell>
          <cell r="O63" t="str">
            <v>–</v>
          </cell>
          <cell r="P63">
            <v>5</v>
          </cell>
          <cell r="Q63" t="str">
            <v>–</v>
          </cell>
          <cell r="R63" t="str">
            <v>–</v>
          </cell>
          <cell r="S63" t="str">
            <v>–</v>
          </cell>
          <cell r="T63" t="str">
            <v>–</v>
          </cell>
          <cell r="U63" t="str">
            <v>–</v>
          </cell>
          <cell r="V63" t="str">
            <v>–</v>
          </cell>
          <cell r="W63">
            <v>0.375</v>
          </cell>
          <cell r="DZ63" t="str">
            <v>W33X263</v>
          </cell>
          <cell r="EA63">
            <v>263</v>
          </cell>
          <cell r="EB63">
            <v>77.400000000000006</v>
          </cell>
          <cell r="EC63">
            <v>34.5</v>
          </cell>
          <cell r="ED63" t="str">
            <v>34 1/2</v>
          </cell>
          <cell r="EE63">
            <v>0.87</v>
          </cell>
          <cell r="EF63">
            <v>45115</v>
          </cell>
          <cell r="EG63">
            <v>45123</v>
          </cell>
          <cell r="EH63">
            <v>15.8</v>
          </cell>
          <cell r="EI63" t="str">
            <v>15 3/4</v>
          </cell>
          <cell r="EJ63">
            <v>1.57</v>
          </cell>
          <cell r="EK63" t="str">
            <v>1 9/16</v>
          </cell>
          <cell r="EL63">
            <v>5.03</v>
          </cell>
          <cell r="EM63">
            <v>34.299999999999997</v>
          </cell>
          <cell r="EN63">
            <v>15900</v>
          </cell>
          <cell r="EO63">
            <v>919</v>
          </cell>
          <cell r="EP63">
            <v>14.3</v>
          </cell>
          <cell r="EQ63">
            <v>1040</v>
          </cell>
          <cell r="ER63">
            <v>1040</v>
          </cell>
          <cell r="ES63">
            <v>131</v>
          </cell>
          <cell r="ET63">
            <v>3.66</v>
          </cell>
        </row>
        <row r="64">
          <cell r="B64" t="str">
            <v>L5X5X5/16</v>
          </cell>
          <cell r="C64" t="str">
            <v>L5X5X5/16</v>
          </cell>
          <cell r="D64" t="str">
            <v>F</v>
          </cell>
          <cell r="E64">
            <v>10.3</v>
          </cell>
          <cell r="F64">
            <v>3.07</v>
          </cell>
          <cell r="G64" t="str">
            <v>L5X5X5/16</v>
          </cell>
          <cell r="H64">
            <v>5</v>
          </cell>
          <cell r="I64" t="str">
            <v>–</v>
          </cell>
          <cell r="J64" t="str">
            <v>–</v>
          </cell>
          <cell r="K64" t="str">
            <v>–</v>
          </cell>
          <cell r="L64" t="str">
            <v>–</v>
          </cell>
          <cell r="M64" t="str">
            <v>–</v>
          </cell>
          <cell r="N64" t="str">
            <v>–</v>
          </cell>
          <cell r="O64" t="str">
            <v>–</v>
          </cell>
          <cell r="P64">
            <v>5</v>
          </cell>
          <cell r="Q64" t="str">
            <v>–</v>
          </cell>
          <cell r="R64" t="str">
            <v>–</v>
          </cell>
          <cell r="S64" t="str">
            <v>–</v>
          </cell>
          <cell r="T64" t="str">
            <v>–</v>
          </cell>
          <cell r="U64" t="str">
            <v>–</v>
          </cell>
          <cell r="V64" t="str">
            <v>–</v>
          </cell>
          <cell r="W64">
            <v>0.313</v>
          </cell>
          <cell r="DZ64" t="str">
            <v>W33X241</v>
          </cell>
          <cell r="EA64">
            <v>241</v>
          </cell>
          <cell r="EB64">
            <v>71.099999999999994</v>
          </cell>
          <cell r="EC64">
            <v>34.200000000000003</v>
          </cell>
          <cell r="ED64" t="str">
            <v>34 1/8</v>
          </cell>
          <cell r="EE64">
            <v>0.83</v>
          </cell>
          <cell r="EF64" t="str">
            <v>13/16</v>
          </cell>
          <cell r="EG64">
            <v>45123</v>
          </cell>
          <cell r="EH64">
            <v>15.9</v>
          </cell>
          <cell r="EI64" t="str">
            <v>15 7/8</v>
          </cell>
          <cell r="EJ64">
            <v>1.4</v>
          </cell>
          <cell r="EK64" t="str">
            <v>1 3/8</v>
          </cell>
          <cell r="EL64">
            <v>5.66</v>
          </cell>
          <cell r="EM64">
            <v>35.9</v>
          </cell>
          <cell r="EN64">
            <v>14200</v>
          </cell>
          <cell r="EO64">
            <v>831</v>
          </cell>
          <cell r="EP64">
            <v>14.1</v>
          </cell>
          <cell r="EQ64">
            <v>940</v>
          </cell>
          <cell r="ER64">
            <v>933</v>
          </cell>
          <cell r="ES64">
            <v>118</v>
          </cell>
          <cell r="ET64">
            <v>3.62</v>
          </cell>
        </row>
        <row r="65">
          <cell r="B65" t="str">
            <v>L5X3-1/2X3/4</v>
          </cell>
          <cell r="C65" t="str">
            <v>L5X3-1/2X3/4</v>
          </cell>
          <cell r="D65" t="str">
            <v>F</v>
          </cell>
          <cell r="E65">
            <v>19.8</v>
          </cell>
          <cell r="F65">
            <v>5.85</v>
          </cell>
          <cell r="G65" t="str">
            <v>L5X3-1/2X3/4</v>
          </cell>
          <cell r="H65">
            <v>3.5</v>
          </cell>
          <cell r="I65" t="str">
            <v>–</v>
          </cell>
          <cell r="J65" t="str">
            <v>–</v>
          </cell>
          <cell r="K65" t="str">
            <v>–</v>
          </cell>
          <cell r="L65" t="str">
            <v>–</v>
          </cell>
          <cell r="M65" t="str">
            <v>–</v>
          </cell>
          <cell r="N65" t="str">
            <v>–</v>
          </cell>
          <cell r="O65" t="str">
            <v>–</v>
          </cell>
          <cell r="P65">
            <v>5</v>
          </cell>
          <cell r="Q65" t="str">
            <v>–</v>
          </cell>
          <cell r="R65" t="str">
            <v>–</v>
          </cell>
          <cell r="S65" t="str">
            <v>–</v>
          </cell>
          <cell r="T65" t="str">
            <v>–</v>
          </cell>
          <cell r="U65" t="str">
            <v>–</v>
          </cell>
          <cell r="V65" t="str">
            <v>–</v>
          </cell>
          <cell r="W65">
            <v>0.75</v>
          </cell>
          <cell r="DZ65" t="str">
            <v>W33X221</v>
          </cell>
          <cell r="EA65">
            <v>221</v>
          </cell>
          <cell r="EB65">
            <v>65.3</v>
          </cell>
          <cell r="EC65">
            <v>33.9</v>
          </cell>
          <cell r="ED65" t="str">
            <v>33 7/8</v>
          </cell>
          <cell r="EE65">
            <v>0.77500000000000002</v>
          </cell>
          <cell r="EF65">
            <v>44989</v>
          </cell>
          <cell r="EG65">
            <v>44993</v>
          </cell>
          <cell r="EH65">
            <v>15.8</v>
          </cell>
          <cell r="EI65" t="str">
            <v>15 3/4</v>
          </cell>
          <cell r="EJ65">
            <v>1.28</v>
          </cell>
          <cell r="EK65" t="str">
            <v>1 1/4</v>
          </cell>
          <cell r="EL65">
            <v>6.2</v>
          </cell>
          <cell r="EM65">
            <v>38.5</v>
          </cell>
          <cell r="EN65">
            <v>12900</v>
          </cell>
          <cell r="EO65">
            <v>759</v>
          </cell>
          <cell r="EP65">
            <v>14.1</v>
          </cell>
          <cell r="EQ65">
            <v>857</v>
          </cell>
          <cell r="ER65">
            <v>840</v>
          </cell>
          <cell r="ES65">
            <v>106</v>
          </cell>
          <cell r="ET65">
            <v>3.59</v>
          </cell>
        </row>
        <row r="66">
          <cell r="B66" t="str">
            <v>L5X3-1/2X5/8</v>
          </cell>
          <cell r="C66" t="str">
            <v>L5X3-1/2X5/8</v>
          </cell>
          <cell r="D66" t="str">
            <v>F</v>
          </cell>
          <cell r="E66">
            <v>16.8</v>
          </cell>
          <cell r="F66">
            <v>4.93</v>
          </cell>
          <cell r="G66" t="str">
            <v>L5X3-1/2X5/8</v>
          </cell>
          <cell r="H66">
            <v>3.5</v>
          </cell>
          <cell r="I66" t="str">
            <v>–</v>
          </cell>
          <cell r="J66" t="str">
            <v>–</v>
          </cell>
          <cell r="K66" t="str">
            <v>–</v>
          </cell>
          <cell r="L66" t="str">
            <v>–</v>
          </cell>
          <cell r="M66" t="str">
            <v>–</v>
          </cell>
          <cell r="N66" t="str">
            <v>–</v>
          </cell>
          <cell r="O66" t="str">
            <v>–</v>
          </cell>
          <cell r="P66">
            <v>5</v>
          </cell>
          <cell r="Q66" t="str">
            <v>–</v>
          </cell>
          <cell r="R66" t="str">
            <v>–</v>
          </cell>
          <cell r="S66" t="str">
            <v>–</v>
          </cell>
          <cell r="T66" t="str">
            <v>–</v>
          </cell>
          <cell r="U66" t="str">
            <v>–</v>
          </cell>
          <cell r="V66" t="str">
            <v>–</v>
          </cell>
          <cell r="W66">
            <v>0.625</v>
          </cell>
          <cell r="DZ66" t="str">
            <v>W33X201</v>
          </cell>
          <cell r="EA66">
            <v>201</v>
          </cell>
          <cell r="EB66">
            <v>59.1</v>
          </cell>
          <cell r="EC66">
            <v>33.700000000000003</v>
          </cell>
          <cell r="ED66" t="str">
            <v>33 5/8</v>
          </cell>
          <cell r="EE66">
            <v>0.71499999999999997</v>
          </cell>
          <cell r="EF66">
            <v>45246</v>
          </cell>
          <cell r="EG66">
            <v>44993</v>
          </cell>
          <cell r="EH66">
            <v>15.7</v>
          </cell>
          <cell r="EI66" t="str">
            <v>15 3/4</v>
          </cell>
          <cell r="EJ66">
            <v>1.1499999999999999</v>
          </cell>
          <cell r="EK66" t="str">
            <v>1 1/8</v>
          </cell>
          <cell r="EL66">
            <v>6.85</v>
          </cell>
          <cell r="EM66">
            <v>41.7</v>
          </cell>
          <cell r="EN66">
            <v>11600</v>
          </cell>
          <cell r="EO66">
            <v>686</v>
          </cell>
          <cell r="EP66">
            <v>14</v>
          </cell>
          <cell r="EQ66">
            <v>773</v>
          </cell>
          <cell r="ER66">
            <v>749</v>
          </cell>
          <cell r="ES66">
            <v>95.2</v>
          </cell>
          <cell r="ET66">
            <v>3.56</v>
          </cell>
        </row>
        <row r="67">
          <cell r="B67" t="str">
            <v>L5X3-1/2X1/2</v>
          </cell>
          <cell r="C67" t="str">
            <v>L5X3-1/2X1/2</v>
          </cell>
          <cell r="D67" t="str">
            <v>F</v>
          </cell>
          <cell r="E67">
            <v>13.6</v>
          </cell>
          <cell r="F67">
            <v>4</v>
          </cell>
          <cell r="G67" t="str">
            <v>L5X3-1/2X1/2</v>
          </cell>
          <cell r="H67">
            <v>3.5</v>
          </cell>
          <cell r="I67" t="str">
            <v>–</v>
          </cell>
          <cell r="J67" t="str">
            <v>–</v>
          </cell>
          <cell r="K67" t="str">
            <v>–</v>
          </cell>
          <cell r="L67" t="str">
            <v>–</v>
          </cell>
          <cell r="M67" t="str">
            <v>–</v>
          </cell>
          <cell r="N67" t="str">
            <v>–</v>
          </cell>
          <cell r="O67" t="str">
            <v>–</v>
          </cell>
          <cell r="P67">
            <v>5</v>
          </cell>
          <cell r="Q67" t="str">
            <v>–</v>
          </cell>
          <cell r="R67" t="str">
            <v>–</v>
          </cell>
          <cell r="S67" t="str">
            <v>–</v>
          </cell>
          <cell r="T67" t="str">
            <v>–</v>
          </cell>
          <cell r="U67" t="str">
            <v>–</v>
          </cell>
          <cell r="V67" t="str">
            <v>–</v>
          </cell>
          <cell r="W67">
            <v>0.5</v>
          </cell>
          <cell r="DZ67" t="str">
            <v>W33X169</v>
          </cell>
          <cell r="EA67">
            <v>169</v>
          </cell>
          <cell r="EB67">
            <v>49.5</v>
          </cell>
          <cell r="EC67">
            <v>33.799999999999997</v>
          </cell>
          <cell r="ED67" t="str">
            <v>33 7/8</v>
          </cell>
          <cell r="EE67">
            <v>0.67</v>
          </cell>
          <cell r="EF67">
            <v>45246</v>
          </cell>
          <cell r="EG67">
            <v>44993</v>
          </cell>
          <cell r="EH67">
            <v>11.5</v>
          </cell>
          <cell r="EI67" t="str">
            <v>11 1/2</v>
          </cell>
          <cell r="EJ67">
            <v>1.22</v>
          </cell>
          <cell r="EK67" t="str">
            <v>1 1/4</v>
          </cell>
          <cell r="EL67">
            <v>4.71</v>
          </cell>
          <cell r="EM67">
            <v>44.7</v>
          </cell>
          <cell r="EN67">
            <v>9290</v>
          </cell>
          <cell r="EO67">
            <v>549</v>
          </cell>
          <cell r="EP67">
            <v>13.7</v>
          </cell>
          <cell r="EQ67">
            <v>629</v>
          </cell>
          <cell r="ER67">
            <v>310</v>
          </cell>
          <cell r="ES67">
            <v>53.9</v>
          </cell>
          <cell r="ET67">
            <v>2.5</v>
          </cell>
        </row>
        <row r="68">
          <cell r="B68" t="str">
            <v>L5X3-1/2X3/8</v>
          </cell>
          <cell r="C68" t="str">
            <v>L5X3-1/2X3/8</v>
          </cell>
          <cell r="D68" t="str">
            <v>F</v>
          </cell>
          <cell r="E68">
            <v>10.4</v>
          </cell>
          <cell r="F68">
            <v>3.05</v>
          </cell>
          <cell r="G68" t="str">
            <v>L5X3-1/2X3/8</v>
          </cell>
          <cell r="H68">
            <v>3.5</v>
          </cell>
          <cell r="I68" t="str">
            <v>–</v>
          </cell>
          <cell r="J68" t="str">
            <v>–</v>
          </cell>
          <cell r="K68" t="str">
            <v>–</v>
          </cell>
          <cell r="L68" t="str">
            <v>–</v>
          </cell>
          <cell r="M68" t="str">
            <v>–</v>
          </cell>
          <cell r="N68" t="str">
            <v>–</v>
          </cell>
          <cell r="O68" t="str">
            <v>–</v>
          </cell>
          <cell r="P68">
            <v>5</v>
          </cell>
          <cell r="Q68" t="str">
            <v>–</v>
          </cell>
          <cell r="R68" t="str">
            <v>–</v>
          </cell>
          <cell r="S68" t="str">
            <v>–</v>
          </cell>
          <cell r="T68" t="str">
            <v>–</v>
          </cell>
          <cell r="U68" t="str">
            <v>–</v>
          </cell>
          <cell r="V68" t="str">
            <v>–</v>
          </cell>
          <cell r="W68">
            <v>0.375</v>
          </cell>
          <cell r="DZ68" t="str">
            <v>W33X152</v>
          </cell>
          <cell r="EA68">
            <v>152</v>
          </cell>
          <cell r="EB68">
            <v>44.9</v>
          </cell>
          <cell r="EC68">
            <v>33.5</v>
          </cell>
          <cell r="ED68" t="str">
            <v>33 1/2</v>
          </cell>
          <cell r="EE68">
            <v>0.63500000000000001</v>
          </cell>
          <cell r="EF68">
            <v>45054</v>
          </cell>
          <cell r="EG68">
            <v>45062</v>
          </cell>
          <cell r="EH68">
            <v>11.6</v>
          </cell>
          <cell r="EI68" t="str">
            <v>11 5/8</v>
          </cell>
          <cell r="EJ68">
            <v>1.06</v>
          </cell>
          <cell r="EK68" t="str">
            <v>1 1/16</v>
          </cell>
          <cell r="EL68">
            <v>5.48</v>
          </cell>
          <cell r="EM68">
            <v>47.2</v>
          </cell>
          <cell r="EN68">
            <v>8160</v>
          </cell>
          <cell r="EO68">
            <v>487</v>
          </cell>
          <cell r="EP68">
            <v>13.5</v>
          </cell>
          <cell r="EQ68">
            <v>559</v>
          </cell>
          <cell r="ER68">
            <v>273</v>
          </cell>
          <cell r="ES68">
            <v>47.2</v>
          </cell>
          <cell r="ET68">
            <v>2.4700000000000002</v>
          </cell>
        </row>
        <row r="69">
          <cell r="B69" t="str">
            <v>L5X3-1/2X5/16</v>
          </cell>
          <cell r="C69" t="str">
            <v>L5X3-1/2X5/16</v>
          </cell>
          <cell r="D69" t="str">
            <v>F</v>
          </cell>
          <cell r="E69">
            <v>8.6999999999999993</v>
          </cell>
          <cell r="F69">
            <v>2.56</v>
          </cell>
          <cell r="G69" t="str">
            <v>L5X3-1/2X5/16</v>
          </cell>
          <cell r="H69">
            <v>3.5</v>
          </cell>
          <cell r="I69" t="str">
            <v>–</v>
          </cell>
          <cell r="J69" t="str">
            <v>–</v>
          </cell>
          <cell r="K69" t="str">
            <v>–</v>
          </cell>
          <cell r="L69" t="str">
            <v>–</v>
          </cell>
          <cell r="M69" t="str">
            <v>–</v>
          </cell>
          <cell r="N69" t="str">
            <v>–</v>
          </cell>
          <cell r="O69" t="str">
            <v>–</v>
          </cell>
          <cell r="P69">
            <v>5</v>
          </cell>
          <cell r="Q69" t="str">
            <v>–</v>
          </cell>
          <cell r="R69" t="str">
            <v>–</v>
          </cell>
          <cell r="S69" t="str">
            <v>–</v>
          </cell>
          <cell r="T69" t="str">
            <v>–</v>
          </cell>
          <cell r="U69" t="str">
            <v>–</v>
          </cell>
          <cell r="V69" t="str">
            <v>–</v>
          </cell>
          <cell r="W69">
            <v>0.313</v>
          </cell>
          <cell r="DZ69" t="str">
            <v>W33X141</v>
          </cell>
          <cell r="EA69">
            <v>141</v>
          </cell>
          <cell r="EB69">
            <v>41.5</v>
          </cell>
          <cell r="EC69">
            <v>33.299999999999997</v>
          </cell>
          <cell r="ED69" t="str">
            <v>33 1/4</v>
          </cell>
          <cell r="EE69">
            <v>0.60499999999999998</v>
          </cell>
          <cell r="EF69">
            <v>45054</v>
          </cell>
          <cell r="EG69">
            <v>45062</v>
          </cell>
          <cell r="EH69">
            <v>11.5</v>
          </cell>
          <cell r="EI69" t="str">
            <v>11 1/2</v>
          </cell>
          <cell r="EJ69">
            <v>0.96</v>
          </cell>
          <cell r="EK69" t="str">
            <v>15/16</v>
          </cell>
          <cell r="EL69">
            <v>6.01</v>
          </cell>
          <cell r="EM69">
            <v>49.6</v>
          </cell>
          <cell r="EN69">
            <v>7450</v>
          </cell>
          <cell r="EO69">
            <v>448</v>
          </cell>
          <cell r="EP69">
            <v>13.4</v>
          </cell>
          <cell r="EQ69">
            <v>514</v>
          </cell>
          <cell r="ER69">
            <v>246</v>
          </cell>
          <cell r="ES69">
            <v>42.7</v>
          </cell>
          <cell r="ET69">
            <v>2.4300000000000002</v>
          </cell>
        </row>
        <row r="70">
          <cell r="B70" t="str">
            <v>L5X3-1/2X1/4</v>
          </cell>
          <cell r="C70" t="str">
            <v>L5X3-1/2X1/4</v>
          </cell>
          <cell r="D70" t="str">
            <v>F</v>
          </cell>
          <cell r="E70">
            <v>7</v>
          </cell>
          <cell r="F70">
            <v>2.0699999999999998</v>
          </cell>
          <cell r="G70" t="str">
            <v>L5X3-1/2X1/4</v>
          </cell>
          <cell r="H70">
            <v>3.5</v>
          </cell>
          <cell r="I70" t="str">
            <v>–</v>
          </cell>
          <cell r="J70" t="str">
            <v>–</v>
          </cell>
          <cell r="K70" t="str">
            <v>–</v>
          </cell>
          <cell r="L70" t="str">
            <v>–</v>
          </cell>
          <cell r="M70" t="str">
            <v>–</v>
          </cell>
          <cell r="N70" t="str">
            <v>–</v>
          </cell>
          <cell r="O70" t="str">
            <v>–</v>
          </cell>
          <cell r="P70">
            <v>5</v>
          </cell>
          <cell r="Q70" t="str">
            <v>–</v>
          </cell>
          <cell r="R70" t="str">
            <v>–</v>
          </cell>
          <cell r="S70" t="str">
            <v>–</v>
          </cell>
          <cell r="T70" t="str">
            <v>–</v>
          </cell>
          <cell r="U70" t="str">
            <v>–</v>
          </cell>
          <cell r="V70" t="str">
            <v>–</v>
          </cell>
          <cell r="W70">
            <v>0.25</v>
          </cell>
          <cell r="DZ70" t="str">
            <v>W33X130</v>
          </cell>
          <cell r="EA70">
            <v>130</v>
          </cell>
          <cell r="EB70">
            <v>38.299999999999997</v>
          </cell>
          <cell r="EC70">
            <v>33.1</v>
          </cell>
          <cell r="ED70" t="str">
            <v>33 1/8</v>
          </cell>
          <cell r="EE70">
            <v>0.57999999999999996</v>
          </cell>
          <cell r="EF70">
            <v>45185</v>
          </cell>
          <cell r="EG70">
            <v>45062</v>
          </cell>
          <cell r="EH70">
            <v>11.5</v>
          </cell>
          <cell r="EI70" t="str">
            <v>11 1/2</v>
          </cell>
          <cell r="EJ70">
            <v>0.85499999999999998</v>
          </cell>
          <cell r="EK70">
            <v>45115</v>
          </cell>
          <cell r="EL70">
            <v>6.73</v>
          </cell>
          <cell r="EM70">
            <v>51.7</v>
          </cell>
          <cell r="EN70">
            <v>6710</v>
          </cell>
          <cell r="EO70">
            <v>406</v>
          </cell>
          <cell r="EP70">
            <v>13.2</v>
          </cell>
          <cell r="EQ70">
            <v>467</v>
          </cell>
          <cell r="ER70">
            <v>218</v>
          </cell>
          <cell r="ES70">
            <v>37.9</v>
          </cell>
          <cell r="ET70">
            <v>2.39</v>
          </cell>
        </row>
        <row r="71">
          <cell r="B71" t="str">
            <v>L5X3X1/2</v>
          </cell>
          <cell r="C71" t="str">
            <v>L5X3X1/2</v>
          </cell>
          <cell r="D71" t="str">
            <v>F</v>
          </cell>
          <cell r="E71">
            <v>12.8</v>
          </cell>
          <cell r="F71">
            <v>3.75</v>
          </cell>
          <cell r="G71" t="str">
            <v>L5X3X1/2</v>
          </cell>
          <cell r="H71">
            <v>3</v>
          </cell>
          <cell r="I71" t="str">
            <v>–</v>
          </cell>
          <cell r="J71" t="str">
            <v>–</v>
          </cell>
          <cell r="K71" t="str">
            <v>–</v>
          </cell>
          <cell r="L71" t="str">
            <v>–</v>
          </cell>
          <cell r="M71" t="str">
            <v>–</v>
          </cell>
          <cell r="N71" t="str">
            <v>–</v>
          </cell>
          <cell r="O71" t="str">
            <v>–</v>
          </cell>
          <cell r="P71">
            <v>5</v>
          </cell>
          <cell r="Q71" t="str">
            <v>–</v>
          </cell>
          <cell r="R71" t="str">
            <v>–</v>
          </cell>
          <cell r="S71" t="str">
            <v>–</v>
          </cell>
          <cell r="T71" t="str">
            <v>–</v>
          </cell>
          <cell r="U71" t="str">
            <v>–</v>
          </cell>
          <cell r="V71" t="str">
            <v>–</v>
          </cell>
          <cell r="W71">
            <v>0.5</v>
          </cell>
          <cell r="DZ71" t="str">
            <v>W33X118</v>
          </cell>
          <cell r="EA71">
            <v>118</v>
          </cell>
          <cell r="EB71">
            <v>34.700000000000003</v>
          </cell>
          <cell r="EC71">
            <v>32.9</v>
          </cell>
          <cell r="ED71" t="str">
            <v>32 7/8</v>
          </cell>
          <cell r="EE71">
            <v>0.55000000000000004</v>
          </cell>
          <cell r="EF71">
            <v>45185</v>
          </cell>
          <cell r="EG71">
            <v>45062</v>
          </cell>
          <cell r="EH71">
            <v>11.5</v>
          </cell>
          <cell r="EI71" t="str">
            <v>11 1/2</v>
          </cell>
          <cell r="EJ71">
            <v>0.74</v>
          </cell>
          <cell r="EK71">
            <v>44989</v>
          </cell>
          <cell r="EL71">
            <v>7.76</v>
          </cell>
          <cell r="EM71">
            <v>54.5</v>
          </cell>
          <cell r="EN71">
            <v>5900</v>
          </cell>
          <cell r="EO71">
            <v>359</v>
          </cell>
          <cell r="EP71">
            <v>13</v>
          </cell>
          <cell r="EQ71">
            <v>415</v>
          </cell>
          <cell r="ER71">
            <v>187</v>
          </cell>
          <cell r="ES71">
            <v>32.6</v>
          </cell>
          <cell r="ET71">
            <v>2.3199999999999998</v>
          </cell>
        </row>
        <row r="72">
          <cell r="B72" t="str">
            <v>L5X3X7/16</v>
          </cell>
          <cell r="C72" t="str">
            <v>L5X3X7/16</v>
          </cell>
          <cell r="D72" t="str">
            <v>F</v>
          </cell>
          <cell r="E72">
            <v>11.3</v>
          </cell>
          <cell r="F72">
            <v>3.31</v>
          </cell>
          <cell r="G72" t="str">
            <v>L5X3X7/16</v>
          </cell>
          <cell r="H72">
            <v>3</v>
          </cell>
          <cell r="I72" t="str">
            <v>–</v>
          </cell>
          <cell r="J72" t="str">
            <v>–</v>
          </cell>
          <cell r="K72" t="str">
            <v>–</v>
          </cell>
          <cell r="L72" t="str">
            <v>–</v>
          </cell>
          <cell r="M72" t="str">
            <v>–</v>
          </cell>
          <cell r="N72" t="str">
            <v>–</v>
          </cell>
          <cell r="O72" t="str">
            <v>–</v>
          </cell>
          <cell r="P72">
            <v>5</v>
          </cell>
          <cell r="Q72" t="str">
            <v>–</v>
          </cell>
          <cell r="R72" t="str">
            <v>–</v>
          </cell>
          <cell r="S72" t="str">
            <v>–</v>
          </cell>
          <cell r="T72" t="str">
            <v>–</v>
          </cell>
          <cell r="U72" t="str">
            <v>–</v>
          </cell>
          <cell r="V72" t="str">
            <v>–</v>
          </cell>
          <cell r="W72">
            <v>0.438</v>
          </cell>
          <cell r="DZ72" t="str">
            <v>W30X391</v>
          </cell>
          <cell r="EA72">
            <v>391</v>
          </cell>
          <cell r="EB72">
            <v>115</v>
          </cell>
          <cell r="EC72">
            <v>33.200000000000003</v>
          </cell>
          <cell r="ED72" t="str">
            <v>33 1/4</v>
          </cell>
          <cell r="EE72">
            <v>1.36</v>
          </cell>
          <cell r="EF72" t="str">
            <v>1 3/8</v>
          </cell>
          <cell r="EG72">
            <v>45246</v>
          </cell>
          <cell r="EH72">
            <v>15.6</v>
          </cell>
          <cell r="EI72" t="str">
            <v>15 5/8</v>
          </cell>
          <cell r="EJ72">
            <v>2.44</v>
          </cell>
          <cell r="EK72" t="str">
            <v>2 7/16</v>
          </cell>
          <cell r="EL72">
            <v>3.19</v>
          </cell>
          <cell r="EM72">
            <v>19.7</v>
          </cell>
          <cell r="EN72">
            <v>20700</v>
          </cell>
          <cell r="EO72">
            <v>1250</v>
          </cell>
          <cell r="EP72">
            <v>13.4</v>
          </cell>
          <cell r="EQ72">
            <v>1450</v>
          </cell>
          <cell r="ER72">
            <v>1550</v>
          </cell>
          <cell r="ES72">
            <v>198</v>
          </cell>
          <cell r="ET72">
            <v>3.67</v>
          </cell>
        </row>
        <row r="73">
          <cell r="B73" t="str">
            <v>L5X3X3/8</v>
          </cell>
          <cell r="C73" t="str">
            <v>L5X3X3/8</v>
          </cell>
          <cell r="D73" t="str">
            <v>F</v>
          </cell>
          <cell r="E73">
            <v>9.8000000000000007</v>
          </cell>
          <cell r="F73">
            <v>2.86</v>
          </cell>
          <cell r="G73" t="str">
            <v>L5X3X3/8</v>
          </cell>
          <cell r="H73">
            <v>3</v>
          </cell>
          <cell r="I73" t="str">
            <v>–</v>
          </cell>
          <cell r="J73" t="str">
            <v>–</v>
          </cell>
          <cell r="K73" t="str">
            <v>–</v>
          </cell>
          <cell r="L73" t="str">
            <v>–</v>
          </cell>
          <cell r="M73" t="str">
            <v>–</v>
          </cell>
          <cell r="N73" t="str">
            <v>–</v>
          </cell>
          <cell r="O73" t="str">
            <v>–</v>
          </cell>
          <cell r="P73">
            <v>5</v>
          </cell>
          <cell r="Q73" t="str">
            <v>–</v>
          </cell>
          <cell r="R73" t="str">
            <v>–</v>
          </cell>
          <cell r="S73" t="str">
            <v>–</v>
          </cell>
          <cell r="T73" t="str">
            <v>–</v>
          </cell>
          <cell r="U73" t="str">
            <v>–</v>
          </cell>
          <cell r="V73" t="str">
            <v>–</v>
          </cell>
          <cell r="W73">
            <v>0.375</v>
          </cell>
          <cell r="DZ73" t="str">
            <v>W30X357</v>
          </cell>
          <cell r="EA73">
            <v>357</v>
          </cell>
          <cell r="EB73">
            <v>105</v>
          </cell>
          <cell r="EC73">
            <v>32.799999999999997</v>
          </cell>
          <cell r="ED73" t="str">
            <v>32 3/4</v>
          </cell>
          <cell r="EE73">
            <v>1.24</v>
          </cell>
          <cell r="EF73" t="str">
            <v>1 1/4</v>
          </cell>
          <cell r="EG73">
            <v>45054</v>
          </cell>
          <cell r="EH73">
            <v>15.5</v>
          </cell>
          <cell r="EI73" t="str">
            <v>15 1/2</v>
          </cell>
          <cell r="EJ73">
            <v>2.2400000000000002</v>
          </cell>
          <cell r="EK73" t="str">
            <v>2 1/4</v>
          </cell>
          <cell r="EL73">
            <v>3.45</v>
          </cell>
          <cell r="EM73">
            <v>21.6</v>
          </cell>
          <cell r="EN73">
            <v>18700</v>
          </cell>
          <cell r="EO73">
            <v>1140</v>
          </cell>
          <cell r="EP73">
            <v>13.3</v>
          </cell>
          <cell r="EQ73">
            <v>1320</v>
          </cell>
          <cell r="ER73">
            <v>1390</v>
          </cell>
          <cell r="ES73">
            <v>179</v>
          </cell>
          <cell r="ET73">
            <v>3.64</v>
          </cell>
        </row>
        <row r="74">
          <cell r="B74" t="str">
            <v>L5X3X5/16</v>
          </cell>
          <cell r="C74" t="str">
            <v>L5X3X5/16</v>
          </cell>
          <cell r="D74" t="str">
            <v>F</v>
          </cell>
          <cell r="E74">
            <v>8.1999999999999993</v>
          </cell>
          <cell r="F74">
            <v>2.41</v>
          </cell>
          <cell r="G74" t="str">
            <v>L5X3X5/16</v>
          </cell>
          <cell r="H74">
            <v>3</v>
          </cell>
          <cell r="I74" t="str">
            <v>–</v>
          </cell>
          <cell r="J74" t="str">
            <v>–</v>
          </cell>
          <cell r="K74" t="str">
            <v>–</v>
          </cell>
          <cell r="L74" t="str">
            <v>–</v>
          </cell>
          <cell r="M74" t="str">
            <v>–</v>
          </cell>
          <cell r="N74" t="str">
            <v>–</v>
          </cell>
          <cell r="O74" t="str">
            <v>–</v>
          </cell>
          <cell r="P74">
            <v>5</v>
          </cell>
          <cell r="Q74" t="str">
            <v>–</v>
          </cell>
          <cell r="R74" t="str">
            <v>–</v>
          </cell>
          <cell r="S74" t="str">
            <v>–</v>
          </cell>
          <cell r="T74" t="str">
            <v>–</v>
          </cell>
          <cell r="U74" t="str">
            <v>–</v>
          </cell>
          <cell r="V74" t="str">
            <v>–</v>
          </cell>
          <cell r="W74">
            <v>0.313</v>
          </cell>
          <cell r="DZ74" t="str">
            <v>W30X326</v>
          </cell>
          <cell r="EA74">
            <v>326</v>
          </cell>
          <cell r="EB74">
            <v>95.9</v>
          </cell>
          <cell r="EC74">
            <v>32.4</v>
          </cell>
          <cell r="ED74" t="str">
            <v>32 3/8</v>
          </cell>
          <cell r="EE74">
            <v>1.1399999999999999</v>
          </cell>
          <cell r="EF74" t="str">
            <v>1 1/8</v>
          </cell>
          <cell r="EG74">
            <v>45185</v>
          </cell>
          <cell r="EH74">
            <v>15.4</v>
          </cell>
          <cell r="EI74" t="str">
            <v>15 3/8</v>
          </cell>
          <cell r="EJ74">
            <v>2.0499999999999998</v>
          </cell>
          <cell r="EK74" t="str">
            <v>2 1/16</v>
          </cell>
          <cell r="EL74">
            <v>3.75</v>
          </cell>
          <cell r="EM74">
            <v>23.4</v>
          </cell>
          <cell r="EN74">
            <v>16800</v>
          </cell>
          <cell r="EO74">
            <v>1040</v>
          </cell>
          <cell r="EP74">
            <v>13.2</v>
          </cell>
          <cell r="EQ74">
            <v>1190</v>
          </cell>
          <cell r="ER74">
            <v>1240</v>
          </cell>
          <cell r="ES74">
            <v>162</v>
          </cell>
          <cell r="ET74">
            <v>3.6</v>
          </cell>
        </row>
        <row r="75">
          <cell r="B75" t="str">
            <v>L5X3X1/4</v>
          </cell>
          <cell r="C75" t="str">
            <v>L5X3X1/4</v>
          </cell>
          <cell r="D75" t="str">
            <v>F</v>
          </cell>
          <cell r="E75">
            <v>6.6</v>
          </cell>
          <cell r="F75">
            <v>1.94</v>
          </cell>
          <cell r="G75" t="str">
            <v>L5X3X1/4</v>
          </cell>
          <cell r="H75">
            <v>3</v>
          </cell>
          <cell r="I75" t="str">
            <v>–</v>
          </cell>
          <cell r="J75" t="str">
            <v>–</v>
          </cell>
          <cell r="K75" t="str">
            <v>–</v>
          </cell>
          <cell r="L75" t="str">
            <v>–</v>
          </cell>
          <cell r="M75" t="str">
            <v>–</v>
          </cell>
          <cell r="N75" t="str">
            <v>–</v>
          </cell>
          <cell r="O75" t="str">
            <v>–</v>
          </cell>
          <cell r="P75">
            <v>5</v>
          </cell>
          <cell r="Q75" t="str">
            <v>–</v>
          </cell>
          <cell r="R75" t="str">
            <v>–</v>
          </cell>
          <cell r="S75" t="str">
            <v>–</v>
          </cell>
          <cell r="T75" t="str">
            <v>–</v>
          </cell>
          <cell r="U75" t="str">
            <v>–</v>
          </cell>
          <cell r="V75" t="str">
            <v>–</v>
          </cell>
          <cell r="W75">
            <v>0.25</v>
          </cell>
          <cell r="DZ75" t="str">
            <v>W30X292</v>
          </cell>
          <cell r="EA75">
            <v>292</v>
          </cell>
          <cell r="EB75">
            <v>86</v>
          </cell>
          <cell r="EC75">
            <v>32</v>
          </cell>
          <cell r="ED75">
            <v>32</v>
          </cell>
          <cell r="EE75">
            <v>1.02</v>
          </cell>
          <cell r="EF75">
            <v>1</v>
          </cell>
          <cell r="EG75">
            <v>44928</v>
          </cell>
          <cell r="EH75">
            <v>15.3</v>
          </cell>
          <cell r="EI75" t="str">
            <v>15 1/4</v>
          </cell>
          <cell r="EJ75">
            <v>1.85</v>
          </cell>
          <cell r="EK75" t="str">
            <v>1 7/8</v>
          </cell>
          <cell r="EL75">
            <v>4.12</v>
          </cell>
          <cell r="EM75">
            <v>26.2</v>
          </cell>
          <cell r="EN75">
            <v>14900</v>
          </cell>
          <cell r="EO75">
            <v>930</v>
          </cell>
          <cell r="EP75">
            <v>13.2</v>
          </cell>
          <cell r="EQ75">
            <v>1060</v>
          </cell>
          <cell r="ER75">
            <v>1100</v>
          </cell>
          <cell r="ES75">
            <v>144</v>
          </cell>
          <cell r="ET75">
            <v>3.58</v>
          </cell>
        </row>
        <row r="76">
          <cell r="B76" t="str">
            <v>L4X4X3/4</v>
          </cell>
          <cell r="C76" t="str">
            <v>L4X4X3/4</v>
          </cell>
          <cell r="D76" t="str">
            <v>F</v>
          </cell>
          <cell r="E76">
            <v>18.5</v>
          </cell>
          <cell r="F76">
            <v>5.44</v>
          </cell>
          <cell r="G76" t="str">
            <v>L4X4X3/4</v>
          </cell>
          <cell r="H76">
            <v>4</v>
          </cell>
          <cell r="I76" t="str">
            <v>–</v>
          </cell>
          <cell r="J76" t="str">
            <v>–</v>
          </cell>
          <cell r="K76" t="str">
            <v>–</v>
          </cell>
          <cell r="L76" t="str">
            <v>–</v>
          </cell>
          <cell r="M76" t="str">
            <v>–</v>
          </cell>
          <cell r="N76" t="str">
            <v>–</v>
          </cell>
          <cell r="O76" t="str">
            <v>–</v>
          </cell>
          <cell r="P76">
            <v>4</v>
          </cell>
          <cell r="Q76" t="str">
            <v>–</v>
          </cell>
          <cell r="R76" t="str">
            <v>–</v>
          </cell>
          <cell r="S76" t="str">
            <v>–</v>
          </cell>
          <cell r="T76" t="str">
            <v>–</v>
          </cell>
          <cell r="U76" t="str">
            <v>–</v>
          </cell>
          <cell r="V76" t="str">
            <v>–</v>
          </cell>
          <cell r="W76">
            <v>0.75</v>
          </cell>
          <cell r="DZ76" t="str">
            <v>W30X261</v>
          </cell>
          <cell r="EA76">
            <v>261</v>
          </cell>
          <cell r="EB76">
            <v>77</v>
          </cell>
          <cell r="EC76">
            <v>31.6</v>
          </cell>
          <cell r="ED76" t="str">
            <v>31 5/8</v>
          </cell>
          <cell r="EE76">
            <v>0.93</v>
          </cell>
          <cell r="EF76" t="str">
            <v>15/16</v>
          </cell>
          <cell r="EG76">
            <v>44928</v>
          </cell>
          <cell r="EH76">
            <v>15.2</v>
          </cell>
          <cell r="EI76" t="str">
            <v>15 1/8</v>
          </cell>
          <cell r="EJ76">
            <v>1.65</v>
          </cell>
          <cell r="EK76" t="str">
            <v>1 5/8</v>
          </cell>
          <cell r="EL76">
            <v>4.59</v>
          </cell>
          <cell r="EM76">
            <v>28.7</v>
          </cell>
          <cell r="EN76">
            <v>13100</v>
          </cell>
          <cell r="EO76">
            <v>829</v>
          </cell>
          <cell r="EP76">
            <v>13.1</v>
          </cell>
          <cell r="EQ76">
            <v>943</v>
          </cell>
          <cell r="ER76">
            <v>959</v>
          </cell>
          <cell r="ES76">
            <v>127</v>
          </cell>
          <cell r="ET76">
            <v>3.53</v>
          </cell>
        </row>
        <row r="77">
          <cell r="B77" t="str">
            <v>L4X4X5/8</v>
          </cell>
          <cell r="C77" t="str">
            <v>L4X4X5/8</v>
          </cell>
          <cell r="D77" t="str">
            <v>F</v>
          </cell>
          <cell r="E77">
            <v>15.7</v>
          </cell>
          <cell r="F77">
            <v>4.6100000000000003</v>
          </cell>
          <cell r="G77" t="str">
            <v>L4X4X5/8</v>
          </cell>
          <cell r="H77">
            <v>4</v>
          </cell>
          <cell r="I77" t="str">
            <v>–</v>
          </cell>
          <cell r="J77" t="str">
            <v>–</v>
          </cell>
          <cell r="K77" t="str">
            <v>–</v>
          </cell>
          <cell r="L77" t="str">
            <v>–</v>
          </cell>
          <cell r="M77" t="str">
            <v>–</v>
          </cell>
          <cell r="N77" t="str">
            <v>–</v>
          </cell>
          <cell r="O77" t="str">
            <v>–</v>
          </cell>
          <cell r="P77">
            <v>4</v>
          </cell>
          <cell r="Q77" t="str">
            <v>–</v>
          </cell>
          <cell r="R77" t="str">
            <v>–</v>
          </cell>
          <cell r="S77" t="str">
            <v>–</v>
          </cell>
          <cell r="T77" t="str">
            <v>–</v>
          </cell>
          <cell r="U77" t="str">
            <v>–</v>
          </cell>
          <cell r="V77" t="str">
            <v>–</v>
          </cell>
          <cell r="W77">
            <v>0.625</v>
          </cell>
          <cell r="DZ77" t="str">
            <v>W30X235</v>
          </cell>
          <cell r="EA77">
            <v>235</v>
          </cell>
          <cell r="EB77">
            <v>69.3</v>
          </cell>
          <cell r="EC77">
            <v>31.3</v>
          </cell>
          <cell r="ED77" t="str">
            <v>31 1/4</v>
          </cell>
          <cell r="EE77">
            <v>0.83</v>
          </cell>
          <cell r="EF77" t="str">
            <v>13/16</v>
          </cell>
          <cell r="EG77">
            <v>45123</v>
          </cell>
          <cell r="EH77">
            <v>15.1</v>
          </cell>
          <cell r="EI77">
            <v>15</v>
          </cell>
          <cell r="EJ77">
            <v>1.5</v>
          </cell>
          <cell r="EK77" t="str">
            <v>1 1/2</v>
          </cell>
          <cell r="EL77">
            <v>5.0199999999999996</v>
          </cell>
          <cell r="EM77">
            <v>32.200000000000003</v>
          </cell>
          <cell r="EN77">
            <v>11700</v>
          </cell>
          <cell r="EO77">
            <v>748</v>
          </cell>
          <cell r="EP77">
            <v>13</v>
          </cell>
          <cell r="EQ77">
            <v>847</v>
          </cell>
          <cell r="ER77">
            <v>855</v>
          </cell>
          <cell r="ES77">
            <v>114</v>
          </cell>
          <cell r="ET77">
            <v>3.51</v>
          </cell>
        </row>
        <row r="78">
          <cell r="B78" t="str">
            <v>L4X4X1/2</v>
          </cell>
          <cell r="C78" t="str">
            <v>L4X4X1/2</v>
          </cell>
          <cell r="D78" t="str">
            <v>F</v>
          </cell>
          <cell r="E78">
            <v>12.8</v>
          </cell>
          <cell r="F78">
            <v>3.75</v>
          </cell>
          <cell r="G78" t="str">
            <v>L4X4X1/2</v>
          </cell>
          <cell r="H78">
            <v>4</v>
          </cell>
          <cell r="I78" t="str">
            <v>–</v>
          </cell>
          <cell r="J78" t="str">
            <v>–</v>
          </cell>
          <cell r="K78" t="str">
            <v>–</v>
          </cell>
          <cell r="L78" t="str">
            <v>–</v>
          </cell>
          <cell r="M78" t="str">
            <v>–</v>
          </cell>
          <cell r="N78" t="str">
            <v>–</v>
          </cell>
          <cell r="O78" t="str">
            <v>–</v>
          </cell>
          <cell r="P78">
            <v>4</v>
          </cell>
          <cell r="Q78" t="str">
            <v>–</v>
          </cell>
          <cell r="R78" t="str">
            <v>–</v>
          </cell>
          <cell r="S78" t="str">
            <v>–</v>
          </cell>
          <cell r="T78" t="str">
            <v>–</v>
          </cell>
          <cell r="U78" t="str">
            <v>–</v>
          </cell>
          <cell r="V78" t="str">
            <v>–</v>
          </cell>
          <cell r="W78">
            <v>0.5</v>
          </cell>
          <cell r="DZ78" t="str">
            <v>W30X211</v>
          </cell>
          <cell r="EA78">
            <v>211</v>
          </cell>
          <cell r="EB78">
            <v>62.3</v>
          </cell>
          <cell r="EC78">
            <v>30.9</v>
          </cell>
          <cell r="ED78">
            <v>31</v>
          </cell>
          <cell r="EE78">
            <v>0.77500000000000002</v>
          </cell>
          <cell r="EF78">
            <v>44989</v>
          </cell>
          <cell r="EG78">
            <v>44993</v>
          </cell>
          <cell r="EH78">
            <v>15.1</v>
          </cell>
          <cell r="EI78" t="str">
            <v>15 1/8</v>
          </cell>
          <cell r="EJ78">
            <v>1.32</v>
          </cell>
          <cell r="EK78" t="str">
            <v>1 5/16</v>
          </cell>
          <cell r="EL78">
            <v>5.74</v>
          </cell>
          <cell r="EM78">
            <v>34.5</v>
          </cell>
          <cell r="EN78">
            <v>10300</v>
          </cell>
          <cell r="EO78">
            <v>665</v>
          </cell>
          <cell r="EP78">
            <v>12.9</v>
          </cell>
          <cell r="EQ78">
            <v>751</v>
          </cell>
          <cell r="ER78">
            <v>757</v>
          </cell>
          <cell r="ES78">
            <v>100</v>
          </cell>
          <cell r="ET78">
            <v>3.49</v>
          </cell>
        </row>
        <row r="79">
          <cell r="B79" t="str">
            <v>L4X4X7/16</v>
          </cell>
          <cell r="C79" t="str">
            <v>L4X4X7/16</v>
          </cell>
          <cell r="D79" t="str">
            <v>F</v>
          </cell>
          <cell r="E79">
            <v>11.3</v>
          </cell>
          <cell r="F79">
            <v>3.3</v>
          </cell>
          <cell r="G79" t="str">
            <v>L4X4X7/16</v>
          </cell>
          <cell r="H79">
            <v>4</v>
          </cell>
          <cell r="I79" t="str">
            <v>–</v>
          </cell>
          <cell r="J79" t="str">
            <v>–</v>
          </cell>
          <cell r="K79" t="str">
            <v>–</v>
          </cell>
          <cell r="L79" t="str">
            <v>–</v>
          </cell>
          <cell r="M79" t="str">
            <v>–</v>
          </cell>
          <cell r="N79" t="str">
            <v>–</v>
          </cell>
          <cell r="O79" t="str">
            <v>–</v>
          </cell>
          <cell r="P79">
            <v>4</v>
          </cell>
          <cell r="Q79" t="str">
            <v>–</v>
          </cell>
          <cell r="R79" t="str">
            <v>–</v>
          </cell>
          <cell r="S79" t="str">
            <v>–</v>
          </cell>
          <cell r="T79" t="str">
            <v>–</v>
          </cell>
          <cell r="U79" t="str">
            <v>–</v>
          </cell>
          <cell r="V79" t="str">
            <v>–</v>
          </cell>
          <cell r="W79">
            <v>0.438</v>
          </cell>
          <cell r="DZ79" t="str">
            <v>W30X191</v>
          </cell>
          <cell r="EA79">
            <v>191</v>
          </cell>
          <cell r="EB79">
            <v>56.1</v>
          </cell>
          <cell r="EC79">
            <v>30.7</v>
          </cell>
          <cell r="ED79" t="str">
            <v>30 5/8</v>
          </cell>
          <cell r="EE79">
            <v>0.71</v>
          </cell>
          <cell r="EF79">
            <v>45246</v>
          </cell>
          <cell r="EG79">
            <v>44993</v>
          </cell>
          <cell r="EH79">
            <v>15</v>
          </cell>
          <cell r="EI79">
            <v>15</v>
          </cell>
          <cell r="EJ79">
            <v>1.19</v>
          </cell>
          <cell r="EK79" t="str">
            <v>1 3/16</v>
          </cell>
          <cell r="EL79">
            <v>6.35</v>
          </cell>
          <cell r="EM79">
            <v>37.700000000000003</v>
          </cell>
          <cell r="EN79">
            <v>9200</v>
          </cell>
          <cell r="EO79">
            <v>600</v>
          </cell>
          <cell r="EP79">
            <v>12.8</v>
          </cell>
          <cell r="EQ79">
            <v>675</v>
          </cell>
          <cell r="ER79">
            <v>673</v>
          </cell>
          <cell r="ES79">
            <v>89.5</v>
          </cell>
          <cell r="ET79">
            <v>3.46</v>
          </cell>
        </row>
        <row r="80">
          <cell r="B80" t="str">
            <v>L4X4X3/8</v>
          </cell>
          <cell r="C80" t="str">
            <v>L4X4X3/8</v>
          </cell>
          <cell r="D80" t="str">
            <v>F</v>
          </cell>
          <cell r="E80">
            <v>9.8000000000000007</v>
          </cell>
          <cell r="F80">
            <v>2.86</v>
          </cell>
          <cell r="G80" t="str">
            <v>L4X4X3/8</v>
          </cell>
          <cell r="H80">
            <v>4</v>
          </cell>
          <cell r="I80" t="str">
            <v>–</v>
          </cell>
          <cell r="J80" t="str">
            <v>–</v>
          </cell>
          <cell r="K80" t="str">
            <v>–</v>
          </cell>
          <cell r="L80" t="str">
            <v>–</v>
          </cell>
          <cell r="M80" t="str">
            <v>–</v>
          </cell>
          <cell r="N80" t="str">
            <v>–</v>
          </cell>
          <cell r="O80" t="str">
            <v>–</v>
          </cell>
          <cell r="P80">
            <v>4</v>
          </cell>
          <cell r="Q80" t="str">
            <v>–</v>
          </cell>
          <cell r="R80" t="str">
            <v>–</v>
          </cell>
          <cell r="S80" t="str">
            <v>–</v>
          </cell>
          <cell r="T80" t="str">
            <v>–</v>
          </cell>
          <cell r="U80" t="str">
            <v>–</v>
          </cell>
          <cell r="V80" t="str">
            <v>–</v>
          </cell>
          <cell r="W80">
            <v>0.375</v>
          </cell>
          <cell r="DZ80" t="str">
            <v>W30X173</v>
          </cell>
          <cell r="EA80">
            <v>173</v>
          </cell>
          <cell r="EB80">
            <v>50.9</v>
          </cell>
          <cell r="EC80">
            <v>30.4</v>
          </cell>
          <cell r="ED80" t="str">
            <v>30 1/2</v>
          </cell>
          <cell r="EE80">
            <v>0.65500000000000003</v>
          </cell>
          <cell r="EF80">
            <v>45054</v>
          </cell>
          <cell r="EG80">
            <v>45062</v>
          </cell>
          <cell r="EH80">
            <v>15</v>
          </cell>
          <cell r="EI80">
            <v>15</v>
          </cell>
          <cell r="EJ80">
            <v>1.07</v>
          </cell>
          <cell r="EK80" t="str">
            <v>1 1/16</v>
          </cell>
          <cell r="EL80">
            <v>7.04</v>
          </cell>
          <cell r="EM80">
            <v>40.799999999999997</v>
          </cell>
          <cell r="EN80">
            <v>8230</v>
          </cell>
          <cell r="EO80">
            <v>541</v>
          </cell>
          <cell r="EP80">
            <v>12.7</v>
          </cell>
          <cell r="EQ80">
            <v>607</v>
          </cell>
          <cell r="ER80">
            <v>598</v>
          </cell>
          <cell r="ES80">
            <v>79.8</v>
          </cell>
          <cell r="ET80">
            <v>3.42</v>
          </cell>
        </row>
        <row r="81">
          <cell r="B81" t="str">
            <v>L4X4X5/16</v>
          </cell>
          <cell r="C81" t="str">
            <v>L4X4X5/16</v>
          </cell>
          <cell r="D81" t="str">
            <v>F</v>
          </cell>
          <cell r="E81">
            <v>8.1999999999999993</v>
          </cell>
          <cell r="F81">
            <v>2.4</v>
          </cell>
          <cell r="G81" t="str">
            <v>L4X4X5/16</v>
          </cell>
          <cell r="H81">
            <v>4</v>
          </cell>
          <cell r="I81" t="str">
            <v>–</v>
          </cell>
          <cell r="J81" t="str">
            <v>–</v>
          </cell>
          <cell r="K81" t="str">
            <v>–</v>
          </cell>
          <cell r="L81" t="str">
            <v>–</v>
          </cell>
          <cell r="M81" t="str">
            <v>–</v>
          </cell>
          <cell r="N81" t="str">
            <v>–</v>
          </cell>
          <cell r="O81" t="str">
            <v>–</v>
          </cell>
          <cell r="P81">
            <v>4</v>
          </cell>
          <cell r="Q81" t="str">
            <v>–</v>
          </cell>
          <cell r="R81" t="str">
            <v>–</v>
          </cell>
          <cell r="S81" t="str">
            <v>–</v>
          </cell>
          <cell r="T81" t="str">
            <v>–</v>
          </cell>
          <cell r="U81" t="str">
            <v>–</v>
          </cell>
          <cell r="V81" t="str">
            <v>–</v>
          </cell>
          <cell r="W81">
            <v>0.313</v>
          </cell>
          <cell r="DZ81" t="str">
            <v>W30X148</v>
          </cell>
          <cell r="EA81">
            <v>148</v>
          </cell>
          <cell r="EB81">
            <v>43.6</v>
          </cell>
          <cell r="EC81">
            <v>30.7</v>
          </cell>
          <cell r="ED81" t="str">
            <v>30 5/8</v>
          </cell>
          <cell r="EE81">
            <v>0.65</v>
          </cell>
          <cell r="EF81">
            <v>45054</v>
          </cell>
          <cell r="EG81">
            <v>45062</v>
          </cell>
          <cell r="EH81">
            <v>10.5</v>
          </cell>
          <cell r="EI81" t="str">
            <v>10 1/2</v>
          </cell>
          <cell r="EJ81">
            <v>1.18</v>
          </cell>
          <cell r="EK81" t="str">
            <v>1 3/16</v>
          </cell>
          <cell r="EL81">
            <v>4.4400000000000004</v>
          </cell>
          <cell r="EM81">
            <v>41.6</v>
          </cell>
          <cell r="EN81">
            <v>6680</v>
          </cell>
          <cell r="EO81">
            <v>436</v>
          </cell>
          <cell r="EP81">
            <v>12.4</v>
          </cell>
          <cell r="EQ81">
            <v>500</v>
          </cell>
          <cell r="ER81">
            <v>227</v>
          </cell>
          <cell r="ES81">
            <v>43.3</v>
          </cell>
          <cell r="ET81">
            <v>2.2799999999999998</v>
          </cell>
        </row>
        <row r="82">
          <cell r="B82" t="str">
            <v>L4X4X1/4</v>
          </cell>
          <cell r="C82" t="str">
            <v>L4X4X1/4</v>
          </cell>
          <cell r="D82" t="str">
            <v>F</v>
          </cell>
          <cell r="E82">
            <v>6.6</v>
          </cell>
          <cell r="F82">
            <v>1.93</v>
          </cell>
          <cell r="G82" t="str">
            <v>L4X4X1/4</v>
          </cell>
          <cell r="H82">
            <v>4</v>
          </cell>
          <cell r="I82" t="str">
            <v>–</v>
          </cell>
          <cell r="J82" t="str">
            <v>–</v>
          </cell>
          <cell r="K82" t="str">
            <v>–</v>
          </cell>
          <cell r="L82" t="str">
            <v>–</v>
          </cell>
          <cell r="M82" t="str">
            <v>–</v>
          </cell>
          <cell r="N82" t="str">
            <v>–</v>
          </cell>
          <cell r="O82" t="str">
            <v>–</v>
          </cell>
          <cell r="P82">
            <v>4</v>
          </cell>
          <cell r="Q82" t="str">
            <v>–</v>
          </cell>
          <cell r="R82" t="str">
            <v>–</v>
          </cell>
          <cell r="S82" t="str">
            <v>–</v>
          </cell>
          <cell r="T82" t="str">
            <v>–</v>
          </cell>
          <cell r="U82" t="str">
            <v>–</v>
          </cell>
          <cell r="V82" t="str">
            <v>–</v>
          </cell>
          <cell r="W82">
            <v>0.25</v>
          </cell>
          <cell r="DZ82" t="str">
            <v>W30X132</v>
          </cell>
          <cell r="EA82">
            <v>132</v>
          </cell>
          <cell r="EB82">
            <v>38.799999999999997</v>
          </cell>
          <cell r="EC82">
            <v>30.3</v>
          </cell>
          <cell r="ED82" t="str">
            <v>30 1/4</v>
          </cell>
          <cell r="EE82">
            <v>0.61499999999999999</v>
          </cell>
          <cell r="EF82">
            <v>45054</v>
          </cell>
          <cell r="EG82">
            <v>45062</v>
          </cell>
          <cell r="EH82">
            <v>10.5</v>
          </cell>
          <cell r="EI82" t="str">
            <v>10 1/2</v>
          </cell>
          <cell r="EJ82">
            <v>1</v>
          </cell>
          <cell r="EK82">
            <v>1</v>
          </cell>
          <cell r="EL82">
            <v>5.27</v>
          </cell>
          <cell r="EM82">
            <v>43.9</v>
          </cell>
          <cell r="EN82">
            <v>5770</v>
          </cell>
          <cell r="EO82">
            <v>380</v>
          </cell>
          <cell r="EP82">
            <v>12.2</v>
          </cell>
          <cell r="EQ82">
            <v>437</v>
          </cell>
          <cell r="ER82">
            <v>196</v>
          </cell>
          <cell r="ES82">
            <v>37.200000000000003</v>
          </cell>
          <cell r="ET82">
            <v>2.25</v>
          </cell>
        </row>
        <row r="83">
          <cell r="B83" t="str">
            <v>L4X3-1/2X1/2</v>
          </cell>
          <cell r="C83" t="str">
            <v>L4X3-1/2X1/2</v>
          </cell>
          <cell r="D83" t="str">
            <v>F</v>
          </cell>
          <cell r="E83">
            <v>11.9</v>
          </cell>
          <cell r="F83">
            <v>3.5</v>
          </cell>
          <cell r="G83" t="str">
            <v>L4X3-1/2X1/2</v>
          </cell>
          <cell r="H83">
            <v>3.5</v>
          </cell>
          <cell r="I83" t="str">
            <v>–</v>
          </cell>
          <cell r="J83" t="str">
            <v>–</v>
          </cell>
          <cell r="K83" t="str">
            <v>–</v>
          </cell>
          <cell r="L83" t="str">
            <v>–</v>
          </cell>
          <cell r="M83" t="str">
            <v>–</v>
          </cell>
          <cell r="N83" t="str">
            <v>–</v>
          </cell>
          <cell r="O83" t="str">
            <v>–</v>
          </cell>
          <cell r="P83">
            <v>4</v>
          </cell>
          <cell r="Q83" t="str">
            <v>–</v>
          </cell>
          <cell r="R83" t="str">
            <v>–</v>
          </cell>
          <cell r="S83" t="str">
            <v>–</v>
          </cell>
          <cell r="T83" t="str">
            <v>–</v>
          </cell>
          <cell r="U83" t="str">
            <v>–</v>
          </cell>
          <cell r="V83" t="str">
            <v>–</v>
          </cell>
          <cell r="W83">
            <v>0.5</v>
          </cell>
          <cell r="DZ83" t="str">
            <v>W30X124</v>
          </cell>
          <cell r="EA83">
            <v>124</v>
          </cell>
          <cell r="EB83">
            <v>36.5</v>
          </cell>
          <cell r="EC83">
            <v>30.2</v>
          </cell>
          <cell r="ED83" t="str">
            <v>30 1/8</v>
          </cell>
          <cell r="EE83">
            <v>0.58499999999999996</v>
          </cell>
          <cell r="EF83">
            <v>45185</v>
          </cell>
          <cell r="EG83">
            <v>45062</v>
          </cell>
          <cell r="EH83">
            <v>10.5</v>
          </cell>
          <cell r="EI83" t="str">
            <v>10 1/2</v>
          </cell>
          <cell r="EJ83">
            <v>0.93</v>
          </cell>
          <cell r="EK83" t="str">
            <v>15/16</v>
          </cell>
          <cell r="EL83">
            <v>5.65</v>
          </cell>
          <cell r="EM83">
            <v>46.2</v>
          </cell>
          <cell r="EN83">
            <v>5360</v>
          </cell>
          <cell r="EO83">
            <v>355</v>
          </cell>
          <cell r="EP83">
            <v>12.1</v>
          </cell>
          <cell r="EQ83">
            <v>408</v>
          </cell>
          <cell r="ER83">
            <v>181</v>
          </cell>
          <cell r="ES83">
            <v>34.4</v>
          </cell>
          <cell r="ET83">
            <v>2.23</v>
          </cell>
        </row>
        <row r="84">
          <cell r="B84" t="str">
            <v>L4X3-1/2X3/8</v>
          </cell>
          <cell r="C84" t="str">
            <v>L4X3-1/2X3/8</v>
          </cell>
          <cell r="D84" t="str">
            <v>F</v>
          </cell>
          <cell r="E84">
            <v>9.1</v>
          </cell>
          <cell r="F84">
            <v>2.68</v>
          </cell>
          <cell r="G84" t="str">
            <v>L4X3-1/2X3/8</v>
          </cell>
          <cell r="H84">
            <v>3.5</v>
          </cell>
          <cell r="I84" t="str">
            <v>–</v>
          </cell>
          <cell r="J84" t="str">
            <v>–</v>
          </cell>
          <cell r="K84" t="str">
            <v>–</v>
          </cell>
          <cell r="L84" t="str">
            <v>–</v>
          </cell>
          <cell r="M84" t="str">
            <v>–</v>
          </cell>
          <cell r="N84" t="str">
            <v>–</v>
          </cell>
          <cell r="O84" t="str">
            <v>–</v>
          </cell>
          <cell r="P84">
            <v>4</v>
          </cell>
          <cell r="Q84" t="str">
            <v>–</v>
          </cell>
          <cell r="R84" t="str">
            <v>–</v>
          </cell>
          <cell r="S84" t="str">
            <v>–</v>
          </cell>
          <cell r="T84" t="str">
            <v>–</v>
          </cell>
          <cell r="U84" t="str">
            <v>–</v>
          </cell>
          <cell r="V84" t="str">
            <v>–</v>
          </cell>
          <cell r="W84">
            <v>0.375</v>
          </cell>
          <cell r="DZ84" t="str">
            <v>W30X116</v>
          </cell>
          <cell r="EA84">
            <v>116</v>
          </cell>
          <cell r="EB84">
            <v>34.200000000000003</v>
          </cell>
          <cell r="EC84">
            <v>30</v>
          </cell>
          <cell r="ED84">
            <v>30</v>
          </cell>
          <cell r="EE84">
            <v>0.56499999999999995</v>
          </cell>
          <cell r="EF84">
            <v>45185</v>
          </cell>
          <cell r="EG84">
            <v>45062</v>
          </cell>
          <cell r="EH84">
            <v>10.5</v>
          </cell>
          <cell r="EI84" t="str">
            <v>10 1/2</v>
          </cell>
          <cell r="EJ84">
            <v>0.85</v>
          </cell>
          <cell r="EK84">
            <v>45115</v>
          </cell>
          <cell r="EL84">
            <v>6.17</v>
          </cell>
          <cell r="EM84">
            <v>47.8</v>
          </cell>
          <cell r="EN84">
            <v>4930</v>
          </cell>
          <cell r="EO84">
            <v>329</v>
          </cell>
          <cell r="EP84">
            <v>12</v>
          </cell>
          <cell r="EQ84">
            <v>378</v>
          </cell>
          <cell r="ER84">
            <v>164</v>
          </cell>
          <cell r="ES84">
            <v>31.3</v>
          </cell>
          <cell r="ET84">
            <v>2.19</v>
          </cell>
        </row>
        <row r="85">
          <cell r="B85" t="str">
            <v>L4X3-1/2X5/16</v>
          </cell>
          <cell r="C85" t="str">
            <v>L4X3-1/2X5/16</v>
          </cell>
          <cell r="D85" t="str">
            <v>F</v>
          </cell>
          <cell r="E85">
            <v>7.7</v>
          </cell>
          <cell r="F85">
            <v>2.25</v>
          </cell>
          <cell r="G85" t="str">
            <v>L4X3-1/2X5/16</v>
          </cell>
          <cell r="H85">
            <v>3.5</v>
          </cell>
          <cell r="I85" t="str">
            <v>–</v>
          </cell>
          <cell r="J85" t="str">
            <v>–</v>
          </cell>
          <cell r="K85" t="str">
            <v>–</v>
          </cell>
          <cell r="L85" t="str">
            <v>–</v>
          </cell>
          <cell r="M85" t="str">
            <v>–</v>
          </cell>
          <cell r="N85" t="str">
            <v>–</v>
          </cell>
          <cell r="O85" t="str">
            <v>–</v>
          </cell>
          <cell r="P85">
            <v>4</v>
          </cell>
          <cell r="Q85" t="str">
            <v>–</v>
          </cell>
          <cell r="R85" t="str">
            <v>–</v>
          </cell>
          <cell r="S85" t="str">
            <v>–</v>
          </cell>
          <cell r="T85" t="str">
            <v>–</v>
          </cell>
          <cell r="U85" t="str">
            <v>–</v>
          </cell>
          <cell r="V85" t="str">
            <v>–</v>
          </cell>
          <cell r="W85">
            <v>0.313</v>
          </cell>
          <cell r="DZ85" t="str">
            <v>W30X108</v>
          </cell>
          <cell r="EA85">
            <v>108</v>
          </cell>
          <cell r="EB85">
            <v>31.7</v>
          </cell>
          <cell r="EC85">
            <v>29.8</v>
          </cell>
          <cell r="ED85" t="str">
            <v>29 7/8</v>
          </cell>
          <cell r="EE85">
            <v>0.54500000000000004</v>
          </cell>
          <cell r="EF85">
            <v>45185</v>
          </cell>
          <cell r="EG85">
            <v>45062</v>
          </cell>
          <cell r="EH85">
            <v>10.5</v>
          </cell>
          <cell r="EI85" t="str">
            <v>10 1/2</v>
          </cell>
          <cell r="EJ85">
            <v>0.76</v>
          </cell>
          <cell r="EK85">
            <v>44989</v>
          </cell>
          <cell r="EL85">
            <v>6.89</v>
          </cell>
          <cell r="EM85">
            <v>49.6</v>
          </cell>
          <cell r="EN85">
            <v>4470</v>
          </cell>
          <cell r="EO85">
            <v>299</v>
          </cell>
          <cell r="EP85">
            <v>11.9</v>
          </cell>
          <cell r="EQ85">
            <v>346</v>
          </cell>
          <cell r="ER85">
            <v>146</v>
          </cell>
          <cell r="ES85">
            <v>27.9</v>
          </cell>
          <cell r="ET85">
            <v>2.15</v>
          </cell>
        </row>
        <row r="86">
          <cell r="B86" t="str">
            <v>L4X3-1/2X1/4</v>
          </cell>
          <cell r="C86" t="str">
            <v>L4X3-1/2X1/4</v>
          </cell>
          <cell r="D86" t="str">
            <v>F</v>
          </cell>
          <cell r="E86">
            <v>6.2</v>
          </cell>
          <cell r="F86">
            <v>1.82</v>
          </cell>
          <cell r="G86" t="str">
            <v>L4X3-1/2X1/4</v>
          </cell>
          <cell r="H86">
            <v>3.5</v>
          </cell>
          <cell r="I86" t="str">
            <v>–</v>
          </cell>
          <cell r="J86" t="str">
            <v>–</v>
          </cell>
          <cell r="K86" t="str">
            <v>–</v>
          </cell>
          <cell r="L86" t="str">
            <v>–</v>
          </cell>
          <cell r="M86" t="str">
            <v>–</v>
          </cell>
          <cell r="N86" t="str">
            <v>–</v>
          </cell>
          <cell r="O86" t="str">
            <v>–</v>
          </cell>
          <cell r="P86">
            <v>4</v>
          </cell>
          <cell r="Q86" t="str">
            <v>–</v>
          </cell>
          <cell r="R86" t="str">
            <v>–</v>
          </cell>
          <cell r="S86" t="str">
            <v>–</v>
          </cell>
          <cell r="T86" t="str">
            <v>–</v>
          </cell>
          <cell r="U86" t="str">
            <v>–</v>
          </cell>
          <cell r="V86" t="str">
            <v>–</v>
          </cell>
          <cell r="W86">
            <v>0.25</v>
          </cell>
          <cell r="DZ86" t="str">
            <v>W30X99</v>
          </cell>
          <cell r="EA86">
            <v>99</v>
          </cell>
          <cell r="EB86">
            <v>29</v>
          </cell>
          <cell r="EC86">
            <v>29.7</v>
          </cell>
          <cell r="ED86" t="str">
            <v>29 5/8</v>
          </cell>
          <cell r="EE86">
            <v>0.52</v>
          </cell>
          <cell r="EF86">
            <v>44928</v>
          </cell>
          <cell r="EG86">
            <v>44930</v>
          </cell>
          <cell r="EH86">
            <v>10.5</v>
          </cell>
          <cell r="EI86" t="str">
            <v>10 1/2</v>
          </cell>
          <cell r="EJ86">
            <v>0.67</v>
          </cell>
          <cell r="EK86">
            <v>45246</v>
          </cell>
          <cell r="EL86">
            <v>7.8</v>
          </cell>
          <cell r="EM86">
            <v>51.9</v>
          </cell>
          <cell r="EN86">
            <v>3990</v>
          </cell>
          <cell r="EO86">
            <v>269</v>
          </cell>
          <cell r="EP86">
            <v>11.7</v>
          </cell>
          <cell r="EQ86">
            <v>312</v>
          </cell>
          <cell r="ER86">
            <v>128</v>
          </cell>
          <cell r="ES86">
            <v>24.5</v>
          </cell>
          <cell r="ET86">
            <v>2.1</v>
          </cell>
        </row>
        <row r="87">
          <cell r="B87" t="str">
            <v>L4X3X5/8</v>
          </cell>
          <cell r="C87" t="str">
            <v>L4X3X5/8</v>
          </cell>
          <cell r="D87" t="str">
            <v>F</v>
          </cell>
          <cell r="E87">
            <v>13.6</v>
          </cell>
          <cell r="F87">
            <v>3.99</v>
          </cell>
          <cell r="G87" t="str">
            <v>L4X3X5/8</v>
          </cell>
          <cell r="H87">
            <v>3</v>
          </cell>
          <cell r="I87" t="str">
            <v>–</v>
          </cell>
          <cell r="J87" t="str">
            <v>–</v>
          </cell>
          <cell r="K87" t="str">
            <v>–</v>
          </cell>
          <cell r="L87" t="str">
            <v>–</v>
          </cell>
          <cell r="M87" t="str">
            <v>–</v>
          </cell>
          <cell r="N87" t="str">
            <v>–</v>
          </cell>
          <cell r="O87" t="str">
            <v>–</v>
          </cell>
          <cell r="P87">
            <v>4</v>
          </cell>
          <cell r="Q87" t="str">
            <v>–</v>
          </cell>
          <cell r="R87" t="str">
            <v>–</v>
          </cell>
          <cell r="S87" t="str">
            <v>–</v>
          </cell>
          <cell r="T87" t="str">
            <v>–</v>
          </cell>
          <cell r="U87" t="str">
            <v>–</v>
          </cell>
          <cell r="V87" t="str">
            <v>–</v>
          </cell>
          <cell r="W87">
            <v>0.625</v>
          </cell>
          <cell r="DZ87" t="str">
            <v>W30X90</v>
          </cell>
          <cell r="EA87">
            <v>90</v>
          </cell>
          <cell r="EB87">
            <v>26.3</v>
          </cell>
          <cell r="EC87">
            <v>29.5</v>
          </cell>
          <cell r="ED87" t="str">
            <v>29 1/2</v>
          </cell>
          <cell r="EE87">
            <v>0.47</v>
          </cell>
          <cell r="EF87">
            <v>44928</v>
          </cell>
          <cell r="EG87">
            <v>44930</v>
          </cell>
          <cell r="EH87">
            <v>10.4</v>
          </cell>
          <cell r="EI87" t="str">
            <v>10 3/8</v>
          </cell>
          <cell r="EJ87">
            <v>0.61</v>
          </cell>
          <cell r="EK87">
            <v>45054</v>
          </cell>
          <cell r="EL87">
            <v>8.52</v>
          </cell>
          <cell r="EM87">
            <v>57.5</v>
          </cell>
          <cell r="EN87">
            <v>3610</v>
          </cell>
          <cell r="EO87">
            <v>245</v>
          </cell>
          <cell r="EP87">
            <v>11.7</v>
          </cell>
          <cell r="EQ87">
            <v>283</v>
          </cell>
          <cell r="ER87">
            <v>115</v>
          </cell>
          <cell r="ES87">
            <v>22.1</v>
          </cell>
          <cell r="ET87">
            <v>2.09</v>
          </cell>
        </row>
        <row r="88">
          <cell r="B88" t="str">
            <v>L4X3X1/2</v>
          </cell>
          <cell r="C88" t="str">
            <v>L4X3X1/2</v>
          </cell>
          <cell r="D88" t="str">
            <v>F</v>
          </cell>
          <cell r="E88">
            <v>11.1</v>
          </cell>
          <cell r="F88">
            <v>3.25</v>
          </cell>
          <cell r="G88" t="str">
            <v>L4X3X1/2</v>
          </cell>
          <cell r="H88">
            <v>3</v>
          </cell>
          <cell r="I88" t="str">
            <v>–</v>
          </cell>
          <cell r="J88" t="str">
            <v>–</v>
          </cell>
          <cell r="K88" t="str">
            <v>–</v>
          </cell>
          <cell r="L88" t="str">
            <v>–</v>
          </cell>
          <cell r="M88" t="str">
            <v>–</v>
          </cell>
          <cell r="N88" t="str">
            <v>–</v>
          </cell>
          <cell r="O88" t="str">
            <v>–</v>
          </cell>
          <cell r="P88">
            <v>4</v>
          </cell>
          <cell r="Q88" t="str">
            <v>–</v>
          </cell>
          <cell r="R88" t="str">
            <v>–</v>
          </cell>
          <cell r="S88" t="str">
            <v>–</v>
          </cell>
          <cell r="T88" t="str">
            <v>–</v>
          </cell>
          <cell r="U88" t="str">
            <v>–</v>
          </cell>
          <cell r="V88" t="str">
            <v>–</v>
          </cell>
          <cell r="W88">
            <v>0.5</v>
          </cell>
          <cell r="DZ88" t="str">
            <v>W27X539</v>
          </cell>
          <cell r="EA88">
            <v>539</v>
          </cell>
          <cell r="EB88">
            <v>159</v>
          </cell>
          <cell r="EC88">
            <v>32.5</v>
          </cell>
          <cell r="ED88" t="str">
            <v>32 1/2</v>
          </cell>
          <cell r="EE88">
            <v>1.97</v>
          </cell>
          <cell r="EF88">
            <v>2</v>
          </cell>
          <cell r="EG88">
            <v>1</v>
          </cell>
          <cell r="EH88">
            <v>15.3</v>
          </cell>
          <cell r="EI88" t="str">
            <v>15 1/4</v>
          </cell>
          <cell r="EJ88">
            <v>3.54</v>
          </cell>
          <cell r="EK88" t="str">
            <v>3 9/16</v>
          </cell>
          <cell r="EL88">
            <v>2.15</v>
          </cell>
          <cell r="EM88">
            <v>12.1</v>
          </cell>
          <cell r="EN88">
            <v>25600</v>
          </cell>
          <cell r="EO88">
            <v>1570</v>
          </cell>
          <cell r="EP88">
            <v>12.7</v>
          </cell>
          <cell r="EQ88">
            <v>1890</v>
          </cell>
          <cell r="ER88">
            <v>2110</v>
          </cell>
          <cell r="ES88">
            <v>277</v>
          </cell>
          <cell r="ET88">
            <v>3.65</v>
          </cell>
        </row>
        <row r="89">
          <cell r="B89" t="str">
            <v>L4X3X3/8</v>
          </cell>
          <cell r="C89" t="str">
            <v>L4X3X3/8</v>
          </cell>
          <cell r="D89" t="str">
            <v>F</v>
          </cell>
          <cell r="E89">
            <v>8.5</v>
          </cell>
          <cell r="F89">
            <v>2.4900000000000002</v>
          </cell>
          <cell r="G89" t="str">
            <v>L4X3X3/8</v>
          </cell>
          <cell r="H89">
            <v>3</v>
          </cell>
          <cell r="I89" t="str">
            <v>–</v>
          </cell>
          <cell r="J89" t="str">
            <v>–</v>
          </cell>
          <cell r="K89" t="str">
            <v>–</v>
          </cell>
          <cell r="L89" t="str">
            <v>–</v>
          </cell>
          <cell r="M89" t="str">
            <v>–</v>
          </cell>
          <cell r="N89" t="str">
            <v>–</v>
          </cell>
          <cell r="O89" t="str">
            <v>–</v>
          </cell>
          <cell r="P89">
            <v>4</v>
          </cell>
          <cell r="Q89" t="str">
            <v>–</v>
          </cell>
          <cell r="R89" t="str">
            <v>–</v>
          </cell>
          <cell r="S89" t="str">
            <v>–</v>
          </cell>
          <cell r="T89" t="str">
            <v>–</v>
          </cell>
          <cell r="U89" t="str">
            <v>–</v>
          </cell>
          <cell r="V89" t="str">
            <v>–</v>
          </cell>
          <cell r="W89">
            <v>0.375</v>
          </cell>
          <cell r="DZ89" t="str">
            <v>W27X368</v>
          </cell>
          <cell r="EA89">
            <v>368</v>
          </cell>
          <cell r="EB89">
            <v>109</v>
          </cell>
          <cell r="EC89">
            <v>30.4</v>
          </cell>
          <cell r="ED89" t="str">
            <v>30 3/8</v>
          </cell>
          <cell r="EE89">
            <v>1.38</v>
          </cell>
          <cell r="EF89" t="str">
            <v>1 3/8</v>
          </cell>
          <cell r="EG89">
            <v>45246</v>
          </cell>
          <cell r="EH89">
            <v>14.7</v>
          </cell>
          <cell r="EI89" t="str">
            <v>14 5/8</v>
          </cell>
          <cell r="EJ89">
            <v>2.48</v>
          </cell>
          <cell r="EK89" t="str">
            <v>2 1/2</v>
          </cell>
          <cell r="EL89">
            <v>2.96</v>
          </cell>
          <cell r="EM89">
            <v>17.3</v>
          </cell>
          <cell r="EN89">
            <v>16200</v>
          </cell>
          <cell r="EO89">
            <v>1060</v>
          </cell>
          <cell r="EP89">
            <v>12.2</v>
          </cell>
          <cell r="EQ89">
            <v>1240</v>
          </cell>
          <cell r="ER89">
            <v>1310</v>
          </cell>
          <cell r="ES89">
            <v>179</v>
          </cell>
          <cell r="ET89">
            <v>3.48</v>
          </cell>
        </row>
        <row r="90">
          <cell r="B90" t="str">
            <v>L4X3X5/16</v>
          </cell>
          <cell r="C90" t="str">
            <v>L4X3X5/16</v>
          </cell>
          <cell r="D90" t="str">
            <v>F</v>
          </cell>
          <cell r="E90">
            <v>7.2</v>
          </cell>
          <cell r="F90">
            <v>2.09</v>
          </cell>
          <cell r="G90" t="str">
            <v>L4X3X5/16</v>
          </cell>
          <cell r="H90">
            <v>3</v>
          </cell>
          <cell r="I90" t="str">
            <v>–</v>
          </cell>
          <cell r="J90" t="str">
            <v>–</v>
          </cell>
          <cell r="K90" t="str">
            <v>–</v>
          </cell>
          <cell r="L90" t="str">
            <v>–</v>
          </cell>
          <cell r="M90" t="str">
            <v>–</v>
          </cell>
          <cell r="N90" t="str">
            <v>–</v>
          </cell>
          <cell r="O90" t="str">
            <v>–</v>
          </cell>
          <cell r="P90">
            <v>4</v>
          </cell>
          <cell r="Q90" t="str">
            <v>–</v>
          </cell>
          <cell r="R90" t="str">
            <v>–</v>
          </cell>
          <cell r="S90" t="str">
            <v>–</v>
          </cell>
          <cell r="T90" t="str">
            <v>–</v>
          </cell>
          <cell r="U90" t="str">
            <v>–</v>
          </cell>
          <cell r="V90" t="str">
            <v>–</v>
          </cell>
          <cell r="W90">
            <v>0.313</v>
          </cell>
          <cell r="DZ90" t="str">
            <v>W27X336</v>
          </cell>
          <cell r="EA90">
            <v>336</v>
          </cell>
          <cell r="EB90">
            <v>99.2</v>
          </cell>
          <cell r="EC90">
            <v>30</v>
          </cell>
          <cell r="ED90">
            <v>30</v>
          </cell>
          <cell r="EE90">
            <v>1.26</v>
          </cell>
          <cell r="EF90" t="str">
            <v>1 1/4</v>
          </cell>
          <cell r="EG90">
            <v>45054</v>
          </cell>
          <cell r="EH90">
            <v>14.6</v>
          </cell>
          <cell r="EI90" t="str">
            <v>14 1/2</v>
          </cell>
          <cell r="EJ90">
            <v>2.2799999999999998</v>
          </cell>
          <cell r="EK90" t="str">
            <v>2 1/4</v>
          </cell>
          <cell r="EL90">
            <v>3.19</v>
          </cell>
          <cell r="EM90">
            <v>18.899999999999999</v>
          </cell>
          <cell r="EN90">
            <v>14600</v>
          </cell>
          <cell r="EO90">
            <v>972</v>
          </cell>
          <cell r="EP90">
            <v>12.1</v>
          </cell>
          <cell r="EQ90">
            <v>1130</v>
          </cell>
          <cell r="ER90">
            <v>1180</v>
          </cell>
          <cell r="ES90">
            <v>162</v>
          </cell>
          <cell r="ET90">
            <v>3.45</v>
          </cell>
        </row>
        <row r="91">
          <cell r="B91" t="str">
            <v>L4X3X1/4</v>
          </cell>
          <cell r="C91" t="str">
            <v>L4X3X1/4</v>
          </cell>
          <cell r="D91" t="str">
            <v>F</v>
          </cell>
          <cell r="E91">
            <v>5.8</v>
          </cell>
          <cell r="F91">
            <v>1.69</v>
          </cell>
          <cell r="G91" t="str">
            <v>L4X3X1/4</v>
          </cell>
          <cell r="H91">
            <v>3</v>
          </cell>
          <cell r="I91" t="str">
            <v>–</v>
          </cell>
          <cell r="J91" t="str">
            <v>–</v>
          </cell>
          <cell r="K91" t="str">
            <v>–</v>
          </cell>
          <cell r="L91" t="str">
            <v>–</v>
          </cell>
          <cell r="M91" t="str">
            <v>–</v>
          </cell>
          <cell r="N91" t="str">
            <v>–</v>
          </cell>
          <cell r="O91" t="str">
            <v>–</v>
          </cell>
          <cell r="P91">
            <v>4</v>
          </cell>
          <cell r="Q91" t="str">
            <v>–</v>
          </cell>
          <cell r="R91" t="str">
            <v>–</v>
          </cell>
          <cell r="S91" t="str">
            <v>–</v>
          </cell>
          <cell r="T91" t="str">
            <v>–</v>
          </cell>
          <cell r="U91" t="str">
            <v>–</v>
          </cell>
          <cell r="V91" t="str">
            <v>–</v>
          </cell>
          <cell r="W91">
            <v>0.25</v>
          </cell>
          <cell r="DZ91" t="str">
            <v>W27X307</v>
          </cell>
          <cell r="EA91">
            <v>307</v>
          </cell>
          <cell r="EB91">
            <v>90.2</v>
          </cell>
          <cell r="EC91">
            <v>29.6</v>
          </cell>
          <cell r="ED91" t="str">
            <v>29 5/8</v>
          </cell>
          <cell r="EE91">
            <v>1.1599999999999999</v>
          </cell>
          <cell r="EF91" t="str">
            <v>1 3/16</v>
          </cell>
          <cell r="EG91">
            <v>45054</v>
          </cell>
          <cell r="EH91">
            <v>14.4</v>
          </cell>
          <cell r="EI91" t="str">
            <v>14 1/2</v>
          </cell>
          <cell r="EJ91">
            <v>2.09</v>
          </cell>
          <cell r="EK91" t="str">
            <v>2 1/16</v>
          </cell>
          <cell r="EL91">
            <v>3.46</v>
          </cell>
          <cell r="EM91">
            <v>20.6</v>
          </cell>
          <cell r="EN91">
            <v>13100</v>
          </cell>
          <cell r="EO91">
            <v>887</v>
          </cell>
          <cell r="EP91">
            <v>12</v>
          </cell>
          <cell r="EQ91">
            <v>1030</v>
          </cell>
          <cell r="ER91">
            <v>1050</v>
          </cell>
          <cell r="ES91">
            <v>146</v>
          </cell>
          <cell r="ET91">
            <v>3.41</v>
          </cell>
        </row>
        <row r="92">
          <cell r="B92" t="str">
            <v>L3-1/2X3-1/2X1/2</v>
          </cell>
          <cell r="C92" t="str">
            <v>L3-1/2X3-1/2X1/2</v>
          </cell>
          <cell r="D92" t="str">
            <v>F</v>
          </cell>
          <cell r="E92">
            <v>11.1</v>
          </cell>
          <cell r="F92">
            <v>3.25</v>
          </cell>
          <cell r="G92" t="str">
            <v>L3-1/2X3-1/2X1/2</v>
          </cell>
          <cell r="H92">
            <v>3.5</v>
          </cell>
          <cell r="I92" t="str">
            <v>–</v>
          </cell>
          <cell r="J92" t="str">
            <v>–</v>
          </cell>
          <cell r="K92" t="str">
            <v>–</v>
          </cell>
          <cell r="L92" t="str">
            <v>–</v>
          </cell>
          <cell r="M92" t="str">
            <v>–</v>
          </cell>
          <cell r="N92" t="str">
            <v>–</v>
          </cell>
          <cell r="O92" t="str">
            <v>–</v>
          </cell>
          <cell r="P92">
            <v>3.5</v>
          </cell>
          <cell r="Q92" t="str">
            <v>–</v>
          </cell>
          <cell r="R92" t="str">
            <v>–</v>
          </cell>
          <cell r="S92" t="str">
            <v>–</v>
          </cell>
          <cell r="T92" t="str">
            <v>–</v>
          </cell>
          <cell r="U92" t="str">
            <v>–</v>
          </cell>
          <cell r="V92" t="str">
            <v>–</v>
          </cell>
          <cell r="W92">
            <v>0.5</v>
          </cell>
          <cell r="DZ92" t="str">
            <v>W27X281</v>
          </cell>
          <cell r="EA92">
            <v>281</v>
          </cell>
          <cell r="EB92">
            <v>83.1</v>
          </cell>
          <cell r="EC92">
            <v>29.3</v>
          </cell>
          <cell r="ED92" t="str">
            <v>29 1/4</v>
          </cell>
          <cell r="EE92">
            <v>1.06</v>
          </cell>
          <cell r="EF92" t="str">
            <v>1 1/16</v>
          </cell>
          <cell r="EG92">
            <v>45185</v>
          </cell>
          <cell r="EH92">
            <v>14.4</v>
          </cell>
          <cell r="EI92" t="str">
            <v>14 3/8</v>
          </cell>
          <cell r="EJ92">
            <v>1.93</v>
          </cell>
          <cell r="EK92" t="str">
            <v>1 15/16</v>
          </cell>
          <cell r="EL92">
            <v>3.72</v>
          </cell>
          <cell r="EM92">
            <v>22.5</v>
          </cell>
          <cell r="EN92">
            <v>11900</v>
          </cell>
          <cell r="EO92">
            <v>814</v>
          </cell>
          <cell r="EP92">
            <v>12</v>
          </cell>
          <cell r="EQ92">
            <v>936</v>
          </cell>
          <cell r="ER92">
            <v>953</v>
          </cell>
          <cell r="ES92">
            <v>133</v>
          </cell>
          <cell r="ET92">
            <v>3.39</v>
          </cell>
        </row>
        <row r="93">
          <cell r="B93" t="str">
            <v>L3-1/2X3-1/2X7/16</v>
          </cell>
          <cell r="C93" t="str">
            <v>L3-1/2X3-1/2X7/16</v>
          </cell>
          <cell r="D93" t="str">
            <v>F</v>
          </cell>
          <cell r="E93">
            <v>9.8000000000000007</v>
          </cell>
          <cell r="F93">
            <v>2.89</v>
          </cell>
          <cell r="G93" t="str">
            <v>L3-1/2X3-1/2X7/16</v>
          </cell>
          <cell r="H93">
            <v>3.5</v>
          </cell>
          <cell r="I93" t="str">
            <v>–</v>
          </cell>
          <cell r="J93" t="str">
            <v>–</v>
          </cell>
          <cell r="K93" t="str">
            <v>–</v>
          </cell>
          <cell r="L93" t="str">
            <v>–</v>
          </cell>
          <cell r="M93" t="str">
            <v>–</v>
          </cell>
          <cell r="N93" t="str">
            <v>–</v>
          </cell>
          <cell r="O93" t="str">
            <v>–</v>
          </cell>
          <cell r="P93">
            <v>3.5</v>
          </cell>
          <cell r="Q93" t="str">
            <v>–</v>
          </cell>
          <cell r="R93" t="str">
            <v>–</v>
          </cell>
          <cell r="S93" t="str">
            <v>–</v>
          </cell>
          <cell r="T93" t="str">
            <v>–</v>
          </cell>
          <cell r="U93" t="str">
            <v>–</v>
          </cell>
          <cell r="V93" t="str">
            <v>–</v>
          </cell>
          <cell r="W93">
            <v>0.438</v>
          </cell>
          <cell r="DZ93" t="str">
            <v>W27X258</v>
          </cell>
          <cell r="EA93">
            <v>258</v>
          </cell>
          <cell r="EB93">
            <v>76.099999999999994</v>
          </cell>
          <cell r="EC93">
            <v>29</v>
          </cell>
          <cell r="ED93">
            <v>29</v>
          </cell>
          <cell r="EE93">
            <v>0.98</v>
          </cell>
          <cell r="EF93">
            <v>1</v>
          </cell>
          <cell r="EG93">
            <v>44928</v>
          </cell>
          <cell r="EH93">
            <v>14.3</v>
          </cell>
          <cell r="EI93" t="str">
            <v>14 1/4</v>
          </cell>
          <cell r="EJ93">
            <v>1.77</v>
          </cell>
          <cell r="EK93" t="str">
            <v>1 3/4</v>
          </cell>
          <cell r="EL93">
            <v>4.03</v>
          </cell>
          <cell r="EM93">
            <v>24.4</v>
          </cell>
          <cell r="EN93">
            <v>10800</v>
          </cell>
          <cell r="EO93">
            <v>745</v>
          </cell>
          <cell r="EP93">
            <v>11.9</v>
          </cell>
          <cell r="EQ93">
            <v>852</v>
          </cell>
          <cell r="ER93">
            <v>859</v>
          </cell>
          <cell r="ES93">
            <v>120</v>
          </cell>
          <cell r="ET93">
            <v>3.36</v>
          </cell>
        </row>
        <row r="94">
          <cell r="B94" t="str">
            <v>L3-1/2X3-1/2X3/8</v>
          </cell>
          <cell r="C94" t="str">
            <v>L3-1/2X3-1/2X3/8</v>
          </cell>
          <cell r="D94" t="str">
            <v>F</v>
          </cell>
          <cell r="E94">
            <v>8.5</v>
          </cell>
          <cell r="F94">
            <v>2.5</v>
          </cell>
          <cell r="G94" t="str">
            <v>L3-1/2X3-1/2X3/8</v>
          </cell>
          <cell r="H94">
            <v>3.5</v>
          </cell>
          <cell r="I94" t="str">
            <v>–</v>
          </cell>
          <cell r="J94" t="str">
            <v>–</v>
          </cell>
          <cell r="K94" t="str">
            <v>–</v>
          </cell>
          <cell r="L94" t="str">
            <v>–</v>
          </cell>
          <cell r="M94" t="str">
            <v>–</v>
          </cell>
          <cell r="N94" t="str">
            <v>–</v>
          </cell>
          <cell r="O94" t="str">
            <v>–</v>
          </cell>
          <cell r="P94">
            <v>3.5</v>
          </cell>
          <cell r="Q94" t="str">
            <v>–</v>
          </cell>
          <cell r="R94" t="str">
            <v>–</v>
          </cell>
          <cell r="S94" t="str">
            <v>–</v>
          </cell>
          <cell r="T94" t="str">
            <v>–</v>
          </cell>
          <cell r="U94" t="str">
            <v>–</v>
          </cell>
          <cell r="V94" t="str">
            <v>–</v>
          </cell>
          <cell r="W94">
            <v>0.375</v>
          </cell>
          <cell r="DZ94" t="str">
            <v>W27X235</v>
          </cell>
          <cell r="EA94">
            <v>235</v>
          </cell>
          <cell r="EB94">
            <v>69.400000000000006</v>
          </cell>
          <cell r="EC94">
            <v>28.7</v>
          </cell>
          <cell r="ED94" t="str">
            <v>28 5/8</v>
          </cell>
          <cell r="EE94">
            <v>0.91</v>
          </cell>
          <cell r="EF94" t="str">
            <v>15/16</v>
          </cell>
          <cell r="EG94">
            <v>44928</v>
          </cell>
          <cell r="EH94">
            <v>14.2</v>
          </cell>
          <cell r="EI94" t="str">
            <v>14 1/4</v>
          </cell>
          <cell r="EJ94">
            <v>1.61</v>
          </cell>
          <cell r="EK94" t="str">
            <v>1 5/8</v>
          </cell>
          <cell r="EL94">
            <v>4.41</v>
          </cell>
          <cell r="EM94">
            <v>26.2</v>
          </cell>
          <cell r="EN94">
            <v>9700</v>
          </cell>
          <cell r="EO94">
            <v>677</v>
          </cell>
          <cell r="EP94">
            <v>11.8</v>
          </cell>
          <cell r="EQ94">
            <v>772</v>
          </cell>
          <cell r="ER94">
            <v>769</v>
          </cell>
          <cell r="ES94">
            <v>108</v>
          </cell>
          <cell r="ET94">
            <v>3.33</v>
          </cell>
        </row>
        <row r="95">
          <cell r="B95" t="str">
            <v>L3-1/2X3-1/2X5/16</v>
          </cell>
          <cell r="C95" t="str">
            <v>L3-1/2X3-1/2X5/16</v>
          </cell>
          <cell r="D95" t="str">
            <v>F</v>
          </cell>
          <cell r="E95">
            <v>7.2</v>
          </cell>
          <cell r="F95">
            <v>2.1</v>
          </cell>
          <cell r="G95" t="str">
            <v>L3-1/2X3-1/2X5/16</v>
          </cell>
          <cell r="H95">
            <v>3.5</v>
          </cell>
          <cell r="I95" t="str">
            <v>–</v>
          </cell>
          <cell r="J95" t="str">
            <v>–</v>
          </cell>
          <cell r="K95" t="str">
            <v>–</v>
          </cell>
          <cell r="L95" t="str">
            <v>–</v>
          </cell>
          <cell r="M95" t="str">
            <v>–</v>
          </cell>
          <cell r="N95" t="str">
            <v>–</v>
          </cell>
          <cell r="O95" t="str">
            <v>–</v>
          </cell>
          <cell r="P95">
            <v>3.5</v>
          </cell>
          <cell r="Q95" t="str">
            <v>–</v>
          </cell>
          <cell r="R95" t="str">
            <v>–</v>
          </cell>
          <cell r="S95" t="str">
            <v>–</v>
          </cell>
          <cell r="T95" t="str">
            <v>–</v>
          </cell>
          <cell r="U95" t="str">
            <v>–</v>
          </cell>
          <cell r="V95" t="str">
            <v>–</v>
          </cell>
          <cell r="W95">
            <v>0.313</v>
          </cell>
          <cell r="DZ95" t="str">
            <v>W27X217</v>
          </cell>
          <cell r="EA95">
            <v>217</v>
          </cell>
          <cell r="EB95">
            <v>63.9</v>
          </cell>
          <cell r="EC95">
            <v>28.4</v>
          </cell>
          <cell r="ED95" t="str">
            <v>28 3/8</v>
          </cell>
          <cell r="EE95">
            <v>0.83</v>
          </cell>
          <cell r="EF95" t="str">
            <v>13/16</v>
          </cell>
          <cell r="EG95">
            <v>45123</v>
          </cell>
          <cell r="EH95">
            <v>14.1</v>
          </cell>
          <cell r="EI95" t="str">
            <v>14 1/8</v>
          </cell>
          <cell r="EJ95">
            <v>1.5</v>
          </cell>
          <cell r="EK95" t="str">
            <v>1 1/2</v>
          </cell>
          <cell r="EL95">
            <v>4.71</v>
          </cell>
          <cell r="EM95">
            <v>28.7</v>
          </cell>
          <cell r="EN95">
            <v>8910</v>
          </cell>
          <cell r="EO95">
            <v>627</v>
          </cell>
          <cell r="EP95">
            <v>11.8</v>
          </cell>
          <cell r="EQ95">
            <v>711</v>
          </cell>
          <cell r="ER95">
            <v>704</v>
          </cell>
          <cell r="ES95">
            <v>100</v>
          </cell>
          <cell r="ET95">
            <v>3.32</v>
          </cell>
        </row>
        <row r="96">
          <cell r="B96" t="str">
            <v>L3-1/2X3-1/2X1/4</v>
          </cell>
          <cell r="C96" t="str">
            <v>L3-1/2X3-1/2X1/4</v>
          </cell>
          <cell r="D96" t="str">
            <v>F</v>
          </cell>
          <cell r="E96">
            <v>5.8</v>
          </cell>
          <cell r="F96">
            <v>1.7</v>
          </cell>
          <cell r="G96" t="str">
            <v>L3-1/2X3-1/2X1/4</v>
          </cell>
          <cell r="H96">
            <v>3.5</v>
          </cell>
          <cell r="I96" t="str">
            <v>–</v>
          </cell>
          <cell r="J96" t="str">
            <v>–</v>
          </cell>
          <cell r="K96" t="str">
            <v>–</v>
          </cell>
          <cell r="L96" t="str">
            <v>–</v>
          </cell>
          <cell r="M96" t="str">
            <v>–</v>
          </cell>
          <cell r="N96" t="str">
            <v>–</v>
          </cell>
          <cell r="O96" t="str">
            <v>–</v>
          </cell>
          <cell r="P96">
            <v>3.5</v>
          </cell>
          <cell r="Q96" t="str">
            <v>–</v>
          </cell>
          <cell r="R96" t="str">
            <v>–</v>
          </cell>
          <cell r="S96" t="str">
            <v>–</v>
          </cell>
          <cell r="T96" t="str">
            <v>–</v>
          </cell>
          <cell r="U96" t="str">
            <v>–</v>
          </cell>
          <cell r="V96" t="str">
            <v>–</v>
          </cell>
          <cell r="W96">
            <v>0.25</v>
          </cell>
          <cell r="DZ96" t="str">
            <v>W27X194</v>
          </cell>
          <cell r="EA96">
            <v>194</v>
          </cell>
          <cell r="EB96">
            <v>57.1</v>
          </cell>
          <cell r="EC96">
            <v>28.1</v>
          </cell>
          <cell r="ED96" t="str">
            <v>28 1/8</v>
          </cell>
          <cell r="EE96">
            <v>0.75</v>
          </cell>
          <cell r="EF96">
            <v>44989</v>
          </cell>
          <cell r="EG96">
            <v>44993</v>
          </cell>
          <cell r="EH96">
            <v>14</v>
          </cell>
          <cell r="EI96">
            <v>14</v>
          </cell>
          <cell r="EJ96">
            <v>1.34</v>
          </cell>
          <cell r="EK96" t="str">
            <v>1 5/16</v>
          </cell>
          <cell r="EL96">
            <v>5.24</v>
          </cell>
          <cell r="EM96">
            <v>31.8</v>
          </cell>
          <cell r="EN96">
            <v>7860</v>
          </cell>
          <cell r="EO96">
            <v>559</v>
          </cell>
          <cell r="EP96">
            <v>11.7</v>
          </cell>
          <cell r="EQ96">
            <v>631</v>
          </cell>
          <cell r="ER96">
            <v>619</v>
          </cell>
          <cell r="ES96">
            <v>88.1</v>
          </cell>
          <cell r="ET96">
            <v>3.29</v>
          </cell>
        </row>
        <row r="97">
          <cell r="B97" t="str">
            <v>L3-1/2X3X1/2</v>
          </cell>
          <cell r="C97" t="str">
            <v>L3-1/2X3X1/2</v>
          </cell>
          <cell r="D97" t="str">
            <v>F</v>
          </cell>
          <cell r="E97">
            <v>10.199999999999999</v>
          </cell>
          <cell r="F97">
            <v>3.02</v>
          </cell>
          <cell r="G97" t="str">
            <v>L3-1/2X3X1/2</v>
          </cell>
          <cell r="H97">
            <v>3</v>
          </cell>
          <cell r="I97" t="str">
            <v>–</v>
          </cell>
          <cell r="J97" t="str">
            <v>–</v>
          </cell>
          <cell r="K97" t="str">
            <v>–</v>
          </cell>
          <cell r="L97" t="str">
            <v>–</v>
          </cell>
          <cell r="M97" t="str">
            <v>–</v>
          </cell>
          <cell r="N97" t="str">
            <v>–</v>
          </cell>
          <cell r="O97" t="str">
            <v>–</v>
          </cell>
          <cell r="P97">
            <v>3.5</v>
          </cell>
          <cell r="Q97" t="str">
            <v>–</v>
          </cell>
          <cell r="R97" t="str">
            <v>–</v>
          </cell>
          <cell r="S97" t="str">
            <v>–</v>
          </cell>
          <cell r="T97" t="str">
            <v>–</v>
          </cell>
          <cell r="U97" t="str">
            <v>–</v>
          </cell>
          <cell r="V97" t="str">
            <v>–</v>
          </cell>
          <cell r="W97">
            <v>0.5</v>
          </cell>
          <cell r="DZ97" t="str">
            <v>W27X178</v>
          </cell>
          <cell r="EA97">
            <v>178</v>
          </cell>
          <cell r="EB97">
            <v>52.5</v>
          </cell>
          <cell r="EC97">
            <v>27.8</v>
          </cell>
          <cell r="ED97" t="str">
            <v>27 3/4</v>
          </cell>
          <cell r="EE97">
            <v>0.72499999999999998</v>
          </cell>
          <cell r="EF97">
            <v>44989</v>
          </cell>
          <cell r="EG97">
            <v>44993</v>
          </cell>
          <cell r="EH97">
            <v>14.1</v>
          </cell>
          <cell r="EI97" t="str">
            <v>14 1/8</v>
          </cell>
          <cell r="EJ97">
            <v>1.19</v>
          </cell>
          <cell r="EK97" t="str">
            <v>1 3/16</v>
          </cell>
          <cell r="EL97">
            <v>5.92</v>
          </cell>
          <cell r="EM97">
            <v>32.9</v>
          </cell>
          <cell r="EN97">
            <v>7020</v>
          </cell>
          <cell r="EO97">
            <v>505</v>
          </cell>
          <cell r="EP97">
            <v>11.6</v>
          </cell>
          <cell r="EQ97">
            <v>570</v>
          </cell>
          <cell r="ER97">
            <v>555</v>
          </cell>
          <cell r="ES97">
            <v>78.8</v>
          </cell>
          <cell r="ET97">
            <v>3.25</v>
          </cell>
        </row>
        <row r="98">
          <cell r="B98" t="str">
            <v>L3-1/2X3X7/16</v>
          </cell>
          <cell r="C98" t="str">
            <v>L3-1/2X3X7/16</v>
          </cell>
          <cell r="D98" t="str">
            <v>F</v>
          </cell>
          <cell r="E98">
            <v>9.1</v>
          </cell>
          <cell r="F98">
            <v>2.67</v>
          </cell>
          <cell r="G98" t="str">
            <v>L3-1/2X3X7/16</v>
          </cell>
          <cell r="H98">
            <v>3</v>
          </cell>
          <cell r="I98" t="str">
            <v>–</v>
          </cell>
          <cell r="J98" t="str">
            <v>–</v>
          </cell>
          <cell r="K98" t="str">
            <v>–</v>
          </cell>
          <cell r="L98" t="str">
            <v>–</v>
          </cell>
          <cell r="M98" t="str">
            <v>–</v>
          </cell>
          <cell r="N98" t="str">
            <v>–</v>
          </cell>
          <cell r="O98" t="str">
            <v>–</v>
          </cell>
          <cell r="P98">
            <v>3.5</v>
          </cell>
          <cell r="Q98" t="str">
            <v>–</v>
          </cell>
          <cell r="R98" t="str">
            <v>–</v>
          </cell>
          <cell r="S98" t="str">
            <v>–</v>
          </cell>
          <cell r="T98" t="str">
            <v>–</v>
          </cell>
          <cell r="U98" t="str">
            <v>–</v>
          </cell>
          <cell r="V98" t="str">
            <v>–</v>
          </cell>
          <cell r="W98">
            <v>0.438</v>
          </cell>
          <cell r="DZ98" t="str">
            <v>W27X161</v>
          </cell>
          <cell r="EA98">
            <v>161</v>
          </cell>
          <cell r="EB98">
            <v>47.6</v>
          </cell>
          <cell r="EC98">
            <v>27.6</v>
          </cell>
          <cell r="ED98" t="str">
            <v>27 5/8</v>
          </cell>
          <cell r="EE98">
            <v>0.66</v>
          </cell>
          <cell r="EF98">
            <v>45246</v>
          </cell>
          <cell r="EG98">
            <v>44993</v>
          </cell>
          <cell r="EH98">
            <v>14</v>
          </cell>
          <cell r="EI98">
            <v>14</v>
          </cell>
          <cell r="EJ98">
            <v>1.08</v>
          </cell>
          <cell r="EK98" t="str">
            <v>1 1/16</v>
          </cell>
          <cell r="EL98">
            <v>6.49</v>
          </cell>
          <cell r="EM98">
            <v>36.1</v>
          </cell>
          <cell r="EN98">
            <v>6310</v>
          </cell>
          <cell r="EO98">
            <v>458</v>
          </cell>
          <cell r="EP98">
            <v>11.5</v>
          </cell>
          <cell r="EQ98">
            <v>515</v>
          </cell>
          <cell r="ER98">
            <v>497</v>
          </cell>
          <cell r="ES98">
            <v>70.900000000000006</v>
          </cell>
          <cell r="ET98">
            <v>3.23</v>
          </cell>
        </row>
        <row r="99">
          <cell r="B99" t="str">
            <v>L3-1/2X3X3/8</v>
          </cell>
          <cell r="C99" t="str">
            <v>L3-1/2X3X3/8</v>
          </cell>
          <cell r="D99" t="str">
            <v>F</v>
          </cell>
          <cell r="E99">
            <v>7.9</v>
          </cell>
          <cell r="F99">
            <v>2.3199999999999998</v>
          </cell>
          <cell r="G99" t="str">
            <v>L3-1/2X3X3/8</v>
          </cell>
          <cell r="H99">
            <v>3</v>
          </cell>
          <cell r="I99" t="str">
            <v>–</v>
          </cell>
          <cell r="J99" t="str">
            <v>–</v>
          </cell>
          <cell r="K99" t="str">
            <v>–</v>
          </cell>
          <cell r="L99" t="str">
            <v>–</v>
          </cell>
          <cell r="M99" t="str">
            <v>–</v>
          </cell>
          <cell r="N99" t="str">
            <v>–</v>
          </cell>
          <cell r="O99" t="str">
            <v>–</v>
          </cell>
          <cell r="P99">
            <v>3.5</v>
          </cell>
          <cell r="Q99" t="str">
            <v>–</v>
          </cell>
          <cell r="R99" t="str">
            <v>–</v>
          </cell>
          <cell r="S99" t="str">
            <v>–</v>
          </cell>
          <cell r="T99" t="str">
            <v>–</v>
          </cell>
          <cell r="U99" t="str">
            <v>–</v>
          </cell>
          <cell r="V99" t="str">
            <v>–</v>
          </cell>
          <cell r="W99">
            <v>0.375</v>
          </cell>
          <cell r="DZ99" t="str">
            <v>W27X146</v>
          </cell>
          <cell r="EA99">
            <v>146</v>
          </cell>
          <cell r="EB99">
            <v>43.2</v>
          </cell>
          <cell r="EC99">
            <v>27.4</v>
          </cell>
          <cell r="ED99" t="str">
            <v>27 3/8</v>
          </cell>
          <cell r="EE99">
            <v>0.60499999999999998</v>
          </cell>
          <cell r="EF99">
            <v>45054</v>
          </cell>
          <cell r="EG99">
            <v>45062</v>
          </cell>
          <cell r="EH99">
            <v>14</v>
          </cell>
          <cell r="EI99">
            <v>14</v>
          </cell>
          <cell r="EJ99">
            <v>0.97499999999999998</v>
          </cell>
          <cell r="EK99">
            <v>1</v>
          </cell>
          <cell r="EL99">
            <v>7.16</v>
          </cell>
          <cell r="EM99">
            <v>39.4</v>
          </cell>
          <cell r="EN99">
            <v>5660</v>
          </cell>
          <cell r="EO99">
            <v>414</v>
          </cell>
          <cell r="EP99">
            <v>11.5</v>
          </cell>
          <cell r="EQ99">
            <v>464</v>
          </cell>
          <cell r="ER99">
            <v>443</v>
          </cell>
          <cell r="ES99">
            <v>63.5</v>
          </cell>
          <cell r="ET99">
            <v>3.2</v>
          </cell>
        </row>
        <row r="100">
          <cell r="B100" t="str">
            <v>L3-1/2X3X5/16</v>
          </cell>
          <cell r="C100" t="str">
            <v>L3-1/2X3X5/16</v>
          </cell>
          <cell r="D100" t="str">
            <v>F</v>
          </cell>
          <cell r="E100">
            <v>6.6</v>
          </cell>
          <cell r="F100">
            <v>1.95</v>
          </cell>
          <cell r="G100" t="str">
            <v>L3-1/2X3X5/16</v>
          </cell>
          <cell r="H100">
            <v>3</v>
          </cell>
          <cell r="I100" t="str">
            <v>–</v>
          </cell>
          <cell r="J100" t="str">
            <v>–</v>
          </cell>
          <cell r="K100" t="str">
            <v>–</v>
          </cell>
          <cell r="L100" t="str">
            <v>–</v>
          </cell>
          <cell r="M100" t="str">
            <v>–</v>
          </cell>
          <cell r="N100" t="str">
            <v>–</v>
          </cell>
          <cell r="O100" t="str">
            <v>–</v>
          </cell>
          <cell r="P100">
            <v>3.5</v>
          </cell>
          <cell r="Q100" t="str">
            <v>–</v>
          </cell>
          <cell r="R100" t="str">
            <v>–</v>
          </cell>
          <cell r="S100" t="str">
            <v>–</v>
          </cell>
          <cell r="T100" t="str">
            <v>–</v>
          </cell>
          <cell r="U100" t="str">
            <v>–</v>
          </cell>
          <cell r="V100" t="str">
            <v>–</v>
          </cell>
          <cell r="W100">
            <v>0.313</v>
          </cell>
          <cell r="DZ100" t="str">
            <v>W27X129</v>
          </cell>
          <cell r="EA100">
            <v>129</v>
          </cell>
          <cell r="EB100">
            <v>37.799999999999997</v>
          </cell>
          <cell r="EC100">
            <v>27.6</v>
          </cell>
          <cell r="ED100" t="str">
            <v>27 5/8</v>
          </cell>
          <cell r="EE100">
            <v>0.61</v>
          </cell>
          <cell r="EF100">
            <v>45054</v>
          </cell>
          <cell r="EG100">
            <v>45062</v>
          </cell>
          <cell r="EH100">
            <v>10</v>
          </cell>
          <cell r="EI100">
            <v>10</v>
          </cell>
          <cell r="EJ100">
            <v>1.1000000000000001</v>
          </cell>
          <cell r="EK100" t="str">
            <v>1 1/8</v>
          </cell>
          <cell r="EL100">
            <v>4.55</v>
          </cell>
          <cell r="EM100">
            <v>39.700000000000003</v>
          </cell>
          <cell r="EN100">
            <v>4760</v>
          </cell>
          <cell r="EO100">
            <v>345</v>
          </cell>
          <cell r="EP100">
            <v>11.2</v>
          </cell>
          <cell r="EQ100">
            <v>395</v>
          </cell>
          <cell r="ER100">
            <v>184</v>
          </cell>
          <cell r="ES100">
            <v>36.799999999999997</v>
          </cell>
          <cell r="ET100">
            <v>2.21</v>
          </cell>
        </row>
        <row r="101">
          <cell r="B101" t="str">
            <v>L3-1/2X3X1/4</v>
          </cell>
          <cell r="C101" t="str">
            <v>L3-1/2X3X1/4</v>
          </cell>
          <cell r="D101" t="str">
            <v>F</v>
          </cell>
          <cell r="E101">
            <v>5.4</v>
          </cell>
          <cell r="F101">
            <v>1.58</v>
          </cell>
          <cell r="G101" t="str">
            <v>L3-1/2X3X1/4</v>
          </cell>
          <cell r="H101">
            <v>3</v>
          </cell>
          <cell r="I101" t="str">
            <v>–</v>
          </cell>
          <cell r="J101" t="str">
            <v>–</v>
          </cell>
          <cell r="K101" t="str">
            <v>–</v>
          </cell>
          <cell r="L101" t="str">
            <v>–</v>
          </cell>
          <cell r="M101" t="str">
            <v>–</v>
          </cell>
          <cell r="N101" t="str">
            <v>–</v>
          </cell>
          <cell r="O101" t="str">
            <v>–</v>
          </cell>
          <cell r="P101">
            <v>3.5</v>
          </cell>
          <cell r="Q101" t="str">
            <v>–</v>
          </cell>
          <cell r="R101" t="str">
            <v>–</v>
          </cell>
          <cell r="S101" t="str">
            <v>–</v>
          </cell>
          <cell r="T101" t="str">
            <v>–</v>
          </cell>
          <cell r="U101" t="str">
            <v>–</v>
          </cell>
          <cell r="V101" t="str">
            <v>–</v>
          </cell>
          <cell r="W101">
            <v>0.25</v>
          </cell>
          <cell r="DZ101" t="str">
            <v>W27X114</v>
          </cell>
          <cell r="EA101">
            <v>114</v>
          </cell>
          <cell r="EB101">
            <v>33.6</v>
          </cell>
          <cell r="EC101">
            <v>27.3</v>
          </cell>
          <cell r="ED101" t="str">
            <v>27 1/4</v>
          </cell>
          <cell r="EE101">
            <v>0.56999999999999995</v>
          </cell>
          <cell r="EF101">
            <v>45185</v>
          </cell>
          <cell r="EG101">
            <v>45062</v>
          </cell>
          <cell r="EH101">
            <v>10.1</v>
          </cell>
          <cell r="EI101" t="str">
            <v>10 1/8</v>
          </cell>
          <cell r="EJ101">
            <v>0.93</v>
          </cell>
          <cell r="EK101" t="str">
            <v>15/16</v>
          </cell>
          <cell r="EL101">
            <v>5.41</v>
          </cell>
          <cell r="EM101">
            <v>42.5</v>
          </cell>
          <cell r="EN101">
            <v>4080</v>
          </cell>
          <cell r="EO101">
            <v>299</v>
          </cell>
          <cell r="EP101">
            <v>11</v>
          </cell>
          <cell r="EQ101">
            <v>343</v>
          </cell>
          <cell r="ER101">
            <v>159</v>
          </cell>
          <cell r="ES101">
            <v>31.5</v>
          </cell>
          <cell r="ET101">
            <v>2.1800000000000002</v>
          </cell>
        </row>
        <row r="102">
          <cell r="B102" t="str">
            <v>L3-1/2X2-1/2X1/2</v>
          </cell>
          <cell r="C102" t="str">
            <v>L3-1/2X2-1/2X1/2</v>
          </cell>
          <cell r="D102" t="str">
            <v>F</v>
          </cell>
          <cell r="E102">
            <v>9.4</v>
          </cell>
          <cell r="F102">
            <v>2.77</v>
          </cell>
          <cell r="G102" t="str">
            <v>L3-1/2X2-1/2X1/2</v>
          </cell>
          <cell r="H102">
            <v>2.5</v>
          </cell>
          <cell r="I102" t="str">
            <v>–</v>
          </cell>
          <cell r="J102" t="str">
            <v>–</v>
          </cell>
          <cell r="K102" t="str">
            <v>–</v>
          </cell>
          <cell r="L102" t="str">
            <v>–</v>
          </cell>
          <cell r="M102" t="str">
            <v>–</v>
          </cell>
          <cell r="N102" t="str">
            <v>–</v>
          </cell>
          <cell r="O102" t="str">
            <v>–</v>
          </cell>
          <cell r="P102">
            <v>3.5</v>
          </cell>
          <cell r="Q102" t="str">
            <v>–</v>
          </cell>
          <cell r="R102" t="str">
            <v>–</v>
          </cell>
          <cell r="S102" t="str">
            <v>–</v>
          </cell>
          <cell r="T102" t="str">
            <v>–</v>
          </cell>
          <cell r="U102" t="str">
            <v>–</v>
          </cell>
          <cell r="V102" t="str">
            <v>–</v>
          </cell>
          <cell r="W102">
            <v>0.5</v>
          </cell>
          <cell r="DZ102" t="str">
            <v>W27X102</v>
          </cell>
          <cell r="EA102">
            <v>102</v>
          </cell>
          <cell r="EB102">
            <v>30</v>
          </cell>
          <cell r="EC102">
            <v>27.1</v>
          </cell>
          <cell r="ED102" t="str">
            <v>27 1/8</v>
          </cell>
          <cell r="EE102">
            <v>0.51500000000000001</v>
          </cell>
          <cell r="EF102">
            <v>44928</v>
          </cell>
          <cell r="EG102">
            <v>44930</v>
          </cell>
          <cell r="EH102">
            <v>10</v>
          </cell>
          <cell r="EI102">
            <v>10</v>
          </cell>
          <cell r="EJ102">
            <v>0.83</v>
          </cell>
          <cell r="EK102" t="str">
            <v>13/16</v>
          </cell>
          <cell r="EL102">
            <v>6.03</v>
          </cell>
          <cell r="EM102">
            <v>47.1</v>
          </cell>
          <cell r="EN102">
            <v>3620</v>
          </cell>
          <cell r="EO102">
            <v>267</v>
          </cell>
          <cell r="EP102">
            <v>11</v>
          </cell>
          <cell r="EQ102">
            <v>305</v>
          </cell>
          <cell r="ER102">
            <v>139</v>
          </cell>
          <cell r="ES102">
            <v>27.8</v>
          </cell>
          <cell r="ET102">
            <v>2.15</v>
          </cell>
        </row>
        <row r="103">
          <cell r="B103" t="str">
            <v>L3-1/2X2-1/2X3/8</v>
          </cell>
          <cell r="C103" t="str">
            <v>L3-1/2X2-1/2X3/8</v>
          </cell>
          <cell r="D103" t="str">
            <v>F</v>
          </cell>
          <cell r="E103">
            <v>7.2</v>
          </cell>
          <cell r="F103">
            <v>2.12</v>
          </cell>
          <cell r="G103" t="str">
            <v>L3-1/2X2-1/2X3/8</v>
          </cell>
          <cell r="H103">
            <v>2.5</v>
          </cell>
          <cell r="I103" t="str">
            <v>–</v>
          </cell>
          <cell r="J103" t="str">
            <v>–</v>
          </cell>
          <cell r="K103" t="str">
            <v>–</v>
          </cell>
          <cell r="L103" t="str">
            <v>–</v>
          </cell>
          <cell r="M103" t="str">
            <v>–</v>
          </cell>
          <cell r="N103" t="str">
            <v>–</v>
          </cell>
          <cell r="O103" t="str">
            <v>–</v>
          </cell>
          <cell r="P103">
            <v>3.5</v>
          </cell>
          <cell r="Q103" t="str">
            <v>–</v>
          </cell>
          <cell r="R103" t="str">
            <v>–</v>
          </cell>
          <cell r="S103" t="str">
            <v>–</v>
          </cell>
          <cell r="T103" t="str">
            <v>–</v>
          </cell>
          <cell r="U103" t="str">
            <v>–</v>
          </cell>
          <cell r="V103" t="str">
            <v>–</v>
          </cell>
          <cell r="W103">
            <v>0.375</v>
          </cell>
          <cell r="DZ103" t="str">
            <v>W27X94</v>
          </cell>
          <cell r="EA103">
            <v>94</v>
          </cell>
          <cell r="EB103">
            <v>27.6</v>
          </cell>
          <cell r="EC103">
            <v>26.9</v>
          </cell>
          <cell r="ED103" t="str">
            <v>26 7/8</v>
          </cell>
          <cell r="EE103">
            <v>0.49</v>
          </cell>
          <cell r="EF103">
            <v>44928</v>
          </cell>
          <cell r="EG103">
            <v>44930</v>
          </cell>
          <cell r="EH103">
            <v>10</v>
          </cell>
          <cell r="EI103">
            <v>10</v>
          </cell>
          <cell r="EJ103">
            <v>0.745</v>
          </cell>
          <cell r="EK103">
            <v>44989</v>
          </cell>
          <cell r="EL103">
            <v>6.7</v>
          </cell>
          <cell r="EM103">
            <v>49.5</v>
          </cell>
          <cell r="EN103">
            <v>3270</v>
          </cell>
          <cell r="EO103">
            <v>243</v>
          </cell>
          <cell r="EP103">
            <v>10.9</v>
          </cell>
          <cell r="EQ103">
            <v>278</v>
          </cell>
          <cell r="ER103">
            <v>124</v>
          </cell>
          <cell r="ES103">
            <v>24.8</v>
          </cell>
          <cell r="ET103">
            <v>2.12</v>
          </cell>
        </row>
        <row r="104">
          <cell r="B104" t="str">
            <v>L3-1/2X2-1/2X5/16</v>
          </cell>
          <cell r="C104" t="str">
            <v>L3-1/2X2-1/2X5/16</v>
          </cell>
          <cell r="D104" t="str">
            <v>F</v>
          </cell>
          <cell r="E104">
            <v>6.1</v>
          </cell>
          <cell r="F104">
            <v>1.79</v>
          </cell>
          <cell r="G104" t="str">
            <v>L3-1/2X2-1/2X5/16</v>
          </cell>
          <cell r="H104">
            <v>2.5</v>
          </cell>
          <cell r="I104" t="str">
            <v>–</v>
          </cell>
          <cell r="J104" t="str">
            <v>–</v>
          </cell>
          <cell r="K104" t="str">
            <v>–</v>
          </cell>
          <cell r="L104" t="str">
            <v>–</v>
          </cell>
          <cell r="M104" t="str">
            <v>–</v>
          </cell>
          <cell r="N104" t="str">
            <v>–</v>
          </cell>
          <cell r="O104" t="str">
            <v>–</v>
          </cell>
          <cell r="P104">
            <v>3.5</v>
          </cell>
          <cell r="Q104" t="str">
            <v>–</v>
          </cell>
          <cell r="R104" t="str">
            <v>–</v>
          </cell>
          <cell r="S104" t="str">
            <v>–</v>
          </cell>
          <cell r="T104" t="str">
            <v>–</v>
          </cell>
          <cell r="U104" t="str">
            <v>–</v>
          </cell>
          <cell r="V104" t="str">
            <v>–</v>
          </cell>
          <cell r="W104">
            <v>0.313</v>
          </cell>
          <cell r="DZ104" t="str">
            <v>W27X84</v>
          </cell>
          <cell r="EA104">
            <v>84</v>
          </cell>
          <cell r="EB104">
            <v>24.7</v>
          </cell>
          <cell r="EC104">
            <v>26.7</v>
          </cell>
          <cell r="ED104" t="str">
            <v>26 3/4</v>
          </cell>
          <cell r="EE104">
            <v>0.46</v>
          </cell>
          <cell r="EF104">
            <v>45123</v>
          </cell>
          <cell r="EG104">
            <v>44930</v>
          </cell>
          <cell r="EH104">
            <v>10</v>
          </cell>
          <cell r="EI104">
            <v>10</v>
          </cell>
          <cell r="EJ104">
            <v>0.64</v>
          </cell>
          <cell r="EK104">
            <v>45054</v>
          </cell>
          <cell r="EL104">
            <v>7.78</v>
          </cell>
          <cell r="EM104">
            <v>52.7</v>
          </cell>
          <cell r="EN104">
            <v>2850</v>
          </cell>
          <cell r="EO104">
            <v>213</v>
          </cell>
          <cell r="EP104">
            <v>10.7</v>
          </cell>
          <cell r="EQ104">
            <v>244</v>
          </cell>
          <cell r="ER104">
            <v>106</v>
          </cell>
          <cell r="ES104">
            <v>21.2</v>
          </cell>
          <cell r="ET104">
            <v>2.0699999999999998</v>
          </cell>
        </row>
        <row r="105">
          <cell r="B105" t="str">
            <v>L3-1/2X2-1/2X1/4</v>
          </cell>
          <cell r="C105" t="str">
            <v>L3-1/2X2-1/2X1/4</v>
          </cell>
          <cell r="D105" t="str">
            <v>F</v>
          </cell>
          <cell r="E105">
            <v>4.9000000000000004</v>
          </cell>
          <cell r="F105">
            <v>1.45</v>
          </cell>
          <cell r="G105" t="str">
            <v>L3-1/2X2-1/2X1/4</v>
          </cell>
          <cell r="H105">
            <v>2.5</v>
          </cell>
          <cell r="I105" t="str">
            <v>–</v>
          </cell>
          <cell r="J105" t="str">
            <v>–</v>
          </cell>
          <cell r="K105" t="str">
            <v>–</v>
          </cell>
          <cell r="L105" t="str">
            <v>–</v>
          </cell>
          <cell r="M105" t="str">
            <v>–</v>
          </cell>
          <cell r="N105" t="str">
            <v>–</v>
          </cell>
          <cell r="O105" t="str">
            <v>–</v>
          </cell>
          <cell r="P105">
            <v>3.5</v>
          </cell>
          <cell r="Q105" t="str">
            <v>–</v>
          </cell>
          <cell r="R105" t="str">
            <v>–</v>
          </cell>
          <cell r="S105" t="str">
            <v>–</v>
          </cell>
          <cell r="T105" t="str">
            <v>–</v>
          </cell>
          <cell r="U105" t="str">
            <v>–</v>
          </cell>
          <cell r="V105" t="str">
            <v>–</v>
          </cell>
          <cell r="W105">
            <v>0.25</v>
          </cell>
          <cell r="DZ105" t="str">
            <v>W24X370</v>
          </cell>
          <cell r="EA105">
            <v>370</v>
          </cell>
          <cell r="EB105">
            <v>109</v>
          </cell>
          <cell r="EC105">
            <v>28</v>
          </cell>
          <cell r="ED105">
            <v>28</v>
          </cell>
          <cell r="EE105">
            <v>1.52</v>
          </cell>
          <cell r="EF105" t="str">
            <v>1 1/2</v>
          </cell>
          <cell r="EG105">
            <v>44989</v>
          </cell>
          <cell r="EH105">
            <v>13.7</v>
          </cell>
          <cell r="EI105" t="str">
            <v>13 5/8</v>
          </cell>
          <cell r="EJ105">
            <v>2.72</v>
          </cell>
          <cell r="EK105" t="str">
            <v>2 3/4</v>
          </cell>
          <cell r="EL105">
            <v>2.5099999999999998</v>
          </cell>
          <cell r="EM105">
            <v>14.2</v>
          </cell>
          <cell r="EN105">
            <v>13400</v>
          </cell>
          <cell r="EO105">
            <v>957</v>
          </cell>
          <cell r="EP105">
            <v>11.1</v>
          </cell>
          <cell r="EQ105">
            <v>1130</v>
          </cell>
          <cell r="ER105">
            <v>1160</v>
          </cell>
          <cell r="ES105">
            <v>170</v>
          </cell>
          <cell r="ET105">
            <v>3.27</v>
          </cell>
        </row>
        <row r="106">
          <cell r="B106" t="str">
            <v>L3X3X1/2</v>
          </cell>
          <cell r="C106" t="str">
            <v>L3X3X1/2</v>
          </cell>
          <cell r="D106" t="str">
            <v>F</v>
          </cell>
          <cell r="E106">
            <v>9.4</v>
          </cell>
          <cell r="F106">
            <v>2.76</v>
          </cell>
          <cell r="G106" t="str">
            <v>L3X3X1/2</v>
          </cell>
          <cell r="H106">
            <v>3</v>
          </cell>
          <cell r="I106" t="str">
            <v>–</v>
          </cell>
          <cell r="J106" t="str">
            <v>–</v>
          </cell>
          <cell r="K106" t="str">
            <v>–</v>
          </cell>
          <cell r="L106" t="str">
            <v>–</v>
          </cell>
          <cell r="M106" t="str">
            <v>–</v>
          </cell>
          <cell r="N106" t="str">
            <v>–</v>
          </cell>
          <cell r="O106" t="str">
            <v>–</v>
          </cell>
          <cell r="P106">
            <v>3</v>
          </cell>
          <cell r="Q106" t="str">
            <v>–</v>
          </cell>
          <cell r="R106" t="str">
            <v>–</v>
          </cell>
          <cell r="S106" t="str">
            <v>–</v>
          </cell>
          <cell r="T106" t="str">
            <v>–</v>
          </cell>
          <cell r="U106" t="str">
            <v>–</v>
          </cell>
          <cell r="V106" t="str">
            <v>–</v>
          </cell>
          <cell r="W106">
            <v>0.5</v>
          </cell>
          <cell r="DZ106" t="str">
            <v>W24X335</v>
          </cell>
          <cell r="EA106">
            <v>335</v>
          </cell>
          <cell r="EB106">
            <v>98.3</v>
          </cell>
          <cell r="EC106">
            <v>27.5</v>
          </cell>
          <cell r="ED106" t="str">
            <v>27 1/2</v>
          </cell>
          <cell r="EE106">
            <v>1.38</v>
          </cell>
          <cell r="EF106" t="str">
            <v>1 3/8</v>
          </cell>
          <cell r="EG106">
            <v>45246</v>
          </cell>
          <cell r="EH106">
            <v>13.5</v>
          </cell>
          <cell r="EI106" t="str">
            <v>13 1/2</v>
          </cell>
          <cell r="EJ106">
            <v>2.48</v>
          </cell>
          <cell r="EK106" t="str">
            <v>2 1/2</v>
          </cell>
          <cell r="EL106">
            <v>2.73</v>
          </cell>
          <cell r="EM106">
            <v>15.6</v>
          </cell>
          <cell r="EN106">
            <v>11900</v>
          </cell>
          <cell r="EO106">
            <v>864</v>
          </cell>
          <cell r="EP106">
            <v>11</v>
          </cell>
          <cell r="EQ106">
            <v>1020</v>
          </cell>
          <cell r="ER106">
            <v>1030</v>
          </cell>
          <cell r="ES106">
            <v>152</v>
          </cell>
          <cell r="ET106">
            <v>3.23</v>
          </cell>
        </row>
        <row r="107">
          <cell r="B107" t="str">
            <v>L3X3X7/16</v>
          </cell>
          <cell r="C107" t="str">
            <v>L3X3X7/16</v>
          </cell>
          <cell r="D107" t="str">
            <v>F</v>
          </cell>
          <cell r="E107">
            <v>8.3000000000000007</v>
          </cell>
          <cell r="F107">
            <v>2.4300000000000002</v>
          </cell>
          <cell r="G107" t="str">
            <v>L3X3X7/16</v>
          </cell>
          <cell r="H107">
            <v>3</v>
          </cell>
          <cell r="I107" t="str">
            <v>–</v>
          </cell>
          <cell r="J107" t="str">
            <v>–</v>
          </cell>
          <cell r="K107" t="str">
            <v>–</v>
          </cell>
          <cell r="L107" t="str">
            <v>–</v>
          </cell>
          <cell r="M107" t="str">
            <v>–</v>
          </cell>
          <cell r="N107" t="str">
            <v>–</v>
          </cell>
          <cell r="O107" t="str">
            <v>–</v>
          </cell>
          <cell r="P107">
            <v>3</v>
          </cell>
          <cell r="Q107" t="str">
            <v>–</v>
          </cell>
          <cell r="R107" t="str">
            <v>–</v>
          </cell>
          <cell r="S107" t="str">
            <v>–</v>
          </cell>
          <cell r="T107" t="str">
            <v>–</v>
          </cell>
          <cell r="U107" t="str">
            <v>–</v>
          </cell>
          <cell r="V107" t="str">
            <v>–</v>
          </cell>
          <cell r="W107">
            <v>0.438</v>
          </cell>
          <cell r="DZ107" t="str">
            <v>W24X306</v>
          </cell>
          <cell r="EA107">
            <v>306</v>
          </cell>
          <cell r="EB107">
            <v>89.7</v>
          </cell>
          <cell r="EC107">
            <v>27.1</v>
          </cell>
          <cell r="ED107" t="str">
            <v>27 1/8</v>
          </cell>
          <cell r="EE107">
            <v>1.26</v>
          </cell>
          <cell r="EF107" t="str">
            <v>1 1/4</v>
          </cell>
          <cell r="EG107">
            <v>45054</v>
          </cell>
          <cell r="EH107">
            <v>13.4</v>
          </cell>
          <cell r="EI107" t="str">
            <v>13 3/8</v>
          </cell>
          <cell r="EJ107">
            <v>2.2799999999999998</v>
          </cell>
          <cell r="EK107" t="str">
            <v>2 1/4</v>
          </cell>
          <cell r="EL107">
            <v>2.94</v>
          </cell>
          <cell r="EM107">
            <v>17.100000000000001</v>
          </cell>
          <cell r="EN107">
            <v>10700</v>
          </cell>
          <cell r="EO107">
            <v>789</v>
          </cell>
          <cell r="EP107">
            <v>10.9</v>
          </cell>
          <cell r="EQ107">
            <v>922</v>
          </cell>
          <cell r="ER107">
            <v>919</v>
          </cell>
          <cell r="ES107">
            <v>137</v>
          </cell>
          <cell r="ET107">
            <v>3.2</v>
          </cell>
        </row>
        <row r="108">
          <cell r="B108" t="str">
            <v>L3X3X3/8</v>
          </cell>
          <cell r="C108" t="str">
            <v>L3X3X3/8</v>
          </cell>
          <cell r="D108" t="str">
            <v>F</v>
          </cell>
          <cell r="E108">
            <v>7.2</v>
          </cell>
          <cell r="F108">
            <v>2.11</v>
          </cell>
          <cell r="G108" t="str">
            <v>L3X3X3/8</v>
          </cell>
          <cell r="H108">
            <v>3</v>
          </cell>
          <cell r="I108" t="str">
            <v>–</v>
          </cell>
          <cell r="J108" t="str">
            <v>–</v>
          </cell>
          <cell r="K108" t="str">
            <v>–</v>
          </cell>
          <cell r="L108" t="str">
            <v>–</v>
          </cell>
          <cell r="M108" t="str">
            <v>–</v>
          </cell>
          <cell r="N108" t="str">
            <v>–</v>
          </cell>
          <cell r="O108" t="str">
            <v>–</v>
          </cell>
          <cell r="P108">
            <v>3</v>
          </cell>
          <cell r="Q108" t="str">
            <v>–</v>
          </cell>
          <cell r="R108" t="str">
            <v>–</v>
          </cell>
          <cell r="S108" t="str">
            <v>–</v>
          </cell>
          <cell r="T108" t="str">
            <v>–</v>
          </cell>
          <cell r="U108" t="str">
            <v>–</v>
          </cell>
          <cell r="V108" t="str">
            <v>–</v>
          </cell>
          <cell r="W108">
            <v>0.375</v>
          </cell>
          <cell r="DZ108" t="str">
            <v>W24X279</v>
          </cell>
          <cell r="EA108">
            <v>279</v>
          </cell>
          <cell r="EB108">
            <v>81.900000000000006</v>
          </cell>
          <cell r="EC108">
            <v>26.7</v>
          </cell>
          <cell r="ED108" t="str">
            <v>26 3/4</v>
          </cell>
          <cell r="EE108">
            <v>1.1599999999999999</v>
          </cell>
          <cell r="EF108" t="str">
            <v>1 3/16</v>
          </cell>
          <cell r="EG108">
            <v>45054</v>
          </cell>
          <cell r="EH108">
            <v>13.3</v>
          </cell>
          <cell r="EI108" t="str">
            <v>13 1/4</v>
          </cell>
          <cell r="EJ108">
            <v>2.09</v>
          </cell>
          <cell r="EK108" t="str">
            <v>2 1/16</v>
          </cell>
          <cell r="EL108">
            <v>3.18</v>
          </cell>
          <cell r="EM108">
            <v>18.600000000000001</v>
          </cell>
          <cell r="EN108">
            <v>9600</v>
          </cell>
          <cell r="EO108">
            <v>718</v>
          </cell>
          <cell r="EP108">
            <v>10.8</v>
          </cell>
          <cell r="EQ108">
            <v>835</v>
          </cell>
          <cell r="ER108">
            <v>823</v>
          </cell>
          <cell r="ES108">
            <v>124</v>
          </cell>
          <cell r="ET108">
            <v>3.17</v>
          </cell>
        </row>
        <row r="109">
          <cell r="B109" t="str">
            <v>L3X3X5/16</v>
          </cell>
          <cell r="C109" t="str">
            <v>L3X3X5/16</v>
          </cell>
          <cell r="D109" t="str">
            <v>F</v>
          </cell>
          <cell r="E109">
            <v>6.1</v>
          </cell>
          <cell r="F109">
            <v>1.78</v>
          </cell>
          <cell r="G109" t="str">
            <v>L3X3X5/16</v>
          </cell>
          <cell r="H109">
            <v>3</v>
          </cell>
          <cell r="I109" t="str">
            <v>–</v>
          </cell>
          <cell r="J109" t="str">
            <v>–</v>
          </cell>
          <cell r="K109" t="str">
            <v>–</v>
          </cell>
          <cell r="L109" t="str">
            <v>–</v>
          </cell>
          <cell r="M109" t="str">
            <v>–</v>
          </cell>
          <cell r="N109" t="str">
            <v>–</v>
          </cell>
          <cell r="O109" t="str">
            <v>–</v>
          </cell>
          <cell r="P109">
            <v>3</v>
          </cell>
          <cell r="Q109" t="str">
            <v>–</v>
          </cell>
          <cell r="R109" t="str">
            <v>–</v>
          </cell>
          <cell r="S109" t="str">
            <v>–</v>
          </cell>
          <cell r="T109" t="str">
            <v>–</v>
          </cell>
          <cell r="U109" t="str">
            <v>–</v>
          </cell>
          <cell r="V109" t="str">
            <v>–</v>
          </cell>
          <cell r="W109">
            <v>0.313</v>
          </cell>
          <cell r="DZ109" t="str">
            <v>W24X250</v>
          </cell>
          <cell r="EA109">
            <v>250</v>
          </cell>
          <cell r="EB109">
            <v>73.5</v>
          </cell>
          <cell r="EC109">
            <v>26.3</v>
          </cell>
          <cell r="ED109" t="str">
            <v>26 3/8</v>
          </cell>
          <cell r="EE109">
            <v>1.04</v>
          </cell>
          <cell r="EF109" t="str">
            <v>1 1/16</v>
          </cell>
          <cell r="EG109">
            <v>45185</v>
          </cell>
          <cell r="EH109">
            <v>13.2</v>
          </cell>
          <cell r="EI109" t="str">
            <v>13 1/8</v>
          </cell>
          <cell r="EJ109">
            <v>1.89</v>
          </cell>
          <cell r="EK109" t="str">
            <v>1 7/8</v>
          </cell>
          <cell r="EL109">
            <v>3.49</v>
          </cell>
          <cell r="EM109">
            <v>20.7</v>
          </cell>
          <cell r="EN109">
            <v>8490</v>
          </cell>
          <cell r="EO109">
            <v>644</v>
          </cell>
          <cell r="EP109">
            <v>10.7</v>
          </cell>
          <cell r="EQ109">
            <v>744</v>
          </cell>
          <cell r="ER109">
            <v>724</v>
          </cell>
          <cell r="ES109">
            <v>110</v>
          </cell>
          <cell r="ET109">
            <v>3.14</v>
          </cell>
        </row>
        <row r="110">
          <cell r="B110" t="str">
            <v>L3X3X1/4</v>
          </cell>
          <cell r="C110" t="str">
            <v>L3X3X1/4</v>
          </cell>
          <cell r="D110" t="str">
            <v>F</v>
          </cell>
          <cell r="E110">
            <v>4.9000000000000004</v>
          </cell>
          <cell r="F110">
            <v>1.44</v>
          </cell>
          <cell r="G110" t="str">
            <v>L3X3X1/4</v>
          </cell>
          <cell r="H110">
            <v>3</v>
          </cell>
          <cell r="I110" t="str">
            <v>–</v>
          </cell>
          <cell r="J110" t="str">
            <v>–</v>
          </cell>
          <cell r="K110" t="str">
            <v>–</v>
          </cell>
          <cell r="L110" t="str">
            <v>–</v>
          </cell>
          <cell r="M110" t="str">
            <v>–</v>
          </cell>
          <cell r="N110" t="str">
            <v>–</v>
          </cell>
          <cell r="O110" t="str">
            <v>–</v>
          </cell>
          <cell r="P110">
            <v>3</v>
          </cell>
          <cell r="Q110" t="str">
            <v>–</v>
          </cell>
          <cell r="R110" t="str">
            <v>–</v>
          </cell>
          <cell r="S110" t="str">
            <v>–</v>
          </cell>
          <cell r="T110" t="str">
            <v>–</v>
          </cell>
          <cell r="U110" t="str">
            <v>–</v>
          </cell>
          <cell r="V110" t="str">
            <v>–</v>
          </cell>
          <cell r="W110">
            <v>0.25</v>
          </cell>
          <cell r="DZ110" t="str">
            <v>W24X229</v>
          </cell>
          <cell r="EA110">
            <v>229</v>
          </cell>
          <cell r="EB110">
            <v>67.2</v>
          </cell>
          <cell r="EC110">
            <v>26</v>
          </cell>
          <cell r="ED110">
            <v>26</v>
          </cell>
          <cell r="EE110">
            <v>0.96</v>
          </cell>
          <cell r="EF110" t="str">
            <v>15/16</v>
          </cell>
          <cell r="EG110">
            <v>44928</v>
          </cell>
          <cell r="EH110">
            <v>13.1</v>
          </cell>
          <cell r="EI110" t="str">
            <v>13 1/8</v>
          </cell>
          <cell r="EJ110">
            <v>1.73</v>
          </cell>
          <cell r="EK110" t="str">
            <v>1 3/4</v>
          </cell>
          <cell r="EL110">
            <v>3.79</v>
          </cell>
          <cell r="EM110">
            <v>22.5</v>
          </cell>
          <cell r="EN110">
            <v>7650</v>
          </cell>
          <cell r="EO110">
            <v>588</v>
          </cell>
          <cell r="EP110">
            <v>10.7</v>
          </cell>
          <cell r="EQ110">
            <v>675</v>
          </cell>
          <cell r="ER110">
            <v>651</v>
          </cell>
          <cell r="ES110">
            <v>99.4</v>
          </cell>
          <cell r="ET110">
            <v>3.11</v>
          </cell>
        </row>
        <row r="111">
          <cell r="B111" t="str">
            <v>L3X3X3/16</v>
          </cell>
          <cell r="C111" t="str">
            <v>L3X3X3/16</v>
          </cell>
          <cell r="D111" t="str">
            <v>F</v>
          </cell>
          <cell r="E111">
            <v>3.71</v>
          </cell>
          <cell r="F111">
            <v>1.0900000000000001</v>
          </cell>
          <cell r="G111" t="str">
            <v>L3X3X3/16</v>
          </cell>
          <cell r="H111">
            <v>3</v>
          </cell>
          <cell r="I111" t="str">
            <v>–</v>
          </cell>
          <cell r="J111" t="str">
            <v>–</v>
          </cell>
          <cell r="K111" t="str">
            <v>–</v>
          </cell>
          <cell r="L111" t="str">
            <v>–</v>
          </cell>
          <cell r="M111" t="str">
            <v>–</v>
          </cell>
          <cell r="N111" t="str">
            <v>–</v>
          </cell>
          <cell r="O111" t="str">
            <v>–</v>
          </cell>
          <cell r="P111">
            <v>3</v>
          </cell>
          <cell r="Q111" t="str">
            <v>–</v>
          </cell>
          <cell r="R111" t="str">
            <v>–</v>
          </cell>
          <cell r="S111" t="str">
            <v>–</v>
          </cell>
          <cell r="T111" t="str">
            <v>–</v>
          </cell>
          <cell r="U111" t="str">
            <v>–</v>
          </cell>
          <cell r="V111" t="str">
            <v>–</v>
          </cell>
          <cell r="W111">
            <v>0.188</v>
          </cell>
          <cell r="DZ111" t="str">
            <v>W24X207</v>
          </cell>
          <cell r="EA111">
            <v>207</v>
          </cell>
          <cell r="EB111">
            <v>60.7</v>
          </cell>
          <cell r="EC111">
            <v>25.7</v>
          </cell>
          <cell r="ED111" t="str">
            <v>25 3/4</v>
          </cell>
          <cell r="EE111">
            <v>0.87</v>
          </cell>
          <cell r="EF111">
            <v>45115</v>
          </cell>
          <cell r="EG111">
            <v>45123</v>
          </cell>
          <cell r="EH111">
            <v>13</v>
          </cell>
          <cell r="EI111">
            <v>13</v>
          </cell>
          <cell r="EJ111">
            <v>1.57</v>
          </cell>
          <cell r="EK111" t="str">
            <v>1 9/16</v>
          </cell>
          <cell r="EL111">
            <v>4.1399999999999997</v>
          </cell>
          <cell r="EM111">
            <v>24.8</v>
          </cell>
          <cell r="EN111">
            <v>6820</v>
          </cell>
          <cell r="EO111">
            <v>531</v>
          </cell>
          <cell r="EP111">
            <v>10.6</v>
          </cell>
          <cell r="EQ111">
            <v>606</v>
          </cell>
          <cell r="ER111">
            <v>578</v>
          </cell>
          <cell r="ES111">
            <v>88.8</v>
          </cell>
          <cell r="ET111">
            <v>3.08</v>
          </cell>
        </row>
        <row r="112">
          <cell r="B112" t="str">
            <v>L3X2-1/2X1/2</v>
          </cell>
          <cell r="C112" t="str">
            <v>L3X2-1/2X1/2</v>
          </cell>
          <cell r="D112" t="str">
            <v>F</v>
          </cell>
          <cell r="E112">
            <v>8.5</v>
          </cell>
          <cell r="F112">
            <v>2.5</v>
          </cell>
          <cell r="G112" t="str">
            <v>L3X2-1/2X1/2</v>
          </cell>
          <cell r="H112">
            <v>2.5</v>
          </cell>
          <cell r="I112" t="str">
            <v>–</v>
          </cell>
          <cell r="J112" t="str">
            <v>–</v>
          </cell>
          <cell r="K112" t="str">
            <v>–</v>
          </cell>
          <cell r="L112" t="str">
            <v>–</v>
          </cell>
          <cell r="M112" t="str">
            <v>–</v>
          </cell>
          <cell r="N112" t="str">
            <v>–</v>
          </cell>
          <cell r="O112" t="str">
            <v>–</v>
          </cell>
          <cell r="P112">
            <v>3</v>
          </cell>
          <cell r="Q112" t="str">
            <v>–</v>
          </cell>
          <cell r="R112" t="str">
            <v>–</v>
          </cell>
          <cell r="S112" t="str">
            <v>–</v>
          </cell>
          <cell r="T112" t="str">
            <v>–</v>
          </cell>
          <cell r="U112" t="str">
            <v>–</v>
          </cell>
          <cell r="V112" t="str">
            <v>–</v>
          </cell>
          <cell r="W112">
            <v>0.5</v>
          </cell>
          <cell r="DZ112" t="str">
            <v>W24X192</v>
          </cell>
          <cell r="EA112">
            <v>192</v>
          </cell>
          <cell r="EB112">
            <v>56.5</v>
          </cell>
          <cell r="EC112">
            <v>25.5</v>
          </cell>
          <cell r="ED112" t="str">
            <v>25 1/2</v>
          </cell>
          <cell r="EE112">
            <v>0.81</v>
          </cell>
          <cell r="EF112" t="str">
            <v>13/16</v>
          </cell>
          <cell r="EG112">
            <v>45123</v>
          </cell>
          <cell r="EH112">
            <v>13</v>
          </cell>
          <cell r="EI112">
            <v>13</v>
          </cell>
          <cell r="EJ112">
            <v>1.46</v>
          </cell>
          <cell r="EK112" t="str">
            <v>1 7/16</v>
          </cell>
          <cell r="EL112">
            <v>4.43</v>
          </cell>
          <cell r="EM112">
            <v>26.6</v>
          </cell>
          <cell r="EN112">
            <v>6260</v>
          </cell>
          <cell r="EO112">
            <v>491</v>
          </cell>
          <cell r="EP112">
            <v>10.5</v>
          </cell>
          <cell r="EQ112">
            <v>559</v>
          </cell>
          <cell r="ER112">
            <v>530</v>
          </cell>
          <cell r="ES112">
            <v>81.8</v>
          </cell>
          <cell r="ET112">
            <v>3.07</v>
          </cell>
        </row>
        <row r="113">
          <cell r="B113" t="str">
            <v>L3X2-1/2X7/16</v>
          </cell>
          <cell r="C113" t="str">
            <v>L3X2-1/2X7/16</v>
          </cell>
          <cell r="D113" t="str">
            <v>F</v>
          </cell>
          <cell r="E113">
            <v>7.6</v>
          </cell>
          <cell r="F113">
            <v>2.2200000000000002</v>
          </cell>
          <cell r="G113" t="str">
            <v>L3X2-1/2X7/16</v>
          </cell>
          <cell r="H113">
            <v>2.5</v>
          </cell>
          <cell r="I113" t="str">
            <v>–</v>
          </cell>
          <cell r="J113" t="str">
            <v>–</v>
          </cell>
          <cell r="K113" t="str">
            <v>–</v>
          </cell>
          <cell r="L113" t="str">
            <v>–</v>
          </cell>
          <cell r="M113" t="str">
            <v>–</v>
          </cell>
          <cell r="N113" t="str">
            <v>–</v>
          </cell>
          <cell r="O113" t="str">
            <v>–</v>
          </cell>
          <cell r="P113">
            <v>3</v>
          </cell>
          <cell r="Q113" t="str">
            <v>–</v>
          </cell>
          <cell r="R113" t="str">
            <v>–</v>
          </cell>
          <cell r="S113" t="str">
            <v>–</v>
          </cell>
          <cell r="T113" t="str">
            <v>–</v>
          </cell>
          <cell r="U113" t="str">
            <v>–</v>
          </cell>
          <cell r="V113" t="str">
            <v>–</v>
          </cell>
          <cell r="W113">
            <v>0.438</v>
          </cell>
          <cell r="DZ113" t="str">
            <v>W24X176</v>
          </cell>
          <cell r="EA113">
            <v>176</v>
          </cell>
          <cell r="EB113">
            <v>51.7</v>
          </cell>
          <cell r="EC113">
            <v>25.2</v>
          </cell>
          <cell r="ED113" t="str">
            <v>25 1/4</v>
          </cell>
          <cell r="EE113">
            <v>0.75</v>
          </cell>
          <cell r="EF113">
            <v>44989</v>
          </cell>
          <cell r="EG113">
            <v>44993</v>
          </cell>
          <cell r="EH113">
            <v>12.9</v>
          </cell>
          <cell r="EI113" t="str">
            <v>12 7/8</v>
          </cell>
          <cell r="EJ113">
            <v>1.34</v>
          </cell>
          <cell r="EK113" t="str">
            <v>1 5/16</v>
          </cell>
          <cell r="EL113">
            <v>4.8099999999999996</v>
          </cell>
          <cell r="EM113">
            <v>28.7</v>
          </cell>
          <cell r="EN113">
            <v>5680</v>
          </cell>
          <cell r="EO113">
            <v>450</v>
          </cell>
          <cell r="EP113">
            <v>10.5</v>
          </cell>
          <cell r="EQ113">
            <v>511</v>
          </cell>
          <cell r="ER113">
            <v>479</v>
          </cell>
          <cell r="ES113">
            <v>74.3</v>
          </cell>
          <cell r="ET113">
            <v>3.04</v>
          </cell>
        </row>
        <row r="114">
          <cell r="B114" t="str">
            <v>L3X2-1/2X3/8</v>
          </cell>
          <cell r="C114" t="str">
            <v>L3X2-1/2X3/8</v>
          </cell>
          <cell r="D114" t="str">
            <v>F</v>
          </cell>
          <cell r="E114">
            <v>6.6</v>
          </cell>
          <cell r="F114">
            <v>1.93</v>
          </cell>
          <cell r="G114" t="str">
            <v>L3X2-1/2X3/8</v>
          </cell>
          <cell r="H114">
            <v>2.5</v>
          </cell>
          <cell r="I114" t="str">
            <v>–</v>
          </cell>
          <cell r="J114" t="str">
            <v>–</v>
          </cell>
          <cell r="K114" t="str">
            <v>–</v>
          </cell>
          <cell r="L114" t="str">
            <v>–</v>
          </cell>
          <cell r="M114" t="str">
            <v>–</v>
          </cell>
          <cell r="N114" t="str">
            <v>–</v>
          </cell>
          <cell r="O114" t="str">
            <v>–</v>
          </cell>
          <cell r="P114">
            <v>3</v>
          </cell>
          <cell r="Q114" t="str">
            <v>–</v>
          </cell>
          <cell r="R114" t="str">
            <v>–</v>
          </cell>
          <cell r="S114" t="str">
            <v>–</v>
          </cell>
          <cell r="T114" t="str">
            <v>–</v>
          </cell>
          <cell r="U114" t="str">
            <v>–</v>
          </cell>
          <cell r="V114" t="str">
            <v>–</v>
          </cell>
          <cell r="W114">
            <v>0.375</v>
          </cell>
          <cell r="DZ114" t="str">
            <v>W24X162</v>
          </cell>
          <cell r="EA114">
            <v>162</v>
          </cell>
          <cell r="EB114">
            <v>47.8</v>
          </cell>
          <cell r="EC114">
            <v>25</v>
          </cell>
          <cell r="ED114">
            <v>25</v>
          </cell>
          <cell r="EE114">
            <v>0.70499999999999996</v>
          </cell>
          <cell r="EF114">
            <v>45246</v>
          </cell>
          <cell r="EG114">
            <v>44993</v>
          </cell>
          <cell r="EH114">
            <v>13</v>
          </cell>
          <cell r="EI114">
            <v>13</v>
          </cell>
          <cell r="EJ114">
            <v>1.22</v>
          </cell>
          <cell r="EK114" t="str">
            <v>1 1/4</v>
          </cell>
          <cell r="EL114">
            <v>5.31</v>
          </cell>
          <cell r="EM114">
            <v>30.6</v>
          </cell>
          <cell r="EN114">
            <v>5170</v>
          </cell>
          <cell r="EO114">
            <v>414</v>
          </cell>
          <cell r="EP114">
            <v>10.4</v>
          </cell>
          <cell r="EQ114">
            <v>468</v>
          </cell>
          <cell r="ER114">
            <v>443</v>
          </cell>
          <cell r="ES114">
            <v>68.400000000000006</v>
          </cell>
          <cell r="ET114">
            <v>3.05</v>
          </cell>
        </row>
        <row r="115">
          <cell r="B115" t="str">
            <v>L3X2-1/2X5/16</v>
          </cell>
          <cell r="C115" t="str">
            <v>L3X2-1/2X5/16</v>
          </cell>
          <cell r="D115" t="str">
            <v>F</v>
          </cell>
          <cell r="E115">
            <v>5.6</v>
          </cell>
          <cell r="F115">
            <v>1.63</v>
          </cell>
          <cell r="G115" t="str">
            <v>L3X2-1/2X5/16</v>
          </cell>
          <cell r="H115">
            <v>2.5</v>
          </cell>
          <cell r="I115" t="str">
            <v>–</v>
          </cell>
          <cell r="J115" t="str">
            <v>–</v>
          </cell>
          <cell r="K115" t="str">
            <v>–</v>
          </cell>
          <cell r="L115" t="str">
            <v>–</v>
          </cell>
          <cell r="M115" t="str">
            <v>–</v>
          </cell>
          <cell r="N115" t="str">
            <v>–</v>
          </cell>
          <cell r="O115" t="str">
            <v>–</v>
          </cell>
          <cell r="P115">
            <v>3</v>
          </cell>
          <cell r="Q115" t="str">
            <v>–</v>
          </cell>
          <cell r="R115" t="str">
            <v>–</v>
          </cell>
          <cell r="S115" t="str">
            <v>–</v>
          </cell>
          <cell r="T115" t="str">
            <v>–</v>
          </cell>
          <cell r="U115" t="str">
            <v>–</v>
          </cell>
          <cell r="V115" t="str">
            <v>–</v>
          </cell>
          <cell r="W115">
            <v>0.313</v>
          </cell>
          <cell r="DZ115" t="str">
            <v>W24X146</v>
          </cell>
          <cell r="EA115">
            <v>146</v>
          </cell>
          <cell r="EB115">
            <v>43</v>
          </cell>
          <cell r="EC115">
            <v>24.7</v>
          </cell>
          <cell r="ED115" t="str">
            <v>24 3/4</v>
          </cell>
          <cell r="EE115">
            <v>0.65</v>
          </cell>
          <cell r="EF115">
            <v>45054</v>
          </cell>
          <cell r="EG115">
            <v>45062</v>
          </cell>
          <cell r="EH115">
            <v>12.9</v>
          </cell>
          <cell r="EI115" t="str">
            <v>12 7/8</v>
          </cell>
          <cell r="EJ115">
            <v>1.0900000000000001</v>
          </cell>
          <cell r="EK115" t="str">
            <v>1 1/16</v>
          </cell>
          <cell r="EL115">
            <v>5.92</v>
          </cell>
          <cell r="EM115">
            <v>33.200000000000003</v>
          </cell>
          <cell r="EN115">
            <v>4580</v>
          </cell>
          <cell r="EO115">
            <v>371</v>
          </cell>
          <cell r="EP115">
            <v>10.3</v>
          </cell>
          <cell r="EQ115">
            <v>418</v>
          </cell>
          <cell r="ER115">
            <v>391</v>
          </cell>
          <cell r="ES115">
            <v>60.5</v>
          </cell>
          <cell r="ET115">
            <v>3.01</v>
          </cell>
        </row>
        <row r="116">
          <cell r="B116" t="str">
            <v>L3X2-1/2X1/4</v>
          </cell>
          <cell r="C116" t="str">
            <v>L3X2-1/2X1/4</v>
          </cell>
          <cell r="D116" t="str">
            <v>F</v>
          </cell>
          <cell r="E116">
            <v>4.5</v>
          </cell>
          <cell r="F116">
            <v>1.32</v>
          </cell>
          <cell r="G116" t="str">
            <v>L3X2-1/2X1/4</v>
          </cell>
          <cell r="H116">
            <v>2.5</v>
          </cell>
          <cell r="I116" t="str">
            <v>–</v>
          </cell>
          <cell r="J116" t="str">
            <v>–</v>
          </cell>
          <cell r="K116" t="str">
            <v>–</v>
          </cell>
          <cell r="L116" t="str">
            <v>–</v>
          </cell>
          <cell r="M116" t="str">
            <v>–</v>
          </cell>
          <cell r="N116" t="str">
            <v>–</v>
          </cell>
          <cell r="O116" t="str">
            <v>–</v>
          </cell>
          <cell r="P116">
            <v>3</v>
          </cell>
          <cell r="Q116" t="str">
            <v>–</v>
          </cell>
          <cell r="R116" t="str">
            <v>–</v>
          </cell>
          <cell r="S116" t="str">
            <v>–</v>
          </cell>
          <cell r="T116" t="str">
            <v>–</v>
          </cell>
          <cell r="U116" t="str">
            <v>–</v>
          </cell>
          <cell r="V116" t="str">
            <v>–</v>
          </cell>
          <cell r="W116">
            <v>0.25</v>
          </cell>
          <cell r="DZ116" t="str">
            <v>W24X131</v>
          </cell>
          <cell r="EA116">
            <v>131</v>
          </cell>
          <cell r="EB116">
            <v>38.6</v>
          </cell>
          <cell r="EC116">
            <v>24.5</v>
          </cell>
          <cell r="ED116" t="str">
            <v>24 1/2</v>
          </cell>
          <cell r="EE116">
            <v>0.60499999999999998</v>
          </cell>
          <cell r="EF116">
            <v>45054</v>
          </cell>
          <cell r="EG116">
            <v>45062</v>
          </cell>
          <cell r="EH116">
            <v>12.9</v>
          </cell>
          <cell r="EI116" t="str">
            <v>12 7/8</v>
          </cell>
          <cell r="EJ116">
            <v>0.96</v>
          </cell>
          <cell r="EK116" t="str">
            <v>15/16</v>
          </cell>
          <cell r="EL116">
            <v>6.7</v>
          </cell>
          <cell r="EM116">
            <v>35.6</v>
          </cell>
          <cell r="EN116">
            <v>4020</v>
          </cell>
          <cell r="EO116">
            <v>329</v>
          </cell>
          <cell r="EP116">
            <v>10.199999999999999</v>
          </cell>
          <cell r="EQ116">
            <v>370</v>
          </cell>
          <cell r="ER116">
            <v>340</v>
          </cell>
          <cell r="ES116">
            <v>53</v>
          </cell>
          <cell r="ET116">
            <v>2.97</v>
          </cell>
        </row>
        <row r="117">
          <cell r="B117" t="str">
            <v>L3X2-1/2X3/16</v>
          </cell>
          <cell r="C117" t="str">
            <v>L3X2-1/2X3/16</v>
          </cell>
          <cell r="D117" t="str">
            <v>F</v>
          </cell>
          <cell r="E117">
            <v>3.39</v>
          </cell>
          <cell r="F117">
            <v>1</v>
          </cell>
          <cell r="G117" t="str">
            <v>L3X2-1/2X3/16</v>
          </cell>
          <cell r="H117">
            <v>2.5</v>
          </cell>
          <cell r="I117" t="str">
            <v>–</v>
          </cell>
          <cell r="J117" t="str">
            <v>–</v>
          </cell>
          <cell r="K117" t="str">
            <v>–</v>
          </cell>
          <cell r="L117" t="str">
            <v>–</v>
          </cell>
          <cell r="M117" t="str">
            <v>–</v>
          </cell>
          <cell r="N117" t="str">
            <v>–</v>
          </cell>
          <cell r="O117" t="str">
            <v>–</v>
          </cell>
          <cell r="P117">
            <v>3</v>
          </cell>
          <cell r="Q117" t="str">
            <v>–</v>
          </cell>
          <cell r="R117" t="str">
            <v>–</v>
          </cell>
          <cell r="S117" t="str">
            <v>–</v>
          </cell>
          <cell r="T117" t="str">
            <v>–</v>
          </cell>
          <cell r="U117" t="str">
            <v>–</v>
          </cell>
          <cell r="V117" t="str">
            <v>–</v>
          </cell>
          <cell r="W117">
            <v>0.188</v>
          </cell>
          <cell r="DZ117" t="str">
            <v>W24X117</v>
          </cell>
          <cell r="EA117">
            <v>117</v>
          </cell>
          <cell r="EB117">
            <v>34.4</v>
          </cell>
          <cell r="EC117">
            <v>24.3</v>
          </cell>
          <cell r="ED117" t="str">
            <v>24 1/4</v>
          </cell>
          <cell r="EE117">
            <v>0.55000000000000004</v>
          </cell>
          <cell r="EF117">
            <v>45185</v>
          </cell>
          <cell r="EG117">
            <v>45062</v>
          </cell>
          <cell r="EH117">
            <v>12.8</v>
          </cell>
          <cell r="EI117" t="str">
            <v>12 3/4</v>
          </cell>
          <cell r="EJ117">
            <v>0.85</v>
          </cell>
          <cell r="EK117">
            <v>45115</v>
          </cell>
          <cell r="EL117">
            <v>7.53</v>
          </cell>
          <cell r="EM117">
            <v>39.200000000000003</v>
          </cell>
          <cell r="EN117">
            <v>3540</v>
          </cell>
          <cell r="EO117">
            <v>291</v>
          </cell>
          <cell r="EP117">
            <v>10.1</v>
          </cell>
          <cell r="EQ117">
            <v>327</v>
          </cell>
          <cell r="ER117">
            <v>297</v>
          </cell>
          <cell r="ES117">
            <v>46.5</v>
          </cell>
          <cell r="ET117">
            <v>2.94</v>
          </cell>
        </row>
        <row r="118">
          <cell r="B118" t="str">
            <v>L3X2X1/2</v>
          </cell>
          <cell r="C118" t="str">
            <v>L3X2X1/2</v>
          </cell>
          <cell r="D118" t="str">
            <v>F</v>
          </cell>
          <cell r="E118">
            <v>7.7</v>
          </cell>
          <cell r="F118">
            <v>2.2599999999999998</v>
          </cell>
          <cell r="G118" t="str">
            <v>L3X2X1/2</v>
          </cell>
          <cell r="H118">
            <v>2</v>
          </cell>
          <cell r="I118" t="str">
            <v>–</v>
          </cell>
          <cell r="J118" t="str">
            <v>–</v>
          </cell>
          <cell r="K118" t="str">
            <v>–</v>
          </cell>
          <cell r="L118" t="str">
            <v>–</v>
          </cell>
          <cell r="M118" t="str">
            <v>–</v>
          </cell>
          <cell r="N118" t="str">
            <v>–</v>
          </cell>
          <cell r="O118" t="str">
            <v>–</v>
          </cell>
          <cell r="P118">
            <v>3</v>
          </cell>
          <cell r="Q118" t="str">
            <v>–</v>
          </cell>
          <cell r="R118" t="str">
            <v>–</v>
          </cell>
          <cell r="S118" t="str">
            <v>–</v>
          </cell>
          <cell r="T118" t="str">
            <v>–</v>
          </cell>
          <cell r="U118" t="str">
            <v>–</v>
          </cell>
          <cell r="V118" t="str">
            <v>–</v>
          </cell>
          <cell r="W118">
            <v>0.5</v>
          </cell>
          <cell r="DZ118" t="str">
            <v>W24X104</v>
          </cell>
          <cell r="EA118">
            <v>104</v>
          </cell>
          <cell r="EB118">
            <v>30.7</v>
          </cell>
          <cell r="EC118">
            <v>24.1</v>
          </cell>
          <cell r="ED118">
            <v>24</v>
          </cell>
          <cell r="EE118">
            <v>0.5</v>
          </cell>
          <cell r="EF118">
            <v>44928</v>
          </cell>
          <cell r="EG118">
            <v>44930</v>
          </cell>
          <cell r="EH118">
            <v>12.8</v>
          </cell>
          <cell r="EI118" t="str">
            <v>12 3/4</v>
          </cell>
          <cell r="EJ118">
            <v>0.75</v>
          </cell>
          <cell r="EK118">
            <v>44989</v>
          </cell>
          <cell r="EL118">
            <v>8.5</v>
          </cell>
          <cell r="EM118">
            <v>43.1</v>
          </cell>
          <cell r="EN118">
            <v>3100</v>
          </cell>
          <cell r="EO118">
            <v>258</v>
          </cell>
          <cell r="EP118">
            <v>10.1</v>
          </cell>
          <cell r="EQ118">
            <v>289</v>
          </cell>
          <cell r="ER118">
            <v>259</v>
          </cell>
          <cell r="ES118">
            <v>40.700000000000003</v>
          </cell>
          <cell r="ET118">
            <v>2.91</v>
          </cell>
        </row>
        <row r="119">
          <cell r="B119" t="str">
            <v>L3X2X3/8</v>
          </cell>
          <cell r="C119" t="str">
            <v>L3X2X3/8</v>
          </cell>
          <cell r="D119" t="str">
            <v>F</v>
          </cell>
          <cell r="E119">
            <v>5.9</v>
          </cell>
          <cell r="F119">
            <v>1.75</v>
          </cell>
          <cell r="G119" t="str">
            <v>L3X2X3/8</v>
          </cell>
          <cell r="H119">
            <v>2</v>
          </cell>
          <cell r="I119" t="str">
            <v>–</v>
          </cell>
          <cell r="J119" t="str">
            <v>–</v>
          </cell>
          <cell r="K119" t="str">
            <v>–</v>
          </cell>
          <cell r="L119" t="str">
            <v>–</v>
          </cell>
          <cell r="M119" t="str">
            <v>–</v>
          </cell>
          <cell r="N119" t="str">
            <v>–</v>
          </cell>
          <cell r="O119" t="str">
            <v>–</v>
          </cell>
          <cell r="P119">
            <v>3</v>
          </cell>
          <cell r="Q119" t="str">
            <v>–</v>
          </cell>
          <cell r="R119" t="str">
            <v>–</v>
          </cell>
          <cell r="S119" t="str">
            <v>–</v>
          </cell>
          <cell r="T119" t="str">
            <v>–</v>
          </cell>
          <cell r="U119" t="str">
            <v>–</v>
          </cell>
          <cell r="V119" t="str">
            <v>–</v>
          </cell>
          <cell r="W119">
            <v>0.375</v>
          </cell>
          <cell r="DZ119" t="str">
            <v>W24X103</v>
          </cell>
          <cell r="EA119">
            <v>103</v>
          </cell>
          <cell r="EB119">
            <v>30.3</v>
          </cell>
          <cell r="EC119">
            <v>24.5</v>
          </cell>
          <cell r="ED119" t="str">
            <v>24 1/2</v>
          </cell>
          <cell r="EE119">
            <v>0.55000000000000004</v>
          </cell>
          <cell r="EF119">
            <v>45185</v>
          </cell>
          <cell r="EG119">
            <v>45062</v>
          </cell>
          <cell r="EH119">
            <v>9</v>
          </cell>
          <cell r="EI119">
            <v>9</v>
          </cell>
          <cell r="EJ119">
            <v>0.98</v>
          </cell>
          <cell r="EK119">
            <v>1</v>
          </cell>
          <cell r="EL119">
            <v>4.59</v>
          </cell>
          <cell r="EM119">
            <v>39.200000000000003</v>
          </cell>
          <cell r="EN119">
            <v>3000</v>
          </cell>
          <cell r="EO119">
            <v>245</v>
          </cell>
          <cell r="EP119">
            <v>10</v>
          </cell>
          <cell r="EQ119">
            <v>280</v>
          </cell>
          <cell r="ER119">
            <v>119</v>
          </cell>
          <cell r="ES119">
            <v>26.5</v>
          </cell>
          <cell r="ET119">
            <v>1.99</v>
          </cell>
        </row>
        <row r="120">
          <cell r="B120" t="str">
            <v>L3X2X5/16</v>
          </cell>
          <cell r="C120" t="str">
            <v>L3X2X5/16</v>
          </cell>
          <cell r="D120" t="str">
            <v>F</v>
          </cell>
          <cell r="E120">
            <v>5</v>
          </cell>
          <cell r="F120">
            <v>1.48</v>
          </cell>
          <cell r="G120" t="str">
            <v>L3X2X5/16</v>
          </cell>
          <cell r="H120">
            <v>2</v>
          </cell>
          <cell r="I120" t="str">
            <v>–</v>
          </cell>
          <cell r="J120" t="str">
            <v>–</v>
          </cell>
          <cell r="K120" t="str">
            <v>–</v>
          </cell>
          <cell r="L120" t="str">
            <v>–</v>
          </cell>
          <cell r="M120" t="str">
            <v>–</v>
          </cell>
          <cell r="N120" t="str">
            <v>–</v>
          </cell>
          <cell r="O120" t="str">
            <v>–</v>
          </cell>
          <cell r="P120">
            <v>3</v>
          </cell>
          <cell r="Q120" t="str">
            <v>–</v>
          </cell>
          <cell r="R120" t="str">
            <v>–</v>
          </cell>
          <cell r="S120" t="str">
            <v>–</v>
          </cell>
          <cell r="T120" t="str">
            <v>–</v>
          </cell>
          <cell r="U120" t="str">
            <v>–</v>
          </cell>
          <cell r="V120" t="str">
            <v>–</v>
          </cell>
          <cell r="W120">
            <v>0.313</v>
          </cell>
          <cell r="DZ120" t="str">
            <v>W24X94</v>
          </cell>
          <cell r="EA120">
            <v>94</v>
          </cell>
          <cell r="EB120">
            <v>27.7</v>
          </cell>
          <cell r="EC120">
            <v>24.3</v>
          </cell>
          <cell r="ED120" t="str">
            <v>24 1/4</v>
          </cell>
          <cell r="EE120">
            <v>0.51500000000000001</v>
          </cell>
          <cell r="EF120">
            <v>44928</v>
          </cell>
          <cell r="EG120">
            <v>44930</v>
          </cell>
          <cell r="EH120">
            <v>9.07</v>
          </cell>
          <cell r="EI120" t="str">
            <v>9 1/8</v>
          </cell>
          <cell r="EJ120">
            <v>0.875</v>
          </cell>
          <cell r="EK120">
            <v>45115</v>
          </cell>
          <cell r="EL120">
            <v>5.18</v>
          </cell>
          <cell r="EM120">
            <v>41.9</v>
          </cell>
          <cell r="EN120">
            <v>2700</v>
          </cell>
          <cell r="EO120">
            <v>222</v>
          </cell>
          <cell r="EP120">
            <v>9.8699999999999992</v>
          </cell>
          <cell r="EQ120">
            <v>254</v>
          </cell>
          <cell r="ER120">
            <v>109</v>
          </cell>
          <cell r="ES120">
            <v>24</v>
          </cell>
          <cell r="ET120">
            <v>1.98</v>
          </cell>
        </row>
        <row r="121">
          <cell r="B121" t="str">
            <v>L3X2X1/4</v>
          </cell>
          <cell r="C121" t="str">
            <v>L3X2X1/4</v>
          </cell>
          <cell r="D121" t="str">
            <v>F</v>
          </cell>
          <cell r="E121">
            <v>4.0999999999999996</v>
          </cell>
          <cell r="F121">
            <v>1.2</v>
          </cell>
          <cell r="G121" t="str">
            <v>L3X2X1/4</v>
          </cell>
          <cell r="H121">
            <v>2</v>
          </cell>
          <cell r="I121" t="str">
            <v>–</v>
          </cell>
          <cell r="J121" t="str">
            <v>–</v>
          </cell>
          <cell r="K121" t="str">
            <v>–</v>
          </cell>
          <cell r="L121" t="str">
            <v>–</v>
          </cell>
          <cell r="M121" t="str">
            <v>–</v>
          </cell>
          <cell r="N121" t="str">
            <v>–</v>
          </cell>
          <cell r="O121" t="str">
            <v>–</v>
          </cell>
          <cell r="P121">
            <v>3</v>
          </cell>
          <cell r="Q121" t="str">
            <v>–</v>
          </cell>
          <cell r="R121" t="str">
            <v>–</v>
          </cell>
          <cell r="S121" t="str">
            <v>–</v>
          </cell>
          <cell r="T121" t="str">
            <v>–</v>
          </cell>
          <cell r="U121" t="str">
            <v>–</v>
          </cell>
          <cell r="V121" t="str">
            <v>–</v>
          </cell>
          <cell r="W121">
            <v>0.25</v>
          </cell>
          <cell r="DZ121" t="str">
            <v>W24X84</v>
          </cell>
          <cell r="EA121">
            <v>84</v>
          </cell>
          <cell r="EB121">
            <v>24.7</v>
          </cell>
          <cell r="EC121">
            <v>24.1</v>
          </cell>
          <cell r="ED121" t="str">
            <v>24 1/8</v>
          </cell>
          <cell r="EE121">
            <v>0.47</v>
          </cell>
          <cell r="EF121">
            <v>44928</v>
          </cell>
          <cell r="EG121">
            <v>44930</v>
          </cell>
          <cell r="EH121">
            <v>9.02</v>
          </cell>
          <cell r="EI121">
            <v>9</v>
          </cell>
          <cell r="EJ121">
            <v>0.77</v>
          </cell>
          <cell r="EK121">
            <v>44989</v>
          </cell>
          <cell r="EL121">
            <v>5.86</v>
          </cell>
          <cell r="EM121">
            <v>45.9</v>
          </cell>
          <cell r="EN121">
            <v>2370</v>
          </cell>
          <cell r="EO121">
            <v>196</v>
          </cell>
          <cell r="EP121">
            <v>9.7899999999999991</v>
          </cell>
          <cell r="EQ121">
            <v>224</v>
          </cell>
          <cell r="ER121">
            <v>94.4</v>
          </cell>
          <cell r="ES121">
            <v>20.9</v>
          </cell>
          <cell r="ET121">
            <v>1.95</v>
          </cell>
        </row>
        <row r="122">
          <cell r="B122" t="str">
            <v>L3X2X3/16</v>
          </cell>
          <cell r="C122" t="str">
            <v>L3X2X3/16</v>
          </cell>
          <cell r="D122" t="str">
            <v>F</v>
          </cell>
          <cell r="E122">
            <v>3.07</v>
          </cell>
          <cell r="F122">
            <v>0.91700000000000004</v>
          </cell>
          <cell r="G122" t="str">
            <v>L3X2X3/16</v>
          </cell>
          <cell r="H122">
            <v>2</v>
          </cell>
          <cell r="I122" t="str">
            <v>–</v>
          </cell>
          <cell r="J122" t="str">
            <v>–</v>
          </cell>
          <cell r="K122" t="str">
            <v>–</v>
          </cell>
          <cell r="L122" t="str">
            <v>–</v>
          </cell>
          <cell r="M122" t="str">
            <v>–</v>
          </cell>
          <cell r="N122" t="str">
            <v>–</v>
          </cell>
          <cell r="O122" t="str">
            <v>–</v>
          </cell>
          <cell r="P122">
            <v>3</v>
          </cell>
          <cell r="Q122" t="str">
            <v>–</v>
          </cell>
          <cell r="R122" t="str">
            <v>–</v>
          </cell>
          <cell r="S122" t="str">
            <v>–</v>
          </cell>
          <cell r="T122" t="str">
            <v>–</v>
          </cell>
          <cell r="U122" t="str">
            <v>–</v>
          </cell>
          <cell r="V122" t="str">
            <v>–</v>
          </cell>
          <cell r="W122">
            <v>0.188</v>
          </cell>
          <cell r="DZ122" t="str">
            <v>W24X76</v>
          </cell>
          <cell r="EA122">
            <v>76</v>
          </cell>
          <cell r="EB122">
            <v>22.4</v>
          </cell>
          <cell r="EC122">
            <v>23.9</v>
          </cell>
          <cell r="ED122" t="str">
            <v>23 7/8</v>
          </cell>
          <cell r="EE122">
            <v>0.44</v>
          </cell>
          <cell r="EF122">
            <v>45123</v>
          </cell>
          <cell r="EG122">
            <v>44930</v>
          </cell>
          <cell r="EH122">
            <v>8.99</v>
          </cell>
          <cell r="EI122">
            <v>9</v>
          </cell>
          <cell r="EJ122">
            <v>0.68</v>
          </cell>
          <cell r="EK122">
            <v>45246</v>
          </cell>
          <cell r="EL122">
            <v>6.61</v>
          </cell>
          <cell r="EM122">
            <v>49</v>
          </cell>
          <cell r="EN122">
            <v>2100</v>
          </cell>
          <cell r="EO122">
            <v>176</v>
          </cell>
          <cell r="EP122">
            <v>9.69</v>
          </cell>
          <cell r="EQ122">
            <v>200</v>
          </cell>
          <cell r="ER122">
            <v>82.5</v>
          </cell>
          <cell r="ES122">
            <v>18.399999999999999</v>
          </cell>
          <cell r="ET122">
            <v>1.92</v>
          </cell>
        </row>
        <row r="123">
          <cell r="B123" t="str">
            <v>L2-1/2X2-1/2X1/2</v>
          </cell>
          <cell r="C123" t="str">
            <v>L2-1/2X2-1/2X1/2</v>
          </cell>
          <cell r="D123" t="str">
            <v>F</v>
          </cell>
          <cell r="E123">
            <v>7.7</v>
          </cell>
          <cell r="F123">
            <v>2.2599999999999998</v>
          </cell>
          <cell r="G123" t="str">
            <v>L2-1/2X2-1/2X1/2</v>
          </cell>
          <cell r="H123">
            <v>2.5</v>
          </cell>
          <cell r="I123" t="str">
            <v>–</v>
          </cell>
          <cell r="J123" t="str">
            <v>–</v>
          </cell>
          <cell r="K123" t="str">
            <v>–</v>
          </cell>
          <cell r="L123" t="str">
            <v>–</v>
          </cell>
          <cell r="M123" t="str">
            <v>–</v>
          </cell>
          <cell r="N123" t="str">
            <v>–</v>
          </cell>
          <cell r="O123" t="str">
            <v>–</v>
          </cell>
          <cell r="P123">
            <v>2.5</v>
          </cell>
          <cell r="Q123" t="str">
            <v>–</v>
          </cell>
          <cell r="R123" t="str">
            <v>–</v>
          </cell>
          <cell r="S123" t="str">
            <v>–</v>
          </cell>
          <cell r="T123" t="str">
            <v>–</v>
          </cell>
          <cell r="U123" t="str">
            <v>–</v>
          </cell>
          <cell r="V123" t="str">
            <v>–</v>
          </cell>
          <cell r="W123">
            <v>0.5</v>
          </cell>
          <cell r="DZ123" t="str">
            <v>W24X68</v>
          </cell>
          <cell r="EA123">
            <v>68</v>
          </cell>
          <cell r="EB123">
            <v>20.100000000000001</v>
          </cell>
          <cell r="EC123">
            <v>23.7</v>
          </cell>
          <cell r="ED123" t="str">
            <v>23 3/4</v>
          </cell>
          <cell r="EE123">
            <v>0.41499999999999998</v>
          </cell>
          <cell r="EF123">
            <v>45123</v>
          </cell>
          <cell r="EG123">
            <v>44930</v>
          </cell>
          <cell r="EH123">
            <v>8.9700000000000006</v>
          </cell>
          <cell r="EI123">
            <v>9</v>
          </cell>
          <cell r="EJ123">
            <v>0.58499999999999996</v>
          </cell>
          <cell r="EK123">
            <v>45185</v>
          </cell>
          <cell r="EL123">
            <v>7.66</v>
          </cell>
          <cell r="EM123">
            <v>52</v>
          </cell>
          <cell r="EN123">
            <v>1830</v>
          </cell>
          <cell r="EO123">
            <v>154</v>
          </cell>
          <cell r="EP123">
            <v>9.5500000000000007</v>
          </cell>
          <cell r="EQ123">
            <v>177</v>
          </cell>
          <cell r="ER123">
            <v>70.400000000000006</v>
          </cell>
          <cell r="ES123">
            <v>15.7</v>
          </cell>
          <cell r="ET123">
            <v>1.87</v>
          </cell>
        </row>
        <row r="124">
          <cell r="B124" t="str">
            <v>L2-1/2X2-1/2X3/8</v>
          </cell>
          <cell r="C124" t="str">
            <v>L2-1/2X2-1/2X3/8</v>
          </cell>
          <cell r="D124" t="str">
            <v>F</v>
          </cell>
          <cell r="E124">
            <v>5.9</v>
          </cell>
          <cell r="F124">
            <v>1.73</v>
          </cell>
          <cell r="G124" t="str">
            <v>L2-1/2X2-1/2X3/8</v>
          </cell>
          <cell r="H124">
            <v>2.5</v>
          </cell>
          <cell r="I124" t="str">
            <v>–</v>
          </cell>
          <cell r="J124" t="str">
            <v>–</v>
          </cell>
          <cell r="K124" t="str">
            <v>–</v>
          </cell>
          <cell r="L124" t="str">
            <v>–</v>
          </cell>
          <cell r="M124" t="str">
            <v>–</v>
          </cell>
          <cell r="N124" t="str">
            <v>–</v>
          </cell>
          <cell r="O124" t="str">
            <v>–</v>
          </cell>
          <cell r="P124">
            <v>2.5</v>
          </cell>
          <cell r="Q124" t="str">
            <v>–</v>
          </cell>
          <cell r="R124" t="str">
            <v>–</v>
          </cell>
          <cell r="S124" t="str">
            <v>–</v>
          </cell>
          <cell r="T124" t="str">
            <v>–</v>
          </cell>
          <cell r="U124" t="str">
            <v>–</v>
          </cell>
          <cell r="V124" t="str">
            <v>–</v>
          </cell>
          <cell r="W124">
            <v>0.375</v>
          </cell>
          <cell r="DZ124" t="str">
            <v>W24X62</v>
          </cell>
          <cell r="EA124">
            <v>62</v>
          </cell>
          <cell r="EB124">
            <v>18.2</v>
          </cell>
          <cell r="EC124">
            <v>23.7</v>
          </cell>
          <cell r="ED124" t="str">
            <v>23 3/4</v>
          </cell>
          <cell r="EE124">
            <v>0.43</v>
          </cell>
          <cell r="EF124">
            <v>45123</v>
          </cell>
          <cell r="EG124">
            <v>44930</v>
          </cell>
          <cell r="EH124">
            <v>7.04</v>
          </cell>
          <cell r="EI124">
            <v>7</v>
          </cell>
          <cell r="EJ124">
            <v>0.59</v>
          </cell>
          <cell r="EK124">
            <v>45185</v>
          </cell>
          <cell r="EL124">
            <v>5.97</v>
          </cell>
          <cell r="EM124">
            <v>50.1</v>
          </cell>
          <cell r="EN124">
            <v>1550</v>
          </cell>
          <cell r="EO124">
            <v>131</v>
          </cell>
          <cell r="EP124">
            <v>9.23</v>
          </cell>
          <cell r="EQ124">
            <v>153</v>
          </cell>
          <cell r="ER124">
            <v>34.5</v>
          </cell>
          <cell r="ES124">
            <v>9.8000000000000007</v>
          </cell>
          <cell r="ET124">
            <v>1.38</v>
          </cell>
        </row>
        <row r="125">
          <cell r="B125" t="str">
            <v>L2-1/2X2-1/2X5/16</v>
          </cell>
          <cell r="C125" t="str">
            <v>L2-1/2X2-1/2X5/16</v>
          </cell>
          <cell r="D125" t="str">
            <v>F</v>
          </cell>
          <cell r="E125">
            <v>5</v>
          </cell>
          <cell r="F125">
            <v>1.46</v>
          </cell>
          <cell r="G125" t="str">
            <v>L2-1/2X2-1/2X5/16</v>
          </cell>
          <cell r="H125">
            <v>2.5</v>
          </cell>
          <cell r="I125" t="str">
            <v>–</v>
          </cell>
          <cell r="J125" t="str">
            <v>–</v>
          </cell>
          <cell r="K125" t="str">
            <v>–</v>
          </cell>
          <cell r="L125" t="str">
            <v>–</v>
          </cell>
          <cell r="M125" t="str">
            <v>–</v>
          </cell>
          <cell r="N125" t="str">
            <v>–</v>
          </cell>
          <cell r="O125" t="str">
            <v>–</v>
          </cell>
          <cell r="P125">
            <v>2.5</v>
          </cell>
          <cell r="Q125" t="str">
            <v>–</v>
          </cell>
          <cell r="R125" t="str">
            <v>–</v>
          </cell>
          <cell r="S125" t="str">
            <v>–</v>
          </cell>
          <cell r="T125" t="str">
            <v>–</v>
          </cell>
          <cell r="U125" t="str">
            <v>–</v>
          </cell>
          <cell r="V125" t="str">
            <v>–</v>
          </cell>
          <cell r="W125">
            <v>0.313</v>
          </cell>
          <cell r="DZ125" t="str">
            <v>W24X55</v>
          </cell>
          <cell r="EA125">
            <v>55</v>
          </cell>
          <cell r="EB125">
            <v>16.2</v>
          </cell>
          <cell r="EC125">
            <v>23.6</v>
          </cell>
          <cell r="ED125" t="str">
            <v>23 5/8</v>
          </cell>
          <cell r="EE125">
            <v>0.39500000000000002</v>
          </cell>
          <cell r="EF125">
            <v>44993</v>
          </cell>
          <cell r="EG125">
            <v>45001</v>
          </cell>
          <cell r="EH125">
            <v>7.01</v>
          </cell>
          <cell r="EI125">
            <v>7</v>
          </cell>
          <cell r="EJ125">
            <v>0.505</v>
          </cell>
          <cell r="EK125">
            <v>44928</v>
          </cell>
          <cell r="EL125">
            <v>6.94</v>
          </cell>
          <cell r="EM125">
            <v>54.6</v>
          </cell>
          <cell r="EN125">
            <v>1350</v>
          </cell>
          <cell r="EO125">
            <v>114</v>
          </cell>
          <cell r="EP125">
            <v>9.11</v>
          </cell>
          <cell r="EQ125">
            <v>134</v>
          </cell>
          <cell r="ER125">
            <v>29.1</v>
          </cell>
          <cell r="ES125">
            <v>8.3000000000000007</v>
          </cell>
          <cell r="ET125">
            <v>1.34</v>
          </cell>
        </row>
        <row r="126">
          <cell r="B126" t="str">
            <v>L2-1/2X2-1/2X1/4</v>
          </cell>
          <cell r="C126" t="str">
            <v>L2-1/2X2-1/2X1/4</v>
          </cell>
          <cell r="D126" t="str">
            <v>F</v>
          </cell>
          <cell r="E126">
            <v>4.0999999999999996</v>
          </cell>
          <cell r="F126">
            <v>1.19</v>
          </cell>
          <cell r="G126" t="str">
            <v>L2-1/2X2-1/2X1/4</v>
          </cell>
          <cell r="H126">
            <v>2.5</v>
          </cell>
          <cell r="I126" t="str">
            <v>–</v>
          </cell>
          <cell r="J126" t="str">
            <v>–</v>
          </cell>
          <cell r="K126" t="str">
            <v>–</v>
          </cell>
          <cell r="L126" t="str">
            <v>–</v>
          </cell>
          <cell r="M126" t="str">
            <v>–</v>
          </cell>
          <cell r="N126" t="str">
            <v>–</v>
          </cell>
          <cell r="O126" t="str">
            <v>–</v>
          </cell>
          <cell r="P126">
            <v>2.5</v>
          </cell>
          <cell r="Q126" t="str">
            <v>–</v>
          </cell>
          <cell r="R126" t="str">
            <v>–</v>
          </cell>
          <cell r="S126" t="str">
            <v>–</v>
          </cell>
          <cell r="T126" t="str">
            <v>–</v>
          </cell>
          <cell r="U126" t="str">
            <v>–</v>
          </cell>
          <cell r="V126" t="str">
            <v>–</v>
          </cell>
          <cell r="W126">
            <v>0.25</v>
          </cell>
          <cell r="DZ126" t="str">
            <v>W21X275</v>
          </cell>
          <cell r="EA126">
            <v>275</v>
          </cell>
          <cell r="EB126">
            <v>81.8</v>
          </cell>
          <cell r="EC126">
            <v>24.1</v>
          </cell>
          <cell r="ED126" t="str">
            <v>24 1/8</v>
          </cell>
          <cell r="EE126">
            <v>1.22</v>
          </cell>
          <cell r="EF126" t="str">
            <v>1 1/4</v>
          </cell>
          <cell r="EG126">
            <v>45054</v>
          </cell>
          <cell r="EH126">
            <v>12.9</v>
          </cell>
          <cell r="EI126" t="str">
            <v>12 7/8</v>
          </cell>
          <cell r="EJ126">
            <v>2.19</v>
          </cell>
          <cell r="EK126" t="str">
            <v>2 3/16</v>
          </cell>
          <cell r="EL126">
            <v>2.95</v>
          </cell>
          <cell r="EM126">
            <v>14.2</v>
          </cell>
          <cell r="EN126">
            <v>7690</v>
          </cell>
          <cell r="EO126">
            <v>638</v>
          </cell>
          <cell r="EP126">
            <v>9.6999999999999993</v>
          </cell>
          <cell r="EQ126">
            <v>749</v>
          </cell>
          <cell r="ER126">
            <v>787</v>
          </cell>
          <cell r="ES126">
            <v>122</v>
          </cell>
          <cell r="ET126">
            <v>3.1</v>
          </cell>
        </row>
        <row r="127">
          <cell r="B127" t="str">
            <v>L2-1/2X2-1/2X3/16</v>
          </cell>
          <cell r="C127" t="str">
            <v>L2-1/2X2-1/2X3/16</v>
          </cell>
          <cell r="D127" t="str">
            <v>F</v>
          </cell>
          <cell r="E127">
            <v>3.07</v>
          </cell>
          <cell r="F127">
            <v>0.90100000000000002</v>
          </cell>
          <cell r="G127" t="str">
            <v>L2-1/2X2-1/2X3/16</v>
          </cell>
          <cell r="H127">
            <v>2.5</v>
          </cell>
          <cell r="I127" t="str">
            <v>–</v>
          </cell>
          <cell r="J127" t="str">
            <v>–</v>
          </cell>
          <cell r="K127" t="str">
            <v>–</v>
          </cell>
          <cell r="L127" t="str">
            <v>–</v>
          </cell>
          <cell r="M127" t="str">
            <v>–</v>
          </cell>
          <cell r="N127" t="str">
            <v>–</v>
          </cell>
          <cell r="O127" t="str">
            <v>–</v>
          </cell>
          <cell r="P127">
            <v>2.5</v>
          </cell>
          <cell r="Q127" t="str">
            <v>–</v>
          </cell>
          <cell r="R127" t="str">
            <v>–</v>
          </cell>
          <cell r="S127" t="str">
            <v>–</v>
          </cell>
          <cell r="T127" t="str">
            <v>–</v>
          </cell>
          <cell r="U127" t="str">
            <v>–</v>
          </cell>
          <cell r="V127" t="str">
            <v>–</v>
          </cell>
          <cell r="W127">
            <v>0.188</v>
          </cell>
          <cell r="DZ127" t="str">
            <v>W21X248</v>
          </cell>
          <cell r="EA127">
            <v>248</v>
          </cell>
          <cell r="EB127">
            <v>73.8</v>
          </cell>
          <cell r="EC127">
            <v>23.7</v>
          </cell>
          <cell r="ED127" t="str">
            <v>23 3/4</v>
          </cell>
          <cell r="EE127">
            <v>1.1000000000000001</v>
          </cell>
          <cell r="EF127" t="str">
            <v>1 1/8</v>
          </cell>
          <cell r="EG127">
            <v>45185</v>
          </cell>
          <cell r="EH127">
            <v>12.8</v>
          </cell>
          <cell r="EI127" t="str">
            <v>12 3/4</v>
          </cell>
          <cell r="EJ127">
            <v>1.99</v>
          </cell>
          <cell r="EK127">
            <v>2</v>
          </cell>
          <cell r="EL127">
            <v>3.22</v>
          </cell>
          <cell r="EM127">
            <v>15.8</v>
          </cell>
          <cell r="EN127">
            <v>6830</v>
          </cell>
          <cell r="EO127">
            <v>576</v>
          </cell>
          <cell r="EP127">
            <v>9.6199999999999992</v>
          </cell>
          <cell r="EQ127">
            <v>671</v>
          </cell>
          <cell r="ER127">
            <v>699</v>
          </cell>
          <cell r="ES127">
            <v>109</v>
          </cell>
          <cell r="ET127">
            <v>3.08</v>
          </cell>
        </row>
        <row r="128">
          <cell r="B128" t="str">
            <v>L2-1/2X2X3/8</v>
          </cell>
          <cell r="C128" t="str">
            <v>L2-1/2X2X3/8</v>
          </cell>
          <cell r="D128" t="str">
            <v>F</v>
          </cell>
          <cell r="E128">
            <v>5.3</v>
          </cell>
          <cell r="F128">
            <v>1.55</v>
          </cell>
          <cell r="G128" t="str">
            <v>L2-1/2X2X3/8</v>
          </cell>
          <cell r="H128">
            <v>2</v>
          </cell>
          <cell r="I128" t="str">
            <v>–</v>
          </cell>
          <cell r="J128" t="str">
            <v>–</v>
          </cell>
          <cell r="K128" t="str">
            <v>–</v>
          </cell>
          <cell r="L128" t="str">
            <v>–</v>
          </cell>
          <cell r="M128" t="str">
            <v>–</v>
          </cell>
          <cell r="N128" t="str">
            <v>–</v>
          </cell>
          <cell r="O128" t="str">
            <v>–</v>
          </cell>
          <cell r="P128">
            <v>2.5</v>
          </cell>
          <cell r="Q128" t="str">
            <v>–</v>
          </cell>
          <cell r="R128" t="str">
            <v>–</v>
          </cell>
          <cell r="S128" t="str">
            <v>–</v>
          </cell>
          <cell r="T128" t="str">
            <v>–</v>
          </cell>
          <cell r="U128" t="str">
            <v>–</v>
          </cell>
          <cell r="V128" t="str">
            <v>–</v>
          </cell>
          <cell r="W128">
            <v>0.375</v>
          </cell>
          <cell r="DZ128" t="str">
            <v>W21X223</v>
          </cell>
          <cell r="EA128">
            <v>223</v>
          </cell>
          <cell r="EB128">
            <v>66.5</v>
          </cell>
          <cell r="EC128">
            <v>23.4</v>
          </cell>
          <cell r="ED128" t="str">
            <v>23 3/8</v>
          </cell>
          <cell r="EE128">
            <v>1</v>
          </cell>
          <cell r="EF128">
            <v>1</v>
          </cell>
          <cell r="EG128">
            <v>44928</v>
          </cell>
          <cell r="EH128">
            <v>12.7</v>
          </cell>
          <cell r="EI128" t="str">
            <v>12 5/8</v>
          </cell>
          <cell r="EJ128">
            <v>1.79</v>
          </cell>
          <cell r="EK128" t="str">
            <v>1 13/16</v>
          </cell>
          <cell r="EL128">
            <v>3.55</v>
          </cell>
          <cell r="EM128">
            <v>17.5</v>
          </cell>
          <cell r="EN128">
            <v>6080</v>
          </cell>
          <cell r="EO128">
            <v>520</v>
          </cell>
          <cell r="EP128">
            <v>9.56</v>
          </cell>
          <cell r="EQ128">
            <v>601</v>
          </cell>
          <cell r="ER128">
            <v>614</v>
          </cell>
          <cell r="ES128">
            <v>96.7</v>
          </cell>
          <cell r="ET128">
            <v>3.04</v>
          </cell>
        </row>
        <row r="129">
          <cell r="B129" t="str">
            <v>L2-1/2X2X5/16</v>
          </cell>
          <cell r="C129" t="str">
            <v>L2-1/2X2X5/16</v>
          </cell>
          <cell r="D129" t="str">
            <v>F</v>
          </cell>
          <cell r="E129">
            <v>4.5</v>
          </cell>
          <cell r="F129">
            <v>1.32</v>
          </cell>
          <cell r="G129" t="str">
            <v>L2-1/2X2X5/16</v>
          </cell>
          <cell r="H129">
            <v>2</v>
          </cell>
          <cell r="I129" t="str">
            <v>–</v>
          </cell>
          <cell r="J129" t="str">
            <v>–</v>
          </cell>
          <cell r="K129" t="str">
            <v>–</v>
          </cell>
          <cell r="L129" t="str">
            <v>–</v>
          </cell>
          <cell r="M129" t="str">
            <v>–</v>
          </cell>
          <cell r="N129" t="str">
            <v>–</v>
          </cell>
          <cell r="O129" t="str">
            <v>–</v>
          </cell>
          <cell r="P129">
            <v>2.5</v>
          </cell>
          <cell r="Q129" t="str">
            <v>–</v>
          </cell>
          <cell r="R129" t="str">
            <v>–</v>
          </cell>
          <cell r="S129" t="str">
            <v>–</v>
          </cell>
          <cell r="T129" t="str">
            <v>–</v>
          </cell>
          <cell r="U129" t="str">
            <v>–</v>
          </cell>
          <cell r="V129" t="str">
            <v>–</v>
          </cell>
          <cell r="W129">
            <v>0.313</v>
          </cell>
          <cell r="DZ129" t="str">
            <v>W21X201</v>
          </cell>
          <cell r="EA129">
            <v>201</v>
          </cell>
          <cell r="EB129">
            <v>59.3</v>
          </cell>
          <cell r="EC129">
            <v>23</v>
          </cell>
          <cell r="ED129">
            <v>23</v>
          </cell>
          <cell r="EE129">
            <v>0.91</v>
          </cell>
          <cell r="EF129" t="str">
            <v>15/16</v>
          </cell>
          <cell r="EG129">
            <v>44928</v>
          </cell>
          <cell r="EH129">
            <v>12.6</v>
          </cell>
          <cell r="EI129" t="str">
            <v>12 5/8</v>
          </cell>
          <cell r="EJ129">
            <v>1.63</v>
          </cell>
          <cell r="EK129" t="str">
            <v>1 5/8</v>
          </cell>
          <cell r="EL129">
            <v>3.86</v>
          </cell>
          <cell r="EM129">
            <v>20.6</v>
          </cell>
          <cell r="EN129">
            <v>5310</v>
          </cell>
          <cell r="EO129">
            <v>461</v>
          </cell>
          <cell r="EP129">
            <v>9.4700000000000006</v>
          </cell>
          <cell r="EQ129">
            <v>530</v>
          </cell>
          <cell r="ER129">
            <v>542</v>
          </cell>
          <cell r="ES129">
            <v>86.1</v>
          </cell>
          <cell r="ET129">
            <v>3.02</v>
          </cell>
        </row>
        <row r="130">
          <cell r="B130" t="str">
            <v>L2-1/2X2X1/4</v>
          </cell>
          <cell r="C130" t="str">
            <v>L2-1/2X2X1/4</v>
          </cell>
          <cell r="D130" t="str">
            <v>F</v>
          </cell>
          <cell r="E130">
            <v>3.62</v>
          </cell>
          <cell r="F130">
            <v>1.07</v>
          </cell>
          <cell r="G130" t="str">
            <v>L2-1/2X2X1/4</v>
          </cell>
          <cell r="H130">
            <v>2</v>
          </cell>
          <cell r="I130" t="str">
            <v>–</v>
          </cell>
          <cell r="J130" t="str">
            <v>–</v>
          </cell>
          <cell r="K130" t="str">
            <v>–</v>
          </cell>
          <cell r="L130" t="str">
            <v>–</v>
          </cell>
          <cell r="M130" t="str">
            <v>–</v>
          </cell>
          <cell r="N130" t="str">
            <v>–</v>
          </cell>
          <cell r="O130" t="str">
            <v>–</v>
          </cell>
          <cell r="P130">
            <v>2.5</v>
          </cell>
          <cell r="Q130" t="str">
            <v>–</v>
          </cell>
          <cell r="R130" t="str">
            <v>–</v>
          </cell>
          <cell r="S130" t="str">
            <v>–</v>
          </cell>
          <cell r="T130" t="str">
            <v>–</v>
          </cell>
          <cell r="U130" t="str">
            <v>–</v>
          </cell>
          <cell r="V130" t="str">
            <v>–</v>
          </cell>
          <cell r="W130">
            <v>0.25</v>
          </cell>
          <cell r="DZ130" t="str">
            <v>W21X182</v>
          </cell>
          <cell r="EA130">
            <v>182</v>
          </cell>
          <cell r="EB130">
            <v>53.6</v>
          </cell>
          <cell r="EC130">
            <v>22.7</v>
          </cell>
          <cell r="ED130" t="str">
            <v>22 3/4</v>
          </cell>
          <cell r="EE130">
            <v>0.83</v>
          </cell>
          <cell r="EF130" t="str">
            <v>13/16</v>
          </cell>
          <cell r="EG130">
            <v>45123</v>
          </cell>
          <cell r="EH130">
            <v>12.5</v>
          </cell>
          <cell r="EI130" t="str">
            <v>12 1/2</v>
          </cell>
          <cell r="EJ130">
            <v>1.48</v>
          </cell>
          <cell r="EK130" t="str">
            <v>1 1/2</v>
          </cell>
          <cell r="EL130">
            <v>4.22</v>
          </cell>
          <cell r="EM130">
            <v>22.6</v>
          </cell>
          <cell r="EN130">
            <v>4730</v>
          </cell>
          <cell r="EO130">
            <v>417</v>
          </cell>
          <cell r="EP130">
            <v>9.4</v>
          </cell>
          <cell r="EQ130">
            <v>476</v>
          </cell>
          <cell r="ER130">
            <v>483</v>
          </cell>
          <cell r="ES130">
            <v>77.2</v>
          </cell>
          <cell r="ET130">
            <v>3</v>
          </cell>
        </row>
        <row r="131">
          <cell r="B131" t="str">
            <v>L2-1/2X2X3/16</v>
          </cell>
          <cell r="C131" t="str">
            <v>L2-1/2X2X3/16</v>
          </cell>
          <cell r="D131" t="str">
            <v>F</v>
          </cell>
          <cell r="E131">
            <v>2.75</v>
          </cell>
          <cell r="F131">
            <v>0.81799999999999995</v>
          </cell>
          <cell r="G131" t="str">
            <v>L2-1/2X2X3/16</v>
          </cell>
          <cell r="H131">
            <v>2</v>
          </cell>
          <cell r="I131" t="str">
            <v>–</v>
          </cell>
          <cell r="J131" t="str">
            <v>–</v>
          </cell>
          <cell r="K131" t="str">
            <v>–</v>
          </cell>
          <cell r="L131" t="str">
            <v>–</v>
          </cell>
          <cell r="M131" t="str">
            <v>–</v>
          </cell>
          <cell r="N131" t="str">
            <v>–</v>
          </cell>
          <cell r="O131" t="str">
            <v>–</v>
          </cell>
          <cell r="P131">
            <v>2.5</v>
          </cell>
          <cell r="Q131" t="str">
            <v>–</v>
          </cell>
          <cell r="R131" t="str">
            <v>–</v>
          </cell>
          <cell r="S131" t="str">
            <v>–</v>
          </cell>
          <cell r="T131" t="str">
            <v>–</v>
          </cell>
          <cell r="U131" t="str">
            <v>–</v>
          </cell>
          <cell r="V131" t="str">
            <v>–</v>
          </cell>
          <cell r="W131">
            <v>0.188</v>
          </cell>
          <cell r="DZ131" t="str">
            <v>W21X166</v>
          </cell>
          <cell r="EA131">
            <v>166</v>
          </cell>
          <cell r="EB131">
            <v>48.8</v>
          </cell>
          <cell r="EC131">
            <v>22.5</v>
          </cell>
          <cell r="ED131" t="str">
            <v>22 1/2</v>
          </cell>
          <cell r="EE131">
            <v>0.75</v>
          </cell>
          <cell r="EF131">
            <v>44989</v>
          </cell>
          <cell r="EG131">
            <v>44993</v>
          </cell>
          <cell r="EH131">
            <v>12.4</v>
          </cell>
          <cell r="EI131" t="str">
            <v>12 3/8</v>
          </cell>
          <cell r="EJ131">
            <v>1.36</v>
          </cell>
          <cell r="EK131" t="str">
            <v>1 3/8</v>
          </cell>
          <cell r="EL131">
            <v>4.57</v>
          </cell>
          <cell r="EM131">
            <v>25</v>
          </cell>
          <cell r="EN131">
            <v>4280</v>
          </cell>
          <cell r="EO131">
            <v>380</v>
          </cell>
          <cell r="EP131">
            <v>9.36</v>
          </cell>
          <cell r="EQ131">
            <v>432</v>
          </cell>
          <cell r="ER131">
            <v>435</v>
          </cell>
          <cell r="ES131">
            <v>70</v>
          </cell>
          <cell r="ET131">
            <v>2.99</v>
          </cell>
        </row>
        <row r="132">
          <cell r="B132" t="str">
            <v>L2-1/2X1-1/2X1/4</v>
          </cell>
          <cell r="C132" t="str">
            <v>L2-1/2X1-1/2X1/4</v>
          </cell>
          <cell r="D132" t="str">
            <v>F</v>
          </cell>
          <cell r="E132">
            <v>3.19</v>
          </cell>
          <cell r="F132">
            <v>0.94699999999999995</v>
          </cell>
          <cell r="G132" t="str">
            <v>L2-1/2X1-1/2X1/4</v>
          </cell>
          <cell r="H132">
            <v>1.5</v>
          </cell>
          <cell r="I132" t="str">
            <v>–</v>
          </cell>
          <cell r="J132" t="str">
            <v>–</v>
          </cell>
          <cell r="K132" t="str">
            <v>–</v>
          </cell>
          <cell r="L132" t="str">
            <v>–</v>
          </cell>
          <cell r="M132" t="str">
            <v>–</v>
          </cell>
          <cell r="N132" t="str">
            <v>–</v>
          </cell>
          <cell r="O132" t="str">
            <v>–</v>
          </cell>
          <cell r="P132">
            <v>2.5</v>
          </cell>
          <cell r="Q132" t="str">
            <v>–</v>
          </cell>
          <cell r="R132" t="str">
            <v>–</v>
          </cell>
          <cell r="S132" t="str">
            <v>–</v>
          </cell>
          <cell r="T132" t="str">
            <v>–</v>
          </cell>
          <cell r="U132" t="str">
            <v>–</v>
          </cell>
          <cell r="V132" t="str">
            <v>–</v>
          </cell>
          <cell r="W132">
            <v>0.25</v>
          </cell>
          <cell r="DZ132" t="str">
            <v>W21X147</v>
          </cell>
          <cell r="EA132">
            <v>147</v>
          </cell>
          <cell r="EB132">
            <v>43.2</v>
          </cell>
          <cell r="EC132">
            <v>22.1</v>
          </cell>
          <cell r="ED132">
            <v>22</v>
          </cell>
          <cell r="EE132">
            <v>0.72</v>
          </cell>
          <cell r="EF132">
            <v>44989</v>
          </cell>
          <cell r="EG132">
            <v>44993</v>
          </cell>
          <cell r="EH132">
            <v>12.5</v>
          </cell>
          <cell r="EI132" t="str">
            <v>12 1/2</v>
          </cell>
          <cell r="EJ132">
            <v>1.1499999999999999</v>
          </cell>
          <cell r="EK132" t="str">
            <v>1 1/8</v>
          </cell>
          <cell r="EL132">
            <v>5.44</v>
          </cell>
          <cell r="EM132">
            <v>26.1</v>
          </cell>
          <cell r="EN132">
            <v>3630</v>
          </cell>
          <cell r="EO132">
            <v>329</v>
          </cell>
          <cell r="EP132">
            <v>9.17</v>
          </cell>
          <cell r="EQ132">
            <v>373</v>
          </cell>
          <cell r="ER132">
            <v>376</v>
          </cell>
          <cell r="ES132">
            <v>60.1</v>
          </cell>
          <cell r="ET132">
            <v>2.95</v>
          </cell>
        </row>
        <row r="133">
          <cell r="B133" t="str">
            <v>L2-1/2X1-1/2X3/16</v>
          </cell>
          <cell r="C133" t="str">
            <v>L2-1/2X1-1/2X3/16</v>
          </cell>
          <cell r="D133" t="str">
            <v>F</v>
          </cell>
          <cell r="E133">
            <v>2.44</v>
          </cell>
          <cell r="F133">
            <v>0.72399999999999998</v>
          </cell>
          <cell r="G133" t="str">
            <v>L2-1/2X1-1/2X3/16</v>
          </cell>
          <cell r="H133">
            <v>1.5</v>
          </cell>
          <cell r="I133" t="str">
            <v>–</v>
          </cell>
          <cell r="J133" t="str">
            <v>–</v>
          </cell>
          <cell r="K133" t="str">
            <v>–</v>
          </cell>
          <cell r="L133" t="str">
            <v>–</v>
          </cell>
          <cell r="M133" t="str">
            <v>–</v>
          </cell>
          <cell r="N133" t="str">
            <v>–</v>
          </cell>
          <cell r="O133" t="str">
            <v>–</v>
          </cell>
          <cell r="P133">
            <v>2.5</v>
          </cell>
          <cell r="Q133" t="str">
            <v>–</v>
          </cell>
          <cell r="R133" t="str">
            <v>–</v>
          </cell>
          <cell r="S133" t="str">
            <v>–</v>
          </cell>
          <cell r="T133" t="str">
            <v>–</v>
          </cell>
          <cell r="U133" t="str">
            <v>–</v>
          </cell>
          <cell r="V133" t="str">
            <v>–</v>
          </cell>
          <cell r="W133">
            <v>0.188</v>
          </cell>
          <cell r="DZ133" t="str">
            <v>W21X132</v>
          </cell>
          <cell r="EA133">
            <v>132</v>
          </cell>
          <cell r="EB133">
            <v>38.799999999999997</v>
          </cell>
          <cell r="EC133">
            <v>21.8</v>
          </cell>
          <cell r="ED133" t="str">
            <v>21 7/8</v>
          </cell>
          <cell r="EE133">
            <v>0.65</v>
          </cell>
          <cell r="EF133">
            <v>45054</v>
          </cell>
          <cell r="EG133">
            <v>45062</v>
          </cell>
          <cell r="EH133">
            <v>12.4</v>
          </cell>
          <cell r="EI133" t="str">
            <v>12 1/2</v>
          </cell>
          <cell r="EJ133">
            <v>1.04</v>
          </cell>
          <cell r="EK133" t="str">
            <v>1 1/16</v>
          </cell>
          <cell r="EL133">
            <v>6.01</v>
          </cell>
          <cell r="EM133">
            <v>28.9</v>
          </cell>
          <cell r="EN133">
            <v>3220</v>
          </cell>
          <cell r="EO133">
            <v>295</v>
          </cell>
          <cell r="EP133">
            <v>9.1199999999999992</v>
          </cell>
          <cell r="EQ133">
            <v>333</v>
          </cell>
          <cell r="ER133">
            <v>333</v>
          </cell>
          <cell r="ES133">
            <v>53.5</v>
          </cell>
          <cell r="ET133">
            <v>2.93</v>
          </cell>
        </row>
        <row r="134">
          <cell r="B134" t="str">
            <v>L2X2X3/8</v>
          </cell>
          <cell r="C134" t="str">
            <v>L2X2X3/8</v>
          </cell>
          <cell r="D134" t="str">
            <v>F</v>
          </cell>
          <cell r="E134">
            <v>4.7</v>
          </cell>
          <cell r="F134">
            <v>1.37</v>
          </cell>
          <cell r="G134" t="str">
            <v>L2X2X3/8</v>
          </cell>
          <cell r="H134">
            <v>2</v>
          </cell>
          <cell r="I134" t="str">
            <v>–</v>
          </cell>
          <cell r="J134" t="str">
            <v>–</v>
          </cell>
          <cell r="K134" t="str">
            <v>–</v>
          </cell>
          <cell r="L134" t="str">
            <v>–</v>
          </cell>
          <cell r="M134" t="str">
            <v>–</v>
          </cell>
          <cell r="N134" t="str">
            <v>–</v>
          </cell>
          <cell r="O134" t="str">
            <v>–</v>
          </cell>
          <cell r="P134">
            <v>2</v>
          </cell>
          <cell r="Q134" t="str">
            <v>–</v>
          </cell>
          <cell r="R134" t="str">
            <v>–</v>
          </cell>
          <cell r="S134" t="str">
            <v>–</v>
          </cell>
          <cell r="T134" t="str">
            <v>–</v>
          </cell>
          <cell r="U134" t="str">
            <v>–</v>
          </cell>
          <cell r="V134" t="str">
            <v>–</v>
          </cell>
          <cell r="W134">
            <v>0.375</v>
          </cell>
          <cell r="DZ134" t="str">
            <v>W21X122</v>
          </cell>
          <cell r="EA134">
            <v>122</v>
          </cell>
          <cell r="EB134">
            <v>35.9</v>
          </cell>
          <cell r="EC134">
            <v>21.7</v>
          </cell>
          <cell r="ED134" t="str">
            <v>21 5/8</v>
          </cell>
          <cell r="EE134">
            <v>0.6</v>
          </cell>
          <cell r="EF134">
            <v>45054</v>
          </cell>
          <cell r="EG134">
            <v>45062</v>
          </cell>
          <cell r="EH134">
            <v>12.4</v>
          </cell>
          <cell r="EI134" t="str">
            <v>12 3/8</v>
          </cell>
          <cell r="EJ134">
            <v>0.96</v>
          </cell>
          <cell r="EK134" t="str">
            <v>15/16</v>
          </cell>
          <cell r="EL134">
            <v>6.45</v>
          </cell>
          <cell r="EM134">
            <v>31.3</v>
          </cell>
          <cell r="EN134">
            <v>2960</v>
          </cell>
          <cell r="EO134">
            <v>273</v>
          </cell>
          <cell r="EP134">
            <v>9.09</v>
          </cell>
          <cell r="EQ134">
            <v>307</v>
          </cell>
          <cell r="ER134">
            <v>305</v>
          </cell>
          <cell r="ES134">
            <v>49.2</v>
          </cell>
          <cell r="ET134">
            <v>2.92</v>
          </cell>
        </row>
        <row r="135">
          <cell r="B135" t="str">
            <v>L2X2X5/16</v>
          </cell>
          <cell r="C135" t="str">
            <v>L2X2X5/16</v>
          </cell>
          <cell r="D135" t="str">
            <v>F</v>
          </cell>
          <cell r="E135">
            <v>3.92</v>
          </cell>
          <cell r="F135">
            <v>1.1599999999999999</v>
          </cell>
          <cell r="G135" t="str">
            <v>L2X2X5/16</v>
          </cell>
          <cell r="H135">
            <v>2</v>
          </cell>
          <cell r="I135" t="str">
            <v>–</v>
          </cell>
          <cell r="J135" t="str">
            <v>–</v>
          </cell>
          <cell r="K135" t="str">
            <v>–</v>
          </cell>
          <cell r="L135" t="str">
            <v>–</v>
          </cell>
          <cell r="M135" t="str">
            <v>–</v>
          </cell>
          <cell r="N135" t="str">
            <v>–</v>
          </cell>
          <cell r="O135" t="str">
            <v>–</v>
          </cell>
          <cell r="P135">
            <v>2</v>
          </cell>
          <cell r="Q135" t="str">
            <v>–</v>
          </cell>
          <cell r="R135" t="str">
            <v>–</v>
          </cell>
          <cell r="S135" t="str">
            <v>–</v>
          </cell>
          <cell r="T135" t="str">
            <v>–</v>
          </cell>
          <cell r="U135" t="str">
            <v>–</v>
          </cell>
          <cell r="V135" t="str">
            <v>–</v>
          </cell>
          <cell r="W135">
            <v>0.313</v>
          </cell>
          <cell r="DZ135" t="str">
            <v>W21X111</v>
          </cell>
          <cell r="EA135">
            <v>111</v>
          </cell>
          <cell r="EB135">
            <v>32.6</v>
          </cell>
          <cell r="EC135">
            <v>21.5</v>
          </cell>
          <cell r="ED135" t="str">
            <v>21 1/2</v>
          </cell>
          <cell r="EE135">
            <v>0.55000000000000004</v>
          </cell>
          <cell r="EF135">
            <v>45185</v>
          </cell>
          <cell r="EG135">
            <v>45062</v>
          </cell>
          <cell r="EH135">
            <v>12.3</v>
          </cell>
          <cell r="EI135" t="str">
            <v>12 3/8</v>
          </cell>
          <cell r="EJ135">
            <v>0.875</v>
          </cell>
          <cell r="EK135">
            <v>45115</v>
          </cell>
          <cell r="EL135">
            <v>7.05</v>
          </cell>
          <cell r="EM135">
            <v>34.1</v>
          </cell>
          <cell r="EN135">
            <v>2670</v>
          </cell>
          <cell r="EO135">
            <v>249</v>
          </cell>
          <cell r="EP135">
            <v>9.0500000000000007</v>
          </cell>
          <cell r="EQ135">
            <v>279</v>
          </cell>
          <cell r="ER135">
            <v>274</v>
          </cell>
          <cell r="ES135">
            <v>44.5</v>
          </cell>
          <cell r="ET135">
            <v>2.9</v>
          </cell>
        </row>
        <row r="136">
          <cell r="B136" t="str">
            <v>L2X2X1/4</v>
          </cell>
          <cell r="C136" t="str">
            <v>L2X2X1/4</v>
          </cell>
          <cell r="D136" t="str">
            <v>F</v>
          </cell>
          <cell r="E136">
            <v>3.19</v>
          </cell>
          <cell r="F136">
            <v>0.94399999999999995</v>
          </cell>
          <cell r="G136" t="str">
            <v>L2X2X1/4</v>
          </cell>
          <cell r="H136">
            <v>2</v>
          </cell>
          <cell r="I136" t="str">
            <v>–</v>
          </cell>
          <cell r="J136" t="str">
            <v>–</v>
          </cell>
          <cell r="K136" t="str">
            <v>–</v>
          </cell>
          <cell r="L136" t="str">
            <v>–</v>
          </cell>
          <cell r="M136" t="str">
            <v>–</v>
          </cell>
          <cell r="N136" t="str">
            <v>–</v>
          </cell>
          <cell r="O136" t="str">
            <v>–</v>
          </cell>
          <cell r="P136">
            <v>2</v>
          </cell>
          <cell r="Q136" t="str">
            <v>–</v>
          </cell>
          <cell r="R136" t="str">
            <v>–</v>
          </cell>
          <cell r="S136" t="str">
            <v>–</v>
          </cell>
          <cell r="T136" t="str">
            <v>–</v>
          </cell>
          <cell r="U136" t="str">
            <v>–</v>
          </cell>
          <cell r="V136" t="str">
            <v>–</v>
          </cell>
          <cell r="W136">
            <v>0.25</v>
          </cell>
          <cell r="DZ136" t="str">
            <v>W21X101</v>
          </cell>
          <cell r="EA136">
            <v>101</v>
          </cell>
          <cell r="EB136">
            <v>29.8</v>
          </cell>
          <cell r="EC136">
            <v>21.4</v>
          </cell>
          <cell r="ED136" t="str">
            <v>21 3/8</v>
          </cell>
          <cell r="EE136">
            <v>0.5</v>
          </cell>
          <cell r="EF136">
            <v>44928</v>
          </cell>
          <cell r="EG136">
            <v>44930</v>
          </cell>
          <cell r="EH136">
            <v>12.3</v>
          </cell>
          <cell r="EI136" t="str">
            <v>12 1/4</v>
          </cell>
          <cell r="EJ136">
            <v>0.8</v>
          </cell>
          <cell r="EK136" t="str">
            <v>13/16</v>
          </cell>
          <cell r="EL136">
            <v>7.68</v>
          </cell>
          <cell r="EM136">
            <v>37.5</v>
          </cell>
          <cell r="EN136">
            <v>2420</v>
          </cell>
          <cell r="EO136">
            <v>227</v>
          </cell>
          <cell r="EP136">
            <v>9.02</v>
          </cell>
          <cell r="EQ136">
            <v>253</v>
          </cell>
          <cell r="ER136">
            <v>248</v>
          </cell>
          <cell r="ES136">
            <v>40.299999999999997</v>
          </cell>
          <cell r="ET136">
            <v>2.89</v>
          </cell>
        </row>
        <row r="137">
          <cell r="B137" t="str">
            <v>L2X2X3/16</v>
          </cell>
          <cell r="C137" t="str">
            <v>L2X2X3/16</v>
          </cell>
          <cell r="D137" t="str">
            <v>F</v>
          </cell>
          <cell r="E137">
            <v>2.44</v>
          </cell>
          <cell r="F137">
            <v>0.72199999999999998</v>
          </cell>
          <cell r="G137" t="str">
            <v>L2X2X3/16</v>
          </cell>
          <cell r="H137">
            <v>2</v>
          </cell>
          <cell r="I137" t="str">
            <v>–</v>
          </cell>
          <cell r="J137" t="str">
            <v>–</v>
          </cell>
          <cell r="K137" t="str">
            <v>–</v>
          </cell>
          <cell r="L137" t="str">
            <v>–</v>
          </cell>
          <cell r="M137" t="str">
            <v>–</v>
          </cell>
          <cell r="N137" t="str">
            <v>–</v>
          </cell>
          <cell r="O137" t="str">
            <v>–</v>
          </cell>
          <cell r="P137">
            <v>2</v>
          </cell>
          <cell r="Q137" t="str">
            <v>–</v>
          </cell>
          <cell r="R137" t="str">
            <v>–</v>
          </cell>
          <cell r="S137" t="str">
            <v>–</v>
          </cell>
          <cell r="T137" t="str">
            <v>–</v>
          </cell>
          <cell r="U137" t="str">
            <v>–</v>
          </cell>
          <cell r="V137" t="str">
            <v>–</v>
          </cell>
          <cell r="W137">
            <v>0.188</v>
          </cell>
          <cell r="DZ137" t="str">
            <v>W21X93</v>
          </cell>
          <cell r="EA137">
            <v>93</v>
          </cell>
          <cell r="EB137">
            <v>27.3</v>
          </cell>
          <cell r="EC137">
            <v>21.6</v>
          </cell>
          <cell r="ED137" t="str">
            <v>21 5/8</v>
          </cell>
          <cell r="EE137">
            <v>0.57999999999999996</v>
          </cell>
          <cell r="EF137">
            <v>45185</v>
          </cell>
          <cell r="EG137">
            <v>45062</v>
          </cell>
          <cell r="EH137">
            <v>8.42</v>
          </cell>
          <cell r="EI137" t="str">
            <v>8 3/8</v>
          </cell>
          <cell r="EJ137">
            <v>0.93</v>
          </cell>
          <cell r="EK137" t="str">
            <v>15/16</v>
          </cell>
          <cell r="EL137">
            <v>4.53</v>
          </cell>
          <cell r="EM137">
            <v>32.299999999999997</v>
          </cell>
          <cell r="EN137">
            <v>2070</v>
          </cell>
          <cell r="EO137">
            <v>192</v>
          </cell>
          <cell r="EP137">
            <v>8.6999999999999993</v>
          </cell>
          <cell r="EQ137">
            <v>221</v>
          </cell>
          <cell r="ER137">
            <v>92.9</v>
          </cell>
          <cell r="ES137">
            <v>22.1</v>
          </cell>
          <cell r="ET137">
            <v>1.84</v>
          </cell>
        </row>
        <row r="138">
          <cell r="B138" t="str">
            <v>L2X2X1/8</v>
          </cell>
          <cell r="C138" t="str">
            <v>L2X2X1/8</v>
          </cell>
          <cell r="D138" t="str">
            <v>F</v>
          </cell>
          <cell r="E138">
            <v>1.65</v>
          </cell>
          <cell r="F138">
            <v>0.49099999999999999</v>
          </cell>
          <cell r="G138" t="str">
            <v>L2X2X1/8</v>
          </cell>
          <cell r="H138">
            <v>2</v>
          </cell>
          <cell r="I138" t="str">
            <v>–</v>
          </cell>
          <cell r="J138" t="str">
            <v>–</v>
          </cell>
          <cell r="K138" t="str">
            <v>–</v>
          </cell>
          <cell r="L138" t="str">
            <v>–</v>
          </cell>
          <cell r="M138" t="str">
            <v>–</v>
          </cell>
          <cell r="N138" t="str">
            <v>–</v>
          </cell>
          <cell r="O138" t="str">
            <v>–</v>
          </cell>
          <cell r="P138">
            <v>2</v>
          </cell>
          <cell r="Q138" t="str">
            <v>–</v>
          </cell>
          <cell r="R138" t="str">
            <v>–</v>
          </cell>
          <cell r="S138" t="str">
            <v>–</v>
          </cell>
          <cell r="T138" t="str">
            <v>–</v>
          </cell>
          <cell r="U138" t="str">
            <v>–</v>
          </cell>
          <cell r="V138" t="str">
            <v>–</v>
          </cell>
          <cell r="W138">
            <v>0.125</v>
          </cell>
          <cell r="DZ138" t="str">
            <v>W21X83</v>
          </cell>
          <cell r="EA138">
            <v>83</v>
          </cell>
          <cell r="EB138">
            <v>24.4</v>
          </cell>
          <cell r="EC138">
            <v>21.4</v>
          </cell>
          <cell r="ED138" t="str">
            <v>21 3/8</v>
          </cell>
          <cell r="EE138">
            <v>0.51500000000000001</v>
          </cell>
          <cell r="EF138">
            <v>44928</v>
          </cell>
          <cell r="EG138">
            <v>44930</v>
          </cell>
          <cell r="EH138">
            <v>8.36</v>
          </cell>
          <cell r="EI138" t="str">
            <v>8 3/8</v>
          </cell>
          <cell r="EJ138">
            <v>0.83499999999999996</v>
          </cell>
          <cell r="EK138" t="str">
            <v>13/16</v>
          </cell>
          <cell r="EL138">
            <v>5</v>
          </cell>
          <cell r="EM138">
            <v>36.4</v>
          </cell>
          <cell r="EN138">
            <v>1830</v>
          </cell>
          <cell r="EO138">
            <v>171</v>
          </cell>
          <cell r="EP138">
            <v>8.67</v>
          </cell>
          <cell r="EQ138">
            <v>196</v>
          </cell>
          <cell r="ER138">
            <v>81.400000000000006</v>
          </cell>
          <cell r="ES138">
            <v>19.5</v>
          </cell>
          <cell r="ET138">
            <v>1.83</v>
          </cell>
        </row>
        <row r="139">
          <cell r="B139" t="str">
            <v>WT22X167.5</v>
          </cell>
          <cell r="C139" t="str">
            <v>WT22X167.5</v>
          </cell>
          <cell r="D139" t="str">
            <v>F</v>
          </cell>
          <cell r="E139">
            <v>167.5</v>
          </cell>
          <cell r="F139">
            <v>49.2</v>
          </cell>
          <cell r="G139" t="str">
            <v>WT22X167.5</v>
          </cell>
          <cell r="H139">
            <v>22</v>
          </cell>
          <cell r="I139">
            <v>22</v>
          </cell>
          <cell r="J139" t="str">
            <v>–</v>
          </cell>
          <cell r="K139" t="str">
            <v>–</v>
          </cell>
          <cell r="L139" t="str">
            <v>–</v>
          </cell>
          <cell r="M139">
            <v>15.9</v>
          </cell>
          <cell r="N139">
            <v>16</v>
          </cell>
          <cell r="O139" t="str">
            <v>–</v>
          </cell>
          <cell r="P139" t="str">
            <v>–</v>
          </cell>
          <cell r="Q139" t="str">
            <v>–</v>
          </cell>
          <cell r="R139">
            <v>1.03</v>
          </cell>
          <cell r="S139">
            <v>1</v>
          </cell>
          <cell r="T139">
            <v>0.5</v>
          </cell>
          <cell r="U139">
            <v>1.77</v>
          </cell>
          <cell r="V139">
            <v>1.75</v>
          </cell>
          <cell r="W139">
            <v>1.77</v>
          </cell>
          <cell r="DZ139" t="str">
            <v>W21X73</v>
          </cell>
          <cell r="EA139">
            <v>73</v>
          </cell>
          <cell r="EB139">
            <v>21.5</v>
          </cell>
          <cell r="EC139">
            <v>21.2</v>
          </cell>
          <cell r="ED139" t="str">
            <v>21 1/4</v>
          </cell>
          <cell r="EE139">
            <v>0.45500000000000002</v>
          </cell>
          <cell r="EF139">
            <v>45123</v>
          </cell>
          <cell r="EG139">
            <v>44930</v>
          </cell>
          <cell r="EH139">
            <v>8.3000000000000007</v>
          </cell>
          <cell r="EI139" t="str">
            <v>8 1/4</v>
          </cell>
          <cell r="EJ139">
            <v>0.74</v>
          </cell>
          <cell r="EK139">
            <v>44989</v>
          </cell>
          <cell r="EL139">
            <v>5.6</v>
          </cell>
          <cell r="EM139">
            <v>41.2</v>
          </cell>
          <cell r="EN139">
            <v>1600</v>
          </cell>
          <cell r="EO139">
            <v>151</v>
          </cell>
          <cell r="EP139">
            <v>8.64</v>
          </cell>
          <cell r="EQ139">
            <v>172</v>
          </cell>
          <cell r="ER139">
            <v>70.599999999999994</v>
          </cell>
          <cell r="ES139">
            <v>17</v>
          </cell>
          <cell r="ET139">
            <v>1.81</v>
          </cell>
        </row>
        <row r="140">
          <cell r="B140" t="str">
            <v>WT22X145</v>
          </cell>
          <cell r="C140" t="str">
            <v>WT22X145</v>
          </cell>
          <cell r="D140" t="str">
            <v>F</v>
          </cell>
          <cell r="E140">
            <v>145</v>
          </cell>
          <cell r="F140">
            <v>42.6</v>
          </cell>
          <cell r="G140" t="str">
            <v>WT22X145</v>
          </cell>
          <cell r="H140">
            <v>21.8</v>
          </cell>
          <cell r="I140">
            <v>21.75</v>
          </cell>
          <cell r="J140" t="str">
            <v>–</v>
          </cell>
          <cell r="K140" t="str">
            <v>–</v>
          </cell>
          <cell r="L140" t="str">
            <v>–</v>
          </cell>
          <cell r="M140">
            <v>15.8</v>
          </cell>
          <cell r="N140">
            <v>15.875</v>
          </cell>
          <cell r="O140" t="str">
            <v>–</v>
          </cell>
          <cell r="P140" t="str">
            <v>–</v>
          </cell>
          <cell r="Q140" t="str">
            <v>–</v>
          </cell>
          <cell r="R140">
            <v>0.86499999999999999</v>
          </cell>
          <cell r="S140">
            <v>0.875</v>
          </cell>
          <cell r="T140">
            <v>0.4375</v>
          </cell>
          <cell r="U140">
            <v>1.58</v>
          </cell>
          <cell r="V140">
            <v>1.5625</v>
          </cell>
          <cell r="W140">
            <v>1.58</v>
          </cell>
          <cell r="DZ140" t="str">
            <v>W21X68</v>
          </cell>
          <cell r="EA140">
            <v>68</v>
          </cell>
          <cell r="EB140">
            <v>20</v>
          </cell>
          <cell r="EC140">
            <v>21.1</v>
          </cell>
          <cell r="ED140" t="str">
            <v>21 1/8</v>
          </cell>
          <cell r="EE140">
            <v>0.43</v>
          </cell>
          <cell r="EF140">
            <v>45123</v>
          </cell>
          <cell r="EG140">
            <v>44930</v>
          </cell>
          <cell r="EH140">
            <v>8.27</v>
          </cell>
          <cell r="EI140" t="str">
            <v>8 1/4</v>
          </cell>
          <cell r="EJ140">
            <v>0.68500000000000005</v>
          </cell>
          <cell r="EK140">
            <v>45246</v>
          </cell>
          <cell r="EL140">
            <v>6.04</v>
          </cell>
          <cell r="EM140">
            <v>43.6</v>
          </cell>
          <cell r="EN140">
            <v>1480</v>
          </cell>
          <cell r="EO140">
            <v>140</v>
          </cell>
          <cell r="EP140">
            <v>8.6</v>
          </cell>
          <cell r="EQ140">
            <v>160</v>
          </cell>
          <cell r="ER140">
            <v>64.7</v>
          </cell>
          <cell r="ES140">
            <v>15.7</v>
          </cell>
          <cell r="ET140">
            <v>1.8</v>
          </cell>
        </row>
        <row r="141">
          <cell r="B141" t="str">
            <v>WT22X131</v>
          </cell>
          <cell r="C141" t="str">
            <v>WT22X131</v>
          </cell>
          <cell r="D141" t="str">
            <v>F</v>
          </cell>
          <cell r="E141">
            <v>131</v>
          </cell>
          <cell r="F141">
            <v>38.5</v>
          </cell>
          <cell r="G141" t="str">
            <v>WT22X131</v>
          </cell>
          <cell r="H141">
            <v>21.7</v>
          </cell>
          <cell r="I141">
            <v>21.625</v>
          </cell>
          <cell r="J141" t="str">
            <v>–</v>
          </cell>
          <cell r="K141" t="str">
            <v>–</v>
          </cell>
          <cell r="L141" t="str">
            <v>–</v>
          </cell>
          <cell r="M141">
            <v>15.8</v>
          </cell>
          <cell r="N141">
            <v>15.75</v>
          </cell>
          <cell r="O141" t="str">
            <v>–</v>
          </cell>
          <cell r="P141" t="str">
            <v>–</v>
          </cell>
          <cell r="Q141" t="str">
            <v>–</v>
          </cell>
          <cell r="R141">
            <v>0.78500000000000003</v>
          </cell>
          <cell r="S141">
            <v>0.8125</v>
          </cell>
          <cell r="T141">
            <v>0.4375</v>
          </cell>
          <cell r="U141">
            <v>1.42</v>
          </cell>
          <cell r="V141">
            <v>1.4375</v>
          </cell>
          <cell r="W141">
            <v>1.42</v>
          </cell>
          <cell r="DZ141" t="str">
            <v>W21X62</v>
          </cell>
          <cell r="EA141">
            <v>62</v>
          </cell>
          <cell r="EB141">
            <v>18.3</v>
          </cell>
          <cell r="EC141">
            <v>21</v>
          </cell>
          <cell r="ED141">
            <v>21</v>
          </cell>
          <cell r="EE141">
            <v>0.4</v>
          </cell>
          <cell r="EF141">
            <v>44993</v>
          </cell>
          <cell r="EG141">
            <v>45001</v>
          </cell>
          <cell r="EH141">
            <v>8.24</v>
          </cell>
          <cell r="EI141" t="str">
            <v>8 1/4</v>
          </cell>
          <cell r="EJ141">
            <v>0.61499999999999999</v>
          </cell>
          <cell r="EK141">
            <v>45054</v>
          </cell>
          <cell r="EL141">
            <v>6.7</v>
          </cell>
          <cell r="EM141">
            <v>46.9</v>
          </cell>
          <cell r="EN141">
            <v>1330</v>
          </cell>
          <cell r="EO141">
            <v>127</v>
          </cell>
          <cell r="EP141">
            <v>8.5399999999999991</v>
          </cell>
          <cell r="EQ141">
            <v>144</v>
          </cell>
          <cell r="ER141">
            <v>57.5</v>
          </cell>
          <cell r="ES141">
            <v>14</v>
          </cell>
          <cell r="ET141">
            <v>1.77</v>
          </cell>
        </row>
        <row r="142">
          <cell r="B142" t="str">
            <v>WT22X115</v>
          </cell>
          <cell r="C142" t="str">
            <v>WT22X115</v>
          </cell>
          <cell r="D142" t="str">
            <v>F</v>
          </cell>
          <cell r="E142">
            <v>115</v>
          </cell>
          <cell r="F142">
            <v>33.9</v>
          </cell>
          <cell r="G142" t="str">
            <v>WT22X115</v>
          </cell>
          <cell r="H142">
            <v>21.5</v>
          </cell>
          <cell r="I142">
            <v>21.5</v>
          </cell>
          <cell r="J142" t="str">
            <v>–</v>
          </cell>
          <cell r="K142" t="str">
            <v>–</v>
          </cell>
          <cell r="L142" t="str">
            <v>–</v>
          </cell>
          <cell r="M142">
            <v>15.8</v>
          </cell>
          <cell r="N142">
            <v>15.75</v>
          </cell>
          <cell r="O142" t="str">
            <v>–</v>
          </cell>
          <cell r="P142" t="str">
            <v>–</v>
          </cell>
          <cell r="Q142" t="str">
            <v>–</v>
          </cell>
          <cell r="R142">
            <v>0.71</v>
          </cell>
          <cell r="S142">
            <v>0.6875</v>
          </cell>
          <cell r="T142">
            <v>0.375</v>
          </cell>
          <cell r="U142">
            <v>1.22</v>
          </cell>
          <cell r="V142">
            <v>1.25</v>
          </cell>
          <cell r="W142">
            <v>1.22</v>
          </cell>
          <cell r="DZ142" t="str">
            <v>W21X55</v>
          </cell>
          <cell r="EA142">
            <v>55</v>
          </cell>
          <cell r="EB142">
            <v>16.2</v>
          </cell>
          <cell r="EC142">
            <v>20.8</v>
          </cell>
          <cell r="ED142" t="str">
            <v>20 3/4</v>
          </cell>
          <cell r="EE142">
            <v>0.375</v>
          </cell>
          <cell r="EF142">
            <v>44993</v>
          </cell>
          <cell r="EG142">
            <v>45001</v>
          </cell>
          <cell r="EH142">
            <v>8.2200000000000006</v>
          </cell>
          <cell r="EI142" t="str">
            <v>8 1/4</v>
          </cell>
          <cell r="EJ142">
            <v>0.52200000000000002</v>
          </cell>
          <cell r="EK142">
            <v>44928</v>
          </cell>
          <cell r="EL142">
            <v>7.87</v>
          </cell>
          <cell r="EM142">
            <v>50</v>
          </cell>
          <cell r="EN142">
            <v>1140</v>
          </cell>
          <cell r="EO142">
            <v>110</v>
          </cell>
          <cell r="EP142">
            <v>8.4</v>
          </cell>
          <cell r="EQ142">
            <v>126</v>
          </cell>
          <cell r="ER142">
            <v>48.4</v>
          </cell>
          <cell r="ES142">
            <v>11.8</v>
          </cell>
          <cell r="ET142">
            <v>1.73</v>
          </cell>
        </row>
        <row r="143">
          <cell r="B143" t="str">
            <v>WT20X327.5</v>
          </cell>
          <cell r="C143" t="str">
            <v>WT20X327.5</v>
          </cell>
          <cell r="D143" t="str">
            <v>T</v>
          </cell>
          <cell r="E143">
            <v>327.5</v>
          </cell>
          <cell r="F143">
            <v>96.4</v>
          </cell>
          <cell r="G143" t="str">
            <v>WT20X327.5</v>
          </cell>
          <cell r="H143">
            <v>21.8</v>
          </cell>
          <cell r="I143">
            <v>21.75</v>
          </cell>
          <cell r="J143" t="str">
            <v>–</v>
          </cell>
          <cell r="K143" t="str">
            <v>–</v>
          </cell>
          <cell r="L143" t="str">
            <v>–</v>
          </cell>
          <cell r="M143">
            <v>16.899999999999999</v>
          </cell>
          <cell r="N143">
            <v>16.875</v>
          </cell>
          <cell r="O143" t="str">
            <v>–</v>
          </cell>
          <cell r="P143" t="str">
            <v>–</v>
          </cell>
          <cell r="Q143" t="str">
            <v>–</v>
          </cell>
          <cell r="R143">
            <v>1.97</v>
          </cell>
          <cell r="S143">
            <v>2</v>
          </cell>
          <cell r="T143">
            <v>1</v>
          </cell>
          <cell r="U143">
            <v>3.54</v>
          </cell>
          <cell r="V143">
            <v>3.5625</v>
          </cell>
          <cell r="W143">
            <v>3.54</v>
          </cell>
          <cell r="DZ143" t="str">
            <v>W21X48</v>
          </cell>
          <cell r="EA143">
            <v>48</v>
          </cell>
          <cell r="EB143">
            <v>14.1</v>
          </cell>
          <cell r="EC143">
            <v>20.6</v>
          </cell>
          <cell r="ED143" t="str">
            <v>20 5/8</v>
          </cell>
          <cell r="EE143">
            <v>0.35</v>
          </cell>
          <cell r="EF143">
            <v>44993</v>
          </cell>
          <cell r="EG143">
            <v>45001</v>
          </cell>
          <cell r="EH143">
            <v>8.14</v>
          </cell>
          <cell r="EI143" t="str">
            <v>8 1/8</v>
          </cell>
          <cell r="EJ143">
            <v>0.43</v>
          </cell>
          <cell r="EK143">
            <v>45123</v>
          </cell>
          <cell r="EL143">
            <v>9.4700000000000006</v>
          </cell>
          <cell r="EM143">
            <v>53.6</v>
          </cell>
          <cell r="EN143">
            <v>959</v>
          </cell>
          <cell r="EO143">
            <v>93</v>
          </cell>
          <cell r="EP143">
            <v>8.24</v>
          </cell>
          <cell r="EQ143">
            <v>107</v>
          </cell>
          <cell r="ER143">
            <v>38.700000000000003</v>
          </cell>
          <cell r="ES143">
            <v>9.52</v>
          </cell>
          <cell r="ET143">
            <v>1.66</v>
          </cell>
        </row>
        <row r="144">
          <cell r="B144" t="str">
            <v>WT20X296.5</v>
          </cell>
          <cell r="C144" t="str">
            <v>WT20X296.5</v>
          </cell>
          <cell r="D144" t="str">
            <v>T</v>
          </cell>
          <cell r="E144">
            <v>296.5</v>
          </cell>
          <cell r="F144">
            <v>87.2</v>
          </cell>
          <cell r="G144" t="str">
            <v>WT20X296.5</v>
          </cell>
          <cell r="H144">
            <v>21.5</v>
          </cell>
          <cell r="I144">
            <v>21.5</v>
          </cell>
          <cell r="J144" t="str">
            <v>–</v>
          </cell>
          <cell r="K144" t="str">
            <v>–</v>
          </cell>
          <cell r="L144" t="str">
            <v>–</v>
          </cell>
          <cell r="M144">
            <v>16.7</v>
          </cell>
          <cell r="N144">
            <v>16.75</v>
          </cell>
          <cell r="O144" t="str">
            <v>–</v>
          </cell>
          <cell r="P144" t="str">
            <v>–</v>
          </cell>
          <cell r="Q144" t="str">
            <v>–</v>
          </cell>
          <cell r="R144">
            <v>1.79</v>
          </cell>
          <cell r="S144">
            <v>1.8125</v>
          </cell>
          <cell r="T144">
            <v>0.9375</v>
          </cell>
          <cell r="U144">
            <v>3.23</v>
          </cell>
          <cell r="V144">
            <v>3.25</v>
          </cell>
          <cell r="W144">
            <v>3.23</v>
          </cell>
          <cell r="DZ144" t="str">
            <v>W21X57</v>
          </cell>
          <cell r="EA144">
            <v>57</v>
          </cell>
          <cell r="EB144">
            <v>16.7</v>
          </cell>
          <cell r="EC144">
            <v>21.1</v>
          </cell>
          <cell r="ED144">
            <v>21</v>
          </cell>
          <cell r="EE144">
            <v>0.40500000000000003</v>
          </cell>
          <cell r="EF144">
            <v>44993</v>
          </cell>
          <cell r="EG144">
            <v>45001</v>
          </cell>
          <cell r="EH144">
            <v>6.56</v>
          </cell>
          <cell r="EI144" t="str">
            <v>6 1/2</v>
          </cell>
          <cell r="EJ144">
            <v>0.65</v>
          </cell>
          <cell r="EK144">
            <v>45054</v>
          </cell>
          <cell r="EL144">
            <v>5.04</v>
          </cell>
          <cell r="EM144">
            <v>46.3</v>
          </cell>
          <cell r="EN144">
            <v>1170</v>
          </cell>
          <cell r="EO144">
            <v>111</v>
          </cell>
          <cell r="EP144">
            <v>8.36</v>
          </cell>
          <cell r="EQ144">
            <v>129</v>
          </cell>
          <cell r="ER144">
            <v>30.6</v>
          </cell>
          <cell r="ES144">
            <v>9.35</v>
          </cell>
          <cell r="ET144">
            <v>1.35</v>
          </cell>
        </row>
        <row r="145">
          <cell r="B145" t="str">
            <v>WT20X251.5</v>
          </cell>
          <cell r="C145" t="str">
            <v>WT20X251.5</v>
          </cell>
          <cell r="D145" t="str">
            <v>T</v>
          </cell>
          <cell r="E145">
            <v>251.5</v>
          </cell>
          <cell r="F145">
            <v>74</v>
          </cell>
          <cell r="G145" t="str">
            <v>WT20X251.5</v>
          </cell>
          <cell r="H145">
            <v>21</v>
          </cell>
          <cell r="I145">
            <v>21</v>
          </cell>
          <cell r="J145" t="str">
            <v>–</v>
          </cell>
          <cell r="K145" t="str">
            <v>–</v>
          </cell>
          <cell r="L145" t="str">
            <v>–</v>
          </cell>
          <cell r="M145">
            <v>16.399999999999999</v>
          </cell>
          <cell r="N145">
            <v>16.375</v>
          </cell>
          <cell r="O145" t="str">
            <v>–</v>
          </cell>
          <cell r="P145" t="str">
            <v>–</v>
          </cell>
          <cell r="Q145" t="str">
            <v>–</v>
          </cell>
          <cell r="R145">
            <v>1.54</v>
          </cell>
          <cell r="S145">
            <v>1.5625</v>
          </cell>
          <cell r="T145">
            <v>0.8125</v>
          </cell>
          <cell r="U145">
            <v>2.76</v>
          </cell>
          <cell r="V145">
            <v>2.75</v>
          </cell>
          <cell r="W145">
            <v>2.76</v>
          </cell>
          <cell r="DZ145" t="str">
            <v>W21X50</v>
          </cell>
          <cell r="EA145">
            <v>50</v>
          </cell>
          <cell r="EB145">
            <v>14.7</v>
          </cell>
          <cell r="EC145">
            <v>20.8</v>
          </cell>
          <cell r="ED145" t="str">
            <v>20 7/8</v>
          </cell>
          <cell r="EE145">
            <v>0.38</v>
          </cell>
          <cell r="EF145">
            <v>44993</v>
          </cell>
          <cell r="EG145">
            <v>45001</v>
          </cell>
          <cell r="EH145">
            <v>6.53</v>
          </cell>
          <cell r="EI145" t="str">
            <v>6 1/2</v>
          </cell>
          <cell r="EJ145">
            <v>0.53500000000000003</v>
          </cell>
          <cell r="EK145">
            <v>45185</v>
          </cell>
          <cell r="EL145">
            <v>6.1</v>
          </cell>
          <cell r="EM145">
            <v>49.4</v>
          </cell>
          <cell r="EN145">
            <v>984</v>
          </cell>
          <cell r="EO145">
            <v>94.5</v>
          </cell>
          <cell r="EP145">
            <v>8.18</v>
          </cell>
          <cell r="EQ145">
            <v>110</v>
          </cell>
          <cell r="ER145">
            <v>24.9</v>
          </cell>
          <cell r="ES145">
            <v>7.64</v>
          </cell>
          <cell r="ET145">
            <v>1.3</v>
          </cell>
        </row>
        <row r="146">
          <cell r="B146" t="str">
            <v>WT20X215.5</v>
          </cell>
          <cell r="C146" t="str">
            <v>WT20X215.5</v>
          </cell>
          <cell r="D146" t="str">
            <v>T</v>
          </cell>
          <cell r="E146">
            <v>215.5</v>
          </cell>
          <cell r="F146">
            <v>63.3</v>
          </cell>
          <cell r="G146" t="str">
            <v>WT20X215.5</v>
          </cell>
          <cell r="H146">
            <v>20.6</v>
          </cell>
          <cell r="I146">
            <v>20.625</v>
          </cell>
          <cell r="J146" t="str">
            <v>–</v>
          </cell>
          <cell r="K146" t="str">
            <v>–</v>
          </cell>
          <cell r="L146" t="str">
            <v>–</v>
          </cell>
          <cell r="M146">
            <v>16.2</v>
          </cell>
          <cell r="N146">
            <v>16.25</v>
          </cell>
          <cell r="O146" t="str">
            <v>–</v>
          </cell>
          <cell r="P146" t="str">
            <v>–</v>
          </cell>
          <cell r="Q146" t="str">
            <v>–</v>
          </cell>
          <cell r="R146">
            <v>1.34</v>
          </cell>
          <cell r="S146">
            <v>1.3125</v>
          </cell>
          <cell r="T146">
            <v>0.6875</v>
          </cell>
          <cell r="U146">
            <v>2.36</v>
          </cell>
          <cell r="V146">
            <v>2.375</v>
          </cell>
          <cell r="W146">
            <v>2.36</v>
          </cell>
          <cell r="DZ146" t="str">
            <v>W21X44</v>
          </cell>
          <cell r="EA146">
            <v>44</v>
          </cell>
          <cell r="EB146">
            <v>13</v>
          </cell>
          <cell r="EC146">
            <v>20.7</v>
          </cell>
          <cell r="ED146" t="str">
            <v>20 5/8</v>
          </cell>
          <cell r="EE146">
            <v>0.35</v>
          </cell>
          <cell r="EF146">
            <v>44993</v>
          </cell>
          <cell r="EG146">
            <v>45001</v>
          </cell>
          <cell r="EH146">
            <v>6.5</v>
          </cell>
          <cell r="EI146" t="str">
            <v>6 1/2</v>
          </cell>
          <cell r="EJ146">
            <v>0.45</v>
          </cell>
          <cell r="EK146">
            <v>45123</v>
          </cell>
          <cell r="EL146">
            <v>7.22</v>
          </cell>
          <cell r="EM146">
            <v>53.6</v>
          </cell>
          <cell r="EN146">
            <v>843</v>
          </cell>
          <cell r="EO146">
            <v>81.599999999999994</v>
          </cell>
          <cell r="EP146">
            <v>8.06</v>
          </cell>
          <cell r="EQ146">
            <v>95.4</v>
          </cell>
          <cell r="ER146">
            <v>20.7</v>
          </cell>
          <cell r="ES146">
            <v>6.37</v>
          </cell>
          <cell r="ET146">
            <v>1.26</v>
          </cell>
        </row>
        <row r="147">
          <cell r="B147" t="str">
            <v>WT20X198.5</v>
          </cell>
          <cell r="C147" t="str">
            <v>WT20X198.5</v>
          </cell>
          <cell r="D147" t="str">
            <v>T</v>
          </cell>
          <cell r="E147">
            <v>198.5</v>
          </cell>
          <cell r="F147">
            <v>58.3</v>
          </cell>
          <cell r="G147" t="str">
            <v>WT20X198.5</v>
          </cell>
          <cell r="H147">
            <v>20.5</v>
          </cell>
          <cell r="I147">
            <v>20.5</v>
          </cell>
          <cell r="J147" t="str">
            <v>–</v>
          </cell>
          <cell r="K147" t="str">
            <v>–</v>
          </cell>
          <cell r="L147" t="str">
            <v>–</v>
          </cell>
          <cell r="M147">
            <v>16.100000000000001</v>
          </cell>
          <cell r="N147">
            <v>16.125</v>
          </cell>
          <cell r="O147" t="str">
            <v>–</v>
          </cell>
          <cell r="P147" t="str">
            <v>–</v>
          </cell>
          <cell r="Q147" t="str">
            <v>–</v>
          </cell>
          <cell r="R147">
            <v>1.22</v>
          </cell>
          <cell r="S147">
            <v>1.25</v>
          </cell>
          <cell r="T147">
            <v>0.625</v>
          </cell>
          <cell r="U147">
            <v>2.2000000000000002</v>
          </cell>
          <cell r="V147">
            <v>2.1875</v>
          </cell>
          <cell r="W147">
            <v>2.2000000000000002</v>
          </cell>
          <cell r="DZ147" t="str">
            <v>W18X311</v>
          </cell>
          <cell r="EA147">
            <v>311</v>
          </cell>
          <cell r="EB147">
            <v>91.6</v>
          </cell>
          <cell r="EC147">
            <v>22.3</v>
          </cell>
          <cell r="ED147" t="str">
            <v>22 3/8</v>
          </cell>
          <cell r="EE147">
            <v>1.52</v>
          </cell>
          <cell r="EF147" t="str">
            <v>1 1/2</v>
          </cell>
          <cell r="EG147">
            <v>44989</v>
          </cell>
          <cell r="EH147">
            <v>12</v>
          </cell>
          <cell r="EI147">
            <v>12</v>
          </cell>
          <cell r="EJ147">
            <v>2.74</v>
          </cell>
          <cell r="EK147" t="str">
            <v>2 3/4</v>
          </cell>
          <cell r="EL147">
            <v>2.19</v>
          </cell>
          <cell r="EM147">
            <v>10.4</v>
          </cell>
          <cell r="EN147">
            <v>6970</v>
          </cell>
          <cell r="EO147">
            <v>624</v>
          </cell>
          <cell r="EP147">
            <v>8.7200000000000006</v>
          </cell>
          <cell r="EQ147">
            <v>754</v>
          </cell>
          <cell r="ER147">
            <v>795</v>
          </cell>
          <cell r="ES147">
            <v>132</v>
          </cell>
          <cell r="ET147">
            <v>2.95</v>
          </cell>
        </row>
        <row r="148">
          <cell r="B148" t="str">
            <v>WT20X186</v>
          </cell>
          <cell r="C148" t="str">
            <v>WT20X186</v>
          </cell>
          <cell r="D148" t="str">
            <v>T</v>
          </cell>
          <cell r="E148">
            <v>186</v>
          </cell>
          <cell r="F148">
            <v>54.7</v>
          </cell>
          <cell r="G148" t="str">
            <v>WT20X186</v>
          </cell>
          <cell r="H148">
            <v>20.3</v>
          </cell>
          <cell r="I148">
            <v>20.375</v>
          </cell>
          <cell r="J148" t="str">
            <v>–</v>
          </cell>
          <cell r="K148" t="str">
            <v>–</v>
          </cell>
          <cell r="L148" t="str">
            <v>–</v>
          </cell>
          <cell r="M148">
            <v>16.100000000000001</v>
          </cell>
          <cell r="N148">
            <v>16.125</v>
          </cell>
          <cell r="O148" t="str">
            <v>–</v>
          </cell>
          <cell r="P148" t="str">
            <v>–</v>
          </cell>
          <cell r="Q148" t="str">
            <v>–</v>
          </cell>
          <cell r="R148">
            <v>1.1599999999999999</v>
          </cell>
          <cell r="S148">
            <v>1.1875</v>
          </cell>
          <cell r="T148">
            <v>0.625</v>
          </cell>
          <cell r="U148">
            <v>2.0499999999999998</v>
          </cell>
          <cell r="V148">
            <v>2.0625</v>
          </cell>
          <cell r="W148">
            <v>2.0499999999999998</v>
          </cell>
          <cell r="DZ148" t="str">
            <v>W18X283</v>
          </cell>
          <cell r="EA148">
            <v>283</v>
          </cell>
          <cell r="EB148">
            <v>83.3</v>
          </cell>
          <cell r="EC148">
            <v>21.9</v>
          </cell>
          <cell r="ED148" t="str">
            <v>21 7/8</v>
          </cell>
          <cell r="EE148">
            <v>1.4</v>
          </cell>
          <cell r="EF148" t="str">
            <v>1 3/8</v>
          </cell>
          <cell r="EG148">
            <v>45246</v>
          </cell>
          <cell r="EH148">
            <v>11.9</v>
          </cell>
          <cell r="EI148" t="str">
            <v>11 7/8</v>
          </cell>
          <cell r="EJ148">
            <v>2.5</v>
          </cell>
          <cell r="EK148" t="str">
            <v>2 1/2</v>
          </cell>
          <cell r="EL148">
            <v>2.38</v>
          </cell>
          <cell r="EM148">
            <v>11.3</v>
          </cell>
          <cell r="EN148">
            <v>6170</v>
          </cell>
          <cell r="EO148">
            <v>565</v>
          </cell>
          <cell r="EP148">
            <v>8.61</v>
          </cell>
          <cell r="EQ148">
            <v>676</v>
          </cell>
          <cell r="ER148">
            <v>704</v>
          </cell>
          <cell r="ES148">
            <v>118</v>
          </cell>
          <cell r="ET148">
            <v>2.91</v>
          </cell>
        </row>
        <row r="149">
          <cell r="B149" t="str">
            <v>WT20X181</v>
          </cell>
          <cell r="C149" t="str">
            <v>WT20X181</v>
          </cell>
          <cell r="D149" t="str">
            <v>T</v>
          </cell>
          <cell r="E149">
            <v>181</v>
          </cell>
          <cell r="F149">
            <v>53.2</v>
          </cell>
          <cell r="G149" t="str">
            <v>WT20X181</v>
          </cell>
          <cell r="H149">
            <v>20.3</v>
          </cell>
          <cell r="I149">
            <v>20.25</v>
          </cell>
          <cell r="J149" t="str">
            <v>–</v>
          </cell>
          <cell r="K149" t="str">
            <v>–</v>
          </cell>
          <cell r="L149" t="str">
            <v>–</v>
          </cell>
          <cell r="M149">
            <v>16</v>
          </cell>
          <cell r="N149">
            <v>16</v>
          </cell>
          <cell r="O149" t="str">
            <v>–</v>
          </cell>
          <cell r="P149" t="str">
            <v>–</v>
          </cell>
          <cell r="Q149" t="str">
            <v>–</v>
          </cell>
          <cell r="R149">
            <v>1.1200000000000001</v>
          </cell>
          <cell r="S149">
            <v>1.125</v>
          </cell>
          <cell r="T149">
            <v>0.5625</v>
          </cell>
          <cell r="U149">
            <v>2.0099999999999998</v>
          </cell>
          <cell r="V149">
            <v>2</v>
          </cell>
          <cell r="W149">
            <v>2.0099999999999998</v>
          </cell>
          <cell r="DZ149" t="str">
            <v>W18X258</v>
          </cell>
          <cell r="EA149">
            <v>258</v>
          </cell>
          <cell r="EB149">
            <v>76</v>
          </cell>
          <cell r="EC149">
            <v>21.5</v>
          </cell>
          <cell r="ED149" t="str">
            <v>21 1/2</v>
          </cell>
          <cell r="EE149">
            <v>1.28</v>
          </cell>
          <cell r="EF149" t="str">
            <v>1 1/4</v>
          </cell>
          <cell r="EG149">
            <v>45054</v>
          </cell>
          <cell r="EH149">
            <v>11.8</v>
          </cell>
          <cell r="EI149" t="str">
            <v>11 3/4</v>
          </cell>
          <cell r="EJ149">
            <v>2.2999999999999998</v>
          </cell>
          <cell r="EK149" t="str">
            <v>2 5/16</v>
          </cell>
          <cell r="EL149">
            <v>2.56</v>
          </cell>
          <cell r="EM149">
            <v>12.5</v>
          </cell>
          <cell r="EN149">
            <v>5510</v>
          </cell>
          <cell r="EO149">
            <v>514</v>
          </cell>
          <cell r="EP149">
            <v>8.5299999999999994</v>
          </cell>
          <cell r="EQ149">
            <v>611</v>
          </cell>
          <cell r="ER149">
            <v>628</v>
          </cell>
          <cell r="ES149">
            <v>107</v>
          </cell>
          <cell r="ET149">
            <v>2.88</v>
          </cell>
        </row>
        <row r="150">
          <cell r="B150" t="str">
            <v>WT20X162</v>
          </cell>
          <cell r="C150" t="str">
            <v>WT20X162</v>
          </cell>
          <cell r="D150" t="str">
            <v>F</v>
          </cell>
          <cell r="E150">
            <v>162</v>
          </cell>
          <cell r="F150">
            <v>47.7</v>
          </cell>
          <cell r="G150" t="str">
            <v>WT20X162</v>
          </cell>
          <cell r="H150">
            <v>20.100000000000001</v>
          </cell>
          <cell r="I150">
            <v>20.125</v>
          </cell>
          <cell r="J150" t="str">
            <v>–</v>
          </cell>
          <cell r="K150" t="str">
            <v>–</v>
          </cell>
          <cell r="L150" t="str">
            <v>–</v>
          </cell>
          <cell r="M150">
            <v>15.9</v>
          </cell>
          <cell r="N150">
            <v>15.875</v>
          </cell>
          <cell r="O150" t="str">
            <v>–</v>
          </cell>
          <cell r="P150" t="str">
            <v>–</v>
          </cell>
          <cell r="Q150" t="str">
            <v>–</v>
          </cell>
          <cell r="R150">
            <v>1</v>
          </cell>
          <cell r="S150">
            <v>1</v>
          </cell>
          <cell r="T150">
            <v>0.5</v>
          </cell>
          <cell r="U150">
            <v>1.81</v>
          </cell>
          <cell r="V150">
            <v>1.8125</v>
          </cell>
          <cell r="W150">
            <v>1.81</v>
          </cell>
          <cell r="DZ150" t="str">
            <v>W18X234</v>
          </cell>
          <cell r="EA150">
            <v>234</v>
          </cell>
          <cell r="EB150">
            <v>68.599999999999994</v>
          </cell>
          <cell r="EC150">
            <v>21.1</v>
          </cell>
          <cell r="ED150">
            <v>21</v>
          </cell>
          <cell r="EE150">
            <v>1.1599999999999999</v>
          </cell>
          <cell r="EF150" t="str">
            <v>1 3/16</v>
          </cell>
          <cell r="EG150">
            <v>45054</v>
          </cell>
          <cell r="EH150">
            <v>11.7</v>
          </cell>
          <cell r="EI150" t="str">
            <v>11 5/8</v>
          </cell>
          <cell r="EJ150">
            <v>2.11</v>
          </cell>
          <cell r="EK150" t="str">
            <v>2 1/8</v>
          </cell>
          <cell r="EL150">
            <v>2.76</v>
          </cell>
          <cell r="EM150">
            <v>13.8</v>
          </cell>
          <cell r="EN150">
            <v>4900</v>
          </cell>
          <cell r="EO150">
            <v>466</v>
          </cell>
          <cell r="EP150">
            <v>8.44</v>
          </cell>
          <cell r="EQ150">
            <v>549</v>
          </cell>
          <cell r="ER150">
            <v>558</v>
          </cell>
          <cell r="ES150">
            <v>95.8</v>
          </cell>
          <cell r="ET150">
            <v>2.85</v>
          </cell>
        </row>
        <row r="151">
          <cell r="B151" t="str">
            <v>WT20X148.5</v>
          </cell>
          <cell r="C151" t="str">
            <v>WT20X148.5</v>
          </cell>
          <cell r="D151" t="str">
            <v>F</v>
          </cell>
          <cell r="E151">
            <v>148.5</v>
          </cell>
          <cell r="F151">
            <v>43.6</v>
          </cell>
          <cell r="G151" t="str">
            <v>WT20X148.5</v>
          </cell>
          <cell r="H151">
            <v>19.899999999999999</v>
          </cell>
          <cell r="I151">
            <v>19.875</v>
          </cell>
          <cell r="J151" t="str">
            <v>–</v>
          </cell>
          <cell r="K151" t="str">
            <v>–</v>
          </cell>
          <cell r="L151" t="str">
            <v>–</v>
          </cell>
          <cell r="M151">
            <v>15.8</v>
          </cell>
          <cell r="N151">
            <v>15.875</v>
          </cell>
          <cell r="O151" t="str">
            <v>–</v>
          </cell>
          <cell r="P151" t="str">
            <v>–</v>
          </cell>
          <cell r="Q151" t="str">
            <v>–</v>
          </cell>
          <cell r="R151">
            <v>0.93</v>
          </cell>
          <cell r="S151">
            <v>0.9375</v>
          </cell>
          <cell r="T151">
            <v>0.5</v>
          </cell>
          <cell r="U151">
            <v>1.65</v>
          </cell>
          <cell r="V151">
            <v>1.625</v>
          </cell>
          <cell r="W151">
            <v>1.65</v>
          </cell>
          <cell r="DZ151" t="str">
            <v>W18X211</v>
          </cell>
          <cell r="EA151">
            <v>211</v>
          </cell>
          <cell r="EB151">
            <v>62.3</v>
          </cell>
          <cell r="EC151">
            <v>20.7</v>
          </cell>
          <cell r="ED151" t="str">
            <v>20 5/8</v>
          </cell>
          <cell r="EE151">
            <v>1.06</v>
          </cell>
          <cell r="EF151" t="str">
            <v>1 1/16</v>
          </cell>
          <cell r="EG151">
            <v>45185</v>
          </cell>
          <cell r="EH151">
            <v>11.6</v>
          </cell>
          <cell r="EI151" t="str">
            <v>11 1/2</v>
          </cell>
          <cell r="EJ151">
            <v>1.91</v>
          </cell>
          <cell r="EK151" t="str">
            <v>1 15/16</v>
          </cell>
          <cell r="EL151">
            <v>3.02</v>
          </cell>
          <cell r="EM151">
            <v>15.1</v>
          </cell>
          <cell r="EN151">
            <v>4330</v>
          </cell>
          <cell r="EO151">
            <v>419</v>
          </cell>
          <cell r="EP151">
            <v>8.35</v>
          </cell>
          <cell r="EQ151">
            <v>490</v>
          </cell>
          <cell r="ER151">
            <v>493</v>
          </cell>
          <cell r="ES151">
            <v>85.3</v>
          </cell>
          <cell r="ET151">
            <v>2.82</v>
          </cell>
        </row>
        <row r="152">
          <cell r="B152" t="str">
            <v>WT20X138.5</v>
          </cell>
          <cell r="C152" t="str">
            <v>WT20X138.5</v>
          </cell>
          <cell r="D152" t="str">
            <v>F</v>
          </cell>
          <cell r="E152">
            <v>138.5</v>
          </cell>
          <cell r="F152">
            <v>40.700000000000003</v>
          </cell>
          <cell r="G152" t="str">
            <v>WT20X138.5</v>
          </cell>
          <cell r="H152">
            <v>19.8</v>
          </cell>
          <cell r="I152">
            <v>19.875</v>
          </cell>
          <cell r="J152" t="str">
            <v>–</v>
          </cell>
          <cell r="K152" t="str">
            <v>–</v>
          </cell>
          <cell r="L152" t="str">
            <v>–</v>
          </cell>
          <cell r="M152">
            <v>15.8</v>
          </cell>
          <cell r="N152">
            <v>15.875</v>
          </cell>
          <cell r="O152" t="str">
            <v>–</v>
          </cell>
          <cell r="P152" t="str">
            <v>–</v>
          </cell>
          <cell r="Q152" t="str">
            <v>–</v>
          </cell>
          <cell r="R152">
            <v>0.83</v>
          </cell>
          <cell r="S152">
            <v>0.8125</v>
          </cell>
          <cell r="T152">
            <v>0.4375</v>
          </cell>
          <cell r="U152">
            <v>1.58</v>
          </cell>
          <cell r="V152">
            <v>1.5625</v>
          </cell>
          <cell r="W152">
            <v>1.58</v>
          </cell>
          <cell r="DZ152" t="str">
            <v>W18X192</v>
          </cell>
          <cell r="EA152">
            <v>192</v>
          </cell>
          <cell r="EB152">
            <v>56.2</v>
          </cell>
          <cell r="EC152">
            <v>20.399999999999999</v>
          </cell>
          <cell r="ED152" t="str">
            <v>20 3/8</v>
          </cell>
          <cell r="EE152">
            <v>0.96</v>
          </cell>
          <cell r="EF152" t="str">
            <v>15/16</v>
          </cell>
          <cell r="EG152">
            <v>44928</v>
          </cell>
          <cell r="EH152">
            <v>11.5</v>
          </cell>
          <cell r="EI152" t="str">
            <v>11 1/2</v>
          </cell>
          <cell r="EJ152">
            <v>1.75</v>
          </cell>
          <cell r="EK152" t="str">
            <v>1 3/4</v>
          </cell>
          <cell r="EL152">
            <v>3.27</v>
          </cell>
          <cell r="EM152">
            <v>16.7</v>
          </cell>
          <cell r="EN152">
            <v>3870</v>
          </cell>
          <cell r="EO152">
            <v>380</v>
          </cell>
          <cell r="EP152">
            <v>8.2799999999999994</v>
          </cell>
          <cell r="EQ152">
            <v>442</v>
          </cell>
          <cell r="ER152">
            <v>440</v>
          </cell>
          <cell r="ES152">
            <v>76.8</v>
          </cell>
          <cell r="ET152">
            <v>2.79</v>
          </cell>
        </row>
        <row r="153">
          <cell r="B153" t="str">
            <v>WT20X124.5</v>
          </cell>
          <cell r="C153" t="str">
            <v>WT20X124.5</v>
          </cell>
          <cell r="D153" t="str">
            <v>F</v>
          </cell>
          <cell r="E153">
            <v>124.5</v>
          </cell>
          <cell r="F153">
            <v>36.700000000000003</v>
          </cell>
          <cell r="G153" t="str">
            <v>WT20X124.5</v>
          </cell>
          <cell r="H153">
            <v>19.7</v>
          </cell>
          <cell r="I153">
            <v>19.75</v>
          </cell>
          <cell r="J153" t="str">
            <v>–</v>
          </cell>
          <cell r="K153" t="str">
            <v>–</v>
          </cell>
          <cell r="L153" t="str">
            <v>–</v>
          </cell>
          <cell r="M153">
            <v>15.8</v>
          </cell>
          <cell r="N153">
            <v>15.75</v>
          </cell>
          <cell r="O153" t="str">
            <v>–</v>
          </cell>
          <cell r="P153" t="str">
            <v>–</v>
          </cell>
          <cell r="Q153" t="str">
            <v>–</v>
          </cell>
          <cell r="R153">
            <v>0.75</v>
          </cell>
          <cell r="S153">
            <v>0.75</v>
          </cell>
          <cell r="T153">
            <v>0.375</v>
          </cell>
          <cell r="U153">
            <v>1.42</v>
          </cell>
          <cell r="V153">
            <v>1.4375</v>
          </cell>
          <cell r="W153">
            <v>1.42</v>
          </cell>
          <cell r="DZ153" t="str">
            <v>W18X175</v>
          </cell>
          <cell r="EA153">
            <v>175</v>
          </cell>
          <cell r="EB153">
            <v>51.4</v>
          </cell>
          <cell r="EC153">
            <v>20</v>
          </cell>
          <cell r="ED153">
            <v>20</v>
          </cell>
          <cell r="EE153">
            <v>0.89</v>
          </cell>
          <cell r="EF153">
            <v>45115</v>
          </cell>
          <cell r="EG153">
            <v>45123</v>
          </cell>
          <cell r="EH153">
            <v>11.4</v>
          </cell>
          <cell r="EI153" t="str">
            <v>11 3/8</v>
          </cell>
          <cell r="EJ153">
            <v>1.59</v>
          </cell>
          <cell r="EK153" t="str">
            <v>1 9/16</v>
          </cell>
          <cell r="EL153">
            <v>3.58</v>
          </cell>
          <cell r="EM153">
            <v>18</v>
          </cell>
          <cell r="EN153">
            <v>3450</v>
          </cell>
          <cell r="EO153">
            <v>344</v>
          </cell>
          <cell r="EP153">
            <v>8.1999999999999993</v>
          </cell>
          <cell r="EQ153">
            <v>398</v>
          </cell>
          <cell r="ER153">
            <v>391</v>
          </cell>
          <cell r="ES153">
            <v>68.8</v>
          </cell>
          <cell r="ET153">
            <v>2.76</v>
          </cell>
        </row>
        <row r="154">
          <cell r="B154" t="str">
            <v>WT20X107.5</v>
          </cell>
          <cell r="C154" t="str">
            <v>WT20X107.5</v>
          </cell>
          <cell r="D154" t="str">
            <v>F</v>
          </cell>
          <cell r="E154">
            <v>107.5</v>
          </cell>
          <cell r="F154">
            <v>31.8</v>
          </cell>
          <cell r="G154" t="str">
            <v>WT20X107.5</v>
          </cell>
          <cell r="H154">
            <v>19.5</v>
          </cell>
          <cell r="I154">
            <v>19.5</v>
          </cell>
          <cell r="J154" t="str">
            <v>–</v>
          </cell>
          <cell r="K154" t="str">
            <v>–</v>
          </cell>
          <cell r="L154" t="str">
            <v>–</v>
          </cell>
          <cell r="M154">
            <v>15.8</v>
          </cell>
          <cell r="N154">
            <v>15.75</v>
          </cell>
          <cell r="O154" t="str">
            <v>–</v>
          </cell>
          <cell r="P154" t="str">
            <v>–</v>
          </cell>
          <cell r="Q154" t="str">
            <v>–</v>
          </cell>
          <cell r="R154">
            <v>0.65</v>
          </cell>
          <cell r="S154">
            <v>0.625</v>
          </cell>
          <cell r="T154">
            <v>0.3125</v>
          </cell>
          <cell r="U154">
            <v>1.22</v>
          </cell>
          <cell r="V154">
            <v>1.25</v>
          </cell>
          <cell r="W154">
            <v>1.22</v>
          </cell>
          <cell r="DZ154" t="str">
            <v>W18X158</v>
          </cell>
          <cell r="EA154">
            <v>158</v>
          </cell>
          <cell r="EB154">
            <v>46.3</v>
          </cell>
          <cell r="EC154">
            <v>19.7</v>
          </cell>
          <cell r="ED154" t="str">
            <v>19 3/4</v>
          </cell>
          <cell r="EE154">
            <v>0.81</v>
          </cell>
          <cell r="EF154" t="str">
            <v>13/16</v>
          </cell>
          <cell r="EG154">
            <v>45123</v>
          </cell>
          <cell r="EH154">
            <v>11.3</v>
          </cell>
          <cell r="EI154" t="str">
            <v>11 1/4</v>
          </cell>
          <cell r="EJ154">
            <v>1.44</v>
          </cell>
          <cell r="EK154" t="str">
            <v>1 7/16</v>
          </cell>
          <cell r="EL154">
            <v>3.92</v>
          </cell>
          <cell r="EM154">
            <v>19.8</v>
          </cell>
          <cell r="EN154">
            <v>3060</v>
          </cell>
          <cell r="EO154">
            <v>310</v>
          </cell>
          <cell r="EP154">
            <v>8.1199999999999992</v>
          </cell>
          <cell r="EQ154">
            <v>356</v>
          </cell>
          <cell r="ER154">
            <v>347</v>
          </cell>
          <cell r="ES154">
            <v>61.4</v>
          </cell>
          <cell r="ET154">
            <v>2.74</v>
          </cell>
        </row>
        <row r="155">
          <cell r="B155" t="str">
            <v>WT20X99.5</v>
          </cell>
          <cell r="C155" t="str">
            <v>WT20X99.5</v>
          </cell>
          <cell r="D155" t="str">
            <v>F</v>
          </cell>
          <cell r="E155">
            <v>99.5</v>
          </cell>
          <cell r="F155">
            <v>29.2</v>
          </cell>
          <cell r="G155" t="str">
            <v>WT20X99.5</v>
          </cell>
          <cell r="H155">
            <v>19.3</v>
          </cell>
          <cell r="I155">
            <v>19.375</v>
          </cell>
          <cell r="J155" t="str">
            <v>–</v>
          </cell>
          <cell r="K155" t="str">
            <v>–</v>
          </cell>
          <cell r="L155" t="str">
            <v>–</v>
          </cell>
          <cell r="M155">
            <v>15.8</v>
          </cell>
          <cell r="N155">
            <v>15.75</v>
          </cell>
          <cell r="O155" t="str">
            <v>–</v>
          </cell>
          <cell r="P155" t="str">
            <v>–</v>
          </cell>
          <cell r="Q155" t="str">
            <v>–</v>
          </cell>
          <cell r="R155">
            <v>0.65</v>
          </cell>
          <cell r="S155">
            <v>0.625</v>
          </cell>
          <cell r="T155">
            <v>0.3125</v>
          </cell>
          <cell r="U155">
            <v>1.07</v>
          </cell>
          <cell r="V155">
            <v>1.0625</v>
          </cell>
          <cell r="W155">
            <v>1.07</v>
          </cell>
          <cell r="DZ155" t="str">
            <v>W18X143</v>
          </cell>
          <cell r="EA155">
            <v>143</v>
          </cell>
          <cell r="EB155">
            <v>42</v>
          </cell>
          <cell r="EC155">
            <v>19.5</v>
          </cell>
          <cell r="ED155" t="str">
            <v>19 1/2</v>
          </cell>
          <cell r="EE155">
            <v>0.73</v>
          </cell>
          <cell r="EF155">
            <v>44989</v>
          </cell>
          <cell r="EG155">
            <v>44993</v>
          </cell>
          <cell r="EH155">
            <v>11.2</v>
          </cell>
          <cell r="EI155" t="str">
            <v>11 1/4</v>
          </cell>
          <cell r="EJ155">
            <v>1.32</v>
          </cell>
          <cell r="EK155" t="str">
            <v>1 5/16</v>
          </cell>
          <cell r="EL155">
            <v>4.25</v>
          </cell>
          <cell r="EM155">
            <v>22</v>
          </cell>
          <cell r="EN155">
            <v>2750</v>
          </cell>
          <cell r="EO155">
            <v>282</v>
          </cell>
          <cell r="EP155">
            <v>8.09</v>
          </cell>
          <cell r="EQ155">
            <v>322</v>
          </cell>
          <cell r="ER155">
            <v>311</v>
          </cell>
          <cell r="ES155">
            <v>55.5</v>
          </cell>
          <cell r="ET155">
            <v>2.72</v>
          </cell>
        </row>
        <row r="156">
          <cell r="B156" t="str">
            <v>WT20X196</v>
          </cell>
          <cell r="C156" t="str">
            <v>WT20X196</v>
          </cell>
          <cell r="D156" t="str">
            <v>T</v>
          </cell>
          <cell r="E156">
            <v>196</v>
          </cell>
          <cell r="F156">
            <v>57.8</v>
          </cell>
          <cell r="G156" t="str">
            <v>WT20X196</v>
          </cell>
          <cell r="H156">
            <v>20.8</v>
          </cell>
          <cell r="I156">
            <v>20.75</v>
          </cell>
          <cell r="J156" t="str">
            <v>–</v>
          </cell>
          <cell r="K156" t="str">
            <v>–</v>
          </cell>
          <cell r="L156" t="str">
            <v>–</v>
          </cell>
          <cell r="M156">
            <v>12.4</v>
          </cell>
          <cell r="N156">
            <v>12.375</v>
          </cell>
          <cell r="O156" t="str">
            <v>–</v>
          </cell>
          <cell r="P156" t="str">
            <v>–</v>
          </cell>
          <cell r="Q156" t="str">
            <v>–</v>
          </cell>
          <cell r="R156">
            <v>1.42</v>
          </cell>
          <cell r="S156">
            <v>1.4375</v>
          </cell>
          <cell r="T156">
            <v>0.75</v>
          </cell>
          <cell r="U156">
            <v>2.52</v>
          </cell>
          <cell r="V156">
            <v>2.5</v>
          </cell>
          <cell r="W156">
            <v>2.52</v>
          </cell>
          <cell r="DZ156" t="str">
            <v>W18X130</v>
          </cell>
          <cell r="EA156">
            <v>130</v>
          </cell>
          <cell r="EB156">
            <v>38.299999999999997</v>
          </cell>
          <cell r="EC156">
            <v>19.3</v>
          </cell>
          <cell r="ED156" t="str">
            <v>19 1/4</v>
          </cell>
          <cell r="EE156">
            <v>0.67</v>
          </cell>
          <cell r="EF156">
            <v>45246</v>
          </cell>
          <cell r="EG156">
            <v>44993</v>
          </cell>
          <cell r="EH156">
            <v>11.2</v>
          </cell>
          <cell r="EI156" t="str">
            <v>11 1/8</v>
          </cell>
          <cell r="EJ156">
            <v>1.2</v>
          </cell>
          <cell r="EK156" t="str">
            <v>1 3/16</v>
          </cell>
          <cell r="EL156">
            <v>4.6500000000000004</v>
          </cell>
          <cell r="EM156">
            <v>23.9</v>
          </cell>
          <cell r="EN156">
            <v>2460</v>
          </cell>
          <cell r="EO156">
            <v>256</v>
          </cell>
          <cell r="EP156">
            <v>8.0299999999999994</v>
          </cell>
          <cell r="EQ156">
            <v>290</v>
          </cell>
          <cell r="ER156">
            <v>278</v>
          </cell>
          <cell r="ES156">
            <v>49.9</v>
          </cell>
          <cell r="ET156">
            <v>2.7</v>
          </cell>
        </row>
        <row r="157">
          <cell r="B157" t="str">
            <v>WT20X165.5</v>
          </cell>
          <cell r="C157" t="str">
            <v>WT20X165.5</v>
          </cell>
          <cell r="D157" t="str">
            <v>T</v>
          </cell>
          <cell r="E157">
            <v>165.5</v>
          </cell>
          <cell r="F157">
            <v>48.8</v>
          </cell>
          <cell r="G157" t="str">
            <v>WT20X165.5</v>
          </cell>
          <cell r="H157">
            <v>20.399999999999999</v>
          </cell>
          <cell r="I157">
            <v>20.375</v>
          </cell>
          <cell r="J157" t="str">
            <v>–</v>
          </cell>
          <cell r="K157" t="str">
            <v>–</v>
          </cell>
          <cell r="L157" t="str">
            <v>–</v>
          </cell>
          <cell r="M157">
            <v>12.2</v>
          </cell>
          <cell r="N157">
            <v>12.125</v>
          </cell>
          <cell r="O157" t="str">
            <v>–</v>
          </cell>
          <cell r="P157" t="str">
            <v>–</v>
          </cell>
          <cell r="Q157" t="str">
            <v>–</v>
          </cell>
          <cell r="R157">
            <v>1.22</v>
          </cell>
          <cell r="S157">
            <v>1.25</v>
          </cell>
          <cell r="T157">
            <v>0.625</v>
          </cell>
          <cell r="U157">
            <v>2.13</v>
          </cell>
          <cell r="V157">
            <v>2.125</v>
          </cell>
          <cell r="W157">
            <v>2.13</v>
          </cell>
          <cell r="DZ157" t="str">
            <v>W18X119</v>
          </cell>
          <cell r="EA157">
            <v>119</v>
          </cell>
          <cell r="EB157">
            <v>35.1</v>
          </cell>
          <cell r="EC157">
            <v>19</v>
          </cell>
          <cell r="ED157">
            <v>19</v>
          </cell>
          <cell r="EE157">
            <v>0.65500000000000003</v>
          </cell>
          <cell r="EF157">
            <v>45054</v>
          </cell>
          <cell r="EG157">
            <v>45062</v>
          </cell>
          <cell r="EH157">
            <v>11.3</v>
          </cell>
          <cell r="EI157" t="str">
            <v>11 1/4</v>
          </cell>
          <cell r="EJ157">
            <v>1.06</v>
          </cell>
          <cell r="EK157" t="str">
            <v>1 1/16</v>
          </cell>
          <cell r="EL157">
            <v>5.31</v>
          </cell>
          <cell r="EM157">
            <v>24.5</v>
          </cell>
          <cell r="EN157">
            <v>2190</v>
          </cell>
          <cell r="EO157">
            <v>231</v>
          </cell>
          <cell r="EP157">
            <v>7.9</v>
          </cell>
          <cell r="EQ157">
            <v>262</v>
          </cell>
          <cell r="ER157">
            <v>253</v>
          </cell>
          <cell r="ES157">
            <v>44.9</v>
          </cell>
          <cell r="ET157">
            <v>2.69</v>
          </cell>
        </row>
        <row r="158">
          <cell r="B158" t="str">
            <v>WT20X163.5</v>
          </cell>
          <cell r="C158" t="str">
            <v>WT20X163.5</v>
          </cell>
          <cell r="D158" t="str">
            <v>T</v>
          </cell>
          <cell r="E158">
            <v>163.5</v>
          </cell>
          <cell r="F158">
            <v>47.9</v>
          </cell>
          <cell r="G158" t="str">
            <v>WT20X163.5</v>
          </cell>
          <cell r="H158">
            <v>20.399999999999999</v>
          </cell>
          <cell r="I158">
            <v>20.375</v>
          </cell>
          <cell r="J158" t="str">
            <v>–</v>
          </cell>
          <cell r="K158" t="str">
            <v>–</v>
          </cell>
          <cell r="L158" t="str">
            <v>–</v>
          </cell>
          <cell r="M158">
            <v>12.1</v>
          </cell>
          <cell r="N158">
            <v>12.125</v>
          </cell>
          <cell r="O158" t="str">
            <v>–</v>
          </cell>
          <cell r="P158" t="str">
            <v>–</v>
          </cell>
          <cell r="Q158" t="str">
            <v>–</v>
          </cell>
          <cell r="R158">
            <v>1.18</v>
          </cell>
          <cell r="S158">
            <v>1.1875</v>
          </cell>
          <cell r="T158">
            <v>0.625</v>
          </cell>
          <cell r="U158">
            <v>2.13</v>
          </cell>
          <cell r="V158">
            <v>2.125</v>
          </cell>
          <cell r="W158">
            <v>2.13</v>
          </cell>
          <cell r="DZ158" t="str">
            <v>W18X106</v>
          </cell>
          <cell r="EA158">
            <v>106</v>
          </cell>
          <cell r="EB158">
            <v>31.1</v>
          </cell>
          <cell r="EC158">
            <v>18.7</v>
          </cell>
          <cell r="ED158" t="str">
            <v>18 3/4</v>
          </cell>
          <cell r="EE158">
            <v>0.59</v>
          </cell>
          <cell r="EF158">
            <v>45185</v>
          </cell>
          <cell r="EG158">
            <v>45062</v>
          </cell>
          <cell r="EH158">
            <v>11.2</v>
          </cell>
          <cell r="EI158" t="str">
            <v>11 1/4</v>
          </cell>
          <cell r="EJ158">
            <v>0.94</v>
          </cell>
          <cell r="EK158" t="str">
            <v>15/16</v>
          </cell>
          <cell r="EL158">
            <v>5.96</v>
          </cell>
          <cell r="EM158">
            <v>27.2</v>
          </cell>
          <cell r="EN158">
            <v>1910</v>
          </cell>
          <cell r="EO158">
            <v>204</v>
          </cell>
          <cell r="EP158">
            <v>7.84</v>
          </cell>
          <cell r="EQ158">
            <v>230</v>
          </cell>
          <cell r="ER158">
            <v>220</v>
          </cell>
          <cell r="ES158">
            <v>39.4</v>
          </cell>
          <cell r="ET158">
            <v>2.66</v>
          </cell>
        </row>
        <row r="159">
          <cell r="B159" t="str">
            <v>WT20X147</v>
          </cell>
          <cell r="C159" t="str">
            <v>WT20X147</v>
          </cell>
          <cell r="D159" t="str">
            <v>F</v>
          </cell>
          <cell r="E159">
            <v>147</v>
          </cell>
          <cell r="F159">
            <v>43.1</v>
          </cell>
          <cell r="G159" t="str">
            <v>WT20X147</v>
          </cell>
          <cell r="H159">
            <v>20.2</v>
          </cell>
          <cell r="I159">
            <v>20.25</v>
          </cell>
          <cell r="J159" t="str">
            <v>–</v>
          </cell>
          <cell r="K159" t="str">
            <v>–</v>
          </cell>
          <cell r="L159" t="str">
            <v>–</v>
          </cell>
          <cell r="M159">
            <v>12</v>
          </cell>
          <cell r="N159">
            <v>12</v>
          </cell>
          <cell r="O159" t="str">
            <v>–</v>
          </cell>
          <cell r="P159" t="str">
            <v>–</v>
          </cell>
          <cell r="Q159" t="str">
            <v>–</v>
          </cell>
          <cell r="R159">
            <v>1.06</v>
          </cell>
          <cell r="S159">
            <v>1.0625</v>
          </cell>
          <cell r="T159">
            <v>0.5625</v>
          </cell>
          <cell r="U159">
            <v>1.93</v>
          </cell>
          <cell r="V159">
            <v>1.9375</v>
          </cell>
          <cell r="W159">
            <v>1.93</v>
          </cell>
          <cell r="DZ159" t="str">
            <v>W18X97</v>
          </cell>
          <cell r="EA159">
            <v>97</v>
          </cell>
          <cell r="EB159">
            <v>28.5</v>
          </cell>
          <cell r="EC159">
            <v>18.600000000000001</v>
          </cell>
          <cell r="ED159" t="str">
            <v>18 5/8</v>
          </cell>
          <cell r="EE159">
            <v>0.53500000000000003</v>
          </cell>
          <cell r="EF159">
            <v>45185</v>
          </cell>
          <cell r="EG159">
            <v>45062</v>
          </cell>
          <cell r="EH159">
            <v>11.1</v>
          </cell>
          <cell r="EI159" t="str">
            <v>11 1/8</v>
          </cell>
          <cell r="EJ159">
            <v>0.87</v>
          </cell>
          <cell r="EK159">
            <v>45115</v>
          </cell>
          <cell r="EL159">
            <v>6.41</v>
          </cell>
          <cell r="EM159">
            <v>30</v>
          </cell>
          <cell r="EN159">
            <v>1750</v>
          </cell>
          <cell r="EO159">
            <v>188</v>
          </cell>
          <cell r="EP159">
            <v>7.82</v>
          </cell>
          <cell r="EQ159">
            <v>211</v>
          </cell>
          <cell r="ER159">
            <v>201</v>
          </cell>
          <cell r="ES159">
            <v>36.1</v>
          </cell>
          <cell r="ET159">
            <v>2.65</v>
          </cell>
        </row>
        <row r="160">
          <cell r="B160" t="str">
            <v>WT20X139</v>
          </cell>
          <cell r="C160" t="str">
            <v>WT20X139</v>
          </cell>
          <cell r="D160" t="str">
            <v>F</v>
          </cell>
          <cell r="E160">
            <v>139</v>
          </cell>
          <cell r="F160">
            <v>41</v>
          </cell>
          <cell r="G160" t="str">
            <v>WT20X139</v>
          </cell>
          <cell r="H160">
            <v>20.100000000000001</v>
          </cell>
          <cell r="I160">
            <v>20.125</v>
          </cell>
          <cell r="J160" t="str">
            <v>–</v>
          </cell>
          <cell r="K160" t="str">
            <v>–</v>
          </cell>
          <cell r="L160" t="str">
            <v>–</v>
          </cell>
          <cell r="M160">
            <v>12</v>
          </cell>
          <cell r="N160">
            <v>12</v>
          </cell>
          <cell r="O160" t="str">
            <v>–</v>
          </cell>
          <cell r="P160" t="str">
            <v>–</v>
          </cell>
          <cell r="Q160" t="str">
            <v>–</v>
          </cell>
          <cell r="R160">
            <v>1.03</v>
          </cell>
          <cell r="S160">
            <v>1</v>
          </cell>
          <cell r="T160">
            <v>0.5</v>
          </cell>
          <cell r="U160">
            <v>1.81</v>
          </cell>
          <cell r="V160">
            <v>1.8125</v>
          </cell>
          <cell r="W160">
            <v>1.81</v>
          </cell>
          <cell r="DZ160" t="str">
            <v>W18X86</v>
          </cell>
          <cell r="EA160">
            <v>86</v>
          </cell>
          <cell r="EB160">
            <v>25.3</v>
          </cell>
          <cell r="EC160">
            <v>18.399999999999999</v>
          </cell>
          <cell r="ED160" t="str">
            <v>18 3/8</v>
          </cell>
          <cell r="EE160">
            <v>0.48</v>
          </cell>
          <cell r="EF160">
            <v>44928</v>
          </cell>
          <cell r="EG160">
            <v>44930</v>
          </cell>
          <cell r="EH160">
            <v>11.1</v>
          </cell>
          <cell r="EI160" t="str">
            <v>11 1/8</v>
          </cell>
          <cell r="EJ160">
            <v>0.77</v>
          </cell>
          <cell r="EK160">
            <v>44989</v>
          </cell>
          <cell r="EL160">
            <v>7.2</v>
          </cell>
          <cell r="EM160">
            <v>33.4</v>
          </cell>
          <cell r="EN160">
            <v>1530</v>
          </cell>
          <cell r="EO160">
            <v>166</v>
          </cell>
          <cell r="EP160">
            <v>7.77</v>
          </cell>
          <cell r="EQ160">
            <v>186</v>
          </cell>
          <cell r="ER160">
            <v>175</v>
          </cell>
          <cell r="ES160">
            <v>31.6</v>
          </cell>
          <cell r="ET160">
            <v>2.63</v>
          </cell>
        </row>
        <row r="161">
          <cell r="B161" t="str">
            <v>WT20X132</v>
          </cell>
          <cell r="C161" t="str">
            <v>WT20X132</v>
          </cell>
          <cell r="D161" t="str">
            <v>F</v>
          </cell>
          <cell r="E161">
            <v>132</v>
          </cell>
          <cell r="F161">
            <v>38.700000000000003</v>
          </cell>
          <cell r="G161" t="str">
            <v>WT20X132</v>
          </cell>
          <cell r="H161">
            <v>20</v>
          </cell>
          <cell r="I161">
            <v>20</v>
          </cell>
          <cell r="J161" t="str">
            <v>–</v>
          </cell>
          <cell r="K161" t="str">
            <v>–</v>
          </cell>
          <cell r="L161" t="str">
            <v>–</v>
          </cell>
          <cell r="M161">
            <v>11.9</v>
          </cell>
          <cell r="N161">
            <v>11.875</v>
          </cell>
          <cell r="O161" t="str">
            <v>–</v>
          </cell>
          <cell r="P161" t="str">
            <v>–</v>
          </cell>
          <cell r="Q161" t="str">
            <v>–</v>
          </cell>
          <cell r="R161">
            <v>0.96</v>
          </cell>
          <cell r="S161">
            <v>0.9375</v>
          </cell>
          <cell r="T161">
            <v>0.5</v>
          </cell>
          <cell r="U161">
            <v>1.73</v>
          </cell>
          <cell r="V161">
            <v>1.75</v>
          </cell>
          <cell r="W161">
            <v>1.73</v>
          </cell>
          <cell r="DZ161" t="str">
            <v>W18X76</v>
          </cell>
          <cell r="EA161">
            <v>76</v>
          </cell>
          <cell r="EB161">
            <v>22.3</v>
          </cell>
          <cell r="EC161">
            <v>18.2</v>
          </cell>
          <cell r="ED161" t="str">
            <v>18 1/4</v>
          </cell>
          <cell r="EE161">
            <v>0.42499999999999999</v>
          </cell>
          <cell r="EF161">
            <v>45123</v>
          </cell>
          <cell r="EG161">
            <v>44930</v>
          </cell>
          <cell r="EH161">
            <v>11</v>
          </cell>
          <cell r="EI161">
            <v>11</v>
          </cell>
          <cell r="EJ161">
            <v>0.68</v>
          </cell>
          <cell r="EK161">
            <v>45246</v>
          </cell>
          <cell r="EL161">
            <v>8.11</v>
          </cell>
          <cell r="EM161">
            <v>37.799999999999997</v>
          </cell>
          <cell r="EN161">
            <v>1330</v>
          </cell>
          <cell r="EO161">
            <v>146</v>
          </cell>
          <cell r="EP161">
            <v>7.73</v>
          </cell>
          <cell r="EQ161">
            <v>163</v>
          </cell>
          <cell r="ER161">
            <v>152</v>
          </cell>
          <cell r="ES161">
            <v>27.6</v>
          </cell>
          <cell r="ET161">
            <v>2.61</v>
          </cell>
        </row>
        <row r="162">
          <cell r="B162" t="str">
            <v>WT20X117.5</v>
          </cell>
          <cell r="C162" t="str">
            <v>WT20X117.5</v>
          </cell>
          <cell r="D162" t="str">
            <v>F</v>
          </cell>
          <cell r="E162">
            <v>117.5</v>
          </cell>
          <cell r="F162">
            <v>34.6</v>
          </cell>
          <cell r="G162" t="str">
            <v>WT20X117.5</v>
          </cell>
          <cell r="H162">
            <v>19.8</v>
          </cell>
          <cell r="I162">
            <v>19.875</v>
          </cell>
          <cell r="J162" t="str">
            <v>–</v>
          </cell>
          <cell r="K162" t="str">
            <v>–</v>
          </cell>
          <cell r="L162" t="str">
            <v>–</v>
          </cell>
          <cell r="M162">
            <v>11.9</v>
          </cell>
          <cell r="N162">
            <v>11.875</v>
          </cell>
          <cell r="O162" t="str">
            <v>–</v>
          </cell>
          <cell r="P162" t="str">
            <v>–</v>
          </cell>
          <cell r="Q162" t="str">
            <v>–</v>
          </cell>
          <cell r="R162">
            <v>0.83</v>
          </cell>
          <cell r="S162">
            <v>0.8125</v>
          </cell>
          <cell r="T162">
            <v>0.4375</v>
          </cell>
          <cell r="U162">
            <v>1.58</v>
          </cell>
          <cell r="V162">
            <v>1.5625</v>
          </cell>
          <cell r="W162">
            <v>1.58</v>
          </cell>
          <cell r="DZ162" t="str">
            <v>W18X71</v>
          </cell>
          <cell r="EA162">
            <v>71</v>
          </cell>
          <cell r="EB162">
            <v>20.9</v>
          </cell>
          <cell r="EC162">
            <v>18.5</v>
          </cell>
          <cell r="ED162" t="str">
            <v>18 1/2</v>
          </cell>
          <cell r="EE162">
            <v>0.495</v>
          </cell>
          <cell r="EF162">
            <v>44928</v>
          </cell>
          <cell r="EG162">
            <v>44930</v>
          </cell>
          <cell r="EH162">
            <v>7.64</v>
          </cell>
          <cell r="EI162" t="str">
            <v>7 5/8</v>
          </cell>
          <cell r="EJ162">
            <v>0.81</v>
          </cell>
          <cell r="EK162" t="str">
            <v>13/16</v>
          </cell>
          <cell r="EL162">
            <v>4.71</v>
          </cell>
          <cell r="EM162">
            <v>32.4</v>
          </cell>
          <cell r="EN162">
            <v>1170</v>
          </cell>
          <cell r="EO162">
            <v>127</v>
          </cell>
          <cell r="EP162">
            <v>7.5</v>
          </cell>
          <cell r="EQ162">
            <v>146</v>
          </cell>
          <cell r="ER162">
            <v>60.3</v>
          </cell>
          <cell r="ES162">
            <v>15.8</v>
          </cell>
          <cell r="ET162">
            <v>1.7</v>
          </cell>
        </row>
        <row r="163">
          <cell r="B163" t="str">
            <v>WT20X105.5</v>
          </cell>
          <cell r="C163" t="str">
            <v>WT20X105.5</v>
          </cell>
          <cell r="D163" t="str">
            <v>F</v>
          </cell>
          <cell r="E163">
            <v>105.5</v>
          </cell>
          <cell r="F163">
            <v>31.1</v>
          </cell>
          <cell r="G163" t="str">
            <v>WT20X105.5</v>
          </cell>
          <cell r="H163">
            <v>19.7</v>
          </cell>
          <cell r="I163">
            <v>19.625</v>
          </cell>
          <cell r="J163" t="str">
            <v>–</v>
          </cell>
          <cell r="K163" t="str">
            <v>–</v>
          </cell>
          <cell r="L163" t="str">
            <v>–</v>
          </cell>
          <cell r="M163">
            <v>11.8</v>
          </cell>
          <cell r="N163">
            <v>11.75</v>
          </cell>
          <cell r="O163" t="str">
            <v>–</v>
          </cell>
          <cell r="P163" t="str">
            <v>–</v>
          </cell>
          <cell r="Q163" t="str">
            <v>–</v>
          </cell>
          <cell r="R163">
            <v>0.75</v>
          </cell>
          <cell r="S163">
            <v>0.75</v>
          </cell>
          <cell r="T163">
            <v>0.375</v>
          </cell>
          <cell r="U163">
            <v>1.42</v>
          </cell>
          <cell r="V163">
            <v>1.4375</v>
          </cell>
          <cell r="W163">
            <v>1.42</v>
          </cell>
          <cell r="DZ163" t="str">
            <v>W18X65</v>
          </cell>
          <cell r="EA163">
            <v>65</v>
          </cell>
          <cell r="EB163">
            <v>19.100000000000001</v>
          </cell>
          <cell r="EC163">
            <v>18.399999999999999</v>
          </cell>
          <cell r="ED163" t="str">
            <v>18 3/8</v>
          </cell>
          <cell r="EE163">
            <v>0.45</v>
          </cell>
          <cell r="EF163">
            <v>45123</v>
          </cell>
          <cell r="EG163">
            <v>44930</v>
          </cell>
          <cell r="EH163">
            <v>7.59</v>
          </cell>
          <cell r="EI163" t="str">
            <v>7 5/8</v>
          </cell>
          <cell r="EJ163">
            <v>0.75</v>
          </cell>
          <cell r="EK163">
            <v>44989</v>
          </cell>
          <cell r="EL163">
            <v>5.0599999999999996</v>
          </cell>
          <cell r="EM163">
            <v>35.700000000000003</v>
          </cell>
          <cell r="EN163">
            <v>1070</v>
          </cell>
          <cell r="EO163">
            <v>117</v>
          </cell>
          <cell r="EP163">
            <v>7.49</v>
          </cell>
          <cell r="EQ163">
            <v>133</v>
          </cell>
          <cell r="ER163">
            <v>54.8</v>
          </cell>
          <cell r="ES163">
            <v>14.4</v>
          </cell>
          <cell r="ET163">
            <v>1.69</v>
          </cell>
        </row>
        <row r="164">
          <cell r="B164" t="str">
            <v>WT20X91.5</v>
          </cell>
          <cell r="C164" t="str">
            <v>WT20X91.5</v>
          </cell>
          <cell r="D164" t="str">
            <v>F</v>
          </cell>
          <cell r="E164">
            <v>91.5</v>
          </cell>
          <cell r="F164">
            <v>26.7</v>
          </cell>
          <cell r="G164" t="str">
            <v>WT20X91.5</v>
          </cell>
          <cell r="H164">
            <v>19.5</v>
          </cell>
          <cell r="I164">
            <v>19.5</v>
          </cell>
          <cell r="J164" t="str">
            <v>–</v>
          </cell>
          <cell r="K164" t="str">
            <v>–</v>
          </cell>
          <cell r="L164" t="str">
            <v>–</v>
          </cell>
          <cell r="M164">
            <v>11.8</v>
          </cell>
          <cell r="N164">
            <v>11.75</v>
          </cell>
          <cell r="O164" t="str">
            <v>–</v>
          </cell>
          <cell r="P164" t="str">
            <v>–</v>
          </cell>
          <cell r="Q164" t="str">
            <v>–</v>
          </cell>
          <cell r="R164">
            <v>0.65</v>
          </cell>
          <cell r="S164">
            <v>0.625</v>
          </cell>
          <cell r="T164">
            <v>0.3125</v>
          </cell>
          <cell r="U164">
            <v>1.2</v>
          </cell>
          <cell r="V164">
            <v>1.1875</v>
          </cell>
          <cell r="W164">
            <v>1.2</v>
          </cell>
          <cell r="DZ164" t="str">
            <v>W18X60</v>
          </cell>
          <cell r="EA164">
            <v>60</v>
          </cell>
          <cell r="EB164">
            <v>17.600000000000001</v>
          </cell>
          <cell r="EC164">
            <v>18.2</v>
          </cell>
          <cell r="ED164" t="str">
            <v>18 1/4</v>
          </cell>
          <cell r="EE164">
            <v>0.41499999999999998</v>
          </cell>
          <cell r="EF164">
            <v>45123</v>
          </cell>
          <cell r="EG164">
            <v>44930</v>
          </cell>
          <cell r="EH164">
            <v>7.56</v>
          </cell>
          <cell r="EI164" t="str">
            <v>7 1/2</v>
          </cell>
          <cell r="EJ164">
            <v>0.69499999999999995</v>
          </cell>
          <cell r="EK164">
            <v>45246</v>
          </cell>
          <cell r="EL164">
            <v>5.44</v>
          </cell>
          <cell r="EM164">
            <v>38.700000000000003</v>
          </cell>
          <cell r="EN164">
            <v>984</v>
          </cell>
          <cell r="EO164">
            <v>108</v>
          </cell>
          <cell r="EP164">
            <v>7.47</v>
          </cell>
          <cell r="EQ164">
            <v>123</v>
          </cell>
          <cell r="ER164">
            <v>50.1</v>
          </cell>
          <cell r="ES164">
            <v>13.3</v>
          </cell>
          <cell r="ET164">
            <v>1.68</v>
          </cell>
        </row>
        <row r="165">
          <cell r="B165" t="str">
            <v>WT20X83.5</v>
          </cell>
          <cell r="C165" t="str">
            <v>WT20X83.5</v>
          </cell>
          <cell r="D165" t="str">
            <v>F</v>
          </cell>
          <cell r="E165">
            <v>83.5</v>
          </cell>
          <cell r="F165">
            <v>24.5</v>
          </cell>
          <cell r="G165" t="str">
            <v>WT20X83.5</v>
          </cell>
          <cell r="H165">
            <v>19.3</v>
          </cell>
          <cell r="I165">
            <v>19.25</v>
          </cell>
          <cell r="J165" t="str">
            <v>–</v>
          </cell>
          <cell r="K165" t="str">
            <v>–</v>
          </cell>
          <cell r="L165" t="str">
            <v>–</v>
          </cell>
          <cell r="M165">
            <v>11.8</v>
          </cell>
          <cell r="N165">
            <v>11.75</v>
          </cell>
          <cell r="O165" t="str">
            <v>–</v>
          </cell>
          <cell r="P165" t="str">
            <v>–</v>
          </cell>
          <cell r="Q165" t="str">
            <v>–</v>
          </cell>
          <cell r="R165">
            <v>0.65</v>
          </cell>
          <cell r="S165">
            <v>0.625</v>
          </cell>
          <cell r="T165">
            <v>0.3125</v>
          </cell>
          <cell r="U165">
            <v>1.03</v>
          </cell>
          <cell r="V165">
            <v>1</v>
          </cell>
          <cell r="W165">
            <v>1.03</v>
          </cell>
          <cell r="DZ165" t="str">
            <v>W18X55</v>
          </cell>
          <cell r="EA165">
            <v>55</v>
          </cell>
          <cell r="EB165">
            <v>16.2</v>
          </cell>
          <cell r="EC165">
            <v>18.100000000000001</v>
          </cell>
          <cell r="ED165" t="str">
            <v>18 1/8</v>
          </cell>
          <cell r="EE165">
            <v>0.39</v>
          </cell>
          <cell r="EF165">
            <v>44993</v>
          </cell>
          <cell r="EG165">
            <v>45001</v>
          </cell>
          <cell r="EH165">
            <v>7.53</v>
          </cell>
          <cell r="EI165" t="str">
            <v>7 1/2</v>
          </cell>
          <cell r="EJ165">
            <v>0.63</v>
          </cell>
          <cell r="EK165">
            <v>45054</v>
          </cell>
          <cell r="EL165">
            <v>5.98</v>
          </cell>
          <cell r="EM165">
            <v>41.1</v>
          </cell>
          <cell r="EN165">
            <v>890</v>
          </cell>
          <cell r="EO165">
            <v>98.3</v>
          </cell>
          <cell r="EP165">
            <v>7.41</v>
          </cell>
          <cell r="EQ165">
            <v>112</v>
          </cell>
          <cell r="ER165">
            <v>44.9</v>
          </cell>
          <cell r="ES165">
            <v>11.9</v>
          </cell>
          <cell r="ET165">
            <v>1.67</v>
          </cell>
        </row>
        <row r="166">
          <cell r="B166" t="str">
            <v>WT20X74.5</v>
          </cell>
          <cell r="C166" t="str">
            <v>WT20X74.5</v>
          </cell>
          <cell r="D166" t="str">
            <v>F</v>
          </cell>
          <cell r="E166">
            <v>74.5</v>
          </cell>
          <cell r="F166">
            <v>21.9</v>
          </cell>
          <cell r="G166" t="str">
            <v>WT20X74.5</v>
          </cell>
          <cell r="H166">
            <v>19.100000000000001</v>
          </cell>
          <cell r="I166">
            <v>19.125</v>
          </cell>
          <cell r="J166" t="str">
            <v>–</v>
          </cell>
          <cell r="K166" t="str">
            <v>–</v>
          </cell>
          <cell r="L166" t="str">
            <v>–</v>
          </cell>
          <cell r="M166">
            <v>11.8</v>
          </cell>
          <cell r="N166">
            <v>11.75</v>
          </cell>
          <cell r="O166" t="str">
            <v>–</v>
          </cell>
          <cell r="P166" t="str">
            <v>–</v>
          </cell>
          <cell r="Q166" t="str">
            <v>–</v>
          </cell>
          <cell r="R166">
            <v>0.63</v>
          </cell>
          <cell r="S166">
            <v>0.625</v>
          </cell>
          <cell r="T166">
            <v>0.3125</v>
          </cell>
          <cell r="U166">
            <v>0.83</v>
          </cell>
          <cell r="V166">
            <v>0.8125</v>
          </cell>
          <cell r="W166">
            <v>0.83</v>
          </cell>
          <cell r="DZ166" t="str">
            <v>W18X50</v>
          </cell>
          <cell r="EA166">
            <v>50</v>
          </cell>
          <cell r="EB166">
            <v>14.7</v>
          </cell>
          <cell r="EC166">
            <v>18</v>
          </cell>
          <cell r="ED166">
            <v>18</v>
          </cell>
          <cell r="EE166">
            <v>0.35499999999999998</v>
          </cell>
          <cell r="EF166">
            <v>44993</v>
          </cell>
          <cell r="EG166">
            <v>45001</v>
          </cell>
          <cell r="EH166">
            <v>7.5</v>
          </cell>
          <cell r="EI166" t="str">
            <v>7 1/2</v>
          </cell>
          <cell r="EJ166">
            <v>0.56999999999999995</v>
          </cell>
          <cell r="EK166">
            <v>45185</v>
          </cell>
          <cell r="EL166">
            <v>6.57</v>
          </cell>
          <cell r="EM166">
            <v>45.2</v>
          </cell>
          <cell r="EN166">
            <v>800</v>
          </cell>
          <cell r="EO166">
            <v>88.9</v>
          </cell>
          <cell r="EP166">
            <v>7.38</v>
          </cell>
          <cell r="EQ166">
            <v>101</v>
          </cell>
          <cell r="ER166">
            <v>40.1</v>
          </cell>
          <cell r="ES166">
            <v>10.7</v>
          </cell>
          <cell r="ET166">
            <v>1.65</v>
          </cell>
        </row>
        <row r="167">
          <cell r="B167" t="str">
            <v>WT18X462.5</v>
          </cell>
          <cell r="C167" t="str">
            <v>WT18X462.5</v>
          </cell>
          <cell r="D167" t="str">
            <v>T</v>
          </cell>
          <cell r="E167">
            <v>462.5</v>
          </cell>
          <cell r="F167">
            <v>136</v>
          </cell>
          <cell r="G167" t="str">
            <v>WT18X462.5</v>
          </cell>
          <cell r="H167">
            <v>21.6</v>
          </cell>
          <cell r="I167">
            <v>21.625</v>
          </cell>
          <cell r="J167" t="str">
            <v>–</v>
          </cell>
          <cell r="K167" t="str">
            <v>–</v>
          </cell>
          <cell r="L167" t="str">
            <v>–</v>
          </cell>
          <cell r="M167">
            <v>18.600000000000001</v>
          </cell>
          <cell r="N167">
            <v>18.625</v>
          </cell>
          <cell r="O167" t="str">
            <v>–</v>
          </cell>
          <cell r="P167" t="str">
            <v>–</v>
          </cell>
          <cell r="Q167" t="str">
            <v>–</v>
          </cell>
          <cell r="R167">
            <v>3.02</v>
          </cell>
          <cell r="S167">
            <v>3</v>
          </cell>
          <cell r="T167">
            <v>1.5</v>
          </cell>
          <cell r="U167">
            <v>4.53</v>
          </cell>
          <cell r="V167">
            <v>4.5</v>
          </cell>
          <cell r="W167">
            <v>4.53</v>
          </cell>
          <cell r="DZ167" t="str">
            <v>W18X46</v>
          </cell>
          <cell r="EA167">
            <v>46</v>
          </cell>
          <cell r="EB167">
            <v>13.5</v>
          </cell>
          <cell r="EC167">
            <v>18.100000000000001</v>
          </cell>
          <cell r="ED167">
            <v>18</v>
          </cell>
          <cell r="EE167">
            <v>0.36</v>
          </cell>
          <cell r="EF167">
            <v>44993</v>
          </cell>
          <cell r="EG167">
            <v>45001</v>
          </cell>
          <cell r="EH167">
            <v>6.06</v>
          </cell>
          <cell r="EI167">
            <v>6</v>
          </cell>
          <cell r="EJ167">
            <v>0.60499999999999998</v>
          </cell>
          <cell r="EK167">
            <v>45054</v>
          </cell>
          <cell r="EL167">
            <v>5.01</v>
          </cell>
          <cell r="EM167">
            <v>44.6</v>
          </cell>
          <cell r="EN167">
            <v>712</v>
          </cell>
          <cell r="EO167">
            <v>78.8</v>
          </cell>
          <cell r="EP167">
            <v>7.25</v>
          </cell>
          <cell r="EQ167">
            <v>90.7</v>
          </cell>
          <cell r="ER167">
            <v>22.5</v>
          </cell>
          <cell r="ES167">
            <v>7.43</v>
          </cell>
          <cell r="ET167">
            <v>1.29</v>
          </cell>
        </row>
        <row r="168">
          <cell r="B168" t="str">
            <v>WT18X426.5</v>
          </cell>
          <cell r="C168" t="str">
            <v>WT18X426.5</v>
          </cell>
          <cell r="D168" t="str">
            <v>T</v>
          </cell>
          <cell r="E168">
            <v>426.5</v>
          </cell>
          <cell r="F168">
            <v>126</v>
          </cell>
          <cell r="G168" t="str">
            <v>WT18X426.5</v>
          </cell>
          <cell r="H168">
            <v>21.6</v>
          </cell>
          <cell r="I168">
            <v>21.625</v>
          </cell>
          <cell r="J168" t="str">
            <v>–</v>
          </cell>
          <cell r="K168" t="str">
            <v>–</v>
          </cell>
          <cell r="L168" t="str">
            <v>–</v>
          </cell>
          <cell r="M168">
            <v>18.2</v>
          </cell>
          <cell r="N168">
            <v>18.25</v>
          </cell>
          <cell r="O168" t="str">
            <v>–</v>
          </cell>
          <cell r="P168" t="str">
            <v>–</v>
          </cell>
          <cell r="Q168" t="str">
            <v>–</v>
          </cell>
          <cell r="R168">
            <v>2.52</v>
          </cell>
          <cell r="S168">
            <v>2.5</v>
          </cell>
          <cell r="T168">
            <v>1.25</v>
          </cell>
          <cell r="U168">
            <v>4.53</v>
          </cell>
          <cell r="V168">
            <v>4.5</v>
          </cell>
          <cell r="W168">
            <v>4.53</v>
          </cell>
          <cell r="DZ168" t="str">
            <v>W18X40</v>
          </cell>
          <cell r="EA168">
            <v>40</v>
          </cell>
          <cell r="EB168">
            <v>11.8</v>
          </cell>
          <cell r="EC168">
            <v>17.899999999999999</v>
          </cell>
          <cell r="ED168" t="str">
            <v>17 7/8</v>
          </cell>
          <cell r="EE168">
            <v>0.315</v>
          </cell>
          <cell r="EF168">
            <v>45062</v>
          </cell>
          <cell r="EG168">
            <v>45001</v>
          </cell>
          <cell r="EH168">
            <v>6.02</v>
          </cell>
          <cell r="EI168">
            <v>6</v>
          </cell>
          <cell r="EJ168">
            <v>0.52500000000000002</v>
          </cell>
          <cell r="EK168">
            <v>44928</v>
          </cell>
          <cell r="EL168">
            <v>5.73</v>
          </cell>
          <cell r="EM168">
            <v>50.9</v>
          </cell>
          <cell r="EN168">
            <v>612</v>
          </cell>
          <cell r="EO168">
            <v>68.400000000000006</v>
          </cell>
          <cell r="EP168">
            <v>7.21</v>
          </cell>
          <cell r="EQ168">
            <v>78.400000000000006</v>
          </cell>
          <cell r="ER168">
            <v>19.100000000000001</v>
          </cell>
          <cell r="ES168">
            <v>6.35</v>
          </cell>
          <cell r="ET168">
            <v>1.27</v>
          </cell>
        </row>
        <row r="169">
          <cell r="B169" t="str">
            <v>WT18X401</v>
          </cell>
          <cell r="C169" t="str">
            <v>WT18X401</v>
          </cell>
          <cell r="D169" t="str">
            <v>T</v>
          </cell>
          <cell r="E169">
            <v>401</v>
          </cell>
          <cell r="F169">
            <v>118</v>
          </cell>
          <cell r="G169" t="str">
            <v>WT18X401</v>
          </cell>
          <cell r="H169">
            <v>21.3</v>
          </cell>
          <cell r="I169">
            <v>21.25</v>
          </cell>
          <cell r="J169" t="str">
            <v>–</v>
          </cell>
          <cell r="K169" t="str">
            <v>–</v>
          </cell>
          <cell r="L169" t="str">
            <v>–</v>
          </cell>
          <cell r="M169">
            <v>18</v>
          </cell>
          <cell r="N169">
            <v>18</v>
          </cell>
          <cell r="O169" t="str">
            <v>–</v>
          </cell>
          <cell r="P169" t="str">
            <v>–</v>
          </cell>
          <cell r="Q169" t="str">
            <v>–</v>
          </cell>
          <cell r="R169">
            <v>2.38</v>
          </cell>
          <cell r="S169">
            <v>2.375</v>
          </cell>
          <cell r="T169">
            <v>1.1875</v>
          </cell>
          <cell r="U169">
            <v>4.29</v>
          </cell>
          <cell r="V169">
            <v>4.3125</v>
          </cell>
          <cell r="W169">
            <v>4.29</v>
          </cell>
          <cell r="DZ169" t="str">
            <v>W18X35</v>
          </cell>
          <cell r="EA169">
            <v>35</v>
          </cell>
          <cell r="EB169">
            <v>10.3</v>
          </cell>
          <cell r="EC169">
            <v>17.7</v>
          </cell>
          <cell r="ED169" t="str">
            <v>17 3/4</v>
          </cell>
          <cell r="EE169">
            <v>0.3</v>
          </cell>
          <cell r="EF169">
            <v>45062</v>
          </cell>
          <cell r="EG169">
            <v>45001</v>
          </cell>
          <cell r="EH169">
            <v>6</v>
          </cell>
          <cell r="EI169">
            <v>6</v>
          </cell>
          <cell r="EJ169">
            <v>0.42499999999999999</v>
          </cell>
          <cell r="EK169">
            <v>45123</v>
          </cell>
          <cell r="EL169">
            <v>7.06</v>
          </cell>
          <cell r="EM169">
            <v>53.5</v>
          </cell>
          <cell r="EN169">
            <v>510</v>
          </cell>
          <cell r="EO169">
            <v>57.6</v>
          </cell>
          <cell r="EP169">
            <v>7.04</v>
          </cell>
          <cell r="EQ169">
            <v>66.5</v>
          </cell>
          <cell r="ER169">
            <v>15.3</v>
          </cell>
          <cell r="ES169">
            <v>5.12</v>
          </cell>
          <cell r="ET169">
            <v>1.22</v>
          </cell>
        </row>
        <row r="170">
          <cell r="B170" t="str">
            <v>WT18X361.5</v>
          </cell>
          <cell r="C170" t="str">
            <v>WT18X361.5</v>
          </cell>
          <cell r="D170" t="str">
            <v>T</v>
          </cell>
          <cell r="E170">
            <v>361.5</v>
          </cell>
          <cell r="F170">
            <v>107</v>
          </cell>
          <cell r="G170" t="str">
            <v>WT18X361.5</v>
          </cell>
          <cell r="H170">
            <v>20.9</v>
          </cell>
          <cell r="I170">
            <v>20.875</v>
          </cell>
          <cell r="J170" t="str">
            <v>–</v>
          </cell>
          <cell r="K170" t="str">
            <v>–</v>
          </cell>
          <cell r="L170" t="str">
            <v>–</v>
          </cell>
          <cell r="M170">
            <v>17.8</v>
          </cell>
          <cell r="N170">
            <v>17.75</v>
          </cell>
          <cell r="O170" t="str">
            <v>–</v>
          </cell>
          <cell r="P170" t="str">
            <v>–</v>
          </cell>
          <cell r="Q170" t="str">
            <v>–</v>
          </cell>
          <cell r="R170">
            <v>2.17</v>
          </cell>
          <cell r="S170">
            <v>2.1875</v>
          </cell>
          <cell r="T170">
            <v>1.125</v>
          </cell>
          <cell r="U170">
            <v>3.9</v>
          </cell>
          <cell r="V170">
            <v>3.875</v>
          </cell>
          <cell r="W170">
            <v>3.9</v>
          </cell>
          <cell r="DZ170" t="str">
            <v>W16X100</v>
          </cell>
          <cell r="EA170">
            <v>100</v>
          </cell>
          <cell r="EB170">
            <v>29.4</v>
          </cell>
          <cell r="EC170">
            <v>17</v>
          </cell>
          <cell r="ED170">
            <v>17</v>
          </cell>
          <cell r="EE170">
            <v>0.58499999999999996</v>
          </cell>
          <cell r="EF170">
            <v>45185</v>
          </cell>
          <cell r="EG170">
            <v>45062</v>
          </cell>
          <cell r="EH170">
            <v>10.4</v>
          </cell>
          <cell r="EI170" t="str">
            <v>10 3/8</v>
          </cell>
          <cell r="EJ170">
            <v>0.98499999999999999</v>
          </cell>
          <cell r="EK170">
            <v>1</v>
          </cell>
          <cell r="EL170">
            <v>5.29</v>
          </cell>
          <cell r="EM170">
            <v>24.3</v>
          </cell>
          <cell r="EN170">
            <v>1490</v>
          </cell>
          <cell r="EO170">
            <v>175</v>
          </cell>
          <cell r="EP170">
            <v>7.1</v>
          </cell>
          <cell r="EQ170">
            <v>198</v>
          </cell>
          <cell r="ER170">
            <v>186</v>
          </cell>
          <cell r="ES170">
            <v>35.700000000000003</v>
          </cell>
          <cell r="ET170">
            <v>2.5099999999999998</v>
          </cell>
        </row>
        <row r="171">
          <cell r="B171" t="str">
            <v>WT18X326</v>
          </cell>
          <cell r="C171" t="str">
            <v>WT18X326</v>
          </cell>
          <cell r="D171" t="str">
            <v>T</v>
          </cell>
          <cell r="E171">
            <v>326</v>
          </cell>
          <cell r="F171">
            <v>96.2</v>
          </cell>
          <cell r="G171" t="str">
            <v>WT18X326</v>
          </cell>
          <cell r="H171">
            <v>20.5</v>
          </cell>
          <cell r="I171">
            <v>20.5</v>
          </cell>
          <cell r="J171" t="str">
            <v>–</v>
          </cell>
          <cell r="K171" t="str">
            <v>–</v>
          </cell>
          <cell r="L171" t="str">
            <v>–</v>
          </cell>
          <cell r="M171">
            <v>17.600000000000001</v>
          </cell>
          <cell r="N171">
            <v>17.625</v>
          </cell>
          <cell r="O171" t="str">
            <v>–</v>
          </cell>
          <cell r="P171" t="str">
            <v>–</v>
          </cell>
          <cell r="Q171" t="str">
            <v>–</v>
          </cell>
          <cell r="R171">
            <v>1.97</v>
          </cell>
          <cell r="S171">
            <v>2</v>
          </cell>
          <cell r="T171">
            <v>1</v>
          </cell>
          <cell r="U171">
            <v>3.54</v>
          </cell>
          <cell r="V171">
            <v>3.5625</v>
          </cell>
          <cell r="W171">
            <v>3.54</v>
          </cell>
          <cell r="DZ171" t="str">
            <v>W16X89</v>
          </cell>
          <cell r="EA171">
            <v>89</v>
          </cell>
          <cell r="EB171">
            <v>26.2</v>
          </cell>
          <cell r="EC171">
            <v>16.8</v>
          </cell>
          <cell r="ED171" t="str">
            <v>16 3/4</v>
          </cell>
          <cell r="EE171">
            <v>0.52500000000000002</v>
          </cell>
          <cell r="EF171">
            <v>44928</v>
          </cell>
          <cell r="EG171">
            <v>44930</v>
          </cell>
          <cell r="EH171">
            <v>10.4</v>
          </cell>
          <cell r="EI171" t="str">
            <v>10 3/8</v>
          </cell>
          <cell r="EJ171">
            <v>0.875</v>
          </cell>
          <cell r="EK171">
            <v>45115</v>
          </cell>
          <cell r="EL171">
            <v>5.92</v>
          </cell>
          <cell r="EM171">
            <v>27</v>
          </cell>
          <cell r="EN171">
            <v>1300</v>
          </cell>
          <cell r="EO171">
            <v>155</v>
          </cell>
          <cell r="EP171">
            <v>7.05</v>
          </cell>
          <cell r="EQ171">
            <v>175</v>
          </cell>
          <cell r="ER171">
            <v>163</v>
          </cell>
          <cell r="ES171">
            <v>31.4</v>
          </cell>
          <cell r="ET171">
            <v>2.4900000000000002</v>
          </cell>
        </row>
        <row r="172">
          <cell r="B172" t="str">
            <v>WT18X264.5</v>
          </cell>
          <cell r="C172" t="str">
            <v>WT18X264.5</v>
          </cell>
          <cell r="D172" t="str">
            <v>T</v>
          </cell>
          <cell r="E172">
            <v>264.5</v>
          </cell>
          <cell r="F172">
            <v>77.8</v>
          </cell>
          <cell r="G172" t="str">
            <v>WT18X264.5</v>
          </cell>
          <cell r="H172">
            <v>19.899999999999999</v>
          </cell>
          <cell r="I172">
            <v>19.875</v>
          </cell>
          <cell r="J172" t="str">
            <v>–</v>
          </cell>
          <cell r="K172" t="str">
            <v>–</v>
          </cell>
          <cell r="L172" t="str">
            <v>–</v>
          </cell>
          <cell r="M172">
            <v>17.2</v>
          </cell>
          <cell r="N172">
            <v>17.25</v>
          </cell>
          <cell r="O172" t="str">
            <v>–</v>
          </cell>
          <cell r="P172" t="str">
            <v>–</v>
          </cell>
          <cell r="Q172" t="str">
            <v>–</v>
          </cell>
          <cell r="R172">
            <v>1.61</v>
          </cell>
          <cell r="S172">
            <v>1.625</v>
          </cell>
          <cell r="T172">
            <v>0.8125</v>
          </cell>
          <cell r="U172">
            <v>2.91</v>
          </cell>
          <cell r="V172">
            <v>2.9375</v>
          </cell>
          <cell r="W172">
            <v>2.91</v>
          </cell>
          <cell r="DZ172" t="str">
            <v>W16X77</v>
          </cell>
          <cell r="EA172">
            <v>77</v>
          </cell>
          <cell r="EB172">
            <v>22.6</v>
          </cell>
          <cell r="EC172">
            <v>16.5</v>
          </cell>
          <cell r="ED172" t="str">
            <v>16 1/2</v>
          </cell>
          <cell r="EE172">
            <v>0.45500000000000002</v>
          </cell>
          <cell r="EF172">
            <v>45123</v>
          </cell>
          <cell r="EG172">
            <v>44930</v>
          </cell>
          <cell r="EH172">
            <v>10.3</v>
          </cell>
          <cell r="EI172" t="str">
            <v>10 1/4</v>
          </cell>
          <cell r="EJ172">
            <v>0.76</v>
          </cell>
          <cell r="EK172">
            <v>44989</v>
          </cell>
          <cell r="EL172">
            <v>6.77</v>
          </cell>
          <cell r="EM172">
            <v>31.2</v>
          </cell>
          <cell r="EN172">
            <v>1110</v>
          </cell>
          <cell r="EO172">
            <v>134</v>
          </cell>
          <cell r="EP172">
            <v>7</v>
          </cell>
          <cell r="EQ172">
            <v>150</v>
          </cell>
          <cell r="ER172">
            <v>138</v>
          </cell>
          <cell r="ES172">
            <v>26.9</v>
          </cell>
          <cell r="ET172">
            <v>2.4700000000000002</v>
          </cell>
        </row>
        <row r="173">
          <cell r="B173" t="str">
            <v>WT18X243.5</v>
          </cell>
          <cell r="C173" t="str">
            <v>WT18X243.5</v>
          </cell>
          <cell r="D173" t="str">
            <v>T</v>
          </cell>
          <cell r="E173">
            <v>243.5</v>
          </cell>
          <cell r="F173">
            <v>71.7</v>
          </cell>
          <cell r="G173" t="str">
            <v>WT18X243.5</v>
          </cell>
          <cell r="H173">
            <v>19.7</v>
          </cell>
          <cell r="I173">
            <v>19.625</v>
          </cell>
          <cell r="J173" t="str">
            <v>–</v>
          </cell>
          <cell r="K173" t="str">
            <v>–</v>
          </cell>
          <cell r="L173" t="str">
            <v>–</v>
          </cell>
          <cell r="M173">
            <v>17.100000000000001</v>
          </cell>
          <cell r="N173">
            <v>17.125</v>
          </cell>
          <cell r="O173" t="str">
            <v>–</v>
          </cell>
          <cell r="P173" t="str">
            <v>–</v>
          </cell>
          <cell r="Q173" t="str">
            <v>–</v>
          </cell>
          <cell r="R173">
            <v>1.5</v>
          </cell>
          <cell r="S173">
            <v>1.5</v>
          </cell>
          <cell r="T173">
            <v>0.75</v>
          </cell>
          <cell r="U173">
            <v>2.68</v>
          </cell>
          <cell r="V173">
            <v>2.6875</v>
          </cell>
          <cell r="W173">
            <v>2.68</v>
          </cell>
          <cell r="DZ173" t="str">
            <v>W16X67</v>
          </cell>
          <cell r="EA173">
            <v>67</v>
          </cell>
          <cell r="EB173">
            <v>19.600000000000001</v>
          </cell>
          <cell r="EC173">
            <v>16.3</v>
          </cell>
          <cell r="ED173" t="str">
            <v>16 3/8</v>
          </cell>
          <cell r="EE173">
            <v>0.39500000000000002</v>
          </cell>
          <cell r="EF173">
            <v>44993</v>
          </cell>
          <cell r="EG173">
            <v>45001</v>
          </cell>
          <cell r="EH173">
            <v>10.199999999999999</v>
          </cell>
          <cell r="EI173" t="str">
            <v>10 1/4</v>
          </cell>
          <cell r="EJ173">
            <v>0.66500000000000004</v>
          </cell>
          <cell r="EK173">
            <v>45246</v>
          </cell>
          <cell r="EL173">
            <v>7.7</v>
          </cell>
          <cell r="EM173">
            <v>35.9</v>
          </cell>
          <cell r="EN173">
            <v>954</v>
          </cell>
          <cell r="EO173">
            <v>117</v>
          </cell>
          <cell r="EP173">
            <v>6.96</v>
          </cell>
          <cell r="EQ173">
            <v>130</v>
          </cell>
          <cell r="ER173">
            <v>119</v>
          </cell>
          <cell r="ES173">
            <v>23.2</v>
          </cell>
          <cell r="ET173">
            <v>2.46</v>
          </cell>
        </row>
        <row r="174">
          <cell r="B174" t="str">
            <v>WT18X220.5</v>
          </cell>
          <cell r="C174" t="str">
            <v>WT18X220.5</v>
          </cell>
          <cell r="D174" t="str">
            <v>T</v>
          </cell>
          <cell r="E174">
            <v>220.5</v>
          </cell>
          <cell r="F174">
            <v>64.900000000000006</v>
          </cell>
          <cell r="G174" t="str">
            <v>WT18X220.5</v>
          </cell>
          <cell r="H174">
            <v>19.399999999999999</v>
          </cell>
          <cell r="I174">
            <v>19.375</v>
          </cell>
          <cell r="J174" t="str">
            <v>–</v>
          </cell>
          <cell r="K174" t="str">
            <v>–</v>
          </cell>
          <cell r="L174" t="str">
            <v>–</v>
          </cell>
          <cell r="M174">
            <v>17</v>
          </cell>
          <cell r="N174">
            <v>17</v>
          </cell>
          <cell r="O174" t="str">
            <v>–</v>
          </cell>
          <cell r="P174" t="str">
            <v>–</v>
          </cell>
          <cell r="Q174" t="str">
            <v>–</v>
          </cell>
          <cell r="R174">
            <v>1.36</v>
          </cell>
          <cell r="S174">
            <v>1.375</v>
          </cell>
          <cell r="T174">
            <v>0.6875</v>
          </cell>
          <cell r="U174">
            <v>2.44</v>
          </cell>
          <cell r="V174">
            <v>2.4375</v>
          </cell>
          <cell r="W174">
            <v>2.44</v>
          </cell>
          <cell r="DZ174" t="str">
            <v>W16X57</v>
          </cell>
          <cell r="EA174">
            <v>57</v>
          </cell>
          <cell r="EB174">
            <v>16.8</v>
          </cell>
          <cell r="EC174">
            <v>16.399999999999999</v>
          </cell>
          <cell r="ED174" t="str">
            <v>16 3/8</v>
          </cell>
          <cell r="EE174">
            <v>0.43</v>
          </cell>
          <cell r="EF174">
            <v>45123</v>
          </cell>
          <cell r="EG174">
            <v>44930</v>
          </cell>
          <cell r="EH174">
            <v>7.12</v>
          </cell>
          <cell r="EI174" t="str">
            <v>7 1/8</v>
          </cell>
          <cell r="EJ174">
            <v>0.71499999999999997</v>
          </cell>
          <cell r="EK174">
            <v>45246</v>
          </cell>
          <cell r="EL174">
            <v>4.9800000000000004</v>
          </cell>
          <cell r="EM174">
            <v>33</v>
          </cell>
          <cell r="EN174">
            <v>758</v>
          </cell>
          <cell r="EO174">
            <v>92.2</v>
          </cell>
          <cell r="EP174">
            <v>6.72</v>
          </cell>
          <cell r="EQ174">
            <v>105</v>
          </cell>
          <cell r="ER174">
            <v>43.1</v>
          </cell>
          <cell r="ES174">
            <v>12.1</v>
          </cell>
          <cell r="ET174">
            <v>1.6</v>
          </cell>
        </row>
        <row r="175">
          <cell r="B175" t="str">
            <v>WT18X197.5</v>
          </cell>
          <cell r="C175" t="str">
            <v>WT18X197.5</v>
          </cell>
          <cell r="D175" t="str">
            <v>T</v>
          </cell>
          <cell r="E175">
            <v>197.5</v>
          </cell>
          <cell r="F175">
            <v>58.1</v>
          </cell>
          <cell r="G175" t="str">
            <v>WT18X197.5</v>
          </cell>
          <cell r="H175">
            <v>19.2</v>
          </cell>
          <cell r="I175">
            <v>19.25</v>
          </cell>
          <cell r="J175" t="str">
            <v>–</v>
          </cell>
          <cell r="K175" t="str">
            <v>–</v>
          </cell>
          <cell r="L175" t="str">
            <v>–</v>
          </cell>
          <cell r="M175">
            <v>16.8</v>
          </cell>
          <cell r="N175">
            <v>16.875</v>
          </cell>
          <cell r="O175" t="str">
            <v>–</v>
          </cell>
          <cell r="P175" t="str">
            <v>–</v>
          </cell>
          <cell r="Q175" t="str">
            <v>–</v>
          </cell>
          <cell r="R175">
            <v>1.22</v>
          </cell>
          <cell r="S175">
            <v>1.25</v>
          </cell>
          <cell r="T175">
            <v>0.625</v>
          </cell>
          <cell r="U175">
            <v>2.2000000000000002</v>
          </cell>
          <cell r="V175">
            <v>2.1875</v>
          </cell>
          <cell r="W175">
            <v>2.2000000000000002</v>
          </cell>
          <cell r="DZ175" t="str">
            <v>W16X50</v>
          </cell>
          <cell r="EA175">
            <v>50</v>
          </cell>
          <cell r="EB175">
            <v>14.7</v>
          </cell>
          <cell r="EC175">
            <v>16.3</v>
          </cell>
          <cell r="ED175" t="str">
            <v>16 1/4</v>
          </cell>
          <cell r="EE175">
            <v>0.38</v>
          </cell>
          <cell r="EF175">
            <v>44993</v>
          </cell>
          <cell r="EG175">
            <v>45001</v>
          </cell>
          <cell r="EH175">
            <v>7.07</v>
          </cell>
          <cell r="EI175" t="str">
            <v>7 1/8</v>
          </cell>
          <cell r="EJ175">
            <v>0.63</v>
          </cell>
          <cell r="EK175">
            <v>45054</v>
          </cell>
          <cell r="EL175">
            <v>5.61</v>
          </cell>
          <cell r="EM175">
            <v>37.4</v>
          </cell>
          <cell r="EN175">
            <v>659</v>
          </cell>
          <cell r="EO175">
            <v>81</v>
          </cell>
          <cell r="EP175">
            <v>6.68</v>
          </cell>
          <cell r="EQ175">
            <v>92</v>
          </cell>
          <cell r="ER175">
            <v>37.200000000000003</v>
          </cell>
          <cell r="ES175">
            <v>10.5</v>
          </cell>
          <cell r="ET175">
            <v>1.59</v>
          </cell>
        </row>
        <row r="176">
          <cell r="B176" t="str">
            <v>WT18X180.5</v>
          </cell>
          <cell r="C176" t="str">
            <v>WT18X180.5</v>
          </cell>
          <cell r="D176" t="str">
            <v>T</v>
          </cell>
          <cell r="E176">
            <v>180.5</v>
          </cell>
          <cell r="F176">
            <v>53</v>
          </cell>
          <cell r="G176" t="str">
            <v>WT18X180.5</v>
          </cell>
          <cell r="H176">
            <v>19</v>
          </cell>
          <cell r="I176">
            <v>19</v>
          </cell>
          <cell r="J176" t="str">
            <v>–</v>
          </cell>
          <cell r="K176" t="str">
            <v>–</v>
          </cell>
          <cell r="L176" t="str">
            <v>–</v>
          </cell>
          <cell r="M176">
            <v>16.7</v>
          </cell>
          <cell r="N176">
            <v>16.75</v>
          </cell>
          <cell r="O176" t="str">
            <v>–</v>
          </cell>
          <cell r="P176" t="str">
            <v>–</v>
          </cell>
          <cell r="Q176" t="str">
            <v>–</v>
          </cell>
          <cell r="R176">
            <v>1.1200000000000001</v>
          </cell>
          <cell r="S176">
            <v>1.125</v>
          </cell>
          <cell r="T176">
            <v>0.5625</v>
          </cell>
          <cell r="U176">
            <v>2.0099999999999998</v>
          </cell>
          <cell r="V176">
            <v>2</v>
          </cell>
          <cell r="W176">
            <v>2.0099999999999998</v>
          </cell>
          <cell r="DZ176" t="str">
            <v>W16X45</v>
          </cell>
          <cell r="EA176">
            <v>45</v>
          </cell>
          <cell r="EB176">
            <v>13.3</v>
          </cell>
          <cell r="EC176">
            <v>16.100000000000001</v>
          </cell>
          <cell r="ED176" t="str">
            <v>16 1/8</v>
          </cell>
          <cell r="EE176">
            <v>0.34499999999999997</v>
          </cell>
          <cell r="EF176">
            <v>44993</v>
          </cell>
          <cell r="EG176">
            <v>45001</v>
          </cell>
          <cell r="EH176">
            <v>7.04</v>
          </cell>
          <cell r="EI176">
            <v>7</v>
          </cell>
          <cell r="EJ176">
            <v>0.56499999999999995</v>
          </cell>
          <cell r="EK176">
            <v>45185</v>
          </cell>
          <cell r="EL176">
            <v>6.23</v>
          </cell>
          <cell r="EM176">
            <v>41.1</v>
          </cell>
          <cell r="EN176">
            <v>586</v>
          </cell>
          <cell r="EO176">
            <v>72.7</v>
          </cell>
          <cell r="EP176">
            <v>6.65</v>
          </cell>
          <cell r="EQ176">
            <v>82.3</v>
          </cell>
          <cell r="ER176">
            <v>32.799999999999997</v>
          </cell>
          <cell r="ES176">
            <v>9.34</v>
          </cell>
          <cell r="ET176">
            <v>1.57</v>
          </cell>
        </row>
        <row r="177">
          <cell r="B177" t="str">
            <v>WT18X165</v>
          </cell>
          <cell r="C177" t="str">
            <v>WT18X165</v>
          </cell>
          <cell r="D177" t="str">
            <v>F</v>
          </cell>
          <cell r="E177">
            <v>165</v>
          </cell>
          <cell r="F177">
            <v>48.4</v>
          </cell>
          <cell r="G177" t="str">
            <v>WT18X165</v>
          </cell>
          <cell r="H177">
            <v>18.8</v>
          </cell>
          <cell r="I177">
            <v>18.875</v>
          </cell>
          <cell r="J177" t="str">
            <v>–</v>
          </cell>
          <cell r="K177" t="str">
            <v>–</v>
          </cell>
          <cell r="L177" t="str">
            <v>–</v>
          </cell>
          <cell r="M177">
            <v>16.600000000000001</v>
          </cell>
          <cell r="N177">
            <v>16.625</v>
          </cell>
          <cell r="O177" t="str">
            <v>–</v>
          </cell>
          <cell r="P177" t="str">
            <v>–</v>
          </cell>
          <cell r="Q177" t="str">
            <v>–</v>
          </cell>
          <cell r="R177">
            <v>1.02</v>
          </cell>
          <cell r="S177">
            <v>1</v>
          </cell>
          <cell r="T177">
            <v>0.5</v>
          </cell>
          <cell r="U177">
            <v>1.85</v>
          </cell>
          <cell r="V177">
            <v>1.875</v>
          </cell>
          <cell r="W177">
            <v>1.85</v>
          </cell>
          <cell r="DZ177" t="str">
            <v>W16X40</v>
          </cell>
          <cell r="EA177">
            <v>40</v>
          </cell>
          <cell r="EB177">
            <v>11.8</v>
          </cell>
          <cell r="EC177">
            <v>16</v>
          </cell>
          <cell r="ED177">
            <v>16</v>
          </cell>
          <cell r="EE177">
            <v>0.30499999999999999</v>
          </cell>
          <cell r="EF177">
            <v>45062</v>
          </cell>
          <cell r="EG177">
            <v>45001</v>
          </cell>
          <cell r="EH177">
            <v>7</v>
          </cell>
          <cell r="EI177">
            <v>7</v>
          </cell>
          <cell r="EJ177">
            <v>0.505</v>
          </cell>
          <cell r="EK177">
            <v>44928</v>
          </cell>
          <cell r="EL177">
            <v>6.93</v>
          </cell>
          <cell r="EM177">
            <v>46.5</v>
          </cell>
          <cell r="EN177">
            <v>518</v>
          </cell>
          <cell r="EO177">
            <v>64.7</v>
          </cell>
          <cell r="EP177">
            <v>6.63</v>
          </cell>
          <cell r="EQ177">
            <v>73</v>
          </cell>
          <cell r="ER177">
            <v>28.9</v>
          </cell>
          <cell r="ES177">
            <v>8.25</v>
          </cell>
          <cell r="ET177">
            <v>1.57</v>
          </cell>
        </row>
        <row r="178">
          <cell r="B178" t="str">
            <v>WT18X151</v>
          </cell>
          <cell r="C178" t="str">
            <v>WT18X151</v>
          </cell>
          <cell r="D178" t="str">
            <v>F</v>
          </cell>
          <cell r="E178">
            <v>151</v>
          </cell>
          <cell r="F178">
            <v>44.5</v>
          </cell>
          <cell r="G178" t="str">
            <v>WT18X151</v>
          </cell>
          <cell r="H178">
            <v>18.7</v>
          </cell>
          <cell r="I178">
            <v>18.625</v>
          </cell>
          <cell r="J178" t="str">
            <v>–</v>
          </cell>
          <cell r="K178" t="str">
            <v>–</v>
          </cell>
          <cell r="L178" t="str">
            <v>–</v>
          </cell>
          <cell r="M178">
            <v>16.7</v>
          </cell>
          <cell r="N178">
            <v>16.625</v>
          </cell>
          <cell r="O178" t="str">
            <v>–</v>
          </cell>
          <cell r="P178" t="str">
            <v>–</v>
          </cell>
          <cell r="Q178" t="str">
            <v>–</v>
          </cell>
          <cell r="R178">
            <v>0.94499999999999995</v>
          </cell>
          <cell r="S178">
            <v>0.9375</v>
          </cell>
          <cell r="T178">
            <v>0.5</v>
          </cell>
          <cell r="U178">
            <v>1.68</v>
          </cell>
          <cell r="V178">
            <v>1.6875</v>
          </cell>
          <cell r="W178">
            <v>1.68</v>
          </cell>
          <cell r="DZ178" t="str">
            <v>W16X36</v>
          </cell>
          <cell r="EA178">
            <v>36</v>
          </cell>
          <cell r="EB178">
            <v>10.6</v>
          </cell>
          <cell r="EC178">
            <v>15.9</v>
          </cell>
          <cell r="ED178" t="str">
            <v>15 7/8</v>
          </cell>
          <cell r="EE178">
            <v>0.29499999999999998</v>
          </cell>
          <cell r="EF178">
            <v>45062</v>
          </cell>
          <cell r="EG178">
            <v>45001</v>
          </cell>
          <cell r="EH178">
            <v>6.99</v>
          </cell>
          <cell r="EI178">
            <v>7</v>
          </cell>
          <cell r="EJ178">
            <v>0.43</v>
          </cell>
          <cell r="EK178">
            <v>45123</v>
          </cell>
          <cell r="EL178">
            <v>8.1199999999999992</v>
          </cell>
          <cell r="EM178">
            <v>48.1</v>
          </cell>
          <cell r="EN178">
            <v>448</v>
          </cell>
          <cell r="EO178">
            <v>56.5</v>
          </cell>
          <cell r="EP178">
            <v>6.51</v>
          </cell>
          <cell r="EQ178">
            <v>64</v>
          </cell>
          <cell r="ER178">
            <v>24.5</v>
          </cell>
          <cell r="ES178">
            <v>7</v>
          </cell>
          <cell r="ET178">
            <v>1.52</v>
          </cell>
        </row>
        <row r="179">
          <cell r="B179" t="str">
            <v>WT18X141</v>
          </cell>
          <cell r="C179" t="str">
            <v>WT18X141</v>
          </cell>
          <cell r="D179" t="str">
            <v>F</v>
          </cell>
          <cell r="E179">
            <v>141</v>
          </cell>
          <cell r="F179">
            <v>41.5</v>
          </cell>
          <cell r="G179" t="str">
            <v>WT18X141</v>
          </cell>
          <cell r="H179">
            <v>18.600000000000001</v>
          </cell>
          <cell r="I179">
            <v>18.5</v>
          </cell>
          <cell r="J179" t="str">
            <v>–</v>
          </cell>
          <cell r="K179" t="str">
            <v>–</v>
          </cell>
          <cell r="L179" t="str">
            <v>–</v>
          </cell>
          <cell r="M179">
            <v>16.600000000000001</v>
          </cell>
          <cell r="N179">
            <v>16.625</v>
          </cell>
          <cell r="O179" t="str">
            <v>–</v>
          </cell>
          <cell r="P179" t="str">
            <v>–</v>
          </cell>
          <cell r="Q179" t="str">
            <v>–</v>
          </cell>
          <cell r="R179">
            <v>0.88500000000000001</v>
          </cell>
          <cell r="S179">
            <v>0.875</v>
          </cell>
          <cell r="T179">
            <v>0.4375</v>
          </cell>
          <cell r="U179">
            <v>1.57</v>
          </cell>
          <cell r="V179">
            <v>1.5625</v>
          </cell>
          <cell r="W179">
            <v>1.57</v>
          </cell>
          <cell r="DZ179" t="str">
            <v>W16X31</v>
          </cell>
          <cell r="EA179">
            <v>31</v>
          </cell>
          <cell r="EB179">
            <v>9.1300000000000008</v>
          </cell>
          <cell r="EC179">
            <v>15.9</v>
          </cell>
          <cell r="ED179" t="str">
            <v>15 7/8</v>
          </cell>
          <cell r="EE179">
            <v>0.27500000000000002</v>
          </cell>
          <cell r="EF179">
            <v>44930</v>
          </cell>
          <cell r="EG179">
            <v>44934</v>
          </cell>
          <cell r="EH179">
            <v>5.53</v>
          </cell>
          <cell r="EI179" t="str">
            <v>5 1/2</v>
          </cell>
          <cell r="EJ179">
            <v>0.44</v>
          </cell>
          <cell r="EK179">
            <v>45123</v>
          </cell>
          <cell r="EL179">
            <v>6.28</v>
          </cell>
          <cell r="EM179">
            <v>51.6</v>
          </cell>
          <cell r="EN179">
            <v>375</v>
          </cell>
          <cell r="EO179">
            <v>47.2</v>
          </cell>
          <cell r="EP179">
            <v>6.41</v>
          </cell>
          <cell r="EQ179">
            <v>54</v>
          </cell>
          <cell r="ER179">
            <v>12.4</v>
          </cell>
          <cell r="ES179">
            <v>4.49</v>
          </cell>
          <cell r="ET179">
            <v>1.17</v>
          </cell>
        </row>
        <row r="180">
          <cell r="B180" t="str">
            <v>WT18X131</v>
          </cell>
          <cell r="C180" t="str">
            <v>WT18X131</v>
          </cell>
          <cell r="D180" t="str">
            <v>F</v>
          </cell>
          <cell r="E180">
            <v>131</v>
          </cell>
          <cell r="F180">
            <v>38.5</v>
          </cell>
          <cell r="G180" t="str">
            <v>WT18X131</v>
          </cell>
          <cell r="H180">
            <v>18.399999999999999</v>
          </cell>
          <cell r="I180">
            <v>18.375</v>
          </cell>
          <cell r="J180" t="str">
            <v>–</v>
          </cell>
          <cell r="K180" t="str">
            <v>–</v>
          </cell>
          <cell r="L180" t="str">
            <v>–</v>
          </cell>
          <cell r="M180">
            <v>16.600000000000001</v>
          </cell>
          <cell r="N180">
            <v>16.5</v>
          </cell>
          <cell r="O180" t="str">
            <v>–</v>
          </cell>
          <cell r="P180" t="str">
            <v>–</v>
          </cell>
          <cell r="Q180" t="str">
            <v>–</v>
          </cell>
          <cell r="R180">
            <v>0.84</v>
          </cell>
          <cell r="S180">
            <v>0.8125</v>
          </cell>
          <cell r="T180">
            <v>0.4375</v>
          </cell>
          <cell r="U180">
            <v>1.44</v>
          </cell>
          <cell r="V180">
            <v>1.4375</v>
          </cell>
          <cell r="W180">
            <v>1.44</v>
          </cell>
          <cell r="DZ180" t="str">
            <v>W16X26</v>
          </cell>
          <cell r="EA180">
            <v>26</v>
          </cell>
          <cell r="EB180">
            <v>7.68</v>
          </cell>
          <cell r="EC180">
            <v>15.7</v>
          </cell>
          <cell r="ED180" t="str">
            <v>15 3/4</v>
          </cell>
          <cell r="EE180">
            <v>0.25</v>
          </cell>
          <cell r="EF180">
            <v>44930</v>
          </cell>
          <cell r="EG180">
            <v>44934</v>
          </cell>
          <cell r="EH180">
            <v>5.5</v>
          </cell>
          <cell r="EI180" t="str">
            <v>5 1/2</v>
          </cell>
          <cell r="EJ180">
            <v>0.34499999999999997</v>
          </cell>
          <cell r="EK180">
            <v>44993</v>
          </cell>
          <cell r="EL180">
            <v>7.97</v>
          </cell>
          <cell r="EM180">
            <v>56.8</v>
          </cell>
          <cell r="EN180">
            <v>301</v>
          </cell>
          <cell r="EO180">
            <v>38.4</v>
          </cell>
          <cell r="EP180">
            <v>6.26</v>
          </cell>
          <cell r="EQ180">
            <v>44.2</v>
          </cell>
          <cell r="ER180">
            <v>9.59</v>
          </cell>
          <cell r="ES180">
            <v>3.49</v>
          </cell>
          <cell r="ET180">
            <v>1.1200000000000001</v>
          </cell>
        </row>
        <row r="181">
          <cell r="B181" t="str">
            <v>WT18X123.5</v>
          </cell>
          <cell r="C181" t="str">
            <v>WT18X123.5</v>
          </cell>
          <cell r="D181" t="str">
            <v>F</v>
          </cell>
          <cell r="E181">
            <v>123.5</v>
          </cell>
          <cell r="F181">
            <v>36.299999999999997</v>
          </cell>
          <cell r="G181" t="str">
            <v>WT18X123.5</v>
          </cell>
          <cell r="H181">
            <v>18.3</v>
          </cell>
          <cell r="I181">
            <v>18.375</v>
          </cell>
          <cell r="J181" t="str">
            <v>–</v>
          </cell>
          <cell r="K181" t="str">
            <v>–</v>
          </cell>
          <cell r="L181" t="str">
            <v>–</v>
          </cell>
          <cell r="M181">
            <v>16.5</v>
          </cell>
          <cell r="N181">
            <v>16.5</v>
          </cell>
          <cell r="O181" t="str">
            <v>–</v>
          </cell>
          <cell r="P181" t="str">
            <v>–</v>
          </cell>
          <cell r="Q181" t="str">
            <v>–</v>
          </cell>
          <cell r="R181">
            <v>0.8</v>
          </cell>
          <cell r="S181">
            <v>0.8125</v>
          </cell>
          <cell r="T181">
            <v>0.4375</v>
          </cell>
          <cell r="U181">
            <v>1.35</v>
          </cell>
          <cell r="V181">
            <v>1.375</v>
          </cell>
          <cell r="W181">
            <v>1.35</v>
          </cell>
          <cell r="DZ181" t="str">
            <v>W14X873</v>
          </cell>
          <cell r="EA181">
            <v>873</v>
          </cell>
          <cell r="EB181">
            <v>257</v>
          </cell>
          <cell r="EC181">
            <v>23.6</v>
          </cell>
          <cell r="ED181" t="str">
            <v>23 5/8</v>
          </cell>
          <cell r="EE181">
            <v>3.94</v>
          </cell>
          <cell r="EF181" t="str">
            <v>3 15/16</v>
          </cell>
          <cell r="EG181">
            <v>2</v>
          </cell>
          <cell r="EH181">
            <v>18.8</v>
          </cell>
          <cell r="EI181" t="str">
            <v>18 3/4</v>
          </cell>
          <cell r="EJ181">
            <v>5.51</v>
          </cell>
          <cell r="EK181" t="str">
            <v>5 1/2</v>
          </cell>
          <cell r="EL181">
            <v>1.71</v>
          </cell>
          <cell r="EM181">
            <v>2.89</v>
          </cell>
          <cell r="EN181">
            <v>18100</v>
          </cell>
          <cell r="EO181">
            <v>1530</v>
          </cell>
          <cell r="EP181">
            <v>8.39</v>
          </cell>
          <cell r="EQ181">
            <v>2030</v>
          </cell>
          <cell r="ER181">
            <v>6170</v>
          </cell>
          <cell r="ES181">
            <v>656</v>
          </cell>
          <cell r="ET181">
            <v>4.9000000000000004</v>
          </cell>
        </row>
        <row r="182">
          <cell r="B182" t="str">
            <v>WT18X115.5</v>
          </cell>
          <cell r="C182" t="str">
            <v>WT18X115.5</v>
          </cell>
          <cell r="D182" t="str">
            <v>F</v>
          </cell>
          <cell r="E182">
            <v>115.5</v>
          </cell>
          <cell r="F182">
            <v>34.1</v>
          </cell>
          <cell r="G182" t="str">
            <v>WT18X115.5</v>
          </cell>
          <cell r="H182">
            <v>18.2</v>
          </cell>
          <cell r="I182">
            <v>18.25</v>
          </cell>
          <cell r="J182" t="str">
            <v>–</v>
          </cell>
          <cell r="K182" t="str">
            <v>–</v>
          </cell>
          <cell r="L182" t="str">
            <v>–</v>
          </cell>
          <cell r="M182">
            <v>16.5</v>
          </cell>
          <cell r="N182">
            <v>16.5</v>
          </cell>
          <cell r="O182" t="str">
            <v>–</v>
          </cell>
          <cell r="P182" t="str">
            <v>–</v>
          </cell>
          <cell r="Q182" t="str">
            <v>–</v>
          </cell>
          <cell r="R182">
            <v>0.76</v>
          </cell>
          <cell r="S182">
            <v>0.75</v>
          </cell>
          <cell r="T182">
            <v>0.375</v>
          </cell>
          <cell r="U182">
            <v>1.26</v>
          </cell>
          <cell r="V182">
            <v>1.25</v>
          </cell>
          <cell r="W182">
            <v>1.26</v>
          </cell>
          <cell r="DZ182" t="str">
            <v>W14X808</v>
          </cell>
          <cell r="EA182">
            <v>808</v>
          </cell>
          <cell r="EB182">
            <v>238</v>
          </cell>
          <cell r="EC182">
            <v>22.8</v>
          </cell>
          <cell r="ED182" t="str">
            <v>22 3/4</v>
          </cell>
          <cell r="EE182">
            <v>3.74</v>
          </cell>
          <cell r="EF182" t="str">
            <v>3 3/4</v>
          </cell>
          <cell r="EG182" t="str">
            <v>1 7/8</v>
          </cell>
          <cell r="EH182">
            <v>18.600000000000001</v>
          </cell>
          <cell r="EI182" t="str">
            <v>18 5/8</v>
          </cell>
          <cell r="EJ182">
            <v>5.12</v>
          </cell>
          <cell r="EK182" t="str">
            <v>5 1/8</v>
          </cell>
          <cell r="EL182">
            <v>1.82</v>
          </cell>
          <cell r="EM182">
            <v>3.04</v>
          </cell>
          <cell r="EN182">
            <v>15900</v>
          </cell>
          <cell r="EO182">
            <v>1390</v>
          </cell>
          <cell r="EP182">
            <v>8.17</v>
          </cell>
          <cell r="EQ182">
            <v>1830</v>
          </cell>
          <cell r="ER182">
            <v>5550</v>
          </cell>
          <cell r="ES182">
            <v>597</v>
          </cell>
          <cell r="ET182">
            <v>4.83</v>
          </cell>
        </row>
        <row r="183">
          <cell r="B183" t="str">
            <v>WT18X128</v>
          </cell>
          <cell r="C183" t="str">
            <v>WT18X128</v>
          </cell>
          <cell r="D183" t="str">
            <v>F</v>
          </cell>
          <cell r="E183">
            <v>128</v>
          </cell>
          <cell r="F183">
            <v>37.6</v>
          </cell>
          <cell r="G183" t="str">
            <v>WT18X128</v>
          </cell>
          <cell r="H183">
            <v>18.7</v>
          </cell>
          <cell r="I183">
            <v>18.75</v>
          </cell>
          <cell r="J183" t="str">
            <v>–</v>
          </cell>
          <cell r="K183" t="str">
            <v>–</v>
          </cell>
          <cell r="L183" t="str">
            <v>–</v>
          </cell>
          <cell r="M183">
            <v>12.2</v>
          </cell>
          <cell r="N183">
            <v>12.25</v>
          </cell>
          <cell r="O183" t="str">
            <v>–</v>
          </cell>
          <cell r="P183" t="str">
            <v>–</v>
          </cell>
          <cell r="Q183" t="str">
            <v>–</v>
          </cell>
          <cell r="R183">
            <v>0.96</v>
          </cell>
          <cell r="S183">
            <v>0.9375</v>
          </cell>
          <cell r="T183">
            <v>0.5</v>
          </cell>
          <cell r="U183">
            <v>1.73</v>
          </cell>
          <cell r="V183">
            <v>1.75</v>
          </cell>
          <cell r="W183">
            <v>1.73</v>
          </cell>
          <cell r="DZ183" t="str">
            <v>W14X730</v>
          </cell>
          <cell r="EA183">
            <v>730</v>
          </cell>
          <cell r="EB183">
            <v>215</v>
          </cell>
          <cell r="EC183">
            <v>22.4</v>
          </cell>
          <cell r="ED183" t="str">
            <v>22 3/8</v>
          </cell>
          <cell r="EE183">
            <v>3.07</v>
          </cell>
          <cell r="EF183" t="str">
            <v>3 1/16</v>
          </cell>
          <cell r="EG183" t="str">
            <v>1 9/16</v>
          </cell>
          <cell r="EH183">
            <v>17.899999999999999</v>
          </cell>
          <cell r="EI183" t="str">
            <v>17 7/8</v>
          </cell>
          <cell r="EJ183">
            <v>4.91</v>
          </cell>
          <cell r="EK183" t="str">
            <v>4 15/16</v>
          </cell>
          <cell r="EL183">
            <v>1.82</v>
          </cell>
          <cell r="EM183">
            <v>3.71</v>
          </cell>
          <cell r="EN183">
            <v>14300</v>
          </cell>
          <cell r="EO183">
            <v>1280</v>
          </cell>
          <cell r="EP183">
            <v>8.17</v>
          </cell>
          <cell r="EQ183">
            <v>1660</v>
          </cell>
          <cell r="ER183">
            <v>4720</v>
          </cell>
          <cell r="ES183">
            <v>527</v>
          </cell>
          <cell r="ET183">
            <v>4.6900000000000004</v>
          </cell>
        </row>
        <row r="184">
          <cell r="B184" t="str">
            <v>WT18X116</v>
          </cell>
          <cell r="C184" t="str">
            <v>WT18X116</v>
          </cell>
          <cell r="D184" t="str">
            <v>F</v>
          </cell>
          <cell r="E184">
            <v>116</v>
          </cell>
          <cell r="F184">
            <v>34</v>
          </cell>
          <cell r="G184" t="str">
            <v>WT18X116</v>
          </cell>
          <cell r="H184">
            <v>18.600000000000001</v>
          </cell>
          <cell r="I184">
            <v>18.5</v>
          </cell>
          <cell r="J184" t="str">
            <v>–</v>
          </cell>
          <cell r="K184" t="str">
            <v>–</v>
          </cell>
          <cell r="L184" t="str">
            <v>–</v>
          </cell>
          <cell r="M184">
            <v>12.1</v>
          </cell>
          <cell r="N184">
            <v>12.125</v>
          </cell>
          <cell r="O184" t="str">
            <v>–</v>
          </cell>
          <cell r="P184" t="str">
            <v>–</v>
          </cell>
          <cell r="Q184" t="str">
            <v>–</v>
          </cell>
          <cell r="R184">
            <v>0.87</v>
          </cell>
          <cell r="S184">
            <v>0.875</v>
          </cell>
          <cell r="T184">
            <v>0.4375</v>
          </cell>
          <cell r="U184">
            <v>1.57</v>
          </cell>
          <cell r="V184">
            <v>1.5625</v>
          </cell>
          <cell r="W184">
            <v>1.57</v>
          </cell>
          <cell r="DZ184" t="str">
            <v>W14X665</v>
          </cell>
          <cell r="EA184">
            <v>665</v>
          </cell>
          <cell r="EB184">
            <v>196</v>
          </cell>
          <cell r="EC184">
            <v>21.6</v>
          </cell>
          <cell r="ED184" t="str">
            <v>21 5/8</v>
          </cell>
          <cell r="EE184">
            <v>2.83</v>
          </cell>
          <cell r="EF184" t="str">
            <v>2 13/16</v>
          </cell>
          <cell r="EG184" t="str">
            <v>1 7/16</v>
          </cell>
          <cell r="EH184">
            <v>17.7</v>
          </cell>
          <cell r="EI184" t="str">
            <v>17 5/8</v>
          </cell>
          <cell r="EJ184">
            <v>4.5199999999999996</v>
          </cell>
          <cell r="EK184" t="str">
            <v>4 1/2</v>
          </cell>
          <cell r="EL184">
            <v>1.95</v>
          </cell>
          <cell r="EM184">
            <v>4.03</v>
          </cell>
          <cell r="EN184">
            <v>12400</v>
          </cell>
          <cell r="EO184">
            <v>1150</v>
          </cell>
          <cell r="EP184">
            <v>7.98</v>
          </cell>
          <cell r="EQ184">
            <v>1480</v>
          </cell>
          <cell r="ER184">
            <v>4170</v>
          </cell>
          <cell r="ES184">
            <v>472</v>
          </cell>
          <cell r="ET184">
            <v>4.62</v>
          </cell>
        </row>
        <row r="185">
          <cell r="B185" t="str">
            <v>WT18X105</v>
          </cell>
          <cell r="C185" t="str">
            <v>WT18X105</v>
          </cell>
          <cell r="D185" t="str">
            <v>F</v>
          </cell>
          <cell r="E185">
            <v>105</v>
          </cell>
          <cell r="F185">
            <v>30.9</v>
          </cell>
          <cell r="G185" t="str">
            <v>WT18X105</v>
          </cell>
          <cell r="H185">
            <v>18.3</v>
          </cell>
          <cell r="I185">
            <v>18.375</v>
          </cell>
          <cell r="J185" t="str">
            <v>–</v>
          </cell>
          <cell r="K185" t="str">
            <v>–</v>
          </cell>
          <cell r="L185" t="str">
            <v>–</v>
          </cell>
          <cell r="M185">
            <v>12.2</v>
          </cell>
          <cell r="N185">
            <v>12.125</v>
          </cell>
          <cell r="O185" t="str">
            <v>–</v>
          </cell>
          <cell r="P185" t="str">
            <v>–</v>
          </cell>
          <cell r="Q185" t="str">
            <v>–</v>
          </cell>
          <cell r="R185">
            <v>0.83</v>
          </cell>
          <cell r="S185">
            <v>0.8125</v>
          </cell>
          <cell r="T185">
            <v>0.4375</v>
          </cell>
          <cell r="U185">
            <v>1.36</v>
          </cell>
          <cell r="V185">
            <v>1.375</v>
          </cell>
          <cell r="W185">
            <v>1.36</v>
          </cell>
          <cell r="DZ185" t="str">
            <v>W14X605</v>
          </cell>
          <cell r="EA185">
            <v>605</v>
          </cell>
          <cell r="EB185">
            <v>178</v>
          </cell>
          <cell r="EC185">
            <v>20.9</v>
          </cell>
          <cell r="ED185" t="str">
            <v>20 7/8</v>
          </cell>
          <cell r="EE185">
            <v>2.6</v>
          </cell>
          <cell r="EF185" t="str">
            <v>2 5/8</v>
          </cell>
          <cell r="EG185" t="str">
            <v>1 5/16</v>
          </cell>
          <cell r="EH185">
            <v>17.399999999999999</v>
          </cell>
          <cell r="EI185" t="str">
            <v>17 3/8</v>
          </cell>
          <cell r="EJ185">
            <v>4.16</v>
          </cell>
          <cell r="EK185" t="str">
            <v>4 3/16</v>
          </cell>
          <cell r="EL185">
            <v>2.09</v>
          </cell>
          <cell r="EM185">
            <v>4.3899999999999997</v>
          </cell>
          <cell r="EN185">
            <v>10800</v>
          </cell>
          <cell r="EO185">
            <v>1040</v>
          </cell>
          <cell r="EP185">
            <v>7.8</v>
          </cell>
          <cell r="EQ185">
            <v>1320</v>
          </cell>
          <cell r="ER185">
            <v>3680</v>
          </cell>
          <cell r="ES185">
            <v>423</v>
          </cell>
          <cell r="ET185">
            <v>4.55</v>
          </cell>
        </row>
        <row r="186">
          <cell r="B186" t="str">
            <v>WT18X97</v>
          </cell>
          <cell r="C186" t="str">
            <v>WT18X97</v>
          </cell>
          <cell r="D186" t="str">
            <v>F</v>
          </cell>
          <cell r="E186">
            <v>97</v>
          </cell>
          <cell r="F186">
            <v>28.5</v>
          </cell>
          <cell r="G186" t="str">
            <v>WT18X97</v>
          </cell>
          <cell r="H186">
            <v>18.2</v>
          </cell>
          <cell r="I186">
            <v>18.25</v>
          </cell>
          <cell r="J186" t="str">
            <v>–</v>
          </cell>
          <cell r="K186" t="str">
            <v>–</v>
          </cell>
          <cell r="L186" t="str">
            <v>–</v>
          </cell>
          <cell r="M186">
            <v>12.1</v>
          </cell>
          <cell r="N186">
            <v>12.125</v>
          </cell>
          <cell r="O186" t="str">
            <v>–</v>
          </cell>
          <cell r="P186" t="str">
            <v>–</v>
          </cell>
          <cell r="Q186" t="str">
            <v>–</v>
          </cell>
          <cell r="R186">
            <v>0.76500000000000001</v>
          </cell>
          <cell r="S186">
            <v>0.75</v>
          </cell>
          <cell r="T186">
            <v>0.375</v>
          </cell>
          <cell r="U186">
            <v>1.26</v>
          </cell>
          <cell r="V186">
            <v>1.25</v>
          </cell>
          <cell r="W186">
            <v>1.26</v>
          </cell>
          <cell r="DZ186" t="str">
            <v>W14X550</v>
          </cell>
          <cell r="EA186">
            <v>550</v>
          </cell>
          <cell r="EB186">
            <v>162</v>
          </cell>
          <cell r="EC186">
            <v>20.2</v>
          </cell>
          <cell r="ED186" t="str">
            <v>20 1/4</v>
          </cell>
          <cell r="EE186">
            <v>2.38</v>
          </cell>
          <cell r="EF186" t="str">
            <v>2 3/8</v>
          </cell>
          <cell r="EG186" t="str">
            <v>1 3/16</v>
          </cell>
          <cell r="EH186">
            <v>17.2</v>
          </cell>
          <cell r="EI186" t="str">
            <v>17 1/4</v>
          </cell>
          <cell r="EJ186">
            <v>3.82</v>
          </cell>
          <cell r="EK186" t="str">
            <v>3 13/16</v>
          </cell>
          <cell r="EL186">
            <v>2.25</v>
          </cell>
          <cell r="EM186">
            <v>4.79</v>
          </cell>
          <cell r="EN186">
            <v>9430</v>
          </cell>
          <cell r="EO186">
            <v>931</v>
          </cell>
          <cell r="EP186">
            <v>7.63</v>
          </cell>
          <cell r="EQ186">
            <v>1180</v>
          </cell>
          <cell r="ER186">
            <v>3250</v>
          </cell>
          <cell r="ES186">
            <v>378</v>
          </cell>
          <cell r="ET186">
            <v>4.49</v>
          </cell>
        </row>
        <row r="187">
          <cell r="B187" t="str">
            <v>WT18X91</v>
          </cell>
          <cell r="C187" t="str">
            <v>WT18X91</v>
          </cell>
          <cell r="D187" t="str">
            <v>F</v>
          </cell>
          <cell r="E187">
            <v>91</v>
          </cell>
          <cell r="F187">
            <v>26.8</v>
          </cell>
          <cell r="G187" t="str">
            <v>WT18X91</v>
          </cell>
          <cell r="H187">
            <v>18.2</v>
          </cell>
          <cell r="I187">
            <v>18.125</v>
          </cell>
          <cell r="J187" t="str">
            <v>–</v>
          </cell>
          <cell r="K187" t="str">
            <v>–</v>
          </cell>
          <cell r="L187" t="str">
            <v>–</v>
          </cell>
          <cell r="M187">
            <v>12.1</v>
          </cell>
          <cell r="N187">
            <v>12.125</v>
          </cell>
          <cell r="O187" t="str">
            <v>–</v>
          </cell>
          <cell r="P187" t="str">
            <v>–</v>
          </cell>
          <cell r="Q187" t="str">
            <v>–</v>
          </cell>
          <cell r="R187">
            <v>0.72499999999999998</v>
          </cell>
          <cell r="S187">
            <v>0.75</v>
          </cell>
          <cell r="T187">
            <v>0.375</v>
          </cell>
          <cell r="U187">
            <v>1.18</v>
          </cell>
          <cell r="V187">
            <v>1.1875</v>
          </cell>
          <cell r="W187">
            <v>1.18</v>
          </cell>
          <cell r="DZ187" t="str">
            <v>W14X500</v>
          </cell>
          <cell r="EA187">
            <v>500</v>
          </cell>
          <cell r="EB187">
            <v>147</v>
          </cell>
          <cell r="EC187">
            <v>19.600000000000001</v>
          </cell>
          <cell r="ED187" t="str">
            <v>19 5/8</v>
          </cell>
          <cell r="EE187">
            <v>2.19</v>
          </cell>
          <cell r="EF187" t="str">
            <v>2 3/16</v>
          </cell>
          <cell r="EG187" t="str">
            <v>1 1/8</v>
          </cell>
          <cell r="EH187">
            <v>17</v>
          </cell>
          <cell r="EI187">
            <v>17</v>
          </cell>
          <cell r="EJ187">
            <v>3.5</v>
          </cell>
          <cell r="EK187" t="str">
            <v>3 1/2</v>
          </cell>
          <cell r="EL187">
            <v>2.4300000000000002</v>
          </cell>
          <cell r="EM187">
            <v>5.21</v>
          </cell>
          <cell r="EN187">
            <v>8210</v>
          </cell>
          <cell r="EO187">
            <v>838</v>
          </cell>
          <cell r="EP187">
            <v>7.48</v>
          </cell>
          <cell r="EQ187">
            <v>1050</v>
          </cell>
          <cell r="ER187">
            <v>2880</v>
          </cell>
          <cell r="ES187">
            <v>339</v>
          </cell>
          <cell r="ET187">
            <v>4.43</v>
          </cell>
        </row>
        <row r="188">
          <cell r="B188" t="str">
            <v>WT18X85</v>
          </cell>
          <cell r="C188" t="str">
            <v>WT18X85</v>
          </cell>
          <cell r="D188" t="str">
            <v>F</v>
          </cell>
          <cell r="E188">
            <v>85</v>
          </cell>
          <cell r="F188">
            <v>25</v>
          </cell>
          <cell r="G188" t="str">
            <v>WT18X85</v>
          </cell>
          <cell r="H188">
            <v>18.100000000000001</v>
          </cell>
          <cell r="I188">
            <v>18.125</v>
          </cell>
          <cell r="J188" t="str">
            <v>–</v>
          </cell>
          <cell r="K188" t="str">
            <v>–</v>
          </cell>
          <cell r="L188" t="str">
            <v>–</v>
          </cell>
          <cell r="M188">
            <v>12</v>
          </cell>
          <cell r="N188">
            <v>12</v>
          </cell>
          <cell r="O188" t="str">
            <v>–</v>
          </cell>
          <cell r="P188" t="str">
            <v>–</v>
          </cell>
          <cell r="Q188" t="str">
            <v>–</v>
          </cell>
          <cell r="R188">
            <v>0.68</v>
          </cell>
          <cell r="S188">
            <v>0.6875</v>
          </cell>
          <cell r="T188">
            <v>0.375</v>
          </cell>
          <cell r="U188">
            <v>1.1000000000000001</v>
          </cell>
          <cell r="V188">
            <v>1.125</v>
          </cell>
          <cell r="W188">
            <v>1.1000000000000001</v>
          </cell>
          <cell r="DZ188" t="str">
            <v>W14X455</v>
          </cell>
          <cell r="EA188">
            <v>455</v>
          </cell>
          <cell r="EB188">
            <v>134</v>
          </cell>
          <cell r="EC188">
            <v>19</v>
          </cell>
          <cell r="ED188">
            <v>19</v>
          </cell>
          <cell r="EE188">
            <v>2.02</v>
          </cell>
          <cell r="EF188">
            <v>2</v>
          </cell>
          <cell r="EG188">
            <v>1</v>
          </cell>
          <cell r="EH188">
            <v>16.8</v>
          </cell>
          <cell r="EI188" t="str">
            <v>16 7/8</v>
          </cell>
          <cell r="EJ188">
            <v>3.21</v>
          </cell>
          <cell r="EK188" t="str">
            <v>3 3/16</v>
          </cell>
          <cell r="EL188">
            <v>2.62</v>
          </cell>
          <cell r="EM188">
            <v>5.66</v>
          </cell>
          <cell r="EN188">
            <v>7190</v>
          </cell>
          <cell r="EO188">
            <v>756</v>
          </cell>
          <cell r="EP188">
            <v>7.33</v>
          </cell>
          <cell r="EQ188">
            <v>936</v>
          </cell>
          <cell r="ER188">
            <v>2560</v>
          </cell>
          <cell r="ES188">
            <v>304</v>
          </cell>
          <cell r="ET188">
            <v>4.38</v>
          </cell>
        </row>
        <row r="189">
          <cell r="B189" t="str">
            <v>WT18X80</v>
          </cell>
          <cell r="C189" t="str">
            <v>WT18X80</v>
          </cell>
          <cell r="D189" t="str">
            <v>F</v>
          </cell>
          <cell r="E189">
            <v>80</v>
          </cell>
          <cell r="F189">
            <v>23.5</v>
          </cell>
          <cell r="G189" t="str">
            <v>WT18X80</v>
          </cell>
          <cell r="H189">
            <v>18</v>
          </cell>
          <cell r="I189">
            <v>18</v>
          </cell>
          <cell r="J189" t="str">
            <v>–</v>
          </cell>
          <cell r="K189" t="str">
            <v>–</v>
          </cell>
          <cell r="L189" t="str">
            <v>–</v>
          </cell>
          <cell r="M189">
            <v>12</v>
          </cell>
          <cell r="N189">
            <v>12</v>
          </cell>
          <cell r="O189" t="str">
            <v>–</v>
          </cell>
          <cell r="P189" t="str">
            <v>–</v>
          </cell>
          <cell r="Q189" t="str">
            <v>–</v>
          </cell>
          <cell r="R189">
            <v>0.65</v>
          </cell>
          <cell r="S189">
            <v>0.625</v>
          </cell>
          <cell r="T189">
            <v>0.3125</v>
          </cell>
          <cell r="U189">
            <v>1.02</v>
          </cell>
          <cell r="V189">
            <v>1</v>
          </cell>
          <cell r="W189">
            <v>1.02</v>
          </cell>
          <cell r="DZ189" t="str">
            <v>W14X426</v>
          </cell>
          <cell r="EA189">
            <v>426</v>
          </cell>
          <cell r="EB189">
            <v>125</v>
          </cell>
          <cell r="EC189">
            <v>18.7</v>
          </cell>
          <cell r="ED189" t="str">
            <v>18 5/8</v>
          </cell>
          <cell r="EE189">
            <v>1.88</v>
          </cell>
          <cell r="EF189" t="str">
            <v>1 7/8</v>
          </cell>
          <cell r="EG189" t="str">
            <v>15/16</v>
          </cell>
          <cell r="EH189">
            <v>16.7</v>
          </cell>
          <cell r="EI189" t="str">
            <v>16 3/4</v>
          </cell>
          <cell r="EJ189">
            <v>3.04</v>
          </cell>
          <cell r="EK189" t="str">
            <v>3 1/16</v>
          </cell>
          <cell r="EL189">
            <v>2.75</v>
          </cell>
          <cell r="EM189">
            <v>6.08</v>
          </cell>
          <cell r="EN189">
            <v>6600</v>
          </cell>
          <cell r="EO189">
            <v>706</v>
          </cell>
          <cell r="EP189">
            <v>7.26</v>
          </cell>
          <cell r="EQ189">
            <v>869</v>
          </cell>
          <cell r="ER189">
            <v>2360</v>
          </cell>
          <cell r="ES189">
            <v>283</v>
          </cell>
          <cell r="ET189">
            <v>4.34</v>
          </cell>
        </row>
        <row r="190">
          <cell r="B190" t="str">
            <v>WT18X75</v>
          </cell>
          <cell r="C190" t="str">
            <v>WT18X75</v>
          </cell>
          <cell r="D190" t="str">
            <v>F</v>
          </cell>
          <cell r="E190">
            <v>75</v>
          </cell>
          <cell r="F190">
            <v>22.1</v>
          </cell>
          <cell r="G190" t="str">
            <v>WT18X75</v>
          </cell>
          <cell r="H190">
            <v>17.899999999999999</v>
          </cell>
          <cell r="I190">
            <v>17.875</v>
          </cell>
          <cell r="J190" t="str">
            <v>–</v>
          </cell>
          <cell r="K190" t="str">
            <v>–</v>
          </cell>
          <cell r="L190" t="str">
            <v>–</v>
          </cell>
          <cell r="M190">
            <v>12</v>
          </cell>
          <cell r="N190">
            <v>12</v>
          </cell>
          <cell r="O190" t="str">
            <v>–</v>
          </cell>
          <cell r="P190" t="str">
            <v>–</v>
          </cell>
          <cell r="Q190" t="str">
            <v>–</v>
          </cell>
          <cell r="R190">
            <v>0.625</v>
          </cell>
          <cell r="S190">
            <v>0.625</v>
          </cell>
          <cell r="T190">
            <v>0.3125</v>
          </cell>
          <cell r="U190">
            <v>0.94</v>
          </cell>
          <cell r="V190">
            <v>0.9375</v>
          </cell>
          <cell r="W190">
            <v>0.94</v>
          </cell>
          <cell r="DZ190" t="str">
            <v>W14X398</v>
          </cell>
          <cell r="EA190">
            <v>398</v>
          </cell>
          <cell r="EB190">
            <v>117</v>
          </cell>
          <cell r="EC190">
            <v>18.3</v>
          </cell>
          <cell r="ED190" t="str">
            <v>18 1/4</v>
          </cell>
          <cell r="EE190">
            <v>1.77</v>
          </cell>
          <cell r="EF190" t="str">
            <v>1 3/4</v>
          </cell>
          <cell r="EG190">
            <v>45115</v>
          </cell>
          <cell r="EH190">
            <v>16.600000000000001</v>
          </cell>
          <cell r="EI190" t="str">
            <v>16 5/8</v>
          </cell>
          <cell r="EJ190">
            <v>2.85</v>
          </cell>
          <cell r="EK190" t="str">
            <v>2 7/8</v>
          </cell>
          <cell r="EL190">
            <v>2.92</v>
          </cell>
          <cell r="EM190">
            <v>6.44</v>
          </cell>
          <cell r="EN190">
            <v>6000</v>
          </cell>
          <cell r="EO190">
            <v>656</v>
          </cell>
          <cell r="EP190">
            <v>7.16</v>
          </cell>
          <cell r="EQ190">
            <v>801</v>
          </cell>
          <cell r="ER190">
            <v>2170</v>
          </cell>
          <cell r="ES190">
            <v>262</v>
          </cell>
          <cell r="ET190">
            <v>4.3099999999999996</v>
          </cell>
        </row>
        <row r="191">
          <cell r="B191" t="str">
            <v>WT18X67.5</v>
          </cell>
          <cell r="C191" t="str">
            <v>WT18X67.5</v>
          </cell>
          <cell r="D191" t="str">
            <v>F</v>
          </cell>
          <cell r="E191">
            <v>67.5</v>
          </cell>
          <cell r="F191">
            <v>19.899999999999999</v>
          </cell>
          <cell r="G191" t="str">
            <v>WT18X67.5</v>
          </cell>
          <cell r="H191">
            <v>17.8</v>
          </cell>
          <cell r="I191">
            <v>17.75</v>
          </cell>
          <cell r="J191" t="str">
            <v>–</v>
          </cell>
          <cell r="K191" t="str">
            <v>–</v>
          </cell>
          <cell r="L191" t="str">
            <v>–</v>
          </cell>
          <cell r="M191">
            <v>12</v>
          </cell>
          <cell r="N191">
            <v>12</v>
          </cell>
          <cell r="O191" t="str">
            <v>–</v>
          </cell>
          <cell r="P191" t="str">
            <v>–</v>
          </cell>
          <cell r="Q191" t="str">
            <v>–</v>
          </cell>
          <cell r="R191">
            <v>0.6</v>
          </cell>
          <cell r="S191">
            <v>0.625</v>
          </cell>
          <cell r="T191">
            <v>0.3125</v>
          </cell>
          <cell r="U191">
            <v>0.79</v>
          </cell>
          <cell r="V191">
            <v>0.8125</v>
          </cell>
          <cell r="W191">
            <v>0.79</v>
          </cell>
          <cell r="DZ191" t="str">
            <v>W14X370</v>
          </cell>
          <cell r="EA191">
            <v>370</v>
          </cell>
          <cell r="EB191">
            <v>109</v>
          </cell>
          <cell r="EC191">
            <v>17.899999999999999</v>
          </cell>
          <cell r="ED191" t="str">
            <v>17 7/8</v>
          </cell>
          <cell r="EE191">
            <v>1.66</v>
          </cell>
          <cell r="EF191" t="str">
            <v>1 11/16</v>
          </cell>
          <cell r="EG191" t="str">
            <v>13/16</v>
          </cell>
          <cell r="EH191">
            <v>16.5</v>
          </cell>
          <cell r="EI191" t="str">
            <v>16 1/2</v>
          </cell>
          <cell r="EJ191">
            <v>2.66</v>
          </cell>
          <cell r="EK191" t="str">
            <v>2 11/16</v>
          </cell>
          <cell r="EL191">
            <v>3.1</v>
          </cell>
          <cell r="EM191">
            <v>6.89</v>
          </cell>
          <cell r="EN191">
            <v>5440</v>
          </cell>
          <cell r="EO191">
            <v>607</v>
          </cell>
          <cell r="EP191">
            <v>7.07</v>
          </cell>
          <cell r="EQ191">
            <v>736</v>
          </cell>
          <cell r="ER191">
            <v>1990</v>
          </cell>
          <cell r="ES191">
            <v>241</v>
          </cell>
          <cell r="ET191">
            <v>4.2699999999999996</v>
          </cell>
        </row>
        <row r="192">
          <cell r="B192" t="str">
            <v>WT16.5X193.5</v>
          </cell>
          <cell r="C192" t="str">
            <v>WT16.5X193.5</v>
          </cell>
          <cell r="D192" t="str">
            <v>T</v>
          </cell>
          <cell r="E192">
            <v>193.5</v>
          </cell>
          <cell r="F192">
            <v>57</v>
          </cell>
          <cell r="G192" t="str">
            <v>WT16.5X193.5</v>
          </cell>
          <cell r="H192">
            <v>18</v>
          </cell>
          <cell r="I192">
            <v>18</v>
          </cell>
          <cell r="J192" t="str">
            <v>–</v>
          </cell>
          <cell r="K192" t="str">
            <v>–</v>
          </cell>
          <cell r="L192" t="str">
            <v>–</v>
          </cell>
          <cell r="M192">
            <v>16.2</v>
          </cell>
          <cell r="N192">
            <v>16.25</v>
          </cell>
          <cell r="O192" t="str">
            <v>–</v>
          </cell>
          <cell r="P192" t="str">
            <v>–</v>
          </cell>
          <cell r="Q192" t="str">
            <v>–</v>
          </cell>
          <cell r="R192">
            <v>1.26</v>
          </cell>
          <cell r="S192">
            <v>1.25</v>
          </cell>
          <cell r="T192">
            <v>0.625</v>
          </cell>
          <cell r="U192">
            <v>2.2799999999999998</v>
          </cell>
          <cell r="V192">
            <v>2.25</v>
          </cell>
          <cell r="W192">
            <v>2.2799999999999998</v>
          </cell>
          <cell r="DZ192" t="str">
            <v>W14X342</v>
          </cell>
          <cell r="EA192">
            <v>342</v>
          </cell>
          <cell r="EB192">
            <v>101</v>
          </cell>
          <cell r="EC192">
            <v>17.5</v>
          </cell>
          <cell r="ED192" t="str">
            <v>17 1/2</v>
          </cell>
          <cell r="EE192">
            <v>1.54</v>
          </cell>
          <cell r="EF192" t="str">
            <v>1 9/16</v>
          </cell>
          <cell r="EG192" t="str">
            <v>13/16</v>
          </cell>
          <cell r="EH192">
            <v>16.399999999999999</v>
          </cell>
          <cell r="EI192" t="str">
            <v>16 3/8</v>
          </cell>
          <cell r="EJ192">
            <v>2.4700000000000002</v>
          </cell>
          <cell r="EK192" t="str">
            <v>2 1/2</v>
          </cell>
          <cell r="EL192">
            <v>3.31</v>
          </cell>
          <cell r="EM192">
            <v>7.41</v>
          </cell>
          <cell r="EN192">
            <v>4900</v>
          </cell>
          <cell r="EO192">
            <v>558</v>
          </cell>
          <cell r="EP192">
            <v>6.98</v>
          </cell>
          <cell r="EQ192">
            <v>672</v>
          </cell>
          <cell r="ER192">
            <v>1810</v>
          </cell>
          <cell r="ES192">
            <v>221</v>
          </cell>
          <cell r="ET192">
            <v>4.24</v>
          </cell>
        </row>
        <row r="193">
          <cell r="B193" t="str">
            <v>WT16.5X177</v>
          </cell>
          <cell r="C193" t="str">
            <v>WT16.5X177</v>
          </cell>
          <cell r="D193" t="str">
            <v>T</v>
          </cell>
          <cell r="E193">
            <v>177</v>
          </cell>
          <cell r="F193">
            <v>52.1</v>
          </cell>
          <cell r="G193" t="str">
            <v>WT16.5X177</v>
          </cell>
          <cell r="H193">
            <v>17.8</v>
          </cell>
          <cell r="I193">
            <v>17.75</v>
          </cell>
          <cell r="J193" t="str">
            <v>–</v>
          </cell>
          <cell r="K193" t="str">
            <v>–</v>
          </cell>
          <cell r="L193" t="str">
            <v>–</v>
          </cell>
          <cell r="M193">
            <v>16.100000000000001</v>
          </cell>
          <cell r="N193">
            <v>16.125</v>
          </cell>
          <cell r="O193" t="str">
            <v>–</v>
          </cell>
          <cell r="P193" t="str">
            <v>–</v>
          </cell>
          <cell r="Q193" t="str">
            <v>–</v>
          </cell>
          <cell r="R193">
            <v>1.1599999999999999</v>
          </cell>
          <cell r="S193">
            <v>1.1875</v>
          </cell>
          <cell r="T193">
            <v>0.625</v>
          </cell>
          <cell r="U193">
            <v>2.09</v>
          </cell>
          <cell r="V193">
            <v>2.0625</v>
          </cell>
          <cell r="W193">
            <v>2.09</v>
          </cell>
          <cell r="DZ193" t="str">
            <v>W14X311</v>
          </cell>
          <cell r="EA193">
            <v>311</v>
          </cell>
          <cell r="EB193">
            <v>91.4</v>
          </cell>
          <cell r="EC193">
            <v>17.100000000000001</v>
          </cell>
          <cell r="ED193" t="str">
            <v>17 1/8</v>
          </cell>
          <cell r="EE193">
            <v>1.41</v>
          </cell>
          <cell r="EF193" t="str">
            <v>1 7/16</v>
          </cell>
          <cell r="EG193">
            <v>44989</v>
          </cell>
          <cell r="EH193">
            <v>16.2</v>
          </cell>
          <cell r="EI193" t="str">
            <v>16 1/4</v>
          </cell>
          <cell r="EJ193">
            <v>2.2599999999999998</v>
          </cell>
          <cell r="EK193" t="str">
            <v>2 1/4</v>
          </cell>
          <cell r="EL193">
            <v>3.59</v>
          </cell>
          <cell r="EM193">
            <v>8.09</v>
          </cell>
          <cell r="EN193">
            <v>4330</v>
          </cell>
          <cell r="EO193">
            <v>506</v>
          </cell>
          <cell r="EP193">
            <v>6.88</v>
          </cell>
          <cell r="EQ193">
            <v>603</v>
          </cell>
          <cell r="ER193">
            <v>1610</v>
          </cell>
          <cell r="ES193">
            <v>199</v>
          </cell>
          <cell r="ET193">
            <v>4.2</v>
          </cell>
        </row>
        <row r="194">
          <cell r="B194" t="str">
            <v>WT16.5X159</v>
          </cell>
          <cell r="C194" t="str">
            <v>WT16.5X159</v>
          </cell>
          <cell r="D194" t="str">
            <v>F</v>
          </cell>
          <cell r="E194">
            <v>159</v>
          </cell>
          <cell r="F194">
            <v>46.8</v>
          </cell>
          <cell r="G194" t="str">
            <v>WT16.5X159</v>
          </cell>
          <cell r="H194">
            <v>17.600000000000001</v>
          </cell>
          <cell r="I194">
            <v>17.625</v>
          </cell>
          <cell r="J194" t="str">
            <v>–</v>
          </cell>
          <cell r="K194" t="str">
            <v>–</v>
          </cell>
          <cell r="L194" t="str">
            <v>–</v>
          </cell>
          <cell r="M194">
            <v>16</v>
          </cell>
          <cell r="N194">
            <v>16</v>
          </cell>
          <cell r="O194" t="str">
            <v>–</v>
          </cell>
          <cell r="P194" t="str">
            <v>–</v>
          </cell>
          <cell r="Q194" t="str">
            <v>–</v>
          </cell>
          <cell r="R194">
            <v>1.04</v>
          </cell>
          <cell r="S194">
            <v>1.0625</v>
          </cell>
          <cell r="T194">
            <v>0.5625</v>
          </cell>
          <cell r="U194">
            <v>1.89</v>
          </cell>
          <cell r="V194">
            <v>1.875</v>
          </cell>
          <cell r="W194">
            <v>1.89</v>
          </cell>
          <cell r="DZ194" t="str">
            <v>W14X283</v>
          </cell>
          <cell r="EA194">
            <v>283</v>
          </cell>
          <cell r="EB194">
            <v>83.3</v>
          </cell>
          <cell r="EC194">
            <v>16.7</v>
          </cell>
          <cell r="ED194" t="str">
            <v>16 3/4</v>
          </cell>
          <cell r="EE194">
            <v>1.29</v>
          </cell>
          <cell r="EF194" t="str">
            <v>1 5/16</v>
          </cell>
          <cell r="EG194">
            <v>45246</v>
          </cell>
          <cell r="EH194">
            <v>16.100000000000001</v>
          </cell>
          <cell r="EI194" t="str">
            <v>16 1/8</v>
          </cell>
          <cell r="EJ194">
            <v>2.0699999999999998</v>
          </cell>
          <cell r="EK194" t="str">
            <v>2 1/16</v>
          </cell>
          <cell r="EL194">
            <v>3.89</v>
          </cell>
          <cell r="EM194">
            <v>8.84</v>
          </cell>
          <cell r="EN194">
            <v>3840</v>
          </cell>
          <cell r="EO194">
            <v>459</v>
          </cell>
          <cell r="EP194">
            <v>6.79</v>
          </cell>
          <cell r="EQ194">
            <v>542</v>
          </cell>
          <cell r="ER194">
            <v>1440</v>
          </cell>
          <cell r="ES194">
            <v>179</v>
          </cell>
          <cell r="ET194">
            <v>4.17</v>
          </cell>
        </row>
        <row r="195">
          <cell r="B195" t="str">
            <v>WT16.5X145.5</v>
          </cell>
          <cell r="C195" t="str">
            <v>WT16.5X145.5</v>
          </cell>
          <cell r="D195" t="str">
            <v>F</v>
          </cell>
          <cell r="E195">
            <v>145.5</v>
          </cell>
          <cell r="F195">
            <v>42.8</v>
          </cell>
          <cell r="G195" t="str">
            <v>WT16.5X145.5</v>
          </cell>
          <cell r="H195">
            <v>17.399999999999999</v>
          </cell>
          <cell r="I195">
            <v>17.375</v>
          </cell>
          <cell r="J195" t="str">
            <v>–</v>
          </cell>
          <cell r="K195" t="str">
            <v>–</v>
          </cell>
          <cell r="L195" t="str">
            <v>–</v>
          </cell>
          <cell r="M195">
            <v>15.9</v>
          </cell>
          <cell r="N195">
            <v>15.875</v>
          </cell>
          <cell r="O195" t="str">
            <v>–</v>
          </cell>
          <cell r="P195" t="str">
            <v>–</v>
          </cell>
          <cell r="Q195" t="str">
            <v>–</v>
          </cell>
          <cell r="R195">
            <v>0.96</v>
          </cell>
          <cell r="S195">
            <v>0.9375</v>
          </cell>
          <cell r="T195">
            <v>0.5</v>
          </cell>
          <cell r="U195">
            <v>1.73</v>
          </cell>
          <cell r="V195">
            <v>1.75</v>
          </cell>
          <cell r="W195">
            <v>1.73</v>
          </cell>
          <cell r="DZ195" t="str">
            <v>W14X257</v>
          </cell>
          <cell r="EA195">
            <v>257</v>
          </cell>
          <cell r="EB195">
            <v>75.599999999999994</v>
          </cell>
          <cell r="EC195">
            <v>16.399999999999999</v>
          </cell>
          <cell r="ED195" t="str">
            <v>16 3/8</v>
          </cell>
          <cell r="EE195">
            <v>1.18</v>
          </cell>
          <cell r="EF195" t="str">
            <v>1 3/16</v>
          </cell>
          <cell r="EG195">
            <v>45054</v>
          </cell>
          <cell r="EH195">
            <v>16</v>
          </cell>
          <cell r="EI195">
            <v>16</v>
          </cell>
          <cell r="EJ195">
            <v>1.89</v>
          </cell>
          <cell r="EK195" t="str">
            <v>1 7/8</v>
          </cell>
          <cell r="EL195">
            <v>4.2300000000000004</v>
          </cell>
          <cell r="EM195">
            <v>9.7100000000000009</v>
          </cell>
          <cell r="EN195">
            <v>3400</v>
          </cell>
          <cell r="EO195">
            <v>415</v>
          </cell>
          <cell r="EP195">
            <v>6.71</v>
          </cell>
          <cell r="EQ195">
            <v>487</v>
          </cell>
          <cell r="ER195">
            <v>1290</v>
          </cell>
          <cell r="ES195">
            <v>161</v>
          </cell>
          <cell r="ET195">
            <v>4.13</v>
          </cell>
        </row>
        <row r="196">
          <cell r="B196" t="str">
            <v>WT16.5X131.5</v>
          </cell>
          <cell r="C196" t="str">
            <v>WT16.5X131.5</v>
          </cell>
          <cell r="D196" t="str">
            <v>F</v>
          </cell>
          <cell r="E196">
            <v>131.5</v>
          </cell>
          <cell r="F196">
            <v>38.700000000000003</v>
          </cell>
          <cell r="G196" t="str">
            <v>WT16.5X131.5</v>
          </cell>
          <cell r="H196">
            <v>17.3</v>
          </cell>
          <cell r="I196">
            <v>17.25</v>
          </cell>
          <cell r="J196" t="str">
            <v>–</v>
          </cell>
          <cell r="K196" t="str">
            <v>–</v>
          </cell>
          <cell r="L196" t="str">
            <v>–</v>
          </cell>
          <cell r="M196">
            <v>15.8</v>
          </cell>
          <cell r="N196">
            <v>15.75</v>
          </cell>
          <cell r="O196" t="str">
            <v>–</v>
          </cell>
          <cell r="P196" t="str">
            <v>–</v>
          </cell>
          <cell r="Q196" t="str">
            <v>–</v>
          </cell>
          <cell r="R196">
            <v>0.87</v>
          </cell>
          <cell r="S196">
            <v>0.875</v>
          </cell>
          <cell r="T196">
            <v>0.4375</v>
          </cell>
          <cell r="U196">
            <v>1.57</v>
          </cell>
          <cell r="V196">
            <v>1.5625</v>
          </cell>
          <cell r="W196">
            <v>1.57</v>
          </cell>
          <cell r="DZ196" t="str">
            <v>W14X233</v>
          </cell>
          <cell r="EA196">
            <v>233</v>
          </cell>
          <cell r="EB196">
            <v>68.5</v>
          </cell>
          <cell r="EC196">
            <v>16</v>
          </cell>
          <cell r="ED196">
            <v>16</v>
          </cell>
          <cell r="EE196">
            <v>1.07</v>
          </cell>
          <cell r="EF196" t="str">
            <v>1 1/16</v>
          </cell>
          <cell r="EG196">
            <v>45185</v>
          </cell>
          <cell r="EH196">
            <v>15.9</v>
          </cell>
          <cell r="EI196" t="str">
            <v>15 7/8</v>
          </cell>
          <cell r="EJ196">
            <v>1.72</v>
          </cell>
          <cell r="EK196" t="str">
            <v>1 3/4</v>
          </cell>
          <cell r="EL196">
            <v>4.62</v>
          </cell>
          <cell r="EM196">
            <v>10.7</v>
          </cell>
          <cell r="EN196">
            <v>3010</v>
          </cell>
          <cell r="EO196">
            <v>375</v>
          </cell>
          <cell r="EP196">
            <v>6.63</v>
          </cell>
          <cell r="EQ196">
            <v>436</v>
          </cell>
          <cell r="ER196">
            <v>1150</v>
          </cell>
          <cell r="ES196">
            <v>145</v>
          </cell>
          <cell r="ET196">
            <v>4.0999999999999996</v>
          </cell>
        </row>
        <row r="197">
          <cell r="B197" t="str">
            <v>WT16.5X120.5</v>
          </cell>
          <cell r="C197" t="str">
            <v>WT16.5X120.5</v>
          </cell>
          <cell r="D197" t="str">
            <v>F</v>
          </cell>
          <cell r="E197">
            <v>120.5</v>
          </cell>
          <cell r="F197">
            <v>35.6</v>
          </cell>
          <cell r="G197" t="str">
            <v>WT16.5X120.5</v>
          </cell>
          <cell r="H197">
            <v>17.100000000000001</v>
          </cell>
          <cell r="I197">
            <v>17.125</v>
          </cell>
          <cell r="J197" t="str">
            <v>–</v>
          </cell>
          <cell r="K197" t="str">
            <v>–</v>
          </cell>
          <cell r="L197" t="str">
            <v>–</v>
          </cell>
          <cell r="M197">
            <v>15.9</v>
          </cell>
          <cell r="N197">
            <v>15.875</v>
          </cell>
          <cell r="O197" t="str">
            <v>–</v>
          </cell>
          <cell r="P197" t="str">
            <v>–</v>
          </cell>
          <cell r="Q197" t="str">
            <v>–</v>
          </cell>
          <cell r="R197">
            <v>0.83</v>
          </cell>
          <cell r="S197">
            <v>0.8125</v>
          </cell>
          <cell r="T197">
            <v>0.4375</v>
          </cell>
          <cell r="U197">
            <v>1.4</v>
          </cell>
          <cell r="V197">
            <v>1.375</v>
          </cell>
          <cell r="W197">
            <v>1.4</v>
          </cell>
          <cell r="DZ197" t="str">
            <v>W14X211</v>
          </cell>
          <cell r="EA197">
            <v>211</v>
          </cell>
          <cell r="EB197">
            <v>62</v>
          </cell>
          <cell r="EC197">
            <v>15.7</v>
          </cell>
          <cell r="ED197" t="str">
            <v>15 3/4</v>
          </cell>
          <cell r="EE197">
            <v>0.98</v>
          </cell>
          <cell r="EF197">
            <v>1</v>
          </cell>
          <cell r="EG197">
            <v>44928</v>
          </cell>
          <cell r="EH197">
            <v>15.8</v>
          </cell>
          <cell r="EI197" t="str">
            <v>15 3/4</v>
          </cell>
          <cell r="EJ197">
            <v>1.56</v>
          </cell>
          <cell r="EK197" t="str">
            <v>1 9/16</v>
          </cell>
          <cell r="EL197">
            <v>5.0599999999999996</v>
          </cell>
          <cell r="EM197">
            <v>11.6</v>
          </cell>
          <cell r="EN197">
            <v>2660</v>
          </cell>
          <cell r="EO197">
            <v>338</v>
          </cell>
          <cell r="EP197">
            <v>6.55</v>
          </cell>
          <cell r="EQ197">
            <v>390</v>
          </cell>
          <cell r="ER197">
            <v>1030</v>
          </cell>
          <cell r="ES197">
            <v>130</v>
          </cell>
          <cell r="ET197">
            <v>4.07</v>
          </cell>
        </row>
        <row r="198">
          <cell r="B198" t="str">
            <v>WT16.5X110.5</v>
          </cell>
          <cell r="C198" t="str">
            <v>WT16.5X110.5</v>
          </cell>
          <cell r="D198" t="str">
            <v>F</v>
          </cell>
          <cell r="E198">
            <v>110.5</v>
          </cell>
          <cell r="F198">
            <v>32.6</v>
          </cell>
          <cell r="G198" t="str">
            <v>WT16.5X110.5</v>
          </cell>
          <cell r="H198">
            <v>17</v>
          </cell>
          <cell r="I198">
            <v>17</v>
          </cell>
          <cell r="J198" t="str">
            <v>–</v>
          </cell>
          <cell r="K198" t="str">
            <v>–</v>
          </cell>
          <cell r="L198" t="str">
            <v>–</v>
          </cell>
          <cell r="M198">
            <v>15.8</v>
          </cell>
          <cell r="N198">
            <v>15.75</v>
          </cell>
          <cell r="O198" t="str">
            <v>–</v>
          </cell>
          <cell r="P198" t="str">
            <v>–</v>
          </cell>
          <cell r="Q198" t="str">
            <v>–</v>
          </cell>
          <cell r="R198">
            <v>0.77500000000000002</v>
          </cell>
          <cell r="S198">
            <v>0.75</v>
          </cell>
          <cell r="T198">
            <v>0.375</v>
          </cell>
          <cell r="U198">
            <v>1.28</v>
          </cell>
          <cell r="V198">
            <v>1.25</v>
          </cell>
          <cell r="W198">
            <v>1.28</v>
          </cell>
          <cell r="DZ198" t="str">
            <v>W14X193</v>
          </cell>
          <cell r="EA198">
            <v>193</v>
          </cell>
          <cell r="EB198">
            <v>56.8</v>
          </cell>
          <cell r="EC198">
            <v>15.5</v>
          </cell>
          <cell r="ED198" t="str">
            <v>15 1/2</v>
          </cell>
          <cell r="EE198">
            <v>0.89</v>
          </cell>
          <cell r="EF198">
            <v>45115</v>
          </cell>
          <cell r="EG198">
            <v>45123</v>
          </cell>
          <cell r="EH198">
            <v>15.7</v>
          </cell>
          <cell r="EI198" t="str">
            <v>15 3/4</v>
          </cell>
          <cell r="EJ198">
            <v>1.44</v>
          </cell>
          <cell r="EK198" t="str">
            <v>1 7/16</v>
          </cell>
          <cell r="EL198">
            <v>5.45</v>
          </cell>
          <cell r="EM198">
            <v>12.8</v>
          </cell>
          <cell r="EN198">
            <v>2400</v>
          </cell>
          <cell r="EO198">
            <v>310</v>
          </cell>
          <cell r="EP198">
            <v>6.5</v>
          </cell>
          <cell r="EQ198">
            <v>355</v>
          </cell>
          <cell r="ER198">
            <v>931</v>
          </cell>
          <cell r="ES198">
            <v>119</v>
          </cell>
          <cell r="ET198">
            <v>4.05</v>
          </cell>
        </row>
        <row r="199">
          <cell r="B199" t="str">
            <v>WT16.5X100.5</v>
          </cell>
          <cell r="C199" t="str">
            <v>WT16.5X100.5</v>
          </cell>
          <cell r="D199" t="str">
            <v>F</v>
          </cell>
          <cell r="E199">
            <v>100.5</v>
          </cell>
          <cell r="F199">
            <v>29.7</v>
          </cell>
          <cell r="G199" t="str">
            <v>WT16.5X100.5</v>
          </cell>
          <cell r="H199">
            <v>16.8</v>
          </cell>
          <cell r="I199">
            <v>16.875</v>
          </cell>
          <cell r="J199" t="str">
            <v>–</v>
          </cell>
          <cell r="K199" t="str">
            <v>–</v>
          </cell>
          <cell r="L199" t="str">
            <v>–</v>
          </cell>
          <cell r="M199">
            <v>15.7</v>
          </cell>
          <cell r="N199">
            <v>15.75</v>
          </cell>
          <cell r="O199" t="str">
            <v>–</v>
          </cell>
          <cell r="P199" t="str">
            <v>–</v>
          </cell>
          <cell r="Q199" t="str">
            <v>–</v>
          </cell>
          <cell r="R199">
            <v>0.71499999999999997</v>
          </cell>
          <cell r="S199">
            <v>0.6875</v>
          </cell>
          <cell r="T199">
            <v>0.375</v>
          </cell>
          <cell r="U199">
            <v>1.1499999999999999</v>
          </cell>
          <cell r="V199">
            <v>1.125</v>
          </cell>
          <cell r="W199">
            <v>1.1499999999999999</v>
          </cell>
          <cell r="DZ199" t="str">
            <v>W14X176</v>
          </cell>
          <cell r="EA199">
            <v>176</v>
          </cell>
          <cell r="EB199">
            <v>51.8</v>
          </cell>
          <cell r="EC199">
            <v>15.2</v>
          </cell>
          <cell r="ED199" t="str">
            <v>15 1/4</v>
          </cell>
          <cell r="EE199">
            <v>0.83</v>
          </cell>
          <cell r="EF199" t="str">
            <v>13/16</v>
          </cell>
          <cell r="EG199">
            <v>45123</v>
          </cell>
          <cell r="EH199">
            <v>15.7</v>
          </cell>
          <cell r="EI199" t="str">
            <v>15 5/8</v>
          </cell>
          <cell r="EJ199">
            <v>1.31</v>
          </cell>
          <cell r="EK199" t="str">
            <v>1 5/16</v>
          </cell>
          <cell r="EL199">
            <v>5.97</v>
          </cell>
          <cell r="EM199">
            <v>13.7</v>
          </cell>
          <cell r="EN199">
            <v>2140</v>
          </cell>
          <cell r="EO199">
            <v>281</v>
          </cell>
          <cell r="EP199">
            <v>6.43</v>
          </cell>
          <cell r="EQ199">
            <v>320</v>
          </cell>
          <cell r="ER199">
            <v>838</v>
          </cell>
          <cell r="ES199">
            <v>107</v>
          </cell>
          <cell r="ET199">
            <v>4.0199999999999996</v>
          </cell>
        </row>
        <row r="200">
          <cell r="B200" t="str">
            <v>WT16.5X84.5</v>
          </cell>
          <cell r="C200" t="str">
            <v>WT16.5X84.5</v>
          </cell>
          <cell r="D200" t="str">
            <v>F</v>
          </cell>
          <cell r="E200">
            <v>84.5</v>
          </cell>
          <cell r="F200">
            <v>24.7</v>
          </cell>
          <cell r="G200" t="str">
            <v>WT16.5X84.5</v>
          </cell>
          <cell r="H200">
            <v>16.899999999999999</v>
          </cell>
          <cell r="I200">
            <v>16.875</v>
          </cell>
          <cell r="J200" t="str">
            <v>–</v>
          </cell>
          <cell r="K200" t="str">
            <v>–</v>
          </cell>
          <cell r="L200" t="str">
            <v>–</v>
          </cell>
          <cell r="M200">
            <v>11.5</v>
          </cell>
          <cell r="N200">
            <v>11.5</v>
          </cell>
          <cell r="O200" t="str">
            <v>–</v>
          </cell>
          <cell r="P200" t="str">
            <v>–</v>
          </cell>
          <cell r="Q200" t="str">
            <v>–</v>
          </cell>
          <cell r="R200">
            <v>0.67</v>
          </cell>
          <cell r="S200">
            <v>0.6875</v>
          </cell>
          <cell r="T200">
            <v>0.375</v>
          </cell>
          <cell r="U200">
            <v>1.22</v>
          </cell>
          <cell r="V200">
            <v>1.25</v>
          </cell>
          <cell r="W200">
            <v>1.22</v>
          </cell>
          <cell r="DZ200" t="str">
            <v>W14X159</v>
          </cell>
          <cell r="EA200">
            <v>159</v>
          </cell>
          <cell r="EB200">
            <v>46.7</v>
          </cell>
          <cell r="EC200">
            <v>15</v>
          </cell>
          <cell r="ED200">
            <v>15</v>
          </cell>
          <cell r="EE200">
            <v>0.745</v>
          </cell>
          <cell r="EF200">
            <v>44989</v>
          </cell>
          <cell r="EG200">
            <v>44993</v>
          </cell>
          <cell r="EH200">
            <v>15.6</v>
          </cell>
          <cell r="EI200" t="str">
            <v>15 5/8</v>
          </cell>
          <cell r="EJ200">
            <v>1.19</v>
          </cell>
          <cell r="EK200" t="str">
            <v>1 3/16</v>
          </cell>
          <cell r="EL200">
            <v>6.54</v>
          </cell>
          <cell r="EM200">
            <v>15.3</v>
          </cell>
          <cell r="EN200">
            <v>1900</v>
          </cell>
          <cell r="EO200">
            <v>254</v>
          </cell>
          <cell r="EP200">
            <v>6.38</v>
          </cell>
          <cell r="EQ200">
            <v>287</v>
          </cell>
          <cell r="ER200">
            <v>748</v>
          </cell>
          <cell r="ES200">
            <v>96.2</v>
          </cell>
          <cell r="ET200">
            <v>4</v>
          </cell>
        </row>
        <row r="201">
          <cell r="B201" t="str">
            <v>WT16.5X76</v>
          </cell>
          <cell r="C201" t="str">
            <v>WT16.5X76</v>
          </cell>
          <cell r="D201" t="str">
            <v>F</v>
          </cell>
          <cell r="E201">
            <v>76</v>
          </cell>
          <cell r="F201">
            <v>22.5</v>
          </cell>
          <cell r="G201" t="str">
            <v>WT16.5X76</v>
          </cell>
          <cell r="H201">
            <v>16.7</v>
          </cell>
          <cell r="I201">
            <v>16.75</v>
          </cell>
          <cell r="J201" t="str">
            <v>–</v>
          </cell>
          <cell r="K201" t="str">
            <v>–</v>
          </cell>
          <cell r="L201" t="str">
            <v>–</v>
          </cell>
          <cell r="M201">
            <v>11.6</v>
          </cell>
          <cell r="N201">
            <v>11.625</v>
          </cell>
          <cell r="O201" t="str">
            <v>–</v>
          </cell>
          <cell r="P201" t="str">
            <v>–</v>
          </cell>
          <cell r="Q201" t="str">
            <v>–</v>
          </cell>
          <cell r="R201">
            <v>0.63500000000000001</v>
          </cell>
          <cell r="S201">
            <v>0.625</v>
          </cell>
          <cell r="T201">
            <v>0.3125</v>
          </cell>
          <cell r="U201">
            <v>1.06</v>
          </cell>
          <cell r="V201">
            <v>1.0625</v>
          </cell>
          <cell r="W201">
            <v>1.06</v>
          </cell>
          <cell r="DZ201" t="str">
            <v>W14X145</v>
          </cell>
          <cell r="EA201">
            <v>145</v>
          </cell>
          <cell r="EB201">
            <v>42.7</v>
          </cell>
          <cell r="EC201">
            <v>14.8</v>
          </cell>
          <cell r="ED201" t="str">
            <v>14 3/4</v>
          </cell>
          <cell r="EE201">
            <v>0.68</v>
          </cell>
          <cell r="EF201">
            <v>45246</v>
          </cell>
          <cell r="EG201">
            <v>44993</v>
          </cell>
          <cell r="EH201">
            <v>15.5</v>
          </cell>
          <cell r="EI201" t="str">
            <v>15 1/2</v>
          </cell>
          <cell r="EJ201">
            <v>1.0900000000000001</v>
          </cell>
          <cell r="EK201" t="str">
            <v>1 1/16</v>
          </cell>
          <cell r="EL201">
            <v>7.11</v>
          </cell>
          <cell r="EM201">
            <v>16.8</v>
          </cell>
          <cell r="EN201">
            <v>1710</v>
          </cell>
          <cell r="EO201">
            <v>232</v>
          </cell>
          <cell r="EP201">
            <v>6.33</v>
          </cell>
          <cell r="EQ201">
            <v>260</v>
          </cell>
          <cell r="ER201">
            <v>677</v>
          </cell>
          <cell r="ES201">
            <v>87.3</v>
          </cell>
          <cell r="ET201">
            <v>3.98</v>
          </cell>
        </row>
        <row r="202">
          <cell r="B202" t="str">
            <v>WT16.5X70.5</v>
          </cell>
          <cell r="C202" t="str">
            <v>WT16.5X70.5</v>
          </cell>
          <cell r="D202" t="str">
            <v>F</v>
          </cell>
          <cell r="E202">
            <v>70.5</v>
          </cell>
          <cell r="F202">
            <v>20.7</v>
          </cell>
          <cell r="G202" t="str">
            <v>WT16.5X70.5</v>
          </cell>
          <cell r="H202">
            <v>16.7</v>
          </cell>
          <cell r="I202">
            <v>16.625</v>
          </cell>
          <cell r="J202" t="str">
            <v>–</v>
          </cell>
          <cell r="K202" t="str">
            <v>–</v>
          </cell>
          <cell r="L202" t="str">
            <v>–</v>
          </cell>
          <cell r="M202">
            <v>11.5</v>
          </cell>
          <cell r="N202">
            <v>11.5</v>
          </cell>
          <cell r="O202" t="str">
            <v>–</v>
          </cell>
          <cell r="P202" t="str">
            <v>–</v>
          </cell>
          <cell r="Q202" t="str">
            <v>–</v>
          </cell>
          <cell r="R202">
            <v>0.60499999999999998</v>
          </cell>
          <cell r="S202">
            <v>0.625</v>
          </cell>
          <cell r="T202">
            <v>0.3125</v>
          </cell>
          <cell r="U202">
            <v>0.96</v>
          </cell>
          <cell r="V202">
            <v>0.9375</v>
          </cell>
          <cell r="W202">
            <v>0.96</v>
          </cell>
          <cell r="DZ202" t="str">
            <v>W14X132</v>
          </cell>
          <cell r="EA202">
            <v>132</v>
          </cell>
          <cell r="EB202">
            <v>38.799999999999997</v>
          </cell>
          <cell r="EC202">
            <v>14.7</v>
          </cell>
          <cell r="ED202" t="str">
            <v>14 5/8</v>
          </cell>
          <cell r="EE202">
            <v>0.64500000000000002</v>
          </cell>
          <cell r="EF202">
            <v>45054</v>
          </cell>
          <cell r="EG202">
            <v>45062</v>
          </cell>
          <cell r="EH202">
            <v>14.7</v>
          </cell>
          <cell r="EI202" t="str">
            <v>14 3/4</v>
          </cell>
          <cell r="EJ202">
            <v>1.03</v>
          </cell>
          <cell r="EK202">
            <v>1</v>
          </cell>
          <cell r="EL202">
            <v>7.15</v>
          </cell>
          <cell r="EM202">
            <v>17.7</v>
          </cell>
          <cell r="EN202">
            <v>1530</v>
          </cell>
          <cell r="EO202">
            <v>209</v>
          </cell>
          <cell r="EP202">
            <v>6.28</v>
          </cell>
          <cell r="EQ202">
            <v>234</v>
          </cell>
          <cell r="ER202">
            <v>548</v>
          </cell>
          <cell r="ES202">
            <v>74.5</v>
          </cell>
          <cell r="ET202">
            <v>3.76</v>
          </cell>
        </row>
        <row r="203">
          <cell r="B203" t="str">
            <v>WT16.5X65</v>
          </cell>
          <cell r="C203" t="str">
            <v>WT16.5X65</v>
          </cell>
          <cell r="D203" t="str">
            <v>F</v>
          </cell>
          <cell r="E203">
            <v>65</v>
          </cell>
          <cell r="F203">
            <v>19.100000000000001</v>
          </cell>
          <cell r="G203" t="str">
            <v>WT16.5X65</v>
          </cell>
          <cell r="H203">
            <v>16.5</v>
          </cell>
          <cell r="I203">
            <v>16.5</v>
          </cell>
          <cell r="J203" t="str">
            <v>–</v>
          </cell>
          <cell r="K203" t="str">
            <v>–</v>
          </cell>
          <cell r="L203" t="str">
            <v>–</v>
          </cell>
          <cell r="M203">
            <v>11.5</v>
          </cell>
          <cell r="N203">
            <v>11.5</v>
          </cell>
          <cell r="O203" t="str">
            <v>–</v>
          </cell>
          <cell r="P203" t="str">
            <v>–</v>
          </cell>
          <cell r="Q203" t="str">
            <v>–</v>
          </cell>
          <cell r="R203">
            <v>0.57999999999999996</v>
          </cell>
          <cell r="S203">
            <v>0.5625</v>
          </cell>
          <cell r="T203">
            <v>0.3125</v>
          </cell>
          <cell r="U203">
            <v>0.85499999999999998</v>
          </cell>
          <cell r="V203">
            <v>0.875</v>
          </cell>
          <cell r="W203">
            <v>0.85499999999999998</v>
          </cell>
          <cell r="DZ203" t="str">
            <v>W14X120</v>
          </cell>
          <cell r="EA203">
            <v>120</v>
          </cell>
          <cell r="EB203">
            <v>35.299999999999997</v>
          </cell>
          <cell r="EC203">
            <v>14.5</v>
          </cell>
          <cell r="ED203" t="str">
            <v>14 1/2</v>
          </cell>
          <cell r="EE203">
            <v>0.59</v>
          </cell>
          <cell r="EF203">
            <v>45185</v>
          </cell>
          <cell r="EG203">
            <v>45062</v>
          </cell>
          <cell r="EH203">
            <v>14.7</v>
          </cell>
          <cell r="EI203" t="str">
            <v>14 5/8</v>
          </cell>
          <cell r="EJ203">
            <v>0.94</v>
          </cell>
          <cell r="EK203" t="str">
            <v>15/16</v>
          </cell>
          <cell r="EL203">
            <v>7.8</v>
          </cell>
          <cell r="EM203">
            <v>19.3</v>
          </cell>
          <cell r="EN203">
            <v>1380</v>
          </cell>
          <cell r="EO203">
            <v>190</v>
          </cell>
          <cell r="EP203">
            <v>6.24</v>
          </cell>
          <cell r="EQ203">
            <v>212</v>
          </cell>
          <cell r="ER203">
            <v>495</v>
          </cell>
          <cell r="ES203">
            <v>67.5</v>
          </cell>
          <cell r="ET203">
            <v>3.74</v>
          </cell>
        </row>
        <row r="204">
          <cell r="B204" t="str">
            <v>WT16.5X59</v>
          </cell>
          <cell r="C204" t="str">
            <v>WT16.5X59</v>
          </cell>
          <cell r="D204" t="str">
            <v>F</v>
          </cell>
          <cell r="E204">
            <v>59</v>
          </cell>
          <cell r="F204">
            <v>17.399999999999999</v>
          </cell>
          <cell r="G204" t="str">
            <v>WT16.5X59</v>
          </cell>
          <cell r="H204">
            <v>16.399999999999999</v>
          </cell>
          <cell r="I204">
            <v>16.375</v>
          </cell>
          <cell r="J204" t="str">
            <v>–</v>
          </cell>
          <cell r="K204" t="str">
            <v>–</v>
          </cell>
          <cell r="L204" t="str">
            <v>–</v>
          </cell>
          <cell r="M204">
            <v>11.5</v>
          </cell>
          <cell r="N204">
            <v>11.5</v>
          </cell>
          <cell r="O204" t="str">
            <v>–</v>
          </cell>
          <cell r="P204" t="str">
            <v>–</v>
          </cell>
          <cell r="Q204" t="str">
            <v>–</v>
          </cell>
          <cell r="R204">
            <v>0.55000000000000004</v>
          </cell>
          <cell r="S204">
            <v>0.5625</v>
          </cell>
          <cell r="T204">
            <v>0.3125</v>
          </cell>
          <cell r="U204">
            <v>0.74</v>
          </cell>
          <cell r="V204">
            <v>0.75</v>
          </cell>
          <cell r="W204">
            <v>0.74</v>
          </cell>
          <cell r="DZ204" t="str">
            <v>W14X109</v>
          </cell>
          <cell r="EA204">
            <v>109</v>
          </cell>
          <cell r="EB204">
            <v>32</v>
          </cell>
          <cell r="EC204">
            <v>14.3</v>
          </cell>
          <cell r="ED204" t="str">
            <v>14 3/8</v>
          </cell>
          <cell r="EE204">
            <v>0.52500000000000002</v>
          </cell>
          <cell r="EF204">
            <v>44928</v>
          </cell>
          <cell r="EG204">
            <v>44930</v>
          </cell>
          <cell r="EH204">
            <v>14.6</v>
          </cell>
          <cell r="EI204" t="str">
            <v>14 5/8</v>
          </cell>
          <cell r="EJ204">
            <v>0.86</v>
          </cell>
          <cell r="EK204">
            <v>45115</v>
          </cell>
          <cell r="EL204">
            <v>8.49</v>
          </cell>
          <cell r="EM204">
            <v>21.7</v>
          </cell>
          <cell r="EN204">
            <v>1240</v>
          </cell>
          <cell r="EO204">
            <v>173</v>
          </cell>
          <cell r="EP204">
            <v>6.22</v>
          </cell>
          <cell r="EQ204">
            <v>192</v>
          </cell>
          <cell r="ER204">
            <v>447</v>
          </cell>
          <cell r="ES204">
            <v>61.2</v>
          </cell>
          <cell r="ET204">
            <v>3.73</v>
          </cell>
        </row>
        <row r="205">
          <cell r="B205" t="str">
            <v>WT15X195.5</v>
          </cell>
          <cell r="C205" t="str">
            <v>WT15X195.5</v>
          </cell>
          <cell r="D205" t="str">
            <v>T</v>
          </cell>
          <cell r="E205">
            <v>195.5</v>
          </cell>
          <cell r="F205">
            <v>57.6</v>
          </cell>
          <cell r="G205" t="str">
            <v>WT15X195.5</v>
          </cell>
          <cell r="H205">
            <v>16.600000000000001</v>
          </cell>
          <cell r="I205">
            <v>16.625</v>
          </cell>
          <cell r="J205" t="str">
            <v>–</v>
          </cell>
          <cell r="K205" t="str">
            <v>–</v>
          </cell>
          <cell r="L205" t="str">
            <v>–</v>
          </cell>
          <cell r="M205">
            <v>15.6</v>
          </cell>
          <cell r="N205">
            <v>15.625</v>
          </cell>
          <cell r="O205" t="str">
            <v>–</v>
          </cell>
          <cell r="P205" t="str">
            <v>–</v>
          </cell>
          <cell r="Q205" t="str">
            <v>–</v>
          </cell>
          <cell r="R205">
            <v>1.36</v>
          </cell>
          <cell r="S205">
            <v>1.375</v>
          </cell>
          <cell r="T205">
            <v>0.6875</v>
          </cell>
          <cell r="U205">
            <v>2.44</v>
          </cell>
          <cell r="V205">
            <v>2.4375</v>
          </cell>
          <cell r="W205">
            <v>2.44</v>
          </cell>
          <cell r="DZ205" t="str">
            <v>W14X99</v>
          </cell>
          <cell r="EA205">
            <v>99</v>
          </cell>
          <cell r="EB205">
            <v>29.1</v>
          </cell>
          <cell r="EC205">
            <v>14.2</v>
          </cell>
          <cell r="ED205" t="str">
            <v>14 1/8</v>
          </cell>
          <cell r="EE205">
            <v>0.48499999999999999</v>
          </cell>
          <cell r="EF205">
            <v>44928</v>
          </cell>
          <cell r="EG205">
            <v>44930</v>
          </cell>
          <cell r="EH205">
            <v>14.6</v>
          </cell>
          <cell r="EI205" t="str">
            <v>14 5/8</v>
          </cell>
          <cell r="EJ205">
            <v>0.78</v>
          </cell>
          <cell r="EK205">
            <v>44989</v>
          </cell>
          <cell r="EL205">
            <v>9.34</v>
          </cell>
          <cell r="EM205">
            <v>23.5</v>
          </cell>
          <cell r="EN205">
            <v>1110</v>
          </cell>
          <cell r="EO205">
            <v>157</v>
          </cell>
          <cell r="EP205">
            <v>6.17</v>
          </cell>
          <cell r="EQ205">
            <v>173</v>
          </cell>
          <cell r="ER205">
            <v>402</v>
          </cell>
          <cell r="ES205">
            <v>55.2</v>
          </cell>
          <cell r="ET205">
            <v>3.71</v>
          </cell>
        </row>
        <row r="206">
          <cell r="B206" t="str">
            <v>WT15X178.5</v>
          </cell>
          <cell r="C206" t="str">
            <v>WT15X178.5</v>
          </cell>
          <cell r="D206" t="str">
            <v>T</v>
          </cell>
          <cell r="E206">
            <v>178.5</v>
          </cell>
          <cell r="F206">
            <v>52.5</v>
          </cell>
          <cell r="G206" t="str">
            <v>WT15X178.5</v>
          </cell>
          <cell r="H206">
            <v>16.399999999999999</v>
          </cell>
          <cell r="I206">
            <v>16.375</v>
          </cell>
          <cell r="J206" t="str">
            <v>–</v>
          </cell>
          <cell r="K206" t="str">
            <v>–</v>
          </cell>
          <cell r="L206" t="str">
            <v>–</v>
          </cell>
          <cell r="M206">
            <v>15.5</v>
          </cell>
          <cell r="N206">
            <v>15.5</v>
          </cell>
          <cell r="O206" t="str">
            <v>–</v>
          </cell>
          <cell r="P206" t="str">
            <v>–</v>
          </cell>
          <cell r="Q206" t="str">
            <v>–</v>
          </cell>
          <cell r="R206">
            <v>1.24</v>
          </cell>
          <cell r="S206">
            <v>1.25</v>
          </cell>
          <cell r="T206">
            <v>0.625</v>
          </cell>
          <cell r="U206">
            <v>2.2400000000000002</v>
          </cell>
          <cell r="V206">
            <v>2.25</v>
          </cell>
          <cell r="W206">
            <v>2.2400000000000002</v>
          </cell>
          <cell r="DZ206" t="str">
            <v>W14X90</v>
          </cell>
          <cell r="EA206">
            <v>90</v>
          </cell>
          <cell r="EB206">
            <v>26.5</v>
          </cell>
          <cell r="EC206">
            <v>14</v>
          </cell>
          <cell r="ED206">
            <v>14</v>
          </cell>
          <cell r="EE206">
            <v>0.44</v>
          </cell>
          <cell r="EF206">
            <v>45123</v>
          </cell>
          <cell r="EG206">
            <v>44930</v>
          </cell>
          <cell r="EH206">
            <v>14.5</v>
          </cell>
          <cell r="EI206" t="str">
            <v>14 1/2</v>
          </cell>
          <cell r="EJ206">
            <v>0.71</v>
          </cell>
          <cell r="EK206">
            <v>45246</v>
          </cell>
          <cell r="EL206">
            <v>10.199999999999999</v>
          </cell>
          <cell r="EM206">
            <v>25.9</v>
          </cell>
          <cell r="EN206">
            <v>999</v>
          </cell>
          <cell r="EO206">
            <v>143</v>
          </cell>
          <cell r="EP206">
            <v>6.14</v>
          </cell>
          <cell r="EQ206">
            <v>157</v>
          </cell>
          <cell r="ER206">
            <v>362</v>
          </cell>
          <cell r="ES206">
            <v>49.9</v>
          </cell>
          <cell r="ET206">
            <v>3.7</v>
          </cell>
        </row>
        <row r="207">
          <cell r="B207" t="str">
            <v>WT15X163</v>
          </cell>
          <cell r="C207" t="str">
            <v>WT15X163</v>
          </cell>
          <cell r="D207" t="str">
            <v>T</v>
          </cell>
          <cell r="E207">
            <v>163</v>
          </cell>
          <cell r="F207">
            <v>48</v>
          </cell>
          <cell r="G207" t="str">
            <v>WT15X163</v>
          </cell>
          <cell r="H207">
            <v>16.2</v>
          </cell>
          <cell r="I207">
            <v>16.25</v>
          </cell>
          <cell r="J207" t="str">
            <v>–</v>
          </cell>
          <cell r="K207" t="str">
            <v>–</v>
          </cell>
          <cell r="L207" t="str">
            <v>–</v>
          </cell>
          <cell r="M207">
            <v>15.4</v>
          </cell>
          <cell r="N207">
            <v>15.375</v>
          </cell>
          <cell r="O207" t="str">
            <v>–</v>
          </cell>
          <cell r="P207" t="str">
            <v>–</v>
          </cell>
          <cell r="Q207" t="str">
            <v>–</v>
          </cell>
          <cell r="R207">
            <v>1.1399999999999999</v>
          </cell>
          <cell r="S207">
            <v>1.125</v>
          </cell>
          <cell r="T207">
            <v>0.5625</v>
          </cell>
          <cell r="U207">
            <v>2.0499999999999998</v>
          </cell>
          <cell r="V207">
            <v>2.0625</v>
          </cell>
          <cell r="W207">
            <v>2.0499999999999998</v>
          </cell>
          <cell r="DZ207" t="str">
            <v>W14X82</v>
          </cell>
          <cell r="EA207">
            <v>82</v>
          </cell>
          <cell r="EB207">
            <v>24</v>
          </cell>
          <cell r="EC207">
            <v>14.3</v>
          </cell>
          <cell r="ED207" t="str">
            <v>14 1/4</v>
          </cell>
          <cell r="EE207">
            <v>0.51</v>
          </cell>
          <cell r="EF207">
            <v>44928</v>
          </cell>
          <cell r="EG207">
            <v>44930</v>
          </cell>
          <cell r="EH207">
            <v>10.1</v>
          </cell>
          <cell r="EI207" t="str">
            <v>10 1/8</v>
          </cell>
          <cell r="EJ207">
            <v>0.85499999999999998</v>
          </cell>
          <cell r="EK207">
            <v>45115</v>
          </cell>
          <cell r="EL207">
            <v>5.92</v>
          </cell>
          <cell r="EM207">
            <v>22.4</v>
          </cell>
          <cell r="EN207">
            <v>881</v>
          </cell>
          <cell r="EO207">
            <v>123</v>
          </cell>
          <cell r="EP207">
            <v>6.05</v>
          </cell>
          <cell r="EQ207">
            <v>139</v>
          </cell>
          <cell r="ER207">
            <v>148</v>
          </cell>
          <cell r="ES207">
            <v>29.3</v>
          </cell>
          <cell r="ET207">
            <v>2.48</v>
          </cell>
        </row>
        <row r="208">
          <cell r="B208" t="str">
            <v>WT15X146</v>
          </cell>
          <cell r="C208" t="str">
            <v>WT15X146</v>
          </cell>
          <cell r="D208" t="str">
            <v>F</v>
          </cell>
          <cell r="E208">
            <v>146</v>
          </cell>
          <cell r="F208">
            <v>43</v>
          </cell>
          <cell r="G208" t="str">
            <v>WT15X146</v>
          </cell>
          <cell r="H208">
            <v>16</v>
          </cell>
          <cell r="I208">
            <v>16</v>
          </cell>
          <cell r="J208" t="str">
            <v>–</v>
          </cell>
          <cell r="K208" t="str">
            <v>–</v>
          </cell>
          <cell r="L208" t="str">
            <v>–</v>
          </cell>
          <cell r="M208">
            <v>15.3</v>
          </cell>
          <cell r="N208">
            <v>15.25</v>
          </cell>
          <cell r="O208" t="str">
            <v>–</v>
          </cell>
          <cell r="P208" t="str">
            <v>–</v>
          </cell>
          <cell r="Q208" t="str">
            <v>–</v>
          </cell>
          <cell r="R208">
            <v>1.02</v>
          </cell>
          <cell r="S208">
            <v>1</v>
          </cell>
          <cell r="T208">
            <v>0.5</v>
          </cell>
          <cell r="U208">
            <v>1.85</v>
          </cell>
          <cell r="V208">
            <v>1.875</v>
          </cell>
          <cell r="W208">
            <v>1.85</v>
          </cell>
          <cell r="DZ208" t="str">
            <v>W14X74</v>
          </cell>
          <cell r="EA208">
            <v>74</v>
          </cell>
          <cell r="EB208">
            <v>21.8</v>
          </cell>
          <cell r="EC208">
            <v>14.2</v>
          </cell>
          <cell r="ED208" t="str">
            <v>14 1/8</v>
          </cell>
          <cell r="EE208">
            <v>0.45</v>
          </cell>
          <cell r="EF208">
            <v>45123</v>
          </cell>
          <cell r="EG208">
            <v>44930</v>
          </cell>
          <cell r="EH208">
            <v>10.1</v>
          </cell>
          <cell r="EI208" t="str">
            <v>10 1/8</v>
          </cell>
          <cell r="EJ208">
            <v>0.78500000000000003</v>
          </cell>
          <cell r="EK208" t="str">
            <v>13/16</v>
          </cell>
          <cell r="EL208">
            <v>6.41</v>
          </cell>
          <cell r="EM208">
            <v>25.4</v>
          </cell>
          <cell r="EN208">
            <v>795</v>
          </cell>
          <cell r="EO208">
            <v>112</v>
          </cell>
          <cell r="EP208">
            <v>6.04</v>
          </cell>
          <cell r="EQ208">
            <v>126</v>
          </cell>
          <cell r="ER208">
            <v>134</v>
          </cell>
          <cell r="ES208">
            <v>26.6</v>
          </cell>
          <cell r="ET208">
            <v>2.48</v>
          </cell>
        </row>
        <row r="209">
          <cell r="B209" t="str">
            <v>WT15X130.5</v>
          </cell>
          <cell r="C209" t="str">
            <v>WT15X130.5</v>
          </cell>
          <cell r="D209" t="str">
            <v>F</v>
          </cell>
          <cell r="E209">
            <v>130.5</v>
          </cell>
          <cell r="F209">
            <v>38.5</v>
          </cell>
          <cell r="G209" t="str">
            <v>WT15X130.5</v>
          </cell>
          <cell r="H209">
            <v>15.8</v>
          </cell>
          <cell r="I209">
            <v>15.75</v>
          </cell>
          <cell r="J209" t="str">
            <v>–</v>
          </cell>
          <cell r="K209" t="str">
            <v>–</v>
          </cell>
          <cell r="L209" t="str">
            <v>–</v>
          </cell>
          <cell r="M209">
            <v>15.2</v>
          </cell>
          <cell r="N209">
            <v>15.125</v>
          </cell>
          <cell r="O209" t="str">
            <v>–</v>
          </cell>
          <cell r="P209" t="str">
            <v>–</v>
          </cell>
          <cell r="Q209" t="str">
            <v>–</v>
          </cell>
          <cell r="R209">
            <v>0.93</v>
          </cell>
          <cell r="S209">
            <v>0.9375</v>
          </cell>
          <cell r="T209">
            <v>0.5</v>
          </cell>
          <cell r="U209">
            <v>1.65</v>
          </cell>
          <cell r="V209">
            <v>1.625</v>
          </cell>
          <cell r="W209">
            <v>1.65</v>
          </cell>
          <cell r="DZ209" t="str">
            <v>W14X68</v>
          </cell>
          <cell r="EA209">
            <v>68</v>
          </cell>
          <cell r="EB209">
            <v>20</v>
          </cell>
          <cell r="EC209">
            <v>14</v>
          </cell>
          <cell r="ED209">
            <v>14</v>
          </cell>
          <cell r="EE209">
            <v>0.41499999999999998</v>
          </cell>
          <cell r="EF209">
            <v>45123</v>
          </cell>
          <cell r="EG209">
            <v>44930</v>
          </cell>
          <cell r="EH209">
            <v>10</v>
          </cell>
          <cell r="EI209">
            <v>10</v>
          </cell>
          <cell r="EJ209">
            <v>0.72</v>
          </cell>
          <cell r="EK209">
            <v>44989</v>
          </cell>
          <cell r="EL209">
            <v>6.97</v>
          </cell>
          <cell r="EM209">
            <v>27.5</v>
          </cell>
          <cell r="EN209">
            <v>722</v>
          </cell>
          <cell r="EO209">
            <v>103</v>
          </cell>
          <cell r="EP209">
            <v>6.01</v>
          </cell>
          <cell r="EQ209">
            <v>115</v>
          </cell>
          <cell r="ER209">
            <v>121</v>
          </cell>
          <cell r="ES209">
            <v>24.2</v>
          </cell>
          <cell r="ET209">
            <v>2.46</v>
          </cell>
        </row>
        <row r="210">
          <cell r="B210" t="str">
            <v>WT15X117.5</v>
          </cell>
          <cell r="C210" t="str">
            <v>WT15X117.5</v>
          </cell>
          <cell r="D210" t="str">
            <v>F</v>
          </cell>
          <cell r="E210">
            <v>117.5</v>
          </cell>
          <cell r="F210">
            <v>34.700000000000003</v>
          </cell>
          <cell r="G210" t="str">
            <v>WT15X117.5</v>
          </cell>
          <cell r="H210">
            <v>15.7</v>
          </cell>
          <cell r="I210">
            <v>15.625</v>
          </cell>
          <cell r="J210" t="str">
            <v>–</v>
          </cell>
          <cell r="K210" t="str">
            <v>–</v>
          </cell>
          <cell r="L210" t="str">
            <v>–</v>
          </cell>
          <cell r="M210">
            <v>15.1</v>
          </cell>
          <cell r="N210">
            <v>15</v>
          </cell>
          <cell r="O210" t="str">
            <v>–</v>
          </cell>
          <cell r="P210" t="str">
            <v>–</v>
          </cell>
          <cell r="Q210" t="str">
            <v>–</v>
          </cell>
          <cell r="R210">
            <v>0.83</v>
          </cell>
          <cell r="S210">
            <v>0.8125</v>
          </cell>
          <cell r="T210">
            <v>0.4375</v>
          </cell>
          <cell r="U210">
            <v>1.5</v>
          </cell>
          <cell r="V210">
            <v>1.5</v>
          </cell>
          <cell r="W210">
            <v>1.5</v>
          </cell>
          <cell r="DZ210" t="str">
            <v>W14X61</v>
          </cell>
          <cell r="EA210">
            <v>61</v>
          </cell>
          <cell r="EB210">
            <v>17.899999999999999</v>
          </cell>
          <cell r="EC210">
            <v>13.9</v>
          </cell>
          <cell r="ED210" t="str">
            <v>13 7/8</v>
          </cell>
          <cell r="EE210">
            <v>0.375</v>
          </cell>
          <cell r="EF210">
            <v>44993</v>
          </cell>
          <cell r="EG210">
            <v>45001</v>
          </cell>
          <cell r="EH210">
            <v>10</v>
          </cell>
          <cell r="EI210">
            <v>10</v>
          </cell>
          <cell r="EJ210">
            <v>0.64500000000000002</v>
          </cell>
          <cell r="EK210">
            <v>45054</v>
          </cell>
          <cell r="EL210">
            <v>7.75</v>
          </cell>
          <cell r="EM210">
            <v>30.4</v>
          </cell>
          <cell r="EN210">
            <v>640</v>
          </cell>
          <cell r="EO210">
            <v>92.1</v>
          </cell>
          <cell r="EP210">
            <v>5.98</v>
          </cell>
          <cell r="EQ210">
            <v>102</v>
          </cell>
          <cell r="ER210">
            <v>107</v>
          </cell>
          <cell r="ES210">
            <v>21.5</v>
          </cell>
          <cell r="ET210">
            <v>2.4500000000000002</v>
          </cell>
        </row>
        <row r="211">
          <cell r="B211" t="str">
            <v>WT15X105.5</v>
          </cell>
          <cell r="C211" t="str">
            <v>WT15X105.5</v>
          </cell>
          <cell r="D211" t="str">
            <v>F</v>
          </cell>
          <cell r="E211">
            <v>105.5</v>
          </cell>
          <cell r="F211">
            <v>31.1</v>
          </cell>
          <cell r="G211" t="str">
            <v>WT15X105.5</v>
          </cell>
          <cell r="H211">
            <v>15.5</v>
          </cell>
          <cell r="I211">
            <v>15.5</v>
          </cell>
          <cell r="J211" t="str">
            <v>–</v>
          </cell>
          <cell r="K211" t="str">
            <v>–</v>
          </cell>
          <cell r="L211" t="str">
            <v>–</v>
          </cell>
          <cell r="M211">
            <v>15.1</v>
          </cell>
          <cell r="N211">
            <v>15.125</v>
          </cell>
          <cell r="O211" t="str">
            <v>–</v>
          </cell>
          <cell r="P211" t="str">
            <v>–</v>
          </cell>
          <cell r="Q211" t="str">
            <v>–</v>
          </cell>
          <cell r="R211">
            <v>0.77500000000000002</v>
          </cell>
          <cell r="S211">
            <v>0.75</v>
          </cell>
          <cell r="T211">
            <v>0.375</v>
          </cell>
          <cell r="U211">
            <v>1.32</v>
          </cell>
          <cell r="V211">
            <v>1.3125</v>
          </cell>
          <cell r="W211">
            <v>1.32</v>
          </cell>
          <cell r="DZ211" t="str">
            <v>W14X53</v>
          </cell>
          <cell r="EA211">
            <v>53</v>
          </cell>
          <cell r="EB211">
            <v>15.6</v>
          </cell>
          <cell r="EC211">
            <v>13.9</v>
          </cell>
          <cell r="ED211" t="str">
            <v>13 7/8</v>
          </cell>
          <cell r="EE211">
            <v>0.37</v>
          </cell>
          <cell r="EF211">
            <v>44993</v>
          </cell>
          <cell r="EG211">
            <v>45001</v>
          </cell>
          <cell r="EH211">
            <v>8.06</v>
          </cell>
          <cell r="EI211">
            <v>8</v>
          </cell>
          <cell r="EJ211">
            <v>0.66</v>
          </cell>
          <cell r="EK211">
            <v>45246</v>
          </cell>
          <cell r="EL211">
            <v>6.11</v>
          </cell>
          <cell r="EM211">
            <v>30.9</v>
          </cell>
          <cell r="EN211">
            <v>541</v>
          </cell>
          <cell r="EO211">
            <v>77.8</v>
          </cell>
          <cell r="EP211">
            <v>5.89</v>
          </cell>
          <cell r="EQ211">
            <v>87.1</v>
          </cell>
          <cell r="ER211">
            <v>57.7</v>
          </cell>
          <cell r="ES211">
            <v>14.3</v>
          </cell>
          <cell r="ET211">
            <v>1.92</v>
          </cell>
        </row>
        <row r="212">
          <cell r="B212" t="str">
            <v>WT15X95.5</v>
          </cell>
          <cell r="C212" t="str">
            <v>WT15X95.5</v>
          </cell>
          <cell r="D212" t="str">
            <v>F</v>
          </cell>
          <cell r="E212">
            <v>95.5</v>
          </cell>
          <cell r="F212">
            <v>28</v>
          </cell>
          <cell r="G212" t="str">
            <v>WT15X95.5</v>
          </cell>
          <cell r="H212">
            <v>15.3</v>
          </cell>
          <cell r="I212">
            <v>15.375</v>
          </cell>
          <cell r="J212" t="str">
            <v>–</v>
          </cell>
          <cell r="K212" t="str">
            <v>–</v>
          </cell>
          <cell r="L212" t="str">
            <v>–</v>
          </cell>
          <cell r="M212">
            <v>15</v>
          </cell>
          <cell r="N212">
            <v>15</v>
          </cell>
          <cell r="O212" t="str">
            <v>–</v>
          </cell>
          <cell r="P212" t="str">
            <v>–</v>
          </cell>
          <cell r="Q212" t="str">
            <v>–</v>
          </cell>
          <cell r="R212">
            <v>0.71</v>
          </cell>
          <cell r="S212">
            <v>0.6875</v>
          </cell>
          <cell r="T212">
            <v>0.375</v>
          </cell>
          <cell r="U212">
            <v>1.19</v>
          </cell>
          <cell r="V212">
            <v>1.1875</v>
          </cell>
          <cell r="W212">
            <v>1.19</v>
          </cell>
          <cell r="DZ212" t="str">
            <v>W14X48</v>
          </cell>
          <cell r="EA212">
            <v>48</v>
          </cell>
          <cell r="EB212">
            <v>14.1</v>
          </cell>
          <cell r="EC212">
            <v>13.8</v>
          </cell>
          <cell r="ED212" t="str">
            <v>13 3/4</v>
          </cell>
          <cell r="EE212">
            <v>0.34</v>
          </cell>
          <cell r="EF212">
            <v>45062</v>
          </cell>
          <cell r="EG212">
            <v>45001</v>
          </cell>
          <cell r="EH212">
            <v>8.0299999999999994</v>
          </cell>
          <cell r="EI212">
            <v>8</v>
          </cell>
          <cell r="EJ212">
            <v>0.59499999999999997</v>
          </cell>
          <cell r="EK212">
            <v>45054</v>
          </cell>
          <cell r="EL212">
            <v>6.75</v>
          </cell>
          <cell r="EM212">
            <v>33.6</v>
          </cell>
          <cell r="EN212">
            <v>484</v>
          </cell>
          <cell r="EO212">
            <v>70.2</v>
          </cell>
          <cell r="EP212">
            <v>5.85</v>
          </cell>
          <cell r="EQ212">
            <v>78.400000000000006</v>
          </cell>
          <cell r="ER212">
            <v>51.4</v>
          </cell>
          <cell r="ES212">
            <v>12.8</v>
          </cell>
          <cell r="ET212">
            <v>1.91</v>
          </cell>
        </row>
        <row r="213">
          <cell r="B213" t="str">
            <v>WT15X86.5</v>
          </cell>
          <cell r="C213" t="str">
            <v>WT15X86.5</v>
          </cell>
          <cell r="D213" t="str">
            <v>F</v>
          </cell>
          <cell r="E213">
            <v>86.5</v>
          </cell>
          <cell r="F213">
            <v>25.4</v>
          </cell>
          <cell r="G213" t="str">
            <v>WT15X86.5</v>
          </cell>
          <cell r="H213">
            <v>15.2</v>
          </cell>
          <cell r="I213">
            <v>15.25</v>
          </cell>
          <cell r="J213" t="str">
            <v>–</v>
          </cell>
          <cell r="K213" t="str">
            <v>–</v>
          </cell>
          <cell r="L213" t="str">
            <v>–</v>
          </cell>
          <cell r="M213">
            <v>15</v>
          </cell>
          <cell r="N213">
            <v>15</v>
          </cell>
          <cell r="O213" t="str">
            <v>–</v>
          </cell>
          <cell r="P213" t="str">
            <v>–</v>
          </cell>
          <cell r="Q213" t="str">
            <v>–</v>
          </cell>
          <cell r="R213">
            <v>0.65500000000000003</v>
          </cell>
          <cell r="S213">
            <v>0.625</v>
          </cell>
          <cell r="T213">
            <v>0.3125</v>
          </cell>
          <cell r="U213">
            <v>1.07</v>
          </cell>
          <cell r="V213">
            <v>1.0625</v>
          </cell>
          <cell r="W213">
            <v>1.07</v>
          </cell>
          <cell r="DZ213" t="str">
            <v>W14X43</v>
          </cell>
          <cell r="EA213">
            <v>43</v>
          </cell>
          <cell r="EB213">
            <v>12.6</v>
          </cell>
          <cell r="EC213">
            <v>13.7</v>
          </cell>
          <cell r="ED213" t="str">
            <v>13 5/8</v>
          </cell>
          <cell r="EE213">
            <v>0.30499999999999999</v>
          </cell>
          <cell r="EF213">
            <v>45062</v>
          </cell>
          <cell r="EG213">
            <v>45001</v>
          </cell>
          <cell r="EH213">
            <v>8</v>
          </cell>
          <cell r="EI213">
            <v>8</v>
          </cell>
          <cell r="EJ213">
            <v>0.53</v>
          </cell>
          <cell r="EK213">
            <v>44928</v>
          </cell>
          <cell r="EL213">
            <v>7.54</v>
          </cell>
          <cell r="EM213">
            <v>37.4</v>
          </cell>
          <cell r="EN213">
            <v>428</v>
          </cell>
          <cell r="EO213">
            <v>62.6</v>
          </cell>
          <cell r="EP213">
            <v>5.82</v>
          </cell>
          <cell r="EQ213">
            <v>69.599999999999994</v>
          </cell>
          <cell r="ER213">
            <v>45.2</v>
          </cell>
          <cell r="ES213">
            <v>11.3</v>
          </cell>
          <cell r="ET213">
            <v>1.89</v>
          </cell>
        </row>
        <row r="214">
          <cell r="B214" t="str">
            <v>WT15X74</v>
          </cell>
          <cell r="C214" t="str">
            <v>WT15X74</v>
          </cell>
          <cell r="D214" t="str">
            <v>F</v>
          </cell>
          <cell r="E214">
            <v>74</v>
          </cell>
          <cell r="F214">
            <v>21.8</v>
          </cell>
          <cell r="G214" t="str">
            <v>WT15X74</v>
          </cell>
          <cell r="H214">
            <v>15.3</v>
          </cell>
          <cell r="I214">
            <v>15.375</v>
          </cell>
          <cell r="J214" t="str">
            <v>–</v>
          </cell>
          <cell r="K214" t="str">
            <v>–</v>
          </cell>
          <cell r="L214" t="str">
            <v>–</v>
          </cell>
          <cell r="M214">
            <v>10.5</v>
          </cell>
          <cell r="N214">
            <v>10.5</v>
          </cell>
          <cell r="O214" t="str">
            <v>–</v>
          </cell>
          <cell r="P214" t="str">
            <v>–</v>
          </cell>
          <cell r="Q214" t="str">
            <v>–</v>
          </cell>
          <cell r="R214">
            <v>0.65</v>
          </cell>
          <cell r="S214">
            <v>0.625</v>
          </cell>
          <cell r="T214">
            <v>0.3125</v>
          </cell>
          <cell r="U214">
            <v>1.18</v>
          </cell>
          <cell r="V214">
            <v>1.1875</v>
          </cell>
          <cell r="W214">
            <v>1.18</v>
          </cell>
          <cell r="DZ214" t="str">
            <v>W14X38</v>
          </cell>
          <cell r="EA214">
            <v>38</v>
          </cell>
          <cell r="EB214">
            <v>11.2</v>
          </cell>
          <cell r="EC214">
            <v>14.1</v>
          </cell>
          <cell r="ED214" t="str">
            <v>14 1/8</v>
          </cell>
          <cell r="EE214">
            <v>0.31</v>
          </cell>
          <cell r="EF214">
            <v>45062</v>
          </cell>
          <cell r="EG214">
            <v>45001</v>
          </cell>
          <cell r="EH214">
            <v>6.77</v>
          </cell>
          <cell r="EI214" t="str">
            <v>6 3/4</v>
          </cell>
          <cell r="EJ214">
            <v>0.51500000000000001</v>
          </cell>
          <cell r="EK214">
            <v>44928</v>
          </cell>
          <cell r="EL214">
            <v>6.57</v>
          </cell>
          <cell r="EM214">
            <v>39.6</v>
          </cell>
          <cell r="EN214">
            <v>385</v>
          </cell>
          <cell r="EO214">
            <v>54.6</v>
          </cell>
          <cell r="EP214">
            <v>5.87</v>
          </cell>
          <cell r="EQ214">
            <v>61.5</v>
          </cell>
          <cell r="ER214">
            <v>26.7</v>
          </cell>
          <cell r="ES214">
            <v>7.88</v>
          </cell>
          <cell r="ET214">
            <v>1.55</v>
          </cell>
        </row>
        <row r="215">
          <cell r="B215" t="str">
            <v>WT15X66</v>
          </cell>
          <cell r="C215" t="str">
            <v>WT15X66</v>
          </cell>
          <cell r="D215" t="str">
            <v>F</v>
          </cell>
          <cell r="E215">
            <v>66</v>
          </cell>
          <cell r="F215">
            <v>19.5</v>
          </cell>
          <cell r="G215" t="str">
            <v>WT15X66</v>
          </cell>
          <cell r="H215">
            <v>15.2</v>
          </cell>
          <cell r="I215">
            <v>15.125</v>
          </cell>
          <cell r="J215" t="str">
            <v>–</v>
          </cell>
          <cell r="K215" t="str">
            <v>–</v>
          </cell>
          <cell r="L215" t="str">
            <v>–</v>
          </cell>
          <cell r="M215">
            <v>10.5</v>
          </cell>
          <cell r="N215">
            <v>10.5</v>
          </cell>
          <cell r="O215" t="str">
            <v>–</v>
          </cell>
          <cell r="P215" t="str">
            <v>–</v>
          </cell>
          <cell r="Q215" t="str">
            <v>–</v>
          </cell>
          <cell r="R215">
            <v>0.61499999999999999</v>
          </cell>
          <cell r="S215">
            <v>0.625</v>
          </cell>
          <cell r="T215">
            <v>0.3125</v>
          </cell>
          <cell r="U215">
            <v>1</v>
          </cell>
          <cell r="V215">
            <v>1</v>
          </cell>
          <cell r="W215">
            <v>1</v>
          </cell>
          <cell r="DZ215" t="str">
            <v>W14X34</v>
          </cell>
          <cell r="EA215">
            <v>34</v>
          </cell>
          <cell r="EB215">
            <v>10</v>
          </cell>
          <cell r="EC215">
            <v>14</v>
          </cell>
          <cell r="ED215">
            <v>14</v>
          </cell>
          <cell r="EE215">
            <v>0.28499999999999998</v>
          </cell>
          <cell r="EF215">
            <v>45062</v>
          </cell>
          <cell r="EG215">
            <v>45001</v>
          </cell>
          <cell r="EH215">
            <v>6.75</v>
          </cell>
          <cell r="EI215" t="str">
            <v>6 3/4</v>
          </cell>
          <cell r="EJ215">
            <v>0.45500000000000002</v>
          </cell>
          <cell r="EK215">
            <v>45123</v>
          </cell>
          <cell r="EL215">
            <v>7.41</v>
          </cell>
          <cell r="EM215">
            <v>43.1</v>
          </cell>
          <cell r="EN215">
            <v>340</v>
          </cell>
          <cell r="EO215">
            <v>48.6</v>
          </cell>
          <cell r="EP215">
            <v>5.83</v>
          </cell>
          <cell r="EQ215">
            <v>54.6</v>
          </cell>
          <cell r="ER215">
            <v>23.3</v>
          </cell>
          <cell r="ES215">
            <v>6.91</v>
          </cell>
          <cell r="ET215">
            <v>1.53</v>
          </cell>
        </row>
        <row r="216">
          <cell r="B216" t="str">
            <v>WT15X62</v>
          </cell>
          <cell r="C216" t="str">
            <v>WT15X62</v>
          </cell>
          <cell r="D216" t="str">
            <v>F</v>
          </cell>
          <cell r="E216">
            <v>62</v>
          </cell>
          <cell r="F216">
            <v>18.2</v>
          </cell>
          <cell r="G216" t="str">
            <v>WT15X62</v>
          </cell>
          <cell r="H216">
            <v>15.1</v>
          </cell>
          <cell r="I216">
            <v>15.125</v>
          </cell>
          <cell r="J216" t="str">
            <v>–</v>
          </cell>
          <cell r="K216" t="str">
            <v>–</v>
          </cell>
          <cell r="L216" t="str">
            <v>–</v>
          </cell>
          <cell r="M216">
            <v>10.5</v>
          </cell>
          <cell r="N216">
            <v>10.5</v>
          </cell>
          <cell r="O216" t="str">
            <v>–</v>
          </cell>
          <cell r="P216" t="str">
            <v>–</v>
          </cell>
          <cell r="Q216" t="str">
            <v>–</v>
          </cell>
          <cell r="R216">
            <v>0.58499999999999996</v>
          </cell>
          <cell r="S216">
            <v>0.5625</v>
          </cell>
          <cell r="T216">
            <v>0.3125</v>
          </cell>
          <cell r="U216">
            <v>0.93</v>
          </cell>
          <cell r="V216">
            <v>0.9375</v>
          </cell>
          <cell r="W216">
            <v>0.93</v>
          </cell>
          <cell r="DZ216" t="str">
            <v>W14X30</v>
          </cell>
          <cell r="EA216">
            <v>30</v>
          </cell>
          <cell r="EB216">
            <v>8.85</v>
          </cell>
          <cell r="EC216">
            <v>13.8</v>
          </cell>
          <cell r="ED216" t="str">
            <v>13 7/8</v>
          </cell>
          <cell r="EE216">
            <v>0.27</v>
          </cell>
          <cell r="EF216">
            <v>44930</v>
          </cell>
          <cell r="EG216">
            <v>44934</v>
          </cell>
          <cell r="EH216">
            <v>6.73</v>
          </cell>
          <cell r="EI216" t="str">
            <v>6 3/4</v>
          </cell>
          <cell r="EJ216">
            <v>0.38500000000000001</v>
          </cell>
          <cell r="EK216">
            <v>44993</v>
          </cell>
          <cell r="EL216">
            <v>8.74</v>
          </cell>
          <cell r="EM216">
            <v>45.4</v>
          </cell>
          <cell r="EN216">
            <v>291</v>
          </cell>
          <cell r="EO216">
            <v>42</v>
          </cell>
          <cell r="EP216">
            <v>5.73</v>
          </cell>
          <cell r="EQ216">
            <v>47.3</v>
          </cell>
          <cell r="ER216">
            <v>19.600000000000001</v>
          </cell>
          <cell r="ES216">
            <v>5.82</v>
          </cell>
          <cell r="ET216">
            <v>1.49</v>
          </cell>
        </row>
        <row r="217">
          <cell r="B217" t="str">
            <v>WT15X58</v>
          </cell>
          <cell r="C217" t="str">
            <v>WT15X58</v>
          </cell>
          <cell r="D217" t="str">
            <v>F</v>
          </cell>
          <cell r="E217">
            <v>58</v>
          </cell>
          <cell r="F217">
            <v>17.100000000000001</v>
          </cell>
          <cell r="G217" t="str">
            <v>WT15X58</v>
          </cell>
          <cell r="H217">
            <v>15</v>
          </cell>
          <cell r="I217">
            <v>15</v>
          </cell>
          <cell r="J217" t="str">
            <v>–</v>
          </cell>
          <cell r="K217" t="str">
            <v>–</v>
          </cell>
          <cell r="L217" t="str">
            <v>–</v>
          </cell>
          <cell r="M217">
            <v>10.5</v>
          </cell>
          <cell r="N217">
            <v>10.5</v>
          </cell>
          <cell r="O217" t="str">
            <v>–</v>
          </cell>
          <cell r="P217" t="str">
            <v>–</v>
          </cell>
          <cell r="Q217" t="str">
            <v>–</v>
          </cell>
          <cell r="R217">
            <v>0.56499999999999995</v>
          </cell>
          <cell r="S217">
            <v>0.5625</v>
          </cell>
          <cell r="T217">
            <v>0.3125</v>
          </cell>
          <cell r="U217">
            <v>0.85</v>
          </cell>
          <cell r="V217">
            <v>0.875</v>
          </cell>
          <cell r="W217">
            <v>0.85</v>
          </cell>
          <cell r="DZ217" t="str">
            <v>W14X26</v>
          </cell>
          <cell r="EA217">
            <v>26</v>
          </cell>
          <cell r="EB217">
            <v>7.69</v>
          </cell>
          <cell r="EC217">
            <v>13.9</v>
          </cell>
          <cell r="ED217" t="str">
            <v>13 7/8</v>
          </cell>
          <cell r="EE217">
            <v>0.255</v>
          </cell>
          <cell r="EF217">
            <v>44930</v>
          </cell>
          <cell r="EG217">
            <v>44934</v>
          </cell>
          <cell r="EH217">
            <v>5.03</v>
          </cell>
          <cell r="EI217">
            <v>5</v>
          </cell>
          <cell r="EJ217">
            <v>0.42</v>
          </cell>
          <cell r="EK217">
            <v>45123</v>
          </cell>
          <cell r="EL217">
            <v>5.98</v>
          </cell>
          <cell r="EM217">
            <v>48.1</v>
          </cell>
          <cell r="EN217">
            <v>245</v>
          </cell>
          <cell r="EO217">
            <v>35.299999999999997</v>
          </cell>
          <cell r="EP217">
            <v>5.65</v>
          </cell>
          <cell r="EQ217">
            <v>40.200000000000003</v>
          </cell>
          <cell r="ER217">
            <v>8.91</v>
          </cell>
          <cell r="ES217">
            <v>3.55</v>
          </cell>
          <cell r="ET217">
            <v>1.08</v>
          </cell>
        </row>
        <row r="218">
          <cell r="B218" t="str">
            <v>WT15X54</v>
          </cell>
          <cell r="C218" t="str">
            <v>WT15X54</v>
          </cell>
          <cell r="D218" t="str">
            <v>F</v>
          </cell>
          <cell r="E218">
            <v>54</v>
          </cell>
          <cell r="F218">
            <v>15.9</v>
          </cell>
          <cell r="G218" t="str">
            <v>WT15X54</v>
          </cell>
          <cell r="H218">
            <v>14.9</v>
          </cell>
          <cell r="I218">
            <v>14.875</v>
          </cell>
          <cell r="J218" t="str">
            <v>–</v>
          </cell>
          <cell r="K218" t="str">
            <v>–</v>
          </cell>
          <cell r="L218" t="str">
            <v>–</v>
          </cell>
          <cell r="M218">
            <v>10.5</v>
          </cell>
          <cell r="N218">
            <v>10.5</v>
          </cell>
          <cell r="O218" t="str">
            <v>–</v>
          </cell>
          <cell r="P218" t="str">
            <v>–</v>
          </cell>
          <cell r="Q218" t="str">
            <v>–</v>
          </cell>
          <cell r="R218">
            <v>0.54500000000000004</v>
          </cell>
          <cell r="S218">
            <v>0.5625</v>
          </cell>
          <cell r="T218">
            <v>0.3125</v>
          </cell>
          <cell r="U218">
            <v>0.76</v>
          </cell>
          <cell r="V218">
            <v>0.75</v>
          </cell>
          <cell r="W218">
            <v>0.76</v>
          </cell>
          <cell r="DZ218" t="str">
            <v>W14X22</v>
          </cell>
          <cell r="EA218">
            <v>22</v>
          </cell>
          <cell r="EB218">
            <v>6.49</v>
          </cell>
          <cell r="EC218">
            <v>13.7</v>
          </cell>
          <cell r="ED218" t="str">
            <v>13 3/4</v>
          </cell>
          <cell r="EE218">
            <v>0.23</v>
          </cell>
          <cell r="EF218">
            <v>44930</v>
          </cell>
          <cell r="EG218">
            <v>44934</v>
          </cell>
          <cell r="EH218">
            <v>5</v>
          </cell>
          <cell r="EI218">
            <v>5</v>
          </cell>
          <cell r="EJ218">
            <v>0.33500000000000002</v>
          </cell>
          <cell r="EK218">
            <v>45062</v>
          </cell>
          <cell r="EL218">
            <v>7.46</v>
          </cell>
          <cell r="EM218">
            <v>53.3</v>
          </cell>
          <cell r="EN218">
            <v>199</v>
          </cell>
          <cell r="EO218">
            <v>29</v>
          </cell>
          <cell r="EP218">
            <v>5.54</v>
          </cell>
          <cell r="EQ218">
            <v>33.200000000000003</v>
          </cell>
          <cell r="ER218">
            <v>7</v>
          </cell>
          <cell r="ES218">
            <v>2.8</v>
          </cell>
          <cell r="ET218">
            <v>1.04</v>
          </cell>
        </row>
        <row r="219">
          <cell r="B219" t="str">
            <v>WT15X49.5</v>
          </cell>
          <cell r="C219" t="str">
            <v>WT15X49.5</v>
          </cell>
          <cell r="D219" t="str">
            <v>F</v>
          </cell>
          <cell r="E219">
            <v>49.5</v>
          </cell>
          <cell r="F219">
            <v>14.5</v>
          </cell>
          <cell r="G219" t="str">
            <v>WT15X49.5</v>
          </cell>
          <cell r="H219">
            <v>14.8</v>
          </cell>
          <cell r="I219">
            <v>14.875</v>
          </cell>
          <cell r="J219" t="str">
            <v>–</v>
          </cell>
          <cell r="K219" t="str">
            <v>–</v>
          </cell>
          <cell r="L219" t="str">
            <v>–</v>
          </cell>
          <cell r="M219">
            <v>10.5</v>
          </cell>
          <cell r="N219">
            <v>10.5</v>
          </cell>
          <cell r="O219" t="str">
            <v>–</v>
          </cell>
          <cell r="P219" t="str">
            <v>–</v>
          </cell>
          <cell r="Q219" t="str">
            <v>–</v>
          </cell>
          <cell r="R219">
            <v>0.52</v>
          </cell>
          <cell r="S219">
            <v>0.5</v>
          </cell>
          <cell r="T219">
            <v>0.25</v>
          </cell>
          <cell r="U219">
            <v>0.67</v>
          </cell>
          <cell r="V219">
            <v>0.6875</v>
          </cell>
          <cell r="W219">
            <v>0.67</v>
          </cell>
          <cell r="DZ219" t="str">
            <v>W12X336</v>
          </cell>
          <cell r="EA219">
            <v>336</v>
          </cell>
          <cell r="EB219">
            <v>98.9</v>
          </cell>
          <cell r="EC219">
            <v>16.8</v>
          </cell>
          <cell r="ED219" t="str">
            <v>16 7/8</v>
          </cell>
          <cell r="EE219">
            <v>1.78</v>
          </cell>
          <cell r="EF219" t="str">
            <v>1 3/4</v>
          </cell>
          <cell r="EG219">
            <v>45115</v>
          </cell>
          <cell r="EH219">
            <v>13.4</v>
          </cell>
          <cell r="EI219" t="str">
            <v>13 3/8</v>
          </cell>
          <cell r="EJ219">
            <v>2.96</v>
          </cell>
          <cell r="EK219" t="str">
            <v>2 15/16</v>
          </cell>
          <cell r="EL219">
            <v>2.2599999999999998</v>
          </cell>
          <cell r="EM219">
            <v>5.47</v>
          </cell>
          <cell r="EN219">
            <v>4060</v>
          </cell>
          <cell r="EO219">
            <v>483</v>
          </cell>
          <cell r="EP219">
            <v>6.41</v>
          </cell>
          <cell r="EQ219">
            <v>603</v>
          </cell>
          <cell r="ER219">
            <v>1190</v>
          </cell>
          <cell r="ES219">
            <v>177</v>
          </cell>
          <cell r="ET219">
            <v>3.47</v>
          </cell>
        </row>
        <row r="220">
          <cell r="B220" t="str">
            <v>WT15X45</v>
          </cell>
          <cell r="C220" t="str">
            <v>WT15X45</v>
          </cell>
          <cell r="D220" t="str">
            <v>F</v>
          </cell>
          <cell r="E220">
            <v>45</v>
          </cell>
          <cell r="F220">
            <v>13.2</v>
          </cell>
          <cell r="G220" t="str">
            <v>WT15X45</v>
          </cell>
          <cell r="H220">
            <v>14.8</v>
          </cell>
          <cell r="I220">
            <v>14.75</v>
          </cell>
          <cell r="J220" t="str">
            <v>–</v>
          </cell>
          <cell r="K220" t="str">
            <v>–</v>
          </cell>
          <cell r="L220" t="str">
            <v>–</v>
          </cell>
          <cell r="M220">
            <v>10.4</v>
          </cell>
          <cell r="N220">
            <v>10.375</v>
          </cell>
          <cell r="O220" t="str">
            <v>–</v>
          </cell>
          <cell r="P220" t="str">
            <v>–</v>
          </cell>
          <cell r="Q220" t="str">
            <v>–</v>
          </cell>
          <cell r="R220">
            <v>0.47</v>
          </cell>
          <cell r="S220">
            <v>0.5</v>
          </cell>
          <cell r="T220">
            <v>0.25</v>
          </cell>
          <cell r="U220">
            <v>0.61</v>
          </cell>
          <cell r="V220">
            <v>0.625</v>
          </cell>
          <cell r="W220">
            <v>0.61</v>
          </cell>
          <cell r="DZ220" t="str">
            <v>W12X305</v>
          </cell>
          <cell r="EA220">
            <v>305</v>
          </cell>
          <cell r="EB220">
            <v>89.5</v>
          </cell>
          <cell r="EC220">
            <v>16.3</v>
          </cell>
          <cell r="ED220" t="str">
            <v>16 3/8</v>
          </cell>
          <cell r="EE220">
            <v>1.63</v>
          </cell>
          <cell r="EF220" t="str">
            <v>1 5/8</v>
          </cell>
          <cell r="EG220" t="str">
            <v>13/16</v>
          </cell>
          <cell r="EH220">
            <v>13.2</v>
          </cell>
          <cell r="EI220" t="str">
            <v>13 1/4</v>
          </cell>
          <cell r="EJ220">
            <v>2.71</v>
          </cell>
          <cell r="EK220" t="str">
            <v>2 11/16</v>
          </cell>
          <cell r="EL220">
            <v>2.4500000000000002</v>
          </cell>
          <cell r="EM220">
            <v>5.98</v>
          </cell>
          <cell r="EN220">
            <v>3550</v>
          </cell>
          <cell r="EO220">
            <v>435</v>
          </cell>
          <cell r="EP220">
            <v>6.29</v>
          </cell>
          <cell r="EQ220">
            <v>537</v>
          </cell>
          <cell r="ER220">
            <v>1050</v>
          </cell>
          <cell r="ES220">
            <v>159</v>
          </cell>
          <cell r="ET220">
            <v>3.42</v>
          </cell>
        </row>
        <row r="221">
          <cell r="B221" t="str">
            <v>WT13.5X269.5</v>
          </cell>
          <cell r="C221" t="str">
            <v>WT13.5X269.5</v>
          </cell>
          <cell r="D221" t="str">
            <v>T</v>
          </cell>
          <cell r="E221">
            <v>269.5</v>
          </cell>
          <cell r="F221">
            <v>79.3</v>
          </cell>
          <cell r="G221" t="str">
            <v>WT13.5X269.5</v>
          </cell>
          <cell r="H221">
            <v>16.3</v>
          </cell>
          <cell r="I221">
            <v>16.25</v>
          </cell>
          <cell r="J221" t="str">
            <v>–</v>
          </cell>
          <cell r="K221" t="str">
            <v>–</v>
          </cell>
          <cell r="L221" t="str">
            <v>–</v>
          </cell>
          <cell r="M221">
            <v>15.3</v>
          </cell>
          <cell r="N221">
            <v>15.25</v>
          </cell>
          <cell r="O221" t="str">
            <v>–</v>
          </cell>
          <cell r="P221" t="str">
            <v>–</v>
          </cell>
          <cell r="Q221" t="str">
            <v>–</v>
          </cell>
          <cell r="R221">
            <v>1.97</v>
          </cell>
          <cell r="S221">
            <v>2</v>
          </cell>
          <cell r="T221">
            <v>1</v>
          </cell>
          <cell r="U221">
            <v>3.54</v>
          </cell>
          <cell r="V221">
            <v>3.5625</v>
          </cell>
          <cell r="W221">
            <v>3.54</v>
          </cell>
          <cell r="DZ221" t="str">
            <v>W12X279</v>
          </cell>
          <cell r="EA221">
            <v>279</v>
          </cell>
          <cell r="EB221">
            <v>81.900000000000006</v>
          </cell>
          <cell r="EC221">
            <v>15.9</v>
          </cell>
          <cell r="ED221" t="str">
            <v>15 7/8</v>
          </cell>
          <cell r="EE221">
            <v>1.53</v>
          </cell>
          <cell r="EF221" t="str">
            <v>1 1/2</v>
          </cell>
          <cell r="EG221">
            <v>44989</v>
          </cell>
          <cell r="EH221">
            <v>13.1</v>
          </cell>
          <cell r="EI221" t="str">
            <v>13 1/8</v>
          </cell>
          <cell r="EJ221">
            <v>2.4700000000000002</v>
          </cell>
          <cell r="EK221" t="str">
            <v>2 1/2</v>
          </cell>
          <cell r="EL221">
            <v>2.66</v>
          </cell>
          <cell r="EM221">
            <v>6.35</v>
          </cell>
          <cell r="EN221">
            <v>3110</v>
          </cell>
          <cell r="EO221">
            <v>393</v>
          </cell>
          <cell r="EP221">
            <v>6.16</v>
          </cell>
          <cell r="EQ221">
            <v>481</v>
          </cell>
          <cell r="ER221">
            <v>937</v>
          </cell>
          <cell r="ES221">
            <v>143</v>
          </cell>
          <cell r="ET221">
            <v>3.38</v>
          </cell>
        </row>
        <row r="222">
          <cell r="B222" t="str">
            <v>WT13.5X184</v>
          </cell>
          <cell r="C222" t="str">
            <v>WT13.5X184</v>
          </cell>
          <cell r="D222" t="str">
            <v>T</v>
          </cell>
          <cell r="E222">
            <v>184</v>
          </cell>
          <cell r="F222">
            <v>54.2</v>
          </cell>
          <cell r="G222" t="str">
            <v>WT13.5X184</v>
          </cell>
          <cell r="H222">
            <v>15.2</v>
          </cell>
          <cell r="I222">
            <v>15.25</v>
          </cell>
          <cell r="J222" t="str">
            <v>–</v>
          </cell>
          <cell r="K222" t="str">
            <v>–</v>
          </cell>
          <cell r="L222" t="str">
            <v>–</v>
          </cell>
          <cell r="M222">
            <v>14.7</v>
          </cell>
          <cell r="N222">
            <v>14.625</v>
          </cell>
          <cell r="O222" t="str">
            <v>–</v>
          </cell>
          <cell r="P222" t="str">
            <v>–</v>
          </cell>
          <cell r="Q222" t="str">
            <v>–</v>
          </cell>
          <cell r="R222">
            <v>1.38</v>
          </cell>
          <cell r="S222">
            <v>1.375</v>
          </cell>
          <cell r="T222">
            <v>0.6875</v>
          </cell>
          <cell r="U222">
            <v>2.48</v>
          </cell>
          <cell r="V222">
            <v>2.5</v>
          </cell>
          <cell r="W222">
            <v>2.48</v>
          </cell>
          <cell r="DZ222" t="str">
            <v>W12X252</v>
          </cell>
          <cell r="EA222">
            <v>252</v>
          </cell>
          <cell r="EB222">
            <v>74.099999999999994</v>
          </cell>
          <cell r="EC222">
            <v>15.4</v>
          </cell>
          <cell r="ED222" t="str">
            <v>15 3/8</v>
          </cell>
          <cell r="EE222">
            <v>1.4</v>
          </cell>
          <cell r="EF222" t="str">
            <v>1 3/8</v>
          </cell>
          <cell r="EG222">
            <v>45246</v>
          </cell>
          <cell r="EH222">
            <v>13</v>
          </cell>
          <cell r="EI222">
            <v>13</v>
          </cell>
          <cell r="EJ222">
            <v>2.25</v>
          </cell>
          <cell r="EK222" t="str">
            <v>2 1/4</v>
          </cell>
          <cell r="EL222">
            <v>2.89</v>
          </cell>
          <cell r="EM222">
            <v>6.96</v>
          </cell>
          <cell r="EN222">
            <v>2720</v>
          </cell>
          <cell r="EO222">
            <v>353</v>
          </cell>
          <cell r="EP222">
            <v>6.06</v>
          </cell>
          <cell r="EQ222">
            <v>428</v>
          </cell>
          <cell r="ER222">
            <v>828</v>
          </cell>
          <cell r="ES222">
            <v>127</v>
          </cell>
          <cell r="ET222">
            <v>3.34</v>
          </cell>
        </row>
        <row r="223">
          <cell r="B223" t="str">
            <v>WT13.5X168</v>
          </cell>
          <cell r="C223" t="str">
            <v>WT13.5X168</v>
          </cell>
          <cell r="D223" t="str">
            <v>T</v>
          </cell>
          <cell r="E223">
            <v>168</v>
          </cell>
          <cell r="F223">
            <v>49.5</v>
          </cell>
          <cell r="G223" t="str">
            <v>WT13.5X168</v>
          </cell>
          <cell r="H223">
            <v>15</v>
          </cell>
          <cell r="I223">
            <v>15</v>
          </cell>
          <cell r="J223" t="str">
            <v>–</v>
          </cell>
          <cell r="K223" t="str">
            <v>–</v>
          </cell>
          <cell r="L223" t="str">
            <v>–</v>
          </cell>
          <cell r="M223">
            <v>14.6</v>
          </cell>
          <cell r="N223">
            <v>14.5</v>
          </cell>
          <cell r="O223" t="str">
            <v>–</v>
          </cell>
          <cell r="P223" t="str">
            <v>–</v>
          </cell>
          <cell r="Q223" t="str">
            <v>–</v>
          </cell>
          <cell r="R223">
            <v>1.26</v>
          </cell>
          <cell r="S223">
            <v>1.25</v>
          </cell>
          <cell r="T223">
            <v>0.625</v>
          </cell>
          <cell r="U223">
            <v>2.2799999999999998</v>
          </cell>
          <cell r="V223">
            <v>2.25</v>
          </cell>
          <cell r="W223">
            <v>2.2799999999999998</v>
          </cell>
          <cell r="DZ223" t="str">
            <v>W12X230</v>
          </cell>
          <cell r="EA223">
            <v>230</v>
          </cell>
          <cell r="EB223">
            <v>67.7</v>
          </cell>
          <cell r="EC223">
            <v>15.1</v>
          </cell>
          <cell r="ED223">
            <v>15</v>
          </cell>
          <cell r="EE223">
            <v>1.29</v>
          </cell>
          <cell r="EF223" t="str">
            <v>1 5/16</v>
          </cell>
          <cell r="EG223">
            <v>45246</v>
          </cell>
          <cell r="EH223">
            <v>12.9</v>
          </cell>
          <cell r="EI223" t="str">
            <v>12 7/8</v>
          </cell>
          <cell r="EJ223">
            <v>2.0699999999999998</v>
          </cell>
          <cell r="EK223" t="str">
            <v>2 1/16</v>
          </cell>
          <cell r="EL223">
            <v>3.11</v>
          </cell>
          <cell r="EM223">
            <v>7.56</v>
          </cell>
          <cell r="EN223">
            <v>2420</v>
          </cell>
          <cell r="EO223">
            <v>321</v>
          </cell>
          <cell r="EP223">
            <v>5.97</v>
          </cell>
          <cell r="EQ223">
            <v>386</v>
          </cell>
          <cell r="ER223">
            <v>742</v>
          </cell>
          <cell r="ES223">
            <v>115</v>
          </cell>
          <cell r="ET223">
            <v>3.31</v>
          </cell>
        </row>
        <row r="224">
          <cell r="B224" t="str">
            <v>WT13.5X153.5</v>
          </cell>
          <cell r="C224" t="str">
            <v>WT13.5X153.5</v>
          </cell>
          <cell r="D224" t="str">
            <v>T</v>
          </cell>
          <cell r="E224">
            <v>153.5</v>
          </cell>
          <cell r="F224">
            <v>45.2</v>
          </cell>
          <cell r="G224" t="str">
            <v>WT13.5X153.5</v>
          </cell>
          <cell r="H224">
            <v>14.8</v>
          </cell>
          <cell r="I224">
            <v>14.75</v>
          </cell>
          <cell r="J224" t="str">
            <v>–</v>
          </cell>
          <cell r="K224" t="str">
            <v>–</v>
          </cell>
          <cell r="L224" t="str">
            <v>–</v>
          </cell>
          <cell r="M224">
            <v>14.4</v>
          </cell>
          <cell r="N224">
            <v>14.5</v>
          </cell>
          <cell r="O224" t="str">
            <v>–</v>
          </cell>
          <cell r="P224" t="str">
            <v>–</v>
          </cell>
          <cell r="Q224" t="str">
            <v>–</v>
          </cell>
          <cell r="R224">
            <v>1.1599999999999999</v>
          </cell>
          <cell r="S224">
            <v>1.1875</v>
          </cell>
          <cell r="T224">
            <v>0.625</v>
          </cell>
          <cell r="U224">
            <v>2.09</v>
          </cell>
          <cell r="V224">
            <v>2.0625</v>
          </cell>
          <cell r="W224">
            <v>2.09</v>
          </cell>
          <cell r="DZ224" t="str">
            <v>W12X210</v>
          </cell>
          <cell r="EA224">
            <v>210</v>
          </cell>
          <cell r="EB224">
            <v>61.8</v>
          </cell>
          <cell r="EC224">
            <v>14.7</v>
          </cell>
          <cell r="ED224" t="str">
            <v>14 3/4</v>
          </cell>
          <cell r="EE224">
            <v>1.18</v>
          </cell>
          <cell r="EF224" t="str">
            <v>1 3/16</v>
          </cell>
          <cell r="EG224">
            <v>45054</v>
          </cell>
          <cell r="EH224">
            <v>12.8</v>
          </cell>
          <cell r="EI224" t="str">
            <v>12 3/4</v>
          </cell>
          <cell r="EJ224">
            <v>1.9</v>
          </cell>
          <cell r="EK224" t="str">
            <v>1 7/8</v>
          </cell>
          <cell r="EL224">
            <v>3.37</v>
          </cell>
          <cell r="EM224">
            <v>8.23</v>
          </cell>
          <cell r="EN224">
            <v>2140</v>
          </cell>
          <cell r="EO224">
            <v>292</v>
          </cell>
          <cell r="EP224">
            <v>5.89</v>
          </cell>
          <cell r="EQ224">
            <v>348</v>
          </cell>
          <cell r="ER224">
            <v>664</v>
          </cell>
          <cell r="ES224">
            <v>104</v>
          </cell>
          <cell r="ET224">
            <v>3.28</v>
          </cell>
        </row>
        <row r="225">
          <cell r="B225" t="str">
            <v>WT13.5X140.5</v>
          </cell>
          <cell r="C225" t="str">
            <v>WT13.5X140.5</v>
          </cell>
          <cell r="D225" t="str">
            <v>F</v>
          </cell>
          <cell r="E225">
            <v>140.5</v>
          </cell>
          <cell r="F225">
            <v>41.5</v>
          </cell>
          <cell r="G225" t="str">
            <v>WT13.5X140.5</v>
          </cell>
          <cell r="H225">
            <v>14.6</v>
          </cell>
          <cell r="I225">
            <v>14.625</v>
          </cell>
          <cell r="J225" t="str">
            <v>–</v>
          </cell>
          <cell r="K225" t="str">
            <v>–</v>
          </cell>
          <cell r="L225" t="str">
            <v>–</v>
          </cell>
          <cell r="M225">
            <v>14.4</v>
          </cell>
          <cell r="N225">
            <v>14.375</v>
          </cell>
          <cell r="O225" t="str">
            <v>–</v>
          </cell>
          <cell r="P225" t="str">
            <v>–</v>
          </cell>
          <cell r="Q225" t="str">
            <v>–</v>
          </cell>
          <cell r="R225">
            <v>1.06</v>
          </cell>
          <cell r="S225">
            <v>1.0625</v>
          </cell>
          <cell r="T225">
            <v>0.5625</v>
          </cell>
          <cell r="U225">
            <v>1.93</v>
          </cell>
          <cell r="V225">
            <v>1.9375</v>
          </cell>
          <cell r="W225">
            <v>1.93</v>
          </cell>
          <cell r="DZ225" t="str">
            <v>W12X190</v>
          </cell>
          <cell r="EA225">
            <v>190</v>
          </cell>
          <cell r="EB225">
            <v>56</v>
          </cell>
          <cell r="EC225">
            <v>14.4</v>
          </cell>
          <cell r="ED225" t="str">
            <v>14 3/8</v>
          </cell>
          <cell r="EE225">
            <v>1.06</v>
          </cell>
          <cell r="EF225" t="str">
            <v>1 1/16</v>
          </cell>
          <cell r="EG225">
            <v>45185</v>
          </cell>
          <cell r="EH225">
            <v>12.7</v>
          </cell>
          <cell r="EI225" t="str">
            <v>12 5/8</v>
          </cell>
          <cell r="EJ225">
            <v>1.74</v>
          </cell>
          <cell r="EK225" t="str">
            <v>1 3/4</v>
          </cell>
          <cell r="EL225">
            <v>3.65</v>
          </cell>
          <cell r="EM225">
            <v>9.16</v>
          </cell>
          <cell r="EN225">
            <v>1890</v>
          </cell>
          <cell r="EO225">
            <v>263</v>
          </cell>
          <cell r="EP225">
            <v>5.82</v>
          </cell>
          <cell r="EQ225">
            <v>311</v>
          </cell>
          <cell r="ER225">
            <v>589</v>
          </cell>
          <cell r="ES225">
            <v>93</v>
          </cell>
          <cell r="ET225">
            <v>3.25</v>
          </cell>
        </row>
        <row r="226">
          <cell r="B226" t="str">
            <v>WT13.5X129</v>
          </cell>
          <cell r="C226" t="str">
            <v>WT13.5X129</v>
          </cell>
          <cell r="D226" t="str">
            <v>F</v>
          </cell>
          <cell r="E226">
            <v>129</v>
          </cell>
          <cell r="F226">
            <v>38.1</v>
          </cell>
          <cell r="G226" t="str">
            <v>WT13.5X129</v>
          </cell>
          <cell r="H226">
            <v>14.5</v>
          </cell>
          <cell r="I226">
            <v>14.5</v>
          </cell>
          <cell r="J226" t="str">
            <v>–</v>
          </cell>
          <cell r="K226" t="str">
            <v>–</v>
          </cell>
          <cell r="L226" t="str">
            <v>–</v>
          </cell>
          <cell r="M226">
            <v>14.3</v>
          </cell>
          <cell r="N226">
            <v>14.25</v>
          </cell>
          <cell r="O226" t="str">
            <v>–</v>
          </cell>
          <cell r="P226" t="str">
            <v>–</v>
          </cell>
          <cell r="Q226" t="str">
            <v>–</v>
          </cell>
          <cell r="R226">
            <v>0.98</v>
          </cell>
          <cell r="S226">
            <v>1</v>
          </cell>
          <cell r="T226">
            <v>0.5</v>
          </cell>
          <cell r="U226">
            <v>1.77</v>
          </cell>
          <cell r="V226">
            <v>1.75</v>
          </cell>
          <cell r="W226">
            <v>1.77</v>
          </cell>
          <cell r="DZ226" t="str">
            <v>W12X170</v>
          </cell>
          <cell r="EA226">
            <v>170</v>
          </cell>
          <cell r="EB226">
            <v>50</v>
          </cell>
          <cell r="EC226">
            <v>14</v>
          </cell>
          <cell r="ED226">
            <v>14</v>
          </cell>
          <cell r="EE226">
            <v>0.96</v>
          </cell>
          <cell r="EF226" t="str">
            <v>15/16</v>
          </cell>
          <cell r="EG226">
            <v>44928</v>
          </cell>
          <cell r="EH226">
            <v>12.6</v>
          </cell>
          <cell r="EI226" t="str">
            <v>12 5/8</v>
          </cell>
          <cell r="EJ226">
            <v>1.56</v>
          </cell>
          <cell r="EK226" t="str">
            <v>1 9/16</v>
          </cell>
          <cell r="EL226">
            <v>4.03</v>
          </cell>
          <cell r="EM226">
            <v>10.1</v>
          </cell>
          <cell r="EN226">
            <v>1650</v>
          </cell>
          <cell r="EO226">
            <v>235</v>
          </cell>
          <cell r="EP226">
            <v>5.74</v>
          </cell>
          <cell r="EQ226">
            <v>275</v>
          </cell>
          <cell r="ER226">
            <v>517</v>
          </cell>
          <cell r="ES226">
            <v>82.3</v>
          </cell>
          <cell r="ET226">
            <v>3.22</v>
          </cell>
        </row>
        <row r="227">
          <cell r="B227" t="str">
            <v>WT13.5X117.5</v>
          </cell>
          <cell r="C227" t="str">
            <v>WT13.5X117.5</v>
          </cell>
          <cell r="D227" t="str">
            <v>F</v>
          </cell>
          <cell r="E227">
            <v>117.5</v>
          </cell>
          <cell r="F227">
            <v>34.700000000000003</v>
          </cell>
          <cell r="G227" t="str">
            <v>WT13.5X117.5</v>
          </cell>
          <cell r="H227">
            <v>14.3</v>
          </cell>
          <cell r="I227">
            <v>14.375</v>
          </cell>
          <cell r="J227" t="str">
            <v>–</v>
          </cell>
          <cell r="K227" t="str">
            <v>–</v>
          </cell>
          <cell r="L227" t="str">
            <v>–</v>
          </cell>
          <cell r="M227">
            <v>14.2</v>
          </cell>
          <cell r="N227">
            <v>14.25</v>
          </cell>
          <cell r="O227" t="str">
            <v>–</v>
          </cell>
          <cell r="P227" t="str">
            <v>–</v>
          </cell>
          <cell r="Q227" t="str">
            <v>–</v>
          </cell>
          <cell r="R227">
            <v>0.91</v>
          </cell>
          <cell r="S227">
            <v>0.9375</v>
          </cell>
          <cell r="T227">
            <v>0.5</v>
          </cell>
          <cell r="U227">
            <v>1.61</v>
          </cell>
          <cell r="V227">
            <v>1.625</v>
          </cell>
          <cell r="W227">
            <v>1.61</v>
          </cell>
          <cell r="DZ227" t="str">
            <v>W12X152</v>
          </cell>
          <cell r="EA227">
            <v>152</v>
          </cell>
          <cell r="EB227">
            <v>44.7</v>
          </cell>
          <cell r="EC227">
            <v>13.7</v>
          </cell>
          <cell r="ED227" t="str">
            <v>13 3/4</v>
          </cell>
          <cell r="EE227">
            <v>0.87</v>
          </cell>
          <cell r="EF227">
            <v>45115</v>
          </cell>
          <cell r="EG227">
            <v>45123</v>
          </cell>
          <cell r="EH227">
            <v>12.5</v>
          </cell>
          <cell r="EI227" t="str">
            <v>12 1/2</v>
          </cell>
          <cell r="EJ227">
            <v>1.4</v>
          </cell>
          <cell r="EK227" t="str">
            <v>1 3/8</v>
          </cell>
          <cell r="EL227">
            <v>4.46</v>
          </cell>
          <cell r="EM227">
            <v>11.2</v>
          </cell>
          <cell r="EN227">
            <v>1430</v>
          </cell>
          <cell r="EO227">
            <v>209</v>
          </cell>
          <cell r="EP227">
            <v>5.66</v>
          </cell>
          <cell r="EQ227">
            <v>243</v>
          </cell>
          <cell r="ER227">
            <v>454</v>
          </cell>
          <cell r="ES227">
            <v>72.8</v>
          </cell>
          <cell r="ET227">
            <v>3.19</v>
          </cell>
        </row>
        <row r="228">
          <cell r="B228" t="str">
            <v>WT13.5X108.5</v>
          </cell>
          <cell r="C228" t="str">
            <v>WT13.5X108.5</v>
          </cell>
          <cell r="D228" t="str">
            <v>F</v>
          </cell>
          <cell r="E228">
            <v>108.5</v>
          </cell>
          <cell r="F228">
            <v>32</v>
          </cell>
          <cell r="G228" t="str">
            <v>WT13.5X108.5</v>
          </cell>
          <cell r="H228">
            <v>14.2</v>
          </cell>
          <cell r="I228">
            <v>14.25</v>
          </cell>
          <cell r="J228" t="str">
            <v>–</v>
          </cell>
          <cell r="K228" t="str">
            <v>–</v>
          </cell>
          <cell r="L228" t="str">
            <v>–</v>
          </cell>
          <cell r="M228">
            <v>14.1</v>
          </cell>
          <cell r="N228">
            <v>14.125</v>
          </cell>
          <cell r="O228" t="str">
            <v>–</v>
          </cell>
          <cell r="P228" t="str">
            <v>–</v>
          </cell>
          <cell r="Q228" t="str">
            <v>–</v>
          </cell>
          <cell r="R228">
            <v>0.83</v>
          </cell>
          <cell r="S228">
            <v>0.8125</v>
          </cell>
          <cell r="T228">
            <v>0.4375</v>
          </cell>
          <cell r="U228">
            <v>1.5</v>
          </cell>
          <cell r="V228">
            <v>1.5</v>
          </cell>
          <cell r="W228">
            <v>1.5</v>
          </cell>
          <cell r="DZ228" t="str">
            <v>W12X136</v>
          </cell>
          <cell r="EA228">
            <v>136</v>
          </cell>
          <cell r="EB228">
            <v>39.9</v>
          </cell>
          <cell r="EC228">
            <v>13.4</v>
          </cell>
          <cell r="ED228" t="str">
            <v>13 3/8</v>
          </cell>
          <cell r="EE228">
            <v>0.79</v>
          </cell>
          <cell r="EF228" t="str">
            <v>13/16</v>
          </cell>
          <cell r="EG228">
            <v>45123</v>
          </cell>
          <cell r="EH228">
            <v>12.4</v>
          </cell>
          <cell r="EI228" t="str">
            <v>12 3/8</v>
          </cell>
          <cell r="EJ228">
            <v>1.25</v>
          </cell>
          <cell r="EK228" t="str">
            <v>1 1/4</v>
          </cell>
          <cell r="EL228">
            <v>4.96</v>
          </cell>
          <cell r="EM228">
            <v>12.3</v>
          </cell>
          <cell r="EN228">
            <v>1240</v>
          </cell>
          <cell r="EO228">
            <v>186</v>
          </cell>
          <cell r="EP228">
            <v>5.58</v>
          </cell>
          <cell r="EQ228">
            <v>214</v>
          </cell>
          <cell r="ER228">
            <v>398</v>
          </cell>
          <cell r="ES228">
            <v>64.2</v>
          </cell>
          <cell r="ET228">
            <v>3.16</v>
          </cell>
        </row>
        <row r="229">
          <cell r="B229" t="str">
            <v>WT13.5X97</v>
          </cell>
          <cell r="C229" t="str">
            <v>WT13.5X97</v>
          </cell>
          <cell r="D229" t="str">
            <v>F</v>
          </cell>
          <cell r="E229">
            <v>97</v>
          </cell>
          <cell r="F229">
            <v>28.6</v>
          </cell>
          <cell r="G229" t="str">
            <v>WT13.5X97</v>
          </cell>
          <cell r="H229">
            <v>14.1</v>
          </cell>
          <cell r="I229">
            <v>14</v>
          </cell>
          <cell r="J229" t="str">
            <v>–</v>
          </cell>
          <cell r="K229" t="str">
            <v>–</v>
          </cell>
          <cell r="L229" t="str">
            <v>–</v>
          </cell>
          <cell r="M229">
            <v>14</v>
          </cell>
          <cell r="N229">
            <v>14</v>
          </cell>
          <cell r="O229" t="str">
            <v>–</v>
          </cell>
          <cell r="P229" t="str">
            <v>–</v>
          </cell>
          <cell r="Q229" t="str">
            <v>–</v>
          </cell>
          <cell r="R229">
            <v>0.75</v>
          </cell>
          <cell r="S229">
            <v>0.75</v>
          </cell>
          <cell r="T229">
            <v>0.375</v>
          </cell>
          <cell r="U229">
            <v>1.34</v>
          </cell>
          <cell r="V229">
            <v>1.3125</v>
          </cell>
          <cell r="W229">
            <v>1.34</v>
          </cell>
          <cell r="DZ229" t="str">
            <v>W12X120</v>
          </cell>
          <cell r="EA229">
            <v>120</v>
          </cell>
          <cell r="EB229">
            <v>35.200000000000003</v>
          </cell>
          <cell r="EC229">
            <v>13.1</v>
          </cell>
          <cell r="ED229" t="str">
            <v>13 1/8</v>
          </cell>
          <cell r="EE229">
            <v>0.71</v>
          </cell>
          <cell r="EF229">
            <v>45246</v>
          </cell>
          <cell r="EG229">
            <v>44993</v>
          </cell>
          <cell r="EH229">
            <v>12.3</v>
          </cell>
          <cell r="EI229" t="str">
            <v>12 3/8</v>
          </cell>
          <cell r="EJ229">
            <v>1.1100000000000001</v>
          </cell>
          <cell r="EK229" t="str">
            <v>1 1/8</v>
          </cell>
          <cell r="EL229">
            <v>5.57</v>
          </cell>
          <cell r="EM229">
            <v>13.7</v>
          </cell>
          <cell r="EN229">
            <v>1070</v>
          </cell>
          <cell r="EO229">
            <v>163</v>
          </cell>
          <cell r="EP229">
            <v>5.51</v>
          </cell>
          <cell r="EQ229">
            <v>186</v>
          </cell>
          <cell r="ER229">
            <v>345</v>
          </cell>
          <cell r="ES229">
            <v>56</v>
          </cell>
          <cell r="ET229">
            <v>3.13</v>
          </cell>
        </row>
        <row r="230">
          <cell r="B230" t="str">
            <v>WT13.5X89</v>
          </cell>
          <cell r="C230" t="str">
            <v>WT13.5X89</v>
          </cell>
          <cell r="D230" t="str">
            <v>F</v>
          </cell>
          <cell r="E230">
            <v>89</v>
          </cell>
          <cell r="F230">
            <v>26.3</v>
          </cell>
          <cell r="G230" t="str">
            <v>WT13.5X89</v>
          </cell>
          <cell r="H230">
            <v>13.9</v>
          </cell>
          <cell r="I230">
            <v>13.875</v>
          </cell>
          <cell r="J230" t="str">
            <v>–</v>
          </cell>
          <cell r="K230" t="str">
            <v>–</v>
          </cell>
          <cell r="L230" t="str">
            <v>–</v>
          </cell>
          <cell r="M230">
            <v>14.1</v>
          </cell>
          <cell r="N230">
            <v>14.125</v>
          </cell>
          <cell r="O230" t="str">
            <v>–</v>
          </cell>
          <cell r="P230" t="str">
            <v>–</v>
          </cell>
          <cell r="Q230" t="str">
            <v>–</v>
          </cell>
          <cell r="R230">
            <v>0.72499999999999998</v>
          </cell>
          <cell r="S230">
            <v>0.75</v>
          </cell>
          <cell r="T230">
            <v>0.375</v>
          </cell>
          <cell r="U230">
            <v>1.19</v>
          </cell>
          <cell r="V230">
            <v>1.1875</v>
          </cell>
          <cell r="W230">
            <v>1.19</v>
          </cell>
          <cell r="DZ230" t="str">
            <v>W12X106</v>
          </cell>
          <cell r="EA230">
            <v>106</v>
          </cell>
          <cell r="EB230">
            <v>31.2</v>
          </cell>
          <cell r="EC230">
            <v>12.9</v>
          </cell>
          <cell r="ED230" t="str">
            <v>12 7/8</v>
          </cell>
          <cell r="EE230">
            <v>0.61</v>
          </cell>
          <cell r="EF230">
            <v>45054</v>
          </cell>
          <cell r="EG230">
            <v>45062</v>
          </cell>
          <cell r="EH230">
            <v>12.2</v>
          </cell>
          <cell r="EI230" t="str">
            <v>12 1/4</v>
          </cell>
          <cell r="EJ230">
            <v>0.99</v>
          </cell>
          <cell r="EK230">
            <v>1</v>
          </cell>
          <cell r="EL230">
            <v>6.17</v>
          </cell>
          <cell r="EM230">
            <v>15.9</v>
          </cell>
          <cell r="EN230">
            <v>933</v>
          </cell>
          <cell r="EO230">
            <v>145</v>
          </cell>
          <cell r="EP230">
            <v>5.47</v>
          </cell>
          <cell r="EQ230">
            <v>164</v>
          </cell>
          <cell r="ER230">
            <v>301</v>
          </cell>
          <cell r="ES230">
            <v>49.3</v>
          </cell>
          <cell r="ET230">
            <v>3.11</v>
          </cell>
        </row>
        <row r="231">
          <cell r="B231" t="str">
            <v>WT13.5X80.5</v>
          </cell>
          <cell r="C231" t="str">
            <v>WT13.5X80.5</v>
          </cell>
          <cell r="D231" t="str">
            <v>F</v>
          </cell>
          <cell r="E231">
            <v>80.5</v>
          </cell>
          <cell r="F231">
            <v>23.8</v>
          </cell>
          <cell r="G231" t="str">
            <v>WT13.5X80.5</v>
          </cell>
          <cell r="H231">
            <v>13.8</v>
          </cell>
          <cell r="I231">
            <v>13.75</v>
          </cell>
          <cell r="J231" t="str">
            <v>–</v>
          </cell>
          <cell r="K231" t="str">
            <v>–</v>
          </cell>
          <cell r="L231" t="str">
            <v>–</v>
          </cell>
          <cell r="M231">
            <v>14</v>
          </cell>
          <cell r="N231">
            <v>14</v>
          </cell>
          <cell r="O231" t="str">
            <v>–</v>
          </cell>
          <cell r="P231" t="str">
            <v>–</v>
          </cell>
          <cell r="Q231" t="str">
            <v>–</v>
          </cell>
          <cell r="R231">
            <v>0.66</v>
          </cell>
          <cell r="S231">
            <v>0.6875</v>
          </cell>
          <cell r="T231">
            <v>0.375</v>
          </cell>
          <cell r="U231">
            <v>1.08</v>
          </cell>
          <cell r="V231">
            <v>1.0625</v>
          </cell>
          <cell r="W231">
            <v>1.08</v>
          </cell>
          <cell r="DZ231" t="str">
            <v>W12X96</v>
          </cell>
          <cell r="EA231">
            <v>96</v>
          </cell>
          <cell r="EB231">
            <v>28.2</v>
          </cell>
          <cell r="EC231">
            <v>12.7</v>
          </cell>
          <cell r="ED231" t="str">
            <v>12 3/4</v>
          </cell>
          <cell r="EE231">
            <v>0.55000000000000004</v>
          </cell>
          <cell r="EF231">
            <v>45185</v>
          </cell>
          <cell r="EG231">
            <v>45062</v>
          </cell>
          <cell r="EH231">
            <v>12.2</v>
          </cell>
          <cell r="EI231" t="str">
            <v>12 1/8</v>
          </cell>
          <cell r="EJ231">
            <v>0.9</v>
          </cell>
          <cell r="EK231">
            <v>45115</v>
          </cell>
          <cell r="EL231">
            <v>6.76</v>
          </cell>
          <cell r="EM231">
            <v>17.7</v>
          </cell>
          <cell r="EN231">
            <v>833</v>
          </cell>
          <cell r="EO231">
            <v>131</v>
          </cell>
          <cell r="EP231">
            <v>5.44</v>
          </cell>
          <cell r="EQ231">
            <v>147</v>
          </cell>
          <cell r="ER231">
            <v>270</v>
          </cell>
          <cell r="ES231">
            <v>44.4</v>
          </cell>
          <cell r="ET231">
            <v>3.09</v>
          </cell>
        </row>
        <row r="232">
          <cell r="B232" t="str">
            <v>WT13.5X73</v>
          </cell>
          <cell r="C232" t="str">
            <v>WT13.5X73</v>
          </cell>
          <cell r="D232" t="str">
            <v>F</v>
          </cell>
          <cell r="E232">
            <v>73</v>
          </cell>
          <cell r="F232">
            <v>21.6</v>
          </cell>
          <cell r="G232" t="str">
            <v>WT13.5X73</v>
          </cell>
          <cell r="H232">
            <v>13.7</v>
          </cell>
          <cell r="I232">
            <v>13.75</v>
          </cell>
          <cell r="J232" t="str">
            <v>–</v>
          </cell>
          <cell r="K232" t="str">
            <v>–</v>
          </cell>
          <cell r="L232" t="str">
            <v>–</v>
          </cell>
          <cell r="M232">
            <v>14</v>
          </cell>
          <cell r="N232">
            <v>14</v>
          </cell>
          <cell r="O232" t="str">
            <v>–</v>
          </cell>
          <cell r="P232" t="str">
            <v>–</v>
          </cell>
          <cell r="Q232" t="str">
            <v>–</v>
          </cell>
          <cell r="R232">
            <v>0.60499999999999998</v>
          </cell>
          <cell r="S232">
            <v>0.625</v>
          </cell>
          <cell r="T232">
            <v>0.3125</v>
          </cell>
          <cell r="U232">
            <v>0.97499999999999998</v>
          </cell>
          <cell r="V232">
            <v>1</v>
          </cell>
          <cell r="W232">
            <v>0.97499999999999998</v>
          </cell>
          <cell r="DZ232" t="str">
            <v>W12X87</v>
          </cell>
          <cell r="EA232">
            <v>87</v>
          </cell>
          <cell r="EB232">
            <v>25.6</v>
          </cell>
          <cell r="EC232">
            <v>12.5</v>
          </cell>
          <cell r="ED232" t="str">
            <v>12 1/2</v>
          </cell>
          <cell r="EE232">
            <v>0.51500000000000001</v>
          </cell>
          <cell r="EF232">
            <v>44928</v>
          </cell>
          <cell r="EG232">
            <v>44930</v>
          </cell>
          <cell r="EH232">
            <v>12.1</v>
          </cell>
          <cell r="EI232" t="str">
            <v>12 1/8</v>
          </cell>
          <cell r="EJ232">
            <v>0.81</v>
          </cell>
          <cell r="EK232" t="str">
            <v>13/16</v>
          </cell>
          <cell r="EL232">
            <v>7.48</v>
          </cell>
          <cell r="EM232">
            <v>18.899999999999999</v>
          </cell>
          <cell r="EN232">
            <v>740</v>
          </cell>
          <cell r="EO232">
            <v>118</v>
          </cell>
          <cell r="EP232">
            <v>5.38</v>
          </cell>
          <cell r="EQ232">
            <v>132</v>
          </cell>
          <cell r="ER232">
            <v>241</v>
          </cell>
          <cell r="ES232">
            <v>39.700000000000003</v>
          </cell>
          <cell r="ET232">
            <v>3.07</v>
          </cell>
        </row>
        <row r="233">
          <cell r="B233" t="str">
            <v>WT13.5X64.5</v>
          </cell>
          <cell r="C233" t="str">
            <v>WT13.5X64.5</v>
          </cell>
          <cell r="D233" t="str">
            <v>F</v>
          </cell>
          <cell r="E233">
            <v>64.5</v>
          </cell>
          <cell r="F233">
            <v>18.899999999999999</v>
          </cell>
          <cell r="G233" t="str">
            <v>WT13.5X64.5</v>
          </cell>
          <cell r="H233">
            <v>13.8</v>
          </cell>
          <cell r="I233">
            <v>13.875</v>
          </cell>
          <cell r="J233" t="str">
            <v>–</v>
          </cell>
          <cell r="K233" t="str">
            <v>–</v>
          </cell>
          <cell r="L233" t="str">
            <v>–</v>
          </cell>
          <cell r="M233">
            <v>10</v>
          </cell>
          <cell r="N233">
            <v>10</v>
          </cell>
          <cell r="O233" t="str">
            <v>–</v>
          </cell>
          <cell r="P233" t="str">
            <v>–</v>
          </cell>
          <cell r="Q233" t="str">
            <v>–</v>
          </cell>
          <cell r="R233">
            <v>0.61</v>
          </cell>
          <cell r="S233">
            <v>0.625</v>
          </cell>
          <cell r="T233">
            <v>0.3125</v>
          </cell>
          <cell r="U233">
            <v>1.1000000000000001</v>
          </cell>
          <cell r="V233">
            <v>1.125</v>
          </cell>
          <cell r="W233">
            <v>1.1000000000000001</v>
          </cell>
          <cell r="DZ233" t="str">
            <v>W12X79</v>
          </cell>
          <cell r="EA233">
            <v>79</v>
          </cell>
          <cell r="EB233">
            <v>23.2</v>
          </cell>
          <cell r="EC233">
            <v>12.4</v>
          </cell>
          <cell r="ED233" t="str">
            <v>12 3/8</v>
          </cell>
          <cell r="EE233">
            <v>0.47</v>
          </cell>
          <cell r="EF233">
            <v>44928</v>
          </cell>
          <cell r="EG233">
            <v>44930</v>
          </cell>
          <cell r="EH233">
            <v>12.1</v>
          </cell>
          <cell r="EI233" t="str">
            <v>12 1/8</v>
          </cell>
          <cell r="EJ233">
            <v>0.73499999999999999</v>
          </cell>
          <cell r="EK233">
            <v>44989</v>
          </cell>
          <cell r="EL233">
            <v>8.2200000000000006</v>
          </cell>
          <cell r="EM233">
            <v>20.7</v>
          </cell>
          <cell r="EN233">
            <v>662</v>
          </cell>
          <cell r="EO233">
            <v>107</v>
          </cell>
          <cell r="EP233">
            <v>5.34</v>
          </cell>
          <cell r="EQ233">
            <v>119</v>
          </cell>
          <cell r="ER233">
            <v>216</v>
          </cell>
          <cell r="ES233">
            <v>35.799999999999997</v>
          </cell>
          <cell r="ET233">
            <v>3.05</v>
          </cell>
        </row>
        <row r="234">
          <cell r="B234" t="str">
            <v>WT13.5X57</v>
          </cell>
          <cell r="C234" t="str">
            <v>WT13.5X57</v>
          </cell>
          <cell r="D234" t="str">
            <v>F</v>
          </cell>
          <cell r="E234">
            <v>57</v>
          </cell>
          <cell r="F234">
            <v>16.8</v>
          </cell>
          <cell r="G234" t="str">
            <v>WT13.5X57</v>
          </cell>
          <cell r="H234">
            <v>13.6</v>
          </cell>
          <cell r="I234">
            <v>13.625</v>
          </cell>
          <cell r="J234" t="str">
            <v>–</v>
          </cell>
          <cell r="K234" t="str">
            <v>–</v>
          </cell>
          <cell r="L234" t="str">
            <v>–</v>
          </cell>
          <cell r="M234">
            <v>10.1</v>
          </cell>
          <cell r="N234">
            <v>10.125</v>
          </cell>
          <cell r="O234" t="str">
            <v>–</v>
          </cell>
          <cell r="P234" t="str">
            <v>–</v>
          </cell>
          <cell r="Q234" t="str">
            <v>–</v>
          </cell>
          <cell r="R234">
            <v>0.56999999999999995</v>
          </cell>
          <cell r="S234">
            <v>0.5625</v>
          </cell>
          <cell r="T234">
            <v>0.3125</v>
          </cell>
          <cell r="U234">
            <v>0.93</v>
          </cell>
          <cell r="V234">
            <v>0.9375</v>
          </cell>
          <cell r="W234">
            <v>0.93</v>
          </cell>
          <cell r="DZ234" t="str">
            <v>W12X72</v>
          </cell>
          <cell r="EA234">
            <v>72</v>
          </cell>
          <cell r="EB234">
            <v>21.1</v>
          </cell>
          <cell r="EC234">
            <v>12.3</v>
          </cell>
          <cell r="ED234" t="str">
            <v>12 1/4</v>
          </cell>
          <cell r="EE234">
            <v>0.43</v>
          </cell>
          <cell r="EF234">
            <v>45123</v>
          </cell>
          <cell r="EG234">
            <v>44930</v>
          </cell>
          <cell r="EH234">
            <v>12</v>
          </cell>
          <cell r="EI234">
            <v>12</v>
          </cell>
          <cell r="EJ234">
            <v>0.67</v>
          </cell>
          <cell r="EK234">
            <v>45246</v>
          </cell>
          <cell r="EL234">
            <v>8.99</v>
          </cell>
          <cell r="EM234">
            <v>22.6</v>
          </cell>
          <cell r="EN234">
            <v>597</v>
          </cell>
          <cell r="EO234">
            <v>97.4</v>
          </cell>
          <cell r="EP234">
            <v>5.31</v>
          </cell>
          <cell r="EQ234">
            <v>108</v>
          </cell>
          <cell r="ER234">
            <v>195</v>
          </cell>
          <cell r="ES234">
            <v>32.4</v>
          </cell>
          <cell r="ET234">
            <v>3.04</v>
          </cell>
        </row>
        <row r="235">
          <cell r="B235" t="str">
            <v>WT13.5X51</v>
          </cell>
          <cell r="C235" t="str">
            <v>WT13.5X51</v>
          </cell>
          <cell r="D235" t="str">
            <v>F</v>
          </cell>
          <cell r="E235">
            <v>51</v>
          </cell>
          <cell r="F235">
            <v>15</v>
          </cell>
          <cell r="G235" t="str">
            <v>WT13.5X51</v>
          </cell>
          <cell r="H235">
            <v>13.5</v>
          </cell>
          <cell r="I235">
            <v>13.5</v>
          </cell>
          <cell r="J235" t="str">
            <v>–</v>
          </cell>
          <cell r="K235" t="str">
            <v>–</v>
          </cell>
          <cell r="L235" t="str">
            <v>–</v>
          </cell>
          <cell r="M235">
            <v>10</v>
          </cell>
          <cell r="N235">
            <v>10</v>
          </cell>
          <cell r="O235" t="str">
            <v>–</v>
          </cell>
          <cell r="P235" t="str">
            <v>–</v>
          </cell>
          <cell r="Q235" t="str">
            <v>–</v>
          </cell>
          <cell r="R235">
            <v>0.51500000000000001</v>
          </cell>
          <cell r="S235">
            <v>0.5</v>
          </cell>
          <cell r="T235">
            <v>0.25</v>
          </cell>
          <cell r="U235">
            <v>0.83</v>
          </cell>
          <cell r="V235">
            <v>0.8125</v>
          </cell>
          <cell r="W235">
            <v>0.83</v>
          </cell>
          <cell r="DZ235" t="str">
            <v>W12X65</v>
          </cell>
          <cell r="EA235">
            <v>65</v>
          </cell>
          <cell r="EB235">
            <v>19.100000000000001</v>
          </cell>
          <cell r="EC235">
            <v>12.1</v>
          </cell>
          <cell r="ED235" t="str">
            <v>12 1/8</v>
          </cell>
          <cell r="EE235">
            <v>0.39</v>
          </cell>
          <cell r="EF235">
            <v>44993</v>
          </cell>
          <cell r="EG235">
            <v>45001</v>
          </cell>
          <cell r="EH235">
            <v>12</v>
          </cell>
          <cell r="EI235">
            <v>12</v>
          </cell>
          <cell r="EJ235">
            <v>0.60499999999999998</v>
          </cell>
          <cell r="EK235">
            <v>45054</v>
          </cell>
          <cell r="EL235">
            <v>9.92</v>
          </cell>
          <cell r="EM235">
            <v>24.9</v>
          </cell>
          <cell r="EN235">
            <v>533</v>
          </cell>
          <cell r="EO235">
            <v>87.9</v>
          </cell>
          <cell r="EP235">
            <v>5.28</v>
          </cell>
          <cell r="EQ235">
            <v>96.8</v>
          </cell>
          <cell r="ER235">
            <v>174</v>
          </cell>
          <cell r="ES235">
            <v>29.1</v>
          </cell>
          <cell r="ET235">
            <v>3.02</v>
          </cell>
        </row>
        <row r="236">
          <cell r="B236" t="str">
            <v>WT13.5X47</v>
          </cell>
          <cell r="C236" t="str">
            <v>WT13.5X47</v>
          </cell>
          <cell r="D236" t="str">
            <v>F</v>
          </cell>
          <cell r="E236">
            <v>47</v>
          </cell>
          <cell r="F236">
            <v>13.8</v>
          </cell>
          <cell r="G236" t="str">
            <v>WT13.5X47</v>
          </cell>
          <cell r="H236">
            <v>13.5</v>
          </cell>
          <cell r="I236">
            <v>13.5</v>
          </cell>
          <cell r="J236" t="str">
            <v>–</v>
          </cell>
          <cell r="K236" t="str">
            <v>–</v>
          </cell>
          <cell r="L236" t="str">
            <v>–</v>
          </cell>
          <cell r="M236">
            <v>10</v>
          </cell>
          <cell r="N236">
            <v>10</v>
          </cell>
          <cell r="O236" t="str">
            <v>–</v>
          </cell>
          <cell r="P236" t="str">
            <v>–</v>
          </cell>
          <cell r="Q236" t="str">
            <v>–</v>
          </cell>
          <cell r="R236">
            <v>0.49</v>
          </cell>
          <cell r="S236">
            <v>0.5</v>
          </cell>
          <cell r="T236">
            <v>0.25</v>
          </cell>
          <cell r="U236">
            <v>0.745</v>
          </cell>
          <cell r="V236">
            <v>0.75</v>
          </cell>
          <cell r="W236">
            <v>0.745</v>
          </cell>
          <cell r="DZ236" t="str">
            <v>W12X58</v>
          </cell>
          <cell r="EA236">
            <v>58</v>
          </cell>
          <cell r="EB236">
            <v>17</v>
          </cell>
          <cell r="EC236">
            <v>12.2</v>
          </cell>
          <cell r="ED236" t="str">
            <v>12 1/4</v>
          </cell>
          <cell r="EE236">
            <v>0.36</v>
          </cell>
          <cell r="EF236">
            <v>44993</v>
          </cell>
          <cell r="EG236">
            <v>45001</v>
          </cell>
          <cell r="EH236">
            <v>10</v>
          </cell>
          <cell r="EI236">
            <v>10</v>
          </cell>
          <cell r="EJ236">
            <v>0.64</v>
          </cell>
          <cell r="EK236">
            <v>45054</v>
          </cell>
          <cell r="EL236">
            <v>7.82</v>
          </cell>
          <cell r="EM236">
            <v>27</v>
          </cell>
          <cell r="EN236">
            <v>475</v>
          </cell>
          <cell r="EO236">
            <v>78</v>
          </cell>
          <cell r="EP236">
            <v>5.28</v>
          </cell>
          <cell r="EQ236">
            <v>86.4</v>
          </cell>
          <cell r="ER236">
            <v>107</v>
          </cell>
          <cell r="ES236">
            <v>21.4</v>
          </cell>
          <cell r="ET236">
            <v>2.5099999999999998</v>
          </cell>
        </row>
        <row r="237">
          <cell r="B237" t="str">
            <v>WT13.5X42</v>
          </cell>
          <cell r="C237" t="str">
            <v>WT13.5X42</v>
          </cell>
          <cell r="D237" t="str">
            <v>F</v>
          </cell>
          <cell r="E237">
            <v>42</v>
          </cell>
          <cell r="F237">
            <v>12.4</v>
          </cell>
          <cell r="G237" t="str">
            <v>WT13.5X42</v>
          </cell>
          <cell r="H237">
            <v>13.4</v>
          </cell>
          <cell r="I237">
            <v>13.375</v>
          </cell>
          <cell r="J237" t="str">
            <v>–</v>
          </cell>
          <cell r="K237" t="str">
            <v>–</v>
          </cell>
          <cell r="L237" t="str">
            <v>–</v>
          </cell>
          <cell r="M237">
            <v>10</v>
          </cell>
          <cell r="N237">
            <v>10</v>
          </cell>
          <cell r="O237" t="str">
            <v>–</v>
          </cell>
          <cell r="P237" t="str">
            <v>–</v>
          </cell>
          <cell r="Q237" t="str">
            <v>–</v>
          </cell>
          <cell r="R237">
            <v>0.46</v>
          </cell>
          <cell r="S237">
            <v>0.4375</v>
          </cell>
          <cell r="T237">
            <v>0.25</v>
          </cell>
          <cell r="U237">
            <v>0.64</v>
          </cell>
          <cell r="V237">
            <v>0.625</v>
          </cell>
          <cell r="W237">
            <v>0.64</v>
          </cell>
          <cell r="DZ237" t="str">
            <v>W12X53</v>
          </cell>
          <cell r="EA237">
            <v>53</v>
          </cell>
          <cell r="EB237">
            <v>15.6</v>
          </cell>
          <cell r="EC237">
            <v>12.1</v>
          </cell>
          <cell r="ED237">
            <v>12</v>
          </cell>
          <cell r="EE237">
            <v>0.34499999999999997</v>
          </cell>
          <cell r="EF237">
            <v>44993</v>
          </cell>
          <cell r="EG237">
            <v>45001</v>
          </cell>
          <cell r="EH237">
            <v>10</v>
          </cell>
          <cell r="EI237">
            <v>10</v>
          </cell>
          <cell r="EJ237">
            <v>0.57499999999999996</v>
          </cell>
          <cell r="EK237">
            <v>45185</v>
          </cell>
          <cell r="EL237">
            <v>8.69</v>
          </cell>
          <cell r="EM237">
            <v>28.1</v>
          </cell>
          <cell r="EN237">
            <v>425</v>
          </cell>
          <cell r="EO237">
            <v>70.599999999999994</v>
          </cell>
          <cell r="EP237">
            <v>5.23</v>
          </cell>
          <cell r="EQ237">
            <v>77.900000000000006</v>
          </cell>
          <cell r="ER237">
            <v>95.8</v>
          </cell>
          <cell r="ES237">
            <v>19.2</v>
          </cell>
          <cell r="ET237">
            <v>2.48</v>
          </cell>
        </row>
        <row r="238">
          <cell r="B238" t="str">
            <v>WT12X185</v>
          </cell>
          <cell r="C238" t="str">
            <v>WT12X185</v>
          </cell>
          <cell r="D238" t="str">
            <v>T</v>
          </cell>
          <cell r="E238">
            <v>185</v>
          </cell>
          <cell r="F238">
            <v>54.5</v>
          </cell>
          <cell r="G238" t="str">
            <v>WT12X185</v>
          </cell>
          <cell r="H238">
            <v>14</v>
          </cell>
          <cell r="I238">
            <v>14</v>
          </cell>
          <cell r="J238" t="str">
            <v>–</v>
          </cell>
          <cell r="K238" t="str">
            <v>–</v>
          </cell>
          <cell r="L238" t="str">
            <v>–</v>
          </cell>
          <cell r="M238">
            <v>13.7</v>
          </cell>
          <cell r="N238">
            <v>13.625</v>
          </cell>
          <cell r="O238" t="str">
            <v>–</v>
          </cell>
          <cell r="P238" t="str">
            <v>–</v>
          </cell>
          <cell r="Q238" t="str">
            <v>–</v>
          </cell>
          <cell r="R238">
            <v>1.52</v>
          </cell>
          <cell r="S238">
            <v>1.5</v>
          </cell>
          <cell r="T238">
            <v>0.75</v>
          </cell>
          <cell r="U238">
            <v>2.72</v>
          </cell>
          <cell r="V238">
            <v>2.75</v>
          </cell>
          <cell r="W238">
            <v>2.72</v>
          </cell>
          <cell r="DZ238" t="str">
            <v>W12X50</v>
          </cell>
          <cell r="EA238">
            <v>50</v>
          </cell>
          <cell r="EB238">
            <v>14.6</v>
          </cell>
          <cell r="EC238">
            <v>12.2</v>
          </cell>
          <cell r="ED238" t="str">
            <v>12 1/4</v>
          </cell>
          <cell r="EE238">
            <v>0.37</v>
          </cell>
          <cell r="EF238">
            <v>44993</v>
          </cell>
          <cell r="EG238">
            <v>45001</v>
          </cell>
          <cell r="EH238">
            <v>8.08</v>
          </cell>
          <cell r="EI238" t="str">
            <v>8 1/8</v>
          </cell>
          <cell r="EJ238">
            <v>0.64</v>
          </cell>
          <cell r="EK238">
            <v>45054</v>
          </cell>
          <cell r="EL238">
            <v>6.31</v>
          </cell>
          <cell r="EM238">
            <v>26.8</v>
          </cell>
          <cell r="EN238">
            <v>391</v>
          </cell>
          <cell r="EO238">
            <v>64.2</v>
          </cell>
          <cell r="EP238">
            <v>5.18</v>
          </cell>
          <cell r="EQ238">
            <v>71.900000000000006</v>
          </cell>
          <cell r="ER238">
            <v>56.3</v>
          </cell>
          <cell r="ES238">
            <v>13.9</v>
          </cell>
          <cell r="ET238">
            <v>1.96</v>
          </cell>
        </row>
        <row r="239">
          <cell r="B239" t="str">
            <v>WT12X167.5</v>
          </cell>
          <cell r="C239" t="str">
            <v>WT12X167.5</v>
          </cell>
          <cell r="D239" t="str">
            <v>T</v>
          </cell>
          <cell r="E239">
            <v>167.5</v>
          </cell>
          <cell r="F239">
            <v>49.1</v>
          </cell>
          <cell r="G239" t="str">
            <v>WT12X167.5</v>
          </cell>
          <cell r="H239">
            <v>13.8</v>
          </cell>
          <cell r="I239">
            <v>13.75</v>
          </cell>
          <cell r="J239" t="str">
            <v>–</v>
          </cell>
          <cell r="K239" t="str">
            <v>–</v>
          </cell>
          <cell r="L239" t="str">
            <v>–</v>
          </cell>
          <cell r="M239">
            <v>13.5</v>
          </cell>
          <cell r="N239">
            <v>13.5</v>
          </cell>
          <cell r="O239" t="str">
            <v>–</v>
          </cell>
          <cell r="P239" t="str">
            <v>–</v>
          </cell>
          <cell r="Q239" t="str">
            <v>–</v>
          </cell>
          <cell r="R239">
            <v>1.38</v>
          </cell>
          <cell r="S239">
            <v>1.375</v>
          </cell>
          <cell r="T239">
            <v>0.6875</v>
          </cell>
          <cell r="U239">
            <v>2.48</v>
          </cell>
          <cell r="V239">
            <v>2.5</v>
          </cell>
          <cell r="W239">
            <v>2.48</v>
          </cell>
          <cell r="DZ239" t="str">
            <v>W12X45</v>
          </cell>
          <cell r="EA239">
            <v>45</v>
          </cell>
          <cell r="EB239">
            <v>13.1</v>
          </cell>
          <cell r="EC239">
            <v>12.1</v>
          </cell>
          <cell r="ED239">
            <v>12</v>
          </cell>
          <cell r="EE239">
            <v>0.33500000000000002</v>
          </cell>
          <cell r="EF239">
            <v>45062</v>
          </cell>
          <cell r="EG239">
            <v>45001</v>
          </cell>
          <cell r="EH239">
            <v>8.0500000000000007</v>
          </cell>
          <cell r="EI239">
            <v>8</v>
          </cell>
          <cell r="EJ239">
            <v>0.57499999999999996</v>
          </cell>
          <cell r="EK239">
            <v>45185</v>
          </cell>
          <cell r="EL239">
            <v>7</v>
          </cell>
          <cell r="EM239">
            <v>29.6</v>
          </cell>
          <cell r="EN239">
            <v>348</v>
          </cell>
          <cell r="EO239">
            <v>57.7</v>
          </cell>
          <cell r="EP239">
            <v>5.15</v>
          </cell>
          <cell r="EQ239">
            <v>64.2</v>
          </cell>
          <cell r="ER239">
            <v>50</v>
          </cell>
          <cell r="ES239">
            <v>12.4</v>
          </cell>
          <cell r="ET239">
            <v>1.95</v>
          </cell>
        </row>
        <row r="240">
          <cell r="B240" t="str">
            <v>WT12X153</v>
          </cell>
          <cell r="C240" t="str">
            <v>WT12X153</v>
          </cell>
          <cell r="D240" t="str">
            <v>T</v>
          </cell>
          <cell r="E240">
            <v>153</v>
          </cell>
          <cell r="F240">
            <v>44.9</v>
          </cell>
          <cell r="G240" t="str">
            <v>WT12X153</v>
          </cell>
          <cell r="H240">
            <v>13.6</v>
          </cell>
          <cell r="I240">
            <v>13.625</v>
          </cell>
          <cell r="J240" t="str">
            <v>–</v>
          </cell>
          <cell r="K240" t="str">
            <v>–</v>
          </cell>
          <cell r="L240" t="str">
            <v>–</v>
          </cell>
          <cell r="M240">
            <v>13.4</v>
          </cell>
          <cell r="N240">
            <v>13.375</v>
          </cell>
          <cell r="O240" t="str">
            <v>–</v>
          </cell>
          <cell r="P240" t="str">
            <v>–</v>
          </cell>
          <cell r="Q240" t="str">
            <v>–</v>
          </cell>
          <cell r="R240">
            <v>1.26</v>
          </cell>
          <cell r="S240">
            <v>1.25</v>
          </cell>
          <cell r="T240">
            <v>0.625</v>
          </cell>
          <cell r="U240">
            <v>2.2799999999999998</v>
          </cell>
          <cell r="V240">
            <v>2.25</v>
          </cell>
          <cell r="W240">
            <v>2.2799999999999998</v>
          </cell>
          <cell r="DZ240" t="str">
            <v>W12X40</v>
          </cell>
          <cell r="EA240">
            <v>40</v>
          </cell>
          <cell r="EB240">
            <v>11.7</v>
          </cell>
          <cell r="EC240">
            <v>11.9</v>
          </cell>
          <cell r="ED240">
            <v>12</v>
          </cell>
          <cell r="EE240">
            <v>0.29499999999999998</v>
          </cell>
          <cell r="EF240">
            <v>45062</v>
          </cell>
          <cell r="EG240">
            <v>45001</v>
          </cell>
          <cell r="EH240">
            <v>8.01</v>
          </cell>
          <cell r="EI240">
            <v>8</v>
          </cell>
          <cell r="EJ240">
            <v>0.51500000000000001</v>
          </cell>
          <cell r="EK240">
            <v>44928</v>
          </cell>
          <cell r="EL240">
            <v>7.77</v>
          </cell>
          <cell r="EM240">
            <v>33.6</v>
          </cell>
          <cell r="EN240">
            <v>307</v>
          </cell>
          <cell r="EO240">
            <v>51.5</v>
          </cell>
          <cell r="EP240">
            <v>5.13</v>
          </cell>
          <cell r="EQ240">
            <v>57</v>
          </cell>
          <cell r="ER240">
            <v>44.1</v>
          </cell>
          <cell r="ES240">
            <v>11</v>
          </cell>
          <cell r="ET240">
            <v>1.94</v>
          </cell>
        </row>
        <row r="241">
          <cell r="B241" t="str">
            <v>WT12X139.5</v>
          </cell>
          <cell r="C241" t="str">
            <v>WT12X139.5</v>
          </cell>
          <cell r="D241" t="str">
            <v>T</v>
          </cell>
          <cell r="E241">
            <v>139.5</v>
          </cell>
          <cell r="F241">
            <v>41</v>
          </cell>
          <cell r="G241" t="str">
            <v>WT12X139.5</v>
          </cell>
          <cell r="H241">
            <v>13.4</v>
          </cell>
          <cell r="I241">
            <v>13.375</v>
          </cell>
          <cell r="J241" t="str">
            <v>–</v>
          </cell>
          <cell r="K241" t="str">
            <v>–</v>
          </cell>
          <cell r="L241" t="str">
            <v>–</v>
          </cell>
          <cell r="M241">
            <v>13.3</v>
          </cell>
          <cell r="N241">
            <v>13.25</v>
          </cell>
          <cell r="O241" t="str">
            <v>–</v>
          </cell>
          <cell r="P241" t="str">
            <v>–</v>
          </cell>
          <cell r="Q241" t="str">
            <v>–</v>
          </cell>
          <cell r="R241">
            <v>1.1599999999999999</v>
          </cell>
          <cell r="S241">
            <v>1.1875</v>
          </cell>
          <cell r="T241">
            <v>0.625</v>
          </cell>
          <cell r="U241">
            <v>2.09</v>
          </cell>
          <cell r="V241">
            <v>2.0625</v>
          </cell>
          <cell r="W241">
            <v>2.09</v>
          </cell>
          <cell r="DZ241" t="str">
            <v>W12X35</v>
          </cell>
          <cell r="EA241">
            <v>35</v>
          </cell>
          <cell r="EB241">
            <v>10.3</v>
          </cell>
          <cell r="EC241">
            <v>12.5</v>
          </cell>
          <cell r="ED241" t="str">
            <v>12 1/2</v>
          </cell>
          <cell r="EE241">
            <v>0.3</v>
          </cell>
          <cell r="EF241">
            <v>45062</v>
          </cell>
          <cell r="EG241">
            <v>45001</v>
          </cell>
          <cell r="EH241">
            <v>6.56</v>
          </cell>
          <cell r="EI241" t="str">
            <v>6 1/2</v>
          </cell>
          <cell r="EJ241">
            <v>0.52</v>
          </cell>
          <cell r="EK241">
            <v>44928</v>
          </cell>
          <cell r="EL241">
            <v>6.31</v>
          </cell>
          <cell r="EM241">
            <v>36.200000000000003</v>
          </cell>
          <cell r="EN241">
            <v>285</v>
          </cell>
          <cell r="EO241">
            <v>45.6</v>
          </cell>
          <cell r="EP241">
            <v>5.25</v>
          </cell>
          <cell r="EQ241">
            <v>51.2</v>
          </cell>
          <cell r="ER241">
            <v>24.5</v>
          </cell>
          <cell r="ES241">
            <v>7.47</v>
          </cell>
          <cell r="ET241">
            <v>1.54</v>
          </cell>
        </row>
        <row r="242">
          <cell r="B242" t="str">
            <v>WT12X125</v>
          </cell>
          <cell r="C242" t="str">
            <v>WT12X125</v>
          </cell>
          <cell r="D242" t="str">
            <v>F</v>
          </cell>
          <cell r="E242">
            <v>125</v>
          </cell>
          <cell r="F242">
            <v>36.799999999999997</v>
          </cell>
          <cell r="G242" t="str">
            <v>WT12X125</v>
          </cell>
          <cell r="H242">
            <v>13.2</v>
          </cell>
          <cell r="I242">
            <v>13.125</v>
          </cell>
          <cell r="J242" t="str">
            <v>–</v>
          </cell>
          <cell r="K242" t="str">
            <v>–</v>
          </cell>
          <cell r="L242" t="str">
            <v>–</v>
          </cell>
          <cell r="M242">
            <v>13.2</v>
          </cell>
          <cell r="N242">
            <v>13.125</v>
          </cell>
          <cell r="O242" t="str">
            <v>–</v>
          </cell>
          <cell r="P242" t="str">
            <v>–</v>
          </cell>
          <cell r="Q242" t="str">
            <v>–</v>
          </cell>
          <cell r="R242">
            <v>1.04</v>
          </cell>
          <cell r="S242">
            <v>1.0625</v>
          </cell>
          <cell r="T242">
            <v>0.5625</v>
          </cell>
          <cell r="U242">
            <v>1.89</v>
          </cell>
          <cell r="V242">
            <v>1.875</v>
          </cell>
          <cell r="W242">
            <v>1.89</v>
          </cell>
          <cell r="DZ242" t="str">
            <v>W12X30</v>
          </cell>
          <cell r="EA242">
            <v>30</v>
          </cell>
          <cell r="EB242">
            <v>8.7899999999999991</v>
          </cell>
          <cell r="EC242">
            <v>12.3</v>
          </cell>
          <cell r="ED242" t="str">
            <v>12 3/8</v>
          </cell>
          <cell r="EE242">
            <v>0.26</v>
          </cell>
          <cell r="EF242">
            <v>44930</v>
          </cell>
          <cell r="EG242">
            <v>44934</v>
          </cell>
          <cell r="EH242">
            <v>6.52</v>
          </cell>
          <cell r="EI242" t="str">
            <v>6 1/2</v>
          </cell>
          <cell r="EJ242">
            <v>0.44</v>
          </cell>
          <cell r="EK242">
            <v>45123</v>
          </cell>
          <cell r="EL242">
            <v>7.41</v>
          </cell>
          <cell r="EM242">
            <v>41.8</v>
          </cell>
          <cell r="EN242">
            <v>238</v>
          </cell>
          <cell r="EO242">
            <v>38.6</v>
          </cell>
          <cell r="EP242">
            <v>5.21</v>
          </cell>
          <cell r="EQ242">
            <v>43.1</v>
          </cell>
          <cell r="ER242">
            <v>20.3</v>
          </cell>
          <cell r="ES242">
            <v>6.24</v>
          </cell>
          <cell r="ET242">
            <v>1.52</v>
          </cell>
        </row>
        <row r="243">
          <cell r="B243" t="str">
            <v>WT12X114.5</v>
          </cell>
          <cell r="C243" t="str">
            <v>WT12X114.5</v>
          </cell>
          <cell r="D243" t="str">
            <v>F</v>
          </cell>
          <cell r="E243">
            <v>114.5</v>
          </cell>
          <cell r="F243">
            <v>33.6</v>
          </cell>
          <cell r="G243" t="str">
            <v>WT12X114.5</v>
          </cell>
          <cell r="H243">
            <v>13</v>
          </cell>
          <cell r="I243">
            <v>13</v>
          </cell>
          <cell r="J243" t="str">
            <v>–</v>
          </cell>
          <cell r="K243" t="str">
            <v>–</v>
          </cell>
          <cell r="L243" t="str">
            <v>–</v>
          </cell>
          <cell r="M243">
            <v>13.1</v>
          </cell>
          <cell r="N243">
            <v>13.125</v>
          </cell>
          <cell r="O243" t="str">
            <v>–</v>
          </cell>
          <cell r="P243" t="str">
            <v>–</v>
          </cell>
          <cell r="Q243" t="str">
            <v>–</v>
          </cell>
          <cell r="R243">
            <v>0.96</v>
          </cell>
          <cell r="S243">
            <v>0.9375</v>
          </cell>
          <cell r="T243">
            <v>0.5</v>
          </cell>
          <cell r="U243">
            <v>1.73</v>
          </cell>
          <cell r="V243">
            <v>1.75</v>
          </cell>
          <cell r="W243">
            <v>1.73</v>
          </cell>
          <cell r="DZ243" t="str">
            <v>W12X26</v>
          </cell>
          <cell r="EA243">
            <v>26</v>
          </cell>
          <cell r="EB243">
            <v>7.65</v>
          </cell>
          <cell r="EC243">
            <v>12.2</v>
          </cell>
          <cell r="ED243" t="str">
            <v>12 1/4</v>
          </cell>
          <cell r="EE243">
            <v>0.23</v>
          </cell>
          <cell r="EF243">
            <v>44930</v>
          </cell>
          <cell r="EG243">
            <v>44934</v>
          </cell>
          <cell r="EH243">
            <v>6.49</v>
          </cell>
          <cell r="EI243" t="str">
            <v>6 1/2</v>
          </cell>
          <cell r="EJ243">
            <v>0.38</v>
          </cell>
          <cell r="EK243">
            <v>44993</v>
          </cell>
          <cell r="EL243">
            <v>8.5399999999999991</v>
          </cell>
          <cell r="EM243">
            <v>47.2</v>
          </cell>
          <cell r="EN243">
            <v>204</v>
          </cell>
          <cell r="EO243">
            <v>33.4</v>
          </cell>
          <cell r="EP243">
            <v>5.17</v>
          </cell>
          <cell r="EQ243">
            <v>37.200000000000003</v>
          </cell>
          <cell r="ER243">
            <v>17.3</v>
          </cell>
          <cell r="ES243">
            <v>5.34</v>
          </cell>
          <cell r="ET243">
            <v>1.51</v>
          </cell>
        </row>
        <row r="244">
          <cell r="B244" t="str">
            <v>WT12X103.5</v>
          </cell>
          <cell r="C244" t="str">
            <v>WT12X103.5</v>
          </cell>
          <cell r="D244" t="str">
            <v>F</v>
          </cell>
          <cell r="E244">
            <v>103.5</v>
          </cell>
          <cell r="F244">
            <v>30.3</v>
          </cell>
          <cell r="G244" t="str">
            <v>WT12X103.5</v>
          </cell>
          <cell r="H244">
            <v>12.9</v>
          </cell>
          <cell r="I244">
            <v>12.875</v>
          </cell>
          <cell r="J244" t="str">
            <v>–</v>
          </cell>
          <cell r="K244" t="str">
            <v>–</v>
          </cell>
          <cell r="L244" t="str">
            <v>–</v>
          </cell>
          <cell r="M244">
            <v>13</v>
          </cell>
          <cell r="N244">
            <v>13</v>
          </cell>
          <cell r="O244" t="str">
            <v>–</v>
          </cell>
          <cell r="P244" t="str">
            <v>–</v>
          </cell>
          <cell r="Q244" t="str">
            <v>–</v>
          </cell>
          <cell r="R244">
            <v>0.87</v>
          </cell>
          <cell r="S244">
            <v>0.875</v>
          </cell>
          <cell r="T244">
            <v>0.4375</v>
          </cell>
          <cell r="U244">
            <v>1.57</v>
          </cell>
          <cell r="V244">
            <v>1.5625</v>
          </cell>
          <cell r="W244">
            <v>1.57</v>
          </cell>
          <cell r="DZ244" t="str">
            <v>W12X22</v>
          </cell>
          <cell r="EA244">
            <v>22</v>
          </cell>
          <cell r="EB244">
            <v>6.48</v>
          </cell>
          <cell r="EC244">
            <v>12.3</v>
          </cell>
          <cell r="ED244" t="str">
            <v>12 1/4</v>
          </cell>
          <cell r="EE244">
            <v>0.26</v>
          </cell>
          <cell r="EF244">
            <v>44930</v>
          </cell>
          <cell r="EG244">
            <v>44934</v>
          </cell>
          <cell r="EH244">
            <v>4.03</v>
          </cell>
          <cell r="EI244">
            <v>4</v>
          </cell>
          <cell r="EJ244">
            <v>0.42499999999999999</v>
          </cell>
          <cell r="EK244">
            <v>45123</v>
          </cell>
          <cell r="EL244">
            <v>4.74</v>
          </cell>
          <cell r="EM244">
            <v>41.8</v>
          </cell>
          <cell r="EN244">
            <v>156</v>
          </cell>
          <cell r="EO244">
            <v>25.4</v>
          </cell>
          <cell r="EP244">
            <v>4.91</v>
          </cell>
          <cell r="EQ244">
            <v>29.3</v>
          </cell>
          <cell r="ER244">
            <v>4.66</v>
          </cell>
          <cell r="ES244">
            <v>2.31</v>
          </cell>
          <cell r="ET244">
            <v>0.84799999999999998</v>
          </cell>
        </row>
        <row r="245">
          <cell r="B245" t="str">
            <v>WT12X96</v>
          </cell>
          <cell r="C245" t="str">
            <v>WT12X96</v>
          </cell>
          <cell r="D245" t="str">
            <v>F</v>
          </cell>
          <cell r="E245">
            <v>96</v>
          </cell>
          <cell r="F245">
            <v>28.2</v>
          </cell>
          <cell r="G245" t="str">
            <v>WT12X96</v>
          </cell>
          <cell r="H245">
            <v>12.7</v>
          </cell>
          <cell r="I245">
            <v>12.75</v>
          </cell>
          <cell r="J245" t="str">
            <v>–</v>
          </cell>
          <cell r="K245" t="str">
            <v>–</v>
          </cell>
          <cell r="L245" t="str">
            <v>–</v>
          </cell>
          <cell r="M245">
            <v>13</v>
          </cell>
          <cell r="N245">
            <v>13</v>
          </cell>
          <cell r="O245" t="str">
            <v>–</v>
          </cell>
          <cell r="P245" t="str">
            <v>–</v>
          </cell>
          <cell r="Q245" t="str">
            <v>–</v>
          </cell>
          <cell r="R245">
            <v>0.81</v>
          </cell>
          <cell r="S245">
            <v>0.8125</v>
          </cell>
          <cell r="T245">
            <v>0.4375</v>
          </cell>
          <cell r="U245">
            <v>1.46</v>
          </cell>
          <cell r="V245">
            <v>1.4375</v>
          </cell>
          <cell r="W245">
            <v>1.46</v>
          </cell>
          <cell r="DZ245" t="str">
            <v>W12X19</v>
          </cell>
          <cell r="EA245">
            <v>19</v>
          </cell>
          <cell r="EB245">
            <v>5.57</v>
          </cell>
          <cell r="EC245">
            <v>12.2</v>
          </cell>
          <cell r="ED245" t="str">
            <v>12 1/8</v>
          </cell>
          <cell r="EE245">
            <v>0.23499999999999999</v>
          </cell>
          <cell r="EF245">
            <v>44930</v>
          </cell>
          <cell r="EG245">
            <v>44934</v>
          </cell>
          <cell r="EH245">
            <v>4.01</v>
          </cell>
          <cell r="EI245">
            <v>4</v>
          </cell>
          <cell r="EJ245">
            <v>0.35</v>
          </cell>
          <cell r="EK245">
            <v>44993</v>
          </cell>
          <cell r="EL245">
            <v>5.72</v>
          </cell>
          <cell r="EM245">
            <v>46.2</v>
          </cell>
          <cell r="EN245">
            <v>130</v>
          </cell>
          <cell r="EO245">
            <v>21.3</v>
          </cell>
          <cell r="EP245">
            <v>4.82</v>
          </cell>
          <cell r="EQ245">
            <v>24.7</v>
          </cell>
          <cell r="ER245">
            <v>3.76</v>
          </cell>
          <cell r="ES245">
            <v>1.88</v>
          </cell>
          <cell r="ET245">
            <v>0.82199999999999995</v>
          </cell>
        </row>
        <row r="246">
          <cell r="B246" t="str">
            <v>WT12X88</v>
          </cell>
          <cell r="C246" t="str">
            <v>WT12X88</v>
          </cell>
          <cell r="D246" t="str">
            <v>F</v>
          </cell>
          <cell r="E246">
            <v>88</v>
          </cell>
          <cell r="F246">
            <v>25.8</v>
          </cell>
          <cell r="G246" t="str">
            <v>WT12X88</v>
          </cell>
          <cell r="H246">
            <v>12.6</v>
          </cell>
          <cell r="I246">
            <v>12.625</v>
          </cell>
          <cell r="J246" t="str">
            <v>–</v>
          </cell>
          <cell r="K246" t="str">
            <v>–</v>
          </cell>
          <cell r="L246" t="str">
            <v>–</v>
          </cell>
          <cell r="M246">
            <v>12.9</v>
          </cell>
          <cell r="N246">
            <v>12.875</v>
          </cell>
          <cell r="O246" t="str">
            <v>–</v>
          </cell>
          <cell r="P246" t="str">
            <v>–</v>
          </cell>
          <cell r="Q246" t="str">
            <v>–</v>
          </cell>
          <cell r="R246">
            <v>0.75</v>
          </cell>
          <cell r="S246">
            <v>0.75</v>
          </cell>
          <cell r="T246">
            <v>0.375</v>
          </cell>
          <cell r="U246">
            <v>1.34</v>
          </cell>
          <cell r="V246">
            <v>1.3125</v>
          </cell>
          <cell r="W246">
            <v>1.34</v>
          </cell>
          <cell r="DZ246" t="str">
            <v>W12X16</v>
          </cell>
          <cell r="EA246">
            <v>16</v>
          </cell>
          <cell r="EB246">
            <v>4.71</v>
          </cell>
          <cell r="EC246">
            <v>12</v>
          </cell>
          <cell r="ED246">
            <v>12</v>
          </cell>
          <cell r="EE246">
            <v>0.22</v>
          </cell>
          <cell r="EF246">
            <v>44930</v>
          </cell>
          <cell r="EG246">
            <v>44934</v>
          </cell>
          <cell r="EH246">
            <v>3.99</v>
          </cell>
          <cell r="EI246">
            <v>4</v>
          </cell>
          <cell r="EJ246">
            <v>0.26500000000000001</v>
          </cell>
          <cell r="EK246">
            <v>44930</v>
          </cell>
          <cell r="EL246">
            <v>7.53</v>
          </cell>
          <cell r="EM246">
            <v>49.4</v>
          </cell>
          <cell r="EN246">
            <v>103</v>
          </cell>
          <cell r="EO246">
            <v>17.100000000000001</v>
          </cell>
          <cell r="EP246">
            <v>4.67</v>
          </cell>
          <cell r="EQ246">
            <v>20.100000000000001</v>
          </cell>
          <cell r="ER246">
            <v>2.82</v>
          </cell>
          <cell r="ES246">
            <v>1.41</v>
          </cell>
          <cell r="ET246">
            <v>0.77300000000000002</v>
          </cell>
        </row>
        <row r="247">
          <cell r="B247" t="str">
            <v>WT12X81</v>
          </cell>
          <cell r="C247" t="str">
            <v>WT12X81</v>
          </cell>
          <cell r="D247" t="str">
            <v>F</v>
          </cell>
          <cell r="E247">
            <v>81</v>
          </cell>
          <cell r="F247">
            <v>23.9</v>
          </cell>
          <cell r="G247" t="str">
            <v>WT12X81</v>
          </cell>
          <cell r="H247">
            <v>12.5</v>
          </cell>
          <cell r="I247">
            <v>12.5</v>
          </cell>
          <cell r="J247" t="str">
            <v>–</v>
          </cell>
          <cell r="K247" t="str">
            <v>–</v>
          </cell>
          <cell r="L247" t="str">
            <v>–</v>
          </cell>
          <cell r="M247">
            <v>13</v>
          </cell>
          <cell r="N247">
            <v>13</v>
          </cell>
          <cell r="O247" t="str">
            <v>–</v>
          </cell>
          <cell r="P247" t="str">
            <v>–</v>
          </cell>
          <cell r="Q247" t="str">
            <v>–</v>
          </cell>
          <cell r="R247">
            <v>0.70499999999999996</v>
          </cell>
          <cell r="S247">
            <v>0.6875</v>
          </cell>
          <cell r="T247">
            <v>0.375</v>
          </cell>
          <cell r="U247">
            <v>1.22</v>
          </cell>
          <cell r="V247">
            <v>1.25</v>
          </cell>
          <cell r="W247">
            <v>1.22</v>
          </cell>
          <cell r="DZ247" t="str">
            <v>W12X14</v>
          </cell>
          <cell r="EA247">
            <v>14</v>
          </cell>
          <cell r="EB247">
            <v>4.16</v>
          </cell>
          <cell r="EC247">
            <v>11.9</v>
          </cell>
          <cell r="ED247" t="str">
            <v>11 7/8</v>
          </cell>
          <cell r="EE247">
            <v>0.2</v>
          </cell>
          <cell r="EF247">
            <v>45001</v>
          </cell>
          <cell r="EG247">
            <v>44934</v>
          </cell>
          <cell r="EH247">
            <v>3.97</v>
          </cell>
          <cell r="EI247">
            <v>4</v>
          </cell>
          <cell r="EJ247">
            <v>0.22500000000000001</v>
          </cell>
          <cell r="EK247">
            <v>44930</v>
          </cell>
          <cell r="EL247">
            <v>8.82</v>
          </cell>
          <cell r="EM247">
            <v>54.3</v>
          </cell>
          <cell r="EN247">
            <v>88.6</v>
          </cell>
          <cell r="EO247">
            <v>14.9</v>
          </cell>
          <cell r="EP247">
            <v>4.62</v>
          </cell>
          <cell r="EQ247">
            <v>17.399999999999999</v>
          </cell>
          <cell r="ER247">
            <v>2.36</v>
          </cell>
          <cell r="ES247">
            <v>1.19</v>
          </cell>
          <cell r="ET247">
            <v>0.753</v>
          </cell>
        </row>
        <row r="248">
          <cell r="B248" t="str">
            <v>WT12X73</v>
          </cell>
          <cell r="C248" t="str">
            <v>WT12X73</v>
          </cell>
          <cell r="D248" t="str">
            <v>F</v>
          </cell>
          <cell r="E248">
            <v>73</v>
          </cell>
          <cell r="F248">
            <v>21.5</v>
          </cell>
          <cell r="G248" t="str">
            <v>WT12X73</v>
          </cell>
          <cell r="H248">
            <v>12.4</v>
          </cell>
          <cell r="I248">
            <v>12.375</v>
          </cell>
          <cell r="J248" t="str">
            <v>–</v>
          </cell>
          <cell r="K248" t="str">
            <v>–</v>
          </cell>
          <cell r="L248" t="str">
            <v>–</v>
          </cell>
          <cell r="M248">
            <v>12.9</v>
          </cell>
          <cell r="N248">
            <v>12.875</v>
          </cell>
          <cell r="O248" t="str">
            <v>–</v>
          </cell>
          <cell r="P248" t="str">
            <v>–</v>
          </cell>
          <cell r="Q248" t="str">
            <v>–</v>
          </cell>
          <cell r="R248">
            <v>0.65</v>
          </cell>
          <cell r="S248">
            <v>0.625</v>
          </cell>
          <cell r="T248">
            <v>0.3125</v>
          </cell>
          <cell r="U248">
            <v>1.0900000000000001</v>
          </cell>
          <cell r="V248">
            <v>1.0625</v>
          </cell>
          <cell r="W248">
            <v>1.0900000000000001</v>
          </cell>
          <cell r="DZ248" t="str">
            <v>W10X112</v>
          </cell>
          <cell r="EA248">
            <v>112</v>
          </cell>
          <cell r="EB248">
            <v>32.9</v>
          </cell>
          <cell r="EC248">
            <v>11.4</v>
          </cell>
          <cell r="ED248" t="str">
            <v>11 3/8</v>
          </cell>
          <cell r="EE248">
            <v>0.755</v>
          </cell>
          <cell r="EF248">
            <v>44989</v>
          </cell>
          <cell r="EG248">
            <v>44993</v>
          </cell>
          <cell r="EH248">
            <v>10.4</v>
          </cell>
          <cell r="EI248" t="str">
            <v>10 3/8</v>
          </cell>
          <cell r="EJ248">
            <v>1.25</v>
          </cell>
          <cell r="EK248" t="str">
            <v>1 1/4</v>
          </cell>
          <cell r="EL248">
            <v>4.17</v>
          </cell>
          <cell r="EM248">
            <v>10.4</v>
          </cell>
          <cell r="EN248">
            <v>716</v>
          </cell>
          <cell r="EO248">
            <v>126</v>
          </cell>
          <cell r="EP248">
            <v>4.66</v>
          </cell>
          <cell r="EQ248">
            <v>147</v>
          </cell>
          <cell r="ER248">
            <v>236</v>
          </cell>
          <cell r="ES248">
            <v>45.3</v>
          </cell>
          <cell r="ET248">
            <v>2.68</v>
          </cell>
        </row>
        <row r="249">
          <cell r="B249" t="str">
            <v>WT12X65.5</v>
          </cell>
          <cell r="C249" t="str">
            <v>WT12X65.5</v>
          </cell>
          <cell r="D249" t="str">
            <v>F</v>
          </cell>
          <cell r="E249">
            <v>65.5</v>
          </cell>
          <cell r="F249">
            <v>19.3</v>
          </cell>
          <cell r="G249" t="str">
            <v>WT12X65.5</v>
          </cell>
          <cell r="H249">
            <v>12.2</v>
          </cell>
          <cell r="I249">
            <v>12.25</v>
          </cell>
          <cell r="J249" t="str">
            <v>–</v>
          </cell>
          <cell r="K249" t="str">
            <v>–</v>
          </cell>
          <cell r="L249" t="str">
            <v>–</v>
          </cell>
          <cell r="M249">
            <v>12.9</v>
          </cell>
          <cell r="N249">
            <v>12.875</v>
          </cell>
          <cell r="O249" t="str">
            <v>–</v>
          </cell>
          <cell r="P249" t="str">
            <v>–</v>
          </cell>
          <cell r="Q249" t="str">
            <v>–</v>
          </cell>
          <cell r="R249">
            <v>0.60499999999999998</v>
          </cell>
          <cell r="S249">
            <v>0.625</v>
          </cell>
          <cell r="T249">
            <v>0.3125</v>
          </cell>
          <cell r="U249">
            <v>0.96</v>
          </cell>
          <cell r="V249">
            <v>0.9375</v>
          </cell>
          <cell r="W249">
            <v>0.96</v>
          </cell>
          <cell r="DZ249" t="str">
            <v>W10X100</v>
          </cell>
          <cell r="EA249">
            <v>100</v>
          </cell>
          <cell r="EB249">
            <v>29.3</v>
          </cell>
          <cell r="EC249">
            <v>11.1</v>
          </cell>
          <cell r="ED249" t="str">
            <v>11 1/8</v>
          </cell>
          <cell r="EE249">
            <v>0.68</v>
          </cell>
          <cell r="EF249">
            <v>45246</v>
          </cell>
          <cell r="EG249">
            <v>44993</v>
          </cell>
          <cell r="EH249">
            <v>10.3</v>
          </cell>
          <cell r="EI249" t="str">
            <v>10 3/8</v>
          </cell>
          <cell r="EJ249">
            <v>1.1200000000000001</v>
          </cell>
          <cell r="EK249" t="str">
            <v>1 1/8</v>
          </cell>
          <cell r="EL249">
            <v>4.62</v>
          </cell>
          <cell r="EM249">
            <v>11.6</v>
          </cell>
          <cell r="EN249">
            <v>623</v>
          </cell>
          <cell r="EO249">
            <v>112</v>
          </cell>
          <cell r="EP249">
            <v>4.5999999999999996</v>
          </cell>
          <cell r="EQ249">
            <v>130</v>
          </cell>
          <cell r="ER249">
            <v>207</v>
          </cell>
          <cell r="ES249">
            <v>40</v>
          </cell>
          <cell r="ET249">
            <v>2.65</v>
          </cell>
        </row>
        <row r="250">
          <cell r="B250" t="str">
            <v>WT12X58.5</v>
          </cell>
          <cell r="C250" t="str">
            <v>WT12X58.5</v>
          </cell>
          <cell r="D250" t="str">
            <v>F</v>
          </cell>
          <cell r="E250">
            <v>58.5</v>
          </cell>
          <cell r="F250">
            <v>17.2</v>
          </cell>
          <cell r="G250" t="str">
            <v>WT12X58.5</v>
          </cell>
          <cell r="H250">
            <v>12.1</v>
          </cell>
          <cell r="I250">
            <v>12.125</v>
          </cell>
          <cell r="J250" t="str">
            <v>–</v>
          </cell>
          <cell r="K250" t="str">
            <v>–</v>
          </cell>
          <cell r="L250" t="str">
            <v>–</v>
          </cell>
          <cell r="M250">
            <v>12.8</v>
          </cell>
          <cell r="N250">
            <v>12.75</v>
          </cell>
          <cell r="O250" t="str">
            <v>–</v>
          </cell>
          <cell r="P250" t="str">
            <v>–</v>
          </cell>
          <cell r="Q250" t="str">
            <v>–</v>
          </cell>
          <cell r="R250">
            <v>0.55000000000000004</v>
          </cell>
          <cell r="S250">
            <v>0.5625</v>
          </cell>
          <cell r="T250">
            <v>0.3125</v>
          </cell>
          <cell r="U250">
            <v>0.85</v>
          </cell>
          <cell r="V250">
            <v>0.875</v>
          </cell>
          <cell r="W250">
            <v>0.85</v>
          </cell>
          <cell r="DZ250" t="str">
            <v>W10X88</v>
          </cell>
          <cell r="EA250">
            <v>88</v>
          </cell>
          <cell r="EB250">
            <v>26</v>
          </cell>
          <cell r="EC250">
            <v>10.8</v>
          </cell>
          <cell r="ED250" t="str">
            <v>10 7/8</v>
          </cell>
          <cell r="EE250">
            <v>0.60499999999999998</v>
          </cell>
          <cell r="EF250">
            <v>45054</v>
          </cell>
          <cell r="EG250">
            <v>45062</v>
          </cell>
          <cell r="EH250">
            <v>10.3</v>
          </cell>
          <cell r="EI250" t="str">
            <v>10 1/4</v>
          </cell>
          <cell r="EJ250">
            <v>0.99</v>
          </cell>
          <cell r="EK250">
            <v>1</v>
          </cell>
          <cell r="EL250">
            <v>5.18</v>
          </cell>
          <cell r="EM250">
            <v>13</v>
          </cell>
          <cell r="EN250">
            <v>534</v>
          </cell>
          <cell r="EO250">
            <v>98.5</v>
          </cell>
          <cell r="EP250">
            <v>4.54</v>
          </cell>
          <cell r="EQ250">
            <v>113</v>
          </cell>
          <cell r="ER250">
            <v>179</v>
          </cell>
          <cell r="ES250">
            <v>34.799999999999997</v>
          </cell>
          <cell r="ET250">
            <v>2.63</v>
          </cell>
        </row>
        <row r="251">
          <cell r="B251" t="str">
            <v>WT12X52</v>
          </cell>
          <cell r="C251" t="str">
            <v>WT12X52</v>
          </cell>
          <cell r="D251" t="str">
            <v>F</v>
          </cell>
          <cell r="E251">
            <v>52</v>
          </cell>
          <cell r="F251">
            <v>15.3</v>
          </cell>
          <cell r="G251" t="str">
            <v>WT12X52</v>
          </cell>
          <cell r="H251">
            <v>12</v>
          </cell>
          <cell r="I251">
            <v>12</v>
          </cell>
          <cell r="J251" t="str">
            <v>–</v>
          </cell>
          <cell r="K251" t="str">
            <v>–</v>
          </cell>
          <cell r="L251" t="str">
            <v>–</v>
          </cell>
          <cell r="M251">
            <v>12.8</v>
          </cell>
          <cell r="N251">
            <v>12.75</v>
          </cell>
          <cell r="O251" t="str">
            <v>–</v>
          </cell>
          <cell r="P251" t="str">
            <v>–</v>
          </cell>
          <cell r="Q251" t="str">
            <v>–</v>
          </cell>
          <cell r="R251">
            <v>0.5</v>
          </cell>
          <cell r="S251">
            <v>0.5</v>
          </cell>
          <cell r="T251">
            <v>0.25</v>
          </cell>
          <cell r="U251">
            <v>0.75</v>
          </cell>
          <cell r="V251">
            <v>0.75</v>
          </cell>
          <cell r="W251">
            <v>0.75</v>
          </cell>
          <cell r="DZ251" t="str">
            <v>W10X77</v>
          </cell>
          <cell r="EA251">
            <v>77</v>
          </cell>
          <cell r="EB251">
            <v>22.7</v>
          </cell>
          <cell r="EC251">
            <v>10.6</v>
          </cell>
          <cell r="ED251" t="str">
            <v>10 5/8</v>
          </cell>
          <cell r="EE251">
            <v>0.53</v>
          </cell>
          <cell r="EF251">
            <v>44928</v>
          </cell>
          <cell r="EG251">
            <v>44930</v>
          </cell>
          <cell r="EH251">
            <v>10.199999999999999</v>
          </cell>
          <cell r="EI251" t="str">
            <v>10 1/4</v>
          </cell>
          <cell r="EJ251">
            <v>0.87</v>
          </cell>
          <cell r="EK251">
            <v>45115</v>
          </cell>
          <cell r="EL251">
            <v>5.86</v>
          </cell>
          <cell r="EM251">
            <v>14.8</v>
          </cell>
          <cell r="EN251">
            <v>455</v>
          </cell>
          <cell r="EO251">
            <v>85.9</v>
          </cell>
          <cell r="EP251">
            <v>4.49</v>
          </cell>
          <cell r="EQ251">
            <v>97.6</v>
          </cell>
          <cell r="ER251">
            <v>154</v>
          </cell>
          <cell r="ES251">
            <v>30.1</v>
          </cell>
          <cell r="ET251">
            <v>2.6</v>
          </cell>
        </row>
        <row r="252">
          <cell r="B252" t="str">
            <v>WT12X51.5</v>
          </cell>
          <cell r="C252" t="str">
            <v>WT12X51.5</v>
          </cell>
          <cell r="D252" t="str">
            <v>F</v>
          </cell>
          <cell r="E252">
            <v>51.5</v>
          </cell>
          <cell r="F252">
            <v>15.1</v>
          </cell>
          <cell r="G252" t="str">
            <v>WT12X51.5</v>
          </cell>
          <cell r="H252">
            <v>12.3</v>
          </cell>
          <cell r="I252">
            <v>12.25</v>
          </cell>
          <cell r="J252" t="str">
            <v>–</v>
          </cell>
          <cell r="K252" t="str">
            <v>–</v>
          </cell>
          <cell r="L252" t="str">
            <v>–</v>
          </cell>
          <cell r="M252">
            <v>9</v>
          </cell>
          <cell r="N252">
            <v>9</v>
          </cell>
          <cell r="O252" t="str">
            <v>–</v>
          </cell>
          <cell r="P252" t="str">
            <v>–</v>
          </cell>
          <cell r="Q252" t="str">
            <v>–</v>
          </cell>
          <cell r="R252">
            <v>0.55000000000000004</v>
          </cell>
          <cell r="S252">
            <v>0.5625</v>
          </cell>
          <cell r="T252">
            <v>0.3125</v>
          </cell>
          <cell r="U252">
            <v>0.98</v>
          </cell>
          <cell r="V252">
            <v>1</v>
          </cell>
          <cell r="W252">
            <v>0.98</v>
          </cell>
          <cell r="DZ252" t="str">
            <v>W10X68</v>
          </cell>
          <cell r="EA252">
            <v>68</v>
          </cell>
          <cell r="EB252">
            <v>19.899999999999999</v>
          </cell>
          <cell r="EC252">
            <v>10.4</v>
          </cell>
          <cell r="ED252" t="str">
            <v>10 3/8</v>
          </cell>
          <cell r="EE252">
            <v>0.47</v>
          </cell>
          <cell r="EF252">
            <v>44928</v>
          </cell>
          <cell r="EG252">
            <v>44930</v>
          </cell>
          <cell r="EH252">
            <v>10.1</v>
          </cell>
          <cell r="EI252" t="str">
            <v>10 1/8</v>
          </cell>
          <cell r="EJ252">
            <v>0.77</v>
          </cell>
          <cell r="EK252">
            <v>44989</v>
          </cell>
          <cell r="EL252">
            <v>6.58</v>
          </cell>
          <cell r="EM252">
            <v>16.7</v>
          </cell>
          <cell r="EN252">
            <v>394</v>
          </cell>
          <cell r="EO252">
            <v>75.7</v>
          </cell>
          <cell r="EP252">
            <v>4.4400000000000004</v>
          </cell>
          <cell r="EQ252">
            <v>85.3</v>
          </cell>
          <cell r="ER252">
            <v>134</v>
          </cell>
          <cell r="ES252">
            <v>26.4</v>
          </cell>
          <cell r="ET252">
            <v>2.59</v>
          </cell>
        </row>
        <row r="253">
          <cell r="B253" t="str">
            <v>WT12X47</v>
          </cell>
          <cell r="C253" t="str">
            <v>WT12X47</v>
          </cell>
          <cell r="D253" t="str">
            <v>F</v>
          </cell>
          <cell r="E253">
            <v>47</v>
          </cell>
          <cell r="F253">
            <v>13.8</v>
          </cell>
          <cell r="G253" t="str">
            <v>WT12X47</v>
          </cell>
          <cell r="H253">
            <v>12.2</v>
          </cell>
          <cell r="I253">
            <v>12.125</v>
          </cell>
          <cell r="J253" t="str">
            <v>–</v>
          </cell>
          <cell r="K253" t="str">
            <v>–</v>
          </cell>
          <cell r="L253" t="str">
            <v>–</v>
          </cell>
          <cell r="M253">
            <v>9.07</v>
          </cell>
          <cell r="N253">
            <v>9.125</v>
          </cell>
          <cell r="O253" t="str">
            <v>–</v>
          </cell>
          <cell r="P253" t="str">
            <v>–</v>
          </cell>
          <cell r="Q253" t="str">
            <v>–</v>
          </cell>
          <cell r="R253">
            <v>0.51500000000000001</v>
          </cell>
          <cell r="S253">
            <v>0.5</v>
          </cell>
          <cell r="T253">
            <v>0.25</v>
          </cell>
          <cell r="U253">
            <v>0.875</v>
          </cell>
          <cell r="V253">
            <v>0.875</v>
          </cell>
          <cell r="W253">
            <v>0.875</v>
          </cell>
          <cell r="DZ253" t="str">
            <v>W10X60</v>
          </cell>
          <cell r="EA253">
            <v>60</v>
          </cell>
          <cell r="EB253">
            <v>17.7</v>
          </cell>
          <cell r="EC253">
            <v>10.199999999999999</v>
          </cell>
          <cell r="ED253" t="str">
            <v>10 1/4</v>
          </cell>
          <cell r="EE253">
            <v>0.42</v>
          </cell>
          <cell r="EF253">
            <v>45123</v>
          </cell>
          <cell r="EG253">
            <v>44930</v>
          </cell>
          <cell r="EH253">
            <v>10.1</v>
          </cell>
          <cell r="EI253" t="str">
            <v>10 1/8</v>
          </cell>
          <cell r="EJ253">
            <v>0.68</v>
          </cell>
          <cell r="EK253">
            <v>45246</v>
          </cell>
          <cell r="EL253">
            <v>7.41</v>
          </cell>
          <cell r="EM253">
            <v>18.7</v>
          </cell>
          <cell r="EN253">
            <v>341</v>
          </cell>
          <cell r="EO253">
            <v>66.7</v>
          </cell>
          <cell r="EP253">
            <v>4.3899999999999997</v>
          </cell>
          <cell r="EQ253">
            <v>74.599999999999994</v>
          </cell>
          <cell r="ER253">
            <v>116</v>
          </cell>
          <cell r="ES253">
            <v>23</v>
          </cell>
          <cell r="ET253">
            <v>2.57</v>
          </cell>
        </row>
        <row r="254">
          <cell r="B254" t="str">
            <v>WT12X42</v>
          </cell>
          <cell r="C254" t="str">
            <v>WT12X42</v>
          </cell>
          <cell r="D254" t="str">
            <v>F</v>
          </cell>
          <cell r="E254">
            <v>42</v>
          </cell>
          <cell r="F254">
            <v>12.4</v>
          </cell>
          <cell r="G254" t="str">
            <v>WT12X42</v>
          </cell>
          <cell r="H254">
            <v>12.1</v>
          </cell>
          <cell r="I254">
            <v>12</v>
          </cell>
          <cell r="J254" t="str">
            <v>–</v>
          </cell>
          <cell r="K254" t="str">
            <v>–</v>
          </cell>
          <cell r="L254" t="str">
            <v>–</v>
          </cell>
          <cell r="M254">
            <v>9.02</v>
          </cell>
          <cell r="N254">
            <v>9</v>
          </cell>
          <cell r="O254" t="str">
            <v>–</v>
          </cell>
          <cell r="P254" t="str">
            <v>–</v>
          </cell>
          <cell r="Q254" t="str">
            <v>–</v>
          </cell>
          <cell r="R254">
            <v>0.47</v>
          </cell>
          <cell r="S254">
            <v>0.5</v>
          </cell>
          <cell r="T254">
            <v>0.25</v>
          </cell>
          <cell r="U254">
            <v>0.77</v>
          </cell>
          <cell r="V254">
            <v>0.75</v>
          </cell>
          <cell r="W254">
            <v>0.77</v>
          </cell>
          <cell r="DZ254" t="str">
            <v>W10X54</v>
          </cell>
          <cell r="EA254">
            <v>54</v>
          </cell>
          <cell r="EB254">
            <v>15.8</v>
          </cell>
          <cell r="EC254">
            <v>10.1</v>
          </cell>
          <cell r="ED254" t="str">
            <v>10 1/8</v>
          </cell>
          <cell r="EE254">
            <v>0.37</v>
          </cell>
          <cell r="EF254">
            <v>44993</v>
          </cell>
          <cell r="EG254">
            <v>45001</v>
          </cell>
          <cell r="EH254">
            <v>10</v>
          </cell>
          <cell r="EI254">
            <v>10</v>
          </cell>
          <cell r="EJ254">
            <v>0.61499999999999999</v>
          </cell>
          <cell r="EK254">
            <v>45054</v>
          </cell>
          <cell r="EL254">
            <v>8.15</v>
          </cell>
          <cell r="EM254">
            <v>21.2</v>
          </cell>
          <cell r="EN254">
            <v>303</v>
          </cell>
          <cell r="EO254">
            <v>60</v>
          </cell>
          <cell r="EP254">
            <v>4.37</v>
          </cell>
          <cell r="EQ254">
            <v>66.599999999999994</v>
          </cell>
          <cell r="ER254">
            <v>103</v>
          </cell>
          <cell r="ES254">
            <v>20.6</v>
          </cell>
          <cell r="ET254">
            <v>2.56</v>
          </cell>
        </row>
        <row r="255">
          <cell r="B255" t="str">
            <v>WT12X38</v>
          </cell>
          <cell r="C255" t="str">
            <v>WT12X38</v>
          </cell>
          <cell r="D255" t="str">
            <v>F</v>
          </cell>
          <cell r="E255">
            <v>38</v>
          </cell>
          <cell r="F255">
            <v>11.2</v>
          </cell>
          <cell r="G255" t="str">
            <v>WT12X38</v>
          </cell>
          <cell r="H255">
            <v>12</v>
          </cell>
          <cell r="I255">
            <v>12</v>
          </cell>
          <cell r="J255" t="str">
            <v>–</v>
          </cell>
          <cell r="K255" t="str">
            <v>–</v>
          </cell>
          <cell r="L255" t="str">
            <v>–</v>
          </cell>
          <cell r="M255">
            <v>8.99</v>
          </cell>
          <cell r="N255">
            <v>9</v>
          </cell>
          <cell r="O255" t="str">
            <v>–</v>
          </cell>
          <cell r="P255" t="str">
            <v>–</v>
          </cell>
          <cell r="Q255" t="str">
            <v>–</v>
          </cell>
          <cell r="R255">
            <v>0.44</v>
          </cell>
          <cell r="S255">
            <v>0.4375</v>
          </cell>
          <cell r="T255">
            <v>0.25</v>
          </cell>
          <cell r="U255">
            <v>0.68</v>
          </cell>
          <cell r="V255">
            <v>0.6875</v>
          </cell>
          <cell r="W255">
            <v>0.68</v>
          </cell>
          <cell r="DZ255" t="str">
            <v>W10X49</v>
          </cell>
          <cell r="EA255">
            <v>49</v>
          </cell>
          <cell r="EB255">
            <v>14.4</v>
          </cell>
          <cell r="EC255">
            <v>10</v>
          </cell>
          <cell r="ED255">
            <v>10</v>
          </cell>
          <cell r="EE255">
            <v>0.34</v>
          </cell>
          <cell r="EF255">
            <v>45062</v>
          </cell>
          <cell r="EG255">
            <v>45001</v>
          </cell>
          <cell r="EH255">
            <v>10</v>
          </cell>
          <cell r="EI255">
            <v>10</v>
          </cell>
          <cell r="EJ255">
            <v>0.56000000000000005</v>
          </cell>
          <cell r="EK255">
            <v>45185</v>
          </cell>
          <cell r="EL255">
            <v>8.93</v>
          </cell>
          <cell r="EM255">
            <v>23.1</v>
          </cell>
          <cell r="EN255">
            <v>272</v>
          </cell>
          <cell r="EO255">
            <v>54.6</v>
          </cell>
          <cell r="EP255">
            <v>4.3499999999999996</v>
          </cell>
          <cell r="EQ255">
            <v>60.4</v>
          </cell>
          <cell r="ER255">
            <v>93.4</v>
          </cell>
          <cell r="ES255">
            <v>18.7</v>
          </cell>
          <cell r="ET255">
            <v>2.54</v>
          </cell>
        </row>
        <row r="256">
          <cell r="B256" t="str">
            <v>WT12X34</v>
          </cell>
          <cell r="C256" t="str">
            <v>WT12X34</v>
          </cell>
          <cell r="D256" t="str">
            <v>F</v>
          </cell>
          <cell r="E256">
            <v>34</v>
          </cell>
          <cell r="F256">
            <v>10</v>
          </cell>
          <cell r="G256" t="str">
            <v>WT12X34</v>
          </cell>
          <cell r="H256">
            <v>11.9</v>
          </cell>
          <cell r="I256">
            <v>11.875</v>
          </cell>
          <cell r="J256" t="str">
            <v>–</v>
          </cell>
          <cell r="K256" t="str">
            <v>–</v>
          </cell>
          <cell r="L256" t="str">
            <v>–</v>
          </cell>
          <cell r="M256">
            <v>8.9700000000000006</v>
          </cell>
          <cell r="N256">
            <v>9</v>
          </cell>
          <cell r="O256" t="str">
            <v>–</v>
          </cell>
          <cell r="P256" t="str">
            <v>–</v>
          </cell>
          <cell r="Q256" t="str">
            <v>–</v>
          </cell>
          <cell r="R256">
            <v>0.41499999999999998</v>
          </cell>
          <cell r="S256">
            <v>0.4375</v>
          </cell>
          <cell r="T256">
            <v>0.25</v>
          </cell>
          <cell r="U256">
            <v>0.58499999999999996</v>
          </cell>
          <cell r="V256">
            <v>0.5625</v>
          </cell>
          <cell r="W256">
            <v>0.58499999999999996</v>
          </cell>
          <cell r="DZ256" t="str">
            <v>W10X45</v>
          </cell>
          <cell r="EA256">
            <v>45</v>
          </cell>
          <cell r="EB256">
            <v>13.3</v>
          </cell>
          <cell r="EC256">
            <v>10.1</v>
          </cell>
          <cell r="ED256" t="str">
            <v>10 1/8</v>
          </cell>
          <cell r="EE256">
            <v>0.35</v>
          </cell>
          <cell r="EF256">
            <v>44993</v>
          </cell>
          <cell r="EG256">
            <v>45001</v>
          </cell>
          <cell r="EH256">
            <v>8.02</v>
          </cell>
          <cell r="EI256">
            <v>8</v>
          </cell>
          <cell r="EJ256">
            <v>0.62</v>
          </cell>
          <cell r="EK256">
            <v>45054</v>
          </cell>
          <cell r="EL256">
            <v>6.47</v>
          </cell>
          <cell r="EM256">
            <v>22.5</v>
          </cell>
          <cell r="EN256">
            <v>248</v>
          </cell>
          <cell r="EO256">
            <v>49.1</v>
          </cell>
          <cell r="EP256">
            <v>4.32</v>
          </cell>
          <cell r="EQ256">
            <v>54.9</v>
          </cell>
          <cell r="ER256">
            <v>53.4</v>
          </cell>
          <cell r="ES256">
            <v>13.3</v>
          </cell>
          <cell r="ET256">
            <v>2.0099999999999998</v>
          </cell>
        </row>
        <row r="257">
          <cell r="B257" t="str">
            <v>WT12X31</v>
          </cell>
          <cell r="C257" t="str">
            <v>WT12X31</v>
          </cell>
          <cell r="D257" t="str">
            <v>F</v>
          </cell>
          <cell r="E257">
            <v>31</v>
          </cell>
          <cell r="F257">
            <v>9.11</v>
          </cell>
          <cell r="G257" t="str">
            <v>WT12X31</v>
          </cell>
          <cell r="H257">
            <v>11.9</v>
          </cell>
          <cell r="I257">
            <v>11.875</v>
          </cell>
          <cell r="J257" t="str">
            <v>–</v>
          </cell>
          <cell r="K257" t="str">
            <v>–</v>
          </cell>
          <cell r="L257" t="str">
            <v>–</v>
          </cell>
          <cell r="M257">
            <v>7.04</v>
          </cell>
          <cell r="N257">
            <v>7</v>
          </cell>
          <cell r="O257" t="str">
            <v>–</v>
          </cell>
          <cell r="P257" t="str">
            <v>–</v>
          </cell>
          <cell r="Q257" t="str">
            <v>–</v>
          </cell>
          <cell r="R257">
            <v>0.43</v>
          </cell>
          <cell r="S257">
            <v>0.4375</v>
          </cell>
          <cell r="T257">
            <v>0.25</v>
          </cell>
          <cell r="U257">
            <v>0.59</v>
          </cell>
          <cell r="V257">
            <v>0.5625</v>
          </cell>
          <cell r="W257">
            <v>0.59</v>
          </cell>
          <cell r="DZ257" t="str">
            <v>W10X39</v>
          </cell>
          <cell r="EA257">
            <v>39</v>
          </cell>
          <cell r="EB257">
            <v>11.5</v>
          </cell>
          <cell r="EC257">
            <v>9.92</v>
          </cell>
          <cell r="ED257" t="str">
            <v>9 7/8</v>
          </cell>
          <cell r="EE257">
            <v>0.315</v>
          </cell>
          <cell r="EF257">
            <v>45062</v>
          </cell>
          <cell r="EG257">
            <v>45001</v>
          </cell>
          <cell r="EH257">
            <v>7.99</v>
          </cell>
          <cell r="EI257">
            <v>8</v>
          </cell>
          <cell r="EJ257">
            <v>0.53</v>
          </cell>
          <cell r="EK257">
            <v>44928</v>
          </cell>
          <cell r="EL257">
            <v>7.53</v>
          </cell>
          <cell r="EM257">
            <v>25</v>
          </cell>
          <cell r="EN257">
            <v>209</v>
          </cell>
          <cell r="EO257">
            <v>42.1</v>
          </cell>
          <cell r="EP257">
            <v>4.2699999999999996</v>
          </cell>
          <cell r="EQ257">
            <v>46.8</v>
          </cell>
          <cell r="ER257">
            <v>45</v>
          </cell>
          <cell r="ES257">
            <v>11.3</v>
          </cell>
          <cell r="ET257">
            <v>1.98</v>
          </cell>
        </row>
        <row r="258">
          <cell r="B258" t="str">
            <v>WT12X27.5</v>
          </cell>
          <cell r="C258" t="str">
            <v>WT12X27.5</v>
          </cell>
          <cell r="D258" t="str">
            <v>F</v>
          </cell>
          <cell r="E258">
            <v>27.5</v>
          </cell>
          <cell r="F258">
            <v>8.1</v>
          </cell>
          <cell r="G258" t="str">
            <v>WT12X27.5</v>
          </cell>
          <cell r="H258">
            <v>11.8</v>
          </cell>
          <cell r="I258">
            <v>11.75</v>
          </cell>
          <cell r="J258" t="str">
            <v>–</v>
          </cell>
          <cell r="K258" t="str">
            <v>–</v>
          </cell>
          <cell r="L258" t="str">
            <v>–</v>
          </cell>
          <cell r="M258">
            <v>7.01</v>
          </cell>
          <cell r="N258">
            <v>7</v>
          </cell>
          <cell r="O258" t="str">
            <v>–</v>
          </cell>
          <cell r="P258" t="str">
            <v>–</v>
          </cell>
          <cell r="Q258" t="str">
            <v>–</v>
          </cell>
          <cell r="R258">
            <v>0.39500000000000002</v>
          </cell>
          <cell r="S258">
            <v>0.375</v>
          </cell>
          <cell r="T258">
            <v>0.1875</v>
          </cell>
          <cell r="U258">
            <v>0.505</v>
          </cell>
          <cell r="V258">
            <v>0.5</v>
          </cell>
          <cell r="W258">
            <v>0.505</v>
          </cell>
          <cell r="DZ258" t="str">
            <v>W10X33</v>
          </cell>
          <cell r="EA258">
            <v>33</v>
          </cell>
          <cell r="EB258">
            <v>9.7100000000000009</v>
          </cell>
          <cell r="EC258">
            <v>9.73</v>
          </cell>
          <cell r="ED258" t="str">
            <v>9 3/4</v>
          </cell>
          <cell r="EE258">
            <v>0.28999999999999998</v>
          </cell>
          <cell r="EF258">
            <v>45062</v>
          </cell>
          <cell r="EG258">
            <v>45001</v>
          </cell>
          <cell r="EH258">
            <v>7.96</v>
          </cell>
          <cell r="EI258">
            <v>8</v>
          </cell>
          <cell r="EJ258">
            <v>0.435</v>
          </cell>
          <cell r="EK258">
            <v>45123</v>
          </cell>
          <cell r="EL258">
            <v>9.15</v>
          </cell>
          <cell r="EM258">
            <v>27.1</v>
          </cell>
          <cell r="EN258">
            <v>171</v>
          </cell>
          <cell r="EO258">
            <v>35</v>
          </cell>
          <cell r="EP258">
            <v>4.1900000000000004</v>
          </cell>
          <cell r="EQ258">
            <v>38.799999999999997</v>
          </cell>
          <cell r="ER258">
            <v>36.6</v>
          </cell>
          <cell r="ES258">
            <v>9.1999999999999993</v>
          </cell>
          <cell r="ET258">
            <v>1.94</v>
          </cell>
        </row>
        <row r="259">
          <cell r="B259" t="str">
            <v>WT10.5X137.5</v>
          </cell>
          <cell r="C259" t="str">
            <v>WT10.5X137.5</v>
          </cell>
          <cell r="D259" t="str">
            <v>T</v>
          </cell>
          <cell r="E259">
            <v>137.5</v>
          </cell>
          <cell r="F259">
            <v>40.9</v>
          </cell>
          <cell r="G259" t="str">
            <v>WT10.5X137.5</v>
          </cell>
          <cell r="H259">
            <v>12.1</v>
          </cell>
          <cell r="I259">
            <v>12.125</v>
          </cell>
          <cell r="J259" t="str">
            <v>–</v>
          </cell>
          <cell r="K259" t="str">
            <v>–</v>
          </cell>
          <cell r="L259" t="str">
            <v>–</v>
          </cell>
          <cell r="M259">
            <v>12.9</v>
          </cell>
          <cell r="N259">
            <v>12.875</v>
          </cell>
          <cell r="O259" t="str">
            <v>–</v>
          </cell>
          <cell r="P259" t="str">
            <v>–</v>
          </cell>
          <cell r="Q259" t="str">
            <v>–</v>
          </cell>
          <cell r="R259">
            <v>1.22</v>
          </cell>
          <cell r="S259">
            <v>1.25</v>
          </cell>
          <cell r="T259">
            <v>0.625</v>
          </cell>
          <cell r="U259">
            <v>2.19</v>
          </cell>
          <cell r="V259">
            <v>2.1875</v>
          </cell>
          <cell r="W259">
            <v>2.19</v>
          </cell>
          <cell r="DZ259" t="str">
            <v>W10X30</v>
          </cell>
          <cell r="EA259">
            <v>30</v>
          </cell>
          <cell r="EB259">
            <v>8.84</v>
          </cell>
          <cell r="EC259">
            <v>10.5</v>
          </cell>
          <cell r="ED259" t="str">
            <v>10 1/2</v>
          </cell>
          <cell r="EE259">
            <v>0.3</v>
          </cell>
          <cell r="EF259">
            <v>45062</v>
          </cell>
          <cell r="EG259">
            <v>45001</v>
          </cell>
          <cell r="EH259">
            <v>5.81</v>
          </cell>
          <cell r="EI259" t="str">
            <v>5 3/4</v>
          </cell>
          <cell r="EJ259">
            <v>0.51</v>
          </cell>
          <cell r="EK259">
            <v>44928</v>
          </cell>
          <cell r="EL259">
            <v>5.7</v>
          </cell>
          <cell r="EM259">
            <v>29.5</v>
          </cell>
          <cell r="EN259">
            <v>170</v>
          </cell>
          <cell r="EO259">
            <v>32.4</v>
          </cell>
          <cell r="EP259">
            <v>4.38</v>
          </cell>
          <cell r="EQ259">
            <v>36.6</v>
          </cell>
          <cell r="ER259">
            <v>16.7</v>
          </cell>
          <cell r="ES259">
            <v>5.75</v>
          </cell>
          <cell r="ET259">
            <v>1.37</v>
          </cell>
        </row>
        <row r="260">
          <cell r="B260" t="str">
            <v>WT10.5X124</v>
          </cell>
          <cell r="C260" t="str">
            <v>WT10.5X124</v>
          </cell>
          <cell r="D260" t="str">
            <v>F</v>
          </cell>
          <cell r="E260">
            <v>124</v>
          </cell>
          <cell r="F260">
            <v>37</v>
          </cell>
          <cell r="G260" t="str">
            <v>WT10.5X124</v>
          </cell>
          <cell r="H260">
            <v>11.9</v>
          </cell>
          <cell r="I260">
            <v>11.875</v>
          </cell>
          <cell r="J260" t="str">
            <v>–</v>
          </cell>
          <cell r="K260" t="str">
            <v>–</v>
          </cell>
          <cell r="L260" t="str">
            <v>–</v>
          </cell>
          <cell r="M260">
            <v>12.8</v>
          </cell>
          <cell r="N260">
            <v>12.75</v>
          </cell>
          <cell r="O260" t="str">
            <v>–</v>
          </cell>
          <cell r="P260" t="str">
            <v>–</v>
          </cell>
          <cell r="Q260" t="str">
            <v>–</v>
          </cell>
          <cell r="R260">
            <v>1.1000000000000001</v>
          </cell>
          <cell r="S260">
            <v>1.125</v>
          </cell>
          <cell r="T260">
            <v>0.5625</v>
          </cell>
          <cell r="U260">
            <v>1.99</v>
          </cell>
          <cell r="V260">
            <v>2</v>
          </cell>
          <cell r="W260">
            <v>1.99</v>
          </cell>
          <cell r="DZ260" t="str">
            <v>W10X26</v>
          </cell>
          <cell r="EA260">
            <v>26</v>
          </cell>
          <cell r="EB260">
            <v>7.61</v>
          </cell>
          <cell r="EC260">
            <v>10.3</v>
          </cell>
          <cell r="ED260" t="str">
            <v>10 3/8</v>
          </cell>
          <cell r="EE260">
            <v>0.26</v>
          </cell>
          <cell r="EF260">
            <v>44930</v>
          </cell>
          <cell r="EG260">
            <v>44934</v>
          </cell>
          <cell r="EH260">
            <v>5.77</v>
          </cell>
          <cell r="EI260" t="str">
            <v>5 3/4</v>
          </cell>
          <cell r="EJ260">
            <v>0.44</v>
          </cell>
          <cell r="EK260">
            <v>45123</v>
          </cell>
          <cell r="EL260">
            <v>6.56</v>
          </cell>
          <cell r="EM260">
            <v>34</v>
          </cell>
          <cell r="EN260">
            <v>144</v>
          </cell>
          <cell r="EO260">
            <v>27.9</v>
          </cell>
          <cell r="EP260">
            <v>4.3499999999999996</v>
          </cell>
          <cell r="EQ260">
            <v>31.3</v>
          </cell>
          <cell r="ER260">
            <v>14.1</v>
          </cell>
          <cell r="ES260">
            <v>4.8899999999999997</v>
          </cell>
          <cell r="ET260">
            <v>1.36</v>
          </cell>
        </row>
        <row r="261">
          <cell r="B261" t="str">
            <v>WT10.5X111.5</v>
          </cell>
          <cell r="C261" t="str">
            <v>WT10.5X111.5</v>
          </cell>
          <cell r="D261" t="str">
            <v>F</v>
          </cell>
          <cell r="E261">
            <v>111.5</v>
          </cell>
          <cell r="F261">
            <v>33.200000000000003</v>
          </cell>
          <cell r="G261" t="str">
            <v>WT10.5X111.5</v>
          </cell>
          <cell r="H261">
            <v>11.7</v>
          </cell>
          <cell r="I261">
            <v>11.75</v>
          </cell>
          <cell r="J261" t="str">
            <v>–</v>
          </cell>
          <cell r="K261" t="str">
            <v>–</v>
          </cell>
          <cell r="L261" t="str">
            <v>–</v>
          </cell>
          <cell r="M261">
            <v>12.7</v>
          </cell>
          <cell r="N261">
            <v>12.75</v>
          </cell>
          <cell r="O261" t="str">
            <v>–</v>
          </cell>
          <cell r="P261" t="str">
            <v>–</v>
          </cell>
          <cell r="Q261" t="str">
            <v>–</v>
          </cell>
          <cell r="R261">
            <v>1</v>
          </cell>
          <cell r="S261">
            <v>1</v>
          </cell>
          <cell r="T261">
            <v>0.5</v>
          </cell>
          <cell r="U261">
            <v>1.79</v>
          </cell>
          <cell r="V261">
            <v>1.8125</v>
          </cell>
          <cell r="W261">
            <v>1.79</v>
          </cell>
          <cell r="DZ261" t="str">
            <v>W10X22</v>
          </cell>
          <cell r="EA261">
            <v>22</v>
          </cell>
          <cell r="EB261">
            <v>6.49</v>
          </cell>
          <cell r="EC261">
            <v>10.199999999999999</v>
          </cell>
          <cell r="ED261" t="str">
            <v>10 1/8</v>
          </cell>
          <cell r="EE261">
            <v>0.24</v>
          </cell>
          <cell r="EF261">
            <v>44930</v>
          </cell>
          <cell r="EG261">
            <v>44934</v>
          </cell>
          <cell r="EH261">
            <v>5.75</v>
          </cell>
          <cell r="EI261" t="str">
            <v>5 3/4</v>
          </cell>
          <cell r="EJ261">
            <v>0.36</v>
          </cell>
          <cell r="EK261">
            <v>44993</v>
          </cell>
          <cell r="EL261">
            <v>7.99</v>
          </cell>
          <cell r="EM261">
            <v>36.9</v>
          </cell>
          <cell r="EN261">
            <v>118</v>
          </cell>
          <cell r="EO261">
            <v>23.2</v>
          </cell>
          <cell r="EP261">
            <v>4.2699999999999996</v>
          </cell>
          <cell r="EQ261">
            <v>26</v>
          </cell>
          <cell r="ER261">
            <v>11.4</v>
          </cell>
          <cell r="ES261">
            <v>3.97</v>
          </cell>
          <cell r="ET261">
            <v>1.33</v>
          </cell>
        </row>
        <row r="262">
          <cell r="B262" t="str">
            <v>WT10.5X100.5</v>
          </cell>
          <cell r="C262" t="str">
            <v>WT10.5X100.5</v>
          </cell>
          <cell r="D262" t="str">
            <v>F</v>
          </cell>
          <cell r="E262">
            <v>100.5</v>
          </cell>
          <cell r="F262">
            <v>29.6</v>
          </cell>
          <cell r="G262" t="str">
            <v>WT10.5X100.5</v>
          </cell>
          <cell r="H262">
            <v>11.5</v>
          </cell>
          <cell r="I262">
            <v>11.5</v>
          </cell>
          <cell r="J262" t="str">
            <v>–</v>
          </cell>
          <cell r="K262" t="str">
            <v>–</v>
          </cell>
          <cell r="L262" t="str">
            <v>–</v>
          </cell>
          <cell r="M262">
            <v>12.6</v>
          </cell>
          <cell r="N262">
            <v>12.625</v>
          </cell>
          <cell r="O262" t="str">
            <v>–</v>
          </cell>
          <cell r="P262" t="str">
            <v>–</v>
          </cell>
          <cell r="Q262" t="str">
            <v>–</v>
          </cell>
          <cell r="R262">
            <v>0.91</v>
          </cell>
          <cell r="S262">
            <v>0.9375</v>
          </cell>
          <cell r="T262">
            <v>0.5</v>
          </cell>
          <cell r="U262">
            <v>1.63</v>
          </cell>
          <cell r="V262">
            <v>1.625</v>
          </cell>
          <cell r="W262">
            <v>1.63</v>
          </cell>
          <cell r="DZ262" t="str">
            <v>W10X19</v>
          </cell>
          <cell r="EA262">
            <v>19</v>
          </cell>
          <cell r="EB262">
            <v>5.62</v>
          </cell>
          <cell r="EC262">
            <v>10.199999999999999</v>
          </cell>
          <cell r="ED262" t="str">
            <v>10 1/4</v>
          </cell>
          <cell r="EE262">
            <v>0.25</v>
          </cell>
          <cell r="EF262">
            <v>44930</v>
          </cell>
          <cell r="EG262">
            <v>44934</v>
          </cell>
          <cell r="EH262">
            <v>4.0199999999999996</v>
          </cell>
          <cell r="EI262">
            <v>4</v>
          </cell>
          <cell r="EJ262">
            <v>0.39500000000000002</v>
          </cell>
          <cell r="EK262">
            <v>44993</v>
          </cell>
          <cell r="EL262">
            <v>5.09</v>
          </cell>
          <cell r="EM262">
            <v>35.4</v>
          </cell>
          <cell r="EN262">
            <v>96.3</v>
          </cell>
          <cell r="EO262">
            <v>18.8</v>
          </cell>
          <cell r="EP262">
            <v>4.1399999999999997</v>
          </cell>
          <cell r="EQ262">
            <v>21.6</v>
          </cell>
          <cell r="ER262">
            <v>4.29</v>
          </cell>
          <cell r="ES262">
            <v>2.14</v>
          </cell>
          <cell r="ET262">
            <v>0.874</v>
          </cell>
        </row>
        <row r="263">
          <cell r="B263" t="str">
            <v>WT10.5X91</v>
          </cell>
          <cell r="C263" t="str">
            <v>WT10.5X91</v>
          </cell>
          <cell r="D263" t="str">
            <v>F</v>
          </cell>
          <cell r="E263">
            <v>91</v>
          </cell>
          <cell r="F263">
            <v>26.8</v>
          </cell>
          <cell r="G263" t="str">
            <v>WT10.5X91</v>
          </cell>
          <cell r="H263">
            <v>11.4</v>
          </cell>
          <cell r="I263">
            <v>11.375</v>
          </cell>
          <cell r="J263" t="str">
            <v>–</v>
          </cell>
          <cell r="K263" t="str">
            <v>–</v>
          </cell>
          <cell r="L263" t="str">
            <v>–</v>
          </cell>
          <cell r="M263">
            <v>12.5</v>
          </cell>
          <cell r="N263">
            <v>12.5</v>
          </cell>
          <cell r="O263" t="str">
            <v>–</v>
          </cell>
          <cell r="P263" t="str">
            <v>–</v>
          </cell>
          <cell r="Q263" t="str">
            <v>–</v>
          </cell>
          <cell r="R263">
            <v>0.83</v>
          </cell>
          <cell r="S263">
            <v>0.8125</v>
          </cell>
          <cell r="T263">
            <v>0.4375</v>
          </cell>
          <cell r="U263">
            <v>1.48</v>
          </cell>
          <cell r="V263">
            <v>1.5</v>
          </cell>
          <cell r="W263">
            <v>1.48</v>
          </cell>
          <cell r="DZ263" t="str">
            <v>W10X17</v>
          </cell>
          <cell r="EA263">
            <v>17</v>
          </cell>
          <cell r="EB263">
            <v>4.99</v>
          </cell>
          <cell r="EC263">
            <v>10.1</v>
          </cell>
          <cell r="ED263" t="str">
            <v>10 1/8</v>
          </cell>
          <cell r="EE263">
            <v>0.24</v>
          </cell>
          <cell r="EF263">
            <v>44930</v>
          </cell>
          <cell r="EG263">
            <v>44934</v>
          </cell>
          <cell r="EH263">
            <v>4.01</v>
          </cell>
          <cell r="EI263">
            <v>4</v>
          </cell>
          <cell r="EJ263">
            <v>0.33</v>
          </cell>
          <cell r="EK263">
            <v>45062</v>
          </cell>
          <cell r="EL263">
            <v>6.08</v>
          </cell>
          <cell r="EM263">
            <v>36.9</v>
          </cell>
          <cell r="EN263">
            <v>81.900000000000006</v>
          </cell>
          <cell r="EO263">
            <v>16.2</v>
          </cell>
          <cell r="EP263">
            <v>4.05</v>
          </cell>
          <cell r="EQ263">
            <v>18.7</v>
          </cell>
          <cell r="ER263">
            <v>3.56</v>
          </cell>
          <cell r="ES263">
            <v>1.78</v>
          </cell>
          <cell r="ET263">
            <v>0.84499999999999997</v>
          </cell>
        </row>
        <row r="264">
          <cell r="B264" t="str">
            <v>WT10.5X83</v>
          </cell>
          <cell r="C264" t="str">
            <v>WT10.5X83</v>
          </cell>
          <cell r="D264" t="str">
            <v>F</v>
          </cell>
          <cell r="E264">
            <v>83</v>
          </cell>
          <cell r="F264">
            <v>24.4</v>
          </cell>
          <cell r="G264" t="str">
            <v>WT10.5X83</v>
          </cell>
          <cell r="H264">
            <v>11.2</v>
          </cell>
          <cell r="I264">
            <v>11.25</v>
          </cell>
          <cell r="J264" t="str">
            <v>–</v>
          </cell>
          <cell r="K264" t="str">
            <v>–</v>
          </cell>
          <cell r="L264" t="str">
            <v>–</v>
          </cell>
          <cell r="M264">
            <v>12.4</v>
          </cell>
          <cell r="N264">
            <v>12.375</v>
          </cell>
          <cell r="O264" t="str">
            <v>–</v>
          </cell>
          <cell r="P264" t="str">
            <v>–</v>
          </cell>
          <cell r="Q264" t="str">
            <v>–</v>
          </cell>
          <cell r="R264">
            <v>0.75</v>
          </cell>
          <cell r="S264">
            <v>0.75</v>
          </cell>
          <cell r="T264">
            <v>0.375</v>
          </cell>
          <cell r="U264">
            <v>1.36</v>
          </cell>
          <cell r="V264">
            <v>1.375</v>
          </cell>
          <cell r="W264">
            <v>1.36</v>
          </cell>
          <cell r="DZ264" t="str">
            <v>W10X15</v>
          </cell>
          <cell r="EA264">
            <v>15</v>
          </cell>
          <cell r="EB264">
            <v>4.41</v>
          </cell>
          <cell r="EC264">
            <v>9.99</v>
          </cell>
          <cell r="ED264">
            <v>10</v>
          </cell>
          <cell r="EE264">
            <v>0.23</v>
          </cell>
          <cell r="EF264">
            <v>44930</v>
          </cell>
          <cell r="EG264">
            <v>44934</v>
          </cell>
          <cell r="EH264">
            <v>4</v>
          </cell>
          <cell r="EI264">
            <v>4</v>
          </cell>
          <cell r="EJ264">
            <v>0.27</v>
          </cell>
          <cell r="EK264">
            <v>44930</v>
          </cell>
          <cell r="EL264">
            <v>7.41</v>
          </cell>
          <cell r="EM264">
            <v>38.5</v>
          </cell>
          <cell r="EN264">
            <v>68.900000000000006</v>
          </cell>
          <cell r="EO264">
            <v>13.8</v>
          </cell>
          <cell r="EP264">
            <v>3.95</v>
          </cell>
          <cell r="EQ264">
            <v>16</v>
          </cell>
          <cell r="ER264">
            <v>2.89</v>
          </cell>
          <cell r="ES264">
            <v>1.45</v>
          </cell>
          <cell r="ET264">
            <v>0.81</v>
          </cell>
        </row>
        <row r="265">
          <cell r="B265" t="str">
            <v>WT10.5X73.5</v>
          </cell>
          <cell r="C265" t="str">
            <v>WT10.5X73.5</v>
          </cell>
          <cell r="D265" t="str">
            <v>F</v>
          </cell>
          <cell r="E265">
            <v>73.5</v>
          </cell>
          <cell r="F265">
            <v>21.6</v>
          </cell>
          <cell r="G265" t="str">
            <v>WT10.5X73.5</v>
          </cell>
          <cell r="H265">
            <v>11</v>
          </cell>
          <cell r="I265">
            <v>11</v>
          </cell>
          <cell r="J265" t="str">
            <v>–</v>
          </cell>
          <cell r="K265" t="str">
            <v>–</v>
          </cell>
          <cell r="L265" t="str">
            <v>–</v>
          </cell>
          <cell r="M265">
            <v>12.5</v>
          </cell>
          <cell r="N265">
            <v>12.5</v>
          </cell>
          <cell r="O265" t="str">
            <v>–</v>
          </cell>
          <cell r="P265" t="str">
            <v>–</v>
          </cell>
          <cell r="Q265" t="str">
            <v>–</v>
          </cell>
          <cell r="R265">
            <v>0.72</v>
          </cell>
          <cell r="S265">
            <v>0.75</v>
          </cell>
          <cell r="T265">
            <v>0.375</v>
          </cell>
          <cell r="U265">
            <v>1.1499999999999999</v>
          </cell>
          <cell r="V265">
            <v>1.125</v>
          </cell>
          <cell r="W265">
            <v>1.1499999999999999</v>
          </cell>
          <cell r="DZ265" t="str">
            <v>W10X12</v>
          </cell>
          <cell r="EA265">
            <v>12</v>
          </cell>
          <cell r="EB265">
            <v>3.54</v>
          </cell>
          <cell r="EC265">
            <v>9.8699999999999992</v>
          </cell>
          <cell r="ED265" t="str">
            <v>9 7/8</v>
          </cell>
          <cell r="EE265">
            <v>0.19</v>
          </cell>
          <cell r="EF265">
            <v>45001</v>
          </cell>
          <cell r="EG265">
            <v>44934</v>
          </cell>
          <cell r="EH265">
            <v>3.96</v>
          </cell>
          <cell r="EI265">
            <v>4</v>
          </cell>
          <cell r="EJ265">
            <v>0.21</v>
          </cell>
          <cell r="EK265">
            <v>45001</v>
          </cell>
          <cell r="EL265">
            <v>9.43</v>
          </cell>
          <cell r="EM265">
            <v>46.6</v>
          </cell>
          <cell r="EN265">
            <v>53.8</v>
          </cell>
          <cell r="EO265">
            <v>10.9</v>
          </cell>
          <cell r="EP265">
            <v>3.9</v>
          </cell>
          <cell r="EQ265">
            <v>12.6</v>
          </cell>
          <cell r="ER265">
            <v>2.1800000000000002</v>
          </cell>
          <cell r="ES265">
            <v>1.1000000000000001</v>
          </cell>
          <cell r="ET265">
            <v>0.78500000000000003</v>
          </cell>
        </row>
        <row r="266">
          <cell r="B266" t="str">
            <v>WT10.5X66</v>
          </cell>
          <cell r="C266" t="str">
            <v>WT10.5X66</v>
          </cell>
          <cell r="D266" t="str">
            <v>F</v>
          </cell>
          <cell r="E266">
            <v>66</v>
          </cell>
          <cell r="F266">
            <v>19.399999999999999</v>
          </cell>
          <cell r="G266" t="str">
            <v>WT10.5X66</v>
          </cell>
          <cell r="H266">
            <v>10.9</v>
          </cell>
          <cell r="I266">
            <v>10.875</v>
          </cell>
          <cell r="J266" t="str">
            <v>–</v>
          </cell>
          <cell r="K266" t="str">
            <v>–</v>
          </cell>
          <cell r="L266" t="str">
            <v>–</v>
          </cell>
          <cell r="M266">
            <v>12.4</v>
          </cell>
          <cell r="N266">
            <v>12.5</v>
          </cell>
          <cell r="O266" t="str">
            <v>–</v>
          </cell>
          <cell r="P266" t="str">
            <v>–</v>
          </cell>
          <cell r="Q266" t="str">
            <v>–</v>
          </cell>
          <cell r="R266">
            <v>0.65</v>
          </cell>
          <cell r="S266">
            <v>0.625</v>
          </cell>
          <cell r="T266">
            <v>0.3125</v>
          </cell>
          <cell r="U266">
            <v>1.04</v>
          </cell>
          <cell r="V266">
            <v>1.0625</v>
          </cell>
          <cell r="W266">
            <v>1.04</v>
          </cell>
          <cell r="DZ266" t="str">
            <v>W8X67</v>
          </cell>
          <cell r="EA266">
            <v>67</v>
          </cell>
          <cell r="EB266">
            <v>19.7</v>
          </cell>
          <cell r="EC266">
            <v>9</v>
          </cell>
          <cell r="ED266">
            <v>9</v>
          </cell>
          <cell r="EE266">
            <v>0.56999999999999995</v>
          </cell>
          <cell r="EF266">
            <v>45185</v>
          </cell>
          <cell r="EG266">
            <v>45062</v>
          </cell>
          <cell r="EH266">
            <v>8.2799999999999994</v>
          </cell>
          <cell r="EI266" t="str">
            <v>8 1/4</v>
          </cell>
          <cell r="EJ266">
            <v>0.93500000000000005</v>
          </cell>
          <cell r="EK266" t="str">
            <v>15/16</v>
          </cell>
          <cell r="EL266">
            <v>4.43</v>
          </cell>
          <cell r="EM266">
            <v>11.1</v>
          </cell>
          <cell r="EN266">
            <v>272</v>
          </cell>
          <cell r="EO266">
            <v>60.4</v>
          </cell>
          <cell r="EP266">
            <v>3.72</v>
          </cell>
          <cell r="EQ266">
            <v>70.099999999999994</v>
          </cell>
          <cell r="ER266">
            <v>88.6</v>
          </cell>
          <cell r="ES266">
            <v>21.4</v>
          </cell>
          <cell r="ET266">
            <v>2.12</v>
          </cell>
        </row>
        <row r="267">
          <cell r="B267" t="str">
            <v>WT10.5X61</v>
          </cell>
          <cell r="C267" t="str">
            <v>WT10.5X61</v>
          </cell>
          <cell r="D267" t="str">
            <v>F</v>
          </cell>
          <cell r="E267">
            <v>61</v>
          </cell>
          <cell r="F267">
            <v>17.899999999999999</v>
          </cell>
          <cell r="G267" t="str">
            <v>WT10.5X61</v>
          </cell>
          <cell r="H267">
            <v>10.8</v>
          </cell>
          <cell r="I267">
            <v>10.875</v>
          </cell>
          <cell r="J267" t="str">
            <v>–</v>
          </cell>
          <cell r="K267" t="str">
            <v>–</v>
          </cell>
          <cell r="L267" t="str">
            <v>–</v>
          </cell>
          <cell r="M267">
            <v>12.4</v>
          </cell>
          <cell r="N267">
            <v>12.375</v>
          </cell>
          <cell r="O267" t="str">
            <v>–</v>
          </cell>
          <cell r="P267" t="str">
            <v>–</v>
          </cell>
          <cell r="Q267" t="str">
            <v>–</v>
          </cell>
          <cell r="R267">
            <v>0.6</v>
          </cell>
          <cell r="S267">
            <v>0.625</v>
          </cell>
          <cell r="T267">
            <v>0.3125</v>
          </cell>
          <cell r="U267">
            <v>0.96</v>
          </cell>
          <cell r="V267">
            <v>0.9375</v>
          </cell>
          <cell r="W267">
            <v>0.96</v>
          </cell>
          <cell r="DZ267" t="str">
            <v>W8X58</v>
          </cell>
          <cell r="EA267">
            <v>58</v>
          </cell>
          <cell r="EB267">
            <v>17.100000000000001</v>
          </cell>
          <cell r="EC267">
            <v>8.75</v>
          </cell>
          <cell r="ED267" t="str">
            <v>8 3/4</v>
          </cell>
          <cell r="EE267">
            <v>0.51</v>
          </cell>
          <cell r="EF267">
            <v>44928</v>
          </cell>
          <cell r="EG267">
            <v>44930</v>
          </cell>
          <cell r="EH267">
            <v>8.2200000000000006</v>
          </cell>
          <cell r="EI267" t="str">
            <v>8 1/4</v>
          </cell>
          <cell r="EJ267">
            <v>0.81</v>
          </cell>
          <cell r="EK267" t="str">
            <v>13/16</v>
          </cell>
          <cell r="EL267">
            <v>5.07</v>
          </cell>
          <cell r="EM267">
            <v>12.4</v>
          </cell>
          <cell r="EN267">
            <v>228</v>
          </cell>
          <cell r="EO267">
            <v>52</v>
          </cell>
          <cell r="EP267">
            <v>3.65</v>
          </cell>
          <cell r="EQ267">
            <v>59.8</v>
          </cell>
          <cell r="ER267">
            <v>75.099999999999994</v>
          </cell>
          <cell r="ES267">
            <v>18.3</v>
          </cell>
          <cell r="ET267">
            <v>2.1</v>
          </cell>
        </row>
        <row r="268">
          <cell r="B268" t="str">
            <v>WT10.5X55.5</v>
          </cell>
          <cell r="C268" t="str">
            <v>WT10.5X55.5</v>
          </cell>
          <cell r="D268" t="str">
            <v>F</v>
          </cell>
          <cell r="E268">
            <v>55.5</v>
          </cell>
          <cell r="F268">
            <v>16.3</v>
          </cell>
          <cell r="G268" t="str">
            <v>WT10.5X55.5</v>
          </cell>
          <cell r="H268">
            <v>10.8</v>
          </cell>
          <cell r="I268">
            <v>10.75</v>
          </cell>
          <cell r="J268" t="str">
            <v>–</v>
          </cell>
          <cell r="K268" t="str">
            <v>–</v>
          </cell>
          <cell r="L268" t="str">
            <v>–</v>
          </cell>
          <cell r="M268">
            <v>12.3</v>
          </cell>
          <cell r="N268">
            <v>12.375</v>
          </cell>
          <cell r="O268" t="str">
            <v>–</v>
          </cell>
          <cell r="P268" t="str">
            <v>–</v>
          </cell>
          <cell r="Q268" t="str">
            <v>–</v>
          </cell>
          <cell r="R268">
            <v>0.55000000000000004</v>
          </cell>
          <cell r="S268">
            <v>0.5625</v>
          </cell>
          <cell r="T268">
            <v>0.3125</v>
          </cell>
          <cell r="U268">
            <v>0.875</v>
          </cell>
          <cell r="V268">
            <v>0.875</v>
          </cell>
          <cell r="W268">
            <v>0.875</v>
          </cell>
          <cell r="DZ268" t="str">
            <v>W8X48</v>
          </cell>
          <cell r="EA268">
            <v>48</v>
          </cell>
          <cell r="EB268">
            <v>14.1</v>
          </cell>
          <cell r="EC268">
            <v>8.5</v>
          </cell>
          <cell r="ED268" t="str">
            <v>8 1/2</v>
          </cell>
          <cell r="EE268">
            <v>0.4</v>
          </cell>
          <cell r="EF268">
            <v>44993</v>
          </cell>
          <cell r="EG268">
            <v>45001</v>
          </cell>
          <cell r="EH268">
            <v>8.11</v>
          </cell>
          <cell r="EI268" t="str">
            <v>8 1/8</v>
          </cell>
          <cell r="EJ268">
            <v>0.68500000000000005</v>
          </cell>
          <cell r="EK268">
            <v>45246</v>
          </cell>
          <cell r="EL268">
            <v>5.92</v>
          </cell>
          <cell r="EM268">
            <v>15.9</v>
          </cell>
          <cell r="EN268">
            <v>184</v>
          </cell>
          <cell r="EO268">
            <v>43.2</v>
          </cell>
          <cell r="EP268">
            <v>3.61</v>
          </cell>
          <cell r="EQ268">
            <v>49</v>
          </cell>
          <cell r="ER268">
            <v>60.9</v>
          </cell>
          <cell r="ES268">
            <v>15</v>
          </cell>
          <cell r="ET268">
            <v>2.08</v>
          </cell>
        </row>
        <row r="269">
          <cell r="B269" t="str">
            <v>WT10.5X50.5</v>
          </cell>
          <cell r="C269" t="str">
            <v>WT10.5X50.5</v>
          </cell>
          <cell r="D269" t="str">
            <v>F</v>
          </cell>
          <cell r="E269">
            <v>50.5</v>
          </cell>
          <cell r="F269">
            <v>14.9</v>
          </cell>
          <cell r="G269" t="str">
            <v>WT10.5X50.5</v>
          </cell>
          <cell r="H269">
            <v>10.7</v>
          </cell>
          <cell r="I269">
            <v>10.625</v>
          </cell>
          <cell r="J269" t="str">
            <v>–</v>
          </cell>
          <cell r="K269" t="str">
            <v>–</v>
          </cell>
          <cell r="L269" t="str">
            <v>–</v>
          </cell>
          <cell r="M269">
            <v>12.3</v>
          </cell>
          <cell r="N269">
            <v>12.25</v>
          </cell>
          <cell r="O269" t="str">
            <v>–</v>
          </cell>
          <cell r="P269" t="str">
            <v>–</v>
          </cell>
          <cell r="Q269" t="str">
            <v>–</v>
          </cell>
          <cell r="R269">
            <v>0.5</v>
          </cell>
          <cell r="S269">
            <v>0.5</v>
          </cell>
          <cell r="T269">
            <v>0.25</v>
          </cell>
          <cell r="U269">
            <v>0.8</v>
          </cell>
          <cell r="V269">
            <v>0.8125</v>
          </cell>
          <cell r="W269">
            <v>0.8</v>
          </cell>
          <cell r="DZ269" t="str">
            <v>W8X40</v>
          </cell>
          <cell r="EA269">
            <v>40</v>
          </cell>
          <cell r="EB269">
            <v>11.7</v>
          </cell>
          <cell r="EC269">
            <v>8.25</v>
          </cell>
          <cell r="ED269" t="str">
            <v>8 1/4</v>
          </cell>
          <cell r="EE269">
            <v>0.36</v>
          </cell>
          <cell r="EF269">
            <v>44993</v>
          </cell>
          <cell r="EG269">
            <v>45001</v>
          </cell>
          <cell r="EH269">
            <v>8.07</v>
          </cell>
          <cell r="EI269" t="str">
            <v>8 1/8</v>
          </cell>
          <cell r="EJ269">
            <v>0.56000000000000005</v>
          </cell>
          <cell r="EK269">
            <v>45185</v>
          </cell>
          <cell r="EL269">
            <v>7.21</v>
          </cell>
          <cell r="EM269">
            <v>17.600000000000001</v>
          </cell>
          <cell r="EN269">
            <v>146</v>
          </cell>
          <cell r="EO269">
            <v>35.5</v>
          </cell>
          <cell r="EP269">
            <v>3.53</v>
          </cell>
          <cell r="EQ269">
            <v>39.799999999999997</v>
          </cell>
          <cell r="ER269">
            <v>49.1</v>
          </cell>
          <cell r="ES269">
            <v>12.2</v>
          </cell>
          <cell r="ET269">
            <v>2.04</v>
          </cell>
        </row>
        <row r="270">
          <cell r="B270" t="str">
            <v>WT10.5X46.5</v>
          </cell>
          <cell r="C270" t="str">
            <v>WT10.5X46.5</v>
          </cell>
          <cell r="D270" t="str">
            <v>F</v>
          </cell>
          <cell r="E270">
            <v>46.5</v>
          </cell>
          <cell r="F270">
            <v>13.7</v>
          </cell>
          <cell r="G270" t="str">
            <v>WT10.5X46.5</v>
          </cell>
          <cell r="H270">
            <v>10.8</v>
          </cell>
          <cell r="I270">
            <v>10.75</v>
          </cell>
          <cell r="J270" t="str">
            <v>–</v>
          </cell>
          <cell r="K270" t="str">
            <v>–</v>
          </cell>
          <cell r="L270" t="str">
            <v>–</v>
          </cell>
          <cell r="M270">
            <v>8.42</v>
          </cell>
          <cell r="N270">
            <v>8.375</v>
          </cell>
          <cell r="O270" t="str">
            <v>–</v>
          </cell>
          <cell r="P270" t="str">
            <v>–</v>
          </cell>
          <cell r="Q270" t="str">
            <v>–</v>
          </cell>
          <cell r="R270">
            <v>0.57999999999999996</v>
          </cell>
          <cell r="S270">
            <v>0.5625</v>
          </cell>
          <cell r="T270">
            <v>0.3125</v>
          </cell>
          <cell r="U270">
            <v>0.93</v>
          </cell>
          <cell r="V270">
            <v>0.9375</v>
          </cell>
          <cell r="W270">
            <v>0.93</v>
          </cell>
          <cell r="DZ270" t="str">
            <v>W8X35</v>
          </cell>
          <cell r="EA270">
            <v>35</v>
          </cell>
          <cell r="EB270">
            <v>10.3</v>
          </cell>
          <cell r="EC270">
            <v>8.1199999999999992</v>
          </cell>
          <cell r="ED270" t="str">
            <v>8 1/8</v>
          </cell>
          <cell r="EE270">
            <v>0.31</v>
          </cell>
          <cell r="EF270">
            <v>45062</v>
          </cell>
          <cell r="EG270">
            <v>45001</v>
          </cell>
          <cell r="EH270">
            <v>8.02</v>
          </cell>
          <cell r="EI270">
            <v>8</v>
          </cell>
          <cell r="EJ270">
            <v>0.495</v>
          </cell>
          <cell r="EK270">
            <v>44928</v>
          </cell>
          <cell r="EL270">
            <v>8.1</v>
          </cell>
          <cell r="EM270">
            <v>20.5</v>
          </cell>
          <cell r="EN270">
            <v>127</v>
          </cell>
          <cell r="EO270">
            <v>31.2</v>
          </cell>
          <cell r="EP270">
            <v>3.51</v>
          </cell>
          <cell r="EQ270">
            <v>34.700000000000003</v>
          </cell>
          <cell r="ER270">
            <v>42.6</v>
          </cell>
          <cell r="ES270">
            <v>10.6</v>
          </cell>
          <cell r="ET270">
            <v>2.0299999999999998</v>
          </cell>
        </row>
        <row r="271">
          <cell r="B271" t="str">
            <v>WT10.5X41.5</v>
          </cell>
          <cell r="C271" t="str">
            <v>WT10.5X41.5</v>
          </cell>
          <cell r="D271" t="str">
            <v>F</v>
          </cell>
          <cell r="E271">
            <v>41.5</v>
          </cell>
          <cell r="F271">
            <v>12.2</v>
          </cell>
          <cell r="G271" t="str">
            <v>WT10.5X41.5</v>
          </cell>
          <cell r="H271">
            <v>10.7</v>
          </cell>
          <cell r="I271">
            <v>10.75</v>
          </cell>
          <cell r="J271" t="str">
            <v>–</v>
          </cell>
          <cell r="K271" t="str">
            <v>–</v>
          </cell>
          <cell r="L271" t="str">
            <v>–</v>
          </cell>
          <cell r="M271">
            <v>8.36</v>
          </cell>
          <cell r="N271">
            <v>8.375</v>
          </cell>
          <cell r="O271" t="str">
            <v>–</v>
          </cell>
          <cell r="P271" t="str">
            <v>–</v>
          </cell>
          <cell r="Q271" t="str">
            <v>–</v>
          </cell>
          <cell r="R271">
            <v>0.51500000000000001</v>
          </cell>
          <cell r="S271">
            <v>0.5</v>
          </cell>
          <cell r="T271">
            <v>0.25</v>
          </cell>
          <cell r="U271">
            <v>0.83499999999999996</v>
          </cell>
          <cell r="V271">
            <v>0.8125</v>
          </cell>
          <cell r="W271">
            <v>0.83499999999999996</v>
          </cell>
          <cell r="DZ271" t="str">
            <v>W8X31</v>
          </cell>
          <cell r="EA271">
            <v>31</v>
          </cell>
          <cell r="EB271">
            <v>9.1300000000000008</v>
          </cell>
          <cell r="EC271">
            <v>8</v>
          </cell>
          <cell r="ED271">
            <v>8</v>
          </cell>
          <cell r="EE271">
            <v>0.28499999999999998</v>
          </cell>
          <cell r="EF271">
            <v>45062</v>
          </cell>
          <cell r="EG271">
            <v>45001</v>
          </cell>
          <cell r="EH271">
            <v>8</v>
          </cell>
          <cell r="EI271">
            <v>8</v>
          </cell>
          <cell r="EJ271">
            <v>0.435</v>
          </cell>
          <cell r="EK271">
            <v>45123</v>
          </cell>
          <cell r="EL271">
            <v>9.19</v>
          </cell>
          <cell r="EM271">
            <v>22.3</v>
          </cell>
          <cell r="EN271">
            <v>110</v>
          </cell>
          <cell r="EO271">
            <v>27.5</v>
          </cell>
          <cell r="EP271">
            <v>3.47</v>
          </cell>
          <cell r="EQ271">
            <v>30.4</v>
          </cell>
          <cell r="ER271">
            <v>37.1</v>
          </cell>
          <cell r="ES271">
            <v>9.27</v>
          </cell>
          <cell r="ET271">
            <v>2.02</v>
          </cell>
        </row>
        <row r="272">
          <cell r="B272" t="str">
            <v>WT10.5X36.5</v>
          </cell>
          <cell r="C272" t="str">
            <v>WT10.5X36.5</v>
          </cell>
          <cell r="D272" t="str">
            <v>F</v>
          </cell>
          <cell r="E272">
            <v>36.5</v>
          </cell>
          <cell r="F272">
            <v>10.7</v>
          </cell>
          <cell r="G272" t="str">
            <v>WT10.5X36.5</v>
          </cell>
          <cell r="H272">
            <v>10.6</v>
          </cell>
          <cell r="I272">
            <v>10.625</v>
          </cell>
          <cell r="J272" t="str">
            <v>–</v>
          </cell>
          <cell r="K272" t="str">
            <v>–</v>
          </cell>
          <cell r="L272" t="str">
            <v>–</v>
          </cell>
          <cell r="M272">
            <v>8.3000000000000007</v>
          </cell>
          <cell r="N272">
            <v>8.25</v>
          </cell>
          <cell r="O272" t="str">
            <v>–</v>
          </cell>
          <cell r="P272" t="str">
            <v>–</v>
          </cell>
          <cell r="Q272" t="str">
            <v>–</v>
          </cell>
          <cell r="R272">
            <v>0.45500000000000002</v>
          </cell>
          <cell r="S272">
            <v>0.4375</v>
          </cell>
          <cell r="T272">
            <v>0.25</v>
          </cell>
          <cell r="U272">
            <v>0.74</v>
          </cell>
          <cell r="V272">
            <v>0.75</v>
          </cell>
          <cell r="W272">
            <v>0.74</v>
          </cell>
          <cell r="DZ272" t="str">
            <v>W8X28</v>
          </cell>
          <cell r="EA272">
            <v>28</v>
          </cell>
          <cell r="EB272">
            <v>8.25</v>
          </cell>
          <cell r="EC272">
            <v>8.06</v>
          </cell>
          <cell r="ED272">
            <v>8</v>
          </cell>
          <cell r="EE272">
            <v>0.28499999999999998</v>
          </cell>
          <cell r="EF272">
            <v>45062</v>
          </cell>
          <cell r="EG272">
            <v>45001</v>
          </cell>
          <cell r="EH272">
            <v>6.54</v>
          </cell>
          <cell r="EI272" t="str">
            <v>6 1/2</v>
          </cell>
          <cell r="EJ272">
            <v>0.46500000000000002</v>
          </cell>
          <cell r="EK272">
            <v>45123</v>
          </cell>
          <cell r="EL272">
            <v>7.03</v>
          </cell>
          <cell r="EM272">
            <v>22.3</v>
          </cell>
          <cell r="EN272">
            <v>98</v>
          </cell>
          <cell r="EO272">
            <v>24.3</v>
          </cell>
          <cell r="EP272">
            <v>3.45</v>
          </cell>
          <cell r="EQ272">
            <v>27.2</v>
          </cell>
          <cell r="ER272">
            <v>21.7</v>
          </cell>
          <cell r="ES272">
            <v>6.63</v>
          </cell>
          <cell r="ET272">
            <v>1.62</v>
          </cell>
        </row>
        <row r="273">
          <cell r="B273" t="str">
            <v>WT10.5X34</v>
          </cell>
          <cell r="C273" t="str">
            <v>WT10.5X34</v>
          </cell>
          <cell r="D273" t="str">
            <v>F</v>
          </cell>
          <cell r="E273">
            <v>34</v>
          </cell>
          <cell r="F273">
            <v>10</v>
          </cell>
          <cell r="G273" t="str">
            <v>WT10.5X34</v>
          </cell>
          <cell r="H273">
            <v>10.6</v>
          </cell>
          <cell r="I273">
            <v>10.625</v>
          </cell>
          <cell r="J273" t="str">
            <v>–</v>
          </cell>
          <cell r="K273" t="str">
            <v>–</v>
          </cell>
          <cell r="L273" t="str">
            <v>–</v>
          </cell>
          <cell r="M273">
            <v>8.27</v>
          </cell>
          <cell r="N273">
            <v>8.25</v>
          </cell>
          <cell r="O273" t="str">
            <v>–</v>
          </cell>
          <cell r="P273" t="str">
            <v>–</v>
          </cell>
          <cell r="Q273" t="str">
            <v>–</v>
          </cell>
          <cell r="R273">
            <v>0.43</v>
          </cell>
          <cell r="S273">
            <v>0.4375</v>
          </cell>
          <cell r="T273">
            <v>0.25</v>
          </cell>
          <cell r="U273">
            <v>0.68500000000000005</v>
          </cell>
          <cell r="V273">
            <v>0.6875</v>
          </cell>
          <cell r="W273">
            <v>0.68500000000000005</v>
          </cell>
          <cell r="DZ273" t="str">
            <v>W8X24</v>
          </cell>
          <cell r="EA273">
            <v>24</v>
          </cell>
          <cell r="EB273">
            <v>7.08</v>
          </cell>
          <cell r="EC273">
            <v>7.93</v>
          </cell>
          <cell r="ED273" t="str">
            <v>7 7/8</v>
          </cell>
          <cell r="EE273">
            <v>0.245</v>
          </cell>
          <cell r="EF273">
            <v>44930</v>
          </cell>
          <cell r="EG273">
            <v>44934</v>
          </cell>
          <cell r="EH273">
            <v>6.5</v>
          </cell>
          <cell r="EI273" t="str">
            <v>6 1/2</v>
          </cell>
          <cell r="EJ273">
            <v>0.4</v>
          </cell>
          <cell r="EK273">
            <v>44993</v>
          </cell>
          <cell r="EL273">
            <v>8.1199999999999992</v>
          </cell>
          <cell r="EM273">
            <v>25.9</v>
          </cell>
          <cell r="EN273">
            <v>82.7</v>
          </cell>
          <cell r="EO273">
            <v>20.9</v>
          </cell>
          <cell r="EP273">
            <v>3.42</v>
          </cell>
          <cell r="EQ273">
            <v>23.1</v>
          </cell>
          <cell r="ER273">
            <v>18.3</v>
          </cell>
          <cell r="ES273">
            <v>5.63</v>
          </cell>
          <cell r="ET273">
            <v>1.61</v>
          </cell>
        </row>
        <row r="274">
          <cell r="B274" t="str">
            <v>WT10.5X31</v>
          </cell>
          <cell r="C274" t="str">
            <v>WT10.5X31</v>
          </cell>
          <cell r="D274" t="str">
            <v>F</v>
          </cell>
          <cell r="E274">
            <v>31</v>
          </cell>
          <cell r="F274">
            <v>9.1300000000000008</v>
          </cell>
          <cell r="G274" t="str">
            <v>WT10.5X31</v>
          </cell>
          <cell r="H274">
            <v>10.5</v>
          </cell>
          <cell r="I274">
            <v>10.5</v>
          </cell>
          <cell r="J274" t="str">
            <v>–</v>
          </cell>
          <cell r="K274" t="str">
            <v>–</v>
          </cell>
          <cell r="L274" t="str">
            <v>–</v>
          </cell>
          <cell r="M274">
            <v>8.24</v>
          </cell>
          <cell r="N274">
            <v>8.25</v>
          </cell>
          <cell r="O274" t="str">
            <v>–</v>
          </cell>
          <cell r="P274" t="str">
            <v>–</v>
          </cell>
          <cell r="Q274" t="str">
            <v>–</v>
          </cell>
          <cell r="R274">
            <v>0.4</v>
          </cell>
          <cell r="S274">
            <v>0.375</v>
          </cell>
          <cell r="T274">
            <v>0.1875</v>
          </cell>
          <cell r="U274">
            <v>0.61499999999999999</v>
          </cell>
          <cell r="V274">
            <v>0.625</v>
          </cell>
          <cell r="W274">
            <v>0.61499999999999999</v>
          </cell>
          <cell r="DZ274" t="str">
            <v>W8X21</v>
          </cell>
          <cell r="EA274">
            <v>21</v>
          </cell>
          <cell r="EB274">
            <v>6.16</v>
          </cell>
          <cell r="EC274">
            <v>8.2799999999999994</v>
          </cell>
          <cell r="ED274" t="str">
            <v>8 1/4</v>
          </cell>
          <cell r="EE274">
            <v>0.25</v>
          </cell>
          <cell r="EF274">
            <v>44930</v>
          </cell>
          <cell r="EG274">
            <v>44934</v>
          </cell>
          <cell r="EH274">
            <v>5.27</v>
          </cell>
          <cell r="EI274" t="str">
            <v>5 1/4</v>
          </cell>
          <cell r="EJ274">
            <v>0.4</v>
          </cell>
          <cell r="EK274">
            <v>44993</v>
          </cell>
          <cell r="EL274">
            <v>6.59</v>
          </cell>
          <cell r="EM274">
            <v>27.5</v>
          </cell>
          <cell r="EN274">
            <v>75.3</v>
          </cell>
          <cell r="EO274">
            <v>18.2</v>
          </cell>
          <cell r="EP274">
            <v>3.49</v>
          </cell>
          <cell r="EQ274">
            <v>20.399999999999999</v>
          </cell>
          <cell r="ER274">
            <v>9.77</v>
          </cell>
          <cell r="ES274">
            <v>3.71</v>
          </cell>
          <cell r="ET274">
            <v>1.26</v>
          </cell>
        </row>
        <row r="275">
          <cell r="B275" t="str">
            <v>WT10.5X27.5</v>
          </cell>
          <cell r="C275" t="str">
            <v>WT10.5X27.5</v>
          </cell>
          <cell r="D275" t="str">
            <v>F</v>
          </cell>
          <cell r="E275">
            <v>27.5</v>
          </cell>
          <cell r="F275">
            <v>8.1</v>
          </cell>
          <cell r="G275" t="str">
            <v>WT10.5X27.5</v>
          </cell>
          <cell r="H275">
            <v>10.4</v>
          </cell>
          <cell r="I275">
            <v>10.375</v>
          </cell>
          <cell r="J275" t="str">
            <v>–</v>
          </cell>
          <cell r="K275" t="str">
            <v>–</v>
          </cell>
          <cell r="L275" t="str">
            <v>–</v>
          </cell>
          <cell r="M275">
            <v>8.2200000000000006</v>
          </cell>
          <cell r="N275">
            <v>8.25</v>
          </cell>
          <cell r="O275" t="str">
            <v>–</v>
          </cell>
          <cell r="P275" t="str">
            <v>–</v>
          </cell>
          <cell r="Q275" t="str">
            <v>–</v>
          </cell>
          <cell r="R275">
            <v>0.375</v>
          </cell>
          <cell r="S275">
            <v>0.375</v>
          </cell>
          <cell r="T275">
            <v>0.1875</v>
          </cell>
          <cell r="U275">
            <v>0.52200000000000002</v>
          </cell>
          <cell r="V275">
            <v>0.5</v>
          </cell>
          <cell r="W275">
            <v>0.52200000000000002</v>
          </cell>
          <cell r="DZ275" t="str">
            <v>W8X18</v>
          </cell>
          <cell r="EA275">
            <v>18</v>
          </cell>
          <cell r="EB275">
            <v>5.26</v>
          </cell>
          <cell r="EC275">
            <v>8.14</v>
          </cell>
          <cell r="ED275" t="str">
            <v>8 1/8</v>
          </cell>
          <cell r="EE275">
            <v>0.23</v>
          </cell>
          <cell r="EF275">
            <v>44930</v>
          </cell>
          <cell r="EG275">
            <v>44934</v>
          </cell>
          <cell r="EH275">
            <v>5.25</v>
          </cell>
          <cell r="EI275" t="str">
            <v>5 1/4</v>
          </cell>
          <cell r="EJ275">
            <v>0.33</v>
          </cell>
          <cell r="EK275">
            <v>45062</v>
          </cell>
          <cell r="EL275">
            <v>7.95</v>
          </cell>
          <cell r="EM275">
            <v>29.9</v>
          </cell>
          <cell r="EN275">
            <v>61.9</v>
          </cell>
          <cell r="EO275">
            <v>15.2</v>
          </cell>
          <cell r="EP275">
            <v>3.43</v>
          </cell>
          <cell r="EQ275">
            <v>17</v>
          </cell>
          <cell r="ER275">
            <v>7.97</v>
          </cell>
          <cell r="ES275">
            <v>3.04</v>
          </cell>
          <cell r="ET275">
            <v>1.23</v>
          </cell>
        </row>
        <row r="276">
          <cell r="B276" t="str">
            <v>WT10.5X24</v>
          </cell>
          <cell r="C276" t="str">
            <v>WT10.5X24</v>
          </cell>
          <cell r="D276" t="str">
            <v>F</v>
          </cell>
          <cell r="E276">
            <v>24</v>
          </cell>
          <cell r="F276">
            <v>7.07</v>
          </cell>
          <cell r="G276" t="str">
            <v>WT10.5X24</v>
          </cell>
          <cell r="H276">
            <v>10.3</v>
          </cell>
          <cell r="I276">
            <v>10.25</v>
          </cell>
          <cell r="J276" t="str">
            <v>–</v>
          </cell>
          <cell r="K276" t="str">
            <v>–</v>
          </cell>
          <cell r="L276" t="str">
            <v>–</v>
          </cell>
          <cell r="M276">
            <v>8.14</v>
          </cell>
          <cell r="N276">
            <v>8.125</v>
          </cell>
          <cell r="O276" t="str">
            <v>–</v>
          </cell>
          <cell r="P276" t="str">
            <v>–</v>
          </cell>
          <cell r="Q276" t="str">
            <v>–</v>
          </cell>
          <cell r="R276">
            <v>0.35</v>
          </cell>
          <cell r="S276">
            <v>0.375</v>
          </cell>
          <cell r="T276">
            <v>0.1875</v>
          </cell>
          <cell r="U276">
            <v>0.43</v>
          </cell>
          <cell r="V276">
            <v>0.4375</v>
          </cell>
          <cell r="W276">
            <v>0.43</v>
          </cell>
          <cell r="DZ276" t="str">
            <v>W8X15</v>
          </cell>
          <cell r="EA276">
            <v>15</v>
          </cell>
          <cell r="EB276">
            <v>4.4400000000000004</v>
          </cell>
          <cell r="EC276">
            <v>8.11</v>
          </cell>
          <cell r="ED276" t="str">
            <v>8 1/8</v>
          </cell>
          <cell r="EE276">
            <v>0.245</v>
          </cell>
          <cell r="EF276">
            <v>44930</v>
          </cell>
          <cell r="EG276">
            <v>44934</v>
          </cell>
          <cell r="EH276">
            <v>4.0199999999999996</v>
          </cell>
          <cell r="EI276">
            <v>4</v>
          </cell>
          <cell r="EJ276">
            <v>0.315</v>
          </cell>
          <cell r="EK276">
            <v>45062</v>
          </cell>
          <cell r="EL276">
            <v>6.37</v>
          </cell>
          <cell r="EM276">
            <v>28.1</v>
          </cell>
          <cell r="EN276">
            <v>48</v>
          </cell>
          <cell r="EO276">
            <v>11.8</v>
          </cell>
          <cell r="EP276">
            <v>3.29</v>
          </cell>
          <cell r="EQ276">
            <v>13.6</v>
          </cell>
          <cell r="ER276">
            <v>3.41</v>
          </cell>
          <cell r="ES276">
            <v>1.7</v>
          </cell>
          <cell r="ET276">
            <v>0.876</v>
          </cell>
        </row>
        <row r="277">
          <cell r="B277" t="str">
            <v>WT10.5X28.5</v>
          </cell>
          <cell r="C277" t="str">
            <v>WT10.5X28.5</v>
          </cell>
          <cell r="D277" t="str">
            <v>F</v>
          </cell>
          <cell r="E277">
            <v>28.5</v>
          </cell>
          <cell r="F277">
            <v>8.3699999999999992</v>
          </cell>
          <cell r="G277" t="str">
            <v>WT10.5X28.5</v>
          </cell>
          <cell r="H277">
            <v>10.5</v>
          </cell>
          <cell r="I277">
            <v>10.5</v>
          </cell>
          <cell r="J277" t="str">
            <v>–</v>
          </cell>
          <cell r="K277" t="str">
            <v>–</v>
          </cell>
          <cell r="L277" t="str">
            <v>–</v>
          </cell>
          <cell r="M277">
            <v>6.56</v>
          </cell>
          <cell r="N277">
            <v>6.5</v>
          </cell>
          <cell r="O277" t="str">
            <v>–</v>
          </cell>
          <cell r="P277" t="str">
            <v>–</v>
          </cell>
          <cell r="Q277" t="str">
            <v>–</v>
          </cell>
          <cell r="R277">
            <v>0.40500000000000003</v>
          </cell>
          <cell r="S277">
            <v>0.375</v>
          </cell>
          <cell r="T277">
            <v>0.1875</v>
          </cell>
          <cell r="U277">
            <v>0.65</v>
          </cell>
          <cell r="V277">
            <v>0.625</v>
          </cell>
          <cell r="W277">
            <v>0.65</v>
          </cell>
          <cell r="DZ277" t="str">
            <v>W8X13</v>
          </cell>
          <cell r="EA277">
            <v>13</v>
          </cell>
          <cell r="EB277">
            <v>3.84</v>
          </cell>
          <cell r="EC277">
            <v>7.99</v>
          </cell>
          <cell r="ED277">
            <v>8</v>
          </cell>
          <cell r="EE277">
            <v>0.23</v>
          </cell>
          <cell r="EF277">
            <v>44930</v>
          </cell>
          <cell r="EG277">
            <v>44934</v>
          </cell>
          <cell r="EH277">
            <v>4</v>
          </cell>
          <cell r="EI277">
            <v>4</v>
          </cell>
          <cell r="EJ277">
            <v>0.255</v>
          </cell>
          <cell r="EK277">
            <v>44930</v>
          </cell>
          <cell r="EL277">
            <v>7.84</v>
          </cell>
          <cell r="EM277">
            <v>29.9</v>
          </cell>
          <cell r="EN277">
            <v>39.6</v>
          </cell>
          <cell r="EO277">
            <v>9.91</v>
          </cell>
          <cell r="EP277">
            <v>3.21</v>
          </cell>
          <cell r="EQ277">
            <v>11.4</v>
          </cell>
          <cell r="ER277">
            <v>2.73</v>
          </cell>
          <cell r="ES277">
            <v>1.37</v>
          </cell>
          <cell r="ET277">
            <v>0.84299999999999997</v>
          </cell>
        </row>
        <row r="278">
          <cell r="B278" t="str">
            <v>WT10.5X25</v>
          </cell>
          <cell r="C278" t="str">
            <v>WT10.5X25</v>
          </cell>
          <cell r="D278" t="str">
            <v>F</v>
          </cell>
          <cell r="E278">
            <v>25</v>
          </cell>
          <cell r="F278">
            <v>7.36</v>
          </cell>
          <cell r="G278" t="str">
            <v>WT10.5X25</v>
          </cell>
          <cell r="H278">
            <v>10.4</v>
          </cell>
          <cell r="I278">
            <v>10.375</v>
          </cell>
          <cell r="J278" t="str">
            <v>–</v>
          </cell>
          <cell r="K278" t="str">
            <v>–</v>
          </cell>
          <cell r="L278" t="str">
            <v>–</v>
          </cell>
          <cell r="M278">
            <v>6.53</v>
          </cell>
          <cell r="N278">
            <v>6.5</v>
          </cell>
          <cell r="O278" t="str">
            <v>–</v>
          </cell>
          <cell r="P278" t="str">
            <v>–</v>
          </cell>
          <cell r="Q278" t="str">
            <v>–</v>
          </cell>
          <cell r="R278">
            <v>0.38</v>
          </cell>
          <cell r="S278">
            <v>0.375</v>
          </cell>
          <cell r="T278">
            <v>0.1875</v>
          </cell>
          <cell r="U278">
            <v>0.53500000000000003</v>
          </cell>
          <cell r="V278">
            <v>0.5625</v>
          </cell>
          <cell r="W278">
            <v>0.53500000000000003</v>
          </cell>
          <cell r="DZ278" t="str">
            <v>W8X10</v>
          </cell>
          <cell r="EA278">
            <v>10</v>
          </cell>
          <cell r="EB278">
            <v>2.96</v>
          </cell>
          <cell r="EC278">
            <v>7.89</v>
          </cell>
          <cell r="ED278" t="str">
            <v>7 7/8</v>
          </cell>
          <cell r="EE278">
            <v>0.17</v>
          </cell>
          <cell r="EF278">
            <v>45001</v>
          </cell>
          <cell r="EG278">
            <v>44934</v>
          </cell>
          <cell r="EH278">
            <v>3.94</v>
          </cell>
          <cell r="EI278">
            <v>4</v>
          </cell>
          <cell r="EJ278">
            <v>0.20499999999999999</v>
          </cell>
          <cell r="EK278">
            <v>45001</v>
          </cell>
          <cell r="EL278">
            <v>9.61</v>
          </cell>
          <cell r="EM278">
            <v>40.5</v>
          </cell>
          <cell r="EN278">
            <v>30.8</v>
          </cell>
          <cell r="EO278">
            <v>7.81</v>
          </cell>
          <cell r="EP278">
            <v>3.22</v>
          </cell>
          <cell r="EQ278">
            <v>8.8699999999999992</v>
          </cell>
          <cell r="ER278">
            <v>2.09</v>
          </cell>
          <cell r="ES278">
            <v>1.06</v>
          </cell>
          <cell r="ET278">
            <v>0.84099999999999997</v>
          </cell>
        </row>
        <row r="279">
          <cell r="B279" t="str">
            <v>WT10.5X22</v>
          </cell>
          <cell r="C279" t="str">
            <v>WT10.5X22</v>
          </cell>
          <cell r="D279" t="str">
            <v>F</v>
          </cell>
          <cell r="E279">
            <v>22</v>
          </cell>
          <cell r="F279">
            <v>6.49</v>
          </cell>
          <cell r="G279" t="str">
            <v>WT10.5X22</v>
          </cell>
          <cell r="H279">
            <v>10.3</v>
          </cell>
          <cell r="I279">
            <v>10.375</v>
          </cell>
          <cell r="J279" t="str">
            <v>–</v>
          </cell>
          <cell r="K279" t="str">
            <v>–</v>
          </cell>
          <cell r="L279" t="str">
            <v>–</v>
          </cell>
          <cell r="M279">
            <v>6.5</v>
          </cell>
          <cell r="N279">
            <v>6.5</v>
          </cell>
          <cell r="O279" t="str">
            <v>–</v>
          </cell>
          <cell r="P279" t="str">
            <v>–</v>
          </cell>
          <cell r="Q279" t="str">
            <v>–</v>
          </cell>
          <cell r="R279">
            <v>0.35</v>
          </cell>
          <cell r="S279">
            <v>0.375</v>
          </cell>
          <cell r="T279">
            <v>0.1875</v>
          </cell>
          <cell r="U279">
            <v>0.45</v>
          </cell>
          <cell r="V279">
            <v>0.4375</v>
          </cell>
          <cell r="W279">
            <v>0.45</v>
          </cell>
          <cell r="DZ279" t="str">
            <v>W6X25</v>
          </cell>
          <cell r="EA279">
            <v>25</v>
          </cell>
          <cell r="EB279">
            <v>7.34</v>
          </cell>
          <cell r="EC279">
            <v>6.38</v>
          </cell>
          <cell r="ED279" t="str">
            <v>6 3/8</v>
          </cell>
          <cell r="EE279">
            <v>0.32</v>
          </cell>
          <cell r="EF279">
            <v>45062</v>
          </cell>
          <cell r="EG279">
            <v>45001</v>
          </cell>
          <cell r="EH279">
            <v>6.08</v>
          </cell>
          <cell r="EI279" t="str">
            <v>6 1/8</v>
          </cell>
          <cell r="EJ279">
            <v>0.45500000000000002</v>
          </cell>
          <cell r="EK279">
            <v>45123</v>
          </cell>
          <cell r="EL279">
            <v>6.68</v>
          </cell>
          <cell r="EM279">
            <v>15.5</v>
          </cell>
          <cell r="EN279">
            <v>53.4</v>
          </cell>
          <cell r="EO279">
            <v>16.7</v>
          </cell>
          <cell r="EP279">
            <v>2.7</v>
          </cell>
          <cell r="EQ279">
            <v>18.899999999999999</v>
          </cell>
          <cell r="ER279">
            <v>17.100000000000001</v>
          </cell>
          <cell r="ES279">
            <v>5.61</v>
          </cell>
          <cell r="ET279">
            <v>1.52</v>
          </cell>
        </row>
        <row r="280">
          <cell r="B280" t="str">
            <v>WT9X155.5</v>
          </cell>
          <cell r="C280" t="str">
            <v>WT9X155.5</v>
          </cell>
          <cell r="D280" t="str">
            <v>F</v>
          </cell>
          <cell r="E280">
            <v>155.5</v>
          </cell>
          <cell r="F280">
            <v>45.8</v>
          </cell>
          <cell r="G280" t="str">
            <v>WT9X155.5</v>
          </cell>
          <cell r="H280">
            <v>11.2</v>
          </cell>
          <cell r="I280">
            <v>11.125</v>
          </cell>
          <cell r="J280" t="str">
            <v>–</v>
          </cell>
          <cell r="K280" t="str">
            <v>–</v>
          </cell>
          <cell r="L280" t="str">
            <v>–</v>
          </cell>
          <cell r="M280">
            <v>12</v>
          </cell>
          <cell r="N280">
            <v>12</v>
          </cell>
          <cell r="O280" t="str">
            <v>–</v>
          </cell>
          <cell r="P280" t="str">
            <v>–</v>
          </cell>
          <cell r="Q280" t="str">
            <v>–</v>
          </cell>
          <cell r="R280">
            <v>1.52</v>
          </cell>
          <cell r="S280">
            <v>1.5</v>
          </cell>
          <cell r="T280">
            <v>0.75</v>
          </cell>
          <cell r="U280">
            <v>2.74</v>
          </cell>
          <cell r="V280">
            <v>2.75</v>
          </cell>
          <cell r="W280">
            <v>2.74</v>
          </cell>
          <cell r="DZ280" t="str">
            <v>W6X20</v>
          </cell>
          <cell r="EA280">
            <v>20</v>
          </cell>
          <cell r="EB280">
            <v>5.87</v>
          </cell>
          <cell r="EC280">
            <v>6.2</v>
          </cell>
          <cell r="ED280" t="str">
            <v>6 1/4</v>
          </cell>
          <cell r="EE280">
            <v>0.26</v>
          </cell>
          <cell r="EF280">
            <v>44930</v>
          </cell>
          <cell r="EG280">
            <v>44934</v>
          </cell>
          <cell r="EH280">
            <v>6.02</v>
          </cell>
          <cell r="EI280">
            <v>6</v>
          </cell>
          <cell r="EJ280">
            <v>0.36499999999999999</v>
          </cell>
          <cell r="EK280">
            <v>44993</v>
          </cell>
          <cell r="EL280">
            <v>8.25</v>
          </cell>
          <cell r="EM280">
            <v>19.100000000000001</v>
          </cell>
          <cell r="EN280">
            <v>41.4</v>
          </cell>
          <cell r="EO280">
            <v>13.4</v>
          </cell>
          <cell r="EP280">
            <v>2.66</v>
          </cell>
          <cell r="EQ280">
            <v>14.9</v>
          </cell>
          <cell r="ER280">
            <v>13.3</v>
          </cell>
          <cell r="ES280">
            <v>4.41</v>
          </cell>
          <cell r="ET280">
            <v>1.5</v>
          </cell>
        </row>
        <row r="281">
          <cell r="B281" t="str">
            <v>WT9X141.5</v>
          </cell>
          <cell r="C281" t="str">
            <v>WT9X141.5</v>
          </cell>
          <cell r="D281" t="str">
            <v>F</v>
          </cell>
          <cell r="E281">
            <v>141.5</v>
          </cell>
          <cell r="F281">
            <v>41.7</v>
          </cell>
          <cell r="G281" t="str">
            <v>WT9X141.5</v>
          </cell>
          <cell r="H281">
            <v>10.9</v>
          </cell>
          <cell r="I281">
            <v>10.875</v>
          </cell>
          <cell r="J281" t="str">
            <v>–</v>
          </cell>
          <cell r="K281" t="str">
            <v>–</v>
          </cell>
          <cell r="L281" t="str">
            <v>–</v>
          </cell>
          <cell r="M281">
            <v>11.9</v>
          </cell>
          <cell r="N281">
            <v>11.875</v>
          </cell>
          <cell r="O281" t="str">
            <v>–</v>
          </cell>
          <cell r="P281" t="str">
            <v>–</v>
          </cell>
          <cell r="Q281" t="str">
            <v>–</v>
          </cell>
          <cell r="R281">
            <v>1.4</v>
          </cell>
          <cell r="S281">
            <v>1.375</v>
          </cell>
          <cell r="T281">
            <v>0.6875</v>
          </cell>
          <cell r="U281">
            <v>2.5</v>
          </cell>
          <cell r="V281">
            <v>2.5</v>
          </cell>
          <cell r="W281">
            <v>2.5</v>
          </cell>
          <cell r="DZ281" t="str">
            <v>W6X15</v>
          </cell>
          <cell r="EA281">
            <v>15</v>
          </cell>
          <cell r="EB281">
            <v>4.43</v>
          </cell>
          <cell r="EC281">
            <v>5.99</v>
          </cell>
          <cell r="ED281">
            <v>6</v>
          </cell>
          <cell r="EE281">
            <v>0.23</v>
          </cell>
          <cell r="EF281">
            <v>44930</v>
          </cell>
          <cell r="EG281">
            <v>44934</v>
          </cell>
          <cell r="EH281">
            <v>5.99</v>
          </cell>
          <cell r="EI281">
            <v>6</v>
          </cell>
          <cell r="EJ281">
            <v>0.26</v>
          </cell>
          <cell r="EK281">
            <v>44930</v>
          </cell>
          <cell r="EL281">
            <v>11.5</v>
          </cell>
          <cell r="EM281">
            <v>21.6</v>
          </cell>
          <cell r="EN281">
            <v>29.1</v>
          </cell>
          <cell r="EO281">
            <v>9.7200000000000006</v>
          </cell>
          <cell r="EP281">
            <v>2.56</v>
          </cell>
          <cell r="EQ281">
            <v>10.8</v>
          </cell>
          <cell r="ER281">
            <v>9.32</v>
          </cell>
          <cell r="ES281">
            <v>3.11</v>
          </cell>
          <cell r="ET281">
            <v>1.45</v>
          </cell>
        </row>
        <row r="282">
          <cell r="B282" t="str">
            <v>WT9X129</v>
          </cell>
          <cell r="C282" t="str">
            <v>WT9X129</v>
          </cell>
          <cell r="D282" t="str">
            <v>F</v>
          </cell>
          <cell r="E282">
            <v>129</v>
          </cell>
          <cell r="F282">
            <v>38</v>
          </cell>
          <cell r="G282" t="str">
            <v>WT9X129</v>
          </cell>
          <cell r="H282">
            <v>10.7</v>
          </cell>
          <cell r="I282">
            <v>10.75</v>
          </cell>
          <cell r="J282" t="str">
            <v>–</v>
          </cell>
          <cell r="K282" t="str">
            <v>–</v>
          </cell>
          <cell r="L282" t="str">
            <v>–</v>
          </cell>
          <cell r="M282">
            <v>11.8</v>
          </cell>
          <cell r="N282">
            <v>11.75</v>
          </cell>
          <cell r="O282" t="str">
            <v>–</v>
          </cell>
          <cell r="P282" t="str">
            <v>–</v>
          </cell>
          <cell r="Q282" t="str">
            <v>–</v>
          </cell>
          <cell r="R282">
            <v>1.28</v>
          </cell>
          <cell r="S282">
            <v>1.25</v>
          </cell>
          <cell r="T282">
            <v>0.625</v>
          </cell>
          <cell r="U282">
            <v>2.2999999999999998</v>
          </cell>
          <cell r="V282">
            <v>2.3125</v>
          </cell>
          <cell r="W282">
            <v>2.2999999999999998</v>
          </cell>
          <cell r="DZ282" t="str">
            <v>W6X16</v>
          </cell>
          <cell r="EA282">
            <v>16</v>
          </cell>
          <cell r="EB282">
            <v>4.74</v>
          </cell>
          <cell r="EC282">
            <v>6.28</v>
          </cell>
          <cell r="ED282" t="str">
            <v>6 1/4</v>
          </cell>
          <cell r="EE282">
            <v>0.26</v>
          </cell>
          <cell r="EF282">
            <v>44930</v>
          </cell>
          <cell r="EG282">
            <v>44934</v>
          </cell>
          <cell r="EH282">
            <v>4.03</v>
          </cell>
          <cell r="EI282">
            <v>4</v>
          </cell>
          <cell r="EJ282">
            <v>0.40500000000000003</v>
          </cell>
          <cell r="EK282">
            <v>44993</v>
          </cell>
          <cell r="EL282">
            <v>4.9800000000000004</v>
          </cell>
          <cell r="EM282">
            <v>19.100000000000001</v>
          </cell>
          <cell r="EN282">
            <v>32.1</v>
          </cell>
          <cell r="EO282">
            <v>10.199999999999999</v>
          </cell>
          <cell r="EP282">
            <v>2.6</v>
          </cell>
          <cell r="EQ282">
            <v>11.7</v>
          </cell>
          <cell r="ER282">
            <v>4.43</v>
          </cell>
          <cell r="ES282">
            <v>2.2000000000000002</v>
          </cell>
          <cell r="ET282">
            <v>0.96699999999999997</v>
          </cell>
        </row>
        <row r="283">
          <cell r="B283" t="str">
            <v>WT9X117</v>
          </cell>
          <cell r="C283" t="str">
            <v>WT9X117</v>
          </cell>
          <cell r="D283" t="str">
            <v>F</v>
          </cell>
          <cell r="E283">
            <v>117</v>
          </cell>
          <cell r="F283">
            <v>34.299999999999997</v>
          </cell>
          <cell r="G283" t="str">
            <v>WT9X117</v>
          </cell>
          <cell r="H283">
            <v>10.5</v>
          </cell>
          <cell r="I283">
            <v>10.5</v>
          </cell>
          <cell r="J283" t="str">
            <v>–</v>
          </cell>
          <cell r="K283" t="str">
            <v>–</v>
          </cell>
          <cell r="L283" t="str">
            <v>–</v>
          </cell>
          <cell r="M283">
            <v>11.7</v>
          </cell>
          <cell r="N283">
            <v>11.625</v>
          </cell>
          <cell r="O283" t="str">
            <v>–</v>
          </cell>
          <cell r="P283" t="str">
            <v>–</v>
          </cell>
          <cell r="Q283" t="str">
            <v>–</v>
          </cell>
          <cell r="R283">
            <v>1.1599999999999999</v>
          </cell>
          <cell r="S283">
            <v>1.1875</v>
          </cell>
          <cell r="T283">
            <v>0.625</v>
          </cell>
          <cell r="U283">
            <v>2.11</v>
          </cell>
          <cell r="V283">
            <v>2.125</v>
          </cell>
          <cell r="W283">
            <v>2.11</v>
          </cell>
          <cell r="DZ283" t="str">
            <v>W6X12</v>
          </cell>
          <cell r="EA283">
            <v>12</v>
          </cell>
          <cell r="EB283">
            <v>3.55</v>
          </cell>
          <cell r="EC283">
            <v>6.03</v>
          </cell>
          <cell r="ED283">
            <v>6</v>
          </cell>
          <cell r="EE283">
            <v>0.23</v>
          </cell>
          <cell r="EF283">
            <v>44930</v>
          </cell>
          <cell r="EG283">
            <v>44934</v>
          </cell>
          <cell r="EH283">
            <v>4</v>
          </cell>
          <cell r="EI283">
            <v>4</v>
          </cell>
          <cell r="EJ283">
            <v>0.28000000000000003</v>
          </cell>
          <cell r="EK283">
            <v>44930</v>
          </cell>
          <cell r="EL283">
            <v>7.14</v>
          </cell>
          <cell r="EM283">
            <v>21.6</v>
          </cell>
          <cell r="EN283">
            <v>22.1</v>
          </cell>
          <cell r="EO283">
            <v>7.31</v>
          </cell>
          <cell r="EP283">
            <v>2.4900000000000002</v>
          </cell>
          <cell r="EQ283">
            <v>8.3000000000000007</v>
          </cell>
          <cell r="ER283">
            <v>2.99</v>
          </cell>
          <cell r="ES283">
            <v>1.5</v>
          </cell>
          <cell r="ET283">
            <v>0.91800000000000004</v>
          </cell>
        </row>
        <row r="284">
          <cell r="B284" t="str">
            <v>WT9X105.5</v>
          </cell>
          <cell r="C284" t="str">
            <v>WT9X105.5</v>
          </cell>
          <cell r="D284" t="str">
            <v>F</v>
          </cell>
          <cell r="E284">
            <v>105.5</v>
          </cell>
          <cell r="F284">
            <v>31.2</v>
          </cell>
          <cell r="G284" t="str">
            <v>WT9X105.5</v>
          </cell>
          <cell r="H284">
            <v>10.3</v>
          </cell>
          <cell r="I284">
            <v>10.375</v>
          </cell>
          <cell r="J284" t="str">
            <v>–</v>
          </cell>
          <cell r="K284" t="str">
            <v>–</v>
          </cell>
          <cell r="L284" t="str">
            <v>–</v>
          </cell>
          <cell r="M284">
            <v>11.6</v>
          </cell>
          <cell r="N284">
            <v>11.5</v>
          </cell>
          <cell r="O284" t="str">
            <v>–</v>
          </cell>
          <cell r="P284" t="str">
            <v>–</v>
          </cell>
          <cell r="Q284" t="str">
            <v>–</v>
          </cell>
          <cell r="R284">
            <v>1.06</v>
          </cell>
          <cell r="S284">
            <v>1.0625</v>
          </cell>
          <cell r="T284">
            <v>0.5625</v>
          </cell>
          <cell r="U284">
            <v>1.91</v>
          </cell>
          <cell r="V284">
            <v>1.9375</v>
          </cell>
          <cell r="W284">
            <v>1.91</v>
          </cell>
          <cell r="DZ284" t="str">
            <v>W6X9</v>
          </cell>
          <cell r="EA284">
            <v>9</v>
          </cell>
          <cell r="EB284">
            <v>2.68</v>
          </cell>
          <cell r="EC284">
            <v>5.9</v>
          </cell>
          <cell r="ED284" t="str">
            <v>5 7/8</v>
          </cell>
          <cell r="EE284">
            <v>0.17</v>
          </cell>
          <cell r="EF284">
            <v>45001</v>
          </cell>
          <cell r="EG284">
            <v>44934</v>
          </cell>
          <cell r="EH284">
            <v>3.94</v>
          </cell>
          <cell r="EI284">
            <v>4</v>
          </cell>
          <cell r="EJ284">
            <v>0.215</v>
          </cell>
          <cell r="EK284">
            <v>45001</v>
          </cell>
          <cell r="EL284">
            <v>9.16</v>
          </cell>
          <cell r="EM284">
            <v>29.2</v>
          </cell>
          <cell r="EN284">
            <v>16.399999999999999</v>
          </cell>
          <cell r="EO284">
            <v>5.56</v>
          </cell>
          <cell r="EP284">
            <v>2.4700000000000002</v>
          </cell>
          <cell r="EQ284">
            <v>6.23</v>
          </cell>
          <cell r="ER284">
            <v>2.2000000000000002</v>
          </cell>
          <cell r="ES284">
            <v>1.1100000000000001</v>
          </cell>
          <cell r="ET284">
            <v>0.90500000000000003</v>
          </cell>
        </row>
        <row r="285">
          <cell r="B285" t="str">
            <v>WT9X96</v>
          </cell>
          <cell r="C285" t="str">
            <v>WT9X96</v>
          </cell>
          <cell r="D285" t="str">
            <v>F</v>
          </cell>
          <cell r="E285">
            <v>96</v>
          </cell>
          <cell r="F285">
            <v>28.1</v>
          </cell>
          <cell r="G285" t="str">
            <v>WT9X96</v>
          </cell>
          <cell r="H285">
            <v>10.199999999999999</v>
          </cell>
          <cell r="I285">
            <v>10.125</v>
          </cell>
          <cell r="J285" t="str">
            <v>–</v>
          </cell>
          <cell r="K285" t="str">
            <v>–</v>
          </cell>
          <cell r="L285" t="str">
            <v>–</v>
          </cell>
          <cell r="M285">
            <v>11.5</v>
          </cell>
          <cell r="N285">
            <v>11.5</v>
          </cell>
          <cell r="O285" t="str">
            <v>–</v>
          </cell>
          <cell r="P285" t="str">
            <v>–</v>
          </cell>
          <cell r="Q285" t="str">
            <v>–</v>
          </cell>
          <cell r="R285">
            <v>0.96</v>
          </cell>
          <cell r="S285">
            <v>0.9375</v>
          </cell>
          <cell r="T285">
            <v>0.5</v>
          </cell>
          <cell r="U285">
            <v>1.75</v>
          </cell>
          <cell r="V285">
            <v>1.75</v>
          </cell>
          <cell r="W285">
            <v>1.75</v>
          </cell>
          <cell r="DZ285" t="str">
            <v>W6X8.5</v>
          </cell>
          <cell r="EA285">
            <v>8.5</v>
          </cell>
          <cell r="EB285">
            <v>2.52</v>
          </cell>
          <cell r="EC285">
            <v>5.83</v>
          </cell>
          <cell r="ED285" t="str">
            <v>5 7/8</v>
          </cell>
          <cell r="EE285">
            <v>0.17</v>
          </cell>
          <cell r="EF285">
            <v>45001</v>
          </cell>
          <cell r="EG285">
            <v>44934</v>
          </cell>
          <cell r="EH285">
            <v>3.94</v>
          </cell>
          <cell r="EI285">
            <v>4</v>
          </cell>
          <cell r="EJ285">
            <v>0.19500000000000001</v>
          </cell>
          <cell r="EK285">
            <v>45001</v>
          </cell>
          <cell r="EL285">
            <v>10.1</v>
          </cell>
          <cell r="EM285">
            <v>29.1</v>
          </cell>
          <cell r="EN285">
            <v>14.9</v>
          </cell>
          <cell r="EO285">
            <v>5.0999999999999996</v>
          </cell>
          <cell r="EP285">
            <v>2.4300000000000002</v>
          </cell>
          <cell r="EQ285">
            <v>5.73</v>
          </cell>
          <cell r="ER285">
            <v>1.99</v>
          </cell>
          <cell r="ES285">
            <v>1.01</v>
          </cell>
          <cell r="ET285">
            <v>0.89</v>
          </cell>
        </row>
        <row r="286">
          <cell r="B286" t="str">
            <v>WT9X87.5</v>
          </cell>
          <cell r="C286" t="str">
            <v>WT9X87.5</v>
          </cell>
          <cell r="D286" t="str">
            <v>F</v>
          </cell>
          <cell r="E286">
            <v>87.5</v>
          </cell>
          <cell r="F286">
            <v>25.7</v>
          </cell>
          <cell r="G286" t="str">
            <v>WT9X87.5</v>
          </cell>
          <cell r="H286">
            <v>10</v>
          </cell>
          <cell r="I286">
            <v>10</v>
          </cell>
          <cell r="J286" t="str">
            <v>–</v>
          </cell>
          <cell r="K286" t="str">
            <v>–</v>
          </cell>
          <cell r="L286" t="str">
            <v>–</v>
          </cell>
          <cell r="M286">
            <v>11.4</v>
          </cell>
          <cell r="N286">
            <v>11.375</v>
          </cell>
          <cell r="O286" t="str">
            <v>–</v>
          </cell>
          <cell r="P286" t="str">
            <v>–</v>
          </cell>
          <cell r="Q286" t="str">
            <v>–</v>
          </cell>
          <cell r="R286">
            <v>0.89</v>
          </cell>
          <cell r="S286">
            <v>0.875</v>
          </cell>
          <cell r="T286">
            <v>0.4375</v>
          </cell>
          <cell r="U286">
            <v>1.59</v>
          </cell>
          <cell r="V286">
            <v>1.5625</v>
          </cell>
          <cell r="W286">
            <v>1.59</v>
          </cell>
          <cell r="DZ286" t="str">
            <v>W5X19</v>
          </cell>
          <cell r="EA286">
            <v>19</v>
          </cell>
          <cell r="EB286">
            <v>5.56</v>
          </cell>
          <cell r="EC286">
            <v>5.15</v>
          </cell>
          <cell r="ED286" t="str">
            <v>5 1/8</v>
          </cell>
          <cell r="EE286">
            <v>0.27</v>
          </cell>
          <cell r="EF286">
            <v>44930</v>
          </cell>
          <cell r="EG286">
            <v>44934</v>
          </cell>
          <cell r="EH286">
            <v>5.03</v>
          </cell>
          <cell r="EI286">
            <v>5</v>
          </cell>
          <cell r="EJ286">
            <v>0.43</v>
          </cell>
          <cell r="EK286">
            <v>45123</v>
          </cell>
          <cell r="EL286">
            <v>5.85</v>
          </cell>
          <cell r="EM286">
            <v>13.7</v>
          </cell>
          <cell r="EN286">
            <v>26.3</v>
          </cell>
          <cell r="EO286">
            <v>10.199999999999999</v>
          </cell>
          <cell r="EP286">
            <v>2.17</v>
          </cell>
          <cell r="EQ286">
            <v>11.6</v>
          </cell>
          <cell r="ER286">
            <v>9.1300000000000008</v>
          </cell>
          <cell r="ES286">
            <v>3.63</v>
          </cell>
          <cell r="ET286">
            <v>1.28</v>
          </cell>
        </row>
        <row r="287">
          <cell r="B287" t="str">
            <v>WT9X79</v>
          </cell>
          <cell r="C287" t="str">
            <v>WT9X79</v>
          </cell>
          <cell r="D287" t="str">
            <v>F</v>
          </cell>
          <cell r="E287">
            <v>79</v>
          </cell>
          <cell r="F287">
            <v>23.2</v>
          </cell>
          <cell r="G287" t="str">
            <v>WT9X79</v>
          </cell>
          <cell r="H287">
            <v>9.86</v>
          </cell>
          <cell r="I287">
            <v>9.875</v>
          </cell>
          <cell r="J287" t="str">
            <v>–</v>
          </cell>
          <cell r="K287" t="str">
            <v>–</v>
          </cell>
          <cell r="L287" t="str">
            <v>–</v>
          </cell>
          <cell r="M287">
            <v>11.3</v>
          </cell>
          <cell r="N287">
            <v>11.25</v>
          </cell>
          <cell r="O287" t="str">
            <v>–</v>
          </cell>
          <cell r="P287" t="str">
            <v>–</v>
          </cell>
          <cell r="Q287" t="str">
            <v>–</v>
          </cell>
          <cell r="R287">
            <v>0.81</v>
          </cell>
          <cell r="S287">
            <v>0.8125</v>
          </cell>
          <cell r="T287">
            <v>0.4375</v>
          </cell>
          <cell r="U287">
            <v>1.44</v>
          </cell>
          <cell r="V287">
            <v>1.4375</v>
          </cell>
          <cell r="W287">
            <v>1.44</v>
          </cell>
          <cell r="DZ287" t="str">
            <v>W5X16</v>
          </cell>
          <cell r="EA287">
            <v>16</v>
          </cell>
          <cell r="EB287">
            <v>4.71</v>
          </cell>
          <cell r="EC287">
            <v>5.01</v>
          </cell>
          <cell r="ED287">
            <v>5</v>
          </cell>
          <cell r="EE287">
            <v>0.24</v>
          </cell>
          <cell r="EF287">
            <v>44930</v>
          </cell>
          <cell r="EG287">
            <v>44934</v>
          </cell>
          <cell r="EH287">
            <v>5</v>
          </cell>
          <cell r="EI287">
            <v>5</v>
          </cell>
          <cell r="EJ287">
            <v>0.36</v>
          </cell>
          <cell r="EK287">
            <v>44993</v>
          </cell>
          <cell r="EL287">
            <v>6.94</v>
          </cell>
          <cell r="EM287">
            <v>15.4</v>
          </cell>
          <cell r="EN287">
            <v>21.4</v>
          </cell>
          <cell r="EO287">
            <v>8.5500000000000007</v>
          </cell>
          <cell r="EP287">
            <v>2.13</v>
          </cell>
          <cell r="EQ287">
            <v>9.6300000000000008</v>
          </cell>
          <cell r="ER287">
            <v>7.51</v>
          </cell>
          <cell r="ES287">
            <v>3</v>
          </cell>
          <cell r="ET287">
            <v>1.26</v>
          </cell>
        </row>
        <row r="288">
          <cell r="B288" t="str">
            <v>WT9X71.5</v>
          </cell>
          <cell r="C288" t="str">
            <v>WT9X71.5</v>
          </cell>
          <cell r="D288" t="str">
            <v>F</v>
          </cell>
          <cell r="E288">
            <v>71.5</v>
          </cell>
          <cell r="F288">
            <v>21</v>
          </cell>
          <cell r="G288" t="str">
            <v>WT9X71.5</v>
          </cell>
          <cell r="H288">
            <v>9.75</v>
          </cell>
          <cell r="I288">
            <v>9.75</v>
          </cell>
          <cell r="J288" t="str">
            <v>–</v>
          </cell>
          <cell r="K288" t="str">
            <v>–</v>
          </cell>
          <cell r="L288" t="str">
            <v>–</v>
          </cell>
          <cell r="M288">
            <v>11.2</v>
          </cell>
          <cell r="N288">
            <v>11.25</v>
          </cell>
          <cell r="O288" t="str">
            <v>–</v>
          </cell>
          <cell r="P288" t="str">
            <v>–</v>
          </cell>
          <cell r="Q288" t="str">
            <v>–</v>
          </cell>
          <cell r="R288">
            <v>0.73</v>
          </cell>
          <cell r="S288">
            <v>0.75</v>
          </cell>
          <cell r="T288">
            <v>0.375</v>
          </cell>
          <cell r="U288">
            <v>1.32</v>
          </cell>
          <cell r="V288">
            <v>1.3125</v>
          </cell>
          <cell r="W288">
            <v>1.32</v>
          </cell>
          <cell r="DZ288" t="str">
            <v>W4X13</v>
          </cell>
          <cell r="EA288">
            <v>13</v>
          </cell>
          <cell r="EB288">
            <v>3.83</v>
          </cell>
          <cell r="EC288">
            <v>4.16</v>
          </cell>
          <cell r="ED288" t="str">
            <v>4 1/8</v>
          </cell>
          <cell r="EE288">
            <v>0.28000000000000003</v>
          </cell>
          <cell r="EF288">
            <v>44930</v>
          </cell>
          <cell r="EG288">
            <v>44934</v>
          </cell>
          <cell r="EH288">
            <v>4.0599999999999996</v>
          </cell>
          <cell r="EI288">
            <v>4</v>
          </cell>
          <cell r="EJ288">
            <v>0.34499999999999997</v>
          </cell>
          <cell r="EK288">
            <v>44993</v>
          </cell>
          <cell r="EL288">
            <v>5.88</v>
          </cell>
          <cell r="EM288">
            <v>10.6</v>
          </cell>
          <cell r="EN288">
            <v>11.3</v>
          </cell>
          <cell r="EO288">
            <v>5.46</v>
          </cell>
          <cell r="EP288">
            <v>1.72</v>
          </cell>
          <cell r="EQ288">
            <v>6.28</v>
          </cell>
          <cell r="ER288">
            <v>3.86</v>
          </cell>
          <cell r="ES288">
            <v>1.9</v>
          </cell>
          <cell r="ET288">
            <v>1</v>
          </cell>
        </row>
        <row r="289">
          <cell r="B289" t="str">
            <v>WT9X65</v>
          </cell>
          <cell r="C289" t="str">
            <v>WT9X65</v>
          </cell>
          <cell r="D289" t="str">
            <v>F</v>
          </cell>
          <cell r="E289">
            <v>65</v>
          </cell>
          <cell r="F289">
            <v>19.2</v>
          </cell>
          <cell r="G289" t="str">
            <v>WT9X65</v>
          </cell>
          <cell r="H289">
            <v>9.6300000000000008</v>
          </cell>
          <cell r="I289">
            <v>9.625</v>
          </cell>
          <cell r="J289" t="str">
            <v>–</v>
          </cell>
          <cell r="K289" t="str">
            <v>–</v>
          </cell>
          <cell r="L289" t="str">
            <v>–</v>
          </cell>
          <cell r="M289">
            <v>11.2</v>
          </cell>
          <cell r="N289">
            <v>11.125</v>
          </cell>
          <cell r="O289" t="str">
            <v>–</v>
          </cell>
          <cell r="P289" t="str">
            <v>–</v>
          </cell>
          <cell r="Q289" t="str">
            <v>–</v>
          </cell>
          <cell r="R289">
            <v>0.67</v>
          </cell>
          <cell r="S289">
            <v>0.6875</v>
          </cell>
          <cell r="T289">
            <v>0.375</v>
          </cell>
          <cell r="U289">
            <v>1.2</v>
          </cell>
          <cell r="V289">
            <v>1.1875</v>
          </cell>
          <cell r="W289">
            <v>1.2</v>
          </cell>
        </row>
        <row r="290">
          <cell r="B290" t="str">
            <v>WT9X59.5</v>
          </cell>
          <cell r="C290" t="str">
            <v>WT9X59.5</v>
          </cell>
          <cell r="D290" t="str">
            <v>F</v>
          </cell>
          <cell r="E290">
            <v>59.5</v>
          </cell>
          <cell r="F290">
            <v>17.600000000000001</v>
          </cell>
          <cell r="G290" t="str">
            <v>WT9X59.5</v>
          </cell>
          <cell r="H290">
            <v>9.49</v>
          </cell>
          <cell r="I290">
            <v>9.5</v>
          </cell>
          <cell r="J290" t="str">
            <v>–</v>
          </cell>
          <cell r="K290" t="str">
            <v>–</v>
          </cell>
          <cell r="L290" t="str">
            <v>–</v>
          </cell>
          <cell r="M290">
            <v>11.3</v>
          </cell>
          <cell r="N290">
            <v>11.25</v>
          </cell>
          <cell r="O290" t="str">
            <v>–</v>
          </cell>
          <cell r="P290" t="str">
            <v>–</v>
          </cell>
          <cell r="Q290" t="str">
            <v>–</v>
          </cell>
          <cell r="R290">
            <v>0.65500000000000003</v>
          </cell>
          <cell r="S290">
            <v>0.625</v>
          </cell>
          <cell r="T290">
            <v>0.3125</v>
          </cell>
          <cell r="U290">
            <v>1.06</v>
          </cell>
          <cell r="V290">
            <v>1.0625</v>
          </cell>
          <cell r="W290">
            <v>1.06</v>
          </cell>
        </row>
        <row r="291">
          <cell r="B291" t="str">
            <v>WT9X53</v>
          </cell>
          <cell r="C291" t="str">
            <v>WT9X53</v>
          </cell>
          <cell r="D291" t="str">
            <v>F</v>
          </cell>
          <cell r="E291">
            <v>53</v>
          </cell>
          <cell r="F291">
            <v>15.6</v>
          </cell>
          <cell r="G291" t="str">
            <v>WT9X53</v>
          </cell>
          <cell r="H291">
            <v>9.3699999999999992</v>
          </cell>
          <cell r="I291">
            <v>9.375</v>
          </cell>
          <cell r="J291" t="str">
            <v>–</v>
          </cell>
          <cell r="K291" t="str">
            <v>–</v>
          </cell>
          <cell r="L291" t="str">
            <v>–</v>
          </cell>
          <cell r="M291">
            <v>11.2</v>
          </cell>
          <cell r="N291">
            <v>11.25</v>
          </cell>
          <cell r="O291" t="str">
            <v>–</v>
          </cell>
          <cell r="P291" t="str">
            <v>–</v>
          </cell>
          <cell r="Q291" t="str">
            <v>–</v>
          </cell>
          <cell r="R291">
            <v>0.59</v>
          </cell>
          <cell r="S291">
            <v>0.5625</v>
          </cell>
          <cell r="T291">
            <v>0.3125</v>
          </cell>
          <cell r="U291">
            <v>0.94</v>
          </cell>
          <cell r="V291">
            <v>0.9375</v>
          </cell>
          <cell r="W291">
            <v>0.94</v>
          </cell>
        </row>
        <row r="292">
          <cell r="B292" t="str">
            <v>WT9X48.5</v>
          </cell>
          <cell r="C292" t="str">
            <v>WT9X48.5</v>
          </cell>
          <cell r="D292" t="str">
            <v>F</v>
          </cell>
          <cell r="E292">
            <v>48.5</v>
          </cell>
          <cell r="F292">
            <v>14.2</v>
          </cell>
          <cell r="G292" t="str">
            <v>WT9X48.5</v>
          </cell>
          <cell r="H292">
            <v>9.3000000000000007</v>
          </cell>
          <cell r="I292">
            <v>9.25</v>
          </cell>
          <cell r="J292" t="str">
            <v>–</v>
          </cell>
          <cell r="K292" t="str">
            <v>–</v>
          </cell>
          <cell r="L292" t="str">
            <v>–</v>
          </cell>
          <cell r="M292">
            <v>11.1</v>
          </cell>
          <cell r="N292">
            <v>11.125</v>
          </cell>
          <cell r="O292" t="str">
            <v>–</v>
          </cell>
          <cell r="P292" t="str">
            <v>–</v>
          </cell>
          <cell r="Q292" t="str">
            <v>–</v>
          </cell>
          <cell r="R292">
            <v>0.53500000000000003</v>
          </cell>
          <cell r="S292">
            <v>0.5625</v>
          </cell>
          <cell r="T292">
            <v>0.3125</v>
          </cell>
          <cell r="U292">
            <v>0.87</v>
          </cell>
          <cell r="V292">
            <v>0.875</v>
          </cell>
          <cell r="W292">
            <v>0.87</v>
          </cell>
        </row>
        <row r="293">
          <cell r="B293" t="str">
            <v>WT9X43</v>
          </cell>
          <cell r="C293" t="str">
            <v>WT9X43</v>
          </cell>
          <cell r="D293" t="str">
            <v>F</v>
          </cell>
          <cell r="E293">
            <v>43</v>
          </cell>
          <cell r="F293">
            <v>12.7</v>
          </cell>
          <cell r="G293" t="str">
            <v>WT9X43</v>
          </cell>
          <cell r="H293">
            <v>9.1999999999999993</v>
          </cell>
          <cell r="I293">
            <v>9.25</v>
          </cell>
          <cell r="J293" t="str">
            <v>–</v>
          </cell>
          <cell r="K293" t="str">
            <v>–</v>
          </cell>
          <cell r="L293" t="str">
            <v>–</v>
          </cell>
          <cell r="M293">
            <v>11.1</v>
          </cell>
          <cell r="N293">
            <v>11.125</v>
          </cell>
          <cell r="O293" t="str">
            <v>–</v>
          </cell>
          <cell r="P293" t="str">
            <v>–</v>
          </cell>
          <cell r="Q293" t="str">
            <v>–</v>
          </cell>
          <cell r="R293">
            <v>0.48</v>
          </cell>
          <cell r="S293">
            <v>0.5</v>
          </cell>
          <cell r="T293">
            <v>0.25</v>
          </cell>
          <cell r="U293">
            <v>0.77</v>
          </cell>
          <cell r="V293">
            <v>0.75</v>
          </cell>
          <cell r="W293">
            <v>0.77</v>
          </cell>
        </row>
        <row r="294">
          <cell r="B294" t="str">
            <v>WT9X38</v>
          </cell>
          <cell r="C294" t="str">
            <v>WT9X38</v>
          </cell>
          <cell r="D294" t="str">
            <v>F</v>
          </cell>
          <cell r="E294">
            <v>38</v>
          </cell>
          <cell r="F294">
            <v>11.1</v>
          </cell>
          <cell r="G294" t="str">
            <v>WT9X38</v>
          </cell>
          <cell r="H294">
            <v>9.11</v>
          </cell>
          <cell r="I294">
            <v>9.125</v>
          </cell>
          <cell r="J294" t="str">
            <v>–</v>
          </cell>
          <cell r="K294" t="str">
            <v>–</v>
          </cell>
          <cell r="L294" t="str">
            <v>–</v>
          </cell>
          <cell r="M294">
            <v>11</v>
          </cell>
          <cell r="N294">
            <v>11</v>
          </cell>
          <cell r="O294" t="str">
            <v>–</v>
          </cell>
          <cell r="P294" t="str">
            <v>–</v>
          </cell>
          <cell r="Q294" t="str">
            <v>–</v>
          </cell>
          <cell r="R294">
            <v>0.42499999999999999</v>
          </cell>
          <cell r="S294">
            <v>0.4375</v>
          </cell>
          <cell r="T294">
            <v>0.25</v>
          </cell>
          <cell r="U294">
            <v>0.68</v>
          </cell>
          <cell r="V294">
            <v>0.6875</v>
          </cell>
          <cell r="W294">
            <v>0.68</v>
          </cell>
        </row>
        <row r="295">
          <cell r="B295" t="str">
            <v>WT9X35.5</v>
          </cell>
          <cell r="C295" t="str">
            <v>WT9X35.5</v>
          </cell>
          <cell r="D295" t="str">
            <v>F</v>
          </cell>
          <cell r="E295">
            <v>35.5</v>
          </cell>
          <cell r="F295">
            <v>10.4</v>
          </cell>
          <cell r="G295" t="str">
            <v>WT9X35.5</v>
          </cell>
          <cell r="H295">
            <v>9.24</v>
          </cell>
          <cell r="I295">
            <v>9.25</v>
          </cell>
          <cell r="J295" t="str">
            <v>–</v>
          </cell>
          <cell r="K295" t="str">
            <v>–</v>
          </cell>
          <cell r="L295" t="str">
            <v>–</v>
          </cell>
          <cell r="M295">
            <v>7.64</v>
          </cell>
          <cell r="N295">
            <v>7.625</v>
          </cell>
          <cell r="O295" t="str">
            <v>–</v>
          </cell>
          <cell r="P295" t="str">
            <v>–</v>
          </cell>
          <cell r="Q295" t="str">
            <v>–</v>
          </cell>
          <cell r="R295">
            <v>0.495</v>
          </cell>
          <cell r="S295">
            <v>0.5</v>
          </cell>
          <cell r="T295">
            <v>0.25</v>
          </cell>
          <cell r="U295">
            <v>0.81</v>
          </cell>
          <cell r="V295">
            <v>0.8125</v>
          </cell>
          <cell r="W295">
            <v>0.81</v>
          </cell>
        </row>
        <row r="296">
          <cell r="B296" t="str">
            <v>WT9X32.5</v>
          </cell>
          <cell r="C296" t="str">
            <v>WT9X32.5</v>
          </cell>
          <cell r="D296" t="str">
            <v>F</v>
          </cell>
          <cell r="E296">
            <v>32.5</v>
          </cell>
          <cell r="F296">
            <v>9.5500000000000007</v>
          </cell>
          <cell r="G296" t="str">
            <v>WT9X32.5</v>
          </cell>
          <cell r="H296">
            <v>9.18</v>
          </cell>
          <cell r="I296">
            <v>9.125</v>
          </cell>
          <cell r="J296" t="str">
            <v>–</v>
          </cell>
          <cell r="K296" t="str">
            <v>–</v>
          </cell>
          <cell r="L296" t="str">
            <v>–</v>
          </cell>
          <cell r="M296">
            <v>7.59</v>
          </cell>
          <cell r="N296">
            <v>7.625</v>
          </cell>
          <cell r="O296" t="str">
            <v>–</v>
          </cell>
          <cell r="P296" t="str">
            <v>–</v>
          </cell>
          <cell r="Q296" t="str">
            <v>–</v>
          </cell>
          <cell r="R296">
            <v>0.45</v>
          </cell>
          <cell r="S296">
            <v>0.4375</v>
          </cell>
          <cell r="T296">
            <v>0.25</v>
          </cell>
          <cell r="U296">
            <v>0.75</v>
          </cell>
          <cell r="V296">
            <v>0.75</v>
          </cell>
          <cell r="W296">
            <v>0.75</v>
          </cell>
        </row>
        <row r="297">
          <cell r="B297" t="str">
            <v>WT9X30</v>
          </cell>
          <cell r="C297" t="str">
            <v>WT9X30</v>
          </cell>
          <cell r="D297" t="str">
            <v>F</v>
          </cell>
          <cell r="E297">
            <v>30</v>
          </cell>
          <cell r="F297">
            <v>8.82</v>
          </cell>
          <cell r="G297" t="str">
            <v>WT9X30</v>
          </cell>
          <cell r="H297">
            <v>9.1199999999999992</v>
          </cell>
          <cell r="I297">
            <v>9.125</v>
          </cell>
          <cell r="J297" t="str">
            <v>–</v>
          </cell>
          <cell r="K297" t="str">
            <v>–</v>
          </cell>
          <cell r="L297" t="str">
            <v>–</v>
          </cell>
          <cell r="M297">
            <v>7.56</v>
          </cell>
          <cell r="N297">
            <v>7.5</v>
          </cell>
          <cell r="O297" t="str">
            <v>–</v>
          </cell>
          <cell r="P297" t="str">
            <v>–</v>
          </cell>
          <cell r="Q297" t="str">
            <v>–</v>
          </cell>
          <cell r="R297">
            <v>0.41499999999999998</v>
          </cell>
          <cell r="S297">
            <v>0.4375</v>
          </cell>
          <cell r="T297">
            <v>0.25</v>
          </cell>
          <cell r="U297">
            <v>0.69499999999999995</v>
          </cell>
          <cell r="V297">
            <v>0.6875</v>
          </cell>
          <cell r="W297">
            <v>0.69499999999999995</v>
          </cell>
        </row>
        <row r="298">
          <cell r="B298" t="str">
            <v>WT9X27.5</v>
          </cell>
          <cell r="C298" t="str">
            <v>WT9X27.5</v>
          </cell>
          <cell r="D298" t="str">
            <v>F</v>
          </cell>
          <cell r="E298">
            <v>27.5</v>
          </cell>
          <cell r="F298">
            <v>8.1</v>
          </cell>
          <cell r="G298" t="str">
            <v>WT9X27.5</v>
          </cell>
          <cell r="H298">
            <v>9.06</v>
          </cell>
          <cell r="I298">
            <v>9</v>
          </cell>
          <cell r="J298" t="str">
            <v>–</v>
          </cell>
          <cell r="K298" t="str">
            <v>–</v>
          </cell>
          <cell r="L298" t="str">
            <v>–</v>
          </cell>
          <cell r="M298">
            <v>7.53</v>
          </cell>
          <cell r="N298">
            <v>7.5</v>
          </cell>
          <cell r="O298" t="str">
            <v>–</v>
          </cell>
          <cell r="P298" t="str">
            <v>–</v>
          </cell>
          <cell r="Q298" t="str">
            <v>–</v>
          </cell>
          <cell r="R298">
            <v>0.39</v>
          </cell>
          <cell r="S298">
            <v>0.375</v>
          </cell>
          <cell r="T298">
            <v>0.1875</v>
          </cell>
          <cell r="U298">
            <v>0.63</v>
          </cell>
          <cell r="V298">
            <v>0.625</v>
          </cell>
          <cell r="W298">
            <v>0.63</v>
          </cell>
        </row>
        <row r="299">
          <cell r="B299" t="str">
            <v>WT9X25</v>
          </cell>
          <cell r="C299" t="str">
            <v>WT9X25</v>
          </cell>
          <cell r="D299" t="str">
            <v>F</v>
          </cell>
          <cell r="E299">
            <v>25</v>
          </cell>
          <cell r="F299">
            <v>7.34</v>
          </cell>
          <cell r="G299" t="str">
            <v>WT9X25</v>
          </cell>
          <cell r="H299">
            <v>9</v>
          </cell>
          <cell r="I299">
            <v>9</v>
          </cell>
          <cell r="J299" t="str">
            <v>–</v>
          </cell>
          <cell r="K299" t="str">
            <v>–</v>
          </cell>
          <cell r="L299" t="str">
            <v>–</v>
          </cell>
          <cell r="M299">
            <v>7.5</v>
          </cell>
          <cell r="N299">
            <v>7.5</v>
          </cell>
          <cell r="O299" t="str">
            <v>–</v>
          </cell>
          <cell r="P299" t="str">
            <v>–</v>
          </cell>
          <cell r="Q299" t="str">
            <v>–</v>
          </cell>
          <cell r="R299">
            <v>0.35499999999999998</v>
          </cell>
          <cell r="S299">
            <v>0.375</v>
          </cell>
          <cell r="T299">
            <v>0.1875</v>
          </cell>
          <cell r="U299">
            <v>0.56999999999999995</v>
          </cell>
          <cell r="V299">
            <v>0.5625</v>
          </cell>
          <cell r="W299">
            <v>0.56999999999999995</v>
          </cell>
        </row>
        <row r="300">
          <cell r="B300" t="str">
            <v>WT9X23</v>
          </cell>
          <cell r="C300" t="str">
            <v>WT9X23</v>
          </cell>
          <cell r="D300" t="str">
            <v>F</v>
          </cell>
          <cell r="E300">
            <v>23</v>
          </cell>
          <cell r="F300">
            <v>6.77</v>
          </cell>
          <cell r="G300" t="str">
            <v>WT9X23</v>
          </cell>
          <cell r="H300">
            <v>9.0299999999999994</v>
          </cell>
          <cell r="I300">
            <v>9</v>
          </cell>
          <cell r="J300" t="str">
            <v>–</v>
          </cell>
          <cell r="K300" t="str">
            <v>–</v>
          </cell>
          <cell r="L300" t="str">
            <v>–</v>
          </cell>
          <cell r="M300">
            <v>6.06</v>
          </cell>
          <cell r="N300">
            <v>6</v>
          </cell>
          <cell r="O300" t="str">
            <v>–</v>
          </cell>
          <cell r="P300" t="str">
            <v>–</v>
          </cell>
          <cell r="Q300" t="str">
            <v>–</v>
          </cell>
          <cell r="R300">
            <v>0.36</v>
          </cell>
          <cell r="S300">
            <v>0.375</v>
          </cell>
          <cell r="T300">
            <v>0.1875</v>
          </cell>
          <cell r="U300">
            <v>0.60499999999999998</v>
          </cell>
          <cell r="V300">
            <v>0.625</v>
          </cell>
          <cell r="W300">
            <v>0.60499999999999998</v>
          </cell>
        </row>
        <row r="301">
          <cell r="B301" t="str">
            <v>WT9X20</v>
          </cell>
          <cell r="C301" t="str">
            <v>WT9X20</v>
          </cell>
          <cell r="D301" t="str">
            <v>F</v>
          </cell>
          <cell r="E301">
            <v>20</v>
          </cell>
          <cell r="F301">
            <v>5.88</v>
          </cell>
          <cell r="G301" t="str">
            <v>WT9X20</v>
          </cell>
          <cell r="H301">
            <v>8.9499999999999993</v>
          </cell>
          <cell r="I301">
            <v>9</v>
          </cell>
          <cell r="J301" t="str">
            <v>–</v>
          </cell>
          <cell r="K301" t="str">
            <v>–</v>
          </cell>
          <cell r="L301" t="str">
            <v>–</v>
          </cell>
          <cell r="M301">
            <v>6.02</v>
          </cell>
          <cell r="N301">
            <v>6</v>
          </cell>
          <cell r="O301" t="str">
            <v>–</v>
          </cell>
          <cell r="P301" t="str">
            <v>–</v>
          </cell>
          <cell r="Q301" t="str">
            <v>–</v>
          </cell>
          <cell r="R301">
            <v>0.315</v>
          </cell>
          <cell r="S301">
            <v>0.3125</v>
          </cell>
          <cell r="T301">
            <v>0.1875</v>
          </cell>
          <cell r="U301">
            <v>0.52500000000000002</v>
          </cell>
          <cell r="V301">
            <v>0.5</v>
          </cell>
          <cell r="W301">
            <v>0.52500000000000002</v>
          </cell>
        </row>
        <row r="302">
          <cell r="B302" t="str">
            <v>WT9X17.5</v>
          </cell>
          <cell r="C302" t="str">
            <v>WT9X17.5</v>
          </cell>
          <cell r="D302" t="str">
            <v>F</v>
          </cell>
          <cell r="E302">
            <v>17.5</v>
          </cell>
          <cell r="F302">
            <v>5.15</v>
          </cell>
          <cell r="G302" t="str">
            <v>WT9X17.5</v>
          </cell>
          <cell r="H302">
            <v>8.85</v>
          </cell>
          <cell r="I302">
            <v>8.875</v>
          </cell>
          <cell r="J302" t="str">
            <v>–</v>
          </cell>
          <cell r="K302" t="str">
            <v>–</v>
          </cell>
          <cell r="L302" t="str">
            <v>–</v>
          </cell>
          <cell r="M302">
            <v>6</v>
          </cell>
          <cell r="N302">
            <v>6</v>
          </cell>
          <cell r="O302" t="str">
            <v>–</v>
          </cell>
          <cell r="P302" t="str">
            <v>–</v>
          </cell>
          <cell r="Q302" t="str">
            <v>–</v>
          </cell>
          <cell r="R302">
            <v>0.3</v>
          </cell>
          <cell r="S302">
            <v>0.3125</v>
          </cell>
          <cell r="T302">
            <v>0.1875</v>
          </cell>
          <cell r="U302">
            <v>0.42499999999999999</v>
          </cell>
          <cell r="V302">
            <v>0.4375</v>
          </cell>
          <cell r="W302">
            <v>0.42499999999999999</v>
          </cell>
        </row>
        <row r="303">
          <cell r="B303" t="str">
            <v>WT8X50</v>
          </cell>
          <cell r="C303" t="str">
            <v>WT8X50</v>
          </cell>
          <cell r="D303" t="str">
            <v>F</v>
          </cell>
          <cell r="E303">
            <v>50</v>
          </cell>
          <cell r="F303">
            <v>14.7</v>
          </cell>
          <cell r="G303" t="str">
            <v>WT8X50</v>
          </cell>
          <cell r="H303">
            <v>8.49</v>
          </cell>
          <cell r="I303">
            <v>8.5</v>
          </cell>
          <cell r="J303" t="str">
            <v>–</v>
          </cell>
          <cell r="K303" t="str">
            <v>–</v>
          </cell>
          <cell r="L303" t="str">
            <v>–</v>
          </cell>
          <cell r="M303">
            <v>10.4</v>
          </cell>
          <cell r="N303">
            <v>10.375</v>
          </cell>
          <cell r="O303" t="str">
            <v>–</v>
          </cell>
          <cell r="P303" t="str">
            <v>–</v>
          </cell>
          <cell r="Q303" t="str">
            <v>–</v>
          </cell>
          <cell r="R303">
            <v>0.58499999999999996</v>
          </cell>
          <cell r="S303">
            <v>0.5625</v>
          </cell>
          <cell r="T303">
            <v>0.3125</v>
          </cell>
          <cell r="U303">
            <v>0.98499999999999999</v>
          </cell>
          <cell r="V303">
            <v>1</v>
          </cell>
          <cell r="W303">
            <v>0.98499999999999999</v>
          </cell>
        </row>
        <row r="304">
          <cell r="B304" t="str">
            <v>WT8X44.5</v>
          </cell>
          <cell r="C304" t="str">
            <v>WT8X44.5</v>
          </cell>
          <cell r="D304" t="str">
            <v>F</v>
          </cell>
          <cell r="E304">
            <v>44.5</v>
          </cell>
          <cell r="F304">
            <v>13.1</v>
          </cell>
          <cell r="G304" t="str">
            <v>WT8X44.5</v>
          </cell>
          <cell r="H304">
            <v>8.3800000000000008</v>
          </cell>
          <cell r="I304">
            <v>8.375</v>
          </cell>
          <cell r="J304" t="str">
            <v>–</v>
          </cell>
          <cell r="K304" t="str">
            <v>–</v>
          </cell>
          <cell r="L304" t="str">
            <v>–</v>
          </cell>
          <cell r="M304">
            <v>10.4</v>
          </cell>
          <cell r="N304">
            <v>10.375</v>
          </cell>
          <cell r="O304" t="str">
            <v>–</v>
          </cell>
          <cell r="P304" t="str">
            <v>–</v>
          </cell>
          <cell r="Q304" t="str">
            <v>–</v>
          </cell>
          <cell r="R304">
            <v>0.52500000000000002</v>
          </cell>
          <cell r="S304">
            <v>0.5</v>
          </cell>
          <cell r="T304">
            <v>0.25</v>
          </cell>
          <cell r="U304">
            <v>0.875</v>
          </cell>
          <cell r="V304">
            <v>0.875</v>
          </cell>
          <cell r="W304">
            <v>0.875</v>
          </cell>
        </row>
        <row r="305">
          <cell r="B305" t="str">
            <v>WT8X38.5</v>
          </cell>
          <cell r="C305" t="str">
            <v>WT8X38.5</v>
          </cell>
          <cell r="D305" t="str">
            <v>F</v>
          </cell>
          <cell r="E305">
            <v>38.5</v>
          </cell>
          <cell r="F305">
            <v>11.3</v>
          </cell>
          <cell r="G305" t="str">
            <v>WT8X38.5</v>
          </cell>
          <cell r="H305">
            <v>8.26</v>
          </cell>
          <cell r="I305">
            <v>8.25</v>
          </cell>
          <cell r="J305" t="str">
            <v>–</v>
          </cell>
          <cell r="K305" t="str">
            <v>–</v>
          </cell>
          <cell r="L305" t="str">
            <v>–</v>
          </cell>
          <cell r="M305">
            <v>10.3</v>
          </cell>
          <cell r="N305">
            <v>10.25</v>
          </cell>
          <cell r="O305" t="str">
            <v>–</v>
          </cell>
          <cell r="P305" t="str">
            <v>–</v>
          </cell>
          <cell r="Q305" t="str">
            <v>–</v>
          </cell>
          <cell r="R305">
            <v>0.45500000000000002</v>
          </cell>
          <cell r="S305">
            <v>0.4375</v>
          </cell>
          <cell r="T305">
            <v>0.25</v>
          </cell>
          <cell r="U305">
            <v>0.76</v>
          </cell>
          <cell r="V305">
            <v>0.75</v>
          </cell>
          <cell r="W305">
            <v>0.76</v>
          </cell>
        </row>
        <row r="306">
          <cell r="B306" t="str">
            <v>WT8X33.5</v>
          </cell>
          <cell r="C306" t="str">
            <v>WT8X33.5</v>
          </cell>
          <cell r="D306" t="str">
            <v>F</v>
          </cell>
          <cell r="E306">
            <v>33.5</v>
          </cell>
          <cell r="F306">
            <v>9.81</v>
          </cell>
          <cell r="G306" t="str">
            <v>WT8X33.5</v>
          </cell>
          <cell r="H306">
            <v>8.17</v>
          </cell>
          <cell r="I306">
            <v>8.125</v>
          </cell>
          <cell r="J306" t="str">
            <v>–</v>
          </cell>
          <cell r="K306" t="str">
            <v>–</v>
          </cell>
          <cell r="L306" t="str">
            <v>–</v>
          </cell>
          <cell r="M306">
            <v>10.199999999999999</v>
          </cell>
          <cell r="N306">
            <v>10.25</v>
          </cell>
          <cell r="O306" t="str">
            <v>–</v>
          </cell>
          <cell r="P306" t="str">
            <v>–</v>
          </cell>
          <cell r="Q306" t="str">
            <v>–</v>
          </cell>
          <cell r="R306">
            <v>0.39500000000000002</v>
          </cell>
          <cell r="S306">
            <v>0.375</v>
          </cell>
          <cell r="T306">
            <v>0.1875</v>
          </cell>
          <cell r="U306">
            <v>0.66500000000000004</v>
          </cell>
          <cell r="V306">
            <v>0.6875</v>
          </cell>
          <cell r="W306">
            <v>0.66500000000000004</v>
          </cell>
        </row>
        <row r="307">
          <cell r="B307" t="str">
            <v>WT8X28.5</v>
          </cell>
          <cell r="C307" t="str">
            <v>WT8X28.5</v>
          </cell>
          <cell r="D307" t="str">
            <v>F</v>
          </cell>
          <cell r="E307">
            <v>28.5</v>
          </cell>
          <cell r="F307">
            <v>8.39</v>
          </cell>
          <cell r="G307" t="str">
            <v>WT8X28.5</v>
          </cell>
          <cell r="H307">
            <v>8.2200000000000006</v>
          </cell>
          <cell r="I307">
            <v>8.25</v>
          </cell>
          <cell r="J307" t="str">
            <v>–</v>
          </cell>
          <cell r="K307" t="str">
            <v>–</v>
          </cell>
          <cell r="L307" t="str">
            <v>–</v>
          </cell>
          <cell r="M307">
            <v>7.12</v>
          </cell>
          <cell r="N307">
            <v>7.125</v>
          </cell>
          <cell r="O307" t="str">
            <v>–</v>
          </cell>
          <cell r="P307" t="str">
            <v>–</v>
          </cell>
          <cell r="Q307" t="str">
            <v>–</v>
          </cell>
          <cell r="R307">
            <v>0.43</v>
          </cell>
          <cell r="S307">
            <v>0.4375</v>
          </cell>
          <cell r="T307">
            <v>0.25</v>
          </cell>
          <cell r="U307">
            <v>0.71499999999999997</v>
          </cell>
          <cell r="V307">
            <v>0.6875</v>
          </cell>
          <cell r="W307">
            <v>0.71499999999999997</v>
          </cell>
        </row>
        <row r="308">
          <cell r="B308" t="str">
            <v>WT8X25</v>
          </cell>
          <cell r="C308" t="str">
            <v>WT8X25</v>
          </cell>
          <cell r="D308" t="str">
            <v>F</v>
          </cell>
          <cell r="E308">
            <v>25</v>
          </cell>
          <cell r="F308">
            <v>7.37</v>
          </cell>
          <cell r="G308" t="str">
            <v>WT8X25</v>
          </cell>
          <cell r="H308">
            <v>8.1300000000000008</v>
          </cell>
          <cell r="I308">
            <v>8.125</v>
          </cell>
          <cell r="J308" t="str">
            <v>–</v>
          </cell>
          <cell r="K308" t="str">
            <v>–</v>
          </cell>
          <cell r="L308" t="str">
            <v>–</v>
          </cell>
          <cell r="M308">
            <v>7.07</v>
          </cell>
          <cell r="N308">
            <v>7.125</v>
          </cell>
          <cell r="O308" t="str">
            <v>–</v>
          </cell>
          <cell r="P308" t="str">
            <v>–</v>
          </cell>
          <cell r="Q308" t="str">
            <v>–</v>
          </cell>
          <cell r="R308">
            <v>0.38</v>
          </cell>
          <cell r="S308">
            <v>0.375</v>
          </cell>
          <cell r="T308">
            <v>0.1875</v>
          </cell>
          <cell r="U308">
            <v>0.63</v>
          </cell>
          <cell r="V308">
            <v>0.625</v>
          </cell>
          <cell r="W308">
            <v>0.63</v>
          </cell>
        </row>
        <row r="309">
          <cell r="B309" t="str">
            <v>WT8X22.5</v>
          </cell>
          <cell r="C309" t="str">
            <v>WT8X22.5</v>
          </cell>
          <cell r="D309" t="str">
            <v>F</v>
          </cell>
          <cell r="E309">
            <v>22.5</v>
          </cell>
          <cell r="F309">
            <v>6.63</v>
          </cell>
          <cell r="G309" t="str">
            <v>WT8X22.5</v>
          </cell>
          <cell r="H309">
            <v>8.07</v>
          </cell>
          <cell r="I309">
            <v>8.125</v>
          </cell>
          <cell r="J309" t="str">
            <v>–</v>
          </cell>
          <cell r="K309" t="str">
            <v>–</v>
          </cell>
          <cell r="L309" t="str">
            <v>–</v>
          </cell>
          <cell r="M309">
            <v>7.04</v>
          </cell>
          <cell r="N309">
            <v>7</v>
          </cell>
          <cell r="O309" t="str">
            <v>–</v>
          </cell>
          <cell r="P309" t="str">
            <v>–</v>
          </cell>
          <cell r="Q309" t="str">
            <v>–</v>
          </cell>
          <cell r="R309">
            <v>0.34499999999999997</v>
          </cell>
          <cell r="S309">
            <v>0.375</v>
          </cell>
          <cell r="T309">
            <v>0.1875</v>
          </cell>
          <cell r="U309">
            <v>0.56499999999999995</v>
          </cell>
          <cell r="V309">
            <v>0.5625</v>
          </cell>
          <cell r="W309">
            <v>0.56499999999999995</v>
          </cell>
        </row>
        <row r="310">
          <cell r="B310" t="str">
            <v>WT8X20</v>
          </cell>
          <cell r="C310" t="str">
            <v>WT8X20</v>
          </cell>
          <cell r="D310" t="str">
            <v>F</v>
          </cell>
          <cell r="E310">
            <v>20</v>
          </cell>
          <cell r="F310">
            <v>5.89</v>
          </cell>
          <cell r="G310" t="str">
            <v>WT8X20</v>
          </cell>
          <cell r="H310">
            <v>8.01</v>
          </cell>
          <cell r="I310">
            <v>8</v>
          </cell>
          <cell r="J310" t="str">
            <v>–</v>
          </cell>
          <cell r="K310" t="str">
            <v>–</v>
          </cell>
          <cell r="L310" t="str">
            <v>–</v>
          </cell>
          <cell r="M310">
            <v>7</v>
          </cell>
          <cell r="N310">
            <v>7</v>
          </cell>
          <cell r="O310" t="str">
            <v>–</v>
          </cell>
          <cell r="P310" t="str">
            <v>–</v>
          </cell>
          <cell r="Q310" t="str">
            <v>–</v>
          </cell>
          <cell r="R310">
            <v>0.30499999999999999</v>
          </cell>
          <cell r="S310">
            <v>0.3125</v>
          </cell>
          <cell r="T310">
            <v>0.1875</v>
          </cell>
          <cell r="U310">
            <v>0.505</v>
          </cell>
          <cell r="V310">
            <v>0.5</v>
          </cell>
          <cell r="W310">
            <v>0.505</v>
          </cell>
        </row>
        <row r="311">
          <cell r="B311" t="str">
            <v>WT8X18</v>
          </cell>
          <cell r="C311" t="str">
            <v>WT8X18</v>
          </cell>
          <cell r="D311" t="str">
            <v>F</v>
          </cell>
          <cell r="E311">
            <v>18</v>
          </cell>
          <cell r="F311">
            <v>5.29</v>
          </cell>
          <cell r="G311" t="str">
            <v>WT8X18</v>
          </cell>
          <cell r="H311">
            <v>7.93</v>
          </cell>
          <cell r="I311">
            <v>7.875</v>
          </cell>
          <cell r="J311" t="str">
            <v>–</v>
          </cell>
          <cell r="K311" t="str">
            <v>–</v>
          </cell>
          <cell r="L311" t="str">
            <v>–</v>
          </cell>
          <cell r="M311">
            <v>6.99</v>
          </cell>
          <cell r="N311">
            <v>7</v>
          </cell>
          <cell r="O311" t="str">
            <v>–</v>
          </cell>
          <cell r="P311" t="str">
            <v>–</v>
          </cell>
          <cell r="Q311" t="str">
            <v>–</v>
          </cell>
          <cell r="R311">
            <v>0.29499999999999998</v>
          </cell>
          <cell r="S311">
            <v>0.3125</v>
          </cell>
          <cell r="T311">
            <v>0.1875</v>
          </cell>
          <cell r="U311">
            <v>0.43</v>
          </cell>
          <cell r="V311">
            <v>0.4375</v>
          </cell>
          <cell r="W311">
            <v>0.43</v>
          </cell>
        </row>
        <row r="312">
          <cell r="B312" t="str">
            <v>WT8X15.5</v>
          </cell>
          <cell r="C312" t="str">
            <v>WT8X15.5</v>
          </cell>
          <cell r="D312" t="str">
            <v>F</v>
          </cell>
          <cell r="E312">
            <v>15.5</v>
          </cell>
          <cell r="F312">
            <v>4.5599999999999996</v>
          </cell>
          <cell r="G312" t="str">
            <v>WT8X15.5</v>
          </cell>
          <cell r="H312">
            <v>7.94</v>
          </cell>
          <cell r="I312">
            <v>8</v>
          </cell>
          <cell r="J312" t="str">
            <v>–</v>
          </cell>
          <cell r="K312" t="str">
            <v>–</v>
          </cell>
          <cell r="L312" t="str">
            <v>–</v>
          </cell>
          <cell r="M312">
            <v>5.53</v>
          </cell>
          <cell r="N312">
            <v>5.5</v>
          </cell>
          <cell r="O312" t="str">
            <v>–</v>
          </cell>
          <cell r="P312" t="str">
            <v>–</v>
          </cell>
          <cell r="Q312" t="str">
            <v>–</v>
          </cell>
          <cell r="R312">
            <v>0.27500000000000002</v>
          </cell>
          <cell r="S312">
            <v>0.25</v>
          </cell>
          <cell r="T312">
            <v>0.125</v>
          </cell>
          <cell r="U312">
            <v>0.44</v>
          </cell>
          <cell r="V312">
            <v>0.4375</v>
          </cell>
          <cell r="W312">
            <v>0.44</v>
          </cell>
        </row>
        <row r="313">
          <cell r="B313" t="str">
            <v>WT8X13</v>
          </cell>
          <cell r="C313" t="str">
            <v>WT8X13</v>
          </cell>
          <cell r="D313" t="str">
            <v>F</v>
          </cell>
          <cell r="E313">
            <v>13</v>
          </cell>
          <cell r="F313">
            <v>3.84</v>
          </cell>
          <cell r="G313" t="str">
            <v>WT8X13</v>
          </cell>
          <cell r="H313">
            <v>7.85</v>
          </cell>
          <cell r="I313">
            <v>7.875</v>
          </cell>
          <cell r="J313" t="str">
            <v>–</v>
          </cell>
          <cell r="K313" t="str">
            <v>–</v>
          </cell>
          <cell r="L313" t="str">
            <v>–</v>
          </cell>
          <cell r="M313">
            <v>5.5</v>
          </cell>
          <cell r="N313">
            <v>5.5</v>
          </cell>
          <cell r="O313" t="str">
            <v>–</v>
          </cell>
          <cell r="P313" t="str">
            <v>–</v>
          </cell>
          <cell r="Q313" t="str">
            <v>–</v>
          </cell>
          <cell r="R313">
            <v>0.25</v>
          </cell>
          <cell r="S313">
            <v>0.25</v>
          </cell>
          <cell r="T313">
            <v>0.125</v>
          </cell>
          <cell r="U313">
            <v>0.34499999999999997</v>
          </cell>
          <cell r="V313">
            <v>0.375</v>
          </cell>
          <cell r="W313">
            <v>0.34499999999999997</v>
          </cell>
        </row>
        <row r="314">
          <cell r="B314" t="str">
            <v>WT7X436.5</v>
          </cell>
          <cell r="C314" t="str">
            <v>WT7X436.5</v>
          </cell>
          <cell r="D314" t="str">
            <v>T</v>
          </cell>
          <cell r="E314">
            <v>436.5</v>
          </cell>
          <cell r="F314">
            <v>129</v>
          </cell>
          <cell r="G314" t="str">
            <v>WT7X436.5</v>
          </cell>
          <cell r="H314">
            <v>11.8</v>
          </cell>
          <cell r="I314">
            <v>11.75</v>
          </cell>
          <cell r="J314" t="str">
            <v>–</v>
          </cell>
          <cell r="K314" t="str">
            <v>–</v>
          </cell>
          <cell r="L314" t="str">
            <v>–</v>
          </cell>
          <cell r="M314">
            <v>18.8</v>
          </cell>
          <cell r="N314">
            <v>18.75</v>
          </cell>
          <cell r="O314" t="str">
            <v>–</v>
          </cell>
          <cell r="P314" t="str">
            <v>–</v>
          </cell>
          <cell r="Q314" t="str">
            <v>–</v>
          </cell>
          <cell r="R314">
            <v>3.94</v>
          </cell>
          <cell r="S314">
            <v>3.9375</v>
          </cell>
          <cell r="T314">
            <v>2</v>
          </cell>
          <cell r="U314">
            <v>5.51</v>
          </cell>
          <cell r="V314">
            <v>5.5</v>
          </cell>
          <cell r="W314">
            <v>5.51</v>
          </cell>
        </row>
        <row r="315">
          <cell r="B315" t="str">
            <v>WT7X404</v>
          </cell>
          <cell r="C315" t="str">
            <v>WT7X404</v>
          </cell>
          <cell r="D315" t="str">
            <v>T</v>
          </cell>
          <cell r="E315">
            <v>404</v>
          </cell>
          <cell r="F315">
            <v>119</v>
          </cell>
          <cell r="G315" t="str">
            <v>WT7X404</v>
          </cell>
          <cell r="H315">
            <v>11.4</v>
          </cell>
          <cell r="I315">
            <v>11.375</v>
          </cell>
          <cell r="J315" t="str">
            <v>–</v>
          </cell>
          <cell r="K315" t="str">
            <v>–</v>
          </cell>
          <cell r="L315" t="str">
            <v>–</v>
          </cell>
          <cell r="M315">
            <v>18.600000000000001</v>
          </cell>
          <cell r="N315">
            <v>18.625</v>
          </cell>
          <cell r="O315" t="str">
            <v>–</v>
          </cell>
          <cell r="P315" t="str">
            <v>–</v>
          </cell>
          <cell r="Q315" t="str">
            <v>–</v>
          </cell>
          <cell r="R315">
            <v>3.74</v>
          </cell>
          <cell r="S315">
            <v>3.75</v>
          </cell>
          <cell r="T315">
            <v>1.875</v>
          </cell>
          <cell r="U315">
            <v>5.12</v>
          </cell>
          <cell r="V315">
            <v>5.125</v>
          </cell>
          <cell r="W315">
            <v>5.12</v>
          </cell>
        </row>
        <row r="316">
          <cell r="B316" t="str">
            <v>WT7X365</v>
          </cell>
          <cell r="C316" t="str">
            <v>WT7X365</v>
          </cell>
          <cell r="D316" t="str">
            <v>T</v>
          </cell>
          <cell r="E316">
            <v>365</v>
          </cell>
          <cell r="F316">
            <v>107</v>
          </cell>
          <cell r="G316" t="str">
            <v>WT7X365</v>
          </cell>
          <cell r="H316">
            <v>11.2</v>
          </cell>
          <cell r="I316">
            <v>11.25</v>
          </cell>
          <cell r="J316" t="str">
            <v>–</v>
          </cell>
          <cell r="K316" t="str">
            <v>–</v>
          </cell>
          <cell r="L316" t="str">
            <v>–</v>
          </cell>
          <cell r="M316">
            <v>17.899999999999999</v>
          </cell>
          <cell r="N316">
            <v>17.875</v>
          </cell>
          <cell r="O316" t="str">
            <v>–</v>
          </cell>
          <cell r="P316" t="str">
            <v>–</v>
          </cell>
          <cell r="Q316" t="str">
            <v>–</v>
          </cell>
          <cell r="R316">
            <v>3.07</v>
          </cell>
          <cell r="S316">
            <v>3.0625</v>
          </cell>
          <cell r="T316">
            <v>1.5625</v>
          </cell>
          <cell r="U316">
            <v>4.91</v>
          </cell>
          <cell r="V316">
            <v>4.9375</v>
          </cell>
          <cell r="W316">
            <v>4.91</v>
          </cell>
        </row>
        <row r="317">
          <cell r="B317" t="str">
            <v>WT7X332.5</v>
          </cell>
          <cell r="C317" t="str">
            <v>WT7X332.5</v>
          </cell>
          <cell r="D317" t="str">
            <v>T</v>
          </cell>
          <cell r="E317">
            <v>332.5</v>
          </cell>
          <cell r="F317">
            <v>97.8</v>
          </cell>
          <cell r="G317" t="str">
            <v>WT7X332.5</v>
          </cell>
          <cell r="H317">
            <v>10.8</v>
          </cell>
          <cell r="I317">
            <v>10.875</v>
          </cell>
          <cell r="J317" t="str">
            <v>–</v>
          </cell>
          <cell r="K317" t="str">
            <v>–</v>
          </cell>
          <cell r="L317" t="str">
            <v>–</v>
          </cell>
          <cell r="M317">
            <v>17.7</v>
          </cell>
          <cell r="N317">
            <v>17.625</v>
          </cell>
          <cell r="O317" t="str">
            <v>–</v>
          </cell>
          <cell r="P317" t="str">
            <v>–</v>
          </cell>
          <cell r="Q317" t="str">
            <v>–</v>
          </cell>
          <cell r="R317">
            <v>2.83</v>
          </cell>
          <cell r="S317">
            <v>2.8125</v>
          </cell>
          <cell r="T317">
            <v>1.4375</v>
          </cell>
          <cell r="U317">
            <v>4.5199999999999996</v>
          </cell>
          <cell r="V317">
            <v>4.5</v>
          </cell>
          <cell r="W317">
            <v>4.5199999999999996</v>
          </cell>
        </row>
        <row r="318">
          <cell r="B318" t="str">
            <v>WT7X302.5</v>
          </cell>
          <cell r="C318" t="str">
            <v>WT7X302.5</v>
          </cell>
          <cell r="D318" t="str">
            <v>T</v>
          </cell>
          <cell r="E318">
            <v>302.5</v>
          </cell>
          <cell r="F318">
            <v>89</v>
          </cell>
          <cell r="G318" t="str">
            <v>WT7X302.5</v>
          </cell>
          <cell r="H318">
            <v>10.5</v>
          </cell>
          <cell r="I318">
            <v>10.5</v>
          </cell>
          <cell r="J318" t="str">
            <v>–</v>
          </cell>
          <cell r="K318" t="str">
            <v>–</v>
          </cell>
          <cell r="L318" t="str">
            <v>–</v>
          </cell>
          <cell r="M318">
            <v>17.399999999999999</v>
          </cell>
          <cell r="N318">
            <v>17.375</v>
          </cell>
          <cell r="O318" t="str">
            <v>–</v>
          </cell>
          <cell r="P318" t="str">
            <v>–</v>
          </cell>
          <cell r="Q318" t="str">
            <v>–</v>
          </cell>
          <cell r="R318">
            <v>2.6</v>
          </cell>
          <cell r="S318">
            <v>2.625</v>
          </cell>
          <cell r="T318">
            <v>1.3125</v>
          </cell>
          <cell r="U318">
            <v>4.16</v>
          </cell>
          <cell r="V318">
            <v>4.1875</v>
          </cell>
          <cell r="W318">
            <v>4.16</v>
          </cell>
        </row>
        <row r="319">
          <cell r="B319" t="str">
            <v>WT7X275</v>
          </cell>
          <cell r="C319" t="str">
            <v>WT7X275</v>
          </cell>
          <cell r="D319" t="str">
            <v>T</v>
          </cell>
          <cell r="E319">
            <v>275</v>
          </cell>
          <cell r="F319">
            <v>80.900000000000006</v>
          </cell>
          <cell r="G319" t="str">
            <v>WT7X275</v>
          </cell>
          <cell r="H319">
            <v>10.1</v>
          </cell>
          <cell r="I319">
            <v>10.125</v>
          </cell>
          <cell r="J319" t="str">
            <v>–</v>
          </cell>
          <cell r="K319" t="str">
            <v>–</v>
          </cell>
          <cell r="L319" t="str">
            <v>–</v>
          </cell>
          <cell r="M319">
            <v>17.2</v>
          </cell>
          <cell r="N319">
            <v>17.25</v>
          </cell>
          <cell r="O319" t="str">
            <v>–</v>
          </cell>
          <cell r="P319" t="str">
            <v>–</v>
          </cell>
          <cell r="Q319" t="str">
            <v>–</v>
          </cell>
          <cell r="R319">
            <v>2.38</v>
          </cell>
          <cell r="S319">
            <v>2.375</v>
          </cell>
          <cell r="T319">
            <v>1.1875</v>
          </cell>
          <cell r="U319">
            <v>3.82</v>
          </cell>
          <cell r="V319">
            <v>3.8125</v>
          </cell>
          <cell r="W319">
            <v>3.82</v>
          </cell>
        </row>
        <row r="320">
          <cell r="B320" t="str">
            <v>WT7X250</v>
          </cell>
          <cell r="C320" t="str">
            <v>WT7X250</v>
          </cell>
          <cell r="D320" t="str">
            <v>T</v>
          </cell>
          <cell r="E320">
            <v>250</v>
          </cell>
          <cell r="F320">
            <v>73.5</v>
          </cell>
          <cell r="G320" t="str">
            <v>WT7X250</v>
          </cell>
          <cell r="H320">
            <v>9.8000000000000007</v>
          </cell>
          <cell r="I320">
            <v>9.75</v>
          </cell>
          <cell r="J320" t="str">
            <v>–</v>
          </cell>
          <cell r="K320" t="str">
            <v>–</v>
          </cell>
          <cell r="L320" t="str">
            <v>–</v>
          </cell>
          <cell r="M320">
            <v>17</v>
          </cell>
          <cell r="N320">
            <v>17</v>
          </cell>
          <cell r="O320" t="str">
            <v>–</v>
          </cell>
          <cell r="P320" t="str">
            <v>–</v>
          </cell>
          <cell r="Q320" t="str">
            <v>–</v>
          </cell>
          <cell r="R320">
            <v>2.19</v>
          </cell>
          <cell r="S320">
            <v>2.1875</v>
          </cell>
          <cell r="T320">
            <v>1.125</v>
          </cell>
          <cell r="U320">
            <v>3.5</v>
          </cell>
          <cell r="V320">
            <v>3.5</v>
          </cell>
          <cell r="W320">
            <v>3.5</v>
          </cell>
        </row>
        <row r="321">
          <cell r="B321" t="str">
            <v>WT7X227.5</v>
          </cell>
          <cell r="C321" t="str">
            <v>WT7X227.5</v>
          </cell>
          <cell r="D321" t="str">
            <v>T</v>
          </cell>
          <cell r="E321">
            <v>227.5</v>
          </cell>
          <cell r="F321">
            <v>66.900000000000006</v>
          </cell>
          <cell r="G321" t="str">
            <v>WT7X227.5</v>
          </cell>
          <cell r="H321">
            <v>9.51</v>
          </cell>
          <cell r="I321">
            <v>9.5</v>
          </cell>
          <cell r="J321" t="str">
            <v>–</v>
          </cell>
          <cell r="K321" t="str">
            <v>–</v>
          </cell>
          <cell r="L321" t="str">
            <v>–</v>
          </cell>
          <cell r="M321">
            <v>16.8</v>
          </cell>
          <cell r="N321">
            <v>16.875</v>
          </cell>
          <cell r="O321" t="str">
            <v>–</v>
          </cell>
          <cell r="P321" t="str">
            <v>–</v>
          </cell>
          <cell r="Q321" t="str">
            <v>–</v>
          </cell>
          <cell r="R321">
            <v>2.02</v>
          </cell>
          <cell r="S321">
            <v>2</v>
          </cell>
          <cell r="T321">
            <v>1</v>
          </cell>
          <cell r="U321">
            <v>3.21</v>
          </cell>
          <cell r="V321">
            <v>3.1875</v>
          </cell>
          <cell r="W321">
            <v>3.21</v>
          </cell>
        </row>
        <row r="322">
          <cell r="B322" t="str">
            <v>WT7X213</v>
          </cell>
          <cell r="C322" t="str">
            <v>WT7X213</v>
          </cell>
          <cell r="D322" t="str">
            <v>T</v>
          </cell>
          <cell r="E322">
            <v>213</v>
          </cell>
          <cell r="F322">
            <v>62.7</v>
          </cell>
          <cell r="G322" t="str">
            <v>WT7X213</v>
          </cell>
          <cell r="H322">
            <v>9.34</v>
          </cell>
          <cell r="I322">
            <v>9.375</v>
          </cell>
          <cell r="J322" t="str">
            <v>–</v>
          </cell>
          <cell r="K322" t="str">
            <v>–</v>
          </cell>
          <cell r="L322" t="str">
            <v>–</v>
          </cell>
          <cell r="M322">
            <v>16.7</v>
          </cell>
          <cell r="N322">
            <v>16.75</v>
          </cell>
          <cell r="O322" t="str">
            <v>–</v>
          </cell>
          <cell r="P322" t="str">
            <v>–</v>
          </cell>
          <cell r="Q322" t="str">
            <v>–</v>
          </cell>
          <cell r="R322">
            <v>1.88</v>
          </cell>
          <cell r="S322">
            <v>1.875</v>
          </cell>
          <cell r="T322">
            <v>0.9375</v>
          </cell>
          <cell r="U322">
            <v>3.04</v>
          </cell>
          <cell r="V322">
            <v>3.0625</v>
          </cell>
          <cell r="W322">
            <v>3.04</v>
          </cell>
        </row>
        <row r="323">
          <cell r="B323" t="str">
            <v>WT7X199</v>
          </cell>
          <cell r="C323" t="str">
            <v>WT7X199</v>
          </cell>
          <cell r="D323" t="str">
            <v>T</v>
          </cell>
          <cell r="E323">
            <v>199</v>
          </cell>
          <cell r="F323">
            <v>58.4</v>
          </cell>
          <cell r="G323" t="str">
            <v>WT7X199</v>
          </cell>
          <cell r="H323">
            <v>9.15</v>
          </cell>
          <cell r="I323">
            <v>9.125</v>
          </cell>
          <cell r="J323" t="str">
            <v>–</v>
          </cell>
          <cell r="K323" t="str">
            <v>–</v>
          </cell>
          <cell r="L323" t="str">
            <v>–</v>
          </cell>
          <cell r="M323">
            <v>16.600000000000001</v>
          </cell>
          <cell r="N323">
            <v>16.625</v>
          </cell>
          <cell r="O323" t="str">
            <v>–</v>
          </cell>
          <cell r="P323" t="str">
            <v>–</v>
          </cell>
          <cell r="Q323" t="str">
            <v>–</v>
          </cell>
          <cell r="R323">
            <v>1.77</v>
          </cell>
          <cell r="S323">
            <v>1.75</v>
          </cell>
          <cell r="T323">
            <v>0.875</v>
          </cell>
          <cell r="U323">
            <v>2.85</v>
          </cell>
          <cell r="V323">
            <v>2.875</v>
          </cell>
          <cell r="W323">
            <v>2.85</v>
          </cell>
        </row>
        <row r="324">
          <cell r="B324" t="str">
            <v>WT7X185</v>
          </cell>
          <cell r="C324" t="str">
            <v>WT7X185</v>
          </cell>
          <cell r="D324" t="str">
            <v>T</v>
          </cell>
          <cell r="E324">
            <v>185</v>
          </cell>
          <cell r="F324">
            <v>54.4</v>
          </cell>
          <cell r="G324" t="str">
            <v>WT7X185</v>
          </cell>
          <cell r="H324">
            <v>8.9600000000000009</v>
          </cell>
          <cell r="I324">
            <v>9</v>
          </cell>
          <cell r="J324" t="str">
            <v>–</v>
          </cell>
          <cell r="K324" t="str">
            <v>–</v>
          </cell>
          <cell r="L324" t="str">
            <v>–</v>
          </cell>
          <cell r="M324">
            <v>16.5</v>
          </cell>
          <cell r="N324">
            <v>16.5</v>
          </cell>
          <cell r="O324" t="str">
            <v>–</v>
          </cell>
          <cell r="P324" t="str">
            <v>–</v>
          </cell>
          <cell r="Q324" t="str">
            <v>–</v>
          </cell>
          <cell r="R324">
            <v>1.66</v>
          </cell>
          <cell r="S324">
            <v>1.6875</v>
          </cell>
          <cell r="T324">
            <v>0.8125</v>
          </cell>
          <cell r="U324">
            <v>2.66</v>
          </cell>
          <cell r="V324">
            <v>2.6875</v>
          </cell>
          <cell r="W324">
            <v>2.66</v>
          </cell>
        </row>
        <row r="325">
          <cell r="B325" t="str">
            <v>WT7X171</v>
          </cell>
          <cell r="C325" t="str">
            <v>WT7X171</v>
          </cell>
          <cell r="D325" t="str">
            <v>T</v>
          </cell>
          <cell r="E325">
            <v>171</v>
          </cell>
          <cell r="F325">
            <v>50.3</v>
          </cell>
          <cell r="G325" t="str">
            <v>WT7X171</v>
          </cell>
          <cell r="H325">
            <v>8.77</v>
          </cell>
          <cell r="I325">
            <v>8.75</v>
          </cell>
          <cell r="J325" t="str">
            <v>–</v>
          </cell>
          <cell r="K325" t="str">
            <v>–</v>
          </cell>
          <cell r="L325" t="str">
            <v>–</v>
          </cell>
          <cell r="M325">
            <v>16.399999999999999</v>
          </cell>
          <cell r="N325">
            <v>16.375</v>
          </cell>
          <cell r="O325" t="str">
            <v>–</v>
          </cell>
          <cell r="P325" t="str">
            <v>–</v>
          </cell>
          <cell r="Q325" t="str">
            <v>–</v>
          </cell>
          <cell r="R325">
            <v>1.54</v>
          </cell>
          <cell r="S325">
            <v>1.5625</v>
          </cell>
          <cell r="T325">
            <v>0.8125</v>
          </cell>
          <cell r="U325">
            <v>2.4700000000000002</v>
          </cell>
          <cell r="V325">
            <v>2.5</v>
          </cell>
          <cell r="W325">
            <v>2.4700000000000002</v>
          </cell>
        </row>
        <row r="326">
          <cell r="B326" t="str">
            <v>WT7X155.5</v>
          </cell>
          <cell r="C326" t="str">
            <v>WT7X155.5</v>
          </cell>
          <cell r="D326" t="str">
            <v>T</v>
          </cell>
          <cell r="E326">
            <v>155.5</v>
          </cell>
          <cell r="F326">
            <v>45.7</v>
          </cell>
          <cell r="G326" t="str">
            <v>WT7X155.5</v>
          </cell>
          <cell r="H326">
            <v>8.56</v>
          </cell>
          <cell r="I326">
            <v>8.5</v>
          </cell>
          <cell r="J326" t="str">
            <v>–</v>
          </cell>
          <cell r="K326" t="str">
            <v>–</v>
          </cell>
          <cell r="L326" t="str">
            <v>–</v>
          </cell>
          <cell r="M326">
            <v>16.2</v>
          </cell>
          <cell r="N326">
            <v>16.25</v>
          </cell>
          <cell r="O326" t="str">
            <v>–</v>
          </cell>
          <cell r="P326" t="str">
            <v>–</v>
          </cell>
          <cell r="Q326" t="str">
            <v>–</v>
          </cell>
          <cell r="R326">
            <v>1.41</v>
          </cell>
          <cell r="S326">
            <v>1.4375</v>
          </cell>
          <cell r="T326">
            <v>0.75</v>
          </cell>
          <cell r="U326">
            <v>2.2599999999999998</v>
          </cell>
          <cell r="V326">
            <v>2.25</v>
          </cell>
          <cell r="W326">
            <v>2.2599999999999998</v>
          </cell>
        </row>
        <row r="327">
          <cell r="B327" t="str">
            <v>WT7X141.5</v>
          </cell>
          <cell r="C327" t="str">
            <v>WT7X141.5</v>
          </cell>
          <cell r="D327" t="str">
            <v>T</v>
          </cell>
          <cell r="E327">
            <v>141.5</v>
          </cell>
          <cell r="F327">
            <v>41.6</v>
          </cell>
          <cell r="G327" t="str">
            <v>WT7X141.5</v>
          </cell>
          <cell r="H327">
            <v>8.3699999999999992</v>
          </cell>
          <cell r="I327">
            <v>8.375</v>
          </cell>
          <cell r="J327" t="str">
            <v>–</v>
          </cell>
          <cell r="K327" t="str">
            <v>–</v>
          </cell>
          <cell r="L327" t="str">
            <v>–</v>
          </cell>
          <cell r="M327">
            <v>16.100000000000001</v>
          </cell>
          <cell r="N327">
            <v>16.125</v>
          </cell>
          <cell r="O327" t="str">
            <v>–</v>
          </cell>
          <cell r="P327" t="str">
            <v>–</v>
          </cell>
          <cell r="Q327" t="str">
            <v>–</v>
          </cell>
          <cell r="R327">
            <v>1.29</v>
          </cell>
          <cell r="S327">
            <v>1.3125</v>
          </cell>
          <cell r="T327">
            <v>0.6875</v>
          </cell>
          <cell r="U327">
            <v>2.0699999999999998</v>
          </cell>
          <cell r="V327">
            <v>2.0625</v>
          </cell>
          <cell r="W327">
            <v>2.0699999999999998</v>
          </cell>
        </row>
        <row r="328">
          <cell r="B328" t="str">
            <v>WT7X128.5</v>
          </cell>
          <cell r="C328" t="str">
            <v>WT7X128.5</v>
          </cell>
          <cell r="D328" t="str">
            <v>F</v>
          </cell>
          <cell r="E328">
            <v>128.5</v>
          </cell>
          <cell r="F328">
            <v>37.799999999999997</v>
          </cell>
          <cell r="G328" t="str">
            <v>WT7X128.5</v>
          </cell>
          <cell r="H328">
            <v>8.19</v>
          </cell>
          <cell r="I328">
            <v>8.25</v>
          </cell>
          <cell r="J328" t="str">
            <v>–</v>
          </cell>
          <cell r="K328" t="str">
            <v>–</v>
          </cell>
          <cell r="L328" t="str">
            <v>–</v>
          </cell>
          <cell r="M328">
            <v>16</v>
          </cell>
          <cell r="N328">
            <v>16</v>
          </cell>
          <cell r="O328" t="str">
            <v>–</v>
          </cell>
          <cell r="P328" t="str">
            <v>–</v>
          </cell>
          <cell r="Q328" t="str">
            <v>–</v>
          </cell>
          <cell r="R328">
            <v>1.18</v>
          </cell>
          <cell r="S328">
            <v>1.1875</v>
          </cell>
          <cell r="T328">
            <v>0.625</v>
          </cell>
          <cell r="U328">
            <v>1.89</v>
          </cell>
          <cell r="V328">
            <v>1.875</v>
          </cell>
          <cell r="W328">
            <v>1.89</v>
          </cell>
        </row>
        <row r="329">
          <cell r="B329" t="str">
            <v>WT7X116.5</v>
          </cell>
          <cell r="C329" t="str">
            <v>WT7X116.5</v>
          </cell>
          <cell r="D329" t="str">
            <v>F</v>
          </cell>
          <cell r="E329">
            <v>116.5</v>
          </cell>
          <cell r="F329">
            <v>34.200000000000003</v>
          </cell>
          <cell r="G329" t="str">
            <v>WT7X116.5</v>
          </cell>
          <cell r="H329">
            <v>8.02</v>
          </cell>
          <cell r="I329">
            <v>8</v>
          </cell>
          <cell r="J329" t="str">
            <v>–</v>
          </cell>
          <cell r="K329" t="str">
            <v>–</v>
          </cell>
          <cell r="L329" t="str">
            <v>–</v>
          </cell>
          <cell r="M329">
            <v>15.9</v>
          </cell>
          <cell r="N329">
            <v>15.875</v>
          </cell>
          <cell r="O329" t="str">
            <v>–</v>
          </cell>
          <cell r="P329" t="str">
            <v>–</v>
          </cell>
          <cell r="Q329" t="str">
            <v>–</v>
          </cell>
          <cell r="R329">
            <v>1.07</v>
          </cell>
          <cell r="S329">
            <v>1.0625</v>
          </cell>
          <cell r="T329">
            <v>0.5625</v>
          </cell>
          <cell r="U329">
            <v>1.72</v>
          </cell>
          <cell r="V329">
            <v>1.75</v>
          </cell>
          <cell r="W329">
            <v>1.72</v>
          </cell>
        </row>
        <row r="330">
          <cell r="B330" t="str">
            <v>WT7X105.5</v>
          </cell>
          <cell r="C330" t="str">
            <v>WT7X105.5</v>
          </cell>
          <cell r="D330" t="str">
            <v>F</v>
          </cell>
          <cell r="E330">
            <v>105.5</v>
          </cell>
          <cell r="F330">
            <v>31</v>
          </cell>
          <cell r="G330" t="str">
            <v>WT7X105.5</v>
          </cell>
          <cell r="H330">
            <v>7.86</v>
          </cell>
          <cell r="I330">
            <v>7.875</v>
          </cell>
          <cell r="J330" t="str">
            <v>–</v>
          </cell>
          <cell r="K330" t="str">
            <v>–</v>
          </cell>
          <cell r="L330" t="str">
            <v>–</v>
          </cell>
          <cell r="M330">
            <v>15.8</v>
          </cell>
          <cell r="N330">
            <v>15.75</v>
          </cell>
          <cell r="O330" t="str">
            <v>–</v>
          </cell>
          <cell r="P330" t="str">
            <v>–</v>
          </cell>
          <cell r="Q330" t="str">
            <v>–</v>
          </cell>
          <cell r="R330">
            <v>0.98</v>
          </cell>
          <cell r="S330">
            <v>1</v>
          </cell>
          <cell r="T330">
            <v>0.5</v>
          </cell>
          <cell r="U330">
            <v>1.56</v>
          </cell>
          <cell r="V330">
            <v>1.5625</v>
          </cell>
          <cell r="W330">
            <v>1.56</v>
          </cell>
        </row>
        <row r="331">
          <cell r="B331" t="str">
            <v>WT7X96.5</v>
          </cell>
          <cell r="C331" t="str">
            <v>WT7X96.5</v>
          </cell>
          <cell r="D331" t="str">
            <v>F</v>
          </cell>
          <cell r="E331">
            <v>96.5</v>
          </cell>
          <cell r="F331">
            <v>28.4</v>
          </cell>
          <cell r="G331" t="str">
            <v>WT7X96.5</v>
          </cell>
          <cell r="H331">
            <v>7.74</v>
          </cell>
          <cell r="I331">
            <v>7.75</v>
          </cell>
          <cell r="J331" t="str">
            <v>–</v>
          </cell>
          <cell r="K331" t="str">
            <v>–</v>
          </cell>
          <cell r="L331" t="str">
            <v>–</v>
          </cell>
          <cell r="M331">
            <v>15.7</v>
          </cell>
          <cell r="N331">
            <v>15.75</v>
          </cell>
          <cell r="O331" t="str">
            <v>–</v>
          </cell>
          <cell r="P331" t="str">
            <v>–</v>
          </cell>
          <cell r="Q331" t="str">
            <v>–</v>
          </cell>
          <cell r="R331">
            <v>0.89</v>
          </cell>
          <cell r="S331">
            <v>0.875</v>
          </cell>
          <cell r="T331">
            <v>0.4375</v>
          </cell>
          <cell r="U331">
            <v>1.44</v>
          </cell>
          <cell r="V331">
            <v>1.4375</v>
          </cell>
          <cell r="W331">
            <v>1.44</v>
          </cell>
        </row>
        <row r="332">
          <cell r="B332" t="str">
            <v>WT7X88</v>
          </cell>
          <cell r="C332" t="str">
            <v>WT7X88</v>
          </cell>
          <cell r="D332" t="str">
            <v>F</v>
          </cell>
          <cell r="E332">
            <v>88</v>
          </cell>
          <cell r="F332">
            <v>25.9</v>
          </cell>
          <cell r="G332" t="str">
            <v>WT7X88</v>
          </cell>
          <cell r="H332">
            <v>7.61</v>
          </cell>
          <cell r="I332">
            <v>7.625</v>
          </cell>
          <cell r="J332" t="str">
            <v>–</v>
          </cell>
          <cell r="K332" t="str">
            <v>–</v>
          </cell>
          <cell r="L332" t="str">
            <v>–</v>
          </cell>
          <cell r="M332">
            <v>15.7</v>
          </cell>
          <cell r="N332">
            <v>15.625</v>
          </cell>
          <cell r="O332" t="str">
            <v>–</v>
          </cell>
          <cell r="P332" t="str">
            <v>–</v>
          </cell>
          <cell r="Q332" t="str">
            <v>–</v>
          </cell>
          <cell r="R332">
            <v>0.83</v>
          </cell>
          <cell r="S332">
            <v>0.8125</v>
          </cell>
          <cell r="T332">
            <v>0.4375</v>
          </cell>
          <cell r="U332">
            <v>1.31</v>
          </cell>
          <cell r="V332">
            <v>1.3125</v>
          </cell>
          <cell r="W332">
            <v>1.31</v>
          </cell>
        </row>
        <row r="333">
          <cell r="B333" t="str">
            <v>WT7X79.5</v>
          </cell>
          <cell r="C333" t="str">
            <v>WT7X79.5</v>
          </cell>
          <cell r="D333" t="str">
            <v>F</v>
          </cell>
          <cell r="E333">
            <v>79.5</v>
          </cell>
          <cell r="F333">
            <v>23.4</v>
          </cell>
          <cell r="G333" t="str">
            <v>WT7X79.5</v>
          </cell>
          <cell r="H333">
            <v>7.49</v>
          </cell>
          <cell r="I333">
            <v>7.5</v>
          </cell>
          <cell r="J333" t="str">
            <v>–</v>
          </cell>
          <cell r="K333" t="str">
            <v>–</v>
          </cell>
          <cell r="L333" t="str">
            <v>–</v>
          </cell>
          <cell r="M333">
            <v>15.6</v>
          </cell>
          <cell r="N333">
            <v>15.625</v>
          </cell>
          <cell r="O333" t="str">
            <v>–</v>
          </cell>
          <cell r="P333" t="str">
            <v>–</v>
          </cell>
          <cell r="Q333" t="str">
            <v>–</v>
          </cell>
          <cell r="R333">
            <v>0.745</v>
          </cell>
          <cell r="S333">
            <v>0.75</v>
          </cell>
          <cell r="T333">
            <v>0.375</v>
          </cell>
          <cell r="U333">
            <v>1.19</v>
          </cell>
          <cell r="V333">
            <v>1.1875</v>
          </cell>
          <cell r="W333">
            <v>1.19</v>
          </cell>
        </row>
        <row r="334">
          <cell r="B334" t="str">
            <v>WT7X72.5</v>
          </cell>
          <cell r="C334" t="str">
            <v>WT7X72.5</v>
          </cell>
          <cell r="D334" t="str">
            <v>F</v>
          </cell>
          <cell r="E334">
            <v>72.5</v>
          </cell>
          <cell r="F334">
            <v>21.3</v>
          </cell>
          <cell r="G334" t="str">
            <v>WT7X72.5</v>
          </cell>
          <cell r="H334">
            <v>7.39</v>
          </cell>
          <cell r="I334">
            <v>7.375</v>
          </cell>
          <cell r="J334" t="str">
            <v>–</v>
          </cell>
          <cell r="K334" t="str">
            <v>–</v>
          </cell>
          <cell r="L334" t="str">
            <v>–</v>
          </cell>
          <cell r="M334">
            <v>15.5</v>
          </cell>
          <cell r="N334">
            <v>15.5</v>
          </cell>
          <cell r="O334" t="str">
            <v>–</v>
          </cell>
          <cell r="P334" t="str">
            <v>–</v>
          </cell>
          <cell r="Q334" t="str">
            <v>–</v>
          </cell>
          <cell r="R334">
            <v>0.68</v>
          </cell>
          <cell r="S334">
            <v>0.6875</v>
          </cell>
          <cell r="T334">
            <v>0.375</v>
          </cell>
          <cell r="U334">
            <v>1.0900000000000001</v>
          </cell>
          <cell r="V334">
            <v>1.0625</v>
          </cell>
          <cell r="W334">
            <v>1.0900000000000001</v>
          </cell>
        </row>
        <row r="335">
          <cell r="B335" t="str">
            <v>WT7X66</v>
          </cell>
          <cell r="C335" t="str">
            <v>WT7X66</v>
          </cell>
          <cell r="D335" t="str">
            <v>F</v>
          </cell>
          <cell r="E335">
            <v>66</v>
          </cell>
          <cell r="F335">
            <v>19.399999999999999</v>
          </cell>
          <cell r="G335" t="str">
            <v>WT7X66</v>
          </cell>
          <cell r="H335">
            <v>7.33</v>
          </cell>
          <cell r="I335">
            <v>7.375</v>
          </cell>
          <cell r="J335" t="str">
            <v>–</v>
          </cell>
          <cell r="K335" t="str">
            <v>–</v>
          </cell>
          <cell r="L335" t="str">
            <v>–</v>
          </cell>
          <cell r="M335">
            <v>14.7</v>
          </cell>
          <cell r="N335">
            <v>14.75</v>
          </cell>
          <cell r="O335" t="str">
            <v>–</v>
          </cell>
          <cell r="P335" t="str">
            <v>–</v>
          </cell>
          <cell r="Q335" t="str">
            <v>–</v>
          </cell>
          <cell r="R335">
            <v>0.64500000000000002</v>
          </cell>
          <cell r="S335">
            <v>0.625</v>
          </cell>
          <cell r="T335">
            <v>0.3125</v>
          </cell>
          <cell r="U335">
            <v>1.03</v>
          </cell>
          <cell r="V335">
            <v>1</v>
          </cell>
          <cell r="W335">
            <v>1.03</v>
          </cell>
        </row>
        <row r="336">
          <cell r="B336" t="str">
            <v>WT7X60</v>
          </cell>
          <cell r="C336" t="str">
            <v>WT7X60</v>
          </cell>
          <cell r="D336" t="str">
            <v>F</v>
          </cell>
          <cell r="E336">
            <v>60</v>
          </cell>
          <cell r="F336">
            <v>17.7</v>
          </cell>
          <cell r="G336" t="str">
            <v>WT7X60</v>
          </cell>
          <cell r="H336">
            <v>7.24</v>
          </cell>
          <cell r="I336">
            <v>7.25</v>
          </cell>
          <cell r="J336" t="str">
            <v>–</v>
          </cell>
          <cell r="K336" t="str">
            <v>–</v>
          </cell>
          <cell r="L336" t="str">
            <v>–</v>
          </cell>
          <cell r="M336">
            <v>14.7</v>
          </cell>
          <cell r="N336">
            <v>14.625</v>
          </cell>
          <cell r="O336" t="str">
            <v>–</v>
          </cell>
          <cell r="P336" t="str">
            <v>–</v>
          </cell>
          <cell r="Q336" t="str">
            <v>–</v>
          </cell>
          <cell r="R336">
            <v>0.59</v>
          </cell>
          <cell r="S336">
            <v>0.5625</v>
          </cell>
          <cell r="T336">
            <v>0.3125</v>
          </cell>
          <cell r="U336">
            <v>0.94</v>
          </cell>
          <cell r="V336">
            <v>0.9375</v>
          </cell>
          <cell r="W336">
            <v>0.94</v>
          </cell>
        </row>
        <row r="337">
          <cell r="B337" t="str">
            <v>WT7X54.5</v>
          </cell>
          <cell r="C337" t="str">
            <v>WT7X54.5</v>
          </cell>
          <cell r="D337" t="str">
            <v>F</v>
          </cell>
          <cell r="E337">
            <v>54.5</v>
          </cell>
          <cell r="F337">
            <v>16</v>
          </cell>
          <cell r="G337" t="str">
            <v>WT7X54.5</v>
          </cell>
          <cell r="H337">
            <v>7.16</v>
          </cell>
          <cell r="I337">
            <v>7.125</v>
          </cell>
          <cell r="J337" t="str">
            <v>–</v>
          </cell>
          <cell r="K337" t="str">
            <v>–</v>
          </cell>
          <cell r="L337" t="str">
            <v>–</v>
          </cell>
          <cell r="M337">
            <v>14.6</v>
          </cell>
          <cell r="N337">
            <v>14.625</v>
          </cell>
          <cell r="O337" t="str">
            <v>–</v>
          </cell>
          <cell r="P337" t="str">
            <v>–</v>
          </cell>
          <cell r="Q337" t="str">
            <v>–</v>
          </cell>
          <cell r="R337">
            <v>0.52500000000000002</v>
          </cell>
          <cell r="S337">
            <v>0.5</v>
          </cell>
          <cell r="T337">
            <v>0.25</v>
          </cell>
          <cell r="U337">
            <v>0.86</v>
          </cell>
          <cell r="V337">
            <v>0.875</v>
          </cell>
          <cell r="W337">
            <v>0.86</v>
          </cell>
        </row>
        <row r="338">
          <cell r="B338" t="str">
            <v>WT7X49.5</v>
          </cell>
          <cell r="C338" t="str">
            <v>WT7X49.5</v>
          </cell>
          <cell r="D338" t="str">
            <v>F</v>
          </cell>
          <cell r="E338">
            <v>49.5</v>
          </cell>
          <cell r="F338">
            <v>14.6</v>
          </cell>
          <cell r="G338" t="str">
            <v>WT7X49.5</v>
          </cell>
          <cell r="H338">
            <v>7.08</v>
          </cell>
          <cell r="I338">
            <v>7.125</v>
          </cell>
          <cell r="J338" t="str">
            <v>–</v>
          </cell>
          <cell r="K338" t="str">
            <v>–</v>
          </cell>
          <cell r="L338" t="str">
            <v>–</v>
          </cell>
          <cell r="M338">
            <v>14.6</v>
          </cell>
          <cell r="N338">
            <v>14.625</v>
          </cell>
          <cell r="O338" t="str">
            <v>–</v>
          </cell>
          <cell r="P338" t="str">
            <v>–</v>
          </cell>
          <cell r="Q338" t="str">
            <v>–</v>
          </cell>
          <cell r="R338">
            <v>0.48499999999999999</v>
          </cell>
          <cell r="S338">
            <v>0.5</v>
          </cell>
          <cell r="T338">
            <v>0.25</v>
          </cell>
          <cell r="U338">
            <v>0.78</v>
          </cell>
          <cell r="V338">
            <v>0.75</v>
          </cell>
          <cell r="W338">
            <v>0.78</v>
          </cell>
        </row>
        <row r="339">
          <cell r="B339" t="str">
            <v>WT7X45</v>
          </cell>
          <cell r="C339" t="str">
            <v>WT7X45</v>
          </cell>
          <cell r="D339" t="str">
            <v>F</v>
          </cell>
          <cell r="E339">
            <v>45</v>
          </cell>
          <cell r="F339">
            <v>13.2</v>
          </cell>
          <cell r="G339" t="str">
            <v>WT7X45</v>
          </cell>
          <cell r="H339">
            <v>7.01</v>
          </cell>
          <cell r="I339">
            <v>7</v>
          </cell>
          <cell r="J339" t="str">
            <v>–</v>
          </cell>
          <cell r="K339" t="str">
            <v>–</v>
          </cell>
          <cell r="L339" t="str">
            <v>–</v>
          </cell>
          <cell r="M339">
            <v>14.5</v>
          </cell>
          <cell r="N339">
            <v>14.5</v>
          </cell>
          <cell r="O339" t="str">
            <v>–</v>
          </cell>
          <cell r="P339" t="str">
            <v>–</v>
          </cell>
          <cell r="Q339" t="str">
            <v>–</v>
          </cell>
          <cell r="R339">
            <v>0.44</v>
          </cell>
          <cell r="S339">
            <v>0.4375</v>
          </cell>
          <cell r="T339">
            <v>0.25</v>
          </cell>
          <cell r="U339">
            <v>0.71</v>
          </cell>
          <cell r="V339">
            <v>0.6875</v>
          </cell>
          <cell r="W339">
            <v>0.71</v>
          </cell>
        </row>
        <row r="340">
          <cell r="B340" t="str">
            <v>WT7X41</v>
          </cell>
          <cell r="C340" t="str">
            <v>WT7X41</v>
          </cell>
          <cell r="D340" t="str">
            <v>F</v>
          </cell>
          <cell r="E340">
            <v>41</v>
          </cell>
          <cell r="F340">
            <v>12</v>
          </cell>
          <cell r="G340" t="str">
            <v>WT7X41</v>
          </cell>
          <cell r="H340">
            <v>7.16</v>
          </cell>
          <cell r="I340">
            <v>7.125</v>
          </cell>
          <cell r="J340" t="str">
            <v>–</v>
          </cell>
          <cell r="K340" t="str">
            <v>–</v>
          </cell>
          <cell r="L340" t="str">
            <v>–</v>
          </cell>
          <cell r="M340">
            <v>10.1</v>
          </cell>
          <cell r="N340">
            <v>10.125</v>
          </cell>
          <cell r="O340" t="str">
            <v>–</v>
          </cell>
          <cell r="P340" t="str">
            <v>–</v>
          </cell>
          <cell r="Q340" t="str">
            <v>–</v>
          </cell>
          <cell r="R340">
            <v>0.51</v>
          </cell>
          <cell r="S340">
            <v>0.5</v>
          </cell>
          <cell r="T340">
            <v>0.25</v>
          </cell>
          <cell r="U340">
            <v>0.85499999999999998</v>
          </cell>
          <cell r="V340">
            <v>0.875</v>
          </cell>
          <cell r="W340">
            <v>0.85499999999999998</v>
          </cell>
        </row>
        <row r="341">
          <cell r="B341" t="str">
            <v>WT7X37</v>
          </cell>
          <cell r="C341" t="str">
            <v>WT7X37</v>
          </cell>
          <cell r="D341" t="str">
            <v>F</v>
          </cell>
          <cell r="E341">
            <v>37</v>
          </cell>
          <cell r="F341">
            <v>10.9</v>
          </cell>
          <cell r="G341" t="str">
            <v>WT7X37</v>
          </cell>
          <cell r="H341">
            <v>7.09</v>
          </cell>
          <cell r="I341">
            <v>7.125</v>
          </cell>
          <cell r="J341" t="str">
            <v>–</v>
          </cell>
          <cell r="K341" t="str">
            <v>–</v>
          </cell>
          <cell r="L341" t="str">
            <v>–</v>
          </cell>
          <cell r="M341">
            <v>10.1</v>
          </cell>
          <cell r="N341">
            <v>10.125</v>
          </cell>
          <cell r="O341" t="str">
            <v>–</v>
          </cell>
          <cell r="P341" t="str">
            <v>–</v>
          </cell>
          <cell r="Q341" t="str">
            <v>–</v>
          </cell>
          <cell r="R341">
            <v>0.45</v>
          </cell>
          <cell r="S341">
            <v>0.4375</v>
          </cell>
          <cell r="T341">
            <v>0.25</v>
          </cell>
          <cell r="U341">
            <v>0.78500000000000003</v>
          </cell>
          <cell r="V341">
            <v>0.8125</v>
          </cell>
          <cell r="W341">
            <v>0.78500000000000003</v>
          </cell>
        </row>
        <row r="342">
          <cell r="B342" t="str">
            <v>WT7X34</v>
          </cell>
          <cell r="C342" t="str">
            <v>WT7X34</v>
          </cell>
          <cell r="D342" t="str">
            <v>F</v>
          </cell>
          <cell r="E342">
            <v>34</v>
          </cell>
          <cell r="F342">
            <v>10</v>
          </cell>
          <cell r="G342" t="str">
            <v>WT7X34</v>
          </cell>
          <cell r="H342">
            <v>7.02</v>
          </cell>
          <cell r="I342">
            <v>7</v>
          </cell>
          <cell r="J342" t="str">
            <v>–</v>
          </cell>
          <cell r="K342" t="str">
            <v>–</v>
          </cell>
          <cell r="L342" t="str">
            <v>–</v>
          </cell>
          <cell r="M342">
            <v>10</v>
          </cell>
          <cell r="N342">
            <v>10</v>
          </cell>
          <cell r="O342" t="str">
            <v>–</v>
          </cell>
          <cell r="P342" t="str">
            <v>–</v>
          </cell>
          <cell r="Q342" t="str">
            <v>–</v>
          </cell>
          <cell r="R342">
            <v>0.41499999999999998</v>
          </cell>
          <cell r="S342">
            <v>0.4375</v>
          </cell>
          <cell r="T342">
            <v>0.25</v>
          </cell>
          <cell r="U342">
            <v>0.72</v>
          </cell>
          <cell r="V342">
            <v>0.75</v>
          </cell>
          <cell r="W342">
            <v>0.72</v>
          </cell>
        </row>
        <row r="343">
          <cell r="B343" t="str">
            <v>WT7X30.5</v>
          </cell>
          <cell r="C343" t="str">
            <v>WT7X30.5</v>
          </cell>
          <cell r="D343" t="str">
            <v>F</v>
          </cell>
          <cell r="E343">
            <v>30.5</v>
          </cell>
          <cell r="F343">
            <v>8.9600000000000009</v>
          </cell>
          <cell r="G343" t="str">
            <v>WT7X30.5</v>
          </cell>
          <cell r="H343">
            <v>6.95</v>
          </cell>
          <cell r="I343">
            <v>7</v>
          </cell>
          <cell r="J343" t="str">
            <v>–</v>
          </cell>
          <cell r="K343" t="str">
            <v>–</v>
          </cell>
          <cell r="L343" t="str">
            <v>–</v>
          </cell>
          <cell r="M343">
            <v>10</v>
          </cell>
          <cell r="N343">
            <v>10</v>
          </cell>
          <cell r="O343" t="str">
            <v>–</v>
          </cell>
          <cell r="P343" t="str">
            <v>–</v>
          </cell>
          <cell r="Q343" t="str">
            <v>–</v>
          </cell>
          <cell r="R343">
            <v>0.375</v>
          </cell>
          <cell r="S343">
            <v>0.375</v>
          </cell>
          <cell r="T343">
            <v>0.1875</v>
          </cell>
          <cell r="U343">
            <v>0.64500000000000002</v>
          </cell>
          <cell r="V343">
            <v>0.625</v>
          </cell>
          <cell r="W343">
            <v>0.64500000000000002</v>
          </cell>
        </row>
        <row r="344">
          <cell r="B344" t="str">
            <v>WT7X26.5</v>
          </cell>
          <cell r="C344" t="str">
            <v>WT7X26.5</v>
          </cell>
          <cell r="D344" t="str">
            <v>F</v>
          </cell>
          <cell r="E344">
            <v>26.5</v>
          </cell>
          <cell r="F344">
            <v>7.8</v>
          </cell>
          <cell r="G344" t="str">
            <v>WT7X26.5</v>
          </cell>
          <cell r="H344">
            <v>6.96</v>
          </cell>
          <cell r="I344">
            <v>7</v>
          </cell>
          <cell r="J344" t="str">
            <v>–</v>
          </cell>
          <cell r="K344" t="str">
            <v>–</v>
          </cell>
          <cell r="L344" t="str">
            <v>–</v>
          </cell>
          <cell r="M344">
            <v>8.06</v>
          </cell>
          <cell r="N344">
            <v>8</v>
          </cell>
          <cell r="O344" t="str">
            <v>–</v>
          </cell>
          <cell r="P344" t="str">
            <v>–</v>
          </cell>
          <cell r="Q344" t="str">
            <v>–</v>
          </cell>
          <cell r="R344">
            <v>0.37</v>
          </cell>
          <cell r="S344">
            <v>0.375</v>
          </cell>
          <cell r="T344">
            <v>0.1875</v>
          </cell>
          <cell r="U344">
            <v>0.66</v>
          </cell>
          <cell r="V344">
            <v>0.6875</v>
          </cell>
          <cell r="W344">
            <v>0.66</v>
          </cell>
        </row>
        <row r="345">
          <cell r="B345" t="str">
            <v>WT7X24</v>
          </cell>
          <cell r="C345" t="str">
            <v>WT7X24</v>
          </cell>
          <cell r="D345" t="str">
            <v>F</v>
          </cell>
          <cell r="E345">
            <v>24</v>
          </cell>
          <cell r="F345">
            <v>7.07</v>
          </cell>
          <cell r="G345" t="str">
            <v>WT7X24</v>
          </cell>
          <cell r="H345">
            <v>6.9</v>
          </cell>
          <cell r="I345">
            <v>6.875</v>
          </cell>
          <cell r="J345" t="str">
            <v>–</v>
          </cell>
          <cell r="K345" t="str">
            <v>–</v>
          </cell>
          <cell r="L345" t="str">
            <v>–</v>
          </cell>
          <cell r="M345">
            <v>8.0299999999999994</v>
          </cell>
          <cell r="N345">
            <v>8</v>
          </cell>
          <cell r="O345" t="str">
            <v>–</v>
          </cell>
          <cell r="P345" t="str">
            <v>–</v>
          </cell>
          <cell r="Q345" t="str">
            <v>–</v>
          </cell>
          <cell r="R345">
            <v>0.34</v>
          </cell>
          <cell r="S345">
            <v>0.3125</v>
          </cell>
          <cell r="T345">
            <v>0.1875</v>
          </cell>
          <cell r="U345">
            <v>0.59499999999999997</v>
          </cell>
          <cell r="V345">
            <v>0.625</v>
          </cell>
          <cell r="W345">
            <v>0.59499999999999997</v>
          </cell>
        </row>
        <row r="346">
          <cell r="B346" t="str">
            <v>WT7X21.5</v>
          </cell>
          <cell r="C346" t="str">
            <v>WT7X21.5</v>
          </cell>
          <cell r="D346" t="str">
            <v>F</v>
          </cell>
          <cell r="E346">
            <v>21.5</v>
          </cell>
          <cell r="F346">
            <v>6.31</v>
          </cell>
          <cell r="G346" t="str">
            <v>WT7X21.5</v>
          </cell>
          <cell r="H346">
            <v>6.83</v>
          </cell>
          <cell r="I346">
            <v>6.875</v>
          </cell>
          <cell r="J346" t="str">
            <v>–</v>
          </cell>
          <cell r="K346" t="str">
            <v>–</v>
          </cell>
          <cell r="L346" t="str">
            <v>–</v>
          </cell>
          <cell r="M346">
            <v>8</v>
          </cell>
          <cell r="N346">
            <v>8</v>
          </cell>
          <cell r="O346" t="str">
            <v>–</v>
          </cell>
          <cell r="P346" t="str">
            <v>–</v>
          </cell>
          <cell r="Q346" t="str">
            <v>–</v>
          </cell>
          <cell r="R346">
            <v>0.30499999999999999</v>
          </cell>
          <cell r="S346">
            <v>0.3125</v>
          </cell>
          <cell r="T346">
            <v>0.1875</v>
          </cell>
          <cell r="U346">
            <v>0.53</v>
          </cell>
          <cell r="V346">
            <v>0.5</v>
          </cell>
          <cell r="W346">
            <v>0.53</v>
          </cell>
        </row>
        <row r="347">
          <cell r="B347" t="str">
            <v>WT7X19</v>
          </cell>
          <cell r="C347" t="str">
            <v>WT7X19</v>
          </cell>
          <cell r="D347" t="str">
            <v>F</v>
          </cell>
          <cell r="E347">
            <v>19</v>
          </cell>
          <cell r="F347">
            <v>5.58</v>
          </cell>
          <cell r="G347" t="str">
            <v>WT7X19</v>
          </cell>
          <cell r="H347">
            <v>7.05</v>
          </cell>
          <cell r="I347">
            <v>7</v>
          </cell>
          <cell r="J347" t="str">
            <v>–</v>
          </cell>
          <cell r="K347" t="str">
            <v>–</v>
          </cell>
          <cell r="L347" t="str">
            <v>–</v>
          </cell>
          <cell r="M347">
            <v>6.77</v>
          </cell>
          <cell r="N347">
            <v>6.75</v>
          </cell>
          <cell r="O347" t="str">
            <v>–</v>
          </cell>
          <cell r="P347" t="str">
            <v>–</v>
          </cell>
          <cell r="Q347" t="str">
            <v>–</v>
          </cell>
          <cell r="R347">
            <v>0.31</v>
          </cell>
          <cell r="S347">
            <v>0.3125</v>
          </cell>
          <cell r="T347">
            <v>0.1875</v>
          </cell>
          <cell r="U347">
            <v>0.51500000000000001</v>
          </cell>
          <cell r="V347">
            <v>0.5</v>
          </cell>
          <cell r="W347">
            <v>0.51500000000000001</v>
          </cell>
        </row>
        <row r="348">
          <cell r="B348" t="str">
            <v>WT7X17</v>
          </cell>
          <cell r="C348" t="str">
            <v>WT7X17</v>
          </cell>
          <cell r="D348" t="str">
            <v>F</v>
          </cell>
          <cell r="E348">
            <v>17</v>
          </cell>
          <cell r="F348">
            <v>5</v>
          </cell>
          <cell r="G348" t="str">
            <v>WT7X17</v>
          </cell>
          <cell r="H348">
            <v>6.99</v>
          </cell>
          <cell r="I348">
            <v>7</v>
          </cell>
          <cell r="J348" t="str">
            <v>–</v>
          </cell>
          <cell r="K348" t="str">
            <v>–</v>
          </cell>
          <cell r="L348" t="str">
            <v>–</v>
          </cell>
          <cell r="M348">
            <v>6.75</v>
          </cell>
          <cell r="N348">
            <v>6.75</v>
          </cell>
          <cell r="O348" t="str">
            <v>–</v>
          </cell>
          <cell r="P348" t="str">
            <v>–</v>
          </cell>
          <cell r="Q348" t="str">
            <v>–</v>
          </cell>
          <cell r="R348">
            <v>0.28499999999999998</v>
          </cell>
          <cell r="S348">
            <v>0.3125</v>
          </cell>
          <cell r="T348">
            <v>0.1875</v>
          </cell>
          <cell r="U348">
            <v>0.45500000000000002</v>
          </cell>
          <cell r="V348">
            <v>0.4375</v>
          </cell>
          <cell r="W348">
            <v>0.45500000000000002</v>
          </cell>
        </row>
        <row r="349">
          <cell r="B349" t="str">
            <v>WT7X15</v>
          </cell>
          <cell r="C349" t="str">
            <v>WT7X15</v>
          </cell>
          <cell r="D349" t="str">
            <v>F</v>
          </cell>
          <cell r="E349">
            <v>15</v>
          </cell>
          <cell r="F349">
            <v>4.42</v>
          </cell>
          <cell r="G349" t="str">
            <v>WT7X15</v>
          </cell>
          <cell r="H349">
            <v>6.92</v>
          </cell>
          <cell r="I349">
            <v>6.875</v>
          </cell>
          <cell r="J349" t="str">
            <v>–</v>
          </cell>
          <cell r="K349" t="str">
            <v>–</v>
          </cell>
          <cell r="L349" t="str">
            <v>–</v>
          </cell>
          <cell r="M349">
            <v>6.73</v>
          </cell>
          <cell r="N349">
            <v>6.75</v>
          </cell>
          <cell r="O349" t="str">
            <v>–</v>
          </cell>
          <cell r="P349" t="str">
            <v>–</v>
          </cell>
          <cell r="Q349" t="str">
            <v>–</v>
          </cell>
          <cell r="R349">
            <v>0.27</v>
          </cell>
          <cell r="S349">
            <v>0.25</v>
          </cell>
          <cell r="T349">
            <v>0.125</v>
          </cell>
          <cell r="U349">
            <v>0.38500000000000001</v>
          </cell>
          <cell r="V349">
            <v>0.375</v>
          </cell>
          <cell r="W349">
            <v>0.38500000000000001</v>
          </cell>
        </row>
        <row r="350">
          <cell r="B350" t="str">
            <v>WT7X13</v>
          </cell>
          <cell r="C350" t="str">
            <v>WT7X13</v>
          </cell>
          <cell r="D350" t="str">
            <v>F</v>
          </cell>
          <cell r="E350">
            <v>13</v>
          </cell>
          <cell r="F350">
            <v>3.85</v>
          </cell>
          <cell r="G350" t="str">
            <v>WT7X13</v>
          </cell>
          <cell r="H350">
            <v>6.96</v>
          </cell>
          <cell r="I350">
            <v>7</v>
          </cell>
          <cell r="J350" t="str">
            <v>–</v>
          </cell>
          <cell r="K350" t="str">
            <v>–</v>
          </cell>
          <cell r="L350" t="str">
            <v>–</v>
          </cell>
          <cell r="M350">
            <v>5.03</v>
          </cell>
          <cell r="N350">
            <v>5</v>
          </cell>
          <cell r="O350" t="str">
            <v>–</v>
          </cell>
          <cell r="P350" t="str">
            <v>–</v>
          </cell>
          <cell r="Q350" t="str">
            <v>–</v>
          </cell>
          <cell r="R350">
            <v>0.255</v>
          </cell>
          <cell r="S350">
            <v>0.25</v>
          </cell>
          <cell r="T350">
            <v>0.125</v>
          </cell>
          <cell r="U350">
            <v>0.42</v>
          </cell>
          <cell r="V350">
            <v>0.4375</v>
          </cell>
          <cell r="W350">
            <v>0.42</v>
          </cell>
        </row>
        <row r="351">
          <cell r="B351" t="str">
            <v>WT7X11</v>
          </cell>
          <cell r="C351" t="str">
            <v>WT7X11</v>
          </cell>
          <cell r="D351" t="str">
            <v>F</v>
          </cell>
          <cell r="E351">
            <v>11</v>
          </cell>
          <cell r="F351">
            <v>3.25</v>
          </cell>
          <cell r="G351" t="str">
            <v>WT7X11</v>
          </cell>
          <cell r="H351">
            <v>6.87</v>
          </cell>
          <cell r="I351">
            <v>6.875</v>
          </cell>
          <cell r="J351" t="str">
            <v>–</v>
          </cell>
          <cell r="K351" t="str">
            <v>–</v>
          </cell>
          <cell r="L351" t="str">
            <v>–</v>
          </cell>
          <cell r="M351">
            <v>5</v>
          </cell>
          <cell r="N351">
            <v>5</v>
          </cell>
          <cell r="O351" t="str">
            <v>–</v>
          </cell>
          <cell r="P351" t="str">
            <v>–</v>
          </cell>
          <cell r="Q351" t="str">
            <v>–</v>
          </cell>
          <cell r="R351">
            <v>0.23</v>
          </cell>
          <cell r="S351">
            <v>0.25</v>
          </cell>
          <cell r="T351">
            <v>0.125</v>
          </cell>
          <cell r="U351">
            <v>0.33500000000000002</v>
          </cell>
          <cell r="V351">
            <v>0.3125</v>
          </cell>
          <cell r="W351">
            <v>0.33500000000000002</v>
          </cell>
        </row>
        <row r="352">
          <cell r="B352" t="str">
            <v>WT6X168</v>
          </cell>
          <cell r="C352" t="str">
            <v>WT6X168</v>
          </cell>
          <cell r="D352" t="str">
            <v>T</v>
          </cell>
          <cell r="E352">
            <v>168</v>
          </cell>
          <cell r="F352">
            <v>49.5</v>
          </cell>
          <cell r="G352" t="str">
            <v>WT6X168</v>
          </cell>
          <cell r="H352">
            <v>8.41</v>
          </cell>
          <cell r="I352">
            <v>8.375</v>
          </cell>
          <cell r="J352" t="str">
            <v>–</v>
          </cell>
          <cell r="K352" t="str">
            <v>–</v>
          </cell>
          <cell r="L352" t="str">
            <v>–</v>
          </cell>
          <cell r="M352">
            <v>13.4</v>
          </cell>
          <cell r="N352">
            <v>13.375</v>
          </cell>
          <cell r="O352" t="str">
            <v>–</v>
          </cell>
          <cell r="P352" t="str">
            <v>–</v>
          </cell>
          <cell r="Q352" t="str">
            <v>–</v>
          </cell>
          <cell r="R352">
            <v>1.78</v>
          </cell>
          <cell r="S352">
            <v>1.75</v>
          </cell>
          <cell r="T352">
            <v>0.875</v>
          </cell>
          <cell r="U352">
            <v>2.96</v>
          </cell>
          <cell r="V352">
            <v>2.9375</v>
          </cell>
          <cell r="W352">
            <v>2.96</v>
          </cell>
        </row>
        <row r="353">
          <cell r="B353" t="str">
            <v>WT6X152.5</v>
          </cell>
          <cell r="C353" t="str">
            <v>WT6X152.5</v>
          </cell>
          <cell r="D353" t="str">
            <v>T</v>
          </cell>
          <cell r="E353">
            <v>152.5</v>
          </cell>
          <cell r="F353">
            <v>44.7</v>
          </cell>
          <cell r="G353" t="str">
            <v>WT6X152.5</v>
          </cell>
          <cell r="H353">
            <v>8.16</v>
          </cell>
          <cell r="I353">
            <v>8.125</v>
          </cell>
          <cell r="J353" t="str">
            <v>–</v>
          </cell>
          <cell r="K353" t="str">
            <v>–</v>
          </cell>
          <cell r="L353" t="str">
            <v>–</v>
          </cell>
          <cell r="M353">
            <v>13.2</v>
          </cell>
          <cell r="N353">
            <v>13.25</v>
          </cell>
          <cell r="O353" t="str">
            <v>–</v>
          </cell>
          <cell r="P353" t="str">
            <v>–</v>
          </cell>
          <cell r="Q353" t="str">
            <v>–</v>
          </cell>
          <cell r="R353">
            <v>1.63</v>
          </cell>
          <cell r="S353">
            <v>1.625</v>
          </cell>
          <cell r="T353">
            <v>0.8125</v>
          </cell>
          <cell r="U353">
            <v>2.71</v>
          </cell>
          <cell r="V353">
            <v>2.6875</v>
          </cell>
          <cell r="W353">
            <v>2.71</v>
          </cell>
        </row>
        <row r="354">
          <cell r="B354" t="str">
            <v>WT6X139.5</v>
          </cell>
          <cell r="C354" t="str">
            <v>WT6X139.5</v>
          </cell>
          <cell r="D354" t="str">
            <v>T</v>
          </cell>
          <cell r="E354">
            <v>139.5</v>
          </cell>
          <cell r="F354">
            <v>41</v>
          </cell>
          <cell r="G354" t="str">
            <v>WT6X139.5</v>
          </cell>
          <cell r="H354">
            <v>7.93</v>
          </cell>
          <cell r="I354">
            <v>7.875</v>
          </cell>
          <cell r="J354" t="str">
            <v>–</v>
          </cell>
          <cell r="K354" t="str">
            <v>–</v>
          </cell>
          <cell r="L354" t="str">
            <v>–</v>
          </cell>
          <cell r="M354">
            <v>13.1</v>
          </cell>
          <cell r="N354">
            <v>13.125</v>
          </cell>
          <cell r="O354" t="str">
            <v>–</v>
          </cell>
          <cell r="P354" t="str">
            <v>–</v>
          </cell>
          <cell r="Q354" t="str">
            <v>–</v>
          </cell>
          <cell r="R354">
            <v>1.53</v>
          </cell>
          <cell r="S354">
            <v>1.5</v>
          </cell>
          <cell r="T354">
            <v>0.75</v>
          </cell>
          <cell r="U354">
            <v>2.4700000000000002</v>
          </cell>
          <cell r="V354">
            <v>2.5</v>
          </cell>
          <cell r="W354">
            <v>2.4700000000000002</v>
          </cell>
        </row>
        <row r="355">
          <cell r="B355" t="str">
            <v>WT6X126</v>
          </cell>
          <cell r="C355" t="str">
            <v>WT6X126</v>
          </cell>
          <cell r="D355" t="str">
            <v>T</v>
          </cell>
          <cell r="E355">
            <v>126</v>
          </cell>
          <cell r="F355">
            <v>37.1</v>
          </cell>
          <cell r="G355" t="str">
            <v>WT6X126</v>
          </cell>
          <cell r="H355">
            <v>7.71</v>
          </cell>
          <cell r="I355">
            <v>7.75</v>
          </cell>
          <cell r="J355" t="str">
            <v>–</v>
          </cell>
          <cell r="K355" t="str">
            <v>–</v>
          </cell>
          <cell r="L355" t="str">
            <v>–</v>
          </cell>
          <cell r="M355">
            <v>13</v>
          </cell>
          <cell r="N355">
            <v>13</v>
          </cell>
          <cell r="O355" t="str">
            <v>–</v>
          </cell>
          <cell r="P355" t="str">
            <v>–</v>
          </cell>
          <cell r="Q355" t="str">
            <v>–</v>
          </cell>
          <cell r="R355">
            <v>1.4</v>
          </cell>
          <cell r="S355">
            <v>1.375</v>
          </cell>
          <cell r="T355">
            <v>0.6875</v>
          </cell>
          <cell r="U355">
            <v>2.25</v>
          </cell>
          <cell r="V355">
            <v>2.25</v>
          </cell>
          <cell r="W355">
            <v>2.25</v>
          </cell>
        </row>
        <row r="356">
          <cell r="B356" t="str">
            <v>WT6X115</v>
          </cell>
          <cell r="C356" t="str">
            <v>WT6X115</v>
          </cell>
          <cell r="D356" t="str">
            <v>T</v>
          </cell>
          <cell r="E356">
            <v>115</v>
          </cell>
          <cell r="F356">
            <v>33.799999999999997</v>
          </cell>
          <cell r="G356" t="str">
            <v>WT6X115</v>
          </cell>
          <cell r="H356">
            <v>7.53</v>
          </cell>
          <cell r="I356">
            <v>7.5</v>
          </cell>
          <cell r="J356" t="str">
            <v>–</v>
          </cell>
          <cell r="K356" t="str">
            <v>–</v>
          </cell>
          <cell r="L356" t="str">
            <v>–</v>
          </cell>
          <cell r="M356">
            <v>12.9</v>
          </cell>
          <cell r="N356">
            <v>12.875</v>
          </cell>
          <cell r="O356" t="str">
            <v>–</v>
          </cell>
          <cell r="P356" t="str">
            <v>–</v>
          </cell>
          <cell r="Q356" t="str">
            <v>–</v>
          </cell>
          <cell r="R356">
            <v>1.29</v>
          </cell>
          <cell r="S356">
            <v>1.3125</v>
          </cell>
          <cell r="T356">
            <v>0.6875</v>
          </cell>
          <cell r="U356">
            <v>2.0699999999999998</v>
          </cell>
          <cell r="V356">
            <v>2.0625</v>
          </cell>
          <cell r="W356">
            <v>2.0699999999999998</v>
          </cell>
        </row>
        <row r="357">
          <cell r="B357" t="str">
            <v>WT6X105</v>
          </cell>
          <cell r="C357" t="str">
            <v>WT6X105</v>
          </cell>
          <cell r="D357" t="str">
            <v>F</v>
          </cell>
          <cell r="E357">
            <v>105</v>
          </cell>
          <cell r="F357">
            <v>30.9</v>
          </cell>
          <cell r="G357" t="str">
            <v>WT6X105</v>
          </cell>
          <cell r="H357">
            <v>7.36</v>
          </cell>
          <cell r="I357">
            <v>7.375</v>
          </cell>
          <cell r="J357" t="str">
            <v>–</v>
          </cell>
          <cell r="K357" t="str">
            <v>–</v>
          </cell>
          <cell r="L357" t="str">
            <v>–</v>
          </cell>
          <cell r="M357">
            <v>12.8</v>
          </cell>
          <cell r="N357">
            <v>12.75</v>
          </cell>
          <cell r="O357" t="str">
            <v>–</v>
          </cell>
          <cell r="P357" t="str">
            <v>–</v>
          </cell>
          <cell r="Q357" t="str">
            <v>–</v>
          </cell>
          <cell r="R357">
            <v>1.18</v>
          </cell>
          <cell r="S357">
            <v>1.1875</v>
          </cell>
          <cell r="T357">
            <v>0.625</v>
          </cell>
          <cell r="U357">
            <v>1.9</v>
          </cell>
          <cell r="V357">
            <v>1.875</v>
          </cell>
          <cell r="W357">
            <v>1.9</v>
          </cell>
        </row>
        <row r="358">
          <cell r="B358" t="str">
            <v>WT6X95</v>
          </cell>
          <cell r="C358" t="str">
            <v>WT6X95</v>
          </cell>
          <cell r="D358" t="str">
            <v>F</v>
          </cell>
          <cell r="E358">
            <v>95</v>
          </cell>
          <cell r="F358">
            <v>28</v>
          </cell>
          <cell r="G358" t="str">
            <v>WT6X95</v>
          </cell>
          <cell r="H358">
            <v>7.19</v>
          </cell>
          <cell r="I358">
            <v>7.25</v>
          </cell>
          <cell r="J358" t="str">
            <v>–</v>
          </cell>
          <cell r="K358" t="str">
            <v>–</v>
          </cell>
          <cell r="L358" t="str">
            <v>–</v>
          </cell>
          <cell r="M358">
            <v>12.7</v>
          </cell>
          <cell r="N358">
            <v>12.625</v>
          </cell>
          <cell r="O358" t="str">
            <v>–</v>
          </cell>
          <cell r="P358" t="str">
            <v>–</v>
          </cell>
          <cell r="Q358" t="str">
            <v>–</v>
          </cell>
          <cell r="R358">
            <v>1.06</v>
          </cell>
          <cell r="S358">
            <v>1.0625</v>
          </cell>
          <cell r="T358">
            <v>0.5625</v>
          </cell>
          <cell r="U358">
            <v>1.74</v>
          </cell>
          <cell r="V358">
            <v>1.75</v>
          </cell>
          <cell r="W358">
            <v>1.74</v>
          </cell>
        </row>
        <row r="359">
          <cell r="B359" t="str">
            <v>WT6X85</v>
          </cell>
          <cell r="C359" t="str">
            <v>WT6X85</v>
          </cell>
          <cell r="D359" t="str">
            <v>F</v>
          </cell>
          <cell r="E359">
            <v>85</v>
          </cell>
          <cell r="F359">
            <v>25</v>
          </cell>
          <cell r="G359" t="str">
            <v>WT6X85</v>
          </cell>
          <cell r="H359">
            <v>7.02</v>
          </cell>
          <cell r="I359">
            <v>7</v>
          </cell>
          <cell r="J359" t="str">
            <v>–</v>
          </cell>
          <cell r="K359" t="str">
            <v>–</v>
          </cell>
          <cell r="L359" t="str">
            <v>–</v>
          </cell>
          <cell r="M359">
            <v>12.6</v>
          </cell>
          <cell r="N359">
            <v>12.625</v>
          </cell>
          <cell r="O359" t="str">
            <v>–</v>
          </cell>
          <cell r="P359" t="str">
            <v>–</v>
          </cell>
          <cell r="Q359" t="str">
            <v>–</v>
          </cell>
          <cell r="R359">
            <v>0.96</v>
          </cell>
          <cell r="S359">
            <v>0.9375</v>
          </cell>
          <cell r="T359">
            <v>0.5</v>
          </cell>
          <cell r="U359">
            <v>1.56</v>
          </cell>
          <cell r="V359">
            <v>1.5625</v>
          </cell>
          <cell r="W359">
            <v>1.56</v>
          </cell>
        </row>
        <row r="360">
          <cell r="B360" t="str">
            <v>WT6X76</v>
          </cell>
          <cell r="C360" t="str">
            <v>WT6X76</v>
          </cell>
          <cell r="D360" t="str">
            <v>F</v>
          </cell>
          <cell r="E360">
            <v>76</v>
          </cell>
          <cell r="F360">
            <v>22.4</v>
          </cell>
          <cell r="G360" t="str">
            <v>WT6X76</v>
          </cell>
          <cell r="H360">
            <v>6.86</v>
          </cell>
          <cell r="I360">
            <v>6.875</v>
          </cell>
          <cell r="J360" t="str">
            <v>–</v>
          </cell>
          <cell r="K360" t="str">
            <v>–</v>
          </cell>
          <cell r="L360" t="str">
            <v>–</v>
          </cell>
          <cell r="M360">
            <v>12.5</v>
          </cell>
          <cell r="N360">
            <v>12.5</v>
          </cell>
          <cell r="O360" t="str">
            <v>–</v>
          </cell>
          <cell r="P360" t="str">
            <v>–</v>
          </cell>
          <cell r="Q360" t="str">
            <v>–</v>
          </cell>
          <cell r="R360">
            <v>0.87</v>
          </cell>
          <cell r="S360">
            <v>0.875</v>
          </cell>
          <cell r="T360">
            <v>0.4375</v>
          </cell>
          <cell r="U360">
            <v>1.4</v>
          </cell>
          <cell r="V360">
            <v>1.375</v>
          </cell>
          <cell r="W360">
            <v>1.4</v>
          </cell>
        </row>
        <row r="361">
          <cell r="B361" t="str">
            <v>WT6X68</v>
          </cell>
          <cell r="C361" t="str">
            <v>WT6X68</v>
          </cell>
          <cell r="D361" t="str">
            <v>F</v>
          </cell>
          <cell r="E361">
            <v>68</v>
          </cell>
          <cell r="F361">
            <v>20</v>
          </cell>
          <cell r="G361" t="str">
            <v>WT6X68</v>
          </cell>
          <cell r="H361">
            <v>6.71</v>
          </cell>
          <cell r="I361">
            <v>6.75</v>
          </cell>
          <cell r="J361" t="str">
            <v>–</v>
          </cell>
          <cell r="K361" t="str">
            <v>–</v>
          </cell>
          <cell r="L361" t="str">
            <v>–</v>
          </cell>
          <cell r="M361">
            <v>12.4</v>
          </cell>
          <cell r="N361">
            <v>12.375</v>
          </cell>
          <cell r="O361" t="str">
            <v>–</v>
          </cell>
          <cell r="P361" t="str">
            <v>–</v>
          </cell>
          <cell r="Q361" t="str">
            <v>–</v>
          </cell>
          <cell r="R361">
            <v>0.79</v>
          </cell>
          <cell r="S361">
            <v>0.8125</v>
          </cell>
          <cell r="T361">
            <v>0.4375</v>
          </cell>
          <cell r="U361">
            <v>1.25</v>
          </cell>
          <cell r="V361">
            <v>1.25</v>
          </cell>
          <cell r="W361">
            <v>1.25</v>
          </cell>
        </row>
        <row r="362">
          <cell r="B362" t="str">
            <v>WT6X60</v>
          </cell>
          <cell r="C362" t="str">
            <v>WT6X60</v>
          </cell>
          <cell r="D362" t="str">
            <v>F</v>
          </cell>
          <cell r="E362">
            <v>60</v>
          </cell>
          <cell r="F362">
            <v>17.600000000000001</v>
          </cell>
          <cell r="G362" t="str">
            <v>WT6X60</v>
          </cell>
          <cell r="H362">
            <v>6.56</v>
          </cell>
          <cell r="I362">
            <v>6.5</v>
          </cell>
          <cell r="J362" t="str">
            <v>–</v>
          </cell>
          <cell r="K362" t="str">
            <v>–</v>
          </cell>
          <cell r="L362" t="str">
            <v>–</v>
          </cell>
          <cell r="M362">
            <v>12.3</v>
          </cell>
          <cell r="N362">
            <v>12.375</v>
          </cell>
          <cell r="O362" t="str">
            <v>–</v>
          </cell>
          <cell r="P362" t="str">
            <v>–</v>
          </cell>
          <cell r="Q362" t="str">
            <v>–</v>
          </cell>
          <cell r="R362">
            <v>0.71</v>
          </cell>
          <cell r="S362">
            <v>0.6875</v>
          </cell>
          <cell r="T362">
            <v>0.375</v>
          </cell>
          <cell r="U362">
            <v>1.1100000000000001</v>
          </cell>
          <cell r="V362">
            <v>1.125</v>
          </cell>
          <cell r="W362">
            <v>1.1100000000000001</v>
          </cell>
        </row>
        <row r="363">
          <cell r="B363" t="str">
            <v>WT6X53</v>
          </cell>
          <cell r="C363" t="str">
            <v>WT6X53</v>
          </cell>
          <cell r="D363" t="str">
            <v>F</v>
          </cell>
          <cell r="E363">
            <v>53</v>
          </cell>
          <cell r="F363">
            <v>15.6</v>
          </cell>
          <cell r="G363" t="str">
            <v>WT6X53</v>
          </cell>
          <cell r="H363">
            <v>6.45</v>
          </cell>
          <cell r="I363">
            <v>6.5</v>
          </cell>
          <cell r="J363" t="str">
            <v>–</v>
          </cell>
          <cell r="K363" t="str">
            <v>–</v>
          </cell>
          <cell r="L363" t="str">
            <v>–</v>
          </cell>
          <cell r="M363">
            <v>12.2</v>
          </cell>
          <cell r="N363">
            <v>12.25</v>
          </cell>
          <cell r="O363" t="str">
            <v>–</v>
          </cell>
          <cell r="P363" t="str">
            <v>–</v>
          </cell>
          <cell r="Q363" t="str">
            <v>–</v>
          </cell>
          <cell r="R363">
            <v>0.61</v>
          </cell>
          <cell r="S363">
            <v>0.625</v>
          </cell>
          <cell r="T363">
            <v>0.3125</v>
          </cell>
          <cell r="U363">
            <v>0.99</v>
          </cell>
          <cell r="V363">
            <v>1</v>
          </cell>
          <cell r="W363">
            <v>0.99</v>
          </cell>
        </row>
        <row r="364">
          <cell r="B364" t="str">
            <v>WT6X48</v>
          </cell>
          <cell r="C364" t="str">
            <v>WT6X48</v>
          </cell>
          <cell r="D364" t="str">
            <v>F</v>
          </cell>
          <cell r="E364">
            <v>48</v>
          </cell>
          <cell r="F364">
            <v>14.1</v>
          </cell>
          <cell r="G364" t="str">
            <v>WT6X48</v>
          </cell>
          <cell r="H364">
            <v>6.36</v>
          </cell>
          <cell r="I364">
            <v>6.375</v>
          </cell>
          <cell r="J364" t="str">
            <v>–</v>
          </cell>
          <cell r="K364" t="str">
            <v>–</v>
          </cell>
          <cell r="L364" t="str">
            <v>–</v>
          </cell>
          <cell r="M364">
            <v>12.2</v>
          </cell>
          <cell r="N364">
            <v>12.125</v>
          </cell>
          <cell r="O364" t="str">
            <v>–</v>
          </cell>
          <cell r="P364" t="str">
            <v>–</v>
          </cell>
          <cell r="Q364" t="str">
            <v>–</v>
          </cell>
          <cell r="R364">
            <v>0.55000000000000004</v>
          </cell>
          <cell r="S364">
            <v>0.5625</v>
          </cell>
          <cell r="T364">
            <v>0.3125</v>
          </cell>
          <cell r="U364">
            <v>0.9</v>
          </cell>
          <cell r="V364">
            <v>0.875</v>
          </cell>
          <cell r="W364">
            <v>0.9</v>
          </cell>
        </row>
        <row r="365">
          <cell r="B365" t="str">
            <v>WT6X43.5</v>
          </cell>
          <cell r="C365" t="str">
            <v>WT6X43.5</v>
          </cell>
          <cell r="D365" t="str">
            <v>F</v>
          </cell>
          <cell r="E365">
            <v>43.5</v>
          </cell>
          <cell r="F365">
            <v>12.8</v>
          </cell>
          <cell r="G365" t="str">
            <v>WT6X43.5</v>
          </cell>
          <cell r="H365">
            <v>6.27</v>
          </cell>
          <cell r="I365">
            <v>6.25</v>
          </cell>
          <cell r="J365" t="str">
            <v>–</v>
          </cell>
          <cell r="K365" t="str">
            <v>–</v>
          </cell>
          <cell r="L365" t="str">
            <v>–</v>
          </cell>
          <cell r="M365">
            <v>12.1</v>
          </cell>
          <cell r="N365">
            <v>12.125</v>
          </cell>
          <cell r="O365" t="str">
            <v>–</v>
          </cell>
          <cell r="P365" t="str">
            <v>–</v>
          </cell>
          <cell r="Q365" t="str">
            <v>–</v>
          </cell>
          <cell r="R365">
            <v>0.51500000000000001</v>
          </cell>
          <cell r="S365">
            <v>0.5</v>
          </cell>
          <cell r="T365">
            <v>0.25</v>
          </cell>
          <cell r="U365">
            <v>0.81</v>
          </cell>
          <cell r="V365">
            <v>0.8125</v>
          </cell>
          <cell r="W365">
            <v>0.81</v>
          </cell>
        </row>
        <row r="366">
          <cell r="B366" t="str">
            <v>WT6X39.5</v>
          </cell>
          <cell r="C366" t="str">
            <v>WT6X39.5</v>
          </cell>
          <cell r="D366" t="str">
            <v>F</v>
          </cell>
          <cell r="E366">
            <v>39.5</v>
          </cell>
          <cell r="F366">
            <v>11.6</v>
          </cell>
          <cell r="G366" t="str">
            <v>WT6X39.5</v>
          </cell>
          <cell r="H366">
            <v>6.19</v>
          </cell>
          <cell r="I366">
            <v>6.25</v>
          </cell>
          <cell r="J366" t="str">
            <v>–</v>
          </cell>
          <cell r="K366" t="str">
            <v>–</v>
          </cell>
          <cell r="L366" t="str">
            <v>–</v>
          </cell>
          <cell r="M366">
            <v>12.1</v>
          </cell>
          <cell r="N366">
            <v>12.125</v>
          </cell>
          <cell r="O366" t="str">
            <v>–</v>
          </cell>
          <cell r="P366" t="str">
            <v>–</v>
          </cell>
          <cell r="Q366" t="str">
            <v>–</v>
          </cell>
          <cell r="R366">
            <v>0.47</v>
          </cell>
          <cell r="S366">
            <v>0.5</v>
          </cell>
          <cell r="T366">
            <v>0.25</v>
          </cell>
          <cell r="U366">
            <v>0.73499999999999999</v>
          </cell>
          <cell r="V366">
            <v>0.75</v>
          </cell>
          <cell r="W366">
            <v>0.73499999999999999</v>
          </cell>
        </row>
        <row r="367">
          <cell r="B367" t="str">
            <v>WT6X36</v>
          </cell>
          <cell r="C367" t="str">
            <v>WT6X36</v>
          </cell>
          <cell r="D367" t="str">
            <v>F</v>
          </cell>
          <cell r="E367">
            <v>36</v>
          </cell>
          <cell r="F367">
            <v>10.6</v>
          </cell>
          <cell r="G367" t="str">
            <v>WT6X36</v>
          </cell>
          <cell r="H367">
            <v>6.13</v>
          </cell>
          <cell r="I367">
            <v>6.125</v>
          </cell>
          <cell r="J367" t="str">
            <v>–</v>
          </cell>
          <cell r="K367" t="str">
            <v>–</v>
          </cell>
          <cell r="L367" t="str">
            <v>–</v>
          </cell>
          <cell r="M367">
            <v>12</v>
          </cell>
          <cell r="N367">
            <v>12</v>
          </cell>
          <cell r="O367" t="str">
            <v>–</v>
          </cell>
          <cell r="P367" t="str">
            <v>–</v>
          </cell>
          <cell r="Q367" t="str">
            <v>–</v>
          </cell>
          <cell r="R367">
            <v>0.43</v>
          </cell>
          <cell r="S367">
            <v>0.4375</v>
          </cell>
          <cell r="T367">
            <v>0.25</v>
          </cell>
          <cell r="U367">
            <v>0.67</v>
          </cell>
          <cell r="V367">
            <v>0.6875</v>
          </cell>
          <cell r="W367">
            <v>0.67</v>
          </cell>
        </row>
        <row r="368">
          <cell r="B368" t="str">
            <v>WT6X32.5</v>
          </cell>
          <cell r="C368" t="str">
            <v>WT6X32.5</v>
          </cell>
          <cell r="D368" t="str">
            <v>F</v>
          </cell>
          <cell r="E368">
            <v>32.5</v>
          </cell>
          <cell r="F368">
            <v>9.5399999999999991</v>
          </cell>
          <cell r="G368" t="str">
            <v>WT6X32.5</v>
          </cell>
          <cell r="H368">
            <v>6.06</v>
          </cell>
          <cell r="I368">
            <v>6</v>
          </cell>
          <cell r="J368" t="str">
            <v>–</v>
          </cell>
          <cell r="K368" t="str">
            <v>–</v>
          </cell>
          <cell r="L368" t="str">
            <v>–</v>
          </cell>
          <cell r="M368">
            <v>12</v>
          </cell>
          <cell r="N368">
            <v>12</v>
          </cell>
          <cell r="O368" t="str">
            <v>–</v>
          </cell>
          <cell r="P368" t="str">
            <v>–</v>
          </cell>
          <cell r="Q368" t="str">
            <v>–</v>
          </cell>
          <cell r="R368">
            <v>0.39</v>
          </cell>
          <cell r="S368">
            <v>0.375</v>
          </cell>
          <cell r="T368">
            <v>0.1875</v>
          </cell>
          <cell r="U368">
            <v>0.60499999999999998</v>
          </cell>
          <cell r="V368">
            <v>0.625</v>
          </cell>
          <cell r="W368">
            <v>0.60499999999999998</v>
          </cell>
        </row>
        <row r="369">
          <cell r="B369" t="str">
            <v>WT6X29</v>
          </cell>
          <cell r="C369" t="str">
            <v>WT6X29</v>
          </cell>
          <cell r="D369" t="str">
            <v>F</v>
          </cell>
          <cell r="E369">
            <v>29</v>
          </cell>
          <cell r="F369">
            <v>8.52</v>
          </cell>
          <cell r="G369" t="str">
            <v>WT6X29</v>
          </cell>
          <cell r="H369">
            <v>6.1</v>
          </cell>
          <cell r="I369">
            <v>6.125</v>
          </cell>
          <cell r="J369" t="str">
            <v>–</v>
          </cell>
          <cell r="K369" t="str">
            <v>–</v>
          </cell>
          <cell r="L369" t="str">
            <v>–</v>
          </cell>
          <cell r="M369">
            <v>10</v>
          </cell>
          <cell r="N369">
            <v>10</v>
          </cell>
          <cell r="O369" t="str">
            <v>–</v>
          </cell>
          <cell r="P369" t="str">
            <v>–</v>
          </cell>
          <cell r="Q369" t="str">
            <v>–</v>
          </cell>
          <cell r="R369">
            <v>0.36</v>
          </cell>
          <cell r="S369">
            <v>0.375</v>
          </cell>
          <cell r="T369">
            <v>0.1875</v>
          </cell>
          <cell r="U369">
            <v>0.64</v>
          </cell>
          <cell r="V369">
            <v>0.625</v>
          </cell>
          <cell r="W369">
            <v>0.64</v>
          </cell>
        </row>
        <row r="370">
          <cell r="B370" t="str">
            <v>WT6X26.5</v>
          </cell>
          <cell r="C370" t="str">
            <v>WT6X26.5</v>
          </cell>
          <cell r="D370" t="str">
            <v>F</v>
          </cell>
          <cell r="E370">
            <v>26.5</v>
          </cell>
          <cell r="F370">
            <v>7.78</v>
          </cell>
          <cell r="G370" t="str">
            <v>WT6X26.5</v>
          </cell>
          <cell r="H370">
            <v>6.03</v>
          </cell>
          <cell r="I370">
            <v>6</v>
          </cell>
          <cell r="J370" t="str">
            <v>–</v>
          </cell>
          <cell r="K370" t="str">
            <v>–</v>
          </cell>
          <cell r="L370" t="str">
            <v>–</v>
          </cell>
          <cell r="M370">
            <v>10</v>
          </cell>
          <cell r="N370">
            <v>10</v>
          </cell>
          <cell r="O370" t="str">
            <v>–</v>
          </cell>
          <cell r="P370" t="str">
            <v>–</v>
          </cell>
          <cell r="Q370" t="str">
            <v>–</v>
          </cell>
          <cell r="R370">
            <v>0.34499999999999997</v>
          </cell>
          <cell r="S370">
            <v>0.375</v>
          </cell>
          <cell r="T370">
            <v>0.1875</v>
          </cell>
          <cell r="U370">
            <v>0.57499999999999996</v>
          </cell>
          <cell r="V370">
            <v>0.5625</v>
          </cell>
          <cell r="W370">
            <v>0.57499999999999996</v>
          </cell>
        </row>
        <row r="371">
          <cell r="B371" t="str">
            <v>WT6X25</v>
          </cell>
          <cell r="C371" t="str">
            <v>WT6X25</v>
          </cell>
          <cell r="D371" t="str">
            <v>F</v>
          </cell>
          <cell r="E371">
            <v>25</v>
          </cell>
          <cell r="F371">
            <v>7.3</v>
          </cell>
          <cell r="G371" t="str">
            <v>WT6X25</v>
          </cell>
          <cell r="H371">
            <v>6.1</v>
          </cell>
          <cell r="I371">
            <v>6.125</v>
          </cell>
          <cell r="J371" t="str">
            <v>–</v>
          </cell>
          <cell r="K371" t="str">
            <v>–</v>
          </cell>
          <cell r="L371" t="str">
            <v>–</v>
          </cell>
          <cell r="M371">
            <v>8.08</v>
          </cell>
          <cell r="N371">
            <v>8.125</v>
          </cell>
          <cell r="O371" t="str">
            <v>–</v>
          </cell>
          <cell r="P371" t="str">
            <v>–</v>
          </cell>
          <cell r="Q371" t="str">
            <v>–</v>
          </cell>
          <cell r="R371">
            <v>0.37</v>
          </cell>
          <cell r="S371">
            <v>0.375</v>
          </cell>
          <cell r="T371">
            <v>0.1875</v>
          </cell>
          <cell r="U371">
            <v>0.64</v>
          </cell>
          <cell r="V371">
            <v>0.625</v>
          </cell>
          <cell r="W371">
            <v>0.64</v>
          </cell>
        </row>
        <row r="372">
          <cell r="B372" t="str">
            <v>WT6X22.5</v>
          </cell>
          <cell r="C372" t="str">
            <v>WT6X22.5</v>
          </cell>
          <cell r="D372" t="str">
            <v>F</v>
          </cell>
          <cell r="E372">
            <v>22.5</v>
          </cell>
          <cell r="F372">
            <v>6.56</v>
          </cell>
          <cell r="G372" t="str">
            <v>WT6X22.5</v>
          </cell>
          <cell r="H372">
            <v>6.03</v>
          </cell>
          <cell r="I372">
            <v>6</v>
          </cell>
          <cell r="J372" t="str">
            <v>–</v>
          </cell>
          <cell r="K372" t="str">
            <v>–</v>
          </cell>
          <cell r="L372" t="str">
            <v>–</v>
          </cell>
          <cell r="M372">
            <v>8.0500000000000007</v>
          </cell>
          <cell r="N372">
            <v>8</v>
          </cell>
          <cell r="O372" t="str">
            <v>–</v>
          </cell>
          <cell r="P372" t="str">
            <v>–</v>
          </cell>
          <cell r="Q372" t="str">
            <v>–</v>
          </cell>
          <cell r="R372">
            <v>0.33500000000000002</v>
          </cell>
          <cell r="S372">
            <v>0.3125</v>
          </cell>
          <cell r="T372">
            <v>0.1875</v>
          </cell>
          <cell r="U372">
            <v>0.57499999999999996</v>
          </cell>
          <cell r="V372">
            <v>0.5625</v>
          </cell>
          <cell r="W372">
            <v>0.57499999999999996</v>
          </cell>
        </row>
        <row r="373">
          <cell r="B373" t="str">
            <v>WT6X20</v>
          </cell>
          <cell r="C373" t="str">
            <v>WT6X20</v>
          </cell>
          <cell r="D373" t="str">
            <v>F</v>
          </cell>
          <cell r="E373">
            <v>20</v>
          </cell>
          <cell r="F373">
            <v>5.84</v>
          </cell>
          <cell r="G373" t="str">
            <v>WT6X20</v>
          </cell>
          <cell r="H373">
            <v>5.97</v>
          </cell>
          <cell r="I373">
            <v>6</v>
          </cell>
          <cell r="J373" t="str">
            <v>–</v>
          </cell>
          <cell r="K373" t="str">
            <v>–</v>
          </cell>
          <cell r="L373" t="str">
            <v>–</v>
          </cell>
          <cell r="M373">
            <v>8.01</v>
          </cell>
          <cell r="N373">
            <v>8</v>
          </cell>
          <cell r="O373" t="str">
            <v>–</v>
          </cell>
          <cell r="P373" t="str">
            <v>–</v>
          </cell>
          <cell r="Q373" t="str">
            <v>–</v>
          </cell>
          <cell r="R373">
            <v>0.29499999999999998</v>
          </cell>
          <cell r="S373">
            <v>0.3125</v>
          </cell>
          <cell r="T373">
            <v>0.1875</v>
          </cell>
          <cell r="U373">
            <v>0.51500000000000001</v>
          </cell>
          <cell r="V373">
            <v>0.5</v>
          </cell>
          <cell r="W373">
            <v>0.51500000000000001</v>
          </cell>
        </row>
        <row r="374">
          <cell r="B374" t="str">
            <v>WT6X17.5</v>
          </cell>
          <cell r="C374" t="str">
            <v>WT6X17.5</v>
          </cell>
          <cell r="D374" t="str">
            <v>F</v>
          </cell>
          <cell r="E374">
            <v>17.5</v>
          </cell>
          <cell r="F374">
            <v>5.17</v>
          </cell>
          <cell r="G374" t="str">
            <v>WT6X17.5</v>
          </cell>
          <cell r="H374">
            <v>6.25</v>
          </cell>
          <cell r="I374">
            <v>6.25</v>
          </cell>
          <cell r="J374" t="str">
            <v>–</v>
          </cell>
          <cell r="K374" t="str">
            <v>–</v>
          </cell>
          <cell r="L374" t="str">
            <v>–</v>
          </cell>
          <cell r="M374">
            <v>6.56</v>
          </cell>
          <cell r="N374">
            <v>6.5</v>
          </cell>
          <cell r="O374" t="str">
            <v>–</v>
          </cell>
          <cell r="P374" t="str">
            <v>–</v>
          </cell>
          <cell r="Q374" t="str">
            <v>–</v>
          </cell>
          <cell r="R374">
            <v>0.3</v>
          </cell>
          <cell r="S374">
            <v>0.3125</v>
          </cell>
          <cell r="T374">
            <v>0.1875</v>
          </cell>
          <cell r="U374">
            <v>0.52</v>
          </cell>
          <cell r="V374">
            <v>0.5</v>
          </cell>
          <cell r="W374">
            <v>0.52</v>
          </cell>
        </row>
        <row r="375">
          <cell r="B375" t="str">
            <v>WT6X15</v>
          </cell>
          <cell r="C375" t="str">
            <v>WT6X15</v>
          </cell>
          <cell r="D375" t="str">
            <v>F</v>
          </cell>
          <cell r="E375">
            <v>15</v>
          </cell>
          <cell r="F375">
            <v>4.4000000000000004</v>
          </cell>
          <cell r="G375" t="str">
            <v>WT6X15</v>
          </cell>
          <cell r="H375">
            <v>6.17</v>
          </cell>
          <cell r="I375">
            <v>6.125</v>
          </cell>
          <cell r="J375" t="str">
            <v>–</v>
          </cell>
          <cell r="K375" t="str">
            <v>–</v>
          </cell>
          <cell r="L375" t="str">
            <v>–</v>
          </cell>
          <cell r="M375">
            <v>6.52</v>
          </cell>
          <cell r="N375">
            <v>6.5</v>
          </cell>
          <cell r="O375" t="str">
            <v>–</v>
          </cell>
          <cell r="P375" t="str">
            <v>–</v>
          </cell>
          <cell r="Q375" t="str">
            <v>–</v>
          </cell>
          <cell r="R375">
            <v>0.26</v>
          </cell>
          <cell r="S375">
            <v>0.25</v>
          </cell>
          <cell r="T375">
            <v>0.125</v>
          </cell>
          <cell r="U375">
            <v>0.44</v>
          </cell>
          <cell r="V375">
            <v>0.4375</v>
          </cell>
          <cell r="W375">
            <v>0.44</v>
          </cell>
        </row>
        <row r="376">
          <cell r="B376" t="str">
            <v>WT6X13</v>
          </cell>
          <cell r="C376" t="str">
            <v>WT6X13</v>
          </cell>
          <cell r="D376" t="str">
            <v>F</v>
          </cell>
          <cell r="E376">
            <v>13</v>
          </cell>
          <cell r="F376">
            <v>3.82</v>
          </cell>
          <cell r="G376" t="str">
            <v>WT6X13</v>
          </cell>
          <cell r="H376">
            <v>6.11</v>
          </cell>
          <cell r="I376">
            <v>6.125</v>
          </cell>
          <cell r="J376" t="str">
            <v>–</v>
          </cell>
          <cell r="K376" t="str">
            <v>–</v>
          </cell>
          <cell r="L376" t="str">
            <v>–</v>
          </cell>
          <cell r="M376">
            <v>6.49</v>
          </cell>
          <cell r="N376">
            <v>6.5</v>
          </cell>
          <cell r="O376" t="str">
            <v>–</v>
          </cell>
          <cell r="P376" t="str">
            <v>–</v>
          </cell>
          <cell r="Q376" t="str">
            <v>–</v>
          </cell>
          <cell r="R376">
            <v>0.23</v>
          </cell>
          <cell r="S376">
            <v>0.25</v>
          </cell>
          <cell r="T376">
            <v>0.125</v>
          </cell>
          <cell r="U376">
            <v>0.38</v>
          </cell>
          <cell r="V376">
            <v>0.375</v>
          </cell>
          <cell r="W376">
            <v>0.38</v>
          </cell>
        </row>
        <row r="377">
          <cell r="B377" t="str">
            <v>WT6X11</v>
          </cell>
          <cell r="C377" t="str">
            <v>WT6X11</v>
          </cell>
          <cell r="D377" t="str">
            <v>F</v>
          </cell>
          <cell r="E377">
            <v>11</v>
          </cell>
          <cell r="F377">
            <v>3.24</v>
          </cell>
          <cell r="G377" t="str">
            <v>WT6X11</v>
          </cell>
          <cell r="H377">
            <v>6.16</v>
          </cell>
          <cell r="I377">
            <v>6.125</v>
          </cell>
          <cell r="J377" t="str">
            <v>–</v>
          </cell>
          <cell r="K377" t="str">
            <v>–</v>
          </cell>
          <cell r="L377" t="str">
            <v>–</v>
          </cell>
          <cell r="M377">
            <v>4.03</v>
          </cell>
          <cell r="N377">
            <v>4</v>
          </cell>
          <cell r="O377" t="str">
            <v>–</v>
          </cell>
          <cell r="P377" t="str">
            <v>–</v>
          </cell>
          <cell r="Q377" t="str">
            <v>–</v>
          </cell>
          <cell r="R377">
            <v>0.26</v>
          </cell>
          <cell r="S377">
            <v>0.25</v>
          </cell>
          <cell r="T377">
            <v>0.125</v>
          </cell>
          <cell r="U377">
            <v>0.42499999999999999</v>
          </cell>
          <cell r="V377">
            <v>0.4375</v>
          </cell>
          <cell r="W377">
            <v>0.42499999999999999</v>
          </cell>
        </row>
        <row r="378">
          <cell r="B378" t="str">
            <v>WT6X9.5</v>
          </cell>
          <cell r="C378" t="str">
            <v>WT6X9.5</v>
          </cell>
          <cell r="D378" t="str">
            <v>F</v>
          </cell>
          <cell r="E378">
            <v>9.5</v>
          </cell>
          <cell r="F378">
            <v>2.79</v>
          </cell>
          <cell r="G378" t="str">
            <v>WT6X9.5</v>
          </cell>
          <cell r="H378">
            <v>6.08</v>
          </cell>
          <cell r="I378">
            <v>6.125</v>
          </cell>
          <cell r="J378" t="str">
            <v>–</v>
          </cell>
          <cell r="K378" t="str">
            <v>–</v>
          </cell>
          <cell r="L378" t="str">
            <v>–</v>
          </cell>
          <cell r="M378">
            <v>4.01</v>
          </cell>
          <cell r="N378">
            <v>4</v>
          </cell>
          <cell r="O378" t="str">
            <v>–</v>
          </cell>
          <cell r="P378" t="str">
            <v>–</v>
          </cell>
          <cell r="Q378" t="str">
            <v>–</v>
          </cell>
          <cell r="R378">
            <v>0.23499999999999999</v>
          </cell>
          <cell r="S378">
            <v>0.25</v>
          </cell>
          <cell r="T378">
            <v>0.125</v>
          </cell>
          <cell r="U378">
            <v>0.35</v>
          </cell>
          <cell r="V378">
            <v>0.375</v>
          </cell>
          <cell r="W378">
            <v>0.35</v>
          </cell>
        </row>
        <row r="379">
          <cell r="B379" t="str">
            <v>WT6X8</v>
          </cell>
          <cell r="C379" t="str">
            <v>WT6X8</v>
          </cell>
          <cell r="D379" t="str">
            <v>F</v>
          </cell>
          <cell r="E379">
            <v>8</v>
          </cell>
          <cell r="F379">
            <v>2.36</v>
          </cell>
          <cell r="G379" t="str">
            <v>WT6X8</v>
          </cell>
          <cell r="H379">
            <v>6</v>
          </cell>
          <cell r="I379">
            <v>6</v>
          </cell>
          <cell r="J379" t="str">
            <v>–</v>
          </cell>
          <cell r="K379" t="str">
            <v>–</v>
          </cell>
          <cell r="L379" t="str">
            <v>–</v>
          </cell>
          <cell r="M379">
            <v>3.99</v>
          </cell>
          <cell r="N379">
            <v>4</v>
          </cell>
          <cell r="O379" t="str">
            <v>–</v>
          </cell>
          <cell r="P379" t="str">
            <v>–</v>
          </cell>
          <cell r="Q379" t="str">
            <v>–</v>
          </cell>
          <cell r="R379">
            <v>0.22</v>
          </cell>
          <cell r="S379">
            <v>0.25</v>
          </cell>
          <cell r="T379">
            <v>0.125</v>
          </cell>
          <cell r="U379">
            <v>0.26500000000000001</v>
          </cell>
          <cell r="V379">
            <v>0.25</v>
          </cell>
          <cell r="W379">
            <v>0.26500000000000001</v>
          </cell>
        </row>
        <row r="380">
          <cell r="B380" t="str">
            <v>WT6X7</v>
          </cell>
          <cell r="C380" t="str">
            <v>WT6X7</v>
          </cell>
          <cell r="D380" t="str">
            <v>F</v>
          </cell>
          <cell r="E380">
            <v>7</v>
          </cell>
          <cell r="F380">
            <v>2.08</v>
          </cell>
          <cell r="G380" t="str">
            <v>WT6X7</v>
          </cell>
          <cell r="H380">
            <v>5.96</v>
          </cell>
          <cell r="I380">
            <v>6</v>
          </cell>
          <cell r="J380" t="str">
            <v>–</v>
          </cell>
          <cell r="K380" t="str">
            <v>–</v>
          </cell>
          <cell r="L380" t="str">
            <v>–</v>
          </cell>
          <cell r="M380">
            <v>3.97</v>
          </cell>
          <cell r="N380">
            <v>4</v>
          </cell>
          <cell r="O380" t="str">
            <v>–</v>
          </cell>
          <cell r="P380" t="str">
            <v>–</v>
          </cell>
          <cell r="Q380" t="str">
            <v>–</v>
          </cell>
          <cell r="R380">
            <v>0.2</v>
          </cell>
          <cell r="S380">
            <v>0.1875</v>
          </cell>
          <cell r="T380">
            <v>0.125</v>
          </cell>
          <cell r="U380">
            <v>0.22500000000000001</v>
          </cell>
          <cell r="V380">
            <v>0.25</v>
          </cell>
          <cell r="W380">
            <v>0.22500000000000001</v>
          </cell>
        </row>
        <row r="381">
          <cell r="B381" t="str">
            <v>WT5X56</v>
          </cell>
          <cell r="C381" t="str">
            <v>WT5X56</v>
          </cell>
          <cell r="D381" t="str">
            <v>F</v>
          </cell>
          <cell r="E381">
            <v>56</v>
          </cell>
          <cell r="F381">
            <v>16.5</v>
          </cell>
          <cell r="G381" t="str">
            <v>WT5X56</v>
          </cell>
          <cell r="H381">
            <v>5.68</v>
          </cell>
          <cell r="I381">
            <v>5.625</v>
          </cell>
          <cell r="J381" t="str">
            <v>–</v>
          </cell>
          <cell r="K381" t="str">
            <v>–</v>
          </cell>
          <cell r="L381" t="str">
            <v>–</v>
          </cell>
          <cell r="M381">
            <v>10.4</v>
          </cell>
          <cell r="N381">
            <v>10.375</v>
          </cell>
          <cell r="O381" t="str">
            <v>–</v>
          </cell>
          <cell r="P381" t="str">
            <v>–</v>
          </cell>
          <cell r="Q381" t="str">
            <v>–</v>
          </cell>
          <cell r="R381">
            <v>0.755</v>
          </cell>
          <cell r="S381">
            <v>0.75</v>
          </cell>
          <cell r="T381">
            <v>0.375</v>
          </cell>
          <cell r="U381">
            <v>1.25</v>
          </cell>
          <cell r="V381">
            <v>1.25</v>
          </cell>
          <cell r="W381">
            <v>1.25</v>
          </cell>
        </row>
        <row r="382">
          <cell r="B382" t="str">
            <v>WT5X50</v>
          </cell>
          <cell r="C382" t="str">
            <v>WT5X50</v>
          </cell>
          <cell r="D382" t="str">
            <v>F</v>
          </cell>
          <cell r="E382">
            <v>50</v>
          </cell>
          <cell r="F382">
            <v>14.7</v>
          </cell>
          <cell r="G382" t="str">
            <v>WT5X50</v>
          </cell>
          <cell r="H382">
            <v>5.55</v>
          </cell>
          <cell r="I382">
            <v>5.5</v>
          </cell>
          <cell r="J382" t="str">
            <v>–</v>
          </cell>
          <cell r="K382" t="str">
            <v>–</v>
          </cell>
          <cell r="L382" t="str">
            <v>–</v>
          </cell>
          <cell r="M382">
            <v>10.3</v>
          </cell>
          <cell r="N382">
            <v>10.375</v>
          </cell>
          <cell r="O382" t="str">
            <v>–</v>
          </cell>
          <cell r="P382" t="str">
            <v>–</v>
          </cell>
          <cell r="Q382" t="str">
            <v>–</v>
          </cell>
          <cell r="R382">
            <v>0.68</v>
          </cell>
          <cell r="S382">
            <v>0.6875</v>
          </cell>
          <cell r="T382">
            <v>0.375</v>
          </cell>
          <cell r="U382">
            <v>1.1200000000000001</v>
          </cell>
          <cell r="V382">
            <v>1.125</v>
          </cell>
          <cell r="W382">
            <v>1.1200000000000001</v>
          </cell>
        </row>
        <row r="383">
          <cell r="B383" t="str">
            <v>WT5X44</v>
          </cell>
          <cell r="C383" t="str">
            <v>WT5X44</v>
          </cell>
          <cell r="D383" t="str">
            <v>F</v>
          </cell>
          <cell r="E383">
            <v>44</v>
          </cell>
          <cell r="F383">
            <v>13</v>
          </cell>
          <cell r="G383" t="str">
            <v>WT5X44</v>
          </cell>
          <cell r="H383">
            <v>5.42</v>
          </cell>
          <cell r="I383">
            <v>5.375</v>
          </cell>
          <cell r="J383" t="str">
            <v>–</v>
          </cell>
          <cell r="K383" t="str">
            <v>–</v>
          </cell>
          <cell r="L383" t="str">
            <v>–</v>
          </cell>
          <cell r="M383">
            <v>10.3</v>
          </cell>
          <cell r="N383">
            <v>10.25</v>
          </cell>
          <cell r="O383" t="str">
            <v>–</v>
          </cell>
          <cell r="P383" t="str">
            <v>–</v>
          </cell>
          <cell r="Q383" t="str">
            <v>–</v>
          </cell>
          <cell r="R383">
            <v>0.60499999999999998</v>
          </cell>
          <cell r="S383">
            <v>0.625</v>
          </cell>
          <cell r="T383">
            <v>0.3125</v>
          </cell>
          <cell r="U383">
            <v>0.99</v>
          </cell>
          <cell r="V383">
            <v>1</v>
          </cell>
          <cell r="W383">
            <v>0.99</v>
          </cell>
        </row>
        <row r="384">
          <cell r="B384" t="str">
            <v>WT5X38.5</v>
          </cell>
          <cell r="C384" t="str">
            <v>WT5X38.5</v>
          </cell>
          <cell r="D384" t="str">
            <v>F</v>
          </cell>
          <cell r="E384">
            <v>38.5</v>
          </cell>
          <cell r="F384">
            <v>11.3</v>
          </cell>
          <cell r="G384" t="str">
            <v>WT5X38.5</v>
          </cell>
          <cell r="H384">
            <v>5.3</v>
          </cell>
          <cell r="I384">
            <v>5.25</v>
          </cell>
          <cell r="J384" t="str">
            <v>–</v>
          </cell>
          <cell r="K384" t="str">
            <v>–</v>
          </cell>
          <cell r="L384" t="str">
            <v>–</v>
          </cell>
          <cell r="M384">
            <v>10.199999999999999</v>
          </cell>
          <cell r="N384">
            <v>10.25</v>
          </cell>
          <cell r="O384" t="str">
            <v>–</v>
          </cell>
          <cell r="P384" t="str">
            <v>–</v>
          </cell>
          <cell r="Q384" t="str">
            <v>–</v>
          </cell>
          <cell r="R384">
            <v>0.53</v>
          </cell>
          <cell r="S384">
            <v>0.5</v>
          </cell>
          <cell r="T384">
            <v>0.25</v>
          </cell>
          <cell r="U384">
            <v>0.87</v>
          </cell>
          <cell r="V384">
            <v>0.875</v>
          </cell>
          <cell r="W384">
            <v>0.87</v>
          </cell>
        </row>
        <row r="385">
          <cell r="B385" t="str">
            <v>WT5X34</v>
          </cell>
          <cell r="C385" t="str">
            <v>WT5X34</v>
          </cell>
          <cell r="D385" t="str">
            <v>F</v>
          </cell>
          <cell r="E385">
            <v>34</v>
          </cell>
          <cell r="F385">
            <v>10</v>
          </cell>
          <cell r="G385" t="str">
            <v>WT5X34</v>
          </cell>
          <cell r="H385">
            <v>5.2</v>
          </cell>
          <cell r="I385">
            <v>5.25</v>
          </cell>
          <cell r="J385" t="str">
            <v>–</v>
          </cell>
          <cell r="K385" t="str">
            <v>–</v>
          </cell>
          <cell r="L385" t="str">
            <v>–</v>
          </cell>
          <cell r="M385">
            <v>10.1</v>
          </cell>
          <cell r="N385">
            <v>10.125</v>
          </cell>
          <cell r="O385" t="str">
            <v>–</v>
          </cell>
          <cell r="P385" t="str">
            <v>–</v>
          </cell>
          <cell r="Q385" t="str">
            <v>–</v>
          </cell>
          <cell r="R385">
            <v>0.47</v>
          </cell>
          <cell r="S385">
            <v>0.5</v>
          </cell>
          <cell r="T385">
            <v>0.25</v>
          </cell>
          <cell r="U385">
            <v>0.77</v>
          </cell>
          <cell r="V385">
            <v>0.75</v>
          </cell>
          <cell r="W385">
            <v>0.77</v>
          </cell>
        </row>
        <row r="386">
          <cell r="B386" t="str">
            <v>WT5X30</v>
          </cell>
          <cell r="C386" t="str">
            <v>WT5X30</v>
          </cell>
          <cell r="D386" t="str">
            <v>F</v>
          </cell>
          <cell r="E386">
            <v>30</v>
          </cell>
          <cell r="F386">
            <v>8.84</v>
          </cell>
          <cell r="G386" t="str">
            <v>WT5X30</v>
          </cell>
          <cell r="H386">
            <v>5.1100000000000003</v>
          </cell>
          <cell r="I386">
            <v>5.125</v>
          </cell>
          <cell r="J386" t="str">
            <v>–</v>
          </cell>
          <cell r="K386" t="str">
            <v>–</v>
          </cell>
          <cell r="L386" t="str">
            <v>–</v>
          </cell>
          <cell r="M386">
            <v>10.1</v>
          </cell>
          <cell r="N386">
            <v>10.125</v>
          </cell>
          <cell r="O386" t="str">
            <v>–</v>
          </cell>
          <cell r="P386" t="str">
            <v>–</v>
          </cell>
          <cell r="Q386" t="str">
            <v>–</v>
          </cell>
          <cell r="R386">
            <v>0.42</v>
          </cell>
          <cell r="S386">
            <v>0.4375</v>
          </cell>
          <cell r="T386">
            <v>0.25</v>
          </cell>
          <cell r="U386">
            <v>0.68</v>
          </cell>
          <cell r="V386">
            <v>0.6875</v>
          </cell>
          <cell r="W386">
            <v>0.68</v>
          </cell>
        </row>
        <row r="387">
          <cell r="B387" t="str">
            <v>WT5X27</v>
          </cell>
          <cell r="C387" t="str">
            <v>WT5X27</v>
          </cell>
          <cell r="D387" t="str">
            <v>F</v>
          </cell>
          <cell r="E387">
            <v>27</v>
          </cell>
          <cell r="F387">
            <v>7.9</v>
          </cell>
          <cell r="G387" t="str">
            <v>WT5X27</v>
          </cell>
          <cell r="H387">
            <v>5.05</v>
          </cell>
          <cell r="I387">
            <v>5</v>
          </cell>
          <cell r="J387" t="str">
            <v>–</v>
          </cell>
          <cell r="K387" t="str">
            <v>–</v>
          </cell>
          <cell r="L387" t="str">
            <v>–</v>
          </cell>
          <cell r="M387">
            <v>10</v>
          </cell>
          <cell r="N387">
            <v>10</v>
          </cell>
          <cell r="O387" t="str">
            <v>–</v>
          </cell>
          <cell r="P387" t="str">
            <v>–</v>
          </cell>
          <cell r="Q387" t="str">
            <v>–</v>
          </cell>
          <cell r="R387">
            <v>0.37</v>
          </cell>
          <cell r="S387">
            <v>0.375</v>
          </cell>
          <cell r="T387">
            <v>0.1875</v>
          </cell>
          <cell r="U387">
            <v>0.61499999999999999</v>
          </cell>
          <cell r="V387">
            <v>0.625</v>
          </cell>
          <cell r="W387">
            <v>0.61499999999999999</v>
          </cell>
        </row>
        <row r="388">
          <cell r="B388" t="str">
            <v>WT5X24.5</v>
          </cell>
          <cell r="C388" t="str">
            <v>WT5X24.5</v>
          </cell>
          <cell r="D388" t="str">
            <v>F</v>
          </cell>
          <cell r="E388">
            <v>24.5</v>
          </cell>
          <cell r="F388">
            <v>7.21</v>
          </cell>
          <cell r="G388" t="str">
            <v>WT5X24.5</v>
          </cell>
          <cell r="H388">
            <v>4.99</v>
          </cell>
          <cell r="I388">
            <v>5</v>
          </cell>
          <cell r="J388" t="str">
            <v>–</v>
          </cell>
          <cell r="K388" t="str">
            <v>–</v>
          </cell>
          <cell r="L388" t="str">
            <v>–</v>
          </cell>
          <cell r="M388">
            <v>10</v>
          </cell>
          <cell r="N388">
            <v>10</v>
          </cell>
          <cell r="O388" t="str">
            <v>–</v>
          </cell>
          <cell r="P388" t="str">
            <v>–</v>
          </cell>
          <cell r="Q388" t="str">
            <v>–</v>
          </cell>
          <cell r="R388">
            <v>0.34</v>
          </cell>
          <cell r="S388">
            <v>0.3125</v>
          </cell>
          <cell r="T388">
            <v>0.1875</v>
          </cell>
          <cell r="U388">
            <v>0.56000000000000005</v>
          </cell>
          <cell r="V388">
            <v>0.5625</v>
          </cell>
          <cell r="W388">
            <v>0.56000000000000005</v>
          </cell>
        </row>
        <row r="389">
          <cell r="B389" t="str">
            <v>WT5X22.5</v>
          </cell>
          <cell r="C389" t="str">
            <v>WT5X22.5</v>
          </cell>
          <cell r="D389" t="str">
            <v>F</v>
          </cell>
          <cell r="E389">
            <v>22.5</v>
          </cell>
          <cell r="F389">
            <v>6.63</v>
          </cell>
          <cell r="G389" t="str">
            <v>WT5X22.5</v>
          </cell>
          <cell r="H389">
            <v>5.05</v>
          </cell>
          <cell r="I389">
            <v>5</v>
          </cell>
          <cell r="J389" t="str">
            <v>–</v>
          </cell>
          <cell r="K389" t="str">
            <v>–</v>
          </cell>
          <cell r="L389" t="str">
            <v>–</v>
          </cell>
          <cell r="M389">
            <v>8.02</v>
          </cell>
          <cell r="N389">
            <v>8</v>
          </cell>
          <cell r="O389" t="str">
            <v>–</v>
          </cell>
          <cell r="P389" t="str">
            <v>–</v>
          </cell>
          <cell r="Q389" t="str">
            <v>–</v>
          </cell>
          <cell r="R389">
            <v>0.35</v>
          </cell>
          <cell r="S389">
            <v>0.375</v>
          </cell>
          <cell r="T389">
            <v>0.1875</v>
          </cell>
          <cell r="U389">
            <v>0.62</v>
          </cell>
          <cell r="V389">
            <v>0.625</v>
          </cell>
          <cell r="W389">
            <v>0.62</v>
          </cell>
        </row>
        <row r="390">
          <cell r="B390" t="str">
            <v>WT5X19.5</v>
          </cell>
          <cell r="C390" t="str">
            <v>WT5X19.5</v>
          </cell>
          <cell r="D390" t="str">
            <v>F</v>
          </cell>
          <cell r="E390">
            <v>19.5</v>
          </cell>
          <cell r="F390">
            <v>5.73</v>
          </cell>
          <cell r="G390" t="str">
            <v>WT5X19.5</v>
          </cell>
          <cell r="H390">
            <v>4.96</v>
          </cell>
          <cell r="I390">
            <v>5</v>
          </cell>
          <cell r="J390" t="str">
            <v>–</v>
          </cell>
          <cell r="K390" t="str">
            <v>–</v>
          </cell>
          <cell r="L390" t="str">
            <v>–</v>
          </cell>
          <cell r="M390">
            <v>7.99</v>
          </cell>
          <cell r="N390">
            <v>8</v>
          </cell>
          <cell r="O390" t="str">
            <v>–</v>
          </cell>
          <cell r="P390" t="str">
            <v>–</v>
          </cell>
          <cell r="Q390" t="str">
            <v>–</v>
          </cell>
          <cell r="R390">
            <v>0.315</v>
          </cell>
          <cell r="S390">
            <v>0.3125</v>
          </cell>
          <cell r="T390">
            <v>0.1875</v>
          </cell>
          <cell r="U390">
            <v>0.53</v>
          </cell>
          <cell r="V390">
            <v>0.5</v>
          </cell>
          <cell r="W390">
            <v>0.53</v>
          </cell>
        </row>
        <row r="391">
          <cell r="B391" t="str">
            <v>WT5X16.5</v>
          </cell>
          <cell r="C391" t="str">
            <v>WT5X16.5</v>
          </cell>
          <cell r="D391" t="str">
            <v>F</v>
          </cell>
          <cell r="E391">
            <v>16.5</v>
          </cell>
          <cell r="F391">
            <v>4.8499999999999996</v>
          </cell>
          <cell r="G391" t="str">
            <v>WT5X16.5</v>
          </cell>
          <cell r="H391">
            <v>4.87</v>
          </cell>
          <cell r="I391">
            <v>4.875</v>
          </cell>
          <cell r="J391" t="str">
            <v>–</v>
          </cell>
          <cell r="K391" t="str">
            <v>–</v>
          </cell>
          <cell r="L391" t="str">
            <v>–</v>
          </cell>
          <cell r="M391">
            <v>7.96</v>
          </cell>
          <cell r="N391">
            <v>8</v>
          </cell>
          <cell r="O391" t="str">
            <v>–</v>
          </cell>
          <cell r="P391" t="str">
            <v>–</v>
          </cell>
          <cell r="Q391" t="str">
            <v>–</v>
          </cell>
          <cell r="R391">
            <v>0.28999999999999998</v>
          </cell>
          <cell r="S391">
            <v>0.3125</v>
          </cell>
          <cell r="T391">
            <v>0.1875</v>
          </cell>
          <cell r="U391">
            <v>0.435</v>
          </cell>
          <cell r="V391">
            <v>0.4375</v>
          </cell>
          <cell r="W391">
            <v>0.435</v>
          </cell>
        </row>
        <row r="392">
          <cell r="B392" t="str">
            <v>WT5X15</v>
          </cell>
          <cell r="C392" t="str">
            <v>WT5X15</v>
          </cell>
          <cell r="D392" t="str">
            <v>F</v>
          </cell>
          <cell r="E392">
            <v>15</v>
          </cell>
          <cell r="F392">
            <v>4.42</v>
          </cell>
          <cell r="G392" t="str">
            <v>WT5X15</v>
          </cell>
          <cell r="H392">
            <v>5.24</v>
          </cell>
          <cell r="I392">
            <v>5.25</v>
          </cell>
          <cell r="J392" t="str">
            <v>–</v>
          </cell>
          <cell r="K392" t="str">
            <v>–</v>
          </cell>
          <cell r="L392" t="str">
            <v>–</v>
          </cell>
          <cell r="M392">
            <v>5.81</v>
          </cell>
          <cell r="N392">
            <v>5.75</v>
          </cell>
          <cell r="O392" t="str">
            <v>–</v>
          </cell>
          <cell r="P392" t="str">
            <v>–</v>
          </cell>
          <cell r="Q392" t="str">
            <v>–</v>
          </cell>
          <cell r="R392">
            <v>0.3</v>
          </cell>
          <cell r="S392">
            <v>0.3125</v>
          </cell>
          <cell r="T392">
            <v>0.1875</v>
          </cell>
          <cell r="U392">
            <v>0.51</v>
          </cell>
          <cell r="V392">
            <v>0.5</v>
          </cell>
          <cell r="W392">
            <v>0.51</v>
          </cell>
        </row>
        <row r="393">
          <cell r="B393" t="str">
            <v>WT5X13</v>
          </cell>
          <cell r="C393" t="str">
            <v>WT5X13</v>
          </cell>
          <cell r="D393" t="str">
            <v>F</v>
          </cell>
          <cell r="E393">
            <v>13</v>
          </cell>
          <cell r="F393">
            <v>3.81</v>
          </cell>
          <cell r="G393" t="str">
            <v>WT5X13</v>
          </cell>
          <cell r="H393">
            <v>5.17</v>
          </cell>
          <cell r="I393">
            <v>5.125</v>
          </cell>
          <cell r="J393" t="str">
            <v>–</v>
          </cell>
          <cell r="K393" t="str">
            <v>–</v>
          </cell>
          <cell r="L393" t="str">
            <v>–</v>
          </cell>
          <cell r="M393">
            <v>5.77</v>
          </cell>
          <cell r="N393">
            <v>5.75</v>
          </cell>
          <cell r="O393" t="str">
            <v>–</v>
          </cell>
          <cell r="P393" t="str">
            <v>–</v>
          </cell>
          <cell r="Q393" t="str">
            <v>–</v>
          </cell>
          <cell r="R393">
            <v>0.26</v>
          </cell>
          <cell r="S393">
            <v>0.25</v>
          </cell>
          <cell r="T393">
            <v>0.125</v>
          </cell>
          <cell r="U393">
            <v>0.44</v>
          </cell>
          <cell r="V393">
            <v>0.4375</v>
          </cell>
          <cell r="W393">
            <v>0.44</v>
          </cell>
        </row>
        <row r="394">
          <cell r="B394" t="str">
            <v>WT5X11</v>
          </cell>
          <cell r="C394" t="str">
            <v>WT5X11</v>
          </cell>
          <cell r="D394" t="str">
            <v>F</v>
          </cell>
          <cell r="E394">
            <v>11</v>
          </cell>
          <cell r="F394">
            <v>3.24</v>
          </cell>
          <cell r="G394" t="str">
            <v>WT5X11</v>
          </cell>
          <cell r="H394">
            <v>5.09</v>
          </cell>
          <cell r="I394">
            <v>5.125</v>
          </cell>
          <cell r="J394" t="str">
            <v>–</v>
          </cell>
          <cell r="K394" t="str">
            <v>–</v>
          </cell>
          <cell r="L394" t="str">
            <v>–</v>
          </cell>
          <cell r="M394">
            <v>5.75</v>
          </cell>
          <cell r="N394">
            <v>5.75</v>
          </cell>
          <cell r="O394" t="str">
            <v>–</v>
          </cell>
          <cell r="P394" t="str">
            <v>–</v>
          </cell>
          <cell r="Q394" t="str">
            <v>–</v>
          </cell>
          <cell r="R394">
            <v>0.24</v>
          </cell>
          <cell r="S394">
            <v>0.25</v>
          </cell>
          <cell r="T394">
            <v>0.125</v>
          </cell>
          <cell r="U394">
            <v>0.36</v>
          </cell>
          <cell r="V394">
            <v>0.375</v>
          </cell>
          <cell r="W394">
            <v>0.36</v>
          </cell>
        </row>
        <row r="395">
          <cell r="B395" t="str">
            <v>WT5X9.5</v>
          </cell>
          <cell r="C395" t="str">
            <v>WT5X9.5</v>
          </cell>
          <cell r="D395" t="str">
            <v>F</v>
          </cell>
          <cell r="E395">
            <v>9.5</v>
          </cell>
          <cell r="F395">
            <v>2.81</v>
          </cell>
          <cell r="G395" t="str">
            <v>WT5X9.5</v>
          </cell>
          <cell r="H395">
            <v>5.12</v>
          </cell>
          <cell r="I395">
            <v>5.125</v>
          </cell>
          <cell r="J395" t="str">
            <v>–</v>
          </cell>
          <cell r="K395" t="str">
            <v>–</v>
          </cell>
          <cell r="L395" t="str">
            <v>–</v>
          </cell>
          <cell r="M395">
            <v>4.0199999999999996</v>
          </cell>
          <cell r="N395">
            <v>4</v>
          </cell>
          <cell r="O395" t="str">
            <v>–</v>
          </cell>
          <cell r="P395" t="str">
            <v>–</v>
          </cell>
          <cell r="Q395" t="str">
            <v>–</v>
          </cell>
          <cell r="R395">
            <v>0.25</v>
          </cell>
          <cell r="S395">
            <v>0.25</v>
          </cell>
          <cell r="T395">
            <v>0.125</v>
          </cell>
          <cell r="U395">
            <v>0.39500000000000002</v>
          </cell>
          <cell r="V395">
            <v>0.375</v>
          </cell>
          <cell r="W395">
            <v>0.39500000000000002</v>
          </cell>
        </row>
        <row r="396">
          <cell r="B396" t="str">
            <v>WT5X8.5</v>
          </cell>
          <cell r="C396" t="str">
            <v>WT5X8.5</v>
          </cell>
          <cell r="D396" t="str">
            <v>F</v>
          </cell>
          <cell r="E396">
            <v>8.5</v>
          </cell>
          <cell r="F396">
            <v>2.5</v>
          </cell>
          <cell r="G396" t="str">
            <v>WT5X8.5</v>
          </cell>
          <cell r="H396">
            <v>5.0599999999999996</v>
          </cell>
          <cell r="I396">
            <v>5</v>
          </cell>
          <cell r="J396" t="str">
            <v>–</v>
          </cell>
          <cell r="K396" t="str">
            <v>–</v>
          </cell>
          <cell r="L396" t="str">
            <v>–</v>
          </cell>
          <cell r="M396">
            <v>4.01</v>
          </cell>
          <cell r="N396">
            <v>4</v>
          </cell>
          <cell r="O396" t="str">
            <v>–</v>
          </cell>
          <cell r="P396" t="str">
            <v>–</v>
          </cell>
          <cell r="Q396" t="str">
            <v>–</v>
          </cell>
          <cell r="R396">
            <v>0.24</v>
          </cell>
          <cell r="S396">
            <v>0.25</v>
          </cell>
          <cell r="T396">
            <v>0.125</v>
          </cell>
          <cell r="U396">
            <v>0.33</v>
          </cell>
          <cell r="V396">
            <v>0.3125</v>
          </cell>
          <cell r="W396">
            <v>0.33</v>
          </cell>
        </row>
        <row r="397">
          <cell r="B397" t="str">
            <v>WT5X7.5</v>
          </cell>
          <cell r="C397" t="str">
            <v>WT5X7.5</v>
          </cell>
          <cell r="D397" t="str">
            <v>F</v>
          </cell>
          <cell r="E397">
            <v>7.5</v>
          </cell>
          <cell r="F397">
            <v>2.21</v>
          </cell>
          <cell r="G397" t="str">
            <v>WT5X7.5</v>
          </cell>
          <cell r="H397">
            <v>5</v>
          </cell>
          <cell r="I397">
            <v>5</v>
          </cell>
          <cell r="J397" t="str">
            <v>–</v>
          </cell>
          <cell r="K397" t="str">
            <v>–</v>
          </cell>
          <cell r="L397" t="str">
            <v>–</v>
          </cell>
          <cell r="M397">
            <v>4</v>
          </cell>
          <cell r="N397">
            <v>4</v>
          </cell>
          <cell r="O397" t="str">
            <v>–</v>
          </cell>
          <cell r="P397" t="str">
            <v>–</v>
          </cell>
          <cell r="Q397" t="str">
            <v>–</v>
          </cell>
          <cell r="R397">
            <v>0.23</v>
          </cell>
          <cell r="S397">
            <v>0.25</v>
          </cell>
          <cell r="T397">
            <v>0.125</v>
          </cell>
          <cell r="U397">
            <v>0.27</v>
          </cell>
          <cell r="V397">
            <v>0.25</v>
          </cell>
          <cell r="W397">
            <v>0.27</v>
          </cell>
        </row>
        <row r="398">
          <cell r="B398" t="str">
            <v>WT5X6</v>
          </cell>
          <cell r="C398" t="str">
            <v>WT5X6</v>
          </cell>
          <cell r="D398" t="str">
            <v>F</v>
          </cell>
          <cell r="E398">
            <v>6</v>
          </cell>
          <cell r="F398">
            <v>1.77</v>
          </cell>
          <cell r="G398" t="str">
            <v>WT5X6</v>
          </cell>
          <cell r="H398">
            <v>4.9400000000000004</v>
          </cell>
          <cell r="I398">
            <v>4.875</v>
          </cell>
          <cell r="J398" t="str">
            <v>–</v>
          </cell>
          <cell r="K398" t="str">
            <v>–</v>
          </cell>
          <cell r="L398" t="str">
            <v>–</v>
          </cell>
          <cell r="M398">
            <v>3.96</v>
          </cell>
          <cell r="N398">
            <v>4</v>
          </cell>
          <cell r="O398" t="str">
            <v>–</v>
          </cell>
          <cell r="P398" t="str">
            <v>–</v>
          </cell>
          <cell r="Q398" t="str">
            <v>–</v>
          </cell>
          <cell r="R398">
            <v>0.19</v>
          </cell>
          <cell r="S398">
            <v>0.1875</v>
          </cell>
          <cell r="T398">
            <v>0.125</v>
          </cell>
          <cell r="U398">
            <v>0.21</v>
          </cell>
          <cell r="V398">
            <v>0.1875</v>
          </cell>
          <cell r="W398">
            <v>0.21</v>
          </cell>
        </row>
        <row r="399">
          <cell r="B399" t="str">
            <v>WT4X33.5</v>
          </cell>
          <cell r="C399" t="str">
            <v>WT4X33.5</v>
          </cell>
          <cell r="D399" t="str">
            <v>F</v>
          </cell>
          <cell r="E399">
            <v>33.5</v>
          </cell>
          <cell r="F399">
            <v>9.84</v>
          </cell>
          <cell r="G399" t="str">
            <v>WT4X33.5</v>
          </cell>
          <cell r="H399">
            <v>4.5</v>
          </cell>
          <cell r="I399">
            <v>4.5</v>
          </cell>
          <cell r="J399" t="str">
            <v>–</v>
          </cell>
          <cell r="K399" t="str">
            <v>–</v>
          </cell>
          <cell r="L399" t="str">
            <v>–</v>
          </cell>
          <cell r="M399">
            <v>8.2799999999999994</v>
          </cell>
          <cell r="N399">
            <v>8.25</v>
          </cell>
          <cell r="O399" t="str">
            <v>–</v>
          </cell>
          <cell r="P399" t="str">
            <v>–</v>
          </cell>
          <cell r="Q399" t="str">
            <v>–</v>
          </cell>
          <cell r="R399">
            <v>0.56999999999999995</v>
          </cell>
          <cell r="S399">
            <v>0.5625</v>
          </cell>
          <cell r="T399">
            <v>0.3125</v>
          </cell>
          <cell r="U399">
            <v>0.93500000000000005</v>
          </cell>
          <cell r="V399">
            <v>0.9375</v>
          </cell>
          <cell r="W399">
            <v>0.93500000000000005</v>
          </cell>
        </row>
        <row r="400">
          <cell r="B400" t="str">
            <v>WT4X29</v>
          </cell>
          <cell r="C400" t="str">
            <v>WT4X29</v>
          </cell>
          <cell r="D400" t="str">
            <v>F</v>
          </cell>
          <cell r="E400">
            <v>29</v>
          </cell>
          <cell r="F400">
            <v>8.5399999999999991</v>
          </cell>
          <cell r="G400" t="str">
            <v>WT4X29</v>
          </cell>
          <cell r="H400">
            <v>4.38</v>
          </cell>
          <cell r="I400">
            <v>4.375</v>
          </cell>
          <cell r="J400" t="str">
            <v>–</v>
          </cell>
          <cell r="K400" t="str">
            <v>–</v>
          </cell>
          <cell r="L400" t="str">
            <v>–</v>
          </cell>
          <cell r="M400">
            <v>8.2200000000000006</v>
          </cell>
          <cell r="N400">
            <v>8.25</v>
          </cell>
          <cell r="O400" t="str">
            <v>–</v>
          </cell>
          <cell r="P400" t="str">
            <v>–</v>
          </cell>
          <cell r="Q400" t="str">
            <v>–</v>
          </cell>
          <cell r="R400">
            <v>0.51</v>
          </cell>
          <cell r="S400">
            <v>0.5</v>
          </cell>
          <cell r="T400">
            <v>0.25</v>
          </cell>
          <cell r="U400">
            <v>0.81</v>
          </cell>
          <cell r="V400">
            <v>0.8125</v>
          </cell>
          <cell r="W400">
            <v>0.81</v>
          </cell>
        </row>
        <row r="401">
          <cell r="B401" t="str">
            <v>WT4X24</v>
          </cell>
          <cell r="C401" t="str">
            <v>WT4X24</v>
          </cell>
          <cell r="D401" t="str">
            <v>F</v>
          </cell>
          <cell r="E401">
            <v>24</v>
          </cell>
          <cell r="F401">
            <v>7.05</v>
          </cell>
          <cell r="G401" t="str">
            <v>WT4X24</v>
          </cell>
          <cell r="H401">
            <v>4.25</v>
          </cell>
          <cell r="I401">
            <v>4.25</v>
          </cell>
          <cell r="J401" t="str">
            <v>–</v>
          </cell>
          <cell r="K401" t="str">
            <v>–</v>
          </cell>
          <cell r="L401" t="str">
            <v>–</v>
          </cell>
          <cell r="M401">
            <v>8.11</v>
          </cell>
          <cell r="N401">
            <v>8.125</v>
          </cell>
          <cell r="O401" t="str">
            <v>–</v>
          </cell>
          <cell r="P401" t="str">
            <v>–</v>
          </cell>
          <cell r="Q401" t="str">
            <v>–</v>
          </cell>
          <cell r="R401">
            <v>0.4</v>
          </cell>
          <cell r="S401">
            <v>0.375</v>
          </cell>
          <cell r="T401">
            <v>0.1875</v>
          </cell>
          <cell r="U401">
            <v>0.68500000000000005</v>
          </cell>
          <cell r="V401">
            <v>0.6875</v>
          </cell>
          <cell r="W401">
            <v>0.68500000000000005</v>
          </cell>
        </row>
        <row r="402">
          <cell r="B402" t="str">
            <v>WT4X20</v>
          </cell>
          <cell r="C402" t="str">
            <v>WT4X20</v>
          </cell>
          <cell r="D402" t="str">
            <v>F</v>
          </cell>
          <cell r="E402">
            <v>20</v>
          </cell>
          <cell r="F402">
            <v>5.87</v>
          </cell>
          <cell r="G402" t="str">
            <v>WT4X20</v>
          </cell>
          <cell r="H402">
            <v>4.13</v>
          </cell>
          <cell r="I402">
            <v>4.125</v>
          </cell>
          <cell r="J402" t="str">
            <v>–</v>
          </cell>
          <cell r="K402" t="str">
            <v>–</v>
          </cell>
          <cell r="L402" t="str">
            <v>–</v>
          </cell>
          <cell r="M402">
            <v>8.07</v>
          </cell>
          <cell r="N402">
            <v>8.125</v>
          </cell>
          <cell r="O402" t="str">
            <v>–</v>
          </cell>
          <cell r="P402" t="str">
            <v>–</v>
          </cell>
          <cell r="Q402" t="str">
            <v>–</v>
          </cell>
          <cell r="R402">
            <v>0.36</v>
          </cell>
          <cell r="S402">
            <v>0.375</v>
          </cell>
          <cell r="T402">
            <v>0.1875</v>
          </cell>
          <cell r="U402">
            <v>0.56000000000000005</v>
          </cell>
          <cell r="V402">
            <v>0.5625</v>
          </cell>
          <cell r="W402">
            <v>0.56000000000000005</v>
          </cell>
        </row>
        <row r="403">
          <cell r="B403" t="str">
            <v>WT4X17.5</v>
          </cell>
          <cell r="C403" t="str">
            <v>WT4X17.5</v>
          </cell>
          <cell r="D403" t="str">
            <v>F</v>
          </cell>
          <cell r="E403">
            <v>17.5</v>
          </cell>
          <cell r="F403">
            <v>5.14</v>
          </cell>
          <cell r="G403" t="str">
            <v>WT4X17.5</v>
          </cell>
          <cell r="H403">
            <v>4.0599999999999996</v>
          </cell>
          <cell r="I403">
            <v>4</v>
          </cell>
          <cell r="J403" t="str">
            <v>–</v>
          </cell>
          <cell r="K403" t="str">
            <v>–</v>
          </cell>
          <cell r="L403" t="str">
            <v>–</v>
          </cell>
          <cell r="M403">
            <v>8.02</v>
          </cell>
          <cell r="N403">
            <v>8</v>
          </cell>
          <cell r="O403" t="str">
            <v>–</v>
          </cell>
          <cell r="P403" t="str">
            <v>–</v>
          </cell>
          <cell r="Q403" t="str">
            <v>–</v>
          </cell>
          <cell r="R403">
            <v>0.31</v>
          </cell>
          <cell r="S403">
            <v>0.3125</v>
          </cell>
          <cell r="T403">
            <v>0.1875</v>
          </cell>
          <cell r="U403">
            <v>0.495</v>
          </cell>
          <cell r="V403">
            <v>0.5</v>
          </cell>
          <cell r="W403">
            <v>0.495</v>
          </cell>
        </row>
        <row r="404">
          <cell r="B404" t="str">
            <v>WT4X15.5</v>
          </cell>
          <cell r="C404" t="str">
            <v>WT4X15.5</v>
          </cell>
          <cell r="D404" t="str">
            <v>F</v>
          </cell>
          <cell r="E404">
            <v>15.5</v>
          </cell>
          <cell r="F404">
            <v>4.5599999999999996</v>
          </cell>
          <cell r="G404" t="str">
            <v>WT4X15.5</v>
          </cell>
          <cell r="H404">
            <v>4</v>
          </cell>
          <cell r="I404">
            <v>4</v>
          </cell>
          <cell r="J404" t="str">
            <v>–</v>
          </cell>
          <cell r="K404" t="str">
            <v>–</v>
          </cell>
          <cell r="L404" t="str">
            <v>–</v>
          </cell>
          <cell r="M404">
            <v>8</v>
          </cell>
          <cell r="N404">
            <v>8</v>
          </cell>
          <cell r="O404" t="str">
            <v>–</v>
          </cell>
          <cell r="P404" t="str">
            <v>–</v>
          </cell>
          <cell r="Q404" t="str">
            <v>–</v>
          </cell>
          <cell r="R404">
            <v>0.28499999999999998</v>
          </cell>
          <cell r="S404">
            <v>0.3125</v>
          </cell>
          <cell r="T404">
            <v>0.1875</v>
          </cell>
          <cell r="U404">
            <v>0.435</v>
          </cell>
          <cell r="V404">
            <v>0.4375</v>
          </cell>
          <cell r="W404">
            <v>0.435</v>
          </cell>
        </row>
        <row r="405">
          <cell r="B405" t="str">
            <v>WT4X14</v>
          </cell>
          <cell r="C405" t="str">
            <v>WT4X14</v>
          </cell>
          <cell r="D405" t="str">
            <v>F</v>
          </cell>
          <cell r="E405">
            <v>14</v>
          </cell>
          <cell r="F405">
            <v>4.12</v>
          </cell>
          <cell r="G405" t="str">
            <v>WT4X14</v>
          </cell>
          <cell r="H405">
            <v>4.03</v>
          </cell>
          <cell r="I405">
            <v>4</v>
          </cell>
          <cell r="J405" t="str">
            <v>–</v>
          </cell>
          <cell r="K405" t="str">
            <v>–</v>
          </cell>
          <cell r="L405" t="str">
            <v>–</v>
          </cell>
          <cell r="M405">
            <v>6.54</v>
          </cell>
          <cell r="N405">
            <v>6.5</v>
          </cell>
          <cell r="O405" t="str">
            <v>–</v>
          </cell>
          <cell r="P405" t="str">
            <v>–</v>
          </cell>
          <cell r="Q405" t="str">
            <v>–</v>
          </cell>
          <cell r="R405">
            <v>0.28499999999999998</v>
          </cell>
          <cell r="S405">
            <v>0.3125</v>
          </cell>
          <cell r="T405">
            <v>0.1875</v>
          </cell>
          <cell r="U405">
            <v>0.46500000000000002</v>
          </cell>
          <cell r="V405">
            <v>0.4375</v>
          </cell>
          <cell r="W405">
            <v>0.46500000000000002</v>
          </cell>
        </row>
        <row r="406">
          <cell r="B406" t="str">
            <v>WT4X12</v>
          </cell>
          <cell r="C406" t="str">
            <v>WT4X12</v>
          </cell>
          <cell r="D406" t="str">
            <v>F</v>
          </cell>
          <cell r="E406">
            <v>12</v>
          </cell>
          <cell r="F406">
            <v>3.54</v>
          </cell>
          <cell r="G406" t="str">
            <v>WT4X12</v>
          </cell>
          <cell r="H406">
            <v>3.97</v>
          </cell>
          <cell r="I406">
            <v>4</v>
          </cell>
          <cell r="J406" t="str">
            <v>–</v>
          </cell>
          <cell r="K406" t="str">
            <v>–</v>
          </cell>
          <cell r="L406" t="str">
            <v>–</v>
          </cell>
          <cell r="M406">
            <v>6.5</v>
          </cell>
          <cell r="N406">
            <v>6.5</v>
          </cell>
          <cell r="O406" t="str">
            <v>–</v>
          </cell>
          <cell r="P406" t="str">
            <v>–</v>
          </cell>
          <cell r="Q406" t="str">
            <v>–</v>
          </cell>
          <cell r="R406">
            <v>0.245</v>
          </cell>
          <cell r="S406">
            <v>0.25</v>
          </cell>
          <cell r="T406">
            <v>0.125</v>
          </cell>
          <cell r="U406">
            <v>0.4</v>
          </cell>
          <cell r="V406">
            <v>0.375</v>
          </cell>
          <cell r="W406">
            <v>0.4</v>
          </cell>
        </row>
        <row r="407">
          <cell r="B407" t="str">
            <v>WT4X10.5</v>
          </cell>
          <cell r="C407" t="str">
            <v>WT4X10.5</v>
          </cell>
          <cell r="D407" t="str">
            <v>F</v>
          </cell>
          <cell r="E407">
            <v>10.5</v>
          </cell>
          <cell r="F407">
            <v>3.08</v>
          </cell>
          <cell r="G407" t="str">
            <v>WT4X10.5</v>
          </cell>
          <cell r="H407">
            <v>4.1399999999999997</v>
          </cell>
          <cell r="I407">
            <v>4.125</v>
          </cell>
          <cell r="J407" t="str">
            <v>–</v>
          </cell>
          <cell r="K407" t="str">
            <v>–</v>
          </cell>
          <cell r="L407" t="str">
            <v>–</v>
          </cell>
          <cell r="M407">
            <v>5.27</v>
          </cell>
          <cell r="N407">
            <v>5.25</v>
          </cell>
          <cell r="O407" t="str">
            <v>–</v>
          </cell>
          <cell r="P407" t="str">
            <v>–</v>
          </cell>
          <cell r="Q407" t="str">
            <v>–</v>
          </cell>
          <cell r="R407">
            <v>0.25</v>
          </cell>
          <cell r="S407">
            <v>0.25</v>
          </cell>
          <cell r="T407">
            <v>0.125</v>
          </cell>
          <cell r="U407">
            <v>0.4</v>
          </cell>
          <cell r="V407">
            <v>0.375</v>
          </cell>
          <cell r="W407">
            <v>0.4</v>
          </cell>
        </row>
        <row r="408">
          <cell r="B408" t="str">
            <v>WT4X9</v>
          </cell>
          <cell r="C408" t="str">
            <v>WT4X9</v>
          </cell>
          <cell r="D408" t="str">
            <v>F</v>
          </cell>
          <cell r="E408">
            <v>9</v>
          </cell>
          <cell r="F408">
            <v>2.63</v>
          </cell>
          <cell r="G408" t="str">
            <v>WT4X9</v>
          </cell>
          <cell r="H408">
            <v>4.07</v>
          </cell>
          <cell r="I408">
            <v>4.125</v>
          </cell>
          <cell r="J408" t="str">
            <v>–</v>
          </cell>
          <cell r="K408" t="str">
            <v>–</v>
          </cell>
          <cell r="L408" t="str">
            <v>–</v>
          </cell>
          <cell r="M408">
            <v>5.25</v>
          </cell>
          <cell r="N408">
            <v>5.25</v>
          </cell>
          <cell r="O408" t="str">
            <v>–</v>
          </cell>
          <cell r="P408" t="str">
            <v>–</v>
          </cell>
          <cell r="Q408" t="str">
            <v>–</v>
          </cell>
          <cell r="R408">
            <v>0.23</v>
          </cell>
          <cell r="S408">
            <v>0.25</v>
          </cell>
          <cell r="T408">
            <v>0.125</v>
          </cell>
          <cell r="U408">
            <v>0.33</v>
          </cell>
          <cell r="V408">
            <v>0.3125</v>
          </cell>
          <cell r="W408">
            <v>0.33</v>
          </cell>
        </row>
        <row r="409">
          <cell r="B409" t="str">
            <v>WT4X7.5</v>
          </cell>
          <cell r="C409" t="str">
            <v>WT4X7.5</v>
          </cell>
          <cell r="D409" t="str">
            <v>F</v>
          </cell>
          <cell r="E409">
            <v>7.5</v>
          </cell>
          <cell r="F409">
            <v>2.2200000000000002</v>
          </cell>
          <cell r="G409" t="str">
            <v>WT4X7.5</v>
          </cell>
          <cell r="H409">
            <v>4.0599999999999996</v>
          </cell>
          <cell r="I409">
            <v>4</v>
          </cell>
          <cell r="J409" t="str">
            <v>–</v>
          </cell>
          <cell r="K409" t="str">
            <v>–</v>
          </cell>
          <cell r="L409" t="str">
            <v>–</v>
          </cell>
          <cell r="M409">
            <v>4.0199999999999996</v>
          </cell>
          <cell r="N409">
            <v>4</v>
          </cell>
          <cell r="O409" t="str">
            <v>–</v>
          </cell>
          <cell r="P409" t="str">
            <v>–</v>
          </cell>
          <cell r="Q409" t="str">
            <v>–</v>
          </cell>
          <cell r="R409">
            <v>0.245</v>
          </cell>
          <cell r="S409">
            <v>0.25</v>
          </cell>
          <cell r="T409">
            <v>0.125</v>
          </cell>
          <cell r="U409">
            <v>0.315</v>
          </cell>
          <cell r="V409">
            <v>0.3125</v>
          </cell>
          <cell r="W409">
            <v>0.315</v>
          </cell>
        </row>
        <row r="410">
          <cell r="B410" t="str">
            <v>WT4X6.5</v>
          </cell>
          <cell r="C410" t="str">
            <v>WT4X6.5</v>
          </cell>
          <cell r="D410" t="str">
            <v>F</v>
          </cell>
          <cell r="E410">
            <v>6.5</v>
          </cell>
          <cell r="F410">
            <v>1.92</v>
          </cell>
          <cell r="G410" t="str">
            <v>WT4X6.5</v>
          </cell>
          <cell r="H410">
            <v>4</v>
          </cell>
          <cell r="I410">
            <v>4</v>
          </cell>
          <cell r="J410" t="str">
            <v>–</v>
          </cell>
          <cell r="K410" t="str">
            <v>–</v>
          </cell>
          <cell r="L410" t="str">
            <v>–</v>
          </cell>
          <cell r="M410">
            <v>4</v>
          </cell>
          <cell r="N410">
            <v>4</v>
          </cell>
          <cell r="O410" t="str">
            <v>–</v>
          </cell>
          <cell r="P410" t="str">
            <v>–</v>
          </cell>
          <cell r="Q410" t="str">
            <v>–</v>
          </cell>
          <cell r="R410">
            <v>0.23</v>
          </cell>
          <cell r="S410">
            <v>0.25</v>
          </cell>
          <cell r="T410">
            <v>0.125</v>
          </cell>
          <cell r="U410">
            <v>0.255</v>
          </cell>
          <cell r="V410">
            <v>0.25</v>
          </cell>
          <cell r="W410">
            <v>0.255</v>
          </cell>
        </row>
        <row r="411">
          <cell r="B411" t="str">
            <v>WT4X5</v>
          </cell>
          <cell r="C411" t="str">
            <v>WT4X5</v>
          </cell>
          <cell r="D411" t="str">
            <v>F</v>
          </cell>
          <cell r="E411">
            <v>5</v>
          </cell>
          <cell r="F411">
            <v>1.48</v>
          </cell>
          <cell r="G411" t="str">
            <v>WT4X5</v>
          </cell>
          <cell r="H411">
            <v>3.95</v>
          </cell>
          <cell r="I411">
            <v>4</v>
          </cell>
          <cell r="J411" t="str">
            <v>–</v>
          </cell>
          <cell r="K411" t="str">
            <v>–</v>
          </cell>
          <cell r="L411" t="str">
            <v>–</v>
          </cell>
          <cell r="M411">
            <v>3.94</v>
          </cell>
          <cell r="N411">
            <v>4</v>
          </cell>
          <cell r="O411" t="str">
            <v>–</v>
          </cell>
          <cell r="P411" t="str">
            <v>–</v>
          </cell>
          <cell r="Q411" t="str">
            <v>–</v>
          </cell>
          <cell r="R411">
            <v>0.17</v>
          </cell>
          <cell r="S411">
            <v>0.1875</v>
          </cell>
          <cell r="T411">
            <v>0.125</v>
          </cell>
          <cell r="U411">
            <v>0.20499999999999999</v>
          </cell>
          <cell r="V411">
            <v>0.1875</v>
          </cell>
          <cell r="W411">
            <v>0.20499999999999999</v>
          </cell>
        </row>
        <row r="412">
          <cell r="B412" t="str">
            <v>WT3X12.5</v>
          </cell>
          <cell r="C412" t="str">
            <v>WT3X12.5</v>
          </cell>
          <cell r="D412" t="str">
            <v>F</v>
          </cell>
          <cell r="E412">
            <v>12.5</v>
          </cell>
          <cell r="F412">
            <v>3.67</v>
          </cell>
          <cell r="G412" t="str">
            <v>WT3X12.5</v>
          </cell>
          <cell r="H412">
            <v>3.19</v>
          </cell>
          <cell r="I412">
            <v>3.25</v>
          </cell>
          <cell r="J412" t="str">
            <v>–</v>
          </cell>
          <cell r="K412" t="str">
            <v>–</v>
          </cell>
          <cell r="L412" t="str">
            <v>–</v>
          </cell>
          <cell r="M412">
            <v>6.08</v>
          </cell>
          <cell r="N412">
            <v>6.125</v>
          </cell>
          <cell r="O412" t="str">
            <v>–</v>
          </cell>
          <cell r="P412" t="str">
            <v>–</v>
          </cell>
          <cell r="Q412" t="str">
            <v>–</v>
          </cell>
          <cell r="R412">
            <v>0.32</v>
          </cell>
          <cell r="S412">
            <v>0.3125</v>
          </cell>
          <cell r="T412">
            <v>0.1875</v>
          </cell>
          <cell r="U412">
            <v>0.45500000000000002</v>
          </cell>
          <cell r="V412">
            <v>0.4375</v>
          </cell>
          <cell r="W412">
            <v>0.45500000000000002</v>
          </cell>
        </row>
        <row r="413">
          <cell r="B413" t="str">
            <v>WT3X10</v>
          </cell>
          <cell r="C413" t="str">
            <v>WT3X10</v>
          </cell>
          <cell r="D413" t="str">
            <v>F</v>
          </cell>
          <cell r="E413">
            <v>10</v>
          </cell>
          <cell r="F413">
            <v>2.94</v>
          </cell>
          <cell r="G413" t="str">
            <v>WT3X10</v>
          </cell>
          <cell r="H413">
            <v>3.1</v>
          </cell>
          <cell r="I413">
            <v>3.125</v>
          </cell>
          <cell r="J413" t="str">
            <v>–</v>
          </cell>
          <cell r="K413" t="str">
            <v>–</v>
          </cell>
          <cell r="L413" t="str">
            <v>–</v>
          </cell>
          <cell r="M413">
            <v>6.02</v>
          </cell>
          <cell r="N413">
            <v>6</v>
          </cell>
          <cell r="O413" t="str">
            <v>–</v>
          </cell>
          <cell r="P413" t="str">
            <v>–</v>
          </cell>
          <cell r="Q413" t="str">
            <v>–</v>
          </cell>
          <cell r="R413">
            <v>0.26</v>
          </cell>
          <cell r="S413">
            <v>0.25</v>
          </cell>
          <cell r="T413">
            <v>0.125</v>
          </cell>
          <cell r="U413">
            <v>0.36499999999999999</v>
          </cell>
          <cell r="V413">
            <v>0.375</v>
          </cell>
          <cell r="W413">
            <v>0.36499999999999999</v>
          </cell>
        </row>
        <row r="414">
          <cell r="B414" t="str">
            <v>WT3X7.5</v>
          </cell>
          <cell r="C414" t="str">
            <v>WT3X7.5</v>
          </cell>
          <cell r="D414" t="str">
            <v>F</v>
          </cell>
          <cell r="E414">
            <v>7.5</v>
          </cell>
          <cell r="F414">
            <v>2.21</v>
          </cell>
          <cell r="G414" t="str">
            <v>WT3X7.5</v>
          </cell>
          <cell r="H414">
            <v>3</v>
          </cell>
          <cell r="I414">
            <v>3</v>
          </cell>
          <cell r="J414" t="str">
            <v>–</v>
          </cell>
          <cell r="K414" t="str">
            <v>–</v>
          </cell>
          <cell r="L414" t="str">
            <v>–</v>
          </cell>
          <cell r="M414">
            <v>5.99</v>
          </cell>
          <cell r="N414">
            <v>6</v>
          </cell>
          <cell r="O414" t="str">
            <v>–</v>
          </cell>
          <cell r="P414" t="str">
            <v>–</v>
          </cell>
          <cell r="Q414" t="str">
            <v>–</v>
          </cell>
          <cell r="R414">
            <v>0.23</v>
          </cell>
          <cell r="S414">
            <v>0.25</v>
          </cell>
          <cell r="T414">
            <v>0.125</v>
          </cell>
          <cell r="U414">
            <v>0.26</v>
          </cell>
          <cell r="V414">
            <v>0.25</v>
          </cell>
          <cell r="W414">
            <v>0.26</v>
          </cell>
        </row>
        <row r="415">
          <cell r="B415" t="str">
            <v>WT3X8</v>
          </cell>
          <cell r="C415" t="str">
            <v>WT3X8</v>
          </cell>
          <cell r="D415" t="str">
            <v>F</v>
          </cell>
          <cell r="E415">
            <v>8</v>
          </cell>
          <cell r="F415">
            <v>2.37</v>
          </cell>
          <cell r="G415" t="str">
            <v>WT3X8</v>
          </cell>
          <cell r="H415">
            <v>3.14</v>
          </cell>
          <cell r="I415">
            <v>3.125</v>
          </cell>
          <cell r="J415" t="str">
            <v>–</v>
          </cell>
          <cell r="K415" t="str">
            <v>–</v>
          </cell>
          <cell r="L415" t="str">
            <v>–</v>
          </cell>
          <cell r="M415">
            <v>4.03</v>
          </cell>
          <cell r="N415">
            <v>4</v>
          </cell>
          <cell r="O415" t="str">
            <v>–</v>
          </cell>
          <cell r="P415" t="str">
            <v>–</v>
          </cell>
          <cell r="Q415" t="str">
            <v>–</v>
          </cell>
          <cell r="R415">
            <v>0.26</v>
          </cell>
          <cell r="S415">
            <v>0.25</v>
          </cell>
          <cell r="T415">
            <v>0.125</v>
          </cell>
          <cell r="U415">
            <v>0.40500000000000003</v>
          </cell>
          <cell r="V415">
            <v>0.375</v>
          </cell>
          <cell r="W415">
            <v>0.40500000000000003</v>
          </cell>
        </row>
        <row r="416">
          <cell r="B416" t="str">
            <v>WT3X6</v>
          </cell>
          <cell r="C416" t="str">
            <v>WT3X6</v>
          </cell>
          <cell r="D416" t="str">
            <v>F</v>
          </cell>
          <cell r="E416">
            <v>6</v>
          </cell>
          <cell r="F416">
            <v>1.78</v>
          </cell>
          <cell r="G416" t="str">
            <v>WT3X6</v>
          </cell>
          <cell r="H416">
            <v>3.02</v>
          </cell>
          <cell r="I416">
            <v>3</v>
          </cell>
          <cell r="J416" t="str">
            <v>–</v>
          </cell>
          <cell r="K416" t="str">
            <v>–</v>
          </cell>
          <cell r="L416" t="str">
            <v>–</v>
          </cell>
          <cell r="M416">
            <v>4</v>
          </cell>
          <cell r="N416">
            <v>4</v>
          </cell>
          <cell r="O416" t="str">
            <v>–</v>
          </cell>
          <cell r="P416" t="str">
            <v>–</v>
          </cell>
          <cell r="Q416" t="str">
            <v>–</v>
          </cell>
          <cell r="R416">
            <v>0.23</v>
          </cell>
          <cell r="S416">
            <v>0.25</v>
          </cell>
          <cell r="T416">
            <v>0.125</v>
          </cell>
          <cell r="U416">
            <v>0.28000000000000003</v>
          </cell>
          <cell r="V416">
            <v>0.25</v>
          </cell>
          <cell r="W416">
            <v>0.28000000000000003</v>
          </cell>
        </row>
        <row r="417">
          <cell r="B417" t="str">
            <v>WT3X4.5</v>
          </cell>
          <cell r="C417" t="str">
            <v>WT3X4.5</v>
          </cell>
          <cell r="D417" t="str">
            <v>F</v>
          </cell>
          <cell r="E417">
            <v>4.5</v>
          </cell>
          <cell r="F417">
            <v>1.34</v>
          </cell>
          <cell r="G417" t="str">
            <v>WT3X4.5</v>
          </cell>
          <cell r="H417">
            <v>2.95</v>
          </cell>
          <cell r="I417">
            <v>3</v>
          </cell>
          <cell r="J417" t="str">
            <v>–</v>
          </cell>
          <cell r="K417" t="str">
            <v>–</v>
          </cell>
          <cell r="L417" t="str">
            <v>–</v>
          </cell>
          <cell r="M417">
            <v>3.94</v>
          </cell>
          <cell r="N417">
            <v>4</v>
          </cell>
          <cell r="O417" t="str">
            <v>–</v>
          </cell>
          <cell r="P417" t="str">
            <v>–</v>
          </cell>
          <cell r="Q417" t="str">
            <v>–</v>
          </cell>
          <cell r="R417">
            <v>0.17</v>
          </cell>
          <cell r="S417">
            <v>0.1875</v>
          </cell>
          <cell r="T417">
            <v>0.125</v>
          </cell>
          <cell r="U417">
            <v>0.215</v>
          </cell>
          <cell r="V417">
            <v>0.1875</v>
          </cell>
          <cell r="W417">
            <v>0.215</v>
          </cell>
        </row>
        <row r="418">
          <cell r="B418" t="str">
            <v>WT3X4.25</v>
          </cell>
          <cell r="C418" t="str">
            <v>WT3X4.25</v>
          </cell>
          <cell r="D418" t="str">
            <v>F</v>
          </cell>
          <cell r="E418">
            <v>4.25</v>
          </cell>
          <cell r="F418">
            <v>1.26</v>
          </cell>
          <cell r="G418" t="str">
            <v>WT3X4.25</v>
          </cell>
          <cell r="H418">
            <v>2.92</v>
          </cell>
          <cell r="I418">
            <v>2.875</v>
          </cell>
          <cell r="J418" t="str">
            <v>–</v>
          </cell>
          <cell r="K418" t="str">
            <v>–</v>
          </cell>
          <cell r="L418" t="str">
            <v>–</v>
          </cell>
          <cell r="M418">
            <v>3.94</v>
          </cell>
          <cell r="N418">
            <v>4</v>
          </cell>
          <cell r="O418" t="str">
            <v>–</v>
          </cell>
          <cell r="P418" t="str">
            <v>–</v>
          </cell>
          <cell r="Q418" t="str">
            <v>–</v>
          </cell>
          <cell r="R418">
            <v>0.17</v>
          </cell>
          <cell r="S418">
            <v>0.1875</v>
          </cell>
          <cell r="T418">
            <v>0.125</v>
          </cell>
          <cell r="U418">
            <v>0.19500000000000001</v>
          </cell>
          <cell r="V418">
            <v>0.1875</v>
          </cell>
          <cell r="W418">
            <v>0.19500000000000001</v>
          </cell>
        </row>
        <row r="419">
          <cell r="B419" t="str">
            <v>WT2.5X9.5</v>
          </cell>
          <cell r="C419" t="str">
            <v>WT2.5X9.5</v>
          </cell>
          <cell r="D419" t="str">
            <v>F</v>
          </cell>
          <cell r="E419">
            <v>9.5</v>
          </cell>
          <cell r="F419">
            <v>2.78</v>
          </cell>
          <cell r="G419" t="str">
            <v>WT2.5X9.5</v>
          </cell>
          <cell r="H419">
            <v>2.58</v>
          </cell>
          <cell r="I419">
            <v>2.625</v>
          </cell>
          <cell r="J419" t="str">
            <v>–</v>
          </cell>
          <cell r="K419" t="str">
            <v>–</v>
          </cell>
          <cell r="L419" t="str">
            <v>–</v>
          </cell>
          <cell r="M419">
            <v>5.03</v>
          </cell>
          <cell r="N419">
            <v>5</v>
          </cell>
          <cell r="O419" t="str">
            <v>–</v>
          </cell>
          <cell r="P419" t="str">
            <v>–</v>
          </cell>
          <cell r="Q419" t="str">
            <v>–</v>
          </cell>
          <cell r="R419">
            <v>0.27</v>
          </cell>
          <cell r="S419">
            <v>0.25</v>
          </cell>
          <cell r="T419">
            <v>0.125</v>
          </cell>
          <cell r="U419">
            <v>0.43</v>
          </cell>
          <cell r="V419">
            <v>0.4375</v>
          </cell>
          <cell r="W419">
            <v>0.43</v>
          </cell>
        </row>
        <row r="420">
          <cell r="B420" t="str">
            <v>WT2.5X8</v>
          </cell>
          <cell r="C420" t="str">
            <v>WT2.5X8</v>
          </cell>
          <cell r="D420" t="str">
            <v>F</v>
          </cell>
          <cell r="E420">
            <v>8</v>
          </cell>
          <cell r="F420">
            <v>2.35</v>
          </cell>
          <cell r="G420" t="str">
            <v>WT2.5X8</v>
          </cell>
          <cell r="H420">
            <v>2.5099999999999998</v>
          </cell>
          <cell r="I420">
            <v>2.5</v>
          </cell>
          <cell r="J420" t="str">
            <v>–</v>
          </cell>
          <cell r="K420" t="str">
            <v>–</v>
          </cell>
          <cell r="L420" t="str">
            <v>–</v>
          </cell>
          <cell r="M420">
            <v>5</v>
          </cell>
          <cell r="N420">
            <v>5</v>
          </cell>
          <cell r="O420" t="str">
            <v>–</v>
          </cell>
          <cell r="P420" t="str">
            <v>–</v>
          </cell>
          <cell r="Q420" t="str">
            <v>–</v>
          </cell>
          <cell r="R420">
            <v>0.24</v>
          </cell>
          <cell r="S420">
            <v>0.25</v>
          </cell>
          <cell r="T420">
            <v>0.125</v>
          </cell>
          <cell r="U420">
            <v>0.36</v>
          </cell>
          <cell r="V420">
            <v>0.375</v>
          </cell>
          <cell r="W420">
            <v>0.36</v>
          </cell>
        </row>
        <row r="421">
          <cell r="B421" t="str">
            <v>WT2X6.5</v>
          </cell>
          <cell r="C421" t="str">
            <v>WT2X6.5</v>
          </cell>
          <cell r="D421" t="str">
            <v>F</v>
          </cell>
          <cell r="E421">
            <v>6.5</v>
          </cell>
          <cell r="F421">
            <v>1.91</v>
          </cell>
          <cell r="G421" t="str">
            <v>WT2X6.5</v>
          </cell>
          <cell r="H421">
            <v>2.08</v>
          </cell>
          <cell r="I421">
            <v>2.125</v>
          </cell>
          <cell r="J421" t="str">
            <v>–</v>
          </cell>
          <cell r="K421" t="str">
            <v>–</v>
          </cell>
          <cell r="L421" t="str">
            <v>–</v>
          </cell>
          <cell r="M421">
            <v>4.0599999999999996</v>
          </cell>
          <cell r="N421">
            <v>4</v>
          </cell>
          <cell r="O421" t="str">
            <v>–</v>
          </cell>
          <cell r="P421" t="str">
            <v>–</v>
          </cell>
          <cell r="Q421" t="str">
            <v>–</v>
          </cell>
          <cell r="R421">
            <v>0.28000000000000003</v>
          </cell>
          <cell r="S421">
            <v>0.25</v>
          </cell>
          <cell r="T421">
            <v>0.125</v>
          </cell>
          <cell r="U421">
            <v>0.34499999999999997</v>
          </cell>
          <cell r="V421">
            <v>0.375</v>
          </cell>
          <cell r="W421">
            <v>0.34499999999999997</v>
          </cell>
        </row>
        <row r="422">
          <cell r="B422" t="str">
            <v>MT6.25X6.2</v>
          </cell>
          <cell r="C422" t="str">
            <v>MT6.25X6.2</v>
          </cell>
          <cell r="D422" t="str">
            <v>F</v>
          </cell>
          <cell r="E422">
            <v>6.2</v>
          </cell>
          <cell r="F422">
            <v>1.82</v>
          </cell>
          <cell r="G422" t="str">
            <v>MT6.25X6.2</v>
          </cell>
          <cell r="H422">
            <v>6.27</v>
          </cell>
          <cell r="I422">
            <v>6.25</v>
          </cell>
          <cell r="J422" t="str">
            <v>–</v>
          </cell>
          <cell r="K422" t="str">
            <v>–</v>
          </cell>
          <cell r="L422" t="str">
            <v>–</v>
          </cell>
          <cell r="M422">
            <v>3.75</v>
          </cell>
          <cell r="N422">
            <v>3.75</v>
          </cell>
          <cell r="O422" t="str">
            <v>–</v>
          </cell>
          <cell r="P422" t="str">
            <v>–</v>
          </cell>
          <cell r="Q422" t="str">
            <v>–</v>
          </cell>
          <cell r="R422">
            <v>0.155</v>
          </cell>
          <cell r="S422">
            <v>0.125</v>
          </cell>
          <cell r="T422">
            <v>6.25E-2</v>
          </cell>
          <cell r="U422">
            <v>0.22800000000000001</v>
          </cell>
          <cell r="V422">
            <v>0.25</v>
          </cell>
          <cell r="W422">
            <v>0.22800000000000001</v>
          </cell>
        </row>
        <row r="423">
          <cell r="B423" t="str">
            <v>MT6.25X5.8</v>
          </cell>
          <cell r="C423" t="str">
            <v>MT6.25X5.8</v>
          </cell>
          <cell r="D423" t="str">
            <v>F</v>
          </cell>
          <cell r="E423">
            <v>5.8</v>
          </cell>
          <cell r="F423">
            <v>1.7</v>
          </cell>
          <cell r="G423" t="str">
            <v>MT6.25X5.8</v>
          </cell>
          <cell r="H423">
            <v>6.25</v>
          </cell>
          <cell r="I423">
            <v>6.25</v>
          </cell>
          <cell r="J423" t="str">
            <v>–</v>
          </cell>
          <cell r="K423" t="str">
            <v>–</v>
          </cell>
          <cell r="L423" t="str">
            <v>–</v>
          </cell>
          <cell r="M423">
            <v>3.5</v>
          </cell>
          <cell r="N423">
            <v>3.5</v>
          </cell>
          <cell r="O423" t="str">
            <v>–</v>
          </cell>
          <cell r="P423" t="str">
            <v>–</v>
          </cell>
          <cell r="Q423" t="str">
            <v>–</v>
          </cell>
          <cell r="R423">
            <v>0.155</v>
          </cell>
          <cell r="S423">
            <v>0.125</v>
          </cell>
          <cell r="T423">
            <v>6.25E-2</v>
          </cell>
          <cell r="U423">
            <v>0.21099999999999999</v>
          </cell>
          <cell r="V423">
            <v>0.1875</v>
          </cell>
          <cell r="W423">
            <v>0.21099999999999999</v>
          </cell>
        </row>
        <row r="424">
          <cell r="B424" t="str">
            <v>MT6X5.9</v>
          </cell>
          <cell r="C424" t="str">
            <v>MT6X5.9</v>
          </cell>
          <cell r="D424" t="str">
            <v>F</v>
          </cell>
          <cell r="E424">
            <v>5.9</v>
          </cell>
          <cell r="F424">
            <v>1.74</v>
          </cell>
          <cell r="G424" t="str">
            <v>MT6X5.9</v>
          </cell>
          <cell r="H424">
            <v>6</v>
          </cell>
          <cell r="I424">
            <v>6</v>
          </cell>
          <cell r="J424" t="str">
            <v>–</v>
          </cell>
          <cell r="K424" t="str">
            <v>–</v>
          </cell>
          <cell r="L424" t="str">
            <v>–</v>
          </cell>
          <cell r="M424">
            <v>3.07</v>
          </cell>
          <cell r="N424">
            <v>3.125</v>
          </cell>
          <cell r="O424" t="str">
            <v>–</v>
          </cell>
          <cell r="P424" t="str">
            <v>–</v>
          </cell>
          <cell r="Q424" t="str">
            <v>–</v>
          </cell>
          <cell r="R424">
            <v>0.17699999999999999</v>
          </cell>
          <cell r="S424">
            <v>0.1875</v>
          </cell>
          <cell r="T424">
            <v>0.125</v>
          </cell>
          <cell r="U424">
            <v>0.22500000000000001</v>
          </cell>
          <cell r="V424">
            <v>0.25</v>
          </cell>
          <cell r="W424">
            <v>0.22500000000000001</v>
          </cell>
        </row>
        <row r="425">
          <cell r="B425" t="str">
            <v>MT6X5.4</v>
          </cell>
          <cell r="C425" t="str">
            <v>MT6X5.4</v>
          </cell>
          <cell r="D425" t="str">
            <v>F</v>
          </cell>
          <cell r="E425">
            <v>5.4</v>
          </cell>
          <cell r="F425">
            <v>1.59</v>
          </cell>
          <cell r="G425" t="str">
            <v>MT6X5.4</v>
          </cell>
          <cell r="H425">
            <v>5.99</v>
          </cell>
          <cell r="I425">
            <v>6</v>
          </cell>
          <cell r="J425" t="str">
            <v>–</v>
          </cell>
          <cell r="K425" t="str">
            <v>–</v>
          </cell>
          <cell r="L425" t="str">
            <v>–</v>
          </cell>
          <cell r="M425">
            <v>3.07</v>
          </cell>
          <cell r="N425">
            <v>3.125</v>
          </cell>
          <cell r="O425" t="str">
            <v>–</v>
          </cell>
          <cell r="P425" t="str">
            <v>–</v>
          </cell>
          <cell r="Q425" t="str">
            <v>–</v>
          </cell>
          <cell r="R425">
            <v>0.16</v>
          </cell>
          <cell r="S425">
            <v>0.1875</v>
          </cell>
          <cell r="T425">
            <v>0.125</v>
          </cell>
          <cell r="U425">
            <v>0.21</v>
          </cell>
          <cell r="V425">
            <v>0.1875</v>
          </cell>
          <cell r="W425">
            <v>0.21</v>
          </cell>
        </row>
        <row r="426">
          <cell r="B426" t="str">
            <v>MT6X5</v>
          </cell>
          <cell r="C426" t="str">
            <v>MT6X5</v>
          </cell>
          <cell r="D426" t="str">
            <v>F</v>
          </cell>
          <cell r="E426">
            <v>5</v>
          </cell>
          <cell r="F426">
            <v>1.48</v>
          </cell>
          <cell r="G426" t="str">
            <v>MT6X5</v>
          </cell>
          <cell r="H426">
            <v>5.99</v>
          </cell>
          <cell r="I426">
            <v>6</v>
          </cell>
          <cell r="J426" t="str">
            <v>–</v>
          </cell>
          <cell r="K426" t="str">
            <v>–</v>
          </cell>
          <cell r="L426" t="str">
            <v>–</v>
          </cell>
          <cell r="M426">
            <v>3.25</v>
          </cell>
          <cell r="N426">
            <v>3.25</v>
          </cell>
          <cell r="O426" t="str">
            <v>–</v>
          </cell>
          <cell r="P426" t="str">
            <v>–</v>
          </cell>
          <cell r="Q426" t="str">
            <v>–</v>
          </cell>
          <cell r="R426">
            <v>0.14899999999999999</v>
          </cell>
          <cell r="S426">
            <v>0.125</v>
          </cell>
          <cell r="T426">
            <v>6.25E-2</v>
          </cell>
          <cell r="U426">
            <v>0.18</v>
          </cell>
          <cell r="V426">
            <v>0.1875</v>
          </cell>
          <cell r="W426">
            <v>0.18</v>
          </cell>
        </row>
        <row r="427">
          <cell r="B427" t="str">
            <v>MT5X4.5</v>
          </cell>
          <cell r="C427" t="str">
            <v>MT5X4.5</v>
          </cell>
          <cell r="D427" t="str">
            <v>F</v>
          </cell>
          <cell r="E427">
            <v>4.5</v>
          </cell>
          <cell r="F427">
            <v>1.33</v>
          </cell>
          <cell r="G427" t="str">
            <v>MT5X4.5</v>
          </cell>
          <cell r="H427">
            <v>5</v>
          </cell>
          <cell r="I427">
            <v>5</v>
          </cell>
          <cell r="J427" t="str">
            <v>–</v>
          </cell>
          <cell r="K427" t="str">
            <v>–</v>
          </cell>
          <cell r="L427" t="str">
            <v>–</v>
          </cell>
          <cell r="M427">
            <v>2.69</v>
          </cell>
          <cell r="N427">
            <v>2.75</v>
          </cell>
          <cell r="O427" t="str">
            <v>–</v>
          </cell>
          <cell r="P427" t="str">
            <v>–</v>
          </cell>
          <cell r="Q427" t="str">
            <v>–</v>
          </cell>
          <cell r="R427">
            <v>0.157</v>
          </cell>
          <cell r="S427">
            <v>0.1875</v>
          </cell>
          <cell r="T427">
            <v>0.125</v>
          </cell>
          <cell r="U427">
            <v>0.20599999999999999</v>
          </cell>
          <cell r="V427">
            <v>0.1875</v>
          </cell>
          <cell r="W427">
            <v>0.20599999999999999</v>
          </cell>
        </row>
        <row r="428">
          <cell r="B428" t="str">
            <v>MT5X4</v>
          </cell>
          <cell r="C428" t="str">
            <v>MT5X4</v>
          </cell>
          <cell r="D428" t="str">
            <v>F</v>
          </cell>
          <cell r="E428">
            <v>4</v>
          </cell>
          <cell r="F428">
            <v>1.19</v>
          </cell>
          <cell r="G428" t="str">
            <v>MT5X4</v>
          </cell>
          <cell r="H428">
            <v>4.9800000000000004</v>
          </cell>
          <cell r="I428">
            <v>5</v>
          </cell>
          <cell r="J428" t="str">
            <v>–</v>
          </cell>
          <cell r="K428" t="str">
            <v>–</v>
          </cell>
          <cell r="L428" t="str">
            <v>–</v>
          </cell>
          <cell r="M428">
            <v>2.69</v>
          </cell>
          <cell r="N428">
            <v>2.75</v>
          </cell>
          <cell r="O428" t="str">
            <v>–</v>
          </cell>
          <cell r="P428" t="str">
            <v>–</v>
          </cell>
          <cell r="Q428" t="str">
            <v>–</v>
          </cell>
          <cell r="R428">
            <v>0.14099999999999999</v>
          </cell>
          <cell r="S428">
            <v>0.125</v>
          </cell>
          <cell r="T428">
            <v>6.25E-2</v>
          </cell>
          <cell r="U428">
            <v>0.182</v>
          </cell>
          <cell r="V428">
            <v>0.1875</v>
          </cell>
          <cell r="W428">
            <v>0.182</v>
          </cell>
        </row>
        <row r="429">
          <cell r="B429" t="str">
            <v>MT5X3.75</v>
          </cell>
          <cell r="C429" t="str">
            <v>MT5X3.75</v>
          </cell>
          <cell r="D429" t="str">
            <v>F</v>
          </cell>
          <cell r="E429">
            <v>3.75</v>
          </cell>
          <cell r="F429">
            <v>1.1100000000000001</v>
          </cell>
          <cell r="G429" t="str">
            <v>MT5X3.75</v>
          </cell>
          <cell r="H429">
            <v>5</v>
          </cell>
          <cell r="I429">
            <v>5</v>
          </cell>
          <cell r="J429" t="str">
            <v>–</v>
          </cell>
          <cell r="K429" t="str">
            <v>–</v>
          </cell>
          <cell r="L429" t="str">
            <v>–</v>
          </cell>
          <cell r="M429">
            <v>2.69</v>
          </cell>
          <cell r="N429">
            <v>2.75</v>
          </cell>
          <cell r="O429" t="str">
            <v>–</v>
          </cell>
          <cell r="P429" t="str">
            <v>–</v>
          </cell>
          <cell r="Q429" t="str">
            <v>–</v>
          </cell>
          <cell r="R429">
            <v>0.13</v>
          </cell>
          <cell r="S429">
            <v>0.125</v>
          </cell>
          <cell r="T429">
            <v>6.25E-2</v>
          </cell>
          <cell r="U429">
            <v>0.17299999999999999</v>
          </cell>
          <cell r="V429">
            <v>0.1875</v>
          </cell>
          <cell r="W429">
            <v>0.17299999999999999</v>
          </cell>
        </row>
        <row r="430">
          <cell r="B430" t="str">
            <v>MT4X3.25</v>
          </cell>
          <cell r="C430" t="str">
            <v>MT4X3.25</v>
          </cell>
          <cell r="D430" t="str">
            <v>F</v>
          </cell>
          <cell r="E430">
            <v>3.25</v>
          </cell>
          <cell r="F430">
            <v>0.95899999999999996</v>
          </cell>
          <cell r="G430" t="str">
            <v>MT4X3.25</v>
          </cell>
          <cell r="H430">
            <v>4</v>
          </cell>
          <cell r="I430">
            <v>4</v>
          </cell>
          <cell r="J430" t="str">
            <v>–</v>
          </cell>
          <cell r="K430" t="str">
            <v>–</v>
          </cell>
          <cell r="L430" t="str">
            <v>–</v>
          </cell>
          <cell r="M430">
            <v>2.2799999999999998</v>
          </cell>
          <cell r="N430">
            <v>2.25</v>
          </cell>
          <cell r="O430" t="str">
            <v>–</v>
          </cell>
          <cell r="P430" t="str">
            <v>–</v>
          </cell>
          <cell r="Q430" t="str">
            <v>–</v>
          </cell>
          <cell r="R430">
            <v>0.13500000000000001</v>
          </cell>
          <cell r="S430">
            <v>0.125</v>
          </cell>
          <cell r="T430">
            <v>6.25E-2</v>
          </cell>
          <cell r="U430">
            <v>0.189</v>
          </cell>
          <cell r="V430">
            <v>0.1875</v>
          </cell>
          <cell r="W430">
            <v>0.189</v>
          </cell>
        </row>
        <row r="431">
          <cell r="B431" t="str">
            <v>MT4X3.1</v>
          </cell>
          <cell r="C431" t="str">
            <v>MT4X3.1</v>
          </cell>
          <cell r="D431" t="str">
            <v>F</v>
          </cell>
          <cell r="E431">
            <v>3.1</v>
          </cell>
          <cell r="F431">
            <v>0.91100000000000003</v>
          </cell>
          <cell r="G431" t="str">
            <v>MT4X3.1</v>
          </cell>
          <cell r="H431">
            <v>4</v>
          </cell>
          <cell r="I431">
            <v>4</v>
          </cell>
          <cell r="J431" t="str">
            <v>–</v>
          </cell>
          <cell r="K431" t="str">
            <v>–</v>
          </cell>
          <cell r="L431" t="str">
            <v>–</v>
          </cell>
          <cell r="M431">
            <v>2.2799999999999998</v>
          </cell>
          <cell r="N431">
            <v>2.25</v>
          </cell>
          <cell r="O431" t="str">
            <v>–</v>
          </cell>
          <cell r="P431" t="str">
            <v>–</v>
          </cell>
          <cell r="Q431" t="str">
            <v>–</v>
          </cell>
          <cell r="R431">
            <v>0.129</v>
          </cell>
          <cell r="S431">
            <v>0.125</v>
          </cell>
          <cell r="T431">
            <v>6.25E-2</v>
          </cell>
          <cell r="U431">
            <v>0.17699999999999999</v>
          </cell>
          <cell r="V431">
            <v>0.1875</v>
          </cell>
          <cell r="W431">
            <v>0.17699999999999999</v>
          </cell>
        </row>
        <row r="432">
          <cell r="B432" t="str">
            <v>MT3X2.2</v>
          </cell>
          <cell r="C432" t="str">
            <v>MT3X2.2</v>
          </cell>
          <cell r="D432" t="str">
            <v>F</v>
          </cell>
          <cell r="E432">
            <v>2.2000000000000002</v>
          </cell>
          <cell r="F432">
            <v>0.64700000000000002</v>
          </cell>
          <cell r="G432" t="str">
            <v>MT3X2.2</v>
          </cell>
          <cell r="H432">
            <v>3</v>
          </cell>
          <cell r="I432">
            <v>3</v>
          </cell>
          <cell r="J432" t="str">
            <v>–</v>
          </cell>
          <cell r="K432" t="str">
            <v>–</v>
          </cell>
          <cell r="L432" t="str">
            <v>–</v>
          </cell>
          <cell r="M432">
            <v>1.84</v>
          </cell>
          <cell r="N432">
            <v>1.875</v>
          </cell>
          <cell r="O432" t="str">
            <v>–</v>
          </cell>
          <cell r="P432" t="str">
            <v>–</v>
          </cell>
          <cell r="Q432" t="str">
            <v>–</v>
          </cell>
          <cell r="R432">
            <v>0.114</v>
          </cell>
          <cell r="S432">
            <v>0.125</v>
          </cell>
          <cell r="T432">
            <v>6.25E-2</v>
          </cell>
          <cell r="U432">
            <v>0.17100000000000001</v>
          </cell>
          <cell r="V432">
            <v>0.1875</v>
          </cell>
          <cell r="W432">
            <v>0.17100000000000001</v>
          </cell>
        </row>
        <row r="433">
          <cell r="B433" t="str">
            <v>MT3X1.85</v>
          </cell>
          <cell r="C433" t="str">
            <v>MT3X1.85</v>
          </cell>
          <cell r="D433" t="str">
            <v>F</v>
          </cell>
          <cell r="E433">
            <v>1.85</v>
          </cell>
          <cell r="F433">
            <v>0.54500000000000004</v>
          </cell>
          <cell r="G433" t="str">
            <v>MT3X1.85</v>
          </cell>
          <cell r="H433">
            <v>2.96</v>
          </cell>
          <cell r="I433">
            <v>3</v>
          </cell>
          <cell r="J433" t="str">
            <v>–</v>
          </cell>
          <cell r="K433" t="str">
            <v>–</v>
          </cell>
          <cell r="L433" t="str">
            <v>–</v>
          </cell>
          <cell r="M433">
            <v>2</v>
          </cell>
          <cell r="N433">
            <v>2</v>
          </cell>
          <cell r="O433" t="str">
            <v>–</v>
          </cell>
          <cell r="P433" t="str">
            <v>–</v>
          </cell>
          <cell r="Q433" t="str">
            <v>–</v>
          </cell>
          <cell r="R433">
            <v>9.8000000000000004E-2</v>
          </cell>
          <cell r="S433">
            <v>0.125</v>
          </cell>
          <cell r="T433">
            <v>6.25E-2</v>
          </cell>
          <cell r="U433">
            <v>0.129</v>
          </cell>
          <cell r="V433">
            <v>0.125</v>
          </cell>
          <cell r="W433">
            <v>0.129</v>
          </cell>
        </row>
        <row r="434">
          <cell r="B434" t="str">
            <v>MT2.5X9.45</v>
          </cell>
          <cell r="C434" t="str">
            <v>MT2.5X9.45</v>
          </cell>
          <cell r="D434" t="str">
            <v>T</v>
          </cell>
          <cell r="E434">
            <v>9.4499999999999993</v>
          </cell>
          <cell r="F434">
            <v>2.78</v>
          </cell>
          <cell r="G434" t="str">
            <v>MT2.5X9.45</v>
          </cell>
          <cell r="H434">
            <v>2.5</v>
          </cell>
          <cell r="I434">
            <v>2.5</v>
          </cell>
          <cell r="J434" t="str">
            <v>–</v>
          </cell>
          <cell r="K434" t="str">
            <v>–</v>
          </cell>
          <cell r="L434" t="str">
            <v>–</v>
          </cell>
          <cell r="M434">
            <v>5</v>
          </cell>
          <cell r="N434">
            <v>5</v>
          </cell>
          <cell r="O434" t="str">
            <v>–</v>
          </cell>
          <cell r="P434" t="str">
            <v>–</v>
          </cell>
          <cell r="Q434" t="str">
            <v>–</v>
          </cell>
          <cell r="R434">
            <v>0.316</v>
          </cell>
          <cell r="S434">
            <v>0.3125</v>
          </cell>
          <cell r="T434">
            <v>0.1875</v>
          </cell>
          <cell r="U434">
            <v>0.41599999999999998</v>
          </cell>
          <cell r="V434">
            <v>0.4375</v>
          </cell>
          <cell r="W434">
            <v>0.41599999999999998</v>
          </cell>
        </row>
        <row r="435">
          <cell r="B435" t="str">
            <v>MT2X3</v>
          </cell>
          <cell r="C435" t="str">
            <v>MT2X3</v>
          </cell>
          <cell r="D435" t="str">
            <v>F</v>
          </cell>
          <cell r="E435">
            <v>3</v>
          </cell>
          <cell r="F435">
            <v>0.875</v>
          </cell>
          <cell r="G435" t="str">
            <v>MT2X3</v>
          </cell>
          <cell r="H435">
            <v>1.9</v>
          </cell>
          <cell r="I435">
            <v>1.875</v>
          </cell>
          <cell r="J435" t="str">
            <v>–</v>
          </cell>
          <cell r="K435" t="str">
            <v>–</v>
          </cell>
          <cell r="L435" t="str">
            <v>–</v>
          </cell>
          <cell r="M435">
            <v>3.8</v>
          </cell>
          <cell r="N435">
            <v>3.75</v>
          </cell>
          <cell r="O435" t="str">
            <v>–</v>
          </cell>
          <cell r="P435" t="str">
            <v>–</v>
          </cell>
          <cell r="Q435" t="str">
            <v>–</v>
          </cell>
          <cell r="R435">
            <v>0.13</v>
          </cell>
          <cell r="S435">
            <v>0.125</v>
          </cell>
          <cell r="T435">
            <v>6.25E-2</v>
          </cell>
          <cell r="U435">
            <v>0.16</v>
          </cell>
          <cell r="V435">
            <v>0.1875</v>
          </cell>
          <cell r="W435">
            <v>0.16</v>
          </cell>
        </row>
        <row r="436">
          <cell r="B436" t="str">
            <v>ST12X60.5</v>
          </cell>
          <cell r="C436" t="str">
            <v>ST12X60.5</v>
          </cell>
          <cell r="D436" t="str">
            <v>F</v>
          </cell>
          <cell r="E436">
            <v>60.5</v>
          </cell>
          <cell r="F436">
            <v>17.8</v>
          </cell>
          <cell r="G436" t="str">
            <v>ST12X60.5</v>
          </cell>
          <cell r="H436">
            <v>12.3</v>
          </cell>
          <cell r="I436">
            <v>12.25</v>
          </cell>
          <cell r="J436" t="str">
            <v>–</v>
          </cell>
          <cell r="K436" t="str">
            <v>–</v>
          </cell>
          <cell r="L436" t="str">
            <v>–</v>
          </cell>
          <cell r="M436">
            <v>8.0500000000000007</v>
          </cell>
          <cell r="N436">
            <v>8</v>
          </cell>
          <cell r="O436" t="str">
            <v>–</v>
          </cell>
          <cell r="P436" t="str">
            <v>–</v>
          </cell>
          <cell r="Q436" t="str">
            <v>–</v>
          </cell>
          <cell r="R436">
            <v>0.8</v>
          </cell>
          <cell r="S436">
            <v>0.8125</v>
          </cell>
          <cell r="T436">
            <v>0.4375</v>
          </cell>
          <cell r="U436">
            <v>1.0900000000000001</v>
          </cell>
          <cell r="V436">
            <v>1.0625</v>
          </cell>
          <cell r="W436">
            <v>1.0900000000000001</v>
          </cell>
        </row>
        <row r="437">
          <cell r="B437" t="str">
            <v>ST12X53</v>
          </cell>
          <cell r="C437" t="str">
            <v>ST12X53</v>
          </cell>
          <cell r="D437" t="str">
            <v>F</v>
          </cell>
          <cell r="E437">
            <v>53</v>
          </cell>
          <cell r="F437">
            <v>15.6</v>
          </cell>
          <cell r="G437" t="str">
            <v>ST12X53</v>
          </cell>
          <cell r="H437">
            <v>12.3</v>
          </cell>
          <cell r="I437">
            <v>12.25</v>
          </cell>
          <cell r="J437" t="str">
            <v>–</v>
          </cell>
          <cell r="K437" t="str">
            <v>–</v>
          </cell>
          <cell r="L437" t="str">
            <v>–</v>
          </cell>
          <cell r="M437">
            <v>7.87</v>
          </cell>
          <cell r="N437">
            <v>7.875</v>
          </cell>
          <cell r="O437" t="str">
            <v>–</v>
          </cell>
          <cell r="P437" t="str">
            <v>–</v>
          </cell>
          <cell r="Q437" t="str">
            <v>–</v>
          </cell>
          <cell r="R437">
            <v>0.62</v>
          </cell>
          <cell r="S437">
            <v>0.625</v>
          </cell>
          <cell r="T437">
            <v>0.3125</v>
          </cell>
          <cell r="U437">
            <v>1.0900000000000001</v>
          </cell>
          <cell r="V437">
            <v>1.0625</v>
          </cell>
          <cell r="W437">
            <v>1.0900000000000001</v>
          </cell>
        </row>
        <row r="438">
          <cell r="B438" t="str">
            <v>ST12X50</v>
          </cell>
          <cell r="C438" t="str">
            <v>ST12X50</v>
          </cell>
          <cell r="D438" t="str">
            <v>F</v>
          </cell>
          <cell r="E438">
            <v>50</v>
          </cell>
          <cell r="F438">
            <v>14.7</v>
          </cell>
          <cell r="G438" t="str">
            <v>ST12X50</v>
          </cell>
          <cell r="H438">
            <v>12</v>
          </cell>
          <cell r="I438">
            <v>12</v>
          </cell>
          <cell r="J438" t="str">
            <v>–</v>
          </cell>
          <cell r="K438" t="str">
            <v>–</v>
          </cell>
          <cell r="L438" t="str">
            <v>–</v>
          </cell>
          <cell r="M438">
            <v>7.25</v>
          </cell>
          <cell r="N438">
            <v>7.25</v>
          </cell>
          <cell r="O438" t="str">
            <v>–</v>
          </cell>
          <cell r="P438" t="str">
            <v>–</v>
          </cell>
          <cell r="Q438" t="str">
            <v>–</v>
          </cell>
          <cell r="R438">
            <v>0.745</v>
          </cell>
          <cell r="S438">
            <v>0.75</v>
          </cell>
          <cell r="T438">
            <v>0.375</v>
          </cell>
          <cell r="U438">
            <v>0.87</v>
          </cell>
          <cell r="V438">
            <v>0.875</v>
          </cell>
          <cell r="W438">
            <v>0.87</v>
          </cell>
        </row>
        <row r="439">
          <cell r="B439" t="str">
            <v>ST12X45</v>
          </cell>
          <cell r="C439" t="str">
            <v>ST12X45</v>
          </cell>
          <cell r="D439" t="str">
            <v>F</v>
          </cell>
          <cell r="E439">
            <v>45</v>
          </cell>
          <cell r="F439">
            <v>13.2</v>
          </cell>
          <cell r="G439" t="str">
            <v>ST12X45</v>
          </cell>
          <cell r="H439">
            <v>12</v>
          </cell>
          <cell r="I439">
            <v>12</v>
          </cell>
          <cell r="J439" t="str">
            <v>–</v>
          </cell>
          <cell r="K439" t="str">
            <v>–</v>
          </cell>
          <cell r="L439" t="str">
            <v>–</v>
          </cell>
          <cell r="M439">
            <v>7.13</v>
          </cell>
          <cell r="N439">
            <v>7.125</v>
          </cell>
          <cell r="O439" t="str">
            <v>–</v>
          </cell>
          <cell r="P439" t="str">
            <v>–</v>
          </cell>
          <cell r="Q439" t="str">
            <v>–</v>
          </cell>
          <cell r="R439">
            <v>0.625</v>
          </cell>
          <cell r="S439">
            <v>0.625</v>
          </cell>
          <cell r="T439">
            <v>0.3125</v>
          </cell>
          <cell r="U439">
            <v>0.87</v>
          </cell>
          <cell r="V439">
            <v>0.875</v>
          </cell>
          <cell r="W439">
            <v>0.87</v>
          </cell>
        </row>
        <row r="440">
          <cell r="B440" t="str">
            <v>ST12X40</v>
          </cell>
          <cell r="C440" t="str">
            <v>ST12X40</v>
          </cell>
          <cell r="D440" t="str">
            <v>F</v>
          </cell>
          <cell r="E440">
            <v>40</v>
          </cell>
          <cell r="F440">
            <v>11.7</v>
          </cell>
          <cell r="G440" t="str">
            <v>ST12X40</v>
          </cell>
          <cell r="H440">
            <v>12</v>
          </cell>
          <cell r="I440">
            <v>12</v>
          </cell>
          <cell r="J440" t="str">
            <v>–</v>
          </cell>
          <cell r="K440" t="str">
            <v>–</v>
          </cell>
          <cell r="L440" t="str">
            <v>–</v>
          </cell>
          <cell r="M440">
            <v>7</v>
          </cell>
          <cell r="N440">
            <v>7</v>
          </cell>
          <cell r="O440" t="str">
            <v>–</v>
          </cell>
          <cell r="P440" t="str">
            <v>–</v>
          </cell>
          <cell r="Q440" t="str">
            <v>–</v>
          </cell>
          <cell r="R440">
            <v>0.5</v>
          </cell>
          <cell r="S440">
            <v>0.5</v>
          </cell>
          <cell r="T440">
            <v>0.25</v>
          </cell>
          <cell r="U440">
            <v>0.87</v>
          </cell>
          <cell r="V440">
            <v>0.875</v>
          </cell>
          <cell r="W440">
            <v>0.87</v>
          </cell>
        </row>
        <row r="441">
          <cell r="B441" t="str">
            <v>ST10X48</v>
          </cell>
          <cell r="C441" t="str">
            <v>ST10X48</v>
          </cell>
          <cell r="D441" t="str">
            <v>F</v>
          </cell>
          <cell r="E441">
            <v>48</v>
          </cell>
          <cell r="F441">
            <v>14.1</v>
          </cell>
          <cell r="G441" t="str">
            <v>ST10X48</v>
          </cell>
          <cell r="H441">
            <v>10.199999999999999</v>
          </cell>
          <cell r="I441">
            <v>10.125</v>
          </cell>
          <cell r="J441" t="str">
            <v>–</v>
          </cell>
          <cell r="K441" t="str">
            <v>–</v>
          </cell>
          <cell r="L441" t="str">
            <v>–</v>
          </cell>
          <cell r="M441">
            <v>7.2</v>
          </cell>
          <cell r="N441">
            <v>7.25</v>
          </cell>
          <cell r="O441" t="str">
            <v>–</v>
          </cell>
          <cell r="P441" t="str">
            <v>–</v>
          </cell>
          <cell r="Q441" t="str">
            <v>–</v>
          </cell>
          <cell r="R441">
            <v>0.8</v>
          </cell>
          <cell r="S441">
            <v>0.8125</v>
          </cell>
          <cell r="T441">
            <v>0.4375</v>
          </cell>
          <cell r="U441">
            <v>0.92</v>
          </cell>
          <cell r="V441">
            <v>0.9375</v>
          </cell>
          <cell r="W441">
            <v>0.92</v>
          </cell>
        </row>
        <row r="442">
          <cell r="B442" t="str">
            <v>ST10X43</v>
          </cell>
          <cell r="C442" t="str">
            <v>ST10X43</v>
          </cell>
          <cell r="D442" t="str">
            <v>F</v>
          </cell>
          <cell r="E442">
            <v>43</v>
          </cell>
          <cell r="F442">
            <v>12.7</v>
          </cell>
          <cell r="G442" t="str">
            <v>ST10X43</v>
          </cell>
          <cell r="H442">
            <v>10.199999999999999</v>
          </cell>
          <cell r="I442">
            <v>10.125</v>
          </cell>
          <cell r="J442" t="str">
            <v>–</v>
          </cell>
          <cell r="K442" t="str">
            <v>–</v>
          </cell>
          <cell r="L442" t="str">
            <v>–</v>
          </cell>
          <cell r="M442">
            <v>7.06</v>
          </cell>
          <cell r="N442">
            <v>7</v>
          </cell>
          <cell r="O442" t="str">
            <v>–</v>
          </cell>
          <cell r="P442" t="str">
            <v>–</v>
          </cell>
          <cell r="Q442" t="str">
            <v>–</v>
          </cell>
          <cell r="R442">
            <v>0.66</v>
          </cell>
          <cell r="S442">
            <v>0.6875</v>
          </cell>
          <cell r="T442">
            <v>0.375</v>
          </cell>
          <cell r="U442">
            <v>0.92</v>
          </cell>
          <cell r="V442">
            <v>0.9375</v>
          </cell>
          <cell r="W442">
            <v>0.92</v>
          </cell>
        </row>
        <row r="443">
          <cell r="B443" t="str">
            <v>ST10X37.5</v>
          </cell>
          <cell r="C443" t="str">
            <v>ST10X37.5</v>
          </cell>
          <cell r="D443" t="str">
            <v>F</v>
          </cell>
          <cell r="E443">
            <v>37.5</v>
          </cell>
          <cell r="F443">
            <v>11</v>
          </cell>
          <cell r="G443" t="str">
            <v>ST10X37.5</v>
          </cell>
          <cell r="H443">
            <v>10</v>
          </cell>
          <cell r="I443">
            <v>10</v>
          </cell>
          <cell r="J443" t="str">
            <v>–</v>
          </cell>
          <cell r="K443" t="str">
            <v>–</v>
          </cell>
          <cell r="L443" t="str">
            <v>–</v>
          </cell>
          <cell r="M443">
            <v>6.39</v>
          </cell>
          <cell r="N443">
            <v>6.375</v>
          </cell>
          <cell r="O443" t="str">
            <v>–</v>
          </cell>
          <cell r="P443" t="str">
            <v>–</v>
          </cell>
          <cell r="Q443" t="str">
            <v>–</v>
          </cell>
          <cell r="R443">
            <v>0.63500000000000001</v>
          </cell>
          <cell r="S443">
            <v>0.625</v>
          </cell>
          <cell r="T443">
            <v>0.3125</v>
          </cell>
          <cell r="U443">
            <v>0.79500000000000004</v>
          </cell>
          <cell r="V443">
            <v>0.8125</v>
          </cell>
          <cell r="W443">
            <v>0.79500000000000004</v>
          </cell>
        </row>
        <row r="444">
          <cell r="B444" t="str">
            <v>ST10X33</v>
          </cell>
          <cell r="C444" t="str">
            <v>ST10X33</v>
          </cell>
          <cell r="D444" t="str">
            <v>F</v>
          </cell>
          <cell r="E444">
            <v>33</v>
          </cell>
          <cell r="F444">
            <v>9.6999999999999993</v>
          </cell>
          <cell r="G444" t="str">
            <v>ST10X33</v>
          </cell>
          <cell r="H444">
            <v>10</v>
          </cell>
          <cell r="I444">
            <v>10</v>
          </cell>
          <cell r="J444" t="str">
            <v>–</v>
          </cell>
          <cell r="K444" t="str">
            <v>–</v>
          </cell>
          <cell r="L444" t="str">
            <v>–</v>
          </cell>
          <cell r="M444">
            <v>6.26</v>
          </cell>
          <cell r="N444">
            <v>6.25</v>
          </cell>
          <cell r="O444" t="str">
            <v>–</v>
          </cell>
          <cell r="P444" t="str">
            <v>–</v>
          </cell>
          <cell r="Q444" t="str">
            <v>–</v>
          </cell>
          <cell r="R444">
            <v>0.505</v>
          </cell>
          <cell r="S444">
            <v>0.5</v>
          </cell>
          <cell r="T444">
            <v>0.25</v>
          </cell>
          <cell r="U444">
            <v>0.79500000000000004</v>
          </cell>
          <cell r="V444">
            <v>0.8125</v>
          </cell>
          <cell r="W444">
            <v>0.79500000000000004</v>
          </cell>
        </row>
        <row r="445">
          <cell r="B445" t="str">
            <v>ST9X35</v>
          </cell>
          <cell r="C445" t="str">
            <v>ST9X35</v>
          </cell>
          <cell r="D445" t="str">
            <v>F</v>
          </cell>
          <cell r="E445">
            <v>35</v>
          </cell>
          <cell r="F445">
            <v>10.3</v>
          </cell>
          <cell r="G445" t="str">
            <v>ST9X35</v>
          </cell>
          <cell r="H445">
            <v>9</v>
          </cell>
          <cell r="I445">
            <v>9</v>
          </cell>
          <cell r="J445" t="str">
            <v>–</v>
          </cell>
          <cell r="K445" t="str">
            <v>–</v>
          </cell>
          <cell r="L445" t="str">
            <v>–</v>
          </cell>
          <cell r="M445">
            <v>6.25</v>
          </cell>
          <cell r="N445">
            <v>6.25</v>
          </cell>
          <cell r="O445" t="str">
            <v>–</v>
          </cell>
          <cell r="P445" t="str">
            <v>–</v>
          </cell>
          <cell r="Q445" t="str">
            <v>–</v>
          </cell>
          <cell r="R445">
            <v>0.71099999999999997</v>
          </cell>
          <cell r="S445">
            <v>0.6875</v>
          </cell>
          <cell r="T445">
            <v>0.375</v>
          </cell>
          <cell r="U445">
            <v>0.69099999999999995</v>
          </cell>
          <cell r="V445">
            <v>0.6875</v>
          </cell>
          <cell r="W445">
            <v>0.69099999999999995</v>
          </cell>
        </row>
        <row r="446">
          <cell r="B446" t="str">
            <v>ST9X27.35</v>
          </cell>
          <cell r="C446" t="str">
            <v>ST9X27.35</v>
          </cell>
          <cell r="D446" t="str">
            <v>F</v>
          </cell>
          <cell r="E446">
            <v>27.35</v>
          </cell>
          <cell r="F446">
            <v>8.02</v>
          </cell>
          <cell r="G446" t="str">
            <v>ST9X27.35</v>
          </cell>
          <cell r="H446">
            <v>9</v>
          </cell>
          <cell r="I446">
            <v>9</v>
          </cell>
          <cell r="J446" t="str">
            <v>–</v>
          </cell>
          <cell r="K446" t="str">
            <v>–</v>
          </cell>
          <cell r="L446" t="str">
            <v>–</v>
          </cell>
          <cell r="M446">
            <v>6</v>
          </cell>
          <cell r="N446">
            <v>6</v>
          </cell>
          <cell r="O446" t="str">
            <v>–</v>
          </cell>
          <cell r="P446" t="str">
            <v>–</v>
          </cell>
          <cell r="Q446" t="str">
            <v>–</v>
          </cell>
          <cell r="R446">
            <v>0.46100000000000002</v>
          </cell>
          <cell r="S446">
            <v>0.4375</v>
          </cell>
          <cell r="T446">
            <v>0.25</v>
          </cell>
          <cell r="U446">
            <v>0.69099999999999995</v>
          </cell>
          <cell r="V446">
            <v>0.6875</v>
          </cell>
          <cell r="W446">
            <v>0.69099999999999995</v>
          </cell>
        </row>
        <row r="447">
          <cell r="B447" t="str">
            <v>ST7.5X25</v>
          </cell>
          <cell r="C447" t="str">
            <v>ST7.5X25</v>
          </cell>
          <cell r="D447" t="str">
            <v>F</v>
          </cell>
          <cell r="E447">
            <v>25</v>
          </cell>
          <cell r="F447">
            <v>7.34</v>
          </cell>
          <cell r="G447" t="str">
            <v>ST7.5X25</v>
          </cell>
          <cell r="H447">
            <v>7.5</v>
          </cell>
          <cell r="I447">
            <v>7.5</v>
          </cell>
          <cell r="J447" t="str">
            <v>–</v>
          </cell>
          <cell r="K447" t="str">
            <v>–</v>
          </cell>
          <cell r="L447" t="str">
            <v>–</v>
          </cell>
          <cell r="M447">
            <v>5.64</v>
          </cell>
          <cell r="N447">
            <v>5.625</v>
          </cell>
          <cell r="O447" t="str">
            <v>–</v>
          </cell>
          <cell r="P447" t="str">
            <v>–</v>
          </cell>
          <cell r="Q447" t="str">
            <v>–</v>
          </cell>
          <cell r="R447">
            <v>0.55000000000000004</v>
          </cell>
          <cell r="S447">
            <v>0.5625</v>
          </cell>
          <cell r="T447">
            <v>0.3125</v>
          </cell>
          <cell r="U447">
            <v>0.622</v>
          </cell>
          <cell r="V447">
            <v>0.625</v>
          </cell>
          <cell r="W447">
            <v>0.622</v>
          </cell>
        </row>
        <row r="448">
          <cell r="B448" t="str">
            <v>ST7.5X21.45</v>
          </cell>
          <cell r="C448" t="str">
            <v>ST7.5X21.45</v>
          </cell>
          <cell r="D448" t="str">
            <v>F</v>
          </cell>
          <cell r="E448">
            <v>21.45</v>
          </cell>
          <cell r="F448">
            <v>6.3</v>
          </cell>
          <cell r="G448" t="str">
            <v>ST7.5X21.45</v>
          </cell>
          <cell r="H448">
            <v>7.5</v>
          </cell>
          <cell r="I448">
            <v>7.5</v>
          </cell>
          <cell r="J448" t="str">
            <v>–</v>
          </cell>
          <cell r="K448" t="str">
            <v>–</v>
          </cell>
          <cell r="L448" t="str">
            <v>–</v>
          </cell>
          <cell r="M448">
            <v>5.5</v>
          </cell>
          <cell r="N448">
            <v>5.5</v>
          </cell>
          <cell r="O448" t="str">
            <v>–</v>
          </cell>
          <cell r="P448" t="str">
            <v>–</v>
          </cell>
          <cell r="Q448" t="str">
            <v>–</v>
          </cell>
          <cell r="R448">
            <v>0.41099999999999998</v>
          </cell>
          <cell r="S448">
            <v>0.4375</v>
          </cell>
          <cell r="T448">
            <v>0.25</v>
          </cell>
          <cell r="U448">
            <v>0.622</v>
          </cell>
          <cell r="V448">
            <v>0.625</v>
          </cell>
          <cell r="W448">
            <v>0.622</v>
          </cell>
        </row>
        <row r="449">
          <cell r="B449" t="str">
            <v>ST6X25</v>
          </cell>
          <cell r="C449" t="str">
            <v>ST6X25</v>
          </cell>
          <cell r="D449" t="str">
            <v>F</v>
          </cell>
          <cell r="E449">
            <v>25</v>
          </cell>
          <cell r="F449">
            <v>7.33</v>
          </cell>
          <cell r="G449" t="str">
            <v>ST6X25</v>
          </cell>
          <cell r="H449">
            <v>6</v>
          </cell>
          <cell r="I449">
            <v>6</v>
          </cell>
          <cell r="J449" t="str">
            <v>–</v>
          </cell>
          <cell r="K449" t="str">
            <v>–</v>
          </cell>
          <cell r="L449" t="str">
            <v>–</v>
          </cell>
          <cell r="M449">
            <v>5.48</v>
          </cell>
          <cell r="N449">
            <v>5.5</v>
          </cell>
          <cell r="O449" t="str">
            <v>–</v>
          </cell>
          <cell r="P449" t="str">
            <v>–</v>
          </cell>
          <cell r="Q449" t="str">
            <v>–</v>
          </cell>
          <cell r="R449">
            <v>0.68700000000000006</v>
          </cell>
          <cell r="S449">
            <v>0.6875</v>
          </cell>
          <cell r="T449">
            <v>0.375</v>
          </cell>
          <cell r="U449">
            <v>0.65900000000000003</v>
          </cell>
          <cell r="V449">
            <v>0.6875</v>
          </cell>
          <cell r="W449">
            <v>0.65900000000000003</v>
          </cell>
        </row>
        <row r="450">
          <cell r="B450" t="str">
            <v>ST6X20.4</v>
          </cell>
          <cell r="C450" t="str">
            <v>ST6X20.4</v>
          </cell>
          <cell r="D450" t="str">
            <v>F</v>
          </cell>
          <cell r="E450">
            <v>20.399999999999999</v>
          </cell>
          <cell r="F450">
            <v>5.96</v>
          </cell>
          <cell r="G450" t="str">
            <v>ST6X20.4</v>
          </cell>
          <cell r="H450">
            <v>6</v>
          </cell>
          <cell r="I450">
            <v>6</v>
          </cell>
          <cell r="J450" t="str">
            <v>–</v>
          </cell>
          <cell r="K450" t="str">
            <v>–</v>
          </cell>
          <cell r="L450" t="str">
            <v>–</v>
          </cell>
          <cell r="M450">
            <v>5.25</v>
          </cell>
          <cell r="N450">
            <v>5.25</v>
          </cell>
          <cell r="O450" t="str">
            <v>–</v>
          </cell>
          <cell r="P450" t="str">
            <v>–</v>
          </cell>
          <cell r="Q450" t="str">
            <v>–</v>
          </cell>
          <cell r="R450">
            <v>0.46200000000000002</v>
          </cell>
          <cell r="S450">
            <v>0.4375</v>
          </cell>
          <cell r="T450">
            <v>0.25</v>
          </cell>
          <cell r="U450">
            <v>0.65900000000000003</v>
          </cell>
          <cell r="V450">
            <v>0.6875</v>
          </cell>
          <cell r="W450">
            <v>0.65900000000000003</v>
          </cell>
        </row>
        <row r="451">
          <cell r="B451" t="str">
            <v>ST6X17.5</v>
          </cell>
          <cell r="C451" t="str">
            <v>ST6X17.5</v>
          </cell>
          <cell r="D451" t="str">
            <v>F</v>
          </cell>
          <cell r="E451">
            <v>17.5</v>
          </cell>
          <cell r="F451">
            <v>5.12</v>
          </cell>
          <cell r="G451" t="str">
            <v>ST6X17.5</v>
          </cell>
          <cell r="H451">
            <v>6</v>
          </cell>
          <cell r="I451">
            <v>6</v>
          </cell>
          <cell r="J451" t="str">
            <v>–</v>
          </cell>
          <cell r="K451" t="str">
            <v>–</v>
          </cell>
          <cell r="L451" t="str">
            <v>–</v>
          </cell>
          <cell r="M451">
            <v>5.08</v>
          </cell>
          <cell r="N451">
            <v>5.125</v>
          </cell>
          <cell r="O451" t="str">
            <v>–</v>
          </cell>
          <cell r="P451" t="str">
            <v>–</v>
          </cell>
          <cell r="Q451" t="str">
            <v>–</v>
          </cell>
          <cell r="R451">
            <v>0.42799999999999999</v>
          </cell>
          <cell r="S451">
            <v>0.4375</v>
          </cell>
          <cell r="T451">
            <v>0.25</v>
          </cell>
          <cell r="U451">
            <v>0.54400000000000004</v>
          </cell>
          <cell r="V451">
            <v>0.5625</v>
          </cell>
          <cell r="W451">
            <v>0.54400000000000004</v>
          </cell>
        </row>
        <row r="452">
          <cell r="B452" t="str">
            <v>ST6X15.9</v>
          </cell>
          <cell r="C452" t="str">
            <v>ST6X15.9</v>
          </cell>
          <cell r="D452" t="str">
            <v>F</v>
          </cell>
          <cell r="E452">
            <v>15.9</v>
          </cell>
          <cell r="F452">
            <v>4.6500000000000004</v>
          </cell>
          <cell r="G452" t="str">
            <v>ST6X15.9</v>
          </cell>
          <cell r="H452">
            <v>6</v>
          </cell>
          <cell r="I452">
            <v>6</v>
          </cell>
          <cell r="J452" t="str">
            <v>–</v>
          </cell>
          <cell r="K452" t="str">
            <v>–</v>
          </cell>
          <cell r="L452" t="str">
            <v>–</v>
          </cell>
          <cell r="M452">
            <v>5</v>
          </cell>
          <cell r="N452">
            <v>5</v>
          </cell>
          <cell r="O452" t="str">
            <v>–</v>
          </cell>
          <cell r="P452" t="str">
            <v>–</v>
          </cell>
          <cell r="Q452" t="str">
            <v>–</v>
          </cell>
          <cell r="R452">
            <v>0.35</v>
          </cell>
          <cell r="S452">
            <v>0.375</v>
          </cell>
          <cell r="T452">
            <v>0.1875</v>
          </cell>
          <cell r="U452">
            <v>0.54400000000000004</v>
          </cell>
          <cell r="V452">
            <v>0.5625</v>
          </cell>
          <cell r="W452">
            <v>0.54400000000000004</v>
          </cell>
        </row>
        <row r="453">
          <cell r="B453" t="str">
            <v>ST5X17.5</v>
          </cell>
          <cell r="C453" t="str">
            <v>ST5X17.5</v>
          </cell>
          <cell r="D453" t="str">
            <v>F</v>
          </cell>
          <cell r="E453">
            <v>17.5</v>
          </cell>
          <cell r="F453">
            <v>5.14</v>
          </cell>
          <cell r="G453" t="str">
            <v>ST5X17.5</v>
          </cell>
          <cell r="H453">
            <v>5</v>
          </cell>
          <cell r="I453">
            <v>5</v>
          </cell>
          <cell r="J453" t="str">
            <v>–</v>
          </cell>
          <cell r="K453" t="str">
            <v>–</v>
          </cell>
          <cell r="L453" t="str">
            <v>–</v>
          </cell>
          <cell r="M453">
            <v>4.9400000000000004</v>
          </cell>
          <cell r="N453">
            <v>5</v>
          </cell>
          <cell r="O453" t="str">
            <v>–</v>
          </cell>
          <cell r="P453" t="str">
            <v>–</v>
          </cell>
          <cell r="Q453" t="str">
            <v>–</v>
          </cell>
          <cell r="R453">
            <v>0.59399999999999997</v>
          </cell>
          <cell r="S453">
            <v>0.625</v>
          </cell>
          <cell r="T453">
            <v>0.3125</v>
          </cell>
          <cell r="U453">
            <v>0.49099999999999999</v>
          </cell>
          <cell r="V453">
            <v>0.5</v>
          </cell>
          <cell r="W453">
            <v>0.49099999999999999</v>
          </cell>
        </row>
        <row r="454">
          <cell r="B454" t="str">
            <v>ST5X12.7</v>
          </cell>
          <cell r="C454" t="str">
            <v>ST5X12.7</v>
          </cell>
          <cell r="D454" t="str">
            <v>F</v>
          </cell>
          <cell r="E454">
            <v>12.7</v>
          </cell>
          <cell r="F454">
            <v>3.72</v>
          </cell>
          <cell r="G454" t="str">
            <v>ST5X12.7</v>
          </cell>
          <cell r="H454">
            <v>5</v>
          </cell>
          <cell r="I454">
            <v>5</v>
          </cell>
          <cell r="J454" t="str">
            <v>–</v>
          </cell>
          <cell r="K454" t="str">
            <v>–</v>
          </cell>
          <cell r="L454" t="str">
            <v>–</v>
          </cell>
          <cell r="M454">
            <v>4.66</v>
          </cell>
          <cell r="N454">
            <v>4.625</v>
          </cell>
          <cell r="O454" t="str">
            <v>–</v>
          </cell>
          <cell r="P454" t="str">
            <v>–</v>
          </cell>
          <cell r="Q454" t="str">
            <v>–</v>
          </cell>
          <cell r="R454">
            <v>0.311</v>
          </cell>
          <cell r="S454">
            <v>0.3125</v>
          </cell>
          <cell r="T454">
            <v>0.1875</v>
          </cell>
          <cell r="U454">
            <v>0.49099999999999999</v>
          </cell>
          <cell r="V454">
            <v>0.5</v>
          </cell>
          <cell r="W454">
            <v>0.49099999999999999</v>
          </cell>
        </row>
        <row r="455">
          <cell r="B455" t="str">
            <v>ST4X11.5</v>
          </cell>
          <cell r="C455" t="str">
            <v>ST4X11.5</v>
          </cell>
          <cell r="D455" t="str">
            <v>F</v>
          </cell>
          <cell r="E455">
            <v>11.5</v>
          </cell>
          <cell r="F455">
            <v>3.38</v>
          </cell>
          <cell r="G455" t="str">
            <v>ST4X11.5</v>
          </cell>
          <cell r="H455">
            <v>4</v>
          </cell>
          <cell r="I455">
            <v>4</v>
          </cell>
          <cell r="J455" t="str">
            <v>–</v>
          </cell>
          <cell r="K455" t="str">
            <v>–</v>
          </cell>
          <cell r="L455" t="str">
            <v>–</v>
          </cell>
          <cell r="M455">
            <v>4.17</v>
          </cell>
          <cell r="N455">
            <v>4.125</v>
          </cell>
          <cell r="O455" t="str">
            <v>–</v>
          </cell>
          <cell r="P455" t="str">
            <v>–</v>
          </cell>
          <cell r="Q455" t="str">
            <v>–</v>
          </cell>
          <cell r="R455">
            <v>0.441</v>
          </cell>
          <cell r="S455">
            <v>0.4375</v>
          </cell>
          <cell r="T455">
            <v>0.25</v>
          </cell>
          <cell r="U455">
            <v>0.42499999999999999</v>
          </cell>
          <cell r="V455">
            <v>0.4375</v>
          </cell>
          <cell r="W455">
            <v>0.42499999999999999</v>
          </cell>
        </row>
        <row r="456">
          <cell r="B456" t="str">
            <v>ST4X9.2</v>
          </cell>
          <cell r="C456" t="str">
            <v>ST4X9.2</v>
          </cell>
          <cell r="D456" t="str">
            <v>F</v>
          </cell>
          <cell r="E456">
            <v>9.1999999999999993</v>
          </cell>
          <cell r="F456">
            <v>2.7</v>
          </cell>
          <cell r="G456" t="str">
            <v>ST4X9.2</v>
          </cell>
          <cell r="H456">
            <v>4</v>
          </cell>
          <cell r="I456">
            <v>4</v>
          </cell>
          <cell r="J456" t="str">
            <v>–</v>
          </cell>
          <cell r="K456" t="str">
            <v>–</v>
          </cell>
          <cell r="L456" t="str">
            <v>–</v>
          </cell>
          <cell r="M456">
            <v>4</v>
          </cell>
          <cell r="N456">
            <v>4</v>
          </cell>
          <cell r="O456" t="str">
            <v>–</v>
          </cell>
          <cell r="P456" t="str">
            <v>–</v>
          </cell>
          <cell r="Q456" t="str">
            <v>–</v>
          </cell>
          <cell r="R456">
            <v>0.27100000000000002</v>
          </cell>
          <cell r="S456">
            <v>0.25</v>
          </cell>
          <cell r="T456">
            <v>0.125</v>
          </cell>
          <cell r="U456">
            <v>0.42499999999999999</v>
          </cell>
          <cell r="V456">
            <v>0.4375</v>
          </cell>
          <cell r="W456">
            <v>0.42499999999999999</v>
          </cell>
        </row>
        <row r="457">
          <cell r="B457" t="str">
            <v>ST3X8.6</v>
          </cell>
          <cell r="C457" t="str">
            <v>ST3X8.6</v>
          </cell>
          <cell r="D457" t="str">
            <v>F</v>
          </cell>
          <cell r="E457">
            <v>8.6</v>
          </cell>
          <cell r="F457">
            <v>2.5299999999999998</v>
          </cell>
          <cell r="G457" t="str">
            <v>ST3X8.6</v>
          </cell>
          <cell r="H457">
            <v>3</v>
          </cell>
          <cell r="I457">
            <v>3</v>
          </cell>
          <cell r="J457" t="str">
            <v>–</v>
          </cell>
          <cell r="K457" t="str">
            <v>–</v>
          </cell>
          <cell r="L457" t="str">
            <v>–</v>
          </cell>
          <cell r="M457">
            <v>3.57</v>
          </cell>
          <cell r="N457">
            <v>3.625</v>
          </cell>
          <cell r="O457" t="str">
            <v>–</v>
          </cell>
          <cell r="P457" t="str">
            <v>–</v>
          </cell>
          <cell r="Q457" t="str">
            <v>–</v>
          </cell>
          <cell r="R457">
            <v>0.46500000000000002</v>
          </cell>
          <cell r="S457">
            <v>0.4375</v>
          </cell>
          <cell r="T457">
            <v>0.25</v>
          </cell>
          <cell r="U457">
            <v>0.35899999999999999</v>
          </cell>
          <cell r="V457">
            <v>0.375</v>
          </cell>
          <cell r="W457">
            <v>0.35899999999999999</v>
          </cell>
        </row>
        <row r="458">
          <cell r="B458" t="str">
            <v>ST3X6.25</v>
          </cell>
          <cell r="C458" t="str">
            <v>ST3X6.25</v>
          </cell>
          <cell r="D458" t="str">
            <v>F</v>
          </cell>
          <cell r="E458">
            <v>6.25</v>
          </cell>
          <cell r="F458">
            <v>1.83</v>
          </cell>
          <cell r="G458" t="str">
            <v>ST3X6.25</v>
          </cell>
          <cell r="H458">
            <v>3</v>
          </cell>
          <cell r="I458">
            <v>3</v>
          </cell>
          <cell r="J458" t="str">
            <v>–</v>
          </cell>
          <cell r="K458" t="str">
            <v>–</v>
          </cell>
          <cell r="L458" t="str">
            <v>–</v>
          </cell>
          <cell r="M458">
            <v>3.33</v>
          </cell>
          <cell r="N458">
            <v>3.375</v>
          </cell>
          <cell r="O458" t="str">
            <v>–</v>
          </cell>
          <cell r="P458" t="str">
            <v>–</v>
          </cell>
          <cell r="Q458" t="str">
            <v>–</v>
          </cell>
          <cell r="R458">
            <v>0.23200000000000001</v>
          </cell>
          <cell r="S458">
            <v>0.25</v>
          </cell>
          <cell r="T458">
            <v>0.125</v>
          </cell>
          <cell r="U458">
            <v>0.35899999999999999</v>
          </cell>
          <cell r="V458">
            <v>0.375</v>
          </cell>
          <cell r="W458">
            <v>0.35899999999999999</v>
          </cell>
        </row>
        <row r="459">
          <cell r="B459" t="str">
            <v>ST2.5X5</v>
          </cell>
          <cell r="C459" t="str">
            <v>ST2.5X5</v>
          </cell>
          <cell r="D459" t="str">
            <v>F</v>
          </cell>
          <cell r="E459">
            <v>5</v>
          </cell>
          <cell r="F459">
            <v>1.46</v>
          </cell>
          <cell r="G459" t="str">
            <v>ST2.5X5</v>
          </cell>
          <cell r="H459">
            <v>2.5</v>
          </cell>
          <cell r="I459">
            <v>2.5</v>
          </cell>
          <cell r="J459" t="str">
            <v>–</v>
          </cell>
          <cell r="K459" t="str">
            <v>–</v>
          </cell>
          <cell r="L459" t="str">
            <v>–</v>
          </cell>
          <cell r="M459">
            <v>3</v>
          </cell>
          <cell r="N459">
            <v>3</v>
          </cell>
          <cell r="O459" t="str">
            <v>–</v>
          </cell>
          <cell r="P459" t="str">
            <v>–</v>
          </cell>
          <cell r="Q459" t="str">
            <v>–</v>
          </cell>
          <cell r="R459">
            <v>0.214</v>
          </cell>
          <cell r="S459">
            <v>0.1875</v>
          </cell>
          <cell r="T459">
            <v>0.125</v>
          </cell>
          <cell r="U459">
            <v>0.32600000000000001</v>
          </cell>
          <cell r="V459">
            <v>0.3125</v>
          </cell>
          <cell r="W459">
            <v>0.32600000000000001</v>
          </cell>
        </row>
        <row r="460">
          <cell r="B460" t="str">
            <v>ST2X4.75</v>
          </cell>
          <cell r="C460" t="str">
            <v>ST2X4.75</v>
          </cell>
          <cell r="D460" t="str">
            <v>F</v>
          </cell>
          <cell r="E460">
            <v>4.75</v>
          </cell>
          <cell r="F460">
            <v>1.4</v>
          </cell>
          <cell r="G460" t="str">
            <v>ST2X4.75</v>
          </cell>
          <cell r="H460">
            <v>2</v>
          </cell>
          <cell r="I460">
            <v>2</v>
          </cell>
          <cell r="J460" t="str">
            <v>–</v>
          </cell>
          <cell r="K460" t="str">
            <v>–</v>
          </cell>
          <cell r="L460" t="str">
            <v>–</v>
          </cell>
          <cell r="M460">
            <v>2.8</v>
          </cell>
          <cell r="N460">
            <v>2.75</v>
          </cell>
          <cell r="O460" t="str">
            <v>–</v>
          </cell>
          <cell r="P460" t="str">
            <v>–</v>
          </cell>
          <cell r="Q460" t="str">
            <v>–</v>
          </cell>
          <cell r="R460">
            <v>0.32600000000000001</v>
          </cell>
          <cell r="S460">
            <v>0.3125</v>
          </cell>
          <cell r="T460">
            <v>0.1875</v>
          </cell>
          <cell r="U460">
            <v>0.29299999999999998</v>
          </cell>
          <cell r="V460">
            <v>0.3125</v>
          </cell>
          <cell r="W460">
            <v>0.29299999999999998</v>
          </cell>
        </row>
        <row r="461">
          <cell r="B461" t="str">
            <v>ST2X3.85</v>
          </cell>
          <cell r="C461" t="str">
            <v>ST2X3.85</v>
          </cell>
          <cell r="D461" t="str">
            <v>F</v>
          </cell>
          <cell r="E461">
            <v>3.85</v>
          </cell>
          <cell r="F461">
            <v>1.1299999999999999</v>
          </cell>
          <cell r="G461" t="str">
            <v>ST2X3.85</v>
          </cell>
          <cell r="H461">
            <v>2</v>
          </cell>
          <cell r="I461">
            <v>2</v>
          </cell>
          <cell r="J461" t="str">
            <v>–</v>
          </cell>
          <cell r="K461" t="str">
            <v>–</v>
          </cell>
          <cell r="L461" t="str">
            <v>–</v>
          </cell>
          <cell r="M461">
            <v>2.66</v>
          </cell>
          <cell r="N461">
            <v>2.625</v>
          </cell>
          <cell r="O461" t="str">
            <v>–</v>
          </cell>
          <cell r="P461" t="str">
            <v>–</v>
          </cell>
          <cell r="Q461" t="str">
            <v>–</v>
          </cell>
          <cell r="R461">
            <v>0.193</v>
          </cell>
          <cell r="S461">
            <v>0.1875</v>
          </cell>
          <cell r="T461">
            <v>0.125</v>
          </cell>
          <cell r="U461">
            <v>0.29299999999999998</v>
          </cell>
          <cell r="V461">
            <v>0.3125</v>
          </cell>
          <cell r="W461">
            <v>0.29299999999999998</v>
          </cell>
        </row>
        <row r="462">
          <cell r="B462" t="str">
            <v>ST1.5X3.75</v>
          </cell>
          <cell r="C462" t="str">
            <v>ST1.5X3.75</v>
          </cell>
          <cell r="D462" t="str">
            <v>F</v>
          </cell>
          <cell r="E462">
            <v>3.75</v>
          </cell>
          <cell r="F462">
            <v>1.1000000000000001</v>
          </cell>
          <cell r="G462" t="str">
            <v>ST1.5X3.75</v>
          </cell>
          <cell r="H462">
            <v>1.5</v>
          </cell>
          <cell r="I462">
            <v>1.5</v>
          </cell>
          <cell r="J462" t="str">
            <v>–</v>
          </cell>
          <cell r="K462" t="str">
            <v>–</v>
          </cell>
          <cell r="L462" t="str">
            <v>–</v>
          </cell>
          <cell r="M462">
            <v>2.5099999999999998</v>
          </cell>
          <cell r="N462">
            <v>2.5</v>
          </cell>
          <cell r="O462" t="str">
            <v>–</v>
          </cell>
          <cell r="P462" t="str">
            <v>–</v>
          </cell>
          <cell r="Q462" t="str">
            <v>–</v>
          </cell>
          <cell r="R462">
            <v>0.34899999999999998</v>
          </cell>
          <cell r="S462">
            <v>0.375</v>
          </cell>
          <cell r="T462">
            <v>0.1875</v>
          </cell>
          <cell r="U462">
            <v>0.26</v>
          </cell>
          <cell r="V462">
            <v>0.25</v>
          </cell>
          <cell r="W462">
            <v>0.26</v>
          </cell>
        </row>
        <row r="463">
          <cell r="B463" t="str">
            <v>ST1.5X2.85</v>
          </cell>
          <cell r="C463" t="str">
            <v>ST1.5X2.85</v>
          </cell>
          <cell r="D463" t="str">
            <v>F</v>
          </cell>
          <cell r="E463">
            <v>2.85</v>
          </cell>
          <cell r="F463">
            <v>0.83</v>
          </cell>
          <cell r="G463" t="str">
            <v>ST1.5X2.85</v>
          </cell>
          <cell r="H463">
            <v>1.5</v>
          </cell>
          <cell r="I463">
            <v>1.5</v>
          </cell>
          <cell r="J463" t="str">
            <v>–</v>
          </cell>
          <cell r="K463" t="str">
            <v>–</v>
          </cell>
          <cell r="L463" t="str">
            <v>–</v>
          </cell>
          <cell r="M463">
            <v>2.33</v>
          </cell>
          <cell r="N463">
            <v>2.375</v>
          </cell>
          <cell r="O463" t="str">
            <v>–</v>
          </cell>
          <cell r="P463" t="str">
            <v>–</v>
          </cell>
          <cell r="Q463" t="str">
            <v>–</v>
          </cell>
          <cell r="R463">
            <v>0.17</v>
          </cell>
          <cell r="S463">
            <v>0.1875</v>
          </cell>
          <cell r="T463">
            <v>0.125</v>
          </cell>
          <cell r="U463">
            <v>0.26</v>
          </cell>
          <cell r="V463">
            <v>0.25</v>
          </cell>
          <cell r="W463">
            <v>0.26</v>
          </cell>
        </row>
        <row r="464">
          <cell r="B464" t="str">
            <v>2L12X12X1-3/8</v>
          </cell>
          <cell r="C464" t="str">
            <v>2L12X12X1-3/8</v>
          </cell>
          <cell r="D464" t="str">
            <v>F</v>
          </cell>
          <cell r="E464">
            <v>210</v>
          </cell>
          <cell r="F464">
            <v>62.2</v>
          </cell>
          <cell r="G464" t="str">
            <v>2L12X12X1-3/8</v>
          </cell>
          <cell r="H464">
            <v>12</v>
          </cell>
          <cell r="I464" t="str">
            <v>–</v>
          </cell>
          <cell r="J464" t="str">
            <v>–</v>
          </cell>
          <cell r="K464" t="str">
            <v>–</v>
          </cell>
          <cell r="L464" t="str">
            <v>–</v>
          </cell>
          <cell r="M464" t="str">
            <v>–</v>
          </cell>
          <cell r="N464" t="str">
            <v>–</v>
          </cell>
          <cell r="O464" t="str">
            <v>–</v>
          </cell>
          <cell r="P464">
            <v>12</v>
          </cell>
          <cell r="Q464" t="str">
            <v>–</v>
          </cell>
          <cell r="R464" t="str">
            <v>–</v>
          </cell>
          <cell r="S464" t="str">
            <v>–</v>
          </cell>
          <cell r="T464" t="str">
            <v>–</v>
          </cell>
          <cell r="U464" t="str">
            <v>–</v>
          </cell>
          <cell r="V464" t="str">
            <v>–</v>
          </cell>
          <cell r="W464">
            <v>1.38</v>
          </cell>
        </row>
        <row r="465">
          <cell r="B465" t="str">
            <v>2L12X12X1-3/8X3/4</v>
          </cell>
          <cell r="C465" t="str">
            <v>2L12X12X1-3/8X3/4</v>
          </cell>
          <cell r="D465" t="str">
            <v>F</v>
          </cell>
          <cell r="E465">
            <v>210</v>
          </cell>
          <cell r="F465">
            <v>62.2</v>
          </cell>
          <cell r="G465" t="str">
            <v>2L12X12X1-3/8X3/4</v>
          </cell>
          <cell r="H465">
            <v>12</v>
          </cell>
          <cell r="I465" t="str">
            <v>–</v>
          </cell>
          <cell r="J465" t="str">
            <v>–</v>
          </cell>
          <cell r="K465" t="str">
            <v>–</v>
          </cell>
          <cell r="L465" t="str">
            <v>–</v>
          </cell>
          <cell r="M465" t="str">
            <v>–</v>
          </cell>
          <cell r="N465" t="str">
            <v>–</v>
          </cell>
          <cell r="O465" t="str">
            <v>–</v>
          </cell>
          <cell r="P465">
            <v>12</v>
          </cell>
          <cell r="Q465" t="str">
            <v>–</v>
          </cell>
          <cell r="R465" t="str">
            <v>–</v>
          </cell>
          <cell r="S465" t="str">
            <v>–</v>
          </cell>
          <cell r="T465" t="str">
            <v>–</v>
          </cell>
          <cell r="U465" t="str">
            <v>–</v>
          </cell>
          <cell r="V465" t="str">
            <v>–</v>
          </cell>
          <cell r="W465">
            <v>1.38</v>
          </cell>
        </row>
        <row r="466">
          <cell r="B466" t="str">
            <v>2L12X12X1-3/8X1-1/2</v>
          </cell>
          <cell r="C466" t="str">
            <v>2L12X12X1-3/8X1-1/2</v>
          </cell>
          <cell r="D466" t="str">
            <v>F</v>
          </cell>
          <cell r="E466">
            <v>210</v>
          </cell>
          <cell r="F466">
            <v>62.2</v>
          </cell>
          <cell r="G466" t="str">
            <v>2L12X12X1-3/8X1-1/2</v>
          </cell>
          <cell r="H466">
            <v>12</v>
          </cell>
          <cell r="I466" t="str">
            <v>–</v>
          </cell>
          <cell r="J466" t="str">
            <v>–</v>
          </cell>
          <cell r="K466" t="str">
            <v>–</v>
          </cell>
          <cell r="L466" t="str">
            <v>–</v>
          </cell>
          <cell r="M466" t="str">
            <v>–</v>
          </cell>
          <cell r="N466" t="str">
            <v>–</v>
          </cell>
          <cell r="O466" t="str">
            <v>–</v>
          </cell>
          <cell r="P466">
            <v>12</v>
          </cell>
          <cell r="Q466" t="str">
            <v>–</v>
          </cell>
          <cell r="R466" t="str">
            <v>–</v>
          </cell>
          <cell r="S466" t="str">
            <v>–</v>
          </cell>
          <cell r="T466" t="str">
            <v>–</v>
          </cell>
          <cell r="U466" t="str">
            <v>–</v>
          </cell>
          <cell r="V466" t="str">
            <v>–</v>
          </cell>
          <cell r="W466">
            <v>1.38</v>
          </cell>
        </row>
        <row r="467">
          <cell r="B467" t="str">
            <v>2L12X12X1-1/4</v>
          </cell>
          <cell r="C467" t="str">
            <v>2L12X12X1-1/4</v>
          </cell>
          <cell r="D467" t="str">
            <v>F</v>
          </cell>
          <cell r="E467">
            <v>193</v>
          </cell>
          <cell r="F467">
            <v>56.8</v>
          </cell>
          <cell r="G467" t="str">
            <v>2L12X12X1-1/4</v>
          </cell>
          <cell r="H467">
            <v>12</v>
          </cell>
          <cell r="I467" t="str">
            <v>–</v>
          </cell>
          <cell r="J467" t="str">
            <v>–</v>
          </cell>
          <cell r="K467" t="str">
            <v>–</v>
          </cell>
          <cell r="L467" t="str">
            <v>–</v>
          </cell>
          <cell r="M467" t="str">
            <v>–</v>
          </cell>
          <cell r="N467" t="str">
            <v>–</v>
          </cell>
          <cell r="O467" t="str">
            <v>–</v>
          </cell>
          <cell r="P467">
            <v>12</v>
          </cell>
          <cell r="Q467" t="str">
            <v>–</v>
          </cell>
          <cell r="R467" t="str">
            <v>–</v>
          </cell>
          <cell r="S467" t="str">
            <v>–</v>
          </cell>
          <cell r="T467" t="str">
            <v>–</v>
          </cell>
          <cell r="U467" t="str">
            <v>–</v>
          </cell>
          <cell r="V467" t="str">
            <v>–</v>
          </cell>
          <cell r="W467">
            <v>1.25</v>
          </cell>
        </row>
        <row r="468">
          <cell r="B468" t="str">
            <v>2L12X12X1-1/4X3/4</v>
          </cell>
          <cell r="C468" t="str">
            <v>2L12X12X1-1/4X3/4</v>
          </cell>
          <cell r="D468" t="str">
            <v>F</v>
          </cell>
          <cell r="E468">
            <v>193</v>
          </cell>
          <cell r="F468">
            <v>56.8</v>
          </cell>
          <cell r="G468" t="str">
            <v>2L12X12X1-1/4X3/4</v>
          </cell>
          <cell r="H468">
            <v>12</v>
          </cell>
          <cell r="I468" t="str">
            <v>–</v>
          </cell>
          <cell r="J468" t="str">
            <v>–</v>
          </cell>
          <cell r="K468" t="str">
            <v>–</v>
          </cell>
          <cell r="L468" t="str">
            <v>–</v>
          </cell>
          <cell r="M468" t="str">
            <v>–</v>
          </cell>
          <cell r="N468" t="str">
            <v>–</v>
          </cell>
          <cell r="O468" t="str">
            <v>–</v>
          </cell>
          <cell r="P468">
            <v>12</v>
          </cell>
          <cell r="Q468" t="str">
            <v>–</v>
          </cell>
          <cell r="R468" t="str">
            <v>–</v>
          </cell>
          <cell r="S468" t="str">
            <v>–</v>
          </cell>
          <cell r="T468" t="str">
            <v>–</v>
          </cell>
          <cell r="U468" t="str">
            <v>–</v>
          </cell>
          <cell r="V468" t="str">
            <v>–</v>
          </cell>
          <cell r="W468">
            <v>1.25</v>
          </cell>
        </row>
        <row r="469">
          <cell r="B469" t="str">
            <v>2L12X12X1-1/4X1-1/2</v>
          </cell>
          <cell r="C469" t="str">
            <v>2L12X12X1-1/4X1-1/2</v>
          </cell>
          <cell r="D469" t="str">
            <v>F</v>
          </cell>
          <cell r="E469">
            <v>193</v>
          </cell>
          <cell r="F469">
            <v>56.8</v>
          </cell>
          <cell r="G469" t="str">
            <v>2L12X12X1-1/4X1-1/2</v>
          </cell>
          <cell r="H469">
            <v>12</v>
          </cell>
          <cell r="I469" t="str">
            <v>–</v>
          </cell>
          <cell r="J469" t="str">
            <v>–</v>
          </cell>
          <cell r="K469" t="str">
            <v>–</v>
          </cell>
          <cell r="L469" t="str">
            <v>–</v>
          </cell>
          <cell r="M469" t="str">
            <v>–</v>
          </cell>
          <cell r="N469" t="str">
            <v>–</v>
          </cell>
          <cell r="O469" t="str">
            <v>–</v>
          </cell>
          <cell r="P469">
            <v>12</v>
          </cell>
          <cell r="Q469" t="str">
            <v>–</v>
          </cell>
          <cell r="R469" t="str">
            <v>–</v>
          </cell>
          <cell r="S469" t="str">
            <v>–</v>
          </cell>
          <cell r="T469" t="str">
            <v>–</v>
          </cell>
          <cell r="U469" t="str">
            <v>–</v>
          </cell>
          <cell r="V469" t="str">
            <v>–</v>
          </cell>
          <cell r="W469">
            <v>1.25</v>
          </cell>
        </row>
        <row r="470">
          <cell r="B470" t="str">
            <v>2L12X12X1-1/8</v>
          </cell>
          <cell r="C470" t="str">
            <v>2L12X12X1-1/8</v>
          </cell>
          <cell r="D470" t="str">
            <v>F</v>
          </cell>
          <cell r="E470">
            <v>174</v>
          </cell>
          <cell r="F470">
            <v>51.6</v>
          </cell>
          <cell r="G470" t="str">
            <v>2L12X12X1-1/8</v>
          </cell>
          <cell r="H470">
            <v>12</v>
          </cell>
          <cell r="I470" t="str">
            <v>–</v>
          </cell>
          <cell r="J470" t="str">
            <v>–</v>
          </cell>
          <cell r="K470" t="str">
            <v>–</v>
          </cell>
          <cell r="L470" t="str">
            <v>–</v>
          </cell>
          <cell r="M470" t="str">
            <v>–</v>
          </cell>
          <cell r="N470" t="str">
            <v>–</v>
          </cell>
          <cell r="O470" t="str">
            <v>–</v>
          </cell>
          <cell r="P470">
            <v>12</v>
          </cell>
          <cell r="Q470" t="str">
            <v>–</v>
          </cell>
          <cell r="R470" t="str">
            <v>–</v>
          </cell>
          <cell r="S470" t="str">
            <v>–</v>
          </cell>
          <cell r="T470" t="str">
            <v>–</v>
          </cell>
          <cell r="U470" t="str">
            <v>–</v>
          </cell>
          <cell r="V470" t="str">
            <v>–</v>
          </cell>
          <cell r="W470">
            <v>1.1299999999999999</v>
          </cell>
        </row>
        <row r="471">
          <cell r="B471" t="str">
            <v>2L12X12X1-1/8X3/4</v>
          </cell>
          <cell r="C471" t="str">
            <v>2L12X12X1-1/8X3/4</v>
          </cell>
          <cell r="D471" t="str">
            <v>F</v>
          </cell>
          <cell r="E471">
            <v>174</v>
          </cell>
          <cell r="F471">
            <v>51.6</v>
          </cell>
          <cell r="G471" t="str">
            <v>2L12X12X1-1/8X3/4</v>
          </cell>
          <cell r="H471">
            <v>12</v>
          </cell>
          <cell r="I471" t="str">
            <v>–</v>
          </cell>
          <cell r="J471" t="str">
            <v>–</v>
          </cell>
          <cell r="K471" t="str">
            <v>–</v>
          </cell>
          <cell r="L471" t="str">
            <v>–</v>
          </cell>
          <cell r="M471" t="str">
            <v>–</v>
          </cell>
          <cell r="N471" t="str">
            <v>–</v>
          </cell>
          <cell r="O471" t="str">
            <v>–</v>
          </cell>
          <cell r="P471">
            <v>12</v>
          </cell>
          <cell r="Q471" t="str">
            <v>–</v>
          </cell>
          <cell r="R471" t="str">
            <v>–</v>
          </cell>
          <cell r="S471" t="str">
            <v>–</v>
          </cell>
          <cell r="T471" t="str">
            <v>–</v>
          </cell>
          <cell r="U471" t="str">
            <v>–</v>
          </cell>
          <cell r="V471" t="str">
            <v>–</v>
          </cell>
          <cell r="W471">
            <v>1.1299999999999999</v>
          </cell>
        </row>
        <row r="472">
          <cell r="B472" t="str">
            <v>2L12X12X1-1/8X1-1/2</v>
          </cell>
          <cell r="C472" t="str">
            <v>2L12X12X1-1/8X1-1/2</v>
          </cell>
          <cell r="D472" t="str">
            <v>F</v>
          </cell>
          <cell r="E472">
            <v>174</v>
          </cell>
          <cell r="F472">
            <v>51.6</v>
          </cell>
          <cell r="G472" t="str">
            <v>2L12X12X1-1/8X1-1/2</v>
          </cell>
          <cell r="H472">
            <v>12</v>
          </cell>
          <cell r="I472" t="str">
            <v>–</v>
          </cell>
          <cell r="J472" t="str">
            <v>–</v>
          </cell>
          <cell r="K472" t="str">
            <v>–</v>
          </cell>
          <cell r="L472" t="str">
            <v>–</v>
          </cell>
          <cell r="M472" t="str">
            <v>–</v>
          </cell>
          <cell r="N472" t="str">
            <v>–</v>
          </cell>
          <cell r="O472" t="str">
            <v>–</v>
          </cell>
          <cell r="P472">
            <v>12</v>
          </cell>
          <cell r="Q472" t="str">
            <v>–</v>
          </cell>
          <cell r="R472" t="str">
            <v>–</v>
          </cell>
          <cell r="S472" t="str">
            <v>–</v>
          </cell>
          <cell r="T472" t="str">
            <v>–</v>
          </cell>
          <cell r="U472" t="str">
            <v>–</v>
          </cell>
          <cell r="V472" t="str">
            <v>–</v>
          </cell>
          <cell r="W472">
            <v>1.1299999999999999</v>
          </cell>
        </row>
        <row r="473">
          <cell r="B473" t="str">
            <v>2L12X12X1</v>
          </cell>
          <cell r="C473" t="str">
            <v>2L12X12X1</v>
          </cell>
          <cell r="D473" t="str">
            <v>F</v>
          </cell>
          <cell r="E473">
            <v>156</v>
          </cell>
          <cell r="F473">
            <v>46</v>
          </cell>
          <cell r="G473" t="str">
            <v>2L12X12X1</v>
          </cell>
          <cell r="H473">
            <v>12</v>
          </cell>
          <cell r="I473" t="str">
            <v>–</v>
          </cell>
          <cell r="J473" t="str">
            <v>–</v>
          </cell>
          <cell r="K473" t="str">
            <v>–</v>
          </cell>
          <cell r="L473" t="str">
            <v>–</v>
          </cell>
          <cell r="M473" t="str">
            <v>–</v>
          </cell>
          <cell r="N473" t="str">
            <v>–</v>
          </cell>
          <cell r="O473" t="str">
            <v>–</v>
          </cell>
          <cell r="P473">
            <v>12</v>
          </cell>
          <cell r="Q473" t="str">
            <v>–</v>
          </cell>
          <cell r="R473" t="str">
            <v>–</v>
          </cell>
          <cell r="S473" t="str">
            <v>–</v>
          </cell>
          <cell r="T473" t="str">
            <v>–</v>
          </cell>
          <cell r="U473" t="str">
            <v>–</v>
          </cell>
          <cell r="V473" t="str">
            <v>–</v>
          </cell>
          <cell r="W473">
            <v>1</v>
          </cell>
        </row>
        <row r="474">
          <cell r="B474" t="str">
            <v>2L12X12X1X3/4</v>
          </cell>
          <cell r="C474" t="str">
            <v>2L12X12X1X3/4</v>
          </cell>
          <cell r="D474" t="str">
            <v>F</v>
          </cell>
          <cell r="E474">
            <v>156</v>
          </cell>
          <cell r="F474">
            <v>46</v>
          </cell>
          <cell r="G474" t="str">
            <v>2L12X12X1X3/4</v>
          </cell>
          <cell r="H474">
            <v>12</v>
          </cell>
          <cell r="I474" t="str">
            <v>–</v>
          </cell>
          <cell r="J474" t="str">
            <v>–</v>
          </cell>
          <cell r="K474" t="str">
            <v>–</v>
          </cell>
          <cell r="L474" t="str">
            <v>–</v>
          </cell>
          <cell r="M474" t="str">
            <v>–</v>
          </cell>
          <cell r="N474" t="str">
            <v>–</v>
          </cell>
          <cell r="O474" t="str">
            <v>–</v>
          </cell>
          <cell r="P474">
            <v>12</v>
          </cell>
          <cell r="Q474" t="str">
            <v>–</v>
          </cell>
          <cell r="R474" t="str">
            <v>–</v>
          </cell>
          <cell r="S474" t="str">
            <v>–</v>
          </cell>
          <cell r="T474" t="str">
            <v>–</v>
          </cell>
          <cell r="U474" t="str">
            <v>–</v>
          </cell>
          <cell r="V474" t="str">
            <v>–</v>
          </cell>
          <cell r="W474">
            <v>1</v>
          </cell>
        </row>
        <row r="475">
          <cell r="B475" t="str">
            <v>2L12X12X1X1-1/2</v>
          </cell>
          <cell r="C475" t="str">
            <v>2L12X12X1X1-1/2</v>
          </cell>
          <cell r="D475" t="str">
            <v>F</v>
          </cell>
          <cell r="E475">
            <v>156</v>
          </cell>
          <cell r="F475">
            <v>46</v>
          </cell>
          <cell r="G475" t="str">
            <v>2L12X12X1X1-1/2</v>
          </cell>
          <cell r="H475">
            <v>12</v>
          </cell>
          <cell r="I475" t="str">
            <v>–</v>
          </cell>
          <cell r="J475" t="str">
            <v>–</v>
          </cell>
          <cell r="K475" t="str">
            <v>–</v>
          </cell>
          <cell r="L475" t="str">
            <v>–</v>
          </cell>
          <cell r="M475" t="str">
            <v>–</v>
          </cell>
          <cell r="N475" t="str">
            <v>–</v>
          </cell>
          <cell r="O475" t="str">
            <v>–</v>
          </cell>
          <cell r="P475">
            <v>12</v>
          </cell>
          <cell r="Q475" t="str">
            <v>–</v>
          </cell>
          <cell r="R475" t="str">
            <v>–</v>
          </cell>
          <cell r="S475" t="str">
            <v>–</v>
          </cell>
          <cell r="T475" t="str">
            <v>–</v>
          </cell>
          <cell r="U475" t="str">
            <v>–</v>
          </cell>
          <cell r="V475" t="str">
            <v>–</v>
          </cell>
          <cell r="W475">
            <v>1</v>
          </cell>
        </row>
        <row r="476">
          <cell r="B476" t="str">
            <v>2L10X10X1-3/8</v>
          </cell>
          <cell r="C476" t="str">
            <v>2L10X10X1-3/8</v>
          </cell>
          <cell r="D476" t="str">
            <v>F</v>
          </cell>
          <cell r="E476">
            <v>174</v>
          </cell>
          <cell r="F476">
            <v>51.2</v>
          </cell>
          <cell r="G476" t="str">
            <v>2L10X10X1-3/8</v>
          </cell>
          <cell r="H476">
            <v>10</v>
          </cell>
          <cell r="I476" t="str">
            <v>–</v>
          </cell>
          <cell r="J476" t="str">
            <v>–</v>
          </cell>
          <cell r="K476" t="str">
            <v>–</v>
          </cell>
          <cell r="L476" t="str">
            <v>–</v>
          </cell>
          <cell r="M476" t="str">
            <v>–</v>
          </cell>
          <cell r="N476" t="str">
            <v>–</v>
          </cell>
          <cell r="O476" t="str">
            <v>–</v>
          </cell>
          <cell r="P476">
            <v>10</v>
          </cell>
          <cell r="Q476" t="str">
            <v>–</v>
          </cell>
          <cell r="R476" t="str">
            <v>–</v>
          </cell>
          <cell r="S476" t="str">
            <v>–</v>
          </cell>
          <cell r="T476" t="str">
            <v>–</v>
          </cell>
          <cell r="U476" t="str">
            <v>–</v>
          </cell>
          <cell r="V476" t="str">
            <v>–</v>
          </cell>
          <cell r="W476">
            <v>1.38</v>
          </cell>
        </row>
        <row r="477">
          <cell r="B477" t="str">
            <v>2L10X10X1-3/8X3/4</v>
          </cell>
          <cell r="C477" t="str">
            <v>2L10X10X1-3/8X3/4</v>
          </cell>
          <cell r="D477" t="str">
            <v>F</v>
          </cell>
          <cell r="E477">
            <v>174</v>
          </cell>
          <cell r="F477">
            <v>51.2</v>
          </cell>
          <cell r="G477" t="str">
            <v>2L10X10X1-3/8X3/4</v>
          </cell>
          <cell r="H477">
            <v>10</v>
          </cell>
          <cell r="I477" t="str">
            <v>–</v>
          </cell>
          <cell r="J477" t="str">
            <v>–</v>
          </cell>
          <cell r="K477" t="str">
            <v>–</v>
          </cell>
          <cell r="L477" t="str">
            <v>–</v>
          </cell>
          <cell r="M477" t="str">
            <v>–</v>
          </cell>
          <cell r="N477" t="str">
            <v>–</v>
          </cell>
          <cell r="O477" t="str">
            <v>–</v>
          </cell>
          <cell r="P477">
            <v>10</v>
          </cell>
          <cell r="Q477" t="str">
            <v>–</v>
          </cell>
          <cell r="R477" t="str">
            <v>–</v>
          </cell>
          <cell r="S477" t="str">
            <v>–</v>
          </cell>
          <cell r="T477" t="str">
            <v>–</v>
          </cell>
          <cell r="U477" t="str">
            <v>–</v>
          </cell>
          <cell r="V477" t="str">
            <v>–</v>
          </cell>
          <cell r="W477">
            <v>1.38</v>
          </cell>
        </row>
        <row r="478">
          <cell r="B478" t="str">
            <v>2L10X10X1-3/8X1-1/2</v>
          </cell>
          <cell r="C478" t="str">
            <v>2L10X10X1-3/8X1-1/2</v>
          </cell>
          <cell r="D478" t="str">
            <v>F</v>
          </cell>
          <cell r="E478">
            <v>174</v>
          </cell>
          <cell r="F478">
            <v>51.2</v>
          </cell>
          <cell r="G478" t="str">
            <v>2L10X10X1-3/8X1-1/2</v>
          </cell>
          <cell r="H478">
            <v>10</v>
          </cell>
          <cell r="I478" t="str">
            <v>–</v>
          </cell>
          <cell r="J478" t="str">
            <v>–</v>
          </cell>
          <cell r="K478" t="str">
            <v>–</v>
          </cell>
          <cell r="L478" t="str">
            <v>–</v>
          </cell>
          <cell r="M478" t="str">
            <v>–</v>
          </cell>
          <cell r="N478" t="str">
            <v>–</v>
          </cell>
          <cell r="O478" t="str">
            <v>–</v>
          </cell>
          <cell r="P478">
            <v>10</v>
          </cell>
          <cell r="Q478" t="str">
            <v>–</v>
          </cell>
          <cell r="R478" t="str">
            <v>–</v>
          </cell>
          <cell r="S478" t="str">
            <v>–</v>
          </cell>
          <cell r="T478" t="str">
            <v>–</v>
          </cell>
          <cell r="U478" t="str">
            <v>–</v>
          </cell>
          <cell r="V478" t="str">
            <v>–</v>
          </cell>
          <cell r="W478">
            <v>1.38</v>
          </cell>
        </row>
        <row r="479">
          <cell r="B479" t="str">
            <v>2L10X10X1-1/4</v>
          </cell>
          <cell r="C479" t="str">
            <v>2L10X10X1-1/4</v>
          </cell>
          <cell r="D479" t="str">
            <v>F</v>
          </cell>
          <cell r="E479">
            <v>160</v>
          </cell>
          <cell r="F479">
            <v>46.8</v>
          </cell>
          <cell r="G479" t="str">
            <v>2L10X10X1-1/4</v>
          </cell>
          <cell r="H479">
            <v>10</v>
          </cell>
          <cell r="I479" t="str">
            <v>–</v>
          </cell>
          <cell r="J479" t="str">
            <v>–</v>
          </cell>
          <cell r="K479" t="str">
            <v>–</v>
          </cell>
          <cell r="L479" t="str">
            <v>–</v>
          </cell>
          <cell r="M479" t="str">
            <v>–</v>
          </cell>
          <cell r="N479" t="str">
            <v>–</v>
          </cell>
          <cell r="O479" t="str">
            <v>–</v>
          </cell>
          <cell r="P479">
            <v>10</v>
          </cell>
          <cell r="Q479" t="str">
            <v>–</v>
          </cell>
          <cell r="R479" t="str">
            <v>–</v>
          </cell>
          <cell r="S479" t="str">
            <v>–</v>
          </cell>
          <cell r="T479" t="str">
            <v>–</v>
          </cell>
          <cell r="U479" t="str">
            <v>–</v>
          </cell>
          <cell r="V479" t="str">
            <v>–</v>
          </cell>
          <cell r="W479">
            <v>1.25</v>
          </cell>
        </row>
        <row r="480">
          <cell r="B480" t="str">
            <v>2L10X10X1-1/4X3/4</v>
          </cell>
          <cell r="C480" t="str">
            <v>2L10X10X1-1/4X3/4</v>
          </cell>
          <cell r="D480" t="str">
            <v>F</v>
          </cell>
          <cell r="E480">
            <v>160</v>
          </cell>
          <cell r="F480">
            <v>46.8</v>
          </cell>
          <cell r="G480" t="str">
            <v>2L10X10X1-1/4X3/4</v>
          </cell>
          <cell r="H480">
            <v>10</v>
          </cell>
          <cell r="I480" t="str">
            <v>–</v>
          </cell>
          <cell r="J480" t="str">
            <v>–</v>
          </cell>
          <cell r="K480" t="str">
            <v>–</v>
          </cell>
          <cell r="L480" t="str">
            <v>–</v>
          </cell>
          <cell r="M480" t="str">
            <v>–</v>
          </cell>
          <cell r="N480" t="str">
            <v>–</v>
          </cell>
          <cell r="O480" t="str">
            <v>–</v>
          </cell>
          <cell r="P480">
            <v>10</v>
          </cell>
          <cell r="Q480" t="str">
            <v>–</v>
          </cell>
          <cell r="R480" t="str">
            <v>–</v>
          </cell>
          <cell r="S480" t="str">
            <v>–</v>
          </cell>
          <cell r="T480" t="str">
            <v>–</v>
          </cell>
          <cell r="U480" t="str">
            <v>–</v>
          </cell>
          <cell r="V480" t="str">
            <v>–</v>
          </cell>
          <cell r="W480">
            <v>1.25</v>
          </cell>
        </row>
        <row r="481">
          <cell r="B481" t="str">
            <v>2L10X10X1-1/4X1-1/2</v>
          </cell>
          <cell r="C481" t="str">
            <v>2L10X10X1-1/4X1-1/2</v>
          </cell>
          <cell r="D481" t="str">
            <v>F</v>
          </cell>
          <cell r="E481">
            <v>160</v>
          </cell>
          <cell r="F481">
            <v>46.8</v>
          </cell>
          <cell r="G481" t="str">
            <v>2L10X10X1-1/4X1-1/2</v>
          </cell>
          <cell r="H481">
            <v>10</v>
          </cell>
          <cell r="I481" t="str">
            <v>–</v>
          </cell>
          <cell r="J481" t="str">
            <v>–</v>
          </cell>
          <cell r="K481" t="str">
            <v>–</v>
          </cell>
          <cell r="L481" t="str">
            <v>–</v>
          </cell>
          <cell r="M481" t="str">
            <v>–</v>
          </cell>
          <cell r="N481" t="str">
            <v>–</v>
          </cell>
          <cell r="O481" t="str">
            <v>–</v>
          </cell>
          <cell r="P481">
            <v>10</v>
          </cell>
          <cell r="Q481" t="str">
            <v>–</v>
          </cell>
          <cell r="R481" t="str">
            <v>–</v>
          </cell>
          <cell r="S481" t="str">
            <v>–</v>
          </cell>
          <cell r="T481" t="str">
            <v>–</v>
          </cell>
          <cell r="U481" t="str">
            <v>–</v>
          </cell>
          <cell r="V481" t="str">
            <v>–</v>
          </cell>
          <cell r="W481">
            <v>1.25</v>
          </cell>
        </row>
        <row r="482">
          <cell r="B482" t="str">
            <v>2L10X10X1-1/8</v>
          </cell>
          <cell r="C482" t="str">
            <v>2L10X10X1-1/8</v>
          </cell>
          <cell r="D482" t="str">
            <v>F</v>
          </cell>
          <cell r="E482">
            <v>145</v>
          </cell>
          <cell r="F482">
            <v>42.6</v>
          </cell>
          <cell r="G482" t="str">
            <v>2L10X10X1-1/8</v>
          </cell>
          <cell r="H482">
            <v>10</v>
          </cell>
          <cell r="I482" t="str">
            <v>–</v>
          </cell>
          <cell r="J482" t="str">
            <v>–</v>
          </cell>
          <cell r="K482" t="str">
            <v>–</v>
          </cell>
          <cell r="L482" t="str">
            <v>–</v>
          </cell>
          <cell r="M482" t="str">
            <v>–</v>
          </cell>
          <cell r="N482" t="str">
            <v>–</v>
          </cell>
          <cell r="O482" t="str">
            <v>–</v>
          </cell>
          <cell r="P482">
            <v>10</v>
          </cell>
          <cell r="Q482" t="str">
            <v>–</v>
          </cell>
          <cell r="R482" t="str">
            <v>–</v>
          </cell>
          <cell r="S482" t="str">
            <v>–</v>
          </cell>
          <cell r="T482" t="str">
            <v>–</v>
          </cell>
          <cell r="U482" t="str">
            <v>–</v>
          </cell>
          <cell r="V482" t="str">
            <v>–</v>
          </cell>
          <cell r="W482">
            <v>1.1299999999999999</v>
          </cell>
        </row>
        <row r="483">
          <cell r="B483" t="str">
            <v>2L10X10X1-1/8X3/4</v>
          </cell>
          <cell r="C483" t="str">
            <v>2L10X10X1-1/8X3/4</v>
          </cell>
          <cell r="D483" t="str">
            <v>F</v>
          </cell>
          <cell r="E483">
            <v>145</v>
          </cell>
          <cell r="F483">
            <v>42.6</v>
          </cell>
          <cell r="G483" t="str">
            <v>2L10X10X1-1/8X3/4</v>
          </cell>
          <cell r="H483">
            <v>10</v>
          </cell>
          <cell r="I483" t="str">
            <v>–</v>
          </cell>
          <cell r="J483" t="str">
            <v>–</v>
          </cell>
          <cell r="K483" t="str">
            <v>–</v>
          </cell>
          <cell r="L483" t="str">
            <v>–</v>
          </cell>
          <cell r="M483" t="str">
            <v>–</v>
          </cell>
          <cell r="N483" t="str">
            <v>–</v>
          </cell>
          <cell r="O483" t="str">
            <v>–</v>
          </cell>
          <cell r="P483">
            <v>10</v>
          </cell>
          <cell r="Q483" t="str">
            <v>–</v>
          </cell>
          <cell r="R483" t="str">
            <v>–</v>
          </cell>
          <cell r="S483" t="str">
            <v>–</v>
          </cell>
          <cell r="T483" t="str">
            <v>–</v>
          </cell>
          <cell r="U483" t="str">
            <v>–</v>
          </cell>
          <cell r="V483" t="str">
            <v>–</v>
          </cell>
          <cell r="W483">
            <v>1.1299999999999999</v>
          </cell>
        </row>
        <row r="484">
          <cell r="B484" t="str">
            <v>2L10X10X1-1/8X1-1/2</v>
          </cell>
          <cell r="C484" t="str">
            <v>2L10X10X1-1/8X1-1/2</v>
          </cell>
          <cell r="D484" t="str">
            <v>F</v>
          </cell>
          <cell r="E484">
            <v>145</v>
          </cell>
          <cell r="F484">
            <v>42.6</v>
          </cell>
          <cell r="G484" t="str">
            <v>2L10X10X1-1/8X1-1/2</v>
          </cell>
          <cell r="H484">
            <v>10</v>
          </cell>
          <cell r="I484" t="str">
            <v>–</v>
          </cell>
          <cell r="J484" t="str">
            <v>–</v>
          </cell>
          <cell r="K484" t="str">
            <v>–</v>
          </cell>
          <cell r="L484" t="str">
            <v>–</v>
          </cell>
          <cell r="M484" t="str">
            <v>–</v>
          </cell>
          <cell r="N484" t="str">
            <v>–</v>
          </cell>
          <cell r="O484" t="str">
            <v>–</v>
          </cell>
          <cell r="P484">
            <v>10</v>
          </cell>
          <cell r="Q484" t="str">
            <v>–</v>
          </cell>
          <cell r="R484" t="str">
            <v>–</v>
          </cell>
          <cell r="S484" t="str">
            <v>–</v>
          </cell>
          <cell r="T484" t="str">
            <v>–</v>
          </cell>
          <cell r="U484" t="str">
            <v>–</v>
          </cell>
          <cell r="V484" t="str">
            <v>–</v>
          </cell>
          <cell r="W484">
            <v>1.1299999999999999</v>
          </cell>
        </row>
        <row r="485">
          <cell r="B485" t="str">
            <v>2L10X10X1</v>
          </cell>
          <cell r="C485" t="str">
            <v>2L10X10X1</v>
          </cell>
          <cell r="D485" t="str">
            <v>F</v>
          </cell>
          <cell r="E485">
            <v>129</v>
          </cell>
          <cell r="F485">
            <v>38</v>
          </cell>
          <cell r="G485" t="str">
            <v>2L10X10X1</v>
          </cell>
          <cell r="H485">
            <v>10</v>
          </cell>
          <cell r="I485" t="str">
            <v>–</v>
          </cell>
          <cell r="J485" t="str">
            <v>–</v>
          </cell>
          <cell r="K485" t="str">
            <v>–</v>
          </cell>
          <cell r="L485" t="str">
            <v>–</v>
          </cell>
          <cell r="M485" t="str">
            <v>–</v>
          </cell>
          <cell r="N485" t="str">
            <v>–</v>
          </cell>
          <cell r="O485" t="str">
            <v>–</v>
          </cell>
          <cell r="P485">
            <v>10</v>
          </cell>
          <cell r="Q485" t="str">
            <v>–</v>
          </cell>
          <cell r="R485" t="str">
            <v>–</v>
          </cell>
          <cell r="S485" t="str">
            <v>–</v>
          </cell>
          <cell r="T485" t="str">
            <v>–</v>
          </cell>
          <cell r="U485" t="str">
            <v>–</v>
          </cell>
          <cell r="V485" t="str">
            <v>–</v>
          </cell>
          <cell r="W485">
            <v>1</v>
          </cell>
        </row>
        <row r="486">
          <cell r="B486" t="str">
            <v>2L10X10X1X3/4</v>
          </cell>
          <cell r="C486" t="str">
            <v>2L10X10X1X3/4</v>
          </cell>
          <cell r="D486" t="str">
            <v>F</v>
          </cell>
          <cell r="E486">
            <v>129</v>
          </cell>
          <cell r="F486">
            <v>38</v>
          </cell>
          <cell r="G486" t="str">
            <v>2L10X10X1X3/4</v>
          </cell>
          <cell r="H486">
            <v>10</v>
          </cell>
          <cell r="I486" t="str">
            <v>–</v>
          </cell>
          <cell r="J486" t="str">
            <v>–</v>
          </cell>
          <cell r="K486" t="str">
            <v>–</v>
          </cell>
          <cell r="L486" t="str">
            <v>–</v>
          </cell>
          <cell r="M486" t="str">
            <v>–</v>
          </cell>
          <cell r="N486" t="str">
            <v>–</v>
          </cell>
          <cell r="O486" t="str">
            <v>–</v>
          </cell>
          <cell r="P486">
            <v>10</v>
          </cell>
          <cell r="Q486" t="str">
            <v>–</v>
          </cell>
          <cell r="R486" t="str">
            <v>–</v>
          </cell>
          <cell r="S486" t="str">
            <v>–</v>
          </cell>
          <cell r="T486" t="str">
            <v>–</v>
          </cell>
          <cell r="U486" t="str">
            <v>–</v>
          </cell>
          <cell r="V486" t="str">
            <v>–</v>
          </cell>
          <cell r="W486">
            <v>1</v>
          </cell>
        </row>
        <row r="487">
          <cell r="B487" t="str">
            <v>2L10X10X1X1-1/2</v>
          </cell>
          <cell r="C487" t="str">
            <v>2L10X10X1X1-1/2</v>
          </cell>
          <cell r="D487" t="str">
            <v>F</v>
          </cell>
          <cell r="E487">
            <v>129</v>
          </cell>
          <cell r="F487">
            <v>38</v>
          </cell>
          <cell r="G487" t="str">
            <v>2L10X10X1X1-1/2</v>
          </cell>
          <cell r="H487">
            <v>10</v>
          </cell>
          <cell r="I487" t="str">
            <v>–</v>
          </cell>
          <cell r="J487" t="str">
            <v>–</v>
          </cell>
          <cell r="K487" t="str">
            <v>–</v>
          </cell>
          <cell r="L487" t="str">
            <v>–</v>
          </cell>
          <cell r="M487" t="str">
            <v>–</v>
          </cell>
          <cell r="N487" t="str">
            <v>–</v>
          </cell>
          <cell r="O487" t="str">
            <v>–</v>
          </cell>
          <cell r="P487">
            <v>10</v>
          </cell>
          <cell r="Q487" t="str">
            <v>–</v>
          </cell>
          <cell r="R487" t="str">
            <v>–</v>
          </cell>
          <cell r="S487" t="str">
            <v>–</v>
          </cell>
          <cell r="T487" t="str">
            <v>–</v>
          </cell>
          <cell r="U487" t="str">
            <v>–</v>
          </cell>
          <cell r="V487" t="str">
            <v>–</v>
          </cell>
          <cell r="W487">
            <v>1</v>
          </cell>
        </row>
        <row r="488">
          <cell r="B488" t="str">
            <v>2L10X10X7/8</v>
          </cell>
          <cell r="C488" t="str">
            <v>2L10X10X7/8</v>
          </cell>
          <cell r="D488" t="str">
            <v>F</v>
          </cell>
          <cell r="E488">
            <v>114</v>
          </cell>
          <cell r="F488">
            <v>33.6</v>
          </cell>
          <cell r="G488" t="str">
            <v>2L10X10X7/8</v>
          </cell>
          <cell r="H488">
            <v>10</v>
          </cell>
          <cell r="I488" t="str">
            <v>–</v>
          </cell>
          <cell r="J488" t="str">
            <v>–</v>
          </cell>
          <cell r="K488" t="str">
            <v>–</v>
          </cell>
          <cell r="L488" t="str">
            <v>–</v>
          </cell>
          <cell r="M488" t="str">
            <v>–</v>
          </cell>
          <cell r="N488" t="str">
            <v>–</v>
          </cell>
          <cell r="O488" t="str">
            <v>–</v>
          </cell>
          <cell r="P488">
            <v>10</v>
          </cell>
          <cell r="Q488" t="str">
            <v>–</v>
          </cell>
          <cell r="R488" t="str">
            <v>–</v>
          </cell>
          <cell r="S488" t="str">
            <v>–</v>
          </cell>
          <cell r="T488" t="str">
            <v>–</v>
          </cell>
          <cell r="U488" t="str">
            <v>–</v>
          </cell>
          <cell r="V488" t="str">
            <v>–</v>
          </cell>
          <cell r="W488">
            <v>0.875</v>
          </cell>
        </row>
        <row r="489">
          <cell r="B489" t="str">
            <v>2L10X10X7/8X3/4</v>
          </cell>
          <cell r="C489" t="str">
            <v>2L10X10X7/8X3/4</v>
          </cell>
          <cell r="D489" t="str">
            <v>F</v>
          </cell>
          <cell r="E489">
            <v>114</v>
          </cell>
          <cell r="F489">
            <v>33.6</v>
          </cell>
          <cell r="G489" t="str">
            <v>2L10X10X7/8X3/4</v>
          </cell>
          <cell r="H489">
            <v>10</v>
          </cell>
          <cell r="I489" t="str">
            <v>–</v>
          </cell>
          <cell r="J489" t="str">
            <v>–</v>
          </cell>
          <cell r="K489" t="str">
            <v>–</v>
          </cell>
          <cell r="L489" t="str">
            <v>–</v>
          </cell>
          <cell r="M489" t="str">
            <v>–</v>
          </cell>
          <cell r="N489" t="str">
            <v>–</v>
          </cell>
          <cell r="O489" t="str">
            <v>–</v>
          </cell>
          <cell r="P489">
            <v>10</v>
          </cell>
          <cell r="Q489" t="str">
            <v>–</v>
          </cell>
          <cell r="R489" t="str">
            <v>–</v>
          </cell>
          <cell r="S489" t="str">
            <v>–</v>
          </cell>
          <cell r="T489" t="str">
            <v>–</v>
          </cell>
          <cell r="U489" t="str">
            <v>–</v>
          </cell>
          <cell r="V489" t="str">
            <v>–</v>
          </cell>
          <cell r="W489">
            <v>0.875</v>
          </cell>
        </row>
        <row r="490">
          <cell r="B490" t="str">
            <v>2L10X10X7/8X1-1/2</v>
          </cell>
          <cell r="C490" t="str">
            <v>2L10X10X7/8X1-1/2</v>
          </cell>
          <cell r="D490" t="str">
            <v>F</v>
          </cell>
          <cell r="E490">
            <v>114</v>
          </cell>
          <cell r="F490">
            <v>33.6</v>
          </cell>
          <cell r="G490" t="str">
            <v>2L10X10X7/8X1-1/2</v>
          </cell>
          <cell r="H490">
            <v>10</v>
          </cell>
          <cell r="I490" t="str">
            <v>–</v>
          </cell>
          <cell r="J490" t="str">
            <v>–</v>
          </cell>
          <cell r="K490" t="str">
            <v>–</v>
          </cell>
          <cell r="L490" t="str">
            <v>–</v>
          </cell>
          <cell r="M490" t="str">
            <v>–</v>
          </cell>
          <cell r="N490" t="str">
            <v>–</v>
          </cell>
          <cell r="O490" t="str">
            <v>–</v>
          </cell>
          <cell r="P490">
            <v>10</v>
          </cell>
          <cell r="Q490" t="str">
            <v>–</v>
          </cell>
          <cell r="R490" t="str">
            <v>–</v>
          </cell>
          <cell r="S490" t="str">
            <v>–</v>
          </cell>
          <cell r="T490" t="str">
            <v>–</v>
          </cell>
          <cell r="U490" t="str">
            <v>–</v>
          </cell>
          <cell r="V490" t="str">
            <v>–</v>
          </cell>
          <cell r="W490">
            <v>0.875</v>
          </cell>
        </row>
        <row r="491">
          <cell r="B491" t="str">
            <v>2L10X10X3/4</v>
          </cell>
          <cell r="C491" t="str">
            <v>2L10X10X3/4</v>
          </cell>
          <cell r="D491" t="str">
            <v>F</v>
          </cell>
          <cell r="E491">
            <v>98.2</v>
          </cell>
          <cell r="F491">
            <v>29</v>
          </cell>
          <cell r="G491" t="str">
            <v>2L10X10X3/4</v>
          </cell>
          <cell r="H491">
            <v>10</v>
          </cell>
          <cell r="I491" t="str">
            <v>–</v>
          </cell>
          <cell r="J491" t="str">
            <v>–</v>
          </cell>
          <cell r="K491" t="str">
            <v>–</v>
          </cell>
          <cell r="L491" t="str">
            <v>–</v>
          </cell>
          <cell r="M491" t="str">
            <v>–</v>
          </cell>
          <cell r="N491" t="str">
            <v>–</v>
          </cell>
          <cell r="O491" t="str">
            <v>–</v>
          </cell>
          <cell r="P491">
            <v>10</v>
          </cell>
          <cell r="Q491" t="str">
            <v>–</v>
          </cell>
          <cell r="R491" t="str">
            <v>–</v>
          </cell>
          <cell r="S491" t="str">
            <v>–</v>
          </cell>
          <cell r="T491" t="str">
            <v>–</v>
          </cell>
          <cell r="U491" t="str">
            <v>–</v>
          </cell>
          <cell r="V491" t="str">
            <v>–</v>
          </cell>
          <cell r="W491">
            <v>0.75</v>
          </cell>
        </row>
        <row r="492">
          <cell r="B492" t="str">
            <v>2L10X10X3/4X3/4</v>
          </cell>
          <cell r="C492" t="str">
            <v>2L10X10X3/4X3/4</v>
          </cell>
          <cell r="D492" t="str">
            <v>F</v>
          </cell>
          <cell r="E492">
            <v>98.2</v>
          </cell>
          <cell r="F492">
            <v>29</v>
          </cell>
          <cell r="G492" t="str">
            <v>2L10X10X3/4X3/4</v>
          </cell>
          <cell r="H492">
            <v>10</v>
          </cell>
          <cell r="I492" t="str">
            <v>–</v>
          </cell>
          <cell r="J492" t="str">
            <v>–</v>
          </cell>
          <cell r="K492" t="str">
            <v>–</v>
          </cell>
          <cell r="L492" t="str">
            <v>–</v>
          </cell>
          <cell r="M492" t="str">
            <v>–</v>
          </cell>
          <cell r="N492" t="str">
            <v>–</v>
          </cell>
          <cell r="O492" t="str">
            <v>–</v>
          </cell>
          <cell r="P492">
            <v>10</v>
          </cell>
          <cell r="Q492" t="str">
            <v>–</v>
          </cell>
          <cell r="R492" t="str">
            <v>–</v>
          </cell>
          <cell r="S492" t="str">
            <v>–</v>
          </cell>
          <cell r="T492" t="str">
            <v>–</v>
          </cell>
          <cell r="U492" t="str">
            <v>–</v>
          </cell>
          <cell r="V492" t="str">
            <v>–</v>
          </cell>
          <cell r="W492">
            <v>0.75</v>
          </cell>
        </row>
        <row r="493">
          <cell r="B493" t="str">
            <v>2L10X10X3/4X1-1/2</v>
          </cell>
          <cell r="C493" t="str">
            <v>2L10X10X3/4X1-1/2</v>
          </cell>
          <cell r="D493" t="str">
            <v>F</v>
          </cell>
          <cell r="E493">
            <v>98.2</v>
          </cell>
          <cell r="F493">
            <v>29</v>
          </cell>
          <cell r="G493" t="str">
            <v>2L10X10X3/4X1-1/2</v>
          </cell>
          <cell r="H493">
            <v>10</v>
          </cell>
          <cell r="I493" t="str">
            <v>–</v>
          </cell>
          <cell r="J493" t="str">
            <v>–</v>
          </cell>
          <cell r="K493" t="str">
            <v>–</v>
          </cell>
          <cell r="L493" t="str">
            <v>–</v>
          </cell>
          <cell r="M493" t="str">
            <v>–</v>
          </cell>
          <cell r="N493" t="str">
            <v>–</v>
          </cell>
          <cell r="O493" t="str">
            <v>–</v>
          </cell>
          <cell r="P493">
            <v>10</v>
          </cell>
          <cell r="Q493" t="str">
            <v>–</v>
          </cell>
          <cell r="R493" t="str">
            <v>–</v>
          </cell>
          <cell r="S493" t="str">
            <v>–</v>
          </cell>
          <cell r="T493" t="str">
            <v>–</v>
          </cell>
          <cell r="U493" t="str">
            <v>–</v>
          </cell>
          <cell r="V493" t="str">
            <v>–</v>
          </cell>
          <cell r="W493">
            <v>0.75</v>
          </cell>
        </row>
        <row r="494">
          <cell r="B494" t="str">
            <v>2L8X8X1-1/8</v>
          </cell>
          <cell r="C494" t="str">
            <v>2L8X8X1-1/8</v>
          </cell>
          <cell r="D494" t="str">
            <v>F</v>
          </cell>
          <cell r="E494">
            <v>114</v>
          </cell>
          <cell r="F494">
            <v>33.6</v>
          </cell>
          <cell r="G494" t="str">
            <v>2L8X8X1-1/8</v>
          </cell>
          <cell r="H494">
            <v>8</v>
          </cell>
          <cell r="I494" t="str">
            <v>–</v>
          </cell>
          <cell r="J494" t="str">
            <v>–</v>
          </cell>
          <cell r="K494" t="str">
            <v>–</v>
          </cell>
          <cell r="L494" t="str">
            <v>–</v>
          </cell>
          <cell r="M494" t="str">
            <v>–</v>
          </cell>
          <cell r="N494" t="str">
            <v>–</v>
          </cell>
          <cell r="O494" t="str">
            <v>–</v>
          </cell>
          <cell r="P494">
            <v>8</v>
          </cell>
          <cell r="Q494" t="str">
            <v>–</v>
          </cell>
          <cell r="R494" t="str">
            <v>–</v>
          </cell>
          <cell r="S494" t="str">
            <v>–</v>
          </cell>
          <cell r="T494" t="str">
            <v>–</v>
          </cell>
          <cell r="U494" t="str">
            <v>–</v>
          </cell>
          <cell r="V494" t="str">
            <v>–</v>
          </cell>
          <cell r="W494">
            <v>1.1299999999999999</v>
          </cell>
        </row>
        <row r="495">
          <cell r="B495" t="str">
            <v>2L8X8X1-1/8X3/8</v>
          </cell>
          <cell r="C495" t="str">
            <v>2L8X8X1-1/8X3/8</v>
          </cell>
          <cell r="D495" t="str">
            <v>F</v>
          </cell>
          <cell r="E495">
            <v>114</v>
          </cell>
          <cell r="F495">
            <v>33.6</v>
          </cell>
          <cell r="G495" t="str">
            <v>2L8X8X1-1/8X3/8</v>
          </cell>
          <cell r="H495">
            <v>8</v>
          </cell>
          <cell r="I495" t="str">
            <v>–</v>
          </cell>
          <cell r="J495" t="str">
            <v>–</v>
          </cell>
          <cell r="K495" t="str">
            <v>–</v>
          </cell>
          <cell r="L495" t="str">
            <v>–</v>
          </cell>
          <cell r="M495" t="str">
            <v>–</v>
          </cell>
          <cell r="N495" t="str">
            <v>–</v>
          </cell>
          <cell r="O495" t="str">
            <v>–</v>
          </cell>
          <cell r="P495">
            <v>8</v>
          </cell>
          <cell r="Q495" t="str">
            <v>–</v>
          </cell>
          <cell r="R495" t="str">
            <v>–</v>
          </cell>
          <cell r="S495" t="str">
            <v>–</v>
          </cell>
          <cell r="T495" t="str">
            <v>–</v>
          </cell>
          <cell r="U495" t="str">
            <v>–</v>
          </cell>
          <cell r="V495" t="str">
            <v>–</v>
          </cell>
          <cell r="W495">
            <v>1.1299999999999999</v>
          </cell>
        </row>
        <row r="496">
          <cell r="B496" t="str">
            <v>2L8X8X1-1/8X3/4</v>
          </cell>
          <cell r="C496" t="str">
            <v>2L8X8X1-1/8X3/4</v>
          </cell>
          <cell r="D496" t="str">
            <v>F</v>
          </cell>
          <cell r="E496">
            <v>114</v>
          </cell>
          <cell r="F496">
            <v>33.6</v>
          </cell>
          <cell r="G496" t="str">
            <v>2L8X8X1-1/8X3/4</v>
          </cell>
          <cell r="H496">
            <v>8</v>
          </cell>
          <cell r="I496" t="str">
            <v>–</v>
          </cell>
          <cell r="J496" t="str">
            <v>–</v>
          </cell>
          <cell r="K496" t="str">
            <v>–</v>
          </cell>
          <cell r="L496" t="str">
            <v>–</v>
          </cell>
          <cell r="M496" t="str">
            <v>–</v>
          </cell>
          <cell r="N496" t="str">
            <v>–</v>
          </cell>
          <cell r="O496" t="str">
            <v>–</v>
          </cell>
          <cell r="P496">
            <v>8</v>
          </cell>
          <cell r="Q496" t="str">
            <v>–</v>
          </cell>
          <cell r="R496" t="str">
            <v>–</v>
          </cell>
          <cell r="S496" t="str">
            <v>–</v>
          </cell>
          <cell r="T496" t="str">
            <v>–</v>
          </cell>
          <cell r="U496" t="str">
            <v>–</v>
          </cell>
          <cell r="V496" t="str">
            <v>–</v>
          </cell>
          <cell r="W496">
            <v>1.1299999999999999</v>
          </cell>
        </row>
        <row r="497">
          <cell r="B497" t="str">
            <v>2L8X8X1</v>
          </cell>
          <cell r="C497" t="str">
            <v>2L8X8X1</v>
          </cell>
          <cell r="D497" t="str">
            <v>F</v>
          </cell>
          <cell r="E497">
            <v>102</v>
          </cell>
          <cell r="F497">
            <v>30.2</v>
          </cell>
          <cell r="G497" t="str">
            <v>2L8X8X1</v>
          </cell>
          <cell r="H497">
            <v>8</v>
          </cell>
          <cell r="I497" t="str">
            <v>–</v>
          </cell>
          <cell r="J497" t="str">
            <v>–</v>
          </cell>
          <cell r="K497" t="str">
            <v>–</v>
          </cell>
          <cell r="L497" t="str">
            <v>–</v>
          </cell>
          <cell r="M497" t="str">
            <v>–</v>
          </cell>
          <cell r="N497" t="str">
            <v>–</v>
          </cell>
          <cell r="O497" t="str">
            <v>–</v>
          </cell>
          <cell r="P497">
            <v>8</v>
          </cell>
          <cell r="Q497" t="str">
            <v>–</v>
          </cell>
          <cell r="R497" t="str">
            <v>–</v>
          </cell>
          <cell r="S497" t="str">
            <v>–</v>
          </cell>
          <cell r="T497" t="str">
            <v>–</v>
          </cell>
          <cell r="U497" t="str">
            <v>–</v>
          </cell>
          <cell r="V497" t="str">
            <v>–</v>
          </cell>
          <cell r="W497">
            <v>1</v>
          </cell>
        </row>
        <row r="498">
          <cell r="B498" t="str">
            <v>2L8X8X1X3/8</v>
          </cell>
          <cell r="C498" t="str">
            <v>2L8X8X1X3/8</v>
          </cell>
          <cell r="D498" t="str">
            <v>F</v>
          </cell>
          <cell r="E498">
            <v>102</v>
          </cell>
          <cell r="F498">
            <v>30.2</v>
          </cell>
          <cell r="G498" t="str">
            <v>2L8X8X1X3/8</v>
          </cell>
          <cell r="H498">
            <v>8</v>
          </cell>
          <cell r="I498" t="str">
            <v>–</v>
          </cell>
          <cell r="J498" t="str">
            <v>–</v>
          </cell>
          <cell r="K498" t="str">
            <v>–</v>
          </cell>
          <cell r="L498" t="str">
            <v>–</v>
          </cell>
          <cell r="M498" t="str">
            <v>–</v>
          </cell>
          <cell r="N498" t="str">
            <v>–</v>
          </cell>
          <cell r="O498" t="str">
            <v>–</v>
          </cell>
          <cell r="P498">
            <v>8</v>
          </cell>
          <cell r="Q498" t="str">
            <v>–</v>
          </cell>
          <cell r="R498" t="str">
            <v>–</v>
          </cell>
          <cell r="S498" t="str">
            <v>–</v>
          </cell>
          <cell r="T498" t="str">
            <v>–</v>
          </cell>
          <cell r="U498" t="str">
            <v>–</v>
          </cell>
          <cell r="V498" t="str">
            <v>–</v>
          </cell>
          <cell r="W498">
            <v>1</v>
          </cell>
        </row>
        <row r="499">
          <cell r="B499" t="str">
            <v>2L8X8X1X3/4</v>
          </cell>
          <cell r="C499" t="str">
            <v>2L8X8X1X3/4</v>
          </cell>
          <cell r="D499" t="str">
            <v>F</v>
          </cell>
          <cell r="E499">
            <v>102</v>
          </cell>
          <cell r="F499">
            <v>30.2</v>
          </cell>
          <cell r="G499" t="str">
            <v>2L8X8X1X3/4</v>
          </cell>
          <cell r="H499">
            <v>8</v>
          </cell>
          <cell r="I499" t="str">
            <v>–</v>
          </cell>
          <cell r="J499" t="str">
            <v>–</v>
          </cell>
          <cell r="K499" t="str">
            <v>–</v>
          </cell>
          <cell r="L499" t="str">
            <v>–</v>
          </cell>
          <cell r="M499" t="str">
            <v>–</v>
          </cell>
          <cell r="N499" t="str">
            <v>–</v>
          </cell>
          <cell r="O499" t="str">
            <v>–</v>
          </cell>
          <cell r="P499">
            <v>8</v>
          </cell>
          <cell r="Q499" t="str">
            <v>–</v>
          </cell>
          <cell r="R499" t="str">
            <v>–</v>
          </cell>
          <cell r="S499" t="str">
            <v>–</v>
          </cell>
          <cell r="T499" t="str">
            <v>–</v>
          </cell>
          <cell r="U499" t="str">
            <v>–</v>
          </cell>
          <cell r="V499" t="str">
            <v>–</v>
          </cell>
          <cell r="W499">
            <v>1</v>
          </cell>
        </row>
        <row r="500">
          <cell r="B500" t="str">
            <v>2L8X8X7/8</v>
          </cell>
          <cell r="C500" t="str">
            <v>2L8X8X7/8</v>
          </cell>
          <cell r="D500" t="str">
            <v>F</v>
          </cell>
          <cell r="E500">
            <v>90</v>
          </cell>
          <cell r="F500">
            <v>26.6</v>
          </cell>
          <cell r="G500" t="str">
            <v>2L8X8X7/8</v>
          </cell>
          <cell r="H500">
            <v>8</v>
          </cell>
          <cell r="I500" t="str">
            <v>–</v>
          </cell>
          <cell r="J500" t="str">
            <v>–</v>
          </cell>
          <cell r="K500" t="str">
            <v>–</v>
          </cell>
          <cell r="L500" t="str">
            <v>–</v>
          </cell>
          <cell r="M500" t="str">
            <v>–</v>
          </cell>
          <cell r="N500" t="str">
            <v>–</v>
          </cell>
          <cell r="O500" t="str">
            <v>–</v>
          </cell>
          <cell r="P500">
            <v>8</v>
          </cell>
          <cell r="Q500" t="str">
            <v>–</v>
          </cell>
          <cell r="R500" t="str">
            <v>–</v>
          </cell>
          <cell r="S500" t="str">
            <v>–</v>
          </cell>
          <cell r="T500" t="str">
            <v>–</v>
          </cell>
          <cell r="U500" t="str">
            <v>–</v>
          </cell>
          <cell r="V500" t="str">
            <v>–</v>
          </cell>
          <cell r="W500">
            <v>0.875</v>
          </cell>
        </row>
        <row r="501">
          <cell r="B501" t="str">
            <v>2L8X8X7/8X3/8</v>
          </cell>
          <cell r="C501" t="str">
            <v>2L8X8X7/8X3/8</v>
          </cell>
          <cell r="D501" t="str">
            <v>F</v>
          </cell>
          <cell r="E501">
            <v>90</v>
          </cell>
          <cell r="F501">
            <v>26.6</v>
          </cell>
          <cell r="G501" t="str">
            <v>2L8X8X7/8X3/8</v>
          </cell>
          <cell r="H501">
            <v>8</v>
          </cell>
          <cell r="I501" t="str">
            <v>–</v>
          </cell>
          <cell r="J501" t="str">
            <v>–</v>
          </cell>
          <cell r="K501" t="str">
            <v>–</v>
          </cell>
          <cell r="L501" t="str">
            <v>–</v>
          </cell>
          <cell r="M501" t="str">
            <v>–</v>
          </cell>
          <cell r="N501" t="str">
            <v>–</v>
          </cell>
          <cell r="O501" t="str">
            <v>–</v>
          </cell>
          <cell r="P501">
            <v>8</v>
          </cell>
          <cell r="Q501" t="str">
            <v>–</v>
          </cell>
          <cell r="R501" t="str">
            <v>–</v>
          </cell>
          <cell r="S501" t="str">
            <v>–</v>
          </cell>
          <cell r="T501" t="str">
            <v>–</v>
          </cell>
          <cell r="U501" t="str">
            <v>–</v>
          </cell>
          <cell r="V501" t="str">
            <v>–</v>
          </cell>
          <cell r="W501">
            <v>0.875</v>
          </cell>
        </row>
        <row r="502">
          <cell r="B502" t="str">
            <v>2L8X8X7/8X3/4</v>
          </cell>
          <cell r="C502" t="str">
            <v>2L8X8X7/8X3/4</v>
          </cell>
          <cell r="D502" t="str">
            <v>F</v>
          </cell>
          <cell r="E502">
            <v>90</v>
          </cell>
          <cell r="F502">
            <v>26.6</v>
          </cell>
          <cell r="G502" t="str">
            <v>2L8X8X7/8X3/4</v>
          </cell>
          <cell r="H502">
            <v>8</v>
          </cell>
          <cell r="I502" t="str">
            <v>–</v>
          </cell>
          <cell r="J502" t="str">
            <v>–</v>
          </cell>
          <cell r="K502" t="str">
            <v>–</v>
          </cell>
          <cell r="L502" t="str">
            <v>–</v>
          </cell>
          <cell r="M502" t="str">
            <v>–</v>
          </cell>
          <cell r="N502" t="str">
            <v>–</v>
          </cell>
          <cell r="O502" t="str">
            <v>–</v>
          </cell>
          <cell r="P502">
            <v>8</v>
          </cell>
          <cell r="Q502" t="str">
            <v>–</v>
          </cell>
          <cell r="R502" t="str">
            <v>–</v>
          </cell>
          <cell r="S502" t="str">
            <v>–</v>
          </cell>
          <cell r="T502" t="str">
            <v>–</v>
          </cell>
          <cell r="U502" t="str">
            <v>–</v>
          </cell>
          <cell r="V502" t="str">
            <v>–</v>
          </cell>
          <cell r="W502">
            <v>0.875</v>
          </cell>
        </row>
        <row r="503">
          <cell r="B503" t="str">
            <v>2L8X8X3/4</v>
          </cell>
          <cell r="C503" t="str">
            <v>2L8X8X3/4</v>
          </cell>
          <cell r="D503" t="str">
            <v>F</v>
          </cell>
          <cell r="E503">
            <v>77.8</v>
          </cell>
          <cell r="F503">
            <v>23</v>
          </cell>
          <cell r="G503" t="str">
            <v>2L8X8X3/4</v>
          </cell>
          <cell r="H503">
            <v>8</v>
          </cell>
          <cell r="I503" t="str">
            <v>–</v>
          </cell>
          <cell r="J503" t="str">
            <v>–</v>
          </cell>
          <cell r="K503" t="str">
            <v>–</v>
          </cell>
          <cell r="L503" t="str">
            <v>–</v>
          </cell>
          <cell r="M503" t="str">
            <v>–</v>
          </cell>
          <cell r="N503" t="str">
            <v>–</v>
          </cell>
          <cell r="O503" t="str">
            <v>–</v>
          </cell>
          <cell r="P503">
            <v>8</v>
          </cell>
          <cell r="Q503" t="str">
            <v>–</v>
          </cell>
          <cell r="R503" t="str">
            <v>–</v>
          </cell>
          <cell r="S503" t="str">
            <v>–</v>
          </cell>
          <cell r="T503" t="str">
            <v>–</v>
          </cell>
          <cell r="U503" t="str">
            <v>–</v>
          </cell>
          <cell r="V503" t="str">
            <v>–</v>
          </cell>
          <cell r="W503">
            <v>0.75</v>
          </cell>
        </row>
        <row r="504">
          <cell r="B504" t="str">
            <v>2L8X8X3/4X3/8</v>
          </cell>
          <cell r="C504" t="str">
            <v>2L8X8X3/4X3/8</v>
          </cell>
          <cell r="D504" t="str">
            <v>F</v>
          </cell>
          <cell r="E504">
            <v>77.8</v>
          </cell>
          <cell r="F504">
            <v>23</v>
          </cell>
          <cell r="G504" t="str">
            <v>2L8X8X3/4X3/8</v>
          </cell>
          <cell r="H504">
            <v>8</v>
          </cell>
          <cell r="I504" t="str">
            <v>–</v>
          </cell>
          <cell r="J504" t="str">
            <v>–</v>
          </cell>
          <cell r="K504" t="str">
            <v>–</v>
          </cell>
          <cell r="L504" t="str">
            <v>–</v>
          </cell>
          <cell r="M504" t="str">
            <v>–</v>
          </cell>
          <cell r="N504" t="str">
            <v>–</v>
          </cell>
          <cell r="O504" t="str">
            <v>–</v>
          </cell>
          <cell r="P504">
            <v>8</v>
          </cell>
          <cell r="Q504" t="str">
            <v>–</v>
          </cell>
          <cell r="R504" t="str">
            <v>–</v>
          </cell>
          <cell r="S504" t="str">
            <v>–</v>
          </cell>
          <cell r="T504" t="str">
            <v>–</v>
          </cell>
          <cell r="U504" t="str">
            <v>–</v>
          </cell>
          <cell r="V504" t="str">
            <v>–</v>
          </cell>
          <cell r="W504">
            <v>0.75</v>
          </cell>
        </row>
        <row r="505">
          <cell r="B505" t="str">
            <v>2L8X8X3/4X3/4</v>
          </cell>
          <cell r="C505" t="str">
            <v>2L8X8X3/4X3/4</v>
          </cell>
          <cell r="D505" t="str">
            <v>F</v>
          </cell>
          <cell r="E505">
            <v>77.8</v>
          </cell>
          <cell r="F505">
            <v>23</v>
          </cell>
          <cell r="G505" t="str">
            <v>2L8X8X3/4X3/4</v>
          </cell>
          <cell r="H505">
            <v>8</v>
          </cell>
          <cell r="I505" t="str">
            <v>–</v>
          </cell>
          <cell r="J505" t="str">
            <v>–</v>
          </cell>
          <cell r="K505" t="str">
            <v>–</v>
          </cell>
          <cell r="L505" t="str">
            <v>–</v>
          </cell>
          <cell r="M505" t="str">
            <v>–</v>
          </cell>
          <cell r="N505" t="str">
            <v>–</v>
          </cell>
          <cell r="O505" t="str">
            <v>–</v>
          </cell>
          <cell r="P505">
            <v>8</v>
          </cell>
          <cell r="Q505" t="str">
            <v>–</v>
          </cell>
          <cell r="R505" t="str">
            <v>–</v>
          </cell>
          <cell r="S505" t="str">
            <v>–</v>
          </cell>
          <cell r="T505" t="str">
            <v>–</v>
          </cell>
          <cell r="U505" t="str">
            <v>–</v>
          </cell>
          <cell r="V505" t="str">
            <v>–</v>
          </cell>
          <cell r="W505">
            <v>0.75</v>
          </cell>
        </row>
        <row r="506">
          <cell r="B506" t="str">
            <v>2L8X8X5/8</v>
          </cell>
          <cell r="C506" t="str">
            <v>2L8X8X5/8</v>
          </cell>
          <cell r="D506" t="str">
            <v>F</v>
          </cell>
          <cell r="E506">
            <v>65.400000000000006</v>
          </cell>
          <cell r="F506">
            <v>19.399999999999999</v>
          </cell>
          <cell r="G506" t="str">
            <v>2L8X8X5/8</v>
          </cell>
          <cell r="H506">
            <v>8</v>
          </cell>
          <cell r="I506" t="str">
            <v>–</v>
          </cell>
          <cell r="J506" t="str">
            <v>–</v>
          </cell>
          <cell r="K506" t="str">
            <v>–</v>
          </cell>
          <cell r="L506" t="str">
            <v>–</v>
          </cell>
          <cell r="M506" t="str">
            <v>–</v>
          </cell>
          <cell r="N506" t="str">
            <v>–</v>
          </cell>
          <cell r="O506" t="str">
            <v>–</v>
          </cell>
          <cell r="P506">
            <v>8</v>
          </cell>
          <cell r="Q506" t="str">
            <v>–</v>
          </cell>
          <cell r="R506" t="str">
            <v>–</v>
          </cell>
          <cell r="S506" t="str">
            <v>–</v>
          </cell>
          <cell r="T506" t="str">
            <v>–</v>
          </cell>
          <cell r="U506" t="str">
            <v>–</v>
          </cell>
          <cell r="V506" t="str">
            <v>–</v>
          </cell>
          <cell r="W506">
            <v>0.625</v>
          </cell>
        </row>
        <row r="507">
          <cell r="B507" t="str">
            <v>2L8X8X5/8X3/8</v>
          </cell>
          <cell r="C507" t="str">
            <v>2L8X8X5/8X3/8</v>
          </cell>
          <cell r="D507" t="str">
            <v>F</v>
          </cell>
          <cell r="E507">
            <v>65.400000000000006</v>
          </cell>
          <cell r="F507">
            <v>19.399999999999999</v>
          </cell>
          <cell r="G507" t="str">
            <v>2L8X8X5/8X3/8</v>
          </cell>
          <cell r="H507">
            <v>8</v>
          </cell>
          <cell r="I507" t="str">
            <v>–</v>
          </cell>
          <cell r="J507" t="str">
            <v>–</v>
          </cell>
          <cell r="K507" t="str">
            <v>–</v>
          </cell>
          <cell r="L507" t="str">
            <v>–</v>
          </cell>
          <cell r="M507" t="str">
            <v>–</v>
          </cell>
          <cell r="N507" t="str">
            <v>–</v>
          </cell>
          <cell r="O507" t="str">
            <v>–</v>
          </cell>
          <cell r="P507">
            <v>8</v>
          </cell>
          <cell r="Q507" t="str">
            <v>–</v>
          </cell>
          <cell r="R507" t="str">
            <v>–</v>
          </cell>
          <cell r="S507" t="str">
            <v>–</v>
          </cell>
          <cell r="T507" t="str">
            <v>–</v>
          </cell>
          <cell r="U507" t="str">
            <v>–</v>
          </cell>
          <cell r="V507" t="str">
            <v>–</v>
          </cell>
          <cell r="W507">
            <v>0.625</v>
          </cell>
        </row>
        <row r="508">
          <cell r="B508" t="str">
            <v>2L8X8X5/8X3/4</v>
          </cell>
          <cell r="C508" t="str">
            <v>2L8X8X5/8X3/4</v>
          </cell>
          <cell r="D508" t="str">
            <v>F</v>
          </cell>
          <cell r="E508">
            <v>65.400000000000006</v>
          </cell>
          <cell r="F508">
            <v>19.399999999999999</v>
          </cell>
          <cell r="G508" t="str">
            <v>2L8X8X5/8X3/4</v>
          </cell>
          <cell r="H508">
            <v>8</v>
          </cell>
          <cell r="I508" t="str">
            <v>–</v>
          </cell>
          <cell r="J508" t="str">
            <v>–</v>
          </cell>
          <cell r="K508" t="str">
            <v>–</v>
          </cell>
          <cell r="L508" t="str">
            <v>–</v>
          </cell>
          <cell r="M508" t="str">
            <v>–</v>
          </cell>
          <cell r="N508" t="str">
            <v>–</v>
          </cell>
          <cell r="O508" t="str">
            <v>–</v>
          </cell>
          <cell r="P508">
            <v>8</v>
          </cell>
          <cell r="Q508" t="str">
            <v>–</v>
          </cell>
          <cell r="R508" t="str">
            <v>–</v>
          </cell>
          <cell r="S508" t="str">
            <v>–</v>
          </cell>
          <cell r="T508" t="str">
            <v>–</v>
          </cell>
          <cell r="U508" t="str">
            <v>–</v>
          </cell>
          <cell r="V508" t="str">
            <v>–</v>
          </cell>
          <cell r="W508">
            <v>0.625</v>
          </cell>
        </row>
        <row r="509">
          <cell r="B509" t="str">
            <v>2L8X8X9/16</v>
          </cell>
          <cell r="C509" t="str">
            <v>2L8X8X9/16</v>
          </cell>
          <cell r="D509" t="str">
            <v>F</v>
          </cell>
          <cell r="E509">
            <v>59.2</v>
          </cell>
          <cell r="F509">
            <v>17.5</v>
          </cell>
          <cell r="G509" t="str">
            <v>2L8X8X9/16</v>
          </cell>
          <cell r="H509">
            <v>8</v>
          </cell>
          <cell r="I509" t="str">
            <v>–</v>
          </cell>
          <cell r="J509" t="str">
            <v>–</v>
          </cell>
          <cell r="K509" t="str">
            <v>–</v>
          </cell>
          <cell r="L509" t="str">
            <v>–</v>
          </cell>
          <cell r="M509" t="str">
            <v>–</v>
          </cell>
          <cell r="N509" t="str">
            <v>–</v>
          </cell>
          <cell r="O509" t="str">
            <v>–</v>
          </cell>
          <cell r="P509">
            <v>8</v>
          </cell>
          <cell r="Q509" t="str">
            <v>–</v>
          </cell>
          <cell r="R509" t="str">
            <v>–</v>
          </cell>
          <cell r="S509" t="str">
            <v>–</v>
          </cell>
          <cell r="T509" t="str">
            <v>–</v>
          </cell>
          <cell r="U509" t="str">
            <v>–</v>
          </cell>
          <cell r="V509" t="str">
            <v>–</v>
          </cell>
          <cell r="W509">
            <v>0.56299999999999994</v>
          </cell>
        </row>
        <row r="510">
          <cell r="B510" t="str">
            <v>2L8X8X9/16X3/8</v>
          </cell>
          <cell r="C510" t="str">
            <v>2L8X8X9/16X3/8</v>
          </cell>
          <cell r="D510" t="str">
            <v>F</v>
          </cell>
          <cell r="E510">
            <v>59.2</v>
          </cell>
          <cell r="F510">
            <v>17.5</v>
          </cell>
          <cell r="G510" t="str">
            <v>2L8X8X9/16X3/8</v>
          </cell>
          <cell r="H510">
            <v>8</v>
          </cell>
          <cell r="I510" t="str">
            <v>–</v>
          </cell>
          <cell r="J510" t="str">
            <v>–</v>
          </cell>
          <cell r="K510" t="str">
            <v>–</v>
          </cell>
          <cell r="L510" t="str">
            <v>–</v>
          </cell>
          <cell r="M510" t="str">
            <v>–</v>
          </cell>
          <cell r="N510" t="str">
            <v>–</v>
          </cell>
          <cell r="O510" t="str">
            <v>–</v>
          </cell>
          <cell r="P510">
            <v>8</v>
          </cell>
          <cell r="Q510" t="str">
            <v>–</v>
          </cell>
          <cell r="R510" t="str">
            <v>–</v>
          </cell>
          <cell r="S510" t="str">
            <v>–</v>
          </cell>
          <cell r="T510" t="str">
            <v>–</v>
          </cell>
          <cell r="U510" t="str">
            <v>–</v>
          </cell>
          <cell r="V510" t="str">
            <v>–</v>
          </cell>
          <cell r="W510">
            <v>0.56299999999999994</v>
          </cell>
        </row>
        <row r="511">
          <cell r="B511" t="str">
            <v>2L8X8X9/16X3/4</v>
          </cell>
          <cell r="C511" t="str">
            <v>2L8X8X9/16X3/4</v>
          </cell>
          <cell r="D511" t="str">
            <v>F</v>
          </cell>
          <cell r="E511">
            <v>59.2</v>
          </cell>
          <cell r="F511">
            <v>17.5</v>
          </cell>
          <cell r="G511" t="str">
            <v>2L8X8X9/16X3/4</v>
          </cell>
          <cell r="H511">
            <v>8</v>
          </cell>
          <cell r="I511" t="str">
            <v>–</v>
          </cell>
          <cell r="J511" t="str">
            <v>–</v>
          </cell>
          <cell r="K511" t="str">
            <v>–</v>
          </cell>
          <cell r="L511" t="str">
            <v>–</v>
          </cell>
          <cell r="M511" t="str">
            <v>–</v>
          </cell>
          <cell r="N511" t="str">
            <v>–</v>
          </cell>
          <cell r="O511" t="str">
            <v>–</v>
          </cell>
          <cell r="P511">
            <v>8</v>
          </cell>
          <cell r="Q511" t="str">
            <v>–</v>
          </cell>
          <cell r="R511" t="str">
            <v>–</v>
          </cell>
          <cell r="S511" t="str">
            <v>–</v>
          </cell>
          <cell r="T511" t="str">
            <v>–</v>
          </cell>
          <cell r="U511" t="str">
            <v>–</v>
          </cell>
          <cell r="V511" t="str">
            <v>–</v>
          </cell>
          <cell r="W511">
            <v>0.56299999999999994</v>
          </cell>
        </row>
        <row r="512">
          <cell r="B512" t="str">
            <v>2L8X8X1/2</v>
          </cell>
          <cell r="C512" t="str">
            <v>2L8X8X1/2</v>
          </cell>
          <cell r="D512" t="str">
            <v>F</v>
          </cell>
          <cell r="E512">
            <v>52.8</v>
          </cell>
          <cell r="F512">
            <v>15.7</v>
          </cell>
          <cell r="G512" t="str">
            <v>2L8X8X1/2</v>
          </cell>
          <cell r="H512">
            <v>8</v>
          </cell>
          <cell r="I512" t="str">
            <v>–</v>
          </cell>
          <cell r="J512" t="str">
            <v>–</v>
          </cell>
          <cell r="K512" t="str">
            <v>–</v>
          </cell>
          <cell r="L512" t="str">
            <v>–</v>
          </cell>
          <cell r="M512" t="str">
            <v>–</v>
          </cell>
          <cell r="N512" t="str">
            <v>–</v>
          </cell>
          <cell r="O512" t="str">
            <v>–</v>
          </cell>
          <cell r="P512">
            <v>8</v>
          </cell>
          <cell r="Q512" t="str">
            <v>–</v>
          </cell>
          <cell r="R512" t="str">
            <v>–</v>
          </cell>
          <cell r="S512" t="str">
            <v>–</v>
          </cell>
          <cell r="T512" t="str">
            <v>–</v>
          </cell>
          <cell r="U512" t="str">
            <v>–</v>
          </cell>
          <cell r="V512" t="str">
            <v>–</v>
          </cell>
          <cell r="W512">
            <v>0.5</v>
          </cell>
        </row>
        <row r="513">
          <cell r="B513" t="str">
            <v>2L8X8X1/2X3/8</v>
          </cell>
          <cell r="C513" t="str">
            <v>2L8X8X1/2X3/8</v>
          </cell>
          <cell r="D513" t="str">
            <v>F</v>
          </cell>
          <cell r="E513">
            <v>52.8</v>
          </cell>
          <cell r="F513">
            <v>15.7</v>
          </cell>
          <cell r="G513" t="str">
            <v>2L8X8X1/2X3/8</v>
          </cell>
          <cell r="H513">
            <v>8</v>
          </cell>
          <cell r="I513" t="str">
            <v>–</v>
          </cell>
          <cell r="J513" t="str">
            <v>–</v>
          </cell>
          <cell r="K513" t="str">
            <v>–</v>
          </cell>
          <cell r="L513" t="str">
            <v>–</v>
          </cell>
          <cell r="M513" t="str">
            <v>–</v>
          </cell>
          <cell r="N513" t="str">
            <v>–</v>
          </cell>
          <cell r="O513" t="str">
            <v>–</v>
          </cell>
          <cell r="P513">
            <v>8</v>
          </cell>
          <cell r="Q513" t="str">
            <v>–</v>
          </cell>
          <cell r="R513" t="str">
            <v>–</v>
          </cell>
          <cell r="S513" t="str">
            <v>–</v>
          </cell>
          <cell r="T513" t="str">
            <v>–</v>
          </cell>
          <cell r="U513" t="str">
            <v>–</v>
          </cell>
          <cell r="V513" t="str">
            <v>–</v>
          </cell>
          <cell r="W513">
            <v>0.5</v>
          </cell>
        </row>
        <row r="514">
          <cell r="B514" t="str">
            <v>2L8X8X1/2X3/4</v>
          </cell>
          <cell r="C514" t="str">
            <v>2L8X8X1/2X3/4</v>
          </cell>
          <cell r="D514" t="str">
            <v>F</v>
          </cell>
          <cell r="E514">
            <v>52.8</v>
          </cell>
          <cell r="F514">
            <v>15.7</v>
          </cell>
          <cell r="G514" t="str">
            <v>2L8X8X1/2X3/4</v>
          </cell>
          <cell r="H514">
            <v>8</v>
          </cell>
          <cell r="I514" t="str">
            <v>–</v>
          </cell>
          <cell r="J514" t="str">
            <v>–</v>
          </cell>
          <cell r="K514" t="str">
            <v>–</v>
          </cell>
          <cell r="L514" t="str">
            <v>–</v>
          </cell>
          <cell r="M514" t="str">
            <v>–</v>
          </cell>
          <cell r="N514" t="str">
            <v>–</v>
          </cell>
          <cell r="O514" t="str">
            <v>–</v>
          </cell>
          <cell r="P514">
            <v>8</v>
          </cell>
          <cell r="Q514" t="str">
            <v>–</v>
          </cell>
          <cell r="R514" t="str">
            <v>–</v>
          </cell>
          <cell r="S514" t="str">
            <v>–</v>
          </cell>
          <cell r="T514" t="str">
            <v>–</v>
          </cell>
          <cell r="U514" t="str">
            <v>–</v>
          </cell>
          <cell r="V514" t="str">
            <v>–</v>
          </cell>
          <cell r="W514">
            <v>0.5</v>
          </cell>
        </row>
        <row r="515">
          <cell r="B515" t="str">
            <v>2L6X6X1</v>
          </cell>
          <cell r="C515" t="str">
            <v>2L6X6X1</v>
          </cell>
          <cell r="D515" t="str">
            <v>F</v>
          </cell>
          <cell r="E515">
            <v>74.8</v>
          </cell>
          <cell r="F515">
            <v>22</v>
          </cell>
          <cell r="G515" t="str">
            <v>2L6X6X1</v>
          </cell>
          <cell r="H515">
            <v>6</v>
          </cell>
          <cell r="I515" t="str">
            <v>–</v>
          </cell>
          <cell r="J515" t="str">
            <v>–</v>
          </cell>
          <cell r="K515" t="str">
            <v>–</v>
          </cell>
          <cell r="L515" t="str">
            <v>–</v>
          </cell>
          <cell r="M515" t="str">
            <v>–</v>
          </cell>
          <cell r="N515" t="str">
            <v>–</v>
          </cell>
          <cell r="O515" t="str">
            <v>–</v>
          </cell>
          <cell r="P515">
            <v>6</v>
          </cell>
          <cell r="Q515" t="str">
            <v>–</v>
          </cell>
          <cell r="R515" t="str">
            <v>–</v>
          </cell>
          <cell r="S515" t="str">
            <v>–</v>
          </cell>
          <cell r="T515" t="str">
            <v>–</v>
          </cell>
          <cell r="U515" t="str">
            <v>–</v>
          </cell>
          <cell r="V515" t="str">
            <v>–</v>
          </cell>
          <cell r="W515">
            <v>1</v>
          </cell>
        </row>
        <row r="516">
          <cell r="B516" t="str">
            <v>2L6X6X1X3/8</v>
          </cell>
          <cell r="C516" t="str">
            <v>2L6X6X1X3/8</v>
          </cell>
          <cell r="D516" t="str">
            <v>F</v>
          </cell>
          <cell r="E516">
            <v>74.8</v>
          </cell>
          <cell r="F516">
            <v>22</v>
          </cell>
          <cell r="G516" t="str">
            <v>2L6X6X1X3/8</v>
          </cell>
          <cell r="H516">
            <v>6</v>
          </cell>
          <cell r="I516" t="str">
            <v>–</v>
          </cell>
          <cell r="J516" t="str">
            <v>–</v>
          </cell>
          <cell r="K516" t="str">
            <v>–</v>
          </cell>
          <cell r="L516" t="str">
            <v>–</v>
          </cell>
          <cell r="M516" t="str">
            <v>–</v>
          </cell>
          <cell r="N516" t="str">
            <v>–</v>
          </cell>
          <cell r="O516" t="str">
            <v>–</v>
          </cell>
          <cell r="P516">
            <v>6</v>
          </cell>
          <cell r="Q516" t="str">
            <v>–</v>
          </cell>
          <cell r="R516" t="str">
            <v>–</v>
          </cell>
          <cell r="S516" t="str">
            <v>–</v>
          </cell>
          <cell r="T516" t="str">
            <v>–</v>
          </cell>
          <cell r="U516" t="str">
            <v>–</v>
          </cell>
          <cell r="V516" t="str">
            <v>–</v>
          </cell>
          <cell r="W516">
            <v>1</v>
          </cell>
        </row>
        <row r="517">
          <cell r="B517" t="str">
            <v>2L6X6X1X3/4</v>
          </cell>
          <cell r="C517" t="str">
            <v>2L6X6X1X3/4</v>
          </cell>
          <cell r="D517" t="str">
            <v>F</v>
          </cell>
          <cell r="E517">
            <v>74.8</v>
          </cell>
          <cell r="F517">
            <v>22</v>
          </cell>
          <cell r="G517" t="str">
            <v>2L6X6X1X3/4</v>
          </cell>
          <cell r="H517">
            <v>6</v>
          </cell>
          <cell r="I517" t="str">
            <v>–</v>
          </cell>
          <cell r="J517" t="str">
            <v>–</v>
          </cell>
          <cell r="K517" t="str">
            <v>–</v>
          </cell>
          <cell r="L517" t="str">
            <v>–</v>
          </cell>
          <cell r="M517" t="str">
            <v>–</v>
          </cell>
          <cell r="N517" t="str">
            <v>–</v>
          </cell>
          <cell r="O517" t="str">
            <v>–</v>
          </cell>
          <cell r="P517">
            <v>6</v>
          </cell>
          <cell r="Q517" t="str">
            <v>–</v>
          </cell>
          <cell r="R517" t="str">
            <v>–</v>
          </cell>
          <cell r="S517" t="str">
            <v>–</v>
          </cell>
          <cell r="T517" t="str">
            <v>–</v>
          </cell>
          <cell r="U517" t="str">
            <v>–</v>
          </cell>
          <cell r="V517" t="str">
            <v>–</v>
          </cell>
          <cell r="W517">
            <v>1</v>
          </cell>
        </row>
        <row r="518">
          <cell r="B518" t="str">
            <v>2L6X6X7/8</v>
          </cell>
          <cell r="C518" t="str">
            <v>2L6X6X7/8</v>
          </cell>
          <cell r="D518" t="str">
            <v>F</v>
          </cell>
          <cell r="E518">
            <v>66.2</v>
          </cell>
          <cell r="F518">
            <v>19.5</v>
          </cell>
          <cell r="G518" t="str">
            <v>2L6X6X7/8</v>
          </cell>
          <cell r="H518">
            <v>6</v>
          </cell>
          <cell r="I518" t="str">
            <v>–</v>
          </cell>
          <cell r="J518" t="str">
            <v>–</v>
          </cell>
          <cell r="K518" t="str">
            <v>–</v>
          </cell>
          <cell r="L518" t="str">
            <v>–</v>
          </cell>
          <cell r="M518" t="str">
            <v>–</v>
          </cell>
          <cell r="N518" t="str">
            <v>–</v>
          </cell>
          <cell r="O518" t="str">
            <v>–</v>
          </cell>
          <cell r="P518">
            <v>6</v>
          </cell>
          <cell r="Q518" t="str">
            <v>–</v>
          </cell>
          <cell r="R518" t="str">
            <v>–</v>
          </cell>
          <cell r="S518" t="str">
            <v>–</v>
          </cell>
          <cell r="T518" t="str">
            <v>–</v>
          </cell>
          <cell r="U518" t="str">
            <v>–</v>
          </cell>
          <cell r="V518" t="str">
            <v>–</v>
          </cell>
          <cell r="W518">
            <v>0.875</v>
          </cell>
        </row>
        <row r="519">
          <cell r="B519" t="str">
            <v>2L6X6X7/8X3/8</v>
          </cell>
          <cell r="C519" t="str">
            <v>2L6X6X7/8X3/8</v>
          </cell>
          <cell r="D519" t="str">
            <v>F</v>
          </cell>
          <cell r="E519">
            <v>66.2</v>
          </cell>
          <cell r="F519">
            <v>19.5</v>
          </cell>
          <cell r="G519" t="str">
            <v>2L6X6X7/8X3/8</v>
          </cell>
          <cell r="H519">
            <v>6</v>
          </cell>
          <cell r="I519" t="str">
            <v>–</v>
          </cell>
          <cell r="J519" t="str">
            <v>–</v>
          </cell>
          <cell r="K519" t="str">
            <v>–</v>
          </cell>
          <cell r="L519" t="str">
            <v>–</v>
          </cell>
          <cell r="M519" t="str">
            <v>–</v>
          </cell>
          <cell r="N519" t="str">
            <v>–</v>
          </cell>
          <cell r="O519" t="str">
            <v>–</v>
          </cell>
          <cell r="P519">
            <v>6</v>
          </cell>
          <cell r="Q519" t="str">
            <v>–</v>
          </cell>
          <cell r="R519" t="str">
            <v>–</v>
          </cell>
          <cell r="S519" t="str">
            <v>–</v>
          </cell>
          <cell r="T519" t="str">
            <v>–</v>
          </cell>
          <cell r="U519" t="str">
            <v>–</v>
          </cell>
          <cell r="V519" t="str">
            <v>–</v>
          </cell>
          <cell r="W519">
            <v>0.875</v>
          </cell>
        </row>
        <row r="520">
          <cell r="B520" t="str">
            <v>2L6X6X7/8X3/4</v>
          </cell>
          <cell r="C520" t="str">
            <v>2L6X6X7/8X3/4</v>
          </cell>
          <cell r="D520" t="str">
            <v>F</v>
          </cell>
          <cell r="E520">
            <v>66.2</v>
          </cell>
          <cell r="F520">
            <v>19.5</v>
          </cell>
          <cell r="G520" t="str">
            <v>2L6X6X7/8X3/4</v>
          </cell>
          <cell r="H520">
            <v>6</v>
          </cell>
          <cell r="I520" t="str">
            <v>–</v>
          </cell>
          <cell r="J520" t="str">
            <v>–</v>
          </cell>
          <cell r="K520" t="str">
            <v>–</v>
          </cell>
          <cell r="L520" t="str">
            <v>–</v>
          </cell>
          <cell r="M520" t="str">
            <v>–</v>
          </cell>
          <cell r="N520" t="str">
            <v>–</v>
          </cell>
          <cell r="O520" t="str">
            <v>–</v>
          </cell>
          <cell r="P520">
            <v>6</v>
          </cell>
          <cell r="Q520" t="str">
            <v>–</v>
          </cell>
          <cell r="R520" t="str">
            <v>–</v>
          </cell>
          <cell r="S520" t="str">
            <v>–</v>
          </cell>
          <cell r="T520" t="str">
            <v>–</v>
          </cell>
          <cell r="U520" t="str">
            <v>–</v>
          </cell>
          <cell r="V520" t="str">
            <v>–</v>
          </cell>
          <cell r="W520">
            <v>0.875</v>
          </cell>
        </row>
        <row r="521">
          <cell r="B521" t="str">
            <v>2L6X6X3/4</v>
          </cell>
          <cell r="C521" t="str">
            <v>2L6X6X3/4</v>
          </cell>
          <cell r="D521" t="str">
            <v>F</v>
          </cell>
          <cell r="E521">
            <v>57.4</v>
          </cell>
          <cell r="F521">
            <v>16.899999999999999</v>
          </cell>
          <cell r="G521" t="str">
            <v>2L6X6X3/4</v>
          </cell>
          <cell r="H521">
            <v>6</v>
          </cell>
          <cell r="I521" t="str">
            <v>–</v>
          </cell>
          <cell r="J521" t="str">
            <v>–</v>
          </cell>
          <cell r="K521" t="str">
            <v>–</v>
          </cell>
          <cell r="L521" t="str">
            <v>–</v>
          </cell>
          <cell r="M521" t="str">
            <v>–</v>
          </cell>
          <cell r="N521" t="str">
            <v>–</v>
          </cell>
          <cell r="O521" t="str">
            <v>–</v>
          </cell>
          <cell r="P521">
            <v>6</v>
          </cell>
          <cell r="Q521" t="str">
            <v>–</v>
          </cell>
          <cell r="R521" t="str">
            <v>–</v>
          </cell>
          <cell r="S521" t="str">
            <v>–</v>
          </cell>
          <cell r="T521" t="str">
            <v>–</v>
          </cell>
          <cell r="U521" t="str">
            <v>–</v>
          </cell>
          <cell r="V521" t="str">
            <v>–</v>
          </cell>
          <cell r="W521">
            <v>0.75</v>
          </cell>
        </row>
        <row r="522">
          <cell r="B522" t="str">
            <v>2L6X6X3/4X3/8</v>
          </cell>
          <cell r="C522" t="str">
            <v>2L6X6X3/4X3/8</v>
          </cell>
          <cell r="D522" t="str">
            <v>F</v>
          </cell>
          <cell r="E522">
            <v>57.4</v>
          </cell>
          <cell r="F522">
            <v>16.899999999999999</v>
          </cell>
          <cell r="G522" t="str">
            <v>2L6X6X3/4X3/8</v>
          </cell>
          <cell r="H522">
            <v>6</v>
          </cell>
          <cell r="I522" t="str">
            <v>–</v>
          </cell>
          <cell r="J522" t="str">
            <v>–</v>
          </cell>
          <cell r="K522" t="str">
            <v>–</v>
          </cell>
          <cell r="L522" t="str">
            <v>–</v>
          </cell>
          <cell r="M522" t="str">
            <v>–</v>
          </cell>
          <cell r="N522" t="str">
            <v>–</v>
          </cell>
          <cell r="O522" t="str">
            <v>–</v>
          </cell>
          <cell r="P522">
            <v>6</v>
          </cell>
          <cell r="Q522" t="str">
            <v>–</v>
          </cell>
          <cell r="R522" t="str">
            <v>–</v>
          </cell>
          <cell r="S522" t="str">
            <v>–</v>
          </cell>
          <cell r="T522" t="str">
            <v>–</v>
          </cell>
          <cell r="U522" t="str">
            <v>–</v>
          </cell>
          <cell r="V522" t="str">
            <v>–</v>
          </cell>
          <cell r="W522">
            <v>0.75</v>
          </cell>
        </row>
        <row r="523">
          <cell r="B523" t="str">
            <v>2L6X6X3/4X3/4</v>
          </cell>
          <cell r="C523" t="str">
            <v>2L6X6X3/4X3/4</v>
          </cell>
          <cell r="D523" t="str">
            <v>F</v>
          </cell>
          <cell r="E523">
            <v>57.4</v>
          </cell>
          <cell r="F523">
            <v>16.899999999999999</v>
          </cell>
          <cell r="G523" t="str">
            <v>2L6X6X3/4X3/4</v>
          </cell>
          <cell r="H523">
            <v>6</v>
          </cell>
          <cell r="I523" t="str">
            <v>–</v>
          </cell>
          <cell r="J523" t="str">
            <v>–</v>
          </cell>
          <cell r="K523" t="str">
            <v>–</v>
          </cell>
          <cell r="L523" t="str">
            <v>–</v>
          </cell>
          <cell r="M523" t="str">
            <v>–</v>
          </cell>
          <cell r="N523" t="str">
            <v>–</v>
          </cell>
          <cell r="O523" t="str">
            <v>–</v>
          </cell>
          <cell r="P523">
            <v>6</v>
          </cell>
          <cell r="Q523" t="str">
            <v>–</v>
          </cell>
          <cell r="R523" t="str">
            <v>–</v>
          </cell>
          <cell r="S523" t="str">
            <v>–</v>
          </cell>
          <cell r="T523" t="str">
            <v>–</v>
          </cell>
          <cell r="U523" t="str">
            <v>–</v>
          </cell>
          <cell r="V523" t="str">
            <v>–</v>
          </cell>
          <cell r="W523">
            <v>0.75</v>
          </cell>
        </row>
        <row r="524">
          <cell r="B524" t="str">
            <v>2L6X6X5/8</v>
          </cell>
          <cell r="C524" t="str">
            <v>2L6X6X5/8</v>
          </cell>
          <cell r="D524" t="str">
            <v>F</v>
          </cell>
          <cell r="E524">
            <v>48.4</v>
          </cell>
          <cell r="F524">
            <v>14.3</v>
          </cell>
          <cell r="G524" t="str">
            <v>2L6X6X5/8</v>
          </cell>
          <cell r="H524">
            <v>6</v>
          </cell>
          <cell r="I524" t="str">
            <v>–</v>
          </cell>
          <cell r="J524" t="str">
            <v>–</v>
          </cell>
          <cell r="K524" t="str">
            <v>–</v>
          </cell>
          <cell r="L524" t="str">
            <v>–</v>
          </cell>
          <cell r="M524" t="str">
            <v>–</v>
          </cell>
          <cell r="N524" t="str">
            <v>–</v>
          </cell>
          <cell r="O524" t="str">
            <v>–</v>
          </cell>
          <cell r="P524">
            <v>6</v>
          </cell>
          <cell r="Q524" t="str">
            <v>–</v>
          </cell>
          <cell r="R524" t="str">
            <v>–</v>
          </cell>
          <cell r="S524" t="str">
            <v>–</v>
          </cell>
          <cell r="T524" t="str">
            <v>–</v>
          </cell>
          <cell r="U524" t="str">
            <v>–</v>
          </cell>
          <cell r="V524" t="str">
            <v>–</v>
          </cell>
          <cell r="W524">
            <v>0.625</v>
          </cell>
        </row>
        <row r="525">
          <cell r="B525" t="str">
            <v>2L6X6X5/8X3/8</v>
          </cell>
          <cell r="C525" t="str">
            <v>2L6X6X5/8X3/8</v>
          </cell>
          <cell r="D525" t="str">
            <v>F</v>
          </cell>
          <cell r="E525">
            <v>48.4</v>
          </cell>
          <cell r="F525">
            <v>14.3</v>
          </cell>
          <cell r="G525" t="str">
            <v>2L6X6X5/8X3/8</v>
          </cell>
          <cell r="H525">
            <v>6</v>
          </cell>
          <cell r="I525" t="str">
            <v>–</v>
          </cell>
          <cell r="J525" t="str">
            <v>–</v>
          </cell>
          <cell r="K525" t="str">
            <v>–</v>
          </cell>
          <cell r="L525" t="str">
            <v>–</v>
          </cell>
          <cell r="M525" t="str">
            <v>–</v>
          </cell>
          <cell r="N525" t="str">
            <v>–</v>
          </cell>
          <cell r="O525" t="str">
            <v>–</v>
          </cell>
          <cell r="P525">
            <v>6</v>
          </cell>
          <cell r="Q525" t="str">
            <v>–</v>
          </cell>
          <cell r="R525" t="str">
            <v>–</v>
          </cell>
          <cell r="S525" t="str">
            <v>–</v>
          </cell>
          <cell r="T525" t="str">
            <v>–</v>
          </cell>
          <cell r="U525" t="str">
            <v>–</v>
          </cell>
          <cell r="V525" t="str">
            <v>–</v>
          </cell>
          <cell r="W525">
            <v>0.625</v>
          </cell>
        </row>
        <row r="526">
          <cell r="B526" t="str">
            <v>2L6X6X5/8X3/4</v>
          </cell>
          <cell r="C526" t="str">
            <v>2L6X6X5/8X3/4</v>
          </cell>
          <cell r="D526" t="str">
            <v>F</v>
          </cell>
          <cell r="E526">
            <v>48.4</v>
          </cell>
          <cell r="F526">
            <v>14.3</v>
          </cell>
          <cell r="G526" t="str">
            <v>2L6X6X5/8X3/4</v>
          </cell>
          <cell r="H526">
            <v>6</v>
          </cell>
          <cell r="I526" t="str">
            <v>–</v>
          </cell>
          <cell r="J526" t="str">
            <v>–</v>
          </cell>
          <cell r="K526" t="str">
            <v>–</v>
          </cell>
          <cell r="L526" t="str">
            <v>–</v>
          </cell>
          <cell r="M526" t="str">
            <v>–</v>
          </cell>
          <cell r="N526" t="str">
            <v>–</v>
          </cell>
          <cell r="O526" t="str">
            <v>–</v>
          </cell>
          <cell r="P526">
            <v>6</v>
          </cell>
          <cell r="Q526" t="str">
            <v>–</v>
          </cell>
          <cell r="R526" t="str">
            <v>–</v>
          </cell>
          <cell r="S526" t="str">
            <v>–</v>
          </cell>
          <cell r="T526" t="str">
            <v>–</v>
          </cell>
          <cell r="U526" t="str">
            <v>–</v>
          </cell>
          <cell r="V526" t="str">
            <v>–</v>
          </cell>
          <cell r="W526">
            <v>0.625</v>
          </cell>
        </row>
        <row r="527">
          <cell r="B527" t="str">
            <v>2L6X6X9/16</v>
          </cell>
          <cell r="C527" t="str">
            <v>2L6X6X9/16</v>
          </cell>
          <cell r="D527" t="str">
            <v>F</v>
          </cell>
          <cell r="E527">
            <v>43.8</v>
          </cell>
          <cell r="F527">
            <v>12.9</v>
          </cell>
          <cell r="G527" t="str">
            <v>2L6X6X9/16</v>
          </cell>
          <cell r="H527">
            <v>6</v>
          </cell>
          <cell r="I527" t="str">
            <v>–</v>
          </cell>
          <cell r="J527" t="str">
            <v>–</v>
          </cell>
          <cell r="K527" t="str">
            <v>–</v>
          </cell>
          <cell r="L527" t="str">
            <v>–</v>
          </cell>
          <cell r="M527" t="str">
            <v>–</v>
          </cell>
          <cell r="N527" t="str">
            <v>–</v>
          </cell>
          <cell r="O527" t="str">
            <v>–</v>
          </cell>
          <cell r="P527">
            <v>6</v>
          </cell>
          <cell r="Q527" t="str">
            <v>–</v>
          </cell>
          <cell r="R527" t="str">
            <v>–</v>
          </cell>
          <cell r="S527" t="str">
            <v>–</v>
          </cell>
          <cell r="T527" t="str">
            <v>–</v>
          </cell>
          <cell r="U527" t="str">
            <v>–</v>
          </cell>
          <cell r="V527" t="str">
            <v>–</v>
          </cell>
          <cell r="W527">
            <v>0.56299999999999994</v>
          </cell>
        </row>
        <row r="528">
          <cell r="B528" t="str">
            <v>2L6X6X9/16X3/8</v>
          </cell>
          <cell r="C528" t="str">
            <v>2L6X6X9/16X3/8</v>
          </cell>
          <cell r="D528" t="str">
            <v>F</v>
          </cell>
          <cell r="E528">
            <v>43.8</v>
          </cell>
          <cell r="F528">
            <v>12.9</v>
          </cell>
          <cell r="G528" t="str">
            <v>2L6X6X9/16X3/8</v>
          </cell>
          <cell r="H528">
            <v>6</v>
          </cell>
          <cell r="I528" t="str">
            <v>–</v>
          </cell>
          <cell r="J528" t="str">
            <v>–</v>
          </cell>
          <cell r="K528" t="str">
            <v>–</v>
          </cell>
          <cell r="L528" t="str">
            <v>–</v>
          </cell>
          <cell r="M528" t="str">
            <v>–</v>
          </cell>
          <cell r="N528" t="str">
            <v>–</v>
          </cell>
          <cell r="O528" t="str">
            <v>–</v>
          </cell>
          <cell r="P528">
            <v>6</v>
          </cell>
          <cell r="Q528" t="str">
            <v>–</v>
          </cell>
          <cell r="R528" t="str">
            <v>–</v>
          </cell>
          <cell r="S528" t="str">
            <v>–</v>
          </cell>
          <cell r="T528" t="str">
            <v>–</v>
          </cell>
          <cell r="U528" t="str">
            <v>–</v>
          </cell>
          <cell r="V528" t="str">
            <v>–</v>
          </cell>
          <cell r="W528">
            <v>0.56299999999999994</v>
          </cell>
        </row>
        <row r="529">
          <cell r="B529" t="str">
            <v>2L6X6X9/16X3/4</v>
          </cell>
          <cell r="C529" t="str">
            <v>2L6X6X9/16X3/4</v>
          </cell>
          <cell r="D529" t="str">
            <v>F</v>
          </cell>
          <cell r="E529">
            <v>43.8</v>
          </cell>
          <cell r="F529">
            <v>12.9</v>
          </cell>
          <cell r="G529" t="str">
            <v>2L6X6X9/16X3/4</v>
          </cell>
          <cell r="H529">
            <v>6</v>
          </cell>
          <cell r="I529" t="str">
            <v>–</v>
          </cell>
          <cell r="J529" t="str">
            <v>–</v>
          </cell>
          <cell r="K529" t="str">
            <v>–</v>
          </cell>
          <cell r="L529" t="str">
            <v>–</v>
          </cell>
          <cell r="M529" t="str">
            <v>–</v>
          </cell>
          <cell r="N529" t="str">
            <v>–</v>
          </cell>
          <cell r="O529" t="str">
            <v>–</v>
          </cell>
          <cell r="P529">
            <v>6</v>
          </cell>
          <cell r="Q529" t="str">
            <v>–</v>
          </cell>
          <cell r="R529" t="str">
            <v>–</v>
          </cell>
          <cell r="S529" t="str">
            <v>–</v>
          </cell>
          <cell r="T529" t="str">
            <v>–</v>
          </cell>
          <cell r="U529" t="str">
            <v>–</v>
          </cell>
          <cell r="V529" t="str">
            <v>–</v>
          </cell>
          <cell r="W529">
            <v>0.56299999999999994</v>
          </cell>
        </row>
        <row r="530">
          <cell r="B530" t="str">
            <v>2L6X6X1/2</v>
          </cell>
          <cell r="C530" t="str">
            <v>2L6X6X1/2</v>
          </cell>
          <cell r="D530" t="str">
            <v>F</v>
          </cell>
          <cell r="E530">
            <v>39.200000000000003</v>
          </cell>
          <cell r="F530">
            <v>11.5</v>
          </cell>
          <cell r="G530" t="str">
            <v>2L6X6X1/2</v>
          </cell>
          <cell r="H530">
            <v>6</v>
          </cell>
          <cell r="I530" t="str">
            <v>–</v>
          </cell>
          <cell r="J530" t="str">
            <v>–</v>
          </cell>
          <cell r="K530" t="str">
            <v>–</v>
          </cell>
          <cell r="L530" t="str">
            <v>–</v>
          </cell>
          <cell r="M530" t="str">
            <v>–</v>
          </cell>
          <cell r="N530" t="str">
            <v>–</v>
          </cell>
          <cell r="O530" t="str">
            <v>–</v>
          </cell>
          <cell r="P530">
            <v>6</v>
          </cell>
          <cell r="Q530" t="str">
            <v>–</v>
          </cell>
          <cell r="R530" t="str">
            <v>–</v>
          </cell>
          <cell r="S530" t="str">
            <v>–</v>
          </cell>
          <cell r="T530" t="str">
            <v>–</v>
          </cell>
          <cell r="U530" t="str">
            <v>–</v>
          </cell>
          <cell r="V530" t="str">
            <v>–</v>
          </cell>
          <cell r="W530">
            <v>0.5</v>
          </cell>
        </row>
        <row r="531">
          <cell r="B531" t="str">
            <v>2L6X6X1/2X3/8</v>
          </cell>
          <cell r="C531" t="str">
            <v>2L6X6X1/2X3/8</v>
          </cell>
          <cell r="D531" t="str">
            <v>F</v>
          </cell>
          <cell r="E531">
            <v>39.200000000000003</v>
          </cell>
          <cell r="F531">
            <v>11.5</v>
          </cell>
          <cell r="G531" t="str">
            <v>2L6X6X1/2X3/8</v>
          </cell>
          <cell r="H531">
            <v>6</v>
          </cell>
          <cell r="I531" t="str">
            <v>–</v>
          </cell>
          <cell r="J531" t="str">
            <v>–</v>
          </cell>
          <cell r="K531" t="str">
            <v>–</v>
          </cell>
          <cell r="L531" t="str">
            <v>–</v>
          </cell>
          <cell r="M531" t="str">
            <v>–</v>
          </cell>
          <cell r="N531" t="str">
            <v>–</v>
          </cell>
          <cell r="O531" t="str">
            <v>–</v>
          </cell>
          <cell r="P531">
            <v>6</v>
          </cell>
          <cell r="Q531" t="str">
            <v>–</v>
          </cell>
          <cell r="R531" t="str">
            <v>–</v>
          </cell>
          <cell r="S531" t="str">
            <v>–</v>
          </cell>
          <cell r="T531" t="str">
            <v>–</v>
          </cell>
          <cell r="U531" t="str">
            <v>–</v>
          </cell>
          <cell r="V531" t="str">
            <v>–</v>
          </cell>
          <cell r="W531">
            <v>0.5</v>
          </cell>
        </row>
        <row r="532">
          <cell r="B532" t="str">
            <v>2L6X6X1/2X3/4</v>
          </cell>
          <cell r="C532" t="str">
            <v>2L6X6X1/2X3/4</v>
          </cell>
          <cell r="D532" t="str">
            <v>F</v>
          </cell>
          <cell r="E532">
            <v>39.200000000000003</v>
          </cell>
          <cell r="F532">
            <v>11.5</v>
          </cell>
          <cell r="G532" t="str">
            <v>2L6X6X1/2X3/4</v>
          </cell>
          <cell r="H532">
            <v>6</v>
          </cell>
          <cell r="I532" t="str">
            <v>–</v>
          </cell>
          <cell r="J532" t="str">
            <v>–</v>
          </cell>
          <cell r="K532" t="str">
            <v>–</v>
          </cell>
          <cell r="L532" t="str">
            <v>–</v>
          </cell>
          <cell r="M532" t="str">
            <v>–</v>
          </cell>
          <cell r="N532" t="str">
            <v>–</v>
          </cell>
          <cell r="O532" t="str">
            <v>–</v>
          </cell>
          <cell r="P532">
            <v>6</v>
          </cell>
          <cell r="Q532" t="str">
            <v>–</v>
          </cell>
          <cell r="R532" t="str">
            <v>–</v>
          </cell>
          <cell r="S532" t="str">
            <v>–</v>
          </cell>
          <cell r="T532" t="str">
            <v>–</v>
          </cell>
          <cell r="U532" t="str">
            <v>–</v>
          </cell>
          <cell r="V532" t="str">
            <v>–</v>
          </cell>
          <cell r="W532">
            <v>0.5</v>
          </cell>
        </row>
        <row r="533">
          <cell r="B533" t="str">
            <v>2L6X6X7/16</v>
          </cell>
          <cell r="C533" t="str">
            <v>2L6X6X7/16</v>
          </cell>
          <cell r="D533" t="str">
            <v>F</v>
          </cell>
          <cell r="E533">
            <v>34.4</v>
          </cell>
          <cell r="F533">
            <v>10.199999999999999</v>
          </cell>
          <cell r="G533" t="str">
            <v>2L6X6X7/16</v>
          </cell>
          <cell r="H533">
            <v>6</v>
          </cell>
          <cell r="I533" t="str">
            <v>–</v>
          </cell>
          <cell r="J533" t="str">
            <v>–</v>
          </cell>
          <cell r="K533" t="str">
            <v>–</v>
          </cell>
          <cell r="L533" t="str">
            <v>–</v>
          </cell>
          <cell r="M533" t="str">
            <v>–</v>
          </cell>
          <cell r="N533" t="str">
            <v>–</v>
          </cell>
          <cell r="O533" t="str">
            <v>–</v>
          </cell>
          <cell r="P533">
            <v>6</v>
          </cell>
          <cell r="Q533" t="str">
            <v>–</v>
          </cell>
          <cell r="R533" t="str">
            <v>–</v>
          </cell>
          <cell r="S533" t="str">
            <v>–</v>
          </cell>
          <cell r="T533" t="str">
            <v>–</v>
          </cell>
          <cell r="U533" t="str">
            <v>–</v>
          </cell>
          <cell r="V533" t="str">
            <v>–</v>
          </cell>
          <cell r="W533">
            <v>0.438</v>
          </cell>
        </row>
        <row r="534">
          <cell r="B534" t="str">
            <v>2L6X6X7/16X3/8</v>
          </cell>
          <cell r="C534" t="str">
            <v>2L6X6X7/16X3/8</v>
          </cell>
          <cell r="D534" t="str">
            <v>F</v>
          </cell>
          <cell r="E534">
            <v>34.4</v>
          </cell>
          <cell r="F534">
            <v>10.199999999999999</v>
          </cell>
          <cell r="G534" t="str">
            <v>2L6X6X7/16X3/8</v>
          </cell>
          <cell r="H534">
            <v>6</v>
          </cell>
          <cell r="I534" t="str">
            <v>–</v>
          </cell>
          <cell r="J534" t="str">
            <v>–</v>
          </cell>
          <cell r="K534" t="str">
            <v>–</v>
          </cell>
          <cell r="L534" t="str">
            <v>–</v>
          </cell>
          <cell r="M534" t="str">
            <v>–</v>
          </cell>
          <cell r="N534" t="str">
            <v>–</v>
          </cell>
          <cell r="O534" t="str">
            <v>–</v>
          </cell>
          <cell r="P534">
            <v>6</v>
          </cell>
          <cell r="Q534" t="str">
            <v>–</v>
          </cell>
          <cell r="R534" t="str">
            <v>–</v>
          </cell>
          <cell r="S534" t="str">
            <v>–</v>
          </cell>
          <cell r="T534" t="str">
            <v>–</v>
          </cell>
          <cell r="U534" t="str">
            <v>–</v>
          </cell>
          <cell r="V534" t="str">
            <v>–</v>
          </cell>
          <cell r="W534">
            <v>0.438</v>
          </cell>
        </row>
        <row r="535">
          <cell r="B535" t="str">
            <v>2L6X6X7/16X3/4</v>
          </cell>
          <cell r="C535" t="str">
            <v>2L6X6X7/16X3/4</v>
          </cell>
          <cell r="D535" t="str">
            <v>F</v>
          </cell>
          <cell r="E535">
            <v>34.4</v>
          </cell>
          <cell r="F535">
            <v>10.199999999999999</v>
          </cell>
          <cell r="G535" t="str">
            <v>2L6X6X7/16X3/4</v>
          </cell>
          <cell r="H535">
            <v>6</v>
          </cell>
          <cell r="I535" t="str">
            <v>–</v>
          </cell>
          <cell r="J535" t="str">
            <v>–</v>
          </cell>
          <cell r="K535" t="str">
            <v>–</v>
          </cell>
          <cell r="L535" t="str">
            <v>–</v>
          </cell>
          <cell r="M535" t="str">
            <v>–</v>
          </cell>
          <cell r="N535" t="str">
            <v>–</v>
          </cell>
          <cell r="O535" t="str">
            <v>–</v>
          </cell>
          <cell r="P535">
            <v>6</v>
          </cell>
          <cell r="Q535" t="str">
            <v>–</v>
          </cell>
          <cell r="R535" t="str">
            <v>–</v>
          </cell>
          <cell r="S535" t="str">
            <v>–</v>
          </cell>
          <cell r="T535" t="str">
            <v>–</v>
          </cell>
          <cell r="U535" t="str">
            <v>–</v>
          </cell>
          <cell r="V535" t="str">
            <v>–</v>
          </cell>
          <cell r="W535">
            <v>0.438</v>
          </cell>
        </row>
        <row r="536">
          <cell r="B536" t="str">
            <v>2L6X6X3/8</v>
          </cell>
          <cell r="C536" t="str">
            <v>2L6X6X3/8</v>
          </cell>
          <cell r="D536" t="str">
            <v>F</v>
          </cell>
          <cell r="E536">
            <v>29.8</v>
          </cell>
          <cell r="F536">
            <v>8.76</v>
          </cell>
          <cell r="G536" t="str">
            <v>2L6X6X3/8</v>
          </cell>
          <cell r="H536">
            <v>6</v>
          </cell>
          <cell r="I536" t="str">
            <v>–</v>
          </cell>
          <cell r="J536" t="str">
            <v>–</v>
          </cell>
          <cell r="K536" t="str">
            <v>–</v>
          </cell>
          <cell r="L536" t="str">
            <v>–</v>
          </cell>
          <cell r="M536" t="str">
            <v>–</v>
          </cell>
          <cell r="N536" t="str">
            <v>–</v>
          </cell>
          <cell r="O536" t="str">
            <v>–</v>
          </cell>
          <cell r="P536">
            <v>6</v>
          </cell>
          <cell r="Q536" t="str">
            <v>–</v>
          </cell>
          <cell r="R536" t="str">
            <v>–</v>
          </cell>
          <cell r="S536" t="str">
            <v>–</v>
          </cell>
          <cell r="T536" t="str">
            <v>–</v>
          </cell>
          <cell r="U536" t="str">
            <v>–</v>
          </cell>
          <cell r="V536" t="str">
            <v>–</v>
          </cell>
          <cell r="W536">
            <v>0.375</v>
          </cell>
        </row>
        <row r="537">
          <cell r="B537" t="str">
            <v>2L6X6X3/8X3/8</v>
          </cell>
          <cell r="C537" t="str">
            <v>2L6X6X3/8X3/8</v>
          </cell>
          <cell r="D537" t="str">
            <v>F</v>
          </cell>
          <cell r="E537">
            <v>29.8</v>
          </cell>
          <cell r="F537">
            <v>8.76</v>
          </cell>
          <cell r="G537" t="str">
            <v>2L6X6X3/8X3/8</v>
          </cell>
          <cell r="H537">
            <v>6</v>
          </cell>
          <cell r="I537" t="str">
            <v>–</v>
          </cell>
          <cell r="J537" t="str">
            <v>–</v>
          </cell>
          <cell r="K537" t="str">
            <v>–</v>
          </cell>
          <cell r="L537" t="str">
            <v>–</v>
          </cell>
          <cell r="M537" t="str">
            <v>–</v>
          </cell>
          <cell r="N537" t="str">
            <v>–</v>
          </cell>
          <cell r="O537" t="str">
            <v>–</v>
          </cell>
          <cell r="P537">
            <v>6</v>
          </cell>
          <cell r="Q537" t="str">
            <v>–</v>
          </cell>
          <cell r="R537" t="str">
            <v>–</v>
          </cell>
          <cell r="S537" t="str">
            <v>–</v>
          </cell>
          <cell r="T537" t="str">
            <v>–</v>
          </cell>
          <cell r="U537" t="str">
            <v>–</v>
          </cell>
          <cell r="V537" t="str">
            <v>–</v>
          </cell>
          <cell r="W537">
            <v>0.375</v>
          </cell>
        </row>
        <row r="538">
          <cell r="B538" t="str">
            <v>2L6X6X3/8X3/4</v>
          </cell>
          <cell r="C538" t="str">
            <v>2L6X6X3/8X3/4</v>
          </cell>
          <cell r="D538" t="str">
            <v>F</v>
          </cell>
          <cell r="E538">
            <v>29.8</v>
          </cell>
          <cell r="F538">
            <v>8.76</v>
          </cell>
          <cell r="G538" t="str">
            <v>2L6X6X3/8X3/4</v>
          </cell>
          <cell r="H538">
            <v>6</v>
          </cell>
          <cell r="I538" t="str">
            <v>–</v>
          </cell>
          <cell r="J538" t="str">
            <v>–</v>
          </cell>
          <cell r="K538" t="str">
            <v>–</v>
          </cell>
          <cell r="L538" t="str">
            <v>–</v>
          </cell>
          <cell r="M538" t="str">
            <v>–</v>
          </cell>
          <cell r="N538" t="str">
            <v>–</v>
          </cell>
          <cell r="O538" t="str">
            <v>–</v>
          </cell>
          <cell r="P538">
            <v>6</v>
          </cell>
          <cell r="Q538" t="str">
            <v>–</v>
          </cell>
          <cell r="R538" t="str">
            <v>–</v>
          </cell>
          <cell r="S538" t="str">
            <v>–</v>
          </cell>
          <cell r="T538" t="str">
            <v>–</v>
          </cell>
          <cell r="U538" t="str">
            <v>–</v>
          </cell>
          <cell r="V538" t="str">
            <v>–</v>
          </cell>
          <cell r="W538">
            <v>0.375</v>
          </cell>
        </row>
        <row r="539">
          <cell r="B539" t="str">
            <v>2L6X6X5/16</v>
          </cell>
          <cell r="C539" t="str">
            <v>2L6X6X5/16</v>
          </cell>
          <cell r="D539" t="str">
            <v>F</v>
          </cell>
          <cell r="E539">
            <v>24.8</v>
          </cell>
          <cell r="F539">
            <v>7.34</v>
          </cell>
          <cell r="G539" t="str">
            <v>2L6X6X5/16</v>
          </cell>
          <cell r="H539">
            <v>6</v>
          </cell>
          <cell r="I539" t="str">
            <v>–</v>
          </cell>
          <cell r="J539" t="str">
            <v>–</v>
          </cell>
          <cell r="K539" t="str">
            <v>–</v>
          </cell>
          <cell r="L539" t="str">
            <v>–</v>
          </cell>
          <cell r="M539" t="str">
            <v>–</v>
          </cell>
          <cell r="N539" t="str">
            <v>–</v>
          </cell>
          <cell r="O539" t="str">
            <v>–</v>
          </cell>
          <cell r="P539">
            <v>6</v>
          </cell>
          <cell r="Q539" t="str">
            <v>–</v>
          </cell>
          <cell r="R539" t="str">
            <v>–</v>
          </cell>
          <cell r="S539" t="str">
            <v>–</v>
          </cell>
          <cell r="T539" t="str">
            <v>–</v>
          </cell>
          <cell r="U539" t="str">
            <v>–</v>
          </cell>
          <cell r="V539" t="str">
            <v>–</v>
          </cell>
          <cell r="W539">
            <v>0.313</v>
          </cell>
        </row>
        <row r="540">
          <cell r="B540" t="str">
            <v>2L6X6X5/16X3/8</v>
          </cell>
          <cell r="C540" t="str">
            <v>2L6X6X5/16X3/8</v>
          </cell>
          <cell r="D540" t="str">
            <v>F</v>
          </cell>
          <cell r="E540">
            <v>24.8</v>
          </cell>
          <cell r="F540">
            <v>7.34</v>
          </cell>
          <cell r="G540" t="str">
            <v>2L6X6X5/16X3/8</v>
          </cell>
          <cell r="H540">
            <v>6</v>
          </cell>
          <cell r="I540" t="str">
            <v>–</v>
          </cell>
          <cell r="J540" t="str">
            <v>–</v>
          </cell>
          <cell r="K540" t="str">
            <v>–</v>
          </cell>
          <cell r="L540" t="str">
            <v>–</v>
          </cell>
          <cell r="M540" t="str">
            <v>–</v>
          </cell>
          <cell r="N540" t="str">
            <v>–</v>
          </cell>
          <cell r="O540" t="str">
            <v>–</v>
          </cell>
          <cell r="P540">
            <v>6</v>
          </cell>
          <cell r="Q540" t="str">
            <v>–</v>
          </cell>
          <cell r="R540" t="str">
            <v>–</v>
          </cell>
          <cell r="S540" t="str">
            <v>–</v>
          </cell>
          <cell r="T540" t="str">
            <v>–</v>
          </cell>
          <cell r="U540" t="str">
            <v>–</v>
          </cell>
          <cell r="V540" t="str">
            <v>–</v>
          </cell>
          <cell r="W540">
            <v>0.313</v>
          </cell>
        </row>
        <row r="541">
          <cell r="B541" t="str">
            <v>2L6X6X5/16X3/4</v>
          </cell>
          <cell r="C541" t="str">
            <v>2L6X6X5/16X3/4</v>
          </cell>
          <cell r="D541" t="str">
            <v>F</v>
          </cell>
          <cell r="E541">
            <v>24.8</v>
          </cell>
          <cell r="F541">
            <v>7.34</v>
          </cell>
          <cell r="G541" t="str">
            <v>2L6X6X5/16X3/4</v>
          </cell>
          <cell r="H541">
            <v>6</v>
          </cell>
          <cell r="I541" t="str">
            <v>–</v>
          </cell>
          <cell r="J541" t="str">
            <v>–</v>
          </cell>
          <cell r="K541" t="str">
            <v>–</v>
          </cell>
          <cell r="L541" t="str">
            <v>–</v>
          </cell>
          <cell r="M541" t="str">
            <v>–</v>
          </cell>
          <cell r="N541" t="str">
            <v>–</v>
          </cell>
          <cell r="O541" t="str">
            <v>–</v>
          </cell>
          <cell r="P541">
            <v>6</v>
          </cell>
          <cell r="Q541" t="str">
            <v>–</v>
          </cell>
          <cell r="R541" t="str">
            <v>–</v>
          </cell>
          <cell r="S541" t="str">
            <v>–</v>
          </cell>
          <cell r="T541" t="str">
            <v>–</v>
          </cell>
          <cell r="U541" t="str">
            <v>–</v>
          </cell>
          <cell r="V541" t="str">
            <v>–</v>
          </cell>
          <cell r="W541">
            <v>0.313</v>
          </cell>
        </row>
        <row r="542">
          <cell r="B542" t="str">
            <v>2L5X5X7/8</v>
          </cell>
          <cell r="C542" t="str">
            <v>2L5X5X7/8</v>
          </cell>
          <cell r="D542" t="str">
            <v>F</v>
          </cell>
          <cell r="E542">
            <v>54.4</v>
          </cell>
          <cell r="F542">
            <v>16</v>
          </cell>
          <cell r="G542" t="str">
            <v>2L5X5X7/8</v>
          </cell>
          <cell r="H542">
            <v>5</v>
          </cell>
          <cell r="I542" t="str">
            <v>–</v>
          </cell>
          <cell r="J542" t="str">
            <v>–</v>
          </cell>
          <cell r="K542" t="str">
            <v>–</v>
          </cell>
          <cell r="L542" t="str">
            <v>–</v>
          </cell>
          <cell r="M542" t="str">
            <v>–</v>
          </cell>
          <cell r="N542" t="str">
            <v>–</v>
          </cell>
          <cell r="O542" t="str">
            <v>–</v>
          </cell>
          <cell r="P542">
            <v>5</v>
          </cell>
          <cell r="Q542" t="str">
            <v>–</v>
          </cell>
          <cell r="R542" t="str">
            <v>–</v>
          </cell>
          <cell r="S542" t="str">
            <v>–</v>
          </cell>
          <cell r="T542" t="str">
            <v>–</v>
          </cell>
          <cell r="U542" t="str">
            <v>–</v>
          </cell>
          <cell r="V542" t="str">
            <v>–</v>
          </cell>
          <cell r="W542">
            <v>0.875</v>
          </cell>
        </row>
        <row r="543">
          <cell r="B543" t="str">
            <v>2L5X5X7/8X3/8</v>
          </cell>
          <cell r="C543" t="str">
            <v>2L5X5X7/8X3/8</v>
          </cell>
          <cell r="D543" t="str">
            <v>F</v>
          </cell>
          <cell r="E543">
            <v>54.4</v>
          </cell>
          <cell r="F543">
            <v>16</v>
          </cell>
          <cell r="G543" t="str">
            <v>2L5X5X7/8X3/8</v>
          </cell>
          <cell r="H543">
            <v>5</v>
          </cell>
          <cell r="I543" t="str">
            <v>–</v>
          </cell>
          <cell r="J543" t="str">
            <v>–</v>
          </cell>
          <cell r="K543" t="str">
            <v>–</v>
          </cell>
          <cell r="L543" t="str">
            <v>–</v>
          </cell>
          <cell r="M543" t="str">
            <v>–</v>
          </cell>
          <cell r="N543" t="str">
            <v>–</v>
          </cell>
          <cell r="O543" t="str">
            <v>–</v>
          </cell>
          <cell r="P543">
            <v>5</v>
          </cell>
          <cell r="Q543" t="str">
            <v>–</v>
          </cell>
          <cell r="R543" t="str">
            <v>–</v>
          </cell>
          <cell r="S543" t="str">
            <v>–</v>
          </cell>
          <cell r="T543" t="str">
            <v>–</v>
          </cell>
          <cell r="U543" t="str">
            <v>–</v>
          </cell>
          <cell r="V543" t="str">
            <v>–</v>
          </cell>
          <cell r="W543">
            <v>0.875</v>
          </cell>
        </row>
        <row r="544">
          <cell r="B544" t="str">
            <v>2L5X5X7/8X3/4</v>
          </cell>
          <cell r="C544" t="str">
            <v>2L5X5X7/8X3/4</v>
          </cell>
          <cell r="D544" t="str">
            <v>F</v>
          </cell>
          <cell r="E544">
            <v>54.4</v>
          </cell>
          <cell r="F544">
            <v>16</v>
          </cell>
          <cell r="G544" t="str">
            <v>2L5X5X7/8X3/4</v>
          </cell>
          <cell r="H544">
            <v>5</v>
          </cell>
          <cell r="I544" t="str">
            <v>–</v>
          </cell>
          <cell r="J544" t="str">
            <v>–</v>
          </cell>
          <cell r="K544" t="str">
            <v>–</v>
          </cell>
          <cell r="L544" t="str">
            <v>–</v>
          </cell>
          <cell r="M544" t="str">
            <v>–</v>
          </cell>
          <cell r="N544" t="str">
            <v>–</v>
          </cell>
          <cell r="O544" t="str">
            <v>–</v>
          </cell>
          <cell r="P544">
            <v>5</v>
          </cell>
          <cell r="Q544" t="str">
            <v>–</v>
          </cell>
          <cell r="R544" t="str">
            <v>–</v>
          </cell>
          <cell r="S544" t="str">
            <v>–</v>
          </cell>
          <cell r="T544" t="str">
            <v>–</v>
          </cell>
          <cell r="U544" t="str">
            <v>–</v>
          </cell>
          <cell r="V544" t="str">
            <v>–</v>
          </cell>
          <cell r="W544">
            <v>0.875</v>
          </cell>
        </row>
        <row r="545">
          <cell r="B545" t="str">
            <v>2L5X5X3/4</v>
          </cell>
          <cell r="C545" t="str">
            <v>2L5X5X3/4</v>
          </cell>
          <cell r="D545" t="str">
            <v>F</v>
          </cell>
          <cell r="E545">
            <v>47.2</v>
          </cell>
          <cell r="F545">
            <v>14</v>
          </cell>
          <cell r="G545" t="str">
            <v>2L5X5X3/4</v>
          </cell>
          <cell r="H545">
            <v>5</v>
          </cell>
          <cell r="I545" t="str">
            <v>–</v>
          </cell>
          <cell r="J545" t="str">
            <v>–</v>
          </cell>
          <cell r="K545" t="str">
            <v>–</v>
          </cell>
          <cell r="L545" t="str">
            <v>–</v>
          </cell>
          <cell r="M545" t="str">
            <v>–</v>
          </cell>
          <cell r="N545" t="str">
            <v>–</v>
          </cell>
          <cell r="O545" t="str">
            <v>–</v>
          </cell>
          <cell r="P545">
            <v>5</v>
          </cell>
          <cell r="Q545" t="str">
            <v>–</v>
          </cell>
          <cell r="R545" t="str">
            <v>–</v>
          </cell>
          <cell r="S545" t="str">
            <v>–</v>
          </cell>
          <cell r="T545" t="str">
            <v>–</v>
          </cell>
          <cell r="U545" t="str">
            <v>–</v>
          </cell>
          <cell r="V545" t="str">
            <v>–</v>
          </cell>
          <cell r="W545">
            <v>0.75</v>
          </cell>
        </row>
        <row r="546">
          <cell r="B546" t="str">
            <v>2L5X5X3/4X3/8</v>
          </cell>
          <cell r="C546" t="str">
            <v>2L5X5X3/4X3/8</v>
          </cell>
          <cell r="D546" t="str">
            <v>F</v>
          </cell>
          <cell r="E546">
            <v>47.2</v>
          </cell>
          <cell r="F546">
            <v>14</v>
          </cell>
          <cell r="G546" t="str">
            <v>2L5X5X3/4X3/8</v>
          </cell>
          <cell r="H546">
            <v>5</v>
          </cell>
          <cell r="I546" t="str">
            <v>–</v>
          </cell>
          <cell r="J546" t="str">
            <v>–</v>
          </cell>
          <cell r="K546" t="str">
            <v>–</v>
          </cell>
          <cell r="L546" t="str">
            <v>–</v>
          </cell>
          <cell r="M546" t="str">
            <v>–</v>
          </cell>
          <cell r="N546" t="str">
            <v>–</v>
          </cell>
          <cell r="O546" t="str">
            <v>–</v>
          </cell>
          <cell r="P546">
            <v>5</v>
          </cell>
          <cell r="Q546" t="str">
            <v>–</v>
          </cell>
          <cell r="R546" t="str">
            <v>–</v>
          </cell>
          <cell r="S546" t="str">
            <v>–</v>
          </cell>
          <cell r="T546" t="str">
            <v>–</v>
          </cell>
          <cell r="U546" t="str">
            <v>–</v>
          </cell>
          <cell r="V546" t="str">
            <v>–</v>
          </cell>
          <cell r="W546">
            <v>0.75</v>
          </cell>
        </row>
        <row r="547">
          <cell r="B547" t="str">
            <v>2L5X5X3/4X3/4</v>
          </cell>
          <cell r="C547" t="str">
            <v>2L5X5X3/4X3/4</v>
          </cell>
          <cell r="D547" t="str">
            <v>F</v>
          </cell>
          <cell r="E547">
            <v>47.2</v>
          </cell>
          <cell r="F547">
            <v>14</v>
          </cell>
          <cell r="G547" t="str">
            <v>2L5X5X3/4X3/4</v>
          </cell>
          <cell r="H547">
            <v>5</v>
          </cell>
          <cell r="I547" t="str">
            <v>–</v>
          </cell>
          <cell r="J547" t="str">
            <v>–</v>
          </cell>
          <cell r="K547" t="str">
            <v>–</v>
          </cell>
          <cell r="L547" t="str">
            <v>–</v>
          </cell>
          <cell r="M547" t="str">
            <v>–</v>
          </cell>
          <cell r="N547" t="str">
            <v>–</v>
          </cell>
          <cell r="O547" t="str">
            <v>–</v>
          </cell>
          <cell r="P547">
            <v>5</v>
          </cell>
          <cell r="Q547" t="str">
            <v>–</v>
          </cell>
          <cell r="R547" t="str">
            <v>–</v>
          </cell>
          <cell r="S547" t="str">
            <v>–</v>
          </cell>
          <cell r="T547" t="str">
            <v>–</v>
          </cell>
          <cell r="U547" t="str">
            <v>–</v>
          </cell>
          <cell r="V547" t="str">
            <v>–</v>
          </cell>
          <cell r="W547">
            <v>0.75</v>
          </cell>
        </row>
        <row r="548">
          <cell r="B548" t="str">
            <v>2L5X5X5/8</v>
          </cell>
          <cell r="C548" t="str">
            <v>2L5X5X5/8</v>
          </cell>
          <cell r="D548" t="str">
            <v>F</v>
          </cell>
          <cell r="E548">
            <v>40</v>
          </cell>
          <cell r="F548">
            <v>11.8</v>
          </cell>
          <cell r="G548" t="str">
            <v>2L5X5X5/8</v>
          </cell>
          <cell r="H548">
            <v>5</v>
          </cell>
          <cell r="I548" t="str">
            <v>–</v>
          </cell>
          <cell r="J548" t="str">
            <v>–</v>
          </cell>
          <cell r="K548" t="str">
            <v>–</v>
          </cell>
          <cell r="L548" t="str">
            <v>–</v>
          </cell>
          <cell r="M548" t="str">
            <v>–</v>
          </cell>
          <cell r="N548" t="str">
            <v>–</v>
          </cell>
          <cell r="O548" t="str">
            <v>–</v>
          </cell>
          <cell r="P548">
            <v>5</v>
          </cell>
          <cell r="Q548" t="str">
            <v>–</v>
          </cell>
          <cell r="R548" t="str">
            <v>–</v>
          </cell>
          <cell r="S548" t="str">
            <v>–</v>
          </cell>
          <cell r="T548" t="str">
            <v>–</v>
          </cell>
          <cell r="U548" t="str">
            <v>–</v>
          </cell>
          <cell r="V548" t="str">
            <v>–</v>
          </cell>
          <cell r="W548">
            <v>0.625</v>
          </cell>
        </row>
        <row r="549">
          <cell r="B549" t="str">
            <v>2L5X5X5/8X3/8</v>
          </cell>
          <cell r="C549" t="str">
            <v>2L5X5X5/8X3/8</v>
          </cell>
          <cell r="D549" t="str">
            <v>F</v>
          </cell>
          <cell r="E549">
            <v>40</v>
          </cell>
          <cell r="F549">
            <v>11.8</v>
          </cell>
          <cell r="G549" t="str">
            <v>2L5X5X5/8X3/8</v>
          </cell>
          <cell r="H549">
            <v>5</v>
          </cell>
          <cell r="I549" t="str">
            <v>–</v>
          </cell>
          <cell r="J549" t="str">
            <v>–</v>
          </cell>
          <cell r="K549" t="str">
            <v>–</v>
          </cell>
          <cell r="L549" t="str">
            <v>–</v>
          </cell>
          <cell r="M549" t="str">
            <v>–</v>
          </cell>
          <cell r="N549" t="str">
            <v>–</v>
          </cell>
          <cell r="O549" t="str">
            <v>–</v>
          </cell>
          <cell r="P549">
            <v>5</v>
          </cell>
          <cell r="Q549" t="str">
            <v>–</v>
          </cell>
          <cell r="R549" t="str">
            <v>–</v>
          </cell>
          <cell r="S549" t="str">
            <v>–</v>
          </cell>
          <cell r="T549" t="str">
            <v>–</v>
          </cell>
          <cell r="U549" t="str">
            <v>–</v>
          </cell>
          <cell r="V549" t="str">
            <v>–</v>
          </cell>
          <cell r="W549">
            <v>0.625</v>
          </cell>
        </row>
        <row r="550">
          <cell r="B550" t="str">
            <v>2L5X5X5/8X3/4</v>
          </cell>
          <cell r="C550" t="str">
            <v>2L5X5X5/8X3/4</v>
          </cell>
          <cell r="D550" t="str">
            <v>F</v>
          </cell>
          <cell r="E550">
            <v>40</v>
          </cell>
          <cell r="F550">
            <v>11.8</v>
          </cell>
          <cell r="G550" t="str">
            <v>2L5X5X5/8X3/4</v>
          </cell>
          <cell r="H550">
            <v>5</v>
          </cell>
          <cell r="I550" t="str">
            <v>–</v>
          </cell>
          <cell r="J550" t="str">
            <v>–</v>
          </cell>
          <cell r="K550" t="str">
            <v>–</v>
          </cell>
          <cell r="L550" t="str">
            <v>–</v>
          </cell>
          <cell r="M550" t="str">
            <v>–</v>
          </cell>
          <cell r="N550" t="str">
            <v>–</v>
          </cell>
          <cell r="O550" t="str">
            <v>–</v>
          </cell>
          <cell r="P550">
            <v>5</v>
          </cell>
          <cell r="Q550" t="str">
            <v>–</v>
          </cell>
          <cell r="R550" t="str">
            <v>–</v>
          </cell>
          <cell r="S550" t="str">
            <v>–</v>
          </cell>
          <cell r="T550" t="str">
            <v>–</v>
          </cell>
          <cell r="U550" t="str">
            <v>–</v>
          </cell>
          <cell r="V550" t="str">
            <v>–</v>
          </cell>
          <cell r="W550">
            <v>0.625</v>
          </cell>
        </row>
        <row r="551">
          <cell r="B551" t="str">
            <v>2L5X5X1/2</v>
          </cell>
          <cell r="C551" t="str">
            <v>2L5X5X1/2</v>
          </cell>
          <cell r="D551" t="str">
            <v>F</v>
          </cell>
          <cell r="E551">
            <v>32.4</v>
          </cell>
          <cell r="F551">
            <v>9.58</v>
          </cell>
          <cell r="G551" t="str">
            <v>2L5X5X1/2</v>
          </cell>
          <cell r="H551">
            <v>5</v>
          </cell>
          <cell r="I551" t="str">
            <v>–</v>
          </cell>
          <cell r="J551" t="str">
            <v>–</v>
          </cell>
          <cell r="K551" t="str">
            <v>–</v>
          </cell>
          <cell r="L551" t="str">
            <v>–</v>
          </cell>
          <cell r="M551" t="str">
            <v>–</v>
          </cell>
          <cell r="N551" t="str">
            <v>–</v>
          </cell>
          <cell r="O551" t="str">
            <v>–</v>
          </cell>
          <cell r="P551">
            <v>5</v>
          </cell>
          <cell r="Q551" t="str">
            <v>–</v>
          </cell>
          <cell r="R551" t="str">
            <v>–</v>
          </cell>
          <cell r="S551" t="str">
            <v>–</v>
          </cell>
          <cell r="T551" t="str">
            <v>–</v>
          </cell>
          <cell r="U551" t="str">
            <v>–</v>
          </cell>
          <cell r="V551" t="str">
            <v>–</v>
          </cell>
          <cell r="W551">
            <v>0.5</v>
          </cell>
        </row>
        <row r="552">
          <cell r="B552" t="str">
            <v>2L5X5X1/2X3/8</v>
          </cell>
          <cell r="C552" t="str">
            <v>2L5X5X1/2X3/8</v>
          </cell>
          <cell r="D552" t="str">
            <v>F</v>
          </cell>
          <cell r="E552">
            <v>32.4</v>
          </cell>
          <cell r="F552">
            <v>9.58</v>
          </cell>
          <cell r="G552" t="str">
            <v>2L5X5X1/2X3/8</v>
          </cell>
          <cell r="H552">
            <v>5</v>
          </cell>
          <cell r="I552" t="str">
            <v>–</v>
          </cell>
          <cell r="J552" t="str">
            <v>–</v>
          </cell>
          <cell r="K552" t="str">
            <v>–</v>
          </cell>
          <cell r="L552" t="str">
            <v>–</v>
          </cell>
          <cell r="M552" t="str">
            <v>–</v>
          </cell>
          <cell r="N552" t="str">
            <v>–</v>
          </cell>
          <cell r="O552" t="str">
            <v>–</v>
          </cell>
          <cell r="P552">
            <v>5</v>
          </cell>
          <cell r="Q552" t="str">
            <v>–</v>
          </cell>
          <cell r="R552" t="str">
            <v>–</v>
          </cell>
          <cell r="S552" t="str">
            <v>–</v>
          </cell>
          <cell r="T552" t="str">
            <v>–</v>
          </cell>
          <cell r="U552" t="str">
            <v>–</v>
          </cell>
          <cell r="V552" t="str">
            <v>–</v>
          </cell>
          <cell r="W552">
            <v>0.5</v>
          </cell>
        </row>
        <row r="553">
          <cell r="B553" t="str">
            <v>2L5X5X1/2X3/4</v>
          </cell>
          <cell r="C553" t="str">
            <v>2L5X5X1/2X3/4</v>
          </cell>
          <cell r="D553" t="str">
            <v>F</v>
          </cell>
          <cell r="E553">
            <v>32.4</v>
          </cell>
          <cell r="F553">
            <v>9.58</v>
          </cell>
          <cell r="G553" t="str">
            <v>2L5X5X1/2X3/4</v>
          </cell>
          <cell r="H553">
            <v>5</v>
          </cell>
          <cell r="I553" t="str">
            <v>–</v>
          </cell>
          <cell r="J553" t="str">
            <v>–</v>
          </cell>
          <cell r="K553" t="str">
            <v>–</v>
          </cell>
          <cell r="L553" t="str">
            <v>–</v>
          </cell>
          <cell r="M553" t="str">
            <v>–</v>
          </cell>
          <cell r="N553" t="str">
            <v>–</v>
          </cell>
          <cell r="O553" t="str">
            <v>–</v>
          </cell>
          <cell r="P553">
            <v>5</v>
          </cell>
          <cell r="Q553" t="str">
            <v>–</v>
          </cell>
          <cell r="R553" t="str">
            <v>–</v>
          </cell>
          <cell r="S553" t="str">
            <v>–</v>
          </cell>
          <cell r="T553" t="str">
            <v>–</v>
          </cell>
          <cell r="U553" t="str">
            <v>–</v>
          </cell>
          <cell r="V553" t="str">
            <v>–</v>
          </cell>
          <cell r="W553">
            <v>0.5</v>
          </cell>
        </row>
        <row r="554">
          <cell r="B554" t="str">
            <v>2L5X5X7/16</v>
          </cell>
          <cell r="C554" t="str">
            <v>2L5X5X7/16</v>
          </cell>
          <cell r="D554" t="str">
            <v>F</v>
          </cell>
          <cell r="E554">
            <v>28.6</v>
          </cell>
          <cell r="F554">
            <v>8.44</v>
          </cell>
          <cell r="G554" t="str">
            <v>2L5X5X7/16</v>
          </cell>
          <cell r="H554">
            <v>5</v>
          </cell>
          <cell r="I554" t="str">
            <v>–</v>
          </cell>
          <cell r="J554" t="str">
            <v>–</v>
          </cell>
          <cell r="K554" t="str">
            <v>–</v>
          </cell>
          <cell r="L554" t="str">
            <v>–</v>
          </cell>
          <cell r="M554" t="str">
            <v>–</v>
          </cell>
          <cell r="N554" t="str">
            <v>–</v>
          </cell>
          <cell r="O554" t="str">
            <v>–</v>
          </cell>
          <cell r="P554">
            <v>5</v>
          </cell>
          <cell r="Q554" t="str">
            <v>–</v>
          </cell>
          <cell r="R554" t="str">
            <v>–</v>
          </cell>
          <cell r="S554" t="str">
            <v>–</v>
          </cell>
          <cell r="T554" t="str">
            <v>–</v>
          </cell>
          <cell r="U554" t="str">
            <v>–</v>
          </cell>
          <cell r="V554" t="str">
            <v>–</v>
          </cell>
          <cell r="W554">
            <v>0.438</v>
          </cell>
        </row>
        <row r="555">
          <cell r="B555" t="str">
            <v>2L5X5X7/16X3/8</v>
          </cell>
          <cell r="C555" t="str">
            <v>2L5X5X7/16X3/8</v>
          </cell>
          <cell r="D555" t="str">
            <v>F</v>
          </cell>
          <cell r="E555">
            <v>28.6</v>
          </cell>
          <cell r="F555">
            <v>8.44</v>
          </cell>
          <cell r="G555" t="str">
            <v>2L5X5X7/16X3/8</v>
          </cell>
          <cell r="H555">
            <v>5</v>
          </cell>
          <cell r="I555" t="str">
            <v>–</v>
          </cell>
          <cell r="J555" t="str">
            <v>–</v>
          </cell>
          <cell r="K555" t="str">
            <v>–</v>
          </cell>
          <cell r="L555" t="str">
            <v>–</v>
          </cell>
          <cell r="M555" t="str">
            <v>–</v>
          </cell>
          <cell r="N555" t="str">
            <v>–</v>
          </cell>
          <cell r="O555" t="str">
            <v>–</v>
          </cell>
          <cell r="P555">
            <v>5</v>
          </cell>
          <cell r="Q555" t="str">
            <v>–</v>
          </cell>
          <cell r="R555" t="str">
            <v>–</v>
          </cell>
          <cell r="S555" t="str">
            <v>–</v>
          </cell>
          <cell r="T555" t="str">
            <v>–</v>
          </cell>
          <cell r="U555" t="str">
            <v>–</v>
          </cell>
          <cell r="V555" t="str">
            <v>–</v>
          </cell>
          <cell r="W555">
            <v>0.438</v>
          </cell>
        </row>
        <row r="556">
          <cell r="B556" t="str">
            <v>2L5X5X7/16X3/4</v>
          </cell>
          <cell r="C556" t="str">
            <v>2L5X5X7/16X3/4</v>
          </cell>
          <cell r="D556" t="str">
            <v>F</v>
          </cell>
          <cell r="E556">
            <v>28.6</v>
          </cell>
          <cell r="F556">
            <v>8.44</v>
          </cell>
          <cell r="G556" t="str">
            <v>2L5X5X7/16X3/4</v>
          </cell>
          <cell r="H556">
            <v>5</v>
          </cell>
          <cell r="I556" t="str">
            <v>–</v>
          </cell>
          <cell r="J556" t="str">
            <v>–</v>
          </cell>
          <cell r="K556" t="str">
            <v>–</v>
          </cell>
          <cell r="L556" t="str">
            <v>–</v>
          </cell>
          <cell r="M556" t="str">
            <v>–</v>
          </cell>
          <cell r="N556" t="str">
            <v>–</v>
          </cell>
          <cell r="O556" t="str">
            <v>–</v>
          </cell>
          <cell r="P556">
            <v>5</v>
          </cell>
          <cell r="Q556" t="str">
            <v>–</v>
          </cell>
          <cell r="R556" t="str">
            <v>–</v>
          </cell>
          <cell r="S556" t="str">
            <v>–</v>
          </cell>
          <cell r="T556" t="str">
            <v>–</v>
          </cell>
          <cell r="U556" t="str">
            <v>–</v>
          </cell>
          <cell r="V556" t="str">
            <v>–</v>
          </cell>
          <cell r="W556">
            <v>0.438</v>
          </cell>
        </row>
        <row r="557">
          <cell r="B557" t="str">
            <v>2L5X5X3/8</v>
          </cell>
          <cell r="C557" t="str">
            <v>2L5X5X3/8</v>
          </cell>
          <cell r="D557" t="str">
            <v>F</v>
          </cell>
          <cell r="E557">
            <v>24.6</v>
          </cell>
          <cell r="F557">
            <v>7.3</v>
          </cell>
          <cell r="G557" t="str">
            <v>2L5X5X3/8</v>
          </cell>
          <cell r="H557">
            <v>5</v>
          </cell>
          <cell r="I557" t="str">
            <v>–</v>
          </cell>
          <cell r="J557" t="str">
            <v>–</v>
          </cell>
          <cell r="K557" t="str">
            <v>–</v>
          </cell>
          <cell r="L557" t="str">
            <v>–</v>
          </cell>
          <cell r="M557" t="str">
            <v>–</v>
          </cell>
          <cell r="N557" t="str">
            <v>–</v>
          </cell>
          <cell r="O557" t="str">
            <v>–</v>
          </cell>
          <cell r="P557">
            <v>5</v>
          </cell>
          <cell r="Q557" t="str">
            <v>–</v>
          </cell>
          <cell r="R557" t="str">
            <v>–</v>
          </cell>
          <cell r="S557" t="str">
            <v>–</v>
          </cell>
          <cell r="T557" t="str">
            <v>–</v>
          </cell>
          <cell r="U557" t="str">
            <v>–</v>
          </cell>
          <cell r="V557" t="str">
            <v>–</v>
          </cell>
          <cell r="W557">
            <v>0.375</v>
          </cell>
        </row>
        <row r="558">
          <cell r="B558" t="str">
            <v>2L5X5X3/8X3/8</v>
          </cell>
          <cell r="C558" t="str">
            <v>2L5X5X3/8X3/8</v>
          </cell>
          <cell r="D558" t="str">
            <v>F</v>
          </cell>
          <cell r="E558">
            <v>24.6</v>
          </cell>
          <cell r="F558">
            <v>7.3</v>
          </cell>
          <cell r="G558" t="str">
            <v>2L5X5X3/8X3/8</v>
          </cell>
          <cell r="H558">
            <v>5</v>
          </cell>
          <cell r="I558" t="str">
            <v>–</v>
          </cell>
          <cell r="J558" t="str">
            <v>–</v>
          </cell>
          <cell r="K558" t="str">
            <v>–</v>
          </cell>
          <cell r="L558" t="str">
            <v>–</v>
          </cell>
          <cell r="M558" t="str">
            <v>–</v>
          </cell>
          <cell r="N558" t="str">
            <v>–</v>
          </cell>
          <cell r="O558" t="str">
            <v>–</v>
          </cell>
          <cell r="P558">
            <v>5</v>
          </cell>
          <cell r="Q558" t="str">
            <v>–</v>
          </cell>
          <cell r="R558" t="str">
            <v>–</v>
          </cell>
          <cell r="S558" t="str">
            <v>–</v>
          </cell>
          <cell r="T558" t="str">
            <v>–</v>
          </cell>
          <cell r="U558" t="str">
            <v>–</v>
          </cell>
          <cell r="V558" t="str">
            <v>–</v>
          </cell>
          <cell r="W558">
            <v>0.375</v>
          </cell>
        </row>
        <row r="559">
          <cell r="B559" t="str">
            <v>2L5X5X3/8X3/4</v>
          </cell>
          <cell r="C559" t="str">
            <v>2L5X5X3/8X3/4</v>
          </cell>
          <cell r="D559" t="str">
            <v>F</v>
          </cell>
          <cell r="E559">
            <v>24.6</v>
          </cell>
          <cell r="F559">
            <v>7.3</v>
          </cell>
          <cell r="G559" t="str">
            <v>2L5X5X3/8X3/4</v>
          </cell>
          <cell r="H559">
            <v>5</v>
          </cell>
          <cell r="I559" t="str">
            <v>–</v>
          </cell>
          <cell r="J559" t="str">
            <v>–</v>
          </cell>
          <cell r="K559" t="str">
            <v>–</v>
          </cell>
          <cell r="L559" t="str">
            <v>–</v>
          </cell>
          <cell r="M559" t="str">
            <v>–</v>
          </cell>
          <cell r="N559" t="str">
            <v>–</v>
          </cell>
          <cell r="O559" t="str">
            <v>–</v>
          </cell>
          <cell r="P559">
            <v>5</v>
          </cell>
          <cell r="Q559" t="str">
            <v>–</v>
          </cell>
          <cell r="R559" t="str">
            <v>–</v>
          </cell>
          <cell r="S559" t="str">
            <v>–</v>
          </cell>
          <cell r="T559" t="str">
            <v>–</v>
          </cell>
          <cell r="U559" t="str">
            <v>–</v>
          </cell>
          <cell r="V559" t="str">
            <v>–</v>
          </cell>
          <cell r="W559">
            <v>0.375</v>
          </cell>
        </row>
        <row r="560">
          <cell r="B560" t="str">
            <v>2L5X5X5/16</v>
          </cell>
          <cell r="C560" t="str">
            <v>2L5X5X5/16</v>
          </cell>
          <cell r="D560" t="str">
            <v>F</v>
          </cell>
          <cell r="E560">
            <v>20.6</v>
          </cell>
          <cell r="F560">
            <v>6.14</v>
          </cell>
          <cell r="G560" t="str">
            <v>2L5X5X5/16</v>
          </cell>
          <cell r="H560">
            <v>5</v>
          </cell>
          <cell r="I560" t="str">
            <v>–</v>
          </cell>
          <cell r="J560" t="str">
            <v>–</v>
          </cell>
          <cell r="K560" t="str">
            <v>–</v>
          </cell>
          <cell r="L560" t="str">
            <v>–</v>
          </cell>
          <cell r="M560" t="str">
            <v>–</v>
          </cell>
          <cell r="N560" t="str">
            <v>–</v>
          </cell>
          <cell r="O560" t="str">
            <v>–</v>
          </cell>
          <cell r="P560">
            <v>5</v>
          </cell>
          <cell r="Q560" t="str">
            <v>–</v>
          </cell>
          <cell r="R560" t="str">
            <v>–</v>
          </cell>
          <cell r="S560" t="str">
            <v>–</v>
          </cell>
          <cell r="T560" t="str">
            <v>–</v>
          </cell>
          <cell r="U560" t="str">
            <v>–</v>
          </cell>
          <cell r="V560" t="str">
            <v>–</v>
          </cell>
          <cell r="W560">
            <v>0.313</v>
          </cell>
        </row>
        <row r="561">
          <cell r="B561" t="str">
            <v>2L5X5X5/16X3/8</v>
          </cell>
          <cell r="C561" t="str">
            <v>2L5X5X5/16X3/8</v>
          </cell>
          <cell r="D561" t="str">
            <v>F</v>
          </cell>
          <cell r="E561">
            <v>20.6</v>
          </cell>
          <cell r="F561">
            <v>6.14</v>
          </cell>
          <cell r="G561" t="str">
            <v>2L5X5X5/16X3/8</v>
          </cell>
          <cell r="H561">
            <v>5</v>
          </cell>
          <cell r="I561" t="str">
            <v>–</v>
          </cell>
          <cell r="J561" t="str">
            <v>–</v>
          </cell>
          <cell r="K561" t="str">
            <v>–</v>
          </cell>
          <cell r="L561" t="str">
            <v>–</v>
          </cell>
          <cell r="M561" t="str">
            <v>–</v>
          </cell>
          <cell r="N561" t="str">
            <v>–</v>
          </cell>
          <cell r="O561" t="str">
            <v>–</v>
          </cell>
          <cell r="P561">
            <v>5</v>
          </cell>
          <cell r="Q561" t="str">
            <v>–</v>
          </cell>
          <cell r="R561" t="str">
            <v>–</v>
          </cell>
          <cell r="S561" t="str">
            <v>–</v>
          </cell>
          <cell r="T561" t="str">
            <v>–</v>
          </cell>
          <cell r="U561" t="str">
            <v>–</v>
          </cell>
          <cell r="V561" t="str">
            <v>–</v>
          </cell>
          <cell r="W561">
            <v>0.313</v>
          </cell>
        </row>
        <row r="562">
          <cell r="B562" t="str">
            <v>2L5X5X5/16X3/4</v>
          </cell>
          <cell r="C562" t="str">
            <v>2L5X5X5/16X3/4</v>
          </cell>
          <cell r="D562" t="str">
            <v>F</v>
          </cell>
          <cell r="E562">
            <v>20.6</v>
          </cell>
          <cell r="F562">
            <v>6.14</v>
          </cell>
          <cell r="G562" t="str">
            <v>2L5X5X5/16X3/4</v>
          </cell>
          <cell r="H562">
            <v>5</v>
          </cell>
          <cell r="I562" t="str">
            <v>–</v>
          </cell>
          <cell r="J562" t="str">
            <v>–</v>
          </cell>
          <cell r="K562" t="str">
            <v>–</v>
          </cell>
          <cell r="L562" t="str">
            <v>–</v>
          </cell>
          <cell r="M562" t="str">
            <v>–</v>
          </cell>
          <cell r="N562" t="str">
            <v>–</v>
          </cell>
          <cell r="O562" t="str">
            <v>–</v>
          </cell>
          <cell r="P562">
            <v>5</v>
          </cell>
          <cell r="Q562" t="str">
            <v>–</v>
          </cell>
          <cell r="R562" t="str">
            <v>–</v>
          </cell>
          <cell r="S562" t="str">
            <v>–</v>
          </cell>
          <cell r="T562" t="str">
            <v>–</v>
          </cell>
          <cell r="U562" t="str">
            <v>–</v>
          </cell>
          <cell r="V562" t="str">
            <v>–</v>
          </cell>
          <cell r="W562">
            <v>0.313</v>
          </cell>
        </row>
        <row r="563">
          <cell r="B563" t="str">
            <v>2L4X4X3/4</v>
          </cell>
          <cell r="C563" t="str">
            <v>2L4X4X3/4</v>
          </cell>
          <cell r="D563" t="str">
            <v>F</v>
          </cell>
          <cell r="E563">
            <v>37</v>
          </cell>
          <cell r="F563">
            <v>10.9</v>
          </cell>
          <cell r="G563" t="str">
            <v>2L4X4X3/4</v>
          </cell>
          <cell r="H563">
            <v>4</v>
          </cell>
          <cell r="I563" t="str">
            <v>–</v>
          </cell>
          <cell r="J563" t="str">
            <v>–</v>
          </cell>
          <cell r="K563" t="str">
            <v>–</v>
          </cell>
          <cell r="L563" t="str">
            <v>–</v>
          </cell>
          <cell r="M563" t="str">
            <v>–</v>
          </cell>
          <cell r="N563" t="str">
            <v>–</v>
          </cell>
          <cell r="O563" t="str">
            <v>–</v>
          </cell>
          <cell r="P563">
            <v>4</v>
          </cell>
          <cell r="Q563" t="str">
            <v>–</v>
          </cell>
          <cell r="R563" t="str">
            <v>–</v>
          </cell>
          <cell r="S563" t="str">
            <v>–</v>
          </cell>
          <cell r="T563" t="str">
            <v>–</v>
          </cell>
          <cell r="U563" t="str">
            <v>–</v>
          </cell>
          <cell r="V563" t="str">
            <v>–</v>
          </cell>
          <cell r="W563">
            <v>0.75</v>
          </cell>
        </row>
        <row r="564">
          <cell r="B564" t="str">
            <v>2L4X4X3/4X3/8</v>
          </cell>
          <cell r="C564" t="str">
            <v>2L4X4X3/4X3/8</v>
          </cell>
          <cell r="D564" t="str">
            <v>F</v>
          </cell>
          <cell r="E564">
            <v>37</v>
          </cell>
          <cell r="F564">
            <v>10.9</v>
          </cell>
          <cell r="G564" t="str">
            <v>2L4X4X3/4X3/8</v>
          </cell>
          <cell r="H564">
            <v>4</v>
          </cell>
          <cell r="I564" t="str">
            <v>–</v>
          </cell>
          <cell r="J564" t="str">
            <v>–</v>
          </cell>
          <cell r="K564" t="str">
            <v>–</v>
          </cell>
          <cell r="L564" t="str">
            <v>–</v>
          </cell>
          <cell r="M564" t="str">
            <v>–</v>
          </cell>
          <cell r="N564" t="str">
            <v>–</v>
          </cell>
          <cell r="O564" t="str">
            <v>–</v>
          </cell>
          <cell r="P564">
            <v>4</v>
          </cell>
          <cell r="Q564" t="str">
            <v>–</v>
          </cell>
          <cell r="R564" t="str">
            <v>–</v>
          </cell>
          <cell r="S564" t="str">
            <v>–</v>
          </cell>
          <cell r="T564" t="str">
            <v>–</v>
          </cell>
          <cell r="U564" t="str">
            <v>–</v>
          </cell>
          <cell r="V564" t="str">
            <v>–</v>
          </cell>
          <cell r="W564">
            <v>0.75</v>
          </cell>
        </row>
        <row r="565">
          <cell r="B565" t="str">
            <v>2L4X4X3/4X3/4</v>
          </cell>
          <cell r="C565" t="str">
            <v>2L4X4X3/4X3/4</v>
          </cell>
          <cell r="D565" t="str">
            <v>F</v>
          </cell>
          <cell r="E565">
            <v>37</v>
          </cell>
          <cell r="F565">
            <v>10.9</v>
          </cell>
          <cell r="G565" t="str">
            <v>2L4X4X3/4X3/4</v>
          </cell>
          <cell r="H565">
            <v>4</v>
          </cell>
          <cell r="I565" t="str">
            <v>–</v>
          </cell>
          <cell r="J565" t="str">
            <v>–</v>
          </cell>
          <cell r="K565" t="str">
            <v>–</v>
          </cell>
          <cell r="L565" t="str">
            <v>–</v>
          </cell>
          <cell r="M565" t="str">
            <v>–</v>
          </cell>
          <cell r="N565" t="str">
            <v>–</v>
          </cell>
          <cell r="O565" t="str">
            <v>–</v>
          </cell>
          <cell r="P565">
            <v>4</v>
          </cell>
          <cell r="Q565" t="str">
            <v>–</v>
          </cell>
          <cell r="R565" t="str">
            <v>–</v>
          </cell>
          <cell r="S565" t="str">
            <v>–</v>
          </cell>
          <cell r="T565" t="str">
            <v>–</v>
          </cell>
          <cell r="U565" t="str">
            <v>–</v>
          </cell>
          <cell r="V565" t="str">
            <v>–</v>
          </cell>
          <cell r="W565">
            <v>0.75</v>
          </cell>
        </row>
        <row r="566">
          <cell r="B566" t="str">
            <v>2L4X4X5/8</v>
          </cell>
          <cell r="C566" t="str">
            <v>2L4X4X5/8</v>
          </cell>
          <cell r="D566" t="str">
            <v>F</v>
          </cell>
          <cell r="E566">
            <v>31.4</v>
          </cell>
          <cell r="F566">
            <v>9.2200000000000006</v>
          </cell>
          <cell r="G566" t="str">
            <v>2L4X4X5/8</v>
          </cell>
          <cell r="H566">
            <v>4</v>
          </cell>
          <cell r="I566" t="str">
            <v>–</v>
          </cell>
          <cell r="J566" t="str">
            <v>–</v>
          </cell>
          <cell r="K566" t="str">
            <v>–</v>
          </cell>
          <cell r="L566" t="str">
            <v>–</v>
          </cell>
          <cell r="M566" t="str">
            <v>–</v>
          </cell>
          <cell r="N566" t="str">
            <v>–</v>
          </cell>
          <cell r="O566" t="str">
            <v>–</v>
          </cell>
          <cell r="P566">
            <v>4</v>
          </cell>
          <cell r="Q566" t="str">
            <v>–</v>
          </cell>
          <cell r="R566" t="str">
            <v>–</v>
          </cell>
          <cell r="S566" t="str">
            <v>–</v>
          </cell>
          <cell r="T566" t="str">
            <v>–</v>
          </cell>
          <cell r="U566" t="str">
            <v>–</v>
          </cell>
          <cell r="V566" t="str">
            <v>–</v>
          </cell>
          <cell r="W566">
            <v>0.625</v>
          </cell>
        </row>
        <row r="567">
          <cell r="B567" t="str">
            <v>2L4X4X5/8X3/8</v>
          </cell>
          <cell r="C567" t="str">
            <v>2L4X4X5/8X3/8</v>
          </cell>
          <cell r="D567" t="str">
            <v>F</v>
          </cell>
          <cell r="E567">
            <v>31.4</v>
          </cell>
          <cell r="F567">
            <v>9.2200000000000006</v>
          </cell>
          <cell r="G567" t="str">
            <v>2L4X4X5/8X3/8</v>
          </cell>
          <cell r="H567">
            <v>4</v>
          </cell>
          <cell r="I567" t="str">
            <v>–</v>
          </cell>
          <cell r="J567" t="str">
            <v>–</v>
          </cell>
          <cell r="K567" t="str">
            <v>–</v>
          </cell>
          <cell r="L567" t="str">
            <v>–</v>
          </cell>
          <cell r="M567" t="str">
            <v>–</v>
          </cell>
          <cell r="N567" t="str">
            <v>–</v>
          </cell>
          <cell r="O567" t="str">
            <v>–</v>
          </cell>
          <cell r="P567">
            <v>4</v>
          </cell>
          <cell r="Q567" t="str">
            <v>–</v>
          </cell>
          <cell r="R567" t="str">
            <v>–</v>
          </cell>
          <cell r="S567" t="str">
            <v>–</v>
          </cell>
          <cell r="T567" t="str">
            <v>–</v>
          </cell>
          <cell r="U567" t="str">
            <v>–</v>
          </cell>
          <cell r="V567" t="str">
            <v>–</v>
          </cell>
          <cell r="W567">
            <v>0.625</v>
          </cell>
        </row>
        <row r="568">
          <cell r="B568" t="str">
            <v>2L4X4X5/8X3/4</v>
          </cell>
          <cell r="C568" t="str">
            <v>2L4X4X5/8X3/4</v>
          </cell>
          <cell r="D568" t="str">
            <v>F</v>
          </cell>
          <cell r="E568">
            <v>31.4</v>
          </cell>
          <cell r="F568">
            <v>9.2200000000000006</v>
          </cell>
          <cell r="G568" t="str">
            <v>2L4X4X5/8X3/4</v>
          </cell>
          <cell r="H568">
            <v>4</v>
          </cell>
          <cell r="I568" t="str">
            <v>–</v>
          </cell>
          <cell r="J568" t="str">
            <v>–</v>
          </cell>
          <cell r="K568" t="str">
            <v>–</v>
          </cell>
          <cell r="L568" t="str">
            <v>–</v>
          </cell>
          <cell r="M568" t="str">
            <v>–</v>
          </cell>
          <cell r="N568" t="str">
            <v>–</v>
          </cell>
          <cell r="O568" t="str">
            <v>–</v>
          </cell>
          <cell r="P568">
            <v>4</v>
          </cell>
          <cell r="Q568" t="str">
            <v>–</v>
          </cell>
          <cell r="R568" t="str">
            <v>–</v>
          </cell>
          <cell r="S568" t="str">
            <v>–</v>
          </cell>
          <cell r="T568" t="str">
            <v>–</v>
          </cell>
          <cell r="U568" t="str">
            <v>–</v>
          </cell>
          <cell r="V568" t="str">
            <v>–</v>
          </cell>
          <cell r="W568">
            <v>0.625</v>
          </cell>
        </row>
        <row r="569">
          <cell r="B569" t="str">
            <v>2L4X4X1/2</v>
          </cell>
          <cell r="C569" t="str">
            <v>2L4X4X1/2</v>
          </cell>
          <cell r="D569" t="str">
            <v>F</v>
          </cell>
          <cell r="E569">
            <v>25.6</v>
          </cell>
          <cell r="F569">
            <v>7.5</v>
          </cell>
          <cell r="G569" t="str">
            <v>2L4X4X1/2</v>
          </cell>
          <cell r="H569">
            <v>4</v>
          </cell>
          <cell r="I569" t="str">
            <v>–</v>
          </cell>
          <cell r="J569" t="str">
            <v>–</v>
          </cell>
          <cell r="K569" t="str">
            <v>–</v>
          </cell>
          <cell r="L569" t="str">
            <v>–</v>
          </cell>
          <cell r="M569" t="str">
            <v>–</v>
          </cell>
          <cell r="N569" t="str">
            <v>–</v>
          </cell>
          <cell r="O569" t="str">
            <v>–</v>
          </cell>
          <cell r="P569">
            <v>4</v>
          </cell>
          <cell r="Q569" t="str">
            <v>–</v>
          </cell>
          <cell r="R569" t="str">
            <v>–</v>
          </cell>
          <cell r="S569" t="str">
            <v>–</v>
          </cell>
          <cell r="T569" t="str">
            <v>–</v>
          </cell>
          <cell r="U569" t="str">
            <v>–</v>
          </cell>
          <cell r="V569" t="str">
            <v>–</v>
          </cell>
          <cell r="W569">
            <v>0.5</v>
          </cell>
        </row>
        <row r="570">
          <cell r="B570" t="str">
            <v>2L4X4X1/2X3/8</v>
          </cell>
          <cell r="C570" t="str">
            <v>2L4X4X1/2X3/8</v>
          </cell>
          <cell r="D570" t="str">
            <v>F</v>
          </cell>
          <cell r="E570">
            <v>25.6</v>
          </cell>
          <cell r="F570">
            <v>7.5</v>
          </cell>
          <cell r="G570" t="str">
            <v>2L4X4X1/2X3/8</v>
          </cell>
          <cell r="H570">
            <v>4</v>
          </cell>
          <cell r="I570" t="str">
            <v>–</v>
          </cell>
          <cell r="J570" t="str">
            <v>–</v>
          </cell>
          <cell r="K570" t="str">
            <v>–</v>
          </cell>
          <cell r="L570" t="str">
            <v>–</v>
          </cell>
          <cell r="M570" t="str">
            <v>–</v>
          </cell>
          <cell r="N570" t="str">
            <v>–</v>
          </cell>
          <cell r="O570" t="str">
            <v>–</v>
          </cell>
          <cell r="P570">
            <v>4</v>
          </cell>
          <cell r="Q570" t="str">
            <v>–</v>
          </cell>
          <cell r="R570" t="str">
            <v>–</v>
          </cell>
          <cell r="S570" t="str">
            <v>–</v>
          </cell>
          <cell r="T570" t="str">
            <v>–</v>
          </cell>
          <cell r="U570" t="str">
            <v>–</v>
          </cell>
          <cell r="V570" t="str">
            <v>–</v>
          </cell>
          <cell r="W570">
            <v>0.5</v>
          </cell>
        </row>
        <row r="571">
          <cell r="B571" t="str">
            <v>2L4X4X1/2X3/4</v>
          </cell>
          <cell r="C571" t="str">
            <v>2L4X4X1/2X3/4</v>
          </cell>
          <cell r="D571" t="str">
            <v>F</v>
          </cell>
          <cell r="E571">
            <v>25.6</v>
          </cell>
          <cell r="F571">
            <v>7.5</v>
          </cell>
          <cell r="G571" t="str">
            <v>2L4X4X1/2X3/4</v>
          </cell>
          <cell r="H571">
            <v>4</v>
          </cell>
          <cell r="I571" t="str">
            <v>–</v>
          </cell>
          <cell r="J571" t="str">
            <v>–</v>
          </cell>
          <cell r="K571" t="str">
            <v>–</v>
          </cell>
          <cell r="L571" t="str">
            <v>–</v>
          </cell>
          <cell r="M571" t="str">
            <v>–</v>
          </cell>
          <cell r="N571" t="str">
            <v>–</v>
          </cell>
          <cell r="O571" t="str">
            <v>–</v>
          </cell>
          <cell r="P571">
            <v>4</v>
          </cell>
          <cell r="Q571" t="str">
            <v>–</v>
          </cell>
          <cell r="R571" t="str">
            <v>–</v>
          </cell>
          <cell r="S571" t="str">
            <v>–</v>
          </cell>
          <cell r="T571" t="str">
            <v>–</v>
          </cell>
          <cell r="U571" t="str">
            <v>–</v>
          </cell>
          <cell r="V571" t="str">
            <v>–</v>
          </cell>
          <cell r="W571">
            <v>0.5</v>
          </cell>
        </row>
        <row r="572">
          <cell r="B572" t="str">
            <v>2L4X4X7/16</v>
          </cell>
          <cell r="C572" t="str">
            <v>2L4X4X7/16</v>
          </cell>
          <cell r="D572" t="str">
            <v>F</v>
          </cell>
          <cell r="E572">
            <v>22.6</v>
          </cell>
          <cell r="F572">
            <v>6.6</v>
          </cell>
          <cell r="G572" t="str">
            <v>2L4X4X7/16</v>
          </cell>
          <cell r="H572">
            <v>4</v>
          </cell>
          <cell r="I572" t="str">
            <v>–</v>
          </cell>
          <cell r="J572" t="str">
            <v>–</v>
          </cell>
          <cell r="K572" t="str">
            <v>–</v>
          </cell>
          <cell r="L572" t="str">
            <v>–</v>
          </cell>
          <cell r="M572" t="str">
            <v>–</v>
          </cell>
          <cell r="N572" t="str">
            <v>–</v>
          </cell>
          <cell r="O572" t="str">
            <v>–</v>
          </cell>
          <cell r="P572">
            <v>4</v>
          </cell>
          <cell r="Q572" t="str">
            <v>–</v>
          </cell>
          <cell r="R572" t="str">
            <v>–</v>
          </cell>
          <cell r="S572" t="str">
            <v>–</v>
          </cell>
          <cell r="T572" t="str">
            <v>–</v>
          </cell>
          <cell r="U572" t="str">
            <v>–</v>
          </cell>
          <cell r="V572" t="str">
            <v>–</v>
          </cell>
          <cell r="W572">
            <v>0.438</v>
          </cell>
        </row>
        <row r="573">
          <cell r="B573" t="str">
            <v>2L4X4X7/16X3/8</v>
          </cell>
          <cell r="C573" t="str">
            <v>2L4X4X7/16X3/8</v>
          </cell>
          <cell r="D573" t="str">
            <v>F</v>
          </cell>
          <cell r="E573">
            <v>22.6</v>
          </cell>
          <cell r="F573">
            <v>6.6</v>
          </cell>
          <cell r="G573" t="str">
            <v>2L4X4X7/16X3/8</v>
          </cell>
          <cell r="H573">
            <v>4</v>
          </cell>
          <cell r="I573" t="str">
            <v>–</v>
          </cell>
          <cell r="J573" t="str">
            <v>–</v>
          </cell>
          <cell r="K573" t="str">
            <v>–</v>
          </cell>
          <cell r="L573" t="str">
            <v>–</v>
          </cell>
          <cell r="M573" t="str">
            <v>–</v>
          </cell>
          <cell r="N573" t="str">
            <v>–</v>
          </cell>
          <cell r="O573" t="str">
            <v>–</v>
          </cell>
          <cell r="P573">
            <v>4</v>
          </cell>
          <cell r="Q573" t="str">
            <v>–</v>
          </cell>
          <cell r="R573" t="str">
            <v>–</v>
          </cell>
          <cell r="S573" t="str">
            <v>–</v>
          </cell>
          <cell r="T573" t="str">
            <v>–</v>
          </cell>
          <cell r="U573" t="str">
            <v>–</v>
          </cell>
          <cell r="V573" t="str">
            <v>–</v>
          </cell>
          <cell r="W573">
            <v>0.438</v>
          </cell>
        </row>
        <row r="574">
          <cell r="B574" t="str">
            <v>2L4X4X7/16X3/4</v>
          </cell>
          <cell r="C574" t="str">
            <v>2L4X4X7/16X3/4</v>
          </cell>
          <cell r="D574" t="str">
            <v>F</v>
          </cell>
          <cell r="E574">
            <v>22.6</v>
          </cell>
          <cell r="F574">
            <v>6.6</v>
          </cell>
          <cell r="G574" t="str">
            <v>2L4X4X7/16X3/4</v>
          </cell>
          <cell r="H574">
            <v>4</v>
          </cell>
          <cell r="I574" t="str">
            <v>–</v>
          </cell>
          <cell r="J574" t="str">
            <v>–</v>
          </cell>
          <cell r="K574" t="str">
            <v>–</v>
          </cell>
          <cell r="L574" t="str">
            <v>–</v>
          </cell>
          <cell r="M574" t="str">
            <v>–</v>
          </cell>
          <cell r="N574" t="str">
            <v>–</v>
          </cell>
          <cell r="O574" t="str">
            <v>–</v>
          </cell>
          <cell r="P574">
            <v>4</v>
          </cell>
          <cell r="Q574" t="str">
            <v>–</v>
          </cell>
          <cell r="R574" t="str">
            <v>–</v>
          </cell>
          <cell r="S574" t="str">
            <v>–</v>
          </cell>
          <cell r="T574" t="str">
            <v>–</v>
          </cell>
          <cell r="U574" t="str">
            <v>–</v>
          </cell>
          <cell r="V574" t="str">
            <v>–</v>
          </cell>
          <cell r="W574">
            <v>0.438</v>
          </cell>
        </row>
        <row r="575">
          <cell r="B575" t="str">
            <v>2L4X4X3/8</v>
          </cell>
          <cell r="C575" t="str">
            <v>2L4X4X3/8</v>
          </cell>
          <cell r="D575" t="str">
            <v>F</v>
          </cell>
          <cell r="E575">
            <v>19.600000000000001</v>
          </cell>
          <cell r="F575">
            <v>5.72</v>
          </cell>
          <cell r="G575" t="str">
            <v>2L4X4X3/8</v>
          </cell>
          <cell r="H575">
            <v>4</v>
          </cell>
          <cell r="I575" t="str">
            <v>–</v>
          </cell>
          <cell r="J575" t="str">
            <v>–</v>
          </cell>
          <cell r="K575" t="str">
            <v>–</v>
          </cell>
          <cell r="L575" t="str">
            <v>–</v>
          </cell>
          <cell r="M575" t="str">
            <v>–</v>
          </cell>
          <cell r="N575" t="str">
            <v>–</v>
          </cell>
          <cell r="O575" t="str">
            <v>–</v>
          </cell>
          <cell r="P575">
            <v>4</v>
          </cell>
          <cell r="Q575" t="str">
            <v>–</v>
          </cell>
          <cell r="R575" t="str">
            <v>–</v>
          </cell>
          <cell r="S575" t="str">
            <v>–</v>
          </cell>
          <cell r="T575" t="str">
            <v>–</v>
          </cell>
          <cell r="U575" t="str">
            <v>–</v>
          </cell>
          <cell r="V575" t="str">
            <v>–</v>
          </cell>
          <cell r="W575">
            <v>0.375</v>
          </cell>
        </row>
        <row r="576">
          <cell r="B576" t="str">
            <v>2L4X4X3/8X3/8</v>
          </cell>
          <cell r="C576" t="str">
            <v>2L4X4X3/8X3/8</v>
          </cell>
          <cell r="D576" t="str">
            <v>F</v>
          </cell>
          <cell r="E576">
            <v>19.600000000000001</v>
          </cell>
          <cell r="F576">
            <v>5.72</v>
          </cell>
          <cell r="G576" t="str">
            <v>2L4X4X3/8X3/8</v>
          </cell>
          <cell r="H576">
            <v>4</v>
          </cell>
          <cell r="I576" t="str">
            <v>–</v>
          </cell>
          <cell r="J576" t="str">
            <v>–</v>
          </cell>
          <cell r="K576" t="str">
            <v>–</v>
          </cell>
          <cell r="L576" t="str">
            <v>–</v>
          </cell>
          <cell r="M576" t="str">
            <v>–</v>
          </cell>
          <cell r="N576" t="str">
            <v>–</v>
          </cell>
          <cell r="O576" t="str">
            <v>–</v>
          </cell>
          <cell r="P576">
            <v>4</v>
          </cell>
          <cell r="Q576" t="str">
            <v>–</v>
          </cell>
          <cell r="R576" t="str">
            <v>–</v>
          </cell>
          <cell r="S576" t="str">
            <v>–</v>
          </cell>
          <cell r="T576" t="str">
            <v>–</v>
          </cell>
          <cell r="U576" t="str">
            <v>–</v>
          </cell>
          <cell r="V576" t="str">
            <v>–</v>
          </cell>
          <cell r="W576">
            <v>0.375</v>
          </cell>
        </row>
        <row r="577">
          <cell r="B577" t="str">
            <v>2L4X4X3/8X3/4</v>
          </cell>
          <cell r="C577" t="str">
            <v>2L4X4X3/8X3/4</v>
          </cell>
          <cell r="D577" t="str">
            <v>F</v>
          </cell>
          <cell r="E577">
            <v>19.600000000000001</v>
          </cell>
          <cell r="F577">
            <v>5.72</v>
          </cell>
          <cell r="G577" t="str">
            <v>2L4X4X3/8X3/4</v>
          </cell>
          <cell r="H577">
            <v>4</v>
          </cell>
          <cell r="I577" t="str">
            <v>–</v>
          </cell>
          <cell r="J577" t="str">
            <v>–</v>
          </cell>
          <cell r="K577" t="str">
            <v>–</v>
          </cell>
          <cell r="L577" t="str">
            <v>–</v>
          </cell>
          <cell r="M577" t="str">
            <v>–</v>
          </cell>
          <cell r="N577" t="str">
            <v>–</v>
          </cell>
          <cell r="O577" t="str">
            <v>–</v>
          </cell>
          <cell r="P577">
            <v>4</v>
          </cell>
          <cell r="Q577" t="str">
            <v>–</v>
          </cell>
          <cell r="R577" t="str">
            <v>–</v>
          </cell>
          <cell r="S577" t="str">
            <v>–</v>
          </cell>
          <cell r="T577" t="str">
            <v>–</v>
          </cell>
          <cell r="U577" t="str">
            <v>–</v>
          </cell>
          <cell r="V577" t="str">
            <v>–</v>
          </cell>
          <cell r="W577">
            <v>0.375</v>
          </cell>
        </row>
        <row r="578">
          <cell r="B578" t="str">
            <v>2L4X4X5/16</v>
          </cell>
          <cell r="C578" t="str">
            <v>2L4X4X5/16</v>
          </cell>
          <cell r="D578" t="str">
            <v>F</v>
          </cell>
          <cell r="E578">
            <v>16.399999999999999</v>
          </cell>
          <cell r="F578">
            <v>4.8</v>
          </cell>
          <cell r="G578" t="str">
            <v>2L4X4X5/16</v>
          </cell>
          <cell r="H578">
            <v>4</v>
          </cell>
          <cell r="I578" t="str">
            <v>–</v>
          </cell>
          <cell r="J578" t="str">
            <v>–</v>
          </cell>
          <cell r="K578" t="str">
            <v>–</v>
          </cell>
          <cell r="L578" t="str">
            <v>–</v>
          </cell>
          <cell r="M578" t="str">
            <v>–</v>
          </cell>
          <cell r="N578" t="str">
            <v>–</v>
          </cell>
          <cell r="O578" t="str">
            <v>–</v>
          </cell>
          <cell r="P578">
            <v>4</v>
          </cell>
          <cell r="Q578" t="str">
            <v>–</v>
          </cell>
          <cell r="R578" t="str">
            <v>–</v>
          </cell>
          <cell r="S578" t="str">
            <v>–</v>
          </cell>
          <cell r="T578" t="str">
            <v>–</v>
          </cell>
          <cell r="U578" t="str">
            <v>–</v>
          </cell>
          <cell r="V578" t="str">
            <v>–</v>
          </cell>
          <cell r="W578">
            <v>0.313</v>
          </cell>
        </row>
        <row r="579">
          <cell r="B579" t="str">
            <v>2L4X4X5/16X3/8</v>
          </cell>
          <cell r="C579" t="str">
            <v>2L4X4X5/16X3/8</v>
          </cell>
          <cell r="D579" t="str">
            <v>F</v>
          </cell>
          <cell r="E579">
            <v>16.399999999999999</v>
          </cell>
          <cell r="F579">
            <v>4.8</v>
          </cell>
          <cell r="G579" t="str">
            <v>2L4X4X5/16X3/8</v>
          </cell>
          <cell r="H579">
            <v>4</v>
          </cell>
          <cell r="I579" t="str">
            <v>–</v>
          </cell>
          <cell r="J579" t="str">
            <v>–</v>
          </cell>
          <cell r="K579" t="str">
            <v>–</v>
          </cell>
          <cell r="L579" t="str">
            <v>–</v>
          </cell>
          <cell r="M579" t="str">
            <v>–</v>
          </cell>
          <cell r="N579" t="str">
            <v>–</v>
          </cell>
          <cell r="O579" t="str">
            <v>–</v>
          </cell>
          <cell r="P579">
            <v>4</v>
          </cell>
          <cell r="Q579" t="str">
            <v>–</v>
          </cell>
          <cell r="R579" t="str">
            <v>–</v>
          </cell>
          <cell r="S579" t="str">
            <v>–</v>
          </cell>
          <cell r="T579" t="str">
            <v>–</v>
          </cell>
          <cell r="U579" t="str">
            <v>–</v>
          </cell>
          <cell r="V579" t="str">
            <v>–</v>
          </cell>
          <cell r="W579">
            <v>0.313</v>
          </cell>
        </row>
        <row r="580">
          <cell r="B580" t="str">
            <v>2L4X4X5/16X3/4</v>
          </cell>
          <cell r="C580" t="str">
            <v>2L4X4X5/16X3/4</v>
          </cell>
          <cell r="D580" t="str">
            <v>F</v>
          </cell>
          <cell r="E580">
            <v>16.399999999999999</v>
          </cell>
          <cell r="F580">
            <v>4.8</v>
          </cell>
          <cell r="G580" t="str">
            <v>2L4X4X5/16X3/4</v>
          </cell>
          <cell r="H580">
            <v>4</v>
          </cell>
          <cell r="I580" t="str">
            <v>–</v>
          </cell>
          <cell r="J580" t="str">
            <v>–</v>
          </cell>
          <cell r="K580" t="str">
            <v>–</v>
          </cell>
          <cell r="L580" t="str">
            <v>–</v>
          </cell>
          <cell r="M580" t="str">
            <v>–</v>
          </cell>
          <cell r="N580" t="str">
            <v>–</v>
          </cell>
          <cell r="O580" t="str">
            <v>–</v>
          </cell>
          <cell r="P580">
            <v>4</v>
          </cell>
          <cell r="Q580" t="str">
            <v>–</v>
          </cell>
          <cell r="R580" t="str">
            <v>–</v>
          </cell>
          <cell r="S580" t="str">
            <v>–</v>
          </cell>
          <cell r="T580" t="str">
            <v>–</v>
          </cell>
          <cell r="U580" t="str">
            <v>–</v>
          </cell>
          <cell r="V580" t="str">
            <v>–</v>
          </cell>
          <cell r="W580">
            <v>0.313</v>
          </cell>
        </row>
        <row r="581">
          <cell r="B581" t="str">
            <v>2L4X4X1/4</v>
          </cell>
          <cell r="C581" t="str">
            <v>2L4X4X1/4</v>
          </cell>
          <cell r="D581" t="str">
            <v>F</v>
          </cell>
          <cell r="E581">
            <v>13.2</v>
          </cell>
          <cell r="F581">
            <v>3.86</v>
          </cell>
          <cell r="G581" t="str">
            <v>2L4X4X1/4</v>
          </cell>
          <cell r="H581">
            <v>4</v>
          </cell>
          <cell r="I581" t="str">
            <v>–</v>
          </cell>
          <cell r="J581" t="str">
            <v>–</v>
          </cell>
          <cell r="K581" t="str">
            <v>–</v>
          </cell>
          <cell r="L581" t="str">
            <v>–</v>
          </cell>
          <cell r="M581" t="str">
            <v>–</v>
          </cell>
          <cell r="N581" t="str">
            <v>–</v>
          </cell>
          <cell r="O581" t="str">
            <v>–</v>
          </cell>
          <cell r="P581">
            <v>4</v>
          </cell>
          <cell r="Q581" t="str">
            <v>–</v>
          </cell>
          <cell r="R581" t="str">
            <v>–</v>
          </cell>
          <cell r="S581" t="str">
            <v>–</v>
          </cell>
          <cell r="T581" t="str">
            <v>–</v>
          </cell>
          <cell r="U581" t="str">
            <v>–</v>
          </cell>
          <cell r="V581" t="str">
            <v>–</v>
          </cell>
          <cell r="W581">
            <v>0.25</v>
          </cell>
        </row>
        <row r="582">
          <cell r="B582" t="str">
            <v>2L4X4X1/4X3/8</v>
          </cell>
          <cell r="C582" t="str">
            <v>2L4X4X1/4X3/8</v>
          </cell>
          <cell r="D582" t="str">
            <v>F</v>
          </cell>
          <cell r="E582">
            <v>13.2</v>
          </cell>
          <cell r="F582">
            <v>3.86</v>
          </cell>
          <cell r="G582" t="str">
            <v>2L4X4X1/4X3/8</v>
          </cell>
          <cell r="H582">
            <v>4</v>
          </cell>
          <cell r="I582" t="str">
            <v>–</v>
          </cell>
          <cell r="J582" t="str">
            <v>–</v>
          </cell>
          <cell r="K582" t="str">
            <v>–</v>
          </cell>
          <cell r="L582" t="str">
            <v>–</v>
          </cell>
          <cell r="M582" t="str">
            <v>–</v>
          </cell>
          <cell r="N582" t="str">
            <v>–</v>
          </cell>
          <cell r="O582" t="str">
            <v>–</v>
          </cell>
          <cell r="P582">
            <v>4</v>
          </cell>
          <cell r="Q582" t="str">
            <v>–</v>
          </cell>
          <cell r="R582" t="str">
            <v>–</v>
          </cell>
          <cell r="S582" t="str">
            <v>–</v>
          </cell>
          <cell r="T582" t="str">
            <v>–</v>
          </cell>
          <cell r="U582" t="str">
            <v>–</v>
          </cell>
          <cell r="V582" t="str">
            <v>–</v>
          </cell>
          <cell r="W582">
            <v>0.25</v>
          </cell>
        </row>
        <row r="583">
          <cell r="B583" t="str">
            <v>2L4X4X1/4X3/4</v>
          </cell>
          <cell r="C583" t="str">
            <v>2L4X4X1/4X3/4</v>
          </cell>
          <cell r="D583" t="str">
            <v>F</v>
          </cell>
          <cell r="E583">
            <v>13.2</v>
          </cell>
          <cell r="F583">
            <v>3.86</v>
          </cell>
          <cell r="G583" t="str">
            <v>2L4X4X1/4X3/4</v>
          </cell>
          <cell r="H583">
            <v>4</v>
          </cell>
          <cell r="I583" t="str">
            <v>–</v>
          </cell>
          <cell r="J583" t="str">
            <v>–</v>
          </cell>
          <cell r="K583" t="str">
            <v>–</v>
          </cell>
          <cell r="L583" t="str">
            <v>–</v>
          </cell>
          <cell r="M583" t="str">
            <v>–</v>
          </cell>
          <cell r="N583" t="str">
            <v>–</v>
          </cell>
          <cell r="O583" t="str">
            <v>–</v>
          </cell>
          <cell r="P583">
            <v>4</v>
          </cell>
          <cell r="Q583" t="str">
            <v>–</v>
          </cell>
          <cell r="R583" t="str">
            <v>–</v>
          </cell>
          <cell r="S583" t="str">
            <v>–</v>
          </cell>
          <cell r="T583" t="str">
            <v>–</v>
          </cell>
          <cell r="U583" t="str">
            <v>–</v>
          </cell>
          <cell r="V583" t="str">
            <v>–</v>
          </cell>
          <cell r="W583">
            <v>0.25</v>
          </cell>
        </row>
        <row r="584">
          <cell r="B584" t="str">
            <v>2L3-1/2X3-1/2X1/2</v>
          </cell>
          <cell r="C584" t="str">
            <v>2L3-1/2X3-1/2X1/2</v>
          </cell>
          <cell r="D584" t="str">
            <v>F</v>
          </cell>
          <cell r="E584">
            <v>22.2</v>
          </cell>
          <cell r="F584">
            <v>6.5</v>
          </cell>
          <cell r="G584" t="str">
            <v>2L3-1/2X3-1/2X1/2</v>
          </cell>
          <cell r="H584">
            <v>3.5</v>
          </cell>
          <cell r="I584" t="str">
            <v>–</v>
          </cell>
          <cell r="J584" t="str">
            <v>–</v>
          </cell>
          <cell r="K584" t="str">
            <v>–</v>
          </cell>
          <cell r="L584" t="str">
            <v>–</v>
          </cell>
          <cell r="M584" t="str">
            <v>–</v>
          </cell>
          <cell r="N584" t="str">
            <v>–</v>
          </cell>
          <cell r="O584" t="str">
            <v>–</v>
          </cell>
          <cell r="P584">
            <v>3.5</v>
          </cell>
          <cell r="Q584" t="str">
            <v>–</v>
          </cell>
          <cell r="R584" t="str">
            <v>–</v>
          </cell>
          <cell r="S584" t="str">
            <v>–</v>
          </cell>
          <cell r="T584" t="str">
            <v>–</v>
          </cell>
          <cell r="U584" t="str">
            <v>–</v>
          </cell>
          <cell r="V584" t="str">
            <v>–</v>
          </cell>
          <cell r="W584">
            <v>0.5</v>
          </cell>
        </row>
        <row r="585">
          <cell r="B585" t="str">
            <v>2L3-1/2X3-1/2X1/2X3/8</v>
          </cell>
          <cell r="C585" t="str">
            <v>2L3-1/2X3-1/2X1/2X3/8</v>
          </cell>
          <cell r="D585" t="str">
            <v>F</v>
          </cell>
          <cell r="E585">
            <v>22.2</v>
          </cell>
          <cell r="F585">
            <v>6.5</v>
          </cell>
          <cell r="G585" t="str">
            <v>2L3-1/2X3-1/2X1/2X3/8</v>
          </cell>
          <cell r="H585">
            <v>3.5</v>
          </cell>
          <cell r="I585" t="str">
            <v>–</v>
          </cell>
          <cell r="J585" t="str">
            <v>–</v>
          </cell>
          <cell r="K585" t="str">
            <v>–</v>
          </cell>
          <cell r="L585" t="str">
            <v>–</v>
          </cell>
          <cell r="M585" t="str">
            <v>–</v>
          </cell>
          <cell r="N585" t="str">
            <v>–</v>
          </cell>
          <cell r="O585" t="str">
            <v>–</v>
          </cell>
          <cell r="P585">
            <v>3.5</v>
          </cell>
          <cell r="Q585" t="str">
            <v>–</v>
          </cell>
          <cell r="R585" t="str">
            <v>–</v>
          </cell>
          <cell r="S585" t="str">
            <v>–</v>
          </cell>
          <cell r="T585" t="str">
            <v>–</v>
          </cell>
          <cell r="U585" t="str">
            <v>–</v>
          </cell>
          <cell r="V585" t="str">
            <v>–</v>
          </cell>
          <cell r="W585">
            <v>0.5</v>
          </cell>
        </row>
        <row r="586">
          <cell r="B586" t="str">
            <v>2L3-1/2X3-1/2X1/2X3/4</v>
          </cell>
          <cell r="C586" t="str">
            <v>2L3-1/2X3-1/2X1/2X3/4</v>
          </cell>
          <cell r="D586" t="str">
            <v>F</v>
          </cell>
          <cell r="E586">
            <v>22.2</v>
          </cell>
          <cell r="F586">
            <v>6.5</v>
          </cell>
          <cell r="G586" t="str">
            <v>2L3-1/2X3-1/2X1/2X3/4</v>
          </cell>
          <cell r="H586">
            <v>3.5</v>
          </cell>
          <cell r="I586" t="str">
            <v>–</v>
          </cell>
          <cell r="J586" t="str">
            <v>–</v>
          </cell>
          <cell r="K586" t="str">
            <v>–</v>
          </cell>
          <cell r="L586" t="str">
            <v>–</v>
          </cell>
          <cell r="M586" t="str">
            <v>–</v>
          </cell>
          <cell r="N586" t="str">
            <v>–</v>
          </cell>
          <cell r="O586" t="str">
            <v>–</v>
          </cell>
          <cell r="P586">
            <v>3.5</v>
          </cell>
          <cell r="Q586" t="str">
            <v>–</v>
          </cell>
          <cell r="R586" t="str">
            <v>–</v>
          </cell>
          <cell r="S586" t="str">
            <v>–</v>
          </cell>
          <cell r="T586" t="str">
            <v>–</v>
          </cell>
          <cell r="U586" t="str">
            <v>–</v>
          </cell>
          <cell r="V586" t="str">
            <v>–</v>
          </cell>
          <cell r="W586">
            <v>0.5</v>
          </cell>
        </row>
        <row r="587">
          <cell r="B587" t="str">
            <v>2L3-1/2X3-1/2X7/16</v>
          </cell>
          <cell r="C587" t="str">
            <v>2L3-1/2X3-1/2X7/16</v>
          </cell>
          <cell r="D587" t="str">
            <v>F</v>
          </cell>
          <cell r="E587">
            <v>19.600000000000001</v>
          </cell>
          <cell r="F587">
            <v>5.78</v>
          </cell>
          <cell r="G587" t="str">
            <v>2L3-1/2X3-1/2X7/16</v>
          </cell>
          <cell r="H587">
            <v>3.5</v>
          </cell>
          <cell r="I587" t="str">
            <v>–</v>
          </cell>
          <cell r="J587" t="str">
            <v>–</v>
          </cell>
          <cell r="K587" t="str">
            <v>–</v>
          </cell>
          <cell r="L587" t="str">
            <v>–</v>
          </cell>
          <cell r="M587" t="str">
            <v>–</v>
          </cell>
          <cell r="N587" t="str">
            <v>–</v>
          </cell>
          <cell r="O587" t="str">
            <v>–</v>
          </cell>
          <cell r="P587">
            <v>3.5</v>
          </cell>
          <cell r="Q587" t="str">
            <v>–</v>
          </cell>
          <cell r="R587" t="str">
            <v>–</v>
          </cell>
          <cell r="S587" t="str">
            <v>–</v>
          </cell>
          <cell r="T587" t="str">
            <v>–</v>
          </cell>
          <cell r="U587" t="str">
            <v>–</v>
          </cell>
          <cell r="V587" t="str">
            <v>–</v>
          </cell>
          <cell r="W587">
            <v>0.438</v>
          </cell>
        </row>
        <row r="588">
          <cell r="B588" t="str">
            <v>2L3-1/2X3-1/2X7/16X3/8</v>
          </cell>
          <cell r="C588" t="str">
            <v>2L3-1/2X3-1/2X7/16X3/8</v>
          </cell>
          <cell r="D588" t="str">
            <v>F</v>
          </cell>
          <cell r="E588">
            <v>19.600000000000001</v>
          </cell>
          <cell r="F588">
            <v>5.78</v>
          </cell>
          <cell r="G588" t="str">
            <v>2L3-1/2X3-1/2X7/16X3/8</v>
          </cell>
          <cell r="H588">
            <v>3.5</v>
          </cell>
          <cell r="I588" t="str">
            <v>–</v>
          </cell>
          <cell r="J588" t="str">
            <v>–</v>
          </cell>
          <cell r="K588" t="str">
            <v>–</v>
          </cell>
          <cell r="L588" t="str">
            <v>–</v>
          </cell>
          <cell r="M588" t="str">
            <v>–</v>
          </cell>
          <cell r="N588" t="str">
            <v>–</v>
          </cell>
          <cell r="O588" t="str">
            <v>–</v>
          </cell>
          <cell r="P588">
            <v>3.5</v>
          </cell>
          <cell r="Q588" t="str">
            <v>–</v>
          </cell>
          <cell r="R588" t="str">
            <v>–</v>
          </cell>
          <cell r="S588" t="str">
            <v>–</v>
          </cell>
          <cell r="T588" t="str">
            <v>–</v>
          </cell>
          <cell r="U588" t="str">
            <v>–</v>
          </cell>
          <cell r="V588" t="str">
            <v>–</v>
          </cell>
          <cell r="W588">
            <v>0.438</v>
          </cell>
        </row>
        <row r="589">
          <cell r="B589" t="str">
            <v>2L3-1/2X3-1/2X7/16X3/4</v>
          </cell>
          <cell r="C589" t="str">
            <v>2L3-1/2X3-1/2X7/16X3/4</v>
          </cell>
          <cell r="D589" t="str">
            <v>F</v>
          </cell>
          <cell r="E589">
            <v>19.600000000000001</v>
          </cell>
          <cell r="F589">
            <v>5.78</v>
          </cell>
          <cell r="G589" t="str">
            <v>2L3-1/2X3-1/2X7/16X3/4</v>
          </cell>
          <cell r="H589">
            <v>3.5</v>
          </cell>
          <cell r="I589" t="str">
            <v>–</v>
          </cell>
          <cell r="J589" t="str">
            <v>–</v>
          </cell>
          <cell r="K589" t="str">
            <v>–</v>
          </cell>
          <cell r="L589" t="str">
            <v>–</v>
          </cell>
          <cell r="M589" t="str">
            <v>–</v>
          </cell>
          <cell r="N589" t="str">
            <v>–</v>
          </cell>
          <cell r="O589" t="str">
            <v>–</v>
          </cell>
          <cell r="P589">
            <v>3.5</v>
          </cell>
          <cell r="Q589" t="str">
            <v>–</v>
          </cell>
          <cell r="R589" t="str">
            <v>–</v>
          </cell>
          <cell r="S589" t="str">
            <v>–</v>
          </cell>
          <cell r="T589" t="str">
            <v>–</v>
          </cell>
          <cell r="U589" t="str">
            <v>–</v>
          </cell>
          <cell r="V589" t="str">
            <v>–</v>
          </cell>
          <cell r="W589">
            <v>0.438</v>
          </cell>
        </row>
        <row r="590">
          <cell r="B590" t="str">
            <v>2L3-1/2X3-1/2X3/8</v>
          </cell>
          <cell r="C590" t="str">
            <v>2L3-1/2X3-1/2X3/8</v>
          </cell>
          <cell r="D590" t="str">
            <v>F</v>
          </cell>
          <cell r="E590">
            <v>17</v>
          </cell>
          <cell r="F590">
            <v>5</v>
          </cell>
          <cell r="G590" t="str">
            <v>2L3-1/2X3-1/2X3/8</v>
          </cell>
          <cell r="H590">
            <v>3.5</v>
          </cell>
          <cell r="I590" t="str">
            <v>–</v>
          </cell>
          <cell r="J590" t="str">
            <v>–</v>
          </cell>
          <cell r="K590" t="str">
            <v>–</v>
          </cell>
          <cell r="L590" t="str">
            <v>–</v>
          </cell>
          <cell r="M590" t="str">
            <v>–</v>
          </cell>
          <cell r="N590" t="str">
            <v>–</v>
          </cell>
          <cell r="O590" t="str">
            <v>–</v>
          </cell>
          <cell r="P590">
            <v>3.5</v>
          </cell>
          <cell r="Q590" t="str">
            <v>–</v>
          </cell>
          <cell r="R590" t="str">
            <v>–</v>
          </cell>
          <cell r="S590" t="str">
            <v>–</v>
          </cell>
          <cell r="T590" t="str">
            <v>–</v>
          </cell>
          <cell r="U590" t="str">
            <v>–</v>
          </cell>
          <cell r="V590" t="str">
            <v>–</v>
          </cell>
          <cell r="W590">
            <v>0.375</v>
          </cell>
        </row>
        <row r="591">
          <cell r="B591" t="str">
            <v>2L3-1/2X3-1/2X3/8X3/8</v>
          </cell>
          <cell r="C591" t="str">
            <v>2L3-1/2X3-1/2X3/8X3/8</v>
          </cell>
          <cell r="D591" t="str">
            <v>F</v>
          </cell>
          <cell r="E591">
            <v>17</v>
          </cell>
          <cell r="F591">
            <v>5</v>
          </cell>
          <cell r="G591" t="str">
            <v>2L3-1/2X3-1/2X3/8X3/8</v>
          </cell>
          <cell r="H591">
            <v>3.5</v>
          </cell>
          <cell r="I591" t="str">
            <v>–</v>
          </cell>
          <cell r="J591" t="str">
            <v>–</v>
          </cell>
          <cell r="K591" t="str">
            <v>–</v>
          </cell>
          <cell r="L591" t="str">
            <v>–</v>
          </cell>
          <cell r="M591" t="str">
            <v>–</v>
          </cell>
          <cell r="N591" t="str">
            <v>–</v>
          </cell>
          <cell r="O591" t="str">
            <v>–</v>
          </cell>
          <cell r="P591">
            <v>3.5</v>
          </cell>
          <cell r="Q591" t="str">
            <v>–</v>
          </cell>
          <cell r="R591" t="str">
            <v>–</v>
          </cell>
          <cell r="S591" t="str">
            <v>–</v>
          </cell>
          <cell r="T591" t="str">
            <v>–</v>
          </cell>
          <cell r="U591" t="str">
            <v>–</v>
          </cell>
          <cell r="V591" t="str">
            <v>–</v>
          </cell>
          <cell r="W591">
            <v>0.375</v>
          </cell>
        </row>
        <row r="592">
          <cell r="B592" t="str">
            <v>2L3-1/2X3-1/2X3/8X3/4</v>
          </cell>
          <cell r="C592" t="str">
            <v>2L3-1/2X3-1/2X3/8X3/4</v>
          </cell>
          <cell r="D592" t="str">
            <v>F</v>
          </cell>
          <cell r="E592">
            <v>17</v>
          </cell>
          <cell r="F592">
            <v>5</v>
          </cell>
          <cell r="G592" t="str">
            <v>2L3-1/2X3-1/2X3/8X3/4</v>
          </cell>
          <cell r="H592">
            <v>3.5</v>
          </cell>
          <cell r="I592" t="str">
            <v>–</v>
          </cell>
          <cell r="J592" t="str">
            <v>–</v>
          </cell>
          <cell r="K592" t="str">
            <v>–</v>
          </cell>
          <cell r="L592" t="str">
            <v>–</v>
          </cell>
          <cell r="M592" t="str">
            <v>–</v>
          </cell>
          <cell r="N592" t="str">
            <v>–</v>
          </cell>
          <cell r="O592" t="str">
            <v>–</v>
          </cell>
          <cell r="P592">
            <v>3.5</v>
          </cell>
          <cell r="Q592" t="str">
            <v>–</v>
          </cell>
          <cell r="R592" t="str">
            <v>–</v>
          </cell>
          <cell r="S592" t="str">
            <v>–</v>
          </cell>
          <cell r="T592" t="str">
            <v>–</v>
          </cell>
          <cell r="U592" t="str">
            <v>–</v>
          </cell>
          <cell r="V592" t="str">
            <v>–</v>
          </cell>
          <cell r="W592">
            <v>0.375</v>
          </cell>
        </row>
        <row r="593">
          <cell r="B593" t="str">
            <v>2L3-1/2X3-1/2X5/16</v>
          </cell>
          <cell r="C593" t="str">
            <v>2L3-1/2X3-1/2X5/16</v>
          </cell>
          <cell r="D593" t="str">
            <v>F</v>
          </cell>
          <cell r="E593">
            <v>14.4</v>
          </cell>
          <cell r="F593">
            <v>4.2</v>
          </cell>
          <cell r="G593" t="str">
            <v>2L3-1/2X3-1/2X5/16</v>
          </cell>
          <cell r="H593">
            <v>3.5</v>
          </cell>
          <cell r="I593" t="str">
            <v>–</v>
          </cell>
          <cell r="J593" t="str">
            <v>–</v>
          </cell>
          <cell r="K593" t="str">
            <v>–</v>
          </cell>
          <cell r="L593" t="str">
            <v>–</v>
          </cell>
          <cell r="M593" t="str">
            <v>–</v>
          </cell>
          <cell r="N593" t="str">
            <v>–</v>
          </cell>
          <cell r="O593" t="str">
            <v>–</v>
          </cell>
          <cell r="P593">
            <v>3.5</v>
          </cell>
          <cell r="Q593" t="str">
            <v>–</v>
          </cell>
          <cell r="R593" t="str">
            <v>–</v>
          </cell>
          <cell r="S593" t="str">
            <v>–</v>
          </cell>
          <cell r="T593" t="str">
            <v>–</v>
          </cell>
          <cell r="U593" t="str">
            <v>–</v>
          </cell>
          <cell r="V593" t="str">
            <v>–</v>
          </cell>
          <cell r="W593">
            <v>0.313</v>
          </cell>
        </row>
        <row r="594">
          <cell r="B594" t="str">
            <v>2L3-1/2X3-1/2X5/16X3/8</v>
          </cell>
          <cell r="C594" t="str">
            <v>2L3-1/2X3-1/2X5/16X3/8</v>
          </cell>
          <cell r="D594" t="str">
            <v>F</v>
          </cell>
          <cell r="E594">
            <v>14.4</v>
          </cell>
          <cell r="F594">
            <v>4.2</v>
          </cell>
          <cell r="G594" t="str">
            <v>2L3-1/2X3-1/2X5/16X3/8</v>
          </cell>
          <cell r="H594">
            <v>3.5</v>
          </cell>
          <cell r="I594" t="str">
            <v>–</v>
          </cell>
          <cell r="J594" t="str">
            <v>–</v>
          </cell>
          <cell r="K594" t="str">
            <v>–</v>
          </cell>
          <cell r="L594" t="str">
            <v>–</v>
          </cell>
          <cell r="M594" t="str">
            <v>–</v>
          </cell>
          <cell r="N594" t="str">
            <v>–</v>
          </cell>
          <cell r="O594" t="str">
            <v>–</v>
          </cell>
          <cell r="P594">
            <v>3.5</v>
          </cell>
          <cell r="Q594" t="str">
            <v>–</v>
          </cell>
          <cell r="R594" t="str">
            <v>–</v>
          </cell>
          <cell r="S594" t="str">
            <v>–</v>
          </cell>
          <cell r="T594" t="str">
            <v>–</v>
          </cell>
          <cell r="U594" t="str">
            <v>–</v>
          </cell>
          <cell r="V594" t="str">
            <v>–</v>
          </cell>
          <cell r="W594">
            <v>0.313</v>
          </cell>
        </row>
        <row r="595">
          <cell r="B595" t="str">
            <v>2L3-1/2X3-1/2X5/16X3/4</v>
          </cell>
          <cell r="C595" t="str">
            <v>2L3-1/2X3-1/2X5/16X3/4</v>
          </cell>
          <cell r="D595" t="str">
            <v>F</v>
          </cell>
          <cell r="E595">
            <v>14.4</v>
          </cell>
          <cell r="F595">
            <v>4.2</v>
          </cell>
          <cell r="G595" t="str">
            <v>2L3-1/2X3-1/2X5/16X3/4</v>
          </cell>
          <cell r="H595">
            <v>3.5</v>
          </cell>
          <cell r="I595" t="str">
            <v>–</v>
          </cell>
          <cell r="J595" t="str">
            <v>–</v>
          </cell>
          <cell r="K595" t="str">
            <v>–</v>
          </cell>
          <cell r="L595" t="str">
            <v>–</v>
          </cell>
          <cell r="M595" t="str">
            <v>–</v>
          </cell>
          <cell r="N595" t="str">
            <v>–</v>
          </cell>
          <cell r="O595" t="str">
            <v>–</v>
          </cell>
          <cell r="P595">
            <v>3.5</v>
          </cell>
          <cell r="Q595" t="str">
            <v>–</v>
          </cell>
          <cell r="R595" t="str">
            <v>–</v>
          </cell>
          <cell r="S595" t="str">
            <v>–</v>
          </cell>
          <cell r="T595" t="str">
            <v>–</v>
          </cell>
          <cell r="U595" t="str">
            <v>–</v>
          </cell>
          <cell r="V595" t="str">
            <v>–</v>
          </cell>
          <cell r="W595">
            <v>0.313</v>
          </cell>
        </row>
        <row r="596">
          <cell r="B596" t="str">
            <v>2L3-1/2X3-1/2X1/4</v>
          </cell>
          <cell r="C596" t="str">
            <v>2L3-1/2X3-1/2X1/4</v>
          </cell>
          <cell r="D596" t="str">
            <v>F</v>
          </cell>
          <cell r="E596">
            <v>11.6</v>
          </cell>
          <cell r="F596">
            <v>3.4</v>
          </cell>
          <cell r="G596" t="str">
            <v>2L3-1/2X3-1/2X1/4</v>
          </cell>
          <cell r="H596">
            <v>3.5</v>
          </cell>
          <cell r="I596" t="str">
            <v>–</v>
          </cell>
          <cell r="J596" t="str">
            <v>–</v>
          </cell>
          <cell r="K596" t="str">
            <v>–</v>
          </cell>
          <cell r="L596" t="str">
            <v>–</v>
          </cell>
          <cell r="M596" t="str">
            <v>–</v>
          </cell>
          <cell r="N596" t="str">
            <v>–</v>
          </cell>
          <cell r="O596" t="str">
            <v>–</v>
          </cell>
          <cell r="P596">
            <v>3.5</v>
          </cell>
          <cell r="Q596" t="str">
            <v>–</v>
          </cell>
          <cell r="R596" t="str">
            <v>–</v>
          </cell>
          <cell r="S596" t="str">
            <v>–</v>
          </cell>
          <cell r="T596" t="str">
            <v>–</v>
          </cell>
          <cell r="U596" t="str">
            <v>–</v>
          </cell>
          <cell r="V596" t="str">
            <v>–</v>
          </cell>
          <cell r="W596">
            <v>0.25</v>
          </cell>
        </row>
        <row r="597">
          <cell r="B597" t="str">
            <v>2L3-1/2X3-1/2X1/4X3/8</v>
          </cell>
          <cell r="C597" t="str">
            <v>2L3-1/2X3-1/2X1/4X3/8</v>
          </cell>
          <cell r="D597" t="str">
            <v>F</v>
          </cell>
          <cell r="E597">
            <v>11.6</v>
          </cell>
          <cell r="F597">
            <v>3.4</v>
          </cell>
          <cell r="G597" t="str">
            <v>2L3-1/2X3-1/2X1/4X3/8</v>
          </cell>
          <cell r="H597">
            <v>3.5</v>
          </cell>
          <cell r="I597" t="str">
            <v>–</v>
          </cell>
          <cell r="J597" t="str">
            <v>–</v>
          </cell>
          <cell r="K597" t="str">
            <v>–</v>
          </cell>
          <cell r="L597" t="str">
            <v>–</v>
          </cell>
          <cell r="M597" t="str">
            <v>–</v>
          </cell>
          <cell r="N597" t="str">
            <v>–</v>
          </cell>
          <cell r="O597" t="str">
            <v>–</v>
          </cell>
          <cell r="P597">
            <v>3.5</v>
          </cell>
          <cell r="Q597" t="str">
            <v>–</v>
          </cell>
          <cell r="R597" t="str">
            <v>–</v>
          </cell>
          <cell r="S597" t="str">
            <v>–</v>
          </cell>
          <cell r="T597" t="str">
            <v>–</v>
          </cell>
          <cell r="U597" t="str">
            <v>–</v>
          </cell>
          <cell r="V597" t="str">
            <v>–</v>
          </cell>
          <cell r="W597">
            <v>0.25</v>
          </cell>
        </row>
        <row r="598">
          <cell r="B598" t="str">
            <v>2L3-1/2X3-1/2X1/4X3/4</v>
          </cell>
          <cell r="C598" t="str">
            <v>2L3-1/2X3-1/2X1/4X3/4</v>
          </cell>
          <cell r="D598" t="str">
            <v>F</v>
          </cell>
          <cell r="E598">
            <v>11.6</v>
          </cell>
          <cell r="F598">
            <v>3.4</v>
          </cell>
          <cell r="G598" t="str">
            <v>2L3-1/2X3-1/2X1/4X3/4</v>
          </cell>
          <cell r="H598">
            <v>3.5</v>
          </cell>
          <cell r="I598" t="str">
            <v>–</v>
          </cell>
          <cell r="J598" t="str">
            <v>–</v>
          </cell>
          <cell r="K598" t="str">
            <v>–</v>
          </cell>
          <cell r="L598" t="str">
            <v>–</v>
          </cell>
          <cell r="M598" t="str">
            <v>–</v>
          </cell>
          <cell r="N598" t="str">
            <v>–</v>
          </cell>
          <cell r="O598" t="str">
            <v>–</v>
          </cell>
          <cell r="P598">
            <v>3.5</v>
          </cell>
          <cell r="Q598" t="str">
            <v>–</v>
          </cell>
          <cell r="R598" t="str">
            <v>–</v>
          </cell>
          <cell r="S598" t="str">
            <v>–</v>
          </cell>
          <cell r="T598" t="str">
            <v>–</v>
          </cell>
          <cell r="U598" t="str">
            <v>–</v>
          </cell>
          <cell r="V598" t="str">
            <v>–</v>
          </cell>
          <cell r="W598">
            <v>0.25</v>
          </cell>
        </row>
        <row r="599">
          <cell r="B599" t="str">
            <v>2L3X3X1/2</v>
          </cell>
          <cell r="C599" t="str">
            <v>2L3X3X1/2</v>
          </cell>
          <cell r="D599" t="str">
            <v>F</v>
          </cell>
          <cell r="E599">
            <v>18.8</v>
          </cell>
          <cell r="F599">
            <v>5.52</v>
          </cell>
          <cell r="G599" t="str">
            <v>2L3X3X1/2</v>
          </cell>
          <cell r="H599">
            <v>3</v>
          </cell>
          <cell r="I599" t="str">
            <v>–</v>
          </cell>
          <cell r="J599" t="str">
            <v>–</v>
          </cell>
          <cell r="K599" t="str">
            <v>–</v>
          </cell>
          <cell r="L599" t="str">
            <v>–</v>
          </cell>
          <cell r="M599" t="str">
            <v>–</v>
          </cell>
          <cell r="N599" t="str">
            <v>–</v>
          </cell>
          <cell r="O599" t="str">
            <v>–</v>
          </cell>
          <cell r="P599">
            <v>3</v>
          </cell>
          <cell r="Q599" t="str">
            <v>–</v>
          </cell>
          <cell r="R599" t="str">
            <v>–</v>
          </cell>
          <cell r="S599" t="str">
            <v>–</v>
          </cell>
          <cell r="T599" t="str">
            <v>–</v>
          </cell>
          <cell r="U599" t="str">
            <v>–</v>
          </cell>
          <cell r="V599" t="str">
            <v>–</v>
          </cell>
          <cell r="W599">
            <v>0.5</v>
          </cell>
        </row>
        <row r="600">
          <cell r="B600" t="str">
            <v>2L3X3X1/2X3/8</v>
          </cell>
          <cell r="C600" t="str">
            <v>2L3X3X1/2X3/8</v>
          </cell>
          <cell r="D600" t="str">
            <v>F</v>
          </cell>
          <cell r="E600">
            <v>18.8</v>
          </cell>
          <cell r="F600">
            <v>5.52</v>
          </cell>
          <cell r="G600" t="str">
            <v>2L3X3X1/2X3/8</v>
          </cell>
          <cell r="H600">
            <v>3</v>
          </cell>
          <cell r="I600" t="str">
            <v>–</v>
          </cell>
          <cell r="J600" t="str">
            <v>–</v>
          </cell>
          <cell r="K600" t="str">
            <v>–</v>
          </cell>
          <cell r="L600" t="str">
            <v>–</v>
          </cell>
          <cell r="M600" t="str">
            <v>–</v>
          </cell>
          <cell r="N600" t="str">
            <v>–</v>
          </cell>
          <cell r="O600" t="str">
            <v>–</v>
          </cell>
          <cell r="P600">
            <v>3</v>
          </cell>
          <cell r="Q600" t="str">
            <v>–</v>
          </cell>
          <cell r="R600" t="str">
            <v>–</v>
          </cell>
          <cell r="S600" t="str">
            <v>–</v>
          </cell>
          <cell r="T600" t="str">
            <v>–</v>
          </cell>
          <cell r="U600" t="str">
            <v>–</v>
          </cell>
          <cell r="V600" t="str">
            <v>–</v>
          </cell>
          <cell r="W600">
            <v>0.5</v>
          </cell>
        </row>
        <row r="601">
          <cell r="B601" t="str">
            <v>2L3X3X1/2X3/4</v>
          </cell>
          <cell r="C601" t="str">
            <v>2L3X3X1/2X3/4</v>
          </cell>
          <cell r="D601" t="str">
            <v>F</v>
          </cell>
          <cell r="E601">
            <v>18.8</v>
          </cell>
          <cell r="F601">
            <v>5.52</v>
          </cell>
          <cell r="G601" t="str">
            <v>2L3X3X1/2X3/4</v>
          </cell>
          <cell r="H601">
            <v>3</v>
          </cell>
          <cell r="I601" t="str">
            <v>–</v>
          </cell>
          <cell r="J601" t="str">
            <v>–</v>
          </cell>
          <cell r="K601" t="str">
            <v>–</v>
          </cell>
          <cell r="L601" t="str">
            <v>–</v>
          </cell>
          <cell r="M601" t="str">
            <v>–</v>
          </cell>
          <cell r="N601" t="str">
            <v>–</v>
          </cell>
          <cell r="O601" t="str">
            <v>–</v>
          </cell>
          <cell r="P601">
            <v>3</v>
          </cell>
          <cell r="Q601" t="str">
            <v>–</v>
          </cell>
          <cell r="R601" t="str">
            <v>–</v>
          </cell>
          <cell r="S601" t="str">
            <v>–</v>
          </cell>
          <cell r="T601" t="str">
            <v>–</v>
          </cell>
          <cell r="U601" t="str">
            <v>–</v>
          </cell>
          <cell r="V601" t="str">
            <v>–</v>
          </cell>
          <cell r="W601">
            <v>0.5</v>
          </cell>
        </row>
        <row r="602">
          <cell r="B602" t="str">
            <v>2L3X3X7/16</v>
          </cell>
          <cell r="C602" t="str">
            <v>2L3X3X7/16</v>
          </cell>
          <cell r="D602" t="str">
            <v>F</v>
          </cell>
          <cell r="E602">
            <v>16.600000000000001</v>
          </cell>
          <cell r="F602">
            <v>4.8600000000000003</v>
          </cell>
          <cell r="G602" t="str">
            <v>2L3X3X7/16</v>
          </cell>
          <cell r="H602">
            <v>3</v>
          </cell>
          <cell r="I602" t="str">
            <v>–</v>
          </cell>
          <cell r="J602" t="str">
            <v>–</v>
          </cell>
          <cell r="K602" t="str">
            <v>–</v>
          </cell>
          <cell r="L602" t="str">
            <v>–</v>
          </cell>
          <cell r="M602" t="str">
            <v>–</v>
          </cell>
          <cell r="N602" t="str">
            <v>–</v>
          </cell>
          <cell r="O602" t="str">
            <v>–</v>
          </cell>
          <cell r="P602">
            <v>3</v>
          </cell>
          <cell r="Q602" t="str">
            <v>–</v>
          </cell>
          <cell r="R602" t="str">
            <v>–</v>
          </cell>
          <cell r="S602" t="str">
            <v>–</v>
          </cell>
          <cell r="T602" t="str">
            <v>–</v>
          </cell>
          <cell r="U602" t="str">
            <v>–</v>
          </cell>
          <cell r="V602" t="str">
            <v>–</v>
          </cell>
          <cell r="W602">
            <v>0.438</v>
          </cell>
        </row>
        <row r="603">
          <cell r="B603" t="str">
            <v>2L3X3X7/16X3/8</v>
          </cell>
          <cell r="C603" t="str">
            <v>2L3X3X7/16X3/8</v>
          </cell>
          <cell r="D603" t="str">
            <v>F</v>
          </cell>
          <cell r="E603">
            <v>16.600000000000001</v>
          </cell>
          <cell r="F603">
            <v>4.8600000000000003</v>
          </cell>
          <cell r="G603" t="str">
            <v>2L3X3X7/16X3/8</v>
          </cell>
          <cell r="H603">
            <v>3</v>
          </cell>
          <cell r="I603" t="str">
            <v>–</v>
          </cell>
          <cell r="J603" t="str">
            <v>–</v>
          </cell>
          <cell r="K603" t="str">
            <v>–</v>
          </cell>
          <cell r="L603" t="str">
            <v>–</v>
          </cell>
          <cell r="M603" t="str">
            <v>–</v>
          </cell>
          <cell r="N603" t="str">
            <v>–</v>
          </cell>
          <cell r="O603" t="str">
            <v>–</v>
          </cell>
          <cell r="P603">
            <v>3</v>
          </cell>
          <cell r="Q603" t="str">
            <v>–</v>
          </cell>
          <cell r="R603" t="str">
            <v>–</v>
          </cell>
          <cell r="S603" t="str">
            <v>–</v>
          </cell>
          <cell r="T603" t="str">
            <v>–</v>
          </cell>
          <cell r="U603" t="str">
            <v>–</v>
          </cell>
          <cell r="V603" t="str">
            <v>–</v>
          </cell>
          <cell r="W603">
            <v>0.438</v>
          </cell>
        </row>
        <row r="604">
          <cell r="B604" t="str">
            <v>2L3X3X7/16X3/4</v>
          </cell>
          <cell r="C604" t="str">
            <v>2L3X3X7/16X3/4</v>
          </cell>
          <cell r="D604" t="str">
            <v>F</v>
          </cell>
          <cell r="E604">
            <v>16.600000000000001</v>
          </cell>
          <cell r="F604">
            <v>4.8600000000000003</v>
          </cell>
          <cell r="G604" t="str">
            <v>2L3X3X7/16X3/4</v>
          </cell>
          <cell r="H604">
            <v>3</v>
          </cell>
          <cell r="I604" t="str">
            <v>–</v>
          </cell>
          <cell r="J604" t="str">
            <v>–</v>
          </cell>
          <cell r="K604" t="str">
            <v>–</v>
          </cell>
          <cell r="L604" t="str">
            <v>–</v>
          </cell>
          <cell r="M604" t="str">
            <v>–</v>
          </cell>
          <cell r="N604" t="str">
            <v>–</v>
          </cell>
          <cell r="O604" t="str">
            <v>–</v>
          </cell>
          <cell r="P604">
            <v>3</v>
          </cell>
          <cell r="Q604" t="str">
            <v>–</v>
          </cell>
          <cell r="R604" t="str">
            <v>–</v>
          </cell>
          <cell r="S604" t="str">
            <v>–</v>
          </cell>
          <cell r="T604" t="str">
            <v>–</v>
          </cell>
          <cell r="U604" t="str">
            <v>–</v>
          </cell>
          <cell r="V604" t="str">
            <v>–</v>
          </cell>
          <cell r="W604">
            <v>0.438</v>
          </cell>
        </row>
        <row r="605">
          <cell r="B605" t="str">
            <v>2L3X3X3/8</v>
          </cell>
          <cell r="C605" t="str">
            <v>2L3X3X3/8</v>
          </cell>
          <cell r="D605" t="str">
            <v>F</v>
          </cell>
          <cell r="E605">
            <v>14.4</v>
          </cell>
          <cell r="F605">
            <v>4.22</v>
          </cell>
          <cell r="G605" t="str">
            <v>2L3X3X3/8</v>
          </cell>
          <cell r="H605">
            <v>3</v>
          </cell>
          <cell r="I605" t="str">
            <v>–</v>
          </cell>
          <cell r="J605" t="str">
            <v>–</v>
          </cell>
          <cell r="K605" t="str">
            <v>–</v>
          </cell>
          <cell r="L605" t="str">
            <v>–</v>
          </cell>
          <cell r="M605" t="str">
            <v>–</v>
          </cell>
          <cell r="N605" t="str">
            <v>–</v>
          </cell>
          <cell r="O605" t="str">
            <v>–</v>
          </cell>
          <cell r="P605">
            <v>3</v>
          </cell>
          <cell r="Q605" t="str">
            <v>–</v>
          </cell>
          <cell r="R605" t="str">
            <v>–</v>
          </cell>
          <cell r="S605" t="str">
            <v>–</v>
          </cell>
          <cell r="T605" t="str">
            <v>–</v>
          </cell>
          <cell r="U605" t="str">
            <v>–</v>
          </cell>
          <cell r="V605" t="str">
            <v>–</v>
          </cell>
          <cell r="W605">
            <v>0.375</v>
          </cell>
        </row>
        <row r="606">
          <cell r="B606" t="str">
            <v>2L3X3X3/8X3/8</v>
          </cell>
          <cell r="C606" t="str">
            <v>2L3X3X3/8X3/8</v>
          </cell>
          <cell r="D606" t="str">
            <v>F</v>
          </cell>
          <cell r="E606">
            <v>14.4</v>
          </cell>
          <cell r="F606">
            <v>4.22</v>
          </cell>
          <cell r="G606" t="str">
            <v>2L3X3X3/8X3/8</v>
          </cell>
          <cell r="H606">
            <v>3</v>
          </cell>
          <cell r="I606" t="str">
            <v>–</v>
          </cell>
          <cell r="J606" t="str">
            <v>–</v>
          </cell>
          <cell r="K606" t="str">
            <v>–</v>
          </cell>
          <cell r="L606" t="str">
            <v>–</v>
          </cell>
          <cell r="M606" t="str">
            <v>–</v>
          </cell>
          <cell r="N606" t="str">
            <v>–</v>
          </cell>
          <cell r="O606" t="str">
            <v>–</v>
          </cell>
          <cell r="P606">
            <v>3</v>
          </cell>
          <cell r="Q606" t="str">
            <v>–</v>
          </cell>
          <cell r="R606" t="str">
            <v>–</v>
          </cell>
          <cell r="S606" t="str">
            <v>–</v>
          </cell>
          <cell r="T606" t="str">
            <v>–</v>
          </cell>
          <cell r="U606" t="str">
            <v>–</v>
          </cell>
          <cell r="V606" t="str">
            <v>–</v>
          </cell>
          <cell r="W606">
            <v>0.375</v>
          </cell>
        </row>
        <row r="607">
          <cell r="B607" t="str">
            <v>2L3X3X3/8X3/4</v>
          </cell>
          <cell r="C607" t="str">
            <v>2L3X3X3/8X3/4</v>
          </cell>
          <cell r="D607" t="str">
            <v>F</v>
          </cell>
          <cell r="E607">
            <v>14.4</v>
          </cell>
          <cell r="F607">
            <v>4.22</v>
          </cell>
          <cell r="G607" t="str">
            <v>2L3X3X3/8X3/4</v>
          </cell>
          <cell r="H607">
            <v>3</v>
          </cell>
          <cell r="I607" t="str">
            <v>–</v>
          </cell>
          <cell r="J607" t="str">
            <v>–</v>
          </cell>
          <cell r="K607" t="str">
            <v>–</v>
          </cell>
          <cell r="L607" t="str">
            <v>–</v>
          </cell>
          <cell r="M607" t="str">
            <v>–</v>
          </cell>
          <cell r="N607" t="str">
            <v>–</v>
          </cell>
          <cell r="O607" t="str">
            <v>–</v>
          </cell>
          <cell r="P607">
            <v>3</v>
          </cell>
          <cell r="Q607" t="str">
            <v>–</v>
          </cell>
          <cell r="R607" t="str">
            <v>–</v>
          </cell>
          <cell r="S607" t="str">
            <v>–</v>
          </cell>
          <cell r="T607" t="str">
            <v>–</v>
          </cell>
          <cell r="U607" t="str">
            <v>–</v>
          </cell>
          <cell r="V607" t="str">
            <v>–</v>
          </cell>
          <cell r="W607">
            <v>0.375</v>
          </cell>
        </row>
        <row r="608">
          <cell r="B608" t="str">
            <v>2L3X3X5/16</v>
          </cell>
          <cell r="C608" t="str">
            <v>2L3X3X5/16</v>
          </cell>
          <cell r="D608" t="str">
            <v>F</v>
          </cell>
          <cell r="E608">
            <v>12.2</v>
          </cell>
          <cell r="F608">
            <v>3.56</v>
          </cell>
          <cell r="G608" t="str">
            <v>2L3X3X5/16</v>
          </cell>
          <cell r="H608">
            <v>3</v>
          </cell>
          <cell r="I608" t="str">
            <v>–</v>
          </cell>
          <cell r="J608" t="str">
            <v>–</v>
          </cell>
          <cell r="K608" t="str">
            <v>–</v>
          </cell>
          <cell r="L608" t="str">
            <v>–</v>
          </cell>
          <cell r="M608" t="str">
            <v>–</v>
          </cell>
          <cell r="N608" t="str">
            <v>–</v>
          </cell>
          <cell r="O608" t="str">
            <v>–</v>
          </cell>
          <cell r="P608">
            <v>3</v>
          </cell>
          <cell r="Q608" t="str">
            <v>–</v>
          </cell>
          <cell r="R608" t="str">
            <v>–</v>
          </cell>
          <cell r="S608" t="str">
            <v>–</v>
          </cell>
          <cell r="T608" t="str">
            <v>–</v>
          </cell>
          <cell r="U608" t="str">
            <v>–</v>
          </cell>
          <cell r="V608" t="str">
            <v>–</v>
          </cell>
          <cell r="W608">
            <v>0.313</v>
          </cell>
        </row>
        <row r="609">
          <cell r="B609" t="str">
            <v>2L3X3X5/16X3/8</v>
          </cell>
          <cell r="C609" t="str">
            <v>2L3X3X5/16X3/8</v>
          </cell>
          <cell r="D609" t="str">
            <v>F</v>
          </cell>
          <cell r="E609">
            <v>12.2</v>
          </cell>
          <cell r="F609">
            <v>3.56</v>
          </cell>
          <cell r="G609" t="str">
            <v>2L3X3X5/16X3/8</v>
          </cell>
          <cell r="H609">
            <v>3</v>
          </cell>
          <cell r="I609" t="str">
            <v>–</v>
          </cell>
          <cell r="J609" t="str">
            <v>–</v>
          </cell>
          <cell r="K609" t="str">
            <v>–</v>
          </cell>
          <cell r="L609" t="str">
            <v>–</v>
          </cell>
          <cell r="M609" t="str">
            <v>–</v>
          </cell>
          <cell r="N609" t="str">
            <v>–</v>
          </cell>
          <cell r="O609" t="str">
            <v>–</v>
          </cell>
          <cell r="P609">
            <v>3</v>
          </cell>
          <cell r="Q609" t="str">
            <v>–</v>
          </cell>
          <cell r="R609" t="str">
            <v>–</v>
          </cell>
          <cell r="S609" t="str">
            <v>–</v>
          </cell>
          <cell r="T609" t="str">
            <v>–</v>
          </cell>
          <cell r="U609" t="str">
            <v>–</v>
          </cell>
          <cell r="V609" t="str">
            <v>–</v>
          </cell>
          <cell r="W609">
            <v>0.313</v>
          </cell>
        </row>
        <row r="610">
          <cell r="B610" t="str">
            <v>2L3X3X5/16X3/4</v>
          </cell>
          <cell r="C610" t="str">
            <v>2L3X3X5/16X3/4</v>
          </cell>
          <cell r="D610" t="str">
            <v>F</v>
          </cell>
          <cell r="E610">
            <v>12.2</v>
          </cell>
          <cell r="F610">
            <v>3.56</v>
          </cell>
          <cell r="G610" t="str">
            <v>2L3X3X5/16X3/4</v>
          </cell>
          <cell r="H610">
            <v>3</v>
          </cell>
          <cell r="I610" t="str">
            <v>–</v>
          </cell>
          <cell r="J610" t="str">
            <v>–</v>
          </cell>
          <cell r="K610" t="str">
            <v>–</v>
          </cell>
          <cell r="L610" t="str">
            <v>–</v>
          </cell>
          <cell r="M610" t="str">
            <v>–</v>
          </cell>
          <cell r="N610" t="str">
            <v>–</v>
          </cell>
          <cell r="O610" t="str">
            <v>–</v>
          </cell>
          <cell r="P610">
            <v>3</v>
          </cell>
          <cell r="Q610" t="str">
            <v>–</v>
          </cell>
          <cell r="R610" t="str">
            <v>–</v>
          </cell>
          <cell r="S610" t="str">
            <v>–</v>
          </cell>
          <cell r="T610" t="str">
            <v>–</v>
          </cell>
          <cell r="U610" t="str">
            <v>–</v>
          </cell>
          <cell r="V610" t="str">
            <v>–</v>
          </cell>
          <cell r="W610">
            <v>0.313</v>
          </cell>
        </row>
        <row r="611">
          <cell r="B611" t="str">
            <v>2L3X3X1/4</v>
          </cell>
          <cell r="C611" t="str">
            <v>2L3X3X1/4</v>
          </cell>
          <cell r="D611" t="str">
            <v>F</v>
          </cell>
          <cell r="E611">
            <v>9.8000000000000007</v>
          </cell>
          <cell r="F611">
            <v>2.88</v>
          </cell>
          <cell r="G611" t="str">
            <v>2L3X3X1/4</v>
          </cell>
          <cell r="H611">
            <v>3</v>
          </cell>
          <cell r="I611" t="str">
            <v>–</v>
          </cell>
          <cell r="J611" t="str">
            <v>–</v>
          </cell>
          <cell r="K611" t="str">
            <v>–</v>
          </cell>
          <cell r="L611" t="str">
            <v>–</v>
          </cell>
          <cell r="M611" t="str">
            <v>–</v>
          </cell>
          <cell r="N611" t="str">
            <v>–</v>
          </cell>
          <cell r="O611" t="str">
            <v>–</v>
          </cell>
          <cell r="P611">
            <v>3</v>
          </cell>
          <cell r="Q611" t="str">
            <v>–</v>
          </cell>
          <cell r="R611" t="str">
            <v>–</v>
          </cell>
          <cell r="S611" t="str">
            <v>–</v>
          </cell>
          <cell r="T611" t="str">
            <v>–</v>
          </cell>
          <cell r="U611" t="str">
            <v>–</v>
          </cell>
          <cell r="V611" t="str">
            <v>–</v>
          </cell>
          <cell r="W611">
            <v>0.25</v>
          </cell>
        </row>
        <row r="612">
          <cell r="B612" t="str">
            <v>2L3X3X1/4X3/8</v>
          </cell>
          <cell r="C612" t="str">
            <v>2L3X3X1/4X3/8</v>
          </cell>
          <cell r="D612" t="str">
            <v>F</v>
          </cell>
          <cell r="E612">
            <v>9.8000000000000007</v>
          </cell>
          <cell r="F612">
            <v>2.88</v>
          </cell>
          <cell r="G612" t="str">
            <v>2L3X3X1/4X3/8</v>
          </cell>
          <cell r="H612">
            <v>3</v>
          </cell>
          <cell r="I612" t="str">
            <v>–</v>
          </cell>
          <cell r="J612" t="str">
            <v>–</v>
          </cell>
          <cell r="K612" t="str">
            <v>–</v>
          </cell>
          <cell r="L612" t="str">
            <v>–</v>
          </cell>
          <cell r="M612" t="str">
            <v>–</v>
          </cell>
          <cell r="N612" t="str">
            <v>–</v>
          </cell>
          <cell r="O612" t="str">
            <v>–</v>
          </cell>
          <cell r="P612">
            <v>3</v>
          </cell>
          <cell r="Q612" t="str">
            <v>–</v>
          </cell>
          <cell r="R612" t="str">
            <v>–</v>
          </cell>
          <cell r="S612" t="str">
            <v>–</v>
          </cell>
          <cell r="T612" t="str">
            <v>–</v>
          </cell>
          <cell r="U612" t="str">
            <v>–</v>
          </cell>
          <cell r="V612" t="str">
            <v>–</v>
          </cell>
          <cell r="W612">
            <v>0.25</v>
          </cell>
        </row>
        <row r="613">
          <cell r="B613" t="str">
            <v>2L3X3X1/4X3/4</v>
          </cell>
          <cell r="C613" t="str">
            <v>2L3X3X1/4X3/4</v>
          </cell>
          <cell r="D613" t="str">
            <v>F</v>
          </cell>
          <cell r="E613">
            <v>9.8000000000000007</v>
          </cell>
          <cell r="F613">
            <v>2.88</v>
          </cell>
          <cell r="G613" t="str">
            <v>2L3X3X1/4X3/4</v>
          </cell>
          <cell r="H613">
            <v>3</v>
          </cell>
          <cell r="I613" t="str">
            <v>–</v>
          </cell>
          <cell r="J613" t="str">
            <v>–</v>
          </cell>
          <cell r="K613" t="str">
            <v>–</v>
          </cell>
          <cell r="L613" t="str">
            <v>–</v>
          </cell>
          <cell r="M613" t="str">
            <v>–</v>
          </cell>
          <cell r="N613" t="str">
            <v>–</v>
          </cell>
          <cell r="O613" t="str">
            <v>–</v>
          </cell>
          <cell r="P613">
            <v>3</v>
          </cell>
          <cell r="Q613" t="str">
            <v>–</v>
          </cell>
          <cell r="R613" t="str">
            <v>–</v>
          </cell>
          <cell r="S613" t="str">
            <v>–</v>
          </cell>
          <cell r="T613" t="str">
            <v>–</v>
          </cell>
          <cell r="U613" t="str">
            <v>–</v>
          </cell>
          <cell r="V613" t="str">
            <v>–</v>
          </cell>
          <cell r="W613">
            <v>0.25</v>
          </cell>
        </row>
        <row r="614">
          <cell r="B614" t="str">
            <v>2L3X3X3/16</v>
          </cell>
          <cell r="C614" t="str">
            <v>2L3X3X3/16</v>
          </cell>
          <cell r="D614" t="str">
            <v>F</v>
          </cell>
          <cell r="E614">
            <v>7.42</v>
          </cell>
          <cell r="F614">
            <v>2.1800000000000002</v>
          </cell>
          <cell r="G614" t="str">
            <v>2L3X3X3/16</v>
          </cell>
          <cell r="H614">
            <v>3</v>
          </cell>
          <cell r="I614" t="str">
            <v>–</v>
          </cell>
          <cell r="J614" t="str">
            <v>–</v>
          </cell>
          <cell r="K614" t="str">
            <v>–</v>
          </cell>
          <cell r="L614" t="str">
            <v>–</v>
          </cell>
          <cell r="M614" t="str">
            <v>–</v>
          </cell>
          <cell r="N614" t="str">
            <v>–</v>
          </cell>
          <cell r="O614" t="str">
            <v>–</v>
          </cell>
          <cell r="P614">
            <v>3</v>
          </cell>
          <cell r="Q614" t="str">
            <v>–</v>
          </cell>
          <cell r="R614" t="str">
            <v>–</v>
          </cell>
          <cell r="S614" t="str">
            <v>–</v>
          </cell>
          <cell r="T614" t="str">
            <v>–</v>
          </cell>
          <cell r="U614" t="str">
            <v>–</v>
          </cell>
          <cell r="V614" t="str">
            <v>–</v>
          </cell>
          <cell r="W614">
            <v>0.188</v>
          </cell>
        </row>
        <row r="615">
          <cell r="B615" t="str">
            <v>2L3X3X3/16X3/8</v>
          </cell>
          <cell r="C615" t="str">
            <v>2L3X3X3/16X3/8</v>
          </cell>
          <cell r="D615" t="str">
            <v>F</v>
          </cell>
          <cell r="E615">
            <v>7.42</v>
          </cell>
          <cell r="F615">
            <v>2.1800000000000002</v>
          </cell>
          <cell r="G615" t="str">
            <v>2L3X3X3/16X3/8</v>
          </cell>
          <cell r="H615">
            <v>3</v>
          </cell>
          <cell r="I615" t="str">
            <v>–</v>
          </cell>
          <cell r="J615" t="str">
            <v>–</v>
          </cell>
          <cell r="K615" t="str">
            <v>–</v>
          </cell>
          <cell r="L615" t="str">
            <v>–</v>
          </cell>
          <cell r="M615" t="str">
            <v>–</v>
          </cell>
          <cell r="N615" t="str">
            <v>–</v>
          </cell>
          <cell r="O615" t="str">
            <v>–</v>
          </cell>
          <cell r="P615">
            <v>3</v>
          </cell>
          <cell r="Q615" t="str">
            <v>–</v>
          </cell>
          <cell r="R615" t="str">
            <v>–</v>
          </cell>
          <cell r="S615" t="str">
            <v>–</v>
          </cell>
          <cell r="T615" t="str">
            <v>–</v>
          </cell>
          <cell r="U615" t="str">
            <v>–</v>
          </cell>
          <cell r="V615" t="str">
            <v>–</v>
          </cell>
          <cell r="W615">
            <v>0.188</v>
          </cell>
        </row>
        <row r="616">
          <cell r="B616" t="str">
            <v>2L3X3X3/16X3/4</v>
          </cell>
          <cell r="C616" t="str">
            <v>2L3X3X3/16X3/4</v>
          </cell>
          <cell r="D616" t="str">
            <v>F</v>
          </cell>
          <cell r="E616">
            <v>7.42</v>
          </cell>
          <cell r="F616">
            <v>2.1800000000000002</v>
          </cell>
          <cell r="G616" t="str">
            <v>2L3X3X3/16X3/4</v>
          </cell>
          <cell r="H616">
            <v>3</v>
          </cell>
          <cell r="I616" t="str">
            <v>–</v>
          </cell>
          <cell r="J616" t="str">
            <v>–</v>
          </cell>
          <cell r="K616" t="str">
            <v>–</v>
          </cell>
          <cell r="L616" t="str">
            <v>–</v>
          </cell>
          <cell r="M616" t="str">
            <v>–</v>
          </cell>
          <cell r="N616" t="str">
            <v>–</v>
          </cell>
          <cell r="O616" t="str">
            <v>–</v>
          </cell>
          <cell r="P616">
            <v>3</v>
          </cell>
          <cell r="Q616" t="str">
            <v>–</v>
          </cell>
          <cell r="R616" t="str">
            <v>–</v>
          </cell>
          <cell r="S616" t="str">
            <v>–</v>
          </cell>
          <cell r="T616" t="str">
            <v>–</v>
          </cell>
          <cell r="U616" t="str">
            <v>–</v>
          </cell>
          <cell r="V616" t="str">
            <v>–</v>
          </cell>
          <cell r="W616">
            <v>0.188</v>
          </cell>
        </row>
        <row r="617">
          <cell r="B617" t="str">
            <v>2L2-1/2X2-1/2X1/2</v>
          </cell>
          <cell r="C617" t="str">
            <v>2L2-1/2X2-1/2X1/2</v>
          </cell>
          <cell r="D617" t="str">
            <v>F</v>
          </cell>
          <cell r="E617">
            <v>15.4</v>
          </cell>
          <cell r="F617">
            <v>4.5199999999999996</v>
          </cell>
          <cell r="G617" t="str">
            <v>2L2-1/2X2-1/2X1/2</v>
          </cell>
          <cell r="H617">
            <v>2.5</v>
          </cell>
          <cell r="I617" t="str">
            <v>–</v>
          </cell>
          <cell r="J617" t="str">
            <v>–</v>
          </cell>
          <cell r="K617" t="str">
            <v>–</v>
          </cell>
          <cell r="L617" t="str">
            <v>–</v>
          </cell>
          <cell r="M617" t="str">
            <v>–</v>
          </cell>
          <cell r="N617" t="str">
            <v>–</v>
          </cell>
          <cell r="O617" t="str">
            <v>–</v>
          </cell>
          <cell r="P617">
            <v>2.5</v>
          </cell>
          <cell r="Q617" t="str">
            <v>–</v>
          </cell>
          <cell r="R617" t="str">
            <v>–</v>
          </cell>
          <cell r="S617" t="str">
            <v>–</v>
          </cell>
          <cell r="T617" t="str">
            <v>–</v>
          </cell>
          <cell r="U617" t="str">
            <v>–</v>
          </cell>
          <cell r="V617" t="str">
            <v>–</v>
          </cell>
          <cell r="W617">
            <v>0.5</v>
          </cell>
        </row>
        <row r="618">
          <cell r="B618" t="str">
            <v>2L2-1/2X2-1/2X1/2X3/8</v>
          </cell>
          <cell r="C618" t="str">
            <v>2L2-1/2X2-1/2X1/2X3/8</v>
          </cell>
          <cell r="D618" t="str">
            <v>F</v>
          </cell>
          <cell r="E618">
            <v>15.4</v>
          </cell>
          <cell r="F618">
            <v>4.5199999999999996</v>
          </cell>
          <cell r="G618" t="str">
            <v>2L2-1/2X2-1/2X1/2X3/8</v>
          </cell>
          <cell r="H618">
            <v>2.5</v>
          </cell>
          <cell r="I618" t="str">
            <v>–</v>
          </cell>
          <cell r="J618" t="str">
            <v>–</v>
          </cell>
          <cell r="K618" t="str">
            <v>–</v>
          </cell>
          <cell r="L618" t="str">
            <v>–</v>
          </cell>
          <cell r="M618" t="str">
            <v>–</v>
          </cell>
          <cell r="N618" t="str">
            <v>–</v>
          </cell>
          <cell r="O618" t="str">
            <v>–</v>
          </cell>
          <cell r="P618">
            <v>2.5</v>
          </cell>
          <cell r="Q618" t="str">
            <v>–</v>
          </cell>
          <cell r="R618" t="str">
            <v>–</v>
          </cell>
          <cell r="S618" t="str">
            <v>–</v>
          </cell>
          <cell r="T618" t="str">
            <v>–</v>
          </cell>
          <cell r="U618" t="str">
            <v>–</v>
          </cell>
          <cell r="V618" t="str">
            <v>–</v>
          </cell>
          <cell r="W618">
            <v>0.5</v>
          </cell>
        </row>
        <row r="619">
          <cell r="B619" t="str">
            <v>2L2-1/2X2-1/2X1/2X3/4</v>
          </cell>
          <cell r="C619" t="str">
            <v>2L2-1/2X2-1/2X1/2X3/4</v>
          </cell>
          <cell r="D619" t="str">
            <v>F</v>
          </cell>
          <cell r="E619">
            <v>15.4</v>
          </cell>
          <cell r="F619">
            <v>4.5199999999999996</v>
          </cell>
          <cell r="G619" t="str">
            <v>2L2-1/2X2-1/2X1/2X3/4</v>
          </cell>
          <cell r="H619">
            <v>2.5</v>
          </cell>
          <cell r="I619" t="str">
            <v>–</v>
          </cell>
          <cell r="J619" t="str">
            <v>–</v>
          </cell>
          <cell r="K619" t="str">
            <v>–</v>
          </cell>
          <cell r="L619" t="str">
            <v>–</v>
          </cell>
          <cell r="M619" t="str">
            <v>–</v>
          </cell>
          <cell r="N619" t="str">
            <v>–</v>
          </cell>
          <cell r="O619" t="str">
            <v>–</v>
          </cell>
          <cell r="P619">
            <v>2.5</v>
          </cell>
          <cell r="Q619" t="str">
            <v>–</v>
          </cell>
          <cell r="R619" t="str">
            <v>–</v>
          </cell>
          <cell r="S619" t="str">
            <v>–</v>
          </cell>
          <cell r="T619" t="str">
            <v>–</v>
          </cell>
          <cell r="U619" t="str">
            <v>–</v>
          </cell>
          <cell r="V619" t="str">
            <v>–</v>
          </cell>
          <cell r="W619">
            <v>0.5</v>
          </cell>
        </row>
        <row r="620">
          <cell r="B620" t="str">
            <v>2L2-1/2X2-1/2X3/8</v>
          </cell>
          <cell r="C620" t="str">
            <v>2L2-1/2X2-1/2X3/8</v>
          </cell>
          <cell r="D620" t="str">
            <v>F</v>
          </cell>
          <cell r="E620">
            <v>11.8</v>
          </cell>
          <cell r="F620">
            <v>3.46</v>
          </cell>
          <cell r="G620" t="str">
            <v>2L2-1/2X2-1/2X3/8</v>
          </cell>
          <cell r="H620">
            <v>2.5</v>
          </cell>
          <cell r="I620" t="str">
            <v>–</v>
          </cell>
          <cell r="J620" t="str">
            <v>–</v>
          </cell>
          <cell r="K620" t="str">
            <v>–</v>
          </cell>
          <cell r="L620" t="str">
            <v>–</v>
          </cell>
          <cell r="M620" t="str">
            <v>–</v>
          </cell>
          <cell r="N620" t="str">
            <v>–</v>
          </cell>
          <cell r="O620" t="str">
            <v>–</v>
          </cell>
          <cell r="P620">
            <v>2.5</v>
          </cell>
          <cell r="Q620" t="str">
            <v>–</v>
          </cell>
          <cell r="R620" t="str">
            <v>–</v>
          </cell>
          <cell r="S620" t="str">
            <v>–</v>
          </cell>
          <cell r="T620" t="str">
            <v>–</v>
          </cell>
          <cell r="U620" t="str">
            <v>–</v>
          </cell>
          <cell r="V620" t="str">
            <v>–</v>
          </cell>
          <cell r="W620">
            <v>0.375</v>
          </cell>
        </row>
        <row r="621">
          <cell r="B621" t="str">
            <v>2L2-1/2X2-1/2X3/8X3/8</v>
          </cell>
          <cell r="C621" t="str">
            <v>2L2-1/2X2-1/2X3/8X3/8</v>
          </cell>
          <cell r="D621" t="str">
            <v>F</v>
          </cell>
          <cell r="E621">
            <v>11.8</v>
          </cell>
          <cell r="F621">
            <v>3.46</v>
          </cell>
          <cell r="G621" t="str">
            <v>2L2-1/2X2-1/2X3/8X3/8</v>
          </cell>
          <cell r="H621">
            <v>2.5</v>
          </cell>
          <cell r="I621" t="str">
            <v>–</v>
          </cell>
          <cell r="J621" t="str">
            <v>–</v>
          </cell>
          <cell r="K621" t="str">
            <v>–</v>
          </cell>
          <cell r="L621" t="str">
            <v>–</v>
          </cell>
          <cell r="M621" t="str">
            <v>–</v>
          </cell>
          <cell r="N621" t="str">
            <v>–</v>
          </cell>
          <cell r="O621" t="str">
            <v>–</v>
          </cell>
          <cell r="P621">
            <v>2.5</v>
          </cell>
          <cell r="Q621" t="str">
            <v>–</v>
          </cell>
          <cell r="R621" t="str">
            <v>–</v>
          </cell>
          <cell r="S621" t="str">
            <v>–</v>
          </cell>
          <cell r="T621" t="str">
            <v>–</v>
          </cell>
          <cell r="U621" t="str">
            <v>–</v>
          </cell>
          <cell r="V621" t="str">
            <v>–</v>
          </cell>
          <cell r="W621">
            <v>0.375</v>
          </cell>
        </row>
        <row r="622">
          <cell r="B622" t="str">
            <v>2L2-1/2X2-1/2X3/8X3/4</v>
          </cell>
          <cell r="C622" t="str">
            <v>2L2-1/2X2-1/2X3/8X3/4</v>
          </cell>
          <cell r="D622" t="str">
            <v>F</v>
          </cell>
          <cell r="E622">
            <v>11.8</v>
          </cell>
          <cell r="F622">
            <v>3.46</v>
          </cell>
          <cell r="G622" t="str">
            <v>2L2-1/2X2-1/2X3/8X3/4</v>
          </cell>
          <cell r="H622">
            <v>2.5</v>
          </cell>
          <cell r="I622" t="str">
            <v>–</v>
          </cell>
          <cell r="J622" t="str">
            <v>–</v>
          </cell>
          <cell r="K622" t="str">
            <v>–</v>
          </cell>
          <cell r="L622" t="str">
            <v>–</v>
          </cell>
          <cell r="M622" t="str">
            <v>–</v>
          </cell>
          <cell r="N622" t="str">
            <v>–</v>
          </cell>
          <cell r="O622" t="str">
            <v>–</v>
          </cell>
          <cell r="P622">
            <v>2.5</v>
          </cell>
          <cell r="Q622" t="str">
            <v>–</v>
          </cell>
          <cell r="R622" t="str">
            <v>–</v>
          </cell>
          <cell r="S622" t="str">
            <v>–</v>
          </cell>
          <cell r="T622" t="str">
            <v>–</v>
          </cell>
          <cell r="U622" t="str">
            <v>–</v>
          </cell>
          <cell r="V622" t="str">
            <v>–</v>
          </cell>
          <cell r="W622">
            <v>0.375</v>
          </cell>
        </row>
        <row r="623">
          <cell r="B623" t="str">
            <v>2L2-1/2X2-1/2X5/16</v>
          </cell>
          <cell r="C623" t="str">
            <v>2L2-1/2X2-1/2X5/16</v>
          </cell>
          <cell r="D623" t="str">
            <v>F</v>
          </cell>
          <cell r="E623">
            <v>10</v>
          </cell>
          <cell r="F623">
            <v>2.92</v>
          </cell>
          <cell r="G623" t="str">
            <v>2L2-1/2X2-1/2X5/16</v>
          </cell>
          <cell r="H623">
            <v>2.5</v>
          </cell>
          <cell r="I623" t="str">
            <v>–</v>
          </cell>
          <cell r="J623" t="str">
            <v>–</v>
          </cell>
          <cell r="K623" t="str">
            <v>–</v>
          </cell>
          <cell r="L623" t="str">
            <v>–</v>
          </cell>
          <cell r="M623" t="str">
            <v>–</v>
          </cell>
          <cell r="N623" t="str">
            <v>–</v>
          </cell>
          <cell r="O623" t="str">
            <v>–</v>
          </cell>
          <cell r="P623">
            <v>2.5</v>
          </cell>
          <cell r="Q623" t="str">
            <v>–</v>
          </cell>
          <cell r="R623" t="str">
            <v>–</v>
          </cell>
          <cell r="S623" t="str">
            <v>–</v>
          </cell>
          <cell r="T623" t="str">
            <v>–</v>
          </cell>
          <cell r="U623" t="str">
            <v>–</v>
          </cell>
          <cell r="V623" t="str">
            <v>–</v>
          </cell>
          <cell r="W623">
            <v>0.313</v>
          </cell>
        </row>
        <row r="624">
          <cell r="B624" t="str">
            <v>2L2-1/2X2-1/2X5/16X3/8</v>
          </cell>
          <cell r="C624" t="str">
            <v>2L2-1/2X2-1/2X5/16X3/8</v>
          </cell>
          <cell r="D624" t="str">
            <v>F</v>
          </cell>
          <cell r="E624">
            <v>10</v>
          </cell>
          <cell r="F624">
            <v>2.92</v>
          </cell>
          <cell r="G624" t="str">
            <v>2L2-1/2X2-1/2X5/16X3/8</v>
          </cell>
          <cell r="H624">
            <v>2.5</v>
          </cell>
          <cell r="I624" t="str">
            <v>–</v>
          </cell>
          <cell r="J624" t="str">
            <v>–</v>
          </cell>
          <cell r="K624" t="str">
            <v>–</v>
          </cell>
          <cell r="L624" t="str">
            <v>–</v>
          </cell>
          <cell r="M624" t="str">
            <v>–</v>
          </cell>
          <cell r="N624" t="str">
            <v>–</v>
          </cell>
          <cell r="O624" t="str">
            <v>–</v>
          </cell>
          <cell r="P624">
            <v>2.5</v>
          </cell>
          <cell r="Q624" t="str">
            <v>–</v>
          </cell>
          <cell r="R624" t="str">
            <v>–</v>
          </cell>
          <cell r="S624" t="str">
            <v>–</v>
          </cell>
          <cell r="T624" t="str">
            <v>–</v>
          </cell>
          <cell r="U624" t="str">
            <v>–</v>
          </cell>
          <cell r="V624" t="str">
            <v>–</v>
          </cell>
          <cell r="W624">
            <v>0.313</v>
          </cell>
        </row>
        <row r="625">
          <cell r="B625" t="str">
            <v>2L2-1/2X2-1/2X5/16X3/4</v>
          </cell>
          <cell r="C625" t="str">
            <v>2L2-1/2X2-1/2X5/16X3/4</v>
          </cell>
          <cell r="D625" t="str">
            <v>F</v>
          </cell>
          <cell r="E625">
            <v>10</v>
          </cell>
          <cell r="F625">
            <v>2.92</v>
          </cell>
          <cell r="G625" t="str">
            <v>2L2-1/2X2-1/2X5/16X3/4</v>
          </cell>
          <cell r="H625">
            <v>2.5</v>
          </cell>
          <cell r="I625" t="str">
            <v>–</v>
          </cell>
          <cell r="J625" t="str">
            <v>–</v>
          </cell>
          <cell r="K625" t="str">
            <v>–</v>
          </cell>
          <cell r="L625" t="str">
            <v>–</v>
          </cell>
          <cell r="M625" t="str">
            <v>–</v>
          </cell>
          <cell r="N625" t="str">
            <v>–</v>
          </cell>
          <cell r="O625" t="str">
            <v>–</v>
          </cell>
          <cell r="P625">
            <v>2.5</v>
          </cell>
          <cell r="Q625" t="str">
            <v>–</v>
          </cell>
          <cell r="R625" t="str">
            <v>–</v>
          </cell>
          <cell r="S625" t="str">
            <v>–</v>
          </cell>
          <cell r="T625" t="str">
            <v>–</v>
          </cell>
          <cell r="U625" t="str">
            <v>–</v>
          </cell>
          <cell r="V625" t="str">
            <v>–</v>
          </cell>
          <cell r="W625">
            <v>0.313</v>
          </cell>
        </row>
        <row r="626">
          <cell r="B626" t="str">
            <v>2L2-1/2X2-1/2X1/4</v>
          </cell>
          <cell r="C626" t="str">
            <v>2L2-1/2X2-1/2X1/4</v>
          </cell>
          <cell r="D626" t="str">
            <v>F</v>
          </cell>
          <cell r="E626">
            <v>8.1999999999999993</v>
          </cell>
          <cell r="F626">
            <v>2.38</v>
          </cell>
          <cell r="G626" t="str">
            <v>2L2-1/2X2-1/2X1/4</v>
          </cell>
          <cell r="H626">
            <v>2.5</v>
          </cell>
          <cell r="I626" t="str">
            <v>–</v>
          </cell>
          <cell r="J626" t="str">
            <v>–</v>
          </cell>
          <cell r="K626" t="str">
            <v>–</v>
          </cell>
          <cell r="L626" t="str">
            <v>–</v>
          </cell>
          <cell r="M626" t="str">
            <v>–</v>
          </cell>
          <cell r="N626" t="str">
            <v>–</v>
          </cell>
          <cell r="O626" t="str">
            <v>–</v>
          </cell>
          <cell r="P626">
            <v>2.5</v>
          </cell>
          <cell r="Q626" t="str">
            <v>–</v>
          </cell>
          <cell r="R626" t="str">
            <v>–</v>
          </cell>
          <cell r="S626" t="str">
            <v>–</v>
          </cell>
          <cell r="T626" t="str">
            <v>–</v>
          </cell>
          <cell r="U626" t="str">
            <v>–</v>
          </cell>
          <cell r="V626" t="str">
            <v>–</v>
          </cell>
          <cell r="W626">
            <v>0.25</v>
          </cell>
        </row>
        <row r="627">
          <cell r="B627" t="str">
            <v>2L2-1/2X2-1/2X1/4X3/8</v>
          </cell>
          <cell r="C627" t="str">
            <v>2L2-1/2X2-1/2X1/4X3/8</v>
          </cell>
          <cell r="D627" t="str">
            <v>F</v>
          </cell>
          <cell r="E627">
            <v>8.1999999999999993</v>
          </cell>
          <cell r="F627">
            <v>2.38</v>
          </cell>
          <cell r="G627" t="str">
            <v>2L2-1/2X2-1/2X1/4X3/8</v>
          </cell>
          <cell r="H627">
            <v>2.5</v>
          </cell>
          <cell r="I627" t="str">
            <v>–</v>
          </cell>
          <cell r="J627" t="str">
            <v>–</v>
          </cell>
          <cell r="K627" t="str">
            <v>–</v>
          </cell>
          <cell r="L627" t="str">
            <v>–</v>
          </cell>
          <cell r="M627" t="str">
            <v>–</v>
          </cell>
          <cell r="N627" t="str">
            <v>–</v>
          </cell>
          <cell r="O627" t="str">
            <v>–</v>
          </cell>
          <cell r="P627">
            <v>2.5</v>
          </cell>
          <cell r="Q627" t="str">
            <v>–</v>
          </cell>
          <cell r="R627" t="str">
            <v>–</v>
          </cell>
          <cell r="S627" t="str">
            <v>–</v>
          </cell>
          <cell r="T627" t="str">
            <v>–</v>
          </cell>
          <cell r="U627" t="str">
            <v>–</v>
          </cell>
          <cell r="V627" t="str">
            <v>–</v>
          </cell>
          <cell r="W627">
            <v>0.25</v>
          </cell>
        </row>
        <row r="628">
          <cell r="B628" t="str">
            <v>2L2-1/2X2-1/2X1/4X3/4</v>
          </cell>
          <cell r="C628" t="str">
            <v>2L2-1/2X2-1/2X1/4X3/4</v>
          </cell>
          <cell r="D628" t="str">
            <v>F</v>
          </cell>
          <cell r="E628">
            <v>8.1999999999999993</v>
          </cell>
          <cell r="F628">
            <v>2.38</v>
          </cell>
          <cell r="G628" t="str">
            <v>2L2-1/2X2-1/2X1/4X3/4</v>
          </cell>
          <cell r="H628">
            <v>2.5</v>
          </cell>
          <cell r="I628" t="str">
            <v>–</v>
          </cell>
          <cell r="J628" t="str">
            <v>–</v>
          </cell>
          <cell r="K628" t="str">
            <v>–</v>
          </cell>
          <cell r="L628" t="str">
            <v>–</v>
          </cell>
          <cell r="M628" t="str">
            <v>–</v>
          </cell>
          <cell r="N628" t="str">
            <v>–</v>
          </cell>
          <cell r="O628" t="str">
            <v>–</v>
          </cell>
          <cell r="P628">
            <v>2.5</v>
          </cell>
          <cell r="Q628" t="str">
            <v>–</v>
          </cell>
          <cell r="R628" t="str">
            <v>–</v>
          </cell>
          <cell r="S628" t="str">
            <v>–</v>
          </cell>
          <cell r="T628" t="str">
            <v>–</v>
          </cell>
          <cell r="U628" t="str">
            <v>–</v>
          </cell>
          <cell r="V628" t="str">
            <v>–</v>
          </cell>
          <cell r="W628">
            <v>0.25</v>
          </cell>
        </row>
        <row r="629">
          <cell r="B629" t="str">
            <v>2L2-1/2X2-1/2X3/16</v>
          </cell>
          <cell r="C629" t="str">
            <v>2L2-1/2X2-1/2X3/16</v>
          </cell>
          <cell r="D629" t="str">
            <v>F</v>
          </cell>
          <cell r="E629">
            <v>6.14</v>
          </cell>
          <cell r="F629">
            <v>1.8</v>
          </cell>
          <cell r="G629" t="str">
            <v>2L2-1/2X2-1/2X3/16</v>
          </cell>
          <cell r="H629">
            <v>2.5</v>
          </cell>
          <cell r="I629" t="str">
            <v>–</v>
          </cell>
          <cell r="J629" t="str">
            <v>–</v>
          </cell>
          <cell r="K629" t="str">
            <v>–</v>
          </cell>
          <cell r="L629" t="str">
            <v>–</v>
          </cell>
          <cell r="M629" t="str">
            <v>–</v>
          </cell>
          <cell r="N629" t="str">
            <v>–</v>
          </cell>
          <cell r="O629" t="str">
            <v>–</v>
          </cell>
          <cell r="P629">
            <v>2.5</v>
          </cell>
          <cell r="Q629" t="str">
            <v>–</v>
          </cell>
          <cell r="R629" t="str">
            <v>–</v>
          </cell>
          <cell r="S629" t="str">
            <v>–</v>
          </cell>
          <cell r="T629" t="str">
            <v>–</v>
          </cell>
          <cell r="U629" t="str">
            <v>–</v>
          </cell>
          <cell r="V629" t="str">
            <v>–</v>
          </cell>
          <cell r="W629">
            <v>0.188</v>
          </cell>
        </row>
        <row r="630">
          <cell r="B630" t="str">
            <v>2L2-1/2X2-1/2X3/16X3/8</v>
          </cell>
          <cell r="C630" t="str">
            <v>2L2-1/2X2-1/2X3/16X3/8</v>
          </cell>
          <cell r="D630" t="str">
            <v>F</v>
          </cell>
          <cell r="E630">
            <v>6.14</v>
          </cell>
          <cell r="F630">
            <v>1.8</v>
          </cell>
          <cell r="G630" t="str">
            <v>2L2-1/2X2-1/2X3/16X3/8</v>
          </cell>
          <cell r="H630">
            <v>2.5</v>
          </cell>
          <cell r="I630" t="str">
            <v>–</v>
          </cell>
          <cell r="J630" t="str">
            <v>–</v>
          </cell>
          <cell r="K630" t="str">
            <v>–</v>
          </cell>
          <cell r="L630" t="str">
            <v>–</v>
          </cell>
          <cell r="M630" t="str">
            <v>–</v>
          </cell>
          <cell r="N630" t="str">
            <v>–</v>
          </cell>
          <cell r="O630" t="str">
            <v>–</v>
          </cell>
          <cell r="P630">
            <v>2.5</v>
          </cell>
          <cell r="Q630" t="str">
            <v>–</v>
          </cell>
          <cell r="R630" t="str">
            <v>–</v>
          </cell>
          <cell r="S630" t="str">
            <v>–</v>
          </cell>
          <cell r="T630" t="str">
            <v>–</v>
          </cell>
          <cell r="U630" t="str">
            <v>–</v>
          </cell>
          <cell r="V630" t="str">
            <v>–</v>
          </cell>
          <cell r="W630">
            <v>0.188</v>
          </cell>
        </row>
        <row r="631">
          <cell r="B631" t="str">
            <v>2L2-1/2X2-1/2X3/16X3/4</v>
          </cell>
          <cell r="C631" t="str">
            <v>2L2-1/2X2-1/2X3/16X3/4</v>
          </cell>
          <cell r="D631" t="str">
            <v>F</v>
          </cell>
          <cell r="E631">
            <v>6.14</v>
          </cell>
          <cell r="F631">
            <v>1.8</v>
          </cell>
          <cell r="G631" t="str">
            <v>2L2-1/2X2-1/2X3/16X3/4</v>
          </cell>
          <cell r="H631">
            <v>2.5</v>
          </cell>
          <cell r="I631" t="str">
            <v>–</v>
          </cell>
          <cell r="J631" t="str">
            <v>–</v>
          </cell>
          <cell r="K631" t="str">
            <v>–</v>
          </cell>
          <cell r="L631" t="str">
            <v>–</v>
          </cell>
          <cell r="M631" t="str">
            <v>–</v>
          </cell>
          <cell r="N631" t="str">
            <v>–</v>
          </cell>
          <cell r="O631" t="str">
            <v>–</v>
          </cell>
          <cell r="P631">
            <v>2.5</v>
          </cell>
          <cell r="Q631" t="str">
            <v>–</v>
          </cell>
          <cell r="R631" t="str">
            <v>–</v>
          </cell>
          <cell r="S631" t="str">
            <v>–</v>
          </cell>
          <cell r="T631" t="str">
            <v>–</v>
          </cell>
          <cell r="U631" t="str">
            <v>–</v>
          </cell>
          <cell r="V631" t="str">
            <v>–</v>
          </cell>
          <cell r="W631">
            <v>0.188</v>
          </cell>
        </row>
        <row r="632">
          <cell r="B632" t="str">
            <v>2L2X2X3/8</v>
          </cell>
          <cell r="C632" t="str">
            <v>2L2X2X3/8</v>
          </cell>
          <cell r="D632" t="str">
            <v>F</v>
          </cell>
          <cell r="E632">
            <v>9.4</v>
          </cell>
          <cell r="F632">
            <v>2.74</v>
          </cell>
          <cell r="G632" t="str">
            <v>2L2X2X3/8</v>
          </cell>
          <cell r="H632">
            <v>2</v>
          </cell>
          <cell r="I632" t="str">
            <v>–</v>
          </cell>
          <cell r="J632" t="str">
            <v>–</v>
          </cell>
          <cell r="K632" t="str">
            <v>–</v>
          </cell>
          <cell r="L632" t="str">
            <v>–</v>
          </cell>
          <cell r="M632" t="str">
            <v>–</v>
          </cell>
          <cell r="N632" t="str">
            <v>–</v>
          </cell>
          <cell r="O632" t="str">
            <v>–</v>
          </cell>
          <cell r="P632">
            <v>2</v>
          </cell>
          <cell r="Q632" t="str">
            <v>–</v>
          </cell>
          <cell r="R632" t="str">
            <v>–</v>
          </cell>
          <cell r="S632" t="str">
            <v>–</v>
          </cell>
          <cell r="T632" t="str">
            <v>–</v>
          </cell>
          <cell r="U632" t="str">
            <v>–</v>
          </cell>
          <cell r="V632" t="str">
            <v>–</v>
          </cell>
          <cell r="W632">
            <v>0.375</v>
          </cell>
        </row>
        <row r="633">
          <cell r="B633" t="str">
            <v>2L2X2X3/8X3/8</v>
          </cell>
          <cell r="C633" t="str">
            <v>2L2X2X3/8X3/8</v>
          </cell>
          <cell r="D633" t="str">
            <v>F</v>
          </cell>
          <cell r="E633">
            <v>9.4</v>
          </cell>
          <cell r="F633">
            <v>2.74</v>
          </cell>
          <cell r="G633" t="str">
            <v>2L2X2X3/8X3/8</v>
          </cell>
          <cell r="H633">
            <v>2</v>
          </cell>
          <cell r="I633" t="str">
            <v>–</v>
          </cell>
          <cell r="J633" t="str">
            <v>–</v>
          </cell>
          <cell r="K633" t="str">
            <v>–</v>
          </cell>
          <cell r="L633" t="str">
            <v>–</v>
          </cell>
          <cell r="M633" t="str">
            <v>–</v>
          </cell>
          <cell r="N633" t="str">
            <v>–</v>
          </cell>
          <cell r="O633" t="str">
            <v>–</v>
          </cell>
          <cell r="P633">
            <v>2</v>
          </cell>
          <cell r="Q633" t="str">
            <v>–</v>
          </cell>
          <cell r="R633" t="str">
            <v>–</v>
          </cell>
          <cell r="S633" t="str">
            <v>–</v>
          </cell>
          <cell r="T633" t="str">
            <v>–</v>
          </cell>
          <cell r="U633" t="str">
            <v>–</v>
          </cell>
          <cell r="V633" t="str">
            <v>–</v>
          </cell>
          <cell r="W633">
            <v>0.375</v>
          </cell>
        </row>
        <row r="634">
          <cell r="B634" t="str">
            <v>2L2X2X3/8X3/4</v>
          </cell>
          <cell r="C634" t="str">
            <v>2L2X2X3/8X3/4</v>
          </cell>
          <cell r="D634" t="str">
            <v>F</v>
          </cell>
          <cell r="E634">
            <v>9.4</v>
          </cell>
          <cell r="F634">
            <v>2.74</v>
          </cell>
          <cell r="G634" t="str">
            <v>2L2X2X3/8X3/4</v>
          </cell>
          <cell r="H634">
            <v>2</v>
          </cell>
          <cell r="I634" t="str">
            <v>–</v>
          </cell>
          <cell r="J634" t="str">
            <v>–</v>
          </cell>
          <cell r="K634" t="str">
            <v>–</v>
          </cell>
          <cell r="L634" t="str">
            <v>–</v>
          </cell>
          <cell r="M634" t="str">
            <v>–</v>
          </cell>
          <cell r="N634" t="str">
            <v>–</v>
          </cell>
          <cell r="O634" t="str">
            <v>–</v>
          </cell>
          <cell r="P634">
            <v>2</v>
          </cell>
          <cell r="Q634" t="str">
            <v>–</v>
          </cell>
          <cell r="R634" t="str">
            <v>–</v>
          </cell>
          <cell r="S634" t="str">
            <v>–</v>
          </cell>
          <cell r="T634" t="str">
            <v>–</v>
          </cell>
          <cell r="U634" t="str">
            <v>–</v>
          </cell>
          <cell r="V634" t="str">
            <v>–</v>
          </cell>
          <cell r="W634">
            <v>0.375</v>
          </cell>
        </row>
        <row r="635">
          <cell r="B635" t="str">
            <v>2L2X2X5/16</v>
          </cell>
          <cell r="C635" t="str">
            <v>2L2X2X5/16</v>
          </cell>
          <cell r="D635" t="str">
            <v>F</v>
          </cell>
          <cell r="E635">
            <v>7.84</v>
          </cell>
          <cell r="F635">
            <v>2.3199999999999998</v>
          </cell>
          <cell r="G635" t="str">
            <v>2L2X2X5/16</v>
          </cell>
          <cell r="H635">
            <v>2</v>
          </cell>
          <cell r="I635" t="str">
            <v>–</v>
          </cell>
          <cell r="J635" t="str">
            <v>–</v>
          </cell>
          <cell r="K635" t="str">
            <v>–</v>
          </cell>
          <cell r="L635" t="str">
            <v>–</v>
          </cell>
          <cell r="M635" t="str">
            <v>–</v>
          </cell>
          <cell r="N635" t="str">
            <v>–</v>
          </cell>
          <cell r="O635" t="str">
            <v>–</v>
          </cell>
          <cell r="P635">
            <v>2</v>
          </cell>
          <cell r="Q635" t="str">
            <v>–</v>
          </cell>
          <cell r="R635" t="str">
            <v>–</v>
          </cell>
          <cell r="S635" t="str">
            <v>–</v>
          </cell>
          <cell r="T635" t="str">
            <v>–</v>
          </cell>
          <cell r="U635" t="str">
            <v>–</v>
          </cell>
          <cell r="V635" t="str">
            <v>–</v>
          </cell>
          <cell r="W635">
            <v>0.313</v>
          </cell>
        </row>
        <row r="636">
          <cell r="B636" t="str">
            <v>2L2X2X5/16X3/8</v>
          </cell>
          <cell r="C636" t="str">
            <v>2L2X2X5/16X3/8</v>
          </cell>
          <cell r="D636" t="str">
            <v>F</v>
          </cell>
          <cell r="E636">
            <v>7.84</v>
          </cell>
          <cell r="F636">
            <v>2.3199999999999998</v>
          </cell>
          <cell r="G636" t="str">
            <v>2L2X2X5/16X3/8</v>
          </cell>
          <cell r="H636">
            <v>2</v>
          </cell>
          <cell r="I636" t="str">
            <v>–</v>
          </cell>
          <cell r="J636" t="str">
            <v>–</v>
          </cell>
          <cell r="K636" t="str">
            <v>–</v>
          </cell>
          <cell r="L636" t="str">
            <v>–</v>
          </cell>
          <cell r="M636" t="str">
            <v>–</v>
          </cell>
          <cell r="N636" t="str">
            <v>–</v>
          </cell>
          <cell r="O636" t="str">
            <v>–</v>
          </cell>
          <cell r="P636">
            <v>2</v>
          </cell>
          <cell r="Q636" t="str">
            <v>–</v>
          </cell>
          <cell r="R636" t="str">
            <v>–</v>
          </cell>
          <cell r="S636" t="str">
            <v>–</v>
          </cell>
          <cell r="T636" t="str">
            <v>–</v>
          </cell>
          <cell r="U636" t="str">
            <v>–</v>
          </cell>
          <cell r="V636" t="str">
            <v>–</v>
          </cell>
          <cell r="W636">
            <v>0.313</v>
          </cell>
        </row>
        <row r="637">
          <cell r="B637" t="str">
            <v>2L2X2X5/16X3/4</v>
          </cell>
          <cell r="C637" t="str">
            <v>2L2X2X5/16X3/4</v>
          </cell>
          <cell r="D637" t="str">
            <v>F</v>
          </cell>
          <cell r="E637">
            <v>7.84</v>
          </cell>
          <cell r="F637">
            <v>2.3199999999999998</v>
          </cell>
          <cell r="G637" t="str">
            <v>2L2X2X5/16X3/4</v>
          </cell>
          <cell r="H637">
            <v>2</v>
          </cell>
          <cell r="I637" t="str">
            <v>–</v>
          </cell>
          <cell r="J637" t="str">
            <v>–</v>
          </cell>
          <cell r="K637" t="str">
            <v>–</v>
          </cell>
          <cell r="L637" t="str">
            <v>–</v>
          </cell>
          <cell r="M637" t="str">
            <v>–</v>
          </cell>
          <cell r="N637" t="str">
            <v>–</v>
          </cell>
          <cell r="O637" t="str">
            <v>–</v>
          </cell>
          <cell r="P637">
            <v>2</v>
          </cell>
          <cell r="Q637" t="str">
            <v>–</v>
          </cell>
          <cell r="R637" t="str">
            <v>–</v>
          </cell>
          <cell r="S637" t="str">
            <v>–</v>
          </cell>
          <cell r="T637" t="str">
            <v>–</v>
          </cell>
          <cell r="U637" t="str">
            <v>–</v>
          </cell>
          <cell r="V637" t="str">
            <v>–</v>
          </cell>
          <cell r="W637">
            <v>0.313</v>
          </cell>
        </row>
        <row r="638">
          <cell r="B638" t="str">
            <v>2L2X2X1/4</v>
          </cell>
          <cell r="C638" t="str">
            <v>2L2X2X1/4</v>
          </cell>
          <cell r="D638" t="str">
            <v>F</v>
          </cell>
          <cell r="E638">
            <v>6.38</v>
          </cell>
          <cell r="F638">
            <v>1.89</v>
          </cell>
          <cell r="G638" t="str">
            <v>2L2X2X1/4</v>
          </cell>
          <cell r="H638">
            <v>2</v>
          </cell>
          <cell r="I638" t="str">
            <v>–</v>
          </cell>
          <cell r="J638" t="str">
            <v>–</v>
          </cell>
          <cell r="K638" t="str">
            <v>–</v>
          </cell>
          <cell r="L638" t="str">
            <v>–</v>
          </cell>
          <cell r="M638" t="str">
            <v>–</v>
          </cell>
          <cell r="N638" t="str">
            <v>–</v>
          </cell>
          <cell r="O638" t="str">
            <v>–</v>
          </cell>
          <cell r="P638">
            <v>2</v>
          </cell>
          <cell r="Q638" t="str">
            <v>–</v>
          </cell>
          <cell r="R638" t="str">
            <v>–</v>
          </cell>
          <cell r="S638" t="str">
            <v>–</v>
          </cell>
          <cell r="T638" t="str">
            <v>–</v>
          </cell>
          <cell r="U638" t="str">
            <v>–</v>
          </cell>
          <cell r="V638" t="str">
            <v>–</v>
          </cell>
          <cell r="W638">
            <v>0.25</v>
          </cell>
        </row>
        <row r="639">
          <cell r="B639" t="str">
            <v>2L2X2X1/4X3/8</v>
          </cell>
          <cell r="C639" t="str">
            <v>2L2X2X1/4X3/8</v>
          </cell>
          <cell r="D639" t="str">
            <v>F</v>
          </cell>
          <cell r="E639">
            <v>6.38</v>
          </cell>
          <cell r="F639">
            <v>1.89</v>
          </cell>
          <cell r="G639" t="str">
            <v>2L2X2X1/4X3/8</v>
          </cell>
          <cell r="H639">
            <v>2</v>
          </cell>
          <cell r="I639" t="str">
            <v>–</v>
          </cell>
          <cell r="J639" t="str">
            <v>–</v>
          </cell>
          <cell r="K639" t="str">
            <v>–</v>
          </cell>
          <cell r="L639" t="str">
            <v>–</v>
          </cell>
          <cell r="M639" t="str">
            <v>–</v>
          </cell>
          <cell r="N639" t="str">
            <v>–</v>
          </cell>
          <cell r="O639" t="str">
            <v>–</v>
          </cell>
          <cell r="P639">
            <v>2</v>
          </cell>
          <cell r="Q639" t="str">
            <v>–</v>
          </cell>
          <cell r="R639" t="str">
            <v>–</v>
          </cell>
          <cell r="S639" t="str">
            <v>–</v>
          </cell>
          <cell r="T639" t="str">
            <v>–</v>
          </cell>
          <cell r="U639" t="str">
            <v>–</v>
          </cell>
          <cell r="V639" t="str">
            <v>–</v>
          </cell>
          <cell r="W639">
            <v>0.25</v>
          </cell>
        </row>
        <row r="640">
          <cell r="B640" t="str">
            <v>2L2X2X1/4X3/4</v>
          </cell>
          <cell r="C640" t="str">
            <v>2L2X2X1/4X3/4</v>
          </cell>
          <cell r="D640" t="str">
            <v>F</v>
          </cell>
          <cell r="E640">
            <v>6.38</v>
          </cell>
          <cell r="F640">
            <v>1.89</v>
          </cell>
          <cell r="G640" t="str">
            <v>2L2X2X1/4X3/4</v>
          </cell>
          <cell r="H640">
            <v>2</v>
          </cell>
          <cell r="I640" t="str">
            <v>–</v>
          </cell>
          <cell r="J640" t="str">
            <v>–</v>
          </cell>
          <cell r="K640" t="str">
            <v>–</v>
          </cell>
          <cell r="L640" t="str">
            <v>–</v>
          </cell>
          <cell r="M640" t="str">
            <v>–</v>
          </cell>
          <cell r="N640" t="str">
            <v>–</v>
          </cell>
          <cell r="O640" t="str">
            <v>–</v>
          </cell>
          <cell r="P640">
            <v>2</v>
          </cell>
          <cell r="Q640" t="str">
            <v>–</v>
          </cell>
          <cell r="R640" t="str">
            <v>–</v>
          </cell>
          <cell r="S640" t="str">
            <v>–</v>
          </cell>
          <cell r="T640" t="str">
            <v>–</v>
          </cell>
          <cell r="U640" t="str">
            <v>–</v>
          </cell>
          <cell r="V640" t="str">
            <v>–</v>
          </cell>
          <cell r="W640">
            <v>0.25</v>
          </cell>
        </row>
        <row r="641">
          <cell r="B641" t="str">
            <v>2L2X2X3/16</v>
          </cell>
          <cell r="C641" t="str">
            <v>2L2X2X3/16</v>
          </cell>
          <cell r="D641" t="str">
            <v>F</v>
          </cell>
          <cell r="E641">
            <v>4.88</v>
          </cell>
          <cell r="F641">
            <v>1.44</v>
          </cell>
          <cell r="G641" t="str">
            <v>2L2X2X3/16</v>
          </cell>
          <cell r="H641">
            <v>2</v>
          </cell>
          <cell r="I641" t="str">
            <v>–</v>
          </cell>
          <cell r="J641" t="str">
            <v>–</v>
          </cell>
          <cell r="K641" t="str">
            <v>–</v>
          </cell>
          <cell r="L641" t="str">
            <v>–</v>
          </cell>
          <cell r="M641" t="str">
            <v>–</v>
          </cell>
          <cell r="N641" t="str">
            <v>–</v>
          </cell>
          <cell r="O641" t="str">
            <v>–</v>
          </cell>
          <cell r="P641">
            <v>2</v>
          </cell>
          <cell r="Q641" t="str">
            <v>–</v>
          </cell>
          <cell r="R641" t="str">
            <v>–</v>
          </cell>
          <cell r="S641" t="str">
            <v>–</v>
          </cell>
          <cell r="T641" t="str">
            <v>–</v>
          </cell>
          <cell r="U641" t="str">
            <v>–</v>
          </cell>
          <cell r="V641" t="str">
            <v>–</v>
          </cell>
          <cell r="W641">
            <v>0.188</v>
          </cell>
        </row>
        <row r="642">
          <cell r="B642" t="str">
            <v>2L2X2X3/16X3/8</v>
          </cell>
          <cell r="C642" t="str">
            <v>2L2X2X3/16X3/8</v>
          </cell>
          <cell r="D642" t="str">
            <v>F</v>
          </cell>
          <cell r="E642">
            <v>4.88</v>
          </cell>
          <cell r="F642">
            <v>1.44</v>
          </cell>
          <cell r="G642" t="str">
            <v>2L2X2X3/16X3/8</v>
          </cell>
          <cell r="H642">
            <v>2</v>
          </cell>
          <cell r="I642" t="str">
            <v>–</v>
          </cell>
          <cell r="J642" t="str">
            <v>–</v>
          </cell>
          <cell r="K642" t="str">
            <v>–</v>
          </cell>
          <cell r="L642" t="str">
            <v>–</v>
          </cell>
          <cell r="M642" t="str">
            <v>–</v>
          </cell>
          <cell r="N642" t="str">
            <v>–</v>
          </cell>
          <cell r="O642" t="str">
            <v>–</v>
          </cell>
          <cell r="P642">
            <v>2</v>
          </cell>
          <cell r="Q642" t="str">
            <v>–</v>
          </cell>
          <cell r="R642" t="str">
            <v>–</v>
          </cell>
          <cell r="S642" t="str">
            <v>–</v>
          </cell>
          <cell r="T642" t="str">
            <v>–</v>
          </cell>
          <cell r="U642" t="str">
            <v>–</v>
          </cell>
          <cell r="V642" t="str">
            <v>–</v>
          </cell>
          <cell r="W642">
            <v>0.188</v>
          </cell>
        </row>
        <row r="643">
          <cell r="B643" t="str">
            <v>2L2X2X3/16X3/4</v>
          </cell>
          <cell r="C643" t="str">
            <v>2L2X2X3/16X3/4</v>
          </cell>
          <cell r="D643" t="str">
            <v>F</v>
          </cell>
          <cell r="E643">
            <v>4.88</v>
          </cell>
          <cell r="F643">
            <v>1.44</v>
          </cell>
          <cell r="G643" t="str">
            <v>2L2X2X3/16X3/4</v>
          </cell>
          <cell r="H643">
            <v>2</v>
          </cell>
          <cell r="I643" t="str">
            <v>–</v>
          </cell>
          <cell r="J643" t="str">
            <v>–</v>
          </cell>
          <cell r="K643" t="str">
            <v>–</v>
          </cell>
          <cell r="L643" t="str">
            <v>–</v>
          </cell>
          <cell r="M643" t="str">
            <v>–</v>
          </cell>
          <cell r="N643" t="str">
            <v>–</v>
          </cell>
          <cell r="O643" t="str">
            <v>–</v>
          </cell>
          <cell r="P643">
            <v>2</v>
          </cell>
          <cell r="Q643" t="str">
            <v>–</v>
          </cell>
          <cell r="R643" t="str">
            <v>–</v>
          </cell>
          <cell r="S643" t="str">
            <v>–</v>
          </cell>
          <cell r="T643" t="str">
            <v>–</v>
          </cell>
          <cell r="U643" t="str">
            <v>–</v>
          </cell>
          <cell r="V643" t="str">
            <v>–</v>
          </cell>
          <cell r="W643">
            <v>0.188</v>
          </cell>
        </row>
        <row r="644">
          <cell r="B644" t="str">
            <v>2L2X2X1/8</v>
          </cell>
          <cell r="C644" t="str">
            <v>2L2X2X1/8</v>
          </cell>
          <cell r="D644" t="str">
            <v>F</v>
          </cell>
          <cell r="E644">
            <v>3.3</v>
          </cell>
          <cell r="F644">
            <v>0.98199999999999998</v>
          </cell>
          <cell r="G644" t="str">
            <v>2L2X2X1/8</v>
          </cell>
          <cell r="H644">
            <v>2</v>
          </cell>
          <cell r="I644" t="str">
            <v>–</v>
          </cell>
          <cell r="J644" t="str">
            <v>–</v>
          </cell>
          <cell r="K644" t="str">
            <v>–</v>
          </cell>
          <cell r="L644" t="str">
            <v>–</v>
          </cell>
          <cell r="M644" t="str">
            <v>–</v>
          </cell>
          <cell r="N644" t="str">
            <v>–</v>
          </cell>
          <cell r="O644" t="str">
            <v>–</v>
          </cell>
          <cell r="P644">
            <v>2</v>
          </cell>
          <cell r="Q644" t="str">
            <v>–</v>
          </cell>
          <cell r="R644" t="str">
            <v>–</v>
          </cell>
          <cell r="S644" t="str">
            <v>–</v>
          </cell>
          <cell r="T644" t="str">
            <v>–</v>
          </cell>
          <cell r="U644" t="str">
            <v>–</v>
          </cell>
          <cell r="V644" t="str">
            <v>–</v>
          </cell>
          <cell r="W644">
            <v>0.125</v>
          </cell>
        </row>
        <row r="645">
          <cell r="B645" t="str">
            <v>2L2X2X1/8X3/8</v>
          </cell>
          <cell r="C645" t="str">
            <v>2L2X2X1/8X3/8</v>
          </cell>
          <cell r="D645" t="str">
            <v>F</v>
          </cell>
          <cell r="E645">
            <v>3.3</v>
          </cell>
          <cell r="F645">
            <v>0.98199999999999998</v>
          </cell>
          <cell r="G645" t="str">
            <v>2L2X2X1/8X3/8</v>
          </cell>
          <cell r="H645">
            <v>2</v>
          </cell>
          <cell r="I645" t="str">
            <v>–</v>
          </cell>
          <cell r="J645" t="str">
            <v>–</v>
          </cell>
          <cell r="K645" t="str">
            <v>–</v>
          </cell>
          <cell r="L645" t="str">
            <v>–</v>
          </cell>
          <cell r="M645" t="str">
            <v>–</v>
          </cell>
          <cell r="N645" t="str">
            <v>–</v>
          </cell>
          <cell r="O645" t="str">
            <v>–</v>
          </cell>
          <cell r="P645">
            <v>2</v>
          </cell>
          <cell r="Q645" t="str">
            <v>–</v>
          </cell>
          <cell r="R645" t="str">
            <v>–</v>
          </cell>
          <cell r="S645" t="str">
            <v>–</v>
          </cell>
          <cell r="T645" t="str">
            <v>–</v>
          </cell>
          <cell r="U645" t="str">
            <v>–</v>
          </cell>
          <cell r="V645" t="str">
            <v>–</v>
          </cell>
          <cell r="W645">
            <v>0.125</v>
          </cell>
        </row>
        <row r="646">
          <cell r="B646" t="str">
            <v>2L2X2X1/8X3/4</v>
          </cell>
          <cell r="C646" t="str">
            <v>2L2X2X1/8X3/4</v>
          </cell>
          <cell r="D646" t="str">
            <v>F</v>
          </cell>
          <cell r="E646">
            <v>3.3</v>
          </cell>
          <cell r="F646">
            <v>0.98199999999999998</v>
          </cell>
          <cell r="G646" t="str">
            <v>2L2X2X1/8X3/4</v>
          </cell>
          <cell r="H646">
            <v>2</v>
          </cell>
          <cell r="I646" t="str">
            <v>–</v>
          </cell>
          <cell r="J646" t="str">
            <v>–</v>
          </cell>
          <cell r="K646" t="str">
            <v>–</v>
          </cell>
          <cell r="L646" t="str">
            <v>–</v>
          </cell>
          <cell r="M646" t="str">
            <v>–</v>
          </cell>
          <cell r="N646" t="str">
            <v>–</v>
          </cell>
          <cell r="O646" t="str">
            <v>–</v>
          </cell>
          <cell r="P646">
            <v>2</v>
          </cell>
          <cell r="Q646" t="str">
            <v>–</v>
          </cell>
          <cell r="R646" t="str">
            <v>–</v>
          </cell>
          <cell r="S646" t="str">
            <v>–</v>
          </cell>
          <cell r="T646" t="str">
            <v>–</v>
          </cell>
          <cell r="U646" t="str">
            <v>–</v>
          </cell>
          <cell r="V646" t="str">
            <v>–</v>
          </cell>
          <cell r="W646">
            <v>0.125</v>
          </cell>
        </row>
        <row r="647">
          <cell r="B647" t="str">
            <v>2L8X6X1LLBB</v>
          </cell>
          <cell r="C647" t="str">
            <v>2L8X6X1LLBB</v>
          </cell>
          <cell r="D647" t="str">
            <v>F</v>
          </cell>
          <cell r="E647">
            <v>88.4</v>
          </cell>
          <cell r="F647">
            <v>26.2</v>
          </cell>
          <cell r="G647" t="str">
            <v>2L8X6X1LLBB</v>
          </cell>
          <cell r="H647">
            <v>8</v>
          </cell>
          <cell r="I647" t="str">
            <v>–</v>
          </cell>
          <cell r="J647" t="str">
            <v>–</v>
          </cell>
          <cell r="K647" t="str">
            <v>–</v>
          </cell>
          <cell r="L647" t="str">
            <v>–</v>
          </cell>
          <cell r="M647" t="str">
            <v>–</v>
          </cell>
          <cell r="N647" t="str">
            <v>–</v>
          </cell>
          <cell r="O647" t="str">
            <v>–</v>
          </cell>
          <cell r="P647">
            <v>6</v>
          </cell>
          <cell r="Q647" t="str">
            <v>–</v>
          </cell>
          <cell r="R647" t="str">
            <v>–</v>
          </cell>
          <cell r="S647" t="str">
            <v>–</v>
          </cell>
          <cell r="T647" t="str">
            <v>–</v>
          </cell>
          <cell r="U647" t="str">
            <v>–</v>
          </cell>
          <cell r="V647" t="str">
            <v>–</v>
          </cell>
          <cell r="W647">
            <v>1</v>
          </cell>
        </row>
        <row r="648">
          <cell r="B648" t="str">
            <v>2L8X6X1X3/8LLBB</v>
          </cell>
          <cell r="C648" t="str">
            <v>2L8X6X1X3/8LLBB</v>
          </cell>
          <cell r="D648" t="str">
            <v>F</v>
          </cell>
          <cell r="E648">
            <v>88.4</v>
          </cell>
          <cell r="F648">
            <v>26.2</v>
          </cell>
          <cell r="G648" t="str">
            <v>2L8X6X1X3/8LLBB</v>
          </cell>
          <cell r="H648">
            <v>8</v>
          </cell>
          <cell r="I648" t="str">
            <v>–</v>
          </cell>
          <cell r="J648" t="str">
            <v>–</v>
          </cell>
          <cell r="K648" t="str">
            <v>–</v>
          </cell>
          <cell r="L648" t="str">
            <v>–</v>
          </cell>
          <cell r="M648" t="str">
            <v>–</v>
          </cell>
          <cell r="N648" t="str">
            <v>–</v>
          </cell>
          <cell r="O648" t="str">
            <v>–</v>
          </cell>
          <cell r="P648">
            <v>6</v>
          </cell>
          <cell r="Q648" t="str">
            <v>–</v>
          </cell>
          <cell r="R648" t="str">
            <v>–</v>
          </cell>
          <cell r="S648" t="str">
            <v>–</v>
          </cell>
          <cell r="T648" t="str">
            <v>–</v>
          </cell>
          <cell r="U648" t="str">
            <v>–</v>
          </cell>
          <cell r="V648" t="str">
            <v>–</v>
          </cell>
          <cell r="W648">
            <v>1</v>
          </cell>
        </row>
        <row r="649">
          <cell r="B649" t="str">
            <v>2L8X6X1X3/4LLBB</v>
          </cell>
          <cell r="C649" t="str">
            <v>2L8X6X1X3/4LLBB</v>
          </cell>
          <cell r="D649" t="str">
            <v>F</v>
          </cell>
          <cell r="E649">
            <v>88.4</v>
          </cell>
          <cell r="F649">
            <v>26.2</v>
          </cell>
          <cell r="G649" t="str">
            <v>2L8X6X1X3/4LLBB</v>
          </cell>
          <cell r="H649">
            <v>8</v>
          </cell>
          <cell r="I649" t="str">
            <v>–</v>
          </cell>
          <cell r="J649" t="str">
            <v>–</v>
          </cell>
          <cell r="K649" t="str">
            <v>–</v>
          </cell>
          <cell r="L649" t="str">
            <v>–</v>
          </cell>
          <cell r="M649" t="str">
            <v>–</v>
          </cell>
          <cell r="N649" t="str">
            <v>–</v>
          </cell>
          <cell r="O649" t="str">
            <v>–</v>
          </cell>
          <cell r="P649">
            <v>6</v>
          </cell>
          <cell r="Q649" t="str">
            <v>–</v>
          </cell>
          <cell r="R649" t="str">
            <v>–</v>
          </cell>
          <cell r="S649" t="str">
            <v>–</v>
          </cell>
          <cell r="T649" t="str">
            <v>–</v>
          </cell>
          <cell r="U649" t="str">
            <v>–</v>
          </cell>
          <cell r="V649" t="str">
            <v>–</v>
          </cell>
          <cell r="W649">
            <v>1</v>
          </cell>
        </row>
        <row r="650">
          <cell r="B650" t="str">
            <v>2L8X6X7/8LLBB</v>
          </cell>
          <cell r="C650" t="str">
            <v>2L8X6X7/8LLBB</v>
          </cell>
          <cell r="D650" t="str">
            <v>F</v>
          </cell>
          <cell r="E650">
            <v>78.2</v>
          </cell>
          <cell r="F650">
            <v>23</v>
          </cell>
          <cell r="G650" t="str">
            <v>2L8X6X7/8LLBB</v>
          </cell>
          <cell r="H650">
            <v>8</v>
          </cell>
          <cell r="I650" t="str">
            <v>–</v>
          </cell>
          <cell r="J650" t="str">
            <v>–</v>
          </cell>
          <cell r="K650" t="str">
            <v>–</v>
          </cell>
          <cell r="L650" t="str">
            <v>–</v>
          </cell>
          <cell r="M650" t="str">
            <v>–</v>
          </cell>
          <cell r="N650" t="str">
            <v>–</v>
          </cell>
          <cell r="O650" t="str">
            <v>–</v>
          </cell>
          <cell r="P650">
            <v>6</v>
          </cell>
          <cell r="Q650" t="str">
            <v>–</v>
          </cell>
          <cell r="R650" t="str">
            <v>–</v>
          </cell>
          <cell r="S650" t="str">
            <v>–</v>
          </cell>
          <cell r="T650" t="str">
            <v>–</v>
          </cell>
          <cell r="U650" t="str">
            <v>–</v>
          </cell>
          <cell r="V650" t="str">
            <v>–</v>
          </cell>
          <cell r="W650">
            <v>0.875</v>
          </cell>
        </row>
        <row r="651">
          <cell r="B651" t="str">
            <v>2L8X6X7/8X3/8LLBB</v>
          </cell>
          <cell r="C651" t="str">
            <v>2L8X6X7/8X3/8LLBB</v>
          </cell>
          <cell r="D651" t="str">
            <v>F</v>
          </cell>
          <cell r="E651">
            <v>78.2</v>
          </cell>
          <cell r="F651">
            <v>23</v>
          </cell>
          <cell r="G651" t="str">
            <v>2L8X6X7/8X3/8LLBB</v>
          </cell>
          <cell r="H651">
            <v>8</v>
          </cell>
          <cell r="I651" t="str">
            <v>–</v>
          </cell>
          <cell r="J651" t="str">
            <v>–</v>
          </cell>
          <cell r="K651" t="str">
            <v>–</v>
          </cell>
          <cell r="L651" t="str">
            <v>–</v>
          </cell>
          <cell r="M651" t="str">
            <v>–</v>
          </cell>
          <cell r="N651" t="str">
            <v>–</v>
          </cell>
          <cell r="O651" t="str">
            <v>–</v>
          </cell>
          <cell r="P651">
            <v>6</v>
          </cell>
          <cell r="Q651" t="str">
            <v>–</v>
          </cell>
          <cell r="R651" t="str">
            <v>–</v>
          </cell>
          <cell r="S651" t="str">
            <v>–</v>
          </cell>
          <cell r="T651" t="str">
            <v>–</v>
          </cell>
          <cell r="U651" t="str">
            <v>–</v>
          </cell>
          <cell r="V651" t="str">
            <v>–</v>
          </cell>
          <cell r="W651">
            <v>0.875</v>
          </cell>
        </row>
        <row r="652">
          <cell r="B652" t="str">
            <v>2L8X6X7/8X3/4LLBB</v>
          </cell>
          <cell r="C652" t="str">
            <v>2L8X6X7/8X3/4LLBB</v>
          </cell>
          <cell r="D652" t="str">
            <v>F</v>
          </cell>
          <cell r="E652">
            <v>78.2</v>
          </cell>
          <cell r="F652">
            <v>23</v>
          </cell>
          <cell r="G652" t="str">
            <v>2L8X6X7/8X3/4LLBB</v>
          </cell>
          <cell r="H652">
            <v>8</v>
          </cell>
          <cell r="I652" t="str">
            <v>–</v>
          </cell>
          <cell r="J652" t="str">
            <v>–</v>
          </cell>
          <cell r="K652" t="str">
            <v>–</v>
          </cell>
          <cell r="L652" t="str">
            <v>–</v>
          </cell>
          <cell r="M652" t="str">
            <v>–</v>
          </cell>
          <cell r="N652" t="str">
            <v>–</v>
          </cell>
          <cell r="O652" t="str">
            <v>–</v>
          </cell>
          <cell r="P652">
            <v>6</v>
          </cell>
          <cell r="Q652" t="str">
            <v>–</v>
          </cell>
          <cell r="R652" t="str">
            <v>–</v>
          </cell>
          <cell r="S652" t="str">
            <v>–</v>
          </cell>
          <cell r="T652" t="str">
            <v>–</v>
          </cell>
          <cell r="U652" t="str">
            <v>–</v>
          </cell>
          <cell r="V652" t="str">
            <v>–</v>
          </cell>
          <cell r="W652">
            <v>0.875</v>
          </cell>
        </row>
        <row r="653">
          <cell r="B653" t="str">
            <v>2L8X6X3/4LLBB</v>
          </cell>
          <cell r="C653" t="str">
            <v>2L8X6X3/4LLBB</v>
          </cell>
          <cell r="D653" t="str">
            <v>F</v>
          </cell>
          <cell r="E653">
            <v>67.599999999999994</v>
          </cell>
          <cell r="F653">
            <v>20</v>
          </cell>
          <cell r="G653" t="str">
            <v>2L8X6X3/4LLBB</v>
          </cell>
          <cell r="H653">
            <v>8</v>
          </cell>
          <cell r="I653" t="str">
            <v>–</v>
          </cell>
          <cell r="J653" t="str">
            <v>–</v>
          </cell>
          <cell r="K653" t="str">
            <v>–</v>
          </cell>
          <cell r="L653" t="str">
            <v>–</v>
          </cell>
          <cell r="M653" t="str">
            <v>–</v>
          </cell>
          <cell r="N653" t="str">
            <v>–</v>
          </cell>
          <cell r="O653" t="str">
            <v>–</v>
          </cell>
          <cell r="P653">
            <v>6</v>
          </cell>
          <cell r="Q653" t="str">
            <v>–</v>
          </cell>
          <cell r="R653" t="str">
            <v>–</v>
          </cell>
          <cell r="S653" t="str">
            <v>–</v>
          </cell>
          <cell r="T653" t="str">
            <v>–</v>
          </cell>
          <cell r="U653" t="str">
            <v>–</v>
          </cell>
          <cell r="V653" t="str">
            <v>–</v>
          </cell>
          <cell r="W653">
            <v>0.75</v>
          </cell>
        </row>
        <row r="654">
          <cell r="B654" t="str">
            <v>2L8X6X3/4X3/8LLBB</v>
          </cell>
          <cell r="C654" t="str">
            <v>2L8X6X3/4X3/8LLBB</v>
          </cell>
          <cell r="D654" t="str">
            <v>F</v>
          </cell>
          <cell r="E654">
            <v>67.599999999999994</v>
          </cell>
          <cell r="F654">
            <v>20</v>
          </cell>
          <cell r="G654" t="str">
            <v>2L8X6X3/4X3/8LLBB</v>
          </cell>
          <cell r="H654">
            <v>8</v>
          </cell>
          <cell r="I654" t="str">
            <v>–</v>
          </cell>
          <cell r="J654" t="str">
            <v>–</v>
          </cell>
          <cell r="K654" t="str">
            <v>–</v>
          </cell>
          <cell r="L654" t="str">
            <v>–</v>
          </cell>
          <cell r="M654" t="str">
            <v>–</v>
          </cell>
          <cell r="N654" t="str">
            <v>–</v>
          </cell>
          <cell r="O654" t="str">
            <v>–</v>
          </cell>
          <cell r="P654">
            <v>6</v>
          </cell>
          <cell r="Q654" t="str">
            <v>–</v>
          </cell>
          <cell r="R654" t="str">
            <v>–</v>
          </cell>
          <cell r="S654" t="str">
            <v>–</v>
          </cell>
          <cell r="T654" t="str">
            <v>–</v>
          </cell>
          <cell r="U654" t="str">
            <v>–</v>
          </cell>
          <cell r="V654" t="str">
            <v>–</v>
          </cell>
          <cell r="W654">
            <v>0.75</v>
          </cell>
        </row>
        <row r="655">
          <cell r="B655" t="str">
            <v>2L8X6X3/4X3/4LLBB</v>
          </cell>
          <cell r="C655" t="str">
            <v>2L8X6X3/4X3/4LLBB</v>
          </cell>
          <cell r="D655" t="str">
            <v>F</v>
          </cell>
          <cell r="E655">
            <v>67.599999999999994</v>
          </cell>
          <cell r="F655">
            <v>20</v>
          </cell>
          <cell r="G655" t="str">
            <v>2L8X6X3/4X3/4LLBB</v>
          </cell>
          <cell r="H655">
            <v>8</v>
          </cell>
          <cell r="I655" t="str">
            <v>–</v>
          </cell>
          <cell r="J655" t="str">
            <v>–</v>
          </cell>
          <cell r="K655" t="str">
            <v>–</v>
          </cell>
          <cell r="L655" t="str">
            <v>–</v>
          </cell>
          <cell r="M655" t="str">
            <v>–</v>
          </cell>
          <cell r="N655" t="str">
            <v>–</v>
          </cell>
          <cell r="O655" t="str">
            <v>–</v>
          </cell>
          <cell r="P655">
            <v>6</v>
          </cell>
          <cell r="Q655" t="str">
            <v>–</v>
          </cell>
          <cell r="R655" t="str">
            <v>–</v>
          </cell>
          <cell r="S655" t="str">
            <v>–</v>
          </cell>
          <cell r="T655" t="str">
            <v>–</v>
          </cell>
          <cell r="U655" t="str">
            <v>–</v>
          </cell>
          <cell r="V655" t="str">
            <v>–</v>
          </cell>
          <cell r="W655">
            <v>0.75</v>
          </cell>
        </row>
        <row r="656">
          <cell r="B656" t="str">
            <v>2L8X6X5/8LLBB</v>
          </cell>
          <cell r="C656" t="str">
            <v>2L8X6X5/8LLBB</v>
          </cell>
          <cell r="D656" t="str">
            <v>F</v>
          </cell>
          <cell r="E656">
            <v>57</v>
          </cell>
          <cell r="F656">
            <v>16.8</v>
          </cell>
          <cell r="G656" t="str">
            <v>2L8X6X5/8LLBB</v>
          </cell>
          <cell r="H656">
            <v>8</v>
          </cell>
          <cell r="I656" t="str">
            <v>–</v>
          </cell>
          <cell r="J656" t="str">
            <v>–</v>
          </cell>
          <cell r="K656" t="str">
            <v>–</v>
          </cell>
          <cell r="L656" t="str">
            <v>–</v>
          </cell>
          <cell r="M656" t="str">
            <v>–</v>
          </cell>
          <cell r="N656" t="str">
            <v>–</v>
          </cell>
          <cell r="O656" t="str">
            <v>–</v>
          </cell>
          <cell r="P656">
            <v>6</v>
          </cell>
          <cell r="Q656" t="str">
            <v>–</v>
          </cell>
          <cell r="R656" t="str">
            <v>–</v>
          </cell>
          <cell r="S656" t="str">
            <v>–</v>
          </cell>
          <cell r="T656" t="str">
            <v>–</v>
          </cell>
          <cell r="U656" t="str">
            <v>–</v>
          </cell>
          <cell r="V656" t="str">
            <v>–</v>
          </cell>
          <cell r="W656">
            <v>0.625</v>
          </cell>
        </row>
        <row r="657">
          <cell r="B657" t="str">
            <v>2L8X6X5/8X3/8LLBB</v>
          </cell>
          <cell r="C657" t="str">
            <v>2L8X6X5/8X3/8LLBB</v>
          </cell>
          <cell r="D657" t="str">
            <v>F</v>
          </cell>
          <cell r="E657">
            <v>57</v>
          </cell>
          <cell r="F657">
            <v>16.8</v>
          </cell>
          <cell r="G657" t="str">
            <v>2L8X6X5/8X3/8LLBB</v>
          </cell>
          <cell r="H657">
            <v>8</v>
          </cell>
          <cell r="I657" t="str">
            <v>–</v>
          </cell>
          <cell r="J657" t="str">
            <v>–</v>
          </cell>
          <cell r="K657" t="str">
            <v>–</v>
          </cell>
          <cell r="L657" t="str">
            <v>–</v>
          </cell>
          <cell r="M657" t="str">
            <v>–</v>
          </cell>
          <cell r="N657" t="str">
            <v>–</v>
          </cell>
          <cell r="O657" t="str">
            <v>–</v>
          </cell>
          <cell r="P657">
            <v>6</v>
          </cell>
          <cell r="Q657" t="str">
            <v>–</v>
          </cell>
          <cell r="R657" t="str">
            <v>–</v>
          </cell>
          <cell r="S657" t="str">
            <v>–</v>
          </cell>
          <cell r="T657" t="str">
            <v>–</v>
          </cell>
          <cell r="U657" t="str">
            <v>–</v>
          </cell>
          <cell r="V657" t="str">
            <v>–</v>
          </cell>
          <cell r="W657">
            <v>0.625</v>
          </cell>
        </row>
        <row r="658">
          <cell r="B658" t="str">
            <v>2L8X6X5/8X3/4LLBB</v>
          </cell>
          <cell r="C658" t="str">
            <v>2L8X6X5/8X3/4LLBB</v>
          </cell>
          <cell r="D658" t="str">
            <v>F</v>
          </cell>
          <cell r="E658">
            <v>57</v>
          </cell>
          <cell r="F658">
            <v>16.8</v>
          </cell>
          <cell r="G658" t="str">
            <v>2L8X6X5/8X3/4LLBB</v>
          </cell>
          <cell r="H658">
            <v>8</v>
          </cell>
          <cell r="I658" t="str">
            <v>–</v>
          </cell>
          <cell r="J658" t="str">
            <v>–</v>
          </cell>
          <cell r="K658" t="str">
            <v>–</v>
          </cell>
          <cell r="L658" t="str">
            <v>–</v>
          </cell>
          <cell r="M658" t="str">
            <v>–</v>
          </cell>
          <cell r="N658" t="str">
            <v>–</v>
          </cell>
          <cell r="O658" t="str">
            <v>–</v>
          </cell>
          <cell r="P658">
            <v>6</v>
          </cell>
          <cell r="Q658" t="str">
            <v>–</v>
          </cell>
          <cell r="R658" t="str">
            <v>–</v>
          </cell>
          <cell r="S658" t="str">
            <v>–</v>
          </cell>
          <cell r="T658" t="str">
            <v>–</v>
          </cell>
          <cell r="U658" t="str">
            <v>–</v>
          </cell>
          <cell r="V658" t="str">
            <v>–</v>
          </cell>
          <cell r="W658">
            <v>0.625</v>
          </cell>
        </row>
        <row r="659">
          <cell r="B659" t="str">
            <v>2L8X6X9/16LLBB</v>
          </cell>
          <cell r="C659" t="str">
            <v>2L8X6X9/16LLBB</v>
          </cell>
          <cell r="D659" t="str">
            <v>F</v>
          </cell>
          <cell r="E659">
            <v>51.4</v>
          </cell>
          <cell r="F659">
            <v>15.2</v>
          </cell>
          <cell r="G659" t="str">
            <v>2L8X6X9/16LLBB</v>
          </cell>
          <cell r="H659">
            <v>8</v>
          </cell>
          <cell r="I659" t="str">
            <v>–</v>
          </cell>
          <cell r="J659" t="str">
            <v>–</v>
          </cell>
          <cell r="K659" t="str">
            <v>–</v>
          </cell>
          <cell r="L659" t="str">
            <v>–</v>
          </cell>
          <cell r="M659" t="str">
            <v>–</v>
          </cell>
          <cell r="N659" t="str">
            <v>–</v>
          </cell>
          <cell r="O659" t="str">
            <v>–</v>
          </cell>
          <cell r="P659">
            <v>6</v>
          </cell>
          <cell r="Q659" t="str">
            <v>–</v>
          </cell>
          <cell r="R659" t="str">
            <v>–</v>
          </cell>
          <cell r="S659" t="str">
            <v>–</v>
          </cell>
          <cell r="T659" t="str">
            <v>–</v>
          </cell>
          <cell r="U659" t="str">
            <v>–</v>
          </cell>
          <cell r="V659" t="str">
            <v>–</v>
          </cell>
          <cell r="W659">
            <v>0.56299999999999994</v>
          </cell>
        </row>
        <row r="660">
          <cell r="B660" t="str">
            <v>2L8X6X9/16X3/8LLBB</v>
          </cell>
          <cell r="C660" t="str">
            <v>2L8X6X9/16X3/8LLBB</v>
          </cell>
          <cell r="D660" t="str">
            <v>F</v>
          </cell>
          <cell r="E660">
            <v>51.4</v>
          </cell>
          <cell r="F660">
            <v>15.2</v>
          </cell>
          <cell r="G660" t="str">
            <v>2L8X6X9/16X3/8LLBB</v>
          </cell>
          <cell r="H660">
            <v>8</v>
          </cell>
          <cell r="I660" t="str">
            <v>–</v>
          </cell>
          <cell r="J660" t="str">
            <v>–</v>
          </cell>
          <cell r="K660" t="str">
            <v>–</v>
          </cell>
          <cell r="L660" t="str">
            <v>–</v>
          </cell>
          <cell r="M660" t="str">
            <v>–</v>
          </cell>
          <cell r="N660" t="str">
            <v>–</v>
          </cell>
          <cell r="O660" t="str">
            <v>–</v>
          </cell>
          <cell r="P660">
            <v>6</v>
          </cell>
          <cell r="Q660" t="str">
            <v>–</v>
          </cell>
          <cell r="R660" t="str">
            <v>–</v>
          </cell>
          <cell r="S660" t="str">
            <v>–</v>
          </cell>
          <cell r="T660" t="str">
            <v>–</v>
          </cell>
          <cell r="U660" t="str">
            <v>–</v>
          </cell>
          <cell r="V660" t="str">
            <v>–</v>
          </cell>
          <cell r="W660">
            <v>0.56299999999999994</v>
          </cell>
        </row>
        <row r="661">
          <cell r="B661" t="str">
            <v>2L8X6X9/16X3/4LLBB</v>
          </cell>
          <cell r="C661" t="str">
            <v>2L8X6X9/16X3/4LLBB</v>
          </cell>
          <cell r="D661" t="str">
            <v>F</v>
          </cell>
          <cell r="E661">
            <v>51.4</v>
          </cell>
          <cell r="F661">
            <v>15.2</v>
          </cell>
          <cell r="G661" t="str">
            <v>2L8X6X9/16X3/4LLBB</v>
          </cell>
          <cell r="H661">
            <v>8</v>
          </cell>
          <cell r="I661" t="str">
            <v>–</v>
          </cell>
          <cell r="J661" t="str">
            <v>–</v>
          </cell>
          <cell r="K661" t="str">
            <v>–</v>
          </cell>
          <cell r="L661" t="str">
            <v>–</v>
          </cell>
          <cell r="M661" t="str">
            <v>–</v>
          </cell>
          <cell r="N661" t="str">
            <v>–</v>
          </cell>
          <cell r="O661" t="str">
            <v>–</v>
          </cell>
          <cell r="P661">
            <v>6</v>
          </cell>
          <cell r="Q661" t="str">
            <v>–</v>
          </cell>
          <cell r="R661" t="str">
            <v>–</v>
          </cell>
          <cell r="S661" t="str">
            <v>–</v>
          </cell>
          <cell r="T661" t="str">
            <v>–</v>
          </cell>
          <cell r="U661" t="str">
            <v>–</v>
          </cell>
          <cell r="V661" t="str">
            <v>–</v>
          </cell>
          <cell r="W661">
            <v>0.56299999999999994</v>
          </cell>
        </row>
        <row r="662">
          <cell r="B662" t="str">
            <v>2L8X6X1/2LLBB</v>
          </cell>
          <cell r="C662" t="str">
            <v>2L8X6X1/2LLBB</v>
          </cell>
          <cell r="D662" t="str">
            <v>F</v>
          </cell>
          <cell r="E662">
            <v>46</v>
          </cell>
          <cell r="F662">
            <v>13.6</v>
          </cell>
          <cell r="G662" t="str">
            <v>2L8X6X1/2LLBB</v>
          </cell>
          <cell r="H662">
            <v>8</v>
          </cell>
          <cell r="I662" t="str">
            <v>–</v>
          </cell>
          <cell r="J662" t="str">
            <v>–</v>
          </cell>
          <cell r="K662" t="str">
            <v>–</v>
          </cell>
          <cell r="L662" t="str">
            <v>–</v>
          </cell>
          <cell r="M662" t="str">
            <v>–</v>
          </cell>
          <cell r="N662" t="str">
            <v>–</v>
          </cell>
          <cell r="O662" t="str">
            <v>–</v>
          </cell>
          <cell r="P662">
            <v>6</v>
          </cell>
          <cell r="Q662" t="str">
            <v>–</v>
          </cell>
          <cell r="R662" t="str">
            <v>–</v>
          </cell>
          <cell r="S662" t="str">
            <v>–</v>
          </cell>
          <cell r="T662" t="str">
            <v>–</v>
          </cell>
          <cell r="U662" t="str">
            <v>–</v>
          </cell>
          <cell r="V662" t="str">
            <v>–</v>
          </cell>
          <cell r="W662">
            <v>0.5</v>
          </cell>
        </row>
        <row r="663">
          <cell r="B663" t="str">
            <v>2L8X6X1/2X3/8LLBB</v>
          </cell>
          <cell r="C663" t="str">
            <v>2L8X6X1/2X3/8LLBB</v>
          </cell>
          <cell r="D663" t="str">
            <v>F</v>
          </cell>
          <cell r="E663">
            <v>46</v>
          </cell>
          <cell r="F663">
            <v>13.6</v>
          </cell>
          <cell r="G663" t="str">
            <v>2L8X6X1/2X3/8LLBB</v>
          </cell>
          <cell r="H663">
            <v>8</v>
          </cell>
          <cell r="I663" t="str">
            <v>–</v>
          </cell>
          <cell r="J663" t="str">
            <v>–</v>
          </cell>
          <cell r="K663" t="str">
            <v>–</v>
          </cell>
          <cell r="L663" t="str">
            <v>–</v>
          </cell>
          <cell r="M663" t="str">
            <v>–</v>
          </cell>
          <cell r="N663" t="str">
            <v>–</v>
          </cell>
          <cell r="O663" t="str">
            <v>–</v>
          </cell>
          <cell r="P663">
            <v>6</v>
          </cell>
          <cell r="Q663" t="str">
            <v>–</v>
          </cell>
          <cell r="R663" t="str">
            <v>–</v>
          </cell>
          <cell r="S663" t="str">
            <v>–</v>
          </cell>
          <cell r="T663" t="str">
            <v>–</v>
          </cell>
          <cell r="U663" t="str">
            <v>–</v>
          </cell>
          <cell r="V663" t="str">
            <v>–</v>
          </cell>
          <cell r="W663">
            <v>0.5</v>
          </cell>
        </row>
        <row r="664">
          <cell r="B664" t="str">
            <v>2L8X6X1/2X3/4LLBB</v>
          </cell>
          <cell r="C664" t="str">
            <v>2L8X6X1/2X3/4LLBB</v>
          </cell>
          <cell r="D664" t="str">
            <v>F</v>
          </cell>
          <cell r="E664">
            <v>46</v>
          </cell>
          <cell r="F664">
            <v>13.6</v>
          </cell>
          <cell r="G664" t="str">
            <v>2L8X6X1/2X3/4LLBB</v>
          </cell>
          <cell r="H664">
            <v>8</v>
          </cell>
          <cell r="I664" t="str">
            <v>–</v>
          </cell>
          <cell r="J664" t="str">
            <v>–</v>
          </cell>
          <cell r="K664" t="str">
            <v>–</v>
          </cell>
          <cell r="L664" t="str">
            <v>–</v>
          </cell>
          <cell r="M664" t="str">
            <v>–</v>
          </cell>
          <cell r="N664" t="str">
            <v>–</v>
          </cell>
          <cell r="O664" t="str">
            <v>–</v>
          </cell>
          <cell r="P664">
            <v>6</v>
          </cell>
          <cell r="Q664" t="str">
            <v>–</v>
          </cell>
          <cell r="R664" t="str">
            <v>–</v>
          </cell>
          <cell r="S664" t="str">
            <v>–</v>
          </cell>
          <cell r="T664" t="str">
            <v>–</v>
          </cell>
          <cell r="U664" t="str">
            <v>–</v>
          </cell>
          <cell r="V664" t="str">
            <v>–</v>
          </cell>
          <cell r="W664">
            <v>0.5</v>
          </cell>
        </row>
        <row r="665">
          <cell r="B665" t="str">
            <v>2L8X6X7/16LLBB</v>
          </cell>
          <cell r="C665" t="str">
            <v>2L8X6X7/16LLBB</v>
          </cell>
          <cell r="D665" t="str">
            <v>F</v>
          </cell>
          <cell r="E665">
            <v>40.4</v>
          </cell>
          <cell r="F665">
            <v>12</v>
          </cell>
          <cell r="G665" t="str">
            <v>2L8X6X7/16LLBB</v>
          </cell>
          <cell r="H665">
            <v>8</v>
          </cell>
          <cell r="I665" t="str">
            <v>–</v>
          </cell>
          <cell r="J665" t="str">
            <v>–</v>
          </cell>
          <cell r="K665" t="str">
            <v>–</v>
          </cell>
          <cell r="L665" t="str">
            <v>–</v>
          </cell>
          <cell r="M665" t="str">
            <v>–</v>
          </cell>
          <cell r="N665" t="str">
            <v>–</v>
          </cell>
          <cell r="O665" t="str">
            <v>–</v>
          </cell>
          <cell r="P665">
            <v>6</v>
          </cell>
          <cell r="Q665" t="str">
            <v>–</v>
          </cell>
          <cell r="R665" t="str">
            <v>–</v>
          </cell>
          <cell r="S665" t="str">
            <v>–</v>
          </cell>
          <cell r="T665" t="str">
            <v>–</v>
          </cell>
          <cell r="U665" t="str">
            <v>–</v>
          </cell>
          <cell r="V665" t="str">
            <v>–</v>
          </cell>
          <cell r="W665">
            <v>0.438</v>
          </cell>
        </row>
        <row r="666">
          <cell r="B666" t="str">
            <v>2L8X6X7/16X3/8LLBB</v>
          </cell>
          <cell r="C666" t="str">
            <v>2L8X6X7/16X3/8LLBB</v>
          </cell>
          <cell r="D666" t="str">
            <v>F</v>
          </cell>
          <cell r="E666">
            <v>40.4</v>
          </cell>
          <cell r="F666">
            <v>12</v>
          </cell>
          <cell r="G666" t="str">
            <v>2L8X6X7/16X3/8LLBB</v>
          </cell>
          <cell r="H666">
            <v>8</v>
          </cell>
          <cell r="I666" t="str">
            <v>–</v>
          </cell>
          <cell r="J666" t="str">
            <v>–</v>
          </cell>
          <cell r="K666" t="str">
            <v>–</v>
          </cell>
          <cell r="L666" t="str">
            <v>–</v>
          </cell>
          <cell r="M666" t="str">
            <v>–</v>
          </cell>
          <cell r="N666" t="str">
            <v>–</v>
          </cell>
          <cell r="O666" t="str">
            <v>–</v>
          </cell>
          <cell r="P666">
            <v>6</v>
          </cell>
          <cell r="Q666" t="str">
            <v>–</v>
          </cell>
          <cell r="R666" t="str">
            <v>–</v>
          </cell>
          <cell r="S666" t="str">
            <v>–</v>
          </cell>
          <cell r="T666" t="str">
            <v>–</v>
          </cell>
          <cell r="U666" t="str">
            <v>–</v>
          </cell>
          <cell r="V666" t="str">
            <v>–</v>
          </cell>
          <cell r="W666">
            <v>0.438</v>
          </cell>
        </row>
        <row r="667">
          <cell r="B667" t="str">
            <v>2L8X6X7/16X3/4LLBB</v>
          </cell>
          <cell r="C667" t="str">
            <v>2L8X6X7/16X3/4LLBB</v>
          </cell>
          <cell r="D667" t="str">
            <v>F</v>
          </cell>
          <cell r="E667">
            <v>40.4</v>
          </cell>
          <cell r="F667">
            <v>12</v>
          </cell>
          <cell r="G667" t="str">
            <v>2L8X6X7/16X3/4LLBB</v>
          </cell>
          <cell r="H667">
            <v>8</v>
          </cell>
          <cell r="I667" t="str">
            <v>–</v>
          </cell>
          <cell r="J667" t="str">
            <v>–</v>
          </cell>
          <cell r="K667" t="str">
            <v>–</v>
          </cell>
          <cell r="L667" t="str">
            <v>–</v>
          </cell>
          <cell r="M667" t="str">
            <v>–</v>
          </cell>
          <cell r="N667" t="str">
            <v>–</v>
          </cell>
          <cell r="O667" t="str">
            <v>–</v>
          </cell>
          <cell r="P667">
            <v>6</v>
          </cell>
          <cell r="Q667" t="str">
            <v>–</v>
          </cell>
          <cell r="R667" t="str">
            <v>–</v>
          </cell>
          <cell r="S667" t="str">
            <v>–</v>
          </cell>
          <cell r="T667" t="str">
            <v>–</v>
          </cell>
          <cell r="U667" t="str">
            <v>–</v>
          </cell>
          <cell r="V667" t="str">
            <v>–</v>
          </cell>
          <cell r="W667">
            <v>0.438</v>
          </cell>
        </row>
        <row r="668">
          <cell r="B668" t="str">
            <v>2L8X4X1LLBB</v>
          </cell>
          <cell r="C668" t="str">
            <v>2L8X4X1LLBB</v>
          </cell>
          <cell r="D668" t="str">
            <v>F</v>
          </cell>
          <cell r="E668">
            <v>74.8</v>
          </cell>
          <cell r="F668">
            <v>22.2</v>
          </cell>
          <cell r="G668" t="str">
            <v>2L8X4X1LLBB</v>
          </cell>
          <cell r="H668">
            <v>8</v>
          </cell>
          <cell r="I668" t="str">
            <v>–</v>
          </cell>
          <cell r="J668" t="str">
            <v>–</v>
          </cell>
          <cell r="K668" t="str">
            <v>–</v>
          </cell>
          <cell r="L668" t="str">
            <v>–</v>
          </cell>
          <cell r="M668" t="str">
            <v>–</v>
          </cell>
          <cell r="N668" t="str">
            <v>–</v>
          </cell>
          <cell r="O668" t="str">
            <v>–</v>
          </cell>
          <cell r="P668">
            <v>4</v>
          </cell>
          <cell r="Q668" t="str">
            <v>–</v>
          </cell>
          <cell r="R668" t="str">
            <v>–</v>
          </cell>
          <cell r="S668" t="str">
            <v>–</v>
          </cell>
          <cell r="T668" t="str">
            <v>–</v>
          </cell>
          <cell r="U668" t="str">
            <v>–</v>
          </cell>
          <cell r="V668" t="str">
            <v>–</v>
          </cell>
          <cell r="W668">
            <v>1</v>
          </cell>
        </row>
        <row r="669">
          <cell r="B669" t="str">
            <v>2L8X4X1X3/8LLBB</v>
          </cell>
          <cell r="C669" t="str">
            <v>2L8X4X1X3/8LLBB</v>
          </cell>
          <cell r="D669" t="str">
            <v>F</v>
          </cell>
          <cell r="E669">
            <v>74.8</v>
          </cell>
          <cell r="F669">
            <v>22.2</v>
          </cell>
          <cell r="G669" t="str">
            <v>2L8X4X1X3/8LLBB</v>
          </cell>
          <cell r="H669">
            <v>8</v>
          </cell>
          <cell r="I669" t="str">
            <v>–</v>
          </cell>
          <cell r="J669" t="str">
            <v>–</v>
          </cell>
          <cell r="K669" t="str">
            <v>–</v>
          </cell>
          <cell r="L669" t="str">
            <v>–</v>
          </cell>
          <cell r="M669" t="str">
            <v>–</v>
          </cell>
          <cell r="N669" t="str">
            <v>–</v>
          </cell>
          <cell r="O669" t="str">
            <v>–</v>
          </cell>
          <cell r="P669">
            <v>4</v>
          </cell>
          <cell r="Q669" t="str">
            <v>–</v>
          </cell>
          <cell r="R669" t="str">
            <v>–</v>
          </cell>
          <cell r="S669" t="str">
            <v>–</v>
          </cell>
          <cell r="T669" t="str">
            <v>–</v>
          </cell>
          <cell r="U669" t="str">
            <v>–</v>
          </cell>
          <cell r="V669" t="str">
            <v>–</v>
          </cell>
          <cell r="W669">
            <v>1</v>
          </cell>
        </row>
        <row r="670">
          <cell r="B670" t="str">
            <v>2L8X4X1X3/4LLBB</v>
          </cell>
          <cell r="C670" t="str">
            <v>2L8X4X1X3/4LLBB</v>
          </cell>
          <cell r="D670" t="str">
            <v>F</v>
          </cell>
          <cell r="E670">
            <v>74.8</v>
          </cell>
          <cell r="F670">
            <v>22.2</v>
          </cell>
          <cell r="G670" t="str">
            <v>2L8X4X1X3/4LLBB</v>
          </cell>
          <cell r="H670">
            <v>8</v>
          </cell>
          <cell r="I670" t="str">
            <v>–</v>
          </cell>
          <cell r="J670" t="str">
            <v>–</v>
          </cell>
          <cell r="K670" t="str">
            <v>–</v>
          </cell>
          <cell r="L670" t="str">
            <v>–</v>
          </cell>
          <cell r="M670" t="str">
            <v>–</v>
          </cell>
          <cell r="N670" t="str">
            <v>–</v>
          </cell>
          <cell r="O670" t="str">
            <v>–</v>
          </cell>
          <cell r="P670">
            <v>4</v>
          </cell>
          <cell r="Q670" t="str">
            <v>–</v>
          </cell>
          <cell r="R670" t="str">
            <v>–</v>
          </cell>
          <cell r="S670" t="str">
            <v>–</v>
          </cell>
          <cell r="T670" t="str">
            <v>–</v>
          </cell>
          <cell r="U670" t="str">
            <v>–</v>
          </cell>
          <cell r="V670" t="str">
            <v>–</v>
          </cell>
          <cell r="W670">
            <v>1</v>
          </cell>
        </row>
        <row r="671">
          <cell r="B671" t="str">
            <v>2L8X4X7/8LLBB</v>
          </cell>
          <cell r="C671" t="str">
            <v>2L8X4X7/8LLBB</v>
          </cell>
          <cell r="D671" t="str">
            <v>F</v>
          </cell>
          <cell r="E671">
            <v>66.2</v>
          </cell>
          <cell r="F671">
            <v>19.600000000000001</v>
          </cell>
          <cell r="G671" t="str">
            <v>2L8X4X7/8LLBB</v>
          </cell>
          <cell r="H671">
            <v>8</v>
          </cell>
          <cell r="I671" t="str">
            <v>–</v>
          </cell>
          <cell r="J671" t="str">
            <v>–</v>
          </cell>
          <cell r="K671" t="str">
            <v>–</v>
          </cell>
          <cell r="L671" t="str">
            <v>–</v>
          </cell>
          <cell r="M671" t="str">
            <v>–</v>
          </cell>
          <cell r="N671" t="str">
            <v>–</v>
          </cell>
          <cell r="O671" t="str">
            <v>–</v>
          </cell>
          <cell r="P671">
            <v>4</v>
          </cell>
          <cell r="Q671" t="str">
            <v>–</v>
          </cell>
          <cell r="R671" t="str">
            <v>–</v>
          </cell>
          <cell r="S671" t="str">
            <v>–</v>
          </cell>
          <cell r="T671" t="str">
            <v>–</v>
          </cell>
          <cell r="U671" t="str">
            <v>–</v>
          </cell>
          <cell r="V671" t="str">
            <v>–</v>
          </cell>
          <cell r="W671">
            <v>0.875</v>
          </cell>
        </row>
        <row r="672">
          <cell r="B672" t="str">
            <v>2L8X4X7/8X3/8LLBB</v>
          </cell>
          <cell r="C672" t="str">
            <v>2L8X4X7/8X3/8LLBB</v>
          </cell>
          <cell r="D672" t="str">
            <v>F</v>
          </cell>
          <cell r="E672">
            <v>66.2</v>
          </cell>
          <cell r="F672">
            <v>19.600000000000001</v>
          </cell>
          <cell r="G672" t="str">
            <v>2L8X4X7/8X3/8LLBB</v>
          </cell>
          <cell r="H672">
            <v>8</v>
          </cell>
          <cell r="I672" t="str">
            <v>–</v>
          </cell>
          <cell r="J672" t="str">
            <v>–</v>
          </cell>
          <cell r="K672" t="str">
            <v>–</v>
          </cell>
          <cell r="L672" t="str">
            <v>–</v>
          </cell>
          <cell r="M672" t="str">
            <v>–</v>
          </cell>
          <cell r="N672" t="str">
            <v>–</v>
          </cell>
          <cell r="O672" t="str">
            <v>–</v>
          </cell>
          <cell r="P672">
            <v>4</v>
          </cell>
          <cell r="Q672" t="str">
            <v>–</v>
          </cell>
          <cell r="R672" t="str">
            <v>–</v>
          </cell>
          <cell r="S672" t="str">
            <v>–</v>
          </cell>
          <cell r="T672" t="str">
            <v>–</v>
          </cell>
          <cell r="U672" t="str">
            <v>–</v>
          </cell>
          <cell r="V672" t="str">
            <v>–</v>
          </cell>
          <cell r="W672">
            <v>0.875</v>
          </cell>
        </row>
        <row r="673">
          <cell r="B673" t="str">
            <v>2L8X4X7/8X3/4LLBB</v>
          </cell>
          <cell r="C673" t="str">
            <v>2L8X4X7/8X3/4LLBB</v>
          </cell>
          <cell r="D673" t="str">
            <v>F</v>
          </cell>
          <cell r="E673">
            <v>66.2</v>
          </cell>
          <cell r="F673">
            <v>19.600000000000001</v>
          </cell>
          <cell r="G673" t="str">
            <v>2L8X4X7/8X3/4LLBB</v>
          </cell>
          <cell r="H673">
            <v>8</v>
          </cell>
          <cell r="I673" t="str">
            <v>–</v>
          </cell>
          <cell r="J673" t="str">
            <v>–</v>
          </cell>
          <cell r="K673" t="str">
            <v>–</v>
          </cell>
          <cell r="L673" t="str">
            <v>–</v>
          </cell>
          <cell r="M673" t="str">
            <v>–</v>
          </cell>
          <cell r="N673" t="str">
            <v>–</v>
          </cell>
          <cell r="O673" t="str">
            <v>–</v>
          </cell>
          <cell r="P673">
            <v>4</v>
          </cell>
          <cell r="Q673" t="str">
            <v>–</v>
          </cell>
          <cell r="R673" t="str">
            <v>–</v>
          </cell>
          <cell r="S673" t="str">
            <v>–</v>
          </cell>
          <cell r="T673" t="str">
            <v>–</v>
          </cell>
          <cell r="U673" t="str">
            <v>–</v>
          </cell>
          <cell r="V673" t="str">
            <v>–</v>
          </cell>
          <cell r="W673">
            <v>0.875</v>
          </cell>
        </row>
        <row r="674">
          <cell r="B674" t="str">
            <v>2L8X4X3/4LLBB</v>
          </cell>
          <cell r="C674" t="str">
            <v>2L8X4X3/4LLBB</v>
          </cell>
          <cell r="D674" t="str">
            <v>F</v>
          </cell>
          <cell r="E674">
            <v>57.4</v>
          </cell>
          <cell r="F674">
            <v>17</v>
          </cell>
          <cell r="G674" t="str">
            <v>2L8X4X3/4LLBB</v>
          </cell>
          <cell r="H674">
            <v>8</v>
          </cell>
          <cell r="I674" t="str">
            <v>–</v>
          </cell>
          <cell r="J674" t="str">
            <v>–</v>
          </cell>
          <cell r="K674" t="str">
            <v>–</v>
          </cell>
          <cell r="L674" t="str">
            <v>–</v>
          </cell>
          <cell r="M674" t="str">
            <v>–</v>
          </cell>
          <cell r="N674" t="str">
            <v>–</v>
          </cell>
          <cell r="O674" t="str">
            <v>–</v>
          </cell>
          <cell r="P674">
            <v>4</v>
          </cell>
          <cell r="Q674" t="str">
            <v>–</v>
          </cell>
          <cell r="R674" t="str">
            <v>–</v>
          </cell>
          <cell r="S674" t="str">
            <v>–</v>
          </cell>
          <cell r="T674" t="str">
            <v>–</v>
          </cell>
          <cell r="U674" t="str">
            <v>–</v>
          </cell>
          <cell r="V674" t="str">
            <v>–</v>
          </cell>
          <cell r="W674">
            <v>0.75</v>
          </cell>
        </row>
        <row r="675">
          <cell r="B675" t="str">
            <v>2L8X4X3/4X3/8LLBB</v>
          </cell>
          <cell r="C675" t="str">
            <v>2L8X4X3/4X3/8LLBB</v>
          </cell>
          <cell r="D675" t="str">
            <v>F</v>
          </cell>
          <cell r="E675">
            <v>57.4</v>
          </cell>
          <cell r="F675">
            <v>17</v>
          </cell>
          <cell r="G675" t="str">
            <v>2L8X4X3/4X3/8LLBB</v>
          </cell>
          <cell r="H675">
            <v>8</v>
          </cell>
          <cell r="I675" t="str">
            <v>–</v>
          </cell>
          <cell r="J675" t="str">
            <v>–</v>
          </cell>
          <cell r="K675" t="str">
            <v>–</v>
          </cell>
          <cell r="L675" t="str">
            <v>–</v>
          </cell>
          <cell r="M675" t="str">
            <v>–</v>
          </cell>
          <cell r="N675" t="str">
            <v>–</v>
          </cell>
          <cell r="O675" t="str">
            <v>–</v>
          </cell>
          <cell r="P675">
            <v>4</v>
          </cell>
          <cell r="Q675" t="str">
            <v>–</v>
          </cell>
          <cell r="R675" t="str">
            <v>–</v>
          </cell>
          <cell r="S675" t="str">
            <v>–</v>
          </cell>
          <cell r="T675" t="str">
            <v>–</v>
          </cell>
          <cell r="U675" t="str">
            <v>–</v>
          </cell>
          <cell r="V675" t="str">
            <v>–</v>
          </cell>
          <cell r="W675">
            <v>0.75</v>
          </cell>
        </row>
        <row r="676">
          <cell r="B676" t="str">
            <v>2L8X4X3/4X3/4LLBB</v>
          </cell>
          <cell r="C676" t="str">
            <v>2L8X4X3/4X3/4LLBB</v>
          </cell>
          <cell r="D676" t="str">
            <v>F</v>
          </cell>
          <cell r="E676">
            <v>57.4</v>
          </cell>
          <cell r="F676">
            <v>17</v>
          </cell>
          <cell r="G676" t="str">
            <v>2L8X4X3/4X3/4LLBB</v>
          </cell>
          <cell r="H676">
            <v>8</v>
          </cell>
          <cell r="I676" t="str">
            <v>–</v>
          </cell>
          <cell r="J676" t="str">
            <v>–</v>
          </cell>
          <cell r="K676" t="str">
            <v>–</v>
          </cell>
          <cell r="L676" t="str">
            <v>–</v>
          </cell>
          <cell r="M676" t="str">
            <v>–</v>
          </cell>
          <cell r="N676" t="str">
            <v>–</v>
          </cell>
          <cell r="O676" t="str">
            <v>–</v>
          </cell>
          <cell r="P676">
            <v>4</v>
          </cell>
          <cell r="Q676" t="str">
            <v>–</v>
          </cell>
          <cell r="R676" t="str">
            <v>–</v>
          </cell>
          <cell r="S676" t="str">
            <v>–</v>
          </cell>
          <cell r="T676" t="str">
            <v>–</v>
          </cell>
          <cell r="U676" t="str">
            <v>–</v>
          </cell>
          <cell r="V676" t="str">
            <v>–</v>
          </cell>
          <cell r="W676">
            <v>0.75</v>
          </cell>
        </row>
        <row r="677">
          <cell r="B677" t="str">
            <v>2L8X4X5/8LLBB</v>
          </cell>
          <cell r="C677" t="str">
            <v>2L8X4X5/8LLBB</v>
          </cell>
          <cell r="D677" t="str">
            <v>F</v>
          </cell>
          <cell r="E677">
            <v>48.4</v>
          </cell>
          <cell r="F677">
            <v>14.3</v>
          </cell>
          <cell r="G677" t="str">
            <v>2L8X4X5/8LLBB</v>
          </cell>
          <cell r="H677">
            <v>8</v>
          </cell>
          <cell r="I677" t="str">
            <v>–</v>
          </cell>
          <cell r="J677" t="str">
            <v>–</v>
          </cell>
          <cell r="K677" t="str">
            <v>–</v>
          </cell>
          <cell r="L677" t="str">
            <v>–</v>
          </cell>
          <cell r="M677" t="str">
            <v>–</v>
          </cell>
          <cell r="N677" t="str">
            <v>–</v>
          </cell>
          <cell r="O677" t="str">
            <v>–</v>
          </cell>
          <cell r="P677">
            <v>4</v>
          </cell>
          <cell r="Q677" t="str">
            <v>–</v>
          </cell>
          <cell r="R677" t="str">
            <v>–</v>
          </cell>
          <cell r="S677" t="str">
            <v>–</v>
          </cell>
          <cell r="T677" t="str">
            <v>–</v>
          </cell>
          <cell r="U677" t="str">
            <v>–</v>
          </cell>
          <cell r="V677" t="str">
            <v>–</v>
          </cell>
          <cell r="W677">
            <v>0.625</v>
          </cell>
        </row>
        <row r="678">
          <cell r="B678" t="str">
            <v>2L8X4X5/8X3/8LLBB</v>
          </cell>
          <cell r="C678" t="str">
            <v>2L8X4X5/8X3/8LLBB</v>
          </cell>
          <cell r="D678" t="str">
            <v>F</v>
          </cell>
          <cell r="E678">
            <v>48.4</v>
          </cell>
          <cell r="F678">
            <v>14.3</v>
          </cell>
          <cell r="G678" t="str">
            <v>2L8X4X5/8X3/8LLBB</v>
          </cell>
          <cell r="H678">
            <v>8</v>
          </cell>
          <cell r="I678" t="str">
            <v>–</v>
          </cell>
          <cell r="J678" t="str">
            <v>–</v>
          </cell>
          <cell r="K678" t="str">
            <v>–</v>
          </cell>
          <cell r="L678" t="str">
            <v>–</v>
          </cell>
          <cell r="M678" t="str">
            <v>–</v>
          </cell>
          <cell r="N678" t="str">
            <v>–</v>
          </cell>
          <cell r="O678" t="str">
            <v>–</v>
          </cell>
          <cell r="P678">
            <v>4</v>
          </cell>
          <cell r="Q678" t="str">
            <v>–</v>
          </cell>
          <cell r="R678" t="str">
            <v>–</v>
          </cell>
          <cell r="S678" t="str">
            <v>–</v>
          </cell>
          <cell r="T678" t="str">
            <v>–</v>
          </cell>
          <cell r="U678" t="str">
            <v>–</v>
          </cell>
          <cell r="V678" t="str">
            <v>–</v>
          </cell>
          <cell r="W678">
            <v>0.625</v>
          </cell>
        </row>
        <row r="679">
          <cell r="B679" t="str">
            <v>2L8X4X5/8X3/4LLBB</v>
          </cell>
          <cell r="C679" t="str">
            <v>2L8X4X5/8X3/4LLBB</v>
          </cell>
          <cell r="D679" t="str">
            <v>F</v>
          </cell>
          <cell r="E679">
            <v>48.4</v>
          </cell>
          <cell r="F679">
            <v>14.3</v>
          </cell>
          <cell r="G679" t="str">
            <v>2L8X4X5/8X3/4LLBB</v>
          </cell>
          <cell r="H679">
            <v>8</v>
          </cell>
          <cell r="I679" t="str">
            <v>–</v>
          </cell>
          <cell r="J679" t="str">
            <v>–</v>
          </cell>
          <cell r="K679" t="str">
            <v>–</v>
          </cell>
          <cell r="L679" t="str">
            <v>–</v>
          </cell>
          <cell r="M679" t="str">
            <v>–</v>
          </cell>
          <cell r="N679" t="str">
            <v>–</v>
          </cell>
          <cell r="O679" t="str">
            <v>–</v>
          </cell>
          <cell r="P679">
            <v>4</v>
          </cell>
          <cell r="Q679" t="str">
            <v>–</v>
          </cell>
          <cell r="R679" t="str">
            <v>–</v>
          </cell>
          <cell r="S679" t="str">
            <v>–</v>
          </cell>
          <cell r="T679" t="str">
            <v>–</v>
          </cell>
          <cell r="U679" t="str">
            <v>–</v>
          </cell>
          <cell r="V679" t="str">
            <v>–</v>
          </cell>
          <cell r="W679">
            <v>0.625</v>
          </cell>
        </row>
        <row r="680">
          <cell r="B680" t="str">
            <v>2L8X4X9/16LLBB</v>
          </cell>
          <cell r="C680" t="str">
            <v>2L8X4X9/16LLBB</v>
          </cell>
          <cell r="D680" t="str">
            <v>F</v>
          </cell>
          <cell r="E680">
            <v>43.8</v>
          </cell>
          <cell r="F680">
            <v>13</v>
          </cell>
          <cell r="G680" t="str">
            <v>2L8X4X9/16LLBB</v>
          </cell>
          <cell r="H680">
            <v>8</v>
          </cell>
          <cell r="I680" t="str">
            <v>–</v>
          </cell>
          <cell r="J680" t="str">
            <v>–</v>
          </cell>
          <cell r="K680" t="str">
            <v>–</v>
          </cell>
          <cell r="L680" t="str">
            <v>–</v>
          </cell>
          <cell r="M680" t="str">
            <v>–</v>
          </cell>
          <cell r="N680" t="str">
            <v>–</v>
          </cell>
          <cell r="O680" t="str">
            <v>–</v>
          </cell>
          <cell r="P680">
            <v>4</v>
          </cell>
          <cell r="Q680" t="str">
            <v>–</v>
          </cell>
          <cell r="R680" t="str">
            <v>–</v>
          </cell>
          <cell r="S680" t="str">
            <v>–</v>
          </cell>
          <cell r="T680" t="str">
            <v>–</v>
          </cell>
          <cell r="U680" t="str">
            <v>–</v>
          </cell>
          <cell r="V680" t="str">
            <v>–</v>
          </cell>
          <cell r="W680">
            <v>0.56299999999999994</v>
          </cell>
        </row>
        <row r="681">
          <cell r="B681" t="str">
            <v>2L8X4X9/16X3/8LLBB</v>
          </cell>
          <cell r="C681" t="str">
            <v>2L8X4X9/16X3/8LLBB</v>
          </cell>
          <cell r="D681" t="str">
            <v>F</v>
          </cell>
          <cell r="E681">
            <v>43.8</v>
          </cell>
          <cell r="F681">
            <v>13</v>
          </cell>
          <cell r="G681" t="str">
            <v>2L8X4X9/16X3/8LLBB</v>
          </cell>
          <cell r="H681">
            <v>8</v>
          </cell>
          <cell r="I681" t="str">
            <v>–</v>
          </cell>
          <cell r="J681" t="str">
            <v>–</v>
          </cell>
          <cell r="K681" t="str">
            <v>–</v>
          </cell>
          <cell r="L681" t="str">
            <v>–</v>
          </cell>
          <cell r="M681" t="str">
            <v>–</v>
          </cell>
          <cell r="N681" t="str">
            <v>–</v>
          </cell>
          <cell r="O681" t="str">
            <v>–</v>
          </cell>
          <cell r="P681">
            <v>4</v>
          </cell>
          <cell r="Q681" t="str">
            <v>–</v>
          </cell>
          <cell r="R681" t="str">
            <v>–</v>
          </cell>
          <cell r="S681" t="str">
            <v>–</v>
          </cell>
          <cell r="T681" t="str">
            <v>–</v>
          </cell>
          <cell r="U681" t="str">
            <v>–</v>
          </cell>
          <cell r="V681" t="str">
            <v>–</v>
          </cell>
          <cell r="W681">
            <v>0.56299999999999994</v>
          </cell>
        </row>
        <row r="682">
          <cell r="B682" t="str">
            <v>2L8X4X9/16X3/4LLBB</v>
          </cell>
          <cell r="C682" t="str">
            <v>2L8X4X9/16X3/4LLBB</v>
          </cell>
          <cell r="D682" t="str">
            <v>F</v>
          </cell>
          <cell r="E682">
            <v>43.8</v>
          </cell>
          <cell r="F682">
            <v>13</v>
          </cell>
          <cell r="G682" t="str">
            <v>2L8X4X9/16X3/4LLBB</v>
          </cell>
          <cell r="H682">
            <v>8</v>
          </cell>
          <cell r="I682" t="str">
            <v>–</v>
          </cell>
          <cell r="J682" t="str">
            <v>–</v>
          </cell>
          <cell r="K682" t="str">
            <v>–</v>
          </cell>
          <cell r="L682" t="str">
            <v>–</v>
          </cell>
          <cell r="M682" t="str">
            <v>–</v>
          </cell>
          <cell r="N682" t="str">
            <v>–</v>
          </cell>
          <cell r="O682" t="str">
            <v>–</v>
          </cell>
          <cell r="P682">
            <v>4</v>
          </cell>
          <cell r="Q682" t="str">
            <v>–</v>
          </cell>
          <cell r="R682" t="str">
            <v>–</v>
          </cell>
          <cell r="S682" t="str">
            <v>–</v>
          </cell>
          <cell r="T682" t="str">
            <v>–</v>
          </cell>
          <cell r="U682" t="str">
            <v>–</v>
          </cell>
          <cell r="V682" t="str">
            <v>–</v>
          </cell>
          <cell r="W682">
            <v>0.56299999999999994</v>
          </cell>
        </row>
        <row r="683">
          <cell r="B683" t="str">
            <v>2L8X4X1/2LLBB</v>
          </cell>
          <cell r="C683" t="str">
            <v>2L8X4X1/2LLBB</v>
          </cell>
          <cell r="D683" t="str">
            <v>F</v>
          </cell>
          <cell r="E683">
            <v>39.200000000000003</v>
          </cell>
          <cell r="F683">
            <v>11.6</v>
          </cell>
          <cell r="G683" t="str">
            <v>2L8X4X1/2LLBB</v>
          </cell>
          <cell r="H683">
            <v>8</v>
          </cell>
          <cell r="I683" t="str">
            <v>–</v>
          </cell>
          <cell r="J683" t="str">
            <v>–</v>
          </cell>
          <cell r="K683" t="str">
            <v>–</v>
          </cell>
          <cell r="L683" t="str">
            <v>–</v>
          </cell>
          <cell r="M683" t="str">
            <v>–</v>
          </cell>
          <cell r="N683" t="str">
            <v>–</v>
          </cell>
          <cell r="O683" t="str">
            <v>–</v>
          </cell>
          <cell r="P683">
            <v>4</v>
          </cell>
          <cell r="Q683" t="str">
            <v>–</v>
          </cell>
          <cell r="R683" t="str">
            <v>–</v>
          </cell>
          <cell r="S683" t="str">
            <v>–</v>
          </cell>
          <cell r="T683" t="str">
            <v>–</v>
          </cell>
          <cell r="U683" t="str">
            <v>–</v>
          </cell>
          <cell r="V683" t="str">
            <v>–</v>
          </cell>
          <cell r="W683">
            <v>0.5</v>
          </cell>
        </row>
        <row r="684">
          <cell r="B684" t="str">
            <v>2L8X4X1/2X3/8LLBB</v>
          </cell>
          <cell r="C684" t="str">
            <v>2L8X4X1/2X3/8LLBB</v>
          </cell>
          <cell r="D684" t="str">
            <v>F</v>
          </cell>
          <cell r="E684">
            <v>39.200000000000003</v>
          </cell>
          <cell r="F684">
            <v>11.6</v>
          </cell>
          <cell r="G684" t="str">
            <v>2L8X4X1/2X3/8LLBB</v>
          </cell>
          <cell r="H684">
            <v>8</v>
          </cell>
          <cell r="I684" t="str">
            <v>–</v>
          </cell>
          <cell r="J684" t="str">
            <v>–</v>
          </cell>
          <cell r="K684" t="str">
            <v>–</v>
          </cell>
          <cell r="L684" t="str">
            <v>–</v>
          </cell>
          <cell r="M684" t="str">
            <v>–</v>
          </cell>
          <cell r="N684" t="str">
            <v>–</v>
          </cell>
          <cell r="O684" t="str">
            <v>–</v>
          </cell>
          <cell r="P684">
            <v>4</v>
          </cell>
          <cell r="Q684" t="str">
            <v>–</v>
          </cell>
          <cell r="R684" t="str">
            <v>–</v>
          </cell>
          <cell r="S684" t="str">
            <v>–</v>
          </cell>
          <cell r="T684" t="str">
            <v>–</v>
          </cell>
          <cell r="U684" t="str">
            <v>–</v>
          </cell>
          <cell r="V684" t="str">
            <v>–</v>
          </cell>
          <cell r="W684">
            <v>0.5</v>
          </cell>
        </row>
        <row r="685">
          <cell r="B685" t="str">
            <v>2L8X4X1/2X3/4LLBB</v>
          </cell>
          <cell r="C685" t="str">
            <v>2L8X4X1/2X3/4LLBB</v>
          </cell>
          <cell r="D685" t="str">
            <v>F</v>
          </cell>
          <cell r="E685">
            <v>39.200000000000003</v>
          </cell>
          <cell r="F685">
            <v>11.6</v>
          </cell>
          <cell r="G685" t="str">
            <v>2L8X4X1/2X3/4LLBB</v>
          </cell>
          <cell r="H685">
            <v>8</v>
          </cell>
          <cell r="I685" t="str">
            <v>–</v>
          </cell>
          <cell r="J685" t="str">
            <v>–</v>
          </cell>
          <cell r="K685" t="str">
            <v>–</v>
          </cell>
          <cell r="L685" t="str">
            <v>–</v>
          </cell>
          <cell r="M685" t="str">
            <v>–</v>
          </cell>
          <cell r="N685" t="str">
            <v>–</v>
          </cell>
          <cell r="O685" t="str">
            <v>–</v>
          </cell>
          <cell r="P685">
            <v>4</v>
          </cell>
          <cell r="Q685" t="str">
            <v>–</v>
          </cell>
          <cell r="R685" t="str">
            <v>–</v>
          </cell>
          <cell r="S685" t="str">
            <v>–</v>
          </cell>
          <cell r="T685" t="str">
            <v>–</v>
          </cell>
          <cell r="U685" t="str">
            <v>–</v>
          </cell>
          <cell r="V685" t="str">
            <v>–</v>
          </cell>
          <cell r="W685">
            <v>0.5</v>
          </cell>
        </row>
        <row r="686">
          <cell r="B686" t="str">
            <v>2L8X4X7/16LLBB</v>
          </cell>
          <cell r="C686" t="str">
            <v>2L8X4X7/16LLBB</v>
          </cell>
          <cell r="D686" t="str">
            <v>F</v>
          </cell>
          <cell r="E686">
            <v>34.4</v>
          </cell>
          <cell r="F686">
            <v>10.199999999999999</v>
          </cell>
          <cell r="G686" t="str">
            <v>2L8X4X7/16LLBB</v>
          </cell>
          <cell r="H686">
            <v>8</v>
          </cell>
          <cell r="I686" t="str">
            <v>–</v>
          </cell>
          <cell r="J686" t="str">
            <v>–</v>
          </cell>
          <cell r="K686" t="str">
            <v>–</v>
          </cell>
          <cell r="L686" t="str">
            <v>–</v>
          </cell>
          <cell r="M686" t="str">
            <v>–</v>
          </cell>
          <cell r="N686" t="str">
            <v>–</v>
          </cell>
          <cell r="O686" t="str">
            <v>–</v>
          </cell>
          <cell r="P686">
            <v>4</v>
          </cell>
          <cell r="Q686" t="str">
            <v>–</v>
          </cell>
          <cell r="R686" t="str">
            <v>–</v>
          </cell>
          <cell r="S686" t="str">
            <v>–</v>
          </cell>
          <cell r="T686" t="str">
            <v>–</v>
          </cell>
          <cell r="U686" t="str">
            <v>–</v>
          </cell>
          <cell r="V686" t="str">
            <v>–</v>
          </cell>
          <cell r="W686">
            <v>0.438</v>
          </cell>
        </row>
        <row r="687">
          <cell r="B687" t="str">
            <v>2L8X4X7/16X3/8LLBB</v>
          </cell>
          <cell r="C687" t="str">
            <v>2L8X4X7/16X3/8LLBB</v>
          </cell>
          <cell r="D687" t="str">
            <v>F</v>
          </cell>
          <cell r="E687">
            <v>34.4</v>
          </cell>
          <cell r="F687">
            <v>10.199999999999999</v>
          </cell>
          <cell r="G687" t="str">
            <v>2L8X4X7/16X3/8LLBB</v>
          </cell>
          <cell r="H687">
            <v>8</v>
          </cell>
          <cell r="I687" t="str">
            <v>–</v>
          </cell>
          <cell r="J687" t="str">
            <v>–</v>
          </cell>
          <cell r="K687" t="str">
            <v>–</v>
          </cell>
          <cell r="L687" t="str">
            <v>–</v>
          </cell>
          <cell r="M687" t="str">
            <v>–</v>
          </cell>
          <cell r="N687" t="str">
            <v>–</v>
          </cell>
          <cell r="O687" t="str">
            <v>–</v>
          </cell>
          <cell r="P687">
            <v>4</v>
          </cell>
          <cell r="Q687" t="str">
            <v>–</v>
          </cell>
          <cell r="R687" t="str">
            <v>–</v>
          </cell>
          <cell r="S687" t="str">
            <v>–</v>
          </cell>
          <cell r="T687" t="str">
            <v>–</v>
          </cell>
          <cell r="U687" t="str">
            <v>–</v>
          </cell>
          <cell r="V687" t="str">
            <v>–</v>
          </cell>
          <cell r="W687">
            <v>0.438</v>
          </cell>
        </row>
        <row r="688">
          <cell r="B688" t="str">
            <v>2L8X4X7/16X3/4LLBB</v>
          </cell>
          <cell r="C688" t="str">
            <v>2L8X4X7/16X3/4LLBB</v>
          </cell>
          <cell r="D688" t="str">
            <v>F</v>
          </cell>
          <cell r="E688">
            <v>34.4</v>
          </cell>
          <cell r="F688">
            <v>10.199999999999999</v>
          </cell>
          <cell r="G688" t="str">
            <v>2L8X4X7/16X3/4LLBB</v>
          </cell>
          <cell r="H688">
            <v>8</v>
          </cell>
          <cell r="I688" t="str">
            <v>–</v>
          </cell>
          <cell r="J688" t="str">
            <v>–</v>
          </cell>
          <cell r="K688" t="str">
            <v>–</v>
          </cell>
          <cell r="L688" t="str">
            <v>–</v>
          </cell>
          <cell r="M688" t="str">
            <v>–</v>
          </cell>
          <cell r="N688" t="str">
            <v>–</v>
          </cell>
          <cell r="O688" t="str">
            <v>–</v>
          </cell>
          <cell r="P688">
            <v>4</v>
          </cell>
          <cell r="Q688" t="str">
            <v>–</v>
          </cell>
          <cell r="R688" t="str">
            <v>–</v>
          </cell>
          <cell r="S688" t="str">
            <v>–</v>
          </cell>
          <cell r="T688" t="str">
            <v>–</v>
          </cell>
          <cell r="U688" t="str">
            <v>–</v>
          </cell>
          <cell r="V688" t="str">
            <v>–</v>
          </cell>
          <cell r="W688">
            <v>0.438</v>
          </cell>
        </row>
        <row r="689">
          <cell r="B689" t="str">
            <v>2L7X4X3/4LLBB</v>
          </cell>
          <cell r="C689" t="str">
            <v>2L7X4X3/4LLBB</v>
          </cell>
          <cell r="D689" t="str">
            <v>F</v>
          </cell>
          <cell r="E689">
            <v>52.4</v>
          </cell>
          <cell r="F689">
            <v>15.5</v>
          </cell>
          <cell r="G689" t="str">
            <v>2L7X4X3/4LLBB</v>
          </cell>
          <cell r="H689">
            <v>7</v>
          </cell>
          <cell r="I689" t="str">
            <v>–</v>
          </cell>
          <cell r="J689" t="str">
            <v>–</v>
          </cell>
          <cell r="K689" t="str">
            <v>–</v>
          </cell>
          <cell r="L689" t="str">
            <v>–</v>
          </cell>
          <cell r="M689" t="str">
            <v>–</v>
          </cell>
          <cell r="N689" t="str">
            <v>–</v>
          </cell>
          <cell r="O689" t="str">
            <v>–</v>
          </cell>
          <cell r="P689">
            <v>4</v>
          </cell>
          <cell r="Q689" t="str">
            <v>–</v>
          </cell>
          <cell r="R689" t="str">
            <v>–</v>
          </cell>
          <cell r="S689" t="str">
            <v>–</v>
          </cell>
          <cell r="T689" t="str">
            <v>–</v>
          </cell>
          <cell r="U689" t="str">
            <v>–</v>
          </cell>
          <cell r="V689" t="str">
            <v>–</v>
          </cell>
          <cell r="W689">
            <v>0.75</v>
          </cell>
        </row>
        <row r="690">
          <cell r="B690" t="str">
            <v>2L7X4X3/4X3/8LLBB</v>
          </cell>
          <cell r="C690" t="str">
            <v>2L7X4X3/4X3/8LLBB</v>
          </cell>
          <cell r="D690" t="str">
            <v>F</v>
          </cell>
          <cell r="E690">
            <v>52.4</v>
          </cell>
          <cell r="F690">
            <v>15.5</v>
          </cell>
          <cell r="G690" t="str">
            <v>2L7X4X3/4X3/8LLBB</v>
          </cell>
          <cell r="H690">
            <v>7</v>
          </cell>
          <cell r="I690" t="str">
            <v>–</v>
          </cell>
          <cell r="J690" t="str">
            <v>–</v>
          </cell>
          <cell r="K690" t="str">
            <v>–</v>
          </cell>
          <cell r="L690" t="str">
            <v>–</v>
          </cell>
          <cell r="M690" t="str">
            <v>–</v>
          </cell>
          <cell r="N690" t="str">
            <v>–</v>
          </cell>
          <cell r="O690" t="str">
            <v>–</v>
          </cell>
          <cell r="P690">
            <v>4</v>
          </cell>
          <cell r="Q690" t="str">
            <v>–</v>
          </cell>
          <cell r="R690" t="str">
            <v>–</v>
          </cell>
          <cell r="S690" t="str">
            <v>–</v>
          </cell>
          <cell r="T690" t="str">
            <v>–</v>
          </cell>
          <cell r="U690" t="str">
            <v>–</v>
          </cell>
          <cell r="V690" t="str">
            <v>–</v>
          </cell>
          <cell r="W690">
            <v>0.75</v>
          </cell>
        </row>
        <row r="691">
          <cell r="B691" t="str">
            <v>2L7X4X3/4X3/4LLBB</v>
          </cell>
          <cell r="C691" t="str">
            <v>2L7X4X3/4X3/4LLBB</v>
          </cell>
          <cell r="D691" t="str">
            <v>F</v>
          </cell>
          <cell r="E691">
            <v>52.4</v>
          </cell>
          <cell r="F691">
            <v>15.5</v>
          </cell>
          <cell r="G691" t="str">
            <v>2L7X4X3/4X3/4LLBB</v>
          </cell>
          <cell r="H691">
            <v>7</v>
          </cell>
          <cell r="I691" t="str">
            <v>–</v>
          </cell>
          <cell r="J691" t="str">
            <v>–</v>
          </cell>
          <cell r="K691" t="str">
            <v>–</v>
          </cell>
          <cell r="L691" t="str">
            <v>–</v>
          </cell>
          <cell r="M691" t="str">
            <v>–</v>
          </cell>
          <cell r="N691" t="str">
            <v>–</v>
          </cell>
          <cell r="O691" t="str">
            <v>–</v>
          </cell>
          <cell r="P691">
            <v>4</v>
          </cell>
          <cell r="Q691" t="str">
            <v>–</v>
          </cell>
          <cell r="R691" t="str">
            <v>–</v>
          </cell>
          <cell r="S691" t="str">
            <v>–</v>
          </cell>
          <cell r="T691" t="str">
            <v>–</v>
          </cell>
          <cell r="U691" t="str">
            <v>–</v>
          </cell>
          <cell r="V691" t="str">
            <v>–</v>
          </cell>
          <cell r="W691">
            <v>0.75</v>
          </cell>
        </row>
        <row r="692">
          <cell r="B692" t="str">
            <v>2L7X4X5/8LLBB</v>
          </cell>
          <cell r="C692" t="str">
            <v>2L7X4X5/8LLBB</v>
          </cell>
          <cell r="D692" t="str">
            <v>F</v>
          </cell>
          <cell r="E692">
            <v>44.2</v>
          </cell>
          <cell r="F692">
            <v>13</v>
          </cell>
          <cell r="G692" t="str">
            <v>2L7X4X5/8LLBB</v>
          </cell>
          <cell r="H692">
            <v>7</v>
          </cell>
          <cell r="I692" t="str">
            <v>–</v>
          </cell>
          <cell r="J692" t="str">
            <v>–</v>
          </cell>
          <cell r="K692" t="str">
            <v>–</v>
          </cell>
          <cell r="L692" t="str">
            <v>–</v>
          </cell>
          <cell r="M692" t="str">
            <v>–</v>
          </cell>
          <cell r="N692" t="str">
            <v>–</v>
          </cell>
          <cell r="O692" t="str">
            <v>–</v>
          </cell>
          <cell r="P692">
            <v>4</v>
          </cell>
          <cell r="Q692" t="str">
            <v>–</v>
          </cell>
          <cell r="R692" t="str">
            <v>–</v>
          </cell>
          <cell r="S692" t="str">
            <v>–</v>
          </cell>
          <cell r="T692" t="str">
            <v>–</v>
          </cell>
          <cell r="U692" t="str">
            <v>–</v>
          </cell>
          <cell r="V692" t="str">
            <v>–</v>
          </cell>
          <cell r="W692">
            <v>0.625</v>
          </cell>
        </row>
        <row r="693">
          <cell r="B693" t="str">
            <v>2L7X4X5/8X3/8LLBB</v>
          </cell>
          <cell r="C693" t="str">
            <v>2L7X4X5/8X3/8LLBB</v>
          </cell>
          <cell r="D693" t="str">
            <v>F</v>
          </cell>
          <cell r="E693">
            <v>44.2</v>
          </cell>
          <cell r="F693">
            <v>13</v>
          </cell>
          <cell r="G693" t="str">
            <v>2L7X4X5/8X3/8LLBB</v>
          </cell>
          <cell r="H693">
            <v>7</v>
          </cell>
          <cell r="I693" t="str">
            <v>–</v>
          </cell>
          <cell r="J693" t="str">
            <v>–</v>
          </cell>
          <cell r="K693" t="str">
            <v>–</v>
          </cell>
          <cell r="L693" t="str">
            <v>–</v>
          </cell>
          <cell r="M693" t="str">
            <v>–</v>
          </cell>
          <cell r="N693" t="str">
            <v>–</v>
          </cell>
          <cell r="O693" t="str">
            <v>–</v>
          </cell>
          <cell r="P693">
            <v>4</v>
          </cell>
          <cell r="Q693" t="str">
            <v>–</v>
          </cell>
          <cell r="R693" t="str">
            <v>–</v>
          </cell>
          <cell r="S693" t="str">
            <v>–</v>
          </cell>
          <cell r="T693" t="str">
            <v>–</v>
          </cell>
          <cell r="U693" t="str">
            <v>–</v>
          </cell>
          <cell r="V693" t="str">
            <v>–</v>
          </cell>
          <cell r="W693">
            <v>0.625</v>
          </cell>
        </row>
        <row r="694">
          <cell r="B694" t="str">
            <v>2L7X4X5/8X3/4LLBB</v>
          </cell>
          <cell r="C694" t="str">
            <v>2L7X4X5/8X3/4LLBB</v>
          </cell>
          <cell r="D694" t="str">
            <v>F</v>
          </cell>
          <cell r="E694">
            <v>44.2</v>
          </cell>
          <cell r="F694">
            <v>13</v>
          </cell>
          <cell r="G694" t="str">
            <v>2L7X4X5/8X3/4LLBB</v>
          </cell>
          <cell r="H694">
            <v>7</v>
          </cell>
          <cell r="I694" t="str">
            <v>–</v>
          </cell>
          <cell r="J694" t="str">
            <v>–</v>
          </cell>
          <cell r="K694" t="str">
            <v>–</v>
          </cell>
          <cell r="L694" t="str">
            <v>–</v>
          </cell>
          <cell r="M694" t="str">
            <v>–</v>
          </cell>
          <cell r="N694" t="str">
            <v>–</v>
          </cell>
          <cell r="O694" t="str">
            <v>–</v>
          </cell>
          <cell r="P694">
            <v>4</v>
          </cell>
          <cell r="Q694" t="str">
            <v>–</v>
          </cell>
          <cell r="R694" t="str">
            <v>–</v>
          </cell>
          <cell r="S694" t="str">
            <v>–</v>
          </cell>
          <cell r="T694" t="str">
            <v>–</v>
          </cell>
          <cell r="U694" t="str">
            <v>–</v>
          </cell>
          <cell r="V694" t="str">
            <v>–</v>
          </cell>
          <cell r="W694">
            <v>0.625</v>
          </cell>
        </row>
        <row r="695">
          <cell r="B695" t="str">
            <v>2L7X4X1/2LLBB</v>
          </cell>
          <cell r="C695" t="str">
            <v>2L7X4X1/2LLBB</v>
          </cell>
          <cell r="D695" t="str">
            <v>F</v>
          </cell>
          <cell r="E695">
            <v>35.799999999999997</v>
          </cell>
          <cell r="F695">
            <v>10.5</v>
          </cell>
          <cell r="G695" t="str">
            <v>2L7X4X1/2LLBB</v>
          </cell>
          <cell r="H695">
            <v>7</v>
          </cell>
          <cell r="I695" t="str">
            <v>–</v>
          </cell>
          <cell r="J695" t="str">
            <v>–</v>
          </cell>
          <cell r="K695" t="str">
            <v>–</v>
          </cell>
          <cell r="L695" t="str">
            <v>–</v>
          </cell>
          <cell r="M695" t="str">
            <v>–</v>
          </cell>
          <cell r="N695" t="str">
            <v>–</v>
          </cell>
          <cell r="O695" t="str">
            <v>–</v>
          </cell>
          <cell r="P695">
            <v>4</v>
          </cell>
          <cell r="Q695" t="str">
            <v>–</v>
          </cell>
          <cell r="R695" t="str">
            <v>–</v>
          </cell>
          <cell r="S695" t="str">
            <v>–</v>
          </cell>
          <cell r="T695" t="str">
            <v>–</v>
          </cell>
          <cell r="U695" t="str">
            <v>–</v>
          </cell>
          <cell r="V695" t="str">
            <v>–</v>
          </cell>
          <cell r="W695">
            <v>0.5</v>
          </cell>
        </row>
        <row r="696">
          <cell r="B696" t="str">
            <v>2L7X4X1/2X3/8LLBB</v>
          </cell>
          <cell r="C696" t="str">
            <v>2L7X4X1/2X3/8LLBB</v>
          </cell>
          <cell r="D696" t="str">
            <v>F</v>
          </cell>
          <cell r="E696">
            <v>35.799999999999997</v>
          </cell>
          <cell r="F696">
            <v>10.5</v>
          </cell>
          <cell r="G696" t="str">
            <v>2L7X4X1/2X3/8LLBB</v>
          </cell>
          <cell r="H696">
            <v>7</v>
          </cell>
          <cell r="I696" t="str">
            <v>–</v>
          </cell>
          <cell r="J696" t="str">
            <v>–</v>
          </cell>
          <cell r="K696" t="str">
            <v>–</v>
          </cell>
          <cell r="L696" t="str">
            <v>–</v>
          </cell>
          <cell r="M696" t="str">
            <v>–</v>
          </cell>
          <cell r="N696" t="str">
            <v>–</v>
          </cell>
          <cell r="O696" t="str">
            <v>–</v>
          </cell>
          <cell r="P696">
            <v>4</v>
          </cell>
          <cell r="Q696" t="str">
            <v>–</v>
          </cell>
          <cell r="R696" t="str">
            <v>–</v>
          </cell>
          <cell r="S696" t="str">
            <v>–</v>
          </cell>
          <cell r="T696" t="str">
            <v>–</v>
          </cell>
          <cell r="U696" t="str">
            <v>–</v>
          </cell>
          <cell r="V696" t="str">
            <v>–</v>
          </cell>
          <cell r="W696">
            <v>0.5</v>
          </cell>
        </row>
        <row r="697">
          <cell r="B697" t="str">
            <v>2L7X4X1/2X3/4LLBB</v>
          </cell>
          <cell r="C697" t="str">
            <v>2L7X4X1/2X3/4LLBB</v>
          </cell>
          <cell r="D697" t="str">
            <v>F</v>
          </cell>
          <cell r="E697">
            <v>35.799999999999997</v>
          </cell>
          <cell r="F697">
            <v>10.5</v>
          </cell>
          <cell r="G697" t="str">
            <v>2L7X4X1/2X3/4LLBB</v>
          </cell>
          <cell r="H697">
            <v>7</v>
          </cell>
          <cell r="I697" t="str">
            <v>–</v>
          </cell>
          <cell r="J697" t="str">
            <v>–</v>
          </cell>
          <cell r="K697" t="str">
            <v>–</v>
          </cell>
          <cell r="L697" t="str">
            <v>–</v>
          </cell>
          <cell r="M697" t="str">
            <v>–</v>
          </cell>
          <cell r="N697" t="str">
            <v>–</v>
          </cell>
          <cell r="O697" t="str">
            <v>–</v>
          </cell>
          <cell r="P697">
            <v>4</v>
          </cell>
          <cell r="Q697" t="str">
            <v>–</v>
          </cell>
          <cell r="R697" t="str">
            <v>–</v>
          </cell>
          <cell r="S697" t="str">
            <v>–</v>
          </cell>
          <cell r="T697" t="str">
            <v>–</v>
          </cell>
          <cell r="U697" t="str">
            <v>–</v>
          </cell>
          <cell r="V697" t="str">
            <v>–</v>
          </cell>
          <cell r="W697">
            <v>0.5</v>
          </cell>
        </row>
        <row r="698">
          <cell r="B698" t="str">
            <v>2L7X4X7/16LLBB</v>
          </cell>
          <cell r="C698" t="str">
            <v>2L7X4X7/16LLBB</v>
          </cell>
          <cell r="D698" t="str">
            <v>F</v>
          </cell>
          <cell r="E698">
            <v>31.4</v>
          </cell>
          <cell r="F698">
            <v>9.26</v>
          </cell>
          <cell r="G698" t="str">
            <v>2L7X4X7/16LLBB</v>
          </cell>
          <cell r="H698">
            <v>7</v>
          </cell>
          <cell r="I698" t="str">
            <v>–</v>
          </cell>
          <cell r="J698" t="str">
            <v>–</v>
          </cell>
          <cell r="K698" t="str">
            <v>–</v>
          </cell>
          <cell r="L698" t="str">
            <v>–</v>
          </cell>
          <cell r="M698" t="str">
            <v>–</v>
          </cell>
          <cell r="N698" t="str">
            <v>–</v>
          </cell>
          <cell r="O698" t="str">
            <v>–</v>
          </cell>
          <cell r="P698">
            <v>4</v>
          </cell>
          <cell r="Q698" t="str">
            <v>–</v>
          </cell>
          <cell r="R698" t="str">
            <v>–</v>
          </cell>
          <cell r="S698" t="str">
            <v>–</v>
          </cell>
          <cell r="T698" t="str">
            <v>–</v>
          </cell>
          <cell r="U698" t="str">
            <v>–</v>
          </cell>
          <cell r="V698" t="str">
            <v>–</v>
          </cell>
          <cell r="W698">
            <v>0.438</v>
          </cell>
        </row>
        <row r="699">
          <cell r="B699" t="str">
            <v>2L7X4X7/16X3/8LLBB</v>
          </cell>
          <cell r="C699" t="str">
            <v>2L7X4X7/16X3/8LLBB</v>
          </cell>
          <cell r="D699" t="str">
            <v>F</v>
          </cell>
          <cell r="E699">
            <v>31.4</v>
          </cell>
          <cell r="F699">
            <v>9.26</v>
          </cell>
          <cell r="G699" t="str">
            <v>2L7X4X7/16X3/8LLBB</v>
          </cell>
          <cell r="H699">
            <v>7</v>
          </cell>
          <cell r="I699" t="str">
            <v>–</v>
          </cell>
          <cell r="J699" t="str">
            <v>–</v>
          </cell>
          <cell r="K699" t="str">
            <v>–</v>
          </cell>
          <cell r="L699" t="str">
            <v>–</v>
          </cell>
          <cell r="M699" t="str">
            <v>–</v>
          </cell>
          <cell r="N699" t="str">
            <v>–</v>
          </cell>
          <cell r="O699" t="str">
            <v>–</v>
          </cell>
          <cell r="P699">
            <v>4</v>
          </cell>
          <cell r="Q699" t="str">
            <v>–</v>
          </cell>
          <cell r="R699" t="str">
            <v>–</v>
          </cell>
          <cell r="S699" t="str">
            <v>–</v>
          </cell>
          <cell r="T699" t="str">
            <v>–</v>
          </cell>
          <cell r="U699" t="str">
            <v>–</v>
          </cell>
          <cell r="V699" t="str">
            <v>–</v>
          </cell>
          <cell r="W699">
            <v>0.438</v>
          </cell>
        </row>
        <row r="700">
          <cell r="B700" t="str">
            <v>2L7X4X7/16X3/4LLBB</v>
          </cell>
          <cell r="C700" t="str">
            <v>2L7X4X7/16X3/4LLBB</v>
          </cell>
          <cell r="D700" t="str">
            <v>F</v>
          </cell>
          <cell r="E700">
            <v>31.4</v>
          </cell>
          <cell r="F700">
            <v>9.26</v>
          </cell>
          <cell r="G700" t="str">
            <v>2L7X4X7/16X3/4LLBB</v>
          </cell>
          <cell r="H700">
            <v>7</v>
          </cell>
          <cell r="I700" t="str">
            <v>–</v>
          </cell>
          <cell r="J700" t="str">
            <v>–</v>
          </cell>
          <cell r="K700" t="str">
            <v>–</v>
          </cell>
          <cell r="L700" t="str">
            <v>–</v>
          </cell>
          <cell r="M700" t="str">
            <v>–</v>
          </cell>
          <cell r="N700" t="str">
            <v>–</v>
          </cell>
          <cell r="O700" t="str">
            <v>–</v>
          </cell>
          <cell r="P700">
            <v>4</v>
          </cell>
          <cell r="Q700" t="str">
            <v>–</v>
          </cell>
          <cell r="R700" t="str">
            <v>–</v>
          </cell>
          <cell r="S700" t="str">
            <v>–</v>
          </cell>
          <cell r="T700" t="str">
            <v>–</v>
          </cell>
          <cell r="U700" t="str">
            <v>–</v>
          </cell>
          <cell r="V700" t="str">
            <v>–</v>
          </cell>
          <cell r="W700">
            <v>0.438</v>
          </cell>
        </row>
        <row r="701">
          <cell r="B701" t="str">
            <v>2L7X4X3/8LLBB</v>
          </cell>
          <cell r="C701" t="str">
            <v>2L7X4X3/8LLBB</v>
          </cell>
          <cell r="D701" t="str">
            <v>F</v>
          </cell>
          <cell r="E701">
            <v>27.2</v>
          </cell>
          <cell r="F701">
            <v>8</v>
          </cell>
          <cell r="G701" t="str">
            <v>2L7X4X3/8LLBB</v>
          </cell>
          <cell r="H701">
            <v>7</v>
          </cell>
          <cell r="I701" t="str">
            <v>–</v>
          </cell>
          <cell r="J701" t="str">
            <v>–</v>
          </cell>
          <cell r="K701" t="str">
            <v>–</v>
          </cell>
          <cell r="L701" t="str">
            <v>–</v>
          </cell>
          <cell r="M701" t="str">
            <v>–</v>
          </cell>
          <cell r="N701" t="str">
            <v>–</v>
          </cell>
          <cell r="O701" t="str">
            <v>–</v>
          </cell>
          <cell r="P701">
            <v>4</v>
          </cell>
          <cell r="Q701" t="str">
            <v>–</v>
          </cell>
          <cell r="R701" t="str">
            <v>–</v>
          </cell>
          <cell r="S701" t="str">
            <v>–</v>
          </cell>
          <cell r="T701" t="str">
            <v>–</v>
          </cell>
          <cell r="U701" t="str">
            <v>–</v>
          </cell>
          <cell r="V701" t="str">
            <v>–</v>
          </cell>
          <cell r="W701">
            <v>0.375</v>
          </cell>
        </row>
        <row r="702">
          <cell r="B702" t="str">
            <v>2L7X4X3/8X3/8LLBB</v>
          </cell>
          <cell r="C702" t="str">
            <v>2L7X4X3/8X3/8LLBB</v>
          </cell>
          <cell r="D702" t="str">
            <v>F</v>
          </cell>
          <cell r="E702">
            <v>27.2</v>
          </cell>
          <cell r="F702">
            <v>8</v>
          </cell>
          <cell r="G702" t="str">
            <v>2L7X4X3/8X3/8LLBB</v>
          </cell>
          <cell r="H702">
            <v>7</v>
          </cell>
          <cell r="I702" t="str">
            <v>–</v>
          </cell>
          <cell r="J702" t="str">
            <v>–</v>
          </cell>
          <cell r="K702" t="str">
            <v>–</v>
          </cell>
          <cell r="L702" t="str">
            <v>–</v>
          </cell>
          <cell r="M702" t="str">
            <v>–</v>
          </cell>
          <cell r="N702" t="str">
            <v>–</v>
          </cell>
          <cell r="O702" t="str">
            <v>–</v>
          </cell>
          <cell r="P702">
            <v>4</v>
          </cell>
          <cell r="Q702" t="str">
            <v>–</v>
          </cell>
          <cell r="R702" t="str">
            <v>–</v>
          </cell>
          <cell r="S702" t="str">
            <v>–</v>
          </cell>
          <cell r="T702" t="str">
            <v>–</v>
          </cell>
          <cell r="U702" t="str">
            <v>–</v>
          </cell>
          <cell r="V702" t="str">
            <v>–</v>
          </cell>
          <cell r="W702">
            <v>0.375</v>
          </cell>
        </row>
        <row r="703">
          <cell r="B703" t="str">
            <v>2L7X4X3/8X3/4LLBB</v>
          </cell>
          <cell r="C703" t="str">
            <v>2L7X4X3/8X3/4LLBB</v>
          </cell>
          <cell r="D703" t="str">
            <v>F</v>
          </cell>
          <cell r="E703">
            <v>27.2</v>
          </cell>
          <cell r="F703">
            <v>8</v>
          </cell>
          <cell r="G703" t="str">
            <v>2L7X4X3/8X3/4LLBB</v>
          </cell>
          <cell r="H703">
            <v>7</v>
          </cell>
          <cell r="I703" t="str">
            <v>–</v>
          </cell>
          <cell r="J703" t="str">
            <v>–</v>
          </cell>
          <cell r="K703" t="str">
            <v>–</v>
          </cell>
          <cell r="L703" t="str">
            <v>–</v>
          </cell>
          <cell r="M703" t="str">
            <v>–</v>
          </cell>
          <cell r="N703" t="str">
            <v>–</v>
          </cell>
          <cell r="O703" t="str">
            <v>–</v>
          </cell>
          <cell r="P703">
            <v>4</v>
          </cell>
          <cell r="Q703" t="str">
            <v>–</v>
          </cell>
          <cell r="R703" t="str">
            <v>–</v>
          </cell>
          <cell r="S703" t="str">
            <v>–</v>
          </cell>
          <cell r="T703" t="str">
            <v>–</v>
          </cell>
          <cell r="U703" t="str">
            <v>–</v>
          </cell>
          <cell r="V703" t="str">
            <v>–</v>
          </cell>
          <cell r="W703">
            <v>0.375</v>
          </cell>
        </row>
        <row r="704">
          <cell r="B704" t="str">
            <v>2L6X4X7/8LLBB</v>
          </cell>
          <cell r="C704" t="str">
            <v>2L6X4X7/8LLBB</v>
          </cell>
          <cell r="D704" t="str">
            <v>F</v>
          </cell>
          <cell r="E704">
            <v>54.4</v>
          </cell>
          <cell r="F704">
            <v>16</v>
          </cell>
          <cell r="G704" t="str">
            <v>2L6X4X7/8LLBB</v>
          </cell>
          <cell r="H704">
            <v>6</v>
          </cell>
          <cell r="I704" t="str">
            <v>–</v>
          </cell>
          <cell r="J704" t="str">
            <v>–</v>
          </cell>
          <cell r="K704" t="str">
            <v>–</v>
          </cell>
          <cell r="L704" t="str">
            <v>–</v>
          </cell>
          <cell r="M704" t="str">
            <v>–</v>
          </cell>
          <cell r="N704" t="str">
            <v>–</v>
          </cell>
          <cell r="O704" t="str">
            <v>–</v>
          </cell>
          <cell r="P704">
            <v>4</v>
          </cell>
          <cell r="Q704" t="str">
            <v>–</v>
          </cell>
          <cell r="R704" t="str">
            <v>–</v>
          </cell>
          <cell r="S704" t="str">
            <v>–</v>
          </cell>
          <cell r="T704" t="str">
            <v>–</v>
          </cell>
          <cell r="U704" t="str">
            <v>–</v>
          </cell>
          <cell r="V704" t="str">
            <v>–</v>
          </cell>
          <cell r="W704">
            <v>0.875</v>
          </cell>
        </row>
        <row r="705">
          <cell r="B705" t="str">
            <v>2L6X4X7/8X3/8LLBB</v>
          </cell>
          <cell r="C705" t="str">
            <v>2L6X4X7/8X3/8LLBB</v>
          </cell>
          <cell r="D705" t="str">
            <v>F</v>
          </cell>
          <cell r="E705">
            <v>54.4</v>
          </cell>
          <cell r="F705">
            <v>16</v>
          </cell>
          <cell r="G705" t="str">
            <v>2L6X4X7/8X3/8LLBB</v>
          </cell>
          <cell r="H705">
            <v>6</v>
          </cell>
          <cell r="I705" t="str">
            <v>–</v>
          </cell>
          <cell r="J705" t="str">
            <v>–</v>
          </cell>
          <cell r="K705" t="str">
            <v>–</v>
          </cell>
          <cell r="L705" t="str">
            <v>–</v>
          </cell>
          <cell r="M705" t="str">
            <v>–</v>
          </cell>
          <cell r="N705" t="str">
            <v>–</v>
          </cell>
          <cell r="O705" t="str">
            <v>–</v>
          </cell>
          <cell r="P705">
            <v>4</v>
          </cell>
          <cell r="Q705" t="str">
            <v>–</v>
          </cell>
          <cell r="R705" t="str">
            <v>–</v>
          </cell>
          <cell r="S705" t="str">
            <v>–</v>
          </cell>
          <cell r="T705" t="str">
            <v>–</v>
          </cell>
          <cell r="U705" t="str">
            <v>–</v>
          </cell>
          <cell r="V705" t="str">
            <v>–</v>
          </cell>
          <cell r="W705">
            <v>0.875</v>
          </cell>
        </row>
        <row r="706">
          <cell r="B706" t="str">
            <v>2L6X4X7/8X3/4LLBB</v>
          </cell>
          <cell r="C706" t="str">
            <v>2L6X4X7/8X3/4LLBB</v>
          </cell>
          <cell r="D706" t="str">
            <v>F</v>
          </cell>
          <cell r="E706">
            <v>54.4</v>
          </cell>
          <cell r="F706">
            <v>16</v>
          </cell>
          <cell r="G706" t="str">
            <v>2L6X4X7/8X3/4LLBB</v>
          </cell>
          <cell r="H706">
            <v>6</v>
          </cell>
          <cell r="I706" t="str">
            <v>–</v>
          </cell>
          <cell r="J706" t="str">
            <v>–</v>
          </cell>
          <cell r="K706" t="str">
            <v>–</v>
          </cell>
          <cell r="L706" t="str">
            <v>–</v>
          </cell>
          <cell r="M706" t="str">
            <v>–</v>
          </cell>
          <cell r="N706" t="str">
            <v>–</v>
          </cell>
          <cell r="O706" t="str">
            <v>–</v>
          </cell>
          <cell r="P706">
            <v>4</v>
          </cell>
          <cell r="Q706" t="str">
            <v>–</v>
          </cell>
          <cell r="R706" t="str">
            <v>–</v>
          </cell>
          <cell r="S706" t="str">
            <v>–</v>
          </cell>
          <cell r="T706" t="str">
            <v>–</v>
          </cell>
          <cell r="U706" t="str">
            <v>–</v>
          </cell>
          <cell r="V706" t="str">
            <v>–</v>
          </cell>
          <cell r="W706">
            <v>0.875</v>
          </cell>
        </row>
        <row r="707">
          <cell r="B707" t="str">
            <v>2L6X4X3/4LLBB</v>
          </cell>
          <cell r="C707" t="str">
            <v>2L6X4X3/4LLBB</v>
          </cell>
          <cell r="D707" t="str">
            <v>F</v>
          </cell>
          <cell r="E707">
            <v>47.2</v>
          </cell>
          <cell r="F707">
            <v>13.9</v>
          </cell>
          <cell r="G707" t="str">
            <v>2L6X4X3/4LLBB</v>
          </cell>
          <cell r="H707">
            <v>6</v>
          </cell>
          <cell r="I707" t="str">
            <v>–</v>
          </cell>
          <cell r="J707" t="str">
            <v>–</v>
          </cell>
          <cell r="K707" t="str">
            <v>–</v>
          </cell>
          <cell r="L707" t="str">
            <v>–</v>
          </cell>
          <cell r="M707" t="str">
            <v>–</v>
          </cell>
          <cell r="N707" t="str">
            <v>–</v>
          </cell>
          <cell r="O707" t="str">
            <v>–</v>
          </cell>
          <cell r="P707">
            <v>4</v>
          </cell>
          <cell r="Q707" t="str">
            <v>–</v>
          </cell>
          <cell r="R707" t="str">
            <v>–</v>
          </cell>
          <cell r="S707" t="str">
            <v>–</v>
          </cell>
          <cell r="T707" t="str">
            <v>–</v>
          </cell>
          <cell r="U707" t="str">
            <v>–</v>
          </cell>
          <cell r="V707" t="str">
            <v>–</v>
          </cell>
          <cell r="W707">
            <v>0.75</v>
          </cell>
        </row>
        <row r="708">
          <cell r="B708" t="str">
            <v>2L6X4X3/4X3/8LLBB</v>
          </cell>
          <cell r="C708" t="str">
            <v>2L6X4X3/4X3/8LLBB</v>
          </cell>
          <cell r="D708" t="str">
            <v>F</v>
          </cell>
          <cell r="E708">
            <v>47.2</v>
          </cell>
          <cell r="F708">
            <v>13.9</v>
          </cell>
          <cell r="G708" t="str">
            <v>2L6X4X3/4X3/8LLBB</v>
          </cell>
          <cell r="H708">
            <v>6</v>
          </cell>
          <cell r="I708" t="str">
            <v>–</v>
          </cell>
          <cell r="J708" t="str">
            <v>–</v>
          </cell>
          <cell r="K708" t="str">
            <v>–</v>
          </cell>
          <cell r="L708" t="str">
            <v>–</v>
          </cell>
          <cell r="M708" t="str">
            <v>–</v>
          </cell>
          <cell r="N708" t="str">
            <v>–</v>
          </cell>
          <cell r="O708" t="str">
            <v>–</v>
          </cell>
          <cell r="P708">
            <v>4</v>
          </cell>
          <cell r="Q708" t="str">
            <v>–</v>
          </cell>
          <cell r="R708" t="str">
            <v>–</v>
          </cell>
          <cell r="S708" t="str">
            <v>–</v>
          </cell>
          <cell r="T708" t="str">
            <v>–</v>
          </cell>
          <cell r="U708" t="str">
            <v>–</v>
          </cell>
          <cell r="V708" t="str">
            <v>–</v>
          </cell>
          <cell r="W708">
            <v>0.75</v>
          </cell>
        </row>
        <row r="709">
          <cell r="B709" t="str">
            <v>2L6X4X3/4X3/4LLBB</v>
          </cell>
          <cell r="C709" t="str">
            <v>2L6X4X3/4X3/4LLBB</v>
          </cell>
          <cell r="D709" t="str">
            <v>F</v>
          </cell>
          <cell r="E709">
            <v>47.2</v>
          </cell>
          <cell r="F709">
            <v>13.9</v>
          </cell>
          <cell r="G709" t="str">
            <v>2L6X4X3/4X3/4LLBB</v>
          </cell>
          <cell r="H709">
            <v>6</v>
          </cell>
          <cell r="I709" t="str">
            <v>–</v>
          </cell>
          <cell r="J709" t="str">
            <v>–</v>
          </cell>
          <cell r="K709" t="str">
            <v>–</v>
          </cell>
          <cell r="L709" t="str">
            <v>–</v>
          </cell>
          <cell r="M709" t="str">
            <v>–</v>
          </cell>
          <cell r="N709" t="str">
            <v>–</v>
          </cell>
          <cell r="O709" t="str">
            <v>–</v>
          </cell>
          <cell r="P709">
            <v>4</v>
          </cell>
          <cell r="Q709" t="str">
            <v>–</v>
          </cell>
          <cell r="R709" t="str">
            <v>–</v>
          </cell>
          <cell r="S709" t="str">
            <v>–</v>
          </cell>
          <cell r="T709" t="str">
            <v>–</v>
          </cell>
          <cell r="U709" t="str">
            <v>–</v>
          </cell>
          <cell r="V709" t="str">
            <v>–</v>
          </cell>
          <cell r="W709">
            <v>0.75</v>
          </cell>
        </row>
        <row r="710">
          <cell r="B710" t="str">
            <v>2L6X4X5/8LLBB</v>
          </cell>
          <cell r="C710" t="str">
            <v>2L6X4X5/8LLBB</v>
          </cell>
          <cell r="D710" t="str">
            <v>F</v>
          </cell>
          <cell r="E710">
            <v>40</v>
          </cell>
          <cell r="F710">
            <v>11.7</v>
          </cell>
          <cell r="G710" t="str">
            <v>2L6X4X5/8LLBB</v>
          </cell>
          <cell r="H710">
            <v>6</v>
          </cell>
          <cell r="I710" t="str">
            <v>–</v>
          </cell>
          <cell r="J710" t="str">
            <v>–</v>
          </cell>
          <cell r="K710" t="str">
            <v>–</v>
          </cell>
          <cell r="L710" t="str">
            <v>–</v>
          </cell>
          <cell r="M710" t="str">
            <v>–</v>
          </cell>
          <cell r="N710" t="str">
            <v>–</v>
          </cell>
          <cell r="O710" t="str">
            <v>–</v>
          </cell>
          <cell r="P710">
            <v>4</v>
          </cell>
          <cell r="Q710" t="str">
            <v>–</v>
          </cell>
          <cell r="R710" t="str">
            <v>–</v>
          </cell>
          <cell r="S710" t="str">
            <v>–</v>
          </cell>
          <cell r="T710" t="str">
            <v>–</v>
          </cell>
          <cell r="U710" t="str">
            <v>–</v>
          </cell>
          <cell r="V710" t="str">
            <v>–</v>
          </cell>
          <cell r="W710">
            <v>0.625</v>
          </cell>
        </row>
        <row r="711">
          <cell r="B711" t="str">
            <v>2L6X4X5/8X3/8LLBB</v>
          </cell>
          <cell r="C711" t="str">
            <v>2L6X4X5/8X3/8LLBB</v>
          </cell>
          <cell r="D711" t="str">
            <v>F</v>
          </cell>
          <cell r="E711">
            <v>40</v>
          </cell>
          <cell r="F711">
            <v>11.7</v>
          </cell>
          <cell r="G711" t="str">
            <v>2L6X4X5/8X3/8LLBB</v>
          </cell>
          <cell r="H711">
            <v>6</v>
          </cell>
          <cell r="I711" t="str">
            <v>–</v>
          </cell>
          <cell r="J711" t="str">
            <v>–</v>
          </cell>
          <cell r="K711" t="str">
            <v>–</v>
          </cell>
          <cell r="L711" t="str">
            <v>–</v>
          </cell>
          <cell r="M711" t="str">
            <v>–</v>
          </cell>
          <cell r="N711" t="str">
            <v>–</v>
          </cell>
          <cell r="O711" t="str">
            <v>–</v>
          </cell>
          <cell r="P711">
            <v>4</v>
          </cell>
          <cell r="Q711" t="str">
            <v>–</v>
          </cell>
          <cell r="R711" t="str">
            <v>–</v>
          </cell>
          <cell r="S711" t="str">
            <v>–</v>
          </cell>
          <cell r="T711" t="str">
            <v>–</v>
          </cell>
          <cell r="U711" t="str">
            <v>–</v>
          </cell>
          <cell r="V711" t="str">
            <v>–</v>
          </cell>
          <cell r="W711">
            <v>0.625</v>
          </cell>
        </row>
        <row r="712">
          <cell r="B712" t="str">
            <v>2L6X4X5/8X3/4LLBB</v>
          </cell>
          <cell r="C712" t="str">
            <v>2L6X4X5/8X3/4LLBB</v>
          </cell>
          <cell r="D712" t="str">
            <v>F</v>
          </cell>
          <cell r="E712">
            <v>40</v>
          </cell>
          <cell r="F712">
            <v>11.7</v>
          </cell>
          <cell r="G712" t="str">
            <v>2L6X4X5/8X3/4LLBB</v>
          </cell>
          <cell r="H712">
            <v>6</v>
          </cell>
          <cell r="I712" t="str">
            <v>–</v>
          </cell>
          <cell r="J712" t="str">
            <v>–</v>
          </cell>
          <cell r="K712" t="str">
            <v>–</v>
          </cell>
          <cell r="L712" t="str">
            <v>–</v>
          </cell>
          <cell r="M712" t="str">
            <v>–</v>
          </cell>
          <cell r="N712" t="str">
            <v>–</v>
          </cell>
          <cell r="O712" t="str">
            <v>–</v>
          </cell>
          <cell r="P712">
            <v>4</v>
          </cell>
          <cell r="Q712" t="str">
            <v>–</v>
          </cell>
          <cell r="R712" t="str">
            <v>–</v>
          </cell>
          <cell r="S712" t="str">
            <v>–</v>
          </cell>
          <cell r="T712" t="str">
            <v>–</v>
          </cell>
          <cell r="U712" t="str">
            <v>–</v>
          </cell>
          <cell r="V712" t="str">
            <v>–</v>
          </cell>
          <cell r="W712">
            <v>0.625</v>
          </cell>
        </row>
        <row r="713">
          <cell r="B713" t="str">
            <v>2L6X4X9/16LLBB</v>
          </cell>
          <cell r="C713" t="str">
            <v>2L6X4X9/16LLBB</v>
          </cell>
          <cell r="D713" t="str">
            <v>F</v>
          </cell>
          <cell r="E713">
            <v>36.200000000000003</v>
          </cell>
          <cell r="F713">
            <v>10.6</v>
          </cell>
          <cell r="G713" t="str">
            <v>2L6X4X9/16LLBB</v>
          </cell>
          <cell r="H713">
            <v>6</v>
          </cell>
          <cell r="I713" t="str">
            <v>–</v>
          </cell>
          <cell r="J713" t="str">
            <v>–</v>
          </cell>
          <cell r="K713" t="str">
            <v>–</v>
          </cell>
          <cell r="L713" t="str">
            <v>–</v>
          </cell>
          <cell r="M713" t="str">
            <v>–</v>
          </cell>
          <cell r="N713" t="str">
            <v>–</v>
          </cell>
          <cell r="O713" t="str">
            <v>–</v>
          </cell>
          <cell r="P713">
            <v>4</v>
          </cell>
          <cell r="Q713" t="str">
            <v>–</v>
          </cell>
          <cell r="R713" t="str">
            <v>–</v>
          </cell>
          <cell r="S713" t="str">
            <v>–</v>
          </cell>
          <cell r="T713" t="str">
            <v>–</v>
          </cell>
          <cell r="U713" t="str">
            <v>–</v>
          </cell>
          <cell r="V713" t="str">
            <v>–</v>
          </cell>
          <cell r="W713">
            <v>0.56299999999999994</v>
          </cell>
        </row>
        <row r="714">
          <cell r="B714" t="str">
            <v>2L6X4X9/16X3/8LLBB</v>
          </cell>
          <cell r="C714" t="str">
            <v>2L6X4X9/16X3/8LLBB</v>
          </cell>
          <cell r="D714" t="str">
            <v>F</v>
          </cell>
          <cell r="E714">
            <v>36.200000000000003</v>
          </cell>
          <cell r="F714">
            <v>10.6</v>
          </cell>
          <cell r="G714" t="str">
            <v>2L6X4X9/16X3/8LLBB</v>
          </cell>
          <cell r="H714">
            <v>6</v>
          </cell>
          <cell r="I714" t="str">
            <v>–</v>
          </cell>
          <cell r="J714" t="str">
            <v>–</v>
          </cell>
          <cell r="K714" t="str">
            <v>–</v>
          </cell>
          <cell r="L714" t="str">
            <v>–</v>
          </cell>
          <cell r="M714" t="str">
            <v>–</v>
          </cell>
          <cell r="N714" t="str">
            <v>–</v>
          </cell>
          <cell r="O714" t="str">
            <v>–</v>
          </cell>
          <cell r="P714">
            <v>4</v>
          </cell>
          <cell r="Q714" t="str">
            <v>–</v>
          </cell>
          <cell r="R714" t="str">
            <v>–</v>
          </cell>
          <cell r="S714" t="str">
            <v>–</v>
          </cell>
          <cell r="T714" t="str">
            <v>–</v>
          </cell>
          <cell r="U714" t="str">
            <v>–</v>
          </cell>
          <cell r="V714" t="str">
            <v>–</v>
          </cell>
          <cell r="W714">
            <v>0.56299999999999994</v>
          </cell>
        </row>
        <row r="715">
          <cell r="B715" t="str">
            <v>2L6X4X9/16X3/4LLBB</v>
          </cell>
          <cell r="C715" t="str">
            <v>2L6X4X9/16X3/4LLBB</v>
          </cell>
          <cell r="D715" t="str">
            <v>F</v>
          </cell>
          <cell r="E715">
            <v>36.200000000000003</v>
          </cell>
          <cell r="F715">
            <v>10.6</v>
          </cell>
          <cell r="G715" t="str">
            <v>2L6X4X9/16X3/4LLBB</v>
          </cell>
          <cell r="H715">
            <v>6</v>
          </cell>
          <cell r="I715" t="str">
            <v>–</v>
          </cell>
          <cell r="J715" t="str">
            <v>–</v>
          </cell>
          <cell r="K715" t="str">
            <v>–</v>
          </cell>
          <cell r="L715" t="str">
            <v>–</v>
          </cell>
          <cell r="M715" t="str">
            <v>–</v>
          </cell>
          <cell r="N715" t="str">
            <v>–</v>
          </cell>
          <cell r="O715" t="str">
            <v>–</v>
          </cell>
          <cell r="P715">
            <v>4</v>
          </cell>
          <cell r="Q715" t="str">
            <v>–</v>
          </cell>
          <cell r="R715" t="str">
            <v>–</v>
          </cell>
          <cell r="S715" t="str">
            <v>–</v>
          </cell>
          <cell r="T715" t="str">
            <v>–</v>
          </cell>
          <cell r="U715" t="str">
            <v>–</v>
          </cell>
          <cell r="V715" t="str">
            <v>–</v>
          </cell>
          <cell r="W715">
            <v>0.56299999999999994</v>
          </cell>
        </row>
        <row r="716">
          <cell r="B716" t="str">
            <v>2L6X4X1/2LLBB</v>
          </cell>
          <cell r="C716" t="str">
            <v>2L6X4X1/2LLBB</v>
          </cell>
          <cell r="D716" t="str">
            <v>F</v>
          </cell>
          <cell r="E716">
            <v>32.4</v>
          </cell>
          <cell r="F716">
            <v>9.5</v>
          </cell>
          <cell r="G716" t="str">
            <v>2L6X4X1/2LLBB</v>
          </cell>
          <cell r="H716">
            <v>6</v>
          </cell>
          <cell r="I716" t="str">
            <v>–</v>
          </cell>
          <cell r="J716" t="str">
            <v>–</v>
          </cell>
          <cell r="K716" t="str">
            <v>–</v>
          </cell>
          <cell r="L716" t="str">
            <v>–</v>
          </cell>
          <cell r="M716" t="str">
            <v>–</v>
          </cell>
          <cell r="N716" t="str">
            <v>–</v>
          </cell>
          <cell r="O716" t="str">
            <v>–</v>
          </cell>
          <cell r="P716">
            <v>4</v>
          </cell>
          <cell r="Q716" t="str">
            <v>–</v>
          </cell>
          <cell r="R716" t="str">
            <v>–</v>
          </cell>
          <cell r="S716" t="str">
            <v>–</v>
          </cell>
          <cell r="T716" t="str">
            <v>–</v>
          </cell>
          <cell r="U716" t="str">
            <v>–</v>
          </cell>
          <cell r="V716" t="str">
            <v>–</v>
          </cell>
          <cell r="W716">
            <v>0.5</v>
          </cell>
        </row>
        <row r="717">
          <cell r="B717" t="str">
            <v>2L6X4X1/2X3/8LLBB</v>
          </cell>
          <cell r="C717" t="str">
            <v>2L6X4X1/2X3/8LLBB</v>
          </cell>
          <cell r="D717" t="str">
            <v>F</v>
          </cell>
          <cell r="E717">
            <v>32.4</v>
          </cell>
          <cell r="F717">
            <v>9.5</v>
          </cell>
          <cell r="G717" t="str">
            <v>2L6X4X1/2X3/8LLBB</v>
          </cell>
          <cell r="H717">
            <v>6</v>
          </cell>
          <cell r="I717" t="str">
            <v>–</v>
          </cell>
          <cell r="J717" t="str">
            <v>–</v>
          </cell>
          <cell r="K717" t="str">
            <v>–</v>
          </cell>
          <cell r="L717" t="str">
            <v>–</v>
          </cell>
          <cell r="M717" t="str">
            <v>–</v>
          </cell>
          <cell r="N717" t="str">
            <v>–</v>
          </cell>
          <cell r="O717" t="str">
            <v>–</v>
          </cell>
          <cell r="P717">
            <v>4</v>
          </cell>
          <cell r="Q717" t="str">
            <v>–</v>
          </cell>
          <cell r="R717" t="str">
            <v>–</v>
          </cell>
          <cell r="S717" t="str">
            <v>–</v>
          </cell>
          <cell r="T717" t="str">
            <v>–</v>
          </cell>
          <cell r="U717" t="str">
            <v>–</v>
          </cell>
          <cell r="V717" t="str">
            <v>–</v>
          </cell>
          <cell r="W717">
            <v>0.5</v>
          </cell>
        </row>
        <row r="718">
          <cell r="B718" t="str">
            <v>2L6X4X1/2X3/4LLBB</v>
          </cell>
          <cell r="C718" t="str">
            <v>2L6X4X1/2X3/4LLBB</v>
          </cell>
          <cell r="D718" t="str">
            <v>F</v>
          </cell>
          <cell r="E718">
            <v>32.4</v>
          </cell>
          <cell r="F718">
            <v>9.5</v>
          </cell>
          <cell r="G718" t="str">
            <v>2L6X4X1/2X3/4LLBB</v>
          </cell>
          <cell r="H718">
            <v>6</v>
          </cell>
          <cell r="I718" t="str">
            <v>–</v>
          </cell>
          <cell r="J718" t="str">
            <v>–</v>
          </cell>
          <cell r="K718" t="str">
            <v>–</v>
          </cell>
          <cell r="L718" t="str">
            <v>–</v>
          </cell>
          <cell r="M718" t="str">
            <v>–</v>
          </cell>
          <cell r="N718" t="str">
            <v>–</v>
          </cell>
          <cell r="O718" t="str">
            <v>–</v>
          </cell>
          <cell r="P718">
            <v>4</v>
          </cell>
          <cell r="Q718" t="str">
            <v>–</v>
          </cell>
          <cell r="R718" t="str">
            <v>–</v>
          </cell>
          <cell r="S718" t="str">
            <v>–</v>
          </cell>
          <cell r="T718" t="str">
            <v>–</v>
          </cell>
          <cell r="U718" t="str">
            <v>–</v>
          </cell>
          <cell r="V718" t="str">
            <v>–</v>
          </cell>
          <cell r="W718">
            <v>0.5</v>
          </cell>
        </row>
        <row r="719">
          <cell r="B719" t="str">
            <v>2L6X4X7/16LLBB</v>
          </cell>
          <cell r="C719" t="str">
            <v>2L6X4X7/16LLBB</v>
          </cell>
          <cell r="D719" t="str">
            <v>F</v>
          </cell>
          <cell r="E719">
            <v>28.6</v>
          </cell>
          <cell r="F719">
            <v>8.36</v>
          </cell>
          <cell r="G719" t="str">
            <v>2L6X4X7/16LLBB</v>
          </cell>
          <cell r="H719">
            <v>6</v>
          </cell>
          <cell r="I719" t="str">
            <v>–</v>
          </cell>
          <cell r="J719" t="str">
            <v>–</v>
          </cell>
          <cell r="K719" t="str">
            <v>–</v>
          </cell>
          <cell r="L719" t="str">
            <v>–</v>
          </cell>
          <cell r="M719" t="str">
            <v>–</v>
          </cell>
          <cell r="N719" t="str">
            <v>–</v>
          </cell>
          <cell r="O719" t="str">
            <v>–</v>
          </cell>
          <cell r="P719">
            <v>4</v>
          </cell>
          <cell r="Q719" t="str">
            <v>–</v>
          </cell>
          <cell r="R719" t="str">
            <v>–</v>
          </cell>
          <cell r="S719" t="str">
            <v>–</v>
          </cell>
          <cell r="T719" t="str">
            <v>–</v>
          </cell>
          <cell r="U719" t="str">
            <v>–</v>
          </cell>
          <cell r="V719" t="str">
            <v>–</v>
          </cell>
          <cell r="W719">
            <v>0.438</v>
          </cell>
        </row>
        <row r="720">
          <cell r="B720" t="str">
            <v>2L6X4X7/16X3/8LLBB</v>
          </cell>
          <cell r="C720" t="str">
            <v>2L6X4X7/16X3/8LLBB</v>
          </cell>
          <cell r="D720" t="str">
            <v>F</v>
          </cell>
          <cell r="E720">
            <v>28.6</v>
          </cell>
          <cell r="F720">
            <v>8.36</v>
          </cell>
          <cell r="G720" t="str">
            <v>2L6X4X7/16X3/8LLBB</v>
          </cell>
          <cell r="H720">
            <v>6</v>
          </cell>
          <cell r="I720" t="str">
            <v>–</v>
          </cell>
          <cell r="J720" t="str">
            <v>–</v>
          </cell>
          <cell r="K720" t="str">
            <v>–</v>
          </cell>
          <cell r="L720" t="str">
            <v>–</v>
          </cell>
          <cell r="M720" t="str">
            <v>–</v>
          </cell>
          <cell r="N720" t="str">
            <v>–</v>
          </cell>
          <cell r="O720" t="str">
            <v>–</v>
          </cell>
          <cell r="P720">
            <v>4</v>
          </cell>
          <cell r="Q720" t="str">
            <v>–</v>
          </cell>
          <cell r="R720" t="str">
            <v>–</v>
          </cell>
          <cell r="S720" t="str">
            <v>–</v>
          </cell>
          <cell r="T720" t="str">
            <v>–</v>
          </cell>
          <cell r="U720" t="str">
            <v>–</v>
          </cell>
          <cell r="V720" t="str">
            <v>–</v>
          </cell>
          <cell r="W720">
            <v>0.438</v>
          </cell>
        </row>
        <row r="721">
          <cell r="B721" t="str">
            <v>2L6X4X7/16X3/4LLBB</v>
          </cell>
          <cell r="C721" t="str">
            <v>2L6X4X7/16X3/4LLBB</v>
          </cell>
          <cell r="D721" t="str">
            <v>F</v>
          </cell>
          <cell r="E721">
            <v>28.6</v>
          </cell>
          <cell r="F721">
            <v>8.36</v>
          </cell>
          <cell r="G721" t="str">
            <v>2L6X4X7/16X3/4LLBB</v>
          </cell>
          <cell r="H721">
            <v>6</v>
          </cell>
          <cell r="I721" t="str">
            <v>–</v>
          </cell>
          <cell r="J721" t="str">
            <v>–</v>
          </cell>
          <cell r="K721" t="str">
            <v>–</v>
          </cell>
          <cell r="L721" t="str">
            <v>–</v>
          </cell>
          <cell r="M721" t="str">
            <v>–</v>
          </cell>
          <cell r="N721" t="str">
            <v>–</v>
          </cell>
          <cell r="O721" t="str">
            <v>–</v>
          </cell>
          <cell r="P721">
            <v>4</v>
          </cell>
          <cell r="Q721" t="str">
            <v>–</v>
          </cell>
          <cell r="R721" t="str">
            <v>–</v>
          </cell>
          <cell r="S721" t="str">
            <v>–</v>
          </cell>
          <cell r="T721" t="str">
            <v>–</v>
          </cell>
          <cell r="U721" t="str">
            <v>–</v>
          </cell>
          <cell r="V721" t="str">
            <v>–</v>
          </cell>
          <cell r="W721">
            <v>0.438</v>
          </cell>
        </row>
        <row r="722">
          <cell r="B722" t="str">
            <v>2L6X4X3/8LLBB</v>
          </cell>
          <cell r="C722" t="str">
            <v>2L6X4X3/8LLBB</v>
          </cell>
          <cell r="D722" t="str">
            <v>F</v>
          </cell>
          <cell r="E722">
            <v>24.6</v>
          </cell>
          <cell r="F722">
            <v>7.22</v>
          </cell>
          <cell r="G722" t="str">
            <v>2L6X4X3/8LLBB</v>
          </cell>
          <cell r="H722">
            <v>6</v>
          </cell>
          <cell r="I722" t="str">
            <v>–</v>
          </cell>
          <cell r="J722" t="str">
            <v>–</v>
          </cell>
          <cell r="K722" t="str">
            <v>–</v>
          </cell>
          <cell r="L722" t="str">
            <v>–</v>
          </cell>
          <cell r="M722" t="str">
            <v>–</v>
          </cell>
          <cell r="N722" t="str">
            <v>–</v>
          </cell>
          <cell r="O722" t="str">
            <v>–</v>
          </cell>
          <cell r="P722">
            <v>4</v>
          </cell>
          <cell r="Q722" t="str">
            <v>–</v>
          </cell>
          <cell r="R722" t="str">
            <v>–</v>
          </cell>
          <cell r="S722" t="str">
            <v>–</v>
          </cell>
          <cell r="T722" t="str">
            <v>–</v>
          </cell>
          <cell r="U722" t="str">
            <v>–</v>
          </cell>
          <cell r="V722" t="str">
            <v>–</v>
          </cell>
          <cell r="W722">
            <v>0.375</v>
          </cell>
        </row>
        <row r="723">
          <cell r="B723" t="str">
            <v>2L6X4X3/8X3/8LLBB</v>
          </cell>
          <cell r="C723" t="str">
            <v>2L6X4X3/8X3/8LLBB</v>
          </cell>
          <cell r="D723" t="str">
            <v>F</v>
          </cell>
          <cell r="E723">
            <v>24.6</v>
          </cell>
          <cell r="F723">
            <v>7.22</v>
          </cell>
          <cell r="G723" t="str">
            <v>2L6X4X3/8X3/8LLBB</v>
          </cell>
          <cell r="H723">
            <v>6</v>
          </cell>
          <cell r="I723" t="str">
            <v>–</v>
          </cell>
          <cell r="J723" t="str">
            <v>–</v>
          </cell>
          <cell r="K723" t="str">
            <v>–</v>
          </cell>
          <cell r="L723" t="str">
            <v>–</v>
          </cell>
          <cell r="M723" t="str">
            <v>–</v>
          </cell>
          <cell r="N723" t="str">
            <v>–</v>
          </cell>
          <cell r="O723" t="str">
            <v>–</v>
          </cell>
          <cell r="P723">
            <v>4</v>
          </cell>
          <cell r="Q723" t="str">
            <v>–</v>
          </cell>
          <cell r="R723" t="str">
            <v>–</v>
          </cell>
          <cell r="S723" t="str">
            <v>–</v>
          </cell>
          <cell r="T723" t="str">
            <v>–</v>
          </cell>
          <cell r="U723" t="str">
            <v>–</v>
          </cell>
          <cell r="V723" t="str">
            <v>–</v>
          </cell>
          <cell r="W723">
            <v>0.375</v>
          </cell>
        </row>
        <row r="724">
          <cell r="B724" t="str">
            <v>2L6X4X3/8X3/4LLBB</v>
          </cell>
          <cell r="C724" t="str">
            <v>2L6X4X3/8X3/4LLBB</v>
          </cell>
          <cell r="D724" t="str">
            <v>F</v>
          </cell>
          <cell r="E724">
            <v>24.6</v>
          </cell>
          <cell r="F724">
            <v>7.22</v>
          </cell>
          <cell r="G724" t="str">
            <v>2L6X4X3/8X3/4LLBB</v>
          </cell>
          <cell r="H724">
            <v>6</v>
          </cell>
          <cell r="I724" t="str">
            <v>–</v>
          </cell>
          <cell r="J724" t="str">
            <v>–</v>
          </cell>
          <cell r="K724" t="str">
            <v>–</v>
          </cell>
          <cell r="L724" t="str">
            <v>–</v>
          </cell>
          <cell r="M724" t="str">
            <v>–</v>
          </cell>
          <cell r="N724" t="str">
            <v>–</v>
          </cell>
          <cell r="O724" t="str">
            <v>–</v>
          </cell>
          <cell r="P724">
            <v>4</v>
          </cell>
          <cell r="Q724" t="str">
            <v>–</v>
          </cell>
          <cell r="R724" t="str">
            <v>–</v>
          </cell>
          <cell r="S724" t="str">
            <v>–</v>
          </cell>
          <cell r="T724" t="str">
            <v>–</v>
          </cell>
          <cell r="U724" t="str">
            <v>–</v>
          </cell>
          <cell r="V724" t="str">
            <v>–</v>
          </cell>
          <cell r="W724">
            <v>0.375</v>
          </cell>
        </row>
        <row r="725">
          <cell r="B725" t="str">
            <v>2L6X4X5/16LLBB</v>
          </cell>
          <cell r="C725" t="str">
            <v>2L6X4X5/16LLBB</v>
          </cell>
          <cell r="D725" t="str">
            <v>F</v>
          </cell>
          <cell r="E725">
            <v>20.6</v>
          </cell>
          <cell r="F725">
            <v>6.06</v>
          </cell>
          <cell r="G725" t="str">
            <v>2L6X4X5/16LLBB</v>
          </cell>
          <cell r="H725">
            <v>6</v>
          </cell>
          <cell r="I725" t="str">
            <v>–</v>
          </cell>
          <cell r="J725" t="str">
            <v>–</v>
          </cell>
          <cell r="K725" t="str">
            <v>–</v>
          </cell>
          <cell r="L725" t="str">
            <v>–</v>
          </cell>
          <cell r="M725" t="str">
            <v>–</v>
          </cell>
          <cell r="N725" t="str">
            <v>–</v>
          </cell>
          <cell r="O725" t="str">
            <v>–</v>
          </cell>
          <cell r="P725">
            <v>4</v>
          </cell>
          <cell r="Q725" t="str">
            <v>–</v>
          </cell>
          <cell r="R725" t="str">
            <v>–</v>
          </cell>
          <cell r="S725" t="str">
            <v>–</v>
          </cell>
          <cell r="T725" t="str">
            <v>–</v>
          </cell>
          <cell r="U725" t="str">
            <v>–</v>
          </cell>
          <cell r="V725" t="str">
            <v>–</v>
          </cell>
          <cell r="W725">
            <v>0.313</v>
          </cell>
        </row>
        <row r="726">
          <cell r="B726" t="str">
            <v>2L6X4X5/16X3/8LLBB</v>
          </cell>
          <cell r="C726" t="str">
            <v>2L6X4X5/16X3/8LLBB</v>
          </cell>
          <cell r="D726" t="str">
            <v>F</v>
          </cell>
          <cell r="E726">
            <v>20.6</v>
          </cell>
          <cell r="F726">
            <v>6.06</v>
          </cell>
          <cell r="G726" t="str">
            <v>2L6X4X5/16X3/8LLBB</v>
          </cell>
          <cell r="H726">
            <v>6</v>
          </cell>
          <cell r="I726" t="str">
            <v>–</v>
          </cell>
          <cell r="J726" t="str">
            <v>–</v>
          </cell>
          <cell r="K726" t="str">
            <v>–</v>
          </cell>
          <cell r="L726" t="str">
            <v>–</v>
          </cell>
          <cell r="M726" t="str">
            <v>–</v>
          </cell>
          <cell r="N726" t="str">
            <v>–</v>
          </cell>
          <cell r="O726" t="str">
            <v>–</v>
          </cell>
          <cell r="P726">
            <v>4</v>
          </cell>
          <cell r="Q726" t="str">
            <v>–</v>
          </cell>
          <cell r="R726" t="str">
            <v>–</v>
          </cell>
          <cell r="S726" t="str">
            <v>–</v>
          </cell>
          <cell r="T726" t="str">
            <v>–</v>
          </cell>
          <cell r="U726" t="str">
            <v>–</v>
          </cell>
          <cell r="V726" t="str">
            <v>–</v>
          </cell>
          <cell r="W726">
            <v>0.313</v>
          </cell>
        </row>
        <row r="727">
          <cell r="B727" t="str">
            <v>2L6X4X5/16X3/4LLBB</v>
          </cell>
          <cell r="C727" t="str">
            <v>2L6X4X5/16X3/4LLBB</v>
          </cell>
          <cell r="D727" t="str">
            <v>F</v>
          </cell>
          <cell r="E727">
            <v>20.6</v>
          </cell>
          <cell r="F727">
            <v>6.06</v>
          </cell>
          <cell r="G727" t="str">
            <v>2L6X4X5/16X3/4LLBB</v>
          </cell>
          <cell r="H727">
            <v>6</v>
          </cell>
          <cell r="I727" t="str">
            <v>–</v>
          </cell>
          <cell r="J727" t="str">
            <v>–</v>
          </cell>
          <cell r="K727" t="str">
            <v>–</v>
          </cell>
          <cell r="L727" t="str">
            <v>–</v>
          </cell>
          <cell r="M727" t="str">
            <v>–</v>
          </cell>
          <cell r="N727" t="str">
            <v>–</v>
          </cell>
          <cell r="O727" t="str">
            <v>–</v>
          </cell>
          <cell r="P727">
            <v>4</v>
          </cell>
          <cell r="Q727" t="str">
            <v>–</v>
          </cell>
          <cell r="R727" t="str">
            <v>–</v>
          </cell>
          <cell r="S727" t="str">
            <v>–</v>
          </cell>
          <cell r="T727" t="str">
            <v>–</v>
          </cell>
          <cell r="U727" t="str">
            <v>–</v>
          </cell>
          <cell r="V727" t="str">
            <v>–</v>
          </cell>
          <cell r="W727">
            <v>0.313</v>
          </cell>
        </row>
        <row r="728">
          <cell r="B728" t="str">
            <v>2L6X3-1/2X1/2LLBB</v>
          </cell>
          <cell r="C728" t="str">
            <v>2L6X3-1/2X1/2LLBB</v>
          </cell>
          <cell r="D728" t="str">
            <v>F</v>
          </cell>
          <cell r="E728">
            <v>30.6</v>
          </cell>
          <cell r="F728">
            <v>9</v>
          </cell>
          <cell r="G728" t="str">
            <v>2L6X3-1/2X1/2LLBB</v>
          </cell>
          <cell r="H728">
            <v>6</v>
          </cell>
          <cell r="I728" t="str">
            <v>–</v>
          </cell>
          <cell r="J728" t="str">
            <v>–</v>
          </cell>
          <cell r="K728" t="str">
            <v>–</v>
          </cell>
          <cell r="L728" t="str">
            <v>–</v>
          </cell>
          <cell r="M728" t="str">
            <v>–</v>
          </cell>
          <cell r="N728" t="str">
            <v>–</v>
          </cell>
          <cell r="O728" t="str">
            <v>–</v>
          </cell>
          <cell r="P728">
            <v>3.5</v>
          </cell>
          <cell r="Q728" t="str">
            <v>–</v>
          </cell>
          <cell r="R728" t="str">
            <v>–</v>
          </cell>
          <cell r="S728" t="str">
            <v>–</v>
          </cell>
          <cell r="T728" t="str">
            <v>–</v>
          </cell>
          <cell r="U728" t="str">
            <v>–</v>
          </cell>
          <cell r="V728" t="str">
            <v>–</v>
          </cell>
          <cell r="W728">
            <v>0.5</v>
          </cell>
        </row>
        <row r="729">
          <cell r="B729" t="str">
            <v>2L6X3-1/2X1/2X3/8LLBB</v>
          </cell>
          <cell r="C729" t="str">
            <v>2L6X3-1/2X1/2X3/8LLBB</v>
          </cell>
          <cell r="D729" t="str">
            <v>F</v>
          </cell>
          <cell r="E729">
            <v>30.6</v>
          </cell>
          <cell r="F729">
            <v>9</v>
          </cell>
          <cell r="G729" t="str">
            <v>2L6X3-1/2X1/2X3/8LLBB</v>
          </cell>
          <cell r="H729">
            <v>6</v>
          </cell>
          <cell r="I729" t="str">
            <v>–</v>
          </cell>
          <cell r="J729" t="str">
            <v>–</v>
          </cell>
          <cell r="K729" t="str">
            <v>–</v>
          </cell>
          <cell r="L729" t="str">
            <v>–</v>
          </cell>
          <cell r="M729" t="str">
            <v>–</v>
          </cell>
          <cell r="N729" t="str">
            <v>–</v>
          </cell>
          <cell r="O729" t="str">
            <v>–</v>
          </cell>
          <cell r="P729">
            <v>3.5</v>
          </cell>
          <cell r="Q729" t="str">
            <v>–</v>
          </cell>
          <cell r="R729" t="str">
            <v>–</v>
          </cell>
          <cell r="S729" t="str">
            <v>–</v>
          </cell>
          <cell r="T729" t="str">
            <v>–</v>
          </cell>
          <cell r="U729" t="str">
            <v>–</v>
          </cell>
          <cell r="V729" t="str">
            <v>–</v>
          </cell>
          <cell r="W729">
            <v>0.5</v>
          </cell>
        </row>
        <row r="730">
          <cell r="B730" t="str">
            <v>2L6X3-1/2X1/2X3/4LLBB</v>
          </cell>
          <cell r="C730" t="str">
            <v>2L6X3-1/2X1/2X3/4LLBB</v>
          </cell>
          <cell r="D730" t="str">
            <v>F</v>
          </cell>
          <cell r="E730">
            <v>30.6</v>
          </cell>
          <cell r="F730">
            <v>9</v>
          </cell>
          <cell r="G730" t="str">
            <v>2L6X3-1/2X1/2X3/4LLBB</v>
          </cell>
          <cell r="H730">
            <v>6</v>
          </cell>
          <cell r="I730" t="str">
            <v>–</v>
          </cell>
          <cell r="J730" t="str">
            <v>–</v>
          </cell>
          <cell r="K730" t="str">
            <v>–</v>
          </cell>
          <cell r="L730" t="str">
            <v>–</v>
          </cell>
          <cell r="M730" t="str">
            <v>–</v>
          </cell>
          <cell r="N730" t="str">
            <v>–</v>
          </cell>
          <cell r="O730" t="str">
            <v>–</v>
          </cell>
          <cell r="P730">
            <v>3.5</v>
          </cell>
          <cell r="Q730" t="str">
            <v>–</v>
          </cell>
          <cell r="R730" t="str">
            <v>–</v>
          </cell>
          <cell r="S730" t="str">
            <v>–</v>
          </cell>
          <cell r="T730" t="str">
            <v>–</v>
          </cell>
          <cell r="U730" t="str">
            <v>–</v>
          </cell>
          <cell r="V730" t="str">
            <v>–</v>
          </cell>
          <cell r="W730">
            <v>0.5</v>
          </cell>
        </row>
        <row r="731">
          <cell r="B731" t="str">
            <v>2L6X3-1/2X3/8LLBB</v>
          </cell>
          <cell r="C731" t="str">
            <v>2L6X3-1/2X3/8LLBB</v>
          </cell>
          <cell r="D731" t="str">
            <v>F</v>
          </cell>
          <cell r="E731">
            <v>23.4</v>
          </cell>
          <cell r="F731">
            <v>6.88</v>
          </cell>
          <cell r="G731" t="str">
            <v>2L6X3-1/2X3/8LLBB</v>
          </cell>
          <cell r="H731">
            <v>6</v>
          </cell>
          <cell r="I731" t="str">
            <v>–</v>
          </cell>
          <cell r="J731" t="str">
            <v>–</v>
          </cell>
          <cell r="K731" t="str">
            <v>–</v>
          </cell>
          <cell r="L731" t="str">
            <v>–</v>
          </cell>
          <cell r="M731" t="str">
            <v>–</v>
          </cell>
          <cell r="N731" t="str">
            <v>–</v>
          </cell>
          <cell r="O731" t="str">
            <v>–</v>
          </cell>
          <cell r="P731">
            <v>3.5</v>
          </cell>
          <cell r="Q731" t="str">
            <v>–</v>
          </cell>
          <cell r="R731" t="str">
            <v>–</v>
          </cell>
          <cell r="S731" t="str">
            <v>–</v>
          </cell>
          <cell r="T731" t="str">
            <v>–</v>
          </cell>
          <cell r="U731" t="str">
            <v>–</v>
          </cell>
          <cell r="V731" t="str">
            <v>–</v>
          </cell>
          <cell r="W731">
            <v>0.375</v>
          </cell>
        </row>
        <row r="732">
          <cell r="B732" t="str">
            <v>2L6X3-1/2X3/8X3/8LLBB</v>
          </cell>
          <cell r="C732" t="str">
            <v>2L6X3-1/2X3/8X3/8LLBB</v>
          </cell>
          <cell r="D732" t="str">
            <v>F</v>
          </cell>
          <cell r="E732">
            <v>23.4</v>
          </cell>
          <cell r="F732">
            <v>6.88</v>
          </cell>
          <cell r="G732" t="str">
            <v>2L6X3-1/2X3/8X3/8LLBB</v>
          </cell>
          <cell r="H732">
            <v>6</v>
          </cell>
          <cell r="I732" t="str">
            <v>–</v>
          </cell>
          <cell r="J732" t="str">
            <v>–</v>
          </cell>
          <cell r="K732" t="str">
            <v>–</v>
          </cell>
          <cell r="L732" t="str">
            <v>–</v>
          </cell>
          <cell r="M732" t="str">
            <v>–</v>
          </cell>
          <cell r="N732" t="str">
            <v>–</v>
          </cell>
          <cell r="O732" t="str">
            <v>–</v>
          </cell>
          <cell r="P732">
            <v>3.5</v>
          </cell>
          <cell r="Q732" t="str">
            <v>–</v>
          </cell>
          <cell r="R732" t="str">
            <v>–</v>
          </cell>
          <cell r="S732" t="str">
            <v>–</v>
          </cell>
          <cell r="T732" t="str">
            <v>–</v>
          </cell>
          <cell r="U732" t="str">
            <v>–</v>
          </cell>
          <cell r="V732" t="str">
            <v>–</v>
          </cell>
          <cell r="W732">
            <v>0.375</v>
          </cell>
        </row>
        <row r="733">
          <cell r="B733" t="str">
            <v>2L6X3-1/2X3/8X3/4LLBB</v>
          </cell>
          <cell r="C733" t="str">
            <v>2L6X3-1/2X3/8X3/4LLBB</v>
          </cell>
          <cell r="D733" t="str">
            <v>F</v>
          </cell>
          <cell r="E733">
            <v>23.4</v>
          </cell>
          <cell r="F733">
            <v>6.88</v>
          </cell>
          <cell r="G733" t="str">
            <v>2L6X3-1/2X3/8X3/4LLBB</v>
          </cell>
          <cell r="H733">
            <v>6</v>
          </cell>
          <cell r="I733" t="str">
            <v>–</v>
          </cell>
          <cell r="J733" t="str">
            <v>–</v>
          </cell>
          <cell r="K733" t="str">
            <v>–</v>
          </cell>
          <cell r="L733" t="str">
            <v>–</v>
          </cell>
          <cell r="M733" t="str">
            <v>–</v>
          </cell>
          <cell r="N733" t="str">
            <v>–</v>
          </cell>
          <cell r="O733" t="str">
            <v>–</v>
          </cell>
          <cell r="P733">
            <v>3.5</v>
          </cell>
          <cell r="Q733" t="str">
            <v>–</v>
          </cell>
          <cell r="R733" t="str">
            <v>–</v>
          </cell>
          <cell r="S733" t="str">
            <v>–</v>
          </cell>
          <cell r="T733" t="str">
            <v>–</v>
          </cell>
          <cell r="U733" t="str">
            <v>–</v>
          </cell>
          <cell r="V733" t="str">
            <v>–</v>
          </cell>
          <cell r="W733">
            <v>0.375</v>
          </cell>
        </row>
        <row r="734">
          <cell r="B734" t="str">
            <v>2L6X3-1/2X5/16LLBB</v>
          </cell>
          <cell r="C734" t="str">
            <v>2L6X3-1/2X5/16LLBB</v>
          </cell>
          <cell r="D734" t="str">
            <v>F</v>
          </cell>
          <cell r="E734">
            <v>19.600000000000001</v>
          </cell>
          <cell r="F734">
            <v>5.78</v>
          </cell>
          <cell r="G734" t="str">
            <v>2L6X3-1/2X5/16LLBB</v>
          </cell>
          <cell r="H734">
            <v>6</v>
          </cell>
          <cell r="I734" t="str">
            <v>–</v>
          </cell>
          <cell r="J734" t="str">
            <v>–</v>
          </cell>
          <cell r="K734" t="str">
            <v>–</v>
          </cell>
          <cell r="L734" t="str">
            <v>–</v>
          </cell>
          <cell r="M734" t="str">
            <v>–</v>
          </cell>
          <cell r="N734" t="str">
            <v>–</v>
          </cell>
          <cell r="O734" t="str">
            <v>–</v>
          </cell>
          <cell r="P734">
            <v>3.5</v>
          </cell>
          <cell r="Q734" t="str">
            <v>–</v>
          </cell>
          <cell r="R734" t="str">
            <v>–</v>
          </cell>
          <cell r="S734" t="str">
            <v>–</v>
          </cell>
          <cell r="T734" t="str">
            <v>–</v>
          </cell>
          <cell r="U734" t="str">
            <v>–</v>
          </cell>
          <cell r="V734" t="str">
            <v>–</v>
          </cell>
          <cell r="W734">
            <v>0.313</v>
          </cell>
        </row>
        <row r="735">
          <cell r="B735" t="str">
            <v>2L6X3-1/2X5/16X3/8LLBB</v>
          </cell>
          <cell r="C735" t="str">
            <v>2L6X3-1/2X5/16X3/8LLBB</v>
          </cell>
          <cell r="D735" t="str">
            <v>F</v>
          </cell>
          <cell r="E735">
            <v>19.600000000000001</v>
          </cell>
          <cell r="F735">
            <v>5.78</v>
          </cell>
          <cell r="G735" t="str">
            <v>2L6X3-1/2X5/16X3/8LLBB</v>
          </cell>
          <cell r="H735">
            <v>6</v>
          </cell>
          <cell r="I735" t="str">
            <v>–</v>
          </cell>
          <cell r="J735" t="str">
            <v>–</v>
          </cell>
          <cell r="K735" t="str">
            <v>–</v>
          </cell>
          <cell r="L735" t="str">
            <v>–</v>
          </cell>
          <cell r="M735" t="str">
            <v>–</v>
          </cell>
          <cell r="N735" t="str">
            <v>–</v>
          </cell>
          <cell r="O735" t="str">
            <v>–</v>
          </cell>
          <cell r="P735">
            <v>3.5</v>
          </cell>
          <cell r="Q735" t="str">
            <v>–</v>
          </cell>
          <cell r="R735" t="str">
            <v>–</v>
          </cell>
          <cell r="S735" t="str">
            <v>–</v>
          </cell>
          <cell r="T735" t="str">
            <v>–</v>
          </cell>
          <cell r="U735" t="str">
            <v>–</v>
          </cell>
          <cell r="V735" t="str">
            <v>–</v>
          </cell>
          <cell r="W735">
            <v>0.313</v>
          </cell>
        </row>
        <row r="736">
          <cell r="B736" t="str">
            <v>2L6X3-1/2X5/16X3/4LLBB</v>
          </cell>
          <cell r="C736" t="str">
            <v>2L6X3-1/2X5/16X3/4LLBB</v>
          </cell>
          <cell r="D736" t="str">
            <v>F</v>
          </cell>
          <cell r="E736">
            <v>19.600000000000001</v>
          </cell>
          <cell r="F736">
            <v>5.78</v>
          </cell>
          <cell r="G736" t="str">
            <v>2L6X3-1/2X5/16X3/4LLBB</v>
          </cell>
          <cell r="H736">
            <v>6</v>
          </cell>
          <cell r="I736" t="str">
            <v>–</v>
          </cell>
          <cell r="J736" t="str">
            <v>–</v>
          </cell>
          <cell r="K736" t="str">
            <v>–</v>
          </cell>
          <cell r="L736" t="str">
            <v>–</v>
          </cell>
          <cell r="M736" t="str">
            <v>–</v>
          </cell>
          <cell r="N736" t="str">
            <v>–</v>
          </cell>
          <cell r="O736" t="str">
            <v>–</v>
          </cell>
          <cell r="P736">
            <v>3.5</v>
          </cell>
          <cell r="Q736" t="str">
            <v>–</v>
          </cell>
          <cell r="R736" t="str">
            <v>–</v>
          </cell>
          <cell r="S736" t="str">
            <v>–</v>
          </cell>
          <cell r="T736" t="str">
            <v>–</v>
          </cell>
          <cell r="U736" t="str">
            <v>–</v>
          </cell>
          <cell r="V736" t="str">
            <v>–</v>
          </cell>
          <cell r="W736">
            <v>0.313</v>
          </cell>
        </row>
        <row r="737">
          <cell r="B737" t="str">
            <v>2L5X3-1/2X3/4LLBB</v>
          </cell>
          <cell r="C737" t="str">
            <v>2L5X3-1/2X3/4LLBB</v>
          </cell>
          <cell r="D737" t="str">
            <v>F</v>
          </cell>
          <cell r="E737">
            <v>39.6</v>
          </cell>
          <cell r="F737">
            <v>11.7</v>
          </cell>
          <cell r="G737" t="str">
            <v>2L5X3-1/2X3/4LLBB</v>
          </cell>
          <cell r="H737">
            <v>5</v>
          </cell>
          <cell r="I737" t="str">
            <v>–</v>
          </cell>
          <cell r="J737" t="str">
            <v>–</v>
          </cell>
          <cell r="K737" t="str">
            <v>–</v>
          </cell>
          <cell r="L737" t="str">
            <v>–</v>
          </cell>
          <cell r="M737" t="str">
            <v>–</v>
          </cell>
          <cell r="N737" t="str">
            <v>–</v>
          </cell>
          <cell r="O737" t="str">
            <v>–</v>
          </cell>
          <cell r="P737">
            <v>3.5</v>
          </cell>
          <cell r="Q737" t="str">
            <v>–</v>
          </cell>
          <cell r="R737" t="str">
            <v>–</v>
          </cell>
          <cell r="S737" t="str">
            <v>–</v>
          </cell>
          <cell r="T737" t="str">
            <v>–</v>
          </cell>
          <cell r="U737" t="str">
            <v>–</v>
          </cell>
          <cell r="V737" t="str">
            <v>–</v>
          </cell>
          <cell r="W737">
            <v>0.75</v>
          </cell>
        </row>
        <row r="738">
          <cell r="B738" t="str">
            <v>2L5X3-1/2X3/4X3/8LLBB</v>
          </cell>
          <cell r="C738" t="str">
            <v>2L5X3-1/2X3/4X3/8LLBB</v>
          </cell>
          <cell r="D738" t="str">
            <v>F</v>
          </cell>
          <cell r="E738">
            <v>39.6</v>
          </cell>
          <cell r="F738">
            <v>11.7</v>
          </cell>
          <cell r="G738" t="str">
            <v>2L5X3-1/2X3/4X3/8LLBB</v>
          </cell>
          <cell r="H738">
            <v>5</v>
          </cell>
          <cell r="I738" t="str">
            <v>–</v>
          </cell>
          <cell r="J738" t="str">
            <v>–</v>
          </cell>
          <cell r="K738" t="str">
            <v>–</v>
          </cell>
          <cell r="L738" t="str">
            <v>–</v>
          </cell>
          <cell r="M738" t="str">
            <v>–</v>
          </cell>
          <cell r="N738" t="str">
            <v>–</v>
          </cell>
          <cell r="O738" t="str">
            <v>–</v>
          </cell>
          <cell r="P738">
            <v>3.5</v>
          </cell>
          <cell r="Q738" t="str">
            <v>–</v>
          </cell>
          <cell r="R738" t="str">
            <v>–</v>
          </cell>
          <cell r="S738" t="str">
            <v>–</v>
          </cell>
          <cell r="T738" t="str">
            <v>–</v>
          </cell>
          <cell r="U738" t="str">
            <v>–</v>
          </cell>
          <cell r="V738" t="str">
            <v>–</v>
          </cell>
          <cell r="W738">
            <v>0.75</v>
          </cell>
        </row>
        <row r="739">
          <cell r="B739" t="str">
            <v>2L5X3-1/2X3/4X3/4LLBB</v>
          </cell>
          <cell r="C739" t="str">
            <v>2L5X3-1/2X3/4X3/4LLBB</v>
          </cell>
          <cell r="D739" t="str">
            <v>F</v>
          </cell>
          <cell r="E739">
            <v>39.6</v>
          </cell>
          <cell r="F739">
            <v>11.7</v>
          </cell>
          <cell r="G739" t="str">
            <v>2L5X3-1/2X3/4X3/4LLBB</v>
          </cell>
          <cell r="H739">
            <v>5</v>
          </cell>
          <cell r="I739" t="str">
            <v>–</v>
          </cell>
          <cell r="J739" t="str">
            <v>–</v>
          </cell>
          <cell r="K739" t="str">
            <v>–</v>
          </cell>
          <cell r="L739" t="str">
            <v>–</v>
          </cell>
          <cell r="M739" t="str">
            <v>–</v>
          </cell>
          <cell r="N739" t="str">
            <v>–</v>
          </cell>
          <cell r="O739" t="str">
            <v>–</v>
          </cell>
          <cell r="P739">
            <v>3.5</v>
          </cell>
          <cell r="Q739" t="str">
            <v>–</v>
          </cell>
          <cell r="R739" t="str">
            <v>–</v>
          </cell>
          <cell r="S739" t="str">
            <v>–</v>
          </cell>
          <cell r="T739" t="str">
            <v>–</v>
          </cell>
          <cell r="U739" t="str">
            <v>–</v>
          </cell>
          <cell r="V739" t="str">
            <v>–</v>
          </cell>
          <cell r="W739">
            <v>0.75</v>
          </cell>
        </row>
        <row r="740">
          <cell r="B740" t="str">
            <v>2L5X3-1/2X5/8LLBB</v>
          </cell>
          <cell r="C740" t="str">
            <v>2L5X3-1/2X5/8LLBB</v>
          </cell>
          <cell r="D740" t="str">
            <v>F</v>
          </cell>
          <cell r="E740">
            <v>33.6</v>
          </cell>
          <cell r="F740">
            <v>9.86</v>
          </cell>
          <cell r="G740" t="str">
            <v>2L5X3-1/2X5/8LLBB</v>
          </cell>
          <cell r="H740">
            <v>5</v>
          </cell>
          <cell r="I740" t="str">
            <v>–</v>
          </cell>
          <cell r="J740" t="str">
            <v>–</v>
          </cell>
          <cell r="K740" t="str">
            <v>–</v>
          </cell>
          <cell r="L740" t="str">
            <v>–</v>
          </cell>
          <cell r="M740" t="str">
            <v>–</v>
          </cell>
          <cell r="N740" t="str">
            <v>–</v>
          </cell>
          <cell r="O740" t="str">
            <v>–</v>
          </cell>
          <cell r="P740">
            <v>3.5</v>
          </cell>
          <cell r="Q740" t="str">
            <v>–</v>
          </cell>
          <cell r="R740" t="str">
            <v>–</v>
          </cell>
          <cell r="S740" t="str">
            <v>–</v>
          </cell>
          <cell r="T740" t="str">
            <v>–</v>
          </cell>
          <cell r="U740" t="str">
            <v>–</v>
          </cell>
          <cell r="V740" t="str">
            <v>–</v>
          </cell>
          <cell r="W740">
            <v>0.625</v>
          </cell>
        </row>
        <row r="741">
          <cell r="B741" t="str">
            <v>2L5X3-1/2X5/8X3/8LLBB</v>
          </cell>
          <cell r="C741" t="str">
            <v>2L5X3-1/2X5/8X3/8LLBB</v>
          </cell>
          <cell r="D741" t="str">
            <v>F</v>
          </cell>
          <cell r="E741">
            <v>33.6</v>
          </cell>
          <cell r="F741">
            <v>9.86</v>
          </cell>
          <cell r="G741" t="str">
            <v>2L5X3-1/2X5/8X3/8LLBB</v>
          </cell>
          <cell r="H741">
            <v>5</v>
          </cell>
          <cell r="I741" t="str">
            <v>–</v>
          </cell>
          <cell r="J741" t="str">
            <v>–</v>
          </cell>
          <cell r="K741" t="str">
            <v>–</v>
          </cell>
          <cell r="L741" t="str">
            <v>–</v>
          </cell>
          <cell r="M741" t="str">
            <v>–</v>
          </cell>
          <cell r="N741" t="str">
            <v>–</v>
          </cell>
          <cell r="O741" t="str">
            <v>–</v>
          </cell>
          <cell r="P741">
            <v>3.5</v>
          </cell>
          <cell r="Q741" t="str">
            <v>–</v>
          </cell>
          <cell r="R741" t="str">
            <v>–</v>
          </cell>
          <cell r="S741" t="str">
            <v>–</v>
          </cell>
          <cell r="T741" t="str">
            <v>–</v>
          </cell>
          <cell r="U741" t="str">
            <v>–</v>
          </cell>
          <cell r="V741" t="str">
            <v>–</v>
          </cell>
          <cell r="W741">
            <v>0.625</v>
          </cell>
        </row>
        <row r="742">
          <cell r="B742" t="str">
            <v>2L5X3-1/2X5/8X3/4LLBB</v>
          </cell>
          <cell r="C742" t="str">
            <v>2L5X3-1/2X5/8X3/4LLBB</v>
          </cell>
          <cell r="D742" t="str">
            <v>F</v>
          </cell>
          <cell r="E742">
            <v>33.6</v>
          </cell>
          <cell r="F742">
            <v>9.86</v>
          </cell>
          <cell r="G742" t="str">
            <v>2L5X3-1/2X5/8X3/4LLBB</v>
          </cell>
          <cell r="H742">
            <v>5</v>
          </cell>
          <cell r="I742" t="str">
            <v>–</v>
          </cell>
          <cell r="J742" t="str">
            <v>–</v>
          </cell>
          <cell r="K742" t="str">
            <v>–</v>
          </cell>
          <cell r="L742" t="str">
            <v>–</v>
          </cell>
          <cell r="M742" t="str">
            <v>–</v>
          </cell>
          <cell r="N742" t="str">
            <v>–</v>
          </cell>
          <cell r="O742" t="str">
            <v>–</v>
          </cell>
          <cell r="P742">
            <v>3.5</v>
          </cell>
          <cell r="Q742" t="str">
            <v>–</v>
          </cell>
          <cell r="R742" t="str">
            <v>–</v>
          </cell>
          <cell r="S742" t="str">
            <v>–</v>
          </cell>
          <cell r="T742" t="str">
            <v>–</v>
          </cell>
          <cell r="U742" t="str">
            <v>–</v>
          </cell>
          <cell r="V742" t="str">
            <v>–</v>
          </cell>
          <cell r="W742">
            <v>0.625</v>
          </cell>
        </row>
        <row r="743">
          <cell r="B743" t="str">
            <v>2L5X3-1/2X1/2LLBB</v>
          </cell>
          <cell r="C743" t="str">
            <v>2L5X3-1/2X1/2LLBB</v>
          </cell>
          <cell r="D743" t="str">
            <v>F</v>
          </cell>
          <cell r="E743">
            <v>27.2</v>
          </cell>
          <cell r="F743">
            <v>8</v>
          </cell>
          <cell r="G743" t="str">
            <v>2L5X3-1/2X1/2LLBB</v>
          </cell>
          <cell r="H743">
            <v>5</v>
          </cell>
          <cell r="I743" t="str">
            <v>–</v>
          </cell>
          <cell r="J743" t="str">
            <v>–</v>
          </cell>
          <cell r="K743" t="str">
            <v>–</v>
          </cell>
          <cell r="L743" t="str">
            <v>–</v>
          </cell>
          <cell r="M743" t="str">
            <v>–</v>
          </cell>
          <cell r="N743" t="str">
            <v>–</v>
          </cell>
          <cell r="O743" t="str">
            <v>–</v>
          </cell>
          <cell r="P743">
            <v>3.5</v>
          </cell>
          <cell r="Q743" t="str">
            <v>–</v>
          </cell>
          <cell r="R743" t="str">
            <v>–</v>
          </cell>
          <cell r="S743" t="str">
            <v>–</v>
          </cell>
          <cell r="T743" t="str">
            <v>–</v>
          </cell>
          <cell r="U743" t="str">
            <v>–</v>
          </cell>
          <cell r="V743" t="str">
            <v>–</v>
          </cell>
          <cell r="W743">
            <v>0.5</v>
          </cell>
        </row>
        <row r="744">
          <cell r="B744" t="str">
            <v>2L5X3-1/2X1/2X3/8LLBB</v>
          </cell>
          <cell r="C744" t="str">
            <v>2L5X3-1/2X1/2X3/8LLBB</v>
          </cell>
          <cell r="D744" t="str">
            <v>F</v>
          </cell>
          <cell r="E744">
            <v>27.2</v>
          </cell>
          <cell r="F744">
            <v>8</v>
          </cell>
          <cell r="G744" t="str">
            <v>2L5X3-1/2X1/2X3/8LLBB</v>
          </cell>
          <cell r="H744">
            <v>5</v>
          </cell>
          <cell r="I744" t="str">
            <v>–</v>
          </cell>
          <cell r="J744" t="str">
            <v>–</v>
          </cell>
          <cell r="K744" t="str">
            <v>–</v>
          </cell>
          <cell r="L744" t="str">
            <v>–</v>
          </cell>
          <cell r="M744" t="str">
            <v>–</v>
          </cell>
          <cell r="N744" t="str">
            <v>–</v>
          </cell>
          <cell r="O744" t="str">
            <v>–</v>
          </cell>
          <cell r="P744">
            <v>3.5</v>
          </cell>
          <cell r="Q744" t="str">
            <v>–</v>
          </cell>
          <cell r="R744" t="str">
            <v>–</v>
          </cell>
          <cell r="S744" t="str">
            <v>–</v>
          </cell>
          <cell r="T744" t="str">
            <v>–</v>
          </cell>
          <cell r="U744" t="str">
            <v>–</v>
          </cell>
          <cell r="V744" t="str">
            <v>–</v>
          </cell>
          <cell r="W744">
            <v>0.5</v>
          </cell>
        </row>
        <row r="745">
          <cell r="B745" t="str">
            <v>2L5X3-1/2X1/2X3/4LLBB</v>
          </cell>
          <cell r="C745" t="str">
            <v>2L5X3-1/2X1/2X3/4LLBB</v>
          </cell>
          <cell r="D745" t="str">
            <v>F</v>
          </cell>
          <cell r="E745">
            <v>27.2</v>
          </cell>
          <cell r="F745">
            <v>8</v>
          </cell>
          <cell r="G745" t="str">
            <v>2L5X3-1/2X1/2X3/4LLBB</v>
          </cell>
          <cell r="H745">
            <v>5</v>
          </cell>
          <cell r="I745" t="str">
            <v>–</v>
          </cell>
          <cell r="J745" t="str">
            <v>–</v>
          </cell>
          <cell r="K745" t="str">
            <v>–</v>
          </cell>
          <cell r="L745" t="str">
            <v>–</v>
          </cell>
          <cell r="M745" t="str">
            <v>–</v>
          </cell>
          <cell r="N745" t="str">
            <v>–</v>
          </cell>
          <cell r="O745" t="str">
            <v>–</v>
          </cell>
          <cell r="P745">
            <v>3.5</v>
          </cell>
          <cell r="Q745" t="str">
            <v>–</v>
          </cell>
          <cell r="R745" t="str">
            <v>–</v>
          </cell>
          <cell r="S745" t="str">
            <v>–</v>
          </cell>
          <cell r="T745" t="str">
            <v>–</v>
          </cell>
          <cell r="U745" t="str">
            <v>–</v>
          </cell>
          <cell r="V745" t="str">
            <v>–</v>
          </cell>
          <cell r="W745">
            <v>0.5</v>
          </cell>
        </row>
        <row r="746">
          <cell r="B746" t="str">
            <v>2L5X3-1/2X3/8LLBB</v>
          </cell>
          <cell r="C746" t="str">
            <v>2L5X3-1/2X3/8LLBB</v>
          </cell>
          <cell r="D746" t="str">
            <v>F</v>
          </cell>
          <cell r="E746">
            <v>20.8</v>
          </cell>
          <cell r="F746">
            <v>6.1</v>
          </cell>
          <cell r="G746" t="str">
            <v>2L5X3-1/2X3/8LLBB</v>
          </cell>
          <cell r="H746">
            <v>5</v>
          </cell>
          <cell r="I746" t="str">
            <v>–</v>
          </cell>
          <cell r="J746" t="str">
            <v>–</v>
          </cell>
          <cell r="K746" t="str">
            <v>–</v>
          </cell>
          <cell r="L746" t="str">
            <v>–</v>
          </cell>
          <cell r="M746" t="str">
            <v>–</v>
          </cell>
          <cell r="N746" t="str">
            <v>–</v>
          </cell>
          <cell r="O746" t="str">
            <v>–</v>
          </cell>
          <cell r="P746">
            <v>3.5</v>
          </cell>
          <cell r="Q746" t="str">
            <v>–</v>
          </cell>
          <cell r="R746" t="str">
            <v>–</v>
          </cell>
          <cell r="S746" t="str">
            <v>–</v>
          </cell>
          <cell r="T746" t="str">
            <v>–</v>
          </cell>
          <cell r="U746" t="str">
            <v>–</v>
          </cell>
          <cell r="V746" t="str">
            <v>–</v>
          </cell>
          <cell r="W746">
            <v>0.375</v>
          </cell>
        </row>
        <row r="747">
          <cell r="B747" t="str">
            <v>2L5X3-1/2X3/8X3/8LLBB</v>
          </cell>
          <cell r="C747" t="str">
            <v>2L5X3-1/2X3/8X3/8LLBB</v>
          </cell>
          <cell r="D747" t="str">
            <v>F</v>
          </cell>
          <cell r="E747">
            <v>20.8</v>
          </cell>
          <cell r="F747">
            <v>6.1</v>
          </cell>
          <cell r="G747" t="str">
            <v>2L5X3-1/2X3/8X3/8LLBB</v>
          </cell>
          <cell r="H747">
            <v>5</v>
          </cell>
          <cell r="I747" t="str">
            <v>–</v>
          </cell>
          <cell r="J747" t="str">
            <v>–</v>
          </cell>
          <cell r="K747" t="str">
            <v>–</v>
          </cell>
          <cell r="L747" t="str">
            <v>–</v>
          </cell>
          <cell r="M747" t="str">
            <v>–</v>
          </cell>
          <cell r="N747" t="str">
            <v>–</v>
          </cell>
          <cell r="O747" t="str">
            <v>–</v>
          </cell>
          <cell r="P747">
            <v>3.5</v>
          </cell>
          <cell r="Q747" t="str">
            <v>–</v>
          </cell>
          <cell r="R747" t="str">
            <v>–</v>
          </cell>
          <cell r="S747" t="str">
            <v>–</v>
          </cell>
          <cell r="T747" t="str">
            <v>–</v>
          </cell>
          <cell r="U747" t="str">
            <v>–</v>
          </cell>
          <cell r="V747" t="str">
            <v>–</v>
          </cell>
          <cell r="W747">
            <v>0.375</v>
          </cell>
        </row>
        <row r="748">
          <cell r="B748" t="str">
            <v>2L5X3-1/2X3/8X3/4LLBB</v>
          </cell>
          <cell r="C748" t="str">
            <v>2L5X3-1/2X3/8X3/4LLBB</v>
          </cell>
          <cell r="D748" t="str">
            <v>F</v>
          </cell>
          <cell r="E748">
            <v>20.8</v>
          </cell>
          <cell r="F748">
            <v>6.1</v>
          </cell>
          <cell r="G748" t="str">
            <v>2L5X3-1/2X3/8X3/4LLBB</v>
          </cell>
          <cell r="H748">
            <v>5</v>
          </cell>
          <cell r="I748" t="str">
            <v>–</v>
          </cell>
          <cell r="J748" t="str">
            <v>–</v>
          </cell>
          <cell r="K748" t="str">
            <v>–</v>
          </cell>
          <cell r="L748" t="str">
            <v>–</v>
          </cell>
          <cell r="M748" t="str">
            <v>–</v>
          </cell>
          <cell r="N748" t="str">
            <v>–</v>
          </cell>
          <cell r="O748" t="str">
            <v>–</v>
          </cell>
          <cell r="P748">
            <v>3.5</v>
          </cell>
          <cell r="Q748" t="str">
            <v>–</v>
          </cell>
          <cell r="R748" t="str">
            <v>–</v>
          </cell>
          <cell r="S748" t="str">
            <v>–</v>
          </cell>
          <cell r="T748" t="str">
            <v>–</v>
          </cell>
          <cell r="U748" t="str">
            <v>–</v>
          </cell>
          <cell r="V748" t="str">
            <v>–</v>
          </cell>
          <cell r="W748">
            <v>0.375</v>
          </cell>
        </row>
        <row r="749">
          <cell r="B749" t="str">
            <v>2L5X3-1/2X5/16LLBB</v>
          </cell>
          <cell r="C749" t="str">
            <v>2L5X3-1/2X5/16LLBB</v>
          </cell>
          <cell r="D749" t="str">
            <v>F</v>
          </cell>
          <cell r="E749">
            <v>17.399999999999999</v>
          </cell>
          <cell r="F749">
            <v>5.12</v>
          </cell>
          <cell r="G749" t="str">
            <v>2L5X3-1/2X5/16LLBB</v>
          </cell>
          <cell r="H749">
            <v>5</v>
          </cell>
          <cell r="I749" t="str">
            <v>–</v>
          </cell>
          <cell r="J749" t="str">
            <v>–</v>
          </cell>
          <cell r="K749" t="str">
            <v>–</v>
          </cell>
          <cell r="L749" t="str">
            <v>–</v>
          </cell>
          <cell r="M749" t="str">
            <v>–</v>
          </cell>
          <cell r="N749" t="str">
            <v>–</v>
          </cell>
          <cell r="O749" t="str">
            <v>–</v>
          </cell>
          <cell r="P749">
            <v>3.5</v>
          </cell>
          <cell r="Q749" t="str">
            <v>–</v>
          </cell>
          <cell r="R749" t="str">
            <v>–</v>
          </cell>
          <cell r="S749" t="str">
            <v>–</v>
          </cell>
          <cell r="T749" t="str">
            <v>–</v>
          </cell>
          <cell r="U749" t="str">
            <v>–</v>
          </cell>
          <cell r="V749" t="str">
            <v>–</v>
          </cell>
          <cell r="W749">
            <v>0.313</v>
          </cell>
        </row>
        <row r="750">
          <cell r="B750" t="str">
            <v>2L5X3-1/2X5/16X3/8LLBB</v>
          </cell>
          <cell r="C750" t="str">
            <v>2L5X3-1/2X5/16X3/8LLBB</v>
          </cell>
          <cell r="D750" t="str">
            <v>F</v>
          </cell>
          <cell r="E750">
            <v>17.399999999999999</v>
          </cell>
          <cell r="F750">
            <v>5.12</v>
          </cell>
          <cell r="G750" t="str">
            <v>2L5X3-1/2X5/16X3/8LLBB</v>
          </cell>
          <cell r="H750">
            <v>5</v>
          </cell>
          <cell r="I750" t="str">
            <v>–</v>
          </cell>
          <cell r="J750" t="str">
            <v>–</v>
          </cell>
          <cell r="K750" t="str">
            <v>–</v>
          </cell>
          <cell r="L750" t="str">
            <v>–</v>
          </cell>
          <cell r="M750" t="str">
            <v>–</v>
          </cell>
          <cell r="N750" t="str">
            <v>–</v>
          </cell>
          <cell r="O750" t="str">
            <v>–</v>
          </cell>
          <cell r="P750">
            <v>3.5</v>
          </cell>
          <cell r="Q750" t="str">
            <v>–</v>
          </cell>
          <cell r="R750" t="str">
            <v>–</v>
          </cell>
          <cell r="S750" t="str">
            <v>–</v>
          </cell>
          <cell r="T750" t="str">
            <v>–</v>
          </cell>
          <cell r="U750" t="str">
            <v>–</v>
          </cell>
          <cell r="V750" t="str">
            <v>–</v>
          </cell>
          <cell r="W750">
            <v>0.313</v>
          </cell>
        </row>
        <row r="751">
          <cell r="B751" t="str">
            <v>2L5X3-1/2X5/16X3/4LLBB</v>
          </cell>
          <cell r="C751" t="str">
            <v>2L5X3-1/2X5/16X3/4LLBB</v>
          </cell>
          <cell r="D751" t="str">
            <v>F</v>
          </cell>
          <cell r="E751">
            <v>17.399999999999999</v>
          </cell>
          <cell r="F751">
            <v>5.12</v>
          </cell>
          <cell r="G751" t="str">
            <v>2L5X3-1/2X5/16X3/4LLBB</v>
          </cell>
          <cell r="H751">
            <v>5</v>
          </cell>
          <cell r="I751" t="str">
            <v>–</v>
          </cell>
          <cell r="J751" t="str">
            <v>–</v>
          </cell>
          <cell r="K751" t="str">
            <v>–</v>
          </cell>
          <cell r="L751" t="str">
            <v>–</v>
          </cell>
          <cell r="M751" t="str">
            <v>–</v>
          </cell>
          <cell r="N751" t="str">
            <v>–</v>
          </cell>
          <cell r="O751" t="str">
            <v>–</v>
          </cell>
          <cell r="P751">
            <v>3.5</v>
          </cell>
          <cell r="Q751" t="str">
            <v>–</v>
          </cell>
          <cell r="R751" t="str">
            <v>–</v>
          </cell>
          <cell r="S751" t="str">
            <v>–</v>
          </cell>
          <cell r="T751" t="str">
            <v>–</v>
          </cell>
          <cell r="U751" t="str">
            <v>–</v>
          </cell>
          <cell r="V751" t="str">
            <v>–</v>
          </cell>
          <cell r="W751">
            <v>0.313</v>
          </cell>
        </row>
        <row r="752">
          <cell r="B752" t="str">
            <v>2L5X3-1/2X1/4LLBB</v>
          </cell>
          <cell r="C752" t="str">
            <v>2L5X3-1/2X1/4LLBB</v>
          </cell>
          <cell r="D752" t="str">
            <v>F</v>
          </cell>
          <cell r="E752">
            <v>14</v>
          </cell>
          <cell r="F752">
            <v>4.1399999999999997</v>
          </cell>
          <cell r="G752" t="str">
            <v>2L5X3-1/2X1/4LLBB</v>
          </cell>
          <cell r="H752">
            <v>5</v>
          </cell>
          <cell r="I752" t="str">
            <v>–</v>
          </cell>
          <cell r="J752" t="str">
            <v>–</v>
          </cell>
          <cell r="K752" t="str">
            <v>–</v>
          </cell>
          <cell r="L752" t="str">
            <v>–</v>
          </cell>
          <cell r="M752" t="str">
            <v>–</v>
          </cell>
          <cell r="N752" t="str">
            <v>–</v>
          </cell>
          <cell r="O752" t="str">
            <v>–</v>
          </cell>
          <cell r="P752">
            <v>3.5</v>
          </cell>
          <cell r="Q752" t="str">
            <v>–</v>
          </cell>
          <cell r="R752" t="str">
            <v>–</v>
          </cell>
          <cell r="S752" t="str">
            <v>–</v>
          </cell>
          <cell r="T752" t="str">
            <v>–</v>
          </cell>
          <cell r="U752" t="str">
            <v>–</v>
          </cell>
          <cell r="V752" t="str">
            <v>–</v>
          </cell>
          <cell r="W752">
            <v>0.25</v>
          </cell>
        </row>
        <row r="753">
          <cell r="B753" t="str">
            <v>2L5X3-1/2X1/4X3/8LLBB</v>
          </cell>
          <cell r="C753" t="str">
            <v>2L5X3-1/2X1/4X3/8LLBB</v>
          </cell>
          <cell r="D753" t="str">
            <v>F</v>
          </cell>
          <cell r="E753">
            <v>14</v>
          </cell>
          <cell r="F753">
            <v>4.1399999999999997</v>
          </cell>
          <cell r="G753" t="str">
            <v>2L5X3-1/2X1/4X3/8LLBB</v>
          </cell>
          <cell r="H753">
            <v>5</v>
          </cell>
          <cell r="I753" t="str">
            <v>–</v>
          </cell>
          <cell r="J753" t="str">
            <v>–</v>
          </cell>
          <cell r="K753" t="str">
            <v>–</v>
          </cell>
          <cell r="L753" t="str">
            <v>–</v>
          </cell>
          <cell r="M753" t="str">
            <v>–</v>
          </cell>
          <cell r="N753" t="str">
            <v>–</v>
          </cell>
          <cell r="O753" t="str">
            <v>–</v>
          </cell>
          <cell r="P753">
            <v>3.5</v>
          </cell>
          <cell r="Q753" t="str">
            <v>–</v>
          </cell>
          <cell r="R753" t="str">
            <v>–</v>
          </cell>
          <cell r="S753" t="str">
            <v>–</v>
          </cell>
          <cell r="T753" t="str">
            <v>–</v>
          </cell>
          <cell r="U753" t="str">
            <v>–</v>
          </cell>
          <cell r="V753" t="str">
            <v>–</v>
          </cell>
          <cell r="W753">
            <v>0.25</v>
          </cell>
        </row>
        <row r="754">
          <cell r="B754" t="str">
            <v>2L5X3-1/2X1/4X3/4LLBB</v>
          </cell>
          <cell r="C754" t="str">
            <v>2L5X3-1/2X1/4X3/4LLBB</v>
          </cell>
          <cell r="D754" t="str">
            <v>F</v>
          </cell>
          <cell r="E754">
            <v>14</v>
          </cell>
          <cell r="F754">
            <v>4.1399999999999997</v>
          </cell>
          <cell r="G754" t="str">
            <v>2L5X3-1/2X1/4X3/4LLBB</v>
          </cell>
          <cell r="H754">
            <v>5</v>
          </cell>
          <cell r="I754" t="str">
            <v>–</v>
          </cell>
          <cell r="J754" t="str">
            <v>–</v>
          </cell>
          <cell r="K754" t="str">
            <v>–</v>
          </cell>
          <cell r="L754" t="str">
            <v>–</v>
          </cell>
          <cell r="M754" t="str">
            <v>–</v>
          </cell>
          <cell r="N754" t="str">
            <v>–</v>
          </cell>
          <cell r="O754" t="str">
            <v>–</v>
          </cell>
          <cell r="P754">
            <v>3.5</v>
          </cell>
          <cell r="Q754" t="str">
            <v>–</v>
          </cell>
          <cell r="R754" t="str">
            <v>–</v>
          </cell>
          <cell r="S754" t="str">
            <v>–</v>
          </cell>
          <cell r="T754" t="str">
            <v>–</v>
          </cell>
          <cell r="U754" t="str">
            <v>–</v>
          </cell>
          <cell r="V754" t="str">
            <v>–</v>
          </cell>
          <cell r="W754">
            <v>0.25</v>
          </cell>
        </row>
        <row r="755">
          <cell r="B755" t="str">
            <v>2L5X3X1/2LLBB</v>
          </cell>
          <cell r="C755" t="str">
            <v>2L5X3X1/2LLBB</v>
          </cell>
          <cell r="D755" t="str">
            <v>F</v>
          </cell>
          <cell r="E755">
            <v>25.6</v>
          </cell>
          <cell r="F755">
            <v>7.5</v>
          </cell>
          <cell r="G755" t="str">
            <v>2L5X3X1/2LLBB</v>
          </cell>
          <cell r="H755">
            <v>5</v>
          </cell>
          <cell r="I755" t="str">
            <v>–</v>
          </cell>
          <cell r="J755" t="str">
            <v>–</v>
          </cell>
          <cell r="K755" t="str">
            <v>–</v>
          </cell>
          <cell r="L755" t="str">
            <v>–</v>
          </cell>
          <cell r="M755" t="str">
            <v>–</v>
          </cell>
          <cell r="N755" t="str">
            <v>–</v>
          </cell>
          <cell r="O755" t="str">
            <v>–</v>
          </cell>
          <cell r="P755">
            <v>3</v>
          </cell>
          <cell r="Q755" t="str">
            <v>–</v>
          </cell>
          <cell r="R755" t="str">
            <v>–</v>
          </cell>
          <cell r="S755" t="str">
            <v>–</v>
          </cell>
          <cell r="T755" t="str">
            <v>–</v>
          </cell>
          <cell r="U755" t="str">
            <v>–</v>
          </cell>
          <cell r="V755" t="str">
            <v>–</v>
          </cell>
          <cell r="W755">
            <v>0.5</v>
          </cell>
        </row>
        <row r="756">
          <cell r="B756" t="str">
            <v>2L5X3X1/2X3/8LLBB</v>
          </cell>
          <cell r="C756" t="str">
            <v>2L5X3X1/2X3/8LLBB</v>
          </cell>
          <cell r="D756" t="str">
            <v>F</v>
          </cell>
          <cell r="E756">
            <v>25.6</v>
          </cell>
          <cell r="F756">
            <v>7.5</v>
          </cell>
          <cell r="G756" t="str">
            <v>2L5X3X1/2X3/8LLBB</v>
          </cell>
          <cell r="H756">
            <v>5</v>
          </cell>
          <cell r="I756" t="str">
            <v>–</v>
          </cell>
          <cell r="J756" t="str">
            <v>–</v>
          </cell>
          <cell r="K756" t="str">
            <v>–</v>
          </cell>
          <cell r="L756" t="str">
            <v>–</v>
          </cell>
          <cell r="M756" t="str">
            <v>–</v>
          </cell>
          <cell r="N756" t="str">
            <v>–</v>
          </cell>
          <cell r="O756" t="str">
            <v>–</v>
          </cell>
          <cell r="P756">
            <v>3</v>
          </cell>
          <cell r="Q756" t="str">
            <v>–</v>
          </cell>
          <cell r="R756" t="str">
            <v>–</v>
          </cell>
          <cell r="S756" t="str">
            <v>–</v>
          </cell>
          <cell r="T756" t="str">
            <v>–</v>
          </cell>
          <cell r="U756" t="str">
            <v>–</v>
          </cell>
          <cell r="V756" t="str">
            <v>–</v>
          </cell>
          <cell r="W756">
            <v>0.5</v>
          </cell>
        </row>
        <row r="757">
          <cell r="B757" t="str">
            <v>2L5X3X1/2X3/4LLBB</v>
          </cell>
          <cell r="C757" t="str">
            <v>2L5X3X1/2X3/4LLBB</v>
          </cell>
          <cell r="D757" t="str">
            <v>F</v>
          </cell>
          <cell r="E757">
            <v>25.6</v>
          </cell>
          <cell r="F757">
            <v>7.5</v>
          </cell>
          <cell r="G757" t="str">
            <v>2L5X3X1/2X3/4LLBB</v>
          </cell>
          <cell r="H757">
            <v>5</v>
          </cell>
          <cell r="I757" t="str">
            <v>–</v>
          </cell>
          <cell r="J757" t="str">
            <v>–</v>
          </cell>
          <cell r="K757" t="str">
            <v>–</v>
          </cell>
          <cell r="L757" t="str">
            <v>–</v>
          </cell>
          <cell r="M757" t="str">
            <v>–</v>
          </cell>
          <cell r="N757" t="str">
            <v>–</v>
          </cell>
          <cell r="O757" t="str">
            <v>–</v>
          </cell>
          <cell r="P757">
            <v>3</v>
          </cell>
          <cell r="Q757" t="str">
            <v>–</v>
          </cell>
          <cell r="R757" t="str">
            <v>–</v>
          </cell>
          <cell r="S757" t="str">
            <v>–</v>
          </cell>
          <cell r="T757" t="str">
            <v>–</v>
          </cell>
          <cell r="U757" t="str">
            <v>–</v>
          </cell>
          <cell r="V757" t="str">
            <v>–</v>
          </cell>
          <cell r="W757">
            <v>0.5</v>
          </cell>
        </row>
        <row r="758">
          <cell r="B758" t="str">
            <v>2L5X3X7/16LLBB</v>
          </cell>
          <cell r="C758" t="str">
            <v>2L5X3X7/16LLBB</v>
          </cell>
          <cell r="D758" t="str">
            <v>F</v>
          </cell>
          <cell r="E758">
            <v>22.6</v>
          </cell>
          <cell r="F758">
            <v>6.62</v>
          </cell>
          <cell r="G758" t="str">
            <v>2L5X3X7/16LLBB</v>
          </cell>
          <cell r="H758">
            <v>5</v>
          </cell>
          <cell r="I758" t="str">
            <v>–</v>
          </cell>
          <cell r="J758" t="str">
            <v>–</v>
          </cell>
          <cell r="K758" t="str">
            <v>–</v>
          </cell>
          <cell r="L758" t="str">
            <v>–</v>
          </cell>
          <cell r="M758" t="str">
            <v>–</v>
          </cell>
          <cell r="N758" t="str">
            <v>–</v>
          </cell>
          <cell r="O758" t="str">
            <v>–</v>
          </cell>
          <cell r="P758">
            <v>3</v>
          </cell>
          <cell r="Q758" t="str">
            <v>–</v>
          </cell>
          <cell r="R758" t="str">
            <v>–</v>
          </cell>
          <cell r="S758" t="str">
            <v>–</v>
          </cell>
          <cell r="T758" t="str">
            <v>–</v>
          </cell>
          <cell r="U758" t="str">
            <v>–</v>
          </cell>
          <cell r="V758" t="str">
            <v>–</v>
          </cell>
          <cell r="W758">
            <v>0.438</v>
          </cell>
        </row>
        <row r="759">
          <cell r="B759" t="str">
            <v>2L5X3X7/16X3/8LLBB</v>
          </cell>
          <cell r="C759" t="str">
            <v>2L5X3X7/16X3/8LLBB</v>
          </cell>
          <cell r="D759" t="str">
            <v>F</v>
          </cell>
          <cell r="E759">
            <v>22.6</v>
          </cell>
          <cell r="F759">
            <v>6.62</v>
          </cell>
          <cell r="G759" t="str">
            <v>2L5X3X7/16X3/8LLBB</v>
          </cell>
          <cell r="H759">
            <v>5</v>
          </cell>
          <cell r="I759" t="str">
            <v>–</v>
          </cell>
          <cell r="J759" t="str">
            <v>–</v>
          </cell>
          <cell r="K759" t="str">
            <v>–</v>
          </cell>
          <cell r="L759" t="str">
            <v>–</v>
          </cell>
          <cell r="M759" t="str">
            <v>–</v>
          </cell>
          <cell r="N759" t="str">
            <v>–</v>
          </cell>
          <cell r="O759" t="str">
            <v>–</v>
          </cell>
          <cell r="P759">
            <v>3</v>
          </cell>
          <cell r="Q759" t="str">
            <v>–</v>
          </cell>
          <cell r="R759" t="str">
            <v>–</v>
          </cell>
          <cell r="S759" t="str">
            <v>–</v>
          </cell>
          <cell r="T759" t="str">
            <v>–</v>
          </cell>
          <cell r="U759" t="str">
            <v>–</v>
          </cell>
          <cell r="V759" t="str">
            <v>–</v>
          </cell>
          <cell r="W759">
            <v>0.438</v>
          </cell>
        </row>
        <row r="760">
          <cell r="B760" t="str">
            <v>2L5X3X7/16X3/4LLBB</v>
          </cell>
          <cell r="C760" t="str">
            <v>2L5X3X7/16X3/4LLBB</v>
          </cell>
          <cell r="D760" t="str">
            <v>F</v>
          </cell>
          <cell r="E760">
            <v>22.6</v>
          </cell>
          <cell r="F760">
            <v>6.62</v>
          </cell>
          <cell r="G760" t="str">
            <v>2L5X3X7/16X3/4LLBB</v>
          </cell>
          <cell r="H760">
            <v>5</v>
          </cell>
          <cell r="I760" t="str">
            <v>–</v>
          </cell>
          <cell r="J760" t="str">
            <v>–</v>
          </cell>
          <cell r="K760" t="str">
            <v>–</v>
          </cell>
          <cell r="L760" t="str">
            <v>–</v>
          </cell>
          <cell r="M760" t="str">
            <v>–</v>
          </cell>
          <cell r="N760" t="str">
            <v>–</v>
          </cell>
          <cell r="O760" t="str">
            <v>–</v>
          </cell>
          <cell r="P760">
            <v>3</v>
          </cell>
          <cell r="Q760" t="str">
            <v>–</v>
          </cell>
          <cell r="R760" t="str">
            <v>–</v>
          </cell>
          <cell r="S760" t="str">
            <v>–</v>
          </cell>
          <cell r="T760" t="str">
            <v>–</v>
          </cell>
          <cell r="U760" t="str">
            <v>–</v>
          </cell>
          <cell r="V760" t="str">
            <v>–</v>
          </cell>
          <cell r="W760">
            <v>0.438</v>
          </cell>
        </row>
        <row r="761">
          <cell r="B761" t="str">
            <v>2L5X3X3/8LLBB</v>
          </cell>
          <cell r="C761" t="str">
            <v>2L5X3X3/8LLBB</v>
          </cell>
          <cell r="D761" t="str">
            <v>F</v>
          </cell>
          <cell r="E761">
            <v>19.600000000000001</v>
          </cell>
          <cell r="F761">
            <v>5.72</v>
          </cell>
          <cell r="G761" t="str">
            <v>2L5X3X3/8LLBB</v>
          </cell>
          <cell r="H761">
            <v>5</v>
          </cell>
          <cell r="I761" t="str">
            <v>–</v>
          </cell>
          <cell r="J761" t="str">
            <v>–</v>
          </cell>
          <cell r="K761" t="str">
            <v>–</v>
          </cell>
          <cell r="L761" t="str">
            <v>–</v>
          </cell>
          <cell r="M761" t="str">
            <v>–</v>
          </cell>
          <cell r="N761" t="str">
            <v>–</v>
          </cell>
          <cell r="O761" t="str">
            <v>–</v>
          </cell>
          <cell r="P761">
            <v>3</v>
          </cell>
          <cell r="Q761" t="str">
            <v>–</v>
          </cell>
          <cell r="R761" t="str">
            <v>–</v>
          </cell>
          <cell r="S761" t="str">
            <v>–</v>
          </cell>
          <cell r="T761" t="str">
            <v>–</v>
          </cell>
          <cell r="U761" t="str">
            <v>–</v>
          </cell>
          <cell r="V761" t="str">
            <v>–</v>
          </cell>
          <cell r="W761">
            <v>0.375</v>
          </cell>
        </row>
        <row r="762">
          <cell r="B762" t="str">
            <v>2L5X3X3/8X3/8LLBB</v>
          </cell>
          <cell r="C762" t="str">
            <v>2L5X3X3/8X3/8LLBB</v>
          </cell>
          <cell r="D762" t="str">
            <v>F</v>
          </cell>
          <cell r="E762">
            <v>19.600000000000001</v>
          </cell>
          <cell r="F762">
            <v>5.72</v>
          </cell>
          <cell r="G762" t="str">
            <v>2L5X3X3/8X3/8LLBB</v>
          </cell>
          <cell r="H762">
            <v>5</v>
          </cell>
          <cell r="I762" t="str">
            <v>–</v>
          </cell>
          <cell r="J762" t="str">
            <v>–</v>
          </cell>
          <cell r="K762" t="str">
            <v>–</v>
          </cell>
          <cell r="L762" t="str">
            <v>–</v>
          </cell>
          <cell r="M762" t="str">
            <v>–</v>
          </cell>
          <cell r="N762" t="str">
            <v>–</v>
          </cell>
          <cell r="O762" t="str">
            <v>–</v>
          </cell>
          <cell r="P762">
            <v>3</v>
          </cell>
          <cell r="Q762" t="str">
            <v>–</v>
          </cell>
          <cell r="R762" t="str">
            <v>–</v>
          </cell>
          <cell r="S762" t="str">
            <v>–</v>
          </cell>
          <cell r="T762" t="str">
            <v>–</v>
          </cell>
          <cell r="U762" t="str">
            <v>–</v>
          </cell>
          <cell r="V762" t="str">
            <v>–</v>
          </cell>
          <cell r="W762">
            <v>0.375</v>
          </cell>
        </row>
        <row r="763">
          <cell r="B763" t="str">
            <v>2L5X3X3/8X3/4LLBB</v>
          </cell>
          <cell r="C763" t="str">
            <v>2L5X3X3/8X3/4LLBB</v>
          </cell>
          <cell r="D763" t="str">
            <v>F</v>
          </cell>
          <cell r="E763">
            <v>19.600000000000001</v>
          </cell>
          <cell r="F763">
            <v>5.72</v>
          </cell>
          <cell r="G763" t="str">
            <v>2L5X3X3/8X3/4LLBB</v>
          </cell>
          <cell r="H763">
            <v>5</v>
          </cell>
          <cell r="I763" t="str">
            <v>–</v>
          </cell>
          <cell r="J763" t="str">
            <v>–</v>
          </cell>
          <cell r="K763" t="str">
            <v>–</v>
          </cell>
          <cell r="L763" t="str">
            <v>–</v>
          </cell>
          <cell r="M763" t="str">
            <v>–</v>
          </cell>
          <cell r="N763" t="str">
            <v>–</v>
          </cell>
          <cell r="O763" t="str">
            <v>–</v>
          </cell>
          <cell r="P763">
            <v>3</v>
          </cell>
          <cell r="Q763" t="str">
            <v>–</v>
          </cell>
          <cell r="R763" t="str">
            <v>–</v>
          </cell>
          <cell r="S763" t="str">
            <v>–</v>
          </cell>
          <cell r="T763" t="str">
            <v>–</v>
          </cell>
          <cell r="U763" t="str">
            <v>–</v>
          </cell>
          <cell r="V763" t="str">
            <v>–</v>
          </cell>
          <cell r="W763">
            <v>0.375</v>
          </cell>
        </row>
        <row r="764">
          <cell r="B764" t="str">
            <v>2L5X3X5/16LLBB</v>
          </cell>
          <cell r="C764" t="str">
            <v>2L5X3X5/16LLBB</v>
          </cell>
          <cell r="D764" t="str">
            <v>F</v>
          </cell>
          <cell r="E764">
            <v>16.399999999999999</v>
          </cell>
          <cell r="F764">
            <v>4.82</v>
          </cell>
          <cell r="G764" t="str">
            <v>2L5X3X5/16LLBB</v>
          </cell>
          <cell r="H764">
            <v>5</v>
          </cell>
          <cell r="I764" t="str">
            <v>–</v>
          </cell>
          <cell r="J764" t="str">
            <v>–</v>
          </cell>
          <cell r="K764" t="str">
            <v>–</v>
          </cell>
          <cell r="L764" t="str">
            <v>–</v>
          </cell>
          <cell r="M764" t="str">
            <v>–</v>
          </cell>
          <cell r="N764" t="str">
            <v>–</v>
          </cell>
          <cell r="O764" t="str">
            <v>–</v>
          </cell>
          <cell r="P764">
            <v>3</v>
          </cell>
          <cell r="Q764" t="str">
            <v>–</v>
          </cell>
          <cell r="R764" t="str">
            <v>–</v>
          </cell>
          <cell r="S764" t="str">
            <v>–</v>
          </cell>
          <cell r="T764" t="str">
            <v>–</v>
          </cell>
          <cell r="U764" t="str">
            <v>–</v>
          </cell>
          <cell r="V764" t="str">
            <v>–</v>
          </cell>
          <cell r="W764">
            <v>0.313</v>
          </cell>
        </row>
        <row r="765">
          <cell r="B765" t="str">
            <v>2L5X3X5/16X3/8LLBB</v>
          </cell>
          <cell r="C765" t="str">
            <v>2L5X3X5/16X3/8LLBB</v>
          </cell>
          <cell r="D765" t="str">
            <v>F</v>
          </cell>
          <cell r="E765">
            <v>16.399999999999999</v>
          </cell>
          <cell r="F765">
            <v>4.82</v>
          </cell>
          <cell r="G765" t="str">
            <v>2L5X3X5/16X3/8LLBB</v>
          </cell>
          <cell r="H765">
            <v>5</v>
          </cell>
          <cell r="I765" t="str">
            <v>–</v>
          </cell>
          <cell r="J765" t="str">
            <v>–</v>
          </cell>
          <cell r="K765" t="str">
            <v>–</v>
          </cell>
          <cell r="L765" t="str">
            <v>–</v>
          </cell>
          <cell r="M765" t="str">
            <v>–</v>
          </cell>
          <cell r="N765" t="str">
            <v>–</v>
          </cell>
          <cell r="O765" t="str">
            <v>–</v>
          </cell>
          <cell r="P765">
            <v>3</v>
          </cell>
          <cell r="Q765" t="str">
            <v>–</v>
          </cell>
          <cell r="R765" t="str">
            <v>–</v>
          </cell>
          <cell r="S765" t="str">
            <v>–</v>
          </cell>
          <cell r="T765" t="str">
            <v>–</v>
          </cell>
          <cell r="U765" t="str">
            <v>–</v>
          </cell>
          <cell r="V765" t="str">
            <v>–</v>
          </cell>
          <cell r="W765">
            <v>0.313</v>
          </cell>
        </row>
        <row r="766">
          <cell r="B766" t="str">
            <v>2L5X3X5/16X3/4LLBB</v>
          </cell>
          <cell r="C766" t="str">
            <v>2L5X3X5/16X3/4LLBB</v>
          </cell>
          <cell r="D766" t="str">
            <v>F</v>
          </cell>
          <cell r="E766">
            <v>16.399999999999999</v>
          </cell>
          <cell r="F766">
            <v>4.82</v>
          </cell>
          <cell r="G766" t="str">
            <v>2L5X3X5/16X3/4LLBB</v>
          </cell>
          <cell r="H766">
            <v>5</v>
          </cell>
          <cell r="I766" t="str">
            <v>–</v>
          </cell>
          <cell r="J766" t="str">
            <v>–</v>
          </cell>
          <cell r="K766" t="str">
            <v>–</v>
          </cell>
          <cell r="L766" t="str">
            <v>–</v>
          </cell>
          <cell r="M766" t="str">
            <v>–</v>
          </cell>
          <cell r="N766" t="str">
            <v>–</v>
          </cell>
          <cell r="O766" t="str">
            <v>–</v>
          </cell>
          <cell r="P766">
            <v>3</v>
          </cell>
          <cell r="Q766" t="str">
            <v>–</v>
          </cell>
          <cell r="R766" t="str">
            <v>–</v>
          </cell>
          <cell r="S766" t="str">
            <v>–</v>
          </cell>
          <cell r="T766" t="str">
            <v>–</v>
          </cell>
          <cell r="U766" t="str">
            <v>–</v>
          </cell>
          <cell r="V766" t="str">
            <v>–</v>
          </cell>
          <cell r="W766">
            <v>0.313</v>
          </cell>
        </row>
        <row r="767">
          <cell r="B767" t="str">
            <v>2L5X3X1/4LLBB</v>
          </cell>
          <cell r="C767" t="str">
            <v>2L5X3X1/4LLBB</v>
          </cell>
          <cell r="D767" t="str">
            <v>F</v>
          </cell>
          <cell r="E767">
            <v>13.2</v>
          </cell>
          <cell r="F767">
            <v>3.88</v>
          </cell>
          <cell r="G767" t="str">
            <v>2L5X3X1/4LLBB</v>
          </cell>
          <cell r="H767">
            <v>5</v>
          </cell>
          <cell r="I767" t="str">
            <v>–</v>
          </cell>
          <cell r="J767" t="str">
            <v>–</v>
          </cell>
          <cell r="K767" t="str">
            <v>–</v>
          </cell>
          <cell r="L767" t="str">
            <v>–</v>
          </cell>
          <cell r="M767" t="str">
            <v>–</v>
          </cell>
          <cell r="N767" t="str">
            <v>–</v>
          </cell>
          <cell r="O767" t="str">
            <v>–</v>
          </cell>
          <cell r="P767">
            <v>3</v>
          </cell>
          <cell r="Q767" t="str">
            <v>–</v>
          </cell>
          <cell r="R767" t="str">
            <v>–</v>
          </cell>
          <cell r="S767" t="str">
            <v>–</v>
          </cell>
          <cell r="T767" t="str">
            <v>–</v>
          </cell>
          <cell r="U767" t="str">
            <v>–</v>
          </cell>
          <cell r="V767" t="str">
            <v>–</v>
          </cell>
          <cell r="W767">
            <v>0.25</v>
          </cell>
        </row>
        <row r="768">
          <cell r="B768" t="str">
            <v>2L5X3X1/4X3/8LLBB</v>
          </cell>
          <cell r="C768" t="str">
            <v>2L5X3X1/4X3/8LLBB</v>
          </cell>
          <cell r="D768" t="str">
            <v>F</v>
          </cell>
          <cell r="E768">
            <v>13.2</v>
          </cell>
          <cell r="F768">
            <v>3.88</v>
          </cell>
          <cell r="G768" t="str">
            <v>2L5X3X1/4X3/8LLBB</v>
          </cell>
          <cell r="H768">
            <v>5</v>
          </cell>
          <cell r="I768" t="str">
            <v>–</v>
          </cell>
          <cell r="J768" t="str">
            <v>–</v>
          </cell>
          <cell r="K768" t="str">
            <v>–</v>
          </cell>
          <cell r="L768" t="str">
            <v>–</v>
          </cell>
          <cell r="M768" t="str">
            <v>–</v>
          </cell>
          <cell r="N768" t="str">
            <v>–</v>
          </cell>
          <cell r="O768" t="str">
            <v>–</v>
          </cell>
          <cell r="P768">
            <v>3</v>
          </cell>
          <cell r="Q768" t="str">
            <v>–</v>
          </cell>
          <cell r="R768" t="str">
            <v>–</v>
          </cell>
          <cell r="S768" t="str">
            <v>–</v>
          </cell>
          <cell r="T768" t="str">
            <v>–</v>
          </cell>
          <cell r="U768" t="str">
            <v>–</v>
          </cell>
          <cell r="V768" t="str">
            <v>–</v>
          </cell>
          <cell r="W768">
            <v>0.25</v>
          </cell>
        </row>
        <row r="769">
          <cell r="B769" t="str">
            <v>2L5X3X1/4X3/4LLBB</v>
          </cell>
          <cell r="C769" t="str">
            <v>2L5X3X1/4X3/4LLBB</v>
          </cell>
          <cell r="D769" t="str">
            <v>F</v>
          </cell>
          <cell r="E769">
            <v>13.2</v>
          </cell>
          <cell r="F769">
            <v>3.88</v>
          </cell>
          <cell r="G769" t="str">
            <v>2L5X3X1/4X3/4LLBB</v>
          </cell>
          <cell r="H769">
            <v>5</v>
          </cell>
          <cell r="I769" t="str">
            <v>–</v>
          </cell>
          <cell r="J769" t="str">
            <v>–</v>
          </cell>
          <cell r="K769" t="str">
            <v>–</v>
          </cell>
          <cell r="L769" t="str">
            <v>–</v>
          </cell>
          <cell r="M769" t="str">
            <v>–</v>
          </cell>
          <cell r="N769" t="str">
            <v>–</v>
          </cell>
          <cell r="O769" t="str">
            <v>–</v>
          </cell>
          <cell r="P769">
            <v>3</v>
          </cell>
          <cell r="Q769" t="str">
            <v>–</v>
          </cell>
          <cell r="R769" t="str">
            <v>–</v>
          </cell>
          <cell r="S769" t="str">
            <v>–</v>
          </cell>
          <cell r="T769" t="str">
            <v>–</v>
          </cell>
          <cell r="U769" t="str">
            <v>–</v>
          </cell>
          <cell r="V769" t="str">
            <v>–</v>
          </cell>
          <cell r="W769">
            <v>0.25</v>
          </cell>
        </row>
        <row r="770">
          <cell r="B770" t="str">
            <v>2L4X3-1/2X1/2LLBB</v>
          </cell>
          <cell r="C770" t="str">
            <v>2L4X3-1/2X1/2LLBB</v>
          </cell>
          <cell r="D770" t="str">
            <v>F</v>
          </cell>
          <cell r="E770">
            <v>23.8</v>
          </cell>
          <cell r="F770">
            <v>7</v>
          </cell>
          <cell r="G770" t="str">
            <v>2L4X3-1/2X1/2LLBB</v>
          </cell>
          <cell r="H770">
            <v>4</v>
          </cell>
          <cell r="I770" t="str">
            <v>–</v>
          </cell>
          <cell r="J770" t="str">
            <v>–</v>
          </cell>
          <cell r="K770" t="str">
            <v>–</v>
          </cell>
          <cell r="L770" t="str">
            <v>–</v>
          </cell>
          <cell r="M770" t="str">
            <v>–</v>
          </cell>
          <cell r="N770" t="str">
            <v>–</v>
          </cell>
          <cell r="O770" t="str">
            <v>–</v>
          </cell>
          <cell r="P770">
            <v>3.5</v>
          </cell>
          <cell r="Q770" t="str">
            <v>–</v>
          </cell>
          <cell r="R770" t="str">
            <v>–</v>
          </cell>
          <cell r="S770" t="str">
            <v>–</v>
          </cell>
          <cell r="T770" t="str">
            <v>–</v>
          </cell>
          <cell r="U770" t="str">
            <v>–</v>
          </cell>
          <cell r="V770" t="str">
            <v>–</v>
          </cell>
          <cell r="W770">
            <v>0.5</v>
          </cell>
        </row>
        <row r="771">
          <cell r="B771" t="str">
            <v>2L4X3-1/2X1/2X3/8LLBB</v>
          </cell>
          <cell r="C771" t="str">
            <v>2L4X3-1/2X1/2X3/8LLBB</v>
          </cell>
          <cell r="D771" t="str">
            <v>F</v>
          </cell>
          <cell r="E771">
            <v>23.8</v>
          </cell>
          <cell r="F771">
            <v>7</v>
          </cell>
          <cell r="G771" t="str">
            <v>2L4X3-1/2X1/2X3/8LLBB</v>
          </cell>
          <cell r="H771">
            <v>4</v>
          </cell>
          <cell r="I771" t="str">
            <v>–</v>
          </cell>
          <cell r="J771" t="str">
            <v>–</v>
          </cell>
          <cell r="K771" t="str">
            <v>–</v>
          </cell>
          <cell r="L771" t="str">
            <v>–</v>
          </cell>
          <cell r="M771" t="str">
            <v>–</v>
          </cell>
          <cell r="N771" t="str">
            <v>–</v>
          </cell>
          <cell r="O771" t="str">
            <v>–</v>
          </cell>
          <cell r="P771">
            <v>3.5</v>
          </cell>
          <cell r="Q771" t="str">
            <v>–</v>
          </cell>
          <cell r="R771" t="str">
            <v>–</v>
          </cell>
          <cell r="S771" t="str">
            <v>–</v>
          </cell>
          <cell r="T771" t="str">
            <v>–</v>
          </cell>
          <cell r="U771" t="str">
            <v>–</v>
          </cell>
          <cell r="V771" t="str">
            <v>–</v>
          </cell>
          <cell r="W771">
            <v>0.5</v>
          </cell>
        </row>
        <row r="772">
          <cell r="B772" t="str">
            <v>2L4X3-1/2X1/2X3/4LLBB</v>
          </cell>
          <cell r="C772" t="str">
            <v>2L4X3-1/2X1/2X3/4LLBB</v>
          </cell>
          <cell r="D772" t="str">
            <v>F</v>
          </cell>
          <cell r="E772">
            <v>23.8</v>
          </cell>
          <cell r="F772">
            <v>7</v>
          </cell>
          <cell r="G772" t="str">
            <v>2L4X3-1/2X1/2X3/4LLBB</v>
          </cell>
          <cell r="H772">
            <v>4</v>
          </cell>
          <cell r="I772" t="str">
            <v>–</v>
          </cell>
          <cell r="J772" t="str">
            <v>–</v>
          </cell>
          <cell r="K772" t="str">
            <v>–</v>
          </cell>
          <cell r="L772" t="str">
            <v>–</v>
          </cell>
          <cell r="M772" t="str">
            <v>–</v>
          </cell>
          <cell r="N772" t="str">
            <v>–</v>
          </cell>
          <cell r="O772" t="str">
            <v>–</v>
          </cell>
          <cell r="P772">
            <v>3.5</v>
          </cell>
          <cell r="Q772" t="str">
            <v>–</v>
          </cell>
          <cell r="R772" t="str">
            <v>–</v>
          </cell>
          <cell r="S772" t="str">
            <v>–</v>
          </cell>
          <cell r="T772" t="str">
            <v>–</v>
          </cell>
          <cell r="U772" t="str">
            <v>–</v>
          </cell>
          <cell r="V772" t="str">
            <v>–</v>
          </cell>
          <cell r="W772">
            <v>0.5</v>
          </cell>
        </row>
        <row r="773">
          <cell r="B773" t="str">
            <v>2L4X3-1/2X3/8LLBB</v>
          </cell>
          <cell r="C773" t="str">
            <v>2L4X3-1/2X3/8LLBB</v>
          </cell>
          <cell r="D773" t="str">
            <v>F</v>
          </cell>
          <cell r="E773">
            <v>18.2</v>
          </cell>
          <cell r="F773">
            <v>5.36</v>
          </cell>
          <cell r="G773" t="str">
            <v>2L4X3-1/2X3/8LLBB</v>
          </cell>
          <cell r="H773">
            <v>4</v>
          </cell>
          <cell r="I773" t="str">
            <v>–</v>
          </cell>
          <cell r="J773" t="str">
            <v>–</v>
          </cell>
          <cell r="K773" t="str">
            <v>–</v>
          </cell>
          <cell r="L773" t="str">
            <v>–</v>
          </cell>
          <cell r="M773" t="str">
            <v>–</v>
          </cell>
          <cell r="N773" t="str">
            <v>–</v>
          </cell>
          <cell r="O773" t="str">
            <v>–</v>
          </cell>
          <cell r="P773">
            <v>3.5</v>
          </cell>
          <cell r="Q773" t="str">
            <v>–</v>
          </cell>
          <cell r="R773" t="str">
            <v>–</v>
          </cell>
          <cell r="S773" t="str">
            <v>–</v>
          </cell>
          <cell r="T773" t="str">
            <v>–</v>
          </cell>
          <cell r="U773" t="str">
            <v>–</v>
          </cell>
          <cell r="V773" t="str">
            <v>–</v>
          </cell>
          <cell r="W773">
            <v>0.375</v>
          </cell>
        </row>
        <row r="774">
          <cell r="B774" t="str">
            <v>2L4X3-1/2X3/8X3/8LLBB</v>
          </cell>
          <cell r="C774" t="str">
            <v>2L4X3-1/2X3/8X3/8LLBB</v>
          </cell>
          <cell r="D774" t="str">
            <v>F</v>
          </cell>
          <cell r="E774">
            <v>18.2</v>
          </cell>
          <cell r="F774">
            <v>5.36</v>
          </cell>
          <cell r="G774" t="str">
            <v>2L4X3-1/2X3/8X3/8LLBB</v>
          </cell>
          <cell r="H774">
            <v>4</v>
          </cell>
          <cell r="I774" t="str">
            <v>–</v>
          </cell>
          <cell r="J774" t="str">
            <v>–</v>
          </cell>
          <cell r="K774" t="str">
            <v>–</v>
          </cell>
          <cell r="L774" t="str">
            <v>–</v>
          </cell>
          <cell r="M774" t="str">
            <v>–</v>
          </cell>
          <cell r="N774" t="str">
            <v>–</v>
          </cell>
          <cell r="O774" t="str">
            <v>–</v>
          </cell>
          <cell r="P774">
            <v>3.5</v>
          </cell>
          <cell r="Q774" t="str">
            <v>–</v>
          </cell>
          <cell r="R774" t="str">
            <v>–</v>
          </cell>
          <cell r="S774" t="str">
            <v>–</v>
          </cell>
          <cell r="T774" t="str">
            <v>–</v>
          </cell>
          <cell r="U774" t="str">
            <v>–</v>
          </cell>
          <cell r="V774" t="str">
            <v>–</v>
          </cell>
          <cell r="W774">
            <v>0.375</v>
          </cell>
        </row>
        <row r="775">
          <cell r="B775" t="str">
            <v>2L4X3-1/2X3/8X3/4LLBB</v>
          </cell>
          <cell r="C775" t="str">
            <v>2L4X3-1/2X3/8X3/4LLBB</v>
          </cell>
          <cell r="D775" t="str">
            <v>F</v>
          </cell>
          <cell r="E775">
            <v>18.2</v>
          </cell>
          <cell r="F775">
            <v>5.36</v>
          </cell>
          <cell r="G775" t="str">
            <v>2L4X3-1/2X3/8X3/4LLBB</v>
          </cell>
          <cell r="H775">
            <v>4</v>
          </cell>
          <cell r="I775" t="str">
            <v>–</v>
          </cell>
          <cell r="J775" t="str">
            <v>–</v>
          </cell>
          <cell r="K775" t="str">
            <v>–</v>
          </cell>
          <cell r="L775" t="str">
            <v>–</v>
          </cell>
          <cell r="M775" t="str">
            <v>–</v>
          </cell>
          <cell r="N775" t="str">
            <v>–</v>
          </cell>
          <cell r="O775" t="str">
            <v>–</v>
          </cell>
          <cell r="P775">
            <v>3.5</v>
          </cell>
          <cell r="Q775" t="str">
            <v>–</v>
          </cell>
          <cell r="R775" t="str">
            <v>–</v>
          </cell>
          <cell r="S775" t="str">
            <v>–</v>
          </cell>
          <cell r="T775" t="str">
            <v>–</v>
          </cell>
          <cell r="U775" t="str">
            <v>–</v>
          </cell>
          <cell r="V775" t="str">
            <v>–</v>
          </cell>
          <cell r="W775">
            <v>0.375</v>
          </cell>
        </row>
        <row r="776">
          <cell r="B776" t="str">
            <v>2L4X3-1/2X5/16LLBB</v>
          </cell>
          <cell r="C776" t="str">
            <v>2L4X3-1/2X5/16LLBB</v>
          </cell>
          <cell r="D776" t="str">
            <v>F</v>
          </cell>
          <cell r="E776">
            <v>15.4</v>
          </cell>
          <cell r="F776">
            <v>4.5</v>
          </cell>
          <cell r="G776" t="str">
            <v>2L4X3-1/2X5/16LLBB</v>
          </cell>
          <cell r="H776">
            <v>4</v>
          </cell>
          <cell r="I776" t="str">
            <v>–</v>
          </cell>
          <cell r="J776" t="str">
            <v>–</v>
          </cell>
          <cell r="K776" t="str">
            <v>–</v>
          </cell>
          <cell r="L776" t="str">
            <v>–</v>
          </cell>
          <cell r="M776" t="str">
            <v>–</v>
          </cell>
          <cell r="N776" t="str">
            <v>–</v>
          </cell>
          <cell r="O776" t="str">
            <v>–</v>
          </cell>
          <cell r="P776">
            <v>3.5</v>
          </cell>
          <cell r="Q776" t="str">
            <v>–</v>
          </cell>
          <cell r="R776" t="str">
            <v>–</v>
          </cell>
          <cell r="S776" t="str">
            <v>–</v>
          </cell>
          <cell r="T776" t="str">
            <v>–</v>
          </cell>
          <cell r="U776" t="str">
            <v>–</v>
          </cell>
          <cell r="V776" t="str">
            <v>–</v>
          </cell>
          <cell r="W776">
            <v>0.313</v>
          </cell>
        </row>
        <row r="777">
          <cell r="B777" t="str">
            <v>2L4X3-1/2X5/16X3/8LLBB</v>
          </cell>
          <cell r="C777" t="str">
            <v>2L4X3-1/2X5/16X3/8LLBB</v>
          </cell>
          <cell r="D777" t="str">
            <v>F</v>
          </cell>
          <cell r="E777">
            <v>15.4</v>
          </cell>
          <cell r="F777">
            <v>4.5</v>
          </cell>
          <cell r="G777" t="str">
            <v>2L4X3-1/2X5/16X3/8LLBB</v>
          </cell>
          <cell r="H777">
            <v>4</v>
          </cell>
          <cell r="I777" t="str">
            <v>–</v>
          </cell>
          <cell r="J777" t="str">
            <v>–</v>
          </cell>
          <cell r="K777" t="str">
            <v>–</v>
          </cell>
          <cell r="L777" t="str">
            <v>–</v>
          </cell>
          <cell r="M777" t="str">
            <v>–</v>
          </cell>
          <cell r="N777" t="str">
            <v>–</v>
          </cell>
          <cell r="O777" t="str">
            <v>–</v>
          </cell>
          <cell r="P777">
            <v>3.5</v>
          </cell>
          <cell r="Q777" t="str">
            <v>–</v>
          </cell>
          <cell r="R777" t="str">
            <v>–</v>
          </cell>
          <cell r="S777" t="str">
            <v>–</v>
          </cell>
          <cell r="T777" t="str">
            <v>–</v>
          </cell>
          <cell r="U777" t="str">
            <v>–</v>
          </cell>
          <cell r="V777" t="str">
            <v>–</v>
          </cell>
          <cell r="W777">
            <v>0.313</v>
          </cell>
        </row>
        <row r="778">
          <cell r="B778" t="str">
            <v>2L4X3-1/2X5/16X3/4LLBB</v>
          </cell>
          <cell r="C778" t="str">
            <v>2L4X3-1/2X5/16X3/4LLBB</v>
          </cell>
          <cell r="D778" t="str">
            <v>F</v>
          </cell>
          <cell r="E778">
            <v>15.4</v>
          </cell>
          <cell r="F778">
            <v>4.5</v>
          </cell>
          <cell r="G778" t="str">
            <v>2L4X3-1/2X5/16X3/4LLBB</v>
          </cell>
          <cell r="H778">
            <v>4</v>
          </cell>
          <cell r="I778" t="str">
            <v>–</v>
          </cell>
          <cell r="J778" t="str">
            <v>–</v>
          </cell>
          <cell r="K778" t="str">
            <v>–</v>
          </cell>
          <cell r="L778" t="str">
            <v>–</v>
          </cell>
          <cell r="M778" t="str">
            <v>–</v>
          </cell>
          <cell r="N778" t="str">
            <v>–</v>
          </cell>
          <cell r="O778" t="str">
            <v>–</v>
          </cell>
          <cell r="P778">
            <v>3.5</v>
          </cell>
          <cell r="Q778" t="str">
            <v>–</v>
          </cell>
          <cell r="R778" t="str">
            <v>–</v>
          </cell>
          <cell r="S778" t="str">
            <v>–</v>
          </cell>
          <cell r="T778" t="str">
            <v>–</v>
          </cell>
          <cell r="U778" t="str">
            <v>–</v>
          </cell>
          <cell r="V778" t="str">
            <v>–</v>
          </cell>
          <cell r="W778">
            <v>0.313</v>
          </cell>
        </row>
        <row r="779">
          <cell r="B779" t="str">
            <v>2L4X3-1/2X1/4LLBB</v>
          </cell>
          <cell r="C779" t="str">
            <v>2L4X3-1/2X1/4LLBB</v>
          </cell>
          <cell r="D779" t="str">
            <v>F</v>
          </cell>
          <cell r="E779">
            <v>12.4</v>
          </cell>
          <cell r="F779">
            <v>3.64</v>
          </cell>
          <cell r="G779" t="str">
            <v>2L4X3-1/2X1/4LLBB</v>
          </cell>
          <cell r="H779">
            <v>4</v>
          </cell>
          <cell r="I779" t="str">
            <v>–</v>
          </cell>
          <cell r="J779" t="str">
            <v>–</v>
          </cell>
          <cell r="K779" t="str">
            <v>–</v>
          </cell>
          <cell r="L779" t="str">
            <v>–</v>
          </cell>
          <cell r="M779" t="str">
            <v>–</v>
          </cell>
          <cell r="N779" t="str">
            <v>–</v>
          </cell>
          <cell r="O779" t="str">
            <v>–</v>
          </cell>
          <cell r="P779">
            <v>3.5</v>
          </cell>
          <cell r="Q779" t="str">
            <v>–</v>
          </cell>
          <cell r="R779" t="str">
            <v>–</v>
          </cell>
          <cell r="S779" t="str">
            <v>–</v>
          </cell>
          <cell r="T779" t="str">
            <v>–</v>
          </cell>
          <cell r="U779" t="str">
            <v>–</v>
          </cell>
          <cell r="V779" t="str">
            <v>–</v>
          </cell>
          <cell r="W779">
            <v>0.25</v>
          </cell>
        </row>
        <row r="780">
          <cell r="B780" t="str">
            <v>2L4X3-1/2X1/4X3/8LLBB</v>
          </cell>
          <cell r="C780" t="str">
            <v>2L4X3-1/2X1/4X3/8LLBB</v>
          </cell>
          <cell r="D780" t="str">
            <v>F</v>
          </cell>
          <cell r="E780">
            <v>12.4</v>
          </cell>
          <cell r="F780">
            <v>3.64</v>
          </cell>
          <cell r="G780" t="str">
            <v>2L4X3-1/2X1/4X3/8LLBB</v>
          </cell>
          <cell r="H780">
            <v>4</v>
          </cell>
          <cell r="I780" t="str">
            <v>–</v>
          </cell>
          <cell r="J780" t="str">
            <v>–</v>
          </cell>
          <cell r="K780" t="str">
            <v>–</v>
          </cell>
          <cell r="L780" t="str">
            <v>–</v>
          </cell>
          <cell r="M780" t="str">
            <v>–</v>
          </cell>
          <cell r="N780" t="str">
            <v>–</v>
          </cell>
          <cell r="O780" t="str">
            <v>–</v>
          </cell>
          <cell r="P780">
            <v>3.5</v>
          </cell>
          <cell r="Q780" t="str">
            <v>–</v>
          </cell>
          <cell r="R780" t="str">
            <v>–</v>
          </cell>
          <cell r="S780" t="str">
            <v>–</v>
          </cell>
          <cell r="T780" t="str">
            <v>–</v>
          </cell>
          <cell r="U780" t="str">
            <v>–</v>
          </cell>
          <cell r="V780" t="str">
            <v>–</v>
          </cell>
          <cell r="W780">
            <v>0.25</v>
          </cell>
        </row>
        <row r="781">
          <cell r="B781" t="str">
            <v>2L4X3-1/2X1/4X3/4LLBB</v>
          </cell>
          <cell r="C781" t="str">
            <v>2L4X3-1/2X1/4X3/4LLBB</v>
          </cell>
          <cell r="D781" t="str">
            <v>F</v>
          </cell>
          <cell r="E781">
            <v>12.4</v>
          </cell>
          <cell r="F781">
            <v>3.64</v>
          </cell>
          <cell r="G781" t="str">
            <v>2L4X3-1/2X1/4X3/4LLBB</v>
          </cell>
          <cell r="H781">
            <v>4</v>
          </cell>
          <cell r="I781" t="str">
            <v>–</v>
          </cell>
          <cell r="J781" t="str">
            <v>–</v>
          </cell>
          <cell r="K781" t="str">
            <v>–</v>
          </cell>
          <cell r="L781" t="str">
            <v>–</v>
          </cell>
          <cell r="M781" t="str">
            <v>–</v>
          </cell>
          <cell r="N781" t="str">
            <v>–</v>
          </cell>
          <cell r="O781" t="str">
            <v>–</v>
          </cell>
          <cell r="P781">
            <v>3.5</v>
          </cell>
          <cell r="Q781" t="str">
            <v>–</v>
          </cell>
          <cell r="R781" t="str">
            <v>–</v>
          </cell>
          <cell r="S781" t="str">
            <v>–</v>
          </cell>
          <cell r="T781" t="str">
            <v>–</v>
          </cell>
          <cell r="U781" t="str">
            <v>–</v>
          </cell>
          <cell r="V781" t="str">
            <v>–</v>
          </cell>
          <cell r="W781">
            <v>0.25</v>
          </cell>
        </row>
        <row r="782">
          <cell r="B782" t="str">
            <v>2L4X3X5/8LLBB</v>
          </cell>
          <cell r="C782" t="str">
            <v>2L4X3X5/8LLBB</v>
          </cell>
          <cell r="D782" t="str">
            <v>F</v>
          </cell>
          <cell r="E782">
            <v>27.2</v>
          </cell>
          <cell r="F782">
            <v>7.98</v>
          </cell>
          <cell r="G782" t="str">
            <v>2L4X3X5/8LLBB</v>
          </cell>
          <cell r="H782">
            <v>4</v>
          </cell>
          <cell r="I782" t="str">
            <v>–</v>
          </cell>
          <cell r="J782" t="str">
            <v>–</v>
          </cell>
          <cell r="K782" t="str">
            <v>–</v>
          </cell>
          <cell r="L782" t="str">
            <v>–</v>
          </cell>
          <cell r="M782" t="str">
            <v>–</v>
          </cell>
          <cell r="N782" t="str">
            <v>–</v>
          </cell>
          <cell r="O782" t="str">
            <v>–</v>
          </cell>
          <cell r="P782">
            <v>3</v>
          </cell>
          <cell r="Q782" t="str">
            <v>–</v>
          </cell>
          <cell r="R782" t="str">
            <v>–</v>
          </cell>
          <cell r="S782" t="str">
            <v>–</v>
          </cell>
          <cell r="T782" t="str">
            <v>–</v>
          </cell>
          <cell r="U782" t="str">
            <v>–</v>
          </cell>
          <cell r="V782" t="str">
            <v>–</v>
          </cell>
          <cell r="W782">
            <v>0.625</v>
          </cell>
        </row>
        <row r="783">
          <cell r="B783" t="str">
            <v>2L4X3X5/8X3/8LLBB</v>
          </cell>
          <cell r="C783" t="str">
            <v>2L4X3X5/8X3/8LLBB</v>
          </cell>
          <cell r="D783" t="str">
            <v>F</v>
          </cell>
          <cell r="E783">
            <v>27.2</v>
          </cell>
          <cell r="F783">
            <v>7.98</v>
          </cell>
          <cell r="G783" t="str">
            <v>2L4X3X5/8X3/8LLBB</v>
          </cell>
          <cell r="H783">
            <v>4</v>
          </cell>
          <cell r="I783" t="str">
            <v>–</v>
          </cell>
          <cell r="J783" t="str">
            <v>–</v>
          </cell>
          <cell r="K783" t="str">
            <v>–</v>
          </cell>
          <cell r="L783" t="str">
            <v>–</v>
          </cell>
          <cell r="M783" t="str">
            <v>–</v>
          </cell>
          <cell r="N783" t="str">
            <v>–</v>
          </cell>
          <cell r="O783" t="str">
            <v>–</v>
          </cell>
          <cell r="P783">
            <v>3</v>
          </cell>
          <cell r="Q783" t="str">
            <v>–</v>
          </cell>
          <cell r="R783" t="str">
            <v>–</v>
          </cell>
          <cell r="S783" t="str">
            <v>–</v>
          </cell>
          <cell r="T783" t="str">
            <v>–</v>
          </cell>
          <cell r="U783" t="str">
            <v>–</v>
          </cell>
          <cell r="V783" t="str">
            <v>–</v>
          </cell>
          <cell r="W783">
            <v>0.625</v>
          </cell>
        </row>
        <row r="784">
          <cell r="B784" t="str">
            <v>2L4X3X5/8X3/4LLBB</v>
          </cell>
          <cell r="C784" t="str">
            <v>2L4X3X5/8X3/4LLBB</v>
          </cell>
          <cell r="D784" t="str">
            <v>F</v>
          </cell>
          <cell r="E784">
            <v>27.2</v>
          </cell>
          <cell r="F784">
            <v>7.98</v>
          </cell>
          <cell r="G784" t="str">
            <v>2L4X3X5/8X3/4LLBB</v>
          </cell>
          <cell r="H784">
            <v>4</v>
          </cell>
          <cell r="I784" t="str">
            <v>–</v>
          </cell>
          <cell r="J784" t="str">
            <v>–</v>
          </cell>
          <cell r="K784" t="str">
            <v>–</v>
          </cell>
          <cell r="L784" t="str">
            <v>–</v>
          </cell>
          <cell r="M784" t="str">
            <v>–</v>
          </cell>
          <cell r="N784" t="str">
            <v>–</v>
          </cell>
          <cell r="O784" t="str">
            <v>–</v>
          </cell>
          <cell r="P784">
            <v>3</v>
          </cell>
          <cell r="Q784" t="str">
            <v>–</v>
          </cell>
          <cell r="R784" t="str">
            <v>–</v>
          </cell>
          <cell r="S784" t="str">
            <v>–</v>
          </cell>
          <cell r="T784" t="str">
            <v>–</v>
          </cell>
          <cell r="U784" t="str">
            <v>–</v>
          </cell>
          <cell r="V784" t="str">
            <v>–</v>
          </cell>
          <cell r="W784">
            <v>0.625</v>
          </cell>
        </row>
        <row r="785">
          <cell r="B785" t="str">
            <v>2L4X3X1/2LLBB</v>
          </cell>
          <cell r="C785" t="str">
            <v>2L4X3X1/2LLBB</v>
          </cell>
          <cell r="D785" t="str">
            <v>F</v>
          </cell>
          <cell r="E785">
            <v>22.2</v>
          </cell>
          <cell r="F785">
            <v>6.5</v>
          </cell>
          <cell r="G785" t="str">
            <v>2L4X3X1/2LLBB</v>
          </cell>
          <cell r="H785">
            <v>4</v>
          </cell>
          <cell r="I785" t="str">
            <v>–</v>
          </cell>
          <cell r="J785" t="str">
            <v>–</v>
          </cell>
          <cell r="K785" t="str">
            <v>–</v>
          </cell>
          <cell r="L785" t="str">
            <v>–</v>
          </cell>
          <cell r="M785" t="str">
            <v>–</v>
          </cell>
          <cell r="N785" t="str">
            <v>–</v>
          </cell>
          <cell r="O785" t="str">
            <v>–</v>
          </cell>
          <cell r="P785">
            <v>3</v>
          </cell>
          <cell r="Q785" t="str">
            <v>–</v>
          </cell>
          <cell r="R785" t="str">
            <v>–</v>
          </cell>
          <cell r="S785" t="str">
            <v>–</v>
          </cell>
          <cell r="T785" t="str">
            <v>–</v>
          </cell>
          <cell r="U785" t="str">
            <v>–</v>
          </cell>
          <cell r="V785" t="str">
            <v>–</v>
          </cell>
          <cell r="W785">
            <v>0.5</v>
          </cell>
        </row>
        <row r="786">
          <cell r="B786" t="str">
            <v>2L4X3X1/2X3/8LLBB</v>
          </cell>
          <cell r="C786" t="str">
            <v>2L4X3X1/2X3/8LLBB</v>
          </cell>
          <cell r="D786" t="str">
            <v>F</v>
          </cell>
          <cell r="E786">
            <v>22.2</v>
          </cell>
          <cell r="F786">
            <v>6.5</v>
          </cell>
          <cell r="G786" t="str">
            <v>2L4X3X1/2X3/8LLBB</v>
          </cell>
          <cell r="H786">
            <v>4</v>
          </cell>
          <cell r="I786" t="str">
            <v>–</v>
          </cell>
          <cell r="J786" t="str">
            <v>–</v>
          </cell>
          <cell r="K786" t="str">
            <v>–</v>
          </cell>
          <cell r="L786" t="str">
            <v>–</v>
          </cell>
          <cell r="M786" t="str">
            <v>–</v>
          </cell>
          <cell r="N786" t="str">
            <v>–</v>
          </cell>
          <cell r="O786" t="str">
            <v>–</v>
          </cell>
          <cell r="P786">
            <v>3</v>
          </cell>
          <cell r="Q786" t="str">
            <v>–</v>
          </cell>
          <cell r="R786" t="str">
            <v>–</v>
          </cell>
          <cell r="S786" t="str">
            <v>–</v>
          </cell>
          <cell r="T786" t="str">
            <v>–</v>
          </cell>
          <cell r="U786" t="str">
            <v>–</v>
          </cell>
          <cell r="V786" t="str">
            <v>–</v>
          </cell>
          <cell r="W786">
            <v>0.5</v>
          </cell>
        </row>
        <row r="787">
          <cell r="B787" t="str">
            <v>2L4X3X1/2X3/4LLBB</v>
          </cell>
          <cell r="C787" t="str">
            <v>2L4X3X1/2X3/4LLBB</v>
          </cell>
          <cell r="D787" t="str">
            <v>F</v>
          </cell>
          <cell r="E787">
            <v>22.2</v>
          </cell>
          <cell r="F787">
            <v>6.5</v>
          </cell>
          <cell r="G787" t="str">
            <v>2L4X3X1/2X3/4LLBB</v>
          </cell>
          <cell r="H787">
            <v>4</v>
          </cell>
          <cell r="I787" t="str">
            <v>–</v>
          </cell>
          <cell r="J787" t="str">
            <v>–</v>
          </cell>
          <cell r="K787" t="str">
            <v>–</v>
          </cell>
          <cell r="L787" t="str">
            <v>–</v>
          </cell>
          <cell r="M787" t="str">
            <v>–</v>
          </cell>
          <cell r="N787" t="str">
            <v>–</v>
          </cell>
          <cell r="O787" t="str">
            <v>–</v>
          </cell>
          <cell r="P787">
            <v>3</v>
          </cell>
          <cell r="Q787" t="str">
            <v>–</v>
          </cell>
          <cell r="R787" t="str">
            <v>–</v>
          </cell>
          <cell r="S787" t="str">
            <v>–</v>
          </cell>
          <cell r="T787" t="str">
            <v>–</v>
          </cell>
          <cell r="U787" t="str">
            <v>–</v>
          </cell>
          <cell r="V787" t="str">
            <v>–</v>
          </cell>
          <cell r="W787">
            <v>0.5</v>
          </cell>
        </row>
        <row r="788">
          <cell r="B788" t="str">
            <v>2L4X3X3/8LLBB</v>
          </cell>
          <cell r="C788" t="str">
            <v>2L4X3X3/8LLBB</v>
          </cell>
          <cell r="D788" t="str">
            <v>F</v>
          </cell>
          <cell r="E788">
            <v>17</v>
          </cell>
          <cell r="F788">
            <v>4.9800000000000004</v>
          </cell>
          <cell r="G788" t="str">
            <v>2L4X3X3/8LLBB</v>
          </cell>
          <cell r="H788">
            <v>4</v>
          </cell>
          <cell r="I788" t="str">
            <v>–</v>
          </cell>
          <cell r="J788" t="str">
            <v>–</v>
          </cell>
          <cell r="K788" t="str">
            <v>–</v>
          </cell>
          <cell r="L788" t="str">
            <v>–</v>
          </cell>
          <cell r="M788" t="str">
            <v>–</v>
          </cell>
          <cell r="N788" t="str">
            <v>–</v>
          </cell>
          <cell r="O788" t="str">
            <v>–</v>
          </cell>
          <cell r="P788">
            <v>3</v>
          </cell>
          <cell r="Q788" t="str">
            <v>–</v>
          </cell>
          <cell r="R788" t="str">
            <v>–</v>
          </cell>
          <cell r="S788" t="str">
            <v>–</v>
          </cell>
          <cell r="T788" t="str">
            <v>–</v>
          </cell>
          <cell r="U788" t="str">
            <v>–</v>
          </cell>
          <cell r="V788" t="str">
            <v>–</v>
          </cell>
          <cell r="W788">
            <v>0.375</v>
          </cell>
        </row>
        <row r="789">
          <cell r="B789" t="str">
            <v>2L4X3X3/8X3/8LLBB</v>
          </cell>
          <cell r="C789" t="str">
            <v>2L4X3X3/8X3/8LLBB</v>
          </cell>
          <cell r="D789" t="str">
            <v>F</v>
          </cell>
          <cell r="E789">
            <v>17</v>
          </cell>
          <cell r="F789">
            <v>4.9800000000000004</v>
          </cell>
          <cell r="G789" t="str">
            <v>2L4X3X3/8X3/8LLBB</v>
          </cell>
          <cell r="H789">
            <v>4</v>
          </cell>
          <cell r="I789" t="str">
            <v>–</v>
          </cell>
          <cell r="J789" t="str">
            <v>–</v>
          </cell>
          <cell r="K789" t="str">
            <v>–</v>
          </cell>
          <cell r="L789" t="str">
            <v>–</v>
          </cell>
          <cell r="M789" t="str">
            <v>–</v>
          </cell>
          <cell r="N789" t="str">
            <v>–</v>
          </cell>
          <cell r="O789" t="str">
            <v>–</v>
          </cell>
          <cell r="P789">
            <v>3</v>
          </cell>
          <cell r="Q789" t="str">
            <v>–</v>
          </cell>
          <cell r="R789" t="str">
            <v>–</v>
          </cell>
          <cell r="S789" t="str">
            <v>–</v>
          </cell>
          <cell r="T789" t="str">
            <v>–</v>
          </cell>
          <cell r="U789" t="str">
            <v>–</v>
          </cell>
          <cell r="V789" t="str">
            <v>–</v>
          </cell>
          <cell r="W789">
            <v>0.375</v>
          </cell>
        </row>
        <row r="790">
          <cell r="B790" t="str">
            <v>2L4X3X3/8X3/4LLBB</v>
          </cell>
          <cell r="C790" t="str">
            <v>2L4X3X3/8X3/4LLBB</v>
          </cell>
          <cell r="D790" t="str">
            <v>F</v>
          </cell>
          <cell r="E790">
            <v>17</v>
          </cell>
          <cell r="F790">
            <v>4.9800000000000004</v>
          </cell>
          <cell r="G790" t="str">
            <v>2L4X3X3/8X3/4LLBB</v>
          </cell>
          <cell r="H790">
            <v>4</v>
          </cell>
          <cell r="I790" t="str">
            <v>–</v>
          </cell>
          <cell r="J790" t="str">
            <v>–</v>
          </cell>
          <cell r="K790" t="str">
            <v>–</v>
          </cell>
          <cell r="L790" t="str">
            <v>–</v>
          </cell>
          <cell r="M790" t="str">
            <v>–</v>
          </cell>
          <cell r="N790" t="str">
            <v>–</v>
          </cell>
          <cell r="O790" t="str">
            <v>–</v>
          </cell>
          <cell r="P790">
            <v>3</v>
          </cell>
          <cell r="Q790" t="str">
            <v>–</v>
          </cell>
          <cell r="R790" t="str">
            <v>–</v>
          </cell>
          <cell r="S790" t="str">
            <v>–</v>
          </cell>
          <cell r="T790" t="str">
            <v>–</v>
          </cell>
          <cell r="U790" t="str">
            <v>–</v>
          </cell>
          <cell r="V790" t="str">
            <v>–</v>
          </cell>
          <cell r="W790">
            <v>0.375</v>
          </cell>
        </row>
        <row r="791">
          <cell r="B791" t="str">
            <v>2L4X3X5/16LLBB</v>
          </cell>
          <cell r="C791" t="str">
            <v>2L4X3X5/16LLBB</v>
          </cell>
          <cell r="D791" t="str">
            <v>F</v>
          </cell>
          <cell r="E791">
            <v>14.4</v>
          </cell>
          <cell r="F791">
            <v>4.18</v>
          </cell>
          <cell r="G791" t="str">
            <v>2L4X3X5/16LLBB</v>
          </cell>
          <cell r="H791">
            <v>4</v>
          </cell>
          <cell r="I791" t="str">
            <v>–</v>
          </cell>
          <cell r="J791" t="str">
            <v>–</v>
          </cell>
          <cell r="K791" t="str">
            <v>–</v>
          </cell>
          <cell r="L791" t="str">
            <v>–</v>
          </cell>
          <cell r="M791" t="str">
            <v>–</v>
          </cell>
          <cell r="N791" t="str">
            <v>–</v>
          </cell>
          <cell r="O791" t="str">
            <v>–</v>
          </cell>
          <cell r="P791">
            <v>3</v>
          </cell>
          <cell r="Q791" t="str">
            <v>–</v>
          </cell>
          <cell r="R791" t="str">
            <v>–</v>
          </cell>
          <cell r="S791" t="str">
            <v>–</v>
          </cell>
          <cell r="T791" t="str">
            <v>–</v>
          </cell>
          <cell r="U791" t="str">
            <v>–</v>
          </cell>
          <cell r="V791" t="str">
            <v>–</v>
          </cell>
          <cell r="W791">
            <v>0.313</v>
          </cell>
        </row>
        <row r="792">
          <cell r="B792" t="str">
            <v>2L4X3X5/16X3/8LLBB</v>
          </cell>
          <cell r="C792" t="str">
            <v>2L4X3X5/16X3/8LLBB</v>
          </cell>
          <cell r="D792" t="str">
            <v>F</v>
          </cell>
          <cell r="E792">
            <v>14.4</v>
          </cell>
          <cell r="F792">
            <v>4.18</v>
          </cell>
          <cell r="G792" t="str">
            <v>2L4X3X5/16X3/8LLBB</v>
          </cell>
          <cell r="H792">
            <v>4</v>
          </cell>
          <cell r="I792" t="str">
            <v>–</v>
          </cell>
          <cell r="J792" t="str">
            <v>–</v>
          </cell>
          <cell r="K792" t="str">
            <v>–</v>
          </cell>
          <cell r="L792" t="str">
            <v>–</v>
          </cell>
          <cell r="M792" t="str">
            <v>–</v>
          </cell>
          <cell r="N792" t="str">
            <v>–</v>
          </cell>
          <cell r="O792" t="str">
            <v>–</v>
          </cell>
          <cell r="P792">
            <v>3</v>
          </cell>
          <cell r="Q792" t="str">
            <v>–</v>
          </cell>
          <cell r="R792" t="str">
            <v>–</v>
          </cell>
          <cell r="S792" t="str">
            <v>–</v>
          </cell>
          <cell r="T792" t="str">
            <v>–</v>
          </cell>
          <cell r="U792" t="str">
            <v>–</v>
          </cell>
          <cell r="V792" t="str">
            <v>–</v>
          </cell>
          <cell r="W792">
            <v>0.313</v>
          </cell>
        </row>
        <row r="793">
          <cell r="B793" t="str">
            <v>2L4X3X5/16X3/4LLBB</v>
          </cell>
          <cell r="C793" t="str">
            <v>2L4X3X5/16X3/4LLBB</v>
          </cell>
          <cell r="D793" t="str">
            <v>F</v>
          </cell>
          <cell r="E793">
            <v>14.4</v>
          </cell>
          <cell r="F793">
            <v>4.18</v>
          </cell>
          <cell r="G793" t="str">
            <v>2L4X3X5/16X3/4LLBB</v>
          </cell>
          <cell r="H793">
            <v>4</v>
          </cell>
          <cell r="I793" t="str">
            <v>–</v>
          </cell>
          <cell r="J793" t="str">
            <v>–</v>
          </cell>
          <cell r="K793" t="str">
            <v>–</v>
          </cell>
          <cell r="L793" t="str">
            <v>–</v>
          </cell>
          <cell r="M793" t="str">
            <v>–</v>
          </cell>
          <cell r="N793" t="str">
            <v>–</v>
          </cell>
          <cell r="O793" t="str">
            <v>–</v>
          </cell>
          <cell r="P793">
            <v>3</v>
          </cell>
          <cell r="Q793" t="str">
            <v>–</v>
          </cell>
          <cell r="R793" t="str">
            <v>–</v>
          </cell>
          <cell r="S793" t="str">
            <v>–</v>
          </cell>
          <cell r="T793" t="str">
            <v>–</v>
          </cell>
          <cell r="U793" t="str">
            <v>–</v>
          </cell>
          <cell r="V793" t="str">
            <v>–</v>
          </cell>
          <cell r="W793">
            <v>0.313</v>
          </cell>
        </row>
        <row r="794">
          <cell r="B794" t="str">
            <v>2L4X3X1/4LLBB</v>
          </cell>
          <cell r="C794" t="str">
            <v>2L4X3X1/4LLBB</v>
          </cell>
          <cell r="D794" t="str">
            <v>F</v>
          </cell>
          <cell r="E794">
            <v>11.6</v>
          </cell>
          <cell r="F794">
            <v>3.38</v>
          </cell>
          <cell r="G794" t="str">
            <v>2L4X3X1/4LLBB</v>
          </cell>
          <cell r="H794">
            <v>4</v>
          </cell>
          <cell r="I794" t="str">
            <v>–</v>
          </cell>
          <cell r="J794" t="str">
            <v>–</v>
          </cell>
          <cell r="K794" t="str">
            <v>–</v>
          </cell>
          <cell r="L794" t="str">
            <v>–</v>
          </cell>
          <cell r="M794" t="str">
            <v>–</v>
          </cell>
          <cell r="N794" t="str">
            <v>–</v>
          </cell>
          <cell r="O794" t="str">
            <v>–</v>
          </cell>
          <cell r="P794">
            <v>3</v>
          </cell>
          <cell r="Q794" t="str">
            <v>–</v>
          </cell>
          <cell r="R794" t="str">
            <v>–</v>
          </cell>
          <cell r="S794" t="str">
            <v>–</v>
          </cell>
          <cell r="T794" t="str">
            <v>–</v>
          </cell>
          <cell r="U794" t="str">
            <v>–</v>
          </cell>
          <cell r="V794" t="str">
            <v>–</v>
          </cell>
          <cell r="W794">
            <v>0.25</v>
          </cell>
        </row>
        <row r="795">
          <cell r="B795" t="str">
            <v>2L4X3X1/4X3/8LLBB</v>
          </cell>
          <cell r="C795" t="str">
            <v>2L4X3X1/4X3/8LLBB</v>
          </cell>
          <cell r="D795" t="str">
            <v>F</v>
          </cell>
          <cell r="E795">
            <v>11.6</v>
          </cell>
          <cell r="F795">
            <v>3.38</v>
          </cell>
          <cell r="G795" t="str">
            <v>2L4X3X1/4X3/8LLBB</v>
          </cell>
          <cell r="H795">
            <v>4</v>
          </cell>
          <cell r="I795" t="str">
            <v>–</v>
          </cell>
          <cell r="J795" t="str">
            <v>–</v>
          </cell>
          <cell r="K795" t="str">
            <v>–</v>
          </cell>
          <cell r="L795" t="str">
            <v>–</v>
          </cell>
          <cell r="M795" t="str">
            <v>–</v>
          </cell>
          <cell r="N795" t="str">
            <v>–</v>
          </cell>
          <cell r="O795" t="str">
            <v>–</v>
          </cell>
          <cell r="P795">
            <v>3</v>
          </cell>
          <cell r="Q795" t="str">
            <v>–</v>
          </cell>
          <cell r="R795" t="str">
            <v>–</v>
          </cell>
          <cell r="S795" t="str">
            <v>–</v>
          </cell>
          <cell r="T795" t="str">
            <v>–</v>
          </cell>
          <cell r="U795" t="str">
            <v>–</v>
          </cell>
          <cell r="V795" t="str">
            <v>–</v>
          </cell>
          <cell r="W795">
            <v>0.25</v>
          </cell>
        </row>
        <row r="796">
          <cell r="B796" t="str">
            <v>2L4X3X1/4X3/4LLBB</v>
          </cell>
          <cell r="C796" t="str">
            <v>2L4X3X1/4X3/4LLBB</v>
          </cell>
          <cell r="D796" t="str">
            <v>F</v>
          </cell>
          <cell r="E796">
            <v>11.6</v>
          </cell>
          <cell r="F796">
            <v>3.38</v>
          </cell>
          <cell r="G796" t="str">
            <v>2L4X3X1/4X3/4LLBB</v>
          </cell>
          <cell r="H796">
            <v>4</v>
          </cell>
          <cell r="I796" t="str">
            <v>–</v>
          </cell>
          <cell r="J796" t="str">
            <v>–</v>
          </cell>
          <cell r="K796" t="str">
            <v>–</v>
          </cell>
          <cell r="L796" t="str">
            <v>–</v>
          </cell>
          <cell r="M796" t="str">
            <v>–</v>
          </cell>
          <cell r="N796" t="str">
            <v>–</v>
          </cell>
          <cell r="O796" t="str">
            <v>–</v>
          </cell>
          <cell r="P796">
            <v>3</v>
          </cell>
          <cell r="Q796" t="str">
            <v>–</v>
          </cell>
          <cell r="R796" t="str">
            <v>–</v>
          </cell>
          <cell r="S796" t="str">
            <v>–</v>
          </cell>
          <cell r="T796" t="str">
            <v>–</v>
          </cell>
          <cell r="U796" t="str">
            <v>–</v>
          </cell>
          <cell r="V796" t="str">
            <v>–</v>
          </cell>
          <cell r="W796">
            <v>0.25</v>
          </cell>
        </row>
        <row r="797">
          <cell r="B797" t="str">
            <v>2L3-1/2X3X1/2LLBB</v>
          </cell>
          <cell r="C797" t="str">
            <v>2L3-1/2X3X1/2LLBB</v>
          </cell>
          <cell r="D797" t="str">
            <v>F</v>
          </cell>
          <cell r="E797">
            <v>20.399999999999999</v>
          </cell>
          <cell r="F797">
            <v>6.04</v>
          </cell>
          <cell r="G797" t="str">
            <v>2L3-1/2X3X1/2LLBB</v>
          </cell>
          <cell r="H797">
            <v>3.5</v>
          </cell>
          <cell r="I797" t="str">
            <v>–</v>
          </cell>
          <cell r="J797" t="str">
            <v>–</v>
          </cell>
          <cell r="K797" t="str">
            <v>–</v>
          </cell>
          <cell r="L797" t="str">
            <v>–</v>
          </cell>
          <cell r="M797" t="str">
            <v>–</v>
          </cell>
          <cell r="N797" t="str">
            <v>–</v>
          </cell>
          <cell r="O797" t="str">
            <v>–</v>
          </cell>
          <cell r="P797">
            <v>3</v>
          </cell>
          <cell r="Q797" t="str">
            <v>–</v>
          </cell>
          <cell r="R797" t="str">
            <v>–</v>
          </cell>
          <cell r="S797" t="str">
            <v>–</v>
          </cell>
          <cell r="T797" t="str">
            <v>–</v>
          </cell>
          <cell r="U797" t="str">
            <v>–</v>
          </cell>
          <cell r="V797" t="str">
            <v>–</v>
          </cell>
          <cell r="W797">
            <v>0.5</v>
          </cell>
        </row>
        <row r="798">
          <cell r="B798" t="str">
            <v>2L3-1/2X3X1/2X3/8LLBB</v>
          </cell>
          <cell r="C798" t="str">
            <v>2L3-1/2X3X1/2X3/8LLBB</v>
          </cell>
          <cell r="D798" t="str">
            <v>F</v>
          </cell>
          <cell r="E798">
            <v>20.399999999999999</v>
          </cell>
          <cell r="F798">
            <v>6.04</v>
          </cell>
          <cell r="G798" t="str">
            <v>2L3-1/2X3X1/2X3/8LLBB</v>
          </cell>
          <cell r="H798">
            <v>3.5</v>
          </cell>
          <cell r="I798" t="str">
            <v>–</v>
          </cell>
          <cell r="J798" t="str">
            <v>–</v>
          </cell>
          <cell r="K798" t="str">
            <v>–</v>
          </cell>
          <cell r="L798" t="str">
            <v>–</v>
          </cell>
          <cell r="M798" t="str">
            <v>–</v>
          </cell>
          <cell r="N798" t="str">
            <v>–</v>
          </cell>
          <cell r="O798" t="str">
            <v>–</v>
          </cell>
          <cell r="P798">
            <v>3</v>
          </cell>
          <cell r="Q798" t="str">
            <v>–</v>
          </cell>
          <cell r="R798" t="str">
            <v>–</v>
          </cell>
          <cell r="S798" t="str">
            <v>–</v>
          </cell>
          <cell r="T798" t="str">
            <v>–</v>
          </cell>
          <cell r="U798" t="str">
            <v>–</v>
          </cell>
          <cell r="V798" t="str">
            <v>–</v>
          </cell>
          <cell r="W798">
            <v>0.5</v>
          </cell>
        </row>
        <row r="799">
          <cell r="B799" t="str">
            <v>2L3-1/2X3X1/2X3/4LLBB</v>
          </cell>
          <cell r="C799" t="str">
            <v>2L3-1/2X3X1/2X3/4LLBB</v>
          </cell>
          <cell r="D799" t="str">
            <v>F</v>
          </cell>
          <cell r="E799">
            <v>20.399999999999999</v>
          </cell>
          <cell r="F799">
            <v>6.04</v>
          </cell>
          <cell r="G799" t="str">
            <v>2L3-1/2X3X1/2X3/4LLBB</v>
          </cell>
          <cell r="H799">
            <v>3.5</v>
          </cell>
          <cell r="I799" t="str">
            <v>–</v>
          </cell>
          <cell r="J799" t="str">
            <v>–</v>
          </cell>
          <cell r="K799" t="str">
            <v>–</v>
          </cell>
          <cell r="L799" t="str">
            <v>–</v>
          </cell>
          <cell r="M799" t="str">
            <v>–</v>
          </cell>
          <cell r="N799" t="str">
            <v>–</v>
          </cell>
          <cell r="O799" t="str">
            <v>–</v>
          </cell>
          <cell r="P799">
            <v>3</v>
          </cell>
          <cell r="Q799" t="str">
            <v>–</v>
          </cell>
          <cell r="R799" t="str">
            <v>–</v>
          </cell>
          <cell r="S799" t="str">
            <v>–</v>
          </cell>
          <cell r="T799" t="str">
            <v>–</v>
          </cell>
          <cell r="U799" t="str">
            <v>–</v>
          </cell>
          <cell r="V799" t="str">
            <v>–</v>
          </cell>
          <cell r="W799">
            <v>0.5</v>
          </cell>
        </row>
        <row r="800">
          <cell r="B800" t="str">
            <v>2L3-1/2X3X7/16LLBB</v>
          </cell>
          <cell r="C800" t="str">
            <v>2L3-1/2X3X7/16LLBB</v>
          </cell>
          <cell r="D800" t="str">
            <v>F</v>
          </cell>
          <cell r="E800">
            <v>18.2</v>
          </cell>
          <cell r="F800">
            <v>5.34</v>
          </cell>
          <cell r="G800" t="str">
            <v>2L3-1/2X3X7/16LLBB</v>
          </cell>
          <cell r="H800">
            <v>3.5</v>
          </cell>
          <cell r="I800" t="str">
            <v>–</v>
          </cell>
          <cell r="J800" t="str">
            <v>–</v>
          </cell>
          <cell r="K800" t="str">
            <v>–</v>
          </cell>
          <cell r="L800" t="str">
            <v>–</v>
          </cell>
          <cell r="M800" t="str">
            <v>–</v>
          </cell>
          <cell r="N800" t="str">
            <v>–</v>
          </cell>
          <cell r="O800" t="str">
            <v>–</v>
          </cell>
          <cell r="P800">
            <v>3</v>
          </cell>
          <cell r="Q800" t="str">
            <v>–</v>
          </cell>
          <cell r="R800" t="str">
            <v>–</v>
          </cell>
          <cell r="S800" t="str">
            <v>–</v>
          </cell>
          <cell r="T800" t="str">
            <v>–</v>
          </cell>
          <cell r="U800" t="str">
            <v>–</v>
          </cell>
          <cell r="V800" t="str">
            <v>–</v>
          </cell>
          <cell r="W800">
            <v>0.438</v>
          </cell>
        </row>
        <row r="801">
          <cell r="B801" t="str">
            <v>2L3-1/2X3X7/16X3/8LLBB</v>
          </cell>
          <cell r="C801" t="str">
            <v>2L3-1/2X3X7/16X3/8LLBB</v>
          </cell>
          <cell r="D801" t="str">
            <v>F</v>
          </cell>
          <cell r="E801">
            <v>18.2</v>
          </cell>
          <cell r="F801">
            <v>5.34</v>
          </cell>
          <cell r="G801" t="str">
            <v>2L3-1/2X3X7/16X3/8LLBB</v>
          </cell>
          <cell r="H801">
            <v>3.5</v>
          </cell>
          <cell r="I801" t="str">
            <v>–</v>
          </cell>
          <cell r="J801" t="str">
            <v>–</v>
          </cell>
          <cell r="K801" t="str">
            <v>–</v>
          </cell>
          <cell r="L801" t="str">
            <v>–</v>
          </cell>
          <cell r="M801" t="str">
            <v>–</v>
          </cell>
          <cell r="N801" t="str">
            <v>–</v>
          </cell>
          <cell r="O801" t="str">
            <v>–</v>
          </cell>
          <cell r="P801">
            <v>3</v>
          </cell>
          <cell r="Q801" t="str">
            <v>–</v>
          </cell>
          <cell r="R801" t="str">
            <v>–</v>
          </cell>
          <cell r="S801" t="str">
            <v>–</v>
          </cell>
          <cell r="T801" t="str">
            <v>–</v>
          </cell>
          <cell r="U801" t="str">
            <v>–</v>
          </cell>
          <cell r="V801" t="str">
            <v>–</v>
          </cell>
          <cell r="W801">
            <v>0.438</v>
          </cell>
        </row>
        <row r="802">
          <cell r="B802" t="str">
            <v>2L3-1/2X3X7/16X3/4LLBB</v>
          </cell>
          <cell r="C802" t="str">
            <v>2L3-1/2X3X7/16X3/4LLBB</v>
          </cell>
          <cell r="D802" t="str">
            <v>F</v>
          </cell>
          <cell r="E802">
            <v>18.2</v>
          </cell>
          <cell r="F802">
            <v>5.34</v>
          </cell>
          <cell r="G802" t="str">
            <v>2L3-1/2X3X7/16X3/4LLBB</v>
          </cell>
          <cell r="H802">
            <v>3.5</v>
          </cell>
          <cell r="I802" t="str">
            <v>–</v>
          </cell>
          <cell r="J802" t="str">
            <v>–</v>
          </cell>
          <cell r="K802" t="str">
            <v>–</v>
          </cell>
          <cell r="L802" t="str">
            <v>–</v>
          </cell>
          <cell r="M802" t="str">
            <v>–</v>
          </cell>
          <cell r="N802" t="str">
            <v>–</v>
          </cell>
          <cell r="O802" t="str">
            <v>–</v>
          </cell>
          <cell r="P802">
            <v>3</v>
          </cell>
          <cell r="Q802" t="str">
            <v>–</v>
          </cell>
          <cell r="R802" t="str">
            <v>–</v>
          </cell>
          <cell r="S802" t="str">
            <v>–</v>
          </cell>
          <cell r="T802" t="str">
            <v>–</v>
          </cell>
          <cell r="U802" t="str">
            <v>–</v>
          </cell>
          <cell r="V802" t="str">
            <v>–</v>
          </cell>
          <cell r="W802">
            <v>0.438</v>
          </cell>
        </row>
        <row r="803">
          <cell r="B803" t="str">
            <v>2L3-1/2X3X3/8LLBB</v>
          </cell>
          <cell r="C803" t="str">
            <v>2L3-1/2X3X3/8LLBB</v>
          </cell>
          <cell r="D803" t="str">
            <v>F</v>
          </cell>
          <cell r="E803">
            <v>15.8</v>
          </cell>
          <cell r="F803">
            <v>4.6399999999999997</v>
          </cell>
          <cell r="G803" t="str">
            <v>2L3-1/2X3X3/8LLBB</v>
          </cell>
          <cell r="H803">
            <v>3.5</v>
          </cell>
          <cell r="I803" t="str">
            <v>–</v>
          </cell>
          <cell r="J803" t="str">
            <v>–</v>
          </cell>
          <cell r="K803" t="str">
            <v>–</v>
          </cell>
          <cell r="L803" t="str">
            <v>–</v>
          </cell>
          <cell r="M803" t="str">
            <v>–</v>
          </cell>
          <cell r="N803" t="str">
            <v>–</v>
          </cell>
          <cell r="O803" t="str">
            <v>–</v>
          </cell>
          <cell r="P803">
            <v>3</v>
          </cell>
          <cell r="Q803" t="str">
            <v>–</v>
          </cell>
          <cell r="R803" t="str">
            <v>–</v>
          </cell>
          <cell r="S803" t="str">
            <v>–</v>
          </cell>
          <cell r="T803" t="str">
            <v>–</v>
          </cell>
          <cell r="U803" t="str">
            <v>–</v>
          </cell>
          <cell r="V803" t="str">
            <v>–</v>
          </cell>
          <cell r="W803">
            <v>0.375</v>
          </cell>
        </row>
        <row r="804">
          <cell r="B804" t="str">
            <v>2L3-1/2X3X3/8X3/8LLBB</v>
          </cell>
          <cell r="C804" t="str">
            <v>2L3-1/2X3X3/8X3/8LLBB</v>
          </cell>
          <cell r="D804" t="str">
            <v>F</v>
          </cell>
          <cell r="E804">
            <v>15.8</v>
          </cell>
          <cell r="F804">
            <v>4.6399999999999997</v>
          </cell>
          <cell r="G804" t="str">
            <v>2L3-1/2X3X3/8X3/8LLBB</v>
          </cell>
          <cell r="H804">
            <v>3.5</v>
          </cell>
          <cell r="I804" t="str">
            <v>–</v>
          </cell>
          <cell r="J804" t="str">
            <v>–</v>
          </cell>
          <cell r="K804" t="str">
            <v>–</v>
          </cell>
          <cell r="L804" t="str">
            <v>–</v>
          </cell>
          <cell r="M804" t="str">
            <v>–</v>
          </cell>
          <cell r="N804" t="str">
            <v>–</v>
          </cell>
          <cell r="O804" t="str">
            <v>–</v>
          </cell>
          <cell r="P804">
            <v>3</v>
          </cell>
          <cell r="Q804" t="str">
            <v>–</v>
          </cell>
          <cell r="R804" t="str">
            <v>–</v>
          </cell>
          <cell r="S804" t="str">
            <v>–</v>
          </cell>
          <cell r="T804" t="str">
            <v>–</v>
          </cell>
          <cell r="U804" t="str">
            <v>–</v>
          </cell>
          <cell r="V804" t="str">
            <v>–</v>
          </cell>
          <cell r="W804">
            <v>0.375</v>
          </cell>
        </row>
        <row r="805">
          <cell r="B805" t="str">
            <v>2L3-1/2X3X3/8X3/4LLBB</v>
          </cell>
          <cell r="C805" t="str">
            <v>2L3-1/2X3X3/8X3/4LLBB</v>
          </cell>
          <cell r="D805" t="str">
            <v>F</v>
          </cell>
          <cell r="E805">
            <v>15.8</v>
          </cell>
          <cell r="F805">
            <v>4.6399999999999997</v>
          </cell>
          <cell r="G805" t="str">
            <v>2L3-1/2X3X3/8X3/4LLBB</v>
          </cell>
          <cell r="H805">
            <v>3.5</v>
          </cell>
          <cell r="I805" t="str">
            <v>–</v>
          </cell>
          <cell r="J805" t="str">
            <v>–</v>
          </cell>
          <cell r="K805" t="str">
            <v>–</v>
          </cell>
          <cell r="L805" t="str">
            <v>–</v>
          </cell>
          <cell r="M805" t="str">
            <v>–</v>
          </cell>
          <cell r="N805" t="str">
            <v>–</v>
          </cell>
          <cell r="O805" t="str">
            <v>–</v>
          </cell>
          <cell r="P805">
            <v>3</v>
          </cell>
          <cell r="Q805" t="str">
            <v>–</v>
          </cell>
          <cell r="R805" t="str">
            <v>–</v>
          </cell>
          <cell r="S805" t="str">
            <v>–</v>
          </cell>
          <cell r="T805" t="str">
            <v>–</v>
          </cell>
          <cell r="U805" t="str">
            <v>–</v>
          </cell>
          <cell r="V805" t="str">
            <v>–</v>
          </cell>
          <cell r="W805">
            <v>0.375</v>
          </cell>
        </row>
        <row r="806">
          <cell r="B806" t="str">
            <v>2L3-1/2X3X5/16LLBB</v>
          </cell>
          <cell r="C806" t="str">
            <v>2L3-1/2X3X5/16LLBB</v>
          </cell>
          <cell r="D806" t="str">
            <v>F</v>
          </cell>
          <cell r="E806">
            <v>13.2</v>
          </cell>
          <cell r="F806">
            <v>3.9</v>
          </cell>
          <cell r="G806" t="str">
            <v>2L3-1/2X3X5/16LLBB</v>
          </cell>
          <cell r="H806">
            <v>3.5</v>
          </cell>
          <cell r="I806" t="str">
            <v>–</v>
          </cell>
          <cell r="J806" t="str">
            <v>–</v>
          </cell>
          <cell r="K806" t="str">
            <v>–</v>
          </cell>
          <cell r="L806" t="str">
            <v>–</v>
          </cell>
          <cell r="M806" t="str">
            <v>–</v>
          </cell>
          <cell r="N806" t="str">
            <v>–</v>
          </cell>
          <cell r="O806" t="str">
            <v>–</v>
          </cell>
          <cell r="P806">
            <v>3</v>
          </cell>
          <cell r="Q806" t="str">
            <v>–</v>
          </cell>
          <cell r="R806" t="str">
            <v>–</v>
          </cell>
          <cell r="S806" t="str">
            <v>–</v>
          </cell>
          <cell r="T806" t="str">
            <v>–</v>
          </cell>
          <cell r="U806" t="str">
            <v>–</v>
          </cell>
          <cell r="V806" t="str">
            <v>–</v>
          </cell>
          <cell r="W806">
            <v>0.313</v>
          </cell>
        </row>
        <row r="807">
          <cell r="B807" t="str">
            <v>2L3-1/2X3X5/16X3/8LLBB</v>
          </cell>
          <cell r="C807" t="str">
            <v>2L3-1/2X3X5/16X3/8LLBB</v>
          </cell>
          <cell r="D807" t="str">
            <v>F</v>
          </cell>
          <cell r="E807">
            <v>13.2</v>
          </cell>
          <cell r="F807">
            <v>3.9</v>
          </cell>
          <cell r="G807" t="str">
            <v>2L3-1/2X3X5/16X3/8LLBB</v>
          </cell>
          <cell r="H807">
            <v>3.5</v>
          </cell>
          <cell r="I807" t="str">
            <v>–</v>
          </cell>
          <cell r="J807" t="str">
            <v>–</v>
          </cell>
          <cell r="K807" t="str">
            <v>–</v>
          </cell>
          <cell r="L807" t="str">
            <v>–</v>
          </cell>
          <cell r="M807" t="str">
            <v>–</v>
          </cell>
          <cell r="N807" t="str">
            <v>–</v>
          </cell>
          <cell r="O807" t="str">
            <v>–</v>
          </cell>
          <cell r="P807">
            <v>3</v>
          </cell>
          <cell r="Q807" t="str">
            <v>–</v>
          </cell>
          <cell r="R807" t="str">
            <v>–</v>
          </cell>
          <cell r="S807" t="str">
            <v>–</v>
          </cell>
          <cell r="T807" t="str">
            <v>–</v>
          </cell>
          <cell r="U807" t="str">
            <v>–</v>
          </cell>
          <cell r="V807" t="str">
            <v>–</v>
          </cell>
          <cell r="W807">
            <v>0.313</v>
          </cell>
        </row>
        <row r="808">
          <cell r="B808" t="str">
            <v>2L3-1/2X3X5/16X3/4LLBB</v>
          </cell>
          <cell r="C808" t="str">
            <v>2L3-1/2X3X5/16X3/4LLBB</v>
          </cell>
          <cell r="D808" t="str">
            <v>F</v>
          </cell>
          <cell r="E808">
            <v>13.2</v>
          </cell>
          <cell r="F808">
            <v>3.9</v>
          </cell>
          <cell r="G808" t="str">
            <v>2L3-1/2X3X5/16X3/4LLBB</v>
          </cell>
          <cell r="H808">
            <v>3.5</v>
          </cell>
          <cell r="I808" t="str">
            <v>–</v>
          </cell>
          <cell r="J808" t="str">
            <v>–</v>
          </cell>
          <cell r="K808" t="str">
            <v>–</v>
          </cell>
          <cell r="L808" t="str">
            <v>–</v>
          </cell>
          <cell r="M808" t="str">
            <v>–</v>
          </cell>
          <cell r="N808" t="str">
            <v>–</v>
          </cell>
          <cell r="O808" t="str">
            <v>–</v>
          </cell>
          <cell r="P808">
            <v>3</v>
          </cell>
          <cell r="Q808" t="str">
            <v>–</v>
          </cell>
          <cell r="R808" t="str">
            <v>–</v>
          </cell>
          <cell r="S808" t="str">
            <v>–</v>
          </cell>
          <cell r="T808" t="str">
            <v>–</v>
          </cell>
          <cell r="U808" t="str">
            <v>–</v>
          </cell>
          <cell r="V808" t="str">
            <v>–</v>
          </cell>
          <cell r="W808">
            <v>0.313</v>
          </cell>
        </row>
        <row r="809">
          <cell r="B809" t="str">
            <v>2L3-1/2X3X1/4LLBB</v>
          </cell>
          <cell r="C809" t="str">
            <v>2L3-1/2X3X1/4LLBB</v>
          </cell>
          <cell r="D809" t="str">
            <v>F</v>
          </cell>
          <cell r="E809">
            <v>10.8</v>
          </cell>
          <cell r="F809">
            <v>3.16</v>
          </cell>
          <cell r="G809" t="str">
            <v>2L3-1/2X3X1/4LLBB</v>
          </cell>
          <cell r="H809">
            <v>3.5</v>
          </cell>
          <cell r="I809" t="str">
            <v>–</v>
          </cell>
          <cell r="J809" t="str">
            <v>–</v>
          </cell>
          <cell r="K809" t="str">
            <v>–</v>
          </cell>
          <cell r="L809" t="str">
            <v>–</v>
          </cell>
          <cell r="M809" t="str">
            <v>–</v>
          </cell>
          <cell r="N809" t="str">
            <v>–</v>
          </cell>
          <cell r="O809" t="str">
            <v>–</v>
          </cell>
          <cell r="P809">
            <v>3</v>
          </cell>
          <cell r="Q809" t="str">
            <v>–</v>
          </cell>
          <cell r="R809" t="str">
            <v>–</v>
          </cell>
          <cell r="S809" t="str">
            <v>–</v>
          </cell>
          <cell r="T809" t="str">
            <v>–</v>
          </cell>
          <cell r="U809" t="str">
            <v>–</v>
          </cell>
          <cell r="V809" t="str">
            <v>–</v>
          </cell>
          <cell r="W809">
            <v>0.25</v>
          </cell>
        </row>
        <row r="810">
          <cell r="B810" t="str">
            <v>2L3-1/2X3X1/4X3/8LLBB</v>
          </cell>
          <cell r="C810" t="str">
            <v>2L3-1/2X3X1/4X3/8LLBB</v>
          </cell>
          <cell r="D810" t="str">
            <v>F</v>
          </cell>
          <cell r="E810">
            <v>10.8</v>
          </cell>
          <cell r="F810">
            <v>3.16</v>
          </cell>
          <cell r="G810" t="str">
            <v>2L3-1/2X3X1/4X3/8LLBB</v>
          </cell>
          <cell r="H810">
            <v>3.5</v>
          </cell>
          <cell r="I810" t="str">
            <v>–</v>
          </cell>
          <cell r="J810" t="str">
            <v>–</v>
          </cell>
          <cell r="K810" t="str">
            <v>–</v>
          </cell>
          <cell r="L810" t="str">
            <v>–</v>
          </cell>
          <cell r="M810" t="str">
            <v>–</v>
          </cell>
          <cell r="N810" t="str">
            <v>–</v>
          </cell>
          <cell r="O810" t="str">
            <v>–</v>
          </cell>
          <cell r="P810">
            <v>3</v>
          </cell>
          <cell r="Q810" t="str">
            <v>–</v>
          </cell>
          <cell r="R810" t="str">
            <v>–</v>
          </cell>
          <cell r="S810" t="str">
            <v>–</v>
          </cell>
          <cell r="T810" t="str">
            <v>–</v>
          </cell>
          <cell r="U810" t="str">
            <v>–</v>
          </cell>
          <cell r="V810" t="str">
            <v>–</v>
          </cell>
          <cell r="W810">
            <v>0.25</v>
          </cell>
        </row>
        <row r="811">
          <cell r="B811" t="str">
            <v>2L3-1/2X3X1/4X3/4LLBB</v>
          </cell>
          <cell r="C811" t="str">
            <v>2L3-1/2X3X1/4X3/4LLBB</v>
          </cell>
          <cell r="D811" t="str">
            <v>F</v>
          </cell>
          <cell r="E811">
            <v>10.8</v>
          </cell>
          <cell r="F811">
            <v>3.16</v>
          </cell>
          <cell r="G811" t="str">
            <v>2L3-1/2X3X1/4X3/4LLBB</v>
          </cell>
          <cell r="H811">
            <v>3.5</v>
          </cell>
          <cell r="I811" t="str">
            <v>–</v>
          </cell>
          <cell r="J811" t="str">
            <v>–</v>
          </cell>
          <cell r="K811" t="str">
            <v>–</v>
          </cell>
          <cell r="L811" t="str">
            <v>–</v>
          </cell>
          <cell r="M811" t="str">
            <v>–</v>
          </cell>
          <cell r="N811" t="str">
            <v>–</v>
          </cell>
          <cell r="O811" t="str">
            <v>–</v>
          </cell>
          <cell r="P811">
            <v>3</v>
          </cell>
          <cell r="Q811" t="str">
            <v>–</v>
          </cell>
          <cell r="R811" t="str">
            <v>–</v>
          </cell>
          <cell r="S811" t="str">
            <v>–</v>
          </cell>
          <cell r="T811" t="str">
            <v>–</v>
          </cell>
          <cell r="U811" t="str">
            <v>–</v>
          </cell>
          <cell r="V811" t="str">
            <v>–</v>
          </cell>
          <cell r="W811">
            <v>0.25</v>
          </cell>
        </row>
        <row r="812">
          <cell r="B812" t="str">
            <v>2L3-1/2X2-1/2X1/2LLBB</v>
          </cell>
          <cell r="C812" t="str">
            <v>2L3-1/2X2-1/2X1/2LLBB</v>
          </cell>
          <cell r="D812" t="str">
            <v>F</v>
          </cell>
          <cell r="E812">
            <v>18.8</v>
          </cell>
          <cell r="F812">
            <v>5.54</v>
          </cell>
          <cell r="G812" t="str">
            <v>2L3-1/2X2-1/2X1/2LLBB</v>
          </cell>
          <cell r="H812">
            <v>3.5</v>
          </cell>
          <cell r="I812" t="str">
            <v>–</v>
          </cell>
          <cell r="J812" t="str">
            <v>–</v>
          </cell>
          <cell r="K812" t="str">
            <v>–</v>
          </cell>
          <cell r="L812" t="str">
            <v>–</v>
          </cell>
          <cell r="M812" t="str">
            <v>–</v>
          </cell>
          <cell r="N812" t="str">
            <v>–</v>
          </cell>
          <cell r="O812" t="str">
            <v>–</v>
          </cell>
          <cell r="P812">
            <v>2.5</v>
          </cell>
          <cell r="Q812" t="str">
            <v>–</v>
          </cell>
          <cell r="R812" t="str">
            <v>–</v>
          </cell>
          <cell r="S812" t="str">
            <v>–</v>
          </cell>
          <cell r="T812" t="str">
            <v>–</v>
          </cell>
          <cell r="U812" t="str">
            <v>–</v>
          </cell>
          <cell r="V812" t="str">
            <v>–</v>
          </cell>
          <cell r="W812">
            <v>0.5</v>
          </cell>
        </row>
        <row r="813">
          <cell r="B813" t="str">
            <v>2L3-1/2X2-1/2X1/2X3/8LLBB</v>
          </cell>
          <cell r="C813" t="str">
            <v>2L3-1/2X2-1/2X1/2X3/8LLBB</v>
          </cell>
          <cell r="D813" t="str">
            <v>F</v>
          </cell>
          <cell r="E813">
            <v>18.8</v>
          </cell>
          <cell r="F813">
            <v>5.54</v>
          </cell>
          <cell r="G813" t="str">
            <v>2L3-1/2X2-1/2X1/2X3/8LLBB</v>
          </cell>
          <cell r="H813">
            <v>3.5</v>
          </cell>
          <cell r="I813" t="str">
            <v>–</v>
          </cell>
          <cell r="J813" t="str">
            <v>–</v>
          </cell>
          <cell r="K813" t="str">
            <v>–</v>
          </cell>
          <cell r="L813" t="str">
            <v>–</v>
          </cell>
          <cell r="M813" t="str">
            <v>–</v>
          </cell>
          <cell r="N813" t="str">
            <v>–</v>
          </cell>
          <cell r="O813" t="str">
            <v>–</v>
          </cell>
          <cell r="P813">
            <v>2.5</v>
          </cell>
          <cell r="Q813" t="str">
            <v>–</v>
          </cell>
          <cell r="R813" t="str">
            <v>–</v>
          </cell>
          <cell r="S813" t="str">
            <v>–</v>
          </cell>
          <cell r="T813" t="str">
            <v>–</v>
          </cell>
          <cell r="U813" t="str">
            <v>–</v>
          </cell>
          <cell r="V813" t="str">
            <v>–</v>
          </cell>
          <cell r="W813">
            <v>0.5</v>
          </cell>
        </row>
        <row r="814">
          <cell r="B814" t="str">
            <v>2L3-1/2X2-1/2X1/2X3/4LLBB</v>
          </cell>
          <cell r="C814" t="str">
            <v>2L3-1/2X2-1/2X1/2X3/4LLBB</v>
          </cell>
          <cell r="D814" t="str">
            <v>F</v>
          </cell>
          <cell r="E814">
            <v>18.8</v>
          </cell>
          <cell r="F814">
            <v>5.54</v>
          </cell>
          <cell r="G814" t="str">
            <v>2L3-1/2X2-1/2X1/2X3/4LLBB</v>
          </cell>
          <cell r="H814">
            <v>3.5</v>
          </cell>
          <cell r="I814" t="str">
            <v>–</v>
          </cell>
          <cell r="J814" t="str">
            <v>–</v>
          </cell>
          <cell r="K814" t="str">
            <v>–</v>
          </cell>
          <cell r="L814" t="str">
            <v>–</v>
          </cell>
          <cell r="M814" t="str">
            <v>–</v>
          </cell>
          <cell r="N814" t="str">
            <v>–</v>
          </cell>
          <cell r="O814" t="str">
            <v>–</v>
          </cell>
          <cell r="P814">
            <v>2.5</v>
          </cell>
          <cell r="Q814" t="str">
            <v>–</v>
          </cell>
          <cell r="R814" t="str">
            <v>–</v>
          </cell>
          <cell r="S814" t="str">
            <v>–</v>
          </cell>
          <cell r="T814" t="str">
            <v>–</v>
          </cell>
          <cell r="U814" t="str">
            <v>–</v>
          </cell>
          <cell r="V814" t="str">
            <v>–</v>
          </cell>
          <cell r="W814">
            <v>0.5</v>
          </cell>
        </row>
        <row r="815">
          <cell r="B815" t="str">
            <v>2L3-1/2X2-1/2X3/8LLBB</v>
          </cell>
          <cell r="C815" t="str">
            <v>2L3-1/2X2-1/2X3/8LLBB</v>
          </cell>
          <cell r="D815" t="str">
            <v>F</v>
          </cell>
          <cell r="E815">
            <v>14.4</v>
          </cell>
          <cell r="F815">
            <v>4.24</v>
          </cell>
          <cell r="G815" t="str">
            <v>2L3-1/2X2-1/2X3/8LLBB</v>
          </cell>
          <cell r="H815">
            <v>3.5</v>
          </cell>
          <cell r="I815" t="str">
            <v>–</v>
          </cell>
          <cell r="J815" t="str">
            <v>–</v>
          </cell>
          <cell r="K815" t="str">
            <v>–</v>
          </cell>
          <cell r="L815" t="str">
            <v>–</v>
          </cell>
          <cell r="M815" t="str">
            <v>–</v>
          </cell>
          <cell r="N815" t="str">
            <v>–</v>
          </cell>
          <cell r="O815" t="str">
            <v>–</v>
          </cell>
          <cell r="P815">
            <v>2.5</v>
          </cell>
          <cell r="Q815" t="str">
            <v>–</v>
          </cell>
          <cell r="R815" t="str">
            <v>–</v>
          </cell>
          <cell r="S815" t="str">
            <v>–</v>
          </cell>
          <cell r="T815" t="str">
            <v>–</v>
          </cell>
          <cell r="U815" t="str">
            <v>–</v>
          </cell>
          <cell r="V815" t="str">
            <v>–</v>
          </cell>
          <cell r="W815">
            <v>0.375</v>
          </cell>
        </row>
        <row r="816">
          <cell r="B816" t="str">
            <v>2L3-1/2X2-1/2X3/8X3/8LLBB</v>
          </cell>
          <cell r="C816" t="str">
            <v>2L3-1/2X2-1/2X3/8X3/8LLBB</v>
          </cell>
          <cell r="D816" t="str">
            <v>F</v>
          </cell>
          <cell r="E816">
            <v>14.4</v>
          </cell>
          <cell r="F816">
            <v>4.24</v>
          </cell>
          <cell r="G816" t="str">
            <v>2L3-1/2X2-1/2X3/8X3/8LLBB</v>
          </cell>
          <cell r="H816">
            <v>3.5</v>
          </cell>
          <cell r="I816" t="str">
            <v>–</v>
          </cell>
          <cell r="J816" t="str">
            <v>–</v>
          </cell>
          <cell r="K816" t="str">
            <v>–</v>
          </cell>
          <cell r="L816" t="str">
            <v>–</v>
          </cell>
          <cell r="M816" t="str">
            <v>–</v>
          </cell>
          <cell r="N816" t="str">
            <v>–</v>
          </cell>
          <cell r="O816" t="str">
            <v>–</v>
          </cell>
          <cell r="P816">
            <v>2.5</v>
          </cell>
          <cell r="Q816" t="str">
            <v>–</v>
          </cell>
          <cell r="R816" t="str">
            <v>–</v>
          </cell>
          <cell r="S816" t="str">
            <v>–</v>
          </cell>
          <cell r="T816" t="str">
            <v>–</v>
          </cell>
          <cell r="U816" t="str">
            <v>–</v>
          </cell>
          <cell r="V816" t="str">
            <v>–</v>
          </cell>
          <cell r="W816">
            <v>0.375</v>
          </cell>
        </row>
        <row r="817">
          <cell r="B817" t="str">
            <v>2L3-1/2X2-1/2X3/8X3/4LLBB</v>
          </cell>
          <cell r="C817" t="str">
            <v>2L3-1/2X2-1/2X3/8X3/4LLBB</v>
          </cell>
          <cell r="D817" t="str">
            <v>F</v>
          </cell>
          <cell r="E817">
            <v>14.4</v>
          </cell>
          <cell r="F817">
            <v>4.24</v>
          </cell>
          <cell r="G817" t="str">
            <v>2L3-1/2X2-1/2X3/8X3/4LLBB</v>
          </cell>
          <cell r="H817">
            <v>3.5</v>
          </cell>
          <cell r="I817" t="str">
            <v>–</v>
          </cell>
          <cell r="J817" t="str">
            <v>–</v>
          </cell>
          <cell r="K817" t="str">
            <v>–</v>
          </cell>
          <cell r="L817" t="str">
            <v>–</v>
          </cell>
          <cell r="M817" t="str">
            <v>–</v>
          </cell>
          <cell r="N817" t="str">
            <v>–</v>
          </cell>
          <cell r="O817" t="str">
            <v>–</v>
          </cell>
          <cell r="P817">
            <v>2.5</v>
          </cell>
          <cell r="Q817" t="str">
            <v>–</v>
          </cell>
          <cell r="R817" t="str">
            <v>–</v>
          </cell>
          <cell r="S817" t="str">
            <v>–</v>
          </cell>
          <cell r="T817" t="str">
            <v>–</v>
          </cell>
          <cell r="U817" t="str">
            <v>–</v>
          </cell>
          <cell r="V817" t="str">
            <v>–</v>
          </cell>
          <cell r="W817">
            <v>0.375</v>
          </cell>
        </row>
        <row r="818">
          <cell r="B818" t="str">
            <v>2L3-1/2X2-1/2X5/16LLBB</v>
          </cell>
          <cell r="C818" t="str">
            <v>2L3-1/2X2-1/2X5/16LLBB</v>
          </cell>
          <cell r="D818" t="str">
            <v>F</v>
          </cell>
          <cell r="E818">
            <v>12.2</v>
          </cell>
          <cell r="F818">
            <v>3.58</v>
          </cell>
          <cell r="G818" t="str">
            <v>2L3-1/2X2-1/2X5/16LLBB</v>
          </cell>
          <cell r="H818">
            <v>3.5</v>
          </cell>
          <cell r="I818" t="str">
            <v>–</v>
          </cell>
          <cell r="J818" t="str">
            <v>–</v>
          </cell>
          <cell r="K818" t="str">
            <v>–</v>
          </cell>
          <cell r="L818" t="str">
            <v>–</v>
          </cell>
          <cell r="M818" t="str">
            <v>–</v>
          </cell>
          <cell r="N818" t="str">
            <v>–</v>
          </cell>
          <cell r="O818" t="str">
            <v>–</v>
          </cell>
          <cell r="P818">
            <v>2.5</v>
          </cell>
          <cell r="Q818" t="str">
            <v>–</v>
          </cell>
          <cell r="R818" t="str">
            <v>–</v>
          </cell>
          <cell r="S818" t="str">
            <v>–</v>
          </cell>
          <cell r="T818" t="str">
            <v>–</v>
          </cell>
          <cell r="U818" t="str">
            <v>–</v>
          </cell>
          <cell r="V818" t="str">
            <v>–</v>
          </cell>
          <cell r="W818">
            <v>0.313</v>
          </cell>
        </row>
        <row r="819">
          <cell r="B819" t="str">
            <v>2L3-1/2X2-1/2X5/16X3/8LLBB</v>
          </cell>
          <cell r="C819" t="str">
            <v>2L3-1/2X2-1/2X5/16X3/8LLBB</v>
          </cell>
          <cell r="D819" t="str">
            <v>F</v>
          </cell>
          <cell r="E819">
            <v>12.2</v>
          </cell>
          <cell r="F819">
            <v>3.58</v>
          </cell>
          <cell r="G819" t="str">
            <v>2L3-1/2X2-1/2X5/16X3/8LLBB</v>
          </cell>
          <cell r="H819">
            <v>3.5</v>
          </cell>
          <cell r="I819" t="str">
            <v>–</v>
          </cell>
          <cell r="J819" t="str">
            <v>–</v>
          </cell>
          <cell r="K819" t="str">
            <v>–</v>
          </cell>
          <cell r="L819" t="str">
            <v>–</v>
          </cell>
          <cell r="M819" t="str">
            <v>–</v>
          </cell>
          <cell r="N819" t="str">
            <v>–</v>
          </cell>
          <cell r="O819" t="str">
            <v>–</v>
          </cell>
          <cell r="P819">
            <v>2.5</v>
          </cell>
          <cell r="Q819" t="str">
            <v>–</v>
          </cell>
          <cell r="R819" t="str">
            <v>–</v>
          </cell>
          <cell r="S819" t="str">
            <v>–</v>
          </cell>
          <cell r="T819" t="str">
            <v>–</v>
          </cell>
          <cell r="U819" t="str">
            <v>–</v>
          </cell>
          <cell r="V819" t="str">
            <v>–</v>
          </cell>
          <cell r="W819">
            <v>0.313</v>
          </cell>
        </row>
        <row r="820">
          <cell r="B820" t="str">
            <v>2L3-1/2X2-1/2X5/16X3/4LLBB</v>
          </cell>
          <cell r="C820" t="str">
            <v>2L3-1/2X2-1/2X5/16X3/4LLBB</v>
          </cell>
          <cell r="D820" t="str">
            <v>F</v>
          </cell>
          <cell r="E820">
            <v>12.2</v>
          </cell>
          <cell r="F820">
            <v>3.58</v>
          </cell>
          <cell r="G820" t="str">
            <v>2L3-1/2X2-1/2X5/16X3/4LLBB</v>
          </cell>
          <cell r="H820">
            <v>3.5</v>
          </cell>
          <cell r="I820" t="str">
            <v>–</v>
          </cell>
          <cell r="J820" t="str">
            <v>–</v>
          </cell>
          <cell r="K820" t="str">
            <v>–</v>
          </cell>
          <cell r="L820" t="str">
            <v>–</v>
          </cell>
          <cell r="M820" t="str">
            <v>–</v>
          </cell>
          <cell r="N820" t="str">
            <v>–</v>
          </cell>
          <cell r="O820" t="str">
            <v>–</v>
          </cell>
          <cell r="P820">
            <v>2.5</v>
          </cell>
          <cell r="Q820" t="str">
            <v>–</v>
          </cell>
          <cell r="R820" t="str">
            <v>–</v>
          </cell>
          <cell r="S820" t="str">
            <v>–</v>
          </cell>
          <cell r="T820" t="str">
            <v>–</v>
          </cell>
          <cell r="U820" t="str">
            <v>–</v>
          </cell>
          <cell r="V820" t="str">
            <v>–</v>
          </cell>
          <cell r="W820">
            <v>0.313</v>
          </cell>
        </row>
        <row r="821">
          <cell r="B821" t="str">
            <v>2L3-1/2X2-1/2X1/4LLBB</v>
          </cell>
          <cell r="C821" t="str">
            <v>2L3-1/2X2-1/2X1/4LLBB</v>
          </cell>
          <cell r="D821" t="str">
            <v>F</v>
          </cell>
          <cell r="E821">
            <v>9.8000000000000007</v>
          </cell>
          <cell r="F821">
            <v>2.9</v>
          </cell>
          <cell r="G821" t="str">
            <v>2L3-1/2X2-1/2X1/4LLBB</v>
          </cell>
          <cell r="H821">
            <v>3.5</v>
          </cell>
          <cell r="I821" t="str">
            <v>–</v>
          </cell>
          <cell r="J821" t="str">
            <v>–</v>
          </cell>
          <cell r="K821" t="str">
            <v>–</v>
          </cell>
          <cell r="L821" t="str">
            <v>–</v>
          </cell>
          <cell r="M821" t="str">
            <v>–</v>
          </cell>
          <cell r="N821" t="str">
            <v>–</v>
          </cell>
          <cell r="O821" t="str">
            <v>–</v>
          </cell>
          <cell r="P821">
            <v>2.5</v>
          </cell>
          <cell r="Q821" t="str">
            <v>–</v>
          </cell>
          <cell r="R821" t="str">
            <v>–</v>
          </cell>
          <cell r="S821" t="str">
            <v>–</v>
          </cell>
          <cell r="T821" t="str">
            <v>–</v>
          </cell>
          <cell r="U821" t="str">
            <v>–</v>
          </cell>
          <cell r="V821" t="str">
            <v>–</v>
          </cell>
          <cell r="W821">
            <v>0.25</v>
          </cell>
        </row>
        <row r="822">
          <cell r="B822" t="str">
            <v>2L3-1/2X2-1/2X1/4X3/8LLBB</v>
          </cell>
          <cell r="C822" t="str">
            <v>2L3-1/2X2-1/2X1/4X3/8LLBB</v>
          </cell>
          <cell r="D822" t="str">
            <v>F</v>
          </cell>
          <cell r="E822">
            <v>9.8000000000000007</v>
          </cell>
          <cell r="F822">
            <v>2.9</v>
          </cell>
          <cell r="G822" t="str">
            <v>2L3-1/2X2-1/2X1/4X3/8LLBB</v>
          </cell>
          <cell r="H822">
            <v>3.5</v>
          </cell>
          <cell r="I822" t="str">
            <v>–</v>
          </cell>
          <cell r="J822" t="str">
            <v>–</v>
          </cell>
          <cell r="K822" t="str">
            <v>–</v>
          </cell>
          <cell r="L822" t="str">
            <v>–</v>
          </cell>
          <cell r="M822" t="str">
            <v>–</v>
          </cell>
          <cell r="N822" t="str">
            <v>–</v>
          </cell>
          <cell r="O822" t="str">
            <v>–</v>
          </cell>
          <cell r="P822">
            <v>2.5</v>
          </cell>
          <cell r="Q822" t="str">
            <v>–</v>
          </cell>
          <cell r="R822" t="str">
            <v>–</v>
          </cell>
          <cell r="S822" t="str">
            <v>–</v>
          </cell>
          <cell r="T822" t="str">
            <v>–</v>
          </cell>
          <cell r="U822" t="str">
            <v>–</v>
          </cell>
          <cell r="V822" t="str">
            <v>–</v>
          </cell>
          <cell r="W822">
            <v>0.25</v>
          </cell>
        </row>
        <row r="823">
          <cell r="B823" t="str">
            <v>2L3-1/2X2-1/2X1/4X3/4LLBB</v>
          </cell>
          <cell r="C823" t="str">
            <v>2L3-1/2X2-1/2X1/4X3/4LLBB</v>
          </cell>
          <cell r="D823" t="str">
            <v>F</v>
          </cell>
          <cell r="E823">
            <v>9.8000000000000007</v>
          </cell>
          <cell r="F823">
            <v>2.9</v>
          </cell>
          <cell r="G823" t="str">
            <v>2L3-1/2X2-1/2X1/4X3/4LLBB</v>
          </cell>
          <cell r="H823">
            <v>3.5</v>
          </cell>
          <cell r="I823" t="str">
            <v>–</v>
          </cell>
          <cell r="J823" t="str">
            <v>–</v>
          </cell>
          <cell r="K823" t="str">
            <v>–</v>
          </cell>
          <cell r="L823" t="str">
            <v>–</v>
          </cell>
          <cell r="M823" t="str">
            <v>–</v>
          </cell>
          <cell r="N823" t="str">
            <v>–</v>
          </cell>
          <cell r="O823" t="str">
            <v>–</v>
          </cell>
          <cell r="P823">
            <v>2.5</v>
          </cell>
          <cell r="Q823" t="str">
            <v>–</v>
          </cell>
          <cell r="R823" t="str">
            <v>–</v>
          </cell>
          <cell r="S823" t="str">
            <v>–</v>
          </cell>
          <cell r="T823" t="str">
            <v>–</v>
          </cell>
          <cell r="U823" t="str">
            <v>–</v>
          </cell>
          <cell r="V823" t="str">
            <v>–</v>
          </cell>
          <cell r="W823">
            <v>0.25</v>
          </cell>
        </row>
        <row r="824">
          <cell r="B824" t="str">
            <v>2L3X2-1/2X1/2LLBB</v>
          </cell>
          <cell r="C824" t="str">
            <v>2L3X2-1/2X1/2LLBB</v>
          </cell>
          <cell r="D824" t="str">
            <v>F</v>
          </cell>
          <cell r="E824">
            <v>17</v>
          </cell>
          <cell r="F824">
            <v>5</v>
          </cell>
          <cell r="G824" t="str">
            <v>2L3X2-1/2X1/2LLBB</v>
          </cell>
          <cell r="H824">
            <v>3</v>
          </cell>
          <cell r="I824" t="str">
            <v>–</v>
          </cell>
          <cell r="J824" t="str">
            <v>–</v>
          </cell>
          <cell r="K824" t="str">
            <v>–</v>
          </cell>
          <cell r="L824" t="str">
            <v>–</v>
          </cell>
          <cell r="M824" t="str">
            <v>–</v>
          </cell>
          <cell r="N824" t="str">
            <v>–</v>
          </cell>
          <cell r="O824" t="str">
            <v>–</v>
          </cell>
          <cell r="P824">
            <v>2.5</v>
          </cell>
          <cell r="Q824" t="str">
            <v>–</v>
          </cell>
          <cell r="R824" t="str">
            <v>–</v>
          </cell>
          <cell r="S824" t="str">
            <v>–</v>
          </cell>
          <cell r="T824" t="str">
            <v>–</v>
          </cell>
          <cell r="U824" t="str">
            <v>–</v>
          </cell>
          <cell r="V824" t="str">
            <v>–</v>
          </cell>
          <cell r="W824">
            <v>0.5</v>
          </cell>
        </row>
        <row r="825">
          <cell r="B825" t="str">
            <v>2L3X2-1/2X1/2X3/8LLBB</v>
          </cell>
          <cell r="C825" t="str">
            <v>2L3X2-1/2X1/2X3/8LLBB</v>
          </cell>
          <cell r="D825" t="str">
            <v>F</v>
          </cell>
          <cell r="E825">
            <v>17</v>
          </cell>
          <cell r="F825">
            <v>5</v>
          </cell>
          <cell r="G825" t="str">
            <v>2L3X2-1/2X1/2X3/8LLBB</v>
          </cell>
          <cell r="H825">
            <v>3</v>
          </cell>
          <cell r="I825" t="str">
            <v>–</v>
          </cell>
          <cell r="J825" t="str">
            <v>–</v>
          </cell>
          <cell r="K825" t="str">
            <v>–</v>
          </cell>
          <cell r="L825" t="str">
            <v>–</v>
          </cell>
          <cell r="M825" t="str">
            <v>–</v>
          </cell>
          <cell r="N825" t="str">
            <v>–</v>
          </cell>
          <cell r="O825" t="str">
            <v>–</v>
          </cell>
          <cell r="P825">
            <v>2.5</v>
          </cell>
          <cell r="Q825" t="str">
            <v>–</v>
          </cell>
          <cell r="R825" t="str">
            <v>–</v>
          </cell>
          <cell r="S825" t="str">
            <v>–</v>
          </cell>
          <cell r="T825" t="str">
            <v>–</v>
          </cell>
          <cell r="U825" t="str">
            <v>–</v>
          </cell>
          <cell r="V825" t="str">
            <v>–</v>
          </cell>
          <cell r="W825">
            <v>0.5</v>
          </cell>
        </row>
        <row r="826">
          <cell r="B826" t="str">
            <v>2L3X2-1/2X1/2X3/4LLBB</v>
          </cell>
          <cell r="C826" t="str">
            <v>2L3X2-1/2X1/2X3/4LLBB</v>
          </cell>
          <cell r="D826" t="str">
            <v>F</v>
          </cell>
          <cell r="E826">
            <v>17</v>
          </cell>
          <cell r="F826">
            <v>5</v>
          </cell>
          <cell r="G826" t="str">
            <v>2L3X2-1/2X1/2X3/4LLBB</v>
          </cell>
          <cell r="H826">
            <v>3</v>
          </cell>
          <cell r="I826" t="str">
            <v>–</v>
          </cell>
          <cell r="J826" t="str">
            <v>–</v>
          </cell>
          <cell r="K826" t="str">
            <v>–</v>
          </cell>
          <cell r="L826" t="str">
            <v>–</v>
          </cell>
          <cell r="M826" t="str">
            <v>–</v>
          </cell>
          <cell r="N826" t="str">
            <v>–</v>
          </cell>
          <cell r="O826" t="str">
            <v>–</v>
          </cell>
          <cell r="P826">
            <v>2.5</v>
          </cell>
          <cell r="Q826" t="str">
            <v>–</v>
          </cell>
          <cell r="R826" t="str">
            <v>–</v>
          </cell>
          <cell r="S826" t="str">
            <v>–</v>
          </cell>
          <cell r="T826" t="str">
            <v>–</v>
          </cell>
          <cell r="U826" t="str">
            <v>–</v>
          </cell>
          <cell r="V826" t="str">
            <v>–</v>
          </cell>
          <cell r="W826">
            <v>0.5</v>
          </cell>
        </row>
        <row r="827">
          <cell r="B827" t="str">
            <v>2L3X2-1/2X7/16LLBB</v>
          </cell>
          <cell r="C827" t="str">
            <v>2L3X2-1/2X7/16LLBB</v>
          </cell>
          <cell r="D827" t="str">
            <v>F</v>
          </cell>
          <cell r="E827">
            <v>15.2</v>
          </cell>
          <cell r="F827">
            <v>4.4400000000000004</v>
          </cell>
          <cell r="G827" t="str">
            <v>2L3X2-1/2X7/16LLBB</v>
          </cell>
          <cell r="H827">
            <v>3</v>
          </cell>
          <cell r="I827" t="str">
            <v>–</v>
          </cell>
          <cell r="J827" t="str">
            <v>–</v>
          </cell>
          <cell r="K827" t="str">
            <v>–</v>
          </cell>
          <cell r="L827" t="str">
            <v>–</v>
          </cell>
          <cell r="M827" t="str">
            <v>–</v>
          </cell>
          <cell r="N827" t="str">
            <v>–</v>
          </cell>
          <cell r="O827" t="str">
            <v>–</v>
          </cell>
          <cell r="P827">
            <v>2.5</v>
          </cell>
          <cell r="Q827" t="str">
            <v>–</v>
          </cell>
          <cell r="R827" t="str">
            <v>–</v>
          </cell>
          <cell r="S827" t="str">
            <v>–</v>
          </cell>
          <cell r="T827" t="str">
            <v>–</v>
          </cell>
          <cell r="U827" t="str">
            <v>–</v>
          </cell>
          <cell r="V827" t="str">
            <v>–</v>
          </cell>
          <cell r="W827">
            <v>0.438</v>
          </cell>
        </row>
        <row r="828">
          <cell r="B828" t="str">
            <v>2L3X2-1/2X7/16X3/8LLBB</v>
          </cell>
          <cell r="C828" t="str">
            <v>2L3X2-1/2X7/16X3/8LLBB</v>
          </cell>
          <cell r="D828" t="str">
            <v>F</v>
          </cell>
          <cell r="E828">
            <v>15.2</v>
          </cell>
          <cell r="F828">
            <v>4.4400000000000004</v>
          </cell>
          <cell r="G828" t="str">
            <v>2L3X2-1/2X7/16X3/8LLBB</v>
          </cell>
          <cell r="H828">
            <v>3</v>
          </cell>
          <cell r="I828" t="str">
            <v>–</v>
          </cell>
          <cell r="J828" t="str">
            <v>–</v>
          </cell>
          <cell r="K828" t="str">
            <v>–</v>
          </cell>
          <cell r="L828" t="str">
            <v>–</v>
          </cell>
          <cell r="M828" t="str">
            <v>–</v>
          </cell>
          <cell r="N828" t="str">
            <v>–</v>
          </cell>
          <cell r="O828" t="str">
            <v>–</v>
          </cell>
          <cell r="P828">
            <v>2.5</v>
          </cell>
          <cell r="Q828" t="str">
            <v>–</v>
          </cell>
          <cell r="R828" t="str">
            <v>–</v>
          </cell>
          <cell r="S828" t="str">
            <v>–</v>
          </cell>
          <cell r="T828" t="str">
            <v>–</v>
          </cell>
          <cell r="U828" t="str">
            <v>–</v>
          </cell>
          <cell r="V828" t="str">
            <v>–</v>
          </cell>
          <cell r="W828">
            <v>0.438</v>
          </cell>
        </row>
        <row r="829">
          <cell r="B829" t="str">
            <v>2L3X2-1/2X7/16X3/4LLBB</v>
          </cell>
          <cell r="C829" t="str">
            <v>2L3X2-1/2X7/16X3/4LLBB</v>
          </cell>
          <cell r="D829" t="str">
            <v>F</v>
          </cell>
          <cell r="E829">
            <v>15.2</v>
          </cell>
          <cell r="F829">
            <v>4.4400000000000004</v>
          </cell>
          <cell r="G829" t="str">
            <v>2L3X2-1/2X7/16X3/4LLBB</v>
          </cell>
          <cell r="H829">
            <v>3</v>
          </cell>
          <cell r="I829" t="str">
            <v>–</v>
          </cell>
          <cell r="J829" t="str">
            <v>–</v>
          </cell>
          <cell r="K829" t="str">
            <v>–</v>
          </cell>
          <cell r="L829" t="str">
            <v>–</v>
          </cell>
          <cell r="M829" t="str">
            <v>–</v>
          </cell>
          <cell r="N829" t="str">
            <v>–</v>
          </cell>
          <cell r="O829" t="str">
            <v>–</v>
          </cell>
          <cell r="P829">
            <v>2.5</v>
          </cell>
          <cell r="Q829" t="str">
            <v>–</v>
          </cell>
          <cell r="R829" t="str">
            <v>–</v>
          </cell>
          <cell r="S829" t="str">
            <v>–</v>
          </cell>
          <cell r="T829" t="str">
            <v>–</v>
          </cell>
          <cell r="U829" t="str">
            <v>–</v>
          </cell>
          <cell r="V829" t="str">
            <v>–</v>
          </cell>
          <cell r="W829">
            <v>0.438</v>
          </cell>
        </row>
        <row r="830">
          <cell r="B830" t="str">
            <v>2L3X2-1/2X3/8LLBB</v>
          </cell>
          <cell r="C830" t="str">
            <v>2L3X2-1/2X3/8LLBB</v>
          </cell>
          <cell r="D830" t="str">
            <v>F</v>
          </cell>
          <cell r="E830">
            <v>13.2</v>
          </cell>
          <cell r="F830">
            <v>3.86</v>
          </cell>
          <cell r="G830" t="str">
            <v>2L3X2-1/2X3/8LLBB</v>
          </cell>
          <cell r="H830">
            <v>3</v>
          </cell>
          <cell r="I830" t="str">
            <v>–</v>
          </cell>
          <cell r="J830" t="str">
            <v>–</v>
          </cell>
          <cell r="K830" t="str">
            <v>–</v>
          </cell>
          <cell r="L830" t="str">
            <v>–</v>
          </cell>
          <cell r="M830" t="str">
            <v>–</v>
          </cell>
          <cell r="N830" t="str">
            <v>–</v>
          </cell>
          <cell r="O830" t="str">
            <v>–</v>
          </cell>
          <cell r="P830">
            <v>2.5</v>
          </cell>
          <cell r="Q830" t="str">
            <v>–</v>
          </cell>
          <cell r="R830" t="str">
            <v>–</v>
          </cell>
          <cell r="S830" t="str">
            <v>–</v>
          </cell>
          <cell r="T830" t="str">
            <v>–</v>
          </cell>
          <cell r="U830" t="str">
            <v>–</v>
          </cell>
          <cell r="V830" t="str">
            <v>–</v>
          </cell>
          <cell r="W830">
            <v>0.375</v>
          </cell>
        </row>
        <row r="831">
          <cell r="B831" t="str">
            <v>2L3X2-1/2X3/8X3/8LLBB</v>
          </cell>
          <cell r="C831" t="str">
            <v>2L3X2-1/2X3/8X3/8LLBB</v>
          </cell>
          <cell r="D831" t="str">
            <v>F</v>
          </cell>
          <cell r="E831">
            <v>13.2</v>
          </cell>
          <cell r="F831">
            <v>3.86</v>
          </cell>
          <cell r="G831" t="str">
            <v>2L3X2-1/2X3/8X3/8LLBB</v>
          </cell>
          <cell r="H831">
            <v>3</v>
          </cell>
          <cell r="I831" t="str">
            <v>–</v>
          </cell>
          <cell r="J831" t="str">
            <v>–</v>
          </cell>
          <cell r="K831" t="str">
            <v>–</v>
          </cell>
          <cell r="L831" t="str">
            <v>–</v>
          </cell>
          <cell r="M831" t="str">
            <v>–</v>
          </cell>
          <cell r="N831" t="str">
            <v>–</v>
          </cell>
          <cell r="O831" t="str">
            <v>–</v>
          </cell>
          <cell r="P831">
            <v>2.5</v>
          </cell>
          <cell r="Q831" t="str">
            <v>–</v>
          </cell>
          <cell r="R831" t="str">
            <v>–</v>
          </cell>
          <cell r="S831" t="str">
            <v>–</v>
          </cell>
          <cell r="T831" t="str">
            <v>–</v>
          </cell>
          <cell r="U831" t="str">
            <v>–</v>
          </cell>
          <cell r="V831" t="str">
            <v>–</v>
          </cell>
          <cell r="W831">
            <v>0.375</v>
          </cell>
        </row>
        <row r="832">
          <cell r="B832" t="str">
            <v>2L3X2-1/2X3/8X3/4LLBB</v>
          </cell>
          <cell r="C832" t="str">
            <v>2L3X2-1/2X3/8X3/4LLBB</v>
          </cell>
          <cell r="D832" t="str">
            <v>F</v>
          </cell>
          <cell r="E832">
            <v>13.2</v>
          </cell>
          <cell r="F832">
            <v>3.86</v>
          </cell>
          <cell r="G832" t="str">
            <v>2L3X2-1/2X3/8X3/4LLBB</v>
          </cell>
          <cell r="H832">
            <v>3</v>
          </cell>
          <cell r="I832" t="str">
            <v>–</v>
          </cell>
          <cell r="J832" t="str">
            <v>–</v>
          </cell>
          <cell r="K832" t="str">
            <v>–</v>
          </cell>
          <cell r="L832" t="str">
            <v>–</v>
          </cell>
          <cell r="M832" t="str">
            <v>–</v>
          </cell>
          <cell r="N832" t="str">
            <v>–</v>
          </cell>
          <cell r="O832" t="str">
            <v>–</v>
          </cell>
          <cell r="P832">
            <v>2.5</v>
          </cell>
          <cell r="Q832" t="str">
            <v>–</v>
          </cell>
          <cell r="R832" t="str">
            <v>–</v>
          </cell>
          <cell r="S832" t="str">
            <v>–</v>
          </cell>
          <cell r="T832" t="str">
            <v>–</v>
          </cell>
          <cell r="U832" t="str">
            <v>–</v>
          </cell>
          <cell r="V832" t="str">
            <v>–</v>
          </cell>
          <cell r="W832">
            <v>0.375</v>
          </cell>
        </row>
        <row r="833">
          <cell r="B833" t="str">
            <v>2L3X2-1/2X5/16LLBB</v>
          </cell>
          <cell r="C833" t="str">
            <v>2L3X2-1/2X5/16LLBB</v>
          </cell>
          <cell r="D833" t="str">
            <v>F</v>
          </cell>
          <cell r="E833">
            <v>11.2</v>
          </cell>
          <cell r="F833">
            <v>3.26</v>
          </cell>
          <cell r="G833" t="str">
            <v>2L3X2-1/2X5/16LLBB</v>
          </cell>
          <cell r="H833">
            <v>3</v>
          </cell>
          <cell r="I833" t="str">
            <v>–</v>
          </cell>
          <cell r="J833" t="str">
            <v>–</v>
          </cell>
          <cell r="K833" t="str">
            <v>–</v>
          </cell>
          <cell r="L833" t="str">
            <v>–</v>
          </cell>
          <cell r="M833" t="str">
            <v>–</v>
          </cell>
          <cell r="N833" t="str">
            <v>–</v>
          </cell>
          <cell r="O833" t="str">
            <v>–</v>
          </cell>
          <cell r="P833">
            <v>2.5</v>
          </cell>
          <cell r="Q833" t="str">
            <v>–</v>
          </cell>
          <cell r="R833" t="str">
            <v>–</v>
          </cell>
          <cell r="S833" t="str">
            <v>–</v>
          </cell>
          <cell r="T833" t="str">
            <v>–</v>
          </cell>
          <cell r="U833" t="str">
            <v>–</v>
          </cell>
          <cell r="V833" t="str">
            <v>–</v>
          </cell>
          <cell r="W833">
            <v>0.313</v>
          </cell>
        </row>
        <row r="834">
          <cell r="B834" t="str">
            <v>2L3X2-1/2X5/16X3/8LLBB</v>
          </cell>
          <cell r="C834" t="str">
            <v>2L3X2-1/2X5/16X3/8LLBB</v>
          </cell>
          <cell r="D834" t="str">
            <v>F</v>
          </cell>
          <cell r="E834">
            <v>11.2</v>
          </cell>
          <cell r="F834">
            <v>3.26</v>
          </cell>
          <cell r="G834" t="str">
            <v>2L3X2-1/2X5/16X3/8LLBB</v>
          </cell>
          <cell r="H834">
            <v>3</v>
          </cell>
          <cell r="I834" t="str">
            <v>–</v>
          </cell>
          <cell r="J834" t="str">
            <v>–</v>
          </cell>
          <cell r="K834" t="str">
            <v>–</v>
          </cell>
          <cell r="L834" t="str">
            <v>–</v>
          </cell>
          <cell r="M834" t="str">
            <v>–</v>
          </cell>
          <cell r="N834" t="str">
            <v>–</v>
          </cell>
          <cell r="O834" t="str">
            <v>–</v>
          </cell>
          <cell r="P834">
            <v>2.5</v>
          </cell>
          <cell r="Q834" t="str">
            <v>–</v>
          </cell>
          <cell r="R834" t="str">
            <v>–</v>
          </cell>
          <cell r="S834" t="str">
            <v>–</v>
          </cell>
          <cell r="T834" t="str">
            <v>–</v>
          </cell>
          <cell r="U834" t="str">
            <v>–</v>
          </cell>
          <cell r="V834" t="str">
            <v>–</v>
          </cell>
          <cell r="W834">
            <v>0.313</v>
          </cell>
        </row>
        <row r="835">
          <cell r="B835" t="str">
            <v>2L3X2-1/2X5/16X3/4LLBB</v>
          </cell>
          <cell r="C835" t="str">
            <v>2L3X2-1/2X5/16X3/4LLBB</v>
          </cell>
          <cell r="D835" t="str">
            <v>F</v>
          </cell>
          <cell r="E835">
            <v>11.2</v>
          </cell>
          <cell r="F835">
            <v>3.26</v>
          </cell>
          <cell r="G835" t="str">
            <v>2L3X2-1/2X5/16X3/4LLBB</v>
          </cell>
          <cell r="H835">
            <v>3</v>
          </cell>
          <cell r="I835" t="str">
            <v>–</v>
          </cell>
          <cell r="J835" t="str">
            <v>–</v>
          </cell>
          <cell r="K835" t="str">
            <v>–</v>
          </cell>
          <cell r="L835" t="str">
            <v>–</v>
          </cell>
          <cell r="M835" t="str">
            <v>–</v>
          </cell>
          <cell r="N835" t="str">
            <v>–</v>
          </cell>
          <cell r="O835" t="str">
            <v>–</v>
          </cell>
          <cell r="P835">
            <v>2.5</v>
          </cell>
          <cell r="Q835" t="str">
            <v>–</v>
          </cell>
          <cell r="R835" t="str">
            <v>–</v>
          </cell>
          <cell r="S835" t="str">
            <v>–</v>
          </cell>
          <cell r="T835" t="str">
            <v>–</v>
          </cell>
          <cell r="U835" t="str">
            <v>–</v>
          </cell>
          <cell r="V835" t="str">
            <v>–</v>
          </cell>
          <cell r="W835">
            <v>0.313</v>
          </cell>
        </row>
        <row r="836">
          <cell r="B836" t="str">
            <v>2L3X2-1/2X1/4LLBB</v>
          </cell>
          <cell r="C836" t="str">
            <v>2L3X2-1/2X1/4LLBB</v>
          </cell>
          <cell r="D836" t="str">
            <v>F</v>
          </cell>
          <cell r="E836">
            <v>9</v>
          </cell>
          <cell r="F836">
            <v>2.64</v>
          </cell>
          <cell r="G836" t="str">
            <v>2L3X2-1/2X1/4LLBB</v>
          </cell>
          <cell r="H836">
            <v>3</v>
          </cell>
          <cell r="I836" t="str">
            <v>–</v>
          </cell>
          <cell r="J836" t="str">
            <v>–</v>
          </cell>
          <cell r="K836" t="str">
            <v>–</v>
          </cell>
          <cell r="L836" t="str">
            <v>–</v>
          </cell>
          <cell r="M836" t="str">
            <v>–</v>
          </cell>
          <cell r="N836" t="str">
            <v>–</v>
          </cell>
          <cell r="O836" t="str">
            <v>–</v>
          </cell>
          <cell r="P836">
            <v>2.5</v>
          </cell>
          <cell r="Q836" t="str">
            <v>–</v>
          </cell>
          <cell r="R836" t="str">
            <v>–</v>
          </cell>
          <cell r="S836" t="str">
            <v>–</v>
          </cell>
          <cell r="T836" t="str">
            <v>–</v>
          </cell>
          <cell r="U836" t="str">
            <v>–</v>
          </cell>
          <cell r="V836" t="str">
            <v>–</v>
          </cell>
          <cell r="W836">
            <v>0.25</v>
          </cell>
        </row>
        <row r="837">
          <cell r="B837" t="str">
            <v>2L3X2-1/2X1/4X3/8LLBB</v>
          </cell>
          <cell r="C837" t="str">
            <v>2L3X2-1/2X1/4X3/8LLBB</v>
          </cell>
          <cell r="D837" t="str">
            <v>F</v>
          </cell>
          <cell r="E837">
            <v>9</v>
          </cell>
          <cell r="F837">
            <v>2.64</v>
          </cell>
          <cell r="G837" t="str">
            <v>2L3X2-1/2X1/4X3/8LLBB</v>
          </cell>
          <cell r="H837">
            <v>3</v>
          </cell>
          <cell r="I837" t="str">
            <v>–</v>
          </cell>
          <cell r="J837" t="str">
            <v>–</v>
          </cell>
          <cell r="K837" t="str">
            <v>–</v>
          </cell>
          <cell r="L837" t="str">
            <v>–</v>
          </cell>
          <cell r="M837" t="str">
            <v>–</v>
          </cell>
          <cell r="N837" t="str">
            <v>–</v>
          </cell>
          <cell r="O837" t="str">
            <v>–</v>
          </cell>
          <cell r="P837">
            <v>2.5</v>
          </cell>
          <cell r="Q837" t="str">
            <v>–</v>
          </cell>
          <cell r="R837" t="str">
            <v>–</v>
          </cell>
          <cell r="S837" t="str">
            <v>–</v>
          </cell>
          <cell r="T837" t="str">
            <v>–</v>
          </cell>
          <cell r="U837" t="str">
            <v>–</v>
          </cell>
          <cell r="V837" t="str">
            <v>–</v>
          </cell>
          <cell r="W837">
            <v>0.25</v>
          </cell>
        </row>
        <row r="838">
          <cell r="B838" t="str">
            <v>2L3X2-1/2X1/4X3/4LLBB</v>
          </cell>
          <cell r="C838" t="str">
            <v>2L3X2-1/2X1/4X3/4LLBB</v>
          </cell>
          <cell r="D838" t="str">
            <v>F</v>
          </cell>
          <cell r="E838">
            <v>9</v>
          </cell>
          <cell r="F838">
            <v>2.64</v>
          </cell>
          <cell r="G838" t="str">
            <v>2L3X2-1/2X1/4X3/4LLBB</v>
          </cell>
          <cell r="H838">
            <v>3</v>
          </cell>
          <cell r="I838" t="str">
            <v>–</v>
          </cell>
          <cell r="J838" t="str">
            <v>–</v>
          </cell>
          <cell r="K838" t="str">
            <v>–</v>
          </cell>
          <cell r="L838" t="str">
            <v>–</v>
          </cell>
          <cell r="M838" t="str">
            <v>–</v>
          </cell>
          <cell r="N838" t="str">
            <v>–</v>
          </cell>
          <cell r="O838" t="str">
            <v>–</v>
          </cell>
          <cell r="P838">
            <v>2.5</v>
          </cell>
          <cell r="Q838" t="str">
            <v>–</v>
          </cell>
          <cell r="R838" t="str">
            <v>–</v>
          </cell>
          <cell r="S838" t="str">
            <v>–</v>
          </cell>
          <cell r="T838" t="str">
            <v>–</v>
          </cell>
          <cell r="U838" t="str">
            <v>–</v>
          </cell>
          <cell r="V838" t="str">
            <v>–</v>
          </cell>
          <cell r="W838">
            <v>0.25</v>
          </cell>
        </row>
        <row r="839">
          <cell r="B839" t="str">
            <v>2L3X2-1/2X3/16LLBB</v>
          </cell>
          <cell r="C839" t="str">
            <v>2L3X2-1/2X3/16LLBB</v>
          </cell>
          <cell r="D839" t="str">
            <v>F</v>
          </cell>
          <cell r="E839">
            <v>6.78</v>
          </cell>
          <cell r="F839">
            <v>2</v>
          </cell>
          <cell r="G839" t="str">
            <v>2L3X2-1/2X3/16LLBB</v>
          </cell>
          <cell r="H839">
            <v>3</v>
          </cell>
          <cell r="I839" t="str">
            <v>–</v>
          </cell>
          <cell r="J839" t="str">
            <v>–</v>
          </cell>
          <cell r="K839" t="str">
            <v>–</v>
          </cell>
          <cell r="L839" t="str">
            <v>–</v>
          </cell>
          <cell r="M839" t="str">
            <v>–</v>
          </cell>
          <cell r="N839" t="str">
            <v>–</v>
          </cell>
          <cell r="O839" t="str">
            <v>–</v>
          </cell>
          <cell r="P839">
            <v>2.5</v>
          </cell>
          <cell r="Q839" t="str">
            <v>–</v>
          </cell>
          <cell r="R839" t="str">
            <v>–</v>
          </cell>
          <cell r="S839" t="str">
            <v>–</v>
          </cell>
          <cell r="T839" t="str">
            <v>–</v>
          </cell>
          <cell r="U839" t="str">
            <v>–</v>
          </cell>
          <cell r="V839" t="str">
            <v>–</v>
          </cell>
          <cell r="W839">
            <v>0.188</v>
          </cell>
        </row>
        <row r="840">
          <cell r="B840" t="str">
            <v>2L3X2-1/2X3/16X3/8LLBB</v>
          </cell>
          <cell r="C840" t="str">
            <v>2L3X2-1/2X3/16X3/8LLBB</v>
          </cell>
          <cell r="D840" t="str">
            <v>F</v>
          </cell>
          <cell r="E840">
            <v>6.78</v>
          </cell>
          <cell r="F840">
            <v>2</v>
          </cell>
          <cell r="G840" t="str">
            <v>2L3X2-1/2X3/16X3/8LLBB</v>
          </cell>
          <cell r="H840">
            <v>3</v>
          </cell>
          <cell r="I840" t="str">
            <v>–</v>
          </cell>
          <cell r="J840" t="str">
            <v>–</v>
          </cell>
          <cell r="K840" t="str">
            <v>–</v>
          </cell>
          <cell r="L840" t="str">
            <v>–</v>
          </cell>
          <cell r="M840" t="str">
            <v>–</v>
          </cell>
          <cell r="N840" t="str">
            <v>–</v>
          </cell>
          <cell r="O840" t="str">
            <v>–</v>
          </cell>
          <cell r="P840">
            <v>2.5</v>
          </cell>
          <cell r="Q840" t="str">
            <v>–</v>
          </cell>
          <cell r="R840" t="str">
            <v>–</v>
          </cell>
          <cell r="S840" t="str">
            <v>–</v>
          </cell>
          <cell r="T840" t="str">
            <v>–</v>
          </cell>
          <cell r="U840" t="str">
            <v>–</v>
          </cell>
          <cell r="V840" t="str">
            <v>–</v>
          </cell>
          <cell r="W840">
            <v>0.188</v>
          </cell>
        </row>
        <row r="841">
          <cell r="B841" t="str">
            <v>2L3X2-1/2X3/16X3/4LLBB</v>
          </cell>
          <cell r="C841" t="str">
            <v>2L3X2-1/2X3/16X3/4LLBB</v>
          </cell>
          <cell r="D841" t="str">
            <v>F</v>
          </cell>
          <cell r="E841">
            <v>6.78</v>
          </cell>
          <cell r="F841">
            <v>2</v>
          </cell>
          <cell r="G841" t="str">
            <v>2L3X2-1/2X3/16X3/4LLBB</v>
          </cell>
          <cell r="H841">
            <v>3</v>
          </cell>
          <cell r="I841" t="str">
            <v>–</v>
          </cell>
          <cell r="J841" t="str">
            <v>–</v>
          </cell>
          <cell r="K841" t="str">
            <v>–</v>
          </cell>
          <cell r="L841" t="str">
            <v>–</v>
          </cell>
          <cell r="M841" t="str">
            <v>–</v>
          </cell>
          <cell r="N841" t="str">
            <v>–</v>
          </cell>
          <cell r="O841" t="str">
            <v>–</v>
          </cell>
          <cell r="P841">
            <v>2.5</v>
          </cell>
          <cell r="Q841" t="str">
            <v>–</v>
          </cell>
          <cell r="R841" t="str">
            <v>–</v>
          </cell>
          <cell r="S841" t="str">
            <v>–</v>
          </cell>
          <cell r="T841" t="str">
            <v>–</v>
          </cell>
          <cell r="U841" t="str">
            <v>–</v>
          </cell>
          <cell r="V841" t="str">
            <v>–</v>
          </cell>
          <cell r="W841">
            <v>0.188</v>
          </cell>
        </row>
        <row r="842">
          <cell r="B842" t="str">
            <v>2L3X2X1/2LLBB</v>
          </cell>
          <cell r="C842" t="str">
            <v>2L3X2X1/2LLBB</v>
          </cell>
          <cell r="D842" t="str">
            <v>F</v>
          </cell>
          <cell r="E842">
            <v>15.4</v>
          </cell>
          <cell r="F842">
            <v>4.5199999999999996</v>
          </cell>
          <cell r="G842" t="str">
            <v>2L3X2X1/2LLBB</v>
          </cell>
          <cell r="H842">
            <v>3</v>
          </cell>
          <cell r="I842" t="str">
            <v>–</v>
          </cell>
          <cell r="J842" t="str">
            <v>–</v>
          </cell>
          <cell r="K842" t="str">
            <v>–</v>
          </cell>
          <cell r="L842" t="str">
            <v>–</v>
          </cell>
          <cell r="M842" t="str">
            <v>–</v>
          </cell>
          <cell r="N842" t="str">
            <v>–</v>
          </cell>
          <cell r="O842" t="str">
            <v>–</v>
          </cell>
          <cell r="P842">
            <v>2</v>
          </cell>
          <cell r="Q842" t="str">
            <v>–</v>
          </cell>
          <cell r="R842" t="str">
            <v>–</v>
          </cell>
          <cell r="S842" t="str">
            <v>–</v>
          </cell>
          <cell r="T842" t="str">
            <v>–</v>
          </cell>
          <cell r="U842" t="str">
            <v>–</v>
          </cell>
          <cell r="V842" t="str">
            <v>–</v>
          </cell>
          <cell r="W842">
            <v>0.5</v>
          </cell>
        </row>
        <row r="843">
          <cell r="B843" t="str">
            <v>2L3X2X1/2X3/8LLBB</v>
          </cell>
          <cell r="C843" t="str">
            <v>2L3X2X1/2X3/8LLBB</v>
          </cell>
          <cell r="D843" t="str">
            <v>F</v>
          </cell>
          <cell r="E843">
            <v>15.4</v>
          </cell>
          <cell r="F843">
            <v>4.5199999999999996</v>
          </cell>
          <cell r="G843" t="str">
            <v>2L3X2X1/2X3/8LLBB</v>
          </cell>
          <cell r="H843">
            <v>3</v>
          </cell>
          <cell r="I843" t="str">
            <v>–</v>
          </cell>
          <cell r="J843" t="str">
            <v>–</v>
          </cell>
          <cell r="K843" t="str">
            <v>–</v>
          </cell>
          <cell r="L843" t="str">
            <v>–</v>
          </cell>
          <cell r="M843" t="str">
            <v>–</v>
          </cell>
          <cell r="N843" t="str">
            <v>–</v>
          </cell>
          <cell r="O843" t="str">
            <v>–</v>
          </cell>
          <cell r="P843">
            <v>2</v>
          </cell>
          <cell r="Q843" t="str">
            <v>–</v>
          </cell>
          <cell r="R843" t="str">
            <v>–</v>
          </cell>
          <cell r="S843" t="str">
            <v>–</v>
          </cell>
          <cell r="T843" t="str">
            <v>–</v>
          </cell>
          <cell r="U843" t="str">
            <v>–</v>
          </cell>
          <cell r="V843" t="str">
            <v>–</v>
          </cell>
          <cell r="W843">
            <v>0.5</v>
          </cell>
        </row>
        <row r="844">
          <cell r="B844" t="str">
            <v>2L3X2X1/2X3/4LLBB</v>
          </cell>
          <cell r="C844" t="str">
            <v>2L3X2X1/2X3/4LLBB</v>
          </cell>
          <cell r="D844" t="str">
            <v>F</v>
          </cell>
          <cell r="E844">
            <v>15.4</v>
          </cell>
          <cell r="F844">
            <v>4.5199999999999996</v>
          </cell>
          <cell r="G844" t="str">
            <v>2L3X2X1/2X3/4LLBB</v>
          </cell>
          <cell r="H844">
            <v>3</v>
          </cell>
          <cell r="I844" t="str">
            <v>–</v>
          </cell>
          <cell r="J844" t="str">
            <v>–</v>
          </cell>
          <cell r="K844" t="str">
            <v>–</v>
          </cell>
          <cell r="L844" t="str">
            <v>–</v>
          </cell>
          <cell r="M844" t="str">
            <v>–</v>
          </cell>
          <cell r="N844" t="str">
            <v>–</v>
          </cell>
          <cell r="O844" t="str">
            <v>–</v>
          </cell>
          <cell r="P844">
            <v>2</v>
          </cell>
          <cell r="Q844" t="str">
            <v>–</v>
          </cell>
          <cell r="R844" t="str">
            <v>–</v>
          </cell>
          <cell r="S844" t="str">
            <v>–</v>
          </cell>
          <cell r="T844" t="str">
            <v>–</v>
          </cell>
          <cell r="U844" t="str">
            <v>–</v>
          </cell>
          <cell r="V844" t="str">
            <v>–</v>
          </cell>
          <cell r="W844">
            <v>0.5</v>
          </cell>
        </row>
        <row r="845">
          <cell r="B845" t="str">
            <v>2L3X2X3/8LLBB</v>
          </cell>
          <cell r="C845" t="str">
            <v>2L3X2X3/8LLBB</v>
          </cell>
          <cell r="D845" t="str">
            <v>F</v>
          </cell>
          <cell r="E845">
            <v>11.8</v>
          </cell>
          <cell r="F845">
            <v>3.5</v>
          </cell>
          <cell r="G845" t="str">
            <v>2L3X2X3/8LLBB</v>
          </cell>
          <cell r="H845">
            <v>3</v>
          </cell>
          <cell r="I845" t="str">
            <v>–</v>
          </cell>
          <cell r="J845" t="str">
            <v>–</v>
          </cell>
          <cell r="K845" t="str">
            <v>–</v>
          </cell>
          <cell r="L845" t="str">
            <v>–</v>
          </cell>
          <cell r="M845" t="str">
            <v>–</v>
          </cell>
          <cell r="N845" t="str">
            <v>–</v>
          </cell>
          <cell r="O845" t="str">
            <v>–</v>
          </cell>
          <cell r="P845">
            <v>2</v>
          </cell>
          <cell r="Q845" t="str">
            <v>–</v>
          </cell>
          <cell r="R845" t="str">
            <v>–</v>
          </cell>
          <cell r="S845" t="str">
            <v>–</v>
          </cell>
          <cell r="T845" t="str">
            <v>–</v>
          </cell>
          <cell r="U845" t="str">
            <v>–</v>
          </cell>
          <cell r="V845" t="str">
            <v>–</v>
          </cell>
          <cell r="W845">
            <v>0.375</v>
          </cell>
        </row>
        <row r="846">
          <cell r="B846" t="str">
            <v>2L3X2X3/8X3/8LLBB</v>
          </cell>
          <cell r="C846" t="str">
            <v>2L3X2X3/8X3/8LLBB</v>
          </cell>
          <cell r="D846" t="str">
            <v>F</v>
          </cell>
          <cell r="E846">
            <v>11.8</v>
          </cell>
          <cell r="F846">
            <v>3.5</v>
          </cell>
          <cell r="G846" t="str">
            <v>2L3X2X3/8X3/8LLBB</v>
          </cell>
          <cell r="H846">
            <v>3</v>
          </cell>
          <cell r="I846" t="str">
            <v>–</v>
          </cell>
          <cell r="J846" t="str">
            <v>–</v>
          </cell>
          <cell r="K846" t="str">
            <v>–</v>
          </cell>
          <cell r="L846" t="str">
            <v>–</v>
          </cell>
          <cell r="M846" t="str">
            <v>–</v>
          </cell>
          <cell r="N846" t="str">
            <v>–</v>
          </cell>
          <cell r="O846" t="str">
            <v>–</v>
          </cell>
          <cell r="P846">
            <v>2</v>
          </cell>
          <cell r="Q846" t="str">
            <v>–</v>
          </cell>
          <cell r="R846" t="str">
            <v>–</v>
          </cell>
          <cell r="S846" t="str">
            <v>–</v>
          </cell>
          <cell r="T846" t="str">
            <v>–</v>
          </cell>
          <cell r="U846" t="str">
            <v>–</v>
          </cell>
          <cell r="V846" t="str">
            <v>–</v>
          </cell>
          <cell r="W846">
            <v>0.375</v>
          </cell>
        </row>
        <row r="847">
          <cell r="B847" t="str">
            <v>2L3X2X3/8X3/4LLBB</v>
          </cell>
          <cell r="C847" t="str">
            <v>2L3X2X3/8X3/4LLBB</v>
          </cell>
          <cell r="D847" t="str">
            <v>F</v>
          </cell>
          <cell r="E847">
            <v>11.8</v>
          </cell>
          <cell r="F847">
            <v>3.5</v>
          </cell>
          <cell r="G847" t="str">
            <v>2L3X2X3/8X3/4LLBB</v>
          </cell>
          <cell r="H847">
            <v>3</v>
          </cell>
          <cell r="I847" t="str">
            <v>–</v>
          </cell>
          <cell r="J847" t="str">
            <v>–</v>
          </cell>
          <cell r="K847" t="str">
            <v>–</v>
          </cell>
          <cell r="L847" t="str">
            <v>–</v>
          </cell>
          <cell r="M847" t="str">
            <v>–</v>
          </cell>
          <cell r="N847" t="str">
            <v>–</v>
          </cell>
          <cell r="O847" t="str">
            <v>–</v>
          </cell>
          <cell r="P847">
            <v>2</v>
          </cell>
          <cell r="Q847" t="str">
            <v>–</v>
          </cell>
          <cell r="R847" t="str">
            <v>–</v>
          </cell>
          <cell r="S847" t="str">
            <v>–</v>
          </cell>
          <cell r="T847" t="str">
            <v>–</v>
          </cell>
          <cell r="U847" t="str">
            <v>–</v>
          </cell>
          <cell r="V847" t="str">
            <v>–</v>
          </cell>
          <cell r="W847">
            <v>0.375</v>
          </cell>
        </row>
        <row r="848">
          <cell r="B848" t="str">
            <v>2L3X2X5/16LLBB</v>
          </cell>
          <cell r="C848" t="str">
            <v>2L3X2X5/16LLBB</v>
          </cell>
          <cell r="D848" t="str">
            <v>F</v>
          </cell>
          <cell r="E848">
            <v>10</v>
          </cell>
          <cell r="F848">
            <v>2.96</v>
          </cell>
          <cell r="G848" t="str">
            <v>2L3X2X5/16LLBB</v>
          </cell>
          <cell r="H848">
            <v>3</v>
          </cell>
          <cell r="I848" t="str">
            <v>–</v>
          </cell>
          <cell r="J848" t="str">
            <v>–</v>
          </cell>
          <cell r="K848" t="str">
            <v>–</v>
          </cell>
          <cell r="L848" t="str">
            <v>–</v>
          </cell>
          <cell r="M848" t="str">
            <v>–</v>
          </cell>
          <cell r="N848" t="str">
            <v>–</v>
          </cell>
          <cell r="O848" t="str">
            <v>–</v>
          </cell>
          <cell r="P848">
            <v>2</v>
          </cell>
          <cell r="Q848" t="str">
            <v>–</v>
          </cell>
          <cell r="R848" t="str">
            <v>–</v>
          </cell>
          <cell r="S848" t="str">
            <v>–</v>
          </cell>
          <cell r="T848" t="str">
            <v>–</v>
          </cell>
          <cell r="U848" t="str">
            <v>–</v>
          </cell>
          <cell r="V848" t="str">
            <v>–</v>
          </cell>
          <cell r="W848">
            <v>0.313</v>
          </cell>
        </row>
        <row r="849">
          <cell r="B849" t="str">
            <v>2L3X2X5/16X3/8LLBB</v>
          </cell>
          <cell r="C849" t="str">
            <v>2L3X2X5/16X3/8LLBB</v>
          </cell>
          <cell r="D849" t="str">
            <v>F</v>
          </cell>
          <cell r="E849">
            <v>10</v>
          </cell>
          <cell r="F849">
            <v>2.96</v>
          </cell>
          <cell r="G849" t="str">
            <v>2L3X2X5/16X3/8LLBB</v>
          </cell>
          <cell r="H849">
            <v>3</v>
          </cell>
          <cell r="I849" t="str">
            <v>–</v>
          </cell>
          <cell r="J849" t="str">
            <v>–</v>
          </cell>
          <cell r="K849" t="str">
            <v>–</v>
          </cell>
          <cell r="L849" t="str">
            <v>–</v>
          </cell>
          <cell r="M849" t="str">
            <v>–</v>
          </cell>
          <cell r="N849" t="str">
            <v>–</v>
          </cell>
          <cell r="O849" t="str">
            <v>–</v>
          </cell>
          <cell r="P849">
            <v>2</v>
          </cell>
          <cell r="Q849" t="str">
            <v>–</v>
          </cell>
          <cell r="R849" t="str">
            <v>–</v>
          </cell>
          <cell r="S849" t="str">
            <v>–</v>
          </cell>
          <cell r="T849" t="str">
            <v>–</v>
          </cell>
          <cell r="U849" t="str">
            <v>–</v>
          </cell>
          <cell r="V849" t="str">
            <v>–</v>
          </cell>
          <cell r="W849">
            <v>0.313</v>
          </cell>
        </row>
        <row r="850">
          <cell r="B850" t="str">
            <v>2L3X2X5/16X3/4LLBB</v>
          </cell>
          <cell r="C850" t="str">
            <v>2L3X2X5/16X3/4LLBB</v>
          </cell>
          <cell r="D850" t="str">
            <v>F</v>
          </cell>
          <cell r="E850">
            <v>10</v>
          </cell>
          <cell r="F850">
            <v>2.96</v>
          </cell>
          <cell r="G850" t="str">
            <v>2L3X2X5/16X3/4LLBB</v>
          </cell>
          <cell r="H850">
            <v>3</v>
          </cell>
          <cell r="I850" t="str">
            <v>–</v>
          </cell>
          <cell r="J850" t="str">
            <v>–</v>
          </cell>
          <cell r="K850" t="str">
            <v>–</v>
          </cell>
          <cell r="L850" t="str">
            <v>–</v>
          </cell>
          <cell r="M850" t="str">
            <v>–</v>
          </cell>
          <cell r="N850" t="str">
            <v>–</v>
          </cell>
          <cell r="O850" t="str">
            <v>–</v>
          </cell>
          <cell r="P850">
            <v>2</v>
          </cell>
          <cell r="Q850" t="str">
            <v>–</v>
          </cell>
          <cell r="R850" t="str">
            <v>–</v>
          </cell>
          <cell r="S850" t="str">
            <v>–</v>
          </cell>
          <cell r="T850" t="str">
            <v>–</v>
          </cell>
          <cell r="U850" t="str">
            <v>–</v>
          </cell>
          <cell r="V850" t="str">
            <v>–</v>
          </cell>
          <cell r="W850">
            <v>0.313</v>
          </cell>
        </row>
        <row r="851">
          <cell r="B851" t="str">
            <v>2L3X2X1/4LLBB</v>
          </cell>
          <cell r="C851" t="str">
            <v>2L3X2X1/4LLBB</v>
          </cell>
          <cell r="D851" t="str">
            <v>F</v>
          </cell>
          <cell r="E851">
            <v>8.1999999999999993</v>
          </cell>
          <cell r="F851">
            <v>2.4</v>
          </cell>
          <cell r="G851" t="str">
            <v>2L3X2X1/4LLBB</v>
          </cell>
          <cell r="H851">
            <v>3</v>
          </cell>
          <cell r="I851" t="str">
            <v>–</v>
          </cell>
          <cell r="J851" t="str">
            <v>–</v>
          </cell>
          <cell r="K851" t="str">
            <v>–</v>
          </cell>
          <cell r="L851" t="str">
            <v>–</v>
          </cell>
          <cell r="M851" t="str">
            <v>–</v>
          </cell>
          <cell r="N851" t="str">
            <v>–</v>
          </cell>
          <cell r="O851" t="str">
            <v>–</v>
          </cell>
          <cell r="P851">
            <v>2</v>
          </cell>
          <cell r="Q851" t="str">
            <v>–</v>
          </cell>
          <cell r="R851" t="str">
            <v>–</v>
          </cell>
          <cell r="S851" t="str">
            <v>–</v>
          </cell>
          <cell r="T851" t="str">
            <v>–</v>
          </cell>
          <cell r="U851" t="str">
            <v>–</v>
          </cell>
          <cell r="V851" t="str">
            <v>–</v>
          </cell>
          <cell r="W851">
            <v>0.25</v>
          </cell>
        </row>
        <row r="852">
          <cell r="B852" t="str">
            <v>2L3X2X1/4X3/8LLBB</v>
          </cell>
          <cell r="C852" t="str">
            <v>2L3X2X1/4X3/8LLBB</v>
          </cell>
          <cell r="D852" t="str">
            <v>F</v>
          </cell>
          <cell r="E852">
            <v>8.1999999999999993</v>
          </cell>
          <cell r="F852">
            <v>2.4</v>
          </cell>
          <cell r="G852" t="str">
            <v>2L3X2X1/4X3/8LLBB</v>
          </cell>
          <cell r="H852">
            <v>3</v>
          </cell>
          <cell r="I852" t="str">
            <v>–</v>
          </cell>
          <cell r="J852" t="str">
            <v>–</v>
          </cell>
          <cell r="K852" t="str">
            <v>–</v>
          </cell>
          <cell r="L852" t="str">
            <v>–</v>
          </cell>
          <cell r="M852" t="str">
            <v>–</v>
          </cell>
          <cell r="N852" t="str">
            <v>–</v>
          </cell>
          <cell r="O852" t="str">
            <v>–</v>
          </cell>
          <cell r="P852">
            <v>2</v>
          </cell>
          <cell r="Q852" t="str">
            <v>–</v>
          </cell>
          <cell r="R852" t="str">
            <v>–</v>
          </cell>
          <cell r="S852" t="str">
            <v>–</v>
          </cell>
          <cell r="T852" t="str">
            <v>–</v>
          </cell>
          <cell r="U852" t="str">
            <v>–</v>
          </cell>
          <cell r="V852" t="str">
            <v>–</v>
          </cell>
          <cell r="W852">
            <v>0.25</v>
          </cell>
        </row>
        <row r="853">
          <cell r="B853" t="str">
            <v>2L3X2X1/4X3/4LLBB</v>
          </cell>
          <cell r="C853" t="str">
            <v>2L3X2X1/4X3/4LLBB</v>
          </cell>
          <cell r="D853" t="str">
            <v>F</v>
          </cell>
          <cell r="E853">
            <v>8.1999999999999993</v>
          </cell>
          <cell r="F853">
            <v>2.4</v>
          </cell>
          <cell r="G853" t="str">
            <v>2L3X2X1/4X3/4LLBB</v>
          </cell>
          <cell r="H853">
            <v>3</v>
          </cell>
          <cell r="I853" t="str">
            <v>–</v>
          </cell>
          <cell r="J853" t="str">
            <v>–</v>
          </cell>
          <cell r="K853" t="str">
            <v>–</v>
          </cell>
          <cell r="L853" t="str">
            <v>–</v>
          </cell>
          <cell r="M853" t="str">
            <v>–</v>
          </cell>
          <cell r="N853" t="str">
            <v>–</v>
          </cell>
          <cell r="O853" t="str">
            <v>–</v>
          </cell>
          <cell r="P853">
            <v>2</v>
          </cell>
          <cell r="Q853" t="str">
            <v>–</v>
          </cell>
          <cell r="R853" t="str">
            <v>–</v>
          </cell>
          <cell r="S853" t="str">
            <v>–</v>
          </cell>
          <cell r="T853" t="str">
            <v>–</v>
          </cell>
          <cell r="U853" t="str">
            <v>–</v>
          </cell>
          <cell r="V853" t="str">
            <v>–</v>
          </cell>
          <cell r="W853">
            <v>0.25</v>
          </cell>
        </row>
        <row r="854">
          <cell r="B854" t="str">
            <v>2L3X2X3/16LLBB</v>
          </cell>
          <cell r="C854" t="str">
            <v>2L3X2X3/16LLBB</v>
          </cell>
          <cell r="D854" t="str">
            <v>F</v>
          </cell>
          <cell r="E854">
            <v>6.14</v>
          </cell>
          <cell r="F854">
            <v>1.83</v>
          </cell>
          <cell r="G854" t="str">
            <v>2L3X2X3/16LLBB</v>
          </cell>
          <cell r="H854">
            <v>3</v>
          </cell>
          <cell r="I854" t="str">
            <v>–</v>
          </cell>
          <cell r="J854" t="str">
            <v>–</v>
          </cell>
          <cell r="K854" t="str">
            <v>–</v>
          </cell>
          <cell r="L854" t="str">
            <v>–</v>
          </cell>
          <cell r="M854" t="str">
            <v>–</v>
          </cell>
          <cell r="N854" t="str">
            <v>–</v>
          </cell>
          <cell r="O854" t="str">
            <v>–</v>
          </cell>
          <cell r="P854">
            <v>2</v>
          </cell>
          <cell r="Q854" t="str">
            <v>–</v>
          </cell>
          <cell r="R854" t="str">
            <v>–</v>
          </cell>
          <cell r="S854" t="str">
            <v>–</v>
          </cell>
          <cell r="T854" t="str">
            <v>–</v>
          </cell>
          <cell r="U854" t="str">
            <v>–</v>
          </cell>
          <cell r="V854" t="str">
            <v>–</v>
          </cell>
          <cell r="W854">
            <v>0.188</v>
          </cell>
        </row>
        <row r="855">
          <cell r="B855" t="str">
            <v>2L3X2X3/16X3/8LLBB</v>
          </cell>
          <cell r="C855" t="str">
            <v>2L3X2X3/16X3/8LLBB</v>
          </cell>
          <cell r="D855" t="str">
            <v>F</v>
          </cell>
          <cell r="E855">
            <v>6.14</v>
          </cell>
          <cell r="F855">
            <v>1.83</v>
          </cell>
          <cell r="G855" t="str">
            <v>2L3X2X3/16X3/8LLBB</v>
          </cell>
          <cell r="H855">
            <v>3</v>
          </cell>
          <cell r="I855" t="str">
            <v>–</v>
          </cell>
          <cell r="J855" t="str">
            <v>–</v>
          </cell>
          <cell r="K855" t="str">
            <v>–</v>
          </cell>
          <cell r="L855" t="str">
            <v>–</v>
          </cell>
          <cell r="M855" t="str">
            <v>–</v>
          </cell>
          <cell r="N855" t="str">
            <v>–</v>
          </cell>
          <cell r="O855" t="str">
            <v>–</v>
          </cell>
          <cell r="P855">
            <v>2</v>
          </cell>
          <cell r="Q855" t="str">
            <v>–</v>
          </cell>
          <cell r="R855" t="str">
            <v>–</v>
          </cell>
          <cell r="S855" t="str">
            <v>–</v>
          </cell>
          <cell r="T855" t="str">
            <v>–</v>
          </cell>
          <cell r="U855" t="str">
            <v>–</v>
          </cell>
          <cell r="V855" t="str">
            <v>–</v>
          </cell>
          <cell r="W855">
            <v>0.188</v>
          </cell>
        </row>
        <row r="856">
          <cell r="B856" t="str">
            <v>2L3X2X3/16X3/4LLBB</v>
          </cell>
          <cell r="C856" t="str">
            <v>2L3X2X3/16X3/4LLBB</v>
          </cell>
          <cell r="D856" t="str">
            <v>F</v>
          </cell>
          <cell r="E856">
            <v>6.14</v>
          </cell>
          <cell r="F856">
            <v>1.83</v>
          </cell>
          <cell r="G856" t="str">
            <v>2L3X2X3/16X3/4LLBB</v>
          </cell>
          <cell r="H856">
            <v>3</v>
          </cell>
          <cell r="I856" t="str">
            <v>–</v>
          </cell>
          <cell r="J856" t="str">
            <v>–</v>
          </cell>
          <cell r="K856" t="str">
            <v>–</v>
          </cell>
          <cell r="L856" t="str">
            <v>–</v>
          </cell>
          <cell r="M856" t="str">
            <v>–</v>
          </cell>
          <cell r="N856" t="str">
            <v>–</v>
          </cell>
          <cell r="O856" t="str">
            <v>–</v>
          </cell>
          <cell r="P856">
            <v>2</v>
          </cell>
          <cell r="Q856" t="str">
            <v>–</v>
          </cell>
          <cell r="R856" t="str">
            <v>–</v>
          </cell>
          <cell r="S856" t="str">
            <v>–</v>
          </cell>
          <cell r="T856" t="str">
            <v>–</v>
          </cell>
          <cell r="U856" t="str">
            <v>–</v>
          </cell>
          <cell r="V856" t="str">
            <v>–</v>
          </cell>
          <cell r="W856">
            <v>0.188</v>
          </cell>
        </row>
        <row r="857">
          <cell r="B857" t="str">
            <v>2L2-1/2X2X3/8LLBB</v>
          </cell>
          <cell r="C857" t="str">
            <v>2L2-1/2X2X3/8LLBB</v>
          </cell>
          <cell r="D857" t="str">
            <v>F</v>
          </cell>
          <cell r="E857">
            <v>10.6</v>
          </cell>
          <cell r="F857">
            <v>3.1</v>
          </cell>
          <cell r="G857" t="str">
            <v>2L2-1/2X2X3/8LLBB</v>
          </cell>
          <cell r="H857">
            <v>2.5</v>
          </cell>
          <cell r="I857" t="str">
            <v>–</v>
          </cell>
          <cell r="J857" t="str">
            <v>–</v>
          </cell>
          <cell r="K857" t="str">
            <v>–</v>
          </cell>
          <cell r="L857" t="str">
            <v>–</v>
          </cell>
          <cell r="M857" t="str">
            <v>–</v>
          </cell>
          <cell r="N857" t="str">
            <v>–</v>
          </cell>
          <cell r="O857" t="str">
            <v>–</v>
          </cell>
          <cell r="P857">
            <v>2</v>
          </cell>
          <cell r="Q857" t="str">
            <v>–</v>
          </cell>
          <cell r="R857" t="str">
            <v>–</v>
          </cell>
          <cell r="S857" t="str">
            <v>–</v>
          </cell>
          <cell r="T857" t="str">
            <v>–</v>
          </cell>
          <cell r="U857" t="str">
            <v>–</v>
          </cell>
          <cell r="V857" t="str">
            <v>–</v>
          </cell>
          <cell r="W857">
            <v>0.375</v>
          </cell>
        </row>
        <row r="858">
          <cell r="B858" t="str">
            <v>2L2-1/2X2X3/8X3/8LLBB</v>
          </cell>
          <cell r="C858" t="str">
            <v>2L2-1/2X2X3/8X3/8LLBB</v>
          </cell>
          <cell r="D858" t="str">
            <v>F</v>
          </cell>
          <cell r="E858">
            <v>10.6</v>
          </cell>
          <cell r="F858">
            <v>3.1</v>
          </cell>
          <cell r="G858" t="str">
            <v>2L2-1/2X2X3/8X3/8LLBB</v>
          </cell>
          <cell r="H858">
            <v>2.5</v>
          </cell>
          <cell r="I858" t="str">
            <v>–</v>
          </cell>
          <cell r="J858" t="str">
            <v>–</v>
          </cell>
          <cell r="K858" t="str">
            <v>–</v>
          </cell>
          <cell r="L858" t="str">
            <v>–</v>
          </cell>
          <cell r="M858" t="str">
            <v>–</v>
          </cell>
          <cell r="N858" t="str">
            <v>–</v>
          </cell>
          <cell r="O858" t="str">
            <v>–</v>
          </cell>
          <cell r="P858">
            <v>2</v>
          </cell>
          <cell r="Q858" t="str">
            <v>–</v>
          </cell>
          <cell r="R858" t="str">
            <v>–</v>
          </cell>
          <cell r="S858" t="str">
            <v>–</v>
          </cell>
          <cell r="T858" t="str">
            <v>–</v>
          </cell>
          <cell r="U858" t="str">
            <v>–</v>
          </cell>
          <cell r="V858" t="str">
            <v>–</v>
          </cell>
          <cell r="W858">
            <v>0.375</v>
          </cell>
        </row>
        <row r="859">
          <cell r="B859" t="str">
            <v>2L2-1/2X2X3/8X3/4LLBB</v>
          </cell>
          <cell r="C859" t="str">
            <v>2L2-1/2X2X3/8X3/4LLBB</v>
          </cell>
          <cell r="D859" t="str">
            <v>F</v>
          </cell>
          <cell r="E859">
            <v>10.6</v>
          </cell>
          <cell r="F859">
            <v>3.1</v>
          </cell>
          <cell r="G859" t="str">
            <v>2L2-1/2X2X3/8X3/4LLBB</v>
          </cell>
          <cell r="H859">
            <v>2.5</v>
          </cell>
          <cell r="I859" t="str">
            <v>–</v>
          </cell>
          <cell r="J859" t="str">
            <v>–</v>
          </cell>
          <cell r="K859" t="str">
            <v>–</v>
          </cell>
          <cell r="L859" t="str">
            <v>–</v>
          </cell>
          <cell r="M859" t="str">
            <v>–</v>
          </cell>
          <cell r="N859" t="str">
            <v>–</v>
          </cell>
          <cell r="O859" t="str">
            <v>–</v>
          </cell>
          <cell r="P859">
            <v>2</v>
          </cell>
          <cell r="Q859" t="str">
            <v>–</v>
          </cell>
          <cell r="R859" t="str">
            <v>–</v>
          </cell>
          <cell r="S859" t="str">
            <v>–</v>
          </cell>
          <cell r="T859" t="str">
            <v>–</v>
          </cell>
          <cell r="U859" t="str">
            <v>–</v>
          </cell>
          <cell r="V859" t="str">
            <v>–</v>
          </cell>
          <cell r="W859">
            <v>0.375</v>
          </cell>
        </row>
        <row r="860">
          <cell r="B860" t="str">
            <v>2L2-1/2X2X5/16LLBB</v>
          </cell>
          <cell r="C860" t="str">
            <v>2L2-1/2X2X5/16LLBB</v>
          </cell>
          <cell r="D860" t="str">
            <v>F</v>
          </cell>
          <cell r="E860">
            <v>9</v>
          </cell>
          <cell r="F860">
            <v>2.64</v>
          </cell>
          <cell r="G860" t="str">
            <v>2L2-1/2X2X5/16LLBB</v>
          </cell>
          <cell r="H860">
            <v>2.5</v>
          </cell>
          <cell r="I860" t="str">
            <v>–</v>
          </cell>
          <cell r="J860" t="str">
            <v>–</v>
          </cell>
          <cell r="K860" t="str">
            <v>–</v>
          </cell>
          <cell r="L860" t="str">
            <v>–</v>
          </cell>
          <cell r="M860" t="str">
            <v>–</v>
          </cell>
          <cell r="N860" t="str">
            <v>–</v>
          </cell>
          <cell r="O860" t="str">
            <v>–</v>
          </cell>
          <cell r="P860">
            <v>2</v>
          </cell>
          <cell r="Q860" t="str">
            <v>–</v>
          </cell>
          <cell r="R860" t="str">
            <v>–</v>
          </cell>
          <cell r="S860" t="str">
            <v>–</v>
          </cell>
          <cell r="T860" t="str">
            <v>–</v>
          </cell>
          <cell r="U860" t="str">
            <v>–</v>
          </cell>
          <cell r="V860" t="str">
            <v>–</v>
          </cell>
          <cell r="W860">
            <v>0.313</v>
          </cell>
        </row>
        <row r="861">
          <cell r="B861" t="str">
            <v>2L2-1/2X2X5/16X3/8LLBB</v>
          </cell>
          <cell r="C861" t="str">
            <v>2L2-1/2X2X5/16X3/8LLBB</v>
          </cell>
          <cell r="D861" t="str">
            <v>F</v>
          </cell>
          <cell r="E861">
            <v>9</v>
          </cell>
          <cell r="F861">
            <v>2.64</v>
          </cell>
          <cell r="G861" t="str">
            <v>2L2-1/2X2X5/16X3/8LLBB</v>
          </cell>
          <cell r="H861">
            <v>2.5</v>
          </cell>
          <cell r="I861" t="str">
            <v>–</v>
          </cell>
          <cell r="J861" t="str">
            <v>–</v>
          </cell>
          <cell r="K861" t="str">
            <v>–</v>
          </cell>
          <cell r="L861" t="str">
            <v>–</v>
          </cell>
          <cell r="M861" t="str">
            <v>–</v>
          </cell>
          <cell r="N861" t="str">
            <v>–</v>
          </cell>
          <cell r="O861" t="str">
            <v>–</v>
          </cell>
          <cell r="P861">
            <v>2</v>
          </cell>
          <cell r="Q861" t="str">
            <v>–</v>
          </cell>
          <cell r="R861" t="str">
            <v>–</v>
          </cell>
          <cell r="S861" t="str">
            <v>–</v>
          </cell>
          <cell r="T861" t="str">
            <v>–</v>
          </cell>
          <cell r="U861" t="str">
            <v>–</v>
          </cell>
          <cell r="V861" t="str">
            <v>–</v>
          </cell>
          <cell r="W861">
            <v>0.313</v>
          </cell>
        </row>
        <row r="862">
          <cell r="B862" t="str">
            <v>2L2-1/2X2X5/16X3/4LLBB</v>
          </cell>
          <cell r="C862" t="str">
            <v>2L2-1/2X2X5/16X3/4LLBB</v>
          </cell>
          <cell r="D862" t="str">
            <v>F</v>
          </cell>
          <cell r="E862">
            <v>9</v>
          </cell>
          <cell r="F862">
            <v>2.64</v>
          </cell>
          <cell r="G862" t="str">
            <v>2L2-1/2X2X5/16X3/4LLBB</v>
          </cell>
          <cell r="H862">
            <v>2.5</v>
          </cell>
          <cell r="I862" t="str">
            <v>–</v>
          </cell>
          <cell r="J862" t="str">
            <v>–</v>
          </cell>
          <cell r="K862" t="str">
            <v>–</v>
          </cell>
          <cell r="L862" t="str">
            <v>–</v>
          </cell>
          <cell r="M862" t="str">
            <v>–</v>
          </cell>
          <cell r="N862" t="str">
            <v>–</v>
          </cell>
          <cell r="O862" t="str">
            <v>–</v>
          </cell>
          <cell r="P862">
            <v>2</v>
          </cell>
          <cell r="Q862" t="str">
            <v>–</v>
          </cell>
          <cell r="R862" t="str">
            <v>–</v>
          </cell>
          <cell r="S862" t="str">
            <v>–</v>
          </cell>
          <cell r="T862" t="str">
            <v>–</v>
          </cell>
          <cell r="U862" t="str">
            <v>–</v>
          </cell>
          <cell r="V862" t="str">
            <v>–</v>
          </cell>
          <cell r="W862">
            <v>0.313</v>
          </cell>
        </row>
        <row r="863">
          <cell r="B863" t="str">
            <v>2L2-1/2X2X1/4LLBB</v>
          </cell>
          <cell r="C863" t="str">
            <v>2L2-1/2X2X1/4LLBB</v>
          </cell>
          <cell r="D863" t="str">
            <v>F</v>
          </cell>
          <cell r="E863">
            <v>7.24</v>
          </cell>
          <cell r="F863">
            <v>2.14</v>
          </cell>
          <cell r="G863" t="str">
            <v>2L2-1/2X2X1/4LLBB</v>
          </cell>
          <cell r="H863">
            <v>2.5</v>
          </cell>
          <cell r="I863" t="str">
            <v>–</v>
          </cell>
          <cell r="J863" t="str">
            <v>–</v>
          </cell>
          <cell r="K863" t="str">
            <v>–</v>
          </cell>
          <cell r="L863" t="str">
            <v>–</v>
          </cell>
          <cell r="M863" t="str">
            <v>–</v>
          </cell>
          <cell r="N863" t="str">
            <v>–</v>
          </cell>
          <cell r="O863" t="str">
            <v>–</v>
          </cell>
          <cell r="P863">
            <v>2</v>
          </cell>
          <cell r="Q863" t="str">
            <v>–</v>
          </cell>
          <cell r="R863" t="str">
            <v>–</v>
          </cell>
          <cell r="S863" t="str">
            <v>–</v>
          </cell>
          <cell r="T863" t="str">
            <v>–</v>
          </cell>
          <cell r="U863" t="str">
            <v>–</v>
          </cell>
          <cell r="V863" t="str">
            <v>–</v>
          </cell>
          <cell r="W863">
            <v>0.25</v>
          </cell>
        </row>
        <row r="864">
          <cell r="B864" t="str">
            <v>2L2-1/2X2X1/4X3/8LLBB</v>
          </cell>
          <cell r="C864" t="str">
            <v>2L2-1/2X2X1/4X3/8LLBB</v>
          </cell>
          <cell r="D864" t="str">
            <v>F</v>
          </cell>
          <cell r="E864">
            <v>7.24</v>
          </cell>
          <cell r="F864">
            <v>2.14</v>
          </cell>
          <cell r="G864" t="str">
            <v>2L2-1/2X2X1/4X3/8LLBB</v>
          </cell>
          <cell r="H864">
            <v>2.5</v>
          </cell>
          <cell r="I864" t="str">
            <v>–</v>
          </cell>
          <cell r="J864" t="str">
            <v>–</v>
          </cell>
          <cell r="K864" t="str">
            <v>–</v>
          </cell>
          <cell r="L864" t="str">
            <v>–</v>
          </cell>
          <cell r="M864" t="str">
            <v>–</v>
          </cell>
          <cell r="N864" t="str">
            <v>–</v>
          </cell>
          <cell r="O864" t="str">
            <v>–</v>
          </cell>
          <cell r="P864">
            <v>2</v>
          </cell>
          <cell r="Q864" t="str">
            <v>–</v>
          </cell>
          <cell r="R864" t="str">
            <v>–</v>
          </cell>
          <cell r="S864" t="str">
            <v>–</v>
          </cell>
          <cell r="T864" t="str">
            <v>–</v>
          </cell>
          <cell r="U864" t="str">
            <v>–</v>
          </cell>
          <cell r="V864" t="str">
            <v>–</v>
          </cell>
          <cell r="W864">
            <v>0.25</v>
          </cell>
        </row>
        <row r="865">
          <cell r="B865" t="str">
            <v>2L2-1/2X2X1/4X3/4LLBB</v>
          </cell>
          <cell r="C865" t="str">
            <v>2L2-1/2X2X1/4X3/4LLBB</v>
          </cell>
          <cell r="D865" t="str">
            <v>F</v>
          </cell>
          <cell r="E865">
            <v>7.24</v>
          </cell>
          <cell r="F865">
            <v>2.14</v>
          </cell>
          <cell r="G865" t="str">
            <v>2L2-1/2X2X1/4X3/4LLBB</v>
          </cell>
          <cell r="H865">
            <v>2.5</v>
          </cell>
          <cell r="I865" t="str">
            <v>–</v>
          </cell>
          <cell r="J865" t="str">
            <v>–</v>
          </cell>
          <cell r="K865" t="str">
            <v>–</v>
          </cell>
          <cell r="L865" t="str">
            <v>–</v>
          </cell>
          <cell r="M865" t="str">
            <v>–</v>
          </cell>
          <cell r="N865" t="str">
            <v>–</v>
          </cell>
          <cell r="O865" t="str">
            <v>–</v>
          </cell>
          <cell r="P865">
            <v>2</v>
          </cell>
          <cell r="Q865" t="str">
            <v>–</v>
          </cell>
          <cell r="R865" t="str">
            <v>–</v>
          </cell>
          <cell r="S865" t="str">
            <v>–</v>
          </cell>
          <cell r="T865" t="str">
            <v>–</v>
          </cell>
          <cell r="U865" t="str">
            <v>–</v>
          </cell>
          <cell r="V865" t="str">
            <v>–</v>
          </cell>
          <cell r="W865">
            <v>0.25</v>
          </cell>
        </row>
        <row r="866">
          <cell r="B866" t="str">
            <v>2L2-1/2X2X3/16LLBB</v>
          </cell>
          <cell r="C866" t="str">
            <v>2L2-1/2X2X3/16LLBB</v>
          </cell>
          <cell r="D866" t="str">
            <v>F</v>
          </cell>
          <cell r="E866">
            <v>5.5</v>
          </cell>
          <cell r="F866">
            <v>1.64</v>
          </cell>
          <cell r="G866" t="str">
            <v>2L2-1/2X2X3/16LLBB</v>
          </cell>
          <cell r="H866">
            <v>2.5</v>
          </cell>
          <cell r="I866" t="str">
            <v>–</v>
          </cell>
          <cell r="J866" t="str">
            <v>–</v>
          </cell>
          <cell r="K866" t="str">
            <v>–</v>
          </cell>
          <cell r="L866" t="str">
            <v>–</v>
          </cell>
          <cell r="M866" t="str">
            <v>–</v>
          </cell>
          <cell r="N866" t="str">
            <v>–</v>
          </cell>
          <cell r="O866" t="str">
            <v>–</v>
          </cell>
          <cell r="P866">
            <v>2</v>
          </cell>
          <cell r="Q866" t="str">
            <v>–</v>
          </cell>
          <cell r="R866" t="str">
            <v>–</v>
          </cell>
          <cell r="S866" t="str">
            <v>–</v>
          </cell>
          <cell r="T866" t="str">
            <v>–</v>
          </cell>
          <cell r="U866" t="str">
            <v>–</v>
          </cell>
          <cell r="V866" t="str">
            <v>–</v>
          </cell>
          <cell r="W866">
            <v>0.188</v>
          </cell>
        </row>
        <row r="867">
          <cell r="B867" t="str">
            <v>2L2-1/2X2X3/16X3/8LLBB</v>
          </cell>
          <cell r="C867" t="str">
            <v>2L2-1/2X2X3/16X3/8LLBB</v>
          </cell>
          <cell r="D867" t="str">
            <v>F</v>
          </cell>
          <cell r="E867">
            <v>5.5</v>
          </cell>
          <cell r="F867">
            <v>1.64</v>
          </cell>
          <cell r="G867" t="str">
            <v>2L2-1/2X2X3/16X3/8LLBB</v>
          </cell>
          <cell r="H867">
            <v>2.5</v>
          </cell>
          <cell r="I867" t="str">
            <v>–</v>
          </cell>
          <cell r="J867" t="str">
            <v>–</v>
          </cell>
          <cell r="K867" t="str">
            <v>–</v>
          </cell>
          <cell r="L867" t="str">
            <v>–</v>
          </cell>
          <cell r="M867" t="str">
            <v>–</v>
          </cell>
          <cell r="N867" t="str">
            <v>–</v>
          </cell>
          <cell r="O867" t="str">
            <v>–</v>
          </cell>
          <cell r="P867">
            <v>2</v>
          </cell>
          <cell r="Q867" t="str">
            <v>–</v>
          </cell>
          <cell r="R867" t="str">
            <v>–</v>
          </cell>
          <cell r="S867" t="str">
            <v>–</v>
          </cell>
          <cell r="T867" t="str">
            <v>–</v>
          </cell>
          <cell r="U867" t="str">
            <v>–</v>
          </cell>
          <cell r="V867" t="str">
            <v>–</v>
          </cell>
          <cell r="W867">
            <v>0.188</v>
          </cell>
        </row>
        <row r="868">
          <cell r="B868" t="str">
            <v>2L2-1/2X2X3/16X3/4LLBB</v>
          </cell>
          <cell r="C868" t="str">
            <v>2L2-1/2X2X3/16X3/4LLBB</v>
          </cell>
          <cell r="D868" t="str">
            <v>F</v>
          </cell>
          <cell r="E868">
            <v>5.5</v>
          </cell>
          <cell r="F868">
            <v>1.64</v>
          </cell>
          <cell r="G868" t="str">
            <v>2L2-1/2X2X3/16X3/4LLBB</v>
          </cell>
          <cell r="H868">
            <v>2.5</v>
          </cell>
          <cell r="I868" t="str">
            <v>–</v>
          </cell>
          <cell r="J868" t="str">
            <v>–</v>
          </cell>
          <cell r="K868" t="str">
            <v>–</v>
          </cell>
          <cell r="L868" t="str">
            <v>–</v>
          </cell>
          <cell r="M868" t="str">
            <v>–</v>
          </cell>
          <cell r="N868" t="str">
            <v>–</v>
          </cell>
          <cell r="O868" t="str">
            <v>–</v>
          </cell>
          <cell r="P868">
            <v>2</v>
          </cell>
          <cell r="Q868" t="str">
            <v>–</v>
          </cell>
          <cell r="R868" t="str">
            <v>–</v>
          </cell>
          <cell r="S868" t="str">
            <v>–</v>
          </cell>
          <cell r="T868" t="str">
            <v>–</v>
          </cell>
          <cell r="U868" t="str">
            <v>–</v>
          </cell>
          <cell r="V868" t="str">
            <v>–</v>
          </cell>
          <cell r="W868">
            <v>0.188</v>
          </cell>
        </row>
        <row r="869">
          <cell r="B869" t="str">
            <v>2L2-1/2X1-1/2X1/4LLBB</v>
          </cell>
          <cell r="C869" t="str">
            <v>2L2-1/2X1-1/2X1/4LLBB</v>
          </cell>
          <cell r="D869" t="str">
            <v>F</v>
          </cell>
          <cell r="E869">
            <v>6.38</v>
          </cell>
          <cell r="F869">
            <v>1.89</v>
          </cell>
          <cell r="G869" t="str">
            <v>2L2-1/2X1-1/2X1/4LLBB</v>
          </cell>
          <cell r="H869">
            <v>2.5</v>
          </cell>
          <cell r="I869" t="str">
            <v>–</v>
          </cell>
          <cell r="J869" t="str">
            <v>–</v>
          </cell>
          <cell r="K869" t="str">
            <v>–</v>
          </cell>
          <cell r="L869" t="str">
            <v>–</v>
          </cell>
          <cell r="M869" t="str">
            <v>–</v>
          </cell>
          <cell r="N869" t="str">
            <v>–</v>
          </cell>
          <cell r="O869" t="str">
            <v>–</v>
          </cell>
          <cell r="P869">
            <v>1.5</v>
          </cell>
          <cell r="Q869" t="str">
            <v>–</v>
          </cell>
          <cell r="R869" t="str">
            <v>–</v>
          </cell>
          <cell r="S869" t="str">
            <v>–</v>
          </cell>
          <cell r="T869" t="str">
            <v>–</v>
          </cell>
          <cell r="U869" t="str">
            <v>–</v>
          </cell>
          <cell r="V869" t="str">
            <v>–</v>
          </cell>
          <cell r="W869">
            <v>0.25</v>
          </cell>
        </row>
        <row r="870">
          <cell r="B870" t="str">
            <v>2L2-1/2X1-1/2X1/4X3/8LLBB</v>
          </cell>
          <cell r="C870" t="str">
            <v>2L2-1/2X1-1/2X1/4X3/8LLBB</v>
          </cell>
          <cell r="D870" t="str">
            <v>F</v>
          </cell>
          <cell r="E870">
            <v>6.38</v>
          </cell>
          <cell r="F870">
            <v>1.89</v>
          </cell>
          <cell r="G870" t="str">
            <v>2L2-1/2X1-1/2X1/4X3/8LLBB</v>
          </cell>
          <cell r="H870">
            <v>2.5</v>
          </cell>
          <cell r="I870" t="str">
            <v>–</v>
          </cell>
          <cell r="J870" t="str">
            <v>–</v>
          </cell>
          <cell r="K870" t="str">
            <v>–</v>
          </cell>
          <cell r="L870" t="str">
            <v>–</v>
          </cell>
          <cell r="M870" t="str">
            <v>–</v>
          </cell>
          <cell r="N870" t="str">
            <v>–</v>
          </cell>
          <cell r="O870" t="str">
            <v>–</v>
          </cell>
          <cell r="P870">
            <v>1.5</v>
          </cell>
          <cell r="Q870" t="str">
            <v>–</v>
          </cell>
          <cell r="R870" t="str">
            <v>–</v>
          </cell>
          <cell r="S870" t="str">
            <v>–</v>
          </cell>
          <cell r="T870" t="str">
            <v>–</v>
          </cell>
          <cell r="U870" t="str">
            <v>–</v>
          </cell>
          <cell r="V870" t="str">
            <v>–</v>
          </cell>
          <cell r="W870">
            <v>0.25</v>
          </cell>
        </row>
        <row r="871">
          <cell r="B871" t="str">
            <v>2L2-1/2X1-1/2X1/4X3/4LLBB</v>
          </cell>
          <cell r="C871" t="str">
            <v>2L2-1/2X1-1/2X1/4X3/4LLBB</v>
          </cell>
          <cell r="D871" t="str">
            <v>F</v>
          </cell>
          <cell r="E871">
            <v>6.38</v>
          </cell>
          <cell r="F871">
            <v>1.89</v>
          </cell>
          <cell r="G871" t="str">
            <v>2L2-1/2X1-1/2X1/4X3/4LLBB</v>
          </cell>
          <cell r="H871">
            <v>2.5</v>
          </cell>
          <cell r="I871" t="str">
            <v>–</v>
          </cell>
          <cell r="J871" t="str">
            <v>–</v>
          </cell>
          <cell r="K871" t="str">
            <v>–</v>
          </cell>
          <cell r="L871" t="str">
            <v>–</v>
          </cell>
          <cell r="M871" t="str">
            <v>–</v>
          </cell>
          <cell r="N871" t="str">
            <v>–</v>
          </cell>
          <cell r="O871" t="str">
            <v>–</v>
          </cell>
          <cell r="P871">
            <v>1.5</v>
          </cell>
          <cell r="Q871" t="str">
            <v>–</v>
          </cell>
          <cell r="R871" t="str">
            <v>–</v>
          </cell>
          <cell r="S871" t="str">
            <v>–</v>
          </cell>
          <cell r="T871" t="str">
            <v>–</v>
          </cell>
          <cell r="U871" t="str">
            <v>–</v>
          </cell>
          <cell r="V871" t="str">
            <v>–</v>
          </cell>
          <cell r="W871">
            <v>0.25</v>
          </cell>
        </row>
        <row r="872">
          <cell r="B872" t="str">
            <v>2L2-1/2X1-1/2X3/16LLBB</v>
          </cell>
          <cell r="C872" t="str">
            <v>2L2-1/2X1-1/2X3/16LLBB</v>
          </cell>
          <cell r="D872" t="str">
            <v>F</v>
          </cell>
          <cell r="E872">
            <v>4.88</v>
          </cell>
          <cell r="F872">
            <v>1.45</v>
          </cell>
          <cell r="G872" t="str">
            <v>2L2-1/2X1-1/2X3/16LLBB</v>
          </cell>
          <cell r="H872">
            <v>2.5</v>
          </cell>
          <cell r="I872" t="str">
            <v>–</v>
          </cell>
          <cell r="J872" t="str">
            <v>–</v>
          </cell>
          <cell r="K872" t="str">
            <v>–</v>
          </cell>
          <cell r="L872" t="str">
            <v>–</v>
          </cell>
          <cell r="M872" t="str">
            <v>–</v>
          </cell>
          <cell r="N872" t="str">
            <v>–</v>
          </cell>
          <cell r="O872" t="str">
            <v>–</v>
          </cell>
          <cell r="P872">
            <v>1.5</v>
          </cell>
          <cell r="Q872" t="str">
            <v>–</v>
          </cell>
          <cell r="R872" t="str">
            <v>–</v>
          </cell>
          <cell r="S872" t="str">
            <v>–</v>
          </cell>
          <cell r="T872" t="str">
            <v>–</v>
          </cell>
          <cell r="U872" t="str">
            <v>–</v>
          </cell>
          <cell r="V872" t="str">
            <v>–</v>
          </cell>
          <cell r="W872">
            <v>0.188</v>
          </cell>
        </row>
        <row r="873">
          <cell r="B873" t="str">
            <v>2L2-1/2X1-1/2X3/16X3/8LLBB</v>
          </cell>
          <cell r="C873" t="str">
            <v>2L2-1/2X1-1/2X3/16X3/8LLBB</v>
          </cell>
          <cell r="D873" t="str">
            <v>F</v>
          </cell>
          <cell r="E873">
            <v>4.88</v>
          </cell>
          <cell r="F873">
            <v>1.45</v>
          </cell>
          <cell r="G873" t="str">
            <v>2L2-1/2X1-1/2X3/16X3/8LLBB</v>
          </cell>
          <cell r="H873">
            <v>2.5</v>
          </cell>
          <cell r="I873" t="str">
            <v>–</v>
          </cell>
          <cell r="J873" t="str">
            <v>–</v>
          </cell>
          <cell r="K873" t="str">
            <v>–</v>
          </cell>
          <cell r="L873" t="str">
            <v>–</v>
          </cell>
          <cell r="M873" t="str">
            <v>–</v>
          </cell>
          <cell r="N873" t="str">
            <v>–</v>
          </cell>
          <cell r="O873" t="str">
            <v>–</v>
          </cell>
          <cell r="P873">
            <v>1.5</v>
          </cell>
          <cell r="Q873" t="str">
            <v>–</v>
          </cell>
          <cell r="R873" t="str">
            <v>–</v>
          </cell>
          <cell r="S873" t="str">
            <v>–</v>
          </cell>
          <cell r="T873" t="str">
            <v>–</v>
          </cell>
          <cell r="U873" t="str">
            <v>–</v>
          </cell>
          <cell r="V873" t="str">
            <v>–</v>
          </cell>
          <cell r="W873">
            <v>0.188</v>
          </cell>
        </row>
        <row r="874">
          <cell r="B874" t="str">
            <v>2L2-1/2X1-1/2X3/16X3/4LLBB</v>
          </cell>
          <cell r="C874" t="str">
            <v>2L2-1/2X1-1/2X3/16X3/4LLBB</v>
          </cell>
          <cell r="D874" t="str">
            <v>F</v>
          </cell>
          <cell r="E874">
            <v>4.88</v>
          </cell>
          <cell r="F874">
            <v>1.45</v>
          </cell>
          <cell r="G874" t="str">
            <v>2L2-1/2X1-1/2X3/16X3/4LLBB</v>
          </cell>
          <cell r="H874">
            <v>2.5</v>
          </cell>
          <cell r="I874" t="str">
            <v>–</v>
          </cell>
          <cell r="J874" t="str">
            <v>–</v>
          </cell>
          <cell r="K874" t="str">
            <v>–</v>
          </cell>
          <cell r="L874" t="str">
            <v>–</v>
          </cell>
          <cell r="M874" t="str">
            <v>–</v>
          </cell>
          <cell r="N874" t="str">
            <v>–</v>
          </cell>
          <cell r="O874" t="str">
            <v>–</v>
          </cell>
          <cell r="P874">
            <v>1.5</v>
          </cell>
          <cell r="Q874" t="str">
            <v>–</v>
          </cell>
          <cell r="R874" t="str">
            <v>–</v>
          </cell>
          <cell r="S874" t="str">
            <v>–</v>
          </cell>
          <cell r="T874" t="str">
            <v>–</v>
          </cell>
          <cell r="U874" t="str">
            <v>–</v>
          </cell>
          <cell r="V874" t="str">
            <v>–</v>
          </cell>
          <cell r="W874">
            <v>0.188</v>
          </cell>
        </row>
        <row r="875">
          <cell r="B875" t="str">
            <v>2L8X6X1SLBB</v>
          </cell>
          <cell r="C875" t="str">
            <v>2L8X6X1SLBB</v>
          </cell>
          <cell r="D875" t="str">
            <v>F</v>
          </cell>
          <cell r="E875">
            <v>88.4</v>
          </cell>
          <cell r="F875">
            <v>26.2</v>
          </cell>
          <cell r="G875" t="str">
            <v>2L8X6X1SLBB</v>
          </cell>
          <cell r="H875">
            <v>6</v>
          </cell>
          <cell r="I875" t="str">
            <v>–</v>
          </cell>
          <cell r="J875" t="str">
            <v>–</v>
          </cell>
          <cell r="K875" t="str">
            <v>–</v>
          </cell>
          <cell r="L875" t="str">
            <v>–</v>
          </cell>
          <cell r="M875" t="str">
            <v>–</v>
          </cell>
          <cell r="N875" t="str">
            <v>–</v>
          </cell>
          <cell r="O875" t="str">
            <v>–</v>
          </cell>
          <cell r="P875">
            <v>8</v>
          </cell>
          <cell r="Q875" t="str">
            <v>–</v>
          </cell>
          <cell r="R875" t="str">
            <v>–</v>
          </cell>
          <cell r="S875" t="str">
            <v>–</v>
          </cell>
          <cell r="T875" t="str">
            <v>–</v>
          </cell>
          <cell r="U875" t="str">
            <v>–</v>
          </cell>
          <cell r="V875" t="str">
            <v>–</v>
          </cell>
          <cell r="W875">
            <v>1</v>
          </cell>
        </row>
        <row r="876">
          <cell r="B876" t="str">
            <v>2L8X6X1X3/8SLBB</v>
          </cell>
          <cell r="C876" t="str">
            <v>2L8X6X1X3/8SLBB</v>
          </cell>
          <cell r="D876" t="str">
            <v>F</v>
          </cell>
          <cell r="E876">
            <v>88.4</v>
          </cell>
          <cell r="F876">
            <v>26.2</v>
          </cell>
          <cell r="G876" t="str">
            <v>2L8X6X1X3/8SLBB</v>
          </cell>
          <cell r="H876">
            <v>6</v>
          </cell>
          <cell r="I876" t="str">
            <v>–</v>
          </cell>
          <cell r="J876" t="str">
            <v>–</v>
          </cell>
          <cell r="K876" t="str">
            <v>–</v>
          </cell>
          <cell r="L876" t="str">
            <v>–</v>
          </cell>
          <cell r="M876" t="str">
            <v>–</v>
          </cell>
          <cell r="N876" t="str">
            <v>–</v>
          </cell>
          <cell r="O876" t="str">
            <v>–</v>
          </cell>
          <cell r="P876">
            <v>8</v>
          </cell>
          <cell r="Q876" t="str">
            <v>–</v>
          </cell>
          <cell r="R876" t="str">
            <v>–</v>
          </cell>
          <cell r="S876" t="str">
            <v>–</v>
          </cell>
          <cell r="T876" t="str">
            <v>–</v>
          </cell>
          <cell r="U876" t="str">
            <v>–</v>
          </cell>
          <cell r="V876" t="str">
            <v>–</v>
          </cell>
          <cell r="W876">
            <v>1</v>
          </cell>
        </row>
        <row r="877">
          <cell r="B877" t="str">
            <v>2L8X6X1X3/4SLBB</v>
          </cell>
          <cell r="C877" t="str">
            <v>2L8X6X1X3/4SLBB</v>
          </cell>
          <cell r="D877" t="str">
            <v>F</v>
          </cell>
          <cell r="E877">
            <v>88.4</v>
          </cell>
          <cell r="F877">
            <v>26.2</v>
          </cell>
          <cell r="G877" t="str">
            <v>2L8X6X1X3/4SLBB</v>
          </cell>
          <cell r="H877">
            <v>6</v>
          </cell>
          <cell r="I877" t="str">
            <v>–</v>
          </cell>
          <cell r="J877" t="str">
            <v>–</v>
          </cell>
          <cell r="K877" t="str">
            <v>–</v>
          </cell>
          <cell r="L877" t="str">
            <v>–</v>
          </cell>
          <cell r="M877" t="str">
            <v>–</v>
          </cell>
          <cell r="N877" t="str">
            <v>–</v>
          </cell>
          <cell r="O877" t="str">
            <v>–</v>
          </cell>
          <cell r="P877">
            <v>8</v>
          </cell>
          <cell r="Q877" t="str">
            <v>–</v>
          </cell>
          <cell r="R877" t="str">
            <v>–</v>
          </cell>
          <cell r="S877" t="str">
            <v>–</v>
          </cell>
          <cell r="T877" t="str">
            <v>–</v>
          </cell>
          <cell r="U877" t="str">
            <v>–</v>
          </cell>
          <cell r="V877" t="str">
            <v>–</v>
          </cell>
          <cell r="W877">
            <v>1</v>
          </cell>
        </row>
        <row r="878">
          <cell r="B878" t="str">
            <v>2L8X6X7/8SLBB</v>
          </cell>
          <cell r="C878" t="str">
            <v>2L8X6X7/8SLBB</v>
          </cell>
          <cell r="D878" t="str">
            <v>F</v>
          </cell>
          <cell r="E878">
            <v>78.2</v>
          </cell>
          <cell r="F878">
            <v>23</v>
          </cell>
          <cell r="G878" t="str">
            <v>2L8X6X7/8SLBB</v>
          </cell>
          <cell r="H878">
            <v>6</v>
          </cell>
          <cell r="I878" t="str">
            <v>–</v>
          </cell>
          <cell r="J878" t="str">
            <v>–</v>
          </cell>
          <cell r="K878" t="str">
            <v>–</v>
          </cell>
          <cell r="L878" t="str">
            <v>–</v>
          </cell>
          <cell r="M878" t="str">
            <v>–</v>
          </cell>
          <cell r="N878" t="str">
            <v>–</v>
          </cell>
          <cell r="O878" t="str">
            <v>–</v>
          </cell>
          <cell r="P878">
            <v>8</v>
          </cell>
          <cell r="Q878" t="str">
            <v>–</v>
          </cell>
          <cell r="R878" t="str">
            <v>–</v>
          </cell>
          <cell r="S878" t="str">
            <v>–</v>
          </cell>
          <cell r="T878" t="str">
            <v>–</v>
          </cell>
          <cell r="U878" t="str">
            <v>–</v>
          </cell>
          <cell r="V878" t="str">
            <v>–</v>
          </cell>
          <cell r="W878">
            <v>0.875</v>
          </cell>
        </row>
        <row r="879">
          <cell r="B879" t="str">
            <v>2L8X6X7/8X3/8SLBB</v>
          </cell>
          <cell r="C879" t="str">
            <v>2L8X6X7/8X3/8SLBB</v>
          </cell>
          <cell r="D879" t="str">
            <v>F</v>
          </cell>
          <cell r="E879">
            <v>78.2</v>
          </cell>
          <cell r="F879">
            <v>23</v>
          </cell>
          <cell r="G879" t="str">
            <v>2L8X6X7/8X3/8SLBB</v>
          </cell>
          <cell r="H879">
            <v>6</v>
          </cell>
          <cell r="I879" t="str">
            <v>–</v>
          </cell>
          <cell r="J879" t="str">
            <v>–</v>
          </cell>
          <cell r="K879" t="str">
            <v>–</v>
          </cell>
          <cell r="L879" t="str">
            <v>–</v>
          </cell>
          <cell r="M879" t="str">
            <v>–</v>
          </cell>
          <cell r="N879" t="str">
            <v>–</v>
          </cell>
          <cell r="O879" t="str">
            <v>–</v>
          </cell>
          <cell r="P879">
            <v>8</v>
          </cell>
          <cell r="Q879" t="str">
            <v>–</v>
          </cell>
          <cell r="R879" t="str">
            <v>–</v>
          </cell>
          <cell r="S879" t="str">
            <v>–</v>
          </cell>
          <cell r="T879" t="str">
            <v>–</v>
          </cell>
          <cell r="U879" t="str">
            <v>–</v>
          </cell>
          <cell r="V879" t="str">
            <v>–</v>
          </cell>
          <cell r="W879">
            <v>0.875</v>
          </cell>
        </row>
        <row r="880">
          <cell r="B880" t="str">
            <v>2L8X6X7/8X3/4SLBB</v>
          </cell>
          <cell r="C880" t="str">
            <v>2L8X6X7/8X3/4SLBB</v>
          </cell>
          <cell r="D880" t="str">
            <v>F</v>
          </cell>
          <cell r="E880">
            <v>78.2</v>
          </cell>
          <cell r="F880">
            <v>23</v>
          </cell>
          <cell r="G880" t="str">
            <v>2L8X6X7/8X3/4SLBB</v>
          </cell>
          <cell r="H880">
            <v>6</v>
          </cell>
          <cell r="I880" t="str">
            <v>–</v>
          </cell>
          <cell r="J880" t="str">
            <v>–</v>
          </cell>
          <cell r="K880" t="str">
            <v>–</v>
          </cell>
          <cell r="L880" t="str">
            <v>–</v>
          </cell>
          <cell r="M880" t="str">
            <v>–</v>
          </cell>
          <cell r="N880" t="str">
            <v>–</v>
          </cell>
          <cell r="O880" t="str">
            <v>–</v>
          </cell>
          <cell r="P880">
            <v>8</v>
          </cell>
          <cell r="Q880" t="str">
            <v>–</v>
          </cell>
          <cell r="R880" t="str">
            <v>–</v>
          </cell>
          <cell r="S880" t="str">
            <v>–</v>
          </cell>
          <cell r="T880" t="str">
            <v>–</v>
          </cell>
          <cell r="U880" t="str">
            <v>–</v>
          </cell>
          <cell r="V880" t="str">
            <v>–</v>
          </cell>
          <cell r="W880">
            <v>0.875</v>
          </cell>
        </row>
        <row r="881">
          <cell r="B881" t="str">
            <v>2L8X6X3/4SLBB</v>
          </cell>
          <cell r="C881" t="str">
            <v>2L8X6X3/4SLBB</v>
          </cell>
          <cell r="D881" t="str">
            <v>F</v>
          </cell>
          <cell r="E881">
            <v>67.599999999999994</v>
          </cell>
          <cell r="F881">
            <v>20</v>
          </cell>
          <cell r="G881" t="str">
            <v>2L8X6X3/4SLBB</v>
          </cell>
          <cell r="H881">
            <v>6</v>
          </cell>
          <cell r="I881" t="str">
            <v>–</v>
          </cell>
          <cell r="J881" t="str">
            <v>–</v>
          </cell>
          <cell r="K881" t="str">
            <v>–</v>
          </cell>
          <cell r="L881" t="str">
            <v>–</v>
          </cell>
          <cell r="M881" t="str">
            <v>–</v>
          </cell>
          <cell r="N881" t="str">
            <v>–</v>
          </cell>
          <cell r="O881" t="str">
            <v>–</v>
          </cell>
          <cell r="P881">
            <v>8</v>
          </cell>
          <cell r="Q881" t="str">
            <v>–</v>
          </cell>
          <cell r="R881" t="str">
            <v>–</v>
          </cell>
          <cell r="S881" t="str">
            <v>–</v>
          </cell>
          <cell r="T881" t="str">
            <v>–</v>
          </cell>
          <cell r="U881" t="str">
            <v>–</v>
          </cell>
          <cell r="V881" t="str">
            <v>–</v>
          </cell>
          <cell r="W881">
            <v>0.75</v>
          </cell>
        </row>
        <row r="882">
          <cell r="B882" t="str">
            <v>2L8X6X3/4X3/8SLBB</v>
          </cell>
          <cell r="C882" t="str">
            <v>2L8X6X3/4X3/8SLBB</v>
          </cell>
          <cell r="D882" t="str">
            <v>F</v>
          </cell>
          <cell r="E882">
            <v>67.599999999999994</v>
          </cell>
          <cell r="F882">
            <v>20</v>
          </cell>
          <cell r="G882" t="str">
            <v>2L8X6X3/4X3/8SLBB</v>
          </cell>
          <cell r="H882">
            <v>6</v>
          </cell>
          <cell r="I882" t="str">
            <v>–</v>
          </cell>
          <cell r="J882" t="str">
            <v>–</v>
          </cell>
          <cell r="K882" t="str">
            <v>–</v>
          </cell>
          <cell r="L882" t="str">
            <v>–</v>
          </cell>
          <cell r="M882" t="str">
            <v>–</v>
          </cell>
          <cell r="N882" t="str">
            <v>–</v>
          </cell>
          <cell r="O882" t="str">
            <v>–</v>
          </cell>
          <cell r="P882">
            <v>8</v>
          </cell>
          <cell r="Q882" t="str">
            <v>–</v>
          </cell>
          <cell r="R882" t="str">
            <v>–</v>
          </cell>
          <cell r="S882" t="str">
            <v>–</v>
          </cell>
          <cell r="T882" t="str">
            <v>–</v>
          </cell>
          <cell r="U882" t="str">
            <v>–</v>
          </cell>
          <cell r="V882" t="str">
            <v>–</v>
          </cell>
          <cell r="W882">
            <v>0.75</v>
          </cell>
        </row>
        <row r="883">
          <cell r="B883" t="str">
            <v>2L8X6X3/4X3/4SLBB</v>
          </cell>
          <cell r="C883" t="str">
            <v>2L8X6X3/4X3/4SLBB</v>
          </cell>
          <cell r="D883" t="str">
            <v>F</v>
          </cell>
          <cell r="E883">
            <v>67.599999999999994</v>
          </cell>
          <cell r="F883">
            <v>20</v>
          </cell>
          <cell r="G883" t="str">
            <v>2L8X6X3/4X3/4SLBB</v>
          </cell>
          <cell r="H883">
            <v>6</v>
          </cell>
          <cell r="I883" t="str">
            <v>–</v>
          </cell>
          <cell r="J883" t="str">
            <v>–</v>
          </cell>
          <cell r="K883" t="str">
            <v>–</v>
          </cell>
          <cell r="L883" t="str">
            <v>–</v>
          </cell>
          <cell r="M883" t="str">
            <v>–</v>
          </cell>
          <cell r="N883" t="str">
            <v>–</v>
          </cell>
          <cell r="O883" t="str">
            <v>–</v>
          </cell>
          <cell r="P883">
            <v>8</v>
          </cell>
          <cell r="Q883" t="str">
            <v>–</v>
          </cell>
          <cell r="R883" t="str">
            <v>–</v>
          </cell>
          <cell r="S883" t="str">
            <v>–</v>
          </cell>
          <cell r="T883" t="str">
            <v>–</v>
          </cell>
          <cell r="U883" t="str">
            <v>–</v>
          </cell>
          <cell r="V883" t="str">
            <v>–</v>
          </cell>
          <cell r="W883">
            <v>0.75</v>
          </cell>
        </row>
        <row r="884">
          <cell r="B884" t="str">
            <v>2L8X6X5/8SLBB</v>
          </cell>
          <cell r="C884" t="str">
            <v>2L8X6X5/8SLBB</v>
          </cell>
          <cell r="D884" t="str">
            <v>F</v>
          </cell>
          <cell r="E884">
            <v>57</v>
          </cell>
          <cell r="F884">
            <v>16.8</v>
          </cell>
          <cell r="G884" t="str">
            <v>2L8X6X5/8SLBB</v>
          </cell>
          <cell r="H884">
            <v>6</v>
          </cell>
          <cell r="I884" t="str">
            <v>–</v>
          </cell>
          <cell r="J884" t="str">
            <v>–</v>
          </cell>
          <cell r="K884" t="str">
            <v>–</v>
          </cell>
          <cell r="L884" t="str">
            <v>–</v>
          </cell>
          <cell r="M884" t="str">
            <v>–</v>
          </cell>
          <cell r="N884" t="str">
            <v>–</v>
          </cell>
          <cell r="O884" t="str">
            <v>–</v>
          </cell>
          <cell r="P884">
            <v>8</v>
          </cell>
          <cell r="Q884" t="str">
            <v>–</v>
          </cell>
          <cell r="R884" t="str">
            <v>–</v>
          </cell>
          <cell r="S884" t="str">
            <v>–</v>
          </cell>
          <cell r="T884" t="str">
            <v>–</v>
          </cell>
          <cell r="U884" t="str">
            <v>–</v>
          </cell>
          <cell r="V884" t="str">
            <v>–</v>
          </cell>
          <cell r="W884">
            <v>0.625</v>
          </cell>
        </row>
        <row r="885">
          <cell r="B885" t="str">
            <v>2L8X6X5/8X3/8SLBB</v>
          </cell>
          <cell r="C885" t="str">
            <v>2L8X6X5/8X3/8SLBB</v>
          </cell>
          <cell r="D885" t="str">
            <v>F</v>
          </cell>
          <cell r="E885">
            <v>57</v>
          </cell>
          <cell r="F885">
            <v>16.8</v>
          </cell>
          <cell r="G885" t="str">
            <v>2L8X6X5/8X3/8SLBB</v>
          </cell>
          <cell r="H885">
            <v>6</v>
          </cell>
          <cell r="I885" t="str">
            <v>–</v>
          </cell>
          <cell r="J885" t="str">
            <v>–</v>
          </cell>
          <cell r="K885" t="str">
            <v>–</v>
          </cell>
          <cell r="L885" t="str">
            <v>–</v>
          </cell>
          <cell r="M885" t="str">
            <v>–</v>
          </cell>
          <cell r="N885" t="str">
            <v>–</v>
          </cell>
          <cell r="O885" t="str">
            <v>–</v>
          </cell>
          <cell r="P885">
            <v>8</v>
          </cell>
          <cell r="Q885" t="str">
            <v>–</v>
          </cell>
          <cell r="R885" t="str">
            <v>–</v>
          </cell>
          <cell r="S885" t="str">
            <v>–</v>
          </cell>
          <cell r="T885" t="str">
            <v>–</v>
          </cell>
          <cell r="U885" t="str">
            <v>–</v>
          </cell>
          <cell r="V885" t="str">
            <v>–</v>
          </cell>
          <cell r="W885">
            <v>0.625</v>
          </cell>
        </row>
        <row r="886">
          <cell r="B886" t="str">
            <v>2L8X6X5/8X3/4SLBB</v>
          </cell>
          <cell r="C886" t="str">
            <v>2L8X6X5/8X3/4SLBB</v>
          </cell>
          <cell r="D886" t="str">
            <v>F</v>
          </cell>
          <cell r="E886">
            <v>57</v>
          </cell>
          <cell r="F886">
            <v>16.8</v>
          </cell>
          <cell r="G886" t="str">
            <v>2L8X6X5/8X3/4SLBB</v>
          </cell>
          <cell r="H886">
            <v>6</v>
          </cell>
          <cell r="I886" t="str">
            <v>–</v>
          </cell>
          <cell r="J886" t="str">
            <v>–</v>
          </cell>
          <cell r="K886" t="str">
            <v>–</v>
          </cell>
          <cell r="L886" t="str">
            <v>–</v>
          </cell>
          <cell r="M886" t="str">
            <v>–</v>
          </cell>
          <cell r="N886" t="str">
            <v>–</v>
          </cell>
          <cell r="O886" t="str">
            <v>–</v>
          </cell>
          <cell r="P886">
            <v>8</v>
          </cell>
          <cell r="Q886" t="str">
            <v>–</v>
          </cell>
          <cell r="R886" t="str">
            <v>–</v>
          </cell>
          <cell r="S886" t="str">
            <v>–</v>
          </cell>
          <cell r="T886" t="str">
            <v>–</v>
          </cell>
          <cell r="U886" t="str">
            <v>–</v>
          </cell>
          <cell r="V886" t="str">
            <v>–</v>
          </cell>
          <cell r="W886">
            <v>0.625</v>
          </cell>
        </row>
        <row r="887">
          <cell r="B887" t="str">
            <v>2L8X6X9/16SLBB</v>
          </cell>
          <cell r="C887" t="str">
            <v>2L8X6X9/16SLBB</v>
          </cell>
          <cell r="D887" t="str">
            <v>F</v>
          </cell>
          <cell r="E887">
            <v>51.4</v>
          </cell>
          <cell r="F887">
            <v>15.2</v>
          </cell>
          <cell r="G887" t="str">
            <v>2L8X6X9/16SLBB</v>
          </cell>
          <cell r="H887">
            <v>6</v>
          </cell>
          <cell r="I887" t="str">
            <v>–</v>
          </cell>
          <cell r="J887" t="str">
            <v>–</v>
          </cell>
          <cell r="K887" t="str">
            <v>–</v>
          </cell>
          <cell r="L887" t="str">
            <v>–</v>
          </cell>
          <cell r="M887" t="str">
            <v>–</v>
          </cell>
          <cell r="N887" t="str">
            <v>–</v>
          </cell>
          <cell r="O887" t="str">
            <v>–</v>
          </cell>
          <cell r="P887">
            <v>8</v>
          </cell>
          <cell r="Q887" t="str">
            <v>–</v>
          </cell>
          <cell r="R887" t="str">
            <v>–</v>
          </cell>
          <cell r="S887" t="str">
            <v>–</v>
          </cell>
          <cell r="T887" t="str">
            <v>–</v>
          </cell>
          <cell r="U887" t="str">
            <v>–</v>
          </cell>
          <cell r="V887" t="str">
            <v>–</v>
          </cell>
          <cell r="W887">
            <v>0.56299999999999994</v>
          </cell>
        </row>
        <row r="888">
          <cell r="B888" t="str">
            <v>2L8X6X9/16X3/8SLBB</v>
          </cell>
          <cell r="C888" t="str">
            <v>2L8X6X9/16X3/8SLBB</v>
          </cell>
          <cell r="D888" t="str">
            <v>F</v>
          </cell>
          <cell r="E888">
            <v>51.4</v>
          </cell>
          <cell r="F888">
            <v>15.2</v>
          </cell>
          <cell r="G888" t="str">
            <v>2L8X6X9/16X3/8SLBB</v>
          </cell>
          <cell r="H888">
            <v>6</v>
          </cell>
          <cell r="I888" t="str">
            <v>–</v>
          </cell>
          <cell r="J888" t="str">
            <v>–</v>
          </cell>
          <cell r="K888" t="str">
            <v>–</v>
          </cell>
          <cell r="L888" t="str">
            <v>–</v>
          </cell>
          <cell r="M888" t="str">
            <v>–</v>
          </cell>
          <cell r="N888" t="str">
            <v>–</v>
          </cell>
          <cell r="O888" t="str">
            <v>–</v>
          </cell>
          <cell r="P888">
            <v>8</v>
          </cell>
          <cell r="Q888" t="str">
            <v>–</v>
          </cell>
          <cell r="R888" t="str">
            <v>–</v>
          </cell>
          <cell r="S888" t="str">
            <v>–</v>
          </cell>
          <cell r="T888" t="str">
            <v>–</v>
          </cell>
          <cell r="U888" t="str">
            <v>–</v>
          </cell>
          <cell r="V888" t="str">
            <v>–</v>
          </cell>
          <cell r="W888">
            <v>0.56299999999999994</v>
          </cell>
        </row>
        <row r="889">
          <cell r="B889" t="str">
            <v>2L8X6X9/16X3/4SLBB</v>
          </cell>
          <cell r="C889" t="str">
            <v>2L8X6X9/16X3/4SLBB</v>
          </cell>
          <cell r="D889" t="str">
            <v>F</v>
          </cell>
          <cell r="E889">
            <v>51.4</v>
          </cell>
          <cell r="F889">
            <v>15.2</v>
          </cell>
          <cell r="G889" t="str">
            <v>2L8X6X9/16X3/4SLBB</v>
          </cell>
          <cell r="H889">
            <v>6</v>
          </cell>
          <cell r="I889" t="str">
            <v>–</v>
          </cell>
          <cell r="J889" t="str">
            <v>–</v>
          </cell>
          <cell r="K889" t="str">
            <v>–</v>
          </cell>
          <cell r="L889" t="str">
            <v>–</v>
          </cell>
          <cell r="M889" t="str">
            <v>–</v>
          </cell>
          <cell r="N889" t="str">
            <v>–</v>
          </cell>
          <cell r="O889" t="str">
            <v>–</v>
          </cell>
          <cell r="P889">
            <v>8</v>
          </cell>
          <cell r="Q889" t="str">
            <v>–</v>
          </cell>
          <cell r="R889" t="str">
            <v>–</v>
          </cell>
          <cell r="S889" t="str">
            <v>–</v>
          </cell>
          <cell r="T889" t="str">
            <v>–</v>
          </cell>
          <cell r="U889" t="str">
            <v>–</v>
          </cell>
          <cell r="V889" t="str">
            <v>–</v>
          </cell>
          <cell r="W889">
            <v>0.56299999999999994</v>
          </cell>
        </row>
        <row r="890">
          <cell r="B890" t="str">
            <v>2L8X6X1/2SLBB</v>
          </cell>
          <cell r="C890" t="str">
            <v>2L8X6X1/2SLBB</v>
          </cell>
          <cell r="D890" t="str">
            <v>F</v>
          </cell>
          <cell r="E890">
            <v>46</v>
          </cell>
          <cell r="F890">
            <v>13.6</v>
          </cell>
          <cell r="G890" t="str">
            <v>2L8X6X1/2SLBB</v>
          </cell>
          <cell r="H890">
            <v>6</v>
          </cell>
          <cell r="I890" t="str">
            <v>–</v>
          </cell>
          <cell r="J890" t="str">
            <v>–</v>
          </cell>
          <cell r="K890" t="str">
            <v>–</v>
          </cell>
          <cell r="L890" t="str">
            <v>–</v>
          </cell>
          <cell r="M890" t="str">
            <v>–</v>
          </cell>
          <cell r="N890" t="str">
            <v>–</v>
          </cell>
          <cell r="O890" t="str">
            <v>–</v>
          </cell>
          <cell r="P890">
            <v>8</v>
          </cell>
          <cell r="Q890" t="str">
            <v>–</v>
          </cell>
          <cell r="R890" t="str">
            <v>–</v>
          </cell>
          <cell r="S890" t="str">
            <v>–</v>
          </cell>
          <cell r="T890" t="str">
            <v>–</v>
          </cell>
          <cell r="U890" t="str">
            <v>–</v>
          </cell>
          <cell r="V890" t="str">
            <v>–</v>
          </cell>
          <cell r="W890">
            <v>0.5</v>
          </cell>
        </row>
        <row r="891">
          <cell r="B891" t="str">
            <v>2L8X6X1/2X3/8SLBB</v>
          </cell>
          <cell r="C891" t="str">
            <v>2L8X6X1/2X3/8SLBB</v>
          </cell>
          <cell r="D891" t="str">
            <v>F</v>
          </cell>
          <cell r="E891">
            <v>46</v>
          </cell>
          <cell r="F891">
            <v>13.6</v>
          </cell>
          <cell r="G891" t="str">
            <v>2L8X6X1/2X3/8SLBB</v>
          </cell>
          <cell r="H891">
            <v>6</v>
          </cell>
          <cell r="I891" t="str">
            <v>–</v>
          </cell>
          <cell r="J891" t="str">
            <v>–</v>
          </cell>
          <cell r="K891" t="str">
            <v>–</v>
          </cell>
          <cell r="L891" t="str">
            <v>–</v>
          </cell>
          <cell r="M891" t="str">
            <v>–</v>
          </cell>
          <cell r="N891" t="str">
            <v>–</v>
          </cell>
          <cell r="O891" t="str">
            <v>–</v>
          </cell>
          <cell r="P891">
            <v>8</v>
          </cell>
          <cell r="Q891" t="str">
            <v>–</v>
          </cell>
          <cell r="R891" t="str">
            <v>–</v>
          </cell>
          <cell r="S891" t="str">
            <v>–</v>
          </cell>
          <cell r="T891" t="str">
            <v>–</v>
          </cell>
          <cell r="U891" t="str">
            <v>–</v>
          </cell>
          <cell r="V891" t="str">
            <v>–</v>
          </cell>
          <cell r="W891">
            <v>0.5</v>
          </cell>
        </row>
        <row r="892">
          <cell r="B892" t="str">
            <v>2L8X6X1/2X3/4SLBB</v>
          </cell>
          <cell r="C892" t="str">
            <v>2L8X6X1/2X3/4SLBB</v>
          </cell>
          <cell r="D892" t="str">
            <v>F</v>
          </cell>
          <cell r="E892">
            <v>46</v>
          </cell>
          <cell r="F892">
            <v>13.6</v>
          </cell>
          <cell r="G892" t="str">
            <v>2L8X6X1/2X3/4SLBB</v>
          </cell>
          <cell r="H892">
            <v>6</v>
          </cell>
          <cell r="I892" t="str">
            <v>–</v>
          </cell>
          <cell r="J892" t="str">
            <v>–</v>
          </cell>
          <cell r="K892" t="str">
            <v>–</v>
          </cell>
          <cell r="L892" t="str">
            <v>–</v>
          </cell>
          <cell r="M892" t="str">
            <v>–</v>
          </cell>
          <cell r="N892" t="str">
            <v>–</v>
          </cell>
          <cell r="O892" t="str">
            <v>–</v>
          </cell>
          <cell r="P892">
            <v>8</v>
          </cell>
          <cell r="Q892" t="str">
            <v>–</v>
          </cell>
          <cell r="R892" t="str">
            <v>–</v>
          </cell>
          <cell r="S892" t="str">
            <v>–</v>
          </cell>
          <cell r="T892" t="str">
            <v>–</v>
          </cell>
          <cell r="U892" t="str">
            <v>–</v>
          </cell>
          <cell r="V892" t="str">
            <v>–</v>
          </cell>
          <cell r="W892">
            <v>0.5</v>
          </cell>
        </row>
        <row r="893">
          <cell r="B893" t="str">
            <v>2L8X6X7/16SLBB</v>
          </cell>
          <cell r="C893" t="str">
            <v>2L8X6X7/16SLBB</v>
          </cell>
          <cell r="D893" t="str">
            <v>F</v>
          </cell>
          <cell r="E893">
            <v>40.4</v>
          </cell>
          <cell r="F893">
            <v>12</v>
          </cell>
          <cell r="G893" t="str">
            <v>2L8X6X7/16SLBB</v>
          </cell>
          <cell r="H893">
            <v>6</v>
          </cell>
          <cell r="I893" t="str">
            <v>–</v>
          </cell>
          <cell r="J893" t="str">
            <v>–</v>
          </cell>
          <cell r="K893" t="str">
            <v>–</v>
          </cell>
          <cell r="L893" t="str">
            <v>–</v>
          </cell>
          <cell r="M893" t="str">
            <v>–</v>
          </cell>
          <cell r="N893" t="str">
            <v>–</v>
          </cell>
          <cell r="O893" t="str">
            <v>–</v>
          </cell>
          <cell r="P893">
            <v>8</v>
          </cell>
          <cell r="Q893" t="str">
            <v>–</v>
          </cell>
          <cell r="R893" t="str">
            <v>–</v>
          </cell>
          <cell r="S893" t="str">
            <v>–</v>
          </cell>
          <cell r="T893" t="str">
            <v>–</v>
          </cell>
          <cell r="U893" t="str">
            <v>–</v>
          </cell>
          <cell r="V893" t="str">
            <v>–</v>
          </cell>
          <cell r="W893">
            <v>0.438</v>
          </cell>
        </row>
        <row r="894">
          <cell r="B894" t="str">
            <v>2L8X6X7/16X3/8SLBB</v>
          </cell>
          <cell r="C894" t="str">
            <v>2L8X6X7/16X3/8SLBB</v>
          </cell>
          <cell r="D894" t="str">
            <v>F</v>
          </cell>
          <cell r="E894">
            <v>40.4</v>
          </cell>
          <cell r="F894">
            <v>12</v>
          </cell>
          <cell r="G894" t="str">
            <v>2L8X6X7/16X3/8SLBB</v>
          </cell>
          <cell r="H894">
            <v>6</v>
          </cell>
          <cell r="I894" t="str">
            <v>–</v>
          </cell>
          <cell r="J894" t="str">
            <v>–</v>
          </cell>
          <cell r="K894" t="str">
            <v>–</v>
          </cell>
          <cell r="L894" t="str">
            <v>–</v>
          </cell>
          <cell r="M894" t="str">
            <v>–</v>
          </cell>
          <cell r="N894" t="str">
            <v>–</v>
          </cell>
          <cell r="O894" t="str">
            <v>–</v>
          </cell>
          <cell r="P894">
            <v>8</v>
          </cell>
          <cell r="Q894" t="str">
            <v>–</v>
          </cell>
          <cell r="R894" t="str">
            <v>–</v>
          </cell>
          <cell r="S894" t="str">
            <v>–</v>
          </cell>
          <cell r="T894" t="str">
            <v>–</v>
          </cell>
          <cell r="U894" t="str">
            <v>–</v>
          </cell>
          <cell r="V894" t="str">
            <v>–</v>
          </cell>
          <cell r="W894">
            <v>0.438</v>
          </cell>
        </row>
        <row r="895">
          <cell r="B895" t="str">
            <v>2L8X6X7/16X3/4SLBB</v>
          </cell>
          <cell r="C895" t="str">
            <v>2L8X6X7/16X3/4SLBB</v>
          </cell>
          <cell r="D895" t="str">
            <v>F</v>
          </cell>
          <cell r="E895">
            <v>40.4</v>
          </cell>
          <cell r="F895">
            <v>12</v>
          </cell>
          <cell r="G895" t="str">
            <v>2L8X6X7/16X3/4SLBB</v>
          </cell>
          <cell r="H895">
            <v>6</v>
          </cell>
          <cell r="I895" t="str">
            <v>–</v>
          </cell>
          <cell r="J895" t="str">
            <v>–</v>
          </cell>
          <cell r="K895" t="str">
            <v>–</v>
          </cell>
          <cell r="L895" t="str">
            <v>–</v>
          </cell>
          <cell r="M895" t="str">
            <v>–</v>
          </cell>
          <cell r="N895" t="str">
            <v>–</v>
          </cell>
          <cell r="O895" t="str">
            <v>–</v>
          </cell>
          <cell r="P895">
            <v>8</v>
          </cell>
          <cell r="Q895" t="str">
            <v>–</v>
          </cell>
          <cell r="R895" t="str">
            <v>–</v>
          </cell>
          <cell r="S895" t="str">
            <v>–</v>
          </cell>
          <cell r="T895" t="str">
            <v>–</v>
          </cell>
          <cell r="U895" t="str">
            <v>–</v>
          </cell>
          <cell r="V895" t="str">
            <v>–</v>
          </cell>
          <cell r="W895">
            <v>0.438</v>
          </cell>
        </row>
        <row r="896">
          <cell r="B896" t="str">
            <v>2L8X4X1SLBB</v>
          </cell>
          <cell r="C896" t="str">
            <v>2L8X4X1SLBB</v>
          </cell>
          <cell r="D896" t="str">
            <v>F</v>
          </cell>
          <cell r="E896">
            <v>74.8</v>
          </cell>
          <cell r="F896">
            <v>22.2</v>
          </cell>
          <cell r="G896" t="str">
            <v>2L8X4X1SLBB</v>
          </cell>
          <cell r="H896">
            <v>4</v>
          </cell>
          <cell r="I896" t="str">
            <v>–</v>
          </cell>
          <cell r="J896" t="str">
            <v>–</v>
          </cell>
          <cell r="K896" t="str">
            <v>–</v>
          </cell>
          <cell r="L896" t="str">
            <v>–</v>
          </cell>
          <cell r="M896" t="str">
            <v>–</v>
          </cell>
          <cell r="N896" t="str">
            <v>–</v>
          </cell>
          <cell r="O896" t="str">
            <v>–</v>
          </cell>
          <cell r="P896">
            <v>8</v>
          </cell>
          <cell r="Q896" t="str">
            <v>–</v>
          </cell>
          <cell r="R896" t="str">
            <v>–</v>
          </cell>
          <cell r="S896" t="str">
            <v>–</v>
          </cell>
          <cell r="T896" t="str">
            <v>–</v>
          </cell>
          <cell r="U896" t="str">
            <v>–</v>
          </cell>
          <cell r="V896" t="str">
            <v>–</v>
          </cell>
          <cell r="W896">
            <v>1</v>
          </cell>
        </row>
        <row r="897">
          <cell r="B897" t="str">
            <v>2L8X4X1X3/8SLBB</v>
          </cell>
          <cell r="C897" t="str">
            <v>2L8X4X1X3/8SLBB</v>
          </cell>
          <cell r="D897" t="str">
            <v>F</v>
          </cell>
          <cell r="E897">
            <v>74.8</v>
          </cell>
          <cell r="F897">
            <v>22.2</v>
          </cell>
          <cell r="G897" t="str">
            <v>2L8X4X1X3/8SLBB</v>
          </cell>
          <cell r="H897">
            <v>4</v>
          </cell>
          <cell r="I897" t="str">
            <v>–</v>
          </cell>
          <cell r="J897" t="str">
            <v>–</v>
          </cell>
          <cell r="K897" t="str">
            <v>–</v>
          </cell>
          <cell r="L897" t="str">
            <v>–</v>
          </cell>
          <cell r="M897" t="str">
            <v>–</v>
          </cell>
          <cell r="N897" t="str">
            <v>–</v>
          </cell>
          <cell r="O897" t="str">
            <v>–</v>
          </cell>
          <cell r="P897">
            <v>8</v>
          </cell>
          <cell r="Q897" t="str">
            <v>–</v>
          </cell>
          <cell r="R897" t="str">
            <v>–</v>
          </cell>
          <cell r="S897" t="str">
            <v>–</v>
          </cell>
          <cell r="T897" t="str">
            <v>–</v>
          </cell>
          <cell r="U897" t="str">
            <v>–</v>
          </cell>
          <cell r="V897" t="str">
            <v>–</v>
          </cell>
          <cell r="W897">
            <v>1</v>
          </cell>
        </row>
        <row r="898">
          <cell r="B898" t="str">
            <v>2L8X4X1X3/4SLBB</v>
          </cell>
          <cell r="C898" t="str">
            <v>2L8X4X1X3/4SLBB</v>
          </cell>
          <cell r="D898" t="str">
            <v>F</v>
          </cell>
          <cell r="E898">
            <v>74.8</v>
          </cell>
          <cell r="F898">
            <v>22.2</v>
          </cell>
          <cell r="G898" t="str">
            <v>2L8X4X1X3/4SLBB</v>
          </cell>
          <cell r="H898">
            <v>4</v>
          </cell>
          <cell r="I898" t="str">
            <v>–</v>
          </cell>
          <cell r="J898" t="str">
            <v>–</v>
          </cell>
          <cell r="K898" t="str">
            <v>–</v>
          </cell>
          <cell r="L898" t="str">
            <v>–</v>
          </cell>
          <cell r="M898" t="str">
            <v>–</v>
          </cell>
          <cell r="N898" t="str">
            <v>–</v>
          </cell>
          <cell r="O898" t="str">
            <v>–</v>
          </cell>
          <cell r="P898">
            <v>8</v>
          </cell>
          <cell r="Q898" t="str">
            <v>–</v>
          </cell>
          <cell r="R898" t="str">
            <v>–</v>
          </cell>
          <cell r="S898" t="str">
            <v>–</v>
          </cell>
          <cell r="T898" t="str">
            <v>–</v>
          </cell>
          <cell r="U898" t="str">
            <v>–</v>
          </cell>
          <cell r="V898" t="str">
            <v>–</v>
          </cell>
          <cell r="W898">
            <v>1</v>
          </cell>
        </row>
        <row r="899">
          <cell r="B899" t="str">
            <v>2L8X4X7/8SLBB</v>
          </cell>
          <cell r="C899" t="str">
            <v>2L8X4X7/8SLBB</v>
          </cell>
          <cell r="D899" t="str">
            <v>F</v>
          </cell>
          <cell r="E899">
            <v>66.2</v>
          </cell>
          <cell r="F899">
            <v>19.600000000000001</v>
          </cell>
          <cell r="G899" t="str">
            <v>2L8X4X7/8SLBB</v>
          </cell>
          <cell r="H899">
            <v>4</v>
          </cell>
          <cell r="I899" t="str">
            <v>–</v>
          </cell>
          <cell r="J899" t="str">
            <v>–</v>
          </cell>
          <cell r="K899" t="str">
            <v>–</v>
          </cell>
          <cell r="L899" t="str">
            <v>–</v>
          </cell>
          <cell r="M899" t="str">
            <v>–</v>
          </cell>
          <cell r="N899" t="str">
            <v>–</v>
          </cell>
          <cell r="O899" t="str">
            <v>–</v>
          </cell>
          <cell r="P899">
            <v>8</v>
          </cell>
          <cell r="Q899" t="str">
            <v>–</v>
          </cell>
          <cell r="R899" t="str">
            <v>–</v>
          </cell>
          <cell r="S899" t="str">
            <v>–</v>
          </cell>
          <cell r="T899" t="str">
            <v>–</v>
          </cell>
          <cell r="U899" t="str">
            <v>–</v>
          </cell>
          <cell r="V899" t="str">
            <v>–</v>
          </cell>
          <cell r="W899">
            <v>0.875</v>
          </cell>
        </row>
        <row r="900">
          <cell r="B900" t="str">
            <v>2L8X4X7/8X3/8SLBB</v>
          </cell>
          <cell r="C900" t="str">
            <v>2L8X4X7/8X3/8SLBB</v>
          </cell>
          <cell r="D900" t="str">
            <v>F</v>
          </cell>
          <cell r="E900">
            <v>66.2</v>
          </cell>
          <cell r="F900">
            <v>19.600000000000001</v>
          </cell>
          <cell r="G900" t="str">
            <v>2L8X4X7/8X3/8SLBB</v>
          </cell>
          <cell r="H900">
            <v>4</v>
          </cell>
          <cell r="I900" t="str">
            <v>–</v>
          </cell>
          <cell r="J900" t="str">
            <v>–</v>
          </cell>
          <cell r="K900" t="str">
            <v>–</v>
          </cell>
          <cell r="L900" t="str">
            <v>–</v>
          </cell>
          <cell r="M900" t="str">
            <v>–</v>
          </cell>
          <cell r="N900" t="str">
            <v>–</v>
          </cell>
          <cell r="O900" t="str">
            <v>–</v>
          </cell>
          <cell r="P900">
            <v>8</v>
          </cell>
          <cell r="Q900" t="str">
            <v>–</v>
          </cell>
          <cell r="R900" t="str">
            <v>–</v>
          </cell>
          <cell r="S900" t="str">
            <v>–</v>
          </cell>
          <cell r="T900" t="str">
            <v>–</v>
          </cell>
          <cell r="U900" t="str">
            <v>–</v>
          </cell>
          <cell r="V900" t="str">
            <v>–</v>
          </cell>
          <cell r="W900">
            <v>0.875</v>
          </cell>
        </row>
        <row r="901">
          <cell r="B901" t="str">
            <v>2L8X4X7/8X3/4SLBB</v>
          </cell>
          <cell r="C901" t="str">
            <v>2L8X4X7/8X3/4SLBB</v>
          </cell>
          <cell r="D901" t="str">
            <v>F</v>
          </cell>
          <cell r="E901">
            <v>66.2</v>
          </cell>
          <cell r="F901">
            <v>19.600000000000001</v>
          </cell>
          <cell r="G901" t="str">
            <v>2L8X4X7/8X3/4SLBB</v>
          </cell>
          <cell r="H901">
            <v>4</v>
          </cell>
          <cell r="I901" t="str">
            <v>–</v>
          </cell>
          <cell r="J901" t="str">
            <v>–</v>
          </cell>
          <cell r="K901" t="str">
            <v>–</v>
          </cell>
          <cell r="L901" t="str">
            <v>–</v>
          </cell>
          <cell r="M901" t="str">
            <v>–</v>
          </cell>
          <cell r="N901" t="str">
            <v>–</v>
          </cell>
          <cell r="O901" t="str">
            <v>–</v>
          </cell>
          <cell r="P901">
            <v>8</v>
          </cell>
          <cell r="Q901" t="str">
            <v>–</v>
          </cell>
          <cell r="R901" t="str">
            <v>–</v>
          </cell>
          <cell r="S901" t="str">
            <v>–</v>
          </cell>
          <cell r="T901" t="str">
            <v>–</v>
          </cell>
          <cell r="U901" t="str">
            <v>–</v>
          </cell>
          <cell r="V901" t="str">
            <v>–</v>
          </cell>
          <cell r="W901">
            <v>0.875</v>
          </cell>
        </row>
        <row r="902">
          <cell r="B902" t="str">
            <v>2L8X4X3/4SLBB</v>
          </cell>
          <cell r="C902" t="str">
            <v>2L8X4X3/4SLBB</v>
          </cell>
          <cell r="D902" t="str">
            <v>F</v>
          </cell>
          <cell r="E902">
            <v>57.4</v>
          </cell>
          <cell r="F902">
            <v>17</v>
          </cell>
          <cell r="G902" t="str">
            <v>2L8X4X3/4SLBB</v>
          </cell>
          <cell r="H902">
            <v>4</v>
          </cell>
          <cell r="I902" t="str">
            <v>–</v>
          </cell>
          <cell r="J902" t="str">
            <v>–</v>
          </cell>
          <cell r="K902" t="str">
            <v>–</v>
          </cell>
          <cell r="L902" t="str">
            <v>–</v>
          </cell>
          <cell r="M902" t="str">
            <v>–</v>
          </cell>
          <cell r="N902" t="str">
            <v>–</v>
          </cell>
          <cell r="O902" t="str">
            <v>–</v>
          </cell>
          <cell r="P902">
            <v>8</v>
          </cell>
          <cell r="Q902" t="str">
            <v>–</v>
          </cell>
          <cell r="R902" t="str">
            <v>–</v>
          </cell>
          <cell r="S902" t="str">
            <v>–</v>
          </cell>
          <cell r="T902" t="str">
            <v>–</v>
          </cell>
          <cell r="U902" t="str">
            <v>–</v>
          </cell>
          <cell r="V902" t="str">
            <v>–</v>
          </cell>
          <cell r="W902">
            <v>0.75</v>
          </cell>
        </row>
        <row r="903">
          <cell r="B903" t="str">
            <v>2L8X4X3/4X3/8SLBB</v>
          </cell>
          <cell r="C903" t="str">
            <v>2L8X4X3/4X3/8SLBB</v>
          </cell>
          <cell r="D903" t="str">
            <v>F</v>
          </cell>
          <cell r="E903">
            <v>57.4</v>
          </cell>
          <cell r="F903">
            <v>17</v>
          </cell>
          <cell r="G903" t="str">
            <v>2L8X4X3/4X3/8SLBB</v>
          </cell>
          <cell r="H903">
            <v>4</v>
          </cell>
          <cell r="I903" t="str">
            <v>–</v>
          </cell>
          <cell r="J903" t="str">
            <v>–</v>
          </cell>
          <cell r="K903" t="str">
            <v>–</v>
          </cell>
          <cell r="L903" t="str">
            <v>–</v>
          </cell>
          <cell r="M903" t="str">
            <v>–</v>
          </cell>
          <cell r="N903" t="str">
            <v>–</v>
          </cell>
          <cell r="O903" t="str">
            <v>–</v>
          </cell>
          <cell r="P903">
            <v>8</v>
          </cell>
          <cell r="Q903" t="str">
            <v>–</v>
          </cell>
          <cell r="R903" t="str">
            <v>–</v>
          </cell>
          <cell r="S903" t="str">
            <v>–</v>
          </cell>
          <cell r="T903" t="str">
            <v>–</v>
          </cell>
          <cell r="U903" t="str">
            <v>–</v>
          </cell>
          <cell r="V903" t="str">
            <v>–</v>
          </cell>
          <cell r="W903">
            <v>0.75</v>
          </cell>
        </row>
        <row r="904">
          <cell r="B904" t="str">
            <v>2L8X4X3/4X3/4SLBB</v>
          </cell>
          <cell r="C904" t="str">
            <v>2L8X4X3/4X3/4SLBB</v>
          </cell>
          <cell r="D904" t="str">
            <v>F</v>
          </cell>
          <cell r="E904">
            <v>57.4</v>
          </cell>
          <cell r="F904">
            <v>17</v>
          </cell>
          <cell r="G904" t="str">
            <v>2L8X4X3/4X3/4SLBB</v>
          </cell>
          <cell r="H904">
            <v>4</v>
          </cell>
          <cell r="I904" t="str">
            <v>–</v>
          </cell>
          <cell r="J904" t="str">
            <v>–</v>
          </cell>
          <cell r="K904" t="str">
            <v>–</v>
          </cell>
          <cell r="L904" t="str">
            <v>–</v>
          </cell>
          <cell r="M904" t="str">
            <v>–</v>
          </cell>
          <cell r="N904" t="str">
            <v>–</v>
          </cell>
          <cell r="O904" t="str">
            <v>–</v>
          </cell>
          <cell r="P904">
            <v>8</v>
          </cell>
          <cell r="Q904" t="str">
            <v>–</v>
          </cell>
          <cell r="R904" t="str">
            <v>–</v>
          </cell>
          <cell r="S904" t="str">
            <v>–</v>
          </cell>
          <cell r="T904" t="str">
            <v>–</v>
          </cell>
          <cell r="U904" t="str">
            <v>–</v>
          </cell>
          <cell r="V904" t="str">
            <v>–</v>
          </cell>
          <cell r="W904">
            <v>0.75</v>
          </cell>
        </row>
        <row r="905">
          <cell r="B905" t="str">
            <v>2L8X4X5/8SLBB</v>
          </cell>
          <cell r="C905" t="str">
            <v>2L8X4X5/8SLBB</v>
          </cell>
          <cell r="D905" t="str">
            <v>F</v>
          </cell>
          <cell r="E905">
            <v>48.4</v>
          </cell>
          <cell r="F905">
            <v>14.3</v>
          </cell>
          <cell r="G905" t="str">
            <v>2L8X4X5/8SLBB</v>
          </cell>
          <cell r="H905">
            <v>4</v>
          </cell>
          <cell r="I905" t="str">
            <v>–</v>
          </cell>
          <cell r="J905" t="str">
            <v>–</v>
          </cell>
          <cell r="K905" t="str">
            <v>–</v>
          </cell>
          <cell r="L905" t="str">
            <v>–</v>
          </cell>
          <cell r="M905" t="str">
            <v>–</v>
          </cell>
          <cell r="N905" t="str">
            <v>–</v>
          </cell>
          <cell r="O905" t="str">
            <v>–</v>
          </cell>
          <cell r="P905">
            <v>8</v>
          </cell>
          <cell r="Q905" t="str">
            <v>–</v>
          </cell>
          <cell r="R905" t="str">
            <v>–</v>
          </cell>
          <cell r="S905" t="str">
            <v>–</v>
          </cell>
          <cell r="T905" t="str">
            <v>–</v>
          </cell>
          <cell r="U905" t="str">
            <v>–</v>
          </cell>
          <cell r="V905" t="str">
            <v>–</v>
          </cell>
          <cell r="W905">
            <v>0.625</v>
          </cell>
        </row>
        <row r="906">
          <cell r="B906" t="str">
            <v>2L8X4X5/8X3/8SLBB</v>
          </cell>
          <cell r="C906" t="str">
            <v>2L8X4X5/8X3/8SLBB</v>
          </cell>
          <cell r="D906" t="str">
            <v>F</v>
          </cell>
          <cell r="E906">
            <v>48.4</v>
          </cell>
          <cell r="F906">
            <v>14.3</v>
          </cell>
          <cell r="G906" t="str">
            <v>2L8X4X5/8X3/8SLBB</v>
          </cell>
          <cell r="H906">
            <v>4</v>
          </cell>
          <cell r="I906" t="str">
            <v>–</v>
          </cell>
          <cell r="J906" t="str">
            <v>–</v>
          </cell>
          <cell r="K906" t="str">
            <v>–</v>
          </cell>
          <cell r="L906" t="str">
            <v>–</v>
          </cell>
          <cell r="M906" t="str">
            <v>–</v>
          </cell>
          <cell r="N906" t="str">
            <v>–</v>
          </cell>
          <cell r="O906" t="str">
            <v>–</v>
          </cell>
          <cell r="P906">
            <v>8</v>
          </cell>
          <cell r="Q906" t="str">
            <v>–</v>
          </cell>
          <cell r="R906" t="str">
            <v>–</v>
          </cell>
          <cell r="S906" t="str">
            <v>–</v>
          </cell>
          <cell r="T906" t="str">
            <v>–</v>
          </cell>
          <cell r="U906" t="str">
            <v>–</v>
          </cell>
          <cell r="V906" t="str">
            <v>–</v>
          </cell>
          <cell r="W906">
            <v>0.625</v>
          </cell>
        </row>
        <row r="907">
          <cell r="B907" t="str">
            <v>2L8X4X5/8X3/4SLBB</v>
          </cell>
          <cell r="C907" t="str">
            <v>2L8X4X5/8X3/4SLBB</v>
          </cell>
          <cell r="D907" t="str">
            <v>F</v>
          </cell>
          <cell r="E907">
            <v>48.4</v>
          </cell>
          <cell r="F907">
            <v>14.3</v>
          </cell>
          <cell r="G907" t="str">
            <v>2L8X4X5/8X3/4SLBB</v>
          </cell>
          <cell r="H907">
            <v>4</v>
          </cell>
          <cell r="I907" t="str">
            <v>–</v>
          </cell>
          <cell r="J907" t="str">
            <v>–</v>
          </cell>
          <cell r="K907" t="str">
            <v>–</v>
          </cell>
          <cell r="L907" t="str">
            <v>–</v>
          </cell>
          <cell r="M907" t="str">
            <v>–</v>
          </cell>
          <cell r="N907" t="str">
            <v>–</v>
          </cell>
          <cell r="O907" t="str">
            <v>–</v>
          </cell>
          <cell r="P907">
            <v>8</v>
          </cell>
          <cell r="Q907" t="str">
            <v>–</v>
          </cell>
          <cell r="R907" t="str">
            <v>–</v>
          </cell>
          <cell r="S907" t="str">
            <v>–</v>
          </cell>
          <cell r="T907" t="str">
            <v>–</v>
          </cell>
          <cell r="U907" t="str">
            <v>–</v>
          </cell>
          <cell r="V907" t="str">
            <v>–</v>
          </cell>
          <cell r="W907">
            <v>0.625</v>
          </cell>
        </row>
        <row r="908">
          <cell r="B908" t="str">
            <v>2L8X4X9/16SLBB</v>
          </cell>
          <cell r="C908" t="str">
            <v>2L8X4X9/16SLBB</v>
          </cell>
          <cell r="D908" t="str">
            <v>F</v>
          </cell>
          <cell r="E908">
            <v>43.8</v>
          </cell>
          <cell r="F908">
            <v>13</v>
          </cell>
          <cell r="G908" t="str">
            <v>2L8X4X9/16SLBB</v>
          </cell>
          <cell r="H908">
            <v>4</v>
          </cell>
          <cell r="I908" t="str">
            <v>–</v>
          </cell>
          <cell r="J908" t="str">
            <v>–</v>
          </cell>
          <cell r="K908" t="str">
            <v>–</v>
          </cell>
          <cell r="L908" t="str">
            <v>–</v>
          </cell>
          <cell r="M908" t="str">
            <v>–</v>
          </cell>
          <cell r="N908" t="str">
            <v>–</v>
          </cell>
          <cell r="O908" t="str">
            <v>–</v>
          </cell>
          <cell r="P908">
            <v>8</v>
          </cell>
          <cell r="Q908" t="str">
            <v>–</v>
          </cell>
          <cell r="R908" t="str">
            <v>–</v>
          </cell>
          <cell r="S908" t="str">
            <v>–</v>
          </cell>
          <cell r="T908" t="str">
            <v>–</v>
          </cell>
          <cell r="U908" t="str">
            <v>–</v>
          </cell>
          <cell r="V908" t="str">
            <v>–</v>
          </cell>
          <cell r="W908">
            <v>0.56299999999999994</v>
          </cell>
        </row>
        <row r="909">
          <cell r="B909" t="str">
            <v>2L8X4X9/16X3/8SLBB</v>
          </cell>
          <cell r="C909" t="str">
            <v>2L8X4X9/16X3/8SLBB</v>
          </cell>
          <cell r="D909" t="str">
            <v>F</v>
          </cell>
          <cell r="E909">
            <v>43.8</v>
          </cell>
          <cell r="F909">
            <v>13</v>
          </cell>
          <cell r="G909" t="str">
            <v>2L8X4X9/16X3/8SLBB</v>
          </cell>
          <cell r="H909">
            <v>4</v>
          </cell>
          <cell r="I909" t="str">
            <v>–</v>
          </cell>
          <cell r="J909" t="str">
            <v>–</v>
          </cell>
          <cell r="K909" t="str">
            <v>–</v>
          </cell>
          <cell r="L909" t="str">
            <v>–</v>
          </cell>
          <cell r="M909" t="str">
            <v>–</v>
          </cell>
          <cell r="N909" t="str">
            <v>–</v>
          </cell>
          <cell r="O909" t="str">
            <v>–</v>
          </cell>
          <cell r="P909">
            <v>8</v>
          </cell>
          <cell r="Q909" t="str">
            <v>–</v>
          </cell>
          <cell r="R909" t="str">
            <v>–</v>
          </cell>
          <cell r="S909" t="str">
            <v>–</v>
          </cell>
          <cell r="T909" t="str">
            <v>–</v>
          </cell>
          <cell r="U909" t="str">
            <v>–</v>
          </cell>
          <cell r="V909" t="str">
            <v>–</v>
          </cell>
          <cell r="W909">
            <v>0.56299999999999994</v>
          </cell>
        </row>
        <row r="910">
          <cell r="B910" t="str">
            <v>2L8X4X9/16X3/4SLBB</v>
          </cell>
          <cell r="C910" t="str">
            <v>2L8X4X9/16X3/4SLBB</v>
          </cell>
          <cell r="D910" t="str">
            <v>F</v>
          </cell>
          <cell r="E910">
            <v>43.8</v>
          </cell>
          <cell r="F910">
            <v>13</v>
          </cell>
          <cell r="G910" t="str">
            <v>2L8X4X9/16X3/4SLBB</v>
          </cell>
          <cell r="H910">
            <v>4</v>
          </cell>
          <cell r="I910" t="str">
            <v>–</v>
          </cell>
          <cell r="J910" t="str">
            <v>–</v>
          </cell>
          <cell r="K910" t="str">
            <v>–</v>
          </cell>
          <cell r="L910" t="str">
            <v>–</v>
          </cell>
          <cell r="M910" t="str">
            <v>–</v>
          </cell>
          <cell r="N910" t="str">
            <v>–</v>
          </cell>
          <cell r="O910" t="str">
            <v>–</v>
          </cell>
          <cell r="P910">
            <v>8</v>
          </cell>
          <cell r="Q910" t="str">
            <v>–</v>
          </cell>
          <cell r="R910" t="str">
            <v>–</v>
          </cell>
          <cell r="S910" t="str">
            <v>–</v>
          </cell>
          <cell r="T910" t="str">
            <v>–</v>
          </cell>
          <cell r="U910" t="str">
            <v>–</v>
          </cell>
          <cell r="V910" t="str">
            <v>–</v>
          </cell>
          <cell r="W910">
            <v>0.56299999999999994</v>
          </cell>
        </row>
        <row r="911">
          <cell r="B911" t="str">
            <v>2L8X4X1/2SLBB</v>
          </cell>
          <cell r="C911" t="str">
            <v>2L8X4X1/2SLBB</v>
          </cell>
          <cell r="D911" t="str">
            <v>F</v>
          </cell>
          <cell r="E911">
            <v>39.200000000000003</v>
          </cell>
          <cell r="F911">
            <v>11.6</v>
          </cell>
          <cell r="G911" t="str">
            <v>2L8X4X1/2SLBB</v>
          </cell>
          <cell r="H911">
            <v>4</v>
          </cell>
          <cell r="I911" t="str">
            <v>–</v>
          </cell>
          <cell r="J911" t="str">
            <v>–</v>
          </cell>
          <cell r="K911" t="str">
            <v>–</v>
          </cell>
          <cell r="L911" t="str">
            <v>–</v>
          </cell>
          <cell r="M911" t="str">
            <v>–</v>
          </cell>
          <cell r="N911" t="str">
            <v>–</v>
          </cell>
          <cell r="O911" t="str">
            <v>–</v>
          </cell>
          <cell r="P911">
            <v>8</v>
          </cell>
          <cell r="Q911" t="str">
            <v>–</v>
          </cell>
          <cell r="R911" t="str">
            <v>–</v>
          </cell>
          <cell r="S911" t="str">
            <v>–</v>
          </cell>
          <cell r="T911" t="str">
            <v>–</v>
          </cell>
          <cell r="U911" t="str">
            <v>–</v>
          </cell>
          <cell r="V911" t="str">
            <v>–</v>
          </cell>
          <cell r="W911">
            <v>0.5</v>
          </cell>
        </row>
        <row r="912">
          <cell r="B912" t="str">
            <v>2L8X4X1/2X3/8SLBB</v>
          </cell>
          <cell r="C912" t="str">
            <v>2L8X4X1/2X3/8SLBB</v>
          </cell>
          <cell r="D912" t="str">
            <v>F</v>
          </cell>
          <cell r="E912">
            <v>39.200000000000003</v>
          </cell>
          <cell r="F912">
            <v>11.6</v>
          </cell>
          <cell r="G912" t="str">
            <v>2L8X4X1/2X3/8SLBB</v>
          </cell>
          <cell r="H912">
            <v>4</v>
          </cell>
          <cell r="I912" t="str">
            <v>–</v>
          </cell>
          <cell r="J912" t="str">
            <v>–</v>
          </cell>
          <cell r="K912" t="str">
            <v>–</v>
          </cell>
          <cell r="L912" t="str">
            <v>–</v>
          </cell>
          <cell r="M912" t="str">
            <v>–</v>
          </cell>
          <cell r="N912" t="str">
            <v>–</v>
          </cell>
          <cell r="O912" t="str">
            <v>–</v>
          </cell>
          <cell r="P912">
            <v>8</v>
          </cell>
          <cell r="Q912" t="str">
            <v>–</v>
          </cell>
          <cell r="R912" t="str">
            <v>–</v>
          </cell>
          <cell r="S912" t="str">
            <v>–</v>
          </cell>
          <cell r="T912" t="str">
            <v>–</v>
          </cell>
          <cell r="U912" t="str">
            <v>–</v>
          </cell>
          <cell r="V912" t="str">
            <v>–</v>
          </cell>
          <cell r="W912">
            <v>0.5</v>
          </cell>
        </row>
        <row r="913">
          <cell r="B913" t="str">
            <v>2L8X4X1/2X3/4SLBB</v>
          </cell>
          <cell r="C913" t="str">
            <v>2L8X4X1/2X3/4SLBB</v>
          </cell>
          <cell r="D913" t="str">
            <v>F</v>
          </cell>
          <cell r="E913">
            <v>39.200000000000003</v>
          </cell>
          <cell r="F913">
            <v>11.6</v>
          </cell>
          <cell r="G913" t="str">
            <v>2L8X4X1/2X3/4SLBB</v>
          </cell>
          <cell r="H913">
            <v>4</v>
          </cell>
          <cell r="I913" t="str">
            <v>–</v>
          </cell>
          <cell r="J913" t="str">
            <v>–</v>
          </cell>
          <cell r="K913" t="str">
            <v>–</v>
          </cell>
          <cell r="L913" t="str">
            <v>–</v>
          </cell>
          <cell r="M913" t="str">
            <v>–</v>
          </cell>
          <cell r="N913" t="str">
            <v>–</v>
          </cell>
          <cell r="O913" t="str">
            <v>–</v>
          </cell>
          <cell r="P913">
            <v>8</v>
          </cell>
          <cell r="Q913" t="str">
            <v>–</v>
          </cell>
          <cell r="R913" t="str">
            <v>–</v>
          </cell>
          <cell r="S913" t="str">
            <v>–</v>
          </cell>
          <cell r="T913" t="str">
            <v>–</v>
          </cell>
          <cell r="U913" t="str">
            <v>–</v>
          </cell>
          <cell r="V913" t="str">
            <v>–</v>
          </cell>
          <cell r="W913">
            <v>0.5</v>
          </cell>
        </row>
        <row r="914">
          <cell r="B914" t="str">
            <v>2L8X4X7/16SLBB</v>
          </cell>
          <cell r="C914" t="str">
            <v>2L8X4X7/16SLBB</v>
          </cell>
          <cell r="D914" t="str">
            <v>F</v>
          </cell>
          <cell r="E914">
            <v>34.4</v>
          </cell>
          <cell r="F914">
            <v>10.199999999999999</v>
          </cell>
          <cell r="G914" t="str">
            <v>2L8X4X7/16SLBB</v>
          </cell>
          <cell r="H914">
            <v>4</v>
          </cell>
          <cell r="I914" t="str">
            <v>–</v>
          </cell>
          <cell r="J914" t="str">
            <v>–</v>
          </cell>
          <cell r="K914" t="str">
            <v>–</v>
          </cell>
          <cell r="L914" t="str">
            <v>–</v>
          </cell>
          <cell r="M914" t="str">
            <v>–</v>
          </cell>
          <cell r="N914" t="str">
            <v>–</v>
          </cell>
          <cell r="O914" t="str">
            <v>–</v>
          </cell>
          <cell r="P914">
            <v>8</v>
          </cell>
          <cell r="Q914" t="str">
            <v>–</v>
          </cell>
          <cell r="R914" t="str">
            <v>–</v>
          </cell>
          <cell r="S914" t="str">
            <v>–</v>
          </cell>
          <cell r="T914" t="str">
            <v>–</v>
          </cell>
          <cell r="U914" t="str">
            <v>–</v>
          </cell>
          <cell r="V914" t="str">
            <v>–</v>
          </cell>
          <cell r="W914">
            <v>0.438</v>
          </cell>
        </row>
        <row r="915">
          <cell r="B915" t="str">
            <v>2L8X4X7/16X3/8SLBB</v>
          </cell>
          <cell r="C915" t="str">
            <v>2L8X4X7/16X3/8SLBB</v>
          </cell>
          <cell r="D915" t="str">
            <v>F</v>
          </cell>
          <cell r="E915">
            <v>34.4</v>
          </cell>
          <cell r="F915">
            <v>10.199999999999999</v>
          </cell>
          <cell r="G915" t="str">
            <v>2L8X4X7/16X3/8SLBB</v>
          </cell>
          <cell r="H915">
            <v>4</v>
          </cell>
          <cell r="I915" t="str">
            <v>–</v>
          </cell>
          <cell r="J915" t="str">
            <v>–</v>
          </cell>
          <cell r="K915" t="str">
            <v>–</v>
          </cell>
          <cell r="L915" t="str">
            <v>–</v>
          </cell>
          <cell r="M915" t="str">
            <v>–</v>
          </cell>
          <cell r="N915" t="str">
            <v>–</v>
          </cell>
          <cell r="O915" t="str">
            <v>–</v>
          </cell>
          <cell r="P915">
            <v>8</v>
          </cell>
          <cell r="Q915" t="str">
            <v>–</v>
          </cell>
          <cell r="R915" t="str">
            <v>–</v>
          </cell>
          <cell r="S915" t="str">
            <v>–</v>
          </cell>
          <cell r="T915" t="str">
            <v>–</v>
          </cell>
          <cell r="U915" t="str">
            <v>–</v>
          </cell>
          <cell r="V915" t="str">
            <v>–</v>
          </cell>
          <cell r="W915">
            <v>0.438</v>
          </cell>
        </row>
        <row r="916">
          <cell r="B916" t="str">
            <v>2L8X4X7/16X3/4SLBB</v>
          </cell>
          <cell r="C916" t="str">
            <v>2L8X4X7/16X3/4SLBB</v>
          </cell>
          <cell r="D916" t="str">
            <v>F</v>
          </cell>
          <cell r="E916">
            <v>34.4</v>
          </cell>
          <cell r="F916">
            <v>10.199999999999999</v>
          </cell>
          <cell r="G916" t="str">
            <v>2L8X4X7/16X3/4SLBB</v>
          </cell>
          <cell r="H916">
            <v>4</v>
          </cell>
          <cell r="I916" t="str">
            <v>–</v>
          </cell>
          <cell r="J916" t="str">
            <v>–</v>
          </cell>
          <cell r="K916" t="str">
            <v>–</v>
          </cell>
          <cell r="L916" t="str">
            <v>–</v>
          </cell>
          <cell r="M916" t="str">
            <v>–</v>
          </cell>
          <cell r="N916" t="str">
            <v>–</v>
          </cell>
          <cell r="O916" t="str">
            <v>–</v>
          </cell>
          <cell r="P916">
            <v>8</v>
          </cell>
          <cell r="Q916" t="str">
            <v>–</v>
          </cell>
          <cell r="R916" t="str">
            <v>–</v>
          </cell>
          <cell r="S916" t="str">
            <v>–</v>
          </cell>
          <cell r="T916" t="str">
            <v>–</v>
          </cell>
          <cell r="U916" t="str">
            <v>–</v>
          </cell>
          <cell r="V916" t="str">
            <v>–</v>
          </cell>
          <cell r="W916">
            <v>0.438</v>
          </cell>
        </row>
        <row r="917">
          <cell r="B917" t="str">
            <v>2L7X4X3/4SLBB</v>
          </cell>
          <cell r="C917" t="str">
            <v>2L7X4X3/4SLBB</v>
          </cell>
          <cell r="D917" t="str">
            <v>F</v>
          </cell>
          <cell r="E917">
            <v>52.4</v>
          </cell>
          <cell r="F917">
            <v>15.5</v>
          </cell>
          <cell r="G917" t="str">
            <v>2L7X4X3/4SLBB</v>
          </cell>
          <cell r="H917">
            <v>4</v>
          </cell>
          <cell r="I917" t="str">
            <v>–</v>
          </cell>
          <cell r="J917" t="str">
            <v>–</v>
          </cell>
          <cell r="K917" t="str">
            <v>–</v>
          </cell>
          <cell r="L917" t="str">
            <v>–</v>
          </cell>
          <cell r="M917" t="str">
            <v>–</v>
          </cell>
          <cell r="N917" t="str">
            <v>–</v>
          </cell>
          <cell r="O917" t="str">
            <v>–</v>
          </cell>
          <cell r="P917">
            <v>7</v>
          </cell>
          <cell r="Q917" t="str">
            <v>–</v>
          </cell>
          <cell r="R917" t="str">
            <v>–</v>
          </cell>
          <cell r="S917" t="str">
            <v>–</v>
          </cell>
          <cell r="T917" t="str">
            <v>–</v>
          </cell>
          <cell r="U917" t="str">
            <v>–</v>
          </cell>
          <cell r="V917" t="str">
            <v>–</v>
          </cell>
          <cell r="W917">
            <v>0.75</v>
          </cell>
        </row>
        <row r="918">
          <cell r="B918" t="str">
            <v>2L7X4X3/4X3/8SLBB</v>
          </cell>
          <cell r="C918" t="str">
            <v>2L7X4X3/4X3/8SLBB</v>
          </cell>
          <cell r="D918" t="str">
            <v>F</v>
          </cell>
          <cell r="E918">
            <v>52.4</v>
          </cell>
          <cell r="F918">
            <v>15.5</v>
          </cell>
          <cell r="G918" t="str">
            <v>2L7X4X3/4X3/8SLBB</v>
          </cell>
          <cell r="H918">
            <v>4</v>
          </cell>
          <cell r="I918" t="str">
            <v>–</v>
          </cell>
          <cell r="J918" t="str">
            <v>–</v>
          </cell>
          <cell r="K918" t="str">
            <v>–</v>
          </cell>
          <cell r="L918" t="str">
            <v>–</v>
          </cell>
          <cell r="M918" t="str">
            <v>–</v>
          </cell>
          <cell r="N918" t="str">
            <v>–</v>
          </cell>
          <cell r="O918" t="str">
            <v>–</v>
          </cell>
          <cell r="P918">
            <v>7</v>
          </cell>
          <cell r="Q918" t="str">
            <v>–</v>
          </cell>
          <cell r="R918" t="str">
            <v>–</v>
          </cell>
          <cell r="S918" t="str">
            <v>–</v>
          </cell>
          <cell r="T918" t="str">
            <v>–</v>
          </cell>
          <cell r="U918" t="str">
            <v>–</v>
          </cell>
          <cell r="V918" t="str">
            <v>–</v>
          </cell>
          <cell r="W918">
            <v>0.75</v>
          </cell>
        </row>
        <row r="919">
          <cell r="B919" t="str">
            <v>2L7X4X3/4X3/4SLBB</v>
          </cell>
          <cell r="C919" t="str">
            <v>2L7X4X3/4X3/4SLBB</v>
          </cell>
          <cell r="D919" t="str">
            <v>F</v>
          </cell>
          <cell r="E919">
            <v>52.4</v>
          </cell>
          <cell r="F919">
            <v>15.5</v>
          </cell>
          <cell r="G919" t="str">
            <v>2L7X4X3/4X3/4SLBB</v>
          </cell>
          <cell r="H919">
            <v>4</v>
          </cell>
          <cell r="I919" t="str">
            <v>–</v>
          </cell>
          <cell r="J919" t="str">
            <v>–</v>
          </cell>
          <cell r="K919" t="str">
            <v>–</v>
          </cell>
          <cell r="L919" t="str">
            <v>–</v>
          </cell>
          <cell r="M919" t="str">
            <v>–</v>
          </cell>
          <cell r="N919" t="str">
            <v>–</v>
          </cell>
          <cell r="O919" t="str">
            <v>–</v>
          </cell>
          <cell r="P919">
            <v>7</v>
          </cell>
          <cell r="Q919" t="str">
            <v>–</v>
          </cell>
          <cell r="R919" t="str">
            <v>–</v>
          </cell>
          <cell r="S919" t="str">
            <v>–</v>
          </cell>
          <cell r="T919" t="str">
            <v>–</v>
          </cell>
          <cell r="U919" t="str">
            <v>–</v>
          </cell>
          <cell r="V919" t="str">
            <v>–</v>
          </cell>
          <cell r="W919">
            <v>0.75</v>
          </cell>
        </row>
        <row r="920">
          <cell r="B920" t="str">
            <v>2L7X4X5/8SLBB</v>
          </cell>
          <cell r="C920" t="str">
            <v>2L7X4X5/8SLBB</v>
          </cell>
          <cell r="D920" t="str">
            <v>F</v>
          </cell>
          <cell r="E920">
            <v>44.2</v>
          </cell>
          <cell r="F920">
            <v>13</v>
          </cell>
          <cell r="G920" t="str">
            <v>2L7X4X5/8SLBB</v>
          </cell>
          <cell r="H920">
            <v>4</v>
          </cell>
          <cell r="I920" t="str">
            <v>–</v>
          </cell>
          <cell r="J920" t="str">
            <v>–</v>
          </cell>
          <cell r="K920" t="str">
            <v>–</v>
          </cell>
          <cell r="L920" t="str">
            <v>–</v>
          </cell>
          <cell r="M920" t="str">
            <v>–</v>
          </cell>
          <cell r="N920" t="str">
            <v>–</v>
          </cell>
          <cell r="O920" t="str">
            <v>–</v>
          </cell>
          <cell r="P920">
            <v>7</v>
          </cell>
          <cell r="Q920" t="str">
            <v>–</v>
          </cell>
          <cell r="R920" t="str">
            <v>–</v>
          </cell>
          <cell r="S920" t="str">
            <v>–</v>
          </cell>
          <cell r="T920" t="str">
            <v>–</v>
          </cell>
          <cell r="U920" t="str">
            <v>–</v>
          </cell>
          <cell r="V920" t="str">
            <v>–</v>
          </cell>
          <cell r="W920">
            <v>0.625</v>
          </cell>
        </row>
        <row r="921">
          <cell r="B921" t="str">
            <v>2L7X4X5/8X3/8SLBB</v>
          </cell>
          <cell r="C921" t="str">
            <v>2L7X4X5/8X3/8SLBB</v>
          </cell>
          <cell r="D921" t="str">
            <v>F</v>
          </cell>
          <cell r="E921">
            <v>44.2</v>
          </cell>
          <cell r="F921">
            <v>13</v>
          </cell>
          <cell r="G921" t="str">
            <v>2L7X4X5/8X3/8SLBB</v>
          </cell>
          <cell r="H921">
            <v>4</v>
          </cell>
          <cell r="I921" t="str">
            <v>–</v>
          </cell>
          <cell r="J921" t="str">
            <v>–</v>
          </cell>
          <cell r="K921" t="str">
            <v>–</v>
          </cell>
          <cell r="L921" t="str">
            <v>–</v>
          </cell>
          <cell r="M921" t="str">
            <v>–</v>
          </cell>
          <cell r="N921" t="str">
            <v>–</v>
          </cell>
          <cell r="O921" t="str">
            <v>–</v>
          </cell>
          <cell r="P921">
            <v>7</v>
          </cell>
          <cell r="Q921" t="str">
            <v>–</v>
          </cell>
          <cell r="R921" t="str">
            <v>–</v>
          </cell>
          <cell r="S921" t="str">
            <v>–</v>
          </cell>
          <cell r="T921" t="str">
            <v>–</v>
          </cell>
          <cell r="U921" t="str">
            <v>–</v>
          </cell>
          <cell r="V921" t="str">
            <v>–</v>
          </cell>
          <cell r="W921">
            <v>0.625</v>
          </cell>
        </row>
        <row r="922">
          <cell r="B922" t="str">
            <v>2L7X4X5/8X3/4SLBB</v>
          </cell>
          <cell r="C922" t="str">
            <v>2L7X4X5/8X3/4SLBB</v>
          </cell>
          <cell r="D922" t="str">
            <v>F</v>
          </cell>
          <cell r="E922">
            <v>44.2</v>
          </cell>
          <cell r="F922">
            <v>13</v>
          </cell>
          <cell r="G922" t="str">
            <v>2L7X4X5/8X3/4SLBB</v>
          </cell>
          <cell r="H922">
            <v>4</v>
          </cell>
          <cell r="I922" t="str">
            <v>–</v>
          </cell>
          <cell r="J922" t="str">
            <v>–</v>
          </cell>
          <cell r="K922" t="str">
            <v>–</v>
          </cell>
          <cell r="L922" t="str">
            <v>–</v>
          </cell>
          <cell r="M922" t="str">
            <v>–</v>
          </cell>
          <cell r="N922" t="str">
            <v>–</v>
          </cell>
          <cell r="O922" t="str">
            <v>–</v>
          </cell>
          <cell r="P922">
            <v>7</v>
          </cell>
          <cell r="Q922" t="str">
            <v>–</v>
          </cell>
          <cell r="R922" t="str">
            <v>–</v>
          </cell>
          <cell r="S922" t="str">
            <v>–</v>
          </cell>
          <cell r="T922" t="str">
            <v>–</v>
          </cell>
          <cell r="U922" t="str">
            <v>–</v>
          </cell>
          <cell r="V922" t="str">
            <v>–</v>
          </cell>
          <cell r="W922">
            <v>0.625</v>
          </cell>
        </row>
        <row r="923">
          <cell r="B923" t="str">
            <v>2L7X4X1/2SLBB</v>
          </cell>
          <cell r="C923" t="str">
            <v>2L7X4X1/2SLBB</v>
          </cell>
          <cell r="D923" t="str">
            <v>F</v>
          </cell>
          <cell r="E923">
            <v>35.799999999999997</v>
          </cell>
          <cell r="F923">
            <v>10.5</v>
          </cell>
          <cell r="G923" t="str">
            <v>2L7X4X1/2SLBB</v>
          </cell>
          <cell r="H923">
            <v>4</v>
          </cell>
          <cell r="I923" t="str">
            <v>–</v>
          </cell>
          <cell r="J923" t="str">
            <v>–</v>
          </cell>
          <cell r="K923" t="str">
            <v>–</v>
          </cell>
          <cell r="L923" t="str">
            <v>–</v>
          </cell>
          <cell r="M923" t="str">
            <v>–</v>
          </cell>
          <cell r="N923" t="str">
            <v>–</v>
          </cell>
          <cell r="O923" t="str">
            <v>–</v>
          </cell>
          <cell r="P923">
            <v>7</v>
          </cell>
          <cell r="Q923" t="str">
            <v>–</v>
          </cell>
          <cell r="R923" t="str">
            <v>–</v>
          </cell>
          <cell r="S923" t="str">
            <v>–</v>
          </cell>
          <cell r="T923" t="str">
            <v>–</v>
          </cell>
          <cell r="U923" t="str">
            <v>–</v>
          </cell>
          <cell r="V923" t="str">
            <v>–</v>
          </cell>
          <cell r="W923">
            <v>0.5</v>
          </cell>
        </row>
        <row r="924">
          <cell r="B924" t="str">
            <v>2L7X4X1/2X3/8SLBB</v>
          </cell>
          <cell r="C924" t="str">
            <v>2L7X4X1/2X3/8SLBB</v>
          </cell>
          <cell r="D924" t="str">
            <v>F</v>
          </cell>
          <cell r="E924">
            <v>35.799999999999997</v>
          </cell>
          <cell r="F924">
            <v>10.5</v>
          </cell>
          <cell r="G924" t="str">
            <v>2L7X4X1/2X3/8SLBB</v>
          </cell>
          <cell r="H924">
            <v>4</v>
          </cell>
          <cell r="I924" t="str">
            <v>–</v>
          </cell>
          <cell r="J924" t="str">
            <v>–</v>
          </cell>
          <cell r="K924" t="str">
            <v>–</v>
          </cell>
          <cell r="L924" t="str">
            <v>–</v>
          </cell>
          <cell r="M924" t="str">
            <v>–</v>
          </cell>
          <cell r="N924" t="str">
            <v>–</v>
          </cell>
          <cell r="O924" t="str">
            <v>–</v>
          </cell>
          <cell r="P924">
            <v>7</v>
          </cell>
          <cell r="Q924" t="str">
            <v>–</v>
          </cell>
          <cell r="R924" t="str">
            <v>–</v>
          </cell>
          <cell r="S924" t="str">
            <v>–</v>
          </cell>
          <cell r="T924" t="str">
            <v>–</v>
          </cell>
          <cell r="U924" t="str">
            <v>–</v>
          </cell>
          <cell r="V924" t="str">
            <v>–</v>
          </cell>
          <cell r="W924">
            <v>0.5</v>
          </cell>
        </row>
        <row r="925">
          <cell r="B925" t="str">
            <v>2L7X4X1/2X3/4SLBB</v>
          </cell>
          <cell r="C925" t="str">
            <v>2L7X4X1/2X3/4SLBB</v>
          </cell>
          <cell r="D925" t="str">
            <v>F</v>
          </cell>
          <cell r="E925">
            <v>35.799999999999997</v>
          </cell>
          <cell r="F925">
            <v>10.5</v>
          </cell>
          <cell r="G925" t="str">
            <v>2L7X4X1/2X3/4SLBB</v>
          </cell>
          <cell r="H925">
            <v>4</v>
          </cell>
          <cell r="I925" t="str">
            <v>–</v>
          </cell>
          <cell r="J925" t="str">
            <v>–</v>
          </cell>
          <cell r="K925" t="str">
            <v>–</v>
          </cell>
          <cell r="L925" t="str">
            <v>–</v>
          </cell>
          <cell r="M925" t="str">
            <v>–</v>
          </cell>
          <cell r="N925" t="str">
            <v>–</v>
          </cell>
          <cell r="O925" t="str">
            <v>–</v>
          </cell>
          <cell r="P925">
            <v>7</v>
          </cell>
          <cell r="Q925" t="str">
            <v>–</v>
          </cell>
          <cell r="R925" t="str">
            <v>–</v>
          </cell>
          <cell r="S925" t="str">
            <v>–</v>
          </cell>
          <cell r="T925" t="str">
            <v>–</v>
          </cell>
          <cell r="U925" t="str">
            <v>–</v>
          </cell>
          <cell r="V925" t="str">
            <v>–</v>
          </cell>
          <cell r="W925">
            <v>0.5</v>
          </cell>
        </row>
        <row r="926">
          <cell r="B926" t="str">
            <v>2L7X4X7/16SLBB</v>
          </cell>
          <cell r="C926" t="str">
            <v>2L7X4X7/16SLBB</v>
          </cell>
          <cell r="D926" t="str">
            <v>F</v>
          </cell>
          <cell r="E926">
            <v>31.4</v>
          </cell>
          <cell r="F926">
            <v>9.26</v>
          </cell>
          <cell r="G926" t="str">
            <v>2L7X4X7/16SLBB</v>
          </cell>
          <cell r="H926">
            <v>4</v>
          </cell>
          <cell r="I926" t="str">
            <v>–</v>
          </cell>
          <cell r="J926" t="str">
            <v>–</v>
          </cell>
          <cell r="K926" t="str">
            <v>–</v>
          </cell>
          <cell r="L926" t="str">
            <v>–</v>
          </cell>
          <cell r="M926" t="str">
            <v>–</v>
          </cell>
          <cell r="N926" t="str">
            <v>–</v>
          </cell>
          <cell r="O926" t="str">
            <v>–</v>
          </cell>
          <cell r="P926">
            <v>7</v>
          </cell>
          <cell r="Q926" t="str">
            <v>–</v>
          </cell>
          <cell r="R926" t="str">
            <v>–</v>
          </cell>
          <cell r="S926" t="str">
            <v>–</v>
          </cell>
          <cell r="T926" t="str">
            <v>–</v>
          </cell>
          <cell r="U926" t="str">
            <v>–</v>
          </cell>
          <cell r="V926" t="str">
            <v>–</v>
          </cell>
          <cell r="W926">
            <v>0.438</v>
          </cell>
        </row>
        <row r="927">
          <cell r="B927" t="str">
            <v>2L7X4X7/16X3/8SLBB</v>
          </cell>
          <cell r="C927" t="str">
            <v>2L7X4X7/16X3/8SLBB</v>
          </cell>
          <cell r="D927" t="str">
            <v>F</v>
          </cell>
          <cell r="E927">
            <v>31.4</v>
          </cell>
          <cell r="F927">
            <v>9.26</v>
          </cell>
          <cell r="G927" t="str">
            <v>2L7X4X7/16X3/8SLBB</v>
          </cell>
          <cell r="H927">
            <v>4</v>
          </cell>
          <cell r="I927" t="str">
            <v>–</v>
          </cell>
          <cell r="J927" t="str">
            <v>–</v>
          </cell>
          <cell r="K927" t="str">
            <v>–</v>
          </cell>
          <cell r="L927" t="str">
            <v>–</v>
          </cell>
          <cell r="M927" t="str">
            <v>–</v>
          </cell>
          <cell r="N927" t="str">
            <v>–</v>
          </cell>
          <cell r="O927" t="str">
            <v>–</v>
          </cell>
          <cell r="P927">
            <v>7</v>
          </cell>
          <cell r="Q927" t="str">
            <v>–</v>
          </cell>
          <cell r="R927" t="str">
            <v>–</v>
          </cell>
          <cell r="S927" t="str">
            <v>–</v>
          </cell>
          <cell r="T927" t="str">
            <v>–</v>
          </cell>
          <cell r="U927" t="str">
            <v>–</v>
          </cell>
          <cell r="V927" t="str">
            <v>–</v>
          </cell>
          <cell r="W927">
            <v>0.438</v>
          </cell>
        </row>
        <row r="928">
          <cell r="B928" t="str">
            <v>2L7X4X7/16X3/4SLBB</v>
          </cell>
          <cell r="C928" t="str">
            <v>2L7X4X7/16X3/4SLBB</v>
          </cell>
          <cell r="D928" t="str">
            <v>F</v>
          </cell>
          <cell r="E928">
            <v>31.4</v>
          </cell>
          <cell r="F928">
            <v>9.26</v>
          </cell>
          <cell r="G928" t="str">
            <v>2L7X4X7/16X3/4SLBB</v>
          </cell>
          <cell r="H928">
            <v>4</v>
          </cell>
          <cell r="I928" t="str">
            <v>–</v>
          </cell>
          <cell r="J928" t="str">
            <v>–</v>
          </cell>
          <cell r="K928" t="str">
            <v>–</v>
          </cell>
          <cell r="L928" t="str">
            <v>–</v>
          </cell>
          <cell r="M928" t="str">
            <v>–</v>
          </cell>
          <cell r="N928" t="str">
            <v>–</v>
          </cell>
          <cell r="O928" t="str">
            <v>–</v>
          </cell>
          <cell r="P928">
            <v>7</v>
          </cell>
          <cell r="Q928" t="str">
            <v>–</v>
          </cell>
          <cell r="R928" t="str">
            <v>–</v>
          </cell>
          <cell r="S928" t="str">
            <v>–</v>
          </cell>
          <cell r="T928" t="str">
            <v>–</v>
          </cell>
          <cell r="U928" t="str">
            <v>–</v>
          </cell>
          <cell r="V928" t="str">
            <v>–</v>
          </cell>
          <cell r="W928">
            <v>0.438</v>
          </cell>
        </row>
        <row r="929">
          <cell r="B929" t="str">
            <v>2L7X4X3/8SLBB</v>
          </cell>
          <cell r="C929" t="str">
            <v>2L7X4X3/8SLBB</v>
          </cell>
          <cell r="D929" t="str">
            <v>F</v>
          </cell>
          <cell r="E929">
            <v>27.2</v>
          </cell>
          <cell r="F929">
            <v>8</v>
          </cell>
          <cell r="G929" t="str">
            <v>2L7X4X3/8SLBB</v>
          </cell>
          <cell r="H929">
            <v>4</v>
          </cell>
          <cell r="I929" t="str">
            <v>–</v>
          </cell>
          <cell r="J929" t="str">
            <v>–</v>
          </cell>
          <cell r="K929" t="str">
            <v>–</v>
          </cell>
          <cell r="L929" t="str">
            <v>–</v>
          </cell>
          <cell r="M929" t="str">
            <v>–</v>
          </cell>
          <cell r="N929" t="str">
            <v>–</v>
          </cell>
          <cell r="O929" t="str">
            <v>–</v>
          </cell>
          <cell r="P929">
            <v>7</v>
          </cell>
          <cell r="Q929" t="str">
            <v>–</v>
          </cell>
          <cell r="R929" t="str">
            <v>–</v>
          </cell>
          <cell r="S929" t="str">
            <v>–</v>
          </cell>
          <cell r="T929" t="str">
            <v>–</v>
          </cell>
          <cell r="U929" t="str">
            <v>–</v>
          </cell>
          <cell r="V929" t="str">
            <v>–</v>
          </cell>
          <cell r="W929">
            <v>0.375</v>
          </cell>
        </row>
        <row r="930">
          <cell r="B930" t="str">
            <v>2L7X4X3/8X3/8SLBB</v>
          </cell>
          <cell r="C930" t="str">
            <v>2L7X4X3/8X3/8SLBB</v>
          </cell>
          <cell r="D930" t="str">
            <v>F</v>
          </cell>
          <cell r="E930">
            <v>27.2</v>
          </cell>
          <cell r="F930">
            <v>8</v>
          </cell>
          <cell r="G930" t="str">
            <v>2L7X4X3/8X3/8SLBB</v>
          </cell>
          <cell r="H930">
            <v>4</v>
          </cell>
          <cell r="I930" t="str">
            <v>–</v>
          </cell>
          <cell r="J930" t="str">
            <v>–</v>
          </cell>
          <cell r="K930" t="str">
            <v>–</v>
          </cell>
          <cell r="L930" t="str">
            <v>–</v>
          </cell>
          <cell r="M930" t="str">
            <v>–</v>
          </cell>
          <cell r="N930" t="str">
            <v>–</v>
          </cell>
          <cell r="O930" t="str">
            <v>–</v>
          </cell>
          <cell r="P930">
            <v>7</v>
          </cell>
          <cell r="Q930" t="str">
            <v>–</v>
          </cell>
          <cell r="R930" t="str">
            <v>–</v>
          </cell>
          <cell r="S930" t="str">
            <v>–</v>
          </cell>
          <cell r="T930" t="str">
            <v>–</v>
          </cell>
          <cell r="U930" t="str">
            <v>–</v>
          </cell>
          <cell r="V930" t="str">
            <v>–</v>
          </cell>
          <cell r="W930">
            <v>0.375</v>
          </cell>
        </row>
        <row r="931">
          <cell r="B931" t="str">
            <v>2L7X4X3/8X3/4SLBB</v>
          </cell>
          <cell r="C931" t="str">
            <v>2L7X4X3/8X3/4SLBB</v>
          </cell>
          <cell r="D931" t="str">
            <v>F</v>
          </cell>
          <cell r="E931">
            <v>27.2</v>
          </cell>
          <cell r="F931">
            <v>8</v>
          </cell>
          <cell r="G931" t="str">
            <v>2L7X4X3/8X3/4SLBB</v>
          </cell>
          <cell r="H931">
            <v>4</v>
          </cell>
          <cell r="I931" t="str">
            <v>–</v>
          </cell>
          <cell r="J931" t="str">
            <v>–</v>
          </cell>
          <cell r="K931" t="str">
            <v>–</v>
          </cell>
          <cell r="L931" t="str">
            <v>–</v>
          </cell>
          <cell r="M931" t="str">
            <v>–</v>
          </cell>
          <cell r="N931" t="str">
            <v>–</v>
          </cell>
          <cell r="O931" t="str">
            <v>–</v>
          </cell>
          <cell r="P931">
            <v>7</v>
          </cell>
          <cell r="Q931" t="str">
            <v>–</v>
          </cell>
          <cell r="R931" t="str">
            <v>–</v>
          </cell>
          <cell r="S931" t="str">
            <v>–</v>
          </cell>
          <cell r="T931" t="str">
            <v>–</v>
          </cell>
          <cell r="U931" t="str">
            <v>–</v>
          </cell>
          <cell r="V931" t="str">
            <v>–</v>
          </cell>
          <cell r="W931">
            <v>0.375</v>
          </cell>
        </row>
        <row r="932">
          <cell r="B932" t="str">
            <v>2L6X4X7/8SLBB</v>
          </cell>
          <cell r="C932" t="str">
            <v>2L6X4X7/8SLBB</v>
          </cell>
          <cell r="D932" t="str">
            <v>F</v>
          </cell>
          <cell r="E932">
            <v>54.4</v>
          </cell>
          <cell r="F932">
            <v>16</v>
          </cell>
          <cell r="G932" t="str">
            <v>2L6X4X7/8SLBB</v>
          </cell>
          <cell r="H932">
            <v>4</v>
          </cell>
          <cell r="I932" t="str">
            <v>–</v>
          </cell>
          <cell r="J932" t="str">
            <v>–</v>
          </cell>
          <cell r="K932" t="str">
            <v>–</v>
          </cell>
          <cell r="L932" t="str">
            <v>–</v>
          </cell>
          <cell r="M932" t="str">
            <v>–</v>
          </cell>
          <cell r="N932" t="str">
            <v>–</v>
          </cell>
          <cell r="O932" t="str">
            <v>–</v>
          </cell>
          <cell r="P932">
            <v>6</v>
          </cell>
          <cell r="Q932" t="str">
            <v>–</v>
          </cell>
          <cell r="R932" t="str">
            <v>–</v>
          </cell>
          <cell r="S932" t="str">
            <v>–</v>
          </cell>
          <cell r="T932" t="str">
            <v>–</v>
          </cell>
          <cell r="U932" t="str">
            <v>–</v>
          </cell>
          <cell r="V932" t="str">
            <v>–</v>
          </cell>
          <cell r="W932">
            <v>0.875</v>
          </cell>
        </row>
        <row r="933">
          <cell r="B933" t="str">
            <v>2L6X4X7/8X3/8SLBB</v>
          </cell>
          <cell r="C933" t="str">
            <v>2L6X4X7/8X3/8SLBB</v>
          </cell>
          <cell r="D933" t="str">
            <v>F</v>
          </cell>
          <cell r="E933">
            <v>54.4</v>
          </cell>
          <cell r="F933">
            <v>16</v>
          </cell>
          <cell r="G933" t="str">
            <v>2L6X4X7/8X3/8SLBB</v>
          </cell>
          <cell r="H933">
            <v>4</v>
          </cell>
          <cell r="I933" t="str">
            <v>–</v>
          </cell>
          <cell r="J933" t="str">
            <v>–</v>
          </cell>
          <cell r="K933" t="str">
            <v>–</v>
          </cell>
          <cell r="L933" t="str">
            <v>–</v>
          </cell>
          <cell r="M933" t="str">
            <v>–</v>
          </cell>
          <cell r="N933" t="str">
            <v>–</v>
          </cell>
          <cell r="O933" t="str">
            <v>–</v>
          </cell>
          <cell r="P933">
            <v>6</v>
          </cell>
          <cell r="Q933" t="str">
            <v>–</v>
          </cell>
          <cell r="R933" t="str">
            <v>–</v>
          </cell>
          <cell r="S933" t="str">
            <v>–</v>
          </cell>
          <cell r="T933" t="str">
            <v>–</v>
          </cell>
          <cell r="U933" t="str">
            <v>–</v>
          </cell>
          <cell r="V933" t="str">
            <v>–</v>
          </cell>
          <cell r="W933">
            <v>0.875</v>
          </cell>
        </row>
        <row r="934">
          <cell r="B934" t="str">
            <v>2L6X4X7/8X3/4SLBB</v>
          </cell>
          <cell r="C934" t="str">
            <v>2L6X4X7/8X3/4SLBB</v>
          </cell>
          <cell r="D934" t="str">
            <v>F</v>
          </cell>
          <cell r="E934">
            <v>54.4</v>
          </cell>
          <cell r="F934">
            <v>16</v>
          </cell>
          <cell r="G934" t="str">
            <v>2L6X4X7/8X3/4SLBB</v>
          </cell>
          <cell r="H934">
            <v>4</v>
          </cell>
          <cell r="I934" t="str">
            <v>–</v>
          </cell>
          <cell r="J934" t="str">
            <v>–</v>
          </cell>
          <cell r="K934" t="str">
            <v>–</v>
          </cell>
          <cell r="L934" t="str">
            <v>–</v>
          </cell>
          <cell r="M934" t="str">
            <v>–</v>
          </cell>
          <cell r="N934" t="str">
            <v>–</v>
          </cell>
          <cell r="O934" t="str">
            <v>–</v>
          </cell>
          <cell r="P934">
            <v>6</v>
          </cell>
          <cell r="Q934" t="str">
            <v>–</v>
          </cell>
          <cell r="R934" t="str">
            <v>–</v>
          </cell>
          <cell r="S934" t="str">
            <v>–</v>
          </cell>
          <cell r="T934" t="str">
            <v>–</v>
          </cell>
          <cell r="U934" t="str">
            <v>–</v>
          </cell>
          <cell r="V934" t="str">
            <v>–</v>
          </cell>
          <cell r="W934">
            <v>0.875</v>
          </cell>
        </row>
        <row r="935">
          <cell r="B935" t="str">
            <v>2L6X4X3/4SLBB</v>
          </cell>
          <cell r="C935" t="str">
            <v>2L6X4X3/4SLBB</v>
          </cell>
          <cell r="D935" t="str">
            <v>F</v>
          </cell>
          <cell r="E935">
            <v>47.2</v>
          </cell>
          <cell r="F935">
            <v>13.9</v>
          </cell>
          <cell r="G935" t="str">
            <v>2L6X4X3/4SLBB</v>
          </cell>
          <cell r="H935">
            <v>4</v>
          </cell>
          <cell r="I935" t="str">
            <v>–</v>
          </cell>
          <cell r="J935" t="str">
            <v>–</v>
          </cell>
          <cell r="K935" t="str">
            <v>–</v>
          </cell>
          <cell r="L935" t="str">
            <v>–</v>
          </cell>
          <cell r="M935" t="str">
            <v>–</v>
          </cell>
          <cell r="N935" t="str">
            <v>–</v>
          </cell>
          <cell r="O935" t="str">
            <v>–</v>
          </cell>
          <cell r="P935">
            <v>6</v>
          </cell>
          <cell r="Q935" t="str">
            <v>–</v>
          </cell>
          <cell r="R935" t="str">
            <v>–</v>
          </cell>
          <cell r="S935" t="str">
            <v>–</v>
          </cell>
          <cell r="T935" t="str">
            <v>–</v>
          </cell>
          <cell r="U935" t="str">
            <v>–</v>
          </cell>
          <cell r="V935" t="str">
            <v>–</v>
          </cell>
          <cell r="W935">
            <v>0.75</v>
          </cell>
        </row>
        <row r="936">
          <cell r="B936" t="str">
            <v>2L6X4X3/4X3/8SLBB</v>
          </cell>
          <cell r="C936" t="str">
            <v>2L6X4X3/4X3/8SLBB</v>
          </cell>
          <cell r="D936" t="str">
            <v>F</v>
          </cell>
          <cell r="E936">
            <v>47.2</v>
          </cell>
          <cell r="F936">
            <v>13.9</v>
          </cell>
          <cell r="G936" t="str">
            <v>2L6X4X3/4X3/8SLBB</v>
          </cell>
          <cell r="H936">
            <v>4</v>
          </cell>
          <cell r="I936" t="str">
            <v>–</v>
          </cell>
          <cell r="J936" t="str">
            <v>–</v>
          </cell>
          <cell r="K936" t="str">
            <v>–</v>
          </cell>
          <cell r="L936" t="str">
            <v>–</v>
          </cell>
          <cell r="M936" t="str">
            <v>–</v>
          </cell>
          <cell r="N936" t="str">
            <v>–</v>
          </cell>
          <cell r="O936" t="str">
            <v>–</v>
          </cell>
          <cell r="P936">
            <v>6</v>
          </cell>
          <cell r="Q936" t="str">
            <v>–</v>
          </cell>
          <cell r="R936" t="str">
            <v>–</v>
          </cell>
          <cell r="S936" t="str">
            <v>–</v>
          </cell>
          <cell r="T936" t="str">
            <v>–</v>
          </cell>
          <cell r="U936" t="str">
            <v>–</v>
          </cell>
          <cell r="V936" t="str">
            <v>–</v>
          </cell>
          <cell r="W936">
            <v>0.75</v>
          </cell>
        </row>
        <row r="937">
          <cell r="B937" t="str">
            <v>2L6X4X3/4X3/4SLBB</v>
          </cell>
          <cell r="C937" t="str">
            <v>2L6X4X3/4X3/4SLBB</v>
          </cell>
          <cell r="D937" t="str">
            <v>F</v>
          </cell>
          <cell r="E937">
            <v>47.2</v>
          </cell>
          <cell r="F937">
            <v>13.9</v>
          </cell>
          <cell r="G937" t="str">
            <v>2L6X4X3/4X3/4SLBB</v>
          </cell>
          <cell r="H937">
            <v>4</v>
          </cell>
          <cell r="I937" t="str">
            <v>–</v>
          </cell>
          <cell r="J937" t="str">
            <v>–</v>
          </cell>
          <cell r="K937" t="str">
            <v>–</v>
          </cell>
          <cell r="L937" t="str">
            <v>–</v>
          </cell>
          <cell r="M937" t="str">
            <v>–</v>
          </cell>
          <cell r="N937" t="str">
            <v>–</v>
          </cell>
          <cell r="O937" t="str">
            <v>–</v>
          </cell>
          <cell r="P937">
            <v>6</v>
          </cell>
          <cell r="Q937" t="str">
            <v>–</v>
          </cell>
          <cell r="R937" t="str">
            <v>–</v>
          </cell>
          <cell r="S937" t="str">
            <v>–</v>
          </cell>
          <cell r="T937" t="str">
            <v>–</v>
          </cell>
          <cell r="U937" t="str">
            <v>–</v>
          </cell>
          <cell r="V937" t="str">
            <v>–</v>
          </cell>
          <cell r="W937">
            <v>0.75</v>
          </cell>
        </row>
        <row r="938">
          <cell r="B938" t="str">
            <v>2L6X4X5/8SLBB</v>
          </cell>
          <cell r="C938" t="str">
            <v>2L6X4X5/8SLBB</v>
          </cell>
          <cell r="D938" t="str">
            <v>F</v>
          </cell>
          <cell r="E938">
            <v>40</v>
          </cell>
          <cell r="F938">
            <v>11.7</v>
          </cell>
          <cell r="G938" t="str">
            <v>2L6X4X5/8SLBB</v>
          </cell>
          <cell r="H938">
            <v>4</v>
          </cell>
          <cell r="I938" t="str">
            <v>–</v>
          </cell>
          <cell r="J938" t="str">
            <v>–</v>
          </cell>
          <cell r="K938" t="str">
            <v>–</v>
          </cell>
          <cell r="L938" t="str">
            <v>–</v>
          </cell>
          <cell r="M938" t="str">
            <v>–</v>
          </cell>
          <cell r="N938" t="str">
            <v>–</v>
          </cell>
          <cell r="O938" t="str">
            <v>–</v>
          </cell>
          <cell r="P938">
            <v>6</v>
          </cell>
          <cell r="Q938" t="str">
            <v>–</v>
          </cell>
          <cell r="R938" t="str">
            <v>–</v>
          </cell>
          <cell r="S938" t="str">
            <v>–</v>
          </cell>
          <cell r="T938" t="str">
            <v>–</v>
          </cell>
          <cell r="U938" t="str">
            <v>–</v>
          </cell>
          <cell r="V938" t="str">
            <v>–</v>
          </cell>
          <cell r="W938">
            <v>0.625</v>
          </cell>
        </row>
        <row r="939">
          <cell r="B939" t="str">
            <v>2L6X4X5/8X3/8SLBB</v>
          </cell>
          <cell r="C939" t="str">
            <v>2L6X4X5/8X3/8SLBB</v>
          </cell>
          <cell r="D939" t="str">
            <v>F</v>
          </cell>
          <cell r="E939">
            <v>40</v>
          </cell>
          <cell r="F939">
            <v>11.7</v>
          </cell>
          <cell r="G939" t="str">
            <v>2L6X4X5/8X3/8SLBB</v>
          </cell>
          <cell r="H939">
            <v>4</v>
          </cell>
          <cell r="I939" t="str">
            <v>–</v>
          </cell>
          <cell r="J939" t="str">
            <v>–</v>
          </cell>
          <cell r="K939" t="str">
            <v>–</v>
          </cell>
          <cell r="L939" t="str">
            <v>–</v>
          </cell>
          <cell r="M939" t="str">
            <v>–</v>
          </cell>
          <cell r="N939" t="str">
            <v>–</v>
          </cell>
          <cell r="O939" t="str">
            <v>–</v>
          </cell>
          <cell r="P939">
            <v>6</v>
          </cell>
          <cell r="Q939" t="str">
            <v>–</v>
          </cell>
          <cell r="R939" t="str">
            <v>–</v>
          </cell>
          <cell r="S939" t="str">
            <v>–</v>
          </cell>
          <cell r="T939" t="str">
            <v>–</v>
          </cell>
          <cell r="U939" t="str">
            <v>–</v>
          </cell>
          <cell r="V939" t="str">
            <v>–</v>
          </cell>
          <cell r="W939">
            <v>0.625</v>
          </cell>
        </row>
        <row r="940">
          <cell r="B940" t="str">
            <v>2L6X4X5/8X3/4SLBB</v>
          </cell>
          <cell r="C940" t="str">
            <v>2L6X4X5/8X3/4SLBB</v>
          </cell>
          <cell r="D940" t="str">
            <v>F</v>
          </cell>
          <cell r="E940">
            <v>40</v>
          </cell>
          <cell r="F940">
            <v>11.7</v>
          </cell>
          <cell r="G940" t="str">
            <v>2L6X4X5/8X3/4SLBB</v>
          </cell>
          <cell r="H940">
            <v>4</v>
          </cell>
          <cell r="I940" t="str">
            <v>–</v>
          </cell>
          <cell r="J940" t="str">
            <v>–</v>
          </cell>
          <cell r="K940" t="str">
            <v>–</v>
          </cell>
          <cell r="L940" t="str">
            <v>–</v>
          </cell>
          <cell r="M940" t="str">
            <v>–</v>
          </cell>
          <cell r="N940" t="str">
            <v>–</v>
          </cell>
          <cell r="O940" t="str">
            <v>–</v>
          </cell>
          <cell r="P940">
            <v>6</v>
          </cell>
          <cell r="Q940" t="str">
            <v>–</v>
          </cell>
          <cell r="R940" t="str">
            <v>–</v>
          </cell>
          <cell r="S940" t="str">
            <v>–</v>
          </cell>
          <cell r="T940" t="str">
            <v>–</v>
          </cell>
          <cell r="U940" t="str">
            <v>–</v>
          </cell>
          <cell r="V940" t="str">
            <v>–</v>
          </cell>
          <cell r="W940">
            <v>0.625</v>
          </cell>
        </row>
        <row r="941">
          <cell r="B941" t="str">
            <v>2L6X4X9/16SLBB</v>
          </cell>
          <cell r="C941" t="str">
            <v>2L6X4X9/16SLBB</v>
          </cell>
          <cell r="D941" t="str">
            <v>F</v>
          </cell>
          <cell r="E941">
            <v>36.200000000000003</v>
          </cell>
          <cell r="F941">
            <v>10.6</v>
          </cell>
          <cell r="G941" t="str">
            <v>2L6X4X9/16SLBB</v>
          </cell>
          <cell r="H941">
            <v>4</v>
          </cell>
          <cell r="I941" t="str">
            <v>–</v>
          </cell>
          <cell r="J941" t="str">
            <v>–</v>
          </cell>
          <cell r="K941" t="str">
            <v>–</v>
          </cell>
          <cell r="L941" t="str">
            <v>–</v>
          </cell>
          <cell r="M941" t="str">
            <v>–</v>
          </cell>
          <cell r="N941" t="str">
            <v>–</v>
          </cell>
          <cell r="O941" t="str">
            <v>–</v>
          </cell>
          <cell r="P941">
            <v>6</v>
          </cell>
          <cell r="Q941" t="str">
            <v>–</v>
          </cell>
          <cell r="R941" t="str">
            <v>–</v>
          </cell>
          <cell r="S941" t="str">
            <v>–</v>
          </cell>
          <cell r="T941" t="str">
            <v>–</v>
          </cell>
          <cell r="U941" t="str">
            <v>–</v>
          </cell>
          <cell r="V941" t="str">
            <v>–</v>
          </cell>
          <cell r="W941">
            <v>0.56299999999999994</v>
          </cell>
        </row>
        <row r="942">
          <cell r="B942" t="str">
            <v>2L6X4X9/16X3/8SLBB</v>
          </cell>
          <cell r="C942" t="str">
            <v>2L6X4X9/16X3/8SLBB</v>
          </cell>
          <cell r="D942" t="str">
            <v>F</v>
          </cell>
          <cell r="E942">
            <v>36.200000000000003</v>
          </cell>
          <cell r="F942">
            <v>10.6</v>
          </cell>
          <cell r="G942" t="str">
            <v>2L6X4X9/16X3/8SLBB</v>
          </cell>
          <cell r="H942">
            <v>4</v>
          </cell>
          <cell r="I942" t="str">
            <v>–</v>
          </cell>
          <cell r="J942" t="str">
            <v>–</v>
          </cell>
          <cell r="K942" t="str">
            <v>–</v>
          </cell>
          <cell r="L942" t="str">
            <v>–</v>
          </cell>
          <cell r="M942" t="str">
            <v>–</v>
          </cell>
          <cell r="N942" t="str">
            <v>–</v>
          </cell>
          <cell r="O942" t="str">
            <v>–</v>
          </cell>
          <cell r="P942">
            <v>6</v>
          </cell>
          <cell r="Q942" t="str">
            <v>–</v>
          </cell>
          <cell r="R942" t="str">
            <v>–</v>
          </cell>
          <cell r="S942" t="str">
            <v>–</v>
          </cell>
          <cell r="T942" t="str">
            <v>–</v>
          </cell>
          <cell r="U942" t="str">
            <v>–</v>
          </cell>
          <cell r="V942" t="str">
            <v>–</v>
          </cell>
          <cell r="W942">
            <v>0.56299999999999994</v>
          </cell>
        </row>
        <row r="943">
          <cell r="B943" t="str">
            <v>2L6X4X9/16X3/4SLBB</v>
          </cell>
          <cell r="C943" t="str">
            <v>2L6X4X9/16X3/4SLBB</v>
          </cell>
          <cell r="D943" t="str">
            <v>F</v>
          </cell>
          <cell r="E943">
            <v>36.200000000000003</v>
          </cell>
          <cell r="F943">
            <v>10.6</v>
          </cell>
          <cell r="G943" t="str">
            <v>2L6X4X9/16X3/4SLBB</v>
          </cell>
          <cell r="H943">
            <v>4</v>
          </cell>
          <cell r="I943" t="str">
            <v>–</v>
          </cell>
          <cell r="J943" t="str">
            <v>–</v>
          </cell>
          <cell r="K943" t="str">
            <v>–</v>
          </cell>
          <cell r="L943" t="str">
            <v>–</v>
          </cell>
          <cell r="M943" t="str">
            <v>–</v>
          </cell>
          <cell r="N943" t="str">
            <v>–</v>
          </cell>
          <cell r="O943" t="str">
            <v>–</v>
          </cell>
          <cell r="P943">
            <v>6</v>
          </cell>
          <cell r="Q943" t="str">
            <v>–</v>
          </cell>
          <cell r="R943" t="str">
            <v>–</v>
          </cell>
          <cell r="S943" t="str">
            <v>–</v>
          </cell>
          <cell r="T943" t="str">
            <v>–</v>
          </cell>
          <cell r="U943" t="str">
            <v>–</v>
          </cell>
          <cell r="V943" t="str">
            <v>–</v>
          </cell>
          <cell r="W943">
            <v>0.56299999999999994</v>
          </cell>
        </row>
        <row r="944">
          <cell r="B944" t="str">
            <v>2L6X4X1/2SLBB</v>
          </cell>
          <cell r="C944" t="str">
            <v>2L6X4X1/2SLBB</v>
          </cell>
          <cell r="D944" t="str">
            <v>F</v>
          </cell>
          <cell r="E944">
            <v>32.4</v>
          </cell>
          <cell r="F944">
            <v>9.5</v>
          </cell>
          <cell r="G944" t="str">
            <v>2L6X4X1/2SLBB</v>
          </cell>
          <cell r="H944">
            <v>4</v>
          </cell>
          <cell r="I944" t="str">
            <v>–</v>
          </cell>
          <cell r="J944" t="str">
            <v>–</v>
          </cell>
          <cell r="K944" t="str">
            <v>–</v>
          </cell>
          <cell r="L944" t="str">
            <v>–</v>
          </cell>
          <cell r="M944" t="str">
            <v>–</v>
          </cell>
          <cell r="N944" t="str">
            <v>–</v>
          </cell>
          <cell r="O944" t="str">
            <v>–</v>
          </cell>
          <cell r="P944">
            <v>6</v>
          </cell>
          <cell r="Q944" t="str">
            <v>–</v>
          </cell>
          <cell r="R944" t="str">
            <v>–</v>
          </cell>
          <cell r="S944" t="str">
            <v>–</v>
          </cell>
          <cell r="T944" t="str">
            <v>–</v>
          </cell>
          <cell r="U944" t="str">
            <v>–</v>
          </cell>
          <cell r="V944" t="str">
            <v>–</v>
          </cell>
          <cell r="W944">
            <v>0.5</v>
          </cell>
        </row>
        <row r="945">
          <cell r="B945" t="str">
            <v>2L6X4X1/2X3/8SLBB</v>
          </cell>
          <cell r="C945" t="str">
            <v>2L6X4X1/2X3/8SLBB</v>
          </cell>
          <cell r="D945" t="str">
            <v>F</v>
          </cell>
          <cell r="E945">
            <v>32.4</v>
          </cell>
          <cell r="F945">
            <v>9.5</v>
          </cell>
          <cell r="G945" t="str">
            <v>2L6X4X1/2X3/8SLBB</v>
          </cell>
          <cell r="H945">
            <v>4</v>
          </cell>
          <cell r="I945" t="str">
            <v>–</v>
          </cell>
          <cell r="J945" t="str">
            <v>–</v>
          </cell>
          <cell r="K945" t="str">
            <v>–</v>
          </cell>
          <cell r="L945" t="str">
            <v>–</v>
          </cell>
          <cell r="M945" t="str">
            <v>–</v>
          </cell>
          <cell r="N945" t="str">
            <v>–</v>
          </cell>
          <cell r="O945" t="str">
            <v>–</v>
          </cell>
          <cell r="P945">
            <v>6</v>
          </cell>
          <cell r="Q945" t="str">
            <v>–</v>
          </cell>
          <cell r="R945" t="str">
            <v>–</v>
          </cell>
          <cell r="S945" t="str">
            <v>–</v>
          </cell>
          <cell r="T945" t="str">
            <v>–</v>
          </cell>
          <cell r="U945" t="str">
            <v>–</v>
          </cell>
          <cell r="V945" t="str">
            <v>–</v>
          </cell>
          <cell r="W945">
            <v>0.5</v>
          </cell>
        </row>
        <row r="946">
          <cell r="B946" t="str">
            <v>2L6X4X1/2X3/4SLBB</v>
          </cell>
          <cell r="C946" t="str">
            <v>2L6X4X1/2X3/4SLBB</v>
          </cell>
          <cell r="D946" t="str">
            <v>F</v>
          </cell>
          <cell r="E946">
            <v>32.4</v>
          </cell>
          <cell r="F946">
            <v>9.5</v>
          </cell>
          <cell r="G946" t="str">
            <v>2L6X4X1/2X3/4SLBB</v>
          </cell>
          <cell r="H946">
            <v>4</v>
          </cell>
          <cell r="I946" t="str">
            <v>–</v>
          </cell>
          <cell r="J946" t="str">
            <v>–</v>
          </cell>
          <cell r="K946" t="str">
            <v>–</v>
          </cell>
          <cell r="L946" t="str">
            <v>–</v>
          </cell>
          <cell r="M946" t="str">
            <v>–</v>
          </cell>
          <cell r="N946" t="str">
            <v>–</v>
          </cell>
          <cell r="O946" t="str">
            <v>–</v>
          </cell>
          <cell r="P946">
            <v>6</v>
          </cell>
          <cell r="Q946" t="str">
            <v>–</v>
          </cell>
          <cell r="R946" t="str">
            <v>–</v>
          </cell>
          <cell r="S946" t="str">
            <v>–</v>
          </cell>
          <cell r="T946" t="str">
            <v>–</v>
          </cell>
          <cell r="U946" t="str">
            <v>–</v>
          </cell>
          <cell r="V946" t="str">
            <v>–</v>
          </cell>
          <cell r="W946">
            <v>0.5</v>
          </cell>
        </row>
        <row r="947">
          <cell r="B947" t="str">
            <v>2L6X4X7/16SLBB</v>
          </cell>
          <cell r="C947" t="str">
            <v>2L6X4X7/16SLBB</v>
          </cell>
          <cell r="D947" t="str">
            <v>F</v>
          </cell>
          <cell r="E947">
            <v>28.6</v>
          </cell>
          <cell r="F947">
            <v>8.36</v>
          </cell>
          <cell r="G947" t="str">
            <v>2L6X4X7/16SLBB</v>
          </cell>
          <cell r="H947">
            <v>4</v>
          </cell>
          <cell r="I947" t="str">
            <v>–</v>
          </cell>
          <cell r="J947" t="str">
            <v>–</v>
          </cell>
          <cell r="K947" t="str">
            <v>–</v>
          </cell>
          <cell r="L947" t="str">
            <v>–</v>
          </cell>
          <cell r="M947" t="str">
            <v>–</v>
          </cell>
          <cell r="N947" t="str">
            <v>–</v>
          </cell>
          <cell r="O947" t="str">
            <v>–</v>
          </cell>
          <cell r="P947">
            <v>6</v>
          </cell>
          <cell r="Q947" t="str">
            <v>–</v>
          </cell>
          <cell r="R947" t="str">
            <v>–</v>
          </cell>
          <cell r="S947" t="str">
            <v>–</v>
          </cell>
          <cell r="T947" t="str">
            <v>–</v>
          </cell>
          <cell r="U947" t="str">
            <v>–</v>
          </cell>
          <cell r="V947" t="str">
            <v>–</v>
          </cell>
          <cell r="W947">
            <v>0.438</v>
          </cell>
        </row>
        <row r="948">
          <cell r="B948" t="str">
            <v>2L6X4X7/16X3/8SLBB</v>
          </cell>
          <cell r="C948" t="str">
            <v>2L6X4X7/16X3/8SLBB</v>
          </cell>
          <cell r="D948" t="str">
            <v>F</v>
          </cell>
          <cell r="E948">
            <v>28.6</v>
          </cell>
          <cell r="F948">
            <v>8.36</v>
          </cell>
          <cell r="G948" t="str">
            <v>2L6X4X7/16X3/8SLBB</v>
          </cell>
          <cell r="H948">
            <v>4</v>
          </cell>
          <cell r="I948" t="str">
            <v>–</v>
          </cell>
          <cell r="J948" t="str">
            <v>–</v>
          </cell>
          <cell r="K948" t="str">
            <v>–</v>
          </cell>
          <cell r="L948" t="str">
            <v>–</v>
          </cell>
          <cell r="M948" t="str">
            <v>–</v>
          </cell>
          <cell r="N948" t="str">
            <v>–</v>
          </cell>
          <cell r="O948" t="str">
            <v>–</v>
          </cell>
          <cell r="P948">
            <v>6</v>
          </cell>
          <cell r="Q948" t="str">
            <v>–</v>
          </cell>
          <cell r="R948" t="str">
            <v>–</v>
          </cell>
          <cell r="S948" t="str">
            <v>–</v>
          </cell>
          <cell r="T948" t="str">
            <v>–</v>
          </cell>
          <cell r="U948" t="str">
            <v>–</v>
          </cell>
          <cell r="V948" t="str">
            <v>–</v>
          </cell>
          <cell r="W948">
            <v>0.438</v>
          </cell>
        </row>
        <row r="949">
          <cell r="B949" t="str">
            <v>2L6X4X7/16X3/4SLBB</v>
          </cell>
          <cell r="C949" t="str">
            <v>2L6X4X7/16X3/4SLBB</v>
          </cell>
          <cell r="D949" t="str">
            <v>F</v>
          </cell>
          <cell r="E949">
            <v>28.6</v>
          </cell>
          <cell r="F949">
            <v>8.36</v>
          </cell>
          <cell r="G949" t="str">
            <v>2L6X4X7/16X3/4SLBB</v>
          </cell>
          <cell r="H949">
            <v>4</v>
          </cell>
          <cell r="I949" t="str">
            <v>–</v>
          </cell>
          <cell r="J949" t="str">
            <v>–</v>
          </cell>
          <cell r="K949" t="str">
            <v>–</v>
          </cell>
          <cell r="L949" t="str">
            <v>–</v>
          </cell>
          <cell r="M949" t="str">
            <v>–</v>
          </cell>
          <cell r="N949" t="str">
            <v>–</v>
          </cell>
          <cell r="O949" t="str">
            <v>–</v>
          </cell>
          <cell r="P949">
            <v>6</v>
          </cell>
          <cell r="Q949" t="str">
            <v>–</v>
          </cell>
          <cell r="R949" t="str">
            <v>–</v>
          </cell>
          <cell r="S949" t="str">
            <v>–</v>
          </cell>
          <cell r="T949" t="str">
            <v>–</v>
          </cell>
          <cell r="U949" t="str">
            <v>–</v>
          </cell>
          <cell r="V949" t="str">
            <v>–</v>
          </cell>
          <cell r="W949">
            <v>0.438</v>
          </cell>
        </row>
        <row r="950">
          <cell r="B950" t="str">
            <v>2L6X4X3/8SLBB</v>
          </cell>
          <cell r="C950" t="str">
            <v>2L6X4X3/8SLBB</v>
          </cell>
          <cell r="D950" t="str">
            <v>F</v>
          </cell>
          <cell r="E950">
            <v>24.6</v>
          </cell>
          <cell r="F950">
            <v>7.22</v>
          </cell>
          <cell r="G950" t="str">
            <v>2L6X4X3/8SLBB</v>
          </cell>
          <cell r="H950">
            <v>4</v>
          </cell>
          <cell r="I950" t="str">
            <v>–</v>
          </cell>
          <cell r="J950" t="str">
            <v>–</v>
          </cell>
          <cell r="K950" t="str">
            <v>–</v>
          </cell>
          <cell r="L950" t="str">
            <v>–</v>
          </cell>
          <cell r="M950" t="str">
            <v>–</v>
          </cell>
          <cell r="N950" t="str">
            <v>–</v>
          </cell>
          <cell r="O950" t="str">
            <v>–</v>
          </cell>
          <cell r="P950">
            <v>6</v>
          </cell>
          <cell r="Q950" t="str">
            <v>–</v>
          </cell>
          <cell r="R950" t="str">
            <v>–</v>
          </cell>
          <cell r="S950" t="str">
            <v>–</v>
          </cell>
          <cell r="T950" t="str">
            <v>–</v>
          </cell>
          <cell r="U950" t="str">
            <v>–</v>
          </cell>
          <cell r="V950" t="str">
            <v>–</v>
          </cell>
          <cell r="W950">
            <v>0.375</v>
          </cell>
        </row>
        <row r="951">
          <cell r="B951" t="str">
            <v>2L6X4X3/8X3/8SLBB</v>
          </cell>
          <cell r="C951" t="str">
            <v>2L6X4X3/8X3/8SLBB</v>
          </cell>
          <cell r="D951" t="str">
            <v>F</v>
          </cell>
          <cell r="E951">
            <v>24.6</v>
          </cell>
          <cell r="F951">
            <v>7.22</v>
          </cell>
          <cell r="G951" t="str">
            <v>2L6X4X3/8X3/8SLBB</v>
          </cell>
          <cell r="H951">
            <v>4</v>
          </cell>
          <cell r="I951" t="str">
            <v>–</v>
          </cell>
          <cell r="J951" t="str">
            <v>–</v>
          </cell>
          <cell r="K951" t="str">
            <v>–</v>
          </cell>
          <cell r="L951" t="str">
            <v>–</v>
          </cell>
          <cell r="M951" t="str">
            <v>–</v>
          </cell>
          <cell r="N951" t="str">
            <v>–</v>
          </cell>
          <cell r="O951" t="str">
            <v>–</v>
          </cell>
          <cell r="P951">
            <v>6</v>
          </cell>
          <cell r="Q951" t="str">
            <v>–</v>
          </cell>
          <cell r="R951" t="str">
            <v>–</v>
          </cell>
          <cell r="S951" t="str">
            <v>–</v>
          </cell>
          <cell r="T951" t="str">
            <v>–</v>
          </cell>
          <cell r="U951" t="str">
            <v>–</v>
          </cell>
          <cell r="V951" t="str">
            <v>–</v>
          </cell>
          <cell r="W951">
            <v>0.375</v>
          </cell>
        </row>
        <row r="952">
          <cell r="B952" t="str">
            <v>2L6X4X3/8X3/4SLBB</v>
          </cell>
          <cell r="C952" t="str">
            <v>2L6X4X3/8X3/4SLBB</v>
          </cell>
          <cell r="D952" t="str">
            <v>F</v>
          </cell>
          <cell r="E952">
            <v>24.6</v>
          </cell>
          <cell r="F952">
            <v>7.22</v>
          </cell>
          <cell r="G952" t="str">
            <v>2L6X4X3/8X3/4SLBB</v>
          </cell>
          <cell r="H952">
            <v>4</v>
          </cell>
          <cell r="I952" t="str">
            <v>–</v>
          </cell>
          <cell r="J952" t="str">
            <v>–</v>
          </cell>
          <cell r="K952" t="str">
            <v>–</v>
          </cell>
          <cell r="L952" t="str">
            <v>–</v>
          </cell>
          <cell r="M952" t="str">
            <v>–</v>
          </cell>
          <cell r="N952" t="str">
            <v>–</v>
          </cell>
          <cell r="O952" t="str">
            <v>–</v>
          </cell>
          <cell r="P952">
            <v>6</v>
          </cell>
          <cell r="Q952" t="str">
            <v>–</v>
          </cell>
          <cell r="R952" t="str">
            <v>–</v>
          </cell>
          <cell r="S952" t="str">
            <v>–</v>
          </cell>
          <cell r="T952" t="str">
            <v>–</v>
          </cell>
          <cell r="U952" t="str">
            <v>–</v>
          </cell>
          <cell r="V952" t="str">
            <v>–</v>
          </cell>
          <cell r="W952">
            <v>0.375</v>
          </cell>
        </row>
        <row r="953">
          <cell r="B953" t="str">
            <v>2L6X4X5/16SLBB</v>
          </cell>
          <cell r="C953" t="str">
            <v>2L6X4X5/16SLBB</v>
          </cell>
          <cell r="D953" t="str">
            <v>F</v>
          </cell>
          <cell r="E953">
            <v>20.6</v>
          </cell>
          <cell r="F953">
            <v>6.06</v>
          </cell>
          <cell r="G953" t="str">
            <v>2L6X4X5/16SLBB</v>
          </cell>
          <cell r="H953">
            <v>4</v>
          </cell>
          <cell r="I953" t="str">
            <v>–</v>
          </cell>
          <cell r="J953" t="str">
            <v>–</v>
          </cell>
          <cell r="K953" t="str">
            <v>–</v>
          </cell>
          <cell r="L953" t="str">
            <v>–</v>
          </cell>
          <cell r="M953" t="str">
            <v>–</v>
          </cell>
          <cell r="N953" t="str">
            <v>–</v>
          </cell>
          <cell r="O953" t="str">
            <v>–</v>
          </cell>
          <cell r="P953">
            <v>6</v>
          </cell>
          <cell r="Q953" t="str">
            <v>–</v>
          </cell>
          <cell r="R953" t="str">
            <v>–</v>
          </cell>
          <cell r="S953" t="str">
            <v>–</v>
          </cell>
          <cell r="T953" t="str">
            <v>–</v>
          </cell>
          <cell r="U953" t="str">
            <v>–</v>
          </cell>
          <cell r="V953" t="str">
            <v>–</v>
          </cell>
          <cell r="W953">
            <v>0.313</v>
          </cell>
        </row>
        <row r="954">
          <cell r="B954" t="str">
            <v>2L6X4X5/16X3/8SLBB</v>
          </cell>
          <cell r="C954" t="str">
            <v>2L6X4X5/16X3/8SLBB</v>
          </cell>
          <cell r="D954" t="str">
            <v>F</v>
          </cell>
          <cell r="E954">
            <v>20.6</v>
          </cell>
          <cell r="F954">
            <v>6.06</v>
          </cell>
          <cell r="G954" t="str">
            <v>2L6X4X5/16X3/8SLBB</v>
          </cell>
          <cell r="H954">
            <v>4</v>
          </cell>
          <cell r="I954" t="str">
            <v>–</v>
          </cell>
          <cell r="J954" t="str">
            <v>–</v>
          </cell>
          <cell r="K954" t="str">
            <v>–</v>
          </cell>
          <cell r="L954" t="str">
            <v>–</v>
          </cell>
          <cell r="M954" t="str">
            <v>–</v>
          </cell>
          <cell r="N954" t="str">
            <v>–</v>
          </cell>
          <cell r="O954" t="str">
            <v>–</v>
          </cell>
          <cell r="P954">
            <v>6</v>
          </cell>
          <cell r="Q954" t="str">
            <v>–</v>
          </cell>
          <cell r="R954" t="str">
            <v>–</v>
          </cell>
          <cell r="S954" t="str">
            <v>–</v>
          </cell>
          <cell r="T954" t="str">
            <v>–</v>
          </cell>
          <cell r="U954" t="str">
            <v>–</v>
          </cell>
          <cell r="V954" t="str">
            <v>–</v>
          </cell>
          <cell r="W954">
            <v>0.313</v>
          </cell>
        </row>
        <row r="955">
          <cell r="B955" t="str">
            <v>2L6X4X5/16X3/4SLBB</v>
          </cell>
          <cell r="C955" t="str">
            <v>2L6X4X5/16X3/4SLBB</v>
          </cell>
          <cell r="D955" t="str">
            <v>F</v>
          </cell>
          <cell r="E955">
            <v>20.6</v>
          </cell>
          <cell r="F955">
            <v>6.06</v>
          </cell>
          <cell r="G955" t="str">
            <v>2L6X4X5/16X3/4SLBB</v>
          </cell>
          <cell r="H955">
            <v>4</v>
          </cell>
          <cell r="I955" t="str">
            <v>–</v>
          </cell>
          <cell r="J955" t="str">
            <v>–</v>
          </cell>
          <cell r="K955" t="str">
            <v>–</v>
          </cell>
          <cell r="L955" t="str">
            <v>–</v>
          </cell>
          <cell r="M955" t="str">
            <v>–</v>
          </cell>
          <cell r="N955" t="str">
            <v>–</v>
          </cell>
          <cell r="O955" t="str">
            <v>–</v>
          </cell>
          <cell r="P955">
            <v>6</v>
          </cell>
          <cell r="Q955" t="str">
            <v>–</v>
          </cell>
          <cell r="R955" t="str">
            <v>–</v>
          </cell>
          <cell r="S955" t="str">
            <v>–</v>
          </cell>
          <cell r="T955" t="str">
            <v>–</v>
          </cell>
          <cell r="U955" t="str">
            <v>–</v>
          </cell>
          <cell r="V955" t="str">
            <v>–</v>
          </cell>
          <cell r="W955">
            <v>0.313</v>
          </cell>
        </row>
        <row r="956">
          <cell r="B956" t="str">
            <v>2L6X3-1/2X1/2SLBB</v>
          </cell>
          <cell r="C956" t="str">
            <v>2L6X3-1/2X1/2SLBB</v>
          </cell>
          <cell r="D956" t="str">
            <v>F</v>
          </cell>
          <cell r="E956">
            <v>30.6</v>
          </cell>
          <cell r="F956">
            <v>9</v>
          </cell>
          <cell r="G956" t="str">
            <v>2L6X3-1/2X1/2SLBB</v>
          </cell>
          <cell r="H956">
            <v>3.5</v>
          </cell>
          <cell r="I956" t="str">
            <v>–</v>
          </cell>
          <cell r="J956" t="str">
            <v>–</v>
          </cell>
          <cell r="K956" t="str">
            <v>–</v>
          </cell>
          <cell r="L956" t="str">
            <v>–</v>
          </cell>
          <cell r="M956" t="str">
            <v>–</v>
          </cell>
          <cell r="N956" t="str">
            <v>–</v>
          </cell>
          <cell r="O956" t="str">
            <v>–</v>
          </cell>
          <cell r="P956">
            <v>6</v>
          </cell>
          <cell r="Q956" t="str">
            <v>–</v>
          </cell>
          <cell r="R956" t="str">
            <v>–</v>
          </cell>
          <cell r="S956" t="str">
            <v>–</v>
          </cell>
          <cell r="T956" t="str">
            <v>–</v>
          </cell>
          <cell r="U956" t="str">
            <v>–</v>
          </cell>
          <cell r="V956" t="str">
            <v>–</v>
          </cell>
          <cell r="W956">
            <v>0.5</v>
          </cell>
        </row>
        <row r="957">
          <cell r="B957" t="str">
            <v>2L6X3-1/2X1/2X3/8SLBB</v>
          </cell>
          <cell r="C957" t="str">
            <v>2L6X3-1/2X1/2X3/8SLBB</v>
          </cell>
          <cell r="D957" t="str">
            <v>F</v>
          </cell>
          <cell r="E957">
            <v>30.6</v>
          </cell>
          <cell r="F957">
            <v>9</v>
          </cell>
          <cell r="G957" t="str">
            <v>2L6X3-1/2X1/2X3/8SLBB</v>
          </cell>
          <cell r="H957">
            <v>3.5</v>
          </cell>
          <cell r="I957" t="str">
            <v>–</v>
          </cell>
          <cell r="J957" t="str">
            <v>–</v>
          </cell>
          <cell r="K957" t="str">
            <v>–</v>
          </cell>
          <cell r="L957" t="str">
            <v>–</v>
          </cell>
          <cell r="M957" t="str">
            <v>–</v>
          </cell>
          <cell r="N957" t="str">
            <v>–</v>
          </cell>
          <cell r="O957" t="str">
            <v>–</v>
          </cell>
          <cell r="P957">
            <v>6</v>
          </cell>
          <cell r="Q957" t="str">
            <v>–</v>
          </cell>
          <cell r="R957" t="str">
            <v>–</v>
          </cell>
          <cell r="S957" t="str">
            <v>–</v>
          </cell>
          <cell r="T957" t="str">
            <v>–</v>
          </cell>
          <cell r="U957" t="str">
            <v>–</v>
          </cell>
          <cell r="V957" t="str">
            <v>–</v>
          </cell>
          <cell r="W957">
            <v>0.5</v>
          </cell>
        </row>
        <row r="958">
          <cell r="B958" t="str">
            <v>2L6X3-1/2X1/2X3/4SLBB</v>
          </cell>
          <cell r="C958" t="str">
            <v>2L6X3-1/2X1/2X3/4SLBB</v>
          </cell>
          <cell r="D958" t="str">
            <v>F</v>
          </cell>
          <cell r="E958">
            <v>30.6</v>
          </cell>
          <cell r="F958">
            <v>9</v>
          </cell>
          <cell r="G958" t="str">
            <v>2L6X3-1/2X1/2X3/4SLBB</v>
          </cell>
          <cell r="H958">
            <v>3.5</v>
          </cell>
          <cell r="I958" t="str">
            <v>–</v>
          </cell>
          <cell r="J958" t="str">
            <v>–</v>
          </cell>
          <cell r="K958" t="str">
            <v>–</v>
          </cell>
          <cell r="L958" t="str">
            <v>–</v>
          </cell>
          <cell r="M958" t="str">
            <v>–</v>
          </cell>
          <cell r="N958" t="str">
            <v>–</v>
          </cell>
          <cell r="O958" t="str">
            <v>–</v>
          </cell>
          <cell r="P958">
            <v>6</v>
          </cell>
          <cell r="Q958" t="str">
            <v>–</v>
          </cell>
          <cell r="R958" t="str">
            <v>–</v>
          </cell>
          <cell r="S958" t="str">
            <v>–</v>
          </cell>
          <cell r="T958" t="str">
            <v>–</v>
          </cell>
          <cell r="U958" t="str">
            <v>–</v>
          </cell>
          <cell r="V958" t="str">
            <v>–</v>
          </cell>
          <cell r="W958">
            <v>0.5</v>
          </cell>
        </row>
        <row r="959">
          <cell r="B959" t="str">
            <v>2L6X3-1/2X3/8SLBB</v>
          </cell>
          <cell r="C959" t="str">
            <v>2L6X3-1/2X3/8SLBB</v>
          </cell>
          <cell r="D959" t="str">
            <v>F</v>
          </cell>
          <cell r="E959">
            <v>23.4</v>
          </cell>
          <cell r="F959">
            <v>6.88</v>
          </cell>
          <cell r="G959" t="str">
            <v>2L6X3-1/2X3/8SLBB</v>
          </cell>
          <cell r="H959">
            <v>3.5</v>
          </cell>
          <cell r="I959" t="str">
            <v>–</v>
          </cell>
          <cell r="J959" t="str">
            <v>–</v>
          </cell>
          <cell r="K959" t="str">
            <v>–</v>
          </cell>
          <cell r="L959" t="str">
            <v>–</v>
          </cell>
          <cell r="M959" t="str">
            <v>–</v>
          </cell>
          <cell r="N959" t="str">
            <v>–</v>
          </cell>
          <cell r="O959" t="str">
            <v>–</v>
          </cell>
          <cell r="P959">
            <v>6</v>
          </cell>
          <cell r="Q959" t="str">
            <v>–</v>
          </cell>
          <cell r="R959" t="str">
            <v>–</v>
          </cell>
          <cell r="S959" t="str">
            <v>–</v>
          </cell>
          <cell r="T959" t="str">
            <v>–</v>
          </cell>
          <cell r="U959" t="str">
            <v>–</v>
          </cell>
          <cell r="V959" t="str">
            <v>–</v>
          </cell>
          <cell r="W959">
            <v>0.375</v>
          </cell>
        </row>
        <row r="960">
          <cell r="B960" t="str">
            <v>2L6X3-1/2X3/8X3/8SLBB</v>
          </cell>
          <cell r="C960" t="str">
            <v>2L6X3-1/2X3/8X3/8SLBB</v>
          </cell>
          <cell r="D960" t="str">
            <v>F</v>
          </cell>
          <cell r="E960">
            <v>23.4</v>
          </cell>
          <cell r="F960">
            <v>6.88</v>
          </cell>
          <cell r="G960" t="str">
            <v>2L6X3-1/2X3/8X3/8SLBB</v>
          </cell>
          <cell r="H960">
            <v>3.5</v>
          </cell>
          <cell r="I960" t="str">
            <v>–</v>
          </cell>
          <cell r="J960" t="str">
            <v>–</v>
          </cell>
          <cell r="K960" t="str">
            <v>–</v>
          </cell>
          <cell r="L960" t="str">
            <v>–</v>
          </cell>
          <cell r="M960" t="str">
            <v>–</v>
          </cell>
          <cell r="N960" t="str">
            <v>–</v>
          </cell>
          <cell r="O960" t="str">
            <v>–</v>
          </cell>
          <cell r="P960">
            <v>6</v>
          </cell>
          <cell r="Q960" t="str">
            <v>–</v>
          </cell>
          <cell r="R960" t="str">
            <v>–</v>
          </cell>
          <cell r="S960" t="str">
            <v>–</v>
          </cell>
          <cell r="T960" t="str">
            <v>–</v>
          </cell>
          <cell r="U960" t="str">
            <v>–</v>
          </cell>
          <cell r="V960" t="str">
            <v>–</v>
          </cell>
          <cell r="W960">
            <v>0.375</v>
          </cell>
        </row>
        <row r="961">
          <cell r="B961" t="str">
            <v>2L6X3-1/2X3/8X3/4SLBB</v>
          </cell>
          <cell r="C961" t="str">
            <v>2L6X3-1/2X3/8X3/4SLBB</v>
          </cell>
          <cell r="D961" t="str">
            <v>F</v>
          </cell>
          <cell r="E961">
            <v>23.4</v>
          </cell>
          <cell r="F961">
            <v>6.88</v>
          </cell>
          <cell r="G961" t="str">
            <v>2L6X3-1/2X3/8X3/4SLBB</v>
          </cell>
          <cell r="H961">
            <v>3.5</v>
          </cell>
          <cell r="I961" t="str">
            <v>–</v>
          </cell>
          <cell r="J961" t="str">
            <v>–</v>
          </cell>
          <cell r="K961" t="str">
            <v>–</v>
          </cell>
          <cell r="L961" t="str">
            <v>–</v>
          </cell>
          <cell r="M961" t="str">
            <v>–</v>
          </cell>
          <cell r="N961" t="str">
            <v>–</v>
          </cell>
          <cell r="O961" t="str">
            <v>–</v>
          </cell>
          <cell r="P961">
            <v>6</v>
          </cell>
          <cell r="Q961" t="str">
            <v>–</v>
          </cell>
          <cell r="R961" t="str">
            <v>–</v>
          </cell>
          <cell r="S961" t="str">
            <v>–</v>
          </cell>
          <cell r="T961" t="str">
            <v>–</v>
          </cell>
          <cell r="U961" t="str">
            <v>–</v>
          </cell>
          <cell r="V961" t="str">
            <v>–</v>
          </cell>
          <cell r="W961">
            <v>0.375</v>
          </cell>
        </row>
        <row r="962">
          <cell r="B962" t="str">
            <v>2L6X3-1/2X5/16SLBB</v>
          </cell>
          <cell r="C962" t="str">
            <v>2L6X3-1/2X5/16SLBB</v>
          </cell>
          <cell r="D962" t="str">
            <v>F</v>
          </cell>
          <cell r="E962">
            <v>19.600000000000001</v>
          </cell>
          <cell r="F962">
            <v>5.78</v>
          </cell>
          <cell r="G962" t="str">
            <v>2L6X3-1/2X5/16SLBB</v>
          </cell>
          <cell r="H962">
            <v>3.5</v>
          </cell>
          <cell r="I962" t="str">
            <v>–</v>
          </cell>
          <cell r="J962" t="str">
            <v>–</v>
          </cell>
          <cell r="K962" t="str">
            <v>–</v>
          </cell>
          <cell r="L962" t="str">
            <v>–</v>
          </cell>
          <cell r="M962" t="str">
            <v>–</v>
          </cell>
          <cell r="N962" t="str">
            <v>–</v>
          </cell>
          <cell r="O962" t="str">
            <v>–</v>
          </cell>
          <cell r="P962">
            <v>6</v>
          </cell>
          <cell r="Q962" t="str">
            <v>–</v>
          </cell>
          <cell r="R962" t="str">
            <v>–</v>
          </cell>
          <cell r="S962" t="str">
            <v>–</v>
          </cell>
          <cell r="T962" t="str">
            <v>–</v>
          </cell>
          <cell r="U962" t="str">
            <v>–</v>
          </cell>
          <cell r="V962" t="str">
            <v>–</v>
          </cell>
          <cell r="W962">
            <v>0.313</v>
          </cell>
        </row>
        <row r="963">
          <cell r="B963" t="str">
            <v>2L6X3-1/2X5/16X3/8SLBB</v>
          </cell>
          <cell r="C963" t="str">
            <v>2L6X3-1/2X5/16X3/8SLBB</v>
          </cell>
          <cell r="D963" t="str">
            <v>F</v>
          </cell>
          <cell r="E963">
            <v>19.600000000000001</v>
          </cell>
          <cell r="F963">
            <v>5.78</v>
          </cell>
          <cell r="G963" t="str">
            <v>2L6X3-1/2X5/16X3/8SLBB</v>
          </cell>
          <cell r="H963">
            <v>3.5</v>
          </cell>
          <cell r="I963" t="str">
            <v>–</v>
          </cell>
          <cell r="J963" t="str">
            <v>–</v>
          </cell>
          <cell r="K963" t="str">
            <v>–</v>
          </cell>
          <cell r="L963" t="str">
            <v>–</v>
          </cell>
          <cell r="M963" t="str">
            <v>–</v>
          </cell>
          <cell r="N963" t="str">
            <v>–</v>
          </cell>
          <cell r="O963" t="str">
            <v>–</v>
          </cell>
          <cell r="P963">
            <v>6</v>
          </cell>
          <cell r="Q963" t="str">
            <v>–</v>
          </cell>
          <cell r="R963" t="str">
            <v>–</v>
          </cell>
          <cell r="S963" t="str">
            <v>–</v>
          </cell>
          <cell r="T963" t="str">
            <v>–</v>
          </cell>
          <cell r="U963" t="str">
            <v>–</v>
          </cell>
          <cell r="V963" t="str">
            <v>–</v>
          </cell>
          <cell r="W963">
            <v>0.313</v>
          </cell>
        </row>
        <row r="964">
          <cell r="B964" t="str">
            <v>2L6X3-1/2X5/16X3/4SLBB</v>
          </cell>
          <cell r="C964" t="str">
            <v>2L6X3-1/2X5/16X3/4SLBB</v>
          </cell>
          <cell r="D964" t="str">
            <v>F</v>
          </cell>
          <cell r="E964">
            <v>19.600000000000001</v>
          </cell>
          <cell r="F964">
            <v>5.78</v>
          </cell>
          <cell r="G964" t="str">
            <v>2L6X3-1/2X5/16X3/4SLBB</v>
          </cell>
          <cell r="H964">
            <v>3.5</v>
          </cell>
          <cell r="I964" t="str">
            <v>–</v>
          </cell>
          <cell r="J964" t="str">
            <v>–</v>
          </cell>
          <cell r="K964" t="str">
            <v>–</v>
          </cell>
          <cell r="L964" t="str">
            <v>–</v>
          </cell>
          <cell r="M964" t="str">
            <v>–</v>
          </cell>
          <cell r="N964" t="str">
            <v>–</v>
          </cell>
          <cell r="O964" t="str">
            <v>–</v>
          </cell>
          <cell r="P964">
            <v>6</v>
          </cell>
          <cell r="Q964" t="str">
            <v>–</v>
          </cell>
          <cell r="R964" t="str">
            <v>–</v>
          </cell>
          <cell r="S964" t="str">
            <v>–</v>
          </cell>
          <cell r="T964" t="str">
            <v>–</v>
          </cell>
          <cell r="U964" t="str">
            <v>–</v>
          </cell>
          <cell r="V964" t="str">
            <v>–</v>
          </cell>
          <cell r="W964">
            <v>0.313</v>
          </cell>
        </row>
        <row r="965">
          <cell r="B965" t="str">
            <v>2L5X3-1/2X3/4SLBB</v>
          </cell>
          <cell r="C965" t="str">
            <v>2L5X3-1/2X3/4SLBB</v>
          </cell>
          <cell r="D965" t="str">
            <v>F</v>
          </cell>
          <cell r="E965">
            <v>39.6</v>
          </cell>
          <cell r="F965">
            <v>11.7</v>
          </cell>
          <cell r="G965" t="str">
            <v>2L5X3-1/2X3/4SLBB</v>
          </cell>
          <cell r="H965">
            <v>3.5</v>
          </cell>
          <cell r="I965" t="str">
            <v>–</v>
          </cell>
          <cell r="J965" t="str">
            <v>–</v>
          </cell>
          <cell r="K965" t="str">
            <v>–</v>
          </cell>
          <cell r="L965" t="str">
            <v>–</v>
          </cell>
          <cell r="M965" t="str">
            <v>–</v>
          </cell>
          <cell r="N965" t="str">
            <v>–</v>
          </cell>
          <cell r="O965" t="str">
            <v>–</v>
          </cell>
          <cell r="P965">
            <v>5</v>
          </cell>
          <cell r="Q965" t="str">
            <v>–</v>
          </cell>
          <cell r="R965" t="str">
            <v>–</v>
          </cell>
          <cell r="S965" t="str">
            <v>–</v>
          </cell>
          <cell r="T965" t="str">
            <v>–</v>
          </cell>
          <cell r="U965" t="str">
            <v>–</v>
          </cell>
          <cell r="V965" t="str">
            <v>–</v>
          </cell>
          <cell r="W965">
            <v>0.75</v>
          </cell>
        </row>
        <row r="966">
          <cell r="B966" t="str">
            <v>2L5X3-1/2X3/4X3/8SLBB</v>
          </cell>
          <cell r="C966" t="str">
            <v>2L5X3-1/2X3/4X3/8SLBB</v>
          </cell>
          <cell r="D966" t="str">
            <v>F</v>
          </cell>
          <cell r="E966">
            <v>39.6</v>
          </cell>
          <cell r="F966">
            <v>11.7</v>
          </cell>
          <cell r="G966" t="str">
            <v>2L5X3-1/2X3/4X3/8SLBB</v>
          </cell>
          <cell r="H966">
            <v>3.5</v>
          </cell>
          <cell r="I966" t="str">
            <v>–</v>
          </cell>
          <cell r="J966" t="str">
            <v>–</v>
          </cell>
          <cell r="K966" t="str">
            <v>–</v>
          </cell>
          <cell r="L966" t="str">
            <v>–</v>
          </cell>
          <cell r="M966" t="str">
            <v>–</v>
          </cell>
          <cell r="N966" t="str">
            <v>–</v>
          </cell>
          <cell r="O966" t="str">
            <v>–</v>
          </cell>
          <cell r="P966">
            <v>5</v>
          </cell>
          <cell r="Q966" t="str">
            <v>–</v>
          </cell>
          <cell r="R966" t="str">
            <v>–</v>
          </cell>
          <cell r="S966" t="str">
            <v>–</v>
          </cell>
          <cell r="T966" t="str">
            <v>–</v>
          </cell>
          <cell r="U966" t="str">
            <v>–</v>
          </cell>
          <cell r="V966" t="str">
            <v>–</v>
          </cell>
          <cell r="W966">
            <v>0.75</v>
          </cell>
        </row>
        <row r="967">
          <cell r="B967" t="str">
            <v>2L5X3-1/2X3/4X3/4SLBB</v>
          </cell>
          <cell r="C967" t="str">
            <v>2L5X3-1/2X3/4X3/4SLBB</v>
          </cell>
          <cell r="D967" t="str">
            <v>F</v>
          </cell>
          <cell r="E967">
            <v>39.6</v>
          </cell>
          <cell r="F967">
            <v>11.7</v>
          </cell>
          <cell r="G967" t="str">
            <v>2L5X3-1/2X3/4X3/4SLBB</v>
          </cell>
          <cell r="H967">
            <v>3.5</v>
          </cell>
          <cell r="I967" t="str">
            <v>–</v>
          </cell>
          <cell r="J967" t="str">
            <v>–</v>
          </cell>
          <cell r="K967" t="str">
            <v>–</v>
          </cell>
          <cell r="L967" t="str">
            <v>–</v>
          </cell>
          <cell r="M967" t="str">
            <v>–</v>
          </cell>
          <cell r="N967" t="str">
            <v>–</v>
          </cell>
          <cell r="O967" t="str">
            <v>–</v>
          </cell>
          <cell r="P967">
            <v>5</v>
          </cell>
          <cell r="Q967" t="str">
            <v>–</v>
          </cell>
          <cell r="R967" t="str">
            <v>–</v>
          </cell>
          <cell r="S967" t="str">
            <v>–</v>
          </cell>
          <cell r="T967" t="str">
            <v>–</v>
          </cell>
          <cell r="U967" t="str">
            <v>–</v>
          </cell>
          <cell r="V967" t="str">
            <v>–</v>
          </cell>
          <cell r="W967">
            <v>0.75</v>
          </cell>
        </row>
        <row r="968">
          <cell r="B968" t="str">
            <v>2L5X3-1/2X5/8SLBB</v>
          </cell>
          <cell r="C968" t="str">
            <v>2L5X3-1/2X5/8SLBB</v>
          </cell>
          <cell r="D968" t="str">
            <v>F</v>
          </cell>
          <cell r="E968">
            <v>33.6</v>
          </cell>
          <cell r="F968">
            <v>9.86</v>
          </cell>
          <cell r="G968" t="str">
            <v>2L5X3-1/2X5/8SLBB</v>
          </cell>
          <cell r="H968">
            <v>3.5</v>
          </cell>
          <cell r="I968" t="str">
            <v>–</v>
          </cell>
          <cell r="J968" t="str">
            <v>–</v>
          </cell>
          <cell r="K968" t="str">
            <v>–</v>
          </cell>
          <cell r="L968" t="str">
            <v>–</v>
          </cell>
          <cell r="M968" t="str">
            <v>–</v>
          </cell>
          <cell r="N968" t="str">
            <v>–</v>
          </cell>
          <cell r="O968" t="str">
            <v>–</v>
          </cell>
          <cell r="P968">
            <v>5</v>
          </cell>
          <cell r="Q968" t="str">
            <v>–</v>
          </cell>
          <cell r="R968" t="str">
            <v>–</v>
          </cell>
          <cell r="S968" t="str">
            <v>–</v>
          </cell>
          <cell r="T968" t="str">
            <v>–</v>
          </cell>
          <cell r="U968" t="str">
            <v>–</v>
          </cell>
          <cell r="V968" t="str">
            <v>–</v>
          </cell>
          <cell r="W968">
            <v>0.625</v>
          </cell>
        </row>
        <row r="969">
          <cell r="B969" t="str">
            <v>2L5X3-1/2X5/8X3/8SLBB</v>
          </cell>
          <cell r="C969" t="str">
            <v>2L5X3-1/2X5/8X3/8SLBB</v>
          </cell>
          <cell r="D969" t="str">
            <v>F</v>
          </cell>
          <cell r="E969">
            <v>33.6</v>
          </cell>
          <cell r="F969">
            <v>9.86</v>
          </cell>
          <cell r="G969" t="str">
            <v>2L5X3-1/2X5/8X3/8SLBB</v>
          </cell>
          <cell r="H969">
            <v>3.5</v>
          </cell>
          <cell r="I969" t="str">
            <v>–</v>
          </cell>
          <cell r="J969" t="str">
            <v>–</v>
          </cell>
          <cell r="K969" t="str">
            <v>–</v>
          </cell>
          <cell r="L969" t="str">
            <v>–</v>
          </cell>
          <cell r="M969" t="str">
            <v>–</v>
          </cell>
          <cell r="N969" t="str">
            <v>–</v>
          </cell>
          <cell r="O969" t="str">
            <v>–</v>
          </cell>
          <cell r="P969">
            <v>5</v>
          </cell>
          <cell r="Q969" t="str">
            <v>–</v>
          </cell>
          <cell r="R969" t="str">
            <v>–</v>
          </cell>
          <cell r="S969" t="str">
            <v>–</v>
          </cell>
          <cell r="T969" t="str">
            <v>–</v>
          </cell>
          <cell r="U969" t="str">
            <v>–</v>
          </cell>
          <cell r="V969" t="str">
            <v>–</v>
          </cell>
          <cell r="W969">
            <v>0.625</v>
          </cell>
        </row>
        <row r="970">
          <cell r="B970" t="str">
            <v>2L5X3-1/2X5/8X3/4SLBB</v>
          </cell>
          <cell r="C970" t="str">
            <v>2L5X3-1/2X5/8X3/4SLBB</v>
          </cell>
          <cell r="D970" t="str">
            <v>F</v>
          </cell>
          <cell r="E970">
            <v>33.6</v>
          </cell>
          <cell r="F970">
            <v>9.86</v>
          </cell>
          <cell r="G970" t="str">
            <v>2L5X3-1/2X5/8X3/4SLBB</v>
          </cell>
          <cell r="H970">
            <v>3.5</v>
          </cell>
          <cell r="I970" t="str">
            <v>–</v>
          </cell>
          <cell r="J970" t="str">
            <v>–</v>
          </cell>
          <cell r="K970" t="str">
            <v>–</v>
          </cell>
          <cell r="L970" t="str">
            <v>–</v>
          </cell>
          <cell r="M970" t="str">
            <v>–</v>
          </cell>
          <cell r="N970" t="str">
            <v>–</v>
          </cell>
          <cell r="O970" t="str">
            <v>–</v>
          </cell>
          <cell r="P970">
            <v>5</v>
          </cell>
          <cell r="Q970" t="str">
            <v>–</v>
          </cell>
          <cell r="R970" t="str">
            <v>–</v>
          </cell>
          <cell r="S970" t="str">
            <v>–</v>
          </cell>
          <cell r="T970" t="str">
            <v>–</v>
          </cell>
          <cell r="U970" t="str">
            <v>–</v>
          </cell>
          <cell r="V970" t="str">
            <v>–</v>
          </cell>
          <cell r="W970">
            <v>0.625</v>
          </cell>
        </row>
        <row r="971">
          <cell r="B971" t="str">
            <v>2L5X3-1/2X1/2SLBB</v>
          </cell>
          <cell r="C971" t="str">
            <v>2L5X3-1/2X1/2SLBB</v>
          </cell>
          <cell r="D971" t="str">
            <v>F</v>
          </cell>
          <cell r="E971">
            <v>27.2</v>
          </cell>
          <cell r="F971">
            <v>8</v>
          </cell>
          <cell r="G971" t="str">
            <v>2L5X3-1/2X1/2SLBB</v>
          </cell>
          <cell r="H971">
            <v>3.5</v>
          </cell>
          <cell r="I971" t="str">
            <v>–</v>
          </cell>
          <cell r="J971" t="str">
            <v>–</v>
          </cell>
          <cell r="K971" t="str">
            <v>–</v>
          </cell>
          <cell r="L971" t="str">
            <v>–</v>
          </cell>
          <cell r="M971" t="str">
            <v>–</v>
          </cell>
          <cell r="N971" t="str">
            <v>–</v>
          </cell>
          <cell r="O971" t="str">
            <v>–</v>
          </cell>
          <cell r="P971">
            <v>5</v>
          </cell>
          <cell r="Q971" t="str">
            <v>–</v>
          </cell>
          <cell r="R971" t="str">
            <v>–</v>
          </cell>
          <cell r="S971" t="str">
            <v>–</v>
          </cell>
          <cell r="T971" t="str">
            <v>–</v>
          </cell>
          <cell r="U971" t="str">
            <v>–</v>
          </cell>
          <cell r="V971" t="str">
            <v>–</v>
          </cell>
          <cell r="W971">
            <v>0.5</v>
          </cell>
        </row>
        <row r="972">
          <cell r="B972" t="str">
            <v>2L5X3-1/2X1/2X3/8SLBB</v>
          </cell>
          <cell r="C972" t="str">
            <v>2L5X3-1/2X1/2X3/8SLBB</v>
          </cell>
          <cell r="D972" t="str">
            <v>F</v>
          </cell>
          <cell r="E972">
            <v>27.2</v>
          </cell>
          <cell r="F972">
            <v>8</v>
          </cell>
          <cell r="G972" t="str">
            <v>2L5X3-1/2X1/2X3/8SLBB</v>
          </cell>
          <cell r="H972">
            <v>3.5</v>
          </cell>
          <cell r="I972" t="str">
            <v>–</v>
          </cell>
          <cell r="J972" t="str">
            <v>–</v>
          </cell>
          <cell r="K972" t="str">
            <v>–</v>
          </cell>
          <cell r="L972" t="str">
            <v>–</v>
          </cell>
          <cell r="M972" t="str">
            <v>–</v>
          </cell>
          <cell r="N972" t="str">
            <v>–</v>
          </cell>
          <cell r="O972" t="str">
            <v>–</v>
          </cell>
          <cell r="P972">
            <v>5</v>
          </cell>
          <cell r="Q972" t="str">
            <v>–</v>
          </cell>
          <cell r="R972" t="str">
            <v>–</v>
          </cell>
          <cell r="S972" t="str">
            <v>–</v>
          </cell>
          <cell r="T972" t="str">
            <v>–</v>
          </cell>
          <cell r="U972" t="str">
            <v>–</v>
          </cell>
          <cell r="V972" t="str">
            <v>–</v>
          </cell>
          <cell r="W972">
            <v>0.5</v>
          </cell>
        </row>
        <row r="973">
          <cell r="B973" t="str">
            <v>2L5X3-1/2X1/2X3/4SLBB</v>
          </cell>
          <cell r="C973" t="str">
            <v>2L5X3-1/2X1/2X3/4SLBB</v>
          </cell>
          <cell r="D973" t="str">
            <v>F</v>
          </cell>
          <cell r="E973">
            <v>27.2</v>
          </cell>
          <cell r="F973">
            <v>8</v>
          </cell>
          <cell r="G973" t="str">
            <v>2L5X3-1/2X1/2X3/4SLBB</v>
          </cell>
          <cell r="H973">
            <v>3.5</v>
          </cell>
          <cell r="I973" t="str">
            <v>–</v>
          </cell>
          <cell r="J973" t="str">
            <v>–</v>
          </cell>
          <cell r="K973" t="str">
            <v>–</v>
          </cell>
          <cell r="L973" t="str">
            <v>–</v>
          </cell>
          <cell r="M973" t="str">
            <v>–</v>
          </cell>
          <cell r="N973" t="str">
            <v>–</v>
          </cell>
          <cell r="O973" t="str">
            <v>–</v>
          </cell>
          <cell r="P973">
            <v>5</v>
          </cell>
          <cell r="Q973" t="str">
            <v>–</v>
          </cell>
          <cell r="R973" t="str">
            <v>–</v>
          </cell>
          <cell r="S973" t="str">
            <v>–</v>
          </cell>
          <cell r="T973" t="str">
            <v>–</v>
          </cell>
          <cell r="U973" t="str">
            <v>–</v>
          </cell>
          <cell r="V973" t="str">
            <v>–</v>
          </cell>
          <cell r="W973">
            <v>0.5</v>
          </cell>
        </row>
        <row r="974">
          <cell r="B974" t="str">
            <v>2L5X3-1/2X3/8SLBB</v>
          </cell>
          <cell r="C974" t="str">
            <v>2L5X3-1/2X3/8SLBB</v>
          </cell>
          <cell r="D974" t="str">
            <v>F</v>
          </cell>
          <cell r="E974">
            <v>20.8</v>
          </cell>
          <cell r="F974">
            <v>6.1</v>
          </cell>
          <cell r="G974" t="str">
            <v>2L5X3-1/2X3/8SLBB</v>
          </cell>
          <cell r="H974">
            <v>3.5</v>
          </cell>
          <cell r="I974" t="str">
            <v>–</v>
          </cell>
          <cell r="J974" t="str">
            <v>–</v>
          </cell>
          <cell r="K974" t="str">
            <v>–</v>
          </cell>
          <cell r="L974" t="str">
            <v>–</v>
          </cell>
          <cell r="M974" t="str">
            <v>–</v>
          </cell>
          <cell r="N974" t="str">
            <v>–</v>
          </cell>
          <cell r="O974" t="str">
            <v>–</v>
          </cell>
          <cell r="P974">
            <v>5</v>
          </cell>
          <cell r="Q974" t="str">
            <v>–</v>
          </cell>
          <cell r="R974" t="str">
            <v>–</v>
          </cell>
          <cell r="S974" t="str">
            <v>–</v>
          </cell>
          <cell r="T974" t="str">
            <v>–</v>
          </cell>
          <cell r="U974" t="str">
            <v>–</v>
          </cell>
          <cell r="V974" t="str">
            <v>–</v>
          </cell>
          <cell r="W974">
            <v>0.375</v>
          </cell>
        </row>
        <row r="975">
          <cell r="B975" t="str">
            <v>2L5X3-1/2X3/8X3/8SLBB</v>
          </cell>
          <cell r="C975" t="str">
            <v>2L5X3-1/2X3/8X3/8SLBB</v>
          </cell>
          <cell r="D975" t="str">
            <v>F</v>
          </cell>
          <cell r="E975">
            <v>20.8</v>
          </cell>
          <cell r="F975">
            <v>6.1</v>
          </cell>
          <cell r="G975" t="str">
            <v>2L5X3-1/2X3/8X3/8SLBB</v>
          </cell>
          <cell r="H975">
            <v>3.5</v>
          </cell>
          <cell r="I975" t="str">
            <v>–</v>
          </cell>
          <cell r="J975" t="str">
            <v>–</v>
          </cell>
          <cell r="K975" t="str">
            <v>–</v>
          </cell>
          <cell r="L975" t="str">
            <v>–</v>
          </cell>
          <cell r="M975" t="str">
            <v>–</v>
          </cell>
          <cell r="N975" t="str">
            <v>–</v>
          </cell>
          <cell r="O975" t="str">
            <v>–</v>
          </cell>
          <cell r="P975">
            <v>5</v>
          </cell>
          <cell r="Q975" t="str">
            <v>–</v>
          </cell>
          <cell r="R975" t="str">
            <v>–</v>
          </cell>
          <cell r="S975" t="str">
            <v>–</v>
          </cell>
          <cell r="T975" t="str">
            <v>–</v>
          </cell>
          <cell r="U975" t="str">
            <v>–</v>
          </cell>
          <cell r="V975" t="str">
            <v>–</v>
          </cell>
          <cell r="W975">
            <v>0.375</v>
          </cell>
        </row>
        <row r="976">
          <cell r="B976" t="str">
            <v>2L5X3-1/2X3/8X3/4SLBB</v>
          </cell>
          <cell r="C976" t="str">
            <v>2L5X3-1/2X3/8X3/4SLBB</v>
          </cell>
          <cell r="D976" t="str">
            <v>F</v>
          </cell>
          <cell r="E976">
            <v>20.8</v>
          </cell>
          <cell r="F976">
            <v>6.1</v>
          </cell>
          <cell r="G976" t="str">
            <v>2L5X3-1/2X3/8X3/4SLBB</v>
          </cell>
          <cell r="H976">
            <v>3.5</v>
          </cell>
          <cell r="I976" t="str">
            <v>–</v>
          </cell>
          <cell r="J976" t="str">
            <v>–</v>
          </cell>
          <cell r="K976" t="str">
            <v>–</v>
          </cell>
          <cell r="L976" t="str">
            <v>–</v>
          </cell>
          <cell r="M976" t="str">
            <v>–</v>
          </cell>
          <cell r="N976" t="str">
            <v>–</v>
          </cell>
          <cell r="O976" t="str">
            <v>–</v>
          </cell>
          <cell r="P976">
            <v>5</v>
          </cell>
          <cell r="Q976" t="str">
            <v>–</v>
          </cell>
          <cell r="R976" t="str">
            <v>–</v>
          </cell>
          <cell r="S976" t="str">
            <v>–</v>
          </cell>
          <cell r="T976" t="str">
            <v>–</v>
          </cell>
          <cell r="U976" t="str">
            <v>–</v>
          </cell>
          <cell r="V976" t="str">
            <v>–</v>
          </cell>
          <cell r="W976">
            <v>0.375</v>
          </cell>
        </row>
        <row r="977">
          <cell r="B977" t="str">
            <v>2L5X3-1/2X5/16SLBB</v>
          </cell>
          <cell r="C977" t="str">
            <v>2L5X3-1/2X5/16SLBB</v>
          </cell>
          <cell r="D977" t="str">
            <v>F</v>
          </cell>
          <cell r="E977">
            <v>17.399999999999999</v>
          </cell>
          <cell r="F977">
            <v>5.12</v>
          </cell>
          <cell r="G977" t="str">
            <v>2L5X3-1/2X5/16SLBB</v>
          </cell>
          <cell r="H977">
            <v>3.5</v>
          </cell>
          <cell r="I977" t="str">
            <v>–</v>
          </cell>
          <cell r="J977" t="str">
            <v>–</v>
          </cell>
          <cell r="K977" t="str">
            <v>–</v>
          </cell>
          <cell r="L977" t="str">
            <v>–</v>
          </cell>
          <cell r="M977" t="str">
            <v>–</v>
          </cell>
          <cell r="N977" t="str">
            <v>–</v>
          </cell>
          <cell r="O977" t="str">
            <v>–</v>
          </cell>
          <cell r="P977">
            <v>5</v>
          </cell>
          <cell r="Q977" t="str">
            <v>–</v>
          </cell>
          <cell r="R977" t="str">
            <v>–</v>
          </cell>
          <cell r="S977" t="str">
            <v>–</v>
          </cell>
          <cell r="T977" t="str">
            <v>–</v>
          </cell>
          <cell r="U977" t="str">
            <v>–</v>
          </cell>
          <cell r="V977" t="str">
            <v>–</v>
          </cell>
          <cell r="W977">
            <v>0.313</v>
          </cell>
        </row>
        <row r="978">
          <cell r="B978" t="str">
            <v>2L5X3-1/2X5/16X3/8SLBB</v>
          </cell>
          <cell r="C978" t="str">
            <v>2L5X3-1/2X5/16X3/8SLBB</v>
          </cell>
          <cell r="D978" t="str">
            <v>F</v>
          </cell>
          <cell r="E978">
            <v>17.399999999999999</v>
          </cell>
          <cell r="F978">
            <v>5.12</v>
          </cell>
          <cell r="G978" t="str">
            <v>2L5X3-1/2X5/16X3/8SLBB</v>
          </cell>
          <cell r="H978">
            <v>3.5</v>
          </cell>
          <cell r="I978" t="str">
            <v>–</v>
          </cell>
          <cell r="J978" t="str">
            <v>–</v>
          </cell>
          <cell r="K978" t="str">
            <v>–</v>
          </cell>
          <cell r="L978" t="str">
            <v>–</v>
          </cell>
          <cell r="M978" t="str">
            <v>–</v>
          </cell>
          <cell r="N978" t="str">
            <v>–</v>
          </cell>
          <cell r="O978" t="str">
            <v>–</v>
          </cell>
          <cell r="P978">
            <v>5</v>
          </cell>
          <cell r="Q978" t="str">
            <v>–</v>
          </cell>
          <cell r="R978" t="str">
            <v>–</v>
          </cell>
          <cell r="S978" t="str">
            <v>–</v>
          </cell>
          <cell r="T978" t="str">
            <v>–</v>
          </cell>
          <cell r="U978" t="str">
            <v>–</v>
          </cell>
          <cell r="V978" t="str">
            <v>–</v>
          </cell>
          <cell r="W978">
            <v>0.313</v>
          </cell>
        </row>
        <row r="979">
          <cell r="B979" t="str">
            <v>2L5X3-1/2X5/16X3/4SLBB</v>
          </cell>
          <cell r="C979" t="str">
            <v>2L5X3-1/2X5/16X3/4SLBB</v>
          </cell>
          <cell r="D979" t="str">
            <v>F</v>
          </cell>
          <cell r="E979">
            <v>17.399999999999999</v>
          </cell>
          <cell r="F979">
            <v>5.12</v>
          </cell>
          <cell r="G979" t="str">
            <v>2L5X3-1/2X5/16X3/4SLBB</v>
          </cell>
          <cell r="H979">
            <v>3.5</v>
          </cell>
          <cell r="I979" t="str">
            <v>–</v>
          </cell>
          <cell r="J979" t="str">
            <v>–</v>
          </cell>
          <cell r="K979" t="str">
            <v>–</v>
          </cell>
          <cell r="L979" t="str">
            <v>–</v>
          </cell>
          <cell r="M979" t="str">
            <v>–</v>
          </cell>
          <cell r="N979" t="str">
            <v>–</v>
          </cell>
          <cell r="O979" t="str">
            <v>–</v>
          </cell>
          <cell r="P979">
            <v>5</v>
          </cell>
          <cell r="Q979" t="str">
            <v>–</v>
          </cell>
          <cell r="R979" t="str">
            <v>–</v>
          </cell>
          <cell r="S979" t="str">
            <v>–</v>
          </cell>
          <cell r="T979" t="str">
            <v>–</v>
          </cell>
          <cell r="U979" t="str">
            <v>–</v>
          </cell>
          <cell r="V979" t="str">
            <v>–</v>
          </cell>
          <cell r="W979">
            <v>0.313</v>
          </cell>
        </row>
        <row r="980">
          <cell r="B980" t="str">
            <v>2L5X3-1/2X1/4SLBB</v>
          </cell>
          <cell r="C980" t="str">
            <v>2L5X3-1/2X1/4SLBB</v>
          </cell>
          <cell r="D980" t="str">
            <v>F</v>
          </cell>
          <cell r="E980">
            <v>14</v>
          </cell>
          <cell r="F980">
            <v>4.1399999999999997</v>
          </cell>
          <cell r="G980" t="str">
            <v>2L5X3-1/2X1/4SLBB</v>
          </cell>
          <cell r="H980">
            <v>3.5</v>
          </cell>
          <cell r="I980" t="str">
            <v>–</v>
          </cell>
          <cell r="J980" t="str">
            <v>–</v>
          </cell>
          <cell r="K980" t="str">
            <v>–</v>
          </cell>
          <cell r="L980" t="str">
            <v>–</v>
          </cell>
          <cell r="M980" t="str">
            <v>–</v>
          </cell>
          <cell r="N980" t="str">
            <v>–</v>
          </cell>
          <cell r="O980" t="str">
            <v>–</v>
          </cell>
          <cell r="P980">
            <v>5</v>
          </cell>
          <cell r="Q980" t="str">
            <v>–</v>
          </cell>
          <cell r="R980" t="str">
            <v>–</v>
          </cell>
          <cell r="S980" t="str">
            <v>–</v>
          </cell>
          <cell r="T980" t="str">
            <v>–</v>
          </cell>
          <cell r="U980" t="str">
            <v>–</v>
          </cell>
          <cell r="V980" t="str">
            <v>–</v>
          </cell>
          <cell r="W980">
            <v>0.25</v>
          </cell>
        </row>
        <row r="981">
          <cell r="B981" t="str">
            <v>2L5X3-1/2X1/4X3/8SLBB</v>
          </cell>
          <cell r="C981" t="str">
            <v>2L5X3-1/2X1/4X3/8SLBB</v>
          </cell>
          <cell r="D981" t="str">
            <v>F</v>
          </cell>
          <cell r="E981">
            <v>14</v>
          </cell>
          <cell r="F981">
            <v>4.1399999999999997</v>
          </cell>
          <cell r="G981" t="str">
            <v>2L5X3-1/2X1/4X3/8SLBB</v>
          </cell>
          <cell r="H981">
            <v>3.5</v>
          </cell>
          <cell r="I981" t="str">
            <v>–</v>
          </cell>
          <cell r="J981" t="str">
            <v>–</v>
          </cell>
          <cell r="K981" t="str">
            <v>–</v>
          </cell>
          <cell r="L981" t="str">
            <v>–</v>
          </cell>
          <cell r="M981" t="str">
            <v>–</v>
          </cell>
          <cell r="N981" t="str">
            <v>–</v>
          </cell>
          <cell r="O981" t="str">
            <v>–</v>
          </cell>
          <cell r="P981">
            <v>5</v>
          </cell>
          <cell r="Q981" t="str">
            <v>–</v>
          </cell>
          <cell r="R981" t="str">
            <v>–</v>
          </cell>
          <cell r="S981" t="str">
            <v>–</v>
          </cell>
          <cell r="T981" t="str">
            <v>–</v>
          </cell>
          <cell r="U981" t="str">
            <v>–</v>
          </cell>
          <cell r="V981" t="str">
            <v>–</v>
          </cell>
          <cell r="W981">
            <v>0.25</v>
          </cell>
        </row>
        <row r="982">
          <cell r="B982" t="str">
            <v>2L5X3-1/2X1/4X3/4SLBB</v>
          </cell>
          <cell r="C982" t="str">
            <v>2L5X3-1/2X1/4X3/4SLBB</v>
          </cell>
          <cell r="D982" t="str">
            <v>F</v>
          </cell>
          <cell r="E982">
            <v>14</v>
          </cell>
          <cell r="F982">
            <v>4.1399999999999997</v>
          </cell>
          <cell r="G982" t="str">
            <v>2L5X3-1/2X1/4X3/4SLBB</v>
          </cell>
          <cell r="H982">
            <v>3.5</v>
          </cell>
          <cell r="I982" t="str">
            <v>–</v>
          </cell>
          <cell r="J982" t="str">
            <v>–</v>
          </cell>
          <cell r="K982" t="str">
            <v>–</v>
          </cell>
          <cell r="L982" t="str">
            <v>–</v>
          </cell>
          <cell r="M982" t="str">
            <v>–</v>
          </cell>
          <cell r="N982" t="str">
            <v>–</v>
          </cell>
          <cell r="O982" t="str">
            <v>–</v>
          </cell>
          <cell r="P982">
            <v>5</v>
          </cell>
          <cell r="Q982" t="str">
            <v>–</v>
          </cell>
          <cell r="R982" t="str">
            <v>–</v>
          </cell>
          <cell r="S982" t="str">
            <v>–</v>
          </cell>
          <cell r="T982" t="str">
            <v>–</v>
          </cell>
          <cell r="U982" t="str">
            <v>–</v>
          </cell>
          <cell r="V982" t="str">
            <v>–</v>
          </cell>
          <cell r="W982">
            <v>0.25</v>
          </cell>
        </row>
        <row r="983">
          <cell r="B983" t="str">
            <v>2L5X3X1/2SLBB</v>
          </cell>
          <cell r="C983" t="str">
            <v>2L5X3X1/2SLBB</v>
          </cell>
          <cell r="D983" t="str">
            <v>F</v>
          </cell>
          <cell r="E983">
            <v>25.6</v>
          </cell>
          <cell r="F983">
            <v>7.5</v>
          </cell>
          <cell r="G983" t="str">
            <v>2L5X3X1/2SLBB</v>
          </cell>
          <cell r="H983">
            <v>3</v>
          </cell>
          <cell r="I983" t="str">
            <v>–</v>
          </cell>
          <cell r="J983" t="str">
            <v>–</v>
          </cell>
          <cell r="K983" t="str">
            <v>–</v>
          </cell>
          <cell r="L983" t="str">
            <v>–</v>
          </cell>
          <cell r="M983" t="str">
            <v>–</v>
          </cell>
          <cell r="N983" t="str">
            <v>–</v>
          </cell>
          <cell r="O983" t="str">
            <v>–</v>
          </cell>
          <cell r="P983">
            <v>5</v>
          </cell>
          <cell r="Q983" t="str">
            <v>–</v>
          </cell>
          <cell r="R983" t="str">
            <v>–</v>
          </cell>
          <cell r="S983" t="str">
            <v>–</v>
          </cell>
          <cell r="T983" t="str">
            <v>–</v>
          </cell>
          <cell r="U983" t="str">
            <v>–</v>
          </cell>
          <cell r="V983" t="str">
            <v>–</v>
          </cell>
          <cell r="W983">
            <v>0.5</v>
          </cell>
        </row>
        <row r="984">
          <cell r="B984" t="str">
            <v>2L5X3X1/2X3/8SLBB</v>
          </cell>
          <cell r="C984" t="str">
            <v>2L5X3X1/2X3/8SLBB</v>
          </cell>
          <cell r="D984" t="str">
            <v>F</v>
          </cell>
          <cell r="E984">
            <v>25.6</v>
          </cell>
          <cell r="F984">
            <v>7.5</v>
          </cell>
          <cell r="G984" t="str">
            <v>2L5X3X1/2X3/8SLBB</v>
          </cell>
          <cell r="H984">
            <v>3</v>
          </cell>
          <cell r="I984" t="str">
            <v>–</v>
          </cell>
          <cell r="J984" t="str">
            <v>–</v>
          </cell>
          <cell r="K984" t="str">
            <v>–</v>
          </cell>
          <cell r="L984" t="str">
            <v>–</v>
          </cell>
          <cell r="M984" t="str">
            <v>–</v>
          </cell>
          <cell r="N984" t="str">
            <v>–</v>
          </cell>
          <cell r="O984" t="str">
            <v>–</v>
          </cell>
          <cell r="P984">
            <v>5</v>
          </cell>
          <cell r="Q984" t="str">
            <v>–</v>
          </cell>
          <cell r="R984" t="str">
            <v>–</v>
          </cell>
          <cell r="S984" t="str">
            <v>–</v>
          </cell>
          <cell r="T984" t="str">
            <v>–</v>
          </cell>
          <cell r="U984" t="str">
            <v>–</v>
          </cell>
          <cell r="V984" t="str">
            <v>–</v>
          </cell>
          <cell r="W984">
            <v>0.5</v>
          </cell>
        </row>
        <row r="985">
          <cell r="B985" t="str">
            <v>2L5X3X1/2X3/4SLBB</v>
          </cell>
          <cell r="C985" t="str">
            <v>2L5X3X1/2X3/4SLBB</v>
          </cell>
          <cell r="D985" t="str">
            <v>F</v>
          </cell>
          <cell r="E985">
            <v>25.6</v>
          </cell>
          <cell r="F985">
            <v>7.5</v>
          </cell>
          <cell r="G985" t="str">
            <v>2L5X3X1/2X3/4SLBB</v>
          </cell>
          <cell r="H985">
            <v>3</v>
          </cell>
          <cell r="I985" t="str">
            <v>–</v>
          </cell>
          <cell r="J985" t="str">
            <v>–</v>
          </cell>
          <cell r="K985" t="str">
            <v>–</v>
          </cell>
          <cell r="L985" t="str">
            <v>–</v>
          </cell>
          <cell r="M985" t="str">
            <v>–</v>
          </cell>
          <cell r="N985" t="str">
            <v>–</v>
          </cell>
          <cell r="O985" t="str">
            <v>–</v>
          </cell>
          <cell r="P985">
            <v>5</v>
          </cell>
          <cell r="Q985" t="str">
            <v>–</v>
          </cell>
          <cell r="R985" t="str">
            <v>–</v>
          </cell>
          <cell r="S985" t="str">
            <v>–</v>
          </cell>
          <cell r="T985" t="str">
            <v>–</v>
          </cell>
          <cell r="U985" t="str">
            <v>–</v>
          </cell>
          <cell r="V985" t="str">
            <v>–</v>
          </cell>
          <cell r="W985">
            <v>0.5</v>
          </cell>
        </row>
        <row r="986">
          <cell r="B986" t="str">
            <v>2L5X3X7/16SLBB</v>
          </cell>
          <cell r="C986" t="str">
            <v>2L5X3X7/16SLBB</v>
          </cell>
          <cell r="D986" t="str">
            <v>F</v>
          </cell>
          <cell r="E986">
            <v>22.6</v>
          </cell>
          <cell r="F986">
            <v>6.62</v>
          </cell>
          <cell r="G986" t="str">
            <v>2L5X3X7/16SLBB</v>
          </cell>
          <cell r="H986">
            <v>3</v>
          </cell>
          <cell r="I986" t="str">
            <v>–</v>
          </cell>
          <cell r="J986" t="str">
            <v>–</v>
          </cell>
          <cell r="K986" t="str">
            <v>–</v>
          </cell>
          <cell r="L986" t="str">
            <v>–</v>
          </cell>
          <cell r="M986" t="str">
            <v>–</v>
          </cell>
          <cell r="N986" t="str">
            <v>–</v>
          </cell>
          <cell r="O986" t="str">
            <v>–</v>
          </cell>
          <cell r="P986">
            <v>5</v>
          </cell>
          <cell r="Q986" t="str">
            <v>–</v>
          </cell>
          <cell r="R986" t="str">
            <v>–</v>
          </cell>
          <cell r="S986" t="str">
            <v>–</v>
          </cell>
          <cell r="T986" t="str">
            <v>–</v>
          </cell>
          <cell r="U986" t="str">
            <v>–</v>
          </cell>
          <cell r="V986" t="str">
            <v>–</v>
          </cell>
          <cell r="W986">
            <v>0.438</v>
          </cell>
        </row>
        <row r="987">
          <cell r="B987" t="str">
            <v>2L5X3X7/16X3/8SLBB</v>
          </cell>
          <cell r="C987" t="str">
            <v>2L5X3X7/16X3/8SLBB</v>
          </cell>
          <cell r="D987" t="str">
            <v>F</v>
          </cell>
          <cell r="E987">
            <v>22.6</v>
          </cell>
          <cell r="F987">
            <v>6.62</v>
          </cell>
          <cell r="G987" t="str">
            <v>2L5X3X7/16X3/8SLBB</v>
          </cell>
          <cell r="H987">
            <v>3</v>
          </cell>
          <cell r="I987" t="str">
            <v>–</v>
          </cell>
          <cell r="J987" t="str">
            <v>–</v>
          </cell>
          <cell r="K987" t="str">
            <v>–</v>
          </cell>
          <cell r="L987" t="str">
            <v>–</v>
          </cell>
          <cell r="M987" t="str">
            <v>–</v>
          </cell>
          <cell r="N987" t="str">
            <v>–</v>
          </cell>
          <cell r="O987" t="str">
            <v>–</v>
          </cell>
          <cell r="P987">
            <v>5</v>
          </cell>
          <cell r="Q987" t="str">
            <v>–</v>
          </cell>
          <cell r="R987" t="str">
            <v>–</v>
          </cell>
          <cell r="S987" t="str">
            <v>–</v>
          </cell>
          <cell r="T987" t="str">
            <v>–</v>
          </cell>
          <cell r="U987" t="str">
            <v>–</v>
          </cell>
          <cell r="V987" t="str">
            <v>–</v>
          </cell>
          <cell r="W987">
            <v>0.438</v>
          </cell>
        </row>
        <row r="988">
          <cell r="B988" t="str">
            <v>2L5X3X7/16X3/4SLBB</v>
          </cell>
          <cell r="C988" t="str">
            <v>2L5X3X7/16X3/4SLBB</v>
          </cell>
          <cell r="D988" t="str">
            <v>F</v>
          </cell>
          <cell r="E988">
            <v>22.6</v>
          </cell>
          <cell r="F988">
            <v>6.62</v>
          </cell>
          <cell r="G988" t="str">
            <v>2L5X3X7/16X3/4SLBB</v>
          </cell>
          <cell r="H988">
            <v>3</v>
          </cell>
          <cell r="I988" t="str">
            <v>–</v>
          </cell>
          <cell r="J988" t="str">
            <v>–</v>
          </cell>
          <cell r="K988" t="str">
            <v>–</v>
          </cell>
          <cell r="L988" t="str">
            <v>–</v>
          </cell>
          <cell r="M988" t="str">
            <v>–</v>
          </cell>
          <cell r="N988" t="str">
            <v>–</v>
          </cell>
          <cell r="O988" t="str">
            <v>–</v>
          </cell>
          <cell r="P988">
            <v>5</v>
          </cell>
          <cell r="Q988" t="str">
            <v>–</v>
          </cell>
          <cell r="R988" t="str">
            <v>–</v>
          </cell>
          <cell r="S988" t="str">
            <v>–</v>
          </cell>
          <cell r="T988" t="str">
            <v>–</v>
          </cell>
          <cell r="U988" t="str">
            <v>–</v>
          </cell>
          <cell r="V988" t="str">
            <v>–</v>
          </cell>
          <cell r="W988">
            <v>0.438</v>
          </cell>
        </row>
        <row r="989">
          <cell r="B989" t="str">
            <v>2L5X3X3/8SLBB</v>
          </cell>
          <cell r="C989" t="str">
            <v>2L5X3X3/8SLBB</v>
          </cell>
          <cell r="D989" t="str">
            <v>F</v>
          </cell>
          <cell r="E989">
            <v>19.600000000000001</v>
          </cell>
          <cell r="F989">
            <v>5.72</v>
          </cell>
          <cell r="G989" t="str">
            <v>2L5X3X3/8SLBB</v>
          </cell>
          <cell r="H989">
            <v>3</v>
          </cell>
          <cell r="I989" t="str">
            <v>–</v>
          </cell>
          <cell r="J989" t="str">
            <v>–</v>
          </cell>
          <cell r="K989" t="str">
            <v>–</v>
          </cell>
          <cell r="L989" t="str">
            <v>–</v>
          </cell>
          <cell r="M989" t="str">
            <v>–</v>
          </cell>
          <cell r="N989" t="str">
            <v>–</v>
          </cell>
          <cell r="O989" t="str">
            <v>–</v>
          </cell>
          <cell r="P989">
            <v>5</v>
          </cell>
          <cell r="Q989" t="str">
            <v>–</v>
          </cell>
          <cell r="R989" t="str">
            <v>–</v>
          </cell>
          <cell r="S989" t="str">
            <v>–</v>
          </cell>
          <cell r="T989" t="str">
            <v>–</v>
          </cell>
          <cell r="U989" t="str">
            <v>–</v>
          </cell>
          <cell r="V989" t="str">
            <v>–</v>
          </cell>
          <cell r="W989">
            <v>0.375</v>
          </cell>
        </row>
        <row r="990">
          <cell r="B990" t="str">
            <v>2L5X3X3/8X3/8SLBB</v>
          </cell>
          <cell r="C990" t="str">
            <v>2L5X3X3/8X3/8SLBB</v>
          </cell>
          <cell r="D990" t="str">
            <v>F</v>
          </cell>
          <cell r="E990">
            <v>19.600000000000001</v>
          </cell>
          <cell r="F990">
            <v>5.72</v>
          </cell>
          <cell r="G990" t="str">
            <v>2L5X3X3/8X3/8SLBB</v>
          </cell>
          <cell r="H990">
            <v>3</v>
          </cell>
          <cell r="I990" t="str">
            <v>–</v>
          </cell>
          <cell r="J990" t="str">
            <v>–</v>
          </cell>
          <cell r="K990" t="str">
            <v>–</v>
          </cell>
          <cell r="L990" t="str">
            <v>–</v>
          </cell>
          <cell r="M990" t="str">
            <v>–</v>
          </cell>
          <cell r="N990" t="str">
            <v>–</v>
          </cell>
          <cell r="O990" t="str">
            <v>–</v>
          </cell>
          <cell r="P990">
            <v>5</v>
          </cell>
          <cell r="Q990" t="str">
            <v>–</v>
          </cell>
          <cell r="R990" t="str">
            <v>–</v>
          </cell>
          <cell r="S990" t="str">
            <v>–</v>
          </cell>
          <cell r="T990" t="str">
            <v>–</v>
          </cell>
          <cell r="U990" t="str">
            <v>–</v>
          </cell>
          <cell r="V990" t="str">
            <v>–</v>
          </cell>
          <cell r="W990">
            <v>0.375</v>
          </cell>
        </row>
        <row r="991">
          <cell r="B991" t="str">
            <v>2L5X3X3/8X3/4SLBB</v>
          </cell>
          <cell r="C991" t="str">
            <v>2L5X3X3/8X3/4SLBB</v>
          </cell>
          <cell r="D991" t="str">
            <v>F</v>
          </cell>
          <cell r="E991">
            <v>19.600000000000001</v>
          </cell>
          <cell r="F991">
            <v>5.72</v>
          </cell>
          <cell r="G991" t="str">
            <v>2L5X3X3/8X3/4SLBB</v>
          </cell>
          <cell r="H991">
            <v>3</v>
          </cell>
          <cell r="I991" t="str">
            <v>–</v>
          </cell>
          <cell r="J991" t="str">
            <v>–</v>
          </cell>
          <cell r="K991" t="str">
            <v>–</v>
          </cell>
          <cell r="L991" t="str">
            <v>–</v>
          </cell>
          <cell r="M991" t="str">
            <v>–</v>
          </cell>
          <cell r="N991" t="str">
            <v>–</v>
          </cell>
          <cell r="O991" t="str">
            <v>–</v>
          </cell>
          <cell r="P991">
            <v>5</v>
          </cell>
          <cell r="Q991" t="str">
            <v>–</v>
          </cell>
          <cell r="R991" t="str">
            <v>–</v>
          </cell>
          <cell r="S991" t="str">
            <v>–</v>
          </cell>
          <cell r="T991" t="str">
            <v>–</v>
          </cell>
          <cell r="U991" t="str">
            <v>–</v>
          </cell>
          <cell r="V991" t="str">
            <v>–</v>
          </cell>
          <cell r="W991">
            <v>0.375</v>
          </cell>
        </row>
        <row r="992">
          <cell r="B992" t="str">
            <v>2L5X3X5/16SLBB</v>
          </cell>
          <cell r="C992" t="str">
            <v>2L5X3X5/16SLBB</v>
          </cell>
          <cell r="D992" t="str">
            <v>F</v>
          </cell>
          <cell r="E992">
            <v>16.399999999999999</v>
          </cell>
          <cell r="F992">
            <v>4.82</v>
          </cell>
          <cell r="G992" t="str">
            <v>2L5X3X5/16SLBB</v>
          </cell>
          <cell r="H992">
            <v>3</v>
          </cell>
          <cell r="I992" t="str">
            <v>–</v>
          </cell>
          <cell r="J992" t="str">
            <v>–</v>
          </cell>
          <cell r="K992" t="str">
            <v>–</v>
          </cell>
          <cell r="L992" t="str">
            <v>–</v>
          </cell>
          <cell r="M992" t="str">
            <v>–</v>
          </cell>
          <cell r="N992" t="str">
            <v>–</v>
          </cell>
          <cell r="O992" t="str">
            <v>–</v>
          </cell>
          <cell r="P992">
            <v>5</v>
          </cell>
          <cell r="Q992" t="str">
            <v>–</v>
          </cell>
          <cell r="R992" t="str">
            <v>–</v>
          </cell>
          <cell r="S992" t="str">
            <v>–</v>
          </cell>
          <cell r="T992" t="str">
            <v>–</v>
          </cell>
          <cell r="U992" t="str">
            <v>–</v>
          </cell>
          <cell r="V992" t="str">
            <v>–</v>
          </cell>
          <cell r="W992">
            <v>0.313</v>
          </cell>
        </row>
        <row r="993">
          <cell r="B993" t="str">
            <v>2L5X3X5/16X3/8SLBB</v>
          </cell>
          <cell r="C993" t="str">
            <v>2L5X3X5/16X3/8SLBB</v>
          </cell>
          <cell r="D993" t="str">
            <v>F</v>
          </cell>
          <cell r="E993">
            <v>16.399999999999999</v>
          </cell>
          <cell r="F993">
            <v>4.82</v>
          </cell>
          <cell r="G993" t="str">
            <v>2L5X3X5/16X3/8SLBB</v>
          </cell>
          <cell r="H993">
            <v>3</v>
          </cell>
          <cell r="I993" t="str">
            <v>–</v>
          </cell>
          <cell r="J993" t="str">
            <v>–</v>
          </cell>
          <cell r="K993" t="str">
            <v>–</v>
          </cell>
          <cell r="L993" t="str">
            <v>–</v>
          </cell>
          <cell r="M993" t="str">
            <v>–</v>
          </cell>
          <cell r="N993" t="str">
            <v>–</v>
          </cell>
          <cell r="O993" t="str">
            <v>–</v>
          </cell>
          <cell r="P993">
            <v>5</v>
          </cell>
          <cell r="Q993" t="str">
            <v>–</v>
          </cell>
          <cell r="R993" t="str">
            <v>–</v>
          </cell>
          <cell r="S993" t="str">
            <v>–</v>
          </cell>
          <cell r="T993" t="str">
            <v>–</v>
          </cell>
          <cell r="U993" t="str">
            <v>–</v>
          </cell>
          <cell r="V993" t="str">
            <v>–</v>
          </cell>
          <cell r="W993">
            <v>0.313</v>
          </cell>
        </row>
        <row r="994">
          <cell r="B994" t="str">
            <v>2L5X3X5/16X3/4SLBB</v>
          </cell>
          <cell r="C994" t="str">
            <v>2L5X3X5/16X3/4SLBB</v>
          </cell>
          <cell r="D994" t="str">
            <v>F</v>
          </cell>
          <cell r="E994">
            <v>16.399999999999999</v>
          </cell>
          <cell r="F994">
            <v>4.82</v>
          </cell>
          <cell r="G994" t="str">
            <v>2L5X3X5/16X3/4SLBB</v>
          </cell>
          <cell r="H994">
            <v>3</v>
          </cell>
          <cell r="I994" t="str">
            <v>–</v>
          </cell>
          <cell r="J994" t="str">
            <v>–</v>
          </cell>
          <cell r="K994" t="str">
            <v>–</v>
          </cell>
          <cell r="L994" t="str">
            <v>–</v>
          </cell>
          <cell r="M994" t="str">
            <v>–</v>
          </cell>
          <cell r="N994" t="str">
            <v>–</v>
          </cell>
          <cell r="O994" t="str">
            <v>–</v>
          </cell>
          <cell r="P994">
            <v>5</v>
          </cell>
          <cell r="Q994" t="str">
            <v>–</v>
          </cell>
          <cell r="R994" t="str">
            <v>–</v>
          </cell>
          <cell r="S994" t="str">
            <v>–</v>
          </cell>
          <cell r="T994" t="str">
            <v>–</v>
          </cell>
          <cell r="U994" t="str">
            <v>–</v>
          </cell>
          <cell r="V994" t="str">
            <v>–</v>
          </cell>
          <cell r="W994">
            <v>0.313</v>
          </cell>
        </row>
        <row r="995">
          <cell r="B995" t="str">
            <v>2L5X3X1/4SLBB</v>
          </cell>
          <cell r="C995" t="str">
            <v>2L5X3X1/4SLBB</v>
          </cell>
          <cell r="D995" t="str">
            <v>F</v>
          </cell>
          <cell r="E995">
            <v>13.2</v>
          </cell>
          <cell r="F995">
            <v>3.88</v>
          </cell>
          <cell r="G995" t="str">
            <v>2L5X3X1/4SLBB</v>
          </cell>
          <cell r="H995">
            <v>3</v>
          </cell>
          <cell r="I995" t="str">
            <v>–</v>
          </cell>
          <cell r="J995" t="str">
            <v>–</v>
          </cell>
          <cell r="K995" t="str">
            <v>–</v>
          </cell>
          <cell r="L995" t="str">
            <v>–</v>
          </cell>
          <cell r="M995" t="str">
            <v>–</v>
          </cell>
          <cell r="N995" t="str">
            <v>–</v>
          </cell>
          <cell r="O995" t="str">
            <v>–</v>
          </cell>
          <cell r="P995">
            <v>5</v>
          </cell>
          <cell r="Q995" t="str">
            <v>–</v>
          </cell>
          <cell r="R995" t="str">
            <v>–</v>
          </cell>
          <cell r="S995" t="str">
            <v>–</v>
          </cell>
          <cell r="T995" t="str">
            <v>–</v>
          </cell>
          <cell r="U995" t="str">
            <v>–</v>
          </cell>
          <cell r="V995" t="str">
            <v>–</v>
          </cell>
          <cell r="W995">
            <v>0.25</v>
          </cell>
        </row>
        <row r="996">
          <cell r="B996" t="str">
            <v>2L5X3X1/4X3/8SLBB</v>
          </cell>
          <cell r="C996" t="str">
            <v>2L5X3X1/4X3/8SLBB</v>
          </cell>
          <cell r="D996" t="str">
            <v>F</v>
          </cell>
          <cell r="E996">
            <v>13.2</v>
          </cell>
          <cell r="F996">
            <v>3.88</v>
          </cell>
          <cell r="G996" t="str">
            <v>2L5X3X1/4X3/8SLBB</v>
          </cell>
          <cell r="H996">
            <v>3</v>
          </cell>
          <cell r="I996" t="str">
            <v>–</v>
          </cell>
          <cell r="J996" t="str">
            <v>–</v>
          </cell>
          <cell r="K996" t="str">
            <v>–</v>
          </cell>
          <cell r="L996" t="str">
            <v>–</v>
          </cell>
          <cell r="M996" t="str">
            <v>–</v>
          </cell>
          <cell r="N996" t="str">
            <v>–</v>
          </cell>
          <cell r="O996" t="str">
            <v>–</v>
          </cell>
          <cell r="P996">
            <v>5</v>
          </cell>
          <cell r="Q996" t="str">
            <v>–</v>
          </cell>
          <cell r="R996" t="str">
            <v>–</v>
          </cell>
          <cell r="S996" t="str">
            <v>–</v>
          </cell>
          <cell r="T996" t="str">
            <v>–</v>
          </cell>
          <cell r="U996" t="str">
            <v>–</v>
          </cell>
          <cell r="V996" t="str">
            <v>–</v>
          </cell>
          <cell r="W996">
            <v>0.25</v>
          </cell>
        </row>
        <row r="997">
          <cell r="B997" t="str">
            <v>2L5X3X1/4X3/4SLBB</v>
          </cell>
          <cell r="C997" t="str">
            <v>2L5X3X1/4X3/4SLBB</v>
          </cell>
          <cell r="D997" t="str">
            <v>F</v>
          </cell>
          <cell r="E997">
            <v>13.2</v>
          </cell>
          <cell r="F997">
            <v>3.88</v>
          </cell>
          <cell r="G997" t="str">
            <v>2L5X3X1/4X3/4SLBB</v>
          </cell>
          <cell r="H997">
            <v>3</v>
          </cell>
          <cell r="I997" t="str">
            <v>–</v>
          </cell>
          <cell r="J997" t="str">
            <v>–</v>
          </cell>
          <cell r="K997" t="str">
            <v>–</v>
          </cell>
          <cell r="L997" t="str">
            <v>–</v>
          </cell>
          <cell r="M997" t="str">
            <v>–</v>
          </cell>
          <cell r="N997" t="str">
            <v>–</v>
          </cell>
          <cell r="O997" t="str">
            <v>–</v>
          </cell>
          <cell r="P997">
            <v>5</v>
          </cell>
          <cell r="Q997" t="str">
            <v>–</v>
          </cell>
          <cell r="R997" t="str">
            <v>–</v>
          </cell>
          <cell r="S997" t="str">
            <v>–</v>
          </cell>
          <cell r="T997" t="str">
            <v>–</v>
          </cell>
          <cell r="U997" t="str">
            <v>–</v>
          </cell>
          <cell r="V997" t="str">
            <v>–</v>
          </cell>
          <cell r="W997">
            <v>0.25</v>
          </cell>
        </row>
        <row r="998">
          <cell r="B998" t="str">
            <v>2L4X3-1/2X1/2SLBB</v>
          </cell>
          <cell r="C998" t="str">
            <v>2L4X3-1/2X1/2SLBB</v>
          </cell>
          <cell r="D998" t="str">
            <v>F</v>
          </cell>
          <cell r="E998">
            <v>23.8</v>
          </cell>
          <cell r="F998">
            <v>7</v>
          </cell>
          <cell r="G998" t="str">
            <v>2L4X3-1/2X1/2SLBB</v>
          </cell>
          <cell r="H998">
            <v>3.5</v>
          </cell>
          <cell r="I998" t="str">
            <v>–</v>
          </cell>
          <cell r="J998" t="str">
            <v>–</v>
          </cell>
          <cell r="K998" t="str">
            <v>–</v>
          </cell>
          <cell r="L998" t="str">
            <v>–</v>
          </cell>
          <cell r="M998" t="str">
            <v>–</v>
          </cell>
          <cell r="N998" t="str">
            <v>–</v>
          </cell>
          <cell r="O998" t="str">
            <v>–</v>
          </cell>
          <cell r="P998">
            <v>4</v>
          </cell>
          <cell r="Q998" t="str">
            <v>–</v>
          </cell>
          <cell r="R998" t="str">
            <v>–</v>
          </cell>
          <cell r="S998" t="str">
            <v>–</v>
          </cell>
          <cell r="T998" t="str">
            <v>–</v>
          </cell>
          <cell r="U998" t="str">
            <v>–</v>
          </cell>
          <cell r="V998" t="str">
            <v>–</v>
          </cell>
          <cell r="W998">
            <v>0.5</v>
          </cell>
        </row>
        <row r="999">
          <cell r="B999" t="str">
            <v>2L4X3-1/2X1/2X3/8SLBB</v>
          </cell>
          <cell r="C999" t="str">
            <v>2L4X3-1/2X1/2X3/8SLBB</v>
          </cell>
          <cell r="D999" t="str">
            <v>F</v>
          </cell>
          <cell r="E999">
            <v>23.8</v>
          </cell>
          <cell r="F999">
            <v>7</v>
          </cell>
          <cell r="G999" t="str">
            <v>2L4X3-1/2X1/2X3/8SLBB</v>
          </cell>
          <cell r="H999">
            <v>3.5</v>
          </cell>
          <cell r="I999" t="str">
            <v>–</v>
          </cell>
          <cell r="J999" t="str">
            <v>–</v>
          </cell>
          <cell r="K999" t="str">
            <v>–</v>
          </cell>
          <cell r="L999" t="str">
            <v>–</v>
          </cell>
          <cell r="M999" t="str">
            <v>–</v>
          </cell>
          <cell r="N999" t="str">
            <v>–</v>
          </cell>
          <cell r="O999" t="str">
            <v>–</v>
          </cell>
          <cell r="P999">
            <v>4</v>
          </cell>
          <cell r="Q999" t="str">
            <v>–</v>
          </cell>
          <cell r="R999" t="str">
            <v>–</v>
          </cell>
          <cell r="S999" t="str">
            <v>–</v>
          </cell>
          <cell r="T999" t="str">
            <v>–</v>
          </cell>
          <cell r="U999" t="str">
            <v>–</v>
          </cell>
          <cell r="V999" t="str">
            <v>–</v>
          </cell>
          <cell r="W999">
            <v>0.5</v>
          </cell>
        </row>
        <row r="1000">
          <cell r="B1000" t="str">
            <v>2L4X3-1/2X1/2X3/4SLBB</v>
          </cell>
          <cell r="C1000" t="str">
            <v>2L4X3-1/2X1/2X3/4SLBB</v>
          </cell>
          <cell r="D1000" t="str">
            <v>F</v>
          </cell>
          <cell r="E1000">
            <v>23.8</v>
          </cell>
          <cell r="F1000">
            <v>7</v>
          </cell>
          <cell r="G1000" t="str">
            <v>2L4X3-1/2X1/2X3/4SLBB</v>
          </cell>
          <cell r="H1000">
            <v>3.5</v>
          </cell>
          <cell r="I1000" t="str">
            <v>–</v>
          </cell>
          <cell r="J1000" t="str">
            <v>–</v>
          </cell>
          <cell r="K1000" t="str">
            <v>–</v>
          </cell>
          <cell r="L1000" t="str">
            <v>–</v>
          </cell>
          <cell r="M1000" t="str">
            <v>–</v>
          </cell>
          <cell r="N1000" t="str">
            <v>–</v>
          </cell>
          <cell r="O1000" t="str">
            <v>–</v>
          </cell>
          <cell r="P1000">
            <v>4</v>
          </cell>
          <cell r="Q1000" t="str">
            <v>–</v>
          </cell>
          <cell r="R1000" t="str">
            <v>–</v>
          </cell>
          <cell r="S1000" t="str">
            <v>–</v>
          </cell>
          <cell r="T1000" t="str">
            <v>–</v>
          </cell>
          <cell r="U1000" t="str">
            <v>–</v>
          </cell>
          <cell r="V1000" t="str">
            <v>–</v>
          </cell>
          <cell r="W1000">
            <v>0.5</v>
          </cell>
        </row>
        <row r="1001">
          <cell r="B1001" t="str">
            <v>2L4X3-1/2X3/8SLBB</v>
          </cell>
          <cell r="C1001" t="str">
            <v>2L4X3-1/2X3/8SLBB</v>
          </cell>
          <cell r="D1001" t="str">
            <v>F</v>
          </cell>
          <cell r="E1001">
            <v>18.2</v>
          </cell>
          <cell r="F1001">
            <v>5.36</v>
          </cell>
          <cell r="G1001" t="str">
            <v>2L4X3-1/2X3/8SLBB</v>
          </cell>
          <cell r="H1001">
            <v>3.5</v>
          </cell>
          <cell r="I1001" t="str">
            <v>–</v>
          </cell>
          <cell r="J1001" t="str">
            <v>–</v>
          </cell>
          <cell r="K1001" t="str">
            <v>–</v>
          </cell>
          <cell r="L1001" t="str">
            <v>–</v>
          </cell>
          <cell r="M1001" t="str">
            <v>–</v>
          </cell>
          <cell r="N1001" t="str">
            <v>–</v>
          </cell>
          <cell r="O1001" t="str">
            <v>–</v>
          </cell>
          <cell r="P1001">
            <v>4</v>
          </cell>
          <cell r="Q1001" t="str">
            <v>–</v>
          </cell>
          <cell r="R1001" t="str">
            <v>–</v>
          </cell>
          <cell r="S1001" t="str">
            <v>–</v>
          </cell>
          <cell r="T1001" t="str">
            <v>–</v>
          </cell>
          <cell r="U1001" t="str">
            <v>–</v>
          </cell>
          <cell r="V1001" t="str">
            <v>–</v>
          </cell>
          <cell r="W1001">
            <v>0.375</v>
          </cell>
        </row>
        <row r="1002">
          <cell r="B1002" t="str">
            <v>2L4X3-1/2X3/8X3/8SLBB</v>
          </cell>
          <cell r="C1002" t="str">
            <v>2L4X3-1/2X3/8X3/8SLBB</v>
          </cell>
          <cell r="D1002" t="str">
            <v>F</v>
          </cell>
          <cell r="E1002">
            <v>18.2</v>
          </cell>
          <cell r="F1002">
            <v>5.36</v>
          </cell>
          <cell r="G1002" t="str">
            <v>2L4X3-1/2X3/8X3/8SLBB</v>
          </cell>
          <cell r="H1002">
            <v>3.5</v>
          </cell>
          <cell r="I1002" t="str">
            <v>–</v>
          </cell>
          <cell r="J1002" t="str">
            <v>–</v>
          </cell>
          <cell r="K1002" t="str">
            <v>–</v>
          </cell>
          <cell r="L1002" t="str">
            <v>–</v>
          </cell>
          <cell r="M1002" t="str">
            <v>–</v>
          </cell>
          <cell r="N1002" t="str">
            <v>–</v>
          </cell>
          <cell r="O1002" t="str">
            <v>–</v>
          </cell>
          <cell r="P1002">
            <v>4</v>
          </cell>
          <cell r="Q1002" t="str">
            <v>–</v>
          </cell>
          <cell r="R1002" t="str">
            <v>–</v>
          </cell>
          <cell r="S1002" t="str">
            <v>–</v>
          </cell>
          <cell r="T1002" t="str">
            <v>–</v>
          </cell>
          <cell r="U1002" t="str">
            <v>–</v>
          </cell>
          <cell r="V1002" t="str">
            <v>–</v>
          </cell>
          <cell r="W1002">
            <v>0.375</v>
          </cell>
        </row>
        <row r="1003">
          <cell r="B1003" t="str">
            <v>2L4X3-1/2X3/8X3/4SLBB</v>
          </cell>
          <cell r="C1003" t="str">
            <v>2L4X3-1/2X3/8X3/4SLBB</v>
          </cell>
          <cell r="D1003" t="str">
            <v>F</v>
          </cell>
          <cell r="E1003">
            <v>18.2</v>
          </cell>
          <cell r="F1003">
            <v>5.36</v>
          </cell>
          <cell r="G1003" t="str">
            <v>2L4X3-1/2X3/8X3/4SLBB</v>
          </cell>
          <cell r="H1003">
            <v>3.5</v>
          </cell>
          <cell r="I1003" t="str">
            <v>–</v>
          </cell>
          <cell r="J1003" t="str">
            <v>–</v>
          </cell>
          <cell r="K1003" t="str">
            <v>–</v>
          </cell>
          <cell r="L1003" t="str">
            <v>–</v>
          </cell>
          <cell r="M1003" t="str">
            <v>–</v>
          </cell>
          <cell r="N1003" t="str">
            <v>–</v>
          </cell>
          <cell r="O1003" t="str">
            <v>–</v>
          </cell>
          <cell r="P1003">
            <v>4</v>
          </cell>
          <cell r="Q1003" t="str">
            <v>–</v>
          </cell>
          <cell r="R1003" t="str">
            <v>–</v>
          </cell>
          <cell r="S1003" t="str">
            <v>–</v>
          </cell>
          <cell r="T1003" t="str">
            <v>–</v>
          </cell>
          <cell r="U1003" t="str">
            <v>–</v>
          </cell>
          <cell r="V1003" t="str">
            <v>–</v>
          </cell>
          <cell r="W1003">
            <v>0.375</v>
          </cell>
        </row>
        <row r="1004">
          <cell r="B1004" t="str">
            <v>2L4X3-1/2X5/16SLBB</v>
          </cell>
          <cell r="C1004" t="str">
            <v>2L4X3-1/2X5/16SLBB</v>
          </cell>
          <cell r="D1004" t="str">
            <v>F</v>
          </cell>
          <cell r="E1004">
            <v>15.4</v>
          </cell>
          <cell r="F1004">
            <v>4.5</v>
          </cell>
          <cell r="G1004" t="str">
            <v>2L4X3-1/2X5/16SLBB</v>
          </cell>
          <cell r="H1004">
            <v>3.5</v>
          </cell>
          <cell r="I1004" t="str">
            <v>–</v>
          </cell>
          <cell r="J1004" t="str">
            <v>–</v>
          </cell>
          <cell r="K1004" t="str">
            <v>–</v>
          </cell>
          <cell r="L1004" t="str">
            <v>–</v>
          </cell>
          <cell r="M1004" t="str">
            <v>–</v>
          </cell>
          <cell r="N1004" t="str">
            <v>–</v>
          </cell>
          <cell r="O1004" t="str">
            <v>–</v>
          </cell>
          <cell r="P1004">
            <v>4</v>
          </cell>
          <cell r="Q1004" t="str">
            <v>–</v>
          </cell>
          <cell r="R1004" t="str">
            <v>–</v>
          </cell>
          <cell r="S1004" t="str">
            <v>–</v>
          </cell>
          <cell r="T1004" t="str">
            <v>–</v>
          </cell>
          <cell r="U1004" t="str">
            <v>–</v>
          </cell>
          <cell r="V1004" t="str">
            <v>–</v>
          </cell>
          <cell r="W1004">
            <v>0.313</v>
          </cell>
        </row>
        <row r="1005">
          <cell r="B1005" t="str">
            <v>2L4X3-1/2X5/16X3/8SLBB</v>
          </cell>
          <cell r="C1005" t="str">
            <v>2L4X3-1/2X5/16X3/8SLBB</v>
          </cell>
          <cell r="D1005" t="str">
            <v>F</v>
          </cell>
          <cell r="E1005">
            <v>15.4</v>
          </cell>
          <cell r="F1005">
            <v>4.5</v>
          </cell>
          <cell r="G1005" t="str">
            <v>2L4X3-1/2X5/16X3/8SLBB</v>
          </cell>
          <cell r="H1005">
            <v>3.5</v>
          </cell>
          <cell r="I1005" t="str">
            <v>–</v>
          </cell>
          <cell r="J1005" t="str">
            <v>–</v>
          </cell>
          <cell r="K1005" t="str">
            <v>–</v>
          </cell>
          <cell r="L1005" t="str">
            <v>–</v>
          </cell>
          <cell r="M1005" t="str">
            <v>–</v>
          </cell>
          <cell r="N1005" t="str">
            <v>–</v>
          </cell>
          <cell r="O1005" t="str">
            <v>–</v>
          </cell>
          <cell r="P1005">
            <v>4</v>
          </cell>
          <cell r="Q1005" t="str">
            <v>–</v>
          </cell>
          <cell r="R1005" t="str">
            <v>–</v>
          </cell>
          <cell r="S1005" t="str">
            <v>–</v>
          </cell>
          <cell r="T1005" t="str">
            <v>–</v>
          </cell>
          <cell r="U1005" t="str">
            <v>–</v>
          </cell>
          <cell r="V1005" t="str">
            <v>–</v>
          </cell>
          <cell r="W1005">
            <v>0.313</v>
          </cell>
        </row>
        <row r="1006">
          <cell r="B1006" t="str">
            <v>2L4X3-1/2X5/16X3/4SLBB</v>
          </cell>
          <cell r="C1006" t="str">
            <v>2L4X3-1/2X5/16X3/4SLBB</v>
          </cell>
          <cell r="D1006" t="str">
            <v>F</v>
          </cell>
          <cell r="E1006">
            <v>15.4</v>
          </cell>
          <cell r="F1006">
            <v>4.5</v>
          </cell>
          <cell r="G1006" t="str">
            <v>2L4X3-1/2X5/16X3/4SLBB</v>
          </cell>
          <cell r="H1006">
            <v>3.5</v>
          </cell>
          <cell r="I1006" t="str">
            <v>–</v>
          </cell>
          <cell r="J1006" t="str">
            <v>–</v>
          </cell>
          <cell r="K1006" t="str">
            <v>–</v>
          </cell>
          <cell r="L1006" t="str">
            <v>–</v>
          </cell>
          <cell r="M1006" t="str">
            <v>–</v>
          </cell>
          <cell r="N1006" t="str">
            <v>–</v>
          </cell>
          <cell r="O1006" t="str">
            <v>–</v>
          </cell>
          <cell r="P1006">
            <v>4</v>
          </cell>
          <cell r="Q1006" t="str">
            <v>–</v>
          </cell>
          <cell r="R1006" t="str">
            <v>–</v>
          </cell>
          <cell r="S1006" t="str">
            <v>–</v>
          </cell>
          <cell r="T1006" t="str">
            <v>–</v>
          </cell>
          <cell r="U1006" t="str">
            <v>–</v>
          </cell>
          <cell r="V1006" t="str">
            <v>–</v>
          </cell>
          <cell r="W1006">
            <v>0.313</v>
          </cell>
        </row>
        <row r="1007">
          <cell r="B1007" t="str">
            <v>2L4X3-1/2X1/4SLBB</v>
          </cell>
          <cell r="C1007" t="str">
            <v>2L4X3-1/2X1/4SLBB</v>
          </cell>
          <cell r="D1007" t="str">
            <v>F</v>
          </cell>
          <cell r="E1007">
            <v>12.4</v>
          </cell>
          <cell r="F1007">
            <v>3.64</v>
          </cell>
          <cell r="G1007" t="str">
            <v>2L4X3-1/2X1/4SLBB</v>
          </cell>
          <cell r="H1007">
            <v>3.5</v>
          </cell>
          <cell r="I1007" t="str">
            <v>–</v>
          </cell>
          <cell r="J1007" t="str">
            <v>–</v>
          </cell>
          <cell r="K1007" t="str">
            <v>–</v>
          </cell>
          <cell r="L1007" t="str">
            <v>–</v>
          </cell>
          <cell r="M1007" t="str">
            <v>–</v>
          </cell>
          <cell r="N1007" t="str">
            <v>–</v>
          </cell>
          <cell r="O1007" t="str">
            <v>–</v>
          </cell>
          <cell r="P1007">
            <v>4</v>
          </cell>
          <cell r="Q1007" t="str">
            <v>–</v>
          </cell>
          <cell r="R1007" t="str">
            <v>–</v>
          </cell>
          <cell r="S1007" t="str">
            <v>–</v>
          </cell>
          <cell r="T1007" t="str">
            <v>–</v>
          </cell>
          <cell r="U1007" t="str">
            <v>–</v>
          </cell>
          <cell r="V1007" t="str">
            <v>–</v>
          </cell>
          <cell r="W1007">
            <v>0.25</v>
          </cell>
        </row>
        <row r="1008">
          <cell r="B1008" t="str">
            <v>2L4X3-1/2X1/4X3/8SLBB</v>
          </cell>
          <cell r="C1008" t="str">
            <v>2L4X3-1/2X1/4X3/8SLBB</v>
          </cell>
          <cell r="D1008" t="str">
            <v>F</v>
          </cell>
          <cell r="E1008">
            <v>12.4</v>
          </cell>
          <cell r="F1008">
            <v>3.64</v>
          </cell>
          <cell r="G1008" t="str">
            <v>2L4X3-1/2X1/4X3/8SLBB</v>
          </cell>
          <cell r="H1008">
            <v>3.5</v>
          </cell>
          <cell r="I1008" t="str">
            <v>–</v>
          </cell>
          <cell r="J1008" t="str">
            <v>–</v>
          </cell>
          <cell r="K1008" t="str">
            <v>–</v>
          </cell>
          <cell r="L1008" t="str">
            <v>–</v>
          </cell>
          <cell r="M1008" t="str">
            <v>–</v>
          </cell>
          <cell r="N1008" t="str">
            <v>–</v>
          </cell>
          <cell r="O1008" t="str">
            <v>–</v>
          </cell>
          <cell r="P1008">
            <v>4</v>
          </cell>
          <cell r="Q1008" t="str">
            <v>–</v>
          </cell>
          <cell r="R1008" t="str">
            <v>–</v>
          </cell>
          <cell r="S1008" t="str">
            <v>–</v>
          </cell>
          <cell r="T1008" t="str">
            <v>–</v>
          </cell>
          <cell r="U1008" t="str">
            <v>–</v>
          </cell>
          <cell r="V1008" t="str">
            <v>–</v>
          </cell>
          <cell r="W1008">
            <v>0.25</v>
          </cell>
        </row>
        <row r="1009">
          <cell r="B1009" t="str">
            <v>2L4X3-1/2X1/4X3/4SLBB</v>
          </cell>
          <cell r="C1009" t="str">
            <v>2L4X3-1/2X1/4X3/4SLBB</v>
          </cell>
          <cell r="D1009" t="str">
            <v>F</v>
          </cell>
          <cell r="E1009">
            <v>12.4</v>
          </cell>
          <cell r="F1009">
            <v>3.64</v>
          </cell>
          <cell r="G1009" t="str">
            <v>2L4X3-1/2X1/4X3/4SLBB</v>
          </cell>
          <cell r="H1009">
            <v>3.5</v>
          </cell>
          <cell r="I1009" t="str">
            <v>–</v>
          </cell>
          <cell r="J1009" t="str">
            <v>–</v>
          </cell>
          <cell r="K1009" t="str">
            <v>–</v>
          </cell>
          <cell r="L1009" t="str">
            <v>–</v>
          </cell>
          <cell r="M1009" t="str">
            <v>–</v>
          </cell>
          <cell r="N1009" t="str">
            <v>–</v>
          </cell>
          <cell r="O1009" t="str">
            <v>–</v>
          </cell>
          <cell r="P1009">
            <v>4</v>
          </cell>
          <cell r="Q1009" t="str">
            <v>–</v>
          </cell>
          <cell r="R1009" t="str">
            <v>–</v>
          </cell>
          <cell r="S1009" t="str">
            <v>–</v>
          </cell>
          <cell r="T1009" t="str">
            <v>–</v>
          </cell>
          <cell r="U1009" t="str">
            <v>–</v>
          </cell>
          <cell r="V1009" t="str">
            <v>–</v>
          </cell>
          <cell r="W1009">
            <v>0.25</v>
          </cell>
        </row>
        <row r="1010">
          <cell r="B1010" t="str">
            <v>2L4X3X5/8SLBB</v>
          </cell>
          <cell r="C1010" t="str">
            <v>2L4X3X5/8SLBB</v>
          </cell>
          <cell r="D1010" t="str">
            <v>F</v>
          </cell>
          <cell r="E1010">
            <v>27.2</v>
          </cell>
          <cell r="F1010">
            <v>7.98</v>
          </cell>
          <cell r="G1010" t="str">
            <v>2L4X3X5/8SLBB</v>
          </cell>
          <cell r="H1010">
            <v>3</v>
          </cell>
          <cell r="I1010" t="str">
            <v>–</v>
          </cell>
          <cell r="J1010" t="str">
            <v>–</v>
          </cell>
          <cell r="K1010" t="str">
            <v>–</v>
          </cell>
          <cell r="L1010" t="str">
            <v>–</v>
          </cell>
          <cell r="M1010" t="str">
            <v>–</v>
          </cell>
          <cell r="N1010" t="str">
            <v>–</v>
          </cell>
          <cell r="O1010" t="str">
            <v>–</v>
          </cell>
          <cell r="P1010">
            <v>4</v>
          </cell>
          <cell r="Q1010" t="str">
            <v>–</v>
          </cell>
          <cell r="R1010" t="str">
            <v>–</v>
          </cell>
          <cell r="S1010" t="str">
            <v>–</v>
          </cell>
          <cell r="T1010" t="str">
            <v>–</v>
          </cell>
          <cell r="U1010" t="str">
            <v>–</v>
          </cell>
          <cell r="V1010" t="str">
            <v>–</v>
          </cell>
          <cell r="W1010">
            <v>0.625</v>
          </cell>
        </row>
        <row r="1011">
          <cell r="B1011" t="str">
            <v>2L4X3X5/8X3/8SLBB</v>
          </cell>
          <cell r="C1011" t="str">
            <v>2L4X3X5/8X3/8SLBB</v>
          </cell>
          <cell r="D1011" t="str">
            <v>F</v>
          </cell>
          <cell r="E1011">
            <v>27.2</v>
          </cell>
          <cell r="F1011">
            <v>7.98</v>
          </cell>
          <cell r="G1011" t="str">
            <v>2L4X3X5/8X3/8SLBB</v>
          </cell>
          <cell r="H1011">
            <v>3</v>
          </cell>
          <cell r="I1011" t="str">
            <v>–</v>
          </cell>
          <cell r="J1011" t="str">
            <v>–</v>
          </cell>
          <cell r="K1011" t="str">
            <v>–</v>
          </cell>
          <cell r="L1011" t="str">
            <v>–</v>
          </cell>
          <cell r="M1011" t="str">
            <v>–</v>
          </cell>
          <cell r="N1011" t="str">
            <v>–</v>
          </cell>
          <cell r="O1011" t="str">
            <v>–</v>
          </cell>
          <cell r="P1011">
            <v>4</v>
          </cell>
          <cell r="Q1011" t="str">
            <v>–</v>
          </cell>
          <cell r="R1011" t="str">
            <v>–</v>
          </cell>
          <cell r="S1011" t="str">
            <v>–</v>
          </cell>
          <cell r="T1011" t="str">
            <v>–</v>
          </cell>
          <cell r="U1011" t="str">
            <v>–</v>
          </cell>
          <cell r="V1011" t="str">
            <v>–</v>
          </cell>
          <cell r="W1011">
            <v>0.625</v>
          </cell>
        </row>
        <row r="1012">
          <cell r="B1012" t="str">
            <v>2L4X3X5/8X3/4SLBB</v>
          </cell>
          <cell r="C1012" t="str">
            <v>2L4X3X5/8X3/4SLBB</v>
          </cell>
          <cell r="D1012" t="str">
            <v>F</v>
          </cell>
          <cell r="E1012">
            <v>27.2</v>
          </cell>
          <cell r="F1012">
            <v>7.98</v>
          </cell>
          <cell r="G1012" t="str">
            <v>2L4X3X5/8X3/4SLBB</v>
          </cell>
          <cell r="H1012">
            <v>3</v>
          </cell>
          <cell r="I1012" t="str">
            <v>–</v>
          </cell>
          <cell r="J1012" t="str">
            <v>–</v>
          </cell>
          <cell r="K1012" t="str">
            <v>–</v>
          </cell>
          <cell r="L1012" t="str">
            <v>–</v>
          </cell>
          <cell r="M1012" t="str">
            <v>–</v>
          </cell>
          <cell r="N1012" t="str">
            <v>–</v>
          </cell>
          <cell r="O1012" t="str">
            <v>–</v>
          </cell>
          <cell r="P1012">
            <v>4</v>
          </cell>
          <cell r="Q1012" t="str">
            <v>–</v>
          </cell>
          <cell r="R1012" t="str">
            <v>–</v>
          </cell>
          <cell r="S1012" t="str">
            <v>–</v>
          </cell>
          <cell r="T1012" t="str">
            <v>–</v>
          </cell>
          <cell r="U1012" t="str">
            <v>–</v>
          </cell>
          <cell r="V1012" t="str">
            <v>–</v>
          </cell>
          <cell r="W1012">
            <v>0.625</v>
          </cell>
        </row>
        <row r="1013">
          <cell r="B1013" t="str">
            <v>2L4X3X1/2SLBB</v>
          </cell>
          <cell r="C1013" t="str">
            <v>2L4X3X1/2SLBB</v>
          </cell>
          <cell r="D1013" t="str">
            <v>F</v>
          </cell>
          <cell r="E1013">
            <v>22.2</v>
          </cell>
          <cell r="F1013">
            <v>6.5</v>
          </cell>
          <cell r="G1013" t="str">
            <v>2L4X3X1/2SLBB</v>
          </cell>
          <cell r="H1013">
            <v>3</v>
          </cell>
          <cell r="I1013" t="str">
            <v>–</v>
          </cell>
          <cell r="J1013" t="str">
            <v>–</v>
          </cell>
          <cell r="K1013" t="str">
            <v>–</v>
          </cell>
          <cell r="L1013" t="str">
            <v>–</v>
          </cell>
          <cell r="M1013" t="str">
            <v>–</v>
          </cell>
          <cell r="N1013" t="str">
            <v>–</v>
          </cell>
          <cell r="O1013" t="str">
            <v>–</v>
          </cell>
          <cell r="P1013">
            <v>4</v>
          </cell>
          <cell r="Q1013" t="str">
            <v>–</v>
          </cell>
          <cell r="R1013" t="str">
            <v>–</v>
          </cell>
          <cell r="S1013" t="str">
            <v>–</v>
          </cell>
          <cell r="T1013" t="str">
            <v>–</v>
          </cell>
          <cell r="U1013" t="str">
            <v>–</v>
          </cell>
          <cell r="V1013" t="str">
            <v>–</v>
          </cell>
          <cell r="W1013">
            <v>0.5</v>
          </cell>
        </row>
        <row r="1014">
          <cell r="B1014" t="str">
            <v>2L4X3X1/2X3/8SLBB</v>
          </cell>
          <cell r="C1014" t="str">
            <v>2L4X3X1/2X3/8SLBB</v>
          </cell>
          <cell r="D1014" t="str">
            <v>F</v>
          </cell>
          <cell r="E1014">
            <v>22.2</v>
          </cell>
          <cell r="F1014">
            <v>6.5</v>
          </cell>
          <cell r="G1014" t="str">
            <v>2L4X3X1/2X3/8SLBB</v>
          </cell>
          <cell r="H1014">
            <v>3</v>
          </cell>
          <cell r="I1014" t="str">
            <v>–</v>
          </cell>
          <cell r="J1014" t="str">
            <v>–</v>
          </cell>
          <cell r="K1014" t="str">
            <v>–</v>
          </cell>
          <cell r="L1014" t="str">
            <v>–</v>
          </cell>
          <cell r="M1014" t="str">
            <v>–</v>
          </cell>
          <cell r="N1014" t="str">
            <v>–</v>
          </cell>
          <cell r="O1014" t="str">
            <v>–</v>
          </cell>
          <cell r="P1014">
            <v>4</v>
          </cell>
          <cell r="Q1014" t="str">
            <v>–</v>
          </cell>
          <cell r="R1014" t="str">
            <v>–</v>
          </cell>
          <cell r="S1014" t="str">
            <v>–</v>
          </cell>
          <cell r="T1014" t="str">
            <v>–</v>
          </cell>
          <cell r="U1014" t="str">
            <v>–</v>
          </cell>
          <cell r="V1014" t="str">
            <v>–</v>
          </cell>
          <cell r="W1014">
            <v>0.5</v>
          </cell>
        </row>
        <row r="1015">
          <cell r="B1015" t="str">
            <v>2L4X3X1/2X3/4SLBB</v>
          </cell>
          <cell r="C1015" t="str">
            <v>2L4X3X1/2X3/4SLBB</v>
          </cell>
          <cell r="D1015" t="str">
            <v>F</v>
          </cell>
          <cell r="E1015">
            <v>22.2</v>
          </cell>
          <cell r="F1015">
            <v>6.5</v>
          </cell>
          <cell r="G1015" t="str">
            <v>2L4X3X1/2X3/4SLBB</v>
          </cell>
          <cell r="H1015">
            <v>3</v>
          </cell>
          <cell r="I1015" t="str">
            <v>–</v>
          </cell>
          <cell r="J1015" t="str">
            <v>–</v>
          </cell>
          <cell r="K1015" t="str">
            <v>–</v>
          </cell>
          <cell r="L1015" t="str">
            <v>–</v>
          </cell>
          <cell r="M1015" t="str">
            <v>–</v>
          </cell>
          <cell r="N1015" t="str">
            <v>–</v>
          </cell>
          <cell r="O1015" t="str">
            <v>–</v>
          </cell>
          <cell r="P1015">
            <v>4</v>
          </cell>
          <cell r="Q1015" t="str">
            <v>–</v>
          </cell>
          <cell r="R1015" t="str">
            <v>–</v>
          </cell>
          <cell r="S1015" t="str">
            <v>–</v>
          </cell>
          <cell r="T1015" t="str">
            <v>–</v>
          </cell>
          <cell r="U1015" t="str">
            <v>–</v>
          </cell>
          <cell r="V1015" t="str">
            <v>–</v>
          </cell>
          <cell r="W1015">
            <v>0.5</v>
          </cell>
        </row>
        <row r="1016">
          <cell r="B1016" t="str">
            <v>2L4X3X3/8SLBB</v>
          </cell>
          <cell r="C1016" t="str">
            <v>2L4X3X3/8SLBB</v>
          </cell>
          <cell r="D1016" t="str">
            <v>F</v>
          </cell>
          <cell r="E1016">
            <v>17</v>
          </cell>
          <cell r="F1016">
            <v>4.9800000000000004</v>
          </cell>
          <cell r="G1016" t="str">
            <v>2L4X3X3/8SLBB</v>
          </cell>
          <cell r="H1016">
            <v>3</v>
          </cell>
          <cell r="I1016" t="str">
            <v>–</v>
          </cell>
          <cell r="J1016" t="str">
            <v>–</v>
          </cell>
          <cell r="K1016" t="str">
            <v>–</v>
          </cell>
          <cell r="L1016" t="str">
            <v>–</v>
          </cell>
          <cell r="M1016" t="str">
            <v>–</v>
          </cell>
          <cell r="N1016" t="str">
            <v>–</v>
          </cell>
          <cell r="O1016" t="str">
            <v>–</v>
          </cell>
          <cell r="P1016">
            <v>4</v>
          </cell>
          <cell r="Q1016" t="str">
            <v>–</v>
          </cell>
          <cell r="R1016" t="str">
            <v>–</v>
          </cell>
          <cell r="S1016" t="str">
            <v>–</v>
          </cell>
          <cell r="T1016" t="str">
            <v>–</v>
          </cell>
          <cell r="U1016" t="str">
            <v>–</v>
          </cell>
          <cell r="V1016" t="str">
            <v>–</v>
          </cell>
          <cell r="W1016">
            <v>0.375</v>
          </cell>
        </row>
        <row r="1017">
          <cell r="B1017" t="str">
            <v>2L4X3X3/8X3/8SLBB</v>
          </cell>
          <cell r="C1017" t="str">
            <v>2L4X3X3/8X3/8SLBB</v>
          </cell>
          <cell r="D1017" t="str">
            <v>F</v>
          </cell>
          <cell r="E1017">
            <v>17</v>
          </cell>
          <cell r="F1017">
            <v>4.9800000000000004</v>
          </cell>
          <cell r="G1017" t="str">
            <v>2L4X3X3/8X3/8SLBB</v>
          </cell>
          <cell r="H1017">
            <v>3</v>
          </cell>
          <cell r="I1017" t="str">
            <v>–</v>
          </cell>
          <cell r="J1017" t="str">
            <v>–</v>
          </cell>
          <cell r="K1017" t="str">
            <v>–</v>
          </cell>
          <cell r="L1017" t="str">
            <v>–</v>
          </cell>
          <cell r="M1017" t="str">
            <v>–</v>
          </cell>
          <cell r="N1017" t="str">
            <v>–</v>
          </cell>
          <cell r="O1017" t="str">
            <v>–</v>
          </cell>
          <cell r="P1017">
            <v>4</v>
          </cell>
          <cell r="Q1017" t="str">
            <v>–</v>
          </cell>
          <cell r="R1017" t="str">
            <v>–</v>
          </cell>
          <cell r="S1017" t="str">
            <v>–</v>
          </cell>
          <cell r="T1017" t="str">
            <v>–</v>
          </cell>
          <cell r="U1017" t="str">
            <v>–</v>
          </cell>
          <cell r="V1017" t="str">
            <v>–</v>
          </cell>
          <cell r="W1017">
            <v>0.375</v>
          </cell>
        </row>
        <row r="1018">
          <cell r="B1018" t="str">
            <v>2L4X3X3/8X3/4SLBB</v>
          </cell>
          <cell r="C1018" t="str">
            <v>2L4X3X3/8X3/4SLBB</v>
          </cell>
          <cell r="D1018" t="str">
            <v>F</v>
          </cell>
          <cell r="E1018">
            <v>17</v>
          </cell>
          <cell r="F1018">
            <v>4.9800000000000004</v>
          </cell>
          <cell r="G1018" t="str">
            <v>2L4X3X3/8X3/4SLBB</v>
          </cell>
          <cell r="H1018">
            <v>3</v>
          </cell>
          <cell r="I1018" t="str">
            <v>–</v>
          </cell>
          <cell r="J1018" t="str">
            <v>–</v>
          </cell>
          <cell r="K1018" t="str">
            <v>–</v>
          </cell>
          <cell r="L1018" t="str">
            <v>–</v>
          </cell>
          <cell r="M1018" t="str">
            <v>–</v>
          </cell>
          <cell r="N1018" t="str">
            <v>–</v>
          </cell>
          <cell r="O1018" t="str">
            <v>–</v>
          </cell>
          <cell r="P1018">
            <v>4</v>
          </cell>
          <cell r="Q1018" t="str">
            <v>–</v>
          </cell>
          <cell r="R1018" t="str">
            <v>–</v>
          </cell>
          <cell r="S1018" t="str">
            <v>–</v>
          </cell>
          <cell r="T1018" t="str">
            <v>–</v>
          </cell>
          <cell r="U1018" t="str">
            <v>–</v>
          </cell>
          <cell r="V1018" t="str">
            <v>–</v>
          </cell>
          <cell r="W1018">
            <v>0.375</v>
          </cell>
        </row>
        <row r="1019">
          <cell r="B1019" t="str">
            <v>2L4X3X5/16SLBB</v>
          </cell>
          <cell r="C1019" t="str">
            <v>2L4X3X5/16SLBB</v>
          </cell>
          <cell r="D1019" t="str">
            <v>F</v>
          </cell>
          <cell r="E1019">
            <v>14.4</v>
          </cell>
          <cell r="F1019">
            <v>4.18</v>
          </cell>
          <cell r="G1019" t="str">
            <v>2L4X3X5/16SLBB</v>
          </cell>
          <cell r="H1019">
            <v>3</v>
          </cell>
          <cell r="I1019" t="str">
            <v>–</v>
          </cell>
          <cell r="J1019" t="str">
            <v>–</v>
          </cell>
          <cell r="K1019" t="str">
            <v>–</v>
          </cell>
          <cell r="L1019" t="str">
            <v>–</v>
          </cell>
          <cell r="M1019" t="str">
            <v>–</v>
          </cell>
          <cell r="N1019" t="str">
            <v>–</v>
          </cell>
          <cell r="O1019" t="str">
            <v>–</v>
          </cell>
          <cell r="P1019">
            <v>4</v>
          </cell>
          <cell r="Q1019" t="str">
            <v>–</v>
          </cell>
          <cell r="R1019" t="str">
            <v>–</v>
          </cell>
          <cell r="S1019" t="str">
            <v>–</v>
          </cell>
          <cell r="T1019" t="str">
            <v>–</v>
          </cell>
          <cell r="U1019" t="str">
            <v>–</v>
          </cell>
          <cell r="V1019" t="str">
            <v>–</v>
          </cell>
          <cell r="W1019">
            <v>0.313</v>
          </cell>
        </row>
        <row r="1020">
          <cell r="B1020" t="str">
            <v>2L4X3X5/16X3/8SLBB</v>
          </cell>
          <cell r="C1020" t="str">
            <v>2L4X3X5/16X3/8SLBB</v>
          </cell>
          <cell r="D1020" t="str">
            <v>F</v>
          </cell>
          <cell r="E1020">
            <v>14.4</v>
          </cell>
          <cell r="F1020">
            <v>4.18</v>
          </cell>
          <cell r="G1020" t="str">
            <v>2L4X3X5/16X3/8SLBB</v>
          </cell>
          <cell r="H1020">
            <v>3</v>
          </cell>
          <cell r="I1020" t="str">
            <v>–</v>
          </cell>
          <cell r="J1020" t="str">
            <v>–</v>
          </cell>
          <cell r="K1020" t="str">
            <v>–</v>
          </cell>
          <cell r="L1020" t="str">
            <v>–</v>
          </cell>
          <cell r="M1020" t="str">
            <v>–</v>
          </cell>
          <cell r="N1020" t="str">
            <v>–</v>
          </cell>
          <cell r="O1020" t="str">
            <v>–</v>
          </cell>
          <cell r="P1020">
            <v>4</v>
          </cell>
          <cell r="Q1020" t="str">
            <v>–</v>
          </cell>
          <cell r="R1020" t="str">
            <v>–</v>
          </cell>
          <cell r="S1020" t="str">
            <v>–</v>
          </cell>
          <cell r="T1020" t="str">
            <v>–</v>
          </cell>
          <cell r="U1020" t="str">
            <v>–</v>
          </cell>
          <cell r="V1020" t="str">
            <v>–</v>
          </cell>
          <cell r="W1020">
            <v>0.313</v>
          </cell>
        </row>
        <row r="1021">
          <cell r="B1021" t="str">
            <v>2L4X3X5/16X3/4SLBB</v>
          </cell>
          <cell r="C1021" t="str">
            <v>2L4X3X5/16X3/4SLBB</v>
          </cell>
          <cell r="D1021" t="str">
            <v>F</v>
          </cell>
          <cell r="E1021">
            <v>14.4</v>
          </cell>
          <cell r="F1021">
            <v>4.18</v>
          </cell>
          <cell r="G1021" t="str">
            <v>2L4X3X5/16X3/4SLBB</v>
          </cell>
          <cell r="H1021">
            <v>3</v>
          </cell>
          <cell r="I1021" t="str">
            <v>–</v>
          </cell>
          <cell r="J1021" t="str">
            <v>–</v>
          </cell>
          <cell r="K1021" t="str">
            <v>–</v>
          </cell>
          <cell r="L1021" t="str">
            <v>–</v>
          </cell>
          <cell r="M1021" t="str">
            <v>–</v>
          </cell>
          <cell r="N1021" t="str">
            <v>–</v>
          </cell>
          <cell r="O1021" t="str">
            <v>–</v>
          </cell>
          <cell r="P1021">
            <v>4</v>
          </cell>
          <cell r="Q1021" t="str">
            <v>–</v>
          </cell>
          <cell r="R1021" t="str">
            <v>–</v>
          </cell>
          <cell r="S1021" t="str">
            <v>–</v>
          </cell>
          <cell r="T1021" t="str">
            <v>–</v>
          </cell>
          <cell r="U1021" t="str">
            <v>–</v>
          </cell>
          <cell r="V1021" t="str">
            <v>–</v>
          </cell>
          <cell r="W1021">
            <v>0.313</v>
          </cell>
        </row>
        <row r="1022">
          <cell r="B1022" t="str">
            <v>2L4X3X1/4SLBB</v>
          </cell>
          <cell r="C1022" t="str">
            <v>2L4X3X1/4SLBB</v>
          </cell>
          <cell r="D1022" t="str">
            <v>F</v>
          </cell>
          <cell r="E1022">
            <v>11.6</v>
          </cell>
          <cell r="F1022">
            <v>3.38</v>
          </cell>
          <cell r="G1022" t="str">
            <v>2L4X3X1/4SLBB</v>
          </cell>
          <cell r="H1022">
            <v>3</v>
          </cell>
          <cell r="I1022" t="str">
            <v>–</v>
          </cell>
          <cell r="J1022" t="str">
            <v>–</v>
          </cell>
          <cell r="K1022" t="str">
            <v>–</v>
          </cell>
          <cell r="L1022" t="str">
            <v>–</v>
          </cell>
          <cell r="M1022" t="str">
            <v>–</v>
          </cell>
          <cell r="N1022" t="str">
            <v>–</v>
          </cell>
          <cell r="O1022" t="str">
            <v>–</v>
          </cell>
          <cell r="P1022">
            <v>4</v>
          </cell>
          <cell r="Q1022" t="str">
            <v>–</v>
          </cell>
          <cell r="R1022" t="str">
            <v>–</v>
          </cell>
          <cell r="S1022" t="str">
            <v>–</v>
          </cell>
          <cell r="T1022" t="str">
            <v>–</v>
          </cell>
          <cell r="U1022" t="str">
            <v>–</v>
          </cell>
          <cell r="V1022" t="str">
            <v>–</v>
          </cell>
          <cell r="W1022">
            <v>0.25</v>
          </cell>
        </row>
        <row r="1023">
          <cell r="B1023" t="str">
            <v>2L4X3X1/4X3/8SLBB</v>
          </cell>
          <cell r="C1023" t="str">
            <v>2L4X3X1/4X3/8SLBB</v>
          </cell>
          <cell r="D1023" t="str">
            <v>F</v>
          </cell>
          <cell r="E1023">
            <v>11.6</v>
          </cell>
          <cell r="F1023">
            <v>3.38</v>
          </cell>
          <cell r="G1023" t="str">
            <v>2L4X3X1/4X3/8SLBB</v>
          </cell>
          <cell r="H1023">
            <v>3</v>
          </cell>
          <cell r="I1023" t="str">
            <v>–</v>
          </cell>
          <cell r="J1023" t="str">
            <v>–</v>
          </cell>
          <cell r="K1023" t="str">
            <v>–</v>
          </cell>
          <cell r="L1023" t="str">
            <v>–</v>
          </cell>
          <cell r="M1023" t="str">
            <v>–</v>
          </cell>
          <cell r="N1023" t="str">
            <v>–</v>
          </cell>
          <cell r="O1023" t="str">
            <v>–</v>
          </cell>
          <cell r="P1023">
            <v>4</v>
          </cell>
          <cell r="Q1023" t="str">
            <v>–</v>
          </cell>
          <cell r="R1023" t="str">
            <v>–</v>
          </cell>
          <cell r="S1023" t="str">
            <v>–</v>
          </cell>
          <cell r="T1023" t="str">
            <v>–</v>
          </cell>
          <cell r="U1023" t="str">
            <v>–</v>
          </cell>
          <cell r="V1023" t="str">
            <v>–</v>
          </cell>
          <cell r="W1023">
            <v>0.25</v>
          </cell>
        </row>
        <row r="1024">
          <cell r="B1024" t="str">
            <v>2L4X3X1/4X3/4SLBB</v>
          </cell>
          <cell r="C1024" t="str">
            <v>2L4X3X1/4X3/4SLBB</v>
          </cell>
          <cell r="D1024" t="str">
            <v>F</v>
          </cell>
          <cell r="E1024">
            <v>11.6</v>
          </cell>
          <cell r="F1024">
            <v>3.38</v>
          </cell>
          <cell r="G1024" t="str">
            <v>2L4X3X1/4X3/4SLBB</v>
          </cell>
          <cell r="H1024">
            <v>3</v>
          </cell>
          <cell r="I1024" t="str">
            <v>–</v>
          </cell>
          <cell r="J1024" t="str">
            <v>–</v>
          </cell>
          <cell r="K1024" t="str">
            <v>–</v>
          </cell>
          <cell r="L1024" t="str">
            <v>–</v>
          </cell>
          <cell r="M1024" t="str">
            <v>–</v>
          </cell>
          <cell r="N1024" t="str">
            <v>–</v>
          </cell>
          <cell r="O1024" t="str">
            <v>–</v>
          </cell>
          <cell r="P1024">
            <v>4</v>
          </cell>
          <cell r="Q1024" t="str">
            <v>–</v>
          </cell>
          <cell r="R1024" t="str">
            <v>–</v>
          </cell>
          <cell r="S1024" t="str">
            <v>–</v>
          </cell>
          <cell r="T1024" t="str">
            <v>–</v>
          </cell>
          <cell r="U1024" t="str">
            <v>–</v>
          </cell>
          <cell r="V1024" t="str">
            <v>–</v>
          </cell>
          <cell r="W1024">
            <v>0.25</v>
          </cell>
        </row>
        <row r="1025">
          <cell r="B1025" t="str">
            <v>2L3-1/2X3X1/2SLBB</v>
          </cell>
          <cell r="C1025" t="str">
            <v>2L3-1/2X3X1/2SLBB</v>
          </cell>
          <cell r="D1025" t="str">
            <v>F</v>
          </cell>
          <cell r="E1025">
            <v>20.399999999999999</v>
          </cell>
          <cell r="F1025">
            <v>6.04</v>
          </cell>
          <cell r="G1025" t="str">
            <v>2L3-1/2X3X1/2SLBB</v>
          </cell>
          <cell r="H1025">
            <v>3</v>
          </cell>
          <cell r="I1025" t="str">
            <v>–</v>
          </cell>
          <cell r="J1025" t="str">
            <v>–</v>
          </cell>
          <cell r="K1025" t="str">
            <v>–</v>
          </cell>
          <cell r="L1025" t="str">
            <v>–</v>
          </cell>
          <cell r="M1025" t="str">
            <v>–</v>
          </cell>
          <cell r="N1025" t="str">
            <v>–</v>
          </cell>
          <cell r="O1025" t="str">
            <v>–</v>
          </cell>
          <cell r="P1025">
            <v>3.5</v>
          </cell>
          <cell r="Q1025" t="str">
            <v>–</v>
          </cell>
          <cell r="R1025" t="str">
            <v>–</v>
          </cell>
          <cell r="S1025" t="str">
            <v>–</v>
          </cell>
          <cell r="T1025" t="str">
            <v>–</v>
          </cell>
          <cell r="U1025" t="str">
            <v>–</v>
          </cell>
          <cell r="V1025" t="str">
            <v>–</v>
          </cell>
          <cell r="W1025">
            <v>0.5</v>
          </cell>
        </row>
        <row r="1026">
          <cell r="B1026" t="str">
            <v>2L3-1/2X3X1/2X3/8SLBB</v>
          </cell>
          <cell r="C1026" t="str">
            <v>2L3-1/2X3X1/2X3/8SLBB</v>
          </cell>
          <cell r="D1026" t="str">
            <v>F</v>
          </cell>
          <cell r="E1026">
            <v>20.399999999999999</v>
          </cell>
          <cell r="F1026">
            <v>6.04</v>
          </cell>
          <cell r="G1026" t="str">
            <v>2L3-1/2X3X1/2X3/8SLBB</v>
          </cell>
          <cell r="H1026">
            <v>3</v>
          </cell>
          <cell r="I1026" t="str">
            <v>–</v>
          </cell>
          <cell r="J1026" t="str">
            <v>–</v>
          </cell>
          <cell r="K1026" t="str">
            <v>–</v>
          </cell>
          <cell r="L1026" t="str">
            <v>–</v>
          </cell>
          <cell r="M1026" t="str">
            <v>–</v>
          </cell>
          <cell r="N1026" t="str">
            <v>–</v>
          </cell>
          <cell r="O1026" t="str">
            <v>–</v>
          </cell>
          <cell r="P1026">
            <v>3.5</v>
          </cell>
          <cell r="Q1026" t="str">
            <v>–</v>
          </cell>
          <cell r="R1026" t="str">
            <v>–</v>
          </cell>
          <cell r="S1026" t="str">
            <v>–</v>
          </cell>
          <cell r="T1026" t="str">
            <v>–</v>
          </cell>
          <cell r="U1026" t="str">
            <v>–</v>
          </cell>
          <cell r="V1026" t="str">
            <v>–</v>
          </cell>
          <cell r="W1026">
            <v>0.5</v>
          </cell>
        </row>
        <row r="1027">
          <cell r="B1027" t="str">
            <v>2L3-1/2X3X1/2X3/4SLBB</v>
          </cell>
          <cell r="C1027" t="str">
            <v>2L3-1/2X3X1/2X3/4SLBB</v>
          </cell>
          <cell r="D1027" t="str">
            <v>F</v>
          </cell>
          <cell r="E1027">
            <v>20.399999999999999</v>
          </cell>
          <cell r="F1027">
            <v>6.04</v>
          </cell>
          <cell r="G1027" t="str">
            <v>2L3-1/2X3X1/2X3/4SLBB</v>
          </cell>
          <cell r="H1027">
            <v>3</v>
          </cell>
          <cell r="I1027" t="str">
            <v>–</v>
          </cell>
          <cell r="J1027" t="str">
            <v>–</v>
          </cell>
          <cell r="K1027" t="str">
            <v>–</v>
          </cell>
          <cell r="L1027" t="str">
            <v>–</v>
          </cell>
          <cell r="M1027" t="str">
            <v>–</v>
          </cell>
          <cell r="N1027" t="str">
            <v>–</v>
          </cell>
          <cell r="O1027" t="str">
            <v>–</v>
          </cell>
          <cell r="P1027">
            <v>3.5</v>
          </cell>
          <cell r="Q1027" t="str">
            <v>–</v>
          </cell>
          <cell r="R1027" t="str">
            <v>–</v>
          </cell>
          <cell r="S1027" t="str">
            <v>–</v>
          </cell>
          <cell r="T1027" t="str">
            <v>–</v>
          </cell>
          <cell r="U1027" t="str">
            <v>–</v>
          </cell>
          <cell r="V1027" t="str">
            <v>–</v>
          </cell>
          <cell r="W1027">
            <v>0.5</v>
          </cell>
        </row>
        <row r="1028">
          <cell r="B1028" t="str">
            <v>2L3-1/2X3X7/16SLBB</v>
          </cell>
          <cell r="C1028" t="str">
            <v>2L3-1/2X3X7/16SLBB</v>
          </cell>
          <cell r="D1028" t="str">
            <v>F</v>
          </cell>
          <cell r="E1028">
            <v>18.2</v>
          </cell>
          <cell r="F1028">
            <v>5.34</v>
          </cell>
          <cell r="G1028" t="str">
            <v>2L3-1/2X3X7/16SLBB</v>
          </cell>
          <cell r="H1028">
            <v>3</v>
          </cell>
          <cell r="I1028" t="str">
            <v>–</v>
          </cell>
          <cell r="J1028" t="str">
            <v>–</v>
          </cell>
          <cell r="K1028" t="str">
            <v>–</v>
          </cell>
          <cell r="L1028" t="str">
            <v>–</v>
          </cell>
          <cell r="M1028" t="str">
            <v>–</v>
          </cell>
          <cell r="N1028" t="str">
            <v>–</v>
          </cell>
          <cell r="O1028" t="str">
            <v>–</v>
          </cell>
          <cell r="P1028">
            <v>3.5</v>
          </cell>
          <cell r="Q1028" t="str">
            <v>–</v>
          </cell>
          <cell r="R1028" t="str">
            <v>–</v>
          </cell>
          <cell r="S1028" t="str">
            <v>–</v>
          </cell>
          <cell r="T1028" t="str">
            <v>–</v>
          </cell>
          <cell r="U1028" t="str">
            <v>–</v>
          </cell>
          <cell r="V1028" t="str">
            <v>–</v>
          </cell>
          <cell r="W1028">
            <v>0.438</v>
          </cell>
        </row>
        <row r="1029">
          <cell r="B1029" t="str">
            <v>2L3-1/2X3X7/16X3/8SLBB</v>
          </cell>
          <cell r="C1029" t="str">
            <v>2L3-1/2X3X7/16X3/8SLBB</v>
          </cell>
          <cell r="D1029" t="str">
            <v>F</v>
          </cell>
          <cell r="E1029">
            <v>18.2</v>
          </cell>
          <cell r="F1029">
            <v>5.34</v>
          </cell>
          <cell r="G1029" t="str">
            <v>2L3-1/2X3X7/16X3/8SLBB</v>
          </cell>
          <cell r="H1029">
            <v>3</v>
          </cell>
          <cell r="I1029" t="str">
            <v>–</v>
          </cell>
          <cell r="J1029" t="str">
            <v>–</v>
          </cell>
          <cell r="K1029" t="str">
            <v>–</v>
          </cell>
          <cell r="L1029" t="str">
            <v>–</v>
          </cell>
          <cell r="M1029" t="str">
            <v>–</v>
          </cell>
          <cell r="N1029" t="str">
            <v>–</v>
          </cell>
          <cell r="O1029" t="str">
            <v>–</v>
          </cell>
          <cell r="P1029">
            <v>3.5</v>
          </cell>
          <cell r="Q1029" t="str">
            <v>–</v>
          </cell>
          <cell r="R1029" t="str">
            <v>–</v>
          </cell>
          <cell r="S1029" t="str">
            <v>–</v>
          </cell>
          <cell r="T1029" t="str">
            <v>–</v>
          </cell>
          <cell r="U1029" t="str">
            <v>–</v>
          </cell>
          <cell r="V1029" t="str">
            <v>–</v>
          </cell>
          <cell r="W1029">
            <v>0.438</v>
          </cell>
        </row>
        <row r="1030">
          <cell r="B1030" t="str">
            <v>2L3-1/2X3X7/16X3/4SLBB</v>
          </cell>
          <cell r="C1030" t="str">
            <v>2L3-1/2X3X7/16X3/4SLBB</v>
          </cell>
          <cell r="D1030" t="str">
            <v>F</v>
          </cell>
          <cell r="E1030">
            <v>18.2</v>
          </cell>
          <cell r="F1030">
            <v>5.34</v>
          </cell>
          <cell r="G1030" t="str">
            <v>2L3-1/2X3X7/16X3/4SLBB</v>
          </cell>
          <cell r="H1030">
            <v>3</v>
          </cell>
          <cell r="I1030" t="str">
            <v>–</v>
          </cell>
          <cell r="J1030" t="str">
            <v>–</v>
          </cell>
          <cell r="K1030" t="str">
            <v>–</v>
          </cell>
          <cell r="L1030" t="str">
            <v>–</v>
          </cell>
          <cell r="M1030" t="str">
            <v>–</v>
          </cell>
          <cell r="N1030" t="str">
            <v>–</v>
          </cell>
          <cell r="O1030" t="str">
            <v>–</v>
          </cell>
          <cell r="P1030">
            <v>3.5</v>
          </cell>
          <cell r="Q1030" t="str">
            <v>–</v>
          </cell>
          <cell r="R1030" t="str">
            <v>–</v>
          </cell>
          <cell r="S1030" t="str">
            <v>–</v>
          </cell>
          <cell r="T1030" t="str">
            <v>–</v>
          </cell>
          <cell r="U1030" t="str">
            <v>–</v>
          </cell>
          <cell r="V1030" t="str">
            <v>–</v>
          </cell>
          <cell r="W1030">
            <v>0.438</v>
          </cell>
        </row>
        <row r="1031">
          <cell r="B1031" t="str">
            <v>2L3-1/2X3X3/8SLBB</v>
          </cell>
          <cell r="C1031" t="str">
            <v>2L3-1/2X3X3/8SLBB</v>
          </cell>
          <cell r="D1031" t="str">
            <v>F</v>
          </cell>
          <cell r="E1031">
            <v>15.8</v>
          </cell>
          <cell r="F1031">
            <v>4.6399999999999997</v>
          </cell>
          <cell r="G1031" t="str">
            <v>2L3-1/2X3X3/8SLBB</v>
          </cell>
          <cell r="H1031">
            <v>3</v>
          </cell>
          <cell r="I1031" t="str">
            <v>–</v>
          </cell>
          <cell r="J1031" t="str">
            <v>–</v>
          </cell>
          <cell r="K1031" t="str">
            <v>–</v>
          </cell>
          <cell r="L1031" t="str">
            <v>–</v>
          </cell>
          <cell r="M1031" t="str">
            <v>–</v>
          </cell>
          <cell r="N1031" t="str">
            <v>–</v>
          </cell>
          <cell r="O1031" t="str">
            <v>–</v>
          </cell>
          <cell r="P1031">
            <v>3.5</v>
          </cell>
          <cell r="Q1031" t="str">
            <v>–</v>
          </cell>
          <cell r="R1031" t="str">
            <v>–</v>
          </cell>
          <cell r="S1031" t="str">
            <v>–</v>
          </cell>
          <cell r="T1031" t="str">
            <v>–</v>
          </cell>
          <cell r="U1031" t="str">
            <v>–</v>
          </cell>
          <cell r="V1031" t="str">
            <v>–</v>
          </cell>
          <cell r="W1031">
            <v>0.375</v>
          </cell>
        </row>
        <row r="1032">
          <cell r="B1032" t="str">
            <v>2L3-1/2X3X3/8X3/8SLBB</v>
          </cell>
          <cell r="C1032" t="str">
            <v>2L3-1/2X3X3/8X3/8SLBB</v>
          </cell>
          <cell r="D1032" t="str">
            <v>F</v>
          </cell>
          <cell r="E1032">
            <v>15.8</v>
          </cell>
          <cell r="F1032">
            <v>4.6399999999999997</v>
          </cell>
          <cell r="G1032" t="str">
            <v>2L3-1/2X3X3/8X3/8SLBB</v>
          </cell>
          <cell r="H1032">
            <v>3</v>
          </cell>
          <cell r="I1032" t="str">
            <v>–</v>
          </cell>
          <cell r="J1032" t="str">
            <v>–</v>
          </cell>
          <cell r="K1032" t="str">
            <v>–</v>
          </cell>
          <cell r="L1032" t="str">
            <v>–</v>
          </cell>
          <cell r="M1032" t="str">
            <v>–</v>
          </cell>
          <cell r="N1032" t="str">
            <v>–</v>
          </cell>
          <cell r="O1032" t="str">
            <v>–</v>
          </cell>
          <cell r="P1032">
            <v>3.5</v>
          </cell>
          <cell r="Q1032" t="str">
            <v>–</v>
          </cell>
          <cell r="R1032" t="str">
            <v>–</v>
          </cell>
          <cell r="S1032" t="str">
            <v>–</v>
          </cell>
          <cell r="T1032" t="str">
            <v>–</v>
          </cell>
          <cell r="U1032" t="str">
            <v>–</v>
          </cell>
          <cell r="V1032" t="str">
            <v>–</v>
          </cell>
          <cell r="W1032">
            <v>0.375</v>
          </cell>
        </row>
        <row r="1033">
          <cell r="B1033" t="str">
            <v>2L3-1/2X3X3/8X3/4SLBB</v>
          </cell>
          <cell r="C1033" t="str">
            <v>2L3-1/2X3X3/8X3/4SLBB</v>
          </cell>
          <cell r="D1033" t="str">
            <v>F</v>
          </cell>
          <cell r="E1033">
            <v>15.8</v>
          </cell>
          <cell r="F1033">
            <v>4.6399999999999997</v>
          </cell>
          <cell r="G1033" t="str">
            <v>2L3-1/2X3X3/8X3/4SLBB</v>
          </cell>
          <cell r="H1033">
            <v>3</v>
          </cell>
          <cell r="I1033" t="str">
            <v>–</v>
          </cell>
          <cell r="J1033" t="str">
            <v>–</v>
          </cell>
          <cell r="K1033" t="str">
            <v>–</v>
          </cell>
          <cell r="L1033" t="str">
            <v>–</v>
          </cell>
          <cell r="M1033" t="str">
            <v>–</v>
          </cell>
          <cell r="N1033" t="str">
            <v>–</v>
          </cell>
          <cell r="O1033" t="str">
            <v>–</v>
          </cell>
          <cell r="P1033">
            <v>3.5</v>
          </cell>
          <cell r="Q1033" t="str">
            <v>–</v>
          </cell>
          <cell r="R1033" t="str">
            <v>–</v>
          </cell>
          <cell r="S1033" t="str">
            <v>–</v>
          </cell>
          <cell r="T1033" t="str">
            <v>–</v>
          </cell>
          <cell r="U1033" t="str">
            <v>–</v>
          </cell>
          <cell r="V1033" t="str">
            <v>–</v>
          </cell>
          <cell r="W1033">
            <v>0.375</v>
          </cell>
        </row>
        <row r="1034">
          <cell r="B1034" t="str">
            <v>2L3-1/2X3X5/16SLBB</v>
          </cell>
          <cell r="C1034" t="str">
            <v>2L3-1/2X3X5/16SLBB</v>
          </cell>
          <cell r="D1034" t="str">
            <v>F</v>
          </cell>
          <cell r="E1034">
            <v>13.2</v>
          </cell>
          <cell r="F1034">
            <v>3.9</v>
          </cell>
          <cell r="G1034" t="str">
            <v>2L3-1/2X3X5/16SLBB</v>
          </cell>
          <cell r="H1034">
            <v>3</v>
          </cell>
          <cell r="I1034" t="str">
            <v>–</v>
          </cell>
          <cell r="J1034" t="str">
            <v>–</v>
          </cell>
          <cell r="K1034" t="str">
            <v>–</v>
          </cell>
          <cell r="L1034" t="str">
            <v>–</v>
          </cell>
          <cell r="M1034" t="str">
            <v>–</v>
          </cell>
          <cell r="N1034" t="str">
            <v>–</v>
          </cell>
          <cell r="O1034" t="str">
            <v>–</v>
          </cell>
          <cell r="P1034">
            <v>3.5</v>
          </cell>
          <cell r="Q1034" t="str">
            <v>–</v>
          </cell>
          <cell r="R1034" t="str">
            <v>–</v>
          </cell>
          <cell r="S1034" t="str">
            <v>–</v>
          </cell>
          <cell r="T1034" t="str">
            <v>–</v>
          </cell>
          <cell r="U1034" t="str">
            <v>–</v>
          </cell>
          <cell r="V1034" t="str">
            <v>–</v>
          </cell>
          <cell r="W1034">
            <v>0.313</v>
          </cell>
        </row>
        <row r="1035">
          <cell r="B1035" t="str">
            <v>2L3-1/2X3X5/16X3/8SLBB</v>
          </cell>
          <cell r="C1035" t="str">
            <v>2L3-1/2X3X5/16X3/8SLBB</v>
          </cell>
          <cell r="D1035" t="str">
            <v>F</v>
          </cell>
          <cell r="E1035">
            <v>13.2</v>
          </cell>
          <cell r="F1035">
            <v>3.9</v>
          </cell>
          <cell r="G1035" t="str">
            <v>2L3-1/2X3X5/16X3/8SLBB</v>
          </cell>
          <cell r="H1035">
            <v>3</v>
          </cell>
          <cell r="I1035" t="str">
            <v>–</v>
          </cell>
          <cell r="J1035" t="str">
            <v>–</v>
          </cell>
          <cell r="K1035" t="str">
            <v>–</v>
          </cell>
          <cell r="L1035" t="str">
            <v>–</v>
          </cell>
          <cell r="M1035" t="str">
            <v>–</v>
          </cell>
          <cell r="N1035" t="str">
            <v>–</v>
          </cell>
          <cell r="O1035" t="str">
            <v>–</v>
          </cell>
          <cell r="P1035">
            <v>3.5</v>
          </cell>
          <cell r="Q1035" t="str">
            <v>–</v>
          </cell>
          <cell r="R1035" t="str">
            <v>–</v>
          </cell>
          <cell r="S1035" t="str">
            <v>–</v>
          </cell>
          <cell r="T1035" t="str">
            <v>–</v>
          </cell>
          <cell r="U1035" t="str">
            <v>–</v>
          </cell>
          <cell r="V1035" t="str">
            <v>–</v>
          </cell>
          <cell r="W1035">
            <v>0.313</v>
          </cell>
        </row>
        <row r="1036">
          <cell r="B1036" t="str">
            <v>2L3-1/2X3X5/16X3/4SLBB</v>
          </cell>
          <cell r="C1036" t="str">
            <v>2L3-1/2X3X5/16X3/4SLBB</v>
          </cell>
          <cell r="D1036" t="str">
            <v>F</v>
          </cell>
          <cell r="E1036">
            <v>13.2</v>
          </cell>
          <cell r="F1036">
            <v>3.9</v>
          </cell>
          <cell r="G1036" t="str">
            <v>2L3-1/2X3X5/16X3/4SLBB</v>
          </cell>
          <cell r="H1036">
            <v>3</v>
          </cell>
          <cell r="I1036" t="str">
            <v>–</v>
          </cell>
          <cell r="J1036" t="str">
            <v>–</v>
          </cell>
          <cell r="K1036" t="str">
            <v>–</v>
          </cell>
          <cell r="L1036" t="str">
            <v>–</v>
          </cell>
          <cell r="M1036" t="str">
            <v>–</v>
          </cell>
          <cell r="N1036" t="str">
            <v>–</v>
          </cell>
          <cell r="O1036" t="str">
            <v>–</v>
          </cell>
          <cell r="P1036">
            <v>3.5</v>
          </cell>
          <cell r="Q1036" t="str">
            <v>–</v>
          </cell>
          <cell r="R1036" t="str">
            <v>–</v>
          </cell>
          <cell r="S1036" t="str">
            <v>–</v>
          </cell>
          <cell r="T1036" t="str">
            <v>–</v>
          </cell>
          <cell r="U1036" t="str">
            <v>–</v>
          </cell>
          <cell r="V1036" t="str">
            <v>–</v>
          </cell>
          <cell r="W1036">
            <v>0.313</v>
          </cell>
        </row>
        <row r="1037">
          <cell r="B1037" t="str">
            <v>2L3-1/2X3X1/4SLBB</v>
          </cell>
          <cell r="C1037" t="str">
            <v>2L3-1/2X3X1/4SLBB</v>
          </cell>
          <cell r="D1037" t="str">
            <v>F</v>
          </cell>
          <cell r="E1037">
            <v>10.8</v>
          </cell>
          <cell r="F1037">
            <v>3.16</v>
          </cell>
          <cell r="G1037" t="str">
            <v>2L3-1/2X3X1/4SLBB</v>
          </cell>
          <cell r="H1037">
            <v>3</v>
          </cell>
          <cell r="I1037" t="str">
            <v>–</v>
          </cell>
          <cell r="J1037" t="str">
            <v>–</v>
          </cell>
          <cell r="K1037" t="str">
            <v>–</v>
          </cell>
          <cell r="L1037" t="str">
            <v>–</v>
          </cell>
          <cell r="M1037" t="str">
            <v>–</v>
          </cell>
          <cell r="N1037" t="str">
            <v>–</v>
          </cell>
          <cell r="O1037" t="str">
            <v>–</v>
          </cell>
          <cell r="P1037">
            <v>3.5</v>
          </cell>
          <cell r="Q1037" t="str">
            <v>–</v>
          </cell>
          <cell r="R1037" t="str">
            <v>–</v>
          </cell>
          <cell r="S1037" t="str">
            <v>–</v>
          </cell>
          <cell r="T1037" t="str">
            <v>–</v>
          </cell>
          <cell r="U1037" t="str">
            <v>–</v>
          </cell>
          <cell r="V1037" t="str">
            <v>–</v>
          </cell>
          <cell r="W1037">
            <v>0.25</v>
          </cell>
        </row>
        <row r="1038">
          <cell r="B1038" t="str">
            <v>2L3-1/2X3X1/4X3/8SLBB</v>
          </cell>
          <cell r="C1038" t="str">
            <v>2L3-1/2X3X1/4X3/8SLBB</v>
          </cell>
          <cell r="D1038" t="str">
            <v>F</v>
          </cell>
          <cell r="E1038">
            <v>10.8</v>
          </cell>
          <cell r="F1038">
            <v>3.16</v>
          </cell>
          <cell r="G1038" t="str">
            <v>2L3-1/2X3X1/4X3/8SLBB</v>
          </cell>
          <cell r="H1038">
            <v>3</v>
          </cell>
          <cell r="I1038" t="str">
            <v>–</v>
          </cell>
          <cell r="J1038" t="str">
            <v>–</v>
          </cell>
          <cell r="K1038" t="str">
            <v>–</v>
          </cell>
          <cell r="L1038" t="str">
            <v>–</v>
          </cell>
          <cell r="M1038" t="str">
            <v>–</v>
          </cell>
          <cell r="N1038" t="str">
            <v>–</v>
          </cell>
          <cell r="O1038" t="str">
            <v>–</v>
          </cell>
          <cell r="P1038">
            <v>3.5</v>
          </cell>
          <cell r="Q1038" t="str">
            <v>–</v>
          </cell>
          <cell r="R1038" t="str">
            <v>–</v>
          </cell>
          <cell r="S1038" t="str">
            <v>–</v>
          </cell>
          <cell r="T1038" t="str">
            <v>–</v>
          </cell>
          <cell r="U1038" t="str">
            <v>–</v>
          </cell>
          <cell r="V1038" t="str">
            <v>–</v>
          </cell>
          <cell r="W1038">
            <v>0.25</v>
          </cell>
        </row>
        <row r="1039">
          <cell r="B1039" t="str">
            <v>2L3-1/2X3X1/4X3/4SLBB</v>
          </cell>
          <cell r="C1039" t="str">
            <v>2L3-1/2X3X1/4X3/4SLBB</v>
          </cell>
          <cell r="D1039" t="str">
            <v>F</v>
          </cell>
          <cell r="E1039">
            <v>10.8</v>
          </cell>
          <cell r="F1039">
            <v>3.16</v>
          </cell>
          <cell r="G1039" t="str">
            <v>2L3-1/2X3X1/4X3/4SLBB</v>
          </cell>
          <cell r="H1039">
            <v>3</v>
          </cell>
          <cell r="I1039" t="str">
            <v>–</v>
          </cell>
          <cell r="J1039" t="str">
            <v>–</v>
          </cell>
          <cell r="K1039" t="str">
            <v>–</v>
          </cell>
          <cell r="L1039" t="str">
            <v>–</v>
          </cell>
          <cell r="M1039" t="str">
            <v>–</v>
          </cell>
          <cell r="N1039" t="str">
            <v>–</v>
          </cell>
          <cell r="O1039" t="str">
            <v>–</v>
          </cell>
          <cell r="P1039">
            <v>3.5</v>
          </cell>
          <cell r="Q1039" t="str">
            <v>–</v>
          </cell>
          <cell r="R1039" t="str">
            <v>–</v>
          </cell>
          <cell r="S1039" t="str">
            <v>–</v>
          </cell>
          <cell r="T1039" t="str">
            <v>–</v>
          </cell>
          <cell r="U1039" t="str">
            <v>–</v>
          </cell>
          <cell r="V1039" t="str">
            <v>–</v>
          </cell>
          <cell r="W1039">
            <v>0.25</v>
          </cell>
        </row>
        <row r="1040">
          <cell r="B1040" t="str">
            <v>2L3-1/2X2-1/2X1/2SLBB</v>
          </cell>
          <cell r="C1040" t="str">
            <v>2L3-1/2X2-1/2X1/2SLBB</v>
          </cell>
          <cell r="D1040" t="str">
            <v>F</v>
          </cell>
          <cell r="E1040">
            <v>18.8</v>
          </cell>
          <cell r="F1040">
            <v>5.54</v>
          </cell>
          <cell r="G1040" t="str">
            <v>2L3-1/2X2-1/2X1/2SLBB</v>
          </cell>
          <cell r="H1040">
            <v>2.5</v>
          </cell>
          <cell r="I1040" t="str">
            <v>–</v>
          </cell>
          <cell r="J1040" t="str">
            <v>–</v>
          </cell>
          <cell r="K1040" t="str">
            <v>–</v>
          </cell>
          <cell r="L1040" t="str">
            <v>–</v>
          </cell>
          <cell r="M1040" t="str">
            <v>–</v>
          </cell>
          <cell r="N1040" t="str">
            <v>–</v>
          </cell>
          <cell r="O1040" t="str">
            <v>–</v>
          </cell>
          <cell r="P1040">
            <v>3.5</v>
          </cell>
          <cell r="Q1040" t="str">
            <v>–</v>
          </cell>
          <cell r="R1040" t="str">
            <v>–</v>
          </cell>
          <cell r="S1040" t="str">
            <v>–</v>
          </cell>
          <cell r="T1040" t="str">
            <v>–</v>
          </cell>
          <cell r="U1040" t="str">
            <v>–</v>
          </cell>
          <cell r="V1040" t="str">
            <v>–</v>
          </cell>
          <cell r="W1040">
            <v>0.5</v>
          </cell>
        </row>
        <row r="1041">
          <cell r="B1041" t="str">
            <v>2L3-1/2X2-1/2X1/2X3/8SLBB</v>
          </cell>
          <cell r="C1041" t="str">
            <v>2L3-1/2X2-1/2X1/2X3/8SLBB</v>
          </cell>
          <cell r="D1041" t="str">
            <v>F</v>
          </cell>
          <cell r="E1041">
            <v>18.8</v>
          </cell>
          <cell r="F1041">
            <v>5.54</v>
          </cell>
          <cell r="G1041" t="str">
            <v>2L3-1/2X2-1/2X1/2X3/8SLBB</v>
          </cell>
          <cell r="H1041">
            <v>2.5</v>
          </cell>
          <cell r="I1041" t="str">
            <v>–</v>
          </cell>
          <cell r="J1041" t="str">
            <v>–</v>
          </cell>
          <cell r="K1041" t="str">
            <v>–</v>
          </cell>
          <cell r="L1041" t="str">
            <v>–</v>
          </cell>
          <cell r="M1041" t="str">
            <v>–</v>
          </cell>
          <cell r="N1041" t="str">
            <v>–</v>
          </cell>
          <cell r="O1041" t="str">
            <v>–</v>
          </cell>
          <cell r="P1041">
            <v>3.5</v>
          </cell>
          <cell r="Q1041" t="str">
            <v>–</v>
          </cell>
          <cell r="R1041" t="str">
            <v>–</v>
          </cell>
          <cell r="S1041" t="str">
            <v>–</v>
          </cell>
          <cell r="T1041" t="str">
            <v>–</v>
          </cell>
          <cell r="U1041" t="str">
            <v>–</v>
          </cell>
          <cell r="V1041" t="str">
            <v>–</v>
          </cell>
          <cell r="W1041">
            <v>0.5</v>
          </cell>
        </row>
        <row r="1042">
          <cell r="B1042" t="str">
            <v>2L3-1/2X2-1/2X1/2X3/4SLBB</v>
          </cell>
          <cell r="C1042" t="str">
            <v>2L3-1/2X2-1/2X1/2X3/4SLBB</v>
          </cell>
          <cell r="D1042" t="str">
            <v>F</v>
          </cell>
          <cell r="E1042">
            <v>18.8</v>
          </cell>
          <cell r="F1042">
            <v>5.54</v>
          </cell>
          <cell r="G1042" t="str">
            <v>2L3-1/2X2-1/2X1/2X3/4SLBB</v>
          </cell>
          <cell r="H1042">
            <v>2.5</v>
          </cell>
          <cell r="I1042" t="str">
            <v>–</v>
          </cell>
          <cell r="J1042" t="str">
            <v>–</v>
          </cell>
          <cell r="K1042" t="str">
            <v>–</v>
          </cell>
          <cell r="L1042" t="str">
            <v>–</v>
          </cell>
          <cell r="M1042" t="str">
            <v>–</v>
          </cell>
          <cell r="N1042" t="str">
            <v>–</v>
          </cell>
          <cell r="O1042" t="str">
            <v>–</v>
          </cell>
          <cell r="P1042">
            <v>3.5</v>
          </cell>
          <cell r="Q1042" t="str">
            <v>–</v>
          </cell>
          <cell r="R1042" t="str">
            <v>–</v>
          </cell>
          <cell r="S1042" t="str">
            <v>–</v>
          </cell>
          <cell r="T1042" t="str">
            <v>–</v>
          </cell>
          <cell r="U1042" t="str">
            <v>–</v>
          </cell>
          <cell r="V1042" t="str">
            <v>–</v>
          </cell>
          <cell r="W1042">
            <v>0.5</v>
          </cell>
        </row>
        <row r="1043">
          <cell r="B1043" t="str">
            <v>2L3-1/2X2-1/2X3/8SLBB</v>
          </cell>
          <cell r="C1043" t="str">
            <v>2L3-1/2X2-1/2X3/8SLBB</v>
          </cell>
          <cell r="D1043" t="str">
            <v>F</v>
          </cell>
          <cell r="E1043">
            <v>14.4</v>
          </cell>
          <cell r="F1043">
            <v>4.24</v>
          </cell>
          <cell r="G1043" t="str">
            <v>2L3-1/2X2-1/2X3/8SLBB</v>
          </cell>
          <cell r="H1043">
            <v>2.5</v>
          </cell>
          <cell r="I1043" t="str">
            <v>–</v>
          </cell>
          <cell r="J1043" t="str">
            <v>–</v>
          </cell>
          <cell r="K1043" t="str">
            <v>–</v>
          </cell>
          <cell r="L1043" t="str">
            <v>–</v>
          </cell>
          <cell r="M1043" t="str">
            <v>–</v>
          </cell>
          <cell r="N1043" t="str">
            <v>–</v>
          </cell>
          <cell r="O1043" t="str">
            <v>–</v>
          </cell>
          <cell r="P1043">
            <v>3.5</v>
          </cell>
          <cell r="Q1043" t="str">
            <v>–</v>
          </cell>
          <cell r="R1043" t="str">
            <v>–</v>
          </cell>
          <cell r="S1043" t="str">
            <v>–</v>
          </cell>
          <cell r="T1043" t="str">
            <v>–</v>
          </cell>
          <cell r="U1043" t="str">
            <v>–</v>
          </cell>
          <cell r="V1043" t="str">
            <v>–</v>
          </cell>
          <cell r="W1043">
            <v>0.375</v>
          </cell>
        </row>
        <row r="1044">
          <cell r="B1044" t="str">
            <v>2L3-1/2X2-1/2X3/8X3/8SLBB</v>
          </cell>
          <cell r="C1044" t="str">
            <v>2L3-1/2X2-1/2X3/8X3/8SLBB</v>
          </cell>
          <cell r="D1044" t="str">
            <v>F</v>
          </cell>
          <cell r="E1044">
            <v>14.4</v>
          </cell>
          <cell r="F1044">
            <v>4.24</v>
          </cell>
          <cell r="G1044" t="str">
            <v>2L3-1/2X2-1/2X3/8X3/8SLBB</v>
          </cell>
          <cell r="H1044">
            <v>2.5</v>
          </cell>
          <cell r="I1044" t="str">
            <v>–</v>
          </cell>
          <cell r="J1044" t="str">
            <v>–</v>
          </cell>
          <cell r="K1044" t="str">
            <v>–</v>
          </cell>
          <cell r="L1044" t="str">
            <v>–</v>
          </cell>
          <cell r="M1044" t="str">
            <v>–</v>
          </cell>
          <cell r="N1044" t="str">
            <v>–</v>
          </cell>
          <cell r="O1044" t="str">
            <v>–</v>
          </cell>
          <cell r="P1044">
            <v>3.5</v>
          </cell>
          <cell r="Q1044" t="str">
            <v>–</v>
          </cell>
          <cell r="R1044" t="str">
            <v>–</v>
          </cell>
          <cell r="S1044" t="str">
            <v>–</v>
          </cell>
          <cell r="T1044" t="str">
            <v>–</v>
          </cell>
          <cell r="U1044" t="str">
            <v>–</v>
          </cell>
          <cell r="V1044" t="str">
            <v>–</v>
          </cell>
          <cell r="W1044">
            <v>0.375</v>
          </cell>
        </row>
        <row r="1045">
          <cell r="B1045" t="str">
            <v>2L3-1/2X2-1/2X3/8X3/4SLBB</v>
          </cell>
          <cell r="C1045" t="str">
            <v>2L3-1/2X2-1/2X3/8X3/4SLBB</v>
          </cell>
          <cell r="D1045" t="str">
            <v>F</v>
          </cell>
          <cell r="E1045">
            <v>14.4</v>
          </cell>
          <cell r="F1045">
            <v>4.24</v>
          </cell>
          <cell r="G1045" t="str">
            <v>2L3-1/2X2-1/2X3/8X3/4SLBB</v>
          </cell>
          <cell r="H1045">
            <v>2.5</v>
          </cell>
          <cell r="I1045" t="str">
            <v>–</v>
          </cell>
          <cell r="J1045" t="str">
            <v>–</v>
          </cell>
          <cell r="K1045" t="str">
            <v>–</v>
          </cell>
          <cell r="L1045" t="str">
            <v>–</v>
          </cell>
          <cell r="M1045" t="str">
            <v>–</v>
          </cell>
          <cell r="N1045" t="str">
            <v>–</v>
          </cell>
          <cell r="O1045" t="str">
            <v>–</v>
          </cell>
          <cell r="P1045">
            <v>3.5</v>
          </cell>
          <cell r="Q1045" t="str">
            <v>–</v>
          </cell>
          <cell r="R1045" t="str">
            <v>–</v>
          </cell>
          <cell r="S1045" t="str">
            <v>–</v>
          </cell>
          <cell r="T1045" t="str">
            <v>–</v>
          </cell>
          <cell r="U1045" t="str">
            <v>–</v>
          </cell>
          <cell r="V1045" t="str">
            <v>–</v>
          </cell>
          <cell r="W1045">
            <v>0.375</v>
          </cell>
        </row>
        <row r="1046">
          <cell r="B1046" t="str">
            <v>2L3-1/2X2-1/2X5/16SLBB</v>
          </cell>
          <cell r="C1046" t="str">
            <v>2L3-1/2X2-1/2X5/16SLBB</v>
          </cell>
          <cell r="D1046" t="str">
            <v>F</v>
          </cell>
          <cell r="E1046">
            <v>12.2</v>
          </cell>
          <cell r="F1046">
            <v>3.58</v>
          </cell>
          <cell r="G1046" t="str">
            <v>2L3-1/2X2-1/2X5/16SLBB</v>
          </cell>
          <cell r="H1046">
            <v>2.5</v>
          </cell>
          <cell r="I1046" t="str">
            <v>–</v>
          </cell>
          <cell r="J1046" t="str">
            <v>–</v>
          </cell>
          <cell r="K1046" t="str">
            <v>–</v>
          </cell>
          <cell r="L1046" t="str">
            <v>–</v>
          </cell>
          <cell r="M1046" t="str">
            <v>–</v>
          </cell>
          <cell r="N1046" t="str">
            <v>–</v>
          </cell>
          <cell r="O1046" t="str">
            <v>–</v>
          </cell>
          <cell r="P1046">
            <v>3.5</v>
          </cell>
          <cell r="Q1046" t="str">
            <v>–</v>
          </cell>
          <cell r="R1046" t="str">
            <v>–</v>
          </cell>
          <cell r="S1046" t="str">
            <v>–</v>
          </cell>
          <cell r="T1046" t="str">
            <v>–</v>
          </cell>
          <cell r="U1046" t="str">
            <v>–</v>
          </cell>
          <cell r="V1046" t="str">
            <v>–</v>
          </cell>
          <cell r="W1046">
            <v>0.313</v>
          </cell>
        </row>
        <row r="1047">
          <cell r="B1047" t="str">
            <v>2L3-1/2X2-1/2X5/16X3/8SLBB</v>
          </cell>
          <cell r="C1047" t="str">
            <v>2L3-1/2X2-1/2X5/16X3/8SLBB</v>
          </cell>
          <cell r="D1047" t="str">
            <v>F</v>
          </cell>
          <cell r="E1047">
            <v>12.2</v>
          </cell>
          <cell r="F1047">
            <v>3.58</v>
          </cell>
          <cell r="G1047" t="str">
            <v>2L3-1/2X2-1/2X5/16X3/8SLBB</v>
          </cell>
          <cell r="H1047">
            <v>2.5</v>
          </cell>
          <cell r="I1047" t="str">
            <v>–</v>
          </cell>
          <cell r="J1047" t="str">
            <v>–</v>
          </cell>
          <cell r="K1047" t="str">
            <v>–</v>
          </cell>
          <cell r="L1047" t="str">
            <v>–</v>
          </cell>
          <cell r="M1047" t="str">
            <v>–</v>
          </cell>
          <cell r="N1047" t="str">
            <v>–</v>
          </cell>
          <cell r="O1047" t="str">
            <v>–</v>
          </cell>
          <cell r="P1047">
            <v>3.5</v>
          </cell>
          <cell r="Q1047" t="str">
            <v>–</v>
          </cell>
          <cell r="R1047" t="str">
            <v>–</v>
          </cell>
          <cell r="S1047" t="str">
            <v>–</v>
          </cell>
          <cell r="T1047" t="str">
            <v>–</v>
          </cell>
          <cell r="U1047" t="str">
            <v>–</v>
          </cell>
          <cell r="V1047" t="str">
            <v>–</v>
          </cell>
          <cell r="W1047">
            <v>0.313</v>
          </cell>
        </row>
        <row r="1048">
          <cell r="B1048" t="str">
            <v>2L3-1/2X2-1/2X5/16X3/4SLBB</v>
          </cell>
          <cell r="C1048" t="str">
            <v>2L3-1/2X2-1/2X5/16X3/4SLBB</v>
          </cell>
          <cell r="D1048" t="str">
            <v>F</v>
          </cell>
          <cell r="E1048">
            <v>12.2</v>
          </cell>
          <cell r="F1048">
            <v>3.58</v>
          </cell>
          <cell r="G1048" t="str">
            <v>2L3-1/2X2-1/2X5/16X3/4SLBB</v>
          </cell>
          <cell r="H1048">
            <v>2.5</v>
          </cell>
          <cell r="I1048" t="str">
            <v>–</v>
          </cell>
          <cell r="J1048" t="str">
            <v>–</v>
          </cell>
          <cell r="K1048" t="str">
            <v>–</v>
          </cell>
          <cell r="L1048" t="str">
            <v>–</v>
          </cell>
          <cell r="M1048" t="str">
            <v>–</v>
          </cell>
          <cell r="N1048" t="str">
            <v>–</v>
          </cell>
          <cell r="O1048" t="str">
            <v>–</v>
          </cell>
          <cell r="P1048">
            <v>3.5</v>
          </cell>
          <cell r="Q1048" t="str">
            <v>–</v>
          </cell>
          <cell r="R1048" t="str">
            <v>–</v>
          </cell>
          <cell r="S1048" t="str">
            <v>–</v>
          </cell>
          <cell r="T1048" t="str">
            <v>–</v>
          </cell>
          <cell r="U1048" t="str">
            <v>–</v>
          </cell>
          <cell r="V1048" t="str">
            <v>–</v>
          </cell>
          <cell r="W1048">
            <v>0.313</v>
          </cell>
        </row>
        <row r="1049">
          <cell r="B1049" t="str">
            <v>2L3-1/2X2-1/2X1/4SLBB</v>
          </cell>
          <cell r="C1049" t="str">
            <v>2L3-1/2X2-1/2X1/4SLBB</v>
          </cell>
          <cell r="D1049" t="str">
            <v>F</v>
          </cell>
          <cell r="E1049">
            <v>9.8000000000000007</v>
          </cell>
          <cell r="F1049">
            <v>2.9</v>
          </cell>
          <cell r="G1049" t="str">
            <v>2L3-1/2X2-1/2X1/4SLBB</v>
          </cell>
          <cell r="H1049">
            <v>2.5</v>
          </cell>
          <cell r="I1049" t="str">
            <v>–</v>
          </cell>
          <cell r="J1049" t="str">
            <v>–</v>
          </cell>
          <cell r="K1049" t="str">
            <v>–</v>
          </cell>
          <cell r="L1049" t="str">
            <v>–</v>
          </cell>
          <cell r="M1049" t="str">
            <v>–</v>
          </cell>
          <cell r="N1049" t="str">
            <v>–</v>
          </cell>
          <cell r="O1049" t="str">
            <v>–</v>
          </cell>
          <cell r="P1049">
            <v>3.5</v>
          </cell>
          <cell r="Q1049" t="str">
            <v>–</v>
          </cell>
          <cell r="R1049" t="str">
            <v>–</v>
          </cell>
          <cell r="S1049" t="str">
            <v>–</v>
          </cell>
          <cell r="T1049" t="str">
            <v>–</v>
          </cell>
          <cell r="U1049" t="str">
            <v>–</v>
          </cell>
          <cell r="V1049" t="str">
            <v>–</v>
          </cell>
          <cell r="W1049">
            <v>0.25</v>
          </cell>
        </row>
        <row r="1050">
          <cell r="B1050" t="str">
            <v>2L3-1/2X2-1/2X1/4X3/8SLBB</v>
          </cell>
          <cell r="C1050" t="str">
            <v>2L3-1/2X2-1/2X1/4X3/8SLBB</v>
          </cell>
          <cell r="D1050" t="str">
            <v>F</v>
          </cell>
          <cell r="E1050">
            <v>9.8000000000000007</v>
          </cell>
          <cell r="F1050">
            <v>2.9</v>
          </cell>
          <cell r="G1050" t="str">
            <v>2L3-1/2X2-1/2X1/4X3/8SLBB</v>
          </cell>
          <cell r="H1050">
            <v>2.5</v>
          </cell>
          <cell r="I1050" t="str">
            <v>–</v>
          </cell>
          <cell r="J1050" t="str">
            <v>–</v>
          </cell>
          <cell r="K1050" t="str">
            <v>–</v>
          </cell>
          <cell r="L1050" t="str">
            <v>–</v>
          </cell>
          <cell r="M1050" t="str">
            <v>–</v>
          </cell>
          <cell r="N1050" t="str">
            <v>–</v>
          </cell>
          <cell r="O1050" t="str">
            <v>–</v>
          </cell>
          <cell r="P1050">
            <v>3.5</v>
          </cell>
          <cell r="Q1050" t="str">
            <v>–</v>
          </cell>
          <cell r="R1050" t="str">
            <v>–</v>
          </cell>
          <cell r="S1050" t="str">
            <v>–</v>
          </cell>
          <cell r="T1050" t="str">
            <v>–</v>
          </cell>
          <cell r="U1050" t="str">
            <v>–</v>
          </cell>
          <cell r="V1050" t="str">
            <v>–</v>
          </cell>
          <cell r="W1050">
            <v>0.25</v>
          </cell>
        </row>
        <row r="1051">
          <cell r="B1051" t="str">
            <v>2L3-1/2X2-1/2X1/4X3/4SLBB</v>
          </cell>
          <cell r="C1051" t="str">
            <v>2L3-1/2X2-1/2X1/4X3/4SLBB</v>
          </cell>
          <cell r="D1051" t="str">
            <v>F</v>
          </cell>
          <cell r="E1051">
            <v>9.8000000000000007</v>
          </cell>
          <cell r="F1051">
            <v>2.9</v>
          </cell>
          <cell r="G1051" t="str">
            <v>2L3-1/2X2-1/2X1/4X3/4SLBB</v>
          </cell>
          <cell r="H1051">
            <v>2.5</v>
          </cell>
          <cell r="I1051" t="str">
            <v>–</v>
          </cell>
          <cell r="J1051" t="str">
            <v>–</v>
          </cell>
          <cell r="K1051" t="str">
            <v>–</v>
          </cell>
          <cell r="L1051" t="str">
            <v>–</v>
          </cell>
          <cell r="M1051" t="str">
            <v>–</v>
          </cell>
          <cell r="N1051" t="str">
            <v>–</v>
          </cell>
          <cell r="O1051" t="str">
            <v>–</v>
          </cell>
          <cell r="P1051">
            <v>3.5</v>
          </cell>
          <cell r="Q1051" t="str">
            <v>–</v>
          </cell>
          <cell r="R1051" t="str">
            <v>–</v>
          </cell>
          <cell r="S1051" t="str">
            <v>–</v>
          </cell>
          <cell r="T1051" t="str">
            <v>–</v>
          </cell>
          <cell r="U1051" t="str">
            <v>–</v>
          </cell>
          <cell r="V1051" t="str">
            <v>–</v>
          </cell>
          <cell r="W1051">
            <v>0.25</v>
          </cell>
        </row>
        <row r="1052">
          <cell r="B1052" t="str">
            <v>2L3X2-1/2X1/2SLBB</v>
          </cell>
          <cell r="C1052" t="str">
            <v>2L3X2-1/2X1/2SLBB</v>
          </cell>
          <cell r="D1052" t="str">
            <v>F</v>
          </cell>
          <cell r="E1052">
            <v>17</v>
          </cell>
          <cell r="F1052">
            <v>5</v>
          </cell>
          <cell r="G1052" t="str">
            <v>2L3X2-1/2X1/2SLBB</v>
          </cell>
          <cell r="H1052">
            <v>2.5</v>
          </cell>
          <cell r="I1052" t="str">
            <v>–</v>
          </cell>
          <cell r="J1052" t="str">
            <v>–</v>
          </cell>
          <cell r="K1052" t="str">
            <v>–</v>
          </cell>
          <cell r="L1052" t="str">
            <v>–</v>
          </cell>
          <cell r="M1052" t="str">
            <v>–</v>
          </cell>
          <cell r="N1052" t="str">
            <v>–</v>
          </cell>
          <cell r="O1052" t="str">
            <v>–</v>
          </cell>
          <cell r="P1052">
            <v>3</v>
          </cell>
          <cell r="Q1052" t="str">
            <v>–</v>
          </cell>
          <cell r="R1052" t="str">
            <v>–</v>
          </cell>
          <cell r="S1052" t="str">
            <v>–</v>
          </cell>
          <cell r="T1052" t="str">
            <v>–</v>
          </cell>
          <cell r="U1052" t="str">
            <v>–</v>
          </cell>
          <cell r="V1052" t="str">
            <v>–</v>
          </cell>
          <cell r="W1052">
            <v>0.5</v>
          </cell>
        </row>
        <row r="1053">
          <cell r="B1053" t="str">
            <v>2L3X2-1/2X1/2X3/8SLBB</v>
          </cell>
          <cell r="C1053" t="str">
            <v>2L3X2-1/2X1/2X3/8SLBB</v>
          </cell>
          <cell r="D1053" t="str">
            <v>F</v>
          </cell>
          <cell r="E1053">
            <v>17</v>
          </cell>
          <cell r="F1053">
            <v>5</v>
          </cell>
          <cell r="G1053" t="str">
            <v>2L3X2-1/2X1/2X3/8SLBB</v>
          </cell>
          <cell r="H1053">
            <v>2.5</v>
          </cell>
          <cell r="I1053" t="str">
            <v>–</v>
          </cell>
          <cell r="J1053" t="str">
            <v>–</v>
          </cell>
          <cell r="K1053" t="str">
            <v>–</v>
          </cell>
          <cell r="L1053" t="str">
            <v>–</v>
          </cell>
          <cell r="M1053" t="str">
            <v>–</v>
          </cell>
          <cell r="N1053" t="str">
            <v>–</v>
          </cell>
          <cell r="O1053" t="str">
            <v>–</v>
          </cell>
          <cell r="P1053">
            <v>3</v>
          </cell>
          <cell r="Q1053" t="str">
            <v>–</v>
          </cell>
          <cell r="R1053" t="str">
            <v>–</v>
          </cell>
          <cell r="S1053" t="str">
            <v>–</v>
          </cell>
          <cell r="T1053" t="str">
            <v>–</v>
          </cell>
          <cell r="U1053" t="str">
            <v>–</v>
          </cell>
          <cell r="V1053" t="str">
            <v>–</v>
          </cell>
          <cell r="W1053">
            <v>0.5</v>
          </cell>
        </row>
        <row r="1054">
          <cell r="B1054" t="str">
            <v>2L3X2-1/2X1/2X3/4SLBB</v>
          </cell>
          <cell r="C1054" t="str">
            <v>2L3X2-1/2X1/2X3/4SLBB</v>
          </cell>
          <cell r="D1054" t="str">
            <v>F</v>
          </cell>
          <cell r="E1054">
            <v>17</v>
          </cell>
          <cell r="F1054">
            <v>5</v>
          </cell>
          <cell r="G1054" t="str">
            <v>2L3X2-1/2X1/2X3/4SLBB</v>
          </cell>
          <cell r="H1054">
            <v>2.5</v>
          </cell>
          <cell r="I1054" t="str">
            <v>–</v>
          </cell>
          <cell r="J1054" t="str">
            <v>–</v>
          </cell>
          <cell r="K1054" t="str">
            <v>–</v>
          </cell>
          <cell r="L1054" t="str">
            <v>–</v>
          </cell>
          <cell r="M1054" t="str">
            <v>–</v>
          </cell>
          <cell r="N1054" t="str">
            <v>–</v>
          </cell>
          <cell r="O1054" t="str">
            <v>–</v>
          </cell>
          <cell r="P1054">
            <v>3</v>
          </cell>
          <cell r="Q1054" t="str">
            <v>–</v>
          </cell>
          <cell r="R1054" t="str">
            <v>–</v>
          </cell>
          <cell r="S1054" t="str">
            <v>–</v>
          </cell>
          <cell r="T1054" t="str">
            <v>–</v>
          </cell>
          <cell r="U1054" t="str">
            <v>–</v>
          </cell>
          <cell r="V1054" t="str">
            <v>–</v>
          </cell>
          <cell r="W1054">
            <v>0.5</v>
          </cell>
        </row>
        <row r="1055">
          <cell r="B1055" t="str">
            <v>2L3X2-1/2X7/16SLBB</v>
          </cell>
          <cell r="C1055" t="str">
            <v>2L3X2-1/2X7/16SLBB</v>
          </cell>
          <cell r="D1055" t="str">
            <v>F</v>
          </cell>
          <cell r="E1055">
            <v>15.2</v>
          </cell>
          <cell r="F1055">
            <v>4.4400000000000004</v>
          </cell>
          <cell r="G1055" t="str">
            <v>2L3X2-1/2X7/16SLBB</v>
          </cell>
          <cell r="H1055">
            <v>2.5</v>
          </cell>
          <cell r="I1055" t="str">
            <v>–</v>
          </cell>
          <cell r="J1055" t="str">
            <v>–</v>
          </cell>
          <cell r="K1055" t="str">
            <v>–</v>
          </cell>
          <cell r="L1055" t="str">
            <v>–</v>
          </cell>
          <cell r="M1055" t="str">
            <v>–</v>
          </cell>
          <cell r="N1055" t="str">
            <v>–</v>
          </cell>
          <cell r="O1055" t="str">
            <v>–</v>
          </cell>
          <cell r="P1055">
            <v>3</v>
          </cell>
          <cell r="Q1055" t="str">
            <v>–</v>
          </cell>
          <cell r="R1055" t="str">
            <v>–</v>
          </cell>
          <cell r="S1055" t="str">
            <v>–</v>
          </cell>
          <cell r="T1055" t="str">
            <v>–</v>
          </cell>
          <cell r="U1055" t="str">
            <v>–</v>
          </cell>
          <cell r="V1055" t="str">
            <v>–</v>
          </cell>
          <cell r="W1055">
            <v>0.438</v>
          </cell>
        </row>
        <row r="1056">
          <cell r="B1056" t="str">
            <v>2L3X2-1/2X7/16X3/8SLBB</v>
          </cell>
          <cell r="C1056" t="str">
            <v>2L3X2-1/2X7/16X3/8SLBB</v>
          </cell>
          <cell r="D1056" t="str">
            <v>F</v>
          </cell>
          <cell r="E1056">
            <v>15.2</v>
          </cell>
          <cell r="F1056">
            <v>4.4400000000000004</v>
          </cell>
          <cell r="G1056" t="str">
            <v>2L3X2-1/2X7/16X3/8SLBB</v>
          </cell>
          <cell r="H1056">
            <v>2.5</v>
          </cell>
          <cell r="I1056" t="str">
            <v>–</v>
          </cell>
          <cell r="J1056" t="str">
            <v>–</v>
          </cell>
          <cell r="K1056" t="str">
            <v>–</v>
          </cell>
          <cell r="L1056" t="str">
            <v>–</v>
          </cell>
          <cell r="M1056" t="str">
            <v>–</v>
          </cell>
          <cell r="N1056" t="str">
            <v>–</v>
          </cell>
          <cell r="O1056" t="str">
            <v>–</v>
          </cell>
          <cell r="P1056">
            <v>3</v>
          </cell>
          <cell r="Q1056" t="str">
            <v>–</v>
          </cell>
          <cell r="R1056" t="str">
            <v>–</v>
          </cell>
          <cell r="S1056" t="str">
            <v>–</v>
          </cell>
          <cell r="T1056" t="str">
            <v>–</v>
          </cell>
          <cell r="U1056" t="str">
            <v>–</v>
          </cell>
          <cell r="V1056" t="str">
            <v>–</v>
          </cell>
          <cell r="W1056">
            <v>0.438</v>
          </cell>
        </row>
        <row r="1057">
          <cell r="B1057" t="str">
            <v>2L3X2-1/2X7/16X3/4SLBB</v>
          </cell>
          <cell r="C1057" t="str">
            <v>2L3X2-1/2X7/16X3/4SLBB</v>
          </cell>
          <cell r="D1057" t="str">
            <v>F</v>
          </cell>
          <cell r="E1057">
            <v>15.2</v>
          </cell>
          <cell r="F1057">
            <v>4.4400000000000004</v>
          </cell>
          <cell r="G1057" t="str">
            <v>2L3X2-1/2X7/16X3/4SLBB</v>
          </cell>
          <cell r="H1057">
            <v>2.5</v>
          </cell>
          <cell r="I1057" t="str">
            <v>–</v>
          </cell>
          <cell r="J1057" t="str">
            <v>–</v>
          </cell>
          <cell r="K1057" t="str">
            <v>–</v>
          </cell>
          <cell r="L1057" t="str">
            <v>–</v>
          </cell>
          <cell r="M1057" t="str">
            <v>–</v>
          </cell>
          <cell r="N1057" t="str">
            <v>–</v>
          </cell>
          <cell r="O1057" t="str">
            <v>–</v>
          </cell>
          <cell r="P1057">
            <v>3</v>
          </cell>
          <cell r="Q1057" t="str">
            <v>–</v>
          </cell>
          <cell r="R1057" t="str">
            <v>–</v>
          </cell>
          <cell r="S1057" t="str">
            <v>–</v>
          </cell>
          <cell r="T1057" t="str">
            <v>–</v>
          </cell>
          <cell r="U1057" t="str">
            <v>–</v>
          </cell>
          <cell r="V1057" t="str">
            <v>–</v>
          </cell>
          <cell r="W1057">
            <v>0.438</v>
          </cell>
        </row>
        <row r="1058">
          <cell r="B1058" t="str">
            <v>2L3X2-1/2X3/8SLBB</v>
          </cell>
          <cell r="C1058" t="str">
            <v>2L3X2-1/2X3/8SLBB</v>
          </cell>
          <cell r="D1058" t="str">
            <v>F</v>
          </cell>
          <cell r="E1058">
            <v>13.2</v>
          </cell>
          <cell r="F1058">
            <v>3.86</v>
          </cell>
          <cell r="G1058" t="str">
            <v>2L3X2-1/2X3/8SLBB</v>
          </cell>
          <cell r="H1058">
            <v>2.5</v>
          </cell>
          <cell r="I1058" t="str">
            <v>–</v>
          </cell>
          <cell r="J1058" t="str">
            <v>–</v>
          </cell>
          <cell r="K1058" t="str">
            <v>–</v>
          </cell>
          <cell r="L1058" t="str">
            <v>–</v>
          </cell>
          <cell r="M1058" t="str">
            <v>–</v>
          </cell>
          <cell r="N1058" t="str">
            <v>–</v>
          </cell>
          <cell r="O1058" t="str">
            <v>–</v>
          </cell>
          <cell r="P1058">
            <v>3</v>
          </cell>
          <cell r="Q1058" t="str">
            <v>–</v>
          </cell>
          <cell r="R1058" t="str">
            <v>–</v>
          </cell>
          <cell r="S1058" t="str">
            <v>–</v>
          </cell>
          <cell r="T1058" t="str">
            <v>–</v>
          </cell>
          <cell r="U1058" t="str">
            <v>–</v>
          </cell>
          <cell r="V1058" t="str">
            <v>–</v>
          </cell>
          <cell r="W1058">
            <v>0.375</v>
          </cell>
        </row>
        <row r="1059">
          <cell r="B1059" t="str">
            <v>2L3X2-1/2X3/8X3/8SLBB</v>
          </cell>
          <cell r="C1059" t="str">
            <v>2L3X2-1/2X3/8X3/8SLBB</v>
          </cell>
          <cell r="D1059" t="str">
            <v>F</v>
          </cell>
          <cell r="E1059">
            <v>13.2</v>
          </cell>
          <cell r="F1059">
            <v>3.86</v>
          </cell>
          <cell r="G1059" t="str">
            <v>2L3X2-1/2X3/8X3/8SLBB</v>
          </cell>
          <cell r="H1059">
            <v>2.5</v>
          </cell>
          <cell r="I1059" t="str">
            <v>–</v>
          </cell>
          <cell r="J1059" t="str">
            <v>–</v>
          </cell>
          <cell r="K1059" t="str">
            <v>–</v>
          </cell>
          <cell r="L1059" t="str">
            <v>–</v>
          </cell>
          <cell r="M1059" t="str">
            <v>–</v>
          </cell>
          <cell r="N1059" t="str">
            <v>–</v>
          </cell>
          <cell r="O1059" t="str">
            <v>–</v>
          </cell>
          <cell r="P1059">
            <v>3</v>
          </cell>
          <cell r="Q1059" t="str">
            <v>–</v>
          </cell>
          <cell r="R1059" t="str">
            <v>–</v>
          </cell>
          <cell r="S1059" t="str">
            <v>–</v>
          </cell>
          <cell r="T1059" t="str">
            <v>–</v>
          </cell>
          <cell r="U1059" t="str">
            <v>–</v>
          </cell>
          <cell r="V1059" t="str">
            <v>–</v>
          </cell>
          <cell r="W1059">
            <v>0.375</v>
          </cell>
        </row>
        <row r="1060">
          <cell r="B1060" t="str">
            <v>2L3X2-1/2X3/8X3/4SLBB</v>
          </cell>
          <cell r="C1060" t="str">
            <v>2L3X2-1/2X3/8X3/4SLBB</v>
          </cell>
          <cell r="D1060" t="str">
            <v>F</v>
          </cell>
          <cell r="E1060">
            <v>13.2</v>
          </cell>
          <cell r="F1060">
            <v>3.86</v>
          </cell>
          <cell r="G1060" t="str">
            <v>2L3X2-1/2X3/8X3/4SLBB</v>
          </cell>
          <cell r="H1060">
            <v>2.5</v>
          </cell>
          <cell r="I1060" t="str">
            <v>–</v>
          </cell>
          <cell r="J1060" t="str">
            <v>–</v>
          </cell>
          <cell r="K1060" t="str">
            <v>–</v>
          </cell>
          <cell r="L1060" t="str">
            <v>–</v>
          </cell>
          <cell r="M1060" t="str">
            <v>–</v>
          </cell>
          <cell r="N1060" t="str">
            <v>–</v>
          </cell>
          <cell r="O1060" t="str">
            <v>–</v>
          </cell>
          <cell r="P1060">
            <v>3</v>
          </cell>
          <cell r="Q1060" t="str">
            <v>–</v>
          </cell>
          <cell r="R1060" t="str">
            <v>–</v>
          </cell>
          <cell r="S1060" t="str">
            <v>–</v>
          </cell>
          <cell r="T1060" t="str">
            <v>–</v>
          </cell>
          <cell r="U1060" t="str">
            <v>–</v>
          </cell>
          <cell r="V1060" t="str">
            <v>–</v>
          </cell>
          <cell r="W1060">
            <v>0.375</v>
          </cell>
        </row>
        <row r="1061">
          <cell r="B1061" t="str">
            <v>2L3X2-1/2X5/16SLBB</v>
          </cell>
          <cell r="C1061" t="str">
            <v>2L3X2-1/2X5/16SLBB</v>
          </cell>
          <cell r="D1061" t="str">
            <v>F</v>
          </cell>
          <cell r="E1061">
            <v>11.2</v>
          </cell>
          <cell r="F1061">
            <v>3.26</v>
          </cell>
          <cell r="G1061" t="str">
            <v>2L3X2-1/2X5/16SLBB</v>
          </cell>
          <cell r="H1061">
            <v>2.5</v>
          </cell>
          <cell r="I1061" t="str">
            <v>–</v>
          </cell>
          <cell r="J1061" t="str">
            <v>–</v>
          </cell>
          <cell r="K1061" t="str">
            <v>–</v>
          </cell>
          <cell r="L1061" t="str">
            <v>–</v>
          </cell>
          <cell r="M1061" t="str">
            <v>–</v>
          </cell>
          <cell r="N1061" t="str">
            <v>–</v>
          </cell>
          <cell r="O1061" t="str">
            <v>–</v>
          </cell>
          <cell r="P1061">
            <v>3</v>
          </cell>
          <cell r="Q1061" t="str">
            <v>–</v>
          </cell>
          <cell r="R1061" t="str">
            <v>–</v>
          </cell>
          <cell r="S1061" t="str">
            <v>–</v>
          </cell>
          <cell r="T1061" t="str">
            <v>–</v>
          </cell>
          <cell r="U1061" t="str">
            <v>–</v>
          </cell>
          <cell r="V1061" t="str">
            <v>–</v>
          </cell>
          <cell r="W1061">
            <v>0.313</v>
          </cell>
        </row>
        <row r="1062">
          <cell r="B1062" t="str">
            <v>2L3X2-1/2X5/16X3/8SLBB</v>
          </cell>
          <cell r="C1062" t="str">
            <v>2L3X2-1/2X5/16X3/8SLBB</v>
          </cell>
          <cell r="D1062" t="str">
            <v>F</v>
          </cell>
          <cell r="E1062">
            <v>11.2</v>
          </cell>
          <cell r="F1062">
            <v>3.26</v>
          </cell>
          <cell r="G1062" t="str">
            <v>2L3X2-1/2X5/16X3/8SLBB</v>
          </cell>
          <cell r="H1062">
            <v>2.5</v>
          </cell>
          <cell r="I1062" t="str">
            <v>–</v>
          </cell>
          <cell r="J1062" t="str">
            <v>–</v>
          </cell>
          <cell r="K1062" t="str">
            <v>–</v>
          </cell>
          <cell r="L1062" t="str">
            <v>–</v>
          </cell>
          <cell r="M1062" t="str">
            <v>–</v>
          </cell>
          <cell r="N1062" t="str">
            <v>–</v>
          </cell>
          <cell r="O1062" t="str">
            <v>–</v>
          </cell>
          <cell r="P1062">
            <v>3</v>
          </cell>
          <cell r="Q1062" t="str">
            <v>–</v>
          </cell>
          <cell r="R1062" t="str">
            <v>–</v>
          </cell>
          <cell r="S1062" t="str">
            <v>–</v>
          </cell>
          <cell r="T1062" t="str">
            <v>–</v>
          </cell>
          <cell r="U1062" t="str">
            <v>–</v>
          </cell>
          <cell r="V1062" t="str">
            <v>–</v>
          </cell>
          <cell r="W1062">
            <v>0.313</v>
          </cell>
        </row>
        <row r="1063">
          <cell r="B1063" t="str">
            <v>2L3X2-1/2X5/16X3/4SLBB</v>
          </cell>
          <cell r="C1063" t="str">
            <v>2L3X2-1/2X5/16X3/4SLBB</v>
          </cell>
          <cell r="D1063" t="str">
            <v>F</v>
          </cell>
          <cell r="E1063">
            <v>11.2</v>
          </cell>
          <cell r="F1063">
            <v>3.26</v>
          </cell>
          <cell r="G1063" t="str">
            <v>2L3X2-1/2X5/16X3/4SLBB</v>
          </cell>
          <cell r="H1063">
            <v>2.5</v>
          </cell>
          <cell r="I1063" t="str">
            <v>–</v>
          </cell>
          <cell r="J1063" t="str">
            <v>–</v>
          </cell>
          <cell r="K1063" t="str">
            <v>–</v>
          </cell>
          <cell r="L1063" t="str">
            <v>–</v>
          </cell>
          <cell r="M1063" t="str">
            <v>–</v>
          </cell>
          <cell r="N1063" t="str">
            <v>–</v>
          </cell>
          <cell r="O1063" t="str">
            <v>–</v>
          </cell>
          <cell r="P1063">
            <v>3</v>
          </cell>
          <cell r="Q1063" t="str">
            <v>–</v>
          </cell>
          <cell r="R1063" t="str">
            <v>–</v>
          </cell>
          <cell r="S1063" t="str">
            <v>–</v>
          </cell>
          <cell r="T1063" t="str">
            <v>–</v>
          </cell>
          <cell r="U1063" t="str">
            <v>–</v>
          </cell>
          <cell r="V1063" t="str">
            <v>–</v>
          </cell>
          <cell r="W1063">
            <v>0.313</v>
          </cell>
        </row>
        <row r="1064">
          <cell r="B1064" t="str">
            <v>2L3X2-1/2X1/4SLBB</v>
          </cell>
          <cell r="C1064" t="str">
            <v>2L3X2-1/2X1/4SLBB</v>
          </cell>
          <cell r="D1064" t="str">
            <v>F</v>
          </cell>
          <cell r="E1064">
            <v>9</v>
          </cell>
          <cell r="F1064">
            <v>2.64</v>
          </cell>
          <cell r="G1064" t="str">
            <v>2L3X2-1/2X1/4SLBB</v>
          </cell>
          <cell r="H1064">
            <v>2.5</v>
          </cell>
          <cell r="I1064" t="str">
            <v>–</v>
          </cell>
          <cell r="J1064" t="str">
            <v>–</v>
          </cell>
          <cell r="K1064" t="str">
            <v>–</v>
          </cell>
          <cell r="L1064" t="str">
            <v>–</v>
          </cell>
          <cell r="M1064" t="str">
            <v>–</v>
          </cell>
          <cell r="N1064" t="str">
            <v>–</v>
          </cell>
          <cell r="O1064" t="str">
            <v>–</v>
          </cell>
          <cell r="P1064">
            <v>3</v>
          </cell>
          <cell r="Q1064" t="str">
            <v>–</v>
          </cell>
          <cell r="R1064" t="str">
            <v>–</v>
          </cell>
          <cell r="S1064" t="str">
            <v>–</v>
          </cell>
          <cell r="T1064" t="str">
            <v>–</v>
          </cell>
          <cell r="U1064" t="str">
            <v>–</v>
          </cell>
          <cell r="V1064" t="str">
            <v>–</v>
          </cell>
          <cell r="W1064">
            <v>0.25</v>
          </cell>
        </row>
        <row r="1065">
          <cell r="B1065" t="str">
            <v>2L3X2-1/2X1/4X3/8SLBB</v>
          </cell>
          <cell r="C1065" t="str">
            <v>2L3X2-1/2X1/4X3/8SLBB</v>
          </cell>
          <cell r="D1065" t="str">
            <v>F</v>
          </cell>
          <cell r="E1065">
            <v>9</v>
          </cell>
          <cell r="F1065">
            <v>2.64</v>
          </cell>
          <cell r="G1065" t="str">
            <v>2L3X2-1/2X1/4X3/8SLBB</v>
          </cell>
          <cell r="H1065">
            <v>2.5</v>
          </cell>
          <cell r="I1065" t="str">
            <v>–</v>
          </cell>
          <cell r="J1065" t="str">
            <v>–</v>
          </cell>
          <cell r="K1065" t="str">
            <v>–</v>
          </cell>
          <cell r="L1065" t="str">
            <v>–</v>
          </cell>
          <cell r="M1065" t="str">
            <v>–</v>
          </cell>
          <cell r="N1065" t="str">
            <v>–</v>
          </cell>
          <cell r="O1065" t="str">
            <v>–</v>
          </cell>
          <cell r="P1065">
            <v>3</v>
          </cell>
          <cell r="Q1065" t="str">
            <v>–</v>
          </cell>
          <cell r="R1065" t="str">
            <v>–</v>
          </cell>
          <cell r="S1065" t="str">
            <v>–</v>
          </cell>
          <cell r="T1065" t="str">
            <v>–</v>
          </cell>
          <cell r="U1065" t="str">
            <v>–</v>
          </cell>
          <cell r="V1065" t="str">
            <v>–</v>
          </cell>
          <cell r="W1065">
            <v>0.25</v>
          </cell>
        </row>
        <row r="1066">
          <cell r="B1066" t="str">
            <v>2L3X2-1/2X1/4X3/4SLBB</v>
          </cell>
          <cell r="C1066" t="str">
            <v>2L3X2-1/2X1/4X3/4SLBB</v>
          </cell>
          <cell r="D1066" t="str">
            <v>F</v>
          </cell>
          <cell r="E1066">
            <v>9</v>
          </cell>
          <cell r="F1066">
            <v>2.64</v>
          </cell>
          <cell r="G1066" t="str">
            <v>2L3X2-1/2X1/4X3/4SLBB</v>
          </cell>
          <cell r="H1066">
            <v>2.5</v>
          </cell>
          <cell r="I1066" t="str">
            <v>–</v>
          </cell>
          <cell r="J1066" t="str">
            <v>–</v>
          </cell>
          <cell r="K1066" t="str">
            <v>–</v>
          </cell>
          <cell r="L1066" t="str">
            <v>–</v>
          </cell>
          <cell r="M1066" t="str">
            <v>–</v>
          </cell>
          <cell r="N1066" t="str">
            <v>–</v>
          </cell>
          <cell r="O1066" t="str">
            <v>–</v>
          </cell>
          <cell r="P1066">
            <v>3</v>
          </cell>
          <cell r="Q1066" t="str">
            <v>–</v>
          </cell>
          <cell r="R1066" t="str">
            <v>–</v>
          </cell>
          <cell r="S1066" t="str">
            <v>–</v>
          </cell>
          <cell r="T1066" t="str">
            <v>–</v>
          </cell>
          <cell r="U1066" t="str">
            <v>–</v>
          </cell>
          <cell r="V1066" t="str">
            <v>–</v>
          </cell>
          <cell r="W1066">
            <v>0.25</v>
          </cell>
        </row>
        <row r="1067">
          <cell r="B1067" t="str">
            <v>2L3X2-1/2X3/16SLBB</v>
          </cell>
          <cell r="C1067" t="str">
            <v>2L3X2-1/2X3/16SLBB</v>
          </cell>
          <cell r="D1067" t="str">
            <v>F</v>
          </cell>
          <cell r="E1067">
            <v>6.78</v>
          </cell>
          <cell r="F1067">
            <v>2</v>
          </cell>
          <cell r="G1067" t="str">
            <v>2L3X2-1/2X3/16SLBB</v>
          </cell>
          <cell r="H1067">
            <v>2.5</v>
          </cell>
          <cell r="I1067" t="str">
            <v>–</v>
          </cell>
          <cell r="J1067" t="str">
            <v>–</v>
          </cell>
          <cell r="K1067" t="str">
            <v>–</v>
          </cell>
          <cell r="L1067" t="str">
            <v>–</v>
          </cell>
          <cell r="M1067" t="str">
            <v>–</v>
          </cell>
          <cell r="N1067" t="str">
            <v>–</v>
          </cell>
          <cell r="O1067" t="str">
            <v>–</v>
          </cell>
          <cell r="P1067">
            <v>3</v>
          </cell>
          <cell r="Q1067" t="str">
            <v>–</v>
          </cell>
          <cell r="R1067" t="str">
            <v>–</v>
          </cell>
          <cell r="S1067" t="str">
            <v>–</v>
          </cell>
          <cell r="T1067" t="str">
            <v>–</v>
          </cell>
          <cell r="U1067" t="str">
            <v>–</v>
          </cell>
          <cell r="V1067" t="str">
            <v>–</v>
          </cell>
          <cell r="W1067">
            <v>0.188</v>
          </cell>
        </row>
        <row r="1068">
          <cell r="B1068" t="str">
            <v>2L3X2-1/2X3/16X3/8SLBB</v>
          </cell>
          <cell r="C1068" t="str">
            <v>2L3X2-1/2X3/16X3/8SLBB</v>
          </cell>
          <cell r="D1068" t="str">
            <v>F</v>
          </cell>
          <cell r="E1068">
            <v>6.78</v>
          </cell>
          <cell r="F1068">
            <v>2</v>
          </cell>
          <cell r="G1068" t="str">
            <v>2L3X2-1/2X3/16X3/8SLBB</v>
          </cell>
          <cell r="H1068">
            <v>2.5</v>
          </cell>
          <cell r="I1068" t="str">
            <v>–</v>
          </cell>
          <cell r="J1068" t="str">
            <v>–</v>
          </cell>
          <cell r="K1068" t="str">
            <v>–</v>
          </cell>
          <cell r="L1068" t="str">
            <v>–</v>
          </cell>
          <cell r="M1068" t="str">
            <v>–</v>
          </cell>
          <cell r="N1068" t="str">
            <v>–</v>
          </cell>
          <cell r="O1068" t="str">
            <v>–</v>
          </cell>
          <cell r="P1068">
            <v>3</v>
          </cell>
          <cell r="Q1068" t="str">
            <v>–</v>
          </cell>
          <cell r="R1068" t="str">
            <v>–</v>
          </cell>
          <cell r="S1068" t="str">
            <v>–</v>
          </cell>
          <cell r="T1068" t="str">
            <v>–</v>
          </cell>
          <cell r="U1068" t="str">
            <v>–</v>
          </cell>
          <cell r="V1068" t="str">
            <v>–</v>
          </cell>
          <cell r="W1068">
            <v>0.188</v>
          </cell>
        </row>
        <row r="1069">
          <cell r="B1069" t="str">
            <v>2L3X2-1/2X3/16X3/4SLBB</v>
          </cell>
          <cell r="C1069" t="str">
            <v>2L3X2-1/2X3/16X3/4SLBB</v>
          </cell>
          <cell r="D1069" t="str">
            <v>F</v>
          </cell>
          <cell r="E1069">
            <v>6.78</v>
          </cell>
          <cell r="F1069">
            <v>2</v>
          </cell>
          <cell r="G1069" t="str">
            <v>2L3X2-1/2X3/16X3/4SLBB</v>
          </cell>
          <cell r="H1069">
            <v>2.5</v>
          </cell>
          <cell r="I1069" t="str">
            <v>–</v>
          </cell>
          <cell r="J1069" t="str">
            <v>–</v>
          </cell>
          <cell r="K1069" t="str">
            <v>–</v>
          </cell>
          <cell r="L1069" t="str">
            <v>–</v>
          </cell>
          <cell r="M1069" t="str">
            <v>–</v>
          </cell>
          <cell r="N1069" t="str">
            <v>–</v>
          </cell>
          <cell r="O1069" t="str">
            <v>–</v>
          </cell>
          <cell r="P1069">
            <v>3</v>
          </cell>
          <cell r="Q1069" t="str">
            <v>–</v>
          </cell>
          <cell r="R1069" t="str">
            <v>–</v>
          </cell>
          <cell r="S1069" t="str">
            <v>–</v>
          </cell>
          <cell r="T1069" t="str">
            <v>–</v>
          </cell>
          <cell r="U1069" t="str">
            <v>–</v>
          </cell>
          <cell r="V1069" t="str">
            <v>–</v>
          </cell>
          <cell r="W1069">
            <v>0.188</v>
          </cell>
        </row>
        <row r="1070">
          <cell r="B1070" t="str">
            <v>2L3X2X1/2SLBB</v>
          </cell>
          <cell r="C1070" t="str">
            <v>2L3X2X1/2SLBB</v>
          </cell>
          <cell r="D1070" t="str">
            <v>F</v>
          </cell>
          <cell r="E1070">
            <v>15.4</v>
          </cell>
          <cell r="F1070">
            <v>4.5199999999999996</v>
          </cell>
          <cell r="G1070" t="str">
            <v>2L3X2X1/2SLBB</v>
          </cell>
          <cell r="H1070">
            <v>2</v>
          </cell>
          <cell r="I1070" t="str">
            <v>–</v>
          </cell>
          <cell r="J1070" t="str">
            <v>–</v>
          </cell>
          <cell r="K1070" t="str">
            <v>–</v>
          </cell>
          <cell r="L1070" t="str">
            <v>–</v>
          </cell>
          <cell r="M1070" t="str">
            <v>–</v>
          </cell>
          <cell r="N1070" t="str">
            <v>–</v>
          </cell>
          <cell r="O1070" t="str">
            <v>–</v>
          </cell>
          <cell r="P1070">
            <v>3</v>
          </cell>
          <cell r="Q1070" t="str">
            <v>–</v>
          </cell>
          <cell r="R1070" t="str">
            <v>–</v>
          </cell>
          <cell r="S1070" t="str">
            <v>–</v>
          </cell>
          <cell r="T1070" t="str">
            <v>–</v>
          </cell>
          <cell r="U1070" t="str">
            <v>–</v>
          </cell>
          <cell r="V1070" t="str">
            <v>–</v>
          </cell>
          <cell r="W1070">
            <v>0.5</v>
          </cell>
        </row>
        <row r="1071">
          <cell r="B1071" t="str">
            <v>2L3X2X1/2X3/8SLBB</v>
          </cell>
          <cell r="C1071" t="str">
            <v>2L3X2X1/2X3/8SLBB</v>
          </cell>
          <cell r="D1071" t="str">
            <v>F</v>
          </cell>
          <cell r="E1071">
            <v>15.4</v>
          </cell>
          <cell r="F1071">
            <v>4.5199999999999996</v>
          </cell>
          <cell r="G1071" t="str">
            <v>2L3X2X1/2X3/8SLBB</v>
          </cell>
          <cell r="H1071">
            <v>2</v>
          </cell>
          <cell r="I1071" t="str">
            <v>–</v>
          </cell>
          <cell r="J1071" t="str">
            <v>–</v>
          </cell>
          <cell r="K1071" t="str">
            <v>–</v>
          </cell>
          <cell r="L1071" t="str">
            <v>–</v>
          </cell>
          <cell r="M1071" t="str">
            <v>–</v>
          </cell>
          <cell r="N1071" t="str">
            <v>–</v>
          </cell>
          <cell r="O1071" t="str">
            <v>–</v>
          </cell>
          <cell r="P1071">
            <v>3</v>
          </cell>
          <cell r="Q1071" t="str">
            <v>–</v>
          </cell>
          <cell r="R1071" t="str">
            <v>–</v>
          </cell>
          <cell r="S1071" t="str">
            <v>–</v>
          </cell>
          <cell r="T1071" t="str">
            <v>–</v>
          </cell>
          <cell r="U1071" t="str">
            <v>–</v>
          </cell>
          <cell r="V1071" t="str">
            <v>–</v>
          </cell>
          <cell r="W1071">
            <v>0.5</v>
          </cell>
        </row>
        <row r="1072">
          <cell r="B1072" t="str">
            <v>2L3X2X1/2X3/4SLBB</v>
          </cell>
          <cell r="C1072" t="str">
            <v>2L3X2X1/2X3/4SLBB</v>
          </cell>
          <cell r="D1072" t="str">
            <v>F</v>
          </cell>
          <cell r="E1072">
            <v>15.4</v>
          </cell>
          <cell r="F1072">
            <v>4.5199999999999996</v>
          </cell>
          <cell r="G1072" t="str">
            <v>2L3X2X1/2X3/4SLBB</v>
          </cell>
          <cell r="H1072">
            <v>2</v>
          </cell>
          <cell r="I1072" t="str">
            <v>–</v>
          </cell>
          <cell r="J1072" t="str">
            <v>–</v>
          </cell>
          <cell r="K1072" t="str">
            <v>–</v>
          </cell>
          <cell r="L1072" t="str">
            <v>–</v>
          </cell>
          <cell r="M1072" t="str">
            <v>–</v>
          </cell>
          <cell r="N1072" t="str">
            <v>–</v>
          </cell>
          <cell r="O1072" t="str">
            <v>–</v>
          </cell>
          <cell r="P1072">
            <v>3</v>
          </cell>
          <cell r="Q1072" t="str">
            <v>–</v>
          </cell>
          <cell r="R1072" t="str">
            <v>–</v>
          </cell>
          <cell r="S1072" t="str">
            <v>–</v>
          </cell>
          <cell r="T1072" t="str">
            <v>–</v>
          </cell>
          <cell r="U1072" t="str">
            <v>–</v>
          </cell>
          <cell r="V1072" t="str">
            <v>–</v>
          </cell>
          <cell r="W1072">
            <v>0.5</v>
          </cell>
        </row>
        <row r="1073">
          <cell r="B1073" t="str">
            <v>2L3X2X3/8SLBB</v>
          </cell>
          <cell r="C1073" t="str">
            <v>2L3X2X3/8SLBB</v>
          </cell>
          <cell r="D1073" t="str">
            <v>F</v>
          </cell>
          <cell r="E1073">
            <v>11.8</v>
          </cell>
          <cell r="F1073">
            <v>3.5</v>
          </cell>
          <cell r="G1073" t="str">
            <v>2L3X2X3/8SLBB</v>
          </cell>
          <cell r="H1073">
            <v>2</v>
          </cell>
          <cell r="I1073" t="str">
            <v>–</v>
          </cell>
          <cell r="J1073" t="str">
            <v>–</v>
          </cell>
          <cell r="K1073" t="str">
            <v>–</v>
          </cell>
          <cell r="L1073" t="str">
            <v>–</v>
          </cell>
          <cell r="M1073" t="str">
            <v>–</v>
          </cell>
          <cell r="N1073" t="str">
            <v>–</v>
          </cell>
          <cell r="O1073" t="str">
            <v>–</v>
          </cell>
          <cell r="P1073">
            <v>3</v>
          </cell>
          <cell r="Q1073" t="str">
            <v>–</v>
          </cell>
          <cell r="R1073" t="str">
            <v>–</v>
          </cell>
          <cell r="S1073" t="str">
            <v>–</v>
          </cell>
          <cell r="T1073" t="str">
            <v>–</v>
          </cell>
          <cell r="U1073" t="str">
            <v>–</v>
          </cell>
          <cell r="V1073" t="str">
            <v>–</v>
          </cell>
          <cell r="W1073">
            <v>0.375</v>
          </cell>
        </row>
        <row r="1074">
          <cell r="B1074" t="str">
            <v>2L3X2X3/8X3/8SLBB</v>
          </cell>
          <cell r="C1074" t="str">
            <v>2L3X2X3/8X3/8SLBB</v>
          </cell>
          <cell r="D1074" t="str">
            <v>F</v>
          </cell>
          <cell r="E1074">
            <v>11.8</v>
          </cell>
          <cell r="F1074">
            <v>3.5</v>
          </cell>
          <cell r="G1074" t="str">
            <v>2L3X2X3/8X3/8SLBB</v>
          </cell>
          <cell r="H1074">
            <v>2</v>
          </cell>
          <cell r="I1074" t="str">
            <v>–</v>
          </cell>
          <cell r="J1074" t="str">
            <v>–</v>
          </cell>
          <cell r="K1074" t="str">
            <v>–</v>
          </cell>
          <cell r="L1074" t="str">
            <v>–</v>
          </cell>
          <cell r="M1074" t="str">
            <v>–</v>
          </cell>
          <cell r="N1074" t="str">
            <v>–</v>
          </cell>
          <cell r="O1074" t="str">
            <v>–</v>
          </cell>
          <cell r="P1074">
            <v>3</v>
          </cell>
          <cell r="Q1074" t="str">
            <v>–</v>
          </cell>
          <cell r="R1074" t="str">
            <v>–</v>
          </cell>
          <cell r="S1074" t="str">
            <v>–</v>
          </cell>
          <cell r="T1074" t="str">
            <v>–</v>
          </cell>
          <cell r="U1074" t="str">
            <v>–</v>
          </cell>
          <cell r="V1074" t="str">
            <v>–</v>
          </cell>
          <cell r="W1074">
            <v>0.375</v>
          </cell>
        </row>
        <row r="1075">
          <cell r="B1075" t="str">
            <v>2L3X2X3/8X3/4SLBB</v>
          </cell>
          <cell r="C1075" t="str">
            <v>2L3X2X3/8X3/4SLBB</v>
          </cell>
          <cell r="D1075" t="str">
            <v>F</v>
          </cell>
          <cell r="E1075">
            <v>11.8</v>
          </cell>
          <cell r="F1075">
            <v>3.5</v>
          </cell>
          <cell r="G1075" t="str">
            <v>2L3X2X3/8X3/4SLBB</v>
          </cell>
          <cell r="H1075">
            <v>2</v>
          </cell>
          <cell r="I1075" t="str">
            <v>–</v>
          </cell>
          <cell r="J1075" t="str">
            <v>–</v>
          </cell>
          <cell r="K1075" t="str">
            <v>–</v>
          </cell>
          <cell r="L1075" t="str">
            <v>–</v>
          </cell>
          <cell r="M1075" t="str">
            <v>–</v>
          </cell>
          <cell r="N1075" t="str">
            <v>–</v>
          </cell>
          <cell r="O1075" t="str">
            <v>–</v>
          </cell>
          <cell r="P1075">
            <v>3</v>
          </cell>
          <cell r="Q1075" t="str">
            <v>–</v>
          </cell>
          <cell r="R1075" t="str">
            <v>–</v>
          </cell>
          <cell r="S1075" t="str">
            <v>–</v>
          </cell>
          <cell r="T1075" t="str">
            <v>–</v>
          </cell>
          <cell r="U1075" t="str">
            <v>–</v>
          </cell>
          <cell r="V1075" t="str">
            <v>–</v>
          </cell>
          <cell r="W1075">
            <v>0.375</v>
          </cell>
        </row>
        <row r="1076">
          <cell r="B1076" t="str">
            <v>2L3X2X5/16SLBB</v>
          </cell>
          <cell r="C1076" t="str">
            <v>2L3X2X5/16SLBB</v>
          </cell>
          <cell r="D1076" t="str">
            <v>F</v>
          </cell>
          <cell r="E1076">
            <v>10</v>
          </cell>
          <cell r="F1076">
            <v>2.96</v>
          </cell>
          <cell r="G1076" t="str">
            <v>2L3X2X5/16SLBB</v>
          </cell>
          <cell r="H1076">
            <v>2</v>
          </cell>
          <cell r="I1076" t="str">
            <v>–</v>
          </cell>
          <cell r="J1076" t="str">
            <v>–</v>
          </cell>
          <cell r="K1076" t="str">
            <v>–</v>
          </cell>
          <cell r="L1076" t="str">
            <v>–</v>
          </cell>
          <cell r="M1076" t="str">
            <v>–</v>
          </cell>
          <cell r="N1076" t="str">
            <v>–</v>
          </cell>
          <cell r="O1076" t="str">
            <v>–</v>
          </cell>
          <cell r="P1076">
            <v>3</v>
          </cell>
          <cell r="Q1076" t="str">
            <v>–</v>
          </cell>
          <cell r="R1076" t="str">
            <v>–</v>
          </cell>
          <cell r="S1076" t="str">
            <v>–</v>
          </cell>
          <cell r="T1076" t="str">
            <v>–</v>
          </cell>
          <cell r="U1076" t="str">
            <v>–</v>
          </cell>
          <cell r="V1076" t="str">
            <v>–</v>
          </cell>
          <cell r="W1076">
            <v>0.313</v>
          </cell>
        </row>
        <row r="1077">
          <cell r="B1077" t="str">
            <v>2L3X2X5/16X3/8SLBB</v>
          </cell>
          <cell r="C1077" t="str">
            <v>2L3X2X5/16X3/8SLBB</v>
          </cell>
          <cell r="D1077" t="str">
            <v>F</v>
          </cell>
          <cell r="E1077">
            <v>10</v>
          </cell>
          <cell r="F1077">
            <v>2.96</v>
          </cell>
          <cell r="G1077" t="str">
            <v>2L3X2X5/16X3/8SLBB</v>
          </cell>
          <cell r="H1077">
            <v>2</v>
          </cell>
          <cell r="I1077" t="str">
            <v>–</v>
          </cell>
          <cell r="J1077" t="str">
            <v>–</v>
          </cell>
          <cell r="K1077" t="str">
            <v>–</v>
          </cell>
          <cell r="L1077" t="str">
            <v>–</v>
          </cell>
          <cell r="M1077" t="str">
            <v>–</v>
          </cell>
          <cell r="N1077" t="str">
            <v>–</v>
          </cell>
          <cell r="O1077" t="str">
            <v>–</v>
          </cell>
          <cell r="P1077">
            <v>3</v>
          </cell>
          <cell r="Q1077" t="str">
            <v>–</v>
          </cell>
          <cell r="R1077" t="str">
            <v>–</v>
          </cell>
          <cell r="S1077" t="str">
            <v>–</v>
          </cell>
          <cell r="T1077" t="str">
            <v>–</v>
          </cell>
          <cell r="U1077" t="str">
            <v>–</v>
          </cell>
          <cell r="V1077" t="str">
            <v>–</v>
          </cell>
          <cell r="W1077">
            <v>0.313</v>
          </cell>
        </row>
        <row r="1078">
          <cell r="B1078" t="str">
            <v>2L3X2X5/16X3/4SLBB</v>
          </cell>
          <cell r="C1078" t="str">
            <v>2L3X2X5/16X3/4SLBB</v>
          </cell>
          <cell r="D1078" t="str">
            <v>F</v>
          </cell>
          <cell r="E1078">
            <v>10</v>
          </cell>
          <cell r="F1078">
            <v>2.96</v>
          </cell>
          <cell r="G1078" t="str">
            <v>2L3X2X5/16X3/4SLBB</v>
          </cell>
          <cell r="H1078">
            <v>2</v>
          </cell>
          <cell r="I1078" t="str">
            <v>–</v>
          </cell>
          <cell r="J1078" t="str">
            <v>–</v>
          </cell>
          <cell r="K1078" t="str">
            <v>–</v>
          </cell>
          <cell r="L1078" t="str">
            <v>–</v>
          </cell>
          <cell r="M1078" t="str">
            <v>–</v>
          </cell>
          <cell r="N1078" t="str">
            <v>–</v>
          </cell>
          <cell r="O1078" t="str">
            <v>–</v>
          </cell>
          <cell r="P1078">
            <v>3</v>
          </cell>
          <cell r="Q1078" t="str">
            <v>–</v>
          </cell>
          <cell r="R1078" t="str">
            <v>–</v>
          </cell>
          <cell r="S1078" t="str">
            <v>–</v>
          </cell>
          <cell r="T1078" t="str">
            <v>–</v>
          </cell>
          <cell r="U1078" t="str">
            <v>–</v>
          </cell>
          <cell r="V1078" t="str">
            <v>–</v>
          </cell>
          <cell r="W1078">
            <v>0.313</v>
          </cell>
        </row>
        <row r="1079">
          <cell r="B1079" t="str">
            <v>2L3X2X1/4SLBB</v>
          </cell>
          <cell r="C1079" t="str">
            <v>2L3X2X1/4SLBB</v>
          </cell>
          <cell r="D1079" t="str">
            <v>F</v>
          </cell>
          <cell r="E1079">
            <v>8.1999999999999993</v>
          </cell>
          <cell r="F1079">
            <v>2.4</v>
          </cell>
          <cell r="G1079" t="str">
            <v>2L3X2X1/4SLBB</v>
          </cell>
          <cell r="H1079">
            <v>2</v>
          </cell>
          <cell r="I1079" t="str">
            <v>–</v>
          </cell>
          <cell r="J1079" t="str">
            <v>–</v>
          </cell>
          <cell r="K1079" t="str">
            <v>–</v>
          </cell>
          <cell r="L1079" t="str">
            <v>–</v>
          </cell>
          <cell r="M1079" t="str">
            <v>–</v>
          </cell>
          <cell r="N1079" t="str">
            <v>–</v>
          </cell>
          <cell r="O1079" t="str">
            <v>–</v>
          </cell>
          <cell r="P1079">
            <v>3</v>
          </cell>
          <cell r="Q1079" t="str">
            <v>–</v>
          </cell>
          <cell r="R1079" t="str">
            <v>–</v>
          </cell>
          <cell r="S1079" t="str">
            <v>–</v>
          </cell>
          <cell r="T1079" t="str">
            <v>–</v>
          </cell>
          <cell r="U1079" t="str">
            <v>–</v>
          </cell>
          <cell r="V1079" t="str">
            <v>–</v>
          </cell>
          <cell r="W1079">
            <v>0.25</v>
          </cell>
        </row>
        <row r="1080">
          <cell r="B1080" t="str">
            <v>2L3X2X1/4X3/8SLBB</v>
          </cell>
          <cell r="C1080" t="str">
            <v>2L3X2X1/4X3/8SLBB</v>
          </cell>
          <cell r="D1080" t="str">
            <v>F</v>
          </cell>
          <cell r="E1080">
            <v>8.1999999999999993</v>
          </cell>
          <cell r="F1080">
            <v>2.4</v>
          </cell>
          <cell r="G1080" t="str">
            <v>2L3X2X1/4X3/8SLBB</v>
          </cell>
          <cell r="H1080">
            <v>2</v>
          </cell>
          <cell r="I1080" t="str">
            <v>–</v>
          </cell>
          <cell r="J1080" t="str">
            <v>–</v>
          </cell>
          <cell r="K1080" t="str">
            <v>–</v>
          </cell>
          <cell r="L1080" t="str">
            <v>–</v>
          </cell>
          <cell r="M1080" t="str">
            <v>–</v>
          </cell>
          <cell r="N1080" t="str">
            <v>–</v>
          </cell>
          <cell r="O1080" t="str">
            <v>–</v>
          </cell>
          <cell r="P1080">
            <v>3</v>
          </cell>
          <cell r="Q1080" t="str">
            <v>–</v>
          </cell>
          <cell r="R1080" t="str">
            <v>–</v>
          </cell>
          <cell r="S1080" t="str">
            <v>–</v>
          </cell>
          <cell r="T1080" t="str">
            <v>–</v>
          </cell>
          <cell r="U1080" t="str">
            <v>–</v>
          </cell>
          <cell r="V1080" t="str">
            <v>–</v>
          </cell>
          <cell r="W1080">
            <v>0.25</v>
          </cell>
        </row>
        <row r="1081">
          <cell r="B1081" t="str">
            <v>2L3X2X1/4X3/4SLBB</v>
          </cell>
          <cell r="C1081" t="str">
            <v>2L3X2X1/4X3/4SLBB</v>
          </cell>
          <cell r="D1081" t="str">
            <v>F</v>
          </cell>
          <cell r="E1081">
            <v>8.1999999999999993</v>
          </cell>
          <cell r="F1081">
            <v>2.4</v>
          </cell>
          <cell r="G1081" t="str">
            <v>2L3X2X1/4X3/4SLBB</v>
          </cell>
          <cell r="H1081">
            <v>2</v>
          </cell>
          <cell r="I1081" t="str">
            <v>–</v>
          </cell>
          <cell r="J1081" t="str">
            <v>–</v>
          </cell>
          <cell r="K1081" t="str">
            <v>–</v>
          </cell>
          <cell r="L1081" t="str">
            <v>–</v>
          </cell>
          <cell r="M1081" t="str">
            <v>–</v>
          </cell>
          <cell r="N1081" t="str">
            <v>–</v>
          </cell>
          <cell r="O1081" t="str">
            <v>–</v>
          </cell>
          <cell r="P1081">
            <v>3</v>
          </cell>
          <cell r="Q1081" t="str">
            <v>–</v>
          </cell>
          <cell r="R1081" t="str">
            <v>–</v>
          </cell>
          <cell r="S1081" t="str">
            <v>–</v>
          </cell>
          <cell r="T1081" t="str">
            <v>–</v>
          </cell>
          <cell r="U1081" t="str">
            <v>–</v>
          </cell>
          <cell r="V1081" t="str">
            <v>–</v>
          </cell>
          <cell r="W1081">
            <v>0.25</v>
          </cell>
        </row>
        <row r="1082">
          <cell r="B1082" t="str">
            <v>2L3X2X3/16SLBB</v>
          </cell>
          <cell r="C1082" t="str">
            <v>2L3X2X3/16SLBB</v>
          </cell>
          <cell r="D1082" t="str">
            <v>F</v>
          </cell>
          <cell r="E1082">
            <v>6.14</v>
          </cell>
          <cell r="F1082">
            <v>1.83</v>
          </cell>
          <cell r="G1082" t="str">
            <v>2L3X2X3/16SLBB</v>
          </cell>
          <cell r="H1082">
            <v>2</v>
          </cell>
          <cell r="I1082" t="str">
            <v>–</v>
          </cell>
          <cell r="J1082" t="str">
            <v>–</v>
          </cell>
          <cell r="K1082" t="str">
            <v>–</v>
          </cell>
          <cell r="L1082" t="str">
            <v>–</v>
          </cell>
          <cell r="M1082" t="str">
            <v>–</v>
          </cell>
          <cell r="N1082" t="str">
            <v>–</v>
          </cell>
          <cell r="O1082" t="str">
            <v>–</v>
          </cell>
          <cell r="P1082">
            <v>3</v>
          </cell>
          <cell r="Q1082" t="str">
            <v>–</v>
          </cell>
          <cell r="R1082" t="str">
            <v>–</v>
          </cell>
          <cell r="S1082" t="str">
            <v>–</v>
          </cell>
          <cell r="T1082" t="str">
            <v>–</v>
          </cell>
          <cell r="U1082" t="str">
            <v>–</v>
          </cell>
          <cell r="V1082" t="str">
            <v>–</v>
          </cell>
          <cell r="W1082">
            <v>0.188</v>
          </cell>
        </row>
        <row r="1083">
          <cell r="B1083" t="str">
            <v>2L3X2X3/16X3/8SLBB</v>
          </cell>
          <cell r="C1083" t="str">
            <v>2L3X2X3/16X3/8SLBB</v>
          </cell>
          <cell r="D1083" t="str">
            <v>F</v>
          </cell>
          <cell r="E1083">
            <v>6.14</v>
          </cell>
          <cell r="F1083">
            <v>1.83</v>
          </cell>
          <cell r="G1083" t="str">
            <v>2L3X2X3/16X3/8SLBB</v>
          </cell>
          <cell r="H1083">
            <v>2</v>
          </cell>
          <cell r="I1083" t="str">
            <v>–</v>
          </cell>
          <cell r="J1083" t="str">
            <v>–</v>
          </cell>
          <cell r="K1083" t="str">
            <v>–</v>
          </cell>
          <cell r="L1083" t="str">
            <v>–</v>
          </cell>
          <cell r="M1083" t="str">
            <v>–</v>
          </cell>
          <cell r="N1083" t="str">
            <v>–</v>
          </cell>
          <cell r="O1083" t="str">
            <v>–</v>
          </cell>
          <cell r="P1083">
            <v>3</v>
          </cell>
          <cell r="Q1083" t="str">
            <v>–</v>
          </cell>
          <cell r="R1083" t="str">
            <v>–</v>
          </cell>
          <cell r="S1083" t="str">
            <v>–</v>
          </cell>
          <cell r="T1083" t="str">
            <v>–</v>
          </cell>
          <cell r="U1083" t="str">
            <v>–</v>
          </cell>
          <cell r="V1083" t="str">
            <v>–</v>
          </cell>
          <cell r="W1083">
            <v>0.188</v>
          </cell>
        </row>
        <row r="1084">
          <cell r="B1084" t="str">
            <v>2L3X2X3/16X3/4SLBB</v>
          </cell>
          <cell r="C1084" t="str">
            <v>2L3X2X3/16X3/4SLBB</v>
          </cell>
          <cell r="D1084" t="str">
            <v>F</v>
          </cell>
          <cell r="E1084">
            <v>6.14</v>
          </cell>
          <cell r="F1084">
            <v>1.83</v>
          </cell>
          <cell r="G1084" t="str">
            <v>2L3X2X3/16X3/4SLBB</v>
          </cell>
          <cell r="H1084">
            <v>2</v>
          </cell>
          <cell r="I1084" t="str">
            <v>–</v>
          </cell>
          <cell r="J1084" t="str">
            <v>–</v>
          </cell>
          <cell r="K1084" t="str">
            <v>–</v>
          </cell>
          <cell r="L1084" t="str">
            <v>–</v>
          </cell>
          <cell r="M1084" t="str">
            <v>–</v>
          </cell>
          <cell r="N1084" t="str">
            <v>–</v>
          </cell>
          <cell r="O1084" t="str">
            <v>–</v>
          </cell>
          <cell r="P1084">
            <v>3</v>
          </cell>
          <cell r="Q1084" t="str">
            <v>–</v>
          </cell>
          <cell r="R1084" t="str">
            <v>–</v>
          </cell>
          <cell r="S1084" t="str">
            <v>–</v>
          </cell>
          <cell r="T1084" t="str">
            <v>–</v>
          </cell>
          <cell r="U1084" t="str">
            <v>–</v>
          </cell>
          <cell r="V1084" t="str">
            <v>–</v>
          </cell>
          <cell r="W1084">
            <v>0.188</v>
          </cell>
        </row>
        <row r="1085">
          <cell r="B1085" t="str">
            <v>2L2-1/2X2X3/8SLBB</v>
          </cell>
          <cell r="C1085" t="str">
            <v>2L2-1/2X2X3/8SLBB</v>
          </cell>
          <cell r="D1085" t="str">
            <v>F</v>
          </cell>
          <cell r="E1085">
            <v>10.6</v>
          </cell>
          <cell r="F1085">
            <v>3.1</v>
          </cell>
          <cell r="G1085" t="str">
            <v>2L2-1/2X2X3/8SLBB</v>
          </cell>
          <cell r="H1085">
            <v>2</v>
          </cell>
          <cell r="I1085" t="str">
            <v>–</v>
          </cell>
          <cell r="J1085" t="str">
            <v>–</v>
          </cell>
          <cell r="K1085" t="str">
            <v>–</v>
          </cell>
          <cell r="L1085" t="str">
            <v>–</v>
          </cell>
          <cell r="M1085" t="str">
            <v>–</v>
          </cell>
          <cell r="N1085" t="str">
            <v>–</v>
          </cell>
          <cell r="O1085" t="str">
            <v>–</v>
          </cell>
          <cell r="P1085">
            <v>2.5</v>
          </cell>
          <cell r="Q1085" t="str">
            <v>–</v>
          </cell>
          <cell r="R1085" t="str">
            <v>–</v>
          </cell>
          <cell r="S1085" t="str">
            <v>–</v>
          </cell>
          <cell r="T1085" t="str">
            <v>–</v>
          </cell>
          <cell r="U1085" t="str">
            <v>–</v>
          </cell>
          <cell r="V1085" t="str">
            <v>–</v>
          </cell>
          <cell r="W1085">
            <v>0.375</v>
          </cell>
        </row>
        <row r="1086">
          <cell r="B1086" t="str">
            <v>2L2-1/2X2X3/8X3/8SLBB</v>
          </cell>
          <cell r="C1086" t="str">
            <v>2L2-1/2X2X3/8X3/8SLBB</v>
          </cell>
          <cell r="D1086" t="str">
            <v>F</v>
          </cell>
          <cell r="E1086">
            <v>10.6</v>
          </cell>
          <cell r="F1086">
            <v>3.1</v>
          </cell>
          <cell r="G1086" t="str">
            <v>2L2-1/2X2X3/8X3/8SLBB</v>
          </cell>
          <cell r="H1086">
            <v>2</v>
          </cell>
          <cell r="I1086" t="str">
            <v>–</v>
          </cell>
          <cell r="J1086" t="str">
            <v>–</v>
          </cell>
          <cell r="K1086" t="str">
            <v>–</v>
          </cell>
          <cell r="L1086" t="str">
            <v>–</v>
          </cell>
          <cell r="M1086" t="str">
            <v>–</v>
          </cell>
          <cell r="N1086" t="str">
            <v>–</v>
          </cell>
          <cell r="O1086" t="str">
            <v>–</v>
          </cell>
          <cell r="P1086">
            <v>2.5</v>
          </cell>
          <cell r="Q1086" t="str">
            <v>–</v>
          </cell>
          <cell r="R1086" t="str">
            <v>–</v>
          </cell>
          <cell r="S1086" t="str">
            <v>–</v>
          </cell>
          <cell r="T1086" t="str">
            <v>–</v>
          </cell>
          <cell r="U1086" t="str">
            <v>–</v>
          </cell>
          <cell r="V1086" t="str">
            <v>–</v>
          </cell>
          <cell r="W1086">
            <v>0.375</v>
          </cell>
        </row>
        <row r="1087">
          <cell r="B1087" t="str">
            <v>2L2-1/2X2X3/8X3/4SLBB</v>
          </cell>
          <cell r="C1087" t="str">
            <v>2L2-1/2X2X3/8X3/4SLBB</v>
          </cell>
          <cell r="D1087" t="str">
            <v>F</v>
          </cell>
          <cell r="E1087">
            <v>10.6</v>
          </cell>
          <cell r="F1087">
            <v>3.1</v>
          </cell>
          <cell r="G1087" t="str">
            <v>2L2-1/2X2X3/8X3/4SLBB</v>
          </cell>
          <cell r="H1087">
            <v>2</v>
          </cell>
          <cell r="I1087" t="str">
            <v>–</v>
          </cell>
          <cell r="J1087" t="str">
            <v>–</v>
          </cell>
          <cell r="K1087" t="str">
            <v>–</v>
          </cell>
          <cell r="L1087" t="str">
            <v>–</v>
          </cell>
          <cell r="M1087" t="str">
            <v>–</v>
          </cell>
          <cell r="N1087" t="str">
            <v>–</v>
          </cell>
          <cell r="O1087" t="str">
            <v>–</v>
          </cell>
          <cell r="P1087">
            <v>2.5</v>
          </cell>
          <cell r="Q1087" t="str">
            <v>–</v>
          </cell>
          <cell r="R1087" t="str">
            <v>–</v>
          </cell>
          <cell r="S1087" t="str">
            <v>–</v>
          </cell>
          <cell r="T1087" t="str">
            <v>–</v>
          </cell>
          <cell r="U1087" t="str">
            <v>–</v>
          </cell>
          <cell r="V1087" t="str">
            <v>–</v>
          </cell>
          <cell r="W1087">
            <v>0.375</v>
          </cell>
        </row>
        <row r="1088">
          <cell r="B1088" t="str">
            <v>2L2-1/2X2X5/16SLBB</v>
          </cell>
          <cell r="C1088" t="str">
            <v>2L2-1/2X2X5/16SLBB</v>
          </cell>
          <cell r="D1088" t="str">
            <v>F</v>
          </cell>
          <cell r="E1088">
            <v>9</v>
          </cell>
          <cell r="F1088">
            <v>2.64</v>
          </cell>
          <cell r="G1088" t="str">
            <v>2L2-1/2X2X5/16SLBB</v>
          </cell>
          <cell r="H1088">
            <v>2</v>
          </cell>
          <cell r="I1088" t="str">
            <v>–</v>
          </cell>
          <cell r="J1088" t="str">
            <v>–</v>
          </cell>
          <cell r="K1088" t="str">
            <v>–</v>
          </cell>
          <cell r="L1088" t="str">
            <v>–</v>
          </cell>
          <cell r="M1088" t="str">
            <v>–</v>
          </cell>
          <cell r="N1088" t="str">
            <v>–</v>
          </cell>
          <cell r="O1088" t="str">
            <v>–</v>
          </cell>
          <cell r="P1088">
            <v>2.5</v>
          </cell>
          <cell r="Q1088" t="str">
            <v>–</v>
          </cell>
          <cell r="R1088" t="str">
            <v>–</v>
          </cell>
          <cell r="S1088" t="str">
            <v>–</v>
          </cell>
          <cell r="T1088" t="str">
            <v>–</v>
          </cell>
          <cell r="U1088" t="str">
            <v>–</v>
          </cell>
          <cell r="V1088" t="str">
            <v>–</v>
          </cell>
          <cell r="W1088">
            <v>0.313</v>
          </cell>
        </row>
        <row r="1089">
          <cell r="B1089" t="str">
            <v>2L2-1/2X2X5/16X3/8SLBB</v>
          </cell>
          <cell r="C1089" t="str">
            <v>2L2-1/2X2X5/16X3/8SLBB</v>
          </cell>
          <cell r="D1089" t="str">
            <v>F</v>
          </cell>
          <cell r="E1089">
            <v>9</v>
          </cell>
          <cell r="F1089">
            <v>2.64</v>
          </cell>
          <cell r="G1089" t="str">
            <v>2L2-1/2X2X5/16X3/8SLBB</v>
          </cell>
          <cell r="H1089">
            <v>2</v>
          </cell>
          <cell r="I1089" t="str">
            <v>–</v>
          </cell>
          <cell r="J1089" t="str">
            <v>–</v>
          </cell>
          <cell r="K1089" t="str">
            <v>–</v>
          </cell>
          <cell r="L1089" t="str">
            <v>–</v>
          </cell>
          <cell r="M1089" t="str">
            <v>–</v>
          </cell>
          <cell r="N1089" t="str">
            <v>–</v>
          </cell>
          <cell r="O1089" t="str">
            <v>–</v>
          </cell>
          <cell r="P1089">
            <v>2.5</v>
          </cell>
          <cell r="Q1089" t="str">
            <v>–</v>
          </cell>
          <cell r="R1089" t="str">
            <v>–</v>
          </cell>
          <cell r="S1089" t="str">
            <v>–</v>
          </cell>
          <cell r="T1089" t="str">
            <v>–</v>
          </cell>
          <cell r="U1089" t="str">
            <v>–</v>
          </cell>
          <cell r="V1089" t="str">
            <v>–</v>
          </cell>
          <cell r="W1089">
            <v>0.313</v>
          </cell>
        </row>
        <row r="1090">
          <cell r="B1090" t="str">
            <v>2L2-1/2X2X5/16X3/4SLBB</v>
          </cell>
          <cell r="C1090" t="str">
            <v>2L2-1/2X2X5/16X3/4SLBB</v>
          </cell>
          <cell r="D1090" t="str">
            <v>F</v>
          </cell>
          <cell r="E1090">
            <v>9</v>
          </cell>
          <cell r="F1090">
            <v>2.64</v>
          </cell>
          <cell r="G1090" t="str">
            <v>2L2-1/2X2X5/16X3/4SLBB</v>
          </cell>
          <cell r="H1090">
            <v>2</v>
          </cell>
          <cell r="I1090" t="str">
            <v>–</v>
          </cell>
          <cell r="J1090" t="str">
            <v>–</v>
          </cell>
          <cell r="K1090" t="str">
            <v>–</v>
          </cell>
          <cell r="L1090" t="str">
            <v>–</v>
          </cell>
          <cell r="M1090" t="str">
            <v>–</v>
          </cell>
          <cell r="N1090" t="str">
            <v>–</v>
          </cell>
          <cell r="O1090" t="str">
            <v>–</v>
          </cell>
          <cell r="P1090">
            <v>2.5</v>
          </cell>
          <cell r="Q1090" t="str">
            <v>–</v>
          </cell>
          <cell r="R1090" t="str">
            <v>–</v>
          </cell>
          <cell r="S1090" t="str">
            <v>–</v>
          </cell>
          <cell r="T1090" t="str">
            <v>–</v>
          </cell>
          <cell r="U1090" t="str">
            <v>–</v>
          </cell>
          <cell r="V1090" t="str">
            <v>–</v>
          </cell>
          <cell r="W1090">
            <v>0.313</v>
          </cell>
        </row>
        <row r="1091">
          <cell r="B1091" t="str">
            <v>2L2-1/2X2X1/4SLBB</v>
          </cell>
          <cell r="C1091" t="str">
            <v>2L2-1/2X2X1/4SLBB</v>
          </cell>
          <cell r="D1091" t="str">
            <v>F</v>
          </cell>
          <cell r="E1091">
            <v>7.24</v>
          </cell>
          <cell r="F1091">
            <v>2.14</v>
          </cell>
          <cell r="G1091" t="str">
            <v>2L2-1/2X2X1/4SLBB</v>
          </cell>
          <cell r="H1091">
            <v>2</v>
          </cell>
          <cell r="I1091" t="str">
            <v>–</v>
          </cell>
          <cell r="J1091" t="str">
            <v>–</v>
          </cell>
          <cell r="K1091" t="str">
            <v>–</v>
          </cell>
          <cell r="L1091" t="str">
            <v>–</v>
          </cell>
          <cell r="M1091" t="str">
            <v>–</v>
          </cell>
          <cell r="N1091" t="str">
            <v>–</v>
          </cell>
          <cell r="O1091" t="str">
            <v>–</v>
          </cell>
          <cell r="P1091">
            <v>2.5</v>
          </cell>
          <cell r="Q1091" t="str">
            <v>–</v>
          </cell>
          <cell r="R1091" t="str">
            <v>–</v>
          </cell>
          <cell r="S1091" t="str">
            <v>–</v>
          </cell>
          <cell r="T1091" t="str">
            <v>–</v>
          </cell>
          <cell r="U1091" t="str">
            <v>–</v>
          </cell>
          <cell r="V1091" t="str">
            <v>–</v>
          </cell>
          <cell r="W1091">
            <v>0.25</v>
          </cell>
        </row>
        <row r="1092">
          <cell r="B1092" t="str">
            <v>2L2-1/2X2X1/4X3/8SLBB</v>
          </cell>
          <cell r="C1092" t="str">
            <v>2L2-1/2X2X1/4X3/8SLBB</v>
          </cell>
          <cell r="D1092" t="str">
            <v>F</v>
          </cell>
          <cell r="E1092">
            <v>7.24</v>
          </cell>
          <cell r="F1092">
            <v>2.14</v>
          </cell>
          <cell r="G1092" t="str">
            <v>2L2-1/2X2X1/4X3/8SLBB</v>
          </cell>
          <cell r="H1092">
            <v>2</v>
          </cell>
          <cell r="I1092" t="str">
            <v>–</v>
          </cell>
          <cell r="J1092" t="str">
            <v>–</v>
          </cell>
          <cell r="K1092" t="str">
            <v>–</v>
          </cell>
          <cell r="L1092" t="str">
            <v>–</v>
          </cell>
          <cell r="M1092" t="str">
            <v>–</v>
          </cell>
          <cell r="N1092" t="str">
            <v>–</v>
          </cell>
          <cell r="O1092" t="str">
            <v>–</v>
          </cell>
          <cell r="P1092">
            <v>2.5</v>
          </cell>
          <cell r="Q1092" t="str">
            <v>–</v>
          </cell>
          <cell r="R1092" t="str">
            <v>–</v>
          </cell>
          <cell r="S1092" t="str">
            <v>–</v>
          </cell>
          <cell r="T1092" t="str">
            <v>–</v>
          </cell>
          <cell r="U1092" t="str">
            <v>–</v>
          </cell>
          <cell r="V1092" t="str">
            <v>–</v>
          </cell>
          <cell r="W1092">
            <v>0.25</v>
          </cell>
        </row>
        <row r="1093">
          <cell r="B1093" t="str">
            <v>2L2-1/2X2X1/4X3/4SLBB</v>
          </cell>
          <cell r="C1093" t="str">
            <v>2L2-1/2X2X1/4X3/4SLBB</v>
          </cell>
          <cell r="D1093" t="str">
            <v>F</v>
          </cell>
          <cell r="E1093">
            <v>7.24</v>
          </cell>
          <cell r="F1093">
            <v>2.14</v>
          </cell>
          <cell r="G1093" t="str">
            <v>2L2-1/2X2X1/4X3/4SLBB</v>
          </cell>
          <cell r="H1093">
            <v>2</v>
          </cell>
          <cell r="I1093" t="str">
            <v>–</v>
          </cell>
          <cell r="J1093" t="str">
            <v>–</v>
          </cell>
          <cell r="K1093" t="str">
            <v>–</v>
          </cell>
          <cell r="L1093" t="str">
            <v>–</v>
          </cell>
          <cell r="M1093" t="str">
            <v>–</v>
          </cell>
          <cell r="N1093" t="str">
            <v>–</v>
          </cell>
          <cell r="O1093" t="str">
            <v>–</v>
          </cell>
          <cell r="P1093">
            <v>2.5</v>
          </cell>
          <cell r="Q1093" t="str">
            <v>–</v>
          </cell>
          <cell r="R1093" t="str">
            <v>–</v>
          </cell>
          <cell r="S1093" t="str">
            <v>–</v>
          </cell>
          <cell r="T1093" t="str">
            <v>–</v>
          </cell>
          <cell r="U1093" t="str">
            <v>–</v>
          </cell>
          <cell r="V1093" t="str">
            <v>–</v>
          </cell>
          <cell r="W1093">
            <v>0.25</v>
          </cell>
        </row>
        <row r="1094">
          <cell r="B1094" t="str">
            <v>2L2-1/2X2X3/16SLBB</v>
          </cell>
          <cell r="C1094" t="str">
            <v>2L2-1/2X2X3/16SLBB</v>
          </cell>
          <cell r="D1094" t="str">
            <v>F</v>
          </cell>
          <cell r="E1094">
            <v>5.5</v>
          </cell>
          <cell r="F1094">
            <v>1.64</v>
          </cell>
          <cell r="G1094" t="str">
            <v>2L2-1/2X2X3/16SLBB</v>
          </cell>
          <cell r="H1094">
            <v>2</v>
          </cell>
          <cell r="I1094" t="str">
            <v>–</v>
          </cell>
          <cell r="J1094" t="str">
            <v>–</v>
          </cell>
          <cell r="K1094" t="str">
            <v>–</v>
          </cell>
          <cell r="L1094" t="str">
            <v>–</v>
          </cell>
          <cell r="M1094" t="str">
            <v>–</v>
          </cell>
          <cell r="N1094" t="str">
            <v>–</v>
          </cell>
          <cell r="O1094" t="str">
            <v>–</v>
          </cell>
          <cell r="P1094">
            <v>2.5</v>
          </cell>
          <cell r="Q1094" t="str">
            <v>–</v>
          </cell>
          <cell r="R1094" t="str">
            <v>–</v>
          </cell>
          <cell r="S1094" t="str">
            <v>–</v>
          </cell>
          <cell r="T1094" t="str">
            <v>–</v>
          </cell>
          <cell r="U1094" t="str">
            <v>–</v>
          </cell>
          <cell r="V1094" t="str">
            <v>–</v>
          </cell>
          <cell r="W1094">
            <v>0.188</v>
          </cell>
        </row>
        <row r="1095">
          <cell r="B1095" t="str">
            <v>2L2-1/2X2X3/16X3/8SLBB</v>
          </cell>
          <cell r="C1095" t="str">
            <v>2L2-1/2X2X3/16X3/8SLBB</v>
          </cell>
          <cell r="D1095" t="str">
            <v>F</v>
          </cell>
          <cell r="E1095">
            <v>5.5</v>
          </cell>
          <cell r="F1095">
            <v>1.64</v>
          </cell>
          <cell r="G1095" t="str">
            <v>2L2-1/2X2X3/16X3/8SLBB</v>
          </cell>
          <cell r="H1095">
            <v>2</v>
          </cell>
          <cell r="I1095" t="str">
            <v>–</v>
          </cell>
          <cell r="J1095" t="str">
            <v>–</v>
          </cell>
          <cell r="K1095" t="str">
            <v>–</v>
          </cell>
          <cell r="L1095" t="str">
            <v>–</v>
          </cell>
          <cell r="M1095" t="str">
            <v>–</v>
          </cell>
          <cell r="N1095" t="str">
            <v>–</v>
          </cell>
          <cell r="O1095" t="str">
            <v>–</v>
          </cell>
          <cell r="P1095">
            <v>2.5</v>
          </cell>
          <cell r="Q1095" t="str">
            <v>–</v>
          </cell>
          <cell r="R1095" t="str">
            <v>–</v>
          </cell>
          <cell r="S1095" t="str">
            <v>–</v>
          </cell>
          <cell r="T1095" t="str">
            <v>–</v>
          </cell>
          <cell r="U1095" t="str">
            <v>–</v>
          </cell>
          <cell r="V1095" t="str">
            <v>–</v>
          </cell>
          <cell r="W1095">
            <v>0.188</v>
          </cell>
        </row>
        <row r="1096">
          <cell r="B1096" t="str">
            <v>2L2-1/2X2X3/16X3/4SLBB</v>
          </cell>
          <cell r="C1096" t="str">
            <v>2L2-1/2X2X3/16X3/4SLBB</v>
          </cell>
          <cell r="D1096" t="str">
            <v>F</v>
          </cell>
          <cell r="E1096">
            <v>5.5</v>
          </cell>
          <cell r="F1096">
            <v>1.64</v>
          </cell>
          <cell r="G1096" t="str">
            <v>2L2-1/2X2X3/16X3/4SLBB</v>
          </cell>
          <cell r="H1096">
            <v>2</v>
          </cell>
          <cell r="I1096" t="str">
            <v>–</v>
          </cell>
          <cell r="J1096" t="str">
            <v>–</v>
          </cell>
          <cell r="K1096" t="str">
            <v>–</v>
          </cell>
          <cell r="L1096" t="str">
            <v>–</v>
          </cell>
          <cell r="M1096" t="str">
            <v>–</v>
          </cell>
          <cell r="N1096" t="str">
            <v>–</v>
          </cell>
          <cell r="O1096" t="str">
            <v>–</v>
          </cell>
          <cell r="P1096">
            <v>2.5</v>
          </cell>
          <cell r="Q1096" t="str">
            <v>–</v>
          </cell>
          <cell r="R1096" t="str">
            <v>–</v>
          </cell>
          <cell r="S1096" t="str">
            <v>–</v>
          </cell>
          <cell r="T1096" t="str">
            <v>–</v>
          </cell>
          <cell r="U1096" t="str">
            <v>–</v>
          </cell>
          <cell r="V1096" t="str">
            <v>–</v>
          </cell>
          <cell r="W1096">
            <v>0.188</v>
          </cell>
        </row>
        <row r="1097">
          <cell r="B1097" t="str">
            <v>2L2-1/2X1-1/2X1/4SLBB</v>
          </cell>
          <cell r="C1097" t="str">
            <v>2L2-1/2X1-1/2X1/4SLBB</v>
          </cell>
          <cell r="D1097" t="str">
            <v>F</v>
          </cell>
          <cell r="E1097">
            <v>6.38</v>
          </cell>
          <cell r="F1097">
            <v>1.89</v>
          </cell>
          <cell r="G1097" t="str">
            <v>2L2-1/2X1-1/2X1/4SLBB</v>
          </cell>
          <cell r="H1097">
            <v>1.5</v>
          </cell>
          <cell r="I1097" t="str">
            <v>–</v>
          </cell>
          <cell r="J1097" t="str">
            <v>–</v>
          </cell>
          <cell r="K1097" t="str">
            <v>–</v>
          </cell>
          <cell r="L1097" t="str">
            <v>–</v>
          </cell>
          <cell r="M1097" t="str">
            <v>–</v>
          </cell>
          <cell r="N1097" t="str">
            <v>–</v>
          </cell>
          <cell r="O1097" t="str">
            <v>–</v>
          </cell>
          <cell r="P1097">
            <v>2.5</v>
          </cell>
          <cell r="Q1097" t="str">
            <v>–</v>
          </cell>
          <cell r="R1097" t="str">
            <v>–</v>
          </cell>
          <cell r="S1097" t="str">
            <v>–</v>
          </cell>
          <cell r="T1097" t="str">
            <v>–</v>
          </cell>
          <cell r="U1097" t="str">
            <v>–</v>
          </cell>
          <cell r="V1097" t="str">
            <v>–</v>
          </cell>
          <cell r="W1097">
            <v>0.25</v>
          </cell>
        </row>
        <row r="1098">
          <cell r="B1098" t="str">
            <v>2L2-1/2X1-1/2X1/4X3/8SLBB</v>
          </cell>
          <cell r="C1098" t="str">
            <v>2L2-1/2X1-1/2X1/4X3/8SLBB</v>
          </cell>
          <cell r="D1098" t="str">
            <v>F</v>
          </cell>
          <cell r="E1098">
            <v>6.38</v>
          </cell>
          <cell r="F1098">
            <v>1.89</v>
          </cell>
          <cell r="G1098" t="str">
            <v>2L2-1/2X1-1/2X1/4X3/8SLBB</v>
          </cell>
          <cell r="H1098">
            <v>1.5</v>
          </cell>
          <cell r="I1098" t="str">
            <v>–</v>
          </cell>
          <cell r="J1098" t="str">
            <v>–</v>
          </cell>
          <cell r="K1098" t="str">
            <v>–</v>
          </cell>
          <cell r="L1098" t="str">
            <v>–</v>
          </cell>
          <cell r="M1098" t="str">
            <v>–</v>
          </cell>
          <cell r="N1098" t="str">
            <v>–</v>
          </cell>
          <cell r="O1098" t="str">
            <v>–</v>
          </cell>
          <cell r="P1098">
            <v>2.5</v>
          </cell>
          <cell r="Q1098" t="str">
            <v>–</v>
          </cell>
          <cell r="R1098" t="str">
            <v>–</v>
          </cell>
          <cell r="S1098" t="str">
            <v>–</v>
          </cell>
          <cell r="T1098" t="str">
            <v>–</v>
          </cell>
          <cell r="U1098" t="str">
            <v>–</v>
          </cell>
          <cell r="V1098" t="str">
            <v>–</v>
          </cell>
          <cell r="W1098">
            <v>0.25</v>
          </cell>
        </row>
        <row r="1099">
          <cell r="B1099" t="str">
            <v>2L2-1/2X1-1/2X1/4X3/4SLBB</v>
          </cell>
          <cell r="C1099" t="str">
            <v>2L2-1/2X1-1/2X1/4X3/4SLBB</v>
          </cell>
          <cell r="D1099" t="str">
            <v>F</v>
          </cell>
          <cell r="E1099">
            <v>6.38</v>
          </cell>
          <cell r="F1099">
            <v>1.89</v>
          </cell>
          <cell r="G1099" t="str">
            <v>2L2-1/2X1-1/2X1/4X3/4SLBB</v>
          </cell>
          <cell r="H1099">
            <v>1.5</v>
          </cell>
          <cell r="I1099" t="str">
            <v>–</v>
          </cell>
          <cell r="J1099" t="str">
            <v>–</v>
          </cell>
          <cell r="K1099" t="str">
            <v>–</v>
          </cell>
          <cell r="L1099" t="str">
            <v>–</v>
          </cell>
          <cell r="M1099" t="str">
            <v>–</v>
          </cell>
          <cell r="N1099" t="str">
            <v>–</v>
          </cell>
          <cell r="O1099" t="str">
            <v>–</v>
          </cell>
          <cell r="P1099">
            <v>2.5</v>
          </cell>
          <cell r="Q1099" t="str">
            <v>–</v>
          </cell>
          <cell r="R1099" t="str">
            <v>–</v>
          </cell>
          <cell r="S1099" t="str">
            <v>–</v>
          </cell>
          <cell r="T1099" t="str">
            <v>–</v>
          </cell>
          <cell r="U1099" t="str">
            <v>–</v>
          </cell>
          <cell r="V1099" t="str">
            <v>–</v>
          </cell>
          <cell r="W1099">
            <v>0.25</v>
          </cell>
        </row>
        <row r="1100">
          <cell r="B1100" t="str">
            <v>2L2-1/2X1-1/2X3/16SLBB</v>
          </cell>
          <cell r="C1100" t="str">
            <v>2L2-1/2X1-1/2X3/16SLBB</v>
          </cell>
          <cell r="D1100" t="str">
            <v>F</v>
          </cell>
          <cell r="E1100">
            <v>4.88</v>
          </cell>
          <cell r="F1100">
            <v>1.45</v>
          </cell>
          <cell r="G1100" t="str">
            <v>2L2-1/2X1-1/2X3/16SLBB</v>
          </cell>
          <cell r="H1100">
            <v>1.5</v>
          </cell>
          <cell r="I1100" t="str">
            <v>–</v>
          </cell>
          <cell r="J1100" t="str">
            <v>–</v>
          </cell>
          <cell r="K1100" t="str">
            <v>–</v>
          </cell>
          <cell r="L1100" t="str">
            <v>–</v>
          </cell>
          <cell r="M1100" t="str">
            <v>–</v>
          </cell>
          <cell r="N1100" t="str">
            <v>–</v>
          </cell>
          <cell r="O1100" t="str">
            <v>–</v>
          </cell>
          <cell r="P1100">
            <v>2.5</v>
          </cell>
          <cell r="Q1100" t="str">
            <v>–</v>
          </cell>
          <cell r="R1100" t="str">
            <v>–</v>
          </cell>
          <cell r="S1100" t="str">
            <v>–</v>
          </cell>
          <cell r="T1100" t="str">
            <v>–</v>
          </cell>
          <cell r="U1100" t="str">
            <v>–</v>
          </cell>
          <cell r="V1100" t="str">
            <v>–</v>
          </cell>
          <cell r="W1100">
            <v>0.188</v>
          </cell>
        </row>
        <row r="1101">
          <cell r="B1101" t="str">
            <v>2L2-1/2X1-1/2X3/16X3/8SLBB</v>
          </cell>
          <cell r="C1101" t="str">
            <v>2L2-1/2X1-1/2X3/16X3/8SLBB</v>
          </cell>
          <cell r="D1101" t="str">
            <v>F</v>
          </cell>
          <cell r="E1101">
            <v>4.88</v>
          </cell>
          <cell r="F1101">
            <v>1.45</v>
          </cell>
          <cell r="G1101" t="str">
            <v>2L2-1/2X1-1/2X3/16X3/8SLBB</v>
          </cell>
          <cell r="H1101">
            <v>1.5</v>
          </cell>
          <cell r="I1101" t="str">
            <v>–</v>
          </cell>
          <cell r="J1101" t="str">
            <v>–</v>
          </cell>
          <cell r="K1101" t="str">
            <v>–</v>
          </cell>
          <cell r="L1101" t="str">
            <v>–</v>
          </cell>
          <cell r="M1101" t="str">
            <v>–</v>
          </cell>
          <cell r="N1101" t="str">
            <v>–</v>
          </cell>
          <cell r="O1101" t="str">
            <v>–</v>
          </cell>
          <cell r="P1101">
            <v>2.5</v>
          </cell>
          <cell r="Q1101" t="str">
            <v>–</v>
          </cell>
          <cell r="R1101" t="str">
            <v>–</v>
          </cell>
          <cell r="S1101" t="str">
            <v>–</v>
          </cell>
          <cell r="T1101" t="str">
            <v>–</v>
          </cell>
          <cell r="U1101" t="str">
            <v>–</v>
          </cell>
          <cell r="V1101" t="str">
            <v>–</v>
          </cell>
          <cell r="W1101">
            <v>0.188</v>
          </cell>
        </row>
        <row r="1102">
          <cell r="B1102" t="str">
            <v>2L2-1/2X1-1/2X3/16X3/4SLBB</v>
          </cell>
          <cell r="C1102" t="str">
            <v>2L2-1/2X1-1/2X3/16X3/4SLBB</v>
          </cell>
          <cell r="D1102" t="str">
            <v>F</v>
          </cell>
          <cell r="E1102">
            <v>4.88</v>
          </cell>
          <cell r="F1102">
            <v>1.45</v>
          </cell>
          <cell r="G1102" t="str">
            <v>2L2-1/2X1-1/2X3/16X3/4SLBB</v>
          </cell>
          <cell r="H1102">
            <v>1.5</v>
          </cell>
          <cell r="I1102" t="str">
            <v>–</v>
          </cell>
          <cell r="J1102" t="str">
            <v>–</v>
          </cell>
          <cell r="K1102" t="str">
            <v>–</v>
          </cell>
          <cell r="L1102" t="str">
            <v>–</v>
          </cell>
          <cell r="M1102" t="str">
            <v>–</v>
          </cell>
          <cell r="N1102" t="str">
            <v>–</v>
          </cell>
          <cell r="O1102" t="str">
            <v>–</v>
          </cell>
          <cell r="P1102">
            <v>2.5</v>
          </cell>
          <cell r="Q1102" t="str">
            <v>–</v>
          </cell>
          <cell r="R1102" t="str">
            <v>–</v>
          </cell>
          <cell r="S1102" t="str">
            <v>–</v>
          </cell>
          <cell r="T1102" t="str">
            <v>–</v>
          </cell>
          <cell r="U1102" t="str">
            <v>–</v>
          </cell>
          <cell r="V1102" t="str">
            <v>–</v>
          </cell>
          <cell r="W1102">
            <v>0.188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EX1103"/>
  <sheetViews>
    <sheetView zoomScale="85" zoomScaleNormal="85" workbookViewId="0">
      <pane xSplit="4" ySplit="3" topLeftCell="E13" activePane="bottomRight" state="frozen"/>
      <selection pane="topRight" activeCell="D1" sqref="D1"/>
      <selection pane="bottomLeft" activeCell="A2" sqref="A2"/>
      <selection pane="bottomRight" activeCell="CO92" sqref="CO92"/>
    </sheetView>
  </sheetViews>
  <sheetFormatPr defaultColWidth="9.109375" defaultRowHeight="13.8"/>
  <cols>
    <col min="1" max="2" width="9.109375" style="54"/>
    <col min="3" max="3" width="33.21875" style="54" customWidth="1"/>
    <col min="4" max="4" width="28.109375" style="54" customWidth="1"/>
    <col min="5" max="5" width="18.109375" style="54" customWidth="1"/>
    <col min="6" max="6" width="15.77734375" style="54" customWidth="1"/>
    <col min="7" max="7" width="9.109375" style="54"/>
    <col min="8" max="8" width="19.109375" style="54" customWidth="1"/>
    <col min="9" max="9" width="18.6640625" style="54" customWidth="1"/>
    <col min="10" max="16" width="9.109375" style="54"/>
    <col min="17" max="17" width="17.5546875" style="54" customWidth="1"/>
    <col min="18" max="23" width="9.109375" style="54"/>
    <col min="24" max="24" width="10.109375" style="54" customWidth="1"/>
    <col min="25" max="28" width="9.109375" style="54"/>
    <col min="29" max="51" width="9.109375" style="54" customWidth="1"/>
    <col min="52" max="52" width="9.6640625" style="54" customWidth="1"/>
    <col min="53" max="83" width="9.109375" style="54" customWidth="1"/>
    <col min="84" max="86" width="9.109375" style="307" customWidth="1"/>
    <col min="87" max="88" width="9.109375" style="54"/>
    <col min="89" max="89" width="9.109375" style="54" customWidth="1"/>
    <col min="90" max="90" width="16.77734375" style="54" customWidth="1"/>
    <col min="91" max="91" width="18.21875" style="54" customWidth="1"/>
    <col min="92" max="92" width="12" style="54" customWidth="1"/>
    <col min="93" max="93" width="11" style="54" customWidth="1"/>
    <col min="94" max="94" width="17.5546875" style="54" customWidth="1"/>
    <col min="95" max="95" width="20.5546875" style="54" customWidth="1"/>
    <col min="96" max="96" width="9.109375" style="54"/>
    <col min="97" max="97" width="17.44140625" style="308" customWidth="1"/>
    <col min="98" max="99" width="9.109375" style="54"/>
    <col min="100" max="100" width="13.44140625" style="54" customWidth="1"/>
    <col min="101" max="102" width="9.109375" style="54"/>
    <col min="103" max="103" width="13" style="54" customWidth="1"/>
    <col min="104" max="105" width="9.109375" style="54"/>
    <col min="106" max="106" width="15.88671875" style="54" customWidth="1"/>
    <col min="107" max="108" width="9.109375" style="54"/>
    <col min="109" max="109" width="24.6640625" style="54" customWidth="1"/>
    <col min="110" max="111" width="9.109375" style="54"/>
    <col min="112" max="112" width="21" style="54" customWidth="1"/>
    <col min="113" max="119" width="9.109375" style="54"/>
    <col min="120" max="120" width="5" style="54" customWidth="1"/>
    <col min="121" max="121" width="15.77734375" style="54" customWidth="1"/>
    <col min="122" max="122" width="16.109375" style="54" customWidth="1"/>
    <col min="123" max="123" width="9.33203125" style="54" customWidth="1"/>
    <col min="124" max="124" width="24.109375" style="54" customWidth="1"/>
    <col min="125" max="125" width="18.44140625" style="54" customWidth="1"/>
    <col min="126" max="126" width="14.44140625" style="54" customWidth="1"/>
    <col min="127" max="129" width="9.109375" style="54"/>
    <col min="130" max="130" width="18.5546875" style="54" customWidth="1"/>
    <col min="131" max="131" width="11.33203125" style="54" customWidth="1"/>
    <col min="132" max="132" width="11.109375" style="54" customWidth="1"/>
    <col min="133" max="133" width="12.77734375" style="54" customWidth="1"/>
    <col min="134" max="134" width="15" style="54" customWidth="1"/>
    <col min="135" max="135" width="13" style="54" customWidth="1"/>
    <col min="136" max="136" width="14" style="54" customWidth="1"/>
    <col min="137" max="137" width="13.88671875" style="54" customWidth="1"/>
    <col min="138" max="138" width="13.33203125" style="54" customWidth="1"/>
    <col min="139" max="139" width="13.88671875" style="54" customWidth="1"/>
    <col min="140" max="140" width="12.33203125" style="54" customWidth="1"/>
    <col min="141" max="141" width="13.33203125" style="54" customWidth="1"/>
    <col min="142" max="142" width="10.77734375" style="54" customWidth="1"/>
    <col min="143" max="143" width="12.6640625" style="54" customWidth="1"/>
    <col min="144" max="144" width="12.109375" style="54" customWidth="1"/>
    <col min="145" max="145" width="14.33203125" style="54" customWidth="1"/>
    <col min="146" max="146" width="13.109375" style="54" customWidth="1"/>
    <col min="147" max="147" width="13.6640625" style="54" customWidth="1"/>
    <col min="148" max="148" width="13.33203125" style="54" customWidth="1"/>
    <col min="149" max="149" width="16" style="54" customWidth="1"/>
    <col min="150" max="150" width="10.77734375" style="54" customWidth="1"/>
    <col min="151" max="151" width="7.88671875" style="54" customWidth="1"/>
    <col min="152" max="152" width="9.109375" style="54"/>
    <col min="153" max="153" width="33.6640625" style="54" customWidth="1"/>
    <col min="154" max="154" width="18.21875" style="54" customWidth="1"/>
    <col min="155" max="16384" width="9.109375" style="54"/>
  </cols>
  <sheetData>
    <row r="1" spans="2:154" ht="14.4" thickBot="1"/>
    <row r="2" spans="2:154" s="77" customFormat="1" ht="24.6" thickBot="1">
      <c r="B2" s="94" t="s">
        <v>474</v>
      </c>
      <c r="C2" s="95" t="s">
        <v>475</v>
      </c>
      <c r="D2" s="96" t="s">
        <v>476</v>
      </c>
      <c r="E2" s="97" t="s">
        <v>477</v>
      </c>
      <c r="F2" s="98" t="s">
        <v>478</v>
      </c>
      <c r="G2" s="95" t="s">
        <v>479</v>
      </c>
      <c r="H2" s="95"/>
      <c r="I2" s="95" t="s">
        <v>1585</v>
      </c>
      <c r="J2" s="95"/>
      <c r="K2" s="95"/>
      <c r="L2" s="95"/>
      <c r="M2" s="95"/>
      <c r="N2" s="95"/>
      <c r="O2" s="95"/>
      <c r="P2" s="95"/>
      <c r="Q2" s="95" t="s">
        <v>1586</v>
      </c>
      <c r="R2" s="95"/>
      <c r="S2" s="95"/>
      <c r="T2" s="95"/>
      <c r="U2" s="95"/>
      <c r="V2" s="95"/>
      <c r="W2" s="95"/>
      <c r="X2" s="95" t="s">
        <v>480</v>
      </c>
      <c r="Y2" s="95"/>
      <c r="Z2" s="95"/>
      <c r="AA2" s="95"/>
      <c r="AB2" s="95" t="s">
        <v>1539</v>
      </c>
      <c r="AC2" s="95"/>
      <c r="AD2" s="95" t="s">
        <v>1584</v>
      </c>
      <c r="AE2" s="95" t="s">
        <v>1546</v>
      </c>
      <c r="AF2" s="95"/>
      <c r="AG2" s="95" t="s">
        <v>1589</v>
      </c>
      <c r="AH2" s="95" t="s">
        <v>1590</v>
      </c>
      <c r="AI2" s="95"/>
      <c r="AJ2" s="95"/>
      <c r="AK2" s="95"/>
      <c r="AL2" s="95"/>
      <c r="AM2" s="95"/>
      <c r="AN2" s="95"/>
      <c r="AO2" s="95"/>
      <c r="AP2" s="95"/>
      <c r="AQ2" s="95"/>
      <c r="AR2" s="95" t="s">
        <v>1233</v>
      </c>
      <c r="AS2" s="95"/>
      <c r="AT2" s="95"/>
      <c r="AU2" s="95"/>
      <c r="AV2" s="95" t="s">
        <v>1234</v>
      </c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  <c r="BY2" s="95"/>
      <c r="BZ2" s="95"/>
      <c r="CA2" s="95"/>
      <c r="CB2" s="95"/>
      <c r="CC2" s="95"/>
      <c r="CD2" s="95"/>
      <c r="CE2" s="95"/>
      <c r="CF2" s="99"/>
      <c r="CG2" s="99"/>
      <c r="CH2" s="100"/>
      <c r="CL2" s="110" t="s">
        <v>534</v>
      </c>
      <c r="CM2" s="533" t="s">
        <v>531</v>
      </c>
      <c r="CN2" s="534"/>
      <c r="CO2" s="111" t="s">
        <v>532</v>
      </c>
      <c r="CP2" s="112" t="s">
        <v>533</v>
      </c>
      <c r="CS2" s="351" t="s">
        <v>1236</v>
      </c>
      <c r="CT2" s="351" t="s">
        <v>479</v>
      </c>
      <c r="CU2" s="352"/>
      <c r="CV2" s="351" t="s">
        <v>145</v>
      </c>
      <c r="CW2" s="351" t="s">
        <v>479</v>
      </c>
      <c r="CX2" s="352"/>
      <c r="CY2" s="351" t="s">
        <v>429</v>
      </c>
      <c r="CZ2" s="351" t="s">
        <v>479</v>
      </c>
      <c r="DA2" s="188"/>
      <c r="DB2" s="351" t="s">
        <v>444</v>
      </c>
      <c r="DC2" s="351" t="s">
        <v>479</v>
      </c>
      <c r="DE2" s="351" t="s">
        <v>1237</v>
      </c>
      <c r="DF2" s="351" t="s">
        <v>479</v>
      </c>
      <c r="DH2" s="521" t="s">
        <v>1520</v>
      </c>
      <c r="DI2" s="522"/>
      <c r="DJ2" s="522"/>
      <c r="DK2" s="522"/>
      <c r="DL2" s="522"/>
      <c r="DM2" s="522"/>
      <c r="DN2" s="522"/>
      <c r="DO2" s="523"/>
      <c r="DP2" s="109"/>
      <c r="DQ2" s="524" t="s">
        <v>1239</v>
      </c>
      <c r="DR2" s="525"/>
      <c r="DS2" s="525"/>
      <c r="DT2" s="525"/>
      <c r="DU2" s="525"/>
      <c r="DV2" s="525"/>
      <c r="DW2" s="525"/>
      <c r="DX2" s="526"/>
      <c r="DY2" s="316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</row>
    <row r="3" spans="2:154" ht="16.2" thickTop="1" thickBot="1">
      <c r="B3" s="78" t="s">
        <v>7</v>
      </c>
      <c r="C3" s="79" t="s">
        <v>8</v>
      </c>
      <c r="D3" s="80" t="s">
        <v>8</v>
      </c>
      <c r="E3" s="1" t="s">
        <v>4</v>
      </c>
      <c r="F3" s="2">
        <v>105</v>
      </c>
      <c r="G3" s="3">
        <v>31.1</v>
      </c>
      <c r="H3" s="3" t="str">
        <f>D3</f>
        <v>L12X12X1-3/8</v>
      </c>
      <c r="I3" s="4">
        <v>12</v>
      </c>
      <c r="J3" s="5" t="s">
        <v>5</v>
      </c>
      <c r="K3" s="6" t="s">
        <v>5</v>
      </c>
      <c r="L3" s="6" t="s">
        <v>5</v>
      </c>
      <c r="M3" s="6" t="s">
        <v>5</v>
      </c>
      <c r="N3" s="6" t="s">
        <v>5</v>
      </c>
      <c r="O3" s="5" t="s">
        <v>5</v>
      </c>
      <c r="P3" s="6" t="s">
        <v>5</v>
      </c>
      <c r="Q3" s="4">
        <v>12</v>
      </c>
      <c r="R3" s="6" t="s">
        <v>5</v>
      </c>
      <c r="S3" s="6" t="s">
        <v>5</v>
      </c>
      <c r="T3" s="5" t="s">
        <v>5</v>
      </c>
      <c r="U3" s="5" t="s">
        <v>5</v>
      </c>
      <c r="V3" s="6" t="s">
        <v>5</v>
      </c>
      <c r="W3" s="5" t="s">
        <v>5</v>
      </c>
      <c r="X3" s="6">
        <v>1.38</v>
      </c>
      <c r="Y3" s="6" t="s">
        <v>5</v>
      </c>
      <c r="Z3" s="6" t="s">
        <v>5</v>
      </c>
      <c r="AA3" s="7">
        <v>2.09</v>
      </c>
      <c r="AB3" s="8">
        <v>2.0625</v>
      </c>
      <c r="AC3" s="5" t="s">
        <v>5</v>
      </c>
      <c r="AD3" s="9">
        <v>3.5</v>
      </c>
      <c r="AE3" s="9">
        <v>3.5</v>
      </c>
      <c r="AF3" s="6" t="s">
        <v>5</v>
      </c>
      <c r="AG3" s="9">
        <v>1.3</v>
      </c>
      <c r="AH3" s="9">
        <v>1.3</v>
      </c>
      <c r="AI3" s="6" t="s">
        <v>5</v>
      </c>
      <c r="AJ3" s="7">
        <v>8.6999999999999993</v>
      </c>
      <c r="AK3" s="6" t="s">
        <v>5</v>
      </c>
      <c r="AL3" s="6" t="s">
        <v>5</v>
      </c>
      <c r="AM3" s="6" t="s">
        <v>5</v>
      </c>
      <c r="AN3" s="6" t="s">
        <v>5</v>
      </c>
      <c r="AO3" s="10">
        <v>413</v>
      </c>
      <c r="AP3" s="3">
        <v>88.1</v>
      </c>
      <c r="AQ3" s="3">
        <v>48.6</v>
      </c>
      <c r="AR3" s="9">
        <v>3.64</v>
      </c>
      <c r="AS3" s="10">
        <v>413</v>
      </c>
      <c r="AT3" s="3">
        <v>88.1</v>
      </c>
      <c r="AU3" s="3">
        <v>48.6</v>
      </c>
      <c r="AV3" s="9">
        <v>3.64</v>
      </c>
      <c r="AW3" s="11">
        <v>165</v>
      </c>
      <c r="AX3" s="9">
        <v>2.2999999999999998</v>
      </c>
      <c r="AY3" s="12">
        <v>33.299999999999997</v>
      </c>
      <c r="AZ3" s="13">
        <v>19.899999999999999</v>
      </c>
      <c r="BA3" s="14">
        <v>211</v>
      </c>
      <c r="BB3" s="6" t="s">
        <v>5</v>
      </c>
      <c r="BC3" s="6" t="s">
        <v>5</v>
      </c>
      <c r="BD3" s="6" t="s">
        <v>5</v>
      </c>
      <c r="BE3" s="6" t="s">
        <v>5</v>
      </c>
      <c r="BF3" s="6" t="s">
        <v>5</v>
      </c>
      <c r="BG3" s="6" t="s">
        <v>5</v>
      </c>
      <c r="BH3" s="6" t="s">
        <v>5</v>
      </c>
      <c r="BI3" s="9">
        <v>6.51</v>
      </c>
      <c r="BJ3" s="15">
        <v>0.627</v>
      </c>
      <c r="BK3" s="7">
        <v>0.99999999999999989</v>
      </c>
      <c r="BL3" s="11">
        <v>661</v>
      </c>
      <c r="BM3" s="7">
        <v>8</v>
      </c>
      <c r="BN3" s="2">
        <v>0</v>
      </c>
      <c r="BO3" s="7">
        <v>8</v>
      </c>
      <c r="BP3" s="9">
        <v>4.0199999999999996</v>
      </c>
      <c r="BQ3" s="11">
        <v>4.95</v>
      </c>
      <c r="BR3" s="9">
        <v>4.0199999999999996</v>
      </c>
      <c r="BS3" s="16">
        <v>82.6</v>
      </c>
      <c r="BT3" s="16" t="s">
        <v>5</v>
      </c>
      <c r="BU3" s="16">
        <v>82.6</v>
      </c>
      <c r="BV3" s="17">
        <v>41</v>
      </c>
      <c r="BW3" s="16">
        <v>33.299999999999997</v>
      </c>
      <c r="BX3" s="17">
        <v>41</v>
      </c>
      <c r="BY3" s="6" t="s">
        <v>5</v>
      </c>
      <c r="BZ3" s="6" t="s">
        <v>5</v>
      </c>
      <c r="CA3" s="4">
        <v>36</v>
      </c>
      <c r="CB3" s="4">
        <v>36</v>
      </c>
      <c r="CC3" s="4">
        <v>48</v>
      </c>
      <c r="CD3" s="6" t="s">
        <v>5</v>
      </c>
      <c r="CE3" s="6" t="s">
        <v>5</v>
      </c>
      <c r="CF3" s="16" t="s">
        <v>5</v>
      </c>
      <c r="CG3" s="16" t="s">
        <v>5</v>
      </c>
      <c r="CH3" s="18" t="s">
        <v>5</v>
      </c>
      <c r="CL3" s="498" t="s">
        <v>482</v>
      </c>
      <c r="CM3" s="58" t="s">
        <v>483</v>
      </c>
      <c r="CN3" s="63" t="s">
        <v>484</v>
      </c>
      <c r="CO3" s="70">
        <v>36</v>
      </c>
      <c r="CP3" s="66">
        <v>58</v>
      </c>
      <c r="CS3" s="333" t="str">
        <f>VLOOKUP(CT3,$G$3:$H$139,2,FALSE)</f>
        <v>L12X12X1-3/8</v>
      </c>
      <c r="CT3" s="334">
        <v>31.1</v>
      </c>
      <c r="CV3" s="342" t="str">
        <f>VLOOKUP(CW3,$G$140:$H$422,2,FALSE)</f>
        <v>WT18X462.5</v>
      </c>
      <c r="CW3" s="343">
        <v>136</v>
      </c>
      <c r="CY3" s="342" t="str">
        <f>VLOOKUP(CZ3,$G$423:$H$436,2,FALSE)</f>
        <v>MT2.5X9.45</v>
      </c>
      <c r="CZ3" s="349">
        <v>2.78</v>
      </c>
      <c r="DB3" s="333" t="str">
        <f>VLOOKUP(DC3,$G$437:$H$464,2,FALSE)</f>
        <v>ST12X60.5</v>
      </c>
      <c r="DC3" s="350">
        <v>17.8</v>
      </c>
      <c r="DE3" s="333" t="str">
        <f>VLOOKUP(DF3,$G$465:$H$647,2,FALSE)</f>
        <v>2L12X12X1-3/8</v>
      </c>
      <c r="DF3" s="350">
        <v>62.2</v>
      </c>
      <c r="DH3" s="391" t="s">
        <v>1240</v>
      </c>
      <c r="DI3" s="391" t="s">
        <v>479</v>
      </c>
      <c r="DJ3" s="391" t="s">
        <v>1</v>
      </c>
      <c r="DK3" s="418" t="s">
        <v>1896</v>
      </c>
      <c r="DL3" s="418" t="s">
        <v>1897</v>
      </c>
      <c r="DM3" s="419" t="s">
        <v>1898</v>
      </c>
      <c r="DN3" s="419" t="s">
        <v>1511</v>
      </c>
      <c r="DO3" s="391" t="s">
        <v>1533</v>
      </c>
      <c r="DP3" s="114"/>
      <c r="DQ3" s="420" t="s">
        <v>1240</v>
      </c>
      <c r="DR3" s="421" t="s">
        <v>1511</v>
      </c>
      <c r="DS3" s="421" t="s">
        <v>1512</v>
      </c>
      <c r="DT3" s="422" t="s">
        <v>1513</v>
      </c>
      <c r="DU3" s="422" t="s">
        <v>479</v>
      </c>
      <c r="DV3" s="422" t="s">
        <v>0</v>
      </c>
      <c r="DW3" s="420" t="s">
        <v>1511</v>
      </c>
      <c r="DX3" s="420" t="s">
        <v>1512</v>
      </c>
      <c r="DZ3" s="482" t="s">
        <v>1592</v>
      </c>
      <c r="EA3" s="483"/>
      <c r="EB3" s="483"/>
      <c r="EC3" s="483"/>
      <c r="ED3" s="483"/>
      <c r="EE3" s="483"/>
      <c r="EF3" s="483"/>
      <c r="EG3" s="483"/>
      <c r="EH3" s="483"/>
      <c r="EI3" s="483"/>
      <c r="EJ3" s="483"/>
      <c r="EK3" s="483"/>
      <c r="EL3" s="483"/>
      <c r="EM3" s="483"/>
      <c r="EN3" s="483"/>
      <c r="EO3" s="483"/>
      <c r="EP3" s="483"/>
      <c r="EQ3" s="483"/>
      <c r="ER3" s="483"/>
      <c r="ES3" s="483"/>
      <c r="ET3" s="483"/>
      <c r="EU3" s="477"/>
      <c r="EW3" s="476" t="s">
        <v>1895</v>
      </c>
      <c r="EX3" s="477"/>
    </row>
    <row r="4" spans="2:154" ht="14.4" thickBot="1">
      <c r="B4" s="78" t="s">
        <v>7</v>
      </c>
      <c r="C4" s="79" t="s">
        <v>9</v>
      </c>
      <c r="D4" s="80" t="s">
        <v>9</v>
      </c>
      <c r="E4" s="1" t="s">
        <v>4</v>
      </c>
      <c r="F4" s="4">
        <v>96.4</v>
      </c>
      <c r="G4" s="3">
        <v>28.4</v>
      </c>
      <c r="H4" s="3" t="str">
        <f t="shared" ref="H4:H67" si="0">D4</f>
        <v>L12X12X1-1/4</v>
      </c>
      <c r="I4" s="4">
        <v>12</v>
      </c>
      <c r="J4" s="5" t="s">
        <v>5</v>
      </c>
      <c r="K4" s="6" t="s">
        <v>5</v>
      </c>
      <c r="L4" s="6" t="s">
        <v>5</v>
      </c>
      <c r="M4" s="6" t="s">
        <v>5</v>
      </c>
      <c r="N4" s="6" t="s">
        <v>5</v>
      </c>
      <c r="O4" s="5" t="s">
        <v>5</v>
      </c>
      <c r="P4" s="6" t="s">
        <v>5</v>
      </c>
      <c r="Q4" s="4">
        <v>12</v>
      </c>
      <c r="R4" s="6" t="s">
        <v>5</v>
      </c>
      <c r="S4" s="6" t="s">
        <v>5</v>
      </c>
      <c r="T4" s="5" t="s">
        <v>5</v>
      </c>
      <c r="U4" s="5" t="s">
        <v>5</v>
      </c>
      <c r="V4" s="6" t="s">
        <v>5</v>
      </c>
      <c r="W4" s="5" t="s">
        <v>5</v>
      </c>
      <c r="X4" s="7">
        <v>1.25</v>
      </c>
      <c r="Y4" s="6" t="s">
        <v>5</v>
      </c>
      <c r="Z4" s="6" t="s">
        <v>5</v>
      </c>
      <c r="AA4" s="7">
        <v>1.96</v>
      </c>
      <c r="AB4" s="8">
        <v>1.9375</v>
      </c>
      <c r="AC4" s="5" t="s">
        <v>5</v>
      </c>
      <c r="AD4" s="9">
        <v>3.45</v>
      </c>
      <c r="AE4" s="11">
        <v>3.45</v>
      </c>
      <c r="AF4" s="6" t="s">
        <v>5</v>
      </c>
      <c r="AG4" s="9">
        <v>1.18</v>
      </c>
      <c r="AH4" s="11">
        <v>1.18</v>
      </c>
      <c r="AI4" s="6" t="s">
        <v>5</v>
      </c>
      <c r="AJ4" s="7">
        <v>9.6</v>
      </c>
      <c r="AK4" s="6" t="s">
        <v>5</v>
      </c>
      <c r="AL4" s="6" t="s">
        <v>5</v>
      </c>
      <c r="AM4" s="6" t="s">
        <v>5</v>
      </c>
      <c r="AN4" s="6" t="s">
        <v>5</v>
      </c>
      <c r="AO4" s="10">
        <v>381</v>
      </c>
      <c r="AP4" s="3">
        <v>80.7</v>
      </c>
      <c r="AQ4" s="3">
        <v>44.6</v>
      </c>
      <c r="AR4" s="9">
        <v>3.66</v>
      </c>
      <c r="AS4" s="10">
        <v>381</v>
      </c>
      <c r="AT4" s="3">
        <v>80.7</v>
      </c>
      <c r="AU4" s="3">
        <v>44.6</v>
      </c>
      <c r="AV4" s="9">
        <v>3.66</v>
      </c>
      <c r="AW4" s="11">
        <v>152</v>
      </c>
      <c r="AX4" s="11">
        <v>2.31</v>
      </c>
      <c r="AY4" s="12">
        <v>31.1</v>
      </c>
      <c r="AZ4" s="13">
        <v>14.9</v>
      </c>
      <c r="BA4" s="14">
        <v>160</v>
      </c>
      <c r="BB4" s="6" t="s">
        <v>5</v>
      </c>
      <c r="BC4" s="6" t="s">
        <v>5</v>
      </c>
      <c r="BD4" s="6" t="s">
        <v>5</v>
      </c>
      <c r="BE4" s="6" t="s">
        <v>5</v>
      </c>
      <c r="BF4" s="6" t="s">
        <v>5</v>
      </c>
      <c r="BG4" s="6" t="s">
        <v>5</v>
      </c>
      <c r="BH4" s="6" t="s">
        <v>5</v>
      </c>
      <c r="BI4" s="9">
        <v>6.54</v>
      </c>
      <c r="BJ4" s="15">
        <v>0.627</v>
      </c>
      <c r="BK4" s="7">
        <v>0.99999999999999989</v>
      </c>
      <c r="BL4" s="11">
        <v>610</v>
      </c>
      <c r="BM4" s="7">
        <v>8.0399999999999991</v>
      </c>
      <c r="BN4" s="2">
        <v>0</v>
      </c>
      <c r="BO4" s="7">
        <v>8.0399999999999991</v>
      </c>
      <c r="BP4" s="9">
        <v>4.05</v>
      </c>
      <c r="BQ4" s="11">
        <v>4.88</v>
      </c>
      <c r="BR4" s="11">
        <v>4.05</v>
      </c>
      <c r="BS4" s="16">
        <v>75.900000000000006</v>
      </c>
      <c r="BT4" s="16" t="s">
        <v>5</v>
      </c>
      <c r="BU4" s="16">
        <v>75.900000000000006</v>
      </c>
      <c r="BV4" s="16">
        <v>37.5</v>
      </c>
      <c r="BW4" s="16">
        <v>31.1</v>
      </c>
      <c r="BX4" s="16">
        <v>37.5</v>
      </c>
      <c r="BY4" s="6" t="s">
        <v>5</v>
      </c>
      <c r="BZ4" s="6" t="s">
        <v>5</v>
      </c>
      <c r="CA4" s="4">
        <v>36</v>
      </c>
      <c r="CB4" s="4">
        <v>36</v>
      </c>
      <c r="CC4" s="4">
        <v>48</v>
      </c>
      <c r="CD4" s="6" t="s">
        <v>5</v>
      </c>
      <c r="CE4" s="6" t="s">
        <v>5</v>
      </c>
      <c r="CF4" s="16" t="s">
        <v>5</v>
      </c>
      <c r="CG4" s="16" t="s">
        <v>5</v>
      </c>
      <c r="CH4" s="18" t="s">
        <v>5</v>
      </c>
      <c r="CL4" s="499"/>
      <c r="CM4" s="59" t="s">
        <v>535</v>
      </c>
      <c r="CN4" s="64" t="s">
        <v>485</v>
      </c>
      <c r="CO4" s="71">
        <v>35</v>
      </c>
      <c r="CP4" s="67">
        <v>60</v>
      </c>
      <c r="CS4" s="335" t="str">
        <f t="shared" ref="CS4:CS67" si="1">VLOOKUP(CT4,$G$3:$H$139,2,FALSE)</f>
        <v>L12X12X1-1/4</v>
      </c>
      <c r="CT4" s="336">
        <v>28.4</v>
      </c>
      <c r="CV4" s="344" t="str">
        <f t="shared" ref="CV4:CV67" si="2">VLOOKUP(CW4,$G$140:$H$422,2,FALSE)</f>
        <v>WT7X436.5</v>
      </c>
      <c r="CW4" s="345">
        <v>129</v>
      </c>
      <c r="CY4" s="344" t="str">
        <f t="shared" ref="CY4:CY16" si="3">VLOOKUP(CZ4,$G$423:$H$436,2,FALSE)</f>
        <v>MT6.25X6.2</v>
      </c>
      <c r="CZ4" s="338">
        <v>1.82</v>
      </c>
      <c r="DB4" s="335" t="str">
        <f t="shared" ref="DB4:DB30" si="4">VLOOKUP(DC4,$G$437:$H$464,2,FALSE)</f>
        <v>ST12X53</v>
      </c>
      <c r="DC4" s="337">
        <v>15.6</v>
      </c>
      <c r="DE4" s="335" t="str">
        <f t="shared" ref="DE4:DE67" si="5">VLOOKUP(DF4,$G$465:$H$647,2,FALSE)</f>
        <v>2L12X12X1-3/8</v>
      </c>
      <c r="DF4" s="337">
        <v>62.2</v>
      </c>
      <c r="DH4" s="392" t="s">
        <v>1262</v>
      </c>
      <c r="DI4" s="393">
        <v>98.5</v>
      </c>
      <c r="DJ4" s="393">
        <v>44</v>
      </c>
      <c r="DK4" s="394">
        <v>1.03</v>
      </c>
      <c r="DL4" s="393">
        <v>38</v>
      </c>
      <c r="DM4" s="394">
        <v>4.5</v>
      </c>
      <c r="DN4" s="395">
        <v>1620</v>
      </c>
      <c r="DO4" s="396">
        <v>1410</v>
      </c>
      <c r="DQ4" s="423" t="s">
        <v>1241</v>
      </c>
      <c r="DR4" s="424">
        <v>4130</v>
      </c>
      <c r="DS4" s="424">
        <v>73000</v>
      </c>
      <c r="DT4" s="425" t="s">
        <v>1241</v>
      </c>
      <c r="DU4" s="425">
        <v>4130</v>
      </c>
      <c r="DV4" s="424">
        <v>925</v>
      </c>
      <c r="DW4" s="426">
        <f t="shared" ref="DW4:DW28" si="6">VLOOKUP(DT4,$DQ$4:$DR$276,2,FALSE)</f>
        <v>4130</v>
      </c>
      <c r="DX4" s="427">
        <f t="shared" ref="DX4:DX28" si="7">VLOOKUP(DT4,$DQ$4:$DS$276,3,FALSE)</f>
        <v>73000</v>
      </c>
      <c r="DZ4" s="478"/>
      <c r="EA4" s="484"/>
      <c r="EB4" s="484"/>
      <c r="EC4" s="484"/>
      <c r="ED4" s="484"/>
      <c r="EE4" s="484"/>
      <c r="EF4" s="484"/>
      <c r="EG4" s="484"/>
      <c r="EH4" s="484"/>
      <c r="EI4" s="484"/>
      <c r="EJ4" s="484"/>
      <c r="EK4" s="484"/>
      <c r="EL4" s="484"/>
      <c r="EM4" s="484"/>
      <c r="EN4" s="484"/>
      <c r="EO4" s="484"/>
      <c r="EP4" s="484"/>
      <c r="EQ4" s="484"/>
      <c r="ER4" s="484"/>
      <c r="ES4" s="484"/>
      <c r="ET4" s="484"/>
      <c r="EU4" s="479"/>
      <c r="EV4" s="77"/>
      <c r="EW4" s="478"/>
      <c r="EX4" s="479"/>
    </row>
    <row r="5" spans="2:154" ht="15" thickTop="1" thickBot="1">
      <c r="B5" s="78" t="s">
        <v>7</v>
      </c>
      <c r="C5" s="79" t="s">
        <v>10</v>
      </c>
      <c r="D5" s="80" t="s">
        <v>10</v>
      </c>
      <c r="E5" s="1" t="s">
        <v>4</v>
      </c>
      <c r="F5" s="4">
        <v>87.2</v>
      </c>
      <c r="G5" s="3">
        <v>25.8</v>
      </c>
      <c r="H5" s="3" t="str">
        <f t="shared" si="0"/>
        <v>L12X12X1-1/8</v>
      </c>
      <c r="I5" s="4">
        <v>12</v>
      </c>
      <c r="J5" s="5" t="s">
        <v>5</v>
      </c>
      <c r="K5" s="6" t="s">
        <v>5</v>
      </c>
      <c r="L5" s="6" t="s">
        <v>5</v>
      </c>
      <c r="M5" s="6" t="s">
        <v>5</v>
      </c>
      <c r="N5" s="6" t="s">
        <v>5</v>
      </c>
      <c r="O5" s="5" t="s">
        <v>5</v>
      </c>
      <c r="P5" s="6" t="s">
        <v>5</v>
      </c>
      <c r="Q5" s="4">
        <v>12</v>
      </c>
      <c r="R5" s="6" t="s">
        <v>5</v>
      </c>
      <c r="S5" s="6" t="s">
        <v>5</v>
      </c>
      <c r="T5" s="5" t="s">
        <v>5</v>
      </c>
      <c r="U5" s="5" t="s">
        <v>5</v>
      </c>
      <c r="V5" s="6" t="s">
        <v>5</v>
      </c>
      <c r="W5" s="5" t="s">
        <v>5</v>
      </c>
      <c r="X5" s="6">
        <v>1.1299999999999999</v>
      </c>
      <c r="Y5" s="6" t="s">
        <v>5</v>
      </c>
      <c r="Z5" s="6" t="s">
        <v>5</v>
      </c>
      <c r="AA5" s="7">
        <v>1.84</v>
      </c>
      <c r="AB5" s="8">
        <v>1.8125</v>
      </c>
      <c r="AC5" s="5" t="s">
        <v>5</v>
      </c>
      <c r="AD5" s="9">
        <v>3.41</v>
      </c>
      <c r="AE5" s="11">
        <v>3.41</v>
      </c>
      <c r="AF5" s="6" t="s">
        <v>5</v>
      </c>
      <c r="AG5" s="9">
        <v>1.08</v>
      </c>
      <c r="AH5" s="11">
        <v>1.08</v>
      </c>
      <c r="AI5" s="6" t="s">
        <v>5</v>
      </c>
      <c r="AJ5" s="4">
        <v>10.6</v>
      </c>
      <c r="AK5" s="6" t="s">
        <v>5</v>
      </c>
      <c r="AL5" s="6" t="s">
        <v>5</v>
      </c>
      <c r="AM5" s="6" t="s">
        <v>5</v>
      </c>
      <c r="AN5" s="6" t="s">
        <v>5</v>
      </c>
      <c r="AO5" s="10">
        <v>350</v>
      </c>
      <c r="AP5" s="3">
        <v>73.7</v>
      </c>
      <c r="AQ5" s="3">
        <v>40.700000000000003</v>
      </c>
      <c r="AR5" s="9">
        <v>3.68</v>
      </c>
      <c r="AS5" s="10">
        <v>350</v>
      </c>
      <c r="AT5" s="3">
        <v>73.7</v>
      </c>
      <c r="AU5" s="3">
        <v>40.700000000000003</v>
      </c>
      <c r="AV5" s="9">
        <v>3.68</v>
      </c>
      <c r="AW5" s="11">
        <v>140</v>
      </c>
      <c r="AX5" s="11">
        <v>2.33</v>
      </c>
      <c r="AY5" s="19">
        <v>29</v>
      </c>
      <c r="AZ5" s="13">
        <v>11.1</v>
      </c>
      <c r="BA5" s="14">
        <v>120</v>
      </c>
      <c r="BB5" s="6" t="s">
        <v>5</v>
      </c>
      <c r="BC5" s="6" t="s">
        <v>5</v>
      </c>
      <c r="BD5" s="6" t="s">
        <v>5</v>
      </c>
      <c r="BE5" s="6" t="s">
        <v>5</v>
      </c>
      <c r="BF5" s="6" t="s">
        <v>5</v>
      </c>
      <c r="BG5" s="6" t="s">
        <v>5</v>
      </c>
      <c r="BH5" s="6" t="s">
        <v>5</v>
      </c>
      <c r="BI5" s="9">
        <v>6.58</v>
      </c>
      <c r="BJ5" s="15">
        <v>0.626</v>
      </c>
      <c r="BK5" s="7">
        <v>0.99999999999999989</v>
      </c>
      <c r="BL5" s="11">
        <v>560</v>
      </c>
      <c r="BM5" s="7">
        <v>8.09</v>
      </c>
      <c r="BN5" s="2">
        <v>0</v>
      </c>
      <c r="BO5" s="7">
        <v>8.09</v>
      </c>
      <c r="BP5" s="9">
        <v>4.0599999999999996</v>
      </c>
      <c r="BQ5" s="11">
        <v>4.82</v>
      </c>
      <c r="BR5" s="11">
        <v>4.0599999999999996</v>
      </c>
      <c r="BS5" s="16">
        <v>69.2</v>
      </c>
      <c r="BT5" s="16" t="s">
        <v>5</v>
      </c>
      <c r="BU5" s="16">
        <v>69.2</v>
      </c>
      <c r="BV5" s="16">
        <v>34.5</v>
      </c>
      <c r="BW5" s="17">
        <v>29</v>
      </c>
      <c r="BX5" s="16">
        <v>34.5</v>
      </c>
      <c r="BY5" s="6" t="s">
        <v>5</v>
      </c>
      <c r="BZ5" s="6" t="s">
        <v>5</v>
      </c>
      <c r="CA5" s="4">
        <v>36</v>
      </c>
      <c r="CB5" s="4">
        <v>36</v>
      </c>
      <c r="CC5" s="4">
        <v>48</v>
      </c>
      <c r="CD5" s="6" t="s">
        <v>5</v>
      </c>
      <c r="CE5" s="6" t="s">
        <v>5</v>
      </c>
      <c r="CF5" s="16" t="s">
        <v>5</v>
      </c>
      <c r="CG5" s="16" t="s">
        <v>5</v>
      </c>
      <c r="CH5" s="18" t="s">
        <v>5</v>
      </c>
      <c r="CL5" s="499"/>
      <c r="CM5" s="59" t="s">
        <v>486</v>
      </c>
      <c r="CN5" s="64" t="s">
        <v>485</v>
      </c>
      <c r="CO5" s="71">
        <v>42</v>
      </c>
      <c r="CP5" s="67">
        <v>58</v>
      </c>
      <c r="CS5" s="335" t="str">
        <f t="shared" si="1"/>
        <v>L12X12X1-1/8</v>
      </c>
      <c r="CT5" s="336">
        <v>25.8</v>
      </c>
      <c r="CV5" s="344" t="str">
        <f t="shared" si="2"/>
        <v>WT18X426.5</v>
      </c>
      <c r="CW5" s="345">
        <v>126</v>
      </c>
      <c r="CY5" s="344" t="str">
        <f t="shared" si="3"/>
        <v>MT6X5.9</v>
      </c>
      <c r="CZ5" s="338">
        <v>1.74</v>
      </c>
      <c r="DB5" s="335" t="str">
        <f t="shared" si="4"/>
        <v>ST12X50</v>
      </c>
      <c r="DC5" s="337">
        <v>14.7</v>
      </c>
      <c r="DE5" s="335" t="str">
        <f t="shared" si="5"/>
        <v>2L12X12X1-3/8</v>
      </c>
      <c r="DF5" s="337">
        <v>62.2</v>
      </c>
      <c r="DH5" s="397" t="s">
        <v>1270</v>
      </c>
      <c r="DI5" s="398">
        <v>85.4</v>
      </c>
      <c r="DJ5" s="398">
        <v>43.6</v>
      </c>
      <c r="DK5" s="399">
        <v>0.86499999999999999</v>
      </c>
      <c r="DL5" s="398">
        <v>45</v>
      </c>
      <c r="DM5" s="400">
        <v>5.0199999999999996</v>
      </c>
      <c r="DN5" s="401">
        <v>1410</v>
      </c>
      <c r="DO5" s="402">
        <v>1240</v>
      </c>
      <c r="DQ5" s="428" t="s">
        <v>1242</v>
      </c>
      <c r="DR5" s="429">
        <v>3920</v>
      </c>
      <c r="DS5" s="429">
        <v>70000</v>
      </c>
      <c r="DT5" s="430" t="s">
        <v>1242</v>
      </c>
      <c r="DU5" s="430">
        <v>3920</v>
      </c>
      <c r="DV5" s="429">
        <v>853</v>
      </c>
      <c r="DW5" s="431">
        <f t="shared" si="6"/>
        <v>3920</v>
      </c>
      <c r="DX5" s="432">
        <f t="shared" si="7"/>
        <v>70000</v>
      </c>
      <c r="DZ5" s="485"/>
      <c r="EA5" s="486"/>
      <c r="EB5" s="486"/>
      <c r="EC5" s="486"/>
      <c r="ED5" s="486"/>
      <c r="EE5" s="486"/>
      <c r="EF5" s="486"/>
      <c r="EG5" s="486"/>
      <c r="EH5" s="486"/>
      <c r="EI5" s="486"/>
      <c r="EJ5" s="486"/>
      <c r="EK5" s="486"/>
      <c r="EL5" s="486"/>
      <c r="EM5" s="486"/>
      <c r="EN5" s="486"/>
      <c r="EO5" s="486"/>
      <c r="EP5" s="486"/>
      <c r="EQ5" s="486"/>
      <c r="ER5" s="486"/>
      <c r="ES5" s="486"/>
      <c r="ET5" s="486"/>
      <c r="EU5" s="487"/>
      <c r="EW5" s="309"/>
      <c r="EX5" s="310"/>
    </row>
    <row r="6" spans="2:154" ht="14.4" thickTop="1">
      <c r="B6" s="78" t="s">
        <v>7</v>
      </c>
      <c r="C6" s="79" t="s">
        <v>11</v>
      </c>
      <c r="D6" s="80" t="s">
        <v>11</v>
      </c>
      <c r="E6" s="1" t="s">
        <v>4</v>
      </c>
      <c r="F6" s="4">
        <v>77.8</v>
      </c>
      <c r="G6" s="3">
        <v>23</v>
      </c>
      <c r="H6" s="3" t="str">
        <f t="shared" si="0"/>
        <v>L12X12X1</v>
      </c>
      <c r="I6" s="4">
        <v>12</v>
      </c>
      <c r="J6" s="5" t="s">
        <v>5</v>
      </c>
      <c r="K6" s="6" t="s">
        <v>5</v>
      </c>
      <c r="L6" s="6" t="s">
        <v>5</v>
      </c>
      <c r="M6" s="6" t="s">
        <v>5</v>
      </c>
      <c r="N6" s="6" t="s">
        <v>5</v>
      </c>
      <c r="O6" s="5" t="s">
        <v>5</v>
      </c>
      <c r="P6" s="6" t="s">
        <v>5</v>
      </c>
      <c r="Q6" s="4">
        <v>12</v>
      </c>
      <c r="R6" s="6" t="s">
        <v>5</v>
      </c>
      <c r="S6" s="6" t="s">
        <v>5</v>
      </c>
      <c r="T6" s="5" t="s">
        <v>5</v>
      </c>
      <c r="U6" s="5" t="s">
        <v>5</v>
      </c>
      <c r="V6" s="6" t="s">
        <v>5</v>
      </c>
      <c r="W6" s="5" t="s">
        <v>5</v>
      </c>
      <c r="X6" s="7">
        <v>1</v>
      </c>
      <c r="Y6" s="6" t="s">
        <v>5</v>
      </c>
      <c r="Z6" s="6" t="s">
        <v>5</v>
      </c>
      <c r="AA6" s="7">
        <v>1.71</v>
      </c>
      <c r="AB6" s="8">
        <v>1.6875</v>
      </c>
      <c r="AC6" s="5" t="s">
        <v>5</v>
      </c>
      <c r="AD6" s="9">
        <v>3.36</v>
      </c>
      <c r="AE6" s="11">
        <v>3.36</v>
      </c>
      <c r="AF6" s="6" t="s">
        <v>5</v>
      </c>
      <c r="AG6" s="15">
        <v>0.95799999999999996</v>
      </c>
      <c r="AH6" s="11">
        <v>0.95799999999999996</v>
      </c>
      <c r="AI6" s="6" t="s">
        <v>5</v>
      </c>
      <c r="AJ6" s="4">
        <v>12</v>
      </c>
      <c r="AK6" s="6" t="s">
        <v>5</v>
      </c>
      <c r="AL6" s="6" t="s">
        <v>5</v>
      </c>
      <c r="AM6" s="6" t="s">
        <v>5</v>
      </c>
      <c r="AN6" s="6" t="s">
        <v>5</v>
      </c>
      <c r="AO6" s="10">
        <v>315</v>
      </c>
      <c r="AP6" s="3">
        <v>65.900000000000006</v>
      </c>
      <c r="AQ6" s="3">
        <v>36.5</v>
      </c>
      <c r="AR6" s="9">
        <v>3.7</v>
      </c>
      <c r="AS6" s="10">
        <v>315</v>
      </c>
      <c r="AT6" s="20" t="s">
        <v>1235</v>
      </c>
      <c r="AU6" s="3">
        <v>36.5</v>
      </c>
      <c r="AV6" s="9">
        <v>3.7</v>
      </c>
      <c r="AW6" s="11">
        <v>126</v>
      </c>
      <c r="AX6" s="11">
        <v>2.34</v>
      </c>
      <c r="AY6" s="12">
        <v>26.5</v>
      </c>
      <c r="AZ6" s="21">
        <v>7.8</v>
      </c>
      <c r="BA6" s="13">
        <v>84.5</v>
      </c>
      <c r="BB6" s="6" t="s">
        <v>5</v>
      </c>
      <c r="BC6" s="6" t="s">
        <v>5</v>
      </c>
      <c r="BD6" s="6" t="s">
        <v>5</v>
      </c>
      <c r="BE6" s="6" t="s">
        <v>5</v>
      </c>
      <c r="BF6" s="6" t="s">
        <v>5</v>
      </c>
      <c r="BG6" s="6" t="s">
        <v>5</v>
      </c>
      <c r="BH6" s="6" t="s">
        <v>5</v>
      </c>
      <c r="BI6" s="9">
        <v>6.61</v>
      </c>
      <c r="BJ6" s="15">
        <v>0.626</v>
      </c>
      <c r="BK6" s="7">
        <v>0.99999999999999989</v>
      </c>
      <c r="BL6" s="11">
        <v>504</v>
      </c>
      <c r="BM6" s="7">
        <v>8.1300000000000008</v>
      </c>
      <c r="BN6" s="2">
        <v>0</v>
      </c>
      <c r="BO6" s="7">
        <v>8.1300000000000008</v>
      </c>
      <c r="BP6" s="9">
        <v>4.09</v>
      </c>
      <c r="BQ6" s="11">
        <v>4.75</v>
      </c>
      <c r="BR6" s="11">
        <v>4.09</v>
      </c>
      <c r="BS6" s="17">
        <v>62</v>
      </c>
      <c r="BT6" s="16" t="s">
        <v>5</v>
      </c>
      <c r="BU6" s="17">
        <v>62</v>
      </c>
      <c r="BV6" s="16">
        <v>30.8</v>
      </c>
      <c r="BW6" s="16">
        <v>26.5</v>
      </c>
      <c r="BX6" s="16">
        <v>30.8</v>
      </c>
      <c r="BY6" s="6" t="s">
        <v>5</v>
      </c>
      <c r="BZ6" s="6" t="s">
        <v>5</v>
      </c>
      <c r="CA6" s="4">
        <v>36</v>
      </c>
      <c r="CB6" s="4">
        <v>36</v>
      </c>
      <c r="CC6" s="4">
        <v>48</v>
      </c>
      <c r="CD6" s="6" t="s">
        <v>5</v>
      </c>
      <c r="CE6" s="6" t="s">
        <v>5</v>
      </c>
      <c r="CF6" s="16" t="s">
        <v>5</v>
      </c>
      <c r="CG6" s="16" t="s">
        <v>5</v>
      </c>
      <c r="CH6" s="18" t="s">
        <v>5</v>
      </c>
      <c r="CL6" s="499"/>
      <c r="CM6" s="60" t="s">
        <v>487</v>
      </c>
      <c r="CN6" s="64" t="s">
        <v>485</v>
      </c>
      <c r="CO6" s="72">
        <v>46</v>
      </c>
      <c r="CP6" s="68">
        <v>58</v>
      </c>
      <c r="CS6" s="335" t="str">
        <f t="shared" si="1"/>
        <v>L10X10X1-3/8</v>
      </c>
      <c r="CT6" s="336">
        <v>25.6</v>
      </c>
      <c r="CV6" s="344" t="str">
        <f t="shared" si="2"/>
        <v>WT7X404</v>
      </c>
      <c r="CW6" s="345">
        <v>119</v>
      </c>
      <c r="CY6" s="344" t="str">
        <f t="shared" si="3"/>
        <v>MT6.25X5.8</v>
      </c>
      <c r="CZ6" s="338">
        <v>1.7</v>
      </c>
      <c r="DB6" s="335" t="str">
        <f t="shared" si="4"/>
        <v>ST10X48</v>
      </c>
      <c r="DC6" s="337">
        <v>14.1</v>
      </c>
      <c r="DE6" s="335" t="str">
        <f t="shared" si="5"/>
        <v>2L12X12X1-1/4</v>
      </c>
      <c r="DF6" s="337">
        <v>56.8</v>
      </c>
      <c r="DH6" s="397" t="s">
        <v>1277</v>
      </c>
      <c r="DI6" s="398">
        <v>77.2</v>
      </c>
      <c r="DJ6" s="398">
        <v>43.3</v>
      </c>
      <c r="DK6" s="399">
        <v>0.78500000000000003</v>
      </c>
      <c r="DL6" s="398">
        <v>49.6</v>
      </c>
      <c r="DM6" s="400">
        <v>5.57</v>
      </c>
      <c r="DN6" s="401">
        <v>1270</v>
      </c>
      <c r="DO6" s="402">
        <v>1110</v>
      </c>
      <c r="DQ6" s="428" t="s">
        <v>1243</v>
      </c>
      <c r="DR6" s="429">
        <v>3660</v>
      </c>
      <c r="DS6" s="429">
        <v>64800</v>
      </c>
      <c r="DT6" s="430" t="s">
        <v>1243</v>
      </c>
      <c r="DU6" s="430">
        <v>3660</v>
      </c>
      <c r="DV6" s="429">
        <v>802</v>
      </c>
      <c r="DW6" s="431">
        <f t="shared" si="6"/>
        <v>3660</v>
      </c>
      <c r="DX6" s="432">
        <f t="shared" si="7"/>
        <v>64800</v>
      </c>
      <c r="DZ6" s="501" t="s">
        <v>1593</v>
      </c>
      <c r="EA6" s="474" t="s">
        <v>1594</v>
      </c>
      <c r="EB6" s="474" t="s">
        <v>1595</v>
      </c>
      <c r="EC6" s="474" t="s">
        <v>1596</v>
      </c>
      <c r="ED6" s="474" t="s">
        <v>1597</v>
      </c>
      <c r="EE6" s="474" t="s">
        <v>1598</v>
      </c>
      <c r="EF6" s="474" t="s">
        <v>1599</v>
      </c>
      <c r="EG6" s="474" t="s">
        <v>1600</v>
      </c>
      <c r="EH6" s="474" t="s">
        <v>1601</v>
      </c>
      <c r="EI6" s="474" t="s">
        <v>1602</v>
      </c>
      <c r="EJ6" s="474" t="s">
        <v>1603</v>
      </c>
      <c r="EK6" s="474" t="s">
        <v>1604</v>
      </c>
      <c r="EL6" s="474" t="s">
        <v>1605</v>
      </c>
      <c r="EM6" s="474" t="s">
        <v>1606</v>
      </c>
      <c r="EN6" s="474" t="s">
        <v>1607</v>
      </c>
      <c r="EO6" s="474" t="s">
        <v>1608</v>
      </c>
      <c r="EP6" s="474" t="s">
        <v>1609</v>
      </c>
      <c r="EQ6" s="474" t="s">
        <v>1610</v>
      </c>
      <c r="ER6" s="474" t="s">
        <v>1611</v>
      </c>
      <c r="ES6" s="474" t="s">
        <v>1612</v>
      </c>
      <c r="ET6" s="474" t="s">
        <v>1613</v>
      </c>
      <c r="EU6" s="480" t="s">
        <v>1614</v>
      </c>
      <c r="EW6" s="311" t="s">
        <v>1894</v>
      </c>
      <c r="EX6" s="312" t="s">
        <v>1539</v>
      </c>
    </row>
    <row r="7" spans="2:154" ht="14.4" thickBot="1">
      <c r="B7" s="78" t="s">
        <v>7</v>
      </c>
      <c r="C7" s="79" t="s">
        <v>12</v>
      </c>
      <c r="D7" s="80" t="s">
        <v>12</v>
      </c>
      <c r="E7" s="1" t="s">
        <v>4</v>
      </c>
      <c r="F7" s="4">
        <v>87.1</v>
      </c>
      <c r="G7" s="3">
        <v>25.6</v>
      </c>
      <c r="H7" s="3" t="str">
        <f t="shared" si="0"/>
        <v>L10X10X1-3/8</v>
      </c>
      <c r="I7" s="4">
        <v>10</v>
      </c>
      <c r="J7" s="5" t="s">
        <v>5</v>
      </c>
      <c r="K7" s="6" t="s">
        <v>5</v>
      </c>
      <c r="L7" s="6" t="s">
        <v>5</v>
      </c>
      <c r="M7" s="6" t="s">
        <v>5</v>
      </c>
      <c r="N7" s="6" t="s">
        <v>5</v>
      </c>
      <c r="O7" s="5" t="s">
        <v>5</v>
      </c>
      <c r="P7" s="6" t="s">
        <v>5</v>
      </c>
      <c r="Q7" s="4">
        <v>10</v>
      </c>
      <c r="R7" s="6" t="s">
        <v>5</v>
      </c>
      <c r="S7" s="6" t="s">
        <v>5</v>
      </c>
      <c r="T7" s="5" t="s">
        <v>5</v>
      </c>
      <c r="U7" s="5" t="s">
        <v>5</v>
      </c>
      <c r="V7" s="6" t="s">
        <v>5</v>
      </c>
      <c r="W7" s="5" t="s">
        <v>5</v>
      </c>
      <c r="X7" s="6">
        <v>1.38</v>
      </c>
      <c r="Y7" s="6" t="s">
        <v>5</v>
      </c>
      <c r="Z7" s="6" t="s">
        <v>5</v>
      </c>
      <c r="AA7" s="7">
        <v>2.1800000000000002</v>
      </c>
      <c r="AB7" s="8">
        <v>2.1875</v>
      </c>
      <c r="AC7" s="5" t="s">
        <v>5</v>
      </c>
      <c r="AD7" s="9">
        <v>3</v>
      </c>
      <c r="AE7" s="9">
        <v>3</v>
      </c>
      <c r="AF7" s="6" t="s">
        <v>5</v>
      </c>
      <c r="AG7" s="9">
        <v>1.28</v>
      </c>
      <c r="AH7" s="11">
        <v>1.28</v>
      </c>
      <c r="AI7" s="6" t="s">
        <v>5</v>
      </c>
      <c r="AJ7" s="7">
        <v>7.25</v>
      </c>
      <c r="AK7" s="6" t="s">
        <v>5</v>
      </c>
      <c r="AL7" s="6" t="s">
        <v>5</v>
      </c>
      <c r="AM7" s="6" t="s">
        <v>5</v>
      </c>
      <c r="AN7" s="6" t="s">
        <v>5</v>
      </c>
      <c r="AO7" s="10">
        <v>231</v>
      </c>
      <c r="AP7" s="3">
        <v>59.9</v>
      </c>
      <c r="AQ7" s="3">
        <v>33</v>
      </c>
      <c r="AR7" s="9">
        <v>3</v>
      </c>
      <c r="AS7" s="10">
        <v>231</v>
      </c>
      <c r="AT7" s="3">
        <v>59.8</v>
      </c>
      <c r="AU7" s="3">
        <v>33</v>
      </c>
      <c r="AV7" s="9">
        <v>3</v>
      </c>
      <c r="AW7" s="11">
        <v>93.3</v>
      </c>
      <c r="AX7" s="11">
        <v>1.91</v>
      </c>
      <c r="AY7" s="19">
        <v>22</v>
      </c>
      <c r="AZ7" s="13">
        <v>16.399999999999999</v>
      </c>
      <c r="BA7" s="14">
        <v>118</v>
      </c>
      <c r="BB7" s="6" t="s">
        <v>5</v>
      </c>
      <c r="BC7" s="6" t="s">
        <v>5</v>
      </c>
      <c r="BD7" s="6" t="s">
        <v>5</v>
      </c>
      <c r="BE7" s="6" t="s">
        <v>5</v>
      </c>
      <c r="BF7" s="6" t="s">
        <v>5</v>
      </c>
      <c r="BG7" s="6" t="s">
        <v>5</v>
      </c>
      <c r="BH7" s="6" t="s">
        <v>5</v>
      </c>
      <c r="BI7" s="9">
        <v>5.36</v>
      </c>
      <c r="BJ7" s="15">
        <v>0.629</v>
      </c>
      <c r="BK7" s="7">
        <v>0.99999999999999989</v>
      </c>
      <c r="BL7" s="11">
        <v>369</v>
      </c>
      <c r="BM7" s="7">
        <v>6.58</v>
      </c>
      <c r="BN7" s="2">
        <v>0</v>
      </c>
      <c r="BO7" s="7">
        <v>6.58</v>
      </c>
      <c r="BP7" s="9">
        <v>3.32</v>
      </c>
      <c r="BQ7" s="11">
        <v>4.24</v>
      </c>
      <c r="BR7" s="11">
        <v>3.32</v>
      </c>
      <c r="BS7" s="16">
        <v>56.1</v>
      </c>
      <c r="BT7" s="16" t="s">
        <v>5</v>
      </c>
      <c r="BU7" s="16">
        <v>56.1</v>
      </c>
      <c r="BV7" s="16">
        <v>28.1</v>
      </c>
      <c r="BW7" s="17">
        <v>22</v>
      </c>
      <c r="BX7" s="16">
        <v>28.1</v>
      </c>
      <c r="BY7" s="6" t="s">
        <v>5</v>
      </c>
      <c r="BZ7" s="6" t="s">
        <v>5</v>
      </c>
      <c r="CA7" s="4">
        <v>30</v>
      </c>
      <c r="CB7" s="4">
        <v>30</v>
      </c>
      <c r="CC7" s="4">
        <v>40</v>
      </c>
      <c r="CD7" s="6" t="s">
        <v>5</v>
      </c>
      <c r="CE7" s="6" t="s">
        <v>5</v>
      </c>
      <c r="CF7" s="16" t="s">
        <v>5</v>
      </c>
      <c r="CG7" s="16" t="s">
        <v>5</v>
      </c>
      <c r="CH7" s="18" t="s">
        <v>5</v>
      </c>
      <c r="CL7" s="499"/>
      <c r="CM7" s="59" t="s">
        <v>488</v>
      </c>
      <c r="CN7" s="64" t="s">
        <v>489</v>
      </c>
      <c r="CO7" s="71">
        <v>46</v>
      </c>
      <c r="CP7" s="67">
        <v>62</v>
      </c>
      <c r="CS7" s="335" t="str">
        <f t="shared" si="1"/>
        <v>L10X10X1-1/4</v>
      </c>
      <c r="CT7" s="336">
        <v>23.4</v>
      </c>
      <c r="CV7" s="344" t="str">
        <f t="shared" si="2"/>
        <v>WT18X401</v>
      </c>
      <c r="CW7" s="345">
        <v>118</v>
      </c>
      <c r="CY7" s="344" t="str">
        <f t="shared" si="3"/>
        <v>MT6X5.4</v>
      </c>
      <c r="CZ7" s="338">
        <v>1.59</v>
      </c>
      <c r="DB7" s="335" t="str">
        <f t="shared" si="4"/>
        <v>ST12X45</v>
      </c>
      <c r="DC7" s="337">
        <v>13.2</v>
      </c>
      <c r="DE7" s="335" t="str">
        <f t="shared" si="5"/>
        <v>2L12X12X1-1/4</v>
      </c>
      <c r="DF7" s="337">
        <v>56.8</v>
      </c>
      <c r="DH7" s="397" t="s">
        <v>1291</v>
      </c>
      <c r="DI7" s="398">
        <v>67.8</v>
      </c>
      <c r="DJ7" s="398">
        <v>42.9</v>
      </c>
      <c r="DK7" s="399">
        <v>0.71</v>
      </c>
      <c r="DL7" s="398">
        <v>54.8</v>
      </c>
      <c r="DM7" s="400">
        <v>6.45</v>
      </c>
      <c r="DN7" s="401">
        <v>1100</v>
      </c>
      <c r="DO7" s="402">
        <v>971</v>
      </c>
      <c r="DQ7" s="428" t="s">
        <v>1244</v>
      </c>
      <c r="DR7" s="429">
        <v>3270</v>
      </c>
      <c r="DS7" s="429">
        <v>57300</v>
      </c>
      <c r="DT7" s="430" t="s">
        <v>1244</v>
      </c>
      <c r="DU7" s="430">
        <v>3270</v>
      </c>
      <c r="DV7" s="429">
        <v>723</v>
      </c>
      <c r="DW7" s="431">
        <f t="shared" si="6"/>
        <v>3270</v>
      </c>
      <c r="DX7" s="432">
        <f t="shared" si="7"/>
        <v>57300</v>
      </c>
      <c r="DZ7" s="502"/>
      <c r="EA7" s="475"/>
      <c r="EB7" s="475"/>
      <c r="EC7" s="475"/>
      <c r="ED7" s="475"/>
      <c r="EE7" s="475"/>
      <c r="EF7" s="475"/>
      <c r="EG7" s="475"/>
      <c r="EH7" s="475"/>
      <c r="EI7" s="475"/>
      <c r="EJ7" s="475"/>
      <c r="EK7" s="475"/>
      <c r="EL7" s="475"/>
      <c r="EM7" s="475"/>
      <c r="EN7" s="475"/>
      <c r="EO7" s="475"/>
      <c r="EP7" s="475"/>
      <c r="EQ7" s="475"/>
      <c r="ER7" s="475"/>
      <c r="ES7" s="475"/>
      <c r="ET7" s="475"/>
      <c r="EU7" s="481"/>
      <c r="EW7" s="455" t="s">
        <v>1890</v>
      </c>
      <c r="EX7" s="458">
        <v>1</v>
      </c>
    </row>
    <row r="8" spans="2:154">
      <c r="B8" s="78" t="s">
        <v>7</v>
      </c>
      <c r="C8" s="79" t="s">
        <v>13</v>
      </c>
      <c r="D8" s="80" t="s">
        <v>13</v>
      </c>
      <c r="E8" s="1" t="s">
        <v>4</v>
      </c>
      <c r="F8" s="4">
        <v>79.900000000000006</v>
      </c>
      <c r="G8" s="3">
        <v>23.4</v>
      </c>
      <c r="H8" s="3" t="str">
        <f t="shared" si="0"/>
        <v>L10X10X1-1/4</v>
      </c>
      <c r="I8" s="4">
        <v>10</v>
      </c>
      <c r="J8" s="5" t="s">
        <v>5</v>
      </c>
      <c r="K8" s="6" t="s">
        <v>5</v>
      </c>
      <c r="L8" s="6" t="s">
        <v>5</v>
      </c>
      <c r="M8" s="6" t="s">
        <v>5</v>
      </c>
      <c r="N8" s="6" t="s">
        <v>5</v>
      </c>
      <c r="O8" s="5" t="s">
        <v>5</v>
      </c>
      <c r="P8" s="6" t="s">
        <v>5</v>
      </c>
      <c r="Q8" s="4">
        <v>10</v>
      </c>
      <c r="R8" s="6" t="s">
        <v>5</v>
      </c>
      <c r="S8" s="6" t="s">
        <v>5</v>
      </c>
      <c r="T8" s="5" t="s">
        <v>5</v>
      </c>
      <c r="U8" s="5" t="s">
        <v>5</v>
      </c>
      <c r="V8" s="6" t="s">
        <v>5</v>
      </c>
      <c r="W8" s="5" t="s">
        <v>5</v>
      </c>
      <c r="X8" s="7">
        <v>1.25</v>
      </c>
      <c r="Y8" s="6" t="s">
        <v>5</v>
      </c>
      <c r="Z8" s="6" t="s">
        <v>5</v>
      </c>
      <c r="AA8" s="7">
        <v>2.0499999999999998</v>
      </c>
      <c r="AB8" s="8">
        <v>2.0625</v>
      </c>
      <c r="AC8" s="5" t="s">
        <v>5</v>
      </c>
      <c r="AD8" s="9">
        <v>2.95</v>
      </c>
      <c r="AE8" s="11">
        <v>2.95</v>
      </c>
      <c r="AF8" s="6" t="s">
        <v>5</v>
      </c>
      <c r="AG8" s="9">
        <v>1.17</v>
      </c>
      <c r="AH8" s="11">
        <v>1.17</v>
      </c>
      <c r="AI8" s="6" t="s">
        <v>5</v>
      </c>
      <c r="AJ8" s="7">
        <v>8</v>
      </c>
      <c r="AK8" s="6" t="s">
        <v>5</v>
      </c>
      <c r="AL8" s="6" t="s">
        <v>5</v>
      </c>
      <c r="AM8" s="6" t="s">
        <v>5</v>
      </c>
      <c r="AN8" s="6" t="s">
        <v>5</v>
      </c>
      <c r="AO8" s="10">
        <v>213</v>
      </c>
      <c r="AP8" s="3">
        <v>54.9</v>
      </c>
      <c r="AQ8" s="3">
        <v>30.2</v>
      </c>
      <c r="AR8" s="9">
        <v>3.02</v>
      </c>
      <c r="AS8" s="10">
        <v>213</v>
      </c>
      <c r="AT8" s="3">
        <v>54.9</v>
      </c>
      <c r="AU8" s="3">
        <v>30.2</v>
      </c>
      <c r="AV8" s="9">
        <v>3.02</v>
      </c>
      <c r="AW8" s="11">
        <v>85.4</v>
      </c>
      <c r="AX8" s="11">
        <v>1.91</v>
      </c>
      <c r="AY8" s="12">
        <v>20.5</v>
      </c>
      <c r="AZ8" s="13">
        <v>12.3</v>
      </c>
      <c r="BA8" s="13">
        <v>89.4</v>
      </c>
      <c r="BB8" s="6" t="s">
        <v>5</v>
      </c>
      <c r="BC8" s="6" t="s">
        <v>5</v>
      </c>
      <c r="BD8" s="6" t="s">
        <v>5</v>
      </c>
      <c r="BE8" s="6" t="s">
        <v>5</v>
      </c>
      <c r="BF8" s="6" t="s">
        <v>5</v>
      </c>
      <c r="BG8" s="6" t="s">
        <v>5</v>
      </c>
      <c r="BH8" s="6" t="s">
        <v>5</v>
      </c>
      <c r="BI8" s="9">
        <v>5.39</v>
      </c>
      <c r="BJ8" s="15">
        <v>0.628</v>
      </c>
      <c r="BK8" s="7">
        <v>0.99999999999999989</v>
      </c>
      <c r="BL8" s="11">
        <v>341</v>
      </c>
      <c r="BM8" s="7">
        <v>6.63</v>
      </c>
      <c r="BN8" s="2">
        <v>0</v>
      </c>
      <c r="BO8" s="7">
        <v>6.63</v>
      </c>
      <c r="BP8" s="9">
        <v>3.34</v>
      </c>
      <c r="BQ8" s="11">
        <v>4.17</v>
      </c>
      <c r="BR8" s="11">
        <v>3.34</v>
      </c>
      <c r="BS8" s="16">
        <v>51.4</v>
      </c>
      <c r="BT8" s="16" t="s">
        <v>5</v>
      </c>
      <c r="BU8" s="16">
        <v>51.4</v>
      </c>
      <c r="BV8" s="16">
        <v>25.6</v>
      </c>
      <c r="BW8" s="16">
        <v>20.5</v>
      </c>
      <c r="BX8" s="16">
        <v>25.6</v>
      </c>
      <c r="BY8" s="6" t="s">
        <v>5</v>
      </c>
      <c r="BZ8" s="6" t="s">
        <v>5</v>
      </c>
      <c r="CA8" s="4">
        <v>30</v>
      </c>
      <c r="CB8" s="4">
        <v>30</v>
      </c>
      <c r="CC8" s="4">
        <v>40</v>
      </c>
      <c r="CD8" s="6" t="s">
        <v>5</v>
      </c>
      <c r="CE8" s="6" t="s">
        <v>5</v>
      </c>
      <c r="CF8" s="16" t="s">
        <v>5</v>
      </c>
      <c r="CG8" s="16" t="s">
        <v>5</v>
      </c>
      <c r="CH8" s="18" t="s">
        <v>5</v>
      </c>
      <c r="CL8" s="499"/>
      <c r="CM8" s="59" t="s">
        <v>490</v>
      </c>
      <c r="CN8" s="64" t="s">
        <v>489</v>
      </c>
      <c r="CO8" s="71">
        <v>50</v>
      </c>
      <c r="CP8" s="67">
        <v>62</v>
      </c>
      <c r="CS8" s="335" t="str">
        <f t="shared" si="1"/>
        <v>L12X12X1</v>
      </c>
      <c r="CT8" s="336">
        <v>23</v>
      </c>
      <c r="CV8" s="344" t="str">
        <f t="shared" si="2"/>
        <v>WT18X361.5</v>
      </c>
      <c r="CW8" s="345">
        <v>107</v>
      </c>
      <c r="CY8" s="344" t="str">
        <f t="shared" si="3"/>
        <v>MT6X5</v>
      </c>
      <c r="CZ8" s="338">
        <v>1.48</v>
      </c>
      <c r="DB8" s="335" t="str">
        <f t="shared" si="4"/>
        <v>ST10X43</v>
      </c>
      <c r="DC8" s="337">
        <v>12.7</v>
      </c>
      <c r="DE8" s="335" t="str">
        <f t="shared" si="5"/>
        <v>2L12X12X1-1/4</v>
      </c>
      <c r="DF8" s="337">
        <v>56.8</v>
      </c>
      <c r="DH8" s="397" t="s">
        <v>1245</v>
      </c>
      <c r="DI8" s="403">
        <v>193</v>
      </c>
      <c r="DJ8" s="398">
        <v>43.6</v>
      </c>
      <c r="DK8" s="400">
        <v>1.97</v>
      </c>
      <c r="DL8" s="398">
        <v>17.3</v>
      </c>
      <c r="DM8" s="400">
        <v>2.39</v>
      </c>
      <c r="DN8" s="404">
        <v>3080</v>
      </c>
      <c r="DO8" s="405">
        <v>2590</v>
      </c>
      <c r="DQ8" s="428" t="s">
        <v>1245</v>
      </c>
      <c r="DR8" s="429">
        <v>3080</v>
      </c>
      <c r="DS8" s="429">
        <v>56500</v>
      </c>
      <c r="DT8" s="430" t="s">
        <v>1245</v>
      </c>
      <c r="DU8" s="430">
        <v>3080</v>
      </c>
      <c r="DV8" s="429">
        <v>655</v>
      </c>
      <c r="DW8" s="431">
        <f t="shared" si="6"/>
        <v>3080</v>
      </c>
      <c r="DX8" s="432">
        <f t="shared" si="7"/>
        <v>56500</v>
      </c>
      <c r="DZ8" s="443" t="s">
        <v>1262</v>
      </c>
      <c r="EA8" s="444">
        <v>335</v>
      </c>
      <c r="EB8" s="444">
        <v>98.5</v>
      </c>
      <c r="EC8" s="444">
        <v>44</v>
      </c>
      <c r="ED8" s="444">
        <v>44</v>
      </c>
      <c r="EE8" s="444">
        <v>1.03</v>
      </c>
      <c r="EF8" s="444">
        <v>1</v>
      </c>
      <c r="EG8" s="445">
        <v>44928</v>
      </c>
      <c r="EH8" s="444">
        <v>15.9</v>
      </c>
      <c r="EI8" s="444">
        <v>16</v>
      </c>
      <c r="EJ8" s="444">
        <v>1.77</v>
      </c>
      <c r="EK8" s="444" t="s">
        <v>1615</v>
      </c>
      <c r="EL8" s="444">
        <v>4.5</v>
      </c>
      <c r="EM8" s="444">
        <v>38</v>
      </c>
      <c r="EN8" s="444">
        <v>31100</v>
      </c>
      <c r="EO8" s="444">
        <v>1410</v>
      </c>
      <c r="EP8" s="444">
        <v>17.8</v>
      </c>
      <c r="EQ8" s="444">
        <v>1620</v>
      </c>
      <c r="ER8" s="444">
        <v>1200</v>
      </c>
      <c r="ES8" s="444">
        <v>150</v>
      </c>
      <c r="ET8" s="444">
        <v>3.49</v>
      </c>
      <c r="EU8" s="446">
        <v>236</v>
      </c>
      <c r="EW8" s="456" t="s">
        <v>1888</v>
      </c>
      <c r="EX8" s="459">
        <v>0.65</v>
      </c>
    </row>
    <row r="9" spans="2:154">
      <c r="B9" s="78" t="s">
        <v>7</v>
      </c>
      <c r="C9" s="79" t="s">
        <v>14</v>
      </c>
      <c r="D9" s="80" t="s">
        <v>14</v>
      </c>
      <c r="E9" s="1" t="s">
        <v>4</v>
      </c>
      <c r="F9" s="4">
        <v>72.3</v>
      </c>
      <c r="G9" s="3">
        <v>21.3</v>
      </c>
      <c r="H9" s="3" t="str">
        <f t="shared" si="0"/>
        <v>L10X10X1-1/8</v>
      </c>
      <c r="I9" s="4">
        <v>10</v>
      </c>
      <c r="J9" s="5" t="s">
        <v>5</v>
      </c>
      <c r="K9" s="6" t="s">
        <v>5</v>
      </c>
      <c r="L9" s="6" t="s">
        <v>5</v>
      </c>
      <c r="M9" s="6" t="s">
        <v>5</v>
      </c>
      <c r="N9" s="6" t="s">
        <v>5</v>
      </c>
      <c r="O9" s="5" t="s">
        <v>5</v>
      </c>
      <c r="P9" s="6" t="s">
        <v>5</v>
      </c>
      <c r="Q9" s="4">
        <v>10</v>
      </c>
      <c r="R9" s="6" t="s">
        <v>5</v>
      </c>
      <c r="S9" s="6" t="s">
        <v>5</v>
      </c>
      <c r="T9" s="5" t="s">
        <v>5</v>
      </c>
      <c r="U9" s="5" t="s">
        <v>5</v>
      </c>
      <c r="V9" s="6" t="s">
        <v>5</v>
      </c>
      <c r="W9" s="5" t="s">
        <v>5</v>
      </c>
      <c r="X9" s="6">
        <v>1.1299999999999999</v>
      </c>
      <c r="Y9" s="6" t="s">
        <v>5</v>
      </c>
      <c r="Z9" s="6" t="s">
        <v>5</v>
      </c>
      <c r="AA9" s="7">
        <v>1.93</v>
      </c>
      <c r="AB9" s="8">
        <v>1.9375</v>
      </c>
      <c r="AC9" s="5" t="s">
        <v>5</v>
      </c>
      <c r="AD9" s="9">
        <v>2.9</v>
      </c>
      <c r="AE9" s="9">
        <v>2.9</v>
      </c>
      <c r="AF9" s="6" t="s">
        <v>5</v>
      </c>
      <c r="AG9" s="9">
        <v>1.07</v>
      </c>
      <c r="AH9" s="11">
        <v>1.07</v>
      </c>
      <c r="AI9" s="6" t="s">
        <v>5</v>
      </c>
      <c r="AJ9" s="7">
        <v>8.85</v>
      </c>
      <c r="AK9" s="6" t="s">
        <v>5</v>
      </c>
      <c r="AL9" s="6" t="s">
        <v>5</v>
      </c>
      <c r="AM9" s="6" t="s">
        <v>5</v>
      </c>
      <c r="AN9" s="6" t="s">
        <v>5</v>
      </c>
      <c r="AO9" s="10">
        <v>196</v>
      </c>
      <c r="AP9" s="3">
        <v>50.2</v>
      </c>
      <c r="AQ9" s="3">
        <v>27.6</v>
      </c>
      <c r="AR9" s="9">
        <v>3.03</v>
      </c>
      <c r="AS9" s="10">
        <v>196</v>
      </c>
      <c r="AT9" s="3">
        <v>50.2</v>
      </c>
      <c r="AU9" s="3">
        <v>27.6</v>
      </c>
      <c r="AV9" s="9">
        <v>3.03</v>
      </c>
      <c r="AW9" s="11">
        <v>78.2</v>
      </c>
      <c r="AX9" s="11">
        <v>1.92</v>
      </c>
      <c r="AY9" s="12">
        <v>19.100000000000001</v>
      </c>
      <c r="AZ9" s="21">
        <v>9.2100000000000009</v>
      </c>
      <c r="BA9" s="13">
        <v>67.3</v>
      </c>
      <c r="BB9" s="6" t="s">
        <v>5</v>
      </c>
      <c r="BC9" s="6" t="s">
        <v>5</v>
      </c>
      <c r="BD9" s="6" t="s">
        <v>5</v>
      </c>
      <c r="BE9" s="6" t="s">
        <v>5</v>
      </c>
      <c r="BF9" s="6" t="s">
        <v>5</v>
      </c>
      <c r="BG9" s="6" t="s">
        <v>5</v>
      </c>
      <c r="BH9" s="6" t="s">
        <v>5</v>
      </c>
      <c r="BI9" s="9">
        <v>5.41</v>
      </c>
      <c r="BJ9" s="15">
        <v>0.627</v>
      </c>
      <c r="BK9" s="7">
        <v>0.99999999999999989</v>
      </c>
      <c r="BL9" s="11">
        <v>314</v>
      </c>
      <c r="BM9" s="7">
        <v>6.67</v>
      </c>
      <c r="BN9" s="2">
        <v>0</v>
      </c>
      <c r="BO9" s="7">
        <v>6.67</v>
      </c>
      <c r="BP9" s="9">
        <v>3.37</v>
      </c>
      <c r="BQ9" s="9">
        <v>4.0999999999999996</v>
      </c>
      <c r="BR9" s="11">
        <v>3.37</v>
      </c>
      <c r="BS9" s="16">
        <v>47.1</v>
      </c>
      <c r="BT9" s="16" t="s">
        <v>5</v>
      </c>
      <c r="BU9" s="16">
        <v>47.1</v>
      </c>
      <c r="BV9" s="16">
        <v>23.2</v>
      </c>
      <c r="BW9" s="16">
        <v>19.100000000000001</v>
      </c>
      <c r="BX9" s="16">
        <v>23.2</v>
      </c>
      <c r="BY9" s="6" t="s">
        <v>5</v>
      </c>
      <c r="BZ9" s="6" t="s">
        <v>5</v>
      </c>
      <c r="CA9" s="4">
        <v>30</v>
      </c>
      <c r="CB9" s="4">
        <v>30</v>
      </c>
      <c r="CC9" s="4">
        <v>40</v>
      </c>
      <c r="CD9" s="6" t="s">
        <v>5</v>
      </c>
      <c r="CE9" s="6" t="s">
        <v>5</v>
      </c>
      <c r="CF9" s="16" t="s">
        <v>5</v>
      </c>
      <c r="CG9" s="16" t="s">
        <v>5</v>
      </c>
      <c r="CH9" s="18" t="s">
        <v>5</v>
      </c>
      <c r="CL9" s="499"/>
      <c r="CM9" s="59" t="s">
        <v>491</v>
      </c>
      <c r="CN9" s="64" t="s">
        <v>492</v>
      </c>
      <c r="CO9" s="71">
        <v>36</v>
      </c>
      <c r="CP9" s="67">
        <v>58</v>
      </c>
      <c r="CS9" s="335" t="str">
        <f t="shared" si="1"/>
        <v>L10X10X1-1/8</v>
      </c>
      <c r="CT9" s="336">
        <v>21.3</v>
      </c>
      <c r="CV9" s="344" t="str">
        <f t="shared" si="2"/>
        <v>WT18X361.5</v>
      </c>
      <c r="CW9" s="346">
        <v>107</v>
      </c>
      <c r="CY9" s="344" t="str">
        <f t="shared" si="3"/>
        <v>MT5X4.5</v>
      </c>
      <c r="CZ9" s="338">
        <v>1.33</v>
      </c>
      <c r="DB9" s="335" t="str">
        <f t="shared" si="4"/>
        <v>ST12X40</v>
      </c>
      <c r="DC9" s="337">
        <v>11.7</v>
      </c>
      <c r="DE9" s="335" t="str">
        <f t="shared" si="5"/>
        <v>2L12X12X1-1/8</v>
      </c>
      <c r="DF9" s="337">
        <v>51.6</v>
      </c>
      <c r="DH9" s="397" t="s">
        <v>1247</v>
      </c>
      <c r="DI9" s="401">
        <v>174</v>
      </c>
      <c r="DJ9" s="398">
        <v>43</v>
      </c>
      <c r="DK9" s="400">
        <v>1.79</v>
      </c>
      <c r="DL9" s="398">
        <v>19.100000000000001</v>
      </c>
      <c r="DM9" s="400">
        <v>2.58</v>
      </c>
      <c r="DN9" s="401">
        <v>2760</v>
      </c>
      <c r="DO9" s="402">
        <v>2340</v>
      </c>
      <c r="DQ9" s="428" t="s">
        <v>1246</v>
      </c>
      <c r="DR9" s="429">
        <v>2910</v>
      </c>
      <c r="DS9" s="429">
        <v>50600</v>
      </c>
      <c r="DT9" s="430" t="s">
        <v>1246</v>
      </c>
      <c r="DU9" s="430">
        <v>2910</v>
      </c>
      <c r="DV9" s="429">
        <v>652</v>
      </c>
      <c r="DW9" s="431">
        <f t="shared" si="6"/>
        <v>2910</v>
      </c>
      <c r="DX9" s="432">
        <f t="shared" si="7"/>
        <v>50600</v>
      </c>
      <c r="DZ9" s="447" t="s">
        <v>1270</v>
      </c>
      <c r="EA9" s="448">
        <v>290</v>
      </c>
      <c r="EB9" s="448">
        <v>85.4</v>
      </c>
      <c r="EC9" s="448">
        <v>43.6</v>
      </c>
      <c r="ED9" s="448" t="s">
        <v>1616</v>
      </c>
      <c r="EE9" s="448">
        <v>0.86499999999999999</v>
      </c>
      <c r="EF9" s="449">
        <v>45115</v>
      </c>
      <c r="EG9" s="449">
        <v>45123</v>
      </c>
      <c r="EH9" s="448">
        <v>15.8</v>
      </c>
      <c r="EI9" s="448" t="s">
        <v>1617</v>
      </c>
      <c r="EJ9" s="448">
        <v>1.58</v>
      </c>
      <c r="EK9" s="448" t="s">
        <v>1618</v>
      </c>
      <c r="EL9" s="448">
        <v>5.0199999999999996</v>
      </c>
      <c r="EM9" s="448">
        <v>45</v>
      </c>
      <c r="EN9" s="448">
        <v>27000</v>
      </c>
      <c r="EO9" s="448">
        <v>1240</v>
      </c>
      <c r="EP9" s="448">
        <v>17.8</v>
      </c>
      <c r="EQ9" s="448">
        <v>1410</v>
      </c>
      <c r="ER9" s="448">
        <v>1040</v>
      </c>
      <c r="ES9" s="448">
        <v>132</v>
      </c>
      <c r="ET9" s="448">
        <v>3.49</v>
      </c>
      <c r="EU9" s="450">
        <v>205</v>
      </c>
      <c r="EW9" s="456" t="s">
        <v>1893</v>
      </c>
      <c r="EX9" s="459">
        <v>2.1</v>
      </c>
    </row>
    <row r="10" spans="2:154">
      <c r="B10" s="78" t="s">
        <v>7</v>
      </c>
      <c r="C10" s="79" t="s">
        <v>15</v>
      </c>
      <c r="D10" s="80" t="s">
        <v>15</v>
      </c>
      <c r="E10" s="1" t="s">
        <v>4</v>
      </c>
      <c r="F10" s="4">
        <v>64.7</v>
      </c>
      <c r="G10" s="3">
        <v>19</v>
      </c>
      <c r="H10" s="3" t="str">
        <f t="shared" si="0"/>
        <v>L10X10X1</v>
      </c>
      <c r="I10" s="4">
        <v>10</v>
      </c>
      <c r="J10" s="5" t="s">
        <v>5</v>
      </c>
      <c r="K10" s="6" t="s">
        <v>5</v>
      </c>
      <c r="L10" s="6" t="s">
        <v>5</v>
      </c>
      <c r="M10" s="6" t="s">
        <v>5</v>
      </c>
      <c r="N10" s="6" t="s">
        <v>5</v>
      </c>
      <c r="O10" s="5" t="s">
        <v>5</v>
      </c>
      <c r="P10" s="6" t="s">
        <v>5</v>
      </c>
      <c r="Q10" s="4">
        <v>10</v>
      </c>
      <c r="R10" s="6" t="s">
        <v>5</v>
      </c>
      <c r="S10" s="6" t="s">
        <v>5</v>
      </c>
      <c r="T10" s="5" t="s">
        <v>5</v>
      </c>
      <c r="U10" s="5" t="s">
        <v>5</v>
      </c>
      <c r="V10" s="6" t="s">
        <v>5</v>
      </c>
      <c r="W10" s="5" t="s">
        <v>5</v>
      </c>
      <c r="X10" s="7">
        <v>1</v>
      </c>
      <c r="Y10" s="6" t="s">
        <v>5</v>
      </c>
      <c r="Z10" s="6" t="s">
        <v>5</v>
      </c>
      <c r="AA10" s="7">
        <v>1.8</v>
      </c>
      <c r="AB10" s="8">
        <v>1.8125</v>
      </c>
      <c r="AC10" s="5" t="s">
        <v>5</v>
      </c>
      <c r="AD10" s="9">
        <v>2.86</v>
      </c>
      <c r="AE10" s="11">
        <v>2.86</v>
      </c>
      <c r="AF10" s="6" t="s">
        <v>5</v>
      </c>
      <c r="AG10" s="15">
        <v>0.95</v>
      </c>
      <c r="AH10" s="15">
        <v>0.95</v>
      </c>
      <c r="AI10" s="6" t="s">
        <v>5</v>
      </c>
      <c r="AJ10" s="4">
        <v>10</v>
      </c>
      <c r="AK10" s="6" t="s">
        <v>5</v>
      </c>
      <c r="AL10" s="6" t="s">
        <v>5</v>
      </c>
      <c r="AM10" s="6" t="s">
        <v>5</v>
      </c>
      <c r="AN10" s="6" t="s">
        <v>5</v>
      </c>
      <c r="AO10" s="10">
        <v>177</v>
      </c>
      <c r="AP10" s="3">
        <v>45</v>
      </c>
      <c r="AQ10" s="3">
        <v>24.8</v>
      </c>
      <c r="AR10" s="9">
        <v>3.05</v>
      </c>
      <c r="AS10" s="10">
        <v>177</v>
      </c>
      <c r="AT10" s="3">
        <v>45</v>
      </c>
      <c r="AU10" s="3">
        <v>24.8</v>
      </c>
      <c r="AV10" s="9">
        <v>3.05</v>
      </c>
      <c r="AW10" s="11">
        <v>70.400000000000006</v>
      </c>
      <c r="AX10" s="11">
        <v>1.92</v>
      </c>
      <c r="AY10" s="12">
        <v>17.399999999999999</v>
      </c>
      <c r="AZ10" s="21">
        <v>6.46</v>
      </c>
      <c r="BA10" s="13">
        <v>47.6</v>
      </c>
      <c r="BB10" s="6" t="s">
        <v>5</v>
      </c>
      <c r="BC10" s="6" t="s">
        <v>5</v>
      </c>
      <c r="BD10" s="6" t="s">
        <v>5</v>
      </c>
      <c r="BE10" s="6" t="s">
        <v>5</v>
      </c>
      <c r="BF10" s="6" t="s">
        <v>5</v>
      </c>
      <c r="BG10" s="6" t="s">
        <v>5</v>
      </c>
      <c r="BH10" s="6" t="s">
        <v>5</v>
      </c>
      <c r="BI10" s="9">
        <v>5.46</v>
      </c>
      <c r="BJ10" s="15">
        <v>0.626</v>
      </c>
      <c r="BK10" s="7">
        <v>0.99999999999999989</v>
      </c>
      <c r="BL10" s="11">
        <v>284</v>
      </c>
      <c r="BM10" s="7">
        <v>6.72</v>
      </c>
      <c r="BN10" s="2">
        <v>0</v>
      </c>
      <c r="BO10" s="7">
        <v>6.72</v>
      </c>
      <c r="BP10" s="9">
        <v>3.38</v>
      </c>
      <c r="BQ10" s="11">
        <v>4.04</v>
      </c>
      <c r="BR10" s="11">
        <v>3.38</v>
      </c>
      <c r="BS10" s="16">
        <v>42.3</v>
      </c>
      <c r="BT10" s="16" t="s">
        <v>5</v>
      </c>
      <c r="BU10" s="16">
        <v>42.3</v>
      </c>
      <c r="BV10" s="16">
        <v>20.8</v>
      </c>
      <c r="BW10" s="16">
        <v>17.399999999999999</v>
      </c>
      <c r="BX10" s="16">
        <v>20.8</v>
      </c>
      <c r="BY10" s="6" t="s">
        <v>5</v>
      </c>
      <c r="BZ10" s="6" t="s">
        <v>5</v>
      </c>
      <c r="CA10" s="4">
        <v>30</v>
      </c>
      <c r="CB10" s="4">
        <v>30</v>
      </c>
      <c r="CC10" s="4">
        <v>40</v>
      </c>
      <c r="CD10" s="6" t="s">
        <v>5</v>
      </c>
      <c r="CE10" s="6" t="s">
        <v>5</v>
      </c>
      <c r="CF10" s="16" t="s">
        <v>5</v>
      </c>
      <c r="CG10" s="16" t="s">
        <v>5</v>
      </c>
      <c r="CH10" s="18" t="s">
        <v>5</v>
      </c>
      <c r="CL10" s="499"/>
      <c r="CM10" s="61" t="s">
        <v>493</v>
      </c>
      <c r="CN10" s="64" t="s">
        <v>485</v>
      </c>
      <c r="CO10" s="71">
        <v>50</v>
      </c>
      <c r="CP10" s="67">
        <v>70</v>
      </c>
      <c r="CS10" s="335" t="str">
        <f t="shared" si="1"/>
        <v>L10X10X1</v>
      </c>
      <c r="CT10" s="336">
        <v>19</v>
      </c>
      <c r="CV10" s="344" t="str">
        <f t="shared" si="2"/>
        <v>WT7X332.5</v>
      </c>
      <c r="CW10" s="337">
        <v>97.8</v>
      </c>
      <c r="CY10" s="344" t="str">
        <f t="shared" si="3"/>
        <v>MT5X4</v>
      </c>
      <c r="CZ10" s="338">
        <v>1.19</v>
      </c>
      <c r="DB10" s="335" t="str">
        <f t="shared" si="4"/>
        <v>ST10X37.5</v>
      </c>
      <c r="DC10" s="337">
        <v>11</v>
      </c>
      <c r="DE10" s="335" t="str">
        <f t="shared" si="5"/>
        <v>2L12X12X1-1/8</v>
      </c>
      <c r="DF10" s="337">
        <v>51.6</v>
      </c>
      <c r="DH10" s="397" t="s">
        <v>1249</v>
      </c>
      <c r="DI10" s="401">
        <v>148</v>
      </c>
      <c r="DJ10" s="398">
        <v>42.1</v>
      </c>
      <c r="DK10" s="400">
        <v>1.54</v>
      </c>
      <c r="DL10" s="398">
        <v>22.3</v>
      </c>
      <c r="DM10" s="400">
        <v>2.98</v>
      </c>
      <c r="DN10" s="401">
        <v>2320</v>
      </c>
      <c r="DO10" s="402">
        <v>1980</v>
      </c>
      <c r="DQ10" s="428" t="s">
        <v>1247</v>
      </c>
      <c r="DR10" s="429">
        <v>2760</v>
      </c>
      <c r="DS10" s="429">
        <v>50400</v>
      </c>
      <c r="DT10" s="430" t="s">
        <v>1247</v>
      </c>
      <c r="DU10" s="430">
        <v>2760</v>
      </c>
      <c r="DV10" s="429">
        <v>593</v>
      </c>
      <c r="DW10" s="431">
        <f t="shared" si="6"/>
        <v>2760</v>
      </c>
      <c r="DX10" s="432">
        <f t="shared" si="7"/>
        <v>50400</v>
      </c>
      <c r="DZ10" s="447" t="s">
        <v>1277</v>
      </c>
      <c r="EA10" s="448">
        <v>262</v>
      </c>
      <c r="EB10" s="448">
        <v>77.2</v>
      </c>
      <c r="EC10" s="448">
        <v>43.3</v>
      </c>
      <c r="ED10" s="448" t="s">
        <v>1619</v>
      </c>
      <c r="EE10" s="448">
        <v>0.78500000000000003</v>
      </c>
      <c r="EF10" s="448" t="s">
        <v>1620</v>
      </c>
      <c r="EG10" s="449">
        <v>45123</v>
      </c>
      <c r="EH10" s="448">
        <v>15.8</v>
      </c>
      <c r="EI10" s="448" t="s">
        <v>1621</v>
      </c>
      <c r="EJ10" s="448">
        <v>1.42</v>
      </c>
      <c r="EK10" s="448" t="s">
        <v>1622</v>
      </c>
      <c r="EL10" s="448">
        <v>5.57</v>
      </c>
      <c r="EM10" s="448">
        <v>49.6</v>
      </c>
      <c r="EN10" s="448">
        <v>24100</v>
      </c>
      <c r="EO10" s="448">
        <v>1110</v>
      </c>
      <c r="EP10" s="448">
        <v>17.7</v>
      </c>
      <c r="EQ10" s="448">
        <v>1270</v>
      </c>
      <c r="ER10" s="448">
        <v>923</v>
      </c>
      <c r="ES10" s="448">
        <v>117</v>
      </c>
      <c r="ET10" s="448">
        <v>3.47</v>
      </c>
      <c r="EU10" s="450">
        <v>182</v>
      </c>
      <c r="EW10" s="456" t="s">
        <v>1889</v>
      </c>
      <c r="EX10" s="459">
        <v>0.8</v>
      </c>
    </row>
    <row r="11" spans="2:154">
      <c r="B11" s="78" t="s">
        <v>7</v>
      </c>
      <c r="C11" s="79" t="s">
        <v>16</v>
      </c>
      <c r="D11" s="80" t="s">
        <v>16</v>
      </c>
      <c r="E11" s="1" t="s">
        <v>4</v>
      </c>
      <c r="F11" s="4">
        <v>56.9</v>
      </c>
      <c r="G11" s="3">
        <v>16.8</v>
      </c>
      <c r="H11" s="3" t="str">
        <f t="shared" si="0"/>
        <v>L10X10X7/8</v>
      </c>
      <c r="I11" s="4">
        <v>10</v>
      </c>
      <c r="J11" s="5" t="s">
        <v>5</v>
      </c>
      <c r="K11" s="6" t="s">
        <v>5</v>
      </c>
      <c r="L11" s="6" t="s">
        <v>5</v>
      </c>
      <c r="M11" s="6" t="s">
        <v>5</v>
      </c>
      <c r="N11" s="6" t="s">
        <v>5</v>
      </c>
      <c r="O11" s="5" t="s">
        <v>5</v>
      </c>
      <c r="P11" s="6" t="s">
        <v>5</v>
      </c>
      <c r="Q11" s="4">
        <v>10</v>
      </c>
      <c r="R11" s="6" t="s">
        <v>5</v>
      </c>
      <c r="S11" s="6" t="s">
        <v>5</v>
      </c>
      <c r="T11" s="5" t="s">
        <v>5</v>
      </c>
      <c r="U11" s="5" t="s">
        <v>5</v>
      </c>
      <c r="V11" s="6" t="s">
        <v>5</v>
      </c>
      <c r="W11" s="5" t="s">
        <v>5</v>
      </c>
      <c r="X11" s="6">
        <v>0.875</v>
      </c>
      <c r="Y11" s="6" t="s">
        <v>5</v>
      </c>
      <c r="Z11" s="6" t="s">
        <v>5</v>
      </c>
      <c r="AA11" s="7">
        <v>1.68</v>
      </c>
      <c r="AB11" s="8">
        <v>1.6875</v>
      </c>
      <c r="AC11" s="5" t="s">
        <v>5</v>
      </c>
      <c r="AD11" s="9">
        <v>2.8</v>
      </c>
      <c r="AE11" s="9">
        <v>2.8</v>
      </c>
      <c r="AF11" s="6" t="s">
        <v>5</v>
      </c>
      <c r="AG11" s="15">
        <v>0.84</v>
      </c>
      <c r="AH11" s="15">
        <v>0.84</v>
      </c>
      <c r="AI11" s="6" t="s">
        <v>5</v>
      </c>
      <c r="AJ11" s="4">
        <v>11.4</v>
      </c>
      <c r="AK11" s="6" t="s">
        <v>5</v>
      </c>
      <c r="AL11" s="6" t="s">
        <v>5</v>
      </c>
      <c r="AM11" s="6" t="s">
        <v>5</v>
      </c>
      <c r="AN11" s="6" t="s">
        <v>5</v>
      </c>
      <c r="AO11" s="10">
        <v>158</v>
      </c>
      <c r="AP11" s="3">
        <v>39.9</v>
      </c>
      <c r="AQ11" s="3">
        <v>21.9</v>
      </c>
      <c r="AR11" s="9">
        <v>3.07</v>
      </c>
      <c r="AS11" s="10">
        <v>158</v>
      </c>
      <c r="AT11" s="3">
        <v>39.9</v>
      </c>
      <c r="AU11" s="3">
        <v>21.9</v>
      </c>
      <c r="AV11" s="9">
        <v>3.07</v>
      </c>
      <c r="AW11" s="11">
        <v>62.8</v>
      </c>
      <c r="AX11" s="11">
        <v>1.93</v>
      </c>
      <c r="AY11" s="12">
        <v>15.9</v>
      </c>
      <c r="AZ11" s="21">
        <v>4.3899999999999997</v>
      </c>
      <c r="BA11" s="13">
        <v>32.5</v>
      </c>
      <c r="BB11" s="6" t="s">
        <v>5</v>
      </c>
      <c r="BC11" s="6" t="s">
        <v>5</v>
      </c>
      <c r="BD11" s="6" t="s">
        <v>5</v>
      </c>
      <c r="BE11" s="6" t="s">
        <v>5</v>
      </c>
      <c r="BF11" s="6" t="s">
        <v>5</v>
      </c>
      <c r="BG11" s="6" t="s">
        <v>5</v>
      </c>
      <c r="BH11" s="6" t="s">
        <v>5</v>
      </c>
      <c r="BI11" s="9">
        <v>5.47</v>
      </c>
      <c r="BJ11" s="15">
        <v>0.627</v>
      </c>
      <c r="BK11" s="7">
        <v>0.99999999999999989</v>
      </c>
      <c r="BL11" s="11">
        <v>253</v>
      </c>
      <c r="BM11" s="7">
        <v>6.76</v>
      </c>
      <c r="BN11" s="2">
        <v>0</v>
      </c>
      <c r="BO11" s="7">
        <v>6.76</v>
      </c>
      <c r="BP11" s="9">
        <v>3.42</v>
      </c>
      <c r="BQ11" s="11">
        <v>3.96</v>
      </c>
      <c r="BR11" s="11">
        <v>3.42</v>
      </c>
      <c r="BS11" s="16">
        <v>37.4</v>
      </c>
      <c r="BT11" s="16" t="s">
        <v>5</v>
      </c>
      <c r="BU11" s="16">
        <v>37.4</v>
      </c>
      <c r="BV11" s="16">
        <v>18.399999999999999</v>
      </c>
      <c r="BW11" s="16">
        <v>15.9</v>
      </c>
      <c r="BX11" s="16">
        <v>18.399999999999999</v>
      </c>
      <c r="BY11" s="6" t="s">
        <v>5</v>
      </c>
      <c r="BZ11" s="6" t="s">
        <v>5</v>
      </c>
      <c r="CA11" s="4">
        <v>30</v>
      </c>
      <c r="CB11" s="4">
        <v>30</v>
      </c>
      <c r="CC11" s="4">
        <v>40</v>
      </c>
      <c r="CD11" s="6" t="s">
        <v>5</v>
      </c>
      <c r="CE11" s="6" t="s">
        <v>5</v>
      </c>
      <c r="CF11" s="16" t="s">
        <v>5</v>
      </c>
      <c r="CG11" s="16" t="s">
        <v>5</v>
      </c>
      <c r="CH11" s="18" t="s">
        <v>5</v>
      </c>
      <c r="CL11" s="499"/>
      <c r="CM11" s="59" t="s">
        <v>494</v>
      </c>
      <c r="CN11" s="64" t="s">
        <v>495</v>
      </c>
      <c r="CO11" s="71">
        <v>50</v>
      </c>
      <c r="CP11" s="67">
        <v>65</v>
      </c>
      <c r="CS11" s="335" t="str">
        <f t="shared" si="1"/>
        <v>L10X10X7/8</v>
      </c>
      <c r="CT11" s="336">
        <v>16.8</v>
      </c>
      <c r="CV11" s="344" t="str">
        <f t="shared" si="2"/>
        <v>WT20X327.5</v>
      </c>
      <c r="CW11" s="336">
        <v>96.4</v>
      </c>
      <c r="CY11" s="344" t="str">
        <f t="shared" si="3"/>
        <v>MT5X3.75</v>
      </c>
      <c r="CZ11" s="338">
        <v>1.1100000000000001</v>
      </c>
      <c r="DB11" s="335" t="str">
        <f t="shared" si="4"/>
        <v>ST9X35</v>
      </c>
      <c r="DC11" s="337">
        <v>10.3</v>
      </c>
      <c r="DE11" s="335" t="str">
        <f t="shared" si="5"/>
        <v>2L12X12X1-1/8</v>
      </c>
      <c r="DF11" s="337">
        <v>51.6</v>
      </c>
      <c r="DH11" s="397" t="s">
        <v>1252</v>
      </c>
      <c r="DI11" s="401">
        <v>127</v>
      </c>
      <c r="DJ11" s="398">
        <v>41.3</v>
      </c>
      <c r="DK11" s="400">
        <v>1.34</v>
      </c>
      <c r="DL11" s="398">
        <v>25.5</v>
      </c>
      <c r="DM11" s="400">
        <v>3.44</v>
      </c>
      <c r="DN11" s="401">
        <v>1960</v>
      </c>
      <c r="DO11" s="402">
        <v>1690</v>
      </c>
      <c r="DQ11" s="428" t="s">
        <v>1248</v>
      </c>
      <c r="DR11" s="429">
        <v>2330</v>
      </c>
      <c r="DS11" s="429">
        <v>39600</v>
      </c>
      <c r="DT11" s="430" t="s">
        <v>1248</v>
      </c>
      <c r="DU11" s="430">
        <v>2330</v>
      </c>
      <c r="DV11" s="429">
        <v>529</v>
      </c>
      <c r="DW11" s="431">
        <f t="shared" si="6"/>
        <v>2330</v>
      </c>
      <c r="DX11" s="432">
        <f t="shared" si="7"/>
        <v>39600</v>
      </c>
      <c r="DZ11" s="447" t="s">
        <v>1291</v>
      </c>
      <c r="EA11" s="448">
        <v>230</v>
      </c>
      <c r="EB11" s="448">
        <v>67.8</v>
      </c>
      <c r="EC11" s="448">
        <v>42.9</v>
      </c>
      <c r="ED11" s="448" t="s">
        <v>1623</v>
      </c>
      <c r="EE11" s="448">
        <v>0.71</v>
      </c>
      <c r="EF11" s="449">
        <v>45246</v>
      </c>
      <c r="EG11" s="449">
        <v>44993</v>
      </c>
      <c r="EH11" s="448">
        <v>15.8</v>
      </c>
      <c r="EI11" s="448" t="s">
        <v>1621</v>
      </c>
      <c r="EJ11" s="448">
        <v>1.22</v>
      </c>
      <c r="EK11" s="448" t="s">
        <v>1624</v>
      </c>
      <c r="EL11" s="448">
        <v>6.45</v>
      </c>
      <c r="EM11" s="448">
        <v>54.8</v>
      </c>
      <c r="EN11" s="448">
        <v>20800</v>
      </c>
      <c r="EO11" s="448">
        <v>971</v>
      </c>
      <c r="EP11" s="448">
        <v>17.5</v>
      </c>
      <c r="EQ11" s="448">
        <v>1100</v>
      </c>
      <c r="ER11" s="448">
        <v>796</v>
      </c>
      <c r="ES11" s="448">
        <v>101</v>
      </c>
      <c r="ET11" s="448">
        <v>3.43</v>
      </c>
      <c r="EU11" s="450">
        <v>157</v>
      </c>
      <c r="EW11" s="456" t="s">
        <v>1892</v>
      </c>
      <c r="EX11" s="459">
        <v>1.2</v>
      </c>
    </row>
    <row r="12" spans="2:154">
      <c r="B12" s="78" t="s">
        <v>7</v>
      </c>
      <c r="C12" s="79" t="s">
        <v>17</v>
      </c>
      <c r="D12" s="80" t="s">
        <v>17</v>
      </c>
      <c r="E12" s="1" t="s">
        <v>4</v>
      </c>
      <c r="F12" s="4">
        <v>49.1</v>
      </c>
      <c r="G12" s="3">
        <v>14.5</v>
      </c>
      <c r="H12" s="3" t="str">
        <f t="shared" si="0"/>
        <v>L10X10X3/4</v>
      </c>
      <c r="I12" s="4">
        <v>10</v>
      </c>
      <c r="J12" s="5" t="s">
        <v>5</v>
      </c>
      <c r="K12" s="6" t="s">
        <v>5</v>
      </c>
      <c r="L12" s="6" t="s">
        <v>5</v>
      </c>
      <c r="M12" s="6" t="s">
        <v>5</v>
      </c>
      <c r="N12" s="6" t="s">
        <v>5</v>
      </c>
      <c r="O12" s="5" t="s">
        <v>5</v>
      </c>
      <c r="P12" s="6" t="s">
        <v>5</v>
      </c>
      <c r="Q12" s="4">
        <v>10</v>
      </c>
      <c r="R12" s="6" t="s">
        <v>5</v>
      </c>
      <c r="S12" s="6" t="s">
        <v>5</v>
      </c>
      <c r="T12" s="5" t="s">
        <v>5</v>
      </c>
      <c r="U12" s="5" t="s">
        <v>5</v>
      </c>
      <c r="V12" s="6" t="s">
        <v>5</v>
      </c>
      <c r="W12" s="5" t="s">
        <v>5</v>
      </c>
      <c r="X12" s="22">
        <v>0.75</v>
      </c>
      <c r="Y12" s="6" t="s">
        <v>5</v>
      </c>
      <c r="Z12" s="6" t="s">
        <v>5</v>
      </c>
      <c r="AA12" s="7">
        <v>1.55</v>
      </c>
      <c r="AB12" s="8">
        <v>1.5625</v>
      </c>
      <c r="AC12" s="5" t="s">
        <v>5</v>
      </c>
      <c r="AD12" s="9">
        <v>2.76</v>
      </c>
      <c r="AE12" s="11">
        <v>2.76</v>
      </c>
      <c r="AF12" s="6" t="s">
        <v>5</v>
      </c>
      <c r="AG12" s="15">
        <v>0.72499999999999998</v>
      </c>
      <c r="AH12" s="11">
        <v>0.72499999999999998</v>
      </c>
      <c r="AI12" s="6" t="s">
        <v>5</v>
      </c>
      <c r="AJ12" s="4">
        <v>13.3</v>
      </c>
      <c r="AK12" s="6" t="s">
        <v>5</v>
      </c>
      <c r="AL12" s="6" t="s">
        <v>5</v>
      </c>
      <c r="AM12" s="6" t="s">
        <v>5</v>
      </c>
      <c r="AN12" s="6" t="s">
        <v>5</v>
      </c>
      <c r="AO12" s="10">
        <v>139</v>
      </c>
      <c r="AP12" s="3">
        <v>34.6</v>
      </c>
      <c r="AQ12" s="3">
        <v>19.2</v>
      </c>
      <c r="AR12" s="9">
        <v>3.1</v>
      </c>
      <c r="AS12" s="10">
        <v>139</v>
      </c>
      <c r="AT12" s="3">
        <v>34.6</v>
      </c>
      <c r="AU12" s="3">
        <v>19.2</v>
      </c>
      <c r="AV12" s="9">
        <v>3.1</v>
      </c>
      <c r="AW12" s="11">
        <v>55.7</v>
      </c>
      <c r="AX12" s="11">
        <v>1.96</v>
      </c>
      <c r="AY12" s="12">
        <v>14.3</v>
      </c>
      <c r="AZ12" s="21">
        <v>2.8</v>
      </c>
      <c r="BA12" s="13">
        <v>20.9</v>
      </c>
      <c r="BB12" s="6" t="s">
        <v>5</v>
      </c>
      <c r="BC12" s="6" t="s">
        <v>5</v>
      </c>
      <c r="BD12" s="6" t="s">
        <v>5</v>
      </c>
      <c r="BE12" s="6" t="s">
        <v>5</v>
      </c>
      <c r="BF12" s="6" t="s">
        <v>5</v>
      </c>
      <c r="BG12" s="6" t="s">
        <v>5</v>
      </c>
      <c r="BH12" s="6" t="s">
        <v>5</v>
      </c>
      <c r="BI12" s="9">
        <v>5.53</v>
      </c>
      <c r="BJ12" s="15">
        <v>0.628</v>
      </c>
      <c r="BK12" s="7">
        <v>0.99999999999999989</v>
      </c>
      <c r="BL12" s="11">
        <v>222</v>
      </c>
      <c r="BM12" s="7">
        <v>6.81</v>
      </c>
      <c r="BN12" s="2">
        <v>0</v>
      </c>
      <c r="BO12" s="7">
        <v>6.81</v>
      </c>
      <c r="BP12" s="9">
        <v>3.43</v>
      </c>
      <c r="BQ12" s="9">
        <v>3.9</v>
      </c>
      <c r="BR12" s="9">
        <v>3.43</v>
      </c>
      <c r="BS12" s="16">
        <v>32.6</v>
      </c>
      <c r="BT12" s="16" t="s">
        <v>5</v>
      </c>
      <c r="BU12" s="16">
        <v>32.6</v>
      </c>
      <c r="BV12" s="16">
        <v>16.2</v>
      </c>
      <c r="BW12" s="16">
        <v>14.3</v>
      </c>
      <c r="BX12" s="16">
        <v>16.2</v>
      </c>
      <c r="BY12" s="6" t="s">
        <v>5</v>
      </c>
      <c r="BZ12" s="6" t="s">
        <v>5</v>
      </c>
      <c r="CA12" s="4">
        <v>30</v>
      </c>
      <c r="CB12" s="4">
        <v>30</v>
      </c>
      <c r="CC12" s="4">
        <v>40</v>
      </c>
      <c r="CD12" s="6" t="s">
        <v>5</v>
      </c>
      <c r="CE12" s="6" t="s">
        <v>5</v>
      </c>
      <c r="CF12" s="16" t="s">
        <v>5</v>
      </c>
      <c r="CG12" s="16" t="s">
        <v>5</v>
      </c>
      <c r="CH12" s="18" t="s">
        <v>5</v>
      </c>
      <c r="CL12" s="499"/>
      <c r="CM12" s="59" t="s">
        <v>496</v>
      </c>
      <c r="CN12" s="64" t="s">
        <v>497</v>
      </c>
      <c r="CO12" s="71">
        <v>55</v>
      </c>
      <c r="CP12" s="67">
        <v>70</v>
      </c>
      <c r="CS12" s="335" t="str">
        <f t="shared" si="1"/>
        <v>L10X10X7/8</v>
      </c>
      <c r="CT12" s="337">
        <v>16.8</v>
      </c>
      <c r="CV12" s="344" t="str">
        <f t="shared" si="2"/>
        <v>WT18X326</v>
      </c>
      <c r="CW12" s="337">
        <v>96.2</v>
      </c>
      <c r="CY12" s="344" t="str">
        <f t="shared" si="3"/>
        <v>MT4X3.25</v>
      </c>
      <c r="CZ12" s="339">
        <v>0.95899999999999996</v>
      </c>
      <c r="DB12" s="335" t="str">
        <f t="shared" si="4"/>
        <v>ST10X33</v>
      </c>
      <c r="DC12" s="338">
        <v>9.6999999999999993</v>
      </c>
      <c r="DE12" s="335" t="str">
        <f t="shared" si="5"/>
        <v>2L10X10X1-3/8</v>
      </c>
      <c r="DF12" s="337">
        <v>51.2</v>
      </c>
      <c r="DH12" s="397" t="s">
        <v>1256</v>
      </c>
      <c r="DI12" s="401">
        <v>117</v>
      </c>
      <c r="DJ12" s="398">
        <v>41</v>
      </c>
      <c r="DK12" s="400">
        <v>1.22</v>
      </c>
      <c r="DL12" s="398">
        <v>28</v>
      </c>
      <c r="DM12" s="400">
        <v>3.66</v>
      </c>
      <c r="DN12" s="401">
        <v>1800</v>
      </c>
      <c r="DO12" s="402">
        <v>1560</v>
      </c>
      <c r="DQ12" s="428" t="s">
        <v>1249</v>
      </c>
      <c r="DR12" s="429">
        <v>2320</v>
      </c>
      <c r="DS12" s="429">
        <v>41600</v>
      </c>
      <c r="DT12" s="430" t="s">
        <v>1249</v>
      </c>
      <c r="DU12" s="430">
        <v>2320</v>
      </c>
      <c r="DV12" s="429">
        <v>503</v>
      </c>
      <c r="DW12" s="431">
        <f t="shared" si="6"/>
        <v>2320</v>
      </c>
      <c r="DX12" s="432">
        <f t="shared" si="7"/>
        <v>41600</v>
      </c>
      <c r="DZ12" s="447" t="s">
        <v>1245</v>
      </c>
      <c r="EA12" s="448">
        <v>655</v>
      </c>
      <c r="EB12" s="448">
        <v>193</v>
      </c>
      <c r="EC12" s="448">
        <v>43.6</v>
      </c>
      <c r="ED12" s="448" t="s">
        <v>1616</v>
      </c>
      <c r="EE12" s="448">
        <v>1.97</v>
      </c>
      <c r="EF12" s="448">
        <v>2</v>
      </c>
      <c r="EG12" s="448">
        <v>1</v>
      </c>
      <c r="EH12" s="448">
        <v>16.899999999999999</v>
      </c>
      <c r="EI12" s="448" t="s">
        <v>1625</v>
      </c>
      <c r="EJ12" s="448">
        <v>3.54</v>
      </c>
      <c r="EK12" s="448" t="s">
        <v>1626</v>
      </c>
      <c r="EL12" s="448">
        <v>2.39</v>
      </c>
      <c r="EM12" s="448">
        <v>17.3</v>
      </c>
      <c r="EN12" s="448">
        <v>56500</v>
      </c>
      <c r="EO12" s="448">
        <v>2590</v>
      </c>
      <c r="EP12" s="448">
        <v>17.100000000000001</v>
      </c>
      <c r="EQ12" s="448">
        <v>3080</v>
      </c>
      <c r="ER12" s="448">
        <v>2870</v>
      </c>
      <c r="ES12" s="448">
        <v>340</v>
      </c>
      <c r="ET12" s="448">
        <v>3.86</v>
      </c>
      <c r="EU12" s="450">
        <v>542</v>
      </c>
      <c r="EW12" s="456" t="s">
        <v>1891</v>
      </c>
      <c r="EX12" s="459">
        <v>2</v>
      </c>
    </row>
    <row r="13" spans="2:154" ht="14.4" thickBot="1">
      <c r="B13" s="78" t="s">
        <v>7</v>
      </c>
      <c r="C13" s="79" t="s">
        <v>18</v>
      </c>
      <c r="D13" s="80" t="s">
        <v>18</v>
      </c>
      <c r="E13" s="1" t="s">
        <v>4</v>
      </c>
      <c r="F13" s="4">
        <v>56.9</v>
      </c>
      <c r="G13" s="4">
        <v>16.8</v>
      </c>
      <c r="H13" s="3" t="str">
        <f t="shared" si="0"/>
        <v>L8X8X1-1/8</v>
      </c>
      <c r="I13" s="7">
        <v>8</v>
      </c>
      <c r="J13" s="5" t="s">
        <v>5</v>
      </c>
      <c r="K13" s="6" t="s">
        <v>5</v>
      </c>
      <c r="L13" s="6" t="s">
        <v>5</v>
      </c>
      <c r="M13" s="6" t="s">
        <v>5</v>
      </c>
      <c r="N13" s="6" t="s">
        <v>5</v>
      </c>
      <c r="O13" s="5" t="s">
        <v>5</v>
      </c>
      <c r="P13" s="5" t="s">
        <v>5</v>
      </c>
      <c r="Q13" s="7">
        <v>8</v>
      </c>
      <c r="R13" s="6" t="s">
        <v>5</v>
      </c>
      <c r="S13" s="6" t="s">
        <v>5</v>
      </c>
      <c r="T13" s="5" t="s">
        <v>5</v>
      </c>
      <c r="U13" s="8" t="s">
        <v>5</v>
      </c>
      <c r="V13" s="6" t="s">
        <v>5</v>
      </c>
      <c r="W13" s="8" t="s">
        <v>5</v>
      </c>
      <c r="X13" s="7">
        <v>1.1299999999999999</v>
      </c>
      <c r="Y13" s="6" t="s">
        <v>5</v>
      </c>
      <c r="Z13" s="6" t="s">
        <v>5</v>
      </c>
      <c r="AA13" s="7">
        <v>1.75</v>
      </c>
      <c r="AB13" s="8">
        <v>1.75</v>
      </c>
      <c r="AC13" s="8" t="s">
        <v>5</v>
      </c>
      <c r="AD13" s="7">
        <v>2.4</v>
      </c>
      <c r="AE13" s="7">
        <v>2.4</v>
      </c>
      <c r="AF13" s="6" t="s">
        <v>5</v>
      </c>
      <c r="AG13" s="7">
        <v>1.05</v>
      </c>
      <c r="AH13" s="7">
        <v>1.05</v>
      </c>
      <c r="AI13" s="6" t="s">
        <v>5</v>
      </c>
      <c r="AJ13" s="6">
        <v>7.08</v>
      </c>
      <c r="AK13" s="6" t="s">
        <v>5</v>
      </c>
      <c r="AL13" s="6" t="s">
        <v>5</v>
      </c>
      <c r="AM13" s="6" t="s">
        <v>5</v>
      </c>
      <c r="AN13" s="6" t="s">
        <v>5</v>
      </c>
      <c r="AO13" s="4">
        <v>98.1</v>
      </c>
      <c r="AP13" s="4">
        <v>31.6</v>
      </c>
      <c r="AQ13" s="4">
        <v>17.5</v>
      </c>
      <c r="AR13" s="7">
        <v>2.41</v>
      </c>
      <c r="AS13" s="4">
        <v>98.1</v>
      </c>
      <c r="AT13" s="4">
        <v>31.6</v>
      </c>
      <c r="AU13" s="4">
        <v>17.5</v>
      </c>
      <c r="AV13" s="7">
        <v>2.41</v>
      </c>
      <c r="AW13" s="6">
        <v>40.700000000000003</v>
      </c>
      <c r="AX13" s="7">
        <v>1.56</v>
      </c>
      <c r="AY13" s="19">
        <v>12</v>
      </c>
      <c r="AZ13" s="7">
        <v>7.13</v>
      </c>
      <c r="BA13" s="4">
        <v>32.5</v>
      </c>
      <c r="BB13" s="6" t="s">
        <v>5</v>
      </c>
      <c r="BC13" s="6" t="s">
        <v>5</v>
      </c>
      <c r="BD13" s="6" t="s">
        <v>5</v>
      </c>
      <c r="BE13" s="6" t="s">
        <v>5</v>
      </c>
      <c r="BF13" s="6" t="s">
        <v>5</v>
      </c>
      <c r="BG13" s="6" t="s">
        <v>5</v>
      </c>
      <c r="BH13" s="6" t="s">
        <v>5</v>
      </c>
      <c r="BI13" s="7">
        <v>4.29</v>
      </c>
      <c r="BJ13" s="23">
        <v>0.63</v>
      </c>
      <c r="BK13" s="24">
        <v>1</v>
      </c>
      <c r="BL13" s="6">
        <v>155</v>
      </c>
      <c r="BM13" s="7">
        <v>5.26</v>
      </c>
      <c r="BN13" s="2">
        <v>0</v>
      </c>
      <c r="BO13" s="7">
        <v>5.26</v>
      </c>
      <c r="BP13" s="7">
        <v>2.66</v>
      </c>
      <c r="BQ13" s="6">
        <v>3.39</v>
      </c>
      <c r="BR13" s="6">
        <v>2.66</v>
      </c>
      <c r="BS13" s="16">
        <v>29.5</v>
      </c>
      <c r="BT13" s="16" t="s">
        <v>5</v>
      </c>
      <c r="BU13" s="16">
        <v>29.5</v>
      </c>
      <c r="BV13" s="16">
        <v>15.3</v>
      </c>
      <c r="BW13" s="17">
        <v>12</v>
      </c>
      <c r="BX13" s="16">
        <v>15.3</v>
      </c>
      <c r="BY13" s="25" t="s">
        <v>5</v>
      </c>
      <c r="BZ13" s="25" t="s">
        <v>5</v>
      </c>
      <c r="CA13" s="4">
        <v>24</v>
      </c>
      <c r="CB13" s="4">
        <v>24</v>
      </c>
      <c r="CC13" s="4">
        <v>32</v>
      </c>
      <c r="CD13" s="25" t="s">
        <v>5</v>
      </c>
      <c r="CE13" s="25" t="s">
        <v>5</v>
      </c>
      <c r="CF13" s="16" t="s">
        <v>5</v>
      </c>
      <c r="CG13" s="16" t="s">
        <v>5</v>
      </c>
      <c r="CH13" s="18" t="s">
        <v>5</v>
      </c>
      <c r="CL13" s="499"/>
      <c r="CM13" s="59" t="s">
        <v>498</v>
      </c>
      <c r="CN13" s="64" t="s">
        <v>484</v>
      </c>
      <c r="CO13" s="71">
        <v>36</v>
      </c>
      <c r="CP13" s="67">
        <v>58</v>
      </c>
      <c r="CS13" s="335" t="str">
        <f t="shared" si="1"/>
        <v>L8X8X1</v>
      </c>
      <c r="CT13" s="337">
        <v>15.1</v>
      </c>
      <c r="CV13" s="344" t="str">
        <f t="shared" si="2"/>
        <v>WT7X302.5</v>
      </c>
      <c r="CW13" s="337">
        <v>89</v>
      </c>
      <c r="CY13" s="344" t="str">
        <f t="shared" si="3"/>
        <v>MT4X3.1</v>
      </c>
      <c r="CZ13" s="339">
        <v>0.91100000000000003</v>
      </c>
      <c r="DB13" s="335" t="str">
        <f t="shared" si="4"/>
        <v>ST9X27.35</v>
      </c>
      <c r="DC13" s="338">
        <v>8.02</v>
      </c>
      <c r="DE13" s="335" t="str">
        <f t="shared" si="5"/>
        <v>2L10X10X1-3/8</v>
      </c>
      <c r="DF13" s="337">
        <v>51.2</v>
      </c>
      <c r="DH13" s="397" t="s">
        <v>1259</v>
      </c>
      <c r="DI13" s="401">
        <v>110</v>
      </c>
      <c r="DJ13" s="398">
        <v>40.6</v>
      </c>
      <c r="DK13" s="400">
        <v>1.1599999999999999</v>
      </c>
      <c r="DL13" s="398">
        <v>29.5</v>
      </c>
      <c r="DM13" s="400">
        <v>3.93</v>
      </c>
      <c r="DN13" s="401">
        <v>1680</v>
      </c>
      <c r="DO13" s="402">
        <v>1460</v>
      </c>
      <c r="DQ13" s="428" t="s">
        <v>1250</v>
      </c>
      <c r="DR13" s="429">
        <v>2130</v>
      </c>
      <c r="DS13" s="429">
        <v>36000</v>
      </c>
      <c r="DT13" s="430" t="s">
        <v>1250</v>
      </c>
      <c r="DU13" s="430">
        <v>2130</v>
      </c>
      <c r="DV13" s="429">
        <v>487</v>
      </c>
      <c r="DW13" s="431">
        <f t="shared" si="6"/>
        <v>2130</v>
      </c>
      <c r="DX13" s="432">
        <f t="shared" si="7"/>
        <v>36000</v>
      </c>
      <c r="DZ13" s="447" t="s">
        <v>1247</v>
      </c>
      <c r="EA13" s="448">
        <v>593</v>
      </c>
      <c r="EB13" s="448">
        <v>174</v>
      </c>
      <c r="EC13" s="448">
        <v>43</v>
      </c>
      <c r="ED13" s="448">
        <v>43</v>
      </c>
      <c r="EE13" s="448">
        <v>1.79</v>
      </c>
      <c r="EF13" s="448" t="s">
        <v>1627</v>
      </c>
      <c r="EG13" s="448" t="s">
        <v>1628</v>
      </c>
      <c r="EH13" s="448">
        <v>16.7</v>
      </c>
      <c r="EI13" s="448" t="s">
        <v>1629</v>
      </c>
      <c r="EJ13" s="448">
        <v>3.23</v>
      </c>
      <c r="EK13" s="448" t="s">
        <v>1630</v>
      </c>
      <c r="EL13" s="448">
        <v>2.58</v>
      </c>
      <c r="EM13" s="448">
        <v>19.100000000000001</v>
      </c>
      <c r="EN13" s="448">
        <v>50400</v>
      </c>
      <c r="EO13" s="448">
        <v>2340</v>
      </c>
      <c r="EP13" s="448">
        <v>17</v>
      </c>
      <c r="EQ13" s="448">
        <v>2760</v>
      </c>
      <c r="ER13" s="448">
        <v>2520</v>
      </c>
      <c r="ES13" s="448">
        <v>302</v>
      </c>
      <c r="ET13" s="448">
        <v>3.8</v>
      </c>
      <c r="EU13" s="450">
        <v>481</v>
      </c>
      <c r="EW13" s="457" t="s">
        <v>1225</v>
      </c>
      <c r="EX13" s="460">
        <v>0</v>
      </c>
    </row>
    <row r="14" spans="2:154" ht="14.4" thickTop="1">
      <c r="B14" s="78" t="s">
        <v>7</v>
      </c>
      <c r="C14" s="79" t="s">
        <v>19</v>
      </c>
      <c r="D14" s="80" t="s">
        <v>19</v>
      </c>
      <c r="E14" s="1" t="s">
        <v>4</v>
      </c>
      <c r="F14" s="4">
        <v>51</v>
      </c>
      <c r="G14" s="4">
        <v>15.1</v>
      </c>
      <c r="H14" s="3" t="str">
        <f t="shared" si="0"/>
        <v>L8X8X1</v>
      </c>
      <c r="I14" s="7">
        <v>8</v>
      </c>
      <c r="J14" s="5" t="s">
        <v>5</v>
      </c>
      <c r="K14" s="6" t="s">
        <v>5</v>
      </c>
      <c r="L14" s="6" t="s">
        <v>5</v>
      </c>
      <c r="M14" s="6" t="s">
        <v>5</v>
      </c>
      <c r="N14" s="6" t="s">
        <v>5</v>
      </c>
      <c r="O14" s="5" t="s">
        <v>5</v>
      </c>
      <c r="P14" s="5" t="s">
        <v>5</v>
      </c>
      <c r="Q14" s="7">
        <v>8</v>
      </c>
      <c r="R14" s="6" t="s">
        <v>5</v>
      </c>
      <c r="S14" s="6" t="s">
        <v>5</v>
      </c>
      <c r="T14" s="5" t="s">
        <v>5</v>
      </c>
      <c r="U14" s="8" t="s">
        <v>5</v>
      </c>
      <c r="V14" s="6" t="s">
        <v>5</v>
      </c>
      <c r="W14" s="8" t="s">
        <v>5</v>
      </c>
      <c r="X14" s="7">
        <v>1</v>
      </c>
      <c r="Y14" s="6" t="s">
        <v>5</v>
      </c>
      <c r="Z14" s="6" t="s">
        <v>5</v>
      </c>
      <c r="AA14" s="7">
        <v>1.63</v>
      </c>
      <c r="AB14" s="8">
        <v>1.625</v>
      </c>
      <c r="AC14" s="8" t="s">
        <v>5</v>
      </c>
      <c r="AD14" s="7">
        <v>2.36</v>
      </c>
      <c r="AE14" s="7">
        <v>2.36</v>
      </c>
      <c r="AF14" s="6" t="s">
        <v>5</v>
      </c>
      <c r="AG14" s="22">
        <v>0.94399999999999995</v>
      </c>
      <c r="AH14" s="22">
        <v>0.94399999999999995</v>
      </c>
      <c r="AI14" s="6" t="s">
        <v>5</v>
      </c>
      <c r="AJ14" s="7">
        <v>8</v>
      </c>
      <c r="AK14" s="6" t="s">
        <v>5</v>
      </c>
      <c r="AL14" s="6" t="s">
        <v>5</v>
      </c>
      <c r="AM14" s="6" t="s">
        <v>5</v>
      </c>
      <c r="AN14" s="6" t="s">
        <v>5</v>
      </c>
      <c r="AO14" s="4">
        <v>89.1</v>
      </c>
      <c r="AP14" s="4">
        <v>28.5</v>
      </c>
      <c r="AQ14" s="4">
        <v>15.8</v>
      </c>
      <c r="AR14" s="7">
        <v>2.4300000000000002</v>
      </c>
      <c r="AS14" s="4">
        <v>89.1</v>
      </c>
      <c r="AT14" s="4">
        <v>28.5</v>
      </c>
      <c r="AU14" s="4">
        <v>15.8</v>
      </c>
      <c r="AV14" s="7">
        <v>2.4300000000000002</v>
      </c>
      <c r="AW14" s="6">
        <v>36.799999999999997</v>
      </c>
      <c r="AX14" s="7">
        <v>1.56</v>
      </c>
      <c r="AY14" s="19">
        <v>11</v>
      </c>
      <c r="AZ14" s="7">
        <v>5.08</v>
      </c>
      <c r="BA14" s="4">
        <v>23.4</v>
      </c>
      <c r="BB14" s="6" t="s">
        <v>5</v>
      </c>
      <c r="BC14" s="6" t="s">
        <v>5</v>
      </c>
      <c r="BD14" s="6" t="s">
        <v>5</v>
      </c>
      <c r="BE14" s="6" t="s">
        <v>5</v>
      </c>
      <c r="BF14" s="6" t="s">
        <v>5</v>
      </c>
      <c r="BG14" s="6" t="s">
        <v>5</v>
      </c>
      <c r="BH14" s="6" t="s">
        <v>5</v>
      </c>
      <c r="BI14" s="7">
        <v>4.32</v>
      </c>
      <c r="BJ14" s="23">
        <v>0.63</v>
      </c>
      <c r="BK14" s="24">
        <v>1</v>
      </c>
      <c r="BL14" s="6">
        <v>141</v>
      </c>
      <c r="BM14" s="7">
        <v>5.3</v>
      </c>
      <c r="BN14" s="2">
        <v>0</v>
      </c>
      <c r="BO14" s="7">
        <v>5.3</v>
      </c>
      <c r="BP14" s="7">
        <v>2.67</v>
      </c>
      <c r="BQ14" s="6">
        <v>3.34</v>
      </c>
      <c r="BR14" s="6">
        <v>2.67</v>
      </c>
      <c r="BS14" s="16">
        <v>26.6</v>
      </c>
      <c r="BT14" s="16" t="s">
        <v>5</v>
      </c>
      <c r="BU14" s="16">
        <v>26.6</v>
      </c>
      <c r="BV14" s="16">
        <v>13.8</v>
      </c>
      <c r="BW14" s="17">
        <v>11</v>
      </c>
      <c r="BX14" s="16">
        <v>13.8</v>
      </c>
      <c r="BY14" s="25" t="s">
        <v>5</v>
      </c>
      <c r="BZ14" s="25" t="s">
        <v>5</v>
      </c>
      <c r="CA14" s="4">
        <v>24</v>
      </c>
      <c r="CB14" s="4">
        <v>24</v>
      </c>
      <c r="CC14" s="4">
        <v>32</v>
      </c>
      <c r="CD14" s="25" t="s">
        <v>5</v>
      </c>
      <c r="CE14" s="25" t="s">
        <v>5</v>
      </c>
      <c r="CF14" s="16" t="s">
        <v>5</v>
      </c>
      <c r="CG14" s="16" t="s">
        <v>5</v>
      </c>
      <c r="CH14" s="18" t="s">
        <v>5</v>
      </c>
      <c r="CL14" s="499"/>
      <c r="CM14" s="59" t="s">
        <v>499</v>
      </c>
      <c r="CN14" s="64">
        <v>36</v>
      </c>
      <c r="CO14" s="71">
        <v>36</v>
      </c>
      <c r="CP14" s="67">
        <v>58</v>
      </c>
      <c r="CS14" s="335" t="str">
        <f t="shared" si="1"/>
        <v>L10X10X3/4</v>
      </c>
      <c r="CT14" s="336">
        <v>14.5</v>
      </c>
      <c r="CV14" s="344" t="str">
        <f t="shared" si="2"/>
        <v>WT20X296.5</v>
      </c>
      <c r="CW14" s="337">
        <v>87.2</v>
      </c>
      <c r="CY14" s="344" t="str">
        <f t="shared" si="3"/>
        <v>MT2X3</v>
      </c>
      <c r="CZ14" s="339">
        <v>0.875</v>
      </c>
      <c r="DB14" s="335" t="str">
        <f t="shared" si="4"/>
        <v>ST7.5X25</v>
      </c>
      <c r="DC14" s="338">
        <v>7.34</v>
      </c>
      <c r="DE14" s="335" t="str">
        <f t="shared" si="5"/>
        <v>2L10X10X1-3/8</v>
      </c>
      <c r="DF14" s="337">
        <v>51.2</v>
      </c>
      <c r="DH14" s="397" t="s">
        <v>1261</v>
      </c>
      <c r="DI14" s="401">
        <v>106</v>
      </c>
      <c r="DJ14" s="398">
        <v>40.6</v>
      </c>
      <c r="DK14" s="400">
        <v>1.1200000000000001</v>
      </c>
      <c r="DL14" s="398">
        <v>30.5</v>
      </c>
      <c r="DM14" s="400">
        <v>3.99</v>
      </c>
      <c r="DN14" s="401">
        <v>1640</v>
      </c>
      <c r="DO14" s="402">
        <v>1420</v>
      </c>
      <c r="DQ14" s="428" t="s">
        <v>1251</v>
      </c>
      <c r="DR14" s="429">
        <v>2030</v>
      </c>
      <c r="DS14" s="429">
        <v>18100</v>
      </c>
      <c r="DT14" s="430" t="s">
        <v>1252</v>
      </c>
      <c r="DU14" s="430">
        <v>1960</v>
      </c>
      <c r="DV14" s="429">
        <v>431</v>
      </c>
      <c r="DW14" s="431">
        <f t="shared" si="6"/>
        <v>1960</v>
      </c>
      <c r="DX14" s="432">
        <f t="shared" si="7"/>
        <v>34800</v>
      </c>
      <c r="DZ14" s="447" t="s">
        <v>1249</v>
      </c>
      <c r="EA14" s="448">
        <v>503</v>
      </c>
      <c r="EB14" s="448">
        <v>148</v>
      </c>
      <c r="EC14" s="448">
        <v>42.1</v>
      </c>
      <c r="ED14" s="448">
        <v>42</v>
      </c>
      <c r="EE14" s="448">
        <v>1.54</v>
      </c>
      <c r="EF14" s="448" t="s">
        <v>1618</v>
      </c>
      <c r="EG14" s="448" t="s">
        <v>1620</v>
      </c>
      <c r="EH14" s="448">
        <v>16.399999999999999</v>
      </c>
      <c r="EI14" s="448" t="s">
        <v>1631</v>
      </c>
      <c r="EJ14" s="448">
        <v>2.76</v>
      </c>
      <c r="EK14" s="448" t="s">
        <v>1632</v>
      </c>
      <c r="EL14" s="448">
        <v>2.98</v>
      </c>
      <c r="EM14" s="448">
        <v>22.3</v>
      </c>
      <c r="EN14" s="448">
        <v>41600</v>
      </c>
      <c r="EO14" s="448">
        <v>1980</v>
      </c>
      <c r="EP14" s="448">
        <v>16.8</v>
      </c>
      <c r="EQ14" s="448">
        <v>2320</v>
      </c>
      <c r="ER14" s="448">
        <v>2040</v>
      </c>
      <c r="ES14" s="448">
        <v>249</v>
      </c>
      <c r="ET14" s="448">
        <v>3.72</v>
      </c>
      <c r="EU14" s="450">
        <v>394</v>
      </c>
    </row>
    <row r="15" spans="2:154">
      <c r="B15" s="78" t="s">
        <v>7</v>
      </c>
      <c r="C15" s="79" t="s">
        <v>20</v>
      </c>
      <c r="D15" s="80" t="s">
        <v>20</v>
      </c>
      <c r="E15" s="1" t="s">
        <v>4</v>
      </c>
      <c r="F15" s="4">
        <v>45</v>
      </c>
      <c r="G15" s="4">
        <v>13.3</v>
      </c>
      <c r="H15" s="3" t="str">
        <f t="shared" si="0"/>
        <v>L8X8X7/8</v>
      </c>
      <c r="I15" s="7">
        <v>8</v>
      </c>
      <c r="J15" s="5" t="s">
        <v>5</v>
      </c>
      <c r="K15" s="6" t="s">
        <v>5</v>
      </c>
      <c r="L15" s="6" t="s">
        <v>5</v>
      </c>
      <c r="M15" s="6" t="s">
        <v>5</v>
      </c>
      <c r="N15" s="6" t="s">
        <v>5</v>
      </c>
      <c r="O15" s="5" t="s">
        <v>5</v>
      </c>
      <c r="P15" s="5" t="s">
        <v>5</v>
      </c>
      <c r="Q15" s="7">
        <v>8</v>
      </c>
      <c r="R15" s="6" t="s">
        <v>5</v>
      </c>
      <c r="S15" s="6" t="s">
        <v>5</v>
      </c>
      <c r="T15" s="5" t="s">
        <v>5</v>
      </c>
      <c r="U15" s="8" t="s">
        <v>5</v>
      </c>
      <c r="V15" s="6" t="s">
        <v>5</v>
      </c>
      <c r="W15" s="8" t="s">
        <v>5</v>
      </c>
      <c r="X15" s="22">
        <v>0.875</v>
      </c>
      <c r="Y15" s="6" t="s">
        <v>5</v>
      </c>
      <c r="Z15" s="6" t="s">
        <v>5</v>
      </c>
      <c r="AA15" s="7">
        <v>1.5</v>
      </c>
      <c r="AB15" s="8">
        <v>1.5</v>
      </c>
      <c r="AC15" s="8" t="s">
        <v>5</v>
      </c>
      <c r="AD15" s="7">
        <v>2.31</v>
      </c>
      <c r="AE15" s="7">
        <v>2.31</v>
      </c>
      <c r="AF15" s="6" t="s">
        <v>5</v>
      </c>
      <c r="AG15" s="22">
        <v>0.83099999999999996</v>
      </c>
      <c r="AH15" s="22">
        <v>0.83099999999999996</v>
      </c>
      <c r="AI15" s="6" t="s">
        <v>5</v>
      </c>
      <c r="AJ15" s="6">
        <v>9.14</v>
      </c>
      <c r="AK15" s="6" t="s">
        <v>5</v>
      </c>
      <c r="AL15" s="6" t="s">
        <v>5</v>
      </c>
      <c r="AM15" s="6" t="s">
        <v>5</v>
      </c>
      <c r="AN15" s="6" t="s">
        <v>5</v>
      </c>
      <c r="AO15" s="4">
        <v>79.7</v>
      </c>
      <c r="AP15" s="4">
        <v>25.3</v>
      </c>
      <c r="AQ15" s="4">
        <v>14</v>
      </c>
      <c r="AR15" s="7">
        <v>2.4500000000000002</v>
      </c>
      <c r="AS15" s="4">
        <v>79.7</v>
      </c>
      <c r="AT15" s="4">
        <v>25.3</v>
      </c>
      <c r="AU15" s="4">
        <v>14</v>
      </c>
      <c r="AV15" s="7">
        <v>2.4500000000000002</v>
      </c>
      <c r="AW15" s="6">
        <v>32.700000000000003</v>
      </c>
      <c r="AX15" s="7">
        <v>1.57</v>
      </c>
      <c r="AY15" s="19">
        <v>10</v>
      </c>
      <c r="AZ15" s="7">
        <v>3.46</v>
      </c>
      <c r="BA15" s="4">
        <v>16.100000000000001</v>
      </c>
      <c r="BB15" s="6" t="s">
        <v>5</v>
      </c>
      <c r="BC15" s="6" t="s">
        <v>5</v>
      </c>
      <c r="BD15" s="6" t="s">
        <v>5</v>
      </c>
      <c r="BE15" s="6" t="s">
        <v>5</v>
      </c>
      <c r="BF15" s="6" t="s">
        <v>5</v>
      </c>
      <c r="BG15" s="6" t="s">
        <v>5</v>
      </c>
      <c r="BH15" s="6" t="s">
        <v>5</v>
      </c>
      <c r="BI15" s="7">
        <v>4.3600000000000003</v>
      </c>
      <c r="BJ15" s="23">
        <v>0.63</v>
      </c>
      <c r="BK15" s="24">
        <v>1</v>
      </c>
      <c r="BL15" s="6">
        <v>127</v>
      </c>
      <c r="BM15" s="7">
        <v>5.35</v>
      </c>
      <c r="BN15" s="2">
        <v>0</v>
      </c>
      <c r="BO15" s="7">
        <v>5.35</v>
      </c>
      <c r="BP15" s="7">
        <v>2.7</v>
      </c>
      <c r="BQ15" s="6">
        <v>3.27</v>
      </c>
      <c r="BR15" s="7">
        <v>2.7</v>
      </c>
      <c r="BS15" s="16">
        <v>23.7</v>
      </c>
      <c r="BT15" s="16" t="s">
        <v>5</v>
      </c>
      <c r="BU15" s="16">
        <v>23.7</v>
      </c>
      <c r="BV15" s="16">
        <v>12.1</v>
      </c>
      <c r="BW15" s="17">
        <v>10</v>
      </c>
      <c r="BX15" s="16">
        <v>12.1</v>
      </c>
      <c r="BY15" s="25" t="s">
        <v>5</v>
      </c>
      <c r="BZ15" s="25" t="s">
        <v>5</v>
      </c>
      <c r="CA15" s="4">
        <v>24</v>
      </c>
      <c r="CB15" s="4">
        <v>24</v>
      </c>
      <c r="CC15" s="4">
        <v>32</v>
      </c>
      <c r="CD15" s="25" t="s">
        <v>5</v>
      </c>
      <c r="CE15" s="25" t="s">
        <v>5</v>
      </c>
      <c r="CF15" s="16" t="s">
        <v>5</v>
      </c>
      <c r="CG15" s="16" t="s">
        <v>5</v>
      </c>
      <c r="CH15" s="18" t="s">
        <v>5</v>
      </c>
      <c r="CL15" s="499"/>
      <c r="CM15" s="59" t="s">
        <v>500</v>
      </c>
      <c r="CN15" s="64">
        <v>50</v>
      </c>
      <c r="CO15" s="71">
        <v>50</v>
      </c>
      <c r="CP15" s="67">
        <v>65</v>
      </c>
      <c r="CS15" s="335" t="str">
        <f t="shared" si="1"/>
        <v>L8X8X7/8</v>
      </c>
      <c r="CT15" s="337">
        <v>13.3</v>
      </c>
      <c r="CV15" s="344" t="str">
        <f t="shared" si="2"/>
        <v>WT7X275</v>
      </c>
      <c r="CW15" s="337">
        <v>80.900000000000006</v>
      </c>
      <c r="CY15" s="344" t="str">
        <f t="shared" si="3"/>
        <v>MT3X2.2</v>
      </c>
      <c r="CZ15" s="339">
        <v>0.64700000000000002</v>
      </c>
      <c r="DB15" s="335" t="str">
        <f>VLOOKUP(DC15,$G$437:$H$464,2,FALSE)</f>
        <v>ST6X25</v>
      </c>
      <c r="DC15" s="338">
        <v>7.33</v>
      </c>
      <c r="DE15" s="335" t="str">
        <f t="shared" si="5"/>
        <v>2L10X10X1-1/4</v>
      </c>
      <c r="DF15" s="337">
        <v>46.8</v>
      </c>
      <c r="DH15" s="397" t="s">
        <v>1266</v>
      </c>
      <c r="DI15" s="398">
        <v>95.3</v>
      </c>
      <c r="DJ15" s="398">
        <v>40.200000000000003</v>
      </c>
      <c r="DK15" s="400">
        <v>1</v>
      </c>
      <c r="DL15" s="398">
        <v>34.200000000000003</v>
      </c>
      <c r="DM15" s="400">
        <v>4.4000000000000004</v>
      </c>
      <c r="DN15" s="401">
        <v>1460</v>
      </c>
      <c r="DO15" s="402">
        <v>1280</v>
      </c>
      <c r="DQ15" s="428" t="s">
        <v>1252</v>
      </c>
      <c r="DR15" s="429">
        <v>1960</v>
      </c>
      <c r="DS15" s="429">
        <v>34800</v>
      </c>
      <c r="DT15" s="430" t="s">
        <v>1256</v>
      </c>
      <c r="DU15" s="430">
        <v>1800</v>
      </c>
      <c r="DV15" s="429">
        <v>397</v>
      </c>
      <c r="DW15" s="431">
        <f t="shared" si="6"/>
        <v>1800</v>
      </c>
      <c r="DX15" s="432">
        <f t="shared" si="7"/>
        <v>32000</v>
      </c>
      <c r="DZ15" s="447" t="s">
        <v>1252</v>
      </c>
      <c r="EA15" s="448">
        <v>431</v>
      </c>
      <c r="EB15" s="448">
        <v>127</v>
      </c>
      <c r="EC15" s="448">
        <v>41.3</v>
      </c>
      <c r="ED15" s="448" t="s">
        <v>1633</v>
      </c>
      <c r="EE15" s="448">
        <v>1.34</v>
      </c>
      <c r="EF15" s="448" t="s">
        <v>1634</v>
      </c>
      <c r="EG15" s="449">
        <v>45246</v>
      </c>
      <c r="EH15" s="448">
        <v>16.2</v>
      </c>
      <c r="EI15" s="448" t="s">
        <v>1635</v>
      </c>
      <c r="EJ15" s="448">
        <v>2.36</v>
      </c>
      <c r="EK15" s="448" t="s">
        <v>1636</v>
      </c>
      <c r="EL15" s="448">
        <v>3.44</v>
      </c>
      <c r="EM15" s="448">
        <v>25.5</v>
      </c>
      <c r="EN15" s="448">
        <v>34800</v>
      </c>
      <c r="EO15" s="448">
        <v>1690</v>
      </c>
      <c r="EP15" s="448">
        <v>16.600000000000001</v>
      </c>
      <c r="EQ15" s="448">
        <v>1960</v>
      </c>
      <c r="ER15" s="448">
        <v>1690</v>
      </c>
      <c r="ES15" s="448">
        <v>208</v>
      </c>
      <c r="ET15" s="448">
        <v>3.65</v>
      </c>
      <c r="EU15" s="450">
        <v>328</v>
      </c>
    </row>
    <row r="16" spans="2:154" ht="14.4" thickBot="1">
      <c r="B16" s="78" t="s">
        <v>7</v>
      </c>
      <c r="C16" s="79" t="s">
        <v>21</v>
      </c>
      <c r="D16" s="80" t="s">
        <v>21</v>
      </c>
      <c r="E16" s="1" t="s">
        <v>4</v>
      </c>
      <c r="F16" s="4">
        <v>38.9</v>
      </c>
      <c r="G16" s="4">
        <v>11.5</v>
      </c>
      <c r="H16" s="3" t="str">
        <f t="shared" si="0"/>
        <v>L8X8X3/4</v>
      </c>
      <c r="I16" s="7">
        <v>8</v>
      </c>
      <c r="J16" s="5" t="s">
        <v>5</v>
      </c>
      <c r="K16" s="6" t="s">
        <v>5</v>
      </c>
      <c r="L16" s="6" t="s">
        <v>5</v>
      </c>
      <c r="M16" s="6" t="s">
        <v>5</v>
      </c>
      <c r="N16" s="6" t="s">
        <v>5</v>
      </c>
      <c r="O16" s="5" t="s">
        <v>5</v>
      </c>
      <c r="P16" s="5" t="s">
        <v>5</v>
      </c>
      <c r="Q16" s="7">
        <v>8</v>
      </c>
      <c r="R16" s="6" t="s">
        <v>5</v>
      </c>
      <c r="S16" s="6" t="s">
        <v>5</v>
      </c>
      <c r="T16" s="5" t="s">
        <v>5</v>
      </c>
      <c r="U16" s="8" t="s">
        <v>5</v>
      </c>
      <c r="V16" s="6" t="s">
        <v>5</v>
      </c>
      <c r="W16" s="8" t="s">
        <v>5</v>
      </c>
      <c r="X16" s="22">
        <v>0.75</v>
      </c>
      <c r="Y16" s="6" t="s">
        <v>5</v>
      </c>
      <c r="Z16" s="6" t="s">
        <v>5</v>
      </c>
      <c r="AA16" s="7">
        <v>1.38</v>
      </c>
      <c r="AB16" s="8">
        <v>1.375</v>
      </c>
      <c r="AC16" s="8" t="s">
        <v>5</v>
      </c>
      <c r="AD16" s="7">
        <v>2.2599999999999998</v>
      </c>
      <c r="AE16" s="7">
        <v>2.2599999999999998</v>
      </c>
      <c r="AF16" s="6" t="s">
        <v>5</v>
      </c>
      <c r="AG16" s="22">
        <v>0.71899999999999997</v>
      </c>
      <c r="AH16" s="22">
        <v>0.71899999999999997</v>
      </c>
      <c r="AI16" s="6" t="s">
        <v>5</v>
      </c>
      <c r="AJ16" s="6">
        <v>10.7</v>
      </c>
      <c r="AK16" s="6" t="s">
        <v>5</v>
      </c>
      <c r="AL16" s="6" t="s">
        <v>5</v>
      </c>
      <c r="AM16" s="6" t="s">
        <v>5</v>
      </c>
      <c r="AN16" s="6" t="s">
        <v>5</v>
      </c>
      <c r="AO16" s="4">
        <v>69.900000000000006</v>
      </c>
      <c r="AP16" s="4">
        <v>22</v>
      </c>
      <c r="AQ16" s="4">
        <v>12.2</v>
      </c>
      <c r="AR16" s="7">
        <v>2.46</v>
      </c>
      <c r="AS16" s="4">
        <v>69.900000000000006</v>
      </c>
      <c r="AT16" s="4">
        <v>22</v>
      </c>
      <c r="AU16" s="4">
        <v>12.2</v>
      </c>
      <c r="AV16" s="7">
        <v>2.46</v>
      </c>
      <c r="AW16" s="6">
        <v>28.5</v>
      </c>
      <c r="AX16" s="7">
        <v>1.57</v>
      </c>
      <c r="AY16" s="12">
        <v>8.91</v>
      </c>
      <c r="AZ16" s="7">
        <v>2.21</v>
      </c>
      <c r="BA16" s="4">
        <v>10.4</v>
      </c>
      <c r="BB16" s="6" t="s">
        <v>5</v>
      </c>
      <c r="BC16" s="6" t="s">
        <v>5</v>
      </c>
      <c r="BD16" s="6" t="s">
        <v>5</v>
      </c>
      <c r="BE16" s="6" t="s">
        <v>5</v>
      </c>
      <c r="BF16" s="6" t="s">
        <v>5</v>
      </c>
      <c r="BG16" s="6" t="s">
        <v>5</v>
      </c>
      <c r="BH16" s="6" t="s">
        <v>5</v>
      </c>
      <c r="BI16" s="7">
        <v>4.3899999999999997</v>
      </c>
      <c r="BJ16" s="23">
        <v>0.63</v>
      </c>
      <c r="BK16" s="24">
        <v>1</v>
      </c>
      <c r="BL16" s="6">
        <v>111</v>
      </c>
      <c r="BM16" s="7">
        <v>5.39</v>
      </c>
      <c r="BN16" s="2">
        <v>0</v>
      </c>
      <c r="BO16" s="7">
        <v>5.39</v>
      </c>
      <c r="BP16" s="7">
        <v>2.73</v>
      </c>
      <c r="BQ16" s="7">
        <v>3.2</v>
      </c>
      <c r="BR16" s="6">
        <v>2.73</v>
      </c>
      <c r="BS16" s="16">
        <v>20.6</v>
      </c>
      <c r="BT16" s="16" t="s">
        <v>5</v>
      </c>
      <c r="BU16" s="16">
        <v>20.6</v>
      </c>
      <c r="BV16" s="16">
        <v>10.4</v>
      </c>
      <c r="BW16" s="16">
        <v>8.91</v>
      </c>
      <c r="BX16" s="16">
        <v>10.4</v>
      </c>
      <c r="BY16" s="25" t="s">
        <v>5</v>
      </c>
      <c r="BZ16" s="25" t="s">
        <v>5</v>
      </c>
      <c r="CA16" s="4">
        <v>24</v>
      </c>
      <c r="CB16" s="4">
        <v>24</v>
      </c>
      <c r="CC16" s="4">
        <v>32</v>
      </c>
      <c r="CD16" s="25" t="s">
        <v>5</v>
      </c>
      <c r="CE16" s="25" t="s">
        <v>5</v>
      </c>
      <c r="CF16" s="16" t="s">
        <v>5</v>
      </c>
      <c r="CG16" s="16" t="s">
        <v>5</v>
      </c>
      <c r="CH16" s="18" t="s">
        <v>5</v>
      </c>
      <c r="CL16" s="500"/>
      <c r="CM16" s="62" t="s">
        <v>501</v>
      </c>
      <c r="CN16" s="65" t="s">
        <v>492</v>
      </c>
      <c r="CO16" s="73">
        <v>50</v>
      </c>
      <c r="CP16" s="69">
        <v>65</v>
      </c>
      <c r="CS16" s="335" t="str">
        <f t="shared" si="1"/>
        <v>L8X6X1</v>
      </c>
      <c r="CT16" s="337">
        <v>13.1</v>
      </c>
      <c r="CV16" s="344" t="str">
        <f t="shared" si="2"/>
        <v>WT13.5X269.5</v>
      </c>
      <c r="CW16" s="337">
        <v>79.3</v>
      </c>
      <c r="CY16" s="347" t="str">
        <f t="shared" si="3"/>
        <v>MT3X1.85</v>
      </c>
      <c r="CZ16" s="341">
        <v>0.54500000000000004</v>
      </c>
      <c r="DB16" s="335" t="str">
        <f t="shared" si="4"/>
        <v>ST7.5X21.45</v>
      </c>
      <c r="DC16" s="338">
        <v>6.3</v>
      </c>
      <c r="DE16" s="335" t="str">
        <f t="shared" si="5"/>
        <v>2L10X10X1-1/4</v>
      </c>
      <c r="DF16" s="337">
        <v>46.8</v>
      </c>
      <c r="DH16" s="397" t="s">
        <v>1273</v>
      </c>
      <c r="DI16" s="398">
        <v>87.3</v>
      </c>
      <c r="DJ16" s="398">
        <v>39.799999999999997</v>
      </c>
      <c r="DK16" s="399">
        <v>0.93</v>
      </c>
      <c r="DL16" s="398">
        <v>36.799999999999997</v>
      </c>
      <c r="DM16" s="400">
        <v>4.8</v>
      </c>
      <c r="DN16" s="401">
        <v>1330</v>
      </c>
      <c r="DO16" s="402">
        <v>1170</v>
      </c>
      <c r="DQ16" s="428" t="s">
        <v>1253</v>
      </c>
      <c r="DR16" s="429">
        <v>1910</v>
      </c>
      <c r="DS16" s="429">
        <v>32100</v>
      </c>
      <c r="DT16" s="430" t="s">
        <v>1257</v>
      </c>
      <c r="DU16" s="430">
        <v>1710</v>
      </c>
      <c r="DV16" s="429">
        <v>392</v>
      </c>
      <c r="DW16" s="431">
        <f t="shared" si="6"/>
        <v>1710</v>
      </c>
      <c r="DX16" s="432">
        <f t="shared" si="7"/>
        <v>29900</v>
      </c>
      <c r="DZ16" s="447" t="s">
        <v>1256</v>
      </c>
      <c r="EA16" s="448">
        <v>397</v>
      </c>
      <c r="EB16" s="448">
        <v>117</v>
      </c>
      <c r="EC16" s="448">
        <v>41</v>
      </c>
      <c r="ED16" s="448">
        <v>41</v>
      </c>
      <c r="EE16" s="448">
        <v>1.22</v>
      </c>
      <c r="EF16" s="448" t="s">
        <v>1624</v>
      </c>
      <c r="EG16" s="449">
        <v>45054</v>
      </c>
      <c r="EH16" s="448">
        <v>16.100000000000001</v>
      </c>
      <c r="EI16" s="448" t="s">
        <v>1637</v>
      </c>
      <c r="EJ16" s="448">
        <v>2.2000000000000002</v>
      </c>
      <c r="EK16" s="448" t="s">
        <v>1638</v>
      </c>
      <c r="EL16" s="448">
        <v>3.66</v>
      </c>
      <c r="EM16" s="448">
        <v>28</v>
      </c>
      <c r="EN16" s="448">
        <v>32000</v>
      </c>
      <c r="EO16" s="448">
        <v>1560</v>
      </c>
      <c r="EP16" s="448">
        <v>16.600000000000001</v>
      </c>
      <c r="EQ16" s="448">
        <v>1800</v>
      </c>
      <c r="ER16" s="448">
        <v>1540</v>
      </c>
      <c r="ES16" s="448">
        <v>191</v>
      </c>
      <c r="ET16" s="448">
        <v>3.64</v>
      </c>
      <c r="EU16" s="450">
        <v>300</v>
      </c>
    </row>
    <row r="17" spans="2:151" ht="17.399999999999999" customHeight="1">
      <c r="B17" s="78" t="s">
        <v>7</v>
      </c>
      <c r="C17" s="79" t="s">
        <v>22</v>
      </c>
      <c r="D17" s="80" t="s">
        <v>22</v>
      </c>
      <c r="E17" s="1" t="s">
        <v>4</v>
      </c>
      <c r="F17" s="4">
        <v>32.700000000000003</v>
      </c>
      <c r="G17" s="7">
        <v>9.69</v>
      </c>
      <c r="H17" s="3" t="str">
        <f t="shared" si="0"/>
        <v>L8X8X5/8</v>
      </c>
      <c r="I17" s="7">
        <v>8</v>
      </c>
      <c r="J17" s="5" t="s">
        <v>5</v>
      </c>
      <c r="K17" s="6" t="s">
        <v>5</v>
      </c>
      <c r="L17" s="6" t="s">
        <v>5</v>
      </c>
      <c r="M17" s="6" t="s">
        <v>5</v>
      </c>
      <c r="N17" s="6" t="s">
        <v>5</v>
      </c>
      <c r="O17" s="5" t="s">
        <v>5</v>
      </c>
      <c r="P17" s="5" t="s">
        <v>5</v>
      </c>
      <c r="Q17" s="7">
        <v>8</v>
      </c>
      <c r="R17" s="6" t="s">
        <v>5</v>
      </c>
      <c r="S17" s="6" t="s">
        <v>5</v>
      </c>
      <c r="T17" s="5" t="s">
        <v>5</v>
      </c>
      <c r="U17" s="8" t="s">
        <v>5</v>
      </c>
      <c r="V17" s="6" t="s">
        <v>5</v>
      </c>
      <c r="W17" s="8" t="s">
        <v>5</v>
      </c>
      <c r="X17" s="22">
        <v>0.625</v>
      </c>
      <c r="Y17" s="6" t="s">
        <v>5</v>
      </c>
      <c r="Z17" s="6" t="s">
        <v>5</v>
      </c>
      <c r="AA17" s="7">
        <v>1.25</v>
      </c>
      <c r="AB17" s="8">
        <v>1.25</v>
      </c>
      <c r="AC17" s="8" t="s">
        <v>5</v>
      </c>
      <c r="AD17" s="7">
        <v>2.21</v>
      </c>
      <c r="AE17" s="7">
        <v>2.21</v>
      </c>
      <c r="AF17" s="6" t="s">
        <v>5</v>
      </c>
      <c r="AG17" s="22">
        <v>0.60599999999999998</v>
      </c>
      <c r="AH17" s="22">
        <v>0.60599999999999998</v>
      </c>
      <c r="AI17" s="6" t="s">
        <v>5</v>
      </c>
      <c r="AJ17" s="6">
        <v>12.8</v>
      </c>
      <c r="AK17" s="6" t="s">
        <v>5</v>
      </c>
      <c r="AL17" s="6" t="s">
        <v>5</v>
      </c>
      <c r="AM17" s="6" t="s">
        <v>5</v>
      </c>
      <c r="AN17" s="6" t="s">
        <v>5</v>
      </c>
      <c r="AO17" s="4">
        <v>59.6</v>
      </c>
      <c r="AP17" s="4">
        <v>18.600000000000001</v>
      </c>
      <c r="AQ17" s="4">
        <v>10.3</v>
      </c>
      <c r="AR17" s="7">
        <v>2.48</v>
      </c>
      <c r="AS17" s="4">
        <v>59.6</v>
      </c>
      <c r="AT17" s="4">
        <v>18.600000000000001</v>
      </c>
      <c r="AU17" s="4">
        <v>10.3</v>
      </c>
      <c r="AV17" s="7">
        <v>2.48</v>
      </c>
      <c r="AW17" s="6">
        <v>24.2</v>
      </c>
      <c r="AX17" s="7">
        <v>1.58</v>
      </c>
      <c r="AY17" s="12">
        <v>7.73</v>
      </c>
      <c r="AZ17" s="7">
        <v>1.3</v>
      </c>
      <c r="BA17" s="7">
        <v>6.16</v>
      </c>
      <c r="BB17" s="6" t="s">
        <v>5</v>
      </c>
      <c r="BC17" s="6" t="s">
        <v>5</v>
      </c>
      <c r="BD17" s="6" t="s">
        <v>5</v>
      </c>
      <c r="BE17" s="6" t="s">
        <v>5</v>
      </c>
      <c r="BF17" s="6" t="s">
        <v>5</v>
      </c>
      <c r="BG17" s="6" t="s">
        <v>5</v>
      </c>
      <c r="BH17" s="6" t="s">
        <v>5</v>
      </c>
      <c r="BI17" s="7">
        <v>4.42</v>
      </c>
      <c r="BJ17" s="23">
        <v>0.63</v>
      </c>
      <c r="BK17" s="24">
        <v>1</v>
      </c>
      <c r="BL17" s="4">
        <v>95</v>
      </c>
      <c r="BM17" s="7">
        <v>5.44</v>
      </c>
      <c r="BN17" s="2">
        <v>0</v>
      </c>
      <c r="BO17" s="7">
        <v>5.44</v>
      </c>
      <c r="BP17" s="7">
        <v>2.75</v>
      </c>
      <c r="BQ17" s="6">
        <v>3.13</v>
      </c>
      <c r="BR17" s="6">
        <v>2.75</v>
      </c>
      <c r="BS17" s="16">
        <v>17.5</v>
      </c>
      <c r="BT17" s="16" t="s">
        <v>5</v>
      </c>
      <c r="BU17" s="16">
        <v>17.5</v>
      </c>
      <c r="BV17" s="26">
        <v>8.8000000000000007</v>
      </c>
      <c r="BW17" s="16">
        <v>7.73</v>
      </c>
      <c r="BX17" s="26">
        <v>8.8000000000000007</v>
      </c>
      <c r="BY17" s="25" t="s">
        <v>5</v>
      </c>
      <c r="BZ17" s="25" t="s">
        <v>5</v>
      </c>
      <c r="CA17" s="4">
        <v>24</v>
      </c>
      <c r="CB17" s="4">
        <v>24</v>
      </c>
      <c r="CC17" s="4">
        <v>32</v>
      </c>
      <c r="CD17" s="25" t="s">
        <v>5</v>
      </c>
      <c r="CE17" s="25" t="s">
        <v>5</v>
      </c>
      <c r="CF17" s="16" t="s">
        <v>5</v>
      </c>
      <c r="CG17" s="16" t="s">
        <v>5</v>
      </c>
      <c r="CH17" s="18" t="s">
        <v>5</v>
      </c>
      <c r="CL17" s="503" t="s">
        <v>502</v>
      </c>
      <c r="CM17" s="58" t="s">
        <v>503</v>
      </c>
      <c r="CN17" s="63" t="s">
        <v>504</v>
      </c>
      <c r="CO17" s="70">
        <v>42</v>
      </c>
      <c r="CP17" s="66">
        <v>60</v>
      </c>
      <c r="CS17" s="335" t="str">
        <f t="shared" si="1"/>
        <v>L8X8X3/4</v>
      </c>
      <c r="CT17" s="337">
        <v>11.5</v>
      </c>
      <c r="CV17" s="344" t="str">
        <f t="shared" si="2"/>
        <v>WT18X264.5</v>
      </c>
      <c r="CW17" s="337">
        <v>77.8</v>
      </c>
      <c r="DB17" s="335" t="str">
        <f t="shared" si="4"/>
        <v>ST6X20.4</v>
      </c>
      <c r="DC17" s="338">
        <v>5.96</v>
      </c>
      <c r="DE17" s="335" t="str">
        <f t="shared" si="5"/>
        <v>2L10X10X1-1/4</v>
      </c>
      <c r="DF17" s="337">
        <v>46.8</v>
      </c>
      <c r="DH17" s="397" t="s">
        <v>1280</v>
      </c>
      <c r="DI17" s="398">
        <v>81.5</v>
      </c>
      <c r="DJ17" s="398">
        <v>39.700000000000003</v>
      </c>
      <c r="DK17" s="399">
        <v>0.83</v>
      </c>
      <c r="DL17" s="398">
        <v>41.2</v>
      </c>
      <c r="DM17" s="400">
        <v>5.03</v>
      </c>
      <c r="DN17" s="401">
        <v>1250</v>
      </c>
      <c r="DO17" s="402">
        <v>1100</v>
      </c>
      <c r="DQ17" s="428" t="s">
        <v>1254</v>
      </c>
      <c r="DR17" s="429">
        <v>1890</v>
      </c>
      <c r="DS17" s="429">
        <v>25600</v>
      </c>
      <c r="DT17" s="430" t="s">
        <v>1259</v>
      </c>
      <c r="DU17" s="430">
        <v>1680</v>
      </c>
      <c r="DV17" s="429">
        <v>372</v>
      </c>
      <c r="DW17" s="431">
        <f t="shared" si="6"/>
        <v>1680</v>
      </c>
      <c r="DX17" s="432">
        <f t="shared" si="7"/>
        <v>29600</v>
      </c>
      <c r="DZ17" s="447" t="s">
        <v>1259</v>
      </c>
      <c r="EA17" s="448">
        <v>372</v>
      </c>
      <c r="EB17" s="448">
        <v>110</v>
      </c>
      <c r="EC17" s="448">
        <v>40.6</v>
      </c>
      <c r="ED17" s="448" t="s">
        <v>1639</v>
      </c>
      <c r="EE17" s="448">
        <v>1.1599999999999999</v>
      </c>
      <c r="EF17" s="448" t="s">
        <v>1640</v>
      </c>
      <c r="EG17" s="449">
        <v>45054</v>
      </c>
      <c r="EH17" s="448">
        <v>16.100000000000001</v>
      </c>
      <c r="EI17" s="448" t="s">
        <v>1637</v>
      </c>
      <c r="EJ17" s="448">
        <v>2.0499999999999998</v>
      </c>
      <c r="EK17" s="448" t="s">
        <v>1641</v>
      </c>
      <c r="EL17" s="448">
        <v>3.93</v>
      </c>
      <c r="EM17" s="448">
        <v>29.5</v>
      </c>
      <c r="EN17" s="448">
        <v>29600</v>
      </c>
      <c r="EO17" s="448">
        <v>1460</v>
      </c>
      <c r="EP17" s="448">
        <v>16.5</v>
      </c>
      <c r="EQ17" s="448">
        <v>1680</v>
      </c>
      <c r="ER17" s="448">
        <v>1420</v>
      </c>
      <c r="ES17" s="448">
        <v>177</v>
      </c>
      <c r="ET17" s="448">
        <v>3.6</v>
      </c>
      <c r="EU17" s="450">
        <v>277</v>
      </c>
    </row>
    <row r="18" spans="2:151" ht="14.4" customHeight="1">
      <c r="B18" s="78" t="s">
        <v>7</v>
      </c>
      <c r="C18" s="79" t="s">
        <v>23</v>
      </c>
      <c r="D18" s="80" t="s">
        <v>23</v>
      </c>
      <c r="E18" s="1" t="s">
        <v>4</v>
      </c>
      <c r="F18" s="4">
        <v>29.6</v>
      </c>
      <c r="G18" s="7">
        <v>8.77</v>
      </c>
      <c r="H18" s="3" t="str">
        <f t="shared" si="0"/>
        <v>L8X8X9/16</v>
      </c>
      <c r="I18" s="7">
        <v>8</v>
      </c>
      <c r="J18" s="5" t="s">
        <v>5</v>
      </c>
      <c r="K18" s="6" t="s">
        <v>5</v>
      </c>
      <c r="L18" s="6" t="s">
        <v>5</v>
      </c>
      <c r="M18" s="6" t="s">
        <v>5</v>
      </c>
      <c r="N18" s="6" t="s">
        <v>5</v>
      </c>
      <c r="O18" s="5" t="s">
        <v>5</v>
      </c>
      <c r="P18" s="5" t="s">
        <v>5</v>
      </c>
      <c r="Q18" s="7">
        <v>8</v>
      </c>
      <c r="R18" s="6" t="s">
        <v>5</v>
      </c>
      <c r="S18" s="6" t="s">
        <v>5</v>
      </c>
      <c r="T18" s="5" t="s">
        <v>5</v>
      </c>
      <c r="U18" s="8" t="s">
        <v>5</v>
      </c>
      <c r="V18" s="6" t="s">
        <v>5</v>
      </c>
      <c r="W18" s="8" t="s">
        <v>5</v>
      </c>
      <c r="X18" s="22">
        <v>0.56299999999999994</v>
      </c>
      <c r="Y18" s="6" t="s">
        <v>5</v>
      </c>
      <c r="Z18" s="6" t="s">
        <v>5</v>
      </c>
      <c r="AA18" s="7">
        <v>1.19</v>
      </c>
      <c r="AB18" s="8">
        <v>1.1875</v>
      </c>
      <c r="AC18" s="8" t="s">
        <v>5</v>
      </c>
      <c r="AD18" s="7">
        <v>2.19</v>
      </c>
      <c r="AE18" s="7">
        <v>2.19</v>
      </c>
      <c r="AF18" s="6" t="s">
        <v>5</v>
      </c>
      <c r="AG18" s="22">
        <v>0.54800000000000004</v>
      </c>
      <c r="AH18" s="22">
        <v>0.54800000000000004</v>
      </c>
      <c r="AI18" s="6" t="s">
        <v>5</v>
      </c>
      <c r="AJ18" s="6">
        <v>14.2</v>
      </c>
      <c r="AK18" s="6" t="s">
        <v>5</v>
      </c>
      <c r="AL18" s="6" t="s">
        <v>5</v>
      </c>
      <c r="AM18" s="6" t="s">
        <v>5</v>
      </c>
      <c r="AN18" s="6" t="s">
        <v>5</v>
      </c>
      <c r="AO18" s="4">
        <v>54.2</v>
      </c>
      <c r="AP18" s="4">
        <v>16.8</v>
      </c>
      <c r="AQ18" s="7">
        <v>9.33</v>
      </c>
      <c r="AR18" s="7">
        <v>2.4900000000000002</v>
      </c>
      <c r="AS18" s="4">
        <v>54.2</v>
      </c>
      <c r="AT18" s="4">
        <v>16.8</v>
      </c>
      <c r="AU18" s="7">
        <v>9.33</v>
      </c>
      <c r="AV18" s="7">
        <v>2.4900000000000002</v>
      </c>
      <c r="AW18" s="6">
        <v>21.9</v>
      </c>
      <c r="AX18" s="7">
        <v>1.58</v>
      </c>
      <c r="AY18" s="12">
        <v>7.06</v>
      </c>
      <c r="AZ18" s="22">
        <v>0.96099999999999997</v>
      </c>
      <c r="BA18" s="7">
        <v>4.55</v>
      </c>
      <c r="BB18" s="6" t="s">
        <v>5</v>
      </c>
      <c r="BC18" s="6" t="s">
        <v>5</v>
      </c>
      <c r="BD18" s="6" t="s">
        <v>5</v>
      </c>
      <c r="BE18" s="6" t="s">
        <v>5</v>
      </c>
      <c r="BF18" s="6" t="s">
        <v>5</v>
      </c>
      <c r="BG18" s="6" t="s">
        <v>5</v>
      </c>
      <c r="BH18" s="6" t="s">
        <v>5</v>
      </c>
      <c r="BI18" s="7">
        <v>4.43</v>
      </c>
      <c r="BJ18" s="23">
        <v>0.63</v>
      </c>
      <c r="BK18" s="24">
        <v>1</v>
      </c>
      <c r="BL18" s="6">
        <v>86.4</v>
      </c>
      <c r="BM18" s="7">
        <v>5.46</v>
      </c>
      <c r="BN18" s="2">
        <v>0</v>
      </c>
      <c r="BO18" s="7">
        <v>5.46</v>
      </c>
      <c r="BP18" s="7">
        <v>2.76</v>
      </c>
      <c r="BQ18" s="7">
        <v>3.1</v>
      </c>
      <c r="BR18" s="6">
        <v>2.76</v>
      </c>
      <c r="BS18" s="16">
        <v>15.8</v>
      </c>
      <c r="BT18" s="16" t="s">
        <v>5</v>
      </c>
      <c r="BU18" s="16">
        <v>15.8</v>
      </c>
      <c r="BV18" s="16">
        <v>7.93</v>
      </c>
      <c r="BW18" s="16">
        <v>7.06</v>
      </c>
      <c r="BX18" s="16">
        <v>7.93</v>
      </c>
      <c r="BY18" s="25" t="s">
        <v>5</v>
      </c>
      <c r="BZ18" s="25" t="s">
        <v>5</v>
      </c>
      <c r="CA18" s="4">
        <v>24</v>
      </c>
      <c r="CB18" s="4">
        <v>24</v>
      </c>
      <c r="CC18" s="4">
        <v>32</v>
      </c>
      <c r="CD18" s="25" t="s">
        <v>5</v>
      </c>
      <c r="CE18" s="25" t="s">
        <v>5</v>
      </c>
      <c r="CF18" s="16" t="s">
        <v>5</v>
      </c>
      <c r="CG18" s="16" t="s">
        <v>5</v>
      </c>
      <c r="CH18" s="18" t="s">
        <v>5</v>
      </c>
      <c r="CL18" s="504"/>
      <c r="CM18" s="59" t="s">
        <v>505</v>
      </c>
      <c r="CN18" s="64" t="s">
        <v>495</v>
      </c>
      <c r="CO18" s="71">
        <v>50</v>
      </c>
      <c r="CP18" s="67">
        <v>65</v>
      </c>
      <c r="CS18" s="335" t="str">
        <f t="shared" si="1"/>
        <v>L8X8X3/4</v>
      </c>
      <c r="CT18" s="337">
        <v>11.5</v>
      </c>
      <c r="CV18" s="344" t="str">
        <f t="shared" si="2"/>
        <v>WT20X251.5</v>
      </c>
      <c r="CW18" s="337">
        <v>74</v>
      </c>
      <c r="DB18" s="335" t="str">
        <f t="shared" si="4"/>
        <v>ST5X17.5</v>
      </c>
      <c r="DC18" s="338">
        <v>5.14</v>
      </c>
      <c r="DE18" s="335" t="str">
        <f t="shared" si="5"/>
        <v>2L12X12X1</v>
      </c>
      <c r="DF18" s="337">
        <v>46</v>
      </c>
      <c r="DH18" s="397" t="s">
        <v>1290</v>
      </c>
      <c r="DI18" s="398">
        <v>73.5</v>
      </c>
      <c r="DJ18" s="398">
        <v>39.4</v>
      </c>
      <c r="DK18" s="399">
        <v>0.75</v>
      </c>
      <c r="DL18" s="398">
        <v>45.6</v>
      </c>
      <c r="DM18" s="400">
        <v>5.55</v>
      </c>
      <c r="DN18" s="401">
        <v>1120</v>
      </c>
      <c r="DO18" s="402">
        <v>993</v>
      </c>
      <c r="DQ18" s="428" t="s">
        <v>1255</v>
      </c>
      <c r="DR18" s="429">
        <v>1830</v>
      </c>
      <c r="DS18" s="429">
        <v>15900</v>
      </c>
      <c r="DT18" s="430" t="s">
        <v>1261</v>
      </c>
      <c r="DU18" s="430">
        <v>1640</v>
      </c>
      <c r="DV18" s="429">
        <v>362</v>
      </c>
      <c r="DW18" s="431">
        <f t="shared" si="6"/>
        <v>1640</v>
      </c>
      <c r="DX18" s="432">
        <f t="shared" si="7"/>
        <v>28900</v>
      </c>
      <c r="DZ18" s="447" t="s">
        <v>1261</v>
      </c>
      <c r="EA18" s="448">
        <v>362</v>
      </c>
      <c r="EB18" s="448">
        <v>106</v>
      </c>
      <c r="EC18" s="448">
        <v>40.6</v>
      </c>
      <c r="ED18" s="448" t="s">
        <v>1642</v>
      </c>
      <c r="EE18" s="448">
        <v>1.1200000000000001</v>
      </c>
      <c r="EF18" s="448" t="s">
        <v>1643</v>
      </c>
      <c r="EG18" s="449">
        <v>45185</v>
      </c>
      <c r="EH18" s="448">
        <v>16</v>
      </c>
      <c r="EI18" s="448">
        <v>16</v>
      </c>
      <c r="EJ18" s="448">
        <v>2.0099999999999998</v>
      </c>
      <c r="EK18" s="448">
        <v>2</v>
      </c>
      <c r="EL18" s="448">
        <v>3.99</v>
      </c>
      <c r="EM18" s="448">
        <v>30.5</v>
      </c>
      <c r="EN18" s="448">
        <v>28900</v>
      </c>
      <c r="EO18" s="448">
        <v>1420</v>
      </c>
      <c r="EP18" s="448">
        <v>16.5</v>
      </c>
      <c r="EQ18" s="448">
        <v>1640</v>
      </c>
      <c r="ER18" s="448">
        <v>1380</v>
      </c>
      <c r="ES18" s="448">
        <v>173</v>
      </c>
      <c r="ET18" s="448">
        <v>3.6</v>
      </c>
      <c r="EU18" s="450">
        <v>270</v>
      </c>
    </row>
    <row r="19" spans="2:151">
      <c r="B19" s="78" t="s">
        <v>7</v>
      </c>
      <c r="C19" s="79" t="s">
        <v>24</v>
      </c>
      <c r="D19" s="80" t="s">
        <v>24</v>
      </c>
      <c r="E19" s="1" t="s">
        <v>4</v>
      </c>
      <c r="F19" s="4">
        <v>26.4</v>
      </c>
      <c r="G19" s="7">
        <v>7.84</v>
      </c>
      <c r="H19" s="3" t="str">
        <f t="shared" si="0"/>
        <v>L8X8X1/2</v>
      </c>
      <c r="I19" s="7">
        <v>8</v>
      </c>
      <c r="J19" s="5" t="s">
        <v>5</v>
      </c>
      <c r="K19" s="6" t="s">
        <v>5</v>
      </c>
      <c r="L19" s="6" t="s">
        <v>5</v>
      </c>
      <c r="M19" s="6" t="s">
        <v>5</v>
      </c>
      <c r="N19" s="6" t="s">
        <v>5</v>
      </c>
      <c r="O19" s="5" t="s">
        <v>5</v>
      </c>
      <c r="P19" s="5" t="s">
        <v>5</v>
      </c>
      <c r="Q19" s="7">
        <v>8</v>
      </c>
      <c r="R19" s="6" t="s">
        <v>5</v>
      </c>
      <c r="S19" s="6" t="s">
        <v>5</v>
      </c>
      <c r="T19" s="5" t="s">
        <v>5</v>
      </c>
      <c r="U19" s="8" t="s">
        <v>5</v>
      </c>
      <c r="V19" s="6" t="s">
        <v>5</v>
      </c>
      <c r="W19" s="8" t="s">
        <v>5</v>
      </c>
      <c r="X19" s="22">
        <v>0.5</v>
      </c>
      <c r="Y19" s="6" t="s">
        <v>5</v>
      </c>
      <c r="Z19" s="6" t="s">
        <v>5</v>
      </c>
      <c r="AA19" s="7">
        <v>1.1299999999999999</v>
      </c>
      <c r="AB19" s="8">
        <v>1.125</v>
      </c>
      <c r="AC19" s="8" t="s">
        <v>5</v>
      </c>
      <c r="AD19" s="7">
        <v>2.17</v>
      </c>
      <c r="AE19" s="7">
        <v>2.17</v>
      </c>
      <c r="AF19" s="6" t="s">
        <v>5</v>
      </c>
      <c r="AG19" s="22">
        <v>0.49</v>
      </c>
      <c r="AH19" s="22">
        <v>0.49</v>
      </c>
      <c r="AI19" s="6" t="s">
        <v>5</v>
      </c>
      <c r="AJ19" s="4">
        <v>16</v>
      </c>
      <c r="AK19" s="6" t="s">
        <v>5</v>
      </c>
      <c r="AL19" s="6" t="s">
        <v>5</v>
      </c>
      <c r="AM19" s="6" t="s">
        <v>5</v>
      </c>
      <c r="AN19" s="6" t="s">
        <v>5</v>
      </c>
      <c r="AO19" s="4">
        <v>48.8</v>
      </c>
      <c r="AP19" s="4">
        <v>15.1</v>
      </c>
      <c r="AQ19" s="7">
        <v>8.36</v>
      </c>
      <c r="AR19" s="7">
        <v>2.4900000000000002</v>
      </c>
      <c r="AS19" s="4">
        <v>48.8</v>
      </c>
      <c r="AT19" s="4">
        <v>15.1</v>
      </c>
      <c r="AU19" s="7">
        <v>8.36</v>
      </c>
      <c r="AV19" s="7">
        <v>2.4900000000000002</v>
      </c>
      <c r="AW19" s="6">
        <v>19.8</v>
      </c>
      <c r="AX19" s="7">
        <v>1.59</v>
      </c>
      <c r="AY19" s="12">
        <v>6.45</v>
      </c>
      <c r="AZ19" s="22">
        <v>0.68300000000000005</v>
      </c>
      <c r="BA19" s="7">
        <v>3.23</v>
      </c>
      <c r="BB19" s="6" t="s">
        <v>5</v>
      </c>
      <c r="BC19" s="6" t="s">
        <v>5</v>
      </c>
      <c r="BD19" s="6" t="s">
        <v>5</v>
      </c>
      <c r="BE19" s="6" t="s">
        <v>5</v>
      </c>
      <c r="BF19" s="6" t="s">
        <v>5</v>
      </c>
      <c r="BG19" s="6" t="s">
        <v>5</v>
      </c>
      <c r="BH19" s="6" t="s">
        <v>5</v>
      </c>
      <c r="BI19" s="7">
        <v>4.45</v>
      </c>
      <c r="BJ19" s="23">
        <v>0.63</v>
      </c>
      <c r="BK19" s="24">
        <v>1</v>
      </c>
      <c r="BL19" s="6">
        <v>77.900000000000006</v>
      </c>
      <c r="BM19" s="7">
        <v>5.48</v>
      </c>
      <c r="BN19" s="2">
        <v>0</v>
      </c>
      <c r="BO19" s="7">
        <v>5.48</v>
      </c>
      <c r="BP19" s="7">
        <v>2.76</v>
      </c>
      <c r="BQ19" s="6">
        <v>3.07</v>
      </c>
      <c r="BR19" s="6">
        <v>2.76</v>
      </c>
      <c r="BS19" s="16">
        <v>14.2</v>
      </c>
      <c r="BT19" s="16" t="s">
        <v>5</v>
      </c>
      <c r="BU19" s="16">
        <v>14.2</v>
      </c>
      <c r="BV19" s="16">
        <v>7.17</v>
      </c>
      <c r="BW19" s="16">
        <v>6.45</v>
      </c>
      <c r="BX19" s="16">
        <v>7.17</v>
      </c>
      <c r="BY19" s="25" t="s">
        <v>5</v>
      </c>
      <c r="BZ19" s="25" t="s">
        <v>5</v>
      </c>
      <c r="CA19" s="4">
        <v>24</v>
      </c>
      <c r="CB19" s="4">
        <v>24</v>
      </c>
      <c r="CC19" s="4">
        <v>32</v>
      </c>
      <c r="CD19" s="25" t="s">
        <v>5</v>
      </c>
      <c r="CE19" s="25" t="s">
        <v>5</v>
      </c>
      <c r="CF19" s="16" t="s">
        <v>5</v>
      </c>
      <c r="CG19" s="16" t="s">
        <v>5</v>
      </c>
      <c r="CH19" s="18" t="s">
        <v>5</v>
      </c>
      <c r="CL19" s="504"/>
      <c r="CM19" s="59" t="s">
        <v>506</v>
      </c>
      <c r="CN19" s="64" t="s">
        <v>497</v>
      </c>
      <c r="CO19" s="71">
        <v>55</v>
      </c>
      <c r="CP19" s="67">
        <v>70</v>
      </c>
      <c r="CS19" s="335" t="str">
        <f t="shared" si="1"/>
        <v>L8X4X1</v>
      </c>
      <c r="CT19" s="337">
        <v>11.1</v>
      </c>
      <c r="CV19" s="344" t="str">
        <f t="shared" si="2"/>
        <v>WT7X250</v>
      </c>
      <c r="CW19" s="337">
        <v>73.5</v>
      </c>
      <c r="DB19" s="335" t="str">
        <f>VLOOKUP(DC19,$G$437:$H$464,2,FALSE)</f>
        <v>ST6X17.5</v>
      </c>
      <c r="DC19" s="338">
        <v>5.12</v>
      </c>
      <c r="DE19" s="335" t="str">
        <f t="shared" si="5"/>
        <v>2L12X12X1</v>
      </c>
      <c r="DF19" s="337">
        <v>46</v>
      </c>
      <c r="DH19" s="397" t="s">
        <v>1301</v>
      </c>
      <c r="DI19" s="398">
        <v>63.5</v>
      </c>
      <c r="DJ19" s="398">
        <v>39</v>
      </c>
      <c r="DK19" s="399">
        <v>0.65</v>
      </c>
      <c r="DL19" s="398">
        <v>52.6</v>
      </c>
      <c r="DM19" s="400">
        <v>6.45</v>
      </c>
      <c r="DN19" s="401">
        <v>964</v>
      </c>
      <c r="DO19" s="402">
        <v>859</v>
      </c>
      <c r="DQ19" s="433" t="s">
        <v>1256</v>
      </c>
      <c r="DR19" s="430">
        <v>1800</v>
      </c>
      <c r="DS19" s="429">
        <v>32000</v>
      </c>
      <c r="DT19" s="430" t="s">
        <v>1262</v>
      </c>
      <c r="DU19" s="430">
        <v>1620</v>
      </c>
      <c r="DV19" s="429">
        <v>335</v>
      </c>
      <c r="DW19" s="431">
        <f t="shared" si="6"/>
        <v>1620</v>
      </c>
      <c r="DX19" s="432">
        <f t="shared" si="7"/>
        <v>31100</v>
      </c>
      <c r="DZ19" s="447" t="s">
        <v>1266</v>
      </c>
      <c r="EA19" s="448">
        <v>324</v>
      </c>
      <c r="EB19" s="448">
        <v>95.3</v>
      </c>
      <c r="EC19" s="448">
        <v>40.200000000000003</v>
      </c>
      <c r="ED19" s="448" t="s">
        <v>1644</v>
      </c>
      <c r="EE19" s="448">
        <v>1</v>
      </c>
      <c r="EF19" s="448">
        <v>1</v>
      </c>
      <c r="EG19" s="449">
        <v>44928</v>
      </c>
      <c r="EH19" s="448">
        <v>15.9</v>
      </c>
      <c r="EI19" s="448" t="s">
        <v>1617</v>
      </c>
      <c r="EJ19" s="448">
        <v>1.81</v>
      </c>
      <c r="EK19" s="448" t="s">
        <v>1627</v>
      </c>
      <c r="EL19" s="448">
        <v>4.4000000000000004</v>
      </c>
      <c r="EM19" s="448">
        <v>34.200000000000003</v>
      </c>
      <c r="EN19" s="448">
        <v>25600</v>
      </c>
      <c r="EO19" s="448">
        <v>1280</v>
      </c>
      <c r="EP19" s="448">
        <v>16.399999999999999</v>
      </c>
      <c r="EQ19" s="448">
        <v>1460</v>
      </c>
      <c r="ER19" s="448">
        <v>1220</v>
      </c>
      <c r="ES19" s="448">
        <v>153</v>
      </c>
      <c r="ET19" s="448">
        <v>3.58</v>
      </c>
      <c r="EU19" s="450">
        <v>239</v>
      </c>
    </row>
    <row r="20" spans="2:151">
      <c r="B20" s="78" t="s">
        <v>7</v>
      </c>
      <c r="C20" s="79" t="s">
        <v>25</v>
      </c>
      <c r="D20" s="80" t="s">
        <v>25</v>
      </c>
      <c r="E20" s="1" t="s">
        <v>4</v>
      </c>
      <c r="F20" s="4">
        <v>44.2</v>
      </c>
      <c r="G20" s="4">
        <v>13.1</v>
      </c>
      <c r="H20" s="3" t="str">
        <f t="shared" si="0"/>
        <v>L8X6X1</v>
      </c>
      <c r="I20" s="7">
        <v>6</v>
      </c>
      <c r="J20" s="5" t="s">
        <v>5</v>
      </c>
      <c r="K20" s="6" t="s">
        <v>5</v>
      </c>
      <c r="L20" s="6" t="s">
        <v>5</v>
      </c>
      <c r="M20" s="6" t="s">
        <v>5</v>
      </c>
      <c r="N20" s="6" t="s">
        <v>5</v>
      </c>
      <c r="O20" s="5" t="s">
        <v>5</v>
      </c>
      <c r="P20" s="5" t="s">
        <v>5</v>
      </c>
      <c r="Q20" s="7">
        <v>8</v>
      </c>
      <c r="R20" s="6" t="s">
        <v>5</v>
      </c>
      <c r="S20" s="6" t="s">
        <v>5</v>
      </c>
      <c r="T20" s="5" t="s">
        <v>5</v>
      </c>
      <c r="U20" s="8" t="s">
        <v>5</v>
      </c>
      <c r="V20" s="6" t="s">
        <v>5</v>
      </c>
      <c r="W20" s="8" t="s">
        <v>5</v>
      </c>
      <c r="X20" s="7">
        <v>1</v>
      </c>
      <c r="Y20" s="6" t="s">
        <v>5</v>
      </c>
      <c r="Z20" s="6" t="s">
        <v>5</v>
      </c>
      <c r="AA20" s="7">
        <v>1.5</v>
      </c>
      <c r="AB20" s="8">
        <v>1.5</v>
      </c>
      <c r="AC20" s="8" t="s">
        <v>5</v>
      </c>
      <c r="AD20" s="7">
        <v>1.65</v>
      </c>
      <c r="AE20" s="7">
        <v>2.65</v>
      </c>
      <c r="AF20" s="6" t="s">
        <v>5</v>
      </c>
      <c r="AG20" s="22">
        <v>0.81899999999999995</v>
      </c>
      <c r="AH20" s="7">
        <v>1.45</v>
      </c>
      <c r="AI20" s="6" t="s">
        <v>5</v>
      </c>
      <c r="AJ20" s="7">
        <v>8</v>
      </c>
      <c r="AK20" s="6" t="s">
        <v>5</v>
      </c>
      <c r="AL20" s="6" t="s">
        <v>5</v>
      </c>
      <c r="AM20" s="6" t="s">
        <v>5</v>
      </c>
      <c r="AN20" s="6" t="s">
        <v>5</v>
      </c>
      <c r="AO20" s="4">
        <v>80.900000000000006</v>
      </c>
      <c r="AP20" s="4">
        <v>27.3</v>
      </c>
      <c r="AQ20" s="4">
        <v>15.1</v>
      </c>
      <c r="AR20" s="7">
        <v>2.4900000000000002</v>
      </c>
      <c r="AS20" s="4">
        <v>38.799999999999997</v>
      </c>
      <c r="AT20" s="4">
        <v>16.2</v>
      </c>
      <c r="AU20" s="7">
        <v>8.92</v>
      </c>
      <c r="AV20" s="7">
        <v>1.72</v>
      </c>
      <c r="AW20" s="6">
        <v>21.3</v>
      </c>
      <c r="AX20" s="7">
        <v>1.28</v>
      </c>
      <c r="AY20" s="12">
        <v>7.61</v>
      </c>
      <c r="AZ20" s="7">
        <v>4.34</v>
      </c>
      <c r="BA20" s="4">
        <v>16.3</v>
      </c>
      <c r="BB20" s="6" t="s">
        <v>5</v>
      </c>
      <c r="BC20" s="6" t="s">
        <v>5</v>
      </c>
      <c r="BD20" s="6" t="s">
        <v>5</v>
      </c>
      <c r="BE20" s="6" t="s">
        <v>5</v>
      </c>
      <c r="BF20" s="6" t="s">
        <v>5</v>
      </c>
      <c r="BG20" s="6" t="s">
        <v>5</v>
      </c>
      <c r="BH20" s="6" t="s">
        <v>5</v>
      </c>
      <c r="BI20" s="7">
        <v>3.88</v>
      </c>
      <c r="BJ20" s="24" t="s">
        <v>5</v>
      </c>
      <c r="BK20" s="23">
        <v>0.54200000000000004</v>
      </c>
      <c r="BL20" s="6">
        <v>98.4</v>
      </c>
      <c r="BM20" s="7">
        <v>3.96</v>
      </c>
      <c r="BN20" s="6">
        <v>1.54</v>
      </c>
      <c r="BO20" s="7">
        <v>5.25</v>
      </c>
      <c r="BP20" s="7">
        <v>2.8</v>
      </c>
      <c r="BQ20" s="6">
        <v>2.71</v>
      </c>
      <c r="BR20" s="6">
        <v>1.54</v>
      </c>
      <c r="BS20" s="16">
        <v>24.8</v>
      </c>
      <c r="BT20" s="16">
        <v>63.9</v>
      </c>
      <c r="BU20" s="16">
        <v>18.7</v>
      </c>
      <c r="BV20" s="16">
        <v>7.61</v>
      </c>
      <c r="BW20" s="16">
        <v>7.86</v>
      </c>
      <c r="BX20" s="16">
        <v>13.8</v>
      </c>
      <c r="BY20" s="25" t="s">
        <v>5</v>
      </c>
      <c r="BZ20" s="25" t="s">
        <v>5</v>
      </c>
      <c r="CA20" s="4">
        <v>22</v>
      </c>
      <c r="CB20" s="4">
        <v>20</v>
      </c>
      <c r="CC20" s="4">
        <v>28</v>
      </c>
      <c r="CD20" s="25" t="s">
        <v>5</v>
      </c>
      <c r="CE20" s="25" t="s">
        <v>5</v>
      </c>
      <c r="CF20" s="16" t="s">
        <v>5</v>
      </c>
      <c r="CG20" s="16" t="s">
        <v>5</v>
      </c>
      <c r="CH20" s="18" t="s">
        <v>5</v>
      </c>
      <c r="CL20" s="504"/>
      <c r="CM20" s="59" t="s">
        <v>507</v>
      </c>
      <c r="CN20" s="64" t="s">
        <v>508</v>
      </c>
      <c r="CO20" s="71">
        <v>60</v>
      </c>
      <c r="CP20" s="67">
        <v>75</v>
      </c>
      <c r="CS20" s="335" t="str">
        <f t="shared" si="1"/>
        <v>L6X6X1</v>
      </c>
      <c r="CT20" s="337">
        <v>11</v>
      </c>
      <c r="CV20" s="344" t="str">
        <f t="shared" si="2"/>
        <v>WT18X243.5</v>
      </c>
      <c r="CW20" s="337">
        <v>71.7</v>
      </c>
      <c r="DB20" s="335" t="str">
        <f t="shared" si="4"/>
        <v>ST6X15.9</v>
      </c>
      <c r="DC20" s="338">
        <v>4.6500000000000004</v>
      </c>
      <c r="DE20" s="335" t="str">
        <f t="shared" si="5"/>
        <v>2L12X12X1</v>
      </c>
      <c r="DF20" s="337">
        <v>46</v>
      </c>
      <c r="DH20" s="397" t="s">
        <v>1310</v>
      </c>
      <c r="DI20" s="398">
        <v>58.8</v>
      </c>
      <c r="DJ20" s="398">
        <v>38.700000000000003</v>
      </c>
      <c r="DK20" s="399">
        <v>0.65</v>
      </c>
      <c r="DL20" s="398">
        <v>52.6</v>
      </c>
      <c r="DM20" s="400">
        <v>7.39</v>
      </c>
      <c r="DN20" s="401">
        <v>869</v>
      </c>
      <c r="DO20" s="402">
        <v>770</v>
      </c>
      <c r="DQ20" s="433" t="s">
        <v>1257</v>
      </c>
      <c r="DR20" s="430">
        <v>1710</v>
      </c>
      <c r="DS20" s="429">
        <v>29900</v>
      </c>
      <c r="DT20" s="430" t="s">
        <v>1266</v>
      </c>
      <c r="DU20" s="430">
        <v>1460</v>
      </c>
      <c r="DV20" s="429">
        <v>324</v>
      </c>
      <c r="DW20" s="431">
        <f t="shared" si="6"/>
        <v>1460</v>
      </c>
      <c r="DX20" s="432">
        <f t="shared" si="7"/>
        <v>25600</v>
      </c>
      <c r="DZ20" s="447" t="s">
        <v>1273</v>
      </c>
      <c r="EA20" s="448">
        <v>297</v>
      </c>
      <c r="EB20" s="448">
        <v>87.3</v>
      </c>
      <c r="EC20" s="448">
        <v>39.799999999999997</v>
      </c>
      <c r="ED20" s="448" t="s">
        <v>1645</v>
      </c>
      <c r="EE20" s="448">
        <v>0.93</v>
      </c>
      <c r="EF20" s="448" t="s">
        <v>1628</v>
      </c>
      <c r="EG20" s="449">
        <v>44928</v>
      </c>
      <c r="EH20" s="448">
        <v>15.8</v>
      </c>
      <c r="EI20" s="448" t="s">
        <v>1617</v>
      </c>
      <c r="EJ20" s="448">
        <v>1.65</v>
      </c>
      <c r="EK20" s="448" t="s">
        <v>1646</v>
      </c>
      <c r="EL20" s="448">
        <v>4.8</v>
      </c>
      <c r="EM20" s="448">
        <v>36.799999999999997</v>
      </c>
      <c r="EN20" s="448">
        <v>23200</v>
      </c>
      <c r="EO20" s="448">
        <v>1170</v>
      </c>
      <c r="EP20" s="448">
        <v>16.3</v>
      </c>
      <c r="EQ20" s="448">
        <v>1330</v>
      </c>
      <c r="ER20" s="448">
        <v>1090</v>
      </c>
      <c r="ES20" s="448">
        <v>138</v>
      </c>
      <c r="ET20" s="448">
        <v>3.54</v>
      </c>
      <c r="EU20" s="450">
        <v>215</v>
      </c>
    </row>
    <row r="21" spans="2:151">
      <c r="B21" s="78" t="s">
        <v>7</v>
      </c>
      <c r="C21" s="79" t="s">
        <v>26</v>
      </c>
      <c r="D21" s="80" t="s">
        <v>26</v>
      </c>
      <c r="E21" s="1" t="s">
        <v>4</v>
      </c>
      <c r="F21" s="4">
        <v>39.1</v>
      </c>
      <c r="G21" s="4">
        <v>11.5</v>
      </c>
      <c r="H21" s="3" t="str">
        <f t="shared" si="0"/>
        <v>L8X6X7/8</v>
      </c>
      <c r="I21" s="7">
        <v>6</v>
      </c>
      <c r="J21" s="5" t="s">
        <v>5</v>
      </c>
      <c r="K21" s="6" t="s">
        <v>5</v>
      </c>
      <c r="L21" s="6" t="s">
        <v>5</v>
      </c>
      <c r="M21" s="6" t="s">
        <v>5</v>
      </c>
      <c r="N21" s="6" t="s">
        <v>5</v>
      </c>
      <c r="O21" s="5" t="s">
        <v>5</v>
      </c>
      <c r="P21" s="5" t="s">
        <v>5</v>
      </c>
      <c r="Q21" s="7">
        <v>8</v>
      </c>
      <c r="R21" s="6" t="s">
        <v>5</v>
      </c>
      <c r="S21" s="6" t="s">
        <v>5</v>
      </c>
      <c r="T21" s="5" t="s">
        <v>5</v>
      </c>
      <c r="U21" s="8" t="s">
        <v>5</v>
      </c>
      <c r="V21" s="6" t="s">
        <v>5</v>
      </c>
      <c r="W21" s="8" t="s">
        <v>5</v>
      </c>
      <c r="X21" s="22">
        <v>0.875</v>
      </c>
      <c r="Y21" s="6" t="s">
        <v>5</v>
      </c>
      <c r="Z21" s="6" t="s">
        <v>5</v>
      </c>
      <c r="AA21" s="7">
        <v>1.38</v>
      </c>
      <c r="AB21" s="8">
        <v>1.375</v>
      </c>
      <c r="AC21" s="8" t="s">
        <v>5</v>
      </c>
      <c r="AD21" s="7">
        <v>1.6</v>
      </c>
      <c r="AE21" s="7">
        <v>2.6</v>
      </c>
      <c r="AF21" s="6" t="s">
        <v>5</v>
      </c>
      <c r="AG21" s="22">
        <v>0.71899999999999997</v>
      </c>
      <c r="AH21" s="7">
        <v>1.43</v>
      </c>
      <c r="AI21" s="6" t="s">
        <v>5</v>
      </c>
      <c r="AJ21" s="7">
        <v>9.14</v>
      </c>
      <c r="AK21" s="6" t="s">
        <v>5</v>
      </c>
      <c r="AL21" s="6" t="s">
        <v>5</v>
      </c>
      <c r="AM21" s="6" t="s">
        <v>5</v>
      </c>
      <c r="AN21" s="6" t="s">
        <v>5</v>
      </c>
      <c r="AO21" s="4">
        <v>72.400000000000006</v>
      </c>
      <c r="AP21" s="4">
        <v>24.3</v>
      </c>
      <c r="AQ21" s="4">
        <v>13.4</v>
      </c>
      <c r="AR21" s="7">
        <v>2.5</v>
      </c>
      <c r="AS21" s="4">
        <v>34.9</v>
      </c>
      <c r="AT21" s="4">
        <v>14.4</v>
      </c>
      <c r="AU21" s="7">
        <v>7.94</v>
      </c>
      <c r="AV21" s="7">
        <v>1.74</v>
      </c>
      <c r="AW21" s="6">
        <v>18.899999999999999</v>
      </c>
      <c r="AX21" s="7">
        <v>1.28</v>
      </c>
      <c r="AY21" s="27">
        <v>6.7</v>
      </c>
      <c r="AZ21" s="7">
        <v>2.96</v>
      </c>
      <c r="BA21" s="4">
        <v>11.3</v>
      </c>
      <c r="BB21" s="6" t="s">
        <v>5</v>
      </c>
      <c r="BC21" s="6" t="s">
        <v>5</v>
      </c>
      <c r="BD21" s="6" t="s">
        <v>5</v>
      </c>
      <c r="BE21" s="6" t="s">
        <v>5</v>
      </c>
      <c r="BF21" s="6" t="s">
        <v>5</v>
      </c>
      <c r="BG21" s="6" t="s">
        <v>5</v>
      </c>
      <c r="BH21" s="6" t="s">
        <v>5</v>
      </c>
      <c r="BI21" s="7">
        <v>3.92</v>
      </c>
      <c r="BJ21" s="24" t="s">
        <v>5</v>
      </c>
      <c r="BK21" s="23">
        <v>0.54600000000000004</v>
      </c>
      <c r="BL21" s="6">
        <v>88.4</v>
      </c>
      <c r="BM21" s="7">
        <v>4.01</v>
      </c>
      <c r="BN21" s="6">
        <v>1.51</v>
      </c>
      <c r="BO21" s="7">
        <v>5.3</v>
      </c>
      <c r="BP21" s="7">
        <v>2.82</v>
      </c>
      <c r="BQ21" s="6">
        <v>2.65</v>
      </c>
      <c r="BR21" s="6">
        <v>1.57</v>
      </c>
      <c r="BS21" s="17">
        <v>22</v>
      </c>
      <c r="BT21" s="16">
        <v>58.5</v>
      </c>
      <c r="BU21" s="16">
        <v>16.7</v>
      </c>
      <c r="BV21" s="26">
        <v>6.7</v>
      </c>
      <c r="BW21" s="16">
        <v>7.13</v>
      </c>
      <c r="BX21" s="17">
        <v>12</v>
      </c>
      <c r="BY21" s="25" t="s">
        <v>5</v>
      </c>
      <c r="BZ21" s="25" t="s">
        <v>5</v>
      </c>
      <c r="CA21" s="4">
        <v>22</v>
      </c>
      <c r="CB21" s="4">
        <v>20</v>
      </c>
      <c r="CC21" s="4">
        <v>28</v>
      </c>
      <c r="CD21" s="25" t="s">
        <v>5</v>
      </c>
      <c r="CE21" s="25" t="s">
        <v>5</v>
      </c>
      <c r="CF21" s="16" t="s">
        <v>5</v>
      </c>
      <c r="CG21" s="16" t="s">
        <v>5</v>
      </c>
      <c r="CH21" s="18" t="s">
        <v>5</v>
      </c>
      <c r="CL21" s="504"/>
      <c r="CM21" s="59" t="s">
        <v>509</v>
      </c>
      <c r="CN21" s="64" t="s">
        <v>510</v>
      </c>
      <c r="CO21" s="71">
        <v>65</v>
      </c>
      <c r="CP21" s="67">
        <v>80</v>
      </c>
      <c r="CS21" s="335" t="str">
        <f t="shared" si="1"/>
        <v>L8X6X3/4</v>
      </c>
      <c r="CT21" s="338">
        <v>9.99</v>
      </c>
      <c r="CV21" s="344" t="str">
        <f t="shared" si="2"/>
        <v>WT7X227.5</v>
      </c>
      <c r="CW21" s="337">
        <v>66.900000000000006</v>
      </c>
      <c r="DB21" s="335" t="str">
        <f t="shared" si="4"/>
        <v>ST5X12.7</v>
      </c>
      <c r="DC21" s="338">
        <v>3.72</v>
      </c>
      <c r="DE21" s="335" t="str">
        <f t="shared" si="5"/>
        <v>2L10X10X1-1/8</v>
      </c>
      <c r="DF21" s="337">
        <v>42.6</v>
      </c>
      <c r="DH21" s="397" t="s">
        <v>1257</v>
      </c>
      <c r="DI21" s="401">
        <v>116</v>
      </c>
      <c r="DJ21" s="398">
        <v>41.6</v>
      </c>
      <c r="DK21" s="400">
        <v>1.42</v>
      </c>
      <c r="DL21" s="398">
        <v>24.1</v>
      </c>
      <c r="DM21" s="400">
        <v>2.4500000000000002</v>
      </c>
      <c r="DN21" s="401">
        <v>1710</v>
      </c>
      <c r="DO21" s="402">
        <v>1440</v>
      </c>
      <c r="DP21" s="117"/>
      <c r="DQ21" s="428" t="s">
        <v>1258</v>
      </c>
      <c r="DR21" s="429">
        <v>1710</v>
      </c>
      <c r="DS21" s="429">
        <v>28500</v>
      </c>
      <c r="DT21" s="430" t="s">
        <v>1270</v>
      </c>
      <c r="DU21" s="430">
        <v>1410</v>
      </c>
      <c r="DV21" s="429">
        <v>290</v>
      </c>
      <c r="DW21" s="431">
        <f t="shared" si="6"/>
        <v>1410</v>
      </c>
      <c r="DX21" s="432">
        <f t="shared" si="7"/>
        <v>27000</v>
      </c>
      <c r="DZ21" s="447" t="s">
        <v>1280</v>
      </c>
      <c r="EA21" s="448">
        <v>277</v>
      </c>
      <c r="EB21" s="448">
        <v>81.5</v>
      </c>
      <c r="EC21" s="448">
        <v>39.700000000000003</v>
      </c>
      <c r="ED21" s="448" t="s">
        <v>1647</v>
      </c>
      <c r="EE21" s="448">
        <v>0.83</v>
      </c>
      <c r="EF21" s="448" t="s">
        <v>1620</v>
      </c>
      <c r="EG21" s="449">
        <v>45123</v>
      </c>
      <c r="EH21" s="448">
        <v>15.8</v>
      </c>
      <c r="EI21" s="448" t="s">
        <v>1617</v>
      </c>
      <c r="EJ21" s="448">
        <v>1.58</v>
      </c>
      <c r="EK21" s="448" t="s">
        <v>1618</v>
      </c>
      <c r="EL21" s="448">
        <v>5.03</v>
      </c>
      <c r="EM21" s="448">
        <v>41.2</v>
      </c>
      <c r="EN21" s="448">
        <v>21900</v>
      </c>
      <c r="EO21" s="448">
        <v>1100</v>
      </c>
      <c r="EP21" s="448">
        <v>16.399999999999999</v>
      </c>
      <c r="EQ21" s="448">
        <v>1250</v>
      </c>
      <c r="ER21" s="448">
        <v>1040</v>
      </c>
      <c r="ES21" s="448">
        <v>132</v>
      </c>
      <c r="ET21" s="448">
        <v>3.58</v>
      </c>
      <c r="EU21" s="450">
        <v>204</v>
      </c>
    </row>
    <row r="22" spans="2:151" ht="12.6" customHeight="1">
      <c r="B22" s="78" t="s">
        <v>7</v>
      </c>
      <c r="C22" s="79" t="s">
        <v>27</v>
      </c>
      <c r="D22" s="80" t="s">
        <v>27</v>
      </c>
      <c r="E22" s="1" t="s">
        <v>4</v>
      </c>
      <c r="F22" s="4">
        <v>33.799999999999997</v>
      </c>
      <c r="G22" s="7">
        <v>9.99</v>
      </c>
      <c r="H22" s="3" t="str">
        <f t="shared" si="0"/>
        <v>L8X6X3/4</v>
      </c>
      <c r="I22" s="7">
        <v>6</v>
      </c>
      <c r="J22" s="5" t="s">
        <v>5</v>
      </c>
      <c r="K22" s="6" t="s">
        <v>5</v>
      </c>
      <c r="L22" s="6" t="s">
        <v>5</v>
      </c>
      <c r="M22" s="6" t="s">
        <v>5</v>
      </c>
      <c r="N22" s="6" t="s">
        <v>5</v>
      </c>
      <c r="O22" s="5" t="s">
        <v>5</v>
      </c>
      <c r="P22" s="5" t="s">
        <v>5</v>
      </c>
      <c r="Q22" s="7">
        <v>8</v>
      </c>
      <c r="R22" s="6" t="s">
        <v>5</v>
      </c>
      <c r="S22" s="6" t="s">
        <v>5</v>
      </c>
      <c r="T22" s="5" t="s">
        <v>5</v>
      </c>
      <c r="U22" s="8" t="s">
        <v>5</v>
      </c>
      <c r="V22" s="6" t="s">
        <v>5</v>
      </c>
      <c r="W22" s="8" t="s">
        <v>5</v>
      </c>
      <c r="X22" s="22">
        <v>0.75</v>
      </c>
      <c r="Y22" s="6" t="s">
        <v>5</v>
      </c>
      <c r="Z22" s="6" t="s">
        <v>5</v>
      </c>
      <c r="AA22" s="7">
        <v>1.25</v>
      </c>
      <c r="AB22" s="8">
        <v>1.25</v>
      </c>
      <c r="AC22" s="8" t="s">
        <v>5</v>
      </c>
      <c r="AD22" s="7">
        <v>1.56</v>
      </c>
      <c r="AE22" s="7">
        <v>2.5499999999999998</v>
      </c>
      <c r="AF22" s="6" t="s">
        <v>5</v>
      </c>
      <c r="AG22" s="22">
        <v>0.624</v>
      </c>
      <c r="AH22" s="7">
        <v>1.34</v>
      </c>
      <c r="AI22" s="6" t="s">
        <v>5</v>
      </c>
      <c r="AJ22" s="4">
        <v>10.7</v>
      </c>
      <c r="AK22" s="6" t="s">
        <v>5</v>
      </c>
      <c r="AL22" s="6" t="s">
        <v>5</v>
      </c>
      <c r="AM22" s="6" t="s">
        <v>5</v>
      </c>
      <c r="AN22" s="6" t="s">
        <v>5</v>
      </c>
      <c r="AO22" s="4">
        <v>63.5</v>
      </c>
      <c r="AP22" s="4">
        <v>21.1</v>
      </c>
      <c r="AQ22" s="4">
        <v>11.7</v>
      </c>
      <c r="AR22" s="7">
        <v>2.52</v>
      </c>
      <c r="AS22" s="4">
        <v>30.8</v>
      </c>
      <c r="AT22" s="4">
        <v>12.5</v>
      </c>
      <c r="AU22" s="7">
        <v>6.92</v>
      </c>
      <c r="AV22" s="7">
        <v>1.75</v>
      </c>
      <c r="AW22" s="6">
        <v>16.600000000000001</v>
      </c>
      <c r="AX22" s="7">
        <v>1.29</v>
      </c>
      <c r="AY22" s="12">
        <v>5.85</v>
      </c>
      <c r="AZ22" s="7">
        <v>1.9</v>
      </c>
      <c r="BA22" s="7">
        <v>7.28</v>
      </c>
      <c r="BB22" s="6" t="s">
        <v>5</v>
      </c>
      <c r="BC22" s="6" t="s">
        <v>5</v>
      </c>
      <c r="BD22" s="6" t="s">
        <v>5</v>
      </c>
      <c r="BE22" s="6" t="s">
        <v>5</v>
      </c>
      <c r="BF22" s="6" t="s">
        <v>5</v>
      </c>
      <c r="BG22" s="6" t="s">
        <v>5</v>
      </c>
      <c r="BH22" s="6" t="s">
        <v>5</v>
      </c>
      <c r="BI22" s="7">
        <v>3.95</v>
      </c>
      <c r="BJ22" s="24" t="s">
        <v>5</v>
      </c>
      <c r="BK22" s="23">
        <v>0.55000000000000004</v>
      </c>
      <c r="BL22" s="6">
        <v>77.8</v>
      </c>
      <c r="BM22" s="7">
        <v>4.05</v>
      </c>
      <c r="BN22" s="7">
        <v>1.48</v>
      </c>
      <c r="BO22" s="7">
        <v>5.35</v>
      </c>
      <c r="BP22" s="7">
        <v>2.84</v>
      </c>
      <c r="BQ22" s="7">
        <v>2.6</v>
      </c>
      <c r="BR22" s="6">
        <v>1.59</v>
      </c>
      <c r="BS22" s="16">
        <v>19.2</v>
      </c>
      <c r="BT22" s="16">
        <v>52.6</v>
      </c>
      <c r="BU22" s="16">
        <v>14.5</v>
      </c>
      <c r="BV22" s="16">
        <v>5.85</v>
      </c>
      <c r="BW22" s="16">
        <v>6.38</v>
      </c>
      <c r="BX22" s="16">
        <v>10.4</v>
      </c>
      <c r="BY22" s="25" t="s">
        <v>5</v>
      </c>
      <c r="BZ22" s="25" t="s">
        <v>5</v>
      </c>
      <c r="CA22" s="4">
        <v>22</v>
      </c>
      <c r="CB22" s="4">
        <v>20</v>
      </c>
      <c r="CC22" s="4">
        <v>28</v>
      </c>
      <c r="CD22" s="25" t="s">
        <v>5</v>
      </c>
      <c r="CE22" s="25" t="s">
        <v>5</v>
      </c>
      <c r="CF22" s="16" t="s">
        <v>5</v>
      </c>
      <c r="CG22" s="16" t="s">
        <v>5</v>
      </c>
      <c r="CH22" s="18" t="s">
        <v>5</v>
      </c>
      <c r="CL22" s="504"/>
      <c r="CM22" s="59" t="s">
        <v>511</v>
      </c>
      <c r="CN22" s="64" t="s">
        <v>512</v>
      </c>
      <c r="CO22" s="71">
        <v>50</v>
      </c>
      <c r="CP22" s="67">
        <v>70</v>
      </c>
      <c r="CS22" s="335" t="str">
        <f t="shared" si="1"/>
        <v>L8X4X7/8</v>
      </c>
      <c r="CT22" s="338">
        <v>9.7899999999999991</v>
      </c>
      <c r="CV22" s="344" t="str">
        <f t="shared" si="2"/>
        <v>WT18X220.5</v>
      </c>
      <c r="CW22" s="337">
        <v>64.900000000000006</v>
      </c>
      <c r="DB22" s="335" t="str">
        <f t="shared" si="4"/>
        <v>ST4X11.5</v>
      </c>
      <c r="DC22" s="338">
        <v>3.38</v>
      </c>
      <c r="DE22" s="335" t="str">
        <f t="shared" si="5"/>
        <v>2L10X10X1-1/8</v>
      </c>
      <c r="DF22" s="337">
        <v>42.6</v>
      </c>
      <c r="DH22" s="397" t="s">
        <v>1268</v>
      </c>
      <c r="DI22" s="398">
        <v>97.7</v>
      </c>
      <c r="DJ22" s="398">
        <v>40.799999999999997</v>
      </c>
      <c r="DK22" s="400">
        <v>1.22</v>
      </c>
      <c r="DL22" s="398">
        <v>28</v>
      </c>
      <c r="DM22" s="400">
        <v>2.86</v>
      </c>
      <c r="DN22" s="401">
        <v>1430</v>
      </c>
      <c r="DO22" s="402">
        <v>1210</v>
      </c>
      <c r="DP22" s="117"/>
      <c r="DQ22" s="433" t="s">
        <v>1259</v>
      </c>
      <c r="DR22" s="430">
        <v>1680</v>
      </c>
      <c r="DS22" s="429">
        <v>29600</v>
      </c>
      <c r="DT22" s="430" t="s">
        <v>1277</v>
      </c>
      <c r="DU22" s="430">
        <v>1270</v>
      </c>
      <c r="DV22" s="429">
        <v>262</v>
      </c>
      <c r="DW22" s="431">
        <f t="shared" si="6"/>
        <v>1270</v>
      </c>
      <c r="DX22" s="432">
        <f t="shared" si="7"/>
        <v>24100</v>
      </c>
      <c r="DZ22" s="447" t="s">
        <v>1290</v>
      </c>
      <c r="EA22" s="448">
        <v>249</v>
      </c>
      <c r="EB22" s="448">
        <v>73.5</v>
      </c>
      <c r="EC22" s="448">
        <v>39.4</v>
      </c>
      <c r="ED22" s="448" t="s">
        <v>1648</v>
      </c>
      <c r="EE22" s="448">
        <v>0.75</v>
      </c>
      <c r="EF22" s="449">
        <v>44989</v>
      </c>
      <c r="EG22" s="449">
        <v>44993</v>
      </c>
      <c r="EH22" s="448">
        <v>15.8</v>
      </c>
      <c r="EI22" s="448" t="s">
        <v>1621</v>
      </c>
      <c r="EJ22" s="448">
        <v>1.42</v>
      </c>
      <c r="EK22" s="448" t="s">
        <v>1622</v>
      </c>
      <c r="EL22" s="448">
        <v>5.55</v>
      </c>
      <c r="EM22" s="448">
        <v>45.6</v>
      </c>
      <c r="EN22" s="448">
        <v>19600</v>
      </c>
      <c r="EO22" s="448">
        <v>993</v>
      </c>
      <c r="EP22" s="448">
        <v>16.3</v>
      </c>
      <c r="EQ22" s="448">
        <v>1120</v>
      </c>
      <c r="ER22" s="448">
        <v>926</v>
      </c>
      <c r="ES22" s="448">
        <v>118</v>
      </c>
      <c r="ET22" s="448">
        <v>3.55</v>
      </c>
      <c r="EU22" s="450">
        <v>182</v>
      </c>
    </row>
    <row r="23" spans="2:151" ht="13.2" customHeight="1">
      <c r="B23" s="78" t="s">
        <v>7</v>
      </c>
      <c r="C23" s="79" t="s">
        <v>28</v>
      </c>
      <c r="D23" s="80" t="s">
        <v>28</v>
      </c>
      <c r="E23" s="1" t="s">
        <v>4</v>
      </c>
      <c r="F23" s="4">
        <v>28.5</v>
      </c>
      <c r="G23" s="7">
        <v>8.41</v>
      </c>
      <c r="H23" s="3" t="str">
        <f t="shared" si="0"/>
        <v>L8X6X5/8</v>
      </c>
      <c r="I23" s="7">
        <v>6</v>
      </c>
      <c r="J23" s="5" t="s">
        <v>5</v>
      </c>
      <c r="K23" s="6" t="s">
        <v>5</v>
      </c>
      <c r="L23" s="6" t="s">
        <v>5</v>
      </c>
      <c r="M23" s="6" t="s">
        <v>5</v>
      </c>
      <c r="N23" s="6" t="s">
        <v>5</v>
      </c>
      <c r="O23" s="5" t="s">
        <v>5</v>
      </c>
      <c r="P23" s="5" t="s">
        <v>5</v>
      </c>
      <c r="Q23" s="7">
        <v>8</v>
      </c>
      <c r="R23" s="6" t="s">
        <v>5</v>
      </c>
      <c r="S23" s="6" t="s">
        <v>5</v>
      </c>
      <c r="T23" s="5" t="s">
        <v>5</v>
      </c>
      <c r="U23" s="8" t="s">
        <v>5</v>
      </c>
      <c r="V23" s="6" t="s">
        <v>5</v>
      </c>
      <c r="W23" s="8" t="s">
        <v>5</v>
      </c>
      <c r="X23" s="22">
        <v>0.625</v>
      </c>
      <c r="Y23" s="6" t="s">
        <v>5</v>
      </c>
      <c r="Z23" s="6" t="s">
        <v>5</v>
      </c>
      <c r="AA23" s="7">
        <v>1.1299999999999999</v>
      </c>
      <c r="AB23" s="8">
        <v>1.125</v>
      </c>
      <c r="AC23" s="8" t="s">
        <v>5</v>
      </c>
      <c r="AD23" s="7">
        <v>1.51</v>
      </c>
      <c r="AE23" s="7">
        <v>2.5</v>
      </c>
      <c r="AF23" s="6" t="s">
        <v>5</v>
      </c>
      <c r="AG23" s="22">
        <v>0.52600000000000002</v>
      </c>
      <c r="AH23" s="7">
        <v>1.27</v>
      </c>
      <c r="AI23" s="6" t="s">
        <v>5</v>
      </c>
      <c r="AJ23" s="4">
        <v>12.8</v>
      </c>
      <c r="AK23" s="6" t="s">
        <v>5</v>
      </c>
      <c r="AL23" s="6" t="s">
        <v>5</v>
      </c>
      <c r="AM23" s="6" t="s">
        <v>5</v>
      </c>
      <c r="AN23" s="6" t="s">
        <v>5</v>
      </c>
      <c r="AO23" s="4">
        <v>54.2</v>
      </c>
      <c r="AP23" s="4">
        <v>17.899999999999999</v>
      </c>
      <c r="AQ23" s="7">
        <v>9.86</v>
      </c>
      <c r="AR23" s="7">
        <v>2.54</v>
      </c>
      <c r="AS23" s="4">
        <v>26.4</v>
      </c>
      <c r="AT23" s="4">
        <v>10.5</v>
      </c>
      <c r="AU23" s="7">
        <v>5.88</v>
      </c>
      <c r="AV23" s="7">
        <v>1.77</v>
      </c>
      <c r="AW23" s="6">
        <v>14.1</v>
      </c>
      <c r="AX23" s="7">
        <v>1.29</v>
      </c>
      <c r="AY23" s="12">
        <v>4.91</v>
      </c>
      <c r="AZ23" s="7">
        <v>1.1200000000000001</v>
      </c>
      <c r="BA23" s="7">
        <v>4.33</v>
      </c>
      <c r="BB23" s="6" t="s">
        <v>5</v>
      </c>
      <c r="BC23" s="6" t="s">
        <v>5</v>
      </c>
      <c r="BD23" s="6" t="s">
        <v>5</v>
      </c>
      <c r="BE23" s="6" t="s">
        <v>5</v>
      </c>
      <c r="BF23" s="6" t="s">
        <v>5</v>
      </c>
      <c r="BG23" s="6" t="s">
        <v>5</v>
      </c>
      <c r="BH23" s="6" t="s">
        <v>5</v>
      </c>
      <c r="BI23" s="7">
        <v>3.98</v>
      </c>
      <c r="BJ23" s="24" t="s">
        <v>5</v>
      </c>
      <c r="BK23" s="23">
        <v>0.55400000000000005</v>
      </c>
      <c r="BL23" s="6">
        <v>66.5</v>
      </c>
      <c r="BM23" s="7">
        <v>4.09</v>
      </c>
      <c r="BN23" s="6">
        <v>1.45</v>
      </c>
      <c r="BO23" s="7">
        <v>5.39</v>
      </c>
      <c r="BP23" s="7">
        <v>2.87</v>
      </c>
      <c r="BQ23" s="6">
        <v>2.5299999999999998</v>
      </c>
      <c r="BR23" s="6">
        <v>1.62</v>
      </c>
      <c r="BS23" s="16">
        <v>16.3</v>
      </c>
      <c r="BT23" s="16">
        <v>45.9</v>
      </c>
      <c r="BU23" s="16">
        <v>12.3</v>
      </c>
      <c r="BV23" s="16">
        <v>4.91</v>
      </c>
      <c r="BW23" s="16">
        <v>5.57</v>
      </c>
      <c r="BX23" s="26">
        <v>8.6999999999999993</v>
      </c>
      <c r="BY23" s="25" t="s">
        <v>5</v>
      </c>
      <c r="BZ23" s="25" t="s">
        <v>5</v>
      </c>
      <c r="CA23" s="4">
        <v>22</v>
      </c>
      <c r="CB23" s="4">
        <v>20</v>
      </c>
      <c r="CC23" s="4">
        <v>28</v>
      </c>
      <c r="CD23" s="25" t="s">
        <v>5</v>
      </c>
      <c r="CE23" s="25" t="s">
        <v>5</v>
      </c>
      <c r="CF23" s="16" t="s">
        <v>5</v>
      </c>
      <c r="CG23" s="16" t="s">
        <v>5</v>
      </c>
      <c r="CH23" s="18" t="s">
        <v>5</v>
      </c>
      <c r="CL23" s="504"/>
      <c r="CM23" s="59" t="s">
        <v>513</v>
      </c>
      <c r="CN23" s="64" t="s">
        <v>514</v>
      </c>
      <c r="CO23" s="71">
        <v>50</v>
      </c>
      <c r="CP23" s="67">
        <v>65</v>
      </c>
      <c r="CS23" s="335" t="str">
        <f t="shared" si="1"/>
        <v>L6X6X7/8</v>
      </c>
      <c r="CT23" s="338">
        <v>9.75</v>
      </c>
      <c r="CV23" s="344" t="str">
        <f t="shared" si="2"/>
        <v>WT20X215.5</v>
      </c>
      <c r="CW23" s="337">
        <v>63.3</v>
      </c>
      <c r="DB23" s="335" t="str">
        <f t="shared" si="4"/>
        <v>ST4X9.2</v>
      </c>
      <c r="DC23" s="338">
        <v>2.7</v>
      </c>
      <c r="DE23" s="335" t="str">
        <f t="shared" si="5"/>
        <v>2L10X10X1-1/8</v>
      </c>
      <c r="DF23" s="337">
        <v>42.6</v>
      </c>
      <c r="DH23" s="397" t="s">
        <v>1271</v>
      </c>
      <c r="DI23" s="398">
        <v>95.9</v>
      </c>
      <c r="DJ23" s="398">
        <v>40.799999999999997</v>
      </c>
      <c r="DK23" s="400">
        <v>1.18</v>
      </c>
      <c r="DL23" s="398">
        <v>29</v>
      </c>
      <c r="DM23" s="400">
        <v>2.85</v>
      </c>
      <c r="DN23" s="401">
        <v>1410</v>
      </c>
      <c r="DO23" s="402">
        <v>1200</v>
      </c>
      <c r="DP23" s="117"/>
      <c r="DQ23" s="428" t="s">
        <v>1260</v>
      </c>
      <c r="DR23" s="429">
        <v>1660</v>
      </c>
      <c r="DS23" s="429">
        <v>14300</v>
      </c>
      <c r="DT23" s="430" t="s">
        <v>1290</v>
      </c>
      <c r="DU23" s="430">
        <v>1120</v>
      </c>
      <c r="DV23" s="429">
        <v>249</v>
      </c>
      <c r="DW23" s="431">
        <f t="shared" si="6"/>
        <v>1120</v>
      </c>
      <c r="DX23" s="432">
        <f t="shared" si="7"/>
        <v>19600</v>
      </c>
      <c r="DZ23" s="447" t="s">
        <v>1301</v>
      </c>
      <c r="EA23" s="448">
        <v>215</v>
      </c>
      <c r="EB23" s="448">
        <v>63.5</v>
      </c>
      <c r="EC23" s="448">
        <v>39</v>
      </c>
      <c r="ED23" s="448">
        <v>39</v>
      </c>
      <c r="EE23" s="448">
        <v>0.65</v>
      </c>
      <c r="EF23" s="449">
        <v>45054</v>
      </c>
      <c r="EG23" s="449">
        <v>45062</v>
      </c>
      <c r="EH23" s="448">
        <v>15.8</v>
      </c>
      <c r="EI23" s="448" t="s">
        <v>1621</v>
      </c>
      <c r="EJ23" s="448">
        <v>1.22</v>
      </c>
      <c r="EK23" s="448" t="s">
        <v>1624</v>
      </c>
      <c r="EL23" s="448">
        <v>6.45</v>
      </c>
      <c r="EM23" s="448">
        <v>52.6</v>
      </c>
      <c r="EN23" s="448">
        <v>16700</v>
      </c>
      <c r="EO23" s="448">
        <v>859</v>
      </c>
      <c r="EP23" s="448">
        <v>16.2</v>
      </c>
      <c r="EQ23" s="448">
        <v>964</v>
      </c>
      <c r="ER23" s="448">
        <v>803</v>
      </c>
      <c r="ES23" s="448">
        <v>101</v>
      </c>
      <c r="ET23" s="448">
        <v>3.54</v>
      </c>
      <c r="EU23" s="450">
        <v>156</v>
      </c>
    </row>
    <row r="24" spans="2:151">
      <c r="B24" s="78" t="s">
        <v>7</v>
      </c>
      <c r="C24" s="79" t="s">
        <v>29</v>
      </c>
      <c r="D24" s="80" t="s">
        <v>29</v>
      </c>
      <c r="E24" s="1" t="s">
        <v>4</v>
      </c>
      <c r="F24" s="4">
        <v>25.7</v>
      </c>
      <c r="G24" s="7">
        <v>7.61</v>
      </c>
      <c r="H24" s="3" t="str">
        <f t="shared" si="0"/>
        <v>L8X6X9/16</v>
      </c>
      <c r="I24" s="7">
        <v>6</v>
      </c>
      <c r="J24" s="5" t="s">
        <v>5</v>
      </c>
      <c r="K24" s="6" t="s">
        <v>5</v>
      </c>
      <c r="L24" s="6" t="s">
        <v>5</v>
      </c>
      <c r="M24" s="6" t="s">
        <v>5</v>
      </c>
      <c r="N24" s="6" t="s">
        <v>5</v>
      </c>
      <c r="O24" s="5" t="s">
        <v>5</v>
      </c>
      <c r="P24" s="5" t="s">
        <v>5</v>
      </c>
      <c r="Q24" s="7">
        <v>8</v>
      </c>
      <c r="R24" s="6" t="s">
        <v>5</v>
      </c>
      <c r="S24" s="6" t="s">
        <v>5</v>
      </c>
      <c r="T24" s="5" t="s">
        <v>5</v>
      </c>
      <c r="U24" s="8" t="s">
        <v>5</v>
      </c>
      <c r="V24" s="6" t="s">
        <v>5</v>
      </c>
      <c r="W24" s="8" t="s">
        <v>5</v>
      </c>
      <c r="X24" s="22">
        <v>0.56299999999999994</v>
      </c>
      <c r="Y24" s="6" t="s">
        <v>5</v>
      </c>
      <c r="Z24" s="6" t="s">
        <v>5</v>
      </c>
      <c r="AA24" s="7">
        <v>1.06</v>
      </c>
      <c r="AB24" s="8">
        <v>1.0625</v>
      </c>
      <c r="AC24" s="8" t="s">
        <v>5</v>
      </c>
      <c r="AD24" s="7">
        <v>1.49</v>
      </c>
      <c r="AE24" s="7">
        <v>2.48</v>
      </c>
      <c r="AF24" s="6" t="s">
        <v>5</v>
      </c>
      <c r="AG24" s="22">
        <v>0.47599999999999998</v>
      </c>
      <c r="AH24" s="7">
        <v>1.24</v>
      </c>
      <c r="AI24" s="6" t="s">
        <v>5</v>
      </c>
      <c r="AJ24" s="4">
        <v>14.2</v>
      </c>
      <c r="AK24" s="6" t="s">
        <v>5</v>
      </c>
      <c r="AL24" s="6" t="s">
        <v>5</v>
      </c>
      <c r="AM24" s="6" t="s">
        <v>5</v>
      </c>
      <c r="AN24" s="6" t="s">
        <v>5</v>
      </c>
      <c r="AO24" s="4">
        <v>49.4</v>
      </c>
      <c r="AP24" s="4">
        <v>16.2</v>
      </c>
      <c r="AQ24" s="7">
        <v>8.94</v>
      </c>
      <c r="AR24" s="7">
        <v>2.5499999999999998</v>
      </c>
      <c r="AS24" s="4">
        <v>24.1</v>
      </c>
      <c r="AT24" s="7">
        <v>9.52</v>
      </c>
      <c r="AU24" s="7">
        <v>5.34</v>
      </c>
      <c r="AV24" s="7">
        <v>1.78</v>
      </c>
      <c r="AW24" s="6">
        <v>12.8</v>
      </c>
      <c r="AX24" s="7">
        <v>1.3</v>
      </c>
      <c r="AY24" s="12">
        <v>4.46</v>
      </c>
      <c r="AZ24" s="22">
        <v>0.82299999999999995</v>
      </c>
      <c r="BA24" s="7">
        <v>3.2</v>
      </c>
      <c r="BB24" s="6" t="s">
        <v>5</v>
      </c>
      <c r="BC24" s="6" t="s">
        <v>5</v>
      </c>
      <c r="BD24" s="6" t="s">
        <v>5</v>
      </c>
      <c r="BE24" s="6" t="s">
        <v>5</v>
      </c>
      <c r="BF24" s="6" t="s">
        <v>5</v>
      </c>
      <c r="BG24" s="6" t="s">
        <v>5</v>
      </c>
      <c r="BH24" s="6" t="s">
        <v>5</v>
      </c>
      <c r="BI24" s="7">
        <v>3.99</v>
      </c>
      <c r="BJ24" s="24" t="s">
        <v>5</v>
      </c>
      <c r="BK24" s="23">
        <v>0.55600000000000005</v>
      </c>
      <c r="BL24" s="6">
        <v>60.7</v>
      </c>
      <c r="BM24" s="7">
        <v>4.1100000000000003</v>
      </c>
      <c r="BN24" s="6">
        <v>1.44</v>
      </c>
      <c r="BO24" s="7">
        <v>5.41</v>
      </c>
      <c r="BP24" s="7">
        <v>2.87</v>
      </c>
      <c r="BQ24" s="6">
        <v>2.5099999999999998</v>
      </c>
      <c r="BR24" s="6">
        <v>1.62</v>
      </c>
      <c r="BS24" s="16">
        <v>14.8</v>
      </c>
      <c r="BT24" s="16">
        <v>42.2</v>
      </c>
      <c r="BU24" s="16">
        <v>11.2</v>
      </c>
      <c r="BV24" s="16">
        <v>4.46</v>
      </c>
      <c r="BW24" s="26">
        <v>5.0999999999999996</v>
      </c>
      <c r="BX24" s="26">
        <v>7.9</v>
      </c>
      <c r="BY24" s="25" t="s">
        <v>5</v>
      </c>
      <c r="BZ24" s="25" t="s">
        <v>5</v>
      </c>
      <c r="CA24" s="4">
        <v>22</v>
      </c>
      <c r="CB24" s="4">
        <v>20</v>
      </c>
      <c r="CC24" s="4">
        <v>28</v>
      </c>
      <c r="CD24" s="25" t="s">
        <v>5</v>
      </c>
      <c r="CE24" s="25" t="s">
        <v>5</v>
      </c>
      <c r="CF24" s="16" t="s">
        <v>5</v>
      </c>
      <c r="CG24" s="16" t="s">
        <v>5</v>
      </c>
      <c r="CH24" s="18" t="s">
        <v>5</v>
      </c>
      <c r="CL24" s="504"/>
      <c r="CM24" s="59" t="s">
        <v>515</v>
      </c>
      <c r="CN24" s="64">
        <v>50</v>
      </c>
      <c r="CO24" s="71">
        <v>50</v>
      </c>
      <c r="CP24" s="67">
        <v>65</v>
      </c>
      <c r="CS24" s="335" t="str">
        <f t="shared" si="1"/>
        <v>L8X8X5/8</v>
      </c>
      <c r="CT24" s="338">
        <v>9.69</v>
      </c>
      <c r="CV24" s="344" t="str">
        <f t="shared" si="2"/>
        <v>WT7X213</v>
      </c>
      <c r="CW24" s="337">
        <v>62.7</v>
      </c>
      <c r="DB24" s="335" t="str">
        <f>VLOOKUP(DC24,$G$437:$H$464,2,FALSE)</f>
        <v>ST3X8.6</v>
      </c>
      <c r="DC24" s="338">
        <v>2.5299999999999998</v>
      </c>
      <c r="DE24" s="335" t="str">
        <f t="shared" si="5"/>
        <v>2L10X10X1</v>
      </c>
      <c r="DF24" s="337">
        <v>38</v>
      </c>
      <c r="DH24" s="397" t="s">
        <v>1278</v>
      </c>
      <c r="DI24" s="398">
        <v>86.2</v>
      </c>
      <c r="DJ24" s="398">
        <v>40.4</v>
      </c>
      <c r="DK24" s="400">
        <v>1.06</v>
      </c>
      <c r="DL24" s="398">
        <v>32.200000000000003</v>
      </c>
      <c r="DM24" s="400">
        <v>3.11</v>
      </c>
      <c r="DN24" s="406">
        <v>1270</v>
      </c>
      <c r="DO24" s="402">
        <v>1080</v>
      </c>
      <c r="DP24" s="117"/>
      <c r="DQ24" s="428" t="s">
        <v>1261</v>
      </c>
      <c r="DR24" s="429">
        <v>1640</v>
      </c>
      <c r="DS24" s="429">
        <v>28900</v>
      </c>
      <c r="DT24" s="430" t="s">
        <v>1291</v>
      </c>
      <c r="DU24" s="430">
        <v>1100</v>
      </c>
      <c r="DV24" s="429">
        <v>230</v>
      </c>
      <c r="DW24" s="431">
        <f t="shared" si="6"/>
        <v>1100</v>
      </c>
      <c r="DX24" s="432">
        <f t="shared" si="7"/>
        <v>20800</v>
      </c>
      <c r="DZ24" s="447" t="s">
        <v>1310</v>
      </c>
      <c r="EA24" s="448">
        <v>199</v>
      </c>
      <c r="EB24" s="448">
        <v>58.8</v>
      </c>
      <c r="EC24" s="448">
        <v>38.700000000000003</v>
      </c>
      <c r="ED24" s="448" t="s">
        <v>1649</v>
      </c>
      <c r="EE24" s="448">
        <v>0.65</v>
      </c>
      <c r="EF24" s="449">
        <v>45054</v>
      </c>
      <c r="EG24" s="449">
        <v>45062</v>
      </c>
      <c r="EH24" s="448">
        <v>15.8</v>
      </c>
      <c r="EI24" s="448" t="s">
        <v>1621</v>
      </c>
      <c r="EJ24" s="448">
        <v>1.07</v>
      </c>
      <c r="EK24" s="448" t="s">
        <v>1650</v>
      </c>
      <c r="EL24" s="448">
        <v>7.39</v>
      </c>
      <c r="EM24" s="448">
        <v>52.6</v>
      </c>
      <c r="EN24" s="448">
        <v>14900</v>
      </c>
      <c r="EO24" s="448">
        <v>770</v>
      </c>
      <c r="EP24" s="448">
        <v>16</v>
      </c>
      <c r="EQ24" s="448">
        <v>869</v>
      </c>
      <c r="ER24" s="448">
        <v>695</v>
      </c>
      <c r="ES24" s="448">
        <v>88.2</v>
      </c>
      <c r="ET24" s="448">
        <v>3.45</v>
      </c>
      <c r="EU24" s="450">
        <v>137</v>
      </c>
    </row>
    <row r="25" spans="2:151">
      <c r="B25" s="78" t="s">
        <v>7</v>
      </c>
      <c r="C25" s="79" t="s">
        <v>30</v>
      </c>
      <c r="D25" s="80" t="s">
        <v>30</v>
      </c>
      <c r="E25" s="1" t="s">
        <v>4</v>
      </c>
      <c r="F25" s="4">
        <v>23</v>
      </c>
      <c r="G25" s="7">
        <v>6.8</v>
      </c>
      <c r="H25" s="3" t="str">
        <f t="shared" si="0"/>
        <v>L8X6X1/2</v>
      </c>
      <c r="I25" s="7">
        <v>6</v>
      </c>
      <c r="J25" s="5" t="s">
        <v>5</v>
      </c>
      <c r="K25" s="6" t="s">
        <v>5</v>
      </c>
      <c r="L25" s="6" t="s">
        <v>5</v>
      </c>
      <c r="M25" s="6" t="s">
        <v>5</v>
      </c>
      <c r="N25" s="6" t="s">
        <v>5</v>
      </c>
      <c r="O25" s="5" t="s">
        <v>5</v>
      </c>
      <c r="P25" s="5" t="s">
        <v>5</v>
      </c>
      <c r="Q25" s="7">
        <v>8</v>
      </c>
      <c r="R25" s="6" t="s">
        <v>5</v>
      </c>
      <c r="S25" s="6" t="s">
        <v>5</v>
      </c>
      <c r="T25" s="5" t="s">
        <v>5</v>
      </c>
      <c r="U25" s="8" t="s">
        <v>5</v>
      </c>
      <c r="V25" s="6" t="s">
        <v>5</v>
      </c>
      <c r="W25" s="8" t="s">
        <v>5</v>
      </c>
      <c r="X25" s="22">
        <v>0.5</v>
      </c>
      <c r="Y25" s="6" t="s">
        <v>5</v>
      </c>
      <c r="Z25" s="6" t="s">
        <v>5</v>
      </c>
      <c r="AA25" s="7">
        <v>1</v>
      </c>
      <c r="AB25" s="8">
        <v>1</v>
      </c>
      <c r="AC25" s="8" t="s">
        <v>5</v>
      </c>
      <c r="AD25" s="7">
        <v>1.46</v>
      </c>
      <c r="AE25" s="7">
        <v>2.46</v>
      </c>
      <c r="AF25" s="6" t="s">
        <v>5</v>
      </c>
      <c r="AG25" s="22">
        <v>0.42499999999999999</v>
      </c>
      <c r="AH25" s="7">
        <v>1.2</v>
      </c>
      <c r="AI25" s="6" t="s">
        <v>5</v>
      </c>
      <c r="AJ25" s="4">
        <v>16</v>
      </c>
      <c r="AK25" s="6" t="s">
        <v>5</v>
      </c>
      <c r="AL25" s="6" t="s">
        <v>5</v>
      </c>
      <c r="AM25" s="6" t="s">
        <v>5</v>
      </c>
      <c r="AN25" s="6" t="s">
        <v>5</v>
      </c>
      <c r="AO25" s="4">
        <v>44.4</v>
      </c>
      <c r="AP25" s="4">
        <v>14.6</v>
      </c>
      <c r="AQ25" s="7">
        <v>8.01</v>
      </c>
      <c r="AR25" s="7">
        <v>2.5499999999999998</v>
      </c>
      <c r="AS25" s="4">
        <v>21.7</v>
      </c>
      <c r="AT25" s="7">
        <v>8.52</v>
      </c>
      <c r="AU25" s="7">
        <v>4.79</v>
      </c>
      <c r="AV25" s="7">
        <v>1.79</v>
      </c>
      <c r="AW25" s="6">
        <v>11.5</v>
      </c>
      <c r="AX25" s="7">
        <v>1.3</v>
      </c>
      <c r="AY25" s="12">
        <v>3.98</v>
      </c>
      <c r="AZ25" s="22">
        <v>0.58399999999999996</v>
      </c>
      <c r="BA25" s="7">
        <v>2.2799999999999998</v>
      </c>
      <c r="BB25" s="6" t="s">
        <v>5</v>
      </c>
      <c r="BC25" s="6" t="s">
        <v>5</v>
      </c>
      <c r="BD25" s="6" t="s">
        <v>5</v>
      </c>
      <c r="BE25" s="6" t="s">
        <v>5</v>
      </c>
      <c r="BF25" s="6" t="s">
        <v>5</v>
      </c>
      <c r="BG25" s="6" t="s">
        <v>5</v>
      </c>
      <c r="BH25" s="6" t="s">
        <v>5</v>
      </c>
      <c r="BI25" s="7">
        <v>4.01</v>
      </c>
      <c r="BJ25" s="24" t="s">
        <v>5</v>
      </c>
      <c r="BK25" s="23">
        <v>0.55700000000000005</v>
      </c>
      <c r="BL25" s="6">
        <v>54.6</v>
      </c>
      <c r="BM25" s="7">
        <v>4.1399999999999997</v>
      </c>
      <c r="BN25" s="6">
        <v>1.44</v>
      </c>
      <c r="BO25" s="7">
        <v>5.43</v>
      </c>
      <c r="BP25" s="7">
        <v>2.89</v>
      </c>
      <c r="BQ25" s="6">
        <v>2.4700000000000002</v>
      </c>
      <c r="BR25" s="6">
        <v>1.64</v>
      </c>
      <c r="BS25" s="16">
        <v>13.2</v>
      </c>
      <c r="BT25" s="16">
        <v>37.9</v>
      </c>
      <c r="BU25" s="16">
        <v>10.1</v>
      </c>
      <c r="BV25" s="16">
        <v>3.98</v>
      </c>
      <c r="BW25" s="16">
        <v>4.66</v>
      </c>
      <c r="BX25" s="16">
        <v>7.01</v>
      </c>
      <c r="BY25" s="25" t="s">
        <v>5</v>
      </c>
      <c r="BZ25" s="25" t="s">
        <v>5</v>
      </c>
      <c r="CA25" s="4">
        <v>22</v>
      </c>
      <c r="CB25" s="4">
        <v>20</v>
      </c>
      <c r="CC25" s="4">
        <v>28</v>
      </c>
      <c r="CD25" s="25" t="s">
        <v>5</v>
      </c>
      <c r="CE25" s="25" t="s">
        <v>5</v>
      </c>
      <c r="CF25" s="16" t="s">
        <v>5</v>
      </c>
      <c r="CG25" s="16" t="s">
        <v>5</v>
      </c>
      <c r="CH25" s="18" t="s">
        <v>5</v>
      </c>
      <c r="CL25" s="504"/>
      <c r="CM25" s="59" t="s">
        <v>516</v>
      </c>
      <c r="CN25" s="64" t="s">
        <v>517</v>
      </c>
      <c r="CO25" s="71">
        <v>50</v>
      </c>
      <c r="CP25" s="67">
        <v>65</v>
      </c>
      <c r="CS25" s="335" t="str">
        <f t="shared" si="1"/>
        <v>L8X8X9/16</v>
      </c>
      <c r="CT25" s="338">
        <v>8.77</v>
      </c>
      <c r="CV25" s="344" t="str">
        <f t="shared" si="2"/>
        <v>WT7X199</v>
      </c>
      <c r="CW25" s="337">
        <v>58.4</v>
      </c>
      <c r="DB25" s="335" t="str">
        <f t="shared" si="4"/>
        <v>ST3X6.25</v>
      </c>
      <c r="DC25" s="338">
        <v>1.83</v>
      </c>
      <c r="DE25" s="335" t="str">
        <f t="shared" si="5"/>
        <v>2L10X10X1</v>
      </c>
      <c r="DF25" s="337">
        <v>38</v>
      </c>
      <c r="DH25" s="397" t="s">
        <v>1282</v>
      </c>
      <c r="DI25" s="398">
        <v>82.3</v>
      </c>
      <c r="DJ25" s="398">
        <v>40.200000000000003</v>
      </c>
      <c r="DK25" s="400">
        <v>1.03</v>
      </c>
      <c r="DL25" s="398">
        <v>33.299999999999997</v>
      </c>
      <c r="DM25" s="400">
        <v>3.31</v>
      </c>
      <c r="DN25" s="401">
        <v>1190</v>
      </c>
      <c r="DO25" s="402">
        <v>1020</v>
      </c>
      <c r="DP25" s="117"/>
      <c r="DQ25" s="428" t="s">
        <v>1262</v>
      </c>
      <c r="DR25" s="429">
        <v>1620</v>
      </c>
      <c r="DS25" s="429">
        <v>31100</v>
      </c>
      <c r="DT25" s="430" t="s">
        <v>1301</v>
      </c>
      <c r="DU25" s="430">
        <v>964</v>
      </c>
      <c r="DV25" s="429">
        <v>215</v>
      </c>
      <c r="DW25" s="431">
        <f t="shared" si="6"/>
        <v>964</v>
      </c>
      <c r="DX25" s="432">
        <f t="shared" si="7"/>
        <v>16700</v>
      </c>
      <c r="DZ25" s="447" t="s">
        <v>1257</v>
      </c>
      <c r="EA25" s="448">
        <v>392</v>
      </c>
      <c r="EB25" s="448">
        <v>116</v>
      </c>
      <c r="EC25" s="448">
        <v>41.6</v>
      </c>
      <c r="ED25" s="448" t="s">
        <v>1651</v>
      </c>
      <c r="EE25" s="448">
        <v>1.42</v>
      </c>
      <c r="EF25" s="448" t="s">
        <v>1622</v>
      </c>
      <c r="EG25" s="449">
        <v>44989</v>
      </c>
      <c r="EH25" s="448">
        <v>12.4</v>
      </c>
      <c r="EI25" s="448" t="s">
        <v>1652</v>
      </c>
      <c r="EJ25" s="448">
        <v>2.52</v>
      </c>
      <c r="EK25" s="448" t="s">
        <v>1653</v>
      </c>
      <c r="EL25" s="448">
        <v>2.4500000000000002</v>
      </c>
      <c r="EM25" s="448">
        <v>24.1</v>
      </c>
      <c r="EN25" s="448">
        <v>29900</v>
      </c>
      <c r="EO25" s="448">
        <v>1440</v>
      </c>
      <c r="EP25" s="448">
        <v>16.100000000000001</v>
      </c>
      <c r="EQ25" s="448">
        <v>1710</v>
      </c>
      <c r="ER25" s="448">
        <v>803</v>
      </c>
      <c r="ES25" s="448">
        <v>130</v>
      </c>
      <c r="ET25" s="448">
        <v>2.64</v>
      </c>
      <c r="EU25" s="450">
        <v>212</v>
      </c>
    </row>
    <row r="26" spans="2:151">
      <c r="B26" s="78" t="s">
        <v>7</v>
      </c>
      <c r="C26" s="79" t="s">
        <v>31</v>
      </c>
      <c r="D26" s="80" t="s">
        <v>31</v>
      </c>
      <c r="E26" s="1" t="s">
        <v>4</v>
      </c>
      <c r="F26" s="4">
        <v>20.2</v>
      </c>
      <c r="G26" s="7">
        <v>5.99</v>
      </c>
      <c r="H26" s="3" t="str">
        <f t="shared" si="0"/>
        <v>L8X6X7/16</v>
      </c>
      <c r="I26" s="7">
        <v>6</v>
      </c>
      <c r="J26" s="5" t="s">
        <v>5</v>
      </c>
      <c r="K26" s="6" t="s">
        <v>5</v>
      </c>
      <c r="L26" s="6" t="s">
        <v>5</v>
      </c>
      <c r="M26" s="6" t="s">
        <v>5</v>
      </c>
      <c r="N26" s="6" t="s">
        <v>5</v>
      </c>
      <c r="O26" s="5" t="s">
        <v>5</v>
      </c>
      <c r="P26" s="5" t="s">
        <v>5</v>
      </c>
      <c r="Q26" s="7">
        <v>8</v>
      </c>
      <c r="R26" s="6" t="s">
        <v>5</v>
      </c>
      <c r="S26" s="6" t="s">
        <v>5</v>
      </c>
      <c r="T26" s="5" t="s">
        <v>5</v>
      </c>
      <c r="U26" s="8" t="s">
        <v>5</v>
      </c>
      <c r="V26" s="6" t="s">
        <v>5</v>
      </c>
      <c r="W26" s="8" t="s">
        <v>5</v>
      </c>
      <c r="X26" s="22">
        <v>0.438</v>
      </c>
      <c r="Y26" s="6" t="s">
        <v>5</v>
      </c>
      <c r="Z26" s="6" t="s">
        <v>5</v>
      </c>
      <c r="AA26" s="22">
        <v>0.93799999999999994</v>
      </c>
      <c r="AB26" s="8">
        <v>0.9375</v>
      </c>
      <c r="AC26" s="8" t="s">
        <v>5</v>
      </c>
      <c r="AD26" s="7">
        <v>1.44</v>
      </c>
      <c r="AE26" s="7">
        <v>2.4300000000000002</v>
      </c>
      <c r="AF26" s="6" t="s">
        <v>5</v>
      </c>
      <c r="AG26" s="22">
        <v>0.374</v>
      </c>
      <c r="AH26" s="7">
        <v>1.1499999999999999</v>
      </c>
      <c r="AI26" s="6" t="s">
        <v>5</v>
      </c>
      <c r="AJ26" s="4">
        <v>18.3</v>
      </c>
      <c r="AK26" s="6" t="s">
        <v>5</v>
      </c>
      <c r="AL26" s="6" t="s">
        <v>5</v>
      </c>
      <c r="AM26" s="6" t="s">
        <v>5</v>
      </c>
      <c r="AN26" s="6" t="s">
        <v>5</v>
      </c>
      <c r="AO26" s="4">
        <v>39.299999999999997</v>
      </c>
      <c r="AP26" s="4">
        <v>12.9</v>
      </c>
      <c r="AQ26" s="7">
        <v>7.06</v>
      </c>
      <c r="AR26" s="7">
        <v>2.56</v>
      </c>
      <c r="AS26" s="4">
        <v>19.3</v>
      </c>
      <c r="AT26" s="7">
        <v>7.5</v>
      </c>
      <c r="AU26" s="7">
        <v>4.2300000000000004</v>
      </c>
      <c r="AV26" s="7">
        <v>1.8</v>
      </c>
      <c r="AW26" s="6">
        <v>10.199999999999999</v>
      </c>
      <c r="AX26" s="7">
        <v>1.31</v>
      </c>
      <c r="AY26" s="12">
        <v>3.52</v>
      </c>
      <c r="AZ26" s="22">
        <v>0.39600000000000002</v>
      </c>
      <c r="BA26" s="7">
        <v>1.55</v>
      </c>
      <c r="BB26" s="6" t="s">
        <v>5</v>
      </c>
      <c r="BC26" s="6" t="s">
        <v>5</v>
      </c>
      <c r="BD26" s="6" t="s">
        <v>5</v>
      </c>
      <c r="BE26" s="6" t="s">
        <v>5</v>
      </c>
      <c r="BF26" s="6" t="s">
        <v>5</v>
      </c>
      <c r="BG26" s="6" t="s">
        <v>5</v>
      </c>
      <c r="BH26" s="6" t="s">
        <v>5</v>
      </c>
      <c r="BI26" s="7">
        <v>4.0199999999999996</v>
      </c>
      <c r="BJ26" s="24" t="s">
        <v>5</v>
      </c>
      <c r="BK26" s="23">
        <v>0.55900000000000005</v>
      </c>
      <c r="BL26" s="6">
        <v>48.4</v>
      </c>
      <c r="BM26" s="7">
        <v>4.16</v>
      </c>
      <c r="BN26" s="6">
        <v>1.42</v>
      </c>
      <c r="BO26" s="7">
        <v>5.46</v>
      </c>
      <c r="BP26" s="7">
        <v>2.9</v>
      </c>
      <c r="BQ26" s="6">
        <v>2.44</v>
      </c>
      <c r="BR26" s="6">
        <v>1.65</v>
      </c>
      <c r="BS26" s="16">
        <v>11.6</v>
      </c>
      <c r="BT26" s="16">
        <v>34.1</v>
      </c>
      <c r="BU26" s="16">
        <v>8.86</v>
      </c>
      <c r="BV26" s="16">
        <v>3.52</v>
      </c>
      <c r="BW26" s="16">
        <v>4.18</v>
      </c>
      <c r="BX26" s="16">
        <v>6.18</v>
      </c>
      <c r="BY26" s="25" t="s">
        <v>5</v>
      </c>
      <c r="BZ26" s="25" t="s">
        <v>5</v>
      </c>
      <c r="CA26" s="4">
        <v>22</v>
      </c>
      <c r="CB26" s="4">
        <v>20</v>
      </c>
      <c r="CC26" s="4">
        <v>28</v>
      </c>
      <c r="CD26" s="25" t="s">
        <v>5</v>
      </c>
      <c r="CE26" s="25" t="s">
        <v>5</v>
      </c>
      <c r="CF26" s="16" t="s">
        <v>5</v>
      </c>
      <c r="CG26" s="16" t="s">
        <v>5</v>
      </c>
      <c r="CH26" s="18" t="s">
        <v>5</v>
      </c>
      <c r="CL26" s="504"/>
      <c r="CM26" s="59" t="s">
        <v>518</v>
      </c>
      <c r="CN26" s="64" t="s">
        <v>519</v>
      </c>
      <c r="CO26" s="71">
        <v>50</v>
      </c>
      <c r="CP26" s="67">
        <v>70</v>
      </c>
      <c r="CS26" s="335" t="str">
        <f t="shared" si="1"/>
        <v>L8X4X3/4</v>
      </c>
      <c r="CT26" s="338">
        <v>8.49</v>
      </c>
      <c r="CV26" s="344" t="str">
        <f t="shared" si="2"/>
        <v>WT20X198.5</v>
      </c>
      <c r="CW26" s="337">
        <v>58.3</v>
      </c>
      <c r="DB26" s="335" t="str">
        <f t="shared" si="4"/>
        <v>ST2.5X5</v>
      </c>
      <c r="DC26" s="338">
        <v>1.46</v>
      </c>
      <c r="DE26" s="335" t="str">
        <f t="shared" si="5"/>
        <v>2L10X10X1</v>
      </c>
      <c r="DF26" s="337">
        <v>38</v>
      </c>
      <c r="DH26" s="397" t="s">
        <v>1287</v>
      </c>
      <c r="DI26" s="398">
        <v>77.400000000000006</v>
      </c>
      <c r="DJ26" s="398">
        <v>40</v>
      </c>
      <c r="DK26" s="399">
        <v>0.96</v>
      </c>
      <c r="DL26" s="398">
        <v>35.6</v>
      </c>
      <c r="DM26" s="400">
        <v>3.45</v>
      </c>
      <c r="DN26" s="401">
        <v>1130</v>
      </c>
      <c r="DO26" s="402">
        <v>971</v>
      </c>
      <c r="DP26" s="117"/>
      <c r="DQ26" s="428" t="s">
        <v>1263</v>
      </c>
      <c r="DR26" s="429">
        <v>1560</v>
      </c>
      <c r="DS26" s="429">
        <v>24300</v>
      </c>
      <c r="DT26" s="430" t="s">
        <v>1309</v>
      </c>
      <c r="DU26" s="430">
        <v>906</v>
      </c>
      <c r="DV26" s="429">
        <v>211</v>
      </c>
      <c r="DW26" s="431">
        <f t="shared" si="6"/>
        <v>906</v>
      </c>
      <c r="DX26" s="432">
        <f t="shared" si="7"/>
        <v>15500</v>
      </c>
      <c r="DZ26" s="447" t="s">
        <v>1268</v>
      </c>
      <c r="EA26" s="448">
        <v>331</v>
      </c>
      <c r="EB26" s="448">
        <v>97.7</v>
      </c>
      <c r="EC26" s="448">
        <v>40.799999999999997</v>
      </c>
      <c r="ED26" s="448" t="s">
        <v>1654</v>
      </c>
      <c r="EE26" s="448">
        <v>1.22</v>
      </c>
      <c r="EF26" s="448" t="s">
        <v>1624</v>
      </c>
      <c r="EG26" s="449">
        <v>45054</v>
      </c>
      <c r="EH26" s="448">
        <v>12.2</v>
      </c>
      <c r="EI26" s="448" t="s">
        <v>1655</v>
      </c>
      <c r="EJ26" s="448">
        <v>2.13</v>
      </c>
      <c r="EK26" s="448" t="s">
        <v>1656</v>
      </c>
      <c r="EL26" s="448">
        <v>2.86</v>
      </c>
      <c r="EM26" s="448">
        <v>28</v>
      </c>
      <c r="EN26" s="448">
        <v>24700</v>
      </c>
      <c r="EO26" s="448">
        <v>1210</v>
      </c>
      <c r="EP26" s="448">
        <v>15.9</v>
      </c>
      <c r="EQ26" s="448">
        <v>1430</v>
      </c>
      <c r="ER26" s="448">
        <v>644</v>
      </c>
      <c r="ES26" s="448">
        <v>106</v>
      </c>
      <c r="ET26" s="448">
        <v>2.57</v>
      </c>
      <c r="EU26" s="450">
        <v>172</v>
      </c>
    </row>
    <row r="27" spans="2:151">
      <c r="B27" s="78" t="s">
        <v>7</v>
      </c>
      <c r="C27" s="79" t="s">
        <v>32</v>
      </c>
      <c r="D27" s="80" t="s">
        <v>32</v>
      </c>
      <c r="E27" s="1" t="s">
        <v>4</v>
      </c>
      <c r="F27" s="4">
        <v>37.4</v>
      </c>
      <c r="G27" s="4">
        <v>11.1</v>
      </c>
      <c r="H27" s="3" t="str">
        <f t="shared" si="0"/>
        <v>L8X4X1</v>
      </c>
      <c r="I27" s="7">
        <v>4</v>
      </c>
      <c r="J27" s="5" t="s">
        <v>5</v>
      </c>
      <c r="K27" s="6" t="s">
        <v>5</v>
      </c>
      <c r="L27" s="6" t="s">
        <v>5</v>
      </c>
      <c r="M27" s="6" t="s">
        <v>5</v>
      </c>
      <c r="N27" s="6" t="s">
        <v>5</v>
      </c>
      <c r="O27" s="5" t="s">
        <v>5</v>
      </c>
      <c r="P27" s="5" t="s">
        <v>5</v>
      </c>
      <c r="Q27" s="7">
        <v>8</v>
      </c>
      <c r="R27" s="6" t="s">
        <v>5</v>
      </c>
      <c r="S27" s="6" t="s">
        <v>5</v>
      </c>
      <c r="T27" s="5" t="s">
        <v>5</v>
      </c>
      <c r="U27" s="8" t="s">
        <v>5</v>
      </c>
      <c r="V27" s="6" t="s">
        <v>5</v>
      </c>
      <c r="W27" s="8" t="s">
        <v>5</v>
      </c>
      <c r="X27" s="7">
        <v>1</v>
      </c>
      <c r="Y27" s="6" t="s">
        <v>5</v>
      </c>
      <c r="Z27" s="6" t="s">
        <v>5</v>
      </c>
      <c r="AA27" s="7">
        <v>1.5</v>
      </c>
      <c r="AB27" s="8">
        <v>1.5</v>
      </c>
      <c r="AC27" s="8" t="s">
        <v>5</v>
      </c>
      <c r="AD27" s="7">
        <v>1.04</v>
      </c>
      <c r="AE27" s="7">
        <v>3.03</v>
      </c>
      <c r="AF27" s="6" t="s">
        <v>5</v>
      </c>
      <c r="AG27" s="22">
        <v>0.69399999999999995</v>
      </c>
      <c r="AH27" s="7">
        <v>2.4500000000000002</v>
      </c>
      <c r="AI27" s="6" t="s">
        <v>5</v>
      </c>
      <c r="AJ27" s="7">
        <v>8</v>
      </c>
      <c r="AK27" s="6" t="s">
        <v>5</v>
      </c>
      <c r="AL27" s="6" t="s">
        <v>5</v>
      </c>
      <c r="AM27" s="6" t="s">
        <v>5</v>
      </c>
      <c r="AN27" s="6" t="s">
        <v>5</v>
      </c>
      <c r="AO27" s="4">
        <v>69.7</v>
      </c>
      <c r="AP27" s="4">
        <v>24.3</v>
      </c>
      <c r="AQ27" s="4">
        <v>14</v>
      </c>
      <c r="AR27" s="7">
        <v>2.5099999999999998</v>
      </c>
      <c r="AS27" s="4">
        <v>11.6</v>
      </c>
      <c r="AT27" s="7">
        <v>7.73</v>
      </c>
      <c r="AU27" s="7">
        <v>3.94</v>
      </c>
      <c r="AV27" s="7">
        <v>1.03</v>
      </c>
      <c r="AW27" s="6">
        <v>7.83</v>
      </c>
      <c r="AX27" s="22">
        <v>0.84399999999999997</v>
      </c>
      <c r="AY27" s="12">
        <v>3.45</v>
      </c>
      <c r="AZ27" s="7">
        <v>3.68</v>
      </c>
      <c r="BA27" s="4">
        <v>12.9</v>
      </c>
      <c r="BB27" s="6" t="s">
        <v>5</v>
      </c>
      <c r="BC27" s="6" t="s">
        <v>5</v>
      </c>
      <c r="BD27" s="6" t="s">
        <v>5</v>
      </c>
      <c r="BE27" s="6" t="s">
        <v>5</v>
      </c>
      <c r="BF27" s="6" t="s">
        <v>5</v>
      </c>
      <c r="BG27" s="6" t="s">
        <v>5</v>
      </c>
      <c r="BH27" s="6" t="s">
        <v>5</v>
      </c>
      <c r="BI27" s="7">
        <v>3.75</v>
      </c>
      <c r="BJ27" s="24" t="s">
        <v>5</v>
      </c>
      <c r="BK27" s="23">
        <v>0.247</v>
      </c>
      <c r="BL27" s="6">
        <v>73.400000000000006</v>
      </c>
      <c r="BM27" s="7">
        <v>3.17</v>
      </c>
      <c r="BN27" s="6">
        <v>2.69</v>
      </c>
      <c r="BO27" s="7">
        <v>4.95</v>
      </c>
      <c r="BP27" s="7">
        <v>2.27</v>
      </c>
      <c r="BQ27" s="6">
        <v>1.74</v>
      </c>
      <c r="BR27" s="6">
        <v>0.66700000000000004</v>
      </c>
      <c r="BS27" s="16">
        <v>23.2</v>
      </c>
      <c r="BT27" s="16">
        <v>27.3</v>
      </c>
      <c r="BU27" s="16">
        <v>14.8</v>
      </c>
      <c r="BV27" s="16">
        <v>3.45</v>
      </c>
      <c r="BW27" s="26">
        <v>4.5</v>
      </c>
      <c r="BX27" s="16">
        <v>11.7</v>
      </c>
      <c r="BY27" s="25" t="s">
        <v>5</v>
      </c>
      <c r="BZ27" s="25" t="s">
        <v>5</v>
      </c>
      <c r="CA27" s="4">
        <v>20</v>
      </c>
      <c r="CB27" s="4">
        <v>16</v>
      </c>
      <c r="CC27" s="4">
        <v>24</v>
      </c>
      <c r="CD27" s="25" t="s">
        <v>5</v>
      </c>
      <c r="CE27" s="25" t="s">
        <v>5</v>
      </c>
      <c r="CF27" s="16" t="s">
        <v>5</v>
      </c>
      <c r="CG27" s="16" t="s">
        <v>5</v>
      </c>
      <c r="CH27" s="18" t="s">
        <v>5</v>
      </c>
      <c r="CL27" s="504"/>
      <c r="CM27" s="59" t="s">
        <v>520</v>
      </c>
      <c r="CN27" s="64">
        <v>50</v>
      </c>
      <c r="CO27" s="71">
        <v>50</v>
      </c>
      <c r="CP27" s="67">
        <v>65</v>
      </c>
      <c r="CS27" s="335" t="str">
        <f t="shared" si="1"/>
        <v>L6X6X3/4</v>
      </c>
      <c r="CT27" s="338">
        <v>8.4600000000000009</v>
      </c>
      <c r="CV27" s="344" t="str">
        <f t="shared" si="2"/>
        <v>WT18X197.5</v>
      </c>
      <c r="CW27" s="337">
        <v>58.1</v>
      </c>
      <c r="DB27" s="335" t="str">
        <f t="shared" si="4"/>
        <v>ST2X4.75</v>
      </c>
      <c r="DC27" s="338">
        <v>1.4</v>
      </c>
      <c r="DE27" s="335" t="str">
        <f t="shared" si="5"/>
        <v>2L10X10X7/8</v>
      </c>
      <c r="DF27" s="337">
        <v>33.6</v>
      </c>
      <c r="DH27" s="397" t="s">
        <v>1300</v>
      </c>
      <c r="DI27" s="398">
        <v>69.099999999999994</v>
      </c>
      <c r="DJ27" s="398">
        <v>39.700000000000003</v>
      </c>
      <c r="DK27" s="399">
        <v>0.83</v>
      </c>
      <c r="DL27" s="398">
        <v>41.2</v>
      </c>
      <c r="DM27" s="400">
        <v>3.77</v>
      </c>
      <c r="DN27" s="401">
        <v>1010</v>
      </c>
      <c r="DO27" s="402">
        <v>875</v>
      </c>
      <c r="DP27" s="117"/>
      <c r="DQ27" s="428" t="s">
        <v>1264</v>
      </c>
      <c r="DR27" s="429">
        <v>1550</v>
      </c>
      <c r="DS27" s="429">
        <v>25700</v>
      </c>
      <c r="DT27" s="430" t="s">
        <v>1310</v>
      </c>
      <c r="DU27" s="430">
        <v>869</v>
      </c>
      <c r="DV27" s="429">
        <v>199</v>
      </c>
      <c r="DW27" s="431">
        <f t="shared" si="6"/>
        <v>869</v>
      </c>
      <c r="DX27" s="432">
        <f t="shared" si="7"/>
        <v>14900</v>
      </c>
      <c r="DZ27" s="447" t="s">
        <v>1271</v>
      </c>
      <c r="EA27" s="448">
        <v>327</v>
      </c>
      <c r="EB27" s="448">
        <v>95.9</v>
      </c>
      <c r="EC27" s="448">
        <v>40.799999999999997</v>
      </c>
      <c r="ED27" s="448" t="s">
        <v>1654</v>
      </c>
      <c r="EE27" s="448">
        <v>1.18</v>
      </c>
      <c r="EF27" s="448" t="s">
        <v>1640</v>
      </c>
      <c r="EG27" s="449">
        <v>45054</v>
      </c>
      <c r="EH27" s="448">
        <v>12.1</v>
      </c>
      <c r="EI27" s="448" t="s">
        <v>1655</v>
      </c>
      <c r="EJ27" s="448">
        <v>2.13</v>
      </c>
      <c r="EK27" s="448" t="s">
        <v>1656</v>
      </c>
      <c r="EL27" s="448">
        <v>2.85</v>
      </c>
      <c r="EM27" s="448">
        <v>29</v>
      </c>
      <c r="EN27" s="448">
        <v>24500</v>
      </c>
      <c r="EO27" s="448">
        <v>1200</v>
      </c>
      <c r="EP27" s="448">
        <v>16</v>
      </c>
      <c r="EQ27" s="448">
        <v>1410</v>
      </c>
      <c r="ER27" s="448">
        <v>640</v>
      </c>
      <c r="ES27" s="448">
        <v>105</v>
      </c>
      <c r="ET27" s="448">
        <v>2.58</v>
      </c>
      <c r="EU27" s="450">
        <v>170</v>
      </c>
    </row>
    <row r="28" spans="2:151">
      <c r="B28" s="78" t="s">
        <v>7</v>
      </c>
      <c r="C28" s="79" t="s">
        <v>33</v>
      </c>
      <c r="D28" s="80" t="s">
        <v>33</v>
      </c>
      <c r="E28" s="1" t="s">
        <v>4</v>
      </c>
      <c r="F28" s="4">
        <v>33.1</v>
      </c>
      <c r="G28" s="7">
        <v>9.7899999999999991</v>
      </c>
      <c r="H28" s="3" t="str">
        <f t="shared" si="0"/>
        <v>L8X4X7/8</v>
      </c>
      <c r="I28" s="7">
        <v>4</v>
      </c>
      <c r="J28" s="5" t="s">
        <v>5</v>
      </c>
      <c r="K28" s="6" t="s">
        <v>5</v>
      </c>
      <c r="L28" s="6" t="s">
        <v>5</v>
      </c>
      <c r="M28" s="6" t="s">
        <v>5</v>
      </c>
      <c r="N28" s="6" t="s">
        <v>5</v>
      </c>
      <c r="O28" s="5" t="s">
        <v>5</v>
      </c>
      <c r="P28" s="5" t="s">
        <v>5</v>
      </c>
      <c r="Q28" s="7">
        <v>8</v>
      </c>
      <c r="R28" s="6" t="s">
        <v>5</v>
      </c>
      <c r="S28" s="6" t="s">
        <v>5</v>
      </c>
      <c r="T28" s="5" t="s">
        <v>5</v>
      </c>
      <c r="U28" s="8" t="s">
        <v>5</v>
      </c>
      <c r="V28" s="6" t="s">
        <v>5</v>
      </c>
      <c r="W28" s="8" t="s">
        <v>5</v>
      </c>
      <c r="X28" s="22">
        <v>0.875</v>
      </c>
      <c r="Y28" s="6" t="s">
        <v>5</v>
      </c>
      <c r="Z28" s="6" t="s">
        <v>5</v>
      </c>
      <c r="AA28" s="7">
        <v>1.38</v>
      </c>
      <c r="AB28" s="8">
        <v>1.375</v>
      </c>
      <c r="AC28" s="8" t="s">
        <v>5</v>
      </c>
      <c r="AD28" s="22">
        <v>0.997</v>
      </c>
      <c r="AE28" s="7">
        <v>2.99</v>
      </c>
      <c r="AF28" s="6" t="s">
        <v>5</v>
      </c>
      <c r="AG28" s="22">
        <v>0.61199999999999999</v>
      </c>
      <c r="AH28" s="7">
        <v>2.41</v>
      </c>
      <c r="AI28" s="6" t="s">
        <v>5</v>
      </c>
      <c r="AJ28" s="7">
        <v>9.14</v>
      </c>
      <c r="AK28" s="6" t="s">
        <v>5</v>
      </c>
      <c r="AL28" s="6" t="s">
        <v>5</v>
      </c>
      <c r="AM28" s="6" t="s">
        <v>5</v>
      </c>
      <c r="AN28" s="6" t="s">
        <v>5</v>
      </c>
      <c r="AO28" s="4">
        <v>62.6</v>
      </c>
      <c r="AP28" s="4">
        <v>21.7</v>
      </c>
      <c r="AQ28" s="4">
        <v>12.5</v>
      </c>
      <c r="AR28" s="7">
        <v>2.5299999999999998</v>
      </c>
      <c r="AS28" s="4">
        <v>10.5</v>
      </c>
      <c r="AT28" s="7">
        <v>6.77</v>
      </c>
      <c r="AU28" s="7">
        <v>3.51</v>
      </c>
      <c r="AV28" s="7">
        <v>1.04</v>
      </c>
      <c r="AW28" s="6">
        <v>6.97</v>
      </c>
      <c r="AX28" s="22">
        <v>0.84599999999999997</v>
      </c>
      <c r="AY28" s="12">
        <v>3.04</v>
      </c>
      <c r="AZ28" s="7">
        <v>2.5099999999999998</v>
      </c>
      <c r="BA28" s="7">
        <v>8.89</v>
      </c>
      <c r="BB28" s="6" t="s">
        <v>5</v>
      </c>
      <c r="BC28" s="6" t="s">
        <v>5</v>
      </c>
      <c r="BD28" s="6" t="s">
        <v>5</v>
      </c>
      <c r="BE28" s="6" t="s">
        <v>5</v>
      </c>
      <c r="BF28" s="6" t="s">
        <v>5</v>
      </c>
      <c r="BG28" s="6" t="s">
        <v>5</v>
      </c>
      <c r="BH28" s="6" t="s">
        <v>5</v>
      </c>
      <c r="BI28" s="7">
        <v>3.78</v>
      </c>
      <c r="BJ28" s="24" t="s">
        <v>5</v>
      </c>
      <c r="BK28" s="23">
        <v>0.252</v>
      </c>
      <c r="BL28" s="6">
        <v>66.099999999999994</v>
      </c>
      <c r="BM28" s="7">
        <v>3.21</v>
      </c>
      <c r="BN28" s="6">
        <v>2.66</v>
      </c>
      <c r="BO28" s="7">
        <v>4.99</v>
      </c>
      <c r="BP28" s="7">
        <v>2.29</v>
      </c>
      <c r="BQ28" s="7">
        <v>1.7</v>
      </c>
      <c r="BR28" s="6">
        <v>0.68100000000000005</v>
      </c>
      <c r="BS28" s="16">
        <v>20.6</v>
      </c>
      <c r="BT28" s="16">
        <v>24.8</v>
      </c>
      <c r="BU28" s="16">
        <v>13.2</v>
      </c>
      <c r="BV28" s="16">
        <v>3.04</v>
      </c>
      <c r="BW28" s="26">
        <v>4.0999999999999996</v>
      </c>
      <c r="BX28" s="16">
        <v>10.199999999999999</v>
      </c>
      <c r="BY28" s="25" t="s">
        <v>5</v>
      </c>
      <c r="BZ28" s="25" t="s">
        <v>5</v>
      </c>
      <c r="CA28" s="4">
        <v>20</v>
      </c>
      <c r="CB28" s="4">
        <v>16</v>
      </c>
      <c r="CC28" s="4">
        <v>24</v>
      </c>
      <c r="CD28" s="25" t="s">
        <v>5</v>
      </c>
      <c r="CE28" s="25" t="s">
        <v>5</v>
      </c>
      <c r="CF28" s="16" t="s">
        <v>5</v>
      </c>
      <c r="CG28" s="16" t="s">
        <v>5</v>
      </c>
      <c r="CH28" s="18" t="s">
        <v>5</v>
      </c>
      <c r="CL28" s="504"/>
      <c r="CM28" s="59" t="s">
        <v>521</v>
      </c>
      <c r="CN28" s="64">
        <v>60</v>
      </c>
      <c r="CO28" s="71">
        <v>60</v>
      </c>
      <c r="CP28" s="67">
        <v>75</v>
      </c>
      <c r="CS28" s="335" t="str">
        <f t="shared" si="1"/>
        <v>L8X6X5/8</v>
      </c>
      <c r="CT28" s="338">
        <v>8.41</v>
      </c>
      <c r="CV28" s="344" t="str">
        <f t="shared" si="2"/>
        <v>WT20X196</v>
      </c>
      <c r="CW28" s="337">
        <v>57.8</v>
      </c>
      <c r="DB28" s="335" t="str">
        <f t="shared" si="4"/>
        <v>ST2X3.85</v>
      </c>
      <c r="DC28" s="338">
        <v>1.1299999999999999</v>
      </c>
      <c r="DE28" s="335" t="str">
        <f t="shared" si="5"/>
        <v>2L10X10X7/8</v>
      </c>
      <c r="DF28" s="337">
        <v>33.6</v>
      </c>
      <c r="DH28" s="397" t="s">
        <v>1309</v>
      </c>
      <c r="DI28" s="398">
        <v>62.1</v>
      </c>
      <c r="DJ28" s="398">
        <v>39.4</v>
      </c>
      <c r="DK28" s="399">
        <v>0.75</v>
      </c>
      <c r="DL28" s="398">
        <v>45.6</v>
      </c>
      <c r="DM28" s="400">
        <v>4.17</v>
      </c>
      <c r="DN28" s="401">
        <v>906</v>
      </c>
      <c r="DO28" s="402">
        <v>786</v>
      </c>
      <c r="DP28" s="117"/>
      <c r="DQ28" s="428" t="s">
        <v>1265</v>
      </c>
      <c r="DR28" s="429">
        <v>1480</v>
      </c>
      <c r="DS28" s="429">
        <v>12400</v>
      </c>
      <c r="DT28" s="430" t="s">
        <v>1318</v>
      </c>
      <c r="DU28" s="430">
        <v>774</v>
      </c>
      <c r="DV28" s="429">
        <v>183</v>
      </c>
      <c r="DW28" s="431">
        <f t="shared" si="6"/>
        <v>774</v>
      </c>
      <c r="DX28" s="432">
        <f t="shared" si="7"/>
        <v>13200</v>
      </c>
      <c r="DZ28" s="447" t="s">
        <v>1278</v>
      </c>
      <c r="EA28" s="448">
        <v>294</v>
      </c>
      <c r="EB28" s="448">
        <v>86.2</v>
      </c>
      <c r="EC28" s="448">
        <v>40.4</v>
      </c>
      <c r="ED28" s="448" t="s">
        <v>1657</v>
      </c>
      <c r="EE28" s="448">
        <v>1.06</v>
      </c>
      <c r="EF28" s="448" t="s">
        <v>1650</v>
      </c>
      <c r="EG28" s="449">
        <v>45185</v>
      </c>
      <c r="EH28" s="448">
        <v>12</v>
      </c>
      <c r="EI28" s="448">
        <v>12</v>
      </c>
      <c r="EJ28" s="448">
        <v>1.93</v>
      </c>
      <c r="EK28" s="448" t="s">
        <v>1658</v>
      </c>
      <c r="EL28" s="448">
        <v>3.11</v>
      </c>
      <c r="EM28" s="448">
        <v>32.200000000000003</v>
      </c>
      <c r="EN28" s="448">
        <v>21900</v>
      </c>
      <c r="EO28" s="448">
        <v>1080</v>
      </c>
      <c r="EP28" s="448">
        <v>15.9</v>
      </c>
      <c r="EQ28" s="448">
        <v>1270</v>
      </c>
      <c r="ER28" s="448">
        <v>562</v>
      </c>
      <c r="ES28" s="448">
        <v>93.5</v>
      </c>
      <c r="ET28" s="448">
        <v>2.5499999999999998</v>
      </c>
      <c r="EU28" s="450">
        <v>150</v>
      </c>
    </row>
    <row r="29" spans="2:151">
      <c r="B29" s="78" t="s">
        <v>7</v>
      </c>
      <c r="C29" s="79" t="s">
        <v>34</v>
      </c>
      <c r="D29" s="80" t="s">
        <v>34</v>
      </c>
      <c r="E29" s="1" t="s">
        <v>4</v>
      </c>
      <c r="F29" s="4">
        <v>28.7</v>
      </c>
      <c r="G29" s="7">
        <v>8.49</v>
      </c>
      <c r="H29" s="3" t="str">
        <f t="shared" si="0"/>
        <v>L8X4X3/4</v>
      </c>
      <c r="I29" s="7">
        <v>4</v>
      </c>
      <c r="J29" s="5" t="s">
        <v>5</v>
      </c>
      <c r="K29" s="6" t="s">
        <v>5</v>
      </c>
      <c r="L29" s="6" t="s">
        <v>5</v>
      </c>
      <c r="M29" s="6" t="s">
        <v>5</v>
      </c>
      <c r="N29" s="6" t="s">
        <v>5</v>
      </c>
      <c r="O29" s="5" t="s">
        <v>5</v>
      </c>
      <c r="P29" s="5" t="s">
        <v>5</v>
      </c>
      <c r="Q29" s="7">
        <v>8</v>
      </c>
      <c r="R29" s="6" t="s">
        <v>5</v>
      </c>
      <c r="S29" s="6" t="s">
        <v>5</v>
      </c>
      <c r="T29" s="5" t="s">
        <v>5</v>
      </c>
      <c r="U29" s="8" t="s">
        <v>5</v>
      </c>
      <c r="V29" s="6" t="s">
        <v>5</v>
      </c>
      <c r="W29" s="8" t="s">
        <v>5</v>
      </c>
      <c r="X29" s="22">
        <v>0.75</v>
      </c>
      <c r="Y29" s="6" t="s">
        <v>5</v>
      </c>
      <c r="Z29" s="6" t="s">
        <v>5</v>
      </c>
      <c r="AA29" s="7">
        <v>1.25</v>
      </c>
      <c r="AB29" s="8">
        <v>1.25</v>
      </c>
      <c r="AC29" s="8" t="s">
        <v>5</v>
      </c>
      <c r="AD29" s="22">
        <v>0.94899999999999995</v>
      </c>
      <c r="AE29" s="7">
        <v>2.94</v>
      </c>
      <c r="AF29" s="6" t="s">
        <v>5</v>
      </c>
      <c r="AG29" s="22">
        <v>0.53100000000000003</v>
      </c>
      <c r="AH29" s="7">
        <v>2.34</v>
      </c>
      <c r="AI29" s="6" t="s">
        <v>5</v>
      </c>
      <c r="AJ29" s="4">
        <v>10.7</v>
      </c>
      <c r="AK29" s="6" t="s">
        <v>5</v>
      </c>
      <c r="AL29" s="6" t="s">
        <v>5</v>
      </c>
      <c r="AM29" s="6" t="s">
        <v>5</v>
      </c>
      <c r="AN29" s="6" t="s">
        <v>5</v>
      </c>
      <c r="AO29" s="4">
        <v>55</v>
      </c>
      <c r="AP29" s="4">
        <v>18.899999999999999</v>
      </c>
      <c r="AQ29" s="4">
        <v>10.9</v>
      </c>
      <c r="AR29" s="7">
        <v>2.5499999999999998</v>
      </c>
      <c r="AS29" s="7">
        <v>9.3699999999999992</v>
      </c>
      <c r="AT29" s="7">
        <v>5.82</v>
      </c>
      <c r="AU29" s="7">
        <v>3.07</v>
      </c>
      <c r="AV29" s="7">
        <v>1.05</v>
      </c>
      <c r="AW29" s="6">
        <v>6.14</v>
      </c>
      <c r="AX29" s="22">
        <v>0.85</v>
      </c>
      <c r="AY29" s="12">
        <v>2.65</v>
      </c>
      <c r="AZ29" s="7">
        <v>1.61</v>
      </c>
      <c r="BA29" s="7">
        <v>5.75</v>
      </c>
      <c r="BB29" s="6" t="s">
        <v>5</v>
      </c>
      <c r="BC29" s="6" t="s">
        <v>5</v>
      </c>
      <c r="BD29" s="6" t="s">
        <v>5</v>
      </c>
      <c r="BE29" s="6" t="s">
        <v>5</v>
      </c>
      <c r="BF29" s="6" t="s">
        <v>5</v>
      </c>
      <c r="BG29" s="6" t="s">
        <v>5</v>
      </c>
      <c r="BH29" s="6" t="s">
        <v>5</v>
      </c>
      <c r="BI29" s="7">
        <v>3.8</v>
      </c>
      <c r="BJ29" s="24" t="s">
        <v>5</v>
      </c>
      <c r="BK29" s="23">
        <v>0.25700000000000001</v>
      </c>
      <c r="BL29" s="6">
        <v>58.2</v>
      </c>
      <c r="BM29" s="7">
        <v>3.24</v>
      </c>
      <c r="BN29" s="6">
        <v>2.61</v>
      </c>
      <c r="BO29" s="7">
        <v>5.04</v>
      </c>
      <c r="BP29" s="7">
        <v>2.3199999999999998</v>
      </c>
      <c r="BQ29" s="6">
        <v>1.65</v>
      </c>
      <c r="BR29" s="6">
        <v>0.70399999999999996</v>
      </c>
      <c r="BS29" s="17">
        <v>18</v>
      </c>
      <c r="BT29" s="16">
        <v>22.3</v>
      </c>
      <c r="BU29" s="16">
        <v>11.5</v>
      </c>
      <c r="BV29" s="16">
        <v>2.65</v>
      </c>
      <c r="BW29" s="16">
        <v>3.72</v>
      </c>
      <c r="BX29" s="16">
        <v>8.7200000000000006</v>
      </c>
      <c r="BY29" s="25" t="s">
        <v>5</v>
      </c>
      <c r="BZ29" s="25" t="s">
        <v>5</v>
      </c>
      <c r="CA29" s="4">
        <v>20</v>
      </c>
      <c r="CB29" s="4">
        <v>16</v>
      </c>
      <c r="CC29" s="4">
        <v>24</v>
      </c>
      <c r="CD29" s="25" t="s">
        <v>5</v>
      </c>
      <c r="CE29" s="25" t="s">
        <v>5</v>
      </c>
      <c r="CF29" s="16" t="s">
        <v>5</v>
      </c>
      <c r="CG29" s="16" t="s">
        <v>5</v>
      </c>
      <c r="CH29" s="18" t="s">
        <v>5</v>
      </c>
      <c r="CL29" s="504"/>
      <c r="CM29" s="59" t="s">
        <v>522</v>
      </c>
      <c r="CN29" s="64">
        <v>65</v>
      </c>
      <c r="CO29" s="71">
        <v>65</v>
      </c>
      <c r="CP29" s="67">
        <v>80</v>
      </c>
      <c r="CS29" s="335" t="str">
        <f t="shared" si="1"/>
        <v>L6X4X7/8</v>
      </c>
      <c r="CT29" s="338">
        <v>8</v>
      </c>
      <c r="CV29" s="344" t="str">
        <f t="shared" si="2"/>
        <v>WT15X195.5</v>
      </c>
      <c r="CW29" s="337">
        <v>57.6</v>
      </c>
      <c r="DB29" s="335" t="str">
        <f t="shared" si="4"/>
        <v>ST1.5X3.75</v>
      </c>
      <c r="DC29" s="338">
        <v>1.1000000000000001</v>
      </c>
      <c r="DE29" s="335" t="str">
        <f t="shared" si="5"/>
        <v>2L10X10X7/8</v>
      </c>
      <c r="DF29" s="337">
        <v>33.6</v>
      </c>
      <c r="DH29" s="397" t="s">
        <v>1318</v>
      </c>
      <c r="DI29" s="398">
        <v>53.3</v>
      </c>
      <c r="DJ29" s="398">
        <v>39</v>
      </c>
      <c r="DK29" s="399">
        <v>0.65</v>
      </c>
      <c r="DL29" s="398">
        <v>52.6</v>
      </c>
      <c r="DM29" s="400">
        <v>4.92</v>
      </c>
      <c r="DN29" s="401">
        <v>774</v>
      </c>
      <c r="DO29" s="402">
        <v>675</v>
      </c>
      <c r="DP29" s="117"/>
      <c r="DQ29" s="428" t="s">
        <v>1266</v>
      </c>
      <c r="DR29" s="429">
        <v>1460</v>
      </c>
      <c r="DS29" s="429">
        <v>25600</v>
      </c>
      <c r="DT29" s="430" t="s">
        <v>1514</v>
      </c>
      <c r="DU29" s="430">
        <v>718</v>
      </c>
      <c r="DV29" s="429">
        <v>182</v>
      </c>
      <c r="DW29" s="431">
        <v>718</v>
      </c>
      <c r="DX29" s="432">
        <v>11300</v>
      </c>
      <c r="DZ29" s="447" t="s">
        <v>1282</v>
      </c>
      <c r="EA29" s="448">
        <v>278</v>
      </c>
      <c r="EB29" s="448">
        <v>82.3</v>
      </c>
      <c r="EC29" s="448">
        <v>40.200000000000003</v>
      </c>
      <c r="ED29" s="448" t="s">
        <v>1644</v>
      </c>
      <c r="EE29" s="448">
        <v>1.03</v>
      </c>
      <c r="EF29" s="448">
        <v>1</v>
      </c>
      <c r="EG29" s="449">
        <v>44928</v>
      </c>
      <c r="EH29" s="448">
        <v>12</v>
      </c>
      <c r="EI29" s="448">
        <v>12</v>
      </c>
      <c r="EJ29" s="448">
        <v>1.81</v>
      </c>
      <c r="EK29" s="448" t="s">
        <v>1627</v>
      </c>
      <c r="EL29" s="448">
        <v>3.31</v>
      </c>
      <c r="EM29" s="448">
        <v>33.299999999999997</v>
      </c>
      <c r="EN29" s="448">
        <v>20500</v>
      </c>
      <c r="EO29" s="448">
        <v>1020</v>
      </c>
      <c r="EP29" s="448">
        <v>15.8</v>
      </c>
      <c r="EQ29" s="448">
        <v>1190</v>
      </c>
      <c r="ER29" s="448">
        <v>521</v>
      </c>
      <c r="ES29" s="448">
        <v>87.1</v>
      </c>
      <c r="ET29" s="448">
        <v>2.52</v>
      </c>
      <c r="EU29" s="450">
        <v>140</v>
      </c>
    </row>
    <row r="30" spans="2:151" ht="14.4" thickBot="1">
      <c r="B30" s="78" t="s">
        <v>7</v>
      </c>
      <c r="C30" s="79" t="s">
        <v>35</v>
      </c>
      <c r="D30" s="80" t="s">
        <v>35</v>
      </c>
      <c r="E30" s="1" t="s">
        <v>4</v>
      </c>
      <c r="F30" s="4">
        <v>24.2</v>
      </c>
      <c r="G30" s="7">
        <v>7.16</v>
      </c>
      <c r="H30" s="3" t="str">
        <f t="shared" si="0"/>
        <v>L8X4X5/8</v>
      </c>
      <c r="I30" s="7">
        <v>4</v>
      </c>
      <c r="J30" s="5" t="s">
        <v>5</v>
      </c>
      <c r="K30" s="6" t="s">
        <v>5</v>
      </c>
      <c r="L30" s="6" t="s">
        <v>5</v>
      </c>
      <c r="M30" s="6" t="s">
        <v>5</v>
      </c>
      <c r="N30" s="6" t="s">
        <v>5</v>
      </c>
      <c r="O30" s="5" t="s">
        <v>5</v>
      </c>
      <c r="P30" s="5" t="s">
        <v>5</v>
      </c>
      <c r="Q30" s="7">
        <v>8</v>
      </c>
      <c r="R30" s="6" t="s">
        <v>5</v>
      </c>
      <c r="S30" s="6" t="s">
        <v>5</v>
      </c>
      <c r="T30" s="5" t="s">
        <v>5</v>
      </c>
      <c r="U30" s="8" t="s">
        <v>5</v>
      </c>
      <c r="V30" s="6" t="s">
        <v>5</v>
      </c>
      <c r="W30" s="8" t="s">
        <v>5</v>
      </c>
      <c r="X30" s="22">
        <v>0.625</v>
      </c>
      <c r="Y30" s="6" t="s">
        <v>5</v>
      </c>
      <c r="Z30" s="6" t="s">
        <v>5</v>
      </c>
      <c r="AA30" s="7">
        <v>1.1299999999999999</v>
      </c>
      <c r="AB30" s="8">
        <v>1.125</v>
      </c>
      <c r="AC30" s="8" t="s">
        <v>5</v>
      </c>
      <c r="AD30" s="22">
        <v>0.90200000000000002</v>
      </c>
      <c r="AE30" s="7">
        <v>2.89</v>
      </c>
      <c r="AF30" s="6" t="s">
        <v>5</v>
      </c>
      <c r="AG30" s="22">
        <v>0.44800000000000001</v>
      </c>
      <c r="AH30" s="7">
        <v>2.27</v>
      </c>
      <c r="AI30" s="6" t="s">
        <v>5</v>
      </c>
      <c r="AJ30" s="4">
        <v>12.8</v>
      </c>
      <c r="AK30" s="6" t="s">
        <v>5</v>
      </c>
      <c r="AL30" s="6" t="s">
        <v>5</v>
      </c>
      <c r="AM30" s="6" t="s">
        <v>5</v>
      </c>
      <c r="AN30" s="6" t="s">
        <v>5</v>
      </c>
      <c r="AO30" s="4">
        <v>47</v>
      </c>
      <c r="AP30" s="4">
        <v>16.100000000000001</v>
      </c>
      <c r="AQ30" s="7">
        <v>9.1999999999999993</v>
      </c>
      <c r="AR30" s="7">
        <v>2.56</v>
      </c>
      <c r="AS30" s="7">
        <v>8.11</v>
      </c>
      <c r="AT30" s="7">
        <v>4.8600000000000003</v>
      </c>
      <c r="AU30" s="7">
        <v>2.62</v>
      </c>
      <c r="AV30" s="7">
        <v>1.06</v>
      </c>
      <c r="AW30" s="6">
        <v>5.24</v>
      </c>
      <c r="AX30" s="22">
        <v>0.85599999999999998</v>
      </c>
      <c r="AY30" s="12">
        <v>2.2400000000000002</v>
      </c>
      <c r="AZ30" s="22">
        <v>0.95499999999999996</v>
      </c>
      <c r="BA30" s="7">
        <v>3.42</v>
      </c>
      <c r="BB30" s="6" t="s">
        <v>5</v>
      </c>
      <c r="BC30" s="6" t="s">
        <v>5</v>
      </c>
      <c r="BD30" s="6" t="s">
        <v>5</v>
      </c>
      <c r="BE30" s="6" t="s">
        <v>5</v>
      </c>
      <c r="BF30" s="6" t="s">
        <v>5</v>
      </c>
      <c r="BG30" s="6" t="s">
        <v>5</v>
      </c>
      <c r="BH30" s="6" t="s">
        <v>5</v>
      </c>
      <c r="BI30" s="7">
        <v>3.83</v>
      </c>
      <c r="BJ30" s="24" t="s">
        <v>5</v>
      </c>
      <c r="BK30" s="23">
        <v>0.26200000000000001</v>
      </c>
      <c r="BL30" s="6">
        <v>49.9</v>
      </c>
      <c r="BM30" s="7">
        <v>3.28</v>
      </c>
      <c r="BN30" s="6">
        <v>2.57</v>
      </c>
      <c r="BO30" s="7">
        <v>5.09</v>
      </c>
      <c r="BP30" s="7">
        <v>2.34</v>
      </c>
      <c r="BQ30" s="7">
        <v>1.61</v>
      </c>
      <c r="BR30" s="6">
        <v>0.72499999999999998</v>
      </c>
      <c r="BS30" s="16">
        <v>15.2</v>
      </c>
      <c r="BT30" s="16">
        <v>19.399999999999999</v>
      </c>
      <c r="BU30" s="26">
        <v>9.8000000000000007</v>
      </c>
      <c r="BV30" s="16">
        <v>2.2400000000000002</v>
      </c>
      <c r="BW30" s="16">
        <v>3.25</v>
      </c>
      <c r="BX30" s="16">
        <v>7.23</v>
      </c>
      <c r="BY30" s="25" t="s">
        <v>5</v>
      </c>
      <c r="BZ30" s="25" t="s">
        <v>5</v>
      </c>
      <c r="CA30" s="4">
        <v>20</v>
      </c>
      <c r="CB30" s="4">
        <v>16</v>
      </c>
      <c r="CC30" s="4">
        <v>24</v>
      </c>
      <c r="CD30" s="25" t="s">
        <v>5</v>
      </c>
      <c r="CE30" s="25" t="s">
        <v>5</v>
      </c>
      <c r="CF30" s="16" t="s">
        <v>5</v>
      </c>
      <c r="CG30" s="16" t="s">
        <v>5</v>
      </c>
      <c r="CH30" s="18" t="s">
        <v>5</v>
      </c>
      <c r="CL30" s="504"/>
      <c r="CM30" s="59" t="s">
        <v>523</v>
      </c>
      <c r="CN30" s="64">
        <v>70</v>
      </c>
      <c r="CO30" s="71">
        <v>70</v>
      </c>
      <c r="CP30" s="67">
        <v>90</v>
      </c>
      <c r="CS30" s="335" t="str">
        <f t="shared" si="1"/>
        <v>L6X4X7/8</v>
      </c>
      <c r="CT30" s="338">
        <v>8</v>
      </c>
      <c r="CV30" s="344" t="str">
        <f t="shared" si="2"/>
        <v>WT16.5X193.5</v>
      </c>
      <c r="CW30" s="337">
        <v>57</v>
      </c>
      <c r="DB30" s="340" t="str">
        <f t="shared" si="4"/>
        <v>ST1.5X2.85</v>
      </c>
      <c r="DC30" s="341">
        <v>0.83</v>
      </c>
      <c r="DE30" s="335" t="str">
        <f t="shared" si="5"/>
        <v>2L10X10X7/8</v>
      </c>
      <c r="DF30" s="337">
        <v>33.6</v>
      </c>
      <c r="DH30" s="397" t="s">
        <v>1329</v>
      </c>
      <c r="DI30" s="398">
        <v>49.3</v>
      </c>
      <c r="DJ30" s="398">
        <v>38.6</v>
      </c>
      <c r="DK30" s="399">
        <v>0.65</v>
      </c>
      <c r="DL30" s="398">
        <v>52.6</v>
      </c>
      <c r="DM30" s="400">
        <v>5.76</v>
      </c>
      <c r="DN30" s="401">
        <v>693</v>
      </c>
      <c r="DO30" s="402">
        <v>600</v>
      </c>
      <c r="DP30" s="117"/>
      <c r="DQ30" s="428" t="s">
        <v>1267</v>
      </c>
      <c r="DR30" s="429">
        <v>1450</v>
      </c>
      <c r="DS30" s="429">
        <v>20700</v>
      </c>
      <c r="DT30" s="430" t="s">
        <v>1329</v>
      </c>
      <c r="DU30" s="430">
        <v>693</v>
      </c>
      <c r="DV30" s="429">
        <v>167</v>
      </c>
      <c r="DW30" s="431">
        <f t="shared" ref="DW30:DW46" si="8">VLOOKUP(DT30,$DQ$4:$DR$276,2,FALSE)</f>
        <v>693</v>
      </c>
      <c r="DX30" s="432">
        <f t="shared" ref="DX30:DX46" si="9">VLOOKUP(DT30,$DQ$4:$DS$276,3,FALSE)</f>
        <v>11600</v>
      </c>
      <c r="DZ30" s="447" t="s">
        <v>1287</v>
      </c>
      <c r="EA30" s="448">
        <v>264</v>
      </c>
      <c r="EB30" s="448">
        <v>77.400000000000006</v>
      </c>
      <c r="EC30" s="448">
        <v>40</v>
      </c>
      <c r="ED30" s="448">
        <v>40</v>
      </c>
      <c r="EE30" s="448">
        <v>0.96</v>
      </c>
      <c r="EF30" s="448" t="s">
        <v>1628</v>
      </c>
      <c r="EG30" s="449">
        <v>44928</v>
      </c>
      <c r="EH30" s="448">
        <v>11.9</v>
      </c>
      <c r="EI30" s="448" t="s">
        <v>1659</v>
      </c>
      <c r="EJ30" s="448">
        <v>1.73</v>
      </c>
      <c r="EK30" s="448" t="s">
        <v>1615</v>
      </c>
      <c r="EL30" s="448">
        <v>3.45</v>
      </c>
      <c r="EM30" s="448">
        <v>35.6</v>
      </c>
      <c r="EN30" s="448">
        <v>19400</v>
      </c>
      <c r="EO30" s="448">
        <v>971</v>
      </c>
      <c r="EP30" s="448">
        <v>15.8</v>
      </c>
      <c r="EQ30" s="448">
        <v>1130</v>
      </c>
      <c r="ER30" s="448">
        <v>493</v>
      </c>
      <c r="ES30" s="448">
        <v>82.6</v>
      </c>
      <c r="ET30" s="448">
        <v>2.52</v>
      </c>
      <c r="EU30" s="450">
        <v>132</v>
      </c>
    </row>
    <row r="31" spans="2:151">
      <c r="B31" s="78" t="s">
        <v>7</v>
      </c>
      <c r="C31" s="79" t="s">
        <v>36</v>
      </c>
      <c r="D31" s="80" t="s">
        <v>36</v>
      </c>
      <c r="E31" s="1" t="s">
        <v>4</v>
      </c>
      <c r="F31" s="4">
        <v>21.9</v>
      </c>
      <c r="G31" s="7">
        <v>6.49</v>
      </c>
      <c r="H31" s="3" t="str">
        <f t="shared" si="0"/>
        <v>L8X4X9/16</v>
      </c>
      <c r="I31" s="7">
        <v>4</v>
      </c>
      <c r="J31" s="5" t="s">
        <v>5</v>
      </c>
      <c r="K31" s="6" t="s">
        <v>5</v>
      </c>
      <c r="L31" s="6" t="s">
        <v>5</v>
      </c>
      <c r="M31" s="6" t="s">
        <v>5</v>
      </c>
      <c r="N31" s="6" t="s">
        <v>5</v>
      </c>
      <c r="O31" s="5" t="s">
        <v>5</v>
      </c>
      <c r="P31" s="5" t="s">
        <v>5</v>
      </c>
      <c r="Q31" s="7">
        <v>8</v>
      </c>
      <c r="R31" s="6" t="s">
        <v>5</v>
      </c>
      <c r="S31" s="6" t="s">
        <v>5</v>
      </c>
      <c r="T31" s="5" t="s">
        <v>5</v>
      </c>
      <c r="U31" s="8" t="s">
        <v>5</v>
      </c>
      <c r="V31" s="6" t="s">
        <v>5</v>
      </c>
      <c r="W31" s="8" t="s">
        <v>5</v>
      </c>
      <c r="X31" s="22">
        <v>0.56299999999999994</v>
      </c>
      <c r="Y31" s="6" t="s">
        <v>5</v>
      </c>
      <c r="Z31" s="6" t="s">
        <v>5</v>
      </c>
      <c r="AA31" s="7">
        <v>1.06</v>
      </c>
      <c r="AB31" s="8">
        <v>1.0625</v>
      </c>
      <c r="AC31" s="8" t="s">
        <v>5</v>
      </c>
      <c r="AD31" s="22">
        <v>0.878</v>
      </c>
      <c r="AE31" s="7">
        <v>2.86</v>
      </c>
      <c r="AF31" s="6" t="s">
        <v>5</v>
      </c>
      <c r="AG31" s="22">
        <v>0.40600000000000003</v>
      </c>
      <c r="AH31" s="7">
        <v>2.23</v>
      </c>
      <c r="AI31" s="6" t="s">
        <v>5</v>
      </c>
      <c r="AJ31" s="4">
        <v>14.2</v>
      </c>
      <c r="AK31" s="6" t="s">
        <v>5</v>
      </c>
      <c r="AL31" s="6" t="s">
        <v>5</v>
      </c>
      <c r="AM31" s="6" t="s">
        <v>5</v>
      </c>
      <c r="AN31" s="6" t="s">
        <v>5</v>
      </c>
      <c r="AO31" s="4">
        <v>42.9</v>
      </c>
      <c r="AP31" s="4">
        <v>14.6</v>
      </c>
      <c r="AQ31" s="7">
        <v>8.34</v>
      </c>
      <c r="AR31" s="7">
        <v>2.57</v>
      </c>
      <c r="AS31" s="7">
        <v>7.44</v>
      </c>
      <c r="AT31" s="7">
        <v>4.3899999999999997</v>
      </c>
      <c r="AU31" s="7">
        <v>2.38</v>
      </c>
      <c r="AV31" s="7">
        <v>1.07</v>
      </c>
      <c r="AW31" s="6">
        <v>4.78</v>
      </c>
      <c r="AX31" s="22">
        <v>0.85899999999999999</v>
      </c>
      <c r="AY31" s="12">
        <v>2.0299999999999998</v>
      </c>
      <c r="AZ31" s="22">
        <v>0.70399999999999996</v>
      </c>
      <c r="BA31" s="7">
        <v>2.5299999999999998</v>
      </c>
      <c r="BB31" s="6" t="s">
        <v>5</v>
      </c>
      <c r="BC31" s="6" t="s">
        <v>5</v>
      </c>
      <c r="BD31" s="6" t="s">
        <v>5</v>
      </c>
      <c r="BE31" s="6" t="s">
        <v>5</v>
      </c>
      <c r="BF31" s="6" t="s">
        <v>5</v>
      </c>
      <c r="BG31" s="6" t="s">
        <v>5</v>
      </c>
      <c r="BH31" s="6" t="s">
        <v>5</v>
      </c>
      <c r="BI31" s="7">
        <v>3.84</v>
      </c>
      <c r="BJ31" s="24" t="s">
        <v>5</v>
      </c>
      <c r="BK31" s="23">
        <v>0.26400000000000001</v>
      </c>
      <c r="BL31" s="6">
        <v>45.6</v>
      </c>
      <c r="BM31" s="7">
        <v>3.29</v>
      </c>
      <c r="BN31" s="6">
        <v>2.54</v>
      </c>
      <c r="BO31" s="7">
        <v>5.12</v>
      </c>
      <c r="BP31" s="7">
        <v>2.36</v>
      </c>
      <c r="BQ31" s="6">
        <v>1.58</v>
      </c>
      <c r="BR31" s="6">
        <v>0.73599999999999999</v>
      </c>
      <c r="BS31" s="16">
        <v>13.9</v>
      </c>
      <c r="BT31" s="17">
        <v>18</v>
      </c>
      <c r="BU31" s="16">
        <v>8.91</v>
      </c>
      <c r="BV31" s="16">
        <v>2.0299999999999998</v>
      </c>
      <c r="BW31" s="16">
        <v>3.03</v>
      </c>
      <c r="BX31" s="16">
        <v>6.49</v>
      </c>
      <c r="BY31" s="25" t="s">
        <v>5</v>
      </c>
      <c r="BZ31" s="25" t="s">
        <v>5</v>
      </c>
      <c r="CA31" s="4">
        <v>20</v>
      </c>
      <c r="CB31" s="4">
        <v>16</v>
      </c>
      <c r="CC31" s="4">
        <v>24</v>
      </c>
      <c r="CD31" s="25" t="s">
        <v>5</v>
      </c>
      <c r="CE31" s="25" t="s">
        <v>5</v>
      </c>
      <c r="CF31" s="16" t="s">
        <v>5</v>
      </c>
      <c r="CG31" s="16" t="s">
        <v>5</v>
      </c>
      <c r="CH31" s="18" t="s">
        <v>5</v>
      </c>
      <c r="CL31" s="504"/>
      <c r="CM31" s="59" t="s">
        <v>524</v>
      </c>
      <c r="CN31" s="64"/>
      <c r="CO31" s="71">
        <v>50</v>
      </c>
      <c r="CP31" s="67">
        <v>65</v>
      </c>
      <c r="CS31" s="335" t="str">
        <f t="shared" si="1"/>
        <v>L8X8X1/2</v>
      </c>
      <c r="CT31" s="338">
        <v>7.84</v>
      </c>
      <c r="CV31" s="344" t="str">
        <f t="shared" si="2"/>
        <v>WT20X186</v>
      </c>
      <c r="CW31" s="337">
        <v>54.7</v>
      </c>
      <c r="DB31" s="308"/>
      <c r="DE31" s="335" t="str">
        <f t="shared" si="5"/>
        <v>2L10X10X7/8</v>
      </c>
      <c r="DF31" s="337">
        <v>33.6</v>
      </c>
      <c r="DH31" s="397" t="s">
        <v>1345</v>
      </c>
      <c r="DI31" s="398">
        <v>43.8</v>
      </c>
      <c r="DJ31" s="398">
        <v>38.200000000000003</v>
      </c>
      <c r="DK31" s="399">
        <v>0.63</v>
      </c>
      <c r="DL31" s="398">
        <v>54.3</v>
      </c>
      <c r="DM31" s="400">
        <v>7.11</v>
      </c>
      <c r="DN31" s="401">
        <v>598</v>
      </c>
      <c r="DO31" s="402">
        <v>513</v>
      </c>
      <c r="DP31" s="117"/>
      <c r="DQ31" s="428" t="s">
        <v>1268</v>
      </c>
      <c r="DR31" s="429">
        <v>1430</v>
      </c>
      <c r="DS31" s="429">
        <v>24700</v>
      </c>
      <c r="DT31" s="430" t="s">
        <v>1338</v>
      </c>
      <c r="DU31" s="430">
        <v>624</v>
      </c>
      <c r="DV31" s="429">
        <v>160</v>
      </c>
      <c r="DW31" s="431">
        <f t="shared" si="8"/>
        <v>624</v>
      </c>
      <c r="DX31" s="432">
        <f t="shared" si="9"/>
        <v>9760</v>
      </c>
      <c r="DZ31" s="447" t="s">
        <v>1300</v>
      </c>
      <c r="EA31" s="448">
        <v>235</v>
      </c>
      <c r="EB31" s="448">
        <v>69.099999999999994</v>
      </c>
      <c r="EC31" s="448">
        <v>39.700000000000003</v>
      </c>
      <c r="ED31" s="448" t="s">
        <v>1647</v>
      </c>
      <c r="EE31" s="448">
        <v>0.83</v>
      </c>
      <c r="EF31" s="448" t="s">
        <v>1620</v>
      </c>
      <c r="EG31" s="449">
        <v>45123</v>
      </c>
      <c r="EH31" s="448">
        <v>11.9</v>
      </c>
      <c r="EI31" s="448" t="s">
        <v>1659</v>
      </c>
      <c r="EJ31" s="448">
        <v>1.58</v>
      </c>
      <c r="EK31" s="448" t="s">
        <v>1618</v>
      </c>
      <c r="EL31" s="448">
        <v>3.77</v>
      </c>
      <c r="EM31" s="448">
        <v>41.2</v>
      </c>
      <c r="EN31" s="448">
        <v>17400</v>
      </c>
      <c r="EO31" s="448">
        <v>875</v>
      </c>
      <c r="EP31" s="448">
        <v>15.9</v>
      </c>
      <c r="EQ31" s="448">
        <v>1010</v>
      </c>
      <c r="ER31" s="448">
        <v>444</v>
      </c>
      <c r="ES31" s="448">
        <v>74.599999999999994</v>
      </c>
      <c r="ET31" s="448">
        <v>2.54</v>
      </c>
      <c r="EU31" s="450">
        <v>118</v>
      </c>
    </row>
    <row r="32" spans="2:151">
      <c r="B32" s="78" t="s">
        <v>7</v>
      </c>
      <c r="C32" s="79" t="s">
        <v>37</v>
      </c>
      <c r="D32" s="80" t="s">
        <v>37</v>
      </c>
      <c r="E32" s="1" t="s">
        <v>4</v>
      </c>
      <c r="F32" s="4">
        <v>19.600000000000001</v>
      </c>
      <c r="G32" s="7">
        <v>5.8</v>
      </c>
      <c r="H32" s="3" t="str">
        <f t="shared" si="0"/>
        <v>L8X4X1/2</v>
      </c>
      <c r="I32" s="7">
        <v>4</v>
      </c>
      <c r="J32" s="5" t="s">
        <v>5</v>
      </c>
      <c r="K32" s="6" t="s">
        <v>5</v>
      </c>
      <c r="L32" s="6" t="s">
        <v>5</v>
      </c>
      <c r="M32" s="6" t="s">
        <v>5</v>
      </c>
      <c r="N32" s="6" t="s">
        <v>5</v>
      </c>
      <c r="O32" s="5" t="s">
        <v>5</v>
      </c>
      <c r="P32" s="5" t="s">
        <v>5</v>
      </c>
      <c r="Q32" s="7">
        <v>8</v>
      </c>
      <c r="R32" s="6" t="s">
        <v>5</v>
      </c>
      <c r="S32" s="6" t="s">
        <v>5</v>
      </c>
      <c r="T32" s="5" t="s">
        <v>5</v>
      </c>
      <c r="U32" s="8" t="s">
        <v>5</v>
      </c>
      <c r="V32" s="6" t="s">
        <v>5</v>
      </c>
      <c r="W32" s="8" t="s">
        <v>5</v>
      </c>
      <c r="X32" s="22">
        <v>0.5</v>
      </c>
      <c r="Y32" s="6" t="s">
        <v>5</v>
      </c>
      <c r="Z32" s="6" t="s">
        <v>5</v>
      </c>
      <c r="AA32" s="7">
        <v>1</v>
      </c>
      <c r="AB32" s="8">
        <v>1</v>
      </c>
      <c r="AC32" s="8" t="s">
        <v>5</v>
      </c>
      <c r="AD32" s="22">
        <v>0.85399999999999998</v>
      </c>
      <c r="AE32" s="7">
        <v>2.84</v>
      </c>
      <c r="AF32" s="6" t="s">
        <v>5</v>
      </c>
      <c r="AG32" s="22">
        <v>0.36299999999999999</v>
      </c>
      <c r="AH32" s="7">
        <v>2.2000000000000002</v>
      </c>
      <c r="AI32" s="6" t="s">
        <v>5</v>
      </c>
      <c r="AJ32" s="4">
        <v>16</v>
      </c>
      <c r="AK32" s="6" t="s">
        <v>5</v>
      </c>
      <c r="AL32" s="6" t="s">
        <v>5</v>
      </c>
      <c r="AM32" s="6" t="s">
        <v>5</v>
      </c>
      <c r="AN32" s="6" t="s">
        <v>5</v>
      </c>
      <c r="AO32" s="4">
        <v>38.6</v>
      </c>
      <c r="AP32" s="4">
        <v>13.1</v>
      </c>
      <c r="AQ32" s="7">
        <v>7.48</v>
      </c>
      <c r="AR32" s="7">
        <v>2.58</v>
      </c>
      <c r="AS32" s="7">
        <v>6.75</v>
      </c>
      <c r="AT32" s="7">
        <v>3.91</v>
      </c>
      <c r="AU32" s="7">
        <v>2.15</v>
      </c>
      <c r="AV32" s="7">
        <v>1.08</v>
      </c>
      <c r="AW32" s="6">
        <v>4.32</v>
      </c>
      <c r="AX32" s="22">
        <v>0.86299999999999999</v>
      </c>
      <c r="AY32" s="12">
        <v>1.82</v>
      </c>
      <c r="AZ32" s="22">
        <v>0.501</v>
      </c>
      <c r="BA32" s="7">
        <v>1.8</v>
      </c>
      <c r="BB32" s="6" t="s">
        <v>5</v>
      </c>
      <c r="BC32" s="6" t="s">
        <v>5</v>
      </c>
      <c r="BD32" s="6" t="s">
        <v>5</v>
      </c>
      <c r="BE32" s="6" t="s">
        <v>5</v>
      </c>
      <c r="BF32" s="6" t="s">
        <v>5</v>
      </c>
      <c r="BG32" s="6" t="s">
        <v>5</v>
      </c>
      <c r="BH32" s="6" t="s">
        <v>5</v>
      </c>
      <c r="BI32" s="7">
        <v>3.86</v>
      </c>
      <c r="BJ32" s="24" t="s">
        <v>5</v>
      </c>
      <c r="BK32" s="23">
        <v>0.26600000000000001</v>
      </c>
      <c r="BL32" s="4">
        <v>41</v>
      </c>
      <c r="BM32" s="7">
        <v>3.31</v>
      </c>
      <c r="BN32" s="6">
        <v>2.52</v>
      </c>
      <c r="BO32" s="7">
        <v>5.14</v>
      </c>
      <c r="BP32" s="7">
        <v>2.37</v>
      </c>
      <c r="BQ32" s="6">
        <v>1.56</v>
      </c>
      <c r="BR32" s="6">
        <v>0.74399999999999999</v>
      </c>
      <c r="BS32" s="16">
        <v>12.4</v>
      </c>
      <c r="BT32" s="16">
        <v>16.3</v>
      </c>
      <c r="BU32" s="16">
        <v>7.98</v>
      </c>
      <c r="BV32" s="16">
        <v>1.82</v>
      </c>
      <c r="BW32" s="16">
        <v>2.77</v>
      </c>
      <c r="BX32" s="16">
        <v>5.81</v>
      </c>
      <c r="BY32" s="25" t="s">
        <v>5</v>
      </c>
      <c r="BZ32" s="25" t="s">
        <v>5</v>
      </c>
      <c r="CA32" s="4">
        <v>20</v>
      </c>
      <c r="CB32" s="4">
        <v>16</v>
      </c>
      <c r="CC32" s="4">
        <v>24</v>
      </c>
      <c r="CD32" s="25" t="s">
        <v>5</v>
      </c>
      <c r="CE32" s="25" t="s">
        <v>5</v>
      </c>
      <c r="CF32" s="16" t="s">
        <v>5</v>
      </c>
      <c r="CG32" s="16" t="s">
        <v>5</v>
      </c>
      <c r="CH32" s="18" t="s">
        <v>5</v>
      </c>
      <c r="CL32" s="504"/>
      <c r="CM32" s="59" t="s">
        <v>525</v>
      </c>
      <c r="CN32" s="64" t="s">
        <v>526</v>
      </c>
      <c r="CO32" s="71">
        <v>50</v>
      </c>
      <c r="CP32" s="67">
        <v>60</v>
      </c>
      <c r="CS32" s="335" t="str">
        <f t="shared" si="1"/>
        <v>L7X4X3/4</v>
      </c>
      <c r="CT32" s="338">
        <v>7.74</v>
      </c>
      <c r="CV32" s="344" t="str">
        <f t="shared" si="2"/>
        <v>WT12X185</v>
      </c>
      <c r="CW32" s="337">
        <v>54.5</v>
      </c>
      <c r="DE32" s="335" t="str">
        <f t="shared" si="5"/>
        <v>2L10X10X7/8</v>
      </c>
      <c r="DF32" s="337">
        <v>33.6</v>
      </c>
      <c r="DH32" s="397" t="s">
        <v>1241</v>
      </c>
      <c r="DI32" s="403">
        <v>272</v>
      </c>
      <c r="DJ32" s="398">
        <v>43.1</v>
      </c>
      <c r="DK32" s="400">
        <v>3.02</v>
      </c>
      <c r="DL32" s="398">
        <v>10.8</v>
      </c>
      <c r="DM32" s="400">
        <v>2.0499999999999998</v>
      </c>
      <c r="DN32" s="404">
        <v>4130</v>
      </c>
      <c r="DO32" s="405">
        <v>3390</v>
      </c>
      <c r="DP32" s="118"/>
      <c r="DQ32" s="428" t="s">
        <v>1269</v>
      </c>
      <c r="DR32" s="429">
        <v>1420</v>
      </c>
      <c r="DS32" s="429">
        <v>22000</v>
      </c>
      <c r="DT32" s="430" t="s">
        <v>1345</v>
      </c>
      <c r="DU32" s="430">
        <v>598</v>
      </c>
      <c r="DV32" s="429">
        <v>149</v>
      </c>
      <c r="DW32" s="431">
        <f t="shared" si="8"/>
        <v>598</v>
      </c>
      <c r="DX32" s="432">
        <f t="shared" si="9"/>
        <v>9800</v>
      </c>
      <c r="DZ32" s="447" t="s">
        <v>1309</v>
      </c>
      <c r="EA32" s="448">
        <v>211</v>
      </c>
      <c r="EB32" s="448">
        <v>62.1</v>
      </c>
      <c r="EC32" s="448">
        <v>39.4</v>
      </c>
      <c r="ED32" s="448" t="s">
        <v>1648</v>
      </c>
      <c r="EE32" s="448">
        <v>0.75</v>
      </c>
      <c r="EF32" s="449">
        <v>44989</v>
      </c>
      <c r="EG32" s="449">
        <v>44993</v>
      </c>
      <c r="EH32" s="448">
        <v>11.8</v>
      </c>
      <c r="EI32" s="448" t="s">
        <v>1660</v>
      </c>
      <c r="EJ32" s="448">
        <v>1.42</v>
      </c>
      <c r="EK32" s="448" t="s">
        <v>1622</v>
      </c>
      <c r="EL32" s="448">
        <v>4.17</v>
      </c>
      <c r="EM32" s="448">
        <v>45.6</v>
      </c>
      <c r="EN32" s="448">
        <v>15500</v>
      </c>
      <c r="EO32" s="448">
        <v>786</v>
      </c>
      <c r="EP32" s="448">
        <v>15.8</v>
      </c>
      <c r="EQ32" s="448">
        <v>906</v>
      </c>
      <c r="ER32" s="448">
        <v>390</v>
      </c>
      <c r="ES32" s="448">
        <v>66.099999999999994</v>
      </c>
      <c r="ET32" s="448">
        <v>2.5099999999999998</v>
      </c>
      <c r="EU32" s="450">
        <v>105</v>
      </c>
    </row>
    <row r="33" spans="2:151">
      <c r="B33" s="78" t="s">
        <v>7</v>
      </c>
      <c r="C33" s="79" t="s">
        <v>38</v>
      </c>
      <c r="D33" s="80" t="s">
        <v>38</v>
      </c>
      <c r="E33" s="1" t="s">
        <v>4</v>
      </c>
      <c r="F33" s="4">
        <v>17.2</v>
      </c>
      <c r="G33" s="7">
        <v>5.1100000000000003</v>
      </c>
      <c r="H33" s="3" t="str">
        <f t="shared" si="0"/>
        <v>L8X4X7/16</v>
      </c>
      <c r="I33" s="7">
        <v>4</v>
      </c>
      <c r="J33" s="5" t="s">
        <v>5</v>
      </c>
      <c r="K33" s="6" t="s">
        <v>5</v>
      </c>
      <c r="L33" s="6" t="s">
        <v>5</v>
      </c>
      <c r="M33" s="6" t="s">
        <v>5</v>
      </c>
      <c r="N33" s="6" t="s">
        <v>5</v>
      </c>
      <c r="O33" s="5" t="s">
        <v>5</v>
      </c>
      <c r="P33" s="5" t="s">
        <v>5</v>
      </c>
      <c r="Q33" s="7">
        <v>8</v>
      </c>
      <c r="R33" s="6" t="s">
        <v>5</v>
      </c>
      <c r="S33" s="6" t="s">
        <v>5</v>
      </c>
      <c r="T33" s="5" t="s">
        <v>5</v>
      </c>
      <c r="U33" s="8" t="s">
        <v>5</v>
      </c>
      <c r="V33" s="6" t="s">
        <v>5</v>
      </c>
      <c r="W33" s="8" t="s">
        <v>5</v>
      </c>
      <c r="X33" s="22">
        <v>0.438</v>
      </c>
      <c r="Y33" s="6" t="s">
        <v>5</v>
      </c>
      <c r="Z33" s="6" t="s">
        <v>5</v>
      </c>
      <c r="AA33" s="22">
        <v>0.93799999999999994</v>
      </c>
      <c r="AB33" s="8">
        <v>0.9375</v>
      </c>
      <c r="AC33" s="8" t="s">
        <v>5</v>
      </c>
      <c r="AD33" s="22">
        <v>0.82899999999999996</v>
      </c>
      <c r="AE33" s="7">
        <v>2.81</v>
      </c>
      <c r="AF33" s="6" t="s">
        <v>5</v>
      </c>
      <c r="AG33" s="22">
        <v>0.31900000000000001</v>
      </c>
      <c r="AH33" s="7">
        <v>2.16</v>
      </c>
      <c r="AI33" s="6" t="s">
        <v>5</v>
      </c>
      <c r="AJ33" s="4">
        <v>18.3</v>
      </c>
      <c r="AK33" s="6" t="s">
        <v>5</v>
      </c>
      <c r="AL33" s="6" t="s">
        <v>5</v>
      </c>
      <c r="AM33" s="6" t="s">
        <v>5</v>
      </c>
      <c r="AN33" s="6" t="s">
        <v>5</v>
      </c>
      <c r="AO33" s="4">
        <v>34.200000000000003</v>
      </c>
      <c r="AP33" s="4">
        <v>11.6</v>
      </c>
      <c r="AQ33" s="7">
        <v>6.59</v>
      </c>
      <c r="AR33" s="7">
        <v>2.59</v>
      </c>
      <c r="AS33" s="7">
        <v>6.03</v>
      </c>
      <c r="AT33" s="7">
        <v>3.42</v>
      </c>
      <c r="AU33" s="7">
        <v>1.9</v>
      </c>
      <c r="AV33" s="7">
        <v>1.0900000000000001</v>
      </c>
      <c r="AW33" s="6">
        <v>3.84</v>
      </c>
      <c r="AX33" s="22">
        <v>0.86699999999999999</v>
      </c>
      <c r="AY33" s="12">
        <v>1.61</v>
      </c>
      <c r="AZ33" s="22">
        <v>0.34</v>
      </c>
      <c r="BA33" s="7">
        <v>1.22</v>
      </c>
      <c r="BB33" s="6" t="s">
        <v>5</v>
      </c>
      <c r="BC33" s="6" t="s">
        <v>5</v>
      </c>
      <c r="BD33" s="6" t="s">
        <v>5</v>
      </c>
      <c r="BE33" s="6" t="s">
        <v>5</v>
      </c>
      <c r="BF33" s="6" t="s">
        <v>5</v>
      </c>
      <c r="BG33" s="6" t="s">
        <v>5</v>
      </c>
      <c r="BH33" s="6" t="s">
        <v>5</v>
      </c>
      <c r="BI33" s="7">
        <v>3.87</v>
      </c>
      <c r="BJ33" s="24" t="s">
        <v>5</v>
      </c>
      <c r="BK33" s="23">
        <v>0.26800000000000002</v>
      </c>
      <c r="BL33" s="6">
        <v>36.4</v>
      </c>
      <c r="BM33" s="7">
        <v>3.33</v>
      </c>
      <c r="BN33" s="7">
        <v>2.5</v>
      </c>
      <c r="BO33" s="7">
        <v>5.17</v>
      </c>
      <c r="BP33" s="7">
        <v>2.39</v>
      </c>
      <c r="BQ33" s="7">
        <v>1.53</v>
      </c>
      <c r="BR33" s="6">
        <v>0.75800000000000001</v>
      </c>
      <c r="BS33" s="16">
        <v>10.9</v>
      </c>
      <c r="BT33" s="16">
        <v>14.6</v>
      </c>
      <c r="BU33" s="16">
        <v>7.04</v>
      </c>
      <c r="BV33" s="16">
        <v>1.61</v>
      </c>
      <c r="BW33" s="16">
        <v>2.5099999999999998</v>
      </c>
      <c r="BX33" s="16">
        <v>5.07</v>
      </c>
      <c r="BY33" s="25" t="s">
        <v>5</v>
      </c>
      <c r="BZ33" s="25" t="s">
        <v>5</v>
      </c>
      <c r="CA33" s="4">
        <v>20</v>
      </c>
      <c r="CB33" s="4">
        <v>16</v>
      </c>
      <c r="CC33" s="4">
        <v>24</v>
      </c>
      <c r="CD33" s="25" t="s">
        <v>5</v>
      </c>
      <c r="CE33" s="25" t="s">
        <v>5</v>
      </c>
      <c r="CF33" s="16" t="s">
        <v>5</v>
      </c>
      <c r="CG33" s="16" t="s">
        <v>5</v>
      </c>
      <c r="CH33" s="18" t="s">
        <v>5</v>
      </c>
      <c r="CL33" s="504"/>
      <c r="CM33" s="59" t="s">
        <v>527</v>
      </c>
      <c r="CN33" s="64"/>
      <c r="CO33" s="71">
        <v>50</v>
      </c>
      <c r="CP33" s="67">
        <v>70</v>
      </c>
      <c r="CS33" s="335" t="str">
        <f t="shared" si="1"/>
        <v>L8X6X9/16</v>
      </c>
      <c r="CT33" s="338">
        <v>7.61</v>
      </c>
      <c r="CV33" s="344" t="str">
        <f t="shared" si="2"/>
        <v>WT7X185</v>
      </c>
      <c r="CW33" s="337">
        <v>54.4</v>
      </c>
      <c r="DE33" s="335" t="str">
        <f t="shared" si="5"/>
        <v>2L8X8X1</v>
      </c>
      <c r="DF33" s="337">
        <v>30.2</v>
      </c>
      <c r="DH33" s="397" t="s">
        <v>1242</v>
      </c>
      <c r="DI33" s="403">
        <v>251</v>
      </c>
      <c r="DJ33" s="398">
        <v>43.1</v>
      </c>
      <c r="DK33" s="400">
        <v>2.52</v>
      </c>
      <c r="DL33" s="398">
        <v>12.9</v>
      </c>
      <c r="DM33" s="400">
        <v>2.0099999999999998</v>
      </c>
      <c r="DN33" s="404">
        <v>3920</v>
      </c>
      <c r="DO33" s="405">
        <v>3250</v>
      </c>
      <c r="DP33" s="118"/>
      <c r="DQ33" s="428" t="s">
        <v>1270</v>
      </c>
      <c r="DR33" s="429">
        <v>1410</v>
      </c>
      <c r="DS33" s="429">
        <v>27000</v>
      </c>
      <c r="DT33" s="430" t="s">
        <v>1355</v>
      </c>
      <c r="DU33" s="430">
        <v>514</v>
      </c>
      <c r="DV33" s="429">
        <v>141</v>
      </c>
      <c r="DW33" s="431">
        <f t="shared" si="8"/>
        <v>514</v>
      </c>
      <c r="DX33" s="432">
        <f t="shared" si="9"/>
        <v>7450</v>
      </c>
      <c r="DZ33" s="447" t="s">
        <v>1318</v>
      </c>
      <c r="EA33" s="448">
        <v>183</v>
      </c>
      <c r="EB33" s="448">
        <v>53.3</v>
      </c>
      <c r="EC33" s="448">
        <v>39</v>
      </c>
      <c r="ED33" s="448">
        <v>39</v>
      </c>
      <c r="EE33" s="448">
        <v>0.65</v>
      </c>
      <c r="EF33" s="449">
        <v>45054</v>
      </c>
      <c r="EG33" s="449">
        <v>45062</v>
      </c>
      <c r="EH33" s="448">
        <v>11.8</v>
      </c>
      <c r="EI33" s="448" t="s">
        <v>1660</v>
      </c>
      <c r="EJ33" s="448">
        <v>1.2</v>
      </c>
      <c r="EK33" s="448" t="s">
        <v>1640</v>
      </c>
      <c r="EL33" s="448">
        <v>4.92</v>
      </c>
      <c r="EM33" s="448">
        <v>52.6</v>
      </c>
      <c r="EN33" s="448">
        <v>13200</v>
      </c>
      <c r="EO33" s="448">
        <v>675</v>
      </c>
      <c r="EP33" s="448">
        <v>15.7</v>
      </c>
      <c r="EQ33" s="448">
        <v>774</v>
      </c>
      <c r="ER33" s="448">
        <v>331</v>
      </c>
      <c r="ES33" s="448">
        <v>56</v>
      </c>
      <c r="ET33" s="448">
        <v>2.4900000000000002</v>
      </c>
      <c r="EU33" s="450">
        <v>88.3</v>
      </c>
    </row>
    <row r="34" spans="2:151">
      <c r="B34" s="78" t="s">
        <v>7</v>
      </c>
      <c r="C34" s="79" t="s">
        <v>39</v>
      </c>
      <c r="D34" s="80" t="s">
        <v>39</v>
      </c>
      <c r="E34" s="1" t="s">
        <v>4</v>
      </c>
      <c r="F34" s="4">
        <v>26.2</v>
      </c>
      <c r="G34" s="7">
        <v>7.74</v>
      </c>
      <c r="H34" s="3" t="str">
        <f t="shared" si="0"/>
        <v>L7X4X3/4</v>
      </c>
      <c r="I34" s="7">
        <v>4</v>
      </c>
      <c r="J34" s="5" t="s">
        <v>5</v>
      </c>
      <c r="K34" s="6" t="s">
        <v>5</v>
      </c>
      <c r="L34" s="6" t="s">
        <v>5</v>
      </c>
      <c r="M34" s="6" t="s">
        <v>5</v>
      </c>
      <c r="N34" s="6" t="s">
        <v>5</v>
      </c>
      <c r="O34" s="5" t="s">
        <v>5</v>
      </c>
      <c r="P34" s="5" t="s">
        <v>5</v>
      </c>
      <c r="Q34" s="7">
        <v>7</v>
      </c>
      <c r="R34" s="6" t="s">
        <v>5</v>
      </c>
      <c r="S34" s="6" t="s">
        <v>5</v>
      </c>
      <c r="T34" s="5" t="s">
        <v>5</v>
      </c>
      <c r="U34" s="8" t="s">
        <v>5</v>
      </c>
      <c r="V34" s="6" t="s">
        <v>5</v>
      </c>
      <c r="W34" s="8" t="s">
        <v>5</v>
      </c>
      <c r="X34" s="22">
        <v>0.75</v>
      </c>
      <c r="Y34" s="6" t="s">
        <v>5</v>
      </c>
      <c r="Z34" s="6" t="s">
        <v>5</v>
      </c>
      <c r="AA34" s="7">
        <v>1.25</v>
      </c>
      <c r="AB34" s="8">
        <v>1.25</v>
      </c>
      <c r="AC34" s="8" t="s">
        <v>5</v>
      </c>
      <c r="AD34" s="7">
        <v>1</v>
      </c>
      <c r="AE34" s="7">
        <v>2.5</v>
      </c>
      <c r="AF34" s="6" t="s">
        <v>5</v>
      </c>
      <c r="AG34" s="22">
        <v>0.55300000000000005</v>
      </c>
      <c r="AH34" s="7">
        <v>1.84</v>
      </c>
      <c r="AI34" s="6" t="s">
        <v>5</v>
      </c>
      <c r="AJ34" s="7">
        <v>9.33</v>
      </c>
      <c r="AK34" s="6" t="s">
        <v>5</v>
      </c>
      <c r="AL34" s="6" t="s">
        <v>5</v>
      </c>
      <c r="AM34" s="6" t="s">
        <v>5</v>
      </c>
      <c r="AN34" s="6" t="s">
        <v>5</v>
      </c>
      <c r="AO34" s="4">
        <v>37.799999999999997</v>
      </c>
      <c r="AP34" s="4">
        <v>14.8</v>
      </c>
      <c r="AQ34" s="7">
        <v>8.39</v>
      </c>
      <c r="AR34" s="7">
        <v>2.21</v>
      </c>
      <c r="AS34" s="7">
        <v>9</v>
      </c>
      <c r="AT34" s="7">
        <v>5.6</v>
      </c>
      <c r="AU34" s="7">
        <v>3.01</v>
      </c>
      <c r="AV34" s="7">
        <v>1.08</v>
      </c>
      <c r="AW34" s="6">
        <v>5.63</v>
      </c>
      <c r="AX34" s="22">
        <v>0.85499999999999998</v>
      </c>
      <c r="AY34" s="12">
        <v>2.56</v>
      </c>
      <c r="AZ34" s="7">
        <v>1.47</v>
      </c>
      <c r="BA34" s="7">
        <v>3.97</v>
      </c>
      <c r="BB34" s="6" t="s">
        <v>5</v>
      </c>
      <c r="BC34" s="6" t="s">
        <v>5</v>
      </c>
      <c r="BD34" s="6" t="s">
        <v>5</v>
      </c>
      <c r="BE34" s="6" t="s">
        <v>5</v>
      </c>
      <c r="BF34" s="6" t="s">
        <v>5</v>
      </c>
      <c r="BG34" s="6" t="s">
        <v>5</v>
      </c>
      <c r="BH34" s="6" t="s">
        <v>5</v>
      </c>
      <c r="BI34" s="7">
        <v>3.31</v>
      </c>
      <c r="BJ34" s="24" t="s">
        <v>5</v>
      </c>
      <c r="BK34" s="23">
        <v>0.32400000000000001</v>
      </c>
      <c r="BL34" s="6">
        <v>41.2</v>
      </c>
      <c r="BM34" s="7">
        <v>2.95</v>
      </c>
      <c r="BN34" s="6">
        <v>2.0699999999999998</v>
      </c>
      <c r="BO34" s="7">
        <v>4.47</v>
      </c>
      <c r="BP34" s="7">
        <v>2.2000000000000002</v>
      </c>
      <c r="BQ34" s="6">
        <v>1.72</v>
      </c>
      <c r="BR34" s="22">
        <v>0.79</v>
      </c>
      <c r="BS34" s="17">
        <v>14</v>
      </c>
      <c r="BT34" s="16">
        <v>19.899999999999999</v>
      </c>
      <c r="BU34" s="16">
        <v>9.2200000000000006</v>
      </c>
      <c r="BV34" s="16">
        <v>2.56</v>
      </c>
      <c r="BW34" s="16">
        <v>3.27</v>
      </c>
      <c r="BX34" s="16">
        <v>7.13</v>
      </c>
      <c r="BY34" s="25" t="s">
        <v>5</v>
      </c>
      <c r="BZ34" s="25" t="s">
        <v>5</v>
      </c>
      <c r="CA34" s="4">
        <v>18</v>
      </c>
      <c r="CB34" s="4">
        <v>15</v>
      </c>
      <c r="CC34" s="4">
        <v>22</v>
      </c>
      <c r="CD34" s="25" t="s">
        <v>5</v>
      </c>
      <c r="CE34" s="25" t="s">
        <v>5</v>
      </c>
      <c r="CF34" s="16" t="s">
        <v>5</v>
      </c>
      <c r="CG34" s="16" t="s">
        <v>5</v>
      </c>
      <c r="CH34" s="18" t="s">
        <v>5</v>
      </c>
      <c r="CL34" s="504"/>
      <c r="CM34" s="59" t="s">
        <v>528</v>
      </c>
      <c r="CN34" s="64"/>
      <c r="CO34" s="71">
        <v>50</v>
      </c>
      <c r="CP34" s="67">
        <v>60</v>
      </c>
      <c r="CS34" s="335" t="str">
        <f t="shared" si="1"/>
        <v>L8X4X5/8</v>
      </c>
      <c r="CT34" s="338">
        <v>7.16</v>
      </c>
      <c r="CV34" s="344" t="str">
        <f t="shared" si="2"/>
        <v>WT13.5X184</v>
      </c>
      <c r="CW34" s="337">
        <v>54.2</v>
      </c>
      <c r="DE34" s="335" t="str">
        <f t="shared" si="5"/>
        <v>2L8X8X1</v>
      </c>
      <c r="DF34" s="337">
        <v>30.2</v>
      </c>
      <c r="DH34" s="397" t="s">
        <v>1243</v>
      </c>
      <c r="DI34" s="403">
        <v>236</v>
      </c>
      <c r="DJ34" s="398">
        <v>42.6</v>
      </c>
      <c r="DK34" s="400">
        <v>2.38</v>
      </c>
      <c r="DL34" s="398">
        <v>13.7</v>
      </c>
      <c r="DM34" s="400">
        <v>2.1</v>
      </c>
      <c r="DN34" s="404">
        <v>3660</v>
      </c>
      <c r="DO34" s="405">
        <v>3040</v>
      </c>
      <c r="DP34" s="118"/>
      <c r="DQ34" s="428" t="s">
        <v>1271</v>
      </c>
      <c r="DR34" s="429">
        <v>1410</v>
      </c>
      <c r="DS34" s="429">
        <v>24500</v>
      </c>
      <c r="DT34" s="430" t="s">
        <v>1357</v>
      </c>
      <c r="DU34" s="430">
        <v>509</v>
      </c>
      <c r="DV34" s="429">
        <v>135</v>
      </c>
      <c r="DW34" s="431">
        <f t="shared" si="8"/>
        <v>509</v>
      </c>
      <c r="DX34" s="432">
        <f t="shared" si="9"/>
        <v>7800</v>
      </c>
      <c r="DZ34" s="447" t="s">
        <v>1329</v>
      </c>
      <c r="EA34" s="448">
        <v>167</v>
      </c>
      <c r="EB34" s="448">
        <v>49.3</v>
      </c>
      <c r="EC34" s="448">
        <v>38.6</v>
      </c>
      <c r="ED34" s="448" t="s">
        <v>1649</v>
      </c>
      <c r="EE34" s="448">
        <v>0.65</v>
      </c>
      <c r="EF34" s="449">
        <v>45054</v>
      </c>
      <c r="EG34" s="449">
        <v>45062</v>
      </c>
      <c r="EH34" s="448">
        <v>11.8</v>
      </c>
      <c r="EI34" s="448" t="s">
        <v>1660</v>
      </c>
      <c r="EJ34" s="448">
        <v>1.03</v>
      </c>
      <c r="EK34" s="448">
        <v>1</v>
      </c>
      <c r="EL34" s="448">
        <v>5.76</v>
      </c>
      <c r="EM34" s="448">
        <v>52.6</v>
      </c>
      <c r="EN34" s="448">
        <v>11600</v>
      </c>
      <c r="EO34" s="448">
        <v>600</v>
      </c>
      <c r="EP34" s="448">
        <v>15.3</v>
      </c>
      <c r="EQ34" s="448">
        <v>693</v>
      </c>
      <c r="ER34" s="448">
        <v>283</v>
      </c>
      <c r="ES34" s="448">
        <v>47.9</v>
      </c>
      <c r="ET34" s="448">
        <v>2.4</v>
      </c>
      <c r="EU34" s="450">
        <v>76</v>
      </c>
    </row>
    <row r="35" spans="2:151" ht="14.4" thickBot="1">
      <c r="B35" s="78" t="s">
        <v>7</v>
      </c>
      <c r="C35" s="79" t="s">
        <v>40</v>
      </c>
      <c r="D35" s="80" t="s">
        <v>40</v>
      </c>
      <c r="E35" s="1" t="s">
        <v>4</v>
      </c>
      <c r="F35" s="4">
        <v>22.1</v>
      </c>
      <c r="G35" s="7">
        <v>6.5</v>
      </c>
      <c r="H35" s="3" t="str">
        <f t="shared" si="0"/>
        <v>L7X4X5/8</v>
      </c>
      <c r="I35" s="7">
        <v>4</v>
      </c>
      <c r="J35" s="5" t="s">
        <v>5</v>
      </c>
      <c r="K35" s="6" t="s">
        <v>5</v>
      </c>
      <c r="L35" s="6" t="s">
        <v>5</v>
      </c>
      <c r="M35" s="6" t="s">
        <v>5</v>
      </c>
      <c r="N35" s="6" t="s">
        <v>5</v>
      </c>
      <c r="O35" s="5" t="s">
        <v>5</v>
      </c>
      <c r="P35" s="5" t="s">
        <v>5</v>
      </c>
      <c r="Q35" s="7">
        <v>7</v>
      </c>
      <c r="R35" s="6" t="s">
        <v>5</v>
      </c>
      <c r="S35" s="6" t="s">
        <v>5</v>
      </c>
      <c r="T35" s="5" t="s">
        <v>5</v>
      </c>
      <c r="U35" s="8" t="s">
        <v>5</v>
      </c>
      <c r="V35" s="6" t="s">
        <v>5</v>
      </c>
      <c r="W35" s="8" t="s">
        <v>5</v>
      </c>
      <c r="X35" s="22">
        <v>0.625</v>
      </c>
      <c r="Y35" s="6" t="s">
        <v>5</v>
      </c>
      <c r="Z35" s="6" t="s">
        <v>5</v>
      </c>
      <c r="AA35" s="7">
        <v>1.1299999999999999</v>
      </c>
      <c r="AB35" s="8">
        <v>1.125</v>
      </c>
      <c r="AC35" s="8" t="s">
        <v>5</v>
      </c>
      <c r="AD35" s="22">
        <v>0.95799999999999996</v>
      </c>
      <c r="AE35" s="7">
        <v>2.4500000000000002</v>
      </c>
      <c r="AF35" s="6" t="s">
        <v>5</v>
      </c>
      <c r="AG35" s="22">
        <v>0.46400000000000002</v>
      </c>
      <c r="AH35" s="7">
        <v>1.8</v>
      </c>
      <c r="AI35" s="6" t="s">
        <v>5</v>
      </c>
      <c r="AJ35" s="4">
        <v>11.2</v>
      </c>
      <c r="AK35" s="6" t="s">
        <v>5</v>
      </c>
      <c r="AL35" s="6" t="s">
        <v>5</v>
      </c>
      <c r="AM35" s="6" t="s">
        <v>5</v>
      </c>
      <c r="AN35" s="6" t="s">
        <v>5</v>
      </c>
      <c r="AO35" s="4">
        <v>32.4</v>
      </c>
      <c r="AP35" s="4">
        <v>12.5</v>
      </c>
      <c r="AQ35" s="7">
        <v>7.12</v>
      </c>
      <c r="AR35" s="7">
        <v>2.23</v>
      </c>
      <c r="AS35" s="7">
        <v>7.79</v>
      </c>
      <c r="AT35" s="7">
        <v>4.6900000000000004</v>
      </c>
      <c r="AU35" s="7">
        <v>2.56</v>
      </c>
      <c r="AV35" s="7">
        <v>1.1000000000000001</v>
      </c>
      <c r="AW35" s="6">
        <v>4.8099999999999996</v>
      </c>
      <c r="AX35" s="22">
        <v>0.86</v>
      </c>
      <c r="AY35" s="12">
        <v>2.17</v>
      </c>
      <c r="AZ35" s="22">
        <v>0.86799999999999999</v>
      </c>
      <c r="BA35" s="7">
        <v>2.37</v>
      </c>
      <c r="BB35" s="6" t="s">
        <v>5</v>
      </c>
      <c r="BC35" s="6" t="s">
        <v>5</v>
      </c>
      <c r="BD35" s="6" t="s">
        <v>5</v>
      </c>
      <c r="BE35" s="6" t="s">
        <v>5</v>
      </c>
      <c r="BF35" s="6" t="s">
        <v>5</v>
      </c>
      <c r="BG35" s="6" t="s">
        <v>5</v>
      </c>
      <c r="BH35" s="6" t="s">
        <v>5</v>
      </c>
      <c r="BI35" s="7">
        <v>3.34</v>
      </c>
      <c r="BJ35" s="24" t="s">
        <v>5</v>
      </c>
      <c r="BK35" s="23">
        <v>0.32900000000000001</v>
      </c>
      <c r="BL35" s="6">
        <v>35.4</v>
      </c>
      <c r="BM35" s="7">
        <v>2.98</v>
      </c>
      <c r="BN35" s="6">
        <v>2.0299999999999998</v>
      </c>
      <c r="BO35" s="7">
        <v>4.5199999999999996</v>
      </c>
      <c r="BP35" s="7">
        <v>2.2200000000000002</v>
      </c>
      <c r="BQ35" s="6">
        <v>1.68</v>
      </c>
      <c r="BR35" s="22">
        <v>0.80800000000000005</v>
      </c>
      <c r="BS35" s="16">
        <v>11.9</v>
      </c>
      <c r="BT35" s="16">
        <v>17.399999999999999</v>
      </c>
      <c r="BU35" s="16">
        <v>7.83</v>
      </c>
      <c r="BV35" s="16">
        <v>2.17</v>
      </c>
      <c r="BW35" s="16">
        <v>2.86</v>
      </c>
      <c r="BX35" s="16">
        <v>5.95</v>
      </c>
      <c r="BY35" s="25" t="s">
        <v>5</v>
      </c>
      <c r="BZ35" s="25" t="s">
        <v>5</v>
      </c>
      <c r="CA35" s="4">
        <v>18</v>
      </c>
      <c r="CB35" s="4">
        <v>15</v>
      </c>
      <c r="CC35" s="4">
        <v>22</v>
      </c>
      <c r="CD35" s="25" t="s">
        <v>5</v>
      </c>
      <c r="CE35" s="25" t="s">
        <v>5</v>
      </c>
      <c r="CF35" s="16" t="s">
        <v>5</v>
      </c>
      <c r="CG35" s="16" t="s">
        <v>5</v>
      </c>
      <c r="CH35" s="18" t="s">
        <v>5</v>
      </c>
      <c r="CL35" s="505"/>
      <c r="CM35" s="74" t="s">
        <v>529</v>
      </c>
      <c r="CN35" s="57" t="s">
        <v>530</v>
      </c>
      <c r="CO35" s="73">
        <v>50</v>
      </c>
      <c r="CP35" s="69">
        <v>70</v>
      </c>
      <c r="CS35" s="335" t="str">
        <f t="shared" si="1"/>
        <v>L6X6X5/8</v>
      </c>
      <c r="CT35" s="338">
        <v>7.13</v>
      </c>
      <c r="CV35" s="344" t="str">
        <f t="shared" si="2"/>
        <v>WT20X181</v>
      </c>
      <c r="CW35" s="337">
        <v>53.2</v>
      </c>
      <c r="DE35" s="335" t="str">
        <f t="shared" si="5"/>
        <v>2L8X8X1</v>
      </c>
      <c r="DF35" s="337">
        <v>30.2</v>
      </c>
      <c r="DH35" s="397" t="s">
        <v>1244</v>
      </c>
      <c r="DI35" s="403">
        <v>213</v>
      </c>
      <c r="DJ35" s="398">
        <v>41.8</v>
      </c>
      <c r="DK35" s="400">
        <v>2.17</v>
      </c>
      <c r="DL35" s="398">
        <v>15</v>
      </c>
      <c r="DM35" s="400">
        <v>2.2799999999999998</v>
      </c>
      <c r="DN35" s="404">
        <v>3270</v>
      </c>
      <c r="DO35" s="405">
        <v>2740</v>
      </c>
      <c r="DP35" s="118"/>
      <c r="DQ35" s="428" t="s">
        <v>1272</v>
      </c>
      <c r="DR35" s="429">
        <v>1410</v>
      </c>
      <c r="DS35" s="429">
        <v>23300</v>
      </c>
      <c r="DT35" s="430" t="s">
        <v>1364</v>
      </c>
      <c r="DU35" s="430">
        <v>467</v>
      </c>
      <c r="DV35" s="429">
        <v>130</v>
      </c>
      <c r="DW35" s="431">
        <f t="shared" si="8"/>
        <v>467</v>
      </c>
      <c r="DX35" s="432">
        <f t="shared" si="9"/>
        <v>6710</v>
      </c>
      <c r="DZ35" s="447" t="s">
        <v>1345</v>
      </c>
      <c r="EA35" s="448">
        <v>149</v>
      </c>
      <c r="EB35" s="448">
        <v>43.8</v>
      </c>
      <c r="EC35" s="448">
        <v>38.200000000000003</v>
      </c>
      <c r="ED35" s="448" t="s">
        <v>1661</v>
      </c>
      <c r="EE35" s="448">
        <v>0.63</v>
      </c>
      <c r="EF35" s="449">
        <v>45054</v>
      </c>
      <c r="EG35" s="449">
        <v>45062</v>
      </c>
      <c r="EH35" s="448">
        <v>11.8</v>
      </c>
      <c r="EI35" s="448" t="s">
        <v>1660</v>
      </c>
      <c r="EJ35" s="448">
        <v>0.83</v>
      </c>
      <c r="EK35" s="448" t="s">
        <v>1620</v>
      </c>
      <c r="EL35" s="448">
        <v>7.11</v>
      </c>
      <c r="EM35" s="448">
        <v>54.3</v>
      </c>
      <c r="EN35" s="448">
        <v>9800</v>
      </c>
      <c r="EO35" s="448">
        <v>513</v>
      </c>
      <c r="EP35" s="448">
        <v>15</v>
      </c>
      <c r="EQ35" s="448">
        <v>598</v>
      </c>
      <c r="ER35" s="448">
        <v>229</v>
      </c>
      <c r="ES35" s="448">
        <v>38.799999999999997</v>
      </c>
      <c r="ET35" s="448">
        <v>2.29</v>
      </c>
      <c r="EU35" s="450">
        <v>62.2</v>
      </c>
    </row>
    <row r="36" spans="2:151" ht="15" customHeight="1" thickBot="1">
      <c r="B36" s="78" t="s">
        <v>7</v>
      </c>
      <c r="C36" s="79" t="s">
        <v>41</v>
      </c>
      <c r="D36" s="80" t="s">
        <v>41</v>
      </c>
      <c r="E36" s="1" t="s">
        <v>4</v>
      </c>
      <c r="F36" s="4">
        <v>17.899999999999999</v>
      </c>
      <c r="G36" s="7">
        <v>5.26</v>
      </c>
      <c r="H36" s="3" t="str">
        <f t="shared" si="0"/>
        <v>L7X4X1/2</v>
      </c>
      <c r="I36" s="7">
        <v>4</v>
      </c>
      <c r="J36" s="5" t="s">
        <v>5</v>
      </c>
      <c r="K36" s="6" t="s">
        <v>5</v>
      </c>
      <c r="L36" s="6" t="s">
        <v>5</v>
      </c>
      <c r="M36" s="6" t="s">
        <v>5</v>
      </c>
      <c r="N36" s="6" t="s">
        <v>5</v>
      </c>
      <c r="O36" s="5" t="s">
        <v>5</v>
      </c>
      <c r="P36" s="5" t="s">
        <v>5</v>
      </c>
      <c r="Q36" s="7">
        <v>7</v>
      </c>
      <c r="R36" s="6" t="s">
        <v>5</v>
      </c>
      <c r="S36" s="6" t="s">
        <v>5</v>
      </c>
      <c r="T36" s="5" t="s">
        <v>5</v>
      </c>
      <c r="U36" s="8" t="s">
        <v>5</v>
      </c>
      <c r="V36" s="6" t="s">
        <v>5</v>
      </c>
      <c r="W36" s="8" t="s">
        <v>5</v>
      </c>
      <c r="X36" s="22">
        <v>0.5</v>
      </c>
      <c r="Y36" s="6" t="s">
        <v>5</v>
      </c>
      <c r="Z36" s="6" t="s">
        <v>5</v>
      </c>
      <c r="AA36" s="7">
        <v>1</v>
      </c>
      <c r="AB36" s="8">
        <v>1</v>
      </c>
      <c r="AC36" s="8" t="s">
        <v>5</v>
      </c>
      <c r="AD36" s="22">
        <v>0.91</v>
      </c>
      <c r="AE36" s="7">
        <v>2.4</v>
      </c>
      <c r="AF36" s="6" t="s">
        <v>5</v>
      </c>
      <c r="AG36" s="22">
        <v>0.376</v>
      </c>
      <c r="AH36" s="7">
        <v>1.74</v>
      </c>
      <c r="AI36" s="6" t="s">
        <v>5</v>
      </c>
      <c r="AJ36" s="4">
        <v>14</v>
      </c>
      <c r="AK36" s="6" t="s">
        <v>5</v>
      </c>
      <c r="AL36" s="6" t="s">
        <v>5</v>
      </c>
      <c r="AM36" s="6" t="s">
        <v>5</v>
      </c>
      <c r="AN36" s="6" t="s">
        <v>5</v>
      </c>
      <c r="AO36" s="4">
        <v>26.6</v>
      </c>
      <c r="AP36" s="4">
        <v>10.199999999999999</v>
      </c>
      <c r="AQ36" s="7">
        <v>5.79</v>
      </c>
      <c r="AR36" s="7">
        <v>2.25</v>
      </c>
      <c r="AS36" s="7">
        <v>6.48</v>
      </c>
      <c r="AT36" s="7">
        <v>3.77</v>
      </c>
      <c r="AU36" s="7">
        <v>2.1</v>
      </c>
      <c r="AV36" s="7">
        <v>1.1100000000000001</v>
      </c>
      <c r="AW36" s="6">
        <v>3.94</v>
      </c>
      <c r="AX36" s="22">
        <v>0.86599999999999999</v>
      </c>
      <c r="AY36" s="12">
        <v>1.75</v>
      </c>
      <c r="AZ36" s="22">
        <v>0.45600000000000002</v>
      </c>
      <c r="BA36" s="7">
        <v>1.25</v>
      </c>
      <c r="BB36" s="6" t="s">
        <v>5</v>
      </c>
      <c r="BC36" s="6" t="s">
        <v>5</v>
      </c>
      <c r="BD36" s="6" t="s">
        <v>5</v>
      </c>
      <c r="BE36" s="6" t="s">
        <v>5</v>
      </c>
      <c r="BF36" s="6" t="s">
        <v>5</v>
      </c>
      <c r="BG36" s="6" t="s">
        <v>5</v>
      </c>
      <c r="BH36" s="6" t="s">
        <v>5</v>
      </c>
      <c r="BI36" s="7">
        <v>3.37</v>
      </c>
      <c r="BJ36" s="24" t="s">
        <v>5</v>
      </c>
      <c r="BK36" s="23">
        <v>0.33400000000000002</v>
      </c>
      <c r="BL36" s="6">
        <v>29.1</v>
      </c>
      <c r="BM36" s="7">
        <v>3.02</v>
      </c>
      <c r="BN36" s="6">
        <v>1.99</v>
      </c>
      <c r="BO36" s="7">
        <v>4.57</v>
      </c>
      <c r="BP36" s="7">
        <v>2.25</v>
      </c>
      <c r="BQ36" s="6">
        <v>1.62</v>
      </c>
      <c r="BR36" s="22">
        <v>0.83399999999999996</v>
      </c>
      <c r="BS36" s="16">
        <v>9.64</v>
      </c>
      <c r="BT36" s="16">
        <v>14.6</v>
      </c>
      <c r="BU36" s="16">
        <v>6.37</v>
      </c>
      <c r="BV36" s="16">
        <v>1.75</v>
      </c>
      <c r="BW36" s="16">
        <v>2.4300000000000002</v>
      </c>
      <c r="BX36" s="16">
        <v>4.72</v>
      </c>
      <c r="BY36" s="25" t="s">
        <v>5</v>
      </c>
      <c r="BZ36" s="25" t="s">
        <v>5</v>
      </c>
      <c r="CA36" s="4">
        <v>18</v>
      </c>
      <c r="CB36" s="4">
        <v>15</v>
      </c>
      <c r="CC36" s="4">
        <v>22</v>
      </c>
      <c r="CD36" s="25" t="s">
        <v>5</v>
      </c>
      <c r="CE36" s="25" t="s">
        <v>5</v>
      </c>
      <c r="CF36" s="16" t="s">
        <v>5</v>
      </c>
      <c r="CG36" s="16" t="s">
        <v>5</v>
      </c>
      <c r="CH36" s="18" t="s">
        <v>5</v>
      </c>
      <c r="CM36" s="75" t="s">
        <v>1540</v>
      </c>
      <c r="CN36" s="76" t="s">
        <v>530</v>
      </c>
      <c r="CO36" s="55">
        <v>100</v>
      </c>
      <c r="CP36" s="56" t="s">
        <v>1550</v>
      </c>
      <c r="CS36" s="335" t="str">
        <f t="shared" si="1"/>
        <v>L5X5X3/4</v>
      </c>
      <c r="CT36" s="338">
        <v>6.98</v>
      </c>
      <c r="CV36" s="344" t="str">
        <f t="shared" si="2"/>
        <v>WT18X180.5</v>
      </c>
      <c r="CW36" s="337">
        <v>53</v>
      </c>
      <c r="DE36" s="335" t="str">
        <f t="shared" si="5"/>
        <v>2L10X10X3/4</v>
      </c>
      <c r="DF36" s="337">
        <v>29</v>
      </c>
      <c r="DH36" s="397" t="s">
        <v>1246</v>
      </c>
      <c r="DI36" s="401">
        <v>192</v>
      </c>
      <c r="DJ36" s="398">
        <v>41.1</v>
      </c>
      <c r="DK36" s="400">
        <v>1.97</v>
      </c>
      <c r="DL36" s="398">
        <v>16.3</v>
      </c>
      <c r="DM36" s="400">
        <v>2.48</v>
      </c>
      <c r="DN36" s="401">
        <v>2910</v>
      </c>
      <c r="DO36" s="402">
        <v>2460</v>
      </c>
      <c r="DP36" s="117"/>
      <c r="DQ36" s="428" t="s">
        <v>1273</v>
      </c>
      <c r="DR36" s="429">
        <v>1330</v>
      </c>
      <c r="DS36" s="429">
        <v>23200</v>
      </c>
      <c r="DT36" s="430" t="s">
        <v>1372</v>
      </c>
      <c r="DU36" s="430">
        <v>415</v>
      </c>
      <c r="DV36" s="429">
        <v>118</v>
      </c>
      <c r="DW36" s="431">
        <f t="shared" si="8"/>
        <v>415</v>
      </c>
      <c r="DX36" s="432">
        <f t="shared" si="9"/>
        <v>5900</v>
      </c>
      <c r="DZ36" s="447" t="s">
        <v>1241</v>
      </c>
      <c r="EA36" s="448">
        <v>925</v>
      </c>
      <c r="EB36" s="448">
        <v>272</v>
      </c>
      <c r="EC36" s="448">
        <v>43.1</v>
      </c>
      <c r="ED36" s="448" t="s">
        <v>1662</v>
      </c>
      <c r="EE36" s="448">
        <v>3.02</v>
      </c>
      <c r="EF36" s="448">
        <v>3</v>
      </c>
      <c r="EG36" s="448" t="s">
        <v>1663</v>
      </c>
      <c r="EH36" s="448">
        <v>18.600000000000001</v>
      </c>
      <c r="EI36" s="448" t="s">
        <v>1664</v>
      </c>
      <c r="EJ36" s="448">
        <v>4.53</v>
      </c>
      <c r="EK36" s="448" t="s">
        <v>1665</v>
      </c>
      <c r="EL36" s="448">
        <v>2.0499999999999998</v>
      </c>
      <c r="EM36" s="448">
        <v>10.8</v>
      </c>
      <c r="EN36" s="448">
        <v>73000</v>
      </c>
      <c r="EO36" s="448">
        <v>3390</v>
      </c>
      <c r="EP36" s="448">
        <v>16.399999999999999</v>
      </c>
      <c r="EQ36" s="448">
        <v>4130</v>
      </c>
      <c r="ER36" s="448">
        <v>4940</v>
      </c>
      <c r="ES36" s="448">
        <v>531</v>
      </c>
      <c r="ET36" s="448">
        <v>4.26</v>
      </c>
      <c r="EU36" s="450">
        <v>862</v>
      </c>
    </row>
    <row r="37" spans="2:151">
      <c r="B37" s="78" t="s">
        <v>7</v>
      </c>
      <c r="C37" s="79" t="s">
        <v>42</v>
      </c>
      <c r="D37" s="80" t="s">
        <v>42</v>
      </c>
      <c r="E37" s="1" t="s">
        <v>4</v>
      </c>
      <c r="F37" s="4">
        <v>15.7</v>
      </c>
      <c r="G37" s="7">
        <v>4.63</v>
      </c>
      <c r="H37" s="3" t="str">
        <f t="shared" si="0"/>
        <v>L7X4X7/16</v>
      </c>
      <c r="I37" s="7">
        <v>4</v>
      </c>
      <c r="J37" s="5" t="s">
        <v>5</v>
      </c>
      <c r="K37" s="6" t="s">
        <v>5</v>
      </c>
      <c r="L37" s="6" t="s">
        <v>5</v>
      </c>
      <c r="M37" s="6" t="s">
        <v>5</v>
      </c>
      <c r="N37" s="6" t="s">
        <v>5</v>
      </c>
      <c r="O37" s="5" t="s">
        <v>5</v>
      </c>
      <c r="P37" s="5" t="s">
        <v>5</v>
      </c>
      <c r="Q37" s="7">
        <v>7</v>
      </c>
      <c r="R37" s="6" t="s">
        <v>5</v>
      </c>
      <c r="S37" s="6" t="s">
        <v>5</v>
      </c>
      <c r="T37" s="5" t="s">
        <v>5</v>
      </c>
      <c r="U37" s="8" t="s">
        <v>5</v>
      </c>
      <c r="V37" s="6" t="s">
        <v>5</v>
      </c>
      <c r="W37" s="8" t="s">
        <v>5</v>
      </c>
      <c r="X37" s="22">
        <v>0.438</v>
      </c>
      <c r="Y37" s="6" t="s">
        <v>5</v>
      </c>
      <c r="Z37" s="6" t="s">
        <v>5</v>
      </c>
      <c r="AA37" s="22">
        <v>0.93799999999999994</v>
      </c>
      <c r="AB37" s="8">
        <v>0.9375</v>
      </c>
      <c r="AC37" s="8" t="s">
        <v>5</v>
      </c>
      <c r="AD37" s="22">
        <v>0.88600000000000001</v>
      </c>
      <c r="AE37" s="7">
        <v>2.38</v>
      </c>
      <c r="AF37" s="6" t="s">
        <v>5</v>
      </c>
      <c r="AG37" s="22">
        <v>0.33100000000000002</v>
      </c>
      <c r="AH37" s="7">
        <v>1.71</v>
      </c>
      <c r="AI37" s="6" t="s">
        <v>5</v>
      </c>
      <c r="AJ37" s="4">
        <v>16</v>
      </c>
      <c r="AK37" s="6" t="s">
        <v>5</v>
      </c>
      <c r="AL37" s="6" t="s">
        <v>5</v>
      </c>
      <c r="AM37" s="6" t="s">
        <v>5</v>
      </c>
      <c r="AN37" s="6" t="s">
        <v>5</v>
      </c>
      <c r="AO37" s="4">
        <v>23.6</v>
      </c>
      <c r="AP37" s="7">
        <v>9.0299999999999994</v>
      </c>
      <c r="AQ37" s="7">
        <v>5.1100000000000003</v>
      </c>
      <c r="AR37" s="7">
        <v>2.2599999999999998</v>
      </c>
      <c r="AS37" s="7">
        <v>5.79</v>
      </c>
      <c r="AT37" s="7">
        <v>3.31</v>
      </c>
      <c r="AU37" s="7">
        <v>1.86</v>
      </c>
      <c r="AV37" s="7">
        <v>1.1200000000000001</v>
      </c>
      <c r="AW37" s="7">
        <v>3.5</v>
      </c>
      <c r="AX37" s="22">
        <v>0.86899999999999999</v>
      </c>
      <c r="AY37" s="12">
        <v>1.55</v>
      </c>
      <c r="AZ37" s="22">
        <v>0.31</v>
      </c>
      <c r="BA37" s="22">
        <v>0.85099999999999998</v>
      </c>
      <c r="BB37" s="6" t="s">
        <v>5</v>
      </c>
      <c r="BC37" s="6" t="s">
        <v>5</v>
      </c>
      <c r="BD37" s="6" t="s">
        <v>5</v>
      </c>
      <c r="BE37" s="6" t="s">
        <v>5</v>
      </c>
      <c r="BF37" s="6" t="s">
        <v>5</v>
      </c>
      <c r="BG37" s="6" t="s">
        <v>5</v>
      </c>
      <c r="BH37" s="6" t="s">
        <v>5</v>
      </c>
      <c r="BI37" s="7">
        <v>3.38</v>
      </c>
      <c r="BJ37" s="24" t="s">
        <v>5</v>
      </c>
      <c r="BK37" s="23">
        <v>0.33700000000000002</v>
      </c>
      <c r="BL37" s="6">
        <v>25.9</v>
      </c>
      <c r="BM37" s="7">
        <v>3.04</v>
      </c>
      <c r="BN37" s="6">
        <v>1.97</v>
      </c>
      <c r="BO37" s="7">
        <v>4.59</v>
      </c>
      <c r="BP37" s="7">
        <v>2.2599999999999998</v>
      </c>
      <c r="BQ37" s="7">
        <v>1.6</v>
      </c>
      <c r="BR37" s="22">
        <v>0.84599999999999997</v>
      </c>
      <c r="BS37" s="16">
        <v>8.52</v>
      </c>
      <c r="BT37" s="16">
        <v>13.1</v>
      </c>
      <c r="BU37" s="16">
        <v>5.64</v>
      </c>
      <c r="BV37" s="16">
        <v>1.55</v>
      </c>
      <c r="BW37" s="16">
        <v>2.19</v>
      </c>
      <c r="BX37" s="16">
        <v>4.1399999999999997</v>
      </c>
      <c r="BY37" s="25" t="s">
        <v>5</v>
      </c>
      <c r="BZ37" s="25" t="s">
        <v>5</v>
      </c>
      <c r="CA37" s="4">
        <v>18</v>
      </c>
      <c r="CB37" s="4">
        <v>15</v>
      </c>
      <c r="CC37" s="4">
        <v>22</v>
      </c>
      <c r="CD37" s="25" t="s">
        <v>5</v>
      </c>
      <c r="CE37" s="25" t="s">
        <v>5</v>
      </c>
      <c r="CF37" s="16" t="s">
        <v>5</v>
      </c>
      <c r="CG37" s="16" t="s">
        <v>5</v>
      </c>
      <c r="CH37" s="18" t="s">
        <v>5</v>
      </c>
      <c r="CS37" s="335" t="str">
        <f t="shared" si="1"/>
        <v>L6X4X3/4</v>
      </c>
      <c r="CT37" s="338">
        <v>6.94</v>
      </c>
      <c r="CV37" s="344" t="str">
        <f t="shared" si="2"/>
        <v>WT15X178.5</v>
      </c>
      <c r="CW37" s="337">
        <v>52.5</v>
      </c>
      <c r="DE37" s="335" t="str">
        <f t="shared" si="5"/>
        <v>2L10X10X3/4</v>
      </c>
      <c r="DF37" s="337">
        <v>29</v>
      </c>
      <c r="DH37" s="397" t="s">
        <v>1248</v>
      </c>
      <c r="DI37" s="401">
        <v>156</v>
      </c>
      <c r="DJ37" s="398">
        <v>39.799999999999997</v>
      </c>
      <c r="DK37" s="400">
        <v>1.61</v>
      </c>
      <c r="DL37" s="398">
        <v>19.899999999999999</v>
      </c>
      <c r="DM37" s="400">
        <v>2.96</v>
      </c>
      <c r="DN37" s="401">
        <v>2330</v>
      </c>
      <c r="DO37" s="402">
        <v>1990</v>
      </c>
      <c r="DP37" s="117"/>
      <c r="DQ37" s="428" t="s">
        <v>1274</v>
      </c>
      <c r="DR37" s="429">
        <v>1320</v>
      </c>
      <c r="DS37" s="429">
        <v>18700</v>
      </c>
      <c r="DT37" s="430" t="s">
        <v>1378</v>
      </c>
      <c r="DU37" s="430">
        <v>378</v>
      </c>
      <c r="DV37" s="429">
        <v>116</v>
      </c>
      <c r="DW37" s="431">
        <f t="shared" si="8"/>
        <v>378</v>
      </c>
      <c r="DX37" s="432">
        <f t="shared" si="9"/>
        <v>4930</v>
      </c>
      <c r="DZ37" s="447" t="s">
        <v>1242</v>
      </c>
      <c r="EA37" s="448">
        <v>853</v>
      </c>
      <c r="EB37" s="448">
        <v>251</v>
      </c>
      <c r="EC37" s="448">
        <v>43.1</v>
      </c>
      <c r="ED37" s="448" t="s">
        <v>1662</v>
      </c>
      <c r="EE37" s="448">
        <v>2.52</v>
      </c>
      <c r="EF37" s="448" t="s">
        <v>1653</v>
      </c>
      <c r="EG37" s="448" t="s">
        <v>1624</v>
      </c>
      <c r="EH37" s="448">
        <v>18.2</v>
      </c>
      <c r="EI37" s="448" t="s">
        <v>1666</v>
      </c>
      <c r="EJ37" s="448">
        <v>4.53</v>
      </c>
      <c r="EK37" s="448" t="s">
        <v>1665</v>
      </c>
      <c r="EL37" s="448">
        <v>2.0099999999999998</v>
      </c>
      <c r="EM37" s="448">
        <v>12.9</v>
      </c>
      <c r="EN37" s="448">
        <v>70000</v>
      </c>
      <c r="EO37" s="448">
        <v>3250</v>
      </c>
      <c r="EP37" s="448">
        <v>16.7</v>
      </c>
      <c r="EQ37" s="448">
        <v>3920</v>
      </c>
      <c r="ER37" s="448">
        <v>4600</v>
      </c>
      <c r="ES37" s="448">
        <v>505</v>
      </c>
      <c r="ET37" s="448">
        <v>4.28</v>
      </c>
      <c r="EU37" s="450">
        <v>805</v>
      </c>
    </row>
    <row r="38" spans="2:151" ht="14.4" thickBot="1">
      <c r="B38" s="78" t="s">
        <v>7</v>
      </c>
      <c r="C38" s="79" t="s">
        <v>43</v>
      </c>
      <c r="D38" s="80" t="s">
        <v>43</v>
      </c>
      <c r="E38" s="1" t="s">
        <v>4</v>
      </c>
      <c r="F38" s="4">
        <v>13.6</v>
      </c>
      <c r="G38" s="7">
        <v>4</v>
      </c>
      <c r="H38" s="3" t="str">
        <f t="shared" si="0"/>
        <v>L7X4X3/8</v>
      </c>
      <c r="I38" s="7">
        <v>4</v>
      </c>
      <c r="J38" s="5" t="s">
        <v>5</v>
      </c>
      <c r="K38" s="6" t="s">
        <v>5</v>
      </c>
      <c r="L38" s="6" t="s">
        <v>5</v>
      </c>
      <c r="M38" s="6" t="s">
        <v>5</v>
      </c>
      <c r="N38" s="6" t="s">
        <v>5</v>
      </c>
      <c r="O38" s="5" t="s">
        <v>5</v>
      </c>
      <c r="P38" s="5" t="s">
        <v>5</v>
      </c>
      <c r="Q38" s="7">
        <v>7</v>
      </c>
      <c r="R38" s="6" t="s">
        <v>5</v>
      </c>
      <c r="S38" s="6" t="s">
        <v>5</v>
      </c>
      <c r="T38" s="5" t="s">
        <v>5</v>
      </c>
      <c r="U38" s="8" t="s">
        <v>5</v>
      </c>
      <c r="V38" s="6" t="s">
        <v>5</v>
      </c>
      <c r="W38" s="8" t="s">
        <v>5</v>
      </c>
      <c r="X38" s="22">
        <v>0.375</v>
      </c>
      <c r="Y38" s="6" t="s">
        <v>5</v>
      </c>
      <c r="Z38" s="6" t="s">
        <v>5</v>
      </c>
      <c r="AA38" s="22">
        <v>0.875</v>
      </c>
      <c r="AB38" s="8">
        <v>0.875</v>
      </c>
      <c r="AC38" s="8" t="s">
        <v>5</v>
      </c>
      <c r="AD38" s="22">
        <v>0.86099999999999999</v>
      </c>
      <c r="AE38" s="7">
        <v>2.35</v>
      </c>
      <c r="AF38" s="6" t="s">
        <v>5</v>
      </c>
      <c r="AG38" s="22">
        <v>0.28599999999999998</v>
      </c>
      <c r="AH38" s="7">
        <v>1.67</v>
      </c>
      <c r="AI38" s="6" t="s">
        <v>5</v>
      </c>
      <c r="AJ38" s="4">
        <v>18.7</v>
      </c>
      <c r="AK38" s="6" t="s">
        <v>5</v>
      </c>
      <c r="AL38" s="6" t="s">
        <v>5</v>
      </c>
      <c r="AM38" s="6" t="s">
        <v>5</v>
      </c>
      <c r="AN38" s="6" t="s">
        <v>5</v>
      </c>
      <c r="AO38" s="4">
        <v>20.5</v>
      </c>
      <c r="AP38" s="7">
        <v>7.81</v>
      </c>
      <c r="AQ38" s="7">
        <v>4.42</v>
      </c>
      <c r="AR38" s="7">
        <v>2.27</v>
      </c>
      <c r="AS38" s="7">
        <v>5.0599999999999996</v>
      </c>
      <c r="AT38" s="7">
        <v>2.84</v>
      </c>
      <c r="AU38" s="7">
        <v>1.61</v>
      </c>
      <c r="AV38" s="7">
        <v>1.1200000000000001</v>
      </c>
      <c r="AW38" s="6">
        <v>3.04</v>
      </c>
      <c r="AX38" s="22">
        <v>0.873</v>
      </c>
      <c r="AY38" s="12">
        <v>1.33</v>
      </c>
      <c r="AZ38" s="22">
        <v>0.19800000000000001</v>
      </c>
      <c r="BA38" s="22">
        <v>0.54400000000000004</v>
      </c>
      <c r="BB38" s="6" t="s">
        <v>5</v>
      </c>
      <c r="BC38" s="6" t="s">
        <v>5</v>
      </c>
      <c r="BD38" s="6" t="s">
        <v>5</v>
      </c>
      <c r="BE38" s="6" t="s">
        <v>5</v>
      </c>
      <c r="BF38" s="6" t="s">
        <v>5</v>
      </c>
      <c r="BG38" s="6" t="s">
        <v>5</v>
      </c>
      <c r="BH38" s="6" t="s">
        <v>5</v>
      </c>
      <c r="BI38" s="7">
        <v>3.4</v>
      </c>
      <c r="BJ38" s="24" t="s">
        <v>5</v>
      </c>
      <c r="BK38" s="23">
        <v>0.33900000000000002</v>
      </c>
      <c r="BL38" s="6">
        <v>22.5</v>
      </c>
      <c r="BM38" s="7">
        <v>3.06</v>
      </c>
      <c r="BN38" s="6">
        <v>1.95</v>
      </c>
      <c r="BO38" s="7">
        <v>4.62</v>
      </c>
      <c r="BP38" s="7">
        <v>2.2799999999999998</v>
      </c>
      <c r="BQ38" s="6">
        <v>1.57</v>
      </c>
      <c r="BR38" s="22">
        <v>0.85899999999999999</v>
      </c>
      <c r="BS38" s="16">
        <v>7.35</v>
      </c>
      <c r="BT38" s="16">
        <v>11.5</v>
      </c>
      <c r="BU38" s="16">
        <v>4.87</v>
      </c>
      <c r="BV38" s="16">
        <v>1.33</v>
      </c>
      <c r="BW38" s="16">
        <v>1.94</v>
      </c>
      <c r="BX38" s="16">
        <v>3.54</v>
      </c>
      <c r="BY38" s="25" t="s">
        <v>5</v>
      </c>
      <c r="BZ38" s="25" t="s">
        <v>5</v>
      </c>
      <c r="CA38" s="4">
        <v>18</v>
      </c>
      <c r="CB38" s="4">
        <v>15</v>
      </c>
      <c r="CC38" s="4">
        <v>22</v>
      </c>
      <c r="CD38" s="25" t="s">
        <v>5</v>
      </c>
      <c r="CE38" s="25" t="s">
        <v>5</v>
      </c>
      <c r="CF38" s="16" t="s">
        <v>5</v>
      </c>
      <c r="CG38" s="16" t="s">
        <v>5</v>
      </c>
      <c r="CH38" s="18" t="s">
        <v>5</v>
      </c>
      <c r="CS38" s="335" t="str">
        <f t="shared" si="1"/>
        <v>L8X6X1/2</v>
      </c>
      <c r="CT38" s="338">
        <v>6.8</v>
      </c>
      <c r="CV38" s="344" t="str">
        <f t="shared" si="2"/>
        <v>WT16.5X177</v>
      </c>
      <c r="CW38" s="337">
        <v>52.1</v>
      </c>
      <c r="DE38" s="335" t="str">
        <f t="shared" si="5"/>
        <v>2L10X10X3/4</v>
      </c>
      <c r="DF38" s="337">
        <v>29</v>
      </c>
      <c r="DH38" s="397" t="s">
        <v>1250</v>
      </c>
      <c r="DI38" s="401">
        <v>143</v>
      </c>
      <c r="DJ38" s="398">
        <v>39.299999999999997</v>
      </c>
      <c r="DK38" s="400">
        <v>1.5</v>
      </c>
      <c r="DL38" s="398">
        <v>21.4</v>
      </c>
      <c r="DM38" s="400">
        <v>3.19</v>
      </c>
      <c r="DN38" s="401">
        <v>2130</v>
      </c>
      <c r="DO38" s="402">
        <v>1830</v>
      </c>
      <c r="DP38" s="117"/>
      <c r="DQ38" s="428" t="s">
        <v>1275</v>
      </c>
      <c r="DR38" s="429">
        <v>1320</v>
      </c>
      <c r="DS38" s="429">
        <v>10800</v>
      </c>
      <c r="DT38" s="430" t="s">
        <v>1384</v>
      </c>
      <c r="DU38" s="430">
        <v>346</v>
      </c>
      <c r="DV38" s="429">
        <v>108</v>
      </c>
      <c r="DW38" s="431">
        <f t="shared" si="8"/>
        <v>346</v>
      </c>
      <c r="DX38" s="432">
        <f t="shared" si="9"/>
        <v>4470</v>
      </c>
      <c r="DZ38" s="447" t="s">
        <v>1243</v>
      </c>
      <c r="EA38" s="448">
        <v>802</v>
      </c>
      <c r="EB38" s="448">
        <v>236</v>
      </c>
      <c r="EC38" s="448">
        <v>42.6</v>
      </c>
      <c r="ED38" s="448" t="s">
        <v>1667</v>
      </c>
      <c r="EE38" s="448">
        <v>2.38</v>
      </c>
      <c r="EF38" s="448" t="s">
        <v>1636</v>
      </c>
      <c r="EG38" s="448" t="s">
        <v>1640</v>
      </c>
      <c r="EH38" s="448">
        <v>18</v>
      </c>
      <c r="EI38" s="448">
        <v>18</v>
      </c>
      <c r="EJ38" s="448">
        <v>4.29</v>
      </c>
      <c r="EK38" s="448" t="s">
        <v>1668</v>
      </c>
      <c r="EL38" s="448">
        <v>2.1</v>
      </c>
      <c r="EM38" s="448">
        <v>13.7</v>
      </c>
      <c r="EN38" s="448">
        <v>64800</v>
      </c>
      <c r="EO38" s="448">
        <v>3040</v>
      </c>
      <c r="EP38" s="448">
        <v>16.600000000000001</v>
      </c>
      <c r="EQ38" s="448">
        <v>3660</v>
      </c>
      <c r="ER38" s="448">
        <v>4210</v>
      </c>
      <c r="ES38" s="448">
        <v>468</v>
      </c>
      <c r="ET38" s="448">
        <v>4.22</v>
      </c>
      <c r="EU38" s="450">
        <v>744</v>
      </c>
    </row>
    <row r="39" spans="2:151" ht="22.2" customHeight="1" thickBot="1">
      <c r="B39" s="78" t="s">
        <v>7</v>
      </c>
      <c r="C39" s="79" t="s">
        <v>44</v>
      </c>
      <c r="D39" s="80" t="s">
        <v>44</v>
      </c>
      <c r="E39" s="1" t="s">
        <v>4</v>
      </c>
      <c r="F39" s="4">
        <v>37.4</v>
      </c>
      <c r="G39" s="4">
        <v>11</v>
      </c>
      <c r="H39" s="3" t="str">
        <f t="shared" si="0"/>
        <v>L6X6X1</v>
      </c>
      <c r="I39" s="7">
        <v>6</v>
      </c>
      <c r="J39" s="5" t="s">
        <v>5</v>
      </c>
      <c r="K39" s="6" t="s">
        <v>5</v>
      </c>
      <c r="L39" s="6" t="s">
        <v>5</v>
      </c>
      <c r="M39" s="6" t="s">
        <v>5</v>
      </c>
      <c r="N39" s="6" t="s">
        <v>5</v>
      </c>
      <c r="O39" s="5" t="s">
        <v>5</v>
      </c>
      <c r="P39" s="5" t="s">
        <v>5</v>
      </c>
      <c r="Q39" s="7">
        <v>6</v>
      </c>
      <c r="R39" s="6" t="s">
        <v>5</v>
      </c>
      <c r="S39" s="6" t="s">
        <v>5</v>
      </c>
      <c r="T39" s="5" t="s">
        <v>5</v>
      </c>
      <c r="U39" s="8" t="s">
        <v>5</v>
      </c>
      <c r="V39" s="6" t="s">
        <v>5</v>
      </c>
      <c r="W39" s="8" t="s">
        <v>5</v>
      </c>
      <c r="X39" s="7">
        <v>1</v>
      </c>
      <c r="Y39" s="6" t="s">
        <v>5</v>
      </c>
      <c r="Z39" s="6" t="s">
        <v>5</v>
      </c>
      <c r="AA39" s="7">
        <v>1.5</v>
      </c>
      <c r="AB39" s="8">
        <v>1.5</v>
      </c>
      <c r="AC39" s="8" t="s">
        <v>5</v>
      </c>
      <c r="AD39" s="7">
        <v>1.86</v>
      </c>
      <c r="AE39" s="7">
        <v>1.86</v>
      </c>
      <c r="AF39" s="6" t="s">
        <v>5</v>
      </c>
      <c r="AG39" s="22">
        <v>0.91700000000000004</v>
      </c>
      <c r="AH39" s="22">
        <v>0.91700000000000004</v>
      </c>
      <c r="AI39" s="6" t="s">
        <v>5</v>
      </c>
      <c r="AJ39" s="7">
        <v>6</v>
      </c>
      <c r="AK39" s="6" t="s">
        <v>5</v>
      </c>
      <c r="AL39" s="6" t="s">
        <v>5</v>
      </c>
      <c r="AM39" s="6" t="s">
        <v>5</v>
      </c>
      <c r="AN39" s="6" t="s">
        <v>5</v>
      </c>
      <c r="AO39" s="4">
        <v>35.4</v>
      </c>
      <c r="AP39" s="4">
        <v>15.4</v>
      </c>
      <c r="AQ39" s="7">
        <v>8.5500000000000007</v>
      </c>
      <c r="AR39" s="7">
        <v>1.79</v>
      </c>
      <c r="AS39" s="4">
        <v>35.4</v>
      </c>
      <c r="AT39" s="4">
        <v>15.4</v>
      </c>
      <c r="AU39" s="7">
        <v>8.5500000000000007</v>
      </c>
      <c r="AV39" s="7">
        <v>1.79</v>
      </c>
      <c r="AW39" s="6">
        <v>14.9</v>
      </c>
      <c r="AX39" s="7">
        <v>1.17</v>
      </c>
      <c r="AY39" s="12">
        <v>5.67</v>
      </c>
      <c r="AZ39" s="7">
        <v>3.68</v>
      </c>
      <c r="BA39" s="7">
        <v>9.24</v>
      </c>
      <c r="BB39" s="6" t="s">
        <v>5</v>
      </c>
      <c r="BC39" s="6" t="s">
        <v>5</v>
      </c>
      <c r="BD39" s="6" t="s">
        <v>5</v>
      </c>
      <c r="BE39" s="6" t="s">
        <v>5</v>
      </c>
      <c r="BF39" s="6" t="s">
        <v>5</v>
      </c>
      <c r="BG39" s="6" t="s">
        <v>5</v>
      </c>
      <c r="BH39" s="6" t="s">
        <v>5</v>
      </c>
      <c r="BI39" s="7">
        <v>3.18</v>
      </c>
      <c r="BJ39" s="23">
        <v>0.64</v>
      </c>
      <c r="BK39" s="24">
        <v>1</v>
      </c>
      <c r="BL39" s="6">
        <v>55.8</v>
      </c>
      <c r="BM39" s="7">
        <v>3.89</v>
      </c>
      <c r="BN39" s="2">
        <v>0</v>
      </c>
      <c r="BO39" s="7">
        <v>3.89</v>
      </c>
      <c r="BP39" s="7">
        <v>1.97</v>
      </c>
      <c r="BQ39" s="6">
        <v>2.63</v>
      </c>
      <c r="BR39" s="7">
        <v>1.97</v>
      </c>
      <c r="BS39" s="16">
        <v>14.3</v>
      </c>
      <c r="BT39" s="16" t="s">
        <v>5</v>
      </c>
      <c r="BU39" s="16">
        <v>14.3</v>
      </c>
      <c r="BV39" s="16">
        <v>7.56</v>
      </c>
      <c r="BW39" s="16">
        <v>5.67</v>
      </c>
      <c r="BX39" s="16">
        <v>7.56</v>
      </c>
      <c r="BY39" s="25" t="s">
        <v>5</v>
      </c>
      <c r="BZ39" s="25" t="s">
        <v>5</v>
      </c>
      <c r="CA39" s="4">
        <v>18</v>
      </c>
      <c r="CB39" s="4">
        <v>18</v>
      </c>
      <c r="CC39" s="4">
        <v>24</v>
      </c>
      <c r="CD39" s="25" t="s">
        <v>5</v>
      </c>
      <c r="CE39" s="25" t="s">
        <v>5</v>
      </c>
      <c r="CF39" s="16" t="s">
        <v>5</v>
      </c>
      <c r="CG39" s="16" t="s">
        <v>5</v>
      </c>
      <c r="CH39" s="18" t="s">
        <v>5</v>
      </c>
      <c r="CL39" s="495" t="s">
        <v>1591</v>
      </c>
      <c r="CM39" s="496"/>
      <c r="CN39" s="497"/>
      <c r="CP39" s="176" t="s">
        <v>1587</v>
      </c>
      <c r="CQ39" s="177"/>
      <c r="CS39" s="335" t="str">
        <f t="shared" si="1"/>
        <v>L7X4X5/8</v>
      </c>
      <c r="CT39" s="338">
        <v>6.5</v>
      </c>
      <c r="CV39" s="344" t="str">
        <f t="shared" si="2"/>
        <v>WT7X171</v>
      </c>
      <c r="CW39" s="337">
        <v>50.3</v>
      </c>
      <c r="DE39" s="335" t="str">
        <f t="shared" si="5"/>
        <v>2L8X8X7/8</v>
      </c>
      <c r="DF39" s="337">
        <v>26.6</v>
      </c>
      <c r="DH39" s="397" t="s">
        <v>1253</v>
      </c>
      <c r="DI39" s="401">
        <v>130</v>
      </c>
      <c r="DJ39" s="398">
        <v>38.9</v>
      </c>
      <c r="DK39" s="400">
        <v>1.36</v>
      </c>
      <c r="DL39" s="398">
        <v>23.6</v>
      </c>
      <c r="DM39" s="400">
        <v>3.48</v>
      </c>
      <c r="DN39" s="401">
        <v>1910</v>
      </c>
      <c r="DO39" s="402">
        <v>1650</v>
      </c>
      <c r="DP39" s="117"/>
      <c r="DQ39" s="428" t="s">
        <v>1276</v>
      </c>
      <c r="DR39" s="429">
        <v>1280</v>
      </c>
      <c r="DS39" s="429">
        <v>21100</v>
      </c>
      <c r="DT39" s="430" t="s">
        <v>1390</v>
      </c>
      <c r="DU39" s="430">
        <v>312</v>
      </c>
      <c r="DV39" s="429">
        <v>99</v>
      </c>
      <c r="DW39" s="431">
        <f t="shared" si="8"/>
        <v>312</v>
      </c>
      <c r="DX39" s="432">
        <f t="shared" si="9"/>
        <v>3990</v>
      </c>
      <c r="DZ39" s="447" t="s">
        <v>1244</v>
      </c>
      <c r="EA39" s="448">
        <v>723</v>
      </c>
      <c r="EB39" s="448">
        <v>213</v>
      </c>
      <c r="EC39" s="448">
        <v>41.8</v>
      </c>
      <c r="ED39" s="448" t="s">
        <v>1669</v>
      </c>
      <c r="EE39" s="448">
        <v>2.17</v>
      </c>
      <c r="EF39" s="448" t="s">
        <v>1638</v>
      </c>
      <c r="EG39" s="448" t="s">
        <v>1643</v>
      </c>
      <c r="EH39" s="448">
        <v>17.8</v>
      </c>
      <c r="EI39" s="448" t="s">
        <v>1670</v>
      </c>
      <c r="EJ39" s="448">
        <v>3.9</v>
      </c>
      <c r="EK39" s="448" t="s">
        <v>1671</v>
      </c>
      <c r="EL39" s="448">
        <v>2.2799999999999998</v>
      </c>
      <c r="EM39" s="448">
        <v>15</v>
      </c>
      <c r="EN39" s="448">
        <v>57300</v>
      </c>
      <c r="EO39" s="448">
        <v>2740</v>
      </c>
      <c r="EP39" s="448">
        <v>16.399999999999999</v>
      </c>
      <c r="EQ39" s="448">
        <v>3270</v>
      </c>
      <c r="ER39" s="448">
        <v>3700</v>
      </c>
      <c r="ES39" s="448">
        <v>416</v>
      </c>
      <c r="ET39" s="448">
        <v>4.17</v>
      </c>
      <c r="EU39" s="450">
        <v>658</v>
      </c>
    </row>
    <row r="40" spans="2:151">
      <c r="B40" s="78" t="s">
        <v>7</v>
      </c>
      <c r="C40" s="79" t="s">
        <v>45</v>
      </c>
      <c r="D40" s="80" t="s">
        <v>45</v>
      </c>
      <c r="E40" s="1" t="s">
        <v>4</v>
      </c>
      <c r="F40" s="4">
        <v>33.1</v>
      </c>
      <c r="G40" s="7">
        <v>9.75</v>
      </c>
      <c r="H40" s="3" t="str">
        <f t="shared" si="0"/>
        <v>L6X6X7/8</v>
      </c>
      <c r="I40" s="7">
        <v>6</v>
      </c>
      <c r="J40" s="5" t="s">
        <v>5</v>
      </c>
      <c r="K40" s="6" t="s">
        <v>5</v>
      </c>
      <c r="L40" s="6" t="s">
        <v>5</v>
      </c>
      <c r="M40" s="6" t="s">
        <v>5</v>
      </c>
      <c r="N40" s="6" t="s">
        <v>5</v>
      </c>
      <c r="O40" s="5" t="s">
        <v>5</v>
      </c>
      <c r="P40" s="5" t="s">
        <v>5</v>
      </c>
      <c r="Q40" s="7">
        <v>6</v>
      </c>
      <c r="R40" s="6" t="s">
        <v>5</v>
      </c>
      <c r="S40" s="6" t="s">
        <v>5</v>
      </c>
      <c r="T40" s="5" t="s">
        <v>5</v>
      </c>
      <c r="U40" s="8" t="s">
        <v>5</v>
      </c>
      <c r="V40" s="6" t="s">
        <v>5</v>
      </c>
      <c r="W40" s="8" t="s">
        <v>5</v>
      </c>
      <c r="X40" s="22">
        <v>0.875</v>
      </c>
      <c r="Y40" s="6" t="s">
        <v>5</v>
      </c>
      <c r="Z40" s="6" t="s">
        <v>5</v>
      </c>
      <c r="AA40" s="7">
        <v>1.38</v>
      </c>
      <c r="AB40" s="8">
        <v>1.375</v>
      </c>
      <c r="AC40" s="8" t="s">
        <v>5</v>
      </c>
      <c r="AD40" s="7">
        <v>1.81</v>
      </c>
      <c r="AE40" s="7">
        <v>1.81</v>
      </c>
      <c r="AF40" s="6" t="s">
        <v>5</v>
      </c>
      <c r="AG40" s="22">
        <v>0.81299999999999994</v>
      </c>
      <c r="AH40" s="22">
        <v>0.81299999999999994</v>
      </c>
      <c r="AI40" s="6" t="s">
        <v>5</v>
      </c>
      <c r="AJ40" s="7">
        <v>6.86</v>
      </c>
      <c r="AK40" s="6" t="s">
        <v>5</v>
      </c>
      <c r="AL40" s="6" t="s">
        <v>5</v>
      </c>
      <c r="AM40" s="6" t="s">
        <v>5</v>
      </c>
      <c r="AN40" s="6" t="s">
        <v>5</v>
      </c>
      <c r="AO40" s="4">
        <v>31.9</v>
      </c>
      <c r="AP40" s="4">
        <v>13.7</v>
      </c>
      <c r="AQ40" s="7">
        <v>7.61</v>
      </c>
      <c r="AR40" s="7">
        <v>1.81</v>
      </c>
      <c r="AS40" s="4">
        <v>31.9</v>
      </c>
      <c r="AT40" s="4">
        <v>13.7</v>
      </c>
      <c r="AU40" s="7">
        <v>7.61</v>
      </c>
      <c r="AV40" s="7">
        <v>1.81</v>
      </c>
      <c r="AW40" s="6">
        <v>13.3</v>
      </c>
      <c r="AX40" s="7">
        <v>1.17</v>
      </c>
      <c r="AY40" s="27">
        <v>5.2</v>
      </c>
      <c r="AZ40" s="7">
        <v>2.5099999999999998</v>
      </c>
      <c r="BA40" s="7">
        <v>6.41</v>
      </c>
      <c r="BB40" s="6" t="s">
        <v>5</v>
      </c>
      <c r="BC40" s="6" t="s">
        <v>5</v>
      </c>
      <c r="BD40" s="6" t="s">
        <v>5</v>
      </c>
      <c r="BE40" s="6" t="s">
        <v>5</v>
      </c>
      <c r="BF40" s="6" t="s">
        <v>5</v>
      </c>
      <c r="BG40" s="6" t="s">
        <v>5</v>
      </c>
      <c r="BH40" s="6" t="s">
        <v>5</v>
      </c>
      <c r="BI40" s="7">
        <v>3.21</v>
      </c>
      <c r="BJ40" s="23">
        <v>0.63</v>
      </c>
      <c r="BK40" s="24">
        <v>1</v>
      </c>
      <c r="BL40" s="6">
        <v>50.5</v>
      </c>
      <c r="BM40" s="7">
        <v>3.93</v>
      </c>
      <c r="BN40" s="2">
        <v>0</v>
      </c>
      <c r="BO40" s="7">
        <v>3.93</v>
      </c>
      <c r="BP40" s="7">
        <v>1.99</v>
      </c>
      <c r="BQ40" s="6">
        <v>2.56</v>
      </c>
      <c r="BR40" s="7">
        <v>1.99</v>
      </c>
      <c r="BS40" s="16">
        <v>12.8</v>
      </c>
      <c r="BT40" s="16" t="s">
        <v>5</v>
      </c>
      <c r="BU40" s="16">
        <v>12.8</v>
      </c>
      <c r="BV40" s="16">
        <v>6.68</v>
      </c>
      <c r="BW40" s="26">
        <v>5.2</v>
      </c>
      <c r="BX40" s="16">
        <v>6.68</v>
      </c>
      <c r="BY40" s="25" t="s">
        <v>5</v>
      </c>
      <c r="BZ40" s="25" t="s">
        <v>5</v>
      </c>
      <c r="CA40" s="4">
        <v>18</v>
      </c>
      <c r="CB40" s="4">
        <v>18</v>
      </c>
      <c r="CC40" s="4">
        <v>24</v>
      </c>
      <c r="CD40" s="25" t="s">
        <v>5</v>
      </c>
      <c r="CE40" s="25" t="s">
        <v>5</v>
      </c>
      <c r="CF40" s="16" t="s">
        <v>5</v>
      </c>
      <c r="CG40" s="16" t="s">
        <v>5</v>
      </c>
      <c r="CH40" s="18" t="s">
        <v>5</v>
      </c>
      <c r="CL40" s="113" t="s">
        <v>545</v>
      </c>
      <c r="CM40" s="488">
        <v>1</v>
      </c>
      <c r="CN40" s="489"/>
      <c r="CP40" s="168" t="s">
        <v>1541</v>
      </c>
      <c r="CQ40" s="174"/>
      <c r="CS40" s="335" t="str">
        <f t="shared" si="1"/>
        <v>L8X4X9/16</v>
      </c>
      <c r="CT40" s="338">
        <v>6.49</v>
      </c>
      <c r="CV40" s="344" t="str">
        <f t="shared" si="2"/>
        <v>WT13.5X168</v>
      </c>
      <c r="CW40" s="337">
        <v>49.5</v>
      </c>
      <c r="DE40" s="335" t="str">
        <f t="shared" si="5"/>
        <v>2L8X8X7/8</v>
      </c>
      <c r="DF40" s="337">
        <v>26.6</v>
      </c>
      <c r="DH40" s="397" t="s">
        <v>1258</v>
      </c>
      <c r="DI40" s="401">
        <v>116</v>
      </c>
      <c r="DJ40" s="398">
        <v>38.4</v>
      </c>
      <c r="DK40" s="400">
        <v>1.22</v>
      </c>
      <c r="DL40" s="398">
        <v>26.3</v>
      </c>
      <c r="DM40" s="400">
        <v>3.83</v>
      </c>
      <c r="DN40" s="401">
        <v>1710</v>
      </c>
      <c r="DO40" s="402">
        <v>1490</v>
      </c>
      <c r="DP40" s="117"/>
      <c r="DQ40" s="428" t="s">
        <v>1277</v>
      </c>
      <c r="DR40" s="429">
        <v>1270</v>
      </c>
      <c r="DS40" s="429">
        <v>24100</v>
      </c>
      <c r="DT40" s="430" t="s">
        <v>1397</v>
      </c>
      <c r="DU40" s="430">
        <v>283</v>
      </c>
      <c r="DV40" s="429">
        <v>90</v>
      </c>
      <c r="DW40" s="431">
        <f t="shared" si="8"/>
        <v>283</v>
      </c>
      <c r="DX40" s="432">
        <f t="shared" si="9"/>
        <v>3610</v>
      </c>
      <c r="DZ40" s="447" t="s">
        <v>1246</v>
      </c>
      <c r="EA40" s="448">
        <v>652</v>
      </c>
      <c r="EB40" s="448">
        <v>192</v>
      </c>
      <c r="EC40" s="448">
        <v>41.1</v>
      </c>
      <c r="ED40" s="448">
        <v>41</v>
      </c>
      <c r="EE40" s="448">
        <v>1.97</v>
      </c>
      <c r="EF40" s="448">
        <v>2</v>
      </c>
      <c r="EG40" s="448">
        <v>1</v>
      </c>
      <c r="EH40" s="448">
        <v>17.600000000000001</v>
      </c>
      <c r="EI40" s="448" t="s">
        <v>1672</v>
      </c>
      <c r="EJ40" s="448">
        <v>3.54</v>
      </c>
      <c r="EK40" s="448" t="s">
        <v>1626</v>
      </c>
      <c r="EL40" s="448">
        <v>2.48</v>
      </c>
      <c r="EM40" s="448">
        <v>16.3</v>
      </c>
      <c r="EN40" s="448">
        <v>50600</v>
      </c>
      <c r="EO40" s="448">
        <v>2460</v>
      </c>
      <c r="EP40" s="448">
        <v>16.2</v>
      </c>
      <c r="EQ40" s="448">
        <v>2910</v>
      </c>
      <c r="ER40" s="448">
        <v>3230</v>
      </c>
      <c r="ES40" s="448">
        <v>367</v>
      </c>
      <c r="ET40" s="448">
        <v>4.0999999999999996</v>
      </c>
      <c r="EU40" s="450">
        <v>581</v>
      </c>
    </row>
    <row r="41" spans="2:151" ht="14.4" thickBot="1">
      <c r="B41" s="78" t="s">
        <v>7</v>
      </c>
      <c r="C41" s="79" t="s">
        <v>46</v>
      </c>
      <c r="D41" s="80" t="s">
        <v>46</v>
      </c>
      <c r="E41" s="1" t="s">
        <v>4</v>
      </c>
      <c r="F41" s="4">
        <v>28.7</v>
      </c>
      <c r="G41" s="7">
        <v>8.4600000000000009</v>
      </c>
      <c r="H41" s="3" t="str">
        <f t="shared" si="0"/>
        <v>L6X6X3/4</v>
      </c>
      <c r="I41" s="7">
        <v>6</v>
      </c>
      <c r="J41" s="5" t="s">
        <v>5</v>
      </c>
      <c r="K41" s="6" t="s">
        <v>5</v>
      </c>
      <c r="L41" s="6" t="s">
        <v>5</v>
      </c>
      <c r="M41" s="6" t="s">
        <v>5</v>
      </c>
      <c r="N41" s="6" t="s">
        <v>5</v>
      </c>
      <c r="O41" s="5" t="s">
        <v>5</v>
      </c>
      <c r="P41" s="5" t="s">
        <v>5</v>
      </c>
      <c r="Q41" s="7">
        <v>6</v>
      </c>
      <c r="R41" s="6" t="s">
        <v>5</v>
      </c>
      <c r="S41" s="6" t="s">
        <v>5</v>
      </c>
      <c r="T41" s="5" t="s">
        <v>5</v>
      </c>
      <c r="U41" s="8" t="s">
        <v>5</v>
      </c>
      <c r="V41" s="6" t="s">
        <v>5</v>
      </c>
      <c r="W41" s="8" t="s">
        <v>5</v>
      </c>
      <c r="X41" s="22">
        <v>0.75</v>
      </c>
      <c r="Y41" s="6" t="s">
        <v>5</v>
      </c>
      <c r="Z41" s="6" t="s">
        <v>5</v>
      </c>
      <c r="AA41" s="7">
        <v>1.25</v>
      </c>
      <c r="AB41" s="8">
        <v>1.25</v>
      </c>
      <c r="AC41" s="8" t="s">
        <v>5</v>
      </c>
      <c r="AD41" s="7">
        <v>1.77</v>
      </c>
      <c r="AE41" s="7">
        <v>1.77</v>
      </c>
      <c r="AF41" s="6" t="s">
        <v>5</v>
      </c>
      <c r="AG41" s="22">
        <v>0.70499999999999996</v>
      </c>
      <c r="AH41" s="22">
        <v>0.70499999999999996</v>
      </c>
      <c r="AI41" s="6" t="s">
        <v>5</v>
      </c>
      <c r="AJ41" s="7">
        <v>8</v>
      </c>
      <c r="AK41" s="6" t="s">
        <v>5</v>
      </c>
      <c r="AL41" s="6" t="s">
        <v>5</v>
      </c>
      <c r="AM41" s="6" t="s">
        <v>5</v>
      </c>
      <c r="AN41" s="6" t="s">
        <v>5</v>
      </c>
      <c r="AO41" s="4">
        <v>28.1</v>
      </c>
      <c r="AP41" s="4">
        <v>11.9</v>
      </c>
      <c r="AQ41" s="7">
        <v>6.64</v>
      </c>
      <c r="AR41" s="7">
        <v>1.82</v>
      </c>
      <c r="AS41" s="4">
        <v>28.1</v>
      </c>
      <c r="AT41" s="4">
        <v>11.9</v>
      </c>
      <c r="AU41" s="7">
        <v>6.64</v>
      </c>
      <c r="AV41" s="7">
        <v>1.82</v>
      </c>
      <c r="AW41" s="6">
        <v>11.6</v>
      </c>
      <c r="AX41" s="7">
        <v>1.17</v>
      </c>
      <c r="AY41" s="12">
        <v>4.6399999999999997</v>
      </c>
      <c r="AZ41" s="7">
        <v>1.61</v>
      </c>
      <c r="BA41" s="7">
        <v>4.17</v>
      </c>
      <c r="BB41" s="6" t="s">
        <v>5</v>
      </c>
      <c r="BC41" s="6" t="s">
        <v>5</v>
      </c>
      <c r="BD41" s="6" t="s">
        <v>5</v>
      </c>
      <c r="BE41" s="6" t="s">
        <v>5</v>
      </c>
      <c r="BF41" s="6" t="s">
        <v>5</v>
      </c>
      <c r="BG41" s="6" t="s">
        <v>5</v>
      </c>
      <c r="BH41" s="6" t="s">
        <v>5</v>
      </c>
      <c r="BI41" s="7">
        <v>3.24</v>
      </c>
      <c r="BJ41" s="23">
        <v>0.63</v>
      </c>
      <c r="BK41" s="24">
        <v>1</v>
      </c>
      <c r="BL41" s="6">
        <v>44.6</v>
      </c>
      <c r="BM41" s="7">
        <v>3.98</v>
      </c>
      <c r="BN41" s="2">
        <v>0</v>
      </c>
      <c r="BO41" s="7">
        <v>3.98</v>
      </c>
      <c r="BP41" s="7">
        <v>2</v>
      </c>
      <c r="BQ41" s="7">
        <v>2.5</v>
      </c>
      <c r="BR41" s="7">
        <v>2</v>
      </c>
      <c r="BS41" s="16">
        <v>11.2</v>
      </c>
      <c r="BT41" s="16" t="s">
        <v>5</v>
      </c>
      <c r="BU41" s="16">
        <v>11.2</v>
      </c>
      <c r="BV41" s="26">
        <v>5.8</v>
      </c>
      <c r="BW41" s="16">
        <v>4.6399999999999997</v>
      </c>
      <c r="BX41" s="26">
        <v>5.8</v>
      </c>
      <c r="BY41" s="25" t="s">
        <v>5</v>
      </c>
      <c r="BZ41" s="25" t="s">
        <v>5</v>
      </c>
      <c r="CA41" s="4">
        <v>18</v>
      </c>
      <c r="CB41" s="4">
        <v>18</v>
      </c>
      <c r="CC41" s="4">
        <v>24</v>
      </c>
      <c r="CD41" s="25" t="s">
        <v>5</v>
      </c>
      <c r="CE41" s="25" t="s">
        <v>5</v>
      </c>
      <c r="CF41" s="16" t="s">
        <v>5</v>
      </c>
      <c r="CG41" s="16" t="s">
        <v>5</v>
      </c>
      <c r="CH41" s="18" t="s">
        <v>5</v>
      </c>
      <c r="CL41" s="103" t="s">
        <v>546</v>
      </c>
      <c r="CM41" s="490">
        <v>0.5</v>
      </c>
      <c r="CN41" s="491"/>
      <c r="CP41" s="169" t="s">
        <v>1542</v>
      </c>
      <c r="CQ41" s="175"/>
      <c r="CS41" s="335" t="str">
        <f t="shared" si="1"/>
        <v>L6X6X9/16</v>
      </c>
      <c r="CT41" s="338">
        <v>6.45</v>
      </c>
      <c r="CV41" s="344" t="str">
        <f t="shared" si="2"/>
        <v>WT13.5X168</v>
      </c>
      <c r="CW41" s="337">
        <v>49.5</v>
      </c>
      <c r="DE41" s="335" t="str">
        <f t="shared" si="5"/>
        <v>2L8X8X7/8</v>
      </c>
      <c r="DF41" s="337">
        <v>26.6</v>
      </c>
      <c r="DH41" s="397" t="s">
        <v>1264</v>
      </c>
      <c r="DI41" s="401">
        <v>106</v>
      </c>
      <c r="DJ41" s="398">
        <v>38</v>
      </c>
      <c r="DK41" s="400">
        <v>1.1200000000000001</v>
      </c>
      <c r="DL41" s="398">
        <v>28.6</v>
      </c>
      <c r="DM41" s="400">
        <v>4.16</v>
      </c>
      <c r="DN41" s="401">
        <v>1550</v>
      </c>
      <c r="DO41" s="402">
        <v>1350</v>
      </c>
      <c r="DP41" s="117"/>
      <c r="DQ41" s="428" t="s">
        <v>1278</v>
      </c>
      <c r="DR41" s="429">
        <v>1270</v>
      </c>
      <c r="DS41" s="429">
        <v>21900</v>
      </c>
      <c r="DT41" s="430" t="s">
        <v>1406</v>
      </c>
      <c r="DU41" s="430">
        <v>244</v>
      </c>
      <c r="DV41" s="429">
        <v>84</v>
      </c>
      <c r="DW41" s="431">
        <f t="shared" si="8"/>
        <v>244</v>
      </c>
      <c r="DX41" s="432">
        <f t="shared" si="9"/>
        <v>2850</v>
      </c>
      <c r="DZ41" s="447" t="s">
        <v>1248</v>
      </c>
      <c r="EA41" s="448">
        <v>529</v>
      </c>
      <c r="EB41" s="448">
        <v>156</v>
      </c>
      <c r="EC41" s="448">
        <v>39.799999999999997</v>
      </c>
      <c r="ED41" s="448" t="s">
        <v>1647</v>
      </c>
      <c r="EE41" s="448">
        <v>1.61</v>
      </c>
      <c r="EF41" s="448" t="s">
        <v>1646</v>
      </c>
      <c r="EG41" s="448" t="s">
        <v>1620</v>
      </c>
      <c r="EH41" s="448">
        <v>17.2</v>
      </c>
      <c r="EI41" s="448" t="s">
        <v>1673</v>
      </c>
      <c r="EJ41" s="448">
        <v>2.91</v>
      </c>
      <c r="EK41" s="448" t="s">
        <v>1674</v>
      </c>
      <c r="EL41" s="448">
        <v>2.96</v>
      </c>
      <c r="EM41" s="448">
        <v>19.899999999999999</v>
      </c>
      <c r="EN41" s="448">
        <v>39600</v>
      </c>
      <c r="EO41" s="448">
        <v>1990</v>
      </c>
      <c r="EP41" s="448">
        <v>16</v>
      </c>
      <c r="EQ41" s="448">
        <v>2330</v>
      </c>
      <c r="ER41" s="448">
        <v>2490</v>
      </c>
      <c r="ES41" s="448">
        <v>289</v>
      </c>
      <c r="ET41" s="448">
        <v>4</v>
      </c>
      <c r="EU41" s="450">
        <v>454</v>
      </c>
    </row>
    <row r="42" spans="2:151">
      <c r="B42" s="78" t="s">
        <v>7</v>
      </c>
      <c r="C42" s="79" t="s">
        <v>47</v>
      </c>
      <c r="D42" s="80" t="s">
        <v>47</v>
      </c>
      <c r="E42" s="1" t="s">
        <v>4</v>
      </c>
      <c r="F42" s="4">
        <v>24.2</v>
      </c>
      <c r="G42" s="7">
        <v>7.13</v>
      </c>
      <c r="H42" s="3" t="str">
        <f t="shared" si="0"/>
        <v>L6X6X5/8</v>
      </c>
      <c r="I42" s="7">
        <v>6</v>
      </c>
      <c r="J42" s="5" t="s">
        <v>5</v>
      </c>
      <c r="K42" s="6" t="s">
        <v>5</v>
      </c>
      <c r="L42" s="6" t="s">
        <v>5</v>
      </c>
      <c r="M42" s="6" t="s">
        <v>5</v>
      </c>
      <c r="N42" s="6" t="s">
        <v>5</v>
      </c>
      <c r="O42" s="5" t="s">
        <v>5</v>
      </c>
      <c r="P42" s="5" t="s">
        <v>5</v>
      </c>
      <c r="Q42" s="7">
        <v>6</v>
      </c>
      <c r="R42" s="6" t="s">
        <v>5</v>
      </c>
      <c r="S42" s="6" t="s">
        <v>5</v>
      </c>
      <c r="T42" s="5" t="s">
        <v>5</v>
      </c>
      <c r="U42" s="8" t="s">
        <v>5</v>
      </c>
      <c r="V42" s="6" t="s">
        <v>5</v>
      </c>
      <c r="W42" s="8" t="s">
        <v>5</v>
      </c>
      <c r="X42" s="22">
        <v>0.625</v>
      </c>
      <c r="Y42" s="6" t="s">
        <v>5</v>
      </c>
      <c r="Z42" s="6" t="s">
        <v>5</v>
      </c>
      <c r="AA42" s="7">
        <v>1.1299999999999999</v>
      </c>
      <c r="AB42" s="8">
        <v>1.125</v>
      </c>
      <c r="AC42" s="8" t="s">
        <v>5</v>
      </c>
      <c r="AD42" s="7">
        <v>1.72</v>
      </c>
      <c r="AE42" s="7">
        <v>1.72</v>
      </c>
      <c r="AF42" s="6" t="s">
        <v>5</v>
      </c>
      <c r="AG42" s="22">
        <v>0.59399999999999997</v>
      </c>
      <c r="AH42" s="22">
        <v>0.59399999999999997</v>
      </c>
      <c r="AI42" s="6" t="s">
        <v>5</v>
      </c>
      <c r="AJ42" s="7">
        <v>9.6</v>
      </c>
      <c r="AK42" s="6" t="s">
        <v>5</v>
      </c>
      <c r="AL42" s="6" t="s">
        <v>5</v>
      </c>
      <c r="AM42" s="6" t="s">
        <v>5</v>
      </c>
      <c r="AN42" s="6" t="s">
        <v>5</v>
      </c>
      <c r="AO42" s="4">
        <v>24.1</v>
      </c>
      <c r="AP42" s="4">
        <v>10.1</v>
      </c>
      <c r="AQ42" s="7">
        <v>5.64</v>
      </c>
      <c r="AR42" s="7">
        <v>1.84</v>
      </c>
      <c r="AS42" s="4">
        <v>24.1</v>
      </c>
      <c r="AT42" s="4">
        <v>10.1</v>
      </c>
      <c r="AU42" s="7">
        <v>5.64</v>
      </c>
      <c r="AV42" s="7">
        <v>1.84</v>
      </c>
      <c r="AW42" s="6">
        <v>9.81</v>
      </c>
      <c r="AX42" s="7">
        <v>1.17</v>
      </c>
      <c r="AY42" s="12">
        <v>4.04</v>
      </c>
      <c r="AZ42" s="22">
        <v>0.95499999999999996</v>
      </c>
      <c r="BA42" s="7">
        <v>2.5</v>
      </c>
      <c r="BB42" s="6" t="s">
        <v>5</v>
      </c>
      <c r="BC42" s="6" t="s">
        <v>5</v>
      </c>
      <c r="BD42" s="6" t="s">
        <v>5</v>
      </c>
      <c r="BE42" s="6" t="s">
        <v>5</v>
      </c>
      <c r="BF42" s="6" t="s">
        <v>5</v>
      </c>
      <c r="BG42" s="6" t="s">
        <v>5</v>
      </c>
      <c r="BH42" s="6" t="s">
        <v>5</v>
      </c>
      <c r="BI42" s="7">
        <v>3.28</v>
      </c>
      <c r="BJ42" s="23">
        <v>0.63</v>
      </c>
      <c r="BK42" s="24">
        <v>1</v>
      </c>
      <c r="BL42" s="6">
        <v>38.4</v>
      </c>
      <c r="BM42" s="7">
        <v>4.0199999999999996</v>
      </c>
      <c r="BN42" s="2">
        <v>0</v>
      </c>
      <c r="BO42" s="7">
        <v>4.0199999999999996</v>
      </c>
      <c r="BP42" s="7">
        <v>2.0299999999999998</v>
      </c>
      <c r="BQ42" s="6">
        <v>2.4300000000000002</v>
      </c>
      <c r="BR42" s="7">
        <v>2.0299999999999998</v>
      </c>
      <c r="BS42" s="16">
        <v>9.5500000000000007</v>
      </c>
      <c r="BT42" s="16" t="s">
        <v>5</v>
      </c>
      <c r="BU42" s="16">
        <v>9.5500000000000007</v>
      </c>
      <c r="BV42" s="16">
        <v>4.83</v>
      </c>
      <c r="BW42" s="16">
        <v>4.04</v>
      </c>
      <c r="BX42" s="16">
        <v>4.83</v>
      </c>
      <c r="BY42" s="25" t="s">
        <v>5</v>
      </c>
      <c r="BZ42" s="25" t="s">
        <v>5</v>
      </c>
      <c r="CA42" s="4">
        <v>18</v>
      </c>
      <c r="CB42" s="4">
        <v>18</v>
      </c>
      <c r="CC42" s="4">
        <v>24</v>
      </c>
      <c r="CD42" s="25" t="s">
        <v>5</v>
      </c>
      <c r="CE42" s="25" t="s">
        <v>5</v>
      </c>
      <c r="CF42" s="16" t="s">
        <v>5</v>
      </c>
      <c r="CG42" s="16" t="s">
        <v>5</v>
      </c>
      <c r="CH42" s="18" t="s">
        <v>5</v>
      </c>
      <c r="CS42" s="335" t="str">
        <f t="shared" si="1"/>
        <v>L8X6X7/16</v>
      </c>
      <c r="CT42" s="338">
        <v>5.99</v>
      </c>
      <c r="CV42" s="344" t="str">
        <f t="shared" si="2"/>
        <v>WT22X167.5</v>
      </c>
      <c r="CW42" s="337">
        <v>49.2</v>
      </c>
      <c r="DE42" s="335" t="str">
        <f t="shared" si="5"/>
        <v>2L8X8X3/4</v>
      </c>
      <c r="DF42" s="337">
        <v>23</v>
      </c>
      <c r="DH42" s="397" t="s">
        <v>1272</v>
      </c>
      <c r="DI42" s="398">
        <v>96.9</v>
      </c>
      <c r="DJ42" s="398">
        <v>37.700000000000003</v>
      </c>
      <c r="DK42" s="400">
        <v>1.02</v>
      </c>
      <c r="DL42" s="398">
        <v>31.4</v>
      </c>
      <c r="DM42" s="400">
        <v>4.49</v>
      </c>
      <c r="DN42" s="401">
        <v>1410</v>
      </c>
      <c r="DO42" s="402">
        <v>1240</v>
      </c>
      <c r="DP42" s="117"/>
      <c r="DQ42" s="428" t="s">
        <v>1279</v>
      </c>
      <c r="DR42" s="429">
        <v>1270</v>
      </c>
      <c r="DS42" s="429">
        <v>19500</v>
      </c>
      <c r="DT42" s="430" t="s">
        <v>1410</v>
      </c>
      <c r="DU42" s="430">
        <v>224</v>
      </c>
      <c r="DV42" s="429">
        <v>84</v>
      </c>
      <c r="DW42" s="431">
        <f t="shared" si="8"/>
        <v>224</v>
      </c>
      <c r="DX42" s="432">
        <f t="shared" si="9"/>
        <v>2370</v>
      </c>
      <c r="DZ42" s="447" t="s">
        <v>1250</v>
      </c>
      <c r="EA42" s="448">
        <v>487</v>
      </c>
      <c r="EB42" s="448">
        <v>143</v>
      </c>
      <c r="EC42" s="448">
        <v>39.299999999999997</v>
      </c>
      <c r="ED42" s="448" t="s">
        <v>1648</v>
      </c>
      <c r="EE42" s="448">
        <v>1.5</v>
      </c>
      <c r="EF42" s="448" t="s">
        <v>1663</v>
      </c>
      <c r="EG42" s="449">
        <v>44989</v>
      </c>
      <c r="EH42" s="448">
        <v>17.100000000000001</v>
      </c>
      <c r="EI42" s="448" t="s">
        <v>1675</v>
      </c>
      <c r="EJ42" s="448">
        <v>2.68</v>
      </c>
      <c r="EK42" s="448" t="s">
        <v>1676</v>
      </c>
      <c r="EL42" s="448">
        <v>3.19</v>
      </c>
      <c r="EM42" s="448">
        <v>21.4</v>
      </c>
      <c r="EN42" s="448">
        <v>36000</v>
      </c>
      <c r="EO42" s="448">
        <v>1830</v>
      </c>
      <c r="EP42" s="448">
        <v>15.8</v>
      </c>
      <c r="EQ42" s="448">
        <v>2130</v>
      </c>
      <c r="ER42" s="448">
        <v>2250</v>
      </c>
      <c r="ES42" s="448">
        <v>263</v>
      </c>
      <c r="ET42" s="448">
        <v>3.96</v>
      </c>
      <c r="EU42" s="450">
        <v>412</v>
      </c>
    </row>
    <row r="43" spans="2:151" ht="14.4" thickBot="1">
      <c r="B43" s="78" t="s">
        <v>7</v>
      </c>
      <c r="C43" s="79" t="s">
        <v>48</v>
      </c>
      <c r="D43" s="80" t="s">
        <v>48</v>
      </c>
      <c r="E43" s="1" t="s">
        <v>4</v>
      </c>
      <c r="F43" s="4">
        <v>21.9</v>
      </c>
      <c r="G43" s="7">
        <v>6.45</v>
      </c>
      <c r="H43" s="3" t="str">
        <f t="shared" si="0"/>
        <v>L6X6X9/16</v>
      </c>
      <c r="I43" s="7">
        <v>6</v>
      </c>
      <c r="J43" s="5" t="s">
        <v>5</v>
      </c>
      <c r="K43" s="6" t="s">
        <v>5</v>
      </c>
      <c r="L43" s="6" t="s">
        <v>5</v>
      </c>
      <c r="M43" s="6" t="s">
        <v>5</v>
      </c>
      <c r="N43" s="6" t="s">
        <v>5</v>
      </c>
      <c r="O43" s="5" t="s">
        <v>5</v>
      </c>
      <c r="P43" s="5" t="s">
        <v>5</v>
      </c>
      <c r="Q43" s="7">
        <v>6</v>
      </c>
      <c r="R43" s="6" t="s">
        <v>5</v>
      </c>
      <c r="S43" s="6" t="s">
        <v>5</v>
      </c>
      <c r="T43" s="5" t="s">
        <v>5</v>
      </c>
      <c r="U43" s="8" t="s">
        <v>5</v>
      </c>
      <c r="V43" s="6" t="s">
        <v>5</v>
      </c>
      <c r="W43" s="8" t="s">
        <v>5</v>
      </c>
      <c r="X43" s="22">
        <v>0.56299999999999994</v>
      </c>
      <c r="Y43" s="6" t="s">
        <v>5</v>
      </c>
      <c r="Z43" s="6" t="s">
        <v>5</v>
      </c>
      <c r="AA43" s="7">
        <v>1.06</v>
      </c>
      <c r="AB43" s="8">
        <v>1.0625</v>
      </c>
      <c r="AC43" s="8" t="s">
        <v>5</v>
      </c>
      <c r="AD43" s="7">
        <v>1.7</v>
      </c>
      <c r="AE43" s="7">
        <v>1.7</v>
      </c>
      <c r="AF43" s="6" t="s">
        <v>5</v>
      </c>
      <c r="AG43" s="22">
        <v>0.53800000000000003</v>
      </c>
      <c r="AH43" s="22">
        <v>0.53800000000000003</v>
      </c>
      <c r="AI43" s="6" t="s">
        <v>5</v>
      </c>
      <c r="AJ43" s="4">
        <v>10.7</v>
      </c>
      <c r="AK43" s="6" t="s">
        <v>5</v>
      </c>
      <c r="AL43" s="6" t="s">
        <v>5</v>
      </c>
      <c r="AM43" s="6" t="s">
        <v>5</v>
      </c>
      <c r="AN43" s="6" t="s">
        <v>5</v>
      </c>
      <c r="AO43" s="4">
        <v>22</v>
      </c>
      <c r="AP43" s="7">
        <v>9.18</v>
      </c>
      <c r="AQ43" s="7">
        <v>5.12</v>
      </c>
      <c r="AR43" s="7">
        <v>1.85</v>
      </c>
      <c r="AS43" s="4">
        <v>22</v>
      </c>
      <c r="AT43" s="7">
        <v>9.18</v>
      </c>
      <c r="AU43" s="7">
        <v>5.12</v>
      </c>
      <c r="AV43" s="7">
        <v>1.85</v>
      </c>
      <c r="AW43" s="7">
        <v>8.9</v>
      </c>
      <c r="AX43" s="7">
        <v>1.18</v>
      </c>
      <c r="AY43" s="12">
        <v>3.71</v>
      </c>
      <c r="AZ43" s="22">
        <v>0.70399999999999996</v>
      </c>
      <c r="BA43" s="7">
        <v>1.85</v>
      </c>
      <c r="BB43" s="6" t="s">
        <v>5</v>
      </c>
      <c r="BC43" s="6" t="s">
        <v>5</v>
      </c>
      <c r="BD43" s="6" t="s">
        <v>5</v>
      </c>
      <c r="BE43" s="6" t="s">
        <v>5</v>
      </c>
      <c r="BF43" s="6" t="s">
        <v>5</v>
      </c>
      <c r="BG43" s="6" t="s">
        <v>5</v>
      </c>
      <c r="BH43" s="6" t="s">
        <v>5</v>
      </c>
      <c r="BI43" s="7">
        <v>3.29</v>
      </c>
      <c r="BJ43" s="23">
        <v>0.63</v>
      </c>
      <c r="BK43" s="24">
        <v>1</v>
      </c>
      <c r="BL43" s="6">
        <v>35.1</v>
      </c>
      <c r="BM43" s="7">
        <v>4.04</v>
      </c>
      <c r="BN43" s="2">
        <v>0</v>
      </c>
      <c r="BO43" s="7">
        <v>4.04</v>
      </c>
      <c r="BP43" s="7">
        <v>2.04</v>
      </c>
      <c r="BQ43" s="7">
        <v>2.4</v>
      </c>
      <c r="BR43" s="7">
        <v>2.04</v>
      </c>
      <c r="BS43" s="16">
        <v>8.69</v>
      </c>
      <c r="BT43" s="16" t="s">
        <v>5</v>
      </c>
      <c r="BU43" s="16">
        <v>8.69</v>
      </c>
      <c r="BV43" s="16">
        <v>4.3600000000000003</v>
      </c>
      <c r="BW43" s="16">
        <v>3.71</v>
      </c>
      <c r="BX43" s="16">
        <v>4.3600000000000003</v>
      </c>
      <c r="BY43" s="25" t="s">
        <v>5</v>
      </c>
      <c r="BZ43" s="25" t="s">
        <v>5</v>
      </c>
      <c r="CA43" s="4">
        <v>18</v>
      </c>
      <c r="CB43" s="4">
        <v>18</v>
      </c>
      <c r="CC43" s="4">
        <v>24</v>
      </c>
      <c r="CD43" s="25" t="s">
        <v>5</v>
      </c>
      <c r="CE43" s="25" t="s">
        <v>5</v>
      </c>
      <c r="CF43" s="16" t="s">
        <v>5</v>
      </c>
      <c r="CG43" s="16" t="s">
        <v>5</v>
      </c>
      <c r="CH43" s="18" t="s">
        <v>5</v>
      </c>
      <c r="CS43" s="335" t="str">
        <f t="shared" si="1"/>
        <v>L5X5X5/8</v>
      </c>
      <c r="CT43" s="338">
        <v>5.9</v>
      </c>
      <c r="CV43" s="344" t="str">
        <f t="shared" si="2"/>
        <v>WT12X167.5</v>
      </c>
      <c r="CW43" s="337">
        <v>49.1</v>
      </c>
      <c r="DE43" s="335" t="str">
        <f t="shared" si="5"/>
        <v>2L8X8X3/4</v>
      </c>
      <c r="DF43" s="337">
        <v>23</v>
      </c>
      <c r="DH43" s="397" t="s">
        <v>1276</v>
      </c>
      <c r="DI43" s="398">
        <v>89</v>
      </c>
      <c r="DJ43" s="398">
        <v>37.299999999999997</v>
      </c>
      <c r="DK43" s="399">
        <v>0.94499999999999995</v>
      </c>
      <c r="DL43" s="398">
        <v>33.9</v>
      </c>
      <c r="DM43" s="400">
        <v>4.96</v>
      </c>
      <c r="DN43" s="401">
        <v>1280</v>
      </c>
      <c r="DO43" s="402">
        <v>1130</v>
      </c>
      <c r="DP43" s="117"/>
      <c r="DQ43" s="428" t="s">
        <v>1280</v>
      </c>
      <c r="DR43" s="429">
        <v>1250</v>
      </c>
      <c r="DS43" s="429">
        <v>21900</v>
      </c>
      <c r="DT43" s="430" t="s">
        <v>1415</v>
      </c>
      <c r="DU43" s="430">
        <v>200</v>
      </c>
      <c r="DV43" s="429">
        <v>76</v>
      </c>
      <c r="DW43" s="431">
        <f t="shared" si="8"/>
        <v>200</v>
      </c>
      <c r="DX43" s="432">
        <f t="shared" si="9"/>
        <v>2100</v>
      </c>
      <c r="DZ43" s="447" t="s">
        <v>1253</v>
      </c>
      <c r="EA43" s="448">
        <v>441</v>
      </c>
      <c r="EB43" s="448">
        <v>130</v>
      </c>
      <c r="EC43" s="448">
        <v>38.9</v>
      </c>
      <c r="ED43" s="448" t="s">
        <v>1677</v>
      </c>
      <c r="EE43" s="448">
        <v>1.36</v>
      </c>
      <c r="EF43" s="448" t="s">
        <v>1678</v>
      </c>
      <c r="EG43" s="449">
        <v>45246</v>
      </c>
      <c r="EH43" s="448">
        <v>17</v>
      </c>
      <c r="EI43" s="448">
        <v>17</v>
      </c>
      <c r="EJ43" s="448">
        <v>2.44</v>
      </c>
      <c r="EK43" s="448" t="s">
        <v>1679</v>
      </c>
      <c r="EL43" s="448">
        <v>3.48</v>
      </c>
      <c r="EM43" s="448">
        <v>23.6</v>
      </c>
      <c r="EN43" s="448">
        <v>32100</v>
      </c>
      <c r="EO43" s="448">
        <v>1650</v>
      </c>
      <c r="EP43" s="448">
        <v>15.7</v>
      </c>
      <c r="EQ43" s="448">
        <v>1910</v>
      </c>
      <c r="ER43" s="448">
        <v>1990</v>
      </c>
      <c r="ES43" s="448">
        <v>235</v>
      </c>
      <c r="ET43" s="448">
        <v>3.92</v>
      </c>
      <c r="EU43" s="450">
        <v>368</v>
      </c>
    </row>
    <row r="44" spans="2:151" ht="20.399999999999999" customHeight="1" thickBot="1">
      <c r="B44" s="78" t="s">
        <v>7</v>
      </c>
      <c r="C44" s="79" t="s">
        <v>49</v>
      </c>
      <c r="D44" s="80" t="s">
        <v>49</v>
      </c>
      <c r="E44" s="1" t="s">
        <v>4</v>
      </c>
      <c r="F44" s="4">
        <v>19.600000000000001</v>
      </c>
      <c r="G44" s="7">
        <v>5.77</v>
      </c>
      <c r="H44" s="3" t="str">
        <f t="shared" si="0"/>
        <v>L6X6X1/2</v>
      </c>
      <c r="I44" s="7">
        <v>6</v>
      </c>
      <c r="J44" s="5" t="s">
        <v>5</v>
      </c>
      <c r="K44" s="6" t="s">
        <v>5</v>
      </c>
      <c r="L44" s="6" t="s">
        <v>5</v>
      </c>
      <c r="M44" s="6" t="s">
        <v>5</v>
      </c>
      <c r="N44" s="6" t="s">
        <v>5</v>
      </c>
      <c r="O44" s="5" t="s">
        <v>5</v>
      </c>
      <c r="P44" s="5" t="s">
        <v>5</v>
      </c>
      <c r="Q44" s="7">
        <v>6</v>
      </c>
      <c r="R44" s="6" t="s">
        <v>5</v>
      </c>
      <c r="S44" s="6" t="s">
        <v>5</v>
      </c>
      <c r="T44" s="5" t="s">
        <v>5</v>
      </c>
      <c r="U44" s="8" t="s">
        <v>5</v>
      </c>
      <c r="V44" s="6" t="s">
        <v>5</v>
      </c>
      <c r="W44" s="8" t="s">
        <v>5</v>
      </c>
      <c r="X44" s="22">
        <v>0.5</v>
      </c>
      <c r="Y44" s="6" t="s">
        <v>5</v>
      </c>
      <c r="Z44" s="6" t="s">
        <v>5</v>
      </c>
      <c r="AA44" s="7">
        <v>1</v>
      </c>
      <c r="AB44" s="8">
        <v>1</v>
      </c>
      <c r="AC44" s="8" t="s">
        <v>5</v>
      </c>
      <c r="AD44" s="7">
        <v>1.67</v>
      </c>
      <c r="AE44" s="7">
        <v>1.67</v>
      </c>
      <c r="AF44" s="6" t="s">
        <v>5</v>
      </c>
      <c r="AG44" s="22">
        <v>0.48099999999999998</v>
      </c>
      <c r="AH44" s="22">
        <v>0.48099999999999998</v>
      </c>
      <c r="AI44" s="6" t="s">
        <v>5</v>
      </c>
      <c r="AJ44" s="4">
        <v>12</v>
      </c>
      <c r="AK44" s="6" t="s">
        <v>5</v>
      </c>
      <c r="AL44" s="6" t="s">
        <v>5</v>
      </c>
      <c r="AM44" s="6" t="s">
        <v>5</v>
      </c>
      <c r="AN44" s="6" t="s">
        <v>5</v>
      </c>
      <c r="AO44" s="4">
        <v>19.899999999999999</v>
      </c>
      <c r="AP44" s="7">
        <v>8.2200000000000006</v>
      </c>
      <c r="AQ44" s="7">
        <v>4.59</v>
      </c>
      <c r="AR44" s="7">
        <v>1.86</v>
      </c>
      <c r="AS44" s="4">
        <v>19.899999999999999</v>
      </c>
      <c r="AT44" s="7">
        <v>8.2200000000000006</v>
      </c>
      <c r="AU44" s="7">
        <v>4.59</v>
      </c>
      <c r="AV44" s="7">
        <v>1.86</v>
      </c>
      <c r="AW44" s="6">
        <v>8.06</v>
      </c>
      <c r="AX44" s="7">
        <v>1.18</v>
      </c>
      <c r="AY44" s="12">
        <v>3.42</v>
      </c>
      <c r="AZ44" s="22">
        <v>0.501</v>
      </c>
      <c r="BA44" s="7">
        <v>1.32</v>
      </c>
      <c r="BB44" s="6" t="s">
        <v>5</v>
      </c>
      <c r="BC44" s="6" t="s">
        <v>5</v>
      </c>
      <c r="BD44" s="6" t="s">
        <v>5</v>
      </c>
      <c r="BE44" s="6" t="s">
        <v>5</v>
      </c>
      <c r="BF44" s="6" t="s">
        <v>5</v>
      </c>
      <c r="BG44" s="6" t="s">
        <v>5</v>
      </c>
      <c r="BH44" s="6" t="s">
        <v>5</v>
      </c>
      <c r="BI44" s="7">
        <v>3.31</v>
      </c>
      <c r="BJ44" s="23">
        <v>0.63</v>
      </c>
      <c r="BK44" s="24">
        <v>1</v>
      </c>
      <c r="BL44" s="6">
        <v>31.8</v>
      </c>
      <c r="BM44" s="7">
        <v>4.07</v>
      </c>
      <c r="BN44" s="2">
        <v>0</v>
      </c>
      <c r="BO44" s="7">
        <v>4.07</v>
      </c>
      <c r="BP44" s="7">
        <v>2.06</v>
      </c>
      <c r="BQ44" s="6">
        <v>2.36</v>
      </c>
      <c r="BR44" s="7">
        <v>2.06</v>
      </c>
      <c r="BS44" s="16">
        <v>7.81</v>
      </c>
      <c r="BT44" s="16" t="s">
        <v>5</v>
      </c>
      <c r="BU44" s="16">
        <v>7.81</v>
      </c>
      <c r="BV44" s="16">
        <v>3.91</v>
      </c>
      <c r="BW44" s="16">
        <v>3.42</v>
      </c>
      <c r="BX44" s="16">
        <v>3.91</v>
      </c>
      <c r="BY44" s="25" t="s">
        <v>5</v>
      </c>
      <c r="BZ44" s="25" t="s">
        <v>5</v>
      </c>
      <c r="CA44" s="4">
        <v>18</v>
      </c>
      <c r="CB44" s="4">
        <v>18</v>
      </c>
      <c r="CC44" s="4">
        <v>24</v>
      </c>
      <c r="CD44" s="25" t="s">
        <v>5</v>
      </c>
      <c r="CE44" s="25" t="s">
        <v>5</v>
      </c>
      <c r="CF44" s="16" t="s">
        <v>5</v>
      </c>
      <c r="CG44" s="16" t="s">
        <v>5</v>
      </c>
      <c r="CH44" s="18" t="s">
        <v>5</v>
      </c>
      <c r="CL44" s="492" t="s">
        <v>560</v>
      </c>
      <c r="CM44" s="493"/>
      <c r="CN44" s="494"/>
      <c r="CP44" s="104"/>
      <c r="CQ44" s="332" t="s">
        <v>561</v>
      </c>
      <c r="CS44" s="335" t="str">
        <f t="shared" si="1"/>
        <v>L6X4X5/8</v>
      </c>
      <c r="CT44" s="338">
        <v>5.86</v>
      </c>
      <c r="CV44" s="344" t="str">
        <f t="shared" si="2"/>
        <v>WT20X165.5</v>
      </c>
      <c r="CW44" s="337">
        <v>48.8</v>
      </c>
      <c r="DE44" s="335" t="str">
        <f t="shared" si="5"/>
        <v>2L8X8X3/4</v>
      </c>
      <c r="DF44" s="337">
        <v>23</v>
      </c>
      <c r="DH44" s="397" t="s">
        <v>1283</v>
      </c>
      <c r="DI44" s="398">
        <v>82.9</v>
      </c>
      <c r="DJ44" s="398">
        <v>37.1</v>
      </c>
      <c r="DK44" s="399">
        <v>0.88500000000000001</v>
      </c>
      <c r="DL44" s="398">
        <v>36.200000000000003</v>
      </c>
      <c r="DM44" s="400">
        <v>5.29</v>
      </c>
      <c r="DN44" s="401">
        <v>1190</v>
      </c>
      <c r="DO44" s="402">
        <v>1050</v>
      </c>
      <c r="DP44" s="117"/>
      <c r="DQ44" s="428" t="s">
        <v>1281</v>
      </c>
      <c r="DR44" s="429">
        <v>1240</v>
      </c>
      <c r="DS44" s="429">
        <v>16200</v>
      </c>
      <c r="DT44" s="430" t="s">
        <v>1421</v>
      </c>
      <c r="DU44" s="430">
        <v>177</v>
      </c>
      <c r="DV44" s="429">
        <v>68</v>
      </c>
      <c r="DW44" s="431">
        <f t="shared" si="8"/>
        <v>177</v>
      </c>
      <c r="DX44" s="432">
        <f t="shared" si="9"/>
        <v>1830</v>
      </c>
      <c r="DZ44" s="447" t="s">
        <v>1258</v>
      </c>
      <c r="EA44" s="448">
        <v>395</v>
      </c>
      <c r="EB44" s="448">
        <v>116</v>
      </c>
      <c r="EC44" s="448">
        <v>38.4</v>
      </c>
      <c r="ED44" s="448" t="s">
        <v>1680</v>
      </c>
      <c r="EE44" s="448">
        <v>1.22</v>
      </c>
      <c r="EF44" s="448" t="s">
        <v>1624</v>
      </c>
      <c r="EG44" s="449">
        <v>45054</v>
      </c>
      <c r="EH44" s="448">
        <v>16.8</v>
      </c>
      <c r="EI44" s="448" t="s">
        <v>1625</v>
      </c>
      <c r="EJ44" s="448">
        <v>2.2000000000000002</v>
      </c>
      <c r="EK44" s="448" t="s">
        <v>1638</v>
      </c>
      <c r="EL44" s="448">
        <v>3.83</v>
      </c>
      <c r="EM44" s="448">
        <v>26.3</v>
      </c>
      <c r="EN44" s="448">
        <v>28500</v>
      </c>
      <c r="EO44" s="448">
        <v>1490</v>
      </c>
      <c r="EP44" s="448">
        <v>15.7</v>
      </c>
      <c r="EQ44" s="448">
        <v>1710</v>
      </c>
      <c r="ER44" s="448">
        <v>1750</v>
      </c>
      <c r="ES44" s="448">
        <v>208</v>
      </c>
      <c r="ET44" s="448">
        <v>3.88</v>
      </c>
      <c r="EU44" s="450">
        <v>325</v>
      </c>
    </row>
    <row r="45" spans="2:151" ht="14.4" thickBot="1">
      <c r="B45" s="78" t="s">
        <v>7</v>
      </c>
      <c r="C45" s="79" t="s">
        <v>50</v>
      </c>
      <c r="D45" s="80" t="s">
        <v>50</v>
      </c>
      <c r="E45" s="1" t="s">
        <v>4</v>
      </c>
      <c r="F45" s="4">
        <v>17.2</v>
      </c>
      <c r="G45" s="7">
        <v>5.08</v>
      </c>
      <c r="H45" s="3" t="str">
        <f t="shared" si="0"/>
        <v>L6X6X7/16</v>
      </c>
      <c r="I45" s="7">
        <v>6</v>
      </c>
      <c r="J45" s="5" t="s">
        <v>5</v>
      </c>
      <c r="K45" s="6" t="s">
        <v>5</v>
      </c>
      <c r="L45" s="6" t="s">
        <v>5</v>
      </c>
      <c r="M45" s="6" t="s">
        <v>5</v>
      </c>
      <c r="N45" s="6" t="s">
        <v>5</v>
      </c>
      <c r="O45" s="5" t="s">
        <v>5</v>
      </c>
      <c r="P45" s="5" t="s">
        <v>5</v>
      </c>
      <c r="Q45" s="7">
        <v>6</v>
      </c>
      <c r="R45" s="6" t="s">
        <v>5</v>
      </c>
      <c r="S45" s="6" t="s">
        <v>5</v>
      </c>
      <c r="T45" s="5" t="s">
        <v>5</v>
      </c>
      <c r="U45" s="8" t="s">
        <v>5</v>
      </c>
      <c r="V45" s="6" t="s">
        <v>5</v>
      </c>
      <c r="W45" s="8" t="s">
        <v>5</v>
      </c>
      <c r="X45" s="22">
        <v>0.438</v>
      </c>
      <c r="Y45" s="6" t="s">
        <v>5</v>
      </c>
      <c r="Z45" s="6" t="s">
        <v>5</v>
      </c>
      <c r="AA45" s="22">
        <v>0.93799999999999994</v>
      </c>
      <c r="AB45" s="8">
        <v>0.9375</v>
      </c>
      <c r="AC45" s="8" t="s">
        <v>5</v>
      </c>
      <c r="AD45" s="7">
        <v>1.65</v>
      </c>
      <c r="AE45" s="7">
        <v>1.65</v>
      </c>
      <c r="AF45" s="6" t="s">
        <v>5</v>
      </c>
      <c r="AG45" s="22">
        <v>0.42299999999999999</v>
      </c>
      <c r="AH45" s="22">
        <v>0.42299999999999999</v>
      </c>
      <c r="AI45" s="6" t="s">
        <v>5</v>
      </c>
      <c r="AJ45" s="4">
        <v>13.7</v>
      </c>
      <c r="AK45" s="6" t="s">
        <v>5</v>
      </c>
      <c r="AL45" s="6" t="s">
        <v>5</v>
      </c>
      <c r="AM45" s="6" t="s">
        <v>5</v>
      </c>
      <c r="AN45" s="6" t="s">
        <v>5</v>
      </c>
      <c r="AO45" s="4">
        <v>17.600000000000001</v>
      </c>
      <c r="AP45" s="7">
        <v>7.25</v>
      </c>
      <c r="AQ45" s="7">
        <v>4.0599999999999996</v>
      </c>
      <c r="AR45" s="7">
        <v>1.86</v>
      </c>
      <c r="AS45" s="4">
        <v>17.600000000000001</v>
      </c>
      <c r="AT45" s="7">
        <v>7.25</v>
      </c>
      <c r="AU45" s="7">
        <v>4.0599999999999996</v>
      </c>
      <c r="AV45" s="7">
        <v>1.86</v>
      </c>
      <c r="AW45" s="6">
        <v>7.05</v>
      </c>
      <c r="AX45" s="7">
        <v>1.18</v>
      </c>
      <c r="AY45" s="12">
        <v>3.03</v>
      </c>
      <c r="AZ45" s="22">
        <v>0.34</v>
      </c>
      <c r="BA45" s="22">
        <v>0.89900000000000002</v>
      </c>
      <c r="BB45" s="6" t="s">
        <v>5</v>
      </c>
      <c r="BC45" s="6" t="s">
        <v>5</v>
      </c>
      <c r="BD45" s="6" t="s">
        <v>5</v>
      </c>
      <c r="BE45" s="6" t="s">
        <v>5</v>
      </c>
      <c r="BF45" s="6" t="s">
        <v>5</v>
      </c>
      <c r="BG45" s="6" t="s">
        <v>5</v>
      </c>
      <c r="BH45" s="6" t="s">
        <v>5</v>
      </c>
      <c r="BI45" s="7">
        <v>3.32</v>
      </c>
      <c r="BJ45" s="23">
        <v>0.63</v>
      </c>
      <c r="BK45" s="24">
        <v>1</v>
      </c>
      <c r="BL45" s="6">
        <v>28.1</v>
      </c>
      <c r="BM45" s="7">
        <v>4.09</v>
      </c>
      <c r="BN45" s="2">
        <v>0</v>
      </c>
      <c r="BO45" s="7">
        <v>4.09</v>
      </c>
      <c r="BP45" s="7">
        <v>2.06</v>
      </c>
      <c r="BQ45" s="6">
        <v>2.33</v>
      </c>
      <c r="BR45" s="7">
        <v>2.06</v>
      </c>
      <c r="BS45" s="16">
        <v>6.87</v>
      </c>
      <c r="BT45" s="16" t="s">
        <v>5</v>
      </c>
      <c r="BU45" s="16">
        <v>6.87</v>
      </c>
      <c r="BV45" s="16">
        <v>3.42</v>
      </c>
      <c r="BW45" s="16">
        <v>3.03</v>
      </c>
      <c r="BX45" s="16">
        <v>3.42</v>
      </c>
      <c r="BY45" s="25" t="s">
        <v>5</v>
      </c>
      <c r="BZ45" s="25" t="s">
        <v>5</v>
      </c>
      <c r="CA45" s="4">
        <v>18</v>
      </c>
      <c r="CB45" s="4">
        <v>18</v>
      </c>
      <c r="CC45" s="4">
        <v>24</v>
      </c>
      <c r="CD45" s="25" t="s">
        <v>5</v>
      </c>
      <c r="CE45" s="25" t="s">
        <v>5</v>
      </c>
      <c r="CF45" s="16" t="s">
        <v>5</v>
      </c>
      <c r="CG45" s="16" t="s">
        <v>5</v>
      </c>
      <c r="CH45" s="18" t="s">
        <v>5</v>
      </c>
      <c r="CL45" s="84"/>
      <c r="CM45" s="85" t="s">
        <v>3</v>
      </c>
      <c r="CN45" s="86" t="s">
        <v>1588</v>
      </c>
      <c r="CP45" s="105" t="s">
        <v>542</v>
      </c>
      <c r="CQ45" s="107">
        <v>1</v>
      </c>
      <c r="CS45" s="335" t="str">
        <f t="shared" si="1"/>
        <v>L5X3-1/2X3/4</v>
      </c>
      <c r="CT45" s="338">
        <v>5.85</v>
      </c>
      <c r="CV45" s="344" t="str">
        <f t="shared" si="2"/>
        <v>WT18X165</v>
      </c>
      <c r="CW45" s="337">
        <v>48.4</v>
      </c>
      <c r="DE45" s="335" t="str">
        <f t="shared" si="5"/>
        <v>2L6X6X1</v>
      </c>
      <c r="DF45" s="337">
        <v>22</v>
      </c>
      <c r="DH45" s="397" t="s">
        <v>1292</v>
      </c>
      <c r="DI45" s="398">
        <v>77.2</v>
      </c>
      <c r="DJ45" s="398">
        <v>36.9</v>
      </c>
      <c r="DK45" s="399">
        <v>0.84</v>
      </c>
      <c r="DL45" s="398">
        <v>38.200000000000003</v>
      </c>
      <c r="DM45" s="400">
        <v>5.75</v>
      </c>
      <c r="DN45" s="401">
        <v>1100</v>
      </c>
      <c r="DO45" s="402">
        <v>972</v>
      </c>
      <c r="DP45" s="117"/>
      <c r="DQ45" s="428" t="s">
        <v>1282</v>
      </c>
      <c r="DR45" s="429">
        <v>1190</v>
      </c>
      <c r="DS45" s="429">
        <v>20500</v>
      </c>
      <c r="DT45" s="430" t="s">
        <v>1427</v>
      </c>
      <c r="DU45" s="430">
        <v>160</v>
      </c>
      <c r="DV45" s="429">
        <v>68</v>
      </c>
      <c r="DW45" s="431">
        <f t="shared" si="8"/>
        <v>160</v>
      </c>
      <c r="DX45" s="432">
        <f t="shared" si="9"/>
        <v>1480</v>
      </c>
      <c r="DZ45" s="447" t="s">
        <v>1264</v>
      </c>
      <c r="EA45" s="448">
        <v>361</v>
      </c>
      <c r="EB45" s="448">
        <v>106</v>
      </c>
      <c r="EC45" s="448">
        <v>38</v>
      </c>
      <c r="ED45" s="448">
        <v>38</v>
      </c>
      <c r="EE45" s="448">
        <v>1.1200000000000001</v>
      </c>
      <c r="EF45" s="448" t="s">
        <v>1643</v>
      </c>
      <c r="EG45" s="449">
        <v>45185</v>
      </c>
      <c r="EH45" s="448">
        <v>16.7</v>
      </c>
      <c r="EI45" s="448" t="s">
        <v>1629</v>
      </c>
      <c r="EJ45" s="448">
        <v>2.0099999999999998</v>
      </c>
      <c r="EK45" s="448">
        <v>2</v>
      </c>
      <c r="EL45" s="448">
        <v>4.16</v>
      </c>
      <c r="EM45" s="448">
        <v>28.6</v>
      </c>
      <c r="EN45" s="448">
        <v>25700</v>
      </c>
      <c r="EO45" s="448">
        <v>1350</v>
      </c>
      <c r="EP45" s="448">
        <v>15.6</v>
      </c>
      <c r="EQ45" s="448">
        <v>1550</v>
      </c>
      <c r="ER45" s="448">
        <v>1570</v>
      </c>
      <c r="ES45" s="448">
        <v>188</v>
      </c>
      <c r="ET45" s="448">
        <v>3.85</v>
      </c>
      <c r="EU45" s="450">
        <v>293</v>
      </c>
    </row>
    <row r="46" spans="2:151" ht="14.4" thickBot="1">
      <c r="B46" s="78" t="s">
        <v>7</v>
      </c>
      <c r="C46" s="79" t="s">
        <v>51</v>
      </c>
      <c r="D46" s="80" t="s">
        <v>51</v>
      </c>
      <c r="E46" s="1" t="s">
        <v>4</v>
      </c>
      <c r="F46" s="4">
        <v>14.9</v>
      </c>
      <c r="G46" s="7">
        <v>4.38</v>
      </c>
      <c r="H46" s="3" t="str">
        <f t="shared" si="0"/>
        <v>L6X6X3/8</v>
      </c>
      <c r="I46" s="7">
        <v>6</v>
      </c>
      <c r="J46" s="5" t="s">
        <v>5</v>
      </c>
      <c r="K46" s="6" t="s">
        <v>5</v>
      </c>
      <c r="L46" s="6" t="s">
        <v>5</v>
      </c>
      <c r="M46" s="6" t="s">
        <v>5</v>
      </c>
      <c r="N46" s="6" t="s">
        <v>5</v>
      </c>
      <c r="O46" s="5" t="s">
        <v>5</v>
      </c>
      <c r="P46" s="5" t="s">
        <v>5</v>
      </c>
      <c r="Q46" s="7">
        <v>6</v>
      </c>
      <c r="R46" s="6" t="s">
        <v>5</v>
      </c>
      <c r="S46" s="6" t="s">
        <v>5</v>
      </c>
      <c r="T46" s="5" t="s">
        <v>5</v>
      </c>
      <c r="U46" s="8" t="s">
        <v>5</v>
      </c>
      <c r="V46" s="6" t="s">
        <v>5</v>
      </c>
      <c r="W46" s="8" t="s">
        <v>5</v>
      </c>
      <c r="X46" s="22">
        <v>0.375</v>
      </c>
      <c r="Y46" s="6" t="s">
        <v>5</v>
      </c>
      <c r="Z46" s="6" t="s">
        <v>5</v>
      </c>
      <c r="AA46" s="22">
        <v>0.875</v>
      </c>
      <c r="AB46" s="8">
        <v>0.875</v>
      </c>
      <c r="AC46" s="8" t="s">
        <v>5</v>
      </c>
      <c r="AD46" s="7">
        <v>1.62</v>
      </c>
      <c r="AE46" s="7">
        <v>1.62</v>
      </c>
      <c r="AF46" s="6" t="s">
        <v>5</v>
      </c>
      <c r="AG46" s="22">
        <v>0.36499999999999999</v>
      </c>
      <c r="AH46" s="22">
        <v>0.36499999999999999</v>
      </c>
      <c r="AI46" s="6" t="s">
        <v>5</v>
      </c>
      <c r="AJ46" s="4">
        <v>16</v>
      </c>
      <c r="AK46" s="6" t="s">
        <v>5</v>
      </c>
      <c r="AL46" s="6" t="s">
        <v>5</v>
      </c>
      <c r="AM46" s="6" t="s">
        <v>5</v>
      </c>
      <c r="AN46" s="6" t="s">
        <v>5</v>
      </c>
      <c r="AO46" s="4">
        <v>15.4</v>
      </c>
      <c r="AP46" s="7">
        <v>6.27</v>
      </c>
      <c r="AQ46" s="7">
        <v>3.51</v>
      </c>
      <c r="AR46" s="7">
        <v>1.87</v>
      </c>
      <c r="AS46" s="4">
        <v>15.4</v>
      </c>
      <c r="AT46" s="7">
        <v>6.27</v>
      </c>
      <c r="AU46" s="7">
        <v>3.51</v>
      </c>
      <c r="AV46" s="7">
        <v>1.87</v>
      </c>
      <c r="AW46" s="6">
        <v>6.21</v>
      </c>
      <c r="AX46" s="7">
        <v>1.19</v>
      </c>
      <c r="AY46" s="12">
        <v>2.71</v>
      </c>
      <c r="AZ46" s="22">
        <v>0.218</v>
      </c>
      <c r="BA46" s="22">
        <v>0.57499999999999996</v>
      </c>
      <c r="BB46" s="6" t="s">
        <v>5</v>
      </c>
      <c r="BC46" s="6" t="s">
        <v>5</v>
      </c>
      <c r="BD46" s="6" t="s">
        <v>5</v>
      </c>
      <c r="BE46" s="6" t="s">
        <v>5</v>
      </c>
      <c r="BF46" s="6" t="s">
        <v>5</v>
      </c>
      <c r="BG46" s="6" t="s">
        <v>5</v>
      </c>
      <c r="BH46" s="6" t="s">
        <v>5</v>
      </c>
      <c r="BI46" s="7">
        <v>3.34</v>
      </c>
      <c r="BJ46" s="23">
        <v>0.63</v>
      </c>
      <c r="BK46" s="24">
        <v>1</v>
      </c>
      <c r="BL46" s="6">
        <v>24.6</v>
      </c>
      <c r="BM46" s="7">
        <v>4.1100000000000003</v>
      </c>
      <c r="BN46" s="2">
        <v>0</v>
      </c>
      <c r="BO46" s="7">
        <v>4.1100000000000003</v>
      </c>
      <c r="BP46" s="7">
        <v>2.08</v>
      </c>
      <c r="BQ46" s="6">
        <v>2.29</v>
      </c>
      <c r="BR46" s="7">
        <v>2.08</v>
      </c>
      <c r="BS46" s="16">
        <v>5.99</v>
      </c>
      <c r="BT46" s="16" t="s">
        <v>5</v>
      </c>
      <c r="BU46" s="16">
        <v>5.99</v>
      </c>
      <c r="BV46" s="16">
        <v>2.99</v>
      </c>
      <c r="BW46" s="16">
        <v>2.71</v>
      </c>
      <c r="BX46" s="16">
        <v>2.99</v>
      </c>
      <c r="BY46" s="25" t="s">
        <v>5</v>
      </c>
      <c r="BZ46" s="25" t="s">
        <v>5</v>
      </c>
      <c r="CA46" s="4">
        <v>18</v>
      </c>
      <c r="CB46" s="4">
        <v>18</v>
      </c>
      <c r="CC46" s="4">
        <v>24</v>
      </c>
      <c r="CD46" s="25" t="s">
        <v>5</v>
      </c>
      <c r="CE46" s="25" t="s">
        <v>5</v>
      </c>
      <c r="CF46" s="16" t="s">
        <v>5</v>
      </c>
      <c r="CG46" s="16" t="s">
        <v>5</v>
      </c>
      <c r="CH46" s="18" t="s">
        <v>5</v>
      </c>
      <c r="CL46" s="101" t="s">
        <v>542</v>
      </c>
      <c r="CM46" s="87"/>
      <c r="CN46" s="88">
        <v>1</v>
      </c>
      <c r="CP46" s="106" t="s">
        <v>1204</v>
      </c>
      <c r="CQ46" s="108">
        <v>0.8</v>
      </c>
      <c r="CS46" s="335" t="str">
        <f t="shared" si="1"/>
        <v>L8X4X1/2</v>
      </c>
      <c r="CT46" s="338">
        <v>5.8</v>
      </c>
      <c r="CV46" s="344" t="str">
        <f t="shared" si="2"/>
        <v>WT15X163</v>
      </c>
      <c r="CW46" s="337">
        <v>48</v>
      </c>
      <c r="DE46" s="335" t="str">
        <f t="shared" si="5"/>
        <v>2L6X6X1</v>
      </c>
      <c r="DF46" s="337">
        <v>22</v>
      </c>
      <c r="DH46" s="397" t="s">
        <v>1297</v>
      </c>
      <c r="DI46" s="398">
        <v>72.5</v>
      </c>
      <c r="DJ46" s="398">
        <v>36.700000000000003</v>
      </c>
      <c r="DK46" s="399">
        <v>0.8</v>
      </c>
      <c r="DL46" s="398">
        <v>40.1</v>
      </c>
      <c r="DM46" s="400">
        <v>6.11</v>
      </c>
      <c r="DN46" s="401">
        <v>1030</v>
      </c>
      <c r="DO46" s="402">
        <v>913</v>
      </c>
      <c r="DP46" s="117"/>
      <c r="DQ46" s="428" t="s">
        <v>1283</v>
      </c>
      <c r="DR46" s="429">
        <v>1190</v>
      </c>
      <c r="DS46" s="429">
        <v>19600</v>
      </c>
      <c r="DT46" s="430" t="s">
        <v>1429</v>
      </c>
      <c r="DU46" s="430">
        <v>153</v>
      </c>
      <c r="DV46" s="429">
        <v>62</v>
      </c>
      <c r="DW46" s="431">
        <f t="shared" si="8"/>
        <v>153</v>
      </c>
      <c r="DX46" s="432">
        <f t="shared" si="9"/>
        <v>1550</v>
      </c>
      <c r="DZ46" s="447" t="s">
        <v>1272</v>
      </c>
      <c r="EA46" s="448">
        <v>330</v>
      </c>
      <c r="EB46" s="448">
        <v>96.9</v>
      </c>
      <c r="EC46" s="448">
        <v>37.700000000000003</v>
      </c>
      <c r="ED46" s="448" t="s">
        <v>1681</v>
      </c>
      <c r="EE46" s="448">
        <v>1.02</v>
      </c>
      <c r="EF46" s="448">
        <v>1</v>
      </c>
      <c r="EG46" s="449">
        <v>44928</v>
      </c>
      <c r="EH46" s="448">
        <v>16.600000000000001</v>
      </c>
      <c r="EI46" s="448" t="s">
        <v>1682</v>
      </c>
      <c r="EJ46" s="448">
        <v>1.85</v>
      </c>
      <c r="EK46" s="448" t="s">
        <v>1683</v>
      </c>
      <c r="EL46" s="448">
        <v>4.49</v>
      </c>
      <c r="EM46" s="448">
        <v>31.4</v>
      </c>
      <c r="EN46" s="448">
        <v>23300</v>
      </c>
      <c r="EO46" s="448">
        <v>1240</v>
      </c>
      <c r="EP46" s="448">
        <v>15.5</v>
      </c>
      <c r="EQ46" s="448">
        <v>1410</v>
      </c>
      <c r="ER46" s="448">
        <v>1420</v>
      </c>
      <c r="ES46" s="448">
        <v>171</v>
      </c>
      <c r="ET46" s="448">
        <v>3.83</v>
      </c>
      <c r="EU46" s="450">
        <v>265</v>
      </c>
    </row>
    <row r="47" spans="2:151">
      <c r="B47" s="78" t="s">
        <v>7</v>
      </c>
      <c r="C47" s="79" t="s">
        <v>52</v>
      </c>
      <c r="D47" s="80" t="s">
        <v>52</v>
      </c>
      <c r="E47" s="1" t="s">
        <v>4</v>
      </c>
      <c r="F47" s="4">
        <v>12.4</v>
      </c>
      <c r="G47" s="7">
        <v>3.67</v>
      </c>
      <c r="H47" s="3" t="str">
        <f t="shared" si="0"/>
        <v>L6X6X5/16</v>
      </c>
      <c r="I47" s="7">
        <v>6</v>
      </c>
      <c r="J47" s="5" t="s">
        <v>5</v>
      </c>
      <c r="K47" s="6" t="s">
        <v>5</v>
      </c>
      <c r="L47" s="6" t="s">
        <v>5</v>
      </c>
      <c r="M47" s="6" t="s">
        <v>5</v>
      </c>
      <c r="N47" s="6" t="s">
        <v>5</v>
      </c>
      <c r="O47" s="5" t="s">
        <v>5</v>
      </c>
      <c r="P47" s="5" t="s">
        <v>5</v>
      </c>
      <c r="Q47" s="7">
        <v>6</v>
      </c>
      <c r="R47" s="6" t="s">
        <v>5</v>
      </c>
      <c r="S47" s="6" t="s">
        <v>5</v>
      </c>
      <c r="T47" s="5" t="s">
        <v>5</v>
      </c>
      <c r="U47" s="8" t="s">
        <v>5</v>
      </c>
      <c r="V47" s="6" t="s">
        <v>5</v>
      </c>
      <c r="W47" s="8" t="s">
        <v>5</v>
      </c>
      <c r="X47" s="22">
        <v>0.313</v>
      </c>
      <c r="Y47" s="6" t="s">
        <v>5</v>
      </c>
      <c r="Z47" s="6" t="s">
        <v>5</v>
      </c>
      <c r="AA47" s="22">
        <v>0.81299999999999994</v>
      </c>
      <c r="AB47" s="8">
        <v>0.8125</v>
      </c>
      <c r="AC47" s="8" t="s">
        <v>5</v>
      </c>
      <c r="AD47" s="7">
        <v>1.6</v>
      </c>
      <c r="AE47" s="7">
        <v>1.6</v>
      </c>
      <c r="AF47" s="6" t="s">
        <v>5</v>
      </c>
      <c r="AG47" s="22">
        <v>0.30599999999999999</v>
      </c>
      <c r="AH47" s="22">
        <v>0.30599999999999999</v>
      </c>
      <c r="AI47" s="6" t="s">
        <v>5</v>
      </c>
      <c r="AJ47" s="4">
        <v>19.2</v>
      </c>
      <c r="AK47" s="6" t="s">
        <v>5</v>
      </c>
      <c r="AL47" s="6" t="s">
        <v>5</v>
      </c>
      <c r="AM47" s="6" t="s">
        <v>5</v>
      </c>
      <c r="AN47" s="6" t="s">
        <v>5</v>
      </c>
      <c r="AO47" s="4">
        <v>13</v>
      </c>
      <c r="AP47" s="7">
        <v>5.26</v>
      </c>
      <c r="AQ47" s="7">
        <v>2.95</v>
      </c>
      <c r="AR47" s="7">
        <v>1.88</v>
      </c>
      <c r="AS47" s="4">
        <v>13</v>
      </c>
      <c r="AT47" s="7">
        <v>5.26</v>
      </c>
      <c r="AU47" s="7">
        <v>2.95</v>
      </c>
      <c r="AV47" s="7">
        <v>1.88</v>
      </c>
      <c r="AW47" s="7">
        <v>5.2</v>
      </c>
      <c r="AX47" s="7">
        <v>1.19</v>
      </c>
      <c r="AY47" s="27">
        <v>2.2999999999999998</v>
      </c>
      <c r="AZ47" s="22">
        <v>0.129</v>
      </c>
      <c r="BA47" s="22">
        <v>0.33800000000000002</v>
      </c>
      <c r="BB47" s="6" t="s">
        <v>5</v>
      </c>
      <c r="BC47" s="6" t="s">
        <v>5</v>
      </c>
      <c r="BD47" s="6" t="s">
        <v>5</v>
      </c>
      <c r="BE47" s="6" t="s">
        <v>5</v>
      </c>
      <c r="BF47" s="6" t="s">
        <v>5</v>
      </c>
      <c r="BG47" s="6" t="s">
        <v>5</v>
      </c>
      <c r="BH47" s="6" t="s">
        <v>5</v>
      </c>
      <c r="BI47" s="7">
        <v>3.35</v>
      </c>
      <c r="BJ47" s="23">
        <v>0.63</v>
      </c>
      <c r="BK47" s="24">
        <v>1</v>
      </c>
      <c r="BL47" s="6">
        <v>20.8</v>
      </c>
      <c r="BM47" s="7">
        <v>4.13</v>
      </c>
      <c r="BN47" s="2">
        <v>0</v>
      </c>
      <c r="BO47" s="7">
        <v>4.13</v>
      </c>
      <c r="BP47" s="7">
        <v>2.09</v>
      </c>
      <c r="BQ47" s="6">
        <v>2.2599999999999998</v>
      </c>
      <c r="BR47" s="7">
        <v>2.09</v>
      </c>
      <c r="BS47" s="16">
        <v>5.04</v>
      </c>
      <c r="BT47" s="16" t="s">
        <v>5</v>
      </c>
      <c r="BU47" s="16">
        <v>5.04</v>
      </c>
      <c r="BV47" s="16">
        <v>2.4900000000000002</v>
      </c>
      <c r="BW47" s="26">
        <v>2.2999999999999998</v>
      </c>
      <c r="BX47" s="16">
        <v>2.4900000000000002</v>
      </c>
      <c r="BY47" s="25" t="s">
        <v>5</v>
      </c>
      <c r="BZ47" s="25" t="s">
        <v>5</v>
      </c>
      <c r="CA47" s="4">
        <v>18</v>
      </c>
      <c r="CB47" s="4">
        <v>18</v>
      </c>
      <c r="CC47" s="4">
        <v>24</v>
      </c>
      <c r="CD47" s="25" t="s">
        <v>5</v>
      </c>
      <c r="CE47" s="25" t="s">
        <v>5</v>
      </c>
      <c r="CF47" s="16" t="s">
        <v>5</v>
      </c>
      <c r="CG47" s="16" t="s">
        <v>5</v>
      </c>
      <c r="CH47" s="18" t="s">
        <v>5</v>
      </c>
      <c r="CL47" s="102" t="s">
        <v>559</v>
      </c>
      <c r="CM47" s="89" t="e">
        <f>VLOOKUP(#REF!,'Database 1'!C3:AE464,27,FALSE)</f>
        <v>#REF!</v>
      </c>
      <c r="CN47" s="90" t="e">
        <f>1-(CM47/#REF!)</f>
        <v>#REF!</v>
      </c>
      <c r="CP47" s="187"/>
      <c r="CQ47" s="187"/>
      <c r="CS47" s="335" t="str">
        <f t="shared" si="1"/>
        <v>L6X6X1/2</v>
      </c>
      <c r="CT47" s="338">
        <v>5.77</v>
      </c>
      <c r="CV47" s="344" t="str">
        <f t="shared" si="2"/>
        <v>WT20X163.5</v>
      </c>
      <c r="CW47" s="337">
        <v>47.9</v>
      </c>
      <c r="DE47" s="335" t="str">
        <f t="shared" si="5"/>
        <v>2L6X6X1</v>
      </c>
      <c r="DF47" s="337">
        <v>22</v>
      </c>
      <c r="DH47" s="397" t="s">
        <v>1302</v>
      </c>
      <c r="DI47" s="398">
        <v>68.2</v>
      </c>
      <c r="DJ47" s="398">
        <v>36.5</v>
      </c>
      <c r="DK47" s="399">
        <v>0.76</v>
      </c>
      <c r="DL47" s="398">
        <v>42.2</v>
      </c>
      <c r="DM47" s="400">
        <v>6.54</v>
      </c>
      <c r="DN47" s="401">
        <v>963</v>
      </c>
      <c r="DO47" s="402">
        <v>854</v>
      </c>
      <c r="DP47" s="117"/>
      <c r="DQ47" s="428" t="s">
        <v>1284</v>
      </c>
      <c r="DR47" s="429">
        <v>1190</v>
      </c>
      <c r="DS47" s="429">
        <v>16800</v>
      </c>
      <c r="DT47" s="430" t="s">
        <v>1515</v>
      </c>
      <c r="DU47" s="430">
        <v>144</v>
      </c>
      <c r="DV47" s="429">
        <v>62</v>
      </c>
      <c r="DW47" s="431">
        <v>144</v>
      </c>
      <c r="DX47" s="432">
        <v>1330</v>
      </c>
      <c r="DZ47" s="447" t="s">
        <v>1276</v>
      </c>
      <c r="EA47" s="448">
        <v>302</v>
      </c>
      <c r="EB47" s="448">
        <v>89</v>
      </c>
      <c r="EC47" s="448">
        <v>37.299999999999997</v>
      </c>
      <c r="ED47" s="448" t="s">
        <v>1684</v>
      </c>
      <c r="EE47" s="448">
        <v>0.94499999999999995</v>
      </c>
      <c r="EF47" s="448" t="s">
        <v>1628</v>
      </c>
      <c r="EG47" s="449">
        <v>44928</v>
      </c>
      <c r="EH47" s="448">
        <v>16.7</v>
      </c>
      <c r="EI47" s="448" t="s">
        <v>1682</v>
      </c>
      <c r="EJ47" s="448">
        <v>1.68</v>
      </c>
      <c r="EK47" s="448" t="s">
        <v>1685</v>
      </c>
      <c r="EL47" s="448">
        <v>4.96</v>
      </c>
      <c r="EM47" s="448">
        <v>33.9</v>
      </c>
      <c r="EN47" s="448">
        <v>21100</v>
      </c>
      <c r="EO47" s="448">
        <v>1130</v>
      </c>
      <c r="EP47" s="448">
        <v>15.4</v>
      </c>
      <c r="EQ47" s="448">
        <v>1280</v>
      </c>
      <c r="ER47" s="448">
        <v>1300</v>
      </c>
      <c r="ES47" s="448">
        <v>156</v>
      </c>
      <c r="ET47" s="448">
        <v>3.82</v>
      </c>
      <c r="EU47" s="450">
        <v>241</v>
      </c>
    </row>
    <row r="48" spans="2:151">
      <c r="B48" s="78" t="s">
        <v>7</v>
      </c>
      <c r="C48" s="79" t="s">
        <v>53</v>
      </c>
      <c r="D48" s="80" t="s">
        <v>53</v>
      </c>
      <c r="E48" s="1" t="s">
        <v>4</v>
      </c>
      <c r="F48" s="4">
        <v>27.2</v>
      </c>
      <c r="G48" s="7">
        <v>8</v>
      </c>
      <c r="H48" s="3" t="str">
        <f t="shared" si="0"/>
        <v>L6X4X7/8</v>
      </c>
      <c r="I48" s="7">
        <v>4</v>
      </c>
      <c r="J48" s="5" t="s">
        <v>5</v>
      </c>
      <c r="K48" s="6" t="s">
        <v>5</v>
      </c>
      <c r="L48" s="6" t="s">
        <v>5</v>
      </c>
      <c r="M48" s="6" t="s">
        <v>5</v>
      </c>
      <c r="N48" s="6" t="s">
        <v>5</v>
      </c>
      <c r="O48" s="5" t="s">
        <v>5</v>
      </c>
      <c r="P48" s="5" t="s">
        <v>5</v>
      </c>
      <c r="Q48" s="7">
        <v>6</v>
      </c>
      <c r="R48" s="6" t="s">
        <v>5</v>
      </c>
      <c r="S48" s="6" t="s">
        <v>5</v>
      </c>
      <c r="T48" s="5" t="s">
        <v>5</v>
      </c>
      <c r="U48" s="8" t="s">
        <v>5</v>
      </c>
      <c r="V48" s="6" t="s">
        <v>5</v>
      </c>
      <c r="W48" s="8" t="s">
        <v>5</v>
      </c>
      <c r="X48" s="22">
        <v>0.875</v>
      </c>
      <c r="Y48" s="6" t="s">
        <v>5</v>
      </c>
      <c r="Z48" s="6" t="s">
        <v>5</v>
      </c>
      <c r="AA48" s="7">
        <v>1.38</v>
      </c>
      <c r="AB48" s="8">
        <v>1.375</v>
      </c>
      <c r="AC48" s="8" t="s">
        <v>5</v>
      </c>
      <c r="AD48" s="7">
        <v>1.1200000000000001</v>
      </c>
      <c r="AE48" s="7">
        <v>2.12</v>
      </c>
      <c r="AF48" s="6" t="s">
        <v>5</v>
      </c>
      <c r="AG48" s="22">
        <v>0.66700000000000004</v>
      </c>
      <c r="AH48" s="7">
        <v>1.43</v>
      </c>
      <c r="AI48" s="6" t="s">
        <v>5</v>
      </c>
      <c r="AJ48" s="7">
        <v>6.86</v>
      </c>
      <c r="AK48" s="6" t="s">
        <v>5</v>
      </c>
      <c r="AL48" s="6" t="s">
        <v>5</v>
      </c>
      <c r="AM48" s="6" t="s">
        <v>5</v>
      </c>
      <c r="AN48" s="6" t="s">
        <v>5</v>
      </c>
      <c r="AO48" s="4">
        <v>27.7</v>
      </c>
      <c r="AP48" s="4">
        <v>12.7</v>
      </c>
      <c r="AQ48" s="7">
        <v>7.13</v>
      </c>
      <c r="AR48" s="7">
        <v>1.86</v>
      </c>
      <c r="AS48" s="7">
        <v>9.6999999999999993</v>
      </c>
      <c r="AT48" s="7">
        <v>6.26</v>
      </c>
      <c r="AU48" s="7">
        <v>3.37</v>
      </c>
      <c r="AV48" s="7">
        <v>1.1000000000000001</v>
      </c>
      <c r="AW48" s="6">
        <v>5.82</v>
      </c>
      <c r="AX48" s="22">
        <v>0.85399999999999998</v>
      </c>
      <c r="AY48" s="12">
        <v>2.91</v>
      </c>
      <c r="AZ48" s="7">
        <v>2.0299999999999998</v>
      </c>
      <c r="BA48" s="7">
        <v>4.04</v>
      </c>
      <c r="BB48" s="6" t="s">
        <v>5</v>
      </c>
      <c r="BC48" s="6" t="s">
        <v>5</v>
      </c>
      <c r="BD48" s="6" t="s">
        <v>5</v>
      </c>
      <c r="BE48" s="6" t="s">
        <v>5</v>
      </c>
      <c r="BF48" s="6" t="s">
        <v>5</v>
      </c>
      <c r="BG48" s="6" t="s">
        <v>5</v>
      </c>
      <c r="BH48" s="6" t="s">
        <v>5</v>
      </c>
      <c r="BI48" s="7">
        <v>2.82</v>
      </c>
      <c r="BJ48" s="24" t="s">
        <v>5</v>
      </c>
      <c r="BK48" s="23">
        <v>0.42099999999999999</v>
      </c>
      <c r="BL48" s="6">
        <v>31.6</v>
      </c>
      <c r="BM48" s="7">
        <v>2.67</v>
      </c>
      <c r="BN48" s="6">
        <v>1.52</v>
      </c>
      <c r="BO48" s="7">
        <v>3.84</v>
      </c>
      <c r="BP48" s="7">
        <v>2</v>
      </c>
      <c r="BQ48" s="6">
        <v>1.86</v>
      </c>
      <c r="BR48" s="22">
        <v>0.877</v>
      </c>
      <c r="BS48" s="16">
        <v>11.8</v>
      </c>
      <c r="BT48" s="16">
        <v>20.8</v>
      </c>
      <c r="BU48" s="16">
        <v>8.23</v>
      </c>
      <c r="BV48" s="16">
        <v>2.91</v>
      </c>
      <c r="BW48" s="16">
        <v>3.13</v>
      </c>
      <c r="BX48" s="16">
        <v>6.64</v>
      </c>
      <c r="BY48" s="25" t="s">
        <v>5</v>
      </c>
      <c r="BZ48" s="25" t="s">
        <v>5</v>
      </c>
      <c r="CA48" s="4">
        <v>16</v>
      </c>
      <c r="CB48" s="4">
        <v>14</v>
      </c>
      <c r="CC48" s="4">
        <v>20</v>
      </c>
      <c r="CD48" s="25" t="s">
        <v>5</v>
      </c>
      <c r="CE48" s="25" t="s">
        <v>5</v>
      </c>
      <c r="CF48" s="16" t="s">
        <v>5</v>
      </c>
      <c r="CG48" s="16" t="s">
        <v>5</v>
      </c>
      <c r="CH48" s="18" t="s">
        <v>5</v>
      </c>
      <c r="CL48" s="102" t="s">
        <v>541</v>
      </c>
      <c r="CM48" s="89"/>
      <c r="CN48" s="91">
        <v>0.8</v>
      </c>
      <c r="CP48" s="187"/>
      <c r="CQ48" s="187"/>
      <c r="CS48" s="335" t="str">
        <f t="shared" si="1"/>
        <v>L4X4X3/4</v>
      </c>
      <c r="CT48" s="338">
        <v>5.44</v>
      </c>
      <c r="CV48" s="344" t="str">
        <f t="shared" si="2"/>
        <v>WT20X162</v>
      </c>
      <c r="CW48" s="337">
        <v>47.7</v>
      </c>
      <c r="DE48" s="335" t="str">
        <f t="shared" si="5"/>
        <v>2L6X6X7/8</v>
      </c>
      <c r="DF48" s="337">
        <v>19.5</v>
      </c>
      <c r="DH48" s="397" t="s">
        <v>1295</v>
      </c>
      <c r="DI48" s="398">
        <v>75.3</v>
      </c>
      <c r="DJ48" s="398">
        <v>37.4</v>
      </c>
      <c r="DK48" s="399">
        <v>0.96</v>
      </c>
      <c r="DL48" s="398">
        <v>33.799999999999997</v>
      </c>
      <c r="DM48" s="400">
        <v>3.53</v>
      </c>
      <c r="DN48" s="401">
        <v>1040</v>
      </c>
      <c r="DO48" s="402">
        <v>895</v>
      </c>
      <c r="DP48" s="117"/>
      <c r="DQ48" s="428" t="s">
        <v>1285</v>
      </c>
      <c r="DR48" s="429">
        <v>1180</v>
      </c>
      <c r="DS48" s="429">
        <v>9430</v>
      </c>
      <c r="DT48" s="430" t="s">
        <v>1516</v>
      </c>
      <c r="DU48" s="430">
        <v>134</v>
      </c>
      <c r="DV48" s="429">
        <v>55</v>
      </c>
      <c r="DW48" s="431">
        <v>134</v>
      </c>
      <c r="DX48" s="432">
        <v>1350</v>
      </c>
      <c r="DZ48" s="447" t="s">
        <v>1283</v>
      </c>
      <c r="EA48" s="448">
        <v>282</v>
      </c>
      <c r="EB48" s="448">
        <v>82.9</v>
      </c>
      <c r="EC48" s="448">
        <v>37.1</v>
      </c>
      <c r="ED48" s="448" t="s">
        <v>1686</v>
      </c>
      <c r="EE48" s="448">
        <v>0.88500000000000001</v>
      </c>
      <c r="EF48" s="449">
        <v>45115</v>
      </c>
      <c r="EG48" s="449">
        <v>45123</v>
      </c>
      <c r="EH48" s="448">
        <v>16.600000000000001</v>
      </c>
      <c r="EI48" s="448" t="s">
        <v>1682</v>
      </c>
      <c r="EJ48" s="448">
        <v>1.57</v>
      </c>
      <c r="EK48" s="448" t="s">
        <v>1618</v>
      </c>
      <c r="EL48" s="448">
        <v>5.29</v>
      </c>
      <c r="EM48" s="448">
        <v>36.200000000000003</v>
      </c>
      <c r="EN48" s="448">
        <v>19600</v>
      </c>
      <c r="EO48" s="448">
        <v>1050</v>
      </c>
      <c r="EP48" s="448">
        <v>15.4</v>
      </c>
      <c r="EQ48" s="448">
        <v>1190</v>
      </c>
      <c r="ER48" s="448">
        <v>1200</v>
      </c>
      <c r="ES48" s="448">
        <v>144</v>
      </c>
      <c r="ET48" s="448">
        <v>3.8</v>
      </c>
      <c r="EU48" s="450">
        <v>223</v>
      </c>
    </row>
    <row r="49" spans="2:151" ht="14.4" thickBot="1">
      <c r="B49" s="78" t="s">
        <v>7</v>
      </c>
      <c r="C49" s="79" t="s">
        <v>54</v>
      </c>
      <c r="D49" s="80" t="s">
        <v>54</v>
      </c>
      <c r="E49" s="1" t="s">
        <v>4</v>
      </c>
      <c r="F49" s="4">
        <v>23.6</v>
      </c>
      <c r="G49" s="7">
        <v>6.94</v>
      </c>
      <c r="H49" s="3" t="str">
        <f t="shared" si="0"/>
        <v>L6X4X3/4</v>
      </c>
      <c r="I49" s="7">
        <v>4</v>
      </c>
      <c r="J49" s="5" t="s">
        <v>5</v>
      </c>
      <c r="K49" s="6" t="s">
        <v>5</v>
      </c>
      <c r="L49" s="6" t="s">
        <v>5</v>
      </c>
      <c r="M49" s="6" t="s">
        <v>5</v>
      </c>
      <c r="N49" s="6" t="s">
        <v>5</v>
      </c>
      <c r="O49" s="5" t="s">
        <v>5</v>
      </c>
      <c r="P49" s="5" t="s">
        <v>5</v>
      </c>
      <c r="Q49" s="7">
        <v>6</v>
      </c>
      <c r="R49" s="6" t="s">
        <v>5</v>
      </c>
      <c r="S49" s="6" t="s">
        <v>5</v>
      </c>
      <c r="T49" s="5" t="s">
        <v>5</v>
      </c>
      <c r="U49" s="8" t="s">
        <v>5</v>
      </c>
      <c r="V49" s="6" t="s">
        <v>5</v>
      </c>
      <c r="W49" s="8" t="s">
        <v>5</v>
      </c>
      <c r="X49" s="22">
        <v>0.75</v>
      </c>
      <c r="Y49" s="6" t="s">
        <v>5</v>
      </c>
      <c r="Z49" s="6" t="s">
        <v>5</v>
      </c>
      <c r="AA49" s="7">
        <v>1.25</v>
      </c>
      <c r="AB49" s="8">
        <v>1.25</v>
      </c>
      <c r="AC49" s="8" t="s">
        <v>5</v>
      </c>
      <c r="AD49" s="7">
        <v>1.07</v>
      </c>
      <c r="AE49" s="7">
        <v>2.0699999999999998</v>
      </c>
      <c r="AF49" s="6" t="s">
        <v>5</v>
      </c>
      <c r="AG49" s="22">
        <v>0.57799999999999996</v>
      </c>
      <c r="AH49" s="7">
        <v>1.37</v>
      </c>
      <c r="AI49" s="6" t="s">
        <v>5</v>
      </c>
      <c r="AJ49" s="7">
        <v>8</v>
      </c>
      <c r="AK49" s="6" t="s">
        <v>5</v>
      </c>
      <c r="AL49" s="6" t="s">
        <v>5</v>
      </c>
      <c r="AM49" s="6" t="s">
        <v>5</v>
      </c>
      <c r="AN49" s="6" t="s">
        <v>5</v>
      </c>
      <c r="AO49" s="4">
        <v>24.5</v>
      </c>
      <c r="AP49" s="4">
        <v>11.1</v>
      </c>
      <c r="AQ49" s="7">
        <v>6.23</v>
      </c>
      <c r="AR49" s="7">
        <v>1.88</v>
      </c>
      <c r="AS49" s="7">
        <v>8.6300000000000008</v>
      </c>
      <c r="AT49" s="7">
        <v>5.42</v>
      </c>
      <c r="AU49" s="7">
        <v>2.95</v>
      </c>
      <c r="AV49" s="7">
        <v>1.1200000000000001</v>
      </c>
      <c r="AW49" s="6">
        <v>5.08</v>
      </c>
      <c r="AX49" s="22">
        <v>0.85599999999999998</v>
      </c>
      <c r="AY49" s="27">
        <v>2.5</v>
      </c>
      <c r="AZ49" s="7">
        <v>1.31</v>
      </c>
      <c r="BA49" s="7">
        <v>2.64</v>
      </c>
      <c r="BB49" s="6" t="s">
        <v>5</v>
      </c>
      <c r="BC49" s="6" t="s">
        <v>5</v>
      </c>
      <c r="BD49" s="6" t="s">
        <v>5</v>
      </c>
      <c r="BE49" s="6" t="s">
        <v>5</v>
      </c>
      <c r="BF49" s="6" t="s">
        <v>5</v>
      </c>
      <c r="BG49" s="6" t="s">
        <v>5</v>
      </c>
      <c r="BH49" s="6" t="s">
        <v>5</v>
      </c>
      <c r="BI49" s="7">
        <v>2.85</v>
      </c>
      <c r="BJ49" s="24" t="s">
        <v>5</v>
      </c>
      <c r="BK49" s="23">
        <v>0.42799999999999999</v>
      </c>
      <c r="BL49" s="6">
        <v>28.1</v>
      </c>
      <c r="BM49" s="7">
        <v>2.71</v>
      </c>
      <c r="BN49" s="6">
        <v>1.48</v>
      </c>
      <c r="BO49" s="7">
        <v>3.89</v>
      </c>
      <c r="BP49" s="7">
        <v>2.0299999999999998</v>
      </c>
      <c r="BQ49" s="7">
        <v>1.8</v>
      </c>
      <c r="BR49" s="22">
        <v>0.90600000000000003</v>
      </c>
      <c r="BS49" s="16">
        <v>10.4</v>
      </c>
      <c r="BT49" s="17">
        <v>19</v>
      </c>
      <c r="BU49" s="16">
        <v>7.22</v>
      </c>
      <c r="BV49" s="26">
        <v>2.5</v>
      </c>
      <c r="BW49" s="16">
        <v>2.82</v>
      </c>
      <c r="BX49" s="16">
        <v>5.61</v>
      </c>
      <c r="BY49" s="25" t="s">
        <v>5</v>
      </c>
      <c r="BZ49" s="25" t="s">
        <v>5</v>
      </c>
      <c r="CA49" s="4">
        <v>16</v>
      </c>
      <c r="CB49" s="4">
        <v>14</v>
      </c>
      <c r="CC49" s="4">
        <v>20</v>
      </c>
      <c r="CD49" s="25" t="s">
        <v>5</v>
      </c>
      <c r="CE49" s="25" t="s">
        <v>5</v>
      </c>
      <c r="CF49" s="16" t="s">
        <v>5</v>
      </c>
      <c r="CG49" s="16" t="s">
        <v>5</v>
      </c>
      <c r="CH49" s="18" t="s">
        <v>5</v>
      </c>
      <c r="CL49" s="103" t="s">
        <v>540</v>
      </c>
      <c r="CM49" s="92"/>
      <c r="CN49" s="93">
        <v>0.6</v>
      </c>
      <c r="CS49" s="335" t="str">
        <f t="shared" si="1"/>
        <v>L6X4X9/16</v>
      </c>
      <c r="CT49" s="338">
        <v>5.31</v>
      </c>
      <c r="CV49" s="344" t="str">
        <f t="shared" si="2"/>
        <v>WT16.5X159</v>
      </c>
      <c r="CW49" s="337">
        <v>46.8</v>
      </c>
      <c r="DE49" s="335" t="str">
        <f t="shared" si="5"/>
        <v>2L6X6X7/8</v>
      </c>
      <c r="DF49" s="337">
        <v>19.5</v>
      </c>
      <c r="DH49" s="397" t="s">
        <v>1305</v>
      </c>
      <c r="DI49" s="398">
        <v>68</v>
      </c>
      <c r="DJ49" s="398">
        <v>37.1</v>
      </c>
      <c r="DK49" s="399">
        <v>0.87</v>
      </c>
      <c r="DL49" s="398">
        <v>37.299999999999997</v>
      </c>
      <c r="DM49" s="400">
        <v>3.86</v>
      </c>
      <c r="DN49" s="401">
        <v>936</v>
      </c>
      <c r="DO49" s="402">
        <v>809</v>
      </c>
      <c r="DP49" s="117"/>
      <c r="DQ49" s="428" t="s">
        <v>1286</v>
      </c>
      <c r="DR49" s="429">
        <v>1160</v>
      </c>
      <c r="DS49" s="429">
        <v>17700</v>
      </c>
      <c r="DT49" s="430" t="s">
        <v>1517</v>
      </c>
      <c r="DU49" s="430">
        <v>126</v>
      </c>
      <c r="DV49" s="429">
        <v>55</v>
      </c>
      <c r="DW49" s="431">
        <v>126</v>
      </c>
      <c r="DX49" s="432">
        <v>1140</v>
      </c>
      <c r="DZ49" s="447" t="s">
        <v>1292</v>
      </c>
      <c r="EA49" s="448">
        <v>262</v>
      </c>
      <c r="EB49" s="448">
        <v>77.2</v>
      </c>
      <c r="EC49" s="448">
        <v>36.9</v>
      </c>
      <c r="ED49" s="448" t="s">
        <v>1687</v>
      </c>
      <c r="EE49" s="448">
        <v>0.84</v>
      </c>
      <c r="EF49" s="448" t="s">
        <v>1620</v>
      </c>
      <c r="EG49" s="449">
        <v>45123</v>
      </c>
      <c r="EH49" s="448">
        <v>16.600000000000001</v>
      </c>
      <c r="EI49" s="448" t="s">
        <v>1688</v>
      </c>
      <c r="EJ49" s="448">
        <v>1.44</v>
      </c>
      <c r="EK49" s="448" t="s">
        <v>1622</v>
      </c>
      <c r="EL49" s="448">
        <v>5.75</v>
      </c>
      <c r="EM49" s="448">
        <v>38.200000000000003</v>
      </c>
      <c r="EN49" s="448">
        <v>17900</v>
      </c>
      <c r="EO49" s="448">
        <v>972</v>
      </c>
      <c r="EP49" s="448">
        <v>15.3</v>
      </c>
      <c r="EQ49" s="448">
        <v>1100</v>
      </c>
      <c r="ER49" s="448">
        <v>1090</v>
      </c>
      <c r="ES49" s="448">
        <v>132</v>
      </c>
      <c r="ET49" s="448">
        <v>3.76</v>
      </c>
      <c r="EU49" s="450">
        <v>204</v>
      </c>
    </row>
    <row r="50" spans="2:151">
      <c r="B50" s="78" t="s">
        <v>7</v>
      </c>
      <c r="C50" s="79" t="s">
        <v>55</v>
      </c>
      <c r="D50" s="80" t="s">
        <v>55</v>
      </c>
      <c r="E50" s="1" t="s">
        <v>4</v>
      </c>
      <c r="F50" s="4">
        <v>20</v>
      </c>
      <c r="G50" s="7">
        <v>5.86</v>
      </c>
      <c r="H50" s="3" t="str">
        <f t="shared" si="0"/>
        <v>L6X4X5/8</v>
      </c>
      <c r="I50" s="7">
        <v>4</v>
      </c>
      <c r="J50" s="5" t="s">
        <v>5</v>
      </c>
      <c r="K50" s="6" t="s">
        <v>5</v>
      </c>
      <c r="L50" s="6" t="s">
        <v>5</v>
      </c>
      <c r="M50" s="6" t="s">
        <v>5</v>
      </c>
      <c r="N50" s="6" t="s">
        <v>5</v>
      </c>
      <c r="O50" s="5" t="s">
        <v>5</v>
      </c>
      <c r="P50" s="5" t="s">
        <v>5</v>
      </c>
      <c r="Q50" s="7">
        <v>6</v>
      </c>
      <c r="R50" s="6" t="s">
        <v>5</v>
      </c>
      <c r="S50" s="6" t="s">
        <v>5</v>
      </c>
      <c r="T50" s="5" t="s">
        <v>5</v>
      </c>
      <c r="U50" s="8" t="s">
        <v>5</v>
      </c>
      <c r="V50" s="6" t="s">
        <v>5</v>
      </c>
      <c r="W50" s="8" t="s">
        <v>5</v>
      </c>
      <c r="X50" s="22">
        <v>0.625</v>
      </c>
      <c r="Y50" s="6" t="s">
        <v>5</v>
      </c>
      <c r="Z50" s="6" t="s">
        <v>5</v>
      </c>
      <c r="AA50" s="7">
        <v>1.1299999999999999</v>
      </c>
      <c r="AB50" s="8">
        <v>1.125</v>
      </c>
      <c r="AC50" s="8" t="s">
        <v>5</v>
      </c>
      <c r="AD50" s="7">
        <v>1.03</v>
      </c>
      <c r="AE50" s="7">
        <v>2.0299999999999998</v>
      </c>
      <c r="AF50" s="6" t="s">
        <v>5</v>
      </c>
      <c r="AG50" s="22">
        <v>0.48799999999999999</v>
      </c>
      <c r="AH50" s="7">
        <v>1.31</v>
      </c>
      <c r="AI50" s="6" t="s">
        <v>5</v>
      </c>
      <c r="AJ50" s="7">
        <v>9.6</v>
      </c>
      <c r="AK50" s="6" t="s">
        <v>5</v>
      </c>
      <c r="AL50" s="6" t="s">
        <v>5</v>
      </c>
      <c r="AM50" s="6" t="s">
        <v>5</v>
      </c>
      <c r="AN50" s="6" t="s">
        <v>5</v>
      </c>
      <c r="AO50" s="4">
        <v>21</v>
      </c>
      <c r="AP50" s="7">
        <v>9.44</v>
      </c>
      <c r="AQ50" s="7">
        <v>5.29</v>
      </c>
      <c r="AR50" s="7">
        <v>1.89</v>
      </c>
      <c r="AS50" s="7">
        <v>7.48</v>
      </c>
      <c r="AT50" s="7">
        <v>4.5599999999999996</v>
      </c>
      <c r="AU50" s="7">
        <v>2.52</v>
      </c>
      <c r="AV50" s="7">
        <v>1.1299999999999999</v>
      </c>
      <c r="AW50" s="6">
        <v>4.32</v>
      </c>
      <c r="AX50" s="22">
        <v>0.85899999999999999</v>
      </c>
      <c r="AY50" s="12">
        <v>2.12</v>
      </c>
      <c r="AZ50" s="22">
        <v>0.77500000000000002</v>
      </c>
      <c r="BA50" s="7">
        <v>1.59</v>
      </c>
      <c r="BB50" s="6" t="s">
        <v>5</v>
      </c>
      <c r="BC50" s="6" t="s">
        <v>5</v>
      </c>
      <c r="BD50" s="6" t="s">
        <v>5</v>
      </c>
      <c r="BE50" s="6" t="s">
        <v>5</v>
      </c>
      <c r="BF50" s="6" t="s">
        <v>5</v>
      </c>
      <c r="BG50" s="6" t="s">
        <v>5</v>
      </c>
      <c r="BH50" s="6" t="s">
        <v>5</v>
      </c>
      <c r="BI50" s="7">
        <v>2.88</v>
      </c>
      <c r="BJ50" s="24" t="s">
        <v>5</v>
      </c>
      <c r="BK50" s="23">
        <v>0.435</v>
      </c>
      <c r="BL50" s="6">
        <v>24.2</v>
      </c>
      <c r="BM50" s="7">
        <v>2.76</v>
      </c>
      <c r="BN50" s="6">
        <v>1.45</v>
      </c>
      <c r="BO50" s="7">
        <v>3.93</v>
      </c>
      <c r="BP50" s="7">
        <v>2.04</v>
      </c>
      <c r="BQ50" s="6">
        <v>1.75</v>
      </c>
      <c r="BR50" s="22">
        <v>0.92600000000000005</v>
      </c>
      <c r="BS50" s="16">
        <v>8.77</v>
      </c>
      <c r="BT50" s="16">
        <v>16.7</v>
      </c>
      <c r="BU50" s="16">
        <v>6.16</v>
      </c>
      <c r="BV50" s="16">
        <v>2.12</v>
      </c>
      <c r="BW50" s="16">
        <v>2.4700000000000002</v>
      </c>
      <c r="BX50" s="16">
        <v>4.67</v>
      </c>
      <c r="BY50" s="25" t="s">
        <v>5</v>
      </c>
      <c r="BZ50" s="25" t="s">
        <v>5</v>
      </c>
      <c r="CA50" s="4">
        <v>16</v>
      </c>
      <c r="CB50" s="4">
        <v>14</v>
      </c>
      <c r="CC50" s="4">
        <v>20</v>
      </c>
      <c r="CD50" s="25" t="s">
        <v>5</v>
      </c>
      <c r="CE50" s="25" t="s">
        <v>5</v>
      </c>
      <c r="CF50" s="16" t="s">
        <v>5</v>
      </c>
      <c r="CG50" s="16" t="s">
        <v>5</v>
      </c>
      <c r="CH50" s="18" t="s">
        <v>5</v>
      </c>
      <c r="CS50" s="335" t="str">
        <f t="shared" si="1"/>
        <v>L7X4X1/2</v>
      </c>
      <c r="CT50" s="338">
        <v>5.26</v>
      </c>
      <c r="CV50" s="344" t="str">
        <f t="shared" si="2"/>
        <v>WT9X155.5</v>
      </c>
      <c r="CW50" s="337">
        <v>45.8</v>
      </c>
      <c r="DE50" s="335" t="str">
        <f t="shared" si="5"/>
        <v>2L6X6X7/8</v>
      </c>
      <c r="DF50" s="337">
        <v>19.5</v>
      </c>
      <c r="DH50" s="397" t="s">
        <v>1316</v>
      </c>
      <c r="DI50" s="398">
        <v>61.9</v>
      </c>
      <c r="DJ50" s="398">
        <v>36.700000000000003</v>
      </c>
      <c r="DK50" s="399">
        <v>0.83</v>
      </c>
      <c r="DL50" s="407">
        <v>39.1</v>
      </c>
      <c r="DM50" s="400">
        <v>4.4800000000000004</v>
      </c>
      <c r="DN50" s="408">
        <v>833</v>
      </c>
      <c r="DO50" s="409">
        <v>719</v>
      </c>
      <c r="DP50" s="119"/>
      <c r="DQ50" s="428" t="s">
        <v>1287</v>
      </c>
      <c r="DR50" s="429">
        <v>1130</v>
      </c>
      <c r="DS50" s="429">
        <v>19400</v>
      </c>
      <c r="DT50" s="430" t="s">
        <v>1518</v>
      </c>
      <c r="DU50" s="430">
        <v>112</v>
      </c>
      <c r="DV50" s="429">
        <v>55</v>
      </c>
      <c r="DW50" s="431">
        <v>112</v>
      </c>
      <c r="DX50" s="432">
        <v>890</v>
      </c>
      <c r="DZ50" s="447" t="s">
        <v>1297</v>
      </c>
      <c r="EA50" s="448">
        <v>247</v>
      </c>
      <c r="EB50" s="448">
        <v>72.5</v>
      </c>
      <c r="EC50" s="448">
        <v>36.700000000000003</v>
      </c>
      <c r="ED50" s="448" t="s">
        <v>1689</v>
      </c>
      <c r="EE50" s="448">
        <v>0.8</v>
      </c>
      <c r="EF50" s="448" t="s">
        <v>1620</v>
      </c>
      <c r="EG50" s="449">
        <v>45123</v>
      </c>
      <c r="EH50" s="448">
        <v>16.5</v>
      </c>
      <c r="EI50" s="448" t="s">
        <v>1688</v>
      </c>
      <c r="EJ50" s="448">
        <v>1.35</v>
      </c>
      <c r="EK50" s="448" t="s">
        <v>1678</v>
      </c>
      <c r="EL50" s="448">
        <v>6.11</v>
      </c>
      <c r="EM50" s="448">
        <v>40.1</v>
      </c>
      <c r="EN50" s="448">
        <v>16700</v>
      </c>
      <c r="EO50" s="448">
        <v>913</v>
      </c>
      <c r="EP50" s="448">
        <v>15.2</v>
      </c>
      <c r="EQ50" s="448">
        <v>1030</v>
      </c>
      <c r="ER50" s="448">
        <v>1010</v>
      </c>
      <c r="ES50" s="448">
        <v>123</v>
      </c>
      <c r="ET50" s="448">
        <v>3.74</v>
      </c>
      <c r="EU50" s="450">
        <v>190</v>
      </c>
    </row>
    <row r="51" spans="2:151" ht="14.4" thickBot="1">
      <c r="B51" s="78" t="s">
        <v>7</v>
      </c>
      <c r="C51" s="79" t="s">
        <v>56</v>
      </c>
      <c r="D51" s="80" t="s">
        <v>56</v>
      </c>
      <c r="E51" s="1" t="s">
        <v>4</v>
      </c>
      <c r="F51" s="4">
        <v>18.100000000000001</v>
      </c>
      <c r="G51" s="7">
        <v>5.31</v>
      </c>
      <c r="H51" s="3" t="str">
        <f t="shared" si="0"/>
        <v>L6X4X9/16</v>
      </c>
      <c r="I51" s="7">
        <v>4</v>
      </c>
      <c r="J51" s="5" t="s">
        <v>5</v>
      </c>
      <c r="K51" s="6" t="s">
        <v>5</v>
      </c>
      <c r="L51" s="6" t="s">
        <v>5</v>
      </c>
      <c r="M51" s="6" t="s">
        <v>5</v>
      </c>
      <c r="N51" s="6" t="s">
        <v>5</v>
      </c>
      <c r="O51" s="5" t="s">
        <v>5</v>
      </c>
      <c r="P51" s="5" t="s">
        <v>5</v>
      </c>
      <c r="Q51" s="7">
        <v>6</v>
      </c>
      <c r="R51" s="6" t="s">
        <v>5</v>
      </c>
      <c r="S51" s="6" t="s">
        <v>5</v>
      </c>
      <c r="T51" s="5" t="s">
        <v>5</v>
      </c>
      <c r="U51" s="8" t="s">
        <v>5</v>
      </c>
      <c r="V51" s="6" t="s">
        <v>5</v>
      </c>
      <c r="W51" s="8" t="s">
        <v>5</v>
      </c>
      <c r="X51" s="22">
        <v>0.56299999999999994</v>
      </c>
      <c r="Y51" s="6" t="s">
        <v>5</v>
      </c>
      <c r="Z51" s="6" t="s">
        <v>5</v>
      </c>
      <c r="AA51" s="7">
        <v>1.06</v>
      </c>
      <c r="AB51" s="8">
        <v>1.0625</v>
      </c>
      <c r="AC51" s="8" t="s">
        <v>5</v>
      </c>
      <c r="AD51" s="7">
        <v>1</v>
      </c>
      <c r="AE51" s="7">
        <v>2</v>
      </c>
      <c r="AF51" s="6" t="s">
        <v>5</v>
      </c>
      <c r="AG51" s="22">
        <v>0.443</v>
      </c>
      <c r="AH51" s="7">
        <v>1.28</v>
      </c>
      <c r="AI51" s="6" t="s">
        <v>5</v>
      </c>
      <c r="AJ51" s="4">
        <v>10.7</v>
      </c>
      <c r="AK51" s="6" t="s">
        <v>5</v>
      </c>
      <c r="AL51" s="6" t="s">
        <v>5</v>
      </c>
      <c r="AM51" s="6" t="s">
        <v>5</v>
      </c>
      <c r="AN51" s="6" t="s">
        <v>5</v>
      </c>
      <c r="AO51" s="4">
        <v>19.2</v>
      </c>
      <c r="AP51" s="7">
        <v>8.59</v>
      </c>
      <c r="AQ51" s="7">
        <v>4.8099999999999996</v>
      </c>
      <c r="AR51" s="7">
        <v>1.9</v>
      </c>
      <c r="AS51" s="7">
        <v>6.86</v>
      </c>
      <c r="AT51" s="7">
        <v>4.13</v>
      </c>
      <c r="AU51" s="7">
        <v>2.29</v>
      </c>
      <c r="AV51" s="7">
        <v>1.1399999999999999</v>
      </c>
      <c r="AW51" s="6">
        <v>3.93</v>
      </c>
      <c r="AX51" s="22">
        <v>0.86099999999999999</v>
      </c>
      <c r="AY51" s="12">
        <v>1.91</v>
      </c>
      <c r="AZ51" s="22">
        <v>0.57199999999999995</v>
      </c>
      <c r="BA51" s="7">
        <v>1.18</v>
      </c>
      <c r="BB51" s="6" t="s">
        <v>5</v>
      </c>
      <c r="BC51" s="6" t="s">
        <v>5</v>
      </c>
      <c r="BD51" s="6" t="s">
        <v>5</v>
      </c>
      <c r="BE51" s="6" t="s">
        <v>5</v>
      </c>
      <c r="BF51" s="6" t="s">
        <v>5</v>
      </c>
      <c r="BG51" s="6" t="s">
        <v>5</v>
      </c>
      <c r="BH51" s="6" t="s">
        <v>5</v>
      </c>
      <c r="BI51" s="7">
        <v>2.9</v>
      </c>
      <c r="BJ51" s="24" t="s">
        <v>5</v>
      </c>
      <c r="BK51" s="23">
        <v>0.438</v>
      </c>
      <c r="BL51" s="6">
        <v>22.1</v>
      </c>
      <c r="BM51" s="7">
        <v>2.78</v>
      </c>
      <c r="BN51" s="6">
        <v>1.43</v>
      </c>
      <c r="BO51" s="7">
        <v>3.95</v>
      </c>
      <c r="BP51" s="7">
        <v>2.06</v>
      </c>
      <c r="BQ51" s="6">
        <v>1.72</v>
      </c>
      <c r="BR51" s="22">
        <v>0.94699999999999995</v>
      </c>
      <c r="BS51" s="16">
        <v>7.95</v>
      </c>
      <c r="BT51" s="16">
        <v>15.5</v>
      </c>
      <c r="BU51" s="16">
        <v>5.59</v>
      </c>
      <c r="BV51" s="16">
        <v>1.91</v>
      </c>
      <c r="BW51" s="16">
        <v>2.2799999999999998</v>
      </c>
      <c r="BX51" s="16">
        <v>4.1500000000000004</v>
      </c>
      <c r="BY51" s="25" t="s">
        <v>5</v>
      </c>
      <c r="BZ51" s="25" t="s">
        <v>5</v>
      </c>
      <c r="CA51" s="4">
        <v>16</v>
      </c>
      <c r="CB51" s="4">
        <v>14</v>
      </c>
      <c r="CC51" s="4">
        <v>20</v>
      </c>
      <c r="CD51" s="25" t="s">
        <v>5</v>
      </c>
      <c r="CE51" s="25" t="s">
        <v>5</v>
      </c>
      <c r="CF51" s="16" t="s">
        <v>5</v>
      </c>
      <c r="CG51" s="16" t="s">
        <v>5</v>
      </c>
      <c r="CH51" s="18" t="s">
        <v>5</v>
      </c>
      <c r="CS51" s="335" t="str">
        <f t="shared" si="1"/>
        <v>L8X4X7/16</v>
      </c>
      <c r="CT51" s="338">
        <v>5.1100000000000003</v>
      </c>
      <c r="CV51" s="344" t="str">
        <f t="shared" si="2"/>
        <v>WT7X155.5</v>
      </c>
      <c r="CW51" s="337">
        <v>45.7</v>
      </c>
      <c r="DE51" s="335" t="str">
        <f t="shared" si="5"/>
        <v>2L8X8X5/8</v>
      </c>
      <c r="DF51" s="337">
        <v>19.399999999999999</v>
      </c>
      <c r="DH51" s="397" t="s">
        <v>1321</v>
      </c>
      <c r="DI51" s="398">
        <v>57</v>
      </c>
      <c r="DJ51" s="398">
        <v>36.5</v>
      </c>
      <c r="DK51" s="399">
        <v>0.76500000000000001</v>
      </c>
      <c r="DL51" s="407">
        <v>42.4</v>
      </c>
      <c r="DM51" s="400">
        <v>4.8099999999999996</v>
      </c>
      <c r="DN51" s="408">
        <v>767</v>
      </c>
      <c r="DO51" s="409">
        <v>664</v>
      </c>
      <c r="DP51" s="119"/>
      <c r="DQ51" s="428" t="s">
        <v>1288</v>
      </c>
      <c r="DR51" s="429">
        <v>1130</v>
      </c>
      <c r="DS51" s="429">
        <v>14600</v>
      </c>
      <c r="DT51" s="430" t="s">
        <v>1519</v>
      </c>
      <c r="DU51" s="430">
        <v>107</v>
      </c>
      <c r="DV51" s="429">
        <v>48</v>
      </c>
      <c r="DW51" s="431">
        <v>107</v>
      </c>
      <c r="DX51" s="432">
        <v>959</v>
      </c>
      <c r="DZ51" s="447" t="s">
        <v>1302</v>
      </c>
      <c r="EA51" s="448">
        <v>231</v>
      </c>
      <c r="EB51" s="448">
        <v>68.2</v>
      </c>
      <c r="EC51" s="448">
        <v>36.5</v>
      </c>
      <c r="ED51" s="448" t="s">
        <v>1690</v>
      </c>
      <c r="EE51" s="448">
        <v>0.76</v>
      </c>
      <c r="EF51" s="449">
        <v>44989</v>
      </c>
      <c r="EG51" s="449">
        <v>44993</v>
      </c>
      <c r="EH51" s="448">
        <v>16.5</v>
      </c>
      <c r="EI51" s="448" t="s">
        <v>1688</v>
      </c>
      <c r="EJ51" s="448">
        <v>1.26</v>
      </c>
      <c r="EK51" s="448" t="s">
        <v>1624</v>
      </c>
      <c r="EL51" s="448">
        <v>6.54</v>
      </c>
      <c r="EM51" s="448">
        <v>42.2</v>
      </c>
      <c r="EN51" s="448">
        <v>15600</v>
      </c>
      <c r="EO51" s="448">
        <v>854</v>
      </c>
      <c r="EP51" s="448">
        <v>15.1</v>
      </c>
      <c r="EQ51" s="448">
        <v>963</v>
      </c>
      <c r="ER51" s="448">
        <v>940</v>
      </c>
      <c r="ES51" s="448">
        <v>114</v>
      </c>
      <c r="ET51" s="448">
        <v>3.71</v>
      </c>
      <c r="EU51" s="450">
        <v>176</v>
      </c>
    </row>
    <row r="52" spans="2:151" ht="21.6" customHeight="1" thickBot="1">
      <c r="B52" s="78" t="s">
        <v>7</v>
      </c>
      <c r="C52" s="79" t="s">
        <v>57</v>
      </c>
      <c r="D52" s="80" t="s">
        <v>57</v>
      </c>
      <c r="E52" s="1" t="s">
        <v>4</v>
      </c>
      <c r="F52" s="4">
        <v>16.2</v>
      </c>
      <c r="G52" s="7">
        <v>4.75</v>
      </c>
      <c r="H52" s="3" t="str">
        <f t="shared" si="0"/>
        <v>L6X4X1/2</v>
      </c>
      <c r="I52" s="7">
        <v>4</v>
      </c>
      <c r="J52" s="5" t="s">
        <v>5</v>
      </c>
      <c r="K52" s="6" t="s">
        <v>5</v>
      </c>
      <c r="L52" s="6" t="s">
        <v>5</v>
      </c>
      <c r="M52" s="6" t="s">
        <v>5</v>
      </c>
      <c r="N52" s="6" t="s">
        <v>5</v>
      </c>
      <c r="O52" s="5" t="s">
        <v>5</v>
      </c>
      <c r="P52" s="5" t="s">
        <v>5</v>
      </c>
      <c r="Q52" s="7">
        <v>6</v>
      </c>
      <c r="R52" s="6" t="s">
        <v>5</v>
      </c>
      <c r="S52" s="6" t="s">
        <v>5</v>
      </c>
      <c r="T52" s="5" t="s">
        <v>5</v>
      </c>
      <c r="U52" s="8" t="s">
        <v>5</v>
      </c>
      <c r="V52" s="6" t="s">
        <v>5</v>
      </c>
      <c r="W52" s="8" t="s">
        <v>5</v>
      </c>
      <c r="X52" s="22">
        <v>0.5</v>
      </c>
      <c r="Y52" s="6" t="s">
        <v>5</v>
      </c>
      <c r="Z52" s="6" t="s">
        <v>5</v>
      </c>
      <c r="AA52" s="7">
        <v>1</v>
      </c>
      <c r="AB52" s="8">
        <v>1</v>
      </c>
      <c r="AC52" s="8" t="s">
        <v>5</v>
      </c>
      <c r="AD52" s="22">
        <v>0.98099999999999998</v>
      </c>
      <c r="AE52" s="7">
        <v>1.98</v>
      </c>
      <c r="AF52" s="6" t="s">
        <v>5</v>
      </c>
      <c r="AG52" s="22">
        <v>0.39600000000000002</v>
      </c>
      <c r="AH52" s="7">
        <v>1.25</v>
      </c>
      <c r="AI52" s="6" t="s">
        <v>5</v>
      </c>
      <c r="AJ52" s="4">
        <v>12</v>
      </c>
      <c r="AK52" s="6" t="s">
        <v>5</v>
      </c>
      <c r="AL52" s="6" t="s">
        <v>5</v>
      </c>
      <c r="AM52" s="6" t="s">
        <v>5</v>
      </c>
      <c r="AN52" s="6" t="s">
        <v>5</v>
      </c>
      <c r="AO52" s="4">
        <v>17.3</v>
      </c>
      <c r="AP52" s="7">
        <v>7.71</v>
      </c>
      <c r="AQ52" s="7">
        <v>4.3099999999999996</v>
      </c>
      <c r="AR52" s="7">
        <v>1.91</v>
      </c>
      <c r="AS52" s="7">
        <v>6.22</v>
      </c>
      <c r="AT52" s="7">
        <v>3.69</v>
      </c>
      <c r="AU52" s="7">
        <v>2.06</v>
      </c>
      <c r="AV52" s="7">
        <v>1.1399999999999999</v>
      </c>
      <c r="AW52" s="6">
        <v>3.54</v>
      </c>
      <c r="AX52" s="22">
        <v>0.86399999999999999</v>
      </c>
      <c r="AY52" s="12">
        <v>1.72</v>
      </c>
      <c r="AZ52" s="22">
        <v>0.40699999999999997</v>
      </c>
      <c r="BA52" s="22">
        <v>0.84299999999999997</v>
      </c>
      <c r="BB52" s="6" t="s">
        <v>5</v>
      </c>
      <c r="BC52" s="6" t="s">
        <v>5</v>
      </c>
      <c r="BD52" s="6" t="s">
        <v>5</v>
      </c>
      <c r="BE52" s="6" t="s">
        <v>5</v>
      </c>
      <c r="BF52" s="6" t="s">
        <v>5</v>
      </c>
      <c r="BG52" s="6" t="s">
        <v>5</v>
      </c>
      <c r="BH52" s="6" t="s">
        <v>5</v>
      </c>
      <c r="BI52" s="7">
        <v>2.91</v>
      </c>
      <c r="BJ52" s="24" t="s">
        <v>5</v>
      </c>
      <c r="BK52" s="23">
        <v>0.44</v>
      </c>
      <c r="BL52" s="4">
        <v>20</v>
      </c>
      <c r="BM52" s="7">
        <v>2.8</v>
      </c>
      <c r="BN52" s="7">
        <v>1.41</v>
      </c>
      <c r="BO52" s="7">
        <v>3.97</v>
      </c>
      <c r="BP52" s="7">
        <v>2.06</v>
      </c>
      <c r="BQ52" s="7">
        <v>1.7</v>
      </c>
      <c r="BR52" s="22">
        <v>0.95499999999999996</v>
      </c>
      <c r="BS52" s="16">
        <v>7.14</v>
      </c>
      <c r="BT52" s="16">
        <v>14.2</v>
      </c>
      <c r="BU52" s="16">
        <v>5.04</v>
      </c>
      <c r="BV52" s="16">
        <v>1.72</v>
      </c>
      <c r="BW52" s="16">
        <v>2.08</v>
      </c>
      <c r="BX52" s="16">
        <v>3.71</v>
      </c>
      <c r="BY52" s="25" t="s">
        <v>5</v>
      </c>
      <c r="BZ52" s="25" t="s">
        <v>5</v>
      </c>
      <c r="CA52" s="4">
        <v>16</v>
      </c>
      <c r="CB52" s="4">
        <v>14</v>
      </c>
      <c r="CC52" s="4">
        <v>20</v>
      </c>
      <c r="CD52" s="25" t="s">
        <v>5</v>
      </c>
      <c r="CE52" s="25" t="s">
        <v>5</v>
      </c>
      <c r="CF52" s="16" t="s">
        <v>5</v>
      </c>
      <c r="CG52" s="16" t="s">
        <v>5</v>
      </c>
      <c r="CH52" s="18" t="s">
        <v>5</v>
      </c>
      <c r="CL52" s="508" t="s">
        <v>1213</v>
      </c>
      <c r="CM52" s="509"/>
      <c r="CN52" s="510"/>
      <c r="CO52" s="317" t="s">
        <v>2062</v>
      </c>
      <c r="CS52" s="335" t="str">
        <f t="shared" si="1"/>
        <v>L6X6X7/16</v>
      </c>
      <c r="CT52" s="338">
        <v>5.08</v>
      </c>
      <c r="CV52" s="344" t="str">
        <f t="shared" si="2"/>
        <v>WT13.5X153.5</v>
      </c>
      <c r="CW52" s="337">
        <v>45.2</v>
      </c>
      <c r="DE52" s="335" t="str">
        <f t="shared" si="5"/>
        <v>2L8X8X5/8</v>
      </c>
      <c r="DF52" s="337">
        <v>19.399999999999999</v>
      </c>
      <c r="DH52" s="397" t="s">
        <v>1514</v>
      </c>
      <c r="DI52" s="398">
        <v>53.6</v>
      </c>
      <c r="DJ52" s="398">
        <v>36.299999999999997</v>
      </c>
      <c r="DK52" s="399">
        <v>0.72499999999999998</v>
      </c>
      <c r="DL52" s="407">
        <v>44.8</v>
      </c>
      <c r="DM52" s="400">
        <v>5.12</v>
      </c>
      <c r="DN52" s="408">
        <v>718</v>
      </c>
      <c r="DO52" s="409">
        <v>623</v>
      </c>
      <c r="DP52" s="119"/>
      <c r="DQ52" s="428" t="s">
        <v>1289</v>
      </c>
      <c r="DR52" s="429">
        <v>1130</v>
      </c>
      <c r="DS52" s="429">
        <v>13400</v>
      </c>
      <c r="DT52" s="430" t="s">
        <v>1454</v>
      </c>
      <c r="DU52" s="430">
        <v>95.4</v>
      </c>
      <c r="DV52" s="429">
        <v>44</v>
      </c>
      <c r="DW52" s="431">
        <f t="shared" ref="DW52:DW70" si="10">VLOOKUP(DT52,$DQ$4:$DR$276,2,FALSE)</f>
        <v>95.4</v>
      </c>
      <c r="DX52" s="432">
        <f t="shared" ref="DX52:DX70" si="11">VLOOKUP(DT52,$DQ$4:$DS$276,3,FALSE)</f>
        <v>843</v>
      </c>
      <c r="DZ52" s="447" t="s">
        <v>1295</v>
      </c>
      <c r="EA52" s="448">
        <v>256</v>
      </c>
      <c r="EB52" s="448">
        <v>75.3</v>
      </c>
      <c r="EC52" s="448">
        <v>37.4</v>
      </c>
      <c r="ED52" s="448" t="s">
        <v>1684</v>
      </c>
      <c r="EE52" s="448">
        <v>0.96</v>
      </c>
      <c r="EF52" s="448" t="s">
        <v>1628</v>
      </c>
      <c r="EG52" s="449">
        <v>44928</v>
      </c>
      <c r="EH52" s="448">
        <v>12.2</v>
      </c>
      <c r="EI52" s="448" t="s">
        <v>1691</v>
      </c>
      <c r="EJ52" s="448">
        <v>1.73</v>
      </c>
      <c r="EK52" s="448" t="s">
        <v>1615</v>
      </c>
      <c r="EL52" s="448">
        <v>3.53</v>
      </c>
      <c r="EM52" s="448">
        <v>33.799999999999997</v>
      </c>
      <c r="EN52" s="448">
        <v>16800</v>
      </c>
      <c r="EO52" s="448">
        <v>895</v>
      </c>
      <c r="EP52" s="448">
        <v>14.9</v>
      </c>
      <c r="EQ52" s="448">
        <v>1040</v>
      </c>
      <c r="ER52" s="448">
        <v>528</v>
      </c>
      <c r="ES52" s="448">
        <v>86.5</v>
      </c>
      <c r="ET52" s="448">
        <v>2.65</v>
      </c>
      <c r="EU52" s="450">
        <v>137</v>
      </c>
    </row>
    <row r="53" spans="2:151">
      <c r="B53" s="78" t="s">
        <v>7</v>
      </c>
      <c r="C53" s="79" t="s">
        <v>58</v>
      </c>
      <c r="D53" s="80" t="s">
        <v>58</v>
      </c>
      <c r="E53" s="1" t="s">
        <v>4</v>
      </c>
      <c r="F53" s="4">
        <v>14.3</v>
      </c>
      <c r="G53" s="7">
        <v>4.18</v>
      </c>
      <c r="H53" s="3" t="str">
        <f t="shared" si="0"/>
        <v>L6X4X7/16</v>
      </c>
      <c r="I53" s="7">
        <v>4</v>
      </c>
      <c r="J53" s="5" t="s">
        <v>5</v>
      </c>
      <c r="K53" s="6" t="s">
        <v>5</v>
      </c>
      <c r="L53" s="6" t="s">
        <v>5</v>
      </c>
      <c r="M53" s="6" t="s">
        <v>5</v>
      </c>
      <c r="N53" s="6" t="s">
        <v>5</v>
      </c>
      <c r="O53" s="5" t="s">
        <v>5</v>
      </c>
      <c r="P53" s="5" t="s">
        <v>5</v>
      </c>
      <c r="Q53" s="7">
        <v>6</v>
      </c>
      <c r="R53" s="6" t="s">
        <v>5</v>
      </c>
      <c r="S53" s="6" t="s">
        <v>5</v>
      </c>
      <c r="T53" s="5" t="s">
        <v>5</v>
      </c>
      <c r="U53" s="8" t="s">
        <v>5</v>
      </c>
      <c r="V53" s="6" t="s">
        <v>5</v>
      </c>
      <c r="W53" s="8" t="s">
        <v>5</v>
      </c>
      <c r="X53" s="22">
        <v>0.438</v>
      </c>
      <c r="Y53" s="6" t="s">
        <v>5</v>
      </c>
      <c r="Z53" s="6" t="s">
        <v>5</v>
      </c>
      <c r="AA53" s="22">
        <v>0.93799999999999994</v>
      </c>
      <c r="AB53" s="8">
        <v>0.9375</v>
      </c>
      <c r="AC53" s="8" t="s">
        <v>5</v>
      </c>
      <c r="AD53" s="22">
        <v>0.95699999999999996</v>
      </c>
      <c r="AE53" s="7">
        <v>1.95</v>
      </c>
      <c r="AF53" s="6" t="s">
        <v>5</v>
      </c>
      <c r="AG53" s="22">
        <v>0.34799999999999998</v>
      </c>
      <c r="AH53" s="7">
        <v>1.22</v>
      </c>
      <c r="AI53" s="6" t="s">
        <v>5</v>
      </c>
      <c r="AJ53" s="4">
        <v>13.7</v>
      </c>
      <c r="AK53" s="6" t="s">
        <v>5</v>
      </c>
      <c r="AL53" s="6" t="s">
        <v>5</v>
      </c>
      <c r="AM53" s="6" t="s">
        <v>5</v>
      </c>
      <c r="AN53" s="6" t="s">
        <v>5</v>
      </c>
      <c r="AO53" s="4">
        <v>15.4</v>
      </c>
      <c r="AP53" s="7">
        <v>6.81</v>
      </c>
      <c r="AQ53" s="7">
        <v>3.81</v>
      </c>
      <c r="AR53" s="7">
        <v>1.92</v>
      </c>
      <c r="AS53" s="7">
        <v>5.56</v>
      </c>
      <c r="AT53" s="7">
        <v>3.24</v>
      </c>
      <c r="AU53" s="7">
        <v>1.83</v>
      </c>
      <c r="AV53" s="7">
        <v>1.1499999999999999</v>
      </c>
      <c r="AW53" s="6">
        <v>3.14</v>
      </c>
      <c r="AX53" s="22">
        <v>0.86699999999999999</v>
      </c>
      <c r="AY53" s="12">
        <v>1.51</v>
      </c>
      <c r="AZ53" s="22">
        <v>0.27600000000000002</v>
      </c>
      <c r="BA53" s="22">
        <v>0.57499999999999996</v>
      </c>
      <c r="BB53" s="6" t="s">
        <v>5</v>
      </c>
      <c r="BC53" s="6" t="s">
        <v>5</v>
      </c>
      <c r="BD53" s="6" t="s">
        <v>5</v>
      </c>
      <c r="BE53" s="6" t="s">
        <v>5</v>
      </c>
      <c r="BF53" s="6" t="s">
        <v>5</v>
      </c>
      <c r="BG53" s="6" t="s">
        <v>5</v>
      </c>
      <c r="BH53" s="6" t="s">
        <v>5</v>
      </c>
      <c r="BI53" s="7">
        <v>2.93</v>
      </c>
      <c r="BJ53" s="24" t="s">
        <v>5</v>
      </c>
      <c r="BK53" s="23">
        <v>0.443</v>
      </c>
      <c r="BL53" s="6">
        <v>17.8</v>
      </c>
      <c r="BM53" s="7">
        <v>2.82</v>
      </c>
      <c r="BN53" s="6">
        <v>1.39</v>
      </c>
      <c r="BO53" s="7">
        <v>4</v>
      </c>
      <c r="BP53" s="7">
        <v>2.08</v>
      </c>
      <c r="BQ53" s="6">
        <v>1.67</v>
      </c>
      <c r="BR53" s="22">
        <v>0.97</v>
      </c>
      <c r="BS53" s="16">
        <v>6.31</v>
      </c>
      <c r="BT53" s="16">
        <v>12.8</v>
      </c>
      <c r="BU53" s="16">
        <v>4.45</v>
      </c>
      <c r="BV53" s="16">
        <v>1.51</v>
      </c>
      <c r="BW53" s="16">
        <v>1.88</v>
      </c>
      <c r="BX53" s="16">
        <v>3.24</v>
      </c>
      <c r="BY53" s="25" t="s">
        <v>5</v>
      </c>
      <c r="BZ53" s="25" t="s">
        <v>5</v>
      </c>
      <c r="CA53" s="4">
        <v>16</v>
      </c>
      <c r="CB53" s="4">
        <v>14</v>
      </c>
      <c r="CC53" s="4">
        <v>20</v>
      </c>
      <c r="CD53" s="25" t="s">
        <v>5</v>
      </c>
      <c r="CE53" s="25" t="s">
        <v>5</v>
      </c>
      <c r="CF53" s="16" t="s">
        <v>5</v>
      </c>
      <c r="CG53" s="16" t="s">
        <v>5</v>
      </c>
      <c r="CH53" s="18" t="s">
        <v>5</v>
      </c>
      <c r="CL53" s="318" t="s">
        <v>1217</v>
      </c>
      <c r="CM53" s="325" t="s">
        <v>1225</v>
      </c>
      <c r="CN53" s="326" t="s">
        <v>1217</v>
      </c>
      <c r="CO53" s="321">
        <v>27</v>
      </c>
      <c r="CS53" s="335" t="str">
        <f t="shared" si="1"/>
        <v>L5X3-1/2X5/8</v>
      </c>
      <c r="CT53" s="338">
        <v>4.93</v>
      </c>
      <c r="CV53" s="344" t="str">
        <f t="shared" si="2"/>
        <v>WT12X153</v>
      </c>
      <c r="CW53" s="337">
        <v>44.9</v>
      </c>
      <c r="DE53" s="335" t="str">
        <f t="shared" si="5"/>
        <v>2L8X8X5/8</v>
      </c>
      <c r="DF53" s="337">
        <v>19.399999999999999</v>
      </c>
      <c r="DH53" s="397" t="s">
        <v>1335</v>
      </c>
      <c r="DI53" s="398">
        <v>50</v>
      </c>
      <c r="DJ53" s="398">
        <v>36.200000000000003</v>
      </c>
      <c r="DK53" s="399">
        <v>0.68</v>
      </c>
      <c r="DL53" s="407">
        <v>47.7</v>
      </c>
      <c r="DM53" s="400">
        <v>5.47</v>
      </c>
      <c r="DN53" s="408">
        <v>668</v>
      </c>
      <c r="DO53" s="409">
        <v>581</v>
      </c>
      <c r="DP53" s="119"/>
      <c r="DQ53" s="428" t="s">
        <v>1290</v>
      </c>
      <c r="DR53" s="429">
        <v>1120</v>
      </c>
      <c r="DS53" s="429">
        <v>19600</v>
      </c>
      <c r="DT53" s="430" t="s">
        <v>1461</v>
      </c>
      <c r="DU53" s="430">
        <v>78.400000000000006</v>
      </c>
      <c r="DV53" s="429">
        <v>40</v>
      </c>
      <c r="DW53" s="431">
        <f t="shared" si="10"/>
        <v>78.400000000000006</v>
      </c>
      <c r="DX53" s="432">
        <f t="shared" si="11"/>
        <v>612</v>
      </c>
      <c r="DZ53" s="447" t="s">
        <v>1305</v>
      </c>
      <c r="EA53" s="448">
        <v>232</v>
      </c>
      <c r="EB53" s="448">
        <v>68</v>
      </c>
      <c r="EC53" s="448">
        <v>37.1</v>
      </c>
      <c r="ED53" s="448" t="s">
        <v>1686</v>
      </c>
      <c r="EE53" s="448">
        <v>0.87</v>
      </c>
      <c r="EF53" s="449">
        <v>45115</v>
      </c>
      <c r="EG53" s="449">
        <v>45123</v>
      </c>
      <c r="EH53" s="448">
        <v>12.1</v>
      </c>
      <c r="EI53" s="448" t="s">
        <v>1655</v>
      </c>
      <c r="EJ53" s="448">
        <v>1.57</v>
      </c>
      <c r="EK53" s="448" t="s">
        <v>1618</v>
      </c>
      <c r="EL53" s="448">
        <v>3.86</v>
      </c>
      <c r="EM53" s="448">
        <v>37.299999999999997</v>
      </c>
      <c r="EN53" s="448">
        <v>15000</v>
      </c>
      <c r="EO53" s="448">
        <v>809</v>
      </c>
      <c r="EP53" s="448">
        <v>14.8</v>
      </c>
      <c r="EQ53" s="448">
        <v>936</v>
      </c>
      <c r="ER53" s="448">
        <v>468</v>
      </c>
      <c r="ES53" s="448">
        <v>77.2</v>
      </c>
      <c r="ET53" s="448">
        <v>2.62</v>
      </c>
      <c r="EU53" s="450">
        <v>122</v>
      </c>
    </row>
    <row r="54" spans="2:151">
      <c r="B54" s="78" t="s">
        <v>7</v>
      </c>
      <c r="C54" s="79" t="s">
        <v>59</v>
      </c>
      <c r="D54" s="80" t="s">
        <v>59</v>
      </c>
      <c r="E54" s="1" t="s">
        <v>4</v>
      </c>
      <c r="F54" s="4">
        <v>12.3</v>
      </c>
      <c r="G54" s="7">
        <v>3.61</v>
      </c>
      <c r="H54" s="3" t="str">
        <f t="shared" si="0"/>
        <v>L6X4X3/8</v>
      </c>
      <c r="I54" s="7">
        <v>4</v>
      </c>
      <c r="J54" s="5" t="s">
        <v>5</v>
      </c>
      <c r="K54" s="6" t="s">
        <v>5</v>
      </c>
      <c r="L54" s="6" t="s">
        <v>5</v>
      </c>
      <c r="M54" s="6" t="s">
        <v>5</v>
      </c>
      <c r="N54" s="6" t="s">
        <v>5</v>
      </c>
      <c r="O54" s="5" t="s">
        <v>5</v>
      </c>
      <c r="P54" s="5" t="s">
        <v>5</v>
      </c>
      <c r="Q54" s="7">
        <v>6</v>
      </c>
      <c r="R54" s="6" t="s">
        <v>5</v>
      </c>
      <c r="S54" s="6" t="s">
        <v>5</v>
      </c>
      <c r="T54" s="5" t="s">
        <v>5</v>
      </c>
      <c r="U54" s="8" t="s">
        <v>5</v>
      </c>
      <c r="V54" s="6" t="s">
        <v>5</v>
      </c>
      <c r="W54" s="8" t="s">
        <v>5</v>
      </c>
      <c r="X54" s="22">
        <v>0.375</v>
      </c>
      <c r="Y54" s="6" t="s">
        <v>5</v>
      </c>
      <c r="Z54" s="6" t="s">
        <v>5</v>
      </c>
      <c r="AA54" s="22">
        <v>0.875</v>
      </c>
      <c r="AB54" s="8">
        <v>0.875</v>
      </c>
      <c r="AC54" s="8" t="s">
        <v>5</v>
      </c>
      <c r="AD54" s="22">
        <v>0.93300000000000005</v>
      </c>
      <c r="AE54" s="7">
        <v>1.93</v>
      </c>
      <c r="AF54" s="6" t="s">
        <v>5</v>
      </c>
      <c r="AG54" s="22">
        <v>0.30099999999999999</v>
      </c>
      <c r="AH54" s="7">
        <v>1.19</v>
      </c>
      <c r="AI54" s="6" t="s">
        <v>5</v>
      </c>
      <c r="AJ54" s="4">
        <v>16</v>
      </c>
      <c r="AK54" s="6" t="s">
        <v>5</v>
      </c>
      <c r="AL54" s="6" t="s">
        <v>5</v>
      </c>
      <c r="AM54" s="6" t="s">
        <v>5</v>
      </c>
      <c r="AN54" s="6" t="s">
        <v>5</v>
      </c>
      <c r="AO54" s="4">
        <v>13.4</v>
      </c>
      <c r="AP54" s="7">
        <v>5.89</v>
      </c>
      <c r="AQ54" s="7">
        <v>3.3</v>
      </c>
      <c r="AR54" s="7">
        <v>1.93</v>
      </c>
      <c r="AS54" s="7">
        <v>4.8600000000000003</v>
      </c>
      <c r="AT54" s="7">
        <v>2.79</v>
      </c>
      <c r="AU54" s="7">
        <v>1.58</v>
      </c>
      <c r="AV54" s="7">
        <v>1.1599999999999999</v>
      </c>
      <c r="AW54" s="6">
        <v>2.73</v>
      </c>
      <c r="AX54" s="22">
        <v>0.87</v>
      </c>
      <c r="AY54" s="12">
        <v>1.31</v>
      </c>
      <c r="AZ54" s="22">
        <v>0.17699999999999999</v>
      </c>
      <c r="BA54" s="22">
        <v>0.36899999999999999</v>
      </c>
      <c r="BB54" s="6" t="s">
        <v>5</v>
      </c>
      <c r="BC54" s="6" t="s">
        <v>5</v>
      </c>
      <c r="BD54" s="6" t="s">
        <v>5</v>
      </c>
      <c r="BE54" s="6" t="s">
        <v>5</v>
      </c>
      <c r="BF54" s="6" t="s">
        <v>5</v>
      </c>
      <c r="BG54" s="6" t="s">
        <v>5</v>
      </c>
      <c r="BH54" s="6" t="s">
        <v>5</v>
      </c>
      <c r="BI54" s="7">
        <v>2.94</v>
      </c>
      <c r="BJ54" s="24" t="s">
        <v>5</v>
      </c>
      <c r="BK54" s="23">
        <v>0.44600000000000001</v>
      </c>
      <c r="BL54" s="6">
        <v>15.5</v>
      </c>
      <c r="BM54" s="7">
        <v>2.84</v>
      </c>
      <c r="BN54" s="6">
        <v>1.38</v>
      </c>
      <c r="BO54" s="7">
        <v>4.0199999999999996</v>
      </c>
      <c r="BP54" s="7">
        <v>2.09</v>
      </c>
      <c r="BQ54" s="6">
        <v>1.64</v>
      </c>
      <c r="BR54" s="22">
        <v>0.97899999999999998</v>
      </c>
      <c r="BS54" s="16">
        <v>5.46</v>
      </c>
      <c r="BT54" s="16">
        <v>11.2</v>
      </c>
      <c r="BU54" s="16">
        <v>3.86</v>
      </c>
      <c r="BV54" s="16">
        <v>1.31</v>
      </c>
      <c r="BW54" s="16">
        <v>1.66</v>
      </c>
      <c r="BX54" s="16">
        <v>2.79</v>
      </c>
      <c r="BY54" s="25" t="s">
        <v>5</v>
      </c>
      <c r="BZ54" s="25" t="s">
        <v>5</v>
      </c>
      <c r="CA54" s="4">
        <v>16</v>
      </c>
      <c r="CB54" s="4">
        <v>14</v>
      </c>
      <c r="CC54" s="4">
        <v>20</v>
      </c>
      <c r="CD54" s="25" t="s">
        <v>5</v>
      </c>
      <c r="CE54" s="25" t="s">
        <v>5</v>
      </c>
      <c r="CF54" s="16" t="s">
        <v>5</v>
      </c>
      <c r="CG54" s="16" t="s">
        <v>5</v>
      </c>
      <c r="CH54" s="18" t="s">
        <v>5</v>
      </c>
      <c r="CL54" s="319" t="s">
        <v>1205</v>
      </c>
      <c r="CM54" s="327" t="s">
        <v>1215</v>
      </c>
      <c r="CN54" s="328" t="s">
        <v>1220</v>
      </c>
      <c r="CO54" s="322">
        <v>68</v>
      </c>
      <c r="CS54" s="335" t="str">
        <f t="shared" si="1"/>
        <v>L5X5X1/2</v>
      </c>
      <c r="CT54" s="338">
        <v>4.79</v>
      </c>
      <c r="CV54" s="344" t="str">
        <f t="shared" si="2"/>
        <v>WT6X152.5</v>
      </c>
      <c r="CW54" s="337">
        <v>44.7</v>
      </c>
      <c r="DE54" s="335" t="str">
        <f t="shared" si="5"/>
        <v>2L8X8X9/16</v>
      </c>
      <c r="DF54" s="337">
        <v>17.5</v>
      </c>
      <c r="DH54" s="397" t="s">
        <v>1338</v>
      </c>
      <c r="DI54" s="398">
        <v>47</v>
      </c>
      <c r="DJ54" s="398">
        <v>36</v>
      </c>
      <c r="DK54" s="399">
        <v>0.65</v>
      </c>
      <c r="DL54" s="407">
        <v>49.9</v>
      </c>
      <c r="DM54" s="400">
        <v>5.88</v>
      </c>
      <c r="DN54" s="408">
        <v>624</v>
      </c>
      <c r="DO54" s="409">
        <v>542</v>
      </c>
      <c r="DP54" s="119"/>
      <c r="DQ54" s="428" t="s">
        <v>1291</v>
      </c>
      <c r="DR54" s="429">
        <v>1100</v>
      </c>
      <c r="DS54" s="429">
        <v>20800</v>
      </c>
      <c r="DT54" s="430" t="s">
        <v>1465</v>
      </c>
      <c r="DU54" s="430">
        <v>73</v>
      </c>
      <c r="DV54" s="429">
        <v>40</v>
      </c>
      <c r="DW54" s="431">
        <f t="shared" si="10"/>
        <v>73</v>
      </c>
      <c r="DX54" s="432">
        <f t="shared" si="11"/>
        <v>518</v>
      </c>
      <c r="DZ54" s="447" t="s">
        <v>1316</v>
      </c>
      <c r="EA54" s="448">
        <v>210</v>
      </c>
      <c r="EB54" s="448">
        <v>61.9</v>
      </c>
      <c r="EC54" s="448">
        <v>36.700000000000003</v>
      </c>
      <c r="ED54" s="448" t="s">
        <v>1692</v>
      </c>
      <c r="EE54" s="448">
        <v>0.83</v>
      </c>
      <c r="EF54" s="448" t="s">
        <v>1620</v>
      </c>
      <c r="EG54" s="449">
        <v>45123</v>
      </c>
      <c r="EH54" s="448">
        <v>12.2</v>
      </c>
      <c r="EI54" s="448" t="s">
        <v>1655</v>
      </c>
      <c r="EJ54" s="448">
        <v>1.36</v>
      </c>
      <c r="EK54" s="448" t="s">
        <v>1678</v>
      </c>
      <c r="EL54" s="448">
        <v>4.4800000000000004</v>
      </c>
      <c r="EM54" s="448">
        <v>39.1</v>
      </c>
      <c r="EN54" s="448">
        <v>13200</v>
      </c>
      <c r="EO54" s="448">
        <v>719</v>
      </c>
      <c r="EP54" s="448">
        <v>14.6</v>
      </c>
      <c r="EQ54" s="448">
        <v>833</v>
      </c>
      <c r="ER54" s="448">
        <v>411</v>
      </c>
      <c r="ES54" s="448">
        <v>67.5</v>
      </c>
      <c r="ET54" s="448">
        <v>2.58</v>
      </c>
      <c r="EU54" s="450">
        <v>107</v>
      </c>
    </row>
    <row r="55" spans="2:151">
      <c r="B55" s="78" t="s">
        <v>7</v>
      </c>
      <c r="C55" s="79" t="s">
        <v>60</v>
      </c>
      <c r="D55" s="80" t="s">
        <v>60</v>
      </c>
      <c r="E55" s="1" t="s">
        <v>4</v>
      </c>
      <c r="F55" s="4">
        <v>10.3</v>
      </c>
      <c r="G55" s="7">
        <v>3.03</v>
      </c>
      <c r="H55" s="3" t="str">
        <f t="shared" si="0"/>
        <v>L6X4X5/16</v>
      </c>
      <c r="I55" s="7">
        <v>4</v>
      </c>
      <c r="J55" s="5" t="s">
        <v>5</v>
      </c>
      <c r="K55" s="6" t="s">
        <v>5</v>
      </c>
      <c r="L55" s="6" t="s">
        <v>5</v>
      </c>
      <c r="M55" s="6" t="s">
        <v>5</v>
      </c>
      <c r="N55" s="6" t="s">
        <v>5</v>
      </c>
      <c r="O55" s="5" t="s">
        <v>5</v>
      </c>
      <c r="P55" s="5" t="s">
        <v>5</v>
      </c>
      <c r="Q55" s="7">
        <v>6</v>
      </c>
      <c r="R55" s="6" t="s">
        <v>5</v>
      </c>
      <c r="S55" s="6" t="s">
        <v>5</v>
      </c>
      <c r="T55" s="5" t="s">
        <v>5</v>
      </c>
      <c r="U55" s="8" t="s">
        <v>5</v>
      </c>
      <c r="V55" s="6" t="s">
        <v>5</v>
      </c>
      <c r="W55" s="8" t="s">
        <v>5</v>
      </c>
      <c r="X55" s="22">
        <v>0.313</v>
      </c>
      <c r="Y55" s="6" t="s">
        <v>5</v>
      </c>
      <c r="Z55" s="6" t="s">
        <v>5</v>
      </c>
      <c r="AA55" s="22">
        <v>0.81299999999999994</v>
      </c>
      <c r="AB55" s="8">
        <v>0.8125</v>
      </c>
      <c r="AC55" s="8" t="s">
        <v>5</v>
      </c>
      <c r="AD55" s="22">
        <v>0.90800000000000003</v>
      </c>
      <c r="AE55" s="7">
        <v>1.9</v>
      </c>
      <c r="AF55" s="6" t="s">
        <v>5</v>
      </c>
      <c r="AG55" s="22">
        <v>0.253</v>
      </c>
      <c r="AH55" s="7">
        <v>1.1499999999999999</v>
      </c>
      <c r="AI55" s="6" t="s">
        <v>5</v>
      </c>
      <c r="AJ55" s="4">
        <v>19.2</v>
      </c>
      <c r="AK55" s="6" t="s">
        <v>5</v>
      </c>
      <c r="AL55" s="6" t="s">
        <v>5</v>
      </c>
      <c r="AM55" s="6" t="s">
        <v>5</v>
      </c>
      <c r="AN55" s="6" t="s">
        <v>5</v>
      </c>
      <c r="AO55" s="4">
        <v>11.4</v>
      </c>
      <c r="AP55" s="7">
        <v>4.96</v>
      </c>
      <c r="AQ55" s="7">
        <v>2.77</v>
      </c>
      <c r="AR55" s="7">
        <v>1.94</v>
      </c>
      <c r="AS55" s="7">
        <v>4.13</v>
      </c>
      <c r="AT55" s="7">
        <v>2.33</v>
      </c>
      <c r="AU55" s="7">
        <v>1.34</v>
      </c>
      <c r="AV55" s="7">
        <v>1.17</v>
      </c>
      <c r="AW55" s="6">
        <v>2.31</v>
      </c>
      <c r="AX55" s="22">
        <v>0.874</v>
      </c>
      <c r="AY55" s="12">
        <v>1.0900000000000001</v>
      </c>
      <c r="AZ55" s="22">
        <v>0.104</v>
      </c>
      <c r="BA55" s="22">
        <v>0.217</v>
      </c>
      <c r="BB55" s="6" t="s">
        <v>5</v>
      </c>
      <c r="BC55" s="6" t="s">
        <v>5</v>
      </c>
      <c r="BD55" s="6" t="s">
        <v>5</v>
      </c>
      <c r="BE55" s="6" t="s">
        <v>5</v>
      </c>
      <c r="BF55" s="6" t="s">
        <v>5</v>
      </c>
      <c r="BG55" s="6" t="s">
        <v>5</v>
      </c>
      <c r="BH55" s="6" t="s">
        <v>5</v>
      </c>
      <c r="BI55" s="7">
        <v>2.96</v>
      </c>
      <c r="BJ55" s="24" t="s">
        <v>5</v>
      </c>
      <c r="BK55" s="23">
        <v>0.44900000000000001</v>
      </c>
      <c r="BL55" s="6">
        <v>13.2</v>
      </c>
      <c r="BM55" s="7">
        <v>2.85</v>
      </c>
      <c r="BN55" s="6">
        <v>1.36</v>
      </c>
      <c r="BO55" s="7">
        <v>4.05</v>
      </c>
      <c r="BP55" s="7">
        <v>2.11</v>
      </c>
      <c r="BQ55" s="7">
        <v>1.6</v>
      </c>
      <c r="BR55" s="22">
        <v>0.98799999999999999</v>
      </c>
      <c r="BS55" s="16">
        <v>4.63</v>
      </c>
      <c r="BT55" s="16">
        <v>9.7100000000000009</v>
      </c>
      <c r="BU55" s="16">
        <v>3.26</v>
      </c>
      <c r="BV55" s="16">
        <v>1.0900000000000001</v>
      </c>
      <c r="BW55" s="16">
        <v>1.44</v>
      </c>
      <c r="BX55" s="16">
        <v>2.34</v>
      </c>
      <c r="BY55" s="25" t="s">
        <v>5</v>
      </c>
      <c r="BZ55" s="25" t="s">
        <v>5</v>
      </c>
      <c r="CA55" s="4">
        <v>16</v>
      </c>
      <c r="CB55" s="4">
        <v>14</v>
      </c>
      <c r="CC55" s="4">
        <v>20</v>
      </c>
      <c r="CD55" s="25" t="s">
        <v>5</v>
      </c>
      <c r="CE55" s="25" t="s">
        <v>5</v>
      </c>
      <c r="CF55" s="16" t="s">
        <v>5</v>
      </c>
      <c r="CG55" s="16" t="s">
        <v>5</v>
      </c>
      <c r="CH55" s="18" t="s">
        <v>5</v>
      </c>
      <c r="CL55" s="319" t="s">
        <v>1206</v>
      </c>
      <c r="CM55" s="327" t="s">
        <v>1215</v>
      </c>
      <c r="CN55" s="328" t="s">
        <v>1223</v>
      </c>
      <c r="CO55" s="322">
        <v>54</v>
      </c>
      <c r="CS55" s="335" t="str">
        <f t="shared" si="1"/>
        <v>L6X4X1/2</v>
      </c>
      <c r="CT55" s="338">
        <v>4.75</v>
      </c>
      <c r="CV55" s="344" t="str">
        <f t="shared" si="2"/>
        <v>WT18X151</v>
      </c>
      <c r="CW55" s="337">
        <v>44.5</v>
      </c>
      <c r="DE55" s="335" t="str">
        <f t="shared" si="5"/>
        <v>2L8X8X9/16</v>
      </c>
      <c r="DF55" s="337">
        <v>17.5</v>
      </c>
      <c r="DH55" s="397" t="s">
        <v>1346</v>
      </c>
      <c r="DI55" s="398">
        <v>44.3</v>
      </c>
      <c r="DJ55" s="398">
        <v>35.9</v>
      </c>
      <c r="DK55" s="399">
        <v>0.625</v>
      </c>
      <c r="DL55" s="407">
        <v>51.9</v>
      </c>
      <c r="DM55" s="400">
        <v>6.37</v>
      </c>
      <c r="DN55" s="408">
        <v>581</v>
      </c>
      <c r="DO55" s="409">
        <v>504</v>
      </c>
      <c r="DP55" s="119"/>
      <c r="DQ55" s="428" t="s">
        <v>1292</v>
      </c>
      <c r="DR55" s="429">
        <v>1100</v>
      </c>
      <c r="DS55" s="429">
        <v>17900</v>
      </c>
      <c r="DT55" s="430" t="s">
        <v>1470</v>
      </c>
      <c r="DU55" s="430">
        <v>66.5</v>
      </c>
      <c r="DV55" s="429">
        <v>35</v>
      </c>
      <c r="DW55" s="431">
        <f t="shared" si="10"/>
        <v>66.5</v>
      </c>
      <c r="DX55" s="432">
        <f t="shared" si="11"/>
        <v>510</v>
      </c>
      <c r="DZ55" s="447" t="s">
        <v>1321</v>
      </c>
      <c r="EA55" s="448">
        <v>194</v>
      </c>
      <c r="EB55" s="448">
        <v>57</v>
      </c>
      <c r="EC55" s="448">
        <v>36.5</v>
      </c>
      <c r="ED55" s="448" t="s">
        <v>1690</v>
      </c>
      <c r="EE55" s="448">
        <v>0.76500000000000001</v>
      </c>
      <c r="EF55" s="449">
        <v>44989</v>
      </c>
      <c r="EG55" s="449">
        <v>44993</v>
      </c>
      <c r="EH55" s="448">
        <v>12.1</v>
      </c>
      <c r="EI55" s="448" t="s">
        <v>1655</v>
      </c>
      <c r="EJ55" s="448">
        <v>1.26</v>
      </c>
      <c r="EK55" s="448" t="s">
        <v>1624</v>
      </c>
      <c r="EL55" s="448">
        <v>4.8099999999999996</v>
      </c>
      <c r="EM55" s="448">
        <v>42.4</v>
      </c>
      <c r="EN55" s="448">
        <v>12100</v>
      </c>
      <c r="EO55" s="448">
        <v>664</v>
      </c>
      <c r="EP55" s="448">
        <v>14.6</v>
      </c>
      <c r="EQ55" s="448">
        <v>767</v>
      </c>
      <c r="ER55" s="448">
        <v>375</v>
      </c>
      <c r="ES55" s="448">
        <v>61.9</v>
      </c>
      <c r="ET55" s="448">
        <v>2.56</v>
      </c>
      <c r="EU55" s="450">
        <v>97.7</v>
      </c>
    </row>
    <row r="56" spans="2:151">
      <c r="B56" s="78" t="s">
        <v>7</v>
      </c>
      <c r="C56" s="79" t="s">
        <v>61</v>
      </c>
      <c r="D56" s="80" t="s">
        <v>61</v>
      </c>
      <c r="E56" s="1" t="s">
        <v>4</v>
      </c>
      <c r="F56" s="4">
        <v>15.3</v>
      </c>
      <c r="G56" s="7">
        <v>4.5</v>
      </c>
      <c r="H56" s="3" t="str">
        <f t="shared" si="0"/>
        <v>L6X3-1/2X1/2</v>
      </c>
      <c r="I56" s="7">
        <v>3.5</v>
      </c>
      <c r="J56" s="5" t="s">
        <v>5</v>
      </c>
      <c r="K56" s="6" t="s">
        <v>5</v>
      </c>
      <c r="L56" s="6" t="s">
        <v>5</v>
      </c>
      <c r="M56" s="6" t="s">
        <v>5</v>
      </c>
      <c r="N56" s="6" t="s">
        <v>5</v>
      </c>
      <c r="O56" s="5" t="s">
        <v>5</v>
      </c>
      <c r="P56" s="5" t="s">
        <v>5</v>
      </c>
      <c r="Q56" s="7">
        <v>6</v>
      </c>
      <c r="R56" s="6" t="s">
        <v>5</v>
      </c>
      <c r="S56" s="6" t="s">
        <v>5</v>
      </c>
      <c r="T56" s="5" t="s">
        <v>5</v>
      </c>
      <c r="U56" s="8" t="s">
        <v>5</v>
      </c>
      <c r="V56" s="6" t="s">
        <v>5</v>
      </c>
      <c r="W56" s="8" t="s">
        <v>5</v>
      </c>
      <c r="X56" s="22">
        <v>0.5</v>
      </c>
      <c r="Y56" s="6" t="s">
        <v>5</v>
      </c>
      <c r="Z56" s="6" t="s">
        <v>5</v>
      </c>
      <c r="AA56" s="7">
        <v>1</v>
      </c>
      <c r="AB56" s="8">
        <v>1</v>
      </c>
      <c r="AC56" s="8" t="s">
        <v>5</v>
      </c>
      <c r="AD56" s="22">
        <v>0.82899999999999996</v>
      </c>
      <c r="AE56" s="7">
        <v>2.0699999999999998</v>
      </c>
      <c r="AF56" s="6" t="s">
        <v>5</v>
      </c>
      <c r="AG56" s="22">
        <v>0.375</v>
      </c>
      <c r="AH56" s="7">
        <v>1.5</v>
      </c>
      <c r="AI56" s="6" t="s">
        <v>5</v>
      </c>
      <c r="AJ56" s="4">
        <v>12</v>
      </c>
      <c r="AK56" s="6" t="s">
        <v>5</v>
      </c>
      <c r="AL56" s="6" t="s">
        <v>5</v>
      </c>
      <c r="AM56" s="6" t="s">
        <v>5</v>
      </c>
      <c r="AN56" s="6" t="s">
        <v>5</v>
      </c>
      <c r="AO56" s="4">
        <v>16.600000000000001</v>
      </c>
      <c r="AP56" s="7">
        <v>7.49</v>
      </c>
      <c r="AQ56" s="7">
        <v>4.2300000000000004</v>
      </c>
      <c r="AR56" s="7">
        <v>1.92</v>
      </c>
      <c r="AS56" s="7">
        <v>4.24</v>
      </c>
      <c r="AT56" s="7">
        <v>2.88</v>
      </c>
      <c r="AU56" s="7">
        <v>1.59</v>
      </c>
      <c r="AV56" s="22">
        <v>0.96799999999999997</v>
      </c>
      <c r="AW56" s="6">
        <v>2.59</v>
      </c>
      <c r="AX56" s="22">
        <v>0.75600000000000001</v>
      </c>
      <c r="AY56" s="12">
        <v>1.34</v>
      </c>
      <c r="AZ56" s="22">
        <v>0.38600000000000001</v>
      </c>
      <c r="BA56" s="22">
        <v>0.77900000000000003</v>
      </c>
      <c r="BB56" s="6" t="s">
        <v>5</v>
      </c>
      <c r="BC56" s="6" t="s">
        <v>5</v>
      </c>
      <c r="BD56" s="6" t="s">
        <v>5</v>
      </c>
      <c r="BE56" s="6" t="s">
        <v>5</v>
      </c>
      <c r="BF56" s="6" t="s">
        <v>5</v>
      </c>
      <c r="BG56" s="6" t="s">
        <v>5</v>
      </c>
      <c r="BH56" s="6" t="s">
        <v>5</v>
      </c>
      <c r="BI56" s="7">
        <v>2.88</v>
      </c>
      <c r="BJ56" s="24" t="s">
        <v>5</v>
      </c>
      <c r="BK56" s="23">
        <v>0.34300000000000003</v>
      </c>
      <c r="BL56" s="6">
        <v>18.3</v>
      </c>
      <c r="BM56" s="7">
        <v>2.59</v>
      </c>
      <c r="BN56" s="6">
        <v>1.69</v>
      </c>
      <c r="BO56" s="7">
        <v>3.9</v>
      </c>
      <c r="BP56" s="7">
        <v>1.94</v>
      </c>
      <c r="BQ56" s="6">
        <v>1.46</v>
      </c>
      <c r="BR56" s="22">
        <v>0.72899999999999998</v>
      </c>
      <c r="BS56" s="16">
        <v>7.07</v>
      </c>
      <c r="BT56" s="16">
        <v>10.8</v>
      </c>
      <c r="BU56" s="16">
        <v>4.6900000000000004</v>
      </c>
      <c r="BV56" s="16">
        <v>1.34</v>
      </c>
      <c r="BW56" s="16">
        <v>1.77</v>
      </c>
      <c r="BX56" s="16">
        <v>3.55</v>
      </c>
      <c r="BY56" s="25" t="s">
        <v>5</v>
      </c>
      <c r="BZ56" s="25" t="s">
        <v>5</v>
      </c>
      <c r="CA56" s="4">
        <v>15.5</v>
      </c>
      <c r="CB56" s="4">
        <v>13</v>
      </c>
      <c r="CC56" s="4">
        <v>19</v>
      </c>
      <c r="CD56" s="25" t="s">
        <v>5</v>
      </c>
      <c r="CE56" s="25" t="s">
        <v>5</v>
      </c>
      <c r="CF56" s="16" t="s">
        <v>5</v>
      </c>
      <c r="CG56" s="16" t="s">
        <v>5</v>
      </c>
      <c r="CH56" s="18" t="s">
        <v>5</v>
      </c>
      <c r="CL56" s="319" t="s">
        <v>1207</v>
      </c>
      <c r="CM56" s="327" t="s">
        <v>1215</v>
      </c>
      <c r="CN56" s="328" t="s">
        <v>1221</v>
      </c>
      <c r="CO56" s="322">
        <v>84</v>
      </c>
      <c r="CS56" s="335" t="str">
        <f t="shared" si="1"/>
        <v>L7X4X7/16</v>
      </c>
      <c r="CT56" s="338">
        <v>4.63</v>
      </c>
      <c r="CV56" s="344" t="str">
        <f t="shared" si="2"/>
        <v>WT20X148.5</v>
      </c>
      <c r="CW56" s="337">
        <v>43.6</v>
      </c>
      <c r="DE56" s="335" t="str">
        <f t="shared" si="5"/>
        <v>2L8X8X9/16</v>
      </c>
      <c r="DF56" s="337">
        <v>17.5</v>
      </c>
      <c r="DH56" s="397" t="s">
        <v>1357</v>
      </c>
      <c r="DI56" s="398">
        <v>39.9</v>
      </c>
      <c r="DJ56" s="398">
        <v>35.6</v>
      </c>
      <c r="DK56" s="399">
        <v>0.6</v>
      </c>
      <c r="DL56" s="407">
        <v>54.1</v>
      </c>
      <c r="DM56" s="400">
        <v>7.56</v>
      </c>
      <c r="DN56" s="408">
        <v>509</v>
      </c>
      <c r="DO56" s="409">
        <v>439</v>
      </c>
      <c r="DP56" s="119"/>
      <c r="DQ56" s="428" t="s">
        <v>1293</v>
      </c>
      <c r="DR56" s="429">
        <v>1060</v>
      </c>
      <c r="DS56" s="429">
        <v>14900</v>
      </c>
      <c r="DT56" s="430" t="s">
        <v>1478</v>
      </c>
      <c r="DU56" s="430">
        <v>54.6</v>
      </c>
      <c r="DV56" s="429">
        <v>34</v>
      </c>
      <c r="DW56" s="431">
        <f t="shared" si="10"/>
        <v>54.6</v>
      </c>
      <c r="DX56" s="432">
        <f t="shared" si="11"/>
        <v>340</v>
      </c>
      <c r="DZ56" s="447" t="s">
        <v>1514</v>
      </c>
      <c r="EA56" s="448">
        <v>182</v>
      </c>
      <c r="EB56" s="448">
        <v>53.6</v>
      </c>
      <c r="EC56" s="448">
        <v>36.299999999999997</v>
      </c>
      <c r="ED56" s="448" t="s">
        <v>1693</v>
      </c>
      <c r="EE56" s="448">
        <v>0.72499999999999998</v>
      </c>
      <c r="EF56" s="449">
        <v>44989</v>
      </c>
      <c r="EG56" s="449">
        <v>44993</v>
      </c>
      <c r="EH56" s="448">
        <v>12.1</v>
      </c>
      <c r="EI56" s="448" t="s">
        <v>1655</v>
      </c>
      <c r="EJ56" s="448">
        <v>1.18</v>
      </c>
      <c r="EK56" s="448" t="s">
        <v>1640</v>
      </c>
      <c r="EL56" s="448">
        <v>5.12</v>
      </c>
      <c r="EM56" s="448">
        <v>44.8</v>
      </c>
      <c r="EN56" s="448">
        <v>11300</v>
      </c>
      <c r="EO56" s="448">
        <v>623</v>
      </c>
      <c r="EP56" s="448">
        <v>14.5</v>
      </c>
      <c r="EQ56" s="448">
        <v>718</v>
      </c>
      <c r="ER56" s="448">
        <v>347</v>
      </c>
      <c r="ES56" s="448">
        <v>57.6</v>
      </c>
      <c r="ET56" s="448">
        <v>2.5499999999999998</v>
      </c>
      <c r="EU56" s="450">
        <v>90.7</v>
      </c>
    </row>
    <row r="57" spans="2:151">
      <c r="B57" s="78" t="s">
        <v>7</v>
      </c>
      <c r="C57" s="79" t="s">
        <v>62</v>
      </c>
      <c r="D57" s="80" t="s">
        <v>62</v>
      </c>
      <c r="E57" s="1" t="s">
        <v>4</v>
      </c>
      <c r="F57" s="4">
        <v>11.7</v>
      </c>
      <c r="G57" s="7">
        <v>3.44</v>
      </c>
      <c r="H57" s="3" t="str">
        <f t="shared" si="0"/>
        <v>L6X3-1/2X3/8</v>
      </c>
      <c r="I57" s="7">
        <v>3.5</v>
      </c>
      <c r="J57" s="5" t="s">
        <v>5</v>
      </c>
      <c r="K57" s="6" t="s">
        <v>5</v>
      </c>
      <c r="L57" s="6" t="s">
        <v>5</v>
      </c>
      <c r="M57" s="6" t="s">
        <v>5</v>
      </c>
      <c r="N57" s="6" t="s">
        <v>5</v>
      </c>
      <c r="O57" s="5" t="s">
        <v>5</v>
      </c>
      <c r="P57" s="5" t="s">
        <v>5</v>
      </c>
      <c r="Q57" s="7">
        <v>6</v>
      </c>
      <c r="R57" s="6" t="s">
        <v>5</v>
      </c>
      <c r="S57" s="6" t="s">
        <v>5</v>
      </c>
      <c r="T57" s="5" t="s">
        <v>5</v>
      </c>
      <c r="U57" s="8" t="s">
        <v>5</v>
      </c>
      <c r="V57" s="6" t="s">
        <v>5</v>
      </c>
      <c r="W57" s="8" t="s">
        <v>5</v>
      </c>
      <c r="X57" s="22">
        <v>0.375</v>
      </c>
      <c r="Y57" s="6" t="s">
        <v>5</v>
      </c>
      <c r="Z57" s="6" t="s">
        <v>5</v>
      </c>
      <c r="AA57" s="22">
        <v>0.875</v>
      </c>
      <c r="AB57" s="8">
        <v>0.875</v>
      </c>
      <c r="AC57" s="8" t="s">
        <v>5</v>
      </c>
      <c r="AD57" s="22">
        <v>0.78100000000000003</v>
      </c>
      <c r="AE57" s="7">
        <v>2.02</v>
      </c>
      <c r="AF57" s="6" t="s">
        <v>5</v>
      </c>
      <c r="AG57" s="22">
        <v>0.28699999999999998</v>
      </c>
      <c r="AH57" s="7">
        <v>1.41</v>
      </c>
      <c r="AI57" s="6" t="s">
        <v>5</v>
      </c>
      <c r="AJ57" s="4">
        <v>16</v>
      </c>
      <c r="AK57" s="6" t="s">
        <v>5</v>
      </c>
      <c r="AL57" s="6" t="s">
        <v>5</v>
      </c>
      <c r="AM57" s="6" t="s">
        <v>5</v>
      </c>
      <c r="AN57" s="6" t="s">
        <v>5</v>
      </c>
      <c r="AO57" s="4">
        <v>12.9</v>
      </c>
      <c r="AP57" s="7">
        <v>5.74</v>
      </c>
      <c r="AQ57" s="7">
        <v>3.23</v>
      </c>
      <c r="AR57" s="7">
        <v>1.93</v>
      </c>
      <c r="AS57" s="7">
        <v>3.33</v>
      </c>
      <c r="AT57" s="7">
        <v>2.1800000000000002</v>
      </c>
      <c r="AU57" s="7">
        <v>1.22</v>
      </c>
      <c r="AV57" s="22">
        <v>0.98399999999999999</v>
      </c>
      <c r="AW57" s="6">
        <v>2.0099999999999998</v>
      </c>
      <c r="AX57" s="22">
        <v>0.76300000000000001</v>
      </c>
      <c r="AY57" s="12">
        <v>1.02</v>
      </c>
      <c r="AZ57" s="22">
        <v>0.16800000000000001</v>
      </c>
      <c r="BA57" s="22">
        <v>0.34100000000000003</v>
      </c>
      <c r="BB57" s="6" t="s">
        <v>5</v>
      </c>
      <c r="BC57" s="6" t="s">
        <v>5</v>
      </c>
      <c r="BD57" s="6" t="s">
        <v>5</v>
      </c>
      <c r="BE57" s="6" t="s">
        <v>5</v>
      </c>
      <c r="BF57" s="6" t="s">
        <v>5</v>
      </c>
      <c r="BG57" s="6" t="s">
        <v>5</v>
      </c>
      <c r="BH57" s="6" t="s">
        <v>5</v>
      </c>
      <c r="BI57" s="7">
        <v>2.9</v>
      </c>
      <c r="BJ57" s="24" t="s">
        <v>5</v>
      </c>
      <c r="BK57" s="23">
        <v>0.34899999999999998</v>
      </c>
      <c r="BL57" s="6">
        <v>14.2</v>
      </c>
      <c r="BM57" s="7">
        <v>2.62</v>
      </c>
      <c r="BN57" s="6">
        <v>1.65</v>
      </c>
      <c r="BO57" s="7">
        <v>3.95</v>
      </c>
      <c r="BP57" s="7">
        <v>1.97</v>
      </c>
      <c r="BQ57" s="7">
        <v>1.4</v>
      </c>
      <c r="BR57" s="22">
        <v>0.748</v>
      </c>
      <c r="BS57" s="16">
        <v>5.42</v>
      </c>
      <c r="BT57" s="16">
        <v>8.61</v>
      </c>
      <c r="BU57" s="16">
        <v>3.59</v>
      </c>
      <c r="BV57" s="16">
        <v>1.02</v>
      </c>
      <c r="BW57" s="16">
        <v>1.44</v>
      </c>
      <c r="BX57" s="16">
        <v>2.69</v>
      </c>
      <c r="BY57" s="25" t="s">
        <v>5</v>
      </c>
      <c r="BZ57" s="25" t="s">
        <v>5</v>
      </c>
      <c r="CA57" s="4">
        <v>15.5</v>
      </c>
      <c r="CB57" s="4">
        <v>13</v>
      </c>
      <c r="CC57" s="4">
        <v>19</v>
      </c>
      <c r="CD57" s="25" t="s">
        <v>5</v>
      </c>
      <c r="CE57" s="25" t="s">
        <v>5</v>
      </c>
      <c r="CF57" s="16" t="s">
        <v>5</v>
      </c>
      <c r="CG57" s="16" t="s">
        <v>5</v>
      </c>
      <c r="CH57" s="18" t="s">
        <v>5</v>
      </c>
      <c r="CL57" s="319" t="s">
        <v>1218</v>
      </c>
      <c r="CM57" s="327" t="s">
        <v>1215</v>
      </c>
      <c r="CN57" s="328" t="s">
        <v>1224</v>
      </c>
      <c r="CO57" s="322">
        <v>68</v>
      </c>
      <c r="CS57" s="335" t="str">
        <f t="shared" si="1"/>
        <v>L4X4X5/8</v>
      </c>
      <c r="CT57" s="338">
        <v>4.6100000000000003</v>
      </c>
      <c r="CV57" s="344" t="str">
        <f t="shared" si="2"/>
        <v>WT20X147</v>
      </c>
      <c r="CW57" s="337">
        <v>43.1</v>
      </c>
      <c r="DE57" s="335" t="str">
        <f t="shared" si="5"/>
        <v>2L6X6X3/4</v>
      </c>
      <c r="DF57" s="337">
        <v>16.899999999999999</v>
      </c>
      <c r="DH57" s="397" t="s">
        <v>1263</v>
      </c>
      <c r="DI57" s="401">
        <v>114</v>
      </c>
      <c r="DJ57" s="398">
        <v>36</v>
      </c>
      <c r="DK57" s="400">
        <v>1.26</v>
      </c>
      <c r="DL57" s="407">
        <v>23.7</v>
      </c>
      <c r="DM57" s="400">
        <v>3.55</v>
      </c>
      <c r="DN57" s="408">
        <v>1560</v>
      </c>
      <c r="DO57" s="409">
        <v>1350</v>
      </c>
      <c r="DP57" s="119"/>
      <c r="DQ57" s="428" t="s">
        <v>1294</v>
      </c>
      <c r="DR57" s="429">
        <v>1050</v>
      </c>
      <c r="DS57" s="429">
        <v>8210</v>
      </c>
      <c r="DT57" s="430" t="s">
        <v>1479</v>
      </c>
      <c r="DU57" s="430">
        <v>54</v>
      </c>
      <c r="DV57" s="429">
        <v>31</v>
      </c>
      <c r="DW57" s="431">
        <f t="shared" si="10"/>
        <v>54</v>
      </c>
      <c r="DX57" s="432">
        <f t="shared" si="11"/>
        <v>375</v>
      </c>
      <c r="DZ57" s="447" t="s">
        <v>1335</v>
      </c>
      <c r="EA57" s="448">
        <v>170</v>
      </c>
      <c r="EB57" s="448">
        <v>50</v>
      </c>
      <c r="EC57" s="448">
        <v>36.200000000000003</v>
      </c>
      <c r="ED57" s="448" t="s">
        <v>1694</v>
      </c>
      <c r="EE57" s="448">
        <v>0.68</v>
      </c>
      <c r="EF57" s="449">
        <v>45246</v>
      </c>
      <c r="EG57" s="449">
        <v>44993</v>
      </c>
      <c r="EH57" s="448">
        <v>12</v>
      </c>
      <c r="EI57" s="448">
        <v>12</v>
      </c>
      <c r="EJ57" s="448">
        <v>1.1000000000000001</v>
      </c>
      <c r="EK57" s="448" t="s">
        <v>1643</v>
      </c>
      <c r="EL57" s="448">
        <v>5.47</v>
      </c>
      <c r="EM57" s="448">
        <v>47.7</v>
      </c>
      <c r="EN57" s="448">
        <v>10500</v>
      </c>
      <c r="EO57" s="448">
        <v>581</v>
      </c>
      <c r="EP57" s="448">
        <v>14.5</v>
      </c>
      <c r="EQ57" s="448">
        <v>668</v>
      </c>
      <c r="ER57" s="448">
        <v>320</v>
      </c>
      <c r="ES57" s="448">
        <v>53.2</v>
      </c>
      <c r="ET57" s="448">
        <v>2.5299999999999998</v>
      </c>
      <c r="EU57" s="450">
        <v>83.8</v>
      </c>
    </row>
    <row r="58" spans="2:151">
      <c r="B58" s="78" t="s">
        <v>7</v>
      </c>
      <c r="C58" s="79" t="s">
        <v>63</v>
      </c>
      <c r="D58" s="80" t="s">
        <v>63</v>
      </c>
      <c r="E58" s="1" t="s">
        <v>4</v>
      </c>
      <c r="F58" s="7">
        <v>9.8000000000000007</v>
      </c>
      <c r="G58" s="7">
        <v>2.89</v>
      </c>
      <c r="H58" s="3" t="str">
        <f t="shared" si="0"/>
        <v>L6X3-1/2X5/16</v>
      </c>
      <c r="I58" s="7">
        <v>3.5</v>
      </c>
      <c r="J58" s="5" t="s">
        <v>5</v>
      </c>
      <c r="K58" s="6" t="s">
        <v>5</v>
      </c>
      <c r="L58" s="6" t="s">
        <v>5</v>
      </c>
      <c r="M58" s="6" t="s">
        <v>5</v>
      </c>
      <c r="N58" s="6" t="s">
        <v>5</v>
      </c>
      <c r="O58" s="5" t="s">
        <v>5</v>
      </c>
      <c r="P58" s="5" t="s">
        <v>5</v>
      </c>
      <c r="Q58" s="7">
        <v>6</v>
      </c>
      <c r="R58" s="6" t="s">
        <v>5</v>
      </c>
      <c r="S58" s="6" t="s">
        <v>5</v>
      </c>
      <c r="T58" s="5" t="s">
        <v>5</v>
      </c>
      <c r="U58" s="8" t="s">
        <v>5</v>
      </c>
      <c r="V58" s="6" t="s">
        <v>5</v>
      </c>
      <c r="W58" s="8" t="s">
        <v>5</v>
      </c>
      <c r="X58" s="22">
        <v>0.313</v>
      </c>
      <c r="Y58" s="6" t="s">
        <v>5</v>
      </c>
      <c r="Z58" s="6" t="s">
        <v>5</v>
      </c>
      <c r="AA58" s="22">
        <v>0.81299999999999994</v>
      </c>
      <c r="AB58" s="8">
        <v>0.8125</v>
      </c>
      <c r="AC58" s="8" t="s">
        <v>5</v>
      </c>
      <c r="AD58" s="22">
        <v>0.75600000000000001</v>
      </c>
      <c r="AE58" s="7">
        <v>2</v>
      </c>
      <c r="AF58" s="6" t="s">
        <v>5</v>
      </c>
      <c r="AG58" s="22">
        <v>0.24099999999999999</v>
      </c>
      <c r="AH58" s="7">
        <v>1.38</v>
      </c>
      <c r="AI58" s="6" t="s">
        <v>5</v>
      </c>
      <c r="AJ58" s="4">
        <v>19.2</v>
      </c>
      <c r="AK58" s="6" t="s">
        <v>5</v>
      </c>
      <c r="AL58" s="6" t="s">
        <v>5</v>
      </c>
      <c r="AM58" s="6" t="s">
        <v>5</v>
      </c>
      <c r="AN58" s="6" t="s">
        <v>5</v>
      </c>
      <c r="AO58" s="4">
        <v>10.9</v>
      </c>
      <c r="AP58" s="7">
        <v>4.84</v>
      </c>
      <c r="AQ58" s="7">
        <v>2.72</v>
      </c>
      <c r="AR58" s="7">
        <v>1.94</v>
      </c>
      <c r="AS58" s="7">
        <v>2.84</v>
      </c>
      <c r="AT58" s="7">
        <v>1.82</v>
      </c>
      <c r="AU58" s="7">
        <v>1.03</v>
      </c>
      <c r="AV58" s="22">
        <v>0.99099999999999999</v>
      </c>
      <c r="AW58" s="7">
        <v>1.7</v>
      </c>
      <c r="AX58" s="22">
        <v>0.76700000000000002</v>
      </c>
      <c r="AY58" s="12">
        <v>0.85899999999999999</v>
      </c>
      <c r="AZ58" s="28">
        <v>9.9000000000000005E-2</v>
      </c>
      <c r="BA58" s="22">
        <v>0.20100000000000001</v>
      </c>
      <c r="BB58" s="6" t="s">
        <v>5</v>
      </c>
      <c r="BC58" s="6" t="s">
        <v>5</v>
      </c>
      <c r="BD58" s="6" t="s">
        <v>5</v>
      </c>
      <c r="BE58" s="6" t="s">
        <v>5</v>
      </c>
      <c r="BF58" s="6" t="s">
        <v>5</v>
      </c>
      <c r="BG58" s="6" t="s">
        <v>5</v>
      </c>
      <c r="BH58" s="6" t="s">
        <v>5</v>
      </c>
      <c r="BI58" s="7">
        <v>2.92</v>
      </c>
      <c r="BJ58" s="24" t="s">
        <v>5</v>
      </c>
      <c r="BK58" s="23">
        <v>0.35199999999999998</v>
      </c>
      <c r="BL58" s="4">
        <v>12</v>
      </c>
      <c r="BM58" s="7">
        <v>2.65</v>
      </c>
      <c r="BN58" s="6">
        <v>1.64</v>
      </c>
      <c r="BO58" s="7">
        <v>3.97</v>
      </c>
      <c r="BP58" s="7">
        <v>1.98</v>
      </c>
      <c r="BQ58" s="6">
        <v>1.38</v>
      </c>
      <c r="BR58" s="22">
        <v>0.76400000000000001</v>
      </c>
      <c r="BS58" s="16">
        <v>4.53</v>
      </c>
      <c r="BT58" s="16">
        <v>7.32</v>
      </c>
      <c r="BU58" s="16">
        <v>3.02</v>
      </c>
      <c r="BV58" s="16">
        <v>0.85899999999999999</v>
      </c>
      <c r="BW58" s="16">
        <v>1.23</v>
      </c>
      <c r="BX58" s="16">
        <v>2.23</v>
      </c>
      <c r="BY58" s="25" t="s">
        <v>5</v>
      </c>
      <c r="BZ58" s="25" t="s">
        <v>5</v>
      </c>
      <c r="CA58" s="4">
        <v>15.5</v>
      </c>
      <c r="CB58" s="4">
        <v>13</v>
      </c>
      <c r="CC58" s="4">
        <v>19</v>
      </c>
      <c r="CD58" s="25" t="s">
        <v>5</v>
      </c>
      <c r="CE58" s="25" t="s">
        <v>5</v>
      </c>
      <c r="CF58" s="16" t="s">
        <v>5</v>
      </c>
      <c r="CG58" s="16" t="s">
        <v>5</v>
      </c>
      <c r="CH58" s="18" t="s">
        <v>5</v>
      </c>
      <c r="CL58" s="319" t="s">
        <v>1208</v>
      </c>
      <c r="CM58" s="327" t="s">
        <v>1214</v>
      </c>
      <c r="CN58" s="328" t="s">
        <v>1222</v>
      </c>
      <c r="CO58" s="322">
        <v>113</v>
      </c>
      <c r="CS58" s="335" t="str">
        <f t="shared" si="1"/>
        <v>L6X3-1/2X1/2</v>
      </c>
      <c r="CT58" s="338">
        <v>4.5</v>
      </c>
      <c r="CV58" s="344" t="str">
        <f t="shared" si="2"/>
        <v>WT15X146</v>
      </c>
      <c r="CW58" s="337">
        <v>43</v>
      </c>
      <c r="DE58" s="335" t="str">
        <f t="shared" si="5"/>
        <v>2L6X6X3/4</v>
      </c>
      <c r="DF58" s="337">
        <v>16.899999999999999</v>
      </c>
      <c r="DH58" s="397" t="s">
        <v>1269</v>
      </c>
      <c r="DI58" s="401">
        <v>104</v>
      </c>
      <c r="DJ58" s="398">
        <v>35.6</v>
      </c>
      <c r="DK58" s="400">
        <v>1.1599999999999999</v>
      </c>
      <c r="DL58" s="407">
        <v>25.7</v>
      </c>
      <c r="DM58" s="400">
        <v>3.85</v>
      </c>
      <c r="DN58" s="408">
        <v>1420</v>
      </c>
      <c r="DO58" s="409">
        <v>1240</v>
      </c>
      <c r="DP58" s="119"/>
      <c r="DQ58" s="428" t="s">
        <v>1295</v>
      </c>
      <c r="DR58" s="429">
        <v>1040</v>
      </c>
      <c r="DS58" s="429">
        <v>16800</v>
      </c>
      <c r="DT58" s="430" t="s">
        <v>1482</v>
      </c>
      <c r="DU58" s="430">
        <v>47.3</v>
      </c>
      <c r="DV58" s="429">
        <v>30</v>
      </c>
      <c r="DW58" s="431">
        <f t="shared" si="10"/>
        <v>47.3</v>
      </c>
      <c r="DX58" s="432">
        <f t="shared" si="11"/>
        <v>291</v>
      </c>
      <c r="DZ58" s="447" t="s">
        <v>1338</v>
      </c>
      <c r="EA58" s="448">
        <v>160</v>
      </c>
      <c r="EB58" s="448">
        <v>47</v>
      </c>
      <c r="EC58" s="448">
        <v>36</v>
      </c>
      <c r="ED58" s="448">
        <v>36</v>
      </c>
      <c r="EE58" s="448">
        <v>0.65</v>
      </c>
      <c r="EF58" s="449">
        <v>45054</v>
      </c>
      <c r="EG58" s="449">
        <v>45062</v>
      </c>
      <c r="EH58" s="448">
        <v>12</v>
      </c>
      <c r="EI58" s="448">
        <v>12</v>
      </c>
      <c r="EJ58" s="448">
        <v>1.02</v>
      </c>
      <c r="EK58" s="448">
        <v>1</v>
      </c>
      <c r="EL58" s="448">
        <v>5.88</v>
      </c>
      <c r="EM58" s="448">
        <v>49.9</v>
      </c>
      <c r="EN58" s="448">
        <v>9760</v>
      </c>
      <c r="EO58" s="448">
        <v>542</v>
      </c>
      <c r="EP58" s="448">
        <v>14.4</v>
      </c>
      <c r="EQ58" s="448">
        <v>624</v>
      </c>
      <c r="ER58" s="448">
        <v>295</v>
      </c>
      <c r="ES58" s="448">
        <v>49.1</v>
      </c>
      <c r="ET58" s="448">
        <v>2.5</v>
      </c>
      <c r="EU58" s="450">
        <v>77.3</v>
      </c>
    </row>
    <row r="59" spans="2:151">
      <c r="B59" s="78" t="s">
        <v>7</v>
      </c>
      <c r="C59" s="79" t="s">
        <v>64</v>
      </c>
      <c r="D59" s="80" t="s">
        <v>64</v>
      </c>
      <c r="E59" s="1" t="s">
        <v>4</v>
      </c>
      <c r="F59" s="4">
        <v>27.2</v>
      </c>
      <c r="G59" s="7">
        <v>8</v>
      </c>
      <c r="H59" s="3" t="str">
        <f t="shared" si="0"/>
        <v>L5X5X7/8</v>
      </c>
      <c r="I59" s="7">
        <v>5</v>
      </c>
      <c r="J59" s="5" t="s">
        <v>5</v>
      </c>
      <c r="K59" s="6" t="s">
        <v>5</v>
      </c>
      <c r="L59" s="6" t="s">
        <v>5</v>
      </c>
      <c r="M59" s="6" t="s">
        <v>5</v>
      </c>
      <c r="N59" s="6" t="s">
        <v>5</v>
      </c>
      <c r="O59" s="5" t="s">
        <v>5</v>
      </c>
      <c r="P59" s="5" t="s">
        <v>5</v>
      </c>
      <c r="Q59" s="7">
        <v>5</v>
      </c>
      <c r="R59" s="6" t="s">
        <v>5</v>
      </c>
      <c r="S59" s="6" t="s">
        <v>5</v>
      </c>
      <c r="T59" s="5" t="s">
        <v>5</v>
      </c>
      <c r="U59" s="8" t="s">
        <v>5</v>
      </c>
      <c r="V59" s="6" t="s">
        <v>5</v>
      </c>
      <c r="W59" s="8" t="s">
        <v>5</v>
      </c>
      <c r="X59" s="22">
        <v>0.875</v>
      </c>
      <c r="Y59" s="6" t="s">
        <v>5</v>
      </c>
      <c r="Z59" s="6" t="s">
        <v>5</v>
      </c>
      <c r="AA59" s="7">
        <v>1.38</v>
      </c>
      <c r="AB59" s="8">
        <v>1.375</v>
      </c>
      <c r="AC59" s="8" t="s">
        <v>5</v>
      </c>
      <c r="AD59" s="7">
        <v>1.56</v>
      </c>
      <c r="AE59" s="7">
        <v>1.56</v>
      </c>
      <c r="AF59" s="6" t="s">
        <v>5</v>
      </c>
      <c r="AG59" s="22">
        <v>0.8</v>
      </c>
      <c r="AH59" s="22">
        <v>0.8</v>
      </c>
      <c r="AI59" s="6" t="s">
        <v>5</v>
      </c>
      <c r="AJ59" s="7">
        <v>5.71</v>
      </c>
      <c r="AK59" s="6" t="s">
        <v>5</v>
      </c>
      <c r="AL59" s="6" t="s">
        <v>5</v>
      </c>
      <c r="AM59" s="6" t="s">
        <v>5</v>
      </c>
      <c r="AN59" s="6" t="s">
        <v>5</v>
      </c>
      <c r="AO59" s="4">
        <v>17.8</v>
      </c>
      <c r="AP59" s="7">
        <v>9.31</v>
      </c>
      <c r="AQ59" s="7">
        <v>5.16</v>
      </c>
      <c r="AR59" s="7">
        <v>1.49</v>
      </c>
      <c r="AS59" s="4">
        <v>17.8</v>
      </c>
      <c r="AT59" s="7">
        <v>9.31</v>
      </c>
      <c r="AU59" s="7">
        <v>5.16</v>
      </c>
      <c r="AV59" s="7">
        <v>1.49</v>
      </c>
      <c r="AW59" s="7">
        <v>7.6</v>
      </c>
      <c r="AX59" s="22">
        <v>0.97099999999999997</v>
      </c>
      <c r="AY59" s="12">
        <v>3.44</v>
      </c>
      <c r="AZ59" s="7">
        <v>2.0699999999999998</v>
      </c>
      <c r="BA59" s="7">
        <v>3.53</v>
      </c>
      <c r="BB59" s="6" t="s">
        <v>5</v>
      </c>
      <c r="BC59" s="6" t="s">
        <v>5</v>
      </c>
      <c r="BD59" s="6" t="s">
        <v>5</v>
      </c>
      <c r="BE59" s="6" t="s">
        <v>5</v>
      </c>
      <c r="BF59" s="6" t="s">
        <v>5</v>
      </c>
      <c r="BG59" s="6" t="s">
        <v>5</v>
      </c>
      <c r="BH59" s="6" t="s">
        <v>5</v>
      </c>
      <c r="BI59" s="7">
        <v>2.64</v>
      </c>
      <c r="BJ59" s="23">
        <v>0.64</v>
      </c>
      <c r="BK59" s="24">
        <v>1</v>
      </c>
      <c r="BL59" s="4">
        <v>28</v>
      </c>
      <c r="BM59" s="7">
        <v>3.23</v>
      </c>
      <c r="BN59" s="2">
        <v>0</v>
      </c>
      <c r="BO59" s="7">
        <v>3.23</v>
      </c>
      <c r="BP59" s="7">
        <v>1.64</v>
      </c>
      <c r="BQ59" s="6">
        <v>2.21</v>
      </c>
      <c r="BR59" s="7">
        <v>1.64</v>
      </c>
      <c r="BS59" s="16">
        <v>8.67</v>
      </c>
      <c r="BT59" s="16" t="s">
        <v>5</v>
      </c>
      <c r="BU59" s="16">
        <v>8.67</v>
      </c>
      <c r="BV59" s="16">
        <v>4.63</v>
      </c>
      <c r="BW59" s="16">
        <v>3.44</v>
      </c>
      <c r="BX59" s="16">
        <v>4.63</v>
      </c>
      <c r="BY59" s="25" t="s">
        <v>5</v>
      </c>
      <c r="BZ59" s="25" t="s">
        <v>5</v>
      </c>
      <c r="CA59" s="4">
        <v>15</v>
      </c>
      <c r="CB59" s="4">
        <v>15</v>
      </c>
      <c r="CC59" s="4">
        <v>20</v>
      </c>
      <c r="CD59" s="25" t="s">
        <v>5</v>
      </c>
      <c r="CE59" s="25" t="s">
        <v>5</v>
      </c>
      <c r="CF59" s="16" t="s">
        <v>5</v>
      </c>
      <c r="CG59" s="16" t="s">
        <v>5</v>
      </c>
      <c r="CH59" s="18" t="s">
        <v>5</v>
      </c>
      <c r="CL59" s="319" t="s">
        <v>1209</v>
      </c>
      <c r="CM59" s="327" t="s">
        <v>1214</v>
      </c>
      <c r="CN59" s="328" t="s">
        <v>1222</v>
      </c>
      <c r="CO59" s="322">
        <v>90</v>
      </c>
      <c r="CS59" s="335" t="str">
        <f t="shared" si="1"/>
        <v>L6X6X3/8</v>
      </c>
      <c r="CT59" s="338">
        <v>4.38</v>
      </c>
      <c r="CV59" s="344" t="str">
        <f t="shared" si="2"/>
        <v>WT16.5X145.5</v>
      </c>
      <c r="CW59" s="337">
        <v>42.8</v>
      </c>
      <c r="DE59" s="335" t="str">
        <f t="shared" si="5"/>
        <v>2L6X6X3/4</v>
      </c>
      <c r="DF59" s="337">
        <v>16.899999999999999</v>
      </c>
      <c r="DH59" s="397" t="s">
        <v>1279</v>
      </c>
      <c r="DI59" s="398">
        <v>93.7</v>
      </c>
      <c r="DJ59" s="398">
        <v>35.200000000000003</v>
      </c>
      <c r="DK59" s="400">
        <v>1.04</v>
      </c>
      <c r="DL59" s="407">
        <v>28.7</v>
      </c>
      <c r="DM59" s="400">
        <v>4.2300000000000004</v>
      </c>
      <c r="DN59" s="408">
        <v>1270</v>
      </c>
      <c r="DO59" s="409">
        <v>1110</v>
      </c>
      <c r="DP59" s="119"/>
      <c r="DQ59" s="428" t="s">
        <v>1296</v>
      </c>
      <c r="DR59" s="429">
        <v>1040</v>
      </c>
      <c r="DS59" s="429">
        <v>15900</v>
      </c>
      <c r="DT59" s="430" t="s">
        <v>1484</v>
      </c>
      <c r="DU59" s="430">
        <v>44.2</v>
      </c>
      <c r="DV59" s="429">
        <v>26</v>
      </c>
      <c r="DW59" s="431">
        <f t="shared" si="10"/>
        <v>44.2</v>
      </c>
      <c r="DX59" s="432">
        <f t="shared" si="11"/>
        <v>301</v>
      </c>
      <c r="DZ59" s="447" t="s">
        <v>1346</v>
      </c>
      <c r="EA59" s="448">
        <v>150</v>
      </c>
      <c r="EB59" s="448">
        <v>44.3</v>
      </c>
      <c r="EC59" s="448">
        <v>35.9</v>
      </c>
      <c r="ED59" s="448" t="s">
        <v>1695</v>
      </c>
      <c r="EE59" s="448">
        <v>0.625</v>
      </c>
      <c r="EF59" s="449">
        <v>45054</v>
      </c>
      <c r="EG59" s="449">
        <v>45062</v>
      </c>
      <c r="EH59" s="448">
        <v>12</v>
      </c>
      <c r="EI59" s="448">
        <v>12</v>
      </c>
      <c r="EJ59" s="448">
        <v>0.94</v>
      </c>
      <c r="EK59" s="448" t="s">
        <v>1628</v>
      </c>
      <c r="EL59" s="448">
        <v>6.37</v>
      </c>
      <c r="EM59" s="448">
        <v>51.9</v>
      </c>
      <c r="EN59" s="448">
        <v>9040</v>
      </c>
      <c r="EO59" s="448">
        <v>504</v>
      </c>
      <c r="EP59" s="448">
        <v>14.3</v>
      </c>
      <c r="EQ59" s="448">
        <v>581</v>
      </c>
      <c r="ER59" s="448">
        <v>270</v>
      </c>
      <c r="ES59" s="448">
        <v>45.1</v>
      </c>
      <c r="ET59" s="448">
        <v>2.4700000000000002</v>
      </c>
      <c r="EU59" s="450">
        <v>70.900000000000006</v>
      </c>
    </row>
    <row r="60" spans="2:151">
      <c r="B60" s="78" t="s">
        <v>7</v>
      </c>
      <c r="C60" s="79" t="s">
        <v>65</v>
      </c>
      <c r="D60" s="80" t="s">
        <v>65</v>
      </c>
      <c r="E60" s="1" t="s">
        <v>4</v>
      </c>
      <c r="F60" s="4">
        <v>23.6</v>
      </c>
      <c r="G60" s="7">
        <v>6.98</v>
      </c>
      <c r="H60" s="3" t="str">
        <f t="shared" si="0"/>
        <v>L5X5X3/4</v>
      </c>
      <c r="I60" s="7">
        <v>5</v>
      </c>
      <c r="J60" s="5" t="s">
        <v>5</v>
      </c>
      <c r="K60" s="6" t="s">
        <v>5</v>
      </c>
      <c r="L60" s="6" t="s">
        <v>5</v>
      </c>
      <c r="M60" s="6" t="s">
        <v>5</v>
      </c>
      <c r="N60" s="6" t="s">
        <v>5</v>
      </c>
      <c r="O60" s="5" t="s">
        <v>5</v>
      </c>
      <c r="P60" s="5" t="s">
        <v>5</v>
      </c>
      <c r="Q60" s="7">
        <v>5</v>
      </c>
      <c r="R60" s="6" t="s">
        <v>5</v>
      </c>
      <c r="S60" s="6" t="s">
        <v>5</v>
      </c>
      <c r="T60" s="5" t="s">
        <v>5</v>
      </c>
      <c r="U60" s="8" t="s">
        <v>5</v>
      </c>
      <c r="V60" s="6" t="s">
        <v>5</v>
      </c>
      <c r="W60" s="8" t="s">
        <v>5</v>
      </c>
      <c r="X60" s="22">
        <v>0.75</v>
      </c>
      <c r="Y60" s="6" t="s">
        <v>5</v>
      </c>
      <c r="Z60" s="6" t="s">
        <v>5</v>
      </c>
      <c r="AA60" s="7">
        <v>1.25</v>
      </c>
      <c r="AB60" s="8">
        <v>1.25</v>
      </c>
      <c r="AC60" s="8" t="s">
        <v>5</v>
      </c>
      <c r="AD60" s="7">
        <v>1.52</v>
      </c>
      <c r="AE60" s="7">
        <v>1.52</v>
      </c>
      <c r="AF60" s="6" t="s">
        <v>5</v>
      </c>
      <c r="AG60" s="22">
        <v>0.69799999999999995</v>
      </c>
      <c r="AH60" s="22">
        <v>0.69799999999999995</v>
      </c>
      <c r="AI60" s="6" t="s">
        <v>5</v>
      </c>
      <c r="AJ60" s="7">
        <v>6.67</v>
      </c>
      <c r="AK60" s="6" t="s">
        <v>5</v>
      </c>
      <c r="AL60" s="6" t="s">
        <v>5</v>
      </c>
      <c r="AM60" s="6" t="s">
        <v>5</v>
      </c>
      <c r="AN60" s="6" t="s">
        <v>5</v>
      </c>
      <c r="AO60" s="4">
        <v>15.7</v>
      </c>
      <c r="AP60" s="7">
        <v>8.14</v>
      </c>
      <c r="AQ60" s="7">
        <v>4.5199999999999996</v>
      </c>
      <c r="AR60" s="7">
        <v>1.5</v>
      </c>
      <c r="AS60" s="4">
        <v>15.7</v>
      </c>
      <c r="AT60" s="7">
        <v>8.14</v>
      </c>
      <c r="AU60" s="7">
        <v>4.5199999999999996</v>
      </c>
      <c r="AV60" s="7">
        <v>1.5</v>
      </c>
      <c r="AW60" s="6">
        <v>6.55</v>
      </c>
      <c r="AX60" s="22">
        <v>0.97199999999999998</v>
      </c>
      <c r="AY60" s="12">
        <v>3.05</v>
      </c>
      <c r="AZ60" s="7">
        <v>1.33</v>
      </c>
      <c r="BA60" s="7">
        <v>2.3199999999999998</v>
      </c>
      <c r="BB60" s="6" t="s">
        <v>5</v>
      </c>
      <c r="BC60" s="6" t="s">
        <v>5</v>
      </c>
      <c r="BD60" s="6" t="s">
        <v>5</v>
      </c>
      <c r="BE60" s="6" t="s">
        <v>5</v>
      </c>
      <c r="BF60" s="6" t="s">
        <v>5</v>
      </c>
      <c r="BG60" s="6" t="s">
        <v>5</v>
      </c>
      <c r="BH60" s="6" t="s">
        <v>5</v>
      </c>
      <c r="BI60" s="7">
        <v>2.67</v>
      </c>
      <c r="BJ60" s="23">
        <v>0.63</v>
      </c>
      <c r="BK60" s="24">
        <v>1</v>
      </c>
      <c r="BL60" s="6">
        <v>24.8</v>
      </c>
      <c r="BM60" s="7">
        <v>3.27</v>
      </c>
      <c r="BN60" s="2">
        <v>0</v>
      </c>
      <c r="BO60" s="7">
        <v>3.27</v>
      </c>
      <c r="BP60" s="7">
        <v>1.65</v>
      </c>
      <c r="BQ60" s="6">
        <v>2.15</v>
      </c>
      <c r="BR60" s="7">
        <v>1.65</v>
      </c>
      <c r="BS60" s="16">
        <v>7.58</v>
      </c>
      <c r="BT60" s="16" t="s">
        <v>5</v>
      </c>
      <c r="BU60" s="16">
        <v>7.58</v>
      </c>
      <c r="BV60" s="16">
        <v>3.97</v>
      </c>
      <c r="BW60" s="16">
        <v>3.05</v>
      </c>
      <c r="BX60" s="16">
        <v>3.97</v>
      </c>
      <c r="BY60" s="25" t="s">
        <v>5</v>
      </c>
      <c r="BZ60" s="25" t="s">
        <v>5</v>
      </c>
      <c r="CA60" s="4">
        <v>15</v>
      </c>
      <c r="CB60" s="4">
        <v>15</v>
      </c>
      <c r="CC60" s="4">
        <v>20</v>
      </c>
      <c r="CD60" s="25" t="s">
        <v>5</v>
      </c>
      <c r="CE60" s="25" t="s">
        <v>5</v>
      </c>
      <c r="CF60" s="16" t="s">
        <v>5</v>
      </c>
      <c r="CG60" s="16" t="s">
        <v>5</v>
      </c>
      <c r="CH60" s="18" t="s">
        <v>5</v>
      </c>
      <c r="CL60" s="319" t="s">
        <v>1210</v>
      </c>
      <c r="CM60" s="327" t="s">
        <v>1214</v>
      </c>
      <c r="CN60" s="329"/>
      <c r="CO60" s="323"/>
      <c r="CS60" s="335" t="str">
        <f t="shared" si="1"/>
        <v>L5X5X7/16</v>
      </c>
      <c r="CT60" s="338">
        <v>4.22</v>
      </c>
      <c r="CV60" s="344" t="str">
        <f t="shared" si="2"/>
        <v>WT22X145</v>
      </c>
      <c r="CW60" s="337">
        <v>42.6</v>
      </c>
      <c r="DE60" s="335" t="str">
        <f t="shared" si="5"/>
        <v>2L5X5X7/8</v>
      </c>
      <c r="DF60" s="337">
        <v>16</v>
      </c>
      <c r="DH60" s="397" t="s">
        <v>1286</v>
      </c>
      <c r="DI60" s="398">
        <v>85.6</v>
      </c>
      <c r="DJ60" s="398">
        <v>34.799999999999997</v>
      </c>
      <c r="DK60" s="399">
        <v>0.96</v>
      </c>
      <c r="DL60" s="407">
        <v>31</v>
      </c>
      <c r="DM60" s="400">
        <v>4.5999999999999996</v>
      </c>
      <c r="DN60" s="408">
        <v>1160</v>
      </c>
      <c r="DO60" s="409">
        <v>1020</v>
      </c>
      <c r="DP60" s="119"/>
      <c r="DQ60" s="428" t="s">
        <v>1297</v>
      </c>
      <c r="DR60" s="429">
        <v>1030</v>
      </c>
      <c r="DS60" s="429">
        <v>16700</v>
      </c>
      <c r="DT60" s="430" t="s">
        <v>1486</v>
      </c>
      <c r="DU60" s="430">
        <v>40.200000000000003</v>
      </c>
      <c r="DV60" s="429">
        <v>26</v>
      </c>
      <c r="DW60" s="431">
        <f t="shared" si="10"/>
        <v>40.200000000000003</v>
      </c>
      <c r="DX60" s="432">
        <f t="shared" si="11"/>
        <v>245</v>
      </c>
      <c r="DZ60" s="447" t="s">
        <v>1357</v>
      </c>
      <c r="EA60" s="448">
        <v>135</v>
      </c>
      <c r="EB60" s="448">
        <v>39.9</v>
      </c>
      <c r="EC60" s="448">
        <v>35.6</v>
      </c>
      <c r="ED60" s="448" t="s">
        <v>1696</v>
      </c>
      <c r="EE60" s="448">
        <v>0.6</v>
      </c>
      <c r="EF60" s="449">
        <v>45054</v>
      </c>
      <c r="EG60" s="449">
        <v>45062</v>
      </c>
      <c r="EH60" s="448">
        <v>12</v>
      </c>
      <c r="EI60" s="448">
        <v>12</v>
      </c>
      <c r="EJ60" s="448">
        <v>0.79</v>
      </c>
      <c r="EK60" s="448" t="s">
        <v>1620</v>
      </c>
      <c r="EL60" s="448">
        <v>7.56</v>
      </c>
      <c r="EM60" s="448">
        <v>54.1</v>
      </c>
      <c r="EN60" s="448">
        <v>7800</v>
      </c>
      <c r="EO60" s="448">
        <v>439</v>
      </c>
      <c r="EP60" s="448">
        <v>14</v>
      </c>
      <c r="EQ60" s="448">
        <v>509</v>
      </c>
      <c r="ER60" s="448">
        <v>225</v>
      </c>
      <c r="ES60" s="448">
        <v>37.700000000000003</v>
      </c>
      <c r="ET60" s="448">
        <v>2.38</v>
      </c>
      <c r="EU60" s="450">
        <v>59.7</v>
      </c>
    </row>
    <row r="61" spans="2:151">
      <c r="B61" s="78" t="s">
        <v>7</v>
      </c>
      <c r="C61" s="79" t="s">
        <v>66</v>
      </c>
      <c r="D61" s="80" t="s">
        <v>66</v>
      </c>
      <c r="E61" s="1" t="s">
        <v>4</v>
      </c>
      <c r="F61" s="4">
        <v>20</v>
      </c>
      <c r="G61" s="7">
        <v>5.9</v>
      </c>
      <c r="H61" s="3" t="str">
        <f t="shared" si="0"/>
        <v>L5X5X5/8</v>
      </c>
      <c r="I61" s="7">
        <v>5</v>
      </c>
      <c r="J61" s="5" t="s">
        <v>5</v>
      </c>
      <c r="K61" s="6" t="s">
        <v>5</v>
      </c>
      <c r="L61" s="6" t="s">
        <v>5</v>
      </c>
      <c r="M61" s="6" t="s">
        <v>5</v>
      </c>
      <c r="N61" s="6" t="s">
        <v>5</v>
      </c>
      <c r="O61" s="5" t="s">
        <v>5</v>
      </c>
      <c r="P61" s="5" t="s">
        <v>5</v>
      </c>
      <c r="Q61" s="7">
        <v>5</v>
      </c>
      <c r="R61" s="6" t="s">
        <v>5</v>
      </c>
      <c r="S61" s="6" t="s">
        <v>5</v>
      </c>
      <c r="T61" s="5" t="s">
        <v>5</v>
      </c>
      <c r="U61" s="8" t="s">
        <v>5</v>
      </c>
      <c r="V61" s="6" t="s">
        <v>5</v>
      </c>
      <c r="W61" s="8" t="s">
        <v>5</v>
      </c>
      <c r="X61" s="22">
        <v>0.625</v>
      </c>
      <c r="Y61" s="6" t="s">
        <v>5</v>
      </c>
      <c r="Z61" s="6" t="s">
        <v>5</v>
      </c>
      <c r="AA61" s="7">
        <v>1.1299999999999999</v>
      </c>
      <c r="AB61" s="8">
        <v>1.125</v>
      </c>
      <c r="AC61" s="8" t="s">
        <v>5</v>
      </c>
      <c r="AD61" s="7">
        <v>1.47</v>
      </c>
      <c r="AE61" s="7">
        <v>1.47</v>
      </c>
      <c r="AF61" s="6" t="s">
        <v>5</v>
      </c>
      <c r="AG61" s="22">
        <v>0.59</v>
      </c>
      <c r="AH61" s="22">
        <v>0.59</v>
      </c>
      <c r="AI61" s="6" t="s">
        <v>5</v>
      </c>
      <c r="AJ61" s="7">
        <v>8</v>
      </c>
      <c r="AK61" s="6" t="s">
        <v>5</v>
      </c>
      <c r="AL61" s="6" t="s">
        <v>5</v>
      </c>
      <c r="AM61" s="6" t="s">
        <v>5</v>
      </c>
      <c r="AN61" s="6" t="s">
        <v>5</v>
      </c>
      <c r="AO61" s="4">
        <v>13.6</v>
      </c>
      <c r="AP61" s="7">
        <v>6.93</v>
      </c>
      <c r="AQ61" s="7">
        <v>3.85</v>
      </c>
      <c r="AR61" s="7">
        <v>1.52</v>
      </c>
      <c r="AS61" s="4">
        <v>13.6</v>
      </c>
      <c r="AT61" s="7">
        <v>6.93</v>
      </c>
      <c r="AU61" s="7">
        <v>3.85</v>
      </c>
      <c r="AV61" s="7">
        <v>1.52</v>
      </c>
      <c r="AW61" s="6">
        <v>5.62</v>
      </c>
      <c r="AX61" s="22">
        <v>0.97499999999999998</v>
      </c>
      <c r="AY61" s="27">
        <v>2.7</v>
      </c>
      <c r="AZ61" s="22">
        <v>0.79200000000000004</v>
      </c>
      <c r="BA61" s="7">
        <v>1.4</v>
      </c>
      <c r="BB61" s="6" t="s">
        <v>5</v>
      </c>
      <c r="BC61" s="6" t="s">
        <v>5</v>
      </c>
      <c r="BD61" s="6" t="s">
        <v>5</v>
      </c>
      <c r="BE61" s="6" t="s">
        <v>5</v>
      </c>
      <c r="BF61" s="6" t="s">
        <v>5</v>
      </c>
      <c r="BG61" s="6" t="s">
        <v>5</v>
      </c>
      <c r="BH61" s="6" t="s">
        <v>5</v>
      </c>
      <c r="BI61" s="7">
        <v>2.7</v>
      </c>
      <c r="BJ61" s="23">
        <v>0.63</v>
      </c>
      <c r="BK61" s="24">
        <v>1</v>
      </c>
      <c r="BL61" s="6">
        <v>21.6</v>
      </c>
      <c r="BM61" s="7">
        <v>3.31</v>
      </c>
      <c r="BN61" s="2">
        <v>0</v>
      </c>
      <c r="BO61" s="7">
        <v>3.31</v>
      </c>
      <c r="BP61" s="7">
        <v>1.68</v>
      </c>
      <c r="BQ61" s="6">
        <v>2.08</v>
      </c>
      <c r="BR61" s="7">
        <v>1.68</v>
      </c>
      <c r="BS61" s="16">
        <v>6.53</v>
      </c>
      <c r="BT61" s="16" t="s">
        <v>5</v>
      </c>
      <c r="BU61" s="16">
        <v>6.53</v>
      </c>
      <c r="BV61" s="16">
        <v>3.35</v>
      </c>
      <c r="BW61" s="26">
        <v>2.7</v>
      </c>
      <c r="BX61" s="16">
        <v>3.35</v>
      </c>
      <c r="BY61" s="25" t="s">
        <v>5</v>
      </c>
      <c r="BZ61" s="25" t="s">
        <v>5</v>
      </c>
      <c r="CA61" s="4">
        <v>15</v>
      </c>
      <c r="CB61" s="4">
        <v>15</v>
      </c>
      <c r="CC61" s="4">
        <v>20</v>
      </c>
      <c r="CD61" s="25" t="s">
        <v>5</v>
      </c>
      <c r="CE61" s="25" t="s">
        <v>5</v>
      </c>
      <c r="CF61" s="16" t="s">
        <v>5</v>
      </c>
      <c r="CG61" s="16" t="s">
        <v>5</v>
      </c>
      <c r="CH61" s="18" t="s">
        <v>5</v>
      </c>
      <c r="CL61" s="319" t="s">
        <v>1219</v>
      </c>
      <c r="CM61" s="327" t="s">
        <v>1214</v>
      </c>
      <c r="CN61" s="329"/>
      <c r="CO61" s="323"/>
      <c r="CS61" s="335" t="str">
        <f t="shared" si="1"/>
        <v>L6X4X7/16</v>
      </c>
      <c r="CT61" s="338">
        <v>4.18</v>
      </c>
      <c r="CV61" s="344" t="str">
        <f t="shared" si="2"/>
        <v>WT9X141.5</v>
      </c>
      <c r="CW61" s="337">
        <v>41.7</v>
      </c>
      <c r="DE61" s="335" t="str">
        <f t="shared" si="5"/>
        <v>2L5X5X7/8</v>
      </c>
      <c r="DF61" s="337">
        <v>16</v>
      </c>
      <c r="DH61" s="397" t="s">
        <v>1296</v>
      </c>
      <c r="DI61" s="398">
        <v>77.400000000000006</v>
      </c>
      <c r="DJ61" s="398">
        <v>34.5</v>
      </c>
      <c r="DK61" s="399">
        <v>0.87</v>
      </c>
      <c r="DL61" s="407">
        <v>34.299999999999997</v>
      </c>
      <c r="DM61" s="400">
        <v>5.03</v>
      </c>
      <c r="DN61" s="408">
        <v>1040</v>
      </c>
      <c r="DO61" s="409">
        <v>919</v>
      </c>
      <c r="DP61" s="119"/>
      <c r="DQ61" s="428" t="s">
        <v>1298</v>
      </c>
      <c r="DR61" s="429">
        <v>1030</v>
      </c>
      <c r="DS61" s="429">
        <v>13100</v>
      </c>
      <c r="DT61" s="430" t="s">
        <v>1489</v>
      </c>
      <c r="DU61" s="430">
        <v>37.200000000000003</v>
      </c>
      <c r="DV61" s="429">
        <v>26</v>
      </c>
      <c r="DW61" s="431">
        <f t="shared" si="10"/>
        <v>37.200000000000003</v>
      </c>
      <c r="DX61" s="432">
        <f t="shared" si="11"/>
        <v>204</v>
      </c>
      <c r="DZ61" s="447" t="s">
        <v>1263</v>
      </c>
      <c r="EA61" s="448">
        <v>387</v>
      </c>
      <c r="EB61" s="448">
        <v>114</v>
      </c>
      <c r="EC61" s="448">
        <v>36</v>
      </c>
      <c r="ED61" s="448">
        <v>36</v>
      </c>
      <c r="EE61" s="448">
        <v>1.26</v>
      </c>
      <c r="EF61" s="448" t="s">
        <v>1624</v>
      </c>
      <c r="EG61" s="449">
        <v>45054</v>
      </c>
      <c r="EH61" s="448">
        <v>16.2</v>
      </c>
      <c r="EI61" s="448" t="s">
        <v>1635</v>
      </c>
      <c r="EJ61" s="448">
        <v>2.2799999999999998</v>
      </c>
      <c r="EK61" s="448" t="s">
        <v>1697</v>
      </c>
      <c r="EL61" s="448">
        <v>3.55</v>
      </c>
      <c r="EM61" s="448">
        <v>23.7</v>
      </c>
      <c r="EN61" s="448">
        <v>24300</v>
      </c>
      <c r="EO61" s="448">
        <v>1350</v>
      </c>
      <c r="EP61" s="448">
        <v>14.6</v>
      </c>
      <c r="EQ61" s="448">
        <v>1560</v>
      </c>
      <c r="ER61" s="448">
        <v>1620</v>
      </c>
      <c r="ES61" s="448">
        <v>200</v>
      </c>
      <c r="ET61" s="448">
        <v>3.77</v>
      </c>
      <c r="EU61" s="450">
        <v>312</v>
      </c>
    </row>
    <row r="62" spans="2:151">
      <c r="B62" s="78" t="s">
        <v>7</v>
      </c>
      <c r="C62" s="79" t="s">
        <v>67</v>
      </c>
      <c r="D62" s="80" t="s">
        <v>67</v>
      </c>
      <c r="E62" s="1" t="s">
        <v>4</v>
      </c>
      <c r="F62" s="4">
        <v>16.2</v>
      </c>
      <c r="G62" s="7">
        <v>4.79</v>
      </c>
      <c r="H62" s="3" t="str">
        <f t="shared" si="0"/>
        <v>L5X5X1/2</v>
      </c>
      <c r="I62" s="7">
        <v>5</v>
      </c>
      <c r="J62" s="5" t="s">
        <v>5</v>
      </c>
      <c r="K62" s="6" t="s">
        <v>5</v>
      </c>
      <c r="L62" s="6" t="s">
        <v>5</v>
      </c>
      <c r="M62" s="6" t="s">
        <v>5</v>
      </c>
      <c r="N62" s="6" t="s">
        <v>5</v>
      </c>
      <c r="O62" s="5" t="s">
        <v>5</v>
      </c>
      <c r="P62" s="5" t="s">
        <v>5</v>
      </c>
      <c r="Q62" s="7">
        <v>5</v>
      </c>
      <c r="R62" s="6" t="s">
        <v>5</v>
      </c>
      <c r="S62" s="6" t="s">
        <v>5</v>
      </c>
      <c r="T62" s="5" t="s">
        <v>5</v>
      </c>
      <c r="U62" s="8" t="s">
        <v>5</v>
      </c>
      <c r="V62" s="6" t="s">
        <v>5</v>
      </c>
      <c r="W62" s="8" t="s">
        <v>5</v>
      </c>
      <c r="X62" s="22">
        <v>0.5</v>
      </c>
      <c r="Y62" s="6" t="s">
        <v>5</v>
      </c>
      <c r="Z62" s="6" t="s">
        <v>5</v>
      </c>
      <c r="AA62" s="7">
        <v>1</v>
      </c>
      <c r="AB62" s="8">
        <v>1</v>
      </c>
      <c r="AC62" s="8" t="s">
        <v>5</v>
      </c>
      <c r="AD62" s="7">
        <v>1.42</v>
      </c>
      <c r="AE62" s="7">
        <v>1.42</v>
      </c>
      <c r="AF62" s="6" t="s">
        <v>5</v>
      </c>
      <c r="AG62" s="22">
        <v>0.47899999999999998</v>
      </c>
      <c r="AH62" s="22">
        <v>0.47899999999999998</v>
      </c>
      <c r="AI62" s="6" t="s">
        <v>5</v>
      </c>
      <c r="AJ62" s="4">
        <v>10</v>
      </c>
      <c r="AK62" s="6" t="s">
        <v>5</v>
      </c>
      <c r="AL62" s="6" t="s">
        <v>5</v>
      </c>
      <c r="AM62" s="6" t="s">
        <v>5</v>
      </c>
      <c r="AN62" s="6" t="s">
        <v>5</v>
      </c>
      <c r="AO62" s="4">
        <v>11.3</v>
      </c>
      <c r="AP62" s="7">
        <v>5.66</v>
      </c>
      <c r="AQ62" s="7">
        <v>3.15</v>
      </c>
      <c r="AR62" s="7">
        <v>1.53</v>
      </c>
      <c r="AS62" s="4">
        <v>11.3</v>
      </c>
      <c r="AT62" s="7">
        <v>5.66</v>
      </c>
      <c r="AU62" s="7">
        <v>3.15</v>
      </c>
      <c r="AV62" s="7">
        <v>1.53</v>
      </c>
      <c r="AW62" s="6">
        <v>4.6399999999999997</v>
      </c>
      <c r="AX62" s="22">
        <v>0.98</v>
      </c>
      <c r="AY62" s="12">
        <v>2.31</v>
      </c>
      <c r="AZ62" s="22">
        <v>0.41699999999999998</v>
      </c>
      <c r="BA62" s="22">
        <v>0.74399999999999999</v>
      </c>
      <c r="BB62" s="6" t="s">
        <v>5</v>
      </c>
      <c r="BC62" s="6" t="s">
        <v>5</v>
      </c>
      <c r="BD62" s="6" t="s">
        <v>5</v>
      </c>
      <c r="BE62" s="6" t="s">
        <v>5</v>
      </c>
      <c r="BF62" s="6" t="s">
        <v>5</v>
      </c>
      <c r="BG62" s="6" t="s">
        <v>5</v>
      </c>
      <c r="BH62" s="6" t="s">
        <v>5</v>
      </c>
      <c r="BI62" s="7">
        <v>2.73</v>
      </c>
      <c r="BJ62" s="23">
        <v>0.63</v>
      </c>
      <c r="BK62" s="24">
        <v>1</v>
      </c>
      <c r="BL62" s="4">
        <v>18</v>
      </c>
      <c r="BM62" s="7">
        <v>3.36</v>
      </c>
      <c r="BN62" s="2">
        <v>0</v>
      </c>
      <c r="BO62" s="7">
        <v>3.36</v>
      </c>
      <c r="BP62" s="7">
        <v>1.7</v>
      </c>
      <c r="BQ62" s="6">
        <v>2.0099999999999998</v>
      </c>
      <c r="BR62" s="7">
        <v>1.7</v>
      </c>
      <c r="BS62" s="16">
        <v>5.36</v>
      </c>
      <c r="BT62" s="16" t="s">
        <v>5</v>
      </c>
      <c r="BU62" s="16">
        <v>5.36</v>
      </c>
      <c r="BV62" s="16">
        <v>2.73</v>
      </c>
      <c r="BW62" s="16">
        <v>2.31</v>
      </c>
      <c r="BX62" s="16">
        <v>2.73</v>
      </c>
      <c r="BY62" s="25" t="s">
        <v>5</v>
      </c>
      <c r="BZ62" s="25" t="s">
        <v>5</v>
      </c>
      <c r="CA62" s="4">
        <v>15</v>
      </c>
      <c r="CB62" s="4">
        <v>15</v>
      </c>
      <c r="CC62" s="4">
        <v>20</v>
      </c>
      <c r="CD62" s="25" t="s">
        <v>5</v>
      </c>
      <c r="CE62" s="25" t="s">
        <v>5</v>
      </c>
      <c r="CF62" s="16" t="s">
        <v>5</v>
      </c>
      <c r="CG62" s="16" t="s">
        <v>5</v>
      </c>
      <c r="CH62" s="18" t="s">
        <v>5</v>
      </c>
      <c r="CL62" s="319" t="s">
        <v>1211</v>
      </c>
      <c r="CM62" s="327" t="s">
        <v>1216</v>
      </c>
      <c r="CN62" s="329"/>
      <c r="CO62" s="323"/>
      <c r="CS62" s="335" t="str">
        <f t="shared" si="1"/>
        <v>L7X4X3/8</v>
      </c>
      <c r="CT62" s="338">
        <v>4</v>
      </c>
      <c r="CV62" s="344" t="str">
        <f t="shared" si="2"/>
        <v>WT7X141.5</v>
      </c>
      <c r="CW62" s="337">
        <v>41.6</v>
      </c>
      <c r="DE62" s="335" t="str">
        <f t="shared" si="5"/>
        <v>2L5X5X7/8</v>
      </c>
      <c r="DF62" s="337">
        <v>16</v>
      </c>
      <c r="DH62" s="397" t="s">
        <v>1304</v>
      </c>
      <c r="DI62" s="398">
        <v>71.099999999999994</v>
      </c>
      <c r="DJ62" s="398">
        <v>34.200000000000003</v>
      </c>
      <c r="DK62" s="399">
        <v>0.83</v>
      </c>
      <c r="DL62" s="407">
        <v>35.9</v>
      </c>
      <c r="DM62" s="400">
        <v>5.66</v>
      </c>
      <c r="DN62" s="408">
        <v>940</v>
      </c>
      <c r="DO62" s="409">
        <v>831</v>
      </c>
      <c r="DP62" s="119"/>
      <c r="DQ62" s="428" t="s">
        <v>1299</v>
      </c>
      <c r="DR62" s="429">
        <v>1020</v>
      </c>
      <c r="DS62" s="429">
        <v>11900</v>
      </c>
      <c r="DT62" s="430" t="s">
        <v>1492</v>
      </c>
      <c r="DU62" s="430">
        <v>33.200000000000003</v>
      </c>
      <c r="DV62" s="429">
        <v>22</v>
      </c>
      <c r="DW62" s="431">
        <f t="shared" si="10"/>
        <v>33.200000000000003</v>
      </c>
      <c r="DX62" s="432">
        <f t="shared" si="11"/>
        <v>199</v>
      </c>
      <c r="DZ62" s="447" t="s">
        <v>1269</v>
      </c>
      <c r="EA62" s="448">
        <v>354</v>
      </c>
      <c r="EB62" s="448">
        <v>104</v>
      </c>
      <c r="EC62" s="448">
        <v>35.6</v>
      </c>
      <c r="ED62" s="448" t="s">
        <v>1696</v>
      </c>
      <c r="EE62" s="448">
        <v>1.1599999999999999</v>
      </c>
      <c r="EF62" s="448" t="s">
        <v>1640</v>
      </c>
      <c r="EG62" s="449">
        <v>45054</v>
      </c>
      <c r="EH62" s="448">
        <v>16.100000000000001</v>
      </c>
      <c r="EI62" s="448" t="s">
        <v>1637</v>
      </c>
      <c r="EJ62" s="448">
        <v>2.09</v>
      </c>
      <c r="EK62" s="448" t="s">
        <v>1641</v>
      </c>
      <c r="EL62" s="448">
        <v>3.85</v>
      </c>
      <c r="EM62" s="448">
        <v>25.7</v>
      </c>
      <c r="EN62" s="448">
        <v>22000</v>
      </c>
      <c r="EO62" s="448">
        <v>1240</v>
      </c>
      <c r="EP62" s="448">
        <v>14.5</v>
      </c>
      <c r="EQ62" s="448">
        <v>1420</v>
      </c>
      <c r="ER62" s="448">
        <v>1460</v>
      </c>
      <c r="ES62" s="448">
        <v>181</v>
      </c>
      <c r="ET62" s="448">
        <v>3.74</v>
      </c>
      <c r="EU62" s="450">
        <v>282</v>
      </c>
    </row>
    <row r="63" spans="2:151" ht="14.4" thickBot="1">
      <c r="B63" s="78" t="s">
        <v>7</v>
      </c>
      <c r="C63" s="79" t="s">
        <v>68</v>
      </c>
      <c r="D63" s="80" t="s">
        <v>68</v>
      </c>
      <c r="E63" s="1" t="s">
        <v>4</v>
      </c>
      <c r="F63" s="4">
        <v>14.3</v>
      </c>
      <c r="G63" s="7">
        <v>4.22</v>
      </c>
      <c r="H63" s="3" t="str">
        <f t="shared" si="0"/>
        <v>L5X5X7/16</v>
      </c>
      <c r="I63" s="7">
        <v>5</v>
      </c>
      <c r="J63" s="5" t="s">
        <v>5</v>
      </c>
      <c r="K63" s="6" t="s">
        <v>5</v>
      </c>
      <c r="L63" s="6" t="s">
        <v>5</v>
      </c>
      <c r="M63" s="6" t="s">
        <v>5</v>
      </c>
      <c r="N63" s="6" t="s">
        <v>5</v>
      </c>
      <c r="O63" s="5" t="s">
        <v>5</v>
      </c>
      <c r="P63" s="5" t="s">
        <v>5</v>
      </c>
      <c r="Q63" s="7">
        <v>5</v>
      </c>
      <c r="R63" s="6" t="s">
        <v>5</v>
      </c>
      <c r="S63" s="6" t="s">
        <v>5</v>
      </c>
      <c r="T63" s="5" t="s">
        <v>5</v>
      </c>
      <c r="U63" s="8" t="s">
        <v>5</v>
      </c>
      <c r="V63" s="6" t="s">
        <v>5</v>
      </c>
      <c r="W63" s="8" t="s">
        <v>5</v>
      </c>
      <c r="X63" s="22">
        <v>0.438</v>
      </c>
      <c r="Y63" s="6" t="s">
        <v>5</v>
      </c>
      <c r="Z63" s="6" t="s">
        <v>5</v>
      </c>
      <c r="AA63" s="22">
        <v>0.93799999999999994</v>
      </c>
      <c r="AB63" s="8">
        <v>0.9375</v>
      </c>
      <c r="AC63" s="8" t="s">
        <v>5</v>
      </c>
      <c r="AD63" s="7">
        <v>1.4</v>
      </c>
      <c r="AE63" s="7">
        <v>1.4</v>
      </c>
      <c r="AF63" s="6" t="s">
        <v>5</v>
      </c>
      <c r="AG63" s="22">
        <v>0.42199999999999999</v>
      </c>
      <c r="AH63" s="22">
        <v>0.42199999999999999</v>
      </c>
      <c r="AI63" s="6" t="s">
        <v>5</v>
      </c>
      <c r="AJ63" s="4">
        <v>11.4</v>
      </c>
      <c r="AK63" s="6" t="s">
        <v>5</v>
      </c>
      <c r="AL63" s="6" t="s">
        <v>5</v>
      </c>
      <c r="AM63" s="6" t="s">
        <v>5</v>
      </c>
      <c r="AN63" s="6" t="s">
        <v>5</v>
      </c>
      <c r="AO63" s="4">
        <v>10</v>
      </c>
      <c r="AP63" s="7">
        <v>5</v>
      </c>
      <c r="AQ63" s="7">
        <v>2.78</v>
      </c>
      <c r="AR63" s="7">
        <v>1.54</v>
      </c>
      <c r="AS63" s="4">
        <v>10</v>
      </c>
      <c r="AT63" s="7">
        <v>5</v>
      </c>
      <c r="AU63" s="7">
        <v>2.78</v>
      </c>
      <c r="AV63" s="7">
        <v>1.54</v>
      </c>
      <c r="AW63" s="6">
        <v>4.04</v>
      </c>
      <c r="AX63" s="22">
        <v>0.98299999999999998</v>
      </c>
      <c r="AY63" s="12">
        <v>2.04</v>
      </c>
      <c r="AZ63" s="22">
        <v>0.28399999999999997</v>
      </c>
      <c r="BA63" s="22">
        <v>0.50800000000000001</v>
      </c>
      <c r="BB63" s="6" t="s">
        <v>5</v>
      </c>
      <c r="BC63" s="6" t="s">
        <v>5</v>
      </c>
      <c r="BD63" s="6" t="s">
        <v>5</v>
      </c>
      <c r="BE63" s="6" t="s">
        <v>5</v>
      </c>
      <c r="BF63" s="6" t="s">
        <v>5</v>
      </c>
      <c r="BG63" s="6" t="s">
        <v>5</v>
      </c>
      <c r="BH63" s="6" t="s">
        <v>5</v>
      </c>
      <c r="BI63" s="7">
        <v>2.74</v>
      </c>
      <c r="BJ63" s="23">
        <v>0.63</v>
      </c>
      <c r="BK63" s="24">
        <v>1</v>
      </c>
      <c r="BL63" s="6">
        <v>15.9</v>
      </c>
      <c r="BM63" s="7">
        <v>3.38</v>
      </c>
      <c r="BN63" s="2">
        <v>0</v>
      </c>
      <c r="BO63" s="7">
        <v>3.38</v>
      </c>
      <c r="BP63" s="7">
        <v>1.71</v>
      </c>
      <c r="BQ63" s="6">
        <v>1.98</v>
      </c>
      <c r="BR63" s="7">
        <v>1.71</v>
      </c>
      <c r="BS63" s="26">
        <v>4.7</v>
      </c>
      <c r="BT63" s="16" t="s">
        <v>5</v>
      </c>
      <c r="BU63" s="26">
        <v>4.7</v>
      </c>
      <c r="BV63" s="16">
        <v>2.36</v>
      </c>
      <c r="BW63" s="16">
        <v>2.04</v>
      </c>
      <c r="BX63" s="16">
        <v>2.36</v>
      </c>
      <c r="BY63" s="25" t="s">
        <v>5</v>
      </c>
      <c r="BZ63" s="25" t="s">
        <v>5</v>
      </c>
      <c r="CA63" s="4">
        <v>15</v>
      </c>
      <c r="CB63" s="4">
        <v>15</v>
      </c>
      <c r="CC63" s="4">
        <v>20</v>
      </c>
      <c r="CD63" s="25" t="s">
        <v>5</v>
      </c>
      <c r="CE63" s="25" t="s">
        <v>5</v>
      </c>
      <c r="CF63" s="16" t="s">
        <v>5</v>
      </c>
      <c r="CG63" s="16" t="s">
        <v>5</v>
      </c>
      <c r="CH63" s="18" t="s">
        <v>5</v>
      </c>
      <c r="CL63" s="320" t="s">
        <v>1212</v>
      </c>
      <c r="CM63" s="330" t="s">
        <v>1216</v>
      </c>
      <c r="CN63" s="331"/>
      <c r="CO63" s="324"/>
      <c r="CS63" s="335" t="str">
        <f t="shared" si="1"/>
        <v>L7X4X3/8</v>
      </c>
      <c r="CT63" s="338">
        <v>4</v>
      </c>
      <c r="CV63" s="344" t="str">
        <f t="shared" si="2"/>
        <v>WT18X141</v>
      </c>
      <c r="CW63" s="337">
        <v>41.5</v>
      </c>
      <c r="DE63" s="335" t="str">
        <f t="shared" si="5"/>
        <v>2L8X8X1/2</v>
      </c>
      <c r="DF63" s="337">
        <v>15.7</v>
      </c>
      <c r="DH63" s="397" t="s">
        <v>1312</v>
      </c>
      <c r="DI63" s="398">
        <v>65.3</v>
      </c>
      <c r="DJ63" s="398">
        <v>33.9</v>
      </c>
      <c r="DK63" s="399">
        <v>0.77500000000000002</v>
      </c>
      <c r="DL63" s="407">
        <v>38.5</v>
      </c>
      <c r="DM63" s="400">
        <v>6.2</v>
      </c>
      <c r="DN63" s="408">
        <v>857</v>
      </c>
      <c r="DO63" s="409">
        <v>759</v>
      </c>
      <c r="DP63" s="119"/>
      <c r="DQ63" s="428" t="s">
        <v>1300</v>
      </c>
      <c r="DR63" s="429">
        <v>1010</v>
      </c>
      <c r="DS63" s="429">
        <v>17400</v>
      </c>
      <c r="DT63" s="430" t="s">
        <v>1495</v>
      </c>
      <c r="DU63" s="430">
        <v>29.3</v>
      </c>
      <c r="DV63" s="429">
        <v>22</v>
      </c>
      <c r="DW63" s="431">
        <f t="shared" si="10"/>
        <v>29.3</v>
      </c>
      <c r="DX63" s="432">
        <f t="shared" si="11"/>
        <v>156</v>
      </c>
      <c r="DZ63" s="447" t="s">
        <v>1279</v>
      </c>
      <c r="EA63" s="448">
        <v>318</v>
      </c>
      <c r="EB63" s="448">
        <v>93.7</v>
      </c>
      <c r="EC63" s="448">
        <v>35.200000000000003</v>
      </c>
      <c r="ED63" s="448" t="s">
        <v>1698</v>
      </c>
      <c r="EE63" s="448">
        <v>1.04</v>
      </c>
      <c r="EF63" s="448" t="s">
        <v>1650</v>
      </c>
      <c r="EG63" s="449">
        <v>45185</v>
      </c>
      <c r="EH63" s="448">
        <v>16</v>
      </c>
      <c r="EI63" s="448">
        <v>16</v>
      </c>
      <c r="EJ63" s="448">
        <v>1.89</v>
      </c>
      <c r="EK63" s="448" t="s">
        <v>1683</v>
      </c>
      <c r="EL63" s="448">
        <v>4.2300000000000004</v>
      </c>
      <c r="EM63" s="448">
        <v>28.7</v>
      </c>
      <c r="EN63" s="448">
        <v>19500</v>
      </c>
      <c r="EO63" s="448">
        <v>1110</v>
      </c>
      <c r="EP63" s="448">
        <v>14.5</v>
      </c>
      <c r="EQ63" s="448">
        <v>1270</v>
      </c>
      <c r="ER63" s="448">
        <v>1290</v>
      </c>
      <c r="ES63" s="448">
        <v>161</v>
      </c>
      <c r="ET63" s="448">
        <v>3.71</v>
      </c>
      <c r="EU63" s="450">
        <v>250</v>
      </c>
    </row>
    <row r="64" spans="2:151">
      <c r="B64" s="78" t="s">
        <v>7</v>
      </c>
      <c r="C64" s="79" t="s">
        <v>69</v>
      </c>
      <c r="D64" s="80" t="s">
        <v>69</v>
      </c>
      <c r="E64" s="1" t="s">
        <v>4</v>
      </c>
      <c r="F64" s="4">
        <v>12.3</v>
      </c>
      <c r="G64" s="7">
        <v>3.65</v>
      </c>
      <c r="H64" s="3" t="str">
        <f t="shared" si="0"/>
        <v>L5X5X3/8</v>
      </c>
      <c r="I64" s="7">
        <v>5</v>
      </c>
      <c r="J64" s="5" t="s">
        <v>5</v>
      </c>
      <c r="K64" s="6" t="s">
        <v>5</v>
      </c>
      <c r="L64" s="6" t="s">
        <v>5</v>
      </c>
      <c r="M64" s="6" t="s">
        <v>5</v>
      </c>
      <c r="N64" s="6" t="s">
        <v>5</v>
      </c>
      <c r="O64" s="5" t="s">
        <v>5</v>
      </c>
      <c r="P64" s="5" t="s">
        <v>5</v>
      </c>
      <c r="Q64" s="7">
        <v>5</v>
      </c>
      <c r="R64" s="6" t="s">
        <v>5</v>
      </c>
      <c r="S64" s="6" t="s">
        <v>5</v>
      </c>
      <c r="T64" s="5" t="s">
        <v>5</v>
      </c>
      <c r="U64" s="8" t="s">
        <v>5</v>
      </c>
      <c r="V64" s="6" t="s">
        <v>5</v>
      </c>
      <c r="W64" s="8" t="s">
        <v>5</v>
      </c>
      <c r="X64" s="22">
        <v>0.375</v>
      </c>
      <c r="Y64" s="6" t="s">
        <v>5</v>
      </c>
      <c r="Z64" s="6" t="s">
        <v>5</v>
      </c>
      <c r="AA64" s="22">
        <v>0.875</v>
      </c>
      <c r="AB64" s="8">
        <v>0.875</v>
      </c>
      <c r="AC64" s="8" t="s">
        <v>5</v>
      </c>
      <c r="AD64" s="7">
        <v>1.37</v>
      </c>
      <c r="AE64" s="7">
        <v>1.37</v>
      </c>
      <c r="AF64" s="6" t="s">
        <v>5</v>
      </c>
      <c r="AG64" s="22">
        <v>0.36499999999999999</v>
      </c>
      <c r="AH64" s="22">
        <v>0.36499999999999999</v>
      </c>
      <c r="AI64" s="6" t="s">
        <v>5</v>
      </c>
      <c r="AJ64" s="4">
        <v>13.3</v>
      </c>
      <c r="AK64" s="6" t="s">
        <v>5</v>
      </c>
      <c r="AL64" s="6" t="s">
        <v>5</v>
      </c>
      <c r="AM64" s="6" t="s">
        <v>5</v>
      </c>
      <c r="AN64" s="6" t="s">
        <v>5</v>
      </c>
      <c r="AO64" s="7">
        <v>8.76</v>
      </c>
      <c r="AP64" s="7">
        <v>4.33</v>
      </c>
      <c r="AQ64" s="7">
        <v>2.41</v>
      </c>
      <c r="AR64" s="7">
        <v>1.55</v>
      </c>
      <c r="AS64" s="7">
        <v>8.76</v>
      </c>
      <c r="AT64" s="7">
        <v>4.33</v>
      </c>
      <c r="AU64" s="7">
        <v>2.41</v>
      </c>
      <c r="AV64" s="7">
        <v>1.55</v>
      </c>
      <c r="AW64" s="6">
        <v>3.55</v>
      </c>
      <c r="AX64" s="22">
        <v>0.98599999999999999</v>
      </c>
      <c r="AY64" s="12">
        <v>1.83</v>
      </c>
      <c r="AZ64" s="22">
        <v>0.183</v>
      </c>
      <c r="BA64" s="22">
        <v>0.32700000000000001</v>
      </c>
      <c r="BB64" s="6" t="s">
        <v>5</v>
      </c>
      <c r="BC64" s="6" t="s">
        <v>5</v>
      </c>
      <c r="BD64" s="6" t="s">
        <v>5</v>
      </c>
      <c r="BE64" s="6" t="s">
        <v>5</v>
      </c>
      <c r="BF64" s="6" t="s">
        <v>5</v>
      </c>
      <c r="BG64" s="6" t="s">
        <v>5</v>
      </c>
      <c r="BH64" s="6" t="s">
        <v>5</v>
      </c>
      <c r="BI64" s="7">
        <v>2.76</v>
      </c>
      <c r="BJ64" s="23">
        <v>0.63</v>
      </c>
      <c r="BK64" s="24">
        <v>1</v>
      </c>
      <c r="BL64" s="4">
        <v>14</v>
      </c>
      <c r="BM64" s="7">
        <v>3.4</v>
      </c>
      <c r="BN64" s="2">
        <v>0</v>
      </c>
      <c r="BO64" s="7">
        <v>3.4</v>
      </c>
      <c r="BP64" s="7">
        <v>1.73</v>
      </c>
      <c r="BQ64" s="6">
        <v>1.94</v>
      </c>
      <c r="BR64" s="7">
        <v>1.73</v>
      </c>
      <c r="BS64" s="16">
        <v>4.12</v>
      </c>
      <c r="BT64" s="16" t="s">
        <v>5</v>
      </c>
      <c r="BU64" s="16">
        <v>4.12</v>
      </c>
      <c r="BV64" s="16">
        <v>2.0499999999999998</v>
      </c>
      <c r="BW64" s="16">
        <v>1.83</v>
      </c>
      <c r="BX64" s="16">
        <v>2.0499999999999998</v>
      </c>
      <c r="BY64" s="25" t="s">
        <v>5</v>
      </c>
      <c r="BZ64" s="25" t="s">
        <v>5</v>
      </c>
      <c r="CA64" s="4">
        <v>15</v>
      </c>
      <c r="CB64" s="4">
        <v>15</v>
      </c>
      <c r="CC64" s="4">
        <v>20</v>
      </c>
      <c r="CD64" s="25" t="s">
        <v>5</v>
      </c>
      <c r="CE64" s="25" t="s">
        <v>5</v>
      </c>
      <c r="CF64" s="16" t="s">
        <v>5</v>
      </c>
      <c r="CG64" s="16" t="s">
        <v>5</v>
      </c>
      <c r="CH64" s="18" t="s">
        <v>5</v>
      </c>
      <c r="CS64" s="335" t="str">
        <f t="shared" si="1"/>
        <v>L4X3X5/8</v>
      </c>
      <c r="CT64" s="338">
        <v>3.99</v>
      </c>
      <c r="CV64" s="344" t="str">
        <f t="shared" si="2"/>
        <v>WT18X141</v>
      </c>
      <c r="CW64" s="337">
        <v>41.5</v>
      </c>
      <c r="DE64" s="335" t="str">
        <f t="shared" si="5"/>
        <v>2L8X8X1/2</v>
      </c>
      <c r="DF64" s="337">
        <v>15.7</v>
      </c>
      <c r="DH64" s="397" t="s">
        <v>1319</v>
      </c>
      <c r="DI64" s="398">
        <v>59.1</v>
      </c>
      <c r="DJ64" s="398">
        <v>33.700000000000003</v>
      </c>
      <c r="DK64" s="399">
        <v>0.71499999999999997</v>
      </c>
      <c r="DL64" s="407">
        <v>41.7</v>
      </c>
      <c r="DM64" s="400">
        <v>6.85</v>
      </c>
      <c r="DN64" s="408">
        <v>773</v>
      </c>
      <c r="DO64" s="409">
        <v>686</v>
      </c>
      <c r="DP64" s="119"/>
      <c r="DQ64" s="428" t="s">
        <v>1301</v>
      </c>
      <c r="DR64" s="429">
        <v>964</v>
      </c>
      <c r="DS64" s="429">
        <v>16700</v>
      </c>
      <c r="DT64" s="430" t="s">
        <v>1497</v>
      </c>
      <c r="DU64" s="430">
        <v>26</v>
      </c>
      <c r="DV64" s="429">
        <v>22</v>
      </c>
      <c r="DW64" s="431">
        <f t="shared" si="10"/>
        <v>26</v>
      </c>
      <c r="DX64" s="432">
        <f t="shared" si="11"/>
        <v>118</v>
      </c>
      <c r="DZ64" s="447" t="s">
        <v>1286</v>
      </c>
      <c r="EA64" s="448">
        <v>291</v>
      </c>
      <c r="EB64" s="448">
        <v>85.6</v>
      </c>
      <c r="EC64" s="448">
        <v>34.799999999999997</v>
      </c>
      <c r="ED64" s="448" t="s">
        <v>1699</v>
      </c>
      <c r="EE64" s="448">
        <v>0.96</v>
      </c>
      <c r="EF64" s="448" t="s">
        <v>1628</v>
      </c>
      <c r="EG64" s="449">
        <v>44928</v>
      </c>
      <c r="EH64" s="448">
        <v>15.9</v>
      </c>
      <c r="EI64" s="448" t="s">
        <v>1617</v>
      </c>
      <c r="EJ64" s="448">
        <v>1.73</v>
      </c>
      <c r="EK64" s="448" t="s">
        <v>1615</v>
      </c>
      <c r="EL64" s="448">
        <v>4.5999999999999996</v>
      </c>
      <c r="EM64" s="448">
        <v>31</v>
      </c>
      <c r="EN64" s="448">
        <v>17700</v>
      </c>
      <c r="EO64" s="448">
        <v>1020</v>
      </c>
      <c r="EP64" s="448">
        <v>14.4</v>
      </c>
      <c r="EQ64" s="448">
        <v>1160</v>
      </c>
      <c r="ER64" s="448">
        <v>1160</v>
      </c>
      <c r="ES64" s="448">
        <v>146</v>
      </c>
      <c r="ET64" s="448">
        <v>3.68</v>
      </c>
      <c r="EU64" s="450">
        <v>226</v>
      </c>
    </row>
    <row r="65" spans="2:151" ht="14.4" thickBot="1">
      <c r="B65" s="78" t="s">
        <v>7</v>
      </c>
      <c r="C65" s="79" t="s">
        <v>70</v>
      </c>
      <c r="D65" s="80" t="s">
        <v>70</v>
      </c>
      <c r="E65" s="1" t="s">
        <v>4</v>
      </c>
      <c r="F65" s="4">
        <v>10.3</v>
      </c>
      <c r="G65" s="7">
        <v>3.07</v>
      </c>
      <c r="H65" s="3" t="str">
        <f t="shared" si="0"/>
        <v>L5X5X5/16</v>
      </c>
      <c r="I65" s="7">
        <v>5</v>
      </c>
      <c r="J65" s="5" t="s">
        <v>5</v>
      </c>
      <c r="K65" s="6" t="s">
        <v>5</v>
      </c>
      <c r="L65" s="6" t="s">
        <v>5</v>
      </c>
      <c r="M65" s="6" t="s">
        <v>5</v>
      </c>
      <c r="N65" s="6" t="s">
        <v>5</v>
      </c>
      <c r="O65" s="5" t="s">
        <v>5</v>
      </c>
      <c r="P65" s="5" t="s">
        <v>5</v>
      </c>
      <c r="Q65" s="7">
        <v>5</v>
      </c>
      <c r="R65" s="6" t="s">
        <v>5</v>
      </c>
      <c r="S65" s="6" t="s">
        <v>5</v>
      </c>
      <c r="T65" s="5" t="s">
        <v>5</v>
      </c>
      <c r="U65" s="8" t="s">
        <v>5</v>
      </c>
      <c r="V65" s="6" t="s">
        <v>5</v>
      </c>
      <c r="W65" s="8" t="s">
        <v>5</v>
      </c>
      <c r="X65" s="22">
        <v>0.313</v>
      </c>
      <c r="Y65" s="6" t="s">
        <v>5</v>
      </c>
      <c r="Z65" s="6" t="s">
        <v>5</v>
      </c>
      <c r="AA65" s="22">
        <v>0.81299999999999994</v>
      </c>
      <c r="AB65" s="8">
        <v>0.8125</v>
      </c>
      <c r="AC65" s="8" t="s">
        <v>5</v>
      </c>
      <c r="AD65" s="7">
        <v>1.35</v>
      </c>
      <c r="AE65" s="7">
        <v>1.35</v>
      </c>
      <c r="AF65" s="6" t="s">
        <v>5</v>
      </c>
      <c r="AG65" s="22">
        <v>0.307</v>
      </c>
      <c r="AH65" s="22">
        <v>0.307</v>
      </c>
      <c r="AI65" s="6" t="s">
        <v>5</v>
      </c>
      <c r="AJ65" s="4">
        <v>16</v>
      </c>
      <c r="AK65" s="6" t="s">
        <v>5</v>
      </c>
      <c r="AL65" s="6" t="s">
        <v>5</v>
      </c>
      <c r="AM65" s="6" t="s">
        <v>5</v>
      </c>
      <c r="AN65" s="6" t="s">
        <v>5</v>
      </c>
      <c r="AO65" s="7">
        <v>7.44</v>
      </c>
      <c r="AP65" s="7">
        <v>3.65</v>
      </c>
      <c r="AQ65" s="7">
        <v>2.04</v>
      </c>
      <c r="AR65" s="7">
        <v>1.56</v>
      </c>
      <c r="AS65" s="7">
        <v>7.44</v>
      </c>
      <c r="AT65" s="7">
        <v>3.65</v>
      </c>
      <c r="AU65" s="7">
        <v>2.04</v>
      </c>
      <c r="AV65" s="7">
        <v>1.56</v>
      </c>
      <c r="AW65" s="7">
        <v>3</v>
      </c>
      <c r="AX65" s="22">
        <v>0.99</v>
      </c>
      <c r="AY65" s="12">
        <v>1.57</v>
      </c>
      <c r="AZ65" s="22">
        <v>0.108</v>
      </c>
      <c r="BA65" s="22">
        <v>0.193</v>
      </c>
      <c r="BB65" s="6" t="s">
        <v>5</v>
      </c>
      <c r="BC65" s="6" t="s">
        <v>5</v>
      </c>
      <c r="BD65" s="6" t="s">
        <v>5</v>
      </c>
      <c r="BE65" s="6" t="s">
        <v>5</v>
      </c>
      <c r="BF65" s="6" t="s">
        <v>5</v>
      </c>
      <c r="BG65" s="6" t="s">
        <v>5</v>
      </c>
      <c r="BH65" s="6" t="s">
        <v>5</v>
      </c>
      <c r="BI65" s="7">
        <v>2.77</v>
      </c>
      <c r="BJ65" s="23">
        <v>0.63</v>
      </c>
      <c r="BK65" s="24">
        <v>1</v>
      </c>
      <c r="BL65" s="6">
        <v>11.9</v>
      </c>
      <c r="BM65" s="7">
        <v>3.42</v>
      </c>
      <c r="BN65" s="2">
        <v>0</v>
      </c>
      <c r="BO65" s="7">
        <v>3.42</v>
      </c>
      <c r="BP65" s="7">
        <v>1.74</v>
      </c>
      <c r="BQ65" s="6">
        <v>1.91</v>
      </c>
      <c r="BR65" s="7">
        <v>1.74</v>
      </c>
      <c r="BS65" s="16">
        <v>3.48</v>
      </c>
      <c r="BT65" s="16" t="s">
        <v>5</v>
      </c>
      <c r="BU65" s="16">
        <v>3.48</v>
      </c>
      <c r="BV65" s="16">
        <v>1.72</v>
      </c>
      <c r="BW65" s="16">
        <v>1.57</v>
      </c>
      <c r="BX65" s="16">
        <v>1.72</v>
      </c>
      <c r="BY65" s="25" t="s">
        <v>5</v>
      </c>
      <c r="BZ65" s="25" t="s">
        <v>5</v>
      </c>
      <c r="CA65" s="4">
        <v>15</v>
      </c>
      <c r="CB65" s="4">
        <v>15</v>
      </c>
      <c r="CC65" s="4">
        <v>20</v>
      </c>
      <c r="CD65" s="25" t="s">
        <v>5</v>
      </c>
      <c r="CE65" s="25" t="s">
        <v>5</v>
      </c>
      <c r="CF65" s="16" t="s">
        <v>5</v>
      </c>
      <c r="CG65" s="16" t="s">
        <v>5</v>
      </c>
      <c r="CH65" s="18" t="s">
        <v>5</v>
      </c>
      <c r="CS65" s="335" t="str">
        <f t="shared" si="1"/>
        <v>L5X3X1/2</v>
      </c>
      <c r="CT65" s="338">
        <v>3.75</v>
      </c>
      <c r="CV65" s="344" t="str">
        <f t="shared" si="2"/>
        <v>WT20X139</v>
      </c>
      <c r="CW65" s="337">
        <v>41</v>
      </c>
      <c r="DE65" s="335" t="str">
        <f t="shared" si="5"/>
        <v>2L8X8X1/2</v>
      </c>
      <c r="DF65" s="337">
        <v>15.7</v>
      </c>
      <c r="DH65" s="397" t="s">
        <v>1337</v>
      </c>
      <c r="DI65" s="398">
        <v>49.5</v>
      </c>
      <c r="DJ65" s="398">
        <v>33.799999999999997</v>
      </c>
      <c r="DK65" s="399">
        <v>0.67</v>
      </c>
      <c r="DL65" s="407">
        <v>44.7</v>
      </c>
      <c r="DM65" s="400">
        <v>4.71</v>
      </c>
      <c r="DN65" s="408">
        <v>629</v>
      </c>
      <c r="DO65" s="409">
        <v>549</v>
      </c>
      <c r="DP65" s="119"/>
      <c r="DQ65" s="428" t="s">
        <v>1302</v>
      </c>
      <c r="DR65" s="429">
        <v>963</v>
      </c>
      <c r="DS65" s="429">
        <v>15600</v>
      </c>
      <c r="DT65" s="430" t="s">
        <v>1498</v>
      </c>
      <c r="DU65" s="430">
        <v>24.7</v>
      </c>
      <c r="DV65" s="429">
        <v>19</v>
      </c>
      <c r="DW65" s="431">
        <f t="shared" si="10"/>
        <v>24.7</v>
      </c>
      <c r="DX65" s="432">
        <f t="shared" si="11"/>
        <v>130</v>
      </c>
      <c r="DZ65" s="447" t="s">
        <v>1296</v>
      </c>
      <c r="EA65" s="448">
        <v>263</v>
      </c>
      <c r="EB65" s="448">
        <v>77.400000000000006</v>
      </c>
      <c r="EC65" s="448">
        <v>34.5</v>
      </c>
      <c r="ED65" s="448" t="s">
        <v>1700</v>
      </c>
      <c r="EE65" s="448">
        <v>0.87</v>
      </c>
      <c r="EF65" s="449">
        <v>45115</v>
      </c>
      <c r="EG65" s="449">
        <v>45123</v>
      </c>
      <c r="EH65" s="448">
        <v>15.8</v>
      </c>
      <c r="EI65" s="448" t="s">
        <v>1621</v>
      </c>
      <c r="EJ65" s="448">
        <v>1.57</v>
      </c>
      <c r="EK65" s="448" t="s">
        <v>1618</v>
      </c>
      <c r="EL65" s="448">
        <v>5.03</v>
      </c>
      <c r="EM65" s="448">
        <v>34.299999999999997</v>
      </c>
      <c r="EN65" s="448">
        <v>15900</v>
      </c>
      <c r="EO65" s="448">
        <v>919</v>
      </c>
      <c r="EP65" s="448">
        <v>14.3</v>
      </c>
      <c r="EQ65" s="448">
        <v>1040</v>
      </c>
      <c r="ER65" s="448">
        <v>1040</v>
      </c>
      <c r="ES65" s="448">
        <v>131</v>
      </c>
      <c r="ET65" s="448">
        <v>3.66</v>
      </c>
      <c r="EU65" s="450">
        <v>202</v>
      </c>
    </row>
    <row r="66" spans="2:151" ht="21" thickBot="1">
      <c r="B66" s="78" t="s">
        <v>7</v>
      </c>
      <c r="C66" s="79" t="s">
        <v>71</v>
      </c>
      <c r="D66" s="80" t="s">
        <v>71</v>
      </c>
      <c r="E66" s="1" t="s">
        <v>4</v>
      </c>
      <c r="F66" s="4">
        <v>19.8</v>
      </c>
      <c r="G66" s="7">
        <v>5.85</v>
      </c>
      <c r="H66" s="3" t="str">
        <f t="shared" si="0"/>
        <v>L5X3-1/2X3/4</v>
      </c>
      <c r="I66" s="7">
        <v>3.5</v>
      </c>
      <c r="J66" s="5" t="s">
        <v>5</v>
      </c>
      <c r="K66" s="6" t="s">
        <v>5</v>
      </c>
      <c r="L66" s="6" t="s">
        <v>5</v>
      </c>
      <c r="M66" s="6" t="s">
        <v>5</v>
      </c>
      <c r="N66" s="6" t="s">
        <v>5</v>
      </c>
      <c r="O66" s="5" t="s">
        <v>5</v>
      </c>
      <c r="P66" s="5" t="s">
        <v>5</v>
      </c>
      <c r="Q66" s="7">
        <v>5</v>
      </c>
      <c r="R66" s="6" t="s">
        <v>5</v>
      </c>
      <c r="S66" s="6" t="s">
        <v>5</v>
      </c>
      <c r="T66" s="5" t="s">
        <v>5</v>
      </c>
      <c r="U66" s="8" t="s">
        <v>5</v>
      </c>
      <c r="V66" s="6" t="s">
        <v>5</v>
      </c>
      <c r="W66" s="8" t="s">
        <v>5</v>
      </c>
      <c r="X66" s="22">
        <v>0.75</v>
      </c>
      <c r="Y66" s="6" t="s">
        <v>5</v>
      </c>
      <c r="Z66" s="6" t="s">
        <v>5</v>
      </c>
      <c r="AA66" s="7">
        <v>1.19</v>
      </c>
      <c r="AB66" s="8">
        <v>1.1875</v>
      </c>
      <c r="AC66" s="8" t="s">
        <v>5</v>
      </c>
      <c r="AD66" s="22">
        <v>0.99299999999999999</v>
      </c>
      <c r="AE66" s="7">
        <v>1.74</v>
      </c>
      <c r="AF66" s="6" t="s">
        <v>5</v>
      </c>
      <c r="AG66" s="22">
        <v>0.58499999999999996</v>
      </c>
      <c r="AH66" s="7">
        <v>1.1000000000000001</v>
      </c>
      <c r="AI66" s="6" t="s">
        <v>5</v>
      </c>
      <c r="AJ66" s="7">
        <v>6.67</v>
      </c>
      <c r="AK66" s="6" t="s">
        <v>5</v>
      </c>
      <c r="AL66" s="6" t="s">
        <v>5</v>
      </c>
      <c r="AM66" s="6" t="s">
        <v>5</v>
      </c>
      <c r="AN66" s="6" t="s">
        <v>5</v>
      </c>
      <c r="AO66" s="4">
        <v>13.9</v>
      </c>
      <c r="AP66" s="7">
        <v>7.6</v>
      </c>
      <c r="AQ66" s="7">
        <v>4.26</v>
      </c>
      <c r="AR66" s="7">
        <v>1.55</v>
      </c>
      <c r="AS66" s="7">
        <v>5.52</v>
      </c>
      <c r="AT66" s="7">
        <v>4.07</v>
      </c>
      <c r="AU66" s="7">
        <v>2.2000000000000002</v>
      </c>
      <c r="AV66" s="22">
        <v>0.97399999999999998</v>
      </c>
      <c r="AW66" s="6">
        <v>3.23</v>
      </c>
      <c r="AX66" s="22">
        <v>0.74399999999999999</v>
      </c>
      <c r="AY66" s="27">
        <v>1.9</v>
      </c>
      <c r="AZ66" s="7">
        <v>1.0900000000000001</v>
      </c>
      <c r="BA66" s="7">
        <v>1.52</v>
      </c>
      <c r="BB66" s="6" t="s">
        <v>5</v>
      </c>
      <c r="BC66" s="6" t="s">
        <v>5</v>
      </c>
      <c r="BD66" s="6" t="s">
        <v>5</v>
      </c>
      <c r="BE66" s="6" t="s">
        <v>5</v>
      </c>
      <c r="BF66" s="6" t="s">
        <v>5</v>
      </c>
      <c r="BG66" s="6" t="s">
        <v>5</v>
      </c>
      <c r="BH66" s="6" t="s">
        <v>5</v>
      </c>
      <c r="BI66" s="7">
        <v>2.36</v>
      </c>
      <c r="BJ66" s="24" t="s">
        <v>5</v>
      </c>
      <c r="BK66" s="23">
        <v>0.46400000000000002</v>
      </c>
      <c r="BL66" s="6">
        <v>16.2</v>
      </c>
      <c r="BM66" s="7">
        <v>2.29</v>
      </c>
      <c r="BN66" s="7">
        <v>1.1599999999999999</v>
      </c>
      <c r="BO66" s="7">
        <v>3.22</v>
      </c>
      <c r="BP66" s="7">
        <v>1.7</v>
      </c>
      <c r="BQ66" s="6">
        <v>1.63</v>
      </c>
      <c r="BR66" s="22">
        <v>0.81</v>
      </c>
      <c r="BS66" s="16">
        <v>7.07</v>
      </c>
      <c r="BT66" s="17">
        <v>14</v>
      </c>
      <c r="BU66" s="16">
        <v>5.03</v>
      </c>
      <c r="BV66" s="26">
        <v>1.9</v>
      </c>
      <c r="BW66" s="16">
        <v>1.98</v>
      </c>
      <c r="BX66" s="16">
        <v>3.99</v>
      </c>
      <c r="BY66" s="25" t="s">
        <v>5</v>
      </c>
      <c r="BZ66" s="25" t="s">
        <v>5</v>
      </c>
      <c r="CA66" s="4">
        <v>13.5</v>
      </c>
      <c r="CB66" s="4">
        <v>12</v>
      </c>
      <c r="CC66" s="4">
        <v>17</v>
      </c>
      <c r="CD66" s="25" t="s">
        <v>5</v>
      </c>
      <c r="CE66" s="25" t="s">
        <v>5</v>
      </c>
      <c r="CF66" s="16" t="s">
        <v>5</v>
      </c>
      <c r="CG66" s="16" t="s">
        <v>5</v>
      </c>
      <c r="CH66" s="18" t="s">
        <v>5</v>
      </c>
      <c r="CL66" s="508" t="s">
        <v>1226</v>
      </c>
      <c r="CM66" s="509"/>
      <c r="CN66" s="509"/>
      <c r="CO66" s="509"/>
      <c r="CP66" s="509"/>
      <c r="CQ66" s="510"/>
      <c r="CS66" s="335" t="str">
        <f t="shared" si="1"/>
        <v>L5X3X1/2</v>
      </c>
      <c r="CT66" s="338">
        <v>3.75</v>
      </c>
      <c r="CV66" s="344" t="str">
        <f t="shared" si="2"/>
        <v>WT20X139</v>
      </c>
      <c r="CW66" s="337">
        <v>41</v>
      </c>
      <c r="DE66" s="335" t="str">
        <f t="shared" si="5"/>
        <v>2L6X6X5/8</v>
      </c>
      <c r="DF66" s="337">
        <v>14.3</v>
      </c>
      <c r="DH66" s="397" t="s">
        <v>1348</v>
      </c>
      <c r="DI66" s="398">
        <v>44.9</v>
      </c>
      <c r="DJ66" s="398">
        <v>33.5</v>
      </c>
      <c r="DK66" s="399">
        <v>0.63500000000000001</v>
      </c>
      <c r="DL66" s="407">
        <v>47.2</v>
      </c>
      <c r="DM66" s="400">
        <v>5.48</v>
      </c>
      <c r="DN66" s="408">
        <v>559</v>
      </c>
      <c r="DO66" s="409">
        <v>487</v>
      </c>
      <c r="DP66" s="119"/>
      <c r="DQ66" s="428" t="s">
        <v>1303</v>
      </c>
      <c r="DR66" s="429">
        <v>943</v>
      </c>
      <c r="DS66" s="429">
        <v>13100</v>
      </c>
      <c r="DT66" s="430" t="s">
        <v>1500</v>
      </c>
      <c r="DU66" s="430">
        <v>21.6</v>
      </c>
      <c r="DV66" s="429">
        <v>19</v>
      </c>
      <c r="DW66" s="431">
        <f t="shared" si="10"/>
        <v>21.6</v>
      </c>
      <c r="DX66" s="432">
        <f t="shared" si="11"/>
        <v>96.3</v>
      </c>
      <c r="DZ66" s="447" t="s">
        <v>1304</v>
      </c>
      <c r="EA66" s="448">
        <v>241</v>
      </c>
      <c r="EB66" s="448">
        <v>71.099999999999994</v>
      </c>
      <c r="EC66" s="448">
        <v>34.200000000000003</v>
      </c>
      <c r="ED66" s="448" t="s">
        <v>1701</v>
      </c>
      <c r="EE66" s="448">
        <v>0.83</v>
      </c>
      <c r="EF66" s="448" t="s">
        <v>1620</v>
      </c>
      <c r="EG66" s="449">
        <v>45123</v>
      </c>
      <c r="EH66" s="448">
        <v>15.9</v>
      </c>
      <c r="EI66" s="448" t="s">
        <v>1617</v>
      </c>
      <c r="EJ66" s="448">
        <v>1.4</v>
      </c>
      <c r="EK66" s="448" t="s">
        <v>1678</v>
      </c>
      <c r="EL66" s="448">
        <v>5.66</v>
      </c>
      <c r="EM66" s="448">
        <v>35.9</v>
      </c>
      <c r="EN66" s="448">
        <v>14200</v>
      </c>
      <c r="EO66" s="448">
        <v>831</v>
      </c>
      <c r="EP66" s="448">
        <v>14.1</v>
      </c>
      <c r="EQ66" s="448">
        <v>940</v>
      </c>
      <c r="ER66" s="448">
        <v>933</v>
      </c>
      <c r="ES66" s="448">
        <v>118</v>
      </c>
      <c r="ET66" s="448">
        <v>3.62</v>
      </c>
      <c r="EU66" s="450">
        <v>182</v>
      </c>
    </row>
    <row r="67" spans="2:151" ht="15.6" thickBot="1">
      <c r="B67" s="78" t="s">
        <v>7</v>
      </c>
      <c r="C67" s="79" t="s">
        <v>72</v>
      </c>
      <c r="D67" s="80" t="s">
        <v>72</v>
      </c>
      <c r="E67" s="1" t="s">
        <v>4</v>
      </c>
      <c r="F67" s="4">
        <v>16.8</v>
      </c>
      <c r="G67" s="7">
        <v>4.93</v>
      </c>
      <c r="H67" s="3" t="str">
        <f t="shared" si="0"/>
        <v>L5X3-1/2X5/8</v>
      </c>
      <c r="I67" s="7">
        <v>3.5</v>
      </c>
      <c r="J67" s="5" t="s">
        <v>5</v>
      </c>
      <c r="K67" s="6" t="s">
        <v>5</v>
      </c>
      <c r="L67" s="6" t="s">
        <v>5</v>
      </c>
      <c r="M67" s="6" t="s">
        <v>5</v>
      </c>
      <c r="N67" s="6" t="s">
        <v>5</v>
      </c>
      <c r="O67" s="5" t="s">
        <v>5</v>
      </c>
      <c r="P67" s="5" t="s">
        <v>5</v>
      </c>
      <c r="Q67" s="7">
        <v>5</v>
      </c>
      <c r="R67" s="6" t="s">
        <v>5</v>
      </c>
      <c r="S67" s="6" t="s">
        <v>5</v>
      </c>
      <c r="T67" s="5" t="s">
        <v>5</v>
      </c>
      <c r="U67" s="8" t="s">
        <v>5</v>
      </c>
      <c r="V67" s="6" t="s">
        <v>5</v>
      </c>
      <c r="W67" s="8" t="s">
        <v>5</v>
      </c>
      <c r="X67" s="22">
        <v>0.625</v>
      </c>
      <c r="Y67" s="6" t="s">
        <v>5</v>
      </c>
      <c r="Z67" s="6" t="s">
        <v>5</v>
      </c>
      <c r="AA67" s="7">
        <v>1.06</v>
      </c>
      <c r="AB67" s="8">
        <v>1.0625</v>
      </c>
      <c r="AC67" s="8" t="s">
        <v>5</v>
      </c>
      <c r="AD67" s="22">
        <v>0.94699999999999995</v>
      </c>
      <c r="AE67" s="7">
        <v>1.69</v>
      </c>
      <c r="AF67" s="6" t="s">
        <v>5</v>
      </c>
      <c r="AG67" s="22">
        <v>0.49299999999999999</v>
      </c>
      <c r="AH67" s="7">
        <v>1.06</v>
      </c>
      <c r="AI67" s="6" t="s">
        <v>5</v>
      </c>
      <c r="AJ67" s="7">
        <v>8</v>
      </c>
      <c r="AK67" s="6" t="s">
        <v>5</v>
      </c>
      <c r="AL67" s="6" t="s">
        <v>5</v>
      </c>
      <c r="AM67" s="6" t="s">
        <v>5</v>
      </c>
      <c r="AN67" s="6" t="s">
        <v>5</v>
      </c>
      <c r="AO67" s="4">
        <v>12</v>
      </c>
      <c r="AP67" s="7">
        <v>6.5</v>
      </c>
      <c r="AQ67" s="7">
        <v>3.63</v>
      </c>
      <c r="AR67" s="7">
        <v>1.56</v>
      </c>
      <c r="AS67" s="7">
        <v>4.8</v>
      </c>
      <c r="AT67" s="7">
        <v>3.43</v>
      </c>
      <c r="AU67" s="7">
        <v>1.88</v>
      </c>
      <c r="AV67" s="22">
        <v>0.98699999999999999</v>
      </c>
      <c r="AW67" s="6">
        <v>2.74</v>
      </c>
      <c r="AX67" s="22">
        <v>0.746</v>
      </c>
      <c r="AY67" s="12">
        <v>1.59</v>
      </c>
      <c r="AZ67" s="22">
        <v>0.65100000000000002</v>
      </c>
      <c r="BA67" s="22">
        <v>0.91800000000000004</v>
      </c>
      <c r="BB67" s="6" t="s">
        <v>5</v>
      </c>
      <c r="BC67" s="6" t="s">
        <v>5</v>
      </c>
      <c r="BD67" s="6" t="s">
        <v>5</v>
      </c>
      <c r="BE67" s="6" t="s">
        <v>5</v>
      </c>
      <c r="BF67" s="6" t="s">
        <v>5</v>
      </c>
      <c r="BG67" s="6" t="s">
        <v>5</v>
      </c>
      <c r="BH67" s="6" t="s">
        <v>5</v>
      </c>
      <c r="BI67" s="7">
        <v>2.39</v>
      </c>
      <c r="BJ67" s="24" t="s">
        <v>5</v>
      </c>
      <c r="BK67" s="23">
        <v>0.47199999999999998</v>
      </c>
      <c r="BL67" s="6">
        <v>14.1</v>
      </c>
      <c r="BM67" s="7">
        <v>2.33</v>
      </c>
      <c r="BN67" s="7">
        <v>1.1200000000000001</v>
      </c>
      <c r="BO67" s="7">
        <v>3.26</v>
      </c>
      <c r="BP67" s="7">
        <v>1.72</v>
      </c>
      <c r="BQ67" s="6">
        <v>1.58</v>
      </c>
      <c r="BR67" s="22">
        <v>0.83799999999999997</v>
      </c>
      <c r="BS67" s="16">
        <v>6.05</v>
      </c>
      <c r="BT67" s="16">
        <v>12.6</v>
      </c>
      <c r="BU67" s="16">
        <v>4.33</v>
      </c>
      <c r="BV67" s="16">
        <v>1.59</v>
      </c>
      <c r="BW67" s="16">
        <v>1.73</v>
      </c>
      <c r="BX67" s="16">
        <v>3.27</v>
      </c>
      <c r="BY67" s="25" t="s">
        <v>5</v>
      </c>
      <c r="BZ67" s="25" t="s">
        <v>5</v>
      </c>
      <c r="CA67" s="4">
        <v>13.5</v>
      </c>
      <c r="CB67" s="4">
        <v>12</v>
      </c>
      <c r="CC67" s="4">
        <v>17</v>
      </c>
      <c r="CD67" s="25" t="s">
        <v>5</v>
      </c>
      <c r="CE67" s="25" t="s">
        <v>5</v>
      </c>
      <c r="CF67" s="16" t="s">
        <v>5</v>
      </c>
      <c r="CG67" s="16" t="s">
        <v>5</v>
      </c>
      <c r="CH67" s="18" t="s">
        <v>5</v>
      </c>
      <c r="CL67" s="354" t="s">
        <v>1227</v>
      </c>
      <c r="CM67" s="355" t="s">
        <v>1215</v>
      </c>
      <c r="CN67" s="355" t="s">
        <v>1214</v>
      </c>
      <c r="CO67" s="355" t="s">
        <v>1216</v>
      </c>
      <c r="CP67" s="511" t="s">
        <v>1901</v>
      </c>
      <c r="CQ67" s="512"/>
      <c r="CS67" s="335" t="str">
        <f t="shared" si="1"/>
        <v>L6X6X5/16</v>
      </c>
      <c r="CT67" s="338">
        <v>3.67</v>
      </c>
      <c r="CV67" s="344" t="str">
        <f t="shared" si="2"/>
        <v>WT20X139</v>
      </c>
      <c r="CW67" s="337">
        <v>41</v>
      </c>
      <c r="DE67" s="335" t="str">
        <f t="shared" si="5"/>
        <v>2L6X6X5/8</v>
      </c>
      <c r="DF67" s="337">
        <v>14.3</v>
      </c>
      <c r="DH67" s="397" t="s">
        <v>1355</v>
      </c>
      <c r="DI67" s="398">
        <v>41.5</v>
      </c>
      <c r="DJ67" s="398">
        <v>33.299999999999997</v>
      </c>
      <c r="DK67" s="399">
        <v>0.60499999999999998</v>
      </c>
      <c r="DL67" s="407">
        <v>49.6</v>
      </c>
      <c r="DM67" s="400">
        <v>6.01</v>
      </c>
      <c r="DN67" s="408">
        <v>514</v>
      </c>
      <c r="DO67" s="409">
        <v>448</v>
      </c>
      <c r="DP67" s="119"/>
      <c r="DQ67" s="428" t="s">
        <v>1304</v>
      </c>
      <c r="DR67" s="429">
        <v>940</v>
      </c>
      <c r="DS67" s="429">
        <v>14200</v>
      </c>
      <c r="DT67" s="430" t="s">
        <v>1502</v>
      </c>
      <c r="DU67" s="430">
        <v>20.100000000000001</v>
      </c>
      <c r="DV67" s="429">
        <v>16</v>
      </c>
      <c r="DW67" s="431">
        <f t="shared" si="10"/>
        <v>20.100000000000001</v>
      </c>
      <c r="DX67" s="432">
        <f t="shared" si="11"/>
        <v>103</v>
      </c>
      <c r="DZ67" s="447" t="s">
        <v>1312</v>
      </c>
      <c r="EA67" s="448">
        <v>221</v>
      </c>
      <c r="EB67" s="448">
        <v>65.3</v>
      </c>
      <c r="EC67" s="448">
        <v>33.9</v>
      </c>
      <c r="ED67" s="448" t="s">
        <v>1702</v>
      </c>
      <c r="EE67" s="448">
        <v>0.77500000000000002</v>
      </c>
      <c r="EF67" s="449">
        <v>44989</v>
      </c>
      <c r="EG67" s="449">
        <v>44993</v>
      </c>
      <c r="EH67" s="448">
        <v>15.8</v>
      </c>
      <c r="EI67" s="448" t="s">
        <v>1621</v>
      </c>
      <c r="EJ67" s="448">
        <v>1.28</v>
      </c>
      <c r="EK67" s="448" t="s">
        <v>1624</v>
      </c>
      <c r="EL67" s="448">
        <v>6.2</v>
      </c>
      <c r="EM67" s="448">
        <v>38.5</v>
      </c>
      <c r="EN67" s="448">
        <v>12900</v>
      </c>
      <c r="EO67" s="448">
        <v>759</v>
      </c>
      <c r="EP67" s="448">
        <v>14.1</v>
      </c>
      <c r="EQ67" s="448">
        <v>857</v>
      </c>
      <c r="ER67" s="448">
        <v>840</v>
      </c>
      <c r="ES67" s="448">
        <v>106</v>
      </c>
      <c r="ET67" s="448">
        <v>3.59</v>
      </c>
      <c r="EU67" s="450">
        <v>164</v>
      </c>
    </row>
    <row r="68" spans="2:151">
      <c r="B68" s="78" t="s">
        <v>7</v>
      </c>
      <c r="C68" s="79" t="s">
        <v>73</v>
      </c>
      <c r="D68" s="80" t="s">
        <v>73</v>
      </c>
      <c r="E68" s="1" t="s">
        <v>4</v>
      </c>
      <c r="F68" s="4">
        <v>13.6</v>
      </c>
      <c r="G68" s="7">
        <v>4</v>
      </c>
      <c r="H68" s="3" t="str">
        <f t="shared" ref="H68:H131" si="12">D68</f>
        <v>L5X3-1/2X1/2</v>
      </c>
      <c r="I68" s="7">
        <v>3.5</v>
      </c>
      <c r="J68" s="5" t="s">
        <v>5</v>
      </c>
      <c r="K68" s="6" t="s">
        <v>5</v>
      </c>
      <c r="L68" s="6" t="s">
        <v>5</v>
      </c>
      <c r="M68" s="6" t="s">
        <v>5</v>
      </c>
      <c r="N68" s="6" t="s">
        <v>5</v>
      </c>
      <c r="O68" s="5" t="s">
        <v>5</v>
      </c>
      <c r="P68" s="5" t="s">
        <v>5</v>
      </c>
      <c r="Q68" s="7">
        <v>5</v>
      </c>
      <c r="R68" s="6" t="s">
        <v>5</v>
      </c>
      <c r="S68" s="6" t="s">
        <v>5</v>
      </c>
      <c r="T68" s="5" t="s">
        <v>5</v>
      </c>
      <c r="U68" s="8" t="s">
        <v>5</v>
      </c>
      <c r="V68" s="6" t="s">
        <v>5</v>
      </c>
      <c r="W68" s="8" t="s">
        <v>5</v>
      </c>
      <c r="X68" s="22">
        <v>0.5</v>
      </c>
      <c r="Y68" s="6" t="s">
        <v>5</v>
      </c>
      <c r="Z68" s="6" t="s">
        <v>5</v>
      </c>
      <c r="AA68" s="22">
        <v>0.93799999999999994</v>
      </c>
      <c r="AB68" s="8">
        <v>0.9375</v>
      </c>
      <c r="AC68" s="8" t="s">
        <v>5</v>
      </c>
      <c r="AD68" s="22">
        <v>0.90100000000000002</v>
      </c>
      <c r="AE68" s="7">
        <v>1.65</v>
      </c>
      <c r="AF68" s="6" t="s">
        <v>5</v>
      </c>
      <c r="AG68" s="22">
        <v>0.4</v>
      </c>
      <c r="AH68" s="7">
        <v>1</v>
      </c>
      <c r="AI68" s="6" t="s">
        <v>5</v>
      </c>
      <c r="AJ68" s="4">
        <v>10</v>
      </c>
      <c r="AK68" s="6" t="s">
        <v>5</v>
      </c>
      <c r="AL68" s="6" t="s">
        <v>5</v>
      </c>
      <c r="AM68" s="6" t="s">
        <v>5</v>
      </c>
      <c r="AN68" s="6" t="s">
        <v>5</v>
      </c>
      <c r="AO68" s="4">
        <v>10</v>
      </c>
      <c r="AP68" s="7">
        <v>5.33</v>
      </c>
      <c r="AQ68" s="7">
        <v>2.97</v>
      </c>
      <c r="AR68" s="7">
        <v>1.58</v>
      </c>
      <c r="AS68" s="7">
        <v>4.0199999999999996</v>
      </c>
      <c r="AT68" s="7">
        <v>2.79</v>
      </c>
      <c r="AU68" s="7">
        <v>1.55</v>
      </c>
      <c r="AV68" s="7">
        <v>1</v>
      </c>
      <c r="AW68" s="6">
        <v>2.2599999999999998</v>
      </c>
      <c r="AX68" s="22">
        <v>0.75</v>
      </c>
      <c r="AY68" s="27">
        <v>1.3</v>
      </c>
      <c r="AZ68" s="22">
        <v>0.34300000000000003</v>
      </c>
      <c r="BA68" s="22">
        <v>0.49099999999999999</v>
      </c>
      <c r="BB68" s="6" t="s">
        <v>5</v>
      </c>
      <c r="BC68" s="6" t="s">
        <v>5</v>
      </c>
      <c r="BD68" s="6" t="s">
        <v>5</v>
      </c>
      <c r="BE68" s="6" t="s">
        <v>5</v>
      </c>
      <c r="BF68" s="6" t="s">
        <v>5</v>
      </c>
      <c r="BG68" s="6" t="s">
        <v>5</v>
      </c>
      <c r="BH68" s="6" t="s">
        <v>5</v>
      </c>
      <c r="BI68" s="7">
        <v>2.42</v>
      </c>
      <c r="BJ68" s="24" t="s">
        <v>5</v>
      </c>
      <c r="BK68" s="23">
        <v>0.47899999999999998</v>
      </c>
      <c r="BL68" s="6">
        <v>11.8</v>
      </c>
      <c r="BM68" s="7">
        <v>2.38</v>
      </c>
      <c r="BN68" s="7">
        <v>1.1000000000000001</v>
      </c>
      <c r="BO68" s="7">
        <v>3.3</v>
      </c>
      <c r="BP68" s="7">
        <v>1.74</v>
      </c>
      <c r="BQ68" s="6">
        <v>1.52</v>
      </c>
      <c r="BR68" s="22">
        <v>0.85399999999999998</v>
      </c>
      <c r="BS68" s="16">
        <v>4.96</v>
      </c>
      <c r="BT68" s="16">
        <v>10.7</v>
      </c>
      <c r="BU68" s="16">
        <v>3.58</v>
      </c>
      <c r="BV68" s="26">
        <v>1.3</v>
      </c>
      <c r="BW68" s="16">
        <v>1.49</v>
      </c>
      <c r="BX68" s="16">
        <v>2.65</v>
      </c>
      <c r="BY68" s="25" t="s">
        <v>5</v>
      </c>
      <c r="BZ68" s="25" t="s">
        <v>5</v>
      </c>
      <c r="CA68" s="4">
        <v>13.5</v>
      </c>
      <c r="CB68" s="4">
        <v>12</v>
      </c>
      <c r="CC68" s="4">
        <v>17</v>
      </c>
      <c r="CD68" s="25" t="s">
        <v>5</v>
      </c>
      <c r="CE68" s="25" t="s">
        <v>5</v>
      </c>
      <c r="CF68" s="16" t="s">
        <v>5</v>
      </c>
      <c r="CG68" s="16" t="s">
        <v>5</v>
      </c>
      <c r="CH68" s="18" t="s">
        <v>5</v>
      </c>
      <c r="CL68" s="356">
        <v>0.5</v>
      </c>
      <c r="CM68" s="357">
        <v>12</v>
      </c>
      <c r="CN68" s="357">
        <v>15</v>
      </c>
      <c r="CO68" s="357">
        <v>1</v>
      </c>
      <c r="CP68" s="513">
        <v>0.75</v>
      </c>
      <c r="CQ68" s="514"/>
      <c r="CS68" s="335" t="str">
        <f t="shared" ref="CS68:CS131" si="13">VLOOKUP(CT68,$G$3:$H$139,2,FALSE)</f>
        <v>L5X5X3/8</v>
      </c>
      <c r="CT68" s="338">
        <v>3.65</v>
      </c>
      <c r="CV68" s="344" t="str">
        <f t="shared" ref="CV68:CV131" si="14">VLOOKUP(CW68,$G$140:$H$422,2,FALSE)</f>
        <v>WT10.5X137.5</v>
      </c>
      <c r="CW68" s="336">
        <v>40.9</v>
      </c>
      <c r="DE68" s="335" t="str">
        <f t="shared" ref="DE68:DE131" si="15">VLOOKUP(DF68,$G$465:$H$647,2,FALSE)</f>
        <v>2L6X6X5/8</v>
      </c>
      <c r="DF68" s="337">
        <v>14.3</v>
      </c>
      <c r="DH68" s="397" t="s">
        <v>1364</v>
      </c>
      <c r="DI68" s="398">
        <v>38.299999999999997</v>
      </c>
      <c r="DJ68" s="398">
        <v>33.1</v>
      </c>
      <c r="DK68" s="399">
        <v>0.57999999999999996</v>
      </c>
      <c r="DL68" s="407">
        <v>51.7</v>
      </c>
      <c r="DM68" s="400">
        <v>6.73</v>
      </c>
      <c r="DN68" s="408">
        <v>467</v>
      </c>
      <c r="DO68" s="409">
        <v>406</v>
      </c>
      <c r="DP68" s="119"/>
      <c r="DQ68" s="428" t="s">
        <v>1305</v>
      </c>
      <c r="DR68" s="429">
        <v>936</v>
      </c>
      <c r="DS68" s="429">
        <v>15000</v>
      </c>
      <c r="DT68" s="430" t="s">
        <v>1504</v>
      </c>
      <c r="DU68" s="430">
        <v>17.399999999999999</v>
      </c>
      <c r="DV68" s="429">
        <v>14</v>
      </c>
      <c r="DW68" s="431">
        <f t="shared" si="10"/>
        <v>17.399999999999999</v>
      </c>
      <c r="DX68" s="432">
        <f t="shared" si="11"/>
        <v>88.6</v>
      </c>
      <c r="DZ68" s="447" t="s">
        <v>1319</v>
      </c>
      <c r="EA68" s="448">
        <v>201</v>
      </c>
      <c r="EB68" s="448">
        <v>59.1</v>
      </c>
      <c r="EC68" s="448">
        <v>33.700000000000003</v>
      </c>
      <c r="ED68" s="448" t="s">
        <v>1703</v>
      </c>
      <c r="EE68" s="448">
        <v>0.71499999999999997</v>
      </c>
      <c r="EF68" s="449">
        <v>45246</v>
      </c>
      <c r="EG68" s="449">
        <v>44993</v>
      </c>
      <c r="EH68" s="448">
        <v>15.7</v>
      </c>
      <c r="EI68" s="448" t="s">
        <v>1621</v>
      </c>
      <c r="EJ68" s="448">
        <v>1.1499999999999999</v>
      </c>
      <c r="EK68" s="448" t="s">
        <v>1643</v>
      </c>
      <c r="EL68" s="448">
        <v>6.85</v>
      </c>
      <c r="EM68" s="448">
        <v>41.7</v>
      </c>
      <c r="EN68" s="448">
        <v>11600</v>
      </c>
      <c r="EO68" s="448">
        <v>686</v>
      </c>
      <c r="EP68" s="448">
        <v>14</v>
      </c>
      <c r="EQ68" s="448">
        <v>773</v>
      </c>
      <c r="ER68" s="448">
        <v>749</v>
      </c>
      <c r="ES68" s="448">
        <v>95.2</v>
      </c>
      <c r="ET68" s="448">
        <v>3.56</v>
      </c>
      <c r="EU68" s="450">
        <v>147</v>
      </c>
    </row>
    <row r="69" spans="2:151">
      <c r="B69" s="78" t="s">
        <v>7</v>
      </c>
      <c r="C69" s="79" t="s">
        <v>74</v>
      </c>
      <c r="D69" s="80" t="s">
        <v>74</v>
      </c>
      <c r="E69" s="1" t="s">
        <v>4</v>
      </c>
      <c r="F69" s="4">
        <v>10.4</v>
      </c>
      <c r="G69" s="7">
        <v>3.05</v>
      </c>
      <c r="H69" s="3" t="str">
        <f t="shared" si="12"/>
        <v>L5X3-1/2X3/8</v>
      </c>
      <c r="I69" s="7">
        <v>3.5</v>
      </c>
      <c r="J69" s="5" t="s">
        <v>5</v>
      </c>
      <c r="K69" s="6" t="s">
        <v>5</v>
      </c>
      <c r="L69" s="6" t="s">
        <v>5</v>
      </c>
      <c r="M69" s="6" t="s">
        <v>5</v>
      </c>
      <c r="N69" s="6" t="s">
        <v>5</v>
      </c>
      <c r="O69" s="5" t="s">
        <v>5</v>
      </c>
      <c r="P69" s="5" t="s">
        <v>5</v>
      </c>
      <c r="Q69" s="7">
        <v>5</v>
      </c>
      <c r="R69" s="6" t="s">
        <v>5</v>
      </c>
      <c r="S69" s="6" t="s">
        <v>5</v>
      </c>
      <c r="T69" s="5" t="s">
        <v>5</v>
      </c>
      <c r="U69" s="8" t="s">
        <v>5</v>
      </c>
      <c r="V69" s="6" t="s">
        <v>5</v>
      </c>
      <c r="W69" s="8" t="s">
        <v>5</v>
      </c>
      <c r="X69" s="22">
        <v>0.375</v>
      </c>
      <c r="Y69" s="6" t="s">
        <v>5</v>
      </c>
      <c r="Z69" s="6" t="s">
        <v>5</v>
      </c>
      <c r="AA69" s="22">
        <v>0.81299999999999994</v>
      </c>
      <c r="AB69" s="8">
        <v>0.8125</v>
      </c>
      <c r="AC69" s="8" t="s">
        <v>5</v>
      </c>
      <c r="AD69" s="22">
        <v>0.85399999999999998</v>
      </c>
      <c r="AE69" s="7">
        <v>1.6</v>
      </c>
      <c r="AF69" s="6" t="s">
        <v>5</v>
      </c>
      <c r="AG69" s="22">
        <v>0.30499999999999999</v>
      </c>
      <c r="AH69" s="22">
        <v>0.93300000000000005</v>
      </c>
      <c r="AI69" s="6" t="s">
        <v>5</v>
      </c>
      <c r="AJ69" s="4">
        <v>13.3</v>
      </c>
      <c r="AK69" s="6" t="s">
        <v>5</v>
      </c>
      <c r="AL69" s="6" t="s">
        <v>5</v>
      </c>
      <c r="AM69" s="6" t="s">
        <v>5</v>
      </c>
      <c r="AN69" s="6" t="s">
        <v>5</v>
      </c>
      <c r="AO69" s="7">
        <v>7.75</v>
      </c>
      <c r="AP69" s="7">
        <v>4.09</v>
      </c>
      <c r="AQ69" s="7">
        <v>2.2799999999999998</v>
      </c>
      <c r="AR69" s="7">
        <v>1.59</v>
      </c>
      <c r="AS69" s="7">
        <v>3.15</v>
      </c>
      <c r="AT69" s="7">
        <v>2.12</v>
      </c>
      <c r="AU69" s="7">
        <v>1.19</v>
      </c>
      <c r="AV69" s="7">
        <v>1.02</v>
      </c>
      <c r="AW69" s="6">
        <v>1.73</v>
      </c>
      <c r="AX69" s="22">
        <v>0.755</v>
      </c>
      <c r="AY69" s="12">
        <v>0.98299999999999998</v>
      </c>
      <c r="AZ69" s="22">
        <v>0.15</v>
      </c>
      <c r="BA69" s="22">
        <v>0.217</v>
      </c>
      <c r="BB69" s="6" t="s">
        <v>5</v>
      </c>
      <c r="BC69" s="6" t="s">
        <v>5</v>
      </c>
      <c r="BD69" s="6" t="s">
        <v>5</v>
      </c>
      <c r="BE69" s="6" t="s">
        <v>5</v>
      </c>
      <c r="BF69" s="6" t="s">
        <v>5</v>
      </c>
      <c r="BG69" s="6" t="s">
        <v>5</v>
      </c>
      <c r="BH69" s="6" t="s">
        <v>5</v>
      </c>
      <c r="BI69" s="7">
        <v>2.4500000000000002</v>
      </c>
      <c r="BJ69" s="24" t="s">
        <v>5</v>
      </c>
      <c r="BK69" s="23">
        <v>0.48499999999999999</v>
      </c>
      <c r="BL69" s="6">
        <v>9.16</v>
      </c>
      <c r="BM69" s="7">
        <v>2.4300000000000002</v>
      </c>
      <c r="BN69" s="7">
        <v>1.07</v>
      </c>
      <c r="BO69" s="7">
        <v>3.35</v>
      </c>
      <c r="BP69" s="7">
        <v>1.76</v>
      </c>
      <c r="BQ69" s="6">
        <v>1.47</v>
      </c>
      <c r="BR69" s="22">
        <v>0.88400000000000001</v>
      </c>
      <c r="BS69" s="16">
        <v>3.77</v>
      </c>
      <c r="BT69" s="16">
        <v>8.56</v>
      </c>
      <c r="BU69" s="16">
        <v>2.73</v>
      </c>
      <c r="BV69" s="16">
        <v>0.98299999999999998</v>
      </c>
      <c r="BW69" s="16">
        <v>1.18</v>
      </c>
      <c r="BX69" s="16">
        <v>1.96</v>
      </c>
      <c r="BY69" s="25" t="s">
        <v>5</v>
      </c>
      <c r="BZ69" s="25" t="s">
        <v>5</v>
      </c>
      <c r="CA69" s="4">
        <v>13.5</v>
      </c>
      <c r="CB69" s="4">
        <v>12</v>
      </c>
      <c r="CC69" s="4">
        <v>17</v>
      </c>
      <c r="CD69" s="25" t="s">
        <v>5</v>
      </c>
      <c r="CE69" s="25" t="s">
        <v>5</v>
      </c>
      <c r="CF69" s="16" t="s">
        <v>5</v>
      </c>
      <c r="CG69" s="16" t="s">
        <v>5</v>
      </c>
      <c r="CH69" s="18" t="s">
        <v>5</v>
      </c>
      <c r="CL69" s="358">
        <v>0.625</v>
      </c>
      <c r="CM69" s="359">
        <v>19</v>
      </c>
      <c r="CN69" s="359">
        <v>24</v>
      </c>
      <c r="CO69" s="359">
        <v>1</v>
      </c>
      <c r="CP69" s="515">
        <v>0.875</v>
      </c>
      <c r="CQ69" s="516"/>
      <c r="CS69" s="335" t="str">
        <f t="shared" si="13"/>
        <v>L6X4X3/8</v>
      </c>
      <c r="CT69" s="338">
        <v>3.61</v>
      </c>
      <c r="CV69" s="344" t="str">
        <f t="shared" si="14"/>
        <v>WT20X138.5</v>
      </c>
      <c r="CW69" s="337">
        <v>40.700000000000003</v>
      </c>
      <c r="DE69" s="335" t="str">
        <f t="shared" si="15"/>
        <v>2L5X5X3/4</v>
      </c>
      <c r="DF69" s="337">
        <v>14</v>
      </c>
      <c r="DH69" s="397" t="s">
        <v>1372</v>
      </c>
      <c r="DI69" s="398">
        <v>34.700000000000003</v>
      </c>
      <c r="DJ69" s="398">
        <v>32.9</v>
      </c>
      <c r="DK69" s="399">
        <v>0.55000000000000004</v>
      </c>
      <c r="DL69" s="407">
        <v>54.5</v>
      </c>
      <c r="DM69" s="400">
        <v>7.76</v>
      </c>
      <c r="DN69" s="408">
        <v>415</v>
      </c>
      <c r="DO69" s="409">
        <v>359</v>
      </c>
      <c r="DP69" s="119"/>
      <c r="DQ69" s="428" t="s">
        <v>1306</v>
      </c>
      <c r="DR69" s="429">
        <v>936</v>
      </c>
      <c r="DS69" s="429">
        <v>11900</v>
      </c>
      <c r="DT69" s="430" t="s">
        <v>1508</v>
      </c>
      <c r="DU69" s="430">
        <v>12.6</v>
      </c>
      <c r="DV69" s="429">
        <v>12</v>
      </c>
      <c r="DW69" s="431">
        <f t="shared" si="10"/>
        <v>12.6</v>
      </c>
      <c r="DX69" s="432">
        <f t="shared" si="11"/>
        <v>53.8</v>
      </c>
      <c r="DZ69" s="447" t="s">
        <v>1337</v>
      </c>
      <c r="EA69" s="448">
        <v>169</v>
      </c>
      <c r="EB69" s="448">
        <v>49.5</v>
      </c>
      <c r="EC69" s="448">
        <v>33.799999999999997</v>
      </c>
      <c r="ED69" s="448" t="s">
        <v>1702</v>
      </c>
      <c r="EE69" s="448">
        <v>0.67</v>
      </c>
      <c r="EF69" s="449">
        <v>45246</v>
      </c>
      <c r="EG69" s="449">
        <v>44993</v>
      </c>
      <c r="EH69" s="448">
        <v>11.5</v>
      </c>
      <c r="EI69" s="448" t="s">
        <v>1704</v>
      </c>
      <c r="EJ69" s="448">
        <v>1.22</v>
      </c>
      <c r="EK69" s="448" t="s">
        <v>1624</v>
      </c>
      <c r="EL69" s="448">
        <v>4.71</v>
      </c>
      <c r="EM69" s="448">
        <v>44.7</v>
      </c>
      <c r="EN69" s="448">
        <v>9290</v>
      </c>
      <c r="EO69" s="448">
        <v>549</v>
      </c>
      <c r="EP69" s="448">
        <v>13.7</v>
      </c>
      <c r="EQ69" s="448">
        <v>629</v>
      </c>
      <c r="ER69" s="448">
        <v>310</v>
      </c>
      <c r="ES69" s="448">
        <v>53.9</v>
      </c>
      <c r="ET69" s="448">
        <v>2.5</v>
      </c>
      <c r="EU69" s="450">
        <v>84.4</v>
      </c>
    </row>
    <row r="70" spans="2:151">
      <c r="B70" s="78" t="s">
        <v>7</v>
      </c>
      <c r="C70" s="79" t="s">
        <v>75</v>
      </c>
      <c r="D70" s="80" t="s">
        <v>75</v>
      </c>
      <c r="E70" s="1" t="s">
        <v>4</v>
      </c>
      <c r="F70" s="7">
        <v>8.6999999999999993</v>
      </c>
      <c r="G70" s="7">
        <v>2.56</v>
      </c>
      <c r="H70" s="3" t="str">
        <f t="shared" si="12"/>
        <v>L5X3-1/2X5/16</v>
      </c>
      <c r="I70" s="7">
        <v>3.5</v>
      </c>
      <c r="J70" s="5" t="s">
        <v>5</v>
      </c>
      <c r="K70" s="6" t="s">
        <v>5</v>
      </c>
      <c r="L70" s="6" t="s">
        <v>5</v>
      </c>
      <c r="M70" s="6" t="s">
        <v>5</v>
      </c>
      <c r="N70" s="6" t="s">
        <v>5</v>
      </c>
      <c r="O70" s="5" t="s">
        <v>5</v>
      </c>
      <c r="P70" s="5" t="s">
        <v>5</v>
      </c>
      <c r="Q70" s="7">
        <v>5</v>
      </c>
      <c r="R70" s="6" t="s">
        <v>5</v>
      </c>
      <c r="S70" s="6" t="s">
        <v>5</v>
      </c>
      <c r="T70" s="5" t="s">
        <v>5</v>
      </c>
      <c r="U70" s="8" t="s">
        <v>5</v>
      </c>
      <c r="V70" s="6" t="s">
        <v>5</v>
      </c>
      <c r="W70" s="8" t="s">
        <v>5</v>
      </c>
      <c r="X70" s="22">
        <v>0.313</v>
      </c>
      <c r="Y70" s="6" t="s">
        <v>5</v>
      </c>
      <c r="Z70" s="6" t="s">
        <v>5</v>
      </c>
      <c r="AA70" s="22">
        <v>0.75</v>
      </c>
      <c r="AB70" s="8">
        <v>0.75</v>
      </c>
      <c r="AC70" s="8" t="s">
        <v>5</v>
      </c>
      <c r="AD70" s="22">
        <v>0.82899999999999996</v>
      </c>
      <c r="AE70" s="7">
        <v>1.57</v>
      </c>
      <c r="AF70" s="6" t="s">
        <v>5</v>
      </c>
      <c r="AG70" s="22">
        <v>0.25600000000000001</v>
      </c>
      <c r="AH70" s="22">
        <v>0.90400000000000003</v>
      </c>
      <c r="AI70" s="6" t="s">
        <v>5</v>
      </c>
      <c r="AJ70" s="4">
        <v>16</v>
      </c>
      <c r="AK70" s="6" t="s">
        <v>5</v>
      </c>
      <c r="AL70" s="6" t="s">
        <v>5</v>
      </c>
      <c r="AM70" s="6" t="s">
        <v>5</v>
      </c>
      <c r="AN70" s="6" t="s">
        <v>5</v>
      </c>
      <c r="AO70" s="7">
        <v>6.58</v>
      </c>
      <c r="AP70" s="7">
        <v>3.45</v>
      </c>
      <c r="AQ70" s="7">
        <v>1.92</v>
      </c>
      <c r="AR70" s="7">
        <v>1.6</v>
      </c>
      <c r="AS70" s="7">
        <v>2.69</v>
      </c>
      <c r="AT70" s="7">
        <v>1.77</v>
      </c>
      <c r="AU70" s="7">
        <v>1.01</v>
      </c>
      <c r="AV70" s="7">
        <v>1.02</v>
      </c>
      <c r="AW70" s="6">
        <v>1.47</v>
      </c>
      <c r="AX70" s="22">
        <v>0.75800000000000001</v>
      </c>
      <c r="AY70" s="12">
        <v>0.82599999999999996</v>
      </c>
      <c r="AZ70" s="28">
        <v>8.8300000000000003E-2</v>
      </c>
      <c r="BA70" s="22">
        <v>0.128</v>
      </c>
      <c r="BB70" s="6" t="s">
        <v>5</v>
      </c>
      <c r="BC70" s="6" t="s">
        <v>5</v>
      </c>
      <c r="BD70" s="6" t="s">
        <v>5</v>
      </c>
      <c r="BE70" s="6" t="s">
        <v>5</v>
      </c>
      <c r="BF70" s="6" t="s">
        <v>5</v>
      </c>
      <c r="BG70" s="6" t="s">
        <v>5</v>
      </c>
      <c r="BH70" s="6" t="s">
        <v>5</v>
      </c>
      <c r="BI70" s="7">
        <v>2.4700000000000002</v>
      </c>
      <c r="BJ70" s="24" t="s">
        <v>5</v>
      </c>
      <c r="BK70" s="23">
        <v>0.48899999999999999</v>
      </c>
      <c r="BL70" s="7">
        <v>7.8</v>
      </c>
      <c r="BM70" s="7">
        <v>2.44</v>
      </c>
      <c r="BN70" s="7">
        <v>1.05</v>
      </c>
      <c r="BO70" s="7">
        <v>3.38</v>
      </c>
      <c r="BP70" s="7">
        <v>1.78</v>
      </c>
      <c r="BQ70" s="6">
        <v>1.43</v>
      </c>
      <c r="BR70" s="22">
        <v>0.90200000000000002</v>
      </c>
      <c r="BS70" s="26">
        <v>3.2</v>
      </c>
      <c r="BT70" s="16">
        <v>7.43</v>
      </c>
      <c r="BU70" s="16">
        <v>2.31</v>
      </c>
      <c r="BV70" s="16">
        <v>0.82599999999999996</v>
      </c>
      <c r="BW70" s="16">
        <v>1.03</v>
      </c>
      <c r="BX70" s="16">
        <v>1.63</v>
      </c>
      <c r="BY70" s="25" t="s">
        <v>5</v>
      </c>
      <c r="BZ70" s="25" t="s">
        <v>5</v>
      </c>
      <c r="CA70" s="4">
        <v>13.5</v>
      </c>
      <c r="CB70" s="4">
        <v>12</v>
      </c>
      <c r="CC70" s="4">
        <v>17</v>
      </c>
      <c r="CD70" s="25" t="s">
        <v>5</v>
      </c>
      <c r="CE70" s="25" t="s">
        <v>5</v>
      </c>
      <c r="CF70" s="16" t="s">
        <v>5</v>
      </c>
      <c r="CG70" s="16" t="s">
        <v>5</v>
      </c>
      <c r="CH70" s="18" t="s">
        <v>5</v>
      </c>
      <c r="CL70" s="358">
        <v>0.75</v>
      </c>
      <c r="CM70" s="359">
        <v>28</v>
      </c>
      <c r="CN70" s="359">
        <v>35</v>
      </c>
      <c r="CO70" s="359">
        <v>1</v>
      </c>
      <c r="CP70" s="515">
        <v>1</v>
      </c>
      <c r="CQ70" s="516"/>
      <c r="CS70" s="335" t="str">
        <f t="shared" si="13"/>
        <v>L4X3-1/2X1/2</v>
      </c>
      <c r="CT70" s="338">
        <v>3.5</v>
      </c>
      <c r="CV70" s="344" t="str">
        <f t="shared" si="14"/>
        <v>WT20X132</v>
      </c>
      <c r="CW70" s="337">
        <v>38.700000000000003</v>
      </c>
      <c r="DE70" s="335" t="str">
        <f t="shared" si="15"/>
        <v>2L5X5X3/4</v>
      </c>
      <c r="DF70" s="337">
        <v>14</v>
      </c>
      <c r="DH70" s="397" t="s">
        <v>1267</v>
      </c>
      <c r="DI70" s="401">
        <v>115</v>
      </c>
      <c r="DJ70" s="398">
        <v>33.200000000000003</v>
      </c>
      <c r="DK70" s="400">
        <v>1.36</v>
      </c>
      <c r="DL70" s="407">
        <v>19.7</v>
      </c>
      <c r="DM70" s="400">
        <v>3.19</v>
      </c>
      <c r="DN70" s="408">
        <v>1450</v>
      </c>
      <c r="DO70" s="409">
        <v>1250</v>
      </c>
      <c r="DP70" s="119"/>
      <c r="DQ70" s="428" t="s">
        <v>1307</v>
      </c>
      <c r="DR70" s="429">
        <v>936</v>
      </c>
      <c r="DS70" s="429">
        <v>7190</v>
      </c>
      <c r="DT70" s="430" t="s">
        <v>1510</v>
      </c>
      <c r="DU70" s="430">
        <v>8.8699999999999992</v>
      </c>
      <c r="DV70" s="429">
        <v>10</v>
      </c>
      <c r="DW70" s="431">
        <f t="shared" si="10"/>
        <v>8.8699999999999992</v>
      </c>
      <c r="DX70" s="432">
        <f t="shared" si="11"/>
        <v>30.8</v>
      </c>
      <c r="DZ70" s="447" t="s">
        <v>1348</v>
      </c>
      <c r="EA70" s="448">
        <v>152</v>
      </c>
      <c r="EB70" s="448">
        <v>44.9</v>
      </c>
      <c r="EC70" s="448">
        <v>33.5</v>
      </c>
      <c r="ED70" s="448" t="s">
        <v>1705</v>
      </c>
      <c r="EE70" s="448">
        <v>0.63500000000000001</v>
      </c>
      <c r="EF70" s="449">
        <v>45054</v>
      </c>
      <c r="EG70" s="449">
        <v>45062</v>
      </c>
      <c r="EH70" s="448">
        <v>11.6</v>
      </c>
      <c r="EI70" s="448" t="s">
        <v>1706</v>
      </c>
      <c r="EJ70" s="448">
        <v>1.06</v>
      </c>
      <c r="EK70" s="448" t="s">
        <v>1650</v>
      </c>
      <c r="EL70" s="448">
        <v>5.48</v>
      </c>
      <c r="EM70" s="448">
        <v>47.2</v>
      </c>
      <c r="EN70" s="448">
        <v>8160</v>
      </c>
      <c r="EO70" s="448">
        <v>487</v>
      </c>
      <c r="EP70" s="448">
        <v>13.5</v>
      </c>
      <c r="EQ70" s="448">
        <v>559</v>
      </c>
      <c r="ER70" s="448">
        <v>273</v>
      </c>
      <c r="ES70" s="448">
        <v>47.2</v>
      </c>
      <c r="ET70" s="448">
        <v>2.4700000000000002</v>
      </c>
      <c r="EU70" s="450">
        <v>73.900000000000006</v>
      </c>
    </row>
    <row r="71" spans="2:151">
      <c r="B71" s="78" t="s">
        <v>7</v>
      </c>
      <c r="C71" s="79" t="s">
        <v>76</v>
      </c>
      <c r="D71" s="80" t="s">
        <v>76</v>
      </c>
      <c r="E71" s="1" t="s">
        <v>4</v>
      </c>
      <c r="F71" s="7">
        <v>7</v>
      </c>
      <c r="G71" s="7">
        <v>2.0699999999999998</v>
      </c>
      <c r="H71" s="3" t="str">
        <f t="shared" si="12"/>
        <v>L5X3-1/2X1/4</v>
      </c>
      <c r="I71" s="7">
        <v>3.5</v>
      </c>
      <c r="J71" s="5" t="s">
        <v>5</v>
      </c>
      <c r="K71" s="6" t="s">
        <v>5</v>
      </c>
      <c r="L71" s="6" t="s">
        <v>5</v>
      </c>
      <c r="M71" s="6" t="s">
        <v>5</v>
      </c>
      <c r="N71" s="6" t="s">
        <v>5</v>
      </c>
      <c r="O71" s="5" t="s">
        <v>5</v>
      </c>
      <c r="P71" s="5" t="s">
        <v>5</v>
      </c>
      <c r="Q71" s="7">
        <v>5</v>
      </c>
      <c r="R71" s="6" t="s">
        <v>5</v>
      </c>
      <c r="S71" s="6" t="s">
        <v>5</v>
      </c>
      <c r="T71" s="5" t="s">
        <v>5</v>
      </c>
      <c r="U71" s="8" t="s">
        <v>5</v>
      </c>
      <c r="V71" s="6" t="s">
        <v>5</v>
      </c>
      <c r="W71" s="8" t="s">
        <v>5</v>
      </c>
      <c r="X71" s="22">
        <v>0.25</v>
      </c>
      <c r="Y71" s="6" t="s">
        <v>5</v>
      </c>
      <c r="Z71" s="6" t="s">
        <v>5</v>
      </c>
      <c r="AA71" s="22">
        <v>0.68799999999999994</v>
      </c>
      <c r="AB71" s="8">
        <v>0.6875</v>
      </c>
      <c r="AC71" s="8" t="s">
        <v>5</v>
      </c>
      <c r="AD71" s="22">
        <v>0.80400000000000005</v>
      </c>
      <c r="AE71" s="7">
        <v>1.55</v>
      </c>
      <c r="AF71" s="6" t="s">
        <v>5</v>
      </c>
      <c r="AG71" s="22">
        <v>0.20699999999999999</v>
      </c>
      <c r="AH71" s="22">
        <v>0.86</v>
      </c>
      <c r="AI71" s="6" t="s">
        <v>5</v>
      </c>
      <c r="AJ71" s="4">
        <v>20</v>
      </c>
      <c r="AK71" s="6" t="s">
        <v>5</v>
      </c>
      <c r="AL71" s="6" t="s">
        <v>5</v>
      </c>
      <c r="AM71" s="6" t="s">
        <v>5</v>
      </c>
      <c r="AN71" s="6" t="s">
        <v>5</v>
      </c>
      <c r="AO71" s="7">
        <v>5.36</v>
      </c>
      <c r="AP71" s="7">
        <v>2.78</v>
      </c>
      <c r="AQ71" s="7">
        <v>1.55</v>
      </c>
      <c r="AR71" s="7">
        <v>1.61</v>
      </c>
      <c r="AS71" s="7">
        <v>2.2000000000000002</v>
      </c>
      <c r="AT71" s="7">
        <v>1.42</v>
      </c>
      <c r="AU71" s="22">
        <v>0.81599999999999995</v>
      </c>
      <c r="AV71" s="7">
        <v>1.03</v>
      </c>
      <c r="AW71" s="6">
        <v>1.19</v>
      </c>
      <c r="AX71" s="22">
        <v>0.76100000000000001</v>
      </c>
      <c r="AY71" s="12">
        <v>0.66500000000000004</v>
      </c>
      <c r="AZ71" s="28">
        <v>4.6399999999999997E-2</v>
      </c>
      <c r="BA71" s="28">
        <v>6.7000000000000004E-2</v>
      </c>
      <c r="BB71" s="6" t="s">
        <v>5</v>
      </c>
      <c r="BC71" s="6" t="s">
        <v>5</v>
      </c>
      <c r="BD71" s="6" t="s">
        <v>5</v>
      </c>
      <c r="BE71" s="6" t="s">
        <v>5</v>
      </c>
      <c r="BF71" s="6" t="s">
        <v>5</v>
      </c>
      <c r="BG71" s="6" t="s">
        <v>5</v>
      </c>
      <c r="BH71" s="6" t="s">
        <v>5</v>
      </c>
      <c r="BI71" s="7">
        <v>2.48</v>
      </c>
      <c r="BJ71" s="24" t="s">
        <v>5</v>
      </c>
      <c r="BK71" s="23">
        <v>0.49099999999999999</v>
      </c>
      <c r="BL71" s="6">
        <v>6.37</v>
      </c>
      <c r="BM71" s="7">
        <v>2.4700000000000002</v>
      </c>
      <c r="BN71" s="7">
        <v>1.04</v>
      </c>
      <c r="BO71" s="7">
        <v>3.4</v>
      </c>
      <c r="BP71" s="7">
        <v>1.79</v>
      </c>
      <c r="BQ71" s="6">
        <v>1.41</v>
      </c>
      <c r="BR71" s="22">
        <v>0.91200000000000003</v>
      </c>
      <c r="BS71" s="16">
        <v>2.58</v>
      </c>
      <c r="BT71" s="16">
        <v>6.13</v>
      </c>
      <c r="BU71" s="16">
        <v>1.87</v>
      </c>
      <c r="BV71" s="16">
        <v>0.66500000000000004</v>
      </c>
      <c r="BW71" s="16">
        <v>0.84399999999999997</v>
      </c>
      <c r="BX71" s="26">
        <v>1.3</v>
      </c>
      <c r="BY71" s="25" t="s">
        <v>5</v>
      </c>
      <c r="BZ71" s="25" t="s">
        <v>5</v>
      </c>
      <c r="CA71" s="4">
        <v>13.5</v>
      </c>
      <c r="CB71" s="4">
        <v>12</v>
      </c>
      <c r="CC71" s="4">
        <v>17</v>
      </c>
      <c r="CD71" s="25" t="s">
        <v>5</v>
      </c>
      <c r="CE71" s="25" t="s">
        <v>5</v>
      </c>
      <c r="CF71" s="16" t="s">
        <v>5</v>
      </c>
      <c r="CG71" s="16" t="s">
        <v>5</v>
      </c>
      <c r="CH71" s="18" t="s">
        <v>5</v>
      </c>
      <c r="CL71" s="358">
        <v>0.875</v>
      </c>
      <c r="CM71" s="359">
        <v>39</v>
      </c>
      <c r="CN71" s="359">
        <v>49</v>
      </c>
      <c r="CO71" s="359">
        <v>1</v>
      </c>
      <c r="CP71" s="515">
        <v>1.125</v>
      </c>
      <c r="CQ71" s="516"/>
      <c r="CS71" s="335" t="str">
        <f t="shared" si="13"/>
        <v>L6X3-1/2X3/8</v>
      </c>
      <c r="CT71" s="338">
        <v>3.44</v>
      </c>
      <c r="CV71" s="344" t="str">
        <f t="shared" si="14"/>
        <v>WT20X132</v>
      </c>
      <c r="CW71" s="337">
        <v>38.700000000000003</v>
      </c>
      <c r="DE71" s="335" t="str">
        <f t="shared" si="15"/>
        <v>2L5X5X3/4</v>
      </c>
      <c r="DF71" s="337">
        <v>14</v>
      </c>
      <c r="DH71" s="397" t="s">
        <v>1274</v>
      </c>
      <c r="DI71" s="401">
        <v>105</v>
      </c>
      <c r="DJ71" s="398">
        <v>32.799999999999997</v>
      </c>
      <c r="DK71" s="400">
        <v>1.24</v>
      </c>
      <c r="DL71" s="407">
        <v>21.6</v>
      </c>
      <c r="DM71" s="400">
        <v>3.45</v>
      </c>
      <c r="DN71" s="408">
        <v>1320</v>
      </c>
      <c r="DO71" s="409">
        <v>1140</v>
      </c>
      <c r="DP71" s="119"/>
      <c r="DQ71" s="428" t="s">
        <v>1308</v>
      </c>
      <c r="DR71" s="429">
        <v>922</v>
      </c>
      <c r="DS71" s="429">
        <v>10700</v>
      </c>
      <c r="DT71" s="431"/>
      <c r="DU71" s="431"/>
      <c r="DV71" s="431"/>
      <c r="DW71" s="431"/>
      <c r="DX71" s="432"/>
      <c r="DZ71" s="447" t="s">
        <v>1355</v>
      </c>
      <c r="EA71" s="448">
        <v>141</v>
      </c>
      <c r="EB71" s="448">
        <v>41.5</v>
      </c>
      <c r="EC71" s="448">
        <v>33.299999999999997</v>
      </c>
      <c r="ED71" s="448" t="s">
        <v>1707</v>
      </c>
      <c r="EE71" s="448">
        <v>0.60499999999999998</v>
      </c>
      <c r="EF71" s="449">
        <v>45054</v>
      </c>
      <c r="EG71" s="449">
        <v>45062</v>
      </c>
      <c r="EH71" s="448">
        <v>11.5</v>
      </c>
      <c r="EI71" s="448" t="s">
        <v>1704</v>
      </c>
      <c r="EJ71" s="448">
        <v>0.96</v>
      </c>
      <c r="EK71" s="448" t="s">
        <v>1628</v>
      </c>
      <c r="EL71" s="448">
        <v>6.01</v>
      </c>
      <c r="EM71" s="448">
        <v>49.6</v>
      </c>
      <c r="EN71" s="448">
        <v>7450</v>
      </c>
      <c r="EO71" s="448">
        <v>448</v>
      </c>
      <c r="EP71" s="448">
        <v>13.4</v>
      </c>
      <c r="EQ71" s="448">
        <v>514</v>
      </c>
      <c r="ER71" s="448">
        <v>246</v>
      </c>
      <c r="ES71" s="448">
        <v>42.7</v>
      </c>
      <c r="ET71" s="448">
        <v>2.4300000000000002</v>
      </c>
      <c r="EU71" s="450">
        <v>66.900000000000006</v>
      </c>
    </row>
    <row r="72" spans="2:151">
      <c r="B72" s="78" t="s">
        <v>7</v>
      </c>
      <c r="C72" s="79" t="s">
        <v>77</v>
      </c>
      <c r="D72" s="80" t="s">
        <v>77</v>
      </c>
      <c r="E72" s="1" t="s">
        <v>4</v>
      </c>
      <c r="F72" s="4">
        <v>12.8</v>
      </c>
      <c r="G72" s="7">
        <v>3.75</v>
      </c>
      <c r="H72" s="3" t="str">
        <f t="shared" si="12"/>
        <v>L5X3X1/2</v>
      </c>
      <c r="I72" s="7">
        <v>3</v>
      </c>
      <c r="J72" s="5" t="s">
        <v>5</v>
      </c>
      <c r="K72" s="6" t="s">
        <v>5</v>
      </c>
      <c r="L72" s="6" t="s">
        <v>5</v>
      </c>
      <c r="M72" s="6" t="s">
        <v>5</v>
      </c>
      <c r="N72" s="6" t="s">
        <v>5</v>
      </c>
      <c r="O72" s="5" t="s">
        <v>5</v>
      </c>
      <c r="P72" s="5" t="s">
        <v>5</v>
      </c>
      <c r="Q72" s="7">
        <v>5</v>
      </c>
      <c r="R72" s="6" t="s">
        <v>5</v>
      </c>
      <c r="S72" s="6" t="s">
        <v>5</v>
      </c>
      <c r="T72" s="5" t="s">
        <v>5</v>
      </c>
      <c r="U72" s="8" t="s">
        <v>5</v>
      </c>
      <c r="V72" s="6" t="s">
        <v>5</v>
      </c>
      <c r="W72" s="8" t="s">
        <v>5</v>
      </c>
      <c r="X72" s="22">
        <v>0.5</v>
      </c>
      <c r="Y72" s="6" t="s">
        <v>5</v>
      </c>
      <c r="Z72" s="6" t="s">
        <v>5</v>
      </c>
      <c r="AA72" s="22">
        <v>0.93799999999999994</v>
      </c>
      <c r="AB72" s="8">
        <v>0.9375</v>
      </c>
      <c r="AC72" s="8" t="s">
        <v>5</v>
      </c>
      <c r="AD72" s="22">
        <v>0.746</v>
      </c>
      <c r="AE72" s="7">
        <v>1.74</v>
      </c>
      <c r="AF72" s="6" t="s">
        <v>5</v>
      </c>
      <c r="AG72" s="22">
        <v>0.375</v>
      </c>
      <c r="AH72" s="7">
        <v>1.25</v>
      </c>
      <c r="AI72" s="6" t="s">
        <v>5</v>
      </c>
      <c r="AJ72" s="4">
        <v>10</v>
      </c>
      <c r="AK72" s="6" t="s">
        <v>5</v>
      </c>
      <c r="AL72" s="6" t="s">
        <v>5</v>
      </c>
      <c r="AM72" s="6" t="s">
        <v>5</v>
      </c>
      <c r="AN72" s="6" t="s">
        <v>5</v>
      </c>
      <c r="AO72" s="7">
        <v>9.43</v>
      </c>
      <c r="AP72" s="7">
        <v>5.12</v>
      </c>
      <c r="AQ72" s="7">
        <v>2.89</v>
      </c>
      <c r="AR72" s="7">
        <v>1.58</v>
      </c>
      <c r="AS72" s="7">
        <v>2.5499999999999998</v>
      </c>
      <c r="AT72" s="7">
        <v>2.08</v>
      </c>
      <c r="AU72" s="7">
        <v>1.1299999999999999</v>
      </c>
      <c r="AV72" s="22">
        <v>0.82399999999999995</v>
      </c>
      <c r="AW72" s="6">
        <v>1.55</v>
      </c>
      <c r="AX72" s="22">
        <v>0.64200000000000002</v>
      </c>
      <c r="AY72" s="12">
        <v>0.95699999999999996</v>
      </c>
      <c r="AZ72" s="22">
        <v>0.32200000000000001</v>
      </c>
      <c r="BA72" s="22">
        <v>0.44400000000000001</v>
      </c>
      <c r="BB72" s="6" t="s">
        <v>5</v>
      </c>
      <c r="BC72" s="6" t="s">
        <v>5</v>
      </c>
      <c r="BD72" s="6" t="s">
        <v>5</v>
      </c>
      <c r="BE72" s="6" t="s">
        <v>5</v>
      </c>
      <c r="BF72" s="6" t="s">
        <v>5</v>
      </c>
      <c r="BG72" s="6" t="s">
        <v>5</v>
      </c>
      <c r="BH72" s="6" t="s">
        <v>5</v>
      </c>
      <c r="BI72" s="7">
        <v>2.38</v>
      </c>
      <c r="BJ72" s="24" t="s">
        <v>5</v>
      </c>
      <c r="BK72" s="23">
        <v>0.35699999999999998</v>
      </c>
      <c r="BL72" s="6">
        <v>10.4</v>
      </c>
      <c r="BM72" s="7">
        <v>2.16</v>
      </c>
      <c r="BN72" s="6">
        <v>1.39</v>
      </c>
      <c r="BO72" s="7">
        <v>3.24</v>
      </c>
      <c r="BP72" s="7">
        <v>1.62</v>
      </c>
      <c r="BQ72" s="6">
        <v>1.29</v>
      </c>
      <c r="BR72" s="22">
        <v>0.628</v>
      </c>
      <c r="BS72" s="16">
        <v>4.8099999999999996</v>
      </c>
      <c r="BT72" s="16">
        <v>7.48</v>
      </c>
      <c r="BU72" s="16">
        <v>3.21</v>
      </c>
      <c r="BV72" s="16">
        <v>0.95699999999999996</v>
      </c>
      <c r="BW72" s="26">
        <v>1.2</v>
      </c>
      <c r="BX72" s="16">
        <v>2.4700000000000002</v>
      </c>
      <c r="BY72" s="25" t="s">
        <v>5</v>
      </c>
      <c r="BZ72" s="25" t="s">
        <v>5</v>
      </c>
      <c r="CA72" s="4">
        <v>13</v>
      </c>
      <c r="CB72" s="4">
        <v>11</v>
      </c>
      <c r="CC72" s="4">
        <v>16</v>
      </c>
      <c r="CD72" s="25" t="s">
        <v>5</v>
      </c>
      <c r="CE72" s="25" t="s">
        <v>5</v>
      </c>
      <c r="CF72" s="16" t="s">
        <v>5</v>
      </c>
      <c r="CG72" s="16" t="s">
        <v>5</v>
      </c>
      <c r="CH72" s="18" t="s">
        <v>5</v>
      </c>
      <c r="CL72" s="358">
        <v>1</v>
      </c>
      <c r="CM72" s="359">
        <v>51</v>
      </c>
      <c r="CN72" s="359">
        <v>64</v>
      </c>
      <c r="CO72" s="359">
        <v>90</v>
      </c>
      <c r="CP72" s="515">
        <v>1.25</v>
      </c>
      <c r="CQ72" s="516"/>
      <c r="CS72" s="335" t="str">
        <f t="shared" si="13"/>
        <v>L5X3X7/16</v>
      </c>
      <c r="CT72" s="338">
        <v>3.31</v>
      </c>
      <c r="CV72" s="344" t="str">
        <f t="shared" si="14"/>
        <v>WT22X131</v>
      </c>
      <c r="CW72" s="337">
        <v>38.5</v>
      </c>
      <c r="DE72" s="335" t="str">
        <f t="shared" si="15"/>
        <v>2L6X6X9/16</v>
      </c>
      <c r="DF72" s="337">
        <v>12.9</v>
      </c>
      <c r="DH72" s="397" t="s">
        <v>1284</v>
      </c>
      <c r="DI72" s="398">
        <v>95.9</v>
      </c>
      <c r="DJ72" s="398">
        <v>32.4</v>
      </c>
      <c r="DK72" s="400">
        <v>1.1399999999999999</v>
      </c>
      <c r="DL72" s="407">
        <v>23.4</v>
      </c>
      <c r="DM72" s="400">
        <v>3.75</v>
      </c>
      <c r="DN72" s="408">
        <v>1190</v>
      </c>
      <c r="DO72" s="409">
        <v>1040</v>
      </c>
      <c r="DP72" s="119"/>
      <c r="DQ72" s="428" t="s">
        <v>1309</v>
      </c>
      <c r="DR72" s="429">
        <v>906</v>
      </c>
      <c r="DS72" s="429">
        <v>15500</v>
      </c>
      <c r="DT72" s="431"/>
      <c r="DU72" s="431"/>
      <c r="DV72" s="431"/>
      <c r="DW72" s="431"/>
      <c r="DX72" s="432"/>
      <c r="DZ72" s="447" t="s">
        <v>1364</v>
      </c>
      <c r="EA72" s="448">
        <v>130</v>
      </c>
      <c r="EB72" s="448">
        <v>38.299999999999997</v>
      </c>
      <c r="EC72" s="448">
        <v>33.1</v>
      </c>
      <c r="ED72" s="448" t="s">
        <v>1708</v>
      </c>
      <c r="EE72" s="448">
        <v>0.57999999999999996</v>
      </c>
      <c r="EF72" s="449">
        <v>45185</v>
      </c>
      <c r="EG72" s="449">
        <v>45062</v>
      </c>
      <c r="EH72" s="448">
        <v>11.5</v>
      </c>
      <c r="EI72" s="448" t="s">
        <v>1704</v>
      </c>
      <c r="EJ72" s="448">
        <v>0.85499999999999998</v>
      </c>
      <c r="EK72" s="449">
        <v>45115</v>
      </c>
      <c r="EL72" s="448">
        <v>6.73</v>
      </c>
      <c r="EM72" s="448">
        <v>51.7</v>
      </c>
      <c r="EN72" s="448">
        <v>6710</v>
      </c>
      <c r="EO72" s="448">
        <v>406</v>
      </c>
      <c r="EP72" s="448">
        <v>13.2</v>
      </c>
      <c r="EQ72" s="448">
        <v>467</v>
      </c>
      <c r="ER72" s="448">
        <v>218</v>
      </c>
      <c r="ES72" s="448">
        <v>37.9</v>
      </c>
      <c r="ET72" s="448">
        <v>2.39</v>
      </c>
      <c r="EU72" s="450">
        <v>59.5</v>
      </c>
    </row>
    <row r="73" spans="2:151">
      <c r="B73" s="78" t="s">
        <v>7</v>
      </c>
      <c r="C73" s="79" t="s">
        <v>78</v>
      </c>
      <c r="D73" s="80" t="s">
        <v>78</v>
      </c>
      <c r="E73" s="1" t="s">
        <v>4</v>
      </c>
      <c r="F73" s="4">
        <v>11.3</v>
      </c>
      <c r="G73" s="7">
        <v>3.31</v>
      </c>
      <c r="H73" s="3" t="str">
        <f t="shared" si="12"/>
        <v>L5X3X7/16</v>
      </c>
      <c r="I73" s="7">
        <v>3</v>
      </c>
      <c r="J73" s="5" t="s">
        <v>5</v>
      </c>
      <c r="K73" s="6" t="s">
        <v>5</v>
      </c>
      <c r="L73" s="6" t="s">
        <v>5</v>
      </c>
      <c r="M73" s="6" t="s">
        <v>5</v>
      </c>
      <c r="N73" s="6" t="s">
        <v>5</v>
      </c>
      <c r="O73" s="5" t="s">
        <v>5</v>
      </c>
      <c r="P73" s="5" t="s">
        <v>5</v>
      </c>
      <c r="Q73" s="7">
        <v>5</v>
      </c>
      <c r="R73" s="6" t="s">
        <v>5</v>
      </c>
      <c r="S73" s="6" t="s">
        <v>5</v>
      </c>
      <c r="T73" s="5" t="s">
        <v>5</v>
      </c>
      <c r="U73" s="8" t="s">
        <v>5</v>
      </c>
      <c r="V73" s="6" t="s">
        <v>5</v>
      </c>
      <c r="W73" s="8" t="s">
        <v>5</v>
      </c>
      <c r="X73" s="22">
        <v>0.438</v>
      </c>
      <c r="Y73" s="6" t="s">
        <v>5</v>
      </c>
      <c r="Z73" s="6" t="s">
        <v>5</v>
      </c>
      <c r="AA73" s="22">
        <v>0.875</v>
      </c>
      <c r="AB73" s="8">
        <v>0.875</v>
      </c>
      <c r="AC73" s="8" t="s">
        <v>5</v>
      </c>
      <c r="AD73" s="22">
        <v>0.72199999999999998</v>
      </c>
      <c r="AE73" s="7">
        <v>1.72</v>
      </c>
      <c r="AF73" s="6" t="s">
        <v>5</v>
      </c>
      <c r="AG73" s="22">
        <v>0.33100000000000002</v>
      </c>
      <c r="AH73" s="7">
        <v>1.22</v>
      </c>
      <c r="AI73" s="6" t="s">
        <v>5</v>
      </c>
      <c r="AJ73" s="4">
        <v>11.4</v>
      </c>
      <c r="AK73" s="6" t="s">
        <v>5</v>
      </c>
      <c r="AL73" s="6" t="s">
        <v>5</v>
      </c>
      <c r="AM73" s="6" t="s">
        <v>5</v>
      </c>
      <c r="AN73" s="6" t="s">
        <v>5</v>
      </c>
      <c r="AO73" s="7">
        <v>8.41</v>
      </c>
      <c r="AP73" s="7">
        <v>4.53</v>
      </c>
      <c r="AQ73" s="7">
        <v>2.56</v>
      </c>
      <c r="AR73" s="7">
        <v>1.59</v>
      </c>
      <c r="AS73" s="7">
        <v>2.29</v>
      </c>
      <c r="AT73" s="7">
        <v>1.82</v>
      </c>
      <c r="AU73" s="7">
        <v>1</v>
      </c>
      <c r="AV73" s="22">
        <v>0.83099999999999996</v>
      </c>
      <c r="AW73" s="6">
        <v>1.37</v>
      </c>
      <c r="AX73" s="22">
        <v>0.64400000000000002</v>
      </c>
      <c r="AY73" s="29">
        <v>0.84</v>
      </c>
      <c r="AZ73" s="22">
        <v>0.22</v>
      </c>
      <c r="BA73" s="22">
        <v>0.30399999999999999</v>
      </c>
      <c r="BB73" s="6" t="s">
        <v>5</v>
      </c>
      <c r="BC73" s="6" t="s">
        <v>5</v>
      </c>
      <c r="BD73" s="6" t="s">
        <v>5</v>
      </c>
      <c r="BE73" s="6" t="s">
        <v>5</v>
      </c>
      <c r="BF73" s="6" t="s">
        <v>5</v>
      </c>
      <c r="BG73" s="6" t="s">
        <v>5</v>
      </c>
      <c r="BH73" s="6" t="s">
        <v>5</v>
      </c>
      <c r="BI73" s="7">
        <v>2.39</v>
      </c>
      <c r="BJ73" s="24" t="s">
        <v>5</v>
      </c>
      <c r="BK73" s="23">
        <v>0.36099999999999999</v>
      </c>
      <c r="BL73" s="6">
        <v>9.33</v>
      </c>
      <c r="BM73" s="7">
        <v>2.19</v>
      </c>
      <c r="BN73" s="7">
        <v>1.37</v>
      </c>
      <c r="BO73" s="7">
        <v>3.26</v>
      </c>
      <c r="BP73" s="7">
        <v>1.63</v>
      </c>
      <c r="BQ73" s="7">
        <v>1.26</v>
      </c>
      <c r="BR73" s="22">
        <v>0.64</v>
      </c>
      <c r="BS73" s="16">
        <v>4.26</v>
      </c>
      <c r="BT73" s="16">
        <v>6.81</v>
      </c>
      <c r="BU73" s="16">
        <v>2.86</v>
      </c>
      <c r="BV73" s="30">
        <v>0.84</v>
      </c>
      <c r="BW73" s="16">
        <v>1.0900000000000001</v>
      </c>
      <c r="BX73" s="16">
        <v>2.14</v>
      </c>
      <c r="BY73" s="25" t="s">
        <v>5</v>
      </c>
      <c r="BZ73" s="25" t="s">
        <v>5</v>
      </c>
      <c r="CA73" s="4">
        <v>13</v>
      </c>
      <c r="CB73" s="4">
        <v>11</v>
      </c>
      <c r="CC73" s="4">
        <v>16</v>
      </c>
      <c r="CD73" s="25" t="s">
        <v>5</v>
      </c>
      <c r="CE73" s="25" t="s">
        <v>5</v>
      </c>
      <c r="CF73" s="16" t="s">
        <v>5</v>
      </c>
      <c r="CG73" s="16" t="s">
        <v>5</v>
      </c>
      <c r="CH73" s="18" t="s">
        <v>5</v>
      </c>
      <c r="CL73" s="358">
        <v>1.125</v>
      </c>
      <c r="CM73" s="359">
        <v>64</v>
      </c>
      <c r="CN73" s="359">
        <v>80</v>
      </c>
      <c r="CO73" s="359">
        <v>113</v>
      </c>
      <c r="CP73" s="519">
        <v>1.5</v>
      </c>
      <c r="CQ73" s="520"/>
      <c r="CS73" s="335" t="str">
        <f t="shared" si="13"/>
        <v>L4X4X7/16</v>
      </c>
      <c r="CT73" s="338">
        <v>3.3</v>
      </c>
      <c r="CV73" s="344" t="str">
        <f t="shared" si="14"/>
        <v>WT22X131</v>
      </c>
      <c r="CW73" s="337">
        <v>38.5</v>
      </c>
      <c r="DE73" s="335" t="str">
        <f t="shared" si="15"/>
        <v>2L6X6X9/16</v>
      </c>
      <c r="DF73" s="337">
        <v>12.9</v>
      </c>
      <c r="DH73" s="397" t="s">
        <v>1293</v>
      </c>
      <c r="DI73" s="398">
        <v>86</v>
      </c>
      <c r="DJ73" s="398">
        <v>32</v>
      </c>
      <c r="DK73" s="400">
        <v>1.02</v>
      </c>
      <c r="DL73" s="407">
        <v>26.2</v>
      </c>
      <c r="DM73" s="400">
        <v>4.12</v>
      </c>
      <c r="DN73" s="408">
        <v>1060</v>
      </c>
      <c r="DO73" s="409">
        <v>930</v>
      </c>
      <c r="DP73" s="119"/>
      <c r="DQ73" s="428" t="s">
        <v>1310</v>
      </c>
      <c r="DR73" s="429">
        <v>869</v>
      </c>
      <c r="DS73" s="429">
        <v>14900</v>
      </c>
      <c r="DT73" s="431"/>
      <c r="DU73" s="431"/>
      <c r="DV73" s="431"/>
      <c r="DW73" s="431"/>
      <c r="DX73" s="432"/>
      <c r="DZ73" s="447" t="s">
        <v>1372</v>
      </c>
      <c r="EA73" s="448">
        <v>118</v>
      </c>
      <c r="EB73" s="448">
        <v>34.700000000000003</v>
      </c>
      <c r="EC73" s="448">
        <v>32.9</v>
      </c>
      <c r="ED73" s="448" t="s">
        <v>1709</v>
      </c>
      <c r="EE73" s="448">
        <v>0.55000000000000004</v>
      </c>
      <c r="EF73" s="449">
        <v>45185</v>
      </c>
      <c r="EG73" s="449">
        <v>45062</v>
      </c>
      <c r="EH73" s="448">
        <v>11.5</v>
      </c>
      <c r="EI73" s="448" t="s">
        <v>1704</v>
      </c>
      <c r="EJ73" s="448">
        <v>0.74</v>
      </c>
      <c r="EK73" s="449">
        <v>44989</v>
      </c>
      <c r="EL73" s="448">
        <v>7.76</v>
      </c>
      <c r="EM73" s="448">
        <v>54.5</v>
      </c>
      <c r="EN73" s="448">
        <v>5900</v>
      </c>
      <c r="EO73" s="448">
        <v>359</v>
      </c>
      <c r="EP73" s="448">
        <v>13</v>
      </c>
      <c r="EQ73" s="448">
        <v>415</v>
      </c>
      <c r="ER73" s="448">
        <v>187</v>
      </c>
      <c r="ES73" s="448">
        <v>32.6</v>
      </c>
      <c r="ET73" s="448">
        <v>2.3199999999999998</v>
      </c>
      <c r="EU73" s="450">
        <v>51.3</v>
      </c>
    </row>
    <row r="74" spans="2:151">
      <c r="B74" s="78" t="s">
        <v>7</v>
      </c>
      <c r="C74" s="79" t="s">
        <v>79</v>
      </c>
      <c r="D74" s="80" t="s">
        <v>79</v>
      </c>
      <c r="E74" s="1" t="s">
        <v>4</v>
      </c>
      <c r="F74" s="7">
        <v>9.8000000000000007</v>
      </c>
      <c r="G74" s="7">
        <v>2.86</v>
      </c>
      <c r="H74" s="3" t="str">
        <f t="shared" si="12"/>
        <v>L5X3X3/8</v>
      </c>
      <c r="I74" s="7">
        <v>3</v>
      </c>
      <c r="J74" s="5" t="s">
        <v>5</v>
      </c>
      <c r="K74" s="6" t="s">
        <v>5</v>
      </c>
      <c r="L74" s="6" t="s">
        <v>5</v>
      </c>
      <c r="M74" s="6" t="s">
        <v>5</v>
      </c>
      <c r="N74" s="6" t="s">
        <v>5</v>
      </c>
      <c r="O74" s="5" t="s">
        <v>5</v>
      </c>
      <c r="P74" s="5" t="s">
        <v>5</v>
      </c>
      <c r="Q74" s="7">
        <v>5</v>
      </c>
      <c r="R74" s="6" t="s">
        <v>5</v>
      </c>
      <c r="S74" s="6" t="s">
        <v>5</v>
      </c>
      <c r="T74" s="5" t="s">
        <v>5</v>
      </c>
      <c r="U74" s="8" t="s">
        <v>5</v>
      </c>
      <c r="V74" s="6" t="s">
        <v>5</v>
      </c>
      <c r="W74" s="8" t="s">
        <v>5</v>
      </c>
      <c r="X74" s="22">
        <v>0.375</v>
      </c>
      <c r="Y74" s="6" t="s">
        <v>5</v>
      </c>
      <c r="Z74" s="6" t="s">
        <v>5</v>
      </c>
      <c r="AA74" s="22">
        <v>0.81299999999999994</v>
      </c>
      <c r="AB74" s="8">
        <v>0.8125</v>
      </c>
      <c r="AC74" s="8" t="s">
        <v>5</v>
      </c>
      <c r="AD74" s="22">
        <v>0.69799999999999995</v>
      </c>
      <c r="AE74" s="7">
        <v>1.69</v>
      </c>
      <c r="AF74" s="6" t="s">
        <v>5</v>
      </c>
      <c r="AG74" s="22">
        <v>0.28599999999999998</v>
      </c>
      <c r="AH74" s="7">
        <v>1.19</v>
      </c>
      <c r="AI74" s="6" t="s">
        <v>5</v>
      </c>
      <c r="AJ74" s="4">
        <v>13.3</v>
      </c>
      <c r="AK74" s="6" t="s">
        <v>5</v>
      </c>
      <c r="AL74" s="6" t="s">
        <v>5</v>
      </c>
      <c r="AM74" s="6" t="s">
        <v>5</v>
      </c>
      <c r="AN74" s="6" t="s">
        <v>5</v>
      </c>
      <c r="AO74" s="7">
        <v>7.35</v>
      </c>
      <c r="AP74" s="7">
        <v>3.93</v>
      </c>
      <c r="AQ74" s="7">
        <v>2.2200000000000002</v>
      </c>
      <c r="AR74" s="7">
        <v>1.6</v>
      </c>
      <c r="AS74" s="7">
        <v>2.0099999999999998</v>
      </c>
      <c r="AT74" s="7">
        <v>1.57</v>
      </c>
      <c r="AU74" s="22">
        <v>0.874</v>
      </c>
      <c r="AV74" s="22">
        <v>0.83799999999999997</v>
      </c>
      <c r="AW74" s="7">
        <v>1.2</v>
      </c>
      <c r="AX74" s="22">
        <v>0.64600000000000002</v>
      </c>
      <c r="AY74" s="12">
        <v>0.72699999999999998</v>
      </c>
      <c r="AZ74" s="22">
        <v>0.14099999999999999</v>
      </c>
      <c r="BA74" s="22">
        <v>0.19600000000000001</v>
      </c>
      <c r="BB74" s="6" t="s">
        <v>5</v>
      </c>
      <c r="BC74" s="6" t="s">
        <v>5</v>
      </c>
      <c r="BD74" s="6" t="s">
        <v>5</v>
      </c>
      <c r="BE74" s="6" t="s">
        <v>5</v>
      </c>
      <c r="BF74" s="6" t="s">
        <v>5</v>
      </c>
      <c r="BG74" s="6" t="s">
        <v>5</v>
      </c>
      <c r="BH74" s="6" t="s">
        <v>5</v>
      </c>
      <c r="BI74" s="7">
        <v>2.41</v>
      </c>
      <c r="BJ74" s="24" t="s">
        <v>5</v>
      </c>
      <c r="BK74" s="23">
        <v>0.36399999999999999</v>
      </c>
      <c r="BL74" s="6">
        <v>8.16</v>
      </c>
      <c r="BM74" s="7">
        <v>2.2000000000000002</v>
      </c>
      <c r="BN74" s="6">
        <v>1.35</v>
      </c>
      <c r="BO74" s="7">
        <v>3.29</v>
      </c>
      <c r="BP74" s="7">
        <v>1.65</v>
      </c>
      <c r="BQ74" s="6">
        <v>1.23</v>
      </c>
      <c r="BR74" s="22">
        <v>0.65200000000000002</v>
      </c>
      <c r="BS74" s="16">
        <v>3.71</v>
      </c>
      <c r="BT74" s="16">
        <v>6.04</v>
      </c>
      <c r="BU74" s="16">
        <v>2.48</v>
      </c>
      <c r="BV74" s="16">
        <v>0.72699999999999998</v>
      </c>
      <c r="BW74" s="16">
        <v>0.97599999999999998</v>
      </c>
      <c r="BX74" s="16">
        <v>1.84</v>
      </c>
      <c r="BY74" s="25" t="s">
        <v>5</v>
      </c>
      <c r="BZ74" s="25" t="s">
        <v>5</v>
      </c>
      <c r="CA74" s="4">
        <v>13</v>
      </c>
      <c r="CB74" s="4">
        <v>11</v>
      </c>
      <c r="CC74" s="4">
        <v>16</v>
      </c>
      <c r="CD74" s="25" t="s">
        <v>5</v>
      </c>
      <c r="CE74" s="25" t="s">
        <v>5</v>
      </c>
      <c r="CF74" s="16" t="s">
        <v>5</v>
      </c>
      <c r="CG74" s="16" t="s">
        <v>5</v>
      </c>
      <c r="CH74" s="18" t="s">
        <v>5</v>
      </c>
      <c r="CL74" s="358">
        <v>1.25</v>
      </c>
      <c r="CM74" s="359">
        <v>81</v>
      </c>
      <c r="CN74" s="359">
        <v>102</v>
      </c>
      <c r="CO74" s="359">
        <v>143</v>
      </c>
      <c r="CP74" s="519">
        <v>1.625</v>
      </c>
      <c r="CQ74" s="520"/>
      <c r="CS74" s="335" t="str">
        <f t="shared" si="13"/>
        <v>L4X3X1/2</v>
      </c>
      <c r="CT74" s="338">
        <v>3.25</v>
      </c>
      <c r="CV74" s="344" t="str">
        <f t="shared" si="14"/>
        <v>WT22X131</v>
      </c>
      <c r="CW74" s="337">
        <v>38.5</v>
      </c>
      <c r="DE74" s="335" t="str">
        <f t="shared" si="15"/>
        <v>2L6X6X9/16</v>
      </c>
      <c r="DF74" s="337">
        <v>12.9</v>
      </c>
      <c r="DH74" s="397" t="s">
        <v>1303</v>
      </c>
      <c r="DI74" s="398">
        <v>77</v>
      </c>
      <c r="DJ74" s="398">
        <v>31.6</v>
      </c>
      <c r="DK74" s="399">
        <v>0.93</v>
      </c>
      <c r="DL74" s="407">
        <v>28.7</v>
      </c>
      <c r="DM74" s="400">
        <v>4.59</v>
      </c>
      <c r="DN74" s="408">
        <v>943</v>
      </c>
      <c r="DO74" s="409">
        <v>829</v>
      </c>
      <c r="DP74" s="119"/>
      <c r="DQ74" s="428" t="s">
        <v>1311</v>
      </c>
      <c r="DR74" s="429">
        <v>869</v>
      </c>
      <c r="DS74" s="429">
        <v>6600</v>
      </c>
      <c r="DT74" s="431"/>
      <c r="DU74" s="431"/>
      <c r="DV74" s="431"/>
      <c r="DW74" s="431"/>
      <c r="DX74" s="432"/>
      <c r="DZ74" s="447" t="s">
        <v>1267</v>
      </c>
      <c r="EA74" s="448">
        <v>391</v>
      </c>
      <c r="EB74" s="448">
        <v>115</v>
      </c>
      <c r="EC74" s="448">
        <v>33.200000000000003</v>
      </c>
      <c r="ED74" s="448" t="s">
        <v>1707</v>
      </c>
      <c r="EE74" s="448">
        <v>1.36</v>
      </c>
      <c r="EF74" s="448" t="s">
        <v>1678</v>
      </c>
      <c r="EG74" s="449">
        <v>45246</v>
      </c>
      <c r="EH74" s="448">
        <v>15.6</v>
      </c>
      <c r="EI74" s="448" t="s">
        <v>1710</v>
      </c>
      <c r="EJ74" s="448">
        <v>2.44</v>
      </c>
      <c r="EK74" s="448" t="s">
        <v>1679</v>
      </c>
      <c r="EL74" s="448">
        <v>3.19</v>
      </c>
      <c r="EM74" s="448">
        <v>19.7</v>
      </c>
      <c r="EN74" s="448">
        <v>20700</v>
      </c>
      <c r="EO74" s="448">
        <v>1250</v>
      </c>
      <c r="EP74" s="448">
        <v>13.4</v>
      </c>
      <c r="EQ74" s="448">
        <v>1450</v>
      </c>
      <c r="ER74" s="448">
        <v>1550</v>
      </c>
      <c r="ES74" s="448">
        <v>198</v>
      </c>
      <c r="ET74" s="448">
        <v>3.67</v>
      </c>
      <c r="EU74" s="450">
        <v>310</v>
      </c>
    </row>
    <row r="75" spans="2:151">
      <c r="B75" s="78" t="s">
        <v>7</v>
      </c>
      <c r="C75" s="79" t="s">
        <v>80</v>
      </c>
      <c r="D75" s="80" t="s">
        <v>80</v>
      </c>
      <c r="E75" s="1" t="s">
        <v>4</v>
      </c>
      <c r="F75" s="7">
        <v>8.1999999999999993</v>
      </c>
      <c r="G75" s="7">
        <v>2.41</v>
      </c>
      <c r="H75" s="3" t="str">
        <f t="shared" si="12"/>
        <v>L5X3X5/16</v>
      </c>
      <c r="I75" s="7">
        <v>3</v>
      </c>
      <c r="J75" s="5" t="s">
        <v>5</v>
      </c>
      <c r="K75" s="6" t="s">
        <v>5</v>
      </c>
      <c r="L75" s="6" t="s">
        <v>5</v>
      </c>
      <c r="M75" s="6" t="s">
        <v>5</v>
      </c>
      <c r="N75" s="6" t="s">
        <v>5</v>
      </c>
      <c r="O75" s="5" t="s">
        <v>5</v>
      </c>
      <c r="P75" s="5" t="s">
        <v>5</v>
      </c>
      <c r="Q75" s="7">
        <v>5</v>
      </c>
      <c r="R75" s="6" t="s">
        <v>5</v>
      </c>
      <c r="S75" s="6" t="s">
        <v>5</v>
      </c>
      <c r="T75" s="5" t="s">
        <v>5</v>
      </c>
      <c r="U75" s="8" t="s">
        <v>5</v>
      </c>
      <c r="V75" s="6" t="s">
        <v>5</v>
      </c>
      <c r="W75" s="8" t="s">
        <v>5</v>
      </c>
      <c r="X75" s="22">
        <v>0.313</v>
      </c>
      <c r="Y75" s="6" t="s">
        <v>5</v>
      </c>
      <c r="Z75" s="6" t="s">
        <v>5</v>
      </c>
      <c r="AA75" s="22">
        <v>0.75</v>
      </c>
      <c r="AB75" s="8">
        <v>0.75</v>
      </c>
      <c r="AC75" s="8" t="s">
        <v>5</v>
      </c>
      <c r="AD75" s="22">
        <v>0.67300000000000004</v>
      </c>
      <c r="AE75" s="7">
        <v>1.67</v>
      </c>
      <c r="AF75" s="6" t="s">
        <v>5</v>
      </c>
      <c r="AG75" s="22">
        <v>0.24099999999999999</v>
      </c>
      <c r="AH75" s="7">
        <v>1.1399999999999999</v>
      </c>
      <c r="AI75" s="6" t="s">
        <v>5</v>
      </c>
      <c r="AJ75" s="4">
        <v>16</v>
      </c>
      <c r="AK75" s="6" t="s">
        <v>5</v>
      </c>
      <c r="AL75" s="6" t="s">
        <v>5</v>
      </c>
      <c r="AM75" s="6" t="s">
        <v>5</v>
      </c>
      <c r="AN75" s="6" t="s">
        <v>5</v>
      </c>
      <c r="AO75" s="7">
        <v>6.24</v>
      </c>
      <c r="AP75" s="7">
        <v>3.32</v>
      </c>
      <c r="AQ75" s="7">
        <v>1.87</v>
      </c>
      <c r="AR75" s="7">
        <v>1.61</v>
      </c>
      <c r="AS75" s="7">
        <v>1.72</v>
      </c>
      <c r="AT75" s="7">
        <v>1.31</v>
      </c>
      <c r="AU75" s="22">
        <v>0.73899999999999999</v>
      </c>
      <c r="AV75" s="22">
        <v>0.84599999999999997</v>
      </c>
      <c r="AW75" s="6">
        <v>1.01</v>
      </c>
      <c r="AX75" s="22">
        <v>0.64900000000000002</v>
      </c>
      <c r="AY75" s="12">
        <v>0.60799999999999998</v>
      </c>
      <c r="AZ75" s="28">
        <v>8.3199999999999996E-2</v>
      </c>
      <c r="BA75" s="22">
        <v>0.11600000000000001</v>
      </c>
      <c r="BB75" s="6" t="s">
        <v>5</v>
      </c>
      <c r="BC75" s="6" t="s">
        <v>5</v>
      </c>
      <c r="BD75" s="6" t="s">
        <v>5</v>
      </c>
      <c r="BE75" s="6" t="s">
        <v>5</v>
      </c>
      <c r="BF75" s="6" t="s">
        <v>5</v>
      </c>
      <c r="BG75" s="6" t="s">
        <v>5</v>
      </c>
      <c r="BH75" s="6" t="s">
        <v>5</v>
      </c>
      <c r="BI75" s="7">
        <v>2.42</v>
      </c>
      <c r="BJ75" s="24" t="s">
        <v>5</v>
      </c>
      <c r="BK75" s="23">
        <v>0.36799999999999999</v>
      </c>
      <c r="BL75" s="6">
        <v>6.95</v>
      </c>
      <c r="BM75" s="7">
        <v>2.2200000000000002</v>
      </c>
      <c r="BN75" s="6">
        <v>1.33</v>
      </c>
      <c r="BO75" s="7">
        <v>3.3</v>
      </c>
      <c r="BP75" s="7">
        <v>1.66</v>
      </c>
      <c r="BQ75" s="6">
        <v>1.21</v>
      </c>
      <c r="BR75" s="22">
        <v>0.66500000000000004</v>
      </c>
      <c r="BS75" s="16">
        <v>3.13</v>
      </c>
      <c r="BT75" s="16">
        <v>5.23</v>
      </c>
      <c r="BU75" s="16">
        <v>2.11</v>
      </c>
      <c r="BV75" s="16">
        <v>0.60799999999999998</v>
      </c>
      <c r="BW75" s="16">
        <v>0.83499999999999996</v>
      </c>
      <c r="BX75" s="16">
        <v>1.52</v>
      </c>
      <c r="BY75" s="25" t="s">
        <v>5</v>
      </c>
      <c r="BZ75" s="25" t="s">
        <v>5</v>
      </c>
      <c r="CA75" s="4">
        <v>13</v>
      </c>
      <c r="CB75" s="4">
        <v>11</v>
      </c>
      <c r="CC75" s="4">
        <v>16</v>
      </c>
      <c r="CD75" s="25" t="s">
        <v>5</v>
      </c>
      <c r="CE75" s="25" t="s">
        <v>5</v>
      </c>
      <c r="CF75" s="16" t="s">
        <v>5</v>
      </c>
      <c r="CG75" s="16" t="s">
        <v>5</v>
      </c>
      <c r="CH75" s="18" t="s">
        <v>5</v>
      </c>
      <c r="CL75" s="358">
        <v>1.375</v>
      </c>
      <c r="CM75" s="359">
        <v>97</v>
      </c>
      <c r="CN75" s="359">
        <v>121</v>
      </c>
      <c r="CO75" s="359">
        <v>1</v>
      </c>
      <c r="CP75" s="519" t="e">
        <f>1.25*(#REF!)</f>
        <v>#REF!</v>
      </c>
      <c r="CQ75" s="520"/>
      <c r="CS75" s="335" t="str">
        <f t="shared" si="13"/>
        <v>L4X3X1/2</v>
      </c>
      <c r="CT75" s="338">
        <v>3.25</v>
      </c>
      <c r="CV75" s="344" t="str">
        <f t="shared" si="14"/>
        <v>WT13.5X129</v>
      </c>
      <c r="CW75" s="337">
        <v>38.1</v>
      </c>
      <c r="DE75" s="335" t="str">
        <f t="shared" si="15"/>
        <v>2L5X5X5/8</v>
      </c>
      <c r="DF75" s="337">
        <v>11.8</v>
      </c>
      <c r="DH75" s="397" t="s">
        <v>1314</v>
      </c>
      <c r="DI75" s="398">
        <v>69.3</v>
      </c>
      <c r="DJ75" s="398">
        <v>31.3</v>
      </c>
      <c r="DK75" s="399">
        <v>0.83</v>
      </c>
      <c r="DL75" s="407">
        <v>32.200000000000003</v>
      </c>
      <c r="DM75" s="400">
        <v>5.0199999999999996</v>
      </c>
      <c r="DN75" s="408">
        <v>847</v>
      </c>
      <c r="DO75" s="409">
        <v>748</v>
      </c>
      <c r="DP75" s="119"/>
      <c r="DQ75" s="428" t="s">
        <v>1312</v>
      </c>
      <c r="DR75" s="429">
        <v>857</v>
      </c>
      <c r="DS75" s="429">
        <v>12900</v>
      </c>
      <c r="DT75" s="431"/>
      <c r="DU75" s="431"/>
      <c r="DV75" s="431"/>
      <c r="DW75" s="431"/>
      <c r="DX75" s="432"/>
      <c r="DZ75" s="447" t="s">
        <v>1274</v>
      </c>
      <c r="EA75" s="448">
        <v>357</v>
      </c>
      <c r="EB75" s="448">
        <v>105</v>
      </c>
      <c r="EC75" s="448">
        <v>32.799999999999997</v>
      </c>
      <c r="ED75" s="448" t="s">
        <v>1711</v>
      </c>
      <c r="EE75" s="448">
        <v>1.24</v>
      </c>
      <c r="EF75" s="448" t="s">
        <v>1624</v>
      </c>
      <c r="EG75" s="449">
        <v>45054</v>
      </c>
      <c r="EH75" s="448">
        <v>15.5</v>
      </c>
      <c r="EI75" s="448" t="s">
        <v>1712</v>
      </c>
      <c r="EJ75" s="448">
        <v>2.2400000000000002</v>
      </c>
      <c r="EK75" s="448" t="s">
        <v>1697</v>
      </c>
      <c r="EL75" s="448">
        <v>3.45</v>
      </c>
      <c r="EM75" s="448">
        <v>21.6</v>
      </c>
      <c r="EN75" s="448">
        <v>18700</v>
      </c>
      <c r="EO75" s="448">
        <v>1140</v>
      </c>
      <c r="EP75" s="448">
        <v>13.3</v>
      </c>
      <c r="EQ75" s="448">
        <v>1320</v>
      </c>
      <c r="ER75" s="448">
        <v>1390</v>
      </c>
      <c r="ES75" s="448">
        <v>179</v>
      </c>
      <c r="ET75" s="448">
        <v>3.64</v>
      </c>
      <c r="EU75" s="450">
        <v>279</v>
      </c>
    </row>
    <row r="76" spans="2:151" ht="14.4" thickBot="1">
      <c r="B76" s="78" t="s">
        <v>7</v>
      </c>
      <c r="C76" s="79" t="s">
        <v>81</v>
      </c>
      <c r="D76" s="80" t="s">
        <v>81</v>
      </c>
      <c r="E76" s="1" t="s">
        <v>4</v>
      </c>
      <c r="F76" s="7">
        <v>6.6</v>
      </c>
      <c r="G76" s="7">
        <v>1.94</v>
      </c>
      <c r="H76" s="3" t="str">
        <f t="shared" si="12"/>
        <v>L5X3X1/4</v>
      </c>
      <c r="I76" s="7">
        <v>3</v>
      </c>
      <c r="J76" s="5" t="s">
        <v>5</v>
      </c>
      <c r="K76" s="6" t="s">
        <v>5</v>
      </c>
      <c r="L76" s="6" t="s">
        <v>5</v>
      </c>
      <c r="M76" s="6" t="s">
        <v>5</v>
      </c>
      <c r="N76" s="6" t="s">
        <v>5</v>
      </c>
      <c r="O76" s="5" t="s">
        <v>5</v>
      </c>
      <c r="P76" s="5" t="s">
        <v>5</v>
      </c>
      <c r="Q76" s="7">
        <v>5</v>
      </c>
      <c r="R76" s="6" t="s">
        <v>5</v>
      </c>
      <c r="S76" s="6" t="s">
        <v>5</v>
      </c>
      <c r="T76" s="5" t="s">
        <v>5</v>
      </c>
      <c r="U76" s="8" t="s">
        <v>5</v>
      </c>
      <c r="V76" s="6" t="s">
        <v>5</v>
      </c>
      <c r="W76" s="8" t="s">
        <v>5</v>
      </c>
      <c r="X76" s="22">
        <v>0.25</v>
      </c>
      <c r="Y76" s="6" t="s">
        <v>5</v>
      </c>
      <c r="Z76" s="6" t="s">
        <v>5</v>
      </c>
      <c r="AA76" s="22">
        <v>0.68799999999999994</v>
      </c>
      <c r="AB76" s="8">
        <v>0.6875</v>
      </c>
      <c r="AC76" s="8" t="s">
        <v>5</v>
      </c>
      <c r="AD76" s="22">
        <v>0.64800000000000002</v>
      </c>
      <c r="AE76" s="7">
        <v>1.64</v>
      </c>
      <c r="AF76" s="6" t="s">
        <v>5</v>
      </c>
      <c r="AG76" s="22">
        <v>0.19400000000000001</v>
      </c>
      <c r="AH76" s="7">
        <v>1.1200000000000001</v>
      </c>
      <c r="AI76" s="6" t="s">
        <v>5</v>
      </c>
      <c r="AJ76" s="4">
        <v>20</v>
      </c>
      <c r="AK76" s="6" t="s">
        <v>5</v>
      </c>
      <c r="AL76" s="6" t="s">
        <v>5</v>
      </c>
      <c r="AM76" s="6" t="s">
        <v>5</v>
      </c>
      <c r="AN76" s="6" t="s">
        <v>5</v>
      </c>
      <c r="AO76" s="7">
        <v>5.09</v>
      </c>
      <c r="AP76" s="7">
        <v>2.68</v>
      </c>
      <c r="AQ76" s="7">
        <v>1.51</v>
      </c>
      <c r="AR76" s="7">
        <v>1.62</v>
      </c>
      <c r="AS76" s="7">
        <v>1.41</v>
      </c>
      <c r="AT76" s="7">
        <v>1.05</v>
      </c>
      <c r="AU76" s="22">
        <v>0.6</v>
      </c>
      <c r="AV76" s="22">
        <v>0.85299999999999998</v>
      </c>
      <c r="AW76" s="6">
        <v>0.82499999999999996</v>
      </c>
      <c r="AX76" s="22">
        <v>0.65200000000000002</v>
      </c>
      <c r="AY76" s="12">
        <v>0.49099999999999999</v>
      </c>
      <c r="AZ76" s="28">
        <v>4.3799999999999999E-2</v>
      </c>
      <c r="BA76" s="28">
        <v>6.0600000000000001E-2</v>
      </c>
      <c r="BB76" s="6" t="s">
        <v>5</v>
      </c>
      <c r="BC76" s="6" t="s">
        <v>5</v>
      </c>
      <c r="BD76" s="6" t="s">
        <v>5</v>
      </c>
      <c r="BE76" s="6" t="s">
        <v>5</v>
      </c>
      <c r="BF76" s="6" t="s">
        <v>5</v>
      </c>
      <c r="BG76" s="6" t="s">
        <v>5</v>
      </c>
      <c r="BH76" s="6" t="s">
        <v>5</v>
      </c>
      <c r="BI76" s="7">
        <v>2.4300000000000002</v>
      </c>
      <c r="BJ76" s="24" t="s">
        <v>5</v>
      </c>
      <c r="BK76" s="23">
        <v>0.371</v>
      </c>
      <c r="BL76" s="6">
        <v>5.68</v>
      </c>
      <c r="BM76" s="7">
        <v>2.2400000000000002</v>
      </c>
      <c r="BN76" s="6">
        <v>1.31</v>
      </c>
      <c r="BO76" s="7">
        <v>3.33</v>
      </c>
      <c r="BP76" s="7">
        <v>1.68</v>
      </c>
      <c r="BQ76" s="7">
        <v>1.18</v>
      </c>
      <c r="BR76" s="22">
        <v>0.67700000000000005</v>
      </c>
      <c r="BS76" s="16">
        <v>2.54</v>
      </c>
      <c r="BT76" s="16">
        <v>4.34</v>
      </c>
      <c r="BU76" s="16">
        <v>1.71</v>
      </c>
      <c r="BV76" s="16">
        <v>0.49099999999999999</v>
      </c>
      <c r="BW76" s="16">
        <v>0.69899999999999995</v>
      </c>
      <c r="BX76" s="16">
        <v>1.22</v>
      </c>
      <c r="BY76" s="25" t="s">
        <v>5</v>
      </c>
      <c r="BZ76" s="25" t="s">
        <v>5</v>
      </c>
      <c r="CA76" s="4">
        <v>13</v>
      </c>
      <c r="CB76" s="4">
        <v>11</v>
      </c>
      <c r="CC76" s="4">
        <v>16</v>
      </c>
      <c r="CD76" s="25" t="s">
        <v>5</v>
      </c>
      <c r="CE76" s="25" t="s">
        <v>5</v>
      </c>
      <c r="CF76" s="16" t="s">
        <v>5</v>
      </c>
      <c r="CG76" s="16" t="s">
        <v>5</v>
      </c>
      <c r="CH76" s="18" t="s">
        <v>5</v>
      </c>
      <c r="CL76" s="360">
        <v>1.5</v>
      </c>
      <c r="CM76" s="361">
        <v>118</v>
      </c>
      <c r="CN76" s="361">
        <v>148</v>
      </c>
      <c r="CO76" s="361">
        <v>1</v>
      </c>
      <c r="CP76" s="531" t="e">
        <f>1.25*(#REF!)</f>
        <v>#REF!</v>
      </c>
      <c r="CQ76" s="532"/>
      <c r="CS76" s="335" t="str">
        <f t="shared" si="13"/>
        <v>L5X5X5/16</v>
      </c>
      <c r="CT76" s="338">
        <v>3.07</v>
      </c>
      <c r="CV76" s="344" t="str">
        <f t="shared" si="14"/>
        <v>WT9X129</v>
      </c>
      <c r="CW76" s="337">
        <v>38</v>
      </c>
      <c r="DE76" s="335" t="str">
        <f t="shared" si="15"/>
        <v>2L5X5X5/8</v>
      </c>
      <c r="DF76" s="337">
        <v>11.8</v>
      </c>
      <c r="DH76" s="397" t="s">
        <v>1323</v>
      </c>
      <c r="DI76" s="398">
        <v>62.3</v>
      </c>
      <c r="DJ76" s="398">
        <v>30.9</v>
      </c>
      <c r="DK76" s="399">
        <v>0.77500000000000002</v>
      </c>
      <c r="DL76" s="407">
        <v>34.5</v>
      </c>
      <c r="DM76" s="400">
        <v>5.74</v>
      </c>
      <c r="DN76" s="408">
        <v>751</v>
      </c>
      <c r="DO76" s="409">
        <v>665</v>
      </c>
      <c r="DP76" s="119"/>
      <c r="DQ76" s="428" t="s">
        <v>1313</v>
      </c>
      <c r="DR76" s="429">
        <v>852</v>
      </c>
      <c r="DS76" s="429">
        <v>10800</v>
      </c>
      <c r="DT76" s="431"/>
      <c r="DU76" s="431"/>
      <c r="DV76" s="431"/>
      <c r="DW76" s="431"/>
      <c r="DX76" s="432"/>
      <c r="DZ76" s="447" t="s">
        <v>1284</v>
      </c>
      <c r="EA76" s="448">
        <v>326</v>
      </c>
      <c r="EB76" s="448">
        <v>95.9</v>
      </c>
      <c r="EC76" s="448">
        <v>32.4</v>
      </c>
      <c r="ED76" s="448" t="s">
        <v>1713</v>
      </c>
      <c r="EE76" s="448">
        <v>1.1399999999999999</v>
      </c>
      <c r="EF76" s="448" t="s">
        <v>1643</v>
      </c>
      <c r="EG76" s="449">
        <v>45185</v>
      </c>
      <c r="EH76" s="448">
        <v>15.4</v>
      </c>
      <c r="EI76" s="448" t="s">
        <v>1714</v>
      </c>
      <c r="EJ76" s="448">
        <v>2.0499999999999998</v>
      </c>
      <c r="EK76" s="448" t="s">
        <v>1641</v>
      </c>
      <c r="EL76" s="448">
        <v>3.75</v>
      </c>
      <c r="EM76" s="448">
        <v>23.4</v>
      </c>
      <c r="EN76" s="448">
        <v>16800</v>
      </c>
      <c r="EO76" s="448">
        <v>1040</v>
      </c>
      <c r="EP76" s="448">
        <v>13.2</v>
      </c>
      <c r="EQ76" s="448">
        <v>1190</v>
      </c>
      <c r="ER76" s="448">
        <v>1240</v>
      </c>
      <c r="ES76" s="448">
        <v>162</v>
      </c>
      <c r="ET76" s="448">
        <v>3.6</v>
      </c>
      <c r="EU76" s="450">
        <v>252</v>
      </c>
    </row>
    <row r="77" spans="2:151">
      <c r="B77" s="78" t="s">
        <v>7</v>
      </c>
      <c r="C77" s="79" t="s">
        <v>82</v>
      </c>
      <c r="D77" s="80" t="s">
        <v>82</v>
      </c>
      <c r="E77" s="1" t="s">
        <v>4</v>
      </c>
      <c r="F77" s="4">
        <v>18.5</v>
      </c>
      <c r="G77" s="7">
        <v>5.44</v>
      </c>
      <c r="H77" s="3" t="str">
        <f t="shared" si="12"/>
        <v>L4X4X3/4</v>
      </c>
      <c r="I77" s="7">
        <v>4</v>
      </c>
      <c r="J77" s="5" t="s">
        <v>5</v>
      </c>
      <c r="K77" s="6" t="s">
        <v>5</v>
      </c>
      <c r="L77" s="6" t="s">
        <v>5</v>
      </c>
      <c r="M77" s="6" t="s">
        <v>5</v>
      </c>
      <c r="N77" s="6" t="s">
        <v>5</v>
      </c>
      <c r="O77" s="5" t="s">
        <v>5</v>
      </c>
      <c r="P77" s="5" t="s">
        <v>5</v>
      </c>
      <c r="Q77" s="7">
        <v>4</v>
      </c>
      <c r="R77" s="6" t="s">
        <v>5</v>
      </c>
      <c r="S77" s="6" t="s">
        <v>5</v>
      </c>
      <c r="T77" s="5" t="s">
        <v>5</v>
      </c>
      <c r="U77" s="8" t="s">
        <v>5</v>
      </c>
      <c r="V77" s="6" t="s">
        <v>5</v>
      </c>
      <c r="W77" s="8" t="s">
        <v>5</v>
      </c>
      <c r="X77" s="22">
        <v>0.75</v>
      </c>
      <c r="Y77" s="6" t="s">
        <v>5</v>
      </c>
      <c r="Z77" s="6" t="s">
        <v>5</v>
      </c>
      <c r="AA77" s="7">
        <v>1.1299999999999999</v>
      </c>
      <c r="AB77" s="8">
        <v>1.125</v>
      </c>
      <c r="AC77" s="8" t="s">
        <v>5</v>
      </c>
      <c r="AD77" s="7">
        <v>1.27</v>
      </c>
      <c r="AE77" s="7">
        <v>1.27</v>
      </c>
      <c r="AF77" s="6" t="s">
        <v>5</v>
      </c>
      <c r="AG77" s="22">
        <v>0.68</v>
      </c>
      <c r="AH77" s="22">
        <v>0.68</v>
      </c>
      <c r="AI77" s="6" t="s">
        <v>5</v>
      </c>
      <c r="AJ77" s="7">
        <v>5.33</v>
      </c>
      <c r="AK77" s="6" t="s">
        <v>5</v>
      </c>
      <c r="AL77" s="6" t="s">
        <v>5</v>
      </c>
      <c r="AM77" s="6" t="s">
        <v>5</v>
      </c>
      <c r="AN77" s="6" t="s">
        <v>5</v>
      </c>
      <c r="AO77" s="7">
        <v>7.62</v>
      </c>
      <c r="AP77" s="7">
        <v>5.0199999999999996</v>
      </c>
      <c r="AQ77" s="7">
        <v>2.79</v>
      </c>
      <c r="AR77" s="7">
        <v>1.18</v>
      </c>
      <c r="AS77" s="7">
        <v>7.62</v>
      </c>
      <c r="AT77" s="7">
        <v>5.0199999999999996</v>
      </c>
      <c r="AU77" s="7">
        <v>2.79</v>
      </c>
      <c r="AV77" s="7">
        <v>1.18</v>
      </c>
      <c r="AW77" s="6">
        <v>3.25</v>
      </c>
      <c r="AX77" s="22">
        <v>0.77400000000000002</v>
      </c>
      <c r="AY77" s="12">
        <v>1.81</v>
      </c>
      <c r="AZ77" s="7">
        <v>1.02</v>
      </c>
      <c r="BA77" s="7">
        <v>1.1200000000000001</v>
      </c>
      <c r="BB77" s="6" t="s">
        <v>5</v>
      </c>
      <c r="BC77" s="6" t="s">
        <v>5</v>
      </c>
      <c r="BD77" s="6" t="s">
        <v>5</v>
      </c>
      <c r="BE77" s="6" t="s">
        <v>5</v>
      </c>
      <c r="BF77" s="6" t="s">
        <v>5</v>
      </c>
      <c r="BG77" s="6" t="s">
        <v>5</v>
      </c>
      <c r="BH77" s="6" t="s">
        <v>5</v>
      </c>
      <c r="BI77" s="7">
        <v>2.1</v>
      </c>
      <c r="BJ77" s="23">
        <v>0.64</v>
      </c>
      <c r="BK77" s="24">
        <v>1</v>
      </c>
      <c r="BL77" s="4">
        <v>12</v>
      </c>
      <c r="BM77" s="7">
        <v>2.56</v>
      </c>
      <c r="BN77" s="2">
        <v>0</v>
      </c>
      <c r="BO77" s="7">
        <v>2.56</v>
      </c>
      <c r="BP77" s="7">
        <v>1.3</v>
      </c>
      <c r="BQ77" s="7">
        <v>1.8</v>
      </c>
      <c r="BR77" s="7">
        <v>1.3</v>
      </c>
      <c r="BS77" s="16">
        <v>4.6900000000000004</v>
      </c>
      <c r="BT77" s="16" t="s">
        <v>5</v>
      </c>
      <c r="BU77" s="16">
        <v>4.6900000000000004</v>
      </c>
      <c r="BV77" s="26">
        <v>2.5</v>
      </c>
      <c r="BW77" s="16">
        <v>1.81</v>
      </c>
      <c r="BX77" s="26">
        <v>2.5</v>
      </c>
      <c r="BY77" s="25" t="s">
        <v>5</v>
      </c>
      <c r="BZ77" s="25" t="s">
        <v>5</v>
      </c>
      <c r="CA77" s="4">
        <v>12</v>
      </c>
      <c r="CB77" s="4">
        <v>12</v>
      </c>
      <c r="CC77" s="4">
        <v>16</v>
      </c>
      <c r="CD77" s="25" t="s">
        <v>5</v>
      </c>
      <c r="CE77" s="25" t="s">
        <v>5</v>
      </c>
      <c r="CF77" s="16" t="s">
        <v>5</v>
      </c>
      <c r="CG77" s="16" t="s">
        <v>5</v>
      </c>
      <c r="CH77" s="18" t="s">
        <v>5</v>
      </c>
      <c r="CS77" s="335" t="str">
        <f t="shared" si="13"/>
        <v>L5X3-1/2X3/8</v>
      </c>
      <c r="CT77" s="338">
        <v>3.05</v>
      </c>
      <c r="CV77" s="344" t="str">
        <f t="shared" si="14"/>
        <v>WT7X128.5</v>
      </c>
      <c r="CW77" s="337">
        <v>37.799999999999997</v>
      </c>
      <c r="DE77" s="335" t="str">
        <f t="shared" si="15"/>
        <v>2L5X5X5/8</v>
      </c>
      <c r="DF77" s="337">
        <v>11.8</v>
      </c>
      <c r="DH77" s="397" t="s">
        <v>1331</v>
      </c>
      <c r="DI77" s="398">
        <v>56.1</v>
      </c>
      <c r="DJ77" s="398">
        <v>30.7</v>
      </c>
      <c r="DK77" s="399">
        <v>0.71</v>
      </c>
      <c r="DL77" s="407">
        <v>37.700000000000003</v>
      </c>
      <c r="DM77" s="400">
        <v>6.35</v>
      </c>
      <c r="DN77" s="408">
        <v>675</v>
      </c>
      <c r="DO77" s="409">
        <v>600</v>
      </c>
      <c r="DP77" s="119"/>
      <c r="DQ77" s="428" t="s">
        <v>1314</v>
      </c>
      <c r="DR77" s="429">
        <v>847</v>
      </c>
      <c r="DS77" s="429">
        <v>11700</v>
      </c>
      <c r="DT77" s="431"/>
      <c r="DU77" s="431"/>
      <c r="DV77" s="431"/>
      <c r="DW77" s="431"/>
      <c r="DX77" s="432"/>
      <c r="DZ77" s="447" t="s">
        <v>1293</v>
      </c>
      <c r="EA77" s="448">
        <v>292</v>
      </c>
      <c r="EB77" s="448">
        <v>86</v>
      </c>
      <c r="EC77" s="448">
        <v>32</v>
      </c>
      <c r="ED77" s="448">
        <v>32</v>
      </c>
      <c r="EE77" s="448">
        <v>1.02</v>
      </c>
      <c r="EF77" s="448">
        <v>1</v>
      </c>
      <c r="EG77" s="449">
        <v>44928</v>
      </c>
      <c r="EH77" s="448">
        <v>15.3</v>
      </c>
      <c r="EI77" s="448" t="s">
        <v>1715</v>
      </c>
      <c r="EJ77" s="448">
        <v>1.85</v>
      </c>
      <c r="EK77" s="448" t="s">
        <v>1683</v>
      </c>
      <c r="EL77" s="448">
        <v>4.12</v>
      </c>
      <c r="EM77" s="448">
        <v>26.2</v>
      </c>
      <c r="EN77" s="448">
        <v>14900</v>
      </c>
      <c r="EO77" s="448">
        <v>930</v>
      </c>
      <c r="EP77" s="448">
        <v>13.2</v>
      </c>
      <c r="EQ77" s="448">
        <v>1060</v>
      </c>
      <c r="ER77" s="448">
        <v>1100</v>
      </c>
      <c r="ES77" s="448">
        <v>144</v>
      </c>
      <c r="ET77" s="448">
        <v>3.58</v>
      </c>
      <c r="EU77" s="450">
        <v>223</v>
      </c>
    </row>
    <row r="78" spans="2:151">
      <c r="B78" s="78" t="s">
        <v>7</v>
      </c>
      <c r="C78" s="79" t="s">
        <v>83</v>
      </c>
      <c r="D78" s="80" t="s">
        <v>83</v>
      </c>
      <c r="E78" s="1" t="s">
        <v>4</v>
      </c>
      <c r="F78" s="4">
        <v>15.7</v>
      </c>
      <c r="G78" s="7">
        <v>4.6100000000000003</v>
      </c>
      <c r="H78" s="3" t="str">
        <f t="shared" si="12"/>
        <v>L4X4X5/8</v>
      </c>
      <c r="I78" s="7">
        <v>4</v>
      </c>
      <c r="J78" s="5" t="s">
        <v>5</v>
      </c>
      <c r="K78" s="6" t="s">
        <v>5</v>
      </c>
      <c r="L78" s="6" t="s">
        <v>5</v>
      </c>
      <c r="M78" s="6" t="s">
        <v>5</v>
      </c>
      <c r="N78" s="6" t="s">
        <v>5</v>
      </c>
      <c r="O78" s="5" t="s">
        <v>5</v>
      </c>
      <c r="P78" s="5" t="s">
        <v>5</v>
      </c>
      <c r="Q78" s="7">
        <v>4</v>
      </c>
      <c r="R78" s="6" t="s">
        <v>5</v>
      </c>
      <c r="S78" s="6" t="s">
        <v>5</v>
      </c>
      <c r="T78" s="5" t="s">
        <v>5</v>
      </c>
      <c r="U78" s="8" t="s">
        <v>5</v>
      </c>
      <c r="V78" s="6" t="s">
        <v>5</v>
      </c>
      <c r="W78" s="8" t="s">
        <v>5</v>
      </c>
      <c r="X78" s="22">
        <v>0.625</v>
      </c>
      <c r="Y78" s="6" t="s">
        <v>5</v>
      </c>
      <c r="Z78" s="6" t="s">
        <v>5</v>
      </c>
      <c r="AA78" s="7">
        <v>1</v>
      </c>
      <c r="AB78" s="8">
        <v>1</v>
      </c>
      <c r="AC78" s="8" t="s">
        <v>5</v>
      </c>
      <c r="AD78" s="7">
        <v>1.22</v>
      </c>
      <c r="AE78" s="7">
        <v>1.22</v>
      </c>
      <c r="AF78" s="6" t="s">
        <v>5</v>
      </c>
      <c r="AG78" s="22">
        <v>0.57599999999999996</v>
      </c>
      <c r="AH78" s="22">
        <v>0.57599999999999996</v>
      </c>
      <c r="AI78" s="6" t="s">
        <v>5</v>
      </c>
      <c r="AJ78" s="7">
        <v>6.4</v>
      </c>
      <c r="AK78" s="6" t="s">
        <v>5</v>
      </c>
      <c r="AL78" s="6" t="s">
        <v>5</v>
      </c>
      <c r="AM78" s="6" t="s">
        <v>5</v>
      </c>
      <c r="AN78" s="6" t="s">
        <v>5</v>
      </c>
      <c r="AO78" s="7">
        <v>6.62</v>
      </c>
      <c r="AP78" s="7">
        <v>4.28</v>
      </c>
      <c r="AQ78" s="7">
        <v>2.38</v>
      </c>
      <c r="AR78" s="7">
        <v>1.2</v>
      </c>
      <c r="AS78" s="7">
        <v>6.62</v>
      </c>
      <c r="AT78" s="7">
        <v>4.28</v>
      </c>
      <c r="AU78" s="7">
        <v>2.38</v>
      </c>
      <c r="AV78" s="7">
        <v>1.2</v>
      </c>
      <c r="AW78" s="6">
        <v>2.76</v>
      </c>
      <c r="AX78" s="22">
        <v>0.77400000000000002</v>
      </c>
      <c r="AY78" s="27">
        <v>1.6</v>
      </c>
      <c r="AZ78" s="22">
        <v>0.61</v>
      </c>
      <c r="BA78" s="22">
        <v>0.68</v>
      </c>
      <c r="BB78" s="6" t="s">
        <v>5</v>
      </c>
      <c r="BC78" s="6" t="s">
        <v>5</v>
      </c>
      <c r="BD78" s="6" t="s">
        <v>5</v>
      </c>
      <c r="BE78" s="6" t="s">
        <v>5</v>
      </c>
      <c r="BF78" s="6" t="s">
        <v>5</v>
      </c>
      <c r="BG78" s="6" t="s">
        <v>5</v>
      </c>
      <c r="BH78" s="6" t="s">
        <v>5</v>
      </c>
      <c r="BI78" s="7">
        <v>2.13</v>
      </c>
      <c r="BJ78" s="23">
        <v>0.63</v>
      </c>
      <c r="BK78" s="24">
        <v>1</v>
      </c>
      <c r="BL78" s="6">
        <v>10.5</v>
      </c>
      <c r="BM78" s="7">
        <v>2.61</v>
      </c>
      <c r="BN78" s="2">
        <v>0</v>
      </c>
      <c r="BO78" s="7">
        <v>2.61</v>
      </c>
      <c r="BP78" s="7">
        <v>1.32</v>
      </c>
      <c r="BQ78" s="6">
        <v>1.73</v>
      </c>
      <c r="BR78" s="7">
        <v>1.32</v>
      </c>
      <c r="BS78" s="16">
        <v>4.0199999999999996</v>
      </c>
      <c r="BT78" s="16" t="s">
        <v>5</v>
      </c>
      <c r="BU78" s="16">
        <v>4.0199999999999996</v>
      </c>
      <c r="BV78" s="16">
        <v>2.09</v>
      </c>
      <c r="BW78" s="26">
        <v>1.6</v>
      </c>
      <c r="BX78" s="16">
        <v>2.09</v>
      </c>
      <c r="BY78" s="25" t="s">
        <v>5</v>
      </c>
      <c r="BZ78" s="25" t="s">
        <v>5</v>
      </c>
      <c r="CA78" s="4">
        <v>12</v>
      </c>
      <c r="CB78" s="4">
        <v>12</v>
      </c>
      <c r="CC78" s="4">
        <v>16</v>
      </c>
      <c r="CD78" s="25" t="s">
        <v>5</v>
      </c>
      <c r="CE78" s="25" t="s">
        <v>5</v>
      </c>
      <c r="CF78" s="16" t="s">
        <v>5</v>
      </c>
      <c r="CG78" s="16" t="s">
        <v>5</v>
      </c>
      <c r="CH78" s="18" t="s">
        <v>5</v>
      </c>
      <c r="CS78" s="335" t="str">
        <f t="shared" si="13"/>
        <v>L6X4X5/16</v>
      </c>
      <c r="CT78" s="338">
        <v>3.03</v>
      </c>
      <c r="CV78" s="344" t="str">
        <f t="shared" si="14"/>
        <v>WT18X128</v>
      </c>
      <c r="CW78" s="337">
        <v>37.6</v>
      </c>
      <c r="DE78" s="335" t="str">
        <f t="shared" si="15"/>
        <v>2L6X6X1/2</v>
      </c>
      <c r="DF78" s="337">
        <v>11.5</v>
      </c>
      <c r="DH78" s="397" t="s">
        <v>1340</v>
      </c>
      <c r="DI78" s="398">
        <v>50.9</v>
      </c>
      <c r="DJ78" s="398">
        <v>30.4</v>
      </c>
      <c r="DK78" s="399">
        <v>0.65500000000000003</v>
      </c>
      <c r="DL78" s="407">
        <v>40.799999999999997</v>
      </c>
      <c r="DM78" s="400">
        <v>7.04</v>
      </c>
      <c r="DN78" s="408">
        <v>607</v>
      </c>
      <c r="DO78" s="409">
        <v>541</v>
      </c>
      <c r="DP78" s="119"/>
      <c r="DQ78" s="428" t="s">
        <v>1315</v>
      </c>
      <c r="DR78" s="429">
        <v>835</v>
      </c>
      <c r="DS78" s="429">
        <v>9600</v>
      </c>
      <c r="DT78" s="431"/>
      <c r="DU78" s="431"/>
      <c r="DV78" s="431"/>
      <c r="DW78" s="431"/>
      <c r="DX78" s="432"/>
      <c r="DZ78" s="447" t="s">
        <v>1303</v>
      </c>
      <c r="EA78" s="448">
        <v>261</v>
      </c>
      <c r="EB78" s="448">
        <v>77</v>
      </c>
      <c r="EC78" s="448">
        <v>31.6</v>
      </c>
      <c r="ED78" s="448" t="s">
        <v>1716</v>
      </c>
      <c r="EE78" s="448">
        <v>0.93</v>
      </c>
      <c r="EF78" s="448" t="s">
        <v>1628</v>
      </c>
      <c r="EG78" s="449">
        <v>44928</v>
      </c>
      <c r="EH78" s="448">
        <v>15.2</v>
      </c>
      <c r="EI78" s="448" t="s">
        <v>1717</v>
      </c>
      <c r="EJ78" s="448">
        <v>1.65</v>
      </c>
      <c r="EK78" s="448" t="s">
        <v>1646</v>
      </c>
      <c r="EL78" s="448">
        <v>4.59</v>
      </c>
      <c r="EM78" s="448">
        <v>28.7</v>
      </c>
      <c r="EN78" s="448">
        <v>13100</v>
      </c>
      <c r="EO78" s="448">
        <v>829</v>
      </c>
      <c r="EP78" s="448">
        <v>13.1</v>
      </c>
      <c r="EQ78" s="448">
        <v>943</v>
      </c>
      <c r="ER78" s="448">
        <v>959</v>
      </c>
      <c r="ES78" s="448">
        <v>127</v>
      </c>
      <c r="ET78" s="448">
        <v>3.53</v>
      </c>
      <c r="EU78" s="450">
        <v>196</v>
      </c>
    </row>
    <row r="79" spans="2:151" ht="14.4" thickBot="1">
      <c r="B79" s="78" t="s">
        <v>7</v>
      </c>
      <c r="C79" s="79" t="s">
        <v>84</v>
      </c>
      <c r="D79" s="80" t="s">
        <v>84</v>
      </c>
      <c r="E79" s="1" t="s">
        <v>4</v>
      </c>
      <c r="F79" s="4">
        <v>12.8</v>
      </c>
      <c r="G79" s="7">
        <v>3.75</v>
      </c>
      <c r="H79" s="3" t="str">
        <f t="shared" si="12"/>
        <v>L4X4X1/2</v>
      </c>
      <c r="I79" s="7">
        <v>4</v>
      </c>
      <c r="J79" s="5" t="s">
        <v>5</v>
      </c>
      <c r="K79" s="6" t="s">
        <v>5</v>
      </c>
      <c r="L79" s="6" t="s">
        <v>5</v>
      </c>
      <c r="M79" s="6" t="s">
        <v>5</v>
      </c>
      <c r="N79" s="6" t="s">
        <v>5</v>
      </c>
      <c r="O79" s="5" t="s">
        <v>5</v>
      </c>
      <c r="P79" s="5" t="s">
        <v>5</v>
      </c>
      <c r="Q79" s="7">
        <v>4</v>
      </c>
      <c r="R79" s="6" t="s">
        <v>5</v>
      </c>
      <c r="S79" s="6" t="s">
        <v>5</v>
      </c>
      <c r="T79" s="5" t="s">
        <v>5</v>
      </c>
      <c r="U79" s="8" t="s">
        <v>5</v>
      </c>
      <c r="V79" s="6" t="s">
        <v>5</v>
      </c>
      <c r="W79" s="8" t="s">
        <v>5</v>
      </c>
      <c r="X79" s="22">
        <v>0.5</v>
      </c>
      <c r="Y79" s="6" t="s">
        <v>5</v>
      </c>
      <c r="Z79" s="6" t="s">
        <v>5</v>
      </c>
      <c r="AA79" s="22">
        <v>0.875</v>
      </c>
      <c r="AB79" s="8">
        <v>0.875</v>
      </c>
      <c r="AC79" s="8" t="s">
        <v>5</v>
      </c>
      <c r="AD79" s="7">
        <v>1.18</v>
      </c>
      <c r="AE79" s="7">
        <v>1.18</v>
      </c>
      <c r="AF79" s="6" t="s">
        <v>5</v>
      </c>
      <c r="AG79" s="22">
        <v>0.46899999999999997</v>
      </c>
      <c r="AH79" s="22">
        <v>0.46899999999999997</v>
      </c>
      <c r="AI79" s="6" t="s">
        <v>5</v>
      </c>
      <c r="AJ79" s="7">
        <v>8</v>
      </c>
      <c r="AK79" s="6" t="s">
        <v>5</v>
      </c>
      <c r="AL79" s="6" t="s">
        <v>5</v>
      </c>
      <c r="AM79" s="6" t="s">
        <v>5</v>
      </c>
      <c r="AN79" s="6" t="s">
        <v>5</v>
      </c>
      <c r="AO79" s="7">
        <v>5.52</v>
      </c>
      <c r="AP79" s="7">
        <v>3.5</v>
      </c>
      <c r="AQ79" s="7">
        <v>1.96</v>
      </c>
      <c r="AR79" s="7">
        <v>1.21</v>
      </c>
      <c r="AS79" s="7">
        <v>5.52</v>
      </c>
      <c r="AT79" s="7">
        <v>3.5</v>
      </c>
      <c r="AU79" s="7">
        <v>1.96</v>
      </c>
      <c r="AV79" s="7">
        <v>1.21</v>
      </c>
      <c r="AW79" s="6">
        <v>2.25</v>
      </c>
      <c r="AX79" s="22">
        <v>0.77600000000000002</v>
      </c>
      <c r="AY79" s="12">
        <v>1.35</v>
      </c>
      <c r="AZ79" s="22">
        <v>0.32200000000000001</v>
      </c>
      <c r="BA79" s="22">
        <v>0.36599999999999999</v>
      </c>
      <c r="BB79" s="6" t="s">
        <v>5</v>
      </c>
      <c r="BC79" s="6" t="s">
        <v>5</v>
      </c>
      <c r="BD79" s="6" t="s">
        <v>5</v>
      </c>
      <c r="BE79" s="6" t="s">
        <v>5</v>
      </c>
      <c r="BF79" s="6" t="s">
        <v>5</v>
      </c>
      <c r="BG79" s="6" t="s">
        <v>5</v>
      </c>
      <c r="BH79" s="6" t="s">
        <v>5</v>
      </c>
      <c r="BI79" s="7">
        <v>2.16</v>
      </c>
      <c r="BJ79" s="23">
        <v>0.63</v>
      </c>
      <c r="BK79" s="24">
        <v>1</v>
      </c>
      <c r="BL79" s="6">
        <v>8.7899999999999991</v>
      </c>
      <c r="BM79" s="7">
        <v>2.65</v>
      </c>
      <c r="BN79" s="2">
        <v>0</v>
      </c>
      <c r="BO79" s="7">
        <v>2.65</v>
      </c>
      <c r="BP79" s="7">
        <v>1.34</v>
      </c>
      <c r="BQ79" s="6">
        <v>1.67</v>
      </c>
      <c r="BR79" s="7">
        <v>1.34</v>
      </c>
      <c r="BS79" s="16">
        <v>3.32</v>
      </c>
      <c r="BT79" s="16" t="s">
        <v>5</v>
      </c>
      <c r="BU79" s="16">
        <v>3.32</v>
      </c>
      <c r="BV79" s="16">
        <v>1.68</v>
      </c>
      <c r="BW79" s="16">
        <v>1.35</v>
      </c>
      <c r="BX79" s="16">
        <v>1.68</v>
      </c>
      <c r="BY79" s="25" t="s">
        <v>5</v>
      </c>
      <c r="BZ79" s="25" t="s">
        <v>5</v>
      </c>
      <c r="CA79" s="4">
        <v>12</v>
      </c>
      <c r="CB79" s="4">
        <v>12</v>
      </c>
      <c r="CC79" s="4">
        <v>16</v>
      </c>
      <c r="CD79" s="25" t="s">
        <v>5</v>
      </c>
      <c r="CE79" s="25" t="s">
        <v>5</v>
      </c>
      <c r="CF79" s="16" t="s">
        <v>5</v>
      </c>
      <c r="CG79" s="16" t="s">
        <v>5</v>
      </c>
      <c r="CH79" s="18" t="s">
        <v>5</v>
      </c>
      <c r="CS79" s="335" t="str">
        <f t="shared" si="13"/>
        <v>L3-1/2X3X1/2</v>
      </c>
      <c r="CT79" s="338">
        <v>3.02</v>
      </c>
      <c r="CV79" s="344" t="str">
        <f t="shared" si="14"/>
        <v>WT6X126</v>
      </c>
      <c r="CW79" s="337">
        <v>37.1</v>
      </c>
      <c r="DE79" s="335" t="str">
        <f t="shared" si="15"/>
        <v>2L6X6X1/2</v>
      </c>
      <c r="DF79" s="337">
        <v>11.5</v>
      </c>
      <c r="DH79" s="397" t="s">
        <v>1358</v>
      </c>
      <c r="DI79" s="398">
        <v>43.6</v>
      </c>
      <c r="DJ79" s="398">
        <v>30.7</v>
      </c>
      <c r="DK79" s="399">
        <v>0.65</v>
      </c>
      <c r="DL79" s="407">
        <v>41.6</v>
      </c>
      <c r="DM79" s="400">
        <v>4.4400000000000004</v>
      </c>
      <c r="DN79" s="408">
        <v>500</v>
      </c>
      <c r="DO79" s="409">
        <v>436</v>
      </c>
      <c r="DP79" s="119"/>
      <c r="DQ79" s="428" t="s">
        <v>1316</v>
      </c>
      <c r="DR79" s="429">
        <v>833</v>
      </c>
      <c r="DS79" s="429">
        <v>13200</v>
      </c>
      <c r="DT79" s="431"/>
      <c r="DU79" s="431"/>
      <c r="DV79" s="431"/>
      <c r="DW79" s="431"/>
      <c r="DX79" s="432"/>
      <c r="DZ79" s="447" t="s">
        <v>1314</v>
      </c>
      <c r="EA79" s="448">
        <v>235</v>
      </c>
      <c r="EB79" s="448">
        <v>69.3</v>
      </c>
      <c r="EC79" s="448">
        <v>31.3</v>
      </c>
      <c r="ED79" s="448" t="s">
        <v>1718</v>
      </c>
      <c r="EE79" s="448">
        <v>0.83</v>
      </c>
      <c r="EF79" s="448" t="s">
        <v>1620</v>
      </c>
      <c r="EG79" s="449">
        <v>45123</v>
      </c>
      <c r="EH79" s="448">
        <v>15.1</v>
      </c>
      <c r="EI79" s="448">
        <v>15</v>
      </c>
      <c r="EJ79" s="448">
        <v>1.5</v>
      </c>
      <c r="EK79" s="448" t="s">
        <v>1663</v>
      </c>
      <c r="EL79" s="448">
        <v>5.0199999999999996</v>
      </c>
      <c r="EM79" s="448">
        <v>32.200000000000003</v>
      </c>
      <c r="EN79" s="448">
        <v>11700</v>
      </c>
      <c r="EO79" s="448">
        <v>748</v>
      </c>
      <c r="EP79" s="448">
        <v>13</v>
      </c>
      <c r="EQ79" s="448">
        <v>847</v>
      </c>
      <c r="ER79" s="448">
        <v>855</v>
      </c>
      <c r="ES79" s="448">
        <v>114</v>
      </c>
      <c r="ET79" s="448">
        <v>3.51</v>
      </c>
      <c r="EU79" s="450">
        <v>175</v>
      </c>
    </row>
    <row r="80" spans="2:151" ht="24.6" customHeight="1" thickBot="1">
      <c r="B80" s="78" t="s">
        <v>7</v>
      </c>
      <c r="C80" s="79" t="s">
        <v>85</v>
      </c>
      <c r="D80" s="80" t="s">
        <v>85</v>
      </c>
      <c r="E80" s="1" t="s">
        <v>4</v>
      </c>
      <c r="F80" s="4">
        <v>11.3</v>
      </c>
      <c r="G80" s="7">
        <v>3.3</v>
      </c>
      <c r="H80" s="3" t="str">
        <f t="shared" si="12"/>
        <v>L4X4X7/16</v>
      </c>
      <c r="I80" s="7">
        <v>4</v>
      </c>
      <c r="J80" s="5" t="s">
        <v>5</v>
      </c>
      <c r="K80" s="6" t="s">
        <v>5</v>
      </c>
      <c r="L80" s="6" t="s">
        <v>5</v>
      </c>
      <c r="M80" s="6" t="s">
        <v>5</v>
      </c>
      <c r="N80" s="6" t="s">
        <v>5</v>
      </c>
      <c r="O80" s="5" t="s">
        <v>5</v>
      </c>
      <c r="P80" s="5" t="s">
        <v>5</v>
      </c>
      <c r="Q80" s="7">
        <v>4</v>
      </c>
      <c r="R80" s="6" t="s">
        <v>5</v>
      </c>
      <c r="S80" s="6" t="s">
        <v>5</v>
      </c>
      <c r="T80" s="5" t="s">
        <v>5</v>
      </c>
      <c r="U80" s="8" t="s">
        <v>5</v>
      </c>
      <c r="V80" s="6" t="s">
        <v>5</v>
      </c>
      <c r="W80" s="8" t="s">
        <v>5</v>
      </c>
      <c r="X80" s="22">
        <v>0.438</v>
      </c>
      <c r="Y80" s="6" t="s">
        <v>5</v>
      </c>
      <c r="Z80" s="6" t="s">
        <v>5</v>
      </c>
      <c r="AA80" s="22">
        <v>0.81299999999999994</v>
      </c>
      <c r="AB80" s="8">
        <v>0.8125</v>
      </c>
      <c r="AC80" s="8" t="s">
        <v>5</v>
      </c>
      <c r="AD80" s="7">
        <v>1.1499999999999999</v>
      </c>
      <c r="AE80" s="7">
        <v>1.1499999999999999</v>
      </c>
      <c r="AF80" s="6" t="s">
        <v>5</v>
      </c>
      <c r="AG80" s="22">
        <v>0.41299999999999998</v>
      </c>
      <c r="AH80" s="22">
        <v>0.41299999999999998</v>
      </c>
      <c r="AI80" s="6" t="s">
        <v>5</v>
      </c>
      <c r="AJ80" s="7">
        <v>9.1300000000000008</v>
      </c>
      <c r="AK80" s="6" t="s">
        <v>5</v>
      </c>
      <c r="AL80" s="6" t="s">
        <v>5</v>
      </c>
      <c r="AM80" s="6" t="s">
        <v>5</v>
      </c>
      <c r="AN80" s="6" t="s">
        <v>5</v>
      </c>
      <c r="AO80" s="7">
        <v>4.93</v>
      </c>
      <c r="AP80" s="7">
        <v>3.1</v>
      </c>
      <c r="AQ80" s="7">
        <v>1.73</v>
      </c>
      <c r="AR80" s="7">
        <v>1.22</v>
      </c>
      <c r="AS80" s="7">
        <v>4.93</v>
      </c>
      <c r="AT80" s="7">
        <v>3.1</v>
      </c>
      <c r="AU80" s="7">
        <v>1.73</v>
      </c>
      <c r="AV80" s="7">
        <v>1.22</v>
      </c>
      <c r="AW80" s="6">
        <v>1.99</v>
      </c>
      <c r="AX80" s="22">
        <v>0.77700000000000002</v>
      </c>
      <c r="AY80" s="12">
        <v>1.22</v>
      </c>
      <c r="AZ80" s="22">
        <v>0.22</v>
      </c>
      <c r="BA80" s="22">
        <v>0.252</v>
      </c>
      <c r="BB80" s="6" t="s">
        <v>5</v>
      </c>
      <c r="BC80" s="6" t="s">
        <v>5</v>
      </c>
      <c r="BD80" s="6" t="s">
        <v>5</v>
      </c>
      <c r="BE80" s="6" t="s">
        <v>5</v>
      </c>
      <c r="BF80" s="6" t="s">
        <v>5</v>
      </c>
      <c r="BG80" s="6" t="s">
        <v>5</v>
      </c>
      <c r="BH80" s="6" t="s">
        <v>5</v>
      </c>
      <c r="BI80" s="7">
        <v>2.1800000000000002</v>
      </c>
      <c r="BJ80" s="23">
        <v>0.63</v>
      </c>
      <c r="BK80" s="24">
        <v>1</v>
      </c>
      <c r="BL80" s="6">
        <v>7.86</v>
      </c>
      <c r="BM80" s="7">
        <v>2.67</v>
      </c>
      <c r="BN80" s="2">
        <v>0</v>
      </c>
      <c r="BO80" s="7">
        <v>2.67</v>
      </c>
      <c r="BP80" s="7">
        <v>1.36</v>
      </c>
      <c r="BQ80" s="6">
        <v>1.63</v>
      </c>
      <c r="BR80" s="7">
        <v>1.36</v>
      </c>
      <c r="BS80" s="16">
        <v>2.94</v>
      </c>
      <c r="BT80" s="16" t="s">
        <v>5</v>
      </c>
      <c r="BU80" s="16">
        <v>2.94</v>
      </c>
      <c r="BV80" s="16">
        <v>1.46</v>
      </c>
      <c r="BW80" s="16">
        <v>1.22</v>
      </c>
      <c r="BX80" s="16">
        <v>1.46</v>
      </c>
      <c r="BY80" s="25" t="s">
        <v>5</v>
      </c>
      <c r="BZ80" s="25" t="s">
        <v>5</v>
      </c>
      <c r="CA80" s="4">
        <v>12</v>
      </c>
      <c r="CB80" s="4">
        <v>12</v>
      </c>
      <c r="CC80" s="4">
        <v>16</v>
      </c>
      <c r="CD80" s="25" t="s">
        <v>5</v>
      </c>
      <c r="CE80" s="25" t="s">
        <v>5</v>
      </c>
      <c r="CF80" s="16" t="s">
        <v>5</v>
      </c>
      <c r="CG80" s="16" t="s">
        <v>5</v>
      </c>
      <c r="CH80" s="18" t="s">
        <v>5</v>
      </c>
      <c r="CL80" s="517" t="s">
        <v>1899</v>
      </c>
      <c r="CM80" s="518"/>
      <c r="CO80" s="353"/>
      <c r="CP80" s="506" t="s">
        <v>1231</v>
      </c>
      <c r="CQ80" s="507"/>
      <c r="CS80" s="335" t="str">
        <f t="shared" si="13"/>
        <v>L6X3-1/2X5/16</v>
      </c>
      <c r="CT80" s="338">
        <v>2.89</v>
      </c>
      <c r="CV80" s="344" t="str">
        <f t="shared" si="14"/>
        <v>WT10.5X124</v>
      </c>
      <c r="CW80" s="336">
        <v>37</v>
      </c>
      <c r="DE80" s="335" t="str">
        <f t="shared" si="15"/>
        <v>2L6X6X1/2</v>
      </c>
      <c r="DF80" s="337">
        <v>11.5</v>
      </c>
      <c r="DH80" s="397" t="s">
        <v>1367</v>
      </c>
      <c r="DI80" s="398">
        <v>38.799999999999997</v>
      </c>
      <c r="DJ80" s="398">
        <v>30.3</v>
      </c>
      <c r="DK80" s="399">
        <v>0.61499999999999999</v>
      </c>
      <c r="DL80" s="407">
        <v>43.9</v>
      </c>
      <c r="DM80" s="400">
        <v>5.27</v>
      </c>
      <c r="DN80" s="408">
        <v>437</v>
      </c>
      <c r="DO80" s="409">
        <v>380</v>
      </c>
      <c r="DP80" s="119"/>
      <c r="DQ80" s="428" t="s">
        <v>1317</v>
      </c>
      <c r="DR80" s="429">
        <v>801</v>
      </c>
      <c r="DS80" s="429">
        <v>6000</v>
      </c>
      <c r="DT80" s="431"/>
      <c r="DU80" s="431"/>
      <c r="DV80" s="431"/>
      <c r="DW80" s="431"/>
      <c r="DX80" s="432"/>
      <c r="DZ80" s="447" t="s">
        <v>1323</v>
      </c>
      <c r="EA80" s="448">
        <v>211</v>
      </c>
      <c r="EB80" s="448">
        <v>62.3</v>
      </c>
      <c r="EC80" s="448">
        <v>30.9</v>
      </c>
      <c r="ED80" s="448">
        <v>31</v>
      </c>
      <c r="EE80" s="448">
        <v>0.77500000000000002</v>
      </c>
      <c r="EF80" s="449">
        <v>44989</v>
      </c>
      <c r="EG80" s="449">
        <v>44993</v>
      </c>
      <c r="EH80" s="448">
        <v>15.1</v>
      </c>
      <c r="EI80" s="448" t="s">
        <v>1717</v>
      </c>
      <c r="EJ80" s="448">
        <v>1.32</v>
      </c>
      <c r="EK80" s="448" t="s">
        <v>1634</v>
      </c>
      <c r="EL80" s="448">
        <v>5.74</v>
      </c>
      <c r="EM80" s="448">
        <v>34.5</v>
      </c>
      <c r="EN80" s="448">
        <v>10300</v>
      </c>
      <c r="EO80" s="448">
        <v>665</v>
      </c>
      <c r="EP80" s="448">
        <v>12.9</v>
      </c>
      <c r="EQ80" s="448">
        <v>751</v>
      </c>
      <c r="ER80" s="448">
        <v>757</v>
      </c>
      <c r="ES80" s="448">
        <v>100</v>
      </c>
      <c r="ET80" s="448">
        <v>3.49</v>
      </c>
      <c r="EU80" s="450">
        <v>155</v>
      </c>
    </row>
    <row r="81" spans="2:151">
      <c r="B81" s="78" t="s">
        <v>7</v>
      </c>
      <c r="C81" s="79" t="s">
        <v>86</v>
      </c>
      <c r="D81" s="80" t="s">
        <v>86</v>
      </c>
      <c r="E81" s="1" t="s">
        <v>4</v>
      </c>
      <c r="F81" s="7">
        <v>9.8000000000000007</v>
      </c>
      <c r="G81" s="7">
        <v>2.86</v>
      </c>
      <c r="H81" s="3" t="str">
        <f t="shared" si="12"/>
        <v>L4X4X3/8</v>
      </c>
      <c r="I81" s="7">
        <v>4</v>
      </c>
      <c r="J81" s="5" t="s">
        <v>5</v>
      </c>
      <c r="K81" s="6" t="s">
        <v>5</v>
      </c>
      <c r="L81" s="6" t="s">
        <v>5</v>
      </c>
      <c r="M81" s="6" t="s">
        <v>5</v>
      </c>
      <c r="N81" s="6" t="s">
        <v>5</v>
      </c>
      <c r="O81" s="5" t="s">
        <v>5</v>
      </c>
      <c r="P81" s="5" t="s">
        <v>5</v>
      </c>
      <c r="Q81" s="7">
        <v>4</v>
      </c>
      <c r="R81" s="6" t="s">
        <v>5</v>
      </c>
      <c r="S81" s="6" t="s">
        <v>5</v>
      </c>
      <c r="T81" s="5" t="s">
        <v>5</v>
      </c>
      <c r="U81" s="8" t="s">
        <v>5</v>
      </c>
      <c r="V81" s="6" t="s">
        <v>5</v>
      </c>
      <c r="W81" s="8" t="s">
        <v>5</v>
      </c>
      <c r="X81" s="22">
        <v>0.375</v>
      </c>
      <c r="Y81" s="6" t="s">
        <v>5</v>
      </c>
      <c r="Z81" s="6" t="s">
        <v>5</v>
      </c>
      <c r="AA81" s="22">
        <v>0.75</v>
      </c>
      <c r="AB81" s="8">
        <v>0.75</v>
      </c>
      <c r="AC81" s="8" t="s">
        <v>5</v>
      </c>
      <c r="AD81" s="7">
        <v>1.1299999999999999</v>
      </c>
      <c r="AE81" s="7">
        <v>1.1299999999999999</v>
      </c>
      <c r="AF81" s="6" t="s">
        <v>5</v>
      </c>
      <c r="AG81" s="22">
        <v>0.35799999999999998</v>
      </c>
      <c r="AH81" s="22">
        <v>0.35799999999999998</v>
      </c>
      <c r="AI81" s="6" t="s">
        <v>5</v>
      </c>
      <c r="AJ81" s="4">
        <v>10.7</v>
      </c>
      <c r="AK81" s="6" t="s">
        <v>5</v>
      </c>
      <c r="AL81" s="6" t="s">
        <v>5</v>
      </c>
      <c r="AM81" s="6" t="s">
        <v>5</v>
      </c>
      <c r="AN81" s="6" t="s">
        <v>5</v>
      </c>
      <c r="AO81" s="7">
        <v>4.32</v>
      </c>
      <c r="AP81" s="7">
        <v>2.69</v>
      </c>
      <c r="AQ81" s="7">
        <v>1.5</v>
      </c>
      <c r="AR81" s="7">
        <v>1.23</v>
      </c>
      <c r="AS81" s="7">
        <v>4.32</v>
      </c>
      <c r="AT81" s="7">
        <v>2.69</v>
      </c>
      <c r="AU81" s="7">
        <v>1.5</v>
      </c>
      <c r="AV81" s="7">
        <v>1.23</v>
      </c>
      <c r="AW81" s="6">
        <v>1.73</v>
      </c>
      <c r="AX81" s="22">
        <v>0.77900000000000003</v>
      </c>
      <c r="AY81" s="12">
        <v>1.08</v>
      </c>
      <c r="AZ81" s="22">
        <v>0.14099999999999999</v>
      </c>
      <c r="BA81" s="22">
        <v>0.16200000000000001</v>
      </c>
      <c r="BB81" s="6" t="s">
        <v>5</v>
      </c>
      <c r="BC81" s="6" t="s">
        <v>5</v>
      </c>
      <c r="BD81" s="6" t="s">
        <v>5</v>
      </c>
      <c r="BE81" s="6" t="s">
        <v>5</v>
      </c>
      <c r="BF81" s="6" t="s">
        <v>5</v>
      </c>
      <c r="BG81" s="6" t="s">
        <v>5</v>
      </c>
      <c r="BH81" s="6" t="s">
        <v>5</v>
      </c>
      <c r="BI81" s="7">
        <v>2.19</v>
      </c>
      <c r="BJ81" s="23">
        <v>0.63</v>
      </c>
      <c r="BK81" s="24">
        <v>1</v>
      </c>
      <c r="BL81" s="6">
        <v>6.91</v>
      </c>
      <c r="BM81" s="7">
        <v>2.7</v>
      </c>
      <c r="BN81" s="2">
        <v>0</v>
      </c>
      <c r="BO81" s="7">
        <v>2.7</v>
      </c>
      <c r="BP81" s="7">
        <v>1.36</v>
      </c>
      <c r="BQ81" s="7">
        <v>1.6</v>
      </c>
      <c r="BR81" s="7">
        <v>1.36</v>
      </c>
      <c r="BS81" s="16">
        <v>2.56</v>
      </c>
      <c r="BT81" s="16" t="s">
        <v>5</v>
      </c>
      <c r="BU81" s="16">
        <v>2.56</v>
      </c>
      <c r="BV81" s="16">
        <v>1.27</v>
      </c>
      <c r="BW81" s="16">
        <v>1.08</v>
      </c>
      <c r="BX81" s="16">
        <v>1.27</v>
      </c>
      <c r="BY81" s="25" t="s">
        <v>5</v>
      </c>
      <c r="BZ81" s="25" t="s">
        <v>5</v>
      </c>
      <c r="CA81" s="4">
        <v>12</v>
      </c>
      <c r="CB81" s="4">
        <v>12</v>
      </c>
      <c r="CC81" s="4">
        <v>16</v>
      </c>
      <c r="CD81" s="25" t="s">
        <v>5</v>
      </c>
      <c r="CE81" s="25" t="s">
        <v>5</v>
      </c>
      <c r="CF81" s="16" t="s">
        <v>5</v>
      </c>
      <c r="CG81" s="16" t="s">
        <v>5</v>
      </c>
      <c r="CH81" s="18" t="s">
        <v>5</v>
      </c>
      <c r="CL81" s="362" t="s">
        <v>1228</v>
      </c>
      <c r="CM81" s="363">
        <v>0.35</v>
      </c>
      <c r="CO81" s="353"/>
      <c r="CP81" s="366">
        <v>70</v>
      </c>
      <c r="CQ81" s="367"/>
      <c r="CS81" s="335" t="str">
        <f t="shared" si="13"/>
        <v>L6X3-1/2X5/16</v>
      </c>
      <c r="CT81" s="338">
        <v>2.89</v>
      </c>
      <c r="CV81" s="344" t="str">
        <f t="shared" si="14"/>
        <v>WT12X125</v>
      </c>
      <c r="CW81" s="337">
        <v>36.799999999999997</v>
      </c>
      <c r="DE81" s="335" t="str">
        <f t="shared" si="15"/>
        <v>2L4X4X3/4</v>
      </c>
      <c r="DF81" s="337">
        <v>10.9</v>
      </c>
      <c r="DH81" s="397" t="s">
        <v>1373</v>
      </c>
      <c r="DI81" s="398">
        <v>36.5</v>
      </c>
      <c r="DJ81" s="398">
        <v>30.2</v>
      </c>
      <c r="DK81" s="399">
        <v>0.58499999999999996</v>
      </c>
      <c r="DL81" s="407">
        <v>46.2</v>
      </c>
      <c r="DM81" s="400">
        <v>5.65</v>
      </c>
      <c r="DN81" s="408">
        <v>408</v>
      </c>
      <c r="DO81" s="409">
        <v>355</v>
      </c>
      <c r="DP81" s="119"/>
      <c r="DQ81" s="428" t="s">
        <v>1318</v>
      </c>
      <c r="DR81" s="429">
        <v>774</v>
      </c>
      <c r="DS81" s="429">
        <v>13200</v>
      </c>
      <c r="DT81" s="431"/>
      <c r="DU81" s="431"/>
      <c r="DV81" s="431"/>
      <c r="DW81" s="431"/>
      <c r="DX81" s="432"/>
      <c r="DZ81" s="447" t="s">
        <v>1331</v>
      </c>
      <c r="EA81" s="448">
        <v>191</v>
      </c>
      <c r="EB81" s="448">
        <v>56.1</v>
      </c>
      <c r="EC81" s="448">
        <v>30.7</v>
      </c>
      <c r="ED81" s="448" t="s">
        <v>1719</v>
      </c>
      <c r="EE81" s="448">
        <v>0.71</v>
      </c>
      <c r="EF81" s="449">
        <v>45246</v>
      </c>
      <c r="EG81" s="449">
        <v>44993</v>
      </c>
      <c r="EH81" s="448">
        <v>15</v>
      </c>
      <c r="EI81" s="448">
        <v>15</v>
      </c>
      <c r="EJ81" s="448">
        <v>1.19</v>
      </c>
      <c r="EK81" s="448" t="s">
        <v>1640</v>
      </c>
      <c r="EL81" s="448">
        <v>6.35</v>
      </c>
      <c r="EM81" s="448">
        <v>37.700000000000003</v>
      </c>
      <c r="EN81" s="448">
        <v>9200</v>
      </c>
      <c r="EO81" s="448">
        <v>600</v>
      </c>
      <c r="EP81" s="448">
        <v>12.8</v>
      </c>
      <c r="EQ81" s="448">
        <v>675</v>
      </c>
      <c r="ER81" s="448">
        <v>673</v>
      </c>
      <c r="ES81" s="448">
        <v>89.5</v>
      </c>
      <c r="ET81" s="448">
        <v>3.46</v>
      </c>
      <c r="EU81" s="450">
        <v>138</v>
      </c>
    </row>
    <row r="82" spans="2:151" ht="14.4" thickBot="1">
      <c r="B82" s="78" t="s">
        <v>7</v>
      </c>
      <c r="C82" s="79" t="s">
        <v>87</v>
      </c>
      <c r="D82" s="80" t="s">
        <v>87</v>
      </c>
      <c r="E82" s="1" t="s">
        <v>4</v>
      </c>
      <c r="F82" s="7">
        <v>8.1999999999999993</v>
      </c>
      <c r="G82" s="7">
        <v>2.4</v>
      </c>
      <c r="H82" s="3" t="str">
        <f t="shared" si="12"/>
        <v>L4X4X5/16</v>
      </c>
      <c r="I82" s="7">
        <v>4</v>
      </c>
      <c r="J82" s="5" t="s">
        <v>5</v>
      </c>
      <c r="K82" s="6" t="s">
        <v>5</v>
      </c>
      <c r="L82" s="6" t="s">
        <v>5</v>
      </c>
      <c r="M82" s="6" t="s">
        <v>5</v>
      </c>
      <c r="N82" s="6" t="s">
        <v>5</v>
      </c>
      <c r="O82" s="5" t="s">
        <v>5</v>
      </c>
      <c r="P82" s="5" t="s">
        <v>5</v>
      </c>
      <c r="Q82" s="7">
        <v>4</v>
      </c>
      <c r="R82" s="6" t="s">
        <v>5</v>
      </c>
      <c r="S82" s="6" t="s">
        <v>5</v>
      </c>
      <c r="T82" s="5" t="s">
        <v>5</v>
      </c>
      <c r="U82" s="8" t="s">
        <v>5</v>
      </c>
      <c r="V82" s="6" t="s">
        <v>5</v>
      </c>
      <c r="W82" s="8" t="s">
        <v>5</v>
      </c>
      <c r="X82" s="22">
        <v>0.313</v>
      </c>
      <c r="Y82" s="6" t="s">
        <v>5</v>
      </c>
      <c r="Z82" s="6" t="s">
        <v>5</v>
      </c>
      <c r="AA82" s="22">
        <v>0.68799999999999994</v>
      </c>
      <c r="AB82" s="8">
        <v>0.6875</v>
      </c>
      <c r="AC82" s="8" t="s">
        <v>5</v>
      </c>
      <c r="AD82" s="7">
        <v>1.1100000000000001</v>
      </c>
      <c r="AE82" s="7">
        <v>1.1100000000000001</v>
      </c>
      <c r="AF82" s="6" t="s">
        <v>5</v>
      </c>
      <c r="AG82" s="22">
        <v>0.3</v>
      </c>
      <c r="AH82" s="22">
        <v>0.3</v>
      </c>
      <c r="AI82" s="6" t="s">
        <v>5</v>
      </c>
      <c r="AJ82" s="4">
        <v>12.8</v>
      </c>
      <c r="AK82" s="6" t="s">
        <v>5</v>
      </c>
      <c r="AL82" s="6" t="s">
        <v>5</v>
      </c>
      <c r="AM82" s="6" t="s">
        <v>5</v>
      </c>
      <c r="AN82" s="6" t="s">
        <v>5</v>
      </c>
      <c r="AO82" s="7">
        <v>3.67</v>
      </c>
      <c r="AP82" s="7">
        <v>2.2599999999999998</v>
      </c>
      <c r="AQ82" s="7">
        <v>1.27</v>
      </c>
      <c r="AR82" s="7">
        <v>1.24</v>
      </c>
      <c r="AS82" s="7">
        <v>3.67</v>
      </c>
      <c r="AT82" s="7">
        <v>2.2599999999999998</v>
      </c>
      <c r="AU82" s="7">
        <v>1.27</v>
      </c>
      <c r="AV82" s="7">
        <v>1.24</v>
      </c>
      <c r="AW82" s="6">
        <v>1.46</v>
      </c>
      <c r="AX82" s="22">
        <v>0.78100000000000003</v>
      </c>
      <c r="AY82" s="29">
        <v>0.93</v>
      </c>
      <c r="AZ82" s="28">
        <v>8.3199999999999996E-2</v>
      </c>
      <c r="BA82" s="28">
        <v>9.6299999999999997E-2</v>
      </c>
      <c r="BB82" s="6" t="s">
        <v>5</v>
      </c>
      <c r="BC82" s="6" t="s">
        <v>5</v>
      </c>
      <c r="BD82" s="6" t="s">
        <v>5</v>
      </c>
      <c r="BE82" s="6" t="s">
        <v>5</v>
      </c>
      <c r="BF82" s="6" t="s">
        <v>5</v>
      </c>
      <c r="BG82" s="6" t="s">
        <v>5</v>
      </c>
      <c r="BH82" s="6" t="s">
        <v>5</v>
      </c>
      <c r="BI82" s="7">
        <v>2.21</v>
      </c>
      <c r="BJ82" s="23">
        <v>0.63</v>
      </c>
      <c r="BK82" s="24">
        <v>1</v>
      </c>
      <c r="BL82" s="6">
        <v>5.88</v>
      </c>
      <c r="BM82" s="7">
        <v>2.72</v>
      </c>
      <c r="BN82" s="2">
        <v>0</v>
      </c>
      <c r="BO82" s="7">
        <v>2.72</v>
      </c>
      <c r="BP82" s="7">
        <v>1.37</v>
      </c>
      <c r="BQ82" s="6">
        <v>1.57</v>
      </c>
      <c r="BR82" s="7">
        <v>1.37</v>
      </c>
      <c r="BS82" s="16">
        <v>2.16</v>
      </c>
      <c r="BT82" s="16" t="s">
        <v>5</v>
      </c>
      <c r="BU82" s="16">
        <v>2.16</v>
      </c>
      <c r="BV82" s="16">
        <v>1.07</v>
      </c>
      <c r="BW82" s="30">
        <v>0.93</v>
      </c>
      <c r="BX82" s="16">
        <v>1.07</v>
      </c>
      <c r="BY82" s="25" t="s">
        <v>5</v>
      </c>
      <c r="BZ82" s="25" t="s">
        <v>5</v>
      </c>
      <c r="CA82" s="4">
        <v>12</v>
      </c>
      <c r="CB82" s="4">
        <v>12</v>
      </c>
      <c r="CC82" s="4">
        <v>16</v>
      </c>
      <c r="CD82" s="25" t="s">
        <v>5</v>
      </c>
      <c r="CE82" s="25" t="s">
        <v>5</v>
      </c>
      <c r="CF82" s="16" t="s">
        <v>5</v>
      </c>
      <c r="CG82" s="16" t="s">
        <v>5</v>
      </c>
      <c r="CH82" s="18" t="s">
        <v>5</v>
      </c>
      <c r="CL82" s="364" t="s">
        <v>1229</v>
      </c>
      <c r="CM82" s="365">
        <v>0.5</v>
      </c>
      <c r="CO82" s="353"/>
      <c r="CP82" s="366">
        <v>60</v>
      </c>
      <c r="CQ82" s="367"/>
      <c r="CS82" s="335" t="str">
        <f t="shared" si="13"/>
        <v>L5X3X3/8</v>
      </c>
      <c r="CT82" s="338">
        <v>2.86</v>
      </c>
      <c r="CV82" s="344" t="str">
        <f t="shared" si="14"/>
        <v>WT20X124.5</v>
      </c>
      <c r="CW82" s="337">
        <v>36.700000000000003</v>
      </c>
      <c r="DE82" s="335" t="str">
        <f t="shared" si="15"/>
        <v>2L4X4X3/4</v>
      </c>
      <c r="DF82" s="337">
        <v>10.9</v>
      </c>
      <c r="DH82" s="397" t="s">
        <v>1378</v>
      </c>
      <c r="DI82" s="398">
        <v>34.200000000000003</v>
      </c>
      <c r="DJ82" s="398">
        <v>30</v>
      </c>
      <c r="DK82" s="399">
        <v>0.56499999999999995</v>
      </c>
      <c r="DL82" s="407">
        <v>47.8</v>
      </c>
      <c r="DM82" s="400">
        <v>6.17</v>
      </c>
      <c r="DN82" s="408">
        <v>378</v>
      </c>
      <c r="DO82" s="409">
        <v>329</v>
      </c>
      <c r="DP82" s="119"/>
      <c r="DQ82" s="428" t="s">
        <v>1319</v>
      </c>
      <c r="DR82" s="429">
        <v>773</v>
      </c>
      <c r="DS82" s="429">
        <v>11600</v>
      </c>
      <c r="DT82" s="431"/>
      <c r="DU82" s="431"/>
      <c r="DV82" s="431"/>
      <c r="DW82" s="431"/>
      <c r="DX82" s="432"/>
      <c r="DZ82" s="447" t="s">
        <v>1340</v>
      </c>
      <c r="EA82" s="448">
        <v>173</v>
      </c>
      <c r="EB82" s="448">
        <v>50.9</v>
      </c>
      <c r="EC82" s="448">
        <v>30.4</v>
      </c>
      <c r="ED82" s="448" t="s">
        <v>1720</v>
      </c>
      <c r="EE82" s="448">
        <v>0.65500000000000003</v>
      </c>
      <c r="EF82" s="449">
        <v>45054</v>
      </c>
      <c r="EG82" s="449">
        <v>45062</v>
      </c>
      <c r="EH82" s="448">
        <v>15</v>
      </c>
      <c r="EI82" s="448">
        <v>15</v>
      </c>
      <c r="EJ82" s="448">
        <v>1.07</v>
      </c>
      <c r="EK82" s="448" t="s">
        <v>1650</v>
      </c>
      <c r="EL82" s="448">
        <v>7.04</v>
      </c>
      <c r="EM82" s="448">
        <v>40.799999999999997</v>
      </c>
      <c r="EN82" s="448">
        <v>8230</v>
      </c>
      <c r="EO82" s="448">
        <v>541</v>
      </c>
      <c r="EP82" s="448">
        <v>12.7</v>
      </c>
      <c r="EQ82" s="448">
        <v>607</v>
      </c>
      <c r="ER82" s="448">
        <v>598</v>
      </c>
      <c r="ES82" s="448">
        <v>79.8</v>
      </c>
      <c r="ET82" s="448">
        <v>3.42</v>
      </c>
      <c r="EU82" s="450">
        <v>123</v>
      </c>
    </row>
    <row r="83" spans="2:151" ht="26.4" customHeight="1" thickBot="1">
      <c r="B83" s="78" t="s">
        <v>7</v>
      </c>
      <c r="C83" s="79" t="s">
        <v>88</v>
      </c>
      <c r="D83" s="80" t="s">
        <v>88</v>
      </c>
      <c r="E83" s="1" t="s">
        <v>4</v>
      </c>
      <c r="F83" s="7">
        <v>6.6</v>
      </c>
      <c r="G83" s="7">
        <v>1.93</v>
      </c>
      <c r="H83" s="3" t="str">
        <f t="shared" si="12"/>
        <v>L4X4X1/4</v>
      </c>
      <c r="I83" s="7">
        <v>4</v>
      </c>
      <c r="J83" s="5" t="s">
        <v>5</v>
      </c>
      <c r="K83" s="6" t="s">
        <v>5</v>
      </c>
      <c r="L83" s="6" t="s">
        <v>5</v>
      </c>
      <c r="M83" s="6" t="s">
        <v>5</v>
      </c>
      <c r="N83" s="6" t="s">
        <v>5</v>
      </c>
      <c r="O83" s="5" t="s">
        <v>5</v>
      </c>
      <c r="P83" s="5" t="s">
        <v>5</v>
      </c>
      <c r="Q83" s="7">
        <v>4</v>
      </c>
      <c r="R83" s="6" t="s">
        <v>5</v>
      </c>
      <c r="S83" s="6" t="s">
        <v>5</v>
      </c>
      <c r="T83" s="5" t="s">
        <v>5</v>
      </c>
      <c r="U83" s="8" t="s">
        <v>5</v>
      </c>
      <c r="V83" s="6" t="s">
        <v>5</v>
      </c>
      <c r="W83" s="8" t="s">
        <v>5</v>
      </c>
      <c r="X83" s="22">
        <v>0.25</v>
      </c>
      <c r="Y83" s="6" t="s">
        <v>5</v>
      </c>
      <c r="Z83" s="6" t="s">
        <v>5</v>
      </c>
      <c r="AA83" s="22">
        <v>0.625</v>
      </c>
      <c r="AB83" s="8">
        <v>0.625</v>
      </c>
      <c r="AC83" s="8" t="s">
        <v>5</v>
      </c>
      <c r="AD83" s="7">
        <v>1.08</v>
      </c>
      <c r="AE83" s="7">
        <v>1.08</v>
      </c>
      <c r="AF83" s="6" t="s">
        <v>5</v>
      </c>
      <c r="AG83" s="22">
        <v>0.24099999999999999</v>
      </c>
      <c r="AH83" s="22">
        <v>0.24099999999999999</v>
      </c>
      <c r="AI83" s="6" t="s">
        <v>5</v>
      </c>
      <c r="AJ83" s="4">
        <v>16</v>
      </c>
      <c r="AK83" s="6" t="s">
        <v>5</v>
      </c>
      <c r="AL83" s="6" t="s">
        <v>5</v>
      </c>
      <c r="AM83" s="6" t="s">
        <v>5</v>
      </c>
      <c r="AN83" s="6" t="s">
        <v>5</v>
      </c>
      <c r="AO83" s="7">
        <v>3</v>
      </c>
      <c r="AP83" s="7">
        <v>1.82</v>
      </c>
      <c r="AQ83" s="7">
        <v>1.03</v>
      </c>
      <c r="AR83" s="7">
        <v>1.25</v>
      </c>
      <c r="AS83" s="7">
        <v>3</v>
      </c>
      <c r="AT83" s="7">
        <v>1.82</v>
      </c>
      <c r="AU83" s="7">
        <v>1.03</v>
      </c>
      <c r="AV83" s="7">
        <v>1.25</v>
      </c>
      <c r="AW83" s="6">
        <v>1.19</v>
      </c>
      <c r="AX83" s="22">
        <v>0.78300000000000003</v>
      </c>
      <c r="AY83" s="12">
        <v>0.77800000000000002</v>
      </c>
      <c r="AZ83" s="28">
        <v>4.3799999999999999E-2</v>
      </c>
      <c r="BA83" s="28">
        <v>5.0500000000000003E-2</v>
      </c>
      <c r="BB83" s="6" t="s">
        <v>5</v>
      </c>
      <c r="BC83" s="6" t="s">
        <v>5</v>
      </c>
      <c r="BD83" s="6" t="s">
        <v>5</v>
      </c>
      <c r="BE83" s="6" t="s">
        <v>5</v>
      </c>
      <c r="BF83" s="6" t="s">
        <v>5</v>
      </c>
      <c r="BG83" s="6" t="s">
        <v>5</v>
      </c>
      <c r="BH83" s="6" t="s">
        <v>5</v>
      </c>
      <c r="BI83" s="7">
        <v>2.2200000000000002</v>
      </c>
      <c r="BJ83" s="23">
        <v>0.63</v>
      </c>
      <c r="BK83" s="24">
        <v>1</v>
      </c>
      <c r="BL83" s="6">
        <v>4.82</v>
      </c>
      <c r="BM83" s="7">
        <v>2.74</v>
      </c>
      <c r="BN83" s="2">
        <v>0</v>
      </c>
      <c r="BO83" s="7">
        <v>2.74</v>
      </c>
      <c r="BP83" s="7">
        <v>1.39</v>
      </c>
      <c r="BQ83" s="6">
        <v>1.53</v>
      </c>
      <c r="BR83" s="7">
        <v>1.39</v>
      </c>
      <c r="BS83" s="16">
        <v>1.76</v>
      </c>
      <c r="BT83" s="16" t="s">
        <v>5</v>
      </c>
      <c r="BU83" s="16">
        <v>1.76</v>
      </c>
      <c r="BV83" s="16">
        <v>0.85599999999999998</v>
      </c>
      <c r="BW83" s="16">
        <v>0.77800000000000002</v>
      </c>
      <c r="BX83" s="16">
        <v>0.85599999999999998</v>
      </c>
      <c r="BY83" s="25" t="s">
        <v>5</v>
      </c>
      <c r="BZ83" s="25" t="s">
        <v>5</v>
      </c>
      <c r="CA83" s="4">
        <v>12</v>
      </c>
      <c r="CB83" s="4">
        <v>12</v>
      </c>
      <c r="CC83" s="4">
        <v>16</v>
      </c>
      <c r="CD83" s="25" t="s">
        <v>5</v>
      </c>
      <c r="CE83" s="25" t="s">
        <v>5</v>
      </c>
      <c r="CF83" s="16" t="s">
        <v>5</v>
      </c>
      <c r="CG83" s="16" t="s">
        <v>5</v>
      </c>
      <c r="CH83" s="18" t="s">
        <v>5</v>
      </c>
      <c r="CO83" s="353"/>
      <c r="CP83" s="527" t="s">
        <v>1232</v>
      </c>
      <c r="CQ83" s="528"/>
      <c r="CS83" s="335" t="str">
        <f t="shared" si="13"/>
        <v>L5X3X3/8</v>
      </c>
      <c r="CT83" s="338">
        <v>2.86</v>
      </c>
      <c r="CV83" s="344" t="str">
        <f t="shared" si="14"/>
        <v>WT18X123.5</v>
      </c>
      <c r="CW83" s="337">
        <v>36.299999999999997</v>
      </c>
      <c r="DE83" s="335" t="str">
        <f t="shared" si="15"/>
        <v>2L4X4X3/4</v>
      </c>
      <c r="DF83" s="337">
        <v>10.9</v>
      </c>
      <c r="DH83" s="397" t="s">
        <v>1384</v>
      </c>
      <c r="DI83" s="398">
        <v>31.7</v>
      </c>
      <c r="DJ83" s="398">
        <v>29.8</v>
      </c>
      <c r="DK83" s="399">
        <v>0.54500000000000004</v>
      </c>
      <c r="DL83" s="407">
        <v>49.6</v>
      </c>
      <c r="DM83" s="400">
        <v>6.89</v>
      </c>
      <c r="DN83" s="408">
        <v>346</v>
      </c>
      <c r="DO83" s="409">
        <v>299</v>
      </c>
      <c r="DP83" s="119"/>
      <c r="DQ83" s="428" t="s">
        <v>1320</v>
      </c>
      <c r="DR83" s="429">
        <v>772</v>
      </c>
      <c r="DS83" s="429">
        <v>9700</v>
      </c>
      <c r="DT83" s="431"/>
      <c r="DU83" s="431"/>
      <c r="DV83" s="431"/>
      <c r="DW83" s="431"/>
      <c r="DX83" s="432"/>
      <c r="DZ83" s="447" t="s">
        <v>1358</v>
      </c>
      <c r="EA83" s="448">
        <v>148</v>
      </c>
      <c r="EB83" s="448">
        <v>43.6</v>
      </c>
      <c r="EC83" s="448">
        <v>30.7</v>
      </c>
      <c r="ED83" s="448" t="s">
        <v>1719</v>
      </c>
      <c r="EE83" s="448">
        <v>0.65</v>
      </c>
      <c r="EF83" s="449">
        <v>45054</v>
      </c>
      <c r="EG83" s="449">
        <v>45062</v>
      </c>
      <c r="EH83" s="448">
        <v>10.5</v>
      </c>
      <c r="EI83" s="448" t="s">
        <v>1721</v>
      </c>
      <c r="EJ83" s="448">
        <v>1.18</v>
      </c>
      <c r="EK83" s="448" t="s">
        <v>1640</v>
      </c>
      <c r="EL83" s="448">
        <v>4.4400000000000004</v>
      </c>
      <c r="EM83" s="448">
        <v>41.6</v>
      </c>
      <c r="EN83" s="448">
        <v>6680</v>
      </c>
      <c r="EO83" s="448">
        <v>436</v>
      </c>
      <c r="EP83" s="448">
        <v>12.4</v>
      </c>
      <c r="EQ83" s="448">
        <v>500</v>
      </c>
      <c r="ER83" s="448">
        <v>227</v>
      </c>
      <c r="ES83" s="448">
        <v>43.3</v>
      </c>
      <c r="ET83" s="448">
        <v>2.2799999999999998</v>
      </c>
      <c r="EU83" s="450">
        <v>68</v>
      </c>
    </row>
    <row r="84" spans="2:151">
      <c r="B84" s="78" t="s">
        <v>7</v>
      </c>
      <c r="C84" s="79" t="s">
        <v>89</v>
      </c>
      <c r="D84" s="80" t="s">
        <v>89</v>
      </c>
      <c r="E84" s="1" t="s">
        <v>4</v>
      </c>
      <c r="F84" s="4">
        <v>11.9</v>
      </c>
      <c r="G84" s="7">
        <v>3.5</v>
      </c>
      <c r="H84" s="3" t="str">
        <f t="shared" si="12"/>
        <v>L4X3-1/2X1/2</v>
      </c>
      <c r="I84" s="7">
        <v>3.5</v>
      </c>
      <c r="J84" s="5" t="s">
        <v>5</v>
      </c>
      <c r="K84" s="6" t="s">
        <v>5</v>
      </c>
      <c r="L84" s="6" t="s">
        <v>5</v>
      </c>
      <c r="M84" s="6" t="s">
        <v>5</v>
      </c>
      <c r="N84" s="6" t="s">
        <v>5</v>
      </c>
      <c r="O84" s="5" t="s">
        <v>5</v>
      </c>
      <c r="P84" s="5" t="s">
        <v>5</v>
      </c>
      <c r="Q84" s="7">
        <v>4</v>
      </c>
      <c r="R84" s="6" t="s">
        <v>5</v>
      </c>
      <c r="S84" s="6" t="s">
        <v>5</v>
      </c>
      <c r="T84" s="5" t="s">
        <v>5</v>
      </c>
      <c r="U84" s="8" t="s">
        <v>5</v>
      </c>
      <c r="V84" s="6" t="s">
        <v>5</v>
      </c>
      <c r="W84" s="8" t="s">
        <v>5</v>
      </c>
      <c r="X84" s="22">
        <v>0.5</v>
      </c>
      <c r="Y84" s="6" t="s">
        <v>5</v>
      </c>
      <c r="Z84" s="6" t="s">
        <v>5</v>
      </c>
      <c r="AA84" s="22">
        <v>0.875</v>
      </c>
      <c r="AB84" s="8">
        <v>0.875</v>
      </c>
      <c r="AC84" s="8" t="s">
        <v>5</v>
      </c>
      <c r="AD84" s="22">
        <v>0.99399999999999999</v>
      </c>
      <c r="AE84" s="7">
        <v>1.24</v>
      </c>
      <c r="AF84" s="6" t="s">
        <v>5</v>
      </c>
      <c r="AG84" s="22">
        <v>0.438</v>
      </c>
      <c r="AH84" s="22">
        <v>0.5</v>
      </c>
      <c r="AI84" s="6" t="s">
        <v>5</v>
      </c>
      <c r="AJ84" s="7">
        <v>8</v>
      </c>
      <c r="AK84" s="6" t="s">
        <v>5</v>
      </c>
      <c r="AL84" s="6" t="s">
        <v>5</v>
      </c>
      <c r="AM84" s="6" t="s">
        <v>5</v>
      </c>
      <c r="AN84" s="6" t="s">
        <v>5</v>
      </c>
      <c r="AO84" s="7">
        <v>5.3</v>
      </c>
      <c r="AP84" s="7">
        <v>3.46</v>
      </c>
      <c r="AQ84" s="7">
        <v>1.92</v>
      </c>
      <c r="AR84" s="7">
        <v>1.23</v>
      </c>
      <c r="AS84" s="7">
        <v>3.76</v>
      </c>
      <c r="AT84" s="7">
        <v>2.69</v>
      </c>
      <c r="AU84" s="7">
        <v>1.5</v>
      </c>
      <c r="AV84" s="7">
        <v>1.04</v>
      </c>
      <c r="AW84" s="6">
        <v>1.79</v>
      </c>
      <c r="AX84" s="22">
        <v>0.71599999999999997</v>
      </c>
      <c r="AY84" s="12">
        <v>1.1599999999999999</v>
      </c>
      <c r="AZ84" s="22">
        <v>0.30099999999999999</v>
      </c>
      <c r="BA84" s="22">
        <v>0.30199999999999999</v>
      </c>
      <c r="BB84" s="6" t="s">
        <v>5</v>
      </c>
      <c r="BC84" s="6" t="s">
        <v>5</v>
      </c>
      <c r="BD84" s="6" t="s">
        <v>5</v>
      </c>
      <c r="BE84" s="6" t="s">
        <v>5</v>
      </c>
      <c r="BF84" s="6" t="s">
        <v>5</v>
      </c>
      <c r="BG84" s="6" t="s">
        <v>5</v>
      </c>
      <c r="BH84" s="6" t="s">
        <v>5</v>
      </c>
      <c r="BI84" s="7">
        <v>2.0299999999999998</v>
      </c>
      <c r="BJ84" s="24" t="s">
        <v>5</v>
      </c>
      <c r="BK84" s="23">
        <v>0.75</v>
      </c>
      <c r="BL84" s="6">
        <v>7.26</v>
      </c>
      <c r="BM84" s="7">
        <v>2.29</v>
      </c>
      <c r="BN84" s="22">
        <v>0.39700000000000002</v>
      </c>
      <c r="BO84" s="7">
        <v>2.66</v>
      </c>
      <c r="BP84" s="7">
        <v>1.41</v>
      </c>
      <c r="BQ84" s="6">
        <v>1.54</v>
      </c>
      <c r="BR84" s="7">
        <v>1.06</v>
      </c>
      <c r="BS84" s="16">
        <v>3.17</v>
      </c>
      <c r="BT84" s="16">
        <v>18.3</v>
      </c>
      <c r="BU84" s="16">
        <v>2.73</v>
      </c>
      <c r="BV84" s="16">
        <v>1.27</v>
      </c>
      <c r="BW84" s="16">
        <v>1.1599999999999999</v>
      </c>
      <c r="BX84" s="16">
        <v>1.69</v>
      </c>
      <c r="BY84" s="25" t="s">
        <v>5</v>
      </c>
      <c r="BZ84" s="25" t="s">
        <v>5</v>
      </c>
      <c r="CA84" s="4">
        <v>11.5</v>
      </c>
      <c r="CB84" s="4">
        <v>11</v>
      </c>
      <c r="CC84" s="4">
        <v>15</v>
      </c>
      <c r="CD84" s="25" t="s">
        <v>5</v>
      </c>
      <c r="CE84" s="25" t="s">
        <v>5</v>
      </c>
      <c r="CF84" s="16" t="s">
        <v>5</v>
      </c>
      <c r="CG84" s="16" t="s">
        <v>5</v>
      </c>
      <c r="CH84" s="18" t="s">
        <v>5</v>
      </c>
      <c r="CL84" s="375" t="s">
        <v>1215</v>
      </c>
      <c r="CM84" s="378">
        <v>2</v>
      </c>
      <c r="CO84" s="353"/>
      <c r="CP84" s="368"/>
      <c r="CQ84" s="369"/>
      <c r="CS84" s="335" t="str">
        <f t="shared" si="13"/>
        <v>L3-1/2X2-1/2X1/2</v>
      </c>
      <c r="CT84" s="338">
        <v>2.77</v>
      </c>
      <c r="CV84" s="344" t="str">
        <f t="shared" si="14"/>
        <v>WT16.5X120.5</v>
      </c>
      <c r="CW84" s="337">
        <v>35.6</v>
      </c>
      <c r="DE84" s="335" t="str">
        <f t="shared" si="15"/>
        <v>2L6X6X7/16</v>
      </c>
      <c r="DF84" s="337">
        <v>10.199999999999999</v>
      </c>
      <c r="DH84" s="397" t="s">
        <v>1390</v>
      </c>
      <c r="DI84" s="398">
        <v>29</v>
      </c>
      <c r="DJ84" s="398">
        <v>29.7</v>
      </c>
      <c r="DK84" s="399">
        <v>0.52</v>
      </c>
      <c r="DL84" s="407">
        <v>51.9</v>
      </c>
      <c r="DM84" s="400">
        <v>7.8</v>
      </c>
      <c r="DN84" s="408">
        <v>312</v>
      </c>
      <c r="DO84" s="409">
        <v>269</v>
      </c>
      <c r="DP84" s="119"/>
      <c r="DQ84" s="428" t="s">
        <v>1321</v>
      </c>
      <c r="DR84" s="429">
        <v>767</v>
      </c>
      <c r="DS84" s="429">
        <v>12100</v>
      </c>
      <c r="DT84" s="431"/>
      <c r="DU84" s="431"/>
      <c r="DV84" s="431"/>
      <c r="DW84" s="431"/>
      <c r="DX84" s="432"/>
      <c r="DZ84" s="447" t="s">
        <v>1367</v>
      </c>
      <c r="EA84" s="448">
        <v>132</v>
      </c>
      <c r="EB84" s="448">
        <v>38.799999999999997</v>
      </c>
      <c r="EC84" s="448">
        <v>30.3</v>
      </c>
      <c r="ED84" s="448" t="s">
        <v>1722</v>
      </c>
      <c r="EE84" s="448">
        <v>0.61499999999999999</v>
      </c>
      <c r="EF84" s="449">
        <v>45054</v>
      </c>
      <c r="EG84" s="449">
        <v>45062</v>
      </c>
      <c r="EH84" s="448">
        <v>10.5</v>
      </c>
      <c r="EI84" s="448" t="s">
        <v>1721</v>
      </c>
      <c r="EJ84" s="448">
        <v>1</v>
      </c>
      <c r="EK84" s="448">
        <v>1</v>
      </c>
      <c r="EL84" s="448">
        <v>5.27</v>
      </c>
      <c r="EM84" s="448">
        <v>43.9</v>
      </c>
      <c r="EN84" s="448">
        <v>5770</v>
      </c>
      <c r="EO84" s="448">
        <v>380</v>
      </c>
      <c r="EP84" s="448">
        <v>12.2</v>
      </c>
      <c r="EQ84" s="448">
        <v>437</v>
      </c>
      <c r="ER84" s="448">
        <v>196</v>
      </c>
      <c r="ES84" s="448">
        <v>37.200000000000003</v>
      </c>
      <c r="ET84" s="448">
        <v>2.25</v>
      </c>
      <c r="EU84" s="450">
        <v>58.4</v>
      </c>
    </row>
    <row r="85" spans="2:151">
      <c r="B85" s="78" t="s">
        <v>7</v>
      </c>
      <c r="C85" s="79" t="s">
        <v>90</v>
      </c>
      <c r="D85" s="80" t="s">
        <v>90</v>
      </c>
      <c r="E85" s="1" t="s">
        <v>4</v>
      </c>
      <c r="F85" s="7">
        <v>9.1</v>
      </c>
      <c r="G85" s="7">
        <v>2.68</v>
      </c>
      <c r="H85" s="3" t="str">
        <f t="shared" si="12"/>
        <v>L4X3-1/2X3/8</v>
      </c>
      <c r="I85" s="7">
        <v>3.5</v>
      </c>
      <c r="J85" s="5" t="s">
        <v>5</v>
      </c>
      <c r="K85" s="6" t="s">
        <v>5</v>
      </c>
      <c r="L85" s="6" t="s">
        <v>5</v>
      </c>
      <c r="M85" s="6" t="s">
        <v>5</v>
      </c>
      <c r="N85" s="6" t="s">
        <v>5</v>
      </c>
      <c r="O85" s="5" t="s">
        <v>5</v>
      </c>
      <c r="P85" s="5" t="s">
        <v>5</v>
      </c>
      <c r="Q85" s="7">
        <v>4</v>
      </c>
      <c r="R85" s="6" t="s">
        <v>5</v>
      </c>
      <c r="S85" s="6" t="s">
        <v>5</v>
      </c>
      <c r="T85" s="5" t="s">
        <v>5</v>
      </c>
      <c r="U85" s="8" t="s">
        <v>5</v>
      </c>
      <c r="V85" s="6" t="s">
        <v>5</v>
      </c>
      <c r="W85" s="8" t="s">
        <v>5</v>
      </c>
      <c r="X85" s="22">
        <v>0.375</v>
      </c>
      <c r="Y85" s="6" t="s">
        <v>5</v>
      </c>
      <c r="Z85" s="6" t="s">
        <v>5</v>
      </c>
      <c r="AA85" s="22">
        <v>0.75</v>
      </c>
      <c r="AB85" s="8">
        <v>0.75</v>
      </c>
      <c r="AC85" s="8" t="s">
        <v>5</v>
      </c>
      <c r="AD85" s="22">
        <v>0.94699999999999995</v>
      </c>
      <c r="AE85" s="7">
        <v>1.2</v>
      </c>
      <c r="AF85" s="6" t="s">
        <v>5</v>
      </c>
      <c r="AG85" s="22">
        <v>0.33500000000000002</v>
      </c>
      <c r="AH85" s="22">
        <v>0.42699999999999999</v>
      </c>
      <c r="AI85" s="6" t="s">
        <v>5</v>
      </c>
      <c r="AJ85" s="4">
        <v>10.7</v>
      </c>
      <c r="AK85" s="6" t="s">
        <v>5</v>
      </c>
      <c r="AL85" s="6" t="s">
        <v>5</v>
      </c>
      <c r="AM85" s="6" t="s">
        <v>5</v>
      </c>
      <c r="AN85" s="6" t="s">
        <v>5</v>
      </c>
      <c r="AO85" s="7">
        <v>4.1500000000000004</v>
      </c>
      <c r="AP85" s="7">
        <v>2.66</v>
      </c>
      <c r="AQ85" s="7">
        <v>1.48</v>
      </c>
      <c r="AR85" s="7">
        <v>1.25</v>
      </c>
      <c r="AS85" s="7">
        <v>2.96</v>
      </c>
      <c r="AT85" s="7">
        <v>2.06</v>
      </c>
      <c r="AU85" s="7">
        <v>1.1599999999999999</v>
      </c>
      <c r="AV85" s="7">
        <v>1.05</v>
      </c>
      <c r="AW85" s="6">
        <v>1.39</v>
      </c>
      <c r="AX85" s="22">
        <v>0.71899999999999997</v>
      </c>
      <c r="AY85" s="12">
        <v>0.93899999999999995</v>
      </c>
      <c r="AZ85" s="22">
        <v>0.13200000000000001</v>
      </c>
      <c r="BA85" s="22">
        <v>0.13400000000000001</v>
      </c>
      <c r="BB85" s="6" t="s">
        <v>5</v>
      </c>
      <c r="BC85" s="6" t="s">
        <v>5</v>
      </c>
      <c r="BD85" s="6" t="s">
        <v>5</v>
      </c>
      <c r="BE85" s="6" t="s">
        <v>5</v>
      </c>
      <c r="BF85" s="6" t="s">
        <v>5</v>
      </c>
      <c r="BG85" s="6" t="s">
        <v>5</v>
      </c>
      <c r="BH85" s="6" t="s">
        <v>5</v>
      </c>
      <c r="BI85" s="7">
        <v>2.06</v>
      </c>
      <c r="BJ85" s="24" t="s">
        <v>5</v>
      </c>
      <c r="BK85" s="23">
        <v>0.755</v>
      </c>
      <c r="BL85" s="6">
        <v>5.73</v>
      </c>
      <c r="BM85" s="7">
        <v>2.35</v>
      </c>
      <c r="BN85" s="22">
        <v>0.38700000000000001</v>
      </c>
      <c r="BO85" s="7">
        <v>2.69</v>
      </c>
      <c r="BP85" s="7">
        <v>1.43</v>
      </c>
      <c r="BQ85" s="7">
        <v>1.48</v>
      </c>
      <c r="BR85" s="7">
        <v>1.08</v>
      </c>
      <c r="BS85" s="16">
        <v>2.44</v>
      </c>
      <c r="BT85" s="16">
        <v>14.8</v>
      </c>
      <c r="BU85" s="16">
        <v>2.13</v>
      </c>
      <c r="BV85" s="16">
        <v>0.97199999999999998</v>
      </c>
      <c r="BW85" s="16">
        <v>0.93899999999999995</v>
      </c>
      <c r="BX85" s="16">
        <v>1.29</v>
      </c>
      <c r="BY85" s="25" t="s">
        <v>5</v>
      </c>
      <c r="BZ85" s="25" t="s">
        <v>5</v>
      </c>
      <c r="CA85" s="4">
        <v>11.5</v>
      </c>
      <c r="CB85" s="4">
        <v>11</v>
      </c>
      <c r="CC85" s="4">
        <v>15</v>
      </c>
      <c r="CD85" s="25" t="s">
        <v>5</v>
      </c>
      <c r="CE85" s="25" t="s">
        <v>5</v>
      </c>
      <c r="CF85" s="16" t="s">
        <v>5</v>
      </c>
      <c r="CG85" s="16" t="s">
        <v>5</v>
      </c>
      <c r="CH85" s="18" t="s">
        <v>5</v>
      </c>
      <c r="CL85" s="376" t="s">
        <v>1214</v>
      </c>
      <c r="CM85" s="379">
        <v>3</v>
      </c>
      <c r="CO85" s="353"/>
      <c r="CP85" s="370">
        <v>2.5000000000000001E-2</v>
      </c>
      <c r="CQ85" s="371">
        <v>0.125</v>
      </c>
      <c r="CS85" s="335" t="str">
        <f t="shared" si="13"/>
        <v>L3X3X1/2</v>
      </c>
      <c r="CT85" s="338">
        <v>2.76</v>
      </c>
      <c r="CV85" s="344" t="str">
        <f t="shared" si="14"/>
        <v>WT15X117.5</v>
      </c>
      <c r="CW85" s="337">
        <v>34.700000000000003</v>
      </c>
      <c r="DE85" s="335" t="str">
        <f t="shared" si="15"/>
        <v>2L6X6X7/16</v>
      </c>
      <c r="DF85" s="337">
        <v>10.199999999999999</v>
      </c>
      <c r="DH85" s="397" t="s">
        <v>1397</v>
      </c>
      <c r="DI85" s="398">
        <v>26.3</v>
      </c>
      <c r="DJ85" s="398">
        <v>29.5</v>
      </c>
      <c r="DK85" s="399">
        <v>0.47</v>
      </c>
      <c r="DL85" s="407">
        <v>57.5</v>
      </c>
      <c r="DM85" s="400">
        <v>8.52</v>
      </c>
      <c r="DN85" s="408">
        <v>283</v>
      </c>
      <c r="DO85" s="409">
        <v>245</v>
      </c>
      <c r="DP85" s="119"/>
      <c r="DQ85" s="428" t="s">
        <v>1322</v>
      </c>
      <c r="DR85" s="429">
        <v>754</v>
      </c>
      <c r="DS85" s="429">
        <v>6970</v>
      </c>
      <c r="DT85" s="431"/>
      <c r="DU85" s="431"/>
      <c r="DV85" s="431"/>
      <c r="DW85" s="431"/>
      <c r="DX85" s="432"/>
      <c r="DZ85" s="447" t="s">
        <v>1373</v>
      </c>
      <c r="EA85" s="448">
        <v>124</v>
      </c>
      <c r="EB85" s="448">
        <v>36.5</v>
      </c>
      <c r="EC85" s="448">
        <v>30.2</v>
      </c>
      <c r="ED85" s="448" t="s">
        <v>1723</v>
      </c>
      <c r="EE85" s="448">
        <v>0.58499999999999996</v>
      </c>
      <c r="EF85" s="449">
        <v>45185</v>
      </c>
      <c r="EG85" s="449">
        <v>45062</v>
      </c>
      <c r="EH85" s="448">
        <v>10.5</v>
      </c>
      <c r="EI85" s="448" t="s">
        <v>1721</v>
      </c>
      <c r="EJ85" s="448">
        <v>0.93</v>
      </c>
      <c r="EK85" s="448" t="s">
        <v>1628</v>
      </c>
      <c r="EL85" s="448">
        <v>5.65</v>
      </c>
      <c r="EM85" s="448">
        <v>46.2</v>
      </c>
      <c r="EN85" s="448">
        <v>5360</v>
      </c>
      <c r="EO85" s="448">
        <v>355</v>
      </c>
      <c r="EP85" s="448">
        <v>12.1</v>
      </c>
      <c r="EQ85" s="448">
        <v>408</v>
      </c>
      <c r="ER85" s="448">
        <v>181</v>
      </c>
      <c r="ES85" s="448">
        <v>34.4</v>
      </c>
      <c r="ET85" s="448">
        <v>2.23</v>
      </c>
      <c r="EU85" s="450">
        <v>54</v>
      </c>
    </row>
    <row r="86" spans="2:151" ht="14.4" thickBot="1">
      <c r="B86" s="78" t="s">
        <v>7</v>
      </c>
      <c r="C86" s="79" t="s">
        <v>91</v>
      </c>
      <c r="D86" s="80" t="s">
        <v>91</v>
      </c>
      <c r="E86" s="1" t="s">
        <v>4</v>
      </c>
      <c r="F86" s="7">
        <v>7.7</v>
      </c>
      <c r="G86" s="7">
        <v>2.25</v>
      </c>
      <c r="H86" s="3" t="str">
        <f t="shared" si="12"/>
        <v>L4X3-1/2X5/16</v>
      </c>
      <c r="I86" s="7">
        <v>3.5</v>
      </c>
      <c r="J86" s="5" t="s">
        <v>5</v>
      </c>
      <c r="K86" s="6" t="s">
        <v>5</v>
      </c>
      <c r="L86" s="6" t="s">
        <v>5</v>
      </c>
      <c r="M86" s="6" t="s">
        <v>5</v>
      </c>
      <c r="N86" s="6" t="s">
        <v>5</v>
      </c>
      <c r="O86" s="5" t="s">
        <v>5</v>
      </c>
      <c r="P86" s="5" t="s">
        <v>5</v>
      </c>
      <c r="Q86" s="7">
        <v>4</v>
      </c>
      <c r="R86" s="6" t="s">
        <v>5</v>
      </c>
      <c r="S86" s="6" t="s">
        <v>5</v>
      </c>
      <c r="T86" s="5" t="s">
        <v>5</v>
      </c>
      <c r="U86" s="8" t="s">
        <v>5</v>
      </c>
      <c r="V86" s="6" t="s">
        <v>5</v>
      </c>
      <c r="W86" s="8" t="s">
        <v>5</v>
      </c>
      <c r="X86" s="22">
        <v>0.313</v>
      </c>
      <c r="Y86" s="6" t="s">
        <v>5</v>
      </c>
      <c r="Z86" s="6" t="s">
        <v>5</v>
      </c>
      <c r="AA86" s="22">
        <v>0.68799999999999994</v>
      </c>
      <c r="AB86" s="8">
        <v>0.6875</v>
      </c>
      <c r="AC86" s="8" t="s">
        <v>5</v>
      </c>
      <c r="AD86" s="22">
        <v>0.92300000000000004</v>
      </c>
      <c r="AE86" s="7">
        <v>1.17</v>
      </c>
      <c r="AF86" s="6" t="s">
        <v>5</v>
      </c>
      <c r="AG86" s="22">
        <v>0.28100000000000003</v>
      </c>
      <c r="AH86" s="22">
        <v>0.4</v>
      </c>
      <c r="AI86" s="6" t="s">
        <v>5</v>
      </c>
      <c r="AJ86" s="4">
        <v>12.8</v>
      </c>
      <c r="AK86" s="6" t="s">
        <v>5</v>
      </c>
      <c r="AL86" s="6" t="s">
        <v>5</v>
      </c>
      <c r="AM86" s="6" t="s">
        <v>5</v>
      </c>
      <c r="AN86" s="6" t="s">
        <v>5</v>
      </c>
      <c r="AO86" s="7">
        <v>3.53</v>
      </c>
      <c r="AP86" s="7">
        <v>2.2400000000000002</v>
      </c>
      <c r="AQ86" s="7">
        <v>1.25</v>
      </c>
      <c r="AR86" s="7">
        <v>1.25</v>
      </c>
      <c r="AS86" s="7">
        <v>2.52</v>
      </c>
      <c r="AT86" s="7">
        <v>1.74</v>
      </c>
      <c r="AU86" s="22">
        <v>0.98</v>
      </c>
      <c r="AV86" s="7">
        <v>1.06</v>
      </c>
      <c r="AW86" s="6">
        <v>1.1599999999999999</v>
      </c>
      <c r="AX86" s="22">
        <v>0.72099999999999997</v>
      </c>
      <c r="AY86" s="12">
        <v>0.80600000000000005</v>
      </c>
      <c r="AZ86" s="28">
        <v>7.8200000000000006E-2</v>
      </c>
      <c r="BA86" s="28">
        <v>7.9799999999999996E-2</v>
      </c>
      <c r="BB86" s="6" t="s">
        <v>5</v>
      </c>
      <c r="BC86" s="6" t="s">
        <v>5</v>
      </c>
      <c r="BD86" s="6" t="s">
        <v>5</v>
      </c>
      <c r="BE86" s="6" t="s">
        <v>5</v>
      </c>
      <c r="BF86" s="6" t="s">
        <v>5</v>
      </c>
      <c r="BG86" s="6" t="s">
        <v>5</v>
      </c>
      <c r="BH86" s="6" t="s">
        <v>5</v>
      </c>
      <c r="BI86" s="7">
        <v>2.08</v>
      </c>
      <c r="BJ86" s="24" t="s">
        <v>5</v>
      </c>
      <c r="BK86" s="23">
        <v>0.75700000000000001</v>
      </c>
      <c r="BL86" s="6">
        <v>4.88</v>
      </c>
      <c r="BM86" s="7">
        <v>2.36</v>
      </c>
      <c r="BN86" s="22">
        <v>0.376</v>
      </c>
      <c r="BO86" s="7">
        <v>2.72</v>
      </c>
      <c r="BP86" s="7">
        <v>1.44</v>
      </c>
      <c r="BQ86" s="6">
        <v>1.44</v>
      </c>
      <c r="BR86" s="7">
        <v>1.1000000000000001</v>
      </c>
      <c r="BS86" s="16">
        <v>2.0699999999999998</v>
      </c>
      <c r="BT86" s="17">
        <v>13</v>
      </c>
      <c r="BU86" s="16">
        <v>1.79</v>
      </c>
      <c r="BV86" s="16">
        <v>0.80600000000000005</v>
      </c>
      <c r="BW86" s="16">
        <v>0.80600000000000005</v>
      </c>
      <c r="BX86" s="16">
        <v>1.05</v>
      </c>
      <c r="BY86" s="25" t="s">
        <v>5</v>
      </c>
      <c r="BZ86" s="25" t="s">
        <v>5</v>
      </c>
      <c r="CA86" s="4">
        <v>11.5</v>
      </c>
      <c r="CB86" s="4">
        <v>11</v>
      </c>
      <c r="CC86" s="4">
        <v>15</v>
      </c>
      <c r="CD86" s="25" t="s">
        <v>5</v>
      </c>
      <c r="CE86" s="25" t="s">
        <v>5</v>
      </c>
      <c r="CF86" s="16" t="s">
        <v>5</v>
      </c>
      <c r="CG86" s="16" t="s">
        <v>5</v>
      </c>
      <c r="CH86" s="18" t="s">
        <v>5</v>
      </c>
      <c r="CL86" s="377" t="s">
        <v>1216</v>
      </c>
      <c r="CM86" s="380">
        <v>4</v>
      </c>
      <c r="CO86" s="353"/>
      <c r="CP86" s="370">
        <v>0.05</v>
      </c>
      <c r="CQ86" s="371">
        <v>0.125</v>
      </c>
      <c r="CS86" s="335" t="str">
        <f t="shared" si="13"/>
        <v>L4X3-1/2X3/8</v>
      </c>
      <c r="CT86" s="338">
        <v>2.68</v>
      </c>
      <c r="CV86" s="344" t="str">
        <f t="shared" si="14"/>
        <v>WT15X117.5</v>
      </c>
      <c r="CW86" s="337">
        <v>34.700000000000003</v>
      </c>
      <c r="DE86" s="335" t="str">
        <f t="shared" si="15"/>
        <v>2L6X6X7/16</v>
      </c>
      <c r="DF86" s="337">
        <v>10.199999999999999</v>
      </c>
      <c r="DH86" s="397" t="s">
        <v>1254</v>
      </c>
      <c r="DI86" s="401">
        <v>159</v>
      </c>
      <c r="DJ86" s="398">
        <v>32.5</v>
      </c>
      <c r="DK86" s="400">
        <v>1.97</v>
      </c>
      <c r="DL86" s="398">
        <v>12.1</v>
      </c>
      <c r="DM86" s="400">
        <v>2.15</v>
      </c>
      <c r="DN86" s="401">
        <v>1890</v>
      </c>
      <c r="DO86" s="402">
        <v>1570</v>
      </c>
      <c r="DP86" s="117"/>
      <c r="DQ86" s="428" t="s">
        <v>1323</v>
      </c>
      <c r="DR86" s="429">
        <v>751</v>
      </c>
      <c r="DS86" s="429">
        <v>10300</v>
      </c>
      <c r="DT86" s="431"/>
      <c r="DU86" s="431"/>
      <c r="DV86" s="431"/>
      <c r="DW86" s="431"/>
      <c r="DX86" s="432"/>
      <c r="DZ86" s="447" t="s">
        <v>1378</v>
      </c>
      <c r="EA86" s="448">
        <v>116</v>
      </c>
      <c r="EB86" s="448">
        <v>34.200000000000003</v>
      </c>
      <c r="EC86" s="448">
        <v>30</v>
      </c>
      <c r="ED86" s="448">
        <v>30</v>
      </c>
      <c r="EE86" s="448">
        <v>0.56499999999999995</v>
      </c>
      <c r="EF86" s="449">
        <v>45185</v>
      </c>
      <c r="EG86" s="449">
        <v>45062</v>
      </c>
      <c r="EH86" s="448">
        <v>10.5</v>
      </c>
      <c r="EI86" s="448" t="s">
        <v>1721</v>
      </c>
      <c r="EJ86" s="448">
        <v>0.85</v>
      </c>
      <c r="EK86" s="449">
        <v>45115</v>
      </c>
      <c r="EL86" s="448">
        <v>6.17</v>
      </c>
      <c r="EM86" s="448">
        <v>47.8</v>
      </c>
      <c r="EN86" s="448">
        <v>4930</v>
      </c>
      <c r="EO86" s="448">
        <v>329</v>
      </c>
      <c r="EP86" s="448">
        <v>12</v>
      </c>
      <c r="EQ86" s="448">
        <v>378</v>
      </c>
      <c r="ER86" s="448">
        <v>164</v>
      </c>
      <c r="ES86" s="448">
        <v>31.3</v>
      </c>
      <c r="ET86" s="448">
        <v>2.19</v>
      </c>
      <c r="EU86" s="450">
        <v>49.2</v>
      </c>
    </row>
    <row r="87" spans="2:151" ht="15" customHeight="1" thickBot="1">
      <c r="B87" s="78" t="s">
        <v>7</v>
      </c>
      <c r="C87" s="79" t="s">
        <v>92</v>
      </c>
      <c r="D87" s="80" t="s">
        <v>92</v>
      </c>
      <c r="E87" s="1" t="s">
        <v>4</v>
      </c>
      <c r="F87" s="7">
        <v>6.2</v>
      </c>
      <c r="G87" s="7">
        <v>1.82</v>
      </c>
      <c r="H87" s="3" t="str">
        <f t="shared" si="12"/>
        <v>L4X3-1/2X1/4</v>
      </c>
      <c r="I87" s="7">
        <v>3.5</v>
      </c>
      <c r="J87" s="5" t="s">
        <v>5</v>
      </c>
      <c r="K87" s="6" t="s">
        <v>5</v>
      </c>
      <c r="L87" s="6" t="s">
        <v>5</v>
      </c>
      <c r="M87" s="6" t="s">
        <v>5</v>
      </c>
      <c r="N87" s="6" t="s">
        <v>5</v>
      </c>
      <c r="O87" s="5" t="s">
        <v>5</v>
      </c>
      <c r="P87" s="5" t="s">
        <v>5</v>
      </c>
      <c r="Q87" s="7">
        <v>4</v>
      </c>
      <c r="R87" s="6" t="s">
        <v>5</v>
      </c>
      <c r="S87" s="6" t="s">
        <v>5</v>
      </c>
      <c r="T87" s="5" t="s">
        <v>5</v>
      </c>
      <c r="U87" s="8" t="s">
        <v>5</v>
      </c>
      <c r="V87" s="6" t="s">
        <v>5</v>
      </c>
      <c r="W87" s="8" t="s">
        <v>5</v>
      </c>
      <c r="X87" s="22">
        <v>0.25</v>
      </c>
      <c r="Y87" s="6" t="s">
        <v>5</v>
      </c>
      <c r="Z87" s="6" t="s">
        <v>5</v>
      </c>
      <c r="AA87" s="22">
        <v>0.625</v>
      </c>
      <c r="AB87" s="8">
        <v>0.625</v>
      </c>
      <c r="AC87" s="8" t="s">
        <v>5</v>
      </c>
      <c r="AD87" s="22">
        <v>0.89700000000000002</v>
      </c>
      <c r="AE87" s="7">
        <v>1.1399999999999999</v>
      </c>
      <c r="AF87" s="6" t="s">
        <v>5</v>
      </c>
      <c r="AG87" s="22">
        <v>0.22800000000000001</v>
      </c>
      <c r="AH87" s="22">
        <v>0.36</v>
      </c>
      <c r="AI87" s="6" t="s">
        <v>5</v>
      </c>
      <c r="AJ87" s="4">
        <v>16</v>
      </c>
      <c r="AK87" s="6" t="s">
        <v>5</v>
      </c>
      <c r="AL87" s="6" t="s">
        <v>5</v>
      </c>
      <c r="AM87" s="6" t="s">
        <v>5</v>
      </c>
      <c r="AN87" s="6" t="s">
        <v>5</v>
      </c>
      <c r="AO87" s="7">
        <v>2.89</v>
      </c>
      <c r="AP87" s="7">
        <v>1.81</v>
      </c>
      <c r="AQ87" s="7">
        <v>1.01</v>
      </c>
      <c r="AR87" s="7">
        <v>1.26</v>
      </c>
      <c r="AS87" s="7">
        <v>2.0699999999999998</v>
      </c>
      <c r="AT87" s="7">
        <v>1.4</v>
      </c>
      <c r="AU87" s="22">
        <v>0.79400000000000004</v>
      </c>
      <c r="AV87" s="7">
        <v>1.07</v>
      </c>
      <c r="AW87" s="6">
        <v>0.95299999999999996</v>
      </c>
      <c r="AX87" s="22">
        <v>0.72299999999999998</v>
      </c>
      <c r="AY87" s="12">
        <v>0.65300000000000002</v>
      </c>
      <c r="AZ87" s="28">
        <v>4.1200000000000001E-2</v>
      </c>
      <c r="BA87" s="28">
        <v>4.19E-2</v>
      </c>
      <c r="BB87" s="6" t="s">
        <v>5</v>
      </c>
      <c r="BC87" s="6" t="s">
        <v>5</v>
      </c>
      <c r="BD87" s="6" t="s">
        <v>5</v>
      </c>
      <c r="BE87" s="6" t="s">
        <v>5</v>
      </c>
      <c r="BF87" s="6" t="s">
        <v>5</v>
      </c>
      <c r="BG87" s="6" t="s">
        <v>5</v>
      </c>
      <c r="BH87" s="6" t="s">
        <v>5</v>
      </c>
      <c r="BI87" s="7">
        <v>2.09</v>
      </c>
      <c r="BJ87" s="24" t="s">
        <v>5</v>
      </c>
      <c r="BK87" s="23">
        <v>0.75900000000000001</v>
      </c>
      <c r="BL87" s="6">
        <v>4.01</v>
      </c>
      <c r="BM87" s="7">
        <v>2.38</v>
      </c>
      <c r="BN87" s="22">
        <v>0.36499999999999999</v>
      </c>
      <c r="BO87" s="7">
        <v>2.74</v>
      </c>
      <c r="BP87" s="7">
        <v>1.46</v>
      </c>
      <c r="BQ87" s="7">
        <v>1.4</v>
      </c>
      <c r="BR87" s="7">
        <v>1.1100000000000001</v>
      </c>
      <c r="BS87" s="16">
        <v>1.68</v>
      </c>
      <c r="BT87" s="17">
        <v>11</v>
      </c>
      <c r="BU87" s="16">
        <v>1.46</v>
      </c>
      <c r="BV87" s="16">
        <v>0.65300000000000002</v>
      </c>
      <c r="BW87" s="16">
        <v>0.68100000000000005</v>
      </c>
      <c r="BX87" s="16">
        <v>0.85899999999999999</v>
      </c>
      <c r="BY87" s="25" t="s">
        <v>5</v>
      </c>
      <c r="BZ87" s="25" t="s">
        <v>5</v>
      </c>
      <c r="CA87" s="4">
        <v>11.5</v>
      </c>
      <c r="CB87" s="4">
        <v>11</v>
      </c>
      <c r="CC87" s="4">
        <v>15</v>
      </c>
      <c r="CD87" s="25" t="s">
        <v>5</v>
      </c>
      <c r="CE87" s="25" t="s">
        <v>5</v>
      </c>
      <c r="CF87" s="16" t="s">
        <v>5</v>
      </c>
      <c r="CG87" s="16" t="s">
        <v>5</v>
      </c>
      <c r="CH87" s="18" t="s">
        <v>5</v>
      </c>
      <c r="CO87" s="353"/>
      <c r="CP87" s="370">
        <v>7.4999999999999997E-2</v>
      </c>
      <c r="CQ87" s="371">
        <v>0.125</v>
      </c>
      <c r="CS87" s="335" t="str">
        <f t="shared" si="13"/>
        <v>L3-1/2X3X7/16</v>
      </c>
      <c r="CT87" s="338">
        <v>2.67</v>
      </c>
      <c r="CV87" s="344" t="str">
        <f t="shared" si="14"/>
        <v>WT20X117.5</v>
      </c>
      <c r="CW87" s="337">
        <v>34.6</v>
      </c>
      <c r="DE87" s="335" t="str">
        <f t="shared" si="15"/>
        <v>2L5X5X1/2</v>
      </c>
      <c r="DF87" s="338">
        <v>9.58</v>
      </c>
      <c r="DH87" s="397" t="s">
        <v>1281</v>
      </c>
      <c r="DI87" s="406">
        <v>109</v>
      </c>
      <c r="DJ87" s="398">
        <v>30.4</v>
      </c>
      <c r="DK87" s="400">
        <v>1.38</v>
      </c>
      <c r="DL87" s="407">
        <v>17.3</v>
      </c>
      <c r="DM87" s="400">
        <v>2.96</v>
      </c>
      <c r="DN87" s="408">
        <v>1240</v>
      </c>
      <c r="DO87" s="409">
        <v>1060</v>
      </c>
      <c r="DP87" s="119"/>
      <c r="DQ87" s="428" t="s">
        <v>1324</v>
      </c>
      <c r="DR87" s="429">
        <v>749</v>
      </c>
      <c r="DS87" s="429">
        <v>7690</v>
      </c>
      <c r="DT87" s="431"/>
      <c r="DU87" s="431"/>
      <c r="DV87" s="431"/>
      <c r="DW87" s="431"/>
      <c r="DX87" s="432"/>
      <c r="DZ87" s="447" t="s">
        <v>1384</v>
      </c>
      <c r="EA87" s="448">
        <v>108</v>
      </c>
      <c r="EB87" s="448">
        <v>31.7</v>
      </c>
      <c r="EC87" s="448">
        <v>29.8</v>
      </c>
      <c r="ED87" s="448" t="s">
        <v>1724</v>
      </c>
      <c r="EE87" s="448">
        <v>0.54500000000000004</v>
      </c>
      <c r="EF87" s="449">
        <v>45185</v>
      </c>
      <c r="EG87" s="449">
        <v>45062</v>
      </c>
      <c r="EH87" s="448">
        <v>10.5</v>
      </c>
      <c r="EI87" s="448" t="s">
        <v>1721</v>
      </c>
      <c r="EJ87" s="448">
        <v>0.76</v>
      </c>
      <c r="EK87" s="449">
        <v>44989</v>
      </c>
      <c r="EL87" s="448">
        <v>6.89</v>
      </c>
      <c r="EM87" s="448">
        <v>49.6</v>
      </c>
      <c r="EN87" s="448">
        <v>4470</v>
      </c>
      <c r="EO87" s="448">
        <v>299</v>
      </c>
      <c r="EP87" s="448">
        <v>11.9</v>
      </c>
      <c r="EQ87" s="448">
        <v>346</v>
      </c>
      <c r="ER87" s="448">
        <v>146</v>
      </c>
      <c r="ES87" s="448">
        <v>27.9</v>
      </c>
      <c r="ET87" s="448">
        <v>2.15</v>
      </c>
      <c r="EU87" s="450">
        <v>43.9</v>
      </c>
    </row>
    <row r="88" spans="2:151">
      <c r="B88" s="78" t="s">
        <v>7</v>
      </c>
      <c r="C88" s="79" t="s">
        <v>93</v>
      </c>
      <c r="D88" s="80" t="s">
        <v>93</v>
      </c>
      <c r="E88" s="1" t="s">
        <v>4</v>
      </c>
      <c r="F88" s="4">
        <v>13.6</v>
      </c>
      <c r="G88" s="7">
        <v>3.99</v>
      </c>
      <c r="H88" s="3" t="str">
        <f t="shared" si="12"/>
        <v>L4X3X5/8</v>
      </c>
      <c r="I88" s="7">
        <v>3</v>
      </c>
      <c r="J88" s="5" t="s">
        <v>5</v>
      </c>
      <c r="K88" s="6" t="s">
        <v>5</v>
      </c>
      <c r="L88" s="6" t="s">
        <v>5</v>
      </c>
      <c r="M88" s="6" t="s">
        <v>5</v>
      </c>
      <c r="N88" s="6" t="s">
        <v>5</v>
      </c>
      <c r="O88" s="5" t="s">
        <v>5</v>
      </c>
      <c r="P88" s="5" t="s">
        <v>5</v>
      </c>
      <c r="Q88" s="7">
        <v>4</v>
      </c>
      <c r="R88" s="6" t="s">
        <v>5</v>
      </c>
      <c r="S88" s="6" t="s">
        <v>5</v>
      </c>
      <c r="T88" s="5" t="s">
        <v>5</v>
      </c>
      <c r="U88" s="8" t="s">
        <v>5</v>
      </c>
      <c r="V88" s="6" t="s">
        <v>5</v>
      </c>
      <c r="W88" s="8" t="s">
        <v>5</v>
      </c>
      <c r="X88" s="22">
        <v>0.625</v>
      </c>
      <c r="Y88" s="6" t="s">
        <v>5</v>
      </c>
      <c r="Z88" s="6" t="s">
        <v>5</v>
      </c>
      <c r="AA88" s="7">
        <v>1</v>
      </c>
      <c r="AB88" s="8">
        <v>1</v>
      </c>
      <c r="AC88" s="8" t="s">
        <v>5</v>
      </c>
      <c r="AD88" s="22">
        <v>0.86699999999999999</v>
      </c>
      <c r="AE88" s="7">
        <v>1.37</v>
      </c>
      <c r="AF88" s="6" t="s">
        <v>5</v>
      </c>
      <c r="AG88" s="22">
        <v>0.499</v>
      </c>
      <c r="AH88" s="22">
        <v>0.80800000000000005</v>
      </c>
      <c r="AI88" s="6" t="s">
        <v>5</v>
      </c>
      <c r="AJ88" s="7">
        <v>6.4</v>
      </c>
      <c r="AK88" s="6" t="s">
        <v>5</v>
      </c>
      <c r="AL88" s="6" t="s">
        <v>5</v>
      </c>
      <c r="AM88" s="6" t="s">
        <v>5</v>
      </c>
      <c r="AN88" s="6" t="s">
        <v>5</v>
      </c>
      <c r="AO88" s="7">
        <v>6.01</v>
      </c>
      <c r="AP88" s="7">
        <v>4.08</v>
      </c>
      <c r="AQ88" s="7">
        <v>2.2799999999999998</v>
      </c>
      <c r="AR88" s="7">
        <v>1.23</v>
      </c>
      <c r="AS88" s="7">
        <v>2.85</v>
      </c>
      <c r="AT88" s="7">
        <v>2.4500000000000002</v>
      </c>
      <c r="AU88" s="7">
        <v>1.34</v>
      </c>
      <c r="AV88" s="22">
        <v>0.84499999999999997</v>
      </c>
      <c r="AW88" s="6">
        <v>1.59</v>
      </c>
      <c r="AX88" s="22">
        <v>0.63100000000000001</v>
      </c>
      <c r="AY88" s="12">
        <v>1.1299999999999999</v>
      </c>
      <c r="AZ88" s="22">
        <v>0.52900000000000003</v>
      </c>
      <c r="BA88" s="22">
        <v>0.47199999999999998</v>
      </c>
      <c r="BB88" s="6" t="s">
        <v>5</v>
      </c>
      <c r="BC88" s="6" t="s">
        <v>5</v>
      </c>
      <c r="BD88" s="6" t="s">
        <v>5</v>
      </c>
      <c r="BE88" s="6" t="s">
        <v>5</v>
      </c>
      <c r="BF88" s="6" t="s">
        <v>5</v>
      </c>
      <c r="BG88" s="6" t="s">
        <v>5</v>
      </c>
      <c r="BH88" s="6" t="s">
        <v>5</v>
      </c>
      <c r="BI88" s="7">
        <v>1.91</v>
      </c>
      <c r="BJ88" s="24" t="s">
        <v>5</v>
      </c>
      <c r="BK88" s="23">
        <v>0.53400000000000003</v>
      </c>
      <c r="BL88" s="6">
        <v>7.27</v>
      </c>
      <c r="BM88" s="7">
        <v>1.94</v>
      </c>
      <c r="BN88" s="22">
        <v>0.80100000000000005</v>
      </c>
      <c r="BO88" s="7">
        <v>2.58</v>
      </c>
      <c r="BP88" s="7">
        <v>1.38</v>
      </c>
      <c r="BQ88" s="6">
        <v>1.41</v>
      </c>
      <c r="BR88" s="22">
        <v>0.749</v>
      </c>
      <c r="BS88" s="16">
        <v>3.75</v>
      </c>
      <c r="BT88" s="16">
        <v>9.08</v>
      </c>
      <c r="BU88" s="16">
        <v>2.82</v>
      </c>
      <c r="BV88" s="16">
        <v>1.1499999999999999</v>
      </c>
      <c r="BW88" s="16">
        <v>1.1299999999999999</v>
      </c>
      <c r="BX88" s="16">
        <v>2.12</v>
      </c>
      <c r="BY88" s="25" t="s">
        <v>5</v>
      </c>
      <c r="BZ88" s="25" t="s">
        <v>5</v>
      </c>
      <c r="CA88" s="4">
        <v>11</v>
      </c>
      <c r="CB88" s="4">
        <v>10</v>
      </c>
      <c r="CC88" s="4">
        <v>14</v>
      </c>
      <c r="CD88" s="25" t="s">
        <v>5</v>
      </c>
      <c r="CE88" s="25" t="s">
        <v>5</v>
      </c>
      <c r="CF88" s="16" t="s">
        <v>5</v>
      </c>
      <c r="CG88" s="16" t="s">
        <v>5</v>
      </c>
      <c r="CH88" s="18" t="s">
        <v>5</v>
      </c>
      <c r="CL88" s="381" t="s">
        <v>2</v>
      </c>
      <c r="CM88" s="383" t="e">
        <f>VLOOKUP(#REF!,'Database 1'!CL84:CM86,2,FALSE)</f>
        <v>#REF!</v>
      </c>
      <c r="CO88" s="353"/>
      <c r="CP88" s="370">
        <v>0.1</v>
      </c>
      <c r="CQ88" s="371">
        <v>0.125</v>
      </c>
      <c r="CS88" s="335" t="str">
        <f t="shared" si="13"/>
        <v>L5X3-1/2X5/16</v>
      </c>
      <c r="CT88" s="338">
        <v>2.56</v>
      </c>
      <c r="CV88" s="344" t="str">
        <f t="shared" si="14"/>
        <v>WT9X117</v>
      </c>
      <c r="CW88" s="337">
        <v>34.299999999999997</v>
      </c>
      <c r="DE88" s="335" t="str">
        <f t="shared" si="15"/>
        <v>2L5X5X1/2</v>
      </c>
      <c r="DF88" s="338">
        <v>9.58</v>
      </c>
      <c r="DH88" s="397" t="s">
        <v>1288</v>
      </c>
      <c r="DI88" s="398">
        <v>99.2</v>
      </c>
      <c r="DJ88" s="398">
        <v>30</v>
      </c>
      <c r="DK88" s="400">
        <v>1.26</v>
      </c>
      <c r="DL88" s="407">
        <v>18.899999999999999</v>
      </c>
      <c r="DM88" s="400">
        <v>3.19</v>
      </c>
      <c r="DN88" s="408">
        <v>1130</v>
      </c>
      <c r="DO88" s="409">
        <v>972</v>
      </c>
      <c r="DP88" s="119"/>
      <c r="DQ88" s="428" t="s">
        <v>1325</v>
      </c>
      <c r="DR88" s="429">
        <v>744</v>
      </c>
      <c r="DS88" s="429">
        <v>8490</v>
      </c>
      <c r="DT88" s="431"/>
      <c r="DU88" s="431"/>
      <c r="DV88" s="431"/>
      <c r="DW88" s="431"/>
      <c r="DX88" s="432"/>
      <c r="DZ88" s="447" t="s">
        <v>1390</v>
      </c>
      <c r="EA88" s="448">
        <v>99</v>
      </c>
      <c r="EB88" s="448">
        <v>29</v>
      </c>
      <c r="EC88" s="448">
        <v>29.7</v>
      </c>
      <c r="ED88" s="448" t="s">
        <v>1725</v>
      </c>
      <c r="EE88" s="448">
        <v>0.52</v>
      </c>
      <c r="EF88" s="449">
        <v>44928</v>
      </c>
      <c r="EG88" s="449">
        <v>44930</v>
      </c>
      <c r="EH88" s="448">
        <v>10.5</v>
      </c>
      <c r="EI88" s="448" t="s">
        <v>1721</v>
      </c>
      <c r="EJ88" s="448">
        <v>0.67</v>
      </c>
      <c r="EK88" s="449">
        <v>45246</v>
      </c>
      <c r="EL88" s="448">
        <v>7.8</v>
      </c>
      <c r="EM88" s="448">
        <v>51.9</v>
      </c>
      <c r="EN88" s="448">
        <v>3990</v>
      </c>
      <c r="EO88" s="448">
        <v>269</v>
      </c>
      <c r="EP88" s="448">
        <v>11.7</v>
      </c>
      <c r="EQ88" s="448">
        <v>312</v>
      </c>
      <c r="ER88" s="448">
        <v>128</v>
      </c>
      <c r="ES88" s="448">
        <v>24.5</v>
      </c>
      <c r="ET88" s="448">
        <v>2.1</v>
      </c>
      <c r="EU88" s="450">
        <v>38.6</v>
      </c>
    </row>
    <row r="89" spans="2:151" ht="14.4" thickBot="1">
      <c r="B89" s="78" t="s">
        <v>7</v>
      </c>
      <c r="C89" s="79" t="s">
        <v>94</v>
      </c>
      <c r="D89" s="80" t="s">
        <v>94</v>
      </c>
      <c r="E89" s="1" t="s">
        <v>4</v>
      </c>
      <c r="F89" s="4">
        <v>11.1</v>
      </c>
      <c r="G89" s="7">
        <v>3.25</v>
      </c>
      <c r="H89" s="3" t="str">
        <f t="shared" si="12"/>
        <v>L4X3X1/2</v>
      </c>
      <c r="I89" s="7">
        <v>3</v>
      </c>
      <c r="J89" s="5" t="s">
        <v>5</v>
      </c>
      <c r="K89" s="6" t="s">
        <v>5</v>
      </c>
      <c r="L89" s="6" t="s">
        <v>5</v>
      </c>
      <c r="M89" s="6" t="s">
        <v>5</v>
      </c>
      <c r="N89" s="6" t="s">
        <v>5</v>
      </c>
      <c r="O89" s="5" t="s">
        <v>5</v>
      </c>
      <c r="P89" s="5" t="s">
        <v>5</v>
      </c>
      <c r="Q89" s="7">
        <v>4</v>
      </c>
      <c r="R89" s="6" t="s">
        <v>5</v>
      </c>
      <c r="S89" s="6" t="s">
        <v>5</v>
      </c>
      <c r="T89" s="5" t="s">
        <v>5</v>
      </c>
      <c r="U89" s="8" t="s">
        <v>5</v>
      </c>
      <c r="V89" s="6" t="s">
        <v>5</v>
      </c>
      <c r="W89" s="8" t="s">
        <v>5</v>
      </c>
      <c r="X89" s="22">
        <v>0.5</v>
      </c>
      <c r="Y89" s="6" t="s">
        <v>5</v>
      </c>
      <c r="Z89" s="6" t="s">
        <v>5</v>
      </c>
      <c r="AA89" s="22">
        <v>0.875</v>
      </c>
      <c r="AB89" s="8">
        <v>0.875</v>
      </c>
      <c r="AC89" s="8" t="s">
        <v>5</v>
      </c>
      <c r="AD89" s="22">
        <v>0.82199999999999995</v>
      </c>
      <c r="AE89" s="7">
        <v>1.32</v>
      </c>
      <c r="AF89" s="6" t="s">
        <v>5</v>
      </c>
      <c r="AG89" s="22">
        <v>0.40600000000000003</v>
      </c>
      <c r="AH89" s="22">
        <v>0.75</v>
      </c>
      <c r="AI89" s="6" t="s">
        <v>5</v>
      </c>
      <c r="AJ89" s="7">
        <v>8</v>
      </c>
      <c r="AK89" s="6" t="s">
        <v>5</v>
      </c>
      <c r="AL89" s="6" t="s">
        <v>5</v>
      </c>
      <c r="AM89" s="6" t="s">
        <v>5</v>
      </c>
      <c r="AN89" s="6" t="s">
        <v>5</v>
      </c>
      <c r="AO89" s="7">
        <v>5.0199999999999996</v>
      </c>
      <c r="AP89" s="7">
        <v>3.36</v>
      </c>
      <c r="AQ89" s="7">
        <v>1.87</v>
      </c>
      <c r="AR89" s="7">
        <v>1.24</v>
      </c>
      <c r="AS89" s="7">
        <v>2.4</v>
      </c>
      <c r="AT89" s="7">
        <v>1.99</v>
      </c>
      <c r="AU89" s="7">
        <v>1.1000000000000001</v>
      </c>
      <c r="AV89" s="22">
        <v>0.85799999999999998</v>
      </c>
      <c r="AW89" s="7">
        <v>1.3</v>
      </c>
      <c r="AX89" s="22">
        <v>0.63300000000000001</v>
      </c>
      <c r="AY89" s="12">
        <v>0.92900000000000005</v>
      </c>
      <c r="AZ89" s="22">
        <v>0.28100000000000003</v>
      </c>
      <c r="BA89" s="22">
        <v>0.255</v>
      </c>
      <c r="BB89" s="6" t="s">
        <v>5</v>
      </c>
      <c r="BC89" s="6" t="s">
        <v>5</v>
      </c>
      <c r="BD89" s="6" t="s">
        <v>5</v>
      </c>
      <c r="BE89" s="6" t="s">
        <v>5</v>
      </c>
      <c r="BF89" s="6" t="s">
        <v>5</v>
      </c>
      <c r="BG89" s="6" t="s">
        <v>5</v>
      </c>
      <c r="BH89" s="6" t="s">
        <v>5</v>
      </c>
      <c r="BI89" s="7">
        <v>1.94</v>
      </c>
      <c r="BJ89" s="24" t="s">
        <v>5</v>
      </c>
      <c r="BK89" s="23">
        <v>0.54200000000000004</v>
      </c>
      <c r="BL89" s="6">
        <v>6.12</v>
      </c>
      <c r="BM89" s="7">
        <v>1.98</v>
      </c>
      <c r="BN89" s="22">
        <v>0.76800000000000002</v>
      </c>
      <c r="BO89" s="7">
        <v>2.63</v>
      </c>
      <c r="BP89" s="7">
        <v>1.4</v>
      </c>
      <c r="BQ89" s="6">
        <v>1.35</v>
      </c>
      <c r="BR89" s="22">
        <v>0.77700000000000002</v>
      </c>
      <c r="BS89" s="16">
        <v>3.09</v>
      </c>
      <c r="BT89" s="16">
        <v>7.97</v>
      </c>
      <c r="BU89" s="16">
        <v>2.33</v>
      </c>
      <c r="BV89" s="16">
        <v>0.92900000000000005</v>
      </c>
      <c r="BW89" s="16">
        <v>0.96299999999999997</v>
      </c>
      <c r="BX89" s="16">
        <v>1.67</v>
      </c>
      <c r="BY89" s="25" t="s">
        <v>5</v>
      </c>
      <c r="BZ89" s="25" t="s">
        <v>5</v>
      </c>
      <c r="CA89" s="4">
        <v>11</v>
      </c>
      <c r="CB89" s="4">
        <v>10</v>
      </c>
      <c r="CC89" s="4">
        <v>14</v>
      </c>
      <c r="CD89" s="25" t="s">
        <v>5</v>
      </c>
      <c r="CE89" s="25" t="s">
        <v>5</v>
      </c>
      <c r="CF89" s="16" t="s">
        <v>5</v>
      </c>
      <c r="CG89" s="16" t="s">
        <v>5</v>
      </c>
      <c r="CH89" s="18" t="s">
        <v>5</v>
      </c>
      <c r="CL89" s="382" t="s">
        <v>1230</v>
      </c>
      <c r="CM89" s="384" t="e">
        <f>VLOOKUP(#REF!,'Database 1'!$CL$68:$CO$76,'Database 1'!$CM$88,FALSE)</f>
        <v>#REF!</v>
      </c>
      <c r="CO89" s="353"/>
      <c r="CP89" s="370">
        <v>0.125</v>
      </c>
      <c r="CQ89" s="371">
        <v>0.125</v>
      </c>
      <c r="CS89" s="335" t="str">
        <f t="shared" si="13"/>
        <v>L3-1/2X3-1/2X3/8</v>
      </c>
      <c r="CT89" s="338">
        <v>2.5</v>
      </c>
      <c r="CV89" s="344" t="str">
        <f t="shared" si="14"/>
        <v>WT7X116.5</v>
      </c>
      <c r="CW89" s="337">
        <v>34.200000000000003</v>
      </c>
      <c r="DE89" s="335" t="str">
        <f t="shared" si="15"/>
        <v>2L5X5X1/2</v>
      </c>
      <c r="DF89" s="338">
        <v>9.58</v>
      </c>
      <c r="DH89" s="397" t="s">
        <v>1298</v>
      </c>
      <c r="DI89" s="398">
        <v>90.2</v>
      </c>
      <c r="DJ89" s="398">
        <v>29.6</v>
      </c>
      <c r="DK89" s="400">
        <v>1.1599999999999999</v>
      </c>
      <c r="DL89" s="407">
        <v>20.6</v>
      </c>
      <c r="DM89" s="400">
        <v>3.46</v>
      </c>
      <c r="DN89" s="408">
        <v>1030</v>
      </c>
      <c r="DO89" s="409">
        <v>887</v>
      </c>
      <c r="DP89" s="119"/>
      <c r="DQ89" s="428" t="s">
        <v>1326</v>
      </c>
      <c r="DR89" s="429">
        <v>736</v>
      </c>
      <c r="DS89" s="429">
        <v>5440</v>
      </c>
      <c r="DT89" s="431"/>
      <c r="DU89" s="431"/>
      <c r="DV89" s="431"/>
      <c r="DW89" s="431"/>
      <c r="DX89" s="432"/>
      <c r="DZ89" s="447" t="s">
        <v>1397</v>
      </c>
      <c r="EA89" s="448">
        <v>90</v>
      </c>
      <c r="EB89" s="448">
        <v>26.3</v>
      </c>
      <c r="EC89" s="448">
        <v>29.5</v>
      </c>
      <c r="ED89" s="448" t="s">
        <v>1726</v>
      </c>
      <c r="EE89" s="448">
        <v>0.47</v>
      </c>
      <c r="EF89" s="449">
        <v>44928</v>
      </c>
      <c r="EG89" s="449">
        <v>44930</v>
      </c>
      <c r="EH89" s="448">
        <v>10.4</v>
      </c>
      <c r="EI89" s="448" t="s">
        <v>1727</v>
      </c>
      <c r="EJ89" s="448">
        <v>0.61</v>
      </c>
      <c r="EK89" s="449">
        <v>45054</v>
      </c>
      <c r="EL89" s="448">
        <v>8.52</v>
      </c>
      <c r="EM89" s="448">
        <v>57.5</v>
      </c>
      <c r="EN89" s="448">
        <v>3610</v>
      </c>
      <c r="EO89" s="448">
        <v>245</v>
      </c>
      <c r="EP89" s="448">
        <v>11.7</v>
      </c>
      <c r="EQ89" s="448">
        <v>283</v>
      </c>
      <c r="ER89" s="448">
        <v>115</v>
      </c>
      <c r="ES89" s="448">
        <v>22.1</v>
      </c>
      <c r="ET89" s="448">
        <v>2.09</v>
      </c>
      <c r="EU89" s="450">
        <v>34.700000000000003</v>
      </c>
    </row>
    <row r="90" spans="2:151" ht="14.4" customHeight="1" thickBot="1">
      <c r="B90" s="78" t="s">
        <v>7</v>
      </c>
      <c r="C90" s="79" t="s">
        <v>95</v>
      </c>
      <c r="D90" s="80" t="s">
        <v>95</v>
      </c>
      <c r="E90" s="1" t="s">
        <v>4</v>
      </c>
      <c r="F90" s="7">
        <v>8.5</v>
      </c>
      <c r="G90" s="7">
        <v>2.4900000000000002</v>
      </c>
      <c r="H90" s="3" t="str">
        <f t="shared" si="12"/>
        <v>L4X3X3/8</v>
      </c>
      <c r="I90" s="7">
        <v>3</v>
      </c>
      <c r="J90" s="5" t="s">
        <v>5</v>
      </c>
      <c r="K90" s="6" t="s">
        <v>5</v>
      </c>
      <c r="L90" s="6" t="s">
        <v>5</v>
      </c>
      <c r="M90" s="6" t="s">
        <v>5</v>
      </c>
      <c r="N90" s="6" t="s">
        <v>5</v>
      </c>
      <c r="O90" s="5" t="s">
        <v>5</v>
      </c>
      <c r="P90" s="5" t="s">
        <v>5</v>
      </c>
      <c r="Q90" s="7">
        <v>4</v>
      </c>
      <c r="R90" s="6" t="s">
        <v>5</v>
      </c>
      <c r="S90" s="6" t="s">
        <v>5</v>
      </c>
      <c r="T90" s="5" t="s">
        <v>5</v>
      </c>
      <c r="U90" s="8" t="s">
        <v>5</v>
      </c>
      <c r="V90" s="6" t="s">
        <v>5</v>
      </c>
      <c r="W90" s="8" t="s">
        <v>5</v>
      </c>
      <c r="X90" s="22">
        <v>0.375</v>
      </c>
      <c r="Y90" s="6" t="s">
        <v>5</v>
      </c>
      <c r="Z90" s="6" t="s">
        <v>5</v>
      </c>
      <c r="AA90" s="22">
        <v>0.75</v>
      </c>
      <c r="AB90" s="8">
        <v>0.75</v>
      </c>
      <c r="AC90" s="8" t="s">
        <v>5</v>
      </c>
      <c r="AD90" s="22">
        <v>0.77500000000000002</v>
      </c>
      <c r="AE90" s="7">
        <v>1.27</v>
      </c>
      <c r="AF90" s="6" t="s">
        <v>5</v>
      </c>
      <c r="AG90" s="22">
        <v>0.311</v>
      </c>
      <c r="AH90" s="22">
        <v>0.68</v>
      </c>
      <c r="AI90" s="6" t="s">
        <v>5</v>
      </c>
      <c r="AJ90" s="4">
        <v>10.7</v>
      </c>
      <c r="AK90" s="6" t="s">
        <v>5</v>
      </c>
      <c r="AL90" s="6" t="s">
        <v>5</v>
      </c>
      <c r="AM90" s="6" t="s">
        <v>5</v>
      </c>
      <c r="AN90" s="6" t="s">
        <v>5</v>
      </c>
      <c r="AO90" s="7">
        <v>3.94</v>
      </c>
      <c r="AP90" s="7">
        <v>2.6</v>
      </c>
      <c r="AQ90" s="7">
        <v>1.44</v>
      </c>
      <c r="AR90" s="7">
        <v>1.26</v>
      </c>
      <c r="AS90" s="7">
        <v>1.89</v>
      </c>
      <c r="AT90" s="7">
        <v>1.52</v>
      </c>
      <c r="AU90" s="22">
        <v>0.85099999999999998</v>
      </c>
      <c r="AV90" s="22">
        <v>0.873</v>
      </c>
      <c r="AW90" s="7">
        <v>1</v>
      </c>
      <c r="AX90" s="22">
        <v>0.63600000000000001</v>
      </c>
      <c r="AY90" s="12">
        <v>0.69899999999999995</v>
      </c>
      <c r="AZ90" s="6">
        <v>0.123</v>
      </c>
      <c r="BA90" s="22">
        <v>0.114</v>
      </c>
      <c r="BB90" s="6" t="s">
        <v>5</v>
      </c>
      <c r="BC90" s="6" t="s">
        <v>5</v>
      </c>
      <c r="BD90" s="6" t="s">
        <v>5</v>
      </c>
      <c r="BE90" s="6" t="s">
        <v>5</v>
      </c>
      <c r="BF90" s="6" t="s">
        <v>5</v>
      </c>
      <c r="BG90" s="6" t="s">
        <v>5</v>
      </c>
      <c r="BH90" s="6" t="s">
        <v>5</v>
      </c>
      <c r="BI90" s="7">
        <v>1.97</v>
      </c>
      <c r="BJ90" s="24" t="s">
        <v>5</v>
      </c>
      <c r="BK90" s="23">
        <v>0.55100000000000005</v>
      </c>
      <c r="BL90" s="6">
        <v>4.82</v>
      </c>
      <c r="BM90" s="7">
        <v>2.02</v>
      </c>
      <c r="BN90" s="22">
        <v>0.73899999999999999</v>
      </c>
      <c r="BO90" s="7">
        <v>2.68</v>
      </c>
      <c r="BP90" s="7">
        <v>1.43</v>
      </c>
      <c r="BQ90" s="6">
        <v>1.29</v>
      </c>
      <c r="BR90" s="22">
        <v>0.80100000000000005</v>
      </c>
      <c r="BS90" s="16">
        <v>2.39</v>
      </c>
      <c r="BT90" s="16">
        <v>6.52</v>
      </c>
      <c r="BU90" s="26">
        <v>1.8</v>
      </c>
      <c r="BV90" s="16">
        <v>0.69899999999999995</v>
      </c>
      <c r="BW90" s="16">
        <v>0.77500000000000002</v>
      </c>
      <c r="BX90" s="16">
        <v>1.25</v>
      </c>
      <c r="BY90" s="25" t="s">
        <v>5</v>
      </c>
      <c r="BZ90" s="25" t="s">
        <v>5</v>
      </c>
      <c r="CA90" s="4">
        <v>11</v>
      </c>
      <c r="CB90" s="4">
        <v>10</v>
      </c>
      <c r="CC90" s="4">
        <v>14</v>
      </c>
      <c r="CD90" s="25" t="s">
        <v>5</v>
      </c>
      <c r="CE90" s="25" t="s">
        <v>5</v>
      </c>
      <c r="CF90" s="16" t="s">
        <v>5</v>
      </c>
      <c r="CG90" s="16" t="s">
        <v>5</v>
      </c>
      <c r="CH90" s="18" t="s">
        <v>5</v>
      </c>
      <c r="CO90" s="353"/>
      <c r="CP90" s="370">
        <v>0.15</v>
      </c>
      <c r="CQ90" s="371">
        <v>0.125</v>
      </c>
      <c r="CS90" s="335" t="str">
        <f t="shared" si="13"/>
        <v>L3-1/2X3-1/2X3/8</v>
      </c>
      <c r="CT90" s="338">
        <v>2.5</v>
      </c>
      <c r="CV90" s="344" t="str">
        <f t="shared" si="14"/>
        <v>WT18X115.5</v>
      </c>
      <c r="CW90" s="337">
        <v>34.1</v>
      </c>
      <c r="DE90" s="335" t="str">
        <f t="shared" si="15"/>
        <v>2L4X4X5/8</v>
      </c>
      <c r="DF90" s="338">
        <v>9.2200000000000006</v>
      </c>
      <c r="DH90" s="397" t="s">
        <v>1306</v>
      </c>
      <c r="DI90" s="398">
        <v>83.1</v>
      </c>
      <c r="DJ90" s="398">
        <v>29.3</v>
      </c>
      <c r="DK90" s="400">
        <v>1.06</v>
      </c>
      <c r="DL90" s="407">
        <v>22.5</v>
      </c>
      <c r="DM90" s="400">
        <v>3.72</v>
      </c>
      <c r="DN90" s="408">
        <v>936</v>
      </c>
      <c r="DO90" s="409">
        <v>814</v>
      </c>
      <c r="DP90" s="119"/>
      <c r="DQ90" s="428" t="s">
        <v>1327</v>
      </c>
      <c r="DR90" s="429">
        <v>718</v>
      </c>
      <c r="DS90" s="429">
        <v>11300</v>
      </c>
      <c r="DT90" s="431"/>
      <c r="DU90" s="431"/>
      <c r="DV90" s="431"/>
      <c r="DW90" s="431"/>
      <c r="DX90" s="432"/>
      <c r="DZ90" s="447" t="s">
        <v>1254</v>
      </c>
      <c r="EA90" s="448">
        <v>539</v>
      </c>
      <c r="EB90" s="448">
        <v>159</v>
      </c>
      <c r="EC90" s="448">
        <v>32.5</v>
      </c>
      <c r="ED90" s="448" t="s">
        <v>1728</v>
      </c>
      <c r="EE90" s="448">
        <v>1.97</v>
      </c>
      <c r="EF90" s="448">
        <v>2</v>
      </c>
      <c r="EG90" s="448">
        <v>1</v>
      </c>
      <c r="EH90" s="448">
        <v>15.3</v>
      </c>
      <c r="EI90" s="448" t="s">
        <v>1715</v>
      </c>
      <c r="EJ90" s="448">
        <v>3.54</v>
      </c>
      <c r="EK90" s="448" t="s">
        <v>1626</v>
      </c>
      <c r="EL90" s="448">
        <v>2.15</v>
      </c>
      <c r="EM90" s="448">
        <v>12.1</v>
      </c>
      <c r="EN90" s="448">
        <v>25600</v>
      </c>
      <c r="EO90" s="448">
        <v>1570</v>
      </c>
      <c r="EP90" s="448">
        <v>12.7</v>
      </c>
      <c r="EQ90" s="448">
        <v>1890</v>
      </c>
      <c r="ER90" s="448">
        <v>2110</v>
      </c>
      <c r="ES90" s="448">
        <v>277</v>
      </c>
      <c r="ET90" s="448">
        <v>3.65</v>
      </c>
      <c r="EU90" s="450">
        <v>437</v>
      </c>
    </row>
    <row r="91" spans="2:151" ht="15.6" thickBot="1">
      <c r="B91" s="78" t="s">
        <v>7</v>
      </c>
      <c r="C91" s="79" t="s">
        <v>96</v>
      </c>
      <c r="D91" s="80" t="s">
        <v>96</v>
      </c>
      <c r="E91" s="1" t="s">
        <v>4</v>
      </c>
      <c r="F91" s="7">
        <v>7.2</v>
      </c>
      <c r="G91" s="7">
        <v>2.09</v>
      </c>
      <c r="H91" s="3" t="str">
        <f t="shared" si="12"/>
        <v>L4X3X5/16</v>
      </c>
      <c r="I91" s="7">
        <v>3</v>
      </c>
      <c r="J91" s="5" t="s">
        <v>5</v>
      </c>
      <c r="K91" s="6" t="s">
        <v>5</v>
      </c>
      <c r="L91" s="6" t="s">
        <v>5</v>
      </c>
      <c r="M91" s="6" t="s">
        <v>5</v>
      </c>
      <c r="N91" s="6" t="s">
        <v>5</v>
      </c>
      <c r="O91" s="5" t="s">
        <v>5</v>
      </c>
      <c r="P91" s="5" t="s">
        <v>5</v>
      </c>
      <c r="Q91" s="7">
        <v>4</v>
      </c>
      <c r="R91" s="6" t="s">
        <v>5</v>
      </c>
      <c r="S91" s="6" t="s">
        <v>5</v>
      </c>
      <c r="T91" s="5" t="s">
        <v>5</v>
      </c>
      <c r="U91" s="8" t="s">
        <v>5</v>
      </c>
      <c r="V91" s="6" t="s">
        <v>5</v>
      </c>
      <c r="W91" s="8" t="s">
        <v>5</v>
      </c>
      <c r="X91" s="22">
        <v>0.313</v>
      </c>
      <c r="Y91" s="6" t="s">
        <v>5</v>
      </c>
      <c r="Z91" s="6" t="s">
        <v>5</v>
      </c>
      <c r="AA91" s="22">
        <v>0.68799999999999994</v>
      </c>
      <c r="AB91" s="8">
        <v>0.6875</v>
      </c>
      <c r="AC91" s="8" t="s">
        <v>5</v>
      </c>
      <c r="AD91" s="22">
        <v>0.75</v>
      </c>
      <c r="AE91" s="7">
        <v>1.25</v>
      </c>
      <c r="AF91" s="6" t="s">
        <v>5</v>
      </c>
      <c r="AG91" s="22">
        <v>0.26100000000000001</v>
      </c>
      <c r="AH91" s="22">
        <v>0.65600000000000003</v>
      </c>
      <c r="AI91" s="6" t="s">
        <v>5</v>
      </c>
      <c r="AJ91" s="4">
        <v>12.8</v>
      </c>
      <c r="AK91" s="6" t="s">
        <v>5</v>
      </c>
      <c r="AL91" s="6" t="s">
        <v>5</v>
      </c>
      <c r="AM91" s="6" t="s">
        <v>5</v>
      </c>
      <c r="AN91" s="6" t="s">
        <v>5</v>
      </c>
      <c r="AO91" s="7">
        <v>3.36</v>
      </c>
      <c r="AP91" s="7">
        <v>2.19</v>
      </c>
      <c r="AQ91" s="7">
        <v>1.22</v>
      </c>
      <c r="AR91" s="7">
        <v>1.27</v>
      </c>
      <c r="AS91" s="7">
        <v>1.62</v>
      </c>
      <c r="AT91" s="7">
        <v>1.28</v>
      </c>
      <c r="AU91" s="22">
        <v>0.72099999999999997</v>
      </c>
      <c r="AV91" s="22">
        <v>0.88</v>
      </c>
      <c r="AW91" s="6">
        <v>0.84899999999999998</v>
      </c>
      <c r="AX91" s="22">
        <v>0.63800000000000001</v>
      </c>
      <c r="AY91" s="29">
        <v>0.59</v>
      </c>
      <c r="AZ91" s="28">
        <v>7.3099999999999998E-2</v>
      </c>
      <c r="BA91" s="28">
        <v>6.7599999999999993E-2</v>
      </c>
      <c r="BB91" s="6" t="s">
        <v>5</v>
      </c>
      <c r="BC91" s="6" t="s">
        <v>5</v>
      </c>
      <c r="BD91" s="6" t="s">
        <v>5</v>
      </c>
      <c r="BE91" s="6" t="s">
        <v>5</v>
      </c>
      <c r="BF91" s="6" t="s">
        <v>5</v>
      </c>
      <c r="BG91" s="6" t="s">
        <v>5</v>
      </c>
      <c r="BH91" s="6" t="s">
        <v>5</v>
      </c>
      <c r="BI91" s="7">
        <v>1.98</v>
      </c>
      <c r="BJ91" s="24" t="s">
        <v>5</v>
      </c>
      <c r="BK91" s="23">
        <v>0.55400000000000005</v>
      </c>
      <c r="BL91" s="6">
        <v>4.13</v>
      </c>
      <c r="BM91" s="7">
        <v>2.0499999999999998</v>
      </c>
      <c r="BN91" s="22">
        <v>0.73</v>
      </c>
      <c r="BO91" s="7">
        <v>2.69</v>
      </c>
      <c r="BP91" s="7">
        <v>1.44</v>
      </c>
      <c r="BQ91" s="6">
        <v>1.26</v>
      </c>
      <c r="BR91" s="22">
        <v>0.81399999999999995</v>
      </c>
      <c r="BS91" s="16">
        <v>2.0099999999999998</v>
      </c>
      <c r="BT91" s="16">
        <v>5.66</v>
      </c>
      <c r="BU91" s="16">
        <v>1.54</v>
      </c>
      <c r="BV91" s="30">
        <v>0.59</v>
      </c>
      <c r="BW91" s="16">
        <v>0.67400000000000004</v>
      </c>
      <c r="BX91" s="16">
        <v>1.04</v>
      </c>
      <c r="BY91" s="25" t="s">
        <v>5</v>
      </c>
      <c r="BZ91" s="25" t="s">
        <v>5</v>
      </c>
      <c r="CA91" s="4">
        <v>11</v>
      </c>
      <c r="CB91" s="4">
        <v>10</v>
      </c>
      <c r="CC91" s="4">
        <v>14</v>
      </c>
      <c r="CD91" s="25" t="s">
        <v>5</v>
      </c>
      <c r="CE91" s="25" t="s">
        <v>5</v>
      </c>
      <c r="CF91" s="16" t="s">
        <v>5</v>
      </c>
      <c r="CG91" s="16" t="s">
        <v>5</v>
      </c>
      <c r="CH91" s="18" t="s">
        <v>5</v>
      </c>
      <c r="CL91" s="389"/>
      <c r="CM91" s="529" t="s">
        <v>1900</v>
      </c>
      <c r="CN91" s="530"/>
      <c r="CO91" s="353"/>
      <c r="CP91" s="370">
        <v>0.17499999999999999</v>
      </c>
      <c r="CQ91" s="371">
        <v>0.125</v>
      </c>
      <c r="CS91" s="335" t="str">
        <f t="shared" si="13"/>
        <v>L4X3X3/8</v>
      </c>
      <c r="CT91" s="338">
        <v>2.4900000000000002</v>
      </c>
      <c r="CV91" s="344" t="str">
        <f t="shared" si="14"/>
        <v>WT18X116</v>
      </c>
      <c r="CW91" s="337">
        <v>34</v>
      </c>
      <c r="DE91" s="335" t="str">
        <f t="shared" si="15"/>
        <v>2L4X4X5/8</v>
      </c>
      <c r="DF91" s="338">
        <v>9.2200000000000006</v>
      </c>
      <c r="DH91" s="397" t="s">
        <v>1313</v>
      </c>
      <c r="DI91" s="398">
        <v>76.099999999999994</v>
      </c>
      <c r="DJ91" s="398">
        <v>29</v>
      </c>
      <c r="DK91" s="399">
        <v>0.98</v>
      </c>
      <c r="DL91" s="407">
        <v>24.4</v>
      </c>
      <c r="DM91" s="400">
        <v>4.03</v>
      </c>
      <c r="DN91" s="408">
        <v>852</v>
      </c>
      <c r="DO91" s="409">
        <v>745</v>
      </c>
      <c r="DP91" s="119"/>
      <c r="DQ91" s="428" t="s">
        <v>1328</v>
      </c>
      <c r="DR91" s="429">
        <v>711</v>
      </c>
      <c r="DS91" s="429">
        <v>8910</v>
      </c>
      <c r="DT91" s="431"/>
      <c r="DU91" s="431"/>
      <c r="DV91" s="431"/>
      <c r="DW91" s="431"/>
      <c r="DX91" s="432"/>
      <c r="DZ91" s="447" t="s">
        <v>1281</v>
      </c>
      <c r="EA91" s="448">
        <v>368</v>
      </c>
      <c r="EB91" s="448">
        <v>109</v>
      </c>
      <c r="EC91" s="448">
        <v>30.4</v>
      </c>
      <c r="ED91" s="448" t="s">
        <v>1729</v>
      </c>
      <c r="EE91" s="448">
        <v>1.38</v>
      </c>
      <c r="EF91" s="448" t="s">
        <v>1678</v>
      </c>
      <c r="EG91" s="449">
        <v>45246</v>
      </c>
      <c r="EH91" s="448">
        <v>14.7</v>
      </c>
      <c r="EI91" s="448" t="s">
        <v>1730</v>
      </c>
      <c r="EJ91" s="448">
        <v>2.48</v>
      </c>
      <c r="EK91" s="448" t="s">
        <v>1653</v>
      </c>
      <c r="EL91" s="448">
        <v>2.96</v>
      </c>
      <c r="EM91" s="448">
        <v>17.3</v>
      </c>
      <c r="EN91" s="448">
        <v>16200</v>
      </c>
      <c r="EO91" s="448">
        <v>1060</v>
      </c>
      <c r="EP91" s="448">
        <v>12.2</v>
      </c>
      <c r="EQ91" s="448">
        <v>1240</v>
      </c>
      <c r="ER91" s="448">
        <v>1310</v>
      </c>
      <c r="ES91" s="448">
        <v>179</v>
      </c>
      <c r="ET91" s="448">
        <v>3.48</v>
      </c>
      <c r="EU91" s="450">
        <v>279</v>
      </c>
    </row>
    <row r="92" spans="2:151" ht="18">
      <c r="B92" s="78" t="s">
        <v>7</v>
      </c>
      <c r="C92" s="79" t="s">
        <v>97</v>
      </c>
      <c r="D92" s="80" t="s">
        <v>97</v>
      </c>
      <c r="E92" s="1" t="s">
        <v>4</v>
      </c>
      <c r="F92" s="7">
        <v>5.8</v>
      </c>
      <c r="G92" s="7">
        <v>1.69</v>
      </c>
      <c r="H92" s="3" t="str">
        <f t="shared" si="12"/>
        <v>L4X3X1/4</v>
      </c>
      <c r="I92" s="7">
        <v>3</v>
      </c>
      <c r="J92" s="5" t="s">
        <v>5</v>
      </c>
      <c r="K92" s="6" t="s">
        <v>5</v>
      </c>
      <c r="L92" s="6" t="s">
        <v>5</v>
      </c>
      <c r="M92" s="6" t="s">
        <v>5</v>
      </c>
      <c r="N92" s="6" t="s">
        <v>5</v>
      </c>
      <c r="O92" s="5" t="s">
        <v>5</v>
      </c>
      <c r="P92" s="5" t="s">
        <v>5</v>
      </c>
      <c r="Q92" s="7">
        <v>4</v>
      </c>
      <c r="R92" s="6" t="s">
        <v>5</v>
      </c>
      <c r="S92" s="6" t="s">
        <v>5</v>
      </c>
      <c r="T92" s="5" t="s">
        <v>5</v>
      </c>
      <c r="U92" s="8" t="s">
        <v>5</v>
      </c>
      <c r="V92" s="6" t="s">
        <v>5</v>
      </c>
      <c r="W92" s="8" t="s">
        <v>5</v>
      </c>
      <c r="X92" s="22">
        <v>0.25</v>
      </c>
      <c r="Y92" s="6" t="s">
        <v>5</v>
      </c>
      <c r="Z92" s="6" t="s">
        <v>5</v>
      </c>
      <c r="AA92" s="22">
        <v>0.625</v>
      </c>
      <c r="AB92" s="8">
        <v>0.625</v>
      </c>
      <c r="AC92" s="8" t="s">
        <v>5</v>
      </c>
      <c r="AD92" s="22">
        <v>0.72499999999999998</v>
      </c>
      <c r="AE92" s="7">
        <v>1.22</v>
      </c>
      <c r="AF92" s="6" t="s">
        <v>5</v>
      </c>
      <c r="AG92" s="22">
        <v>0.21099999999999999</v>
      </c>
      <c r="AH92" s="22">
        <v>0.62</v>
      </c>
      <c r="AI92" s="6" t="s">
        <v>5</v>
      </c>
      <c r="AJ92" s="4">
        <v>16</v>
      </c>
      <c r="AK92" s="6" t="s">
        <v>5</v>
      </c>
      <c r="AL92" s="6" t="s">
        <v>5</v>
      </c>
      <c r="AM92" s="6" t="s">
        <v>5</v>
      </c>
      <c r="AN92" s="6" t="s">
        <v>5</v>
      </c>
      <c r="AO92" s="7">
        <v>2.75</v>
      </c>
      <c r="AP92" s="7">
        <v>1.77</v>
      </c>
      <c r="AQ92" s="22">
        <v>0.98799999999999999</v>
      </c>
      <c r="AR92" s="7">
        <v>1.27</v>
      </c>
      <c r="AS92" s="7">
        <v>1.33</v>
      </c>
      <c r="AT92" s="7">
        <v>1.03</v>
      </c>
      <c r="AU92" s="22">
        <v>0.58499999999999996</v>
      </c>
      <c r="AV92" s="22">
        <v>0.88700000000000001</v>
      </c>
      <c r="AW92" s="6">
        <v>0.69199999999999995</v>
      </c>
      <c r="AX92" s="22">
        <v>0.63900000000000001</v>
      </c>
      <c r="AY92" s="12">
        <v>0.47399999999999998</v>
      </c>
      <c r="AZ92" s="28">
        <v>3.8600000000000002E-2</v>
      </c>
      <c r="BA92" s="28">
        <v>3.56E-2</v>
      </c>
      <c r="BB92" s="6" t="s">
        <v>5</v>
      </c>
      <c r="BC92" s="6" t="s">
        <v>5</v>
      </c>
      <c r="BD92" s="6" t="s">
        <v>5</v>
      </c>
      <c r="BE92" s="6" t="s">
        <v>5</v>
      </c>
      <c r="BF92" s="6" t="s">
        <v>5</v>
      </c>
      <c r="BG92" s="6" t="s">
        <v>5</v>
      </c>
      <c r="BH92" s="6" t="s">
        <v>5</v>
      </c>
      <c r="BI92" s="7">
        <v>1.99</v>
      </c>
      <c r="BJ92" s="24" t="s">
        <v>5</v>
      </c>
      <c r="BK92" s="23">
        <v>0.55800000000000005</v>
      </c>
      <c r="BL92" s="6">
        <v>3.39</v>
      </c>
      <c r="BM92" s="7">
        <v>2.06</v>
      </c>
      <c r="BN92" s="22">
        <v>0.71299999999999997</v>
      </c>
      <c r="BO92" s="7">
        <v>2.72</v>
      </c>
      <c r="BP92" s="7">
        <v>1.46</v>
      </c>
      <c r="BQ92" s="6">
        <v>1.23</v>
      </c>
      <c r="BR92" s="22">
        <v>0.82799999999999996</v>
      </c>
      <c r="BS92" s="16">
        <v>1.65</v>
      </c>
      <c r="BT92" s="16">
        <v>4.75</v>
      </c>
      <c r="BU92" s="16">
        <v>1.25</v>
      </c>
      <c r="BV92" s="16">
        <v>0.47399999999999998</v>
      </c>
      <c r="BW92" s="16">
        <v>0.56299999999999994</v>
      </c>
      <c r="BX92" s="16">
        <v>0.83599999999999997</v>
      </c>
      <c r="BY92" s="25" t="s">
        <v>5</v>
      </c>
      <c r="BZ92" s="25" t="s">
        <v>5</v>
      </c>
      <c r="CA92" s="4">
        <v>11</v>
      </c>
      <c r="CB92" s="4">
        <v>10</v>
      </c>
      <c r="CC92" s="4">
        <v>14</v>
      </c>
      <c r="CD92" s="25" t="s">
        <v>5</v>
      </c>
      <c r="CE92" s="25" t="s">
        <v>5</v>
      </c>
      <c r="CF92" s="16" t="s">
        <v>5</v>
      </c>
      <c r="CG92" s="16" t="s">
        <v>5</v>
      </c>
      <c r="CH92" s="18" t="s">
        <v>5</v>
      </c>
      <c r="CL92" s="390" t="s">
        <v>7</v>
      </c>
      <c r="CM92" s="387">
        <f>IF('Tension Analysis &amp; Design'!AE25&gt;'Tension Analysis &amp; Design'!$AC$21,1,0)</f>
        <v>1</v>
      </c>
      <c r="CN92" s="388" cm="1">
        <f t="array" ref="CN92:CO92">IF('Tension Analysis &amp; Design'!AG25:AH25&lt;'Tension Analysis &amp; Design'!AC25,1,0)</f>
        <v>1</v>
      </c>
      <c r="CO92" s="353">
        <v>1</v>
      </c>
      <c r="CP92" s="370">
        <v>0.2</v>
      </c>
      <c r="CQ92" s="371">
        <v>0.125</v>
      </c>
      <c r="CS92" s="335" t="str">
        <f t="shared" si="13"/>
        <v>L3X3X7/16</v>
      </c>
      <c r="CT92" s="338">
        <v>2.4300000000000002</v>
      </c>
      <c r="CV92" s="344" t="str">
        <f t="shared" si="14"/>
        <v>WT22X115</v>
      </c>
      <c r="CW92" s="337">
        <v>33.9</v>
      </c>
      <c r="DE92" s="335" t="str">
        <f t="shared" si="15"/>
        <v>2L4X4X5/8</v>
      </c>
      <c r="DF92" s="338">
        <v>9.2200000000000006</v>
      </c>
      <c r="DH92" s="397" t="s">
        <v>1320</v>
      </c>
      <c r="DI92" s="398">
        <v>69.400000000000006</v>
      </c>
      <c r="DJ92" s="398">
        <v>28.7</v>
      </c>
      <c r="DK92" s="399">
        <v>0.91</v>
      </c>
      <c r="DL92" s="407">
        <v>26.2</v>
      </c>
      <c r="DM92" s="400">
        <v>4.41</v>
      </c>
      <c r="DN92" s="408">
        <v>772</v>
      </c>
      <c r="DO92" s="409">
        <v>677</v>
      </c>
      <c r="DP92" s="119"/>
      <c r="DQ92" s="428" t="s">
        <v>1329</v>
      </c>
      <c r="DR92" s="429">
        <v>693</v>
      </c>
      <c r="DS92" s="429">
        <v>11600</v>
      </c>
      <c r="DT92" s="431"/>
      <c r="DU92" s="431"/>
      <c r="DV92" s="431"/>
      <c r="DW92" s="431"/>
      <c r="DX92" s="432"/>
      <c r="DZ92" s="447" t="s">
        <v>1288</v>
      </c>
      <c r="EA92" s="448">
        <v>336</v>
      </c>
      <c r="EB92" s="448">
        <v>99.2</v>
      </c>
      <c r="EC92" s="448">
        <v>30</v>
      </c>
      <c r="ED92" s="448">
        <v>30</v>
      </c>
      <c r="EE92" s="448">
        <v>1.26</v>
      </c>
      <c r="EF92" s="448" t="s">
        <v>1624</v>
      </c>
      <c r="EG92" s="449">
        <v>45054</v>
      </c>
      <c r="EH92" s="448">
        <v>14.6</v>
      </c>
      <c r="EI92" s="448" t="s">
        <v>1731</v>
      </c>
      <c r="EJ92" s="448">
        <v>2.2799999999999998</v>
      </c>
      <c r="EK92" s="448" t="s">
        <v>1697</v>
      </c>
      <c r="EL92" s="448">
        <v>3.19</v>
      </c>
      <c r="EM92" s="448">
        <v>18.899999999999999</v>
      </c>
      <c r="EN92" s="448">
        <v>14600</v>
      </c>
      <c r="EO92" s="448">
        <v>972</v>
      </c>
      <c r="EP92" s="448">
        <v>12.1</v>
      </c>
      <c r="EQ92" s="448">
        <v>1130</v>
      </c>
      <c r="ER92" s="448">
        <v>1180</v>
      </c>
      <c r="ES92" s="448">
        <v>162</v>
      </c>
      <c r="ET92" s="448">
        <v>3.45</v>
      </c>
      <c r="EU92" s="450">
        <v>252</v>
      </c>
    </row>
    <row r="93" spans="2:151" ht="18">
      <c r="B93" s="78" t="s">
        <v>7</v>
      </c>
      <c r="C93" s="79" t="s">
        <v>98</v>
      </c>
      <c r="D93" s="80" t="s">
        <v>98</v>
      </c>
      <c r="E93" s="1" t="s">
        <v>4</v>
      </c>
      <c r="F93" s="4">
        <v>11.1</v>
      </c>
      <c r="G93" s="7">
        <v>3.25</v>
      </c>
      <c r="H93" s="3" t="str">
        <f t="shared" si="12"/>
        <v>L3-1/2X3-1/2X1/2</v>
      </c>
      <c r="I93" s="7">
        <v>3.5</v>
      </c>
      <c r="J93" s="5" t="s">
        <v>5</v>
      </c>
      <c r="K93" s="6" t="s">
        <v>5</v>
      </c>
      <c r="L93" s="6" t="s">
        <v>5</v>
      </c>
      <c r="M93" s="6" t="s">
        <v>5</v>
      </c>
      <c r="N93" s="6" t="s">
        <v>5</v>
      </c>
      <c r="O93" s="5" t="s">
        <v>5</v>
      </c>
      <c r="P93" s="5" t="s">
        <v>5</v>
      </c>
      <c r="Q93" s="7">
        <v>3.5</v>
      </c>
      <c r="R93" s="6" t="s">
        <v>5</v>
      </c>
      <c r="S93" s="6" t="s">
        <v>5</v>
      </c>
      <c r="T93" s="5" t="s">
        <v>5</v>
      </c>
      <c r="U93" s="8" t="s">
        <v>5</v>
      </c>
      <c r="V93" s="6" t="s">
        <v>5</v>
      </c>
      <c r="W93" s="8" t="s">
        <v>5</v>
      </c>
      <c r="X93" s="22">
        <v>0.5</v>
      </c>
      <c r="Y93" s="6" t="s">
        <v>5</v>
      </c>
      <c r="Z93" s="6" t="s">
        <v>5</v>
      </c>
      <c r="AA93" s="22">
        <v>0.875</v>
      </c>
      <c r="AB93" s="8">
        <v>0.875</v>
      </c>
      <c r="AC93" s="8" t="s">
        <v>5</v>
      </c>
      <c r="AD93" s="7">
        <v>1.05</v>
      </c>
      <c r="AE93" s="7">
        <v>1.05</v>
      </c>
      <c r="AF93" s="6" t="s">
        <v>5</v>
      </c>
      <c r="AG93" s="22">
        <v>0.46400000000000002</v>
      </c>
      <c r="AH93" s="22">
        <v>0.46400000000000002</v>
      </c>
      <c r="AI93" s="6" t="s">
        <v>5</v>
      </c>
      <c r="AJ93" s="7">
        <v>7</v>
      </c>
      <c r="AK93" s="6" t="s">
        <v>5</v>
      </c>
      <c r="AL93" s="6" t="s">
        <v>5</v>
      </c>
      <c r="AM93" s="6" t="s">
        <v>5</v>
      </c>
      <c r="AN93" s="6" t="s">
        <v>5</v>
      </c>
      <c r="AO93" s="7">
        <v>3.63</v>
      </c>
      <c r="AP93" s="7">
        <v>2.66</v>
      </c>
      <c r="AQ93" s="7">
        <v>1.48</v>
      </c>
      <c r="AR93" s="7">
        <v>1.05</v>
      </c>
      <c r="AS93" s="7">
        <v>3.63</v>
      </c>
      <c r="AT93" s="7">
        <v>2.66</v>
      </c>
      <c r="AU93" s="7">
        <v>1.48</v>
      </c>
      <c r="AV93" s="7">
        <v>1.05</v>
      </c>
      <c r="AW93" s="6">
        <v>1.51</v>
      </c>
      <c r="AX93" s="22">
        <v>0.67900000000000005</v>
      </c>
      <c r="AY93" s="27">
        <v>1.02</v>
      </c>
      <c r="AZ93" s="22">
        <v>0.28100000000000003</v>
      </c>
      <c r="BA93" s="22">
        <v>0.23799999999999999</v>
      </c>
      <c r="BB93" s="6" t="s">
        <v>5</v>
      </c>
      <c r="BC93" s="6" t="s">
        <v>5</v>
      </c>
      <c r="BD93" s="6" t="s">
        <v>5</v>
      </c>
      <c r="BE93" s="6" t="s">
        <v>5</v>
      </c>
      <c r="BF93" s="6" t="s">
        <v>5</v>
      </c>
      <c r="BG93" s="6" t="s">
        <v>5</v>
      </c>
      <c r="BH93" s="6" t="s">
        <v>5</v>
      </c>
      <c r="BI93" s="7">
        <v>1.87</v>
      </c>
      <c r="BJ93" s="23">
        <v>0.63</v>
      </c>
      <c r="BK93" s="24">
        <v>1</v>
      </c>
      <c r="BL93" s="6">
        <v>5.75</v>
      </c>
      <c r="BM93" s="7">
        <v>2.2999999999999998</v>
      </c>
      <c r="BN93" s="2">
        <v>0</v>
      </c>
      <c r="BO93" s="7">
        <v>2.2999999999999998</v>
      </c>
      <c r="BP93" s="7">
        <v>1.17</v>
      </c>
      <c r="BQ93" s="6">
        <v>1.48</v>
      </c>
      <c r="BR93" s="7">
        <v>1.17</v>
      </c>
      <c r="BS93" s="26">
        <v>2.5</v>
      </c>
      <c r="BT93" s="16" t="s">
        <v>5</v>
      </c>
      <c r="BU93" s="26">
        <v>2.5</v>
      </c>
      <c r="BV93" s="16">
        <v>1.29</v>
      </c>
      <c r="BW93" s="16">
        <v>1.02</v>
      </c>
      <c r="BX93" s="16">
        <v>1.29</v>
      </c>
      <c r="BY93" s="25" t="s">
        <v>5</v>
      </c>
      <c r="BZ93" s="25" t="s">
        <v>5</v>
      </c>
      <c r="CA93" s="4">
        <v>10.5</v>
      </c>
      <c r="CB93" s="4">
        <v>10.5</v>
      </c>
      <c r="CC93" s="4">
        <v>14</v>
      </c>
      <c r="CD93" s="25" t="s">
        <v>5</v>
      </c>
      <c r="CE93" s="25" t="s">
        <v>5</v>
      </c>
      <c r="CF93" s="16" t="s">
        <v>5</v>
      </c>
      <c r="CG93" s="16" t="s">
        <v>5</v>
      </c>
      <c r="CH93" s="18" t="s">
        <v>5</v>
      </c>
      <c r="CL93" s="385" t="s">
        <v>145</v>
      </c>
      <c r="CM93" s="387">
        <f>IF('Tension Analysis &amp; Design'!AE26&gt;'Tension Analysis &amp; Design'!$AC$21,1,0)</f>
        <v>1</v>
      </c>
      <c r="CN93" s="388" cm="1">
        <f t="array" ref="CN93:CO93">IF('Tension Analysis &amp; Design'!AG26:AH26&lt;'Tension Analysis &amp; Design'!AC26,1,0)</f>
        <v>1</v>
      </c>
      <c r="CO93" s="353">
        <v>1</v>
      </c>
      <c r="CP93" s="370">
        <v>0.22500000000000001</v>
      </c>
      <c r="CQ93" s="371">
        <v>0.125</v>
      </c>
      <c r="CS93" s="335" t="str">
        <f t="shared" si="13"/>
        <v>L5X3X5/16</v>
      </c>
      <c r="CT93" s="338">
        <v>2.41</v>
      </c>
      <c r="CV93" s="344" t="str">
        <f t="shared" si="14"/>
        <v>WT6X115</v>
      </c>
      <c r="CW93" s="337">
        <v>33.799999999999997</v>
      </c>
      <c r="DE93" s="335" t="str">
        <f t="shared" si="15"/>
        <v>2L6X6X3/8</v>
      </c>
      <c r="DF93" s="338">
        <v>8.76</v>
      </c>
      <c r="DH93" s="397" t="s">
        <v>1328</v>
      </c>
      <c r="DI93" s="398">
        <v>63.9</v>
      </c>
      <c r="DJ93" s="398">
        <v>28.4</v>
      </c>
      <c r="DK93" s="399">
        <v>0.83</v>
      </c>
      <c r="DL93" s="407">
        <v>28.7</v>
      </c>
      <c r="DM93" s="400">
        <v>4.71</v>
      </c>
      <c r="DN93" s="408">
        <v>711</v>
      </c>
      <c r="DO93" s="409">
        <v>627</v>
      </c>
      <c r="DP93" s="119"/>
      <c r="DQ93" s="428" t="s">
        <v>1330</v>
      </c>
      <c r="DR93" s="429">
        <v>676</v>
      </c>
      <c r="DS93" s="429">
        <v>6170</v>
      </c>
      <c r="DT93" s="431"/>
      <c r="DU93" s="431"/>
      <c r="DV93" s="431"/>
      <c r="DW93" s="431"/>
      <c r="DX93" s="432"/>
      <c r="DZ93" s="447" t="s">
        <v>1298</v>
      </c>
      <c r="EA93" s="448">
        <v>307</v>
      </c>
      <c r="EB93" s="448">
        <v>90.2</v>
      </c>
      <c r="EC93" s="448">
        <v>29.6</v>
      </c>
      <c r="ED93" s="448" t="s">
        <v>1725</v>
      </c>
      <c r="EE93" s="448">
        <v>1.1599999999999999</v>
      </c>
      <c r="EF93" s="448" t="s">
        <v>1640</v>
      </c>
      <c r="EG93" s="449">
        <v>45054</v>
      </c>
      <c r="EH93" s="448">
        <v>14.4</v>
      </c>
      <c r="EI93" s="448" t="s">
        <v>1731</v>
      </c>
      <c r="EJ93" s="448">
        <v>2.09</v>
      </c>
      <c r="EK93" s="448" t="s">
        <v>1641</v>
      </c>
      <c r="EL93" s="448">
        <v>3.46</v>
      </c>
      <c r="EM93" s="448">
        <v>20.6</v>
      </c>
      <c r="EN93" s="448">
        <v>13100</v>
      </c>
      <c r="EO93" s="448">
        <v>887</v>
      </c>
      <c r="EP93" s="448">
        <v>12</v>
      </c>
      <c r="EQ93" s="448">
        <v>1030</v>
      </c>
      <c r="ER93" s="448">
        <v>1050</v>
      </c>
      <c r="ES93" s="448">
        <v>146</v>
      </c>
      <c r="ET93" s="448">
        <v>3.41</v>
      </c>
      <c r="EU93" s="450">
        <v>227</v>
      </c>
    </row>
    <row r="94" spans="2:151" ht="18">
      <c r="B94" s="78" t="s">
        <v>7</v>
      </c>
      <c r="C94" s="79" t="s">
        <v>99</v>
      </c>
      <c r="D94" s="80" t="s">
        <v>99</v>
      </c>
      <c r="E94" s="1" t="s">
        <v>4</v>
      </c>
      <c r="F94" s="7">
        <v>9.8000000000000007</v>
      </c>
      <c r="G94" s="7">
        <v>2.89</v>
      </c>
      <c r="H94" s="3" t="str">
        <f t="shared" si="12"/>
        <v>L3-1/2X3-1/2X7/16</v>
      </c>
      <c r="I94" s="7">
        <v>3.5</v>
      </c>
      <c r="J94" s="5" t="s">
        <v>5</v>
      </c>
      <c r="K94" s="6" t="s">
        <v>5</v>
      </c>
      <c r="L94" s="6" t="s">
        <v>5</v>
      </c>
      <c r="M94" s="6" t="s">
        <v>5</v>
      </c>
      <c r="N94" s="6" t="s">
        <v>5</v>
      </c>
      <c r="O94" s="5" t="s">
        <v>5</v>
      </c>
      <c r="P94" s="5" t="s">
        <v>5</v>
      </c>
      <c r="Q94" s="7">
        <v>3.5</v>
      </c>
      <c r="R94" s="6" t="s">
        <v>5</v>
      </c>
      <c r="S94" s="6" t="s">
        <v>5</v>
      </c>
      <c r="T94" s="5" t="s">
        <v>5</v>
      </c>
      <c r="U94" s="8" t="s">
        <v>5</v>
      </c>
      <c r="V94" s="6" t="s">
        <v>5</v>
      </c>
      <c r="W94" s="8" t="s">
        <v>5</v>
      </c>
      <c r="X94" s="22">
        <v>0.438</v>
      </c>
      <c r="Y94" s="6" t="s">
        <v>5</v>
      </c>
      <c r="Z94" s="6" t="s">
        <v>5</v>
      </c>
      <c r="AA94" s="22">
        <v>0.81299999999999994</v>
      </c>
      <c r="AB94" s="8">
        <v>0.8125</v>
      </c>
      <c r="AC94" s="8" t="s">
        <v>5</v>
      </c>
      <c r="AD94" s="7">
        <v>1.03</v>
      </c>
      <c r="AE94" s="7">
        <v>1.03</v>
      </c>
      <c r="AF94" s="6" t="s">
        <v>5</v>
      </c>
      <c r="AG94" s="22">
        <v>0.41299999999999998</v>
      </c>
      <c r="AH94" s="22">
        <v>0.41299999999999998</v>
      </c>
      <c r="AI94" s="6" t="s">
        <v>5</v>
      </c>
      <c r="AJ94" s="7">
        <v>7.99</v>
      </c>
      <c r="AK94" s="6" t="s">
        <v>5</v>
      </c>
      <c r="AL94" s="6" t="s">
        <v>5</v>
      </c>
      <c r="AM94" s="6" t="s">
        <v>5</v>
      </c>
      <c r="AN94" s="6" t="s">
        <v>5</v>
      </c>
      <c r="AO94" s="7">
        <v>3.25</v>
      </c>
      <c r="AP94" s="7">
        <v>2.36</v>
      </c>
      <c r="AQ94" s="7">
        <v>1.32</v>
      </c>
      <c r="AR94" s="7">
        <v>1.06</v>
      </c>
      <c r="AS94" s="7">
        <v>3.25</v>
      </c>
      <c r="AT94" s="7">
        <v>2.36</v>
      </c>
      <c r="AU94" s="7">
        <v>1.32</v>
      </c>
      <c r="AV94" s="7">
        <v>1.06</v>
      </c>
      <c r="AW94" s="6">
        <v>1.33</v>
      </c>
      <c r="AX94" s="22">
        <v>0.68100000000000005</v>
      </c>
      <c r="AY94" s="12">
        <v>0.91100000000000003</v>
      </c>
      <c r="AZ94" s="22">
        <v>0.192</v>
      </c>
      <c r="BA94" s="22">
        <v>0.16400000000000001</v>
      </c>
      <c r="BB94" s="6" t="s">
        <v>5</v>
      </c>
      <c r="BC94" s="6" t="s">
        <v>5</v>
      </c>
      <c r="BD94" s="6" t="s">
        <v>5</v>
      </c>
      <c r="BE94" s="6" t="s">
        <v>5</v>
      </c>
      <c r="BF94" s="6" t="s">
        <v>5</v>
      </c>
      <c r="BG94" s="6" t="s">
        <v>5</v>
      </c>
      <c r="BH94" s="6" t="s">
        <v>5</v>
      </c>
      <c r="BI94" s="7">
        <v>1.89</v>
      </c>
      <c r="BJ94" s="23">
        <v>0.63</v>
      </c>
      <c r="BK94" s="24">
        <v>1</v>
      </c>
      <c r="BL94" s="6">
        <v>5.16</v>
      </c>
      <c r="BM94" s="7">
        <v>2.3199999999999998</v>
      </c>
      <c r="BN94" s="2">
        <v>0</v>
      </c>
      <c r="BO94" s="7">
        <v>2.3199999999999998</v>
      </c>
      <c r="BP94" s="7">
        <v>1.17</v>
      </c>
      <c r="BQ94" s="6">
        <v>1.46</v>
      </c>
      <c r="BR94" s="7">
        <v>1.17</v>
      </c>
      <c r="BS94" s="16">
        <v>2.2200000000000002</v>
      </c>
      <c r="BT94" s="16" t="s">
        <v>5</v>
      </c>
      <c r="BU94" s="16">
        <v>2.2200000000000002</v>
      </c>
      <c r="BV94" s="16">
        <v>1.1399999999999999</v>
      </c>
      <c r="BW94" s="16">
        <v>0.91100000000000003</v>
      </c>
      <c r="BX94" s="16">
        <v>1.1399999999999999</v>
      </c>
      <c r="BY94" s="25" t="s">
        <v>5</v>
      </c>
      <c r="BZ94" s="25" t="s">
        <v>5</v>
      </c>
      <c r="CA94" s="4">
        <v>10.5</v>
      </c>
      <c r="CB94" s="4">
        <v>10.5</v>
      </c>
      <c r="CC94" s="4">
        <v>14</v>
      </c>
      <c r="CD94" s="25" t="s">
        <v>5</v>
      </c>
      <c r="CE94" s="25" t="s">
        <v>5</v>
      </c>
      <c r="CF94" s="16" t="s">
        <v>5</v>
      </c>
      <c r="CG94" s="16" t="s">
        <v>5</v>
      </c>
      <c r="CH94" s="18" t="s">
        <v>5</v>
      </c>
      <c r="CL94" s="385" t="s">
        <v>429</v>
      </c>
      <c r="CM94" s="387">
        <f>IF('Tension Analysis &amp; Design'!AE27&gt;'Tension Analysis &amp; Design'!$AC$21,1,0)</f>
        <v>1</v>
      </c>
      <c r="CN94" s="388" cm="1">
        <f t="array" ref="CN94:CO94">IF('Tension Analysis &amp; Design'!AG27:AH27&lt;'Tension Analysis &amp; Design'!AC27,1,0)</f>
        <v>1</v>
      </c>
      <c r="CO94" s="353">
        <v>1</v>
      </c>
      <c r="CP94" s="370">
        <v>0.25</v>
      </c>
      <c r="CQ94" s="371">
        <v>0.125</v>
      </c>
      <c r="CS94" s="335" t="str">
        <f t="shared" si="13"/>
        <v>L4X4X5/16</v>
      </c>
      <c r="CT94" s="338">
        <v>2.4</v>
      </c>
      <c r="CV94" s="344" t="str">
        <f t="shared" si="14"/>
        <v>WT12X114.5</v>
      </c>
      <c r="CW94" s="337">
        <v>33.6</v>
      </c>
      <c r="DE94" s="335" t="str">
        <f t="shared" si="15"/>
        <v>2L6X6X3/8</v>
      </c>
      <c r="DF94" s="338">
        <v>8.76</v>
      </c>
      <c r="DH94" s="397" t="s">
        <v>1336</v>
      </c>
      <c r="DI94" s="398">
        <v>57.1</v>
      </c>
      <c r="DJ94" s="398">
        <v>28.1</v>
      </c>
      <c r="DK94" s="399">
        <v>0.75</v>
      </c>
      <c r="DL94" s="407">
        <v>31.8</v>
      </c>
      <c r="DM94" s="400">
        <v>5.24</v>
      </c>
      <c r="DN94" s="408">
        <v>631</v>
      </c>
      <c r="DO94" s="409">
        <v>559</v>
      </c>
      <c r="DP94" s="119"/>
      <c r="DQ94" s="428" t="s">
        <v>1331</v>
      </c>
      <c r="DR94" s="429">
        <v>675</v>
      </c>
      <c r="DS94" s="429">
        <v>9200</v>
      </c>
      <c r="DT94" s="431"/>
      <c r="DU94" s="431"/>
      <c r="DV94" s="431"/>
      <c r="DW94" s="431"/>
      <c r="DX94" s="432"/>
      <c r="DZ94" s="447" t="s">
        <v>1306</v>
      </c>
      <c r="EA94" s="448">
        <v>281</v>
      </c>
      <c r="EB94" s="448">
        <v>83.1</v>
      </c>
      <c r="EC94" s="448">
        <v>29.3</v>
      </c>
      <c r="ED94" s="448" t="s">
        <v>1732</v>
      </c>
      <c r="EE94" s="448">
        <v>1.06</v>
      </c>
      <c r="EF94" s="448" t="s">
        <v>1650</v>
      </c>
      <c r="EG94" s="449">
        <v>45185</v>
      </c>
      <c r="EH94" s="448">
        <v>14.4</v>
      </c>
      <c r="EI94" s="448" t="s">
        <v>1733</v>
      </c>
      <c r="EJ94" s="448">
        <v>1.93</v>
      </c>
      <c r="EK94" s="448" t="s">
        <v>1658</v>
      </c>
      <c r="EL94" s="448">
        <v>3.72</v>
      </c>
      <c r="EM94" s="448">
        <v>22.5</v>
      </c>
      <c r="EN94" s="448">
        <v>11900</v>
      </c>
      <c r="EO94" s="448">
        <v>814</v>
      </c>
      <c r="EP94" s="448">
        <v>12</v>
      </c>
      <c r="EQ94" s="448">
        <v>936</v>
      </c>
      <c r="ER94" s="448">
        <v>953</v>
      </c>
      <c r="ES94" s="448">
        <v>133</v>
      </c>
      <c r="ET94" s="448">
        <v>3.39</v>
      </c>
      <c r="EU94" s="450">
        <v>206</v>
      </c>
    </row>
    <row r="95" spans="2:151" ht="18">
      <c r="B95" s="78" t="s">
        <v>7</v>
      </c>
      <c r="C95" s="79" t="s">
        <v>100</v>
      </c>
      <c r="D95" s="80" t="s">
        <v>100</v>
      </c>
      <c r="E95" s="1" t="s">
        <v>4</v>
      </c>
      <c r="F95" s="7">
        <v>8.5</v>
      </c>
      <c r="G95" s="7">
        <v>2.5</v>
      </c>
      <c r="H95" s="3" t="str">
        <f t="shared" si="12"/>
        <v>L3-1/2X3-1/2X3/8</v>
      </c>
      <c r="I95" s="7">
        <v>3.5</v>
      </c>
      <c r="J95" s="5" t="s">
        <v>5</v>
      </c>
      <c r="K95" s="6" t="s">
        <v>5</v>
      </c>
      <c r="L95" s="6" t="s">
        <v>5</v>
      </c>
      <c r="M95" s="6" t="s">
        <v>5</v>
      </c>
      <c r="N95" s="6" t="s">
        <v>5</v>
      </c>
      <c r="O95" s="5" t="s">
        <v>5</v>
      </c>
      <c r="P95" s="5" t="s">
        <v>5</v>
      </c>
      <c r="Q95" s="7">
        <v>3.5</v>
      </c>
      <c r="R95" s="6" t="s">
        <v>5</v>
      </c>
      <c r="S95" s="6" t="s">
        <v>5</v>
      </c>
      <c r="T95" s="5" t="s">
        <v>5</v>
      </c>
      <c r="U95" s="8" t="s">
        <v>5</v>
      </c>
      <c r="V95" s="6" t="s">
        <v>5</v>
      </c>
      <c r="W95" s="8" t="s">
        <v>5</v>
      </c>
      <c r="X95" s="22">
        <v>0.375</v>
      </c>
      <c r="Y95" s="6" t="s">
        <v>5</v>
      </c>
      <c r="Z95" s="6" t="s">
        <v>5</v>
      </c>
      <c r="AA95" s="22">
        <v>0.75</v>
      </c>
      <c r="AB95" s="8">
        <v>0.75</v>
      </c>
      <c r="AC95" s="8" t="s">
        <v>5</v>
      </c>
      <c r="AD95" s="7">
        <v>1</v>
      </c>
      <c r="AE95" s="7">
        <v>1</v>
      </c>
      <c r="AF95" s="6" t="s">
        <v>5</v>
      </c>
      <c r="AG95" s="22">
        <v>0.35699999999999998</v>
      </c>
      <c r="AH95" s="22">
        <v>0.35699999999999998</v>
      </c>
      <c r="AI95" s="6" t="s">
        <v>5</v>
      </c>
      <c r="AJ95" s="7">
        <v>9.33</v>
      </c>
      <c r="AK95" s="6" t="s">
        <v>5</v>
      </c>
      <c r="AL95" s="6" t="s">
        <v>5</v>
      </c>
      <c r="AM95" s="6" t="s">
        <v>5</v>
      </c>
      <c r="AN95" s="6" t="s">
        <v>5</v>
      </c>
      <c r="AO95" s="7">
        <v>2.86</v>
      </c>
      <c r="AP95" s="7">
        <v>2.06</v>
      </c>
      <c r="AQ95" s="7">
        <v>1.1499999999999999</v>
      </c>
      <c r="AR95" s="7">
        <v>1.07</v>
      </c>
      <c r="AS95" s="7">
        <v>2.86</v>
      </c>
      <c r="AT95" s="7">
        <v>2.06</v>
      </c>
      <c r="AU95" s="7">
        <v>1.1499999999999999</v>
      </c>
      <c r="AV95" s="7">
        <v>1.07</v>
      </c>
      <c r="AW95" s="6">
        <v>1.17</v>
      </c>
      <c r="AX95" s="22">
        <v>0.68300000000000005</v>
      </c>
      <c r="AY95" s="29">
        <v>0.83</v>
      </c>
      <c r="AZ95" s="22">
        <v>0.123</v>
      </c>
      <c r="BA95" s="22">
        <v>0.106</v>
      </c>
      <c r="BB95" s="6" t="s">
        <v>5</v>
      </c>
      <c r="BC95" s="6" t="s">
        <v>5</v>
      </c>
      <c r="BD95" s="6" t="s">
        <v>5</v>
      </c>
      <c r="BE95" s="6" t="s">
        <v>5</v>
      </c>
      <c r="BF95" s="6" t="s">
        <v>5</v>
      </c>
      <c r="BG95" s="6" t="s">
        <v>5</v>
      </c>
      <c r="BH95" s="6" t="s">
        <v>5</v>
      </c>
      <c r="BI95" s="7">
        <v>1.9</v>
      </c>
      <c r="BJ95" s="23">
        <v>0.63</v>
      </c>
      <c r="BK95" s="24">
        <v>1</v>
      </c>
      <c r="BL95" s="6">
        <v>4.55</v>
      </c>
      <c r="BM95" s="7">
        <v>2.34</v>
      </c>
      <c r="BN95" s="2">
        <v>0</v>
      </c>
      <c r="BO95" s="7">
        <v>2.34</v>
      </c>
      <c r="BP95" s="7">
        <v>1.19</v>
      </c>
      <c r="BQ95" s="6">
        <v>1.41</v>
      </c>
      <c r="BR95" s="7">
        <v>1.19</v>
      </c>
      <c r="BS95" s="16">
        <v>1.94</v>
      </c>
      <c r="BT95" s="16" t="s">
        <v>5</v>
      </c>
      <c r="BU95" s="16">
        <v>1.94</v>
      </c>
      <c r="BV95" s="16">
        <v>0.98299999999999998</v>
      </c>
      <c r="BW95" s="30">
        <v>0.83</v>
      </c>
      <c r="BX95" s="16">
        <v>0.98299999999999998</v>
      </c>
      <c r="BY95" s="25" t="s">
        <v>5</v>
      </c>
      <c r="BZ95" s="25" t="s">
        <v>5</v>
      </c>
      <c r="CA95" s="4">
        <v>10.5</v>
      </c>
      <c r="CB95" s="4">
        <v>10.5</v>
      </c>
      <c r="CC95" s="4">
        <v>14</v>
      </c>
      <c r="CD95" s="25" t="s">
        <v>5</v>
      </c>
      <c r="CE95" s="25" t="s">
        <v>5</v>
      </c>
      <c r="CF95" s="16" t="s">
        <v>5</v>
      </c>
      <c r="CG95" s="16" t="s">
        <v>5</v>
      </c>
      <c r="CH95" s="18" t="s">
        <v>5</v>
      </c>
      <c r="CL95" s="385" t="s">
        <v>444</v>
      </c>
      <c r="CM95" s="387">
        <f>IF('Tension Analysis &amp; Design'!AE28&gt;'Tension Analysis &amp; Design'!$AC$21,1,0)</f>
        <v>1</v>
      </c>
      <c r="CN95" s="388" cm="1">
        <f t="array" ref="CN95:CO95">IF('Tension Analysis &amp; Design'!AG28:AH28&lt;'Tension Analysis &amp; Design'!AC28,1,0)</f>
        <v>1</v>
      </c>
      <c r="CO95" s="353">
        <v>1</v>
      </c>
      <c r="CP95" s="370">
        <v>0.27500000000000002</v>
      </c>
      <c r="CQ95" s="372">
        <v>0.1875</v>
      </c>
      <c r="CS95" s="335" t="str">
        <f t="shared" si="13"/>
        <v>L3-1/2X3X3/8</v>
      </c>
      <c r="CT95" s="338">
        <v>2.3199999999999998</v>
      </c>
      <c r="CV95" s="344" t="str">
        <f t="shared" si="14"/>
        <v>WT10.5X111.5</v>
      </c>
      <c r="CW95" s="336">
        <v>33.200000000000003</v>
      </c>
      <c r="DE95" s="335" t="str">
        <f t="shared" si="15"/>
        <v>2L6X6X3/8</v>
      </c>
      <c r="DF95" s="338">
        <v>8.76</v>
      </c>
      <c r="DH95" s="397" t="s">
        <v>1347</v>
      </c>
      <c r="DI95" s="398">
        <v>52.5</v>
      </c>
      <c r="DJ95" s="398">
        <v>27.8</v>
      </c>
      <c r="DK95" s="399">
        <v>0.72499999999999998</v>
      </c>
      <c r="DL95" s="407">
        <v>32.9</v>
      </c>
      <c r="DM95" s="400">
        <v>5.92</v>
      </c>
      <c r="DN95" s="408">
        <v>570</v>
      </c>
      <c r="DO95" s="409">
        <v>505</v>
      </c>
      <c r="DP95" s="119"/>
      <c r="DQ95" s="428" t="s">
        <v>1332</v>
      </c>
      <c r="DR95" s="429">
        <v>675</v>
      </c>
      <c r="DS95" s="429">
        <v>7650</v>
      </c>
      <c r="DT95" s="431"/>
      <c r="DU95" s="431"/>
      <c r="DV95" s="431"/>
      <c r="DW95" s="431"/>
      <c r="DX95" s="432"/>
      <c r="DZ95" s="447" t="s">
        <v>1313</v>
      </c>
      <c r="EA95" s="448">
        <v>258</v>
      </c>
      <c r="EB95" s="448">
        <v>76.099999999999994</v>
      </c>
      <c r="EC95" s="448">
        <v>29</v>
      </c>
      <c r="ED95" s="448">
        <v>29</v>
      </c>
      <c r="EE95" s="448">
        <v>0.98</v>
      </c>
      <c r="EF95" s="448">
        <v>1</v>
      </c>
      <c r="EG95" s="449">
        <v>44928</v>
      </c>
      <c r="EH95" s="448">
        <v>14.3</v>
      </c>
      <c r="EI95" s="448" t="s">
        <v>1734</v>
      </c>
      <c r="EJ95" s="448">
        <v>1.77</v>
      </c>
      <c r="EK95" s="448" t="s">
        <v>1615</v>
      </c>
      <c r="EL95" s="448">
        <v>4.03</v>
      </c>
      <c r="EM95" s="448">
        <v>24.4</v>
      </c>
      <c r="EN95" s="448">
        <v>10800</v>
      </c>
      <c r="EO95" s="448">
        <v>745</v>
      </c>
      <c r="EP95" s="448">
        <v>11.9</v>
      </c>
      <c r="EQ95" s="448">
        <v>852</v>
      </c>
      <c r="ER95" s="448">
        <v>859</v>
      </c>
      <c r="ES95" s="448">
        <v>120</v>
      </c>
      <c r="ET95" s="448">
        <v>3.36</v>
      </c>
      <c r="EU95" s="450">
        <v>187</v>
      </c>
    </row>
    <row r="96" spans="2:151" ht="18.600000000000001" thickBot="1">
      <c r="B96" s="78" t="s">
        <v>7</v>
      </c>
      <c r="C96" s="79" t="s">
        <v>101</v>
      </c>
      <c r="D96" s="80" t="s">
        <v>101</v>
      </c>
      <c r="E96" s="1" t="s">
        <v>4</v>
      </c>
      <c r="F96" s="7">
        <v>7.2</v>
      </c>
      <c r="G96" s="7">
        <v>2.1</v>
      </c>
      <c r="H96" s="3" t="str">
        <f t="shared" si="12"/>
        <v>L3-1/2X3-1/2X5/16</v>
      </c>
      <c r="I96" s="7">
        <v>3.5</v>
      </c>
      <c r="J96" s="5" t="s">
        <v>5</v>
      </c>
      <c r="K96" s="6" t="s">
        <v>5</v>
      </c>
      <c r="L96" s="6" t="s">
        <v>5</v>
      </c>
      <c r="M96" s="6" t="s">
        <v>5</v>
      </c>
      <c r="N96" s="6" t="s">
        <v>5</v>
      </c>
      <c r="O96" s="5" t="s">
        <v>5</v>
      </c>
      <c r="P96" s="5" t="s">
        <v>5</v>
      </c>
      <c r="Q96" s="7">
        <v>3.5</v>
      </c>
      <c r="R96" s="6" t="s">
        <v>5</v>
      </c>
      <c r="S96" s="6" t="s">
        <v>5</v>
      </c>
      <c r="T96" s="5" t="s">
        <v>5</v>
      </c>
      <c r="U96" s="8" t="s">
        <v>5</v>
      </c>
      <c r="V96" s="6" t="s">
        <v>5</v>
      </c>
      <c r="W96" s="8" t="s">
        <v>5</v>
      </c>
      <c r="X96" s="22">
        <v>0.313</v>
      </c>
      <c r="Y96" s="6" t="s">
        <v>5</v>
      </c>
      <c r="Z96" s="6" t="s">
        <v>5</v>
      </c>
      <c r="AA96" s="22">
        <v>0.68799999999999994</v>
      </c>
      <c r="AB96" s="8">
        <v>0.6875</v>
      </c>
      <c r="AC96" s="8" t="s">
        <v>5</v>
      </c>
      <c r="AD96" s="22">
        <v>0.97899999999999998</v>
      </c>
      <c r="AE96" s="22">
        <v>0.97899999999999998</v>
      </c>
      <c r="AF96" s="6" t="s">
        <v>5</v>
      </c>
      <c r="AG96" s="22">
        <v>0.3</v>
      </c>
      <c r="AH96" s="22">
        <v>0.3</v>
      </c>
      <c r="AI96" s="6" t="s">
        <v>5</v>
      </c>
      <c r="AJ96" s="4">
        <v>11.2</v>
      </c>
      <c r="AK96" s="6" t="s">
        <v>5</v>
      </c>
      <c r="AL96" s="6" t="s">
        <v>5</v>
      </c>
      <c r="AM96" s="6" t="s">
        <v>5</v>
      </c>
      <c r="AN96" s="6" t="s">
        <v>5</v>
      </c>
      <c r="AO96" s="7">
        <v>2.44</v>
      </c>
      <c r="AP96" s="7">
        <v>1.74</v>
      </c>
      <c r="AQ96" s="22">
        <v>0.96899999999999997</v>
      </c>
      <c r="AR96" s="7">
        <v>1.08</v>
      </c>
      <c r="AS96" s="7">
        <v>2.44</v>
      </c>
      <c r="AT96" s="7">
        <v>1.74</v>
      </c>
      <c r="AU96" s="22">
        <v>0.96899999999999997</v>
      </c>
      <c r="AV96" s="7">
        <v>1.08</v>
      </c>
      <c r="AW96" s="6">
        <v>0.98399999999999999</v>
      </c>
      <c r="AX96" s="22">
        <v>0.68500000000000005</v>
      </c>
      <c r="AY96" s="12">
        <v>0.71299999999999997</v>
      </c>
      <c r="AZ96" s="28">
        <v>7.3099999999999998E-2</v>
      </c>
      <c r="BA96" s="28">
        <v>6.3399999999999998E-2</v>
      </c>
      <c r="BB96" s="6" t="s">
        <v>5</v>
      </c>
      <c r="BC96" s="6" t="s">
        <v>5</v>
      </c>
      <c r="BD96" s="6" t="s">
        <v>5</v>
      </c>
      <c r="BE96" s="6" t="s">
        <v>5</v>
      </c>
      <c r="BF96" s="6" t="s">
        <v>5</v>
      </c>
      <c r="BG96" s="6" t="s">
        <v>5</v>
      </c>
      <c r="BH96" s="6" t="s">
        <v>5</v>
      </c>
      <c r="BI96" s="7">
        <v>1.92</v>
      </c>
      <c r="BJ96" s="23">
        <v>0.63</v>
      </c>
      <c r="BK96" s="24">
        <v>1</v>
      </c>
      <c r="BL96" s="6">
        <v>3.89</v>
      </c>
      <c r="BM96" s="7">
        <v>2.36</v>
      </c>
      <c r="BN96" s="2">
        <v>0</v>
      </c>
      <c r="BO96" s="7">
        <v>2.36</v>
      </c>
      <c r="BP96" s="7">
        <v>1.2</v>
      </c>
      <c r="BQ96" s="6">
        <v>1.38</v>
      </c>
      <c r="BR96" s="7">
        <v>1.2</v>
      </c>
      <c r="BS96" s="16">
        <v>1.65</v>
      </c>
      <c r="BT96" s="16" t="s">
        <v>5</v>
      </c>
      <c r="BU96" s="16">
        <v>1.65</v>
      </c>
      <c r="BV96" s="30">
        <v>0.82</v>
      </c>
      <c r="BW96" s="16">
        <v>0.71299999999999997</v>
      </c>
      <c r="BX96" s="30">
        <v>0.82</v>
      </c>
      <c r="BY96" s="25" t="s">
        <v>5</v>
      </c>
      <c r="BZ96" s="25" t="s">
        <v>5</v>
      </c>
      <c r="CA96" s="4">
        <v>10.5</v>
      </c>
      <c r="CB96" s="4">
        <v>10.5</v>
      </c>
      <c r="CC96" s="4">
        <v>14</v>
      </c>
      <c r="CD96" s="25" t="s">
        <v>5</v>
      </c>
      <c r="CE96" s="25" t="s">
        <v>5</v>
      </c>
      <c r="CF96" s="16" t="s">
        <v>5</v>
      </c>
      <c r="CG96" s="16" t="s">
        <v>5</v>
      </c>
      <c r="CH96" s="18" t="s">
        <v>5</v>
      </c>
      <c r="CL96" s="386" t="s">
        <v>473</v>
      </c>
      <c r="CM96" s="387">
        <f>IF('Tension Analysis &amp; Design'!AE29&gt;'Tension Analysis &amp; Design'!$AC$21,1,0)</f>
        <v>1</v>
      </c>
      <c r="CN96" s="388" cm="1">
        <f t="array" ref="CN96:CO96">IF('Tension Analysis &amp; Design'!AG29:AH29&lt;'Tension Analysis &amp; Design'!AC29,1,0)</f>
        <v>0</v>
      </c>
      <c r="CO96" s="353">
        <v>1</v>
      </c>
      <c r="CP96" s="370">
        <v>0.3</v>
      </c>
      <c r="CQ96" s="372">
        <v>0.1875</v>
      </c>
      <c r="CS96" s="335" t="str">
        <f t="shared" si="13"/>
        <v>L3X2X1/2</v>
      </c>
      <c r="CT96" s="338">
        <v>2.2599999999999998</v>
      </c>
      <c r="CV96" s="344" t="str">
        <f t="shared" si="14"/>
        <v>WT16.5X110.5</v>
      </c>
      <c r="CW96" s="337">
        <v>32.6</v>
      </c>
      <c r="DE96" s="335" t="str">
        <f t="shared" si="15"/>
        <v>2L5X5X7/16</v>
      </c>
      <c r="DF96" s="338">
        <v>8.44</v>
      </c>
      <c r="DH96" s="397" t="s">
        <v>1354</v>
      </c>
      <c r="DI96" s="398">
        <v>47.6</v>
      </c>
      <c r="DJ96" s="398">
        <v>27.6</v>
      </c>
      <c r="DK96" s="399">
        <v>0.66</v>
      </c>
      <c r="DL96" s="407">
        <v>36.1</v>
      </c>
      <c r="DM96" s="400">
        <v>6.49</v>
      </c>
      <c r="DN96" s="408">
        <v>515</v>
      </c>
      <c r="DO96" s="409">
        <v>458</v>
      </c>
      <c r="DP96" s="119"/>
      <c r="DQ96" s="428" t="s">
        <v>1333</v>
      </c>
      <c r="DR96" s="429">
        <v>672</v>
      </c>
      <c r="DS96" s="429">
        <v>4900</v>
      </c>
      <c r="DT96" s="431"/>
      <c r="DU96" s="431"/>
      <c r="DV96" s="431"/>
      <c r="DW96" s="431"/>
      <c r="DX96" s="432"/>
      <c r="DZ96" s="447" t="s">
        <v>1320</v>
      </c>
      <c r="EA96" s="448">
        <v>235</v>
      </c>
      <c r="EB96" s="448">
        <v>69.400000000000006</v>
      </c>
      <c r="EC96" s="448">
        <v>28.7</v>
      </c>
      <c r="ED96" s="448" t="s">
        <v>1735</v>
      </c>
      <c r="EE96" s="448">
        <v>0.91</v>
      </c>
      <c r="EF96" s="448" t="s">
        <v>1628</v>
      </c>
      <c r="EG96" s="449">
        <v>44928</v>
      </c>
      <c r="EH96" s="448">
        <v>14.2</v>
      </c>
      <c r="EI96" s="448" t="s">
        <v>1734</v>
      </c>
      <c r="EJ96" s="448">
        <v>1.61</v>
      </c>
      <c r="EK96" s="448" t="s">
        <v>1646</v>
      </c>
      <c r="EL96" s="448">
        <v>4.41</v>
      </c>
      <c r="EM96" s="448">
        <v>26.2</v>
      </c>
      <c r="EN96" s="448">
        <v>9700</v>
      </c>
      <c r="EO96" s="448">
        <v>677</v>
      </c>
      <c r="EP96" s="448">
        <v>11.8</v>
      </c>
      <c r="EQ96" s="448">
        <v>772</v>
      </c>
      <c r="ER96" s="448">
        <v>769</v>
      </c>
      <c r="ES96" s="448">
        <v>108</v>
      </c>
      <c r="ET96" s="448">
        <v>3.33</v>
      </c>
      <c r="EU96" s="450">
        <v>168</v>
      </c>
    </row>
    <row r="97" spans="2:151">
      <c r="B97" s="78" t="s">
        <v>7</v>
      </c>
      <c r="C97" s="79" t="s">
        <v>102</v>
      </c>
      <c r="D97" s="80" t="s">
        <v>102</v>
      </c>
      <c r="E97" s="1" t="s">
        <v>4</v>
      </c>
      <c r="F97" s="7">
        <v>5.8</v>
      </c>
      <c r="G97" s="7">
        <v>1.7</v>
      </c>
      <c r="H97" s="3" t="str">
        <f t="shared" si="12"/>
        <v>L3-1/2X3-1/2X1/4</v>
      </c>
      <c r="I97" s="7">
        <v>3.5</v>
      </c>
      <c r="J97" s="5" t="s">
        <v>5</v>
      </c>
      <c r="K97" s="6" t="s">
        <v>5</v>
      </c>
      <c r="L97" s="6" t="s">
        <v>5</v>
      </c>
      <c r="M97" s="6" t="s">
        <v>5</v>
      </c>
      <c r="N97" s="6" t="s">
        <v>5</v>
      </c>
      <c r="O97" s="5" t="s">
        <v>5</v>
      </c>
      <c r="P97" s="5" t="s">
        <v>5</v>
      </c>
      <c r="Q97" s="7">
        <v>3.5</v>
      </c>
      <c r="R97" s="6" t="s">
        <v>5</v>
      </c>
      <c r="S97" s="6" t="s">
        <v>5</v>
      </c>
      <c r="T97" s="5" t="s">
        <v>5</v>
      </c>
      <c r="U97" s="8" t="s">
        <v>5</v>
      </c>
      <c r="V97" s="6" t="s">
        <v>5</v>
      </c>
      <c r="W97" s="8" t="s">
        <v>5</v>
      </c>
      <c r="X97" s="22">
        <v>0.25</v>
      </c>
      <c r="Y97" s="6" t="s">
        <v>5</v>
      </c>
      <c r="Z97" s="6" t="s">
        <v>5</v>
      </c>
      <c r="AA97" s="22">
        <v>0.625</v>
      </c>
      <c r="AB97" s="8">
        <v>0.625</v>
      </c>
      <c r="AC97" s="8" t="s">
        <v>5</v>
      </c>
      <c r="AD97" s="22">
        <v>0.95399999999999996</v>
      </c>
      <c r="AE97" s="22">
        <v>0.95399999999999996</v>
      </c>
      <c r="AF97" s="6" t="s">
        <v>5</v>
      </c>
      <c r="AG97" s="22">
        <v>0.24299999999999999</v>
      </c>
      <c r="AH97" s="22">
        <v>0.24299999999999999</v>
      </c>
      <c r="AI97" s="6" t="s">
        <v>5</v>
      </c>
      <c r="AJ97" s="4">
        <v>14</v>
      </c>
      <c r="AK97" s="6" t="s">
        <v>5</v>
      </c>
      <c r="AL97" s="6" t="s">
        <v>5</v>
      </c>
      <c r="AM97" s="6" t="s">
        <v>5</v>
      </c>
      <c r="AN97" s="6" t="s">
        <v>5</v>
      </c>
      <c r="AO97" s="7">
        <v>2</v>
      </c>
      <c r="AP97" s="7">
        <v>1.41</v>
      </c>
      <c r="AQ97" s="22">
        <v>0.78700000000000003</v>
      </c>
      <c r="AR97" s="7">
        <v>1.0900000000000001</v>
      </c>
      <c r="AS97" s="7">
        <v>2</v>
      </c>
      <c r="AT97" s="7">
        <v>1.41</v>
      </c>
      <c r="AU97" s="22">
        <v>0.78700000000000003</v>
      </c>
      <c r="AV97" s="7">
        <v>1.0900000000000001</v>
      </c>
      <c r="AW97" s="6">
        <v>0.80200000000000005</v>
      </c>
      <c r="AX97" s="22">
        <v>0.68799999999999994</v>
      </c>
      <c r="AY97" s="12">
        <v>0.59399999999999997</v>
      </c>
      <c r="AZ97" s="28">
        <v>3.8600000000000002E-2</v>
      </c>
      <c r="BA97" s="28">
        <v>3.3399999999999999E-2</v>
      </c>
      <c r="BB97" s="6" t="s">
        <v>5</v>
      </c>
      <c r="BC97" s="6" t="s">
        <v>5</v>
      </c>
      <c r="BD97" s="6" t="s">
        <v>5</v>
      </c>
      <c r="BE97" s="6" t="s">
        <v>5</v>
      </c>
      <c r="BF97" s="6" t="s">
        <v>5</v>
      </c>
      <c r="BG97" s="6" t="s">
        <v>5</v>
      </c>
      <c r="BH97" s="6" t="s">
        <v>5</v>
      </c>
      <c r="BI97" s="7">
        <v>1.93</v>
      </c>
      <c r="BJ97" s="23">
        <v>0.63</v>
      </c>
      <c r="BK97" s="24">
        <v>1</v>
      </c>
      <c r="BL97" s="6">
        <v>3.19</v>
      </c>
      <c r="BM97" s="7">
        <v>2.39</v>
      </c>
      <c r="BN97" s="2">
        <v>0</v>
      </c>
      <c r="BO97" s="7">
        <v>2.39</v>
      </c>
      <c r="BP97" s="7">
        <v>1.21</v>
      </c>
      <c r="BQ97" s="6">
        <v>1.35</v>
      </c>
      <c r="BR97" s="7">
        <v>1.21</v>
      </c>
      <c r="BS97" s="16">
        <v>1.33</v>
      </c>
      <c r="BT97" s="16" t="s">
        <v>5</v>
      </c>
      <c r="BU97" s="16">
        <v>1.33</v>
      </c>
      <c r="BV97" s="16">
        <v>0.66300000000000003</v>
      </c>
      <c r="BW97" s="16">
        <v>0.59399999999999997</v>
      </c>
      <c r="BX97" s="16">
        <v>0.66300000000000003</v>
      </c>
      <c r="BY97" s="25" t="s">
        <v>5</v>
      </c>
      <c r="BZ97" s="25" t="s">
        <v>5</v>
      </c>
      <c r="CA97" s="4">
        <v>10.5</v>
      </c>
      <c r="CB97" s="4">
        <v>10.5</v>
      </c>
      <c r="CC97" s="4">
        <v>14</v>
      </c>
      <c r="CD97" s="25" t="s">
        <v>5</v>
      </c>
      <c r="CE97" s="25" t="s">
        <v>5</v>
      </c>
      <c r="CF97" s="16" t="s">
        <v>5</v>
      </c>
      <c r="CG97" s="16" t="s">
        <v>5</v>
      </c>
      <c r="CH97" s="18" t="s">
        <v>5</v>
      </c>
      <c r="CO97" s="353"/>
      <c r="CP97" s="370">
        <v>0.32500000000000001</v>
      </c>
      <c r="CQ97" s="372">
        <v>0.1875</v>
      </c>
      <c r="CS97" s="335" t="str">
        <f t="shared" si="13"/>
        <v>L3X2X1/2</v>
      </c>
      <c r="CT97" s="338">
        <v>2.2599999999999998</v>
      </c>
      <c r="CV97" s="344" t="str">
        <f t="shared" si="14"/>
        <v>WT13.5X108.5</v>
      </c>
      <c r="CW97" s="337">
        <v>32</v>
      </c>
      <c r="DE97" s="335" t="str">
        <f t="shared" si="15"/>
        <v>2L5X5X7/16</v>
      </c>
      <c r="DF97" s="338">
        <v>8.44</v>
      </c>
      <c r="DH97" s="397" t="s">
        <v>1365</v>
      </c>
      <c r="DI97" s="398">
        <v>43.2</v>
      </c>
      <c r="DJ97" s="398">
        <v>27.4</v>
      </c>
      <c r="DK97" s="399">
        <v>0.60499999999999998</v>
      </c>
      <c r="DL97" s="407">
        <v>39.4</v>
      </c>
      <c r="DM97" s="400">
        <v>7.16</v>
      </c>
      <c r="DN97" s="408">
        <v>464</v>
      </c>
      <c r="DO97" s="409">
        <v>414</v>
      </c>
      <c r="DP97" s="119"/>
      <c r="DQ97" s="428" t="s">
        <v>1334</v>
      </c>
      <c r="DR97" s="429">
        <v>671</v>
      </c>
      <c r="DS97" s="429">
        <v>6830</v>
      </c>
      <c r="DT97" s="431"/>
      <c r="DU97" s="431"/>
      <c r="DV97" s="431"/>
      <c r="DW97" s="431"/>
      <c r="DX97" s="432"/>
      <c r="DZ97" s="447" t="s">
        <v>1328</v>
      </c>
      <c r="EA97" s="448">
        <v>217</v>
      </c>
      <c r="EB97" s="448">
        <v>63.9</v>
      </c>
      <c r="EC97" s="448">
        <v>28.4</v>
      </c>
      <c r="ED97" s="448" t="s">
        <v>1736</v>
      </c>
      <c r="EE97" s="448">
        <v>0.83</v>
      </c>
      <c r="EF97" s="448" t="s">
        <v>1620</v>
      </c>
      <c r="EG97" s="449">
        <v>45123</v>
      </c>
      <c r="EH97" s="448">
        <v>14.1</v>
      </c>
      <c r="EI97" s="448" t="s">
        <v>1737</v>
      </c>
      <c r="EJ97" s="448">
        <v>1.5</v>
      </c>
      <c r="EK97" s="448" t="s">
        <v>1663</v>
      </c>
      <c r="EL97" s="448">
        <v>4.71</v>
      </c>
      <c r="EM97" s="448">
        <v>28.7</v>
      </c>
      <c r="EN97" s="448">
        <v>8910</v>
      </c>
      <c r="EO97" s="448">
        <v>627</v>
      </c>
      <c r="EP97" s="448">
        <v>11.8</v>
      </c>
      <c r="EQ97" s="448">
        <v>711</v>
      </c>
      <c r="ER97" s="448">
        <v>704</v>
      </c>
      <c r="ES97" s="448">
        <v>100</v>
      </c>
      <c r="ET97" s="448">
        <v>3.32</v>
      </c>
      <c r="EU97" s="450">
        <v>154</v>
      </c>
    </row>
    <row r="98" spans="2:151">
      <c r="B98" s="78" t="s">
        <v>7</v>
      </c>
      <c r="C98" s="79" t="s">
        <v>103</v>
      </c>
      <c r="D98" s="80" t="s">
        <v>103</v>
      </c>
      <c r="E98" s="1" t="s">
        <v>4</v>
      </c>
      <c r="F98" s="4">
        <v>10.199999999999999</v>
      </c>
      <c r="G98" s="7">
        <v>3.02</v>
      </c>
      <c r="H98" s="3" t="str">
        <f t="shared" si="12"/>
        <v>L3-1/2X3X1/2</v>
      </c>
      <c r="I98" s="7">
        <v>3</v>
      </c>
      <c r="J98" s="5" t="s">
        <v>5</v>
      </c>
      <c r="K98" s="6" t="s">
        <v>5</v>
      </c>
      <c r="L98" s="6" t="s">
        <v>5</v>
      </c>
      <c r="M98" s="6" t="s">
        <v>5</v>
      </c>
      <c r="N98" s="6" t="s">
        <v>5</v>
      </c>
      <c r="O98" s="5" t="s">
        <v>5</v>
      </c>
      <c r="P98" s="5" t="s">
        <v>5</v>
      </c>
      <c r="Q98" s="7">
        <v>3.5</v>
      </c>
      <c r="R98" s="6" t="s">
        <v>5</v>
      </c>
      <c r="S98" s="6" t="s">
        <v>5</v>
      </c>
      <c r="T98" s="5" t="s">
        <v>5</v>
      </c>
      <c r="U98" s="8" t="s">
        <v>5</v>
      </c>
      <c r="V98" s="6" t="s">
        <v>5</v>
      </c>
      <c r="W98" s="8" t="s">
        <v>5</v>
      </c>
      <c r="X98" s="22">
        <v>0.5</v>
      </c>
      <c r="Y98" s="6" t="s">
        <v>5</v>
      </c>
      <c r="Z98" s="6" t="s">
        <v>5</v>
      </c>
      <c r="AA98" s="22">
        <v>0.875</v>
      </c>
      <c r="AB98" s="8">
        <v>0.875</v>
      </c>
      <c r="AC98" s="8" t="s">
        <v>5</v>
      </c>
      <c r="AD98" s="22">
        <v>0.86899999999999999</v>
      </c>
      <c r="AE98" s="7">
        <v>1.1200000000000001</v>
      </c>
      <c r="AF98" s="6" t="s">
        <v>5</v>
      </c>
      <c r="AG98" s="22">
        <v>0.43099999999999999</v>
      </c>
      <c r="AH98" s="22">
        <v>0.48</v>
      </c>
      <c r="AI98" s="6" t="s">
        <v>5</v>
      </c>
      <c r="AJ98" s="7">
        <v>7</v>
      </c>
      <c r="AK98" s="6" t="s">
        <v>5</v>
      </c>
      <c r="AL98" s="6" t="s">
        <v>5</v>
      </c>
      <c r="AM98" s="6" t="s">
        <v>5</v>
      </c>
      <c r="AN98" s="6" t="s">
        <v>5</v>
      </c>
      <c r="AO98" s="7">
        <v>3.45</v>
      </c>
      <c r="AP98" s="7">
        <v>2.61</v>
      </c>
      <c r="AQ98" s="7">
        <v>1.45</v>
      </c>
      <c r="AR98" s="7">
        <v>1.07</v>
      </c>
      <c r="AS98" s="7">
        <v>2.3199999999999998</v>
      </c>
      <c r="AT98" s="7">
        <v>1.97</v>
      </c>
      <c r="AU98" s="7">
        <v>1.0900000000000001</v>
      </c>
      <c r="AV98" s="22">
        <v>0.877</v>
      </c>
      <c r="AW98" s="6">
        <v>1.1499999999999999</v>
      </c>
      <c r="AX98" s="22">
        <v>0.61799999999999999</v>
      </c>
      <c r="AY98" s="12">
        <v>0.84599999999999997</v>
      </c>
      <c r="AZ98" s="22">
        <v>0.26</v>
      </c>
      <c r="BA98" s="22">
        <v>0.191</v>
      </c>
      <c r="BB98" s="6" t="s">
        <v>5</v>
      </c>
      <c r="BC98" s="6" t="s">
        <v>5</v>
      </c>
      <c r="BD98" s="6" t="s">
        <v>5</v>
      </c>
      <c r="BE98" s="6" t="s">
        <v>5</v>
      </c>
      <c r="BF98" s="6" t="s">
        <v>5</v>
      </c>
      <c r="BG98" s="6" t="s">
        <v>5</v>
      </c>
      <c r="BH98" s="6" t="s">
        <v>5</v>
      </c>
      <c r="BI98" s="7">
        <v>1.75</v>
      </c>
      <c r="BJ98" s="24" t="s">
        <v>5</v>
      </c>
      <c r="BK98" s="23">
        <v>0.71299999999999997</v>
      </c>
      <c r="BL98" s="6">
        <v>4.62</v>
      </c>
      <c r="BM98" s="7">
        <v>1.95</v>
      </c>
      <c r="BN98" s="6">
        <v>0.40699999999999997</v>
      </c>
      <c r="BO98" s="7">
        <v>2.2999999999999998</v>
      </c>
      <c r="BP98" s="7">
        <v>1.23</v>
      </c>
      <c r="BQ98" s="6">
        <v>1.36</v>
      </c>
      <c r="BR98" s="22">
        <v>0.878</v>
      </c>
      <c r="BS98" s="16">
        <v>2.37</v>
      </c>
      <c r="BT98" s="16">
        <v>11.4</v>
      </c>
      <c r="BU98" s="16">
        <v>2.0099999999999998</v>
      </c>
      <c r="BV98" s="16">
        <v>0.93500000000000005</v>
      </c>
      <c r="BW98" s="16">
        <v>0.84599999999999997</v>
      </c>
      <c r="BX98" s="16">
        <v>1.31</v>
      </c>
      <c r="BY98" s="25" t="s">
        <v>5</v>
      </c>
      <c r="BZ98" s="25" t="s">
        <v>5</v>
      </c>
      <c r="CA98" s="4">
        <v>10</v>
      </c>
      <c r="CB98" s="7">
        <v>9.5</v>
      </c>
      <c r="CC98" s="4">
        <v>13</v>
      </c>
      <c r="CD98" s="25" t="s">
        <v>5</v>
      </c>
      <c r="CE98" s="25" t="s">
        <v>5</v>
      </c>
      <c r="CF98" s="16" t="s">
        <v>5</v>
      </c>
      <c r="CG98" s="16" t="s">
        <v>5</v>
      </c>
      <c r="CH98" s="18" t="s">
        <v>5</v>
      </c>
      <c r="CO98" s="353"/>
      <c r="CP98" s="370">
        <v>0.35</v>
      </c>
      <c r="CQ98" s="372">
        <v>0.1875</v>
      </c>
      <c r="CS98" s="335" t="str">
        <f t="shared" si="13"/>
        <v>L4X3-1/2X5/16</v>
      </c>
      <c r="CT98" s="338">
        <v>2.25</v>
      </c>
      <c r="CV98" s="344" t="str">
        <f t="shared" si="14"/>
        <v>WT20X107.5</v>
      </c>
      <c r="CW98" s="337">
        <v>31.8</v>
      </c>
      <c r="DE98" s="335" t="str">
        <f t="shared" si="15"/>
        <v>2L5X5X7/16</v>
      </c>
      <c r="DF98" s="338">
        <v>8.44</v>
      </c>
      <c r="DH98" s="397" t="s">
        <v>1375</v>
      </c>
      <c r="DI98" s="398">
        <v>37.799999999999997</v>
      </c>
      <c r="DJ98" s="398">
        <v>27.6</v>
      </c>
      <c r="DK98" s="399">
        <v>0.61</v>
      </c>
      <c r="DL98" s="407">
        <v>39.700000000000003</v>
      </c>
      <c r="DM98" s="400">
        <v>4.55</v>
      </c>
      <c r="DN98" s="408">
        <v>395</v>
      </c>
      <c r="DO98" s="409">
        <v>345</v>
      </c>
      <c r="DP98" s="119"/>
      <c r="DQ98" s="428" t="s">
        <v>1335</v>
      </c>
      <c r="DR98" s="429">
        <v>668</v>
      </c>
      <c r="DS98" s="429">
        <v>10500</v>
      </c>
      <c r="DT98" s="431"/>
      <c r="DU98" s="431"/>
      <c r="DV98" s="431"/>
      <c r="DW98" s="431"/>
      <c r="DX98" s="432"/>
      <c r="DZ98" s="447" t="s">
        <v>1336</v>
      </c>
      <c r="EA98" s="448">
        <v>194</v>
      </c>
      <c r="EB98" s="448">
        <v>57.1</v>
      </c>
      <c r="EC98" s="448">
        <v>28.1</v>
      </c>
      <c r="ED98" s="448" t="s">
        <v>1738</v>
      </c>
      <c r="EE98" s="448">
        <v>0.75</v>
      </c>
      <c r="EF98" s="449">
        <v>44989</v>
      </c>
      <c r="EG98" s="449">
        <v>44993</v>
      </c>
      <c r="EH98" s="448">
        <v>14</v>
      </c>
      <c r="EI98" s="448">
        <v>14</v>
      </c>
      <c r="EJ98" s="448">
        <v>1.34</v>
      </c>
      <c r="EK98" s="448" t="s">
        <v>1634</v>
      </c>
      <c r="EL98" s="448">
        <v>5.24</v>
      </c>
      <c r="EM98" s="448">
        <v>31.8</v>
      </c>
      <c r="EN98" s="448">
        <v>7860</v>
      </c>
      <c r="EO98" s="448">
        <v>559</v>
      </c>
      <c r="EP98" s="448">
        <v>11.7</v>
      </c>
      <c r="EQ98" s="448">
        <v>631</v>
      </c>
      <c r="ER98" s="448">
        <v>619</v>
      </c>
      <c r="ES98" s="448">
        <v>88.1</v>
      </c>
      <c r="ET98" s="448">
        <v>3.29</v>
      </c>
      <c r="EU98" s="450">
        <v>136</v>
      </c>
    </row>
    <row r="99" spans="2:151">
      <c r="B99" s="78" t="s">
        <v>7</v>
      </c>
      <c r="C99" s="79" t="s">
        <v>104</v>
      </c>
      <c r="D99" s="80" t="s">
        <v>104</v>
      </c>
      <c r="E99" s="1" t="s">
        <v>4</v>
      </c>
      <c r="F99" s="7">
        <v>9.1</v>
      </c>
      <c r="G99" s="7">
        <v>2.67</v>
      </c>
      <c r="H99" s="3" t="str">
        <f t="shared" si="12"/>
        <v>L3-1/2X3X7/16</v>
      </c>
      <c r="I99" s="7">
        <v>3</v>
      </c>
      <c r="J99" s="5" t="s">
        <v>5</v>
      </c>
      <c r="K99" s="6" t="s">
        <v>5</v>
      </c>
      <c r="L99" s="6" t="s">
        <v>5</v>
      </c>
      <c r="M99" s="6" t="s">
        <v>5</v>
      </c>
      <c r="N99" s="6" t="s">
        <v>5</v>
      </c>
      <c r="O99" s="5" t="s">
        <v>5</v>
      </c>
      <c r="P99" s="5" t="s">
        <v>5</v>
      </c>
      <c r="Q99" s="7">
        <v>3.5</v>
      </c>
      <c r="R99" s="6" t="s">
        <v>5</v>
      </c>
      <c r="S99" s="6" t="s">
        <v>5</v>
      </c>
      <c r="T99" s="5" t="s">
        <v>5</v>
      </c>
      <c r="U99" s="8" t="s">
        <v>5</v>
      </c>
      <c r="V99" s="6" t="s">
        <v>5</v>
      </c>
      <c r="W99" s="8" t="s">
        <v>5</v>
      </c>
      <c r="X99" s="22">
        <v>0.438</v>
      </c>
      <c r="Y99" s="6" t="s">
        <v>5</v>
      </c>
      <c r="Z99" s="6" t="s">
        <v>5</v>
      </c>
      <c r="AA99" s="22">
        <v>0.81299999999999994</v>
      </c>
      <c r="AB99" s="8">
        <v>0.8125</v>
      </c>
      <c r="AC99" s="8" t="s">
        <v>5</v>
      </c>
      <c r="AD99" s="22">
        <v>0.84599999999999997</v>
      </c>
      <c r="AE99" s="7">
        <v>1.0900000000000001</v>
      </c>
      <c r="AF99" s="6" t="s">
        <v>5</v>
      </c>
      <c r="AG99" s="22">
        <v>0.38100000000000001</v>
      </c>
      <c r="AH99" s="22">
        <v>0.44900000000000001</v>
      </c>
      <c r="AI99" s="6" t="s">
        <v>5</v>
      </c>
      <c r="AJ99" s="7">
        <v>7.99</v>
      </c>
      <c r="AK99" s="6" t="s">
        <v>5</v>
      </c>
      <c r="AL99" s="6" t="s">
        <v>5</v>
      </c>
      <c r="AM99" s="6" t="s">
        <v>5</v>
      </c>
      <c r="AN99" s="6" t="s">
        <v>5</v>
      </c>
      <c r="AO99" s="7">
        <v>3.1</v>
      </c>
      <c r="AP99" s="7">
        <v>2.3199999999999998</v>
      </c>
      <c r="AQ99" s="7">
        <v>1.29</v>
      </c>
      <c r="AR99" s="7">
        <v>1.08</v>
      </c>
      <c r="AS99" s="7">
        <v>2.09</v>
      </c>
      <c r="AT99" s="7">
        <v>1.75</v>
      </c>
      <c r="AU99" s="22">
        <v>0.97099999999999997</v>
      </c>
      <c r="AV99" s="22">
        <v>0.88500000000000001</v>
      </c>
      <c r="AW99" s="6">
        <v>1.02</v>
      </c>
      <c r="AX99" s="22">
        <v>0.62</v>
      </c>
      <c r="AY99" s="12">
        <v>0.77300000000000002</v>
      </c>
      <c r="AZ99" s="22">
        <v>0.17799999999999999</v>
      </c>
      <c r="BA99" s="22">
        <v>0.13200000000000001</v>
      </c>
      <c r="BB99" s="6" t="s">
        <v>5</v>
      </c>
      <c r="BC99" s="6" t="s">
        <v>5</v>
      </c>
      <c r="BD99" s="6" t="s">
        <v>5</v>
      </c>
      <c r="BE99" s="6" t="s">
        <v>5</v>
      </c>
      <c r="BF99" s="6" t="s">
        <v>5</v>
      </c>
      <c r="BG99" s="6" t="s">
        <v>5</v>
      </c>
      <c r="BH99" s="6" t="s">
        <v>5</v>
      </c>
      <c r="BI99" s="7">
        <v>1.76</v>
      </c>
      <c r="BJ99" s="24" t="s">
        <v>5</v>
      </c>
      <c r="BK99" s="23">
        <v>0.71699999999999997</v>
      </c>
      <c r="BL99" s="6">
        <v>4.16</v>
      </c>
      <c r="BM99" s="7">
        <v>1.96</v>
      </c>
      <c r="BN99" s="6">
        <v>0.39300000000000002</v>
      </c>
      <c r="BO99" s="7">
        <v>2.3199999999999998</v>
      </c>
      <c r="BP99" s="7">
        <v>1.24</v>
      </c>
      <c r="BQ99" s="6">
        <v>1.32</v>
      </c>
      <c r="BR99" s="22">
        <v>0.89400000000000002</v>
      </c>
      <c r="BS99" s="16">
        <v>2.12</v>
      </c>
      <c r="BT99" s="16">
        <v>10.6</v>
      </c>
      <c r="BU99" s="16">
        <v>1.79</v>
      </c>
      <c r="BV99" s="16">
        <v>0.82299999999999995</v>
      </c>
      <c r="BW99" s="16">
        <v>0.77300000000000002</v>
      </c>
      <c r="BX99" s="16">
        <v>1.1399999999999999</v>
      </c>
      <c r="BY99" s="25" t="s">
        <v>5</v>
      </c>
      <c r="BZ99" s="25" t="s">
        <v>5</v>
      </c>
      <c r="CA99" s="4">
        <v>10</v>
      </c>
      <c r="CB99" s="7">
        <v>9.5</v>
      </c>
      <c r="CC99" s="4">
        <v>13</v>
      </c>
      <c r="CD99" s="25" t="s">
        <v>5</v>
      </c>
      <c r="CE99" s="25" t="s">
        <v>5</v>
      </c>
      <c r="CF99" s="16" t="s">
        <v>5</v>
      </c>
      <c r="CG99" s="16" t="s">
        <v>5</v>
      </c>
      <c r="CH99" s="18" t="s">
        <v>5</v>
      </c>
      <c r="CP99" s="370">
        <v>0.375</v>
      </c>
      <c r="CQ99" s="372">
        <v>0.1875</v>
      </c>
      <c r="CS99" s="335" t="str">
        <f t="shared" si="13"/>
        <v>L3X2-1/2X7/16</v>
      </c>
      <c r="CT99" s="338">
        <v>2.2200000000000002</v>
      </c>
      <c r="CV99" s="344" t="str">
        <f t="shared" si="14"/>
        <v>WT9X105.5</v>
      </c>
      <c r="CW99" s="337">
        <v>31.2</v>
      </c>
      <c r="DE99" s="335" t="str">
        <f t="shared" si="15"/>
        <v>2L4X4X1/2</v>
      </c>
      <c r="DF99" s="338">
        <v>7.5</v>
      </c>
      <c r="DH99" s="397" t="s">
        <v>1385</v>
      </c>
      <c r="DI99" s="398">
        <v>33.6</v>
      </c>
      <c r="DJ99" s="398">
        <v>27.3</v>
      </c>
      <c r="DK99" s="399">
        <v>0.56999999999999995</v>
      </c>
      <c r="DL99" s="407">
        <v>42.5</v>
      </c>
      <c r="DM99" s="400">
        <v>5.41</v>
      </c>
      <c r="DN99" s="408">
        <v>343</v>
      </c>
      <c r="DO99" s="409">
        <v>299</v>
      </c>
      <c r="DP99" s="119"/>
      <c r="DQ99" s="428" t="s">
        <v>1336</v>
      </c>
      <c r="DR99" s="429">
        <v>631</v>
      </c>
      <c r="DS99" s="429">
        <v>7860</v>
      </c>
      <c r="DT99" s="431"/>
      <c r="DU99" s="431"/>
      <c r="DV99" s="431"/>
      <c r="DW99" s="431"/>
      <c r="DX99" s="432"/>
      <c r="DZ99" s="447" t="s">
        <v>1347</v>
      </c>
      <c r="EA99" s="448">
        <v>178</v>
      </c>
      <c r="EB99" s="448">
        <v>52.5</v>
      </c>
      <c r="EC99" s="448">
        <v>27.8</v>
      </c>
      <c r="ED99" s="448" t="s">
        <v>1739</v>
      </c>
      <c r="EE99" s="448">
        <v>0.72499999999999998</v>
      </c>
      <c r="EF99" s="449">
        <v>44989</v>
      </c>
      <c r="EG99" s="449">
        <v>44993</v>
      </c>
      <c r="EH99" s="448">
        <v>14.1</v>
      </c>
      <c r="EI99" s="448" t="s">
        <v>1737</v>
      </c>
      <c r="EJ99" s="448">
        <v>1.19</v>
      </c>
      <c r="EK99" s="448" t="s">
        <v>1640</v>
      </c>
      <c r="EL99" s="448">
        <v>5.92</v>
      </c>
      <c r="EM99" s="448">
        <v>32.9</v>
      </c>
      <c r="EN99" s="448">
        <v>7020</v>
      </c>
      <c r="EO99" s="448">
        <v>505</v>
      </c>
      <c r="EP99" s="448">
        <v>11.6</v>
      </c>
      <c r="EQ99" s="448">
        <v>570</v>
      </c>
      <c r="ER99" s="448">
        <v>555</v>
      </c>
      <c r="ES99" s="448">
        <v>78.8</v>
      </c>
      <c r="ET99" s="448">
        <v>3.25</v>
      </c>
      <c r="EU99" s="450">
        <v>122</v>
      </c>
    </row>
    <row r="100" spans="2:151">
      <c r="B100" s="78" t="s">
        <v>7</v>
      </c>
      <c r="C100" s="79" t="s">
        <v>105</v>
      </c>
      <c r="D100" s="80" t="s">
        <v>105</v>
      </c>
      <c r="E100" s="1" t="s">
        <v>4</v>
      </c>
      <c r="F100" s="7">
        <v>7.9</v>
      </c>
      <c r="G100" s="7">
        <v>2.3199999999999998</v>
      </c>
      <c r="H100" s="3" t="str">
        <f t="shared" si="12"/>
        <v>L3-1/2X3X3/8</v>
      </c>
      <c r="I100" s="7">
        <v>3</v>
      </c>
      <c r="J100" s="5" t="s">
        <v>5</v>
      </c>
      <c r="K100" s="6" t="s">
        <v>5</v>
      </c>
      <c r="L100" s="6" t="s">
        <v>5</v>
      </c>
      <c r="M100" s="6" t="s">
        <v>5</v>
      </c>
      <c r="N100" s="6" t="s">
        <v>5</v>
      </c>
      <c r="O100" s="5" t="s">
        <v>5</v>
      </c>
      <c r="P100" s="5" t="s">
        <v>5</v>
      </c>
      <c r="Q100" s="7">
        <v>3.5</v>
      </c>
      <c r="R100" s="6" t="s">
        <v>5</v>
      </c>
      <c r="S100" s="6" t="s">
        <v>5</v>
      </c>
      <c r="T100" s="5" t="s">
        <v>5</v>
      </c>
      <c r="U100" s="8" t="s">
        <v>5</v>
      </c>
      <c r="V100" s="6" t="s">
        <v>5</v>
      </c>
      <c r="W100" s="8" t="s">
        <v>5</v>
      </c>
      <c r="X100" s="22">
        <v>0.375</v>
      </c>
      <c r="Y100" s="6" t="s">
        <v>5</v>
      </c>
      <c r="Z100" s="6" t="s">
        <v>5</v>
      </c>
      <c r="AA100" s="22">
        <v>0.75</v>
      </c>
      <c r="AB100" s="8">
        <v>0.75</v>
      </c>
      <c r="AC100" s="8" t="s">
        <v>5</v>
      </c>
      <c r="AD100" s="22">
        <v>0.82299999999999995</v>
      </c>
      <c r="AE100" s="7">
        <v>1.07</v>
      </c>
      <c r="AF100" s="6" t="s">
        <v>5</v>
      </c>
      <c r="AG100" s="22">
        <v>0.33100000000000002</v>
      </c>
      <c r="AH100" s="22">
        <v>0.40699999999999997</v>
      </c>
      <c r="AI100" s="6" t="s">
        <v>5</v>
      </c>
      <c r="AJ100" s="7">
        <v>9.33</v>
      </c>
      <c r="AK100" s="6" t="s">
        <v>5</v>
      </c>
      <c r="AL100" s="6" t="s">
        <v>5</v>
      </c>
      <c r="AM100" s="6" t="s">
        <v>5</v>
      </c>
      <c r="AN100" s="6" t="s">
        <v>5</v>
      </c>
      <c r="AO100" s="7">
        <v>2.73</v>
      </c>
      <c r="AP100" s="7">
        <v>2.0299999999999998</v>
      </c>
      <c r="AQ100" s="7">
        <v>1.1200000000000001</v>
      </c>
      <c r="AR100" s="7">
        <v>1.0900000000000001</v>
      </c>
      <c r="AS100" s="7">
        <v>1.84</v>
      </c>
      <c r="AT100" s="7">
        <v>1.52</v>
      </c>
      <c r="AU100" s="22">
        <v>0.84699999999999998</v>
      </c>
      <c r="AV100" s="22">
        <v>0.89200000000000002</v>
      </c>
      <c r="AW100" s="6">
        <v>0.89400000000000002</v>
      </c>
      <c r="AX100" s="22">
        <v>0.622</v>
      </c>
      <c r="AY100" s="12">
        <v>0.69299999999999995</v>
      </c>
      <c r="AZ100" s="22">
        <v>0.114</v>
      </c>
      <c r="BA100" s="28">
        <v>8.5800000000000001E-2</v>
      </c>
      <c r="BB100" s="6" t="s">
        <v>5</v>
      </c>
      <c r="BC100" s="6" t="s">
        <v>5</v>
      </c>
      <c r="BD100" s="6" t="s">
        <v>5</v>
      </c>
      <c r="BE100" s="6" t="s">
        <v>5</v>
      </c>
      <c r="BF100" s="6" t="s">
        <v>5</v>
      </c>
      <c r="BG100" s="6" t="s">
        <v>5</v>
      </c>
      <c r="BH100" s="6" t="s">
        <v>5</v>
      </c>
      <c r="BI100" s="7">
        <v>1.78</v>
      </c>
      <c r="BJ100" s="24" t="s">
        <v>5</v>
      </c>
      <c r="BK100" s="23">
        <v>0.72</v>
      </c>
      <c r="BL100" s="6">
        <v>3.68</v>
      </c>
      <c r="BM100" s="7">
        <v>1.99</v>
      </c>
      <c r="BN100" s="6">
        <v>0.38900000000000001</v>
      </c>
      <c r="BO100" s="7">
        <v>2.34</v>
      </c>
      <c r="BP100" s="7">
        <v>1.25</v>
      </c>
      <c r="BQ100" s="6">
        <v>1.29</v>
      </c>
      <c r="BR100" s="22">
        <v>0.90100000000000002</v>
      </c>
      <c r="BS100" s="16">
        <v>1.85</v>
      </c>
      <c r="BT100" s="16">
        <v>9.4600000000000009</v>
      </c>
      <c r="BU100" s="16">
        <v>1.57</v>
      </c>
      <c r="BV100" s="16">
        <v>0.71499999999999997</v>
      </c>
      <c r="BW100" s="16">
        <v>0.69299999999999995</v>
      </c>
      <c r="BX100" s="16">
        <v>0.99199999999999999</v>
      </c>
      <c r="BY100" s="25" t="s">
        <v>5</v>
      </c>
      <c r="BZ100" s="25" t="s">
        <v>5</v>
      </c>
      <c r="CA100" s="4">
        <v>10</v>
      </c>
      <c r="CB100" s="7">
        <v>9.5</v>
      </c>
      <c r="CC100" s="4">
        <v>13</v>
      </c>
      <c r="CD100" s="25" t="s">
        <v>5</v>
      </c>
      <c r="CE100" s="25" t="s">
        <v>5</v>
      </c>
      <c r="CF100" s="16" t="s">
        <v>5</v>
      </c>
      <c r="CG100" s="16" t="s">
        <v>5</v>
      </c>
      <c r="CH100" s="18" t="s">
        <v>5</v>
      </c>
      <c r="CP100" s="370">
        <v>0.4</v>
      </c>
      <c r="CQ100" s="372">
        <v>0.1875</v>
      </c>
      <c r="CS100" s="335" t="str">
        <f t="shared" si="13"/>
        <v>L3-1/2X2-1/2X3/8</v>
      </c>
      <c r="CT100" s="338">
        <v>2.12</v>
      </c>
      <c r="CV100" s="344" t="str">
        <f t="shared" si="14"/>
        <v>WT20X105.5</v>
      </c>
      <c r="CW100" s="337">
        <v>31.1</v>
      </c>
      <c r="DE100" s="335" t="str">
        <f t="shared" si="15"/>
        <v>2L4X4X1/2</v>
      </c>
      <c r="DF100" s="338">
        <v>7.5</v>
      </c>
      <c r="DH100" s="397" t="s">
        <v>1393</v>
      </c>
      <c r="DI100" s="398">
        <v>30</v>
      </c>
      <c r="DJ100" s="398">
        <v>27.1</v>
      </c>
      <c r="DK100" s="399">
        <v>0.51500000000000001</v>
      </c>
      <c r="DL100" s="407">
        <v>47.1</v>
      </c>
      <c r="DM100" s="400">
        <v>6.03</v>
      </c>
      <c r="DN100" s="408">
        <v>305</v>
      </c>
      <c r="DO100" s="409">
        <v>267</v>
      </c>
      <c r="DP100" s="119"/>
      <c r="DQ100" s="428" t="s">
        <v>1337</v>
      </c>
      <c r="DR100" s="429">
        <v>629</v>
      </c>
      <c r="DS100" s="429">
        <v>9290</v>
      </c>
      <c r="DT100" s="431"/>
      <c r="DU100" s="431"/>
      <c r="DV100" s="431"/>
      <c r="DW100" s="431"/>
      <c r="DX100" s="432"/>
      <c r="DZ100" s="447" t="s">
        <v>1354</v>
      </c>
      <c r="EA100" s="448">
        <v>161</v>
      </c>
      <c r="EB100" s="448">
        <v>47.6</v>
      </c>
      <c r="EC100" s="448">
        <v>27.6</v>
      </c>
      <c r="ED100" s="448" t="s">
        <v>1740</v>
      </c>
      <c r="EE100" s="448">
        <v>0.66</v>
      </c>
      <c r="EF100" s="449">
        <v>45246</v>
      </c>
      <c r="EG100" s="449">
        <v>44993</v>
      </c>
      <c r="EH100" s="448">
        <v>14</v>
      </c>
      <c r="EI100" s="448">
        <v>14</v>
      </c>
      <c r="EJ100" s="448">
        <v>1.08</v>
      </c>
      <c r="EK100" s="448" t="s">
        <v>1650</v>
      </c>
      <c r="EL100" s="448">
        <v>6.49</v>
      </c>
      <c r="EM100" s="448">
        <v>36.1</v>
      </c>
      <c r="EN100" s="448">
        <v>6310</v>
      </c>
      <c r="EO100" s="448">
        <v>458</v>
      </c>
      <c r="EP100" s="448">
        <v>11.5</v>
      </c>
      <c r="EQ100" s="448">
        <v>515</v>
      </c>
      <c r="ER100" s="448">
        <v>497</v>
      </c>
      <c r="ES100" s="448">
        <v>70.900000000000006</v>
      </c>
      <c r="ET100" s="448">
        <v>3.23</v>
      </c>
      <c r="EU100" s="450">
        <v>109</v>
      </c>
    </row>
    <row r="101" spans="2:151">
      <c r="B101" s="78" t="s">
        <v>7</v>
      </c>
      <c r="C101" s="79" t="s">
        <v>106</v>
      </c>
      <c r="D101" s="80" t="s">
        <v>106</v>
      </c>
      <c r="E101" s="1" t="s">
        <v>4</v>
      </c>
      <c r="F101" s="7">
        <v>6.6</v>
      </c>
      <c r="G101" s="7">
        <v>1.95</v>
      </c>
      <c r="H101" s="3" t="str">
        <f t="shared" si="12"/>
        <v>L3-1/2X3X5/16</v>
      </c>
      <c r="I101" s="7">
        <v>3</v>
      </c>
      <c r="J101" s="5" t="s">
        <v>5</v>
      </c>
      <c r="K101" s="6" t="s">
        <v>5</v>
      </c>
      <c r="L101" s="6" t="s">
        <v>5</v>
      </c>
      <c r="M101" s="6" t="s">
        <v>5</v>
      </c>
      <c r="N101" s="6" t="s">
        <v>5</v>
      </c>
      <c r="O101" s="5" t="s">
        <v>5</v>
      </c>
      <c r="P101" s="5" t="s">
        <v>5</v>
      </c>
      <c r="Q101" s="7">
        <v>3.5</v>
      </c>
      <c r="R101" s="6" t="s">
        <v>5</v>
      </c>
      <c r="S101" s="6" t="s">
        <v>5</v>
      </c>
      <c r="T101" s="5" t="s">
        <v>5</v>
      </c>
      <c r="U101" s="8" t="s">
        <v>5</v>
      </c>
      <c r="V101" s="6" t="s">
        <v>5</v>
      </c>
      <c r="W101" s="8" t="s">
        <v>5</v>
      </c>
      <c r="X101" s="22">
        <v>0.313</v>
      </c>
      <c r="Y101" s="6" t="s">
        <v>5</v>
      </c>
      <c r="Z101" s="6" t="s">
        <v>5</v>
      </c>
      <c r="AA101" s="22">
        <v>0.68799999999999994</v>
      </c>
      <c r="AB101" s="8">
        <v>0.6875</v>
      </c>
      <c r="AC101" s="8" t="s">
        <v>5</v>
      </c>
      <c r="AD101" s="22">
        <v>0.79800000000000004</v>
      </c>
      <c r="AE101" s="7">
        <v>1.05</v>
      </c>
      <c r="AF101" s="6" t="s">
        <v>5</v>
      </c>
      <c r="AG101" s="22">
        <v>0.27900000000000003</v>
      </c>
      <c r="AH101" s="22">
        <v>0.38</v>
      </c>
      <c r="AI101" s="6" t="s">
        <v>5</v>
      </c>
      <c r="AJ101" s="4">
        <v>11.2</v>
      </c>
      <c r="AK101" s="6" t="s">
        <v>5</v>
      </c>
      <c r="AL101" s="6" t="s">
        <v>5</v>
      </c>
      <c r="AM101" s="6" t="s">
        <v>5</v>
      </c>
      <c r="AN101" s="6" t="s">
        <v>5</v>
      </c>
      <c r="AO101" s="7">
        <v>2.33</v>
      </c>
      <c r="AP101" s="7">
        <v>1.72</v>
      </c>
      <c r="AQ101" s="22">
        <v>0.95099999999999996</v>
      </c>
      <c r="AR101" s="7">
        <v>1.0900000000000001</v>
      </c>
      <c r="AS101" s="7">
        <v>1.58</v>
      </c>
      <c r="AT101" s="7">
        <v>1.28</v>
      </c>
      <c r="AU101" s="22">
        <v>0.71799999999999997</v>
      </c>
      <c r="AV101" s="22">
        <v>0.9</v>
      </c>
      <c r="AW101" s="6">
        <v>0.75800000000000001</v>
      </c>
      <c r="AX101" s="22">
        <v>0.624</v>
      </c>
      <c r="AY101" s="12">
        <v>0.60199999999999998</v>
      </c>
      <c r="AZ101" s="28">
        <v>6.8000000000000005E-2</v>
      </c>
      <c r="BA101" s="28">
        <v>5.1200000000000002E-2</v>
      </c>
      <c r="BB101" s="6" t="s">
        <v>5</v>
      </c>
      <c r="BC101" s="6" t="s">
        <v>5</v>
      </c>
      <c r="BD101" s="6" t="s">
        <v>5</v>
      </c>
      <c r="BE101" s="6" t="s">
        <v>5</v>
      </c>
      <c r="BF101" s="6" t="s">
        <v>5</v>
      </c>
      <c r="BG101" s="6" t="s">
        <v>5</v>
      </c>
      <c r="BH101" s="6" t="s">
        <v>5</v>
      </c>
      <c r="BI101" s="7">
        <v>1.79</v>
      </c>
      <c r="BJ101" s="24" t="s">
        <v>5</v>
      </c>
      <c r="BK101" s="23">
        <v>0.72199999999999998</v>
      </c>
      <c r="BL101" s="6">
        <v>3.15</v>
      </c>
      <c r="BM101" s="7">
        <v>2.0099999999999998</v>
      </c>
      <c r="BN101" s="6">
        <v>0.38300000000000001</v>
      </c>
      <c r="BO101" s="7">
        <v>2.36</v>
      </c>
      <c r="BP101" s="7">
        <v>1.26</v>
      </c>
      <c r="BQ101" s="6">
        <v>1.26</v>
      </c>
      <c r="BR101" s="22">
        <v>0.91600000000000004</v>
      </c>
      <c r="BS101" s="16">
        <v>1.57</v>
      </c>
      <c r="BT101" s="16">
        <v>8.2200000000000006</v>
      </c>
      <c r="BU101" s="16">
        <v>1.33</v>
      </c>
      <c r="BV101" s="16">
        <v>0.60199999999999998</v>
      </c>
      <c r="BW101" s="16">
        <v>0.60199999999999998</v>
      </c>
      <c r="BX101" s="16">
        <v>0.82799999999999996</v>
      </c>
      <c r="BY101" s="25" t="s">
        <v>5</v>
      </c>
      <c r="BZ101" s="25" t="s">
        <v>5</v>
      </c>
      <c r="CA101" s="4">
        <v>10</v>
      </c>
      <c r="CB101" s="7">
        <v>9.5</v>
      </c>
      <c r="CC101" s="4">
        <v>13</v>
      </c>
      <c r="CD101" s="25" t="s">
        <v>5</v>
      </c>
      <c r="CE101" s="25" t="s">
        <v>5</v>
      </c>
      <c r="CF101" s="16" t="s">
        <v>5</v>
      </c>
      <c r="CG101" s="16" t="s">
        <v>5</v>
      </c>
      <c r="CH101" s="18" t="s">
        <v>5</v>
      </c>
      <c r="CP101" s="370">
        <v>0.42499999999999999</v>
      </c>
      <c r="CQ101" s="372">
        <v>0.1875</v>
      </c>
      <c r="CS101" s="335" t="str">
        <f t="shared" si="13"/>
        <v>L3X3X3/8</v>
      </c>
      <c r="CT101" s="338">
        <v>2.11</v>
      </c>
      <c r="CV101" s="344" t="str">
        <f t="shared" si="14"/>
        <v>WT20X105.5</v>
      </c>
      <c r="CW101" s="337">
        <v>31.1</v>
      </c>
      <c r="DE101" s="335" t="str">
        <f t="shared" si="15"/>
        <v>2L4X4X1/2</v>
      </c>
      <c r="DF101" s="338">
        <v>7.5</v>
      </c>
      <c r="DH101" s="397" t="s">
        <v>1400</v>
      </c>
      <c r="DI101" s="398">
        <v>27.6</v>
      </c>
      <c r="DJ101" s="398">
        <v>26.9</v>
      </c>
      <c r="DK101" s="399">
        <v>0.49</v>
      </c>
      <c r="DL101" s="407">
        <v>49.5</v>
      </c>
      <c r="DM101" s="400">
        <v>6.7</v>
      </c>
      <c r="DN101" s="408">
        <v>278</v>
      </c>
      <c r="DO101" s="409">
        <v>243</v>
      </c>
      <c r="DP101" s="119"/>
      <c r="DQ101" s="428" t="s">
        <v>1338</v>
      </c>
      <c r="DR101" s="429">
        <v>624</v>
      </c>
      <c r="DS101" s="429">
        <v>9760</v>
      </c>
      <c r="DT101" s="431"/>
      <c r="DU101" s="431"/>
      <c r="DV101" s="431"/>
      <c r="DW101" s="431"/>
      <c r="DX101" s="432"/>
      <c r="DZ101" s="447" t="s">
        <v>1365</v>
      </c>
      <c r="EA101" s="448">
        <v>146</v>
      </c>
      <c r="EB101" s="448">
        <v>43.2</v>
      </c>
      <c r="EC101" s="448">
        <v>27.4</v>
      </c>
      <c r="ED101" s="448" t="s">
        <v>1741</v>
      </c>
      <c r="EE101" s="448">
        <v>0.60499999999999998</v>
      </c>
      <c r="EF101" s="449">
        <v>45054</v>
      </c>
      <c r="EG101" s="449">
        <v>45062</v>
      </c>
      <c r="EH101" s="448">
        <v>14</v>
      </c>
      <c r="EI101" s="448">
        <v>14</v>
      </c>
      <c r="EJ101" s="448">
        <v>0.97499999999999998</v>
      </c>
      <c r="EK101" s="448">
        <v>1</v>
      </c>
      <c r="EL101" s="448">
        <v>7.16</v>
      </c>
      <c r="EM101" s="448">
        <v>39.4</v>
      </c>
      <c r="EN101" s="448">
        <v>5660</v>
      </c>
      <c r="EO101" s="448">
        <v>414</v>
      </c>
      <c r="EP101" s="448">
        <v>11.5</v>
      </c>
      <c r="EQ101" s="448">
        <v>464</v>
      </c>
      <c r="ER101" s="448">
        <v>443</v>
      </c>
      <c r="ES101" s="448">
        <v>63.5</v>
      </c>
      <c r="ET101" s="448">
        <v>3.2</v>
      </c>
      <c r="EU101" s="450">
        <v>97.7</v>
      </c>
    </row>
    <row r="102" spans="2:151">
      <c r="B102" s="78" t="s">
        <v>7</v>
      </c>
      <c r="C102" s="79" t="s">
        <v>107</v>
      </c>
      <c r="D102" s="80" t="s">
        <v>107</v>
      </c>
      <c r="E102" s="1" t="s">
        <v>4</v>
      </c>
      <c r="F102" s="7">
        <v>5.4</v>
      </c>
      <c r="G102" s="7">
        <v>1.58</v>
      </c>
      <c r="H102" s="3" t="str">
        <f t="shared" si="12"/>
        <v>L3-1/2X3X1/4</v>
      </c>
      <c r="I102" s="7">
        <v>3</v>
      </c>
      <c r="J102" s="5" t="s">
        <v>5</v>
      </c>
      <c r="K102" s="6" t="s">
        <v>5</v>
      </c>
      <c r="L102" s="6" t="s">
        <v>5</v>
      </c>
      <c r="M102" s="6" t="s">
        <v>5</v>
      </c>
      <c r="N102" s="6" t="s">
        <v>5</v>
      </c>
      <c r="O102" s="5" t="s">
        <v>5</v>
      </c>
      <c r="P102" s="5" t="s">
        <v>5</v>
      </c>
      <c r="Q102" s="7">
        <v>3.5</v>
      </c>
      <c r="R102" s="6" t="s">
        <v>5</v>
      </c>
      <c r="S102" s="6" t="s">
        <v>5</v>
      </c>
      <c r="T102" s="5" t="s">
        <v>5</v>
      </c>
      <c r="U102" s="8" t="s">
        <v>5</v>
      </c>
      <c r="V102" s="6" t="s">
        <v>5</v>
      </c>
      <c r="W102" s="8" t="s">
        <v>5</v>
      </c>
      <c r="X102" s="22">
        <v>0.25</v>
      </c>
      <c r="Y102" s="6" t="s">
        <v>5</v>
      </c>
      <c r="Z102" s="6" t="s">
        <v>5</v>
      </c>
      <c r="AA102" s="22">
        <v>0.625</v>
      </c>
      <c r="AB102" s="8">
        <v>0.625</v>
      </c>
      <c r="AC102" s="8" t="s">
        <v>5</v>
      </c>
      <c r="AD102" s="22">
        <v>0.77300000000000002</v>
      </c>
      <c r="AE102" s="7">
        <v>1.02</v>
      </c>
      <c r="AF102" s="6" t="s">
        <v>5</v>
      </c>
      <c r="AG102" s="22">
        <v>0.22600000000000001</v>
      </c>
      <c r="AH102" s="22">
        <v>0.34</v>
      </c>
      <c r="AI102" s="6" t="s">
        <v>5</v>
      </c>
      <c r="AJ102" s="4">
        <v>14</v>
      </c>
      <c r="AK102" s="6" t="s">
        <v>5</v>
      </c>
      <c r="AL102" s="6" t="s">
        <v>5</v>
      </c>
      <c r="AM102" s="6" t="s">
        <v>5</v>
      </c>
      <c r="AN102" s="6" t="s">
        <v>5</v>
      </c>
      <c r="AO102" s="7">
        <v>1.92</v>
      </c>
      <c r="AP102" s="7">
        <v>1.39</v>
      </c>
      <c r="AQ102" s="22">
        <v>0.77300000000000002</v>
      </c>
      <c r="AR102" s="7">
        <v>1.1000000000000001</v>
      </c>
      <c r="AS102" s="7">
        <v>1.3</v>
      </c>
      <c r="AT102" s="7">
        <v>1.04</v>
      </c>
      <c r="AU102" s="22">
        <v>0.58499999999999996</v>
      </c>
      <c r="AV102" s="22">
        <v>0.90800000000000003</v>
      </c>
      <c r="AW102" s="6">
        <v>0.622</v>
      </c>
      <c r="AX102" s="22">
        <v>0.628</v>
      </c>
      <c r="AY102" s="12">
        <v>0.48599999999999999</v>
      </c>
      <c r="AZ102" s="28">
        <v>3.5999999999999997E-2</v>
      </c>
      <c r="BA102" s="28">
        <v>2.7E-2</v>
      </c>
      <c r="BB102" s="6" t="s">
        <v>5</v>
      </c>
      <c r="BC102" s="6" t="s">
        <v>5</v>
      </c>
      <c r="BD102" s="6" t="s">
        <v>5</v>
      </c>
      <c r="BE102" s="6" t="s">
        <v>5</v>
      </c>
      <c r="BF102" s="6" t="s">
        <v>5</v>
      </c>
      <c r="BG102" s="6" t="s">
        <v>5</v>
      </c>
      <c r="BH102" s="6" t="s">
        <v>5</v>
      </c>
      <c r="BI102" s="7">
        <v>1.8</v>
      </c>
      <c r="BJ102" s="24" t="s">
        <v>5</v>
      </c>
      <c r="BK102" s="23">
        <v>0.72499999999999998</v>
      </c>
      <c r="BL102" s="7">
        <v>2.6</v>
      </c>
      <c r="BM102" s="7">
        <v>2.0299999999999998</v>
      </c>
      <c r="BN102" s="6">
        <v>0.374</v>
      </c>
      <c r="BO102" s="7">
        <v>2.39</v>
      </c>
      <c r="BP102" s="7">
        <v>1.28</v>
      </c>
      <c r="BQ102" s="6">
        <v>1.22</v>
      </c>
      <c r="BR102" s="22">
        <v>0.92800000000000005</v>
      </c>
      <c r="BS102" s="16">
        <v>1.28</v>
      </c>
      <c r="BT102" s="16">
        <v>6.95</v>
      </c>
      <c r="BU102" s="16">
        <v>1.0900000000000001</v>
      </c>
      <c r="BV102" s="16">
        <v>0.48599999999999999</v>
      </c>
      <c r="BW102" s="30">
        <v>0.51</v>
      </c>
      <c r="BX102" s="30">
        <v>0.67</v>
      </c>
      <c r="BY102" s="25" t="s">
        <v>5</v>
      </c>
      <c r="BZ102" s="25" t="s">
        <v>5</v>
      </c>
      <c r="CA102" s="4">
        <v>10</v>
      </c>
      <c r="CB102" s="7">
        <v>9.5</v>
      </c>
      <c r="CC102" s="4">
        <v>13</v>
      </c>
      <c r="CD102" s="25" t="s">
        <v>5</v>
      </c>
      <c r="CE102" s="25" t="s">
        <v>5</v>
      </c>
      <c r="CF102" s="16" t="s">
        <v>5</v>
      </c>
      <c r="CG102" s="16" t="s">
        <v>5</v>
      </c>
      <c r="CH102" s="18" t="s">
        <v>5</v>
      </c>
      <c r="CP102" s="370">
        <v>0.45</v>
      </c>
      <c r="CQ102" s="372">
        <v>0.1875</v>
      </c>
      <c r="CS102" s="335" t="str">
        <f t="shared" si="13"/>
        <v>L3-1/2X3-1/2X5/16</v>
      </c>
      <c r="CT102" s="338">
        <v>2.1</v>
      </c>
      <c r="CV102" s="344" t="str">
        <f t="shared" si="14"/>
        <v>WT7X105.5</v>
      </c>
      <c r="CW102" s="337">
        <v>31</v>
      </c>
      <c r="DE102" s="335" t="str">
        <f t="shared" si="15"/>
        <v>2L6X6X5/16</v>
      </c>
      <c r="DF102" s="338">
        <v>7.34</v>
      </c>
      <c r="DH102" s="397" t="s">
        <v>1406</v>
      </c>
      <c r="DI102" s="398">
        <v>24.7</v>
      </c>
      <c r="DJ102" s="398">
        <v>26.7</v>
      </c>
      <c r="DK102" s="399">
        <v>0.46</v>
      </c>
      <c r="DL102" s="407">
        <v>52.7</v>
      </c>
      <c r="DM102" s="400">
        <v>7.78</v>
      </c>
      <c r="DN102" s="408">
        <v>244</v>
      </c>
      <c r="DO102" s="409">
        <v>213</v>
      </c>
      <c r="DP102" s="119"/>
      <c r="DQ102" s="428" t="s">
        <v>1339</v>
      </c>
      <c r="DR102" s="429">
        <v>611</v>
      </c>
      <c r="DS102" s="429">
        <v>5510</v>
      </c>
      <c r="DT102" s="431"/>
      <c r="DU102" s="431"/>
      <c r="DV102" s="431"/>
      <c r="DW102" s="431"/>
      <c r="DX102" s="432"/>
      <c r="DZ102" s="447" t="s">
        <v>1375</v>
      </c>
      <c r="EA102" s="448">
        <v>129</v>
      </c>
      <c r="EB102" s="448">
        <v>37.799999999999997</v>
      </c>
      <c r="EC102" s="448">
        <v>27.6</v>
      </c>
      <c r="ED102" s="448" t="s">
        <v>1740</v>
      </c>
      <c r="EE102" s="448">
        <v>0.61</v>
      </c>
      <c r="EF102" s="449">
        <v>45054</v>
      </c>
      <c r="EG102" s="449">
        <v>45062</v>
      </c>
      <c r="EH102" s="448">
        <v>10</v>
      </c>
      <c r="EI102" s="448">
        <v>10</v>
      </c>
      <c r="EJ102" s="448">
        <v>1.1000000000000001</v>
      </c>
      <c r="EK102" s="448" t="s">
        <v>1643</v>
      </c>
      <c r="EL102" s="448">
        <v>4.55</v>
      </c>
      <c r="EM102" s="448">
        <v>39.700000000000003</v>
      </c>
      <c r="EN102" s="448">
        <v>4760</v>
      </c>
      <c r="EO102" s="448">
        <v>345</v>
      </c>
      <c r="EP102" s="448">
        <v>11.2</v>
      </c>
      <c r="EQ102" s="448">
        <v>395</v>
      </c>
      <c r="ER102" s="448">
        <v>184</v>
      </c>
      <c r="ES102" s="448">
        <v>36.799999999999997</v>
      </c>
      <c r="ET102" s="448">
        <v>2.21</v>
      </c>
      <c r="EU102" s="450">
        <v>57.6</v>
      </c>
    </row>
    <row r="103" spans="2:151">
      <c r="B103" s="78" t="s">
        <v>7</v>
      </c>
      <c r="C103" s="79" t="s">
        <v>108</v>
      </c>
      <c r="D103" s="80" t="s">
        <v>108</v>
      </c>
      <c r="E103" s="1" t="s">
        <v>4</v>
      </c>
      <c r="F103" s="7">
        <v>9.4</v>
      </c>
      <c r="G103" s="7">
        <v>2.77</v>
      </c>
      <c r="H103" s="3" t="str">
        <f t="shared" si="12"/>
        <v>L3-1/2X2-1/2X1/2</v>
      </c>
      <c r="I103" s="7">
        <v>2.5</v>
      </c>
      <c r="J103" s="5" t="s">
        <v>5</v>
      </c>
      <c r="K103" s="6" t="s">
        <v>5</v>
      </c>
      <c r="L103" s="6" t="s">
        <v>5</v>
      </c>
      <c r="M103" s="6" t="s">
        <v>5</v>
      </c>
      <c r="N103" s="6" t="s">
        <v>5</v>
      </c>
      <c r="O103" s="5" t="s">
        <v>5</v>
      </c>
      <c r="P103" s="5" t="s">
        <v>5</v>
      </c>
      <c r="Q103" s="7">
        <v>3.5</v>
      </c>
      <c r="R103" s="6" t="s">
        <v>5</v>
      </c>
      <c r="S103" s="6" t="s">
        <v>5</v>
      </c>
      <c r="T103" s="5" t="s">
        <v>5</v>
      </c>
      <c r="U103" s="8" t="s">
        <v>5</v>
      </c>
      <c r="V103" s="6" t="s">
        <v>5</v>
      </c>
      <c r="W103" s="8" t="s">
        <v>5</v>
      </c>
      <c r="X103" s="22">
        <v>0.5</v>
      </c>
      <c r="Y103" s="6" t="s">
        <v>5</v>
      </c>
      <c r="Z103" s="6" t="s">
        <v>5</v>
      </c>
      <c r="AA103" s="22">
        <v>0.875</v>
      </c>
      <c r="AB103" s="8">
        <v>0.875</v>
      </c>
      <c r="AC103" s="8" t="s">
        <v>5</v>
      </c>
      <c r="AD103" s="22">
        <v>0.70099999999999996</v>
      </c>
      <c r="AE103" s="7">
        <v>1.2</v>
      </c>
      <c r="AF103" s="6" t="s">
        <v>5</v>
      </c>
      <c r="AG103" s="22">
        <v>0.39600000000000002</v>
      </c>
      <c r="AH103" s="22">
        <v>0.73</v>
      </c>
      <c r="AI103" s="6" t="s">
        <v>5</v>
      </c>
      <c r="AJ103" s="7">
        <v>7</v>
      </c>
      <c r="AK103" s="6" t="s">
        <v>5</v>
      </c>
      <c r="AL103" s="6" t="s">
        <v>5</v>
      </c>
      <c r="AM103" s="6" t="s">
        <v>5</v>
      </c>
      <c r="AN103" s="6" t="s">
        <v>5</v>
      </c>
      <c r="AO103" s="7">
        <v>3.24</v>
      </c>
      <c r="AP103" s="7">
        <v>2.52</v>
      </c>
      <c r="AQ103" s="7">
        <v>1.41</v>
      </c>
      <c r="AR103" s="7">
        <v>1.08</v>
      </c>
      <c r="AS103" s="7">
        <v>1.36</v>
      </c>
      <c r="AT103" s="7">
        <v>1.39</v>
      </c>
      <c r="AU103" s="22">
        <v>0.75600000000000001</v>
      </c>
      <c r="AV103" s="22">
        <v>0.70099999999999996</v>
      </c>
      <c r="AW103" s="6">
        <v>0.78100000000000003</v>
      </c>
      <c r="AX103" s="22">
        <v>0.53200000000000003</v>
      </c>
      <c r="AY103" s="12">
        <v>0.65100000000000002</v>
      </c>
      <c r="AZ103" s="22">
        <v>0.23400000000000001</v>
      </c>
      <c r="BA103" s="22">
        <v>0.159</v>
      </c>
      <c r="BB103" s="6" t="s">
        <v>5</v>
      </c>
      <c r="BC103" s="6" t="s">
        <v>5</v>
      </c>
      <c r="BD103" s="6" t="s">
        <v>5</v>
      </c>
      <c r="BE103" s="6" t="s">
        <v>5</v>
      </c>
      <c r="BF103" s="6" t="s">
        <v>5</v>
      </c>
      <c r="BG103" s="6" t="s">
        <v>5</v>
      </c>
      <c r="BH103" s="6" t="s">
        <v>5</v>
      </c>
      <c r="BI103" s="7">
        <v>1.66</v>
      </c>
      <c r="BJ103" s="24" t="s">
        <v>5</v>
      </c>
      <c r="BK103" s="23">
        <v>0.48499999999999999</v>
      </c>
      <c r="BL103" s="6">
        <v>3.82</v>
      </c>
      <c r="BM103" s="7">
        <v>1.64</v>
      </c>
      <c r="BN103" s="6">
        <v>0.77400000000000002</v>
      </c>
      <c r="BO103" s="7">
        <v>2.27</v>
      </c>
      <c r="BP103" s="7">
        <v>1.2</v>
      </c>
      <c r="BQ103" s="6">
        <v>1.1499999999999999</v>
      </c>
      <c r="BR103" s="22">
        <v>0.59799999999999998</v>
      </c>
      <c r="BS103" s="16">
        <v>2.33</v>
      </c>
      <c r="BT103" s="16">
        <v>4.9400000000000004</v>
      </c>
      <c r="BU103" s="16">
        <v>1.68</v>
      </c>
      <c r="BV103" s="16">
        <v>0.65100000000000002</v>
      </c>
      <c r="BW103" s="16">
        <v>0.67900000000000005</v>
      </c>
      <c r="BX103" s="16">
        <v>1.31</v>
      </c>
      <c r="BY103" s="25" t="s">
        <v>5</v>
      </c>
      <c r="BZ103" s="25" t="s">
        <v>5</v>
      </c>
      <c r="CA103" s="7">
        <v>9.5</v>
      </c>
      <c r="CB103" s="7">
        <v>8.5</v>
      </c>
      <c r="CC103" s="4">
        <v>12</v>
      </c>
      <c r="CD103" s="25" t="s">
        <v>5</v>
      </c>
      <c r="CE103" s="25" t="s">
        <v>5</v>
      </c>
      <c r="CF103" s="16" t="s">
        <v>5</v>
      </c>
      <c r="CG103" s="16" t="s">
        <v>5</v>
      </c>
      <c r="CH103" s="18" t="s">
        <v>5</v>
      </c>
      <c r="CP103" s="370">
        <v>0.47499999999999998</v>
      </c>
      <c r="CQ103" s="372">
        <v>0.1875</v>
      </c>
      <c r="CS103" s="335" t="str">
        <f t="shared" si="13"/>
        <v>L4X3X5/16</v>
      </c>
      <c r="CT103" s="338">
        <v>2.09</v>
      </c>
      <c r="CV103" s="344" t="str">
        <f t="shared" si="14"/>
        <v>WT18X105</v>
      </c>
      <c r="CW103" s="337">
        <v>30.9</v>
      </c>
      <c r="DE103" s="335" t="str">
        <f t="shared" si="15"/>
        <v>2L6X6X5/16</v>
      </c>
      <c r="DF103" s="338">
        <v>7.34</v>
      </c>
      <c r="DH103" s="397" t="s">
        <v>1289</v>
      </c>
      <c r="DI103" s="406">
        <v>109</v>
      </c>
      <c r="DJ103" s="398">
        <v>28</v>
      </c>
      <c r="DK103" s="400">
        <v>1.52</v>
      </c>
      <c r="DL103" s="407">
        <v>14.2</v>
      </c>
      <c r="DM103" s="400">
        <v>2.5099999999999998</v>
      </c>
      <c r="DN103" s="408">
        <v>1130</v>
      </c>
      <c r="DO103" s="409">
        <v>957</v>
      </c>
      <c r="DP103" s="119"/>
      <c r="DQ103" s="428" t="s">
        <v>1340</v>
      </c>
      <c r="DR103" s="429">
        <v>607</v>
      </c>
      <c r="DS103" s="429">
        <v>8230</v>
      </c>
      <c r="DT103" s="431"/>
      <c r="DU103" s="431"/>
      <c r="DV103" s="431"/>
      <c r="DW103" s="431"/>
      <c r="DX103" s="432"/>
      <c r="DZ103" s="447" t="s">
        <v>1385</v>
      </c>
      <c r="EA103" s="448">
        <v>114</v>
      </c>
      <c r="EB103" s="448">
        <v>33.6</v>
      </c>
      <c r="EC103" s="448">
        <v>27.3</v>
      </c>
      <c r="ED103" s="448" t="s">
        <v>1742</v>
      </c>
      <c r="EE103" s="448">
        <v>0.56999999999999995</v>
      </c>
      <c r="EF103" s="449">
        <v>45185</v>
      </c>
      <c r="EG103" s="449">
        <v>45062</v>
      </c>
      <c r="EH103" s="448">
        <v>10.1</v>
      </c>
      <c r="EI103" s="448" t="s">
        <v>1743</v>
      </c>
      <c r="EJ103" s="448">
        <v>0.93</v>
      </c>
      <c r="EK103" s="448" t="s">
        <v>1628</v>
      </c>
      <c r="EL103" s="448">
        <v>5.41</v>
      </c>
      <c r="EM103" s="448">
        <v>42.5</v>
      </c>
      <c r="EN103" s="448">
        <v>4080</v>
      </c>
      <c r="EO103" s="448">
        <v>299</v>
      </c>
      <c r="EP103" s="448">
        <v>11</v>
      </c>
      <c r="EQ103" s="448">
        <v>343</v>
      </c>
      <c r="ER103" s="448">
        <v>159</v>
      </c>
      <c r="ES103" s="448">
        <v>31.5</v>
      </c>
      <c r="ET103" s="448">
        <v>2.1800000000000002</v>
      </c>
      <c r="EU103" s="450">
        <v>49.3</v>
      </c>
    </row>
    <row r="104" spans="2:151">
      <c r="B104" s="78" t="s">
        <v>7</v>
      </c>
      <c r="C104" s="79" t="s">
        <v>109</v>
      </c>
      <c r="D104" s="80" t="s">
        <v>109</v>
      </c>
      <c r="E104" s="1" t="s">
        <v>4</v>
      </c>
      <c r="F104" s="7">
        <v>7.2</v>
      </c>
      <c r="G104" s="7">
        <v>2.12</v>
      </c>
      <c r="H104" s="3" t="str">
        <f t="shared" si="12"/>
        <v>L3-1/2X2-1/2X3/8</v>
      </c>
      <c r="I104" s="7">
        <v>2.5</v>
      </c>
      <c r="J104" s="5" t="s">
        <v>5</v>
      </c>
      <c r="K104" s="6" t="s">
        <v>5</v>
      </c>
      <c r="L104" s="6" t="s">
        <v>5</v>
      </c>
      <c r="M104" s="6" t="s">
        <v>5</v>
      </c>
      <c r="N104" s="6" t="s">
        <v>5</v>
      </c>
      <c r="O104" s="5" t="s">
        <v>5</v>
      </c>
      <c r="P104" s="5" t="s">
        <v>5</v>
      </c>
      <c r="Q104" s="7">
        <v>3.5</v>
      </c>
      <c r="R104" s="6" t="s">
        <v>5</v>
      </c>
      <c r="S104" s="6" t="s">
        <v>5</v>
      </c>
      <c r="T104" s="5" t="s">
        <v>5</v>
      </c>
      <c r="U104" s="8" t="s">
        <v>5</v>
      </c>
      <c r="V104" s="6" t="s">
        <v>5</v>
      </c>
      <c r="W104" s="8" t="s">
        <v>5</v>
      </c>
      <c r="X104" s="22">
        <v>0.375</v>
      </c>
      <c r="Y104" s="6" t="s">
        <v>5</v>
      </c>
      <c r="Z104" s="6" t="s">
        <v>5</v>
      </c>
      <c r="AA104" s="22">
        <v>0.75</v>
      </c>
      <c r="AB104" s="8">
        <v>0.75</v>
      </c>
      <c r="AC104" s="8" t="s">
        <v>5</v>
      </c>
      <c r="AD104" s="22">
        <v>0.65500000000000003</v>
      </c>
      <c r="AE104" s="7">
        <v>1.1499999999999999</v>
      </c>
      <c r="AF104" s="6" t="s">
        <v>5</v>
      </c>
      <c r="AG104" s="22">
        <v>0.30299999999999999</v>
      </c>
      <c r="AH104" s="22">
        <v>0.67300000000000004</v>
      </c>
      <c r="AI104" s="6" t="s">
        <v>5</v>
      </c>
      <c r="AJ104" s="7">
        <v>9.33</v>
      </c>
      <c r="AK104" s="6" t="s">
        <v>5</v>
      </c>
      <c r="AL104" s="6" t="s">
        <v>5</v>
      </c>
      <c r="AM104" s="6" t="s">
        <v>5</v>
      </c>
      <c r="AN104" s="6" t="s">
        <v>5</v>
      </c>
      <c r="AO104" s="7">
        <v>2.56</v>
      </c>
      <c r="AP104" s="7">
        <v>1.96</v>
      </c>
      <c r="AQ104" s="7">
        <v>1.0900000000000001</v>
      </c>
      <c r="AR104" s="7">
        <v>1.1000000000000001</v>
      </c>
      <c r="AS104" s="7">
        <v>1.0900000000000001</v>
      </c>
      <c r="AT104" s="7">
        <v>1.07</v>
      </c>
      <c r="AU104" s="22">
        <v>0.58899999999999997</v>
      </c>
      <c r="AV104" s="22">
        <v>0.71599999999999997</v>
      </c>
      <c r="AW104" s="6">
        <v>0.60899999999999999</v>
      </c>
      <c r="AX104" s="22">
        <v>0.53500000000000003</v>
      </c>
      <c r="AY104" s="12">
        <v>0.499</v>
      </c>
      <c r="AZ104" s="22">
        <v>0.10299999999999999</v>
      </c>
      <c r="BA104" s="28">
        <v>7.1400000000000005E-2</v>
      </c>
      <c r="BB104" s="6" t="s">
        <v>5</v>
      </c>
      <c r="BC104" s="6" t="s">
        <v>5</v>
      </c>
      <c r="BD104" s="6" t="s">
        <v>5</v>
      </c>
      <c r="BE104" s="6" t="s">
        <v>5</v>
      </c>
      <c r="BF104" s="6" t="s">
        <v>5</v>
      </c>
      <c r="BG104" s="6" t="s">
        <v>5</v>
      </c>
      <c r="BH104" s="6" t="s">
        <v>5</v>
      </c>
      <c r="BI104" s="7">
        <v>1.69</v>
      </c>
      <c r="BJ104" s="24" t="s">
        <v>5</v>
      </c>
      <c r="BK104" s="23">
        <v>0.495</v>
      </c>
      <c r="BL104" s="6">
        <v>3.04</v>
      </c>
      <c r="BM104" s="7">
        <v>1.68</v>
      </c>
      <c r="BN104" s="6">
        <v>0.73899999999999999</v>
      </c>
      <c r="BO104" s="7">
        <v>2.31</v>
      </c>
      <c r="BP104" s="6">
        <v>1.22</v>
      </c>
      <c r="BQ104" s="7">
        <v>1.1000000000000001</v>
      </c>
      <c r="BR104" s="22">
        <v>0.626</v>
      </c>
      <c r="BS104" s="16">
        <v>1.81</v>
      </c>
      <c r="BT104" s="16">
        <v>4.1100000000000003</v>
      </c>
      <c r="BU104" s="16">
        <v>1.32</v>
      </c>
      <c r="BV104" s="16">
        <v>0.499</v>
      </c>
      <c r="BW104" s="16">
        <v>0.55400000000000005</v>
      </c>
      <c r="BX104" s="16">
        <v>0.97299999999999998</v>
      </c>
      <c r="BY104" s="25" t="s">
        <v>5</v>
      </c>
      <c r="BZ104" s="25" t="s">
        <v>5</v>
      </c>
      <c r="CA104" s="7">
        <v>9.5</v>
      </c>
      <c r="CB104" s="7">
        <v>8.5</v>
      </c>
      <c r="CC104" s="4">
        <v>12</v>
      </c>
      <c r="CD104" s="25" t="s">
        <v>5</v>
      </c>
      <c r="CE104" s="25" t="s">
        <v>5</v>
      </c>
      <c r="CF104" s="16" t="s">
        <v>5</v>
      </c>
      <c r="CG104" s="16" t="s">
        <v>5</v>
      </c>
      <c r="CH104" s="18" t="s">
        <v>5</v>
      </c>
      <c r="CP104" s="370">
        <v>0.5</v>
      </c>
      <c r="CQ104" s="372">
        <v>0.1875</v>
      </c>
      <c r="CS104" s="335" t="str">
        <f t="shared" si="13"/>
        <v>L5X3-1/2X1/4</v>
      </c>
      <c r="CT104" s="338">
        <v>2.0699999999999998</v>
      </c>
      <c r="CV104" s="344" t="str">
        <f t="shared" si="14"/>
        <v>WT18X105</v>
      </c>
      <c r="CW104" s="337">
        <v>30.9</v>
      </c>
      <c r="DE104" s="335" t="str">
        <f t="shared" si="15"/>
        <v>2L6X6X5/16</v>
      </c>
      <c r="DF104" s="338">
        <v>7.34</v>
      </c>
      <c r="DH104" s="397" t="s">
        <v>1299</v>
      </c>
      <c r="DI104" s="398">
        <v>98.3</v>
      </c>
      <c r="DJ104" s="398">
        <v>27.5</v>
      </c>
      <c r="DK104" s="400">
        <v>1.38</v>
      </c>
      <c r="DL104" s="407">
        <v>15.6</v>
      </c>
      <c r="DM104" s="400">
        <v>2.73</v>
      </c>
      <c r="DN104" s="408">
        <v>1020</v>
      </c>
      <c r="DO104" s="409">
        <v>864</v>
      </c>
      <c r="DP104" s="119"/>
      <c r="DQ104" s="428" t="s">
        <v>1341</v>
      </c>
      <c r="DR104" s="429">
        <v>606</v>
      </c>
      <c r="DS104" s="429">
        <v>6820</v>
      </c>
      <c r="DT104" s="431"/>
      <c r="DU104" s="431"/>
      <c r="DV104" s="431"/>
      <c r="DW104" s="431"/>
      <c r="DX104" s="432"/>
      <c r="DZ104" s="447" t="s">
        <v>1393</v>
      </c>
      <c r="EA104" s="448">
        <v>102</v>
      </c>
      <c r="EB104" s="448">
        <v>30</v>
      </c>
      <c r="EC104" s="448">
        <v>27.1</v>
      </c>
      <c r="ED104" s="448" t="s">
        <v>1744</v>
      </c>
      <c r="EE104" s="448">
        <v>0.51500000000000001</v>
      </c>
      <c r="EF104" s="449">
        <v>44928</v>
      </c>
      <c r="EG104" s="449">
        <v>44930</v>
      </c>
      <c r="EH104" s="448">
        <v>10</v>
      </c>
      <c r="EI104" s="448">
        <v>10</v>
      </c>
      <c r="EJ104" s="448">
        <v>0.83</v>
      </c>
      <c r="EK104" s="448" t="s">
        <v>1620</v>
      </c>
      <c r="EL104" s="448">
        <v>6.03</v>
      </c>
      <c r="EM104" s="448">
        <v>47.1</v>
      </c>
      <c r="EN104" s="448">
        <v>3620</v>
      </c>
      <c r="EO104" s="448">
        <v>267</v>
      </c>
      <c r="EP104" s="448">
        <v>11</v>
      </c>
      <c r="EQ104" s="448">
        <v>305</v>
      </c>
      <c r="ER104" s="448">
        <v>139</v>
      </c>
      <c r="ES104" s="448">
        <v>27.8</v>
      </c>
      <c r="ET104" s="448">
        <v>2.15</v>
      </c>
      <c r="EU104" s="450">
        <v>43.4</v>
      </c>
    </row>
    <row r="105" spans="2:151">
      <c r="B105" s="78" t="s">
        <v>7</v>
      </c>
      <c r="C105" s="79" t="s">
        <v>110</v>
      </c>
      <c r="D105" s="80" t="s">
        <v>110</v>
      </c>
      <c r="E105" s="1" t="s">
        <v>4</v>
      </c>
      <c r="F105" s="7">
        <v>6.1</v>
      </c>
      <c r="G105" s="7">
        <v>1.79</v>
      </c>
      <c r="H105" s="3" t="str">
        <f t="shared" si="12"/>
        <v>L3-1/2X2-1/2X5/16</v>
      </c>
      <c r="I105" s="7">
        <v>2.5</v>
      </c>
      <c r="J105" s="5" t="s">
        <v>5</v>
      </c>
      <c r="K105" s="6" t="s">
        <v>5</v>
      </c>
      <c r="L105" s="6" t="s">
        <v>5</v>
      </c>
      <c r="M105" s="6" t="s">
        <v>5</v>
      </c>
      <c r="N105" s="6" t="s">
        <v>5</v>
      </c>
      <c r="O105" s="5" t="s">
        <v>5</v>
      </c>
      <c r="P105" s="5" t="s">
        <v>5</v>
      </c>
      <c r="Q105" s="7">
        <v>3.5</v>
      </c>
      <c r="R105" s="6" t="s">
        <v>5</v>
      </c>
      <c r="S105" s="6" t="s">
        <v>5</v>
      </c>
      <c r="T105" s="5" t="s">
        <v>5</v>
      </c>
      <c r="U105" s="8" t="s">
        <v>5</v>
      </c>
      <c r="V105" s="6" t="s">
        <v>5</v>
      </c>
      <c r="W105" s="8" t="s">
        <v>5</v>
      </c>
      <c r="X105" s="22">
        <v>0.313</v>
      </c>
      <c r="Y105" s="6" t="s">
        <v>5</v>
      </c>
      <c r="Z105" s="6" t="s">
        <v>5</v>
      </c>
      <c r="AA105" s="22">
        <v>0.68799999999999994</v>
      </c>
      <c r="AB105" s="8">
        <v>0.6875</v>
      </c>
      <c r="AC105" s="8" t="s">
        <v>5</v>
      </c>
      <c r="AD105" s="22">
        <v>0.63200000000000001</v>
      </c>
      <c r="AE105" s="7">
        <v>1.1299999999999999</v>
      </c>
      <c r="AF105" s="6" t="s">
        <v>5</v>
      </c>
      <c r="AG105" s="22">
        <v>0.25600000000000001</v>
      </c>
      <c r="AH105" s="22">
        <v>0.63600000000000001</v>
      </c>
      <c r="AI105" s="6" t="s">
        <v>5</v>
      </c>
      <c r="AJ105" s="4">
        <v>11.2</v>
      </c>
      <c r="AK105" s="6" t="s">
        <v>5</v>
      </c>
      <c r="AL105" s="6" t="s">
        <v>5</v>
      </c>
      <c r="AM105" s="6" t="s">
        <v>5</v>
      </c>
      <c r="AN105" s="6" t="s">
        <v>5</v>
      </c>
      <c r="AO105" s="7">
        <v>2.2000000000000002</v>
      </c>
      <c r="AP105" s="7">
        <v>1.67</v>
      </c>
      <c r="AQ105" s="22">
        <v>0.92500000000000004</v>
      </c>
      <c r="AR105" s="7">
        <v>1.1100000000000001</v>
      </c>
      <c r="AS105" s="22">
        <v>0.93700000000000006</v>
      </c>
      <c r="AT105" s="22">
        <v>0.9</v>
      </c>
      <c r="AU105" s="22">
        <v>0.501</v>
      </c>
      <c r="AV105" s="22">
        <v>0.72299999999999998</v>
      </c>
      <c r="AW105" s="6">
        <v>0.51800000000000002</v>
      </c>
      <c r="AX105" s="22">
        <v>0.53800000000000003</v>
      </c>
      <c r="AY105" s="12">
        <v>0.41799999999999998</v>
      </c>
      <c r="AZ105" s="28">
        <v>6.1100000000000002E-2</v>
      </c>
      <c r="BA105" s="28">
        <v>4.2599999999999999E-2</v>
      </c>
      <c r="BB105" s="6" t="s">
        <v>5</v>
      </c>
      <c r="BC105" s="6" t="s">
        <v>5</v>
      </c>
      <c r="BD105" s="6" t="s">
        <v>5</v>
      </c>
      <c r="BE105" s="6" t="s">
        <v>5</v>
      </c>
      <c r="BF105" s="6" t="s">
        <v>5</v>
      </c>
      <c r="BG105" s="6" t="s">
        <v>5</v>
      </c>
      <c r="BH105" s="6" t="s">
        <v>5</v>
      </c>
      <c r="BI105" s="7">
        <v>1.71</v>
      </c>
      <c r="BJ105" s="24" t="s">
        <v>5</v>
      </c>
      <c r="BK105" s="23">
        <v>0.5</v>
      </c>
      <c r="BL105" s="6">
        <v>2.62</v>
      </c>
      <c r="BM105" s="7">
        <v>1.71</v>
      </c>
      <c r="BN105" s="6">
        <v>0.72899999999999998</v>
      </c>
      <c r="BO105" s="7">
        <v>2.33</v>
      </c>
      <c r="BP105" s="6">
        <v>1.24</v>
      </c>
      <c r="BQ105" s="6">
        <v>1.07</v>
      </c>
      <c r="BR105" s="22">
        <v>0.63300000000000001</v>
      </c>
      <c r="BS105" s="16">
        <v>1.53</v>
      </c>
      <c r="BT105" s="16">
        <v>3.59</v>
      </c>
      <c r="BU105" s="16">
        <v>1.1200000000000001</v>
      </c>
      <c r="BV105" s="16">
        <v>0.41799999999999998</v>
      </c>
      <c r="BW105" s="16">
        <v>0.48399999999999999</v>
      </c>
      <c r="BX105" s="16">
        <v>0.81799999999999995</v>
      </c>
      <c r="BY105" s="25" t="s">
        <v>5</v>
      </c>
      <c r="BZ105" s="25" t="s">
        <v>5</v>
      </c>
      <c r="CA105" s="7">
        <v>9.5</v>
      </c>
      <c r="CB105" s="7">
        <v>8.5</v>
      </c>
      <c r="CC105" s="4">
        <v>12</v>
      </c>
      <c r="CD105" s="25" t="s">
        <v>5</v>
      </c>
      <c r="CE105" s="25" t="s">
        <v>5</v>
      </c>
      <c r="CF105" s="16" t="s">
        <v>5</v>
      </c>
      <c r="CG105" s="16" t="s">
        <v>5</v>
      </c>
      <c r="CH105" s="18" t="s">
        <v>5</v>
      </c>
      <c r="CP105" s="370">
        <v>0.52500000000000002</v>
      </c>
      <c r="CQ105" s="372">
        <v>0.25</v>
      </c>
      <c r="CS105" s="335" t="str">
        <f t="shared" si="13"/>
        <v>L3-1/2X3X5/16</v>
      </c>
      <c r="CT105" s="338">
        <v>1.95</v>
      </c>
      <c r="CV105" s="344" t="str">
        <f t="shared" si="14"/>
        <v>WT12X103.5</v>
      </c>
      <c r="CW105" s="337">
        <v>30.3</v>
      </c>
      <c r="DE105" s="335" t="str">
        <f t="shared" si="15"/>
        <v>2L5X5X3/8</v>
      </c>
      <c r="DF105" s="338">
        <v>7.3</v>
      </c>
      <c r="DH105" s="397" t="s">
        <v>1308</v>
      </c>
      <c r="DI105" s="398">
        <v>89.7</v>
      </c>
      <c r="DJ105" s="398">
        <v>27.1</v>
      </c>
      <c r="DK105" s="400">
        <v>1.26</v>
      </c>
      <c r="DL105" s="407">
        <v>17.100000000000001</v>
      </c>
      <c r="DM105" s="400">
        <v>2.94</v>
      </c>
      <c r="DN105" s="408">
        <v>922</v>
      </c>
      <c r="DO105" s="409">
        <v>789</v>
      </c>
      <c r="DP105" s="119"/>
      <c r="DQ105" s="428" t="s">
        <v>1342</v>
      </c>
      <c r="DR105" s="429">
        <v>603</v>
      </c>
      <c r="DS105" s="429">
        <v>4330</v>
      </c>
      <c r="DT105" s="431"/>
      <c r="DU105" s="431"/>
      <c r="DV105" s="431"/>
      <c r="DW105" s="431"/>
      <c r="DX105" s="432"/>
      <c r="DZ105" s="447" t="s">
        <v>1400</v>
      </c>
      <c r="EA105" s="448">
        <v>94</v>
      </c>
      <c r="EB105" s="448">
        <v>27.6</v>
      </c>
      <c r="EC105" s="448">
        <v>26.9</v>
      </c>
      <c r="ED105" s="448" t="s">
        <v>1745</v>
      </c>
      <c r="EE105" s="448">
        <v>0.49</v>
      </c>
      <c r="EF105" s="449">
        <v>44928</v>
      </c>
      <c r="EG105" s="449">
        <v>44930</v>
      </c>
      <c r="EH105" s="448">
        <v>10</v>
      </c>
      <c r="EI105" s="448">
        <v>10</v>
      </c>
      <c r="EJ105" s="448">
        <v>0.745</v>
      </c>
      <c r="EK105" s="449">
        <v>44989</v>
      </c>
      <c r="EL105" s="448">
        <v>6.7</v>
      </c>
      <c r="EM105" s="448">
        <v>49.5</v>
      </c>
      <c r="EN105" s="448">
        <v>3270</v>
      </c>
      <c r="EO105" s="448">
        <v>243</v>
      </c>
      <c r="EP105" s="448">
        <v>10.9</v>
      </c>
      <c r="EQ105" s="448">
        <v>278</v>
      </c>
      <c r="ER105" s="448">
        <v>124</v>
      </c>
      <c r="ES105" s="448">
        <v>24.8</v>
      </c>
      <c r="ET105" s="448">
        <v>2.12</v>
      </c>
      <c r="EU105" s="450">
        <v>38.799999999999997</v>
      </c>
    </row>
    <row r="106" spans="2:151">
      <c r="B106" s="78" t="s">
        <v>7</v>
      </c>
      <c r="C106" s="79" t="s">
        <v>111</v>
      </c>
      <c r="D106" s="80" t="s">
        <v>111</v>
      </c>
      <c r="E106" s="1" t="s">
        <v>4</v>
      </c>
      <c r="F106" s="7">
        <v>4.9000000000000004</v>
      </c>
      <c r="G106" s="7">
        <v>1.45</v>
      </c>
      <c r="H106" s="3" t="str">
        <f t="shared" si="12"/>
        <v>L3-1/2X2-1/2X1/4</v>
      </c>
      <c r="I106" s="7">
        <v>2.5</v>
      </c>
      <c r="J106" s="5" t="s">
        <v>5</v>
      </c>
      <c r="K106" s="6" t="s">
        <v>5</v>
      </c>
      <c r="L106" s="6" t="s">
        <v>5</v>
      </c>
      <c r="M106" s="6" t="s">
        <v>5</v>
      </c>
      <c r="N106" s="6" t="s">
        <v>5</v>
      </c>
      <c r="O106" s="5" t="s">
        <v>5</v>
      </c>
      <c r="P106" s="5" t="s">
        <v>5</v>
      </c>
      <c r="Q106" s="7">
        <v>3.5</v>
      </c>
      <c r="R106" s="6" t="s">
        <v>5</v>
      </c>
      <c r="S106" s="6" t="s">
        <v>5</v>
      </c>
      <c r="T106" s="5" t="s">
        <v>5</v>
      </c>
      <c r="U106" s="8" t="s">
        <v>5</v>
      </c>
      <c r="V106" s="6" t="s">
        <v>5</v>
      </c>
      <c r="W106" s="8" t="s">
        <v>5</v>
      </c>
      <c r="X106" s="22">
        <v>0.25</v>
      </c>
      <c r="Y106" s="6" t="s">
        <v>5</v>
      </c>
      <c r="Z106" s="6" t="s">
        <v>5</v>
      </c>
      <c r="AA106" s="22">
        <v>0.625</v>
      </c>
      <c r="AB106" s="8">
        <v>0.625</v>
      </c>
      <c r="AC106" s="8" t="s">
        <v>5</v>
      </c>
      <c r="AD106" s="22">
        <v>0.60699999999999998</v>
      </c>
      <c r="AE106" s="7">
        <v>1.1000000000000001</v>
      </c>
      <c r="AF106" s="6" t="s">
        <v>5</v>
      </c>
      <c r="AG106" s="22">
        <v>0.20699999999999999</v>
      </c>
      <c r="AH106" s="22">
        <v>0.6</v>
      </c>
      <c r="AI106" s="6" t="s">
        <v>5</v>
      </c>
      <c r="AJ106" s="4">
        <v>14</v>
      </c>
      <c r="AK106" s="6" t="s">
        <v>5</v>
      </c>
      <c r="AL106" s="6" t="s">
        <v>5</v>
      </c>
      <c r="AM106" s="6" t="s">
        <v>5</v>
      </c>
      <c r="AN106" s="6" t="s">
        <v>5</v>
      </c>
      <c r="AO106" s="7">
        <v>1.81</v>
      </c>
      <c r="AP106" s="7">
        <v>1.36</v>
      </c>
      <c r="AQ106" s="22">
        <v>0.753</v>
      </c>
      <c r="AR106" s="7">
        <v>1.1200000000000001</v>
      </c>
      <c r="AS106" s="22">
        <v>0.77500000000000002</v>
      </c>
      <c r="AT106" s="22">
        <v>0.72799999999999998</v>
      </c>
      <c r="AU106" s="22">
        <v>0.41</v>
      </c>
      <c r="AV106" s="22">
        <v>0.73099999999999998</v>
      </c>
      <c r="AW106" s="6">
        <v>0.42599999999999999</v>
      </c>
      <c r="AX106" s="22">
        <v>0.54100000000000004</v>
      </c>
      <c r="AY106" s="12">
        <v>0.34100000000000003</v>
      </c>
      <c r="AZ106" s="28">
        <v>3.2199999999999999E-2</v>
      </c>
      <c r="BA106" s="28">
        <v>2.2499999999999999E-2</v>
      </c>
      <c r="BB106" s="6" t="s">
        <v>5</v>
      </c>
      <c r="BC106" s="6" t="s">
        <v>5</v>
      </c>
      <c r="BD106" s="6" t="s">
        <v>5</v>
      </c>
      <c r="BE106" s="6" t="s">
        <v>5</v>
      </c>
      <c r="BF106" s="6" t="s">
        <v>5</v>
      </c>
      <c r="BG106" s="6" t="s">
        <v>5</v>
      </c>
      <c r="BH106" s="6" t="s">
        <v>5</v>
      </c>
      <c r="BI106" s="7">
        <v>1.72</v>
      </c>
      <c r="BJ106" s="24" t="s">
        <v>5</v>
      </c>
      <c r="BK106" s="23">
        <v>0.504</v>
      </c>
      <c r="BL106" s="6">
        <v>2.16</v>
      </c>
      <c r="BM106" s="7">
        <v>1.72</v>
      </c>
      <c r="BN106" s="22">
        <v>0.71</v>
      </c>
      <c r="BO106" s="7">
        <v>2.36</v>
      </c>
      <c r="BP106" s="6">
        <v>1.25</v>
      </c>
      <c r="BQ106" s="6">
        <v>1.04</v>
      </c>
      <c r="BR106" s="22">
        <v>0.64700000000000002</v>
      </c>
      <c r="BS106" s="16">
        <v>1.26</v>
      </c>
      <c r="BT106" s="16">
        <v>3.04</v>
      </c>
      <c r="BU106" s="16">
        <v>0.91500000000000004</v>
      </c>
      <c r="BV106" s="16">
        <v>0.34100000000000003</v>
      </c>
      <c r="BW106" s="30">
        <v>0.41</v>
      </c>
      <c r="BX106" s="16">
        <v>0.65800000000000003</v>
      </c>
      <c r="BY106" s="25" t="s">
        <v>5</v>
      </c>
      <c r="BZ106" s="25" t="s">
        <v>5</v>
      </c>
      <c r="CA106" s="7">
        <v>9.5</v>
      </c>
      <c r="CB106" s="7">
        <v>8.5</v>
      </c>
      <c r="CC106" s="4">
        <v>12</v>
      </c>
      <c r="CD106" s="25" t="s">
        <v>5</v>
      </c>
      <c r="CE106" s="25" t="s">
        <v>5</v>
      </c>
      <c r="CF106" s="16" t="s">
        <v>5</v>
      </c>
      <c r="CG106" s="16" t="s">
        <v>5</v>
      </c>
      <c r="CH106" s="18" t="s">
        <v>5</v>
      </c>
      <c r="CP106" s="370">
        <v>0.55000000000000004</v>
      </c>
      <c r="CQ106" s="372">
        <v>0.25</v>
      </c>
      <c r="CS106" s="335" t="str">
        <f t="shared" si="13"/>
        <v>L5X3X1/4</v>
      </c>
      <c r="CT106" s="338">
        <v>1.94</v>
      </c>
      <c r="CV106" s="344" t="str">
        <f t="shared" si="14"/>
        <v>WT16.5X100.5</v>
      </c>
      <c r="CW106" s="337">
        <v>29.7</v>
      </c>
      <c r="DE106" s="335" t="str">
        <f t="shared" si="15"/>
        <v>2L5X5X3/8</v>
      </c>
      <c r="DF106" s="338">
        <v>7.3</v>
      </c>
      <c r="DH106" s="397" t="s">
        <v>1315</v>
      </c>
      <c r="DI106" s="398">
        <v>81.900000000000006</v>
      </c>
      <c r="DJ106" s="398">
        <v>26.7</v>
      </c>
      <c r="DK106" s="400">
        <v>1.1599999999999999</v>
      </c>
      <c r="DL106" s="407">
        <v>18.600000000000001</v>
      </c>
      <c r="DM106" s="400">
        <v>3.18</v>
      </c>
      <c r="DN106" s="408">
        <v>835</v>
      </c>
      <c r="DO106" s="409">
        <v>718</v>
      </c>
      <c r="DP106" s="119"/>
      <c r="DQ106" s="428" t="s">
        <v>1343</v>
      </c>
      <c r="DR106" s="429">
        <v>603</v>
      </c>
      <c r="DS106" s="429">
        <v>4060</v>
      </c>
      <c r="DT106" s="431"/>
      <c r="DU106" s="431"/>
      <c r="DV106" s="431"/>
      <c r="DW106" s="431"/>
      <c r="DX106" s="432"/>
      <c r="DZ106" s="447" t="s">
        <v>1406</v>
      </c>
      <c r="EA106" s="448">
        <v>84</v>
      </c>
      <c r="EB106" s="448">
        <v>24.7</v>
      </c>
      <c r="EC106" s="448">
        <v>26.7</v>
      </c>
      <c r="ED106" s="448" t="s">
        <v>1746</v>
      </c>
      <c r="EE106" s="448">
        <v>0.46</v>
      </c>
      <c r="EF106" s="449">
        <v>45123</v>
      </c>
      <c r="EG106" s="449">
        <v>44930</v>
      </c>
      <c r="EH106" s="448">
        <v>10</v>
      </c>
      <c r="EI106" s="448">
        <v>10</v>
      </c>
      <c r="EJ106" s="448">
        <v>0.64</v>
      </c>
      <c r="EK106" s="449">
        <v>45054</v>
      </c>
      <c r="EL106" s="448">
        <v>7.78</v>
      </c>
      <c r="EM106" s="448">
        <v>52.7</v>
      </c>
      <c r="EN106" s="448">
        <v>2850</v>
      </c>
      <c r="EO106" s="448">
        <v>213</v>
      </c>
      <c r="EP106" s="448">
        <v>10.7</v>
      </c>
      <c r="EQ106" s="448">
        <v>244</v>
      </c>
      <c r="ER106" s="448">
        <v>106</v>
      </c>
      <c r="ES106" s="448">
        <v>21.2</v>
      </c>
      <c r="ET106" s="448">
        <v>2.0699999999999998</v>
      </c>
      <c r="EU106" s="450">
        <v>33.200000000000003</v>
      </c>
    </row>
    <row r="107" spans="2:151">
      <c r="B107" s="78" t="s">
        <v>7</v>
      </c>
      <c r="C107" s="79" t="s">
        <v>112</v>
      </c>
      <c r="D107" s="80" t="s">
        <v>112</v>
      </c>
      <c r="E107" s="1" t="s">
        <v>4</v>
      </c>
      <c r="F107" s="7">
        <v>9.4</v>
      </c>
      <c r="G107" s="7">
        <v>2.76</v>
      </c>
      <c r="H107" s="3" t="str">
        <f t="shared" si="12"/>
        <v>L3X3X1/2</v>
      </c>
      <c r="I107" s="7">
        <v>3</v>
      </c>
      <c r="J107" s="5" t="s">
        <v>5</v>
      </c>
      <c r="K107" s="6" t="s">
        <v>5</v>
      </c>
      <c r="L107" s="6" t="s">
        <v>5</v>
      </c>
      <c r="M107" s="6" t="s">
        <v>5</v>
      </c>
      <c r="N107" s="6" t="s">
        <v>5</v>
      </c>
      <c r="O107" s="5" t="s">
        <v>5</v>
      </c>
      <c r="P107" s="5" t="s">
        <v>5</v>
      </c>
      <c r="Q107" s="7">
        <v>3</v>
      </c>
      <c r="R107" s="6" t="s">
        <v>5</v>
      </c>
      <c r="S107" s="6" t="s">
        <v>5</v>
      </c>
      <c r="T107" s="5" t="s">
        <v>5</v>
      </c>
      <c r="U107" s="8" t="s">
        <v>5</v>
      </c>
      <c r="V107" s="6" t="s">
        <v>5</v>
      </c>
      <c r="W107" s="8" t="s">
        <v>5</v>
      </c>
      <c r="X107" s="22">
        <v>0.5</v>
      </c>
      <c r="Y107" s="6" t="s">
        <v>5</v>
      </c>
      <c r="Z107" s="6" t="s">
        <v>5</v>
      </c>
      <c r="AA107" s="22">
        <v>0.875</v>
      </c>
      <c r="AB107" s="8">
        <v>0.875</v>
      </c>
      <c r="AC107" s="8" t="s">
        <v>5</v>
      </c>
      <c r="AD107" s="22">
        <v>0.92900000000000005</v>
      </c>
      <c r="AE107" s="22">
        <v>0.92900000000000005</v>
      </c>
      <c r="AF107" s="6" t="s">
        <v>5</v>
      </c>
      <c r="AG107" s="22">
        <v>0.46</v>
      </c>
      <c r="AH107" s="22">
        <v>0.46</v>
      </c>
      <c r="AI107" s="6" t="s">
        <v>5</v>
      </c>
      <c r="AJ107" s="7">
        <v>6</v>
      </c>
      <c r="AK107" s="6" t="s">
        <v>5</v>
      </c>
      <c r="AL107" s="6" t="s">
        <v>5</v>
      </c>
      <c r="AM107" s="6" t="s">
        <v>5</v>
      </c>
      <c r="AN107" s="6" t="s">
        <v>5</v>
      </c>
      <c r="AO107" s="7">
        <v>2.2000000000000002</v>
      </c>
      <c r="AP107" s="7">
        <v>1.91</v>
      </c>
      <c r="AQ107" s="7">
        <v>1.06</v>
      </c>
      <c r="AR107" s="22">
        <v>0.89500000000000002</v>
      </c>
      <c r="AS107" s="7">
        <v>2.2000000000000002</v>
      </c>
      <c r="AT107" s="7">
        <v>1.91</v>
      </c>
      <c r="AU107" s="7">
        <v>1.06</v>
      </c>
      <c r="AV107" s="22">
        <v>0.89500000000000002</v>
      </c>
      <c r="AW107" s="6">
        <v>0.92200000000000004</v>
      </c>
      <c r="AX107" s="22">
        <v>0.57999999999999996</v>
      </c>
      <c r="AY107" s="12">
        <v>0.70399999999999996</v>
      </c>
      <c r="AZ107" s="22">
        <v>0.23</v>
      </c>
      <c r="BA107" s="22">
        <v>0.14399999999999999</v>
      </c>
      <c r="BB107" s="6" t="s">
        <v>5</v>
      </c>
      <c r="BC107" s="6" t="s">
        <v>5</v>
      </c>
      <c r="BD107" s="6" t="s">
        <v>5</v>
      </c>
      <c r="BE107" s="6" t="s">
        <v>5</v>
      </c>
      <c r="BF107" s="6" t="s">
        <v>5</v>
      </c>
      <c r="BG107" s="6" t="s">
        <v>5</v>
      </c>
      <c r="BH107" s="6" t="s">
        <v>5</v>
      </c>
      <c r="BI107" s="7">
        <v>1.59</v>
      </c>
      <c r="BJ107" s="23">
        <v>0.63</v>
      </c>
      <c r="BK107" s="24">
        <v>1</v>
      </c>
      <c r="BL107" s="6">
        <v>3.48</v>
      </c>
      <c r="BM107" s="7">
        <v>1.94</v>
      </c>
      <c r="BN107" s="2">
        <v>0</v>
      </c>
      <c r="BO107" s="7">
        <v>1.94</v>
      </c>
      <c r="BP107" s="6">
        <v>0.98399999999999999</v>
      </c>
      <c r="BQ107" s="6">
        <v>1.31</v>
      </c>
      <c r="BR107" s="22">
        <v>0.98399999999999999</v>
      </c>
      <c r="BS107" s="16">
        <v>1.79</v>
      </c>
      <c r="BT107" s="16" t="s">
        <v>5</v>
      </c>
      <c r="BU107" s="16">
        <v>1.79</v>
      </c>
      <c r="BV107" s="16">
        <v>0.93700000000000006</v>
      </c>
      <c r="BW107" s="16">
        <v>0.70399999999999996</v>
      </c>
      <c r="BX107" s="16">
        <v>0.93700000000000006</v>
      </c>
      <c r="BY107" s="25" t="s">
        <v>5</v>
      </c>
      <c r="BZ107" s="25" t="s">
        <v>5</v>
      </c>
      <c r="CA107" s="7">
        <v>9</v>
      </c>
      <c r="CB107" s="7">
        <v>9</v>
      </c>
      <c r="CC107" s="4">
        <v>12</v>
      </c>
      <c r="CD107" s="25" t="s">
        <v>5</v>
      </c>
      <c r="CE107" s="25" t="s">
        <v>5</v>
      </c>
      <c r="CF107" s="16" t="s">
        <v>5</v>
      </c>
      <c r="CG107" s="16" t="s">
        <v>5</v>
      </c>
      <c r="CH107" s="18" t="s">
        <v>5</v>
      </c>
      <c r="CP107" s="370">
        <v>0.57499999999999996</v>
      </c>
      <c r="CQ107" s="372">
        <v>0.25</v>
      </c>
      <c r="CS107" s="335" t="str">
        <f t="shared" si="13"/>
        <v>L4X4X1/4</v>
      </c>
      <c r="CT107" s="338">
        <v>1.93</v>
      </c>
      <c r="CV107" s="344" t="str">
        <f t="shared" si="14"/>
        <v>WT10.5X100.5</v>
      </c>
      <c r="CW107" s="337">
        <v>29.6</v>
      </c>
      <c r="DE107" s="335" t="str">
        <f t="shared" si="15"/>
        <v>2L5X5X3/8</v>
      </c>
      <c r="DF107" s="338">
        <v>7.3</v>
      </c>
      <c r="DH107" s="397" t="s">
        <v>1325</v>
      </c>
      <c r="DI107" s="398">
        <v>73.5</v>
      </c>
      <c r="DJ107" s="398">
        <v>26.3</v>
      </c>
      <c r="DK107" s="400">
        <v>1.04</v>
      </c>
      <c r="DL107" s="407">
        <v>20.7</v>
      </c>
      <c r="DM107" s="400">
        <v>3.49</v>
      </c>
      <c r="DN107" s="408">
        <v>744</v>
      </c>
      <c r="DO107" s="409">
        <v>644</v>
      </c>
      <c r="DP107" s="119"/>
      <c r="DQ107" s="428" t="s">
        <v>1344</v>
      </c>
      <c r="DR107" s="429">
        <v>601</v>
      </c>
      <c r="DS107" s="429">
        <v>6080</v>
      </c>
      <c r="DT107" s="431"/>
      <c r="DU107" s="431"/>
      <c r="DV107" s="431"/>
      <c r="DW107" s="431"/>
      <c r="DX107" s="432"/>
      <c r="DZ107" s="447" t="s">
        <v>1289</v>
      </c>
      <c r="EA107" s="448">
        <v>370</v>
      </c>
      <c r="EB107" s="448">
        <v>109</v>
      </c>
      <c r="EC107" s="448">
        <v>28</v>
      </c>
      <c r="ED107" s="448">
        <v>28</v>
      </c>
      <c r="EE107" s="448">
        <v>1.52</v>
      </c>
      <c r="EF107" s="448" t="s">
        <v>1663</v>
      </c>
      <c r="EG107" s="449">
        <v>44989</v>
      </c>
      <c r="EH107" s="448">
        <v>13.7</v>
      </c>
      <c r="EI107" s="448" t="s">
        <v>1747</v>
      </c>
      <c r="EJ107" s="448">
        <v>2.72</v>
      </c>
      <c r="EK107" s="448" t="s">
        <v>1632</v>
      </c>
      <c r="EL107" s="448">
        <v>2.5099999999999998</v>
      </c>
      <c r="EM107" s="448">
        <v>14.2</v>
      </c>
      <c r="EN107" s="448">
        <v>13400</v>
      </c>
      <c r="EO107" s="448">
        <v>957</v>
      </c>
      <c r="EP107" s="448">
        <v>11.1</v>
      </c>
      <c r="EQ107" s="448">
        <v>1130</v>
      </c>
      <c r="ER107" s="448">
        <v>1160</v>
      </c>
      <c r="ES107" s="448">
        <v>170</v>
      </c>
      <c r="ET107" s="448">
        <v>3.27</v>
      </c>
      <c r="EU107" s="450">
        <v>267</v>
      </c>
    </row>
    <row r="108" spans="2:151">
      <c r="B108" s="78" t="s">
        <v>7</v>
      </c>
      <c r="C108" s="79" t="s">
        <v>113</v>
      </c>
      <c r="D108" s="80" t="s">
        <v>113</v>
      </c>
      <c r="E108" s="1" t="s">
        <v>4</v>
      </c>
      <c r="F108" s="7">
        <v>8.3000000000000007</v>
      </c>
      <c r="G108" s="7">
        <v>2.4300000000000002</v>
      </c>
      <c r="H108" s="3" t="str">
        <f t="shared" si="12"/>
        <v>L3X3X7/16</v>
      </c>
      <c r="I108" s="7">
        <v>3</v>
      </c>
      <c r="J108" s="5" t="s">
        <v>5</v>
      </c>
      <c r="K108" s="6" t="s">
        <v>5</v>
      </c>
      <c r="L108" s="6" t="s">
        <v>5</v>
      </c>
      <c r="M108" s="6" t="s">
        <v>5</v>
      </c>
      <c r="N108" s="6" t="s">
        <v>5</v>
      </c>
      <c r="O108" s="5" t="s">
        <v>5</v>
      </c>
      <c r="P108" s="5" t="s">
        <v>5</v>
      </c>
      <c r="Q108" s="7">
        <v>3</v>
      </c>
      <c r="R108" s="6" t="s">
        <v>5</v>
      </c>
      <c r="S108" s="6" t="s">
        <v>5</v>
      </c>
      <c r="T108" s="5" t="s">
        <v>5</v>
      </c>
      <c r="U108" s="8" t="s">
        <v>5</v>
      </c>
      <c r="V108" s="6" t="s">
        <v>5</v>
      </c>
      <c r="W108" s="8" t="s">
        <v>5</v>
      </c>
      <c r="X108" s="22">
        <v>0.438</v>
      </c>
      <c r="Y108" s="6" t="s">
        <v>5</v>
      </c>
      <c r="Z108" s="6" t="s">
        <v>5</v>
      </c>
      <c r="AA108" s="22">
        <v>0.81299999999999994</v>
      </c>
      <c r="AB108" s="8">
        <v>0.8125</v>
      </c>
      <c r="AC108" s="8" t="s">
        <v>5</v>
      </c>
      <c r="AD108" s="22">
        <v>0.90700000000000003</v>
      </c>
      <c r="AE108" s="22">
        <v>0.90700000000000003</v>
      </c>
      <c r="AF108" s="6" t="s">
        <v>5</v>
      </c>
      <c r="AG108" s="22">
        <v>0.40500000000000003</v>
      </c>
      <c r="AH108" s="22">
        <v>0.40500000000000003</v>
      </c>
      <c r="AI108" s="6" t="s">
        <v>5</v>
      </c>
      <c r="AJ108" s="7">
        <v>6.85</v>
      </c>
      <c r="AK108" s="6" t="s">
        <v>5</v>
      </c>
      <c r="AL108" s="6" t="s">
        <v>5</v>
      </c>
      <c r="AM108" s="6" t="s">
        <v>5</v>
      </c>
      <c r="AN108" s="6" t="s">
        <v>5</v>
      </c>
      <c r="AO108" s="7">
        <v>1.98</v>
      </c>
      <c r="AP108" s="7">
        <v>1.7</v>
      </c>
      <c r="AQ108" s="22">
        <v>0.94599999999999995</v>
      </c>
      <c r="AR108" s="22">
        <v>0.90300000000000002</v>
      </c>
      <c r="AS108" s="7">
        <v>1.98</v>
      </c>
      <c r="AT108" s="7">
        <v>1.7</v>
      </c>
      <c r="AU108" s="22">
        <v>0.94599999999999995</v>
      </c>
      <c r="AV108" s="22">
        <v>0.90300000000000002</v>
      </c>
      <c r="AW108" s="6">
        <v>0.81699999999999995</v>
      </c>
      <c r="AX108" s="22">
        <v>0.57999999999999996</v>
      </c>
      <c r="AY108" s="12">
        <v>0.63800000000000001</v>
      </c>
      <c r="AZ108" s="22">
        <v>0.157</v>
      </c>
      <c r="BA108" s="22">
        <v>0.1</v>
      </c>
      <c r="BB108" s="6" t="s">
        <v>5</v>
      </c>
      <c r="BC108" s="6" t="s">
        <v>5</v>
      </c>
      <c r="BD108" s="6" t="s">
        <v>5</v>
      </c>
      <c r="BE108" s="6" t="s">
        <v>5</v>
      </c>
      <c r="BF108" s="6" t="s">
        <v>5</v>
      </c>
      <c r="BG108" s="6" t="s">
        <v>5</v>
      </c>
      <c r="BH108" s="6" t="s">
        <v>5</v>
      </c>
      <c r="BI108" s="7">
        <v>1.6</v>
      </c>
      <c r="BJ108" s="23">
        <v>0.63</v>
      </c>
      <c r="BK108" s="24">
        <v>1</v>
      </c>
      <c r="BL108" s="6">
        <v>3.14</v>
      </c>
      <c r="BM108" s="7">
        <v>1.97</v>
      </c>
      <c r="BN108" s="2">
        <v>0</v>
      </c>
      <c r="BO108" s="7">
        <v>1.97</v>
      </c>
      <c r="BP108" s="6">
        <v>0.99299999999999999</v>
      </c>
      <c r="BQ108" s="6">
        <v>1.28</v>
      </c>
      <c r="BR108" s="22">
        <v>0.99299999999999999</v>
      </c>
      <c r="BS108" s="16">
        <v>1.59</v>
      </c>
      <c r="BT108" s="16" t="s">
        <v>5</v>
      </c>
      <c r="BU108" s="16">
        <v>1.59</v>
      </c>
      <c r="BV108" s="16">
        <v>0.82299999999999995</v>
      </c>
      <c r="BW108" s="16">
        <v>0.63800000000000001</v>
      </c>
      <c r="BX108" s="16">
        <v>0.82299999999999995</v>
      </c>
      <c r="BY108" s="25" t="s">
        <v>5</v>
      </c>
      <c r="BZ108" s="25" t="s">
        <v>5</v>
      </c>
      <c r="CA108" s="7">
        <v>9</v>
      </c>
      <c r="CB108" s="7">
        <v>9</v>
      </c>
      <c r="CC108" s="4">
        <v>12</v>
      </c>
      <c r="CD108" s="25" t="s">
        <v>5</v>
      </c>
      <c r="CE108" s="25" t="s">
        <v>5</v>
      </c>
      <c r="CF108" s="16" t="s">
        <v>5</v>
      </c>
      <c r="CG108" s="16" t="s">
        <v>5</v>
      </c>
      <c r="CH108" s="18" t="s">
        <v>5</v>
      </c>
      <c r="CP108" s="370">
        <v>0.6</v>
      </c>
      <c r="CQ108" s="372">
        <v>0.25</v>
      </c>
      <c r="CS108" s="335" t="str">
        <f t="shared" si="13"/>
        <v>L4X4X1/4</v>
      </c>
      <c r="CT108" s="338">
        <v>1.93</v>
      </c>
      <c r="CV108" s="344" t="str">
        <f t="shared" si="14"/>
        <v>WT20X99.5</v>
      </c>
      <c r="CW108" s="337">
        <v>29.2</v>
      </c>
      <c r="DE108" s="335" t="str">
        <f t="shared" si="15"/>
        <v>2L4X4X7/16</v>
      </c>
      <c r="DF108" s="338">
        <v>6.6</v>
      </c>
      <c r="DH108" s="397" t="s">
        <v>1332</v>
      </c>
      <c r="DI108" s="398">
        <v>67.2</v>
      </c>
      <c r="DJ108" s="398">
        <v>26</v>
      </c>
      <c r="DK108" s="399">
        <v>0.96</v>
      </c>
      <c r="DL108" s="407">
        <v>22.5</v>
      </c>
      <c r="DM108" s="400">
        <v>3.79</v>
      </c>
      <c r="DN108" s="408">
        <v>675</v>
      </c>
      <c r="DO108" s="409">
        <v>588</v>
      </c>
      <c r="DP108" s="119"/>
      <c r="DQ108" s="428" t="s">
        <v>1345</v>
      </c>
      <c r="DR108" s="429">
        <v>598</v>
      </c>
      <c r="DS108" s="429">
        <v>9800</v>
      </c>
      <c r="DT108" s="431"/>
      <c r="DU108" s="431"/>
      <c r="DV108" s="431"/>
      <c r="DW108" s="431"/>
      <c r="DX108" s="432"/>
      <c r="DZ108" s="447" t="s">
        <v>1299</v>
      </c>
      <c r="EA108" s="448">
        <v>335</v>
      </c>
      <c r="EB108" s="448">
        <v>98.3</v>
      </c>
      <c r="EC108" s="448">
        <v>27.5</v>
      </c>
      <c r="ED108" s="448" t="s">
        <v>1748</v>
      </c>
      <c r="EE108" s="448">
        <v>1.38</v>
      </c>
      <c r="EF108" s="448" t="s">
        <v>1678</v>
      </c>
      <c r="EG108" s="449">
        <v>45246</v>
      </c>
      <c r="EH108" s="448">
        <v>13.5</v>
      </c>
      <c r="EI108" s="448" t="s">
        <v>1749</v>
      </c>
      <c r="EJ108" s="448">
        <v>2.48</v>
      </c>
      <c r="EK108" s="448" t="s">
        <v>1653</v>
      </c>
      <c r="EL108" s="448">
        <v>2.73</v>
      </c>
      <c r="EM108" s="448">
        <v>15.6</v>
      </c>
      <c r="EN108" s="448">
        <v>11900</v>
      </c>
      <c r="EO108" s="448">
        <v>864</v>
      </c>
      <c r="EP108" s="448">
        <v>11</v>
      </c>
      <c r="EQ108" s="448">
        <v>1020</v>
      </c>
      <c r="ER108" s="448">
        <v>1030</v>
      </c>
      <c r="ES108" s="448">
        <v>152</v>
      </c>
      <c r="ET108" s="448">
        <v>3.23</v>
      </c>
      <c r="EU108" s="450">
        <v>238</v>
      </c>
    </row>
    <row r="109" spans="2:151">
      <c r="B109" s="78" t="s">
        <v>7</v>
      </c>
      <c r="C109" s="79" t="s">
        <v>114</v>
      </c>
      <c r="D109" s="80" t="s">
        <v>114</v>
      </c>
      <c r="E109" s="1" t="s">
        <v>4</v>
      </c>
      <c r="F109" s="7">
        <v>7.2</v>
      </c>
      <c r="G109" s="7">
        <v>2.11</v>
      </c>
      <c r="H109" s="3" t="str">
        <f t="shared" si="12"/>
        <v>L3X3X3/8</v>
      </c>
      <c r="I109" s="7">
        <v>3</v>
      </c>
      <c r="J109" s="5" t="s">
        <v>5</v>
      </c>
      <c r="K109" s="6" t="s">
        <v>5</v>
      </c>
      <c r="L109" s="6" t="s">
        <v>5</v>
      </c>
      <c r="M109" s="6" t="s">
        <v>5</v>
      </c>
      <c r="N109" s="6" t="s">
        <v>5</v>
      </c>
      <c r="O109" s="5" t="s">
        <v>5</v>
      </c>
      <c r="P109" s="5" t="s">
        <v>5</v>
      </c>
      <c r="Q109" s="7">
        <v>3</v>
      </c>
      <c r="R109" s="6" t="s">
        <v>5</v>
      </c>
      <c r="S109" s="6" t="s">
        <v>5</v>
      </c>
      <c r="T109" s="5" t="s">
        <v>5</v>
      </c>
      <c r="U109" s="8" t="s">
        <v>5</v>
      </c>
      <c r="V109" s="6" t="s">
        <v>5</v>
      </c>
      <c r="W109" s="8" t="s">
        <v>5</v>
      </c>
      <c r="X109" s="22">
        <v>0.375</v>
      </c>
      <c r="Y109" s="6" t="s">
        <v>5</v>
      </c>
      <c r="Z109" s="6" t="s">
        <v>5</v>
      </c>
      <c r="AA109" s="22">
        <v>0.75</v>
      </c>
      <c r="AB109" s="8">
        <v>0.75</v>
      </c>
      <c r="AC109" s="8" t="s">
        <v>5</v>
      </c>
      <c r="AD109" s="22">
        <v>0.88400000000000001</v>
      </c>
      <c r="AE109" s="22">
        <v>0.88400000000000001</v>
      </c>
      <c r="AF109" s="6" t="s">
        <v>5</v>
      </c>
      <c r="AG109" s="22">
        <v>0.35199999999999998</v>
      </c>
      <c r="AH109" s="22">
        <v>0.35199999999999998</v>
      </c>
      <c r="AI109" s="6" t="s">
        <v>5</v>
      </c>
      <c r="AJ109" s="7">
        <v>8</v>
      </c>
      <c r="AK109" s="6" t="s">
        <v>5</v>
      </c>
      <c r="AL109" s="6" t="s">
        <v>5</v>
      </c>
      <c r="AM109" s="6" t="s">
        <v>5</v>
      </c>
      <c r="AN109" s="6" t="s">
        <v>5</v>
      </c>
      <c r="AO109" s="7">
        <v>1.75</v>
      </c>
      <c r="AP109" s="7">
        <v>1.48</v>
      </c>
      <c r="AQ109" s="22">
        <v>0.82499999999999996</v>
      </c>
      <c r="AR109" s="22">
        <v>0.91</v>
      </c>
      <c r="AS109" s="7">
        <v>1.75</v>
      </c>
      <c r="AT109" s="7">
        <v>1.48</v>
      </c>
      <c r="AU109" s="22">
        <v>0.82499999999999996</v>
      </c>
      <c r="AV109" s="22">
        <v>0.91</v>
      </c>
      <c r="AW109" s="6">
        <v>0.71599999999999997</v>
      </c>
      <c r="AX109" s="22">
        <v>0.58099999999999996</v>
      </c>
      <c r="AY109" s="12">
        <v>0.57299999999999995</v>
      </c>
      <c r="AZ109" s="22">
        <v>0.10100000000000001</v>
      </c>
      <c r="BA109" s="28">
        <v>6.5199999999999994E-2</v>
      </c>
      <c r="BB109" s="6" t="s">
        <v>5</v>
      </c>
      <c r="BC109" s="6" t="s">
        <v>5</v>
      </c>
      <c r="BD109" s="6" t="s">
        <v>5</v>
      </c>
      <c r="BE109" s="6" t="s">
        <v>5</v>
      </c>
      <c r="BF109" s="6" t="s">
        <v>5</v>
      </c>
      <c r="BG109" s="6" t="s">
        <v>5</v>
      </c>
      <c r="BH109" s="6" t="s">
        <v>5</v>
      </c>
      <c r="BI109" s="7">
        <v>1.62</v>
      </c>
      <c r="BJ109" s="23">
        <v>0.63</v>
      </c>
      <c r="BK109" s="24">
        <v>1</v>
      </c>
      <c r="BL109" s="6">
        <v>2.79</v>
      </c>
      <c r="BM109" s="7">
        <v>1.99</v>
      </c>
      <c r="BN109" s="2">
        <v>0</v>
      </c>
      <c r="BO109" s="7">
        <v>1.99</v>
      </c>
      <c r="BP109" s="7">
        <v>1</v>
      </c>
      <c r="BQ109" s="6">
        <v>1.25</v>
      </c>
      <c r="BR109" s="7">
        <v>1</v>
      </c>
      <c r="BS109" s="26">
        <v>1.4</v>
      </c>
      <c r="BT109" s="16" t="s">
        <v>5</v>
      </c>
      <c r="BU109" s="26">
        <v>1.4</v>
      </c>
      <c r="BV109" s="16">
        <v>0.71599999999999997</v>
      </c>
      <c r="BW109" s="16">
        <v>0.57299999999999995</v>
      </c>
      <c r="BX109" s="16">
        <v>0.71599999999999997</v>
      </c>
      <c r="BY109" s="25" t="s">
        <v>5</v>
      </c>
      <c r="BZ109" s="25" t="s">
        <v>5</v>
      </c>
      <c r="CA109" s="7">
        <v>9</v>
      </c>
      <c r="CB109" s="7">
        <v>9</v>
      </c>
      <c r="CC109" s="4">
        <v>12</v>
      </c>
      <c r="CD109" s="25" t="s">
        <v>5</v>
      </c>
      <c r="CE109" s="25" t="s">
        <v>5</v>
      </c>
      <c r="CF109" s="16" t="s">
        <v>5</v>
      </c>
      <c r="CG109" s="16" t="s">
        <v>5</v>
      </c>
      <c r="CH109" s="18" t="s">
        <v>5</v>
      </c>
      <c r="CP109" s="370">
        <v>0.625</v>
      </c>
      <c r="CQ109" s="372">
        <v>0.25</v>
      </c>
      <c r="CS109" s="335" t="str">
        <f t="shared" si="13"/>
        <v>L4X3-1/2X1/4</v>
      </c>
      <c r="CT109" s="338">
        <v>1.82</v>
      </c>
      <c r="CV109" s="344" t="str">
        <f t="shared" si="14"/>
        <v>WT13.5X97</v>
      </c>
      <c r="CW109" s="337">
        <v>28.6</v>
      </c>
      <c r="DE109" s="335" t="str">
        <f t="shared" si="15"/>
        <v>2L4X4X7/16</v>
      </c>
      <c r="DF109" s="338">
        <v>6.6</v>
      </c>
      <c r="DH109" s="397" t="s">
        <v>1341</v>
      </c>
      <c r="DI109" s="398">
        <v>60.7</v>
      </c>
      <c r="DJ109" s="398">
        <v>25.7</v>
      </c>
      <c r="DK109" s="399">
        <v>0.87</v>
      </c>
      <c r="DL109" s="407">
        <v>24.8</v>
      </c>
      <c r="DM109" s="400">
        <v>4.1399999999999997</v>
      </c>
      <c r="DN109" s="408">
        <v>606</v>
      </c>
      <c r="DO109" s="409">
        <v>531</v>
      </c>
      <c r="DP109" s="119"/>
      <c r="DQ109" s="428" t="s">
        <v>1346</v>
      </c>
      <c r="DR109" s="429">
        <v>581</v>
      </c>
      <c r="DS109" s="429">
        <v>9040</v>
      </c>
      <c r="DT109" s="431"/>
      <c r="DU109" s="431"/>
      <c r="DV109" s="431"/>
      <c r="DW109" s="431"/>
      <c r="DX109" s="432"/>
      <c r="DZ109" s="447" t="s">
        <v>1308</v>
      </c>
      <c r="EA109" s="448">
        <v>306</v>
      </c>
      <c r="EB109" s="448">
        <v>89.7</v>
      </c>
      <c r="EC109" s="448">
        <v>27.1</v>
      </c>
      <c r="ED109" s="448" t="s">
        <v>1744</v>
      </c>
      <c r="EE109" s="448">
        <v>1.26</v>
      </c>
      <c r="EF109" s="448" t="s">
        <v>1624</v>
      </c>
      <c r="EG109" s="449">
        <v>45054</v>
      </c>
      <c r="EH109" s="448">
        <v>13.4</v>
      </c>
      <c r="EI109" s="448" t="s">
        <v>1750</v>
      </c>
      <c r="EJ109" s="448">
        <v>2.2799999999999998</v>
      </c>
      <c r="EK109" s="448" t="s">
        <v>1697</v>
      </c>
      <c r="EL109" s="448">
        <v>2.94</v>
      </c>
      <c r="EM109" s="448">
        <v>17.100000000000001</v>
      </c>
      <c r="EN109" s="448">
        <v>10700</v>
      </c>
      <c r="EO109" s="448">
        <v>789</v>
      </c>
      <c r="EP109" s="448">
        <v>10.9</v>
      </c>
      <c r="EQ109" s="448">
        <v>922</v>
      </c>
      <c r="ER109" s="448">
        <v>919</v>
      </c>
      <c r="ES109" s="448">
        <v>137</v>
      </c>
      <c r="ET109" s="448">
        <v>3.2</v>
      </c>
      <c r="EU109" s="450">
        <v>214</v>
      </c>
    </row>
    <row r="110" spans="2:151">
      <c r="B110" s="78" t="s">
        <v>7</v>
      </c>
      <c r="C110" s="79" t="s">
        <v>115</v>
      </c>
      <c r="D110" s="80" t="s">
        <v>115</v>
      </c>
      <c r="E110" s="1" t="s">
        <v>4</v>
      </c>
      <c r="F110" s="7">
        <v>6.1</v>
      </c>
      <c r="G110" s="7">
        <v>1.78</v>
      </c>
      <c r="H110" s="3" t="str">
        <f t="shared" si="12"/>
        <v>L3X3X5/16</v>
      </c>
      <c r="I110" s="7">
        <v>3</v>
      </c>
      <c r="J110" s="5" t="s">
        <v>5</v>
      </c>
      <c r="K110" s="6" t="s">
        <v>5</v>
      </c>
      <c r="L110" s="6" t="s">
        <v>5</v>
      </c>
      <c r="M110" s="6" t="s">
        <v>5</v>
      </c>
      <c r="N110" s="6" t="s">
        <v>5</v>
      </c>
      <c r="O110" s="5" t="s">
        <v>5</v>
      </c>
      <c r="P110" s="5" t="s">
        <v>5</v>
      </c>
      <c r="Q110" s="7">
        <v>3</v>
      </c>
      <c r="R110" s="6" t="s">
        <v>5</v>
      </c>
      <c r="S110" s="6" t="s">
        <v>5</v>
      </c>
      <c r="T110" s="5" t="s">
        <v>5</v>
      </c>
      <c r="U110" s="8" t="s">
        <v>5</v>
      </c>
      <c r="V110" s="6" t="s">
        <v>5</v>
      </c>
      <c r="W110" s="8" t="s">
        <v>5</v>
      </c>
      <c r="X110" s="22">
        <v>0.313</v>
      </c>
      <c r="Y110" s="6" t="s">
        <v>5</v>
      </c>
      <c r="Z110" s="6" t="s">
        <v>5</v>
      </c>
      <c r="AA110" s="22">
        <v>0.68799999999999994</v>
      </c>
      <c r="AB110" s="8">
        <v>0.6875</v>
      </c>
      <c r="AC110" s="8" t="s">
        <v>5</v>
      </c>
      <c r="AD110" s="22">
        <v>0.86</v>
      </c>
      <c r="AE110" s="22">
        <v>0.86</v>
      </c>
      <c r="AF110" s="6" t="s">
        <v>5</v>
      </c>
      <c r="AG110" s="22">
        <v>0.29699999999999999</v>
      </c>
      <c r="AH110" s="22">
        <v>0.29699999999999999</v>
      </c>
      <c r="AI110" s="6" t="s">
        <v>5</v>
      </c>
      <c r="AJ110" s="7">
        <v>9.58</v>
      </c>
      <c r="AK110" s="6" t="s">
        <v>5</v>
      </c>
      <c r="AL110" s="6" t="s">
        <v>5</v>
      </c>
      <c r="AM110" s="6" t="s">
        <v>5</v>
      </c>
      <c r="AN110" s="6" t="s">
        <v>5</v>
      </c>
      <c r="AO110" s="7">
        <v>1.5</v>
      </c>
      <c r="AP110" s="7">
        <v>1.26</v>
      </c>
      <c r="AQ110" s="22">
        <v>0.69899999999999995</v>
      </c>
      <c r="AR110" s="22">
        <v>0.91800000000000004</v>
      </c>
      <c r="AS110" s="7">
        <v>1.5</v>
      </c>
      <c r="AT110" s="7">
        <v>1.26</v>
      </c>
      <c r="AU110" s="22">
        <v>0.69899999999999995</v>
      </c>
      <c r="AV110" s="22">
        <v>0.91800000000000004</v>
      </c>
      <c r="AW110" s="6">
        <v>0.60599999999999998</v>
      </c>
      <c r="AX110" s="22">
        <v>0.58299999999999996</v>
      </c>
      <c r="AY110" s="12">
        <v>0.497</v>
      </c>
      <c r="AZ110" s="28">
        <v>5.9700000000000003E-2</v>
      </c>
      <c r="BA110" s="28">
        <v>3.9E-2</v>
      </c>
      <c r="BB110" s="6" t="s">
        <v>5</v>
      </c>
      <c r="BC110" s="6" t="s">
        <v>5</v>
      </c>
      <c r="BD110" s="6" t="s">
        <v>5</v>
      </c>
      <c r="BE110" s="6" t="s">
        <v>5</v>
      </c>
      <c r="BF110" s="6" t="s">
        <v>5</v>
      </c>
      <c r="BG110" s="6" t="s">
        <v>5</v>
      </c>
      <c r="BH110" s="6" t="s">
        <v>5</v>
      </c>
      <c r="BI110" s="7">
        <v>1.64</v>
      </c>
      <c r="BJ110" s="23">
        <v>0.63</v>
      </c>
      <c r="BK110" s="24">
        <v>1</v>
      </c>
      <c r="BL110" s="7">
        <v>2.4</v>
      </c>
      <c r="BM110" s="7">
        <v>2.0099999999999998</v>
      </c>
      <c r="BN110" s="2">
        <v>0</v>
      </c>
      <c r="BO110" s="7">
        <v>2.0099999999999998</v>
      </c>
      <c r="BP110" s="6">
        <v>1.02</v>
      </c>
      <c r="BQ110" s="6">
        <v>1.22</v>
      </c>
      <c r="BR110" s="6">
        <v>1.02</v>
      </c>
      <c r="BS110" s="16">
        <v>1.19</v>
      </c>
      <c r="BT110" s="16" t="s">
        <v>5</v>
      </c>
      <c r="BU110" s="16">
        <v>1.19</v>
      </c>
      <c r="BV110" s="16">
        <v>0.59399999999999997</v>
      </c>
      <c r="BW110" s="16">
        <v>0.497</v>
      </c>
      <c r="BX110" s="16">
        <v>0.59399999999999997</v>
      </c>
      <c r="BY110" s="25" t="s">
        <v>5</v>
      </c>
      <c r="BZ110" s="25" t="s">
        <v>5</v>
      </c>
      <c r="CA110" s="7">
        <v>9</v>
      </c>
      <c r="CB110" s="7">
        <v>9</v>
      </c>
      <c r="CC110" s="4">
        <v>12</v>
      </c>
      <c r="CD110" s="25" t="s">
        <v>5</v>
      </c>
      <c r="CE110" s="25" t="s">
        <v>5</v>
      </c>
      <c r="CF110" s="16" t="s">
        <v>5</v>
      </c>
      <c r="CG110" s="16" t="s">
        <v>5</v>
      </c>
      <c r="CH110" s="18" t="s">
        <v>5</v>
      </c>
      <c r="CP110" s="370">
        <v>0.65</v>
      </c>
      <c r="CQ110" s="372">
        <v>0.25</v>
      </c>
      <c r="CS110" s="335" t="str">
        <f t="shared" si="13"/>
        <v>L3-1/2X2-1/2X5/16</v>
      </c>
      <c r="CT110" s="338">
        <v>1.79</v>
      </c>
      <c r="CV110" s="344" t="str">
        <f t="shared" si="14"/>
        <v>WT18X97</v>
      </c>
      <c r="CW110" s="337">
        <v>28.5</v>
      </c>
      <c r="DE110" s="335" t="str">
        <f t="shared" si="15"/>
        <v>2L4X4X7/16</v>
      </c>
      <c r="DF110" s="338">
        <v>6.6</v>
      </c>
      <c r="DH110" s="397" t="s">
        <v>1349</v>
      </c>
      <c r="DI110" s="398">
        <v>56.5</v>
      </c>
      <c r="DJ110" s="398">
        <v>25.5</v>
      </c>
      <c r="DK110" s="399">
        <v>0.81</v>
      </c>
      <c r="DL110" s="407">
        <v>26.6</v>
      </c>
      <c r="DM110" s="400">
        <v>4.43</v>
      </c>
      <c r="DN110" s="408">
        <v>559</v>
      </c>
      <c r="DO110" s="409">
        <v>491</v>
      </c>
      <c r="DP110" s="119"/>
      <c r="DQ110" s="428" t="s">
        <v>1347</v>
      </c>
      <c r="DR110" s="429">
        <v>570</v>
      </c>
      <c r="DS110" s="429">
        <v>7020</v>
      </c>
      <c r="DT110" s="431"/>
      <c r="DU110" s="431"/>
      <c r="DV110" s="431"/>
      <c r="DW110" s="431"/>
      <c r="DX110" s="432"/>
      <c r="DZ110" s="447" t="s">
        <v>1315</v>
      </c>
      <c r="EA110" s="448">
        <v>279</v>
      </c>
      <c r="EB110" s="448">
        <v>81.900000000000006</v>
      </c>
      <c r="EC110" s="448">
        <v>26.7</v>
      </c>
      <c r="ED110" s="448" t="s">
        <v>1746</v>
      </c>
      <c r="EE110" s="448">
        <v>1.1599999999999999</v>
      </c>
      <c r="EF110" s="448" t="s">
        <v>1640</v>
      </c>
      <c r="EG110" s="449">
        <v>45054</v>
      </c>
      <c r="EH110" s="448">
        <v>13.3</v>
      </c>
      <c r="EI110" s="448" t="s">
        <v>1751</v>
      </c>
      <c r="EJ110" s="448">
        <v>2.09</v>
      </c>
      <c r="EK110" s="448" t="s">
        <v>1641</v>
      </c>
      <c r="EL110" s="448">
        <v>3.18</v>
      </c>
      <c r="EM110" s="448">
        <v>18.600000000000001</v>
      </c>
      <c r="EN110" s="448">
        <v>9600</v>
      </c>
      <c r="EO110" s="448">
        <v>718</v>
      </c>
      <c r="EP110" s="448">
        <v>10.8</v>
      </c>
      <c r="EQ110" s="448">
        <v>835</v>
      </c>
      <c r="ER110" s="448">
        <v>823</v>
      </c>
      <c r="ES110" s="448">
        <v>124</v>
      </c>
      <c r="ET110" s="448">
        <v>3.17</v>
      </c>
      <c r="EU110" s="450">
        <v>193</v>
      </c>
    </row>
    <row r="111" spans="2:151">
      <c r="B111" s="78" t="s">
        <v>7</v>
      </c>
      <c r="C111" s="79" t="s">
        <v>116</v>
      </c>
      <c r="D111" s="80" t="s">
        <v>116</v>
      </c>
      <c r="E111" s="1" t="s">
        <v>4</v>
      </c>
      <c r="F111" s="7">
        <v>4.9000000000000004</v>
      </c>
      <c r="G111" s="7">
        <v>1.44</v>
      </c>
      <c r="H111" s="3" t="str">
        <f t="shared" si="12"/>
        <v>L3X3X1/4</v>
      </c>
      <c r="I111" s="7">
        <v>3</v>
      </c>
      <c r="J111" s="5" t="s">
        <v>5</v>
      </c>
      <c r="K111" s="6" t="s">
        <v>5</v>
      </c>
      <c r="L111" s="6" t="s">
        <v>5</v>
      </c>
      <c r="M111" s="6" t="s">
        <v>5</v>
      </c>
      <c r="N111" s="6" t="s">
        <v>5</v>
      </c>
      <c r="O111" s="5" t="s">
        <v>5</v>
      </c>
      <c r="P111" s="5" t="s">
        <v>5</v>
      </c>
      <c r="Q111" s="7">
        <v>3</v>
      </c>
      <c r="R111" s="6" t="s">
        <v>5</v>
      </c>
      <c r="S111" s="6" t="s">
        <v>5</v>
      </c>
      <c r="T111" s="5" t="s">
        <v>5</v>
      </c>
      <c r="U111" s="8" t="s">
        <v>5</v>
      </c>
      <c r="V111" s="6" t="s">
        <v>5</v>
      </c>
      <c r="W111" s="8" t="s">
        <v>5</v>
      </c>
      <c r="X111" s="22">
        <v>0.25</v>
      </c>
      <c r="Y111" s="6" t="s">
        <v>5</v>
      </c>
      <c r="Z111" s="6" t="s">
        <v>5</v>
      </c>
      <c r="AA111" s="22">
        <v>0.625</v>
      </c>
      <c r="AB111" s="8">
        <v>0.625</v>
      </c>
      <c r="AC111" s="8" t="s">
        <v>5</v>
      </c>
      <c r="AD111" s="22">
        <v>0.83599999999999997</v>
      </c>
      <c r="AE111" s="22">
        <v>0.83599999999999997</v>
      </c>
      <c r="AF111" s="6" t="s">
        <v>5</v>
      </c>
      <c r="AG111" s="22">
        <v>0.24</v>
      </c>
      <c r="AH111" s="22">
        <v>0.24</v>
      </c>
      <c r="AI111" s="6" t="s">
        <v>5</v>
      </c>
      <c r="AJ111" s="4">
        <v>12</v>
      </c>
      <c r="AK111" s="6" t="s">
        <v>5</v>
      </c>
      <c r="AL111" s="6" t="s">
        <v>5</v>
      </c>
      <c r="AM111" s="6" t="s">
        <v>5</v>
      </c>
      <c r="AN111" s="6" t="s">
        <v>5</v>
      </c>
      <c r="AO111" s="7">
        <v>1.23</v>
      </c>
      <c r="AP111" s="7">
        <v>1.02</v>
      </c>
      <c r="AQ111" s="22">
        <v>0.56899999999999995</v>
      </c>
      <c r="AR111" s="22">
        <v>0.92600000000000005</v>
      </c>
      <c r="AS111" s="7">
        <v>1.23</v>
      </c>
      <c r="AT111" s="7">
        <v>1.02</v>
      </c>
      <c r="AU111" s="22">
        <v>0.56899999999999995</v>
      </c>
      <c r="AV111" s="22">
        <v>0.92600000000000005</v>
      </c>
      <c r="AW111" s="22">
        <v>0.49</v>
      </c>
      <c r="AX111" s="22">
        <v>0.58499999999999996</v>
      </c>
      <c r="AY111" s="12">
        <v>0.41499999999999998</v>
      </c>
      <c r="AZ111" s="28">
        <v>3.1300000000000001E-2</v>
      </c>
      <c r="BA111" s="28">
        <v>2.06E-2</v>
      </c>
      <c r="BB111" s="6" t="s">
        <v>5</v>
      </c>
      <c r="BC111" s="6" t="s">
        <v>5</v>
      </c>
      <c r="BD111" s="6" t="s">
        <v>5</v>
      </c>
      <c r="BE111" s="6" t="s">
        <v>5</v>
      </c>
      <c r="BF111" s="6" t="s">
        <v>5</v>
      </c>
      <c r="BG111" s="6" t="s">
        <v>5</v>
      </c>
      <c r="BH111" s="6" t="s">
        <v>5</v>
      </c>
      <c r="BI111" s="7">
        <v>1.65</v>
      </c>
      <c r="BJ111" s="23">
        <v>0.63</v>
      </c>
      <c r="BK111" s="24">
        <v>1</v>
      </c>
      <c r="BL111" s="6">
        <v>1.97</v>
      </c>
      <c r="BM111" s="7">
        <v>2.0299999999999998</v>
      </c>
      <c r="BN111" s="2">
        <v>0</v>
      </c>
      <c r="BO111" s="7">
        <v>2.0299999999999998</v>
      </c>
      <c r="BP111" s="6">
        <v>1.03</v>
      </c>
      <c r="BQ111" s="6">
        <v>1.18</v>
      </c>
      <c r="BR111" s="6">
        <v>1.03</v>
      </c>
      <c r="BS111" s="30">
        <v>0.97</v>
      </c>
      <c r="BT111" s="16" t="s">
        <v>5</v>
      </c>
      <c r="BU111" s="30">
        <v>0.97</v>
      </c>
      <c r="BV111" s="16">
        <v>0.47599999999999998</v>
      </c>
      <c r="BW111" s="16">
        <v>0.41499999999999998</v>
      </c>
      <c r="BX111" s="16">
        <v>0.47599999999999998</v>
      </c>
      <c r="BY111" s="25" t="s">
        <v>5</v>
      </c>
      <c r="BZ111" s="25" t="s">
        <v>5</v>
      </c>
      <c r="CA111" s="7">
        <v>9</v>
      </c>
      <c r="CB111" s="7">
        <v>9</v>
      </c>
      <c r="CC111" s="4">
        <v>12</v>
      </c>
      <c r="CD111" s="25" t="s">
        <v>5</v>
      </c>
      <c r="CE111" s="25" t="s">
        <v>5</v>
      </c>
      <c r="CF111" s="16" t="s">
        <v>5</v>
      </c>
      <c r="CG111" s="16" t="s">
        <v>5</v>
      </c>
      <c r="CH111" s="18" t="s">
        <v>5</v>
      </c>
      <c r="CP111" s="370">
        <v>0.67500000000000004</v>
      </c>
      <c r="CQ111" s="372">
        <v>0.25</v>
      </c>
      <c r="CS111" s="335" t="str">
        <f t="shared" si="13"/>
        <v>L3X3X5/16</v>
      </c>
      <c r="CT111" s="338">
        <v>1.78</v>
      </c>
      <c r="CV111" s="344" t="str">
        <f t="shared" si="14"/>
        <v>WT7X96.5</v>
      </c>
      <c r="CW111" s="337">
        <v>28.4</v>
      </c>
      <c r="DE111" s="335" t="str">
        <f t="shared" si="15"/>
        <v>2L3-1/2X3-1/2X1/2</v>
      </c>
      <c r="DF111" s="338">
        <v>6.5</v>
      </c>
      <c r="DH111" s="397" t="s">
        <v>1356</v>
      </c>
      <c r="DI111" s="398">
        <v>51.7</v>
      </c>
      <c r="DJ111" s="398">
        <v>25.2</v>
      </c>
      <c r="DK111" s="399">
        <v>0.75</v>
      </c>
      <c r="DL111" s="407">
        <v>28.7</v>
      </c>
      <c r="DM111" s="400">
        <v>4.8099999999999996</v>
      </c>
      <c r="DN111" s="408">
        <v>511</v>
      </c>
      <c r="DO111" s="409">
        <v>450</v>
      </c>
      <c r="DP111" s="119"/>
      <c r="DQ111" s="428" t="s">
        <v>1348</v>
      </c>
      <c r="DR111" s="429">
        <v>559</v>
      </c>
      <c r="DS111" s="429">
        <v>8160</v>
      </c>
      <c r="DT111" s="431"/>
      <c r="DU111" s="431"/>
      <c r="DV111" s="431"/>
      <c r="DW111" s="431"/>
      <c r="DX111" s="432"/>
      <c r="DZ111" s="447" t="s">
        <v>1325</v>
      </c>
      <c r="EA111" s="448">
        <v>250</v>
      </c>
      <c r="EB111" s="448">
        <v>73.5</v>
      </c>
      <c r="EC111" s="448">
        <v>26.3</v>
      </c>
      <c r="ED111" s="448" t="s">
        <v>1752</v>
      </c>
      <c r="EE111" s="448">
        <v>1.04</v>
      </c>
      <c r="EF111" s="448" t="s">
        <v>1650</v>
      </c>
      <c r="EG111" s="449">
        <v>45185</v>
      </c>
      <c r="EH111" s="448">
        <v>13.2</v>
      </c>
      <c r="EI111" s="448" t="s">
        <v>1753</v>
      </c>
      <c r="EJ111" s="448">
        <v>1.89</v>
      </c>
      <c r="EK111" s="448" t="s">
        <v>1683</v>
      </c>
      <c r="EL111" s="448">
        <v>3.49</v>
      </c>
      <c r="EM111" s="448">
        <v>20.7</v>
      </c>
      <c r="EN111" s="448">
        <v>8490</v>
      </c>
      <c r="EO111" s="448">
        <v>644</v>
      </c>
      <c r="EP111" s="448">
        <v>10.7</v>
      </c>
      <c r="EQ111" s="448">
        <v>744</v>
      </c>
      <c r="ER111" s="448">
        <v>724</v>
      </c>
      <c r="ES111" s="448">
        <v>110</v>
      </c>
      <c r="ET111" s="448">
        <v>3.14</v>
      </c>
      <c r="EU111" s="450">
        <v>171</v>
      </c>
    </row>
    <row r="112" spans="2:151">
      <c r="B112" s="78" t="s">
        <v>7</v>
      </c>
      <c r="C112" s="79" t="s">
        <v>117</v>
      </c>
      <c r="D112" s="80" t="s">
        <v>117</v>
      </c>
      <c r="E112" s="1" t="s">
        <v>4</v>
      </c>
      <c r="F112" s="7">
        <v>3.71</v>
      </c>
      <c r="G112" s="7">
        <v>1.0900000000000001</v>
      </c>
      <c r="H112" s="3" t="str">
        <f t="shared" si="12"/>
        <v>L3X3X3/16</v>
      </c>
      <c r="I112" s="7">
        <v>3</v>
      </c>
      <c r="J112" s="5" t="s">
        <v>5</v>
      </c>
      <c r="K112" s="6" t="s">
        <v>5</v>
      </c>
      <c r="L112" s="6" t="s">
        <v>5</v>
      </c>
      <c r="M112" s="6" t="s">
        <v>5</v>
      </c>
      <c r="N112" s="6" t="s">
        <v>5</v>
      </c>
      <c r="O112" s="5" t="s">
        <v>5</v>
      </c>
      <c r="P112" s="5" t="s">
        <v>5</v>
      </c>
      <c r="Q112" s="7">
        <v>3</v>
      </c>
      <c r="R112" s="6" t="s">
        <v>5</v>
      </c>
      <c r="S112" s="6" t="s">
        <v>5</v>
      </c>
      <c r="T112" s="5" t="s">
        <v>5</v>
      </c>
      <c r="U112" s="8" t="s">
        <v>5</v>
      </c>
      <c r="V112" s="6" t="s">
        <v>5</v>
      </c>
      <c r="W112" s="8" t="s">
        <v>5</v>
      </c>
      <c r="X112" s="22">
        <v>0.188</v>
      </c>
      <c r="Y112" s="6" t="s">
        <v>5</v>
      </c>
      <c r="Z112" s="6" t="s">
        <v>5</v>
      </c>
      <c r="AA112" s="22">
        <v>0.56299999999999994</v>
      </c>
      <c r="AB112" s="8">
        <v>0.5625</v>
      </c>
      <c r="AC112" s="8" t="s">
        <v>5</v>
      </c>
      <c r="AD112" s="22">
        <v>0.81200000000000006</v>
      </c>
      <c r="AE112" s="22">
        <v>0.81200000000000006</v>
      </c>
      <c r="AF112" s="6" t="s">
        <v>5</v>
      </c>
      <c r="AG112" s="22">
        <v>0.182</v>
      </c>
      <c r="AH112" s="22">
        <v>0.182</v>
      </c>
      <c r="AI112" s="6" t="s">
        <v>5</v>
      </c>
      <c r="AJ112" s="4">
        <v>16</v>
      </c>
      <c r="AK112" s="6" t="s">
        <v>5</v>
      </c>
      <c r="AL112" s="6" t="s">
        <v>5</v>
      </c>
      <c r="AM112" s="6" t="s">
        <v>5</v>
      </c>
      <c r="AN112" s="6" t="s">
        <v>5</v>
      </c>
      <c r="AO112" s="22">
        <v>0.94799999999999995</v>
      </c>
      <c r="AP112" s="22">
        <v>0.77400000000000002</v>
      </c>
      <c r="AQ112" s="22">
        <v>0.433</v>
      </c>
      <c r="AR112" s="22">
        <v>0.93300000000000005</v>
      </c>
      <c r="AS112" s="22">
        <v>0.94799999999999995</v>
      </c>
      <c r="AT112" s="22">
        <v>0.77400000000000002</v>
      </c>
      <c r="AU112" s="22">
        <v>0.433</v>
      </c>
      <c r="AV112" s="22">
        <v>0.93300000000000005</v>
      </c>
      <c r="AW112" s="6">
        <v>0.373</v>
      </c>
      <c r="AX112" s="22">
        <v>0.58599999999999997</v>
      </c>
      <c r="AY112" s="12">
        <v>0.32400000000000001</v>
      </c>
      <c r="AZ112" s="28">
        <v>1.3599999999999999E-2</v>
      </c>
      <c r="BA112" s="31">
        <v>8.9899999999999997E-3</v>
      </c>
      <c r="BB112" s="6" t="s">
        <v>5</v>
      </c>
      <c r="BC112" s="6" t="s">
        <v>5</v>
      </c>
      <c r="BD112" s="6" t="s">
        <v>5</v>
      </c>
      <c r="BE112" s="6" t="s">
        <v>5</v>
      </c>
      <c r="BF112" s="6" t="s">
        <v>5</v>
      </c>
      <c r="BG112" s="6" t="s">
        <v>5</v>
      </c>
      <c r="BH112" s="6" t="s">
        <v>5</v>
      </c>
      <c r="BI112" s="7">
        <v>1.67</v>
      </c>
      <c r="BJ112" s="23">
        <v>0.63</v>
      </c>
      <c r="BK112" s="24">
        <v>1</v>
      </c>
      <c r="BL112" s="6">
        <v>1.52</v>
      </c>
      <c r="BM112" s="7">
        <v>2.0499999999999998</v>
      </c>
      <c r="BN112" s="2">
        <v>0</v>
      </c>
      <c r="BO112" s="7">
        <v>2.0499999999999998</v>
      </c>
      <c r="BP112" s="6">
        <v>1.04</v>
      </c>
      <c r="BQ112" s="6">
        <v>1.1499999999999999</v>
      </c>
      <c r="BR112" s="6">
        <v>1.04</v>
      </c>
      <c r="BS112" s="16">
        <v>0.74099999999999999</v>
      </c>
      <c r="BT112" s="16" t="s">
        <v>5</v>
      </c>
      <c r="BU112" s="16">
        <v>0.74099999999999999</v>
      </c>
      <c r="BV112" s="16">
        <v>0.35899999999999999</v>
      </c>
      <c r="BW112" s="16">
        <v>0.32400000000000001</v>
      </c>
      <c r="BX112" s="16">
        <v>0.35899999999999999</v>
      </c>
      <c r="BY112" s="25" t="s">
        <v>5</v>
      </c>
      <c r="BZ112" s="25" t="s">
        <v>5</v>
      </c>
      <c r="CA112" s="7">
        <v>9</v>
      </c>
      <c r="CB112" s="7">
        <v>9</v>
      </c>
      <c r="CC112" s="4">
        <v>12</v>
      </c>
      <c r="CD112" s="25" t="s">
        <v>5</v>
      </c>
      <c r="CE112" s="25" t="s">
        <v>5</v>
      </c>
      <c r="CF112" s="16" t="s">
        <v>5</v>
      </c>
      <c r="CG112" s="16" t="s">
        <v>5</v>
      </c>
      <c r="CH112" s="18" t="s">
        <v>5</v>
      </c>
      <c r="CP112" s="370">
        <v>0.7</v>
      </c>
      <c r="CQ112" s="372">
        <v>0.25</v>
      </c>
      <c r="CS112" s="335" t="str">
        <f t="shared" si="13"/>
        <v>L3X2X3/8</v>
      </c>
      <c r="CT112" s="338">
        <v>1.75</v>
      </c>
      <c r="CV112" s="344" t="str">
        <f t="shared" si="14"/>
        <v>WT12X96</v>
      </c>
      <c r="CW112" s="337">
        <v>28.2</v>
      </c>
      <c r="DE112" s="335" t="str">
        <f t="shared" si="15"/>
        <v>2L3-1/2X3-1/2X1/2</v>
      </c>
      <c r="DF112" s="338">
        <v>6.5</v>
      </c>
      <c r="DH112" s="397" t="s">
        <v>1363</v>
      </c>
      <c r="DI112" s="398">
        <v>47.8</v>
      </c>
      <c r="DJ112" s="398">
        <v>25</v>
      </c>
      <c r="DK112" s="399">
        <v>0.70499999999999996</v>
      </c>
      <c r="DL112" s="407">
        <v>30.6</v>
      </c>
      <c r="DM112" s="400">
        <v>5.31</v>
      </c>
      <c r="DN112" s="408">
        <v>468</v>
      </c>
      <c r="DO112" s="409">
        <v>414</v>
      </c>
      <c r="DP112" s="119"/>
      <c r="DQ112" s="428" t="s">
        <v>1349</v>
      </c>
      <c r="DR112" s="429">
        <v>559</v>
      </c>
      <c r="DS112" s="429">
        <v>6260</v>
      </c>
      <c r="DT112" s="431"/>
      <c r="DU112" s="431"/>
      <c r="DV112" s="431"/>
      <c r="DW112" s="431"/>
      <c r="DX112" s="432"/>
      <c r="DZ112" s="447" t="s">
        <v>1332</v>
      </c>
      <c r="EA112" s="448">
        <v>229</v>
      </c>
      <c r="EB112" s="448">
        <v>67.2</v>
      </c>
      <c r="EC112" s="448">
        <v>26</v>
      </c>
      <c r="ED112" s="448">
        <v>26</v>
      </c>
      <c r="EE112" s="448">
        <v>0.96</v>
      </c>
      <c r="EF112" s="448" t="s">
        <v>1628</v>
      </c>
      <c r="EG112" s="449">
        <v>44928</v>
      </c>
      <c r="EH112" s="448">
        <v>13.1</v>
      </c>
      <c r="EI112" s="448" t="s">
        <v>1753</v>
      </c>
      <c r="EJ112" s="448">
        <v>1.73</v>
      </c>
      <c r="EK112" s="448" t="s">
        <v>1615</v>
      </c>
      <c r="EL112" s="448">
        <v>3.79</v>
      </c>
      <c r="EM112" s="448">
        <v>22.5</v>
      </c>
      <c r="EN112" s="448">
        <v>7650</v>
      </c>
      <c r="EO112" s="448">
        <v>588</v>
      </c>
      <c r="EP112" s="448">
        <v>10.7</v>
      </c>
      <c r="EQ112" s="448">
        <v>675</v>
      </c>
      <c r="ER112" s="448">
        <v>651</v>
      </c>
      <c r="ES112" s="448">
        <v>99.4</v>
      </c>
      <c r="ET112" s="448">
        <v>3.11</v>
      </c>
      <c r="EU112" s="450">
        <v>154</v>
      </c>
    </row>
    <row r="113" spans="2:151">
      <c r="B113" s="78" t="s">
        <v>7</v>
      </c>
      <c r="C113" s="79" t="s">
        <v>118</v>
      </c>
      <c r="D113" s="80" t="s">
        <v>118</v>
      </c>
      <c r="E113" s="1" t="s">
        <v>4</v>
      </c>
      <c r="F113" s="7">
        <v>8.5</v>
      </c>
      <c r="G113" s="7">
        <v>2.5</v>
      </c>
      <c r="H113" s="3" t="str">
        <f t="shared" si="12"/>
        <v>L3X2-1/2X1/2</v>
      </c>
      <c r="I113" s="7">
        <v>2.5</v>
      </c>
      <c r="J113" s="5" t="s">
        <v>5</v>
      </c>
      <c r="K113" s="6" t="s">
        <v>5</v>
      </c>
      <c r="L113" s="6" t="s">
        <v>5</v>
      </c>
      <c r="M113" s="6" t="s">
        <v>5</v>
      </c>
      <c r="N113" s="6" t="s">
        <v>5</v>
      </c>
      <c r="O113" s="5" t="s">
        <v>5</v>
      </c>
      <c r="P113" s="5" t="s">
        <v>5</v>
      </c>
      <c r="Q113" s="7">
        <v>3</v>
      </c>
      <c r="R113" s="6" t="s">
        <v>5</v>
      </c>
      <c r="S113" s="6" t="s">
        <v>5</v>
      </c>
      <c r="T113" s="5" t="s">
        <v>5</v>
      </c>
      <c r="U113" s="8" t="s">
        <v>5</v>
      </c>
      <c r="V113" s="6" t="s">
        <v>5</v>
      </c>
      <c r="W113" s="8" t="s">
        <v>5</v>
      </c>
      <c r="X113" s="22">
        <v>0.5</v>
      </c>
      <c r="Y113" s="6" t="s">
        <v>5</v>
      </c>
      <c r="Z113" s="6" t="s">
        <v>5</v>
      </c>
      <c r="AA113" s="22">
        <v>0.875</v>
      </c>
      <c r="AB113" s="8">
        <v>0.875</v>
      </c>
      <c r="AC113" s="8" t="s">
        <v>5</v>
      </c>
      <c r="AD113" s="22">
        <v>0.746</v>
      </c>
      <c r="AE113" s="22">
        <v>0.995</v>
      </c>
      <c r="AF113" s="6" t="s">
        <v>5</v>
      </c>
      <c r="AG113" s="22">
        <v>0.41699999999999998</v>
      </c>
      <c r="AH113" s="22">
        <v>0.5</v>
      </c>
      <c r="AI113" s="6" t="s">
        <v>5</v>
      </c>
      <c r="AJ113" s="7">
        <v>6</v>
      </c>
      <c r="AK113" s="6" t="s">
        <v>5</v>
      </c>
      <c r="AL113" s="6" t="s">
        <v>5</v>
      </c>
      <c r="AM113" s="6" t="s">
        <v>5</v>
      </c>
      <c r="AN113" s="6" t="s">
        <v>5</v>
      </c>
      <c r="AO113" s="7">
        <v>2.0699999999999998</v>
      </c>
      <c r="AP113" s="7">
        <v>1.86</v>
      </c>
      <c r="AQ113" s="7">
        <v>1.03</v>
      </c>
      <c r="AR113" s="22">
        <v>0.91</v>
      </c>
      <c r="AS113" s="7">
        <v>1.29</v>
      </c>
      <c r="AT113" s="7">
        <v>1.34</v>
      </c>
      <c r="AU113" s="22">
        <v>0.73599999999999999</v>
      </c>
      <c r="AV113" s="22">
        <v>0.71799999999999997</v>
      </c>
      <c r="AW113" s="6">
        <v>0.66500000000000004</v>
      </c>
      <c r="AX113" s="22">
        <v>0.51600000000000001</v>
      </c>
      <c r="AY113" s="12">
        <v>0.56799999999999995</v>
      </c>
      <c r="AZ113" s="22">
        <v>0.21299999999999999</v>
      </c>
      <c r="BA113" s="22">
        <v>0.112</v>
      </c>
      <c r="BB113" s="6" t="s">
        <v>5</v>
      </c>
      <c r="BC113" s="6" t="s">
        <v>5</v>
      </c>
      <c r="BD113" s="6" t="s">
        <v>5</v>
      </c>
      <c r="BE113" s="6" t="s">
        <v>5</v>
      </c>
      <c r="BF113" s="6" t="s">
        <v>5</v>
      </c>
      <c r="BG113" s="6" t="s">
        <v>5</v>
      </c>
      <c r="BH113" s="6" t="s">
        <v>5</v>
      </c>
      <c r="BI113" s="7">
        <v>1.46</v>
      </c>
      <c r="BJ113" s="24" t="s">
        <v>5</v>
      </c>
      <c r="BK113" s="23">
        <v>0.66600000000000004</v>
      </c>
      <c r="BL113" s="6">
        <v>2.69</v>
      </c>
      <c r="BM113" s="7">
        <v>1.59</v>
      </c>
      <c r="BN113" s="22">
        <v>0.41399999999999998</v>
      </c>
      <c r="BO113" s="7">
        <v>1.94</v>
      </c>
      <c r="BP113" s="6">
        <v>1.05</v>
      </c>
      <c r="BQ113" s="6">
        <v>1.17</v>
      </c>
      <c r="BR113" s="22">
        <v>0.7</v>
      </c>
      <c r="BS113" s="16">
        <v>1.69</v>
      </c>
      <c r="BT113" s="26">
        <v>6.5</v>
      </c>
      <c r="BU113" s="16">
        <v>1.39</v>
      </c>
      <c r="BV113" s="16">
        <v>0.63300000000000001</v>
      </c>
      <c r="BW113" s="16">
        <v>0.56799999999999995</v>
      </c>
      <c r="BX113" s="30">
        <v>0.95</v>
      </c>
      <c r="BY113" s="25" t="s">
        <v>5</v>
      </c>
      <c r="BZ113" s="25" t="s">
        <v>5</v>
      </c>
      <c r="CA113" s="7">
        <v>8.5</v>
      </c>
      <c r="CB113" s="7">
        <v>8</v>
      </c>
      <c r="CC113" s="4">
        <v>11</v>
      </c>
      <c r="CD113" s="25" t="s">
        <v>5</v>
      </c>
      <c r="CE113" s="25" t="s">
        <v>5</v>
      </c>
      <c r="CF113" s="16" t="s">
        <v>5</v>
      </c>
      <c r="CG113" s="16" t="s">
        <v>5</v>
      </c>
      <c r="CH113" s="18" t="s">
        <v>5</v>
      </c>
      <c r="CP113" s="370">
        <v>0.72499999999999998</v>
      </c>
      <c r="CQ113" s="372">
        <v>0.25</v>
      </c>
      <c r="CS113" s="335" t="str">
        <f t="shared" si="13"/>
        <v>L2-1/2X2-1/2X3/8</v>
      </c>
      <c r="CT113" s="338">
        <v>1.73</v>
      </c>
      <c r="CV113" s="344" t="str">
        <f t="shared" si="14"/>
        <v>WT9X96</v>
      </c>
      <c r="CW113" s="337">
        <v>28.1</v>
      </c>
      <c r="DE113" s="335" t="str">
        <f t="shared" si="15"/>
        <v>2L3-1/2X3-1/2X1/2</v>
      </c>
      <c r="DF113" s="338">
        <v>6.5</v>
      </c>
      <c r="DH113" s="397" t="s">
        <v>1371</v>
      </c>
      <c r="DI113" s="398">
        <v>43</v>
      </c>
      <c r="DJ113" s="398">
        <v>24.7</v>
      </c>
      <c r="DK113" s="399">
        <v>0.65</v>
      </c>
      <c r="DL113" s="407">
        <v>33.200000000000003</v>
      </c>
      <c r="DM113" s="400">
        <v>5.92</v>
      </c>
      <c r="DN113" s="408">
        <v>418</v>
      </c>
      <c r="DO113" s="409">
        <v>371</v>
      </c>
      <c r="DP113" s="119"/>
      <c r="DQ113" s="428" t="s">
        <v>1350</v>
      </c>
      <c r="DR113" s="429">
        <v>549</v>
      </c>
      <c r="DS113" s="429">
        <v>4900</v>
      </c>
      <c r="DT113" s="431"/>
      <c r="DU113" s="431"/>
      <c r="DV113" s="431"/>
      <c r="DW113" s="431"/>
      <c r="DX113" s="432"/>
      <c r="DZ113" s="447" t="s">
        <v>1341</v>
      </c>
      <c r="EA113" s="448">
        <v>207</v>
      </c>
      <c r="EB113" s="448">
        <v>60.7</v>
      </c>
      <c r="EC113" s="448">
        <v>25.7</v>
      </c>
      <c r="ED113" s="448" t="s">
        <v>1754</v>
      </c>
      <c r="EE113" s="448">
        <v>0.87</v>
      </c>
      <c r="EF113" s="449">
        <v>45115</v>
      </c>
      <c r="EG113" s="449">
        <v>45123</v>
      </c>
      <c r="EH113" s="448">
        <v>13</v>
      </c>
      <c r="EI113" s="448">
        <v>13</v>
      </c>
      <c r="EJ113" s="448">
        <v>1.57</v>
      </c>
      <c r="EK113" s="448" t="s">
        <v>1618</v>
      </c>
      <c r="EL113" s="448">
        <v>4.1399999999999997</v>
      </c>
      <c r="EM113" s="448">
        <v>24.8</v>
      </c>
      <c r="EN113" s="448">
        <v>6820</v>
      </c>
      <c r="EO113" s="448">
        <v>531</v>
      </c>
      <c r="EP113" s="448">
        <v>10.6</v>
      </c>
      <c r="EQ113" s="448">
        <v>606</v>
      </c>
      <c r="ER113" s="448">
        <v>578</v>
      </c>
      <c r="ES113" s="448">
        <v>88.8</v>
      </c>
      <c r="ET113" s="448">
        <v>3.08</v>
      </c>
      <c r="EU113" s="450">
        <v>137</v>
      </c>
    </row>
    <row r="114" spans="2:151">
      <c r="B114" s="78" t="s">
        <v>7</v>
      </c>
      <c r="C114" s="79" t="s">
        <v>119</v>
      </c>
      <c r="D114" s="80" t="s">
        <v>119</v>
      </c>
      <c r="E114" s="1" t="s">
        <v>4</v>
      </c>
      <c r="F114" s="7">
        <v>7.6</v>
      </c>
      <c r="G114" s="7">
        <v>2.2200000000000002</v>
      </c>
      <c r="H114" s="3" t="str">
        <f t="shared" si="12"/>
        <v>L3X2-1/2X7/16</v>
      </c>
      <c r="I114" s="7">
        <v>2.5</v>
      </c>
      <c r="J114" s="5" t="s">
        <v>5</v>
      </c>
      <c r="K114" s="6" t="s">
        <v>5</v>
      </c>
      <c r="L114" s="6" t="s">
        <v>5</v>
      </c>
      <c r="M114" s="6" t="s">
        <v>5</v>
      </c>
      <c r="N114" s="6" t="s">
        <v>5</v>
      </c>
      <c r="O114" s="5" t="s">
        <v>5</v>
      </c>
      <c r="P114" s="5" t="s">
        <v>5</v>
      </c>
      <c r="Q114" s="7">
        <v>3</v>
      </c>
      <c r="R114" s="6" t="s">
        <v>5</v>
      </c>
      <c r="S114" s="6" t="s">
        <v>5</v>
      </c>
      <c r="T114" s="5" t="s">
        <v>5</v>
      </c>
      <c r="U114" s="8" t="s">
        <v>5</v>
      </c>
      <c r="V114" s="6" t="s">
        <v>5</v>
      </c>
      <c r="W114" s="8" t="s">
        <v>5</v>
      </c>
      <c r="X114" s="22">
        <v>0.438</v>
      </c>
      <c r="Y114" s="6" t="s">
        <v>5</v>
      </c>
      <c r="Z114" s="6" t="s">
        <v>5</v>
      </c>
      <c r="AA114" s="22">
        <v>0.81299999999999994</v>
      </c>
      <c r="AB114" s="8">
        <v>0.8125</v>
      </c>
      <c r="AC114" s="8" t="s">
        <v>5</v>
      </c>
      <c r="AD114" s="22">
        <v>0.72399999999999998</v>
      </c>
      <c r="AE114" s="22">
        <v>0.97199999999999998</v>
      </c>
      <c r="AF114" s="6" t="s">
        <v>5</v>
      </c>
      <c r="AG114" s="22">
        <v>0.37</v>
      </c>
      <c r="AH114" s="22">
        <v>0.46300000000000002</v>
      </c>
      <c r="AI114" s="6" t="s">
        <v>5</v>
      </c>
      <c r="AJ114" s="7">
        <v>6.85</v>
      </c>
      <c r="AK114" s="6" t="s">
        <v>5</v>
      </c>
      <c r="AL114" s="6" t="s">
        <v>5</v>
      </c>
      <c r="AM114" s="6" t="s">
        <v>5</v>
      </c>
      <c r="AN114" s="6" t="s">
        <v>5</v>
      </c>
      <c r="AO114" s="7">
        <v>1.87</v>
      </c>
      <c r="AP114" s="7">
        <v>1.66</v>
      </c>
      <c r="AQ114" s="22">
        <v>0.92100000000000004</v>
      </c>
      <c r="AR114" s="22">
        <v>0.91700000000000004</v>
      </c>
      <c r="AS114" s="7">
        <v>1.17</v>
      </c>
      <c r="AT114" s="7">
        <v>1.19</v>
      </c>
      <c r="AU114" s="22">
        <v>0.65600000000000003</v>
      </c>
      <c r="AV114" s="22">
        <v>0.72399999999999998</v>
      </c>
      <c r="AW114" s="6">
        <v>0.59399999999999997</v>
      </c>
      <c r="AX114" s="22">
        <v>0.51600000000000001</v>
      </c>
      <c r="AY114" s="12">
        <v>0.52100000000000002</v>
      </c>
      <c r="AZ114" s="22">
        <v>0.14599999999999999</v>
      </c>
      <c r="BA114" s="28">
        <v>7.7700000000000005E-2</v>
      </c>
      <c r="BB114" s="6" t="s">
        <v>5</v>
      </c>
      <c r="BC114" s="6" t="s">
        <v>5</v>
      </c>
      <c r="BD114" s="6" t="s">
        <v>5</v>
      </c>
      <c r="BE114" s="6" t="s">
        <v>5</v>
      </c>
      <c r="BF114" s="6" t="s">
        <v>5</v>
      </c>
      <c r="BG114" s="6" t="s">
        <v>5</v>
      </c>
      <c r="BH114" s="6" t="s">
        <v>5</v>
      </c>
      <c r="BI114" s="7">
        <v>1.48</v>
      </c>
      <c r="BJ114" s="24" t="s">
        <v>5</v>
      </c>
      <c r="BK114" s="23">
        <v>0.67100000000000004</v>
      </c>
      <c r="BL114" s="6">
        <v>2.4500000000000002</v>
      </c>
      <c r="BM114" s="7">
        <v>1.62</v>
      </c>
      <c r="BN114" s="22">
        <v>0.40300000000000002</v>
      </c>
      <c r="BO114" s="7">
        <v>1.97</v>
      </c>
      <c r="BP114" s="6">
        <v>1.05</v>
      </c>
      <c r="BQ114" s="6">
        <v>1.1399999999999999</v>
      </c>
      <c r="BR114" s="22">
        <v>0.71199999999999997</v>
      </c>
      <c r="BS114" s="16">
        <v>1.51</v>
      </c>
      <c r="BT114" s="16">
        <v>6.08</v>
      </c>
      <c r="BU114" s="16">
        <v>1.24</v>
      </c>
      <c r="BV114" s="16">
        <v>0.56599999999999995</v>
      </c>
      <c r="BW114" s="16">
        <v>0.52100000000000002</v>
      </c>
      <c r="BX114" s="16">
        <v>0.83399999999999996</v>
      </c>
      <c r="BY114" s="25" t="s">
        <v>5</v>
      </c>
      <c r="BZ114" s="25" t="s">
        <v>5</v>
      </c>
      <c r="CA114" s="7">
        <v>8.5</v>
      </c>
      <c r="CB114" s="7">
        <v>8</v>
      </c>
      <c r="CC114" s="4">
        <v>11</v>
      </c>
      <c r="CD114" s="25" t="s">
        <v>5</v>
      </c>
      <c r="CE114" s="25" t="s">
        <v>5</v>
      </c>
      <c r="CF114" s="16" t="s">
        <v>5</v>
      </c>
      <c r="CG114" s="16" t="s">
        <v>5</v>
      </c>
      <c r="CH114" s="18" t="s">
        <v>5</v>
      </c>
      <c r="CP114" s="370">
        <v>0.75</v>
      </c>
      <c r="CQ114" s="372">
        <v>0.25</v>
      </c>
      <c r="CS114" s="335" t="str">
        <f t="shared" si="13"/>
        <v>L3-1/2X3-1/2X1/4</v>
      </c>
      <c r="CT114" s="338">
        <v>1.7</v>
      </c>
      <c r="CV114" s="344" t="str">
        <f t="shared" si="14"/>
        <v>WT15X95.5</v>
      </c>
      <c r="CW114" s="337">
        <v>28</v>
      </c>
      <c r="DE114" s="335" t="str">
        <f t="shared" si="15"/>
        <v>2L5X5X5/16</v>
      </c>
      <c r="DF114" s="338">
        <v>6.14</v>
      </c>
      <c r="DH114" s="397" t="s">
        <v>1380</v>
      </c>
      <c r="DI114" s="398">
        <v>38.6</v>
      </c>
      <c r="DJ114" s="398">
        <v>24.5</v>
      </c>
      <c r="DK114" s="399">
        <v>0.60499999999999998</v>
      </c>
      <c r="DL114" s="407">
        <v>35.6</v>
      </c>
      <c r="DM114" s="400">
        <v>6.7</v>
      </c>
      <c r="DN114" s="408">
        <v>370</v>
      </c>
      <c r="DO114" s="409">
        <v>329</v>
      </c>
      <c r="DP114" s="119"/>
      <c r="DQ114" s="428" t="s">
        <v>1351</v>
      </c>
      <c r="DR114" s="429">
        <v>542</v>
      </c>
      <c r="DS114" s="429">
        <v>3840</v>
      </c>
      <c r="DT114" s="431"/>
      <c r="DU114" s="431"/>
      <c r="DV114" s="431"/>
      <c r="DW114" s="431"/>
      <c r="DX114" s="432"/>
      <c r="DZ114" s="447" t="s">
        <v>1349</v>
      </c>
      <c r="EA114" s="448">
        <v>192</v>
      </c>
      <c r="EB114" s="448">
        <v>56.5</v>
      </c>
      <c r="EC114" s="448">
        <v>25.5</v>
      </c>
      <c r="ED114" s="448" t="s">
        <v>1755</v>
      </c>
      <c r="EE114" s="448">
        <v>0.81</v>
      </c>
      <c r="EF114" s="448" t="s">
        <v>1620</v>
      </c>
      <c r="EG114" s="449">
        <v>45123</v>
      </c>
      <c r="EH114" s="448">
        <v>13</v>
      </c>
      <c r="EI114" s="448">
        <v>13</v>
      </c>
      <c r="EJ114" s="448">
        <v>1.46</v>
      </c>
      <c r="EK114" s="448" t="s">
        <v>1622</v>
      </c>
      <c r="EL114" s="448">
        <v>4.43</v>
      </c>
      <c r="EM114" s="448">
        <v>26.6</v>
      </c>
      <c r="EN114" s="448">
        <v>6260</v>
      </c>
      <c r="EO114" s="448">
        <v>491</v>
      </c>
      <c r="EP114" s="448">
        <v>10.5</v>
      </c>
      <c r="EQ114" s="448">
        <v>559</v>
      </c>
      <c r="ER114" s="448">
        <v>530</v>
      </c>
      <c r="ES114" s="448">
        <v>81.8</v>
      </c>
      <c r="ET114" s="448">
        <v>3.07</v>
      </c>
      <c r="EU114" s="450">
        <v>126</v>
      </c>
    </row>
    <row r="115" spans="2:151">
      <c r="B115" s="78" t="s">
        <v>7</v>
      </c>
      <c r="C115" s="79" t="s">
        <v>120</v>
      </c>
      <c r="D115" s="80" t="s">
        <v>120</v>
      </c>
      <c r="E115" s="1" t="s">
        <v>4</v>
      </c>
      <c r="F115" s="7">
        <v>6.6</v>
      </c>
      <c r="G115" s="7">
        <v>1.93</v>
      </c>
      <c r="H115" s="3" t="str">
        <f t="shared" si="12"/>
        <v>L3X2-1/2X3/8</v>
      </c>
      <c r="I115" s="7">
        <v>2.5</v>
      </c>
      <c r="J115" s="5" t="s">
        <v>5</v>
      </c>
      <c r="K115" s="6" t="s">
        <v>5</v>
      </c>
      <c r="L115" s="6" t="s">
        <v>5</v>
      </c>
      <c r="M115" s="6" t="s">
        <v>5</v>
      </c>
      <c r="N115" s="6" t="s">
        <v>5</v>
      </c>
      <c r="O115" s="5" t="s">
        <v>5</v>
      </c>
      <c r="P115" s="5" t="s">
        <v>5</v>
      </c>
      <c r="Q115" s="7">
        <v>3</v>
      </c>
      <c r="R115" s="6" t="s">
        <v>5</v>
      </c>
      <c r="S115" s="6" t="s">
        <v>5</v>
      </c>
      <c r="T115" s="5" t="s">
        <v>5</v>
      </c>
      <c r="U115" s="8" t="s">
        <v>5</v>
      </c>
      <c r="V115" s="6" t="s">
        <v>5</v>
      </c>
      <c r="W115" s="8" t="s">
        <v>5</v>
      </c>
      <c r="X115" s="22">
        <v>0.375</v>
      </c>
      <c r="Y115" s="6" t="s">
        <v>5</v>
      </c>
      <c r="Z115" s="6" t="s">
        <v>5</v>
      </c>
      <c r="AA115" s="22">
        <v>0.75</v>
      </c>
      <c r="AB115" s="8">
        <v>0.75</v>
      </c>
      <c r="AC115" s="8" t="s">
        <v>5</v>
      </c>
      <c r="AD115" s="22">
        <v>0.70099999999999996</v>
      </c>
      <c r="AE115" s="22">
        <v>0.94899999999999995</v>
      </c>
      <c r="AF115" s="6" t="s">
        <v>5</v>
      </c>
      <c r="AG115" s="22">
        <v>0.32200000000000001</v>
      </c>
      <c r="AH115" s="22">
        <v>0.42699999999999999</v>
      </c>
      <c r="AI115" s="6" t="s">
        <v>5</v>
      </c>
      <c r="AJ115" s="7">
        <v>8</v>
      </c>
      <c r="AK115" s="6" t="s">
        <v>5</v>
      </c>
      <c r="AL115" s="6" t="s">
        <v>5</v>
      </c>
      <c r="AM115" s="6" t="s">
        <v>5</v>
      </c>
      <c r="AN115" s="6" t="s">
        <v>5</v>
      </c>
      <c r="AO115" s="7">
        <v>1.65</v>
      </c>
      <c r="AP115" s="7">
        <v>1.45</v>
      </c>
      <c r="AQ115" s="22">
        <v>0.80300000000000005</v>
      </c>
      <c r="AR115" s="22">
        <v>0.92400000000000004</v>
      </c>
      <c r="AS115" s="7">
        <v>1.03</v>
      </c>
      <c r="AT115" s="7">
        <v>1.03</v>
      </c>
      <c r="AU115" s="22">
        <v>0.57299999999999995</v>
      </c>
      <c r="AV115" s="22">
        <v>0.73099999999999998</v>
      </c>
      <c r="AW115" s="6">
        <v>0.51400000000000001</v>
      </c>
      <c r="AX115" s="22">
        <v>0.51700000000000002</v>
      </c>
      <c r="AY115" s="12">
        <v>0.46300000000000002</v>
      </c>
      <c r="AZ115" s="28">
        <v>9.4299999999999995E-2</v>
      </c>
      <c r="BA115" s="28">
        <v>5.0700000000000002E-2</v>
      </c>
      <c r="BB115" s="6" t="s">
        <v>5</v>
      </c>
      <c r="BC115" s="6" t="s">
        <v>5</v>
      </c>
      <c r="BD115" s="6" t="s">
        <v>5</v>
      </c>
      <c r="BE115" s="6" t="s">
        <v>5</v>
      </c>
      <c r="BF115" s="6" t="s">
        <v>5</v>
      </c>
      <c r="BG115" s="6" t="s">
        <v>5</v>
      </c>
      <c r="BH115" s="6" t="s">
        <v>5</v>
      </c>
      <c r="BI115" s="7">
        <v>1.49</v>
      </c>
      <c r="BJ115" s="24" t="s">
        <v>5</v>
      </c>
      <c r="BK115" s="23">
        <v>0.67500000000000004</v>
      </c>
      <c r="BL115" s="6">
        <v>2.17</v>
      </c>
      <c r="BM115" s="7">
        <v>1.64</v>
      </c>
      <c r="BN115" s="22">
        <v>0.39500000000000002</v>
      </c>
      <c r="BO115" s="7">
        <v>1.99</v>
      </c>
      <c r="BP115" s="6">
        <v>1.07</v>
      </c>
      <c r="BQ115" s="6">
        <v>1.1100000000000001</v>
      </c>
      <c r="BR115" s="22">
        <v>0.72</v>
      </c>
      <c r="BS115" s="16">
        <v>1.32</v>
      </c>
      <c r="BT115" s="16">
        <v>5.49</v>
      </c>
      <c r="BU115" s="16">
        <v>1.0900000000000001</v>
      </c>
      <c r="BV115" s="30">
        <v>0.48</v>
      </c>
      <c r="BW115" s="16">
        <v>0.46300000000000002</v>
      </c>
      <c r="BX115" s="16">
        <v>0.71399999999999997</v>
      </c>
      <c r="BY115" s="25" t="s">
        <v>5</v>
      </c>
      <c r="BZ115" s="25" t="s">
        <v>5</v>
      </c>
      <c r="CA115" s="7">
        <v>8.5</v>
      </c>
      <c r="CB115" s="7">
        <v>8</v>
      </c>
      <c r="CC115" s="4">
        <v>11</v>
      </c>
      <c r="CD115" s="25" t="s">
        <v>5</v>
      </c>
      <c r="CE115" s="25" t="s">
        <v>5</v>
      </c>
      <c r="CF115" s="16" t="s">
        <v>5</v>
      </c>
      <c r="CG115" s="16" t="s">
        <v>5</v>
      </c>
      <c r="CH115" s="18" t="s">
        <v>5</v>
      </c>
      <c r="CP115" s="370">
        <v>0.77500000000000002</v>
      </c>
      <c r="CQ115" s="372">
        <v>0.3125</v>
      </c>
      <c r="CS115" s="335" t="str">
        <f t="shared" si="13"/>
        <v>L4X3X1/4</v>
      </c>
      <c r="CT115" s="338">
        <v>1.69</v>
      </c>
      <c r="CV115" s="344" t="str">
        <f t="shared" si="14"/>
        <v>WT15X95.5</v>
      </c>
      <c r="CW115" s="337">
        <v>28</v>
      </c>
      <c r="DE115" s="335" t="str">
        <f t="shared" si="15"/>
        <v>2L5X5X5/16</v>
      </c>
      <c r="DF115" s="338">
        <v>6.14</v>
      </c>
      <c r="DH115" s="397" t="s">
        <v>1387</v>
      </c>
      <c r="DI115" s="398">
        <v>34.4</v>
      </c>
      <c r="DJ115" s="398">
        <v>24.3</v>
      </c>
      <c r="DK115" s="399">
        <v>0.55000000000000004</v>
      </c>
      <c r="DL115" s="407">
        <v>39.200000000000003</v>
      </c>
      <c r="DM115" s="400">
        <v>7.53</v>
      </c>
      <c r="DN115" s="408">
        <v>327</v>
      </c>
      <c r="DO115" s="409">
        <v>291</v>
      </c>
      <c r="DP115" s="119"/>
      <c r="DQ115" s="428" t="s">
        <v>1352</v>
      </c>
      <c r="DR115" s="429">
        <v>537</v>
      </c>
      <c r="DS115" s="429">
        <v>3550</v>
      </c>
      <c r="DT115" s="431"/>
      <c r="DU115" s="431"/>
      <c r="DV115" s="431"/>
      <c r="DW115" s="431"/>
      <c r="DX115" s="432"/>
      <c r="DZ115" s="447" t="s">
        <v>1356</v>
      </c>
      <c r="EA115" s="448">
        <v>176</v>
      </c>
      <c r="EB115" s="448">
        <v>51.7</v>
      </c>
      <c r="EC115" s="448">
        <v>25.2</v>
      </c>
      <c r="ED115" s="448" t="s">
        <v>1756</v>
      </c>
      <c r="EE115" s="448">
        <v>0.75</v>
      </c>
      <c r="EF115" s="449">
        <v>44989</v>
      </c>
      <c r="EG115" s="449">
        <v>44993</v>
      </c>
      <c r="EH115" s="448">
        <v>12.9</v>
      </c>
      <c r="EI115" s="448" t="s">
        <v>1757</v>
      </c>
      <c r="EJ115" s="448">
        <v>1.34</v>
      </c>
      <c r="EK115" s="448" t="s">
        <v>1634</v>
      </c>
      <c r="EL115" s="448">
        <v>4.8099999999999996</v>
      </c>
      <c r="EM115" s="448">
        <v>28.7</v>
      </c>
      <c r="EN115" s="448">
        <v>5680</v>
      </c>
      <c r="EO115" s="448">
        <v>450</v>
      </c>
      <c r="EP115" s="448">
        <v>10.5</v>
      </c>
      <c r="EQ115" s="448">
        <v>511</v>
      </c>
      <c r="ER115" s="448">
        <v>479</v>
      </c>
      <c r="ES115" s="448">
        <v>74.3</v>
      </c>
      <c r="ET115" s="448">
        <v>3.04</v>
      </c>
      <c r="EU115" s="450">
        <v>115</v>
      </c>
    </row>
    <row r="116" spans="2:151">
      <c r="B116" s="78" t="s">
        <v>7</v>
      </c>
      <c r="C116" s="79" t="s">
        <v>121</v>
      </c>
      <c r="D116" s="80" t="s">
        <v>121</v>
      </c>
      <c r="E116" s="1" t="s">
        <v>4</v>
      </c>
      <c r="F116" s="7">
        <v>5.6</v>
      </c>
      <c r="G116" s="7">
        <v>1.63</v>
      </c>
      <c r="H116" s="3" t="str">
        <f t="shared" si="12"/>
        <v>L3X2-1/2X5/16</v>
      </c>
      <c r="I116" s="7">
        <v>2.5</v>
      </c>
      <c r="J116" s="5" t="s">
        <v>5</v>
      </c>
      <c r="K116" s="6" t="s">
        <v>5</v>
      </c>
      <c r="L116" s="6" t="s">
        <v>5</v>
      </c>
      <c r="M116" s="6" t="s">
        <v>5</v>
      </c>
      <c r="N116" s="6" t="s">
        <v>5</v>
      </c>
      <c r="O116" s="5" t="s">
        <v>5</v>
      </c>
      <c r="P116" s="5" t="s">
        <v>5</v>
      </c>
      <c r="Q116" s="7">
        <v>3</v>
      </c>
      <c r="R116" s="6" t="s">
        <v>5</v>
      </c>
      <c r="S116" s="6" t="s">
        <v>5</v>
      </c>
      <c r="T116" s="5" t="s">
        <v>5</v>
      </c>
      <c r="U116" s="8" t="s">
        <v>5</v>
      </c>
      <c r="V116" s="6" t="s">
        <v>5</v>
      </c>
      <c r="W116" s="8" t="s">
        <v>5</v>
      </c>
      <c r="X116" s="22">
        <v>0.313</v>
      </c>
      <c r="Y116" s="6" t="s">
        <v>5</v>
      </c>
      <c r="Z116" s="6" t="s">
        <v>5</v>
      </c>
      <c r="AA116" s="22">
        <v>0.68799999999999994</v>
      </c>
      <c r="AB116" s="8">
        <v>0.6875</v>
      </c>
      <c r="AC116" s="8" t="s">
        <v>5</v>
      </c>
      <c r="AD116" s="22">
        <v>0.67700000000000005</v>
      </c>
      <c r="AE116" s="22">
        <v>0.92500000000000004</v>
      </c>
      <c r="AF116" s="6" t="s">
        <v>5</v>
      </c>
      <c r="AG116" s="22">
        <v>0.27200000000000002</v>
      </c>
      <c r="AH116" s="22">
        <v>0.39200000000000002</v>
      </c>
      <c r="AI116" s="6" t="s">
        <v>5</v>
      </c>
      <c r="AJ116" s="7">
        <v>9.58</v>
      </c>
      <c r="AK116" s="6" t="s">
        <v>5</v>
      </c>
      <c r="AL116" s="6" t="s">
        <v>5</v>
      </c>
      <c r="AM116" s="6" t="s">
        <v>5</v>
      </c>
      <c r="AN116" s="6" t="s">
        <v>5</v>
      </c>
      <c r="AO116" s="7">
        <v>1.41</v>
      </c>
      <c r="AP116" s="7">
        <v>1.23</v>
      </c>
      <c r="AQ116" s="22">
        <v>0.68100000000000005</v>
      </c>
      <c r="AR116" s="22">
        <v>0.93200000000000005</v>
      </c>
      <c r="AS116" s="22">
        <v>0.88800000000000001</v>
      </c>
      <c r="AT116" s="22">
        <v>0.873</v>
      </c>
      <c r="AU116" s="22">
        <v>0.48699999999999999</v>
      </c>
      <c r="AV116" s="22">
        <v>0.73899999999999999</v>
      </c>
      <c r="AW116" s="6">
        <v>0.435</v>
      </c>
      <c r="AX116" s="22">
        <v>0.51800000000000002</v>
      </c>
      <c r="AY116" s="12">
        <v>0.40300000000000002</v>
      </c>
      <c r="AZ116" s="28">
        <v>5.6000000000000001E-2</v>
      </c>
      <c r="BA116" s="28">
        <v>3.04E-2</v>
      </c>
      <c r="BB116" s="6" t="s">
        <v>5</v>
      </c>
      <c r="BC116" s="6" t="s">
        <v>5</v>
      </c>
      <c r="BD116" s="6" t="s">
        <v>5</v>
      </c>
      <c r="BE116" s="6" t="s">
        <v>5</v>
      </c>
      <c r="BF116" s="6" t="s">
        <v>5</v>
      </c>
      <c r="BG116" s="6" t="s">
        <v>5</v>
      </c>
      <c r="BH116" s="6" t="s">
        <v>5</v>
      </c>
      <c r="BI116" s="7">
        <v>1.51</v>
      </c>
      <c r="BJ116" s="24" t="s">
        <v>5</v>
      </c>
      <c r="BK116" s="23">
        <v>0.67900000000000005</v>
      </c>
      <c r="BL116" s="6">
        <v>1.86</v>
      </c>
      <c r="BM116" s="7">
        <v>1.66</v>
      </c>
      <c r="BN116" s="22">
        <v>0.38300000000000001</v>
      </c>
      <c r="BO116" s="7">
        <v>2.0099999999999998</v>
      </c>
      <c r="BP116" s="6">
        <v>1.07</v>
      </c>
      <c r="BQ116" s="6">
        <v>1.08</v>
      </c>
      <c r="BR116" s="22">
        <v>0.73899999999999999</v>
      </c>
      <c r="BS116" s="16">
        <v>1.1200000000000001</v>
      </c>
      <c r="BT116" s="16">
        <v>4.8600000000000003</v>
      </c>
      <c r="BU116" s="16">
        <v>0.92500000000000004</v>
      </c>
      <c r="BV116" s="16">
        <v>0.40699999999999997</v>
      </c>
      <c r="BW116" s="16">
        <v>0.40300000000000002</v>
      </c>
      <c r="BX116" s="16">
        <v>0.58899999999999997</v>
      </c>
      <c r="BY116" s="25" t="s">
        <v>5</v>
      </c>
      <c r="BZ116" s="25" t="s">
        <v>5</v>
      </c>
      <c r="CA116" s="7">
        <v>8.5</v>
      </c>
      <c r="CB116" s="7">
        <v>8</v>
      </c>
      <c r="CC116" s="4">
        <v>11</v>
      </c>
      <c r="CD116" s="25" t="s">
        <v>5</v>
      </c>
      <c r="CE116" s="25" t="s">
        <v>5</v>
      </c>
      <c r="CF116" s="16" t="s">
        <v>5</v>
      </c>
      <c r="CG116" s="16" t="s">
        <v>5</v>
      </c>
      <c r="CH116" s="18" t="s">
        <v>5</v>
      </c>
      <c r="CP116" s="370">
        <v>0.8</v>
      </c>
      <c r="CQ116" s="372">
        <v>0.3125</v>
      </c>
      <c r="CS116" s="335" t="str">
        <f t="shared" si="13"/>
        <v>L3X2-1/2X5/16</v>
      </c>
      <c r="CT116" s="338">
        <v>1.63</v>
      </c>
      <c r="CV116" s="344" t="str">
        <f t="shared" si="14"/>
        <v>WT18X91</v>
      </c>
      <c r="CW116" s="337">
        <v>26.8</v>
      </c>
      <c r="DE116" s="335" t="str">
        <f t="shared" si="15"/>
        <v>2L5X5X5/16</v>
      </c>
      <c r="DF116" s="338">
        <v>6.14</v>
      </c>
      <c r="DH116" s="397" t="s">
        <v>1395</v>
      </c>
      <c r="DI116" s="398">
        <v>30.7</v>
      </c>
      <c r="DJ116" s="398">
        <v>24.1</v>
      </c>
      <c r="DK116" s="399">
        <v>0.5</v>
      </c>
      <c r="DL116" s="407">
        <v>43.1</v>
      </c>
      <c r="DM116" s="400">
        <v>8.5</v>
      </c>
      <c r="DN116" s="408">
        <v>289</v>
      </c>
      <c r="DO116" s="409">
        <v>258</v>
      </c>
      <c r="DP116" s="119"/>
      <c r="DQ116" s="428" t="s">
        <v>1353</v>
      </c>
      <c r="DR116" s="429">
        <v>530</v>
      </c>
      <c r="DS116" s="429">
        <v>5310</v>
      </c>
      <c r="DT116" s="431"/>
      <c r="DU116" s="431"/>
      <c r="DV116" s="431"/>
      <c r="DW116" s="431"/>
      <c r="DX116" s="432"/>
      <c r="DZ116" s="447" t="s">
        <v>1363</v>
      </c>
      <c r="EA116" s="448">
        <v>162</v>
      </c>
      <c r="EB116" s="448">
        <v>47.8</v>
      </c>
      <c r="EC116" s="448">
        <v>25</v>
      </c>
      <c r="ED116" s="448">
        <v>25</v>
      </c>
      <c r="EE116" s="448">
        <v>0.70499999999999996</v>
      </c>
      <c r="EF116" s="449">
        <v>45246</v>
      </c>
      <c r="EG116" s="449">
        <v>44993</v>
      </c>
      <c r="EH116" s="448">
        <v>13</v>
      </c>
      <c r="EI116" s="448">
        <v>13</v>
      </c>
      <c r="EJ116" s="448">
        <v>1.22</v>
      </c>
      <c r="EK116" s="448" t="s">
        <v>1624</v>
      </c>
      <c r="EL116" s="448">
        <v>5.31</v>
      </c>
      <c r="EM116" s="448">
        <v>30.6</v>
      </c>
      <c r="EN116" s="448">
        <v>5170</v>
      </c>
      <c r="EO116" s="448">
        <v>414</v>
      </c>
      <c r="EP116" s="448">
        <v>10.4</v>
      </c>
      <c r="EQ116" s="448">
        <v>468</v>
      </c>
      <c r="ER116" s="448">
        <v>443</v>
      </c>
      <c r="ES116" s="448">
        <v>68.400000000000006</v>
      </c>
      <c r="ET116" s="448">
        <v>3.05</v>
      </c>
      <c r="EU116" s="450">
        <v>105</v>
      </c>
    </row>
    <row r="117" spans="2:151">
      <c r="B117" s="78" t="s">
        <v>7</v>
      </c>
      <c r="C117" s="79" t="s">
        <v>122</v>
      </c>
      <c r="D117" s="80" t="s">
        <v>122</v>
      </c>
      <c r="E117" s="1" t="s">
        <v>4</v>
      </c>
      <c r="F117" s="7">
        <v>4.5</v>
      </c>
      <c r="G117" s="7">
        <v>1.32</v>
      </c>
      <c r="H117" s="3" t="str">
        <f t="shared" si="12"/>
        <v>L3X2-1/2X1/4</v>
      </c>
      <c r="I117" s="7">
        <v>2.5</v>
      </c>
      <c r="J117" s="5" t="s">
        <v>5</v>
      </c>
      <c r="K117" s="6" t="s">
        <v>5</v>
      </c>
      <c r="L117" s="6" t="s">
        <v>5</v>
      </c>
      <c r="M117" s="6" t="s">
        <v>5</v>
      </c>
      <c r="N117" s="6" t="s">
        <v>5</v>
      </c>
      <c r="O117" s="5" t="s">
        <v>5</v>
      </c>
      <c r="P117" s="5" t="s">
        <v>5</v>
      </c>
      <c r="Q117" s="7">
        <v>3</v>
      </c>
      <c r="R117" s="6" t="s">
        <v>5</v>
      </c>
      <c r="S117" s="6" t="s">
        <v>5</v>
      </c>
      <c r="T117" s="5" t="s">
        <v>5</v>
      </c>
      <c r="U117" s="8" t="s">
        <v>5</v>
      </c>
      <c r="V117" s="6" t="s">
        <v>5</v>
      </c>
      <c r="W117" s="8" t="s">
        <v>5</v>
      </c>
      <c r="X117" s="22">
        <v>0.25</v>
      </c>
      <c r="Y117" s="6" t="s">
        <v>5</v>
      </c>
      <c r="Z117" s="6" t="s">
        <v>5</v>
      </c>
      <c r="AA117" s="22">
        <v>0.625</v>
      </c>
      <c r="AB117" s="8">
        <v>0.625</v>
      </c>
      <c r="AC117" s="8" t="s">
        <v>5</v>
      </c>
      <c r="AD117" s="22">
        <v>0.65300000000000002</v>
      </c>
      <c r="AE117" s="22">
        <v>0.9</v>
      </c>
      <c r="AF117" s="6" t="s">
        <v>5</v>
      </c>
      <c r="AG117" s="22">
        <v>0.22</v>
      </c>
      <c r="AH117" s="22">
        <v>0.36</v>
      </c>
      <c r="AI117" s="6" t="s">
        <v>5</v>
      </c>
      <c r="AJ117" s="4">
        <v>12</v>
      </c>
      <c r="AK117" s="6" t="s">
        <v>5</v>
      </c>
      <c r="AL117" s="6" t="s">
        <v>5</v>
      </c>
      <c r="AM117" s="6" t="s">
        <v>5</v>
      </c>
      <c r="AN117" s="6" t="s">
        <v>5</v>
      </c>
      <c r="AO117" s="7">
        <v>1.1599999999999999</v>
      </c>
      <c r="AP117" s="7">
        <v>1</v>
      </c>
      <c r="AQ117" s="22">
        <v>0.55500000000000005</v>
      </c>
      <c r="AR117" s="22">
        <v>0.94</v>
      </c>
      <c r="AS117" s="22">
        <v>0.73399999999999999</v>
      </c>
      <c r="AT117" s="22">
        <v>0.70699999999999996</v>
      </c>
      <c r="AU117" s="22">
        <v>0.39700000000000002</v>
      </c>
      <c r="AV117" s="22">
        <v>0.746</v>
      </c>
      <c r="AW117" s="6">
        <v>0.35499999999999998</v>
      </c>
      <c r="AX117" s="22">
        <v>0.52</v>
      </c>
      <c r="AY117" s="12">
        <v>0.32900000000000001</v>
      </c>
      <c r="AZ117" s="28">
        <v>2.9600000000000001E-2</v>
      </c>
      <c r="BA117" s="28">
        <v>1.61E-2</v>
      </c>
      <c r="BB117" s="6" t="s">
        <v>5</v>
      </c>
      <c r="BC117" s="6" t="s">
        <v>5</v>
      </c>
      <c r="BD117" s="6" t="s">
        <v>5</v>
      </c>
      <c r="BE117" s="6" t="s">
        <v>5</v>
      </c>
      <c r="BF117" s="6" t="s">
        <v>5</v>
      </c>
      <c r="BG117" s="6" t="s">
        <v>5</v>
      </c>
      <c r="BH117" s="6" t="s">
        <v>5</v>
      </c>
      <c r="BI117" s="7">
        <v>1.52</v>
      </c>
      <c r="BJ117" s="24" t="s">
        <v>5</v>
      </c>
      <c r="BK117" s="23">
        <v>0.68300000000000005</v>
      </c>
      <c r="BL117" s="6">
        <v>1.54</v>
      </c>
      <c r="BM117" s="7">
        <v>1.68</v>
      </c>
      <c r="BN117" s="22">
        <v>0.373</v>
      </c>
      <c r="BO117" s="7">
        <v>2.0299999999999998</v>
      </c>
      <c r="BP117" s="6">
        <v>1.08</v>
      </c>
      <c r="BQ117" s="6">
        <v>1.05</v>
      </c>
      <c r="BR117" s="22">
        <v>0.753</v>
      </c>
      <c r="BS117" s="16">
        <v>0.91700000000000004</v>
      </c>
      <c r="BT117" s="16">
        <v>4.13</v>
      </c>
      <c r="BU117" s="16">
        <v>0.75900000000000001</v>
      </c>
      <c r="BV117" s="16">
        <v>0.32900000000000001</v>
      </c>
      <c r="BW117" s="16">
        <v>0.33800000000000002</v>
      </c>
      <c r="BX117" s="16">
        <v>0.47099999999999997</v>
      </c>
      <c r="BY117" s="25" t="s">
        <v>5</v>
      </c>
      <c r="BZ117" s="25" t="s">
        <v>5</v>
      </c>
      <c r="CA117" s="7">
        <v>8.5</v>
      </c>
      <c r="CB117" s="7">
        <v>8</v>
      </c>
      <c r="CC117" s="4">
        <v>11</v>
      </c>
      <c r="CD117" s="25" t="s">
        <v>5</v>
      </c>
      <c r="CE117" s="25" t="s">
        <v>5</v>
      </c>
      <c r="CF117" s="16" t="s">
        <v>5</v>
      </c>
      <c r="CG117" s="16" t="s">
        <v>5</v>
      </c>
      <c r="CH117" s="18" t="s">
        <v>5</v>
      </c>
      <c r="CP117" s="370">
        <v>0.82499999999999996</v>
      </c>
      <c r="CQ117" s="372">
        <v>0.3125</v>
      </c>
      <c r="CS117" s="335" t="str">
        <f t="shared" si="13"/>
        <v>L3-1/2X3X1/4</v>
      </c>
      <c r="CT117" s="338">
        <v>1.58</v>
      </c>
      <c r="CV117" s="344" t="str">
        <f t="shared" si="14"/>
        <v>WT18X91</v>
      </c>
      <c r="CW117" s="337">
        <v>26.8</v>
      </c>
      <c r="DE117" s="335" t="str">
        <f t="shared" si="15"/>
        <v>2L3-1/2X3-1/2X7/16</v>
      </c>
      <c r="DF117" s="338">
        <v>5.78</v>
      </c>
      <c r="DH117" s="397" t="s">
        <v>1398</v>
      </c>
      <c r="DI117" s="398">
        <v>30.3</v>
      </c>
      <c r="DJ117" s="398">
        <v>24.5</v>
      </c>
      <c r="DK117" s="399">
        <v>0.55000000000000004</v>
      </c>
      <c r="DL117" s="407">
        <v>39.200000000000003</v>
      </c>
      <c r="DM117" s="400">
        <v>4.59</v>
      </c>
      <c r="DN117" s="408">
        <v>280</v>
      </c>
      <c r="DO117" s="409">
        <v>245</v>
      </c>
      <c r="DP117" s="119"/>
      <c r="DQ117" s="428" t="s">
        <v>1354</v>
      </c>
      <c r="DR117" s="429">
        <v>515</v>
      </c>
      <c r="DS117" s="429">
        <v>6310</v>
      </c>
      <c r="DT117" s="431"/>
      <c r="DU117" s="431"/>
      <c r="DV117" s="431"/>
      <c r="DW117" s="431"/>
      <c r="DX117" s="432"/>
      <c r="DZ117" s="447" t="s">
        <v>1371</v>
      </c>
      <c r="EA117" s="448">
        <v>146</v>
      </c>
      <c r="EB117" s="448">
        <v>43</v>
      </c>
      <c r="EC117" s="448">
        <v>24.7</v>
      </c>
      <c r="ED117" s="448" t="s">
        <v>1758</v>
      </c>
      <c r="EE117" s="448">
        <v>0.65</v>
      </c>
      <c r="EF117" s="449">
        <v>45054</v>
      </c>
      <c r="EG117" s="449">
        <v>45062</v>
      </c>
      <c r="EH117" s="448">
        <v>12.9</v>
      </c>
      <c r="EI117" s="448" t="s">
        <v>1757</v>
      </c>
      <c r="EJ117" s="448">
        <v>1.0900000000000001</v>
      </c>
      <c r="EK117" s="448" t="s">
        <v>1650</v>
      </c>
      <c r="EL117" s="448">
        <v>5.92</v>
      </c>
      <c r="EM117" s="448">
        <v>33.200000000000003</v>
      </c>
      <c r="EN117" s="448">
        <v>4580</v>
      </c>
      <c r="EO117" s="448">
        <v>371</v>
      </c>
      <c r="EP117" s="448">
        <v>10.3</v>
      </c>
      <c r="EQ117" s="448">
        <v>418</v>
      </c>
      <c r="ER117" s="448">
        <v>391</v>
      </c>
      <c r="ES117" s="448">
        <v>60.5</v>
      </c>
      <c r="ET117" s="448">
        <v>3.01</v>
      </c>
      <c r="EU117" s="450">
        <v>93.2</v>
      </c>
    </row>
    <row r="118" spans="2:151">
      <c r="B118" s="78" t="s">
        <v>7</v>
      </c>
      <c r="C118" s="79" t="s">
        <v>123</v>
      </c>
      <c r="D118" s="80" t="s">
        <v>123</v>
      </c>
      <c r="E118" s="1" t="s">
        <v>4</v>
      </c>
      <c r="F118" s="7">
        <v>3.39</v>
      </c>
      <c r="G118" s="7">
        <v>1</v>
      </c>
      <c r="H118" s="3" t="str">
        <f t="shared" si="12"/>
        <v>L3X2-1/2X3/16</v>
      </c>
      <c r="I118" s="7">
        <v>2.5</v>
      </c>
      <c r="J118" s="5" t="s">
        <v>5</v>
      </c>
      <c r="K118" s="6" t="s">
        <v>5</v>
      </c>
      <c r="L118" s="6" t="s">
        <v>5</v>
      </c>
      <c r="M118" s="6" t="s">
        <v>5</v>
      </c>
      <c r="N118" s="6" t="s">
        <v>5</v>
      </c>
      <c r="O118" s="5" t="s">
        <v>5</v>
      </c>
      <c r="P118" s="5" t="s">
        <v>5</v>
      </c>
      <c r="Q118" s="7">
        <v>3</v>
      </c>
      <c r="R118" s="6" t="s">
        <v>5</v>
      </c>
      <c r="S118" s="6" t="s">
        <v>5</v>
      </c>
      <c r="T118" s="5" t="s">
        <v>5</v>
      </c>
      <c r="U118" s="8" t="s">
        <v>5</v>
      </c>
      <c r="V118" s="6" t="s">
        <v>5</v>
      </c>
      <c r="W118" s="8" t="s">
        <v>5</v>
      </c>
      <c r="X118" s="22">
        <v>0.188</v>
      </c>
      <c r="Y118" s="6" t="s">
        <v>5</v>
      </c>
      <c r="Z118" s="6" t="s">
        <v>5</v>
      </c>
      <c r="AA118" s="22">
        <v>0.56299999999999994</v>
      </c>
      <c r="AB118" s="8">
        <v>0.5625</v>
      </c>
      <c r="AC118" s="8" t="s">
        <v>5</v>
      </c>
      <c r="AD118" s="22">
        <v>0.627</v>
      </c>
      <c r="AE118" s="22">
        <v>0.874</v>
      </c>
      <c r="AF118" s="6" t="s">
        <v>5</v>
      </c>
      <c r="AG118" s="22">
        <v>0.16700000000000001</v>
      </c>
      <c r="AH118" s="22">
        <v>0.33300000000000002</v>
      </c>
      <c r="AI118" s="6" t="s">
        <v>5</v>
      </c>
      <c r="AJ118" s="4">
        <v>16</v>
      </c>
      <c r="AK118" s="6" t="s">
        <v>5</v>
      </c>
      <c r="AL118" s="6" t="s">
        <v>5</v>
      </c>
      <c r="AM118" s="6" t="s">
        <v>5</v>
      </c>
      <c r="AN118" s="6" t="s">
        <v>5</v>
      </c>
      <c r="AO118" s="22">
        <v>0.89900000000000002</v>
      </c>
      <c r="AP118" s="22">
        <v>0.76100000000000001</v>
      </c>
      <c r="AQ118" s="22">
        <v>0.42299999999999999</v>
      </c>
      <c r="AR118" s="22">
        <v>0.94699999999999995</v>
      </c>
      <c r="AS118" s="22">
        <v>0.56799999999999995</v>
      </c>
      <c r="AT118" s="22">
        <v>0.53600000000000003</v>
      </c>
      <c r="AU118" s="22">
        <v>0.30299999999999999</v>
      </c>
      <c r="AV118" s="22">
        <v>0.753</v>
      </c>
      <c r="AW118" s="6">
        <v>0.27100000000000002</v>
      </c>
      <c r="AX118" s="22">
        <v>0.52100000000000002</v>
      </c>
      <c r="AY118" s="12">
        <v>0.246</v>
      </c>
      <c r="AZ118" s="28">
        <v>1.2999999999999999E-2</v>
      </c>
      <c r="BA118" s="31">
        <v>7.0499999999999998E-3</v>
      </c>
      <c r="BB118" s="6" t="s">
        <v>5</v>
      </c>
      <c r="BC118" s="6" t="s">
        <v>5</v>
      </c>
      <c r="BD118" s="6" t="s">
        <v>5</v>
      </c>
      <c r="BE118" s="6" t="s">
        <v>5</v>
      </c>
      <c r="BF118" s="6" t="s">
        <v>5</v>
      </c>
      <c r="BG118" s="6" t="s">
        <v>5</v>
      </c>
      <c r="BH118" s="6" t="s">
        <v>5</v>
      </c>
      <c r="BI118" s="7">
        <v>1.54</v>
      </c>
      <c r="BJ118" s="24" t="s">
        <v>5</v>
      </c>
      <c r="BK118" s="23">
        <v>0.68700000000000006</v>
      </c>
      <c r="BL118" s="7">
        <v>1.2</v>
      </c>
      <c r="BM118" s="7">
        <v>1.7</v>
      </c>
      <c r="BN118" s="22">
        <v>0.36499999999999999</v>
      </c>
      <c r="BO118" s="7">
        <v>2.0499999999999998</v>
      </c>
      <c r="BP118" s="7">
        <v>1.1000000000000001</v>
      </c>
      <c r="BQ118" s="6">
        <v>1.01</v>
      </c>
      <c r="BR118" s="22">
        <v>0.76500000000000001</v>
      </c>
      <c r="BS118" s="16">
        <v>0.70599999999999996</v>
      </c>
      <c r="BT118" s="16">
        <v>3.29</v>
      </c>
      <c r="BU118" s="16">
        <v>0.58499999999999996</v>
      </c>
      <c r="BV118" s="16">
        <v>0.246</v>
      </c>
      <c r="BW118" s="16">
        <v>0.26800000000000002</v>
      </c>
      <c r="BX118" s="16">
        <v>0.35399999999999998</v>
      </c>
      <c r="BY118" s="25" t="s">
        <v>5</v>
      </c>
      <c r="BZ118" s="25" t="s">
        <v>5</v>
      </c>
      <c r="CA118" s="7">
        <v>8.5</v>
      </c>
      <c r="CB118" s="7">
        <v>8</v>
      </c>
      <c r="CC118" s="4">
        <v>11</v>
      </c>
      <c r="CD118" s="25" t="s">
        <v>5</v>
      </c>
      <c r="CE118" s="25" t="s">
        <v>5</v>
      </c>
      <c r="CF118" s="16" t="s">
        <v>5</v>
      </c>
      <c r="CG118" s="16" t="s">
        <v>5</v>
      </c>
      <c r="CH118" s="18" t="s">
        <v>5</v>
      </c>
      <c r="CP118" s="370">
        <v>0.85</v>
      </c>
      <c r="CQ118" s="372">
        <v>0.3125</v>
      </c>
      <c r="CS118" s="335" t="str">
        <f t="shared" si="13"/>
        <v>L2-1/2X2X3/8</v>
      </c>
      <c r="CT118" s="338">
        <v>1.55</v>
      </c>
      <c r="CV118" s="344" t="str">
        <f t="shared" si="14"/>
        <v>WT20X91.5</v>
      </c>
      <c r="CW118" s="337">
        <v>26.7</v>
      </c>
      <c r="DE118" s="335" t="str">
        <f t="shared" si="15"/>
        <v>2L3-1/2X3-1/2X7/16</v>
      </c>
      <c r="DF118" s="338">
        <v>5.78</v>
      </c>
      <c r="DH118" s="397" t="s">
        <v>1404</v>
      </c>
      <c r="DI118" s="398">
        <v>27.7</v>
      </c>
      <c r="DJ118" s="398">
        <v>24.3</v>
      </c>
      <c r="DK118" s="399">
        <v>0.51500000000000001</v>
      </c>
      <c r="DL118" s="407">
        <v>41.9</v>
      </c>
      <c r="DM118" s="400">
        <v>5.18</v>
      </c>
      <c r="DN118" s="408">
        <v>254</v>
      </c>
      <c r="DO118" s="409">
        <v>222</v>
      </c>
      <c r="DP118" s="119"/>
      <c r="DQ118" s="428" t="s">
        <v>1355</v>
      </c>
      <c r="DR118" s="429">
        <v>514</v>
      </c>
      <c r="DS118" s="429">
        <v>7450</v>
      </c>
      <c r="DT118" s="431"/>
      <c r="DU118" s="431"/>
      <c r="DV118" s="431"/>
      <c r="DW118" s="431"/>
      <c r="DX118" s="432"/>
      <c r="DZ118" s="447" t="s">
        <v>1380</v>
      </c>
      <c r="EA118" s="448">
        <v>131</v>
      </c>
      <c r="EB118" s="448">
        <v>38.6</v>
      </c>
      <c r="EC118" s="448">
        <v>24.5</v>
      </c>
      <c r="ED118" s="448" t="s">
        <v>1759</v>
      </c>
      <c r="EE118" s="448">
        <v>0.60499999999999998</v>
      </c>
      <c r="EF118" s="449">
        <v>45054</v>
      </c>
      <c r="EG118" s="449">
        <v>45062</v>
      </c>
      <c r="EH118" s="448">
        <v>12.9</v>
      </c>
      <c r="EI118" s="448" t="s">
        <v>1757</v>
      </c>
      <c r="EJ118" s="448">
        <v>0.96</v>
      </c>
      <c r="EK118" s="448" t="s">
        <v>1628</v>
      </c>
      <c r="EL118" s="448">
        <v>6.7</v>
      </c>
      <c r="EM118" s="448">
        <v>35.6</v>
      </c>
      <c r="EN118" s="448">
        <v>4020</v>
      </c>
      <c r="EO118" s="448">
        <v>329</v>
      </c>
      <c r="EP118" s="448">
        <v>10.199999999999999</v>
      </c>
      <c r="EQ118" s="448">
        <v>370</v>
      </c>
      <c r="ER118" s="448">
        <v>340</v>
      </c>
      <c r="ES118" s="448">
        <v>53</v>
      </c>
      <c r="ET118" s="448">
        <v>2.97</v>
      </c>
      <c r="EU118" s="450">
        <v>81.5</v>
      </c>
    </row>
    <row r="119" spans="2:151">
      <c r="B119" s="78" t="s">
        <v>7</v>
      </c>
      <c r="C119" s="79" t="s">
        <v>124</v>
      </c>
      <c r="D119" s="80" t="s">
        <v>124</v>
      </c>
      <c r="E119" s="1" t="s">
        <v>4</v>
      </c>
      <c r="F119" s="7">
        <v>7.7</v>
      </c>
      <c r="G119" s="7">
        <v>2.2599999999999998</v>
      </c>
      <c r="H119" s="3" t="str">
        <f t="shared" si="12"/>
        <v>L3X2X1/2</v>
      </c>
      <c r="I119" s="7">
        <v>2</v>
      </c>
      <c r="J119" s="5" t="s">
        <v>5</v>
      </c>
      <c r="K119" s="6" t="s">
        <v>5</v>
      </c>
      <c r="L119" s="6" t="s">
        <v>5</v>
      </c>
      <c r="M119" s="6" t="s">
        <v>5</v>
      </c>
      <c r="N119" s="6" t="s">
        <v>5</v>
      </c>
      <c r="O119" s="5" t="s">
        <v>5</v>
      </c>
      <c r="P119" s="5" t="s">
        <v>5</v>
      </c>
      <c r="Q119" s="7">
        <v>3</v>
      </c>
      <c r="R119" s="6" t="s">
        <v>5</v>
      </c>
      <c r="S119" s="6" t="s">
        <v>5</v>
      </c>
      <c r="T119" s="5" t="s">
        <v>5</v>
      </c>
      <c r="U119" s="8" t="s">
        <v>5</v>
      </c>
      <c r="V119" s="6" t="s">
        <v>5</v>
      </c>
      <c r="W119" s="8" t="s">
        <v>5</v>
      </c>
      <c r="X119" s="22">
        <v>0.5</v>
      </c>
      <c r="Y119" s="6" t="s">
        <v>5</v>
      </c>
      <c r="Z119" s="6" t="s">
        <v>5</v>
      </c>
      <c r="AA119" s="22">
        <v>0.81299999999999994</v>
      </c>
      <c r="AB119" s="8">
        <v>0.8125</v>
      </c>
      <c r="AC119" s="8" t="s">
        <v>5</v>
      </c>
      <c r="AD119" s="22">
        <v>0.57999999999999996</v>
      </c>
      <c r="AE119" s="7">
        <v>1.08</v>
      </c>
      <c r="AF119" s="6" t="s">
        <v>5</v>
      </c>
      <c r="AG119" s="22">
        <v>0.377</v>
      </c>
      <c r="AH119" s="22">
        <v>0.74</v>
      </c>
      <c r="AI119" s="6" t="s">
        <v>5</v>
      </c>
      <c r="AJ119" s="7">
        <v>6</v>
      </c>
      <c r="AK119" s="6" t="s">
        <v>5</v>
      </c>
      <c r="AL119" s="6" t="s">
        <v>5</v>
      </c>
      <c r="AM119" s="6" t="s">
        <v>5</v>
      </c>
      <c r="AN119" s="6" t="s">
        <v>5</v>
      </c>
      <c r="AO119" s="7">
        <v>1.92</v>
      </c>
      <c r="AP119" s="7">
        <v>1.78</v>
      </c>
      <c r="AQ119" s="7">
        <v>1</v>
      </c>
      <c r="AR119" s="22">
        <v>0.92200000000000004</v>
      </c>
      <c r="AS119" s="22">
        <v>0.66700000000000004</v>
      </c>
      <c r="AT119" s="22">
        <v>0.88700000000000001</v>
      </c>
      <c r="AU119" s="22">
        <v>0.47</v>
      </c>
      <c r="AV119" s="22">
        <v>0.54300000000000004</v>
      </c>
      <c r="AW119" s="6">
        <v>0.40899999999999997</v>
      </c>
      <c r="AX119" s="22">
        <v>0.42499999999999999</v>
      </c>
      <c r="AY119" s="12">
        <v>0.41099999999999998</v>
      </c>
      <c r="AZ119" s="22">
        <v>0.192</v>
      </c>
      <c r="BA119" s="28">
        <v>9.0800000000000006E-2</v>
      </c>
      <c r="BB119" s="6" t="s">
        <v>5</v>
      </c>
      <c r="BC119" s="6" t="s">
        <v>5</v>
      </c>
      <c r="BD119" s="6" t="s">
        <v>5</v>
      </c>
      <c r="BE119" s="6" t="s">
        <v>5</v>
      </c>
      <c r="BF119" s="6" t="s">
        <v>5</v>
      </c>
      <c r="BG119" s="6" t="s">
        <v>5</v>
      </c>
      <c r="BH119" s="6" t="s">
        <v>5</v>
      </c>
      <c r="BI119" s="7">
        <v>1.39</v>
      </c>
      <c r="BJ119" s="24" t="s">
        <v>5</v>
      </c>
      <c r="BK119" s="23">
        <v>0.41299999999999998</v>
      </c>
      <c r="BL119" s="6">
        <v>2.1800000000000002</v>
      </c>
      <c r="BM119" s="7">
        <v>1.31</v>
      </c>
      <c r="BN119" s="22">
        <v>0.77600000000000002</v>
      </c>
      <c r="BO119" s="7">
        <v>1.9</v>
      </c>
      <c r="BP119" s="6">
        <v>0.995</v>
      </c>
      <c r="BQ119" s="6">
        <v>0.94899999999999995</v>
      </c>
      <c r="BR119" s="22">
        <v>0.42899999999999999</v>
      </c>
      <c r="BS119" s="16">
        <v>1.66</v>
      </c>
      <c r="BT119" s="16">
        <v>2.81</v>
      </c>
      <c r="BU119" s="16">
        <v>1.1499999999999999</v>
      </c>
      <c r="BV119" s="16">
        <v>0.41099999999999998</v>
      </c>
      <c r="BW119" s="16">
        <v>0.43099999999999999</v>
      </c>
      <c r="BX119" s="16">
        <v>0.95299999999999996</v>
      </c>
      <c r="BY119" s="25" t="s">
        <v>5</v>
      </c>
      <c r="BZ119" s="25" t="s">
        <v>5</v>
      </c>
      <c r="CA119" s="7">
        <v>8</v>
      </c>
      <c r="CB119" s="7">
        <v>7</v>
      </c>
      <c r="CC119" s="4">
        <v>10</v>
      </c>
      <c r="CD119" s="25" t="s">
        <v>5</v>
      </c>
      <c r="CE119" s="25" t="s">
        <v>5</v>
      </c>
      <c r="CF119" s="16" t="s">
        <v>5</v>
      </c>
      <c r="CG119" s="16" t="s">
        <v>5</v>
      </c>
      <c r="CH119" s="18" t="s">
        <v>5</v>
      </c>
      <c r="CP119" s="370">
        <v>0.875</v>
      </c>
      <c r="CQ119" s="372">
        <v>0.3125</v>
      </c>
      <c r="CS119" s="335" t="str">
        <f t="shared" si="13"/>
        <v>L3X2X5/16</v>
      </c>
      <c r="CT119" s="338">
        <v>1.48</v>
      </c>
      <c r="CV119" s="344" t="str">
        <f t="shared" si="14"/>
        <v>WT13.5X89</v>
      </c>
      <c r="CW119" s="337">
        <v>26.3</v>
      </c>
      <c r="DE119" s="335" t="str">
        <f t="shared" si="15"/>
        <v>2L3-1/2X3-1/2X7/16</v>
      </c>
      <c r="DF119" s="338">
        <v>5.78</v>
      </c>
      <c r="DH119" s="397" t="s">
        <v>1410</v>
      </c>
      <c r="DI119" s="398">
        <v>24.7</v>
      </c>
      <c r="DJ119" s="398">
        <v>24.1</v>
      </c>
      <c r="DK119" s="399">
        <v>0.47</v>
      </c>
      <c r="DL119" s="407">
        <v>45.9</v>
      </c>
      <c r="DM119" s="400">
        <v>5.86</v>
      </c>
      <c r="DN119" s="408">
        <v>224</v>
      </c>
      <c r="DO119" s="409">
        <v>196</v>
      </c>
      <c r="DP119" s="119"/>
      <c r="DQ119" s="428" t="s">
        <v>1356</v>
      </c>
      <c r="DR119" s="429">
        <v>511</v>
      </c>
      <c r="DS119" s="429">
        <v>5680</v>
      </c>
      <c r="DT119" s="431"/>
      <c r="DU119" s="431"/>
      <c r="DV119" s="431"/>
      <c r="DW119" s="431"/>
      <c r="DX119" s="432"/>
      <c r="DZ119" s="447" t="s">
        <v>1387</v>
      </c>
      <c r="EA119" s="448">
        <v>117</v>
      </c>
      <c r="EB119" s="448">
        <v>34.4</v>
      </c>
      <c r="EC119" s="448">
        <v>24.3</v>
      </c>
      <c r="ED119" s="448" t="s">
        <v>1760</v>
      </c>
      <c r="EE119" s="448">
        <v>0.55000000000000004</v>
      </c>
      <c r="EF119" s="449">
        <v>45185</v>
      </c>
      <c r="EG119" s="449">
        <v>45062</v>
      </c>
      <c r="EH119" s="448">
        <v>12.8</v>
      </c>
      <c r="EI119" s="448" t="s">
        <v>1761</v>
      </c>
      <c r="EJ119" s="448">
        <v>0.85</v>
      </c>
      <c r="EK119" s="449">
        <v>45115</v>
      </c>
      <c r="EL119" s="448">
        <v>7.53</v>
      </c>
      <c r="EM119" s="448">
        <v>39.200000000000003</v>
      </c>
      <c r="EN119" s="448">
        <v>3540</v>
      </c>
      <c r="EO119" s="448">
        <v>291</v>
      </c>
      <c r="EP119" s="448">
        <v>10.1</v>
      </c>
      <c r="EQ119" s="448">
        <v>327</v>
      </c>
      <c r="ER119" s="448">
        <v>297</v>
      </c>
      <c r="ES119" s="448">
        <v>46.5</v>
      </c>
      <c r="ET119" s="448">
        <v>2.94</v>
      </c>
      <c r="EU119" s="450">
        <v>71.400000000000006</v>
      </c>
    </row>
    <row r="120" spans="2:151">
      <c r="B120" s="78" t="s">
        <v>7</v>
      </c>
      <c r="C120" s="79" t="s">
        <v>125</v>
      </c>
      <c r="D120" s="80" t="s">
        <v>125</v>
      </c>
      <c r="E120" s="1" t="s">
        <v>4</v>
      </c>
      <c r="F120" s="7">
        <v>5.9</v>
      </c>
      <c r="G120" s="7">
        <v>1.75</v>
      </c>
      <c r="H120" s="3" t="str">
        <f t="shared" si="12"/>
        <v>L3X2X3/8</v>
      </c>
      <c r="I120" s="7">
        <v>2</v>
      </c>
      <c r="J120" s="5" t="s">
        <v>5</v>
      </c>
      <c r="K120" s="6" t="s">
        <v>5</v>
      </c>
      <c r="L120" s="6" t="s">
        <v>5</v>
      </c>
      <c r="M120" s="6" t="s">
        <v>5</v>
      </c>
      <c r="N120" s="6" t="s">
        <v>5</v>
      </c>
      <c r="O120" s="5" t="s">
        <v>5</v>
      </c>
      <c r="P120" s="5" t="s">
        <v>5</v>
      </c>
      <c r="Q120" s="7">
        <v>3</v>
      </c>
      <c r="R120" s="6" t="s">
        <v>5</v>
      </c>
      <c r="S120" s="6" t="s">
        <v>5</v>
      </c>
      <c r="T120" s="5" t="s">
        <v>5</v>
      </c>
      <c r="U120" s="8" t="s">
        <v>5</v>
      </c>
      <c r="V120" s="6" t="s">
        <v>5</v>
      </c>
      <c r="W120" s="8" t="s">
        <v>5</v>
      </c>
      <c r="X120" s="22">
        <v>0.375</v>
      </c>
      <c r="Y120" s="6" t="s">
        <v>5</v>
      </c>
      <c r="Z120" s="6" t="s">
        <v>5</v>
      </c>
      <c r="AA120" s="22">
        <v>0.68799999999999994</v>
      </c>
      <c r="AB120" s="8">
        <v>0.6875</v>
      </c>
      <c r="AC120" s="8" t="s">
        <v>5</v>
      </c>
      <c r="AD120" s="22">
        <v>0.53500000000000003</v>
      </c>
      <c r="AE120" s="7">
        <v>1.03</v>
      </c>
      <c r="AF120" s="6" t="s">
        <v>5</v>
      </c>
      <c r="AG120" s="22">
        <v>0.29199999999999998</v>
      </c>
      <c r="AH120" s="22">
        <v>0.66700000000000004</v>
      </c>
      <c r="AI120" s="6" t="s">
        <v>5</v>
      </c>
      <c r="AJ120" s="7">
        <v>8</v>
      </c>
      <c r="AK120" s="6" t="s">
        <v>5</v>
      </c>
      <c r="AL120" s="6" t="s">
        <v>5</v>
      </c>
      <c r="AM120" s="6" t="s">
        <v>5</v>
      </c>
      <c r="AN120" s="6" t="s">
        <v>5</v>
      </c>
      <c r="AO120" s="7">
        <v>1.54</v>
      </c>
      <c r="AP120" s="7">
        <v>1.39</v>
      </c>
      <c r="AQ120" s="22">
        <v>0.77900000000000003</v>
      </c>
      <c r="AR120" s="22">
        <v>0.93700000000000006</v>
      </c>
      <c r="AS120" s="22">
        <v>0.53900000000000003</v>
      </c>
      <c r="AT120" s="22">
        <v>0.67900000000000005</v>
      </c>
      <c r="AU120" s="22">
        <v>0.36799999999999999</v>
      </c>
      <c r="AV120" s="22">
        <v>0.55500000000000005</v>
      </c>
      <c r="AW120" s="6">
        <v>0.31900000000000001</v>
      </c>
      <c r="AX120" s="22">
        <v>0.42599999999999999</v>
      </c>
      <c r="AY120" s="12">
        <v>0.313</v>
      </c>
      <c r="AZ120" s="28">
        <v>8.5500000000000007E-2</v>
      </c>
      <c r="BA120" s="28">
        <v>4.1300000000000003E-2</v>
      </c>
      <c r="BB120" s="6" t="s">
        <v>5</v>
      </c>
      <c r="BC120" s="6" t="s">
        <v>5</v>
      </c>
      <c r="BD120" s="6" t="s">
        <v>5</v>
      </c>
      <c r="BE120" s="6" t="s">
        <v>5</v>
      </c>
      <c r="BF120" s="6" t="s">
        <v>5</v>
      </c>
      <c r="BG120" s="6" t="s">
        <v>5</v>
      </c>
      <c r="BH120" s="6" t="s">
        <v>5</v>
      </c>
      <c r="BI120" s="7">
        <v>1.42</v>
      </c>
      <c r="BJ120" s="24" t="s">
        <v>5</v>
      </c>
      <c r="BK120" s="23">
        <v>0.42599999999999999</v>
      </c>
      <c r="BL120" s="6">
        <v>1.76</v>
      </c>
      <c r="BM120" s="7">
        <v>1.35</v>
      </c>
      <c r="BN120" s="22">
        <v>0.73899999999999999</v>
      </c>
      <c r="BO120" s="7">
        <v>1.95</v>
      </c>
      <c r="BP120" s="6">
        <v>1.02</v>
      </c>
      <c r="BQ120" s="6">
        <v>0.89500000000000002</v>
      </c>
      <c r="BR120" s="22">
        <v>0.45</v>
      </c>
      <c r="BS120" s="26">
        <v>1.3</v>
      </c>
      <c r="BT120" s="16">
        <v>2.38</v>
      </c>
      <c r="BU120" s="16">
        <v>0.90300000000000002</v>
      </c>
      <c r="BV120" s="16">
        <v>0.313</v>
      </c>
      <c r="BW120" s="16">
        <v>0.35599999999999998</v>
      </c>
      <c r="BX120" s="16">
        <v>0.70899999999999996</v>
      </c>
      <c r="BY120" s="25" t="s">
        <v>5</v>
      </c>
      <c r="BZ120" s="25" t="s">
        <v>5</v>
      </c>
      <c r="CA120" s="7">
        <v>8</v>
      </c>
      <c r="CB120" s="7">
        <v>7</v>
      </c>
      <c r="CC120" s="4">
        <v>10</v>
      </c>
      <c r="CD120" s="25" t="s">
        <v>5</v>
      </c>
      <c r="CE120" s="25" t="s">
        <v>5</v>
      </c>
      <c r="CF120" s="16" t="s">
        <v>5</v>
      </c>
      <c r="CG120" s="16" t="s">
        <v>5</v>
      </c>
      <c r="CH120" s="18" t="s">
        <v>5</v>
      </c>
      <c r="CP120" s="370">
        <v>0.9</v>
      </c>
      <c r="CQ120" s="372">
        <v>0.3125</v>
      </c>
      <c r="CS120" s="335" t="str">
        <f t="shared" si="13"/>
        <v>L2-1/2X2-1/2X5/16</v>
      </c>
      <c r="CT120" s="338">
        <v>1.46</v>
      </c>
      <c r="CV120" s="344" t="str">
        <f t="shared" si="14"/>
        <v>WT7X88</v>
      </c>
      <c r="CW120" s="337">
        <v>25.9</v>
      </c>
      <c r="DE120" s="335" t="str">
        <f t="shared" si="15"/>
        <v>2L4X4X3/8</v>
      </c>
      <c r="DF120" s="338">
        <v>5.72</v>
      </c>
      <c r="DH120" s="397" t="s">
        <v>1415</v>
      </c>
      <c r="DI120" s="398">
        <v>22.4</v>
      </c>
      <c r="DJ120" s="398">
        <v>23.9</v>
      </c>
      <c r="DK120" s="399">
        <v>0.44</v>
      </c>
      <c r="DL120" s="407">
        <v>49</v>
      </c>
      <c r="DM120" s="400">
        <v>6.61</v>
      </c>
      <c r="DN120" s="408">
        <v>200</v>
      </c>
      <c r="DO120" s="409">
        <v>176</v>
      </c>
      <c r="DP120" s="119"/>
      <c r="DQ120" s="428" t="s">
        <v>1357</v>
      </c>
      <c r="DR120" s="429">
        <v>509</v>
      </c>
      <c r="DS120" s="429">
        <v>7800</v>
      </c>
      <c r="DT120" s="431"/>
      <c r="DU120" s="431"/>
      <c r="DV120" s="431"/>
      <c r="DW120" s="431"/>
      <c r="DX120" s="432"/>
      <c r="DZ120" s="447" t="s">
        <v>1395</v>
      </c>
      <c r="EA120" s="448">
        <v>104</v>
      </c>
      <c r="EB120" s="448">
        <v>30.7</v>
      </c>
      <c r="EC120" s="448">
        <v>24.1</v>
      </c>
      <c r="ED120" s="448">
        <v>24</v>
      </c>
      <c r="EE120" s="448">
        <v>0.5</v>
      </c>
      <c r="EF120" s="449">
        <v>44928</v>
      </c>
      <c r="EG120" s="449">
        <v>44930</v>
      </c>
      <c r="EH120" s="448">
        <v>12.8</v>
      </c>
      <c r="EI120" s="448" t="s">
        <v>1761</v>
      </c>
      <c r="EJ120" s="448">
        <v>0.75</v>
      </c>
      <c r="EK120" s="449">
        <v>44989</v>
      </c>
      <c r="EL120" s="448">
        <v>8.5</v>
      </c>
      <c r="EM120" s="448">
        <v>43.1</v>
      </c>
      <c r="EN120" s="448">
        <v>3100</v>
      </c>
      <c r="EO120" s="448">
        <v>258</v>
      </c>
      <c r="EP120" s="448">
        <v>10.1</v>
      </c>
      <c r="EQ120" s="448">
        <v>289</v>
      </c>
      <c r="ER120" s="448">
        <v>259</v>
      </c>
      <c r="ES120" s="448">
        <v>40.700000000000003</v>
      </c>
      <c r="ET120" s="448">
        <v>2.91</v>
      </c>
      <c r="EU120" s="450">
        <v>62.4</v>
      </c>
    </row>
    <row r="121" spans="2:151">
      <c r="B121" s="78" t="s">
        <v>7</v>
      </c>
      <c r="C121" s="79" t="s">
        <v>126</v>
      </c>
      <c r="D121" s="80" t="s">
        <v>126</v>
      </c>
      <c r="E121" s="1" t="s">
        <v>4</v>
      </c>
      <c r="F121" s="7">
        <v>5</v>
      </c>
      <c r="G121" s="7">
        <v>1.48</v>
      </c>
      <c r="H121" s="3" t="str">
        <f t="shared" si="12"/>
        <v>L3X2X5/16</v>
      </c>
      <c r="I121" s="7">
        <v>2</v>
      </c>
      <c r="J121" s="5" t="s">
        <v>5</v>
      </c>
      <c r="K121" s="6" t="s">
        <v>5</v>
      </c>
      <c r="L121" s="6" t="s">
        <v>5</v>
      </c>
      <c r="M121" s="6" t="s">
        <v>5</v>
      </c>
      <c r="N121" s="6" t="s">
        <v>5</v>
      </c>
      <c r="O121" s="5" t="s">
        <v>5</v>
      </c>
      <c r="P121" s="5" t="s">
        <v>5</v>
      </c>
      <c r="Q121" s="7">
        <v>3</v>
      </c>
      <c r="R121" s="6" t="s">
        <v>5</v>
      </c>
      <c r="S121" s="6" t="s">
        <v>5</v>
      </c>
      <c r="T121" s="5" t="s">
        <v>5</v>
      </c>
      <c r="U121" s="8" t="s">
        <v>5</v>
      </c>
      <c r="V121" s="6" t="s">
        <v>5</v>
      </c>
      <c r="W121" s="8" t="s">
        <v>5</v>
      </c>
      <c r="X121" s="22">
        <v>0.313</v>
      </c>
      <c r="Y121" s="6" t="s">
        <v>5</v>
      </c>
      <c r="Z121" s="6" t="s">
        <v>5</v>
      </c>
      <c r="AA121" s="22">
        <v>0.625</v>
      </c>
      <c r="AB121" s="8">
        <v>0.625</v>
      </c>
      <c r="AC121" s="8" t="s">
        <v>5</v>
      </c>
      <c r="AD121" s="22">
        <v>0.51100000000000001</v>
      </c>
      <c r="AE121" s="7">
        <v>1.01</v>
      </c>
      <c r="AF121" s="6" t="s">
        <v>5</v>
      </c>
      <c r="AG121" s="22">
        <v>0.247</v>
      </c>
      <c r="AH121" s="22">
        <v>0.63200000000000001</v>
      </c>
      <c r="AI121" s="6" t="s">
        <v>5</v>
      </c>
      <c r="AJ121" s="7">
        <v>9.58</v>
      </c>
      <c r="AK121" s="6" t="s">
        <v>5</v>
      </c>
      <c r="AL121" s="6" t="s">
        <v>5</v>
      </c>
      <c r="AM121" s="6" t="s">
        <v>5</v>
      </c>
      <c r="AN121" s="6" t="s">
        <v>5</v>
      </c>
      <c r="AO121" s="7">
        <v>1.32</v>
      </c>
      <c r="AP121" s="7">
        <v>1.19</v>
      </c>
      <c r="AQ121" s="22">
        <v>0.66200000000000003</v>
      </c>
      <c r="AR121" s="22">
        <v>0.94499999999999995</v>
      </c>
      <c r="AS121" s="22">
        <v>0.46700000000000003</v>
      </c>
      <c r="AT121" s="22">
        <v>0.57199999999999995</v>
      </c>
      <c r="AU121" s="22">
        <v>0.314</v>
      </c>
      <c r="AV121" s="22">
        <v>0.56200000000000006</v>
      </c>
      <c r="AW121" s="6">
        <v>0.27100000000000002</v>
      </c>
      <c r="AX121" s="22">
        <v>0.42799999999999999</v>
      </c>
      <c r="AY121" s="12">
        <v>0.26300000000000001</v>
      </c>
      <c r="AZ121" s="28">
        <v>5.0999999999999997E-2</v>
      </c>
      <c r="BA121" s="28">
        <v>2.4799999999999999E-2</v>
      </c>
      <c r="BB121" s="6" t="s">
        <v>5</v>
      </c>
      <c r="BC121" s="6" t="s">
        <v>5</v>
      </c>
      <c r="BD121" s="6" t="s">
        <v>5</v>
      </c>
      <c r="BE121" s="6" t="s">
        <v>5</v>
      </c>
      <c r="BF121" s="6" t="s">
        <v>5</v>
      </c>
      <c r="BG121" s="6" t="s">
        <v>5</v>
      </c>
      <c r="BH121" s="6" t="s">
        <v>5</v>
      </c>
      <c r="BI121" s="7">
        <v>1.43</v>
      </c>
      <c r="BJ121" s="24" t="s">
        <v>5</v>
      </c>
      <c r="BK121" s="23">
        <v>0.432</v>
      </c>
      <c r="BL121" s="6">
        <v>1.52</v>
      </c>
      <c r="BM121" s="7">
        <v>1.37</v>
      </c>
      <c r="BN121" s="22">
        <v>0.72399999999999998</v>
      </c>
      <c r="BO121" s="7">
        <v>1.97</v>
      </c>
      <c r="BP121" s="6">
        <v>1.03</v>
      </c>
      <c r="BQ121" s="22">
        <v>0.87</v>
      </c>
      <c r="BR121" s="22">
        <v>0.46500000000000002</v>
      </c>
      <c r="BS121" s="16">
        <v>1.1100000000000001</v>
      </c>
      <c r="BT121" s="26">
        <v>2.1</v>
      </c>
      <c r="BU121" s="16">
        <v>0.77200000000000002</v>
      </c>
      <c r="BV121" s="16">
        <v>0.26300000000000001</v>
      </c>
      <c r="BW121" s="16">
        <v>0.311</v>
      </c>
      <c r="BX121" s="16">
        <v>0.58299999999999996</v>
      </c>
      <c r="BY121" s="25" t="s">
        <v>5</v>
      </c>
      <c r="BZ121" s="25" t="s">
        <v>5</v>
      </c>
      <c r="CA121" s="7">
        <v>8</v>
      </c>
      <c r="CB121" s="7">
        <v>7</v>
      </c>
      <c r="CC121" s="4">
        <v>10</v>
      </c>
      <c r="CD121" s="25" t="s">
        <v>5</v>
      </c>
      <c r="CE121" s="25" t="s">
        <v>5</v>
      </c>
      <c r="CF121" s="16" t="s">
        <v>5</v>
      </c>
      <c r="CG121" s="16" t="s">
        <v>5</v>
      </c>
      <c r="CH121" s="18" t="s">
        <v>5</v>
      </c>
      <c r="CP121" s="370">
        <v>0.92500000000000004</v>
      </c>
      <c r="CQ121" s="372">
        <v>0.3125</v>
      </c>
      <c r="CS121" s="335" t="str">
        <f t="shared" si="13"/>
        <v>L3-1/2X2-1/2X1/4</v>
      </c>
      <c r="CT121" s="338">
        <v>1.45</v>
      </c>
      <c r="CV121" s="344" t="str">
        <f t="shared" si="14"/>
        <v>WT12X88</v>
      </c>
      <c r="CW121" s="337">
        <v>25.8</v>
      </c>
      <c r="DE121" s="335" t="str">
        <f t="shared" si="15"/>
        <v>2L4X4X3/8</v>
      </c>
      <c r="DF121" s="338">
        <v>5.72</v>
      </c>
      <c r="DH121" s="397" t="s">
        <v>1421</v>
      </c>
      <c r="DI121" s="398">
        <v>20.100000000000001</v>
      </c>
      <c r="DJ121" s="398">
        <v>23.7</v>
      </c>
      <c r="DK121" s="399">
        <v>0.41499999999999998</v>
      </c>
      <c r="DL121" s="407">
        <v>52</v>
      </c>
      <c r="DM121" s="400">
        <v>7.66</v>
      </c>
      <c r="DN121" s="408">
        <v>177</v>
      </c>
      <c r="DO121" s="409">
        <v>154</v>
      </c>
      <c r="DP121" s="119"/>
      <c r="DQ121" s="428" t="s">
        <v>1358</v>
      </c>
      <c r="DR121" s="429">
        <v>500</v>
      </c>
      <c r="DS121" s="429">
        <v>6680</v>
      </c>
      <c r="DT121" s="431"/>
      <c r="DU121" s="431"/>
      <c r="DV121" s="431"/>
      <c r="DW121" s="431"/>
      <c r="DX121" s="432"/>
      <c r="DZ121" s="447" t="s">
        <v>1398</v>
      </c>
      <c r="EA121" s="448">
        <v>103</v>
      </c>
      <c r="EB121" s="448">
        <v>30.3</v>
      </c>
      <c r="EC121" s="448">
        <v>24.5</v>
      </c>
      <c r="ED121" s="448" t="s">
        <v>1759</v>
      </c>
      <c r="EE121" s="448">
        <v>0.55000000000000004</v>
      </c>
      <c r="EF121" s="449">
        <v>45185</v>
      </c>
      <c r="EG121" s="449">
        <v>45062</v>
      </c>
      <c r="EH121" s="448">
        <v>9</v>
      </c>
      <c r="EI121" s="448">
        <v>9</v>
      </c>
      <c r="EJ121" s="448">
        <v>0.98</v>
      </c>
      <c r="EK121" s="448">
        <v>1</v>
      </c>
      <c r="EL121" s="448">
        <v>4.59</v>
      </c>
      <c r="EM121" s="448">
        <v>39.200000000000003</v>
      </c>
      <c r="EN121" s="448">
        <v>3000</v>
      </c>
      <c r="EO121" s="448">
        <v>245</v>
      </c>
      <c r="EP121" s="448">
        <v>10</v>
      </c>
      <c r="EQ121" s="448">
        <v>280</v>
      </c>
      <c r="ER121" s="448">
        <v>119</v>
      </c>
      <c r="ES121" s="448">
        <v>26.5</v>
      </c>
      <c r="ET121" s="448">
        <v>1.99</v>
      </c>
      <c r="EU121" s="450">
        <v>41.5</v>
      </c>
    </row>
    <row r="122" spans="2:151">
      <c r="B122" s="78" t="s">
        <v>7</v>
      </c>
      <c r="C122" s="79" t="s">
        <v>127</v>
      </c>
      <c r="D122" s="80" t="s">
        <v>127</v>
      </c>
      <c r="E122" s="1" t="s">
        <v>4</v>
      </c>
      <c r="F122" s="7">
        <v>4.0999999999999996</v>
      </c>
      <c r="G122" s="7">
        <v>1.2</v>
      </c>
      <c r="H122" s="3" t="str">
        <f t="shared" si="12"/>
        <v>L3X2X1/4</v>
      </c>
      <c r="I122" s="7">
        <v>2</v>
      </c>
      <c r="J122" s="5" t="s">
        <v>5</v>
      </c>
      <c r="K122" s="6" t="s">
        <v>5</v>
      </c>
      <c r="L122" s="6" t="s">
        <v>5</v>
      </c>
      <c r="M122" s="6" t="s">
        <v>5</v>
      </c>
      <c r="N122" s="6" t="s">
        <v>5</v>
      </c>
      <c r="O122" s="5" t="s">
        <v>5</v>
      </c>
      <c r="P122" s="5" t="s">
        <v>5</v>
      </c>
      <c r="Q122" s="7">
        <v>3</v>
      </c>
      <c r="R122" s="6" t="s">
        <v>5</v>
      </c>
      <c r="S122" s="6" t="s">
        <v>5</v>
      </c>
      <c r="T122" s="5" t="s">
        <v>5</v>
      </c>
      <c r="U122" s="8" t="s">
        <v>5</v>
      </c>
      <c r="V122" s="6" t="s">
        <v>5</v>
      </c>
      <c r="W122" s="8" t="s">
        <v>5</v>
      </c>
      <c r="X122" s="22">
        <v>0.25</v>
      </c>
      <c r="Y122" s="6" t="s">
        <v>5</v>
      </c>
      <c r="Z122" s="6" t="s">
        <v>5</v>
      </c>
      <c r="AA122" s="22">
        <v>0.56299999999999994</v>
      </c>
      <c r="AB122" s="8">
        <v>0.5625</v>
      </c>
      <c r="AC122" s="8" t="s">
        <v>5</v>
      </c>
      <c r="AD122" s="22">
        <v>0.48699999999999999</v>
      </c>
      <c r="AE122" s="22">
        <v>0.98</v>
      </c>
      <c r="AF122" s="6" t="s">
        <v>5</v>
      </c>
      <c r="AG122" s="22">
        <v>0.2</v>
      </c>
      <c r="AH122" s="22">
        <v>0.6</v>
      </c>
      <c r="AI122" s="6" t="s">
        <v>5</v>
      </c>
      <c r="AJ122" s="4">
        <v>12</v>
      </c>
      <c r="AK122" s="6" t="s">
        <v>5</v>
      </c>
      <c r="AL122" s="6" t="s">
        <v>5</v>
      </c>
      <c r="AM122" s="6" t="s">
        <v>5</v>
      </c>
      <c r="AN122" s="6" t="s">
        <v>5</v>
      </c>
      <c r="AO122" s="7">
        <v>1.0900000000000001</v>
      </c>
      <c r="AP122" s="22">
        <v>0.96899999999999997</v>
      </c>
      <c r="AQ122" s="22">
        <v>0.54100000000000004</v>
      </c>
      <c r="AR122" s="22">
        <v>0.95299999999999996</v>
      </c>
      <c r="AS122" s="22">
        <v>0.39</v>
      </c>
      <c r="AT122" s="22">
        <v>0.46300000000000002</v>
      </c>
      <c r="AU122" s="22">
        <v>0.25800000000000001</v>
      </c>
      <c r="AV122" s="22">
        <v>0.56899999999999995</v>
      </c>
      <c r="AW122" s="6">
        <v>0.223</v>
      </c>
      <c r="AX122" s="22">
        <v>0.43099999999999999</v>
      </c>
      <c r="AY122" s="12">
        <v>0.214</v>
      </c>
      <c r="AZ122" s="28">
        <v>2.7E-2</v>
      </c>
      <c r="BA122" s="28">
        <v>1.32E-2</v>
      </c>
      <c r="BB122" s="6" t="s">
        <v>5</v>
      </c>
      <c r="BC122" s="6" t="s">
        <v>5</v>
      </c>
      <c r="BD122" s="6" t="s">
        <v>5</v>
      </c>
      <c r="BE122" s="6" t="s">
        <v>5</v>
      </c>
      <c r="BF122" s="6" t="s">
        <v>5</v>
      </c>
      <c r="BG122" s="6" t="s">
        <v>5</v>
      </c>
      <c r="BH122" s="6" t="s">
        <v>5</v>
      </c>
      <c r="BI122" s="7">
        <v>1.45</v>
      </c>
      <c r="BJ122" s="24" t="s">
        <v>5</v>
      </c>
      <c r="BK122" s="23">
        <v>0.437</v>
      </c>
      <c r="BL122" s="6">
        <v>1.26</v>
      </c>
      <c r="BM122" s="7">
        <v>1.39</v>
      </c>
      <c r="BN122" s="22">
        <v>0.70199999999999996</v>
      </c>
      <c r="BO122" s="7">
        <v>2</v>
      </c>
      <c r="BP122" s="6">
        <v>1.04</v>
      </c>
      <c r="BQ122" s="22">
        <v>0.84</v>
      </c>
      <c r="BR122" s="22">
        <v>0.48</v>
      </c>
      <c r="BS122" s="16">
        <v>0.90600000000000003</v>
      </c>
      <c r="BT122" s="16">
        <v>1.79</v>
      </c>
      <c r="BU122" s="30">
        <v>0.63</v>
      </c>
      <c r="BV122" s="16">
        <v>0.214</v>
      </c>
      <c r="BW122" s="16">
        <v>0.26500000000000001</v>
      </c>
      <c r="BX122" s="16">
        <v>0.46500000000000002</v>
      </c>
      <c r="BY122" s="25" t="s">
        <v>5</v>
      </c>
      <c r="BZ122" s="25" t="s">
        <v>5</v>
      </c>
      <c r="CA122" s="7">
        <v>8</v>
      </c>
      <c r="CB122" s="7">
        <v>7</v>
      </c>
      <c r="CC122" s="4">
        <v>10</v>
      </c>
      <c r="CD122" s="25" t="s">
        <v>5</v>
      </c>
      <c r="CE122" s="25" t="s">
        <v>5</v>
      </c>
      <c r="CF122" s="16" t="s">
        <v>5</v>
      </c>
      <c r="CG122" s="16" t="s">
        <v>5</v>
      </c>
      <c r="CH122" s="18" t="s">
        <v>5</v>
      </c>
      <c r="CP122" s="370">
        <v>0.95</v>
      </c>
      <c r="CQ122" s="372">
        <v>0.3125</v>
      </c>
      <c r="CS122" s="335" t="str">
        <f t="shared" si="13"/>
        <v>L3X3X1/4</v>
      </c>
      <c r="CT122" s="338">
        <v>1.44</v>
      </c>
      <c r="CV122" s="344" t="str">
        <f t="shared" si="14"/>
        <v>WT9X87.5</v>
      </c>
      <c r="CW122" s="337">
        <v>25.7</v>
      </c>
      <c r="DE122" s="335" t="str">
        <f t="shared" si="15"/>
        <v>2L4X4X3/8</v>
      </c>
      <c r="DF122" s="338">
        <v>5.72</v>
      </c>
      <c r="DH122" s="397" t="s">
        <v>1429</v>
      </c>
      <c r="DI122" s="398">
        <v>18.2</v>
      </c>
      <c r="DJ122" s="398">
        <v>23.7</v>
      </c>
      <c r="DK122" s="399">
        <v>0.43</v>
      </c>
      <c r="DL122" s="398">
        <v>50.1</v>
      </c>
      <c r="DM122" s="400">
        <v>5.97</v>
      </c>
      <c r="DN122" s="401">
        <v>153</v>
      </c>
      <c r="DO122" s="402">
        <v>131</v>
      </c>
      <c r="DP122" s="117"/>
      <c r="DQ122" s="428" t="s">
        <v>1359</v>
      </c>
      <c r="DR122" s="429">
        <v>490</v>
      </c>
      <c r="DS122" s="429">
        <v>4330</v>
      </c>
      <c r="DT122" s="431"/>
      <c r="DU122" s="431"/>
      <c r="DV122" s="431"/>
      <c r="DW122" s="431"/>
      <c r="DX122" s="432"/>
      <c r="DZ122" s="447" t="s">
        <v>1404</v>
      </c>
      <c r="EA122" s="448">
        <v>94</v>
      </c>
      <c r="EB122" s="448">
        <v>27.7</v>
      </c>
      <c r="EC122" s="448">
        <v>24.3</v>
      </c>
      <c r="ED122" s="448" t="s">
        <v>1760</v>
      </c>
      <c r="EE122" s="448">
        <v>0.51500000000000001</v>
      </c>
      <c r="EF122" s="449">
        <v>44928</v>
      </c>
      <c r="EG122" s="449">
        <v>44930</v>
      </c>
      <c r="EH122" s="448">
        <v>9.07</v>
      </c>
      <c r="EI122" s="448" t="s">
        <v>1762</v>
      </c>
      <c r="EJ122" s="448">
        <v>0.875</v>
      </c>
      <c r="EK122" s="449">
        <v>45115</v>
      </c>
      <c r="EL122" s="448">
        <v>5.18</v>
      </c>
      <c r="EM122" s="448">
        <v>41.9</v>
      </c>
      <c r="EN122" s="448">
        <v>2700</v>
      </c>
      <c r="EO122" s="448">
        <v>222</v>
      </c>
      <c r="EP122" s="448">
        <v>9.8699999999999992</v>
      </c>
      <c r="EQ122" s="448">
        <v>254</v>
      </c>
      <c r="ER122" s="448">
        <v>109</v>
      </c>
      <c r="ES122" s="448">
        <v>24</v>
      </c>
      <c r="ET122" s="448">
        <v>1.98</v>
      </c>
      <c r="EU122" s="450">
        <v>37.5</v>
      </c>
    </row>
    <row r="123" spans="2:151">
      <c r="B123" s="78" t="s">
        <v>7</v>
      </c>
      <c r="C123" s="79" t="s">
        <v>128</v>
      </c>
      <c r="D123" s="80" t="s">
        <v>128</v>
      </c>
      <c r="E123" s="1" t="s">
        <v>4</v>
      </c>
      <c r="F123" s="7">
        <v>3.07</v>
      </c>
      <c r="G123" s="22">
        <v>0.91700000000000004</v>
      </c>
      <c r="H123" s="3" t="str">
        <f t="shared" si="12"/>
        <v>L3X2X3/16</v>
      </c>
      <c r="I123" s="7">
        <v>2</v>
      </c>
      <c r="J123" s="5" t="s">
        <v>5</v>
      </c>
      <c r="K123" s="6" t="s">
        <v>5</v>
      </c>
      <c r="L123" s="6" t="s">
        <v>5</v>
      </c>
      <c r="M123" s="6" t="s">
        <v>5</v>
      </c>
      <c r="N123" s="6" t="s">
        <v>5</v>
      </c>
      <c r="O123" s="5" t="s">
        <v>5</v>
      </c>
      <c r="P123" s="5" t="s">
        <v>5</v>
      </c>
      <c r="Q123" s="7">
        <v>3</v>
      </c>
      <c r="R123" s="6" t="s">
        <v>5</v>
      </c>
      <c r="S123" s="6" t="s">
        <v>5</v>
      </c>
      <c r="T123" s="5" t="s">
        <v>5</v>
      </c>
      <c r="U123" s="8" t="s">
        <v>5</v>
      </c>
      <c r="V123" s="6" t="s">
        <v>5</v>
      </c>
      <c r="W123" s="8" t="s">
        <v>5</v>
      </c>
      <c r="X123" s="22">
        <v>0.188</v>
      </c>
      <c r="Y123" s="6" t="s">
        <v>5</v>
      </c>
      <c r="Z123" s="6" t="s">
        <v>5</v>
      </c>
      <c r="AA123" s="22">
        <v>0.5</v>
      </c>
      <c r="AB123" s="8">
        <v>0.5</v>
      </c>
      <c r="AC123" s="8" t="s">
        <v>5</v>
      </c>
      <c r="AD123" s="22">
        <v>0.46200000000000002</v>
      </c>
      <c r="AE123" s="22">
        <v>0.95199999999999996</v>
      </c>
      <c r="AF123" s="6" t="s">
        <v>5</v>
      </c>
      <c r="AG123" s="22">
        <v>0.153</v>
      </c>
      <c r="AH123" s="22">
        <v>0.55500000000000005</v>
      </c>
      <c r="AI123" s="6" t="s">
        <v>5</v>
      </c>
      <c r="AJ123" s="4">
        <v>16</v>
      </c>
      <c r="AK123" s="6" t="s">
        <v>5</v>
      </c>
      <c r="AL123" s="6" t="s">
        <v>5</v>
      </c>
      <c r="AM123" s="6" t="s">
        <v>5</v>
      </c>
      <c r="AN123" s="6" t="s">
        <v>5</v>
      </c>
      <c r="AO123" s="22">
        <v>0.84699999999999998</v>
      </c>
      <c r="AP123" s="22">
        <v>0.74299999999999999</v>
      </c>
      <c r="AQ123" s="22">
        <v>0.41399999999999998</v>
      </c>
      <c r="AR123" s="22">
        <v>0.96099999999999997</v>
      </c>
      <c r="AS123" s="22">
        <v>0.30499999999999999</v>
      </c>
      <c r="AT123" s="22">
        <v>0.35099999999999998</v>
      </c>
      <c r="AU123" s="22">
        <v>0.19800000000000001</v>
      </c>
      <c r="AV123" s="22">
        <v>0.57699999999999996</v>
      </c>
      <c r="AW123" s="6">
        <v>0.17299999999999999</v>
      </c>
      <c r="AX123" s="22">
        <v>0.435</v>
      </c>
      <c r="AY123" s="12">
        <v>0.16300000000000001</v>
      </c>
      <c r="AZ123" s="28">
        <v>1.1900000000000001E-2</v>
      </c>
      <c r="BA123" s="31">
        <v>5.7600000000000004E-3</v>
      </c>
      <c r="BB123" s="6" t="s">
        <v>5</v>
      </c>
      <c r="BC123" s="6" t="s">
        <v>5</v>
      </c>
      <c r="BD123" s="6" t="s">
        <v>5</v>
      </c>
      <c r="BE123" s="6" t="s">
        <v>5</v>
      </c>
      <c r="BF123" s="6" t="s">
        <v>5</v>
      </c>
      <c r="BG123" s="6" t="s">
        <v>5</v>
      </c>
      <c r="BH123" s="6" t="s">
        <v>5</v>
      </c>
      <c r="BI123" s="7">
        <v>1.46</v>
      </c>
      <c r="BJ123" s="24" t="s">
        <v>5</v>
      </c>
      <c r="BK123" s="23">
        <v>0.442</v>
      </c>
      <c r="BL123" s="6">
        <v>0.97899999999999998</v>
      </c>
      <c r="BM123" s="7">
        <v>1.41</v>
      </c>
      <c r="BN123" s="22">
        <v>0.68300000000000005</v>
      </c>
      <c r="BO123" s="7">
        <v>2.02</v>
      </c>
      <c r="BP123" s="6">
        <v>1.06</v>
      </c>
      <c r="BQ123" s="6">
        <v>0.80800000000000005</v>
      </c>
      <c r="BR123" s="22">
        <v>0.49299999999999999</v>
      </c>
      <c r="BS123" s="16">
        <v>0.69399999999999995</v>
      </c>
      <c r="BT123" s="16">
        <v>1.43</v>
      </c>
      <c r="BU123" s="16">
        <v>0.48499999999999999</v>
      </c>
      <c r="BV123" s="16">
        <v>0.16300000000000001</v>
      </c>
      <c r="BW123" s="16">
        <v>0.214</v>
      </c>
      <c r="BX123" s="16">
        <v>0.35099999999999998</v>
      </c>
      <c r="BY123" s="25" t="s">
        <v>5</v>
      </c>
      <c r="BZ123" s="25" t="s">
        <v>5</v>
      </c>
      <c r="CA123" s="7">
        <v>8</v>
      </c>
      <c r="CB123" s="7">
        <v>7</v>
      </c>
      <c r="CC123" s="4">
        <v>10</v>
      </c>
      <c r="CD123" s="25" t="s">
        <v>5</v>
      </c>
      <c r="CE123" s="25" t="s">
        <v>5</v>
      </c>
      <c r="CF123" s="16" t="s">
        <v>5</v>
      </c>
      <c r="CG123" s="16" t="s">
        <v>5</v>
      </c>
      <c r="CH123" s="18" t="s">
        <v>5</v>
      </c>
      <c r="CP123" s="370">
        <v>0.97499999999999998</v>
      </c>
      <c r="CQ123" s="372">
        <v>0.3125</v>
      </c>
      <c r="CS123" s="335" t="str">
        <f t="shared" si="13"/>
        <v>L2X2X3/8</v>
      </c>
      <c r="CT123" s="338">
        <v>1.37</v>
      </c>
      <c r="CV123" s="344" t="str">
        <f t="shared" si="14"/>
        <v>WT15X86.5</v>
      </c>
      <c r="CW123" s="337">
        <v>25.4</v>
      </c>
      <c r="DE123" s="335" t="str">
        <f t="shared" si="15"/>
        <v>2L3X3X1/2</v>
      </c>
      <c r="DF123" s="338">
        <v>5.52</v>
      </c>
      <c r="DH123" s="397" t="s">
        <v>1516</v>
      </c>
      <c r="DI123" s="398">
        <v>16.2</v>
      </c>
      <c r="DJ123" s="398">
        <v>23.6</v>
      </c>
      <c r="DK123" s="399">
        <v>0.39500000000000002</v>
      </c>
      <c r="DL123" s="398">
        <v>54.6</v>
      </c>
      <c r="DM123" s="400">
        <v>6.94</v>
      </c>
      <c r="DN123" s="401">
        <v>134</v>
      </c>
      <c r="DO123" s="402">
        <v>114</v>
      </c>
      <c r="DP123" s="117"/>
      <c r="DQ123" s="428" t="s">
        <v>1360</v>
      </c>
      <c r="DR123" s="429">
        <v>487</v>
      </c>
      <c r="DS123" s="429">
        <v>3400</v>
      </c>
      <c r="DT123" s="431"/>
      <c r="DU123" s="431"/>
      <c r="DV123" s="431"/>
      <c r="DW123" s="431"/>
      <c r="DX123" s="432"/>
      <c r="DZ123" s="447" t="s">
        <v>1410</v>
      </c>
      <c r="EA123" s="448">
        <v>84</v>
      </c>
      <c r="EB123" s="448">
        <v>24.7</v>
      </c>
      <c r="EC123" s="448">
        <v>24.1</v>
      </c>
      <c r="ED123" s="448" t="s">
        <v>1763</v>
      </c>
      <c r="EE123" s="448">
        <v>0.47</v>
      </c>
      <c r="EF123" s="449">
        <v>44928</v>
      </c>
      <c r="EG123" s="449">
        <v>44930</v>
      </c>
      <c r="EH123" s="448">
        <v>9.02</v>
      </c>
      <c r="EI123" s="448">
        <v>9</v>
      </c>
      <c r="EJ123" s="448">
        <v>0.77</v>
      </c>
      <c r="EK123" s="449">
        <v>44989</v>
      </c>
      <c r="EL123" s="448">
        <v>5.86</v>
      </c>
      <c r="EM123" s="448">
        <v>45.9</v>
      </c>
      <c r="EN123" s="448">
        <v>2370</v>
      </c>
      <c r="EO123" s="448">
        <v>196</v>
      </c>
      <c r="EP123" s="448">
        <v>9.7899999999999991</v>
      </c>
      <c r="EQ123" s="448">
        <v>224</v>
      </c>
      <c r="ER123" s="448">
        <v>94.4</v>
      </c>
      <c r="ES123" s="448">
        <v>20.9</v>
      </c>
      <c r="ET123" s="448">
        <v>1.95</v>
      </c>
      <c r="EU123" s="450">
        <v>32.6</v>
      </c>
    </row>
    <row r="124" spans="2:151">
      <c r="B124" s="78" t="s">
        <v>7</v>
      </c>
      <c r="C124" s="79" t="s">
        <v>129</v>
      </c>
      <c r="D124" s="80" t="s">
        <v>129</v>
      </c>
      <c r="E124" s="1" t="s">
        <v>4</v>
      </c>
      <c r="F124" s="7">
        <v>7.7</v>
      </c>
      <c r="G124" s="7">
        <v>2.2599999999999998</v>
      </c>
      <c r="H124" s="3" t="str">
        <f t="shared" si="12"/>
        <v>L2-1/2X2-1/2X1/2</v>
      </c>
      <c r="I124" s="7">
        <v>2.5</v>
      </c>
      <c r="J124" s="5" t="s">
        <v>5</v>
      </c>
      <c r="K124" s="6" t="s">
        <v>5</v>
      </c>
      <c r="L124" s="6" t="s">
        <v>5</v>
      </c>
      <c r="M124" s="6" t="s">
        <v>5</v>
      </c>
      <c r="N124" s="6" t="s">
        <v>5</v>
      </c>
      <c r="O124" s="5" t="s">
        <v>5</v>
      </c>
      <c r="P124" s="5" t="s">
        <v>5</v>
      </c>
      <c r="Q124" s="7">
        <v>2.5</v>
      </c>
      <c r="R124" s="6" t="s">
        <v>5</v>
      </c>
      <c r="S124" s="6" t="s">
        <v>5</v>
      </c>
      <c r="T124" s="5" t="s">
        <v>5</v>
      </c>
      <c r="U124" s="8" t="s">
        <v>5</v>
      </c>
      <c r="V124" s="6" t="s">
        <v>5</v>
      </c>
      <c r="W124" s="8" t="s">
        <v>5</v>
      </c>
      <c r="X124" s="22">
        <v>0.5</v>
      </c>
      <c r="Y124" s="6" t="s">
        <v>5</v>
      </c>
      <c r="Z124" s="6" t="s">
        <v>5</v>
      </c>
      <c r="AA124" s="22">
        <v>0.75</v>
      </c>
      <c r="AB124" s="8">
        <v>0.75</v>
      </c>
      <c r="AC124" s="8" t="s">
        <v>5</v>
      </c>
      <c r="AD124" s="22">
        <v>0.80300000000000005</v>
      </c>
      <c r="AE124" s="22">
        <v>0.80300000000000005</v>
      </c>
      <c r="AF124" s="6" t="s">
        <v>5</v>
      </c>
      <c r="AG124" s="22">
        <v>0.45200000000000001</v>
      </c>
      <c r="AH124" s="22">
        <v>0.45200000000000001</v>
      </c>
      <c r="AI124" s="6" t="s">
        <v>5</v>
      </c>
      <c r="AJ124" s="7">
        <v>5</v>
      </c>
      <c r="AK124" s="6" t="s">
        <v>5</v>
      </c>
      <c r="AL124" s="6" t="s">
        <v>5</v>
      </c>
      <c r="AM124" s="6" t="s">
        <v>5</v>
      </c>
      <c r="AN124" s="6" t="s">
        <v>5</v>
      </c>
      <c r="AO124" s="7">
        <v>1.22</v>
      </c>
      <c r="AP124" s="7">
        <v>1.29</v>
      </c>
      <c r="AQ124" s="22">
        <v>0.71599999999999997</v>
      </c>
      <c r="AR124" s="22">
        <v>0.73499999999999999</v>
      </c>
      <c r="AS124" s="7">
        <v>1.22</v>
      </c>
      <c r="AT124" s="7">
        <v>1.29</v>
      </c>
      <c r="AU124" s="22">
        <v>0.71599999999999997</v>
      </c>
      <c r="AV124" s="22">
        <v>0.73499999999999999</v>
      </c>
      <c r="AW124" s="6">
        <v>0.52600000000000002</v>
      </c>
      <c r="AX124" s="22">
        <v>0.48099999999999998</v>
      </c>
      <c r="AY124" s="12">
        <v>0.46100000000000002</v>
      </c>
      <c r="AZ124" s="22">
        <v>0.188</v>
      </c>
      <c r="BA124" s="28">
        <v>7.9100000000000004E-2</v>
      </c>
      <c r="BB124" s="6" t="s">
        <v>5</v>
      </c>
      <c r="BC124" s="6" t="s">
        <v>5</v>
      </c>
      <c r="BD124" s="6" t="s">
        <v>5</v>
      </c>
      <c r="BE124" s="6" t="s">
        <v>5</v>
      </c>
      <c r="BF124" s="6" t="s">
        <v>5</v>
      </c>
      <c r="BG124" s="6" t="s">
        <v>5</v>
      </c>
      <c r="BH124" s="6" t="s">
        <v>5</v>
      </c>
      <c r="BI124" s="7">
        <v>1.3</v>
      </c>
      <c r="BJ124" s="23">
        <v>0.64</v>
      </c>
      <c r="BK124" s="24">
        <v>1</v>
      </c>
      <c r="BL124" s="6">
        <v>1.92</v>
      </c>
      <c r="BM124" s="7">
        <v>1.59</v>
      </c>
      <c r="BN124" s="2">
        <v>0</v>
      </c>
      <c r="BO124" s="7">
        <v>1.59</v>
      </c>
      <c r="BP124" s="6">
        <v>0.80900000000000005</v>
      </c>
      <c r="BQ124" s="6">
        <v>1.1399999999999999</v>
      </c>
      <c r="BR124" s="22">
        <v>0.80900000000000005</v>
      </c>
      <c r="BS124" s="16">
        <v>1.21</v>
      </c>
      <c r="BT124" s="16" t="s">
        <v>5</v>
      </c>
      <c r="BU124" s="16">
        <v>1.21</v>
      </c>
      <c r="BV124" s="30">
        <v>0.65</v>
      </c>
      <c r="BW124" s="16">
        <v>0.46100000000000002</v>
      </c>
      <c r="BX124" s="30">
        <v>0.65</v>
      </c>
      <c r="BY124" s="25" t="s">
        <v>5</v>
      </c>
      <c r="BZ124" s="25" t="s">
        <v>5</v>
      </c>
      <c r="CA124" s="7">
        <v>7.5</v>
      </c>
      <c r="CB124" s="7">
        <v>7.5</v>
      </c>
      <c r="CC124" s="4">
        <v>10</v>
      </c>
      <c r="CD124" s="25" t="s">
        <v>5</v>
      </c>
      <c r="CE124" s="25" t="s">
        <v>5</v>
      </c>
      <c r="CF124" s="16" t="s">
        <v>5</v>
      </c>
      <c r="CG124" s="16" t="s">
        <v>5</v>
      </c>
      <c r="CH124" s="18" t="s">
        <v>5</v>
      </c>
      <c r="CP124" s="370">
        <v>1</v>
      </c>
      <c r="CQ124" s="372">
        <v>0.3125</v>
      </c>
      <c r="CS124" s="335" t="str">
        <f t="shared" si="13"/>
        <v>L3X2-1/2X1/4</v>
      </c>
      <c r="CT124" s="338">
        <v>1.32</v>
      </c>
      <c r="CV124" s="344" t="str">
        <f t="shared" si="14"/>
        <v>WT18X85</v>
      </c>
      <c r="CW124" s="337">
        <v>25</v>
      </c>
      <c r="DE124" s="335" t="str">
        <f t="shared" si="15"/>
        <v>2L3X3X1/2</v>
      </c>
      <c r="DF124" s="338">
        <v>5.52</v>
      </c>
      <c r="DH124" s="397" t="s">
        <v>1324</v>
      </c>
      <c r="DI124" s="410">
        <v>81.8</v>
      </c>
      <c r="DJ124" s="398">
        <v>24.1</v>
      </c>
      <c r="DK124" s="400">
        <v>1.22</v>
      </c>
      <c r="DL124" s="398">
        <v>14.2</v>
      </c>
      <c r="DM124" s="400">
        <v>2.95</v>
      </c>
      <c r="DN124" s="404">
        <v>749</v>
      </c>
      <c r="DO124" s="405">
        <v>638</v>
      </c>
      <c r="DP124" s="118"/>
      <c r="DQ124" s="428" t="s">
        <v>1361</v>
      </c>
      <c r="DR124" s="429">
        <v>481</v>
      </c>
      <c r="DS124" s="429">
        <v>3110</v>
      </c>
      <c r="DT124" s="431"/>
      <c r="DU124" s="431"/>
      <c r="DV124" s="431"/>
      <c r="DW124" s="431"/>
      <c r="DX124" s="432"/>
      <c r="DZ124" s="447" t="s">
        <v>1415</v>
      </c>
      <c r="EA124" s="448">
        <v>76</v>
      </c>
      <c r="EB124" s="448">
        <v>22.4</v>
      </c>
      <c r="EC124" s="448">
        <v>23.9</v>
      </c>
      <c r="ED124" s="448" t="s">
        <v>1764</v>
      </c>
      <c r="EE124" s="448">
        <v>0.44</v>
      </c>
      <c r="EF124" s="449">
        <v>45123</v>
      </c>
      <c r="EG124" s="449">
        <v>44930</v>
      </c>
      <c r="EH124" s="448">
        <v>8.99</v>
      </c>
      <c r="EI124" s="448">
        <v>9</v>
      </c>
      <c r="EJ124" s="448">
        <v>0.68</v>
      </c>
      <c r="EK124" s="449">
        <v>45246</v>
      </c>
      <c r="EL124" s="448">
        <v>6.61</v>
      </c>
      <c r="EM124" s="448">
        <v>49</v>
      </c>
      <c r="EN124" s="448">
        <v>2100</v>
      </c>
      <c r="EO124" s="448">
        <v>176</v>
      </c>
      <c r="EP124" s="448">
        <v>9.69</v>
      </c>
      <c r="EQ124" s="448">
        <v>200</v>
      </c>
      <c r="ER124" s="448">
        <v>82.5</v>
      </c>
      <c r="ES124" s="448">
        <v>18.399999999999999</v>
      </c>
      <c r="ET124" s="448">
        <v>1.92</v>
      </c>
      <c r="EU124" s="450">
        <v>28.6</v>
      </c>
    </row>
    <row r="125" spans="2:151" ht="14.4" thickBot="1">
      <c r="B125" s="78" t="s">
        <v>7</v>
      </c>
      <c r="C125" s="79" t="s">
        <v>130</v>
      </c>
      <c r="D125" s="80" t="s">
        <v>130</v>
      </c>
      <c r="E125" s="1" t="s">
        <v>4</v>
      </c>
      <c r="F125" s="7">
        <v>5.9</v>
      </c>
      <c r="G125" s="7">
        <v>1.73</v>
      </c>
      <c r="H125" s="3" t="str">
        <f t="shared" si="12"/>
        <v>L2-1/2X2-1/2X3/8</v>
      </c>
      <c r="I125" s="7">
        <v>2.5</v>
      </c>
      <c r="J125" s="5" t="s">
        <v>5</v>
      </c>
      <c r="K125" s="6" t="s">
        <v>5</v>
      </c>
      <c r="L125" s="6" t="s">
        <v>5</v>
      </c>
      <c r="M125" s="6" t="s">
        <v>5</v>
      </c>
      <c r="N125" s="6" t="s">
        <v>5</v>
      </c>
      <c r="O125" s="5" t="s">
        <v>5</v>
      </c>
      <c r="P125" s="5" t="s">
        <v>5</v>
      </c>
      <c r="Q125" s="7">
        <v>2.5</v>
      </c>
      <c r="R125" s="6" t="s">
        <v>5</v>
      </c>
      <c r="S125" s="6" t="s">
        <v>5</v>
      </c>
      <c r="T125" s="5" t="s">
        <v>5</v>
      </c>
      <c r="U125" s="8" t="s">
        <v>5</v>
      </c>
      <c r="V125" s="6" t="s">
        <v>5</v>
      </c>
      <c r="W125" s="8" t="s">
        <v>5</v>
      </c>
      <c r="X125" s="22">
        <v>0.375</v>
      </c>
      <c r="Y125" s="6" t="s">
        <v>5</v>
      </c>
      <c r="Z125" s="6" t="s">
        <v>5</v>
      </c>
      <c r="AA125" s="22">
        <v>0.625</v>
      </c>
      <c r="AB125" s="8">
        <v>0.625</v>
      </c>
      <c r="AC125" s="8" t="s">
        <v>5</v>
      </c>
      <c r="AD125" s="22">
        <v>0.75800000000000001</v>
      </c>
      <c r="AE125" s="22">
        <v>0.75800000000000001</v>
      </c>
      <c r="AF125" s="6" t="s">
        <v>5</v>
      </c>
      <c r="AG125" s="22">
        <v>0.34599999999999997</v>
      </c>
      <c r="AH125" s="22">
        <v>0.34599999999999997</v>
      </c>
      <c r="AI125" s="6" t="s">
        <v>5</v>
      </c>
      <c r="AJ125" s="7">
        <v>6.67</v>
      </c>
      <c r="AK125" s="6" t="s">
        <v>5</v>
      </c>
      <c r="AL125" s="6" t="s">
        <v>5</v>
      </c>
      <c r="AM125" s="6" t="s">
        <v>5</v>
      </c>
      <c r="AN125" s="6" t="s">
        <v>5</v>
      </c>
      <c r="AO125" s="22">
        <v>0.97199999999999998</v>
      </c>
      <c r="AP125" s="7">
        <v>1.01</v>
      </c>
      <c r="AQ125" s="22">
        <v>0.55800000000000005</v>
      </c>
      <c r="AR125" s="22">
        <v>0.749</v>
      </c>
      <c r="AS125" s="22">
        <v>0.97199999999999998</v>
      </c>
      <c r="AT125" s="7">
        <v>1.01</v>
      </c>
      <c r="AU125" s="22">
        <v>0.55800000000000005</v>
      </c>
      <c r="AV125" s="22">
        <v>0.749</v>
      </c>
      <c r="AW125" s="22">
        <v>0.4</v>
      </c>
      <c r="AX125" s="22">
        <v>0.48099999999999998</v>
      </c>
      <c r="AY125" s="12">
        <v>0.374</v>
      </c>
      <c r="AZ125" s="28">
        <v>8.3299999999999999E-2</v>
      </c>
      <c r="BA125" s="28">
        <v>3.6200000000000003E-2</v>
      </c>
      <c r="BB125" s="6" t="s">
        <v>5</v>
      </c>
      <c r="BC125" s="6" t="s">
        <v>5</v>
      </c>
      <c r="BD125" s="6" t="s">
        <v>5</v>
      </c>
      <c r="BE125" s="6" t="s">
        <v>5</v>
      </c>
      <c r="BF125" s="6" t="s">
        <v>5</v>
      </c>
      <c r="BG125" s="6" t="s">
        <v>5</v>
      </c>
      <c r="BH125" s="6" t="s">
        <v>5</v>
      </c>
      <c r="BI125" s="7">
        <v>1.33</v>
      </c>
      <c r="BJ125" s="23">
        <v>0.63</v>
      </c>
      <c r="BK125" s="24">
        <v>1</v>
      </c>
      <c r="BL125" s="6">
        <v>1.54</v>
      </c>
      <c r="BM125" s="7">
        <v>1.64</v>
      </c>
      <c r="BN125" s="2">
        <v>0</v>
      </c>
      <c r="BO125" s="7">
        <v>1.64</v>
      </c>
      <c r="BP125" s="6">
        <v>0.82799999999999996</v>
      </c>
      <c r="BQ125" s="6">
        <v>1.07</v>
      </c>
      <c r="BR125" s="22">
        <v>0.82799999999999996</v>
      </c>
      <c r="BS125" s="16">
        <v>0.93899999999999995</v>
      </c>
      <c r="BT125" s="16" t="s">
        <v>5</v>
      </c>
      <c r="BU125" s="16">
        <v>0.93899999999999995</v>
      </c>
      <c r="BV125" s="16">
        <v>0.48299999999999998</v>
      </c>
      <c r="BW125" s="16">
        <v>0.374</v>
      </c>
      <c r="BX125" s="16">
        <v>0.48299999999999998</v>
      </c>
      <c r="BY125" s="25" t="s">
        <v>5</v>
      </c>
      <c r="BZ125" s="25" t="s">
        <v>5</v>
      </c>
      <c r="CA125" s="7">
        <v>7.5</v>
      </c>
      <c r="CB125" s="7">
        <v>7.5</v>
      </c>
      <c r="CC125" s="4">
        <v>10</v>
      </c>
      <c r="CD125" s="25" t="s">
        <v>5</v>
      </c>
      <c r="CE125" s="25" t="s">
        <v>5</v>
      </c>
      <c r="CF125" s="16" t="s">
        <v>5</v>
      </c>
      <c r="CG125" s="16" t="s">
        <v>5</v>
      </c>
      <c r="CH125" s="18" t="s">
        <v>5</v>
      </c>
      <c r="CP125" s="373"/>
      <c r="CQ125" s="374"/>
      <c r="CS125" s="335" t="str">
        <f t="shared" si="13"/>
        <v>L3X2-1/2X1/4</v>
      </c>
      <c r="CT125" s="338">
        <v>1.32</v>
      </c>
      <c r="CV125" s="344" t="str">
        <f t="shared" si="14"/>
        <v>WT18X85</v>
      </c>
      <c r="CW125" s="337">
        <v>25</v>
      </c>
      <c r="DE125" s="335" t="str">
        <f t="shared" si="15"/>
        <v>2L3X3X1/2</v>
      </c>
      <c r="DF125" s="338">
        <v>5.52</v>
      </c>
      <c r="DH125" s="397" t="s">
        <v>1334</v>
      </c>
      <c r="DI125" s="410">
        <v>73.8</v>
      </c>
      <c r="DJ125" s="398">
        <v>23.7</v>
      </c>
      <c r="DK125" s="400">
        <v>1.1000000000000001</v>
      </c>
      <c r="DL125" s="398">
        <v>15.8</v>
      </c>
      <c r="DM125" s="400">
        <v>3.22</v>
      </c>
      <c r="DN125" s="404">
        <v>671</v>
      </c>
      <c r="DO125" s="405">
        <v>576</v>
      </c>
      <c r="DP125" s="118"/>
      <c r="DQ125" s="428" t="s">
        <v>1362</v>
      </c>
      <c r="DR125" s="429">
        <v>476</v>
      </c>
      <c r="DS125" s="429">
        <v>4730</v>
      </c>
      <c r="DT125" s="431"/>
      <c r="DU125" s="431"/>
      <c r="DV125" s="431"/>
      <c r="DW125" s="431"/>
      <c r="DX125" s="432"/>
      <c r="DZ125" s="447" t="s">
        <v>1421</v>
      </c>
      <c r="EA125" s="448">
        <v>68</v>
      </c>
      <c r="EB125" s="448">
        <v>20.100000000000001</v>
      </c>
      <c r="EC125" s="448">
        <v>23.7</v>
      </c>
      <c r="ED125" s="448" t="s">
        <v>1765</v>
      </c>
      <c r="EE125" s="448">
        <v>0.41499999999999998</v>
      </c>
      <c r="EF125" s="449">
        <v>45123</v>
      </c>
      <c r="EG125" s="449">
        <v>44930</v>
      </c>
      <c r="EH125" s="448">
        <v>8.9700000000000006</v>
      </c>
      <c r="EI125" s="448">
        <v>9</v>
      </c>
      <c r="EJ125" s="448">
        <v>0.58499999999999996</v>
      </c>
      <c r="EK125" s="449">
        <v>45185</v>
      </c>
      <c r="EL125" s="448">
        <v>7.66</v>
      </c>
      <c r="EM125" s="448">
        <v>52</v>
      </c>
      <c r="EN125" s="448">
        <v>1830</v>
      </c>
      <c r="EO125" s="448">
        <v>154</v>
      </c>
      <c r="EP125" s="448">
        <v>9.5500000000000007</v>
      </c>
      <c r="EQ125" s="448">
        <v>177</v>
      </c>
      <c r="ER125" s="448">
        <v>70.400000000000006</v>
      </c>
      <c r="ES125" s="448">
        <v>15.7</v>
      </c>
      <c r="ET125" s="448">
        <v>1.87</v>
      </c>
      <c r="EU125" s="450">
        <v>24.5</v>
      </c>
    </row>
    <row r="126" spans="2:151">
      <c r="B126" s="78" t="s">
        <v>7</v>
      </c>
      <c r="C126" s="79" t="s">
        <v>131</v>
      </c>
      <c r="D126" s="80" t="s">
        <v>131</v>
      </c>
      <c r="E126" s="1" t="s">
        <v>4</v>
      </c>
      <c r="F126" s="7">
        <v>5</v>
      </c>
      <c r="G126" s="7">
        <v>1.46</v>
      </c>
      <c r="H126" s="3" t="str">
        <f t="shared" si="12"/>
        <v>L2-1/2X2-1/2X5/16</v>
      </c>
      <c r="I126" s="7">
        <v>2.5</v>
      </c>
      <c r="J126" s="5" t="s">
        <v>5</v>
      </c>
      <c r="K126" s="6" t="s">
        <v>5</v>
      </c>
      <c r="L126" s="6" t="s">
        <v>5</v>
      </c>
      <c r="M126" s="6" t="s">
        <v>5</v>
      </c>
      <c r="N126" s="6" t="s">
        <v>5</v>
      </c>
      <c r="O126" s="5" t="s">
        <v>5</v>
      </c>
      <c r="P126" s="5" t="s">
        <v>5</v>
      </c>
      <c r="Q126" s="7">
        <v>2.5</v>
      </c>
      <c r="R126" s="6" t="s">
        <v>5</v>
      </c>
      <c r="S126" s="6" t="s">
        <v>5</v>
      </c>
      <c r="T126" s="5" t="s">
        <v>5</v>
      </c>
      <c r="U126" s="8" t="s">
        <v>5</v>
      </c>
      <c r="V126" s="6" t="s">
        <v>5</v>
      </c>
      <c r="W126" s="8" t="s">
        <v>5</v>
      </c>
      <c r="X126" s="22">
        <v>0.313</v>
      </c>
      <c r="Y126" s="6" t="s">
        <v>5</v>
      </c>
      <c r="Z126" s="6" t="s">
        <v>5</v>
      </c>
      <c r="AA126" s="22">
        <v>0.56299999999999994</v>
      </c>
      <c r="AB126" s="8">
        <v>0.5625</v>
      </c>
      <c r="AC126" s="8" t="s">
        <v>5</v>
      </c>
      <c r="AD126" s="22">
        <v>0.73499999999999999</v>
      </c>
      <c r="AE126" s="22">
        <v>0.73499999999999999</v>
      </c>
      <c r="AF126" s="6" t="s">
        <v>5</v>
      </c>
      <c r="AG126" s="22">
        <v>0.29199999999999998</v>
      </c>
      <c r="AH126" s="22">
        <v>0.29199999999999998</v>
      </c>
      <c r="AI126" s="6" t="s">
        <v>5</v>
      </c>
      <c r="AJ126" s="7">
        <v>7.99</v>
      </c>
      <c r="AK126" s="6" t="s">
        <v>5</v>
      </c>
      <c r="AL126" s="6" t="s">
        <v>5</v>
      </c>
      <c r="AM126" s="6" t="s">
        <v>5</v>
      </c>
      <c r="AN126" s="6" t="s">
        <v>5</v>
      </c>
      <c r="AO126" s="22">
        <v>0.83699999999999997</v>
      </c>
      <c r="AP126" s="22">
        <v>0.85299999999999998</v>
      </c>
      <c r="AQ126" s="22">
        <v>0.47399999999999998</v>
      </c>
      <c r="AR126" s="22">
        <v>0.75600000000000001</v>
      </c>
      <c r="AS126" s="22">
        <v>0.83699999999999997</v>
      </c>
      <c r="AT126" s="22">
        <v>0.85299999999999998</v>
      </c>
      <c r="AU126" s="22">
        <v>0.47399999999999998</v>
      </c>
      <c r="AV126" s="22">
        <v>0.75600000000000001</v>
      </c>
      <c r="AW126" s="6">
        <v>0.33800000000000002</v>
      </c>
      <c r="AX126" s="22">
        <v>0.48099999999999998</v>
      </c>
      <c r="AY126" s="12">
        <v>0.32500000000000001</v>
      </c>
      <c r="AZ126" s="28">
        <v>4.9500000000000002E-2</v>
      </c>
      <c r="BA126" s="28">
        <v>2.18E-2</v>
      </c>
      <c r="BB126" s="6" t="s">
        <v>5</v>
      </c>
      <c r="BC126" s="6" t="s">
        <v>5</v>
      </c>
      <c r="BD126" s="6" t="s">
        <v>5</v>
      </c>
      <c r="BE126" s="6" t="s">
        <v>5</v>
      </c>
      <c r="BF126" s="6" t="s">
        <v>5</v>
      </c>
      <c r="BG126" s="6" t="s">
        <v>5</v>
      </c>
      <c r="BH126" s="6" t="s">
        <v>5</v>
      </c>
      <c r="BI126" s="7">
        <v>1.35</v>
      </c>
      <c r="BJ126" s="23">
        <v>0.63</v>
      </c>
      <c r="BK126" s="24">
        <v>1</v>
      </c>
      <c r="BL126" s="6">
        <v>1.34</v>
      </c>
      <c r="BM126" s="7">
        <v>1.66</v>
      </c>
      <c r="BN126" s="2">
        <v>0</v>
      </c>
      <c r="BO126" s="7">
        <v>1.66</v>
      </c>
      <c r="BP126" s="6">
        <v>0.83899999999999997</v>
      </c>
      <c r="BQ126" s="6">
        <v>1.04</v>
      </c>
      <c r="BR126" s="22">
        <v>0.83899999999999997</v>
      </c>
      <c r="BS126" s="16">
        <v>0.80700000000000005</v>
      </c>
      <c r="BT126" s="16" t="s">
        <v>5</v>
      </c>
      <c r="BU126" s="16">
        <v>0.80700000000000005</v>
      </c>
      <c r="BV126" s="16">
        <v>0.40300000000000002</v>
      </c>
      <c r="BW126" s="16">
        <v>0.32500000000000001</v>
      </c>
      <c r="BX126" s="16">
        <v>0.40300000000000002</v>
      </c>
      <c r="BY126" s="25" t="s">
        <v>5</v>
      </c>
      <c r="BZ126" s="25" t="s">
        <v>5</v>
      </c>
      <c r="CA126" s="7">
        <v>7.5</v>
      </c>
      <c r="CB126" s="7">
        <v>7.5</v>
      </c>
      <c r="CC126" s="4">
        <v>10</v>
      </c>
      <c r="CD126" s="25" t="s">
        <v>5</v>
      </c>
      <c r="CE126" s="25" t="s">
        <v>5</v>
      </c>
      <c r="CF126" s="16" t="s">
        <v>5</v>
      </c>
      <c r="CG126" s="16" t="s">
        <v>5</v>
      </c>
      <c r="CH126" s="18" t="s">
        <v>5</v>
      </c>
      <c r="CS126" s="335" t="str">
        <f t="shared" si="13"/>
        <v>L3X2X1/4</v>
      </c>
      <c r="CT126" s="338">
        <v>1.2</v>
      </c>
      <c r="CV126" s="344" t="str">
        <f t="shared" si="14"/>
        <v>WT16.5X84.5</v>
      </c>
      <c r="CW126" s="337">
        <v>24.7</v>
      </c>
      <c r="DE126" s="335" t="str">
        <f t="shared" si="15"/>
        <v>2L3-1/2X3-1/2X3/8</v>
      </c>
      <c r="DF126" s="338">
        <v>5</v>
      </c>
      <c r="DH126" s="397" t="s">
        <v>1344</v>
      </c>
      <c r="DI126" s="410">
        <v>66.5</v>
      </c>
      <c r="DJ126" s="398">
        <v>23.4</v>
      </c>
      <c r="DK126" s="400">
        <v>1</v>
      </c>
      <c r="DL126" s="398">
        <v>17.5</v>
      </c>
      <c r="DM126" s="400">
        <v>3.55</v>
      </c>
      <c r="DN126" s="404">
        <v>601</v>
      </c>
      <c r="DO126" s="405">
        <v>520</v>
      </c>
      <c r="DP126" s="118"/>
      <c r="DQ126" s="428" t="s">
        <v>1363</v>
      </c>
      <c r="DR126" s="429">
        <v>468</v>
      </c>
      <c r="DS126" s="429">
        <v>5170</v>
      </c>
      <c r="DT126" s="431"/>
      <c r="DU126" s="431"/>
      <c r="DV126" s="431"/>
      <c r="DW126" s="431"/>
      <c r="DX126" s="432"/>
      <c r="DZ126" s="447" t="s">
        <v>1429</v>
      </c>
      <c r="EA126" s="448">
        <v>62</v>
      </c>
      <c r="EB126" s="448">
        <v>18.2</v>
      </c>
      <c r="EC126" s="448">
        <v>23.7</v>
      </c>
      <c r="ED126" s="448" t="s">
        <v>1765</v>
      </c>
      <c r="EE126" s="448">
        <v>0.43</v>
      </c>
      <c r="EF126" s="449">
        <v>45123</v>
      </c>
      <c r="EG126" s="449">
        <v>44930</v>
      </c>
      <c r="EH126" s="448">
        <v>7.04</v>
      </c>
      <c r="EI126" s="448">
        <v>7</v>
      </c>
      <c r="EJ126" s="448">
        <v>0.59</v>
      </c>
      <c r="EK126" s="449">
        <v>45185</v>
      </c>
      <c r="EL126" s="448">
        <v>5.97</v>
      </c>
      <c r="EM126" s="448">
        <v>50.1</v>
      </c>
      <c r="EN126" s="448">
        <v>1550</v>
      </c>
      <c r="EO126" s="448">
        <v>131</v>
      </c>
      <c r="EP126" s="448">
        <v>9.23</v>
      </c>
      <c r="EQ126" s="448">
        <v>153</v>
      </c>
      <c r="ER126" s="448">
        <v>34.5</v>
      </c>
      <c r="ES126" s="448">
        <v>9.8000000000000007</v>
      </c>
      <c r="ET126" s="448">
        <v>1.38</v>
      </c>
      <c r="EU126" s="450">
        <v>15.7</v>
      </c>
    </row>
    <row r="127" spans="2:151">
      <c r="B127" s="78" t="s">
        <v>7</v>
      </c>
      <c r="C127" s="79" t="s">
        <v>132</v>
      </c>
      <c r="D127" s="80" t="s">
        <v>132</v>
      </c>
      <c r="E127" s="1" t="s">
        <v>4</v>
      </c>
      <c r="F127" s="7">
        <v>4.0999999999999996</v>
      </c>
      <c r="G127" s="7">
        <v>1.19</v>
      </c>
      <c r="H127" s="3" t="str">
        <f t="shared" si="12"/>
        <v>L2-1/2X2-1/2X1/4</v>
      </c>
      <c r="I127" s="7">
        <v>2.5</v>
      </c>
      <c r="J127" s="5" t="s">
        <v>5</v>
      </c>
      <c r="K127" s="6" t="s">
        <v>5</v>
      </c>
      <c r="L127" s="6" t="s">
        <v>5</v>
      </c>
      <c r="M127" s="6" t="s">
        <v>5</v>
      </c>
      <c r="N127" s="6" t="s">
        <v>5</v>
      </c>
      <c r="O127" s="5" t="s">
        <v>5</v>
      </c>
      <c r="P127" s="5" t="s">
        <v>5</v>
      </c>
      <c r="Q127" s="7">
        <v>2.5</v>
      </c>
      <c r="R127" s="6" t="s">
        <v>5</v>
      </c>
      <c r="S127" s="6" t="s">
        <v>5</v>
      </c>
      <c r="T127" s="5" t="s">
        <v>5</v>
      </c>
      <c r="U127" s="8" t="s">
        <v>5</v>
      </c>
      <c r="V127" s="6" t="s">
        <v>5</v>
      </c>
      <c r="W127" s="8" t="s">
        <v>5</v>
      </c>
      <c r="X127" s="22">
        <v>0.25</v>
      </c>
      <c r="Y127" s="6" t="s">
        <v>5</v>
      </c>
      <c r="Z127" s="6" t="s">
        <v>5</v>
      </c>
      <c r="AA127" s="22">
        <v>0.5</v>
      </c>
      <c r="AB127" s="8">
        <v>0.5</v>
      </c>
      <c r="AC127" s="8" t="s">
        <v>5</v>
      </c>
      <c r="AD127" s="22">
        <v>0.71099999999999997</v>
      </c>
      <c r="AE127" s="22">
        <v>0.71099999999999997</v>
      </c>
      <c r="AF127" s="6" t="s">
        <v>5</v>
      </c>
      <c r="AG127" s="22">
        <v>0.23799999999999999</v>
      </c>
      <c r="AH127" s="22">
        <v>0.23799999999999999</v>
      </c>
      <c r="AI127" s="6" t="s">
        <v>5</v>
      </c>
      <c r="AJ127" s="4">
        <v>10</v>
      </c>
      <c r="AK127" s="6" t="s">
        <v>5</v>
      </c>
      <c r="AL127" s="6" t="s">
        <v>5</v>
      </c>
      <c r="AM127" s="6" t="s">
        <v>5</v>
      </c>
      <c r="AN127" s="6" t="s">
        <v>5</v>
      </c>
      <c r="AO127" s="22">
        <v>0.69199999999999995</v>
      </c>
      <c r="AP127" s="22">
        <v>0.69499999999999995</v>
      </c>
      <c r="AQ127" s="22">
        <v>0.38700000000000001</v>
      </c>
      <c r="AR127" s="22">
        <v>0.76400000000000001</v>
      </c>
      <c r="AS127" s="22">
        <v>0.69199999999999995</v>
      </c>
      <c r="AT127" s="22">
        <v>0.69499999999999995</v>
      </c>
      <c r="AU127" s="22">
        <v>0.38700000000000001</v>
      </c>
      <c r="AV127" s="22">
        <v>0.76400000000000001</v>
      </c>
      <c r="AW127" s="6">
        <v>0.27600000000000002</v>
      </c>
      <c r="AX127" s="22">
        <v>0.48199999999999998</v>
      </c>
      <c r="AY127" s="12">
        <v>0.27300000000000002</v>
      </c>
      <c r="AZ127" s="28">
        <v>2.6100000000000002E-2</v>
      </c>
      <c r="BA127" s="28">
        <v>1.1599999999999999E-2</v>
      </c>
      <c r="BB127" s="6" t="s">
        <v>5</v>
      </c>
      <c r="BC127" s="6" t="s">
        <v>5</v>
      </c>
      <c r="BD127" s="6" t="s">
        <v>5</v>
      </c>
      <c r="BE127" s="6" t="s">
        <v>5</v>
      </c>
      <c r="BF127" s="6" t="s">
        <v>5</v>
      </c>
      <c r="BG127" s="6" t="s">
        <v>5</v>
      </c>
      <c r="BH127" s="6" t="s">
        <v>5</v>
      </c>
      <c r="BI127" s="7">
        <v>1.36</v>
      </c>
      <c r="BJ127" s="23">
        <v>0.63</v>
      </c>
      <c r="BK127" s="24">
        <v>1</v>
      </c>
      <c r="BL127" s="6">
        <v>1.1100000000000001</v>
      </c>
      <c r="BM127" s="7">
        <v>1.68</v>
      </c>
      <c r="BN127" s="2">
        <v>0</v>
      </c>
      <c r="BO127" s="7">
        <v>1.68</v>
      </c>
      <c r="BP127" s="6">
        <v>0.85099999999999998</v>
      </c>
      <c r="BQ127" s="6">
        <v>1.01</v>
      </c>
      <c r="BR127" s="22">
        <v>0.85099999999999998</v>
      </c>
      <c r="BS127" s="16">
        <v>0.66100000000000003</v>
      </c>
      <c r="BT127" s="16" t="s">
        <v>5</v>
      </c>
      <c r="BU127" s="16">
        <v>0.66100000000000003</v>
      </c>
      <c r="BV127" s="16">
        <v>0.32400000000000001</v>
      </c>
      <c r="BW127" s="16">
        <v>0.27300000000000002</v>
      </c>
      <c r="BX127" s="16">
        <v>0.32400000000000001</v>
      </c>
      <c r="BY127" s="25" t="s">
        <v>5</v>
      </c>
      <c r="BZ127" s="25" t="s">
        <v>5</v>
      </c>
      <c r="CA127" s="7">
        <v>7.5</v>
      </c>
      <c r="CB127" s="7">
        <v>7.5</v>
      </c>
      <c r="CC127" s="4">
        <v>10</v>
      </c>
      <c r="CD127" s="25" t="s">
        <v>5</v>
      </c>
      <c r="CE127" s="25" t="s">
        <v>5</v>
      </c>
      <c r="CF127" s="16" t="s">
        <v>5</v>
      </c>
      <c r="CG127" s="16" t="s">
        <v>5</v>
      </c>
      <c r="CH127" s="18" t="s">
        <v>5</v>
      </c>
      <c r="CS127" s="335" t="str">
        <f t="shared" si="13"/>
        <v>L2-1/2X2-1/2X1/4</v>
      </c>
      <c r="CT127" s="338">
        <v>1.19</v>
      </c>
      <c r="CV127" s="344" t="str">
        <f t="shared" si="14"/>
        <v>WT20X83.5</v>
      </c>
      <c r="CW127" s="337">
        <v>24.5</v>
      </c>
      <c r="DE127" s="335" t="str">
        <f t="shared" si="15"/>
        <v>2L3-1/2X3-1/2X3/8</v>
      </c>
      <c r="DF127" s="338">
        <v>5</v>
      </c>
      <c r="DH127" s="397" t="s">
        <v>1353</v>
      </c>
      <c r="DI127" s="398">
        <v>59.3</v>
      </c>
      <c r="DJ127" s="398">
        <v>23</v>
      </c>
      <c r="DK127" s="399">
        <v>0.91</v>
      </c>
      <c r="DL127" s="407">
        <v>20.6</v>
      </c>
      <c r="DM127" s="400">
        <v>3.86</v>
      </c>
      <c r="DN127" s="408">
        <v>530</v>
      </c>
      <c r="DO127" s="409">
        <v>461</v>
      </c>
      <c r="DP127" s="119"/>
      <c r="DQ127" s="428" t="s">
        <v>1364</v>
      </c>
      <c r="DR127" s="429">
        <v>467</v>
      </c>
      <c r="DS127" s="429">
        <v>6710</v>
      </c>
      <c r="DT127" s="431"/>
      <c r="DU127" s="431"/>
      <c r="DV127" s="431"/>
      <c r="DW127" s="431"/>
      <c r="DX127" s="432"/>
      <c r="DZ127" s="447" t="s">
        <v>1516</v>
      </c>
      <c r="EA127" s="448">
        <v>55</v>
      </c>
      <c r="EB127" s="448">
        <v>16.2</v>
      </c>
      <c r="EC127" s="448">
        <v>23.6</v>
      </c>
      <c r="ED127" s="448" t="s">
        <v>1766</v>
      </c>
      <c r="EE127" s="448">
        <v>0.39500000000000002</v>
      </c>
      <c r="EF127" s="449">
        <v>44993</v>
      </c>
      <c r="EG127" s="449">
        <v>45001</v>
      </c>
      <c r="EH127" s="448">
        <v>7.01</v>
      </c>
      <c r="EI127" s="448">
        <v>7</v>
      </c>
      <c r="EJ127" s="448">
        <v>0.505</v>
      </c>
      <c r="EK127" s="449">
        <v>44928</v>
      </c>
      <c r="EL127" s="448">
        <v>6.94</v>
      </c>
      <c r="EM127" s="448">
        <v>54.6</v>
      </c>
      <c r="EN127" s="448">
        <v>1350</v>
      </c>
      <c r="EO127" s="448">
        <v>114</v>
      </c>
      <c r="EP127" s="448">
        <v>9.11</v>
      </c>
      <c r="EQ127" s="448">
        <v>134</v>
      </c>
      <c r="ER127" s="448">
        <v>29.1</v>
      </c>
      <c r="ES127" s="448">
        <v>8.3000000000000007</v>
      </c>
      <c r="ET127" s="448">
        <v>1.34</v>
      </c>
      <c r="EU127" s="450">
        <v>13.3</v>
      </c>
    </row>
    <row r="128" spans="2:151">
      <c r="B128" s="78" t="s">
        <v>7</v>
      </c>
      <c r="C128" s="79" t="s">
        <v>133</v>
      </c>
      <c r="D128" s="80" t="s">
        <v>133</v>
      </c>
      <c r="E128" s="1" t="s">
        <v>4</v>
      </c>
      <c r="F128" s="7">
        <v>3.07</v>
      </c>
      <c r="G128" s="22">
        <v>0.90100000000000002</v>
      </c>
      <c r="H128" s="3" t="str">
        <f t="shared" si="12"/>
        <v>L2-1/2X2-1/2X3/16</v>
      </c>
      <c r="I128" s="7">
        <v>2.5</v>
      </c>
      <c r="J128" s="5" t="s">
        <v>5</v>
      </c>
      <c r="K128" s="6" t="s">
        <v>5</v>
      </c>
      <c r="L128" s="6" t="s">
        <v>5</v>
      </c>
      <c r="M128" s="6" t="s">
        <v>5</v>
      </c>
      <c r="N128" s="6" t="s">
        <v>5</v>
      </c>
      <c r="O128" s="5" t="s">
        <v>5</v>
      </c>
      <c r="P128" s="5" t="s">
        <v>5</v>
      </c>
      <c r="Q128" s="7">
        <v>2.5</v>
      </c>
      <c r="R128" s="6" t="s">
        <v>5</v>
      </c>
      <c r="S128" s="6" t="s">
        <v>5</v>
      </c>
      <c r="T128" s="5" t="s">
        <v>5</v>
      </c>
      <c r="U128" s="8" t="s">
        <v>5</v>
      </c>
      <c r="V128" s="6" t="s">
        <v>5</v>
      </c>
      <c r="W128" s="8" t="s">
        <v>5</v>
      </c>
      <c r="X128" s="22">
        <v>0.188</v>
      </c>
      <c r="Y128" s="6" t="s">
        <v>5</v>
      </c>
      <c r="Z128" s="6" t="s">
        <v>5</v>
      </c>
      <c r="AA128" s="22">
        <v>0.438</v>
      </c>
      <c r="AB128" s="8">
        <v>0.4375</v>
      </c>
      <c r="AC128" s="8" t="s">
        <v>5</v>
      </c>
      <c r="AD128" s="22">
        <v>0.68700000000000006</v>
      </c>
      <c r="AE128" s="22">
        <v>0.68700000000000006</v>
      </c>
      <c r="AF128" s="6" t="s">
        <v>5</v>
      </c>
      <c r="AG128" s="22">
        <v>0.18</v>
      </c>
      <c r="AH128" s="22">
        <v>0.18</v>
      </c>
      <c r="AI128" s="6" t="s">
        <v>5</v>
      </c>
      <c r="AJ128" s="4">
        <v>13.3</v>
      </c>
      <c r="AK128" s="6" t="s">
        <v>5</v>
      </c>
      <c r="AL128" s="6" t="s">
        <v>5</v>
      </c>
      <c r="AM128" s="6" t="s">
        <v>5</v>
      </c>
      <c r="AN128" s="6" t="s">
        <v>5</v>
      </c>
      <c r="AO128" s="22">
        <v>0.53500000000000003</v>
      </c>
      <c r="AP128" s="22">
        <v>0.52900000000000003</v>
      </c>
      <c r="AQ128" s="22">
        <v>0.29499999999999998</v>
      </c>
      <c r="AR128" s="22">
        <v>0.77100000000000002</v>
      </c>
      <c r="AS128" s="22">
        <v>0.53500000000000003</v>
      </c>
      <c r="AT128" s="22">
        <v>0.52900000000000003</v>
      </c>
      <c r="AU128" s="22">
        <v>0.29499999999999998</v>
      </c>
      <c r="AV128" s="22">
        <v>0.77100000000000002</v>
      </c>
      <c r="AW128" s="6">
        <v>0.20899999999999999</v>
      </c>
      <c r="AX128" s="22">
        <v>0.48199999999999998</v>
      </c>
      <c r="AY128" s="12">
        <v>0.215</v>
      </c>
      <c r="AZ128" s="28">
        <v>1.14E-2</v>
      </c>
      <c r="BA128" s="31">
        <v>5.1000000000000004E-3</v>
      </c>
      <c r="BB128" s="6" t="s">
        <v>5</v>
      </c>
      <c r="BC128" s="6" t="s">
        <v>5</v>
      </c>
      <c r="BD128" s="6" t="s">
        <v>5</v>
      </c>
      <c r="BE128" s="6" t="s">
        <v>5</v>
      </c>
      <c r="BF128" s="6" t="s">
        <v>5</v>
      </c>
      <c r="BG128" s="6" t="s">
        <v>5</v>
      </c>
      <c r="BH128" s="6" t="s">
        <v>5</v>
      </c>
      <c r="BI128" s="7">
        <v>1.38</v>
      </c>
      <c r="BJ128" s="23">
        <v>0.63</v>
      </c>
      <c r="BK128" s="24">
        <v>1</v>
      </c>
      <c r="BL128" s="22">
        <v>0.86</v>
      </c>
      <c r="BM128" s="7">
        <v>1.7</v>
      </c>
      <c r="BN128" s="2">
        <v>0</v>
      </c>
      <c r="BO128" s="7">
        <v>1.7</v>
      </c>
      <c r="BP128" s="6">
        <v>0.86299999999999999</v>
      </c>
      <c r="BQ128" s="6">
        <v>0.97199999999999998</v>
      </c>
      <c r="BR128" s="22">
        <v>0.86299999999999999</v>
      </c>
      <c r="BS128" s="16">
        <v>0.50600000000000001</v>
      </c>
      <c r="BT128" s="16" t="s">
        <v>5</v>
      </c>
      <c r="BU128" s="16">
        <v>0.50600000000000001</v>
      </c>
      <c r="BV128" s="16">
        <v>0.24199999999999999</v>
      </c>
      <c r="BW128" s="16">
        <v>0.215</v>
      </c>
      <c r="BX128" s="16">
        <v>0.24199999999999999</v>
      </c>
      <c r="BY128" s="25" t="s">
        <v>5</v>
      </c>
      <c r="BZ128" s="25" t="s">
        <v>5</v>
      </c>
      <c r="CA128" s="7">
        <v>7.5</v>
      </c>
      <c r="CB128" s="7">
        <v>7.5</v>
      </c>
      <c r="CC128" s="4">
        <v>10</v>
      </c>
      <c r="CD128" s="25" t="s">
        <v>5</v>
      </c>
      <c r="CE128" s="25" t="s">
        <v>5</v>
      </c>
      <c r="CF128" s="16" t="s">
        <v>5</v>
      </c>
      <c r="CG128" s="16" t="s">
        <v>5</v>
      </c>
      <c r="CH128" s="18" t="s">
        <v>5</v>
      </c>
      <c r="CS128" s="335" t="str">
        <f t="shared" si="13"/>
        <v>L2X2X5/16</v>
      </c>
      <c r="CT128" s="338">
        <v>1.1599999999999999</v>
      </c>
      <c r="CV128" s="344" t="str">
        <f t="shared" si="14"/>
        <v>WT10.5X83</v>
      </c>
      <c r="CW128" s="337">
        <v>24.4</v>
      </c>
      <c r="DE128" s="335" t="str">
        <f t="shared" si="15"/>
        <v>2L3-1/2X3-1/2X3/8</v>
      </c>
      <c r="DF128" s="338">
        <v>5</v>
      </c>
      <c r="DH128" s="397" t="s">
        <v>1362</v>
      </c>
      <c r="DI128" s="398">
        <v>53.6</v>
      </c>
      <c r="DJ128" s="398">
        <v>22.7</v>
      </c>
      <c r="DK128" s="399">
        <v>0.83</v>
      </c>
      <c r="DL128" s="407">
        <v>22.6</v>
      </c>
      <c r="DM128" s="400">
        <v>4.22</v>
      </c>
      <c r="DN128" s="408">
        <v>476</v>
      </c>
      <c r="DO128" s="409">
        <v>417</v>
      </c>
      <c r="DP128" s="119"/>
      <c r="DQ128" s="428" t="s">
        <v>1365</v>
      </c>
      <c r="DR128" s="429">
        <v>464</v>
      </c>
      <c r="DS128" s="429">
        <v>5660</v>
      </c>
      <c r="DT128" s="431"/>
      <c r="DU128" s="431"/>
      <c r="DV128" s="431"/>
      <c r="DW128" s="431"/>
      <c r="DX128" s="432"/>
      <c r="DZ128" s="447" t="s">
        <v>1324</v>
      </c>
      <c r="EA128" s="448">
        <v>275</v>
      </c>
      <c r="EB128" s="448">
        <v>81.8</v>
      </c>
      <c r="EC128" s="448">
        <v>24.1</v>
      </c>
      <c r="ED128" s="448" t="s">
        <v>1763</v>
      </c>
      <c r="EE128" s="448">
        <v>1.22</v>
      </c>
      <c r="EF128" s="448" t="s">
        <v>1624</v>
      </c>
      <c r="EG128" s="449">
        <v>45054</v>
      </c>
      <c r="EH128" s="448">
        <v>12.9</v>
      </c>
      <c r="EI128" s="448" t="s">
        <v>1757</v>
      </c>
      <c r="EJ128" s="448">
        <v>2.19</v>
      </c>
      <c r="EK128" s="448" t="s">
        <v>1638</v>
      </c>
      <c r="EL128" s="448">
        <v>2.95</v>
      </c>
      <c r="EM128" s="448">
        <v>14.2</v>
      </c>
      <c r="EN128" s="448">
        <v>7690</v>
      </c>
      <c r="EO128" s="448">
        <v>638</v>
      </c>
      <c r="EP128" s="448">
        <v>9.6999999999999993</v>
      </c>
      <c r="EQ128" s="448">
        <v>749</v>
      </c>
      <c r="ER128" s="448">
        <v>787</v>
      </c>
      <c r="ES128" s="448">
        <v>122</v>
      </c>
      <c r="ET128" s="448">
        <v>3.1</v>
      </c>
      <c r="EU128" s="450">
        <v>191</v>
      </c>
    </row>
    <row r="129" spans="2:151">
      <c r="B129" s="78" t="s">
        <v>7</v>
      </c>
      <c r="C129" s="79" t="s">
        <v>134</v>
      </c>
      <c r="D129" s="80" t="s">
        <v>134</v>
      </c>
      <c r="E129" s="1" t="s">
        <v>4</v>
      </c>
      <c r="F129" s="7">
        <v>5.3</v>
      </c>
      <c r="G129" s="7">
        <v>1.55</v>
      </c>
      <c r="H129" s="3" t="str">
        <f t="shared" si="12"/>
        <v>L2-1/2X2X3/8</v>
      </c>
      <c r="I129" s="7">
        <v>2</v>
      </c>
      <c r="J129" s="5" t="s">
        <v>5</v>
      </c>
      <c r="K129" s="6" t="s">
        <v>5</v>
      </c>
      <c r="L129" s="6" t="s">
        <v>5</v>
      </c>
      <c r="M129" s="6" t="s">
        <v>5</v>
      </c>
      <c r="N129" s="6" t="s">
        <v>5</v>
      </c>
      <c r="O129" s="5" t="s">
        <v>5</v>
      </c>
      <c r="P129" s="5" t="s">
        <v>5</v>
      </c>
      <c r="Q129" s="7">
        <v>2.5</v>
      </c>
      <c r="R129" s="6" t="s">
        <v>5</v>
      </c>
      <c r="S129" s="6" t="s">
        <v>5</v>
      </c>
      <c r="T129" s="5" t="s">
        <v>5</v>
      </c>
      <c r="U129" s="8" t="s">
        <v>5</v>
      </c>
      <c r="V129" s="6" t="s">
        <v>5</v>
      </c>
      <c r="W129" s="8" t="s">
        <v>5</v>
      </c>
      <c r="X129" s="22">
        <v>0.375</v>
      </c>
      <c r="Y129" s="6" t="s">
        <v>5</v>
      </c>
      <c r="Z129" s="6" t="s">
        <v>5</v>
      </c>
      <c r="AA129" s="22">
        <v>0.625</v>
      </c>
      <c r="AB129" s="8">
        <v>0.625</v>
      </c>
      <c r="AC129" s="8" t="s">
        <v>5</v>
      </c>
      <c r="AD129" s="22">
        <v>0.57799999999999996</v>
      </c>
      <c r="AE129" s="22">
        <v>0.82599999999999996</v>
      </c>
      <c r="AF129" s="6" t="s">
        <v>5</v>
      </c>
      <c r="AG129" s="22">
        <v>0.31</v>
      </c>
      <c r="AH129" s="22">
        <v>0.433</v>
      </c>
      <c r="AI129" s="6" t="s">
        <v>5</v>
      </c>
      <c r="AJ129" s="7">
        <v>6.67</v>
      </c>
      <c r="AK129" s="6" t="s">
        <v>5</v>
      </c>
      <c r="AL129" s="6" t="s">
        <v>5</v>
      </c>
      <c r="AM129" s="6" t="s">
        <v>5</v>
      </c>
      <c r="AN129" s="6" t="s">
        <v>5</v>
      </c>
      <c r="AO129" s="22">
        <v>0.91400000000000003</v>
      </c>
      <c r="AP129" s="22">
        <v>0.98199999999999998</v>
      </c>
      <c r="AQ129" s="22">
        <v>0.54600000000000004</v>
      </c>
      <c r="AR129" s="22">
        <v>0.76600000000000001</v>
      </c>
      <c r="AS129" s="22">
        <v>0.51300000000000001</v>
      </c>
      <c r="AT129" s="22">
        <v>0.65700000000000003</v>
      </c>
      <c r="AU129" s="22">
        <v>0.36099999999999999</v>
      </c>
      <c r="AV129" s="22">
        <v>0.57399999999999995</v>
      </c>
      <c r="AW129" s="6">
        <v>0.27300000000000002</v>
      </c>
      <c r="AX129" s="22">
        <v>0.41899999999999998</v>
      </c>
      <c r="AY129" s="12">
        <v>0.29499999999999998</v>
      </c>
      <c r="AZ129" s="28">
        <v>7.46E-2</v>
      </c>
      <c r="BA129" s="28">
        <v>2.6800000000000001E-2</v>
      </c>
      <c r="BB129" s="6" t="s">
        <v>5</v>
      </c>
      <c r="BC129" s="6" t="s">
        <v>5</v>
      </c>
      <c r="BD129" s="6" t="s">
        <v>5</v>
      </c>
      <c r="BE129" s="6" t="s">
        <v>5</v>
      </c>
      <c r="BF129" s="6" t="s">
        <v>5</v>
      </c>
      <c r="BG129" s="6" t="s">
        <v>5</v>
      </c>
      <c r="BH129" s="6" t="s">
        <v>5</v>
      </c>
      <c r="BI129" s="7">
        <v>1.22</v>
      </c>
      <c r="BJ129" s="24" t="s">
        <v>5</v>
      </c>
      <c r="BK129" s="23">
        <v>0.61199999999999999</v>
      </c>
      <c r="BL129" s="6">
        <v>1.1499999999999999</v>
      </c>
      <c r="BM129" s="7">
        <v>1.29</v>
      </c>
      <c r="BN129" s="22">
        <v>0.40300000000000002</v>
      </c>
      <c r="BO129" s="7">
        <v>1.63</v>
      </c>
      <c r="BP129" s="22">
        <v>0.88</v>
      </c>
      <c r="BQ129" s="6">
        <v>0.92400000000000004</v>
      </c>
      <c r="BR129" s="22">
        <v>0.54100000000000004</v>
      </c>
      <c r="BS129" s="16">
        <v>0.89100000000000001</v>
      </c>
      <c r="BT129" s="16">
        <v>2.85</v>
      </c>
      <c r="BU129" s="16">
        <v>0.70599999999999996</v>
      </c>
      <c r="BV129" s="30">
        <v>0.31</v>
      </c>
      <c r="BW129" s="16">
        <v>0.29499999999999998</v>
      </c>
      <c r="BX129" s="16">
        <v>0.505</v>
      </c>
      <c r="BY129" s="25" t="s">
        <v>5</v>
      </c>
      <c r="BZ129" s="25" t="s">
        <v>5</v>
      </c>
      <c r="CA129" s="7">
        <v>7</v>
      </c>
      <c r="CB129" s="7">
        <v>6.5</v>
      </c>
      <c r="CC129" s="7">
        <v>9</v>
      </c>
      <c r="CD129" s="25" t="s">
        <v>5</v>
      </c>
      <c r="CE129" s="25" t="s">
        <v>5</v>
      </c>
      <c r="CF129" s="16" t="s">
        <v>5</v>
      </c>
      <c r="CG129" s="16" t="s">
        <v>5</v>
      </c>
      <c r="CH129" s="18" t="s">
        <v>5</v>
      </c>
      <c r="CS129" s="335" t="str">
        <f t="shared" si="13"/>
        <v>L3X3X3/16</v>
      </c>
      <c r="CT129" s="338">
        <v>1.0900000000000001</v>
      </c>
      <c r="CV129" s="344" t="str">
        <f t="shared" si="14"/>
        <v>WT12X81</v>
      </c>
      <c r="CW129" s="337">
        <v>23.9</v>
      </c>
      <c r="DE129" s="335" t="str">
        <f t="shared" si="15"/>
        <v>2L3X3X7/16</v>
      </c>
      <c r="DF129" s="338">
        <v>4.8600000000000003</v>
      </c>
      <c r="DH129" s="397" t="s">
        <v>1369</v>
      </c>
      <c r="DI129" s="398">
        <v>48.8</v>
      </c>
      <c r="DJ129" s="398">
        <v>22.5</v>
      </c>
      <c r="DK129" s="399">
        <v>0.75</v>
      </c>
      <c r="DL129" s="407">
        <v>25</v>
      </c>
      <c r="DM129" s="400">
        <v>4.57</v>
      </c>
      <c r="DN129" s="408">
        <v>432</v>
      </c>
      <c r="DO129" s="409">
        <v>380</v>
      </c>
      <c r="DP129" s="119"/>
      <c r="DQ129" s="428" t="s">
        <v>1366</v>
      </c>
      <c r="DR129" s="429">
        <v>442</v>
      </c>
      <c r="DS129" s="429">
        <v>3870</v>
      </c>
      <c r="DT129" s="431"/>
      <c r="DU129" s="431"/>
      <c r="DV129" s="431"/>
      <c r="DW129" s="431"/>
      <c r="DX129" s="432"/>
      <c r="DZ129" s="447" t="s">
        <v>1334</v>
      </c>
      <c r="EA129" s="448">
        <v>248</v>
      </c>
      <c r="EB129" s="448">
        <v>73.8</v>
      </c>
      <c r="EC129" s="448">
        <v>23.7</v>
      </c>
      <c r="ED129" s="448" t="s">
        <v>1765</v>
      </c>
      <c r="EE129" s="448">
        <v>1.1000000000000001</v>
      </c>
      <c r="EF129" s="448" t="s">
        <v>1643</v>
      </c>
      <c r="EG129" s="449">
        <v>45185</v>
      </c>
      <c r="EH129" s="448">
        <v>12.8</v>
      </c>
      <c r="EI129" s="448" t="s">
        <v>1761</v>
      </c>
      <c r="EJ129" s="448">
        <v>1.99</v>
      </c>
      <c r="EK129" s="448">
        <v>2</v>
      </c>
      <c r="EL129" s="448">
        <v>3.22</v>
      </c>
      <c r="EM129" s="448">
        <v>15.8</v>
      </c>
      <c r="EN129" s="448">
        <v>6830</v>
      </c>
      <c r="EO129" s="448">
        <v>576</v>
      </c>
      <c r="EP129" s="448">
        <v>9.6199999999999992</v>
      </c>
      <c r="EQ129" s="448">
        <v>671</v>
      </c>
      <c r="ER129" s="448">
        <v>699</v>
      </c>
      <c r="ES129" s="448">
        <v>109</v>
      </c>
      <c r="ET129" s="448">
        <v>3.08</v>
      </c>
      <c r="EU129" s="450">
        <v>170</v>
      </c>
    </row>
    <row r="130" spans="2:151">
      <c r="B130" s="78" t="s">
        <v>7</v>
      </c>
      <c r="C130" s="79" t="s">
        <v>135</v>
      </c>
      <c r="D130" s="80" t="s">
        <v>135</v>
      </c>
      <c r="E130" s="1" t="s">
        <v>4</v>
      </c>
      <c r="F130" s="7">
        <v>4.5</v>
      </c>
      <c r="G130" s="7">
        <v>1.32</v>
      </c>
      <c r="H130" s="3" t="str">
        <f t="shared" si="12"/>
        <v>L2-1/2X2X5/16</v>
      </c>
      <c r="I130" s="7">
        <v>2</v>
      </c>
      <c r="J130" s="5" t="s">
        <v>5</v>
      </c>
      <c r="K130" s="6" t="s">
        <v>5</v>
      </c>
      <c r="L130" s="6" t="s">
        <v>5</v>
      </c>
      <c r="M130" s="6" t="s">
        <v>5</v>
      </c>
      <c r="N130" s="6" t="s">
        <v>5</v>
      </c>
      <c r="O130" s="5" t="s">
        <v>5</v>
      </c>
      <c r="P130" s="5" t="s">
        <v>5</v>
      </c>
      <c r="Q130" s="7">
        <v>2.5</v>
      </c>
      <c r="R130" s="6" t="s">
        <v>5</v>
      </c>
      <c r="S130" s="6" t="s">
        <v>5</v>
      </c>
      <c r="T130" s="5" t="s">
        <v>5</v>
      </c>
      <c r="U130" s="8" t="s">
        <v>5</v>
      </c>
      <c r="V130" s="6" t="s">
        <v>5</v>
      </c>
      <c r="W130" s="8" t="s">
        <v>5</v>
      </c>
      <c r="X130" s="22">
        <v>0.313</v>
      </c>
      <c r="Y130" s="6" t="s">
        <v>5</v>
      </c>
      <c r="Z130" s="6" t="s">
        <v>5</v>
      </c>
      <c r="AA130" s="22">
        <v>0.56299999999999994</v>
      </c>
      <c r="AB130" s="8">
        <v>0.5625</v>
      </c>
      <c r="AC130" s="8" t="s">
        <v>5</v>
      </c>
      <c r="AD130" s="22">
        <v>0.55500000000000005</v>
      </c>
      <c r="AE130" s="22">
        <v>0.80300000000000005</v>
      </c>
      <c r="AF130" s="6" t="s">
        <v>5</v>
      </c>
      <c r="AG130" s="22">
        <v>0.26400000000000001</v>
      </c>
      <c r="AH130" s="22">
        <v>0.38800000000000001</v>
      </c>
      <c r="AI130" s="6" t="s">
        <v>5</v>
      </c>
      <c r="AJ130" s="7">
        <v>7.99</v>
      </c>
      <c r="AK130" s="6" t="s">
        <v>5</v>
      </c>
      <c r="AL130" s="6" t="s">
        <v>5</v>
      </c>
      <c r="AM130" s="6" t="s">
        <v>5</v>
      </c>
      <c r="AN130" s="6" t="s">
        <v>5</v>
      </c>
      <c r="AO130" s="22">
        <v>0.79</v>
      </c>
      <c r="AP130" s="22">
        <v>0.83899999999999997</v>
      </c>
      <c r="AQ130" s="22">
        <v>0.46500000000000002</v>
      </c>
      <c r="AR130" s="22">
        <v>0.77400000000000002</v>
      </c>
      <c r="AS130" s="22">
        <v>0.44600000000000001</v>
      </c>
      <c r="AT130" s="22">
        <v>0.55700000000000005</v>
      </c>
      <c r="AU130" s="22">
        <v>0.309</v>
      </c>
      <c r="AV130" s="22">
        <v>0.58099999999999996</v>
      </c>
      <c r="AW130" s="6">
        <v>0.23300000000000001</v>
      </c>
      <c r="AX130" s="22">
        <v>0.42</v>
      </c>
      <c r="AY130" s="12">
        <v>0.26100000000000001</v>
      </c>
      <c r="AZ130" s="28">
        <v>4.4400000000000002E-2</v>
      </c>
      <c r="BA130" s="28">
        <v>1.6199999999999999E-2</v>
      </c>
      <c r="BB130" s="6" t="s">
        <v>5</v>
      </c>
      <c r="BC130" s="6" t="s">
        <v>5</v>
      </c>
      <c r="BD130" s="6" t="s">
        <v>5</v>
      </c>
      <c r="BE130" s="6" t="s">
        <v>5</v>
      </c>
      <c r="BF130" s="6" t="s">
        <v>5</v>
      </c>
      <c r="BG130" s="6" t="s">
        <v>5</v>
      </c>
      <c r="BH130" s="6" t="s">
        <v>5</v>
      </c>
      <c r="BI130" s="7">
        <v>1.23</v>
      </c>
      <c r="BJ130" s="24" t="s">
        <v>5</v>
      </c>
      <c r="BK130" s="23">
        <v>0.61799999999999999</v>
      </c>
      <c r="BL130" s="7">
        <v>1</v>
      </c>
      <c r="BM130" s="7">
        <v>1.31</v>
      </c>
      <c r="BN130" s="22">
        <v>0.39100000000000001</v>
      </c>
      <c r="BO130" s="7">
        <v>1.65</v>
      </c>
      <c r="BP130" s="6">
        <v>0.88900000000000001</v>
      </c>
      <c r="BQ130" s="6">
        <v>0.89400000000000002</v>
      </c>
      <c r="BR130" s="22">
        <v>0.55400000000000005</v>
      </c>
      <c r="BS130" s="16">
        <v>0.76300000000000001</v>
      </c>
      <c r="BT130" s="16">
        <v>2.56</v>
      </c>
      <c r="BU130" s="16">
        <v>0.60599999999999998</v>
      </c>
      <c r="BV130" s="16">
        <v>0.26200000000000001</v>
      </c>
      <c r="BW130" s="16">
        <v>0.26100000000000001</v>
      </c>
      <c r="BX130" s="16">
        <v>0.42099999999999999</v>
      </c>
      <c r="BY130" s="25" t="s">
        <v>5</v>
      </c>
      <c r="BZ130" s="25" t="s">
        <v>5</v>
      </c>
      <c r="CA130" s="7">
        <v>7</v>
      </c>
      <c r="CB130" s="7">
        <v>6.5</v>
      </c>
      <c r="CC130" s="7">
        <v>9</v>
      </c>
      <c r="CD130" s="25" t="s">
        <v>5</v>
      </c>
      <c r="CE130" s="25" t="s">
        <v>5</v>
      </c>
      <c r="CF130" s="16" t="s">
        <v>5</v>
      </c>
      <c r="CG130" s="16" t="s">
        <v>5</v>
      </c>
      <c r="CH130" s="18" t="s">
        <v>5</v>
      </c>
      <c r="CS130" s="335" t="str">
        <f t="shared" si="13"/>
        <v>L2-1/2X2X1/4</v>
      </c>
      <c r="CT130" s="338">
        <v>1.07</v>
      </c>
      <c r="CV130" s="344" t="str">
        <f t="shared" si="14"/>
        <v>WT13.5X80.5</v>
      </c>
      <c r="CW130" s="337">
        <v>23.8</v>
      </c>
      <c r="DE130" s="335" t="str">
        <f t="shared" si="15"/>
        <v>2L3X3X7/16</v>
      </c>
      <c r="DF130" s="338">
        <v>4.8600000000000003</v>
      </c>
      <c r="DH130" s="397" t="s">
        <v>1379</v>
      </c>
      <c r="DI130" s="398">
        <v>43.2</v>
      </c>
      <c r="DJ130" s="398">
        <v>22.1</v>
      </c>
      <c r="DK130" s="399">
        <v>0.72</v>
      </c>
      <c r="DL130" s="407">
        <v>26.1</v>
      </c>
      <c r="DM130" s="400">
        <v>5.44</v>
      </c>
      <c r="DN130" s="408">
        <v>373</v>
      </c>
      <c r="DO130" s="409">
        <v>329</v>
      </c>
      <c r="DP130" s="119"/>
      <c r="DQ130" s="428" t="s">
        <v>1367</v>
      </c>
      <c r="DR130" s="429">
        <v>437</v>
      </c>
      <c r="DS130" s="429">
        <v>5770</v>
      </c>
      <c r="DT130" s="431"/>
      <c r="DU130" s="431"/>
      <c r="DV130" s="431"/>
      <c r="DW130" s="431"/>
      <c r="DX130" s="432"/>
      <c r="DZ130" s="447" t="s">
        <v>1344</v>
      </c>
      <c r="EA130" s="448">
        <v>223</v>
      </c>
      <c r="EB130" s="448">
        <v>66.5</v>
      </c>
      <c r="EC130" s="448">
        <v>23.4</v>
      </c>
      <c r="ED130" s="448" t="s">
        <v>1767</v>
      </c>
      <c r="EE130" s="448">
        <v>1</v>
      </c>
      <c r="EF130" s="448">
        <v>1</v>
      </c>
      <c r="EG130" s="449">
        <v>44928</v>
      </c>
      <c r="EH130" s="448">
        <v>12.7</v>
      </c>
      <c r="EI130" s="448" t="s">
        <v>1768</v>
      </c>
      <c r="EJ130" s="448">
        <v>1.79</v>
      </c>
      <c r="EK130" s="448" t="s">
        <v>1627</v>
      </c>
      <c r="EL130" s="448">
        <v>3.55</v>
      </c>
      <c r="EM130" s="448">
        <v>17.5</v>
      </c>
      <c r="EN130" s="448">
        <v>6080</v>
      </c>
      <c r="EO130" s="448">
        <v>520</v>
      </c>
      <c r="EP130" s="448">
        <v>9.56</v>
      </c>
      <c r="EQ130" s="448">
        <v>601</v>
      </c>
      <c r="ER130" s="448">
        <v>614</v>
      </c>
      <c r="ES130" s="448">
        <v>96.7</v>
      </c>
      <c r="ET130" s="448">
        <v>3.04</v>
      </c>
      <c r="EU130" s="450">
        <v>150</v>
      </c>
    </row>
    <row r="131" spans="2:151">
      <c r="B131" s="78" t="s">
        <v>7</v>
      </c>
      <c r="C131" s="79" t="s">
        <v>136</v>
      </c>
      <c r="D131" s="80" t="s">
        <v>136</v>
      </c>
      <c r="E131" s="1" t="s">
        <v>4</v>
      </c>
      <c r="F131" s="7">
        <v>3.62</v>
      </c>
      <c r="G131" s="7">
        <v>1.07</v>
      </c>
      <c r="H131" s="3" t="str">
        <f t="shared" si="12"/>
        <v>L2-1/2X2X1/4</v>
      </c>
      <c r="I131" s="7">
        <v>2</v>
      </c>
      <c r="J131" s="5" t="s">
        <v>5</v>
      </c>
      <c r="K131" s="6" t="s">
        <v>5</v>
      </c>
      <c r="L131" s="6" t="s">
        <v>5</v>
      </c>
      <c r="M131" s="6" t="s">
        <v>5</v>
      </c>
      <c r="N131" s="6" t="s">
        <v>5</v>
      </c>
      <c r="O131" s="5" t="s">
        <v>5</v>
      </c>
      <c r="P131" s="5" t="s">
        <v>5</v>
      </c>
      <c r="Q131" s="7">
        <v>2.5</v>
      </c>
      <c r="R131" s="6" t="s">
        <v>5</v>
      </c>
      <c r="S131" s="6" t="s">
        <v>5</v>
      </c>
      <c r="T131" s="5" t="s">
        <v>5</v>
      </c>
      <c r="U131" s="8" t="s">
        <v>5</v>
      </c>
      <c r="V131" s="6" t="s">
        <v>5</v>
      </c>
      <c r="W131" s="8" t="s">
        <v>5</v>
      </c>
      <c r="X131" s="22">
        <v>0.25</v>
      </c>
      <c r="Y131" s="6" t="s">
        <v>5</v>
      </c>
      <c r="Z131" s="6" t="s">
        <v>5</v>
      </c>
      <c r="AA131" s="22">
        <v>0.5</v>
      </c>
      <c r="AB131" s="8">
        <v>0.5</v>
      </c>
      <c r="AC131" s="8" t="s">
        <v>5</v>
      </c>
      <c r="AD131" s="22">
        <v>0.53200000000000003</v>
      </c>
      <c r="AE131" s="22">
        <v>0.77900000000000003</v>
      </c>
      <c r="AF131" s="6" t="s">
        <v>5</v>
      </c>
      <c r="AG131" s="22">
        <v>0.214</v>
      </c>
      <c r="AH131" s="22">
        <v>0.36</v>
      </c>
      <c r="AI131" s="6" t="s">
        <v>5</v>
      </c>
      <c r="AJ131" s="4">
        <v>10</v>
      </c>
      <c r="AK131" s="6" t="s">
        <v>5</v>
      </c>
      <c r="AL131" s="6" t="s">
        <v>5</v>
      </c>
      <c r="AM131" s="6" t="s">
        <v>5</v>
      </c>
      <c r="AN131" s="6" t="s">
        <v>5</v>
      </c>
      <c r="AO131" s="22">
        <v>0.65600000000000003</v>
      </c>
      <c r="AP131" s="22">
        <v>0.68799999999999994</v>
      </c>
      <c r="AQ131" s="22">
        <v>0.38100000000000001</v>
      </c>
      <c r="AR131" s="22">
        <v>0.78200000000000003</v>
      </c>
      <c r="AS131" s="22">
        <v>0.372</v>
      </c>
      <c r="AT131" s="22">
        <v>0.45400000000000001</v>
      </c>
      <c r="AU131" s="22">
        <v>0.253</v>
      </c>
      <c r="AV131" s="22">
        <v>0.58899999999999997</v>
      </c>
      <c r="AW131" s="6">
        <v>0.192</v>
      </c>
      <c r="AX131" s="22">
        <v>0.42299999999999999</v>
      </c>
      <c r="AY131" s="12">
        <v>0.21299999999999999</v>
      </c>
      <c r="AZ131" s="28">
        <v>2.35E-2</v>
      </c>
      <c r="BA131" s="31">
        <v>8.6800000000000002E-3</v>
      </c>
      <c r="BB131" s="6" t="s">
        <v>5</v>
      </c>
      <c r="BC131" s="6" t="s">
        <v>5</v>
      </c>
      <c r="BD131" s="6" t="s">
        <v>5</v>
      </c>
      <c r="BE131" s="6" t="s">
        <v>5</v>
      </c>
      <c r="BF131" s="6" t="s">
        <v>5</v>
      </c>
      <c r="BG131" s="6" t="s">
        <v>5</v>
      </c>
      <c r="BH131" s="6" t="s">
        <v>5</v>
      </c>
      <c r="BI131" s="7">
        <v>1.25</v>
      </c>
      <c r="BJ131" s="24" t="s">
        <v>5</v>
      </c>
      <c r="BK131" s="23">
        <v>0.624</v>
      </c>
      <c r="BL131" s="6">
        <v>0.83699999999999997</v>
      </c>
      <c r="BM131" s="7">
        <v>1.33</v>
      </c>
      <c r="BN131" s="22">
        <v>0.38</v>
      </c>
      <c r="BO131" s="7">
        <v>1.68</v>
      </c>
      <c r="BP131" s="22">
        <v>0.9</v>
      </c>
      <c r="BQ131" s="6">
        <v>0.86399999999999999</v>
      </c>
      <c r="BR131" s="22">
        <v>0.56499999999999995</v>
      </c>
      <c r="BS131" s="16">
        <v>0.629</v>
      </c>
      <c r="BT131" s="26">
        <v>2.2000000000000002</v>
      </c>
      <c r="BU131" s="16">
        <v>0.498</v>
      </c>
      <c r="BV131" s="16">
        <v>0.21299999999999999</v>
      </c>
      <c r="BW131" s="16">
        <v>0.222</v>
      </c>
      <c r="BX131" s="30">
        <v>0.34</v>
      </c>
      <c r="BY131" s="25" t="s">
        <v>5</v>
      </c>
      <c r="BZ131" s="25" t="s">
        <v>5</v>
      </c>
      <c r="CA131" s="7">
        <v>7</v>
      </c>
      <c r="CB131" s="7">
        <v>6.5</v>
      </c>
      <c r="CC131" s="7">
        <v>9</v>
      </c>
      <c r="CD131" s="25" t="s">
        <v>5</v>
      </c>
      <c r="CE131" s="25" t="s">
        <v>5</v>
      </c>
      <c r="CF131" s="16" t="s">
        <v>5</v>
      </c>
      <c r="CG131" s="16" t="s">
        <v>5</v>
      </c>
      <c r="CH131" s="18" t="s">
        <v>5</v>
      </c>
      <c r="CS131" s="335" t="str">
        <f t="shared" si="13"/>
        <v>L3X2-1/2X3/16</v>
      </c>
      <c r="CT131" s="338">
        <v>1</v>
      </c>
      <c r="CV131" s="344" t="str">
        <f t="shared" si="14"/>
        <v>WT18X80</v>
      </c>
      <c r="CW131" s="337">
        <v>23.5</v>
      </c>
      <c r="DE131" s="335" t="str">
        <f t="shared" si="15"/>
        <v>2L3X3X7/16</v>
      </c>
      <c r="DF131" s="338">
        <v>4.8600000000000003</v>
      </c>
      <c r="DH131" s="397" t="s">
        <v>1386</v>
      </c>
      <c r="DI131" s="398">
        <v>38.799999999999997</v>
      </c>
      <c r="DJ131" s="398">
        <v>21.8</v>
      </c>
      <c r="DK131" s="399">
        <v>0.65</v>
      </c>
      <c r="DL131" s="407">
        <v>28.9</v>
      </c>
      <c r="DM131" s="400">
        <v>6.01</v>
      </c>
      <c r="DN131" s="408">
        <v>333</v>
      </c>
      <c r="DO131" s="409">
        <v>295</v>
      </c>
      <c r="DP131" s="119"/>
      <c r="DQ131" s="428" t="s">
        <v>1368</v>
      </c>
      <c r="DR131" s="429">
        <v>436</v>
      </c>
      <c r="DS131" s="429">
        <v>3010</v>
      </c>
      <c r="DT131" s="431"/>
      <c r="DU131" s="431"/>
      <c r="DV131" s="431"/>
      <c r="DW131" s="431"/>
      <c r="DX131" s="432"/>
      <c r="DZ131" s="447" t="s">
        <v>1353</v>
      </c>
      <c r="EA131" s="448">
        <v>201</v>
      </c>
      <c r="EB131" s="448">
        <v>59.3</v>
      </c>
      <c r="EC131" s="448">
        <v>23</v>
      </c>
      <c r="ED131" s="448">
        <v>23</v>
      </c>
      <c r="EE131" s="448">
        <v>0.91</v>
      </c>
      <c r="EF131" s="448" t="s">
        <v>1628</v>
      </c>
      <c r="EG131" s="449">
        <v>44928</v>
      </c>
      <c r="EH131" s="448">
        <v>12.6</v>
      </c>
      <c r="EI131" s="448" t="s">
        <v>1768</v>
      </c>
      <c r="EJ131" s="448">
        <v>1.63</v>
      </c>
      <c r="EK131" s="448" t="s">
        <v>1646</v>
      </c>
      <c r="EL131" s="448">
        <v>3.86</v>
      </c>
      <c r="EM131" s="448">
        <v>20.6</v>
      </c>
      <c r="EN131" s="448">
        <v>5310</v>
      </c>
      <c r="EO131" s="448">
        <v>461</v>
      </c>
      <c r="EP131" s="448">
        <v>9.4700000000000006</v>
      </c>
      <c r="EQ131" s="448">
        <v>530</v>
      </c>
      <c r="ER131" s="448">
        <v>542</v>
      </c>
      <c r="ES131" s="448">
        <v>86.1</v>
      </c>
      <c r="ET131" s="448">
        <v>3.02</v>
      </c>
      <c r="EU131" s="450">
        <v>133</v>
      </c>
    </row>
    <row r="132" spans="2:151">
      <c r="B132" s="78" t="s">
        <v>7</v>
      </c>
      <c r="C132" s="79" t="s">
        <v>137</v>
      </c>
      <c r="D132" s="80" t="s">
        <v>137</v>
      </c>
      <c r="E132" s="1" t="s">
        <v>4</v>
      </c>
      <c r="F132" s="7">
        <v>2.75</v>
      </c>
      <c r="G132" s="22">
        <v>0.81799999999999995</v>
      </c>
      <c r="H132" s="3" t="str">
        <f t="shared" ref="H132:H195" si="16">D132</f>
        <v>L2-1/2X2X3/16</v>
      </c>
      <c r="I132" s="7">
        <v>2</v>
      </c>
      <c r="J132" s="5" t="s">
        <v>5</v>
      </c>
      <c r="K132" s="6" t="s">
        <v>5</v>
      </c>
      <c r="L132" s="6" t="s">
        <v>5</v>
      </c>
      <c r="M132" s="6" t="s">
        <v>5</v>
      </c>
      <c r="N132" s="6" t="s">
        <v>5</v>
      </c>
      <c r="O132" s="5" t="s">
        <v>5</v>
      </c>
      <c r="P132" s="5" t="s">
        <v>5</v>
      </c>
      <c r="Q132" s="7">
        <v>2.5</v>
      </c>
      <c r="R132" s="6" t="s">
        <v>5</v>
      </c>
      <c r="S132" s="6" t="s">
        <v>5</v>
      </c>
      <c r="T132" s="5" t="s">
        <v>5</v>
      </c>
      <c r="U132" s="8" t="s">
        <v>5</v>
      </c>
      <c r="V132" s="6" t="s">
        <v>5</v>
      </c>
      <c r="W132" s="8" t="s">
        <v>5</v>
      </c>
      <c r="X132" s="22">
        <v>0.188</v>
      </c>
      <c r="Y132" s="6" t="s">
        <v>5</v>
      </c>
      <c r="Z132" s="6" t="s">
        <v>5</v>
      </c>
      <c r="AA132" s="22">
        <v>0.438</v>
      </c>
      <c r="AB132" s="8">
        <v>0.4375</v>
      </c>
      <c r="AC132" s="8" t="s">
        <v>5</v>
      </c>
      <c r="AD132" s="22">
        <v>0.50800000000000001</v>
      </c>
      <c r="AE132" s="22">
        <v>0.754</v>
      </c>
      <c r="AF132" s="6" t="s">
        <v>5</v>
      </c>
      <c r="AG132" s="22">
        <v>0.16400000000000001</v>
      </c>
      <c r="AH132" s="22">
        <v>0.31900000000000001</v>
      </c>
      <c r="AI132" s="6" t="s">
        <v>5</v>
      </c>
      <c r="AJ132" s="4">
        <v>13.3</v>
      </c>
      <c r="AK132" s="6" t="s">
        <v>5</v>
      </c>
      <c r="AL132" s="6" t="s">
        <v>5</v>
      </c>
      <c r="AM132" s="6" t="s">
        <v>5</v>
      </c>
      <c r="AN132" s="6" t="s">
        <v>5</v>
      </c>
      <c r="AO132" s="22">
        <v>0.51100000000000001</v>
      </c>
      <c r="AP132" s="22">
        <v>0.52900000000000003</v>
      </c>
      <c r="AQ132" s="22">
        <v>0.29299999999999998</v>
      </c>
      <c r="AR132" s="22">
        <v>0.79</v>
      </c>
      <c r="AS132" s="22">
        <v>0.29199999999999998</v>
      </c>
      <c r="AT132" s="22">
        <v>0.34699999999999998</v>
      </c>
      <c r="AU132" s="22">
        <v>0.19500000000000001</v>
      </c>
      <c r="AV132" s="22">
        <v>0.59699999999999998</v>
      </c>
      <c r="AW132" s="6">
        <v>0.14799999999999999</v>
      </c>
      <c r="AX132" s="22">
        <v>0.42599999999999999</v>
      </c>
      <c r="AY132" s="12">
        <v>0.16200000000000001</v>
      </c>
      <c r="AZ132" s="28">
        <v>1.03E-2</v>
      </c>
      <c r="BA132" s="31">
        <v>3.82E-3</v>
      </c>
      <c r="BB132" s="6" t="s">
        <v>5</v>
      </c>
      <c r="BC132" s="6" t="s">
        <v>5</v>
      </c>
      <c r="BD132" s="6" t="s">
        <v>5</v>
      </c>
      <c r="BE132" s="6" t="s">
        <v>5</v>
      </c>
      <c r="BF132" s="6" t="s">
        <v>5</v>
      </c>
      <c r="BG132" s="6" t="s">
        <v>5</v>
      </c>
      <c r="BH132" s="6" t="s">
        <v>5</v>
      </c>
      <c r="BI132" s="7">
        <v>1.26</v>
      </c>
      <c r="BJ132" s="24" t="s">
        <v>5</v>
      </c>
      <c r="BK132" s="23">
        <v>0.628</v>
      </c>
      <c r="BL132" s="6">
        <v>0.65400000000000003</v>
      </c>
      <c r="BM132" s="7">
        <v>1.35</v>
      </c>
      <c r="BN132" s="22">
        <v>0.36699999999999999</v>
      </c>
      <c r="BO132" s="7">
        <v>1.7</v>
      </c>
      <c r="BP132" s="6">
        <v>0.91100000000000003</v>
      </c>
      <c r="BQ132" s="6">
        <v>0.83199999999999996</v>
      </c>
      <c r="BR132" s="22">
        <v>0.57999999999999996</v>
      </c>
      <c r="BS132" s="16">
        <v>0.48399999999999999</v>
      </c>
      <c r="BT132" s="16">
        <v>1.78</v>
      </c>
      <c r="BU132" s="16">
        <v>0.38500000000000001</v>
      </c>
      <c r="BV132" s="16">
        <v>0.16200000000000001</v>
      </c>
      <c r="BW132" s="16">
        <v>0.17799999999999999</v>
      </c>
      <c r="BX132" s="16">
        <v>0.255</v>
      </c>
      <c r="BY132" s="25" t="s">
        <v>5</v>
      </c>
      <c r="BZ132" s="25" t="s">
        <v>5</v>
      </c>
      <c r="CA132" s="7">
        <v>7</v>
      </c>
      <c r="CB132" s="7">
        <v>6.5</v>
      </c>
      <c r="CC132" s="7">
        <v>9</v>
      </c>
      <c r="CD132" s="25" t="s">
        <v>5</v>
      </c>
      <c r="CE132" s="25" t="s">
        <v>5</v>
      </c>
      <c r="CF132" s="16" t="s">
        <v>5</v>
      </c>
      <c r="CG132" s="16" t="s">
        <v>5</v>
      </c>
      <c r="CH132" s="18" t="s">
        <v>5</v>
      </c>
      <c r="CS132" s="335" t="str">
        <f t="shared" ref="CS132:CS138" si="17">VLOOKUP(CT132,$G$3:$H$139,2,FALSE)</f>
        <v>L2-1/2X1-1/2X1/4</v>
      </c>
      <c r="CT132" s="339">
        <v>0.94699999999999995</v>
      </c>
      <c r="CV132" s="344" t="str">
        <f t="shared" ref="CV132:CV195" si="18">VLOOKUP(CW132,$G$140:$H$422,2,FALSE)</f>
        <v>WT7X79.5</v>
      </c>
      <c r="CW132" s="337">
        <v>23.4</v>
      </c>
      <c r="DE132" s="335" t="str">
        <f t="shared" ref="DE132:DE185" si="19">VLOOKUP(DF132,$G$465:$H$647,2,FALSE)</f>
        <v>2L4X4X5/16</v>
      </c>
      <c r="DF132" s="338">
        <v>4.8</v>
      </c>
      <c r="DH132" s="397" t="s">
        <v>1392</v>
      </c>
      <c r="DI132" s="398">
        <v>35.9</v>
      </c>
      <c r="DJ132" s="398">
        <v>21.7</v>
      </c>
      <c r="DK132" s="399">
        <v>0.6</v>
      </c>
      <c r="DL132" s="407">
        <v>31.3</v>
      </c>
      <c r="DM132" s="400">
        <v>6.45</v>
      </c>
      <c r="DN132" s="408">
        <v>307</v>
      </c>
      <c r="DO132" s="409">
        <v>273</v>
      </c>
      <c r="DP132" s="119"/>
      <c r="DQ132" s="428" t="s">
        <v>1369</v>
      </c>
      <c r="DR132" s="429">
        <v>432</v>
      </c>
      <c r="DS132" s="429">
        <v>4280</v>
      </c>
      <c r="DT132" s="431"/>
      <c r="DU132" s="431"/>
      <c r="DV132" s="431"/>
      <c r="DW132" s="431"/>
      <c r="DX132" s="432"/>
      <c r="DZ132" s="447" t="s">
        <v>1362</v>
      </c>
      <c r="EA132" s="448">
        <v>182</v>
      </c>
      <c r="EB132" s="448">
        <v>53.6</v>
      </c>
      <c r="EC132" s="448">
        <v>22.7</v>
      </c>
      <c r="ED132" s="448" t="s">
        <v>1769</v>
      </c>
      <c r="EE132" s="448">
        <v>0.83</v>
      </c>
      <c r="EF132" s="448" t="s">
        <v>1620</v>
      </c>
      <c r="EG132" s="449">
        <v>45123</v>
      </c>
      <c r="EH132" s="448">
        <v>12.5</v>
      </c>
      <c r="EI132" s="448" t="s">
        <v>1770</v>
      </c>
      <c r="EJ132" s="448">
        <v>1.48</v>
      </c>
      <c r="EK132" s="448" t="s">
        <v>1663</v>
      </c>
      <c r="EL132" s="448">
        <v>4.22</v>
      </c>
      <c r="EM132" s="448">
        <v>22.6</v>
      </c>
      <c r="EN132" s="448">
        <v>4730</v>
      </c>
      <c r="EO132" s="448">
        <v>417</v>
      </c>
      <c r="EP132" s="448">
        <v>9.4</v>
      </c>
      <c r="EQ132" s="448">
        <v>476</v>
      </c>
      <c r="ER132" s="448">
        <v>483</v>
      </c>
      <c r="ES132" s="448">
        <v>77.2</v>
      </c>
      <c r="ET132" s="448">
        <v>3</v>
      </c>
      <c r="EU132" s="450">
        <v>119</v>
      </c>
    </row>
    <row r="133" spans="2:151">
      <c r="B133" s="78" t="s">
        <v>7</v>
      </c>
      <c r="C133" s="79" t="s">
        <v>138</v>
      </c>
      <c r="D133" s="80" t="s">
        <v>138</v>
      </c>
      <c r="E133" s="1" t="s">
        <v>4</v>
      </c>
      <c r="F133" s="7">
        <v>3.19</v>
      </c>
      <c r="G133" s="22">
        <v>0.94699999999999995</v>
      </c>
      <c r="H133" s="3" t="str">
        <f t="shared" si="16"/>
        <v>L2-1/2X1-1/2X1/4</v>
      </c>
      <c r="I133" s="7">
        <v>1.5</v>
      </c>
      <c r="J133" s="5" t="s">
        <v>5</v>
      </c>
      <c r="K133" s="6" t="s">
        <v>5</v>
      </c>
      <c r="L133" s="6" t="s">
        <v>5</v>
      </c>
      <c r="M133" s="6" t="s">
        <v>5</v>
      </c>
      <c r="N133" s="6" t="s">
        <v>5</v>
      </c>
      <c r="O133" s="5" t="s">
        <v>5</v>
      </c>
      <c r="P133" s="5" t="s">
        <v>5</v>
      </c>
      <c r="Q133" s="7">
        <v>2.5</v>
      </c>
      <c r="R133" s="6" t="s">
        <v>5</v>
      </c>
      <c r="S133" s="6" t="s">
        <v>5</v>
      </c>
      <c r="T133" s="5" t="s">
        <v>5</v>
      </c>
      <c r="U133" s="8" t="s">
        <v>5</v>
      </c>
      <c r="V133" s="6" t="s">
        <v>5</v>
      </c>
      <c r="W133" s="8" t="s">
        <v>5</v>
      </c>
      <c r="X133" s="22">
        <v>0.25</v>
      </c>
      <c r="Y133" s="6" t="s">
        <v>5</v>
      </c>
      <c r="Z133" s="6" t="s">
        <v>5</v>
      </c>
      <c r="AA133" s="22">
        <v>0.5</v>
      </c>
      <c r="AB133" s="8">
        <v>0.5</v>
      </c>
      <c r="AC133" s="8" t="s">
        <v>5</v>
      </c>
      <c r="AD133" s="22">
        <v>0.372</v>
      </c>
      <c r="AE133" s="22">
        <v>0.86599999999999999</v>
      </c>
      <c r="AF133" s="6" t="s">
        <v>5</v>
      </c>
      <c r="AG133" s="22">
        <v>0.189</v>
      </c>
      <c r="AH133" s="22">
        <v>0.60599999999999998</v>
      </c>
      <c r="AI133" s="6" t="s">
        <v>5</v>
      </c>
      <c r="AJ133" s="4">
        <v>10</v>
      </c>
      <c r="AK133" s="6" t="s">
        <v>5</v>
      </c>
      <c r="AL133" s="6" t="s">
        <v>5</v>
      </c>
      <c r="AM133" s="6" t="s">
        <v>5</v>
      </c>
      <c r="AN133" s="6" t="s">
        <v>5</v>
      </c>
      <c r="AO133" s="22">
        <v>0.59399999999999997</v>
      </c>
      <c r="AP133" s="22">
        <v>0.64400000000000002</v>
      </c>
      <c r="AQ133" s="22">
        <v>0.36399999999999999</v>
      </c>
      <c r="AR133" s="22">
        <v>0.79200000000000004</v>
      </c>
      <c r="AS133" s="22">
        <v>0.16</v>
      </c>
      <c r="AT133" s="22">
        <v>0.26100000000000001</v>
      </c>
      <c r="AU133" s="22">
        <v>0.14199999999999999</v>
      </c>
      <c r="AV133" s="22">
        <v>0.41099999999999998</v>
      </c>
      <c r="AW133" s="28">
        <v>9.7699999999999995E-2</v>
      </c>
      <c r="AX133" s="22">
        <v>0.32100000000000001</v>
      </c>
      <c r="AY133" s="29">
        <v>0.12</v>
      </c>
      <c r="AZ133" s="28">
        <v>2.0899999999999998E-2</v>
      </c>
      <c r="BA133" s="31">
        <v>6.94E-3</v>
      </c>
      <c r="BB133" s="6" t="s">
        <v>5</v>
      </c>
      <c r="BC133" s="6" t="s">
        <v>5</v>
      </c>
      <c r="BD133" s="6" t="s">
        <v>5</v>
      </c>
      <c r="BE133" s="6" t="s">
        <v>5</v>
      </c>
      <c r="BF133" s="6" t="s">
        <v>5</v>
      </c>
      <c r="BG133" s="6" t="s">
        <v>5</v>
      </c>
      <c r="BH133" s="6" t="s">
        <v>5</v>
      </c>
      <c r="BI133" s="7">
        <v>1.19</v>
      </c>
      <c r="BJ133" s="24" t="s">
        <v>5</v>
      </c>
      <c r="BK133" s="23">
        <v>0.35399999999999998</v>
      </c>
      <c r="BL133" s="6">
        <v>0.65600000000000003</v>
      </c>
      <c r="BM133" s="7">
        <v>1.08</v>
      </c>
      <c r="BN133" s="22">
        <v>0.69199999999999995</v>
      </c>
      <c r="BO133" s="7">
        <v>1.62</v>
      </c>
      <c r="BP133" s="6">
        <v>0.81599999999999995</v>
      </c>
      <c r="BQ133" s="22">
        <v>0.64</v>
      </c>
      <c r="BR133" s="22">
        <v>0.313</v>
      </c>
      <c r="BS133" s="16">
        <v>0.60699999999999998</v>
      </c>
      <c r="BT133" s="16">
        <v>0.94799999999999995</v>
      </c>
      <c r="BU133" s="16">
        <v>0.40500000000000003</v>
      </c>
      <c r="BV133" s="30">
        <v>0.12</v>
      </c>
      <c r="BW133" s="16">
        <v>0.153</v>
      </c>
      <c r="BX133" s="16">
        <v>0.312</v>
      </c>
      <c r="BY133" s="25" t="s">
        <v>5</v>
      </c>
      <c r="BZ133" s="25" t="s">
        <v>5</v>
      </c>
      <c r="CA133" s="7">
        <v>6.5</v>
      </c>
      <c r="CB133" s="7">
        <v>5.5</v>
      </c>
      <c r="CC133" s="7">
        <v>8</v>
      </c>
      <c r="CD133" s="25" t="s">
        <v>5</v>
      </c>
      <c r="CE133" s="25" t="s">
        <v>5</v>
      </c>
      <c r="CF133" s="16" t="s">
        <v>5</v>
      </c>
      <c r="CG133" s="16" t="s">
        <v>5</v>
      </c>
      <c r="CH133" s="18" t="s">
        <v>5</v>
      </c>
      <c r="CS133" s="335" t="str">
        <f t="shared" si="17"/>
        <v>L2X2X1/4</v>
      </c>
      <c r="CT133" s="339">
        <v>0.94399999999999995</v>
      </c>
      <c r="CV133" s="344" t="str">
        <f t="shared" si="18"/>
        <v>WT9X79</v>
      </c>
      <c r="CW133" s="337">
        <v>23.2</v>
      </c>
      <c r="DE133" s="335" t="str">
        <f t="shared" si="19"/>
        <v>2L4X4X5/16</v>
      </c>
      <c r="DF133" s="338">
        <v>4.8</v>
      </c>
      <c r="DH133" s="397" t="s">
        <v>1399</v>
      </c>
      <c r="DI133" s="398">
        <v>32.6</v>
      </c>
      <c r="DJ133" s="398">
        <v>21.5</v>
      </c>
      <c r="DK133" s="399">
        <v>0.55000000000000004</v>
      </c>
      <c r="DL133" s="407">
        <v>34.1</v>
      </c>
      <c r="DM133" s="400">
        <v>7.05</v>
      </c>
      <c r="DN133" s="408">
        <v>279</v>
      </c>
      <c r="DO133" s="409">
        <v>249</v>
      </c>
      <c r="DP133" s="119"/>
      <c r="DQ133" s="428" t="s">
        <v>1370</v>
      </c>
      <c r="DR133" s="429">
        <v>428</v>
      </c>
      <c r="DS133" s="429">
        <v>2720</v>
      </c>
      <c r="DT133" s="431"/>
      <c r="DU133" s="431"/>
      <c r="DV133" s="431"/>
      <c r="DW133" s="431"/>
      <c r="DX133" s="432"/>
      <c r="DZ133" s="447" t="s">
        <v>1369</v>
      </c>
      <c r="EA133" s="448">
        <v>166</v>
      </c>
      <c r="EB133" s="448">
        <v>48.8</v>
      </c>
      <c r="EC133" s="448">
        <v>22.5</v>
      </c>
      <c r="ED133" s="448" t="s">
        <v>1771</v>
      </c>
      <c r="EE133" s="448">
        <v>0.75</v>
      </c>
      <c r="EF133" s="449">
        <v>44989</v>
      </c>
      <c r="EG133" s="449">
        <v>44993</v>
      </c>
      <c r="EH133" s="448">
        <v>12.4</v>
      </c>
      <c r="EI133" s="448" t="s">
        <v>1652</v>
      </c>
      <c r="EJ133" s="448">
        <v>1.36</v>
      </c>
      <c r="EK133" s="448" t="s">
        <v>1678</v>
      </c>
      <c r="EL133" s="448">
        <v>4.57</v>
      </c>
      <c r="EM133" s="448">
        <v>25</v>
      </c>
      <c r="EN133" s="448">
        <v>4280</v>
      </c>
      <c r="EO133" s="448">
        <v>380</v>
      </c>
      <c r="EP133" s="448">
        <v>9.36</v>
      </c>
      <c r="EQ133" s="448">
        <v>432</v>
      </c>
      <c r="ER133" s="448">
        <v>435</v>
      </c>
      <c r="ES133" s="448">
        <v>70</v>
      </c>
      <c r="ET133" s="448">
        <v>2.99</v>
      </c>
      <c r="EU133" s="450">
        <v>108</v>
      </c>
    </row>
    <row r="134" spans="2:151">
      <c r="B134" s="78" t="s">
        <v>7</v>
      </c>
      <c r="C134" s="79" t="s">
        <v>139</v>
      </c>
      <c r="D134" s="80" t="s">
        <v>139</v>
      </c>
      <c r="E134" s="1" t="s">
        <v>4</v>
      </c>
      <c r="F134" s="7">
        <v>2.44</v>
      </c>
      <c r="G134" s="22">
        <v>0.72399999999999998</v>
      </c>
      <c r="H134" s="3" t="str">
        <f t="shared" si="16"/>
        <v>L2-1/2X1-1/2X3/16</v>
      </c>
      <c r="I134" s="7">
        <v>1.5</v>
      </c>
      <c r="J134" s="5" t="s">
        <v>5</v>
      </c>
      <c r="K134" s="6" t="s">
        <v>5</v>
      </c>
      <c r="L134" s="6" t="s">
        <v>5</v>
      </c>
      <c r="M134" s="6" t="s">
        <v>5</v>
      </c>
      <c r="N134" s="6" t="s">
        <v>5</v>
      </c>
      <c r="O134" s="5" t="s">
        <v>5</v>
      </c>
      <c r="P134" s="5" t="s">
        <v>5</v>
      </c>
      <c r="Q134" s="7">
        <v>2.5</v>
      </c>
      <c r="R134" s="6" t="s">
        <v>5</v>
      </c>
      <c r="S134" s="6" t="s">
        <v>5</v>
      </c>
      <c r="T134" s="5" t="s">
        <v>5</v>
      </c>
      <c r="U134" s="8" t="s">
        <v>5</v>
      </c>
      <c r="V134" s="6" t="s">
        <v>5</v>
      </c>
      <c r="W134" s="8" t="s">
        <v>5</v>
      </c>
      <c r="X134" s="22">
        <v>0.188</v>
      </c>
      <c r="Y134" s="6" t="s">
        <v>5</v>
      </c>
      <c r="Z134" s="6" t="s">
        <v>5</v>
      </c>
      <c r="AA134" s="22">
        <v>0.438</v>
      </c>
      <c r="AB134" s="8">
        <v>0.4375</v>
      </c>
      <c r="AC134" s="8" t="s">
        <v>5</v>
      </c>
      <c r="AD134" s="22">
        <v>0.34699999999999998</v>
      </c>
      <c r="AE134" s="22">
        <v>0.83899999999999997</v>
      </c>
      <c r="AF134" s="6" t="s">
        <v>5</v>
      </c>
      <c r="AG134" s="22">
        <v>0.14499999999999999</v>
      </c>
      <c r="AH134" s="22">
        <v>0.56899999999999995</v>
      </c>
      <c r="AI134" s="6" t="s">
        <v>5</v>
      </c>
      <c r="AJ134" s="4">
        <v>13.3</v>
      </c>
      <c r="AK134" s="6" t="s">
        <v>5</v>
      </c>
      <c r="AL134" s="6" t="s">
        <v>5</v>
      </c>
      <c r="AM134" s="6" t="s">
        <v>5</v>
      </c>
      <c r="AN134" s="6" t="s">
        <v>5</v>
      </c>
      <c r="AO134" s="22">
        <v>0.46400000000000002</v>
      </c>
      <c r="AP134" s="22">
        <v>0.497</v>
      </c>
      <c r="AQ134" s="22">
        <v>0.28000000000000003</v>
      </c>
      <c r="AR134" s="22">
        <v>0.80100000000000005</v>
      </c>
      <c r="AS134" s="22">
        <v>0.126</v>
      </c>
      <c r="AT134" s="22">
        <v>0.19800000000000001</v>
      </c>
      <c r="AU134" s="22">
        <v>0.11</v>
      </c>
      <c r="AV134" s="22">
        <v>0.41799999999999998</v>
      </c>
      <c r="AW134" s="28">
        <v>7.5399999999999995E-2</v>
      </c>
      <c r="AX134" s="22">
        <v>0.32400000000000001</v>
      </c>
      <c r="AY134" s="12">
        <v>9.06E-2</v>
      </c>
      <c r="AZ134" s="31">
        <v>9.2099999999999994E-3</v>
      </c>
      <c r="BA134" s="31">
        <v>3.0599999999999998E-3</v>
      </c>
      <c r="BB134" s="6" t="s">
        <v>5</v>
      </c>
      <c r="BC134" s="6" t="s">
        <v>5</v>
      </c>
      <c r="BD134" s="6" t="s">
        <v>5</v>
      </c>
      <c r="BE134" s="6" t="s">
        <v>5</v>
      </c>
      <c r="BF134" s="6" t="s">
        <v>5</v>
      </c>
      <c r="BG134" s="6" t="s">
        <v>5</v>
      </c>
      <c r="BH134" s="6" t="s">
        <v>5</v>
      </c>
      <c r="BI134" s="7">
        <v>1.2</v>
      </c>
      <c r="BJ134" s="24" t="s">
        <v>5</v>
      </c>
      <c r="BK134" s="23">
        <v>0.36</v>
      </c>
      <c r="BL134" s="6">
        <v>0.51400000000000001</v>
      </c>
      <c r="BM134" s="7">
        <v>1.0900000000000001</v>
      </c>
      <c r="BN134" s="22">
        <v>0.67100000000000004</v>
      </c>
      <c r="BO134" s="7">
        <v>1.65</v>
      </c>
      <c r="BP134" s="6">
        <v>0.83199999999999996</v>
      </c>
      <c r="BQ134" s="6">
        <v>0.61099999999999999</v>
      </c>
      <c r="BR134" s="22">
        <v>0.32600000000000001</v>
      </c>
      <c r="BS134" s="16">
        <v>0.47199999999999998</v>
      </c>
      <c r="BT134" s="16">
        <v>0.76600000000000001</v>
      </c>
      <c r="BU134" s="16">
        <v>0.312</v>
      </c>
      <c r="BV134" s="16">
        <v>9.06E-2</v>
      </c>
      <c r="BW134" s="16">
        <v>0.123</v>
      </c>
      <c r="BX134" s="16">
        <v>0.23100000000000001</v>
      </c>
      <c r="BY134" s="25" t="s">
        <v>5</v>
      </c>
      <c r="BZ134" s="25" t="s">
        <v>5</v>
      </c>
      <c r="CA134" s="7">
        <v>6.5</v>
      </c>
      <c r="CB134" s="7">
        <v>5.5</v>
      </c>
      <c r="CC134" s="7">
        <v>8</v>
      </c>
      <c r="CD134" s="25" t="s">
        <v>5</v>
      </c>
      <c r="CE134" s="25" t="s">
        <v>5</v>
      </c>
      <c r="CF134" s="16" t="s">
        <v>5</v>
      </c>
      <c r="CG134" s="16" t="s">
        <v>5</v>
      </c>
      <c r="CH134" s="18" t="s">
        <v>5</v>
      </c>
      <c r="CS134" s="335" t="str">
        <f t="shared" si="17"/>
        <v>L3X2X3/16</v>
      </c>
      <c r="CT134" s="339">
        <v>0.91700000000000004</v>
      </c>
      <c r="CV134" s="344" t="str">
        <f t="shared" si="18"/>
        <v>WT16.5X76</v>
      </c>
      <c r="CW134" s="337">
        <v>22.5</v>
      </c>
      <c r="DE134" s="335" t="str">
        <f t="shared" si="19"/>
        <v>2L4X4X5/16</v>
      </c>
      <c r="DF134" s="338">
        <v>4.8</v>
      </c>
      <c r="DH134" s="397" t="s">
        <v>1405</v>
      </c>
      <c r="DI134" s="398">
        <v>29.8</v>
      </c>
      <c r="DJ134" s="398">
        <v>21.4</v>
      </c>
      <c r="DK134" s="399">
        <v>0.5</v>
      </c>
      <c r="DL134" s="407">
        <v>37.5</v>
      </c>
      <c r="DM134" s="400">
        <v>7.68</v>
      </c>
      <c r="DN134" s="408">
        <v>253</v>
      </c>
      <c r="DO134" s="409">
        <v>227</v>
      </c>
      <c r="DP134" s="119"/>
      <c r="DQ134" s="428" t="s">
        <v>1371</v>
      </c>
      <c r="DR134" s="429">
        <v>418</v>
      </c>
      <c r="DS134" s="429">
        <v>4580</v>
      </c>
      <c r="DT134" s="431"/>
      <c r="DU134" s="431"/>
      <c r="DV134" s="431"/>
      <c r="DW134" s="431"/>
      <c r="DX134" s="432"/>
      <c r="DZ134" s="447" t="s">
        <v>1379</v>
      </c>
      <c r="EA134" s="448">
        <v>147</v>
      </c>
      <c r="EB134" s="448">
        <v>43.2</v>
      </c>
      <c r="EC134" s="448">
        <v>22.1</v>
      </c>
      <c r="ED134" s="448">
        <v>22</v>
      </c>
      <c r="EE134" s="448">
        <v>0.72</v>
      </c>
      <c r="EF134" s="449">
        <v>44989</v>
      </c>
      <c r="EG134" s="449">
        <v>44993</v>
      </c>
      <c r="EH134" s="448">
        <v>12.5</v>
      </c>
      <c r="EI134" s="448" t="s">
        <v>1770</v>
      </c>
      <c r="EJ134" s="448">
        <v>1.1499999999999999</v>
      </c>
      <c r="EK134" s="448" t="s">
        <v>1643</v>
      </c>
      <c r="EL134" s="448">
        <v>5.44</v>
      </c>
      <c r="EM134" s="448">
        <v>26.1</v>
      </c>
      <c r="EN134" s="448">
        <v>3630</v>
      </c>
      <c r="EO134" s="448">
        <v>329</v>
      </c>
      <c r="EP134" s="448">
        <v>9.17</v>
      </c>
      <c r="EQ134" s="448">
        <v>373</v>
      </c>
      <c r="ER134" s="448">
        <v>376</v>
      </c>
      <c r="ES134" s="448">
        <v>60.1</v>
      </c>
      <c r="ET134" s="448">
        <v>2.95</v>
      </c>
      <c r="EU134" s="450">
        <v>92.6</v>
      </c>
    </row>
    <row r="135" spans="2:151">
      <c r="B135" s="78" t="s">
        <v>7</v>
      </c>
      <c r="C135" s="79" t="s">
        <v>140</v>
      </c>
      <c r="D135" s="80" t="s">
        <v>140</v>
      </c>
      <c r="E135" s="1" t="s">
        <v>4</v>
      </c>
      <c r="F135" s="7">
        <v>4.7</v>
      </c>
      <c r="G135" s="7">
        <v>1.37</v>
      </c>
      <c r="H135" s="3" t="str">
        <f t="shared" si="16"/>
        <v>L2X2X3/8</v>
      </c>
      <c r="I135" s="7">
        <v>2</v>
      </c>
      <c r="J135" s="5" t="s">
        <v>5</v>
      </c>
      <c r="K135" s="6" t="s">
        <v>5</v>
      </c>
      <c r="L135" s="6" t="s">
        <v>5</v>
      </c>
      <c r="M135" s="6" t="s">
        <v>5</v>
      </c>
      <c r="N135" s="6" t="s">
        <v>5</v>
      </c>
      <c r="O135" s="5" t="s">
        <v>5</v>
      </c>
      <c r="P135" s="5" t="s">
        <v>5</v>
      </c>
      <c r="Q135" s="7">
        <v>2</v>
      </c>
      <c r="R135" s="6" t="s">
        <v>5</v>
      </c>
      <c r="S135" s="6" t="s">
        <v>5</v>
      </c>
      <c r="T135" s="5" t="s">
        <v>5</v>
      </c>
      <c r="U135" s="8" t="s">
        <v>5</v>
      </c>
      <c r="V135" s="6" t="s">
        <v>5</v>
      </c>
      <c r="W135" s="8" t="s">
        <v>5</v>
      </c>
      <c r="X135" s="22">
        <v>0.375</v>
      </c>
      <c r="Y135" s="6" t="s">
        <v>5</v>
      </c>
      <c r="Z135" s="6" t="s">
        <v>5</v>
      </c>
      <c r="AA135" s="22">
        <v>0.625</v>
      </c>
      <c r="AB135" s="8">
        <v>0.625</v>
      </c>
      <c r="AC135" s="8" t="s">
        <v>5</v>
      </c>
      <c r="AD135" s="22">
        <v>0.63200000000000001</v>
      </c>
      <c r="AE135" s="22">
        <v>0.63200000000000001</v>
      </c>
      <c r="AF135" s="6" t="s">
        <v>5</v>
      </c>
      <c r="AG135" s="22">
        <v>0.34300000000000003</v>
      </c>
      <c r="AH135" s="22">
        <v>0.34300000000000003</v>
      </c>
      <c r="AI135" s="6" t="s">
        <v>5</v>
      </c>
      <c r="AJ135" s="7">
        <v>5.33</v>
      </c>
      <c r="AK135" s="6" t="s">
        <v>5</v>
      </c>
      <c r="AL135" s="6" t="s">
        <v>5</v>
      </c>
      <c r="AM135" s="6" t="s">
        <v>5</v>
      </c>
      <c r="AN135" s="6" t="s">
        <v>5</v>
      </c>
      <c r="AO135" s="22">
        <v>0.47599999999999998</v>
      </c>
      <c r="AP135" s="22">
        <v>0.629</v>
      </c>
      <c r="AQ135" s="22">
        <v>0.34799999999999998</v>
      </c>
      <c r="AR135" s="22">
        <v>0.59099999999999997</v>
      </c>
      <c r="AS135" s="22">
        <v>0.47599999999999998</v>
      </c>
      <c r="AT135" s="22">
        <v>0.629</v>
      </c>
      <c r="AU135" s="22">
        <v>0.34799999999999998</v>
      </c>
      <c r="AV135" s="22">
        <v>0.59099999999999997</v>
      </c>
      <c r="AW135" s="6">
        <v>0.20300000000000001</v>
      </c>
      <c r="AX135" s="22">
        <v>0.38600000000000001</v>
      </c>
      <c r="AY135" s="12">
        <v>0.22700000000000001</v>
      </c>
      <c r="AZ135" s="28">
        <v>6.5799999999999997E-2</v>
      </c>
      <c r="BA135" s="28">
        <v>1.7399999999999999E-2</v>
      </c>
      <c r="BB135" s="6" t="s">
        <v>5</v>
      </c>
      <c r="BC135" s="6" t="s">
        <v>5</v>
      </c>
      <c r="BD135" s="6" t="s">
        <v>5</v>
      </c>
      <c r="BE135" s="6" t="s">
        <v>5</v>
      </c>
      <c r="BF135" s="6" t="s">
        <v>5</v>
      </c>
      <c r="BG135" s="6" t="s">
        <v>5</v>
      </c>
      <c r="BH135" s="6" t="s">
        <v>5</v>
      </c>
      <c r="BI135" s="7">
        <v>1.05</v>
      </c>
      <c r="BJ135" s="23">
        <v>0.64</v>
      </c>
      <c r="BK135" s="24">
        <v>1</v>
      </c>
      <c r="BL135" s="6">
        <v>0.749</v>
      </c>
      <c r="BM135" s="7">
        <v>1.28</v>
      </c>
      <c r="BN135" s="2">
        <v>0</v>
      </c>
      <c r="BO135" s="7">
        <v>1.28</v>
      </c>
      <c r="BP135" s="6">
        <v>0.65300000000000002</v>
      </c>
      <c r="BQ135" s="6">
        <v>0.89400000000000002</v>
      </c>
      <c r="BR135" s="22">
        <v>0.65300000000000002</v>
      </c>
      <c r="BS135" s="16">
        <v>0.58499999999999996</v>
      </c>
      <c r="BT135" s="16" t="s">
        <v>5</v>
      </c>
      <c r="BU135" s="16">
        <v>0.58499999999999996</v>
      </c>
      <c r="BV135" s="16">
        <v>0.311</v>
      </c>
      <c r="BW135" s="16">
        <v>0.22700000000000001</v>
      </c>
      <c r="BX135" s="16">
        <v>0.311</v>
      </c>
      <c r="BY135" s="25" t="s">
        <v>5</v>
      </c>
      <c r="BZ135" s="25" t="s">
        <v>5</v>
      </c>
      <c r="CA135" s="7">
        <v>6</v>
      </c>
      <c r="CB135" s="7">
        <v>6</v>
      </c>
      <c r="CC135" s="7">
        <v>8</v>
      </c>
      <c r="CD135" s="25" t="s">
        <v>5</v>
      </c>
      <c r="CE135" s="25" t="s">
        <v>5</v>
      </c>
      <c r="CF135" s="16" t="s">
        <v>5</v>
      </c>
      <c r="CG135" s="16" t="s">
        <v>5</v>
      </c>
      <c r="CH135" s="18" t="s">
        <v>5</v>
      </c>
      <c r="CM135" s="187"/>
      <c r="CN135" s="187"/>
      <c r="CO135" s="187"/>
      <c r="CS135" s="335" t="str">
        <f t="shared" si="17"/>
        <v>L2-1/2X2-1/2X3/16</v>
      </c>
      <c r="CT135" s="339">
        <v>0.90100000000000002</v>
      </c>
      <c r="CV135" s="344" t="str">
        <f t="shared" si="18"/>
        <v>WT6X76</v>
      </c>
      <c r="CW135" s="337">
        <v>22.4</v>
      </c>
      <c r="DE135" s="335" t="str">
        <f t="shared" si="19"/>
        <v>2L2-1/2X2-1/2X1/2</v>
      </c>
      <c r="DF135" s="338">
        <v>4.5199999999999996</v>
      </c>
      <c r="DH135" s="397" t="s">
        <v>1411</v>
      </c>
      <c r="DI135" s="398">
        <v>27.3</v>
      </c>
      <c r="DJ135" s="398">
        <v>21.6</v>
      </c>
      <c r="DK135" s="399">
        <v>0.57999999999999996</v>
      </c>
      <c r="DL135" s="398">
        <v>32.299999999999997</v>
      </c>
      <c r="DM135" s="400">
        <v>4.53</v>
      </c>
      <c r="DN135" s="401">
        <v>221</v>
      </c>
      <c r="DO135" s="402">
        <v>192</v>
      </c>
      <c r="DP135" s="117"/>
      <c r="DQ135" s="428" t="s">
        <v>1372</v>
      </c>
      <c r="DR135" s="429">
        <v>415</v>
      </c>
      <c r="DS135" s="429">
        <v>5900</v>
      </c>
      <c r="DT135" s="431"/>
      <c r="DU135" s="431"/>
      <c r="DV135" s="431"/>
      <c r="DW135" s="431"/>
      <c r="DX135" s="432"/>
      <c r="DZ135" s="447" t="s">
        <v>1386</v>
      </c>
      <c r="EA135" s="448">
        <v>132</v>
      </c>
      <c r="EB135" s="448">
        <v>38.799999999999997</v>
      </c>
      <c r="EC135" s="448">
        <v>21.8</v>
      </c>
      <c r="ED135" s="448" t="s">
        <v>1772</v>
      </c>
      <c r="EE135" s="448">
        <v>0.65</v>
      </c>
      <c r="EF135" s="449">
        <v>45054</v>
      </c>
      <c r="EG135" s="449">
        <v>45062</v>
      </c>
      <c r="EH135" s="448">
        <v>12.4</v>
      </c>
      <c r="EI135" s="448" t="s">
        <v>1770</v>
      </c>
      <c r="EJ135" s="448">
        <v>1.04</v>
      </c>
      <c r="EK135" s="448" t="s">
        <v>1650</v>
      </c>
      <c r="EL135" s="448">
        <v>6.01</v>
      </c>
      <c r="EM135" s="448">
        <v>28.9</v>
      </c>
      <c r="EN135" s="448">
        <v>3220</v>
      </c>
      <c r="EO135" s="448">
        <v>295</v>
      </c>
      <c r="EP135" s="448">
        <v>9.1199999999999992</v>
      </c>
      <c r="EQ135" s="448">
        <v>333</v>
      </c>
      <c r="ER135" s="448">
        <v>333</v>
      </c>
      <c r="ES135" s="448">
        <v>53.5</v>
      </c>
      <c r="ET135" s="448">
        <v>2.93</v>
      </c>
      <c r="EU135" s="450">
        <v>82.3</v>
      </c>
    </row>
    <row r="136" spans="2:151">
      <c r="B136" s="78" t="s">
        <v>7</v>
      </c>
      <c r="C136" s="79" t="s">
        <v>141</v>
      </c>
      <c r="D136" s="80" t="s">
        <v>141</v>
      </c>
      <c r="E136" s="1" t="s">
        <v>4</v>
      </c>
      <c r="F136" s="7">
        <v>3.92</v>
      </c>
      <c r="G136" s="7">
        <v>1.1599999999999999</v>
      </c>
      <c r="H136" s="3" t="str">
        <f t="shared" si="16"/>
        <v>L2X2X5/16</v>
      </c>
      <c r="I136" s="7">
        <v>2</v>
      </c>
      <c r="J136" s="5" t="s">
        <v>5</v>
      </c>
      <c r="K136" s="6" t="s">
        <v>5</v>
      </c>
      <c r="L136" s="6" t="s">
        <v>5</v>
      </c>
      <c r="M136" s="6" t="s">
        <v>5</v>
      </c>
      <c r="N136" s="6" t="s">
        <v>5</v>
      </c>
      <c r="O136" s="5" t="s">
        <v>5</v>
      </c>
      <c r="P136" s="5" t="s">
        <v>5</v>
      </c>
      <c r="Q136" s="7">
        <v>2</v>
      </c>
      <c r="R136" s="6" t="s">
        <v>5</v>
      </c>
      <c r="S136" s="6" t="s">
        <v>5</v>
      </c>
      <c r="T136" s="5" t="s">
        <v>5</v>
      </c>
      <c r="U136" s="8" t="s">
        <v>5</v>
      </c>
      <c r="V136" s="6" t="s">
        <v>5</v>
      </c>
      <c r="W136" s="8" t="s">
        <v>5</v>
      </c>
      <c r="X136" s="22">
        <v>0.313</v>
      </c>
      <c r="Y136" s="6" t="s">
        <v>5</v>
      </c>
      <c r="Z136" s="6" t="s">
        <v>5</v>
      </c>
      <c r="AA136" s="22">
        <v>0.56299999999999994</v>
      </c>
      <c r="AB136" s="8">
        <v>0.5625</v>
      </c>
      <c r="AC136" s="8" t="s">
        <v>5</v>
      </c>
      <c r="AD136" s="22">
        <v>0.60899999999999999</v>
      </c>
      <c r="AE136" s="22">
        <v>0.60899999999999999</v>
      </c>
      <c r="AF136" s="6" t="s">
        <v>5</v>
      </c>
      <c r="AG136" s="22">
        <v>0.28999999999999998</v>
      </c>
      <c r="AH136" s="22">
        <v>0.28999999999999998</v>
      </c>
      <c r="AI136" s="6" t="s">
        <v>5</v>
      </c>
      <c r="AJ136" s="7">
        <v>6.39</v>
      </c>
      <c r="AK136" s="6" t="s">
        <v>5</v>
      </c>
      <c r="AL136" s="6" t="s">
        <v>5</v>
      </c>
      <c r="AM136" s="6" t="s">
        <v>5</v>
      </c>
      <c r="AN136" s="6" t="s">
        <v>5</v>
      </c>
      <c r="AO136" s="22">
        <v>0.41399999999999998</v>
      </c>
      <c r="AP136" s="22">
        <v>0.53700000000000003</v>
      </c>
      <c r="AQ136" s="22">
        <v>0.29799999999999999</v>
      </c>
      <c r="AR136" s="22">
        <v>0.59799999999999998</v>
      </c>
      <c r="AS136" s="22">
        <v>0.41399999999999998</v>
      </c>
      <c r="AT136" s="22">
        <v>0.53700000000000003</v>
      </c>
      <c r="AU136" s="22">
        <v>0.29799999999999999</v>
      </c>
      <c r="AV136" s="22">
        <v>0.59799999999999998</v>
      </c>
      <c r="AW136" s="6">
        <v>0.17199999999999999</v>
      </c>
      <c r="AX136" s="22">
        <v>0.38600000000000001</v>
      </c>
      <c r="AY136" s="29">
        <v>0.2</v>
      </c>
      <c r="AZ136" s="28">
        <v>3.9300000000000002E-2</v>
      </c>
      <c r="BA136" s="28">
        <v>1.06E-2</v>
      </c>
      <c r="BB136" s="6" t="s">
        <v>5</v>
      </c>
      <c r="BC136" s="6" t="s">
        <v>5</v>
      </c>
      <c r="BD136" s="6" t="s">
        <v>5</v>
      </c>
      <c r="BE136" s="6" t="s">
        <v>5</v>
      </c>
      <c r="BF136" s="6" t="s">
        <v>5</v>
      </c>
      <c r="BG136" s="6" t="s">
        <v>5</v>
      </c>
      <c r="BH136" s="6" t="s">
        <v>5</v>
      </c>
      <c r="BI136" s="7">
        <v>1.06</v>
      </c>
      <c r="BJ136" s="23">
        <v>0.64</v>
      </c>
      <c r="BK136" s="24">
        <v>1</v>
      </c>
      <c r="BL136" s="6">
        <v>0.65500000000000003</v>
      </c>
      <c r="BM136" s="7">
        <v>1.3</v>
      </c>
      <c r="BN136" s="2">
        <v>0</v>
      </c>
      <c r="BO136" s="7">
        <v>1.3</v>
      </c>
      <c r="BP136" s="6">
        <v>0.66400000000000003</v>
      </c>
      <c r="BQ136" s="6">
        <v>0.86099999999999999</v>
      </c>
      <c r="BR136" s="22">
        <v>0.66400000000000003</v>
      </c>
      <c r="BS136" s="16">
        <v>0.504</v>
      </c>
      <c r="BT136" s="16" t="s">
        <v>5</v>
      </c>
      <c r="BU136" s="16">
        <v>0.504</v>
      </c>
      <c r="BV136" s="16">
        <v>0.25900000000000001</v>
      </c>
      <c r="BW136" s="30">
        <v>0.2</v>
      </c>
      <c r="BX136" s="16">
        <v>0.25900000000000001</v>
      </c>
      <c r="BY136" s="25" t="s">
        <v>5</v>
      </c>
      <c r="BZ136" s="25" t="s">
        <v>5</v>
      </c>
      <c r="CA136" s="7">
        <v>6</v>
      </c>
      <c r="CB136" s="7">
        <v>6</v>
      </c>
      <c r="CC136" s="7">
        <v>8</v>
      </c>
      <c r="CD136" s="25" t="s">
        <v>5</v>
      </c>
      <c r="CE136" s="25" t="s">
        <v>5</v>
      </c>
      <c r="CF136" s="16" t="s">
        <v>5</v>
      </c>
      <c r="CG136" s="16" t="s">
        <v>5</v>
      </c>
      <c r="CH136" s="18" t="s">
        <v>5</v>
      </c>
      <c r="CM136" s="187" t="s">
        <v>1534</v>
      </c>
      <c r="CN136" s="187" t="e">
        <f>#REF!*#REF!/12</f>
        <v>#REF!</v>
      </c>
      <c r="CO136" s="187" t="e">
        <f>((#REF!*#REF!/12)-(0.7*#REF!*#REF!/12))</f>
        <v>#REF!</v>
      </c>
      <c r="CS136" s="335" t="str">
        <f t="shared" si="17"/>
        <v>L2-1/2X2X3/16</v>
      </c>
      <c r="CT136" s="339">
        <v>0.81799999999999995</v>
      </c>
      <c r="CV136" s="344" t="str">
        <f t="shared" si="18"/>
        <v>WT18X75</v>
      </c>
      <c r="CW136" s="337">
        <v>22.1</v>
      </c>
      <c r="DE136" s="335" t="str">
        <f t="shared" si="19"/>
        <v>2L2-1/2X2-1/2X1/2</v>
      </c>
      <c r="DF136" s="338">
        <v>4.5199999999999996</v>
      </c>
      <c r="DH136" s="397" t="s">
        <v>1417</v>
      </c>
      <c r="DI136" s="398">
        <v>24.4</v>
      </c>
      <c r="DJ136" s="398">
        <v>21.4</v>
      </c>
      <c r="DK136" s="399">
        <v>0.51500000000000001</v>
      </c>
      <c r="DL136" s="398">
        <v>36.4</v>
      </c>
      <c r="DM136" s="400">
        <v>5</v>
      </c>
      <c r="DN136" s="401">
        <v>196</v>
      </c>
      <c r="DO136" s="402">
        <v>171</v>
      </c>
      <c r="DP136" s="117"/>
      <c r="DQ136" s="428" t="s">
        <v>1373</v>
      </c>
      <c r="DR136" s="429">
        <v>408</v>
      </c>
      <c r="DS136" s="429">
        <v>5360</v>
      </c>
      <c r="DT136" s="431"/>
      <c r="DU136" s="431"/>
      <c r="DV136" s="431"/>
      <c r="DW136" s="431"/>
      <c r="DX136" s="432"/>
      <c r="DZ136" s="447" t="s">
        <v>1392</v>
      </c>
      <c r="EA136" s="448">
        <v>122</v>
      </c>
      <c r="EB136" s="448">
        <v>35.9</v>
      </c>
      <c r="EC136" s="448">
        <v>21.7</v>
      </c>
      <c r="ED136" s="448" t="s">
        <v>1773</v>
      </c>
      <c r="EE136" s="448">
        <v>0.6</v>
      </c>
      <c r="EF136" s="449">
        <v>45054</v>
      </c>
      <c r="EG136" s="449">
        <v>45062</v>
      </c>
      <c r="EH136" s="448">
        <v>12.4</v>
      </c>
      <c r="EI136" s="448" t="s">
        <v>1652</v>
      </c>
      <c r="EJ136" s="448">
        <v>0.96</v>
      </c>
      <c r="EK136" s="448" t="s">
        <v>1628</v>
      </c>
      <c r="EL136" s="448">
        <v>6.45</v>
      </c>
      <c r="EM136" s="448">
        <v>31.3</v>
      </c>
      <c r="EN136" s="448">
        <v>2960</v>
      </c>
      <c r="EO136" s="448">
        <v>273</v>
      </c>
      <c r="EP136" s="448">
        <v>9.09</v>
      </c>
      <c r="EQ136" s="448">
        <v>307</v>
      </c>
      <c r="ER136" s="448">
        <v>305</v>
      </c>
      <c r="ES136" s="448">
        <v>49.2</v>
      </c>
      <c r="ET136" s="448">
        <v>2.92</v>
      </c>
      <c r="EU136" s="450">
        <v>75.599999999999994</v>
      </c>
    </row>
    <row r="137" spans="2:151">
      <c r="B137" s="78" t="s">
        <v>7</v>
      </c>
      <c r="C137" s="79" t="s">
        <v>142</v>
      </c>
      <c r="D137" s="80" t="s">
        <v>142</v>
      </c>
      <c r="E137" s="1" t="s">
        <v>4</v>
      </c>
      <c r="F137" s="7">
        <v>3.19</v>
      </c>
      <c r="G137" s="22">
        <v>0.94399999999999995</v>
      </c>
      <c r="H137" s="3" t="str">
        <f t="shared" si="16"/>
        <v>L2X2X1/4</v>
      </c>
      <c r="I137" s="7">
        <v>2</v>
      </c>
      <c r="J137" s="5" t="s">
        <v>5</v>
      </c>
      <c r="K137" s="6" t="s">
        <v>5</v>
      </c>
      <c r="L137" s="6" t="s">
        <v>5</v>
      </c>
      <c r="M137" s="6" t="s">
        <v>5</v>
      </c>
      <c r="N137" s="6" t="s">
        <v>5</v>
      </c>
      <c r="O137" s="5" t="s">
        <v>5</v>
      </c>
      <c r="P137" s="5" t="s">
        <v>5</v>
      </c>
      <c r="Q137" s="7">
        <v>2</v>
      </c>
      <c r="R137" s="6" t="s">
        <v>5</v>
      </c>
      <c r="S137" s="6" t="s">
        <v>5</v>
      </c>
      <c r="T137" s="5" t="s">
        <v>5</v>
      </c>
      <c r="U137" s="8" t="s">
        <v>5</v>
      </c>
      <c r="V137" s="6" t="s">
        <v>5</v>
      </c>
      <c r="W137" s="8" t="s">
        <v>5</v>
      </c>
      <c r="X137" s="22">
        <v>0.25</v>
      </c>
      <c r="Y137" s="6" t="s">
        <v>5</v>
      </c>
      <c r="Z137" s="6" t="s">
        <v>5</v>
      </c>
      <c r="AA137" s="22">
        <v>0.5</v>
      </c>
      <c r="AB137" s="8">
        <v>0.5</v>
      </c>
      <c r="AC137" s="8" t="s">
        <v>5</v>
      </c>
      <c r="AD137" s="22">
        <v>0.58599999999999997</v>
      </c>
      <c r="AE137" s="22">
        <v>0.58599999999999997</v>
      </c>
      <c r="AF137" s="6" t="s">
        <v>5</v>
      </c>
      <c r="AG137" s="22">
        <v>0.23599999999999999</v>
      </c>
      <c r="AH137" s="22">
        <v>0.23599999999999999</v>
      </c>
      <c r="AI137" s="6" t="s">
        <v>5</v>
      </c>
      <c r="AJ137" s="7">
        <v>8</v>
      </c>
      <c r="AK137" s="6" t="s">
        <v>5</v>
      </c>
      <c r="AL137" s="6" t="s">
        <v>5</v>
      </c>
      <c r="AM137" s="6" t="s">
        <v>5</v>
      </c>
      <c r="AN137" s="6" t="s">
        <v>5</v>
      </c>
      <c r="AO137" s="22">
        <v>0.34599999999999997</v>
      </c>
      <c r="AP137" s="22">
        <v>0.44</v>
      </c>
      <c r="AQ137" s="22">
        <v>0.24399999999999999</v>
      </c>
      <c r="AR137" s="22">
        <v>0.60499999999999998</v>
      </c>
      <c r="AS137" s="22">
        <v>0.34599999999999997</v>
      </c>
      <c r="AT137" s="22">
        <v>0.44</v>
      </c>
      <c r="AU137" s="22">
        <v>0.24399999999999999</v>
      </c>
      <c r="AV137" s="22">
        <v>0.60499999999999998</v>
      </c>
      <c r="AW137" s="6">
        <v>0.14199999999999999</v>
      </c>
      <c r="AX137" s="22">
        <v>0.38700000000000001</v>
      </c>
      <c r="AY137" s="12">
        <v>0.17100000000000001</v>
      </c>
      <c r="AZ137" s="28">
        <v>2.0899999999999998E-2</v>
      </c>
      <c r="BA137" s="31">
        <v>5.7200000000000003E-3</v>
      </c>
      <c r="BB137" s="6" t="s">
        <v>5</v>
      </c>
      <c r="BC137" s="6" t="s">
        <v>5</v>
      </c>
      <c r="BD137" s="6" t="s">
        <v>5</v>
      </c>
      <c r="BE137" s="6" t="s">
        <v>5</v>
      </c>
      <c r="BF137" s="6" t="s">
        <v>5</v>
      </c>
      <c r="BG137" s="6" t="s">
        <v>5</v>
      </c>
      <c r="BH137" s="6" t="s">
        <v>5</v>
      </c>
      <c r="BI137" s="7">
        <v>1.08</v>
      </c>
      <c r="BJ137" s="23">
        <v>0.63</v>
      </c>
      <c r="BK137" s="24">
        <v>1</v>
      </c>
      <c r="BL137" s="6">
        <v>0.55100000000000005</v>
      </c>
      <c r="BM137" s="7">
        <v>1.33</v>
      </c>
      <c r="BN137" s="2">
        <v>0</v>
      </c>
      <c r="BO137" s="7">
        <v>1.33</v>
      </c>
      <c r="BP137" s="6">
        <v>0.67400000000000004</v>
      </c>
      <c r="BQ137" s="6">
        <v>0.82899999999999996</v>
      </c>
      <c r="BR137" s="22">
        <v>0.67400000000000004</v>
      </c>
      <c r="BS137" s="16">
        <v>0.41399999999999998</v>
      </c>
      <c r="BT137" s="16" t="s">
        <v>5</v>
      </c>
      <c r="BU137" s="16">
        <v>0.41399999999999998</v>
      </c>
      <c r="BV137" s="16">
        <v>0.21099999999999999</v>
      </c>
      <c r="BW137" s="16">
        <v>0.17100000000000001</v>
      </c>
      <c r="BX137" s="16">
        <v>0.21099999999999999</v>
      </c>
      <c r="BY137" s="25" t="s">
        <v>5</v>
      </c>
      <c r="BZ137" s="25" t="s">
        <v>5</v>
      </c>
      <c r="CA137" s="7">
        <v>6</v>
      </c>
      <c r="CB137" s="7">
        <v>6</v>
      </c>
      <c r="CC137" s="7">
        <v>8</v>
      </c>
      <c r="CD137" s="25" t="s">
        <v>5</v>
      </c>
      <c r="CE137" s="25" t="s">
        <v>5</v>
      </c>
      <c r="CF137" s="16" t="s">
        <v>5</v>
      </c>
      <c r="CG137" s="16" t="s">
        <v>5</v>
      </c>
      <c r="CH137" s="18" t="s">
        <v>5</v>
      </c>
      <c r="CM137" s="187" t="s">
        <v>1535</v>
      </c>
      <c r="CN137" s="187" t="e">
        <f>0.7*#REF!*#REF!/12</f>
        <v>#REF!</v>
      </c>
      <c r="CO137" s="187" t="e">
        <f>#REF!-#REF!</f>
        <v>#REF!</v>
      </c>
      <c r="CP137" s="187" t="e">
        <f>#REF!-#REF!</f>
        <v>#REF!</v>
      </c>
      <c r="CS137" s="335" t="str">
        <f t="shared" si="17"/>
        <v>L2-1/2X1-1/2X3/16</v>
      </c>
      <c r="CT137" s="339">
        <v>0.72399999999999998</v>
      </c>
      <c r="CV137" s="344" t="str">
        <f t="shared" si="18"/>
        <v>WT20X74.5</v>
      </c>
      <c r="CW137" s="337">
        <v>21.9</v>
      </c>
      <c r="DE137" s="335" t="str">
        <f t="shared" si="19"/>
        <v>2L2-1/2X2-1/2X1/2</v>
      </c>
      <c r="DF137" s="338">
        <v>4.5199999999999996</v>
      </c>
      <c r="DH137" s="397" t="s">
        <v>1424</v>
      </c>
      <c r="DI137" s="398">
        <v>21.5</v>
      </c>
      <c r="DJ137" s="398">
        <v>21.2</v>
      </c>
      <c r="DK137" s="399">
        <v>0.45500000000000002</v>
      </c>
      <c r="DL137" s="398">
        <v>41.2</v>
      </c>
      <c r="DM137" s="400">
        <v>5.6</v>
      </c>
      <c r="DN137" s="401">
        <v>172</v>
      </c>
      <c r="DO137" s="402">
        <v>151</v>
      </c>
      <c r="DP137" s="117"/>
      <c r="DQ137" s="428" t="s">
        <v>1374</v>
      </c>
      <c r="DR137" s="429">
        <v>398</v>
      </c>
      <c r="DS137" s="429">
        <v>3450</v>
      </c>
      <c r="DT137" s="431"/>
      <c r="DU137" s="431"/>
      <c r="DV137" s="431"/>
      <c r="DW137" s="431"/>
      <c r="DX137" s="432"/>
      <c r="DZ137" s="447" t="s">
        <v>1399</v>
      </c>
      <c r="EA137" s="448">
        <v>111</v>
      </c>
      <c r="EB137" s="448">
        <v>32.6</v>
      </c>
      <c r="EC137" s="448">
        <v>21.5</v>
      </c>
      <c r="ED137" s="448" t="s">
        <v>1774</v>
      </c>
      <c r="EE137" s="448">
        <v>0.55000000000000004</v>
      </c>
      <c r="EF137" s="449">
        <v>45185</v>
      </c>
      <c r="EG137" s="449">
        <v>45062</v>
      </c>
      <c r="EH137" s="448">
        <v>12.3</v>
      </c>
      <c r="EI137" s="448" t="s">
        <v>1652</v>
      </c>
      <c r="EJ137" s="448">
        <v>0.875</v>
      </c>
      <c r="EK137" s="449">
        <v>45115</v>
      </c>
      <c r="EL137" s="448">
        <v>7.05</v>
      </c>
      <c r="EM137" s="448">
        <v>34.1</v>
      </c>
      <c r="EN137" s="448">
        <v>2670</v>
      </c>
      <c r="EO137" s="448">
        <v>249</v>
      </c>
      <c r="EP137" s="448">
        <v>9.0500000000000007</v>
      </c>
      <c r="EQ137" s="448">
        <v>279</v>
      </c>
      <c r="ER137" s="448">
        <v>274</v>
      </c>
      <c r="ES137" s="448">
        <v>44.5</v>
      </c>
      <c r="ET137" s="448">
        <v>2.9</v>
      </c>
      <c r="EU137" s="450">
        <v>68.2</v>
      </c>
    </row>
    <row r="138" spans="2:151">
      <c r="B138" s="78" t="s">
        <v>7</v>
      </c>
      <c r="C138" s="79" t="s">
        <v>143</v>
      </c>
      <c r="D138" s="80" t="s">
        <v>143</v>
      </c>
      <c r="E138" s="1" t="s">
        <v>4</v>
      </c>
      <c r="F138" s="7">
        <v>2.44</v>
      </c>
      <c r="G138" s="22">
        <v>0.72199999999999998</v>
      </c>
      <c r="H138" s="3" t="str">
        <f t="shared" si="16"/>
        <v>L2X2X3/16</v>
      </c>
      <c r="I138" s="7">
        <v>2</v>
      </c>
      <c r="J138" s="5" t="s">
        <v>5</v>
      </c>
      <c r="K138" s="6" t="s">
        <v>5</v>
      </c>
      <c r="L138" s="6" t="s">
        <v>5</v>
      </c>
      <c r="M138" s="6" t="s">
        <v>5</v>
      </c>
      <c r="N138" s="6" t="s">
        <v>5</v>
      </c>
      <c r="O138" s="5" t="s">
        <v>5</v>
      </c>
      <c r="P138" s="5" t="s">
        <v>5</v>
      </c>
      <c r="Q138" s="7">
        <v>2</v>
      </c>
      <c r="R138" s="6" t="s">
        <v>5</v>
      </c>
      <c r="S138" s="6" t="s">
        <v>5</v>
      </c>
      <c r="T138" s="5" t="s">
        <v>5</v>
      </c>
      <c r="U138" s="8" t="s">
        <v>5</v>
      </c>
      <c r="V138" s="6" t="s">
        <v>5</v>
      </c>
      <c r="W138" s="8" t="s">
        <v>5</v>
      </c>
      <c r="X138" s="22">
        <v>0.188</v>
      </c>
      <c r="Y138" s="6" t="s">
        <v>5</v>
      </c>
      <c r="Z138" s="6" t="s">
        <v>5</v>
      </c>
      <c r="AA138" s="22">
        <v>0.438</v>
      </c>
      <c r="AB138" s="8">
        <v>0.4375</v>
      </c>
      <c r="AC138" s="8" t="s">
        <v>5</v>
      </c>
      <c r="AD138" s="22">
        <v>0.56100000000000005</v>
      </c>
      <c r="AE138" s="22">
        <v>0.56100000000000005</v>
      </c>
      <c r="AF138" s="6" t="s">
        <v>5</v>
      </c>
      <c r="AG138" s="22">
        <v>0.18099999999999999</v>
      </c>
      <c r="AH138" s="22">
        <v>0.18099999999999999</v>
      </c>
      <c r="AI138" s="6" t="s">
        <v>5</v>
      </c>
      <c r="AJ138" s="4">
        <v>10.6</v>
      </c>
      <c r="AK138" s="6" t="s">
        <v>5</v>
      </c>
      <c r="AL138" s="6" t="s">
        <v>5</v>
      </c>
      <c r="AM138" s="6" t="s">
        <v>5</v>
      </c>
      <c r="AN138" s="6" t="s">
        <v>5</v>
      </c>
      <c r="AO138" s="22">
        <v>0.27100000000000002</v>
      </c>
      <c r="AP138" s="22">
        <v>0.33800000000000002</v>
      </c>
      <c r="AQ138" s="22">
        <v>0.188</v>
      </c>
      <c r="AR138" s="22">
        <v>0.61199999999999999</v>
      </c>
      <c r="AS138" s="22">
        <v>0.27100000000000002</v>
      </c>
      <c r="AT138" s="22">
        <v>0.33800000000000002</v>
      </c>
      <c r="AU138" s="22">
        <v>0.188</v>
      </c>
      <c r="AV138" s="22">
        <v>0.61199999999999999</v>
      </c>
      <c r="AW138" s="6">
        <v>0.109</v>
      </c>
      <c r="AX138" s="22">
        <v>0.38900000000000001</v>
      </c>
      <c r="AY138" s="12">
        <v>0.13700000000000001</v>
      </c>
      <c r="AZ138" s="31">
        <v>9.2099999999999994E-3</v>
      </c>
      <c r="BA138" s="31">
        <v>2.5400000000000002E-3</v>
      </c>
      <c r="BB138" s="6" t="s">
        <v>5</v>
      </c>
      <c r="BC138" s="6" t="s">
        <v>5</v>
      </c>
      <c r="BD138" s="6" t="s">
        <v>5</v>
      </c>
      <c r="BE138" s="6" t="s">
        <v>5</v>
      </c>
      <c r="BF138" s="6" t="s">
        <v>5</v>
      </c>
      <c r="BG138" s="6" t="s">
        <v>5</v>
      </c>
      <c r="BH138" s="6" t="s">
        <v>5</v>
      </c>
      <c r="BI138" s="7">
        <v>1.0900000000000001</v>
      </c>
      <c r="BJ138" s="23">
        <v>0.63</v>
      </c>
      <c r="BK138" s="24">
        <v>1</v>
      </c>
      <c r="BL138" s="6">
        <v>0.433</v>
      </c>
      <c r="BM138" s="7">
        <v>1.35</v>
      </c>
      <c r="BN138" s="2">
        <v>0</v>
      </c>
      <c r="BO138" s="7">
        <v>1.35</v>
      </c>
      <c r="BP138" s="6">
        <v>0.68700000000000006</v>
      </c>
      <c r="BQ138" s="6">
        <v>0.79300000000000004</v>
      </c>
      <c r="BR138" s="22">
        <v>0.68700000000000006</v>
      </c>
      <c r="BS138" s="16">
        <v>0.32100000000000001</v>
      </c>
      <c r="BT138" s="16" t="s">
        <v>5</v>
      </c>
      <c r="BU138" s="16">
        <v>0.32100000000000001</v>
      </c>
      <c r="BV138" s="16">
        <v>0.159</v>
      </c>
      <c r="BW138" s="16">
        <v>0.13700000000000001</v>
      </c>
      <c r="BX138" s="16">
        <v>0.159</v>
      </c>
      <c r="BY138" s="25" t="s">
        <v>5</v>
      </c>
      <c r="BZ138" s="25" t="s">
        <v>5</v>
      </c>
      <c r="CA138" s="7">
        <v>6</v>
      </c>
      <c r="CB138" s="7">
        <v>6</v>
      </c>
      <c r="CC138" s="7">
        <v>8</v>
      </c>
      <c r="CD138" s="25" t="s">
        <v>5</v>
      </c>
      <c r="CE138" s="25" t="s">
        <v>5</v>
      </c>
      <c r="CF138" s="16" t="s">
        <v>5</v>
      </c>
      <c r="CG138" s="16" t="s">
        <v>5</v>
      </c>
      <c r="CH138" s="18" t="s">
        <v>5</v>
      </c>
      <c r="CS138" s="335" t="str">
        <f t="shared" si="17"/>
        <v>L2X2X3/16</v>
      </c>
      <c r="CT138" s="339">
        <v>0.72199999999999998</v>
      </c>
      <c r="CV138" s="344" t="str">
        <f t="shared" si="18"/>
        <v>WT15X74</v>
      </c>
      <c r="CW138" s="337">
        <v>21.8</v>
      </c>
      <c r="DE138" s="335" t="str">
        <f t="shared" si="19"/>
        <v>2L3X3X3/8</v>
      </c>
      <c r="DF138" s="338">
        <v>4.22</v>
      </c>
      <c r="DH138" s="397" t="s">
        <v>1427</v>
      </c>
      <c r="DI138" s="398">
        <v>20</v>
      </c>
      <c r="DJ138" s="398">
        <v>21.1</v>
      </c>
      <c r="DK138" s="399">
        <v>0.43</v>
      </c>
      <c r="DL138" s="398">
        <v>43.6</v>
      </c>
      <c r="DM138" s="400">
        <v>6.04</v>
      </c>
      <c r="DN138" s="401">
        <v>160</v>
      </c>
      <c r="DO138" s="402">
        <v>140</v>
      </c>
      <c r="DP138" s="117"/>
      <c r="DQ138" s="428" t="s">
        <v>1375</v>
      </c>
      <c r="DR138" s="429">
        <v>395</v>
      </c>
      <c r="DS138" s="429">
        <v>4760</v>
      </c>
      <c r="DT138" s="431"/>
      <c r="DU138" s="431"/>
      <c r="DV138" s="431"/>
      <c r="DW138" s="431"/>
      <c r="DX138" s="432"/>
      <c r="DZ138" s="447" t="s">
        <v>1405</v>
      </c>
      <c r="EA138" s="448">
        <v>101</v>
      </c>
      <c r="EB138" s="448">
        <v>29.8</v>
      </c>
      <c r="EC138" s="448">
        <v>21.4</v>
      </c>
      <c r="ED138" s="448" t="s">
        <v>1775</v>
      </c>
      <c r="EE138" s="448">
        <v>0.5</v>
      </c>
      <c r="EF138" s="449">
        <v>44928</v>
      </c>
      <c r="EG138" s="449">
        <v>44930</v>
      </c>
      <c r="EH138" s="448">
        <v>12.3</v>
      </c>
      <c r="EI138" s="448" t="s">
        <v>1691</v>
      </c>
      <c r="EJ138" s="448">
        <v>0.8</v>
      </c>
      <c r="EK138" s="448" t="s">
        <v>1620</v>
      </c>
      <c r="EL138" s="448">
        <v>7.68</v>
      </c>
      <c r="EM138" s="448">
        <v>37.5</v>
      </c>
      <c r="EN138" s="448">
        <v>2420</v>
      </c>
      <c r="EO138" s="448">
        <v>227</v>
      </c>
      <c r="EP138" s="448">
        <v>9.02</v>
      </c>
      <c r="EQ138" s="448">
        <v>253</v>
      </c>
      <c r="ER138" s="448">
        <v>248</v>
      </c>
      <c r="ES138" s="448">
        <v>40.299999999999997</v>
      </c>
      <c r="ET138" s="448">
        <v>2.89</v>
      </c>
      <c r="EU138" s="450">
        <v>61.7</v>
      </c>
    </row>
    <row r="139" spans="2:151" ht="14.4" thickBot="1">
      <c r="B139" s="78" t="s">
        <v>7</v>
      </c>
      <c r="C139" s="79" t="s">
        <v>144</v>
      </c>
      <c r="D139" s="80" t="s">
        <v>144</v>
      </c>
      <c r="E139" s="1" t="s">
        <v>4</v>
      </c>
      <c r="F139" s="7">
        <v>1.65</v>
      </c>
      <c r="G139" s="22">
        <v>0.49099999999999999</v>
      </c>
      <c r="H139" s="3" t="str">
        <f t="shared" si="16"/>
        <v>L2X2X1/8</v>
      </c>
      <c r="I139" s="7">
        <v>2</v>
      </c>
      <c r="J139" s="5" t="s">
        <v>5</v>
      </c>
      <c r="K139" s="6" t="s">
        <v>5</v>
      </c>
      <c r="L139" s="6" t="s">
        <v>5</v>
      </c>
      <c r="M139" s="6" t="s">
        <v>5</v>
      </c>
      <c r="N139" s="6" t="s">
        <v>5</v>
      </c>
      <c r="O139" s="5" t="s">
        <v>5</v>
      </c>
      <c r="P139" s="5" t="s">
        <v>5</v>
      </c>
      <c r="Q139" s="7">
        <v>2</v>
      </c>
      <c r="R139" s="6" t="s">
        <v>5</v>
      </c>
      <c r="S139" s="6" t="s">
        <v>5</v>
      </c>
      <c r="T139" s="5" t="s">
        <v>5</v>
      </c>
      <c r="U139" s="8" t="s">
        <v>5</v>
      </c>
      <c r="V139" s="6" t="s">
        <v>5</v>
      </c>
      <c r="W139" s="8" t="s">
        <v>5</v>
      </c>
      <c r="X139" s="22">
        <v>0.125</v>
      </c>
      <c r="Y139" s="6" t="s">
        <v>5</v>
      </c>
      <c r="Z139" s="6" t="s">
        <v>5</v>
      </c>
      <c r="AA139" s="22">
        <v>0.375</v>
      </c>
      <c r="AB139" s="8">
        <v>0.375</v>
      </c>
      <c r="AC139" s="8" t="s">
        <v>5</v>
      </c>
      <c r="AD139" s="22">
        <v>0.53400000000000003</v>
      </c>
      <c r="AE139" s="22">
        <v>0.53400000000000003</v>
      </c>
      <c r="AF139" s="6" t="s">
        <v>5</v>
      </c>
      <c r="AG139" s="22">
        <v>0.123</v>
      </c>
      <c r="AH139" s="22">
        <v>0.123</v>
      </c>
      <c r="AI139" s="6" t="s">
        <v>5</v>
      </c>
      <c r="AJ139" s="4">
        <v>16</v>
      </c>
      <c r="AK139" s="6" t="s">
        <v>5</v>
      </c>
      <c r="AL139" s="6" t="s">
        <v>5</v>
      </c>
      <c r="AM139" s="6" t="s">
        <v>5</v>
      </c>
      <c r="AN139" s="6" t="s">
        <v>5</v>
      </c>
      <c r="AO139" s="22">
        <v>0.189</v>
      </c>
      <c r="AP139" s="22">
        <v>0.23</v>
      </c>
      <c r="AQ139" s="22">
        <v>0.129</v>
      </c>
      <c r="AR139" s="22">
        <v>0.62</v>
      </c>
      <c r="AS139" s="22">
        <v>0.189</v>
      </c>
      <c r="AT139" s="22">
        <v>0.23</v>
      </c>
      <c r="AU139" s="22">
        <v>0.129</v>
      </c>
      <c r="AV139" s="22">
        <v>0.62</v>
      </c>
      <c r="AW139" s="28">
        <v>7.5600000000000001E-2</v>
      </c>
      <c r="AX139" s="22">
        <v>0.39100000000000001</v>
      </c>
      <c r="AY139" s="29">
        <v>0.1</v>
      </c>
      <c r="AZ139" s="31">
        <v>2.9299999999999999E-3</v>
      </c>
      <c r="BA139" s="32">
        <v>7.8899999999999999E-4</v>
      </c>
      <c r="BB139" s="6" t="s">
        <v>5</v>
      </c>
      <c r="BC139" s="6" t="s">
        <v>5</v>
      </c>
      <c r="BD139" s="6" t="s">
        <v>5</v>
      </c>
      <c r="BE139" s="6" t="s">
        <v>5</v>
      </c>
      <c r="BF139" s="6" t="s">
        <v>5</v>
      </c>
      <c r="BG139" s="6" t="s">
        <v>5</v>
      </c>
      <c r="BH139" s="6" t="s">
        <v>5</v>
      </c>
      <c r="BI139" s="7">
        <v>1.1000000000000001</v>
      </c>
      <c r="BJ139" s="23">
        <v>0.63</v>
      </c>
      <c r="BK139" s="24">
        <v>1</v>
      </c>
      <c r="BL139" s="6">
        <v>0.30299999999999999</v>
      </c>
      <c r="BM139" s="7">
        <v>1.37</v>
      </c>
      <c r="BN139" s="2">
        <v>0</v>
      </c>
      <c r="BO139" s="7">
        <v>1.37</v>
      </c>
      <c r="BP139" s="6">
        <v>0.70299999999999996</v>
      </c>
      <c r="BQ139" s="6">
        <v>0.755</v>
      </c>
      <c r="BR139" s="22">
        <v>0.70299999999999996</v>
      </c>
      <c r="BS139" s="16">
        <v>0.221</v>
      </c>
      <c r="BT139" s="16" t="s">
        <v>5</v>
      </c>
      <c r="BU139" s="16">
        <v>0.221</v>
      </c>
      <c r="BV139" s="16">
        <v>0.108</v>
      </c>
      <c r="BW139" s="30">
        <v>0.1</v>
      </c>
      <c r="BX139" s="16">
        <v>0.108</v>
      </c>
      <c r="BY139" s="25" t="s">
        <v>5</v>
      </c>
      <c r="BZ139" s="25" t="s">
        <v>5</v>
      </c>
      <c r="CA139" s="7">
        <v>6</v>
      </c>
      <c r="CB139" s="7">
        <v>6</v>
      </c>
      <c r="CC139" s="7">
        <v>8</v>
      </c>
      <c r="CD139" s="25" t="s">
        <v>5</v>
      </c>
      <c r="CE139" s="25" t="s">
        <v>5</v>
      </c>
      <c r="CF139" s="16" t="s">
        <v>5</v>
      </c>
      <c r="CG139" s="16" t="s">
        <v>5</v>
      </c>
      <c r="CH139" s="18" t="s">
        <v>5</v>
      </c>
      <c r="CS139" s="340" t="str">
        <f>VLOOKUP(CT139,$G$3:$H$139,2,FALSE)</f>
        <v>L2X2X1/8</v>
      </c>
      <c r="CT139" s="341">
        <v>0.49099999999999999</v>
      </c>
      <c r="CV139" s="344" t="str">
        <f t="shared" si="18"/>
        <v>WT13.5X73</v>
      </c>
      <c r="CW139" s="337">
        <v>21.6</v>
      </c>
      <c r="DE139" s="335" t="str">
        <f t="shared" si="19"/>
        <v>2L3X3X3/8</v>
      </c>
      <c r="DF139" s="338">
        <v>4.22</v>
      </c>
      <c r="DH139" s="397" t="s">
        <v>1515</v>
      </c>
      <c r="DI139" s="398">
        <v>18.3</v>
      </c>
      <c r="DJ139" s="398">
        <v>21</v>
      </c>
      <c r="DK139" s="399">
        <v>0.4</v>
      </c>
      <c r="DL139" s="398">
        <v>46.9</v>
      </c>
      <c r="DM139" s="400">
        <v>6.7</v>
      </c>
      <c r="DN139" s="401">
        <v>144</v>
      </c>
      <c r="DO139" s="402">
        <v>127</v>
      </c>
      <c r="DP139" s="117"/>
      <c r="DQ139" s="428" t="s">
        <v>1376</v>
      </c>
      <c r="DR139" s="429">
        <v>390</v>
      </c>
      <c r="DS139" s="429">
        <v>2660</v>
      </c>
      <c r="DT139" s="431"/>
      <c r="DU139" s="431"/>
      <c r="DV139" s="431"/>
      <c r="DW139" s="431"/>
      <c r="DX139" s="432"/>
      <c r="DZ139" s="447" t="s">
        <v>1411</v>
      </c>
      <c r="EA139" s="448">
        <v>93</v>
      </c>
      <c r="EB139" s="448">
        <v>27.3</v>
      </c>
      <c r="EC139" s="448">
        <v>21.6</v>
      </c>
      <c r="ED139" s="448" t="s">
        <v>1773</v>
      </c>
      <c r="EE139" s="448">
        <v>0.57999999999999996</v>
      </c>
      <c r="EF139" s="449">
        <v>45185</v>
      </c>
      <c r="EG139" s="449">
        <v>45062</v>
      </c>
      <c r="EH139" s="448">
        <v>8.42</v>
      </c>
      <c r="EI139" s="448" t="s">
        <v>1776</v>
      </c>
      <c r="EJ139" s="448">
        <v>0.93</v>
      </c>
      <c r="EK139" s="448" t="s">
        <v>1628</v>
      </c>
      <c r="EL139" s="448">
        <v>4.53</v>
      </c>
      <c r="EM139" s="448">
        <v>32.299999999999997</v>
      </c>
      <c r="EN139" s="448">
        <v>2070</v>
      </c>
      <c r="EO139" s="448">
        <v>192</v>
      </c>
      <c r="EP139" s="448">
        <v>8.6999999999999993</v>
      </c>
      <c r="EQ139" s="448">
        <v>221</v>
      </c>
      <c r="ER139" s="448">
        <v>92.9</v>
      </c>
      <c r="ES139" s="448">
        <v>22.1</v>
      </c>
      <c r="ET139" s="448">
        <v>1.84</v>
      </c>
      <c r="EU139" s="450">
        <v>34.700000000000003</v>
      </c>
    </row>
    <row r="140" spans="2:151" ht="14.4" thickBot="1">
      <c r="B140" s="78" t="s">
        <v>145</v>
      </c>
      <c r="C140" s="79" t="s">
        <v>146</v>
      </c>
      <c r="D140" s="80" t="s">
        <v>146</v>
      </c>
      <c r="E140" s="1" t="s">
        <v>4</v>
      </c>
      <c r="F140" s="6">
        <v>167.5</v>
      </c>
      <c r="G140" s="4">
        <v>49.2</v>
      </c>
      <c r="H140" s="3" t="str">
        <f t="shared" si="16"/>
        <v>WT22X167.5</v>
      </c>
      <c r="I140" s="4">
        <v>22</v>
      </c>
      <c r="J140" s="5">
        <v>22</v>
      </c>
      <c r="K140" s="6" t="s">
        <v>5</v>
      </c>
      <c r="L140" s="6" t="s">
        <v>5</v>
      </c>
      <c r="M140" s="6" t="s">
        <v>5</v>
      </c>
      <c r="N140" s="4">
        <v>15.9</v>
      </c>
      <c r="O140" s="5">
        <v>16</v>
      </c>
      <c r="P140" s="5" t="s">
        <v>5</v>
      </c>
      <c r="Q140" s="6" t="s">
        <v>5</v>
      </c>
      <c r="R140" s="6" t="s">
        <v>5</v>
      </c>
      <c r="S140" s="7">
        <v>1.03</v>
      </c>
      <c r="T140" s="5">
        <v>1</v>
      </c>
      <c r="U140" s="8">
        <v>0.5</v>
      </c>
      <c r="V140" s="7">
        <v>1.77</v>
      </c>
      <c r="W140" s="8">
        <v>1.75</v>
      </c>
      <c r="X140" s="7">
        <v>1.77</v>
      </c>
      <c r="Y140" s="6" t="s">
        <v>5</v>
      </c>
      <c r="Z140" s="6" t="s">
        <v>5</v>
      </c>
      <c r="AA140" s="33">
        <v>2.56</v>
      </c>
      <c r="AB140" s="8">
        <v>3</v>
      </c>
      <c r="AC140" s="8" t="s">
        <v>5</v>
      </c>
      <c r="AD140" s="6" t="s">
        <v>5</v>
      </c>
      <c r="AE140" s="7">
        <v>5.53</v>
      </c>
      <c r="AF140" s="6" t="s">
        <v>5</v>
      </c>
      <c r="AG140" s="6" t="s">
        <v>5</v>
      </c>
      <c r="AH140" s="7">
        <v>1.54</v>
      </c>
      <c r="AI140" s="7">
        <v>4.5</v>
      </c>
      <c r="AJ140" s="6" t="s">
        <v>5</v>
      </c>
      <c r="AK140" s="6" t="s">
        <v>5</v>
      </c>
      <c r="AL140" s="6" t="s">
        <v>5</v>
      </c>
      <c r="AM140" s="6" t="s">
        <v>5</v>
      </c>
      <c r="AN140" s="4">
        <v>21.4</v>
      </c>
      <c r="AO140" s="6">
        <v>2170</v>
      </c>
      <c r="AP140" s="6">
        <v>234</v>
      </c>
      <c r="AQ140" s="6">
        <v>131</v>
      </c>
      <c r="AR140" s="7">
        <v>6.63</v>
      </c>
      <c r="AS140" s="6">
        <v>600</v>
      </c>
      <c r="AT140" s="6">
        <v>118</v>
      </c>
      <c r="AU140" s="4">
        <v>75.2</v>
      </c>
      <c r="AV140" s="7">
        <v>3.49</v>
      </c>
      <c r="AW140" s="6" t="s">
        <v>5</v>
      </c>
      <c r="AX140" s="6" t="s">
        <v>5</v>
      </c>
      <c r="AY140" s="6" t="s">
        <v>5</v>
      </c>
      <c r="AZ140" s="4">
        <v>37.200000000000003</v>
      </c>
      <c r="BA140" s="6">
        <v>438</v>
      </c>
      <c r="BB140" s="6" t="s">
        <v>5</v>
      </c>
      <c r="BC140" s="6" t="s">
        <v>5</v>
      </c>
      <c r="BD140" s="6" t="s">
        <v>5</v>
      </c>
      <c r="BE140" s="6" t="s">
        <v>5</v>
      </c>
      <c r="BF140" s="6" t="s">
        <v>5</v>
      </c>
      <c r="BG140" s="6" t="s">
        <v>5</v>
      </c>
      <c r="BH140" s="6" t="s">
        <v>5</v>
      </c>
      <c r="BI140" s="7">
        <v>8.82</v>
      </c>
      <c r="BJ140" s="22">
        <v>0.72299999999999998</v>
      </c>
      <c r="BK140" s="6" t="s">
        <v>5</v>
      </c>
      <c r="BL140" s="2" t="s">
        <v>5</v>
      </c>
      <c r="BM140" s="2" t="s">
        <v>5</v>
      </c>
      <c r="BN140" s="2" t="s">
        <v>5</v>
      </c>
      <c r="BO140" s="2" t="s">
        <v>5</v>
      </c>
      <c r="BP140" s="2" t="s">
        <v>5</v>
      </c>
      <c r="BQ140" s="2" t="s">
        <v>5</v>
      </c>
      <c r="BR140" s="2" t="s">
        <v>5</v>
      </c>
      <c r="BS140" s="2" t="s">
        <v>5</v>
      </c>
      <c r="BT140" s="2" t="s">
        <v>5</v>
      </c>
      <c r="BU140" s="2" t="s">
        <v>5</v>
      </c>
      <c r="BV140" s="2" t="s">
        <v>5</v>
      </c>
      <c r="BW140" s="2" t="s">
        <v>5</v>
      </c>
      <c r="BX140" s="2" t="s">
        <v>5</v>
      </c>
      <c r="BY140" s="25" t="s">
        <v>5</v>
      </c>
      <c r="BZ140" s="25" t="s">
        <v>5</v>
      </c>
      <c r="CA140" s="4">
        <v>58.9</v>
      </c>
      <c r="CB140" s="6" t="s">
        <v>5</v>
      </c>
      <c r="CC140" s="4">
        <v>74.8</v>
      </c>
      <c r="CD140" s="4">
        <v>59.9</v>
      </c>
      <c r="CE140" s="6">
        <v>75.8</v>
      </c>
      <c r="CF140" s="16" t="s">
        <v>5</v>
      </c>
      <c r="CG140" s="5">
        <v>5.5</v>
      </c>
      <c r="CH140" s="18" t="s">
        <v>5</v>
      </c>
      <c r="CM140" s="313" t="s">
        <v>1536</v>
      </c>
      <c r="CN140" s="308" t="s">
        <v>1539</v>
      </c>
      <c r="CV140" s="344" t="str">
        <f t="shared" si="18"/>
        <v>WT13.5X73</v>
      </c>
      <c r="CW140" s="337">
        <v>21.6</v>
      </c>
      <c r="DE140" s="335" t="str">
        <f t="shared" si="19"/>
        <v>2L3X3X3/8</v>
      </c>
      <c r="DF140" s="338">
        <v>4.22</v>
      </c>
      <c r="DH140" s="397" t="s">
        <v>1517</v>
      </c>
      <c r="DI140" s="398">
        <v>16.2</v>
      </c>
      <c r="DJ140" s="398">
        <v>20.8</v>
      </c>
      <c r="DK140" s="399">
        <v>0.375</v>
      </c>
      <c r="DL140" s="398">
        <v>50</v>
      </c>
      <c r="DM140" s="400">
        <v>7.87</v>
      </c>
      <c r="DN140" s="401">
        <v>126</v>
      </c>
      <c r="DO140" s="402">
        <v>110</v>
      </c>
      <c r="DP140" s="117"/>
      <c r="DQ140" s="428" t="s">
        <v>1377</v>
      </c>
      <c r="DR140" s="429">
        <v>386</v>
      </c>
      <c r="DS140" s="429">
        <v>2420</v>
      </c>
      <c r="DT140" s="431"/>
      <c r="DU140" s="431"/>
      <c r="DV140" s="431"/>
      <c r="DW140" s="431"/>
      <c r="DX140" s="432"/>
      <c r="DZ140" s="447" t="s">
        <v>1417</v>
      </c>
      <c r="EA140" s="448">
        <v>83</v>
      </c>
      <c r="EB140" s="448">
        <v>24.4</v>
      </c>
      <c r="EC140" s="448">
        <v>21.4</v>
      </c>
      <c r="ED140" s="448" t="s">
        <v>1775</v>
      </c>
      <c r="EE140" s="448">
        <v>0.51500000000000001</v>
      </c>
      <c r="EF140" s="449">
        <v>44928</v>
      </c>
      <c r="EG140" s="449">
        <v>44930</v>
      </c>
      <c r="EH140" s="448">
        <v>8.36</v>
      </c>
      <c r="EI140" s="448" t="s">
        <v>1776</v>
      </c>
      <c r="EJ140" s="448">
        <v>0.83499999999999996</v>
      </c>
      <c r="EK140" s="448" t="s">
        <v>1620</v>
      </c>
      <c r="EL140" s="448">
        <v>5</v>
      </c>
      <c r="EM140" s="448">
        <v>36.4</v>
      </c>
      <c r="EN140" s="448">
        <v>1830</v>
      </c>
      <c r="EO140" s="448">
        <v>171</v>
      </c>
      <c r="EP140" s="448">
        <v>8.67</v>
      </c>
      <c r="EQ140" s="448">
        <v>196</v>
      </c>
      <c r="ER140" s="448">
        <v>81.400000000000006</v>
      </c>
      <c r="ES140" s="448">
        <v>19.5</v>
      </c>
      <c r="ET140" s="448">
        <v>1.83</v>
      </c>
      <c r="EU140" s="450">
        <v>30.5</v>
      </c>
    </row>
    <row r="141" spans="2:151">
      <c r="B141" s="78" t="s">
        <v>145</v>
      </c>
      <c r="C141" s="79" t="s">
        <v>147</v>
      </c>
      <c r="D141" s="80" t="s">
        <v>147</v>
      </c>
      <c r="E141" s="1" t="s">
        <v>4</v>
      </c>
      <c r="F141" s="6">
        <v>145</v>
      </c>
      <c r="G141" s="4">
        <v>42.6</v>
      </c>
      <c r="H141" s="3" t="str">
        <f t="shared" si="16"/>
        <v>WT22X145</v>
      </c>
      <c r="I141" s="4">
        <v>21.8</v>
      </c>
      <c r="J141" s="5">
        <v>21.75</v>
      </c>
      <c r="K141" s="6" t="s">
        <v>5</v>
      </c>
      <c r="L141" s="6" t="s">
        <v>5</v>
      </c>
      <c r="M141" s="6" t="s">
        <v>5</v>
      </c>
      <c r="N141" s="4">
        <v>15.8</v>
      </c>
      <c r="O141" s="5">
        <v>15.875</v>
      </c>
      <c r="P141" s="5" t="s">
        <v>5</v>
      </c>
      <c r="Q141" s="6" t="s">
        <v>5</v>
      </c>
      <c r="R141" s="6" t="s">
        <v>5</v>
      </c>
      <c r="S141" s="22">
        <v>0.86499999999999999</v>
      </c>
      <c r="T141" s="5">
        <v>0.875</v>
      </c>
      <c r="U141" s="8">
        <v>0.4375</v>
      </c>
      <c r="V141" s="7">
        <v>1.58</v>
      </c>
      <c r="W141" s="8">
        <v>1.5625</v>
      </c>
      <c r="X141" s="7">
        <v>1.58</v>
      </c>
      <c r="Y141" s="6" t="s">
        <v>5</v>
      </c>
      <c r="Z141" s="6" t="s">
        <v>5</v>
      </c>
      <c r="AA141" s="33">
        <v>2.36</v>
      </c>
      <c r="AB141" s="8">
        <v>2.8125</v>
      </c>
      <c r="AC141" s="8" t="s">
        <v>5</v>
      </c>
      <c r="AD141" s="6" t="s">
        <v>5</v>
      </c>
      <c r="AE141" s="7">
        <v>5.26</v>
      </c>
      <c r="AF141" s="6" t="s">
        <v>5</v>
      </c>
      <c r="AG141" s="6" t="s">
        <v>5</v>
      </c>
      <c r="AH141" s="7">
        <v>1.35</v>
      </c>
      <c r="AI141" s="7">
        <v>5.0199999999999996</v>
      </c>
      <c r="AJ141" s="6" t="s">
        <v>5</v>
      </c>
      <c r="AK141" s="6" t="s">
        <v>5</v>
      </c>
      <c r="AL141" s="6" t="s">
        <v>5</v>
      </c>
      <c r="AM141" s="6" t="s">
        <v>5</v>
      </c>
      <c r="AN141" s="4">
        <v>25.2</v>
      </c>
      <c r="AO141" s="6">
        <v>1830</v>
      </c>
      <c r="AP141" s="6">
        <v>196</v>
      </c>
      <c r="AQ141" s="6">
        <v>111</v>
      </c>
      <c r="AR141" s="7">
        <v>6.54</v>
      </c>
      <c r="AS141" s="6">
        <v>521</v>
      </c>
      <c r="AT141" s="6">
        <v>102</v>
      </c>
      <c r="AU141" s="4">
        <v>65.900000000000006</v>
      </c>
      <c r="AV141" s="7">
        <v>3.49</v>
      </c>
      <c r="AW141" s="6" t="s">
        <v>5</v>
      </c>
      <c r="AX141" s="6" t="s">
        <v>5</v>
      </c>
      <c r="AY141" s="6" t="s">
        <v>5</v>
      </c>
      <c r="AZ141" s="4">
        <v>25.4</v>
      </c>
      <c r="BA141" s="6">
        <v>275</v>
      </c>
      <c r="BB141" s="6" t="s">
        <v>5</v>
      </c>
      <c r="BC141" s="6" t="s">
        <v>5</v>
      </c>
      <c r="BD141" s="6" t="s">
        <v>5</v>
      </c>
      <c r="BE141" s="6" t="s">
        <v>5</v>
      </c>
      <c r="BF141" s="6" t="s">
        <v>5</v>
      </c>
      <c r="BG141" s="6" t="s">
        <v>5</v>
      </c>
      <c r="BH141" s="6" t="s">
        <v>5</v>
      </c>
      <c r="BI141" s="7">
        <v>8.66</v>
      </c>
      <c r="BJ141" s="22">
        <v>0.73299999999999998</v>
      </c>
      <c r="BK141" s="6" t="s">
        <v>5</v>
      </c>
      <c r="BL141" s="2" t="s">
        <v>5</v>
      </c>
      <c r="BM141" s="2" t="s">
        <v>5</v>
      </c>
      <c r="BN141" s="2" t="s">
        <v>5</v>
      </c>
      <c r="BO141" s="2" t="s">
        <v>5</v>
      </c>
      <c r="BP141" s="2" t="s">
        <v>5</v>
      </c>
      <c r="BQ141" s="2" t="s">
        <v>5</v>
      </c>
      <c r="BR141" s="2" t="s">
        <v>5</v>
      </c>
      <c r="BS141" s="2" t="s">
        <v>5</v>
      </c>
      <c r="BT141" s="2" t="s">
        <v>5</v>
      </c>
      <c r="BU141" s="2" t="s">
        <v>5</v>
      </c>
      <c r="BV141" s="2" t="s">
        <v>5</v>
      </c>
      <c r="BW141" s="2" t="s">
        <v>5</v>
      </c>
      <c r="BX141" s="2" t="s">
        <v>5</v>
      </c>
      <c r="BY141" s="25" t="s">
        <v>5</v>
      </c>
      <c r="BZ141" s="25" t="s">
        <v>5</v>
      </c>
      <c r="CA141" s="4">
        <v>58.4</v>
      </c>
      <c r="CB141" s="6" t="s">
        <v>5</v>
      </c>
      <c r="CC141" s="4">
        <v>74.2</v>
      </c>
      <c r="CD141" s="4">
        <v>59.400000000000006</v>
      </c>
      <c r="CE141" s="6">
        <v>75.2</v>
      </c>
      <c r="CF141" s="16" t="s">
        <v>5</v>
      </c>
      <c r="CG141" s="5">
        <v>5.5</v>
      </c>
      <c r="CH141" s="18" t="s">
        <v>5</v>
      </c>
      <c r="CM141" s="314" t="s">
        <v>1537</v>
      </c>
      <c r="CN141" s="308">
        <v>5</v>
      </c>
      <c r="CV141" s="344" t="str">
        <f t="shared" si="18"/>
        <v>WT12X73</v>
      </c>
      <c r="CW141" s="337">
        <v>21.5</v>
      </c>
      <c r="DE141" s="335" t="str">
        <f t="shared" si="19"/>
        <v>2L3-1/2X3-1/2X5/16</v>
      </c>
      <c r="DF141" s="338">
        <v>4.2</v>
      </c>
      <c r="DH141" s="397" t="s">
        <v>1519</v>
      </c>
      <c r="DI141" s="398">
        <v>14.1</v>
      </c>
      <c r="DJ141" s="398">
        <v>20.6</v>
      </c>
      <c r="DK141" s="399">
        <v>0.35</v>
      </c>
      <c r="DL141" s="398">
        <v>53.6</v>
      </c>
      <c r="DM141" s="400">
        <v>9.4700000000000006</v>
      </c>
      <c r="DN141" s="401">
        <v>107</v>
      </c>
      <c r="DO141" s="411">
        <v>93</v>
      </c>
      <c r="DP141" s="115"/>
      <c r="DQ141" s="428" t="s">
        <v>1378</v>
      </c>
      <c r="DR141" s="429">
        <v>378</v>
      </c>
      <c r="DS141" s="429">
        <v>4930</v>
      </c>
      <c r="DT141" s="431"/>
      <c r="DU141" s="431"/>
      <c r="DV141" s="431"/>
      <c r="DW141" s="431"/>
      <c r="DX141" s="432"/>
      <c r="DZ141" s="447" t="s">
        <v>1424</v>
      </c>
      <c r="EA141" s="448">
        <v>73</v>
      </c>
      <c r="EB141" s="448">
        <v>21.5</v>
      </c>
      <c r="EC141" s="448">
        <v>21.2</v>
      </c>
      <c r="ED141" s="448" t="s">
        <v>1777</v>
      </c>
      <c r="EE141" s="448">
        <v>0.45500000000000002</v>
      </c>
      <c r="EF141" s="449">
        <v>45123</v>
      </c>
      <c r="EG141" s="449">
        <v>44930</v>
      </c>
      <c r="EH141" s="448">
        <v>8.3000000000000007</v>
      </c>
      <c r="EI141" s="448" t="s">
        <v>1778</v>
      </c>
      <c r="EJ141" s="448">
        <v>0.74</v>
      </c>
      <c r="EK141" s="449">
        <v>44989</v>
      </c>
      <c r="EL141" s="448">
        <v>5.6</v>
      </c>
      <c r="EM141" s="448">
        <v>41.2</v>
      </c>
      <c r="EN141" s="448">
        <v>1600</v>
      </c>
      <c r="EO141" s="448">
        <v>151</v>
      </c>
      <c r="EP141" s="448">
        <v>8.64</v>
      </c>
      <c r="EQ141" s="448">
        <v>172</v>
      </c>
      <c r="ER141" s="448">
        <v>70.599999999999994</v>
      </c>
      <c r="ES141" s="448">
        <v>17</v>
      </c>
      <c r="ET141" s="448">
        <v>1.81</v>
      </c>
      <c r="EU141" s="450">
        <v>26.6</v>
      </c>
    </row>
    <row r="142" spans="2:151" ht="14.4" thickBot="1">
      <c r="B142" s="78" t="s">
        <v>145</v>
      </c>
      <c r="C142" s="79" t="s">
        <v>148</v>
      </c>
      <c r="D142" s="80" t="s">
        <v>148</v>
      </c>
      <c r="E142" s="1" t="s">
        <v>4</v>
      </c>
      <c r="F142" s="6">
        <v>131</v>
      </c>
      <c r="G142" s="4">
        <v>38.5</v>
      </c>
      <c r="H142" s="3" t="str">
        <f t="shared" si="16"/>
        <v>WT22X131</v>
      </c>
      <c r="I142" s="4">
        <v>21.7</v>
      </c>
      <c r="J142" s="5">
        <v>21.625</v>
      </c>
      <c r="K142" s="6" t="s">
        <v>5</v>
      </c>
      <c r="L142" s="6" t="s">
        <v>5</v>
      </c>
      <c r="M142" s="6" t="s">
        <v>5</v>
      </c>
      <c r="N142" s="4">
        <v>15.8</v>
      </c>
      <c r="O142" s="5">
        <v>15.75</v>
      </c>
      <c r="P142" s="5" t="s">
        <v>5</v>
      </c>
      <c r="Q142" s="6" t="s">
        <v>5</v>
      </c>
      <c r="R142" s="6" t="s">
        <v>5</v>
      </c>
      <c r="S142" s="22">
        <v>0.78500000000000003</v>
      </c>
      <c r="T142" s="5">
        <v>0.8125</v>
      </c>
      <c r="U142" s="8">
        <v>0.4375</v>
      </c>
      <c r="V142" s="7">
        <v>1.42</v>
      </c>
      <c r="W142" s="8">
        <v>1.4375</v>
      </c>
      <c r="X142" s="7">
        <v>1.42</v>
      </c>
      <c r="Y142" s="6" t="s">
        <v>5</v>
      </c>
      <c r="Z142" s="6" t="s">
        <v>5</v>
      </c>
      <c r="AA142" s="33">
        <v>2.2000000000000002</v>
      </c>
      <c r="AB142" s="34">
        <v>2.625</v>
      </c>
      <c r="AC142" s="8" t="s">
        <v>5</v>
      </c>
      <c r="AD142" s="6" t="s">
        <v>5</v>
      </c>
      <c r="AE142" s="7">
        <v>5.19</v>
      </c>
      <c r="AF142" s="6" t="s">
        <v>5</v>
      </c>
      <c r="AG142" s="6" t="s">
        <v>5</v>
      </c>
      <c r="AH142" s="7">
        <v>1.22</v>
      </c>
      <c r="AI142" s="7">
        <v>5.57</v>
      </c>
      <c r="AJ142" s="6" t="s">
        <v>5</v>
      </c>
      <c r="AK142" s="6" t="s">
        <v>5</v>
      </c>
      <c r="AL142" s="6" t="s">
        <v>5</v>
      </c>
      <c r="AM142" s="6" t="s">
        <v>5</v>
      </c>
      <c r="AN142" s="4">
        <v>27.6</v>
      </c>
      <c r="AO142" s="6">
        <v>1640</v>
      </c>
      <c r="AP142" s="6">
        <v>176</v>
      </c>
      <c r="AQ142" s="4">
        <v>99.4</v>
      </c>
      <c r="AR142" s="7">
        <v>6.53</v>
      </c>
      <c r="AS142" s="6">
        <v>462</v>
      </c>
      <c r="AT142" s="4">
        <v>90.9</v>
      </c>
      <c r="AU142" s="4">
        <v>58.6</v>
      </c>
      <c r="AV142" s="7">
        <v>3.47</v>
      </c>
      <c r="AW142" s="6" t="s">
        <v>5</v>
      </c>
      <c r="AX142" s="6" t="s">
        <v>5</v>
      </c>
      <c r="AY142" s="6" t="s">
        <v>5</v>
      </c>
      <c r="AZ142" s="4">
        <v>18.600000000000001</v>
      </c>
      <c r="BA142" s="6">
        <v>200</v>
      </c>
      <c r="BB142" s="6" t="s">
        <v>5</v>
      </c>
      <c r="BC142" s="6" t="s">
        <v>5</v>
      </c>
      <c r="BD142" s="6" t="s">
        <v>5</v>
      </c>
      <c r="BE142" s="6" t="s">
        <v>5</v>
      </c>
      <c r="BF142" s="6" t="s">
        <v>5</v>
      </c>
      <c r="BG142" s="6" t="s">
        <v>5</v>
      </c>
      <c r="BH142" s="6" t="s">
        <v>5</v>
      </c>
      <c r="BI142" s="7">
        <v>8.64</v>
      </c>
      <c r="BJ142" s="22">
        <v>0.73099999999999998</v>
      </c>
      <c r="BK142" s="6" t="s">
        <v>5</v>
      </c>
      <c r="BL142" s="2" t="s">
        <v>5</v>
      </c>
      <c r="BM142" s="2" t="s">
        <v>5</v>
      </c>
      <c r="BN142" s="2" t="s">
        <v>5</v>
      </c>
      <c r="BO142" s="2" t="s">
        <v>5</v>
      </c>
      <c r="BP142" s="2" t="s">
        <v>5</v>
      </c>
      <c r="BQ142" s="2" t="s">
        <v>5</v>
      </c>
      <c r="BR142" s="2" t="s">
        <v>5</v>
      </c>
      <c r="BS142" s="2" t="s">
        <v>5</v>
      </c>
      <c r="BT142" s="2" t="s">
        <v>5</v>
      </c>
      <c r="BU142" s="2" t="s">
        <v>5</v>
      </c>
      <c r="BV142" s="2" t="s">
        <v>5</v>
      </c>
      <c r="BW142" s="2" t="s">
        <v>5</v>
      </c>
      <c r="BX142" s="2" t="s">
        <v>5</v>
      </c>
      <c r="BY142" s="25" t="s">
        <v>5</v>
      </c>
      <c r="BZ142" s="25" t="s">
        <v>5</v>
      </c>
      <c r="CA142" s="4">
        <v>58.2</v>
      </c>
      <c r="CB142" s="6" t="s">
        <v>5</v>
      </c>
      <c r="CC142" s="4">
        <v>74</v>
      </c>
      <c r="CD142" s="4">
        <v>59.2</v>
      </c>
      <c r="CE142" s="4">
        <v>75</v>
      </c>
      <c r="CF142" s="16" t="s">
        <v>5</v>
      </c>
      <c r="CG142" s="5">
        <v>5.5</v>
      </c>
      <c r="CH142" s="18" t="s">
        <v>5</v>
      </c>
      <c r="CM142" s="315" t="s">
        <v>1538</v>
      </c>
      <c r="CN142" s="308" t="e">
        <f>5+(5/($CM$143*CM143))</f>
        <v>#REF!</v>
      </c>
      <c r="CV142" s="344" t="str">
        <f t="shared" si="18"/>
        <v>WT7X72.5</v>
      </c>
      <c r="CW142" s="337">
        <v>21.3</v>
      </c>
      <c r="DE142" s="335" t="str">
        <f t="shared" si="19"/>
        <v>2L3-1/2X3-1/2X5/16</v>
      </c>
      <c r="DF142" s="338">
        <v>4.2</v>
      </c>
      <c r="DH142" s="397" t="s">
        <v>1441</v>
      </c>
      <c r="DI142" s="398">
        <v>16.7</v>
      </c>
      <c r="DJ142" s="398">
        <v>21.1</v>
      </c>
      <c r="DK142" s="399">
        <v>0.40500000000000003</v>
      </c>
      <c r="DL142" s="398">
        <v>46.3</v>
      </c>
      <c r="DM142" s="400">
        <v>5.04</v>
      </c>
      <c r="DN142" s="401">
        <v>129</v>
      </c>
      <c r="DO142" s="402">
        <v>111</v>
      </c>
      <c r="DP142" s="117"/>
      <c r="DQ142" s="428" t="s">
        <v>1379</v>
      </c>
      <c r="DR142" s="429">
        <v>373</v>
      </c>
      <c r="DS142" s="429">
        <v>3630</v>
      </c>
      <c r="DT142" s="431"/>
      <c r="DU142" s="431"/>
      <c r="DV142" s="431"/>
      <c r="DW142" s="431"/>
      <c r="DX142" s="432"/>
      <c r="DZ142" s="447" t="s">
        <v>1427</v>
      </c>
      <c r="EA142" s="448">
        <v>68</v>
      </c>
      <c r="EB142" s="448">
        <v>20</v>
      </c>
      <c r="EC142" s="448">
        <v>21.1</v>
      </c>
      <c r="ED142" s="448" t="s">
        <v>1779</v>
      </c>
      <c r="EE142" s="448">
        <v>0.43</v>
      </c>
      <c r="EF142" s="449">
        <v>45123</v>
      </c>
      <c r="EG142" s="449">
        <v>44930</v>
      </c>
      <c r="EH142" s="448">
        <v>8.27</v>
      </c>
      <c r="EI142" s="448" t="s">
        <v>1778</v>
      </c>
      <c r="EJ142" s="448">
        <v>0.68500000000000005</v>
      </c>
      <c r="EK142" s="449">
        <v>45246</v>
      </c>
      <c r="EL142" s="448">
        <v>6.04</v>
      </c>
      <c r="EM142" s="448">
        <v>43.6</v>
      </c>
      <c r="EN142" s="448">
        <v>1480</v>
      </c>
      <c r="EO142" s="448">
        <v>140</v>
      </c>
      <c r="EP142" s="448">
        <v>8.6</v>
      </c>
      <c r="EQ142" s="448">
        <v>160</v>
      </c>
      <c r="ER142" s="448">
        <v>64.7</v>
      </c>
      <c r="ES142" s="448">
        <v>15.7</v>
      </c>
      <c r="ET142" s="448">
        <v>1.8</v>
      </c>
      <c r="EU142" s="450">
        <v>24.4</v>
      </c>
    </row>
    <row r="143" spans="2:151">
      <c r="B143" s="78" t="s">
        <v>145</v>
      </c>
      <c r="C143" s="79" t="s">
        <v>149</v>
      </c>
      <c r="D143" s="80" t="s">
        <v>149</v>
      </c>
      <c r="E143" s="1" t="s">
        <v>4</v>
      </c>
      <c r="F143" s="6">
        <v>115</v>
      </c>
      <c r="G143" s="4">
        <v>33.9</v>
      </c>
      <c r="H143" s="3" t="str">
        <f t="shared" si="16"/>
        <v>WT22X115</v>
      </c>
      <c r="I143" s="4">
        <v>21.5</v>
      </c>
      <c r="J143" s="5">
        <v>21.5</v>
      </c>
      <c r="K143" s="6" t="s">
        <v>5</v>
      </c>
      <c r="L143" s="6" t="s">
        <v>5</v>
      </c>
      <c r="M143" s="6" t="s">
        <v>5</v>
      </c>
      <c r="N143" s="4">
        <v>15.8</v>
      </c>
      <c r="O143" s="5">
        <v>15.75</v>
      </c>
      <c r="P143" s="5" t="s">
        <v>5</v>
      </c>
      <c r="Q143" s="6" t="s">
        <v>5</v>
      </c>
      <c r="R143" s="6" t="s">
        <v>5</v>
      </c>
      <c r="S143" s="22">
        <v>0.71</v>
      </c>
      <c r="T143" s="5">
        <v>0.6875</v>
      </c>
      <c r="U143" s="8">
        <v>0.375</v>
      </c>
      <c r="V143" s="7">
        <v>1.22</v>
      </c>
      <c r="W143" s="8">
        <v>1.25</v>
      </c>
      <c r="X143" s="7">
        <v>1.22</v>
      </c>
      <c r="Y143" s="6" t="s">
        <v>5</v>
      </c>
      <c r="Z143" s="6" t="s">
        <v>5</v>
      </c>
      <c r="AA143" s="33">
        <v>2.0099999999999998</v>
      </c>
      <c r="AB143" s="34">
        <v>2.4375</v>
      </c>
      <c r="AC143" s="8" t="s">
        <v>5</v>
      </c>
      <c r="AD143" s="6" t="s">
        <v>5</v>
      </c>
      <c r="AE143" s="7">
        <v>5.17</v>
      </c>
      <c r="AF143" s="6" t="s">
        <v>5</v>
      </c>
      <c r="AG143" s="6" t="s">
        <v>5</v>
      </c>
      <c r="AH143" s="7">
        <v>1.07</v>
      </c>
      <c r="AI143" s="7">
        <v>6.45</v>
      </c>
      <c r="AJ143" s="6" t="s">
        <v>5</v>
      </c>
      <c r="AK143" s="6" t="s">
        <v>5</v>
      </c>
      <c r="AL143" s="6" t="s">
        <v>5</v>
      </c>
      <c r="AM143" s="6" t="s">
        <v>5</v>
      </c>
      <c r="AN143" s="4">
        <v>30.3</v>
      </c>
      <c r="AO143" s="6">
        <v>1440</v>
      </c>
      <c r="AP143" s="6">
        <v>157</v>
      </c>
      <c r="AQ143" s="4">
        <v>88.6</v>
      </c>
      <c r="AR143" s="7">
        <v>6.53</v>
      </c>
      <c r="AS143" s="6">
        <v>398</v>
      </c>
      <c r="AT143" s="4">
        <v>78.3</v>
      </c>
      <c r="AU143" s="4">
        <v>50.5</v>
      </c>
      <c r="AV143" s="7">
        <v>3.43</v>
      </c>
      <c r="AW143" s="6" t="s">
        <v>5</v>
      </c>
      <c r="AX143" s="6" t="s">
        <v>5</v>
      </c>
      <c r="AY143" s="6" t="s">
        <v>5</v>
      </c>
      <c r="AZ143" s="4">
        <v>12.4</v>
      </c>
      <c r="BA143" s="6">
        <v>139</v>
      </c>
      <c r="BB143" s="6" t="s">
        <v>5</v>
      </c>
      <c r="BC143" s="6" t="s">
        <v>5</v>
      </c>
      <c r="BD143" s="6" t="s">
        <v>5</v>
      </c>
      <c r="BE143" s="6" t="s">
        <v>5</v>
      </c>
      <c r="BF143" s="6" t="s">
        <v>5</v>
      </c>
      <c r="BG143" s="6" t="s">
        <v>5</v>
      </c>
      <c r="BH143" s="6" t="s">
        <v>5</v>
      </c>
      <c r="BI143" s="7">
        <v>8.67</v>
      </c>
      <c r="BJ143" s="22">
        <v>0.72299999999999998</v>
      </c>
      <c r="BK143" s="6" t="s">
        <v>5</v>
      </c>
      <c r="BL143" s="2" t="s">
        <v>5</v>
      </c>
      <c r="BM143" s="2" t="s">
        <v>5</v>
      </c>
      <c r="BN143" s="2" t="s">
        <v>5</v>
      </c>
      <c r="BO143" s="2" t="s">
        <v>5</v>
      </c>
      <c r="BP143" s="2" t="s">
        <v>5</v>
      </c>
      <c r="BQ143" s="2" t="s">
        <v>5</v>
      </c>
      <c r="BR143" s="2" t="s">
        <v>5</v>
      </c>
      <c r="BS143" s="2" t="s">
        <v>5</v>
      </c>
      <c r="BT143" s="2" t="s">
        <v>5</v>
      </c>
      <c r="BU143" s="2" t="s">
        <v>5</v>
      </c>
      <c r="BV143" s="2" t="s">
        <v>5</v>
      </c>
      <c r="BW143" s="2" t="s">
        <v>5</v>
      </c>
      <c r="BX143" s="2" t="s">
        <v>5</v>
      </c>
      <c r="BY143" s="25" t="s">
        <v>5</v>
      </c>
      <c r="BZ143" s="25" t="s">
        <v>5</v>
      </c>
      <c r="CA143" s="4">
        <v>57.8</v>
      </c>
      <c r="CB143" s="6" t="s">
        <v>5</v>
      </c>
      <c r="CC143" s="4">
        <v>73.599999999999994</v>
      </c>
      <c r="CD143" s="4">
        <v>58.8</v>
      </c>
      <c r="CE143" s="6">
        <v>74.599999999999994</v>
      </c>
      <c r="CF143" s="16" t="s">
        <v>5</v>
      </c>
      <c r="CG143" s="5">
        <v>5.5</v>
      </c>
      <c r="CH143" s="18" t="s">
        <v>5</v>
      </c>
      <c r="CM143" s="54" t="e">
        <f>#REF!/#REF!</f>
        <v>#REF!</v>
      </c>
      <c r="CV143" s="344" t="str">
        <f t="shared" si="18"/>
        <v>WT9X71.5</v>
      </c>
      <c r="CW143" s="337">
        <v>21</v>
      </c>
      <c r="DE143" s="335" t="str">
        <f t="shared" si="19"/>
        <v>2L3-1/2X3-1/2X5/16</v>
      </c>
      <c r="DF143" s="338">
        <v>4.2</v>
      </c>
      <c r="DH143" s="397" t="s">
        <v>1521</v>
      </c>
      <c r="DI143" s="398">
        <v>14.7</v>
      </c>
      <c r="DJ143" s="398">
        <v>20.8</v>
      </c>
      <c r="DK143" s="399">
        <v>0.38</v>
      </c>
      <c r="DL143" s="398">
        <v>49.4</v>
      </c>
      <c r="DM143" s="400">
        <v>6.1</v>
      </c>
      <c r="DN143" s="401">
        <v>110</v>
      </c>
      <c r="DO143" s="411">
        <v>94.5</v>
      </c>
      <c r="DP143" s="115"/>
      <c r="DQ143" s="428" t="s">
        <v>1380</v>
      </c>
      <c r="DR143" s="429">
        <v>370</v>
      </c>
      <c r="DS143" s="429">
        <v>4020</v>
      </c>
      <c r="DT143" s="431"/>
      <c r="DU143" s="431"/>
      <c r="DV143" s="431"/>
      <c r="DW143" s="431"/>
      <c r="DX143" s="432"/>
      <c r="DZ143" s="447" t="s">
        <v>1515</v>
      </c>
      <c r="EA143" s="448">
        <v>62</v>
      </c>
      <c r="EB143" s="448">
        <v>18.3</v>
      </c>
      <c r="EC143" s="448">
        <v>21</v>
      </c>
      <c r="ED143" s="448">
        <v>21</v>
      </c>
      <c r="EE143" s="448">
        <v>0.4</v>
      </c>
      <c r="EF143" s="449">
        <v>44993</v>
      </c>
      <c r="EG143" s="449">
        <v>45001</v>
      </c>
      <c r="EH143" s="448">
        <v>8.24</v>
      </c>
      <c r="EI143" s="448" t="s">
        <v>1778</v>
      </c>
      <c r="EJ143" s="448">
        <v>0.61499999999999999</v>
      </c>
      <c r="EK143" s="449">
        <v>45054</v>
      </c>
      <c r="EL143" s="448">
        <v>6.7</v>
      </c>
      <c r="EM143" s="448">
        <v>46.9</v>
      </c>
      <c r="EN143" s="448">
        <v>1330</v>
      </c>
      <c r="EO143" s="448">
        <v>127</v>
      </c>
      <c r="EP143" s="448">
        <v>8.5399999999999991</v>
      </c>
      <c r="EQ143" s="448">
        <v>144</v>
      </c>
      <c r="ER143" s="448">
        <v>57.5</v>
      </c>
      <c r="ES143" s="448">
        <v>14</v>
      </c>
      <c r="ET143" s="448">
        <v>1.77</v>
      </c>
      <c r="EU143" s="450">
        <v>21.7</v>
      </c>
    </row>
    <row r="144" spans="2:151">
      <c r="B144" s="78" t="s">
        <v>145</v>
      </c>
      <c r="C144" s="79" t="s">
        <v>150</v>
      </c>
      <c r="D144" s="80" t="s">
        <v>150</v>
      </c>
      <c r="E144" s="1" t="s">
        <v>6</v>
      </c>
      <c r="F144" s="6">
        <v>327.5</v>
      </c>
      <c r="G144" s="3">
        <v>96.4</v>
      </c>
      <c r="H144" s="3" t="str">
        <f t="shared" si="16"/>
        <v>WT20X327.5</v>
      </c>
      <c r="I144" s="4">
        <v>21.8</v>
      </c>
      <c r="J144" s="5">
        <v>21.75</v>
      </c>
      <c r="K144" s="6" t="s">
        <v>5</v>
      </c>
      <c r="L144" s="6" t="s">
        <v>5</v>
      </c>
      <c r="M144" s="6" t="s">
        <v>5</v>
      </c>
      <c r="N144" s="4">
        <v>16.899999999999999</v>
      </c>
      <c r="O144" s="5">
        <v>16.875</v>
      </c>
      <c r="P144" s="6" t="s">
        <v>5</v>
      </c>
      <c r="Q144" s="6" t="s">
        <v>5</v>
      </c>
      <c r="R144" s="6" t="s">
        <v>5</v>
      </c>
      <c r="S144" s="7">
        <v>1.97</v>
      </c>
      <c r="T144" s="5">
        <v>2</v>
      </c>
      <c r="U144" s="8">
        <v>1</v>
      </c>
      <c r="V144" s="7">
        <v>3.54</v>
      </c>
      <c r="W144" s="8">
        <v>3.5625</v>
      </c>
      <c r="X144" s="7">
        <v>3.54</v>
      </c>
      <c r="Y144" s="6" t="s">
        <v>5</v>
      </c>
      <c r="Z144" s="6" t="s">
        <v>5</v>
      </c>
      <c r="AA144" s="7">
        <v>4.72</v>
      </c>
      <c r="AB144" s="8">
        <v>4.8125</v>
      </c>
      <c r="AC144" s="5" t="s">
        <v>5</v>
      </c>
      <c r="AD144" s="6" t="s">
        <v>5</v>
      </c>
      <c r="AE144" s="9">
        <v>5.85</v>
      </c>
      <c r="AF144" s="6" t="s">
        <v>5</v>
      </c>
      <c r="AG144" s="6" t="s">
        <v>5</v>
      </c>
      <c r="AH144" s="9">
        <v>2.85</v>
      </c>
      <c r="AI144" s="9">
        <v>2.39</v>
      </c>
      <c r="AJ144" s="6" t="s">
        <v>5</v>
      </c>
      <c r="AK144" s="6" t="s">
        <v>5</v>
      </c>
      <c r="AL144" s="6" t="s">
        <v>5</v>
      </c>
      <c r="AM144" s="6" t="s">
        <v>5</v>
      </c>
      <c r="AN144" s="4">
        <v>11.1</v>
      </c>
      <c r="AO144" s="11">
        <v>3730</v>
      </c>
      <c r="AP144" s="11">
        <v>426</v>
      </c>
      <c r="AQ144" s="10">
        <v>234</v>
      </c>
      <c r="AR144" s="9">
        <v>6.22</v>
      </c>
      <c r="AS144" s="11">
        <v>1440</v>
      </c>
      <c r="AT144" s="10">
        <v>271</v>
      </c>
      <c r="AU144" s="10">
        <v>170</v>
      </c>
      <c r="AV144" s="9">
        <v>3.86</v>
      </c>
      <c r="AW144" s="6" t="s">
        <v>5</v>
      </c>
      <c r="AX144" s="6" t="s">
        <v>5</v>
      </c>
      <c r="AY144" s="6" t="s">
        <v>5</v>
      </c>
      <c r="AZ144" s="10">
        <v>293</v>
      </c>
      <c r="BA144" s="11">
        <v>3190</v>
      </c>
      <c r="BB144" s="6" t="s">
        <v>5</v>
      </c>
      <c r="BC144" s="6" t="s">
        <v>5</v>
      </c>
      <c r="BD144" s="6" t="s">
        <v>5</v>
      </c>
      <c r="BE144" s="6" t="s">
        <v>5</v>
      </c>
      <c r="BF144" s="6" t="s">
        <v>5</v>
      </c>
      <c r="BG144" s="6" t="s">
        <v>5</v>
      </c>
      <c r="BH144" s="6" t="s">
        <v>5</v>
      </c>
      <c r="BI144" s="9">
        <v>8.3800000000000008</v>
      </c>
      <c r="BJ144" s="35">
        <v>0.76300000000000001</v>
      </c>
      <c r="BK144" s="6" t="s">
        <v>5</v>
      </c>
      <c r="BL144" s="6" t="s">
        <v>5</v>
      </c>
      <c r="BM144" s="6" t="s">
        <v>5</v>
      </c>
      <c r="BN144" s="6" t="s">
        <v>5</v>
      </c>
      <c r="BO144" s="6" t="s">
        <v>5</v>
      </c>
      <c r="BP144" s="6" t="s">
        <v>5</v>
      </c>
      <c r="BQ144" s="6" t="s">
        <v>5</v>
      </c>
      <c r="BR144" s="6" t="s">
        <v>5</v>
      </c>
      <c r="BS144" s="6" t="s">
        <v>5</v>
      </c>
      <c r="BT144" s="6" t="s">
        <v>5</v>
      </c>
      <c r="BU144" s="6" t="s">
        <v>5</v>
      </c>
      <c r="BV144" s="6" t="s">
        <v>5</v>
      </c>
      <c r="BW144" s="6" t="s">
        <v>5</v>
      </c>
      <c r="BX144" s="6" t="s">
        <v>5</v>
      </c>
      <c r="BY144" s="6" t="s">
        <v>5</v>
      </c>
      <c r="BZ144" s="6" t="s">
        <v>5</v>
      </c>
      <c r="CA144" s="4">
        <v>59.5</v>
      </c>
      <c r="CB144" s="6" t="s">
        <v>5</v>
      </c>
      <c r="CC144" s="4">
        <v>76.400000000000006</v>
      </c>
      <c r="CD144" s="4">
        <v>60.500000000000007</v>
      </c>
      <c r="CE144" s="6">
        <v>77.400000000000006</v>
      </c>
      <c r="CF144" s="16" t="s">
        <v>5</v>
      </c>
      <c r="CG144" s="5">
        <v>7.5</v>
      </c>
      <c r="CH144" s="18" t="s">
        <v>5</v>
      </c>
      <c r="CV144" s="344" t="str">
        <f t="shared" si="18"/>
        <v>WT16.5X70.5</v>
      </c>
      <c r="CW144" s="337">
        <v>20.7</v>
      </c>
      <c r="DE144" s="335" t="str">
        <f t="shared" si="19"/>
        <v>2L4X4X1/4</v>
      </c>
      <c r="DF144" s="338">
        <v>3.86</v>
      </c>
      <c r="DH144" s="397" t="s">
        <v>1454</v>
      </c>
      <c r="DI144" s="398">
        <v>13</v>
      </c>
      <c r="DJ144" s="398">
        <v>20.7</v>
      </c>
      <c r="DK144" s="399">
        <v>0.35</v>
      </c>
      <c r="DL144" s="398">
        <v>53.6</v>
      </c>
      <c r="DM144" s="400">
        <v>7.22</v>
      </c>
      <c r="DN144" s="398">
        <v>95.4</v>
      </c>
      <c r="DO144" s="411">
        <v>81.599999999999994</v>
      </c>
      <c r="DP144" s="115"/>
      <c r="DQ144" s="428" t="s">
        <v>1381</v>
      </c>
      <c r="DR144" s="429">
        <v>356</v>
      </c>
      <c r="DS144" s="429">
        <v>3060</v>
      </c>
      <c r="DT144" s="431"/>
      <c r="DU144" s="431"/>
      <c r="DV144" s="431"/>
      <c r="DW144" s="431"/>
      <c r="DX144" s="432"/>
      <c r="DZ144" s="447" t="s">
        <v>1517</v>
      </c>
      <c r="EA144" s="448">
        <v>55</v>
      </c>
      <c r="EB144" s="448">
        <v>16.2</v>
      </c>
      <c r="EC144" s="448">
        <v>20.8</v>
      </c>
      <c r="ED144" s="448" t="s">
        <v>1780</v>
      </c>
      <c r="EE144" s="448">
        <v>0.375</v>
      </c>
      <c r="EF144" s="449">
        <v>44993</v>
      </c>
      <c r="EG144" s="449">
        <v>45001</v>
      </c>
      <c r="EH144" s="448">
        <v>8.2200000000000006</v>
      </c>
      <c r="EI144" s="448" t="s">
        <v>1778</v>
      </c>
      <c r="EJ144" s="448">
        <v>0.52200000000000002</v>
      </c>
      <c r="EK144" s="449">
        <v>44928</v>
      </c>
      <c r="EL144" s="448">
        <v>7.87</v>
      </c>
      <c r="EM144" s="448">
        <v>50</v>
      </c>
      <c r="EN144" s="448">
        <v>1140</v>
      </c>
      <c r="EO144" s="448">
        <v>110</v>
      </c>
      <c r="EP144" s="448">
        <v>8.4</v>
      </c>
      <c r="EQ144" s="448">
        <v>126</v>
      </c>
      <c r="ER144" s="448">
        <v>48.4</v>
      </c>
      <c r="ES144" s="448">
        <v>11.8</v>
      </c>
      <c r="ET144" s="448">
        <v>1.73</v>
      </c>
      <c r="EU144" s="450">
        <v>18.399999999999999</v>
      </c>
    </row>
    <row r="145" spans="2:151">
      <c r="B145" s="78" t="s">
        <v>145</v>
      </c>
      <c r="C145" s="79" t="s">
        <v>151</v>
      </c>
      <c r="D145" s="80" t="s">
        <v>151</v>
      </c>
      <c r="E145" s="1" t="s">
        <v>6</v>
      </c>
      <c r="F145" s="6">
        <v>296.5</v>
      </c>
      <c r="G145" s="4">
        <v>87.2</v>
      </c>
      <c r="H145" s="3" t="str">
        <f t="shared" si="16"/>
        <v>WT20X296.5</v>
      </c>
      <c r="I145" s="4">
        <v>21.5</v>
      </c>
      <c r="J145" s="5">
        <v>21.5</v>
      </c>
      <c r="K145" s="6" t="s">
        <v>5</v>
      </c>
      <c r="L145" s="6" t="s">
        <v>5</v>
      </c>
      <c r="M145" s="6" t="s">
        <v>5</v>
      </c>
      <c r="N145" s="4">
        <v>16.7</v>
      </c>
      <c r="O145" s="5">
        <v>16.75</v>
      </c>
      <c r="P145" s="5" t="s">
        <v>5</v>
      </c>
      <c r="Q145" s="6" t="s">
        <v>5</v>
      </c>
      <c r="R145" s="6" t="s">
        <v>5</v>
      </c>
      <c r="S145" s="7">
        <v>1.79</v>
      </c>
      <c r="T145" s="5">
        <v>1.8125</v>
      </c>
      <c r="U145" s="8">
        <v>0.9375</v>
      </c>
      <c r="V145" s="7">
        <v>3.23</v>
      </c>
      <c r="W145" s="8">
        <v>3.25</v>
      </c>
      <c r="X145" s="7">
        <v>3.23</v>
      </c>
      <c r="Y145" s="6" t="s">
        <v>5</v>
      </c>
      <c r="Z145" s="6" t="s">
        <v>5</v>
      </c>
      <c r="AA145" s="7">
        <v>4.41</v>
      </c>
      <c r="AB145" s="8">
        <v>4.5</v>
      </c>
      <c r="AC145" s="8" t="s">
        <v>5</v>
      </c>
      <c r="AD145" s="6" t="s">
        <v>5</v>
      </c>
      <c r="AE145" s="7">
        <v>5.66</v>
      </c>
      <c r="AF145" s="6" t="s">
        <v>5</v>
      </c>
      <c r="AG145" s="6" t="s">
        <v>5</v>
      </c>
      <c r="AH145" s="7">
        <v>2.61</v>
      </c>
      <c r="AI145" s="7">
        <v>2.58</v>
      </c>
      <c r="AJ145" s="6" t="s">
        <v>5</v>
      </c>
      <c r="AK145" s="6" t="s">
        <v>5</v>
      </c>
      <c r="AL145" s="6" t="s">
        <v>5</v>
      </c>
      <c r="AM145" s="6" t="s">
        <v>5</v>
      </c>
      <c r="AN145" s="4">
        <v>12</v>
      </c>
      <c r="AO145" s="6">
        <v>3310</v>
      </c>
      <c r="AP145" s="6">
        <v>379</v>
      </c>
      <c r="AQ145" s="6">
        <v>209</v>
      </c>
      <c r="AR145" s="7">
        <v>6.16</v>
      </c>
      <c r="AS145" s="6">
        <v>1260</v>
      </c>
      <c r="AT145" s="6">
        <v>240</v>
      </c>
      <c r="AU145" s="6">
        <v>151</v>
      </c>
      <c r="AV145" s="7">
        <v>3.8</v>
      </c>
      <c r="AW145" s="6" t="s">
        <v>5</v>
      </c>
      <c r="AX145" s="6" t="s">
        <v>5</v>
      </c>
      <c r="AY145" s="6" t="s">
        <v>5</v>
      </c>
      <c r="AZ145" s="6">
        <v>221</v>
      </c>
      <c r="BA145" s="6">
        <v>2340</v>
      </c>
      <c r="BB145" s="6" t="s">
        <v>5</v>
      </c>
      <c r="BC145" s="6" t="s">
        <v>5</v>
      </c>
      <c r="BD145" s="6" t="s">
        <v>5</v>
      </c>
      <c r="BE145" s="6" t="s">
        <v>5</v>
      </c>
      <c r="BF145" s="6" t="s">
        <v>5</v>
      </c>
      <c r="BG145" s="6" t="s">
        <v>5</v>
      </c>
      <c r="BH145" s="6" t="s">
        <v>5</v>
      </c>
      <c r="BI145" s="7">
        <v>8.2899999999999991</v>
      </c>
      <c r="BJ145" s="22">
        <v>0.76200000000000001</v>
      </c>
      <c r="BK145" s="6" t="s">
        <v>5</v>
      </c>
      <c r="BL145" s="2" t="s">
        <v>5</v>
      </c>
      <c r="BM145" s="2" t="s">
        <v>5</v>
      </c>
      <c r="BN145" s="2" t="s">
        <v>5</v>
      </c>
      <c r="BO145" s="2" t="s">
        <v>5</v>
      </c>
      <c r="BP145" s="2" t="s">
        <v>5</v>
      </c>
      <c r="BQ145" s="2" t="s">
        <v>5</v>
      </c>
      <c r="BR145" s="2" t="s">
        <v>5</v>
      </c>
      <c r="BS145" s="2" t="s">
        <v>5</v>
      </c>
      <c r="BT145" s="2" t="s">
        <v>5</v>
      </c>
      <c r="BU145" s="2" t="s">
        <v>5</v>
      </c>
      <c r="BV145" s="2" t="s">
        <v>5</v>
      </c>
      <c r="BW145" s="2" t="s">
        <v>5</v>
      </c>
      <c r="BX145" s="2" t="s">
        <v>5</v>
      </c>
      <c r="BY145" s="25" t="s">
        <v>5</v>
      </c>
      <c r="BZ145" s="25" t="s">
        <v>5</v>
      </c>
      <c r="CA145" s="4">
        <v>58.7</v>
      </c>
      <c r="CB145" s="6" t="s">
        <v>5</v>
      </c>
      <c r="CC145" s="4">
        <v>75.400000000000006</v>
      </c>
      <c r="CD145" s="4">
        <v>59.7</v>
      </c>
      <c r="CE145" s="6">
        <v>76.400000000000006</v>
      </c>
      <c r="CF145" s="16" t="s">
        <v>5</v>
      </c>
      <c r="CG145" s="5">
        <v>7.5</v>
      </c>
      <c r="CH145" s="18" t="s">
        <v>5</v>
      </c>
      <c r="CV145" s="344" t="str">
        <f t="shared" si="18"/>
        <v>WT6X68</v>
      </c>
      <c r="CW145" s="337">
        <v>20</v>
      </c>
      <c r="DE145" s="335" t="str">
        <f t="shared" si="19"/>
        <v>2L4X4X1/4</v>
      </c>
      <c r="DF145" s="338">
        <v>3.86</v>
      </c>
      <c r="DH145" s="397" t="s">
        <v>1322</v>
      </c>
      <c r="DI145" s="398">
        <v>91.6</v>
      </c>
      <c r="DJ145" s="398">
        <v>22.3</v>
      </c>
      <c r="DK145" s="400">
        <v>1.52</v>
      </c>
      <c r="DL145" s="407">
        <v>10.4</v>
      </c>
      <c r="DM145" s="400">
        <v>2.19</v>
      </c>
      <c r="DN145" s="408">
        <v>754</v>
      </c>
      <c r="DO145" s="409">
        <v>624</v>
      </c>
      <c r="DP145" s="119"/>
      <c r="DQ145" s="428" t="s">
        <v>1382</v>
      </c>
      <c r="DR145" s="429">
        <v>355</v>
      </c>
      <c r="DS145" s="429">
        <v>2400</v>
      </c>
      <c r="DT145" s="431"/>
      <c r="DU145" s="431"/>
      <c r="DV145" s="431"/>
      <c r="DW145" s="431"/>
      <c r="DX145" s="432"/>
      <c r="DZ145" s="447" t="s">
        <v>1519</v>
      </c>
      <c r="EA145" s="448">
        <v>48</v>
      </c>
      <c r="EB145" s="448">
        <v>14.1</v>
      </c>
      <c r="EC145" s="448">
        <v>20.6</v>
      </c>
      <c r="ED145" s="448" t="s">
        <v>1781</v>
      </c>
      <c r="EE145" s="448">
        <v>0.35</v>
      </c>
      <c r="EF145" s="449">
        <v>44993</v>
      </c>
      <c r="EG145" s="449">
        <v>45001</v>
      </c>
      <c r="EH145" s="448">
        <v>8.14</v>
      </c>
      <c r="EI145" s="448" t="s">
        <v>1782</v>
      </c>
      <c r="EJ145" s="448">
        <v>0.43</v>
      </c>
      <c r="EK145" s="449">
        <v>45123</v>
      </c>
      <c r="EL145" s="448">
        <v>9.4700000000000006</v>
      </c>
      <c r="EM145" s="448">
        <v>53.6</v>
      </c>
      <c r="EN145" s="448">
        <v>959</v>
      </c>
      <c r="EO145" s="448">
        <v>93</v>
      </c>
      <c r="EP145" s="448">
        <v>8.24</v>
      </c>
      <c r="EQ145" s="448">
        <v>107</v>
      </c>
      <c r="ER145" s="448">
        <v>38.700000000000003</v>
      </c>
      <c r="ES145" s="448">
        <v>9.52</v>
      </c>
      <c r="ET145" s="448">
        <v>1.66</v>
      </c>
      <c r="EU145" s="450">
        <v>14.9</v>
      </c>
    </row>
    <row r="146" spans="2:151">
      <c r="B146" s="78" t="s">
        <v>145</v>
      </c>
      <c r="C146" s="79" t="s">
        <v>152</v>
      </c>
      <c r="D146" s="80" t="s">
        <v>152</v>
      </c>
      <c r="E146" s="1" t="s">
        <v>6</v>
      </c>
      <c r="F146" s="6">
        <v>251.5</v>
      </c>
      <c r="G146" s="4">
        <v>74</v>
      </c>
      <c r="H146" s="3" t="str">
        <f t="shared" si="16"/>
        <v>WT20X251.5</v>
      </c>
      <c r="I146" s="4">
        <v>21</v>
      </c>
      <c r="J146" s="5">
        <v>21</v>
      </c>
      <c r="K146" s="6" t="s">
        <v>5</v>
      </c>
      <c r="L146" s="6" t="s">
        <v>5</v>
      </c>
      <c r="M146" s="6" t="s">
        <v>5</v>
      </c>
      <c r="N146" s="4">
        <v>16.399999999999999</v>
      </c>
      <c r="O146" s="5">
        <v>16.375</v>
      </c>
      <c r="P146" s="5" t="s">
        <v>5</v>
      </c>
      <c r="Q146" s="6" t="s">
        <v>5</v>
      </c>
      <c r="R146" s="6" t="s">
        <v>5</v>
      </c>
      <c r="S146" s="7">
        <v>1.54</v>
      </c>
      <c r="T146" s="5">
        <v>1.5625</v>
      </c>
      <c r="U146" s="8">
        <v>0.8125</v>
      </c>
      <c r="V146" s="7">
        <v>2.76</v>
      </c>
      <c r="W146" s="8">
        <v>2.75</v>
      </c>
      <c r="X146" s="7">
        <v>2.76</v>
      </c>
      <c r="Y146" s="6" t="s">
        <v>5</v>
      </c>
      <c r="Z146" s="6" t="s">
        <v>5</v>
      </c>
      <c r="AA146" s="7">
        <v>3.94</v>
      </c>
      <c r="AB146" s="8">
        <v>4</v>
      </c>
      <c r="AC146" s="8" t="s">
        <v>5</v>
      </c>
      <c r="AD146" s="6" t="s">
        <v>5</v>
      </c>
      <c r="AE146" s="7">
        <v>5.38</v>
      </c>
      <c r="AF146" s="6" t="s">
        <v>5</v>
      </c>
      <c r="AG146" s="6" t="s">
        <v>5</v>
      </c>
      <c r="AH146" s="7">
        <v>2.25</v>
      </c>
      <c r="AI146" s="7">
        <v>2.98</v>
      </c>
      <c r="AJ146" s="6" t="s">
        <v>5</v>
      </c>
      <c r="AK146" s="6" t="s">
        <v>5</v>
      </c>
      <c r="AL146" s="6" t="s">
        <v>5</v>
      </c>
      <c r="AM146" s="6" t="s">
        <v>5</v>
      </c>
      <c r="AN146" s="4">
        <v>13.6</v>
      </c>
      <c r="AO146" s="6">
        <v>2730</v>
      </c>
      <c r="AP146" s="6">
        <v>314</v>
      </c>
      <c r="AQ146" s="6">
        <v>174</v>
      </c>
      <c r="AR146" s="7">
        <v>6.07</v>
      </c>
      <c r="AS146" s="6">
        <v>1020</v>
      </c>
      <c r="AT146" s="6">
        <v>197</v>
      </c>
      <c r="AU146" s="6">
        <v>124</v>
      </c>
      <c r="AV146" s="7">
        <v>3.72</v>
      </c>
      <c r="AW146" s="6" t="s">
        <v>5</v>
      </c>
      <c r="AX146" s="6" t="s">
        <v>5</v>
      </c>
      <c r="AY146" s="6" t="s">
        <v>5</v>
      </c>
      <c r="AZ146" s="6">
        <v>138</v>
      </c>
      <c r="BA146" s="6">
        <v>1400</v>
      </c>
      <c r="BB146" s="6" t="s">
        <v>5</v>
      </c>
      <c r="BC146" s="6" t="s">
        <v>5</v>
      </c>
      <c r="BD146" s="6" t="s">
        <v>5</v>
      </c>
      <c r="BE146" s="6" t="s">
        <v>5</v>
      </c>
      <c r="BF146" s="6" t="s">
        <v>5</v>
      </c>
      <c r="BG146" s="6" t="s">
        <v>5</v>
      </c>
      <c r="BH146" s="6" t="s">
        <v>5</v>
      </c>
      <c r="BI146" s="7">
        <v>8.17</v>
      </c>
      <c r="BJ146" s="22">
        <v>0.76</v>
      </c>
      <c r="BK146" s="6" t="s">
        <v>5</v>
      </c>
      <c r="BL146" s="2" t="s">
        <v>5</v>
      </c>
      <c r="BM146" s="2" t="s">
        <v>5</v>
      </c>
      <c r="BN146" s="2" t="s">
        <v>5</v>
      </c>
      <c r="BO146" s="2" t="s">
        <v>5</v>
      </c>
      <c r="BP146" s="2" t="s">
        <v>5</v>
      </c>
      <c r="BQ146" s="2" t="s">
        <v>5</v>
      </c>
      <c r="BR146" s="2" t="s">
        <v>5</v>
      </c>
      <c r="BS146" s="2" t="s">
        <v>5</v>
      </c>
      <c r="BT146" s="2" t="s">
        <v>5</v>
      </c>
      <c r="BU146" s="2" t="s">
        <v>5</v>
      </c>
      <c r="BV146" s="2" t="s">
        <v>5</v>
      </c>
      <c r="BW146" s="2" t="s">
        <v>5</v>
      </c>
      <c r="BX146" s="2" t="s">
        <v>5</v>
      </c>
      <c r="BY146" s="25" t="s">
        <v>5</v>
      </c>
      <c r="BZ146" s="25" t="s">
        <v>5</v>
      </c>
      <c r="CA146" s="4">
        <v>57.4</v>
      </c>
      <c r="CB146" s="6" t="s">
        <v>5</v>
      </c>
      <c r="CC146" s="4">
        <v>73.8</v>
      </c>
      <c r="CD146" s="4">
        <v>58.4</v>
      </c>
      <c r="CE146" s="6">
        <v>74.8</v>
      </c>
      <c r="CF146" s="16" t="s">
        <v>5</v>
      </c>
      <c r="CG146" s="5">
        <v>7.5</v>
      </c>
      <c r="CH146" s="18" t="s">
        <v>5</v>
      </c>
      <c r="CV146" s="344" t="str">
        <f t="shared" si="18"/>
        <v>WT18X67.5</v>
      </c>
      <c r="CW146" s="337">
        <v>19.899999999999999</v>
      </c>
      <c r="DE146" s="335" t="str">
        <f t="shared" si="19"/>
        <v>2L4X4X1/4</v>
      </c>
      <c r="DF146" s="338">
        <v>3.86</v>
      </c>
      <c r="DH146" s="397" t="s">
        <v>1330</v>
      </c>
      <c r="DI146" s="398">
        <v>83.3</v>
      </c>
      <c r="DJ146" s="398">
        <v>21.9</v>
      </c>
      <c r="DK146" s="400">
        <v>1.4</v>
      </c>
      <c r="DL146" s="407">
        <v>11.3</v>
      </c>
      <c r="DM146" s="400">
        <v>2.38</v>
      </c>
      <c r="DN146" s="408">
        <v>676</v>
      </c>
      <c r="DO146" s="409">
        <v>565</v>
      </c>
      <c r="DP146" s="119"/>
      <c r="DQ146" s="428" t="s">
        <v>1383</v>
      </c>
      <c r="DR146" s="429">
        <v>348</v>
      </c>
      <c r="DS146" s="429">
        <v>2140</v>
      </c>
      <c r="DT146" s="431"/>
      <c r="DU146" s="431"/>
      <c r="DV146" s="431"/>
      <c r="DW146" s="431"/>
      <c r="DX146" s="432"/>
      <c r="DZ146" s="447" t="s">
        <v>1441</v>
      </c>
      <c r="EA146" s="448">
        <v>57</v>
      </c>
      <c r="EB146" s="448">
        <v>16.7</v>
      </c>
      <c r="EC146" s="448">
        <v>21.1</v>
      </c>
      <c r="ED146" s="448">
        <v>21</v>
      </c>
      <c r="EE146" s="448">
        <v>0.40500000000000003</v>
      </c>
      <c r="EF146" s="449">
        <v>44993</v>
      </c>
      <c r="EG146" s="449">
        <v>45001</v>
      </c>
      <c r="EH146" s="448">
        <v>6.56</v>
      </c>
      <c r="EI146" s="448" t="s">
        <v>1783</v>
      </c>
      <c r="EJ146" s="448">
        <v>0.65</v>
      </c>
      <c r="EK146" s="449">
        <v>45054</v>
      </c>
      <c r="EL146" s="448">
        <v>5.04</v>
      </c>
      <c r="EM146" s="448">
        <v>46.3</v>
      </c>
      <c r="EN146" s="448">
        <v>1170</v>
      </c>
      <c r="EO146" s="448">
        <v>111</v>
      </c>
      <c r="EP146" s="448">
        <v>8.36</v>
      </c>
      <c r="EQ146" s="448">
        <v>129</v>
      </c>
      <c r="ER146" s="448">
        <v>30.6</v>
      </c>
      <c r="ES146" s="448">
        <v>9.35</v>
      </c>
      <c r="ET146" s="448">
        <v>1.35</v>
      </c>
      <c r="EU146" s="450">
        <v>14.8</v>
      </c>
    </row>
    <row r="147" spans="2:151">
      <c r="B147" s="78" t="s">
        <v>145</v>
      </c>
      <c r="C147" s="79" t="s">
        <v>153</v>
      </c>
      <c r="D147" s="80" t="s">
        <v>153</v>
      </c>
      <c r="E147" s="1" t="s">
        <v>6</v>
      </c>
      <c r="F147" s="6">
        <v>215.5</v>
      </c>
      <c r="G147" s="4">
        <v>63.3</v>
      </c>
      <c r="H147" s="3" t="str">
        <f t="shared" si="16"/>
        <v>WT20X215.5</v>
      </c>
      <c r="I147" s="4">
        <v>20.6</v>
      </c>
      <c r="J147" s="5">
        <v>20.625</v>
      </c>
      <c r="K147" s="6" t="s">
        <v>5</v>
      </c>
      <c r="L147" s="6" t="s">
        <v>5</v>
      </c>
      <c r="M147" s="6" t="s">
        <v>5</v>
      </c>
      <c r="N147" s="4">
        <v>16.2</v>
      </c>
      <c r="O147" s="5">
        <v>16.25</v>
      </c>
      <c r="P147" s="5" t="s">
        <v>5</v>
      </c>
      <c r="Q147" s="6" t="s">
        <v>5</v>
      </c>
      <c r="R147" s="6" t="s">
        <v>5</v>
      </c>
      <c r="S147" s="7">
        <v>1.34</v>
      </c>
      <c r="T147" s="5">
        <v>1.3125</v>
      </c>
      <c r="U147" s="8">
        <v>0.6875</v>
      </c>
      <c r="V147" s="7">
        <v>2.36</v>
      </c>
      <c r="W147" s="8">
        <v>2.375</v>
      </c>
      <c r="X147" s="7">
        <v>2.36</v>
      </c>
      <c r="Y147" s="6" t="s">
        <v>5</v>
      </c>
      <c r="Z147" s="6" t="s">
        <v>5</v>
      </c>
      <c r="AA147" s="7">
        <v>3.54</v>
      </c>
      <c r="AB147" s="8">
        <v>3.625</v>
      </c>
      <c r="AC147" s="8" t="s">
        <v>5</v>
      </c>
      <c r="AD147" s="6" t="s">
        <v>5</v>
      </c>
      <c r="AE147" s="7">
        <v>5.18</v>
      </c>
      <c r="AF147" s="6" t="s">
        <v>5</v>
      </c>
      <c r="AG147" s="6" t="s">
        <v>5</v>
      </c>
      <c r="AH147" s="7">
        <v>1.95</v>
      </c>
      <c r="AI147" s="7">
        <v>3.44</v>
      </c>
      <c r="AJ147" s="6" t="s">
        <v>5</v>
      </c>
      <c r="AK147" s="6" t="s">
        <v>5</v>
      </c>
      <c r="AL147" s="6" t="s">
        <v>5</v>
      </c>
      <c r="AM147" s="6" t="s">
        <v>5</v>
      </c>
      <c r="AN147" s="4">
        <v>15.4</v>
      </c>
      <c r="AO147" s="6">
        <v>2290</v>
      </c>
      <c r="AP147" s="6">
        <v>266</v>
      </c>
      <c r="AQ147" s="6">
        <v>148</v>
      </c>
      <c r="AR147" s="7">
        <v>6.01</v>
      </c>
      <c r="AS147" s="6">
        <v>843</v>
      </c>
      <c r="AT147" s="6">
        <v>164</v>
      </c>
      <c r="AU147" s="6">
        <v>104</v>
      </c>
      <c r="AV147" s="7">
        <v>3.65</v>
      </c>
      <c r="AW147" s="6" t="s">
        <v>5</v>
      </c>
      <c r="AX147" s="6" t="s">
        <v>5</v>
      </c>
      <c r="AY147" s="6" t="s">
        <v>5</v>
      </c>
      <c r="AZ147" s="4">
        <v>88.2</v>
      </c>
      <c r="BA147" s="6">
        <v>881</v>
      </c>
      <c r="BB147" s="6" t="s">
        <v>5</v>
      </c>
      <c r="BC147" s="6" t="s">
        <v>5</v>
      </c>
      <c r="BD147" s="6" t="s">
        <v>5</v>
      </c>
      <c r="BE147" s="6" t="s">
        <v>5</v>
      </c>
      <c r="BF147" s="6" t="s">
        <v>5</v>
      </c>
      <c r="BG147" s="6" t="s">
        <v>5</v>
      </c>
      <c r="BH147" s="6" t="s">
        <v>5</v>
      </c>
      <c r="BI147" s="7">
        <v>8.09</v>
      </c>
      <c r="BJ147" s="22">
        <v>0.75600000000000001</v>
      </c>
      <c r="BK147" s="6" t="s">
        <v>5</v>
      </c>
      <c r="BL147" s="2" t="s">
        <v>5</v>
      </c>
      <c r="BM147" s="2" t="s">
        <v>5</v>
      </c>
      <c r="BN147" s="2" t="s">
        <v>5</v>
      </c>
      <c r="BO147" s="2" t="s">
        <v>5</v>
      </c>
      <c r="BP147" s="2" t="s">
        <v>5</v>
      </c>
      <c r="BQ147" s="2" t="s">
        <v>5</v>
      </c>
      <c r="BR147" s="2" t="s">
        <v>5</v>
      </c>
      <c r="BS147" s="2" t="s">
        <v>5</v>
      </c>
      <c r="BT147" s="2" t="s">
        <v>5</v>
      </c>
      <c r="BU147" s="2" t="s">
        <v>5</v>
      </c>
      <c r="BV147" s="2" t="s">
        <v>5</v>
      </c>
      <c r="BW147" s="2" t="s">
        <v>5</v>
      </c>
      <c r="BX147" s="2" t="s">
        <v>5</v>
      </c>
      <c r="BY147" s="25" t="s">
        <v>5</v>
      </c>
      <c r="BZ147" s="25" t="s">
        <v>5</v>
      </c>
      <c r="CA147" s="4">
        <v>56.4</v>
      </c>
      <c r="CB147" s="6" t="s">
        <v>5</v>
      </c>
      <c r="CC147" s="4">
        <v>72.599999999999994</v>
      </c>
      <c r="CD147" s="4">
        <v>57.399999999999991</v>
      </c>
      <c r="CE147" s="6">
        <v>73.599999999999994</v>
      </c>
      <c r="CF147" s="16" t="s">
        <v>5</v>
      </c>
      <c r="CG147" s="5">
        <v>7.5</v>
      </c>
      <c r="CH147" s="18" t="s">
        <v>5</v>
      </c>
      <c r="CV147" s="344" t="str">
        <f t="shared" si="18"/>
        <v>WT15X66</v>
      </c>
      <c r="CW147" s="337">
        <v>19.5</v>
      </c>
      <c r="DE147" s="335" t="str">
        <f t="shared" si="19"/>
        <v>2L3X3X5/16</v>
      </c>
      <c r="DF147" s="338">
        <v>3.56</v>
      </c>
      <c r="DH147" s="397" t="s">
        <v>1339</v>
      </c>
      <c r="DI147" s="398">
        <v>76</v>
      </c>
      <c r="DJ147" s="398">
        <v>21.5</v>
      </c>
      <c r="DK147" s="400">
        <v>1.28</v>
      </c>
      <c r="DL147" s="407">
        <v>12.5</v>
      </c>
      <c r="DM147" s="400">
        <v>2.56</v>
      </c>
      <c r="DN147" s="408">
        <v>611</v>
      </c>
      <c r="DO147" s="409">
        <v>514</v>
      </c>
      <c r="DP147" s="119"/>
      <c r="DQ147" s="428" t="s">
        <v>1384</v>
      </c>
      <c r="DR147" s="429">
        <v>346</v>
      </c>
      <c r="DS147" s="429">
        <v>4470</v>
      </c>
      <c r="DT147" s="431"/>
      <c r="DU147" s="431"/>
      <c r="DV147" s="431"/>
      <c r="DW147" s="431"/>
      <c r="DX147" s="432"/>
      <c r="DZ147" s="447" t="s">
        <v>1521</v>
      </c>
      <c r="EA147" s="448">
        <v>50</v>
      </c>
      <c r="EB147" s="448">
        <v>14.7</v>
      </c>
      <c r="EC147" s="448">
        <v>20.8</v>
      </c>
      <c r="ED147" s="448" t="s">
        <v>1784</v>
      </c>
      <c r="EE147" s="448">
        <v>0.38</v>
      </c>
      <c r="EF147" s="449">
        <v>44993</v>
      </c>
      <c r="EG147" s="449">
        <v>45001</v>
      </c>
      <c r="EH147" s="448">
        <v>6.53</v>
      </c>
      <c r="EI147" s="448" t="s">
        <v>1783</v>
      </c>
      <c r="EJ147" s="448">
        <v>0.53500000000000003</v>
      </c>
      <c r="EK147" s="449">
        <v>45185</v>
      </c>
      <c r="EL147" s="448">
        <v>6.1</v>
      </c>
      <c r="EM147" s="448">
        <v>49.4</v>
      </c>
      <c r="EN147" s="448">
        <v>984</v>
      </c>
      <c r="EO147" s="448">
        <v>94.5</v>
      </c>
      <c r="EP147" s="448">
        <v>8.18</v>
      </c>
      <c r="EQ147" s="448">
        <v>110</v>
      </c>
      <c r="ER147" s="448">
        <v>24.9</v>
      </c>
      <c r="ES147" s="448">
        <v>7.64</v>
      </c>
      <c r="ET147" s="448">
        <v>1.3</v>
      </c>
      <c r="EU147" s="450">
        <v>12.2</v>
      </c>
    </row>
    <row r="148" spans="2:151">
      <c r="B148" s="78" t="s">
        <v>145</v>
      </c>
      <c r="C148" s="79" t="s">
        <v>154</v>
      </c>
      <c r="D148" s="80" t="s">
        <v>154</v>
      </c>
      <c r="E148" s="1" t="s">
        <v>6</v>
      </c>
      <c r="F148" s="6">
        <v>198.5</v>
      </c>
      <c r="G148" s="4">
        <v>58.3</v>
      </c>
      <c r="H148" s="3" t="str">
        <f t="shared" si="16"/>
        <v>WT20X198.5</v>
      </c>
      <c r="I148" s="4">
        <v>20.5</v>
      </c>
      <c r="J148" s="5">
        <v>20.5</v>
      </c>
      <c r="K148" s="6" t="s">
        <v>5</v>
      </c>
      <c r="L148" s="6" t="s">
        <v>5</v>
      </c>
      <c r="M148" s="6" t="s">
        <v>5</v>
      </c>
      <c r="N148" s="4">
        <v>16.100000000000001</v>
      </c>
      <c r="O148" s="5">
        <v>16.125</v>
      </c>
      <c r="P148" s="5" t="s">
        <v>5</v>
      </c>
      <c r="Q148" s="6" t="s">
        <v>5</v>
      </c>
      <c r="R148" s="6" t="s">
        <v>5</v>
      </c>
      <c r="S148" s="7">
        <v>1.22</v>
      </c>
      <c r="T148" s="5">
        <v>1.25</v>
      </c>
      <c r="U148" s="8">
        <v>0.625</v>
      </c>
      <c r="V148" s="7">
        <v>2.2000000000000002</v>
      </c>
      <c r="W148" s="8">
        <v>2.1875</v>
      </c>
      <c r="X148" s="7">
        <v>2.2000000000000002</v>
      </c>
      <c r="Y148" s="6" t="s">
        <v>5</v>
      </c>
      <c r="Z148" s="6" t="s">
        <v>5</v>
      </c>
      <c r="AA148" s="7">
        <v>3.38</v>
      </c>
      <c r="AB148" s="8">
        <v>3.5</v>
      </c>
      <c r="AC148" s="8" t="s">
        <v>5</v>
      </c>
      <c r="AD148" s="6" t="s">
        <v>5</v>
      </c>
      <c r="AE148" s="7">
        <v>5.03</v>
      </c>
      <c r="AF148" s="6" t="s">
        <v>5</v>
      </c>
      <c r="AG148" s="6" t="s">
        <v>5</v>
      </c>
      <c r="AH148" s="7">
        <v>1.81</v>
      </c>
      <c r="AI148" s="7">
        <v>3.66</v>
      </c>
      <c r="AJ148" s="6" t="s">
        <v>5</v>
      </c>
      <c r="AK148" s="6" t="s">
        <v>5</v>
      </c>
      <c r="AL148" s="6" t="s">
        <v>5</v>
      </c>
      <c r="AM148" s="6" t="s">
        <v>5</v>
      </c>
      <c r="AN148" s="4">
        <v>16.8</v>
      </c>
      <c r="AO148" s="6">
        <v>2070</v>
      </c>
      <c r="AP148" s="6">
        <v>240</v>
      </c>
      <c r="AQ148" s="6">
        <v>134</v>
      </c>
      <c r="AR148" s="7">
        <v>5.96</v>
      </c>
      <c r="AS148" s="6">
        <v>771</v>
      </c>
      <c r="AT148" s="6">
        <v>150</v>
      </c>
      <c r="AU148" s="4">
        <v>95.7</v>
      </c>
      <c r="AV148" s="7">
        <v>3.63</v>
      </c>
      <c r="AW148" s="6" t="s">
        <v>5</v>
      </c>
      <c r="AX148" s="6" t="s">
        <v>5</v>
      </c>
      <c r="AY148" s="6" t="s">
        <v>5</v>
      </c>
      <c r="AZ148" s="4">
        <v>70.599999999999994</v>
      </c>
      <c r="BA148" s="6">
        <v>677</v>
      </c>
      <c r="BB148" s="6" t="s">
        <v>5</v>
      </c>
      <c r="BC148" s="6" t="s">
        <v>5</v>
      </c>
      <c r="BD148" s="6" t="s">
        <v>5</v>
      </c>
      <c r="BE148" s="6" t="s">
        <v>5</v>
      </c>
      <c r="BF148" s="6" t="s">
        <v>5</v>
      </c>
      <c r="BG148" s="6" t="s">
        <v>5</v>
      </c>
      <c r="BH148" s="6" t="s">
        <v>5</v>
      </c>
      <c r="BI148" s="7">
        <v>8.01</v>
      </c>
      <c r="BJ148" s="22">
        <v>0.76</v>
      </c>
      <c r="BK148" s="6" t="s">
        <v>5</v>
      </c>
      <c r="BL148" s="2" t="s">
        <v>5</v>
      </c>
      <c r="BM148" s="2" t="s">
        <v>5</v>
      </c>
      <c r="BN148" s="2" t="s">
        <v>5</v>
      </c>
      <c r="BO148" s="2" t="s">
        <v>5</v>
      </c>
      <c r="BP148" s="2" t="s">
        <v>5</v>
      </c>
      <c r="BQ148" s="2" t="s">
        <v>5</v>
      </c>
      <c r="BR148" s="2" t="s">
        <v>5</v>
      </c>
      <c r="BS148" s="2" t="s">
        <v>5</v>
      </c>
      <c r="BT148" s="2" t="s">
        <v>5</v>
      </c>
      <c r="BU148" s="2" t="s">
        <v>5</v>
      </c>
      <c r="BV148" s="2" t="s">
        <v>5</v>
      </c>
      <c r="BW148" s="2" t="s">
        <v>5</v>
      </c>
      <c r="BX148" s="2" t="s">
        <v>5</v>
      </c>
      <c r="BY148" s="25" t="s">
        <v>5</v>
      </c>
      <c r="BZ148" s="25" t="s">
        <v>5</v>
      </c>
      <c r="CA148" s="4">
        <v>56.1</v>
      </c>
      <c r="CB148" s="6" t="s">
        <v>5</v>
      </c>
      <c r="CC148" s="4">
        <v>72.2</v>
      </c>
      <c r="CD148" s="4">
        <v>57.1</v>
      </c>
      <c r="CE148" s="6">
        <v>73.2</v>
      </c>
      <c r="CF148" s="16" t="s">
        <v>5</v>
      </c>
      <c r="CG148" s="5">
        <v>7.5</v>
      </c>
      <c r="CH148" s="18" t="s">
        <v>5</v>
      </c>
      <c r="CV148" s="344" t="str">
        <f t="shared" si="18"/>
        <v>WT10.5X66</v>
      </c>
      <c r="CW148" s="337">
        <v>19.399999999999999</v>
      </c>
      <c r="DE148" s="335" t="str">
        <f t="shared" si="19"/>
        <v>2L3X3X5/16</v>
      </c>
      <c r="DF148" s="338">
        <v>3.56</v>
      </c>
      <c r="DH148" s="397" t="s">
        <v>1350</v>
      </c>
      <c r="DI148" s="398">
        <v>68.599999999999994</v>
      </c>
      <c r="DJ148" s="398">
        <v>21.1</v>
      </c>
      <c r="DK148" s="400">
        <v>1.1599999999999999</v>
      </c>
      <c r="DL148" s="407">
        <v>13.8</v>
      </c>
      <c r="DM148" s="400">
        <v>2.76</v>
      </c>
      <c r="DN148" s="408">
        <v>549</v>
      </c>
      <c r="DO148" s="409">
        <v>466</v>
      </c>
      <c r="DP148" s="119"/>
      <c r="DQ148" s="428" t="s">
        <v>1385</v>
      </c>
      <c r="DR148" s="429">
        <v>343</v>
      </c>
      <c r="DS148" s="429">
        <v>4080</v>
      </c>
      <c r="DT148" s="431"/>
      <c r="DU148" s="431"/>
      <c r="DV148" s="431"/>
      <c r="DW148" s="431"/>
      <c r="DX148" s="432"/>
      <c r="DZ148" s="447" t="s">
        <v>1454</v>
      </c>
      <c r="EA148" s="448">
        <v>44</v>
      </c>
      <c r="EB148" s="448">
        <v>13</v>
      </c>
      <c r="EC148" s="448">
        <v>20.7</v>
      </c>
      <c r="ED148" s="448" t="s">
        <v>1781</v>
      </c>
      <c r="EE148" s="448">
        <v>0.35</v>
      </c>
      <c r="EF148" s="449">
        <v>44993</v>
      </c>
      <c r="EG148" s="449">
        <v>45001</v>
      </c>
      <c r="EH148" s="448">
        <v>6.5</v>
      </c>
      <c r="EI148" s="448" t="s">
        <v>1783</v>
      </c>
      <c r="EJ148" s="448">
        <v>0.45</v>
      </c>
      <c r="EK148" s="449">
        <v>45123</v>
      </c>
      <c r="EL148" s="448">
        <v>7.22</v>
      </c>
      <c r="EM148" s="448">
        <v>53.6</v>
      </c>
      <c r="EN148" s="448">
        <v>843</v>
      </c>
      <c r="EO148" s="448">
        <v>81.599999999999994</v>
      </c>
      <c r="EP148" s="448">
        <v>8.06</v>
      </c>
      <c r="EQ148" s="448">
        <v>95.4</v>
      </c>
      <c r="ER148" s="448">
        <v>20.7</v>
      </c>
      <c r="ES148" s="448">
        <v>6.37</v>
      </c>
      <c r="ET148" s="448">
        <v>1.26</v>
      </c>
      <c r="EU148" s="450">
        <v>10.199999999999999</v>
      </c>
    </row>
    <row r="149" spans="2:151">
      <c r="B149" s="78" t="s">
        <v>145</v>
      </c>
      <c r="C149" s="79" t="s">
        <v>155</v>
      </c>
      <c r="D149" s="80" t="s">
        <v>155</v>
      </c>
      <c r="E149" s="1" t="s">
        <v>6</v>
      </c>
      <c r="F149" s="6">
        <v>186</v>
      </c>
      <c r="G149" s="4">
        <v>54.7</v>
      </c>
      <c r="H149" s="3" t="str">
        <f t="shared" si="16"/>
        <v>WT20X186</v>
      </c>
      <c r="I149" s="4">
        <v>20.3</v>
      </c>
      <c r="J149" s="5">
        <v>20.375</v>
      </c>
      <c r="K149" s="6" t="s">
        <v>5</v>
      </c>
      <c r="L149" s="6" t="s">
        <v>5</v>
      </c>
      <c r="M149" s="6" t="s">
        <v>5</v>
      </c>
      <c r="N149" s="4">
        <v>16.100000000000001</v>
      </c>
      <c r="O149" s="5">
        <v>16.125</v>
      </c>
      <c r="P149" s="5" t="s">
        <v>5</v>
      </c>
      <c r="Q149" s="6" t="s">
        <v>5</v>
      </c>
      <c r="R149" s="6" t="s">
        <v>5</v>
      </c>
      <c r="S149" s="7">
        <v>1.1599999999999999</v>
      </c>
      <c r="T149" s="5">
        <v>1.1875</v>
      </c>
      <c r="U149" s="8">
        <v>0.625</v>
      </c>
      <c r="V149" s="7">
        <v>2.0499999999999998</v>
      </c>
      <c r="W149" s="8">
        <v>2.0625</v>
      </c>
      <c r="X149" s="7">
        <v>2.0499999999999998</v>
      </c>
      <c r="Y149" s="6" t="s">
        <v>5</v>
      </c>
      <c r="Z149" s="6" t="s">
        <v>5</v>
      </c>
      <c r="AA149" s="7">
        <v>3.23</v>
      </c>
      <c r="AB149" s="8">
        <v>3.3125</v>
      </c>
      <c r="AC149" s="8" t="s">
        <v>5</v>
      </c>
      <c r="AD149" s="6" t="s">
        <v>5</v>
      </c>
      <c r="AE149" s="7">
        <v>4.9800000000000004</v>
      </c>
      <c r="AF149" s="6" t="s">
        <v>5</v>
      </c>
      <c r="AG149" s="6" t="s">
        <v>5</v>
      </c>
      <c r="AH149" s="7">
        <v>1.7</v>
      </c>
      <c r="AI149" s="7">
        <v>3.93</v>
      </c>
      <c r="AJ149" s="6" t="s">
        <v>5</v>
      </c>
      <c r="AK149" s="6" t="s">
        <v>5</v>
      </c>
      <c r="AL149" s="6" t="s">
        <v>5</v>
      </c>
      <c r="AM149" s="6" t="s">
        <v>5</v>
      </c>
      <c r="AN149" s="4">
        <v>17.5</v>
      </c>
      <c r="AO149" s="6">
        <v>1930</v>
      </c>
      <c r="AP149" s="6">
        <v>225</v>
      </c>
      <c r="AQ149" s="6">
        <v>126</v>
      </c>
      <c r="AR149" s="7">
        <v>5.95</v>
      </c>
      <c r="AS149" s="6">
        <v>709</v>
      </c>
      <c r="AT149" s="6">
        <v>138</v>
      </c>
      <c r="AU149" s="4">
        <v>88.3</v>
      </c>
      <c r="AV149" s="7">
        <v>3.6</v>
      </c>
      <c r="AW149" s="6" t="s">
        <v>5</v>
      </c>
      <c r="AX149" s="6" t="s">
        <v>5</v>
      </c>
      <c r="AY149" s="6" t="s">
        <v>5</v>
      </c>
      <c r="AZ149" s="4">
        <v>57.7</v>
      </c>
      <c r="BA149" s="6">
        <v>558</v>
      </c>
      <c r="BB149" s="6" t="s">
        <v>5</v>
      </c>
      <c r="BC149" s="6" t="s">
        <v>5</v>
      </c>
      <c r="BD149" s="6" t="s">
        <v>5</v>
      </c>
      <c r="BE149" s="6" t="s">
        <v>5</v>
      </c>
      <c r="BF149" s="6" t="s">
        <v>5</v>
      </c>
      <c r="BG149" s="6" t="s">
        <v>5</v>
      </c>
      <c r="BH149" s="6" t="s">
        <v>5</v>
      </c>
      <c r="BI149" s="7">
        <v>8</v>
      </c>
      <c r="BJ149" s="22">
        <v>0.75600000000000001</v>
      </c>
      <c r="BK149" s="6" t="s">
        <v>5</v>
      </c>
      <c r="BL149" s="2" t="s">
        <v>5</v>
      </c>
      <c r="BM149" s="2" t="s">
        <v>5</v>
      </c>
      <c r="BN149" s="2" t="s">
        <v>5</v>
      </c>
      <c r="BO149" s="2" t="s">
        <v>5</v>
      </c>
      <c r="BP149" s="2" t="s">
        <v>5</v>
      </c>
      <c r="BQ149" s="2" t="s">
        <v>5</v>
      </c>
      <c r="BR149" s="2" t="s">
        <v>5</v>
      </c>
      <c r="BS149" s="2" t="s">
        <v>5</v>
      </c>
      <c r="BT149" s="2" t="s">
        <v>5</v>
      </c>
      <c r="BU149" s="2" t="s">
        <v>5</v>
      </c>
      <c r="BV149" s="2" t="s">
        <v>5</v>
      </c>
      <c r="BW149" s="2" t="s">
        <v>5</v>
      </c>
      <c r="BX149" s="2" t="s">
        <v>5</v>
      </c>
      <c r="BY149" s="25" t="s">
        <v>5</v>
      </c>
      <c r="BZ149" s="25" t="s">
        <v>5</v>
      </c>
      <c r="CA149" s="4">
        <v>55.7</v>
      </c>
      <c r="CB149" s="6" t="s">
        <v>5</v>
      </c>
      <c r="CC149" s="4">
        <v>71.8</v>
      </c>
      <c r="CD149" s="4">
        <v>56.70000000000001</v>
      </c>
      <c r="CE149" s="6">
        <v>72.800000000000011</v>
      </c>
      <c r="CF149" s="16" t="s">
        <v>5</v>
      </c>
      <c r="CG149" s="5">
        <v>7.5</v>
      </c>
      <c r="CH149" s="18" t="s">
        <v>5</v>
      </c>
      <c r="CV149" s="344" t="str">
        <f t="shared" si="18"/>
        <v>WT10.5X66</v>
      </c>
      <c r="CW149" s="337">
        <v>19.399999999999999</v>
      </c>
      <c r="DE149" s="335" t="str">
        <f t="shared" si="19"/>
        <v>2L3X3X5/16</v>
      </c>
      <c r="DF149" s="338">
        <v>3.56</v>
      </c>
      <c r="DH149" s="397" t="s">
        <v>1359</v>
      </c>
      <c r="DI149" s="398">
        <v>62.3</v>
      </c>
      <c r="DJ149" s="398">
        <v>20.7</v>
      </c>
      <c r="DK149" s="400">
        <v>1.06</v>
      </c>
      <c r="DL149" s="407">
        <v>15.1</v>
      </c>
      <c r="DM149" s="400">
        <v>3.02</v>
      </c>
      <c r="DN149" s="408">
        <v>490</v>
      </c>
      <c r="DO149" s="409">
        <v>419</v>
      </c>
      <c r="DP149" s="119"/>
      <c r="DQ149" s="428" t="s">
        <v>1386</v>
      </c>
      <c r="DR149" s="429">
        <v>333</v>
      </c>
      <c r="DS149" s="429">
        <v>3220</v>
      </c>
      <c r="DT149" s="431"/>
      <c r="DU149" s="431"/>
      <c r="DV149" s="431"/>
      <c r="DW149" s="431"/>
      <c r="DX149" s="432"/>
      <c r="DZ149" s="447" t="s">
        <v>1322</v>
      </c>
      <c r="EA149" s="448">
        <v>311</v>
      </c>
      <c r="EB149" s="448">
        <v>91.6</v>
      </c>
      <c r="EC149" s="448">
        <v>22.3</v>
      </c>
      <c r="ED149" s="448" t="s">
        <v>1785</v>
      </c>
      <c r="EE149" s="448">
        <v>1.52</v>
      </c>
      <c r="EF149" s="448" t="s">
        <v>1663</v>
      </c>
      <c r="EG149" s="449">
        <v>44989</v>
      </c>
      <c r="EH149" s="448">
        <v>12</v>
      </c>
      <c r="EI149" s="448">
        <v>12</v>
      </c>
      <c r="EJ149" s="448">
        <v>2.74</v>
      </c>
      <c r="EK149" s="448" t="s">
        <v>1632</v>
      </c>
      <c r="EL149" s="448">
        <v>2.19</v>
      </c>
      <c r="EM149" s="448">
        <v>10.4</v>
      </c>
      <c r="EN149" s="448">
        <v>6970</v>
      </c>
      <c r="EO149" s="448">
        <v>624</v>
      </c>
      <c r="EP149" s="448">
        <v>8.7200000000000006</v>
      </c>
      <c r="EQ149" s="448">
        <v>754</v>
      </c>
      <c r="ER149" s="448">
        <v>795</v>
      </c>
      <c r="ES149" s="448">
        <v>132</v>
      </c>
      <c r="ET149" s="448">
        <v>2.95</v>
      </c>
      <c r="EU149" s="450">
        <v>207</v>
      </c>
    </row>
    <row r="150" spans="2:151">
      <c r="B150" s="78" t="s">
        <v>145</v>
      </c>
      <c r="C150" s="79" t="s">
        <v>156</v>
      </c>
      <c r="D150" s="80" t="s">
        <v>156</v>
      </c>
      <c r="E150" s="1" t="s">
        <v>6</v>
      </c>
      <c r="F150" s="6">
        <v>181</v>
      </c>
      <c r="G150" s="4">
        <v>53.2</v>
      </c>
      <c r="H150" s="3" t="str">
        <f t="shared" si="16"/>
        <v>WT20X181</v>
      </c>
      <c r="I150" s="4">
        <v>20.3</v>
      </c>
      <c r="J150" s="5">
        <v>20.25</v>
      </c>
      <c r="K150" s="6" t="s">
        <v>5</v>
      </c>
      <c r="L150" s="6" t="s">
        <v>5</v>
      </c>
      <c r="M150" s="6" t="s">
        <v>5</v>
      </c>
      <c r="N150" s="4">
        <v>16</v>
      </c>
      <c r="O150" s="5">
        <v>16</v>
      </c>
      <c r="P150" s="5" t="s">
        <v>5</v>
      </c>
      <c r="Q150" s="6" t="s">
        <v>5</v>
      </c>
      <c r="R150" s="6" t="s">
        <v>5</v>
      </c>
      <c r="S150" s="7">
        <v>1.1200000000000001</v>
      </c>
      <c r="T150" s="5">
        <v>1.125</v>
      </c>
      <c r="U150" s="8">
        <v>0.5625</v>
      </c>
      <c r="V150" s="7">
        <v>2.0099999999999998</v>
      </c>
      <c r="W150" s="8">
        <v>2</v>
      </c>
      <c r="X150" s="7">
        <v>2.0099999999999998</v>
      </c>
      <c r="Y150" s="6" t="s">
        <v>5</v>
      </c>
      <c r="Z150" s="6" t="s">
        <v>5</v>
      </c>
      <c r="AA150" s="7">
        <v>3.19</v>
      </c>
      <c r="AB150" s="8">
        <v>3.25</v>
      </c>
      <c r="AC150" s="8" t="s">
        <v>5</v>
      </c>
      <c r="AD150" s="6" t="s">
        <v>5</v>
      </c>
      <c r="AE150" s="7">
        <v>4.91</v>
      </c>
      <c r="AF150" s="6" t="s">
        <v>5</v>
      </c>
      <c r="AG150" s="6" t="s">
        <v>5</v>
      </c>
      <c r="AH150" s="7">
        <v>1.66</v>
      </c>
      <c r="AI150" s="7">
        <v>3.99</v>
      </c>
      <c r="AJ150" s="6" t="s">
        <v>5</v>
      </c>
      <c r="AK150" s="6" t="s">
        <v>5</v>
      </c>
      <c r="AL150" s="6" t="s">
        <v>5</v>
      </c>
      <c r="AM150" s="6" t="s">
        <v>5</v>
      </c>
      <c r="AN150" s="4">
        <v>18.100000000000001</v>
      </c>
      <c r="AO150" s="6">
        <v>1870</v>
      </c>
      <c r="AP150" s="6">
        <v>217</v>
      </c>
      <c r="AQ150" s="6">
        <v>122</v>
      </c>
      <c r="AR150" s="7">
        <v>5.92</v>
      </c>
      <c r="AS150" s="6">
        <v>691</v>
      </c>
      <c r="AT150" s="6">
        <v>135</v>
      </c>
      <c r="AU150" s="4">
        <v>86.3</v>
      </c>
      <c r="AV150" s="7">
        <v>3.6</v>
      </c>
      <c r="AW150" s="6" t="s">
        <v>5</v>
      </c>
      <c r="AX150" s="6" t="s">
        <v>5</v>
      </c>
      <c r="AY150" s="6" t="s">
        <v>5</v>
      </c>
      <c r="AZ150" s="4">
        <v>54.2</v>
      </c>
      <c r="BA150" s="6">
        <v>511</v>
      </c>
      <c r="BB150" s="6" t="s">
        <v>5</v>
      </c>
      <c r="BC150" s="6" t="s">
        <v>5</v>
      </c>
      <c r="BD150" s="6" t="s">
        <v>5</v>
      </c>
      <c r="BE150" s="6" t="s">
        <v>5</v>
      </c>
      <c r="BF150" s="6" t="s">
        <v>5</v>
      </c>
      <c r="BG150" s="6" t="s">
        <v>5</v>
      </c>
      <c r="BH150" s="6" t="s">
        <v>5</v>
      </c>
      <c r="BI150" s="7">
        <v>7.96</v>
      </c>
      <c r="BJ150" s="22">
        <v>0.75900000000000001</v>
      </c>
      <c r="BK150" s="6" t="s">
        <v>5</v>
      </c>
      <c r="BL150" s="2" t="s">
        <v>5</v>
      </c>
      <c r="BM150" s="2" t="s">
        <v>5</v>
      </c>
      <c r="BN150" s="2" t="s">
        <v>5</v>
      </c>
      <c r="BO150" s="2" t="s">
        <v>5</v>
      </c>
      <c r="BP150" s="2" t="s">
        <v>5</v>
      </c>
      <c r="BQ150" s="2" t="s">
        <v>5</v>
      </c>
      <c r="BR150" s="2" t="s">
        <v>5</v>
      </c>
      <c r="BS150" s="2" t="s">
        <v>5</v>
      </c>
      <c r="BT150" s="2" t="s">
        <v>5</v>
      </c>
      <c r="BU150" s="2" t="s">
        <v>5</v>
      </c>
      <c r="BV150" s="2" t="s">
        <v>5</v>
      </c>
      <c r="BW150" s="2" t="s">
        <v>5</v>
      </c>
      <c r="BX150" s="2" t="s">
        <v>5</v>
      </c>
      <c r="BY150" s="25" t="s">
        <v>5</v>
      </c>
      <c r="BZ150" s="25" t="s">
        <v>5</v>
      </c>
      <c r="CA150" s="4">
        <v>55.6</v>
      </c>
      <c r="CB150" s="6" t="s">
        <v>5</v>
      </c>
      <c r="CC150" s="4">
        <v>71.599999999999994</v>
      </c>
      <c r="CD150" s="4">
        <v>56.599999999999994</v>
      </c>
      <c r="CE150" s="6">
        <v>72.599999999999994</v>
      </c>
      <c r="CF150" s="16" t="s">
        <v>5</v>
      </c>
      <c r="CG150" s="5">
        <v>7.5</v>
      </c>
      <c r="CH150" s="18" t="s">
        <v>5</v>
      </c>
      <c r="CV150" s="344" t="str">
        <f t="shared" si="18"/>
        <v>WT12X65.5</v>
      </c>
      <c r="CW150" s="337">
        <v>19.3</v>
      </c>
      <c r="DE150" s="335" t="str">
        <f t="shared" si="19"/>
        <v>2L2-1/2X2-1/2X3/8</v>
      </c>
      <c r="DF150" s="338">
        <v>3.46</v>
      </c>
      <c r="DH150" s="397" t="s">
        <v>1366</v>
      </c>
      <c r="DI150" s="398">
        <v>56.2</v>
      </c>
      <c r="DJ150" s="398">
        <v>20.399999999999999</v>
      </c>
      <c r="DK150" s="399">
        <v>0.96</v>
      </c>
      <c r="DL150" s="407">
        <v>16.7</v>
      </c>
      <c r="DM150" s="400">
        <v>3.27</v>
      </c>
      <c r="DN150" s="408">
        <v>442</v>
      </c>
      <c r="DO150" s="409">
        <v>380</v>
      </c>
      <c r="DP150" s="119"/>
      <c r="DQ150" s="428" t="s">
        <v>1387</v>
      </c>
      <c r="DR150" s="429">
        <v>327</v>
      </c>
      <c r="DS150" s="429">
        <v>3540</v>
      </c>
      <c r="DT150" s="431"/>
      <c r="DU150" s="431"/>
      <c r="DV150" s="431"/>
      <c r="DW150" s="431"/>
      <c r="DX150" s="432"/>
      <c r="DZ150" s="447" t="s">
        <v>1330</v>
      </c>
      <c r="EA150" s="448">
        <v>283</v>
      </c>
      <c r="EB150" s="448">
        <v>83.3</v>
      </c>
      <c r="EC150" s="448">
        <v>21.9</v>
      </c>
      <c r="ED150" s="448" t="s">
        <v>1772</v>
      </c>
      <c r="EE150" s="448">
        <v>1.4</v>
      </c>
      <c r="EF150" s="448" t="s">
        <v>1678</v>
      </c>
      <c r="EG150" s="449">
        <v>45246</v>
      </c>
      <c r="EH150" s="448">
        <v>11.9</v>
      </c>
      <c r="EI150" s="448" t="s">
        <v>1659</v>
      </c>
      <c r="EJ150" s="448">
        <v>2.5</v>
      </c>
      <c r="EK150" s="448" t="s">
        <v>1653</v>
      </c>
      <c r="EL150" s="448">
        <v>2.38</v>
      </c>
      <c r="EM150" s="448">
        <v>11.3</v>
      </c>
      <c r="EN150" s="448">
        <v>6170</v>
      </c>
      <c r="EO150" s="448">
        <v>565</v>
      </c>
      <c r="EP150" s="448">
        <v>8.61</v>
      </c>
      <c r="EQ150" s="448">
        <v>676</v>
      </c>
      <c r="ER150" s="448">
        <v>704</v>
      </c>
      <c r="ES150" s="448">
        <v>118</v>
      </c>
      <c r="ET150" s="448">
        <v>2.91</v>
      </c>
      <c r="EU150" s="450">
        <v>185</v>
      </c>
    </row>
    <row r="151" spans="2:151">
      <c r="B151" s="78" t="s">
        <v>145</v>
      </c>
      <c r="C151" s="79" t="s">
        <v>157</v>
      </c>
      <c r="D151" s="80" t="s">
        <v>157</v>
      </c>
      <c r="E151" s="1" t="s">
        <v>4</v>
      </c>
      <c r="F151" s="6">
        <v>162</v>
      </c>
      <c r="G151" s="4">
        <v>47.7</v>
      </c>
      <c r="H151" s="3" t="str">
        <f t="shared" si="16"/>
        <v>WT20X162</v>
      </c>
      <c r="I151" s="4">
        <v>20.100000000000001</v>
      </c>
      <c r="J151" s="5">
        <v>20.125</v>
      </c>
      <c r="K151" s="6" t="s">
        <v>5</v>
      </c>
      <c r="L151" s="6" t="s">
        <v>5</v>
      </c>
      <c r="M151" s="6" t="s">
        <v>5</v>
      </c>
      <c r="N151" s="4">
        <v>15.9</v>
      </c>
      <c r="O151" s="5">
        <v>15.875</v>
      </c>
      <c r="P151" s="5" t="s">
        <v>5</v>
      </c>
      <c r="Q151" s="6" t="s">
        <v>5</v>
      </c>
      <c r="R151" s="6" t="s">
        <v>5</v>
      </c>
      <c r="S151" s="7">
        <v>1</v>
      </c>
      <c r="T151" s="5">
        <v>1</v>
      </c>
      <c r="U151" s="8">
        <v>0.5</v>
      </c>
      <c r="V151" s="7">
        <v>1.81</v>
      </c>
      <c r="W151" s="8">
        <v>1.8125</v>
      </c>
      <c r="X151" s="7">
        <v>1.81</v>
      </c>
      <c r="Y151" s="6" t="s">
        <v>5</v>
      </c>
      <c r="Z151" s="6" t="s">
        <v>5</v>
      </c>
      <c r="AA151" s="7">
        <v>2.99</v>
      </c>
      <c r="AB151" s="8">
        <v>3.0625</v>
      </c>
      <c r="AC151" s="8" t="s">
        <v>5</v>
      </c>
      <c r="AD151" s="6" t="s">
        <v>5</v>
      </c>
      <c r="AE151" s="7">
        <v>4.7699999999999996</v>
      </c>
      <c r="AF151" s="6" t="s">
        <v>5</v>
      </c>
      <c r="AG151" s="6" t="s">
        <v>5</v>
      </c>
      <c r="AH151" s="7">
        <v>1.5</v>
      </c>
      <c r="AI151" s="7">
        <v>4.4000000000000004</v>
      </c>
      <c r="AJ151" s="6" t="s">
        <v>5</v>
      </c>
      <c r="AK151" s="6" t="s">
        <v>5</v>
      </c>
      <c r="AL151" s="6" t="s">
        <v>5</v>
      </c>
      <c r="AM151" s="6" t="s">
        <v>5</v>
      </c>
      <c r="AN151" s="4">
        <v>20.100000000000001</v>
      </c>
      <c r="AO151" s="6">
        <v>1650</v>
      </c>
      <c r="AP151" s="6">
        <v>192</v>
      </c>
      <c r="AQ151" s="6">
        <v>108</v>
      </c>
      <c r="AR151" s="7">
        <v>5.88</v>
      </c>
      <c r="AS151" s="6">
        <v>609</v>
      </c>
      <c r="AT151" s="6">
        <v>119</v>
      </c>
      <c r="AU151" s="4">
        <v>76.599999999999994</v>
      </c>
      <c r="AV151" s="7">
        <v>3.57</v>
      </c>
      <c r="AW151" s="6" t="s">
        <v>5</v>
      </c>
      <c r="AX151" s="6" t="s">
        <v>5</v>
      </c>
      <c r="AY151" s="6" t="s">
        <v>5</v>
      </c>
      <c r="AZ151" s="4">
        <v>39.6</v>
      </c>
      <c r="BA151" s="6">
        <v>362</v>
      </c>
      <c r="BB151" s="6" t="s">
        <v>5</v>
      </c>
      <c r="BC151" s="6" t="s">
        <v>5</v>
      </c>
      <c r="BD151" s="6" t="s">
        <v>5</v>
      </c>
      <c r="BE151" s="6" t="s">
        <v>5</v>
      </c>
      <c r="BF151" s="6" t="s">
        <v>5</v>
      </c>
      <c r="BG151" s="6" t="s">
        <v>5</v>
      </c>
      <c r="BH151" s="6" t="s">
        <v>5</v>
      </c>
      <c r="BI151" s="7">
        <v>7.89</v>
      </c>
      <c r="BJ151" s="22">
        <v>0.76</v>
      </c>
      <c r="BK151" s="6" t="s">
        <v>5</v>
      </c>
      <c r="BL151" s="2" t="s">
        <v>5</v>
      </c>
      <c r="BM151" s="2" t="s">
        <v>5</v>
      </c>
      <c r="BN151" s="2" t="s">
        <v>5</v>
      </c>
      <c r="BO151" s="2" t="s">
        <v>5</v>
      </c>
      <c r="BP151" s="2" t="s">
        <v>5</v>
      </c>
      <c r="BQ151" s="2" t="s">
        <v>5</v>
      </c>
      <c r="BR151" s="2" t="s">
        <v>5</v>
      </c>
      <c r="BS151" s="2" t="s">
        <v>5</v>
      </c>
      <c r="BT151" s="2" t="s">
        <v>5</v>
      </c>
      <c r="BU151" s="2" t="s">
        <v>5</v>
      </c>
      <c r="BV151" s="2" t="s">
        <v>5</v>
      </c>
      <c r="BW151" s="2" t="s">
        <v>5</v>
      </c>
      <c r="BX151" s="2" t="s">
        <v>5</v>
      </c>
      <c r="BY151" s="25" t="s">
        <v>5</v>
      </c>
      <c r="BZ151" s="25" t="s">
        <v>5</v>
      </c>
      <c r="CA151" s="4">
        <v>55.1</v>
      </c>
      <c r="CB151" s="6" t="s">
        <v>5</v>
      </c>
      <c r="CC151" s="4">
        <v>71</v>
      </c>
      <c r="CD151" s="4">
        <v>56.1</v>
      </c>
      <c r="CE151" s="4">
        <v>72</v>
      </c>
      <c r="CF151" s="16" t="s">
        <v>5</v>
      </c>
      <c r="CG151" s="5">
        <v>7.5</v>
      </c>
      <c r="CH151" s="18" t="s">
        <v>5</v>
      </c>
      <c r="CV151" s="344" t="str">
        <f t="shared" si="18"/>
        <v>WT9X65</v>
      </c>
      <c r="CW151" s="337">
        <v>19.2</v>
      </c>
      <c r="DE151" s="335" t="str">
        <f t="shared" si="19"/>
        <v>2L2-1/2X2-1/2X3/8</v>
      </c>
      <c r="DF151" s="338">
        <v>3.46</v>
      </c>
      <c r="DH151" s="397" t="s">
        <v>1374</v>
      </c>
      <c r="DI151" s="398">
        <v>51.4</v>
      </c>
      <c r="DJ151" s="398">
        <v>20</v>
      </c>
      <c r="DK151" s="399">
        <v>0.89</v>
      </c>
      <c r="DL151" s="398">
        <v>18</v>
      </c>
      <c r="DM151" s="400">
        <v>3.58</v>
      </c>
      <c r="DN151" s="401">
        <v>398</v>
      </c>
      <c r="DO151" s="402">
        <v>344</v>
      </c>
      <c r="DP151" s="117"/>
      <c r="DQ151" s="428" t="s">
        <v>1388</v>
      </c>
      <c r="DR151" s="429">
        <v>322</v>
      </c>
      <c r="DS151" s="429">
        <v>2750</v>
      </c>
      <c r="DT151" s="431"/>
      <c r="DU151" s="431"/>
      <c r="DV151" s="431"/>
      <c r="DW151" s="431"/>
      <c r="DX151" s="432"/>
      <c r="DZ151" s="447" t="s">
        <v>1339</v>
      </c>
      <c r="EA151" s="448">
        <v>258</v>
      </c>
      <c r="EB151" s="448">
        <v>76</v>
      </c>
      <c r="EC151" s="448">
        <v>21.5</v>
      </c>
      <c r="ED151" s="448" t="s">
        <v>1774</v>
      </c>
      <c r="EE151" s="448">
        <v>1.28</v>
      </c>
      <c r="EF151" s="448" t="s">
        <v>1624</v>
      </c>
      <c r="EG151" s="449">
        <v>45054</v>
      </c>
      <c r="EH151" s="448">
        <v>11.8</v>
      </c>
      <c r="EI151" s="448" t="s">
        <v>1660</v>
      </c>
      <c r="EJ151" s="448">
        <v>2.2999999999999998</v>
      </c>
      <c r="EK151" s="448" t="s">
        <v>1786</v>
      </c>
      <c r="EL151" s="448">
        <v>2.56</v>
      </c>
      <c r="EM151" s="448">
        <v>12.5</v>
      </c>
      <c r="EN151" s="448">
        <v>5510</v>
      </c>
      <c r="EO151" s="448">
        <v>514</v>
      </c>
      <c r="EP151" s="448">
        <v>8.5299999999999994</v>
      </c>
      <c r="EQ151" s="448">
        <v>611</v>
      </c>
      <c r="ER151" s="448">
        <v>628</v>
      </c>
      <c r="ES151" s="448">
        <v>107</v>
      </c>
      <c r="ET151" s="448">
        <v>2.88</v>
      </c>
      <c r="EU151" s="450">
        <v>166</v>
      </c>
    </row>
    <row r="152" spans="2:151">
      <c r="B152" s="78" t="s">
        <v>145</v>
      </c>
      <c r="C152" s="79" t="s">
        <v>158</v>
      </c>
      <c r="D152" s="80" t="s">
        <v>158</v>
      </c>
      <c r="E152" s="1" t="s">
        <v>4</v>
      </c>
      <c r="F152" s="6">
        <v>148.5</v>
      </c>
      <c r="G152" s="4">
        <v>43.6</v>
      </c>
      <c r="H152" s="3" t="str">
        <f t="shared" si="16"/>
        <v>WT20X148.5</v>
      </c>
      <c r="I152" s="4">
        <v>19.899999999999999</v>
      </c>
      <c r="J152" s="5">
        <v>19.875</v>
      </c>
      <c r="K152" s="6" t="s">
        <v>5</v>
      </c>
      <c r="L152" s="6" t="s">
        <v>5</v>
      </c>
      <c r="M152" s="6" t="s">
        <v>5</v>
      </c>
      <c r="N152" s="4">
        <v>15.8</v>
      </c>
      <c r="O152" s="5">
        <v>15.875</v>
      </c>
      <c r="P152" s="5" t="s">
        <v>5</v>
      </c>
      <c r="Q152" s="6" t="s">
        <v>5</v>
      </c>
      <c r="R152" s="6" t="s">
        <v>5</v>
      </c>
      <c r="S152" s="22">
        <v>0.93</v>
      </c>
      <c r="T152" s="5">
        <v>0.9375</v>
      </c>
      <c r="U152" s="8">
        <v>0.5</v>
      </c>
      <c r="V152" s="7">
        <v>1.65</v>
      </c>
      <c r="W152" s="8">
        <v>1.625</v>
      </c>
      <c r="X152" s="7">
        <v>1.65</v>
      </c>
      <c r="Y152" s="6" t="s">
        <v>5</v>
      </c>
      <c r="Z152" s="6" t="s">
        <v>5</v>
      </c>
      <c r="AA152" s="7">
        <v>2.83</v>
      </c>
      <c r="AB152" s="8">
        <v>2.9375</v>
      </c>
      <c r="AC152" s="8" t="s">
        <v>5</v>
      </c>
      <c r="AD152" s="6" t="s">
        <v>5</v>
      </c>
      <c r="AE152" s="7">
        <v>4.71</v>
      </c>
      <c r="AF152" s="6" t="s">
        <v>5</v>
      </c>
      <c r="AG152" s="6" t="s">
        <v>5</v>
      </c>
      <c r="AH152" s="7">
        <v>1.38</v>
      </c>
      <c r="AI152" s="7">
        <v>4.8</v>
      </c>
      <c r="AJ152" s="6" t="s">
        <v>5</v>
      </c>
      <c r="AK152" s="6" t="s">
        <v>5</v>
      </c>
      <c r="AL152" s="6" t="s">
        <v>5</v>
      </c>
      <c r="AM152" s="6" t="s">
        <v>5</v>
      </c>
      <c r="AN152" s="4">
        <v>21.4</v>
      </c>
      <c r="AO152" s="6">
        <v>1500</v>
      </c>
      <c r="AP152" s="6">
        <v>176</v>
      </c>
      <c r="AQ152" s="4">
        <v>98.9</v>
      </c>
      <c r="AR152" s="7">
        <v>5.87</v>
      </c>
      <c r="AS152" s="6">
        <v>546</v>
      </c>
      <c r="AT152" s="6">
        <v>107</v>
      </c>
      <c r="AU152" s="4">
        <v>69</v>
      </c>
      <c r="AV152" s="7">
        <v>3.54</v>
      </c>
      <c r="AW152" s="6" t="s">
        <v>5</v>
      </c>
      <c r="AX152" s="6" t="s">
        <v>5</v>
      </c>
      <c r="AY152" s="6" t="s">
        <v>5</v>
      </c>
      <c r="AZ152" s="4">
        <v>30.5</v>
      </c>
      <c r="BA152" s="6">
        <v>279</v>
      </c>
      <c r="BB152" s="6" t="s">
        <v>5</v>
      </c>
      <c r="BC152" s="6" t="s">
        <v>5</v>
      </c>
      <c r="BD152" s="6" t="s">
        <v>5</v>
      </c>
      <c r="BE152" s="6" t="s">
        <v>5</v>
      </c>
      <c r="BF152" s="6" t="s">
        <v>5</v>
      </c>
      <c r="BG152" s="6" t="s">
        <v>5</v>
      </c>
      <c r="BH152" s="6" t="s">
        <v>5</v>
      </c>
      <c r="BI152" s="7">
        <v>7.88</v>
      </c>
      <c r="BJ152" s="22">
        <v>0.75600000000000001</v>
      </c>
      <c r="BK152" s="6" t="s">
        <v>5</v>
      </c>
      <c r="BL152" s="2" t="s">
        <v>5</v>
      </c>
      <c r="BM152" s="2" t="s">
        <v>5</v>
      </c>
      <c r="BN152" s="2" t="s">
        <v>5</v>
      </c>
      <c r="BO152" s="2" t="s">
        <v>5</v>
      </c>
      <c r="BP152" s="2" t="s">
        <v>5</v>
      </c>
      <c r="BQ152" s="2" t="s">
        <v>5</v>
      </c>
      <c r="BR152" s="2" t="s">
        <v>5</v>
      </c>
      <c r="BS152" s="2" t="s">
        <v>5</v>
      </c>
      <c r="BT152" s="2" t="s">
        <v>5</v>
      </c>
      <c r="BU152" s="2" t="s">
        <v>5</v>
      </c>
      <c r="BV152" s="2" t="s">
        <v>5</v>
      </c>
      <c r="BW152" s="2" t="s">
        <v>5</v>
      </c>
      <c r="BX152" s="2" t="s">
        <v>5</v>
      </c>
      <c r="BY152" s="25" t="s">
        <v>5</v>
      </c>
      <c r="BZ152" s="25" t="s">
        <v>5</v>
      </c>
      <c r="CA152" s="4">
        <v>54.6</v>
      </c>
      <c r="CB152" s="6" t="s">
        <v>5</v>
      </c>
      <c r="CC152" s="4">
        <v>70.400000000000006</v>
      </c>
      <c r="CD152" s="4">
        <v>55.600000000000009</v>
      </c>
      <c r="CE152" s="6">
        <v>71.400000000000006</v>
      </c>
      <c r="CF152" s="16" t="s">
        <v>5</v>
      </c>
      <c r="CG152" s="5">
        <v>7.5</v>
      </c>
      <c r="CH152" s="18" t="s">
        <v>5</v>
      </c>
      <c r="CV152" s="344" t="str">
        <f t="shared" si="18"/>
        <v>WT16.5X65</v>
      </c>
      <c r="CW152" s="337">
        <v>19.100000000000001</v>
      </c>
      <c r="DE152" s="335" t="str">
        <f t="shared" si="19"/>
        <v>2L2-1/2X2-1/2X3/8</v>
      </c>
      <c r="DF152" s="338">
        <v>3.46</v>
      </c>
      <c r="DH152" s="397" t="s">
        <v>1381</v>
      </c>
      <c r="DI152" s="398">
        <v>46.3</v>
      </c>
      <c r="DJ152" s="398">
        <v>19.7</v>
      </c>
      <c r="DK152" s="399">
        <v>0.81</v>
      </c>
      <c r="DL152" s="398">
        <v>19.8</v>
      </c>
      <c r="DM152" s="400">
        <v>3.92</v>
      </c>
      <c r="DN152" s="401">
        <v>356</v>
      </c>
      <c r="DO152" s="402">
        <v>310</v>
      </c>
      <c r="DP152" s="117"/>
      <c r="DQ152" s="428" t="s">
        <v>1389</v>
      </c>
      <c r="DR152" s="429">
        <v>320</v>
      </c>
      <c r="DS152" s="429">
        <v>2140</v>
      </c>
      <c r="DT152" s="431"/>
      <c r="DU152" s="431"/>
      <c r="DV152" s="431"/>
      <c r="DW152" s="431"/>
      <c r="DX152" s="432"/>
      <c r="DZ152" s="447" t="s">
        <v>1350</v>
      </c>
      <c r="EA152" s="448">
        <v>234</v>
      </c>
      <c r="EB152" s="448">
        <v>68.599999999999994</v>
      </c>
      <c r="EC152" s="448">
        <v>21.1</v>
      </c>
      <c r="ED152" s="448">
        <v>21</v>
      </c>
      <c r="EE152" s="448">
        <v>1.1599999999999999</v>
      </c>
      <c r="EF152" s="448" t="s">
        <v>1640</v>
      </c>
      <c r="EG152" s="449">
        <v>45054</v>
      </c>
      <c r="EH152" s="448">
        <v>11.7</v>
      </c>
      <c r="EI152" s="448" t="s">
        <v>1706</v>
      </c>
      <c r="EJ152" s="448">
        <v>2.11</v>
      </c>
      <c r="EK152" s="448" t="s">
        <v>1656</v>
      </c>
      <c r="EL152" s="448">
        <v>2.76</v>
      </c>
      <c r="EM152" s="448">
        <v>13.8</v>
      </c>
      <c r="EN152" s="448">
        <v>4900</v>
      </c>
      <c r="EO152" s="448">
        <v>466</v>
      </c>
      <c r="EP152" s="448">
        <v>8.44</v>
      </c>
      <c r="EQ152" s="448">
        <v>549</v>
      </c>
      <c r="ER152" s="448">
        <v>558</v>
      </c>
      <c r="ES152" s="448">
        <v>95.8</v>
      </c>
      <c r="ET152" s="448">
        <v>2.85</v>
      </c>
      <c r="EU152" s="450">
        <v>149</v>
      </c>
    </row>
    <row r="153" spans="2:151">
      <c r="B153" s="78" t="s">
        <v>145</v>
      </c>
      <c r="C153" s="79" t="s">
        <v>159</v>
      </c>
      <c r="D153" s="80" t="s">
        <v>159</v>
      </c>
      <c r="E153" s="1" t="s">
        <v>4</v>
      </c>
      <c r="F153" s="6">
        <v>138.5</v>
      </c>
      <c r="G153" s="4">
        <v>40.700000000000003</v>
      </c>
      <c r="H153" s="3" t="str">
        <f t="shared" si="16"/>
        <v>WT20X138.5</v>
      </c>
      <c r="I153" s="4">
        <v>19.8</v>
      </c>
      <c r="J153" s="5">
        <v>19.875</v>
      </c>
      <c r="K153" s="6" t="s">
        <v>5</v>
      </c>
      <c r="L153" s="6" t="s">
        <v>5</v>
      </c>
      <c r="M153" s="6" t="s">
        <v>5</v>
      </c>
      <c r="N153" s="4">
        <v>15.8</v>
      </c>
      <c r="O153" s="5">
        <v>15.875</v>
      </c>
      <c r="P153" s="5" t="s">
        <v>5</v>
      </c>
      <c r="Q153" s="6" t="s">
        <v>5</v>
      </c>
      <c r="R153" s="6" t="s">
        <v>5</v>
      </c>
      <c r="S153" s="22">
        <v>0.83</v>
      </c>
      <c r="T153" s="5">
        <v>0.8125</v>
      </c>
      <c r="U153" s="8">
        <v>0.4375</v>
      </c>
      <c r="V153" s="7">
        <v>1.58</v>
      </c>
      <c r="W153" s="8">
        <v>1.5625</v>
      </c>
      <c r="X153" s="7">
        <v>1.58</v>
      </c>
      <c r="Y153" s="6" t="s">
        <v>5</v>
      </c>
      <c r="Z153" s="6" t="s">
        <v>5</v>
      </c>
      <c r="AA153" s="7">
        <v>2.76</v>
      </c>
      <c r="AB153" s="8">
        <v>2.875</v>
      </c>
      <c r="AC153" s="8" t="s">
        <v>5</v>
      </c>
      <c r="AD153" s="6" t="s">
        <v>5</v>
      </c>
      <c r="AE153" s="7">
        <v>4.5</v>
      </c>
      <c r="AF153" s="6" t="s">
        <v>5</v>
      </c>
      <c r="AG153" s="6" t="s">
        <v>5</v>
      </c>
      <c r="AH153" s="7">
        <v>1.29</v>
      </c>
      <c r="AI153" s="7">
        <v>5.03</v>
      </c>
      <c r="AJ153" s="6" t="s">
        <v>5</v>
      </c>
      <c r="AK153" s="6" t="s">
        <v>5</v>
      </c>
      <c r="AL153" s="6" t="s">
        <v>5</v>
      </c>
      <c r="AM153" s="6" t="s">
        <v>5</v>
      </c>
      <c r="AN153" s="4">
        <v>23.9</v>
      </c>
      <c r="AO153" s="6">
        <v>1360</v>
      </c>
      <c r="AP153" s="6">
        <v>157</v>
      </c>
      <c r="AQ153" s="4">
        <v>88.6</v>
      </c>
      <c r="AR153" s="7">
        <v>5.78</v>
      </c>
      <c r="AS153" s="6">
        <v>522</v>
      </c>
      <c r="AT153" s="6">
        <v>102</v>
      </c>
      <c r="AU153" s="4">
        <v>65.900000000000006</v>
      </c>
      <c r="AV153" s="7">
        <v>3.58</v>
      </c>
      <c r="AW153" s="6" t="s">
        <v>5</v>
      </c>
      <c r="AX153" s="6" t="s">
        <v>5</v>
      </c>
      <c r="AY153" s="6" t="s">
        <v>5</v>
      </c>
      <c r="AZ153" s="4">
        <v>25.7</v>
      </c>
      <c r="BA153" s="6">
        <v>218</v>
      </c>
      <c r="BB153" s="6" t="s">
        <v>5</v>
      </c>
      <c r="BC153" s="6" t="s">
        <v>5</v>
      </c>
      <c r="BD153" s="6" t="s">
        <v>5</v>
      </c>
      <c r="BE153" s="6" t="s">
        <v>5</v>
      </c>
      <c r="BF153" s="6" t="s">
        <v>5</v>
      </c>
      <c r="BG153" s="6" t="s">
        <v>5</v>
      </c>
      <c r="BH153" s="6" t="s">
        <v>5</v>
      </c>
      <c r="BI153" s="7">
        <v>7.75</v>
      </c>
      <c r="BJ153" s="22">
        <v>0.77</v>
      </c>
      <c r="BK153" s="6" t="s">
        <v>5</v>
      </c>
      <c r="BL153" s="2" t="s">
        <v>5</v>
      </c>
      <c r="BM153" s="2" t="s">
        <v>5</v>
      </c>
      <c r="BN153" s="2" t="s">
        <v>5</v>
      </c>
      <c r="BO153" s="2" t="s">
        <v>5</v>
      </c>
      <c r="BP153" s="2" t="s">
        <v>5</v>
      </c>
      <c r="BQ153" s="2" t="s">
        <v>5</v>
      </c>
      <c r="BR153" s="2" t="s">
        <v>5</v>
      </c>
      <c r="BS153" s="2" t="s">
        <v>5</v>
      </c>
      <c r="BT153" s="2" t="s">
        <v>5</v>
      </c>
      <c r="BU153" s="2" t="s">
        <v>5</v>
      </c>
      <c r="BV153" s="2" t="s">
        <v>5</v>
      </c>
      <c r="BW153" s="2" t="s">
        <v>5</v>
      </c>
      <c r="BX153" s="2" t="s">
        <v>5</v>
      </c>
      <c r="BY153" s="25" t="s">
        <v>5</v>
      </c>
      <c r="BZ153" s="25" t="s">
        <v>5</v>
      </c>
      <c r="CA153" s="4">
        <v>54.4</v>
      </c>
      <c r="CB153" s="6" t="s">
        <v>5</v>
      </c>
      <c r="CC153" s="4">
        <v>70.2</v>
      </c>
      <c r="CD153" s="4">
        <v>55.400000000000006</v>
      </c>
      <c r="CE153" s="6">
        <v>71.2</v>
      </c>
      <c r="CF153" s="16" t="s">
        <v>5</v>
      </c>
      <c r="CG153" s="5">
        <v>7.5</v>
      </c>
      <c r="CH153" s="18" t="s">
        <v>5</v>
      </c>
      <c r="CV153" s="344" t="str">
        <f t="shared" si="18"/>
        <v>WT13.5X64.5</v>
      </c>
      <c r="CW153" s="337">
        <v>18.899999999999999</v>
      </c>
      <c r="DE153" s="335" t="str">
        <f t="shared" si="19"/>
        <v>2L3-1/2X3-1/2X1/4</v>
      </c>
      <c r="DF153" s="338">
        <v>3.4</v>
      </c>
      <c r="DH153" s="397" t="s">
        <v>1388</v>
      </c>
      <c r="DI153" s="398">
        <v>42</v>
      </c>
      <c r="DJ153" s="398">
        <v>19.5</v>
      </c>
      <c r="DK153" s="399">
        <v>0.73</v>
      </c>
      <c r="DL153" s="398">
        <v>22</v>
      </c>
      <c r="DM153" s="400">
        <v>4.25</v>
      </c>
      <c r="DN153" s="401">
        <v>322</v>
      </c>
      <c r="DO153" s="402">
        <v>282</v>
      </c>
      <c r="DP153" s="117"/>
      <c r="DQ153" s="428" t="s">
        <v>1390</v>
      </c>
      <c r="DR153" s="429">
        <v>312</v>
      </c>
      <c r="DS153" s="429">
        <v>3990</v>
      </c>
      <c r="DT153" s="431"/>
      <c r="DU153" s="431"/>
      <c r="DV153" s="431"/>
      <c r="DW153" s="431"/>
      <c r="DX153" s="432"/>
      <c r="DZ153" s="447" t="s">
        <v>1359</v>
      </c>
      <c r="EA153" s="448">
        <v>211</v>
      </c>
      <c r="EB153" s="448">
        <v>62.3</v>
      </c>
      <c r="EC153" s="448">
        <v>20.7</v>
      </c>
      <c r="ED153" s="448" t="s">
        <v>1781</v>
      </c>
      <c r="EE153" s="448">
        <v>1.06</v>
      </c>
      <c r="EF153" s="448" t="s">
        <v>1650</v>
      </c>
      <c r="EG153" s="449">
        <v>45185</v>
      </c>
      <c r="EH153" s="448">
        <v>11.6</v>
      </c>
      <c r="EI153" s="448" t="s">
        <v>1704</v>
      </c>
      <c r="EJ153" s="448">
        <v>1.91</v>
      </c>
      <c r="EK153" s="448" t="s">
        <v>1658</v>
      </c>
      <c r="EL153" s="448">
        <v>3.02</v>
      </c>
      <c r="EM153" s="448">
        <v>15.1</v>
      </c>
      <c r="EN153" s="448">
        <v>4330</v>
      </c>
      <c r="EO153" s="448">
        <v>419</v>
      </c>
      <c r="EP153" s="448">
        <v>8.35</v>
      </c>
      <c r="EQ153" s="448">
        <v>490</v>
      </c>
      <c r="ER153" s="448">
        <v>493</v>
      </c>
      <c r="ES153" s="448">
        <v>85.3</v>
      </c>
      <c r="ET153" s="448">
        <v>2.82</v>
      </c>
      <c r="EU153" s="450">
        <v>132</v>
      </c>
    </row>
    <row r="154" spans="2:151">
      <c r="B154" s="78" t="s">
        <v>145</v>
      </c>
      <c r="C154" s="79" t="s">
        <v>160</v>
      </c>
      <c r="D154" s="80" t="s">
        <v>160</v>
      </c>
      <c r="E154" s="1" t="s">
        <v>4</v>
      </c>
      <c r="F154" s="6">
        <v>124.5</v>
      </c>
      <c r="G154" s="4">
        <v>36.700000000000003</v>
      </c>
      <c r="H154" s="3" t="str">
        <f t="shared" si="16"/>
        <v>WT20X124.5</v>
      </c>
      <c r="I154" s="4">
        <v>19.7</v>
      </c>
      <c r="J154" s="5">
        <v>19.75</v>
      </c>
      <c r="K154" s="6" t="s">
        <v>5</v>
      </c>
      <c r="L154" s="6" t="s">
        <v>5</v>
      </c>
      <c r="M154" s="6" t="s">
        <v>5</v>
      </c>
      <c r="N154" s="4">
        <v>15.8</v>
      </c>
      <c r="O154" s="5">
        <v>15.75</v>
      </c>
      <c r="P154" s="5" t="s">
        <v>5</v>
      </c>
      <c r="Q154" s="6" t="s">
        <v>5</v>
      </c>
      <c r="R154" s="6" t="s">
        <v>5</v>
      </c>
      <c r="S154" s="22">
        <v>0.75</v>
      </c>
      <c r="T154" s="5">
        <v>0.75</v>
      </c>
      <c r="U154" s="8">
        <v>0.375</v>
      </c>
      <c r="V154" s="7">
        <v>1.42</v>
      </c>
      <c r="W154" s="8">
        <v>1.4375</v>
      </c>
      <c r="X154" s="7">
        <v>1.42</v>
      </c>
      <c r="Y154" s="6" t="s">
        <v>5</v>
      </c>
      <c r="Z154" s="6" t="s">
        <v>5</v>
      </c>
      <c r="AA154" s="7">
        <v>2.6</v>
      </c>
      <c r="AB154" s="8">
        <v>2.6875</v>
      </c>
      <c r="AC154" s="8" t="s">
        <v>5</v>
      </c>
      <c r="AD154" s="6" t="s">
        <v>5</v>
      </c>
      <c r="AE154" s="7">
        <v>4.41</v>
      </c>
      <c r="AF154" s="6" t="s">
        <v>5</v>
      </c>
      <c r="AG154" s="6" t="s">
        <v>5</v>
      </c>
      <c r="AH154" s="7">
        <v>1.1599999999999999</v>
      </c>
      <c r="AI154" s="7">
        <v>5.55</v>
      </c>
      <c r="AJ154" s="6" t="s">
        <v>5</v>
      </c>
      <c r="AK154" s="6" t="s">
        <v>5</v>
      </c>
      <c r="AL154" s="6" t="s">
        <v>5</v>
      </c>
      <c r="AM154" s="6" t="s">
        <v>5</v>
      </c>
      <c r="AN154" s="4">
        <v>26.3</v>
      </c>
      <c r="AO154" s="6">
        <v>1210</v>
      </c>
      <c r="AP154" s="6">
        <v>140</v>
      </c>
      <c r="AQ154" s="4">
        <v>79.400000000000006</v>
      </c>
      <c r="AR154" s="7">
        <v>5.75</v>
      </c>
      <c r="AS154" s="6">
        <v>463</v>
      </c>
      <c r="AT154" s="4">
        <v>90.8</v>
      </c>
      <c r="AU154" s="4">
        <v>58.8</v>
      </c>
      <c r="AV154" s="7">
        <v>3.55</v>
      </c>
      <c r="AW154" s="6" t="s">
        <v>5</v>
      </c>
      <c r="AX154" s="6" t="s">
        <v>5</v>
      </c>
      <c r="AY154" s="6" t="s">
        <v>5</v>
      </c>
      <c r="AZ154" s="4">
        <v>19</v>
      </c>
      <c r="BA154" s="6">
        <v>158</v>
      </c>
      <c r="BB154" s="6" t="s">
        <v>5</v>
      </c>
      <c r="BC154" s="6" t="s">
        <v>5</v>
      </c>
      <c r="BD154" s="6" t="s">
        <v>5</v>
      </c>
      <c r="BE154" s="6" t="s">
        <v>5</v>
      </c>
      <c r="BF154" s="6" t="s">
        <v>5</v>
      </c>
      <c r="BG154" s="6" t="s">
        <v>5</v>
      </c>
      <c r="BH154" s="6" t="s">
        <v>5</v>
      </c>
      <c r="BI154" s="7">
        <v>7.7</v>
      </c>
      <c r="BJ154" s="22">
        <v>0.77</v>
      </c>
      <c r="BK154" s="6" t="s">
        <v>5</v>
      </c>
      <c r="BL154" s="2" t="s">
        <v>5</v>
      </c>
      <c r="BM154" s="2" t="s">
        <v>5</v>
      </c>
      <c r="BN154" s="2" t="s">
        <v>5</v>
      </c>
      <c r="BO154" s="2" t="s">
        <v>5</v>
      </c>
      <c r="BP154" s="2" t="s">
        <v>5</v>
      </c>
      <c r="BQ154" s="2" t="s">
        <v>5</v>
      </c>
      <c r="BR154" s="2" t="s">
        <v>5</v>
      </c>
      <c r="BS154" s="2" t="s">
        <v>5</v>
      </c>
      <c r="BT154" s="2" t="s">
        <v>5</v>
      </c>
      <c r="BU154" s="2" t="s">
        <v>5</v>
      </c>
      <c r="BV154" s="2" t="s">
        <v>5</v>
      </c>
      <c r="BW154" s="2" t="s">
        <v>5</v>
      </c>
      <c r="BX154" s="2" t="s">
        <v>5</v>
      </c>
      <c r="BY154" s="25" t="s">
        <v>5</v>
      </c>
      <c r="BZ154" s="25" t="s">
        <v>5</v>
      </c>
      <c r="CA154" s="4">
        <v>54.2</v>
      </c>
      <c r="CB154" s="6" t="s">
        <v>5</v>
      </c>
      <c r="CC154" s="4">
        <v>70</v>
      </c>
      <c r="CD154" s="4">
        <v>55.2</v>
      </c>
      <c r="CE154" s="4">
        <v>71</v>
      </c>
      <c r="CF154" s="16" t="s">
        <v>5</v>
      </c>
      <c r="CG154" s="5">
        <v>7.5</v>
      </c>
      <c r="CH154" s="18" t="s">
        <v>5</v>
      </c>
      <c r="CV154" s="344" t="str">
        <f t="shared" si="18"/>
        <v>WT15X62</v>
      </c>
      <c r="CW154" s="337">
        <v>18.2</v>
      </c>
      <c r="DE154" s="335" t="str">
        <f t="shared" si="19"/>
        <v>2L3-1/2X3-1/2X1/4</v>
      </c>
      <c r="DF154" s="338">
        <v>3.4</v>
      </c>
      <c r="DH154" s="397" t="s">
        <v>1394</v>
      </c>
      <c r="DI154" s="398">
        <v>38.299999999999997</v>
      </c>
      <c r="DJ154" s="398">
        <v>19.3</v>
      </c>
      <c r="DK154" s="399">
        <v>0.67</v>
      </c>
      <c r="DL154" s="398">
        <v>23.9</v>
      </c>
      <c r="DM154" s="400">
        <v>4.6500000000000004</v>
      </c>
      <c r="DN154" s="401">
        <v>290</v>
      </c>
      <c r="DO154" s="402">
        <v>256</v>
      </c>
      <c r="DP154" s="117"/>
      <c r="DQ154" s="428" t="s">
        <v>1391</v>
      </c>
      <c r="DR154" s="429">
        <v>311</v>
      </c>
      <c r="DS154" s="429">
        <v>1890</v>
      </c>
      <c r="DT154" s="431"/>
      <c r="DU154" s="431"/>
      <c r="DV154" s="431"/>
      <c r="DW154" s="431"/>
      <c r="DX154" s="432"/>
      <c r="DZ154" s="447" t="s">
        <v>1366</v>
      </c>
      <c r="EA154" s="448">
        <v>192</v>
      </c>
      <c r="EB154" s="448">
        <v>56.2</v>
      </c>
      <c r="EC154" s="448">
        <v>20.399999999999999</v>
      </c>
      <c r="ED154" s="448" t="s">
        <v>1787</v>
      </c>
      <c r="EE154" s="448">
        <v>0.96</v>
      </c>
      <c r="EF154" s="448" t="s">
        <v>1628</v>
      </c>
      <c r="EG154" s="449">
        <v>44928</v>
      </c>
      <c r="EH154" s="448">
        <v>11.5</v>
      </c>
      <c r="EI154" s="448" t="s">
        <v>1704</v>
      </c>
      <c r="EJ154" s="448">
        <v>1.75</v>
      </c>
      <c r="EK154" s="448" t="s">
        <v>1615</v>
      </c>
      <c r="EL154" s="448">
        <v>3.27</v>
      </c>
      <c r="EM154" s="448">
        <v>16.7</v>
      </c>
      <c r="EN154" s="448">
        <v>3870</v>
      </c>
      <c r="EO154" s="448">
        <v>380</v>
      </c>
      <c r="EP154" s="448">
        <v>8.2799999999999994</v>
      </c>
      <c r="EQ154" s="448">
        <v>442</v>
      </c>
      <c r="ER154" s="448">
        <v>440</v>
      </c>
      <c r="ES154" s="448">
        <v>76.8</v>
      </c>
      <c r="ET154" s="448">
        <v>2.79</v>
      </c>
      <c r="EU154" s="450">
        <v>119</v>
      </c>
    </row>
    <row r="155" spans="2:151">
      <c r="B155" s="78" t="s">
        <v>145</v>
      </c>
      <c r="C155" s="79" t="s">
        <v>161</v>
      </c>
      <c r="D155" s="80" t="s">
        <v>161</v>
      </c>
      <c r="E155" s="1" t="s">
        <v>4</v>
      </c>
      <c r="F155" s="6">
        <v>107.5</v>
      </c>
      <c r="G155" s="4">
        <v>31.8</v>
      </c>
      <c r="H155" s="3" t="str">
        <f t="shared" si="16"/>
        <v>WT20X107.5</v>
      </c>
      <c r="I155" s="4">
        <v>19.5</v>
      </c>
      <c r="J155" s="5">
        <v>19.5</v>
      </c>
      <c r="K155" s="6" t="s">
        <v>5</v>
      </c>
      <c r="L155" s="6" t="s">
        <v>5</v>
      </c>
      <c r="M155" s="6" t="s">
        <v>5</v>
      </c>
      <c r="N155" s="4">
        <v>15.8</v>
      </c>
      <c r="O155" s="5">
        <v>15.75</v>
      </c>
      <c r="P155" s="5" t="s">
        <v>5</v>
      </c>
      <c r="Q155" s="6" t="s">
        <v>5</v>
      </c>
      <c r="R155" s="6" t="s">
        <v>5</v>
      </c>
      <c r="S155" s="22">
        <v>0.65</v>
      </c>
      <c r="T155" s="5">
        <v>0.625</v>
      </c>
      <c r="U155" s="8">
        <v>0.3125</v>
      </c>
      <c r="V155" s="7">
        <v>1.22</v>
      </c>
      <c r="W155" s="8">
        <v>1.25</v>
      </c>
      <c r="X155" s="7">
        <v>1.22</v>
      </c>
      <c r="Y155" s="6" t="s">
        <v>5</v>
      </c>
      <c r="Z155" s="6" t="s">
        <v>5</v>
      </c>
      <c r="AA155" s="7">
        <v>2.4</v>
      </c>
      <c r="AB155" s="8">
        <v>2.5</v>
      </c>
      <c r="AC155" s="8" t="s">
        <v>5</v>
      </c>
      <c r="AD155" s="6" t="s">
        <v>5</v>
      </c>
      <c r="AE155" s="7">
        <v>4.28</v>
      </c>
      <c r="AF155" s="6" t="s">
        <v>5</v>
      </c>
      <c r="AG155" s="6" t="s">
        <v>5</v>
      </c>
      <c r="AH155" s="7">
        <v>1.01</v>
      </c>
      <c r="AI155" s="7">
        <v>6.45</v>
      </c>
      <c r="AJ155" s="6" t="s">
        <v>5</v>
      </c>
      <c r="AK155" s="6" t="s">
        <v>5</v>
      </c>
      <c r="AL155" s="6" t="s">
        <v>5</v>
      </c>
      <c r="AM155" s="6" t="s">
        <v>5</v>
      </c>
      <c r="AN155" s="4">
        <v>30</v>
      </c>
      <c r="AO155" s="6">
        <v>1030</v>
      </c>
      <c r="AP155" s="6">
        <v>120</v>
      </c>
      <c r="AQ155" s="4">
        <v>68</v>
      </c>
      <c r="AR155" s="7">
        <v>5.71</v>
      </c>
      <c r="AS155" s="6">
        <v>398</v>
      </c>
      <c r="AT155" s="4">
        <v>77.8</v>
      </c>
      <c r="AU155" s="4">
        <v>50.5</v>
      </c>
      <c r="AV155" s="7">
        <v>3.54</v>
      </c>
      <c r="AW155" s="6" t="s">
        <v>5</v>
      </c>
      <c r="AX155" s="6" t="s">
        <v>5</v>
      </c>
      <c r="AY155" s="6" t="s">
        <v>5</v>
      </c>
      <c r="AZ155" s="4">
        <v>12.4</v>
      </c>
      <c r="BA155" s="6">
        <v>101</v>
      </c>
      <c r="BB155" s="6" t="s">
        <v>5</v>
      </c>
      <c r="BC155" s="6" t="s">
        <v>5</v>
      </c>
      <c r="BD155" s="6" t="s">
        <v>5</v>
      </c>
      <c r="BE155" s="6" t="s">
        <v>5</v>
      </c>
      <c r="BF155" s="6" t="s">
        <v>5</v>
      </c>
      <c r="BG155" s="6" t="s">
        <v>5</v>
      </c>
      <c r="BH155" s="6" t="s">
        <v>5</v>
      </c>
      <c r="BI155" s="7">
        <v>7.66</v>
      </c>
      <c r="BJ155" s="22">
        <v>0.77100000000000002</v>
      </c>
      <c r="BK155" s="6" t="s">
        <v>5</v>
      </c>
      <c r="BL155" s="2" t="s">
        <v>5</v>
      </c>
      <c r="BM155" s="2" t="s">
        <v>5</v>
      </c>
      <c r="BN155" s="2" t="s">
        <v>5</v>
      </c>
      <c r="BO155" s="2" t="s">
        <v>5</v>
      </c>
      <c r="BP155" s="2" t="s">
        <v>5</v>
      </c>
      <c r="BQ155" s="2" t="s">
        <v>5</v>
      </c>
      <c r="BR155" s="2" t="s">
        <v>5</v>
      </c>
      <c r="BS155" s="2" t="s">
        <v>5</v>
      </c>
      <c r="BT155" s="2" t="s">
        <v>5</v>
      </c>
      <c r="BU155" s="2" t="s">
        <v>5</v>
      </c>
      <c r="BV155" s="2" t="s">
        <v>5</v>
      </c>
      <c r="BW155" s="2" t="s">
        <v>5</v>
      </c>
      <c r="BX155" s="2" t="s">
        <v>5</v>
      </c>
      <c r="BY155" s="25" t="s">
        <v>5</v>
      </c>
      <c r="BZ155" s="25" t="s">
        <v>5</v>
      </c>
      <c r="CA155" s="4">
        <v>53.8</v>
      </c>
      <c r="CB155" s="6" t="s">
        <v>5</v>
      </c>
      <c r="CC155" s="4">
        <v>69.599999999999994</v>
      </c>
      <c r="CD155" s="4">
        <v>54.8</v>
      </c>
      <c r="CE155" s="6">
        <v>70.599999999999994</v>
      </c>
      <c r="CF155" s="16" t="s">
        <v>5</v>
      </c>
      <c r="CG155" s="5">
        <v>7.5</v>
      </c>
      <c r="CH155" s="18" t="s">
        <v>5</v>
      </c>
      <c r="CV155" s="344" t="str">
        <f t="shared" si="18"/>
        <v>WT10.5X61</v>
      </c>
      <c r="CW155" s="337">
        <v>17.899999999999999</v>
      </c>
      <c r="DE155" s="335" t="str">
        <f t="shared" si="19"/>
        <v>2L3-1/2X3-1/2X1/4</v>
      </c>
      <c r="DF155" s="338">
        <v>3.4</v>
      </c>
      <c r="DH155" s="397" t="s">
        <v>1402</v>
      </c>
      <c r="DI155" s="398">
        <v>35.1</v>
      </c>
      <c r="DJ155" s="398">
        <v>19</v>
      </c>
      <c r="DK155" s="399">
        <v>0.65500000000000003</v>
      </c>
      <c r="DL155" s="398">
        <v>24.5</v>
      </c>
      <c r="DM155" s="400">
        <v>5.31</v>
      </c>
      <c r="DN155" s="401">
        <v>262</v>
      </c>
      <c r="DO155" s="402">
        <v>231</v>
      </c>
      <c r="DP155" s="117"/>
      <c r="DQ155" s="428" t="s">
        <v>1392</v>
      </c>
      <c r="DR155" s="429">
        <v>307</v>
      </c>
      <c r="DS155" s="429">
        <v>2960</v>
      </c>
      <c r="DT155" s="431"/>
      <c r="DU155" s="431"/>
      <c r="DV155" s="431"/>
      <c r="DW155" s="431"/>
      <c r="DX155" s="432"/>
      <c r="DZ155" s="447" t="s">
        <v>1374</v>
      </c>
      <c r="EA155" s="448">
        <v>175</v>
      </c>
      <c r="EB155" s="448">
        <v>51.4</v>
      </c>
      <c r="EC155" s="448">
        <v>20</v>
      </c>
      <c r="ED155" s="448">
        <v>20</v>
      </c>
      <c r="EE155" s="448">
        <v>0.89</v>
      </c>
      <c r="EF155" s="449">
        <v>45115</v>
      </c>
      <c r="EG155" s="449">
        <v>45123</v>
      </c>
      <c r="EH155" s="448">
        <v>11.4</v>
      </c>
      <c r="EI155" s="448" t="s">
        <v>1788</v>
      </c>
      <c r="EJ155" s="448">
        <v>1.59</v>
      </c>
      <c r="EK155" s="448" t="s">
        <v>1618</v>
      </c>
      <c r="EL155" s="448">
        <v>3.58</v>
      </c>
      <c r="EM155" s="448">
        <v>18</v>
      </c>
      <c r="EN155" s="448">
        <v>3450</v>
      </c>
      <c r="EO155" s="448">
        <v>344</v>
      </c>
      <c r="EP155" s="448">
        <v>8.1999999999999993</v>
      </c>
      <c r="EQ155" s="448">
        <v>398</v>
      </c>
      <c r="ER155" s="448">
        <v>391</v>
      </c>
      <c r="ES155" s="448">
        <v>68.8</v>
      </c>
      <c r="ET155" s="448">
        <v>2.76</v>
      </c>
      <c r="EU155" s="450">
        <v>106</v>
      </c>
    </row>
    <row r="156" spans="2:151">
      <c r="B156" s="78" t="s">
        <v>145</v>
      </c>
      <c r="C156" s="79" t="s">
        <v>162</v>
      </c>
      <c r="D156" s="80" t="s">
        <v>162</v>
      </c>
      <c r="E156" s="1" t="s">
        <v>4</v>
      </c>
      <c r="F156" s="6">
        <v>99.5</v>
      </c>
      <c r="G156" s="4">
        <v>29.2</v>
      </c>
      <c r="H156" s="3" t="str">
        <f t="shared" si="16"/>
        <v>WT20X99.5</v>
      </c>
      <c r="I156" s="4">
        <v>19.3</v>
      </c>
      <c r="J156" s="5">
        <v>19.375</v>
      </c>
      <c r="K156" s="6" t="s">
        <v>5</v>
      </c>
      <c r="L156" s="6" t="s">
        <v>5</v>
      </c>
      <c r="M156" s="6" t="s">
        <v>5</v>
      </c>
      <c r="N156" s="4">
        <v>15.8</v>
      </c>
      <c r="O156" s="5">
        <v>15.75</v>
      </c>
      <c r="P156" s="5" t="s">
        <v>5</v>
      </c>
      <c r="Q156" s="6" t="s">
        <v>5</v>
      </c>
      <c r="R156" s="6" t="s">
        <v>5</v>
      </c>
      <c r="S156" s="22">
        <v>0.65</v>
      </c>
      <c r="T156" s="5">
        <v>0.625</v>
      </c>
      <c r="U156" s="8">
        <v>0.3125</v>
      </c>
      <c r="V156" s="7">
        <v>1.07</v>
      </c>
      <c r="W156" s="8">
        <v>1.0625</v>
      </c>
      <c r="X156" s="7">
        <v>1.07</v>
      </c>
      <c r="Y156" s="6" t="s">
        <v>5</v>
      </c>
      <c r="Z156" s="6" t="s">
        <v>5</v>
      </c>
      <c r="AA156" s="7">
        <v>2.25</v>
      </c>
      <c r="AB156" s="8">
        <v>2.3125</v>
      </c>
      <c r="AC156" s="8" t="s">
        <v>5</v>
      </c>
      <c r="AD156" s="6" t="s">
        <v>5</v>
      </c>
      <c r="AE156" s="7">
        <v>4.47</v>
      </c>
      <c r="AF156" s="6" t="s">
        <v>5</v>
      </c>
      <c r="AG156" s="6" t="s">
        <v>5</v>
      </c>
      <c r="AH156" s="22">
        <v>0.92900000000000005</v>
      </c>
      <c r="AI156" s="7">
        <v>7.39</v>
      </c>
      <c r="AJ156" s="6" t="s">
        <v>5</v>
      </c>
      <c r="AK156" s="6" t="s">
        <v>5</v>
      </c>
      <c r="AL156" s="6" t="s">
        <v>5</v>
      </c>
      <c r="AM156" s="6" t="s">
        <v>5</v>
      </c>
      <c r="AN156" s="4">
        <v>29.7</v>
      </c>
      <c r="AO156" s="6">
        <v>988</v>
      </c>
      <c r="AP156" s="6">
        <v>117</v>
      </c>
      <c r="AQ156" s="4">
        <v>66.5</v>
      </c>
      <c r="AR156" s="7">
        <v>5.81</v>
      </c>
      <c r="AS156" s="6">
        <v>347</v>
      </c>
      <c r="AT156" s="4">
        <v>68.2</v>
      </c>
      <c r="AU156" s="4">
        <v>44.1</v>
      </c>
      <c r="AV156" s="7">
        <v>3.45</v>
      </c>
      <c r="AW156" s="6" t="s">
        <v>5</v>
      </c>
      <c r="AX156" s="6" t="s">
        <v>5</v>
      </c>
      <c r="AY156" s="6" t="s">
        <v>5</v>
      </c>
      <c r="AZ156" s="7">
        <v>9.1199999999999992</v>
      </c>
      <c r="BA156" s="4">
        <v>83.5</v>
      </c>
      <c r="BB156" s="6" t="s">
        <v>5</v>
      </c>
      <c r="BC156" s="6" t="s">
        <v>5</v>
      </c>
      <c r="BD156" s="6" t="s">
        <v>5</v>
      </c>
      <c r="BE156" s="6" t="s">
        <v>5</v>
      </c>
      <c r="BF156" s="6" t="s">
        <v>5</v>
      </c>
      <c r="BG156" s="6" t="s">
        <v>5</v>
      </c>
      <c r="BH156" s="6" t="s">
        <v>5</v>
      </c>
      <c r="BI156" s="7">
        <v>7.82</v>
      </c>
      <c r="BJ156" s="22">
        <v>0.746</v>
      </c>
      <c r="BK156" s="6" t="s">
        <v>5</v>
      </c>
      <c r="BL156" s="2" t="s">
        <v>5</v>
      </c>
      <c r="BM156" s="2" t="s">
        <v>5</v>
      </c>
      <c r="BN156" s="2" t="s">
        <v>5</v>
      </c>
      <c r="BO156" s="2" t="s">
        <v>5</v>
      </c>
      <c r="BP156" s="2" t="s">
        <v>5</v>
      </c>
      <c r="BQ156" s="2" t="s">
        <v>5</v>
      </c>
      <c r="BR156" s="2" t="s">
        <v>5</v>
      </c>
      <c r="BS156" s="2" t="s">
        <v>5</v>
      </c>
      <c r="BT156" s="2" t="s">
        <v>5</v>
      </c>
      <c r="BU156" s="2" t="s">
        <v>5</v>
      </c>
      <c r="BV156" s="2" t="s">
        <v>5</v>
      </c>
      <c r="BW156" s="2" t="s">
        <v>5</v>
      </c>
      <c r="BX156" s="2" t="s">
        <v>5</v>
      </c>
      <c r="BY156" s="25" t="s">
        <v>5</v>
      </c>
      <c r="BZ156" s="25" t="s">
        <v>5</v>
      </c>
      <c r="CA156" s="4">
        <v>53.4</v>
      </c>
      <c r="CB156" s="6" t="s">
        <v>5</v>
      </c>
      <c r="CC156" s="4">
        <v>69.2</v>
      </c>
      <c r="CD156" s="4">
        <v>54.400000000000006</v>
      </c>
      <c r="CE156" s="6">
        <v>70.2</v>
      </c>
      <c r="CF156" s="16" t="s">
        <v>5</v>
      </c>
      <c r="CG156" s="5">
        <v>7.5</v>
      </c>
      <c r="CH156" s="18" t="s">
        <v>5</v>
      </c>
      <c r="CV156" s="344" t="str">
        <f t="shared" si="18"/>
        <v>WT7X60</v>
      </c>
      <c r="CW156" s="337">
        <v>17.7</v>
      </c>
      <c r="DE156" s="335" t="str">
        <f t="shared" si="19"/>
        <v>2L2-1/2X2-1/2X5/16</v>
      </c>
      <c r="DF156" s="338">
        <v>2.92</v>
      </c>
      <c r="DH156" s="397" t="s">
        <v>1409</v>
      </c>
      <c r="DI156" s="398">
        <v>31.1</v>
      </c>
      <c r="DJ156" s="398">
        <v>18.7</v>
      </c>
      <c r="DK156" s="399">
        <v>0.59</v>
      </c>
      <c r="DL156" s="398">
        <v>27.2</v>
      </c>
      <c r="DM156" s="400">
        <v>5.96</v>
      </c>
      <c r="DN156" s="401">
        <v>230</v>
      </c>
      <c r="DO156" s="402">
        <v>204</v>
      </c>
      <c r="DP156" s="117"/>
      <c r="DQ156" s="428" t="s">
        <v>1393</v>
      </c>
      <c r="DR156" s="429">
        <v>305</v>
      </c>
      <c r="DS156" s="429">
        <v>3620</v>
      </c>
      <c r="DT156" s="431"/>
      <c r="DU156" s="431"/>
      <c r="DV156" s="431"/>
      <c r="DW156" s="431"/>
      <c r="DX156" s="432"/>
      <c r="DZ156" s="447" t="s">
        <v>1381</v>
      </c>
      <c r="EA156" s="448">
        <v>158</v>
      </c>
      <c r="EB156" s="448">
        <v>46.3</v>
      </c>
      <c r="EC156" s="448">
        <v>19.7</v>
      </c>
      <c r="ED156" s="448" t="s">
        <v>1789</v>
      </c>
      <c r="EE156" s="448">
        <v>0.81</v>
      </c>
      <c r="EF156" s="448" t="s">
        <v>1620</v>
      </c>
      <c r="EG156" s="449">
        <v>45123</v>
      </c>
      <c r="EH156" s="448">
        <v>11.3</v>
      </c>
      <c r="EI156" s="448" t="s">
        <v>1790</v>
      </c>
      <c r="EJ156" s="448">
        <v>1.44</v>
      </c>
      <c r="EK156" s="448" t="s">
        <v>1622</v>
      </c>
      <c r="EL156" s="448">
        <v>3.92</v>
      </c>
      <c r="EM156" s="448">
        <v>19.8</v>
      </c>
      <c r="EN156" s="448">
        <v>3060</v>
      </c>
      <c r="EO156" s="448">
        <v>310</v>
      </c>
      <c r="EP156" s="448">
        <v>8.1199999999999992</v>
      </c>
      <c r="EQ156" s="448">
        <v>356</v>
      </c>
      <c r="ER156" s="448">
        <v>347</v>
      </c>
      <c r="ES156" s="448">
        <v>61.4</v>
      </c>
      <c r="ET156" s="448">
        <v>2.74</v>
      </c>
      <c r="EU156" s="450">
        <v>94.8</v>
      </c>
    </row>
    <row r="157" spans="2:151">
      <c r="B157" s="78" t="s">
        <v>145</v>
      </c>
      <c r="C157" s="79" t="s">
        <v>163</v>
      </c>
      <c r="D157" s="80" t="s">
        <v>163</v>
      </c>
      <c r="E157" s="1" t="s">
        <v>6</v>
      </c>
      <c r="F157" s="6">
        <v>196</v>
      </c>
      <c r="G157" s="4">
        <v>57.8</v>
      </c>
      <c r="H157" s="3" t="str">
        <f t="shared" si="16"/>
        <v>WT20X196</v>
      </c>
      <c r="I157" s="4">
        <v>20.8</v>
      </c>
      <c r="J157" s="5">
        <v>20.75</v>
      </c>
      <c r="K157" s="6" t="s">
        <v>5</v>
      </c>
      <c r="L157" s="6" t="s">
        <v>5</v>
      </c>
      <c r="M157" s="6" t="s">
        <v>5</v>
      </c>
      <c r="N157" s="4">
        <v>12.4</v>
      </c>
      <c r="O157" s="5">
        <v>12.375</v>
      </c>
      <c r="P157" s="5" t="s">
        <v>5</v>
      </c>
      <c r="Q157" s="6" t="s">
        <v>5</v>
      </c>
      <c r="R157" s="6" t="s">
        <v>5</v>
      </c>
      <c r="S157" s="7">
        <v>1.42</v>
      </c>
      <c r="T157" s="5">
        <v>1.4375</v>
      </c>
      <c r="U157" s="8">
        <v>0.75</v>
      </c>
      <c r="V157" s="7">
        <v>2.52</v>
      </c>
      <c r="W157" s="8">
        <v>2.5</v>
      </c>
      <c r="X157" s="7">
        <v>2.52</v>
      </c>
      <c r="Y157" s="6" t="s">
        <v>5</v>
      </c>
      <c r="Z157" s="6" t="s">
        <v>5</v>
      </c>
      <c r="AA157" s="7">
        <v>3.7</v>
      </c>
      <c r="AB157" s="8">
        <v>3.8125</v>
      </c>
      <c r="AC157" s="8" t="s">
        <v>5</v>
      </c>
      <c r="AD157" s="6" t="s">
        <v>5</v>
      </c>
      <c r="AE157" s="7">
        <v>5.94</v>
      </c>
      <c r="AF157" s="6" t="s">
        <v>5</v>
      </c>
      <c r="AG157" s="6" t="s">
        <v>5</v>
      </c>
      <c r="AH157" s="7">
        <v>2.33</v>
      </c>
      <c r="AI157" s="7">
        <v>2.4500000000000002</v>
      </c>
      <c r="AJ157" s="6" t="s">
        <v>5</v>
      </c>
      <c r="AK157" s="6" t="s">
        <v>5</v>
      </c>
      <c r="AL157" s="6" t="s">
        <v>5</v>
      </c>
      <c r="AM157" s="6" t="s">
        <v>5</v>
      </c>
      <c r="AN157" s="4">
        <v>14.6</v>
      </c>
      <c r="AO157" s="6">
        <v>2270</v>
      </c>
      <c r="AP157" s="6">
        <v>275</v>
      </c>
      <c r="AQ157" s="6">
        <v>153</v>
      </c>
      <c r="AR157" s="7">
        <v>6.27</v>
      </c>
      <c r="AS157" s="6">
        <v>401</v>
      </c>
      <c r="AT157" s="6">
        <v>106</v>
      </c>
      <c r="AU157" s="4">
        <v>64.900000000000006</v>
      </c>
      <c r="AV157" s="7">
        <v>2.64</v>
      </c>
      <c r="AW157" s="6" t="s">
        <v>5</v>
      </c>
      <c r="AX157" s="6" t="s">
        <v>5</v>
      </c>
      <c r="AY157" s="6" t="s">
        <v>5</v>
      </c>
      <c r="AZ157" s="4">
        <v>85.4</v>
      </c>
      <c r="BA157" s="6">
        <v>796</v>
      </c>
      <c r="BB157" s="6" t="s">
        <v>5</v>
      </c>
      <c r="BC157" s="6" t="s">
        <v>5</v>
      </c>
      <c r="BD157" s="6" t="s">
        <v>5</v>
      </c>
      <c r="BE157" s="6" t="s">
        <v>5</v>
      </c>
      <c r="BF157" s="6" t="s">
        <v>5</v>
      </c>
      <c r="BG157" s="6" t="s">
        <v>5</v>
      </c>
      <c r="BH157" s="6" t="s">
        <v>5</v>
      </c>
      <c r="BI157" s="7">
        <v>8.26</v>
      </c>
      <c r="BJ157" s="22">
        <v>0.67900000000000005</v>
      </c>
      <c r="BK157" s="6" t="s">
        <v>5</v>
      </c>
      <c r="BL157" s="2" t="s">
        <v>5</v>
      </c>
      <c r="BM157" s="2" t="s">
        <v>5</v>
      </c>
      <c r="BN157" s="2" t="s">
        <v>5</v>
      </c>
      <c r="BO157" s="2" t="s">
        <v>5</v>
      </c>
      <c r="BP157" s="2" t="s">
        <v>5</v>
      </c>
      <c r="BQ157" s="2" t="s">
        <v>5</v>
      </c>
      <c r="BR157" s="2" t="s">
        <v>5</v>
      </c>
      <c r="BS157" s="2" t="s">
        <v>5</v>
      </c>
      <c r="BT157" s="2" t="s">
        <v>5</v>
      </c>
      <c r="BU157" s="2" t="s">
        <v>5</v>
      </c>
      <c r="BV157" s="2" t="s">
        <v>5</v>
      </c>
      <c r="BW157" s="2" t="s">
        <v>5</v>
      </c>
      <c r="BX157" s="2" t="s">
        <v>5</v>
      </c>
      <c r="BY157" s="25" t="s">
        <v>5</v>
      </c>
      <c r="BZ157" s="25" t="s">
        <v>5</v>
      </c>
      <c r="CA157" s="4">
        <v>53</v>
      </c>
      <c r="CB157" s="6" t="s">
        <v>5</v>
      </c>
      <c r="CC157" s="4">
        <v>65.400000000000006</v>
      </c>
      <c r="CD157" s="4">
        <v>54.000000000000007</v>
      </c>
      <c r="CE157" s="6">
        <v>66.400000000000006</v>
      </c>
      <c r="CF157" s="16" t="s">
        <v>5</v>
      </c>
      <c r="CG157" s="5">
        <v>7.5</v>
      </c>
      <c r="CH157" s="18" t="s">
        <v>5</v>
      </c>
      <c r="CV157" s="344" t="str">
        <f t="shared" si="18"/>
        <v>WT9X59.5</v>
      </c>
      <c r="CW157" s="337">
        <v>17.600000000000001</v>
      </c>
      <c r="DE157" s="335" t="str">
        <f t="shared" si="19"/>
        <v>2L2-1/2X2-1/2X5/16</v>
      </c>
      <c r="DF157" s="338">
        <v>2.92</v>
      </c>
      <c r="DH157" s="397" t="s">
        <v>1414</v>
      </c>
      <c r="DI157" s="398">
        <v>28.5</v>
      </c>
      <c r="DJ157" s="398">
        <v>18.600000000000001</v>
      </c>
      <c r="DK157" s="399">
        <v>0.53500000000000003</v>
      </c>
      <c r="DL157" s="398">
        <v>30</v>
      </c>
      <c r="DM157" s="400">
        <v>6.41</v>
      </c>
      <c r="DN157" s="401">
        <v>211</v>
      </c>
      <c r="DO157" s="402">
        <v>188</v>
      </c>
      <c r="DP157" s="117"/>
      <c r="DQ157" s="428" t="s">
        <v>1394</v>
      </c>
      <c r="DR157" s="429">
        <v>290</v>
      </c>
      <c r="DS157" s="429">
        <v>2460</v>
      </c>
      <c r="DT157" s="431"/>
      <c r="DU157" s="431"/>
      <c r="DV157" s="431"/>
      <c r="DW157" s="431"/>
      <c r="DX157" s="432"/>
      <c r="DZ157" s="447" t="s">
        <v>1388</v>
      </c>
      <c r="EA157" s="448">
        <v>143</v>
      </c>
      <c r="EB157" s="448">
        <v>42</v>
      </c>
      <c r="EC157" s="448">
        <v>19.5</v>
      </c>
      <c r="ED157" s="448" t="s">
        <v>1791</v>
      </c>
      <c r="EE157" s="448">
        <v>0.73</v>
      </c>
      <c r="EF157" s="449">
        <v>44989</v>
      </c>
      <c r="EG157" s="449">
        <v>44993</v>
      </c>
      <c r="EH157" s="448">
        <v>11.2</v>
      </c>
      <c r="EI157" s="448" t="s">
        <v>1790</v>
      </c>
      <c r="EJ157" s="448">
        <v>1.32</v>
      </c>
      <c r="EK157" s="448" t="s">
        <v>1634</v>
      </c>
      <c r="EL157" s="448">
        <v>4.25</v>
      </c>
      <c r="EM157" s="448">
        <v>22</v>
      </c>
      <c r="EN157" s="448">
        <v>2750</v>
      </c>
      <c r="EO157" s="448">
        <v>282</v>
      </c>
      <c r="EP157" s="448">
        <v>8.09</v>
      </c>
      <c r="EQ157" s="448">
        <v>322</v>
      </c>
      <c r="ER157" s="448">
        <v>311</v>
      </c>
      <c r="ES157" s="448">
        <v>55.5</v>
      </c>
      <c r="ET157" s="448">
        <v>2.72</v>
      </c>
      <c r="EU157" s="450">
        <v>85.4</v>
      </c>
    </row>
    <row r="158" spans="2:151">
      <c r="B158" s="78" t="s">
        <v>145</v>
      </c>
      <c r="C158" s="79" t="s">
        <v>164</v>
      </c>
      <c r="D158" s="80" t="s">
        <v>164</v>
      </c>
      <c r="E158" s="1" t="s">
        <v>6</v>
      </c>
      <c r="F158" s="6">
        <v>165.5</v>
      </c>
      <c r="G158" s="4">
        <v>48.8</v>
      </c>
      <c r="H158" s="3" t="str">
        <f t="shared" si="16"/>
        <v>WT20X165.5</v>
      </c>
      <c r="I158" s="4">
        <v>20.399999999999999</v>
      </c>
      <c r="J158" s="5">
        <v>20.375</v>
      </c>
      <c r="K158" s="6" t="s">
        <v>5</v>
      </c>
      <c r="L158" s="6" t="s">
        <v>5</v>
      </c>
      <c r="M158" s="6" t="s">
        <v>5</v>
      </c>
      <c r="N158" s="4">
        <v>12.2</v>
      </c>
      <c r="O158" s="5">
        <v>12.125</v>
      </c>
      <c r="P158" s="5" t="s">
        <v>5</v>
      </c>
      <c r="Q158" s="6" t="s">
        <v>5</v>
      </c>
      <c r="R158" s="6" t="s">
        <v>5</v>
      </c>
      <c r="S158" s="7">
        <v>1.22</v>
      </c>
      <c r="T158" s="5">
        <v>1.25</v>
      </c>
      <c r="U158" s="8">
        <v>0.625</v>
      </c>
      <c r="V158" s="7">
        <v>2.13</v>
      </c>
      <c r="W158" s="8">
        <v>2.125</v>
      </c>
      <c r="X158" s="7">
        <v>2.13</v>
      </c>
      <c r="Y158" s="6" t="s">
        <v>5</v>
      </c>
      <c r="Z158" s="6" t="s">
        <v>5</v>
      </c>
      <c r="AA158" s="7">
        <v>3.31</v>
      </c>
      <c r="AB158" s="8">
        <v>3.375</v>
      </c>
      <c r="AC158" s="8" t="s">
        <v>5</v>
      </c>
      <c r="AD158" s="6" t="s">
        <v>5</v>
      </c>
      <c r="AE158" s="7">
        <v>5.74</v>
      </c>
      <c r="AF158" s="6" t="s">
        <v>5</v>
      </c>
      <c r="AG158" s="6" t="s">
        <v>5</v>
      </c>
      <c r="AH158" s="7">
        <v>2</v>
      </c>
      <c r="AI158" s="7">
        <v>2.86</v>
      </c>
      <c r="AJ158" s="6" t="s">
        <v>5</v>
      </c>
      <c r="AK158" s="6" t="s">
        <v>5</v>
      </c>
      <c r="AL158" s="6" t="s">
        <v>5</v>
      </c>
      <c r="AM158" s="6" t="s">
        <v>5</v>
      </c>
      <c r="AN158" s="4">
        <v>16.7</v>
      </c>
      <c r="AO158" s="6">
        <v>1880</v>
      </c>
      <c r="AP158" s="6">
        <v>231</v>
      </c>
      <c r="AQ158" s="6">
        <v>128</v>
      </c>
      <c r="AR158" s="7">
        <v>6.21</v>
      </c>
      <c r="AS158" s="6">
        <v>322</v>
      </c>
      <c r="AT158" s="4">
        <v>85.7</v>
      </c>
      <c r="AU158" s="4">
        <v>52.9</v>
      </c>
      <c r="AV158" s="7">
        <v>2.57</v>
      </c>
      <c r="AW158" s="6" t="s">
        <v>5</v>
      </c>
      <c r="AX158" s="6" t="s">
        <v>5</v>
      </c>
      <c r="AY158" s="6" t="s">
        <v>5</v>
      </c>
      <c r="AZ158" s="4">
        <v>52.5</v>
      </c>
      <c r="BA158" s="6">
        <v>484</v>
      </c>
      <c r="BB158" s="6" t="s">
        <v>5</v>
      </c>
      <c r="BC158" s="6" t="s">
        <v>5</v>
      </c>
      <c r="BD158" s="6" t="s">
        <v>5</v>
      </c>
      <c r="BE158" s="6" t="s">
        <v>5</v>
      </c>
      <c r="BF158" s="6" t="s">
        <v>5</v>
      </c>
      <c r="BG158" s="6" t="s">
        <v>5</v>
      </c>
      <c r="BH158" s="6" t="s">
        <v>5</v>
      </c>
      <c r="BI158" s="7">
        <v>8.19</v>
      </c>
      <c r="BJ158" s="22">
        <v>0.67400000000000004</v>
      </c>
      <c r="BK158" s="6" t="s">
        <v>5</v>
      </c>
      <c r="BL158" s="2" t="s">
        <v>5</v>
      </c>
      <c r="BM158" s="2" t="s">
        <v>5</v>
      </c>
      <c r="BN158" s="2" t="s">
        <v>5</v>
      </c>
      <c r="BO158" s="2" t="s">
        <v>5</v>
      </c>
      <c r="BP158" s="2" t="s">
        <v>5</v>
      </c>
      <c r="BQ158" s="2" t="s">
        <v>5</v>
      </c>
      <c r="BR158" s="2" t="s">
        <v>5</v>
      </c>
      <c r="BS158" s="2" t="s">
        <v>5</v>
      </c>
      <c r="BT158" s="2" t="s">
        <v>5</v>
      </c>
      <c r="BU158" s="2" t="s">
        <v>5</v>
      </c>
      <c r="BV158" s="2" t="s">
        <v>5</v>
      </c>
      <c r="BW158" s="2" t="s">
        <v>5</v>
      </c>
      <c r="BX158" s="2" t="s">
        <v>5</v>
      </c>
      <c r="BY158" s="25" t="s">
        <v>5</v>
      </c>
      <c r="BZ158" s="25" t="s">
        <v>5</v>
      </c>
      <c r="CA158" s="4">
        <v>52</v>
      </c>
      <c r="CB158" s="6" t="s">
        <v>5</v>
      </c>
      <c r="CC158" s="4">
        <v>64.2</v>
      </c>
      <c r="CD158" s="4">
        <v>52.999999999999986</v>
      </c>
      <c r="CE158" s="6">
        <v>65.199999999999989</v>
      </c>
      <c r="CF158" s="16" t="s">
        <v>5</v>
      </c>
      <c r="CG158" s="5">
        <v>7.5</v>
      </c>
      <c r="CH158" s="18" t="s">
        <v>5</v>
      </c>
      <c r="CV158" s="344" t="str">
        <f t="shared" si="18"/>
        <v>WT9X59.5</v>
      </c>
      <c r="CW158" s="337">
        <v>17.600000000000001</v>
      </c>
      <c r="DE158" s="335" t="str">
        <f t="shared" si="19"/>
        <v>2L2-1/2X2-1/2X5/16</v>
      </c>
      <c r="DF158" s="338">
        <v>2.92</v>
      </c>
      <c r="DH158" s="397" t="s">
        <v>1419</v>
      </c>
      <c r="DI158" s="398">
        <v>25.3</v>
      </c>
      <c r="DJ158" s="398">
        <v>18.399999999999999</v>
      </c>
      <c r="DK158" s="399">
        <v>0.48</v>
      </c>
      <c r="DL158" s="398">
        <v>33.4</v>
      </c>
      <c r="DM158" s="400">
        <v>7.2</v>
      </c>
      <c r="DN158" s="401">
        <v>186</v>
      </c>
      <c r="DO158" s="402">
        <v>166</v>
      </c>
      <c r="DP158" s="117"/>
      <c r="DQ158" s="428" t="s">
        <v>1395</v>
      </c>
      <c r="DR158" s="429">
        <v>289</v>
      </c>
      <c r="DS158" s="429">
        <v>3100</v>
      </c>
      <c r="DT158" s="431"/>
      <c r="DU158" s="431"/>
      <c r="DV158" s="431"/>
      <c r="DW158" s="431"/>
      <c r="DX158" s="432"/>
      <c r="DZ158" s="447" t="s">
        <v>1394</v>
      </c>
      <c r="EA158" s="448">
        <v>130</v>
      </c>
      <c r="EB158" s="448">
        <v>38.299999999999997</v>
      </c>
      <c r="EC158" s="448">
        <v>19.3</v>
      </c>
      <c r="ED158" s="448" t="s">
        <v>1792</v>
      </c>
      <c r="EE158" s="448">
        <v>0.67</v>
      </c>
      <c r="EF158" s="449">
        <v>45246</v>
      </c>
      <c r="EG158" s="449">
        <v>44993</v>
      </c>
      <c r="EH158" s="448">
        <v>11.2</v>
      </c>
      <c r="EI158" s="448" t="s">
        <v>1793</v>
      </c>
      <c r="EJ158" s="448">
        <v>1.2</v>
      </c>
      <c r="EK158" s="448" t="s">
        <v>1640</v>
      </c>
      <c r="EL158" s="448">
        <v>4.6500000000000004</v>
      </c>
      <c r="EM158" s="448">
        <v>23.9</v>
      </c>
      <c r="EN158" s="448">
        <v>2460</v>
      </c>
      <c r="EO158" s="448">
        <v>256</v>
      </c>
      <c r="EP158" s="448">
        <v>8.0299999999999994</v>
      </c>
      <c r="EQ158" s="448">
        <v>290</v>
      </c>
      <c r="ER158" s="448">
        <v>278</v>
      </c>
      <c r="ES158" s="448">
        <v>49.9</v>
      </c>
      <c r="ET158" s="448">
        <v>2.7</v>
      </c>
      <c r="EU158" s="450">
        <v>76.7</v>
      </c>
    </row>
    <row r="159" spans="2:151">
      <c r="B159" s="78" t="s">
        <v>145</v>
      </c>
      <c r="C159" s="79" t="s">
        <v>165</v>
      </c>
      <c r="D159" s="80" t="s">
        <v>165</v>
      </c>
      <c r="E159" s="1" t="s">
        <v>6</v>
      </c>
      <c r="F159" s="6">
        <v>163.5</v>
      </c>
      <c r="G159" s="4">
        <v>47.9</v>
      </c>
      <c r="H159" s="3" t="str">
        <f t="shared" si="16"/>
        <v>WT20X163.5</v>
      </c>
      <c r="I159" s="4">
        <v>20.399999999999999</v>
      </c>
      <c r="J159" s="5">
        <v>20.375</v>
      </c>
      <c r="K159" s="6" t="s">
        <v>5</v>
      </c>
      <c r="L159" s="6" t="s">
        <v>5</v>
      </c>
      <c r="M159" s="6" t="s">
        <v>5</v>
      </c>
      <c r="N159" s="4">
        <v>12.1</v>
      </c>
      <c r="O159" s="5">
        <v>12.125</v>
      </c>
      <c r="P159" s="5" t="s">
        <v>5</v>
      </c>
      <c r="Q159" s="6" t="s">
        <v>5</v>
      </c>
      <c r="R159" s="6" t="s">
        <v>5</v>
      </c>
      <c r="S159" s="7">
        <v>1.18</v>
      </c>
      <c r="T159" s="5">
        <v>1.1875</v>
      </c>
      <c r="U159" s="8">
        <v>0.625</v>
      </c>
      <c r="V159" s="7">
        <v>2.13</v>
      </c>
      <c r="W159" s="8">
        <v>2.125</v>
      </c>
      <c r="X159" s="7">
        <v>2.13</v>
      </c>
      <c r="Y159" s="6" t="s">
        <v>5</v>
      </c>
      <c r="Z159" s="6" t="s">
        <v>5</v>
      </c>
      <c r="AA159" s="7">
        <v>3.31</v>
      </c>
      <c r="AB159" s="8">
        <v>3.375</v>
      </c>
      <c r="AC159" s="8" t="s">
        <v>5</v>
      </c>
      <c r="AD159" s="6" t="s">
        <v>5</v>
      </c>
      <c r="AE159" s="7">
        <v>5.66</v>
      </c>
      <c r="AF159" s="6" t="s">
        <v>5</v>
      </c>
      <c r="AG159" s="6" t="s">
        <v>5</v>
      </c>
      <c r="AH159" s="7">
        <v>1.98</v>
      </c>
      <c r="AI159" s="7">
        <v>2.85</v>
      </c>
      <c r="AJ159" s="6" t="s">
        <v>5</v>
      </c>
      <c r="AK159" s="6" t="s">
        <v>5</v>
      </c>
      <c r="AL159" s="6" t="s">
        <v>5</v>
      </c>
      <c r="AM159" s="6" t="s">
        <v>5</v>
      </c>
      <c r="AN159" s="4">
        <v>17.3</v>
      </c>
      <c r="AO159" s="6">
        <v>1840</v>
      </c>
      <c r="AP159" s="6">
        <v>224</v>
      </c>
      <c r="AQ159" s="6">
        <v>125</v>
      </c>
      <c r="AR159" s="7">
        <v>6.19</v>
      </c>
      <c r="AS159" s="6">
        <v>320</v>
      </c>
      <c r="AT159" s="4">
        <v>85</v>
      </c>
      <c r="AU159" s="4">
        <v>52.7</v>
      </c>
      <c r="AV159" s="7">
        <v>2.58</v>
      </c>
      <c r="AW159" s="6" t="s">
        <v>5</v>
      </c>
      <c r="AX159" s="6" t="s">
        <v>5</v>
      </c>
      <c r="AY159" s="6" t="s">
        <v>5</v>
      </c>
      <c r="AZ159" s="4">
        <v>51.4</v>
      </c>
      <c r="BA159" s="6">
        <v>449</v>
      </c>
      <c r="BB159" s="6" t="s">
        <v>5</v>
      </c>
      <c r="BC159" s="6" t="s">
        <v>5</v>
      </c>
      <c r="BD159" s="6" t="s">
        <v>5</v>
      </c>
      <c r="BE159" s="6" t="s">
        <v>5</v>
      </c>
      <c r="BF159" s="6" t="s">
        <v>5</v>
      </c>
      <c r="BG159" s="6" t="s">
        <v>5</v>
      </c>
      <c r="BH159" s="6" t="s">
        <v>5</v>
      </c>
      <c r="BI159" s="7">
        <v>8.1300000000000008</v>
      </c>
      <c r="BJ159" s="22">
        <v>0.68</v>
      </c>
      <c r="BK159" s="6" t="s">
        <v>5</v>
      </c>
      <c r="BL159" s="2" t="s">
        <v>5</v>
      </c>
      <c r="BM159" s="2" t="s">
        <v>5</v>
      </c>
      <c r="BN159" s="2" t="s">
        <v>5</v>
      </c>
      <c r="BO159" s="2" t="s">
        <v>5</v>
      </c>
      <c r="BP159" s="2" t="s">
        <v>5</v>
      </c>
      <c r="BQ159" s="2" t="s">
        <v>5</v>
      </c>
      <c r="BR159" s="2" t="s">
        <v>5</v>
      </c>
      <c r="BS159" s="2" t="s">
        <v>5</v>
      </c>
      <c r="BT159" s="2" t="s">
        <v>5</v>
      </c>
      <c r="BU159" s="2" t="s">
        <v>5</v>
      </c>
      <c r="BV159" s="2" t="s">
        <v>5</v>
      </c>
      <c r="BW159" s="2" t="s">
        <v>5</v>
      </c>
      <c r="BX159" s="2" t="s">
        <v>5</v>
      </c>
      <c r="BY159" s="25" t="s">
        <v>5</v>
      </c>
      <c r="BZ159" s="25" t="s">
        <v>5</v>
      </c>
      <c r="CA159" s="4">
        <v>51.9</v>
      </c>
      <c r="CB159" s="6" t="s">
        <v>5</v>
      </c>
      <c r="CC159" s="4">
        <v>64</v>
      </c>
      <c r="CD159" s="4">
        <v>52.9</v>
      </c>
      <c r="CE159" s="4">
        <v>65</v>
      </c>
      <c r="CF159" s="16" t="s">
        <v>5</v>
      </c>
      <c r="CG159" s="5">
        <v>7.5</v>
      </c>
      <c r="CH159" s="18" t="s">
        <v>5</v>
      </c>
      <c r="CV159" s="344" t="str">
        <f t="shared" si="18"/>
        <v>WT16.5X59</v>
      </c>
      <c r="CW159" s="337">
        <v>17.399999999999999</v>
      </c>
      <c r="DE159" s="335" t="str">
        <f t="shared" si="19"/>
        <v>2L3X3X1/4</v>
      </c>
      <c r="DF159" s="338">
        <v>2.88</v>
      </c>
      <c r="DH159" s="397" t="s">
        <v>1426</v>
      </c>
      <c r="DI159" s="398">
        <v>22.3</v>
      </c>
      <c r="DJ159" s="398">
        <v>18.2</v>
      </c>
      <c r="DK159" s="399">
        <v>0.42499999999999999</v>
      </c>
      <c r="DL159" s="398">
        <v>37.799999999999997</v>
      </c>
      <c r="DM159" s="400">
        <v>8.11</v>
      </c>
      <c r="DN159" s="401">
        <v>163</v>
      </c>
      <c r="DO159" s="402">
        <v>146</v>
      </c>
      <c r="DP159" s="117"/>
      <c r="DQ159" s="428" t="s">
        <v>1396</v>
      </c>
      <c r="DR159" s="429">
        <v>287</v>
      </c>
      <c r="DS159" s="429">
        <v>1900</v>
      </c>
      <c r="DT159" s="431"/>
      <c r="DU159" s="431"/>
      <c r="DV159" s="431"/>
      <c r="DW159" s="431"/>
      <c r="DX159" s="432"/>
      <c r="DZ159" s="447" t="s">
        <v>1402</v>
      </c>
      <c r="EA159" s="448">
        <v>119</v>
      </c>
      <c r="EB159" s="448">
        <v>35.1</v>
      </c>
      <c r="EC159" s="448">
        <v>19</v>
      </c>
      <c r="ED159" s="448">
        <v>19</v>
      </c>
      <c r="EE159" s="448">
        <v>0.65500000000000003</v>
      </c>
      <c r="EF159" s="449">
        <v>45054</v>
      </c>
      <c r="EG159" s="449">
        <v>45062</v>
      </c>
      <c r="EH159" s="448">
        <v>11.3</v>
      </c>
      <c r="EI159" s="448" t="s">
        <v>1790</v>
      </c>
      <c r="EJ159" s="448">
        <v>1.06</v>
      </c>
      <c r="EK159" s="448" t="s">
        <v>1650</v>
      </c>
      <c r="EL159" s="448">
        <v>5.31</v>
      </c>
      <c r="EM159" s="448">
        <v>24.5</v>
      </c>
      <c r="EN159" s="448">
        <v>2190</v>
      </c>
      <c r="EO159" s="448">
        <v>231</v>
      </c>
      <c r="EP159" s="448">
        <v>7.9</v>
      </c>
      <c r="EQ159" s="448">
        <v>262</v>
      </c>
      <c r="ER159" s="448">
        <v>253</v>
      </c>
      <c r="ES159" s="448">
        <v>44.9</v>
      </c>
      <c r="ET159" s="448">
        <v>2.69</v>
      </c>
      <c r="EU159" s="450">
        <v>69.099999999999994</v>
      </c>
    </row>
    <row r="160" spans="2:151">
      <c r="B160" s="78" t="s">
        <v>145</v>
      </c>
      <c r="C160" s="79" t="s">
        <v>166</v>
      </c>
      <c r="D160" s="80" t="s">
        <v>166</v>
      </c>
      <c r="E160" s="1" t="s">
        <v>4</v>
      </c>
      <c r="F160" s="6">
        <v>147</v>
      </c>
      <c r="G160" s="4">
        <v>43.1</v>
      </c>
      <c r="H160" s="3" t="str">
        <f t="shared" si="16"/>
        <v>WT20X147</v>
      </c>
      <c r="I160" s="4">
        <v>20.2</v>
      </c>
      <c r="J160" s="5">
        <v>20.25</v>
      </c>
      <c r="K160" s="6" t="s">
        <v>5</v>
      </c>
      <c r="L160" s="6" t="s">
        <v>5</v>
      </c>
      <c r="M160" s="6" t="s">
        <v>5</v>
      </c>
      <c r="N160" s="4">
        <v>12</v>
      </c>
      <c r="O160" s="5">
        <v>12</v>
      </c>
      <c r="P160" s="5" t="s">
        <v>5</v>
      </c>
      <c r="Q160" s="6" t="s">
        <v>5</v>
      </c>
      <c r="R160" s="6" t="s">
        <v>5</v>
      </c>
      <c r="S160" s="7">
        <v>1.06</v>
      </c>
      <c r="T160" s="5">
        <v>1.0625</v>
      </c>
      <c r="U160" s="8">
        <v>0.5625</v>
      </c>
      <c r="V160" s="7">
        <v>1.93</v>
      </c>
      <c r="W160" s="8">
        <v>1.9375</v>
      </c>
      <c r="X160" s="7">
        <v>1.93</v>
      </c>
      <c r="Y160" s="6" t="s">
        <v>5</v>
      </c>
      <c r="Z160" s="6" t="s">
        <v>5</v>
      </c>
      <c r="AA160" s="7">
        <v>3.11</v>
      </c>
      <c r="AB160" s="8">
        <v>3.1875</v>
      </c>
      <c r="AC160" s="8" t="s">
        <v>5</v>
      </c>
      <c r="AD160" s="6" t="s">
        <v>5</v>
      </c>
      <c r="AE160" s="7">
        <v>5.51</v>
      </c>
      <c r="AF160" s="6" t="s">
        <v>5</v>
      </c>
      <c r="AG160" s="6" t="s">
        <v>5</v>
      </c>
      <c r="AH160" s="7">
        <v>1.8</v>
      </c>
      <c r="AI160" s="7">
        <v>3.11</v>
      </c>
      <c r="AJ160" s="6" t="s">
        <v>5</v>
      </c>
      <c r="AK160" s="6" t="s">
        <v>5</v>
      </c>
      <c r="AL160" s="6" t="s">
        <v>5</v>
      </c>
      <c r="AM160" s="6" t="s">
        <v>5</v>
      </c>
      <c r="AN160" s="4">
        <v>19.100000000000001</v>
      </c>
      <c r="AO160" s="6">
        <v>1630</v>
      </c>
      <c r="AP160" s="6">
        <v>199</v>
      </c>
      <c r="AQ160" s="6">
        <v>111</v>
      </c>
      <c r="AR160" s="7">
        <v>6.14</v>
      </c>
      <c r="AS160" s="6">
        <v>281</v>
      </c>
      <c r="AT160" s="4">
        <v>75</v>
      </c>
      <c r="AU160" s="4">
        <v>46.7</v>
      </c>
      <c r="AV160" s="7">
        <v>2.5499999999999998</v>
      </c>
      <c r="AW160" s="6" t="s">
        <v>5</v>
      </c>
      <c r="AX160" s="6" t="s">
        <v>5</v>
      </c>
      <c r="AY160" s="6" t="s">
        <v>5</v>
      </c>
      <c r="AZ160" s="4">
        <v>38.200000000000003</v>
      </c>
      <c r="BA160" s="6">
        <v>322</v>
      </c>
      <c r="BB160" s="6" t="s">
        <v>5</v>
      </c>
      <c r="BC160" s="6" t="s">
        <v>5</v>
      </c>
      <c r="BD160" s="6" t="s">
        <v>5</v>
      </c>
      <c r="BE160" s="6" t="s">
        <v>5</v>
      </c>
      <c r="BF160" s="6" t="s">
        <v>5</v>
      </c>
      <c r="BG160" s="6" t="s">
        <v>5</v>
      </c>
      <c r="BH160" s="6" t="s">
        <v>5</v>
      </c>
      <c r="BI160" s="7">
        <v>8.06</v>
      </c>
      <c r="BJ160" s="22">
        <v>0.68100000000000005</v>
      </c>
      <c r="BK160" s="6" t="s">
        <v>5</v>
      </c>
      <c r="BL160" s="2" t="s">
        <v>5</v>
      </c>
      <c r="BM160" s="2" t="s">
        <v>5</v>
      </c>
      <c r="BN160" s="2" t="s">
        <v>5</v>
      </c>
      <c r="BO160" s="2" t="s">
        <v>5</v>
      </c>
      <c r="BP160" s="2" t="s">
        <v>5</v>
      </c>
      <c r="BQ160" s="2" t="s">
        <v>5</v>
      </c>
      <c r="BR160" s="2" t="s">
        <v>5</v>
      </c>
      <c r="BS160" s="2" t="s">
        <v>5</v>
      </c>
      <c r="BT160" s="2" t="s">
        <v>5</v>
      </c>
      <c r="BU160" s="2" t="s">
        <v>5</v>
      </c>
      <c r="BV160" s="2" t="s">
        <v>5</v>
      </c>
      <c r="BW160" s="2" t="s">
        <v>5</v>
      </c>
      <c r="BX160" s="2" t="s">
        <v>5</v>
      </c>
      <c r="BY160" s="25" t="s">
        <v>5</v>
      </c>
      <c r="BZ160" s="25" t="s">
        <v>5</v>
      </c>
      <c r="CA160" s="4">
        <v>51.4</v>
      </c>
      <c r="CB160" s="6" t="s">
        <v>5</v>
      </c>
      <c r="CC160" s="4">
        <v>63.4</v>
      </c>
      <c r="CD160" s="4">
        <v>52.400000000000006</v>
      </c>
      <c r="CE160" s="6">
        <v>64.400000000000006</v>
      </c>
      <c r="CF160" s="16" t="s">
        <v>5</v>
      </c>
      <c r="CG160" s="5">
        <v>7.5</v>
      </c>
      <c r="CH160" s="18" t="s">
        <v>5</v>
      </c>
      <c r="CV160" s="344" t="str">
        <f t="shared" si="18"/>
        <v>WT12X58.5</v>
      </c>
      <c r="CW160" s="337">
        <v>17.2</v>
      </c>
      <c r="DE160" s="335" t="str">
        <f t="shared" si="19"/>
        <v>2L3X3X1/4</v>
      </c>
      <c r="DF160" s="338">
        <v>2.88</v>
      </c>
      <c r="DH160" s="397" t="s">
        <v>1433</v>
      </c>
      <c r="DI160" s="398">
        <v>20.9</v>
      </c>
      <c r="DJ160" s="398">
        <v>18.5</v>
      </c>
      <c r="DK160" s="399">
        <v>0.495</v>
      </c>
      <c r="DL160" s="398">
        <v>32.4</v>
      </c>
      <c r="DM160" s="400">
        <v>4.71</v>
      </c>
      <c r="DN160" s="401">
        <v>146</v>
      </c>
      <c r="DO160" s="402">
        <v>127</v>
      </c>
      <c r="DP160" s="117"/>
      <c r="DQ160" s="428" t="s">
        <v>1397</v>
      </c>
      <c r="DR160" s="429">
        <v>283</v>
      </c>
      <c r="DS160" s="429">
        <v>3610</v>
      </c>
      <c r="DT160" s="431"/>
      <c r="DU160" s="431"/>
      <c r="DV160" s="431"/>
      <c r="DW160" s="431"/>
      <c r="DX160" s="432"/>
      <c r="DZ160" s="447" t="s">
        <v>1409</v>
      </c>
      <c r="EA160" s="448">
        <v>106</v>
      </c>
      <c r="EB160" s="448">
        <v>31.1</v>
      </c>
      <c r="EC160" s="448">
        <v>18.7</v>
      </c>
      <c r="ED160" s="448" t="s">
        <v>1794</v>
      </c>
      <c r="EE160" s="448">
        <v>0.59</v>
      </c>
      <c r="EF160" s="449">
        <v>45185</v>
      </c>
      <c r="EG160" s="449">
        <v>45062</v>
      </c>
      <c r="EH160" s="448">
        <v>11.2</v>
      </c>
      <c r="EI160" s="448" t="s">
        <v>1790</v>
      </c>
      <c r="EJ160" s="448">
        <v>0.94</v>
      </c>
      <c r="EK160" s="448" t="s">
        <v>1628</v>
      </c>
      <c r="EL160" s="448">
        <v>5.96</v>
      </c>
      <c r="EM160" s="448">
        <v>27.2</v>
      </c>
      <c r="EN160" s="448">
        <v>1910</v>
      </c>
      <c r="EO160" s="448">
        <v>204</v>
      </c>
      <c r="EP160" s="448">
        <v>7.84</v>
      </c>
      <c r="EQ160" s="448">
        <v>230</v>
      </c>
      <c r="ER160" s="448">
        <v>220</v>
      </c>
      <c r="ES160" s="448">
        <v>39.4</v>
      </c>
      <c r="ET160" s="448">
        <v>2.66</v>
      </c>
      <c r="EU160" s="450">
        <v>60.5</v>
      </c>
    </row>
    <row r="161" spans="2:151">
      <c r="B161" s="78" t="s">
        <v>145</v>
      </c>
      <c r="C161" s="79" t="s">
        <v>167</v>
      </c>
      <c r="D161" s="80" t="s">
        <v>167</v>
      </c>
      <c r="E161" s="1" t="s">
        <v>4</v>
      </c>
      <c r="F161" s="6">
        <v>139</v>
      </c>
      <c r="G161" s="4">
        <v>41</v>
      </c>
      <c r="H161" s="3" t="str">
        <f t="shared" si="16"/>
        <v>WT20X139</v>
      </c>
      <c r="I161" s="4">
        <v>20.100000000000001</v>
      </c>
      <c r="J161" s="5">
        <v>20.125</v>
      </c>
      <c r="K161" s="6" t="s">
        <v>5</v>
      </c>
      <c r="L161" s="6" t="s">
        <v>5</v>
      </c>
      <c r="M161" s="6" t="s">
        <v>5</v>
      </c>
      <c r="N161" s="4">
        <v>12</v>
      </c>
      <c r="O161" s="5">
        <v>12</v>
      </c>
      <c r="P161" s="5" t="s">
        <v>5</v>
      </c>
      <c r="Q161" s="6" t="s">
        <v>5</v>
      </c>
      <c r="R161" s="6" t="s">
        <v>5</v>
      </c>
      <c r="S161" s="7">
        <v>1.03</v>
      </c>
      <c r="T161" s="5">
        <v>1</v>
      </c>
      <c r="U161" s="8">
        <v>0.5</v>
      </c>
      <c r="V161" s="7">
        <v>1.81</v>
      </c>
      <c r="W161" s="8">
        <v>1.8125</v>
      </c>
      <c r="X161" s="7">
        <v>1.81</v>
      </c>
      <c r="Y161" s="6" t="s">
        <v>5</v>
      </c>
      <c r="Z161" s="6" t="s">
        <v>5</v>
      </c>
      <c r="AA161" s="7">
        <v>2.99</v>
      </c>
      <c r="AB161" s="8">
        <v>3.0625</v>
      </c>
      <c r="AC161" s="8" t="s">
        <v>5</v>
      </c>
      <c r="AD161" s="6" t="s">
        <v>5</v>
      </c>
      <c r="AE161" s="7">
        <v>5.51</v>
      </c>
      <c r="AF161" s="6" t="s">
        <v>5</v>
      </c>
      <c r="AG161" s="6" t="s">
        <v>5</v>
      </c>
      <c r="AH161" s="7">
        <v>1.71</v>
      </c>
      <c r="AI161" s="7">
        <v>3.31</v>
      </c>
      <c r="AJ161" s="6" t="s">
        <v>5</v>
      </c>
      <c r="AK161" s="6" t="s">
        <v>5</v>
      </c>
      <c r="AL161" s="6" t="s">
        <v>5</v>
      </c>
      <c r="AM161" s="6" t="s">
        <v>5</v>
      </c>
      <c r="AN161" s="4">
        <v>19.5</v>
      </c>
      <c r="AO161" s="6">
        <v>1550</v>
      </c>
      <c r="AP161" s="6">
        <v>191</v>
      </c>
      <c r="AQ161" s="6">
        <v>106</v>
      </c>
      <c r="AR161" s="7">
        <v>6.14</v>
      </c>
      <c r="AS161" s="6">
        <v>261</v>
      </c>
      <c r="AT161" s="4">
        <v>69.900000000000006</v>
      </c>
      <c r="AU161" s="4">
        <v>43.5</v>
      </c>
      <c r="AV161" s="7">
        <v>2.52</v>
      </c>
      <c r="AW161" s="6" t="s">
        <v>5</v>
      </c>
      <c r="AX161" s="6" t="s">
        <v>5</v>
      </c>
      <c r="AY161" s="6" t="s">
        <v>5</v>
      </c>
      <c r="AZ161" s="4">
        <v>32.4</v>
      </c>
      <c r="BA161" s="6">
        <v>282</v>
      </c>
      <c r="BB161" s="6" t="s">
        <v>5</v>
      </c>
      <c r="BC161" s="6" t="s">
        <v>5</v>
      </c>
      <c r="BD161" s="6" t="s">
        <v>5</v>
      </c>
      <c r="BE161" s="6" t="s">
        <v>5</v>
      </c>
      <c r="BF161" s="6" t="s">
        <v>5</v>
      </c>
      <c r="BG161" s="6" t="s">
        <v>5</v>
      </c>
      <c r="BH161" s="6" t="s">
        <v>5</v>
      </c>
      <c r="BI161" s="7">
        <v>8.08</v>
      </c>
      <c r="BJ161" s="22">
        <v>0.67500000000000004</v>
      </c>
      <c r="BK161" s="6" t="s">
        <v>5</v>
      </c>
      <c r="BL161" s="2" t="s">
        <v>5</v>
      </c>
      <c r="BM161" s="2" t="s">
        <v>5</v>
      </c>
      <c r="BN161" s="2" t="s">
        <v>5</v>
      </c>
      <c r="BO161" s="2" t="s">
        <v>5</v>
      </c>
      <c r="BP161" s="2" t="s">
        <v>5</v>
      </c>
      <c r="BQ161" s="2" t="s">
        <v>5</v>
      </c>
      <c r="BR161" s="2" t="s">
        <v>5</v>
      </c>
      <c r="BS161" s="2" t="s">
        <v>5</v>
      </c>
      <c r="BT161" s="2" t="s">
        <v>5</v>
      </c>
      <c r="BU161" s="2" t="s">
        <v>5</v>
      </c>
      <c r="BV161" s="2" t="s">
        <v>5</v>
      </c>
      <c r="BW161" s="2" t="s">
        <v>5</v>
      </c>
      <c r="BX161" s="2" t="s">
        <v>5</v>
      </c>
      <c r="BY161" s="25" t="s">
        <v>5</v>
      </c>
      <c r="BZ161" s="25" t="s">
        <v>5</v>
      </c>
      <c r="CA161" s="4">
        <v>51.2</v>
      </c>
      <c r="CB161" s="6" t="s">
        <v>5</v>
      </c>
      <c r="CC161" s="4">
        <v>63.2</v>
      </c>
      <c r="CD161" s="4">
        <v>52.2</v>
      </c>
      <c r="CE161" s="6">
        <v>64.2</v>
      </c>
      <c r="CF161" s="16" t="s">
        <v>5</v>
      </c>
      <c r="CG161" s="5">
        <v>7.5</v>
      </c>
      <c r="CH161" s="18" t="s">
        <v>5</v>
      </c>
      <c r="CV161" s="344" t="str">
        <f t="shared" si="18"/>
        <v>WT15X58</v>
      </c>
      <c r="CW161" s="337">
        <v>17.100000000000001</v>
      </c>
      <c r="DE161" s="335" t="str">
        <f t="shared" si="19"/>
        <v>2L3X3X1/4</v>
      </c>
      <c r="DF161" s="338">
        <v>2.88</v>
      </c>
      <c r="DH161" s="397" t="s">
        <v>1437</v>
      </c>
      <c r="DI161" s="398">
        <v>19.100000000000001</v>
      </c>
      <c r="DJ161" s="398">
        <v>18.399999999999999</v>
      </c>
      <c r="DK161" s="399">
        <v>0.45</v>
      </c>
      <c r="DL161" s="398">
        <v>35.700000000000003</v>
      </c>
      <c r="DM161" s="400">
        <v>5.0599999999999996</v>
      </c>
      <c r="DN161" s="401">
        <v>133</v>
      </c>
      <c r="DO161" s="402">
        <v>117</v>
      </c>
      <c r="DP161" s="117"/>
      <c r="DQ161" s="428" t="s">
        <v>1398</v>
      </c>
      <c r="DR161" s="429">
        <v>280</v>
      </c>
      <c r="DS161" s="429">
        <v>3000</v>
      </c>
      <c r="DT161" s="431"/>
      <c r="DU161" s="431"/>
      <c r="DV161" s="431"/>
      <c r="DW161" s="431"/>
      <c r="DX161" s="432"/>
      <c r="DZ161" s="447" t="s">
        <v>1414</v>
      </c>
      <c r="EA161" s="448">
        <v>97</v>
      </c>
      <c r="EB161" s="448">
        <v>28.5</v>
      </c>
      <c r="EC161" s="448">
        <v>18.600000000000001</v>
      </c>
      <c r="ED161" s="448" t="s">
        <v>1664</v>
      </c>
      <c r="EE161" s="448">
        <v>0.53500000000000003</v>
      </c>
      <c r="EF161" s="449">
        <v>45185</v>
      </c>
      <c r="EG161" s="449">
        <v>45062</v>
      </c>
      <c r="EH161" s="448">
        <v>11.1</v>
      </c>
      <c r="EI161" s="448" t="s">
        <v>1793</v>
      </c>
      <c r="EJ161" s="448">
        <v>0.87</v>
      </c>
      <c r="EK161" s="449">
        <v>45115</v>
      </c>
      <c r="EL161" s="448">
        <v>6.41</v>
      </c>
      <c r="EM161" s="448">
        <v>30</v>
      </c>
      <c r="EN161" s="448">
        <v>1750</v>
      </c>
      <c r="EO161" s="448">
        <v>188</v>
      </c>
      <c r="EP161" s="448">
        <v>7.82</v>
      </c>
      <c r="EQ161" s="448">
        <v>211</v>
      </c>
      <c r="ER161" s="448">
        <v>201</v>
      </c>
      <c r="ES161" s="448">
        <v>36.1</v>
      </c>
      <c r="ET161" s="448">
        <v>2.65</v>
      </c>
      <c r="EU161" s="450">
        <v>55.3</v>
      </c>
    </row>
    <row r="162" spans="2:151">
      <c r="B162" s="78" t="s">
        <v>145</v>
      </c>
      <c r="C162" s="79" t="s">
        <v>168</v>
      </c>
      <c r="D162" s="80" t="s">
        <v>168</v>
      </c>
      <c r="E162" s="1" t="s">
        <v>4</v>
      </c>
      <c r="F162" s="6">
        <v>132</v>
      </c>
      <c r="G162" s="4">
        <v>38.700000000000003</v>
      </c>
      <c r="H162" s="3" t="str">
        <f t="shared" si="16"/>
        <v>WT20X132</v>
      </c>
      <c r="I162" s="4">
        <v>20</v>
      </c>
      <c r="J162" s="5">
        <v>20</v>
      </c>
      <c r="K162" s="6" t="s">
        <v>5</v>
      </c>
      <c r="L162" s="6" t="s">
        <v>5</v>
      </c>
      <c r="M162" s="6" t="s">
        <v>5</v>
      </c>
      <c r="N162" s="4">
        <v>11.9</v>
      </c>
      <c r="O162" s="5">
        <v>11.875</v>
      </c>
      <c r="P162" s="5" t="s">
        <v>5</v>
      </c>
      <c r="Q162" s="6" t="s">
        <v>5</v>
      </c>
      <c r="R162" s="6" t="s">
        <v>5</v>
      </c>
      <c r="S162" s="22">
        <v>0.96</v>
      </c>
      <c r="T162" s="5">
        <v>0.9375</v>
      </c>
      <c r="U162" s="8">
        <v>0.5</v>
      </c>
      <c r="V162" s="7">
        <v>1.73</v>
      </c>
      <c r="W162" s="8">
        <v>1.75</v>
      </c>
      <c r="X162" s="7">
        <v>1.73</v>
      </c>
      <c r="Y162" s="6" t="s">
        <v>5</v>
      </c>
      <c r="Z162" s="6" t="s">
        <v>5</v>
      </c>
      <c r="AA162" s="7">
        <v>2.91</v>
      </c>
      <c r="AB162" s="8">
        <v>3</v>
      </c>
      <c r="AC162" s="8" t="s">
        <v>5</v>
      </c>
      <c r="AD162" s="6" t="s">
        <v>5</v>
      </c>
      <c r="AE162" s="7">
        <v>5.41</v>
      </c>
      <c r="AF162" s="6" t="s">
        <v>5</v>
      </c>
      <c r="AG162" s="6" t="s">
        <v>5</v>
      </c>
      <c r="AH162" s="7">
        <v>1.63</v>
      </c>
      <c r="AI162" s="7">
        <v>3.45</v>
      </c>
      <c r="AJ162" s="6" t="s">
        <v>5</v>
      </c>
      <c r="AK162" s="6" t="s">
        <v>5</v>
      </c>
      <c r="AL162" s="6" t="s">
        <v>5</v>
      </c>
      <c r="AM162" s="6" t="s">
        <v>5</v>
      </c>
      <c r="AN162" s="4">
        <v>20.8</v>
      </c>
      <c r="AO162" s="6">
        <v>1450</v>
      </c>
      <c r="AP162" s="6">
        <v>178</v>
      </c>
      <c r="AQ162" s="4">
        <v>99.2</v>
      </c>
      <c r="AR162" s="7">
        <v>6.11</v>
      </c>
      <c r="AS162" s="6">
        <v>246</v>
      </c>
      <c r="AT162" s="4">
        <v>66</v>
      </c>
      <c r="AU162" s="4">
        <v>41.3</v>
      </c>
      <c r="AV162" s="7">
        <v>2.52</v>
      </c>
      <c r="AW162" s="6" t="s">
        <v>5</v>
      </c>
      <c r="AX162" s="6" t="s">
        <v>5</v>
      </c>
      <c r="AY162" s="6" t="s">
        <v>5</v>
      </c>
      <c r="AZ162" s="4">
        <v>27.9</v>
      </c>
      <c r="BA162" s="6">
        <v>233</v>
      </c>
      <c r="BB162" s="6" t="s">
        <v>5</v>
      </c>
      <c r="BC162" s="6" t="s">
        <v>5</v>
      </c>
      <c r="BD162" s="6" t="s">
        <v>5</v>
      </c>
      <c r="BE162" s="6" t="s">
        <v>5</v>
      </c>
      <c r="BF162" s="6" t="s">
        <v>5</v>
      </c>
      <c r="BG162" s="6" t="s">
        <v>5</v>
      </c>
      <c r="BH162" s="6" t="s">
        <v>5</v>
      </c>
      <c r="BI162" s="7">
        <v>8.02</v>
      </c>
      <c r="BJ162" s="22">
        <v>0.67900000000000005</v>
      </c>
      <c r="BK162" s="6" t="s">
        <v>5</v>
      </c>
      <c r="BL162" s="2" t="s">
        <v>5</v>
      </c>
      <c r="BM162" s="2" t="s">
        <v>5</v>
      </c>
      <c r="BN162" s="2" t="s">
        <v>5</v>
      </c>
      <c r="BO162" s="2" t="s">
        <v>5</v>
      </c>
      <c r="BP162" s="2" t="s">
        <v>5</v>
      </c>
      <c r="BQ162" s="2" t="s">
        <v>5</v>
      </c>
      <c r="BR162" s="2" t="s">
        <v>5</v>
      </c>
      <c r="BS162" s="2" t="s">
        <v>5</v>
      </c>
      <c r="BT162" s="2" t="s">
        <v>5</v>
      </c>
      <c r="BU162" s="2" t="s">
        <v>5</v>
      </c>
      <c r="BV162" s="2" t="s">
        <v>5</v>
      </c>
      <c r="BW162" s="2" t="s">
        <v>5</v>
      </c>
      <c r="BX162" s="2" t="s">
        <v>5</v>
      </c>
      <c r="BY162" s="25" t="s">
        <v>5</v>
      </c>
      <c r="BZ162" s="25" t="s">
        <v>5</v>
      </c>
      <c r="CA162" s="4">
        <v>50.9</v>
      </c>
      <c r="CB162" s="6" t="s">
        <v>5</v>
      </c>
      <c r="CC162" s="4">
        <v>62.8</v>
      </c>
      <c r="CD162" s="4">
        <v>51.9</v>
      </c>
      <c r="CE162" s="6">
        <v>63.8</v>
      </c>
      <c r="CF162" s="16" t="s">
        <v>5</v>
      </c>
      <c r="CG162" s="5">
        <v>7.5</v>
      </c>
      <c r="CH162" s="18" t="s">
        <v>5</v>
      </c>
      <c r="CV162" s="344" t="str">
        <f t="shared" si="18"/>
        <v>WT13.5X57</v>
      </c>
      <c r="CW162" s="337">
        <v>16.8</v>
      </c>
      <c r="DE162" s="335" t="str">
        <f t="shared" si="19"/>
        <v>2L2X2X3/8</v>
      </c>
      <c r="DF162" s="338">
        <v>2.74</v>
      </c>
      <c r="DH162" s="397" t="s">
        <v>1443</v>
      </c>
      <c r="DI162" s="398">
        <v>17.600000000000001</v>
      </c>
      <c r="DJ162" s="398">
        <v>18.2</v>
      </c>
      <c r="DK162" s="399">
        <v>0.41499999999999998</v>
      </c>
      <c r="DL162" s="398">
        <v>38.700000000000003</v>
      </c>
      <c r="DM162" s="400">
        <v>5.44</v>
      </c>
      <c r="DN162" s="401">
        <v>123</v>
      </c>
      <c r="DO162" s="402">
        <v>108</v>
      </c>
      <c r="DP162" s="117"/>
      <c r="DQ162" s="428" t="s">
        <v>1399</v>
      </c>
      <c r="DR162" s="429">
        <v>279</v>
      </c>
      <c r="DS162" s="429">
        <v>2670</v>
      </c>
      <c r="DT162" s="431"/>
      <c r="DU162" s="431"/>
      <c r="DV162" s="431"/>
      <c r="DW162" s="431"/>
      <c r="DX162" s="432"/>
      <c r="DZ162" s="447" t="s">
        <v>1419</v>
      </c>
      <c r="EA162" s="448">
        <v>86</v>
      </c>
      <c r="EB162" s="448">
        <v>25.3</v>
      </c>
      <c r="EC162" s="448">
        <v>18.399999999999999</v>
      </c>
      <c r="ED162" s="448" t="s">
        <v>1795</v>
      </c>
      <c r="EE162" s="448">
        <v>0.48</v>
      </c>
      <c r="EF162" s="449">
        <v>44928</v>
      </c>
      <c r="EG162" s="449">
        <v>44930</v>
      </c>
      <c r="EH162" s="448">
        <v>11.1</v>
      </c>
      <c r="EI162" s="448" t="s">
        <v>1793</v>
      </c>
      <c r="EJ162" s="448">
        <v>0.77</v>
      </c>
      <c r="EK162" s="449">
        <v>44989</v>
      </c>
      <c r="EL162" s="448">
        <v>7.2</v>
      </c>
      <c r="EM162" s="448">
        <v>33.4</v>
      </c>
      <c r="EN162" s="448">
        <v>1530</v>
      </c>
      <c r="EO162" s="448">
        <v>166</v>
      </c>
      <c r="EP162" s="448">
        <v>7.77</v>
      </c>
      <c r="EQ162" s="448">
        <v>186</v>
      </c>
      <c r="ER162" s="448">
        <v>175</v>
      </c>
      <c r="ES162" s="448">
        <v>31.6</v>
      </c>
      <c r="ET162" s="448">
        <v>2.63</v>
      </c>
      <c r="EU162" s="450">
        <v>48.4</v>
      </c>
    </row>
    <row r="163" spans="2:151">
      <c r="B163" s="78" t="s">
        <v>145</v>
      </c>
      <c r="C163" s="79" t="s">
        <v>169</v>
      </c>
      <c r="D163" s="80" t="s">
        <v>169</v>
      </c>
      <c r="E163" s="1" t="s">
        <v>4</v>
      </c>
      <c r="F163" s="6">
        <v>117.5</v>
      </c>
      <c r="G163" s="4">
        <v>34.6</v>
      </c>
      <c r="H163" s="3" t="str">
        <f t="shared" si="16"/>
        <v>WT20X117.5</v>
      </c>
      <c r="I163" s="4">
        <v>19.8</v>
      </c>
      <c r="J163" s="5">
        <v>19.875</v>
      </c>
      <c r="K163" s="6" t="s">
        <v>5</v>
      </c>
      <c r="L163" s="6" t="s">
        <v>5</v>
      </c>
      <c r="M163" s="6" t="s">
        <v>5</v>
      </c>
      <c r="N163" s="4">
        <v>11.9</v>
      </c>
      <c r="O163" s="5">
        <v>11.875</v>
      </c>
      <c r="P163" s="5" t="s">
        <v>5</v>
      </c>
      <c r="Q163" s="6" t="s">
        <v>5</v>
      </c>
      <c r="R163" s="6" t="s">
        <v>5</v>
      </c>
      <c r="S163" s="22">
        <v>0.83</v>
      </c>
      <c r="T163" s="5">
        <v>0.8125</v>
      </c>
      <c r="U163" s="8">
        <v>0.4375</v>
      </c>
      <c r="V163" s="7">
        <v>1.58</v>
      </c>
      <c r="W163" s="8">
        <v>1.5625</v>
      </c>
      <c r="X163" s="7">
        <v>1.58</v>
      </c>
      <c r="Y163" s="6" t="s">
        <v>5</v>
      </c>
      <c r="Z163" s="6" t="s">
        <v>5</v>
      </c>
      <c r="AA163" s="7">
        <v>2.76</v>
      </c>
      <c r="AB163" s="8">
        <v>2.875</v>
      </c>
      <c r="AC163" s="8" t="s">
        <v>5</v>
      </c>
      <c r="AD163" s="6" t="s">
        <v>5</v>
      </c>
      <c r="AE163" s="7">
        <v>5.17</v>
      </c>
      <c r="AF163" s="6" t="s">
        <v>5</v>
      </c>
      <c r="AG163" s="6" t="s">
        <v>5</v>
      </c>
      <c r="AH163" s="7">
        <v>1.45</v>
      </c>
      <c r="AI163" s="7">
        <v>3.77</v>
      </c>
      <c r="AJ163" s="6" t="s">
        <v>5</v>
      </c>
      <c r="AK163" s="6" t="s">
        <v>5</v>
      </c>
      <c r="AL163" s="6" t="s">
        <v>5</v>
      </c>
      <c r="AM163" s="6" t="s">
        <v>5</v>
      </c>
      <c r="AN163" s="4">
        <v>23.9</v>
      </c>
      <c r="AO163" s="6">
        <v>1260</v>
      </c>
      <c r="AP163" s="6">
        <v>153</v>
      </c>
      <c r="AQ163" s="4">
        <v>85.7</v>
      </c>
      <c r="AR163" s="7">
        <v>6.04</v>
      </c>
      <c r="AS163" s="6">
        <v>222</v>
      </c>
      <c r="AT163" s="4">
        <v>59</v>
      </c>
      <c r="AU163" s="4">
        <v>37.299999999999997</v>
      </c>
      <c r="AV163" s="7">
        <v>2.54</v>
      </c>
      <c r="AW163" s="6" t="s">
        <v>5</v>
      </c>
      <c r="AX163" s="6" t="s">
        <v>5</v>
      </c>
      <c r="AY163" s="6" t="s">
        <v>5</v>
      </c>
      <c r="AZ163" s="4">
        <v>20.6</v>
      </c>
      <c r="BA163" s="6">
        <v>156</v>
      </c>
      <c r="BB163" s="6" t="s">
        <v>5</v>
      </c>
      <c r="BC163" s="6" t="s">
        <v>5</v>
      </c>
      <c r="BD163" s="6" t="s">
        <v>5</v>
      </c>
      <c r="BE163" s="6" t="s">
        <v>5</v>
      </c>
      <c r="BF163" s="6" t="s">
        <v>5</v>
      </c>
      <c r="BG163" s="6" t="s">
        <v>5</v>
      </c>
      <c r="BH163" s="6" t="s">
        <v>5</v>
      </c>
      <c r="BI163" s="7">
        <v>7.88</v>
      </c>
      <c r="BJ163" s="22">
        <v>0.69099999999999995</v>
      </c>
      <c r="BK163" s="6" t="s">
        <v>5</v>
      </c>
      <c r="BL163" s="2" t="s">
        <v>5</v>
      </c>
      <c r="BM163" s="2" t="s">
        <v>5</v>
      </c>
      <c r="BN163" s="2" t="s">
        <v>5</v>
      </c>
      <c r="BO163" s="2" t="s">
        <v>5</v>
      </c>
      <c r="BP163" s="2" t="s">
        <v>5</v>
      </c>
      <c r="BQ163" s="2" t="s">
        <v>5</v>
      </c>
      <c r="BR163" s="2" t="s">
        <v>5</v>
      </c>
      <c r="BS163" s="2" t="s">
        <v>5</v>
      </c>
      <c r="BT163" s="2" t="s">
        <v>5</v>
      </c>
      <c r="BU163" s="2" t="s">
        <v>5</v>
      </c>
      <c r="BV163" s="2" t="s">
        <v>5</v>
      </c>
      <c r="BW163" s="2" t="s">
        <v>5</v>
      </c>
      <c r="BX163" s="2" t="s">
        <v>5</v>
      </c>
      <c r="BY163" s="25" t="s">
        <v>5</v>
      </c>
      <c r="BZ163" s="25" t="s">
        <v>5</v>
      </c>
      <c r="CA163" s="4">
        <v>50.5</v>
      </c>
      <c r="CB163" s="6" t="s">
        <v>5</v>
      </c>
      <c r="CC163" s="4">
        <v>62.4</v>
      </c>
      <c r="CD163" s="4">
        <v>51.500000000000007</v>
      </c>
      <c r="CE163" s="6">
        <v>63.400000000000006</v>
      </c>
      <c r="CF163" s="16" t="s">
        <v>5</v>
      </c>
      <c r="CG163" s="5">
        <v>7.5</v>
      </c>
      <c r="CH163" s="18" t="s">
        <v>5</v>
      </c>
      <c r="CV163" s="344" t="str">
        <f t="shared" si="18"/>
        <v>WT5X56</v>
      </c>
      <c r="CW163" s="337">
        <v>16.5</v>
      </c>
      <c r="DE163" s="335" t="str">
        <f t="shared" si="19"/>
        <v>2L2X2X3/8</v>
      </c>
      <c r="DF163" s="338">
        <v>2.74</v>
      </c>
      <c r="DH163" s="397" t="s">
        <v>1518</v>
      </c>
      <c r="DI163" s="398">
        <v>16.2</v>
      </c>
      <c r="DJ163" s="398">
        <v>18.100000000000001</v>
      </c>
      <c r="DK163" s="399">
        <v>0.39</v>
      </c>
      <c r="DL163" s="398">
        <v>41.1</v>
      </c>
      <c r="DM163" s="400">
        <v>5.98</v>
      </c>
      <c r="DN163" s="401">
        <v>112</v>
      </c>
      <c r="DO163" s="411">
        <v>98.3</v>
      </c>
      <c r="DP163" s="115"/>
      <c r="DQ163" s="428" t="s">
        <v>1400</v>
      </c>
      <c r="DR163" s="429">
        <v>278</v>
      </c>
      <c r="DS163" s="429">
        <v>3270</v>
      </c>
      <c r="DT163" s="431"/>
      <c r="DU163" s="431"/>
      <c r="DV163" s="431"/>
      <c r="DW163" s="431"/>
      <c r="DX163" s="432"/>
      <c r="DZ163" s="447" t="s">
        <v>1426</v>
      </c>
      <c r="EA163" s="448">
        <v>76</v>
      </c>
      <c r="EB163" s="448">
        <v>22.3</v>
      </c>
      <c r="EC163" s="448">
        <v>18.2</v>
      </c>
      <c r="ED163" s="448" t="s">
        <v>1666</v>
      </c>
      <c r="EE163" s="448">
        <v>0.42499999999999999</v>
      </c>
      <c r="EF163" s="449">
        <v>45123</v>
      </c>
      <c r="EG163" s="449">
        <v>44930</v>
      </c>
      <c r="EH163" s="448">
        <v>11</v>
      </c>
      <c r="EI163" s="448">
        <v>11</v>
      </c>
      <c r="EJ163" s="448">
        <v>0.68</v>
      </c>
      <c r="EK163" s="449">
        <v>45246</v>
      </c>
      <c r="EL163" s="448">
        <v>8.11</v>
      </c>
      <c r="EM163" s="448">
        <v>37.799999999999997</v>
      </c>
      <c r="EN163" s="448">
        <v>1330</v>
      </c>
      <c r="EO163" s="448">
        <v>146</v>
      </c>
      <c r="EP163" s="448">
        <v>7.73</v>
      </c>
      <c r="EQ163" s="448">
        <v>163</v>
      </c>
      <c r="ER163" s="448">
        <v>152</v>
      </c>
      <c r="ES163" s="448">
        <v>27.6</v>
      </c>
      <c r="ET163" s="448">
        <v>2.61</v>
      </c>
      <c r="EU163" s="450">
        <v>42.2</v>
      </c>
    </row>
    <row r="164" spans="2:151">
      <c r="B164" s="78" t="s">
        <v>145</v>
      </c>
      <c r="C164" s="79" t="s">
        <v>170</v>
      </c>
      <c r="D164" s="80" t="s">
        <v>170</v>
      </c>
      <c r="E164" s="1" t="s">
        <v>4</v>
      </c>
      <c r="F164" s="6">
        <v>105.5</v>
      </c>
      <c r="G164" s="4">
        <v>31.1</v>
      </c>
      <c r="H164" s="3" t="str">
        <f t="shared" si="16"/>
        <v>WT20X105.5</v>
      </c>
      <c r="I164" s="4">
        <v>19.7</v>
      </c>
      <c r="J164" s="5">
        <v>19.625</v>
      </c>
      <c r="K164" s="6" t="s">
        <v>5</v>
      </c>
      <c r="L164" s="6" t="s">
        <v>5</v>
      </c>
      <c r="M164" s="6" t="s">
        <v>5</v>
      </c>
      <c r="N164" s="4">
        <v>11.8</v>
      </c>
      <c r="O164" s="5">
        <v>11.75</v>
      </c>
      <c r="P164" s="5" t="s">
        <v>5</v>
      </c>
      <c r="Q164" s="6" t="s">
        <v>5</v>
      </c>
      <c r="R164" s="6" t="s">
        <v>5</v>
      </c>
      <c r="S164" s="22">
        <v>0.75</v>
      </c>
      <c r="T164" s="5">
        <v>0.75</v>
      </c>
      <c r="U164" s="8">
        <v>0.375</v>
      </c>
      <c r="V164" s="7">
        <v>1.42</v>
      </c>
      <c r="W164" s="8">
        <v>1.4375</v>
      </c>
      <c r="X164" s="7">
        <v>1.42</v>
      </c>
      <c r="Y164" s="6" t="s">
        <v>5</v>
      </c>
      <c r="Z164" s="6" t="s">
        <v>5</v>
      </c>
      <c r="AA164" s="7">
        <v>2.6</v>
      </c>
      <c r="AB164" s="8">
        <v>2.6875</v>
      </c>
      <c r="AC164" s="8" t="s">
        <v>5</v>
      </c>
      <c r="AD164" s="6" t="s">
        <v>5</v>
      </c>
      <c r="AE164" s="7">
        <v>5.08</v>
      </c>
      <c r="AF164" s="6" t="s">
        <v>5</v>
      </c>
      <c r="AG164" s="6" t="s">
        <v>5</v>
      </c>
      <c r="AH164" s="7">
        <v>1.31</v>
      </c>
      <c r="AI164" s="7">
        <v>4.17</v>
      </c>
      <c r="AJ164" s="6" t="s">
        <v>5</v>
      </c>
      <c r="AK164" s="6" t="s">
        <v>5</v>
      </c>
      <c r="AL164" s="6" t="s">
        <v>5</v>
      </c>
      <c r="AM164" s="6" t="s">
        <v>5</v>
      </c>
      <c r="AN164" s="4">
        <v>26.3</v>
      </c>
      <c r="AO164" s="6">
        <v>1120</v>
      </c>
      <c r="AP164" s="6">
        <v>137</v>
      </c>
      <c r="AQ164" s="4">
        <v>76.7</v>
      </c>
      <c r="AR164" s="7">
        <v>6.01</v>
      </c>
      <c r="AS164" s="6">
        <v>195</v>
      </c>
      <c r="AT164" s="4">
        <v>52.1</v>
      </c>
      <c r="AU164" s="4">
        <v>33</v>
      </c>
      <c r="AV164" s="7">
        <v>2.5099999999999998</v>
      </c>
      <c r="AW164" s="6" t="s">
        <v>5</v>
      </c>
      <c r="AX164" s="6" t="s">
        <v>5</v>
      </c>
      <c r="AY164" s="6" t="s">
        <v>5</v>
      </c>
      <c r="AZ164" s="4">
        <v>15.2</v>
      </c>
      <c r="BA164" s="6">
        <v>113</v>
      </c>
      <c r="BB164" s="6" t="s">
        <v>5</v>
      </c>
      <c r="BC164" s="6" t="s">
        <v>5</v>
      </c>
      <c r="BD164" s="6" t="s">
        <v>5</v>
      </c>
      <c r="BE164" s="6" t="s">
        <v>5</v>
      </c>
      <c r="BF164" s="6" t="s">
        <v>5</v>
      </c>
      <c r="BG164" s="6" t="s">
        <v>5</v>
      </c>
      <c r="BH164" s="6" t="s">
        <v>5</v>
      </c>
      <c r="BI164" s="7">
        <v>7.84</v>
      </c>
      <c r="BJ164" s="22">
        <v>0.69</v>
      </c>
      <c r="BK164" s="6" t="s">
        <v>5</v>
      </c>
      <c r="BL164" s="2" t="s">
        <v>5</v>
      </c>
      <c r="BM164" s="2" t="s">
        <v>5</v>
      </c>
      <c r="BN164" s="2" t="s">
        <v>5</v>
      </c>
      <c r="BO164" s="2" t="s">
        <v>5</v>
      </c>
      <c r="BP164" s="2" t="s">
        <v>5</v>
      </c>
      <c r="BQ164" s="2" t="s">
        <v>5</v>
      </c>
      <c r="BR164" s="2" t="s">
        <v>5</v>
      </c>
      <c r="BS164" s="2" t="s">
        <v>5</v>
      </c>
      <c r="BT164" s="2" t="s">
        <v>5</v>
      </c>
      <c r="BU164" s="2" t="s">
        <v>5</v>
      </c>
      <c r="BV164" s="2" t="s">
        <v>5</v>
      </c>
      <c r="BW164" s="2" t="s">
        <v>5</v>
      </c>
      <c r="BX164" s="2" t="s">
        <v>5</v>
      </c>
      <c r="BY164" s="25" t="s">
        <v>5</v>
      </c>
      <c r="BZ164" s="25" t="s">
        <v>5</v>
      </c>
      <c r="CA164" s="4">
        <v>50.2</v>
      </c>
      <c r="CB164" s="6" t="s">
        <v>5</v>
      </c>
      <c r="CC164" s="4">
        <v>62</v>
      </c>
      <c r="CD164" s="4">
        <v>51.2</v>
      </c>
      <c r="CE164" s="4">
        <v>63</v>
      </c>
      <c r="CF164" s="16" t="s">
        <v>5</v>
      </c>
      <c r="CG164" s="5">
        <v>7.5</v>
      </c>
      <c r="CH164" s="18" t="s">
        <v>5</v>
      </c>
      <c r="CV164" s="344" t="str">
        <f t="shared" si="18"/>
        <v>WT10.5X55.5</v>
      </c>
      <c r="CW164" s="337">
        <v>16.3</v>
      </c>
      <c r="DE164" s="335" t="str">
        <f t="shared" si="19"/>
        <v>2L2X2X3/8</v>
      </c>
      <c r="DF164" s="338">
        <v>2.74</v>
      </c>
      <c r="DH164" s="397" t="s">
        <v>1451</v>
      </c>
      <c r="DI164" s="398">
        <v>14.7</v>
      </c>
      <c r="DJ164" s="398">
        <v>18</v>
      </c>
      <c r="DK164" s="399">
        <v>0.35499999999999998</v>
      </c>
      <c r="DL164" s="398">
        <v>45.2</v>
      </c>
      <c r="DM164" s="400">
        <v>6.57</v>
      </c>
      <c r="DN164" s="401">
        <v>101</v>
      </c>
      <c r="DO164" s="411">
        <v>88.9</v>
      </c>
      <c r="DP164" s="115"/>
      <c r="DQ164" s="428" t="s">
        <v>1401</v>
      </c>
      <c r="DR164" s="429">
        <v>275</v>
      </c>
      <c r="DS164" s="429">
        <v>1650</v>
      </c>
      <c r="DT164" s="431"/>
      <c r="DU164" s="431"/>
      <c r="DV164" s="431"/>
      <c r="DW164" s="431"/>
      <c r="DX164" s="432"/>
      <c r="DZ164" s="447" t="s">
        <v>1433</v>
      </c>
      <c r="EA164" s="448">
        <v>71</v>
      </c>
      <c r="EB164" s="448">
        <v>20.9</v>
      </c>
      <c r="EC164" s="448">
        <v>18.5</v>
      </c>
      <c r="ED164" s="448" t="s">
        <v>1796</v>
      </c>
      <c r="EE164" s="448">
        <v>0.495</v>
      </c>
      <c r="EF164" s="449">
        <v>44928</v>
      </c>
      <c r="EG164" s="449">
        <v>44930</v>
      </c>
      <c r="EH164" s="448">
        <v>7.64</v>
      </c>
      <c r="EI164" s="448" t="s">
        <v>1797</v>
      </c>
      <c r="EJ164" s="448">
        <v>0.81</v>
      </c>
      <c r="EK164" s="448" t="s">
        <v>1620</v>
      </c>
      <c r="EL164" s="448">
        <v>4.71</v>
      </c>
      <c r="EM164" s="448">
        <v>32.4</v>
      </c>
      <c r="EN164" s="448">
        <v>1170</v>
      </c>
      <c r="EO164" s="448">
        <v>127</v>
      </c>
      <c r="EP164" s="448">
        <v>7.5</v>
      </c>
      <c r="EQ164" s="448">
        <v>146</v>
      </c>
      <c r="ER164" s="448">
        <v>60.3</v>
      </c>
      <c r="ES164" s="448">
        <v>15.8</v>
      </c>
      <c r="ET164" s="448">
        <v>1.7</v>
      </c>
      <c r="EU164" s="450">
        <v>24.7</v>
      </c>
    </row>
    <row r="165" spans="2:151">
      <c r="B165" s="78" t="s">
        <v>145</v>
      </c>
      <c r="C165" s="79" t="s">
        <v>171</v>
      </c>
      <c r="D165" s="80" t="s">
        <v>171</v>
      </c>
      <c r="E165" s="1" t="s">
        <v>4</v>
      </c>
      <c r="F165" s="4">
        <v>91.5</v>
      </c>
      <c r="G165" s="4">
        <v>26.7</v>
      </c>
      <c r="H165" s="3" t="str">
        <f t="shared" si="16"/>
        <v>WT20X91.5</v>
      </c>
      <c r="I165" s="4">
        <v>19.5</v>
      </c>
      <c r="J165" s="5">
        <v>19.5</v>
      </c>
      <c r="K165" s="6" t="s">
        <v>5</v>
      </c>
      <c r="L165" s="6" t="s">
        <v>5</v>
      </c>
      <c r="M165" s="6" t="s">
        <v>5</v>
      </c>
      <c r="N165" s="4">
        <v>11.8</v>
      </c>
      <c r="O165" s="5">
        <v>11.75</v>
      </c>
      <c r="P165" s="5" t="s">
        <v>5</v>
      </c>
      <c r="Q165" s="6" t="s">
        <v>5</v>
      </c>
      <c r="R165" s="6" t="s">
        <v>5</v>
      </c>
      <c r="S165" s="22">
        <v>0.65</v>
      </c>
      <c r="T165" s="5">
        <v>0.625</v>
      </c>
      <c r="U165" s="8">
        <v>0.3125</v>
      </c>
      <c r="V165" s="7">
        <v>1.2</v>
      </c>
      <c r="W165" s="8">
        <v>1.1875</v>
      </c>
      <c r="X165" s="7">
        <v>1.2</v>
      </c>
      <c r="Y165" s="6" t="s">
        <v>5</v>
      </c>
      <c r="Z165" s="6" t="s">
        <v>5</v>
      </c>
      <c r="AA165" s="7">
        <v>2.38</v>
      </c>
      <c r="AB165" s="8">
        <v>2.5</v>
      </c>
      <c r="AC165" s="8" t="s">
        <v>5</v>
      </c>
      <c r="AD165" s="6" t="s">
        <v>5</v>
      </c>
      <c r="AE165" s="7">
        <v>4.97</v>
      </c>
      <c r="AF165" s="6" t="s">
        <v>5</v>
      </c>
      <c r="AG165" s="6" t="s">
        <v>5</v>
      </c>
      <c r="AH165" s="7">
        <v>1.1299999999999999</v>
      </c>
      <c r="AI165" s="7">
        <v>4.92</v>
      </c>
      <c r="AJ165" s="6" t="s">
        <v>5</v>
      </c>
      <c r="AK165" s="6" t="s">
        <v>5</v>
      </c>
      <c r="AL165" s="6" t="s">
        <v>5</v>
      </c>
      <c r="AM165" s="6" t="s">
        <v>5</v>
      </c>
      <c r="AN165" s="4">
        <v>30</v>
      </c>
      <c r="AO165" s="6">
        <v>955</v>
      </c>
      <c r="AP165" s="6">
        <v>117</v>
      </c>
      <c r="AQ165" s="4">
        <v>65.7</v>
      </c>
      <c r="AR165" s="7">
        <v>5.98</v>
      </c>
      <c r="AS165" s="6">
        <v>165</v>
      </c>
      <c r="AT165" s="4">
        <v>44</v>
      </c>
      <c r="AU165" s="4">
        <v>28</v>
      </c>
      <c r="AV165" s="7">
        <v>2.4900000000000002</v>
      </c>
      <c r="AW165" s="6" t="s">
        <v>5</v>
      </c>
      <c r="AX165" s="6" t="s">
        <v>5</v>
      </c>
      <c r="AY165" s="6" t="s">
        <v>5</v>
      </c>
      <c r="AZ165" s="7">
        <v>9.65</v>
      </c>
      <c r="BA165" s="4">
        <v>71.2</v>
      </c>
      <c r="BB165" s="6" t="s">
        <v>5</v>
      </c>
      <c r="BC165" s="6" t="s">
        <v>5</v>
      </c>
      <c r="BD165" s="6" t="s">
        <v>5</v>
      </c>
      <c r="BE165" s="6" t="s">
        <v>5</v>
      </c>
      <c r="BF165" s="6" t="s">
        <v>5</v>
      </c>
      <c r="BG165" s="6" t="s">
        <v>5</v>
      </c>
      <c r="BH165" s="6" t="s">
        <v>5</v>
      </c>
      <c r="BI165" s="7">
        <v>7.81</v>
      </c>
      <c r="BJ165" s="22">
        <v>0.68799999999999994</v>
      </c>
      <c r="BK165" s="6" t="s">
        <v>5</v>
      </c>
      <c r="BL165" s="2" t="s">
        <v>5</v>
      </c>
      <c r="BM165" s="2" t="s">
        <v>5</v>
      </c>
      <c r="BN165" s="2" t="s">
        <v>5</v>
      </c>
      <c r="BO165" s="2" t="s">
        <v>5</v>
      </c>
      <c r="BP165" s="2" t="s">
        <v>5</v>
      </c>
      <c r="BQ165" s="2" t="s">
        <v>5</v>
      </c>
      <c r="BR165" s="2" t="s">
        <v>5</v>
      </c>
      <c r="BS165" s="2" t="s">
        <v>5</v>
      </c>
      <c r="BT165" s="2" t="s">
        <v>5</v>
      </c>
      <c r="BU165" s="2" t="s">
        <v>5</v>
      </c>
      <c r="BV165" s="2" t="s">
        <v>5</v>
      </c>
      <c r="BW165" s="2" t="s">
        <v>5</v>
      </c>
      <c r="BX165" s="2" t="s">
        <v>5</v>
      </c>
      <c r="BY165" s="25" t="s">
        <v>5</v>
      </c>
      <c r="BZ165" s="25" t="s">
        <v>5</v>
      </c>
      <c r="CA165" s="4">
        <v>49.8</v>
      </c>
      <c r="CB165" s="6" t="s">
        <v>5</v>
      </c>
      <c r="CC165" s="4">
        <v>61.6</v>
      </c>
      <c r="CD165" s="4">
        <v>50.8</v>
      </c>
      <c r="CE165" s="6">
        <v>62.6</v>
      </c>
      <c r="CF165" s="16" t="s">
        <v>5</v>
      </c>
      <c r="CG165" s="5">
        <v>7.5</v>
      </c>
      <c r="CH165" s="18" t="s">
        <v>5</v>
      </c>
      <c r="CV165" s="344" t="str">
        <f t="shared" si="18"/>
        <v>WT7X54.5</v>
      </c>
      <c r="CW165" s="337">
        <v>16</v>
      </c>
      <c r="DE165" s="335" t="str">
        <f t="shared" si="19"/>
        <v>2L2-1/2X2-1/2X1/4</v>
      </c>
      <c r="DF165" s="338">
        <v>2.38</v>
      </c>
      <c r="DH165" s="397" t="s">
        <v>1456</v>
      </c>
      <c r="DI165" s="398">
        <v>13.5</v>
      </c>
      <c r="DJ165" s="398">
        <v>18.100000000000001</v>
      </c>
      <c r="DK165" s="399">
        <v>0.36</v>
      </c>
      <c r="DL165" s="398">
        <v>44.6</v>
      </c>
      <c r="DM165" s="400">
        <v>5.01</v>
      </c>
      <c r="DN165" s="398">
        <v>90.7</v>
      </c>
      <c r="DO165" s="411">
        <v>78.8</v>
      </c>
      <c r="DP165" s="115"/>
      <c r="DQ165" s="428" t="s">
        <v>1402</v>
      </c>
      <c r="DR165" s="429">
        <v>262</v>
      </c>
      <c r="DS165" s="429">
        <v>2190</v>
      </c>
      <c r="DT165" s="431"/>
      <c r="DU165" s="431"/>
      <c r="DV165" s="431"/>
      <c r="DW165" s="431"/>
      <c r="DX165" s="432"/>
      <c r="DZ165" s="447" t="s">
        <v>1437</v>
      </c>
      <c r="EA165" s="448">
        <v>65</v>
      </c>
      <c r="EB165" s="448">
        <v>19.100000000000001</v>
      </c>
      <c r="EC165" s="448">
        <v>18.399999999999999</v>
      </c>
      <c r="ED165" s="448" t="s">
        <v>1795</v>
      </c>
      <c r="EE165" s="448">
        <v>0.45</v>
      </c>
      <c r="EF165" s="449">
        <v>45123</v>
      </c>
      <c r="EG165" s="449">
        <v>44930</v>
      </c>
      <c r="EH165" s="448">
        <v>7.59</v>
      </c>
      <c r="EI165" s="448" t="s">
        <v>1797</v>
      </c>
      <c r="EJ165" s="448">
        <v>0.75</v>
      </c>
      <c r="EK165" s="449">
        <v>44989</v>
      </c>
      <c r="EL165" s="448">
        <v>5.0599999999999996</v>
      </c>
      <c r="EM165" s="448">
        <v>35.700000000000003</v>
      </c>
      <c r="EN165" s="448">
        <v>1070</v>
      </c>
      <c r="EO165" s="448">
        <v>117</v>
      </c>
      <c r="EP165" s="448">
        <v>7.49</v>
      </c>
      <c r="EQ165" s="448">
        <v>133</v>
      </c>
      <c r="ER165" s="448">
        <v>54.8</v>
      </c>
      <c r="ES165" s="448">
        <v>14.4</v>
      </c>
      <c r="ET165" s="448">
        <v>1.69</v>
      </c>
      <c r="EU165" s="450">
        <v>22.5</v>
      </c>
    </row>
    <row r="166" spans="2:151">
      <c r="B166" s="78" t="s">
        <v>145</v>
      </c>
      <c r="C166" s="79" t="s">
        <v>172</v>
      </c>
      <c r="D166" s="80" t="s">
        <v>172</v>
      </c>
      <c r="E166" s="1" t="s">
        <v>4</v>
      </c>
      <c r="F166" s="4">
        <v>83.5</v>
      </c>
      <c r="G166" s="4">
        <v>24.5</v>
      </c>
      <c r="H166" s="3" t="str">
        <f t="shared" si="16"/>
        <v>WT20X83.5</v>
      </c>
      <c r="I166" s="4">
        <v>19.3</v>
      </c>
      <c r="J166" s="5">
        <v>19.25</v>
      </c>
      <c r="K166" s="6" t="s">
        <v>5</v>
      </c>
      <c r="L166" s="6" t="s">
        <v>5</v>
      </c>
      <c r="M166" s="6" t="s">
        <v>5</v>
      </c>
      <c r="N166" s="4">
        <v>11.8</v>
      </c>
      <c r="O166" s="5">
        <v>11.75</v>
      </c>
      <c r="P166" s="5" t="s">
        <v>5</v>
      </c>
      <c r="Q166" s="6" t="s">
        <v>5</v>
      </c>
      <c r="R166" s="6" t="s">
        <v>5</v>
      </c>
      <c r="S166" s="22">
        <v>0.65</v>
      </c>
      <c r="T166" s="5">
        <v>0.625</v>
      </c>
      <c r="U166" s="8">
        <v>0.3125</v>
      </c>
      <c r="V166" s="7">
        <v>1.03</v>
      </c>
      <c r="W166" s="8">
        <v>1</v>
      </c>
      <c r="X166" s="7">
        <v>1.03</v>
      </c>
      <c r="Y166" s="6" t="s">
        <v>5</v>
      </c>
      <c r="Z166" s="6" t="s">
        <v>5</v>
      </c>
      <c r="AA166" s="7">
        <v>2.21</v>
      </c>
      <c r="AB166" s="8">
        <v>2.3125</v>
      </c>
      <c r="AC166" s="8" t="s">
        <v>5</v>
      </c>
      <c r="AD166" s="6" t="s">
        <v>5</v>
      </c>
      <c r="AE166" s="7">
        <v>5.19</v>
      </c>
      <c r="AF166" s="6" t="s">
        <v>5</v>
      </c>
      <c r="AG166" s="6" t="s">
        <v>5</v>
      </c>
      <c r="AH166" s="7">
        <v>1.1000000000000001</v>
      </c>
      <c r="AI166" s="7">
        <v>5.76</v>
      </c>
      <c r="AJ166" s="6" t="s">
        <v>5</v>
      </c>
      <c r="AK166" s="6" t="s">
        <v>5</v>
      </c>
      <c r="AL166" s="6" t="s">
        <v>5</v>
      </c>
      <c r="AM166" s="6" t="s">
        <v>5</v>
      </c>
      <c r="AN166" s="4">
        <v>29.7</v>
      </c>
      <c r="AO166" s="6">
        <v>899</v>
      </c>
      <c r="AP166" s="6">
        <v>115</v>
      </c>
      <c r="AQ166" s="4">
        <v>63.7</v>
      </c>
      <c r="AR166" s="7">
        <v>6.05</v>
      </c>
      <c r="AS166" s="6">
        <v>141</v>
      </c>
      <c r="AT166" s="4">
        <v>37.799999999999997</v>
      </c>
      <c r="AU166" s="4">
        <v>23.9</v>
      </c>
      <c r="AV166" s="7">
        <v>2.4</v>
      </c>
      <c r="AW166" s="6" t="s">
        <v>5</v>
      </c>
      <c r="AX166" s="6" t="s">
        <v>5</v>
      </c>
      <c r="AY166" s="6" t="s">
        <v>5</v>
      </c>
      <c r="AZ166" s="7">
        <v>6.99</v>
      </c>
      <c r="BA166" s="4">
        <v>62.9</v>
      </c>
      <c r="BB166" s="6" t="s">
        <v>5</v>
      </c>
      <c r="BC166" s="6" t="s">
        <v>5</v>
      </c>
      <c r="BD166" s="6" t="s">
        <v>5</v>
      </c>
      <c r="BE166" s="6" t="s">
        <v>5</v>
      </c>
      <c r="BF166" s="6" t="s">
        <v>5</v>
      </c>
      <c r="BG166" s="6" t="s">
        <v>5</v>
      </c>
      <c r="BH166" s="6" t="s">
        <v>5</v>
      </c>
      <c r="BI166" s="7">
        <v>8.01</v>
      </c>
      <c r="BJ166" s="22">
        <v>0.65900000000000003</v>
      </c>
      <c r="BK166" s="6" t="s">
        <v>5</v>
      </c>
      <c r="BL166" s="2" t="s">
        <v>5</v>
      </c>
      <c r="BM166" s="2" t="s">
        <v>5</v>
      </c>
      <c r="BN166" s="2" t="s">
        <v>5</v>
      </c>
      <c r="BO166" s="2" t="s">
        <v>5</v>
      </c>
      <c r="BP166" s="2" t="s">
        <v>5</v>
      </c>
      <c r="BQ166" s="2" t="s">
        <v>5</v>
      </c>
      <c r="BR166" s="2" t="s">
        <v>5</v>
      </c>
      <c r="BS166" s="2" t="s">
        <v>5</v>
      </c>
      <c r="BT166" s="2" t="s">
        <v>5</v>
      </c>
      <c r="BU166" s="2" t="s">
        <v>5</v>
      </c>
      <c r="BV166" s="2" t="s">
        <v>5</v>
      </c>
      <c r="BW166" s="2" t="s">
        <v>5</v>
      </c>
      <c r="BX166" s="2" t="s">
        <v>5</v>
      </c>
      <c r="BY166" s="25" t="s">
        <v>5</v>
      </c>
      <c r="BZ166" s="25" t="s">
        <v>5</v>
      </c>
      <c r="CA166" s="4">
        <v>49.4</v>
      </c>
      <c r="CB166" s="6" t="s">
        <v>5</v>
      </c>
      <c r="CC166" s="4">
        <v>61.2</v>
      </c>
      <c r="CD166" s="4">
        <v>50.400000000000006</v>
      </c>
      <c r="CE166" s="6">
        <v>62.2</v>
      </c>
      <c r="CF166" s="16" t="s">
        <v>5</v>
      </c>
      <c r="CG166" s="5">
        <v>7.5</v>
      </c>
      <c r="CH166" s="18" t="s">
        <v>5</v>
      </c>
      <c r="CV166" s="344" t="str">
        <f t="shared" si="18"/>
        <v>WT15X54</v>
      </c>
      <c r="CW166" s="337">
        <v>15.9</v>
      </c>
      <c r="DE166" s="335" t="str">
        <f t="shared" si="19"/>
        <v>2L2-1/2X2-1/2X1/4</v>
      </c>
      <c r="DF166" s="338">
        <v>2.38</v>
      </c>
      <c r="DH166" s="397" t="s">
        <v>1461</v>
      </c>
      <c r="DI166" s="398">
        <v>11.8</v>
      </c>
      <c r="DJ166" s="398">
        <v>17.899999999999999</v>
      </c>
      <c r="DK166" s="399">
        <v>0.315</v>
      </c>
      <c r="DL166" s="398">
        <v>50.9</v>
      </c>
      <c r="DM166" s="400">
        <v>5.73</v>
      </c>
      <c r="DN166" s="398">
        <v>78.400000000000006</v>
      </c>
      <c r="DO166" s="411">
        <v>68.400000000000006</v>
      </c>
      <c r="DP166" s="115"/>
      <c r="DQ166" s="428" t="s">
        <v>1403</v>
      </c>
      <c r="DR166" s="429">
        <v>260</v>
      </c>
      <c r="DS166" s="429">
        <v>1710</v>
      </c>
      <c r="DT166" s="431"/>
      <c r="DU166" s="431"/>
      <c r="DV166" s="431"/>
      <c r="DW166" s="431"/>
      <c r="DX166" s="432"/>
      <c r="DZ166" s="447" t="s">
        <v>1443</v>
      </c>
      <c r="EA166" s="448">
        <v>60</v>
      </c>
      <c r="EB166" s="448">
        <v>17.600000000000001</v>
      </c>
      <c r="EC166" s="448">
        <v>18.2</v>
      </c>
      <c r="ED166" s="448" t="s">
        <v>1666</v>
      </c>
      <c r="EE166" s="448">
        <v>0.41499999999999998</v>
      </c>
      <c r="EF166" s="449">
        <v>45123</v>
      </c>
      <c r="EG166" s="449">
        <v>44930</v>
      </c>
      <c r="EH166" s="448">
        <v>7.56</v>
      </c>
      <c r="EI166" s="448" t="s">
        <v>1798</v>
      </c>
      <c r="EJ166" s="448">
        <v>0.69499999999999995</v>
      </c>
      <c r="EK166" s="449">
        <v>45246</v>
      </c>
      <c r="EL166" s="448">
        <v>5.44</v>
      </c>
      <c r="EM166" s="448">
        <v>38.700000000000003</v>
      </c>
      <c r="EN166" s="448">
        <v>984</v>
      </c>
      <c r="EO166" s="448">
        <v>108</v>
      </c>
      <c r="EP166" s="448">
        <v>7.47</v>
      </c>
      <c r="EQ166" s="448">
        <v>123</v>
      </c>
      <c r="ER166" s="448">
        <v>50.1</v>
      </c>
      <c r="ES166" s="448">
        <v>13.3</v>
      </c>
      <c r="ET166" s="448">
        <v>1.68</v>
      </c>
      <c r="EU166" s="450">
        <v>20.6</v>
      </c>
    </row>
    <row r="167" spans="2:151">
      <c r="B167" s="78" t="s">
        <v>145</v>
      </c>
      <c r="C167" s="79" t="s">
        <v>173</v>
      </c>
      <c r="D167" s="80" t="s">
        <v>173</v>
      </c>
      <c r="E167" s="1" t="s">
        <v>4</v>
      </c>
      <c r="F167" s="4">
        <v>74.5</v>
      </c>
      <c r="G167" s="4">
        <v>21.9</v>
      </c>
      <c r="H167" s="3" t="str">
        <f t="shared" si="16"/>
        <v>WT20X74.5</v>
      </c>
      <c r="I167" s="4">
        <v>19.100000000000001</v>
      </c>
      <c r="J167" s="5">
        <v>19.125</v>
      </c>
      <c r="K167" s="6" t="s">
        <v>5</v>
      </c>
      <c r="L167" s="6" t="s">
        <v>5</v>
      </c>
      <c r="M167" s="6" t="s">
        <v>5</v>
      </c>
      <c r="N167" s="4">
        <v>11.8</v>
      </c>
      <c r="O167" s="5">
        <v>11.75</v>
      </c>
      <c r="P167" s="5" t="s">
        <v>5</v>
      </c>
      <c r="Q167" s="6" t="s">
        <v>5</v>
      </c>
      <c r="R167" s="6" t="s">
        <v>5</v>
      </c>
      <c r="S167" s="22">
        <v>0.63</v>
      </c>
      <c r="T167" s="5">
        <v>0.625</v>
      </c>
      <c r="U167" s="8">
        <v>0.3125</v>
      </c>
      <c r="V167" s="22">
        <v>0.83</v>
      </c>
      <c r="W167" s="8">
        <v>0.8125</v>
      </c>
      <c r="X167" s="22">
        <v>0.83</v>
      </c>
      <c r="Y167" s="6" t="s">
        <v>5</v>
      </c>
      <c r="Z167" s="6" t="s">
        <v>5</v>
      </c>
      <c r="AA167" s="7">
        <v>2.0099999999999998</v>
      </c>
      <c r="AB167" s="8">
        <v>2.125</v>
      </c>
      <c r="AC167" s="8" t="s">
        <v>5</v>
      </c>
      <c r="AD167" s="6" t="s">
        <v>5</v>
      </c>
      <c r="AE167" s="7">
        <v>5.45</v>
      </c>
      <c r="AF167" s="6" t="s">
        <v>5</v>
      </c>
      <c r="AG167" s="6" t="s">
        <v>5</v>
      </c>
      <c r="AH167" s="7">
        <v>1.72</v>
      </c>
      <c r="AI167" s="7">
        <v>7.11</v>
      </c>
      <c r="AJ167" s="6" t="s">
        <v>5</v>
      </c>
      <c r="AK167" s="6" t="s">
        <v>5</v>
      </c>
      <c r="AL167" s="6" t="s">
        <v>5</v>
      </c>
      <c r="AM167" s="6" t="s">
        <v>5</v>
      </c>
      <c r="AN167" s="4">
        <v>30.3</v>
      </c>
      <c r="AO167" s="6">
        <v>815</v>
      </c>
      <c r="AP167" s="6">
        <v>108</v>
      </c>
      <c r="AQ167" s="4">
        <v>59.7</v>
      </c>
      <c r="AR167" s="7">
        <v>6.1</v>
      </c>
      <c r="AS167" s="6">
        <v>114</v>
      </c>
      <c r="AT167" s="4">
        <v>30.9</v>
      </c>
      <c r="AU167" s="4">
        <v>19.399999999999999</v>
      </c>
      <c r="AV167" s="7">
        <v>2.29</v>
      </c>
      <c r="AW167" s="6" t="s">
        <v>5</v>
      </c>
      <c r="AX167" s="6" t="s">
        <v>5</v>
      </c>
      <c r="AY167" s="6" t="s">
        <v>5</v>
      </c>
      <c r="AZ167" s="7">
        <v>4.66</v>
      </c>
      <c r="BA167" s="4">
        <v>51.9</v>
      </c>
      <c r="BB167" s="6" t="s">
        <v>5</v>
      </c>
      <c r="BC167" s="6" t="s">
        <v>5</v>
      </c>
      <c r="BD167" s="6" t="s">
        <v>5</v>
      </c>
      <c r="BE167" s="6" t="s">
        <v>5</v>
      </c>
      <c r="BF167" s="6" t="s">
        <v>5</v>
      </c>
      <c r="BG167" s="6" t="s">
        <v>5</v>
      </c>
      <c r="BH167" s="6" t="s">
        <v>5</v>
      </c>
      <c r="BI167" s="7">
        <v>8.23</v>
      </c>
      <c r="BJ167" s="22">
        <v>0.626</v>
      </c>
      <c r="BK167" s="6" t="s">
        <v>5</v>
      </c>
      <c r="BL167" s="2" t="s">
        <v>5</v>
      </c>
      <c r="BM167" s="2" t="s">
        <v>5</v>
      </c>
      <c r="BN167" s="2" t="s">
        <v>5</v>
      </c>
      <c r="BO167" s="2" t="s">
        <v>5</v>
      </c>
      <c r="BP167" s="2" t="s">
        <v>5</v>
      </c>
      <c r="BQ167" s="2" t="s">
        <v>5</v>
      </c>
      <c r="BR167" s="2" t="s">
        <v>5</v>
      </c>
      <c r="BS167" s="2" t="s">
        <v>5</v>
      </c>
      <c r="BT167" s="2" t="s">
        <v>5</v>
      </c>
      <c r="BU167" s="2" t="s">
        <v>5</v>
      </c>
      <c r="BV167" s="2" t="s">
        <v>5</v>
      </c>
      <c r="BW167" s="2" t="s">
        <v>5</v>
      </c>
      <c r="BX167" s="2" t="s">
        <v>5</v>
      </c>
      <c r="BY167" s="25" t="s">
        <v>5</v>
      </c>
      <c r="BZ167" s="25" t="s">
        <v>5</v>
      </c>
      <c r="CA167" s="4">
        <v>49</v>
      </c>
      <c r="CB167" s="6" t="s">
        <v>5</v>
      </c>
      <c r="CC167" s="4">
        <v>60.8</v>
      </c>
      <c r="CD167" s="4">
        <v>50</v>
      </c>
      <c r="CE167" s="6">
        <v>61.800000000000004</v>
      </c>
      <c r="CF167" s="16" t="s">
        <v>5</v>
      </c>
      <c r="CG167" s="5">
        <v>7.5</v>
      </c>
      <c r="CH167" s="18" t="s">
        <v>5</v>
      </c>
      <c r="CV167" s="344" t="str">
        <f t="shared" si="18"/>
        <v>WT9X53</v>
      </c>
      <c r="CW167" s="337">
        <v>15.6</v>
      </c>
      <c r="DE167" s="335" t="str">
        <f t="shared" si="19"/>
        <v>2L2-1/2X2-1/2X1/4</v>
      </c>
      <c r="DF167" s="338">
        <v>2.38</v>
      </c>
      <c r="DH167" s="397" t="s">
        <v>1470</v>
      </c>
      <c r="DI167" s="398">
        <v>10.3</v>
      </c>
      <c r="DJ167" s="398">
        <v>17.7</v>
      </c>
      <c r="DK167" s="399">
        <v>0.3</v>
      </c>
      <c r="DL167" s="398">
        <v>53.5</v>
      </c>
      <c r="DM167" s="400">
        <v>7.06</v>
      </c>
      <c r="DN167" s="398">
        <v>66.5</v>
      </c>
      <c r="DO167" s="411">
        <v>57.6</v>
      </c>
      <c r="DP167" s="115"/>
      <c r="DQ167" s="428" t="s">
        <v>1404</v>
      </c>
      <c r="DR167" s="429">
        <v>254</v>
      </c>
      <c r="DS167" s="429">
        <v>2700</v>
      </c>
      <c r="DT167" s="431"/>
      <c r="DU167" s="431"/>
      <c r="DV167" s="431"/>
      <c r="DW167" s="431"/>
      <c r="DX167" s="432"/>
      <c r="DZ167" s="447" t="s">
        <v>1518</v>
      </c>
      <c r="EA167" s="448">
        <v>55</v>
      </c>
      <c r="EB167" s="448">
        <v>16.2</v>
      </c>
      <c r="EC167" s="448">
        <v>18.100000000000001</v>
      </c>
      <c r="ED167" s="448" t="s">
        <v>1799</v>
      </c>
      <c r="EE167" s="448">
        <v>0.39</v>
      </c>
      <c r="EF167" s="449">
        <v>44993</v>
      </c>
      <c r="EG167" s="449">
        <v>45001</v>
      </c>
      <c r="EH167" s="448">
        <v>7.53</v>
      </c>
      <c r="EI167" s="448" t="s">
        <v>1798</v>
      </c>
      <c r="EJ167" s="448">
        <v>0.63</v>
      </c>
      <c r="EK167" s="449">
        <v>45054</v>
      </c>
      <c r="EL167" s="448">
        <v>5.98</v>
      </c>
      <c r="EM167" s="448">
        <v>41.1</v>
      </c>
      <c r="EN167" s="448">
        <v>890</v>
      </c>
      <c r="EO167" s="448">
        <v>98.3</v>
      </c>
      <c r="EP167" s="448">
        <v>7.41</v>
      </c>
      <c r="EQ167" s="448">
        <v>112</v>
      </c>
      <c r="ER167" s="448">
        <v>44.9</v>
      </c>
      <c r="ES167" s="448">
        <v>11.9</v>
      </c>
      <c r="ET167" s="448">
        <v>1.67</v>
      </c>
      <c r="EU167" s="450">
        <v>18.5</v>
      </c>
    </row>
    <row r="168" spans="2:151">
      <c r="B168" s="78" t="s">
        <v>145</v>
      </c>
      <c r="C168" s="79" t="s">
        <v>174</v>
      </c>
      <c r="D168" s="80" t="s">
        <v>174</v>
      </c>
      <c r="E168" s="1" t="s">
        <v>6</v>
      </c>
      <c r="F168" s="4">
        <v>462.5</v>
      </c>
      <c r="G168" s="10">
        <v>136</v>
      </c>
      <c r="H168" s="3" t="str">
        <f t="shared" si="16"/>
        <v>WT18X462.5</v>
      </c>
      <c r="I168" s="4">
        <v>21.6</v>
      </c>
      <c r="J168" s="5">
        <v>21.625</v>
      </c>
      <c r="K168" s="6" t="s">
        <v>5</v>
      </c>
      <c r="L168" s="6" t="s">
        <v>5</v>
      </c>
      <c r="M168" s="6" t="s">
        <v>5</v>
      </c>
      <c r="N168" s="4">
        <v>18.600000000000001</v>
      </c>
      <c r="O168" s="5">
        <v>18.625</v>
      </c>
      <c r="P168" s="6" t="s">
        <v>5</v>
      </c>
      <c r="Q168" s="6" t="s">
        <v>5</v>
      </c>
      <c r="R168" s="6" t="s">
        <v>5</v>
      </c>
      <c r="S168" s="7">
        <v>3.02</v>
      </c>
      <c r="T168" s="5">
        <v>3</v>
      </c>
      <c r="U168" s="8">
        <v>1.5</v>
      </c>
      <c r="V168" s="7">
        <v>4.53</v>
      </c>
      <c r="W168" s="8">
        <v>4.5</v>
      </c>
      <c r="X168" s="7">
        <v>4.53</v>
      </c>
      <c r="Y168" s="6" t="s">
        <v>5</v>
      </c>
      <c r="Z168" s="6" t="s">
        <v>5</v>
      </c>
      <c r="AA168" s="7">
        <v>5.28</v>
      </c>
      <c r="AB168" s="8">
        <v>5.375</v>
      </c>
      <c r="AC168" s="5" t="s">
        <v>5</v>
      </c>
      <c r="AD168" s="6" t="s">
        <v>5</v>
      </c>
      <c r="AE168" s="9">
        <v>6.36</v>
      </c>
      <c r="AF168" s="6" t="s">
        <v>5</v>
      </c>
      <c r="AG168" s="6" t="s">
        <v>5</v>
      </c>
      <c r="AH168" s="9">
        <v>3.66</v>
      </c>
      <c r="AI168" s="9">
        <v>2.0499999999999998</v>
      </c>
      <c r="AJ168" s="6" t="s">
        <v>5</v>
      </c>
      <c r="AK168" s="6" t="s">
        <v>5</v>
      </c>
      <c r="AL168" s="6" t="s">
        <v>5</v>
      </c>
      <c r="AM168" s="6" t="s">
        <v>5</v>
      </c>
      <c r="AN168" s="7">
        <v>7.15</v>
      </c>
      <c r="AO168" s="11">
        <v>5130</v>
      </c>
      <c r="AP168" s="11">
        <v>617</v>
      </c>
      <c r="AQ168" s="10">
        <v>337</v>
      </c>
      <c r="AR168" s="9">
        <v>6.14</v>
      </c>
      <c r="AS168" s="11">
        <v>2470</v>
      </c>
      <c r="AT168" s="10">
        <v>431</v>
      </c>
      <c r="AU168" s="10">
        <v>266</v>
      </c>
      <c r="AV168" s="9">
        <v>4.26</v>
      </c>
      <c r="AW168" s="6" t="s">
        <v>5</v>
      </c>
      <c r="AX168" s="6" t="s">
        <v>5</v>
      </c>
      <c r="AY168" s="6" t="s">
        <v>5</v>
      </c>
      <c r="AZ168" s="14">
        <v>707</v>
      </c>
      <c r="BA168" s="11">
        <v>9680</v>
      </c>
      <c r="BB168" s="6" t="s">
        <v>5</v>
      </c>
      <c r="BC168" s="6" t="s">
        <v>5</v>
      </c>
      <c r="BD168" s="6" t="s">
        <v>5</v>
      </c>
      <c r="BE168" s="6" t="s">
        <v>5</v>
      </c>
      <c r="BF168" s="6" t="s">
        <v>5</v>
      </c>
      <c r="BG168" s="6" t="s">
        <v>5</v>
      </c>
      <c r="BH168" s="6" t="s">
        <v>5</v>
      </c>
      <c r="BI168" s="21">
        <v>8.52</v>
      </c>
      <c r="BJ168" s="35">
        <v>0.76900000000000002</v>
      </c>
      <c r="BK168" s="6" t="s">
        <v>5</v>
      </c>
      <c r="BL168" s="6" t="s">
        <v>5</v>
      </c>
      <c r="BM168" s="6" t="s">
        <v>5</v>
      </c>
      <c r="BN168" s="6" t="s">
        <v>5</v>
      </c>
      <c r="BO168" s="6" t="s">
        <v>5</v>
      </c>
      <c r="BP168" s="6" t="s">
        <v>5</v>
      </c>
      <c r="BQ168" s="6" t="s">
        <v>5</v>
      </c>
      <c r="BR168" s="6" t="s">
        <v>5</v>
      </c>
      <c r="BS168" s="6" t="s">
        <v>5</v>
      </c>
      <c r="BT168" s="6" t="s">
        <v>5</v>
      </c>
      <c r="BU168" s="6" t="s">
        <v>5</v>
      </c>
      <c r="BV168" s="6" t="s">
        <v>5</v>
      </c>
      <c r="BW168" s="6" t="s">
        <v>5</v>
      </c>
      <c r="BX168" s="6" t="s">
        <v>5</v>
      </c>
      <c r="BY168" s="6" t="s">
        <v>5</v>
      </c>
      <c r="BZ168" s="6" t="s">
        <v>5</v>
      </c>
      <c r="CA168" s="4">
        <v>61.2</v>
      </c>
      <c r="CB168" s="6" t="s">
        <v>5</v>
      </c>
      <c r="CC168" s="4">
        <v>79.8</v>
      </c>
      <c r="CD168" s="4">
        <v>61.8</v>
      </c>
      <c r="CE168" s="6">
        <v>80.400000000000006</v>
      </c>
      <c r="CF168" s="16" t="s">
        <v>5</v>
      </c>
      <c r="CG168" s="5">
        <v>7.5</v>
      </c>
      <c r="CH168" s="18" t="s">
        <v>5</v>
      </c>
      <c r="CV168" s="344" t="str">
        <f t="shared" si="18"/>
        <v>WT9X53</v>
      </c>
      <c r="CW168" s="337">
        <v>15.6</v>
      </c>
      <c r="DE168" s="335" t="str">
        <f t="shared" si="19"/>
        <v>2L2X2X5/16</v>
      </c>
      <c r="DF168" s="338">
        <v>2.3199999999999998</v>
      </c>
      <c r="DH168" s="397" t="s">
        <v>1416</v>
      </c>
      <c r="DI168" s="398">
        <v>29.4</v>
      </c>
      <c r="DJ168" s="398">
        <v>17</v>
      </c>
      <c r="DK168" s="399">
        <v>0.58499999999999996</v>
      </c>
      <c r="DL168" s="398">
        <v>24.3</v>
      </c>
      <c r="DM168" s="400">
        <v>5.29</v>
      </c>
      <c r="DN168" s="401">
        <v>198</v>
      </c>
      <c r="DO168" s="402">
        <v>175</v>
      </c>
      <c r="DP168" s="117"/>
      <c r="DQ168" s="428" t="s">
        <v>1405</v>
      </c>
      <c r="DR168" s="429">
        <v>253</v>
      </c>
      <c r="DS168" s="429">
        <v>2420</v>
      </c>
      <c r="DT168" s="431"/>
      <c r="DU168" s="431"/>
      <c r="DV168" s="431"/>
      <c r="DW168" s="431"/>
      <c r="DX168" s="432"/>
      <c r="DZ168" s="447" t="s">
        <v>1451</v>
      </c>
      <c r="EA168" s="448">
        <v>50</v>
      </c>
      <c r="EB168" s="448">
        <v>14.7</v>
      </c>
      <c r="EC168" s="448">
        <v>18</v>
      </c>
      <c r="ED168" s="448">
        <v>18</v>
      </c>
      <c r="EE168" s="448">
        <v>0.35499999999999998</v>
      </c>
      <c r="EF168" s="449">
        <v>44993</v>
      </c>
      <c r="EG168" s="449">
        <v>45001</v>
      </c>
      <c r="EH168" s="448">
        <v>7.5</v>
      </c>
      <c r="EI168" s="448" t="s">
        <v>1798</v>
      </c>
      <c r="EJ168" s="448">
        <v>0.56999999999999995</v>
      </c>
      <c r="EK168" s="449">
        <v>45185</v>
      </c>
      <c r="EL168" s="448">
        <v>6.57</v>
      </c>
      <c r="EM168" s="448">
        <v>45.2</v>
      </c>
      <c r="EN168" s="448">
        <v>800</v>
      </c>
      <c r="EO168" s="448">
        <v>88.9</v>
      </c>
      <c r="EP168" s="448">
        <v>7.38</v>
      </c>
      <c r="EQ168" s="448">
        <v>101</v>
      </c>
      <c r="ER168" s="448">
        <v>40.1</v>
      </c>
      <c r="ES168" s="448">
        <v>10.7</v>
      </c>
      <c r="ET168" s="448">
        <v>1.65</v>
      </c>
      <c r="EU168" s="450">
        <v>16.600000000000001</v>
      </c>
    </row>
    <row r="169" spans="2:151">
      <c r="B169" s="78" t="s">
        <v>145</v>
      </c>
      <c r="C169" s="79" t="s">
        <v>175</v>
      </c>
      <c r="D169" s="80" t="s">
        <v>175</v>
      </c>
      <c r="E169" s="1" t="s">
        <v>6</v>
      </c>
      <c r="F169" s="4">
        <v>426.5</v>
      </c>
      <c r="G169" s="10">
        <v>126</v>
      </c>
      <c r="H169" s="3" t="str">
        <f t="shared" si="16"/>
        <v>WT18X426.5</v>
      </c>
      <c r="I169" s="4">
        <v>21.6</v>
      </c>
      <c r="J169" s="5">
        <v>21.625</v>
      </c>
      <c r="K169" s="6" t="s">
        <v>5</v>
      </c>
      <c r="L169" s="6" t="s">
        <v>5</v>
      </c>
      <c r="M169" s="6" t="s">
        <v>5</v>
      </c>
      <c r="N169" s="4">
        <v>18.2</v>
      </c>
      <c r="O169" s="5">
        <v>18.25</v>
      </c>
      <c r="P169" s="6" t="s">
        <v>5</v>
      </c>
      <c r="Q169" s="6" t="s">
        <v>5</v>
      </c>
      <c r="R169" s="6" t="s">
        <v>5</v>
      </c>
      <c r="S169" s="7">
        <v>2.52</v>
      </c>
      <c r="T169" s="5">
        <v>2.5</v>
      </c>
      <c r="U169" s="8">
        <v>1.25</v>
      </c>
      <c r="V169" s="7">
        <v>4.53</v>
      </c>
      <c r="W169" s="8">
        <v>4.5</v>
      </c>
      <c r="X169" s="7">
        <v>4.53</v>
      </c>
      <c r="Y169" s="6" t="s">
        <v>5</v>
      </c>
      <c r="Z169" s="6" t="s">
        <v>5</v>
      </c>
      <c r="AA169" s="7">
        <v>5.28</v>
      </c>
      <c r="AB169" s="8">
        <v>5.375</v>
      </c>
      <c r="AC169" s="5" t="s">
        <v>5</v>
      </c>
      <c r="AD169" s="6" t="s">
        <v>5</v>
      </c>
      <c r="AE169" s="9">
        <v>5.95</v>
      </c>
      <c r="AF169" s="6" t="s">
        <v>5</v>
      </c>
      <c r="AG169" s="6" t="s">
        <v>5</v>
      </c>
      <c r="AH169" s="9">
        <v>3.46</v>
      </c>
      <c r="AI169" s="9">
        <v>2.0099999999999998</v>
      </c>
      <c r="AJ169" s="6" t="s">
        <v>5</v>
      </c>
      <c r="AK169" s="6" t="s">
        <v>5</v>
      </c>
      <c r="AL169" s="6" t="s">
        <v>5</v>
      </c>
      <c r="AM169" s="6" t="s">
        <v>5</v>
      </c>
      <c r="AN169" s="7">
        <v>8.57</v>
      </c>
      <c r="AO169" s="11">
        <v>4480</v>
      </c>
      <c r="AP169" s="11">
        <v>533</v>
      </c>
      <c r="AQ169" s="10">
        <v>286</v>
      </c>
      <c r="AR169" s="9">
        <v>5.96</v>
      </c>
      <c r="AS169" s="11">
        <v>2300</v>
      </c>
      <c r="AT169" s="10">
        <v>403</v>
      </c>
      <c r="AU169" s="10">
        <v>253</v>
      </c>
      <c r="AV169" s="9">
        <v>4.2699999999999996</v>
      </c>
      <c r="AW169" s="6" t="s">
        <v>5</v>
      </c>
      <c r="AX169" s="6" t="s">
        <v>5</v>
      </c>
      <c r="AY169" s="6" t="s">
        <v>5</v>
      </c>
      <c r="AZ169" s="14">
        <v>615</v>
      </c>
      <c r="BA169" s="11">
        <v>7100</v>
      </c>
      <c r="BB169" s="6" t="s">
        <v>5</v>
      </c>
      <c r="BC169" s="6" t="s">
        <v>5</v>
      </c>
      <c r="BD169" s="6" t="s">
        <v>5</v>
      </c>
      <c r="BE169" s="6" t="s">
        <v>5</v>
      </c>
      <c r="BF169" s="6" t="s">
        <v>5</v>
      </c>
      <c r="BG169" s="6" t="s">
        <v>5</v>
      </c>
      <c r="BH169" s="6" t="s">
        <v>5</v>
      </c>
      <c r="BI169" s="9">
        <v>8.2100000000000009</v>
      </c>
      <c r="BJ169" s="35">
        <v>0.79900000000000004</v>
      </c>
      <c r="BK169" s="6" t="s">
        <v>5</v>
      </c>
      <c r="BL169" s="6" t="s">
        <v>5</v>
      </c>
      <c r="BM169" s="6" t="s">
        <v>5</v>
      </c>
      <c r="BN169" s="6" t="s">
        <v>5</v>
      </c>
      <c r="BO169" s="6" t="s">
        <v>5</v>
      </c>
      <c r="BP169" s="6" t="s">
        <v>5</v>
      </c>
      <c r="BQ169" s="6" t="s">
        <v>5</v>
      </c>
      <c r="BR169" s="6" t="s">
        <v>5</v>
      </c>
      <c r="BS169" s="6" t="s">
        <v>5</v>
      </c>
      <c r="BT169" s="6" t="s">
        <v>5</v>
      </c>
      <c r="BU169" s="6" t="s">
        <v>5</v>
      </c>
      <c r="BV169" s="6" t="s">
        <v>5</v>
      </c>
      <c r="BW169" s="6" t="s">
        <v>5</v>
      </c>
      <c r="BX169" s="6" t="s">
        <v>5</v>
      </c>
      <c r="BY169" s="6" t="s">
        <v>5</v>
      </c>
      <c r="BZ169" s="6" t="s">
        <v>5</v>
      </c>
      <c r="CA169" s="4">
        <v>60.8</v>
      </c>
      <c r="CB169" s="6" t="s">
        <v>5</v>
      </c>
      <c r="CC169" s="4">
        <v>79</v>
      </c>
      <c r="CD169" s="4">
        <v>61.4</v>
      </c>
      <c r="CE169" s="6">
        <v>79.599999999999994</v>
      </c>
      <c r="CF169" s="16" t="s">
        <v>5</v>
      </c>
      <c r="CG169" s="5">
        <v>7.5</v>
      </c>
      <c r="CH169" s="18" t="s">
        <v>5</v>
      </c>
      <c r="CV169" s="344" t="str">
        <f t="shared" si="18"/>
        <v>WT12X52</v>
      </c>
      <c r="CW169" s="337">
        <v>15.3</v>
      </c>
      <c r="DE169" s="335" t="str">
        <f t="shared" si="19"/>
        <v>2L2X2X5/16</v>
      </c>
      <c r="DF169" s="338">
        <v>2.3199999999999998</v>
      </c>
      <c r="DH169" s="397" t="s">
        <v>1422</v>
      </c>
      <c r="DI169" s="398">
        <v>26.2</v>
      </c>
      <c r="DJ169" s="398">
        <v>16.8</v>
      </c>
      <c r="DK169" s="399">
        <v>0.52500000000000002</v>
      </c>
      <c r="DL169" s="398">
        <v>27</v>
      </c>
      <c r="DM169" s="400">
        <v>5.92</v>
      </c>
      <c r="DN169" s="401">
        <v>175</v>
      </c>
      <c r="DO169" s="402">
        <v>155</v>
      </c>
      <c r="DP169" s="117"/>
      <c r="DQ169" s="428" t="s">
        <v>1406</v>
      </c>
      <c r="DR169" s="429">
        <v>244</v>
      </c>
      <c r="DS169" s="429">
        <v>2850</v>
      </c>
      <c r="DT169" s="431"/>
      <c r="DU169" s="431"/>
      <c r="DV169" s="431"/>
      <c r="DW169" s="431"/>
      <c r="DX169" s="432"/>
      <c r="DZ169" s="447" t="s">
        <v>1456</v>
      </c>
      <c r="EA169" s="448">
        <v>46</v>
      </c>
      <c r="EB169" s="448">
        <v>13.5</v>
      </c>
      <c r="EC169" s="448">
        <v>18.100000000000001</v>
      </c>
      <c r="ED169" s="448">
        <v>18</v>
      </c>
      <c r="EE169" s="448">
        <v>0.36</v>
      </c>
      <c r="EF169" s="449">
        <v>44993</v>
      </c>
      <c r="EG169" s="449">
        <v>45001</v>
      </c>
      <c r="EH169" s="448">
        <v>6.06</v>
      </c>
      <c r="EI169" s="448">
        <v>6</v>
      </c>
      <c r="EJ169" s="448">
        <v>0.60499999999999998</v>
      </c>
      <c r="EK169" s="449">
        <v>45054</v>
      </c>
      <c r="EL169" s="448">
        <v>5.01</v>
      </c>
      <c r="EM169" s="448">
        <v>44.6</v>
      </c>
      <c r="EN169" s="448">
        <v>712</v>
      </c>
      <c r="EO169" s="448">
        <v>78.8</v>
      </c>
      <c r="EP169" s="448">
        <v>7.25</v>
      </c>
      <c r="EQ169" s="448">
        <v>90.7</v>
      </c>
      <c r="ER169" s="448">
        <v>22.5</v>
      </c>
      <c r="ES169" s="448">
        <v>7.43</v>
      </c>
      <c r="ET169" s="448">
        <v>1.29</v>
      </c>
      <c r="EU169" s="450">
        <v>11.7</v>
      </c>
    </row>
    <row r="170" spans="2:151">
      <c r="B170" s="78" t="s">
        <v>145</v>
      </c>
      <c r="C170" s="79" t="s">
        <v>176</v>
      </c>
      <c r="D170" s="80" t="s">
        <v>176</v>
      </c>
      <c r="E170" s="1" t="s">
        <v>6</v>
      </c>
      <c r="F170" s="2">
        <v>401</v>
      </c>
      <c r="G170" s="10">
        <v>118</v>
      </c>
      <c r="H170" s="3" t="str">
        <f t="shared" si="16"/>
        <v>WT18X401</v>
      </c>
      <c r="I170" s="4">
        <v>21.3</v>
      </c>
      <c r="J170" s="5">
        <v>21.25</v>
      </c>
      <c r="K170" s="6" t="s">
        <v>5</v>
      </c>
      <c r="L170" s="6" t="s">
        <v>5</v>
      </c>
      <c r="M170" s="6" t="s">
        <v>5</v>
      </c>
      <c r="N170" s="4">
        <v>18</v>
      </c>
      <c r="O170" s="5">
        <v>18</v>
      </c>
      <c r="P170" s="6" t="s">
        <v>5</v>
      </c>
      <c r="Q170" s="6" t="s">
        <v>5</v>
      </c>
      <c r="R170" s="6" t="s">
        <v>5</v>
      </c>
      <c r="S170" s="7">
        <v>2.38</v>
      </c>
      <c r="T170" s="5">
        <v>2.375</v>
      </c>
      <c r="U170" s="8">
        <v>1.1875</v>
      </c>
      <c r="V170" s="7">
        <v>4.29</v>
      </c>
      <c r="W170" s="8">
        <v>4.3125</v>
      </c>
      <c r="X170" s="7">
        <v>4.29</v>
      </c>
      <c r="Y170" s="6" t="s">
        <v>5</v>
      </c>
      <c r="Z170" s="6" t="s">
        <v>5</v>
      </c>
      <c r="AA170" s="7">
        <v>5.04</v>
      </c>
      <c r="AB170" s="8">
        <v>5.125</v>
      </c>
      <c r="AC170" s="5" t="s">
        <v>5</v>
      </c>
      <c r="AD170" s="6" t="s">
        <v>5</v>
      </c>
      <c r="AE170" s="9">
        <v>5.8</v>
      </c>
      <c r="AF170" s="6" t="s">
        <v>5</v>
      </c>
      <c r="AG170" s="6" t="s">
        <v>5</v>
      </c>
      <c r="AH170" s="9">
        <v>3.28</v>
      </c>
      <c r="AI170" s="9">
        <v>2.1</v>
      </c>
      <c r="AJ170" s="6" t="s">
        <v>5</v>
      </c>
      <c r="AK170" s="6" t="s">
        <v>5</v>
      </c>
      <c r="AL170" s="6" t="s">
        <v>5</v>
      </c>
      <c r="AM170" s="6" t="s">
        <v>5</v>
      </c>
      <c r="AN170" s="7">
        <v>8.9499999999999993</v>
      </c>
      <c r="AO170" s="11">
        <v>4110</v>
      </c>
      <c r="AP170" s="36">
        <v>491</v>
      </c>
      <c r="AQ170" s="10">
        <v>265</v>
      </c>
      <c r="AR170" s="9">
        <v>5.9</v>
      </c>
      <c r="AS170" s="11">
        <v>2100</v>
      </c>
      <c r="AT170" s="10">
        <v>372</v>
      </c>
      <c r="AU170" s="10">
        <v>233</v>
      </c>
      <c r="AV170" s="9">
        <v>4.22</v>
      </c>
      <c r="AW170" s="6" t="s">
        <v>5</v>
      </c>
      <c r="AX170" s="6" t="s">
        <v>5</v>
      </c>
      <c r="AY170" s="6" t="s">
        <v>5</v>
      </c>
      <c r="AZ170" s="14">
        <v>519</v>
      </c>
      <c r="BA170" s="11">
        <v>5830</v>
      </c>
      <c r="BB170" s="6" t="s">
        <v>5</v>
      </c>
      <c r="BC170" s="6" t="s">
        <v>5</v>
      </c>
      <c r="BD170" s="6" t="s">
        <v>5</v>
      </c>
      <c r="BE170" s="6" t="s">
        <v>5</v>
      </c>
      <c r="BF170" s="6" t="s">
        <v>5</v>
      </c>
      <c r="BG170" s="6" t="s">
        <v>5</v>
      </c>
      <c r="BH170" s="6" t="s">
        <v>5</v>
      </c>
      <c r="BI170" s="21">
        <v>8.1199999999999992</v>
      </c>
      <c r="BJ170" s="35">
        <v>0.79700000000000004</v>
      </c>
      <c r="BK170" s="6" t="s">
        <v>5</v>
      </c>
      <c r="BL170" s="6" t="s">
        <v>5</v>
      </c>
      <c r="BM170" s="6" t="s">
        <v>5</v>
      </c>
      <c r="BN170" s="6" t="s">
        <v>5</v>
      </c>
      <c r="BO170" s="6" t="s">
        <v>5</v>
      </c>
      <c r="BP170" s="6" t="s">
        <v>5</v>
      </c>
      <c r="BQ170" s="6" t="s">
        <v>5</v>
      </c>
      <c r="BR170" s="6" t="s">
        <v>5</v>
      </c>
      <c r="BS170" s="6" t="s">
        <v>5</v>
      </c>
      <c r="BT170" s="6" t="s">
        <v>5</v>
      </c>
      <c r="BU170" s="6" t="s">
        <v>5</v>
      </c>
      <c r="BV170" s="6" t="s">
        <v>5</v>
      </c>
      <c r="BW170" s="6" t="s">
        <v>5</v>
      </c>
      <c r="BX170" s="6" t="s">
        <v>5</v>
      </c>
      <c r="BY170" s="6" t="s">
        <v>5</v>
      </c>
      <c r="BZ170" s="6" t="s">
        <v>5</v>
      </c>
      <c r="CA170" s="4">
        <v>60</v>
      </c>
      <c r="CB170" s="6" t="s">
        <v>5</v>
      </c>
      <c r="CC170" s="4">
        <v>78</v>
      </c>
      <c r="CD170" s="4">
        <v>60.599999999999994</v>
      </c>
      <c r="CE170" s="6">
        <v>78.599999999999994</v>
      </c>
      <c r="CF170" s="16" t="s">
        <v>5</v>
      </c>
      <c r="CG170" s="5">
        <v>7.5</v>
      </c>
      <c r="CH170" s="18" t="s">
        <v>5</v>
      </c>
      <c r="CV170" s="344" t="str">
        <f t="shared" si="18"/>
        <v>WT12X51.5</v>
      </c>
      <c r="CW170" s="337">
        <v>15.1</v>
      </c>
      <c r="DE170" s="335" t="str">
        <f t="shared" si="19"/>
        <v>2L2X2X5/16</v>
      </c>
      <c r="DF170" s="338">
        <v>2.3199999999999998</v>
      </c>
      <c r="DH170" s="397" t="s">
        <v>1430</v>
      </c>
      <c r="DI170" s="398">
        <v>22.6</v>
      </c>
      <c r="DJ170" s="398">
        <v>16.5</v>
      </c>
      <c r="DK170" s="399">
        <v>0.45500000000000002</v>
      </c>
      <c r="DL170" s="398">
        <v>31.2</v>
      </c>
      <c r="DM170" s="400">
        <v>6.77</v>
      </c>
      <c r="DN170" s="401">
        <v>150</v>
      </c>
      <c r="DO170" s="402">
        <v>134</v>
      </c>
      <c r="DP170" s="117"/>
      <c r="DQ170" s="428" t="s">
        <v>1407</v>
      </c>
      <c r="DR170" s="429">
        <v>243</v>
      </c>
      <c r="DS170" s="429">
        <v>1430</v>
      </c>
      <c r="DT170" s="431"/>
      <c r="DU170" s="431"/>
      <c r="DV170" s="431"/>
      <c r="DW170" s="431"/>
      <c r="DX170" s="432"/>
      <c r="DZ170" s="447" t="s">
        <v>1461</v>
      </c>
      <c r="EA170" s="448">
        <v>40</v>
      </c>
      <c r="EB170" s="448">
        <v>11.8</v>
      </c>
      <c r="EC170" s="448">
        <v>17.899999999999999</v>
      </c>
      <c r="ED170" s="448" t="s">
        <v>1800</v>
      </c>
      <c r="EE170" s="448">
        <v>0.315</v>
      </c>
      <c r="EF170" s="449">
        <v>45062</v>
      </c>
      <c r="EG170" s="449">
        <v>45001</v>
      </c>
      <c r="EH170" s="448">
        <v>6.02</v>
      </c>
      <c r="EI170" s="448">
        <v>6</v>
      </c>
      <c r="EJ170" s="448">
        <v>0.52500000000000002</v>
      </c>
      <c r="EK170" s="449">
        <v>44928</v>
      </c>
      <c r="EL170" s="448">
        <v>5.73</v>
      </c>
      <c r="EM170" s="448">
        <v>50.9</v>
      </c>
      <c r="EN170" s="448">
        <v>612</v>
      </c>
      <c r="EO170" s="448">
        <v>68.400000000000006</v>
      </c>
      <c r="EP170" s="448">
        <v>7.21</v>
      </c>
      <c r="EQ170" s="448">
        <v>78.400000000000006</v>
      </c>
      <c r="ER170" s="448">
        <v>19.100000000000001</v>
      </c>
      <c r="ES170" s="448">
        <v>6.35</v>
      </c>
      <c r="ET170" s="448">
        <v>1.27</v>
      </c>
      <c r="EU170" s="450">
        <v>10</v>
      </c>
    </row>
    <row r="171" spans="2:151">
      <c r="B171" s="78" t="s">
        <v>145</v>
      </c>
      <c r="C171" s="79" t="s">
        <v>177</v>
      </c>
      <c r="D171" s="80" t="s">
        <v>177</v>
      </c>
      <c r="E171" s="1" t="s">
        <v>6</v>
      </c>
      <c r="F171" s="4">
        <v>361.5</v>
      </c>
      <c r="G171" s="10">
        <v>107</v>
      </c>
      <c r="H171" s="3" t="str">
        <f t="shared" si="16"/>
        <v>WT18X361.5</v>
      </c>
      <c r="I171" s="4">
        <v>20.9</v>
      </c>
      <c r="J171" s="5">
        <v>20.875</v>
      </c>
      <c r="K171" s="6" t="s">
        <v>5</v>
      </c>
      <c r="L171" s="6" t="s">
        <v>5</v>
      </c>
      <c r="M171" s="6" t="s">
        <v>5</v>
      </c>
      <c r="N171" s="4">
        <v>17.8</v>
      </c>
      <c r="O171" s="5">
        <v>17.75</v>
      </c>
      <c r="P171" s="6" t="s">
        <v>5</v>
      </c>
      <c r="Q171" s="6" t="s">
        <v>5</v>
      </c>
      <c r="R171" s="6" t="s">
        <v>5</v>
      </c>
      <c r="S171" s="7">
        <v>2.17</v>
      </c>
      <c r="T171" s="5">
        <v>2.1875</v>
      </c>
      <c r="U171" s="8">
        <v>1.125</v>
      </c>
      <c r="V171" s="7">
        <v>3.9</v>
      </c>
      <c r="W171" s="8">
        <v>3.875</v>
      </c>
      <c r="X171" s="7">
        <v>3.9</v>
      </c>
      <c r="Y171" s="6" t="s">
        <v>5</v>
      </c>
      <c r="Z171" s="6" t="s">
        <v>5</v>
      </c>
      <c r="AA171" s="7">
        <v>4.6500000000000004</v>
      </c>
      <c r="AB171" s="8">
        <v>4.6875</v>
      </c>
      <c r="AC171" s="5" t="s">
        <v>5</v>
      </c>
      <c r="AD171" s="6" t="s">
        <v>5</v>
      </c>
      <c r="AE171" s="9">
        <v>5.55</v>
      </c>
      <c r="AF171" s="6" t="s">
        <v>5</v>
      </c>
      <c r="AG171" s="6" t="s">
        <v>5</v>
      </c>
      <c r="AH171" s="9">
        <v>3.01</v>
      </c>
      <c r="AI171" s="9">
        <v>2.2799999999999998</v>
      </c>
      <c r="AJ171" s="6" t="s">
        <v>5</v>
      </c>
      <c r="AK171" s="6" t="s">
        <v>5</v>
      </c>
      <c r="AL171" s="6" t="s">
        <v>5</v>
      </c>
      <c r="AM171" s="6" t="s">
        <v>5</v>
      </c>
      <c r="AN171" s="7">
        <v>9.6300000000000008</v>
      </c>
      <c r="AO171" s="11">
        <v>3610</v>
      </c>
      <c r="AP171" s="36">
        <v>434</v>
      </c>
      <c r="AQ171" s="10">
        <v>235</v>
      </c>
      <c r="AR171" s="9">
        <v>5.81</v>
      </c>
      <c r="AS171" s="11">
        <v>1850</v>
      </c>
      <c r="AT171" s="10">
        <v>329</v>
      </c>
      <c r="AU171" s="10">
        <v>208</v>
      </c>
      <c r="AV171" s="9">
        <v>4.16</v>
      </c>
      <c r="AW171" s="6" t="s">
        <v>5</v>
      </c>
      <c r="AX171" s="6" t="s">
        <v>5</v>
      </c>
      <c r="AY171" s="6" t="s">
        <v>5</v>
      </c>
      <c r="AZ171" s="14">
        <v>390</v>
      </c>
      <c r="BA171" s="11">
        <v>4250</v>
      </c>
      <c r="BB171" s="6" t="s">
        <v>5</v>
      </c>
      <c r="BC171" s="6" t="s">
        <v>5</v>
      </c>
      <c r="BD171" s="6" t="s">
        <v>5</v>
      </c>
      <c r="BE171" s="6" t="s">
        <v>5</v>
      </c>
      <c r="BF171" s="6" t="s">
        <v>5</v>
      </c>
      <c r="BG171" s="6" t="s">
        <v>5</v>
      </c>
      <c r="BH171" s="6" t="s">
        <v>5</v>
      </c>
      <c r="BI171" s="9">
        <v>8</v>
      </c>
      <c r="BJ171" s="35">
        <v>0.79800000000000004</v>
      </c>
      <c r="BK171" s="6" t="s">
        <v>5</v>
      </c>
      <c r="BL171" s="6" t="s">
        <v>5</v>
      </c>
      <c r="BM171" s="6" t="s">
        <v>5</v>
      </c>
      <c r="BN171" s="6" t="s">
        <v>5</v>
      </c>
      <c r="BO171" s="6" t="s">
        <v>5</v>
      </c>
      <c r="BP171" s="6" t="s">
        <v>5</v>
      </c>
      <c r="BQ171" s="6" t="s">
        <v>5</v>
      </c>
      <c r="BR171" s="6" t="s">
        <v>5</v>
      </c>
      <c r="BS171" s="6" t="s">
        <v>5</v>
      </c>
      <c r="BT171" s="6" t="s">
        <v>5</v>
      </c>
      <c r="BU171" s="6" t="s">
        <v>5</v>
      </c>
      <c r="BV171" s="6" t="s">
        <v>5</v>
      </c>
      <c r="BW171" s="6" t="s">
        <v>5</v>
      </c>
      <c r="BX171" s="6" t="s">
        <v>5</v>
      </c>
      <c r="BY171" s="6" t="s">
        <v>5</v>
      </c>
      <c r="BZ171" s="6" t="s">
        <v>5</v>
      </c>
      <c r="CA171" s="4">
        <v>59</v>
      </c>
      <c r="CB171" s="6" t="s">
        <v>5</v>
      </c>
      <c r="CC171" s="4">
        <v>76.8</v>
      </c>
      <c r="CD171" s="4">
        <v>59.600000000000009</v>
      </c>
      <c r="CE171" s="6">
        <v>77.400000000000006</v>
      </c>
      <c r="CF171" s="16" t="s">
        <v>5</v>
      </c>
      <c r="CG171" s="5">
        <v>7.5</v>
      </c>
      <c r="CH171" s="18" t="s">
        <v>5</v>
      </c>
      <c r="CV171" s="344" t="str">
        <f t="shared" si="18"/>
        <v>WT13.5X51</v>
      </c>
      <c r="CW171" s="337">
        <v>15</v>
      </c>
      <c r="DE171" s="335" t="str">
        <f t="shared" si="19"/>
        <v>2L3X3X3/16</v>
      </c>
      <c r="DF171" s="338">
        <v>2.1800000000000002</v>
      </c>
      <c r="DH171" s="397" t="s">
        <v>1439</v>
      </c>
      <c r="DI171" s="398">
        <v>19.600000000000001</v>
      </c>
      <c r="DJ171" s="398">
        <v>16.3</v>
      </c>
      <c r="DK171" s="399">
        <v>0.39500000000000002</v>
      </c>
      <c r="DL171" s="398">
        <v>35.9</v>
      </c>
      <c r="DM171" s="400">
        <v>7.7</v>
      </c>
      <c r="DN171" s="401">
        <v>130</v>
      </c>
      <c r="DO171" s="402">
        <v>117</v>
      </c>
      <c r="DP171" s="117"/>
      <c r="DQ171" s="428" t="s">
        <v>1408</v>
      </c>
      <c r="DR171" s="429">
        <v>234</v>
      </c>
      <c r="DS171" s="429">
        <v>1530</v>
      </c>
      <c r="DT171" s="431"/>
      <c r="DU171" s="431"/>
      <c r="DV171" s="431"/>
      <c r="DW171" s="431"/>
      <c r="DX171" s="432"/>
      <c r="DZ171" s="447" t="s">
        <v>1470</v>
      </c>
      <c r="EA171" s="448">
        <v>35</v>
      </c>
      <c r="EB171" s="448">
        <v>10.3</v>
      </c>
      <c r="EC171" s="448">
        <v>17.7</v>
      </c>
      <c r="ED171" s="448" t="s">
        <v>1670</v>
      </c>
      <c r="EE171" s="448">
        <v>0.3</v>
      </c>
      <c r="EF171" s="449">
        <v>45062</v>
      </c>
      <c r="EG171" s="449">
        <v>45001</v>
      </c>
      <c r="EH171" s="448">
        <v>6</v>
      </c>
      <c r="EI171" s="448">
        <v>6</v>
      </c>
      <c r="EJ171" s="448">
        <v>0.42499999999999999</v>
      </c>
      <c r="EK171" s="449">
        <v>45123</v>
      </c>
      <c r="EL171" s="448">
        <v>7.06</v>
      </c>
      <c r="EM171" s="448">
        <v>53.5</v>
      </c>
      <c r="EN171" s="448">
        <v>510</v>
      </c>
      <c r="EO171" s="448">
        <v>57.6</v>
      </c>
      <c r="EP171" s="448">
        <v>7.04</v>
      </c>
      <c r="EQ171" s="448">
        <v>66.5</v>
      </c>
      <c r="ER171" s="448">
        <v>15.3</v>
      </c>
      <c r="ES171" s="448">
        <v>5.12</v>
      </c>
      <c r="ET171" s="448">
        <v>1.22</v>
      </c>
      <c r="EU171" s="450">
        <v>8.06</v>
      </c>
    </row>
    <row r="172" spans="2:151">
      <c r="B172" s="78" t="s">
        <v>145</v>
      </c>
      <c r="C172" s="79" t="s">
        <v>178</v>
      </c>
      <c r="D172" s="80" t="s">
        <v>178</v>
      </c>
      <c r="E172" s="1" t="s">
        <v>6</v>
      </c>
      <c r="F172" s="6">
        <v>326</v>
      </c>
      <c r="G172" s="4">
        <v>96.2</v>
      </c>
      <c r="H172" s="3" t="str">
        <f t="shared" si="16"/>
        <v>WT18X326</v>
      </c>
      <c r="I172" s="4">
        <v>20.5</v>
      </c>
      <c r="J172" s="5">
        <v>20.5</v>
      </c>
      <c r="K172" s="6" t="s">
        <v>5</v>
      </c>
      <c r="L172" s="6" t="s">
        <v>5</v>
      </c>
      <c r="M172" s="6" t="s">
        <v>5</v>
      </c>
      <c r="N172" s="4">
        <v>17.600000000000001</v>
      </c>
      <c r="O172" s="5">
        <v>17.625</v>
      </c>
      <c r="P172" s="5" t="s">
        <v>5</v>
      </c>
      <c r="Q172" s="6" t="s">
        <v>5</v>
      </c>
      <c r="R172" s="6" t="s">
        <v>5</v>
      </c>
      <c r="S172" s="7">
        <v>1.97</v>
      </c>
      <c r="T172" s="5">
        <v>2</v>
      </c>
      <c r="U172" s="8">
        <v>1</v>
      </c>
      <c r="V172" s="7">
        <v>3.54</v>
      </c>
      <c r="W172" s="8">
        <v>3.5625</v>
      </c>
      <c r="X172" s="7">
        <v>3.54</v>
      </c>
      <c r="Y172" s="6" t="s">
        <v>5</v>
      </c>
      <c r="Z172" s="6" t="s">
        <v>5</v>
      </c>
      <c r="AA172" s="7">
        <v>4.49</v>
      </c>
      <c r="AB172" s="8">
        <v>4.8125</v>
      </c>
      <c r="AC172" s="8" t="s">
        <v>5</v>
      </c>
      <c r="AD172" s="6" t="s">
        <v>5</v>
      </c>
      <c r="AE172" s="7">
        <v>5.35</v>
      </c>
      <c r="AF172" s="6" t="s">
        <v>5</v>
      </c>
      <c r="AG172" s="6" t="s">
        <v>5</v>
      </c>
      <c r="AH172" s="7">
        <v>2.73</v>
      </c>
      <c r="AI172" s="7">
        <v>2.48</v>
      </c>
      <c r="AJ172" s="6" t="s">
        <v>5</v>
      </c>
      <c r="AK172" s="6" t="s">
        <v>5</v>
      </c>
      <c r="AL172" s="6" t="s">
        <v>5</v>
      </c>
      <c r="AM172" s="6" t="s">
        <v>5</v>
      </c>
      <c r="AN172" s="4">
        <v>10.4</v>
      </c>
      <c r="AO172" s="6">
        <v>3160</v>
      </c>
      <c r="AP172" s="6">
        <v>383</v>
      </c>
      <c r="AQ172" s="6">
        <v>208</v>
      </c>
      <c r="AR172" s="7">
        <v>5.74</v>
      </c>
      <c r="AS172" s="6">
        <v>1610</v>
      </c>
      <c r="AT172" s="6">
        <v>290</v>
      </c>
      <c r="AU172" s="6">
        <v>184</v>
      </c>
      <c r="AV172" s="7">
        <v>4.0999999999999996</v>
      </c>
      <c r="AW172" s="6" t="s">
        <v>5</v>
      </c>
      <c r="AX172" s="6" t="s">
        <v>5</v>
      </c>
      <c r="AY172" s="6" t="s">
        <v>5</v>
      </c>
      <c r="AZ172" s="6">
        <v>295</v>
      </c>
      <c r="BA172" s="6">
        <v>3070</v>
      </c>
      <c r="BB172" s="6" t="s">
        <v>5</v>
      </c>
      <c r="BC172" s="6" t="s">
        <v>5</v>
      </c>
      <c r="BD172" s="6" t="s">
        <v>5</v>
      </c>
      <c r="BE172" s="6" t="s">
        <v>5</v>
      </c>
      <c r="BF172" s="6" t="s">
        <v>5</v>
      </c>
      <c r="BG172" s="6" t="s">
        <v>5</v>
      </c>
      <c r="BH172" s="6" t="s">
        <v>5</v>
      </c>
      <c r="BI172" s="7">
        <v>7.91</v>
      </c>
      <c r="BJ172" s="22">
        <v>0.79500000000000004</v>
      </c>
      <c r="BK172" s="6" t="s">
        <v>5</v>
      </c>
      <c r="BL172" s="2" t="s">
        <v>5</v>
      </c>
      <c r="BM172" s="2" t="s">
        <v>5</v>
      </c>
      <c r="BN172" s="2" t="s">
        <v>5</v>
      </c>
      <c r="BO172" s="2" t="s">
        <v>5</v>
      </c>
      <c r="BP172" s="2" t="s">
        <v>5</v>
      </c>
      <c r="BQ172" s="2" t="s">
        <v>5</v>
      </c>
      <c r="BR172" s="2" t="s">
        <v>5</v>
      </c>
      <c r="BS172" s="2" t="s">
        <v>5</v>
      </c>
      <c r="BT172" s="2" t="s">
        <v>5</v>
      </c>
      <c r="BU172" s="2" t="s">
        <v>5</v>
      </c>
      <c r="BV172" s="2" t="s">
        <v>5</v>
      </c>
      <c r="BW172" s="2" t="s">
        <v>5</v>
      </c>
      <c r="BX172" s="2" t="s">
        <v>5</v>
      </c>
      <c r="BY172" s="25" t="s">
        <v>5</v>
      </c>
      <c r="BZ172" s="25" t="s">
        <v>5</v>
      </c>
      <c r="CA172" s="4">
        <v>57.6</v>
      </c>
      <c r="CB172" s="6" t="s">
        <v>5</v>
      </c>
      <c r="CC172" s="4">
        <v>75.2</v>
      </c>
      <c r="CD172" s="4">
        <v>58.6</v>
      </c>
      <c r="CE172" s="6">
        <v>76.2</v>
      </c>
      <c r="CF172" s="16" t="s">
        <v>5</v>
      </c>
      <c r="CG172" s="5">
        <v>7.5</v>
      </c>
      <c r="CH172" s="18" t="s">
        <v>5</v>
      </c>
      <c r="CV172" s="344" t="str">
        <f t="shared" si="18"/>
        <v>WT10.5X50.5</v>
      </c>
      <c r="CW172" s="337">
        <v>14.9</v>
      </c>
      <c r="DE172" s="335" t="str">
        <f t="shared" si="19"/>
        <v>2L3X3X3/16</v>
      </c>
      <c r="DF172" s="338">
        <v>2.1800000000000002</v>
      </c>
      <c r="DH172" s="397" t="s">
        <v>1449</v>
      </c>
      <c r="DI172" s="398">
        <v>16.8</v>
      </c>
      <c r="DJ172" s="398">
        <v>16.399999999999999</v>
      </c>
      <c r="DK172" s="399">
        <v>0.43</v>
      </c>
      <c r="DL172" s="398">
        <v>33</v>
      </c>
      <c r="DM172" s="400">
        <v>4.9800000000000004</v>
      </c>
      <c r="DN172" s="401">
        <v>105</v>
      </c>
      <c r="DO172" s="411">
        <v>92.2</v>
      </c>
      <c r="DP172" s="115"/>
      <c r="DQ172" s="428" t="s">
        <v>1409</v>
      </c>
      <c r="DR172" s="429">
        <v>230</v>
      </c>
      <c r="DS172" s="429">
        <v>1910</v>
      </c>
      <c r="DT172" s="431"/>
      <c r="DU172" s="431"/>
      <c r="DV172" s="431"/>
      <c r="DW172" s="431"/>
      <c r="DX172" s="432"/>
      <c r="DZ172" s="447" t="s">
        <v>1416</v>
      </c>
      <c r="EA172" s="448">
        <v>100</v>
      </c>
      <c r="EB172" s="448">
        <v>29.4</v>
      </c>
      <c r="EC172" s="448">
        <v>17</v>
      </c>
      <c r="ED172" s="448">
        <v>17</v>
      </c>
      <c r="EE172" s="448">
        <v>0.58499999999999996</v>
      </c>
      <c r="EF172" s="449">
        <v>45185</v>
      </c>
      <c r="EG172" s="449">
        <v>45062</v>
      </c>
      <c r="EH172" s="448">
        <v>10.4</v>
      </c>
      <c r="EI172" s="448" t="s">
        <v>1727</v>
      </c>
      <c r="EJ172" s="448">
        <v>0.98499999999999999</v>
      </c>
      <c r="EK172" s="448">
        <v>1</v>
      </c>
      <c r="EL172" s="448">
        <v>5.29</v>
      </c>
      <c r="EM172" s="448">
        <v>24.3</v>
      </c>
      <c r="EN172" s="448">
        <v>1490</v>
      </c>
      <c r="EO172" s="448">
        <v>175</v>
      </c>
      <c r="EP172" s="448">
        <v>7.1</v>
      </c>
      <c r="EQ172" s="448">
        <v>198</v>
      </c>
      <c r="ER172" s="448">
        <v>186</v>
      </c>
      <c r="ES172" s="448">
        <v>35.700000000000003</v>
      </c>
      <c r="ET172" s="448">
        <v>2.5099999999999998</v>
      </c>
      <c r="EU172" s="450">
        <v>54.9</v>
      </c>
    </row>
    <row r="173" spans="2:151">
      <c r="B173" s="78" t="s">
        <v>145</v>
      </c>
      <c r="C173" s="79" t="s">
        <v>179</v>
      </c>
      <c r="D173" s="80" t="s">
        <v>179</v>
      </c>
      <c r="E173" s="1" t="s">
        <v>6</v>
      </c>
      <c r="F173" s="6">
        <v>264.5</v>
      </c>
      <c r="G173" s="4">
        <v>77.8</v>
      </c>
      <c r="H173" s="3" t="str">
        <f t="shared" si="16"/>
        <v>WT18X264.5</v>
      </c>
      <c r="I173" s="4">
        <v>19.899999999999999</v>
      </c>
      <c r="J173" s="5">
        <v>19.875</v>
      </c>
      <c r="K173" s="6" t="s">
        <v>5</v>
      </c>
      <c r="L173" s="6" t="s">
        <v>5</v>
      </c>
      <c r="M173" s="6" t="s">
        <v>5</v>
      </c>
      <c r="N173" s="4">
        <v>17.2</v>
      </c>
      <c r="O173" s="5">
        <v>17.25</v>
      </c>
      <c r="P173" s="5" t="s">
        <v>5</v>
      </c>
      <c r="Q173" s="6" t="s">
        <v>5</v>
      </c>
      <c r="R173" s="6" t="s">
        <v>5</v>
      </c>
      <c r="S173" s="7">
        <v>1.61</v>
      </c>
      <c r="T173" s="5">
        <v>1.625</v>
      </c>
      <c r="U173" s="8">
        <v>0.8125</v>
      </c>
      <c r="V173" s="7">
        <v>2.91</v>
      </c>
      <c r="W173" s="8">
        <v>2.9375</v>
      </c>
      <c r="X173" s="7">
        <v>2.91</v>
      </c>
      <c r="Y173" s="6" t="s">
        <v>5</v>
      </c>
      <c r="Z173" s="6" t="s">
        <v>5</v>
      </c>
      <c r="AA173" s="7">
        <v>3.86</v>
      </c>
      <c r="AB173" s="8">
        <v>4.1875</v>
      </c>
      <c r="AC173" s="8" t="s">
        <v>5</v>
      </c>
      <c r="AD173" s="6" t="s">
        <v>5</v>
      </c>
      <c r="AE173" s="7">
        <v>4.96</v>
      </c>
      <c r="AF173" s="6" t="s">
        <v>5</v>
      </c>
      <c r="AG173" s="6" t="s">
        <v>5</v>
      </c>
      <c r="AH173" s="7">
        <v>2.2599999999999998</v>
      </c>
      <c r="AI173" s="7">
        <v>2.96</v>
      </c>
      <c r="AJ173" s="6" t="s">
        <v>5</v>
      </c>
      <c r="AK173" s="6" t="s">
        <v>5</v>
      </c>
      <c r="AL173" s="6" t="s">
        <v>5</v>
      </c>
      <c r="AM173" s="6" t="s">
        <v>5</v>
      </c>
      <c r="AN173" s="4">
        <v>12.4</v>
      </c>
      <c r="AO173" s="6">
        <v>2440</v>
      </c>
      <c r="AP173" s="6">
        <v>298</v>
      </c>
      <c r="AQ173" s="6">
        <v>164</v>
      </c>
      <c r="AR173" s="7">
        <v>5.6</v>
      </c>
      <c r="AS173" s="6">
        <v>1240</v>
      </c>
      <c r="AT173" s="6">
        <v>227</v>
      </c>
      <c r="AU173" s="6">
        <v>145</v>
      </c>
      <c r="AV173" s="7">
        <v>4</v>
      </c>
      <c r="AW173" s="6" t="s">
        <v>5</v>
      </c>
      <c r="AX173" s="6" t="s">
        <v>5</v>
      </c>
      <c r="AY173" s="6" t="s">
        <v>5</v>
      </c>
      <c r="AZ173" s="6">
        <v>163</v>
      </c>
      <c r="BA173" s="6">
        <v>1600</v>
      </c>
      <c r="BB173" s="6" t="s">
        <v>5</v>
      </c>
      <c r="BC173" s="6" t="s">
        <v>5</v>
      </c>
      <c r="BD173" s="6" t="s">
        <v>5</v>
      </c>
      <c r="BE173" s="6" t="s">
        <v>5</v>
      </c>
      <c r="BF173" s="6" t="s">
        <v>5</v>
      </c>
      <c r="BG173" s="6" t="s">
        <v>5</v>
      </c>
      <c r="BH173" s="6" t="s">
        <v>5</v>
      </c>
      <c r="BI173" s="7">
        <v>7.72</v>
      </c>
      <c r="BJ173" s="22">
        <v>0.79400000000000004</v>
      </c>
      <c r="BK173" s="6" t="s">
        <v>5</v>
      </c>
      <c r="BL173" s="2" t="s">
        <v>5</v>
      </c>
      <c r="BM173" s="2" t="s">
        <v>5</v>
      </c>
      <c r="BN173" s="2" t="s">
        <v>5</v>
      </c>
      <c r="BO173" s="2" t="s">
        <v>5</v>
      </c>
      <c r="BP173" s="2" t="s">
        <v>5</v>
      </c>
      <c r="BQ173" s="2" t="s">
        <v>5</v>
      </c>
      <c r="BR173" s="2" t="s">
        <v>5</v>
      </c>
      <c r="BS173" s="2" t="s">
        <v>5</v>
      </c>
      <c r="BT173" s="2" t="s">
        <v>5</v>
      </c>
      <c r="BU173" s="2" t="s">
        <v>5</v>
      </c>
      <c r="BV173" s="2" t="s">
        <v>5</v>
      </c>
      <c r="BW173" s="2" t="s">
        <v>5</v>
      </c>
      <c r="BX173" s="2" t="s">
        <v>5</v>
      </c>
      <c r="BY173" s="25" t="s">
        <v>5</v>
      </c>
      <c r="BZ173" s="25" t="s">
        <v>5</v>
      </c>
      <c r="CA173" s="4">
        <v>56</v>
      </c>
      <c r="CB173" s="6" t="s">
        <v>5</v>
      </c>
      <c r="CC173" s="4">
        <v>73.2</v>
      </c>
      <c r="CD173" s="4">
        <v>56.999999999999986</v>
      </c>
      <c r="CE173" s="6">
        <v>74.199999999999989</v>
      </c>
      <c r="CF173" s="16" t="s">
        <v>5</v>
      </c>
      <c r="CG173" s="5">
        <v>7.5</v>
      </c>
      <c r="CH173" s="18" t="s">
        <v>5</v>
      </c>
      <c r="CV173" s="344" t="str">
        <f t="shared" si="18"/>
        <v>WT8X50</v>
      </c>
      <c r="CW173" s="337">
        <v>14.7</v>
      </c>
      <c r="DE173" s="335" t="str">
        <f t="shared" si="19"/>
        <v>2L3X3X3/16</v>
      </c>
      <c r="DF173" s="338">
        <v>2.1800000000000002</v>
      </c>
      <c r="DH173" s="397" t="s">
        <v>1455</v>
      </c>
      <c r="DI173" s="398">
        <v>14.7</v>
      </c>
      <c r="DJ173" s="398">
        <v>16.3</v>
      </c>
      <c r="DK173" s="399">
        <v>0.38</v>
      </c>
      <c r="DL173" s="398">
        <v>37.4</v>
      </c>
      <c r="DM173" s="400">
        <v>5.61</v>
      </c>
      <c r="DN173" s="398">
        <v>92</v>
      </c>
      <c r="DO173" s="411">
        <v>81</v>
      </c>
      <c r="DP173" s="115"/>
      <c r="DQ173" s="428" t="s">
        <v>1410</v>
      </c>
      <c r="DR173" s="429">
        <v>224</v>
      </c>
      <c r="DS173" s="429">
        <v>2370</v>
      </c>
      <c r="DT173" s="431"/>
      <c r="DU173" s="431"/>
      <c r="DV173" s="431"/>
      <c r="DW173" s="431"/>
      <c r="DX173" s="432"/>
      <c r="DZ173" s="447" t="s">
        <v>1422</v>
      </c>
      <c r="EA173" s="448">
        <v>89</v>
      </c>
      <c r="EB173" s="448">
        <v>26.2</v>
      </c>
      <c r="EC173" s="448">
        <v>16.8</v>
      </c>
      <c r="ED173" s="448" t="s">
        <v>1629</v>
      </c>
      <c r="EE173" s="448">
        <v>0.52500000000000002</v>
      </c>
      <c r="EF173" s="449">
        <v>44928</v>
      </c>
      <c r="EG173" s="449">
        <v>44930</v>
      </c>
      <c r="EH173" s="448">
        <v>10.4</v>
      </c>
      <c r="EI173" s="448" t="s">
        <v>1727</v>
      </c>
      <c r="EJ173" s="448">
        <v>0.875</v>
      </c>
      <c r="EK173" s="449">
        <v>45115</v>
      </c>
      <c r="EL173" s="448">
        <v>5.92</v>
      </c>
      <c r="EM173" s="448">
        <v>27</v>
      </c>
      <c r="EN173" s="448">
        <v>1300</v>
      </c>
      <c r="EO173" s="448">
        <v>155</v>
      </c>
      <c r="EP173" s="448">
        <v>7.05</v>
      </c>
      <c r="EQ173" s="448">
        <v>175</v>
      </c>
      <c r="ER173" s="448">
        <v>163</v>
      </c>
      <c r="ES173" s="448">
        <v>31.4</v>
      </c>
      <c r="ET173" s="448">
        <v>2.4900000000000002</v>
      </c>
      <c r="EU173" s="450">
        <v>48.1</v>
      </c>
    </row>
    <row r="174" spans="2:151">
      <c r="B174" s="78" t="s">
        <v>145</v>
      </c>
      <c r="C174" s="79" t="s">
        <v>180</v>
      </c>
      <c r="D174" s="80" t="s">
        <v>180</v>
      </c>
      <c r="E174" s="1" t="s">
        <v>6</v>
      </c>
      <c r="F174" s="6">
        <v>243.5</v>
      </c>
      <c r="G174" s="4">
        <v>71.7</v>
      </c>
      <c r="H174" s="3" t="str">
        <f t="shared" si="16"/>
        <v>WT18X243.5</v>
      </c>
      <c r="I174" s="4">
        <v>19.7</v>
      </c>
      <c r="J174" s="5">
        <v>19.625</v>
      </c>
      <c r="K174" s="6" t="s">
        <v>5</v>
      </c>
      <c r="L174" s="6" t="s">
        <v>5</v>
      </c>
      <c r="M174" s="6" t="s">
        <v>5</v>
      </c>
      <c r="N174" s="4">
        <v>17.100000000000001</v>
      </c>
      <c r="O174" s="5">
        <v>17.125</v>
      </c>
      <c r="P174" s="5" t="s">
        <v>5</v>
      </c>
      <c r="Q174" s="6" t="s">
        <v>5</v>
      </c>
      <c r="R174" s="6" t="s">
        <v>5</v>
      </c>
      <c r="S174" s="7">
        <v>1.5</v>
      </c>
      <c r="T174" s="5">
        <v>1.5</v>
      </c>
      <c r="U174" s="8">
        <v>0.75</v>
      </c>
      <c r="V174" s="7">
        <v>2.68</v>
      </c>
      <c r="W174" s="8">
        <v>2.6875</v>
      </c>
      <c r="X174" s="7">
        <v>2.68</v>
      </c>
      <c r="Y174" s="6" t="s">
        <v>5</v>
      </c>
      <c r="Z174" s="6" t="s">
        <v>5</v>
      </c>
      <c r="AA174" s="7">
        <v>3.63</v>
      </c>
      <c r="AB174" s="8">
        <v>4</v>
      </c>
      <c r="AC174" s="8" t="s">
        <v>5</v>
      </c>
      <c r="AD174" s="6" t="s">
        <v>5</v>
      </c>
      <c r="AE174" s="7">
        <v>4.84</v>
      </c>
      <c r="AF174" s="6" t="s">
        <v>5</v>
      </c>
      <c r="AG174" s="6" t="s">
        <v>5</v>
      </c>
      <c r="AH174" s="7">
        <v>2.1</v>
      </c>
      <c r="AI174" s="7">
        <v>3.19</v>
      </c>
      <c r="AJ174" s="6" t="s">
        <v>5</v>
      </c>
      <c r="AK174" s="6" t="s">
        <v>5</v>
      </c>
      <c r="AL174" s="6" t="s">
        <v>5</v>
      </c>
      <c r="AM174" s="6" t="s">
        <v>5</v>
      </c>
      <c r="AN174" s="4">
        <v>13.1</v>
      </c>
      <c r="AO174" s="6">
        <v>2220</v>
      </c>
      <c r="AP174" s="6">
        <v>272</v>
      </c>
      <c r="AQ174" s="6">
        <v>150</v>
      </c>
      <c r="AR174" s="7">
        <v>5.57</v>
      </c>
      <c r="AS174" s="6">
        <v>1120</v>
      </c>
      <c r="AT174" s="6">
        <v>206</v>
      </c>
      <c r="AU174" s="6">
        <v>131</v>
      </c>
      <c r="AV174" s="7">
        <v>3.96</v>
      </c>
      <c r="AW174" s="6" t="s">
        <v>5</v>
      </c>
      <c r="AX174" s="6" t="s">
        <v>5</v>
      </c>
      <c r="AY174" s="6" t="s">
        <v>5</v>
      </c>
      <c r="AZ174" s="6">
        <v>128</v>
      </c>
      <c r="BA174" s="6">
        <v>1250</v>
      </c>
      <c r="BB174" s="6" t="s">
        <v>5</v>
      </c>
      <c r="BC174" s="6" t="s">
        <v>5</v>
      </c>
      <c r="BD174" s="6" t="s">
        <v>5</v>
      </c>
      <c r="BE174" s="6" t="s">
        <v>5</v>
      </c>
      <c r="BF174" s="6" t="s">
        <v>5</v>
      </c>
      <c r="BG174" s="6" t="s">
        <v>5</v>
      </c>
      <c r="BH174" s="6" t="s">
        <v>5</v>
      </c>
      <c r="BI174" s="7">
        <v>7.68</v>
      </c>
      <c r="BJ174" s="22">
        <v>0.79200000000000004</v>
      </c>
      <c r="BK174" s="6" t="s">
        <v>5</v>
      </c>
      <c r="BL174" s="2" t="s">
        <v>5</v>
      </c>
      <c r="BM174" s="2" t="s">
        <v>5</v>
      </c>
      <c r="BN174" s="2" t="s">
        <v>5</v>
      </c>
      <c r="BO174" s="2" t="s">
        <v>5</v>
      </c>
      <c r="BP174" s="2" t="s">
        <v>5</v>
      </c>
      <c r="BQ174" s="2" t="s">
        <v>5</v>
      </c>
      <c r="BR174" s="2" t="s">
        <v>5</v>
      </c>
      <c r="BS174" s="2" t="s">
        <v>5</v>
      </c>
      <c r="BT174" s="2" t="s">
        <v>5</v>
      </c>
      <c r="BU174" s="2" t="s">
        <v>5</v>
      </c>
      <c r="BV174" s="2" t="s">
        <v>5</v>
      </c>
      <c r="BW174" s="2" t="s">
        <v>5</v>
      </c>
      <c r="BX174" s="2" t="s">
        <v>5</v>
      </c>
      <c r="BY174" s="25" t="s">
        <v>5</v>
      </c>
      <c r="BZ174" s="25" t="s">
        <v>5</v>
      </c>
      <c r="CA174" s="4">
        <v>55.5</v>
      </c>
      <c r="CB174" s="6" t="s">
        <v>5</v>
      </c>
      <c r="CC174" s="4">
        <v>72.599999999999994</v>
      </c>
      <c r="CD174" s="4">
        <v>56.499999999999993</v>
      </c>
      <c r="CE174" s="6">
        <v>73.599999999999994</v>
      </c>
      <c r="CF174" s="16" t="s">
        <v>5</v>
      </c>
      <c r="CG174" s="5">
        <v>7.5</v>
      </c>
      <c r="CH174" s="18" t="s">
        <v>5</v>
      </c>
      <c r="CV174" s="344" t="str">
        <f t="shared" si="18"/>
        <v>WT8X50</v>
      </c>
      <c r="CW174" s="337">
        <v>14.7</v>
      </c>
      <c r="DE174" s="335" t="str">
        <f t="shared" si="19"/>
        <v>2L2X2X1/4</v>
      </c>
      <c r="DF174" s="338">
        <v>1.89</v>
      </c>
      <c r="DH174" s="397" t="s">
        <v>1460</v>
      </c>
      <c r="DI174" s="398">
        <v>13.3</v>
      </c>
      <c r="DJ174" s="398">
        <v>16.100000000000001</v>
      </c>
      <c r="DK174" s="399">
        <v>0.34499999999999997</v>
      </c>
      <c r="DL174" s="398">
        <v>41.1</v>
      </c>
      <c r="DM174" s="400">
        <v>6.23</v>
      </c>
      <c r="DN174" s="398">
        <v>82.3</v>
      </c>
      <c r="DO174" s="411">
        <v>72.7</v>
      </c>
      <c r="DP174" s="115"/>
      <c r="DQ174" s="428" t="s">
        <v>1411</v>
      </c>
      <c r="DR174" s="429">
        <v>221</v>
      </c>
      <c r="DS174" s="429">
        <v>2070</v>
      </c>
      <c r="DT174" s="431"/>
      <c r="DU174" s="431"/>
      <c r="DV174" s="431"/>
      <c r="DW174" s="431"/>
      <c r="DX174" s="432"/>
      <c r="DZ174" s="447" t="s">
        <v>1430</v>
      </c>
      <c r="EA174" s="448">
        <v>77</v>
      </c>
      <c r="EB174" s="448">
        <v>22.6</v>
      </c>
      <c r="EC174" s="448">
        <v>16.5</v>
      </c>
      <c r="ED174" s="448" t="s">
        <v>1688</v>
      </c>
      <c r="EE174" s="448">
        <v>0.45500000000000002</v>
      </c>
      <c r="EF174" s="449">
        <v>45123</v>
      </c>
      <c r="EG174" s="449">
        <v>44930</v>
      </c>
      <c r="EH174" s="448">
        <v>10.3</v>
      </c>
      <c r="EI174" s="448" t="s">
        <v>1801</v>
      </c>
      <c r="EJ174" s="448">
        <v>0.76</v>
      </c>
      <c r="EK174" s="449">
        <v>44989</v>
      </c>
      <c r="EL174" s="448">
        <v>6.77</v>
      </c>
      <c r="EM174" s="448">
        <v>31.2</v>
      </c>
      <c r="EN174" s="448">
        <v>1110</v>
      </c>
      <c r="EO174" s="448">
        <v>134</v>
      </c>
      <c r="EP174" s="448">
        <v>7</v>
      </c>
      <c r="EQ174" s="448">
        <v>150</v>
      </c>
      <c r="ER174" s="448">
        <v>138</v>
      </c>
      <c r="ES174" s="448">
        <v>26.9</v>
      </c>
      <c r="ET174" s="448">
        <v>2.4700000000000002</v>
      </c>
      <c r="EU174" s="450">
        <v>41.1</v>
      </c>
    </row>
    <row r="175" spans="2:151">
      <c r="B175" s="78" t="s">
        <v>145</v>
      </c>
      <c r="C175" s="79" t="s">
        <v>181</v>
      </c>
      <c r="D175" s="80" t="s">
        <v>181</v>
      </c>
      <c r="E175" s="1" t="s">
        <v>6</v>
      </c>
      <c r="F175" s="6">
        <v>220.5</v>
      </c>
      <c r="G175" s="4">
        <v>64.900000000000006</v>
      </c>
      <c r="H175" s="3" t="str">
        <f t="shared" si="16"/>
        <v>WT18X220.5</v>
      </c>
      <c r="I175" s="4">
        <v>19.399999999999999</v>
      </c>
      <c r="J175" s="5">
        <v>19.375</v>
      </c>
      <c r="K175" s="6" t="s">
        <v>5</v>
      </c>
      <c r="L175" s="6" t="s">
        <v>5</v>
      </c>
      <c r="M175" s="6" t="s">
        <v>5</v>
      </c>
      <c r="N175" s="4">
        <v>17</v>
      </c>
      <c r="O175" s="5">
        <v>17</v>
      </c>
      <c r="P175" s="5" t="s">
        <v>5</v>
      </c>
      <c r="Q175" s="6" t="s">
        <v>5</v>
      </c>
      <c r="R175" s="6" t="s">
        <v>5</v>
      </c>
      <c r="S175" s="7">
        <v>1.36</v>
      </c>
      <c r="T175" s="5">
        <v>1.375</v>
      </c>
      <c r="U175" s="8">
        <v>0.6875</v>
      </c>
      <c r="V175" s="7">
        <v>2.44</v>
      </c>
      <c r="W175" s="8">
        <v>2.4375</v>
      </c>
      <c r="X175" s="7">
        <v>2.44</v>
      </c>
      <c r="Y175" s="6" t="s">
        <v>5</v>
      </c>
      <c r="Z175" s="6" t="s">
        <v>5</v>
      </c>
      <c r="AA175" s="7">
        <v>3.39</v>
      </c>
      <c r="AB175" s="8">
        <v>3.75</v>
      </c>
      <c r="AC175" s="8" t="s">
        <v>5</v>
      </c>
      <c r="AD175" s="6" t="s">
        <v>5</v>
      </c>
      <c r="AE175" s="7">
        <v>4.6900000000000004</v>
      </c>
      <c r="AF175" s="6" t="s">
        <v>5</v>
      </c>
      <c r="AG175" s="6" t="s">
        <v>5</v>
      </c>
      <c r="AH175" s="7">
        <v>1.91</v>
      </c>
      <c r="AI175" s="7">
        <v>3.48</v>
      </c>
      <c r="AJ175" s="6" t="s">
        <v>5</v>
      </c>
      <c r="AK175" s="6" t="s">
        <v>5</v>
      </c>
      <c r="AL175" s="6" t="s">
        <v>5</v>
      </c>
      <c r="AM175" s="6" t="s">
        <v>5</v>
      </c>
      <c r="AN175" s="4">
        <v>14.3</v>
      </c>
      <c r="AO175" s="6">
        <v>1980</v>
      </c>
      <c r="AP175" s="6">
        <v>242</v>
      </c>
      <c r="AQ175" s="6">
        <v>134</v>
      </c>
      <c r="AR175" s="7">
        <v>5.52</v>
      </c>
      <c r="AS175" s="6">
        <v>997</v>
      </c>
      <c r="AT175" s="6">
        <v>184</v>
      </c>
      <c r="AU175" s="6">
        <v>117</v>
      </c>
      <c r="AV175" s="7">
        <v>3.92</v>
      </c>
      <c r="AW175" s="6" t="s">
        <v>5</v>
      </c>
      <c r="AX175" s="6" t="s">
        <v>5</v>
      </c>
      <c r="AY175" s="6" t="s">
        <v>5</v>
      </c>
      <c r="AZ175" s="4">
        <v>96.6</v>
      </c>
      <c r="BA175" s="6">
        <v>914</v>
      </c>
      <c r="BB175" s="6" t="s">
        <v>5</v>
      </c>
      <c r="BC175" s="6" t="s">
        <v>5</v>
      </c>
      <c r="BD175" s="6" t="s">
        <v>5</v>
      </c>
      <c r="BE175" s="6" t="s">
        <v>5</v>
      </c>
      <c r="BF175" s="6" t="s">
        <v>5</v>
      </c>
      <c r="BG175" s="6" t="s">
        <v>5</v>
      </c>
      <c r="BH175" s="6" t="s">
        <v>5</v>
      </c>
      <c r="BI175" s="7">
        <v>7.6</v>
      </c>
      <c r="BJ175" s="22">
        <v>0.79200000000000004</v>
      </c>
      <c r="BK175" s="6" t="s">
        <v>5</v>
      </c>
      <c r="BL175" s="2" t="s">
        <v>5</v>
      </c>
      <c r="BM175" s="2" t="s">
        <v>5</v>
      </c>
      <c r="BN175" s="2" t="s">
        <v>5</v>
      </c>
      <c r="BO175" s="2" t="s">
        <v>5</v>
      </c>
      <c r="BP175" s="2" t="s">
        <v>5</v>
      </c>
      <c r="BQ175" s="2" t="s">
        <v>5</v>
      </c>
      <c r="BR175" s="2" t="s">
        <v>5</v>
      </c>
      <c r="BS175" s="2" t="s">
        <v>5</v>
      </c>
      <c r="BT175" s="2" t="s">
        <v>5</v>
      </c>
      <c r="BU175" s="2" t="s">
        <v>5</v>
      </c>
      <c r="BV175" s="2" t="s">
        <v>5</v>
      </c>
      <c r="BW175" s="2" t="s">
        <v>5</v>
      </c>
      <c r="BX175" s="2" t="s">
        <v>5</v>
      </c>
      <c r="BY175" s="25" t="s">
        <v>5</v>
      </c>
      <c r="BZ175" s="25" t="s">
        <v>5</v>
      </c>
      <c r="CA175" s="4">
        <v>54.8</v>
      </c>
      <c r="CB175" s="6" t="s">
        <v>5</v>
      </c>
      <c r="CC175" s="4">
        <v>71.8</v>
      </c>
      <c r="CD175" s="4">
        <v>55.8</v>
      </c>
      <c r="CE175" s="6">
        <v>72.8</v>
      </c>
      <c r="CF175" s="16" t="s">
        <v>5</v>
      </c>
      <c r="CG175" s="5">
        <v>7.5</v>
      </c>
      <c r="CH175" s="18" t="s">
        <v>5</v>
      </c>
      <c r="CV175" s="344" t="str">
        <f t="shared" si="18"/>
        <v>WT7X49.5</v>
      </c>
      <c r="CW175" s="337">
        <v>14.6</v>
      </c>
      <c r="DE175" s="335" t="str">
        <f t="shared" si="19"/>
        <v>2L2X2X1/4</v>
      </c>
      <c r="DF175" s="338">
        <v>1.89</v>
      </c>
      <c r="DH175" s="397" t="s">
        <v>1465</v>
      </c>
      <c r="DI175" s="398">
        <v>11.8</v>
      </c>
      <c r="DJ175" s="398">
        <v>16</v>
      </c>
      <c r="DK175" s="399">
        <v>0.30499999999999999</v>
      </c>
      <c r="DL175" s="398">
        <v>46.5</v>
      </c>
      <c r="DM175" s="400">
        <v>6.93</v>
      </c>
      <c r="DN175" s="398">
        <v>73</v>
      </c>
      <c r="DO175" s="411">
        <v>64.7</v>
      </c>
      <c r="DP175" s="115"/>
      <c r="DQ175" s="428" t="s">
        <v>1412</v>
      </c>
      <c r="DR175" s="429">
        <v>214</v>
      </c>
      <c r="DS175" s="429">
        <v>1240</v>
      </c>
      <c r="DT175" s="431"/>
      <c r="DU175" s="431"/>
      <c r="DV175" s="431"/>
      <c r="DW175" s="431"/>
      <c r="DX175" s="432"/>
      <c r="DZ175" s="447" t="s">
        <v>1439</v>
      </c>
      <c r="EA175" s="448">
        <v>67</v>
      </c>
      <c r="EB175" s="448">
        <v>19.600000000000001</v>
      </c>
      <c r="EC175" s="448">
        <v>16.3</v>
      </c>
      <c r="ED175" s="448" t="s">
        <v>1631</v>
      </c>
      <c r="EE175" s="448">
        <v>0.39500000000000002</v>
      </c>
      <c r="EF175" s="449">
        <v>44993</v>
      </c>
      <c r="EG175" s="449">
        <v>45001</v>
      </c>
      <c r="EH175" s="448">
        <v>10.199999999999999</v>
      </c>
      <c r="EI175" s="448" t="s">
        <v>1801</v>
      </c>
      <c r="EJ175" s="448">
        <v>0.66500000000000004</v>
      </c>
      <c r="EK175" s="449">
        <v>45246</v>
      </c>
      <c r="EL175" s="448">
        <v>7.7</v>
      </c>
      <c r="EM175" s="448">
        <v>35.9</v>
      </c>
      <c r="EN175" s="448">
        <v>954</v>
      </c>
      <c r="EO175" s="448">
        <v>117</v>
      </c>
      <c r="EP175" s="448">
        <v>6.96</v>
      </c>
      <c r="EQ175" s="448">
        <v>130</v>
      </c>
      <c r="ER175" s="448">
        <v>119</v>
      </c>
      <c r="ES175" s="448">
        <v>23.2</v>
      </c>
      <c r="ET175" s="448">
        <v>2.46</v>
      </c>
      <c r="EU175" s="450">
        <v>35.5</v>
      </c>
    </row>
    <row r="176" spans="2:151">
      <c r="B176" s="78" t="s">
        <v>145</v>
      </c>
      <c r="C176" s="79" t="s">
        <v>182</v>
      </c>
      <c r="D176" s="80" t="s">
        <v>182</v>
      </c>
      <c r="E176" s="1" t="s">
        <v>6</v>
      </c>
      <c r="F176" s="6">
        <v>197.5</v>
      </c>
      <c r="G176" s="4">
        <v>58.1</v>
      </c>
      <c r="H176" s="3" t="str">
        <f t="shared" si="16"/>
        <v>WT18X197.5</v>
      </c>
      <c r="I176" s="4">
        <v>19.2</v>
      </c>
      <c r="J176" s="5">
        <v>19.25</v>
      </c>
      <c r="K176" s="6" t="s">
        <v>5</v>
      </c>
      <c r="L176" s="6" t="s">
        <v>5</v>
      </c>
      <c r="M176" s="6" t="s">
        <v>5</v>
      </c>
      <c r="N176" s="4">
        <v>16.8</v>
      </c>
      <c r="O176" s="5">
        <v>16.875</v>
      </c>
      <c r="P176" s="5" t="s">
        <v>5</v>
      </c>
      <c r="Q176" s="6" t="s">
        <v>5</v>
      </c>
      <c r="R176" s="6" t="s">
        <v>5</v>
      </c>
      <c r="S176" s="7">
        <v>1.22</v>
      </c>
      <c r="T176" s="5">
        <v>1.25</v>
      </c>
      <c r="U176" s="8">
        <v>0.625</v>
      </c>
      <c r="V176" s="7">
        <v>2.2000000000000002</v>
      </c>
      <c r="W176" s="8">
        <v>2.1875</v>
      </c>
      <c r="X176" s="7">
        <v>2.2000000000000002</v>
      </c>
      <c r="Y176" s="6" t="s">
        <v>5</v>
      </c>
      <c r="Z176" s="6" t="s">
        <v>5</v>
      </c>
      <c r="AA176" s="7">
        <v>3.15</v>
      </c>
      <c r="AB176" s="8">
        <v>3.4375</v>
      </c>
      <c r="AC176" s="8" t="s">
        <v>5</v>
      </c>
      <c r="AD176" s="6" t="s">
        <v>5</v>
      </c>
      <c r="AE176" s="7">
        <v>4.53</v>
      </c>
      <c r="AF176" s="6" t="s">
        <v>5</v>
      </c>
      <c r="AG176" s="6" t="s">
        <v>5</v>
      </c>
      <c r="AH176" s="7">
        <v>1.73</v>
      </c>
      <c r="AI176" s="7">
        <v>3.83</v>
      </c>
      <c r="AJ176" s="6" t="s">
        <v>5</v>
      </c>
      <c r="AK176" s="6" t="s">
        <v>5</v>
      </c>
      <c r="AL176" s="6" t="s">
        <v>5</v>
      </c>
      <c r="AM176" s="6" t="s">
        <v>5</v>
      </c>
      <c r="AN176" s="4">
        <v>15.7</v>
      </c>
      <c r="AO176" s="6">
        <v>1740</v>
      </c>
      <c r="AP176" s="6">
        <v>213</v>
      </c>
      <c r="AQ176" s="6">
        <v>119</v>
      </c>
      <c r="AR176" s="7">
        <v>5.47</v>
      </c>
      <c r="AS176" s="6">
        <v>877</v>
      </c>
      <c r="AT176" s="6">
        <v>162</v>
      </c>
      <c r="AU176" s="6">
        <v>104</v>
      </c>
      <c r="AV176" s="7">
        <v>3.88</v>
      </c>
      <c r="AW176" s="6" t="s">
        <v>5</v>
      </c>
      <c r="AX176" s="6" t="s">
        <v>5</v>
      </c>
      <c r="AY176" s="6" t="s">
        <v>5</v>
      </c>
      <c r="AZ176" s="4">
        <v>70.7</v>
      </c>
      <c r="BA176" s="6">
        <v>652</v>
      </c>
      <c r="BB176" s="6" t="s">
        <v>5</v>
      </c>
      <c r="BC176" s="6" t="s">
        <v>5</v>
      </c>
      <c r="BD176" s="6" t="s">
        <v>5</v>
      </c>
      <c r="BE176" s="6" t="s">
        <v>5</v>
      </c>
      <c r="BF176" s="6" t="s">
        <v>5</v>
      </c>
      <c r="BG176" s="6" t="s">
        <v>5</v>
      </c>
      <c r="BH176" s="6" t="s">
        <v>5</v>
      </c>
      <c r="BI176" s="7">
        <v>7.54</v>
      </c>
      <c r="BJ176" s="22">
        <v>0.79200000000000004</v>
      </c>
      <c r="BK176" s="6" t="s">
        <v>5</v>
      </c>
      <c r="BL176" s="2" t="s">
        <v>5</v>
      </c>
      <c r="BM176" s="2" t="s">
        <v>5</v>
      </c>
      <c r="BN176" s="2" t="s">
        <v>5</v>
      </c>
      <c r="BO176" s="2" t="s">
        <v>5</v>
      </c>
      <c r="BP176" s="2" t="s">
        <v>5</v>
      </c>
      <c r="BQ176" s="2" t="s">
        <v>5</v>
      </c>
      <c r="BR176" s="2" t="s">
        <v>5</v>
      </c>
      <c r="BS176" s="2" t="s">
        <v>5</v>
      </c>
      <c r="BT176" s="2" t="s">
        <v>5</v>
      </c>
      <c r="BU176" s="2" t="s">
        <v>5</v>
      </c>
      <c r="BV176" s="2" t="s">
        <v>5</v>
      </c>
      <c r="BW176" s="2" t="s">
        <v>5</v>
      </c>
      <c r="BX176" s="2" t="s">
        <v>5</v>
      </c>
      <c r="BY176" s="25" t="s">
        <v>5</v>
      </c>
      <c r="BZ176" s="25" t="s">
        <v>5</v>
      </c>
      <c r="CA176" s="4">
        <v>54.2</v>
      </c>
      <c r="CB176" s="6" t="s">
        <v>5</v>
      </c>
      <c r="CC176" s="4">
        <v>71</v>
      </c>
      <c r="CD176" s="4">
        <v>55.2</v>
      </c>
      <c r="CE176" s="4">
        <v>72</v>
      </c>
      <c r="CF176" s="16" t="s">
        <v>5</v>
      </c>
      <c r="CG176" s="5">
        <v>7.5</v>
      </c>
      <c r="CH176" s="18" t="s">
        <v>5</v>
      </c>
      <c r="CV176" s="344" t="str">
        <f t="shared" si="18"/>
        <v>WT15X49.5</v>
      </c>
      <c r="CW176" s="337">
        <v>14.5</v>
      </c>
      <c r="DE176" s="335" t="str">
        <f t="shared" si="19"/>
        <v>2L2X2X1/4</v>
      </c>
      <c r="DF176" s="338">
        <v>1.89</v>
      </c>
      <c r="DH176" s="397" t="s">
        <v>1472</v>
      </c>
      <c r="DI176" s="398">
        <v>10.6</v>
      </c>
      <c r="DJ176" s="398">
        <v>15.9</v>
      </c>
      <c r="DK176" s="399">
        <v>0.29499999999999998</v>
      </c>
      <c r="DL176" s="398">
        <v>48.1</v>
      </c>
      <c r="DM176" s="400">
        <v>8.1199999999999992</v>
      </c>
      <c r="DN176" s="398">
        <v>64</v>
      </c>
      <c r="DO176" s="411">
        <v>56.5</v>
      </c>
      <c r="DP176" s="115"/>
      <c r="DQ176" s="428" t="s">
        <v>1413</v>
      </c>
      <c r="DR176" s="429">
        <v>212</v>
      </c>
      <c r="DS176" s="429">
        <v>1380</v>
      </c>
      <c r="DT176" s="431"/>
      <c r="DU176" s="431"/>
      <c r="DV176" s="431"/>
      <c r="DW176" s="431"/>
      <c r="DX176" s="432"/>
      <c r="DZ176" s="447" t="s">
        <v>1449</v>
      </c>
      <c r="EA176" s="448">
        <v>57</v>
      </c>
      <c r="EB176" s="448">
        <v>16.8</v>
      </c>
      <c r="EC176" s="448">
        <v>16.399999999999999</v>
      </c>
      <c r="ED176" s="448" t="s">
        <v>1631</v>
      </c>
      <c r="EE176" s="448">
        <v>0.43</v>
      </c>
      <c r="EF176" s="449">
        <v>45123</v>
      </c>
      <c r="EG176" s="449">
        <v>44930</v>
      </c>
      <c r="EH176" s="448">
        <v>7.12</v>
      </c>
      <c r="EI176" s="448" t="s">
        <v>1802</v>
      </c>
      <c r="EJ176" s="448">
        <v>0.71499999999999997</v>
      </c>
      <c r="EK176" s="449">
        <v>45246</v>
      </c>
      <c r="EL176" s="448">
        <v>4.9800000000000004</v>
      </c>
      <c r="EM176" s="448">
        <v>33</v>
      </c>
      <c r="EN176" s="448">
        <v>758</v>
      </c>
      <c r="EO176" s="448">
        <v>92.2</v>
      </c>
      <c r="EP176" s="448">
        <v>6.72</v>
      </c>
      <c r="EQ176" s="448">
        <v>105</v>
      </c>
      <c r="ER176" s="448">
        <v>43.1</v>
      </c>
      <c r="ES176" s="448">
        <v>12.1</v>
      </c>
      <c r="ET176" s="448">
        <v>1.6</v>
      </c>
      <c r="EU176" s="450">
        <v>18.899999999999999</v>
      </c>
    </row>
    <row r="177" spans="2:151">
      <c r="B177" s="78" t="s">
        <v>145</v>
      </c>
      <c r="C177" s="79" t="s">
        <v>183</v>
      </c>
      <c r="D177" s="80" t="s">
        <v>183</v>
      </c>
      <c r="E177" s="1" t="s">
        <v>6</v>
      </c>
      <c r="F177" s="6">
        <v>180.5</v>
      </c>
      <c r="G177" s="4">
        <v>53</v>
      </c>
      <c r="H177" s="3" t="str">
        <f t="shared" si="16"/>
        <v>WT18X180.5</v>
      </c>
      <c r="I177" s="4">
        <v>19</v>
      </c>
      <c r="J177" s="5">
        <v>19</v>
      </c>
      <c r="K177" s="6" t="s">
        <v>5</v>
      </c>
      <c r="L177" s="6" t="s">
        <v>5</v>
      </c>
      <c r="M177" s="6" t="s">
        <v>5</v>
      </c>
      <c r="N177" s="4">
        <v>16.7</v>
      </c>
      <c r="O177" s="5">
        <v>16.75</v>
      </c>
      <c r="P177" s="5" t="s">
        <v>5</v>
      </c>
      <c r="Q177" s="6" t="s">
        <v>5</v>
      </c>
      <c r="R177" s="6" t="s">
        <v>5</v>
      </c>
      <c r="S177" s="7">
        <v>1.1200000000000001</v>
      </c>
      <c r="T177" s="5">
        <v>1.125</v>
      </c>
      <c r="U177" s="8">
        <v>0.5625</v>
      </c>
      <c r="V177" s="7">
        <v>2.0099999999999998</v>
      </c>
      <c r="W177" s="8">
        <v>2</v>
      </c>
      <c r="X177" s="7">
        <v>2.0099999999999998</v>
      </c>
      <c r="Y177" s="6" t="s">
        <v>5</v>
      </c>
      <c r="Z177" s="6" t="s">
        <v>5</v>
      </c>
      <c r="AA177" s="7">
        <v>2.96</v>
      </c>
      <c r="AB177" s="8">
        <v>3.3125</v>
      </c>
      <c r="AC177" s="8" t="s">
        <v>5</v>
      </c>
      <c r="AD177" s="6" t="s">
        <v>5</v>
      </c>
      <c r="AE177" s="7">
        <v>4.42</v>
      </c>
      <c r="AF177" s="6" t="s">
        <v>5</v>
      </c>
      <c r="AG177" s="6" t="s">
        <v>5</v>
      </c>
      <c r="AH177" s="7">
        <v>1.59</v>
      </c>
      <c r="AI177" s="7">
        <v>4.16</v>
      </c>
      <c r="AJ177" s="6" t="s">
        <v>5</v>
      </c>
      <c r="AK177" s="6" t="s">
        <v>5</v>
      </c>
      <c r="AL177" s="6" t="s">
        <v>5</v>
      </c>
      <c r="AM177" s="6" t="s">
        <v>5</v>
      </c>
      <c r="AN177" s="4">
        <v>17</v>
      </c>
      <c r="AO177" s="6">
        <v>1570</v>
      </c>
      <c r="AP177" s="6">
        <v>192</v>
      </c>
      <c r="AQ177" s="6">
        <v>107</v>
      </c>
      <c r="AR177" s="7">
        <v>5.43</v>
      </c>
      <c r="AS177" s="6">
        <v>786</v>
      </c>
      <c r="AT177" s="6">
        <v>146</v>
      </c>
      <c r="AU177" s="4">
        <v>94</v>
      </c>
      <c r="AV177" s="7">
        <v>3.85</v>
      </c>
      <c r="AW177" s="6" t="s">
        <v>5</v>
      </c>
      <c r="AX177" s="6" t="s">
        <v>5</v>
      </c>
      <c r="AY177" s="6" t="s">
        <v>5</v>
      </c>
      <c r="AZ177" s="4">
        <v>54.1</v>
      </c>
      <c r="BA177" s="6">
        <v>491</v>
      </c>
      <c r="BB177" s="6" t="s">
        <v>5</v>
      </c>
      <c r="BC177" s="6" t="s">
        <v>5</v>
      </c>
      <c r="BD177" s="6" t="s">
        <v>5</v>
      </c>
      <c r="BE177" s="6" t="s">
        <v>5</v>
      </c>
      <c r="BF177" s="6" t="s">
        <v>5</v>
      </c>
      <c r="BG177" s="6" t="s">
        <v>5</v>
      </c>
      <c r="BH177" s="6" t="s">
        <v>5</v>
      </c>
      <c r="BI177" s="7">
        <v>7.49</v>
      </c>
      <c r="BJ177" s="22">
        <v>0.79200000000000004</v>
      </c>
      <c r="BK177" s="6" t="s">
        <v>5</v>
      </c>
      <c r="BL177" s="2" t="s">
        <v>5</v>
      </c>
      <c r="BM177" s="2" t="s">
        <v>5</v>
      </c>
      <c r="BN177" s="2" t="s">
        <v>5</v>
      </c>
      <c r="BO177" s="2" t="s">
        <v>5</v>
      </c>
      <c r="BP177" s="2" t="s">
        <v>5</v>
      </c>
      <c r="BQ177" s="2" t="s">
        <v>5</v>
      </c>
      <c r="BR177" s="2" t="s">
        <v>5</v>
      </c>
      <c r="BS177" s="2" t="s">
        <v>5</v>
      </c>
      <c r="BT177" s="2" t="s">
        <v>5</v>
      </c>
      <c r="BU177" s="2" t="s">
        <v>5</v>
      </c>
      <c r="BV177" s="2" t="s">
        <v>5</v>
      </c>
      <c r="BW177" s="2" t="s">
        <v>5</v>
      </c>
      <c r="BX177" s="2" t="s">
        <v>5</v>
      </c>
      <c r="BY177" s="25" t="s">
        <v>5</v>
      </c>
      <c r="BZ177" s="25" t="s">
        <v>5</v>
      </c>
      <c r="CA177" s="4">
        <v>53.7</v>
      </c>
      <c r="CB177" s="6" t="s">
        <v>5</v>
      </c>
      <c r="CC177" s="4">
        <v>70.400000000000006</v>
      </c>
      <c r="CD177" s="4">
        <v>54.7</v>
      </c>
      <c r="CE177" s="6">
        <v>71.400000000000006</v>
      </c>
      <c r="CF177" s="16" t="s">
        <v>5</v>
      </c>
      <c r="CG177" s="5">
        <v>7.5</v>
      </c>
      <c r="CH177" s="18" t="s">
        <v>5</v>
      </c>
      <c r="CV177" s="344" t="str">
        <f t="shared" si="18"/>
        <v>WT9X48.5</v>
      </c>
      <c r="CW177" s="337">
        <v>14.2</v>
      </c>
      <c r="DE177" s="335" t="str">
        <f t="shared" si="19"/>
        <v>2L2-1/2X2-1/2X3/16</v>
      </c>
      <c r="DF177" s="338">
        <v>1.8</v>
      </c>
      <c r="DH177" s="397" t="s">
        <v>1479</v>
      </c>
      <c r="DI177" s="400">
        <v>9.1300000000000008</v>
      </c>
      <c r="DJ177" s="398">
        <v>15.9</v>
      </c>
      <c r="DK177" s="399">
        <v>0.27500000000000002</v>
      </c>
      <c r="DL177" s="398">
        <v>51.6</v>
      </c>
      <c r="DM177" s="400">
        <v>6.28</v>
      </c>
      <c r="DN177" s="398">
        <v>54</v>
      </c>
      <c r="DO177" s="411">
        <v>47.2</v>
      </c>
      <c r="DP177" s="115"/>
      <c r="DQ177" s="428" t="s">
        <v>1414</v>
      </c>
      <c r="DR177" s="429">
        <v>211</v>
      </c>
      <c r="DS177" s="429">
        <v>1750</v>
      </c>
      <c r="DT177" s="431"/>
      <c r="DU177" s="431"/>
      <c r="DV177" s="431"/>
      <c r="DW177" s="431"/>
      <c r="DX177" s="432"/>
      <c r="DZ177" s="447" t="s">
        <v>1455</v>
      </c>
      <c r="EA177" s="448">
        <v>50</v>
      </c>
      <c r="EB177" s="448">
        <v>14.7</v>
      </c>
      <c r="EC177" s="448">
        <v>16.3</v>
      </c>
      <c r="ED177" s="448" t="s">
        <v>1635</v>
      </c>
      <c r="EE177" s="448">
        <v>0.38</v>
      </c>
      <c r="EF177" s="449">
        <v>44993</v>
      </c>
      <c r="EG177" s="449">
        <v>45001</v>
      </c>
      <c r="EH177" s="448">
        <v>7.07</v>
      </c>
      <c r="EI177" s="448" t="s">
        <v>1802</v>
      </c>
      <c r="EJ177" s="448">
        <v>0.63</v>
      </c>
      <c r="EK177" s="449">
        <v>45054</v>
      </c>
      <c r="EL177" s="448">
        <v>5.61</v>
      </c>
      <c r="EM177" s="448">
        <v>37.4</v>
      </c>
      <c r="EN177" s="448">
        <v>659</v>
      </c>
      <c r="EO177" s="448">
        <v>81</v>
      </c>
      <c r="EP177" s="448">
        <v>6.68</v>
      </c>
      <c r="EQ177" s="448">
        <v>92</v>
      </c>
      <c r="ER177" s="448">
        <v>37.200000000000003</v>
      </c>
      <c r="ES177" s="448">
        <v>10.5</v>
      </c>
      <c r="ET177" s="448">
        <v>1.59</v>
      </c>
      <c r="EU177" s="450">
        <v>16.3</v>
      </c>
    </row>
    <row r="178" spans="2:151">
      <c r="B178" s="78" t="s">
        <v>145</v>
      </c>
      <c r="C178" s="79" t="s">
        <v>184</v>
      </c>
      <c r="D178" s="80" t="s">
        <v>184</v>
      </c>
      <c r="E178" s="1" t="s">
        <v>4</v>
      </c>
      <c r="F178" s="6">
        <v>165</v>
      </c>
      <c r="G178" s="4">
        <v>48.4</v>
      </c>
      <c r="H178" s="3" t="str">
        <f t="shared" si="16"/>
        <v>WT18X165</v>
      </c>
      <c r="I178" s="4">
        <v>18.8</v>
      </c>
      <c r="J178" s="5">
        <v>18.875</v>
      </c>
      <c r="K178" s="6" t="s">
        <v>5</v>
      </c>
      <c r="L178" s="6" t="s">
        <v>5</v>
      </c>
      <c r="M178" s="6" t="s">
        <v>5</v>
      </c>
      <c r="N178" s="4">
        <v>16.600000000000001</v>
      </c>
      <c r="O178" s="5">
        <v>16.625</v>
      </c>
      <c r="P178" s="5" t="s">
        <v>5</v>
      </c>
      <c r="Q178" s="6" t="s">
        <v>5</v>
      </c>
      <c r="R178" s="6" t="s">
        <v>5</v>
      </c>
      <c r="S178" s="7">
        <v>1.02</v>
      </c>
      <c r="T178" s="5">
        <v>1</v>
      </c>
      <c r="U178" s="8">
        <v>0.5</v>
      </c>
      <c r="V178" s="7">
        <v>1.85</v>
      </c>
      <c r="W178" s="8">
        <v>1.875</v>
      </c>
      <c r="X178" s="7">
        <v>1.85</v>
      </c>
      <c r="Y178" s="6" t="s">
        <v>5</v>
      </c>
      <c r="Z178" s="6" t="s">
        <v>5</v>
      </c>
      <c r="AA178" s="7">
        <v>2.8</v>
      </c>
      <c r="AB178" s="8">
        <v>3.125</v>
      </c>
      <c r="AC178" s="8" t="s">
        <v>5</v>
      </c>
      <c r="AD178" s="6" t="s">
        <v>5</v>
      </c>
      <c r="AE178" s="7">
        <v>4.3</v>
      </c>
      <c r="AF178" s="6" t="s">
        <v>5</v>
      </c>
      <c r="AG178" s="6" t="s">
        <v>5</v>
      </c>
      <c r="AH178" s="7">
        <v>1.46</v>
      </c>
      <c r="AI178" s="7">
        <v>4.49</v>
      </c>
      <c r="AJ178" s="6" t="s">
        <v>5</v>
      </c>
      <c r="AK178" s="6" t="s">
        <v>5</v>
      </c>
      <c r="AL178" s="6" t="s">
        <v>5</v>
      </c>
      <c r="AM178" s="6" t="s">
        <v>5</v>
      </c>
      <c r="AN178" s="4">
        <v>18.399999999999999</v>
      </c>
      <c r="AO178" s="6">
        <v>1410</v>
      </c>
      <c r="AP178" s="6">
        <v>173</v>
      </c>
      <c r="AQ178" s="4">
        <v>97</v>
      </c>
      <c r="AR178" s="7">
        <v>5.39</v>
      </c>
      <c r="AS178" s="6">
        <v>711</v>
      </c>
      <c r="AT178" s="6">
        <v>132</v>
      </c>
      <c r="AU178" s="4">
        <v>85.5</v>
      </c>
      <c r="AV178" s="7">
        <v>3.83</v>
      </c>
      <c r="AW178" s="6" t="s">
        <v>5</v>
      </c>
      <c r="AX178" s="6" t="s">
        <v>5</v>
      </c>
      <c r="AY178" s="6" t="s">
        <v>5</v>
      </c>
      <c r="AZ178" s="4">
        <v>42</v>
      </c>
      <c r="BA178" s="6">
        <v>372</v>
      </c>
      <c r="BB178" s="6" t="s">
        <v>5</v>
      </c>
      <c r="BC178" s="6" t="s">
        <v>5</v>
      </c>
      <c r="BD178" s="6" t="s">
        <v>5</v>
      </c>
      <c r="BE178" s="6" t="s">
        <v>5</v>
      </c>
      <c r="BF178" s="6" t="s">
        <v>5</v>
      </c>
      <c r="BG178" s="6" t="s">
        <v>5</v>
      </c>
      <c r="BH178" s="6" t="s">
        <v>5</v>
      </c>
      <c r="BI178" s="7">
        <v>7.43</v>
      </c>
      <c r="BJ178" s="22">
        <v>0.79300000000000004</v>
      </c>
      <c r="BK178" s="6" t="s">
        <v>5</v>
      </c>
      <c r="BL178" s="2" t="s">
        <v>5</v>
      </c>
      <c r="BM178" s="2" t="s">
        <v>5</v>
      </c>
      <c r="BN178" s="2" t="s">
        <v>5</v>
      </c>
      <c r="BO178" s="2" t="s">
        <v>5</v>
      </c>
      <c r="BP178" s="2" t="s">
        <v>5</v>
      </c>
      <c r="BQ178" s="2" t="s">
        <v>5</v>
      </c>
      <c r="BR178" s="2" t="s">
        <v>5</v>
      </c>
      <c r="BS178" s="2" t="s">
        <v>5</v>
      </c>
      <c r="BT178" s="2" t="s">
        <v>5</v>
      </c>
      <c r="BU178" s="2" t="s">
        <v>5</v>
      </c>
      <c r="BV178" s="2" t="s">
        <v>5</v>
      </c>
      <c r="BW178" s="2" t="s">
        <v>5</v>
      </c>
      <c r="BX178" s="2" t="s">
        <v>5</v>
      </c>
      <c r="BY178" s="25" t="s">
        <v>5</v>
      </c>
      <c r="BZ178" s="25" t="s">
        <v>5</v>
      </c>
      <c r="CA178" s="4">
        <v>53.2</v>
      </c>
      <c r="CB178" s="6" t="s">
        <v>5</v>
      </c>
      <c r="CC178" s="4">
        <v>69.8</v>
      </c>
      <c r="CD178" s="4">
        <v>54.20000000000001</v>
      </c>
      <c r="CE178" s="6">
        <v>70.800000000000011</v>
      </c>
      <c r="CF178" s="16" t="s">
        <v>5</v>
      </c>
      <c r="CG178" s="5">
        <v>7.5</v>
      </c>
      <c r="CH178" s="18" t="s">
        <v>5</v>
      </c>
      <c r="CV178" s="344" t="str">
        <f t="shared" si="18"/>
        <v>WT6X48</v>
      </c>
      <c r="CW178" s="337">
        <v>14.1</v>
      </c>
      <c r="DE178" s="335" t="str">
        <f t="shared" si="19"/>
        <v>2L2-1/2X2-1/2X3/16</v>
      </c>
      <c r="DF178" s="338">
        <v>1.8</v>
      </c>
      <c r="DH178" s="397" t="s">
        <v>1484</v>
      </c>
      <c r="DI178" s="400">
        <v>7.68</v>
      </c>
      <c r="DJ178" s="398">
        <v>15.7</v>
      </c>
      <c r="DK178" s="399">
        <v>0.25</v>
      </c>
      <c r="DL178" s="398">
        <v>56.8</v>
      </c>
      <c r="DM178" s="400">
        <v>7.97</v>
      </c>
      <c r="DN178" s="398">
        <v>44.2</v>
      </c>
      <c r="DO178" s="411">
        <v>38.4</v>
      </c>
      <c r="DP178" s="115"/>
      <c r="DQ178" s="428" t="s">
        <v>1415</v>
      </c>
      <c r="DR178" s="429">
        <v>200</v>
      </c>
      <c r="DS178" s="429">
        <v>2100</v>
      </c>
      <c r="DT178" s="431"/>
      <c r="DU178" s="431"/>
      <c r="DV178" s="431"/>
      <c r="DW178" s="431"/>
      <c r="DX178" s="432"/>
      <c r="DZ178" s="447" t="s">
        <v>1460</v>
      </c>
      <c r="EA178" s="448">
        <v>45</v>
      </c>
      <c r="EB178" s="448">
        <v>13.3</v>
      </c>
      <c r="EC178" s="448">
        <v>16.100000000000001</v>
      </c>
      <c r="ED178" s="448" t="s">
        <v>1637</v>
      </c>
      <c r="EE178" s="448">
        <v>0.34499999999999997</v>
      </c>
      <c r="EF178" s="449">
        <v>44993</v>
      </c>
      <c r="EG178" s="449">
        <v>45001</v>
      </c>
      <c r="EH178" s="448">
        <v>7.04</v>
      </c>
      <c r="EI178" s="448">
        <v>7</v>
      </c>
      <c r="EJ178" s="448">
        <v>0.56499999999999995</v>
      </c>
      <c r="EK178" s="449">
        <v>45185</v>
      </c>
      <c r="EL178" s="448">
        <v>6.23</v>
      </c>
      <c r="EM178" s="448">
        <v>41.1</v>
      </c>
      <c r="EN178" s="448">
        <v>586</v>
      </c>
      <c r="EO178" s="448">
        <v>72.7</v>
      </c>
      <c r="EP178" s="448">
        <v>6.65</v>
      </c>
      <c r="EQ178" s="448">
        <v>82.3</v>
      </c>
      <c r="ER178" s="448">
        <v>32.799999999999997</v>
      </c>
      <c r="ES178" s="448">
        <v>9.34</v>
      </c>
      <c r="ET178" s="448">
        <v>1.57</v>
      </c>
      <c r="EU178" s="450">
        <v>14.5</v>
      </c>
    </row>
    <row r="179" spans="2:151">
      <c r="B179" s="78" t="s">
        <v>145</v>
      </c>
      <c r="C179" s="79" t="s">
        <v>185</v>
      </c>
      <c r="D179" s="80" t="s">
        <v>185</v>
      </c>
      <c r="E179" s="1" t="s">
        <v>4</v>
      </c>
      <c r="F179" s="6">
        <v>151</v>
      </c>
      <c r="G179" s="4">
        <v>44.5</v>
      </c>
      <c r="H179" s="3" t="str">
        <f t="shared" si="16"/>
        <v>WT18X151</v>
      </c>
      <c r="I179" s="4">
        <v>18.7</v>
      </c>
      <c r="J179" s="5">
        <v>18.625</v>
      </c>
      <c r="K179" s="6" t="s">
        <v>5</v>
      </c>
      <c r="L179" s="6" t="s">
        <v>5</v>
      </c>
      <c r="M179" s="6" t="s">
        <v>5</v>
      </c>
      <c r="N179" s="4">
        <v>16.7</v>
      </c>
      <c r="O179" s="5">
        <v>16.625</v>
      </c>
      <c r="P179" s="5" t="s">
        <v>5</v>
      </c>
      <c r="Q179" s="6" t="s">
        <v>5</v>
      </c>
      <c r="R179" s="6" t="s">
        <v>5</v>
      </c>
      <c r="S179" s="22">
        <v>0.94499999999999995</v>
      </c>
      <c r="T179" s="5">
        <v>0.9375</v>
      </c>
      <c r="U179" s="8">
        <v>0.5</v>
      </c>
      <c r="V179" s="7">
        <v>1.68</v>
      </c>
      <c r="W179" s="8">
        <v>1.6875</v>
      </c>
      <c r="X179" s="7">
        <v>1.68</v>
      </c>
      <c r="Y179" s="6" t="s">
        <v>5</v>
      </c>
      <c r="Z179" s="6" t="s">
        <v>5</v>
      </c>
      <c r="AA179" s="7">
        <v>2.63</v>
      </c>
      <c r="AB179" s="8">
        <v>3</v>
      </c>
      <c r="AC179" s="8" t="s">
        <v>5</v>
      </c>
      <c r="AD179" s="6" t="s">
        <v>5</v>
      </c>
      <c r="AE179" s="7">
        <v>4.22</v>
      </c>
      <c r="AF179" s="6" t="s">
        <v>5</v>
      </c>
      <c r="AG179" s="6" t="s">
        <v>5</v>
      </c>
      <c r="AH179" s="7">
        <v>1.33</v>
      </c>
      <c r="AI179" s="7">
        <v>4.96</v>
      </c>
      <c r="AJ179" s="6" t="s">
        <v>5</v>
      </c>
      <c r="AK179" s="6" t="s">
        <v>5</v>
      </c>
      <c r="AL179" s="6" t="s">
        <v>5</v>
      </c>
      <c r="AM179" s="6" t="s">
        <v>5</v>
      </c>
      <c r="AN179" s="4">
        <v>19.8</v>
      </c>
      <c r="AO179" s="6">
        <v>1280</v>
      </c>
      <c r="AP179" s="6">
        <v>158</v>
      </c>
      <c r="AQ179" s="4">
        <v>88.8</v>
      </c>
      <c r="AR179" s="7">
        <v>5.37</v>
      </c>
      <c r="AS179" s="6">
        <v>648</v>
      </c>
      <c r="AT179" s="6">
        <v>120</v>
      </c>
      <c r="AU179" s="4">
        <v>77.8</v>
      </c>
      <c r="AV179" s="7">
        <v>3.82</v>
      </c>
      <c r="AW179" s="6" t="s">
        <v>5</v>
      </c>
      <c r="AX179" s="6" t="s">
        <v>5</v>
      </c>
      <c r="AY179" s="6" t="s">
        <v>5</v>
      </c>
      <c r="AZ179" s="4">
        <v>32.1</v>
      </c>
      <c r="BA179" s="6">
        <v>285</v>
      </c>
      <c r="BB179" s="6" t="s">
        <v>5</v>
      </c>
      <c r="BC179" s="6" t="s">
        <v>5</v>
      </c>
      <c r="BD179" s="6" t="s">
        <v>5</v>
      </c>
      <c r="BE179" s="6" t="s">
        <v>5</v>
      </c>
      <c r="BF179" s="6" t="s">
        <v>5</v>
      </c>
      <c r="BG179" s="6" t="s">
        <v>5</v>
      </c>
      <c r="BH179" s="6" t="s">
        <v>5</v>
      </c>
      <c r="BI179" s="7">
        <v>7.41</v>
      </c>
      <c r="BJ179" s="22">
        <v>0.79200000000000004</v>
      </c>
      <c r="BK179" s="6" t="s">
        <v>5</v>
      </c>
      <c r="BL179" s="2" t="s">
        <v>5</v>
      </c>
      <c r="BM179" s="2" t="s">
        <v>5</v>
      </c>
      <c r="BN179" s="2" t="s">
        <v>5</v>
      </c>
      <c r="BO179" s="2" t="s">
        <v>5</v>
      </c>
      <c r="BP179" s="2" t="s">
        <v>5</v>
      </c>
      <c r="BQ179" s="2" t="s">
        <v>5</v>
      </c>
      <c r="BR179" s="2" t="s">
        <v>5</v>
      </c>
      <c r="BS179" s="2" t="s">
        <v>5</v>
      </c>
      <c r="BT179" s="2" t="s">
        <v>5</v>
      </c>
      <c r="BU179" s="2" t="s">
        <v>5</v>
      </c>
      <c r="BV179" s="2" t="s">
        <v>5</v>
      </c>
      <c r="BW179" s="2" t="s">
        <v>5</v>
      </c>
      <c r="BX179" s="2" t="s">
        <v>5</v>
      </c>
      <c r="BY179" s="25" t="s">
        <v>5</v>
      </c>
      <c r="BZ179" s="25" t="s">
        <v>5</v>
      </c>
      <c r="CA179" s="4">
        <v>53.1</v>
      </c>
      <c r="CB179" s="6" t="s">
        <v>5</v>
      </c>
      <c r="CC179" s="4">
        <v>69.8</v>
      </c>
      <c r="CD179" s="4">
        <v>54.099999999999994</v>
      </c>
      <c r="CE179" s="6">
        <v>70.8</v>
      </c>
      <c r="CF179" s="16" t="s">
        <v>5</v>
      </c>
      <c r="CG179" s="5">
        <v>7.5</v>
      </c>
      <c r="CH179" s="18" t="s">
        <v>5</v>
      </c>
      <c r="CV179" s="344" t="str">
        <f t="shared" si="18"/>
        <v>WT13.5X47</v>
      </c>
      <c r="CW179" s="337">
        <v>13.8</v>
      </c>
      <c r="DE179" s="335" t="str">
        <f t="shared" si="19"/>
        <v>2L2-1/2X2-1/2X3/16</v>
      </c>
      <c r="DF179" s="338">
        <v>1.8</v>
      </c>
      <c r="DH179" s="397" t="s">
        <v>1251</v>
      </c>
      <c r="DI179" s="403">
        <v>257</v>
      </c>
      <c r="DJ179" s="398">
        <v>23.6</v>
      </c>
      <c r="DK179" s="400">
        <v>3.94</v>
      </c>
      <c r="DL179" s="400">
        <v>2.89</v>
      </c>
      <c r="DM179" s="400">
        <v>1.71</v>
      </c>
      <c r="DN179" s="404">
        <v>2030</v>
      </c>
      <c r="DO179" s="405">
        <v>1530</v>
      </c>
      <c r="DP179" s="118"/>
      <c r="DQ179" s="428" t="s">
        <v>1416</v>
      </c>
      <c r="DR179" s="429">
        <v>198</v>
      </c>
      <c r="DS179" s="429">
        <v>1490</v>
      </c>
      <c r="DT179" s="431"/>
      <c r="DU179" s="431"/>
      <c r="DV179" s="431"/>
      <c r="DW179" s="431"/>
      <c r="DX179" s="432"/>
      <c r="DZ179" s="447" t="s">
        <v>1465</v>
      </c>
      <c r="EA179" s="448">
        <v>40</v>
      </c>
      <c r="EB179" s="448">
        <v>11.8</v>
      </c>
      <c r="EC179" s="448">
        <v>16</v>
      </c>
      <c r="ED179" s="448">
        <v>16</v>
      </c>
      <c r="EE179" s="448">
        <v>0.30499999999999999</v>
      </c>
      <c r="EF179" s="449">
        <v>45062</v>
      </c>
      <c r="EG179" s="449">
        <v>45001</v>
      </c>
      <c r="EH179" s="448">
        <v>7</v>
      </c>
      <c r="EI179" s="448">
        <v>7</v>
      </c>
      <c r="EJ179" s="448">
        <v>0.505</v>
      </c>
      <c r="EK179" s="449">
        <v>44928</v>
      </c>
      <c r="EL179" s="448">
        <v>6.93</v>
      </c>
      <c r="EM179" s="448">
        <v>46.5</v>
      </c>
      <c r="EN179" s="448">
        <v>518</v>
      </c>
      <c r="EO179" s="448">
        <v>64.7</v>
      </c>
      <c r="EP179" s="448">
        <v>6.63</v>
      </c>
      <c r="EQ179" s="448">
        <v>73</v>
      </c>
      <c r="ER179" s="448">
        <v>28.9</v>
      </c>
      <c r="ES179" s="448">
        <v>8.25</v>
      </c>
      <c r="ET179" s="448">
        <v>1.57</v>
      </c>
      <c r="EU179" s="450">
        <v>12.7</v>
      </c>
    </row>
    <row r="180" spans="2:151">
      <c r="B180" s="78" t="s">
        <v>145</v>
      </c>
      <c r="C180" s="79" t="s">
        <v>186</v>
      </c>
      <c r="D180" s="80" t="s">
        <v>186</v>
      </c>
      <c r="E180" s="1" t="s">
        <v>4</v>
      </c>
      <c r="F180" s="6">
        <v>141</v>
      </c>
      <c r="G180" s="4">
        <v>41.5</v>
      </c>
      <c r="H180" s="3" t="str">
        <f t="shared" si="16"/>
        <v>WT18X141</v>
      </c>
      <c r="I180" s="4">
        <v>18.600000000000001</v>
      </c>
      <c r="J180" s="5">
        <v>18.5</v>
      </c>
      <c r="K180" s="6" t="s">
        <v>5</v>
      </c>
      <c r="L180" s="6" t="s">
        <v>5</v>
      </c>
      <c r="M180" s="6" t="s">
        <v>5</v>
      </c>
      <c r="N180" s="4">
        <v>16.600000000000001</v>
      </c>
      <c r="O180" s="5">
        <v>16.625</v>
      </c>
      <c r="P180" s="5" t="s">
        <v>5</v>
      </c>
      <c r="Q180" s="6" t="s">
        <v>5</v>
      </c>
      <c r="R180" s="6" t="s">
        <v>5</v>
      </c>
      <c r="S180" s="22">
        <v>0.88500000000000001</v>
      </c>
      <c r="T180" s="5">
        <v>0.875</v>
      </c>
      <c r="U180" s="8">
        <v>0.4375</v>
      </c>
      <c r="V180" s="7">
        <v>1.57</v>
      </c>
      <c r="W180" s="8">
        <v>1.5625</v>
      </c>
      <c r="X180" s="7">
        <v>1.57</v>
      </c>
      <c r="Y180" s="6" t="s">
        <v>5</v>
      </c>
      <c r="Z180" s="6" t="s">
        <v>5</v>
      </c>
      <c r="AA180" s="7">
        <v>2.52</v>
      </c>
      <c r="AB180" s="8">
        <v>2.875</v>
      </c>
      <c r="AC180" s="8" t="s">
        <v>5</v>
      </c>
      <c r="AD180" s="6" t="s">
        <v>5</v>
      </c>
      <c r="AE180" s="7">
        <v>4.16</v>
      </c>
      <c r="AF180" s="6" t="s">
        <v>5</v>
      </c>
      <c r="AG180" s="6" t="s">
        <v>5</v>
      </c>
      <c r="AH180" s="7">
        <v>1.25</v>
      </c>
      <c r="AI180" s="7">
        <v>5.29</v>
      </c>
      <c r="AJ180" s="6" t="s">
        <v>5</v>
      </c>
      <c r="AK180" s="6" t="s">
        <v>5</v>
      </c>
      <c r="AL180" s="6" t="s">
        <v>5</v>
      </c>
      <c r="AM180" s="6" t="s">
        <v>5</v>
      </c>
      <c r="AN180" s="4">
        <v>21</v>
      </c>
      <c r="AO180" s="6">
        <v>1190</v>
      </c>
      <c r="AP180" s="6">
        <v>146</v>
      </c>
      <c r="AQ180" s="4">
        <v>82.6</v>
      </c>
      <c r="AR180" s="7">
        <v>5.36</v>
      </c>
      <c r="AS180" s="6">
        <v>599</v>
      </c>
      <c r="AT180" s="6">
        <v>112</v>
      </c>
      <c r="AU180" s="4">
        <v>72.2</v>
      </c>
      <c r="AV180" s="7">
        <v>3.8</v>
      </c>
      <c r="AW180" s="6" t="s">
        <v>5</v>
      </c>
      <c r="AX180" s="6" t="s">
        <v>5</v>
      </c>
      <c r="AY180" s="6" t="s">
        <v>5</v>
      </c>
      <c r="AZ180" s="4">
        <v>26.3</v>
      </c>
      <c r="BA180" s="6">
        <v>231</v>
      </c>
      <c r="BB180" s="6" t="s">
        <v>5</v>
      </c>
      <c r="BC180" s="6" t="s">
        <v>5</v>
      </c>
      <c r="BD180" s="6" t="s">
        <v>5</v>
      </c>
      <c r="BE180" s="6" t="s">
        <v>5</v>
      </c>
      <c r="BF180" s="6" t="s">
        <v>5</v>
      </c>
      <c r="BG180" s="6" t="s">
        <v>5</v>
      </c>
      <c r="BH180" s="6" t="s">
        <v>5</v>
      </c>
      <c r="BI180" s="7">
        <v>7.38</v>
      </c>
      <c r="BJ180" s="22">
        <v>0.79100000000000004</v>
      </c>
      <c r="BK180" s="6" t="s">
        <v>5</v>
      </c>
      <c r="BL180" s="2" t="s">
        <v>5</v>
      </c>
      <c r="BM180" s="2" t="s">
        <v>5</v>
      </c>
      <c r="BN180" s="2" t="s">
        <v>5</v>
      </c>
      <c r="BO180" s="2" t="s">
        <v>5</v>
      </c>
      <c r="BP180" s="2" t="s">
        <v>5</v>
      </c>
      <c r="BQ180" s="2" t="s">
        <v>5</v>
      </c>
      <c r="BR180" s="2" t="s">
        <v>5</v>
      </c>
      <c r="BS180" s="2" t="s">
        <v>5</v>
      </c>
      <c r="BT180" s="2" t="s">
        <v>5</v>
      </c>
      <c r="BU180" s="2" t="s">
        <v>5</v>
      </c>
      <c r="BV180" s="2" t="s">
        <v>5</v>
      </c>
      <c r="BW180" s="2" t="s">
        <v>5</v>
      </c>
      <c r="BX180" s="2" t="s">
        <v>5</v>
      </c>
      <c r="BY180" s="25" t="s">
        <v>5</v>
      </c>
      <c r="BZ180" s="25" t="s">
        <v>5</v>
      </c>
      <c r="CA180" s="4">
        <v>52.8</v>
      </c>
      <c r="CB180" s="6" t="s">
        <v>5</v>
      </c>
      <c r="CC180" s="4">
        <v>69.400000000000006</v>
      </c>
      <c r="CD180" s="4">
        <v>53.800000000000004</v>
      </c>
      <c r="CE180" s="6">
        <v>70.400000000000006</v>
      </c>
      <c r="CF180" s="16" t="s">
        <v>5</v>
      </c>
      <c r="CG180" s="5">
        <v>7.5</v>
      </c>
      <c r="CH180" s="18" t="s">
        <v>5</v>
      </c>
      <c r="CV180" s="344" t="str">
        <f t="shared" si="18"/>
        <v>WT13.5X47</v>
      </c>
      <c r="CW180" s="337">
        <v>13.8</v>
      </c>
      <c r="DE180" s="335" t="str">
        <f t="shared" si="19"/>
        <v>2L2X2X3/16</v>
      </c>
      <c r="DF180" s="338">
        <v>1.44</v>
      </c>
      <c r="DH180" s="397" t="s">
        <v>1255</v>
      </c>
      <c r="DI180" s="403">
        <v>238</v>
      </c>
      <c r="DJ180" s="398">
        <v>22.8</v>
      </c>
      <c r="DK180" s="400">
        <v>3.74</v>
      </c>
      <c r="DL180" s="400">
        <v>3.04</v>
      </c>
      <c r="DM180" s="400">
        <v>1.82</v>
      </c>
      <c r="DN180" s="404">
        <v>1830</v>
      </c>
      <c r="DO180" s="405">
        <v>1390</v>
      </c>
      <c r="DP180" s="118"/>
      <c r="DQ180" s="428" t="s">
        <v>1417</v>
      </c>
      <c r="DR180" s="429">
        <v>196</v>
      </c>
      <c r="DS180" s="429">
        <v>1830</v>
      </c>
      <c r="DT180" s="431"/>
      <c r="DU180" s="431"/>
      <c r="DV180" s="431"/>
      <c r="DW180" s="431"/>
      <c r="DX180" s="432"/>
      <c r="DZ180" s="447" t="s">
        <v>1472</v>
      </c>
      <c r="EA180" s="448">
        <v>36</v>
      </c>
      <c r="EB180" s="448">
        <v>10.6</v>
      </c>
      <c r="EC180" s="448">
        <v>15.9</v>
      </c>
      <c r="ED180" s="448" t="s">
        <v>1617</v>
      </c>
      <c r="EE180" s="448">
        <v>0.29499999999999998</v>
      </c>
      <c r="EF180" s="449">
        <v>45062</v>
      </c>
      <c r="EG180" s="449">
        <v>45001</v>
      </c>
      <c r="EH180" s="448">
        <v>6.99</v>
      </c>
      <c r="EI180" s="448">
        <v>7</v>
      </c>
      <c r="EJ180" s="448">
        <v>0.43</v>
      </c>
      <c r="EK180" s="449">
        <v>45123</v>
      </c>
      <c r="EL180" s="448">
        <v>8.1199999999999992</v>
      </c>
      <c r="EM180" s="448">
        <v>48.1</v>
      </c>
      <c r="EN180" s="448">
        <v>448</v>
      </c>
      <c r="EO180" s="448">
        <v>56.5</v>
      </c>
      <c r="EP180" s="448">
        <v>6.51</v>
      </c>
      <c r="EQ180" s="448">
        <v>64</v>
      </c>
      <c r="ER180" s="448">
        <v>24.5</v>
      </c>
      <c r="ES180" s="448">
        <v>7</v>
      </c>
      <c r="ET180" s="448">
        <v>1.52</v>
      </c>
      <c r="EU180" s="450">
        <v>10.8</v>
      </c>
    </row>
    <row r="181" spans="2:151">
      <c r="B181" s="78" t="s">
        <v>145</v>
      </c>
      <c r="C181" s="79" t="s">
        <v>187</v>
      </c>
      <c r="D181" s="80" t="s">
        <v>187</v>
      </c>
      <c r="E181" s="1" t="s">
        <v>4</v>
      </c>
      <c r="F181" s="6">
        <v>131</v>
      </c>
      <c r="G181" s="4">
        <v>38.5</v>
      </c>
      <c r="H181" s="3" t="str">
        <f t="shared" si="16"/>
        <v>WT18X131</v>
      </c>
      <c r="I181" s="4">
        <v>18.399999999999999</v>
      </c>
      <c r="J181" s="5">
        <v>18.375</v>
      </c>
      <c r="K181" s="6" t="s">
        <v>5</v>
      </c>
      <c r="L181" s="6" t="s">
        <v>5</v>
      </c>
      <c r="M181" s="6" t="s">
        <v>5</v>
      </c>
      <c r="N181" s="4">
        <v>16.600000000000001</v>
      </c>
      <c r="O181" s="5">
        <v>16.5</v>
      </c>
      <c r="P181" s="5" t="s">
        <v>5</v>
      </c>
      <c r="Q181" s="6" t="s">
        <v>5</v>
      </c>
      <c r="R181" s="6" t="s">
        <v>5</v>
      </c>
      <c r="S181" s="22">
        <v>0.84</v>
      </c>
      <c r="T181" s="5">
        <v>0.8125</v>
      </c>
      <c r="U181" s="8">
        <v>0.4375</v>
      </c>
      <c r="V181" s="7">
        <v>1.44</v>
      </c>
      <c r="W181" s="8">
        <v>1.4375</v>
      </c>
      <c r="X181" s="7">
        <v>1.44</v>
      </c>
      <c r="Y181" s="6" t="s">
        <v>5</v>
      </c>
      <c r="Z181" s="6" t="s">
        <v>5</v>
      </c>
      <c r="AA181" s="7">
        <v>2.39</v>
      </c>
      <c r="AB181" s="8">
        <v>2.75</v>
      </c>
      <c r="AC181" s="8" t="s">
        <v>5</v>
      </c>
      <c r="AD181" s="6" t="s">
        <v>5</v>
      </c>
      <c r="AE181" s="7">
        <v>4.1399999999999997</v>
      </c>
      <c r="AF181" s="6" t="s">
        <v>5</v>
      </c>
      <c r="AG181" s="6" t="s">
        <v>5</v>
      </c>
      <c r="AH181" s="7">
        <v>1.1599999999999999</v>
      </c>
      <c r="AI181" s="7">
        <v>5.75</v>
      </c>
      <c r="AJ181" s="6" t="s">
        <v>5</v>
      </c>
      <c r="AK181" s="6" t="s">
        <v>5</v>
      </c>
      <c r="AL181" s="6" t="s">
        <v>5</v>
      </c>
      <c r="AM181" s="6" t="s">
        <v>5</v>
      </c>
      <c r="AN181" s="4">
        <v>21.9</v>
      </c>
      <c r="AO181" s="6">
        <v>1110</v>
      </c>
      <c r="AP181" s="6">
        <v>137</v>
      </c>
      <c r="AQ181" s="4">
        <v>77.5</v>
      </c>
      <c r="AR181" s="7">
        <v>5.36</v>
      </c>
      <c r="AS181" s="6">
        <v>545</v>
      </c>
      <c r="AT181" s="6">
        <v>102</v>
      </c>
      <c r="AU181" s="4">
        <v>65.8</v>
      </c>
      <c r="AV181" s="7">
        <v>3.76</v>
      </c>
      <c r="AW181" s="6" t="s">
        <v>5</v>
      </c>
      <c r="AX181" s="6" t="s">
        <v>5</v>
      </c>
      <c r="AY181" s="6" t="s">
        <v>5</v>
      </c>
      <c r="AZ181" s="4">
        <v>20.8</v>
      </c>
      <c r="BA181" s="6">
        <v>185</v>
      </c>
      <c r="BB181" s="6" t="s">
        <v>5</v>
      </c>
      <c r="BC181" s="6" t="s">
        <v>5</v>
      </c>
      <c r="BD181" s="6" t="s">
        <v>5</v>
      </c>
      <c r="BE181" s="6" t="s">
        <v>5</v>
      </c>
      <c r="BF181" s="6" t="s">
        <v>5</v>
      </c>
      <c r="BG181" s="6" t="s">
        <v>5</v>
      </c>
      <c r="BH181" s="6" t="s">
        <v>5</v>
      </c>
      <c r="BI181" s="7">
        <v>7.39</v>
      </c>
      <c r="BJ181" s="22">
        <v>0.78500000000000003</v>
      </c>
      <c r="BK181" s="6" t="s">
        <v>5</v>
      </c>
      <c r="BL181" s="2" t="s">
        <v>5</v>
      </c>
      <c r="BM181" s="2" t="s">
        <v>5</v>
      </c>
      <c r="BN181" s="2" t="s">
        <v>5</v>
      </c>
      <c r="BO181" s="2" t="s">
        <v>5</v>
      </c>
      <c r="BP181" s="2" t="s">
        <v>5</v>
      </c>
      <c r="BQ181" s="2" t="s">
        <v>5</v>
      </c>
      <c r="BR181" s="2" t="s">
        <v>5</v>
      </c>
      <c r="BS181" s="2" t="s">
        <v>5</v>
      </c>
      <c r="BT181" s="2" t="s">
        <v>5</v>
      </c>
      <c r="BU181" s="2" t="s">
        <v>5</v>
      </c>
      <c r="BV181" s="2" t="s">
        <v>5</v>
      </c>
      <c r="BW181" s="2" t="s">
        <v>5</v>
      </c>
      <c r="BX181" s="2" t="s">
        <v>5</v>
      </c>
      <c r="BY181" s="25" t="s">
        <v>5</v>
      </c>
      <c r="BZ181" s="25" t="s">
        <v>5</v>
      </c>
      <c r="CA181" s="4">
        <v>52.4</v>
      </c>
      <c r="CB181" s="6" t="s">
        <v>5</v>
      </c>
      <c r="CC181" s="4">
        <v>69</v>
      </c>
      <c r="CD181" s="4">
        <v>53.4</v>
      </c>
      <c r="CE181" s="4">
        <v>70</v>
      </c>
      <c r="CF181" s="16" t="s">
        <v>5</v>
      </c>
      <c r="CG181" s="5">
        <v>7.5</v>
      </c>
      <c r="CH181" s="18" t="s">
        <v>5</v>
      </c>
      <c r="CV181" s="344" t="str">
        <f t="shared" si="18"/>
        <v>WT10.5X46.5</v>
      </c>
      <c r="CW181" s="337">
        <v>13.7</v>
      </c>
      <c r="DE181" s="335" t="str">
        <f t="shared" si="19"/>
        <v>2L2X2X3/16</v>
      </c>
      <c r="DF181" s="338">
        <v>1.44</v>
      </c>
      <c r="DH181" s="397" t="s">
        <v>1260</v>
      </c>
      <c r="DI181" s="401">
        <v>215</v>
      </c>
      <c r="DJ181" s="398">
        <v>22.4</v>
      </c>
      <c r="DK181" s="400">
        <v>3.07</v>
      </c>
      <c r="DL181" s="400">
        <v>3.71</v>
      </c>
      <c r="DM181" s="400">
        <v>1.82</v>
      </c>
      <c r="DN181" s="401">
        <v>1660</v>
      </c>
      <c r="DO181" s="402">
        <v>1280</v>
      </c>
      <c r="DP181" s="117"/>
      <c r="DQ181" s="428" t="s">
        <v>1418</v>
      </c>
      <c r="DR181" s="429">
        <v>192</v>
      </c>
      <c r="DS181" s="429">
        <v>1240</v>
      </c>
      <c r="DT181" s="431"/>
      <c r="DU181" s="431"/>
      <c r="DV181" s="431"/>
      <c r="DW181" s="431"/>
      <c r="DX181" s="432"/>
      <c r="DZ181" s="447" t="s">
        <v>1479</v>
      </c>
      <c r="EA181" s="448">
        <v>31</v>
      </c>
      <c r="EB181" s="448">
        <v>9.1300000000000008</v>
      </c>
      <c r="EC181" s="448">
        <v>15.9</v>
      </c>
      <c r="ED181" s="448" t="s">
        <v>1617</v>
      </c>
      <c r="EE181" s="448">
        <v>0.27500000000000002</v>
      </c>
      <c r="EF181" s="449">
        <v>44930</v>
      </c>
      <c r="EG181" s="449">
        <v>44934</v>
      </c>
      <c r="EH181" s="448">
        <v>5.53</v>
      </c>
      <c r="EI181" s="448" t="s">
        <v>1803</v>
      </c>
      <c r="EJ181" s="448">
        <v>0.44</v>
      </c>
      <c r="EK181" s="449">
        <v>45123</v>
      </c>
      <c r="EL181" s="448">
        <v>6.28</v>
      </c>
      <c r="EM181" s="448">
        <v>51.6</v>
      </c>
      <c r="EN181" s="448">
        <v>375</v>
      </c>
      <c r="EO181" s="448">
        <v>47.2</v>
      </c>
      <c r="EP181" s="448">
        <v>6.41</v>
      </c>
      <c r="EQ181" s="448">
        <v>54</v>
      </c>
      <c r="ER181" s="448">
        <v>12.4</v>
      </c>
      <c r="ES181" s="448">
        <v>4.49</v>
      </c>
      <c r="ET181" s="448">
        <v>1.17</v>
      </c>
      <c r="EU181" s="450">
        <v>7.03</v>
      </c>
    </row>
    <row r="182" spans="2:151">
      <c r="B182" s="78" t="s">
        <v>145</v>
      </c>
      <c r="C182" s="79" t="s">
        <v>188</v>
      </c>
      <c r="D182" s="80" t="s">
        <v>188</v>
      </c>
      <c r="E182" s="1" t="s">
        <v>4</v>
      </c>
      <c r="F182" s="6">
        <v>123.5</v>
      </c>
      <c r="G182" s="4">
        <v>36.299999999999997</v>
      </c>
      <c r="H182" s="3" t="str">
        <f t="shared" si="16"/>
        <v>WT18X123.5</v>
      </c>
      <c r="I182" s="4">
        <v>18.3</v>
      </c>
      <c r="J182" s="5">
        <v>18.375</v>
      </c>
      <c r="K182" s="6" t="s">
        <v>5</v>
      </c>
      <c r="L182" s="6" t="s">
        <v>5</v>
      </c>
      <c r="M182" s="6" t="s">
        <v>5</v>
      </c>
      <c r="N182" s="4">
        <v>16.5</v>
      </c>
      <c r="O182" s="5">
        <v>16.5</v>
      </c>
      <c r="P182" s="5" t="s">
        <v>5</v>
      </c>
      <c r="Q182" s="6" t="s">
        <v>5</v>
      </c>
      <c r="R182" s="6" t="s">
        <v>5</v>
      </c>
      <c r="S182" s="22">
        <v>0.8</v>
      </c>
      <c r="T182" s="5">
        <v>0.8125</v>
      </c>
      <c r="U182" s="8">
        <v>0.4375</v>
      </c>
      <c r="V182" s="7">
        <v>1.35</v>
      </c>
      <c r="W182" s="8">
        <v>1.375</v>
      </c>
      <c r="X182" s="7">
        <v>1.35</v>
      </c>
      <c r="Y182" s="6" t="s">
        <v>5</v>
      </c>
      <c r="Z182" s="6" t="s">
        <v>5</v>
      </c>
      <c r="AA182" s="7">
        <v>2.2999999999999998</v>
      </c>
      <c r="AB182" s="8">
        <v>2.625</v>
      </c>
      <c r="AC182" s="8" t="s">
        <v>5</v>
      </c>
      <c r="AD182" s="6" t="s">
        <v>5</v>
      </c>
      <c r="AE182" s="7">
        <v>4.12</v>
      </c>
      <c r="AF182" s="6" t="s">
        <v>5</v>
      </c>
      <c r="AG182" s="6" t="s">
        <v>5</v>
      </c>
      <c r="AH182" s="7">
        <v>1.1000000000000001</v>
      </c>
      <c r="AI182" s="7">
        <v>6.11</v>
      </c>
      <c r="AJ182" s="6" t="s">
        <v>5</v>
      </c>
      <c r="AK182" s="6" t="s">
        <v>5</v>
      </c>
      <c r="AL182" s="6" t="s">
        <v>5</v>
      </c>
      <c r="AM182" s="6" t="s">
        <v>5</v>
      </c>
      <c r="AN182" s="4">
        <v>22.9</v>
      </c>
      <c r="AO182" s="6">
        <v>1040</v>
      </c>
      <c r="AP182" s="6">
        <v>129</v>
      </c>
      <c r="AQ182" s="4">
        <v>73.3</v>
      </c>
      <c r="AR182" s="7">
        <v>5.36</v>
      </c>
      <c r="AS182" s="6">
        <v>507</v>
      </c>
      <c r="AT182" s="4">
        <v>94.8</v>
      </c>
      <c r="AU182" s="4">
        <v>61.4</v>
      </c>
      <c r="AV182" s="7">
        <v>3.74</v>
      </c>
      <c r="AW182" s="6" t="s">
        <v>5</v>
      </c>
      <c r="AX182" s="6" t="s">
        <v>5</v>
      </c>
      <c r="AY182" s="6" t="s">
        <v>5</v>
      </c>
      <c r="AZ182" s="4">
        <v>17.3</v>
      </c>
      <c r="BA182" s="6">
        <v>155</v>
      </c>
      <c r="BB182" s="6" t="s">
        <v>5</v>
      </c>
      <c r="BC182" s="6" t="s">
        <v>5</v>
      </c>
      <c r="BD182" s="6" t="s">
        <v>5</v>
      </c>
      <c r="BE182" s="6" t="s">
        <v>5</v>
      </c>
      <c r="BF182" s="6" t="s">
        <v>5</v>
      </c>
      <c r="BG182" s="6" t="s">
        <v>5</v>
      </c>
      <c r="BH182" s="6" t="s">
        <v>5</v>
      </c>
      <c r="BI182" s="7">
        <v>7.39</v>
      </c>
      <c r="BJ182" s="22">
        <v>0.78300000000000003</v>
      </c>
      <c r="BK182" s="6" t="s">
        <v>5</v>
      </c>
      <c r="BL182" s="2" t="s">
        <v>5</v>
      </c>
      <c r="BM182" s="2" t="s">
        <v>5</v>
      </c>
      <c r="BN182" s="2" t="s">
        <v>5</v>
      </c>
      <c r="BO182" s="2" t="s">
        <v>5</v>
      </c>
      <c r="BP182" s="2" t="s">
        <v>5</v>
      </c>
      <c r="BQ182" s="2" t="s">
        <v>5</v>
      </c>
      <c r="BR182" s="2" t="s">
        <v>5</v>
      </c>
      <c r="BS182" s="2" t="s">
        <v>5</v>
      </c>
      <c r="BT182" s="2" t="s">
        <v>5</v>
      </c>
      <c r="BU182" s="2" t="s">
        <v>5</v>
      </c>
      <c r="BV182" s="2" t="s">
        <v>5</v>
      </c>
      <c r="BW182" s="2" t="s">
        <v>5</v>
      </c>
      <c r="BX182" s="2" t="s">
        <v>5</v>
      </c>
      <c r="BY182" s="25" t="s">
        <v>5</v>
      </c>
      <c r="BZ182" s="25" t="s">
        <v>5</v>
      </c>
      <c r="CA182" s="4">
        <v>52.1</v>
      </c>
      <c r="CB182" s="6" t="s">
        <v>5</v>
      </c>
      <c r="CC182" s="4">
        <v>68.599999999999994</v>
      </c>
      <c r="CD182" s="4">
        <v>53.099999999999994</v>
      </c>
      <c r="CE182" s="6">
        <v>69.599999999999994</v>
      </c>
      <c r="CF182" s="16" t="s">
        <v>5</v>
      </c>
      <c r="CG182" s="5">
        <v>7.5</v>
      </c>
      <c r="CH182" s="18" t="s">
        <v>5</v>
      </c>
      <c r="CV182" s="344" t="str">
        <f t="shared" si="18"/>
        <v>WT15X45</v>
      </c>
      <c r="CW182" s="337">
        <v>13.2</v>
      </c>
      <c r="DE182" s="335" t="str">
        <f t="shared" si="19"/>
        <v>2L2X2X3/16</v>
      </c>
      <c r="DF182" s="338">
        <v>1.44</v>
      </c>
      <c r="DH182" s="397" t="s">
        <v>1265</v>
      </c>
      <c r="DI182" s="401">
        <v>196</v>
      </c>
      <c r="DJ182" s="398">
        <v>21.6</v>
      </c>
      <c r="DK182" s="400">
        <v>2.83</v>
      </c>
      <c r="DL182" s="400">
        <v>4.03</v>
      </c>
      <c r="DM182" s="400">
        <v>1.95</v>
      </c>
      <c r="DN182" s="401">
        <v>1480</v>
      </c>
      <c r="DO182" s="402">
        <v>1150</v>
      </c>
      <c r="DP182" s="117"/>
      <c r="DQ182" s="428" t="s">
        <v>1419</v>
      </c>
      <c r="DR182" s="429">
        <v>186</v>
      </c>
      <c r="DS182" s="429">
        <v>1530</v>
      </c>
      <c r="DT182" s="431"/>
      <c r="DU182" s="431"/>
      <c r="DV182" s="431"/>
      <c r="DW182" s="431"/>
      <c r="DX182" s="432"/>
      <c r="DZ182" s="447" t="s">
        <v>1484</v>
      </c>
      <c r="EA182" s="448">
        <v>26</v>
      </c>
      <c r="EB182" s="448">
        <v>7.68</v>
      </c>
      <c r="EC182" s="448">
        <v>15.7</v>
      </c>
      <c r="ED182" s="448" t="s">
        <v>1621</v>
      </c>
      <c r="EE182" s="448">
        <v>0.25</v>
      </c>
      <c r="EF182" s="449">
        <v>44930</v>
      </c>
      <c r="EG182" s="449">
        <v>44934</v>
      </c>
      <c r="EH182" s="448">
        <v>5.5</v>
      </c>
      <c r="EI182" s="448" t="s">
        <v>1803</v>
      </c>
      <c r="EJ182" s="448">
        <v>0.34499999999999997</v>
      </c>
      <c r="EK182" s="449">
        <v>44993</v>
      </c>
      <c r="EL182" s="448">
        <v>7.97</v>
      </c>
      <c r="EM182" s="448">
        <v>56.8</v>
      </c>
      <c r="EN182" s="448">
        <v>301</v>
      </c>
      <c r="EO182" s="448">
        <v>38.4</v>
      </c>
      <c r="EP182" s="448">
        <v>6.26</v>
      </c>
      <c r="EQ182" s="448">
        <v>44.2</v>
      </c>
      <c r="ER182" s="448">
        <v>9.59</v>
      </c>
      <c r="ES182" s="448">
        <v>3.49</v>
      </c>
      <c r="ET182" s="448">
        <v>1.1200000000000001</v>
      </c>
      <c r="EU182" s="450">
        <v>5.48</v>
      </c>
    </row>
    <row r="183" spans="2:151">
      <c r="B183" s="78" t="s">
        <v>145</v>
      </c>
      <c r="C183" s="79" t="s">
        <v>189</v>
      </c>
      <c r="D183" s="80" t="s">
        <v>189</v>
      </c>
      <c r="E183" s="1" t="s">
        <v>4</v>
      </c>
      <c r="F183" s="6">
        <v>115.5</v>
      </c>
      <c r="G183" s="4">
        <v>34.1</v>
      </c>
      <c r="H183" s="3" t="str">
        <f t="shared" si="16"/>
        <v>WT18X115.5</v>
      </c>
      <c r="I183" s="4">
        <v>18.2</v>
      </c>
      <c r="J183" s="5">
        <v>18.25</v>
      </c>
      <c r="K183" s="6" t="s">
        <v>5</v>
      </c>
      <c r="L183" s="6" t="s">
        <v>5</v>
      </c>
      <c r="M183" s="6" t="s">
        <v>5</v>
      </c>
      <c r="N183" s="4">
        <v>16.5</v>
      </c>
      <c r="O183" s="5">
        <v>16.5</v>
      </c>
      <c r="P183" s="5" t="s">
        <v>5</v>
      </c>
      <c r="Q183" s="6" t="s">
        <v>5</v>
      </c>
      <c r="R183" s="6" t="s">
        <v>5</v>
      </c>
      <c r="S183" s="22">
        <v>0.76</v>
      </c>
      <c r="T183" s="5">
        <v>0.75</v>
      </c>
      <c r="U183" s="8">
        <v>0.375</v>
      </c>
      <c r="V183" s="7">
        <v>1.26</v>
      </c>
      <c r="W183" s="8">
        <v>1.25</v>
      </c>
      <c r="X183" s="7">
        <v>1.26</v>
      </c>
      <c r="Y183" s="6" t="s">
        <v>5</v>
      </c>
      <c r="Z183" s="6" t="s">
        <v>5</v>
      </c>
      <c r="AA183" s="7">
        <v>2.21</v>
      </c>
      <c r="AB183" s="8">
        <v>2.5625</v>
      </c>
      <c r="AC183" s="8" t="s">
        <v>5</v>
      </c>
      <c r="AD183" s="6" t="s">
        <v>5</v>
      </c>
      <c r="AE183" s="7">
        <v>4.0999999999999996</v>
      </c>
      <c r="AF183" s="6" t="s">
        <v>5</v>
      </c>
      <c r="AG183" s="6" t="s">
        <v>5</v>
      </c>
      <c r="AH183" s="7">
        <v>1.03</v>
      </c>
      <c r="AI183" s="7">
        <v>6.54</v>
      </c>
      <c r="AJ183" s="6" t="s">
        <v>5</v>
      </c>
      <c r="AK183" s="6" t="s">
        <v>5</v>
      </c>
      <c r="AL183" s="6" t="s">
        <v>5</v>
      </c>
      <c r="AM183" s="6" t="s">
        <v>5</v>
      </c>
      <c r="AN183" s="4">
        <v>23.9</v>
      </c>
      <c r="AO183" s="6">
        <v>978</v>
      </c>
      <c r="AP183" s="6">
        <v>122</v>
      </c>
      <c r="AQ183" s="4">
        <v>69.099999999999994</v>
      </c>
      <c r="AR183" s="7">
        <v>5.36</v>
      </c>
      <c r="AS183" s="6">
        <v>470</v>
      </c>
      <c r="AT183" s="4">
        <v>88</v>
      </c>
      <c r="AU183" s="4">
        <v>57</v>
      </c>
      <c r="AV183" s="7">
        <v>3.71</v>
      </c>
      <c r="AW183" s="6" t="s">
        <v>5</v>
      </c>
      <c r="AX183" s="6" t="s">
        <v>5</v>
      </c>
      <c r="AY183" s="6" t="s">
        <v>5</v>
      </c>
      <c r="AZ183" s="4">
        <v>14.3</v>
      </c>
      <c r="BA183" s="6">
        <v>129</v>
      </c>
      <c r="BB183" s="6" t="s">
        <v>5</v>
      </c>
      <c r="BC183" s="6" t="s">
        <v>5</v>
      </c>
      <c r="BD183" s="6" t="s">
        <v>5</v>
      </c>
      <c r="BE183" s="6" t="s">
        <v>5</v>
      </c>
      <c r="BF183" s="6" t="s">
        <v>5</v>
      </c>
      <c r="BG183" s="6" t="s">
        <v>5</v>
      </c>
      <c r="BH183" s="6" t="s">
        <v>5</v>
      </c>
      <c r="BI183" s="7">
        <v>7.39</v>
      </c>
      <c r="BJ183" s="22">
        <v>0.78</v>
      </c>
      <c r="BK183" s="6" t="s">
        <v>5</v>
      </c>
      <c r="BL183" s="2" t="s">
        <v>5</v>
      </c>
      <c r="BM183" s="2" t="s">
        <v>5</v>
      </c>
      <c r="BN183" s="2" t="s">
        <v>5</v>
      </c>
      <c r="BO183" s="2" t="s">
        <v>5</v>
      </c>
      <c r="BP183" s="2" t="s">
        <v>5</v>
      </c>
      <c r="BQ183" s="2" t="s">
        <v>5</v>
      </c>
      <c r="BR183" s="2" t="s">
        <v>5</v>
      </c>
      <c r="BS183" s="2" t="s">
        <v>5</v>
      </c>
      <c r="BT183" s="2" t="s">
        <v>5</v>
      </c>
      <c r="BU183" s="2" t="s">
        <v>5</v>
      </c>
      <c r="BV183" s="2" t="s">
        <v>5</v>
      </c>
      <c r="BW183" s="2" t="s">
        <v>5</v>
      </c>
      <c r="BX183" s="2" t="s">
        <v>5</v>
      </c>
      <c r="BY183" s="25" t="s">
        <v>5</v>
      </c>
      <c r="BZ183" s="25" t="s">
        <v>5</v>
      </c>
      <c r="CA183" s="4">
        <v>51.9</v>
      </c>
      <c r="CB183" s="6" t="s">
        <v>5</v>
      </c>
      <c r="CC183" s="4">
        <v>68.400000000000006</v>
      </c>
      <c r="CD183" s="4">
        <v>52.900000000000006</v>
      </c>
      <c r="CE183" s="6">
        <v>69.400000000000006</v>
      </c>
      <c r="CF183" s="16" t="s">
        <v>5</v>
      </c>
      <c r="CG183" s="5">
        <v>7.5</v>
      </c>
      <c r="CH183" s="18" t="s">
        <v>5</v>
      </c>
      <c r="CV183" s="344" t="str">
        <f t="shared" si="18"/>
        <v>WT15X45</v>
      </c>
      <c r="CW183" s="337">
        <v>13.2</v>
      </c>
      <c r="DE183" s="335" t="str">
        <f t="shared" si="19"/>
        <v>2L2X2X1/8</v>
      </c>
      <c r="DF183" s="339">
        <v>0.98199999999999998</v>
      </c>
      <c r="DH183" s="397" t="s">
        <v>1275</v>
      </c>
      <c r="DI183" s="401">
        <v>178</v>
      </c>
      <c r="DJ183" s="398">
        <v>20.9</v>
      </c>
      <c r="DK183" s="400">
        <v>2.6</v>
      </c>
      <c r="DL183" s="400">
        <v>4.3899999999999997</v>
      </c>
      <c r="DM183" s="400">
        <v>2.09</v>
      </c>
      <c r="DN183" s="401">
        <v>1320</v>
      </c>
      <c r="DO183" s="402">
        <v>1040</v>
      </c>
      <c r="DP183" s="117"/>
      <c r="DQ183" s="428" t="s">
        <v>1420</v>
      </c>
      <c r="DR183" s="429">
        <v>186</v>
      </c>
      <c r="DS183" s="429">
        <v>1070</v>
      </c>
      <c r="DT183" s="431"/>
      <c r="DU183" s="431"/>
      <c r="DV183" s="431"/>
      <c r="DW183" s="431"/>
      <c r="DX183" s="432"/>
      <c r="DZ183" s="447" t="s">
        <v>1251</v>
      </c>
      <c r="EA183" s="448">
        <v>873</v>
      </c>
      <c r="EB183" s="448">
        <v>257</v>
      </c>
      <c r="EC183" s="448">
        <v>23.6</v>
      </c>
      <c r="ED183" s="448" t="s">
        <v>1766</v>
      </c>
      <c r="EE183" s="448">
        <v>3.94</v>
      </c>
      <c r="EF183" s="448" t="s">
        <v>1804</v>
      </c>
      <c r="EG183" s="448">
        <v>2</v>
      </c>
      <c r="EH183" s="448">
        <v>18.8</v>
      </c>
      <c r="EI183" s="448" t="s">
        <v>1794</v>
      </c>
      <c r="EJ183" s="448">
        <v>5.51</v>
      </c>
      <c r="EK183" s="448" t="s">
        <v>1803</v>
      </c>
      <c r="EL183" s="448">
        <v>1.71</v>
      </c>
      <c r="EM183" s="448">
        <v>2.89</v>
      </c>
      <c r="EN183" s="448">
        <v>18100</v>
      </c>
      <c r="EO183" s="448">
        <v>1530</v>
      </c>
      <c r="EP183" s="448">
        <v>8.39</v>
      </c>
      <c r="EQ183" s="448">
        <v>2030</v>
      </c>
      <c r="ER183" s="448">
        <v>6170</v>
      </c>
      <c r="ES183" s="448">
        <v>656</v>
      </c>
      <c r="ET183" s="448">
        <v>4.9000000000000004</v>
      </c>
      <c r="EU183" s="450">
        <v>1020</v>
      </c>
    </row>
    <row r="184" spans="2:151">
      <c r="B184" s="78" t="s">
        <v>145</v>
      </c>
      <c r="C184" s="79" t="s">
        <v>190</v>
      </c>
      <c r="D184" s="80" t="s">
        <v>190</v>
      </c>
      <c r="E184" s="1" t="s">
        <v>4</v>
      </c>
      <c r="F184" s="6">
        <v>128</v>
      </c>
      <c r="G184" s="4">
        <v>37.6</v>
      </c>
      <c r="H184" s="3" t="str">
        <f t="shared" si="16"/>
        <v>WT18X128</v>
      </c>
      <c r="I184" s="4">
        <v>18.7</v>
      </c>
      <c r="J184" s="5">
        <v>18.75</v>
      </c>
      <c r="K184" s="6" t="s">
        <v>5</v>
      </c>
      <c r="L184" s="6" t="s">
        <v>5</v>
      </c>
      <c r="M184" s="6" t="s">
        <v>5</v>
      </c>
      <c r="N184" s="4">
        <v>12.2</v>
      </c>
      <c r="O184" s="5">
        <v>12.25</v>
      </c>
      <c r="P184" s="5" t="s">
        <v>5</v>
      </c>
      <c r="Q184" s="6" t="s">
        <v>5</v>
      </c>
      <c r="R184" s="6" t="s">
        <v>5</v>
      </c>
      <c r="S184" s="22">
        <v>0.96</v>
      </c>
      <c r="T184" s="5">
        <v>0.9375</v>
      </c>
      <c r="U184" s="8">
        <v>0.5</v>
      </c>
      <c r="V184" s="7">
        <v>1.73</v>
      </c>
      <c r="W184" s="8">
        <v>1.75</v>
      </c>
      <c r="X184" s="7">
        <v>1.73</v>
      </c>
      <c r="Y184" s="6" t="s">
        <v>5</v>
      </c>
      <c r="Z184" s="6" t="s">
        <v>5</v>
      </c>
      <c r="AA184" s="33">
        <v>2.48</v>
      </c>
      <c r="AB184" s="34">
        <v>2.9375</v>
      </c>
      <c r="AC184" s="8" t="s">
        <v>5</v>
      </c>
      <c r="AD184" s="6" t="s">
        <v>5</v>
      </c>
      <c r="AE184" s="37">
        <v>4.92</v>
      </c>
      <c r="AF184" s="6" t="s">
        <v>5</v>
      </c>
      <c r="AG184" s="6" t="s">
        <v>5</v>
      </c>
      <c r="AH184" s="33">
        <v>1.54</v>
      </c>
      <c r="AI184" s="33">
        <v>3.53</v>
      </c>
      <c r="AJ184" s="6" t="s">
        <v>5</v>
      </c>
      <c r="AK184" s="6" t="s">
        <v>5</v>
      </c>
      <c r="AL184" s="6" t="s">
        <v>5</v>
      </c>
      <c r="AM184" s="6" t="s">
        <v>5</v>
      </c>
      <c r="AN184" s="4">
        <v>19.5</v>
      </c>
      <c r="AO184" s="38">
        <v>1210</v>
      </c>
      <c r="AP184" s="38">
        <v>156</v>
      </c>
      <c r="AQ184" s="4">
        <v>87.4</v>
      </c>
      <c r="AR184" s="7">
        <v>5.66</v>
      </c>
      <c r="AS184" s="38">
        <v>264</v>
      </c>
      <c r="AT184" s="39">
        <v>68.5</v>
      </c>
      <c r="AU184" s="4">
        <v>43.2</v>
      </c>
      <c r="AV184" s="7">
        <v>2.65</v>
      </c>
      <c r="AW184" s="6" t="s">
        <v>5</v>
      </c>
      <c r="AX184" s="6" t="s">
        <v>5</v>
      </c>
      <c r="AY184" s="6" t="s">
        <v>5</v>
      </c>
      <c r="AZ184" s="39">
        <v>26.4</v>
      </c>
      <c r="BA184" s="6">
        <v>205</v>
      </c>
      <c r="BB184" s="6" t="s">
        <v>5</v>
      </c>
      <c r="BC184" s="6" t="s">
        <v>5</v>
      </c>
      <c r="BD184" s="6" t="s">
        <v>5</v>
      </c>
      <c r="BE184" s="6" t="s">
        <v>5</v>
      </c>
      <c r="BF184" s="6" t="s">
        <v>5</v>
      </c>
      <c r="BG184" s="6" t="s">
        <v>5</v>
      </c>
      <c r="BH184" s="6" t="s">
        <v>5</v>
      </c>
      <c r="BI184" s="7">
        <v>7.45</v>
      </c>
      <c r="BJ184" s="22">
        <v>0.70299999999999996</v>
      </c>
      <c r="BK184" s="6" t="s">
        <v>5</v>
      </c>
      <c r="BL184" s="2" t="s">
        <v>5</v>
      </c>
      <c r="BM184" s="2" t="s">
        <v>5</v>
      </c>
      <c r="BN184" s="2" t="s">
        <v>5</v>
      </c>
      <c r="BO184" s="2" t="s">
        <v>5</v>
      </c>
      <c r="BP184" s="2" t="s">
        <v>5</v>
      </c>
      <c r="BQ184" s="2" t="s">
        <v>5</v>
      </c>
      <c r="BR184" s="2" t="s">
        <v>5</v>
      </c>
      <c r="BS184" s="2" t="s">
        <v>5</v>
      </c>
      <c r="BT184" s="2" t="s">
        <v>5</v>
      </c>
      <c r="BU184" s="2" t="s">
        <v>5</v>
      </c>
      <c r="BV184" s="2" t="s">
        <v>5</v>
      </c>
      <c r="BW184" s="2" t="s">
        <v>5</v>
      </c>
      <c r="BX184" s="2" t="s">
        <v>5</v>
      </c>
      <c r="BY184" s="25" t="s">
        <v>5</v>
      </c>
      <c r="BZ184" s="25" t="s">
        <v>5</v>
      </c>
      <c r="CA184" s="4">
        <v>48.6</v>
      </c>
      <c r="CB184" s="6" t="s">
        <v>5</v>
      </c>
      <c r="CC184" s="4">
        <v>60.8</v>
      </c>
      <c r="CD184" s="4">
        <v>49.599999999999994</v>
      </c>
      <c r="CE184" s="6">
        <v>61.8</v>
      </c>
      <c r="CF184" s="16" t="s">
        <v>5</v>
      </c>
      <c r="CG184" s="5">
        <v>5.5</v>
      </c>
      <c r="CH184" s="18" t="s">
        <v>5</v>
      </c>
      <c r="CV184" s="344" t="str">
        <f t="shared" si="18"/>
        <v>WT8X44.5</v>
      </c>
      <c r="CW184" s="337">
        <v>13.1</v>
      </c>
      <c r="DE184" s="335" t="str">
        <f t="shared" si="19"/>
        <v>2L2X2X1/8</v>
      </c>
      <c r="DF184" s="339">
        <v>0.98199999999999998</v>
      </c>
      <c r="DH184" s="397" t="s">
        <v>1285</v>
      </c>
      <c r="DI184" s="401">
        <v>162</v>
      </c>
      <c r="DJ184" s="398">
        <v>20.2</v>
      </c>
      <c r="DK184" s="400">
        <v>2.38</v>
      </c>
      <c r="DL184" s="400">
        <v>4.79</v>
      </c>
      <c r="DM184" s="400">
        <v>2.25</v>
      </c>
      <c r="DN184" s="401">
        <v>1180</v>
      </c>
      <c r="DO184" s="402">
        <v>931</v>
      </c>
      <c r="DP184" s="117"/>
      <c r="DQ184" s="428" t="s">
        <v>1421</v>
      </c>
      <c r="DR184" s="429">
        <v>177</v>
      </c>
      <c r="DS184" s="429">
        <v>1830</v>
      </c>
      <c r="DT184" s="431"/>
      <c r="DU184" s="431"/>
      <c r="DV184" s="431"/>
      <c r="DW184" s="431"/>
      <c r="DX184" s="432"/>
      <c r="DZ184" s="447" t="s">
        <v>1255</v>
      </c>
      <c r="EA184" s="448">
        <v>808</v>
      </c>
      <c r="EB184" s="448">
        <v>238</v>
      </c>
      <c r="EC184" s="448">
        <v>22.8</v>
      </c>
      <c r="ED184" s="448" t="s">
        <v>1769</v>
      </c>
      <c r="EE184" s="448">
        <v>3.74</v>
      </c>
      <c r="EF184" s="448" t="s">
        <v>1805</v>
      </c>
      <c r="EG184" s="448" t="s">
        <v>1683</v>
      </c>
      <c r="EH184" s="448">
        <v>18.600000000000001</v>
      </c>
      <c r="EI184" s="448" t="s">
        <v>1664</v>
      </c>
      <c r="EJ184" s="448">
        <v>5.12</v>
      </c>
      <c r="EK184" s="448" t="s">
        <v>1806</v>
      </c>
      <c r="EL184" s="448">
        <v>1.82</v>
      </c>
      <c r="EM184" s="448">
        <v>3.04</v>
      </c>
      <c r="EN184" s="448">
        <v>15900</v>
      </c>
      <c r="EO184" s="448">
        <v>1390</v>
      </c>
      <c r="EP184" s="448">
        <v>8.17</v>
      </c>
      <c r="EQ184" s="448">
        <v>1830</v>
      </c>
      <c r="ER184" s="448">
        <v>5550</v>
      </c>
      <c r="ES184" s="448">
        <v>597</v>
      </c>
      <c r="ET184" s="448">
        <v>4.83</v>
      </c>
      <c r="EU184" s="450">
        <v>930</v>
      </c>
    </row>
    <row r="185" spans="2:151" ht="14.4" thickBot="1">
      <c r="B185" s="78" t="s">
        <v>145</v>
      </c>
      <c r="C185" s="79" t="s">
        <v>191</v>
      </c>
      <c r="D185" s="80" t="s">
        <v>191</v>
      </c>
      <c r="E185" s="1" t="s">
        <v>4</v>
      </c>
      <c r="F185" s="6">
        <v>116</v>
      </c>
      <c r="G185" s="4">
        <v>34</v>
      </c>
      <c r="H185" s="3" t="str">
        <f t="shared" si="16"/>
        <v>WT18X116</v>
      </c>
      <c r="I185" s="4">
        <v>18.600000000000001</v>
      </c>
      <c r="J185" s="5">
        <v>18.5</v>
      </c>
      <c r="K185" s="6" t="s">
        <v>5</v>
      </c>
      <c r="L185" s="6" t="s">
        <v>5</v>
      </c>
      <c r="M185" s="6" t="s">
        <v>5</v>
      </c>
      <c r="N185" s="4">
        <v>12.1</v>
      </c>
      <c r="O185" s="5">
        <v>12.125</v>
      </c>
      <c r="P185" s="5" t="s">
        <v>5</v>
      </c>
      <c r="Q185" s="6" t="s">
        <v>5</v>
      </c>
      <c r="R185" s="6" t="s">
        <v>5</v>
      </c>
      <c r="S185" s="22">
        <v>0.87</v>
      </c>
      <c r="T185" s="5">
        <v>0.875</v>
      </c>
      <c r="U185" s="8">
        <v>0.4375</v>
      </c>
      <c r="V185" s="7">
        <v>1.57</v>
      </c>
      <c r="W185" s="8">
        <v>1.5625</v>
      </c>
      <c r="X185" s="7">
        <v>1.57</v>
      </c>
      <c r="Y185" s="6" t="s">
        <v>5</v>
      </c>
      <c r="Z185" s="6" t="s">
        <v>5</v>
      </c>
      <c r="AA185" s="33">
        <v>2.3199999999999998</v>
      </c>
      <c r="AB185" s="34">
        <v>2.8125</v>
      </c>
      <c r="AC185" s="8" t="s">
        <v>5</v>
      </c>
      <c r="AD185" s="6" t="s">
        <v>5</v>
      </c>
      <c r="AE185" s="37">
        <v>4.82</v>
      </c>
      <c r="AF185" s="6" t="s">
        <v>5</v>
      </c>
      <c r="AG185" s="6" t="s">
        <v>5</v>
      </c>
      <c r="AH185" s="33">
        <v>1.4</v>
      </c>
      <c r="AI185" s="33">
        <v>3.86</v>
      </c>
      <c r="AJ185" s="6" t="s">
        <v>5</v>
      </c>
      <c r="AK185" s="6" t="s">
        <v>5</v>
      </c>
      <c r="AL185" s="6" t="s">
        <v>5</v>
      </c>
      <c r="AM185" s="6" t="s">
        <v>5</v>
      </c>
      <c r="AN185" s="4">
        <v>21.4</v>
      </c>
      <c r="AO185" s="38">
        <v>1080</v>
      </c>
      <c r="AP185" s="38">
        <v>140</v>
      </c>
      <c r="AQ185" s="4">
        <v>78.5</v>
      </c>
      <c r="AR185" s="7">
        <v>5.63</v>
      </c>
      <c r="AS185" s="38">
        <v>234</v>
      </c>
      <c r="AT185" s="39">
        <v>60.9</v>
      </c>
      <c r="AU185" s="4">
        <v>38.6</v>
      </c>
      <c r="AV185" s="7">
        <v>2.62</v>
      </c>
      <c r="AW185" s="6" t="s">
        <v>5</v>
      </c>
      <c r="AX185" s="6" t="s">
        <v>5</v>
      </c>
      <c r="AY185" s="6" t="s">
        <v>5</v>
      </c>
      <c r="AZ185" s="39">
        <v>19.7</v>
      </c>
      <c r="BA185" s="6">
        <v>151</v>
      </c>
      <c r="BB185" s="6" t="s">
        <v>5</v>
      </c>
      <c r="BC185" s="6" t="s">
        <v>5</v>
      </c>
      <c r="BD185" s="6" t="s">
        <v>5</v>
      </c>
      <c r="BE185" s="6" t="s">
        <v>5</v>
      </c>
      <c r="BF185" s="6" t="s">
        <v>5</v>
      </c>
      <c r="BG185" s="6" t="s">
        <v>5</v>
      </c>
      <c r="BH185" s="6" t="s">
        <v>5</v>
      </c>
      <c r="BI185" s="7">
        <v>7.4</v>
      </c>
      <c r="BJ185" s="22">
        <v>0.70299999999999996</v>
      </c>
      <c r="BK185" s="6" t="s">
        <v>5</v>
      </c>
      <c r="BL185" s="2" t="s">
        <v>5</v>
      </c>
      <c r="BM185" s="2" t="s">
        <v>5</v>
      </c>
      <c r="BN185" s="2" t="s">
        <v>5</v>
      </c>
      <c r="BO185" s="2" t="s">
        <v>5</v>
      </c>
      <c r="BP185" s="2" t="s">
        <v>5</v>
      </c>
      <c r="BQ185" s="2" t="s">
        <v>5</v>
      </c>
      <c r="BR185" s="2" t="s">
        <v>5</v>
      </c>
      <c r="BS185" s="2" t="s">
        <v>5</v>
      </c>
      <c r="BT185" s="2" t="s">
        <v>5</v>
      </c>
      <c r="BU185" s="2" t="s">
        <v>5</v>
      </c>
      <c r="BV185" s="2" t="s">
        <v>5</v>
      </c>
      <c r="BW185" s="2" t="s">
        <v>5</v>
      </c>
      <c r="BX185" s="2" t="s">
        <v>5</v>
      </c>
      <c r="BY185" s="25" t="s">
        <v>5</v>
      </c>
      <c r="BZ185" s="25" t="s">
        <v>5</v>
      </c>
      <c r="CA185" s="4">
        <v>48.3</v>
      </c>
      <c r="CB185" s="6" t="s">
        <v>5</v>
      </c>
      <c r="CC185" s="4">
        <v>60.4</v>
      </c>
      <c r="CD185" s="4">
        <v>49.300000000000004</v>
      </c>
      <c r="CE185" s="6">
        <v>61.400000000000006</v>
      </c>
      <c r="CF185" s="16" t="s">
        <v>5</v>
      </c>
      <c r="CG185" s="5">
        <v>5.5</v>
      </c>
      <c r="CH185" s="18" t="s">
        <v>5</v>
      </c>
      <c r="CV185" s="344" t="str">
        <f t="shared" si="18"/>
        <v>WT5X44</v>
      </c>
      <c r="CW185" s="337">
        <v>13</v>
      </c>
      <c r="DE185" s="340" t="str">
        <f t="shared" si="19"/>
        <v>2L2X2X1/8</v>
      </c>
      <c r="DF185" s="341">
        <v>0.98199999999999998</v>
      </c>
      <c r="DH185" s="397" t="s">
        <v>1294</v>
      </c>
      <c r="DI185" s="401">
        <v>147</v>
      </c>
      <c r="DJ185" s="398">
        <v>19.600000000000001</v>
      </c>
      <c r="DK185" s="400">
        <v>2.19</v>
      </c>
      <c r="DL185" s="400">
        <v>5.21</v>
      </c>
      <c r="DM185" s="400">
        <v>2.4300000000000002</v>
      </c>
      <c r="DN185" s="401">
        <v>1050</v>
      </c>
      <c r="DO185" s="402">
        <v>838</v>
      </c>
      <c r="DP185" s="117"/>
      <c r="DQ185" s="428" t="s">
        <v>1422</v>
      </c>
      <c r="DR185" s="429">
        <v>175</v>
      </c>
      <c r="DS185" s="429">
        <v>1300</v>
      </c>
      <c r="DT185" s="431"/>
      <c r="DU185" s="431"/>
      <c r="DV185" s="431"/>
      <c r="DW185" s="431"/>
      <c r="DX185" s="432"/>
      <c r="DZ185" s="447" t="s">
        <v>1260</v>
      </c>
      <c r="EA185" s="448">
        <v>730</v>
      </c>
      <c r="EB185" s="448">
        <v>215</v>
      </c>
      <c r="EC185" s="448">
        <v>22.4</v>
      </c>
      <c r="ED185" s="448" t="s">
        <v>1785</v>
      </c>
      <c r="EE185" s="448">
        <v>3.07</v>
      </c>
      <c r="EF185" s="448" t="s">
        <v>1807</v>
      </c>
      <c r="EG185" s="448" t="s">
        <v>1618</v>
      </c>
      <c r="EH185" s="448">
        <v>17.899999999999999</v>
      </c>
      <c r="EI185" s="448" t="s">
        <v>1800</v>
      </c>
      <c r="EJ185" s="448">
        <v>4.91</v>
      </c>
      <c r="EK185" s="448" t="s">
        <v>1808</v>
      </c>
      <c r="EL185" s="448">
        <v>1.82</v>
      </c>
      <c r="EM185" s="448">
        <v>3.71</v>
      </c>
      <c r="EN185" s="448">
        <v>14300</v>
      </c>
      <c r="EO185" s="448">
        <v>1280</v>
      </c>
      <c r="EP185" s="448">
        <v>8.17</v>
      </c>
      <c r="EQ185" s="448">
        <v>1660</v>
      </c>
      <c r="ER185" s="448">
        <v>4720</v>
      </c>
      <c r="ES185" s="448">
        <v>527</v>
      </c>
      <c r="ET185" s="448">
        <v>4.6900000000000004</v>
      </c>
      <c r="EU185" s="450">
        <v>816</v>
      </c>
    </row>
    <row r="186" spans="2:151">
      <c r="B186" s="78" t="s">
        <v>145</v>
      </c>
      <c r="C186" s="79" t="s">
        <v>192</v>
      </c>
      <c r="D186" s="80" t="s">
        <v>192</v>
      </c>
      <c r="E186" s="1" t="s">
        <v>4</v>
      </c>
      <c r="F186" s="6">
        <v>105</v>
      </c>
      <c r="G186" s="4">
        <v>30.9</v>
      </c>
      <c r="H186" s="3" t="str">
        <f t="shared" si="16"/>
        <v>WT18X105</v>
      </c>
      <c r="I186" s="4">
        <v>18.3</v>
      </c>
      <c r="J186" s="5">
        <v>18.375</v>
      </c>
      <c r="K186" s="6" t="s">
        <v>5</v>
      </c>
      <c r="L186" s="6" t="s">
        <v>5</v>
      </c>
      <c r="M186" s="6" t="s">
        <v>5</v>
      </c>
      <c r="N186" s="4">
        <v>12.2</v>
      </c>
      <c r="O186" s="5">
        <v>12.125</v>
      </c>
      <c r="P186" s="5" t="s">
        <v>5</v>
      </c>
      <c r="Q186" s="6" t="s">
        <v>5</v>
      </c>
      <c r="R186" s="6" t="s">
        <v>5</v>
      </c>
      <c r="S186" s="22">
        <v>0.83</v>
      </c>
      <c r="T186" s="5">
        <v>0.8125</v>
      </c>
      <c r="U186" s="8">
        <v>0.4375</v>
      </c>
      <c r="V186" s="7">
        <v>1.36</v>
      </c>
      <c r="W186" s="8">
        <v>1.375</v>
      </c>
      <c r="X186" s="7">
        <v>1.36</v>
      </c>
      <c r="Y186" s="6" t="s">
        <v>5</v>
      </c>
      <c r="Z186" s="6" t="s">
        <v>5</v>
      </c>
      <c r="AA186" s="33">
        <v>2.11</v>
      </c>
      <c r="AB186" s="34">
        <v>2.625</v>
      </c>
      <c r="AC186" s="8" t="s">
        <v>5</v>
      </c>
      <c r="AD186" s="6" t="s">
        <v>5</v>
      </c>
      <c r="AE186" s="37">
        <v>4.87</v>
      </c>
      <c r="AF186" s="6" t="s">
        <v>5</v>
      </c>
      <c r="AG186" s="6" t="s">
        <v>5</v>
      </c>
      <c r="AH186" s="33">
        <v>1.27</v>
      </c>
      <c r="AI186" s="33">
        <v>4.4800000000000004</v>
      </c>
      <c r="AJ186" s="6" t="s">
        <v>5</v>
      </c>
      <c r="AK186" s="6" t="s">
        <v>5</v>
      </c>
      <c r="AL186" s="6" t="s">
        <v>5</v>
      </c>
      <c r="AM186" s="6" t="s">
        <v>5</v>
      </c>
      <c r="AN186" s="4">
        <v>22</v>
      </c>
      <c r="AO186" s="38">
        <v>985</v>
      </c>
      <c r="AP186" s="38">
        <v>131</v>
      </c>
      <c r="AQ186" s="4">
        <v>73.099999999999994</v>
      </c>
      <c r="AR186" s="7">
        <v>5.65</v>
      </c>
      <c r="AS186" s="38">
        <v>206</v>
      </c>
      <c r="AT186" s="39">
        <v>53.4</v>
      </c>
      <c r="AU186" s="4">
        <v>33.799999999999997</v>
      </c>
      <c r="AV186" s="7">
        <v>2.58</v>
      </c>
      <c r="AW186" s="6" t="s">
        <v>5</v>
      </c>
      <c r="AX186" s="6" t="s">
        <v>5</v>
      </c>
      <c r="AY186" s="6" t="s">
        <v>5</v>
      </c>
      <c r="AZ186" s="39">
        <v>13.9</v>
      </c>
      <c r="BA186" s="6">
        <v>119</v>
      </c>
      <c r="BB186" s="6" t="s">
        <v>5</v>
      </c>
      <c r="BC186" s="6" t="s">
        <v>5</v>
      </c>
      <c r="BD186" s="6" t="s">
        <v>5</v>
      </c>
      <c r="BE186" s="6" t="s">
        <v>5</v>
      </c>
      <c r="BF186" s="6" t="s">
        <v>5</v>
      </c>
      <c r="BG186" s="6" t="s">
        <v>5</v>
      </c>
      <c r="BH186" s="6" t="s">
        <v>5</v>
      </c>
      <c r="BI186" s="7">
        <v>7.49</v>
      </c>
      <c r="BJ186" s="22">
        <v>0.68700000000000006</v>
      </c>
      <c r="BK186" s="6" t="s">
        <v>5</v>
      </c>
      <c r="BL186" s="2" t="s">
        <v>5</v>
      </c>
      <c r="BM186" s="2" t="s">
        <v>5</v>
      </c>
      <c r="BN186" s="2" t="s">
        <v>5</v>
      </c>
      <c r="BO186" s="2" t="s">
        <v>5</v>
      </c>
      <c r="BP186" s="2" t="s">
        <v>5</v>
      </c>
      <c r="BQ186" s="2" t="s">
        <v>5</v>
      </c>
      <c r="BR186" s="2" t="s">
        <v>5</v>
      </c>
      <c r="BS186" s="2" t="s">
        <v>5</v>
      </c>
      <c r="BT186" s="2" t="s">
        <v>5</v>
      </c>
      <c r="BU186" s="2" t="s">
        <v>5</v>
      </c>
      <c r="BV186" s="2" t="s">
        <v>5</v>
      </c>
      <c r="BW186" s="2" t="s">
        <v>5</v>
      </c>
      <c r="BX186" s="2" t="s">
        <v>5</v>
      </c>
      <c r="BY186" s="25" t="s">
        <v>5</v>
      </c>
      <c r="BZ186" s="25" t="s">
        <v>5</v>
      </c>
      <c r="CA186" s="4">
        <v>47.8</v>
      </c>
      <c r="CB186" s="6" t="s">
        <v>5</v>
      </c>
      <c r="CC186" s="4">
        <v>60</v>
      </c>
      <c r="CD186" s="4">
        <v>48.8</v>
      </c>
      <c r="CE186" s="4">
        <v>61</v>
      </c>
      <c r="CF186" s="16" t="s">
        <v>5</v>
      </c>
      <c r="CG186" s="5">
        <v>5.5</v>
      </c>
      <c r="CH186" s="18" t="s">
        <v>5</v>
      </c>
      <c r="CV186" s="344" t="str">
        <f t="shared" si="18"/>
        <v>WT6X43.5</v>
      </c>
      <c r="CW186" s="337">
        <v>12.8</v>
      </c>
      <c r="DE186" s="308"/>
      <c r="DH186" s="397" t="s">
        <v>1307</v>
      </c>
      <c r="DI186" s="401">
        <v>134</v>
      </c>
      <c r="DJ186" s="398">
        <v>19</v>
      </c>
      <c r="DK186" s="400">
        <v>2.02</v>
      </c>
      <c r="DL186" s="400">
        <v>5.66</v>
      </c>
      <c r="DM186" s="400">
        <v>2.62</v>
      </c>
      <c r="DN186" s="401">
        <v>936</v>
      </c>
      <c r="DO186" s="402">
        <v>756</v>
      </c>
      <c r="DP186" s="117"/>
      <c r="DQ186" s="428" t="s">
        <v>1423</v>
      </c>
      <c r="DR186" s="429">
        <v>173</v>
      </c>
      <c r="DS186" s="429">
        <v>1110</v>
      </c>
      <c r="DT186" s="431"/>
      <c r="DU186" s="431"/>
      <c r="DV186" s="431"/>
      <c r="DW186" s="431"/>
      <c r="DX186" s="432"/>
      <c r="DZ186" s="447" t="s">
        <v>1265</v>
      </c>
      <c r="EA186" s="448">
        <v>665</v>
      </c>
      <c r="EB186" s="448">
        <v>196</v>
      </c>
      <c r="EC186" s="448">
        <v>21.6</v>
      </c>
      <c r="ED186" s="448" t="s">
        <v>1773</v>
      </c>
      <c r="EE186" s="448">
        <v>2.83</v>
      </c>
      <c r="EF186" s="448" t="s">
        <v>1809</v>
      </c>
      <c r="EG186" s="448" t="s">
        <v>1622</v>
      </c>
      <c r="EH186" s="448">
        <v>17.7</v>
      </c>
      <c r="EI186" s="448" t="s">
        <v>1672</v>
      </c>
      <c r="EJ186" s="448">
        <v>4.5199999999999996</v>
      </c>
      <c r="EK186" s="448" t="s">
        <v>1665</v>
      </c>
      <c r="EL186" s="448">
        <v>1.95</v>
      </c>
      <c r="EM186" s="448">
        <v>4.03</v>
      </c>
      <c r="EN186" s="448">
        <v>12400</v>
      </c>
      <c r="EO186" s="448">
        <v>1150</v>
      </c>
      <c r="EP186" s="448">
        <v>7.98</v>
      </c>
      <c r="EQ186" s="448">
        <v>1480</v>
      </c>
      <c r="ER186" s="448">
        <v>4170</v>
      </c>
      <c r="ES186" s="448">
        <v>472</v>
      </c>
      <c r="ET186" s="448">
        <v>4.62</v>
      </c>
      <c r="EU186" s="450">
        <v>730</v>
      </c>
    </row>
    <row r="187" spans="2:151">
      <c r="B187" s="78" t="s">
        <v>145</v>
      </c>
      <c r="C187" s="79" t="s">
        <v>193</v>
      </c>
      <c r="D187" s="80" t="s">
        <v>193</v>
      </c>
      <c r="E187" s="1" t="s">
        <v>4</v>
      </c>
      <c r="F187" s="4">
        <v>97</v>
      </c>
      <c r="G187" s="4">
        <v>28.5</v>
      </c>
      <c r="H187" s="3" t="str">
        <f t="shared" si="16"/>
        <v>WT18X97</v>
      </c>
      <c r="I187" s="4">
        <v>18.2</v>
      </c>
      <c r="J187" s="5">
        <v>18.25</v>
      </c>
      <c r="K187" s="6" t="s">
        <v>5</v>
      </c>
      <c r="L187" s="6" t="s">
        <v>5</v>
      </c>
      <c r="M187" s="6" t="s">
        <v>5</v>
      </c>
      <c r="N187" s="4">
        <v>12.1</v>
      </c>
      <c r="O187" s="5">
        <v>12.125</v>
      </c>
      <c r="P187" s="5" t="s">
        <v>5</v>
      </c>
      <c r="Q187" s="6" t="s">
        <v>5</v>
      </c>
      <c r="R187" s="6" t="s">
        <v>5</v>
      </c>
      <c r="S187" s="22">
        <v>0.76500000000000001</v>
      </c>
      <c r="T187" s="5">
        <v>0.75</v>
      </c>
      <c r="U187" s="8">
        <v>0.375</v>
      </c>
      <c r="V187" s="7">
        <v>1.26</v>
      </c>
      <c r="W187" s="8">
        <v>1.25</v>
      </c>
      <c r="X187" s="7">
        <v>1.26</v>
      </c>
      <c r="Y187" s="6" t="s">
        <v>5</v>
      </c>
      <c r="Z187" s="6" t="s">
        <v>5</v>
      </c>
      <c r="AA187" s="33">
        <v>2.0099999999999998</v>
      </c>
      <c r="AB187" s="34">
        <v>2.5</v>
      </c>
      <c r="AC187" s="8" t="s">
        <v>5</v>
      </c>
      <c r="AD187" s="6" t="s">
        <v>5</v>
      </c>
      <c r="AE187" s="37">
        <v>4.8</v>
      </c>
      <c r="AF187" s="6" t="s">
        <v>5</v>
      </c>
      <c r="AG187" s="6" t="s">
        <v>5</v>
      </c>
      <c r="AH187" s="33">
        <v>1.18</v>
      </c>
      <c r="AI187" s="33">
        <v>4.8099999999999996</v>
      </c>
      <c r="AJ187" s="6" t="s">
        <v>5</v>
      </c>
      <c r="AK187" s="6" t="s">
        <v>5</v>
      </c>
      <c r="AL187" s="6" t="s">
        <v>5</v>
      </c>
      <c r="AM187" s="6" t="s">
        <v>5</v>
      </c>
      <c r="AN187" s="4">
        <v>23.8</v>
      </c>
      <c r="AO187" s="38">
        <v>901</v>
      </c>
      <c r="AP187" s="38">
        <v>120</v>
      </c>
      <c r="AQ187" s="4">
        <v>67</v>
      </c>
      <c r="AR187" s="7">
        <v>5.62</v>
      </c>
      <c r="AS187" s="38">
        <v>187</v>
      </c>
      <c r="AT187" s="39">
        <v>48.8</v>
      </c>
      <c r="AU187" s="4">
        <v>30.9</v>
      </c>
      <c r="AV187" s="7">
        <v>2.56</v>
      </c>
      <c r="AW187" s="6" t="s">
        <v>5</v>
      </c>
      <c r="AX187" s="6" t="s">
        <v>5</v>
      </c>
      <c r="AY187" s="6" t="s">
        <v>5</v>
      </c>
      <c r="AZ187" s="39">
        <v>11.1</v>
      </c>
      <c r="BA187" s="4">
        <v>92.7</v>
      </c>
      <c r="BB187" s="6" t="s">
        <v>5</v>
      </c>
      <c r="BC187" s="6" t="s">
        <v>5</v>
      </c>
      <c r="BD187" s="6" t="s">
        <v>5</v>
      </c>
      <c r="BE187" s="6" t="s">
        <v>5</v>
      </c>
      <c r="BF187" s="6" t="s">
        <v>5</v>
      </c>
      <c r="BG187" s="6" t="s">
        <v>5</v>
      </c>
      <c r="BH187" s="6" t="s">
        <v>5</v>
      </c>
      <c r="BI187" s="7">
        <v>7.45</v>
      </c>
      <c r="BJ187" s="22">
        <v>0.68799999999999994</v>
      </c>
      <c r="BK187" s="6" t="s">
        <v>5</v>
      </c>
      <c r="BL187" s="2" t="s">
        <v>5</v>
      </c>
      <c r="BM187" s="2" t="s">
        <v>5</v>
      </c>
      <c r="BN187" s="2" t="s">
        <v>5</v>
      </c>
      <c r="BO187" s="2" t="s">
        <v>5</v>
      </c>
      <c r="BP187" s="2" t="s">
        <v>5</v>
      </c>
      <c r="BQ187" s="2" t="s">
        <v>5</v>
      </c>
      <c r="BR187" s="2" t="s">
        <v>5</v>
      </c>
      <c r="BS187" s="2" t="s">
        <v>5</v>
      </c>
      <c r="BT187" s="2" t="s">
        <v>5</v>
      </c>
      <c r="BU187" s="2" t="s">
        <v>5</v>
      </c>
      <c r="BV187" s="2" t="s">
        <v>5</v>
      </c>
      <c r="BW187" s="2" t="s">
        <v>5</v>
      </c>
      <c r="BX187" s="2" t="s">
        <v>5</v>
      </c>
      <c r="BY187" s="25" t="s">
        <v>5</v>
      </c>
      <c r="BZ187" s="25" t="s">
        <v>5</v>
      </c>
      <c r="CA187" s="4">
        <v>47.5</v>
      </c>
      <c r="CB187" s="6" t="s">
        <v>5</v>
      </c>
      <c r="CC187" s="4">
        <v>59.6</v>
      </c>
      <c r="CD187" s="4">
        <v>48.499999999999993</v>
      </c>
      <c r="CE187" s="6">
        <v>60.599999999999994</v>
      </c>
      <c r="CF187" s="16" t="s">
        <v>5</v>
      </c>
      <c r="CG187" s="5">
        <v>5.5</v>
      </c>
      <c r="CH187" s="18" t="s">
        <v>5</v>
      </c>
      <c r="CV187" s="344" t="str">
        <f t="shared" si="18"/>
        <v>WT9X43</v>
      </c>
      <c r="CW187" s="337">
        <v>12.7</v>
      </c>
      <c r="DH187" s="397" t="s">
        <v>1311</v>
      </c>
      <c r="DI187" s="401">
        <v>125</v>
      </c>
      <c r="DJ187" s="398">
        <v>18.7</v>
      </c>
      <c r="DK187" s="400">
        <v>1.88</v>
      </c>
      <c r="DL187" s="400">
        <v>6.08</v>
      </c>
      <c r="DM187" s="400">
        <v>2.75</v>
      </c>
      <c r="DN187" s="401">
        <v>869</v>
      </c>
      <c r="DO187" s="402">
        <v>706</v>
      </c>
      <c r="DP187" s="117"/>
      <c r="DQ187" s="428" t="s">
        <v>1424</v>
      </c>
      <c r="DR187" s="429">
        <v>172</v>
      </c>
      <c r="DS187" s="429">
        <v>1600</v>
      </c>
      <c r="DT187" s="431"/>
      <c r="DU187" s="431"/>
      <c r="DV187" s="431"/>
      <c r="DW187" s="431"/>
      <c r="DX187" s="432"/>
      <c r="DZ187" s="447" t="s">
        <v>1275</v>
      </c>
      <c r="EA187" s="448">
        <v>605</v>
      </c>
      <c r="EB187" s="448">
        <v>178</v>
      </c>
      <c r="EC187" s="448">
        <v>20.9</v>
      </c>
      <c r="ED187" s="448" t="s">
        <v>1784</v>
      </c>
      <c r="EE187" s="448">
        <v>2.6</v>
      </c>
      <c r="EF187" s="448" t="s">
        <v>1810</v>
      </c>
      <c r="EG187" s="448" t="s">
        <v>1634</v>
      </c>
      <c r="EH187" s="448">
        <v>17.399999999999999</v>
      </c>
      <c r="EI187" s="448" t="s">
        <v>1811</v>
      </c>
      <c r="EJ187" s="448">
        <v>4.16</v>
      </c>
      <c r="EK187" s="448" t="s">
        <v>1812</v>
      </c>
      <c r="EL187" s="448">
        <v>2.09</v>
      </c>
      <c r="EM187" s="448">
        <v>4.3899999999999997</v>
      </c>
      <c r="EN187" s="448">
        <v>10800</v>
      </c>
      <c r="EO187" s="448">
        <v>1040</v>
      </c>
      <c r="EP187" s="448">
        <v>7.8</v>
      </c>
      <c r="EQ187" s="448">
        <v>1320</v>
      </c>
      <c r="ER187" s="448">
        <v>3680</v>
      </c>
      <c r="ES187" s="448">
        <v>423</v>
      </c>
      <c r="ET187" s="448">
        <v>4.55</v>
      </c>
      <c r="EU187" s="450">
        <v>652</v>
      </c>
    </row>
    <row r="188" spans="2:151">
      <c r="B188" s="78" t="s">
        <v>145</v>
      </c>
      <c r="C188" s="79" t="s">
        <v>194</v>
      </c>
      <c r="D188" s="80" t="s">
        <v>194</v>
      </c>
      <c r="E188" s="1" t="s">
        <v>4</v>
      </c>
      <c r="F188" s="4">
        <v>91</v>
      </c>
      <c r="G188" s="4">
        <v>26.8</v>
      </c>
      <c r="H188" s="3" t="str">
        <f t="shared" si="16"/>
        <v>WT18X91</v>
      </c>
      <c r="I188" s="4">
        <v>18.2</v>
      </c>
      <c r="J188" s="5">
        <v>18.125</v>
      </c>
      <c r="K188" s="6" t="s">
        <v>5</v>
      </c>
      <c r="L188" s="6" t="s">
        <v>5</v>
      </c>
      <c r="M188" s="6" t="s">
        <v>5</v>
      </c>
      <c r="N188" s="4">
        <v>12.1</v>
      </c>
      <c r="O188" s="5">
        <v>12.125</v>
      </c>
      <c r="P188" s="5" t="s">
        <v>5</v>
      </c>
      <c r="Q188" s="6" t="s">
        <v>5</v>
      </c>
      <c r="R188" s="6" t="s">
        <v>5</v>
      </c>
      <c r="S188" s="22">
        <v>0.72499999999999998</v>
      </c>
      <c r="T188" s="5">
        <v>0.75</v>
      </c>
      <c r="U188" s="8">
        <v>0.375</v>
      </c>
      <c r="V188" s="7">
        <v>1.18</v>
      </c>
      <c r="W188" s="8">
        <v>1.1875</v>
      </c>
      <c r="X188" s="7">
        <v>1.18</v>
      </c>
      <c r="Y188" s="6" t="s">
        <v>5</v>
      </c>
      <c r="Z188" s="6" t="s">
        <v>5</v>
      </c>
      <c r="AA188" s="33">
        <v>1.93</v>
      </c>
      <c r="AB188" s="34">
        <v>2.375</v>
      </c>
      <c r="AC188" s="8" t="s">
        <v>5</v>
      </c>
      <c r="AD188" s="6" t="s">
        <v>5</v>
      </c>
      <c r="AE188" s="37">
        <v>4.7699999999999996</v>
      </c>
      <c r="AF188" s="6" t="s">
        <v>5</v>
      </c>
      <c r="AG188" s="6" t="s">
        <v>5</v>
      </c>
      <c r="AH188" s="33">
        <v>1.1100000000000001</v>
      </c>
      <c r="AI188" s="33">
        <v>5.12</v>
      </c>
      <c r="AJ188" s="6" t="s">
        <v>5</v>
      </c>
      <c r="AK188" s="6" t="s">
        <v>5</v>
      </c>
      <c r="AL188" s="6" t="s">
        <v>5</v>
      </c>
      <c r="AM188" s="6" t="s">
        <v>5</v>
      </c>
      <c r="AN188" s="4">
        <v>25.1</v>
      </c>
      <c r="AO188" s="38">
        <v>845</v>
      </c>
      <c r="AP188" s="38">
        <v>113</v>
      </c>
      <c r="AQ188" s="4">
        <v>63.1</v>
      </c>
      <c r="AR188" s="7">
        <v>5.62</v>
      </c>
      <c r="AS188" s="38">
        <v>174</v>
      </c>
      <c r="AT188" s="39">
        <v>45.3</v>
      </c>
      <c r="AU188" s="4">
        <v>28.8</v>
      </c>
      <c r="AV188" s="7">
        <v>2.5499999999999998</v>
      </c>
      <c r="AW188" s="6" t="s">
        <v>5</v>
      </c>
      <c r="AX188" s="6" t="s">
        <v>5</v>
      </c>
      <c r="AY188" s="6" t="s">
        <v>5</v>
      </c>
      <c r="AZ188" s="33">
        <v>9.1999999999999993</v>
      </c>
      <c r="BA188" s="4">
        <v>77.599999999999994</v>
      </c>
      <c r="BB188" s="6" t="s">
        <v>5</v>
      </c>
      <c r="BC188" s="6" t="s">
        <v>5</v>
      </c>
      <c r="BD188" s="6" t="s">
        <v>5</v>
      </c>
      <c r="BE188" s="6" t="s">
        <v>5</v>
      </c>
      <c r="BF188" s="6" t="s">
        <v>5</v>
      </c>
      <c r="BG188" s="6" t="s">
        <v>5</v>
      </c>
      <c r="BH188" s="6" t="s">
        <v>5</v>
      </c>
      <c r="BI188" s="7">
        <v>7.45</v>
      </c>
      <c r="BJ188" s="22">
        <v>0.68500000000000005</v>
      </c>
      <c r="BK188" s="6" t="s">
        <v>5</v>
      </c>
      <c r="BL188" s="2" t="s">
        <v>5</v>
      </c>
      <c r="BM188" s="2" t="s">
        <v>5</v>
      </c>
      <c r="BN188" s="2" t="s">
        <v>5</v>
      </c>
      <c r="BO188" s="2" t="s">
        <v>5</v>
      </c>
      <c r="BP188" s="2" t="s">
        <v>5</v>
      </c>
      <c r="BQ188" s="2" t="s">
        <v>5</v>
      </c>
      <c r="BR188" s="2" t="s">
        <v>5</v>
      </c>
      <c r="BS188" s="2" t="s">
        <v>5</v>
      </c>
      <c r="BT188" s="2" t="s">
        <v>5</v>
      </c>
      <c r="BU188" s="2" t="s">
        <v>5</v>
      </c>
      <c r="BV188" s="2" t="s">
        <v>5</v>
      </c>
      <c r="BW188" s="2" t="s">
        <v>5</v>
      </c>
      <c r="BX188" s="2" t="s">
        <v>5</v>
      </c>
      <c r="BY188" s="25" t="s">
        <v>5</v>
      </c>
      <c r="BZ188" s="25" t="s">
        <v>5</v>
      </c>
      <c r="CA188" s="4">
        <v>47.5</v>
      </c>
      <c r="CB188" s="6" t="s">
        <v>5</v>
      </c>
      <c r="CC188" s="4">
        <v>59.6</v>
      </c>
      <c r="CD188" s="4">
        <v>48.499999999999993</v>
      </c>
      <c r="CE188" s="6">
        <v>60.599999999999994</v>
      </c>
      <c r="CF188" s="16" t="s">
        <v>5</v>
      </c>
      <c r="CG188" s="5">
        <v>5.5</v>
      </c>
      <c r="CH188" s="18" t="s">
        <v>5</v>
      </c>
      <c r="CV188" s="344" t="str">
        <f t="shared" si="18"/>
        <v>WT13.5X42</v>
      </c>
      <c r="CW188" s="337">
        <v>12.4</v>
      </c>
      <c r="DH188" s="397" t="s">
        <v>1317</v>
      </c>
      <c r="DI188" s="401">
        <v>117</v>
      </c>
      <c r="DJ188" s="398">
        <v>18.3</v>
      </c>
      <c r="DK188" s="400">
        <v>1.77</v>
      </c>
      <c r="DL188" s="400">
        <v>6.44</v>
      </c>
      <c r="DM188" s="400">
        <v>2.92</v>
      </c>
      <c r="DN188" s="401">
        <v>801</v>
      </c>
      <c r="DO188" s="402">
        <v>656</v>
      </c>
      <c r="DP188" s="117"/>
      <c r="DQ188" s="428" t="s">
        <v>1425</v>
      </c>
      <c r="DR188" s="429">
        <v>164</v>
      </c>
      <c r="DS188" s="429">
        <v>933</v>
      </c>
      <c r="DT188" s="431"/>
      <c r="DU188" s="431"/>
      <c r="DV188" s="431"/>
      <c r="DW188" s="431"/>
      <c r="DX188" s="432"/>
      <c r="DZ188" s="447" t="s">
        <v>1285</v>
      </c>
      <c r="EA188" s="448">
        <v>550</v>
      </c>
      <c r="EB188" s="448">
        <v>162</v>
      </c>
      <c r="EC188" s="448">
        <v>20.2</v>
      </c>
      <c r="ED188" s="448" t="s">
        <v>1813</v>
      </c>
      <c r="EE188" s="448">
        <v>2.38</v>
      </c>
      <c r="EF188" s="448" t="s">
        <v>1636</v>
      </c>
      <c r="EG188" s="448" t="s">
        <v>1640</v>
      </c>
      <c r="EH188" s="448">
        <v>17.2</v>
      </c>
      <c r="EI188" s="448" t="s">
        <v>1673</v>
      </c>
      <c r="EJ188" s="448">
        <v>3.82</v>
      </c>
      <c r="EK188" s="448" t="s">
        <v>1814</v>
      </c>
      <c r="EL188" s="448">
        <v>2.25</v>
      </c>
      <c r="EM188" s="448">
        <v>4.79</v>
      </c>
      <c r="EN188" s="448">
        <v>9430</v>
      </c>
      <c r="EO188" s="448">
        <v>931</v>
      </c>
      <c r="EP188" s="448">
        <v>7.63</v>
      </c>
      <c r="EQ188" s="448">
        <v>1180</v>
      </c>
      <c r="ER188" s="448">
        <v>3250</v>
      </c>
      <c r="ES188" s="448">
        <v>378</v>
      </c>
      <c r="ET188" s="448">
        <v>4.49</v>
      </c>
      <c r="EU188" s="450">
        <v>583</v>
      </c>
    </row>
    <row r="189" spans="2:151">
      <c r="B189" s="78" t="s">
        <v>145</v>
      </c>
      <c r="C189" s="79" t="s">
        <v>195</v>
      </c>
      <c r="D189" s="80" t="s">
        <v>195</v>
      </c>
      <c r="E189" s="1" t="s">
        <v>4</v>
      </c>
      <c r="F189" s="4">
        <v>85</v>
      </c>
      <c r="G189" s="4">
        <v>25</v>
      </c>
      <c r="H189" s="3" t="str">
        <f t="shared" si="16"/>
        <v>WT18X85</v>
      </c>
      <c r="I189" s="4">
        <v>18.100000000000001</v>
      </c>
      <c r="J189" s="5">
        <v>18.125</v>
      </c>
      <c r="K189" s="6" t="s">
        <v>5</v>
      </c>
      <c r="L189" s="6" t="s">
        <v>5</v>
      </c>
      <c r="M189" s="6" t="s">
        <v>5</v>
      </c>
      <c r="N189" s="4">
        <v>12</v>
      </c>
      <c r="O189" s="5">
        <v>12</v>
      </c>
      <c r="P189" s="5" t="s">
        <v>5</v>
      </c>
      <c r="Q189" s="6" t="s">
        <v>5</v>
      </c>
      <c r="R189" s="6" t="s">
        <v>5</v>
      </c>
      <c r="S189" s="22">
        <v>0.68</v>
      </c>
      <c r="T189" s="5">
        <v>0.6875</v>
      </c>
      <c r="U189" s="8">
        <v>0.375</v>
      </c>
      <c r="V189" s="7">
        <v>1.1000000000000001</v>
      </c>
      <c r="W189" s="8">
        <v>1.125</v>
      </c>
      <c r="X189" s="7">
        <v>1.1000000000000001</v>
      </c>
      <c r="Y189" s="6" t="s">
        <v>5</v>
      </c>
      <c r="Z189" s="6" t="s">
        <v>5</v>
      </c>
      <c r="AA189" s="33">
        <v>1.85</v>
      </c>
      <c r="AB189" s="34">
        <v>2.375</v>
      </c>
      <c r="AC189" s="8" t="s">
        <v>5</v>
      </c>
      <c r="AD189" s="6" t="s">
        <v>5</v>
      </c>
      <c r="AE189" s="37">
        <v>4.7300000000000004</v>
      </c>
      <c r="AF189" s="6" t="s">
        <v>5</v>
      </c>
      <c r="AG189" s="6" t="s">
        <v>5</v>
      </c>
      <c r="AH189" s="33">
        <v>1.04</v>
      </c>
      <c r="AI189" s="33">
        <v>5.47</v>
      </c>
      <c r="AJ189" s="6" t="s">
        <v>5</v>
      </c>
      <c r="AK189" s="6" t="s">
        <v>5</v>
      </c>
      <c r="AL189" s="6" t="s">
        <v>5</v>
      </c>
      <c r="AM189" s="6" t="s">
        <v>5</v>
      </c>
      <c r="AN189" s="4">
        <v>26.6</v>
      </c>
      <c r="AO189" s="38">
        <v>786</v>
      </c>
      <c r="AP189" s="38">
        <v>105</v>
      </c>
      <c r="AQ189" s="4">
        <v>58.9</v>
      </c>
      <c r="AR189" s="7">
        <v>5.61</v>
      </c>
      <c r="AS189" s="38">
        <v>160</v>
      </c>
      <c r="AT189" s="39">
        <v>41.8</v>
      </c>
      <c r="AU189" s="4">
        <v>26.6</v>
      </c>
      <c r="AV189" s="7">
        <v>2.5299999999999998</v>
      </c>
      <c r="AW189" s="6" t="s">
        <v>5</v>
      </c>
      <c r="AX189" s="6" t="s">
        <v>5</v>
      </c>
      <c r="AY189" s="6" t="s">
        <v>5</v>
      </c>
      <c r="AZ189" s="33">
        <v>7.51</v>
      </c>
      <c r="BA189" s="4">
        <v>63.2</v>
      </c>
      <c r="BB189" s="6" t="s">
        <v>5</v>
      </c>
      <c r="BC189" s="6" t="s">
        <v>5</v>
      </c>
      <c r="BD189" s="6" t="s">
        <v>5</v>
      </c>
      <c r="BE189" s="6" t="s">
        <v>5</v>
      </c>
      <c r="BF189" s="6" t="s">
        <v>5</v>
      </c>
      <c r="BG189" s="6" t="s">
        <v>5</v>
      </c>
      <c r="BH189" s="6" t="s">
        <v>5</v>
      </c>
      <c r="BI189" s="7">
        <v>7.44</v>
      </c>
      <c r="BJ189" s="22">
        <v>0.68400000000000005</v>
      </c>
      <c r="BK189" s="6" t="s">
        <v>5</v>
      </c>
      <c r="BL189" s="2" t="s">
        <v>5</v>
      </c>
      <c r="BM189" s="2" t="s">
        <v>5</v>
      </c>
      <c r="BN189" s="2" t="s">
        <v>5</v>
      </c>
      <c r="BO189" s="2" t="s">
        <v>5</v>
      </c>
      <c r="BP189" s="2" t="s">
        <v>5</v>
      </c>
      <c r="BQ189" s="2" t="s">
        <v>5</v>
      </c>
      <c r="BR189" s="2" t="s">
        <v>5</v>
      </c>
      <c r="BS189" s="2" t="s">
        <v>5</v>
      </c>
      <c r="BT189" s="2" t="s">
        <v>5</v>
      </c>
      <c r="BU189" s="2" t="s">
        <v>5</v>
      </c>
      <c r="BV189" s="2" t="s">
        <v>5</v>
      </c>
      <c r="BW189" s="2" t="s">
        <v>5</v>
      </c>
      <c r="BX189" s="2" t="s">
        <v>5</v>
      </c>
      <c r="BY189" s="25" t="s">
        <v>5</v>
      </c>
      <c r="BZ189" s="25" t="s">
        <v>5</v>
      </c>
      <c r="CA189" s="4">
        <v>47.2</v>
      </c>
      <c r="CB189" s="6" t="s">
        <v>5</v>
      </c>
      <c r="CC189" s="4">
        <v>59.2</v>
      </c>
      <c r="CD189" s="4">
        <v>48.2</v>
      </c>
      <c r="CE189" s="6">
        <v>60.2</v>
      </c>
      <c r="CF189" s="16" t="s">
        <v>5</v>
      </c>
      <c r="CG189" s="5">
        <v>5.5</v>
      </c>
      <c r="CH189" s="18" t="s">
        <v>5</v>
      </c>
      <c r="CV189" s="344" t="str">
        <f t="shared" si="18"/>
        <v>WT13.5X42</v>
      </c>
      <c r="CW189" s="337">
        <v>12.4</v>
      </c>
      <c r="DH189" s="397" t="s">
        <v>1326</v>
      </c>
      <c r="DI189" s="401">
        <v>109</v>
      </c>
      <c r="DJ189" s="398">
        <v>17.899999999999999</v>
      </c>
      <c r="DK189" s="400">
        <v>1.66</v>
      </c>
      <c r="DL189" s="400">
        <v>6.89</v>
      </c>
      <c r="DM189" s="400">
        <v>3.1</v>
      </c>
      <c r="DN189" s="401">
        <v>736</v>
      </c>
      <c r="DO189" s="402">
        <v>607</v>
      </c>
      <c r="DP189" s="117"/>
      <c r="DQ189" s="428" t="s">
        <v>1426</v>
      </c>
      <c r="DR189" s="429">
        <v>163</v>
      </c>
      <c r="DS189" s="429">
        <v>1330</v>
      </c>
      <c r="DT189" s="431"/>
      <c r="DU189" s="431"/>
      <c r="DV189" s="431"/>
      <c r="DW189" s="431"/>
      <c r="DX189" s="432"/>
      <c r="DZ189" s="447" t="s">
        <v>1294</v>
      </c>
      <c r="EA189" s="448">
        <v>500</v>
      </c>
      <c r="EB189" s="448">
        <v>147</v>
      </c>
      <c r="EC189" s="448">
        <v>19.600000000000001</v>
      </c>
      <c r="ED189" s="448" t="s">
        <v>1815</v>
      </c>
      <c r="EE189" s="448">
        <v>2.19</v>
      </c>
      <c r="EF189" s="448" t="s">
        <v>1638</v>
      </c>
      <c r="EG189" s="448" t="s">
        <v>1643</v>
      </c>
      <c r="EH189" s="448">
        <v>17</v>
      </c>
      <c r="EI189" s="448">
        <v>17</v>
      </c>
      <c r="EJ189" s="448">
        <v>3.5</v>
      </c>
      <c r="EK189" s="448" t="s">
        <v>1816</v>
      </c>
      <c r="EL189" s="448">
        <v>2.4300000000000002</v>
      </c>
      <c r="EM189" s="448">
        <v>5.21</v>
      </c>
      <c r="EN189" s="448">
        <v>8210</v>
      </c>
      <c r="EO189" s="448">
        <v>838</v>
      </c>
      <c r="EP189" s="448">
        <v>7.48</v>
      </c>
      <c r="EQ189" s="448">
        <v>1050</v>
      </c>
      <c r="ER189" s="448">
        <v>2880</v>
      </c>
      <c r="ES189" s="448">
        <v>339</v>
      </c>
      <c r="ET189" s="448">
        <v>4.43</v>
      </c>
      <c r="EU189" s="450">
        <v>522</v>
      </c>
    </row>
    <row r="190" spans="2:151">
      <c r="B190" s="78" t="s">
        <v>145</v>
      </c>
      <c r="C190" s="79" t="s">
        <v>196</v>
      </c>
      <c r="D190" s="80" t="s">
        <v>196</v>
      </c>
      <c r="E190" s="1" t="s">
        <v>4</v>
      </c>
      <c r="F190" s="4">
        <v>80</v>
      </c>
      <c r="G190" s="4">
        <v>23.5</v>
      </c>
      <c r="H190" s="3" t="str">
        <f t="shared" si="16"/>
        <v>WT18X80</v>
      </c>
      <c r="I190" s="4">
        <v>18</v>
      </c>
      <c r="J190" s="5">
        <v>18</v>
      </c>
      <c r="K190" s="6" t="s">
        <v>5</v>
      </c>
      <c r="L190" s="6" t="s">
        <v>5</v>
      </c>
      <c r="M190" s="6" t="s">
        <v>5</v>
      </c>
      <c r="N190" s="4">
        <v>12</v>
      </c>
      <c r="O190" s="5">
        <v>12</v>
      </c>
      <c r="P190" s="5" t="s">
        <v>5</v>
      </c>
      <c r="Q190" s="6" t="s">
        <v>5</v>
      </c>
      <c r="R190" s="6" t="s">
        <v>5</v>
      </c>
      <c r="S190" s="22">
        <v>0.65</v>
      </c>
      <c r="T190" s="5">
        <v>0.625</v>
      </c>
      <c r="U190" s="8">
        <v>0.3125</v>
      </c>
      <c r="V190" s="7">
        <v>1.02</v>
      </c>
      <c r="W190" s="8">
        <v>1</v>
      </c>
      <c r="X190" s="7">
        <v>1.02</v>
      </c>
      <c r="Y190" s="6" t="s">
        <v>5</v>
      </c>
      <c r="Z190" s="6" t="s">
        <v>5</v>
      </c>
      <c r="AA190" s="33">
        <v>1.77</v>
      </c>
      <c r="AB190" s="34">
        <v>2.25</v>
      </c>
      <c r="AC190" s="8" t="s">
        <v>5</v>
      </c>
      <c r="AD190" s="6" t="s">
        <v>5</v>
      </c>
      <c r="AE190" s="37">
        <v>4.74</v>
      </c>
      <c r="AF190" s="6" t="s">
        <v>5</v>
      </c>
      <c r="AG190" s="6" t="s">
        <v>5</v>
      </c>
      <c r="AH190" s="40">
        <v>0.98</v>
      </c>
      <c r="AI190" s="33">
        <v>5.88</v>
      </c>
      <c r="AJ190" s="6" t="s">
        <v>5</v>
      </c>
      <c r="AK190" s="6" t="s">
        <v>5</v>
      </c>
      <c r="AL190" s="6" t="s">
        <v>5</v>
      </c>
      <c r="AM190" s="6" t="s">
        <v>5</v>
      </c>
      <c r="AN190" s="4">
        <v>27.7</v>
      </c>
      <c r="AO190" s="38">
        <v>740</v>
      </c>
      <c r="AP190" s="38">
        <v>100</v>
      </c>
      <c r="AQ190" s="4">
        <v>55.8</v>
      </c>
      <c r="AR190" s="7">
        <v>5.61</v>
      </c>
      <c r="AS190" s="38">
        <v>147</v>
      </c>
      <c r="AT190" s="39">
        <v>38.6</v>
      </c>
      <c r="AU190" s="4">
        <v>24.6</v>
      </c>
      <c r="AV190" s="7">
        <v>2.5</v>
      </c>
      <c r="AW190" s="6" t="s">
        <v>5</v>
      </c>
      <c r="AX190" s="6" t="s">
        <v>5</v>
      </c>
      <c r="AY190" s="6" t="s">
        <v>5</v>
      </c>
      <c r="AZ190" s="33">
        <v>6.17</v>
      </c>
      <c r="BA190" s="4">
        <v>53.6</v>
      </c>
      <c r="BB190" s="6" t="s">
        <v>5</v>
      </c>
      <c r="BC190" s="6" t="s">
        <v>5</v>
      </c>
      <c r="BD190" s="6" t="s">
        <v>5</v>
      </c>
      <c r="BE190" s="6" t="s">
        <v>5</v>
      </c>
      <c r="BF190" s="6" t="s">
        <v>5</v>
      </c>
      <c r="BG190" s="6" t="s">
        <v>5</v>
      </c>
      <c r="BH190" s="6" t="s">
        <v>5</v>
      </c>
      <c r="BI190" s="7">
        <v>7.46</v>
      </c>
      <c r="BJ190" s="22">
        <v>0.67800000000000005</v>
      </c>
      <c r="BK190" s="6" t="s">
        <v>5</v>
      </c>
      <c r="BL190" s="2" t="s">
        <v>5</v>
      </c>
      <c r="BM190" s="2" t="s">
        <v>5</v>
      </c>
      <c r="BN190" s="2" t="s">
        <v>5</v>
      </c>
      <c r="BO190" s="2" t="s">
        <v>5</v>
      </c>
      <c r="BP190" s="2" t="s">
        <v>5</v>
      </c>
      <c r="BQ190" s="2" t="s">
        <v>5</v>
      </c>
      <c r="BR190" s="2" t="s">
        <v>5</v>
      </c>
      <c r="BS190" s="2" t="s">
        <v>5</v>
      </c>
      <c r="BT190" s="2" t="s">
        <v>5</v>
      </c>
      <c r="BU190" s="2" t="s">
        <v>5</v>
      </c>
      <c r="BV190" s="2" t="s">
        <v>5</v>
      </c>
      <c r="BW190" s="2" t="s">
        <v>5</v>
      </c>
      <c r="BX190" s="2" t="s">
        <v>5</v>
      </c>
      <c r="BY190" s="25" t="s">
        <v>5</v>
      </c>
      <c r="BZ190" s="25" t="s">
        <v>5</v>
      </c>
      <c r="CA190" s="4">
        <v>47</v>
      </c>
      <c r="CB190" s="6" t="s">
        <v>5</v>
      </c>
      <c r="CC190" s="4">
        <v>59</v>
      </c>
      <c r="CD190" s="4">
        <v>48</v>
      </c>
      <c r="CE190" s="4">
        <v>60</v>
      </c>
      <c r="CF190" s="16" t="s">
        <v>5</v>
      </c>
      <c r="CG190" s="5">
        <v>5.5</v>
      </c>
      <c r="CH190" s="18" t="s">
        <v>5</v>
      </c>
      <c r="CV190" s="344" t="str">
        <f t="shared" si="18"/>
        <v>WT10.5X41.5</v>
      </c>
      <c r="CW190" s="337">
        <v>12.2</v>
      </c>
      <c r="DH190" s="397" t="s">
        <v>1333</v>
      </c>
      <c r="DI190" s="401">
        <v>101</v>
      </c>
      <c r="DJ190" s="398">
        <v>17.5</v>
      </c>
      <c r="DK190" s="400">
        <v>1.54</v>
      </c>
      <c r="DL190" s="400">
        <v>7.41</v>
      </c>
      <c r="DM190" s="400">
        <v>3.31</v>
      </c>
      <c r="DN190" s="401">
        <v>672</v>
      </c>
      <c r="DO190" s="402">
        <v>558</v>
      </c>
      <c r="DP190" s="117"/>
      <c r="DQ190" s="428" t="s">
        <v>1427</v>
      </c>
      <c r="DR190" s="429">
        <v>160</v>
      </c>
      <c r="DS190" s="429">
        <v>1480</v>
      </c>
      <c r="DT190" s="431"/>
      <c r="DU190" s="431"/>
      <c r="DV190" s="431"/>
      <c r="DW190" s="431"/>
      <c r="DX190" s="432"/>
      <c r="DZ190" s="447" t="s">
        <v>1307</v>
      </c>
      <c r="EA190" s="448">
        <v>455</v>
      </c>
      <c r="EB190" s="448">
        <v>134</v>
      </c>
      <c r="EC190" s="448">
        <v>19</v>
      </c>
      <c r="ED190" s="448">
        <v>19</v>
      </c>
      <c r="EE190" s="448">
        <v>2.02</v>
      </c>
      <c r="EF190" s="448">
        <v>2</v>
      </c>
      <c r="EG190" s="448">
        <v>1</v>
      </c>
      <c r="EH190" s="448">
        <v>16.8</v>
      </c>
      <c r="EI190" s="448" t="s">
        <v>1625</v>
      </c>
      <c r="EJ190" s="448">
        <v>3.21</v>
      </c>
      <c r="EK190" s="448" t="s">
        <v>1817</v>
      </c>
      <c r="EL190" s="448">
        <v>2.62</v>
      </c>
      <c r="EM190" s="448">
        <v>5.66</v>
      </c>
      <c r="EN190" s="448">
        <v>7190</v>
      </c>
      <c r="EO190" s="448">
        <v>756</v>
      </c>
      <c r="EP190" s="448">
        <v>7.33</v>
      </c>
      <c r="EQ190" s="448">
        <v>936</v>
      </c>
      <c r="ER190" s="448">
        <v>2560</v>
      </c>
      <c r="ES190" s="448">
        <v>304</v>
      </c>
      <c r="ET190" s="448">
        <v>4.38</v>
      </c>
      <c r="EU190" s="450">
        <v>468</v>
      </c>
    </row>
    <row r="191" spans="2:151">
      <c r="B191" s="78" t="s">
        <v>145</v>
      </c>
      <c r="C191" s="79" t="s">
        <v>197</v>
      </c>
      <c r="D191" s="80" t="s">
        <v>197</v>
      </c>
      <c r="E191" s="1" t="s">
        <v>4</v>
      </c>
      <c r="F191" s="4">
        <v>75</v>
      </c>
      <c r="G191" s="4">
        <v>22.1</v>
      </c>
      <c r="H191" s="3" t="str">
        <f t="shared" si="16"/>
        <v>WT18X75</v>
      </c>
      <c r="I191" s="4">
        <v>17.899999999999999</v>
      </c>
      <c r="J191" s="5">
        <v>17.875</v>
      </c>
      <c r="K191" s="6" t="s">
        <v>5</v>
      </c>
      <c r="L191" s="6" t="s">
        <v>5</v>
      </c>
      <c r="M191" s="6" t="s">
        <v>5</v>
      </c>
      <c r="N191" s="4">
        <v>12</v>
      </c>
      <c r="O191" s="5">
        <v>12</v>
      </c>
      <c r="P191" s="5" t="s">
        <v>5</v>
      </c>
      <c r="Q191" s="6" t="s">
        <v>5</v>
      </c>
      <c r="R191" s="6" t="s">
        <v>5</v>
      </c>
      <c r="S191" s="22">
        <v>0.625</v>
      </c>
      <c r="T191" s="5">
        <v>0.625</v>
      </c>
      <c r="U191" s="8">
        <v>0.3125</v>
      </c>
      <c r="V191" s="22">
        <v>0.94</v>
      </c>
      <c r="W191" s="8">
        <v>0.9375</v>
      </c>
      <c r="X191" s="22">
        <v>0.94</v>
      </c>
      <c r="Y191" s="6" t="s">
        <v>5</v>
      </c>
      <c r="Z191" s="6" t="s">
        <v>5</v>
      </c>
      <c r="AA191" s="33">
        <v>1.69</v>
      </c>
      <c r="AB191" s="34">
        <v>2.1875</v>
      </c>
      <c r="AC191" s="8" t="s">
        <v>5</v>
      </c>
      <c r="AD191" s="6" t="s">
        <v>5</v>
      </c>
      <c r="AE191" s="37">
        <v>4.78</v>
      </c>
      <c r="AF191" s="6" t="s">
        <v>5</v>
      </c>
      <c r="AG191" s="6" t="s">
        <v>5</v>
      </c>
      <c r="AH191" s="40">
        <v>0.92300000000000004</v>
      </c>
      <c r="AI191" s="33">
        <v>6.37</v>
      </c>
      <c r="AJ191" s="6" t="s">
        <v>5</v>
      </c>
      <c r="AK191" s="6" t="s">
        <v>5</v>
      </c>
      <c r="AL191" s="6" t="s">
        <v>5</v>
      </c>
      <c r="AM191" s="6" t="s">
        <v>5</v>
      </c>
      <c r="AN191" s="4">
        <v>28.6</v>
      </c>
      <c r="AO191" s="38">
        <v>698</v>
      </c>
      <c r="AP191" s="39">
        <v>95.5</v>
      </c>
      <c r="AQ191" s="4">
        <v>53.1</v>
      </c>
      <c r="AR191" s="7">
        <v>5.62</v>
      </c>
      <c r="AS191" s="38">
        <v>135</v>
      </c>
      <c r="AT191" s="39">
        <v>35.4</v>
      </c>
      <c r="AU191" s="4">
        <v>22.5</v>
      </c>
      <c r="AV191" s="7">
        <v>2.4700000000000002</v>
      </c>
      <c r="AW191" s="6" t="s">
        <v>5</v>
      </c>
      <c r="AX191" s="6" t="s">
        <v>5</v>
      </c>
      <c r="AY191" s="6" t="s">
        <v>5</v>
      </c>
      <c r="AZ191" s="33">
        <v>5.04</v>
      </c>
      <c r="BA191" s="4">
        <v>46</v>
      </c>
      <c r="BB191" s="6" t="s">
        <v>5</v>
      </c>
      <c r="BC191" s="6" t="s">
        <v>5</v>
      </c>
      <c r="BD191" s="6" t="s">
        <v>5</v>
      </c>
      <c r="BE191" s="6" t="s">
        <v>5</v>
      </c>
      <c r="BF191" s="6" t="s">
        <v>5</v>
      </c>
      <c r="BG191" s="6" t="s">
        <v>5</v>
      </c>
      <c r="BH191" s="6" t="s">
        <v>5</v>
      </c>
      <c r="BI191" s="7">
        <v>7.5</v>
      </c>
      <c r="BJ191" s="22">
        <v>0.67</v>
      </c>
      <c r="BK191" s="6" t="s">
        <v>5</v>
      </c>
      <c r="BL191" s="2" t="s">
        <v>5</v>
      </c>
      <c r="BM191" s="2" t="s">
        <v>5</v>
      </c>
      <c r="BN191" s="2" t="s">
        <v>5</v>
      </c>
      <c r="BO191" s="2" t="s">
        <v>5</v>
      </c>
      <c r="BP191" s="2" t="s">
        <v>5</v>
      </c>
      <c r="BQ191" s="2" t="s">
        <v>5</v>
      </c>
      <c r="BR191" s="2" t="s">
        <v>5</v>
      </c>
      <c r="BS191" s="2" t="s">
        <v>5</v>
      </c>
      <c r="BT191" s="2" t="s">
        <v>5</v>
      </c>
      <c r="BU191" s="2" t="s">
        <v>5</v>
      </c>
      <c r="BV191" s="2" t="s">
        <v>5</v>
      </c>
      <c r="BW191" s="2" t="s">
        <v>5</v>
      </c>
      <c r="BX191" s="2" t="s">
        <v>5</v>
      </c>
      <c r="BY191" s="25" t="s">
        <v>5</v>
      </c>
      <c r="BZ191" s="25" t="s">
        <v>5</v>
      </c>
      <c r="CA191" s="4">
        <v>46.8</v>
      </c>
      <c r="CB191" s="6" t="s">
        <v>5</v>
      </c>
      <c r="CC191" s="4">
        <v>58.8</v>
      </c>
      <c r="CD191" s="4">
        <v>47.8</v>
      </c>
      <c r="CE191" s="6">
        <v>59.8</v>
      </c>
      <c r="CF191" s="16" t="s">
        <v>5</v>
      </c>
      <c r="CG191" s="5">
        <v>5.5</v>
      </c>
      <c r="CH191" s="18" t="s">
        <v>5</v>
      </c>
      <c r="CV191" s="344" t="str">
        <f t="shared" si="18"/>
        <v>WT7X41</v>
      </c>
      <c r="CW191" s="337">
        <v>12</v>
      </c>
      <c r="DH191" s="397" t="s">
        <v>1342</v>
      </c>
      <c r="DI191" s="398">
        <v>91.4</v>
      </c>
      <c r="DJ191" s="398">
        <v>17.100000000000001</v>
      </c>
      <c r="DK191" s="400">
        <v>1.41</v>
      </c>
      <c r="DL191" s="400">
        <v>8.09</v>
      </c>
      <c r="DM191" s="400">
        <v>3.59</v>
      </c>
      <c r="DN191" s="401">
        <v>603</v>
      </c>
      <c r="DO191" s="402">
        <v>506</v>
      </c>
      <c r="DP191" s="117"/>
      <c r="DQ191" s="428" t="s">
        <v>1428</v>
      </c>
      <c r="DR191" s="429">
        <v>157</v>
      </c>
      <c r="DS191" s="429">
        <v>999</v>
      </c>
      <c r="DT191" s="431"/>
      <c r="DU191" s="431"/>
      <c r="DV191" s="431"/>
      <c r="DW191" s="431"/>
      <c r="DX191" s="432"/>
      <c r="DZ191" s="447" t="s">
        <v>1311</v>
      </c>
      <c r="EA191" s="448">
        <v>426</v>
      </c>
      <c r="EB191" s="448">
        <v>125</v>
      </c>
      <c r="EC191" s="448">
        <v>18.7</v>
      </c>
      <c r="ED191" s="448" t="s">
        <v>1664</v>
      </c>
      <c r="EE191" s="448">
        <v>1.88</v>
      </c>
      <c r="EF191" s="448" t="s">
        <v>1683</v>
      </c>
      <c r="EG191" s="448" t="s">
        <v>1628</v>
      </c>
      <c r="EH191" s="448">
        <v>16.7</v>
      </c>
      <c r="EI191" s="448" t="s">
        <v>1629</v>
      </c>
      <c r="EJ191" s="448">
        <v>3.04</v>
      </c>
      <c r="EK191" s="448" t="s">
        <v>1807</v>
      </c>
      <c r="EL191" s="448">
        <v>2.75</v>
      </c>
      <c r="EM191" s="448">
        <v>6.08</v>
      </c>
      <c r="EN191" s="448">
        <v>6600</v>
      </c>
      <c r="EO191" s="448">
        <v>706</v>
      </c>
      <c r="EP191" s="448">
        <v>7.26</v>
      </c>
      <c r="EQ191" s="448">
        <v>869</v>
      </c>
      <c r="ER191" s="448">
        <v>2360</v>
      </c>
      <c r="ES191" s="448">
        <v>283</v>
      </c>
      <c r="ET191" s="448">
        <v>4.34</v>
      </c>
      <c r="EU191" s="450">
        <v>434</v>
      </c>
    </row>
    <row r="192" spans="2:151">
      <c r="B192" s="78" t="s">
        <v>145</v>
      </c>
      <c r="C192" s="79" t="s">
        <v>198</v>
      </c>
      <c r="D192" s="80" t="s">
        <v>198</v>
      </c>
      <c r="E192" s="1" t="s">
        <v>4</v>
      </c>
      <c r="F192" s="4">
        <v>67.5</v>
      </c>
      <c r="G192" s="4">
        <v>19.899999999999999</v>
      </c>
      <c r="H192" s="3" t="str">
        <f t="shared" si="16"/>
        <v>WT18X67.5</v>
      </c>
      <c r="I192" s="4">
        <v>17.8</v>
      </c>
      <c r="J192" s="5">
        <v>17.75</v>
      </c>
      <c r="K192" s="6" t="s">
        <v>5</v>
      </c>
      <c r="L192" s="6" t="s">
        <v>5</v>
      </c>
      <c r="M192" s="6" t="s">
        <v>5</v>
      </c>
      <c r="N192" s="4">
        <v>12</v>
      </c>
      <c r="O192" s="5">
        <v>12</v>
      </c>
      <c r="P192" s="5" t="s">
        <v>5</v>
      </c>
      <c r="Q192" s="6" t="s">
        <v>5</v>
      </c>
      <c r="R192" s="6" t="s">
        <v>5</v>
      </c>
      <c r="S192" s="22">
        <v>0.6</v>
      </c>
      <c r="T192" s="5">
        <v>0.625</v>
      </c>
      <c r="U192" s="8">
        <v>0.3125</v>
      </c>
      <c r="V192" s="22">
        <v>0.79</v>
      </c>
      <c r="W192" s="8">
        <v>0.8125</v>
      </c>
      <c r="X192" s="22">
        <v>0.79</v>
      </c>
      <c r="Y192" s="6" t="s">
        <v>5</v>
      </c>
      <c r="Z192" s="6" t="s">
        <v>5</v>
      </c>
      <c r="AA192" s="33">
        <v>1.54</v>
      </c>
      <c r="AB192" s="34">
        <v>2.0625</v>
      </c>
      <c r="AC192" s="8" t="s">
        <v>5</v>
      </c>
      <c r="AD192" s="6" t="s">
        <v>5</v>
      </c>
      <c r="AE192" s="37">
        <v>4.96</v>
      </c>
      <c r="AF192" s="6" t="s">
        <v>5</v>
      </c>
      <c r="AG192" s="6" t="s">
        <v>5</v>
      </c>
      <c r="AH192" s="33">
        <v>1.23</v>
      </c>
      <c r="AI192" s="33">
        <v>7.56</v>
      </c>
      <c r="AJ192" s="6" t="s">
        <v>5</v>
      </c>
      <c r="AK192" s="6" t="s">
        <v>5</v>
      </c>
      <c r="AL192" s="6" t="s">
        <v>5</v>
      </c>
      <c r="AM192" s="6" t="s">
        <v>5</v>
      </c>
      <c r="AN192" s="4">
        <v>29.7</v>
      </c>
      <c r="AO192" s="38">
        <v>637</v>
      </c>
      <c r="AP192" s="39">
        <v>90.1</v>
      </c>
      <c r="AQ192" s="4">
        <v>49.7</v>
      </c>
      <c r="AR192" s="7">
        <v>5.66</v>
      </c>
      <c r="AS192" s="38">
        <v>113</v>
      </c>
      <c r="AT192" s="39">
        <v>29.8</v>
      </c>
      <c r="AU192" s="4">
        <v>18.899999999999999</v>
      </c>
      <c r="AV192" s="7">
        <v>2.38</v>
      </c>
      <c r="AW192" s="6" t="s">
        <v>5</v>
      </c>
      <c r="AX192" s="6" t="s">
        <v>5</v>
      </c>
      <c r="AY192" s="6" t="s">
        <v>5</v>
      </c>
      <c r="AZ192" s="33">
        <v>3.48</v>
      </c>
      <c r="BA192" s="4">
        <v>37.299999999999997</v>
      </c>
      <c r="BB192" s="6" t="s">
        <v>5</v>
      </c>
      <c r="BC192" s="6" t="s">
        <v>5</v>
      </c>
      <c r="BD192" s="6" t="s">
        <v>5</v>
      </c>
      <c r="BE192" s="6" t="s">
        <v>5</v>
      </c>
      <c r="BF192" s="6" t="s">
        <v>5</v>
      </c>
      <c r="BG192" s="6" t="s">
        <v>5</v>
      </c>
      <c r="BH192" s="6" t="s">
        <v>5</v>
      </c>
      <c r="BI192" s="7">
        <v>7.65</v>
      </c>
      <c r="BJ192" s="22">
        <v>0.64400000000000002</v>
      </c>
      <c r="BK192" s="6" t="s">
        <v>5</v>
      </c>
      <c r="BL192" s="2" t="s">
        <v>5</v>
      </c>
      <c r="BM192" s="2" t="s">
        <v>5</v>
      </c>
      <c r="BN192" s="2" t="s">
        <v>5</v>
      </c>
      <c r="BO192" s="2" t="s">
        <v>5</v>
      </c>
      <c r="BP192" s="2" t="s">
        <v>5</v>
      </c>
      <c r="BQ192" s="2" t="s">
        <v>5</v>
      </c>
      <c r="BR192" s="2" t="s">
        <v>5</v>
      </c>
      <c r="BS192" s="2" t="s">
        <v>5</v>
      </c>
      <c r="BT192" s="2" t="s">
        <v>5</v>
      </c>
      <c r="BU192" s="2" t="s">
        <v>5</v>
      </c>
      <c r="BV192" s="2" t="s">
        <v>5</v>
      </c>
      <c r="BW192" s="2" t="s">
        <v>5</v>
      </c>
      <c r="BX192" s="2" t="s">
        <v>5</v>
      </c>
      <c r="BY192" s="25" t="s">
        <v>5</v>
      </c>
      <c r="BZ192" s="25" t="s">
        <v>5</v>
      </c>
      <c r="CA192" s="4">
        <v>46.6</v>
      </c>
      <c r="CB192" s="6" t="s">
        <v>5</v>
      </c>
      <c r="CC192" s="4">
        <v>58.6</v>
      </c>
      <c r="CD192" s="4">
        <v>47.6</v>
      </c>
      <c r="CE192" s="6">
        <v>59.6</v>
      </c>
      <c r="CF192" s="16" t="s">
        <v>5</v>
      </c>
      <c r="CG192" s="5">
        <v>5.5</v>
      </c>
      <c r="CH192" s="18" t="s">
        <v>5</v>
      </c>
      <c r="CV192" s="344" t="str">
        <f t="shared" si="18"/>
        <v>WT6X39.5</v>
      </c>
      <c r="CW192" s="337">
        <v>11.6</v>
      </c>
      <c r="DH192" s="397" t="s">
        <v>1351</v>
      </c>
      <c r="DI192" s="398">
        <v>83.3</v>
      </c>
      <c r="DJ192" s="398">
        <v>16.7</v>
      </c>
      <c r="DK192" s="400">
        <v>1.29</v>
      </c>
      <c r="DL192" s="400">
        <v>8.84</v>
      </c>
      <c r="DM192" s="400">
        <v>3.89</v>
      </c>
      <c r="DN192" s="401">
        <v>542</v>
      </c>
      <c r="DO192" s="402">
        <v>459</v>
      </c>
      <c r="DP192" s="117"/>
      <c r="DQ192" s="428" t="s">
        <v>1429</v>
      </c>
      <c r="DR192" s="429">
        <v>153</v>
      </c>
      <c r="DS192" s="429">
        <v>1550</v>
      </c>
      <c r="DT192" s="431"/>
      <c r="DU192" s="431"/>
      <c r="DV192" s="431"/>
      <c r="DW192" s="431"/>
      <c r="DX192" s="432"/>
      <c r="DZ192" s="447" t="s">
        <v>1317</v>
      </c>
      <c r="EA192" s="448">
        <v>398</v>
      </c>
      <c r="EB192" s="448">
        <v>117</v>
      </c>
      <c r="EC192" s="448">
        <v>18.3</v>
      </c>
      <c r="ED192" s="448" t="s">
        <v>1666</v>
      </c>
      <c r="EE192" s="448">
        <v>1.77</v>
      </c>
      <c r="EF192" s="448" t="s">
        <v>1615</v>
      </c>
      <c r="EG192" s="449">
        <v>45115</v>
      </c>
      <c r="EH192" s="448">
        <v>16.600000000000001</v>
      </c>
      <c r="EI192" s="448" t="s">
        <v>1682</v>
      </c>
      <c r="EJ192" s="448">
        <v>2.85</v>
      </c>
      <c r="EK192" s="448" t="s">
        <v>1818</v>
      </c>
      <c r="EL192" s="448">
        <v>2.92</v>
      </c>
      <c r="EM192" s="448">
        <v>6.44</v>
      </c>
      <c r="EN192" s="448">
        <v>6000</v>
      </c>
      <c r="EO192" s="448">
        <v>656</v>
      </c>
      <c r="EP192" s="448">
        <v>7.16</v>
      </c>
      <c r="EQ192" s="448">
        <v>801</v>
      </c>
      <c r="ER192" s="448">
        <v>2170</v>
      </c>
      <c r="ES192" s="448">
        <v>262</v>
      </c>
      <c r="ET192" s="448">
        <v>4.3099999999999996</v>
      </c>
      <c r="EU192" s="450">
        <v>402</v>
      </c>
    </row>
    <row r="193" spans="2:151">
      <c r="B193" s="78" t="s">
        <v>145</v>
      </c>
      <c r="C193" s="79" t="s">
        <v>199</v>
      </c>
      <c r="D193" s="80" t="s">
        <v>199</v>
      </c>
      <c r="E193" s="1" t="s">
        <v>6</v>
      </c>
      <c r="F193" s="6">
        <v>193.5</v>
      </c>
      <c r="G193" s="4">
        <v>57</v>
      </c>
      <c r="H193" s="3" t="str">
        <f t="shared" si="16"/>
        <v>WT16.5X193.5</v>
      </c>
      <c r="I193" s="4">
        <v>18</v>
      </c>
      <c r="J193" s="5">
        <v>18</v>
      </c>
      <c r="K193" s="6" t="s">
        <v>5</v>
      </c>
      <c r="L193" s="6" t="s">
        <v>5</v>
      </c>
      <c r="M193" s="6" t="s">
        <v>5</v>
      </c>
      <c r="N193" s="4">
        <v>16.2</v>
      </c>
      <c r="O193" s="5">
        <v>16.25</v>
      </c>
      <c r="P193" s="5" t="s">
        <v>5</v>
      </c>
      <c r="Q193" s="6" t="s">
        <v>5</v>
      </c>
      <c r="R193" s="6" t="s">
        <v>5</v>
      </c>
      <c r="S193" s="7">
        <v>1.26</v>
      </c>
      <c r="T193" s="5">
        <v>1.25</v>
      </c>
      <c r="U193" s="8">
        <v>0.625</v>
      </c>
      <c r="V193" s="7">
        <v>2.2799999999999998</v>
      </c>
      <c r="W193" s="8">
        <v>2.25</v>
      </c>
      <c r="X193" s="7">
        <v>2.2799999999999998</v>
      </c>
      <c r="Y193" s="6" t="s">
        <v>5</v>
      </c>
      <c r="Z193" s="6" t="s">
        <v>5</v>
      </c>
      <c r="AA193" s="33">
        <v>3.07</v>
      </c>
      <c r="AB193" s="34">
        <v>3.5625</v>
      </c>
      <c r="AC193" s="8" t="s">
        <v>5</v>
      </c>
      <c r="AD193" s="6" t="s">
        <v>5</v>
      </c>
      <c r="AE193" s="37">
        <v>4.2699999999999996</v>
      </c>
      <c r="AF193" s="6" t="s">
        <v>5</v>
      </c>
      <c r="AG193" s="6" t="s">
        <v>5</v>
      </c>
      <c r="AH193" s="33">
        <v>1.76</v>
      </c>
      <c r="AI193" s="33">
        <v>3.55</v>
      </c>
      <c r="AJ193" s="6" t="s">
        <v>5</v>
      </c>
      <c r="AK193" s="6" t="s">
        <v>5</v>
      </c>
      <c r="AL193" s="6" t="s">
        <v>5</v>
      </c>
      <c r="AM193" s="6" t="s">
        <v>5</v>
      </c>
      <c r="AN193" s="4">
        <v>14.3</v>
      </c>
      <c r="AO193" s="38">
        <v>1460</v>
      </c>
      <c r="AP193" s="38">
        <v>193</v>
      </c>
      <c r="AQ193" s="6">
        <v>107</v>
      </c>
      <c r="AR193" s="7">
        <v>5.07</v>
      </c>
      <c r="AS193" s="38">
        <v>810</v>
      </c>
      <c r="AT193" s="38">
        <v>156</v>
      </c>
      <c r="AU193" s="6">
        <v>100</v>
      </c>
      <c r="AV193" s="7">
        <v>3.77</v>
      </c>
      <c r="AW193" s="6" t="s">
        <v>5</v>
      </c>
      <c r="AX193" s="6" t="s">
        <v>5</v>
      </c>
      <c r="AY193" s="6" t="s">
        <v>5</v>
      </c>
      <c r="AZ193" s="39">
        <v>73.900000000000006</v>
      </c>
      <c r="BA193" s="6">
        <v>615</v>
      </c>
      <c r="BB193" s="6" t="s">
        <v>5</v>
      </c>
      <c r="BC193" s="6" t="s">
        <v>5</v>
      </c>
      <c r="BD193" s="6" t="s">
        <v>5</v>
      </c>
      <c r="BE193" s="6" t="s">
        <v>5</v>
      </c>
      <c r="BF193" s="6" t="s">
        <v>5</v>
      </c>
      <c r="BG193" s="6" t="s">
        <v>5</v>
      </c>
      <c r="BH193" s="6" t="s">
        <v>5</v>
      </c>
      <c r="BI193" s="7">
        <v>7.05</v>
      </c>
      <c r="BJ193" s="22">
        <v>0.80300000000000005</v>
      </c>
      <c r="BK193" s="6" t="s">
        <v>5</v>
      </c>
      <c r="BL193" s="2" t="s">
        <v>5</v>
      </c>
      <c r="BM193" s="2" t="s">
        <v>5</v>
      </c>
      <c r="BN193" s="2" t="s">
        <v>5</v>
      </c>
      <c r="BO193" s="2" t="s">
        <v>5</v>
      </c>
      <c r="BP193" s="2" t="s">
        <v>5</v>
      </c>
      <c r="BQ193" s="2" t="s">
        <v>5</v>
      </c>
      <c r="BR193" s="2" t="s">
        <v>5</v>
      </c>
      <c r="BS193" s="2" t="s">
        <v>5</v>
      </c>
      <c r="BT193" s="2" t="s">
        <v>5</v>
      </c>
      <c r="BU193" s="2" t="s">
        <v>5</v>
      </c>
      <c r="BV193" s="2" t="s">
        <v>5</v>
      </c>
      <c r="BW193" s="2" t="s">
        <v>5</v>
      </c>
      <c r="BX193" s="2" t="s">
        <v>5</v>
      </c>
      <c r="BY193" s="25" t="s">
        <v>5</v>
      </c>
      <c r="BZ193" s="25" t="s">
        <v>5</v>
      </c>
      <c r="CA193" s="4">
        <v>51.2</v>
      </c>
      <c r="CB193" s="6" t="s">
        <v>5</v>
      </c>
      <c r="CC193" s="4">
        <v>67.400000000000006</v>
      </c>
      <c r="CD193" s="4">
        <v>52.2</v>
      </c>
      <c r="CE193" s="6">
        <v>68.400000000000006</v>
      </c>
      <c r="CF193" s="16" t="s">
        <v>5</v>
      </c>
      <c r="CG193" s="5">
        <v>5.5</v>
      </c>
      <c r="CH193" s="18" t="s">
        <v>5</v>
      </c>
      <c r="CV193" s="344" t="str">
        <f t="shared" si="18"/>
        <v>WT8X38.5</v>
      </c>
      <c r="CW193" s="337">
        <v>11.3</v>
      </c>
      <c r="DH193" s="397" t="s">
        <v>1360</v>
      </c>
      <c r="DI193" s="398">
        <v>75.599999999999994</v>
      </c>
      <c r="DJ193" s="398">
        <v>16.399999999999999</v>
      </c>
      <c r="DK193" s="400">
        <v>1.18</v>
      </c>
      <c r="DL193" s="400">
        <v>9.7100000000000009</v>
      </c>
      <c r="DM193" s="400">
        <v>4.2300000000000004</v>
      </c>
      <c r="DN193" s="401">
        <v>487</v>
      </c>
      <c r="DO193" s="402">
        <v>415</v>
      </c>
      <c r="DP193" s="117"/>
      <c r="DQ193" s="428" t="s">
        <v>1430</v>
      </c>
      <c r="DR193" s="429">
        <v>150</v>
      </c>
      <c r="DS193" s="429">
        <v>1110</v>
      </c>
      <c r="DT193" s="431"/>
      <c r="DU193" s="431"/>
      <c r="DV193" s="431"/>
      <c r="DW193" s="431"/>
      <c r="DX193" s="432"/>
      <c r="DZ193" s="447" t="s">
        <v>1326</v>
      </c>
      <c r="EA193" s="448">
        <v>370</v>
      </c>
      <c r="EB193" s="448">
        <v>109</v>
      </c>
      <c r="EC193" s="448">
        <v>17.899999999999999</v>
      </c>
      <c r="ED193" s="448" t="s">
        <v>1800</v>
      </c>
      <c r="EE193" s="448">
        <v>1.66</v>
      </c>
      <c r="EF193" s="448" t="s">
        <v>1685</v>
      </c>
      <c r="EG193" s="448" t="s">
        <v>1620</v>
      </c>
      <c r="EH193" s="448">
        <v>16.5</v>
      </c>
      <c r="EI193" s="448" t="s">
        <v>1688</v>
      </c>
      <c r="EJ193" s="448">
        <v>2.66</v>
      </c>
      <c r="EK193" s="448" t="s">
        <v>1676</v>
      </c>
      <c r="EL193" s="448">
        <v>3.1</v>
      </c>
      <c r="EM193" s="448">
        <v>6.89</v>
      </c>
      <c r="EN193" s="448">
        <v>5440</v>
      </c>
      <c r="EO193" s="448">
        <v>607</v>
      </c>
      <c r="EP193" s="448">
        <v>7.07</v>
      </c>
      <c r="EQ193" s="448">
        <v>736</v>
      </c>
      <c r="ER193" s="448">
        <v>1990</v>
      </c>
      <c r="ES193" s="448">
        <v>241</v>
      </c>
      <c r="ET193" s="448">
        <v>4.2699999999999996</v>
      </c>
      <c r="EU193" s="450">
        <v>370</v>
      </c>
    </row>
    <row r="194" spans="2:151">
      <c r="B194" s="78" t="s">
        <v>145</v>
      </c>
      <c r="C194" s="79" t="s">
        <v>200</v>
      </c>
      <c r="D194" s="80" t="s">
        <v>200</v>
      </c>
      <c r="E194" s="1" t="s">
        <v>6</v>
      </c>
      <c r="F194" s="6">
        <v>177</v>
      </c>
      <c r="G194" s="4">
        <v>52.1</v>
      </c>
      <c r="H194" s="3" t="str">
        <f t="shared" si="16"/>
        <v>WT16.5X177</v>
      </c>
      <c r="I194" s="4">
        <v>17.8</v>
      </c>
      <c r="J194" s="5">
        <v>17.75</v>
      </c>
      <c r="K194" s="6" t="s">
        <v>5</v>
      </c>
      <c r="L194" s="6" t="s">
        <v>5</v>
      </c>
      <c r="M194" s="6" t="s">
        <v>5</v>
      </c>
      <c r="N194" s="4">
        <v>16.100000000000001</v>
      </c>
      <c r="O194" s="5">
        <v>16.125</v>
      </c>
      <c r="P194" s="5" t="s">
        <v>5</v>
      </c>
      <c r="Q194" s="6" t="s">
        <v>5</v>
      </c>
      <c r="R194" s="6" t="s">
        <v>5</v>
      </c>
      <c r="S194" s="7">
        <v>1.1599999999999999</v>
      </c>
      <c r="T194" s="5">
        <v>1.1875</v>
      </c>
      <c r="U194" s="8">
        <v>0.625</v>
      </c>
      <c r="V194" s="7">
        <v>2.09</v>
      </c>
      <c r="W194" s="8">
        <v>2.0625</v>
      </c>
      <c r="X194" s="7">
        <v>2.09</v>
      </c>
      <c r="Y194" s="6" t="s">
        <v>5</v>
      </c>
      <c r="Z194" s="6" t="s">
        <v>5</v>
      </c>
      <c r="AA194" s="33">
        <v>2.88</v>
      </c>
      <c r="AB194" s="34">
        <v>3.375</v>
      </c>
      <c r="AC194" s="8" t="s">
        <v>5</v>
      </c>
      <c r="AD194" s="6" t="s">
        <v>5</v>
      </c>
      <c r="AE194" s="37">
        <v>4.1500000000000004</v>
      </c>
      <c r="AF194" s="6" t="s">
        <v>5</v>
      </c>
      <c r="AG194" s="6" t="s">
        <v>5</v>
      </c>
      <c r="AH194" s="33">
        <v>1.62</v>
      </c>
      <c r="AI194" s="33">
        <v>3.85</v>
      </c>
      <c r="AJ194" s="6" t="s">
        <v>5</v>
      </c>
      <c r="AK194" s="6" t="s">
        <v>5</v>
      </c>
      <c r="AL194" s="6" t="s">
        <v>5</v>
      </c>
      <c r="AM194" s="6" t="s">
        <v>5</v>
      </c>
      <c r="AN194" s="4">
        <v>15.3</v>
      </c>
      <c r="AO194" s="38">
        <v>1320</v>
      </c>
      <c r="AP194" s="38">
        <v>174</v>
      </c>
      <c r="AQ194" s="4">
        <v>96.8</v>
      </c>
      <c r="AR194" s="7">
        <v>5.03</v>
      </c>
      <c r="AS194" s="38">
        <v>729</v>
      </c>
      <c r="AT194" s="38">
        <v>141</v>
      </c>
      <c r="AU194" s="4">
        <v>90.6</v>
      </c>
      <c r="AV194" s="7">
        <v>3.74</v>
      </c>
      <c r="AW194" s="6" t="s">
        <v>5</v>
      </c>
      <c r="AX194" s="6" t="s">
        <v>5</v>
      </c>
      <c r="AY194" s="6" t="s">
        <v>5</v>
      </c>
      <c r="AZ194" s="39">
        <v>57.1</v>
      </c>
      <c r="BA194" s="6">
        <v>468</v>
      </c>
      <c r="BB194" s="6" t="s">
        <v>5</v>
      </c>
      <c r="BC194" s="6" t="s">
        <v>5</v>
      </c>
      <c r="BD194" s="6" t="s">
        <v>5</v>
      </c>
      <c r="BE194" s="6" t="s">
        <v>5</v>
      </c>
      <c r="BF194" s="6" t="s">
        <v>5</v>
      </c>
      <c r="BG194" s="6" t="s">
        <v>5</v>
      </c>
      <c r="BH194" s="6" t="s">
        <v>5</v>
      </c>
      <c r="BI194" s="7">
        <v>7</v>
      </c>
      <c r="BJ194" s="22">
        <v>0.80300000000000005</v>
      </c>
      <c r="BK194" s="6" t="s">
        <v>5</v>
      </c>
      <c r="BL194" s="2" t="s">
        <v>5</v>
      </c>
      <c r="BM194" s="2" t="s">
        <v>5</v>
      </c>
      <c r="BN194" s="2" t="s">
        <v>5</v>
      </c>
      <c r="BO194" s="2" t="s">
        <v>5</v>
      </c>
      <c r="BP194" s="2" t="s">
        <v>5</v>
      </c>
      <c r="BQ194" s="2" t="s">
        <v>5</v>
      </c>
      <c r="BR194" s="2" t="s">
        <v>5</v>
      </c>
      <c r="BS194" s="2" t="s">
        <v>5</v>
      </c>
      <c r="BT194" s="2" t="s">
        <v>5</v>
      </c>
      <c r="BU194" s="2" t="s">
        <v>5</v>
      </c>
      <c r="BV194" s="2" t="s">
        <v>5</v>
      </c>
      <c r="BW194" s="2" t="s">
        <v>5</v>
      </c>
      <c r="BX194" s="2" t="s">
        <v>5</v>
      </c>
      <c r="BY194" s="25" t="s">
        <v>5</v>
      </c>
      <c r="BZ194" s="25" t="s">
        <v>5</v>
      </c>
      <c r="CA194" s="4">
        <v>50.7</v>
      </c>
      <c r="CB194" s="6" t="s">
        <v>5</v>
      </c>
      <c r="CC194" s="4">
        <v>66.8</v>
      </c>
      <c r="CD194" s="4">
        <v>51.70000000000001</v>
      </c>
      <c r="CE194" s="6">
        <v>67.800000000000011</v>
      </c>
      <c r="CF194" s="16" t="s">
        <v>5</v>
      </c>
      <c r="CG194" s="5">
        <v>5.5</v>
      </c>
      <c r="CH194" s="18" t="s">
        <v>5</v>
      </c>
      <c r="CV194" s="344" t="str">
        <f t="shared" si="18"/>
        <v>WT8X38.5</v>
      </c>
      <c r="CW194" s="337">
        <v>11.3</v>
      </c>
      <c r="DH194" s="397" t="s">
        <v>1368</v>
      </c>
      <c r="DI194" s="398">
        <v>68.5</v>
      </c>
      <c r="DJ194" s="398">
        <v>16</v>
      </c>
      <c r="DK194" s="400">
        <v>1.07</v>
      </c>
      <c r="DL194" s="398">
        <v>10.7</v>
      </c>
      <c r="DM194" s="400">
        <v>4.62</v>
      </c>
      <c r="DN194" s="401">
        <v>436</v>
      </c>
      <c r="DO194" s="402">
        <v>375</v>
      </c>
      <c r="DP194" s="117"/>
      <c r="DQ194" s="428" t="s">
        <v>1431</v>
      </c>
      <c r="DR194" s="429">
        <v>147</v>
      </c>
      <c r="DS194" s="429">
        <v>833</v>
      </c>
      <c r="DT194" s="431"/>
      <c r="DU194" s="431"/>
      <c r="DV194" s="431"/>
      <c r="DW194" s="431"/>
      <c r="DX194" s="432"/>
      <c r="DZ194" s="447" t="s">
        <v>1333</v>
      </c>
      <c r="EA194" s="448">
        <v>342</v>
      </c>
      <c r="EB194" s="448">
        <v>101</v>
      </c>
      <c r="EC194" s="448">
        <v>17.5</v>
      </c>
      <c r="ED194" s="448" t="s">
        <v>1819</v>
      </c>
      <c r="EE194" s="448">
        <v>1.54</v>
      </c>
      <c r="EF194" s="448" t="s">
        <v>1618</v>
      </c>
      <c r="EG194" s="448" t="s">
        <v>1620</v>
      </c>
      <c r="EH194" s="448">
        <v>16.399999999999999</v>
      </c>
      <c r="EI194" s="448" t="s">
        <v>1631</v>
      </c>
      <c r="EJ194" s="448">
        <v>2.4700000000000002</v>
      </c>
      <c r="EK194" s="448" t="s">
        <v>1653</v>
      </c>
      <c r="EL194" s="448">
        <v>3.31</v>
      </c>
      <c r="EM194" s="448">
        <v>7.41</v>
      </c>
      <c r="EN194" s="448">
        <v>4900</v>
      </c>
      <c r="EO194" s="448">
        <v>558</v>
      </c>
      <c r="EP194" s="448">
        <v>6.98</v>
      </c>
      <c r="EQ194" s="448">
        <v>672</v>
      </c>
      <c r="ER194" s="448">
        <v>1810</v>
      </c>
      <c r="ES194" s="448">
        <v>221</v>
      </c>
      <c r="ET194" s="448">
        <v>4.24</v>
      </c>
      <c r="EU194" s="450">
        <v>338</v>
      </c>
    </row>
    <row r="195" spans="2:151">
      <c r="B195" s="78" t="s">
        <v>145</v>
      </c>
      <c r="C195" s="79" t="s">
        <v>201</v>
      </c>
      <c r="D195" s="80" t="s">
        <v>201</v>
      </c>
      <c r="E195" s="1" t="s">
        <v>4</v>
      </c>
      <c r="F195" s="6">
        <v>159</v>
      </c>
      <c r="G195" s="4">
        <v>46.8</v>
      </c>
      <c r="H195" s="3" t="str">
        <f t="shared" si="16"/>
        <v>WT16.5X159</v>
      </c>
      <c r="I195" s="4">
        <v>17.600000000000001</v>
      </c>
      <c r="J195" s="5">
        <v>17.625</v>
      </c>
      <c r="K195" s="6" t="s">
        <v>5</v>
      </c>
      <c r="L195" s="6" t="s">
        <v>5</v>
      </c>
      <c r="M195" s="6" t="s">
        <v>5</v>
      </c>
      <c r="N195" s="4">
        <v>16</v>
      </c>
      <c r="O195" s="5">
        <v>16</v>
      </c>
      <c r="P195" s="5" t="s">
        <v>5</v>
      </c>
      <c r="Q195" s="6" t="s">
        <v>5</v>
      </c>
      <c r="R195" s="6" t="s">
        <v>5</v>
      </c>
      <c r="S195" s="7">
        <v>1.04</v>
      </c>
      <c r="T195" s="5">
        <v>1.0625</v>
      </c>
      <c r="U195" s="8">
        <v>0.5625</v>
      </c>
      <c r="V195" s="7">
        <v>1.89</v>
      </c>
      <c r="W195" s="8">
        <v>1.875</v>
      </c>
      <c r="X195" s="7">
        <v>1.89</v>
      </c>
      <c r="Y195" s="6" t="s">
        <v>5</v>
      </c>
      <c r="Z195" s="6" t="s">
        <v>5</v>
      </c>
      <c r="AA195" s="33">
        <v>2.68</v>
      </c>
      <c r="AB195" s="34">
        <v>3.1875</v>
      </c>
      <c r="AC195" s="8" t="s">
        <v>5</v>
      </c>
      <c r="AD195" s="6" t="s">
        <v>5</v>
      </c>
      <c r="AE195" s="37">
        <v>4.0199999999999996</v>
      </c>
      <c r="AF195" s="6" t="s">
        <v>5</v>
      </c>
      <c r="AG195" s="6" t="s">
        <v>5</v>
      </c>
      <c r="AH195" s="33">
        <v>1.46</v>
      </c>
      <c r="AI195" s="33">
        <v>4.2300000000000004</v>
      </c>
      <c r="AJ195" s="6" t="s">
        <v>5</v>
      </c>
      <c r="AK195" s="6" t="s">
        <v>5</v>
      </c>
      <c r="AL195" s="6" t="s">
        <v>5</v>
      </c>
      <c r="AM195" s="6" t="s">
        <v>5</v>
      </c>
      <c r="AN195" s="4">
        <v>16.899999999999999</v>
      </c>
      <c r="AO195" s="38">
        <v>1160</v>
      </c>
      <c r="AP195" s="38">
        <v>154</v>
      </c>
      <c r="AQ195" s="4">
        <v>85.8</v>
      </c>
      <c r="AR195" s="7">
        <v>4.99</v>
      </c>
      <c r="AS195" s="38">
        <v>645</v>
      </c>
      <c r="AT195" s="38">
        <v>125</v>
      </c>
      <c r="AU195" s="4">
        <v>80.7</v>
      </c>
      <c r="AV195" s="7">
        <v>3.71</v>
      </c>
      <c r="AW195" s="6" t="s">
        <v>5</v>
      </c>
      <c r="AX195" s="6" t="s">
        <v>5</v>
      </c>
      <c r="AY195" s="6" t="s">
        <v>5</v>
      </c>
      <c r="AZ195" s="39">
        <v>42.1</v>
      </c>
      <c r="BA195" s="6">
        <v>335</v>
      </c>
      <c r="BB195" s="6" t="s">
        <v>5</v>
      </c>
      <c r="BC195" s="6" t="s">
        <v>5</v>
      </c>
      <c r="BD195" s="6" t="s">
        <v>5</v>
      </c>
      <c r="BE195" s="6" t="s">
        <v>5</v>
      </c>
      <c r="BF195" s="6" t="s">
        <v>5</v>
      </c>
      <c r="BG195" s="6" t="s">
        <v>5</v>
      </c>
      <c r="BH195" s="6" t="s">
        <v>5</v>
      </c>
      <c r="BI195" s="7">
        <v>6.93</v>
      </c>
      <c r="BJ195" s="22">
        <v>0.80400000000000005</v>
      </c>
      <c r="BK195" s="6" t="s">
        <v>5</v>
      </c>
      <c r="BL195" s="2" t="s">
        <v>5</v>
      </c>
      <c r="BM195" s="2" t="s">
        <v>5</v>
      </c>
      <c r="BN195" s="2" t="s">
        <v>5</v>
      </c>
      <c r="BO195" s="2" t="s">
        <v>5</v>
      </c>
      <c r="BP195" s="2" t="s">
        <v>5</v>
      </c>
      <c r="BQ195" s="2" t="s">
        <v>5</v>
      </c>
      <c r="BR195" s="2" t="s">
        <v>5</v>
      </c>
      <c r="BS195" s="2" t="s">
        <v>5</v>
      </c>
      <c r="BT195" s="2" t="s">
        <v>5</v>
      </c>
      <c r="BU195" s="2" t="s">
        <v>5</v>
      </c>
      <c r="BV195" s="2" t="s">
        <v>5</v>
      </c>
      <c r="BW195" s="2" t="s">
        <v>5</v>
      </c>
      <c r="BX195" s="2" t="s">
        <v>5</v>
      </c>
      <c r="BY195" s="25" t="s">
        <v>5</v>
      </c>
      <c r="BZ195" s="25" t="s">
        <v>5</v>
      </c>
      <c r="CA195" s="4">
        <v>50.2</v>
      </c>
      <c r="CB195" s="6" t="s">
        <v>5</v>
      </c>
      <c r="CC195" s="4">
        <v>66.2</v>
      </c>
      <c r="CD195" s="4">
        <v>51.2</v>
      </c>
      <c r="CE195" s="6">
        <v>67.2</v>
      </c>
      <c r="CF195" s="16" t="s">
        <v>5</v>
      </c>
      <c r="CG195" s="5">
        <v>5.5</v>
      </c>
      <c r="CH195" s="18" t="s">
        <v>5</v>
      </c>
      <c r="CV195" s="344" t="str">
        <f t="shared" si="18"/>
        <v>WT12X38</v>
      </c>
      <c r="CW195" s="337">
        <v>11.2</v>
      </c>
      <c r="DH195" s="397" t="s">
        <v>1376</v>
      </c>
      <c r="DI195" s="398">
        <v>62</v>
      </c>
      <c r="DJ195" s="398">
        <v>15.7</v>
      </c>
      <c r="DK195" s="399">
        <v>0.98</v>
      </c>
      <c r="DL195" s="398">
        <v>11.6</v>
      </c>
      <c r="DM195" s="400">
        <v>5.0599999999999996</v>
      </c>
      <c r="DN195" s="401">
        <v>390</v>
      </c>
      <c r="DO195" s="402">
        <v>338</v>
      </c>
      <c r="DP195" s="117"/>
      <c r="DQ195" s="428" t="s">
        <v>1432</v>
      </c>
      <c r="DR195" s="429">
        <v>147</v>
      </c>
      <c r="DS195" s="429">
        <v>716</v>
      </c>
      <c r="DT195" s="431"/>
      <c r="DU195" s="431"/>
      <c r="DV195" s="431"/>
      <c r="DW195" s="431"/>
      <c r="DX195" s="432"/>
      <c r="DZ195" s="447" t="s">
        <v>1342</v>
      </c>
      <c r="EA195" s="448">
        <v>311</v>
      </c>
      <c r="EB195" s="448">
        <v>91.4</v>
      </c>
      <c r="EC195" s="448">
        <v>17.100000000000001</v>
      </c>
      <c r="ED195" s="448" t="s">
        <v>1675</v>
      </c>
      <c r="EE195" s="448">
        <v>1.41</v>
      </c>
      <c r="EF195" s="448" t="s">
        <v>1622</v>
      </c>
      <c r="EG195" s="449">
        <v>44989</v>
      </c>
      <c r="EH195" s="448">
        <v>16.2</v>
      </c>
      <c r="EI195" s="448" t="s">
        <v>1635</v>
      </c>
      <c r="EJ195" s="448">
        <v>2.2599999999999998</v>
      </c>
      <c r="EK195" s="448" t="s">
        <v>1697</v>
      </c>
      <c r="EL195" s="448">
        <v>3.59</v>
      </c>
      <c r="EM195" s="448">
        <v>8.09</v>
      </c>
      <c r="EN195" s="448">
        <v>4330</v>
      </c>
      <c r="EO195" s="448">
        <v>506</v>
      </c>
      <c r="EP195" s="448">
        <v>6.88</v>
      </c>
      <c r="EQ195" s="448">
        <v>603</v>
      </c>
      <c r="ER195" s="448">
        <v>1610</v>
      </c>
      <c r="ES195" s="448">
        <v>199</v>
      </c>
      <c r="ET195" s="448">
        <v>4.2</v>
      </c>
      <c r="EU195" s="450">
        <v>304</v>
      </c>
    </row>
    <row r="196" spans="2:151">
      <c r="B196" s="78" t="s">
        <v>145</v>
      </c>
      <c r="C196" s="79" t="s">
        <v>202</v>
      </c>
      <c r="D196" s="80" t="s">
        <v>202</v>
      </c>
      <c r="E196" s="1" t="s">
        <v>4</v>
      </c>
      <c r="F196" s="6">
        <v>145.5</v>
      </c>
      <c r="G196" s="4">
        <v>42.8</v>
      </c>
      <c r="H196" s="3" t="str">
        <f t="shared" ref="H196:H259" si="20">D196</f>
        <v>WT16.5X145.5</v>
      </c>
      <c r="I196" s="4">
        <v>17.399999999999999</v>
      </c>
      <c r="J196" s="5">
        <v>17.375</v>
      </c>
      <c r="K196" s="6" t="s">
        <v>5</v>
      </c>
      <c r="L196" s="6" t="s">
        <v>5</v>
      </c>
      <c r="M196" s="6" t="s">
        <v>5</v>
      </c>
      <c r="N196" s="4">
        <v>15.9</v>
      </c>
      <c r="O196" s="5">
        <v>15.875</v>
      </c>
      <c r="P196" s="5" t="s">
        <v>5</v>
      </c>
      <c r="Q196" s="6" t="s">
        <v>5</v>
      </c>
      <c r="R196" s="6" t="s">
        <v>5</v>
      </c>
      <c r="S196" s="22">
        <v>0.96</v>
      </c>
      <c r="T196" s="5">
        <v>0.9375</v>
      </c>
      <c r="U196" s="8">
        <v>0.5</v>
      </c>
      <c r="V196" s="7">
        <v>1.73</v>
      </c>
      <c r="W196" s="8">
        <v>1.75</v>
      </c>
      <c r="X196" s="7">
        <v>1.73</v>
      </c>
      <c r="Y196" s="6" t="s">
        <v>5</v>
      </c>
      <c r="Z196" s="6" t="s">
        <v>5</v>
      </c>
      <c r="AA196" s="33">
        <v>2.52</v>
      </c>
      <c r="AB196" s="34">
        <v>2.9375</v>
      </c>
      <c r="AC196" s="8" t="s">
        <v>5</v>
      </c>
      <c r="AD196" s="6" t="s">
        <v>5</v>
      </c>
      <c r="AE196" s="37">
        <v>3.93</v>
      </c>
      <c r="AF196" s="6" t="s">
        <v>5</v>
      </c>
      <c r="AG196" s="6" t="s">
        <v>5</v>
      </c>
      <c r="AH196" s="33">
        <v>1.35</v>
      </c>
      <c r="AI196" s="33">
        <v>4.5999999999999996</v>
      </c>
      <c r="AJ196" s="6" t="s">
        <v>5</v>
      </c>
      <c r="AK196" s="6" t="s">
        <v>5</v>
      </c>
      <c r="AL196" s="6" t="s">
        <v>5</v>
      </c>
      <c r="AM196" s="6" t="s">
        <v>5</v>
      </c>
      <c r="AN196" s="4">
        <v>18.100000000000001</v>
      </c>
      <c r="AO196" s="38">
        <v>1060</v>
      </c>
      <c r="AP196" s="38">
        <v>140</v>
      </c>
      <c r="AQ196" s="4">
        <v>78.3</v>
      </c>
      <c r="AR196" s="7">
        <v>4.96</v>
      </c>
      <c r="AS196" s="38">
        <v>581</v>
      </c>
      <c r="AT196" s="38">
        <v>113</v>
      </c>
      <c r="AU196" s="4">
        <v>73.099999999999994</v>
      </c>
      <c r="AV196" s="7">
        <v>3.68</v>
      </c>
      <c r="AW196" s="6" t="s">
        <v>5</v>
      </c>
      <c r="AX196" s="6" t="s">
        <v>5</v>
      </c>
      <c r="AY196" s="6" t="s">
        <v>5</v>
      </c>
      <c r="AZ196" s="39">
        <v>32.5</v>
      </c>
      <c r="BA196" s="6">
        <v>256</v>
      </c>
      <c r="BB196" s="6" t="s">
        <v>5</v>
      </c>
      <c r="BC196" s="6" t="s">
        <v>5</v>
      </c>
      <c r="BD196" s="6" t="s">
        <v>5</v>
      </c>
      <c r="BE196" s="6" t="s">
        <v>5</v>
      </c>
      <c r="BF196" s="6" t="s">
        <v>5</v>
      </c>
      <c r="BG196" s="6" t="s">
        <v>5</v>
      </c>
      <c r="BH196" s="6" t="s">
        <v>5</v>
      </c>
      <c r="BI196" s="7">
        <v>6.9</v>
      </c>
      <c r="BJ196" s="22">
        <v>0.80200000000000005</v>
      </c>
      <c r="BK196" s="6" t="s">
        <v>5</v>
      </c>
      <c r="BL196" s="2" t="s">
        <v>5</v>
      </c>
      <c r="BM196" s="2" t="s">
        <v>5</v>
      </c>
      <c r="BN196" s="2" t="s">
        <v>5</v>
      </c>
      <c r="BO196" s="2" t="s">
        <v>5</v>
      </c>
      <c r="BP196" s="2" t="s">
        <v>5</v>
      </c>
      <c r="BQ196" s="2" t="s">
        <v>5</v>
      </c>
      <c r="BR196" s="2" t="s">
        <v>5</v>
      </c>
      <c r="BS196" s="2" t="s">
        <v>5</v>
      </c>
      <c r="BT196" s="2" t="s">
        <v>5</v>
      </c>
      <c r="BU196" s="2" t="s">
        <v>5</v>
      </c>
      <c r="BV196" s="2" t="s">
        <v>5</v>
      </c>
      <c r="BW196" s="2" t="s">
        <v>5</v>
      </c>
      <c r="BX196" s="2" t="s">
        <v>5</v>
      </c>
      <c r="BY196" s="25" t="s">
        <v>5</v>
      </c>
      <c r="BZ196" s="25" t="s">
        <v>5</v>
      </c>
      <c r="CA196" s="4">
        <v>49.7</v>
      </c>
      <c r="CB196" s="6" t="s">
        <v>5</v>
      </c>
      <c r="CC196" s="4">
        <v>65.599999999999994</v>
      </c>
      <c r="CD196" s="4">
        <v>50.699999999999996</v>
      </c>
      <c r="CE196" s="6">
        <v>66.599999999999994</v>
      </c>
      <c r="CF196" s="16" t="s">
        <v>5</v>
      </c>
      <c r="CG196" s="5">
        <v>5.5</v>
      </c>
      <c r="CH196" s="18" t="s">
        <v>5</v>
      </c>
      <c r="CV196" s="344" t="str">
        <f t="shared" ref="CV196:CV259" si="21">VLOOKUP(CW196,$G$140:$H$422,2,FALSE)</f>
        <v>WT9X38</v>
      </c>
      <c r="CW196" s="337">
        <v>11.1</v>
      </c>
      <c r="DH196" s="397" t="s">
        <v>1382</v>
      </c>
      <c r="DI196" s="398">
        <v>56.8</v>
      </c>
      <c r="DJ196" s="398">
        <v>15.5</v>
      </c>
      <c r="DK196" s="399">
        <v>0.89</v>
      </c>
      <c r="DL196" s="398">
        <v>12.8</v>
      </c>
      <c r="DM196" s="400">
        <v>5.45</v>
      </c>
      <c r="DN196" s="401">
        <v>355</v>
      </c>
      <c r="DO196" s="402">
        <v>310</v>
      </c>
      <c r="DP196" s="117"/>
      <c r="DQ196" s="428" t="s">
        <v>1433</v>
      </c>
      <c r="DR196" s="429">
        <v>146</v>
      </c>
      <c r="DS196" s="429">
        <v>1170</v>
      </c>
      <c r="DT196" s="431"/>
      <c r="DU196" s="431"/>
      <c r="DV196" s="431"/>
      <c r="DW196" s="431"/>
      <c r="DX196" s="432"/>
      <c r="DZ196" s="447" t="s">
        <v>1351</v>
      </c>
      <c r="EA196" s="448">
        <v>283</v>
      </c>
      <c r="EB196" s="448">
        <v>83.3</v>
      </c>
      <c r="EC196" s="448">
        <v>16.7</v>
      </c>
      <c r="ED196" s="448" t="s">
        <v>1629</v>
      </c>
      <c r="EE196" s="448">
        <v>1.29</v>
      </c>
      <c r="EF196" s="448" t="s">
        <v>1634</v>
      </c>
      <c r="EG196" s="449">
        <v>45246</v>
      </c>
      <c r="EH196" s="448">
        <v>16.100000000000001</v>
      </c>
      <c r="EI196" s="448" t="s">
        <v>1637</v>
      </c>
      <c r="EJ196" s="448">
        <v>2.0699999999999998</v>
      </c>
      <c r="EK196" s="448" t="s">
        <v>1641</v>
      </c>
      <c r="EL196" s="448">
        <v>3.89</v>
      </c>
      <c r="EM196" s="448">
        <v>8.84</v>
      </c>
      <c r="EN196" s="448">
        <v>3840</v>
      </c>
      <c r="EO196" s="448">
        <v>459</v>
      </c>
      <c r="EP196" s="448">
        <v>6.79</v>
      </c>
      <c r="EQ196" s="448">
        <v>542</v>
      </c>
      <c r="ER196" s="448">
        <v>1440</v>
      </c>
      <c r="ES196" s="448">
        <v>179</v>
      </c>
      <c r="ET196" s="448">
        <v>4.17</v>
      </c>
      <c r="EU196" s="450">
        <v>274</v>
      </c>
    </row>
    <row r="197" spans="2:151">
      <c r="B197" s="78" t="s">
        <v>145</v>
      </c>
      <c r="C197" s="79" t="s">
        <v>203</v>
      </c>
      <c r="D197" s="80" t="s">
        <v>203</v>
      </c>
      <c r="E197" s="1" t="s">
        <v>4</v>
      </c>
      <c r="F197" s="6">
        <v>131.5</v>
      </c>
      <c r="G197" s="4">
        <v>38.700000000000003</v>
      </c>
      <c r="H197" s="3" t="str">
        <f t="shared" si="20"/>
        <v>WT16.5X131.5</v>
      </c>
      <c r="I197" s="4">
        <v>17.3</v>
      </c>
      <c r="J197" s="5">
        <v>17.25</v>
      </c>
      <c r="K197" s="6" t="s">
        <v>5</v>
      </c>
      <c r="L197" s="6" t="s">
        <v>5</v>
      </c>
      <c r="M197" s="6" t="s">
        <v>5</v>
      </c>
      <c r="N197" s="4">
        <v>15.8</v>
      </c>
      <c r="O197" s="5">
        <v>15.75</v>
      </c>
      <c r="P197" s="5" t="s">
        <v>5</v>
      </c>
      <c r="Q197" s="6" t="s">
        <v>5</v>
      </c>
      <c r="R197" s="6" t="s">
        <v>5</v>
      </c>
      <c r="S197" s="22">
        <v>0.87</v>
      </c>
      <c r="T197" s="5">
        <v>0.875</v>
      </c>
      <c r="U197" s="8">
        <v>0.4375</v>
      </c>
      <c r="V197" s="7">
        <v>1.57</v>
      </c>
      <c r="W197" s="8">
        <v>1.5625</v>
      </c>
      <c r="X197" s="7">
        <v>1.57</v>
      </c>
      <c r="Y197" s="6" t="s">
        <v>5</v>
      </c>
      <c r="Z197" s="6" t="s">
        <v>5</v>
      </c>
      <c r="AA197" s="33">
        <v>2.36</v>
      </c>
      <c r="AB197" s="34">
        <v>2.8125</v>
      </c>
      <c r="AC197" s="8" t="s">
        <v>5</v>
      </c>
      <c r="AD197" s="6" t="s">
        <v>5</v>
      </c>
      <c r="AE197" s="37">
        <v>3.83</v>
      </c>
      <c r="AF197" s="6" t="s">
        <v>5</v>
      </c>
      <c r="AG197" s="6" t="s">
        <v>5</v>
      </c>
      <c r="AH197" s="33">
        <v>1.23</v>
      </c>
      <c r="AI197" s="33">
        <v>5.03</v>
      </c>
      <c r="AJ197" s="6" t="s">
        <v>5</v>
      </c>
      <c r="AK197" s="6" t="s">
        <v>5</v>
      </c>
      <c r="AL197" s="6" t="s">
        <v>5</v>
      </c>
      <c r="AM197" s="6" t="s">
        <v>5</v>
      </c>
      <c r="AN197" s="4">
        <v>19.899999999999999</v>
      </c>
      <c r="AO197" s="38">
        <v>943</v>
      </c>
      <c r="AP197" s="38">
        <v>125</v>
      </c>
      <c r="AQ197" s="4">
        <v>70.2</v>
      </c>
      <c r="AR197" s="7">
        <v>4.93</v>
      </c>
      <c r="AS197" s="38">
        <v>517</v>
      </c>
      <c r="AT197" s="38">
        <v>101</v>
      </c>
      <c r="AU197" s="4">
        <v>65.5</v>
      </c>
      <c r="AV197" s="7">
        <v>3.65</v>
      </c>
      <c r="AW197" s="6" t="s">
        <v>5</v>
      </c>
      <c r="AX197" s="6" t="s">
        <v>5</v>
      </c>
      <c r="AY197" s="6" t="s">
        <v>5</v>
      </c>
      <c r="AZ197" s="39">
        <v>24.3</v>
      </c>
      <c r="BA197" s="6">
        <v>188</v>
      </c>
      <c r="BB197" s="6" t="s">
        <v>5</v>
      </c>
      <c r="BC197" s="6" t="s">
        <v>5</v>
      </c>
      <c r="BD197" s="6" t="s">
        <v>5</v>
      </c>
      <c r="BE197" s="6" t="s">
        <v>5</v>
      </c>
      <c r="BF197" s="6" t="s">
        <v>5</v>
      </c>
      <c r="BG197" s="6" t="s">
        <v>5</v>
      </c>
      <c r="BH197" s="6" t="s">
        <v>5</v>
      </c>
      <c r="BI197" s="7">
        <v>6.86</v>
      </c>
      <c r="BJ197" s="22">
        <v>0.80200000000000005</v>
      </c>
      <c r="BK197" s="6" t="s">
        <v>5</v>
      </c>
      <c r="BL197" s="2" t="s">
        <v>5</v>
      </c>
      <c r="BM197" s="2" t="s">
        <v>5</v>
      </c>
      <c r="BN197" s="2" t="s">
        <v>5</v>
      </c>
      <c r="BO197" s="2" t="s">
        <v>5</v>
      </c>
      <c r="BP197" s="2" t="s">
        <v>5</v>
      </c>
      <c r="BQ197" s="2" t="s">
        <v>5</v>
      </c>
      <c r="BR197" s="2" t="s">
        <v>5</v>
      </c>
      <c r="BS197" s="2" t="s">
        <v>5</v>
      </c>
      <c r="BT197" s="2" t="s">
        <v>5</v>
      </c>
      <c r="BU197" s="2" t="s">
        <v>5</v>
      </c>
      <c r="BV197" s="2" t="s">
        <v>5</v>
      </c>
      <c r="BW197" s="2" t="s">
        <v>5</v>
      </c>
      <c r="BX197" s="2" t="s">
        <v>5</v>
      </c>
      <c r="BY197" s="25" t="s">
        <v>5</v>
      </c>
      <c r="BZ197" s="25" t="s">
        <v>5</v>
      </c>
      <c r="CA197" s="4">
        <v>49.4</v>
      </c>
      <c r="CB197" s="6" t="s">
        <v>5</v>
      </c>
      <c r="CC197" s="4">
        <v>65.2</v>
      </c>
      <c r="CD197" s="4">
        <v>50.400000000000006</v>
      </c>
      <c r="CE197" s="6">
        <v>66.2</v>
      </c>
      <c r="CF197" s="16" t="s">
        <v>5</v>
      </c>
      <c r="CG197" s="5">
        <v>5.5</v>
      </c>
      <c r="CH197" s="18" t="s">
        <v>5</v>
      </c>
      <c r="CV197" s="344" t="str">
        <f t="shared" si="21"/>
        <v>WT7X37</v>
      </c>
      <c r="CW197" s="337">
        <v>10.9</v>
      </c>
      <c r="DH197" s="397" t="s">
        <v>1389</v>
      </c>
      <c r="DI197" s="398">
        <v>51.8</v>
      </c>
      <c r="DJ197" s="398">
        <v>15.2</v>
      </c>
      <c r="DK197" s="399">
        <v>0.83</v>
      </c>
      <c r="DL197" s="398">
        <v>13.7</v>
      </c>
      <c r="DM197" s="400">
        <v>5.97</v>
      </c>
      <c r="DN197" s="401">
        <v>320</v>
      </c>
      <c r="DO197" s="402">
        <v>281</v>
      </c>
      <c r="DP197" s="117"/>
      <c r="DQ197" s="428" t="s">
        <v>1434</v>
      </c>
      <c r="DR197" s="429">
        <v>144</v>
      </c>
      <c r="DS197" s="429">
        <v>1330</v>
      </c>
      <c r="DT197" s="431"/>
      <c r="DU197" s="431"/>
      <c r="DV197" s="431"/>
      <c r="DW197" s="431"/>
      <c r="DX197" s="432"/>
      <c r="DZ197" s="447" t="s">
        <v>1360</v>
      </c>
      <c r="EA197" s="448">
        <v>257</v>
      </c>
      <c r="EB197" s="448">
        <v>75.599999999999994</v>
      </c>
      <c r="EC197" s="448">
        <v>16.399999999999999</v>
      </c>
      <c r="ED197" s="448" t="s">
        <v>1631</v>
      </c>
      <c r="EE197" s="448">
        <v>1.18</v>
      </c>
      <c r="EF197" s="448" t="s">
        <v>1640</v>
      </c>
      <c r="EG197" s="449">
        <v>45054</v>
      </c>
      <c r="EH197" s="448">
        <v>16</v>
      </c>
      <c r="EI197" s="448">
        <v>16</v>
      </c>
      <c r="EJ197" s="448">
        <v>1.89</v>
      </c>
      <c r="EK197" s="448" t="s">
        <v>1683</v>
      </c>
      <c r="EL197" s="448">
        <v>4.2300000000000004</v>
      </c>
      <c r="EM197" s="448">
        <v>9.7100000000000009</v>
      </c>
      <c r="EN197" s="448">
        <v>3400</v>
      </c>
      <c r="EO197" s="448">
        <v>415</v>
      </c>
      <c r="EP197" s="448">
        <v>6.71</v>
      </c>
      <c r="EQ197" s="448">
        <v>487</v>
      </c>
      <c r="ER197" s="448">
        <v>1290</v>
      </c>
      <c r="ES197" s="448">
        <v>161</v>
      </c>
      <c r="ET197" s="448">
        <v>4.13</v>
      </c>
      <c r="EU197" s="450">
        <v>246</v>
      </c>
    </row>
    <row r="198" spans="2:151">
      <c r="B198" s="78" t="s">
        <v>145</v>
      </c>
      <c r="C198" s="79" t="s">
        <v>204</v>
      </c>
      <c r="D198" s="80" t="s">
        <v>204</v>
      </c>
      <c r="E198" s="1" t="s">
        <v>4</v>
      </c>
      <c r="F198" s="6">
        <v>120.5</v>
      </c>
      <c r="G198" s="4">
        <v>35.6</v>
      </c>
      <c r="H198" s="3" t="str">
        <f t="shared" si="20"/>
        <v>WT16.5X120.5</v>
      </c>
      <c r="I198" s="4">
        <v>17.100000000000001</v>
      </c>
      <c r="J198" s="5">
        <v>17.125</v>
      </c>
      <c r="K198" s="6" t="s">
        <v>5</v>
      </c>
      <c r="L198" s="6" t="s">
        <v>5</v>
      </c>
      <c r="M198" s="6" t="s">
        <v>5</v>
      </c>
      <c r="N198" s="4">
        <v>15.9</v>
      </c>
      <c r="O198" s="5">
        <v>15.875</v>
      </c>
      <c r="P198" s="5" t="s">
        <v>5</v>
      </c>
      <c r="Q198" s="6" t="s">
        <v>5</v>
      </c>
      <c r="R198" s="6" t="s">
        <v>5</v>
      </c>
      <c r="S198" s="22">
        <v>0.83</v>
      </c>
      <c r="T198" s="5">
        <v>0.8125</v>
      </c>
      <c r="U198" s="8">
        <v>0.4375</v>
      </c>
      <c r="V198" s="7">
        <v>1.4</v>
      </c>
      <c r="W198" s="8">
        <v>1.375</v>
      </c>
      <c r="X198" s="7">
        <v>1.4</v>
      </c>
      <c r="Y198" s="6" t="s">
        <v>5</v>
      </c>
      <c r="Z198" s="6" t="s">
        <v>5</v>
      </c>
      <c r="AA198" s="33">
        <v>2.19</v>
      </c>
      <c r="AB198" s="34">
        <v>2.6875</v>
      </c>
      <c r="AC198" s="8" t="s">
        <v>5</v>
      </c>
      <c r="AD198" s="6" t="s">
        <v>5</v>
      </c>
      <c r="AE198" s="37">
        <v>3.84</v>
      </c>
      <c r="AF198" s="6" t="s">
        <v>5</v>
      </c>
      <c r="AG198" s="6" t="s">
        <v>5</v>
      </c>
      <c r="AH198" s="33">
        <v>1.1200000000000001</v>
      </c>
      <c r="AI198" s="33">
        <v>5.66</v>
      </c>
      <c r="AJ198" s="6" t="s">
        <v>5</v>
      </c>
      <c r="AK198" s="6" t="s">
        <v>5</v>
      </c>
      <c r="AL198" s="6" t="s">
        <v>5</v>
      </c>
      <c r="AM198" s="6" t="s">
        <v>5</v>
      </c>
      <c r="AN198" s="4">
        <v>20.6</v>
      </c>
      <c r="AO198" s="38">
        <v>872</v>
      </c>
      <c r="AP198" s="38">
        <v>116</v>
      </c>
      <c r="AQ198" s="4">
        <v>65.8</v>
      </c>
      <c r="AR198" s="7">
        <v>4.96</v>
      </c>
      <c r="AS198" s="38">
        <v>466</v>
      </c>
      <c r="AT198" s="39">
        <v>90.8</v>
      </c>
      <c r="AU198" s="4">
        <v>58.8</v>
      </c>
      <c r="AV198" s="7">
        <v>3.62</v>
      </c>
      <c r="AW198" s="6" t="s">
        <v>5</v>
      </c>
      <c r="AX198" s="6" t="s">
        <v>5</v>
      </c>
      <c r="AY198" s="6" t="s">
        <v>5</v>
      </c>
      <c r="AZ198" s="39">
        <v>18</v>
      </c>
      <c r="BA198" s="6">
        <v>146</v>
      </c>
      <c r="BB198" s="6" t="s">
        <v>5</v>
      </c>
      <c r="BC198" s="6" t="s">
        <v>5</v>
      </c>
      <c r="BD198" s="6" t="s">
        <v>5</v>
      </c>
      <c r="BE198" s="6" t="s">
        <v>5</v>
      </c>
      <c r="BF198" s="6" t="s">
        <v>5</v>
      </c>
      <c r="BG198" s="6" t="s">
        <v>5</v>
      </c>
      <c r="BH198" s="6" t="s">
        <v>5</v>
      </c>
      <c r="BI198" s="7">
        <v>6.9</v>
      </c>
      <c r="BJ198" s="22">
        <v>0.79200000000000004</v>
      </c>
      <c r="BK198" s="6" t="s">
        <v>5</v>
      </c>
      <c r="BL198" s="2" t="s">
        <v>5</v>
      </c>
      <c r="BM198" s="2" t="s">
        <v>5</v>
      </c>
      <c r="BN198" s="2" t="s">
        <v>5</v>
      </c>
      <c r="BO198" s="2" t="s">
        <v>5</v>
      </c>
      <c r="BP198" s="2" t="s">
        <v>5</v>
      </c>
      <c r="BQ198" s="2" t="s">
        <v>5</v>
      </c>
      <c r="BR198" s="2" t="s">
        <v>5</v>
      </c>
      <c r="BS198" s="2" t="s">
        <v>5</v>
      </c>
      <c r="BT198" s="2" t="s">
        <v>5</v>
      </c>
      <c r="BU198" s="2" t="s">
        <v>5</v>
      </c>
      <c r="BV198" s="2" t="s">
        <v>5</v>
      </c>
      <c r="BW198" s="2" t="s">
        <v>5</v>
      </c>
      <c r="BX198" s="2" t="s">
        <v>5</v>
      </c>
      <c r="BY198" s="25" t="s">
        <v>5</v>
      </c>
      <c r="BZ198" s="25" t="s">
        <v>5</v>
      </c>
      <c r="CA198" s="4">
        <v>49.1</v>
      </c>
      <c r="CB198" s="6" t="s">
        <v>5</v>
      </c>
      <c r="CC198" s="4">
        <v>65</v>
      </c>
      <c r="CD198" s="4">
        <v>50.1</v>
      </c>
      <c r="CE198" s="4">
        <v>66</v>
      </c>
      <c r="CF198" s="16" t="s">
        <v>5</v>
      </c>
      <c r="CG198" s="5">
        <v>5.5</v>
      </c>
      <c r="CH198" s="18" t="s">
        <v>5</v>
      </c>
      <c r="CV198" s="344" t="str">
        <f t="shared" si="21"/>
        <v>WT10.5X36.5</v>
      </c>
      <c r="CW198" s="337">
        <v>10.7</v>
      </c>
      <c r="DH198" s="397" t="s">
        <v>1396</v>
      </c>
      <c r="DI198" s="398">
        <v>46.7</v>
      </c>
      <c r="DJ198" s="398">
        <v>15</v>
      </c>
      <c r="DK198" s="399">
        <v>0.745</v>
      </c>
      <c r="DL198" s="398">
        <v>15.3</v>
      </c>
      <c r="DM198" s="400">
        <v>6.54</v>
      </c>
      <c r="DN198" s="401">
        <v>287</v>
      </c>
      <c r="DO198" s="402">
        <v>254</v>
      </c>
      <c r="DP198" s="117"/>
      <c r="DQ198" s="428" t="s">
        <v>1435</v>
      </c>
      <c r="DR198" s="429">
        <v>139</v>
      </c>
      <c r="DS198" s="429">
        <v>881</v>
      </c>
      <c r="DT198" s="431"/>
      <c r="DU198" s="431"/>
      <c r="DV198" s="431"/>
      <c r="DW198" s="431"/>
      <c r="DX198" s="432"/>
      <c r="DZ198" s="447" t="s">
        <v>1368</v>
      </c>
      <c r="EA198" s="448">
        <v>233</v>
      </c>
      <c r="EB198" s="448">
        <v>68.5</v>
      </c>
      <c r="EC198" s="448">
        <v>16</v>
      </c>
      <c r="ED198" s="448">
        <v>16</v>
      </c>
      <c r="EE198" s="448">
        <v>1.07</v>
      </c>
      <c r="EF198" s="448" t="s">
        <v>1650</v>
      </c>
      <c r="EG198" s="449">
        <v>45185</v>
      </c>
      <c r="EH198" s="448">
        <v>15.9</v>
      </c>
      <c r="EI198" s="448" t="s">
        <v>1617</v>
      </c>
      <c r="EJ198" s="448">
        <v>1.72</v>
      </c>
      <c r="EK198" s="448" t="s">
        <v>1615</v>
      </c>
      <c r="EL198" s="448">
        <v>4.62</v>
      </c>
      <c r="EM198" s="448">
        <v>10.7</v>
      </c>
      <c r="EN198" s="448">
        <v>3010</v>
      </c>
      <c r="EO198" s="448">
        <v>375</v>
      </c>
      <c r="EP198" s="448">
        <v>6.63</v>
      </c>
      <c r="EQ198" s="448">
        <v>436</v>
      </c>
      <c r="ER198" s="448">
        <v>1150</v>
      </c>
      <c r="ES198" s="448">
        <v>145</v>
      </c>
      <c r="ET198" s="448">
        <v>4.0999999999999996</v>
      </c>
      <c r="EU198" s="450">
        <v>221</v>
      </c>
    </row>
    <row r="199" spans="2:151">
      <c r="B199" s="78" t="s">
        <v>145</v>
      </c>
      <c r="C199" s="79" t="s">
        <v>205</v>
      </c>
      <c r="D199" s="80" t="s">
        <v>205</v>
      </c>
      <c r="E199" s="1" t="s">
        <v>4</v>
      </c>
      <c r="F199" s="6">
        <v>110.5</v>
      </c>
      <c r="G199" s="4">
        <v>32.6</v>
      </c>
      <c r="H199" s="3" t="str">
        <f t="shared" si="20"/>
        <v>WT16.5X110.5</v>
      </c>
      <c r="I199" s="4">
        <v>17</v>
      </c>
      <c r="J199" s="5">
        <v>17</v>
      </c>
      <c r="K199" s="6" t="s">
        <v>5</v>
      </c>
      <c r="L199" s="6" t="s">
        <v>5</v>
      </c>
      <c r="M199" s="6" t="s">
        <v>5</v>
      </c>
      <c r="N199" s="4">
        <v>15.8</v>
      </c>
      <c r="O199" s="5">
        <v>15.75</v>
      </c>
      <c r="P199" s="5" t="s">
        <v>5</v>
      </c>
      <c r="Q199" s="6" t="s">
        <v>5</v>
      </c>
      <c r="R199" s="6" t="s">
        <v>5</v>
      </c>
      <c r="S199" s="22">
        <v>0.77500000000000002</v>
      </c>
      <c r="T199" s="5">
        <v>0.75</v>
      </c>
      <c r="U199" s="8">
        <v>0.375</v>
      </c>
      <c r="V199" s="7">
        <v>1.28</v>
      </c>
      <c r="W199" s="8">
        <v>1.25</v>
      </c>
      <c r="X199" s="7">
        <v>1.28</v>
      </c>
      <c r="Y199" s="6" t="s">
        <v>5</v>
      </c>
      <c r="Z199" s="6" t="s">
        <v>5</v>
      </c>
      <c r="AA199" s="33">
        <v>2.06</v>
      </c>
      <c r="AB199" s="34">
        <v>2.5</v>
      </c>
      <c r="AC199" s="8" t="s">
        <v>5</v>
      </c>
      <c r="AD199" s="6" t="s">
        <v>5</v>
      </c>
      <c r="AE199" s="37">
        <v>3.81</v>
      </c>
      <c r="AF199" s="6" t="s">
        <v>5</v>
      </c>
      <c r="AG199" s="6" t="s">
        <v>5</v>
      </c>
      <c r="AH199" s="33">
        <v>1.03</v>
      </c>
      <c r="AI199" s="33">
        <v>6.2</v>
      </c>
      <c r="AJ199" s="6" t="s">
        <v>5</v>
      </c>
      <c r="AK199" s="6" t="s">
        <v>5</v>
      </c>
      <c r="AL199" s="6" t="s">
        <v>5</v>
      </c>
      <c r="AM199" s="6" t="s">
        <v>5</v>
      </c>
      <c r="AN199" s="4">
        <v>21.9</v>
      </c>
      <c r="AO199" s="38">
        <v>799</v>
      </c>
      <c r="AP199" s="38">
        <v>107</v>
      </c>
      <c r="AQ199" s="4">
        <v>60.8</v>
      </c>
      <c r="AR199" s="7">
        <v>4.95</v>
      </c>
      <c r="AS199" s="38">
        <v>420</v>
      </c>
      <c r="AT199" s="39">
        <v>82.1</v>
      </c>
      <c r="AU199" s="4">
        <v>53.2</v>
      </c>
      <c r="AV199" s="7">
        <v>3.59</v>
      </c>
      <c r="AW199" s="6" t="s">
        <v>5</v>
      </c>
      <c r="AX199" s="6" t="s">
        <v>5</v>
      </c>
      <c r="AY199" s="6" t="s">
        <v>5</v>
      </c>
      <c r="AZ199" s="39">
        <v>13.9</v>
      </c>
      <c r="BA199" s="6">
        <v>113</v>
      </c>
      <c r="BB199" s="6" t="s">
        <v>5</v>
      </c>
      <c r="BC199" s="6" t="s">
        <v>5</v>
      </c>
      <c r="BD199" s="6" t="s">
        <v>5</v>
      </c>
      <c r="BE199" s="6" t="s">
        <v>5</v>
      </c>
      <c r="BF199" s="6" t="s">
        <v>5</v>
      </c>
      <c r="BG199" s="6" t="s">
        <v>5</v>
      </c>
      <c r="BH199" s="6" t="s">
        <v>5</v>
      </c>
      <c r="BI199" s="7">
        <v>6.89</v>
      </c>
      <c r="BJ199" s="22">
        <v>0.78800000000000003</v>
      </c>
      <c r="BK199" s="6" t="s">
        <v>5</v>
      </c>
      <c r="BL199" s="2" t="s">
        <v>5</v>
      </c>
      <c r="BM199" s="2" t="s">
        <v>5</v>
      </c>
      <c r="BN199" s="2" t="s">
        <v>5</v>
      </c>
      <c r="BO199" s="2" t="s">
        <v>5</v>
      </c>
      <c r="BP199" s="2" t="s">
        <v>5</v>
      </c>
      <c r="BQ199" s="2" t="s">
        <v>5</v>
      </c>
      <c r="BR199" s="2" t="s">
        <v>5</v>
      </c>
      <c r="BS199" s="2" t="s">
        <v>5</v>
      </c>
      <c r="BT199" s="2" t="s">
        <v>5</v>
      </c>
      <c r="BU199" s="2" t="s">
        <v>5</v>
      </c>
      <c r="BV199" s="2" t="s">
        <v>5</v>
      </c>
      <c r="BW199" s="2" t="s">
        <v>5</v>
      </c>
      <c r="BX199" s="2" t="s">
        <v>5</v>
      </c>
      <c r="BY199" s="25" t="s">
        <v>5</v>
      </c>
      <c r="BZ199" s="25" t="s">
        <v>5</v>
      </c>
      <c r="CA199" s="4">
        <v>48.8</v>
      </c>
      <c r="CB199" s="6" t="s">
        <v>5</v>
      </c>
      <c r="CC199" s="4">
        <v>64.599999999999994</v>
      </c>
      <c r="CD199" s="4">
        <v>49.8</v>
      </c>
      <c r="CE199" s="6">
        <v>65.599999999999994</v>
      </c>
      <c r="CF199" s="16" t="s">
        <v>5</v>
      </c>
      <c r="CG199" s="5">
        <v>5.5</v>
      </c>
      <c r="CH199" s="18" t="s">
        <v>5</v>
      </c>
      <c r="CV199" s="344" t="str">
        <f t="shared" si="21"/>
        <v>WT6X36</v>
      </c>
      <c r="CW199" s="337">
        <v>10.6</v>
      </c>
      <c r="DH199" s="397" t="s">
        <v>1403</v>
      </c>
      <c r="DI199" s="398">
        <v>42.7</v>
      </c>
      <c r="DJ199" s="398">
        <v>14.8</v>
      </c>
      <c r="DK199" s="399">
        <v>0.68</v>
      </c>
      <c r="DL199" s="398">
        <v>16.8</v>
      </c>
      <c r="DM199" s="400">
        <v>7.11</v>
      </c>
      <c r="DN199" s="401">
        <v>260</v>
      </c>
      <c r="DO199" s="402">
        <v>232</v>
      </c>
      <c r="DP199" s="117"/>
      <c r="DQ199" s="428" t="s">
        <v>1436</v>
      </c>
      <c r="DR199" s="429">
        <v>134</v>
      </c>
      <c r="DS199" s="429">
        <v>1350</v>
      </c>
      <c r="DT199" s="431"/>
      <c r="DU199" s="431"/>
      <c r="DV199" s="431"/>
      <c r="DW199" s="431"/>
      <c r="DX199" s="432"/>
      <c r="DZ199" s="447" t="s">
        <v>1376</v>
      </c>
      <c r="EA199" s="448">
        <v>211</v>
      </c>
      <c r="EB199" s="448">
        <v>62</v>
      </c>
      <c r="EC199" s="448">
        <v>15.7</v>
      </c>
      <c r="ED199" s="448" t="s">
        <v>1621</v>
      </c>
      <c r="EE199" s="448">
        <v>0.98</v>
      </c>
      <c r="EF199" s="448">
        <v>1</v>
      </c>
      <c r="EG199" s="449">
        <v>44928</v>
      </c>
      <c r="EH199" s="448">
        <v>15.8</v>
      </c>
      <c r="EI199" s="448" t="s">
        <v>1621</v>
      </c>
      <c r="EJ199" s="448">
        <v>1.56</v>
      </c>
      <c r="EK199" s="448" t="s">
        <v>1618</v>
      </c>
      <c r="EL199" s="448">
        <v>5.0599999999999996</v>
      </c>
      <c r="EM199" s="448">
        <v>11.6</v>
      </c>
      <c r="EN199" s="448">
        <v>2660</v>
      </c>
      <c r="EO199" s="448">
        <v>338</v>
      </c>
      <c r="EP199" s="448">
        <v>6.55</v>
      </c>
      <c r="EQ199" s="448">
        <v>390</v>
      </c>
      <c r="ER199" s="448">
        <v>1030</v>
      </c>
      <c r="ES199" s="448">
        <v>130</v>
      </c>
      <c r="ET199" s="448">
        <v>4.07</v>
      </c>
      <c r="EU199" s="450">
        <v>198</v>
      </c>
    </row>
    <row r="200" spans="2:151">
      <c r="B200" s="78" t="s">
        <v>145</v>
      </c>
      <c r="C200" s="79" t="s">
        <v>206</v>
      </c>
      <c r="D200" s="80" t="s">
        <v>206</v>
      </c>
      <c r="E200" s="1" t="s">
        <v>4</v>
      </c>
      <c r="F200" s="6">
        <v>100.5</v>
      </c>
      <c r="G200" s="4">
        <v>29.7</v>
      </c>
      <c r="H200" s="3" t="str">
        <f t="shared" si="20"/>
        <v>WT16.5X100.5</v>
      </c>
      <c r="I200" s="4">
        <v>16.8</v>
      </c>
      <c r="J200" s="5">
        <v>16.875</v>
      </c>
      <c r="K200" s="6" t="s">
        <v>5</v>
      </c>
      <c r="L200" s="6" t="s">
        <v>5</v>
      </c>
      <c r="M200" s="6" t="s">
        <v>5</v>
      </c>
      <c r="N200" s="4">
        <v>15.7</v>
      </c>
      <c r="O200" s="5">
        <v>15.75</v>
      </c>
      <c r="P200" s="5" t="s">
        <v>5</v>
      </c>
      <c r="Q200" s="6" t="s">
        <v>5</v>
      </c>
      <c r="R200" s="6" t="s">
        <v>5</v>
      </c>
      <c r="S200" s="22">
        <v>0.71499999999999997</v>
      </c>
      <c r="T200" s="5">
        <v>0.6875</v>
      </c>
      <c r="U200" s="8">
        <v>0.375</v>
      </c>
      <c r="V200" s="7">
        <v>1.1499999999999999</v>
      </c>
      <c r="W200" s="8">
        <v>1.125</v>
      </c>
      <c r="X200" s="7">
        <v>1.1499999999999999</v>
      </c>
      <c r="Y200" s="6" t="s">
        <v>5</v>
      </c>
      <c r="Z200" s="6" t="s">
        <v>5</v>
      </c>
      <c r="AA200" s="33">
        <v>1.94</v>
      </c>
      <c r="AB200" s="34">
        <v>2.4375</v>
      </c>
      <c r="AC200" s="8" t="s">
        <v>5</v>
      </c>
      <c r="AD200" s="6" t="s">
        <v>5</v>
      </c>
      <c r="AE200" s="37">
        <v>3.77</v>
      </c>
      <c r="AF200" s="6" t="s">
        <v>5</v>
      </c>
      <c r="AG200" s="6" t="s">
        <v>5</v>
      </c>
      <c r="AH200" s="40">
        <v>0.94</v>
      </c>
      <c r="AI200" s="33">
        <v>6.85</v>
      </c>
      <c r="AJ200" s="6" t="s">
        <v>5</v>
      </c>
      <c r="AK200" s="6" t="s">
        <v>5</v>
      </c>
      <c r="AL200" s="6" t="s">
        <v>5</v>
      </c>
      <c r="AM200" s="6" t="s">
        <v>5</v>
      </c>
      <c r="AN200" s="4">
        <v>23.5</v>
      </c>
      <c r="AO200" s="38">
        <v>725</v>
      </c>
      <c r="AP200" s="39">
        <v>97.8</v>
      </c>
      <c r="AQ200" s="4">
        <v>55.5</v>
      </c>
      <c r="AR200" s="7">
        <v>4.95</v>
      </c>
      <c r="AS200" s="38">
        <v>375</v>
      </c>
      <c r="AT200" s="39">
        <v>73.3</v>
      </c>
      <c r="AU200" s="4">
        <v>47.6</v>
      </c>
      <c r="AV200" s="7">
        <v>3.56</v>
      </c>
      <c r="AW200" s="6" t="s">
        <v>5</v>
      </c>
      <c r="AX200" s="6" t="s">
        <v>5</v>
      </c>
      <c r="AY200" s="6" t="s">
        <v>5</v>
      </c>
      <c r="AZ200" s="39">
        <v>10.4</v>
      </c>
      <c r="BA200" s="4">
        <v>84.9</v>
      </c>
      <c r="BB200" s="6" t="s">
        <v>5</v>
      </c>
      <c r="BC200" s="6" t="s">
        <v>5</v>
      </c>
      <c r="BD200" s="6" t="s">
        <v>5</v>
      </c>
      <c r="BE200" s="6" t="s">
        <v>5</v>
      </c>
      <c r="BF200" s="6" t="s">
        <v>5</v>
      </c>
      <c r="BG200" s="6" t="s">
        <v>5</v>
      </c>
      <c r="BH200" s="6" t="s">
        <v>5</v>
      </c>
      <c r="BI200" s="7">
        <v>6.88</v>
      </c>
      <c r="BJ200" s="22">
        <v>0.78400000000000003</v>
      </c>
      <c r="BK200" s="6" t="s">
        <v>5</v>
      </c>
      <c r="BL200" s="2" t="s">
        <v>5</v>
      </c>
      <c r="BM200" s="2" t="s">
        <v>5</v>
      </c>
      <c r="BN200" s="2" t="s">
        <v>5</v>
      </c>
      <c r="BO200" s="2" t="s">
        <v>5</v>
      </c>
      <c r="BP200" s="2" t="s">
        <v>5</v>
      </c>
      <c r="BQ200" s="2" t="s">
        <v>5</v>
      </c>
      <c r="BR200" s="2" t="s">
        <v>5</v>
      </c>
      <c r="BS200" s="2" t="s">
        <v>5</v>
      </c>
      <c r="BT200" s="2" t="s">
        <v>5</v>
      </c>
      <c r="BU200" s="2" t="s">
        <v>5</v>
      </c>
      <c r="BV200" s="2" t="s">
        <v>5</v>
      </c>
      <c r="BW200" s="2" t="s">
        <v>5</v>
      </c>
      <c r="BX200" s="2" t="s">
        <v>5</v>
      </c>
      <c r="BY200" s="25" t="s">
        <v>5</v>
      </c>
      <c r="BZ200" s="25" t="s">
        <v>5</v>
      </c>
      <c r="CA200" s="4">
        <v>48.3</v>
      </c>
      <c r="CB200" s="6" t="s">
        <v>5</v>
      </c>
      <c r="CC200" s="4">
        <v>64</v>
      </c>
      <c r="CD200" s="4">
        <v>49.3</v>
      </c>
      <c r="CE200" s="4">
        <v>65</v>
      </c>
      <c r="CF200" s="16" t="s">
        <v>5</v>
      </c>
      <c r="CG200" s="5">
        <v>5.5</v>
      </c>
      <c r="CH200" s="18" t="s">
        <v>5</v>
      </c>
      <c r="CV200" s="344" t="str">
        <f t="shared" si="21"/>
        <v>WT9X35.5</v>
      </c>
      <c r="CW200" s="337">
        <v>10.4</v>
      </c>
      <c r="DH200" s="397" t="s">
        <v>1408</v>
      </c>
      <c r="DI200" s="398">
        <v>38.799999999999997</v>
      </c>
      <c r="DJ200" s="398">
        <v>14.7</v>
      </c>
      <c r="DK200" s="399">
        <v>0.64500000000000002</v>
      </c>
      <c r="DL200" s="398">
        <v>17.7</v>
      </c>
      <c r="DM200" s="400">
        <v>7.15</v>
      </c>
      <c r="DN200" s="401">
        <v>234</v>
      </c>
      <c r="DO200" s="402">
        <v>209</v>
      </c>
      <c r="DP200" s="117"/>
      <c r="DQ200" s="428" t="s">
        <v>1437</v>
      </c>
      <c r="DR200" s="429">
        <v>133</v>
      </c>
      <c r="DS200" s="429">
        <v>1070</v>
      </c>
      <c r="DT200" s="431"/>
      <c r="DU200" s="431"/>
      <c r="DV200" s="431"/>
      <c r="DW200" s="431"/>
      <c r="DX200" s="432"/>
      <c r="DZ200" s="447" t="s">
        <v>1382</v>
      </c>
      <c r="EA200" s="448">
        <v>193</v>
      </c>
      <c r="EB200" s="448">
        <v>56.8</v>
      </c>
      <c r="EC200" s="448">
        <v>15.5</v>
      </c>
      <c r="ED200" s="448" t="s">
        <v>1712</v>
      </c>
      <c r="EE200" s="448">
        <v>0.89</v>
      </c>
      <c r="EF200" s="449">
        <v>45115</v>
      </c>
      <c r="EG200" s="449">
        <v>45123</v>
      </c>
      <c r="EH200" s="448">
        <v>15.7</v>
      </c>
      <c r="EI200" s="448" t="s">
        <v>1621</v>
      </c>
      <c r="EJ200" s="448">
        <v>1.44</v>
      </c>
      <c r="EK200" s="448" t="s">
        <v>1622</v>
      </c>
      <c r="EL200" s="448">
        <v>5.45</v>
      </c>
      <c r="EM200" s="448">
        <v>12.8</v>
      </c>
      <c r="EN200" s="448">
        <v>2400</v>
      </c>
      <c r="EO200" s="448">
        <v>310</v>
      </c>
      <c r="EP200" s="448">
        <v>6.5</v>
      </c>
      <c r="EQ200" s="448">
        <v>355</v>
      </c>
      <c r="ER200" s="448">
        <v>931</v>
      </c>
      <c r="ES200" s="448">
        <v>119</v>
      </c>
      <c r="ET200" s="448">
        <v>4.05</v>
      </c>
      <c r="EU200" s="450">
        <v>180</v>
      </c>
    </row>
    <row r="201" spans="2:151">
      <c r="B201" s="78" t="s">
        <v>145</v>
      </c>
      <c r="C201" s="79" t="s">
        <v>207</v>
      </c>
      <c r="D201" s="80" t="s">
        <v>207</v>
      </c>
      <c r="E201" s="1" t="s">
        <v>4</v>
      </c>
      <c r="F201" s="4">
        <v>84.5</v>
      </c>
      <c r="G201" s="4">
        <v>24.7</v>
      </c>
      <c r="H201" s="3" t="str">
        <f t="shared" si="20"/>
        <v>WT16.5X84.5</v>
      </c>
      <c r="I201" s="4">
        <v>16.899999999999999</v>
      </c>
      <c r="J201" s="5">
        <v>16.875</v>
      </c>
      <c r="K201" s="6" t="s">
        <v>5</v>
      </c>
      <c r="L201" s="6" t="s">
        <v>5</v>
      </c>
      <c r="M201" s="6" t="s">
        <v>5</v>
      </c>
      <c r="N201" s="4">
        <v>11.5</v>
      </c>
      <c r="O201" s="5">
        <v>11.5</v>
      </c>
      <c r="P201" s="5" t="s">
        <v>5</v>
      </c>
      <c r="Q201" s="6" t="s">
        <v>5</v>
      </c>
      <c r="R201" s="6" t="s">
        <v>5</v>
      </c>
      <c r="S201" s="22">
        <v>0.67</v>
      </c>
      <c r="T201" s="5">
        <v>0.6875</v>
      </c>
      <c r="U201" s="8">
        <v>0.375</v>
      </c>
      <c r="V201" s="7">
        <v>1.22</v>
      </c>
      <c r="W201" s="8">
        <v>1.25</v>
      </c>
      <c r="X201" s="7">
        <v>1.22</v>
      </c>
      <c r="Y201" s="6" t="s">
        <v>5</v>
      </c>
      <c r="Z201" s="6" t="s">
        <v>5</v>
      </c>
      <c r="AA201" s="33">
        <v>1.92</v>
      </c>
      <c r="AB201" s="34">
        <v>2.4375</v>
      </c>
      <c r="AC201" s="8" t="s">
        <v>5</v>
      </c>
      <c r="AD201" s="6" t="s">
        <v>5</v>
      </c>
      <c r="AE201" s="37">
        <v>4.21</v>
      </c>
      <c r="AF201" s="6" t="s">
        <v>5</v>
      </c>
      <c r="AG201" s="6" t="s">
        <v>5</v>
      </c>
      <c r="AH201" s="33">
        <v>1.08</v>
      </c>
      <c r="AI201" s="33">
        <v>4.71</v>
      </c>
      <c r="AJ201" s="6" t="s">
        <v>5</v>
      </c>
      <c r="AK201" s="6" t="s">
        <v>5</v>
      </c>
      <c r="AL201" s="6" t="s">
        <v>5</v>
      </c>
      <c r="AM201" s="6" t="s">
        <v>5</v>
      </c>
      <c r="AN201" s="4">
        <v>25.2</v>
      </c>
      <c r="AO201" s="38">
        <v>649</v>
      </c>
      <c r="AP201" s="39">
        <v>90.8</v>
      </c>
      <c r="AQ201" s="4">
        <v>51.1</v>
      </c>
      <c r="AR201" s="7">
        <v>5.12</v>
      </c>
      <c r="AS201" s="38">
        <v>155</v>
      </c>
      <c r="AT201" s="39">
        <v>42.1</v>
      </c>
      <c r="AU201" s="4">
        <v>27</v>
      </c>
      <c r="AV201" s="7">
        <v>2.5</v>
      </c>
      <c r="AW201" s="6" t="s">
        <v>5</v>
      </c>
      <c r="AX201" s="6" t="s">
        <v>5</v>
      </c>
      <c r="AY201" s="6" t="s">
        <v>5</v>
      </c>
      <c r="AZ201" s="33">
        <v>8.81</v>
      </c>
      <c r="BA201" s="4">
        <v>55.4</v>
      </c>
      <c r="BB201" s="6" t="s">
        <v>5</v>
      </c>
      <c r="BC201" s="6" t="s">
        <v>5</v>
      </c>
      <c r="BD201" s="6" t="s">
        <v>5</v>
      </c>
      <c r="BE201" s="6" t="s">
        <v>5</v>
      </c>
      <c r="BF201" s="6" t="s">
        <v>5</v>
      </c>
      <c r="BG201" s="6" t="s">
        <v>5</v>
      </c>
      <c r="BH201" s="6" t="s">
        <v>5</v>
      </c>
      <c r="BI201" s="7">
        <v>6.74</v>
      </c>
      <c r="BJ201" s="22">
        <v>0.71499999999999997</v>
      </c>
      <c r="BK201" s="6" t="s">
        <v>5</v>
      </c>
      <c r="BL201" s="2" t="s">
        <v>5</v>
      </c>
      <c r="BM201" s="2" t="s">
        <v>5</v>
      </c>
      <c r="BN201" s="2" t="s">
        <v>5</v>
      </c>
      <c r="BO201" s="2" t="s">
        <v>5</v>
      </c>
      <c r="BP201" s="2" t="s">
        <v>5</v>
      </c>
      <c r="BQ201" s="2" t="s">
        <v>5</v>
      </c>
      <c r="BR201" s="2" t="s">
        <v>5</v>
      </c>
      <c r="BS201" s="2" t="s">
        <v>5</v>
      </c>
      <c r="BT201" s="2" t="s">
        <v>5</v>
      </c>
      <c r="BU201" s="2" t="s">
        <v>5</v>
      </c>
      <c r="BV201" s="2" t="s">
        <v>5</v>
      </c>
      <c r="BW201" s="2" t="s">
        <v>5</v>
      </c>
      <c r="BX201" s="2" t="s">
        <v>5</v>
      </c>
      <c r="BY201" s="25" t="s">
        <v>5</v>
      </c>
      <c r="BZ201" s="25" t="s">
        <v>5</v>
      </c>
      <c r="CA201" s="4">
        <v>44.3</v>
      </c>
      <c r="CB201" s="6" t="s">
        <v>5</v>
      </c>
      <c r="CC201" s="4">
        <v>55.8</v>
      </c>
      <c r="CD201" s="4">
        <v>45.3</v>
      </c>
      <c r="CE201" s="6">
        <v>56.8</v>
      </c>
      <c r="CF201" s="16" t="s">
        <v>5</v>
      </c>
      <c r="CG201" s="5">
        <v>5.5</v>
      </c>
      <c r="CH201" s="18" t="s">
        <v>5</v>
      </c>
      <c r="CV201" s="344" t="str">
        <f t="shared" si="21"/>
        <v>WT12X34</v>
      </c>
      <c r="CW201" s="337">
        <v>10</v>
      </c>
      <c r="DH201" s="397" t="s">
        <v>1413</v>
      </c>
      <c r="DI201" s="398">
        <v>35.299999999999997</v>
      </c>
      <c r="DJ201" s="398">
        <v>14.5</v>
      </c>
      <c r="DK201" s="399">
        <v>0.59</v>
      </c>
      <c r="DL201" s="398">
        <v>19.3</v>
      </c>
      <c r="DM201" s="400">
        <v>7.8</v>
      </c>
      <c r="DN201" s="401">
        <v>212</v>
      </c>
      <c r="DO201" s="402">
        <v>190</v>
      </c>
      <c r="DP201" s="117"/>
      <c r="DQ201" s="428" t="s">
        <v>1438</v>
      </c>
      <c r="DR201" s="429">
        <v>132</v>
      </c>
      <c r="DS201" s="429">
        <v>740</v>
      </c>
      <c r="DT201" s="431"/>
      <c r="DU201" s="431"/>
      <c r="DV201" s="431"/>
      <c r="DW201" s="431"/>
      <c r="DX201" s="432"/>
      <c r="DZ201" s="447" t="s">
        <v>1389</v>
      </c>
      <c r="EA201" s="448">
        <v>176</v>
      </c>
      <c r="EB201" s="448">
        <v>51.8</v>
      </c>
      <c r="EC201" s="448">
        <v>15.2</v>
      </c>
      <c r="ED201" s="448" t="s">
        <v>1715</v>
      </c>
      <c r="EE201" s="448">
        <v>0.83</v>
      </c>
      <c r="EF201" s="448" t="s">
        <v>1620</v>
      </c>
      <c r="EG201" s="449">
        <v>45123</v>
      </c>
      <c r="EH201" s="448">
        <v>15.7</v>
      </c>
      <c r="EI201" s="448" t="s">
        <v>1710</v>
      </c>
      <c r="EJ201" s="448">
        <v>1.31</v>
      </c>
      <c r="EK201" s="448" t="s">
        <v>1634</v>
      </c>
      <c r="EL201" s="448">
        <v>5.97</v>
      </c>
      <c r="EM201" s="448">
        <v>13.7</v>
      </c>
      <c r="EN201" s="448">
        <v>2140</v>
      </c>
      <c r="EO201" s="448">
        <v>281</v>
      </c>
      <c r="EP201" s="448">
        <v>6.43</v>
      </c>
      <c r="EQ201" s="448">
        <v>320</v>
      </c>
      <c r="ER201" s="448">
        <v>838</v>
      </c>
      <c r="ES201" s="448">
        <v>107</v>
      </c>
      <c r="ET201" s="448">
        <v>4.0199999999999996</v>
      </c>
      <c r="EU201" s="450">
        <v>163</v>
      </c>
    </row>
    <row r="202" spans="2:151">
      <c r="B202" s="78" t="s">
        <v>145</v>
      </c>
      <c r="C202" s="79" t="s">
        <v>208</v>
      </c>
      <c r="D202" s="80" t="s">
        <v>208</v>
      </c>
      <c r="E202" s="1" t="s">
        <v>4</v>
      </c>
      <c r="F202" s="4">
        <v>76</v>
      </c>
      <c r="G202" s="4">
        <v>22.5</v>
      </c>
      <c r="H202" s="3" t="str">
        <f t="shared" si="20"/>
        <v>WT16.5X76</v>
      </c>
      <c r="I202" s="4">
        <v>16.7</v>
      </c>
      <c r="J202" s="5">
        <v>16.75</v>
      </c>
      <c r="K202" s="6" t="s">
        <v>5</v>
      </c>
      <c r="L202" s="6" t="s">
        <v>5</v>
      </c>
      <c r="M202" s="6" t="s">
        <v>5</v>
      </c>
      <c r="N202" s="4">
        <v>11.6</v>
      </c>
      <c r="O202" s="5">
        <v>11.625</v>
      </c>
      <c r="P202" s="5" t="s">
        <v>5</v>
      </c>
      <c r="Q202" s="6" t="s">
        <v>5</v>
      </c>
      <c r="R202" s="6" t="s">
        <v>5</v>
      </c>
      <c r="S202" s="22">
        <v>0.63500000000000001</v>
      </c>
      <c r="T202" s="5">
        <v>0.625</v>
      </c>
      <c r="U202" s="8">
        <v>0.3125</v>
      </c>
      <c r="V202" s="7">
        <v>1.06</v>
      </c>
      <c r="W202" s="8">
        <v>1.0625</v>
      </c>
      <c r="X202" s="7">
        <v>1.06</v>
      </c>
      <c r="Y202" s="6" t="s">
        <v>5</v>
      </c>
      <c r="Z202" s="6" t="s">
        <v>5</v>
      </c>
      <c r="AA202" s="33">
        <v>1.76</v>
      </c>
      <c r="AB202" s="34">
        <v>2.3125</v>
      </c>
      <c r="AC202" s="8" t="s">
        <v>5</v>
      </c>
      <c r="AD202" s="6" t="s">
        <v>5</v>
      </c>
      <c r="AE202" s="37">
        <v>4.26</v>
      </c>
      <c r="AF202" s="6" t="s">
        <v>5</v>
      </c>
      <c r="AG202" s="6" t="s">
        <v>5</v>
      </c>
      <c r="AH202" s="40">
        <v>0.96699999999999997</v>
      </c>
      <c r="AI202" s="33">
        <v>5.48</v>
      </c>
      <c r="AJ202" s="6" t="s">
        <v>5</v>
      </c>
      <c r="AK202" s="6" t="s">
        <v>5</v>
      </c>
      <c r="AL202" s="6" t="s">
        <v>5</v>
      </c>
      <c r="AM202" s="6" t="s">
        <v>5</v>
      </c>
      <c r="AN202" s="4">
        <v>26.3</v>
      </c>
      <c r="AO202" s="38">
        <v>592</v>
      </c>
      <c r="AP202" s="39">
        <v>84.5</v>
      </c>
      <c r="AQ202" s="4">
        <v>47.4</v>
      </c>
      <c r="AR202" s="7">
        <v>5.14</v>
      </c>
      <c r="AS202" s="38">
        <v>136</v>
      </c>
      <c r="AT202" s="39">
        <v>36.9</v>
      </c>
      <c r="AU202" s="4">
        <v>23.6</v>
      </c>
      <c r="AV202" s="7">
        <v>2.4700000000000002</v>
      </c>
      <c r="AW202" s="6" t="s">
        <v>5</v>
      </c>
      <c r="AX202" s="6" t="s">
        <v>5</v>
      </c>
      <c r="AY202" s="6" t="s">
        <v>5</v>
      </c>
      <c r="AZ202" s="33">
        <v>6.16</v>
      </c>
      <c r="BA202" s="4">
        <v>43</v>
      </c>
      <c r="BB202" s="6" t="s">
        <v>5</v>
      </c>
      <c r="BC202" s="6" t="s">
        <v>5</v>
      </c>
      <c r="BD202" s="6" t="s">
        <v>5</v>
      </c>
      <c r="BE202" s="6" t="s">
        <v>5</v>
      </c>
      <c r="BF202" s="6" t="s">
        <v>5</v>
      </c>
      <c r="BG202" s="6" t="s">
        <v>5</v>
      </c>
      <c r="BH202" s="6" t="s">
        <v>5</v>
      </c>
      <c r="BI202" s="7">
        <v>6.82</v>
      </c>
      <c r="BJ202" s="22">
        <v>0.7</v>
      </c>
      <c r="BK202" s="6" t="s">
        <v>5</v>
      </c>
      <c r="BL202" s="2" t="s">
        <v>5</v>
      </c>
      <c r="BM202" s="2" t="s">
        <v>5</v>
      </c>
      <c r="BN202" s="2" t="s">
        <v>5</v>
      </c>
      <c r="BO202" s="2" t="s">
        <v>5</v>
      </c>
      <c r="BP202" s="2" t="s">
        <v>5</v>
      </c>
      <c r="BQ202" s="2" t="s">
        <v>5</v>
      </c>
      <c r="BR202" s="2" t="s">
        <v>5</v>
      </c>
      <c r="BS202" s="2" t="s">
        <v>5</v>
      </c>
      <c r="BT202" s="2" t="s">
        <v>5</v>
      </c>
      <c r="BU202" s="2" t="s">
        <v>5</v>
      </c>
      <c r="BV202" s="2" t="s">
        <v>5</v>
      </c>
      <c r="BW202" s="2" t="s">
        <v>5</v>
      </c>
      <c r="BX202" s="2" t="s">
        <v>5</v>
      </c>
      <c r="BY202" s="25" t="s">
        <v>5</v>
      </c>
      <c r="BZ202" s="25" t="s">
        <v>5</v>
      </c>
      <c r="CA202" s="4">
        <v>44</v>
      </c>
      <c r="CB202" s="6" t="s">
        <v>5</v>
      </c>
      <c r="CC202" s="4">
        <v>55.6</v>
      </c>
      <c r="CD202" s="4">
        <v>44.999999999999993</v>
      </c>
      <c r="CE202" s="6">
        <v>56.599999999999994</v>
      </c>
      <c r="CF202" s="16" t="s">
        <v>5</v>
      </c>
      <c r="CG202" s="5">
        <v>5.5</v>
      </c>
      <c r="CH202" s="18" t="s">
        <v>5</v>
      </c>
      <c r="CV202" s="344" t="str">
        <f t="shared" si="21"/>
        <v>WT12X34</v>
      </c>
      <c r="CW202" s="337">
        <v>10</v>
      </c>
      <c r="DH202" s="397" t="s">
        <v>1418</v>
      </c>
      <c r="DI202" s="398">
        <v>32</v>
      </c>
      <c r="DJ202" s="398">
        <v>14.3</v>
      </c>
      <c r="DK202" s="399">
        <v>0.52500000000000002</v>
      </c>
      <c r="DL202" s="398">
        <v>21.7</v>
      </c>
      <c r="DM202" s="400">
        <v>8.49</v>
      </c>
      <c r="DN202" s="401">
        <v>192</v>
      </c>
      <c r="DO202" s="402">
        <v>173</v>
      </c>
      <c r="DP202" s="117"/>
      <c r="DQ202" s="428" t="s">
        <v>1439</v>
      </c>
      <c r="DR202" s="429">
        <v>130</v>
      </c>
      <c r="DS202" s="429">
        <v>954</v>
      </c>
      <c r="DT202" s="431"/>
      <c r="DU202" s="431"/>
      <c r="DV202" s="431"/>
      <c r="DW202" s="431"/>
      <c r="DX202" s="432"/>
      <c r="DZ202" s="447" t="s">
        <v>1396</v>
      </c>
      <c r="EA202" s="448">
        <v>159</v>
      </c>
      <c r="EB202" s="448">
        <v>46.7</v>
      </c>
      <c r="EC202" s="448">
        <v>15</v>
      </c>
      <c r="ED202" s="448">
        <v>15</v>
      </c>
      <c r="EE202" s="448">
        <v>0.745</v>
      </c>
      <c r="EF202" s="449">
        <v>44989</v>
      </c>
      <c r="EG202" s="449">
        <v>44993</v>
      </c>
      <c r="EH202" s="448">
        <v>15.6</v>
      </c>
      <c r="EI202" s="448" t="s">
        <v>1710</v>
      </c>
      <c r="EJ202" s="448">
        <v>1.19</v>
      </c>
      <c r="EK202" s="448" t="s">
        <v>1640</v>
      </c>
      <c r="EL202" s="448">
        <v>6.54</v>
      </c>
      <c r="EM202" s="448">
        <v>15.3</v>
      </c>
      <c r="EN202" s="448">
        <v>1900</v>
      </c>
      <c r="EO202" s="448">
        <v>254</v>
      </c>
      <c r="EP202" s="448">
        <v>6.38</v>
      </c>
      <c r="EQ202" s="448">
        <v>287</v>
      </c>
      <c r="ER202" s="448">
        <v>748</v>
      </c>
      <c r="ES202" s="448">
        <v>96.2</v>
      </c>
      <c r="ET202" s="448">
        <v>4</v>
      </c>
      <c r="EU202" s="450">
        <v>146</v>
      </c>
    </row>
    <row r="203" spans="2:151">
      <c r="B203" s="78" t="s">
        <v>145</v>
      </c>
      <c r="C203" s="79" t="s">
        <v>209</v>
      </c>
      <c r="D203" s="80" t="s">
        <v>209</v>
      </c>
      <c r="E203" s="1" t="s">
        <v>4</v>
      </c>
      <c r="F203" s="4">
        <v>70.5</v>
      </c>
      <c r="G203" s="4">
        <v>20.7</v>
      </c>
      <c r="H203" s="3" t="str">
        <f t="shared" si="20"/>
        <v>WT16.5X70.5</v>
      </c>
      <c r="I203" s="4">
        <v>16.7</v>
      </c>
      <c r="J203" s="5">
        <v>16.625</v>
      </c>
      <c r="K203" s="6" t="s">
        <v>5</v>
      </c>
      <c r="L203" s="6" t="s">
        <v>5</v>
      </c>
      <c r="M203" s="6" t="s">
        <v>5</v>
      </c>
      <c r="N203" s="4">
        <v>11.5</v>
      </c>
      <c r="O203" s="5">
        <v>11.5</v>
      </c>
      <c r="P203" s="5" t="s">
        <v>5</v>
      </c>
      <c r="Q203" s="6" t="s">
        <v>5</v>
      </c>
      <c r="R203" s="6" t="s">
        <v>5</v>
      </c>
      <c r="S203" s="22">
        <v>0.60499999999999998</v>
      </c>
      <c r="T203" s="5">
        <v>0.625</v>
      </c>
      <c r="U203" s="8">
        <v>0.3125</v>
      </c>
      <c r="V203" s="22">
        <v>0.96</v>
      </c>
      <c r="W203" s="8">
        <v>0.9375</v>
      </c>
      <c r="X203" s="22">
        <v>0.96</v>
      </c>
      <c r="Y203" s="6" t="s">
        <v>5</v>
      </c>
      <c r="Z203" s="6" t="s">
        <v>5</v>
      </c>
      <c r="AA203" s="33">
        <v>1.66</v>
      </c>
      <c r="AB203" s="34">
        <v>2.1875</v>
      </c>
      <c r="AC203" s="8" t="s">
        <v>5</v>
      </c>
      <c r="AD203" s="6" t="s">
        <v>5</v>
      </c>
      <c r="AE203" s="37">
        <v>4.29</v>
      </c>
      <c r="AF203" s="6" t="s">
        <v>5</v>
      </c>
      <c r="AG203" s="6" t="s">
        <v>5</v>
      </c>
      <c r="AH203" s="40">
        <v>0.90100000000000002</v>
      </c>
      <c r="AI203" s="33">
        <v>6.01</v>
      </c>
      <c r="AJ203" s="6" t="s">
        <v>5</v>
      </c>
      <c r="AK203" s="6" t="s">
        <v>5</v>
      </c>
      <c r="AL203" s="6" t="s">
        <v>5</v>
      </c>
      <c r="AM203" s="6" t="s">
        <v>5</v>
      </c>
      <c r="AN203" s="4">
        <v>27.6</v>
      </c>
      <c r="AO203" s="38">
        <v>552</v>
      </c>
      <c r="AP203" s="39">
        <v>79.8</v>
      </c>
      <c r="AQ203" s="4">
        <v>44.7</v>
      </c>
      <c r="AR203" s="7">
        <v>5.15</v>
      </c>
      <c r="AS203" s="38">
        <v>123</v>
      </c>
      <c r="AT203" s="39">
        <v>33.4</v>
      </c>
      <c r="AU203" s="4">
        <v>21.3</v>
      </c>
      <c r="AV203" s="7">
        <v>2.4300000000000002</v>
      </c>
      <c r="AW203" s="6" t="s">
        <v>5</v>
      </c>
      <c r="AX203" s="6" t="s">
        <v>5</v>
      </c>
      <c r="AY203" s="6" t="s">
        <v>5</v>
      </c>
      <c r="AZ203" s="33">
        <v>4.84</v>
      </c>
      <c r="BA203" s="4">
        <v>35.4</v>
      </c>
      <c r="BB203" s="6" t="s">
        <v>5</v>
      </c>
      <c r="BC203" s="6" t="s">
        <v>5</v>
      </c>
      <c r="BD203" s="6" t="s">
        <v>5</v>
      </c>
      <c r="BE203" s="6" t="s">
        <v>5</v>
      </c>
      <c r="BF203" s="6" t="s">
        <v>5</v>
      </c>
      <c r="BG203" s="6" t="s">
        <v>5</v>
      </c>
      <c r="BH203" s="6" t="s">
        <v>5</v>
      </c>
      <c r="BI203" s="7">
        <v>6.86</v>
      </c>
      <c r="BJ203" s="22">
        <v>0.69099999999999995</v>
      </c>
      <c r="BK203" s="6" t="s">
        <v>5</v>
      </c>
      <c r="BL203" s="2" t="s">
        <v>5</v>
      </c>
      <c r="BM203" s="2" t="s">
        <v>5</v>
      </c>
      <c r="BN203" s="2" t="s">
        <v>5</v>
      </c>
      <c r="BO203" s="2" t="s">
        <v>5</v>
      </c>
      <c r="BP203" s="2" t="s">
        <v>5</v>
      </c>
      <c r="BQ203" s="2" t="s">
        <v>5</v>
      </c>
      <c r="BR203" s="2" t="s">
        <v>5</v>
      </c>
      <c r="BS203" s="2" t="s">
        <v>5</v>
      </c>
      <c r="BT203" s="2" t="s">
        <v>5</v>
      </c>
      <c r="BU203" s="2" t="s">
        <v>5</v>
      </c>
      <c r="BV203" s="2" t="s">
        <v>5</v>
      </c>
      <c r="BW203" s="2" t="s">
        <v>5</v>
      </c>
      <c r="BX203" s="2" t="s">
        <v>5</v>
      </c>
      <c r="BY203" s="25" t="s">
        <v>5</v>
      </c>
      <c r="BZ203" s="25" t="s">
        <v>5</v>
      </c>
      <c r="CA203" s="4">
        <v>43.9</v>
      </c>
      <c r="CB203" s="6" t="s">
        <v>5</v>
      </c>
      <c r="CC203" s="4">
        <v>55.4</v>
      </c>
      <c r="CD203" s="4">
        <v>44.9</v>
      </c>
      <c r="CE203" s="6">
        <v>56.4</v>
      </c>
      <c r="CF203" s="16" t="s">
        <v>5</v>
      </c>
      <c r="CG203" s="5">
        <v>5.5</v>
      </c>
      <c r="CH203" s="18" t="s">
        <v>5</v>
      </c>
      <c r="CV203" s="344" t="str">
        <f t="shared" si="21"/>
        <v>WT12X34</v>
      </c>
      <c r="CW203" s="337">
        <v>10</v>
      </c>
      <c r="DH203" s="397" t="s">
        <v>1423</v>
      </c>
      <c r="DI203" s="398">
        <v>29.1</v>
      </c>
      <c r="DJ203" s="398">
        <v>14.2</v>
      </c>
      <c r="DK203" s="399">
        <v>0.48499999999999999</v>
      </c>
      <c r="DL203" s="398">
        <v>23.5</v>
      </c>
      <c r="DM203" s="400">
        <v>9.34</v>
      </c>
      <c r="DN203" s="401">
        <v>173</v>
      </c>
      <c r="DO203" s="402">
        <v>157</v>
      </c>
      <c r="DP203" s="117"/>
      <c r="DQ203" s="428" t="s">
        <v>1440</v>
      </c>
      <c r="DR203" s="429">
        <v>130</v>
      </c>
      <c r="DS203" s="429">
        <v>623</v>
      </c>
      <c r="DT203" s="431"/>
      <c r="DU203" s="431"/>
      <c r="DV203" s="431"/>
      <c r="DW203" s="431"/>
      <c r="DX203" s="432"/>
      <c r="DZ203" s="447" t="s">
        <v>1403</v>
      </c>
      <c r="EA203" s="448">
        <v>145</v>
      </c>
      <c r="EB203" s="448">
        <v>42.7</v>
      </c>
      <c r="EC203" s="448">
        <v>14.8</v>
      </c>
      <c r="ED203" s="448" t="s">
        <v>1820</v>
      </c>
      <c r="EE203" s="448">
        <v>0.68</v>
      </c>
      <c r="EF203" s="449">
        <v>45246</v>
      </c>
      <c r="EG203" s="449">
        <v>44993</v>
      </c>
      <c r="EH203" s="448">
        <v>15.5</v>
      </c>
      <c r="EI203" s="448" t="s">
        <v>1712</v>
      </c>
      <c r="EJ203" s="448">
        <v>1.0900000000000001</v>
      </c>
      <c r="EK203" s="448" t="s">
        <v>1650</v>
      </c>
      <c r="EL203" s="448">
        <v>7.11</v>
      </c>
      <c r="EM203" s="448">
        <v>16.8</v>
      </c>
      <c r="EN203" s="448">
        <v>1710</v>
      </c>
      <c r="EO203" s="448">
        <v>232</v>
      </c>
      <c r="EP203" s="448">
        <v>6.33</v>
      </c>
      <c r="EQ203" s="448">
        <v>260</v>
      </c>
      <c r="ER203" s="448">
        <v>677</v>
      </c>
      <c r="ES203" s="448">
        <v>87.3</v>
      </c>
      <c r="ET203" s="448">
        <v>3.98</v>
      </c>
      <c r="EU203" s="450">
        <v>133</v>
      </c>
    </row>
    <row r="204" spans="2:151">
      <c r="B204" s="78" t="s">
        <v>145</v>
      </c>
      <c r="C204" s="79" t="s">
        <v>210</v>
      </c>
      <c r="D204" s="80" t="s">
        <v>210</v>
      </c>
      <c r="E204" s="1" t="s">
        <v>4</v>
      </c>
      <c r="F204" s="4">
        <v>65</v>
      </c>
      <c r="G204" s="4">
        <v>19.100000000000001</v>
      </c>
      <c r="H204" s="3" t="str">
        <f t="shared" si="20"/>
        <v>WT16.5X65</v>
      </c>
      <c r="I204" s="4">
        <v>16.5</v>
      </c>
      <c r="J204" s="5">
        <v>16.5</v>
      </c>
      <c r="K204" s="6" t="s">
        <v>5</v>
      </c>
      <c r="L204" s="6" t="s">
        <v>5</v>
      </c>
      <c r="M204" s="6" t="s">
        <v>5</v>
      </c>
      <c r="N204" s="4">
        <v>11.5</v>
      </c>
      <c r="O204" s="5">
        <v>11.5</v>
      </c>
      <c r="P204" s="5" t="s">
        <v>5</v>
      </c>
      <c r="Q204" s="6" t="s">
        <v>5</v>
      </c>
      <c r="R204" s="6" t="s">
        <v>5</v>
      </c>
      <c r="S204" s="22">
        <v>0.57999999999999996</v>
      </c>
      <c r="T204" s="5">
        <v>0.5625</v>
      </c>
      <c r="U204" s="8">
        <v>0.3125</v>
      </c>
      <c r="V204" s="22">
        <v>0.85499999999999998</v>
      </c>
      <c r="W204" s="8">
        <v>0.875</v>
      </c>
      <c r="X204" s="22">
        <v>0.85499999999999998</v>
      </c>
      <c r="Y204" s="6" t="s">
        <v>5</v>
      </c>
      <c r="Z204" s="6" t="s">
        <v>5</v>
      </c>
      <c r="AA204" s="33">
        <v>1.56</v>
      </c>
      <c r="AB204" s="34">
        <v>2.125</v>
      </c>
      <c r="AC204" s="8" t="s">
        <v>5</v>
      </c>
      <c r="AD204" s="6" t="s">
        <v>5</v>
      </c>
      <c r="AE204" s="37">
        <v>4.3600000000000003</v>
      </c>
      <c r="AF204" s="6" t="s">
        <v>5</v>
      </c>
      <c r="AG204" s="6" t="s">
        <v>5</v>
      </c>
      <c r="AH204" s="40">
        <v>0.83199999999999996</v>
      </c>
      <c r="AI204" s="33">
        <v>6.73</v>
      </c>
      <c r="AJ204" s="6" t="s">
        <v>5</v>
      </c>
      <c r="AK204" s="6" t="s">
        <v>5</v>
      </c>
      <c r="AL204" s="6" t="s">
        <v>5</v>
      </c>
      <c r="AM204" s="6" t="s">
        <v>5</v>
      </c>
      <c r="AN204" s="4">
        <v>28.4</v>
      </c>
      <c r="AO204" s="38">
        <v>513</v>
      </c>
      <c r="AP204" s="39">
        <v>75.599999999999994</v>
      </c>
      <c r="AQ204" s="4">
        <v>42.1</v>
      </c>
      <c r="AR204" s="7">
        <v>5.18</v>
      </c>
      <c r="AS204" s="38">
        <v>109</v>
      </c>
      <c r="AT204" s="39">
        <v>29.7</v>
      </c>
      <c r="AU204" s="4">
        <v>18.899999999999999</v>
      </c>
      <c r="AV204" s="7">
        <v>2.38</v>
      </c>
      <c r="AW204" s="6" t="s">
        <v>5</v>
      </c>
      <c r="AX204" s="6" t="s">
        <v>5</v>
      </c>
      <c r="AY204" s="6" t="s">
        <v>5</v>
      </c>
      <c r="AZ204" s="33">
        <v>3.67</v>
      </c>
      <c r="BA204" s="4">
        <v>29.3</v>
      </c>
      <c r="BB204" s="6" t="s">
        <v>5</v>
      </c>
      <c r="BC204" s="6" t="s">
        <v>5</v>
      </c>
      <c r="BD204" s="6" t="s">
        <v>5</v>
      </c>
      <c r="BE204" s="6" t="s">
        <v>5</v>
      </c>
      <c r="BF204" s="6" t="s">
        <v>5</v>
      </c>
      <c r="BG204" s="6" t="s">
        <v>5</v>
      </c>
      <c r="BH204" s="6" t="s">
        <v>5</v>
      </c>
      <c r="BI204" s="7">
        <v>6.93</v>
      </c>
      <c r="BJ204" s="22">
        <v>0.67700000000000005</v>
      </c>
      <c r="BK204" s="6" t="s">
        <v>5</v>
      </c>
      <c r="BL204" s="2" t="s">
        <v>5</v>
      </c>
      <c r="BM204" s="2" t="s">
        <v>5</v>
      </c>
      <c r="BN204" s="2" t="s">
        <v>5</v>
      </c>
      <c r="BO204" s="2" t="s">
        <v>5</v>
      </c>
      <c r="BP204" s="2" t="s">
        <v>5</v>
      </c>
      <c r="BQ204" s="2" t="s">
        <v>5</v>
      </c>
      <c r="BR204" s="2" t="s">
        <v>5</v>
      </c>
      <c r="BS204" s="2" t="s">
        <v>5</v>
      </c>
      <c r="BT204" s="2" t="s">
        <v>5</v>
      </c>
      <c r="BU204" s="2" t="s">
        <v>5</v>
      </c>
      <c r="BV204" s="2" t="s">
        <v>5</v>
      </c>
      <c r="BW204" s="2" t="s">
        <v>5</v>
      </c>
      <c r="BX204" s="2" t="s">
        <v>5</v>
      </c>
      <c r="BY204" s="25" t="s">
        <v>5</v>
      </c>
      <c r="BZ204" s="25" t="s">
        <v>5</v>
      </c>
      <c r="CA204" s="4">
        <v>43.5</v>
      </c>
      <c r="CB204" s="6" t="s">
        <v>5</v>
      </c>
      <c r="CC204" s="4">
        <v>55</v>
      </c>
      <c r="CD204" s="4">
        <v>44.5</v>
      </c>
      <c r="CE204" s="4">
        <v>56</v>
      </c>
      <c r="CF204" s="16" t="s">
        <v>5</v>
      </c>
      <c r="CG204" s="5">
        <v>5.5</v>
      </c>
      <c r="CH204" s="18" t="s">
        <v>5</v>
      </c>
      <c r="CV204" s="344" t="str">
        <f t="shared" si="21"/>
        <v>WT12X34</v>
      </c>
      <c r="CW204" s="337">
        <v>10</v>
      </c>
      <c r="DH204" s="397" t="s">
        <v>1428</v>
      </c>
      <c r="DI204" s="398">
        <v>26.5</v>
      </c>
      <c r="DJ204" s="398">
        <v>14</v>
      </c>
      <c r="DK204" s="399">
        <v>0.44</v>
      </c>
      <c r="DL204" s="398">
        <v>25.9</v>
      </c>
      <c r="DM204" s="398">
        <v>10.199999999999999</v>
      </c>
      <c r="DN204" s="401">
        <v>157</v>
      </c>
      <c r="DO204" s="402">
        <v>143</v>
      </c>
      <c r="DP204" s="117"/>
      <c r="DQ204" s="428" t="s">
        <v>1441</v>
      </c>
      <c r="DR204" s="429">
        <v>129</v>
      </c>
      <c r="DS204" s="429">
        <v>1170</v>
      </c>
      <c r="DT204" s="431"/>
      <c r="DU204" s="431"/>
      <c r="DV204" s="431"/>
      <c r="DW204" s="431"/>
      <c r="DX204" s="432"/>
      <c r="DZ204" s="447" t="s">
        <v>1408</v>
      </c>
      <c r="EA204" s="448">
        <v>132</v>
      </c>
      <c r="EB204" s="448">
        <v>38.799999999999997</v>
      </c>
      <c r="EC204" s="448">
        <v>14.7</v>
      </c>
      <c r="ED204" s="448" t="s">
        <v>1730</v>
      </c>
      <c r="EE204" s="448">
        <v>0.64500000000000002</v>
      </c>
      <c r="EF204" s="449">
        <v>45054</v>
      </c>
      <c r="EG204" s="449">
        <v>45062</v>
      </c>
      <c r="EH204" s="448">
        <v>14.7</v>
      </c>
      <c r="EI204" s="448" t="s">
        <v>1820</v>
      </c>
      <c r="EJ204" s="448">
        <v>1.03</v>
      </c>
      <c r="EK204" s="448">
        <v>1</v>
      </c>
      <c r="EL204" s="448">
        <v>7.15</v>
      </c>
      <c r="EM204" s="448">
        <v>17.7</v>
      </c>
      <c r="EN204" s="448">
        <v>1530</v>
      </c>
      <c r="EO204" s="448">
        <v>209</v>
      </c>
      <c r="EP204" s="448">
        <v>6.28</v>
      </c>
      <c r="EQ204" s="448">
        <v>234</v>
      </c>
      <c r="ER204" s="448">
        <v>548</v>
      </c>
      <c r="ES204" s="448">
        <v>74.5</v>
      </c>
      <c r="ET204" s="448">
        <v>3.76</v>
      </c>
      <c r="EU204" s="450">
        <v>113</v>
      </c>
    </row>
    <row r="205" spans="2:151">
      <c r="B205" s="78" t="s">
        <v>145</v>
      </c>
      <c r="C205" s="79" t="s">
        <v>211</v>
      </c>
      <c r="D205" s="80" t="s">
        <v>211</v>
      </c>
      <c r="E205" s="1" t="s">
        <v>4</v>
      </c>
      <c r="F205" s="4">
        <v>59</v>
      </c>
      <c r="G205" s="4">
        <v>17.399999999999999</v>
      </c>
      <c r="H205" s="3" t="str">
        <f t="shared" si="20"/>
        <v>WT16.5X59</v>
      </c>
      <c r="I205" s="4">
        <v>16.399999999999999</v>
      </c>
      <c r="J205" s="5">
        <v>16.375</v>
      </c>
      <c r="K205" s="6" t="s">
        <v>5</v>
      </c>
      <c r="L205" s="6" t="s">
        <v>5</v>
      </c>
      <c r="M205" s="6" t="s">
        <v>5</v>
      </c>
      <c r="N205" s="4">
        <v>11.5</v>
      </c>
      <c r="O205" s="5">
        <v>11.5</v>
      </c>
      <c r="P205" s="5" t="s">
        <v>5</v>
      </c>
      <c r="Q205" s="6" t="s">
        <v>5</v>
      </c>
      <c r="R205" s="6" t="s">
        <v>5</v>
      </c>
      <c r="S205" s="22">
        <v>0.55000000000000004</v>
      </c>
      <c r="T205" s="5">
        <v>0.5625</v>
      </c>
      <c r="U205" s="8">
        <v>0.3125</v>
      </c>
      <c r="V205" s="22">
        <v>0.74</v>
      </c>
      <c r="W205" s="8">
        <v>0.75</v>
      </c>
      <c r="X205" s="22">
        <v>0.74</v>
      </c>
      <c r="Y205" s="6" t="s">
        <v>5</v>
      </c>
      <c r="Z205" s="6" t="s">
        <v>5</v>
      </c>
      <c r="AA205" s="33">
        <v>1.44</v>
      </c>
      <c r="AB205" s="34">
        <v>2</v>
      </c>
      <c r="AC205" s="8" t="s">
        <v>5</v>
      </c>
      <c r="AD205" s="6" t="s">
        <v>5</v>
      </c>
      <c r="AE205" s="37">
        <v>4.47</v>
      </c>
      <c r="AF205" s="6" t="s">
        <v>5</v>
      </c>
      <c r="AG205" s="6" t="s">
        <v>5</v>
      </c>
      <c r="AH205" s="40">
        <v>0.86199999999999999</v>
      </c>
      <c r="AI205" s="33">
        <v>7.76</v>
      </c>
      <c r="AJ205" s="6" t="s">
        <v>5</v>
      </c>
      <c r="AK205" s="6" t="s">
        <v>5</v>
      </c>
      <c r="AL205" s="6" t="s">
        <v>5</v>
      </c>
      <c r="AM205" s="6" t="s">
        <v>5</v>
      </c>
      <c r="AN205" s="4">
        <v>29.8</v>
      </c>
      <c r="AO205" s="38">
        <v>469</v>
      </c>
      <c r="AP205" s="39">
        <v>70.8</v>
      </c>
      <c r="AQ205" s="4">
        <v>39.200000000000003</v>
      </c>
      <c r="AR205" s="7">
        <v>5.2</v>
      </c>
      <c r="AS205" s="39">
        <v>93.5</v>
      </c>
      <c r="AT205" s="39">
        <v>25.6</v>
      </c>
      <c r="AU205" s="4">
        <v>16.3</v>
      </c>
      <c r="AV205" s="7">
        <v>2.3199999999999998</v>
      </c>
      <c r="AW205" s="6" t="s">
        <v>5</v>
      </c>
      <c r="AX205" s="6" t="s">
        <v>5</v>
      </c>
      <c r="AY205" s="6" t="s">
        <v>5</v>
      </c>
      <c r="AZ205" s="33">
        <v>2.64</v>
      </c>
      <c r="BA205" s="4">
        <v>23.4</v>
      </c>
      <c r="BB205" s="6" t="s">
        <v>5</v>
      </c>
      <c r="BC205" s="6" t="s">
        <v>5</v>
      </c>
      <c r="BD205" s="6" t="s">
        <v>5</v>
      </c>
      <c r="BE205" s="6" t="s">
        <v>5</v>
      </c>
      <c r="BF205" s="6" t="s">
        <v>5</v>
      </c>
      <c r="BG205" s="6" t="s">
        <v>5</v>
      </c>
      <c r="BH205" s="6" t="s">
        <v>5</v>
      </c>
      <c r="BI205" s="7">
        <v>7.02</v>
      </c>
      <c r="BJ205" s="22">
        <v>0.65900000000000003</v>
      </c>
      <c r="BK205" s="6" t="s">
        <v>5</v>
      </c>
      <c r="BL205" s="2" t="s">
        <v>5</v>
      </c>
      <c r="BM205" s="2" t="s">
        <v>5</v>
      </c>
      <c r="BN205" s="2" t="s">
        <v>5</v>
      </c>
      <c r="BO205" s="2" t="s">
        <v>5</v>
      </c>
      <c r="BP205" s="2" t="s">
        <v>5</v>
      </c>
      <c r="BQ205" s="2" t="s">
        <v>5</v>
      </c>
      <c r="BR205" s="2" t="s">
        <v>5</v>
      </c>
      <c r="BS205" s="2" t="s">
        <v>5</v>
      </c>
      <c r="BT205" s="2" t="s">
        <v>5</v>
      </c>
      <c r="BU205" s="2" t="s">
        <v>5</v>
      </c>
      <c r="BV205" s="2" t="s">
        <v>5</v>
      </c>
      <c r="BW205" s="2" t="s">
        <v>5</v>
      </c>
      <c r="BX205" s="2" t="s">
        <v>5</v>
      </c>
      <c r="BY205" s="25" t="s">
        <v>5</v>
      </c>
      <c r="BZ205" s="25" t="s">
        <v>5</v>
      </c>
      <c r="CA205" s="4">
        <v>43.3</v>
      </c>
      <c r="CB205" s="6" t="s">
        <v>5</v>
      </c>
      <c r="CC205" s="4">
        <v>54.8</v>
      </c>
      <c r="CD205" s="4">
        <v>44.3</v>
      </c>
      <c r="CE205" s="6">
        <v>55.8</v>
      </c>
      <c r="CF205" s="16" t="s">
        <v>5</v>
      </c>
      <c r="CG205" s="5">
        <v>5.5</v>
      </c>
      <c r="CH205" s="18" t="s">
        <v>5</v>
      </c>
      <c r="CV205" s="344" t="str">
        <f t="shared" si="21"/>
        <v>WT4X33.5</v>
      </c>
      <c r="CW205" s="338">
        <v>9.84</v>
      </c>
      <c r="DH205" s="397" t="s">
        <v>1435</v>
      </c>
      <c r="DI205" s="398">
        <v>24</v>
      </c>
      <c r="DJ205" s="398">
        <v>14.3</v>
      </c>
      <c r="DK205" s="399">
        <v>0.51</v>
      </c>
      <c r="DL205" s="398">
        <v>22.4</v>
      </c>
      <c r="DM205" s="400">
        <v>5.92</v>
      </c>
      <c r="DN205" s="401">
        <v>139</v>
      </c>
      <c r="DO205" s="402">
        <v>123</v>
      </c>
      <c r="DP205" s="117"/>
      <c r="DQ205" s="428" t="s">
        <v>1434</v>
      </c>
      <c r="DR205" s="429">
        <v>126</v>
      </c>
      <c r="DS205" s="429">
        <v>1140</v>
      </c>
      <c r="DT205" s="431"/>
      <c r="DU205" s="431"/>
      <c r="DV205" s="431"/>
      <c r="DW205" s="431"/>
      <c r="DX205" s="432"/>
      <c r="DZ205" s="447" t="s">
        <v>1413</v>
      </c>
      <c r="EA205" s="448">
        <v>120</v>
      </c>
      <c r="EB205" s="448">
        <v>35.299999999999997</v>
      </c>
      <c r="EC205" s="448">
        <v>14.5</v>
      </c>
      <c r="ED205" s="448" t="s">
        <v>1731</v>
      </c>
      <c r="EE205" s="448">
        <v>0.59</v>
      </c>
      <c r="EF205" s="449">
        <v>45185</v>
      </c>
      <c r="EG205" s="449">
        <v>45062</v>
      </c>
      <c r="EH205" s="448">
        <v>14.7</v>
      </c>
      <c r="EI205" s="448" t="s">
        <v>1730</v>
      </c>
      <c r="EJ205" s="448">
        <v>0.94</v>
      </c>
      <c r="EK205" s="448" t="s">
        <v>1628</v>
      </c>
      <c r="EL205" s="448">
        <v>7.8</v>
      </c>
      <c r="EM205" s="448">
        <v>19.3</v>
      </c>
      <c r="EN205" s="448">
        <v>1380</v>
      </c>
      <c r="EO205" s="448">
        <v>190</v>
      </c>
      <c r="EP205" s="448">
        <v>6.24</v>
      </c>
      <c r="EQ205" s="448">
        <v>212</v>
      </c>
      <c r="ER205" s="448">
        <v>495</v>
      </c>
      <c r="ES205" s="448">
        <v>67.5</v>
      </c>
      <c r="ET205" s="448">
        <v>3.74</v>
      </c>
      <c r="EU205" s="450">
        <v>102</v>
      </c>
    </row>
    <row r="206" spans="2:151">
      <c r="B206" s="78" t="s">
        <v>145</v>
      </c>
      <c r="C206" s="79" t="s">
        <v>212</v>
      </c>
      <c r="D206" s="80" t="s">
        <v>212</v>
      </c>
      <c r="E206" s="1" t="s">
        <v>6</v>
      </c>
      <c r="F206" s="6">
        <v>195.5</v>
      </c>
      <c r="G206" s="4">
        <v>57.6</v>
      </c>
      <c r="H206" s="3" t="str">
        <f t="shared" si="20"/>
        <v>WT15X195.5</v>
      </c>
      <c r="I206" s="4">
        <v>16.600000000000001</v>
      </c>
      <c r="J206" s="5">
        <v>16.625</v>
      </c>
      <c r="K206" s="6" t="s">
        <v>5</v>
      </c>
      <c r="L206" s="6" t="s">
        <v>5</v>
      </c>
      <c r="M206" s="6" t="s">
        <v>5</v>
      </c>
      <c r="N206" s="4">
        <v>15.6</v>
      </c>
      <c r="O206" s="5">
        <v>15.625</v>
      </c>
      <c r="P206" s="5" t="s">
        <v>5</v>
      </c>
      <c r="Q206" s="6" t="s">
        <v>5</v>
      </c>
      <c r="R206" s="6" t="s">
        <v>5</v>
      </c>
      <c r="S206" s="7">
        <v>1.36</v>
      </c>
      <c r="T206" s="5">
        <v>1.375</v>
      </c>
      <c r="U206" s="8">
        <v>0.6875</v>
      </c>
      <c r="V206" s="7">
        <v>2.44</v>
      </c>
      <c r="W206" s="8">
        <v>2.4375</v>
      </c>
      <c r="X206" s="7">
        <v>2.44</v>
      </c>
      <c r="Y206" s="6" t="s">
        <v>5</v>
      </c>
      <c r="Z206" s="6" t="s">
        <v>5</v>
      </c>
      <c r="AA206" s="33">
        <v>3.23</v>
      </c>
      <c r="AB206" s="34">
        <v>3.75</v>
      </c>
      <c r="AC206" s="8" t="s">
        <v>5</v>
      </c>
      <c r="AD206" s="6" t="s">
        <v>5</v>
      </c>
      <c r="AE206" s="37">
        <v>4</v>
      </c>
      <c r="AF206" s="6" t="s">
        <v>5</v>
      </c>
      <c r="AG206" s="6" t="s">
        <v>5</v>
      </c>
      <c r="AH206" s="33">
        <v>1.85</v>
      </c>
      <c r="AI206" s="33">
        <v>3.19</v>
      </c>
      <c r="AJ206" s="6" t="s">
        <v>5</v>
      </c>
      <c r="AK206" s="6" t="s">
        <v>5</v>
      </c>
      <c r="AL206" s="6" t="s">
        <v>5</v>
      </c>
      <c r="AM206" s="6" t="s">
        <v>5</v>
      </c>
      <c r="AN206" s="4">
        <v>12.2</v>
      </c>
      <c r="AO206" s="38">
        <v>1220</v>
      </c>
      <c r="AP206" s="38">
        <v>177</v>
      </c>
      <c r="AQ206" s="4">
        <v>96.9</v>
      </c>
      <c r="AR206" s="7">
        <v>4.6100000000000003</v>
      </c>
      <c r="AS206" s="38">
        <v>774</v>
      </c>
      <c r="AT206" s="38">
        <v>155</v>
      </c>
      <c r="AU206" s="4">
        <v>99.2</v>
      </c>
      <c r="AV206" s="7">
        <v>3.67</v>
      </c>
      <c r="AW206" s="6" t="s">
        <v>5</v>
      </c>
      <c r="AX206" s="6" t="s">
        <v>5</v>
      </c>
      <c r="AY206" s="6" t="s">
        <v>5</v>
      </c>
      <c r="AZ206" s="39">
        <v>86.3</v>
      </c>
      <c r="BA206" s="6">
        <v>636</v>
      </c>
      <c r="BB206" s="6" t="s">
        <v>5</v>
      </c>
      <c r="BC206" s="6" t="s">
        <v>5</v>
      </c>
      <c r="BD206" s="6" t="s">
        <v>5</v>
      </c>
      <c r="BE206" s="6" t="s">
        <v>5</v>
      </c>
      <c r="BF206" s="6" t="s">
        <v>5</v>
      </c>
      <c r="BG206" s="6" t="s">
        <v>5</v>
      </c>
      <c r="BH206" s="6" t="s">
        <v>5</v>
      </c>
      <c r="BI206" s="7">
        <v>6.51</v>
      </c>
      <c r="BJ206" s="22">
        <v>0.81699999999999995</v>
      </c>
      <c r="BK206" s="6" t="s">
        <v>5</v>
      </c>
      <c r="BL206" s="2" t="s">
        <v>5</v>
      </c>
      <c r="BM206" s="2" t="s">
        <v>5</v>
      </c>
      <c r="BN206" s="2" t="s">
        <v>5</v>
      </c>
      <c r="BO206" s="2" t="s">
        <v>5</v>
      </c>
      <c r="BP206" s="2" t="s">
        <v>5</v>
      </c>
      <c r="BQ206" s="2" t="s">
        <v>5</v>
      </c>
      <c r="BR206" s="2" t="s">
        <v>5</v>
      </c>
      <c r="BS206" s="2" t="s">
        <v>5</v>
      </c>
      <c r="BT206" s="2" t="s">
        <v>5</v>
      </c>
      <c r="BU206" s="2" t="s">
        <v>5</v>
      </c>
      <c r="BV206" s="2" t="s">
        <v>5</v>
      </c>
      <c r="BW206" s="2" t="s">
        <v>5</v>
      </c>
      <c r="BX206" s="2" t="s">
        <v>5</v>
      </c>
      <c r="BY206" s="25" t="s">
        <v>5</v>
      </c>
      <c r="BZ206" s="25" t="s">
        <v>5</v>
      </c>
      <c r="CA206" s="4">
        <v>47.8</v>
      </c>
      <c r="CB206" s="6" t="s">
        <v>5</v>
      </c>
      <c r="CC206" s="4">
        <v>63.4</v>
      </c>
      <c r="CD206" s="4">
        <v>48.800000000000004</v>
      </c>
      <c r="CE206" s="6">
        <v>64.400000000000006</v>
      </c>
      <c r="CF206" s="16" t="s">
        <v>5</v>
      </c>
      <c r="CG206" s="5">
        <v>5.5</v>
      </c>
      <c r="CH206" s="18" t="s">
        <v>5</v>
      </c>
      <c r="CV206" s="344" t="str">
        <f t="shared" si="21"/>
        <v>WT8X33.5</v>
      </c>
      <c r="CW206" s="338">
        <v>9.81</v>
      </c>
      <c r="DH206" s="397" t="s">
        <v>1442</v>
      </c>
      <c r="DI206" s="398">
        <v>21.8</v>
      </c>
      <c r="DJ206" s="398">
        <v>14.2</v>
      </c>
      <c r="DK206" s="399">
        <v>0.45</v>
      </c>
      <c r="DL206" s="398">
        <v>25.4</v>
      </c>
      <c r="DM206" s="400">
        <v>6.41</v>
      </c>
      <c r="DN206" s="401">
        <v>126</v>
      </c>
      <c r="DO206" s="402">
        <v>112</v>
      </c>
      <c r="DP206" s="117"/>
      <c r="DQ206" s="428" t="s">
        <v>1442</v>
      </c>
      <c r="DR206" s="429">
        <v>126</v>
      </c>
      <c r="DS206" s="429">
        <v>795</v>
      </c>
      <c r="DT206" s="431"/>
      <c r="DU206" s="431"/>
      <c r="DV206" s="431"/>
      <c r="DW206" s="431"/>
      <c r="DX206" s="432"/>
      <c r="DZ206" s="447" t="s">
        <v>1418</v>
      </c>
      <c r="EA206" s="448">
        <v>109</v>
      </c>
      <c r="EB206" s="448">
        <v>32</v>
      </c>
      <c r="EC206" s="448">
        <v>14.3</v>
      </c>
      <c r="ED206" s="448" t="s">
        <v>1733</v>
      </c>
      <c r="EE206" s="448">
        <v>0.52500000000000002</v>
      </c>
      <c r="EF206" s="449">
        <v>44928</v>
      </c>
      <c r="EG206" s="449">
        <v>44930</v>
      </c>
      <c r="EH206" s="448">
        <v>14.6</v>
      </c>
      <c r="EI206" s="448" t="s">
        <v>1730</v>
      </c>
      <c r="EJ206" s="448">
        <v>0.86</v>
      </c>
      <c r="EK206" s="449">
        <v>45115</v>
      </c>
      <c r="EL206" s="448">
        <v>8.49</v>
      </c>
      <c r="EM206" s="448">
        <v>21.7</v>
      </c>
      <c r="EN206" s="448">
        <v>1240</v>
      </c>
      <c r="EO206" s="448">
        <v>173</v>
      </c>
      <c r="EP206" s="448">
        <v>6.22</v>
      </c>
      <c r="EQ206" s="448">
        <v>192</v>
      </c>
      <c r="ER206" s="448">
        <v>447</v>
      </c>
      <c r="ES206" s="448">
        <v>61.2</v>
      </c>
      <c r="ET206" s="448">
        <v>3.73</v>
      </c>
      <c r="EU206" s="450">
        <v>92.7</v>
      </c>
    </row>
    <row r="207" spans="2:151">
      <c r="B207" s="78" t="s">
        <v>145</v>
      </c>
      <c r="C207" s="79" t="s">
        <v>213</v>
      </c>
      <c r="D207" s="80" t="s">
        <v>213</v>
      </c>
      <c r="E207" s="1" t="s">
        <v>6</v>
      </c>
      <c r="F207" s="6">
        <v>178.5</v>
      </c>
      <c r="G207" s="4">
        <v>52.5</v>
      </c>
      <c r="H207" s="3" t="str">
        <f t="shared" si="20"/>
        <v>WT15X178.5</v>
      </c>
      <c r="I207" s="4">
        <v>16.399999999999999</v>
      </c>
      <c r="J207" s="5">
        <v>16.375</v>
      </c>
      <c r="K207" s="6" t="s">
        <v>5</v>
      </c>
      <c r="L207" s="6" t="s">
        <v>5</v>
      </c>
      <c r="M207" s="6" t="s">
        <v>5</v>
      </c>
      <c r="N207" s="4">
        <v>15.5</v>
      </c>
      <c r="O207" s="5">
        <v>15.5</v>
      </c>
      <c r="P207" s="5" t="s">
        <v>5</v>
      </c>
      <c r="Q207" s="6" t="s">
        <v>5</v>
      </c>
      <c r="R207" s="6" t="s">
        <v>5</v>
      </c>
      <c r="S207" s="7">
        <v>1.24</v>
      </c>
      <c r="T207" s="5">
        <v>1.25</v>
      </c>
      <c r="U207" s="8">
        <v>0.625</v>
      </c>
      <c r="V207" s="7">
        <v>2.2400000000000002</v>
      </c>
      <c r="W207" s="8">
        <v>2.25</v>
      </c>
      <c r="X207" s="7">
        <v>2.2400000000000002</v>
      </c>
      <c r="Y207" s="6" t="s">
        <v>5</v>
      </c>
      <c r="Z207" s="6" t="s">
        <v>5</v>
      </c>
      <c r="AA207" s="33">
        <v>3.03</v>
      </c>
      <c r="AB207" s="34">
        <v>3.5</v>
      </c>
      <c r="AC207" s="8" t="s">
        <v>5</v>
      </c>
      <c r="AD207" s="6" t="s">
        <v>5</v>
      </c>
      <c r="AE207" s="37">
        <v>3.87</v>
      </c>
      <c r="AF207" s="6" t="s">
        <v>5</v>
      </c>
      <c r="AG207" s="6" t="s">
        <v>5</v>
      </c>
      <c r="AH207" s="33">
        <v>1.7</v>
      </c>
      <c r="AI207" s="33">
        <v>3.45</v>
      </c>
      <c r="AJ207" s="6" t="s">
        <v>5</v>
      </c>
      <c r="AK207" s="6" t="s">
        <v>5</v>
      </c>
      <c r="AL207" s="6" t="s">
        <v>5</v>
      </c>
      <c r="AM207" s="6" t="s">
        <v>5</v>
      </c>
      <c r="AN207" s="4">
        <v>13.2</v>
      </c>
      <c r="AO207" s="38">
        <v>1090</v>
      </c>
      <c r="AP207" s="38">
        <v>159</v>
      </c>
      <c r="AQ207" s="4">
        <v>87.2</v>
      </c>
      <c r="AR207" s="7">
        <v>4.5599999999999996</v>
      </c>
      <c r="AS207" s="38">
        <v>693</v>
      </c>
      <c r="AT207" s="38">
        <v>140</v>
      </c>
      <c r="AU207" s="4">
        <v>89.6</v>
      </c>
      <c r="AV207" s="7">
        <v>3.64</v>
      </c>
      <c r="AW207" s="6" t="s">
        <v>5</v>
      </c>
      <c r="AX207" s="6" t="s">
        <v>5</v>
      </c>
      <c r="AY207" s="6" t="s">
        <v>5</v>
      </c>
      <c r="AZ207" s="39">
        <v>66.599999999999994</v>
      </c>
      <c r="BA207" s="6">
        <v>478</v>
      </c>
      <c r="BB207" s="6" t="s">
        <v>5</v>
      </c>
      <c r="BC207" s="6" t="s">
        <v>5</v>
      </c>
      <c r="BD207" s="6" t="s">
        <v>5</v>
      </c>
      <c r="BE207" s="6" t="s">
        <v>5</v>
      </c>
      <c r="BF207" s="6" t="s">
        <v>5</v>
      </c>
      <c r="BG207" s="6" t="s">
        <v>5</v>
      </c>
      <c r="BH207" s="6" t="s">
        <v>5</v>
      </c>
      <c r="BI207" s="7">
        <v>6.45</v>
      </c>
      <c r="BJ207" s="22">
        <v>0.81799999999999995</v>
      </c>
      <c r="BK207" s="6" t="s">
        <v>5</v>
      </c>
      <c r="BL207" s="2" t="s">
        <v>5</v>
      </c>
      <c r="BM207" s="2" t="s">
        <v>5</v>
      </c>
      <c r="BN207" s="2" t="s">
        <v>5</v>
      </c>
      <c r="BO207" s="2" t="s">
        <v>5</v>
      </c>
      <c r="BP207" s="2" t="s">
        <v>5</v>
      </c>
      <c r="BQ207" s="2" t="s">
        <v>5</v>
      </c>
      <c r="BR207" s="2" t="s">
        <v>5</v>
      </c>
      <c r="BS207" s="2" t="s">
        <v>5</v>
      </c>
      <c r="BT207" s="2" t="s">
        <v>5</v>
      </c>
      <c r="BU207" s="2" t="s">
        <v>5</v>
      </c>
      <c r="BV207" s="2" t="s">
        <v>5</v>
      </c>
      <c r="BW207" s="2" t="s">
        <v>5</v>
      </c>
      <c r="BX207" s="2" t="s">
        <v>5</v>
      </c>
      <c r="BY207" s="25" t="s">
        <v>5</v>
      </c>
      <c r="BZ207" s="25" t="s">
        <v>5</v>
      </c>
      <c r="CA207" s="4">
        <v>47.3</v>
      </c>
      <c r="CB207" s="6" t="s">
        <v>5</v>
      </c>
      <c r="CC207" s="4">
        <v>62.8</v>
      </c>
      <c r="CD207" s="4">
        <v>48.3</v>
      </c>
      <c r="CE207" s="6">
        <v>63.8</v>
      </c>
      <c r="CF207" s="16" t="s">
        <v>5</v>
      </c>
      <c r="CG207" s="5">
        <v>5.5</v>
      </c>
      <c r="CH207" s="18" t="s">
        <v>5</v>
      </c>
      <c r="CV207" s="344" t="str">
        <f t="shared" si="21"/>
        <v>WT9X32.5</v>
      </c>
      <c r="CW207" s="338">
        <v>9.5500000000000007</v>
      </c>
      <c r="DH207" s="397" t="s">
        <v>1445</v>
      </c>
      <c r="DI207" s="398">
        <v>20</v>
      </c>
      <c r="DJ207" s="398">
        <v>14</v>
      </c>
      <c r="DK207" s="399">
        <v>0.41499999999999998</v>
      </c>
      <c r="DL207" s="398">
        <v>27.5</v>
      </c>
      <c r="DM207" s="400">
        <v>6.97</v>
      </c>
      <c r="DN207" s="401">
        <v>115</v>
      </c>
      <c r="DO207" s="402">
        <v>103</v>
      </c>
      <c r="DP207" s="117"/>
      <c r="DQ207" s="428" t="s">
        <v>1443</v>
      </c>
      <c r="DR207" s="429">
        <v>123</v>
      </c>
      <c r="DS207" s="429">
        <v>984</v>
      </c>
      <c r="DT207" s="431"/>
      <c r="DU207" s="431"/>
      <c r="DV207" s="431"/>
      <c r="DW207" s="431"/>
      <c r="DX207" s="432"/>
      <c r="DZ207" s="447" t="s">
        <v>1423</v>
      </c>
      <c r="EA207" s="448">
        <v>99</v>
      </c>
      <c r="EB207" s="448">
        <v>29.1</v>
      </c>
      <c r="EC207" s="448">
        <v>14.2</v>
      </c>
      <c r="ED207" s="448" t="s">
        <v>1737</v>
      </c>
      <c r="EE207" s="448">
        <v>0.48499999999999999</v>
      </c>
      <c r="EF207" s="449">
        <v>44928</v>
      </c>
      <c r="EG207" s="449">
        <v>44930</v>
      </c>
      <c r="EH207" s="448">
        <v>14.6</v>
      </c>
      <c r="EI207" s="448" t="s">
        <v>1730</v>
      </c>
      <c r="EJ207" s="448">
        <v>0.78</v>
      </c>
      <c r="EK207" s="449">
        <v>44989</v>
      </c>
      <c r="EL207" s="448">
        <v>9.34</v>
      </c>
      <c r="EM207" s="448">
        <v>23.5</v>
      </c>
      <c r="EN207" s="448">
        <v>1110</v>
      </c>
      <c r="EO207" s="448">
        <v>157</v>
      </c>
      <c r="EP207" s="448">
        <v>6.17</v>
      </c>
      <c r="EQ207" s="448">
        <v>173</v>
      </c>
      <c r="ER207" s="448">
        <v>402</v>
      </c>
      <c r="ES207" s="448">
        <v>55.2</v>
      </c>
      <c r="ET207" s="448">
        <v>3.71</v>
      </c>
      <c r="EU207" s="450">
        <v>83.6</v>
      </c>
    </row>
    <row r="208" spans="2:151">
      <c r="B208" s="78" t="s">
        <v>145</v>
      </c>
      <c r="C208" s="79" t="s">
        <v>214</v>
      </c>
      <c r="D208" s="80" t="s">
        <v>214</v>
      </c>
      <c r="E208" s="1" t="s">
        <v>6</v>
      </c>
      <c r="F208" s="6">
        <v>163</v>
      </c>
      <c r="G208" s="4">
        <v>48</v>
      </c>
      <c r="H208" s="3" t="str">
        <f t="shared" si="20"/>
        <v>WT15X163</v>
      </c>
      <c r="I208" s="4">
        <v>16.2</v>
      </c>
      <c r="J208" s="5">
        <v>16.25</v>
      </c>
      <c r="K208" s="6" t="s">
        <v>5</v>
      </c>
      <c r="L208" s="6" t="s">
        <v>5</v>
      </c>
      <c r="M208" s="6" t="s">
        <v>5</v>
      </c>
      <c r="N208" s="4">
        <v>15.4</v>
      </c>
      <c r="O208" s="5">
        <v>15.375</v>
      </c>
      <c r="P208" s="5" t="s">
        <v>5</v>
      </c>
      <c r="Q208" s="6" t="s">
        <v>5</v>
      </c>
      <c r="R208" s="6" t="s">
        <v>5</v>
      </c>
      <c r="S208" s="7">
        <v>1.1399999999999999</v>
      </c>
      <c r="T208" s="5">
        <v>1.125</v>
      </c>
      <c r="U208" s="8">
        <v>0.5625</v>
      </c>
      <c r="V208" s="7">
        <v>2.0499999999999998</v>
      </c>
      <c r="W208" s="8">
        <v>2.0625</v>
      </c>
      <c r="X208" s="7">
        <v>2.0499999999999998</v>
      </c>
      <c r="Y208" s="6" t="s">
        <v>5</v>
      </c>
      <c r="Z208" s="6" t="s">
        <v>5</v>
      </c>
      <c r="AA208" s="33">
        <v>2.84</v>
      </c>
      <c r="AB208" s="34">
        <v>3.3125</v>
      </c>
      <c r="AC208" s="8" t="s">
        <v>5</v>
      </c>
      <c r="AD208" s="6" t="s">
        <v>5</v>
      </c>
      <c r="AE208" s="37">
        <v>3.76</v>
      </c>
      <c r="AF208" s="6" t="s">
        <v>5</v>
      </c>
      <c r="AG208" s="6" t="s">
        <v>5</v>
      </c>
      <c r="AH208" s="33">
        <v>1.56</v>
      </c>
      <c r="AI208" s="33">
        <v>3.75</v>
      </c>
      <c r="AJ208" s="6" t="s">
        <v>5</v>
      </c>
      <c r="AK208" s="6" t="s">
        <v>5</v>
      </c>
      <c r="AL208" s="6" t="s">
        <v>5</v>
      </c>
      <c r="AM208" s="6" t="s">
        <v>5</v>
      </c>
      <c r="AN208" s="4">
        <v>14.2</v>
      </c>
      <c r="AO208" s="38">
        <v>981</v>
      </c>
      <c r="AP208" s="38">
        <v>143</v>
      </c>
      <c r="AQ208" s="4">
        <v>78.8</v>
      </c>
      <c r="AR208" s="7">
        <v>4.5199999999999996</v>
      </c>
      <c r="AS208" s="38">
        <v>622</v>
      </c>
      <c r="AT208" s="38">
        <v>126</v>
      </c>
      <c r="AU208" s="4">
        <v>81</v>
      </c>
      <c r="AV208" s="7">
        <v>3.6</v>
      </c>
      <c r="AW208" s="6" t="s">
        <v>5</v>
      </c>
      <c r="AX208" s="6" t="s">
        <v>5</v>
      </c>
      <c r="AY208" s="6" t="s">
        <v>5</v>
      </c>
      <c r="AZ208" s="39">
        <v>51.2</v>
      </c>
      <c r="BA208" s="6">
        <v>361</v>
      </c>
      <c r="BB208" s="6" t="s">
        <v>5</v>
      </c>
      <c r="BC208" s="6" t="s">
        <v>5</v>
      </c>
      <c r="BD208" s="6" t="s">
        <v>5</v>
      </c>
      <c r="BE208" s="6" t="s">
        <v>5</v>
      </c>
      <c r="BF208" s="6" t="s">
        <v>5</v>
      </c>
      <c r="BG208" s="6" t="s">
        <v>5</v>
      </c>
      <c r="BH208" s="6" t="s">
        <v>5</v>
      </c>
      <c r="BI208" s="7">
        <v>6.4</v>
      </c>
      <c r="BJ208" s="22">
        <v>0.81699999999999995</v>
      </c>
      <c r="BK208" s="6" t="s">
        <v>5</v>
      </c>
      <c r="BL208" s="2" t="s">
        <v>5</v>
      </c>
      <c r="BM208" s="2" t="s">
        <v>5</v>
      </c>
      <c r="BN208" s="2" t="s">
        <v>5</v>
      </c>
      <c r="BO208" s="2" t="s">
        <v>5</v>
      </c>
      <c r="BP208" s="2" t="s">
        <v>5</v>
      </c>
      <c r="BQ208" s="2" t="s">
        <v>5</v>
      </c>
      <c r="BR208" s="2" t="s">
        <v>5</v>
      </c>
      <c r="BS208" s="2" t="s">
        <v>5</v>
      </c>
      <c r="BT208" s="2" t="s">
        <v>5</v>
      </c>
      <c r="BU208" s="2" t="s">
        <v>5</v>
      </c>
      <c r="BV208" s="2" t="s">
        <v>5</v>
      </c>
      <c r="BW208" s="2" t="s">
        <v>5</v>
      </c>
      <c r="BX208" s="2" t="s">
        <v>5</v>
      </c>
      <c r="BY208" s="25" t="s">
        <v>5</v>
      </c>
      <c r="BZ208" s="25" t="s">
        <v>5</v>
      </c>
      <c r="CA208" s="4">
        <v>46.8</v>
      </c>
      <c r="CB208" s="6" t="s">
        <v>5</v>
      </c>
      <c r="CC208" s="4">
        <v>62.2</v>
      </c>
      <c r="CD208" s="4">
        <v>47.800000000000004</v>
      </c>
      <c r="CE208" s="6">
        <v>63.2</v>
      </c>
      <c r="CF208" s="16" t="s">
        <v>5</v>
      </c>
      <c r="CG208" s="5">
        <v>5.5</v>
      </c>
      <c r="CH208" s="18" t="s">
        <v>5</v>
      </c>
      <c r="CV208" s="344" t="str">
        <f t="shared" si="21"/>
        <v>WT6X32.5</v>
      </c>
      <c r="CW208" s="338">
        <v>9.5399999999999991</v>
      </c>
      <c r="DH208" s="397" t="s">
        <v>1450</v>
      </c>
      <c r="DI208" s="398">
        <v>17.899999999999999</v>
      </c>
      <c r="DJ208" s="398">
        <v>13.9</v>
      </c>
      <c r="DK208" s="399">
        <v>0.375</v>
      </c>
      <c r="DL208" s="398">
        <v>30.4</v>
      </c>
      <c r="DM208" s="400">
        <v>7.75</v>
      </c>
      <c r="DN208" s="401">
        <v>102</v>
      </c>
      <c r="DO208" s="411">
        <v>92.1</v>
      </c>
      <c r="DP208" s="115"/>
      <c r="DQ208" s="428" t="s">
        <v>1444</v>
      </c>
      <c r="DR208" s="429">
        <v>119</v>
      </c>
      <c r="DS208" s="429">
        <v>662</v>
      </c>
      <c r="DT208" s="431"/>
      <c r="DU208" s="431"/>
      <c r="DV208" s="431"/>
      <c r="DW208" s="431"/>
      <c r="DX208" s="432"/>
      <c r="DZ208" s="447" t="s">
        <v>1428</v>
      </c>
      <c r="EA208" s="448">
        <v>90</v>
      </c>
      <c r="EB208" s="448">
        <v>26.5</v>
      </c>
      <c r="EC208" s="448">
        <v>14</v>
      </c>
      <c r="ED208" s="448">
        <v>14</v>
      </c>
      <c r="EE208" s="448">
        <v>0.44</v>
      </c>
      <c r="EF208" s="449">
        <v>45123</v>
      </c>
      <c r="EG208" s="449">
        <v>44930</v>
      </c>
      <c r="EH208" s="448">
        <v>14.5</v>
      </c>
      <c r="EI208" s="448" t="s">
        <v>1731</v>
      </c>
      <c r="EJ208" s="448">
        <v>0.71</v>
      </c>
      <c r="EK208" s="449">
        <v>45246</v>
      </c>
      <c r="EL208" s="448">
        <v>10.199999999999999</v>
      </c>
      <c r="EM208" s="448">
        <v>25.9</v>
      </c>
      <c r="EN208" s="448">
        <v>999</v>
      </c>
      <c r="EO208" s="448">
        <v>143</v>
      </c>
      <c r="EP208" s="448">
        <v>6.14</v>
      </c>
      <c r="EQ208" s="448">
        <v>157</v>
      </c>
      <c r="ER208" s="448">
        <v>362</v>
      </c>
      <c r="ES208" s="448">
        <v>49.9</v>
      </c>
      <c r="ET208" s="448">
        <v>3.7</v>
      </c>
      <c r="EU208" s="450">
        <v>75.599999999999994</v>
      </c>
    </row>
    <row r="209" spans="2:151">
      <c r="B209" s="78" t="s">
        <v>145</v>
      </c>
      <c r="C209" s="79" t="s">
        <v>215</v>
      </c>
      <c r="D209" s="80" t="s">
        <v>215</v>
      </c>
      <c r="E209" s="1" t="s">
        <v>4</v>
      </c>
      <c r="F209" s="6">
        <v>146</v>
      </c>
      <c r="G209" s="4">
        <v>43</v>
      </c>
      <c r="H209" s="3" t="str">
        <f t="shared" si="20"/>
        <v>WT15X146</v>
      </c>
      <c r="I209" s="4">
        <v>16</v>
      </c>
      <c r="J209" s="5">
        <v>16</v>
      </c>
      <c r="K209" s="6" t="s">
        <v>5</v>
      </c>
      <c r="L209" s="6" t="s">
        <v>5</v>
      </c>
      <c r="M209" s="6" t="s">
        <v>5</v>
      </c>
      <c r="N209" s="4">
        <v>15.3</v>
      </c>
      <c r="O209" s="5">
        <v>15.25</v>
      </c>
      <c r="P209" s="5" t="s">
        <v>5</v>
      </c>
      <c r="Q209" s="6" t="s">
        <v>5</v>
      </c>
      <c r="R209" s="6" t="s">
        <v>5</v>
      </c>
      <c r="S209" s="7">
        <v>1.02</v>
      </c>
      <c r="T209" s="5">
        <v>1</v>
      </c>
      <c r="U209" s="8">
        <v>0.5</v>
      </c>
      <c r="V209" s="7">
        <v>1.85</v>
      </c>
      <c r="W209" s="8">
        <v>1.875</v>
      </c>
      <c r="X209" s="7">
        <v>1.85</v>
      </c>
      <c r="Y209" s="6" t="s">
        <v>5</v>
      </c>
      <c r="Z209" s="6" t="s">
        <v>5</v>
      </c>
      <c r="AA209" s="33">
        <v>2.64</v>
      </c>
      <c r="AB209" s="34">
        <v>3.125</v>
      </c>
      <c r="AC209" s="8" t="s">
        <v>5</v>
      </c>
      <c r="AD209" s="6" t="s">
        <v>5</v>
      </c>
      <c r="AE209" s="37">
        <v>3.62</v>
      </c>
      <c r="AF209" s="6" t="s">
        <v>5</v>
      </c>
      <c r="AG209" s="6" t="s">
        <v>5</v>
      </c>
      <c r="AH209" s="33">
        <v>1.41</v>
      </c>
      <c r="AI209" s="33">
        <v>4.12</v>
      </c>
      <c r="AJ209" s="6" t="s">
        <v>5</v>
      </c>
      <c r="AK209" s="6" t="s">
        <v>5</v>
      </c>
      <c r="AL209" s="6" t="s">
        <v>5</v>
      </c>
      <c r="AM209" s="6" t="s">
        <v>5</v>
      </c>
      <c r="AN209" s="4">
        <v>15.7</v>
      </c>
      <c r="AO209" s="38">
        <v>861</v>
      </c>
      <c r="AP209" s="38">
        <v>125</v>
      </c>
      <c r="AQ209" s="4">
        <v>69.599999999999994</v>
      </c>
      <c r="AR209" s="7">
        <v>4.4800000000000004</v>
      </c>
      <c r="AS209" s="38">
        <v>549</v>
      </c>
      <c r="AT209" s="38">
        <v>111</v>
      </c>
      <c r="AU209" s="4">
        <v>71.900000000000006</v>
      </c>
      <c r="AV209" s="7">
        <v>3.58</v>
      </c>
      <c r="AW209" s="6" t="s">
        <v>5</v>
      </c>
      <c r="AX209" s="6" t="s">
        <v>5</v>
      </c>
      <c r="AY209" s="6" t="s">
        <v>5</v>
      </c>
      <c r="AZ209" s="39">
        <v>37.5</v>
      </c>
      <c r="BA209" s="6">
        <v>257</v>
      </c>
      <c r="BB209" s="6" t="s">
        <v>5</v>
      </c>
      <c r="BC209" s="6" t="s">
        <v>5</v>
      </c>
      <c r="BD209" s="6" t="s">
        <v>5</v>
      </c>
      <c r="BE209" s="6" t="s">
        <v>5</v>
      </c>
      <c r="BF209" s="6" t="s">
        <v>5</v>
      </c>
      <c r="BG209" s="6" t="s">
        <v>5</v>
      </c>
      <c r="BH209" s="6" t="s">
        <v>5</v>
      </c>
      <c r="BI209" s="7">
        <v>6.33</v>
      </c>
      <c r="BJ209" s="22">
        <v>0.81899999999999995</v>
      </c>
      <c r="BK209" s="6" t="s">
        <v>5</v>
      </c>
      <c r="BL209" s="2" t="s">
        <v>5</v>
      </c>
      <c r="BM209" s="2" t="s">
        <v>5</v>
      </c>
      <c r="BN209" s="2" t="s">
        <v>5</v>
      </c>
      <c r="BO209" s="2" t="s">
        <v>5</v>
      </c>
      <c r="BP209" s="2" t="s">
        <v>5</v>
      </c>
      <c r="BQ209" s="2" t="s">
        <v>5</v>
      </c>
      <c r="BR209" s="2" t="s">
        <v>5</v>
      </c>
      <c r="BS209" s="2" t="s">
        <v>5</v>
      </c>
      <c r="BT209" s="2" t="s">
        <v>5</v>
      </c>
      <c r="BU209" s="2" t="s">
        <v>5</v>
      </c>
      <c r="BV209" s="2" t="s">
        <v>5</v>
      </c>
      <c r="BW209" s="2" t="s">
        <v>5</v>
      </c>
      <c r="BX209" s="2" t="s">
        <v>5</v>
      </c>
      <c r="BY209" s="25" t="s">
        <v>5</v>
      </c>
      <c r="BZ209" s="25" t="s">
        <v>5</v>
      </c>
      <c r="CA209" s="4">
        <v>46.3</v>
      </c>
      <c r="CB209" s="6" t="s">
        <v>5</v>
      </c>
      <c r="CC209" s="4">
        <v>61.6</v>
      </c>
      <c r="CD209" s="4">
        <v>47.3</v>
      </c>
      <c r="CE209" s="6">
        <v>62.6</v>
      </c>
      <c r="CF209" s="16" t="s">
        <v>5</v>
      </c>
      <c r="CG209" s="5">
        <v>5.5</v>
      </c>
      <c r="CH209" s="18" t="s">
        <v>5</v>
      </c>
      <c r="CV209" s="344" t="str">
        <f t="shared" si="21"/>
        <v>WT10.5X31</v>
      </c>
      <c r="CW209" s="338">
        <v>9.1300000000000008</v>
      </c>
      <c r="DH209" s="397" t="s">
        <v>1457</v>
      </c>
      <c r="DI209" s="398">
        <v>15.6</v>
      </c>
      <c r="DJ209" s="398">
        <v>13.9</v>
      </c>
      <c r="DK209" s="399">
        <v>0.37</v>
      </c>
      <c r="DL209" s="398">
        <v>30.9</v>
      </c>
      <c r="DM209" s="400">
        <v>6.11</v>
      </c>
      <c r="DN209" s="398">
        <v>87.1</v>
      </c>
      <c r="DO209" s="411">
        <v>77.8</v>
      </c>
      <c r="DP209" s="115"/>
      <c r="DQ209" s="428" t="s">
        <v>1445</v>
      </c>
      <c r="DR209" s="429">
        <v>115</v>
      </c>
      <c r="DS209" s="429">
        <v>722</v>
      </c>
      <c r="DT209" s="431"/>
      <c r="DU209" s="431"/>
      <c r="DV209" s="431"/>
      <c r="DW209" s="431"/>
      <c r="DX209" s="432"/>
      <c r="DZ209" s="447" t="s">
        <v>1435</v>
      </c>
      <c r="EA209" s="448">
        <v>82</v>
      </c>
      <c r="EB209" s="448">
        <v>24</v>
      </c>
      <c r="EC209" s="448">
        <v>14.3</v>
      </c>
      <c r="ED209" s="448" t="s">
        <v>1734</v>
      </c>
      <c r="EE209" s="448">
        <v>0.51</v>
      </c>
      <c r="EF209" s="449">
        <v>44928</v>
      </c>
      <c r="EG209" s="449">
        <v>44930</v>
      </c>
      <c r="EH209" s="448">
        <v>10.1</v>
      </c>
      <c r="EI209" s="448" t="s">
        <v>1743</v>
      </c>
      <c r="EJ209" s="448">
        <v>0.85499999999999998</v>
      </c>
      <c r="EK209" s="449">
        <v>45115</v>
      </c>
      <c r="EL209" s="448">
        <v>5.92</v>
      </c>
      <c r="EM209" s="448">
        <v>22.4</v>
      </c>
      <c r="EN209" s="448">
        <v>881</v>
      </c>
      <c r="EO209" s="448">
        <v>123</v>
      </c>
      <c r="EP209" s="448">
        <v>6.05</v>
      </c>
      <c r="EQ209" s="448">
        <v>139</v>
      </c>
      <c r="ER209" s="448">
        <v>148</v>
      </c>
      <c r="ES209" s="448">
        <v>29.3</v>
      </c>
      <c r="ET209" s="448">
        <v>2.48</v>
      </c>
      <c r="EU209" s="450">
        <v>44.8</v>
      </c>
    </row>
    <row r="210" spans="2:151">
      <c r="B210" s="78" t="s">
        <v>145</v>
      </c>
      <c r="C210" s="79" t="s">
        <v>216</v>
      </c>
      <c r="D210" s="80" t="s">
        <v>216</v>
      </c>
      <c r="E210" s="1" t="s">
        <v>4</v>
      </c>
      <c r="F210" s="6">
        <v>130.5</v>
      </c>
      <c r="G210" s="4">
        <v>38.5</v>
      </c>
      <c r="H210" s="3" t="str">
        <f t="shared" si="20"/>
        <v>WT15X130.5</v>
      </c>
      <c r="I210" s="4">
        <v>15.8</v>
      </c>
      <c r="J210" s="5">
        <v>15.75</v>
      </c>
      <c r="K210" s="6" t="s">
        <v>5</v>
      </c>
      <c r="L210" s="6" t="s">
        <v>5</v>
      </c>
      <c r="M210" s="6" t="s">
        <v>5</v>
      </c>
      <c r="N210" s="4">
        <v>15.2</v>
      </c>
      <c r="O210" s="5">
        <v>15.125</v>
      </c>
      <c r="P210" s="5" t="s">
        <v>5</v>
      </c>
      <c r="Q210" s="6" t="s">
        <v>5</v>
      </c>
      <c r="R210" s="6" t="s">
        <v>5</v>
      </c>
      <c r="S210" s="22">
        <v>0.93</v>
      </c>
      <c r="T210" s="5">
        <v>0.9375</v>
      </c>
      <c r="U210" s="8">
        <v>0.5</v>
      </c>
      <c r="V210" s="7">
        <v>1.65</v>
      </c>
      <c r="W210" s="8">
        <v>1.625</v>
      </c>
      <c r="X210" s="7">
        <v>1.65</v>
      </c>
      <c r="Y210" s="6" t="s">
        <v>5</v>
      </c>
      <c r="Z210" s="6" t="s">
        <v>5</v>
      </c>
      <c r="AA210" s="33">
        <v>2.44</v>
      </c>
      <c r="AB210" s="34">
        <v>2.9375</v>
      </c>
      <c r="AC210" s="8" t="s">
        <v>5</v>
      </c>
      <c r="AD210" s="6" t="s">
        <v>5</v>
      </c>
      <c r="AE210" s="37">
        <v>3.54</v>
      </c>
      <c r="AF210" s="6" t="s">
        <v>5</v>
      </c>
      <c r="AG210" s="6" t="s">
        <v>5</v>
      </c>
      <c r="AH210" s="33">
        <v>1.27</v>
      </c>
      <c r="AI210" s="33">
        <v>4.59</v>
      </c>
      <c r="AJ210" s="6" t="s">
        <v>5</v>
      </c>
      <c r="AK210" s="6" t="s">
        <v>5</v>
      </c>
      <c r="AL210" s="6" t="s">
        <v>5</v>
      </c>
      <c r="AM210" s="6" t="s">
        <v>5</v>
      </c>
      <c r="AN210" s="4">
        <v>17</v>
      </c>
      <c r="AO210" s="38">
        <v>765</v>
      </c>
      <c r="AP210" s="38">
        <v>112</v>
      </c>
      <c r="AQ210" s="4">
        <v>62.4</v>
      </c>
      <c r="AR210" s="7">
        <v>4.46</v>
      </c>
      <c r="AS210" s="38">
        <v>480</v>
      </c>
      <c r="AT210" s="39">
        <v>97.9</v>
      </c>
      <c r="AU210" s="4">
        <v>63.3</v>
      </c>
      <c r="AV210" s="7">
        <v>3.53</v>
      </c>
      <c r="AW210" s="6" t="s">
        <v>5</v>
      </c>
      <c r="AX210" s="6" t="s">
        <v>5</v>
      </c>
      <c r="AY210" s="6" t="s">
        <v>5</v>
      </c>
      <c r="AZ210" s="39">
        <v>26.9</v>
      </c>
      <c r="BA210" s="6">
        <v>184</v>
      </c>
      <c r="BB210" s="6" t="s">
        <v>5</v>
      </c>
      <c r="BC210" s="6" t="s">
        <v>5</v>
      </c>
      <c r="BD210" s="6" t="s">
        <v>5</v>
      </c>
      <c r="BE210" s="6" t="s">
        <v>5</v>
      </c>
      <c r="BF210" s="6" t="s">
        <v>5</v>
      </c>
      <c r="BG210" s="6" t="s">
        <v>5</v>
      </c>
      <c r="BH210" s="6" t="s">
        <v>5</v>
      </c>
      <c r="BI210" s="7">
        <v>6.3</v>
      </c>
      <c r="BJ210" s="22">
        <v>0.81499999999999995</v>
      </c>
      <c r="BK210" s="6" t="s">
        <v>5</v>
      </c>
      <c r="BL210" s="2" t="s">
        <v>5</v>
      </c>
      <c r="BM210" s="2" t="s">
        <v>5</v>
      </c>
      <c r="BN210" s="2" t="s">
        <v>5</v>
      </c>
      <c r="BO210" s="2" t="s">
        <v>5</v>
      </c>
      <c r="BP210" s="2" t="s">
        <v>5</v>
      </c>
      <c r="BQ210" s="2" t="s">
        <v>5</v>
      </c>
      <c r="BR210" s="2" t="s">
        <v>5</v>
      </c>
      <c r="BS210" s="2" t="s">
        <v>5</v>
      </c>
      <c r="BT210" s="2" t="s">
        <v>5</v>
      </c>
      <c r="BU210" s="2" t="s">
        <v>5</v>
      </c>
      <c r="BV210" s="2" t="s">
        <v>5</v>
      </c>
      <c r="BW210" s="2" t="s">
        <v>5</v>
      </c>
      <c r="BX210" s="2" t="s">
        <v>5</v>
      </c>
      <c r="BY210" s="25" t="s">
        <v>5</v>
      </c>
      <c r="BZ210" s="25" t="s">
        <v>5</v>
      </c>
      <c r="CA210" s="4">
        <v>45.8</v>
      </c>
      <c r="CB210" s="6" t="s">
        <v>5</v>
      </c>
      <c r="CC210" s="4">
        <v>61</v>
      </c>
      <c r="CD210" s="4">
        <v>46.8</v>
      </c>
      <c r="CE210" s="4">
        <v>62</v>
      </c>
      <c r="CF210" s="16" t="s">
        <v>5</v>
      </c>
      <c r="CG210" s="5">
        <v>5.5</v>
      </c>
      <c r="CH210" s="18" t="s">
        <v>5</v>
      </c>
      <c r="CV210" s="344" t="str">
        <f t="shared" si="21"/>
        <v>WT12X31</v>
      </c>
      <c r="CW210" s="338">
        <v>9.11</v>
      </c>
      <c r="DH210" s="397" t="s">
        <v>1462</v>
      </c>
      <c r="DI210" s="398">
        <v>14.1</v>
      </c>
      <c r="DJ210" s="398">
        <v>13.8</v>
      </c>
      <c r="DK210" s="399">
        <v>0.34</v>
      </c>
      <c r="DL210" s="398">
        <v>33.6</v>
      </c>
      <c r="DM210" s="400">
        <v>6.75</v>
      </c>
      <c r="DN210" s="398">
        <v>78.400000000000006</v>
      </c>
      <c r="DO210" s="411">
        <v>70.2</v>
      </c>
      <c r="DP210" s="115"/>
      <c r="DQ210" s="428" t="s">
        <v>1446</v>
      </c>
      <c r="DR210" s="429">
        <v>113</v>
      </c>
      <c r="DS210" s="429">
        <v>534</v>
      </c>
      <c r="DT210" s="431"/>
      <c r="DU210" s="431"/>
      <c r="DV210" s="431"/>
      <c r="DW210" s="431"/>
      <c r="DX210" s="432"/>
      <c r="DZ210" s="447" t="s">
        <v>1442</v>
      </c>
      <c r="EA210" s="448">
        <v>74</v>
      </c>
      <c r="EB210" s="448">
        <v>21.8</v>
      </c>
      <c r="EC210" s="448">
        <v>14.2</v>
      </c>
      <c r="ED210" s="448" t="s">
        <v>1737</v>
      </c>
      <c r="EE210" s="448">
        <v>0.45</v>
      </c>
      <c r="EF210" s="449">
        <v>45123</v>
      </c>
      <c r="EG210" s="449">
        <v>44930</v>
      </c>
      <c r="EH210" s="448">
        <v>10.1</v>
      </c>
      <c r="EI210" s="448" t="s">
        <v>1743</v>
      </c>
      <c r="EJ210" s="448">
        <v>0.78500000000000003</v>
      </c>
      <c r="EK210" s="448" t="s">
        <v>1620</v>
      </c>
      <c r="EL210" s="448">
        <v>6.41</v>
      </c>
      <c r="EM210" s="448">
        <v>25.4</v>
      </c>
      <c r="EN210" s="448">
        <v>795</v>
      </c>
      <c r="EO210" s="448">
        <v>112</v>
      </c>
      <c r="EP210" s="448">
        <v>6.04</v>
      </c>
      <c r="EQ210" s="448">
        <v>126</v>
      </c>
      <c r="ER210" s="448">
        <v>134</v>
      </c>
      <c r="ES210" s="448">
        <v>26.6</v>
      </c>
      <c r="ET210" s="448">
        <v>2.48</v>
      </c>
      <c r="EU210" s="450">
        <v>40.5</v>
      </c>
    </row>
    <row r="211" spans="2:151">
      <c r="B211" s="78" t="s">
        <v>145</v>
      </c>
      <c r="C211" s="79" t="s">
        <v>217</v>
      </c>
      <c r="D211" s="80" t="s">
        <v>217</v>
      </c>
      <c r="E211" s="1" t="s">
        <v>4</v>
      </c>
      <c r="F211" s="6">
        <v>117.5</v>
      </c>
      <c r="G211" s="4">
        <v>34.700000000000003</v>
      </c>
      <c r="H211" s="3" t="str">
        <f t="shared" si="20"/>
        <v>WT15X117.5</v>
      </c>
      <c r="I211" s="4">
        <v>15.7</v>
      </c>
      <c r="J211" s="5">
        <v>15.625</v>
      </c>
      <c r="K211" s="6" t="s">
        <v>5</v>
      </c>
      <c r="L211" s="6" t="s">
        <v>5</v>
      </c>
      <c r="M211" s="6" t="s">
        <v>5</v>
      </c>
      <c r="N211" s="4">
        <v>15.1</v>
      </c>
      <c r="O211" s="5">
        <v>15</v>
      </c>
      <c r="P211" s="5" t="s">
        <v>5</v>
      </c>
      <c r="Q211" s="6" t="s">
        <v>5</v>
      </c>
      <c r="R211" s="6" t="s">
        <v>5</v>
      </c>
      <c r="S211" s="22">
        <v>0.83</v>
      </c>
      <c r="T211" s="5">
        <v>0.8125</v>
      </c>
      <c r="U211" s="8">
        <v>0.4375</v>
      </c>
      <c r="V211" s="7">
        <v>1.5</v>
      </c>
      <c r="W211" s="8">
        <v>1.5</v>
      </c>
      <c r="X211" s="7">
        <v>1.5</v>
      </c>
      <c r="Y211" s="6" t="s">
        <v>5</v>
      </c>
      <c r="Z211" s="6" t="s">
        <v>5</v>
      </c>
      <c r="AA211" s="33">
        <v>2.29</v>
      </c>
      <c r="AB211" s="34">
        <v>2.75</v>
      </c>
      <c r="AC211" s="8" t="s">
        <v>5</v>
      </c>
      <c r="AD211" s="6" t="s">
        <v>5</v>
      </c>
      <c r="AE211" s="37">
        <v>3.41</v>
      </c>
      <c r="AF211" s="6" t="s">
        <v>5</v>
      </c>
      <c r="AG211" s="6" t="s">
        <v>5</v>
      </c>
      <c r="AH211" s="33">
        <v>1.1499999999999999</v>
      </c>
      <c r="AI211" s="33">
        <v>5.0199999999999996</v>
      </c>
      <c r="AJ211" s="6" t="s">
        <v>5</v>
      </c>
      <c r="AK211" s="6" t="s">
        <v>5</v>
      </c>
      <c r="AL211" s="6" t="s">
        <v>5</v>
      </c>
      <c r="AM211" s="6" t="s">
        <v>5</v>
      </c>
      <c r="AN211" s="4">
        <v>18.899999999999999</v>
      </c>
      <c r="AO211" s="38">
        <v>674</v>
      </c>
      <c r="AP211" s="39">
        <v>98.2</v>
      </c>
      <c r="AQ211" s="4">
        <v>55.1</v>
      </c>
      <c r="AR211" s="7">
        <v>4.41</v>
      </c>
      <c r="AS211" s="38">
        <v>427</v>
      </c>
      <c r="AT211" s="39">
        <v>87.5</v>
      </c>
      <c r="AU211" s="4">
        <v>56.8</v>
      </c>
      <c r="AV211" s="7">
        <v>3.51</v>
      </c>
      <c r="AW211" s="6" t="s">
        <v>5</v>
      </c>
      <c r="AX211" s="6" t="s">
        <v>5</v>
      </c>
      <c r="AY211" s="6" t="s">
        <v>5</v>
      </c>
      <c r="AZ211" s="39">
        <v>20.100000000000001</v>
      </c>
      <c r="BA211" s="6">
        <v>133</v>
      </c>
      <c r="BB211" s="6" t="s">
        <v>5</v>
      </c>
      <c r="BC211" s="6" t="s">
        <v>5</v>
      </c>
      <c r="BD211" s="6" t="s">
        <v>5</v>
      </c>
      <c r="BE211" s="6" t="s">
        <v>5</v>
      </c>
      <c r="BF211" s="6" t="s">
        <v>5</v>
      </c>
      <c r="BG211" s="6" t="s">
        <v>5</v>
      </c>
      <c r="BH211" s="6" t="s">
        <v>5</v>
      </c>
      <c r="BI211" s="7">
        <v>6.24</v>
      </c>
      <c r="BJ211" s="22">
        <v>0.81799999999999995</v>
      </c>
      <c r="BK211" s="6" t="s">
        <v>5</v>
      </c>
      <c r="BL211" s="2" t="s">
        <v>5</v>
      </c>
      <c r="BM211" s="2" t="s">
        <v>5</v>
      </c>
      <c r="BN211" s="2" t="s">
        <v>5</v>
      </c>
      <c r="BO211" s="2" t="s">
        <v>5</v>
      </c>
      <c r="BP211" s="2" t="s">
        <v>5</v>
      </c>
      <c r="BQ211" s="2" t="s">
        <v>5</v>
      </c>
      <c r="BR211" s="2" t="s">
        <v>5</v>
      </c>
      <c r="BS211" s="2" t="s">
        <v>5</v>
      </c>
      <c r="BT211" s="2" t="s">
        <v>5</v>
      </c>
      <c r="BU211" s="2" t="s">
        <v>5</v>
      </c>
      <c r="BV211" s="2" t="s">
        <v>5</v>
      </c>
      <c r="BW211" s="2" t="s">
        <v>5</v>
      </c>
      <c r="BX211" s="2" t="s">
        <v>5</v>
      </c>
      <c r="BY211" s="25" t="s">
        <v>5</v>
      </c>
      <c r="BZ211" s="25" t="s">
        <v>5</v>
      </c>
      <c r="CA211" s="4">
        <v>45.5</v>
      </c>
      <c r="CB211" s="6" t="s">
        <v>5</v>
      </c>
      <c r="CC211" s="4">
        <v>60.6</v>
      </c>
      <c r="CD211" s="4">
        <v>46.499999999999993</v>
      </c>
      <c r="CE211" s="6">
        <v>61.599999999999994</v>
      </c>
      <c r="CF211" s="16" t="s">
        <v>5</v>
      </c>
      <c r="CG211" s="5">
        <v>5.5</v>
      </c>
      <c r="CH211" s="18" t="s">
        <v>5</v>
      </c>
      <c r="CV211" s="344" t="str">
        <f t="shared" si="21"/>
        <v>WT7X30.5</v>
      </c>
      <c r="CW211" s="338">
        <v>8.9600000000000009</v>
      </c>
      <c r="DH211" s="397" t="s">
        <v>1468</v>
      </c>
      <c r="DI211" s="398">
        <v>12.6</v>
      </c>
      <c r="DJ211" s="398">
        <v>13.7</v>
      </c>
      <c r="DK211" s="399">
        <v>0.30499999999999999</v>
      </c>
      <c r="DL211" s="398">
        <v>37.4</v>
      </c>
      <c r="DM211" s="400">
        <v>7.54</v>
      </c>
      <c r="DN211" s="398">
        <v>69.599999999999994</v>
      </c>
      <c r="DO211" s="411">
        <v>62.6</v>
      </c>
      <c r="DP211" s="115"/>
      <c r="DQ211" s="428" t="s">
        <v>1447</v>
      </c>
      <c r="DR211" s="429">
        <v>112</v>
      </c>
      <c r="DS211" s="429">
        <v>890</v>
      </c>
      <c r="DT211" s="431"/>
      <c r="DU211" s="431"/>
      <c r="DV211" s="431"/>
      <c r="DW211" s="431"/>
      <c r="DX211" s="432"/>
      <c r="DZ211" s="447" t="s">
        <v>1445</v>
      </c>
      <c r="EA211" s="448">
        <v>68</v>
      </c>
      <c r="EB211" s="448">
        <v>20</v>
      </c>
      <c r="EC211" s="448">
        <v>14</v>
      </c>
      <c r="ED211" s="448">
        <v>14</v>
      </c>
      <c r="EE211" s="448">
        <v>0.41499999999999998</v>
      </c>
      <c r="EF211" s="449">
        <v>45123</v>
      </c>
      <c r="EG211" s="449">
        <v>44930</v>
      </c>
      <c r="EH211" s="448">
        <v>10</v>
      </c>
      <c r="EI211" s="448">
        <v>10</v>
      </c>
      <c r="EJ211" s="448">
        <v>0.72</v>
      </c>
      <c r="EK211" s="449">
        <v>44989</v>
      </c>
      <c r="EL211" s="448">
        <v>6.97</v>
      </c>
      <c r="EM211" s="448">
        <v>27.5</v>
      </c>
      <c r="EN211" s="448">
        <v>722</v>
      </c>
      <c r="EO211" s="448">
        <v>103</v>
      </c>
      <c r="EP211" s="448">
        <v>6.01</v>
      </c>
      <c r="EQ211" s="448">
        <v>115</v>
      </c>
      <c r="ER211" s="448">
        <v>121</v>
      </c>
      <c r="ES211" s="448">
        <v>24.2</v>
      </c>
      <c r="ET211" s="448">
        <v>2.46</v>
      </c>
      <c r="EU211" s="450">
        <v>36.9</v>
      </c>
    </row>
    <row r="212" spans="2:151">
      <c r="B212" s="78" t="s">
        <v>145</v>
      </c>
      <c r="C212" s="79" t="s">
        <v>218</v>
      </c>
      <c r="D212" s="80" t="s">
        <v>218</v>
      </c>
      <c r="E212" s="1" t="s">
        <v>4</v>
      </c>
      <c r="F212" s="6">
        <v>105.5</v>
      </c>
      <c r="G212" s="4">
        <v>31.1</v>
      </c>
      <c r="H212" s="3" t="str">
        <f t="shared" si="20"/>
        <v>WT15X105.5</v>
      </c>
      <c r="I212" s="4">
        <v>15.5</v>
      </c>
      <c r="J212" s="5">
        <v>15.5</v>
      </c>
      <c r="K212" s="6" t="s">
        <v>5</v>
      </c>
      <c r="L212" s="6" t="s">
        <v>5</v>
      </c>
      <c r="M212" s="6" t="s">
        <v>5</v>
      </c>
      <c r="N212" s="4">
        <v>15.1</v>
      </c>
      <c r="O212" s="5">
        <v>15.125</v>
      </c>
      <c r="P212" s="5" t="s">
        <v>5</v>
      </c>
      <c r="Q212" s="6" t="s">
        <v>5</v>
      </c>
      <c r="R212" s="6" t="s">
        <v>5</v>
      </c>
      <c r="S212" s="22">
        <v>0.77500000000000002</v>
      </c>
      <c r="T212" s="5">
        <v>0.75</v>
      </c>
      <c r="U212" s="8">
        <v>0.375</v>
      </c>
      <c r="V212" s="7">
        <v>1.32</v>
      </c>
      <c r="W212" s="8">
        <v>1.3125</v>
      </c>
      <c r="X212" s="7">
        <v>1.32</v>
      </c>
      <c r="Y212" s="6" t="s">
        <v>5</v>
      </c>
      <c r="Z212" s="6" t="s">
        <v>5</v>
      </c>
      <c r="AA212" s="33">
        <v>2.1</v>
      </c>
      <c r="AB212" s="34">
        <v>2.5625</v>
      </c>
      <c r="AC212" s="8" t="s">
        <v>5</v>
      </c>
      <c r="AD212" s="6" t="s">
        <v>5</v>
      </c>
      <c r="AE212" s="37">
        <v>3.39</v>
      </c>
      <c r="AF212" s="6" t="s">
        <v>5</v>
      </c>
      <c r="AG212" s="6" t="s">
        <v>5</v>
      </c>
      <c r="AH212" s="33">
        <v>1.03</v>
      </c>
      <c r="AI212" s="33">
        <v>5.74</v>
      </c>
      <c r="AJ212" s="6" t="s">
        <v>5</v>
      </c>
      <c r="AK212" s="6" t="s">
        <v>5</v>
      </c>
      <c r="AL212" s="6" t="s">
        <v>5</v>
      </c>
      <c r="AM212" s="6" t="s">
        <v>5</v>
      </c>
      <c r="AN212" s="4">
        <v>20</v>
      </c>
      <c r="AO212" s="38">
        <v>610</v>
      </c>
      <c r="AP212" s="39">
        <v>89.5</v>
      </c>
      <c r="AQ212" s="4">
        <v>50.5</v>
      </c>
      <c r="AR212" s="7">
        <v>4.43</v>
      </c>
      <c r="AS212" s="38">
        <v>378</v>
      </c>
      <c r="AT212" s="39">
        <v>77.2</v>
      </c>
      <c r="AU212" s="4">
        <v>50.1</v>
      </c>
      <c r="AV212" s="7">
        <v>3.49</v>
      </c>
      <c r="AW212" s="6" t="s">
        <v>5</v>
      </c>
      <c r="AX212" s="6" t="s">
        <v>5</v>
      </c>
      <c r="AY212" s="6" t="s">
        <v>5</v>
      </c>
      <c r="AZ212" s="39">
        <v>14.1</v>
      </c>
      <c r="BA212" s="4">
        <v>96.4</v>
      </c>
      <c r="BB212" s="6" t="s">
        <v>5</v>
      </c>
      <c r="BC212" s="6" t="s">
        <v>5</v>
      </c>
      <c r="BD212" s="6" t="s">
        <v>5</v>
      </c>
      <c r="BE212" s="6" t="s">
        <v>5</v>
      </c>
      <c r="BF212" s="6" t="s">
        <v>5</v>
      </c>
      <c r="BG212" s="6" t="s">
        <v>5</v>
      </c>
      <c r="BH212" s="6" t="s">
        <v>5</v>
      </c>
      <c r="BI212" s="7">
        <v>6.27</v>
      </c>
      <c r="BJ212" s="22">
        <v>0.80900000000000005</v>
      </c>
      <c r="BK212" s="6" t="s">
        <v>5</v>
      </c>
      <c r="BL212" s="2" t="s">
        <v>5</v>
      </c>
      <c r="BM212" s="2" t="s">
        <v>5</v>
      </c>
      <c r="BN212" s="2" t="s">
        <v>5</v>
      </c>
      <c r="BO212" s="2" t="s">
        <v>5</v>
      </c>
      <c r="BP212" s="2" t="s">
        <v>5</v>
      </c>
      <c r="BQ212" s="2" t="s">
        <v>5</v>
      </c>
      <c r="BR212" s="2" t="s">
        <v>5</v>
      </c>
      <c r="BS212" s="2" t="s">
        <v>5</v>
      </c>
      <c r="BT212" s="2" t="s">
        <v>5</v>
      </c>
      <c r="BU212" s="2" t="s">
        <v>5</v>
      </c>
      <c r="BV212" s="2" t="s">
        <v>5</v>
      </c>
      <c r="BW212" s="2" t="s">
        <v>5</v>
      </c>
      <c r="BX212" s="2" t="s">
        <v>5</v>
      </c>
      <c r="BY212" s="25" t="s">
        <v>5</v>
      </c>
      <c r="BZ212" s="25" t="s">
        <v>5</v>
      </c>
      <c r="CA212" s="4">
        <v>45.1</v>
      </c>
      <c r="CB212" s="6" t="s">
        <v>5</v>
      </c>
      <c r="CC212" s="4">
        <v>60.2</v>
      </c>
      <c r="CD212" s="4">
        <v>46.1</v>
      </c>
      <c r="CE212" s="6">
        <v>61.2</v>
      </c>
      <c r="CF212" s="16" t="s">
        <v>5</v>
      </c>
      <c r="CG212" s="5">
        <v>5.5</v>
      </c>
      <c r="CH212" s="18" t="s">
        <v>5</v>
      </c>
      <c r="CV212" s="344" t="str">
        <f t="shared" si="21"/>
        <v>WT5X30</v>
      </c>
      <c r="CW212" s="338">
        <v>8.84</v>
      </c>
      <c r="DH212" s="397" t="s">
        <v>1473</v>
      </c>
      <c r="DI212" s="398">
        <v>11.2</v>
      </c>
      <c r="DJ212" s="398">
        <v>14.1</v>
      </c>
      <c r="DK212" s="399">
        <v>0.31</v>
      </c>
      <c r="DL212" s="398">
        <v>39.6</v>
      </c>
      <c r="DM212" s="400">
        <v>6.57</v>
      </c>
      <c r="DN212" s="398">
        <v>61.5</v>
      </c>
      <c r="DO212" s="411">
        <v>54.6</v>
      </c>
      <c r="DP212" s="115"/>
      <c r="DQ212" s="428" t="s">
        <v>1434</v>
      </c>
      <c r="DR212" s="429">
        <v>110</v>
      </c>
      <c r="DS212" s="429">
        <v>984</v>
      </c>
      <c r="DT212" s="431"/>
      <c r="DU212" s="431"/>
      <c r="DV212" s="431"/>
      <c r="DW212" s="431"/>
      <c r="DX212" s="432"/>
      <c r="DZ212" s="447" t="s">
        <v>1450</v>
      </c>
      <c r="EA212" s="448">
        <v>61</v>
      </c>
      <c r="EB212" s="448">
        <v>17.899999999999999</v>
      </c>
      <c r="EC212" s="448">
        <v>13.9</v>
      </c>
      <c r="ED212" s="448" t="s">
        <v>1821</v>
      </c>
      <c r="EE212" s="448">
        <v>0.375</v>
      </c>
      <c r="EF212" s="449">
        <v>44993</v>
      </c>
      <c r="EG212" s="449">
        <v>45001</v>
      </c>
      <c r="EH212" s="448">
        <v>10</v>
      </c>
      <c r="EI212" s="448">
        <v>10</v>
      </c>
      <c r="EJ212" s="448">
        <v>0.64500000000000002</v>
      </c>
      <c r="EK212" s="449">
        <v>45054</v>
      </c>
      <c r="EL212" s="448">
        <v>7.75</v>
      </c>
      <c r="EM212" s="448">
        <v>30.4</v>
      </c>
      <c r="EN212" s="448">
        <v>640</v>
      </c>
      <c r="EO212" s="448">
        <v>92.1</v>
      </c>
      <c r="EP212" s="448">
        <v>5.98</v>
      </c>
      <c r="EQ212" s="448">
        <v>102</v>
      </c>
      <c r="ER212" s="448">
        <v>107</v>
      </c>
      <c r="ES212" s="448">
        <v>21.5</v>
      </c>
      <c r="ET212" s="448">
        <v>2.4500000000000002</v>
      </c>
      <c r="EU212" s="450">
        <v>32.799999999999997</v>
      </c>
    </row>
    <row r="213" spans="2:151">
      <c r="B213" s="78" t="s">
        <v>145</v>
      </c>
      <c r="C213" s="79" t="s">
        <v>219</v>
      </c>
      <c r="D213" s="80" t="s">
        <v>219</v>
      </c>
      <c r="E213" s="1" t="s">
        <v>4</v>
      </c>
      <c r="F213" s="4">
        <v>95.5</v>
      </c>
      <c r="G213" s="4">
        <v>28</v>
      </c>
      <c r="H213" s="3" t="str">
        <f t="shared" si="20"/>
        <v>WT15X95.5</v>
      </c>
      <c r="I213" s="4">
        <v>15.3</v>
      </c>
      <c r="J213" s="5">
        <v>15.375</v>
      </c>
      <c r="K213" s="6" t="s">
        <v>5</v>
      </c>
      <c r="L213" s="6" t="s">
        <v>5</v>
      </c>
      <c r="M213" s="6" t="s">
        <v>5</v>
      </c>
      <c r="N213" s="4">
        <v>15</v>
      </c>
      <c r="O213" s="5">
        <v>15</v>
      </c>
      <c r="P213" s="5" t="s">
        <v>5</v>
      </c>
      <c r="Q213" s="6" t="s">
        <v>5</v>
      </c>
      <c r="R213" s="6" t="s">
        <v>5</v>
      </c>
      <c r="S213" s="22">
        <v>0.71</v>
      </c>
      <c r="T213" s="5">
        <v>0.6875</v>
      </c>
      <c r="U213" s="8">
        <v>0.375</v>
      </c>
      <c r="V213" s="7">
        <v>1.19</v>
      </c>
      <c r="W213" s="8">
        <v>1.1875</v>
      </c>
      <c r="X213" s="7">
        <v>1.19</v>
      </c>
      <c r="Y213" s="6" t="s">
        <v>5</v>
      </c>
      <c r="Z213" s="6" t="s">
        <v>5</v>
      </c>
      <c r="AA213" s="33">
        <v>1.97</v>
      </c>
      <c r="AB213" s="34">
        <v>2.5</v>
      </c>
      <c r="AC213" s="8" t="s">
        <v>5</v>
      </c>
      <c r="AD213" s="6" t="s">
        <v>5</v>
      </c>
      <c r="AE213" s="37">
        <v>3.34</v>
      </c>
      <c r="AF213" s="6" t="s">
        <v>5</v>
      </c>
      <c r="AG213" s="6" t="s">
        <v>5</v>
      </c>
      <c r="AH213" s="40">
        <v>0.93500000000000005</v>
      </c>
      <c r="AI213" s="33">
        <v>6.35</v>
      </c>
      <c r="AJ213" s="6" t="s">
        <v>5</v>
      </c>
      <c r="AK213" s="6" t="s">
        <v>5</v>
      </c>
      <c r="AL213" s="6" t="s">
        <v>5</v>
      </c>
      <c r="AM213" s="6" t="s">
        <v>5</v>
      </c>
      <c r="AN213" s="4">
        <v>21.5</v>
      </c>
      <c r="AO213" s="38">
        <v>549</v>
      </c>
      <c r="AP213" s="39">
        <v>80.8</v>
      </c>
      <c r="AQ213" s="4">
        <v>45.7</v>
      </c>
      <c r="AR213" s="7">
        <v>4.42</v>
      </c>
      <c r="AS213" s="38">
        <v>336</v>
      </c>
      <c r="AT213" s="39">
        <v>68.900000000000006</v>
      </c>
      <c r="AU213" s="4">
        <v>44.7</v>
      </c>
      <c r="AV213" s="7">
        <v>3.46</v>
      </c>
      <c r="AW213" s="6" t="s">
        <v>5</v>
      </c>
      <c r="AX213" s="6" t="s">
        <v>5</v>
      </c>
      <c r="AY213" s="6" t="s">
        <v>5</v>
      </c>
      <c r="AZ213" s="39">
        <v>10.5</v>
      </c>
      <c r="BA213" s="4">
        <v>71.2</v>
      </c>
      <c r="BB213" s="6" t="s">
        <v>5</v>
      </c>
      <c r="BC213" s="6" t="s">
        <v>5</v>
      </c>
      <c r="BD213" s="6" t="s">
        <v>5</v>
      </c>
      <c r="BE213" s="6" t="s">
        <v>5</v>
      </c>
      <c r="BF213" s="6" t="s">
        <v>5</v>
      </c>
      <c r="BG213" s="6" t="s">
        <v>5</v>
      </c>
      <c r="BH213" s="6" t="s">
        <v>5</v>
      </c>
      <c r="BI213" s="7">
        <v>6.25</v>
      </c>
      <c r="BJ213" s="22">
        <v>0.80700000000000005</v>
      </c>
      <c r="BK213" s="6" t="s">
        <v>5</v>
      </c>
      <c r="BL213" s="2" t="s">
        <v>5</v>
      </c>
      <c r="BM213" s="2" t="s">
        <v>5</v>
      </c>
      <c r="BN213" s="2" t="s">
        <v>5</v>
      </c>
      <c r="BO213" s="2" t="s">
        <v>5</v>
      </c>
      <c r="BP213" s="2" t="s">
        <v>5</v>
      </c>
      <c r="BQ213" s="2" t="s">
        <v>5</v>
      </c>
      <c r="BR213" s="2" t="s">
        <v>5</v>
      </c>
      <c r="BS213" s="2" t="s">
        <v>5</v>
      </c>
      <c r="BT213" s="2" t="s">
        <v>5</v>
      </c>
      <c r="BU213" s="2" t="s">
        <v>5</v>
      </c>
      <c r="BV213" s="2" t="s">
        <v>5</v>
      </c>
      <c r="BW213" s="2" t="s">
        <v>5</v>
      </c>
      <c r="BX213" s="2" t="s">
        <v>5</v>
      </c>
      <c r="BY213" s="25" t="s">
        <v>5</v>
      </c>
      <c r="BZ213" s="25" t="s">
        <v>5</v>
      </c>
      <c r="CA213" s="4">
        <v>44.6</v>
      </c>
      <c r="CB213" s="6" t="s">
        <v>5</v>
      </c>
      <c r="CC213" s="4">
        <v>59.6</v>
      </c>
      <c r="CD213" s="4">
        <v>45.6</v>
      </c>
      <c r="CE213" s="6">
        <v>60.6</v>
      </c>
      <c r="CF213" s="16" t="s">
        <v>5</v>
      </c>
      <c r="CG213" s="5">
        <v>5.5</v>
      </c>
      <c r="CH213" s="18" t="s">
        <v>5</v>
      </c>
      <c r="CV213" s="344" t="str">
        <f t="shared" si="21"/>
        <v>WT9X30</v>
      </c>
      <c r="CW213" s="338">
        <v>8.82</v>
      </c>
      <c r="DH213" s="397" t="s">
        <v>1478</v>
      </c>
      <c r="DI213" s="398">
        <v>10</v>
      </c>
      <c r="DJ213" s="398">
        <v>14</v>
      </c>
      <c r="DK213" s="399">
        <v>0.28499999999999998</v>
      </c>
      <c r="DL213" s="398">
        <v>43.1</v>
      </c>
      <c r="DM213" s="400">
        <v>7.41</v>
      </c>
      <c r="DN213" s="398">
        <v>54.6</v>
      </c>
      <c r="DO213" s="411">
        <v>48.6</v>
      </c>
      <c r="DP213" s="115"/>
      <c r="DQ213" s="428" t="s">
        <v>1448</v>
      </c>
      <c r="DR213" s="429">
        <v>108</v>
      </c>
      <c r="DS213" s="429">
        <v>597</v>
      </c>
      <c r="DT213" s="431"/>
      <c r="DU213" s="431"/>
      <c r="DV213" s="431"/>
      <c r="DW213" s="431"/>
      <c r="DX213" s="432"/>
      <c r="DZ213" s="447" t="s">
        <v>1457</v>
      </c>
      <c r="EA213" s="448">
        <v>53</v>
      </c>
      <c r="EB213" s="448">
        <v>15.6</v>
      </c>
      <c r="EC213" s="448">
        <v>13.9</v>
      </c>
      <c r="ED213" s="448" t="s">
        <v>1821</v>
      </c>
      <c r="EE213" s="448">
        <v>0.37</v>
      </c>
      <c r="EF213" s="449">
        <v>44993</v>
      </c>
      <c r="EG213" s="449">
        <v>45001</v>
      </c>
      <c r="EH213" s="448">
        <v>8.06</v>
      </c>
      <c r="EI213" s="448">
        <v>8</v>
      </c>
      <c r="EJ213" s="448">
        <v>0.66</v>
      </c>
      <c r="EK213" s="449">
        <v>45246</v>
      </c>
      <c r="EL213" s="448">
        <v>6.11</v>
      </c>
      <c r="EM213" s="448">
        <v>30.9</v>
      </c>
      <c r="EN213" s="448">
        <v>541</v>
      </c>
      <c r="EO213" s="448">
        <v>77.8</v>
      </c>
      <c r="EP213" s="448">
        <v>5.89</v>
      </c>
      <c r="EQ213" s="448">
        <v>87.1</v>
      </c>
      <c r="ER213" s="448">
        <v>57.7</v>
      </c>
      <c r="ES213" s="448">
        <v>14.3</v>
      </c>
      <c r="ET213" s="448">
        <v>1.92</v>
      </c>
      <c r="EU213" s="450">
        <v>22</v>
      </c>
    </row>
    <row r="214" spans="2:151">
      <c r="B214" s="78" t="s">
        <v>145</v>
      </c>
      <c r="C214" s="79" t="s">
        <v>220</v>
      </c>
      <c r="D214" s="80" t="s">
        <v>220</v>
      </c>
      <c r="E214" s="1" t="s">
        <v>4</v>
      </c>
      <c r="F214" s="4">
        <v>86.5</v>
      </c>
      <c r="G214" s="4">
        <v>25.4</v>
      </c>
      <c r="H214" s="3" t="str">
        <f t="shared" si="20"/>
        <v>WT15X86.5</v>
      </c>
      <c r="I214" s="4">
        <v>15.2</v>
      </c>
      <c r="J214" s="5">
        <v>15.25</v>
      </c>
      <c r="K214" s="6" t="s">
        <v>5</v>
      </c>
      <c r="L214" s="6" t="s">
        <v>5</v>
      </c>
      <c r="M214" s="6" t="s">
        <v>5</v>
      </c>
      <c r="N214" s="4">
        <v>15</v>
      </c>
      <c r="O214" s="5">
        <v>15</v>
      </c>
      <c r="P214" s="5" t="s">
        <v>5</v>
      </c>
      <c r="Q214" s="6" t="s">
        <v>5</v>
      </c>
      <c r="R214" s="6" t="s">
        <v>5</v>
      </c>
      <c r="S214" s="22">
        <v>0.65500000000000003</v>
      </c>
      <c r="T214" s="5">
        <v>0.625</v>
      </c>
      <c r="U214" s="8">
        <v>0.3125</v>
      </c>
      <c r="V214" s="7">
        <v>1.07</v>
      </c>
      <c r="W214" s="8">
        <v>1.0625</v>
      </c>
      <c r="X214" s="7">
        <v>1.07</v>
      </c>
      <c r="Y214" s="6" t="s">
        <v>5</v>
      </c>
      <c r="Z214" s="6" t="s">
        <v>5</v>
      </c>
      <c r="AA214" s="33">
        <v>1.85</v>
      </c>
      <c r="AB214" s="34">
        <v>2.3125</v>
      </c>
      <c r="AC214" s="8" t="s">
        <v>5</v>
      </c>
      <c r="AD214" s="6" t="s">
        <v>5</v>
      </c>
      <c r="AE214" s="37">
        <v>3.31</v>
      </c>
      <c r="AF214" s="6" t="s">
        <v>5</v>
      </c>
      <c r="AG214" s="6" t="s">
        <v>5</v>
      </c>
      <c r="AH214" s="40">
        <v>0.85099999999999998</v>
      </c>
      <c r="AI214" s="33">
        <v>7.04</v>
      </c>
      <c r="AJ214" s="6" t="s">
        <v>5</v>
      </c>
      <c r="AK214" s="6" t="s">
        <v>5</v>
      </c>
      <c r="AL214" s="6" t="s">
        <v>5</v>
      </c>
      <c r="AM214" s="6" t="s">
        <v>5</v>
      </c>
      <c r="AN214" s="4">
        <v>23.2</v>
      </c>
      <c r="AO214" s="38">
        <v>497</v>
      </c>
      <c r="AP214" s="39">
        <v>73.5</v>
      </c>
      <c r="AQ214" s="4">
        <v>41.7</v>
      </c>
      <c r="AR214" s="7">
        <v>4.42</v>
      </c>
      <c r="AS214" s="38">
        <v>299</v>
      </c>
      <c r="AT214" s="39">
        <v>61.4</v>
      </c>
      <c r="AU214" s="4">
        <v>39.9</v>
      </c>
      <c r="AV214" s="7">
        <v>3.42</v>
      </c>
      <c r="AW214" s="6" t="s">
        <v>5</v>
      </c>
      <c r="AX214" s="6" t="s">
        <v>5</v>
      </c>
      <c r="AY214" s="6" t="s">
        <v>5</v>
      </c>
      <c r="AZ214" s="33">
        <v>7.78</v>
      </c>
      <c r="BA214" s="4">
        <v>53</v>
      </c>
      <c r="BB214" s="6" t="s">
        <v>5</v>
      </c>
      <c r="BC214" s="6" t="s">
        <v>5</v>
      </c>
      <c r="BD214" s="6" t="s">
        <v>5</v>
      </c>
      <c r="BE214" s="6" t="s">
        <v>5</v>
      </c>
      <c r="BF214" s="6" t="s">
        <v>5</v>
      </c>
      <c r="BG214" s="6" t="s">
        <v>5</v>
      </c>
      <c r="BH214" s="6" t="s">
        <v>5</v>
      </c>
      <c r="BI214" s="7">
        <v>6.24</v>
      </c>
      <c r="BJ214" s="22">
        <v>0.80200000000000005</v>
      </c>
      <c r="BK214" s="6" t="s">
        <v>5</v>
      </c>
      <c r="BL214" s="2" t="s">
        <v>5</v>
      </c>
      <c r="BM214" s="2" t="s">
        <v>5</v>
      </c>
      <c r="BN214" s="2" t="s">
        <v>5</v>
      </c>
      <c r="BO214" s="2" t="s">
        <v>5</v>
      </c>
      <c r="BP214" s="2" t="s">
        <v>5</v>
      </c>
      <c r="BQ214" s="2" t="s">
        <v>5</v>
      </c>
      <c r="BR214" s="2" t="s">
        <v>5</v>
      </c>
      <c r="BS214" s="2" t="s">
        <v>5</v>
      </c>
      <c r="BT214" s="2" t="s">
        <v>5</v>
      </c>
      <c r="BU214" s="2" t="s">
        <v>5</v>
      </c>
      <c r="BV214" s="2" t="s">
        <v>5</v>
      </c>
      <c r="BW214" s="2" t="s">
        <v>5</v>
      </c>
      <c r="BX214" s="2" t="s">
        <v>5</v>
      </c>
      <c r="BY214" s="25" t="s">
        <v>5</v>
      </c>
      <c r="BZ214" s="25" t="s">
        <v>5</v>
      </c>
      <c r="CA214" s="4">
        <v>44.4</v>
      </c>
      <c r="CB214" s="6" t="s">
        <v>5</v>
      </c>
      <c r="CC214" s="4">
        <v>59.4</v>
      </c>
      <c r="CD214" s="4">
        <v>45.4</v>
      </c>
      <c r="CE214" s="6">
        <v>60.4</v>
      </c>
      <c r="CF214" s="16" t="s">
        <v>5</v>
      </c>
      <c r="CG214" s="5">
        <v>5.5</v>
      </c>
      <c r="CH214" s="18" t="s">
        <v>5</v>
      </c>
      <c r="CV214" s="344" t="str">
        <f t="shared" si="21"/>
        <v>WT4X29</v>
      </c>
      <c r="CW214" s="338">
        <v>8.5399999999999991</v>
      </c>
      <c r="DH214" s="397" t="s">
        <v>1482</v>
      </c>
      <c r="DI214" s="400">
        <v>8.85</v>
      </c>
      <c r="DJ214" s="398">
        <v>13.8</v>
      </c>
      <c r="DK214" s="399">
        <v>0.27</v>
      </c>
      <c r="DL214" s="398">
        <v>45.4</v>
      </c>
      <c r="DM214" s="400">
        <v>8.74</v>
      </c>
      <c r="DN214" s="398">
        <v>47.3</v>
      </c>
      <c r="DO214" s="411">
        <v>42</v>
      </c>
      <c r="DP214" s="115"/>
      <c r="DQ214" s="428" t="s">
        <v>1434</v>
      </c>
      <c r="DR214" s="429">
        <v>107</v>
      </c>
      <c r="DS214" s="429">
        <v>959</v>
      </c>
      <c r="DT214" s="431"/>
      <c r="DU214" s="431"/>
      <c r="DV214" s="431"/>
      <c r="DW214" s="431"/>
      <c r="DX214" s="432"/>
      <c r="DZ214" s="447" t="s">
        <v>1462</v>
      </c>
      <c r="EA214" s="448">
        <v>48</v>
      </c>
      <c r="EB214" s="448">
        <v>14.1</v>
      </c>
      <c r="EC214" s="448">
        <v>13.8</v>
      </c>
      <c r="ED214" s="448" t="s">
        <v>1822</v>
      </c>
      <c r="EE214" s="448">
        <v>0.34</v>
      </c>
      <c r="EF214" s="449">
        <v>45062</v>
      </c>
      <c r="EG214" s="449">
        <v>45001</v>
      </c>
      <c r="EH214" s="448">
        <v>8.0299999999999994</v>
      </c>
      <c r="EI214" s="448">
        <v>8</v>
      </c>
      <c r="EJ214" s="448">
        <v>0.59499999999999997</v>
      </c>
      <c r="EK214" s="449">
        <v>45054</v>
      </c>
      <c r="EL214" s="448">
        <v>6.75</v>
      </c>
      <c r="EM214" s="448">
        <v>33.6</v>
      </c>
      <c r="EN214" s="448">
        <v>484</v>
      </c>
      <c r="EO214" s="448">
        <v>70.2</v>
      </c>
      <c r="EP214" s="448">
        <v>5.85</v>
      </c>
      <c r="EQ214" s="448">
        <v>78.400000000000006</v>
      </c>
      <c r="ER214" s="448">
        <v>51.4</v>
      </c>
      <c r="ES214" s="448">
        <v>12.8</v>
      </c>
      <c r="ET214" s="448">
        <v>1.91</v>
      </c>
      <c r="EU214" s="450">
        <v>19.600000000000001</v>
      </c>
    </row>
    <row r="215" spans="2:151">
      <c r="B215" s="78" t="s">
        <v>145</v>
      </c>
      <c r="C215" s="79" t="s">
        <v>221</v>
      </c>
      <c r="D215" s="80" t="s">
        <v>221</v>
      </c>
      <c r="E215" s="1" t="s">
        <v>4</v>
      </c>
      <c r="F215" s="4">
        <v>74</v>
      </c>
      <c r="G215" s="4">
        <v>21.8</v>
      </c>
      <c r="H215" s="3" t="str">
        <f t="shared" si="20"/>
        <v>WT15X74</v>
      </c>
      <c r="I215" s="4">
        <v>15.3</v>
      </c>
      <c r="J215" s="5">
        <v>15.375</v>
      </c>
      <c r="K215" s="6" t="s">
        <v>5</v>
      </c>
      <c r="L215" s="6" t="s">
        <v>5</v>
      </c>
      <c r="M215" s="6" t="s">
        <v>5</v>
      </c>
      <c r="N215" s="4">
        <v>10.5</v>
      </c>
      <c r="O215" s="5">
        <v>10.5</v>
      </c>
      <c r="P215" s="5" t="s">
        <v>5</v>
      </c>
      <c r="Q215" s="6" t="s">
        <v>5</v>
      </c>
      <c r="R215" s="6" t="s">
        <v>5</v>
      </c>
      <c r="S215" s="22">
        <v>0.65</v>
      </c>
      <c r="T215" s="5">
        <v>0.625</v>
      </c>
      <c r="U215" s="8">
        <v>0.3125</v>
      </c>
      <c r="V215" s="7">
        <v>1.18</v>
      </c>
      <c r="W215" s="8">
        <v>1.1875</v>
      </c>
      <c r="X215" s="7">
        <v>1.18</v>
      </c>
      <c r="Y215" s="6" t="s">
        <v>5</v>
      </c>
      <c r="Z215" s="6" t="s">
        <v>5</v>
      </c>
      <c r="AA215" s="33">
        <v>1.83</v>
      </c>
      <c r="AB215" s="34">
        <v>2.5</v>
      </c>
      <c r="AC215" s="8" t="s">
        <v>5</v>
      </c>
      <c r="AD215" s="6" t="s">
        <v>5</v>
      </c>
      <c r="AE215" s="37">
        <v>3.84</v>
      </c>
      <c r="AF215" s="6" t="s">
        <v>5</v>
      </c>
      <c r="AG215" s="6" t="s">
        <v>5</v>
      </c>
      <c r="AH215" s="33">
        <v>1.04</v>
      </c>
      <c r="AI215" s="33">
        <v>4.4400000000000004</v>
      </c>
      <c r="AJ215" s="6" t="s">
        <v>5</v>
      </c>
      <c r="AK215" s="6" t="s">
        <v>5</v>
      </c>
      <c r="AL215" s="6" t="s">
        <v>5</v>
      </c>
      <c r="AM215" s="6" t="s">
        <v>5</v>
      </c>
      <c r="AN215" s="4">
        <v>23.5</v>
      </c>
      <c r="AO215" s="38">
        <v>466</v>
      </c>
      <c r="AP215" s="39">
        <v>72.2</v>
      </c>
      <c r="AQ215" s="4">
        <v>40.6</v>
      </c>
      <c r="AR215" s="7">
        <v>4.63</v>
      </c>
      <c r="AS215" s="38">
        <v>114</v>
      </c>
      <c r="AT215" s="39">
        <v>33.9</v>
      </c>
      <c r="AU215" s="4">
        <v>21.7</v>
      </c>
      <c r="AV215" s="7">
        <v>2.2799999999999998</v>
      </c>
      <c r="AW215" s="6" t="s">
        <v>5</v>
      </c>
      <c r="AX215" s="6" t="s">
        <v>5</v>
      </c>
      <c r="AY215" s="6" t="s">
        <v>5</v>
      </c>
      <c r="AZ215" s="33">
        <v>7.24</v>
      </c>
      <c r="BA215" s="4">
        <v>37.6</v>
      </c>
      <c r="BB215" s="6" t="s">
        <v>5</v>
      </c>
      <c r="BC215" s="6" t="s">
        <v>5</v>
      </c>
      <c r="BD215" s="6" t="s">
        <v>5</v>
      </c>
      <c r="BE215" s="6" t="s">
        <v>5</v>
      </c>
      <c r="BF215" s="6" t="s">
        <v>5</v>
      </c>
      <c r="BG215" s="6" t="s">
        <v>5</v>
      </c>
      <c r="BH215" s="6" t="s">
        <v>5</v>
      </c>
      <c r="BI215" s="7">
        <v>6.1</v>
      </c>
      <c r="BJ215" s="22">
        <v>0.71599999999999997</v>
      </c>
      <c r="BK215" s="6" t="s">
        <v>5</v>
      </c>
      <c r="BL215" s="2" t="s">
        <v>5</v>
      </c>
      <c r="BM215" s="2" t="s">
        <v>5</v>
      </c>
      <c r="BN215" s="2" t="s">
        <v>5</v>
      </c>
      <c r="BO215" s="2" t="s">
        <v>5</v>
      </c>
      <c r="BP215" s="2" t="s">
        <v>5</v>
      </c>
      <c r="BQ215" s="2" t="s">
        <v>5</v>
      </c>
      <c r="BR215" s="2" t="s">
        <v>5</v>
      </c>
      <c r="BS215" s="2" t="s">
        <v>5</v>
      </c>
      <c r="BT215" s="2" t="s">
        <v>5</v>
      </c>
      <c r="BU215" s="2" t="s">
        <v>5</v>
      </c>
      <c r="BV215" s="2" t="s">
        <v>5</v>
      </c>
      <c r="BW215" s="2" t="s">
        <v>5</v>
      </c>
      <c r="BX215" s="2" t="s">
        <v>5</v>
      </c>
      <c r="BY215" s="25" t="s">
        <v>5</v>
      </c>
      <c r="BZ215" s="25" t="s">
        <v>5</v>
      </c>
      <c r="CA215" s="4">
        <v>40.1</v>
      </c>
      <c r="CB215" s="6" t="s">
        <v>5</v>
      </c>
      <c r="CC215" s="4">
        <v>50.6</v>
      </c>
      <c r="CD215" s="4">
        <v>41.1</v>
      </c>
      <c r="CE215" s="6">
        <v>51.6</v>
      </c>
      <c r="CF215" s="16" t="s">
        <v>5</v>
      </c>
      <c r="CG215" s="5">
        <v>5.5</v>
      </c>
      <c r="CH215" s="18" t="s">
        <v>5</v>
      </c>
      <c r="CV215" s="344" t="str">
        <f t="shared" si="21"/>
        <v>WT6X29</v>
      </c>
      <c r="CW215" s="338">
        <v>8.52</v>
      </c>
      <c r="DH215" s="397" t="s">
        <v>1486</v>
      </c>
      <c r="DI215" s="400">
        <v>7.69</v>
      </c>
      <c r="DJ215" s="398">
        <v>13.9</v>
      </c>
      <c r="DK215" s="399">
        <v>0.255</v>
      </c>
      <c r="DL215" s="398">
        <v>48.1</v>
      </c>
      <c r="DM215" s="400">
        <v>5.98</v>
      </c>
      <c r="DN215" s="398">
        <v>40.200000000000003</v>
      </c>
      <c r="DO215" s="411">
        <v>35.299999999999997</v>
      </c>
      <c r="DP215" s="115"/>
      <c r="DQ215" s="428" t="s">
        <v>1449</v>
      </c>
      <c r="DR215" s="429">
        <v>105</v>
      </c>
      <c r="DS215" s="429">
        <v>758</v>
      </c>
      <c r="DT215" s="431"/>
      <c r="DU215" s="431"/>
      <c r="DV215" s="431"/>
      <c r="DW215" s="431"/>
      <c r="DX215" s="432"/>
      <c r="DZ215" s="447" t="s">
        <v>1468</v>
      </c>
      <c r="EA215" s="448">
        <v>43</v>
      </c>
      <c r="EB215" s="448">
        <v>12.6</v>
      </c>
      <c r="EC215" s="448">
        <v>13.7</v>
      </c>
      <c r="ED215" s="448" t="s">
        <v>1747</v>
      </c>
      <c r="EE215" s="448">
        <v>0.30499999999999999</v>
      </c>
      <c r="EF215" s="449">
        <v>45062</v>
      </c>
      <c r="EG215" s="449">
        <v>45001</v>
      </c>
      <c r="EH215" s="448">
        <v>8</v>
      </c>
      <c r="EI215" s="448">
        <v>8</v>
      </c>
      <c r="EJ215" s="448">
        <v>0.53</v>
      </c>
      <c r="EK215" s="449">
        <v>44928</v>
      </c>
      <c r="EL215" s="448">
        <v>7.54</v>
      </c>
      <c r="EM215" s="448">
        <v>37.4</v>
      </c>
      <c r="EN215" s="448">
        <v>428</v>
      </c>
      <c r="EO215" s="448">
        <v>62.6</v>
      </c>
      <c r="EP215" s="448">
        <v>5.82</v>
      </c>
      <c r="EQ215" s="448">
        <v>69.599999999999994</v>
      </c>
      <c r="ER215" s="448">
        <v>45.2</v>
      </c>
      <c r="ES215" s="448">
        <v>11.3</v>
      </c>
      <c r="ET215" s="448">
        <v>1.89</v>
      </c>
      <c r="EU215" s="450">
        <v>17.3</v>
      </c>
    </row>
    <row r="216" spans="2:151">
      <c r="B216" s="78" t="s">
        <v>145</v>
      </c>
      <c r="C216" s="79" t="s">
        <v>222</v>
      </c>
      <c r="D216" s="80" t="s">
        <v>222</v>
      </c>
      <c r="E216" s="1" t="s">
        <v>4</v>
      </c>
      <c r="F216" s="4">
        <v>66</v>
      </c>
      <c r="G216" s="4">
        <v>19.5</v>
      </c>
      <c r="H216" s="3" t="str">
        <f t="shared" si="20"/>
        <v>WT15X66</v>
      </c>
      <c r="I216" s="4">
        <v>15.2</v>
      </c>
      <c r="J216" s="5">
        <v>15.125</v>
      </c>
      <c r="K216" s="6" t="s">
        <v>5</v>
      </c>
      <c r="L216" s="6" t="s">
        <v>5</v>
      </c>
      <c r="M216" s="6" t="s">
        <v>5</v>
      </c>
      <c r="N216" s="4">
        <v>10.5</v>
      </c>
      <c r="O216" s="5">
        <v>10.5</v>
      </c>
      <c r="P216" s="5" t="s">
        <v>5</v>
      </c>
      <c r="Q216" s="6" t="s">
        <v>5</v>
      </c>
      <c r="R216" s="6" t="s">
        <v>5</v>
      </c>
      <c r="S216" s="22">
        <v>0.61499999999999999</v>
      </c>
      <c r="T216" s="5">
        <v>0.625</v>
      </c>
      <c r="U216" s="8">
        <v>0.3125</v>
      </c>
      <c r="V216" s="7">
        <v>1</v>
      </c>
      <c r="W216" s="8">
        <v>1</v>
      </c>
      <c r="X216" s="7">
        <v>1</v>
      </c>
      <c r="Y216" s="6" t="s">
        <v>5</v>
      </c>
      <c r="Z216" s="6" t="s">
        <v>5</v>
      </c>
      <c r="AA216" s="33">
        <v>1.65</v>
      </c>
      <c r="AB216" s="34">
        <v>2.25</v>
      </c>
      <c r="AC216" s="8" t="s">
        <v>5</v>
      </c>
      <c r="AD216" s="6" t="s">
        <v>5</v>
      </c>
      <c r="AE216" s="37">
        <v>3.9</v>
      </c>
      <c r="AF216" s="6" t="s">
        <v>5</v>
      </c>
      <c r="AG216" s="6" t="s">
        <v>5</v>
      </c>
      <c r="AH216" s="40">
        <v>0.92100000000000004</v>
      </c>
      <c r="AI216" s="33">
        <v>5.27</v>
      </c>
      <c r="AJ216" s="6" t="s">
        <v>5</v>
      </c>
      <c r="AK216" s="6" t="s">
        <v>5</v>
      </c>
      <c r="AL216" s="6" t="s">
        <v>5</v>
      </c>
      <c r="AM216" s="6" t="s">
        <v>5</v>
      </c>
      <c r="AN216" s="4">
        <v>24.7</v>
      </c>
      <c r="AO216" s="38">
        <v>421</v>
      </c>
      <c r="AP216" s="39">
        <v>66.8</v>
      </c>
      <c r="AQ216" s="4">
        <v>37.4</v>
      </c>
      <c r="AR216" s="7">
        <v>4.66</v>
      </c>
      <c r="AS216" s="39">
        <v>98</v>
      </c>
      <c r="AT216" s="39">
        <v>29.2</v>
      </c>
      <c r="AU216" s="4">
        <v>18.600000000000001</v>
      </c>
      <c r="AV216" s="7">
        <v>2.25</v>
      </c>
      <c r="AW216" s="6" t="s">
        <v>5</v>
      </c>
      <c r="AX216" s="6" t="s">
        <v>5</v>
      </c>
      <c r="AY216" s="6" t="s">
        <v>5</v>
      </c>
      <c r="AZ216" s="33">
        <v>4.8499999999999996</v>
      </c>
      <c r="BA216" s="4">
        <v>28.5</v>
      </c>
      <c r="BB216" s="6" t="s">
        <v>5</v>
      </c>
      <c r="BC216" s="6" t="s">
        <v>5</v>
      </c>
      <c r="BD216" s="6" t="s">
        <v>5</v>
      </c>
      <c r="BE216" s="6" t="s">
        <v>5</v>
      </c>
      <c r="BF216" s="6" t="s">
        <v>5</v>
      </c>
      <c r="BG216" s="6" t="s">
        <v>5</v>
      </c>
      <c r="BH216" s="6" t="s">
        <v>5</v>
      </c>
      <c r="BI216" s="7">
        <v>6.19</v>
      </c>
      <c r="BJ216" s="22">
        <v>0.69799999999999995</v>
      </c>
      <c r="BK216" s="6" t="s">
        <v>5</v>
      </c>
      <c r="BL216" s="2" t="s">
        <v>5</v>
      </c>
      <c r="BM216" s="2" t="s">
        <v>5</v>
      </c>
      <c r="BN216" s="2" t="s">
        <v>5</v>
      </c>
      <c r="BO216" s="2" t="s">
        <v>5</v>
      </c>
      <c r="BP216" s="2" t="s">
        <v>5</v>
      </c>
      <c r="BQ216" s="2" t="s">
        <v>5</v>
      </c>
      <c r="BR216" s="2" t="s">
        <v>5</v>
      </c>
      <c r="BS216" s="2" t="s">
        <v>5</v>
      </c>
      <c r="BT216" s="2" t="s">
        <v>5</v>
      </c>
      <c r="BU216" s="2" t="s">
        <v>5</v>
      </c>
      <c r="BV216" s="2" t="s">
        <v>5</v>
      </c>
      <c r="BW216" s="2" t="s">
        <v>5</v>
      </c>
      <c r="BX216" s="2" t="s">
        <v>5</v>
      </c>
      <c r="BY216" s="25" t="s">
        <v>5</v>
      </c>
      <c r="BZ216" s="25" t="s">
        <v>5</v>
      </c>
      <c r="CA216" s="4">
        <v>39.9</v>
      </c>
      <c r="CB216" s="6" t="s">
        <v>5</v>
      </c>
      <c r="CC216" s="4">
        <v>50.4</v>
      </c>
      <c r="CD216" s="4">
        <v>40.9</v>
      </c>
      <c r="CE216" s="6">
        <v>51.4</v>
      </c>
      <c r="CF216" s="16" t="s">
        <v>5</v>
      </c>
      <c r="CG216" s="5">
        <v>5.5</v>
      </c>
      <c r="CH216" s="18" t="s">
        <v>5</v>
      </c>
      <c r="CV216" s="344" t="str">
        <f t="shared" si="21"/>
        <v>WT8X28.5</v>
      </c>
      <c r="CW216" s="338">
        <v>8.39</v>
      </c>
      <c r="DH216" s="397" t="s">
        <v>1492</v>
      </c>
      <c r="DI216" s="400">
        <v>6.49</v>
      </c>
      <c r="DJ216" s="398">
        <v>13.7</v>
      </c>
      <c r="DK216" s="399">
        <v>0.23</v>
      </c>
      <c r="DL216" s="398">
        <v>53.3</v>
      </c>
      <c r="DM216" s="400">
        <v>7.46</v>
      </c>
      <c r="DN216" s="398">
        <v>33.200000000000003</v>
      </c>
      <c r="DO216" s="411">
        <v>29</v>
      </c>
      <c r="DP216" s="115"/>
      <c r="DQ216" s="428" t="s">
        <v>1450</v>
      </c>
      <c r="DR216" s="429">
        <v>102</v>
      </c>
      <c r="DS216" s="429">
        <v>640</v>
      </c>
      <c r="DT216" s="431"/>
      <c r="DU216" s="431"/>
      <c r="DV216" s="431"/>
      <c r="DW216" s="431"/>
      <c r="DX216" s="432"/>
      <c r="DZ216" s="447" t="s">
        <v>1473</v>
      </c>
      <c r="EA216" s="448">
        <v>38</v>
      </c>
      <c r="EB216" s="448">
        <v>11.2</v>
      </c>
      <c r="EC216" s="448">
        <v>14.1</v>
      </c>
      <c r="ED216" s="448" t="s">
        <v>1737</v>
      </c>
      <c r="EE216" s="448">
        <v>0.31</v>
      </c>
      <c r="EF216" s="449">
        <v>45062</v>
      </c>
      <c r="EG216" s="449">
        <v>45001</v>
      </c>
      <c r="EH216" s="448">
        <v>6.77</v>
      </c>
      <c r="EI216" s="448" t="s">
        <v>1823</v>
      </c>
      <c r="EJ216" s="448">
        <v>0.51500000000000001</v>
      </c>
      <c r="EK216" s="449">
        <v>44928</v>
      </c>
      <c r="EL216" s="448">
        <v>6.57</v>
      </c>
      <c r="EM216" s="448">
        <v>39.6</v>
      </c>
      <c r="EN216" s="448">
        <v>385</v>
      </c>
      <c r="EO216" s="448">
        <v>54.6</v>
      </c>
      <c r="EP216" s="448">
        <v>5.87</v>
      </c>
      <c r="EQ216" s="448">
        <v>61.5</v>
      </c>
      <c r="ER216" s="448">
        <v>26.7</v>
      </c>
      <c r="ES216" s="448">
        <v>7.88</v>
      </c>
      <c r="ET216" s="448">
        <v>1.55</v>
      </c>
      <c r="EU216" s="450">
        <v>12.1</v>
      </c>
    </row>
    <row r="217" spans="2:151">
      <c r="B217" s="78" t="s">
        <v>145</v>
      </c>
      <c r="C217" s="79" t="s">
        <v>223</v>
      </c>
      <c r="D217" s="80" t="s">
        <v>223</v>
      </c>
      <c r="E217" s="1" t="s">
        <v>4</v>
      </c>
      <c r="F217" s="4">
        <v>62</v>
      </c>
      <c r="G217" s="4">
        <v>18.2</v>
      </c>
      <c r="H217" s="3" t="str">
        <f t="shared" si="20"/>
        <v>WT15X62</v>
      </c>
      <c r="I217" s="4">
        <v>15.1</v>
      </c>
      <c r="J217" s="5">
        <v>15.125</v>
      </c>
      <c r="K217" s="6" t="s">
        <v>5</v>
      </c>
      <c r="L217" s="6" t="s">
        <v>5</v>
      </c>
      <c r="M217" s="6" t="s">
        <v>5</v>
      </c>
      <c r="N217" s="4">
        <v>10.5</v>
      </c>
      <c r="O217" s="5">
        <v>10.5</v>
      </c>
      <c r="P217" s="5" t="s">
        <v>5</v>
      </c>
      <c r="Q217" s="6" t="s">
        <v>5</v>
      </c>
      <c r="R217" s="6" t="s">
        <v>5</v>
      </c>
      <c r="S217" s="22">
        <v>0.58499999999999996</v>
      </c>
      <c r="T217" s="5">
        <v>0.5625</v>
      </c>
      <c r="U217" s="8">
        <v>0.3125</v>
      </c>
      <c r="V217" s="22">
        <v>0.93</v>
      </c>
      <c r="W217" s="8">
        <v>0.9375</v>
      </c>
      <c r="X217" s="22">
        <v>0.93</v>
      </c>
      <c r="Y217" s="6" t="s">
        <v>5</v>
      </c>
      <c r="Z217" s="6" t="s">
        <v>5</v>
      </c>
      <c r="AA217" s="33">
        <v>1.58</v>
      </c>
      <c r="AB217" s="34">
        <v>2.25</v>
      </c>
      <c r="AC217" s="8" t="s">
        <v>5</v>
      </c>
      <c r="AD217" s="6" t="s">
        <v>5</v>
      </c>
      <c r="AE217" s="37">
        <v>3.9</v>
      </c>
      <c r="AF217" s="6" t="s">
        <v>5</v>
      </c>
      <c r="AG217" s="6" t="s">
        <v>5</v>
      </c>
      <c r="AH217" s="40">
        <v>0.86699999999999999</v>
      </c>
      <c r="AI217" s="33">
        <v>5.65</v>
      </c>
      <c r="AJ217" s="6" t="s">
        <v>5</v>
      </c>
      <c r="AK217" s="6" t="s">
        <v>5</v>
      </c>
      <c r="AL217" s="6" t="s">
        <v>5</v>
      </c>
      <c r="AM217" s="6" t="s">
        <v>5</v>
      </c>
      <c r="AN217" s="4">
        <v>25.8</v>
      </c>
      <c r="AO217" s="38">
        <v>396</v>
      </c>
      <c r="AP217" s="39">
        <v>63.1</v>
      </c>
      <c r="AQ217" s="4">
        <v>35.299999999999997</v>
      </c>
      <c r="AR217" s="7">
        <v>4.66</v>
      </c>
      <c r="AS217" s="39">
        <v>90.4</v>
      </c>
      <c r="AT217" s="39">
        <v>27</v>
      </c>
      <c r="AU217" s="4">
        <v>17.2</v>
      </c>
      <c r="AV217" s="7">
        <v>2.23</v>
      </c>
      <c r="AW217" s="6" t="s">
        <v>5</v>
      </c>
      <c r="AX217" s="6" t="s">
        <v>5</v>
      </c>
      <c r="AY217" s="6" t="s">
        <v>5</v>
      </c>
      <c r="AZ217" s="33">
        <v>3.98</v>
      </c>
      <c r="BA217" s="4">
        <v>23.9</v>
      </c>
      <c r="BB217" s="6" t="s">
        <v>5</v>
      </c>
      <c r="BC217" s="6" t="s">
        <v>5</v>
      </c>
      <c r="BD217" s="6" t="s">
        <v>5</v>
      </c>
      <c r="BE217" s="6" t="s">
        <v>5</v>
      </c>
      <c r="BF217" s="6" t="s">
        <v>5</v>
      </c>
      <c r="BG217" s="6" t="s">
        <v>5</v>
      </c>
      <c r="BH217" s="6" t="s">
        <v>5</v>
      </c>
      <c r="BI217" s="7">
        <v>6.2</v>
      </c>
      <c r="BJ217" s="22">
        <v>0.69399999999999995</v>
      </c>
      <c r="BK217" s="6" t="s">
        <v>5</v>
      </c>
      <c r="BL217" s="2" t="s">
        <v>5</v>
      </c>
      <c r="BM217" s="2" t="s">
        <v>5</v>
      </c>
      <c r="BN217" s="2" t="s">
        <v>5</v>
      </c>
      <c r="BO217" s="2" t="s">
        <v>5</v>
      </c>
      <c r="BP217" s="2" t="s">
        <v>5</v>
      </c>
      <c r="BQ217" s="2" t="s">
        <v>5</v>
      </c>
      <c r="BR217" s="2" t="s">
        <v>5</v>
      </c>
      <c r="BS217" s="2" t="s">
        <v>5</v>
      </c>
      <c r="BT217" s="2" t="s">
        <v>5</v>
      </c>
      <c r="BU217" s="2" t="s">
        <v>5</v>
      </c>
      <c r="BV217" s="2" t="s">
        <v>5</v>
      </c>
      <c r="BW217" s="2" t="s">
        <v>5</v>
      </c>
      <c r="BX217" s="2" t="s">
        <v>5</v>
      </c>
      <c r="BY217" s="25" t="s">
        <v>5</v>
      </c>
      <c r="BZ217" s="25" t="s">
        <v>5</v>
      </c>
      <c r="CA217" s="4">
        <v>39.700000000000003</v>
      </c>
      <c r="CB217" s="6" t="s">
        <v>5</v>
      </c>
      <c r="CC217" s="4">
        <v>50.2</v>
      </c>
      <c r="CD217" s="4">
        <v>40.700000000000003</v>
      </c>
      <c r="CE217" s="6">
        <v>51.2</v>
      </c>
      <c r="CF217" s="16" t="s">
        <v>5</v>
      </c>
      <c r="CG217" s="5">
        <v>5.5</v>
      </c>
      <c r="CH217" s="18" t="s">
        <v>5</v>
      </c>
      <c r="CV217" s="344" t="str">
        <f t="shared" si="21"/>
        <v>WT10.5X28.5</v>
      </c>
      <c r="CW217" s="338">
        <v>8.3699999999999992</v>
      </c>
      <c r="DH217" s="397" t="s">
        <v>1343</v>
      </c>
      <c r="DI217" s="398">
        <v>98.9</v>
      </c>
      <c r="DJ217" s="398">
        <v>16.8</v>
      </c>
      <c r="DK217" s="400">
        <v>1.78</v>
      </c>
      <c r="DL217" s="400">
        <v>5.47</v>
      </c>
      <c r="DM217" s="400">
        <v>2.2599999999999998</v>
      </c>
      <c r="DN217" s="401">
        <v>603</v>
      </c>
      <c r="DO217" s="402">
        <v>483</v>
      </c>
      <c r="DP217" s="117"/>
      <c r="DQ217" s="428" t="s">
        <v>1451</v>
      </c>
      <c r="DR217" s="429">
        <v>101</v>
      </c>
      <c r="DS217" s="429">
        <v>800</v>
      </c>
      <c r="DT217" s="431"/>
      <c r="DU217" s="431"/>
      <c r="DV217" s="431"/>
      <c r="DW217" s="431"/>
      <c r="DX217" s="432"/>
      <c r="DZ217" s="447" t="s">
        <v>1478</v>
      </c>
      <c r="EA217" s="448">
        <v>34</v>
      </c>
      <c r="EB217" s="448">
        <v>10</v>
      </c>
      <c r="EC217" s="448">
        <v>14</v>
      </c>
      <c r="ED217" s="448">
        <v>14</v>
      </c>
      <c r="EE217" s="448">
        <v>0.28499999999999998</v>
      </c>
      <c r="EF217" s="449">
        <v>45062</v>
      </c>
      <c r="EG217" s="449">
        <v>45001</v>
      </c>
      <c r="EH217" s="448">
        <v>6.75</v>
      </c>
      <c r="EI217" s="448" t="s">
        <v>1823</v>
      </c>
      <c r="EJ217" s="448">
        <v>0.45500000000000002</v>
      </c>
      <c r="EK217" s="449">
        <v>45123</v>
      </c>
      <c r="EL217" s="448">
        <v>7.41</v>
      </c>
      <c r="EM217" s="448">
        <v>43.1</v>
      </c>
      <c r="EN217" s="448">
        <v>340</v>
      </c>
      <c r="EO217" s="448">
        <v>48.6</v>
      </c>
      <c r="EP217" s="448">
        <v>5.83</v>
      </c>
      <c r="EQ217" s="448">
        <v>54.6</v>
      </c>
      <c r="ER217" s="448">
        <v>23.3</v>
      </c>
      <c r="ES217" s="448">
        <v>6.91</v>
      </c>
      <c r="ET217" s="448">
        <v>1.53</v>
      </c>
      <c r="EU217" s="450">
        <v>10.6</v>
      </c>
    </row>
    <row r="218" spans="2:151">
      <c r="B218" s="78" t="s">
        <v>145</v>
      </c>
      <c r="C218" s="79" t="s">
        <v>224</v>
      </c>
      <c r="D218" s="80" t="s">
        <v>224</v>
      </c>
      <c r="E218" s="1" t="s">
        <v>4</v>
      </c>
      <c r="F218" s="4">
        <v>58</v>
      </c>
      <c r="G218" s="4">
        <v>17.100000000000001</v>
      </c>
      <c r="H218" s="3" t="str">
        <f t="shared" si="20"/>
        <v>WT15X58</v>
      </c>
      <c r="I218" s="4">
        <v>15</v>
      </c>
      <c r="J218" s="5">
        <v>15</v>
      </c>
      <c r="K218" s="6" t="s">
        <v>5</v>
      </c>
      <c r="L218" s="6" t="s">
        <v>5</v>
      </c>
      <c r="M218" s="6" t="s">
        <v>5</v>
      </c>
      <c r="N218" s="4">
        <v>10.5</v>
      </c>
      <c r="O218" s="5">
        <v>10.5</v>
      </c>
      <c r="P218" s="5" t="s">
        <v>5</v>
      </c>
      <c r="Q218" s="6" t="s">
        <v>5</v>
      </c>
      <c r="R218" s="6" t="s">
        <v>5</v>
      </c>
      <c r="S218" s="22">
        <v>0.56499999999999995</v>
      </c>
      <c r="T218" s="5">
        <v>0.5625</v>
      </c>
      <c r="U218" s="8">
        <v>0.3125</v>
      </c>
      <c r="V218" s="22">
        <v>0.85</v>
      </c>
      <c r="W218" s="8">
        <v>0.875</v>
      </c>
      <c r="X218" s="22">
        <v>0.85</v>
      </c>
      <c r="Y218" s="6" t="s">
        <v>5</v>
      </c>
      <c r="Z218" s="6" t="s">
        <v>5</v>
      </c>
      <c r="AA218" s="33">
        <v>1.5</v>
      </c>
      <c r="AB218" s="34">
        <v>2.125</v>
      </c>
      <c r="AC218" s="8" t="s">
        <v>5</v>
      </c>
      <c r="AD218" s="6" t="s">
        <v>5</v>
      </c>
      <c r="AE218" s="37">
        <v>3.94</v>
      </c>
      <c r="AF218" s="6" t="s">
        <v>5</v>
      </c>
      <c r="AG218" s="6" t="s">
        <v>5</v>
      </c>
      <c r="AH218" s="40">
        <v>0.81499999999999995</v>
      </c>
      <c r="AI218" s="33">
        <v>6.17</v>
      </c>
      <c r="AJ218" s="6" t="s">
        <v>5</v>
      </c>
      <c r="AK218" s="6" t="s">
        <v>5</v>
      </c>
      <c r="AL218" s="6" t="s">
        <v>5</v>
      </c>
      <c r="AM218" s="6" t="s">
        <v>5</v>
      </c>
      <c r="AN218" s="4">
        <v>26.5</v>
      </c>
      <c r="AO218" s="38">
        <v>373</v>
      </c>
      <c r="AP218" s="39">
        <v>60.4</v>
      </c>
      <c r="AQ218" s="4">
        <v>33.700000000000003</v>
      </c>
      <c r="AR218" s="7">
        <v>4.67</v>
      </c>
      <c r="AS218" s="39">
        <v>82.1</v>
      </c>
      <c r="AT218" s="39">
        <v>24.6</v>
      </c>
      <c r="AU218" s="4">
        <v>15.6</v>
      </c>
      <c r="AV218" s="7">
        <v>2.19</v>
      </c>
      <c r="AW218" s="6" t="s">
        <v>5</v>
      </c>
      <c r="AX218" s="6" t="s">
        <v>5</v>
      </c>
      <c r="AY218" s="6" t="s">
        <v>5</v>
      </c>
      <c r="AZ218" s="33">
        <v>3.21</v>
      </c>
      <c r="BA218" s="4">
        <v>20.5</v>
      </c>
      <c r="BB218" s="6" t="s">
        <v>5</v>
      </c>
      <c r="BC218" s="6" t="s">
        <v>5</v>
      </c>
      <c r="BD218" s="6" t="s">
        <v>5</v>
      </c>
      <c r="BE218" s="6" t="s">
        <v>5</v>
      </c>
      <c r="BF218" s="6" t="s">
        <v>5</v>
      </c>
      <c r="BG218" s="6" t="s">
        <v>5</v>
      </c>
      <c r="BH218" s="6" t="s">
        <v>5</v>
      </c>
      <c r="BI218" s="7">
        <v>6.24</v>
      </c>
      <c r="BJ218" s="22">
        <v>0.68300000000000005</v>
      </c>
      <c r="BK218" s="6" t="s">
        <v>5</v>
      </c>
      <c r="BL218" s="2" t="s">
        <v>5</v>
      </c>
      <c r="BM218" s="2" t="s">
        <v>5</v>
      </c>
      <c r="BN218" s="2" t="s">
        <v>5</v>
      </c>
      <c r="BO218" s="2" t="s">
        <v>5</v>
      </c>
      <c r="BP218" s="2" t="s">
        <v>5</v>
      </c>
      <c r="BQ218" s="2" t="s">
        <v>5</v>
      </c>
      <c r="BR218" s="2" t="s">
        <v>5</v>
      </c>
      <c r="BS218" s="2" t="s">
        <v>5</v>
      </c>
      <c r="BT218" s="2" t="s">
        <v>5</v>
      </c>
      <c r="BU218" s="2" t="s">
        <v>5</v>
      </c>
      <c r="BV218" s="2" t="s">
        <v>5</v>
      </c>
      <c r="BW218" s="2" t="s">
        <v>5</v>
      </c>
      <c r="BX218" s="2" t="s">
        <v>5</v>
      </c>
      <c r="BY218" s="25" t="s">
        <v>5</v>
      </c>
      <c r="BZ218" s="25" t="s">
        <v>5</v>
      </c>
      <c r="CA218" s="4">
        <v>39.5</v>
      </c>
      <c r="CB218" s="6" t="s">
        <v>5</v>
      </c>
      <c r="CC218" s="4">
        <v>50</v>
      </c>
      <c r="CD218" s="4">
        <v>40.5</v>
      </c>
      <c r="CE218" s="4">
        <v>51</v>
      </c>
      <c r="CF218" s="16" t="s">
        <v>5</v>
      </c>
      <c r="CG218" s="5">
        <v>5.5</v>
      </c>
      <c r="CH218" s="18" t="s">
        <v>5</v>
      </c>
      <c r="CV218" s="344" t="str">
        <f t="shared" si="21"/>
        <v>WT12X27.5</v>
      </c>
      <c r="CW218" s="338">
        <v>8.1</v>
      </c>
      <c r="DH218" s="397" t="s">
        <v>1352</v>
      </c>
      <c r="DI218" s="398">
        <v>89.5</v>
      </c>
      <c r="DJ218" s="398">
        <v>16.3</v>
      </c>
      <c r="DK218" s="400">
        <v>1.63</v>
      </c>
      <c r="DL218" s="400">
        <v>5.98</v>
      </c>
      <c r="DM218" s="400">
        <v>2.4500000000000002</v>
      </c>
      <c r="DN218" s="401">
        <v>537</v>
      </c>
      <c r="DO218" s="402">
        <v>435</v>
      </c>
      <c r="DP218" s="117"/>
      <c r="DQ218" s="428" t="s">
        <v>1452</v>
      </c>
      <c r="DR218" s="429">
        <v>97.6</v>
      </c>
      <c r="DS218" s="429">
        <v>455</v>
      </c>
      <c r="DT218" s="431"/>
      <c r="DU218" s="431"/>
      <c r="DV218" s="431"/>
      <c r="DW218" s="431"/>
      <c r="DX218" s="432"/>
      <c r="DZ218" s="447" t="s">
        <v>1482</v>
      </c>
      <c r="EA218" s="448">
        <v>30</v>
      </c>
      <c r="EB218" s="448">
        <v>8.85</v>
      </c>
      <c r="EC218" s="448">
        <v>13.8</v>
      </c>
      <c r="ED218" s="448" t="s">
        <v>1821</v>
      </c>
      <c r="EE218" s="448">
        <v>0.27</v>
      </c>
      <c r="EF218" s="449">
        <v>44930</v>
      </c>
      <c r="EG218" s="449">
        <v>44934</v>
      </c>
      <c r="EH218" s="448">
        <v>6.73</v>
      </c>
      <c r="EI218" s="448" t="s">
        <v>1823</v>
      </c>
      <c r="EJ218" s="448">
        <v>0.38500000000000001</v>
      </c>
      <c r="EK218" s="449">
        <v>44993</v>
      </c>
      <c r="EL218" s="448">
        <v>8.74</v>
      </c>
      <c r="EM218" s="448">
        <v>45.4</v>
      </c>
      <c r="EN218" s="448">
        <v>291</v>
      </c>
      <c r="EO218" s="448">
        <v>42</v>
      </c>
      <c r="EP218" s="448">
        <v>5.73</v>
      </c>
      <c r="EQ218" s="448">
        <v>47.3</v>
      </c>
      <c r="ER218" s="448">
        <v>19.600000000000001</v>
      </c>
      <c r="ES218" s="448">
        <v>5.82</v>
      </c>
      <c r="ET218" s="448">
        <v>1.49</v>
      </c>
      <c r="EU218" s="450">
        <v>8.99</v>
      </c>
    </row>
    <row r="219" spans="2:151">
      <c r="B219" s="78" t="s">
        <v>145</v>
      </c>
      <c r="C219" s="79" t="s">
        <v>225</v>
      </c>
      <c r="D219" s="80" t="s">
        <v>225</v>
      </c>
      <c r="E219" s="1" t="s">
        <v>4</v>
      </c>
      <c r="F219" s="4">
        <v>54</v>
      </c>
      <c r="G219" s="4">
        <v>15.9</v>
      </c>
      <c r="H219" s="3" t="str">
        <f t="shared" si="20"/>
        <v>WT15X54</v>
      </c>
      <c r="I219" s="4">
        <v>14.9</v>
      </c>
      <c r="J219" s="5">
        <v>14.875</v>
      </c>
      <c r="K219" s="6" t="s">
        <v>5</v>
      </c>
      <c r="L219" s="6" t="s">
        <v>5</v>
      </c>
      <c r="M219" s="6" t="s">
        <v>5</v>
      </c>
      <c r="N219" s="4">
        <v>10.5</v>
      </c>
      <c r="O219" s="5">
        <v>10.5</v>
      </c>
      <c r="P219" s="5" t="s">
        <v>5</v>
      </c>
      <c r="Q219" s="6" t="s">
        <v>5</v>
      </c>
      <c r="R219" s="6" t="s">
        <v>5</v>
      </c>
      <c r="S219" s="22">
        <v>0.54500000000000004</v>
      </c>
      <c r="T219" s="5">
        <v>0.5625</v>
      </c>
      <c r="U219" s="8">
        <v>0.3125</v>
      </c>
      <c r="V219" s="22">
        <v>0.76</v>
      </c>
      <c r="W219" s="8">
        <v>0.75</v>
      </c>
      <c r="X219" s="22">
        <v>0.76</v>
      </c>
      <c r="Y219" s="6" t="s">
        <v>5</v>
      </c>
      <c r="Z219" s="6" t="s">
        <v>5</v>
      </c>
      <c r="AA219" s="33">
        <v>1.41</v>
      </c>
      <c r="AB219" s="34">
        <v>2</v>
      </c>
      <c r="AC219" s="8" t="s">
        <v>5</v>
      </c>
      <c r="AD219" s="6" t="s">
        <v>5</v>
      </c>
      <c r="AE219" s="37">
        <v>4.01</v>
      </c>
      <c r="AF219" s="6" t="s">
        <v>5</v>
      </c>
      <c r="AG219" s="6" t="s">
        <v>5</v>
      </c>
      <c r="AH219" s="40">
        <v>0.75700000000000001</v>
      </c>
      <c r="AI219" s="33">
        <v>6.89</v>
      </c>
      <c r="AJ219" s="6" t="s">
        <v>5</v>
      </c>
      <c r="AK219" s="6" t="s">
        <v>5</v>
      </c>
      <c r="AL219" s="6" t="s">
        <v>5</v>
      </c>
      <c r="AM219" s="6" t="s">
        <v>5</v>
      </c>
      <c r="AN219" s="4">
        <v>27.3</v>
      </c>
      <c r="AO219" s="38">
        <v>349</v>
      </c>
      <c r="AP219" s="39">
        <v>57.7</v>
      </c>
      <c r="AQ219" s="4">
        <v>32</v>
      </c>
      <c r="AR219" s="7">
        <v>4.6900000000000004</v>
      </c>
      <c r="AS219" s="39">
        <v>73</v>
      </c>
      <c r="AT219" s="39">
        <v>21.9</v>
      </c>
      <c r="AU219" s="4">
        <v>13.9</v>
      </c>
      <c r="AV219" s="7">
        <v>2.15</v>
      </c>
      <c r="AW219" s="6" t="s">
        <v>5</v>
      </c>
      <c r="AX219" s="6" t="s">
        <v>5</v>
      </c>
      <c r="AY219" s="6" t="s">
        <v>5</v>
      </c>
      <c r="AZ219" s="33">
        <v>2.4900000000000002</v>
      </c>
      <c r="BA219" s="4">
        <v>17.3</v>
      </c>
      <c r="BB219" s="6" t="s">
        <v>5</v>
      </c>
      <c r="BC219" s="6" t="s">
        <v>5</v>
      </c>
      <c r="BD219" s="6" t="s">
        <v>5</v>
      </c>
      <c r="BE219" s="6" t="s">
        <v>5</v>
      </c>
      <c r="BF219" s="6" t="s">
        <v>5</v>
      </c>
      <c r="BG219" s="6" t="s">
        <v>5</v>
      </c>
      <c r="BH219" s="6" t="s">
        <v>5</v>
      </c>
      <c r="BI219" s="7">
        <v>6.31</v>
      </c>
      <c r="BJ219" s="22">
        <v>0.66800000000000004</v>
      </c>
      <c r="BK219" s="6" t="s">
        <v>5</v>
      </c>
      <c r="BL219" s="2" t="s">
        <v>5</v>
      </c>
      <c r="BM219" s="2" t="s">
        <v>5</v>
      </c>
      <c r="BN219" s="2" t="s">
        <v>5</v>
      </c>
      <c r="BO219" s="2" t="s">
        <v>5</v>
      </c>
      <c r="BP219" s="2" t="s">
        <v>5</v>
      </c>
      <c r="BQ219" s="2" t="s">
        <v>5</v>
      </c>
      <c r="BR219" s="2" t="s">
        <v>5</v>
      </c>
      <c r="BS219" s="2" t="s">
        <v>5</v>
      </c>
      <c r="BT219" s="2" t="s">
        <v>5</v>
      </c>
      <c r="BU219" s="2" t="s">
        <v>5</v>
      </c>
      <c r="BV219" s="2" t="s">
        <v>5</v>
      </c>
      <c r="BW219" s="2" t="s">
        <v>5</v>
      </c>
      <c r="BX219" s="2" t="s">
        <v>5</v>
      </c>
      <c r="BY219" s="25" t="s">
        <v>5</v>
      </c>
      <c r="BZ219" s="25" t="s">
        <v>5</v>
      </c>
      <c r="CA219" s="4">
        <v>39.299999999999997</v>
      </c>
      <c r="CB219" s="6" t="s">
        <v>5</v>
      </c>
      <c r="CC219" s="4">
        <v>49.8</v>
      </c>
      <c r="CD219" s="4">
        <v>40.299999999999997</v>
      </c>
      <c r="CE219" s="6">
        <v>50.8</v>
      </c>
      <c r="CF219" s="16" t="s">
        <v>5</v>
      </c>
      <c r="CG219" s="5">
        <v>5.5</v>
      </c>
      <c r="CH219" s="18" t="s">
        <v>5</v>
      </c>
      <c r="CV219" s="344" t="str">
        <f t="shared" si="21"/>
        <v>WT12X27.5</v>
      </c>
      <c r="CW219" s="338">
        <v>8.1</v>
      </c>
      <c r="DH219" s="397" t="s">
        <v>1361</v>
      </c>
      <c r="DI219" s="398">
        <v>81.900000000000006</v>
      </c>
      <c r="DJ219" s="398">
        <v>15.9</v>
      </c>
      <c r="DK219" s="400">
        <v>1.53</v>
      </c>
      <c r="DL219" s="400">
        <v>6.35</v>
      </c>
      <c r="DM219" s="400">
        <v>2.66</v>
      </c>
      <c r="DN219" s="401">
        <v>481</v>
      </c>
      <c r="DO219" s="402">
        <v>393</v>
      </c>
      <c r="DP219" s="117"/>
      <c r="DQ219" s="428" t="s">
        <v>1453</v>
      </c>
      <c r="DR219" s="429">
        <v>96.8</v>
      </c>
      <c r="DS219" s="429">
        <v>533</v>
      </c>
      <c r="DT219" s="431"/>
      <c r="DU219" s="431"/>
      <c r="DV219" s="431"/>
      <c r="DW219" s="431"/>
      <c r="DX219" s="432"/>
      <c r="DZ219" s="447" t="s">
        <v>1486</v>
      </c>
      <c r="EA219" s="448">
        <v>26</v>
      </c>
      <c r="EB219" s="448">
        <v>7.69</v>
      </c>
      <c r="EC219" s="448">
        <v>13.9</v>
      </c>
      <c r="ED219" s="448" t="s">
        <v>1821</v>
      </c>
      <c r="EE219" s="448">
        <v>0.255</v>
      </c>
      <c r="EF219" s="449">
        <v>44930</v>
      </c>
      <c r="EG219" s="449">
        <v>44934</v>
      </c>
      <c r="EH219" s="448">
        <v>5.03</v>
      </c>
      <c r="EI219" s="448">
        <v>5</v>
      </c>
      <c r="EJ219" s="448">
        <v>0.42</v>
      </c>
      <c r="EK219" s="449">
        <v>45123</v>
      </c>
      <c r="EL219" s="448">
        <v>5.98</v>
      </c>
      <c r="EM219" s="448">
        <v>48.1</v>
      </c>
      <c r="EN219" s="448">
        <v>245</v>
      </c>
      <c r="EO219" s="448">
        <v>35.299999999999997</v>
      </c>
      <c r="EP219" s="448">
        <v>5.65</v>
      </c>
      <c r="EQ219" s="448">
        <v>40.200000000000003</v>
      </c>
      <c r="ER219" s="448">
        <v>8.91</v>
      </c>
      <c r="ES219" s="448">
        <v>3.55</v>
      </c>
      <c r="ET219" s="448">
        <v>1.08</v>
      </c>
      <c r="EU219" s="450">
        <v>5.54</v>
      </c>
    </row>
    <row r="220" spans="2:151">
      <c r="B220" s="78" t="s">
        <v>145</v>
      </c>
      <c r="C220" s="79" t="s">
        <v>226</v>
      </c>
      <c r="D220" s="80" t="s">
        <v>226</v>
      </c>
      <c r="E220" s="1" t="s">
        <v>4</v>
      </c>
      <c r="F220" s="4">
        <v>49.5</v>
      </c>
      <c r="G220" s="4">
        <v>14.5</v>
      </c>
      <c r="H220" s="3" t="str">
        <f t="shared" si="20"/>
        <v>WT15X49.5</v>
      </c>
      <c r="I220" s="4">
        <v>14.8</v>
      </c>
      <c r="J220" s="5">
        <v>14.875</v>
      </c>
      <c r="K220" s="6" t="s">
        <v>5</v>
      </c>
      <c r="L220" s="6" t="s">
        <v>5</v>
      </c>
      <c r="M220" s="6" t="s">
        <v>5</v>
      </c>
      <c r="N220" s="4">
        <v>10.5</v>
      </c>
      <c r="O220" s="5">
        <v>10.5</v>
      </c>
      <c r="P220" s="5" t="s">
        <v>5</v>
      </c>
      <c r="Q220" s="6" t="s">
        <v>5</v>
      </c>
      <c r="R220" s="6" t="s">
        <v>5</v>
      </c>
      <c r="S220" s="22">
        <v>0.52</v>
      </c>
      <c r="T220" s="5">
        <v>0.5</v>
      </c>
      <c r="U220" s="8">
        <v>0.25</v>
      </c>
      <c r="V220" s="22">
        <v>0.67</v>
      </c>
      <c r="W220" s="8">
        <v>0.6875</v>
      </c>
      <c r="X220" s="22">
        <v>0.67</v>
      </c>
      <c r="Y220" s="6" t="s">
        <v>5</v>
      </c>
      <c r="Z220" s="6" t="s">
        <v>5</v>
      </c>
      <c r="AA220" s="33">
        <v>1.32</v>
      </c>
      <c r="AB220" s="34">
        <v>2</v>
      </c>
      <c r="AC220" s="8" t="s">
        <v>5</v>
      </c>
      <c r="AD220" s="6" t="s">
        <v>5</v>
      </c>
      <c r="AE220" s="37">
        <v>4.09</v>
      </c>
      <c r="AF220" s="6" t="s">
        <v>5</v>
      </c>
      <c r="AG220" s="6" t="s">
        <v>5</v>
      </c>
      <c r="AH220" s="40">
        <v>0.91200000000000003</v>
      </c>
      <c r="AI220" s="33">
        <v>7.8</v>
      </c>
      <c r="AJ220" s="6" t="s">
        <v>5</v>
      </c>
      <c r="AK220" s="6" t="s">
        <v>5</v>
      </c>
      <c r="AL220" s="6" t="s">
        <v>5</v>
      </c>
      <c r="AM220" s="6" t="s">
        <v>5</v>
      </c>
      <c r="AN220" s="4">
        <v>28.5</v>
      </c>
      <c r="AO220" s="38">
        <v>322</v>
      </c>
      <c r="AP220" s="39">
        <v>54.4</v>
      </c>
      <c r="AQ220" s="4">
        <v>30</v>
      </c>
      <c r="AR220" s="7">
        <v>4.71</v>
      </c>
      <c r="AS220" s="39">
        <v>63.9</v>
      </c>
      <c r="AT220" s="39">
        <v>19.3</v>
      </c>
      <c r="AU220" s="4">
        <v>12.2</v>
      </c>
      <c r="AV220" s="7">
        <v>2.1</v>
      </c>
      <c r="AW220" s="6" t="s">
        <v>5</v>
      </c>
      <c r="AX220" s="6" t="s">
        <v>5</v>
      </c>
      <c r="AY220" s="6" t="s">
        <v>5</v>
      </c>
      <c r="AZ220" s="33">
        <v>1.88</v>
      </c>
      <c r="BA220" s="4">
        <v>14.3</v>
      </c>
      <c r="BB220" s="6" t="s">
        <v>5</v>
      </c>
      <c r="BC220" s="6" t="s">
        <v>5</v>
      </c>
      <c r="BD220" s="6" t="s">
        <v>5</v>
      </c>
      <c r="BE220" s="6" t="s">
        <v>5</v>
      </c>
      <c r="BF220" s="6" t="s">
        <v>5</v>
      </c>
      <c r="BG220" s="6" t="s">
        <v>5</v>
      </c>
      <c r="BH220" s="6" t="s">
        <v>5</v>
      </c>
      <c r="BI220" s="7">
        <v>6.38</v>
      </c>
      <c r="BJ220" s="22">
        <v>0.65300000000000002</v>
      </c>
      <c r="BK220" s="6" t="s">
        <v>5</v>
      </c>
      <c r="BL220" s="2" t="s">
        <v>5</v>
      </c>
      <c r="BM220" s="2" t="s">
        <v>5</v>
      </c>
      <c r="BN220" s="2" t="s">
        <v>5</v>
      </c>
      <c r="BO220" s="2" t="s">
        <v>5</v>
      </c>
      <c r="BP220" s="2" t="s">
        <v>5</v>
      </c>
      <c r="BQ220" s="2" t="s">
        <v>5</v>
      </c>
      <c r="BR220" s="2" t="s">
        <v>5</v>
      </c>
      <c r="BS220" s="2" t="s">
        <v>5</v>
      </c>
      <c r="BT220" s="2" t="s">
        <v>5</v>
      </c>
      <c r="BU220" s="2" t="s">
        <v>5</v>
      </c>
      <c r="BV220" s="2" t="s">
        <v>5</v>
      </c>
      <c r="BW220" s="2" t="s">
        <v>5</v>
      </c>
      <c r="BX220" s="2" t="s">
        <v>5</v>
      </c>
      <c r="BY220" s="25" t="s">
        <v>5</v>
      </c>
      <c r="BZ220" s="25" t="s">
        <v>5</v>
      </c>
      <c r="CA220" s="4">
        <v>39.1</v>
      </c>
      <c r="CB220" s="6" t="s">
        <v>5</v>
      </c>
      <c r="CC220" s="4">
        <v>49.6</v>
      </c>
      <c r="CD220" s="4">
        <v>40.1</v>
      </c>
      <c r="CE220" s="6">
        <v>50.6</v>
      </c>
      <c r="CF220" s="16" t="s">
        <v>5</v>
      </c>
      <c r="CG220" s="5">
        <v>5.5</v>
      </c>
      <c r="CH220" s="18" t="s">
        <v>5</v>
      </c>
      <c r="CV220" s="344" t="str">
        <f t="shared" si="21"/>
        <v>WT12X27.5</v>
      </c>
      <c r="CW220" s="338">
        <v>8.1</v>
      </c>
      <c r="DH220" s="397" t="s">
        <v>1370</v>
      </c>
      <c r="DI220" s="398">
        <v>74.099999999999994</v>
      </c>
      <c r="DJ220" s="398">
        <v>15.4</v>
      </c>
      <c r="DK220" s="400">
        <v>1.4</v>
      </c>
      <c r="DL220" s="400">
        <v>6.96</v>
      </c>
      <c r="DM220" s="400">
        <v>2.89</v>
      </c>
      <c r="DN220" s="401">
        <v>428</v>
      </c>
      <c r="DO220" s="402">
        <v>353</v>
      </c>
      <c r="DP220" s="117"/>
      <c r="DQ220" s="428" t="s">
        <v>1454</v>
      </c>
      <c r="DR220" s="429">
        <v>95.4</v>
      </c>
      <c r="DS220" s="429">
        <v>843</v>
      </c>
      <c r="DT220" s="431"/>
      <c r="DU220" s="431"/>
      <c r="DV220" s="431"/>
      <c r="DW220" s="431"/>
      <c r="DX220" s="432"/>
      <c r="DZ220" s="447" t="s">
        <v>1492</v>
      </c>
      <c r="EA220" s="448">
        <v>22</v>
      </c>
      <c r="EB220" s="448">
        <v>6.49</v>
      </c>
      <c r="EC220" s="448">
        <v>13.7</v>
      </c>
      <c r="ED220" s="448" t="s">
        <v>1822</v>
      </c>
      <c r="EE220" s="448">
        <v>0.23</v>
      </c>
      <c r="EF220" s="449">
        <v>44930</v>
      </c>
      <c r="EG220" s="449">
        <v>44934</v>
      </c>
      <c r="EH220" s="448">
        <v>5</v>
      </c>
      <c r="EI220" s="448">
        <v>5</v>
      </c>
      <c r="EJ220" s="448">
        <v>0.33500000000000002</v>
      </c>
      <c r="EK220" s="449">
        <v>45062</v>
      </c>
      <c r="EL220" s="448">
        <v>7.46</v>
      </c>
      <c r="EM220" s="448">
        <v>53.3</v>
      </c>
      <c r="EN220" s="448">
        <v>199</v>
      </c>
      <c r="EO220" s="448">
        <v>29</v>
      </c>
      <c r="EP220" s="448">
        <v>5.54</v>
      </c>
      <c r="EQ220" s="448">
        <v>33.200000000000003</v>
      </c>
      <c r="ER220" s="448">
        <v>7</v>
      </c>
      <c r="ES220" s="448">
        <v>2.8</v>
      </c>
      <c r="ET220" s="448">
        <v>1.04</v>
      </c>
      <c r="EU220" s="450">
        <v>4.3899999999999997</v>
      </c>
    </row>
    <row r="221" spans="2:151">
      <c r="B221" s="78" t="s">
        <v>145</v>
      </c>
      <c r="C221" s="79" t="s">
        <v>227</v>
      </c>
      <c r="D221" s="80" t="s">
        <v>227</v>
      </c>
      <c r="E221" s="1" t="s">
        <v>4</v>
      </c>
      <c r="F221" s="4">
        <v>45</v>
      </c>
      <c r="G221" s="4">
        <v>13.2</v>
      </c>
      <c r="H221" s="3" t="str">
        <f t="shared" si="20"/>
        <v>WT15X45</v>
      </c>
      <c r="I221" s="4">
        <v>14.8</v>
      </c>
      <c r="J221" s="5">
        <v>14.75</v>
      </c>
      <c r="K221" s="6" t="s">
        <v>5</v>
      </c>
      <c r="L221" s="6" t="s">
        <v>5</v>
      </c>
      <c r="M221" s="6" t="s">
        <v>5</v>
      </c>
      <c r="N221" s="4">
        <v>10.4</v>
      </c>
      <c r="O221" s="5">
        <v>10.375</v>
      </c>
      <c r="P221" s="5" t="s">
        <v>5</v>
      </c>
      <c r="Q221" s="6" t="s">
        <v>5</v>
      </c>
      <c r="R221" s="6" t="s">
        <v>5</v>
      </c>
      <c r="S221" s="22">
        <v>0.47</v>
      </c>
      <c r="T221" s="5">
        <v>0.5</v>
      </c>
      <c r="U221" s="8">
        <v>0.25</v>
      </c>
      <c r="V221" s="22">
        <v>0.61</v>
      </c>
      <c r="W221" s="8">
        <v>0.625</v>
      </c>
      <c r="X221" s="22">
        <v>0.61</v>
      </c>
      <c r="Y221" s="6" t="s">
        <v>5</v>
      </c>
      <c r="Z221" s="6" t="s">
        <v>5</v>
      </c>
      <c r="AA221" s="33">
        <v>1.26</v>
      </c>
      <c r="AB221" s="34">
        <v>1.875</v>
      </c>
      <c r="AC221" s="8" t="s">
        <v>5</v>
      </c>
      <c r="AD221" s="6" t="s">
        <v>5</v>
      </c>
      <c r="AE221" s="37">
        <v>4.04</v>
      </c>
      <c r="AF221" s="6" t="s">
        <v>5</v>
      </c>
      <c r="AG221" s="6" t="s">
        <v>5</v>
      </c>
      <c r="AH221" s="40">
        <v>0.83499999999999996</v>
      </c>
      <c r="AI221" s="33">
        <v>8.52</v>
      </c>
      <c r="AJ221" s="6" t="s">
        <v>5</v>
      </c>
      <c r="AK221" s="6" t="s">
        <v>5</v>
      </c>
      <c r="AL221" s="6" t="s">
        <v>5</v>
      </c>
      <c r="AM221" s="6" t="s">
        <v>5</v>
      </c>
      <c r="AN221" s="4">
        <v>31.5</v>
      </c>
      <c r="AO221" s="38">
        <v>290</v>
      </c>
      <c r="AP221" s="39">
        <v>49</v>
      </c>
      <c r="AQ221" s="4">
        <v>27.1</v>
      </c>
      <c r="AR221" s="7">
        <v>4.6900000000000004</v>
      </c>
      <c r="AS221" s="39">
        <v>57.3</v>
      </c>
      <c r="AT221" s="39">
        <v>17.3</v>
      </c>
      <c r="AU221" s="4">
        <v>11</v>
      </c>
      <c r="AV221" s="7">
        <v>2.09</v>
      </c>
      <c r="AW221" s="6" t="s">
        <v>5</v>
      </c>
      <c r="AX221" s="6" t="s">
        <v>5</v>
      </c>
      <c r="AY221" s="6" t="s">
        <v>5</v>
      </c>
      <c r="AZ221" s="33">
        <v>1.41</v>
      </c>
      <c r="BA221" s="4">
        <v>10.5</v>
      </c>
      <c r="BB221" s="6" t="s">
        <v>5</v>
      </c>
      <c r="BC221" s="6" t="s">
        <v>5</v>
      </c>
      <c r="BD221" s="6" t="s">
        <v>5</v>
      </c>
      <c r="BE221" s="6" t="s">
        <v>5</v>
      </c>
      <c r="BF221" s="6" t="s">
        <v>5</v>
      </c>
      <c r="BG221" s="6" t="s">
        <v>5</v>
      </c>
      <c r="BH221" s="6" t="s">
        <v>5</v>
      </c>
      <c r="BI221" s="7">
        <v>6.35</v>
      </c>
      <c r="BJ221" s="22">
        <v>0.65400000000000003</v>
      </c>
      <c r="BK221" s="6" t="s">
        <v>5</v>
      </c>
      <c r="BL221" s="2" t="s">
        <v>5</v>
      </c>
      <c r="BM221" s="2" t="s">
        <v>5</v>
      </c>
      <c r="BN221" s="2" t="s">
        <v>5</v>
      </c>
      <c r="BO221" s="2" t="s">
        <v>5</v>
      </c>
      <c r="BP221" s="2" t="s">
        <v>5</v>
      </c>
      <c r="BQ221" s="2" t="s">
        <v>5</v>
      </c>
      <c r="BR221" s="2" t="s">
        <v>5</v>
      </c>
      <c r="BS221" s="2" t="s">
        <v>5</v>
      </c>
      <c r="BT221" s="2" t="s">
        <v>5</v>
      </c>
      <c r="BU221" s="2" t="s">
        <v>5</v>
      </c>
      <c r="BV221" s="2" t="s">
        <v>5</v>
      </c>
      <c r="BW221" s="2" t="s">
        <v>5</v>
      </c>
      <c r="BX221" s="2" t="s">
        <v>5</v>
      </c>
      <c r="BY221" s="25" t="s">
        <v>5</v>
      </c>
      <c r="BZ221" s="25" t="s">
        <v>5</v>
      </c>
      <c r="CA221" s="4">
        <v>39</v>
      </c>
      <c r="CB221" s="6" t="s">
        <v>5</v>
      </c>
      <c r="CC221" s="4">
        <v>49.4</v>
      </c>
      <c r="CD221" s="4">
        <v>40.000000000000007</v>
      </c>
      <c r="CE221" s="6">
        <v>50.400000000000006</v>
      </c>
      <c r="CF221" s="16" t="s">
        <v>5</v>
      </c>
      <c r="CG221" s="5">
        <v>5.5</v>
      </c>
      <c r="CH221" s="18" t="s">
        <v>5</v>
      </c>
      <c r="CV221" s="344" t="str">
        <f t="shared" si="21"/>
        <v>WT5X27</v>
      </c>
      <c r="CW221" s="338">
        <v>7.9</v>
      </c>
      <c r="DH221" s="397" t="s">
        <v>1377</v>
      </c>
      <c r="DI221" s="398">
        <v>67.7</v>
      </c>
      <c r="DJ221" s="398">
        <v>15.1</v>
      </c>
      <c r="DK221" s="400">
        <v>1.29</v>
      </c>
      <c r="DL221" s="400">
        <v>7.56</v>
      </c>
      <c r="DM221" s="400">
        <v>3.11</v>
      </c>
      <c r="DN221" s="401">
        <v>386</v>
      </c>
      <c r="DO221" s="402">
        <v>321</v>
      </c>
      <c r="DP221" s="117"/>
      <c r="DQ221" s="428" t="s">
        <v>1455</v>
      </c>
      <c r="DR221" s="429">
        <v>92</v>
      </c>
      <c r="DS221" s="429">
        <v>659</v>
      </c>
      <c r="DT221" s="431"/>
      <c r="DU221" s="431"/>
      <c r="DV221" s="431"/>
      <c r="DW221" s="431"/>
      <c r="DX221" s="432"/>
      <c r="DZ221" s="447" t="s">
        <v>1343</v>
      </c>
      <c r="EA221" s="448">
        <v>336</v>
      </c>
      <c r="EB221" s="448">
        <v>98.9</v>
      </c>
      <c r="EC221" s="448">
        <v>16.8</v>
      </c>
      <c r="ED221" s="448" t="s">
        <v>1625</v>
      </c>
      <c r="EE221" s="448">
        <v>1.78</v>
      </c>
      <c r="EF221" s="448" t="s">
        <v>1615</v>
      </c>
      <c r="EG221" s="449">
        <v>45115</v>
      </c>
      <c r="EH221" s="448">
        <v>13.4</v>
      </c>
      <c r="EI221" s="448" t="s">
        <v>1750</v>
      </c>
      <c r="EJ221" s="448">
        <v>2.96</v>
      </c>
      <c r="EK221" s="448" t="s">
        <v>1674</v>
      </c>
      <c r="EL221" s="448">
        <v>2.2599999999999998</v>
      </c>
      <c r="EM221" s="448">
        <v>5.47</v>
      </c>
      <c r="EN221" s="448">
        <v>4060</v>
      </c>
      <c r="EO221" s="448">
        <v>483</v>
      </c>
      <c r="EP221" s="448">
        <v>6.41</v>
      </c>
      <c r="EQ221" s="448">
        <v>603</v>
      </c>
      <c r="ER221" s="448">
        <v>1190</v>
      </c>
      <c r="ES221" s="448">
        <v>177</v>
      </c>
      <c r="ET221" s="448">
        <v>3.47</v>
      </c>
      <c r="EU221" s="450">
        <v>274</v>
      </c>
    </row>
    <row r="222" spans="2:151">
      <c r="B222" s="78" t="s">
        <v>145</v>
      </c>
      <c r="C222" s="79" t="s">
        <v>228</v>
      </c>
      <c r="D222" s="80" t="s">
        <v>228</v>
      </c>
      <c r="E222" s="1" t="s">
        <v>6</v>
      </c>
      <c r="F222" s="6">
        <v>269.5</v>
      </c>
      <c r="G222" s="4">
        <v>79.3</v>
      </c>
      <c r="H222" s="3" t="str">
        <f t="shared" si="20"/>
        <v>WT13.5X269.5</v>
      </c>
      <c r="I222" s="4">
        <v>16.3</v>
      </c>
      <c r="J222" s="5">
        <v>16.25</v>
      </c>
      <c r="K222" s="6" t="s">
        <v>5</v>
      </c>
      <c r="L222" s="6" t="s">
        <v>5</v>
      </c>
      <c r="M222" s="6" t="s">
        <v>5</v>
      </c>
      <c r="N222" s="4">
        <v>15.3</v>
      </c>
      <c r="O222" s="5">
        <v>15.25</v>
      </c>
      <c r="P222" s="5" t="s">
        <v>5</v>
      </c>
      <c r="Q222" s="6" t="s">
        <v>5</v>
      </c>
      <c r="R222" s="6" t="s">
        <v>5</v>
      </c>
      <c r="S222" s="7">
        <v>1.97</v>
      </c>
      <c r="T222" s="5">
        <v>2</v>
      </c>
      <c r="U222" s="8">
        <v>1</v>
      </c>
      <c r="V222" s="7">
        <v>3.54</v>
      </c>
      <c r="W222" s="8">
        <v>3.5625</v>
      </c>
      <c r="X222" s="7">
        <v>3.54</v>
      </c>
      <c r="Y222" s="6" t="s">
        <v>5</v>
      </c>
      <c r="Z222" s="6" t="s">
        <v>5</v>
      </c>
      <c r="AA222" s="7">
        <v>4.33</v>
      </c>
      <c r="AB222" s="8">
        <v>4.4375</v>
      </c>
      <c r="AC222" s="8" t="s">
        <v>5</v>
      </c>
      <c r="AD222" s="6" t="s">
        <v>5</v>
      </c>
      <c r="AE222" s="7">
        <v>4.34</v>
      </c>
      <c r="AF222" s="6" t="s">
        <v>5</v>
      </c>
      <c r="AG222" s="6" t="s">
        <v>5</v>
      </c>
      <c r="AH222" s="7">
        <v>2.6</v>
      </c>
      <c r="AI222" s="7">
        <v>2.15</v>
      </c>
      <c r="AJ222" s="6" t="s">
        <v>5</v>
      </c>
      <c r="AK222" s="6" t="s">
        <v>5</v>
      </c>
      <c r="AL222" s="6" t="s">
        <v>5</v>
      </c>
      <c r="AM222" s="6" t="s">
        <v>5</v>
      </c>
      <c r="AN222" s="7">
        <v>8.3000000000000007</v>
      </c>
      <c r="AO222" s="6">
        <v>1530</v>
      </c>
      <c r="AP222" s="6">
        <v>242</v>
      </c>
      <c r="AQ222" s="6">
        <v>128</v>
      </c>
      <c r="AR222" s="7">
        <v>4.3899999999999997</v>
      </c>
      <c r="AS222" s="6">
        <v>1060</v>
      </c>
      <c r="AT222" s="6">
        <v>218</v>
      </c>
      <c r="AU222" s="6">
        <v>138</v>
      </c>
      <c r="AV222" s="7">
        <v>3.65</v>
      </c>
      <c r="AW222" s="6" t="s">
        <v>5</v>
      </c>
      <c r="AX222" s="6" t="s">
        <v>5</v>
      </c>
      <c r="AY222" s="6" t="s">
        <v>5</v>
      </c>
      <c r="AZ222" s="6">
        <v>247</v>
      </c>
      <c r="BA222" s="6">
        <v>1740</v>
      </c>
      <c r="BB222" s="6" t="s">
        <v>5</v>
      </c>
      <c r="BC222" s="6" t="s">
        <v>5</v>
      </c>
      <c r="BD222" s="6" t="s">
        <v>5</v>
      </c>
      <c r="BE222" s="6" t="s">
        <v>5</v>
      </c>
      <c r="BF222" s="6" t="s">
        <v>5</v>
      </c>
      <c r="BG222" s="6" t="s">
        <v>5</v>
      </c>
      <c r="BH222" s="6" t="s">
        <v>5</v>
      </c>
      <c r="BI222" s="7">
        <v>6.26</v>
      </c>
      <c r="BJ222" s="22">
        <v>0.83099999999999996</v>
      </c>
      <c r="BK222" s="6" t="s">
        <v>5</v>
      </c>
      <c r="BL222" s="2" t="s">
        <v>5</v>
      </c>
      <c r="BM222" s="2" t="s">
        <v>5</v>
      </c>
      <c r="BN222" s="2" t="s">
        <v>5</v>
      </c>
      <c r="BO222" s="2" t="s">
        <v>5</v>
      </c>
      <c r="BP222" s="2" t="s">
        <v>5</v>
      </c>
      <c r="BQ222" s="2" t="s">
        <v>5</v>
      </c>
      <c r="BR222" s="2" t="s">
        <v>5</v>
      </c>
      <c r="BS222" s="2" t="s">
        <v>5</v>
      </c>
      <c r="BT222" s="2" t="s">
        <v>5</v>
      </c>
      <c r="BU222" s="2" t="s">
        <v>5</v>
      </c>
      <c r="BV222" s="2" t="s">
        <v>5</v>
      </c>
      <c r="BW222" s="2" t="s">
        <v>5</v>
      </c>
      <c r="BX222" s="2" t="s">
        <v>5</v>
      </c>
      <c r="BY222" s="25" t="s">
        <v>5</v>
      </c>
      <c r="BZ222" s="25" t="s">
        <v>5</v>
      </c>
      <c r="CA222" s="4">
        <v>47.2</v>
      </c>
      <c r="CB222" s="6" t="s">
        <v>5</v>
      </c>
      <c r="CC222" s="4">
        <v>62.5</v>
      </c>
      <c r="CD222" s="4">
        <v>47.900000000000006</v>
      </c>
      <c r="CE222" s="6">
        <v>63.2</v>
      </c>
      <c r="CF222" s="16" t="s">
        <v>5</v>
      </c>
      <c r="CG222" s="5">
        <v>5.5</v>
      </c>
      <c r="CH222" s="18" t="s">
        <v>5</v>
      </c>
      <c r="CV222" s="344" t="str">
        <f t="shared" si="21"/>
        <v>WT7X26.5</v>
      </c>
      <c r="CW222" s="338">
        <v>7.8</v>
      </c>
      <c r="DH222" s="397" t="s">
        <v>1383</v>
      </c>
      <c r="DI222" s="398">
        <v>61.8</v>
      </c>
      <c r="DJ222" s="398">
        <v>14.7</v>
      </c>
      <c r="DK222" s="400">
        <v>1.18</v>
      </c>
      <c r="DL222" s="400">
        <v>8.23</v>
      </c>
      <c r="DM222" s="400">
        <v>3.37</v>
      </c>
      <c r="DN222" s="401">
        <v>348</v>
      </c>
      <c r="DO222" s="402">
        <v>292</v>
      </c>
      <c r="DP222" s="117"/>
      <c r="DQ222" s="428" t="s">
        <v>1456</v>
      </c>
      <c r="DR222" s="429">
        <v>90.7</v>
      </c>
      <c r="DS222" s="429">
        <v>712</v>
      </c>
      <c r="DT222" s="431"/>
      <c r="DU222" s="431"/>
      <c r="DV222" s="431"/>
      <c r="DW222" s="431"/>
      <c r="DX222" s="432"/>
      <c r="DZ222" s="447" t="s">
        <v>1352</v>
      </c>
      <c r="EA222" s="448">
        <v>305</v>
      </c>
      <c r="EB222" s="448">
        <v>89.5</v>
      </c>
      <c r="EC222" s="448">
        <v>16.3</v>
      </c>
      <c r="ED222" s="448" t="s">
        <v>1631</v>
      </c>
      <c r="EE222" s="448">
        <v>1.63</v>
      </c>
      <c r="EF222" s="448" t="s">
        <v>1646</v>
      </c>
      <c r="EG222" s="448" t="s">
        <v>1620</v>
      </c>
      <c r="EH222" s="448">
        <v>13.2</v>
      </c>
      <c r="EI222" s="448" t="s">
        <v>1751</v>
      </c>
      <c r="EJ222" s="448">
        <v>2.71</v>
      </c>
      <c r="EK222" s="448" t="s">
        <v>1676</v>
      </c>
      <c r="EL222" s="448">
        <v>2.4500000000000002</v>
      </c>
      <c r="EM222" s="448">
        <v>5.98</v>
      </c>
      <c r="EN222" s="448">
        <v>3550</v>
      </c>
      <c r="EO222" s="448">
        <v>435</v>
      </c>
      <c r="EP222" s="448">
        <v>6.29</v>
      </c>
      <c r="EQ222" s="448">
        <v>537</v>
      </c>
      <c r="ER222" s="448">
        <v>1050</v>
      </c>
      <c r="ES222" s="448">
        <v>159</v>
      </c>
      <c r="ET222" s="448">
        <v>3.42</v>
      </c>
      <c r="EU222" s="450">
        <v>244</v>
      </c>
    </row>
    <row r="223" spans="2:151">
      <c r="B223" s="78" t="s">
        <v>145</v>
      </c>
      <c r="C223" s="79" t="s">
        <v>229</v>
      </c>
      <c r="D223" s="80" t="s">
        <v>229</v>
      </c>
      <c r="E223" s="1" t="s">
        <v>6</v>
      </c>
      <c r="F223" s="6">
        <v>184</v>
      </c>
      <c r="G223" s="4">
        <v>54.2</v>
      </c>
      <c r="H223" s="3" t="str">
        <f t="shared" si="20"/>
        <v>WT13.5X184</v>
      </c>
      <c r="I223" s="4">
        <v>15.2</v>
      </c>
      <c r="J223" s="5">
        <v>15.25</v>
      </c>
      <c r="K223" s="6" t="s">
        <v>5</v>
      </c>
      <c r="L223" s="6" t="s">
        <v>5</v>
      </c>
      <c r="M223" s="6" t="s">
        <v>5</v>
      </c>
      <c r="N223" s="4">
        <v>14.7</v>
      </c>
      <c r="O223" s="5">
        <v>14.625</v>
      </c>
      <c r="P223" s="5" t="s">
        <v>5</v>
      </c>
      <c r="Q223" s="6" t="s">
        <v>5</v>
      </c>
      <c r="R223" s="6" t="s">
        <v>5</v>
      </c>
      <c r="S223" s="7">
        <v>1.38</v>
      </c>
      <c r="T223" s="5">
        <v>1.375</v>
      </c>
      <c r="U223" s="8">
        <v>0.6875</v>
      </c>
      <c r="V223" s="7">
        <v>2.48</v>
      </c>
      <c r="W223" s="8">
        <v>2.5</v>
      </c>
      <c r="X223" s="7">
        <v>2.48</v>
      </c>
      <c r="Y223" s="6" t="s">
        <v>5</v>
      </c>
      <c r="Z223" s="6" t="s">
        <v>5</v>
      </c>
      <c r="AA223" s="33">
        <v>3.27</v>
      </c>
      <c r="AB223" s="34">
        <v>3.6875</v>
      </c>
      <c r="AC223" s="8" t="s">
        <v>5</v>
      </c>
      <c r="AD223" s="6" t="s">
        <v>5</v>
      </c>
      <c r="AE223" s="33">
        <v>3.71</v>
      </c>
      <c r="AF223" s="6" t="s">
        <v>5</v>
      </c>
      <c r="AG223" s="6" t="s">
        <v>5</v>
      </c>
      <c r="AH223" s="33">
        <v>1.85</v>
      </c>
      <c r="AI223" s="33">
        <v>2.96</v>
      </c>
      <c r="AJ223" s="6" t="s">
        <v>5</v>
      </c>
      <c r="AK223" s="6" t="s">
        <v>5</v>
      </c>
      <c r="AL223" s="6" t="s">
        <v>5</v>
      </c>
      <c r="AM223" s="6" t="s">
        <v>5</v>
      </c>
      <c r="AN223" s="4">
        <v>11</v>
      </c>
      <c r="AO223" s="38">
        <v>939</v>
      </c>
      <c r="AP223" s="38">
        <v>151</v>
      </c>
      <c r="AQ223" s="4">
        <v>81.7</v>
      </c>
      <c r="AR223" s="7">
        <v>4.16</v>
      </c>
      <c r="AS223" s="38">
        <v>655</v>
      </c>
      <c r="AT223" s="38">
        <v>140</v>
      </c>
      <c r="AU223" s="4">
        <v>89.3</v>
      </c>
      <c r="AV223" s="7">
        <v>3.48</v>
      </c>
      <c r="AW223" s="6" t="s">
        <v>5</v>
      </c>
      <c r="AX223" s="6" t="s">
        <v>5</v>
      </c>
      <c r="AY223" s="6" t="s">
        <v>5</v>
      </c>
      <c r="AZ223" s="39">
        <v>84.5</v>
      </c>
      <c r="BA223" s="6">
        <v>532</v>
      </c>
      <c r="BB223" s="6" t="s">
        <v>5</v>
      </c>
      <c r="BC223" s="6" t="s">
        <v>5</v>
      </c>
      <c r="BD223" s="6" t="s">
        <v>5</v>
      </c>
      <c r="BE223" s="6" t="s">
        <v>5</v>
      </c>
      <c r="BF223" s="6" t="s">
        <v>5</v>
      </c>
      <c r="BG223" s="6" t="s">
        <v>5</v>
      </c>
      <c r="BH223" s="6" t="s">
        <v>5</v>
      </c>
      <c r="BI223" s="7">
        <v>5.96</v>
      </c>
      <c r="BJ223" s="22">
        <v>0.82799999999999996</v>
      </c>
      <c r="BK223" s="6" t="s">
        <v>5</v>
      </c>
      <c r="BL223" s="2" t="s">
        <v>5</v>
      </c>
      <c r="BM223" s="2" t="s">
        <v>5</v>
      </c>
      <c r="BN223" s="2" t="s">
        <v>5</v>
      </c>
      <c r="BO223" s="2" t="s">
        <v>5</v>
      </c>
      <c r="BP223" s="2" t="s">
        <v>5</v>
      </c>
      <c r="BQ223" s="2" t="s">
        <v>5</v>
      </c>
      <c r="BR223" s="2" t="s">
        <v>5</v>
      </c>
      <c r="BS223" s="2" t="s">
        <v>5</v>
      </c>
      <c r="BT223" s="2" t="s">
        <v>5</v>
      </c>
      <c r="BU223" s="2" t="s">
        <v>5</v>
      </c>
      <c r="BV223" s="2" t="s">
        <v>5</v>
      </c>
      <c r="BW223" s="2" t="s">
        <v>5</v>
      </c>
      <c r="BX223" s="2" t="s">
        <v>5</v>
      </c>
      <c r="BY223" s="25" t="s">
        <v>5</v>
      </c>
      <c r="BZ223" s="25" t="s">
        <v>5</v>
      </c>
      <c r="CA223" s="4">
        <v>44.1</v>
      </c>
      <c r="CB223" s="6" t="s">
        <v>5</v>
      </c>
      <c r="CC223" s="4">
        <v>58.8</v>
      </c>
      <c r="CD223" s="4">
        <v>45.099999999999994</v>
      </c>
      <c r="CE223" s="6">
        <v>59.8</v>
      </c>
      <c r="CF223" s="16" t="s">
        <v>5</v>
      </c>
      <c r="CG223" s="5">
        <v>5.5</v>
      </c>
      <c r="CH223" s="18" t="s">
        <v>5</v>
      </c>
      <c r="CV223" s="344" t="str">
        <f t="shared" si="21"/>
        <v>WT6X26.5</v>
      </c>
      <c r="CW223" s="338">
        <v>7.78</v>
      </c>
      <c r="DH223" s="397" t="s">
        <v>1391</v>
      </c>
      <c r="DI223" s="398">
        <v>56</v>
      </c>
      <c r="DJ223" s="398">
        <v>14.4</v>
      </c>
      <c r="DK223" s="400">
        <v>1.06</v>
      </c>
      <c r="DL223" s="400">
        <v>9.16</v>
      </c>
      <c r="DM223" s="400">
        <v>3.65</v>
      </c>
      <c r="DN223" s="401">
        <v>311</v>
      </c>
      <c r="DO223" s="402">
        <v>263</v>
      </c>
      <c r="DP223" s="117"/>
      <c r="DQ223" s="428" t="s">
        <v>1457</v>
      </c>
      <c r="DR223" s="429">
        <v>87.1</v>
      </c>
      <c r="DS223" s="429">
        <v>541</v>
      </c>
      <c r="DT223" s="431"/>
      <c r="DU223" s="431"/>
      <c r="DV223" s="431"/>
      <c r="DW223" s="431"/>
      <c r="DX223" s="432"/>
      <c r="DZ223" s="447" t="s">
        <v>1361</v>
      </c>
      <c r="EA223" s="448">
        <v>279</v>
      </c>
      <c r="EB223" s="448">
        <v>81.900000000000006</v>
      </c>
      <c r="EC223" s="448">
        <v>15.9</v>
      </c>
      <c r="ED223" s="448" t="s">
        <v>1617</v>
      </c>
      <c r="EE223" s="448">
        <v>1.53</v>
      </c>
      <c r="EF223" s="448" t="s">
        <v>1663</v>
      </c>
      <c r="EG223" s="449">
        <v>44989</v>
      </c>
      <c r="EH223" s="448">
        <v>13.1</v>
      </c>
      <c r="EI223" s="448" t="s">
        <v>1753</v>
      </c>
      <c r="EJ223" s="448">
        <v>2.4700000000000002</v>
      </c>
      <c r="EK223" s="448" t="s">
        <v>1653</v>
      </c>
      <c r="EL223" s="448">
        <v>2.66</v>
      </c>
      <c r="EM223" s="448">
        <v>6.35</v>
      </c>
      <c r="EN223" s="448">
        <v>3110</v>
      </c>
      <c r="EO223" s="448">
        <v>393</v>
      </c>
      <c r="EP223" s="448">
        <v>6.16</v>
      </c>
      <c r="EQ223" s="448">
        <v>481</v>
      </c>
      <c r="ER223" s="448">
        <v>937</v>
      </c>
      <c r="ES223" s="448">
        <v>143</v>
      </c>
      <c r="ET223" s="448">
        <v>3.38</v>
      </c>
      <c r="EU223" s="450">
        <v>220</v>
      </c>
    </row>
    <row r="224" spans="2:151">
      <c r="B224" s="78" t="s">
        <v>145</v>
      </c>
      <c r="C224" s="79" t="s">
        <v>230</v>
      </c>
      <c r="D224" s="80" t="s">
        <v>230</v>
      </c>
      <c r="E224" s="1" t="s">
        <v>6</v>
      </c>
      <c r="F224" s="6">
        <v>168</v>
      </c>
      <c r="G224" s="4">
        <v>49.5</v>
      </c>
      <c r="H224" s="3" t="str">
        <f t="shared" si="20"/>
        <v>WT13.5X168</v>
      </c>
      <c r="I224" s="4">
        <v>15</v>
      </c>
      <c r="J224" s="5">
        <v>15</v>
      </c>
      <c r="K224" s="6" t="s">
        <v>5</v>
      </c>
      <c r="L224" s="6" t="s">
        <v>5</v>
      </c>
      <c r="M224" s="6" t="s">
        <v>5</v>
      </c>
      <c r="N224" s="4">
        <v>14.6</v>
      </c>
      <c r="O224" s="5">
        <v>14.5</v>
      </c>
      <c r="P224" s="5" t="s">
        <v>5</v>
      </c>
      <c r="Q224" s="6" t="s">
        <v>5</v>
      </c>
      <c r="R224" s="6" t="s">
        <v>5</v>
      </c>
      <c r="S224" s="7">
        <v>1.26</v>
      </c>
      <c r="T224" s="5">
        <v>1.25</v>
      </c>
      <c r="U224" s="8">
        <v>0.625</v>
      </c>
      <c r="V224" s="7">
        <v>2.2799999999999998</v>
      </c>
      <c r="W224" s="8">
        <v>2.25</v>
      </c>
      <c r="X224" s="7">
        <v>2.2799999999999998</v>
      </c>
      <c r="Y224" s="6" t="s">
        <v>5</v>
      </c>
      <c r="Z224" s="6" t="s">
        <v>5</v>
      </c>
      <c r="AA224" s="33">
        <v>3.07</v>
      </c>
      <c r="AB224" s="34">
        <v>3.5</v>
      </c>
      <c r="AC224" s="8" t="s">
        <v>5</v>
      </c>
      <c r="AD224" s="6" t="s">
        <v>5</v>
      </c>
      <c r="AE224" s="33">
        <v>3.58</v>
      </c>
      <c r="AF224" s="6" t="s">
        <v>5</v>
      </c>
      <c r="AG224" s="6" t="s">
        <v>5</v>
      </c>
      <c r="AH224" s="33">
        <v>1.7</v>
      </c>
      <c r="AI224" s="33">
        <v>3.19</v>
      </c>
      <c r="AJ224" s="6" t="s">
        <v>5</v>
      </c>
      <c r="AK224" s="6" t="s">
        <v>5</v>
      </c>
      <c r="AL224" s="6" t="s">
        <v>5</v>
      </c>
      <c r="AM224" s="6" t="s">
        <v>5</v>
      </c>
      <c r="AN224" s="4">
        <v>11.9</v>
      </c>
      <c r="AO224" s="38">
        <v>839</v>
      </c>
      <c r="AP224" s="38">
        <v>135</v>
      </c>
      <c r="AQ224" s="4">
        <v>73.400000000000006</v>
      </c>
      <c r="AR224" s="7">
        <v>4.12</v>
      </c>
      <c r="AS224" s="38">
        <v>587</v>
      </c>
      <c r="AT224" s="38">
        <v>126</v>
      </c>
      <c r="AU224" s="4">
        <v>80.8</v>
      </c>
      <c r="AV224" s="7">
        <v>3.45</v>
      </c>
      <c r="AW224" s="6" t="s">
        <v>5</v>
      </c>
      <c r="AX224" s="6" t="s">
        <v>5</v>
      </c>
      <c r="AY224" s="6" t="s">
        <v>5</v>
      </c>
      <c r="AZ224" s="39">
        <v>65.400000000000006</v>
      </c>
      <c r="BA224" s="6">
        <v>401</v>
      </c>
      <c r="BB224" s="6" t="s">
        <v>5</v>
      </c>
      <c r="BC224" s="6" t="s">
        <v>5</v>
      </c>
      <c r="BD224" s="6" t="s">
        <v>5</v>
      </c>
      <c r="BE224" s="6" t="s">
        <v>5</v>
      </c>
      <c r="BF224" s="6" t="s">
        <v>5</v>
      </c>
      <c r="BG224" s="6" t="s">
        <v>5</v>
      </c>
      <c r="BH224" s="6" t="s">
        <v>5</v>
      </c>
      <c r="BI224" s="7">
        <v>5.9</v>
      </c>
      <c r="BJ224" s="22">
        <v>0.82899999999999996</v>
      </c>
      <c r="BK224" s="6" t="s">
        <v>5</v>
      </c>
      <c r="BL224" s="2" t="s">
        <v>5</v>
      </c>
      <c r="BM224" s="2" t="s">
        <v>5</v>
      </c>
      <c r="BN224" s="2" t="s">
        <v>5</v>
      </c>
      <c r="BO224" s="2" t="s">
        <v>5</v>
      </c>
      <c r="BP224" s="2" t="s">
        <v>5</v>
      </c>
      <c r="BQ224" s="2" t="s">
        <v>5</v>
      </c>
      <c r="BR224" s="2" t="s">
        <v>5</v>
      </c>
      <c r="BS224" s="2" t="s">
        <v>5</v>
      </c>
      <c r="BT224" s="2" t="s">
        <v>5</v>
      </c>
      <c r="BU224" s="2" t="s">
        <v>5</v>
      </c>
      <c r="BV224" s="2" t="s">
        <v>5</v>
      </c>
      <c r="BW224" s="2" t="s">
        <v>5</v>
      </c>
      <c r="BX224" s="2" t="s">
        <v>5</v>
      </c>
      <c r="BY224" s="25" t="s">
        <v>5</v>
      </c>
      <c r="BZ224" s="25" t="s">
        <v>5</v>
      </c>
      <c r="CA224" s="4">
        <v>43.6</v>
      </c>
      <c r="CB224" s="6" t="s">
        <v>5</v>
      </c>
      <c r="CC224" s="4">
        <v>58.2</v>
      </c>
      <c r="CD224" s="4">
        <v>44.6</v>
      </c>
      <c r="CE224" s="6">
        <v>59.2</v>
      </c>
      <c r="CF224" s="16" t="s">
        <v>5</v>
      </c>
      <c r="CG224" s="5">
        <v>5.5</v>
      </c>
      <c r="CH224" s="18" t="s">
        <v>5</v>
      </c>
      <c r="CV224" s="344" t="str">
        <f t="shared" si="21"/>
        <v>WT8X25</v>
      </c>
      <c r="CW224" s="338">
        <v>7.37</v>
      </c>
      <c r="DH224" s="397" t="s">
        <v>1401</v>
      </c>
      <c r="DI224" s="398">
        <v>50</v>
      </c>
      <c r="DJ224" s="398">
        <v>14</v>
      </c>
      <c r="DK224" s="399">
        <v>0.96</v>
      </c>
      <c r="DL224" s="398">
        <v>10.1</v>
      </c>
      <c r="DM224" s="400">
        <v>4.03</v>
      </c>
      <c r="DN224" s="401">
        <v>275</v>
      </c>
      <c r="DO224" s="402">
        <v>235</v>
      </c>
      <c r="DP224" s="117"/>
      <c r="DQ224" s="428" t="s">
        <v>1458</v>
      </c>
      <c r="DR224" s="429">
        <v>86.4</v>
      </c>
      <c r="DS224" s="429">
        <v>475</v>
      </c>
      <c r="DT224" s="431"/>
      <c r="DU224" s="431"/>
      <c r="DV224" s="431"/>
      <c r="DW224" s="431"/>
      <c r="DX224" s="432"/>
      <c r="DZ224" s="447" t="s">
        <v>1370</v>
      </c>
      <c r="EA224" s="448">
        <v>252</v>
      </c>
      <c r="EB224" s="448">
        <v>74.099999999999994</v>
      </c>
      <c r="EC224" s="448">
        <v>15.4</v>
      </c>
      <c r="ED224" s="448" t="s">
        <v>1714</v>
      </c>
      <c r="EE224" s="448">
        <v>1.4</v>
      </c>
      <c r="EF224" s="448" t="s">
        <v>1678</v>
      </c>
      <c r="EG224" s="449">
        <v>45246</v>
      </c>
      <c r="EH224" s="448">
        <v>13</v>
      </c>
      <c r="EI224" s="448">
        <v>13</v>
      </c>
      <c r="EJ224" s="448">
        <v>2.25</v>
      </c>
      <c r="EK224" s="448" t="s">
        <v>1697</v>
      </c>
      <c r="EL224" s="448">
        <v>2.89</v>
      </c>
      <c r="EM224" s="448">
        <v>6.96</v>
      </c>
      <c r="EN224" s="448">
        <v>2720</v>
      </c>
      <c r="EO224" s="448">
        <v>353</v>
      </c>
      <c r="EP224" s="448">
        <v>6.06</v>
      </c>
      <c r="EQ224" s="448">
        <v>428</v>
      </c>
      <c r="ER224" s="448">
        <v>828</v>
      </c>
      <c r="ES224" s="448">
        <v>127</v>
      </c>
      <c r="ET224" s="448">
        <v>3.34</v>
      </c>
      <c r="EU224" s="450">
        <v>196</v>
      </c>
    </row>
    <row r="225" spans="2:151">
      <c r="B225" s="78" t="s">
        <v>145</v>
      </c>
      <c r="C225" s="79" t="s">
        <v>231</v>
      </c>
      <c r="D225" s="80" t="s">
        <v>231</v>
      </c>
      <c r="E225" s="1" t="s">
        <v>6</v>
      </c>
      <c r="F225" s="6">
        <v>153.5</v>
      </c>
      <c r="G225" s="4">
        <v>45.2</v>
      </c>
      <c r="H225" s="3" t="str">
        <f t="shared" si="20"/>
        <v>WT13.5X153.5</v>
      </c>
      <c r="I225" s="4">
        <v>14.8</v>
      </c>
      <c r="J225" s="5">
        <v>14.75</v>
      </c>
      <c r="K225" s="6" t="s">
        <v>5</v>
      </c>
      <c r="L225" s="6" t="s">
        <v>5</v>
      </c>
      <c r="M225" s="6" t="s">
        <v>5</v>
      </c>
      <c r="N225" s="4">
        <v>14.4</v>
      </c>
      <c r="O225" s="5">
        <v>14.5</v>
      </c>
      <c r="P225" s="5" t="s">
        <v>5</v>
      </c>
      <c r="Q225" s="6" t="s">
        <v>5</v>
      </c>
      <c r="R225" s="6" t="s">
        <v>5</v>
      </c>
      <c r="S225" s="7">
        <v>1.1599999999999999</v>
      </c>
      <c r="T225" s="5">
        <v>1.1875</v>
      </c>
      <c r="U225" s="8">
        <v>0.625</v>
      </c>
      <c r="V225" s="7">
        <v>2.09</v>
      </c>
      <c r="W225" s="8">
        <v>2.0625</v>
      </c>
      <c r="X225" s="7">
        <v>2.09</v>
      </c>
      <c r="Y225" s="6" t="s">
        <v>5</v>
      </c>
      <c r="Z225" s="6" t="s">
        <v>5</v>
      </c>
      <c r="AA225" s="33">
        <v>2.88</v>
      </c>
      <c r="AB225" s="34">
        <v>3.3125</v>
      </c>
      <c r="AC225" s="8" t="s">
        <v>5</v>
      </c>
      <c r="AD225" s="6" t="s">
        <v>5</v>
      </c>
      <c r="AE225" s="33">
        <v>3.47</v>
      </c>
      <c r="AF225" s="6" t="s">
        <v>5</v>
      </c>
      <c r="AG225" s="6" t="s">
        <v>5</v>
      </c>
      <c r="AH225" s="33">
        <v>1.56</v>
      </c>
      <c r="AI225" s="33">
        <v>3.46</v>
      </c>
      <c r="AJ225" s="6" t="s">
        <v>5</v>
      </c>
      <c r="AK225" s="6" t="s">
        <v>5</v>
      </c>
      <c r="AL225" s="6" t="s">
        <v>5</v>
      </c>
      <c r="AM225" s="6" t="s">
        <v>5</v>
      </c>
      <c r="AN225" s="4">
        <v>12.8</v>
      </c>
      <c r="AO225" s="38">
        <v>753</v>
      </c>
      <c r="AP225" s="38">
        <v>121</v>
      </c>
      <c r="AQ225" s="4">
        <v>66.400000000000006</v>
      </c>
      <c r="AR225" s="7">
        <v>4.08</v>
      </c>
      <c r="AS225" s="38">
        <v>527</v>
      </c>
      <c r="AT225" s="38">
        <v>113</v>
      </c>
      <c r="AU225" s="4">
        <v>72.900000000000006</v>
      </c>
      <c r="AV225" s="7">
        <v>3.41</v>
      </c>
      <c r="AW225" s="6" t="s">
        <v>5</v>
      </c>
      <c r="AX225" s="6" t="s">
        <v>5</v>
      </c>
      <c r="AY225" s="6" t="s">
        <v>5</v>
      </c>
      <c r="AZ225" s="39">
        <v>50.5</v>
      </c>
      <c r="BA225" s="6">
        <v>304</v>
      </c>
      <c r="BB225" s="6" t="s">
        <v>5</v>
      </c>
      <c r="BC225" s="6" t="s">
        <v>5</v>
      </c>
      <c r="BD225" s="6" t="s">
        <v>5</v>
      </c>
      <c r="BE225" s="6" t="s">
        <v>5</v>
      </c>
      <c r="BF225" s="6" t="s">
        <v>5</v>
      </c>
      <c r="BG225" s="6" t="s">
        <v>5</v>
      </c>
      <c r="BH225" s="6" t="s">
        <v>5</v>
      </c>
      <c r="BI225" s="7">
        <v>5.85</v>
      </c>
      <c r="BJ225" s="22">
        <v>0.82799999999999996</v>
      </c>
      <c r="BK225" s="6" t="s">
        <v>5</v>
      </c>
      <c r="BL225" s="2" t="s">
        <v>5</v>
      </c>
      <c r="BM225" s="2" t="s">
        <v>5</v>
      </c>
      <c r="BN225" s="2" t="s">
        <v>5</v>
      </c>
      <c r="BO225" s="2" t="s">
        <v>5</v>
      </c>
      <c r="BP225" s="2" t="s">
        <v>5</v>
      </c>
      <c r="BQ225" s="2" t="s">
        <v>5</v>
      </c>
      <c r="BR225" s="2" t="s">
        <v>5</v>
      </c>
      <c r="BS225" s="2" t="s">
        <v>5</v>
      </c>
      <c r="BT225" s="2" t="s">
        <v>5</v>
      </c>
      <c r="BU225" s="2" t="s">
        <v>5</v>
      </c>
      <c r="BV225" s="2" t="s">
        <v>5</v>
      </c>
      <c r="BW225" s="2" t="s">
        <v>5</v>
      </c>
      <c r="BX225" s="2" t="s">
        <v>5</v>
      </c>
      <c r="BY225" s="25" t="s">
        <v>5</v>
      </c>
      <c r="BZ225" s="25" t="s">
        <v>5</v>
      </c>
      <c r="CA225" s="4">
        <v>43</v>
      </c>
      <c r="CB225" s="6" t="s">
        <v>5</v>
      </c>
      <c r="CC225" s="4">
        <v>57.4</v>
      </c>
      <c r="CD225" s="4">
        <v>44.000000000000007</v>
      </c>
      <c r="CE225" s="6">
        <v>58.400000000000006</v>
      </c>
      <c r="CF225" s="16" t="s">
        <v>5</v>
      </c>
      <c r="CG225" s="5">
        <v>5.5</v>
      </c>
      <c r="CH225" s="18" t="s">
        <v>5</v>
      </c>
      <c r="CV225" s="344" t="str">
        <f t="shared" si="21"/>
        <v>WT10.5X25</v>
      </c>
      <c r="CW225" s="338">
        <v>7.36</v>
      </c>
      <c r="DH225" s="397" t="s">
        <v>1407</v>
      </c>
      <c r="DI225" s="398">
        <v>44.7</v>
      </c>
      <c r="DJ225" s="398">
        <v>13.7</v>
      </c>
      <c r="DK225" s="399">
        <v>0.87</v>
      </c>
      <c r="DL225" s="398">
        <v>11.2</v>
      </c>
      <c r="DM225" s="400">
        <v>4.46</v>
      </c>
      <c r="DN225" s="401">
        <v>243</v>
      </c>
      <c r="DO225" s="402">
        <v>209</v>
      </c>
      <c r="DP225" s="117"/>
      <c r="DQ225" s="428" t="s">
        <v>1459</v>
      </c>
      <c r="DR225" s="429">
        <v>85.3</v>
      </c>
      <c r="DS225" s="429">
        <v>394</v>
      </c>
      <c r="DT225" s="431"/>
      <c r="DU225" s="431"/>
      <c r="DV225" s="431"/>
      <c r="DW225" s="431"/>
      <c r="DX225" s="432"/>
      <c r="DZ225" s="447" t="s">
        <v>1377</v>
      </c>
      <c r="EA225" s="448">
        <v>230</v>
      </c>
      <c r="EB225" s="448">
        <v>67.7</v>
      </c>
      <c r="EC225" s="448">
        <v>15.1</v>
      </c>
      <c r="ED225" s="448">
        <v>15</v>
      </c>
      <c r="EE225" s="448">
        <v>1.29</v>
      </c>
      <c r="EF225" s="448" t="s">
        <v>1634</v>
      </c>
      <c r="EG225" s="449">
        <v>45246</v>
      </c>
      <c r="EH225" s="448">
        <v>12.9</v>
      </c>
      <c r="EI225" s="448" t="s">
        <v>1757</v>
      </c>
      <c r="EJ225" s="448">
        <v>2.0699999999999998</v>
      </c>
      <c r="EK225" s="448" t="s">
        <v>1641</v>
      </c>
      <c r="EL225" s="448">
        <v>3.11</v>
      </c>
      <c r="EM225" s="448">
        <v>7.56</v>
      </c>
      <c r="EN225" s="448">
        <v>2420</v>
      </c>
      <c r="EO225" s="448">
        <v>321</v>
      </c>
      <c r="EP225" s="448">
        <v>5.97</v>
      </c>
      <c r="EQ225" s="448">
        <v>386</v>
      </c>
      <c r="ER225" s="448">
        <v>742</v>
      </c>
      <c r="ES225" s="448">
        <v>115</v>
      </c>
      <c r="ET225" s="448">
        <v>3.31</v>
      </c>
      <c r="EU225" s="450">
        <v>177</v>
      </c>
    </row>
    <row r="226" spans="2:151">
      <c r="B226" s="78" t="s">
        <v>145</v>
      </c>
      <c r="C226" s="79" t="s">
        <v>232</v>
      </c>
      <c r="D226" s="80" t="s">
        <v>232</v>
      </c>
      <c r="E226" s="1" t="s">
        <v>4</v>
      </c>
      <c r="F226" s="6">
        <v>140.5</v>
      </c>
      <c r="G226" s="4">
        <v>41.5</v>
      </c>
      <c r="H226" s="3" t="str">
        <f t="shared" si="20"/>
        <v>WT13.5X140.5</v>
      </c>
      <c r="I226" s="4">
        <v>14.6</v>
      </c>
      <c r="J226" s="5">
        <v>14.625</v>
      </c>
      <c r="K226" s="6" t="s">
        <v>5</v>
      </c>
      <c r="L226" s="6" t="s">
        <v>5</v>
      </c>
      <c r="M226" s="6" t="s">
        <v>5</v>
      </c>
      <c r="N226" s="4">
        <v>14.4</v>
      </c>
      <c r="O226" s="5">
        <v>14.375</v>
      </c>
      <c r="P226" s="5" t="s">
        <v>5</v>
      </c>
      <c r="Q226" s="6" t="s">
        <v>5</v>
      </c>
      <c r="R226" s="6" t="s">
        <v>5</v>
      </c>
      <c r="S226" s="7">
        <v>1.06</v>
      </c>
      <c r="T226" s="5">
        <v>1.0625</v>
      </c>
      <c r="U226" s="8">
        <v>0.5625</v>
      </c>
      <c r="V226" s="7">
        <v>1.93</v>
      </c>
      <c r="W226" s="8">
        <v>1.9375</v>
      </c>
      <c r="X226" s="7">
        <v>1.93</v>
      </c>
      <c r="Y226" s="6" t="s">
        <v>5</v>
      </c>
      <c r="Z226" s="6" t="s">
        <v>5</v>
      </c>
      <c r="AA226" s="33">
        <v>2.72</v>
      </c>
      <c r="AB226" s="34">
        <v>3.125</v>
      </c>
      <c r="AC226" s="8" t="s">
        <v>5</v>
      </c>
      <c r="AD226" s="6" t="s">
        <v>5</v>
      </c>
      <c r="AE226" s="33">
        <v>3.35</v>
      </c>
      <c r="AF226" s="6" t="s">
        <v>5</v>
      </c>
      <c r="AG226" s="6" t="s">
        <v>5</v>
      </c>
      <c r="AH226" s="33">
        <v>1.44</v>
      </c>
      <c r="AI226" s="33">
        <v>3.72</v>
      </c>
      <c r="AJ226" s="6" t="s">
        <v>5</v>
      </c>
      <c r="AK226" s="6" t="s">
        <v>5</v>
      </c>
      <c r="AL226" s="6" t="s">
        <v>5</v>
      </c>
      <c r="AM226" s="6" t="s">
        <v>5</v>
      </c>
      <c r="AN226" s="4">
        <v>13.8</v>
      </c>
      <c r="AO226" s="38">
        <v>677</v>
      </c>
      <c r="AP226" s="38">
        <v>109</v>
      </c>
      <c r="AQ226" s="4">
        <v>59.9</v>
      </c>
      <c r="AR226" s="7">
        <v>4.04</v>
      </c>
      <c r="AS226" s="38">
        <v>477</v>
      </c>
      <c r="AT226" s="38">
        <v>103</v>
      </c>
      <c r="AU226" s="4">
        <v>66.400000000000006</v>
      </c>
      <c r="AV226" s="7">
        <v>3.39</v>
      </c>
      <c r="AW226" s="6" t="s">
        <v>5</v>
      </c>
      <c r="AX226" s="6" t="s">
        <v>5</v>
      </c>
      <c r="AY226" s="6" t="s">
        <v>5</v>
      </c>
      <c r="AZ226" s="39">
        <v>39.6</v>
      </c>
      <c r="BA226" s="6">
        <v>232</v>
      </c>
      <c r="BB226" s="6" t="s">
        <v>5</v>
      </c>
      <c r="BC226" s="6" t="s">
        <v>5</v>
      </c>
      <c r="BD226" s="6" t="s">
        <v>5</v>
      </c>
      <c r="BE226" s="6" t="s">
        <v>5</v>
      </c>
      <c r="BF226" s="6" t="s">
        <v>5</v>
      </c>
      <c r="BG226" s="6" t="s">
        <v>5</v>
      </c>
      <c r="BH226" s="6" t="s">
        <v>5</v>
      </c>
      <c r="BI226" s="7">
        <v>5.79</v>
      </c>
      <c r="BJ226" s="22">
        <v>0.83</v>
      </c>
      <c r="BK226" s="6" t="s">
        <v>5</v>
      </c>
      <c r="BL226" s="2" t="s">
        <v>5</v>
      </c>
      <c r="BM226" s="2" t="s">
        <v>5</v>
      </c>
      <c r="BN226" s="2" t="s">
        <v>5</v>
      </c>
      <c r="BO226" s="2" t="s">
        <v>5</v>
      </c>
      <c r="BP226" s="2" t="s">
        <v>5</v>
      </c>
      <c r="BQ226" s="2" t="s">
        <v>5</v>
      </c>
      <c r="BR226" s="2" t="s">
        <v>5</v>
      </c>
      <c r="BS226" s="2" t="s">
        <v>5</v>
      </c>
      <c r="BT226" s="2" t="s">
        <v>5</v>
      </c>
      <c r="BU226" s="2" t="s">
        <v>5</v>
      </c>
      <c r="BV226" s="2" t="s">
        <v>5</v>
      </c>
      <c r="BW226" s="2" t="s">
        <v>5</v>
      </c>
      <c r="BX226" s="2" t="s">
        <v>5</v>
      </c>
      <c r="BY226" s="25" t="s">
        <v>5</v>
      </c>
      <c r="BZ226" s="25" t="s">
        <v>5</v>
      </c>
      <c r="CA226" s="4">
        <v>42.6</v>
      </c>
      <c r="CB226" s="6" t="s">
        <v>5</v>
      </c>
      <c r="CC226" s="4">
        <v>57</v>
      </c>
      <c r="CD226" s="4">
        <v>43.6</v>
      </c>
      <c r="CE226" s="4">
        <v>58</v>
      </c>
      <c r="CF226" s="16" t="s">
        <v>5</v>
      </c>
      <c r="CG226" s="5">
        <v>5.5</v>
      </c>
      <c r="CH226" s="18" t="s">
        <v>5</v>
      </c>
      <c r="CV226" s="344" t="str">
        <f t="shared" si="21"/>
        <v>WT9X25</v>
      </c>
      <c r="CW226" s="338">
        <v>7.34</v>
      </c>
      <c r="DH226" s="397" t="s">
        <v>1412</v>
      </c>
      <c r="DI226" s="398">
        <v>39.9</v>
      </c>
      <c r="DJ226" s="398">
        <v>13.4</v>
      </c>
      <c r="DK226" s="399">
        <v>0.79</v>
      </c>
      <c r="DL226" s="398">
        <v>12.3</v>
      </c>
      <c r="DM226" s="400">
        <v>4.96</v>
      </c>
      <c r="DN226" s="401">
        <v>214</v>
      </c>
      <c r="DO226" s="402">
        <v>186</v>
      </c>
      <c r="DP226" s="117"/>
      <c r="DQ226" s="428" t="s">
        <v>1460</v>
      </c>
      <c r="DR226" s="429">
        <v>82.3</v>
      </c>
      <c r="DS226" s="429">
        <v>586</v>
      </c>
      <c r="DT226" s="431"/>
      <c r="DU226" s="431"/>
      <c r="DV226" s="431"/>
      <c r="DW226" s="431"/>
      <c r="DX226" s="432"/>
      <c r="DZ226" s="447" t="s">
        <v>1383</v>
      </c>
      <c r="EA226" s="448">
        <v>210</v>
      </c>
      <c r="EB226" s="448">
        <v>61.8</v>
      </c>
      <c r="EC226" s="448">
        <v>14.7</v>
      </c>
      <c r="ED226" s="448" t="s">
        <v>1820</v>
      </c>
      <c r="EE226" s="448">
        <v>1.18</v>
      </c>
      <c r="EF226" s="448" t="s">
        <v>1640</v>
      </c>
      <c r="EG226" s="449">
        <v>45054</v>
      </c>
      <c r="EH226" s="448">
        <v>12.8</v>
      </c>
      <c r="EI226" s="448" t="s">
        <v>1761</v>
      </c>
      <c r="EJ226" s="448">
        <v>1.9</v>
      </c>
      <c r="EK226" s="448" t="s">
        <v>1683</v>
      </c>
      <c r="EL226" s="448">
        <v>3.37</v>
      </c>
      <c r="EM226" s="448">
        <v>8.23</v>
      </c>
      <c r="EN226" s="448">
        <v>2140</v>
      </c>
      <c r="EO226" s="448">
        <v>292</v>
      </c>
      <c r="EP226" s="448">
        <v>5.89</v>
      </c>
      <c r="EQ226" s="448">
        <v>348</v>
      </c>
      <c r="ER226" s="448">
        <v>664</v>
      </c>
      <c r="ES226" s="448">
        <v>104</v>
      </c>
      <c r="ET226" s="448">
        <v>3.28</v>
      </c>
      <c r="EU226" s="450">
        <v>159</v>
      </c>
    </row>
    <row r="227" spans="2:151">
      <c r="B227" s="78" t="s">
        <v>145</v>
      </c>
      <c r="C227" s="79" t="s">
        <v>233</v>
      </c>
      <c r="D227" s="80" t="s">
        <v>233</v>
      </c>
      <c r="E227" s="1" t="s">
        <v>4</v>
      </c>
      <c r="F227" s="6">
        <v>129</v>
      </c>
      <c r="G227" s="4">
        <v>38.1</v>
      </c>
      <c r="H227" s="3" t="str">
        <f t="shared" si="20"/>
        <v>WT13.5X129</v>
      </c>
      <c r="I227" s="4">
        <v>14.5</v>
      </c>
      <c r="J227" s="5">
        <v>14.5</v>
      </c>
      <c r="K227" s="6" t="s">
        <v>5</v>
      </c>
      <c r="L227" s="6" t="s">
        <v>5</v>
      </c>
      <c r="M227" s="6" t="s">
        <v>5</v>
      </c>
      <c r="N227" s="4">
        <v>14.3</v>
      </c>
      <c r="O227" s="5">
        <v>14.25</v>
      </c>
      <c r="P227" s="5" t="s">
        <v>5</v>
      </c>
      <c r="Q227" s="6" t="s">
        <v>5</v>
      </c>
      <c r="R227" s="6" t="s">
        <v>5</v>
      </c>
      <c r="S227" s="22">
        <v>0.98</v>
      </c>
      <c r="T227" s="5">
        <v>1</v>
      </c>
      <c r="U227" s="8">
        <v>0.5</v>
      </c>
      <c r="V227" s="7">
        <v>1.77</v>
      </c>
      <c r="W227" s="8">
        <v>1.75</v>
      </c>
      <c r="X227" s="7">
        <v>1.77</v>
      </c>
      <c r="Y227" s="6" t="s">
        <v>5</v>
      </c>
      <c r="Z227" s="6" t="s">
        <v>5</v>
      </c>
      <c r="AA227" s="33">
        <v>2.56</v>
      </c>
      <c r="AB227" s="34">
        <v>3</v>
      </c>
      <c r="AC227" s="8" t="s">
        <v>5</v>
      </c>
      <c r="AD227" s="6" t="s">
        <v>5</v>
      </c>
      <c r="AE227" s="33">
        <v>3.27</v>
      </c>
      <c r="AF227" s="6" t="s">
        <v>5</v>
      </c>
      <c r="AG227" s="6" t="s">
        <v>5</v>
      </c>
      <c r="AH227" s="33">
        <v>1.33</v>
      </c>
      <c r="AI227" s="33">
        <v>4.03</v>
      </c>
      <c r="AJ227" s="6" t="s">
        <v>5</v>
      </c>
      <c r="AK227" s="6" t="s">
        <v>5</v>
      </c>
      <c r="AL227" s="6" t="s">
        <v>5</v>
      </c>
      <c r="AM227" s="6" t="s">
        <v>5</v>
      </c>
      <c r="AN227" s="4">
        <v>14.8</v>
      </c>
      <c r="AO227" s="38">
        <v>613</v>
      </c>
      <c r="AP227" s="39">
        <v>98.9</v>
      </c>
      <c r="AQ227" s="4">
        <v>54.7</v>
      </c>
      <c r="AR227" s="7">
        <v>4.0199999999999996</v>
      </c>
      <c r="AS227" s="38">
        <v>430</v>
      </c>
      <c r="AT227" s="39">
        <v>93.3</v>
      </c>
      <c r="AU227" s="4">
        <v>60.2</v>
      </c>
      <c r="AV227" s="7">
        <v>3.36</v>
      </c>
      <c r="AW227" s="6" t="s">
        <v>5</v>
      </c>
      <c r="AX227" s="6" t="s">
        <v>5</v>
      </c>
      <c r="AY227" s="6" t="s">
        <v>5</v>
      </c>
      <c r="AZ227" s="39">
        <v>30.7</v>
      </c>
      <c r="BA227" s="6">
        <v>178</v>
      </c>
      <c r="BB227" s="6" t="s">
        <v>5</v>
      </c>
      <c r="BC227" s="6" t="s">
        <v>5</v>
      </c>
      <c r="BD227" s="6" t="s">
        <v>5</v>
      </c>
      <c r="BE227" s="6" t="s">
        <v>5</v>
      </c>
      <c r="BF227" s="6" t="s">
        <v>5</v>
      </c>
      <c r="BG227" s="6" t="s">
        <v>5</v>
      </c>
      <c r="BH227" s="6" t="s">
        <v>5</v>
      </c>
      <c r="BI227" s="7">
        <v>5.76</v>
      </c>
      <c r="BJ227" s="22">
        <v>0.82799999999999996</v>
      </c>
      <c r="BK227" s="6" t="s">
        <v>5</v>
      </c>
      <c r="BL227" s="2" t="s">
        <v>5</v>
      </c>
      <c r="BM227" s="2" t="s">
        <v>5</v>
      </c>
      <c r="BN227" s="2" t="s">
        <v>5</v>
      </c>
      <c r="BO227" s="2" t="s">
        <v>5</v>
      </c>
      <c r="BP227" s="2" t="s">
        <v>5</v>
      </c>
      <c r="BQ227" s="2" t="s">
        <v>5</v>
      </c>
      <c r="BR227" s="2" t="s">
        <v>5</v>
      </c>
      <c r="BS227" s="2" t="s">
        <v>5</v>
      </c>
      <c r="BT227" s="2" t="s">
        <v>5</v>
      </c>
      <c r="BU227" s="2" t="s">
        <v>5</v>
      </c>
      <c r="BV227" s="2" t="s">
        <v>5</v>
      </c>
      <c r="BW227" s="2" t="s">
        <v>5</v>
      </c>
      <c r="BX227" s="2" t="s">
        <v>5</v>
      </c>
      <c r="BY227" s="25" t="s">
        <v>5</v>
      </c>
      <c r="BZ227" s="25" t="s">
        <v>5</v>
      </c>
      <c r="CA227" s="4">
        <v>42.3</v>
      </c>
      <c r="CB227" s="6" t="s">
        <v>5</v>
      </c>
      <c r="CC227" s="4">
        <v>56.6</v>
      </c>
      <c r="CD227" s="4">
        <v>43.3</v>
      </c>
      <c r="CE227" s="6">
        <v>57.6</v>
      </c>
      <c r="CF227" s="16" t="s">
        <v>5</v>
      </c>
      <c r="CG227" s="5">
        <v>5.5</v>
      </c>
      <c r="CH227" s="18" t="s">
        <v>5</v>
      </c>
      <c r="CV227" s="344" t="str">
        <f t="shared" si="21"/>
        <v>WT6X25</v>
      </c>
      <c r="CW227" s="338">
        <v>7.3</v>
      </c>
      <c r="DH227" s="397" t="s">
        <v>1420</v>
      </c>
      <c r="DI227" s="398">
        <v>35.200000000000003</v>
      </c>
      <c r="DJ227" s="398">
        <v>13.1</v>
      </c>
      <c r="DK227" s="399">
        <v>0.71</v>
      </c>
      <c r="DL227" s="398">
        <v>13.7</v>
      </c>
      <c r="DM227" s="400">
        <v>5.57</v>
      </c>
      <c r="DN227" s="401">
        <v>186</v>
      </c>
      <c r="DO227" s="402">
        <v>163</v>
      </c>
      <c r="DP227" s="117"/>
      <c r="DQ227" s="428" t="s">
        <v>1461</v>
      </c>
      <c r="DR227" s="429">
        <v>78.400000000000006</v>
      </c>
      <c r="DS227" s="429">
        <v>612</v>
      </c>
      <c r="DT227" s="431"/>
      <c r="DU227" s="431"/>
      <c r="DV227" s="431"/>
      <c r="DW227" s="431"/>
      <c r="DX227" s="432"/>
      <c r="DZ227" s="447" t="s">
        <v>1391</v>
      </c>
      <c r="EA227" s="448">
        <v>190</v>
      </c>
      <c r="EB227" s="448">
        <v>56</v>
      </c>
      <c r="EC227" s="448">
        <v>14.4</v>
      </c>
      <c r="ED227" s="448" t="s">
        <v>1733</v>
      </c>
      <c r="EE227" s="448">
        <v>1.06</v>
      </c>
      <c r="EF227" s="448" t="s">
        <v>1650</v>
      </c>
      <c r="EG227" s="449">
        <v>45185</v>
      </c>
      <c r="EH227" s="448">
        <v>12.7</v>
      </c>
      <c r="EI227" s="448" t="s">
        <v>1768</v>
      </c>
      <c r="EJ227" s="448">
        <v>1.74</v>
      </c>
      <c r="EK227" s="448" t="s">
        <v>1615</v>
      </c>
      <c r="EL227" s="448">
        <v>3.65</v>
      </c>
      <c r="EM227" s="448">
        <v>9.16</v>
      </c>
      <c r="EN227" s="448">
        <v>1890</v>
      </c>
      <c r="EO227" s="448">
        <v>263</v>
      </c>
      <c r="EP227" s="448">
        <v>5.82</v>
      </c>
      <c r="EQ227" s="448">
        <v>311</v>
      </c>
      <c r="ER227" s="448">
        <v>589</v>
      </c>
      <c r="ES227" s="448">
        <v>93</v>
      </c>
      <c r="ET227" s="448">
        <v>3.25</v>
      </c>
      <c r="EU227" s="450">
        <v>143</v>
      </c>
    </row>
    <row r="228" spans="2:151">
      <c r="B228" s="78" t="s">
        <v>145</v>
      </c>
      <c r="C228" s="79" t="s">
        <v>234</v>
      </c>
      <c r="D228" s="80" t="s">
        <v>234</v>
      </c>
      <c r="E228" s="1" t="s">
        <v>4</v>
      </c>
      <c r="F228" s="6">
        <v>117.5</v>
      </c>
      <c r="G228" s="4">
        <v>34.700000000000003</v>
      </c>
      <c r="H228" s="3" t="str">
        <f t="shared" si="20"/>
        <v>WT13.5X117.5</v>
      </c>
      <c r="I228" s="4">
        <v>14.3</v>
      </c>
      <c r="J228" s="5">
        <v>14.375</v>
      </c>
      <c r="K228" s="6" t="s">
        <v>5</v>
      </c>
      <c r="L228" s="6" t="s">
        <v>5</v>
      </c>
      <c r="M228" s="6" t="s">
        <v>5</v>
      </c>
      <c r="N228" s="4">
        <v>14.2</v>
      </c>
      <c r="O228" s="5">
        <v>14.25</v>
      </c>
      <c r="P228" s="5" t="s">
        <v>5</v>
      </c>
      <c r="Q228" s="6" t="s">
        <v>5</v>
      </c>
      <c r="R228" s="6" t="s">
        <v>5</v>
      </c>
      <c r="S228" s="22">
        <v>0.91</v>
      </c>
      <c r="T228" s="5">
        <v>0.9375</v>
      </c>
      <c r="U228" s="8">
        <v>0.5</v>
      </c>
      <c r="V228" s="7">
        <v>1.61</v>
      </c>
      <c r="W228" s="8">
        <v>1.625</v>
      </c>
      <c r="X228" s="7">
        <v>1.61</v>
      </c>
      <c r="Y228" s="6" t="s">
        <v>5</v>
      </c>
      <c r="Z228" s="6" t="s">
        <v>5</v>
      </c>
      <c r="AA228" s="33">
        <v>2.4</v>
      </c>
      <c r="AB228" s="34">
        <v>2.875</v>
      </c>
      <c r="AC228" s="8" t="s">
        <v>5</v>
      </c>
      <c r="AD228" s="6" t="s">
        <v>5</v>
      </c>
      <c r="AE228" s="33">
        <v>3.2</v>
      </c>
      <c r="AF228" s="6" t="s">
        <v>5</v>
      </c>
      <c r="AG228" s="6" t="s">
        <v>5</v>
      </c>
      <c r="AH228" s="33">
        <v>1.22</v>
      </c>
      <c r="AI228" s="33">
        <v>4.41</v>
      </c>
      <c r="AJ228" s="6" t="s">
        <v>5</v>
      </c>
      <c r="AK228" s="6" t="s">
        <v>5</v>
      </c>
      <c r="AL228" s="6" t="s">
        <v>5</v>
      </c>
      <c r="AM228" s="6" t="s">
        <v>5</v>
      </c>
      <c r="AN228" s="4">
        <v>15.7</v>
      </c>
      <c r="AO228" s="38">
        <v>556</v>
      </c>
      <c r="AP228" s="39">
        <v>89.9</v>
      </c>
      <c r="AQ228" s="4">
        <v>50</v>
      </c>
      <c r="AR228" s="7">
        <v>4</v>
      </c>
      <c r="AS228" s="38">
        <v>384</v>
      </c>
      <c r="AT228" s="39">
        <v>83.8</v>
      </c>
      <c r="AU228" s="4">
        <v>54.2</v>
      </c>
      <c r="AV228" s="7">
        <v>3.33</v>
      </c>
      <c r="AW228" s="6" t="s">
        <v>5</v>
      </c>
      <c r="AX228" s="6" t="s">
        <v>5</v>
      </c>
      <c r="AY228" s="6" t="s">
        <v>5</v>
      </c>
      <c r="AZ228" s="39">
        <v>23.4</v>
      </c>
      <c r="BA228" s="6">
        <v>135</v>
      </c>
      <c r="BB228" s="6" t="s">
        <v>5</v>
      </c>
      <c r="BC228" s="6" t="s">
        <v>5</v>
      </c>
      <c r="BD228" s="6" t="s">
        <v>5</v>
      </c>
      <c r="BE228" s="6" t="s">
        <v>5</v>
      </c>
      <c r="BF228" s="6" t="s">
        <v>5</v>
      </c>
      <c r="BG228" s="6" t="s">
        <v>5</v>
      </c>
      <c r="BH228" s="6" t="s">
        <v>5</v>
      </c>
      <c r="BI228" s="7">
        <v>5.73</v>
      </c>
      <c r="BJ228" s="22">
        <v>0.82499999999999996</v>
      </c>
      <c r="BK228" s="6" t="s">
        <v>5</v>
      </c>
      <c r="BL228" s="2" t="s">
        <v>5</v>
      </c>
      <c r="BM228" s="2" t="s">
        <v>5</v>
      </c>
      <c r="BN228" s="2" t="s">
        <v>5</v>
      </c>
      <c r="BO228" s="2" t="s">
        <v>5</v>
      </c>
      <c r="BP228" s="2" t="s">
        <v>5</v>
      </c>
      <c r="BQ228" s="2" t="s">
        <v>5</v>
      </c>
      <c r="BR228" s="2" t="s">
        <v>5</v>
      </c>
      <c r="BS228" s="2" t="s">
        <v>5</v>
      </c>
      <c r="BT228" s="2" t="s">
        <v>5</v>
      </c>
      <c r="BU228" s="2" t="s">
        <v>5</v>
      </c>
      <c r="BV228" s="2" t="s">
        <v>5</v>
      </c>
      <c r="BW228" s="2" t="s">
        <v>5</v>
      </c>
      <c r="BX228" s="2" t="s">
        <v>5</v>
      </c>
      <c r="BY228" s="25" t="s">
        <v>5</v>
      </c>
      <c r="BZ228" s="25" t="s">
        <v>5</v>
      </c>
      <c r="CA228" s="4">
        <v>41.8</v>
      </c>
      <c r="CB228" s="6" t="s">
        <v>5</v>
      </c>
      <c r="CC228" s="4">
        <v>56</v>
      </c>
      <c r="CD228" s="4">
        <v>42.8</v>
      </c>
      <c r="CE228" s="4">
        <v>57</v>
      </c>
      <c r="CF228" s="16" t="s">
        <v>5</v>
      </c>
      <c r="CG228" s="5">
        <v>5.5</v>
      </c>
      <c r="CH228" s="18" t="s">
        <v>5</v>
      </c>
      <c r="CV228" s="344" t="str">
        <f t="shared" si="21"/>
        <v>WT5X24.5</v>
      </c>
      <c r="CW228" s="338">
        <v>7.21</v>
      </c>
      <c r="DH228" s="397" t="s">
        <v>1425</v>
      </c>
      <c r="DI228" s="398">
        <v>31.2</v>
      </c>
      <c r="DJ228" s="398">
        <v>12.9</v>
      </c>
      <c r="DK228" s="399">
        <v>0.61</v>
      </c>
      <c r="DL228" s="398">
        <v>15.9</v>
      </c>
      <c r="DM228" s="400">
        <v>6.17</v>
      </c>
      <c r="DN228" s="401">
        <v>164</v>
      </c>
      <c r="DO228" s="402">
        <v>145</v>
      </c>
      <c r="DP228" s="117"/>
      <c r="DQ228" s="428" t="s">
        <v>1462</v>
      </c>
      <c r="DR228" s="429">
        <v>78.400000000000006</v>
      </c>
      <c r="DS228" s="429">
        <v>484</v>
      </c>
      <c r="DT228" s="431"/>
      <c r="DU228" s="431"/>
      <c r="DV228" s="431"/>
      <c r="DW228" s="431"/>
      <c r="DX228" s="432"/>
      <c r="DZ228" s="447" t="s">
        <v>1401</v>
      </c>
      <c r="EA228" s="448">
        <v>170</v>
      </c>
      <c r="EB228" s="448">
        <v>50</v>
      </c>
      <c r="EC228" s="448">
        <v>14</v>
      </c>
      <c r="ED228" s="448">
        <v>14</v>
      </c>
      <c r="EE228" s="448">
        <v>0.96</v>
      </c>
      <c r="EF228" s="448" t="s">
        <v>1628</v>
      </c>
      <c r="EG228" s="449">
        <v>44928</v>
      </c>
      <c r="EH228" s="448">
        <v>12.6</v>
      </c>
      <c r="EI228" s="448" t="s">
        <v>1768</v>
      </c>
      <c r="EJ228" s="448">
        <v>1.56</v>
      </c>
      <c r="EK228" s="448" t="s">
        <v>1618</v>
      </c>
      <c r="EL228" s="448">
        <v>4.03</v>
      </c>
      <c r="EM228" s="448">
        <v>10.1</v>
      </c>
      <c r="EN228" s="448">
        <v>1650</v>
      </c>
      <c r="EO228" s="448">
        <v>235</v>
      </c>
      <c r="EP228" s="448">
        <v>5.74</v>
      </c>
      <c r="EQ228" s="448">
        <v>275</v>
      </c>
      <c r="ER228" s="448">
        <v>517</v>
      </c>
      <c r="ES228" s="448">
        <v>82.3</v>
      </c>
      <c r="ET228" s="448">
        <v>3.22</v>
      </c>
      <c r="EU228" s="450">
        <v>126</v>
      </c>
    </row>
    <row r="229" spans="2:151">
      <c r="B229" s="78" t="s">
        <v>145</v>
      </c>
      <c r="C229" s="79" t="s">
        <v>235</v>
      </c>
      <c r="D229" s="80" t="s">
        <v>235</v>
      </c>
      <c r="E229" s="1" t="s">
        <v>4</v>
      </c>
      <c r="F229" s="6">
        <v>108.5</v>
      </c>
      <c r="G229" s="4">
        <v>32</v>
      </c>
      <c r="H229" s="3" t="str">
        <f t="shared" si="20"/>
        <v>WT13.5X108.5</v>
      </c>
      <c r="I229" s="4">
        <v>14.2</v>
      </c>
      <c r="J229" s="5">
        <v>14.25</v>
      </c>
      <c r="K229" s="6" t="s">
        <v>5</v>
      </c>
      <c r="L229" s="6" t="s">
        <v>5</v>
      </c>
      <c r="M229" s="6" t="s">
        <v>5</v>
      </c>
      <c r="N229" s="4">
        <v>14.1</v>
      </c>
      <c r="O229" s="5">
        <v>14.125</v>
      </c>
      <c r="P229" s="5" t="s">
        <v>5</v>
      </c>
      <c r="Q229" s="6" t="s">
        <v>5</v>
      </c>
      <c r="R229" s="6" t="s">
        <v>5</v>
      </c>
      <c r="S229" s="22">
        <v>0.83</v>
      </c>
      <c r="T229" s="5">
        <v>0.8125</v>
      </c>
      <c r="U229" s="8">
        <v>0.4375</v>
      </c>
      <c r="V229" s="7">
        <v>1.5</v>
      </c>
      <c r="W229" s="8">
        <v>1.5</v>
      </c>
      <c r="X229" s="7">
        <v>1.5</v>
      </c>
      <c r="Y229" s="6" t="s">
        <v>5</v>
      </c>
      <c r="Z229" s="6" t="s">
        <v>5</v>
      </c>
      <c r="AA229" s="33">
        <v>2.29</v>
      </c>
      <c r="AB229" s="34">
        <v>2.6875</v>
      </c>
      <c r="AC229" s="8" t="s">
        <v>5</v>
      </c>
      <c r="AD229" s="6" t="s">
        <v>5</v>
      </c>
      <c r="AE229" s="33">
        <v>3.1</v>
      </c>
      <c r="AF229" s="6" t="s">
        <v>5</v>
      </c>
      <c r="AG229" s="6" t="s">
        <v>5</v>
      </c>
      <c r="AH229" s="33">
        <v>1.1299999999999999</v>
      </c>
      <c r="AI229" s="33">
        <v>4.71</v>
      </c>
      <c r="AJ229" s="6" t="s">
        <v>5</v>
      </c>
      <c r="AK229" s="6" t="s">
        <v>5</v>
      </c>
      <c r="AL229" s="6" t="s">
        <v>5</v>
      </c>
      <c r="AM229" s="6" t="s">
        <v>5</v>
      </c>
      <c r="AN229" s="4">
        <v>17.100000000000001</v>
      </c>
      <c r="AO229" s="38">
        <v>502</v>
      </c>
      <c r="AP229" s="39">
        <v>81.099999999999994</v>
      </c>
      <c r="AQ229" s="4">
        <v>45.2</v>
      </c>
      <c r="AR229" s="7">
        <v>3.96</v>
      </c>
      <c r="AS229" s="38">
        <v>352</v>
      </c>
      <c r="AT229" s="39">
        <v>77</v>
      </c>
      <c r="AU229" s="4">
        <v>49.9</v>
      </c>
      <c r="AV229" s="7">
        <v>3.32</v>
      </c>
      <c r="AW229" s="6" t="s">
        <v>5</v>
      </c>
      <c r="AX229" s="6" t="s">
        <v>5</v>
      </c>
      <c r="AY229" s="6" t="s">
        <v>5</v>
      </c>
      <c r="AZ229" s="39">
        <v>18.8</v>
      </c>
      <c r="BA229" s="6">
        <v>105</v>
      </c>
      <c r="BB229" s="6" t="s">
        <v>5</v>
      </c>
      <c r="BC229" s="6" t="s">
        <v>5</v>
      </c>
      <c r="BD229" s="6" t="s">
        <v>5</v>
      </c>
      <c r="BE229" s="6" t="s">
        <v>5</v>
      </c>
      <c r="BF229" s="6" t="s">
        <v>5</v>
      </c>
      <c r="BG229" s="6" t="s">
        <v>5</v>
      </c>
      <c r="BH229" s="6" t="s">
        <v>5</v>
      </c>
      <c r="BI229" s="7">
        <v>5.68</v>
      </c>
      <c r="BJ229" s="22">
        <v>0.82799999999999996</v>
      </c>
      <c r="BK229" s="6" t="s">
        <v>5</v>
      </c>
      <c r="BL229" s="2" t="s">
        <v>5</v>
      </c>
      <c r="BM229" s="2" t="s">
        <v>5</v>
      </c>
      <c r="BN229" s="2" t="s">
        <v>5</v>
      </c>
      <c r="BO229" s="2" t="s">
        <v>5</v>
      </c>
      <c r="BP229" s="2" t="s">
        <v>5</v>
      </c>
      <c r="BQ229" s="2" t="s">
        <v>5</v>
      </c>
      <c r="BR229" s="2" t="s">
        <v>5</v>
      </c>
      <c r="BS229" s="2" t="s">
        <v>5</v>
      </c>
      <c r="BT229" s="2" t="s">
        <v>5</v>
      </c>
      <c r="BU229" s="2" t="s">
        <v>5</v>
      </c>
      <c r="BV229" s="2" t="s">
        <v>5</v>
      </c>
      <c r="BW229" s="2" t="s">
        <v>5</v>
      </c>
      <c r="BX229" s="2" t="s">
        <v>5</v>
      </c>
      <c r="BY229" s="25" t="s">
        <v>5</v>
      </c>
      <c r="BZ229" s="25" t="s">
        <v>5</v>
      </c>
      <c r="CA229" s="4">
        <v>41.5</v>
      </c>
      <c r="CB229" s="6" t="s">
        <v>5</v>
      </c>
      <c r="CC229" s="4">
        <v>55.6</v>
      </c>
      <c r="CD229" s="4">
        <v>42.499999999999993</v>
      </c>
      <c r="CE229" s="6">
        <v>56.599999999999994</v>
      </c>
      <c r="CF229" s="16" t="s">
        <v>5</v>
      </c>
      <c r="CG229" s="5">
        <v>5.5</v>
      </c>
      <c r="CH229" s="18" t="s">
        <v>5</v>
      </c>
      <c r="CV229" s="344" t="str">
        <f t="shared" si="21"/>
        <v>WT10.5X24</v>
      </c>
      <c r="CW229" s="338">
        <v>7.07</v>
      </c>
      <c r="DH229" s="397" t="s">
        <v>1431</v>
      </c>
      <c r="DI229" s="398">
        <v>28.2</v>
      </c>
      <c r="DJ229" s="398">
        <v>12.7</v>
      </c>
      <c r="DK229" s="399">
        <v>0.55000000000000004</v>
      </c>
      <c r="DL229" s="398">
        <v>17.7</v>
      </c>
      <c r="DM229" s="400">
        <v>6.76</v>
      </c>
      <c r="DN229" s="401">
        <v>147</v>
      </c>
      <c r="DO229" s="402">
        <v>131</v>
      </c>
      <c r="DP229" s="117"/>
      <c r="DQ229" s="428" t="s">
        <v>1463</v>
      </c>
      <c r="DR229" s="429">
        <v>77.900000000000006</v>
      </c>
      <c r="DS229" s="429">
        <v>425</v>
      </c>
      <c r="DT229" s="431"/>
      <c r="DU229" s="431"/>
      <c r="DV229" s="431"/>
      <c r="DW229" s="431"/>
      <c r="DX229" s="432"/>
      <c r="DZ229" s="447" t="s">
        <v>1407</v>
      </c>
      <c r="EA229" s="448">
        <v>152</v>
      </c>
      <c r="EB229" s="448">
        <v>44.7</v>
      </c>
      <c r="EC229" s="448">
        <v>13.7</v>
      </c>
      <c r="ED229" s="448" t="s">
        <v>1822</v>
      </c>
      <c r="EE229" s="448">
        <v>0.87</v>
      </c>
      <c r="EF229" s="449">
        <v>45115</v>
      </c>
      <c r="EG229" s="449">
        <v>45123</v>
      </c>
      <c r="EH229" s="448">
        <v>12.5</v>
      </c>
      <c r="EI229" s="448" t="s">
        <v>1770</v>
      </c>
      <c r="EJ229" s="448">
        <v>1.4</v>
      </c>
      <c r="EK229" s="448" t="s">
        <v>1678</v>
      </c>
      <c r="EL229" s="448">
        <v>4.46</v>
      </c>
      <c r="EM229" s="448">
        <v>11.2</v>
      </c>
      <c r="EN229" s="448">
        <v>1430</v>
      </c>
      <c r="EO229" s="448">
        <v>209</v>
      </c>
      <c r="EP229" s="448">
        <v>5.66</v>
      </c>
      <c r="EQ229" s="448">
        <v>243</v>
      </c>
      <c r="ER229" s="448">
        <v>454</v>
      </c>
      <c r="ES229" s="448">
        <v>72.8</v>
      </c>
      <c r="ET229" s="448">
        <v>3.19</v>
      </c>
      <c r="EU229" s="450">
        <v>111</v>
      </c>
    </row>
    <row r="230" spans="2:151">
      <c r="B230" s="78" t="s">
        <v>145</v>
      </c>
      <c r="C230" s="79" t="s">
        <v>236</v>
      </c>
      <c r="D230" s="80" t="s">
        <v>236</v>
      </c>
      <c r="E230" s="1" t="s">
        <v>4</v>
      </c>
      <c r="F230" s="4">
        <v>97</v>
      </c>
      <c r="G230" s="4">
        <v>28.6</v>
      </c>
      <c r="H230" s="3" t="str">
        <f t="shared" si="20"/>
        <v>WT13.5X97</v>
      </c>
      <c r="I230" s="4">
        <v>14.1</v>
      </c>
      <c r="J230" s="5">
        <v>14</v>
      </c>
      <c r="K230" s="6" t="s">
        <v>5</v>
      </c>
      <c r="L230" s="6" t="s">
        <v>5</v>
      </c>
      <c r="M230" s="6" t="s">
        <v>5</v>
      </c>
      <c r="N230" s="4">
        <v>14</v>
      </c>
      <c r="O230" s="5">
        <v>14</v>
      </c>
      <c r="P230" s="5" t="s">
        <v>5</v>
      </c>
      <c r="Q230" s="6" t="s">
        <v>5</v>
      </c>
      <c r="R230" s="6" t="s">
        <v>5</v>
      </c>
      <c r="S230" s="22">
        <v>0.75</v>
      </c>
      <c r="T230" s="5">
        <v>0.75</v>
      </c>
      <c r="U230" s="8">
        <v>0.375</v>
      </c>
      <c r="V230" s="7">
        <v>1.34</v>
      </c>
      <c r="W230" s="8">
        <v>1.3125</v>
      </c>
      <c r="X230" s="7">
        <v>1.34</v>
      </c>
      <c r="Y230" s="6" t="s">
        <v>5</v>
      </c>
      <c r="Z230" s="6" t="s">
        <v>5</v>
      </c>
      <c r="AA230" s="33">
        <v>2.13</v>
      </c>
      <c r="AB230" s="34">
        <v>2.5625</v>
      </c>
      <c r="AC230" s="8" t="s">
        <v>5</v>
      </c>
      <c r="AD230" s="6" t="s">
        <v>5</v>
      </c>
      <c r="AE230" s="33">
        <v>3.02</v>
      </c>
      <c r="AF230" s="6" t="s">
        <v>5</v>
      </c>
      <c r="AG230" s="6" t="s">
        <v>5</v>
      </c>
      <c r="AH230" s="33">
        <v>1.02</v>
      </c>
      <c r="AI230" s="33">
        <v>5.24</v>
      </c>
      <c r="AJ230" s="6" t="s">
        <v>5</v>
      </c>
      <c r="AK230" s="6" t="s">
        <v>5</v>
      </c>
      <c r="AL230" s="6" t="s">
        <v>5</v>
      </c>
      <c r="AM230" s="6" t="s">
        <v>5</v>
      </c>
      <c r="AN230" s="4">
        <v>18.8</v>
      </c>
      <c r="AO230" s="38">
        <v>444</v>
      </c>
      <c r="AP230" s="39">
        <v>71.8</v>
      </c>
      <c r="AQ230" s="4">
        <v>40.299999999999997</v>
      </c>
      <c r="AR230" s="7">
        <v>3.94</v>
      </c>
      <c r="AS230" s="38">
        <v>309</v>
      </c>
      <c r="AT230" s="39">
        <v>67.8</v>
      </c>
      <c r="AU230" s="4">
        <v>44.1</v>
      </c>
      <c r="AV230" s="7">
        <v>3.29</v>
      </c>
      <c r="AW230" s="6" t="s">
        <v>5</v>
      </c>
      <c r="AX230" s="6" t="s">
        <v>5</v>
      </c>
      <c r="AY230" s="6" t="s">
        <v>5</v>
      </c>
      <c r="AZ230" s="39">
        <v>13.5</v>
      </c>
      <c r="BA230" s="4">
        <v>74.3</v>
      </c>
      <c r="BB230" s="6" t="s">
        <v>5</v>
      </c>
      <c r="BC230" s="6" t="s">
        <v>5</v>
      </c>
      <c r="BD230" s="6" t="s">
        <v>5</v>
      </c>
      <c r="BE230" s="6" t="s">
        <v>5</v>
      </c>
      <c r="BF230" s="6" t="s">
        <v>5</v>
      </c>
      <c r="BG230" s="6" t="s">
        <v>5</v>
      </c>
      <c r="BH230" s="6" t="s">
        <v>5</v>
      </c>
      <c r="BI230" s="7">
        <v>5.64</v>
      </c>
      <c r="BJ230" s="22">
        <v>0.82699999999999996</v>
      </c>
      <c r="BK230" s="6" t="s">
        <v>5</v>
      </c>
      <c r="BL230" s="2" t="s">
        <v>5</v>
      </c>
      <c r="BM230" s="2" t="s">
        <v>5</v>
      </c>
      <c r="BN230" s="2" t="s">
        <v>5</v>
      </c>
      <c r="BO230" s="2" t="s">
        <v>5</v>
      </c>
      <c r="BP230" s="2" t="s">
        <v>5</v>
      </c>
      <c r="BQ230" s="2" t="s">
        <v>5</v>
      </c>
      <c r="BR230" s="2" t="s">
        <v>5</v>
      </c>
      <c r="BS230" s="2" t="s">
        <v>5</v>
      </c>
      <c r="BT230" s="2" t="s">
        <v>5</v>
      </c>
      <c r="BU230" s="2" t="s">
        <v>5</v>
      </c>
      <c r="BV230" s="2" t="s">
        <v>5</v>
      </c>
      <c r="BW230" s="2" t="s">
        <v>5</v>
      </c>
      <c r="BX230" s="2" t="s">
        <v>5</v>
      </c>
      <c r="BY230" s="25" t="s">
        <v>5</v>
      </c>
      <c r="BZ230" s="25" t="s">
        <v>5</v>
      </c>
      <c r="CA230" s="4">
        <v>41.2</v>
      </c>
      <c r="CB230" s="6" t="s">
        <v>5</v>
      </c>
      <c r="CC230" s="4">
        <v>55.2</v>
      </c>
      <c r="CD230" s="4">
        <v>42.2</v>
      </c>
      <c r="CE230" s="6">
        <v>56.2</v>
      </c>
      <c r="CF230" s="16" t="s">
        <v>5</v>
      </c>
      <c r="CG230" s="5">
        <v>5.5</v>
      </c>
      <c r="CH230" s="18" t="s">
        <v>5</v>
      </c>
      <c r="CV230" s="344" t="str">
        <f t="shared" si="21"/>
        <v>WT10.5X24</v>
      </c>
      <c r="CW230" s="338">
        <v>7.07</v>
      </c>
      <c r="DH230" s="397" t="s">
        <v>1438</v>
      </c>
      <c r="DI230" s="398">
        <v>25.6</v>
      </c>
      <c r="DJ230" s="398">
        <v>12.5</v>
      </c>
      <c r="DK230" s="399">
        <v>0.51500000000000001</v>
      </c>
      <c r="DL230" s="398">
        <v>18.899999999999999</v>
      </c>
      <c r="DM230" s="400">
        <v>7.48</v>
      </c>
      <c r="DN230" s="401">
        <v>132</v>
      </c>
      <c r="DO230" s="402">
        <v>118</v>
      </c>
      <c r="DP230" s="117"/>
      <c r="DQ230" s="428" t="s">
        <v>1464</v>
      </c>
      <c r="DR230" s="429">
        <v>74.599999999999994</v>
      </c>
      <c r="DS230" s="429">
        <v>341</v>
      </c>
      <c r="DT230" s="431"/>
      <c r="DU230" s="431"/>
      <c r="DV230" s="431"/>
      <c r="DW230" s="431"/>
      <c r="DX230" s="432"/>
      <c r="DZ230" s="447" t="s">
        <v>1412</v>
      </c>
      <c r="EA230" s="448">
        <v>136</v>
      </c>
      <c r="EB230" s="448">
        <v>39.9</v>
      </c>
      <c r="EC230" s="448">
        <v>13.4</v>
      </c>
      <c r="ED230" s="448" t="s">
        <v>1750</v>
      </c>
      <c r="EE230" s="448">
        <v>0.79</v>
      </c>
      <c r="EF230" s="448" t="s">
        <v>1620</v>
      </c>
      <c r="EG230" s="449">
        <v>45123</v>
      </c>
      <c r="EH230" s="448">
        <v>12.4</v>
      </c>
      <c r="EI230" s="448" t="s">
        <v>1652</v>
      </c>
      <c r="EJ230" s="448">
        <v>1.25</v>
      </c>
      <c r="EK230" s="448" t="s">
        <v>1624</v>
      </c>
      <c r="EL230" s="448">
        <v>4.96</v>
      </c>
      <c r="EM230" s="448">
        <v>12.3</v>
      </c>
      <c r="EN230" s="448">
        <v>1240</v>
      </c>
      <c r="EO230" s="448">
        <v>186</v>
      </c>
      <c r="EP230" s="448">
        <v>5.58</v>
      </c>
      <c r="EQ230" s="448">
        <v>214</v>
      </c>
      <c r="ER230" s="448">
        <v>398</v>
      </c>
      <c r="ES230" s="448">
        <v>64.2</v>
      </c>
      <c r="ET230" s="448">
        <v>3.16</v>
      </c>
      <c r="EU230" s="450">
        <v>98</v>
      </c>
    </row>
    <row r="231" spans="2:151">
      <c r="B231" s="78" t="s">
        <v>145</v>
      </c>
      <c r="C231" s="79" t="s">
        <v>237</v>
      </c>
      <c r="D231" s="80" t="s">
        <v>237</v>
      </c>
      <c r="E231" s="1" t="s">
        <v>4</v>
      </c>
      <c r="F231" s="4">
        <v>89</v>
      </c>
      <c r="G231" s="4">
        <v>26.3</v>
      </c>
      <c r="H231" s="3" t="str">
        <f t="shared" si="20"/>
        <v>WT13.5X89</v>
      </c>
      <c r="I231" s="4">
        <v>13.9</v>
      </c>
      <c r="J231" s="5">
        <v>13.875</v>
      </c>
      <c r="K231" s="6" t="s">
        <v>5</v>
      </c>
      <c r="L231" s="6" t="s">
        <v>5</v>
      </c>
      <c r="M231" s="6" t="s">
        <v>5</v>
      </c>
      <c r="N231" s="4">
        <v>14.1</v>
      </c>
      <c r="O231" s="5">
        <v>14.125</v>
      </c>
      <c r="P231" s="5" t="s">
        <v>5</v>
      </c>
      <c r="Q231" s="6" t="s">
        <v>5</v>
      </c>
      <c r="R231" s="6" t="s">
        <v>5</v>
      </c>
      <c r="S231" s="22">
        <v>0.72499999999999998</v>
      </c>
      <c r="T231" s="5">
        <v>0.75</v>
      </c>
      <c r="U231" s="8">
        <v>0.375</v>
      </c>
      <c r="V231" s="7">
        <v>1.19</v>
      </c>
      <c r="W231" s="8">
        <v>1.1875</v>
      </c>
      <c r="X231" s="7">
        <v>1.19</v>
      </c>
      <c r="Y231" s="6" t="s">
        <v>5</v>
      </c>
      <c r="Z231" s="6" t="s">
        <v>5</v>
      </c>
      <c r="AA231" s="33">
        <v>1.98</v>
      </c>
      <c r="AB231" s="34">
        <v>2.375</v>
      </c>
      <c r="AC231" s="8" t="s">
        <v>5</v>
      </c>
      <c r="AD231" s="6" t="s">
        <v>5</v>
      </c>
      <c r="AE231" s="33">
        <v>3.04</v>
      </c>
      <c r="AF231" s="6" t="s">
        <v>5</v>
      </c>
      <c r="AG231" s="6" t="s">
        <v>5</v>
      </c>
      <c r="AH231" s="40">
        <v>0.93200000000000005</v>
      </c>
      <c r="AI231" s="33">
        <v>5.92</v>
      </c>
      <c r="AJ231" s="6" t="s">
        <v>5</v>
      </c>
      <c r="AK231" s="6" t="s">
        <v>5</v>
      </c>
      <c r="AL231" s="6" t="s">
        <v>5</v>
      </c>
      <c r="AM231" s="6" t="s">
        <v>5</v>
      </c>
      <c r="AN231" s="4">
        <v>19.2</v>
      </c>
      <c r="AO231" s="38">
        <v>414</v>
      </c>
      <c r="AP231" s="39">
        <v>67.7</v>
      </c>
      <c r="AQ231" s="4">
        <v>38.200000000000003</v>
      </c>
      <c r="AR231" s="7">
        <v>3.97</v>
      </c>
      <c r="AS231" s="38">
        <v>278</v>
      </c>
      <c r="AT231" s="39">
        <v>60.8</v>
      </c>
      <c r="AU231" s="4">
        <v>39.4</v>
      </c>
      <c r="AV231" s="7">
        <v>3.25</v>
      </c>
      <c r="AW231" s="6" t="s">
        <v>5</v>
      </c>
      <c r="AX231" s="6" t="s">
        <v>5</v>
      </c>
      <c r="AY231" s="6" t="s">
        <v>5</v>
      </c>
      <c r="AZ231" s="39">
        <v>10</v>
      </c>
      <c r="BA231" s="4">
        <v>57.7</v>
      </c>
      <c r="BB231" s="6" t="s">
        <v>5</v>
      </c>
      <c r="BC231" s="6" t="s">
        <v>5</v>
      </c>
      <c r="BD231" s="6" t="s">
        <v>5</v>
      </c>
      <c r="BE231" s="6" t="s">
        <v>5</v>
      </c>
      <c r="BF231" s="6" t="s">
        <v>5</v>
      </c>
      <c r="BG231" s="6" t="s">
        <v>5</v>
      </c>
      <c r="BH231" s="6" t="s">
        <v>5</v>
      </c>
      <c r="BI231" s="7">
        <v>5.69</v>
      </c>
      <c r="BJ231" s="22">
        <v>0.81499999999999995</v>
      </c>
      <c r="BK231" s="6" t="s">
        <v>5</v>
      </c>
      <c r="BL231" s="2" t="s">
        <v>5</v>
      </c>
      <c r="BM231" s="2" t="s">
        <v>5</v>
      </c>
      <c r="BN231" s="2" t="s">
        <v>5</v>
      </c>
      <c r="BO231" s="2" t="s">
        <v>5</v>
      </c>
      <c r="BP231" s="2" t="s">
        <v>5</v>
      </c>
      <c r="BQ231" s="2" t="s">
        <v>5</v>
      </c>
      <c r="BR231" s="2" t="s">
        <v>5</v>
      </c>
      <c r="BS231" s="2" t="s">
        <v>5</v>
      </c>
      <c r="BT231" s="2" t="s">
        <v>5</v>
      </c>
      <c r="BU231" s="2" t="s">
        <v>5</v>
      </c>
      <c r="BV231" s="2" t="s">
        <v>5</v>
      </c>
      <c r="BW231" s="2" t="s">
        <v>5</v>
      </c>
      <c r="BX231" s="2" t="s">
        <v>5</v>
      </c>
      <c r="BY231" s="25" t="s">
        <v>5</v>
      </c>
      <c r="BZ231" s="25" t="s">
        <v>5</v>
      </c>
      <c r="CA231" s="4">
        <v>40.9</v>
      </c>
      <c r="CB231" s="6" t="s">
        <v>5</v>
      </c>
      <c r="CC231" s="4">
        <v>55</v>
      </c>
      <c r="CD231" s="4">
        <v>41.9</v>
      </c>
      <c r="CE231" s="4">
        <v>56</v>
      </c>
      <c r="CF231" s="16" t="s">
        <v>5</v>
      </c>
      <c r="CG231" s="5">
        <v>5.5</v>
      </c>
      <c r="CH231" s="18" t="s">
        <v>5</v>
      </c>
      <c r="CV231" s="344" t="str">
        <f t="shared" si="21"/>
        <v>WT4X24</v>
      </c>
      <c r="CW231" s="338">
        <v>7.05</v>
      </c>
      <c r="DH231" s="397" t="s">
        <v>1444</v>
      </c>
      <c r="DI231" s="398">
        <v>23.2</v>
      </c>
      <c r="DJ231" s="398">
        <v>12.4</v>
      </c>
      <c r="DK231" s="399">
        <v>0.47</v>
      </c>
      <c r="DL231" s="398">
        <v>20.7</v>
      </c>
      <c r="DM231" s="400">
        <v>8.2200000000000006</v>
      </c>
      <c r="DN231" s="401">
        <v>119</v>
      </c>
      <c r="DO231" s="402">
        <v>107</v>
      </c>
      <c r="DP231" s="117"/>
      <c r="DQ231" s="428" t="s">
        <v>1465</v>
      </c>
      <c r="DR231" s="429">
        <v>73</v>
      </c>
      <c r="DS231" s="429">
        <v>518</v>
      </c>
      <c r="DT231" s="431"/>
      <c r="DU231" s="431"/>
      <c r="DV231" s="431"/>
      <c r="DW231" s="431"/>
      <c r="DX231" s="432"/>
      <c r="DZ231" s="447" t="s">
        <v>1420</v>
      </c>
      <c r="EA231" s="448">
        <v>120</v>
      </c>
      <c r="EB231" s="448">
        <v>35.200000000000003</v>
      </c>
      <c r="EC231" s="448">
        <v>13.1</v>
      </c>
      <c r="ED231" s="448" t="s">
        <v>1753</v>
      </c>
      <c r="EE231" s="448">
        <v>0.71</v>
      </c>
      <c r="EF231" s="449">
        <v>45246</v>
      </c>
      <c r="EG231" s="449">
        <v>44993</v>
      </c>
      <c r="EH231" s="448">
        <v>12.3</v>
      </c>
      <c r="EI231" s="448" t="s">
        <v>1652</v>
      </c>
      <c r="EJ231" s="448">
        <v>1.1100000000000001</v>
      </c>
      <c r="EK231" s="448" t="s">
        <v>1643</v>
      </c>
      <c r="EL231" s="448">
        <v>5.57</v>
      </c>
      <c r="EM231" s="448">
        <v>13.7</v>
      </c>
      <c r="EN231" s="448">
        <v>1070</v>
      </c>
      <c r="EO231" s="448">
        <v>163</v>
      </c>
      <c r="EP231" s="448">
        <v>5.51</v>
      </c>
      <c r="EQ231" s="448">
        <v>186</v>
      </c>
      <c r="ER231" s="448">
        <v>345</v>
      </c>
      <c r="ES231" s="448">
        <v>56</v>
      </c>
      <c r="ET231" s="448">
        <v>3.13</v>
      </c>
      <c r="EU231" s="450">
        <v>85.4</v>
      </c>
    </row>
    <row r="232" spans="2:151">
      <c r="B232" s="78" t="s">
        <v>145</v>
      </c>
      <c r="C232" s="79" t="s">
        <v>238</v>
      </c>
      <c r="D232" s="80" t="s">
        <v>238</v>
      </c>
      <c r="E232" s="1" t="s">
        <v>4</v>
      </c>
      <c r="F232" s="4">
        <v>80.5</v>
      </c>
      <c r="G232" s="4">
        <v>23.8</v>
      </c>
      <c r="H232" s="3" t="str">
        <f t="shared" si="20"/>
        <v>WT13.5X80.5</v>
      </c>
      <c r="I232" s="4">
        <v>13.8</v>
      </c>
      <c r="J232" s="5">
        <v>13.75</v>
      </c>
      <c r="K232" s="6" t="s">
        <v>5</v>
      </c>
      <c r="L232" s="6" t="s">
        <v>5</v>
      </c>
      <c r="M232" s="6" t="s">
        <v>5</v>
      </c>
      <c r="N232" s="4">
        <v>14</v>
      </c>
      <c r="O232" s="5">
        <v>14</v>
      </c>
      <c r="P232" s="5" t="s">
        <v>5</v>
      </c>
      <c r="Q232" s="6" t="s">
        <v>5</v>
      </c>
      <c r="R232" s="6" t="s">
        <v>5</v>
      </c>
      <c r="S232" s="22">
        <v>0.66</v>
      </c>
      <c r="T232" s="5">
        <v>0.6875</v>
      </c>
      <c r="U232" s="8">
        <v>0.375</v>
      </c>
      <c r="V232" s="7">
        <v>1.08</v>
      </c>
      <c r="W232" s="8">
        <v>1.0625</v>
      </c>
      <c r="X232" s="7">
        <v>1.08</v>
      </c>
      <c r="Y232" s="6" t="s">
        <v>5</v>
      </c>
      <c r="Z232" s="6" t="s">
        <v>5</v>
      </c>
      <c r="AA232" s="33">
        <v>1.87</v>
      </c>
      <c r="AB232" s="34">
        <v>2.3125</v>
      </c>
      <c r="AC232" s="8" t="s">
        <v>5</v>
      </c>
      <c r="AD232" s="6" t="s">
        <v>5</v>
      </c>
      <c r="AE232" s="33">
        <v>2.98</v>
      </c>
      <c r="AF232" s="6" t="s">
        <v>5</v>
      </c>
      <c r="AG232" s="6" t="s">
        <v>5</v>
      </c>
      <c r="AH232" s="40">
        <v>0.84899999999999998</v>
      </c>
      <c r="AI232" s="33">
        <v>6.49</v>
      </c>
      <c r="AJ232" s="6" t="s">
        <v>5</v>
      </c>
      <c r="AK232" s="6" t="s">
        <v>5</v>
      </c>
      <c r="AL232" s="6" t="s">
        <v>5</v>
      </c>
      <c r="AM232" s="6" t="s">
        <v>5</v>
      </c>
      <c r="AN232" s="4">
        <v>20.9</v>
      </c>
      <c r="AO232" s="38">
        <v>372</v>
      </c>
      <c r="AP232" s="39">
        <v>60.8</v>
      </c>
      <c r="AQ232" s="4">
        <v>34.4</v>
      </c>
      <c r="AR232" s="7">
        <v>3.95</v>
      </c>
      <c r="AS232" s="38">
        <v>248</v>
      </c>
      <c r="AT232" s="39">
        <v>54.5</v>
      </c>
      <c r="AU232" s="4">
        <v>35.4</v>
      </c>
      <c r="AV232" s="7">
        <v>3.23</v>
      </c>
      <c r="AW232" s="6" t="s">
        <v>5</v>
      </c>
      <c r="AX232" s="6" t="s">
        <v>5</v>
      </c>
      <c r="AY232" s="6" t="s">
        <v>5</v>
      </c>
      <c r="AZ232" s="33">
        <v>7.53</v>
      </c>
      <c r="BA232" s="4">
        <v>42.7</v>
      </c>
      <c r="BB232" s="6" t="s">
        <v>5</v>
      </c>
      <c r="BC232" s="6" t="s">
        <v>5</v>
      </c>
      <c r="BD232" s="6" t="s">
        <v>5</v>
      </c>
      <c r="BE232" s="6" t="s">
        <v>5</v>
      </c>
      <c r="BF232" s="6" t="s">
        <v>5</v>
      </c>
      <c r="BG232" s="6" t="s">
        <v>5</v>
      </c>
      <c r="BH232" s="6" t="s">
        <v>5</v>
      </c>
      <c r="BI232" s="7">
        <v>5.66</v>
      </c>
      <c r="BJ232" s="22">
        <v>0.81399999999999995</v>
      </c>
      <c r="BK232" s="6" t="s">
        <v>5</v>
      </c>
      <c r="BL232" s="2" t="s">
        <v>5</v>
      </c>
      <c r="BM232" s="2" t="s">
        <v>5</v>
      </c>
      <c r="BN232" s="2" t="s">
        <v>5</v>
      </c>
      <c r="BO232" s="2" t="s">
        <v>5</v>
      </c>
      <c r="BP232" s="2" t="s">
        <v>5</v>
      </c>
      <c r="BQ232" s="2" t="s">
        <v>5</v>
      </c>
      <c r="BR232" s="2" t="s">
        <v>5</v>
      </c>
      <c r="BS232" s="2" t="s">
        <v>5</v>
      </c>
      <c r="BT232" s="2" t="s">
        <v>5</v>
      </c>
      <c r="BU232" s="2" t="s">
        <v>5</v>
      </c>
      <c r="BV232" s="2" t="s">
        <v>5</v>
      </c>
      <c r="BW232" s="2" t="s">
        <v>5</v>
      </c>
      <c r="BX232" s="2" t="s">
        <v>5</v>
      </c>
      <c r="BY232" s="25" t="s">
        <v>5</v>
      </c>
      <c r="BZ232" s="25" t="s">
        <v>5</v>
      </c>
      <c r="CA232" s="4">
        <v>40.6</v>
      </c>
      <c r="CB232" s="6" t="s">
        <v>5</v>
      </c>
      <c r="CC232" s="4">
        <v>54.6</v>
      </c>
      <c r="CD232" s="4">
        <v>41.6</v>
      </c>
      <c r="CE232" s="6">
        <v>55.6</v>
      </c>
      <c r="CF232" s="16" t="s">
        <v>5</v>
      </c>
      <c r="CG232" s="5">
        <v>5.5</v>
      </c>
      <c r="CH232" s="18" t="s">
        <v>5</v>
      </c>
      <c r="CV232" s="344" t="str">
        <f t="shared" si="21"/>
        <v>WT9X23</v>
      </c>
      <c r="CW232" s="338">
        <v>6.77</v>
      </c>
      <c r="DH232" s="397" t="s">
        <v>1448</v>
      </c>
      <c r="DI232" s="398">
        <v>21.1</v>
      </c>
      <c r="DJ232" s="398">
        <v>12.3</v>
      </c>
      <c r="DK232" s="399">
        <v>0.43</v>
      </c>
      <c r="DL232" s="398">
        <v>22.6</v>
      </c>
      <c r="DM232" s="400">
        <v>8.99</v>
      </c>
      <c r="DN232" s="401">
        <v>108</v>
      </c>
      <c r="DO232" s="411">
        <v>97.4</v>
      </c>
      <c r="DP232" s="115"/>
      <c r="DQ232" s="428" t="s">
        <v>1466</v>
      </c>
      <c r="DR232" s="429">
        <v>71.900000000000006</v>
      </c>
      <c r="DS232" s="429">
        <v>391</v>
      </c>
      <c r="DT232" s="431"/>
      <c r="DU232" s="431"/>
      <c r="DV232" s="431"/>
      <c r="DW232" s="431"/>
      <c r="DX232" s="432"/>
      <c r="DZ232" s="447" t="s">
        <v>1425</v>
      </c>
      <c r="EA232" s="448">
        <v>106</v>
      </c>
      <c r="EB232" s="448">
        <v>31.2</v>
      </c>
      <c r="EC232" s="448">
        <v>12.9</v>
      </c>
      <c r="ED232" s="448" t="s">
        <v>1757</v>
      </c>
      <c r="EE232" s="448">
        <v>0.61</v>
      </c>
      <c r="EF232" s="449">
        <v>45054</v>
      </c>
      <c r="EG232" s="449">
        <v>45062</v>
      </c>
      <c r="EH232" s="448">
        <v>12.2</v>
      </c>
      <c r="EI232" s="448" t="s">
        <v>1691</v>
      </c>
      <c r="EJ232" s="448">
        <v>0.99</v>
      </c>
      <c r="EK232" s="448">
        <v>1</v>
      </c>
      <c r="EL232" s="448">
        <v>6.17</v>
      </c>
      <c r="EM232" s="448">
        <v>15.9</v>
      </c>
      <c r="EN232" s="448">
        <v>933</v>
      </c>
      <c r="EO232" s="448">
        <v>145</v>
      </c>
      <c r="EP232" s="448">
        <v>5.47</v>
      </c>
      <c r="EQ232" s="448">
        <v>164</v>
      </c>
      <c r="ER232" s="448">
        <v>301</v>
      </c>
      <c r="ES232" s="448">
        <v>49.3</v>
      </c>
      <c r="ET232" s="448">
        <v>3.11</v>
      </c>
      <c r="EU232" s="450">
        <v>75.099999999999994</v>
      </c>
    </row>
    <row r="233" spans="2:151">
      <c r="B233" s="78" t="s">
        <v>145</v>
      </c>
      <c r="C233" s="79" t="s">
        <v>239</v>
      </c>
      <c r="D233" s="80" t="s">
        <v>239</v>
      </c>
      <c r="E233" s="1" t="s">
        <v>4</v>
      </c>
      <c r="F233" s="4">
        <v>73</v>
      </c>
      <c r="G233" s="4">
        <v>21.6</v>
      </c>
      <c r="H233" s="3" t="str">
        <f t="shared" si="20"/>
        <v>WT13.5X73</v>
      </c>
      <c r="I233" s="4">
        <v>13.7</v>
      </c>
      <c r="J233" s="5">
        <v>13.75</v>
      </c>
      <c r="K233" s="6" t="s">
        <v>5</v>
      </c>
      <c r="L233" s="6" t="s">
        <v>5</v>
      </c>
      <c r="M233" s="6" t="s">
        <v>5</v>
      </c>
      <c r="N233" s="4">
        <v>14</v>
      </c>
      <c r="O233" s="5">
        <v>14</v>
      </c>
      <c r="P233" s="5" t="s">
        <v>5</v>
      </c>
      <c r="Q233" s="6" t="s">
        <v>5</v>
      </c>
      <c r="R233" s="6" t="s">
        <v>5</v>
      </c>
      <c r="S233" s="22">
        <v>0.60499999999999998</v>
      </c>
      <c r="T233" s="5">
        <v>0.625</v>
      </c>
      <c r="U233" s="8">
        <v>0.3125</v>
      </c>
      <c r="V233" s="22">
        <v>0.97499999999999998</v>
      </c>
      <c r="W233" s="8">
        <v>1</v>
      </c>
      <c r="X233" s="22">
        <v>0.97499999999999998</v>
      </c>
      <c r="Y233" s="6" t="s">
        <v>5</v>
      </c>
      <c r="Z233" s="6" t="s">
        <v>5</v>
      </c>
      <c r="AA233" s="33">
        <v>1.76</v>
      </c>
      <c r="AB233" s="34">
        <v>2.1875</v>
      </c>
      <c r="AC233" s="8" t="s">
        <v>5</v>
      </c>
      <c r="AD233" s="6" t="s">
        <v>5</v>
      </c>
      <c r="AE233" s="33">
        <v>2.94</v>
      </c>
      <c r="AF233" s="6" t="s">
        <v>5</v>
      </c>
      <c r="AG233" s="6" t="s">
        <v>5</v>
      </c>
      <c r="AH233" s="40">
        <v>0.77200000000000002</v>
      </c>
      <c r="AI233" s="33">
        <v>7.16</v>
      </c>
      <c r="AJ233" s="6" t="s">
        <v>5</v>
      </c>
      <c r="AK233" s="6" t="s">
        <v>5</v>
      </c>
      <c r="AL233" s="6" t="s">
        <v>5</v>
      </c>
      <c r="AM233" s="6" t="s">
        <v>5</v>
      </c>
      <c r="AN233" s="4">
        <v>22.6</v>
      </c>
      <c r="AO233" s="38">
        <v>336</v>
      </c>
      <c r="AP233" s="39">
        <v>55</v>
      </c>
      <c r="AQ233" s="4">
        <v>31.2</v>
      </c>
      <c r="AR233" s="7">
        <v>3.95</v>
      </c>
      <c r="AS233" s="38">
        <v>222</v>
      </c>
      <c r="AT233" s="39">
        <v>48.8</v>
      </c>
      <c r="AU233" s="4">
        <v>31.7</v>
      </c>
      <c r="AV233" s="7">
        <v>3.2</v>
      </c>
      <c r="AW233" s="6" t="s">
        <v>5</v>
      </c>
      <c r="AX233" s="6" t="s">
        <v>5</v>
      </c>
      <c r="AY233" s="6" t="s">
        <v>5</v>
      </c>
      <c r="AZ233" s="33">
        <v>5.62</v>
      </c>
      <c r="BA233" s="4">
        <v>31.7</v>
      </c>
      <c r="BB233" s="6" t="s">
        <v>5</v>
      </c>
      <c r="BC233" s="6" t="s">
        <v>5</v>
      </c>
      <c r="BD233" s="6" t="s">
        <v>5</v>
      </c>
      <c r="BE233" s="6" t="s">
        <v>5</v>
      </c>
      <c r="BF233" s="6" t="s">
        <v>5</v>
      </c>
      <c r="BG233" s="6" t="s">
        <v>5</v>
      </c>
      <c r="BH233" s="6" t="s">
        <v>5</v>
      </c>
      <c r="BI233" s="7">
        <v>5.64</v>
      </c>
      <c r="BJ233" s="22">
        <v>0.81200000000000006</v>
      </c>
      <c r="BK233" s="6" t="s">
        <v>5</v>
      </c>
      <c r="BL233" s="2" t="s">
        <v>5</v>
      </c>
      <c r="BM233" s="2" t="s">
        <v>5</v>
      </c>
      <c r="BN233" s="2" t="s">
        <v>5</v>
      </c>
      <c r="BO233" s="2" t="s">
        <v>5</v>
      </c>
      <c r="BP233" s="2" t="s">
        <v>5</v>
      </c>
      <c r="BQ233" s="2" t="s">
        <v>5</v>
      </c>
      <c r="BR233" s="2" t="s">
        <v>5</v>
      </c>
      <c r="BS233" s="2" t="s">
        <v>5</v>
      </c>
      <c r="BT233" s="2" t="s">
        <v>5</v>
      </c>
      <c r="BU233" s="2" t="s">
        <v>5</v>
      </c>
      <c r="BV233" s="2" t="s">
        <v>5</v>
      </c>
      <c r="BW233" s="2" t="s">
        <v>5</v>
      </c>
      <c r="BX233" s="2" t="s">
        <v>5</v>
      </c>
      <c r="BY233" s="25" t="s">
        <v>5</v>
      </c>
      <c r="BZ233" s="25" t="s">
        <v>5</v>
      </c>
      <c r="CA233" s="4">
        <v>40.4</v>
      </c>
      <c r="CB233" s="6" t="s">
        <v>5</v>
      </c>
      <c r="CC233" s="4">
        <v>54.4</v>
      </c>
      <c r="CD233" s="4">
        <v>41.4</v>
      </c>
      <c r="CE233" s="6">
        <v>55.4</v>
      </c>
      <c r="CF233" s="16" t="s">
        <v>5</v>
      </c>
      <c r="CG233" s="5">
        <v>5.5</v>
      </c>
      <c r="CH233" s="18" t="s">
        <v>5</v>
      </c>
      <c r="CV233" s="344" t="str">
        <f t="shared" si="21"/>
        <v>WT8X22.5</v>
      </c>
      <c r="CW233" s="338">
        <v>6.63</v>
      </c>
      <c r="DH233" s="397" t="s">
        <v>1522</v>
      </c>
      <c r="DI233" s="398">
        <v>19.100000000000001</v>
      </c>
      <c r="DJ233" s="398">
        <v>12.1</v>
      </c>
      <c r="DK233" s="399">
        <v>0.39</v>
      </c>
      <c r="DL233" s="398">
        <v>24.9</v>
      </c>
      <c r="DM233" s="400">
        <v>9.92</v>
      </c>
      <c r="DN233" s="398">
        <v>96.8</v>
      </c>
      <c r="DO233" s="411">
        <v>87.9</v>
      </c>
      <c r="DP233" s="115"/>
      <c r="DQ233" s="428" t="s">
        <v>1467</v>
      </c>
      <c r="DR233" s="429">
        <v>70.099999999999994</v>
      </c>
      <c r="DS233" s="429">
        <v>272</v>
      </c>
      <c r="DT233" s="431"/>
      <c r="DU233" s="431"/>
      <c r="DV233" s="431"/>
      <c r="DW233" s="431"/>
      <c r="DX233" s="432"/>
      <c r="DZ233" s="447" t="s">
        <v>1431</v>
      </c>
      <c r="EA233" s="448">
        <v>96</v>
      </c>
      <c r="EB233" s="448">
        <v>28.2</v>
      </c>
      <c r="EC233" s="448">
        <v>12.7</v>
      </c>
      <c r="ED233" s="448" t="s">
        <v>1761</v>
      </c>
      <c r="EE233" s="448">
        <v>0.55000000000000004</v>
      </c>
      <c r="EF233" s="449">
        <v>45185</v>
      </c>
      <c r="EG233" s="449">
        <v>45062</v>
      </c>
      <c r="EH233" s="448">
        <v>12.2</v>
      </c>
      <c r="EI233" s="448" t="s">
        <v>1655</v>
      </c>
      <c r="EJ233" s="448">
        <v>0.9</v>
      </c>
      <c r="EK233" s="449">
        <v>45115</v>
      </c>
      <c r="EL233" s="448">
        <v>6.76</v>
      </c>
      <c r="EM233" s="448">
        <v>17.7</v>
      </c>
      <c r="EN233" s="448">
        <v>833</v>
      </c>
      <c r="EO233" s="448">
        <v>131</v>
      </c>
      <c r="EP233" s="448">
        <v>5.44</v>
      </c>
      <c r="EQ233" s="448">
        <v>147</v>
      </c>
      <c r="ER233" s="448">
        <v>270</v>
      </c>
      <c r="ES233" s="448">
        <v>44.4</v>
      </c>
      <c r="ET233" s="448">
        <v>3.09</v>
      </c>
      <c r="EU233" s="450">
        <v>67.5</v>
      </c>
    </row>
    <row r="234" spans="2:151">
      <c r="B234" s="78" t="s">
        <v>145</v>
      </c>
      <c r="C234" s="79" t="s">
        <v>240</v>
      </c>
      <c r="D234" s="80" t="s">
        <v>240</v>
      </c>
      <c r="E234" s="1" t="s">
        <v>4</v>
      </c>
      <c r="F234" s="4">
        <v>64.5</v>
      </c>
      <c r="G234" s="4">
        <v>18.899999999999999</v>
      </c>
      <c r="H234" s="3" t="str">
        <f t="shared" si="20"/>
        <v>WT13.5X64.5</v>
      </c>
      <c r="I234" s="4">
        <v>13.8</v>
      </c>
      <c r="J234" s="5">
        <v>13.875</v>
      </c>
      <c r="K234" s="6" t="s">
        <v>5</v>
      </c>
      <c r="L234" s="6" t="s">
        <v>5</v>
      </c>
      <c r="M234" s="6" t="s">
        <v>5</v>
      </c>
      <c r="N234" s="4">
        <v>10</v>
      </c>
      <c r="O234" s="5">
        <v>10</v>
      </c>
      <c r="P234" s="5" t="s">
        <v>5</v>
      </c>
      <c r="Q234" s="6" t="s">
        <v>5</v>
      </c>
      <c r="R234" s="6" t="s">
        <v>5</v>
      </c>
      <c r="S234" s="22">
        <v>0.61</v>
      </c>
      <c r="T234" s="5">
        <v>0.625</v>
      </c>
      <c r="U234" s="8">
        <v>0.3125</v>
      </c>
      <c r="V234" s="7">
        <v>1.1000000000000001</v>
      </c>
      <c r="W234" s="8">
        <v>1.125</v>
      </c>
      <c r="X234" s="7">
        <v>1.1000000000000001</v>
      </c>
      <c r="Y234" s="6" t="s">
        <v>5</v>
      </c>
      <c r="Z234" s="6" t="s">
        <v>5</v>
      </c>
      <c r="AA234" s="33">
        <v>1.7</v>
      </c>
      <c r="AB234" s="34">
        <v>2.3125</v>
      </c>
      <c r="AC234" s="8" t="s">
        <v>5</v>
      </c>
      <c r="AD234" s="6" t="s">
        <v>5</v>
      </c>
      <c r="AE234" s="33">
        <v>3.39</v>
      </c>
      <c r="AF234" s="6" t="s">
        <v>5</v>
      </c>
      <c r="AG234" s="6" t="s">
        <v>5</v>
      </c>
      <c r="AH234" s="40">
        <v>0.94499999999999995</v>
      </c>
      <c r="AI234" s="33">
        <v>4.55</v>
      </c>
      <c r="AJ234" s="6" t="s">
        <v>5</v>
      </c>
      <c r="AK234" s="6" t="s">
        <v>5</v>
      </c>
      <c r="AL234" s="6" t="s">
        <v>5</v>
      </c>
      <c r="AM234" s="6" t="s">
        <v>5</v>
      </c>
      <c r="AN234" s="4">
        <v>22.6</v>
      </c>
      <c r="AO234" s="38">
        <v>323</v>
      </c>
      <c r="AP234" s="39">
        <v>55.1</v>
      </c>
      <c r="AQ234" s="4">
        <v>31</v>
      </c>
      <c r="AR234" s="7">
        <v>4.13</v>
      </c>
      <c r="AS234" s="39">
        <v>92.2</v>
      </c>
      <c r="AT234" s="39">
        <v>28.8</v>
      </c>
      <c r="AU234" s="4">
        <v>18.399999999999999</v>
      </c>
      <c r="AV234" s="7">
        <v>2.21</v>
      </c>
      <c r="AW234" s="6" t="s">
        <v>5</v>
      </c>
      <c r="AX234" s="6" t="s">
        <v>5</v>
      </c>
      <c r="AY234" s="6" t="s">
        <v>5</v>
      </c>
      <c r="AZ234" s="33">
        <v>5.55</v>
      </c>
      <c r="BA234" s="4">
        <v>24</v>
      </c>
      <c r="BB234" s="6" t="s">
        <v>5</v>
      </c>
      <c r="BC234" s="6" t="s">
        <v>5</v>
      </c>
      <c r="BD234" s="6" t="s">
        <v>5</v>
      </c>
      <c r="BE234" s="6" t="s">
        <v>5</v>
      </c>
      <c r="BF234" s="6" t="s">
        <v>5</v>
      </c>
      <c r="BG234" s="6" t="s">
        <v>5</v>
      </c>
      <c r="BH234" s="6" t="s">
        <v>5</v>
      </c>
      <c r="BI234" s="7">
        <v>5.48</v>
      </c>
      <c r="BJ234" s="22">
        <v>0.73199999999999998</v>
      </c>
      <c r="BK234" s="6" t="s">
        <v>5</v>
      </c>
      <c r="BL234" s="2" t="s">
        <v>5</v>
      </c>
      <c r="BM234" s="2" t="s">
        <v>5</v>
      </c>
      <c r="BN234" s="2" t="s">
        <v>5</v>
      </c>
      <c r="BO234" s="2" t="s">
        <v>5</v>
      </c>
      <c r="BP234" s="2" t="s">
        <v>5</v>
      </c>
      <c r="BQ234" s="2" t="s">
        <v>5</v>
      </c>
      <c r="BR234" s="2" t="s">
        <v>5</v>
      </c>
      <c r="BS234" s="2" t="s">
        <v>5</v>
      </c>
      <c r="BT234" s="2" t="s">
        <v>5</v>
      </c>
      <c r="BU234" s="2" t="s">
        <v>5</v>
      </c>
      <c r="BV234" s="2" t="s">
        <v>5</v>
      </c>
      <c r="BW234" s="2" t="s">
        <v>5</v>
      </c>
      <c r="BX234" s="2" t="s">
        <v>5</v>
      </c>
      <c r="BY234" s="25" t="s">
        <v>5</v>
      </c>
      <c r="BZ234" s="25" t="s">
        <v>5</v>
      </c>
      <c r="CA234" s="4">
        <v>36.6</v>
      </c>
      <c r="CB234" s="6" t="s">
        <v>5</v>
      </c>
      <c r="CC234" s="4">
        <v>46.6</v>
      </c>
      <c r="CD234" s="4">
        <v>37.6</v>
      </c>
      <c r="CE234" s="6">
        <v>47.6</v>
      </c>
      <c r="CF234" s="16" t="s">
        <v>5</v>
      </c>
      <c r="CG234" s="5">
        <v>5.5</v>
      </c>
      <c r="CH234" s="18" t="s">
        <v>5</v>
      </c>
      <c r="CV234" s="344" t="str">
        <f t="shared" si="21"/>
        <v>WT8X22.5</v>
      </c>
      <c r="CW234" s="338">
        <v>6.63</v>
      </c>
      <c r="DH234" s="397" t="s">
        <v>1458</v>
      </c>
      <c r="DI234" s="398">
        <v>17</v>
      </c>
      <c r="DJ234" s="398">
        <v>12.2</v>
      </c>
      <c r="DK234" s="399">
        <v>0.36</v>
      </c>
      <c r="DL234" s="398">
        <v>27</v>
      </c>
      <c r="DM234" s="400">
        <v>7.82</v>
      </c>
      <c r="DN234" s="398">
        <v>86.4</v>
      </c>
      <c r="DO234" s="411">
        <v>78</v>
      </c>
      <c r="DP234" s="115"/>
      <c r="DQ234" s="428" t="s">
        <v>1468</v>
      </c>
      <c r="DR234" s="429">
        <v>69.599999999999994</v>
      </c>
      <c r="DS234" s="429">
        <v>428</v>
      </c>
      <c r="DT234" s="431"/>
      <c r="DU234" s="431"/>
      <c r="DV234" s="431"/>
      <c r="DW234" s="431"/>
      <c r="DX234" s="432"/>
      <c r="DZ234" s="447" t="s">
        <v>1438</v>
      </c>
      <c r="EA234" s="448">
        <v>87</v>
      </c>
      <c r="EB234" s="448">
        <v>25.6</v>
      </c>
      <c r="EC234" s="448">
        <v>12.5</v>
      </c>
      <c r="ED234" s="448" t="s">
        <v>1770</v>
      </c>
      <c r="EE234" s="448">
        <v>0.51500000000000001</v>
      </c>
      <c r="EF234" s="449">
        <v>44928</v>
      </c>
      <c r="EG234" s="449">
        <v>44930</v>
      </c>
      <c r="EH234" s="448">
        <v>12.1</v>
      </c>
      <c r="EI234" s="448" t="s">
        <v>1655</v>
      </c>
      <c r="EJ234" s="448">
        <v>0.81</v>
      </c>
      <c r="EK234" s="448" t="s">
        <v>1620</v>
      </c>
      <c r="EL234" s="448">
        <v>7.48</v>
      </c>
      <c r="EM234" s="448">
        <v>18.899999999999999</v>
      </c>
      <c r="EN234" s="448">
        <v>740</v>
      </c>
      <c r="EO234" s="448">
        <v>118</v>
      </c>
      <c r="EP234" s="448">
        <v>5.38</v>
      </c>
      <c r="EQ234" s="448">
        <v>132</v>
      </c>
      <c r="ER234" s="448">
        <v>241</v>
      </c>
      <c r="ES234" s="448">
        <v>39.700000000000003</v>
      </c>
      <c r="ET234" s="448">
        <v>3.07</v>
      </c>
      <c r="EU234" s="450">
        <v>60.4</v>
      </c>
    </row>
    <row r="235" spans="2:151">
      <c r="B235" s="78" t="s">
        <v>145</v>
      </c>
      <c r="C235" s="79" t="s">
        <v>241</v>
      </c>
      <c r="D235" s="80" t="s">
        <v>241</v>
      </c>
      <c r="E235" s="1" t="s">
        <v>4</v>
      </c>
      <c r="F235" s="4">
        <v>57</v>
      </c>
      <c r="G235" s="4">
        <v>16.8</v>
      </c>
      <c r="H235" s="3" t="str">
        <f t="shared" si="20"/>
        <v>WT13.5X57</v>
      </c>
      <c r="I235" s="4">
        <v>13.6</v>
      </c>
      <c r="J235" s="5">
        <v>13.625</v>
      </c>
      <c r="K235" s="6" t="s">
        <v>5</v>
      </c>
      <c r="L235" s="6" t="s">
        <v>5</v>
      </c>
      <c r="M235" s="6" t="s">
        <v>5</v>
      </c>
      <c r="N235" s="4">
        <v>10.1</v>
      </c>
      <c r="O235" s="5">
        <v>10.125</v>
      </c>
      <c r="P235" s="5" t="s">
        <v>5</v>
      </c>
      <c r="Q235" s="6" t="s">
        <v>5</v>
      </c>
      <c r="R235" s="6" t="s">
        <v>5</v>
      </c>
      <c r="S235" s="22">
        <v>0.56999999999999995</v>
      </c>
      <c r="T235" s="5">
        <v>0.5625</v>
      </c>
      <c r="U235" s="8">
        <v>0.3125</v>
      </c>
      <c r="V235" s="22">
        <v>0.93</v>
      </c>
      <c r="W235" s="8">
        <v>0.9375</v>
      </c>
      <c r="X235" s="22">
        <v>0.93</v>
      </c>
      <c r="Y235" s="6" t="s">
        <v>5</v>
      </c>
      <c r="Z235" s="6" t="s">
        <v>5</v>
      </c>
      <c r="AA235" s="33">
        <v>1.53</v>
      </c>
      <c r="AB235" s="34">
        <v>2.125</v>
      </c>
      <c r="AC235" s="8" t="s">
        <v>5</v>
      </c>
      <c r="AD235" s="6" t="s">
        <v>5</v>
      </c>
      <c r="AE235" s="33">
        <v>3.42</v>
      </c>
      <c r="AF235" s="6" t="s">
        <v>5</v>
      </c>
      <c r="AG235" s="6" t="s">
        <v>5</v>
      </c>
      <c r="AH235" s="40">
        <v>0.83199999999999996</v>
      </c>
      <c r="AI235" s="33">
        <v>5.41</v>
      </c>
      <c r="AJ235" s="6" t="s">
        <v>5</v>
      </c>
      <c r="AK235" s="6" t="s">
        <v>5</v>
      </c>
      <c r="AL235" s="6" t="s">
        <v>5</v>
      </c>
      <c r="AM235" s="6" t="s">
        <v>5</v>
      </c>
      <c r="AN235" s="4">
        <v>23.9</v>
      </c>
      <c r="AO235" s="38">
        <v>289</v>
      </c>
      <c r="AP235" s="39">
        <v>50.4</v>
      </c>
      <c r="AQ235" s="4">
        <v>28.3</v>
      </c>
      <c r="AR235" s="7">
        <v>4.1500000000000004</v>
      </c>
      <c r="AS235" s="39">
        <v>79.3</v>
      </c>
      <c r="AT235" s="39">
        <v>24.6</v>
      </c>
      <c r="AU235" s="4">
        <v>15.8</v>
      </c>
      <c r="AV235" s="7">
        <v>2.1800000000000002</v>
      </c>
      <c r="AW235" s="6" t="s">
        <v>5</v>
      </c>
      <c r="AX235" s="6" t="s">
        <v>5</v>
      </c>
      <c r="AY235" s="6" t="s">
        <v>5</v>
      </c>
      <c r="AZ235" s="33">
        <v>3.65</v>
      </c>
      <c r="BA235" s="4">
        <v>17.5</v>
      </c>
      <c r="BB235" s="6" t="s">
        <v>5</v>
      </c>
      <c r="BC235" s="6" t="s">
        <v>5</v>
      </c>
      <c r="BD235" s="6" t="s">
        <v>5</v>
      </c>
      <c r="BE235" s="6" t="s">
        <v>5</v>
      </c>
      <c r="BF235" s="6" t="s">
        <v>5</v>
      </c>
      <c r="BG235" s="6" t="s">
        <v>5</v>
      </c>
      <c r="BH235" s="6" t="s">
        <v>5</v>
      </c>
      <c r="BI235" s="7">
        <v>5.54</v>
      </c>
      <c r="BJ235" s="22">
        <v>0.71599999999999997</v>
      </c>
      <c r="BK235" s="6" t="s">
        <v>5</v>
      </c>
      <c r="BL235" s="2" t="s">
        <v>5</v>
      </c>
      <c r="BM235" s="2" t="s">
        <v>5</v>
      </c>
      <c r="BN235" s="2" t="s">
        <v>5</v>
      </c>
      <c r="BO235" s="2" t="s">
        <v>5</v>
      </c>
      <c r="BP235" s="2" t="s">
        <v>5</v>
      </c>
      <c r="BQ235" s="2" t="s">
        <v>5</v>
      </c>
      <c r="BR235" s="2" t="s">
        <v>5</v>
      </c>
      <c r="BS235" s="2" t="s">
        <v>5</v>
      </c>
      <c r="BT235" s="2" t="s">
        <v>5</v>
      </c>
      <c r="BU235" s="2" t="s">
        <v>5</v>
      </c>
      <c r="BV235" s="2" t="s">
        <v>5</v>
      </c>
      <c r="BW235" s="2" t="s">
        <v>5</v>
      </c>
      <c r="BX235" s="2" t="s">
        <v>5</v>
      </c>
      <c r="BY235" s="25" t="s">
        <v>5</v>
      </c>
      <c r="BZ235" s="25" t="s">
        <v>5</v>
      </c>
      <c r="CA235" s="4">
        <v>36.299999999999997</v>
      </c>
      <c r="CB235" s="6" t="s">
        <v>5</v>
      </c>
      <c r="CC235" s="4">
        <v>46.4</v>
      </c>
      <c r="CD235" s="4">
        <v>37.299999999999997</v>
      </c>
      <c r="CE235" s="6">
        <v>47.4</v>
      </c>
      <c r="CF235" s="16" t="s">
        <v>5</v>
      </c>
      <c r="CG235" s="5">
        <v>5.5</v>
      </c>
      <c r="CH235" s="18" t="s">
        <v>5</v>
      </c>
      <c r="CV235" s="344" t="str">
        <f t="shared" si="21"/>
        <v>WT6X22.5</v>
      </c>
      <c r="CW235" s="338">
        <v>6.56</v>
      </c>
      <c r="DH235" s="397" t="s">
        <v>1463</v>
      </c>
      <c r="DI235" s="398">
        <v>15.6</v>
      </c>
      <c r="DJ235" s="398">
        <v>12.1</v>
      </c>
      <c r="DK235" s="399">
        <v>0.34499999999999997</v>
      </c>
      <c r="DL235" s="398">
        <v>28.1</v>
      </c>
      <c r="DM235" s="400">
        <v>8.69</v>
      </c>
      <c r="DN235" s="398">
        <v>77.900000000000006</v>
      </c>
      <c r="DO235" s="411">
        <v>70.599999999999994</v>
      </c>
      <c r="DP235" s="115"/>
      <c r="DQ235" s="428" t="s">
        <v>1469</v>
      </c>
      <c r="DR235" s="429">
        <v>66.599999999999994</v>
      </c>
      <c r="DS235" s="429">
        <v>303</v>
      </c>
      <c r="DT235" s="431"/>
      <c r="DU235" s="431"/>
      <c r="DV235" s="431"/>
      <c r="DW235" s="431"/>
      <c r="DX235" s="432"/>
      <c r="DZ235" s="447" t="s">
        <v>1444</v>
      </c>
      <c r="EA235" s="448">
        <v>79</v>
      </c>
      <c r="EB235" s="448">
        <v>23.2</v>
      </c>
      <c r="EC235" s="448">
        <v>12.4</v>
      </c>
      <c r="ED235" s="448" t="s">
        <v>1652</v>
      </c>
      <c r="EE235" s="448">
        <v>0.47</v>
      </c>
      <c r="EF235" s="449">
        <v>44928</v>
      </c>
      <c r="EG235" s="449">
        <v>44930</v>
      </c>
      <c r="EH235" s="448">
        <v>12.1</v>
      </c>
      <c r="EI235" s="448" t="s">
        <v>1655</v>
      </c>
      <c r="EJ235" s="448">
        <v>0.73499999999999999</v>
      </c>
      <c r="EK235" s="449">
        <v>44989</v>
      </c>
      <c r="EL235" s="448">
        <v>8.2200000000000006</v>
      </c>
      <c r="EM235" s="448">
        <v>20.7</v>
      </c>
      <c r="EN235" s="448">
        <v>662</v>
      </c>
      <c r="EO235" s="448">
        <v>107</v>
      </c>
      <c r="EP235" s="448">
        <v>5.34</v>
      </c>
      <c r="EQ235" s="448">
        <v>119</v>
      </c>
      <c r="ER235" s="448">
        <v>216</v>
      </c>
      <c r="ES235" s="448">
        <v>35.799999999999997</v>
      </c>
      <c r="ET235" s="448">
        <v>3.05</v>
      </c>
      <c r="EU235" s="450">
        <v>54.3</v>
      </c>
    </row>
    <row r="236" spans="2:151">
      <c r="B236" s="78" t="s">
        <v>145</v>
      </c>
      <c r="C236" s="79" t="s">
        <v>242</v>
      </c>
      <c r="D236" s="80" t="s">
        <v>242</v>
      </c>
      <c r="E236" s="1" t="s">
        <v>4</v>
      </c>
      <c r="F236" s="4">
        <v>51</v>
      </c>
      <c r="G236" s="4">
        <v>15</v>
      </c>
      <c r="H236" s="3" t="str">
        <f t="shared" si="20"/>
        <v>WT13.5X51</v>
      </c>
      <c r="I236" s="4">
        <v>13.5</v>
      </c>
      <c r="J236" s="5">
        <v>13.5</v>
      </c>
      <c r="K236" s="6" t="s">
        <v>5</v>
      </c>
      <c r="L236" s="6" t="s">
        <v>5</v>
      </c>
      <c r="M236" s="6" t="s">
        <v>5</v>
      </c>
      <c r="N236" s="4">
        <v>10</v>
      </c>
      <c r="O236" s="5">
        <v>10</v>
      </c>
      <c r="P236" s="5" t="s">
        <v>5</v>
      </c>
      <c r="Q236" s="6" t="s">
        <v>5</v>
      </c>
      <c r="R236" s="6" t="s">
        <v>5</v>
      </c>
      <c r="S236" s="22">
        <v>0.51500000000000001</v>
      </c>
      <c r="T236" s="5">
        <v>0.5</v>
      </c>
      <c r="U236" s="8">
        <v>0.25</v>
      </c>
      <c r="V236" s="22">
        <v>0.83</v>
      </c>
      <c r="W236" s="8">
        <v>0.8125</v>
      </c>
      <c r="X236" s="22">
        <v>0.83</v>
      </c>
      <c r="Y236" s="6" t="s">
        <v>5</v>
      </c>
      <c r="Z236" s="6" t="s">
        <v>5</v>
      </c>
      <c r="AA236" s="33">
        <v>1.43</v>
      </c>
      <c r="AB236" s="34">
        <v>2.0625</v>
      </c>
      <c r="AC236" s="8" t="s">
        <v>5</v>
      </c>
      <c r="AD236" s="6" t="s">
        <v>5</v>
      </c>
      <c r="AE236" s="33">
        <v>3.37</v>
      </c>
      <c r="AF236" s="6" t="s">
        <v>5</v>
      </c>
      <c r="AG236" s="6" t="s">
        <v>5</v>
      </c>
      <c r="AH236" s="40">
        <v>0.75</v>
      </c>
      <c r="AI236" s="33">
        <v>6.03</v>
      </c>
      <c r="AJ236" s="6" t="s">
        <v>5</v>
      </c>
      <c r="AK236" s="6" t="s">
        <v>5</v>
      </c>
      <c r="AL236" s="6" t="s">
        <v>5</v>
      </c>
      <c r="AM236" s="6" t="s">
        <v>5</v>
      </c>
      <c r="AN236" s="4">
        <v>26.2</v>
      </c>
      <c r="AO236" s="38">
        <v>258</v>
      </c>
      <c r="AP236" s="39">
        <v>45</v>
      </c>
      <c r="AQ236" s="4">
        <v>25.3</v>
      </c>
      <c r="AR236" s="7">
        <v>4.1399999999999997</v>
      </c>
      <c r="AS236" s="39">
        <v>69.599999999999994</v>
      </c>
      <c r="AT236" s="39">
        <v>21.7</v>
      </c>
      <c r="AU236" s="4">
        <v>13.9</v>
      </c>
      <c r="AV236" s="7">
        <v>2.15</v>
      </c>
      <c r="AW236" s="6" t="s">
        <v>5</v>
      </c>
      <c r="AX236" s="6" t="s">
        <v>5</v>
      </c>
      <c r="AY236" s="6" t="s">
        <v>5</v>
      </c>
      <c r="AZ236" s="33">
        <v>2.63</v>
      </c>
      <c r="BA236" s="4">
        <v>12.6</v>
      </c>
      <c r="BB236" s="6" t="s">
        <v>5</v>
      </c>
      <c r="BC236" s="6" t="s">
        <v>5</v>
      </c>
      <c r="BD236" s="6" t="s">
        <v>5</v>
      </c>
      <c r="BE236" s="6" t="s">
        <v>5</v>
      </c>
      <c r="BF236" s="6" t="s">
        <v>5</v>
      </c>
      <c r="BG236" s="6" t="s">
        <v>5</v>
      </c>
      <c r="BH236" s="6" t="s">
        <v>5</v>
      </c>
      <c r="BI236" s="7">
        <v>5.53</v>
      </c>
      <c r="BJ236" s="22">
        <v>0.71299999999999997</v>
      </c>
      <c r="BK236" s="6" t="s">
        <v>5</v>
      </c>
      <c r="BL236" s="2" t="s">
        <v>5</v>
      </c>
      <c r="BM236" s="2" t="s">
        <v>5</v>
      </c>
      <c r="BN236" s="2" t="s">
        <v>5</v>
      </c>
      <c r="BO236" s="2" t="s">
        <v>5</v>
      </c>
      <c r="BP236" s="2" t="s">
        <v>5</v>
      </c>
      <c r="BQ236" s="2" t="s">
        <v>5</v>
      </c>
      <c r="BR236" s="2" t="s">
        <v>5</v>
      </c>
      <c r="BS236" s="2" t="s">
        <v>5</v>
      </c>
      <c r="BT236" s="2" t="s">
        <v>5</v>
      </c>
      <c r="BU236" s="2" t="s">
        <v>5</v>
      </c>
      <c r="BV236" s="2" t="s">
        <v>5</v>
      </c>
      <c r="BW236" s="2" t="s">
        <v>5</v>
      </c>
      <c r="BX236" s="2" t="s">
        <v>5</v>
      </c>
      <c r="BY236" s="25" t="s">
        <v>5</v>
      </c>
      <c r="BZ236" s="25" t="s">
        <v>5</v>
      </c>
      <c r="CA236" s="4">
        <v>36</v>
      </c>
      <c r="CB236" s="6" t="s">
        <v>5</v>
      </c>
      <c r="CC236" s="4">
        <v>46</v>
      </c>
      <c r="CD236" s="4">
        <v>37</v>
      </c>
      <c r="CE236" s="4">
        <v>47</v>
      </c>
      <c r="CF236" s="16" t="s">
        <v>5</v>
      </c>
      <c r="CG236" s="5">
        <v>5.5</v>
      </c>
      <c r="CH236" s="18" t="s">
        <v>5</v>
      </c>
      <c r="CV236" s="344" t="str">
        <f t="shared" si="21"/>
        <v>WT10.5X22</v>
      </c>
      <c r="CW236" s="338">
        <v>6.49</v>
      </c>
      <c r="DH236" s="397" t="s">
        <v>1466</v>
      </c>
      <c r="DI236" s="398">
        <v>14.6</v>
      </c>
      <c r="DJ236" s="398">
        <v>12.2</v>
      </c>
      <c r="DK236" s="399">
        <v>0.37</v>
      </c>
      <c r="DL236" s="398">
        <v>26.8</v>
      </c>
      <c r="DM236" s="400">
        <v>6.31</v>
      </c>
      <c r="DN236" s="398">
        <v>71.900000000000006</v>
      </c>
      <c r="DO236" s="411">
        <v>64.2</v>
      </c>
      <c r="DP236" s="115"/>
      <c r="DQ236" s="428" t="s">
        <v>1470</v>
      </c>
      <c r="DR236" s="429">
        <v>66.5</v>
      </c>
      <c r="DS236" s="429">
        <v>510</v>
      </c>
      <c r="DT236" s="431"/>
      <c r="DU236" s="431"/>
      <c r="DV236" s="431"/>
      <c r="DW236" s="431"/>
      <c r="DX236" s="432"/>
      <c r="DZ236" s="447" t="s">
        <v>1448</v>
      </c>
      <c r="EA236" s="448">
        <v>72</v>
      </c>
      <c r="EB236" s="448">
        <v>21.1</v>
      </c>
      <c r="EC236" s="448">
        <v>12.3</v>
      </c>
      <c r="ED236" s="448" t="s">
        <v>1691</v>
      </c>
      <c r="EE236" s="448">
        <v>0.43</v>
      </c>
      <c r="EF236" s="449">
        <v>45123</v>
      </c>
      <c r="EG236" s="449">
        <v>44930</v>
      </c>
      <c r="EH236" s="448">
        <v>12</v>
      </c>
      <c r="EI236" s="448">
        <v>12</v>
      </c>
      <c r="EJ236" s="448">
        <v>0.67</v>
      </c>
      <c r="EK236" s="449">
        <v>45246</v>
      </c>
      <c r="EL236" s="448">
        <v>8.99</v>
      </c>
      <c r="EM236" s="448">
        <v>22.6</v>
      </c>
      <c r="EN236" s="448">
        <v>597</v>
      </c>
      <c r="EO236" s="448">
        <v>97.4</v>
      </c>
      <c r="EP236" s="448">
        <v>5.31</v>
      </c>
      <c r="EQ236" s="448">
        <v>108</v>
      </c>
      <c r="ER236" s="448">
        <v>195</v>
      </c>
      <c r="ES236" s="448">
        <v>32.4</v>
      </c>
      <c r="ET236" s="448">
        <v>3.04</v>
      </c>
      <c r="EU236" s="450">
        <v>49.2</v>
      </c>
    </row>
    <row r="237" spans="2:151">
      <c r="B237" s="78" t="s">
        <v>145</v>
      </c>
      <c r="C237" s="79" t="s">
        <v>243</v>
      </c>
      <c r="D237" s="80" t="s">
        <v>243</v>
      </c>
      <c r="E237" s="1" t="s">
        <v>4</v>
      </c>
      <c r="F237" s="4">
        <v>47</v>
      </c>
      <c r="G237" s="4">
        <v>13.8</v>
      </c>
      <c r="H237" s="3" t="str">
        <f t="shared" si="20"/>
        <v>WT13.5X47</v>
      </c>
      <c r="I237" s="4">
        <v>13.5</v>
      </c>
      <c r="J237" s="5">
        <v>13.5</v>
      </c>
      <c r="K237" s="6" t="s">
        <v>5</v>
      </c>
      <c r="L237" s="6" t="s">
        <v>5</v>
      </c>
      <c r="M237" s="6" t="s">
        <v>5</v>
      </c>
      <c r="N237" s="4">
        <v>10</v>
      </c>
      <c r="O237" s="5">
        <v>10</v>
      </c>
      <c r="P237" s="5" t="s">
        <v>5</v>
      </c>
      <c r="Q237" s="6" t="s">
        <v>5</v>
      </c>
      <c r="R237" s="6" t="s">
        <v>5</v>
      </c>
      <c r="S237" s="22">
        <v>0.49</v>
      </c>
      <c r="T237" s="5">
        <v>0.5</v>
      </c>
      <c r="U237" s="8">
        <v>0.25</v>
      </c>
      <c r="V237" s="22">
        <v>0.745</v>
      </c>
      <c r="W237" s="8">
        <v>0.75</v>
      </c>
      <c r="X237" s="22">
        <v>0.745</v>
      </c>
      <c r="Y237" s="6" t="s">
        <v>5</v>
      </c>
      <c r="Z237" s="6" t="s">
        <v>5</v>
      </c>
      <c r="AA237" s="33">
        <v>1.34</v>
      </c>
      <c r="AB237" s="34">
        <v>1.9375</v>
      </c>
      <c r="AC237" s="8" t="s">
        <v>5</v>
      </c>
      <c r="AD237" s="6" t="s">
        <v>5</v>
      </c>
      <c r="AE237" s="33">
        <v>3.41</v>
      </c>
      <c r="AF237" s="6" t="s">
        <v>5</v>
      </c>
      <c r="AG237" s="6" t="s">
        <v>5</v>
      </c>
      <c r="AH237" s="40">
        <v>0.69199999999999995</v>
      </c>
      <c r="AI237" s="33">
        <v>6.7</v>
      </c>
      <c r="AJ237" s="6" t="s">
        <v>5</v>
      </c>
      <c r="AK237" s="6" t="s">
        <v>5</v>
      </c>
      <c r="AL237" s="6" t="s">
        <v>5</v>
      </c>
      <c r="AM237" s="6" t="s">
        <v>5</v>
      </c>
      <c r="AN237" s="4">
        <v>27.6</v>
      </c>
      <c r="AO237" s="38">
        <v>239</v>
      </c>
      <c r="AP237" s="39">
        <v>42.4</v>
      </c>
      <c r="AQ237" s="4">
        <v>23.8</v>
      </c>
      <c r="AR237" s="7">
        <v>4.16</v>
      </c>
      <c r="AS237" s="39">
        <v>62</v>
      </c>
      <c r="AT237" s="39">
        <v>19.399999999999999</v>
      </c>
      <c r="AU237" s="4">
        <v>12.4</v>
      </c>
      <c r="AV237" s="7">
        <v>2.12</v>
      </c>
      <c r="AW237" s="6" t="s">
        <v>5</v>
      </c>
      <c r="AX237" s="6" t="s">
        <v>5</v>
      </c>
      <c r="AY237" s="6" t="s">
        <v>5</v>
      </c>
      <c r="AZ237" s="33">
        <v>2.0099999999999998</v>
      </c>
      <c r="BA237" s="4">
        <v>10.199999999999999</v>
      </c>
      <c r="BB237" s="6" t="s">
        <v>5</v>
      </c>
      <c r="BC237" s="6" t="s">
        <v>5</v>
      </c>
      <c r="BD237" s="6" t="s">
        <v>5</v>
      </c>
      <c r="BE237" s="6" t="s">
        <v>5</v>
      </c>
      <c r="BF237" s="6" t="s">
        <v>5</v>
      </c>
      <c r="BG237" s="6" t="s">
        <v>5</v>
      </c>
      <c r="BH237" s="6" t="s">
        <v>5</v>
      </c>
      <c r="BI237" s="7">
        <v>5.57</v>
      </c>
      <c r="BJ237" s="22">
        <v>0.70199999999999996</v>
      </c>
      <c r="BK237" s="6" t="s">
        <v>5</v>
      </c>
      <c r="BL237" s="2" t="s">
        <v>5</v>
      </c>
      <c r="BM237" s="2" t="s">
        <v>5</v>
      </c>
      <c r="BN237" s="2" t="s">
        <v>5</v>
      </c>
      <c r="BO237" s="2" t="s">
        <v>5</v>
      </c>
      <c r="BP237" s="2" t="s">
        <v>5</v>
      </c>
      <c r="BQ237" s="2" t="s">
        <v>5</v>
      </c>
      <c r="BR237" s="2" t="s">
        <v>5</v>
      </c>
      <c r="BS237" s="2" t="s">
        <v>5</v>
      </c>
      <c r="BT237" s="2" t="s">
        <v>5</v>
      </c>
      <c r="BU237" s="2" t="s">
        <v>5</v>
      </c>
      <c r="BV237" s="2" t="s">
        <v>5</v>
      </c>
      <c r="BW237" s="2" t="s">
        <v>5</v>
      </c>
      <c r="BX237" s="2" t="s">
        <v>5</v>
      </c>
      <c r="BY237" s="25" t="s">
        <v>5</v>
      </c>
      <c r="BZ237" s="25" t="s">
        <v>5</v>
      </c>
      <c r="CA237" s="4">
        <v>36</v>
      </c>
      <c r="CB237" s="6" t="s">
        <v>5</v>
      </c>
      <c r="CC237" s="4">
        <v>46</v>
      </c>
      <c r="CD237" s="4">
        <v>37</v>
      </c>
      <c r="CE237" s="4">
        <v>47</v>
      </c>
      <c r="CF237" s="16" t="s">
        <v>5</v>
      </c>
      <c r="CG237" s="5">
        <v>5.5</v>
      </c>
      <c r="CH237" s="18" t="s">
        <v>5</v>
      </c>
      <c r="CV237" s="344" t="str">
        <f t="shared" si="21"/>
        <v>WT7X21.5</v>
      </c>
      <c r="CW237" s="338">
        <v>6.31</v>
      </c>
      <c r="DH237" s="397" t="s">
        <v>1471</v>
      </c>
      <c r="DI237" s="398">
        <v>13.1</v>
      </c>
      <c r="DJ237" s="398">
        <v>12.1</v>
      </c>
      <c r="DK237" s="399">
        <v>0.33500000000000002</v>
      </c>
      <c r="DL237" s="398">
        <v>29.6</v>
      </c>
      <c r="DM237" s="400">
        <v>7</v>
      </c>
      <c r="DN237" s="398">
        <v>64.2</v>
      </c>
      <c r="DO237" s="411">
        <v>57.7</v>
      </c>
      <c r="DP237" s="115"/>
      <c r="DQ237" s="428" t="s">
        <v>1471</v>
      </c>
      <c r="DR237" s="429">
        <v>64.2</v>
      </c>
      <c r="DS237" s="429">
        <v>348</v>
      </c>
      <c r="DT237" s="431"/>
      <c r="DU237" s="431"/>
      <c r="DV237" s="431"/>
      <c r="DW237" s="431"/>
      <c r="DX237" s="432"/>
      <c r="DZ237" s="447" t="s">
        <v>1522</v>
      </c>
      <c r="EA237" s="448">
        <v>65</v>
      </c>
      <c r="EB237" s="448">
        <v>19.100000000000001</v>
      </c>
      <c r="EC237" s="448">
        <v>12.1</v>
      </c>
      <c r="ED237" s="448" t="s">
        <v>1655</v>
      </c>
      <c r="EE237" s="448">
        <v>0.39</v>
      </c>
      <c r="EF237" s="449">
        <v>44993</v>
      </c>
      <c r="EG237" s="449">
        <v>45001</v>
      </c>
      <c r="EH237" s="448">
        <v>12</v>
      </c>
      <c r="EI237" s="448">
        <v>12</v>
      </c>
      <c r="EJ237" s="448">
        <v>0.60499999999999998</v>
      </c>
      <c r="EK237" s="449">
        <v>45054</v>
      </c>
      <c r="EL237" s="448">
        <v>9.92</v>
      </c>
      <c r="EM237" s="448">
        <v>24.9</v>
      </c>
      <c r="EN237" s="448">
        <v>533</v>
      </c>
      <c r="EO237" s="448">
        <v>87.9</v>
      </c>
      <c r="EP237" s="448">
        <v>5.28</v>
      </c>
      <c r="EQ237" s="448">
        <v>96.8</v>
      </c>
      <c r="ER237" s="448">
        <v>174</v>
      </c>
      <c r="ES237" s="448">
        <v>29.1</v>
      </c>
      <c r="ET237" s="448">
        <v>3.02</v>
      </c>
      <c r="EU237" s="450">
        <v>44.1</v>
      </c>
    </row>
    <row r="238" spans="2:151">
      <c r="B238" s="78" t="s">
        <v>145</v>
      </c>
      <c r="C238" s="79" t="s">
        <v>244</v>
      </c>
      <c r="D238" s="80" t="s">
        <v>244</v>
      </c>
      <c r="E238" s="1" t="s">
        <v>4</v>
      </c>
      <c r="F238" s="4">
        <v>42</v>
      </c>
      <c r="G238" s="4">
        <v>12.4</v>
      </c>
      <c r="H238" s="3" t="str">
        <f t="shared" si="20"/>
        <v>WT13.5X42</v>
      </c>
      <c r="I238" s="4">
        <v>13.4</v>
      </c>
      <c r="J238" s="5">
        <v>13.375</v>
      </c>
      <c r="K238" s="6" t="s">
        <v>5</v>
      </c>
      <c r="L238" s="6" t="s">
        <v>5</v>
      </c>
      <c r="M238" s="6" t="s">
        <v>5</v>
      </c>
      <c r="N238" s="4">
        <v>10</v>
      </c>
      <c r="O238" s="5">
        <v>10</v>
      </c>
      <c r="P238" s="5" t="s">
        <v>5</v>
      </c>
      <c r="Q238" s="6" t="s">
        <v>5</v>
      </c>
      <c r="R238" s="6" t="s">
        <v>5</v>
      </c>
      <c r="S238" s="22">
        <v>0.46</v>
      </c>
      <c r="T238" s="5">
        <v>0.4375</v>
      </c>
      <c r="U238" s="8">
        <v>0.25</v>
      </c>
      <c r="V238" s="22">
        <v>0.64</v>
      </c>
      <c r="W238" s="8">
        <v>0.625</v>
      </c>
      <c r="X238" s="22">
        <v>0.64</v>
      </c>
      <c r="Y238" s="6" t="s">
        <v>5</v>
      </c>
      <c r="Z238" s="6" t="s">
        <v>5</v>
      </c>
      <c r="AA238" s="33">
        <v>1.24</v>
      </c>
      <c r="AB238" s="34">
        <v>1.875</v>
      </c>
      <c r="AC238" s="8" t="s">
        <v>5</v>
      </c>
      <c r="AD238" s="6" t="s">
        <v>5</v>
      </c>
      <c r="AE238" s="33">
        <v>3.48</v>
      </c>
      <c r="AF238" s="6" t="s">
        <v>5</v>
      </c>
      <c r="AG238" s="6" t="s">
        <v>5</v>
      </c>
      <c r="AH238" s="40">
        <v>0.621</v>
      </c>
      <c r="AI238" s="33">
        <v>7.78</v>
      </c>
      <c r="AJ238" s="6" t="s">
        <v>5</v>
      </c>
      <c r="AK238" s="6" t="s">
        <v>5</v>
      </c>
      <c r="AL238" s="6" t="s">
        <v>5</v>
      </c>
      <c r="AM238" s="6" t="s">
        <v>5</v>
      </c>
      <c r="AN238" s="4">
        <v>29.1</v>
      </c>
      <c r="AO238" s="38">
        <v>216</v>
      </c>
      <c r="AP238" s="39">
        <v>39.200000000000003</v>
      </c>
      <c r="AQ238" s="4">
        <v>21.9</v>
      </c>
      <c r="AR238" s="7">
        <v>4.18</v>
      </c>
      <c r="AS238" s="39">
        <v>52.8</v>
      </c>
      <c r="AT238" s="39">
        <v>16.600000000000001</v>
      </c>
      <c r="AU238" s="4">
        <v>10.6</v>
      </c>
      <c r="AV238" s="7">
        <v>2.0699999999999998</v>
      </c>
      <c r="AW238" s="6" t="s">
        <v>5</v>
      </c>
      <c r="AX238" s="6" t="s">
        <v>5</v>
      </c>
      <c r="AY238" s="6" t="s">
        <v>5</v>
      </c>
      <c r="AZ238" s="33">
        <v>1.4</v>
      </c>
      <c r="BA238" s="7">
        <v>7.79</v>
      </c>
      <c r="BB238" s="6" t="s">
        <v>5</v>
      </c>
      <c r="BC238" s="6" t="s">
        <v>5</v>
      </c>
      <c r="BD238" s="6" t="s">
        <v>5</v>
      </c>
      <c r="BE238" s="6" t="s">
        <v>5</v>
      </c>
      <c r="BF238" s="6" t="s">
        <v>5</v>
      </c>
      <c r="BG238" s="6" t="s">
        <v>5</v>
      </c>
      <c r="BH238" s="6" t="s">
        <v>5</v>
      </c>
      <c r="BI238" s="7">
        <v>5.63</v>
      </c>
      <c r="BJ238" s="22">
        <v>0.68500000000000005</v>
      </c>
      <c r="BK238" s="6" t="s">
        <v>5</v>
      </c>
      <c r="BL238" s="2" t="s">
        <v>5</v>
      </c>
      <c r="BM238" s="2" t="s">
        <v>5</v>
      </c>
      <c r="BN238" s="2" t="s">
        <v>5</v>
      </c>
      <c r="BO238" s="2" t="s">
        <v>5</v>
      </c>
      <c r="BP238" s="2" t="s">
        <v>5</v>
      </c>
      <c r="BQ238" s="2" t="s">
        <v>5</v>
      </c>
      <c r="BR238" s="2" t="s">
        <v>5</v>
      </c>
      <c r="BS238" s="2" t="s">
        <v>5</v>
      </c>
      <c r="BT238" s="2" t="s">
        <v>5</v>
      </c>
      <c r="BU238" s="2" t="s">
        <v>5</v>
      </c>
      <c r="BV238" s="2" t="s">
        <v>5</v>
      </c>
      <c r="BW238" s="2" t="s">
        <v>5</v>
      </c>
      <c r="BX238" s="2" t="s">
        <v>5</v>
      </c>
      <c r="BY238" s="25" t="s">
        <v>5</v>
      </c>
      <c r="BZ238" s="25" t="s">
        <v>5</v>
      </c>
      <c r="CA238" s="4">
        <v>35.799999999999997</v>
      </c>
      <c r="CB238" s="6" t="s">
        <v>5</v>
      </c>
      <c r="CC238" s="4">
        <v>45.8</v>
      </c>
      <c r="CD238" s="4">
        <v>36.799999999999997</v>
      </c>
      <c r="CE238" s="6">
        <v>46.8</v>
      </c>
      <c r="CF238" s="16" t="s">
        <v>5</v>
      </c>
      <c r="CG238" s="5">
        <v>5.5</v>
      </c>
      <c r="CH238" s="18" t="s">
        <v>5</v>
      </c>
      <c r="CV238" s="344" t="str">
        <f t="shared" si="21"/>
        <v>WT8X20</v>
      </c>
      <c r="CW238" s="338">
        <v>5.89</v>
      </c>
      <c r="DH238" s="397" t="s">
        <v>1476</v>
      </c>
      <c r="DI238" s="398">
        <v>11.7</v>
      </c>
      <c r="DJ238" s="398">
        <v>11.9</v>
      </c>
      <c r="DK238" s="399">
        <v>0.29499999999999998</v>
      </c>
      <c r="DL238" s="398">
        <v>33.6</v>
      </c>
      <c r="DM238" s="400">
        <v>7.77</v>
      </c>
      <c r="DN238" s="398">
        <v>57</v>
      </c>
      <c r="DO238" s="411">
        <v>51.5</v>
      </c>
      <c r="DP238" s="115"/>
      <c r="DQ238" s="428" t="s">
        <v>1472</v>
      </c>
      <c r="DR238" s="429">
        <v>64</v>
      </c>
      <c r="DS238" s="429">
        <v>448</v>
      </c>
      <c r="DT238" s="431"/>
      <c r="DU238" s="431"/>
      <c r="DV238" s="431"/>
      <c r="DW238" s="431"/>
      <c r="DX238" s="432"/>
      <c r="DZ238" s="447" t="s">
        <v>1458</v>
      </c>
      <c r="EA238" s="448">
        <v>58</v>
      </c>
      <c r="EB238" s="448">
        <v>17</v>
      </c>
      <c r="EC238" s="448">
        <v>12.2</v>
      </c>
      <c r="ED238" s="448" t="s">
        <v>1691</v>
      </c>
      <c r="EE238" s="448">
        <v>0.36</v>
      </c>
      <c r="EF238" s="449">
        <v>44993</v>
      </c>
      <c r="EG238" s="449">
        <v>45001</v>
      </c>
      <c r="EH238" s="448">
        <v>10</v>
      </c>
      <c r="EI238" s="448">
        <v>10</v>
      </c>
      <c r="EJ238" s="448">
        <v>0.64</v>
      </c>
      <c r="EK238" s="449">
        <v>45054</v>
      </c>
      <c r="EL238" s="448">
        <v>7.82</v>
      </c>
      <c r="EM238" s="448">
        <v>27</v>
      </c>
      <c r="EN238" s="448">
        <v>475</v>
      </c>
      <c r="EO238" s="448">
        <v>78</v>
      </c>
      <c r="EP238" s="448">
        <v>5.28</v>
      </c>
      <c r="EQ238" s="448">
        <v>86.4</v>
      </c>
      <c r="ER238" s="448">
        <v>107</v>
      </c>
      <c r="ES238" s="448">
        <v>21.4</v>
      </c>
      <c r="ET238" s="448">
        <v>2.5099999999999998</v>
      </c>
      <c r="EU238" s="450">
        <v>32.5</v>
      </c>
    </row>
    <row r="239" spans="2:151">
      <c r="B239" s="78" t="s">
        <v>145</v>
      </c>
      <c r="C239" s="79" t="s">
        <v>245</v>
      </c>
      <c r="D239" s="80" t="s">
        <v>245</v>
      </c>
      <c r="E239" s="1" t="s">
        <v>6</v>
      </c>
      <c r="F239" s="6">
        <v>185</v>
      </c>
      <c r="G239" s="4">
        <v>54.5</v>
      </c>
      <c r="H239" s="3" t="str">
        <f t="shared" si="20"/>
        <v>WT12X185</v>
      </c>
      <c r="I239" s="4">
        <v>14</v>
      </c>
      <c r="J239" s="5">
        <v>14</v>
      </c>
      <c r="K239" s="6" t="s">
        <v>5</v>
      </c>
      <c r="L239" s="6" t="s">
        <v>5</v>
      </c>
      <c r="M239" s="6" t="s">
        <v>5</v>
      </c>
      <c r="N239" s="4">
        <v>13.7</v>
      </c>
      <c r="O239" s="5">
        <v>13.625</v>
      </c>
      <c r="P239" s="5" t="s">
        <v>5</v>
      </c>
      <c r="Q239" s="6" t="s">
        <v>5</v>
      </c>
      <c r="R239" s="6" t="s">
        <v>5</v>
      </c>
      <c r="S239" s="7">
        <v>1.52</v>
      </c>
      <c r="T239" s="5">
        <v>1.5</v>
      </c>
      <c r="U239" s="8">
        <v>0.75</v>
      </c>
      <c r="V239" s="7">
        <v>2.72</v>
      </c>
      <c r="W239" s="8">
        <v>2.75</v>
      </c>
      <c r="X239" s="7">
        <v>2.72</v>
      </c>
      <c r="Y239" s="6" t="s">
        <v>5</v>
      </c>
      <c r="Z239" s="6" t="s">
        <v>5</v>
      </c>
      <c r="AA239" s="33">
        <v>3.22</v>
      </c>
      <c r="AB239" s="34">
        <v>4</v>
      </c>
      <c r="AC239" s="8" t="s">
        <v>5</v>
      </c>
      <c r="AD239" s="6" t="s">
        <v>5</v>
      </c>
      <c r="AE239" s="33">
        <v>3.57</v>
      </c>
      <c r="AF239" s="6" t="s">
        <v>5</v>
      </c>
      <c r="AG239" s="6" t="s">
        <v>5</v>
      </c>
      <c r="AH239" s="33">
        <v>1.99</v>
      </c>
      <c r="AI239" s="33">
        <v>2.5099999999999998</v>
      </c>
      <c r="AJ239" s="6" t="s">
        <v>5</v>
      </c>
      <c r="AK239" s="6" t="s">
        <v>5</v>
      </c>
      <c r="AL239" s="6" t="s">
        <v>5</v>
      </c>
      <c r="AM239" s="6" t="s">
        <v>5</v>
      </c>
      <c r="AN239" s="7">
        <v>9.1999999999999993</v>
      </c>
      <c r="AO239" s="38">
        <v>779</v>
      </c>
      <c r="AP239" s="38">
        <v>140</v>
      </c>
      <c r="AQ239" s="4">
        <v>74.7</v>
      </c>
      <c r="AR239" s="7">
        <v>3.78</v>
      </c>
      <c r="AS239" s="38">
        <v>581</v>
      </c>
      <c r="AT239" s="38">
        <v>133</v>
      </c>
      <c r="AU239" s="4">
        <v>85.1</v>
      </c>
      <c r="AV239" s="7">
        <v>3.27</v>
      </c>
      <c r="AW239" s="6" t="s">
        <v>5</v>
      </c>
      <c r="AX239" s="6" t="s">
        <v>5</v>
      </c>
      <c r="AY239" s="6" t="s">
        <v>5</v>
      </c>
      <c r="AZ239" s="38">
        <v>100</v>
      </c>
      <c r="BA239" s="6">
        <v>553</v>
      </c>
      <c r="BB239" s="6" t="s">
        <v>5</v>
      </c>
      <c r="BC239" s="6" t="s">
        <v>5</v>
      </c>
      <c r="BD239" s="6" t="s">
        <v>5</v>
      </c>
      <c r="BE239" s="6" t="s">
        <v>5</v>
      </c>
      <c r="BF239" s="6" t="s">
        <v>5</v>
      </c>
      <c r="BG239" s="6" t="s">
        <v>5</v>
      </c>
      <c r="BH239" s="6" t="s">
        <v>5</v>
      </c>
      <c r="BI239" s="7">
        <v>5.47</v>
      </c>
      <c r="BJ239" s="22">
        <v>0.83699999999999997</v>
      </c>
      <c r="BK239" s="6" t="s">
        <v>5</v>
      </c>
      <c r="BL239" s="2" t="s">
        <v>5</v>
      </c>
      <c r="BM239" s="2" t="s">
        <v>5</v>
      </c>
      <c r="BN239" s="2" t="s">
        <v>5</v>
      </c>
      <c r="BO239" s="2" t="s">
        <v>5</v>
      </c>
      <c r="BP239" s="2" t="s">
        <v>5</v>
      </c>
      <c r="BQ239" s="2" t="s">
        <v>5</v>
      </c>
      <c r="BR239" s="2" t="s">
        <v>5</v>
      </c>
      <c r="BS239" s="2" t="s">
        <v>5</v>
      </c>
      <c r="BT239" s="2" t="s">
        <v>5</v>
      </c>
      <c r="BU239" s="2" t="s">
        <v>5</v>
      </c>
      <c r="BV239" s="2" t="s">
        <v>5</v>
      </c>
      <c r="BW239" s="2" t="s">
        <v>5</v>
      </c>
      <c r="BX239" s="2" t="s">
        <v>5</v>
      </c>
      <c r="BY239" s="25" t="s">
        <v>5</v>
      </c>
      <c r="BZ239" s="25" t="s">
        <v>5</v>
      </c>
      <c r="CA239" s="4">
        <v>40.700000000000003</v>
      </c>
      <c r="CB239" s="6" t="s">
        <v>5</v>
      </c>
      <c r="CC239" s="4">
        <v>54.4</v>
      </c>
      <c r="CD239" s="4">
        <v>41.7</v>
      </c>
      <c r="CE239" s="6">
        <v>55.4</v>
      </c>
      <c r="CF239" s="16" t="s">
        <v>5</v>
      </c>
      <c r="CG239" s="5">
        <v>5.5</v>
      </c>
      <c r="CH239" s="18" t="s">
        <v>5</v>
      </c>
      <c r="CV239" s="344" t="str">
        <f t="shared" si="21"/>
        <v>WT9X20</v>
      </c>
      <c r="CW239" s="338">
        <v>5.88</v>
      </c>
      <c r="DH239" s="397" t="s">
        <v>1480</v>
      </c>
      <c r="DI239" s="398">
        <v>10.3</v>
      </c>
      <c r="DJ239" s="398">
        <v>12.5</v>
      </c>
      <c r="DK239" s="399">
        <v>0.3</v>
      </c>
      <c r="DL239" s="398">
        <v>36.200000000000003</v>
      </c>
      <c r="DM239" s="400">
        <v>6.31</v>
      </c>
      <c r="DN239" s="398">
        <v>51.2</v>
      </c>
      <c r="DO239" s="411">
        <v>45.6</v>
      </c>
      <c r="DP239" s="115"/>
      <c r="DQ239" s="428" t="s">
        <v>1473</v>
      </c>
      <c r="DR239" s="429">
        <v>61.5</v>
      </c>
      <c r="DS239" s="429">
        <v>385</v>
      </c>
      <c r="DT239" s="431"/>
      <c r="DU239" s="431"/>
      <c r="DV239" s="431"/>
      <c r="DW239" s="431"/>
      <c r="DX239" s="432"/>
      <c r="DZ239" s="447" t="s">
        <v>1463</v>
      </c>
      <c r="EA239" s="448">
        <v>53</v>
      </c>
      <c r="EB239" s="448">
        <v>15.6</v>
      </c>
      <c r="EC239" s="448">
        <v>12.1</v>
      </c>
      <c r="ED239" s="448">
        <v>12</v>
      </c>
      <c r="EE239" s="448">
        <v>0.34499999999999997</v>
      </c>
      <c r="EF239" s="449">
        <v>44993</v>
      </c>
      <c r="EG239" s="449">
        <v>45001</v>
      </c>
      <c r="EH239" s="448">
        <v>10</v>
      </c>
      <c r="EI239" s="448">
        <v>10</v>
      </c>
      <c r="EJ239" s="448">
        <v>0.57499999999999996</v>
      </c>
      <c r="EK239" s="449">
        <v>45185</v>
      </c>
      <c r="EL239" s="448">
        <v>8.69</v>
      </c>
      <c r="EM239" s="448">
        <v>28.1</v>
      </c>
      <c r="EN239" s="448">
        <v>425</v>
      </c>
      <c r="EO239" s="448">
        <v>70.599999999999994</v>
      </c>
      <c r="EP239" s="448">
        <v>5.23</v>
      </c>
      <c r="EQ239" s="448">
        <v>77.900000000000006</v>
      </c>
      <c r="ER239" s="448">
        <v>95.8</v>
      </c>
      <c r="ES239" s="448">
        <v>19.2</v>
      </c>
      <c r="ET239" s="448">
        <v>2.48</v>
      </c>
      <c r="EU239" s="450">
        <v>29.1</v>
      </c>
    </row>
    <row r="240" spans="2:151">
      <c r="B240" s="78" t="s">
        <v>145</v>
      </c>
      <c r="C240" s="79" t="s">
        <v>246</v>
      </c>
      <c r="D240" s="80" t="s">
        <v>246</v>
      </c>
      <c r="E240" s="1" t="s">
        <v>6</v>
      </c>
      <c r="F240" s="6">
        <v>167.5</v>
      </c>
      <c r="G240" s="4">
        <v>49.1</v>
      </c>
      <c r="H240" s="3" t="str">
        <f t="shared" si="20"/>
        <v>WT12X167.5</v>
      </c>
      <c r="I240" s="4">
        <v>13.8</v>
      </c>
      <c r="J240" s="5">
        <v>13.75</v>
      </c>
      <c r="K240" s="6" t="s">
        <v>5</v>
      </c>
      <c r="L240" s="6" t="s">
        <v>5</v>
      </c>
      <c r="M240" s="6" t="s">
        <v>5</v>
      </c>
      <c r="N240" s="4">
        <v>13.5</v>
      </c>
      <c r="O240" s="5">
        <v>13.5</v>
      </c>
      <c r="P240" s="5" t="s">
        <v>5</v>
      </c>
      <c r="Q240" s="6" t="s">
        <v>5</v>
      </c>
      <c r="R240" s="6" t="s">
        <v>5</v>
      </c>
      <c r="S240" s="7">
        <v>1.38</v>
      </c>
      <c r="T240" s="5">
        <v>1.375</v>
      </c>
      <c r="U240" s="8">
        <v>0.6875</v>
      </c>
      <c r="V240" s="7">
        <v>2.48</v>
      </c>
      <c r="W240" s="8">
        <v>2.5</v>
      </c>
      <c r="X240" s="7">
        <v>2.48</v>
      </c>
      <c r="Y240" s="6" t="s">
        <v>5</v>
      </c>
      <c r="Z240" s="6" t="s">
        <v>5</v>
      </c>
      <c r="AA240" s="33">
        <v>2.98</v>
      </c>
      <c r="AB240" s="34">
        <v>3.75</v>
      </c>
      <c r="AC240" s="8" t="s">
        <v>5</v>
      </c>
      <c r="AD240" s="6" t="s">
        <v>5</v>
      </c>
      <c r="AE240" s="33">
        <v>3.42</v>
      </c>
      <c r="AF240" s="6" t="s">
        <v>5</v>
      </c>
      <c r="AG240" s="6" t="s">
        <v>5</v>
      </c>
      <c r="AH240" s="33">
        <v>1.82</v>
      </c>
      <c r="AI240" s="33">
        <v>2.73</v>
      </c>
      <c r="AJ240" s="6" t="s">
        <v>5</v>
      </c>
      <c r="AK240" s="6" t="s">
        <v>5</v>
      </c>
      <c r="AL240" s="6" t="s">
        <v>5</v>
      </c>
      <c r="AM240" s="6" t="s">
        <v>5</v>
      </c>
      <c r="AN240" s="4">
        <v>10</v>
      </c>
      <c r="AO240" s="38">
        <v>686</v>
      </c>
      <c r="AP240" s="38">
        <v>123</v>
      </c>
      <c r="AQ240" s="4">
        <v>66.3</v>
      </c>
      <c r="AR240" s="7">
        <v>3.73</v>
      </c>
      <c r="AS240" s="38">
        <v>513</v>
      </c>
      <c r="AT240" s="38">
        <v>119</v>
      </c>
      <c r="AU240" s="4">
        <v>75.900000000000006</v>
      </c>
      <c r="AV240" s="7">
        <v>3.23</v>
      </c>
      <c r="AW240" s="6" t="s">
        <v>5</v>
      </c>
      <c r="AX240" s="6" t="s">
        <v>5</v>
      </c>
      <c r="AY240" s="6" t="s">
        <v>5</v>
      </c>
      <c r="AZ240" s="39">
        <v>75.599999999999994</v>
      </c>
      <c r="BA240" s="6">
        <v>405</v>
      </c>
      <c r="BB240" s="6" t="s">
        <v>5</v>
      </c>
      <c r="BC240" s="6" t="s">
        <v>5</v>
      </c>
      <c r="BD240" s="6" t="s">
        <v>5</v>
      </c>
      <c r="BE240" s="6" t="s">
        <v>5</v>
      </c>
      <c r="BF240" s="6" t="s">
        <v>5</v>
      </c>
      <c r="BG240" s="6" t="s">
        <v>5</v>
      </c>
      <c r="BH240" s="6" t="s">
        <v>5</v>
      </c>
      <c r="BI240" s="7">
        <v>5.4</v>
      </c>
      <c r="BJ240" s="22">
        <v>0.83699999999999997</v>
      </c>
      <c r="BK240" s="6" t="s">
        <v>5</v>
      </c>
      <c r="BL240" s="2" t="s">
        <v>5</v>
      </c>
      <c r="BM240" s="2" t="s">
        <v>5</v>
      </c>
      <c r="BN240" s="2" t="s">
        <v>5</v>
      </c>
      <c r="BO240" s="2" t="s">
        <v>5</v>
      </c>
      <c r="BP240" s="2" t="s">
        <v>5</v>
      </c>
      <c r="BQ240" s="2" t="s">
        <v>5</v>
      </c>
      <c r="BR240" s="2" t="s">
        <v>5</v>
      </c>
      <c r="BS240" s="2" t="s">
        <v>5</v>
      </c>
      <c r="BT240" s="2" t="s">
        <v>5</v>
      </c>
      <c r="BU240" s="2" t="s">
        <v>5</v>
      </c>
      <c r="BV240" s="2" t="s">
        <v>5</v>
      </c>
      <c r="BW240" s="2" t="s">
        <v>5</v>
      </c>
      <c r="BX240" s="2" t="s">
        <v>5</v>
      </c>
      <c r="BY240" s="25" t="s">
        <v>5</v>
      </c>
      <c r="BZ240" s="25" t="s">
        <v>5</v>
      </c>
      <c r="CA240" s="4">
        <v>40.1</v>
      </c>
      <c r="CB240" s="6" t="s">
        <v>5</v>
      </c>
      <c r="CC240" s="4">
        <v>53.6</v>
      </c>
      <c r="CD240" s="4">
        <v>41.1</v>
      </c>
      <c r="CE240" s="6">
        <v>54.6</v>
      </c>
      <c r="CF240" s="16" t="s">
        <v>5</v>
      </c>
      <c r="CG240" s="5">
        <v>5.5</v>
      </c>
      <c r="CH240" s="18" t="s">
        <v>5</v>
      </c>
      <c r="CV240" s="344" t="str">
        <f t="shared" si="21"/>
        <v>WT4X20</v>
      </c>
      <c r="CW240" s="338">
        <v>5.87</v>
      </c>
      <c r="DH240" s="397" t="s">
        <v>1485</v>
      </c>
      <c r="DI240" s="400">
        <v>8.7899999999999991</v>
      </c>
      <c r="DJ240" s="398">
        <v>12.3</v>
      </c>
      <c r="DK240" s="399">
        <v>0.26</v>
      </c>
      <c r="DL240" s="398">
        <v>41.8</v>
      </c>
      <c r="DM240" s="400">
        <v>7.41</v>
      </c>
      <c r="DN240" s="398">
        <v>43.1</v>
      </c>
      <c r="DO240" s="411">
        <v>38.6</v>
      </c>
      <c r="DP240" s="115"/>
      <c r="DQ240" s="428" t="s">
        <v>1474</v>
      </c>
      <c r="DR240" s="429">
        <v>60.4</v>
      </c>
      <c r="DS240" s="429">
        <v>272</v>
      </c>
      <c r="DT240" s="431"/>
      <c r="DU240" s="431"/>
      <c r="DV240" s="431"/>
      <c r="DW240" s="431"/>
      <c r="DX240" s="432"/>
      <c r="DZ240" s="447" t="s">
        <v>1466</v>
      </c>
      <c r="EA240" s="448">
        <v>50</v>
      </c>
      <c r="EB240" s="448">
        <v>14.6</v>
      </c>
      <c r="EC240" s="448">
        <v>12.2</v>
      </c>
      <c r="ED240" s="448" t="s">
        <v>1691</v>
      </c>
      <c r="EE240" s="448">
        <v>0.37</v>
      </c>
      <c r="EF240" s="449">
        <v>44993</v>
      </c>
      <c r="EG240" s="449">
        <v>45001</v>
      </c>
      <c r="EH240" s="448">
        <v>8.08</v>
      </c>
      <c r="EI240" s="448" t="s">
        <v>1782</v>
      </c>
      <c r="EJ240" s="448">
        <v>0.64</v>
      </c>
      <c r="EK240" s="449">
        <v>45054</v>
      </c>
      <c r="EL240" s="448">
        <v>6.31</v>
      </c>
      <c r="EM240" s="448">
        <v>26.8</v>
      </c>
      <c r="EN240" s="448">
        <v>391</v>
      </c>
      <c r="EO240" s="448">
        <v>64.2</v>
      </c>
      <c r="EP240" s="448">
        <v>5.18</v>
      </c>
      <c r="EQ240" s="448">
        <v>71.900000000000006</v>
      </c>
      <c r="ER240" s="448">
        <v>56.3</v>
      </c>
      <c r="ES240" s="448">
        <v>13.9</v>
      </c>
      <c r="ET240" s="448">
        <v>1.96</v>
      </c>
      <c r="EU240" s="450">
        <v>21.3</v>
      </c>
    </row>
    <row r="241" spans="2:151">
      <c r="B241" s="78" t="s">
        <v>145</v>
      </c>
      <c r="C241" s="79" t="s">
        <v>247</v>
      </c>
      <c r="D241" s="80" t="s">
        <v>247</v>
      </c>
      <c r="E241" s="1" t="s">
        <v>6</v>
      </c>
      <c r="F241" s="6">
        <v>153</v>
      </c>
      <c r="G241" s="4">
        <v>44.9</v>
      </c>
      <c r="H241" s="3" t="str">
        <f t="shared" si="20"/>
        <v>WT12X153</v>
      </c>
      <c r="I241" s="4">
        <v>13.6</v>
      </c>
      <c r="J241" s="5">
        <v>13.625</v>
      </c>
      <c r="K241" s="6" t="s">
        <v>5</v>
      </c>
      <c r="L241" s="6" t="s">
        <v>5</v>
      </c>
      <c r="M241" s="6" t="s">
        <v>5</v>
      </c>
      <c r="N241" s="4">
        <v>13.4</v>
      </c>
      <c r="O241" s="5">
        <v>13.375</v>
      </c>
      <c r="P241" s="5" t="s">
        <v>5</v>
      </c>
      <c r="Q241" s="6" t="s">
        <v>5</v>
      </c>
      <c r="R241" s="6" t="s">
        <v>5</v>
      </c>
      <c r="S241" s="7">
        <v>1.26</v>
      </c>
      <c r="T241" s="5">
        <v>1.25</v>
      </c>
      <c r="U241" s="8">
        <v>0.625</v>
      </c>
      <c r="V241" s="7">
        <v>2.2799999999999998</v>
      </c>
      <c r="W241" s="8">
        <v>2.25</v>
      </c>
      <c r="X241" s="7">
        <v>2.2799999999999998</v>
      </c>
      <c r="Y241" s="6" t="s">
        <v>5</v>
      </c>
      <c r="Z241" s="6" t="s">
        <v>5</v>
      </c>
      <c r="AA241" s="33">
        <v>2.78</v>
      </c>
      <c r="AB241" s="34">
        <v>3.5625</v>
      </c>
      <c r="AC241" s="8" t="s">
        <v>5</v>
      </c>
      <c r="AD241" s="6" t="s">
        <v>5</v>
      </c>
      <c r="AE241" s="33">
        <v>3.29</v>
      </c>
      <c r="AF241" s="6" t="s">
        <v>5</v>
      </c>
      <c r="AG241" s="6" t="s">
        <v>5</v>
      </c>
      <c r="AH241" s="33">
        <v>1.67</v>
      </c>
      <c r="AI241" s="33">
        <v>2.94</v>
      </c>
      <c r="AJ241" s="6" t="s">
        <v>5</v>
      </c>
      <c r="AK241" s="6" t="s">
        <v>5</v>
      </c>
      <c r="AL241" s="6" t="s">
        <v>5</v>
      </c>
      <c r="AM241" s="6" t="s">
        <v>5</v>
      </c>
      <c r="AN241" s="4">
        <v>10.8</v>
      </c>
      <c r="AO241" s="38">
        <v>611</v>
      </c>
      <c r="AP241" s="38">
        <v>110</v>
      </c>
      <c r="AQ241" s="4">
        <v>59.4</v>
      </c>
      <c r="AR241" s="7">
        <v>3.69</v>
      </c>
      <c r="AS241" s="38">
        <v>460</v>
      </c>
      <c r="AT241" s="38">
        <v>107</v>
      </c>
      <c r="AU241" s="4">
        <v>68.599999999999994</v>
      </c>
      <c r="AV241" s="7">
        <v>3.2</v>
      </c>
      <c r="AW241" s="6" t="s">
        <v>5</v>
      </c>
      <c r="AX241" s="6" t="s">
        <v>5</v>
      </c>
      <c r="AY241" s="6" t="s">
        <v>5</v>
      </c>
      <c r="AZ241" s="39">
        <v>58.4</v>
      </c>
      <c r="BA241" s="6">
        <v>305</v>
      </c>
      <c r="BB241" s="6" t="s">
        <v>5</v>
      </c>
      <c r="BC241" s="6" t="s">
        <v>5</v>
      </c>
      <c r="BD241" s="6" t="s">
        <v>5</v>
      </c>
      <c r="BE241" s="6" t="s">
        <v>5</v>
      </c>
      <c r="BF241" s="6" t="s">
        <v>5</v>
      </c>
      <c r="BG241" s="6" t="s">
        <v>5</v>
      </c>
      <c r="BH241" s="6" t="s">
        <v>5</v>
      </c>
      <c r="BI241" s="7">
        <v>5.34</v>
      </c>
      <c r="BJ241" s="22">
        <v>0.83699999999999997</v>
      </c>
      <c r="BK241" s="6" t="s">
        <v>5</v>
      </c>
      <c r="BL241" s="2" t="s">
        <v>5</v>
      </c>
      <c r="BM241" s="2" t="s">
        <v>5</v>
      </c>
      <c r="BN241" s="2" t="s">
        <v>5</v>
      </c>
      <c r="BO241" s="2" t="s">
        <v>5</v>
      </c>
      <c r="BP241" s="2" t="s">
        <v>5</v>
      </c>
      <c r="BQ241" s="2" t="s">
        <v>5</v>
      </c>
      <c r="BR241" s="2" t="s">
        <v>5</v>
      </c>
      <c r="BS241" s="2" t="s">
        <v>5</v>
      </c>
      <c r="BT241" s="2" t="s">
        <v>5</v>
      </c>
      <c r="BU241" s="2" t="s">
        <v>5</v>
      </c>
      <c r="BV241" s="2" t="s">
        <v>5</v>
      </c>
      <c r="BW241" s="2" t="s">
        <v>5</v>
      </c>
      <c r="BX241" s="2" t="s">
        <v>5</v>
      </c>
      <c r="BY241" s="25" t="s">
        <v>5</v>
      </c>
      <c r="BZ241" s="25" t="s">
        <v>5</v>
      </c>
      <c r="CA241" s="4">
        <v>39.6</v>
      </c>
      <c r="CB241" s="6" t="s">
        <v>5</v>
      </c>
      <c r="CC241" s="4">
        <v>53</v>
      </c>
      <c r="CD241" s="4">
        <v>40.6</v>
      </c>
      <c r="CE241" s="4">
        <v>54</v>
      </c>
      <c r="CF241" s="16" t="s">
        <v>5</v>
      </c>
      <c r="CG241" s="5">
        <v>5.5</v>
      </c>
      <c r="CH241" s="18" t="s">
        <v>5</v>
      </c>
      <c r="CV241" s="344" t="str">
        <f t="shared" si="21"/>
        <v>WT6X20</v>
      </c>
      <c r="CW241" s="338">
        <v>5.84</v>
      </c>
      <c r="DH241" s="397" t="s">
        <v>1489</v>
      </c>
      <c r="DI241" s="400">
        <v>7.65</v>
      </c>
      <c r="DJ241" s="398">
        <v>12.2</v>
      </c>
      <c r="DK241" s="399">
        <v>0.23</v>
      </c>
      <c r="DL241" s="398">
        <v>47.2</v>
      </c>
      <c r="DM241" s="400">
        <v>8.5399999999999991</v>
      </c>
      <c r="DN241" s="398">
        <v>37.200000000000003</v>
      </c>
      <c r="DO241" s="411">
        <v>33.4</v>
      </c>
      <c r="DP241" s="115"/>
      <c r="DQ241" s="428" t="s">
        <v>1475</v>
      </c>
      <c r="DR241" s="429">
        <v>59.8</v>
      </c>
      <c r="DS241" s="429">
        <v>228</v>
      </c>
      <c r="DT241" s="431"/>
      <c r="DU241" s="431"/>
      <c r="DV241" s="431"/>
      <c r="DW241" s="431"/>
      <c r="DX241" s="432"/>
      <c r="DZ241" s="447" t="s">
        <v>1471</v>
      </c>
      <c r="EA241" s="448">
        <v>45</v>
      </c>
      <c r="EB241" s="448">
        <v>13.1</v>
      </c>
      <c r="EC241" s="448">
        <v>12.1</v>
      </c>
      <c r="ED241" s="448">
        <v>12</v>
      </c>
      <c r="EE241" s="448">
        <v>0.33500000000000002</v>
      </c>
      <c r="EF241" s="449">
        <v>45062</v>
      </c>
      <c r="EG241" s="449">
        <v>45001</v>
      </c>
      <c r="EH241" s="448">
        <v>8.0500000000000007</v>
      </c>
      <c r="EI241" s="448">
        <v>8</v>
      </c>
      <c r="EJ241" s="448">
        <v>0.57499999999999996</v>
      </c>
      <c r="EK241" s="449">
        <v>45185</v>
      </c>
      <c r="EL241" s="448">
        <v>7</v>
      </c>
      <c r="EM241" s="448">
        <v>29.6</v>
      </c>
      <c r="EN241" s="448">
        <v>348</v>
      </c>
      <c r="EO241" s="448">
        <v>57.7</v>
      </c>
      <c r="EP241" s="448">
        <v>5.15</v>
      </c>
      <c r="EQ241" s="448">
        <v>64.2</v>
      </c>
      <c r="ER241" s="448">
        <v>50</v>
      </c>
      <c r="ES241" s="448">
        <v>12.4</v>
      </c>
      <c r="ET241" s="448">
        <v>1.95</v>
      </c>
      <c r="EU241" s="450">
        <v>19</v>
      </c>
    </row>
    <row r="242" spans="2:151">
      <c r="B242" s="78" t="s">
        <v>145</v>
      </c>
      <c r="C242" s="79" t="s">
        <v>248</v>
      </c>
      <c r="D242" s="80" t="s">
        <v>248</v>
      </c>
      <c r="E242" s="1" t="s">
        <v>6</v>
      </c>
      <c r="F242" s="6">
        <v>139.5</v>
      </c>
      <c r="G242" s="4">
        <v>41</v>
      </c>
      <c r="H242" s="3" t="str">
        <f t="shared" si="20"/>
        <v>WT12X139.5</v>
      </c>
      <c r="I242" s="4">
        <v>13.4</v>
      </c>
      <c r="J242" s="5">
        <v>13.375</v>
      </c>
      <c r="K242" s="6" t="s">
        <v>5</v>
      </c>
      <c r="L242" s="6" t="s">
        <v>5</v>
      </c>
      <c r="M242" s="6" t="s">
        <v>5</v>
      </c>
      <c r="N242" s="4">
        <v>13.3</v>
      </c>
      <c r="O242" s="5">
        <v>13.25</v>
      </c>
      <c r="P242" s="5" t="s">
        <v>5</v>
      </c>
      <c r="Q242" s="6" t="s">
        <v>5</v>
      </c>
      <c r="R242" s="6" t="s">
        <v>5</v>
      </c>
      <c r="S242" s="7">
        <v>1.1599999999999999</v>
      </c>
      <c r="T242" s="5">
        <v>1.1875</v>
      </c>
      <c r="U242" s="8">
        <v>0.625</v>
      </c>
      <c r="V242" s="7">
        <v>2.09</v>
      </c>
      <c r="W242" s="8">
        <v>2.0625</v>
      </c>
      <c r="X242" s="7">
        <v>2.09</v>
      </c>
      <c r="Y242" s="6" t="s">
        <v>5</v>
      </c>
      <c r="Z242" s="6" t="s">
        <v>5</v>
      </c>
      <c r="AA242" s="33">
        <v>2.59</v>
      </c>
      <c r="AB242" s="34">
        <v>3.375</v>
      </c>
      <c r="AC242" s="8" t="s">
        <v>5</v>
      </c>
      <c r="AD242" s="6" t="s">
        <v>5</v>
      </c>
      <c r="AE242" s="33">
        <v>3.18</v>
      </c>
      <c r="AF242" s="6" t="s">
        <v>5</v>
      </c>
      <c r="AG242" s="6" t="s">
        <v>5</v>
      </c>
      <c r="AH242" s="33">
        <v>1.54</v>
      </c>
      <c r="AI242" s="33">
        <v>3.18</v>
      </c>
      <c r="AJ242" s="6" t="s">
        <v>5</v>
      </c>
      <c r="AK242" s="6" t="s">
        <v>5</v>
      </c>
      <c r="AL242" s="6" t="s">
        <v>5</v>
      </c>
      <c r="AM242" s="6" t="s">
        <v>5</v>
      </c>
      <c r="AN242" s="4">
        <v>11.6</v>
      </c>
      <c r="AO242" s="38">
        <v>546</v>
      </c>
      <c r="AP242" s="39">
        <v>98.8</v>
      </c>
      <c r="AQ242" s="4">
        <v>53.6</v>
      </c>
      <c r="AR242" s="7">
        <v>3.65</v>
      </c>
      <c r="AS242" s="38">
        <v>412</v>
      </c>
      <c r="AT242" s="39">
        <v>96.3</v>
      </c>
      <c r="AU242" s="4">
        <v>61.9</v>
      </c>
      <c r="AV242" s="7">
        <v>3.17</v>
      </c>
      <c r="AW242" s="6" t="s">
        <v>5</v>
      </c>
      <c r="AX242" s="6" t="s">
        <v>5</v>
      </c>
      <c r="AY242" s="6" t="s">
        <v>5</v>
      </c>
      <c r="AZ242" s="39">
        <v>45.1</v>
      </c>
      <c r="BA242" s="6">
        <v>230</v>
      </c>
      <c r="BB242" s="6" t="s">
        <v>5</v>
      </c>
      <c r="BC242" s="6" t="s">
        <v>5</v>
      </c>
      <c r="BD242" s="6" t="s">
        <v>5</v>
      </c>
      <c r="BE242" s="6" t="s">
        <v>5</v>
      </c>
      <c r="BF242" s="6" t="s">
        <v>5</v>
      </c>
      <c r="BG242" s="6" t="s">
        <v>5</v>
      </c>
      <c r="BH242" s="6" t="s">
        <v>5</v>
      </c>
      <c r="BI242" s="7">
        <v>5.28</v>
      </c>
      <c r="BJ242" s="22">
        <v>0.83699999999999997</v>
      </c>
      <c r="BK242" s="6" t="s">
        <v>5</v>
      </c>
      <c r="BL242" s="2" t="s">
        <v>5</v>
      </c>
      <c r="BM242" s="2" t="s">
        <v>5</v>
      </c>
      <c r="BN242" s="2" t="s">
        <v>5</v>
      </c>
      <c r="BO242" s="2" t="s">
        <v>5</v>
      </c>
      <c r="BP242" s="2" t="s">
        <v>5</v>
      </c>
      <c r="BQ242" s="2" t="s">
        <v>5</v>
      </c>
      <c r="BR242" s="2" t="s">
        <v>5</v>
      </c>
      <c r="BS242" s="2" t="s">
        <v>5</v>
      </c>
      <c r="BT242" s="2" t="s">
        <v>5</v>
      </c>
      <c r="BU242" s="2" t="s">
        <v>5</v>
      </c>
      <c r="BV242" s="2" t="s">
        <v>5</v>
      </c>
      <c r="BW242" s="2" t="s">
        <v>5</v>
      </c>
      <c r="BX242" s="2" t="s">
        <v>5</v>
      </c>
      <c r="BY242" s="25" t="s">
        <v>5</v>
      </c>
      <c r="BZ242" s="25" t="s">
        <v>5</v>
      </c>
      <c r="CA242" s="4">
        <v>39.1</v>
      </c>
      <c r="CB242" s="6" t="s">
        <v>5</v>
      </c>
      <c r="CC242" s="4">
        <v>52.4</v>
      </c>
      <c r="CD242" s="4">
        <v>40.100000000000009</v>
      </c>
      <c r="CE242" s="6">
        <v>53.400000000000006</v>
      </c>
      <c r="CF242" s="16" t="s">
        <v>5</v>
      </c>
      <c r="CG242" s="5">
        <v>5.5</v>
      </c>
      <c r="CH242" s="18" t="s">
        <v>5</v>
      </c>
      <c r="CV242" s="344" t="str">
        <f t="shared" si="21"/>
        <v>WT5X19.5</v>
      </c>
      <c r="CW242" s="338">
        <v>5.73</v>
      </c>
      <c r="DH242" s="397" t="s">
        <v>1495</v>
      </c>
      <c r="DI242" s="400">
        <v>6.48</v>
      </c>
      <c r="DJ242" s="398">
        <v>12.3</v>
      </c>
      <c r="DK242" s="399">
        <v>0.26</v>
      </c>
      <c r="DL242" s="398">
        <v>41.8</v>
      </c>
      <c r="DM242" s="400">
        <v>4.74</v>
      </c>
      <c r="DN242" s="398">
        <v>29.3</v>
      </c>
      <c r="DO242" s="411">
        <v>25.4</v>
      </c>
      <c r="DP242" s="115"/>
      <c r="DQ242" s="428" t="s">
        <v>1476</v>
      </c>
      <c r="DR242" s="429">
        <v>57</v>
      </c>
      <c r="DS242" s="429">
        <v>307</v>
      </c>
      <c r="DT242" s="431"/>
      <c r="DU242" s="431"/>
      <c r="DV242" s="431"/>
      <c r="DW242" s="431"/>
      <c r="DX242" s="432"/>
      <c r="DZ242" s="447" t="s">
        <v>1476</v>
      </c>
      <c r="EA242" s="448">
        <v>40</v>
      </c>
      <c r="EB242" s="448">
        <v>11.7</v>
      </c>
      <c r="EC242" s="448">
        <v>11.9</v>
      </c>
      <c r="ED242" s="448">
        <v>12</v>
      </c>
      <c r="EE242" s="448">
        <v>0.29499999999999998</v>
      </c>
      <c r="EF242" s="449">
        <v>45062</v>
      </c>
      <c r="EG242" s="449">
        <v>45001</v>
      </c>
      <c r="EH242" s="448">
        <v>8.01</v>
      </c>
      <c r="EI242" s="448">
        <v>8</v>
      </c>
      <c r="EJ242" s="448">
        <v>0.51500000000000001</v>
      </c>
      <c r="EK242" s="449">
        <v>44928</v>
      </c>
      <c r="EL242" s="448">
        <v>7.77</v>
      </c>
      <c r="EM242" s="448">
        <v>33.6</v>
      </c>
      <c r="EN242" s="448">
        <v>307</v>
      </c>
      <c r="EO242" s="448">
        <v>51.5</v>
      </c>
      <c r="EP242" s="448">
        <v>5.13</v>
      </c>
      <c r="EQ242" s="448">
        <v>57</v>
      </c>
      <c r="ER242" s="448">
        <v>44.1</v>
      </c>
      <c r="ES242" s="448">
        <v>11</v>
      </c>
      <c r="ET242" s="448">
        <v>1.94</v>
      </c>
      <c r="EU242" s="450">
        <v>16.8</v>
      </c>
    </row>
    <row r="243" spans="2:151">
      <c r="B243" s="78" t="s">
        <v>145</v>
      </c>
      <c r="C243" s="79" t="s">
        <v>249</v>
      </c>
      <c r="D243" s="80" t="s">
        <v>249</v>
      </c>
      <c r="E243" s="1" t="s">
        <v>4</v>
      </c>
      <c r="F243" s="6">
        <v>125</v>
      </c>
      <c r="G243" s="4">
        <v>36.799999999999997</v>
      </c>
      <c r="H243" s="3" t="str">
        <f t="shared" si="20"/>
        <v>WT12X125</v>
      </c>
      <c r="I243" s="4">
        <v>13.2</v>
      </c>
      <c r="J243" s="5">
        <v>13.125</v>
      </c>
      <c r="K243" s="6" t="s">
        <v>5</v>
      </c>
      <c r="L243" s="6" t="s">
        <v>5</v>
      </c>
      <c r="M243" s="6" t="s">
        <v>5</v>
      </c>
      <c r="N243" s="4">
        <v>13.2</v>
      </c>
      <c r="O243" s="5">
        <v>13.125</v>
      </c>
      <c r="P243" s="5" t="s">
        <v>5</v>
      </c>
      <c r="Q243" s="6" t="s">
        <v>5</v>
      </c>
      <c r="R243" s="6" t="s">
        <v>5</v>
      </c>
      <c r="S243" s="7">
        <v>1.04</v>
      </c>
      <c r="T243" s="5">
        <v>1.0625</v>
      </c>
      <c r="U243" s="8">
        <v>0.5625</v>
      </c>
      <c r="V243" s="7">
        <v>1.89</v>
      </c>
      <c r="W243" s="8">
        <v>1.875</v>
      </c>
      <c r="X243" s="7">
        <v>1.89</v>
      </c>
      <c r="Y243" s="6" t="s">
        <v>5</v>
      </c>
      <c r="Z243" s="6" t="s">
        <v>5</v>
      </c>
      <c r="AA243" s="33">
        <v>2.39</v>
      </c>
      <c r="AB243" s="34">
        <v>3.125</v>
      </c>
      <c r="AC243" s="8" t="s">
        <v>5</v>
      </c>
      <c r="AD243" s="6" t="s">
        <v>5</v>
      </c>
      <c r="AE243" s="33">
        <v>3.05</v>
      </c>
      <c r="AF243" s="6" t="s">
        <v>5</v>
      </c>
      <c r="AG243" s="6" t="s">
        <v>5</v>
      </c>
      <c r="AH243" s="33">
        <v>1.39</v>
      </c>
      <c r="AI243" s="33">
        <v>3.49</v>
      </c>
      <c r="AJ243" s="6" t="s">
        <v>5</v>
      </c>
      <c r="AK243" s="6" t="s">
        <v>5</v>
      </c>
      <c r="AL243" s="6" t="s">
        <v>5</v>
      </c>
      <c r="AM243" s="6" t="s">
        <v>5</v>
      </c>
      <c r="AN243" s="4">
        <v>12.7</v>
      </c>
      <c r="AO243" s="38">
        <v>478</v>
      </c>
      <c r="AP243" s="39">
        <v>86.5</v>
      </c>
      <c r="AQ243" s="4">
        <v>47.2</v>
      </c>
      <c r="AR243" s="7">
        <v>3.61</v>
      </c>
      <c r="AS243" s="38">
        <v>362</v>
      </c>
      <c r="AT243" s="39">
        <v>85.2</v>
      </c>
      <c r="AU243" s="4">
        <v>54.9</v>
      </c>
      <c r="AV243" s="7">
        <v>3.14</v>
      </c>
      <c r="AW243" s="6" t="s">
        <v>5</v>
      </c>
      <c r="AX243" s="6" t="s">
        <v>5</v>
      </c>
      <c r="AY243" s="6" t="s">
        <v>5</v>
      </c>
      <c r="AZ243" s="39">
        <v>33.200000000000003</v>
      </c>
      <c r="BA243" s="6">
        <v>165</v>
      </c>
      <c r="BB243" s="6" t="s">
        <v>5</v>
      </c>
      <c r="BC243" s="6" t="s">
        <v>5</v>
      </c>
      <c r="BD243" s="6" t="s">
        <v>5</v>
      </c>
      <c r="BE243" s="6" t="s">
        <v>5</v>
      </c>
      <c r="BF243" s="6" t="s">
        <v>5</v>
      </c>
      <c r="BG243" s="6" t="s">
        <v>5</v>
      </c>
      <c r="BH243" s="6" t="s">
        <v>5</v>
      </c>
      <c r="BI243" s="7">
        <v>5.22</v>
      </c>
      <c r="BJ243" s="22">
        <v>0.83799999999999997</v>
      </c>
      <c r="BK243" s="6" t="s">
        <v>5</v>
      </c>
      <c r="BL243" s="2" t="s">
        <v>5</v>
      </c>
      <c r="BM243" s="2" t="s">
        <v>5</v>
      </c>
      <c r="BN243" s="2" t="s">
        <v>5</v>
      </c>
      <c r="BO243" s="2" t="s">
        <v>5</v>
      </c>
      <c r="BP243" s="2" t="s">
        <v>5</v>
      </c>
      <c r="BQ243" s="2" t="s">
        <v>5</v>
      </c>
      <c r="BR243" s="2" t="s">
        <v>5</v>
      </c>
      <c r="BS243" s="2" t="s">
        <v>5</v>
      </c>
      <c r="BT243" s="2" t="s">
        <v>5</v>
      </c>
      <c r="BU243" s="2" t="s">
        <v>5</v>
      </c>
      <c r="BV243" s="2" t="s">
        <v>5</v>
      </c>
      <c r="BW243" s="2" t="s">
        <v>5</v>
      </c>
      <c r="BX243" s="2" t="s">
        <v>5</v>
      </c>
      <c r="BY243" s="25" t="s">
        <v>5</v>
      </c>
      <c r="BZ243" s="25" t="s">
        <v>5</v>
      </c>
      <c r="CA243" s="4">
        <v>38.6</v>
      </c>
      <c r="CB243" s="6" t="s">
        <v>5</v>
      </c>
      <c r="CC243" s="4">
        <v>51.8</v>
      </c>
      <c r="CD243" s="4">
        <v>39.599999999999994</v>
      </c>
      <c r="CE243" s="6">
        <v>52.8</v>
      </c>
      <c r="CF243" s="16" t="s">
        <v>5</v>
      </c>
      <c r="CG243" s="5">
        <v>5.5</v>
      </c>
      <c r="CH243" s="18" t="s">
        <v>5</v>
      </c>
      <c r="CV243" s="344" t="str">
        <f t="shared" si="21"/>
        <v>WT7X19</v>
      </c>
      <c r="CW243" s="338">
        <v>5.58</v>
      </c>
      <c r="DH243" s="397" t="s">
        <v>1498</v>
      </c>
      <c r="DI243" s="400">
        <v>5.57</v>
      </c>
      <c r="DJ243" s="398">
        <v>12.2</v>
      </c>
      <c r="DK243" s="399">
        <v>0.23499999999999999</v>
      </c>
      <c r="DL243" s="398">
        <v>46.2</v>
      </c>
      <c r="DM243" s="400">
        <v>5.72</v>
      </c>
      <c r="DN243" s="398">
        <v>24.7</v>
      </c>
      <c r="DO243" s="411">
        <v>21.3</v>
      </c>
      <c r="DP243" s="115"/>
      <c r="DQ243" s="428" t="s">
        <v>1477</v>
      </c>
      <c r="DR243" s="429">
        <v>54.9</v>
      </c>
      <c r="DS243" s="429">
        <v>248</v>
      </c>
      <c r="DT243" s="431"/>
      <c r="DU243" s="431"/>
      <c r="DV243" s="431"/>
      <c r="DW243" s="431"/>
      <c r="DX243" s="432"/>
      <c r="DZ243" s="447" t="s">
        <v>1480</v>
      </c>
      <c r="EA243" s="448">
        <v>35</v>
      </c>
      <c r="EB243" s="448">
        <v>10.3</v>
      </c>
      <c r="EC243" s="448">
        <v>12.5</v>
      </c>
      <c r="ED243" s="448" t="s">
        <v>1770</v>
      </c>
      <c r="EE243" s="448">
        <v>0.3</v>
      </c>
      <c r="EF243" s="449">
        <v>45062</v>
      </c>
      <c r="EG243" s="449">
        <v>45001</v>
      </c>
      <c r="EH243" s="448">
        <v>6.56</v>
      </c>
      <c r="EI243" s="448" t="s">
        <v>1783</v>
      </c>
      <c r="EJ243" s="448">
        <v>0.52</v>
      </c>
      <c r="EK243" s="449">
        <v>44928</v>
      </c>
      <c r="EL243" s="448">
        <v>6.31</v>
      </c>
      <c r="EM243" s="448">
        <v>36.200000000000003</v>
      </c>
      <c r="EN243" s="448">
        <v>285</v>
      </c>
      <c r="EO243" s="448">
        <v>45.6</v>
      </c>
      <c r="EP243" s="448">
        <v>5.25</v>
      </c>
      <c r="EQ243" s="448">
        <v>51.2</v>
      </c>
      <c r="ER243" s="448">
        <v>24.5</v>
      </c>
      <c r="ES243" s="448">
        <v>7.47</v>
      </c>
      <c r="ET243" s="448">
        <v>1.54</v>
      </c>
      <c r="EU243" s="450">
        <v>11.5</v>
      </c>
    </row>
    <row r="244" spans="2:151">
      <c r="B244" s="78" t="s">
        <v>145</v>
      </c>
      <c r="C244" s="79" t="s">
        <v>250</v>
      </c>
      <c r="D244" s="80" t="s">
        <v>250</v>
      </c>
      <c r="E244" s="1" t="s">
        <v>4</v>
      </c>
      <c r="F244" s="6">
        <v>114.5</v>
      </c>
      <c r="G244" s="4">
        <v>33.6</v>
      </c>
      <c r="H244" s="3" t="str">
        <f t="shared" si="20"/>
        <v>WT12X114.5</v>
      </c>
      <c r="I244" s="4">
        <v>13</v>
      </c>
      <c r="J244" s="5">
        <v>13</v>
      </c>
      <c r="K244" s="6" t="s">
        <v>5</v>
      </c>
      <c r="L244" s="6" t="s">
        <v>5</v>
      </c>
      <c r="M244" s="6" t="s">
        <v>5</v>
      </c>
      <c r="N244" s="4">
        <v>13.1</v>
      </c>
      <c r="O244" s="5">
        <v>13.125</v>
      </c>
      <c r="P244" s="5" t="s">
        <v>5</v>
      </c>
      <c r="Q244" s="6" t="s">
        <v>5</v>
      </c>
      <c r="R244" s="6" t="s">
        <v>5</v>
      </c>
      <c r="S244" s="22">
        <v>0.96</v>
      </c>
      <c r="T244" s="5">
        <v>0.9375</v>
      </c>
      <c r="U244" s="8">
        <v>0.5</v>
      </c>
      <c r="V244" s="7">
        <v>1.73</v>
      </c>
      <c r="W244" s="8">
        <v>1.75</v>
      </c>
      <c r="X244" s="7">
        <v>1.73</v>
      </c>
      <c r="Y244" s="6" t="s">
        <v>5</v>
      </c>
      <c r="Z244" s="6" t="s">
        <v>5</v>
      </c>
      <c r="AA244" s="33">
        <v>2.23</v>
      </c>
      <c r="AB244" s="34">
        <v>3</v>
      </c>
      <c r="AC244" s="8" t="s">
        <v>5</v>
      </c>
      <c r="AD244" s="6" t="s">
        <v>5</v>
      </c>
      <c r="AE244" s="33">
        <v>2.96</v>
      </c>
      <c r="AF244" s="6" t="s">
        <v>5</v>
      </c>
      <c r="AG244" s="6" t="s">
        <v>5</v>
      </c>
      <c r="AH244" s="33">
        <v>1.28</v>
      </c>
      <c r="AI244" s="33">
        <v>3.79</v>
      </c>
      <c r="AJ244" s="6" t="s">
        <v>5</v>
      </c>
      <c r="AK244" s="6" t="s">
        <v>5</v>
      </c>
      <c r="AL244" s="6" t="s">
        <v>5</v>
      </c>
      <c r="AM244" s="6" t="s">
        <v>5</v>
      </c>
      <c r="AN244" s="4">
        <v>13.5</v>
      </c>
      <c r="AO244" s="38">
        <v>431</v>
      </c>
      <c r="AP244" s="39">
        <v>78.099999999999994</v>
      </c>
      <c r="AQ244" s="4">
        <v>42.9</v>
      </c>
      <c r="AR244" s="7">
        <v>3.58</v>
      </c>
      <c r="AS244" s="38">
        <v>326</v>
      </c>
      <c r="AT244" s="39">
        <v>77</v>
      </c>
      <c r="AU244" s="4">
        <v>49.7</v>
      </c>
      <c r="AV244" s="7">
        <v>3.11</v>
      </c>
      <c r="AW244" s="6" t="s">
        <v>5</v>
      </c>
      <c r="AX244" s="6" t="s">
        <v>5</v>
      </c>
      <c r="AY244" s="6" t="s">
        <v>5</v>
      </c>
      <c r="AZ244" s="39">
        <v>25.5</v>
      </c>
      <c r="BA244" s="6">
        <v>125</v>
      </c>
      <c r="BB244" s="6" t="s">
        <v>5</v>
      </c>
      <c r="BC244" s="6" t="s">
        <v>5</v>
      </c>
      <c r="BD244" s="6" t="s">
        <v>5</v>
      </c>
      <c r="BE244" s="6" t="s">
        <v>5</v>
      </c>
      <c r="BF244" s="6" t="s">
        <v>5</v>
      </c>
      <c r="BG244" s="6" t="s">
        <v>5</v>
      </c>
      <c r="BH244" s="6" t="s">
        <v>5</v>
      </c>
      <c r="BI244" s="7">
        <v>5.19</v>
      </c>
      <c r="BJ244" s="22">
        <v>0.83599999999999997</v>
      </c>
      <c r="BK244" s="6" t="s">
        <v>5</v>
      </c>
      <c r="BL244" s="2" t="s">
        <v>5</v>
      </c>
      <c r="BM244" s="2" t="s">
        <v>5</v>
      </c>
      <c r="BN244" s="2" t="s">
        <v>5</v>
      </c>
      <c r="BO244" s="2" t="s">
        <v>5</v>
      </c>
      <c r="BP244" s="2" t="s">
        <v>5</v>
      </c>
      <c r="BQ244" s="2" t="s">
        <v>5</v>
      </c>
      <c r="BR244" s="2" t="s">
        <v>5</v>
      </c>
      <c r="BS244" s="2" t="s">
        <v>5</v>
      </c>
      <c r="BT244" s="2" t="s">
        <v>5</v>
      </c>
      <c r="BU244" s="2" t="s">
        <v>5</v>
      </c>
      <c r="BV244" s="2" t="s">
        <v>5</v>
      </c>
      <c r="BW244" s="2" t="s">
        <v>5</v>
      </c>
      <c r="BX244" s="2" t="s">
        <v>5</v>
      </c>
      <c r="BY244" s="25" t="s">
        <v>5</v>
      </c>
      <c r="BZ244" s="25" t="s">
        <v>5</v>
      </c>
      <c r="CA244" s="4">
        <v>38.1</v>
      </c>
      <c r="CB244" s="6" t="s">
        <v>5</v>
      </c>
      <c r="CC244" s="4">
        <v>51.2</v>
      </c>
      <c r="CD244" s="4">
        <v>39.1</v>
      </c>
      <c r="CE244" s="6">
        <v>52.2</v>
      </c>
      <c r="CF244" s="16" t="s">
        <v>5</v>
      </c>
      <c r="CG244" s="5">
        <v>5.5</v>
      </c>
      <c r="CH244" s="18" t="s">
        <v>5</v>
      </c>
      <c r="CV244" s="344" t="str">
        <f t="shared" si="21"/>
        <v>WT8X18</v>
      </c>
      <c r="CW244" s="338">
        <v>5.29</v>
      </c>
      <c r="DH244" s="397" t="s">
        <v>1502</v>
      </c>
      <c r="DI244" s="400">
        <v>4.71</v>
      </c>
      <c r="DJ244" s="398">
        <v>12</v>
      </c>
      <c r="DK244" s="399">
        <v>0.22</v>
      </c>
      <c r="DL244" s="398">
        <v>49.4</v>
      </c>
      <c r="DM244" s="400">
        <v>7.53</v>
      </c>
      <c r="DN244" s="398">
        <v>20.100000000000001</v>
      </c>
      <c r="DO244" s="411">
        <v>17.100000000000001</v>
      </c>
      <c r="DP244" s="115"/>
      <c r="DQ244" s="428" t="s">
        <v>1478</v>
      </c>
      <c r="DR244" s="429">
        <v>54.6</v>
      </c>
      <c r="DS244" s="429">
        <v>340</v>
      </c>
      <c r="DT244" s="431"/>
      <c r="DU244" s="431"/>
      <c r="DV244" s="431"/>
      <c r="DW244" s="431"/>
      <c r="DX244" s="432"/>
      <c r="DZ244" s="447" t="s">
        <v>1485</v>
      </c>
      <c r="EA244" s="448">
        <v>30</v>
      </c>
      <c r="EB244" s="448">
        <v>8.7899999999999991</v>
      </c>
      <c r="EC244" s="448">
        <v>12.3</v>
      </c>
      <c r="ED244" s="448" t="s">
        <v>1652</v>
      </c>
      <c r="EE244" s="448">
        <v>0.26</v>
      </c>
      <c r="EF244" s="449">
        <v>44930</v>
      </c>
      <c r="EG244" s="449">
        <v>44934</v>
      </c>
      <c r="EH244" s="448">
        <v>6.52</v>
      </c>
      <c r="EI244" s="448" t="s">
        <v>1783</v>
      </c>
      <c r="EJ244" s="448">
        <v>0.44</v>
      </c>
      <c r="EK244" s="449">
        <v>45123</v>
      </c>
      <c r="EL244" s="448">
        <v>7.41</v>
      </c>
      <c r="EM244" s="448">
        <v>41.8</v>
      </c>
      <c r="EN244" s="448">
        <v>238</v>
      </c>
      <c r="EO244" s="448">
        <v>38.6</v>
      </c>
      <c r="EP244" s="448">
        <v>5.21</v>
      </c>
      <c r="EQ244" s="448">
        <v>43.1</v>
      </c>
      <c r="ER244" s="448">
        <v>20.3</v>
      </c>
      <c r="ES244" s="448">
        <v>6.24</v>
      </c>
      <c r="ET244" s="448">
        <v>1.52</v>
      </c>
      <c r="EU244" s="450">
        <v>9.56</v>
      </c>
    </row>
    <row r="245" spans="2:151">
      <c r="B245" s="78" t="s">
        <v>145</v>
      </c>
      <c r="C245" s="79" t="s">
        <v>251</v>
      </c>
      <c r="D245" s="80" t="s">
        <v>251</v>
      </c>
      <c r="E245" s="1" t="s">
        <v>4</v>
      </c>
      <c r="F245" s="6">
        <v>103.5</v>
      </c>
      <c r="G245" s="4">
        <v>30.3</v>
      </c>
      <c r="H245" s="3" t="str">
        <f t="shared" si="20"/>
        <v>WT12X103.5</v>
      </c>
      <c r="I245" s="4">
        <v>12.9</v>
      </c>
      <c r="J245" s="5">
        <v>12.875</v>
      </c>
      <c r="K245" s="6" t="s">
        <v>5</v>
      </c>
      <c r="L245" s="6" t="s">
        <v>5</v>
      </c>
      <c r="M245" s="6" t="s">
        <v>5</v>
      </c>
      <c r="N245" s="4">
        <v>13</v>
      </c>
      <c r="O245" s="5">
        <v>13</v>
      </c>
      <c r="P245" s="5" t="s">
        <v>5</v>
      </c>
      <c r="Q245" s="6" t="s">
        <v>5</v>
      </c>
      <c r="R245" s="6" t="s">
        <v>5</v>
      </c>
      <c r="S245" s="22">
        <v>0.87</v>
      </c>
      <c r="T245" s="5">
        <v>0.875</v>
      </c>
      <c r="U245" s="8">
        <v>0.4375</v>
      </c>
      <c r="V245" s="7">
        <v>1.57</v>
      </c>
      <c r="W245" s="8">
        <v>1.5625</v>
      </c>
      <c r="X245" s="7">
        <v>1.57</v>
      </c>
      <c r="Y245" s="6" t="s">
        <v>5</v>
      </c>
      <c r="Z245" s="6" t="s">
        <v>5</v>
      </c>
      <c r="AA245" s="33">
        <v>2.0699999999999998</v>
      </c>
      <c r="AB245" s="34">
        <v>2.875</v>
      </c>
      <c r="AC245" s="8" t="s">
        <v>5</v>
      </c>
      <c r="AD245" s="6" t="s">
        <v>5</v>
      </c>
      <c r="AE245" s="33">
        <v>2.87</v>
      </c>
      <c r="AF245" s="6" t="s">
        <v>5</v>
      </c>
      <c r="AG245" s="6" t="s">
        <v>5</v>
      </c>
      <c r="AH245" s="33">
        <v>1.17</v>
      </c>
      <c r="AI245" s="33">
        <v>4.1399999999999997</v>
      </c>
      <c r="AJ245" s="6" t="s">
        <v>5</v>
      </c>
      <c r="AK245" s="6" t="s">
        <v>5</v>
      </c>
      <c r="AL245" s="6" t="s">
        <v>5</v>
      </c>
      <c r="AM245" s="6" t="s">
        <v>5</v>
      </c>
      <c r="AN245" s="4">
        <v>14.8</v>
      </c>
      <c r="AO245" s="38">
        <v>382</v>
      </c>
      <c r="AP245" s="39">
        <v>69.3</v>
      </c>
      <c r="AQ245" s="4">
        <v>38.299999999999997</v>
      </c>
      <c r="AR245" s="7">
        <v>3.55</v>
      </c>
      <c r="AS245" s="38">
        <v>289</v>
      </c>
      <c r="AT245" s="39">
        <v>68.599999999999994</v>
      </c>
      <c r="AU245" s="4">
        <v>44.4</v>
      </c>
      <c r="AV245" s="7">
        <v>3.08</v>
      </c>
      <c r="AW245" s="6" t="s">
        <v>5</v>
      </c>
      <c r="AX245" s="6" t="s">
        <v>5</v>
      </c>
      <c r="AY245" s="6" t="s">
        <v>5</v>
      </c>
      <c r="AZ245" s="39">
        <v>19.100000000000001</v>
      </c>
      <c r="BA245" s="4">
        <v>91.3</v>
      </c>
      <c r="BB245" s="6" t="s">
        <v>5</v>
      </c>
      <c r="BC245" s="6" t="s">
        <v>5</v>
      </c>
      <c r="BD245" s="6" t="s">
        <v>5</v>
      </c>
      <c r="BE245" s="6" t="s">
        <v>5</v>
      </c>
      <c r="BF245" s="6" t="s">
        <v>5</v>
      </c>
      <c r="BG245" s="6" t="s">
        <v>5</v>
      </c>
      <c r="BH245" s="6" t="s">
        <v>5</v>
      </c>
      <c r="BI245" s="7">
        <v>5.14</v>
      </c>
      <c r="BJ245" s="22">
        <v>0.83599999999999997</v>
      </c>
      <c r="BK245" s="6" t="s">
        <v>5</v>
      </c>
      <c r="BL245" s="2" t="s">
        <v>5</v>
      </c>
      <c r="BM245" s="2" t="s">
        <v>5</v>
      </c>
      <c r="BN245" s="2" t="s">
        <v>5</v>
      </c>
      <c r="BO245" s="2" t="s">
        <v>5</v>
      </c>
      <c r="BP245" s="2" t="s">
        <v>5</v>
      </c>
      <c r="BQ245" s="2" t="s">
        <v>5</v>
      </c>
      <c r="BR245" s="2" t="s">
        <v>5</v>
      </c>
      <c r="BS245" s="2" t="s">
        <v>5</v>
      </c>
      <c r="BT245" s="2" t="s">
        <v>5</v>
      </c>
      <c r="BU245" s="2" t="s">
        <v>5</v>
      </c>
      <c r="BV245" s="2" t="s">
        <v>5</v>
      </c>
      <c r="BW245" s="2" t="s">
        <v>5</v>
      </c>
      <c r="BX245" s="2" t="s">
        <v>5</v>
      </c>
      <c r="BY245" s="25" t="s">
        <v>5</v>
      </c>
      <c r="BZ245" s="25" t="s">
        <v>5</v>
      </c>
      <c r="CA245" s="4">
        <v>37.799999999999997</v>
      </c>
      <c r="CB245" s="6" t="s">
        <v>5</v>
      </c>
      <c r="CC245" s="4">
        <v>50.8</v>
      </c>
      <c r="CD245" s="4">
        <v>38.799999999999997</v>
      </c>
      <c r="CE245" s="6">
        <v>51.8</v>
      </c>
      <c r="CF245" s="16" t="s">
        <v>5</v>
      </c>
      <c r="CG245" s="5">
        <v>5.5</v>
      </c>
      <c r="CH245" s="18" t="s">
        <v>5</v>
      </c>
      <c r="CV245" s="344" t="str">
        <f t="shared" si="21"/>
        <v>WT6X17.5</v>
      </c>
      <c r="CW245" s="338">
        <v>5.17</v>
      </c>
      <c r="DH245" s="397" t="s">
        <v>1504</v>
      </c>
      <c r="DI245" s="400">
        <v>4.16</v>
      </c>
      <c r="DJ245" s="398">
        <v>11.9</v>
      </c>
      <c r="DK245" s="399">
        <v>0.2</v>
      </c>
      <c r="DL245" s="398">
        <v>54.3</v>
      </c>
      <c r="DM245" s="400">
        <v>8.82</v>
      </c>
      <c r="DN245" s="398">
        <v>17.399999999999999</v>
      </c>
      <c r="DO245" s="411">
        <v>14.9</v>
      </c>
      <c r="DP245" s="115"/>
      <c r="DQ245" s="428" t="s">
        <v>1479</v>
      </c>
      <c r="DR245" s="429">
        <v>54</v>
      </c>
      <c r="DS245" s="429">
        <v>375</v>
      </c>
      <c r="DT245" s="431"/>
      <c r="DU245" s="431"/>
      <c r="DV245" s="431"/>
      <c r="DW245" s="431"/>
      <c r="DX245" s="432"/>
      <c r="DZ245" s="447" t="s">
        <v>1489</v>
      </c>
      <c r="EA245" s="448">
        <v>26</v>
      </c>
      <c r="EB245" s="448">
        <v>7.65</v>
      </c>
      <c r="EC245" s="448">
        <v>12.2</v>
      </c>
      <c r="ED245" s="448" t="s">
        <v>1691</v>
      </c>
      <c r="EE245" s="448">
        <v>0.23</v>
      </c>
      <c r="EF245" s="449">
        <v>44930</v>
      </c>
      <c r="EG245" s="449">
        <v>44934</v>
      </c>
      <c r="EH245" s="448">
        <v>6.49</v>
      </c>
      <c r="EI245" s="448" t="s">
        <v>1783</v>
      </c>
      <c r="EJ245" s="448">
        <v>0.38</v>
      </c>
      <c r="EK245" s="449">
        <v>44993</v>
      </c>
      <c r="EL245" s="448">
        <v>8.5399999999999991</v>
      </c>
      <c r="EM245" s="448">
        <v>47.2</v>
      </c>
      <c r="EN245" s="448">
        <v>204</v>
      </c>
      <c r="EO245" s="448">
        <v>33.4</v>
      </c>
      <c r="EP245" s="448">
        <v>5.17</v>
      </c>
      <c r="EQ245" s="448">
        <v>37.200000000000003</v>
      </c>
      <c r="ER245" s="448">
        <v>17.3</v>
      </c>
      <c r="ES245" s="448">
        <v>5.34</v>
      </c>
      <c r="ET245" s="448">
        <v>1.51</v>
      </c>
      <c r="EU245" s="450">
        <v>8.17</v>
      </c>
    </row>
    <row r="246" spans="2:151">
      <c r="B246" s="78" t="s">
        <v>145</v>
      </c>
      <c r="C246" s="79" t="s">
        <v>252</v>
      </c>
      <c r="D246" s="80" t="s">
        <v>252</v>
      </c>
      <c r="E246" s="1" t="s">
        <v>4</v>
      </c>
      <c r="F246" s="4">
        <v>96</v>
      </c>
      <c r="G246" s="4">
        <v>28.2</v>
      </c>
      <c r="H246" s="3" t="str">
        <f t="shared" si="20"/>
        <v>WT12X96</v>
      </c>
      <c r="I246" s="4">
        <v>12.7</v>
      </c>
      <c r="J246" s="5">
        <v>12.75</v>
      </c>
      <c r="K246" s="6" t="s">
        <v>5</v>
      </c>
      <c r="L246" s="6" t="s">
        <v>5</v>
      </c>
      <c r="M246" s="6" t="s">
        <v>5</v>
      </c>
      <c r="N246" s="4">
        <v>13</v>
      </c>
      <c r="O246" s="5">
        <v>13</v>
      </c>
      <c r="P246" s="5" t="s">
        <v>5</v>
      </c>
      <c r="Q246" s="6" t="s">
        <v>5</v>
      </c>
      <c r="R246" s="6" t="s">
        <v>5</v>
      </c>
      <c r="S246" s="22">
        <v>0.81</v>
      </c>
      <c r="T246" s="5">
        <v>0.8125</v>
      </c>
      <c r="U246" s="8">
        <v>0.4375</v>
      </c>
      <c r="V246" s="7">
        <v>1.46</v>
      </c>
      <c r="W246" s="8">
        <v>1.4375</v>
      </c>
      <c r="X246" s="7">
        <v>1.46</v>
      </c>
      <c r="Y246" s="6" t="s">
        <v>5</v>
      </c>
      <c r="Z246" s="6" t="s">
        <v>5</v>
      </c>
      <c r="AA246" s="33">
        <v>1.96</v>
      </c>
      <c r="AB246" s="34">
        <v>2.75</v>
      </c>
      <c r="AC246" s="8" t="s">
        <v>5</v>
      </c>
      <c r="AD246" s="6" t="s">
        <v>5</v>
      </c>
      <c r="AE246" s="33">
        <v>2.8</v>
      </c>
      <c r="AF246" s="6" t="s">
        <v>5</v>
      </c>
      <c r="AG246" s="6" t="s">
        <v>5</v>
      </c>
      <c r="AH246" s="33">
        <v>1.0900000000000001</v>
      </c>
      <c r="AI246" s="33">
        <v>4.43</v>
      </c>
      <c r="AJ246" s="6" t="s">
        <v>5</v>
      </c>
      <c r="AK246" s="6" t="s">
        <v>5</v>
      </c>
      <c r="AL246" s="6" t="s">
        <v>5</v>
      </c>
      <c r="AM246" s="6" t="s">
        <v>5</v>
      </c>
      <c r="AN246" s="4">
        <v>15.7</v>
      </c>
      <c r="AO246" s="38">
        <v>350</v>
      </c>
      <c r="AP246" s="39">
        <v>63.5</v>
      </c>
      <c r="AQ246" s="4">
        <v>35.200000000000003</v>
      </c>
      <c r="AR246" s="7">
        <v>3.53</v>
      </c>
      <c r="AS246" s="38">
        <v>265</v>
      </c>
      <c r="AT246" s="39">
        <v>63.1</v>
      </c>
      <c r="AU246" s="4">
        <v>40.9</v>
      </c>
      <c r="AV246" s="7">
        <v>3.07</v>
      </c>
      <c r="AW246" s="6" t="s">
        <v>5</v>
      </c>
      <c r="AX246" s="6" t="s">
        <v>5</v>
      </c>
      <c r="AY246" s="6" t="s">
        <v>5</v>
      </c>
      <c r="AZ246" s="39">
        <v>15.3</v>
      </c>
      <c r="BA246" s="4">
        <v>72.5</v>
      </c>
      <c r="BB246" s="6" t="s">
        <v>5</v>
      </c>
      <c r="BC246" s="6" t="s">
        <v>5</v>
      </c>
      <c r="BD246" s="6" t="s">
        <v>5</v>
      </c>
      <c r="BE246" s="6" t="s">
        <v>5</v>
      </c>
      <c r="BF246" s="6" t="s">
        <v>5</v>
      </c>
      <c r="BG246" s="6" t="s">
        <v>5</v>
      </c>
      <c r="BH246" s="6" t="s">
        <v>5</v>
      </c>
      <c r="BI246" s="7">
        <v>5.1100000000000003</v>
      </c>
      <c r="BJ246" s="22">
        <v>0.83599999999999997</v>
      </c>
      <c r="BK246" s="6" t="s">
        <v>5</v>
      </c>
      <c r="BL246" s="2" t="s">
        <v>5</v>
      </c>
      <c r="BM246" s="2" t="s">
        <v>5</v>
      </c>
      <c r="BN246" s="2" t="s">
        <v>5</v>
      </c>
      <c r="BO246" s="2" t="s">
        <v>5</v>
      </c>
      <c r="BP246" s="2" t="s">
        <v>5</v>
      </c>
      <c r="BQ246" s="2" t="s">
        <v>5</v>
      </c>
      <c r="BR246" s="2" t="s">
        <v>5</v>
      </c>
      <c r="BS246" s="2" t="s">
        <v>5</v>
      </c>
      <c r="BT246" s="2" t="s">
        <v>5</v>
      </c>
      <c r="BU246" s="2" t="s">
        <v>5</v>
      </c>
      <c r="BV246" s="2" t="s">
        <v>5</v>
      </c>
      <c r="BW246" s="2" t="s">
        <v>5</v>
      </c>
      <c r="BX246" s="2" t="s">
        <v>5</v>
      </c>
      <c r="BY246" s="25" t="s">
        <v>5</v>
      </c>
      <c r="BZ246" s="25" t="s">
        <v>5</v>
      </c>
      <c r="CA246" s="4">
        <v>37.4</v>
      </c>
      <c r="CB246" s="6" t="s">
        <v>5</v>
      </c>
      <c r="CC246" s="4">
        <v>50.4</v>
      </c>
      <c r="CD246" s="4">
        <v>38.4</v>
      </c>
      <c r="CE246" s="6">
        <v>51.4</v>
      </c>
      <c r="CF246" s="16" t="s">
        <v>5</v>
      </c>
      <c r="CG246" s="5">
        <v>5.5</v>
      </c>
      <c r="CH246" s="18" t="s">
        <v>5</v>
      </c>
      <c r="CV246" s="344" t="str">
        <f t="shared" si="21"/>
        <v>WT9X17.5</v>
      </c>
      <c r="CW246" s="338">
        <v>5.15</v>
      </c>
      <c r="DH246" s="397" t="s">
        <v>1432</v>
      </c>
      <c r="DI246" s="398">
        <v>32.9</v>
      </c>
      <c r="DJ246" s="398">
        <v>11.4</v>
      </c>
      <c r="DK246" s="399">
        <v>0.755</v>
      </c>
      <c r="DL246" s="398">
        <v>10.4</v>
      </c>
      <c r="DM246" s="400">
        <v>4.17</v>
      </c>
      <c r="DN246" s="401">
        <v>147</v>
      </c>
      <c r="DO246" s="402">
        <v>126</v>
      </c>
      <c r="DP246" s="117"/>
      <c r="DQ246" s="428" t="s">
        <v>1480</v>
      </c>
      <c r="DR246" s="429">
        <v>51.2</v>
      </c>
      <c r="DS246" s="429">
        <v>285</v>
      </c>
      <c r="DT246" s="431"/>
      <c r="DU246" s="431"/>
      <c r="DV246" s="431"/>
      <c r="DW246" s="431"/>
      <c r="DX246" s="432"/>
      <c r="DZ246" s="447" t="s">
        <v>1495</v>
      </c>
      <c r="EA246" s="448">
        <v>22</v>
      </c>
      <c r="EB246" s="448">
        <v>6.48</v>
      </c>
      <c r="EC246" s="448">
        <v>12.3</v>
      </c>
      <c r="ED246" s="448" t="s">
        <v>1691</v>
      </c>
      <c r="EE246" s="448">
        <v>0.26</v>
      </c>
      <c r="EF246" s="449">
        <v>44930</v>
      </c>
      <c r="EG246" s="449">
        <v>44934</v>
      </c>
      <c r="EH246" s="448">
        <v>4.03</v>
      </c>
      <c r="EI246" s="448">
        <v>4</v>
      </c>
      <c r="EJ246" s="448">
        <v>0.42499999999999999</v>
      </c>
      <c r="EK246" s="449">
        <v>45123</v>
      </c>
      <c r="EL246" s="448">
        <v>4.74</v>
      </c>
      <c r="EM246" s="448">
        <v>41.8</v>
      </c>
      <c r="EN246" s="448">
        <v>156</v>
      </c>
      <c r="EO246" s="448">
        <v>25.4</v>
      </c>
      <c r="EP246" s="448">
        <v>4.91</v>
      </c>
      <c r="EQ246" s="448">
        <v>29.3</v>
      </c>
      <c r="ER246" s="448">
        <v>4.66</v>
      </c>
      <c r="ES246" s="448">
        <v>2.31</v>
      </c>
      <c r="ET246" s="448">
        <v>0.84799999999999998</v>
      </c>
      <c r="EU246" s="450">
        <v>3.66</v>
      </c>
    </row>
    <row r="247" spans="2:151">
      <c r="B247" s="78" t="s">
        <v>145</v>
      </c>
      <c r="C247" s="79" t="s">
        <v>253</v>
      </c>
      <c r="D247" s="80" t="s">
        <v>253</v>
      </c>
      <c r="E247" s="1" t="s">
        <v>4</v>
      </c>
      <c r="F247" s="4">
        <v>88</v>
      </c>
      <c r="G247" s="4">
        <v>25.8</v>
      </c>
      <c r="H247" s="3" t="str">
        <f t="shared" si="20"/>
        <v>WT12X88</v>
      </c>
      <c r="I247" s="4">
        <v>12.6</v>
      </c>
      <c r="J247" s="5">
        <v>12.625</v>
      </c>
      <c r="K247" s="6" t="s">
        <v>5</v>
      </c>
      <c r="L247" s="6" t="s">
        <v>5</v>
      </c>
      <c r="M247" s="6" t="s">
        <v>5</v>
      </c>
      <c r="N247" s="4">
        <v>12.9</v>
      </c>
      <c r="O247" s="5">
        <v>12.875</v>
      </c>
      <c r="P247" s="5" t="s">
        <v>5</v>
      </c>
      <c r="Q247" s="6" t="s">
        <v>5</v>
      </c>
      <c r="R247" s="6" t="s">
        <v>5</v>
      </c>
      <c r="S247" s="22">
        <v>0.75</v>
      </c>
      <c r="T247" s="5">
        <v>0.75</v>
      </c>
      <c r="U247" s="8">
        <v>0.375</v>
      </c>
      <c r="V247" s="7">
        <v>1.34</v>
      </c>
      <c r="W247" s="8">
        <v>1.3125</v>
      </c>
      <c r="X247" s="7">
        <v>1.34</v>
      </c>
      <c r="Y247" s="6" t="s">
        <v>5</v>
      </c>
      <c r="Z247" s="6" t="s">
        <v>5</v>
      </c>
      <c r="AA247" s="33">
        <v>1.84</v>
      </c>
      <c r="AB247" s="34">
        <v>2.625</v>
      </c>
      <c r="AC247" s="8" t="s">
        <v>5</v>
      </c>
      <c r="AD247" s="6" t="s">
        <v>5</v>
      </c>
      <c r="AE247" s="33">
        <v>2.74</v>
      </c>
      <c r="AF247" s="6" t="s">
        <v>5</v>
      </c>
      <c r="AG247" s="6" t="s">
        <v>5</v>
      </c>
      <c r="AH247" s="33">
        <v>1</v>
      </c>
      <c r="AI247" s="33">
        <v>4.8099999999999996</v>
      </c>
      <c r="AJ247" s="6" t="s">
        <v>5</v>
      </c>
      <c r="AK247" s="6" t="s">
        <v>5</v>
      </c>
      <c r="AL247" s="6" t="s">
        <v>5</v>
      </c>
      <c r="AM247" s="6" t="s">
        <v>5</v>
      </c>
      <c r="AN247" s="4">
        <v>16.8</v>
      </c>
      <c r="AO247" s="38">
        <v>319</v>
      </c>
      <c r="AP247" s="39">
        <v>57.8</v>
      </c>
      <c r="AQ247" s="4">
        <v>32.200000000000003</v>
      </c>
      <c r="AR247" s="7">
        <v>3.51</v>
      </c>
      <c r="AS247" s="38">
        <v>240</v>
      </c>
      <c r="AT247" s="39">
        <v>57.3</v>
      </c>
      <c r="AU247" s="4">
        <v>37.200000000000003</v>
      </c>
      <c r="AV247" s="7">
        <v>3.04</v>
      </c>
      <c r="AW247" s="6" t="s">
        <v>5</v>
      </c>
      <c r="AX247" s="6" t="s">
        <v>5</v>
      </c>
      <c r="AY247" s="6" t="s">
        <v>5</v>
      </c>
      <c r="AZ247" s="39">
        <v>11.9</v>
      </c>
      <c r="BA247" s="4">
        <v>55.8</v>
      </c>
      <c r="BB247" s="6" t="s">
        <v>5</v>
      </c>
      <c r="BC247" s="6" t="s">
        <v>5</v>
      </c>
      <c r="BD247" s="6" t="s">
        <v>5</v>
      </c>
      <c r="BE247" s="6" t="s">
        <v>5</v>
      </c>
      <c r="BF247" s="6" t="s">
        <v>5</v>
      </c>
      <c r="BG247" s="6" t="s">
        <v>5</v>
      </c>
      <c r="BH247" s="6" t="s">
        <v>5</v>
      </c>
      <c r="BI247" s="7">
        <v>5.09</v>
      </c>
      <c r="BJ247" s="22">
        <v>0.83499999999999996</v>
      </c>
      <c r="BK247" s="6" t="s">
        <v>5</v>
      </c>
      <c r="BL247" s="2" t="s">
        <v>5</v>
      </c>
      <c r="BM247" s="2" t="s">
        <v>5</v>
      </c>
      <c r="BN247" s="2" t="s">
        <v>5</v>
      </c>
      <c r="BO247" s="2" t="s">
        <v>5</v>
      </c>
      <c r="BP247" s="2" t="s">
        <v>5</v>
      </c>
      <c r="BQ247" s="2" t="s">
        <v>5</v>
      </c>
      <c r="BR247" s="2" t="s">
        <v>5</v>
      </c>
      <c r="BS247" s="2" t="s">
        <v>5</v>
      </c>
      <c r="BT247" s="2" t="s">
        <v>5</v>
      </c>
      <c r="BU247" s="2" t="s">
        <v>5</v>
      </c>
      <c r="BV247" s="2" t="s">
        <v>5</v>
      </c>
      <c r="BW247" s="2" t="s">
        <v>5</v>
      </c>
      <c r="BX247" s="2" t="s">
        <v>5</v>
      </c>
      <c r="BY247" s="25" t="s">
        <v>5</v>
      </c>
      <c r="BZ247" s="25" t="s">
        <v>5</v>
      </c>
      <c r="CA247" s="4">
        <v>37.1</v>
      </c>
      <c r="CB247" s="6" t="s">
        <v>5</v>
      </c>
      <c r="CC247" s="4">
        <v>50</v>
      </c>
      <c r="CD247" s="4">
        <v>38.1</v>
      </c>
      <c r="CE247" s="4">
        <v>51</v>
      </c>
      <c r="CF247" s="16" t="s">
        <v>5</v>
      </c>
      <c r="CG247" s="5">
        <v>5.5</v>
      </c>
      <c r="CH247" s="18" t="s">
        <v>5</v>
      </c>
      <c r="CV247" s="344" t="str">
        <f t="shared" si="21"/>
        <v>WT4X17.5</v>
      </c>
      <c r="CW247" s="338">
        <v>5.14</v>
      </c>
      <c r="DH247" s="397" t="s">
        <v>1440</v>
      </c>
      <c r="DI247" s="398">
        <v>29.3</v>
      </c>
      <c r="DJ247" s="398">
        <v>11.1</v>
      </c>
      <c r="DK247" s="399">
        <v>0.68</v>
      </c>
      <c r="DL247" s="398">
        <v>11.6</v>
      </c>
      <c r="DM247" s="400">
        <v>4.62</v>
      </c>
      <c r="DN247" s="401">
        <v>130</v>
      </c>
      <c r="DO247" s="402">
        <v>112</v>
      </c>
      <c r="DP247" s="117"/>
      <c r="DQ247" s="428" t="s">
        <v>1481</v>
      </c>
      <c r="DR247" s="429">
        <v>49</v>
      </c>
      <c r="DS247" s="429">
        <v>184</v>
      </c>
      <c r="DT247" s="431"/>
      <c r="DU247" s="431"/>
      <c r="DV247" s="431"/>
      <c r="DW247" s="431"/>
      <c r="DX247" s="432"/>
      <c r="DZ247" s="447" t="s">
        <v>1498</v>
      </c>
      <c r="EA247" s="448">
        <v>19</v>
      </c>
      <c r="EB247" s="448">
        <v>5.57</v>
      </c>
      <c r="EC247" s="448">
        <v>12.2</v>
      </c>
      <c r="ED247" s="448" t="s">
        <v>1655</v>
      </c>
      <c r="EE247" s="448">
        <v>0.23499999999999999</v>
      </c>
      <c r="EF247" s="449">
        <v>44930</v>
      </c>
      <c r="EG247" s="449">
        <v>44934</v>
      </c>
      <c r="EH247" s="448">
        <v>4.01</v>
      </c>
      <c r="EI247" s="448">
        <v>4</v>
      </c>
      <c r="EJ247" s="448">
        <v>0.35</v>
      </c>
      <c r="EK247" s="449">
        <v>44993</v>
      </c>
      <c r="EL247" s="448">
        <v>5.72</v>
      </c>
      <c r="EM247" s="448">
        <v>46.2</v>
      </c>
      <c r="EN247" s="448">
        <v>130</v>
      </c>
      <c r="EO247" s="448">
        <v>21.3</v>
      </c>
      <c r="EP247" s="448">
        <v>4.82</v>
      </c>
      <c r="EQ247" s="448">
        <v>24.7</v>
      </c>
      <c r="ER247" s="448">
        <v>3.76</v>
      </c>
      <c r="ES247" s="448">
        <v>1.88</v>
      </c>
      <c r="ET247" s="448">
        <v>0.82199999999999995</v>
      </c>
      <c r="EU247" s="450">
        <v>2.98</v>
      </c>
    </row>
    <row r="248" spans="2:151">
      <c r="B248" s="78" t="s">
        <v>145</v>
      </c>
      <c r="C248" s="79" t="s">
        <v>254</v>
      </c>
      <c r="D248" s="80" t="s">
        <v>254</v>
      </c>
      <c r="E248" s="1" t="s">
        <v>4</v>
      </c>
      <c r="F248" s="4">
        <v>81</v>
      </c>
      <c r="G248" s="4">
        <v>23.9</v>
      </c>
      <c r="H248" s="3" t="str">
        <f t="shared" si="20"/>
        <v>WT12X81</v>
      </c>
      <c r="I248" s="4">
        <v>12.5</v>
      </c>
      <c r="J248" s="5">
        <v>12.5</v>
      </c>
      <c r="K248" s="6" t="s">
        <v>5</v>
      </c>
      <c r="L248" s="6" t="s">
        <v>5</v>
      </c>
      <c r="M248" s="6" t="s">
        <v>5</v>
      </c>
      <c r="N248" s="4">
        <v>13</v>
      </c>
      <c r="O248" s="5">
        <v>13</v>
      </c>
      <c r="P248" s="5" t="s">
        <v>5</v>
      </c>
      <c r="Q248" s="6" t="s">
        <v>5</v>
      </c>
      <c r="R248" s="6" t="s">
        <v>5</v>
      </c>
      <c r="S248" s="22">
        <v>0.70499999999999996</v>
      </c>
      <c r="T248" s="5">
        <v>0.6875</v>
      </c>
      <c r="U248" s="8">
        <v>0.375</v>
      </c>
      <c r="V248" s="7">
        <v>1.22</v>
      </c>
      <c r="W248" s="8">
        <v>1.25</v>
      </c>
      <c r="X248" s="7">
        <v>1.22</v>
      </c>
      <c r="Y248" s="6" t="s">
        <v>5</v>
      </c>
      <c r="Z248" s="6" t="s">
        <v>5</v>
      </c>
      <c r="AA248" s="33">
        <v>1.72</v>
      </c>
      <c r="AB248" s="34">
        <v>2.5</v>
      </c>
      <c r="AC248" s="8" t="s">
        <v>5</v>
      </c>
      <c r="AD248" s="6" t="s">
        <v>5</v>
      </c>
      <c r="AE248" s="33">
        <v>2.7</v>
      </c>
      <c r="AF248" s="6" t="s">
        <v>5</v>
      </c>
      <c r="AG248" s="6" t="s">
        <v>5</v>
      </c>
      <c r="AH248" s="40">
        <v>0.92100000000000004</v>
      </c>
      <c r="AI248" s="33">
        <v>5.31</v>
      </c>
      <c r="AJ248" s="6" t="s">
        <v>5</v>
      </c>
      <c r="AK248" s="6" t="s">
        <v>5</v>
      </c>
      <c r="AL248" s="6" t="s">
        <v>5</v>
      </c>
      <c r="AM248" s="6" t="s">
        <v>5</v>
      </c>
      <c r="AN248" s="4">
        <v>17.7</v>
      </c>
      <c r="AO248" s="38">
        <v>293</v>
      </c>
      <c r="AP248" s="39">
        <v>53.3</v>
      </c>
      <c r="AQ248" s="4">
        <v>29.9</v>
      </c>
      <c r="AR248" s="7">
        <v>3.5</v>
      </c>
      <c r="AS248" s="38">
        <v>221</v>
      </c>
      <c r="AT248" s="39">
        <v>52.6</v>
      </c>
      <c r="AU248" s="4">
        <v>34.200000000000003</v>
      </c>
      <c r="AV248" s="7">
        <v>3.05</v>
      </c>
      <c r="AW248" s="6" t="s">
        <v>5</v>
      </c>
      <c r="AX248" s="6" t="s">
        <v>5</v>
      </c>
      <c r="AY248" s="6" t="s">
        <v>5</v>
      </c>
      <c r="AZ248" s="33">
        <v>9.2200000000000006</v>
      </c>
      <c r="BA248" s="4">
        <v>43.8</v>
      </c>
      <c r="BB248" s="6" t="s">
        <v>5</v>
      </c>
      <c r="BC248" s="6" t="s">
        <v>5</v>
      </c>
      <c r="BD248" s="6" t="s">
        <v>5</v>
      </c>
      <c r="BE248" s="6" t="s">
        <v>5</v>
      </c>
      <c r="BF248" s="6" t="s">
        <v>5</v>
      </c>
      <c r="BG248" s="6" t="s">
        <v>5</v>
      </c>
      <c r="BH248" s="6" t="s">
        <v>5</v>
      </c>
      <c r="BI248" s="7">
        <v>5.09</v>
      </c>
      <c r="BJ248" s="22">
        <v>0.83199999999999996</v>
      </c>
      <c r="BK248" s="6" t="s">
        <v>5</v>
      </c>
      <c r="BL248" s="2" t="s">
        <v>5</v>
      </c>
      <c r="BM248" s="2" t="s">
        <v>5</v>
      </c>
      <c r="BN248" s="2" t="s">
        <v>5</v>
      </c>
      <c r="BO248" s="2" t="s">
        <v>5</v>
      </c>
      <c r="BP248" s="2" t="s">
        <v>5</v>
      </c>
      <c r="BQ248" s="2" t="s">
        <v>5</v>
      </c>
      <c r="BR248" s="2" t="s">
        <v>5</v>
      </c>
      <c r="BS248" s="2" t="s">
        <v>5</v>
      </c>
      <c r="BT248" s="2" t="s">
        <v>5</v>
      </c>
      <c r="BU248" s="2" t="s">
        <v>5</v>
      </c>
      <c r="BV248" s="2" t="s">
        <v>5</v>
      </c>
      <c r="BW248" s="2" t="s">
        <v>5</v>
      </c>
      <c r="BX248" s="2" t="s">
        <v>5</v>
      </c>
      <c r="BY248" s="25" t="s">
        <v>5</v>
      </c>
      <c r="BZ248" s="25" t="s">
        <v>5</v>
      </c>
      <c r="CA248" s="4">
        <v>37</v>
      </c>
      <c r="CB248" s="6" t="s">
        <v>5</v>
      </c>
      <c r="CC248" s="4">
        <v>50</v>
      </c>
      <c r="CD248" s="4">
        <v>38</v>
      </c>
      <c r="CE248" s="4">
        <v>51</v>
      </c>
      <c r="CF248" s="16" t="s">
        <v>5</v>
      </c>
      <c r="CG248" s="5">
        <v>5.5</v>
      </c>
      <c r="CH248" s="18" t="s">
        <v>5</v>
      </c>
      <c r="CV248" s="344" t="str">
        <f t="shared" si="21"/>
        <v>WT7X17</v>
      </c>
      <c r="CW248" s="338">
        <v>5</v>
      </c>
      <c r="DH248" s="397" t="s">
        <v>1446</v>
      </c>
      <c r="DI248" s="398">
        <v>26</v>
      </c>
      <c r="DJ248" s="398">
        <v>10.8</v>
      </c>
      <c r="DK248" s="399">
        <v>0.60499999999999998</v>
      </c>
      <c r="DL248" s="398">
        <v>13</v>
      </c>
      <c r="DM248" s="400">
        <v>5.18</v>
      </c>
      <c r="DN248" s="401">
        <v>113</v>
      </c>
      <c r="DO248" s="411">
        <v>98.5</v>
      </c>
      <c r="DP248" s="115"/>
      <c r="DQ248" s="428" t="s">
        <v>1482</v>
      </c>
      <c r="DR248" s="429">
        <v>47.3</v>
      </c>
      <c r="DS248" s="429">
        <v>291</v>
      </c>
      <c r="DT248" s="431"/>
      <c r="DU248" s="431"/>
      <c r="DV248" s="431"/>
      <c r="DW248" s="431"/>
      <c r="DX248" s="432"/>
      <c r="DZ248" s="447" t="s">
        <v>1502</v>
      </c>
      <c r="EA248" s="448">
        <v>16</v>
      </c>
      <c r="EB248" s="448">
        <v>4.71</v>
      </c>
      <c r="EC248" s="448">
        <v>12</v>
      </c>
      <c r="ED248" s="448">
        <v>12</v>
      </c>
      <c r="EE248" s="448">
        <v>0.22</v>
      </c>
      <c r="EF248" s="449">
        <v>44930</v>
      </c>
      <c r="EG248" s="449">
        <v>44934</v>
      </c>
      <c r="EH248" s="448">
        <v>3.99</v>
      </c>
      <c r="EI248" s="448">
        <v>4</v>
      </c>
      <c r="EJ248" s="448">
        <v>0.26500000000000001</v>
      </c>
      <c r="EK248" s="449">
        <v>44930</v>
      </c>
      <c r="EL248" s="448">
        <v>7.53</v>
      </c>
      <c r="EM248" s="448">
        <v>49.4</v>
      </c>
      <c r="EN248" s="448">
        <v>103</v>
      </c>
      <c r="EO248" s="448">
        <v>17.100000000000001</v>
      </c>
      <c r="EP248" s="448">
        <v>4.67</v>
      </c>
      <c r="EQ248" s="448">
        <v>20.100000000000001</v>
      </c>
      <c r="ER248" s="448">
        <v>2.82</v>
      </c>
      <c r="ES248" s="448">
        <v>1.41</v>
      </c>
      <c r="ET248" s="448">
        <v>0.77300000000000002</v>
      </c>
      <c r="EU248" s="450">
        <v>2.2599999999999998</v>
      </c>
    </row>
    <row r="249" spans="2:151">
      <c r="B249" s="78" t="s">
        <v>145</v>
      </c>
      <c r="C249" s="79" t="s">
        <v>255</v>
      </c>
      <c r="D249" s="80" t="s">
        <v>255</v>
      </c>
      <c r="E249" s="1" t="s">
        <v>4</v>
      </c>
      <c r="F249" s="4">
        <v>73</v>
      </c>
      <c r="G249" s="4">
        <v>21.5</v>
      </c>
      <c r="H249" s="3" t="str">
        <f t="shared" si="20"/>
        <v>WT12X73</v>
      </c>
      <c r="I249" s="4">
        <v>12.4</v>
      </c>
      <c r="J249" s="5">
        <v>12.375</v>
      </c>
      <c r="K249" s="6" t="s">
        <v>5</v>
      </c>
      <c r="L249" s="6" t="s">
        <v>5</v>
      </c>
      <c r="M249" s="6" t="s">
        <v>5</v>
      </c>
      <c r="N249" s="4">
        <v>12.9</v>
      </c>
      <c r="O249" s="5">
        <v>12.875</v>
      </c>
      <c r="P249" s="5" t="s">
        <v>5</v>
      </c>
      <c r="Q249" s="6" t="s">
        <v>5</v>
      </c>
      <c r="R249" s="6" t="s">
        <v>5</v>
      </c>
      <c r="S249" s="22">
        <v>0.65</v>
      </c>
      <c r="T249" s="5">
        <v>0.625</v>
      </c>
      <c r="U249" s="8">
        <v>0.3125</v>
      </c>
      <c r="V249" s="7">
        <v>1.0900000000000001</v>
      </c>
      <c r="W249" s="8">
        <v>1.0625</v>
      </c>
      <c r="X249" s="7">
        <v>1.0900000000000001</v>
      </c>
      <c r="Y249" s="6" t="s">
        <v>5</v>
      </c>
      <c r="Z249" s="6" t="s">
        <v>5</v>
      </c>
      <c r="AA249" s="33">
        <v>1.59</v>
      </c>
      <c r="AB249" s="34">
        <v>2.375</v>
      </c>
      <c r="AC249" s="8" t="s">
        <v>5</v>
      </c>
      <c r="AD249" s="6" t="s">
        <v>5</v>
      </c>
      <c r="AE249" s="33">
        <v>2.66</v>
      </c>
      <c r="AF249" s="6" t="s">
        <v>5</v>
      </c>
      <c r="AG249" s="6" t="s">
        <v>5</v>
      </c>
      <c r="AH249" s="40">
        <v>0.83299999999999996</v>
      </c>
      <c r="AI249" s="33">
        <v>5.92</v>
      </c>
      <c r="AJ249" s="6" t="s">
        <v>5</v>
      </c>
      <c r="AK249" s="6" t="s">
        <v>5</v>
      </c>
      <c r="AL249" s="6" t="s">
        <v>5</v>
      </c>
      <c r="AM249" s="6" t="s">
        <v>5</v>
      </c>
      <c r="AN249" s="4">
        <v>19.100000000000001</v>
      </c>
      <c r="AO249" s="38">
        <v>264</v>
      </c>
      <c r="AP249" s="39">
        <v>48.2</v>
      </c>
      <c r="AQ249" s="4">
        <v>27.2</v>
      </c>
      <c r="AR249" s="7">
        <v>3.5</v>
      </c>
      <c r="AS249" s="38">
        <v>195</v>
      </c>
      <c r="AT249" s="39">
        <v>46.6</v>
      </c>
      <c r="AU249" s="4">
        <v>30.3</v>
      </c>
      <c r="AV249" s="7">
        <v>3.01</v>
      </c>
      <c r="AW249" s="6" t="s">
        <v>5</v>
      </c>
      <c r="AX249" s="6" t="s">
        <v>5</v>
      </c>
      <c r="AY249" s="6" t="s">
        <v>5</v>
      </c>
      <c r="AZ249" s="33">
        <v>6.7</v>
      </c>
      <c r="BA249" s="4">
        <v>31.9</v>
      </c>
      <c r="BB249" s="6" t="s">
        <v>5</v>
      </c>
      <c r="BC249" s="6" t="s">
        <v>5</v>
      </c>
      <c r="BD249" s="6" t="s">
        <v>5</v>
      </c>
      <c r="BE249" s="6" t="s">
        <v>5</v>
      </c>
      <c r="BF249" s="6" t="s">
        <v>5</v>
      </c>
      <c r="BG249" s="6" t="s">
        <v>5</v>
      </c>
      <c r="BH249" s="6" t="s">
        <v>5</v>
      </c>
      <c r="BI249" s="7">
        <v>5.08</v>
      </c>
      <c r="BJ249" s="22">
        <v>0.82699999999999996</v>
      </c>
      <c r="BK249" s="6" t="s">
        <v>5</v>
      </c>
      <c r="BL249" s="2" t="s">
        <v>5</v>
      </c>
      <c r="BM249" s="2" t="s">
        <v>5</v>
      </c>
      <c r="BN249" s="2" t="s">
        <v>5</v>
      </c>
      <c r="BO249" s="2" t="s">
        <v>5</v>
      </c>
      <c r="BP249" s="2" t="s">
        <v>5</v>
      </c>
      <c r="BQ249" s="2" t="s">
        <v>5</v>
      </c>
      <c r="BR249" s="2" t="s">
        <v>5</v>
      </c>
      <c r="BS249" s="2" t="s">
        <v>5</v>
      </c>
      <c r="BT249" s="2" t="s">
        <v>5</v>
      </c>
      <c r="BU249" s="2" t="s">
        <v>5</v>
      </c>
      <c r="BV249" s="2" t="s">
        <v>5</v>
      </c>
      <c r="BW249" s="2" t="s">
        <v>5</v>
      </c>
      <c r="BX249" s="2" t="s">
        <v>5</v>
      </c>
      <c r="BY249" s="25" t="s">
        <v>5</v>
      </c>
      <c r="BZ249" s="25" t="s">
        <v>5</v>
      </c>
      <c r="CA249" s="4">
        <v>36.700000000000003</v>
      </c>
      <c r="CB249" s="6" t="s">
        <v>5</v>
      </c>
      <c r="CC249" s="4">
        <v>49.6</v>
      </c>
      <c r="CD249" s="4">
        <v>37.700000000000003</v>
      </c>
      <c r="CE249" s="6">
        <v>50.6</v>
      </c>
      <c r="CF249" s="16" t="s">
        <v>5</v>
      </c>
      <c r="CG249" s="5">
        <v>5.5</v>
      </c>
      <c r="CH249" s="18" t="s">
        <v>5</v>
      </c>
      <c r="CV249" s="344" t="str">
        <f t="shared" si="21"/>
        <v>WT5X16.5</v>
      </c>
      <c r="CW249" s="338">
        <v>4.8499999999999996</v>
      </c>
      <c r="DH249" s="397" t="s">
        <v>1452</v>
      </c>
      <c r="DI249" s="398">
        <v>22.7</v>
      </c>
      <c r="DJ249" s="398">
        <v>10.6</v>
      </c>
      <c r="DK249" s="399">
        <v>0.53</v>
      </c>
      <c r="DL249" s="398">
        <v>14.8</v>
      </c>
      <c r="DM249" s="400">
        <v>5.86</v>
      </c>
      <c r="DN249" s="398">
        <v>97.6</v>
      </c>
      <c r="DO249" s="411">
        <v>85.9</v>
      </c>
      <c r="DP249" s="115"/>
      <c r="DQ249" s="428" t="s">
        <v>1483</v>
      </c>
      <c r="DR249" s="429">
        <v>46.8</v>
      </c>
      <c r="DS249" s="429">
        <v>209</v>
      </c>
      <c r="DT249" s="431"/>
      <c r="DU249" s="431"/>
      <c r="DV249" s="431"/>
      <c r="DW249" s="431"/>
      <c r="DX249" s="432"/>
      <c r="DZ249" s="447" t="s">
        <v>1504</v>
      </c>
      <c r="EA249" s="448">
        <v>14</v>
      </c>
      <c r="EB249" s="448">
        <v>4.16</v>
      </c>
      <c r="EC249" s="448">
        <v>11.9</v>
      </c>
      <c r="ED249" s="448" t="s">
        <v>1659</v>
      </c>
      <c r="EE249" s="448">
        <v>0.2</v>
      </c>
      <c r="EF249" s="449">
        <v>45001</v>
      </c>
      <c r="EG249" s="449">
        <v>44934</v>
      </c>
      <c r="EH249" s="448">
        <v>3.97</v>
      </c>
      <c r="EI249" s="448">
        <v>4</v>
      </c>
      <c r="EJ249" s="448">
        <v>0.22500000000000001</v>
      </c>
      <c r="EK249" s="449">
        <v>44930</v>
      </c>
      <c r="EL249" s="448">
        <v>8.82</v>
      </c>
      <c r="EM249" s="448">
        <v>54.3</v>
      </c>
      <c r="EN249" s="448">
        <v>88.6</v>
      </c>
      <c r="EO249" s="448">
        <v>14.9</v>
      </c>
      <c r="EP249" s="448">
        <v>4.62</v>
      </c>
      <c r="EQ249" s="448">
        <v>17.399999999999999</v>
      </c>
      <c r="ER249" s="448">
        <v>2.36</v>
      </c>
      <c r="ES249" s="448">
        <v>1.19</v>
      </c>
      <c r="ET249" s="448">
        <v>0.753</v>
      </c>
      <c r="EU249" s="450">
        <v>1.9</v>
      </c>
    </row>
    <row r="250" spans="2:151">
      <c r="B250" s="78" t="s">
        <v>145</v>
      </c>
      <c r="C250" s="79" t="s">
        <v>256</v>
      </c>
      <c r="D250" s="80" t="s">
        <v>256</v>
      </c>
      <c r="E250" s="1" t="s">
        <v>4</v>
      </c>
      <c r="F250" s="4">
        <v>65.5</v>
      </c>
      <c r="G250" s="4">
        <v>19.3</v>
      </c>
      <c r="H250" s="3" t="str">
        <f t="shared" si="20"/>
        <v>WT12X65.5</v>
      </c>
      <c r="I250" s="4">
        <v>12.2</v>
      </c>
      <c r="J250" s="5">
        <v>12.25</v>
      </c>
      <c r="K250" s="6" t="s">
        <v>5</v>
      </c>
      <c r="L250" s="6" t="s">
        <v>5</v>
      </c>
      <c r="M250" s="6" t="s">
        <v>5</v>
      </c>
      <c r="N250" s="4">
        <v>12.9</v>
      </c>
      <c r="O250" s="5">
        <v>12.875</v>
      </c>
      <c r="P250" s="5" t="s">
        <v>5</v>
      </c>
      <c r="Q250" s="6" t="s">
        <v>5</v>
      </c>
      <c r="R250" s="6" t="s">
        <v>5</v>
      </c>
      <c r="S250" s="22">
        <v>0.60499999999999998</v>
      </c>
      <c r="T250" s="5">
        <v>0.625</v>
      </c>
      <c r="U250" s="8">
        <v>0.3125</v>
      </c>
      <c r="V250" s="22">
        <v>0.96</v>
      </c>
      <c r="W250" s="8">
        <v>0.9375</v>
      </c>
      <c r="X250" s="22">
        <v>0.96</v>
      </c>
      <c r="Y250" s="6" t="s">
        <v>5</v>
      </c>
      <c r="Z250" s="6" t="s">
        <v>5</v>
      </c>
      <c r="AA250" s="33">
        <v>1.46</v>
      </c>
      <c r="AB250" s="34">
        <v>2.25</v>
      </c>
      <c r="AC250" s="8" t="s">
        <v>5</v>
      </c>
      <c r="AD250" s="6" t="s">
        <v>5</v>
      </c>
      <c r="AE250" s="33">
        <v>2.65</v>
      </c>
      <c r="AF250" s="6" t="s">
        <v>5</v>
      </c>
      <c r="AG250" s="6" t="s">
        <v>5</v>
      </c>
      <c r="AH250" s="40">
        <v>0.75</v>
      </c>
      <c r="AI250" s="33">
        <v>6.7</v>
      </c>
      <c r="AJ250" s="6" t="s">
        <v>5</v>
      </c>
      <c r="AK250" s="6" t="s">
        <v>5</v>
      </c>
      <c r="AL250" s="6" t="s">
        <v>5</v>
      </c>
      <c r="AM250" s="6" t="s">
        <v>5</v>
      </c>
      <c r="AN250" s="4">
        <v>20.2</v>
      </c>
      <c r="AO250" s="38">
        <v>238</v>
      </c>
      <c r="AP250" s="39">
        <v>43.9</v>
      </c>
      <c r="AQ250" s="4">
        <v>24.8</v>
      </c>
      <c r="AR250" s="7">
        <v>3.52</v>
      </c>
      <c r="AS250" s="38">
        <v>170</v>
      </c>
      <c r="AT250" s="39">
        <v>40.700000000000003</v>
      </c>
      <c r="AU250" s="4">
        <v>26.5</v>
      </c>
      <c r="AV250" s="7">
        <v>2.97</v>
      </c>
      <c r="AW250" s="6" t="s">
        <v>5</v>
      </c>
      <c r="AX250" s="6" t="s">
        <v>5</v>
      </c>
      <c r="AY250" s="6" t="s">
        <v>5</v>
      </c>
      <c r="AZ250" s="33">
        <v>4.74</v>
      </c>
      <c r="BA250" s="4">
        <v>23.1</v>
      </c>
      <c r="BB250" s="6" t="s">
        <v>5</v>
      </c>
      <c r="BC250" s="6" t="s">
        <v>5</v>
      </c>
      <c r="BD250" s="6" t="s">
        <v>5</v>
      </c>
      <c r="BE250" s="6" t="s">
        <v>5</v>
      </c>
      <c r="BF250" s="6" t="s">
        <v>5</v>
      </c>
      <c r="BG250" s="6" t="s">
        <v>5</v>
      </c>
      <c r="BH250" s="6" t="s">
        <v>5</v>
      </c>
      <c r="BI250" s="7">
        <v>5.09</v>
      </c>
      <c r="BJ250" s="22">
        <v>0.81799999999999995</v>
      </c>
      <c r="BK250" s="6" t="s">
        <v>5</v>
      </c>
      <c r="BL250" s="2" t="s">
        <v>5</v>
      </c>
      <c r="BM250" s="2" t="s">
        <v>5</v>
      </c>
      <c r="BN250" s="2" t="s">
        <v>5</v>
      </c>
      <c r="BO250" s="2" t="s">
        <v>5</v>
      </c>
      <c r="BP250" s="2" t="s">
        <v>5</v>
      </c>
      <c r="BQ250" s="2" t="s">
        <v>5</v>
      </c>
      <c r="BR250" s="2" t="s">
        <v>5</v>
      </c>
      <c r="BS250" s="2" t="s">
        <v>5</v>
      </c>
      <c r="BT250" s="2" t="s">
        <v>5</v>
      </c>
      <c r="BU250" s="2" t="s">
        <v>5</v>
      </c>
      <c r="BV250" s="2" t="s">
        <v>5</v>
      </c>
      <c r="BW250" s="2" t="s">
        <v>5</v>
      </c>
      <c r="BX250" s="2" t="s">
        <v>5</v>
      </c>
      <c r="BY250" s="25" t="s">
        <v>5</v>
      </c>
      <c r="BZ250" s="25" t="s">
        <v>5</v>
      </c>
      <c r="CA250" s="4">
        <v>36.299999999999997</v>
      </c>
      <c r="CB250" s="6" t="s">
        <v>5</v>
      </c>
      <c r="CC250" s="4">
        <v>49.2</v>
      </c>
      <c r="CD250" s="4">
        <v>37.300000000000004</v>
      </c>
      <c r="CE250" s="6">
        <v>50.2</v>
      </c>
      <c r="CF250" s="16" t="s">
        <v>5</v>
      </c>
      <c r="CG250" s="5">
        <v>5.5</v>
      </c>
      <c r="CH250" s="18" t="s">
        <v>5</v>
      </c>
      <c r="CV250" s="344" t="str">
        <f t="shared" si="21"/>
        <v>WT8X15.5</v>
      </c>
      <c r="CW250" s="338">
        <v>4.5599999999999996</v>
      </c>
      <c r="DH250" s="397" t="s">
        <v>1459</v>
      </c>
      <c r="DI250" s="398">
        <v>19.899999999999999</v>
      </c>
      <c r="DJ250" s="398">
        <v>10.4</v>
      </c>
      <c r="DK250" s="399">
        <v>0.47</v>
      </c>
      <c r="DL250" s="398">
        <v>16.7</v>
      </c>
      <c r="DM250" s="400">
        <v>6.58</v>
      </c>
      <c r="DN250" s="398">
        <v>85.3</v>
      </c>
      <c r="DO250" s="411">
        <v>75.7</v>
      </c>
      <c r="DP250" s="115"/>
      <c r="DQ250" s="428" t="s">
        <v>1484</v>
      </c>
      <c r="DR250" s="429">
        <v>44.2</v>
      </c>
      <c r="DS250" s="429">
        <v>301</v>
      </c>
      <c r="DT250" s="431"/>
      <c r="DU250" s="431"/>
      <c r="DV250" s="431"/>
      <c r="DW250" s="431"/>
      <c r="DX250" s="432"/>
      <c r="DZ250" s="447" t="s">
        <v>1432</v>
      </c>
      <c r="EA250" s="448">
        <v>112</v>
      </c>
      <c r="EB250" s="448">
        <v>32.9</v>
      </c>
      <c r="EC250" s="448">
        <v>11.4</v>
      </c>
      <c r="ED250" s="448" t="s">
        <v>1788</v>
      </c>
      <c r="EE250" s="448">
        <v>0.755</v>
      </c>
      <c r="EF250" s="449">
        <v>44989</v>
      </c>
      <c r="EG250" s="449">
        <v>44993</v>
      </c>
      <c r="EH250" s="448">
        <v>10.4</v>
      </c>
      <c r="EI250" s="448" t="s">
        <v>1727</v>
      </c>
      <c r="EJ250" s="448">
        <v>1.25</v>
      </c>
      <c r="EK250" s="448" t="s">
        <v>1624</v>
      </c>
      <c r="EL250" s="448">
        <v>4.17</v>
      </c>
      <c r="EM250" s="448">
        <v>10.4</v>
      </c>
      <c r="EN250" s="448">
        <v>716</v>
      </c>
      <c r="EO250" s="448">
        <v>126</v>
      </c>
      <c r="EP250" s="448">
        <v>4.66</v>
      </c>
      <c r="EQ250" s="448">
        <v>147</v>
      </c>
      <c r="ER250" s="448">
        <v>236</v>
      </c>
      <c r="ES250" s="448">
        <v>45.3</v>
      </c>
      <c r="ET250" s="448">
        <v>2.68</v>
      </c>
      <c r="EU250" s="450">
        <v>69.2</v>
      </c>
    </row>
    <row r="251" spans="2:151">
      <c r="B251" s="78" t="s">
        <v>145</v>
      </c>
      <c r="C251" s="79" t="s">
        <v>257</v>
      </c>
      <c r="D251" s="80" t="s">
        <v>257</v>
      </c>
      <c r="E251" s="1" t="s">
        <v>4</v>
      </c>
      <c r="F251" s="4">
        <v>58.5</v>
      </c>
      <c r="G251" s="4">
        <v>17.2</v>
      </c>
      <c r="H251" s="3" t="str">
        <f t="shared" si="20"/>
        <v>WT12X58.5</v>
      </c>
      <c r="I251" s="4">
        <v>12.1</v>
      </c>
      <c r="J251" s="5">
        <v>12.125</v>
      </c>
      <c r="K251" s="6" t="s">
        <v>5</v>
      </c>
      <c r="L251" s="6" t="s">
        <v>5</v>
      </c>
      <c r="M251" s="6" t="s">
        <v>5</v>
      </c>
      <c r="N251" s="4">
        <v>12.8</v>
      </c>
      <c r="O251" s="5">
        <v>12.75</v>
      </c>
      <c r="P251" s="5" t="s">
        <v>5</v>
      </c>
      <c r="Q251" s="6" t="s">
        <v>5</v>
      </c>
      <c r="R251" s="6" t="s">
        <v>5</v>
      </c>
      <c r="S251" s="22">
        <v>0.55000000000000004</v>
      </c>
      <c r="T251" s="5">
        <v>0.5625</v>
      </c>
      <c r="U251" s="8">
        <v>0.3125</v>
      </c>
      <c r="V251" s="22">
        <v>0.85</v>
      </c>
      <c r="W251" s="8">
        <v>0.875</v>
      </c>
      <c r="X251" s="22">
        <v>0.85</v>
      </c>
      <c r="Y251" s="6" t="s">
        <v>5</v>
      </c>
      <c r="Z251" s="6" t="s">
        <v>5</v>
      </c>
      <c r="AA251" s="33">
        <v>1.35</v>
      </c>
      <c r="AB251" s="34">
        <v>2.125</v>
      </c>
      <c r="AC251" s="8" t="s">
        <v>5</v>
      </c>
      <c r="AD251" s="6" t="s">
        <v>5</v>
      </c>
      <c r="AE251" s="33">
        <v>2.62</v>
      </c>
      <c r="AF251" s="6" t="s">
        <v>5</v>
      </c>
      <c r="AG251" s="6" t="s">
        <v>5</v>
      </c>
      <c r="AH251" s="40">
        <v>0.67200000000000004</v>
      </c>
      <c r="AI251" s="33">
        <v>7.53</v>
      </c>
      <c r="AJ251" s="6" t="s">
        <v>5</v>
      </c>
      <c r="AK251" s="6" t="s">
        <v>5</v>
      </c>
      <c r="AL251" s="6" t="s">
        <v>5</v>
      </c>
      <c r="AM251" s="6" t="s">
        <v>5</v>
      </c>
      <c r="AN251" s="4">
        <v>22</v>
      </c>
      <c r="AO251" s="38">
        <v>212</v>
      </c>
      <c r="AP251" s="39">
        <v>39.200000000000003</v>
      </c>
      <c r="AQ251" s="4">
        <v>22.3</v>
      </c>
      <c r="AR251" s="7">
        <v>3.51</v>
      </c>
      <c r="AS251" s="38">
        <v>149</v>
      </c>
      <c r="AT251" s="39">
        <v>35.700000000000003</v>
      </c>
      <c r="AU251" s="4">
        <v>23.2</v>
      </c>
      <c r="AV251" s="7">
        <v>2.94</v>
      </c>
      <c r="AW251" s="6" t="s">
        <v>5</v>
      </c>
      <c r="AX251" s="6" t="s">
        <v>5</v>
      </c>
      <c r="AY251" s="6" t="s">
        <v>5</v>
      </c>
      <c r="AZ251" s="33">
        <v>3.35</v>
      </c>
      <c r="BA251" s="4">
        <v>16.399999999999999</v>
      </c>
      <c r="BB251" s="6" t="s">
        <v>5</v>
      </c>
      <c r="BC251" s="6" t="s">
        <v>5</v>
      </c>
      <c r="BD251" s="6" t="s">
        <v>5</v>
      </c>
      <c r="BE251" s="6" t="s">
        <v>5</v>
      </c>
      <c r="BF251" s="6" t="s">
        <v>5</v>
      </c>
      <c r="BG251" s="6" t="s">
        <v>5</v>
      </c>
      <c r="BH251" s="6" t="s">
        <v>5</v>
      </c>
      <c r="BI251" s="7">
        <v>5.08</v>
      </c>
      <c r="BJ251" s="22">
        <v>0.81399999999999995</v>
      </c>
      <c r="BK251" s="6" t="s">
        <v>5</v>
      </c>
      <c r="BL251" s="2" t="s">
        <v>5</v>
      </c>
      <c r="BM251" s="2" t="s">
        <v>5</v>
      </c>
      <c r="BN251" s="2" t="s">
        <v>5</v>
      </c>
      <c r="BO251" s="2" t="s">
        <v>5</v>
      </c>
      <c r="BP251" s="2" t="s">
        <v>5</v>
      </c>
      <c r="BQ251" s="2" t="s">
        <v>5</v>
      </c>
      <c r="BR251" s="2" t="s">
        <v>5</v>
      </c>
      <c r="BS251" s="2" t="s">
        <v>5</v>
      </c>
      <c r="BT251" s="2" t="s">
        <v>5</v>
      </c>
      <c r="BU251" s="2" t="s">
        <v>5</v>
      </c>
      <c r="BV251" s="2" t="s">
        <v>5</v>
      </c>
      <c r="BW251" s="2" t="s">
        <v>5</v>
      </c>
      <c r="BX251" s="2" t="s">
        <v>5</v>
      </c>
      <c r="BY251" s="25" t="s">
        <v>5</v>
      </c>
      <c r="BZ251" s="25" t="s">
        <v>5</v>
      </c>
      <c r="CA251" s="4">
        <v>36</v>
      </c>
      <c r="CB251" s="6" t="s">
        <v>5</v>
      </c>
      <c r="CC251" s="4">
        <v>48.8</v>
      </c>
      <c r="CD251" s="4">
        <v>37</v>
      </c>
      <c r="CE251" s="6">
        <v>49.8</v>
      </c>
      <c r="CF251" s="16" t="s">
        <v>5</v>
      </c>
      <c r="CG251" s="5">
        <v>5.5</v>
      </c>
      <c r="CH251" s="18" t="s">
        <v>5</v>
      </c>
      <c r="CV251" s="344" t="str">
        <f t="shared" si="21"/>
        <v>WT8X15.5</v>
      </c>
      <c r="CW251" s="338">
        <v>4.5599999999999996</v>
      </c>
      <c r="DH251" s="397" t="s">
        <v>1464</v>
      </c>
      <c r="DI251" s="398">
        <v>17.7</v>
      </c>
      <c r="DJ251" s="398">
        <v>10.199999999999999</v>
      </c>
      <c r="DK251" s="399">
        <v>0.42</v>
      </c>
      <c r="DL251" s="398">
        <v>18.7</v>
      </c>
      <c r="DM251" s="400">
        <v>7.41</v>
      </c>
      <c r="DN251" s="398">
        <v>74.599999999999994</v>
      </c>
      <c r="DO251" s="411">
        <v>66.7</v>
      </c>
      <c r="DP251" s="115"/>
      <c r="DQ251" s="428" t="s">
        <v>1485</v>
      </c>
      <c r="DR251" s="429">
        <v>43.1</v>
      </c>
      <c r="DS251" s="429">
        <v>238</v>
      </c>
      <c r="DT251" s="431"/>
      <c r="DU251" s="431"/>
      <c r="DV251" s="431"/>
      <c r="DW251" s="431"/>
      <c r="DX251" s="432"/>
      <c r="DZ251" s="447" t="s">
        <v>1440</v>
      </c>
      <c r="EA251" s="448">
        <v>100</v>
      </c>
      <c r="EB251" s="448">
        <v>29.3</v>
      </c>
      <c r="EC251" s="448">
        <v>11.1</v>
      </c>
      <c r="ED251" s="448" t="s">
        <v>1793</v>
      </c>
      <c r="EE251" s="448">
        <v>0.68</v>
      </c>
      <c r="EF251" s="449">
        <v>45246</v>
      </c>
      <c r="EG251" s="449">
        <v>44993</v>
      </c>
      <c r="EH251" s="448">
        <v>10.3</v>
      </c>
      <c r="EI251" s="448" t="s">
        <v>1727</v>
      </c>
      <c r="EJ251" s="448">
        <v>1.1200000000000001</v>
      </c>
      <c r="EK251" s="448" t="s">
        <v>1643</v>
      </c>
      <c r="EL251" s="448">
        <v>4.62</v>
      </c>
      <c r="EM251" s="448">
        <v>11.6</v>
      </c>
      <c r="EN251" s="448">
        <v>623</v>
      </c>
      <c r="EO251" s="448">
        <v>112</v>
      </c>
      <c r="EP251" s="448">
        <v>4.5999999999999996</v>
      </c>
      <c r="EQ251" s="448">
        <v>130</v>
      </c>
      <c r="ER251" s="448">
        <v>207</v>
      </c>
      <c r="ES251" s="448">
        <v>40</v>
      </c>
      <c r="ET251" s="448">
        <v>2.65</v>
      </c>
      <c r="EU251" s="450">
        <v>61</v>
      </c>
    </row>
    <row r="252" spans="2:151">
      <c r="B252" s="78" t="s">
        <v>145</v>
      </c>
      <c r="C252" s="79" t="s">
        <v>258</v>
      </c>
      <c r="D252" s="80" t="s">
        <v>258</v>
      </c>
      <c r="E252" s="1" t="s">
        <v>4</v>
      </c>
      <c r="F252" s="4">
        <v>52</v>
      </c>
      <c r="G252" s="4">
        <v>15.3</v>
      </c>
      <c r="H252" s="3" t="str">
        <f t="shared" si="20"/>
        <v>WT12X52</v>
      </c>
      <c r="I252" s="4">
        <v>12</v>
      </c>
      <c r="J252" s="5">
        <v>12</v>
      </c>
      <c r="K252" s="6" t="s">
        <v>5</v>
      </c>
      <c r="L252" s="6" t="s">
        <v>5</v>
      </c>
      <c r="M252" s="6" t="s">
        <v>5</v>
      </c>
      <c r="N252" s="4">
        <v>12.8</v>
      </c>
      <c r="O252" s="5">
        <v>12.75</v>
      </c>
      <c r="P252" s="5" t="s">
        <v>5</v>
      </c>
      <c r="Q252" s="6" t="s">
        <v>5</v>
      </c>
      <c r="R252" s="6" t="s">
        <v>5</v>
      </c>
      <c r="S252" s="22">
        <v>0.5</v>
      </c>
      <c r="T252" s="5">
        <v>0.5</v>
      </c>
      <c r="U252" s="8">
        <v>0.25</v>
      </c>
      <c r="V252" s="22">
        <v>0.75</v>
      </c>
      <c r="W252" s="8">
        <v>0.75</v>
      </c>
      <c r="X252" s="22">
        <v>0.75</v>
      </c>
      <c r="Y252" s="6" t="s">
        <v>5</v>
      </c>
      <c r="Z252" s="6" t="s">
        <v>5</v>
      </c>
      <c r="AA252" s="33">
        <v>1.25</v>
      </c>
      <c r="AB252" s="34">
        <v>2.0625</v>
      </c>
      <c r="AC252" s="8" t="s">
        <v>5</v>
      </c>
      <c r="AD252" s="6" t="s">
        <v>5</v>
      </c>
      <c r="AE252" s="33">
        <v>2.59</v>
      </c>
      <c r="AF252" s="6" t="s">
        <v>5</v>
      </c>
      <c r="AG252" s="6" t="s">
        <v>5</v>
      </c>
      <c r="AH252" s="40">
        <v>0.6</v>
      </c>
      <c r="AI252" s="33">
        <v>8.5</v>
      </c>
      <c r="AJ252" s="6" t="s">
        <v>5</v>
      </c>
      <c r="AK252" s="6" t="s">
        <v>5</v>
      </c>
      <c r="AL252" s="6" t="s">
        <v>5</v>
      </c>
      <c r="AM252" s="6" t="s">
        <v>5</v>
      </c>
      <c r="AN252" s="4">
        <v>24</v>
      </c>
      <c r="AO252" s="38">
        <v>189</v>
      </c>
      <c r="AP252" s="39">
        <v>35.1</v>
      </c>
      <c r="AQ252" s="4">
        <v>20</v>
      </c>
      <c r="AR252" s="7">
        <v>3.51</v>
      </c>
      <c r="AS252" s="38">
        <v>130</v>
      </c>
      <c r="AT252" s="39">
        <v>31.2</v>
      </c>
      <c r="AU252" s="4">
        <v>20.3</v>
      </c>
      <c r="AV252" s="7">
        <v>2.91</v>
      </c>
      <c r="AW252" s="6" t="s">
        <v>5</v>
      </c>
      <c r="AX252" s="6" t="s">
        <v>5</v>
      </c>
      <c r="AY252" s="6" t="s">
        <v>5</v>
      </c>
      <c r="AZ252" s="33">
        <v>2.35</v>
      </c>
      <c r="BA252" s="4">
        <v>11.6</v>
      </c>
      <c r="BB252" s="6" t="s">
        <v>5</v>
      </c>
      <c r="BC252" s="6" t="s">
        <v>5</v>
      </c>
      <c r="BD252" s="6" t="s">
        <v>5</v>
      </c>
      <c r="BE252" s="6" t="s">
        <v>5</v>
      </c>
      <c r="BF252" s="6" t="s">
        <v>5</v>
      </c>
      <c r="BG252" s="6" t="s">
        <v>5</v>
      </c>
      <c r="BH252" s="6" t="s">
        <v>5</v>
      </c>
      <c r="BI252" s="7">
        <v>5.07</v>
      </c>
      <c r="BJ252" s="22">
        <v>0.80900000000000005</v>
      </c>
      <c r="BK252" s="6" t="s">
        <v>5</v>
      </c>
      <c r="BL252" s="2" t="s">
        <v>5</v>
      </c>
      <c r="BM252" s="2" t="s">
        <v>5</v>
      </c>
      <c r="BN252" s="2" t="s">
        <v>5</v>
      </c>
      <c r="BO252" s="2" t="s">
        <v>5</v>
      </c>
      <c r="BP252" s="2" t="s">
        <v>5</v>
      </c>
      <c r="BQ252" s="2" t="s">
        <v>5</v>
      </c>
      <c r="BR252" s="2" t="s">
        <v>5</v>
      </c>
      <c r="BS252" s="2" t="s">
        <v>5</v>
      </c>
      <c r="BT252" s="2" t="s">
        <v>5</v>
      </c>
      <c r="BU252" s="2" t="s">
        <v>5</v>
      </c>
      <c r="BV252" s="2" t="s">
        <v>5</v>
      </c>
      <c r="BW252" s="2" t="s">
        <v>5</v>
      </c>
      <c r="BX252" s="2" t="s">
        <v>5</v>
      </c>
      <c r="BY252" s="25" t="s">
        <v>5</v>
      </c>
      <c r="BZ252" s="25" t="s">
        <v>5</v>
      </c>
      <c r="CA252" s="4">
        <v>35.799999999999997</v>
      </c>
      <c r="CB252" s="6" t="s">
        <v>5</v>
      </c>
      <c r="CC252" s="4">
        <v>48.6</v>
      </c>
      <c r="CD252" s="4">
        <v>36.799999999999997</v>
      </c>
      <c r="CE252" s="6">
        <v>49.6</v>
      </c>
      <c r="CF252" s="16" t="s">
        <v>5</v>
      </c>
      <c r="CG252" s="5">
        <v>5.5</v>
      </c>
      <c r="CH252" s="18" t="s">
        <v>5</v>
      </c>
      <c r="CV252" s="344" t="str">
        <f t="shared" si="21"/>
        <v>WT7X15</v>
      </c>
      <c r="CW252" s="338">
        <v>4.42</v>
      </c>
      <c r="DH252" s="397" t="s">
        <v>1469</v>
      </c>
      <c r="DI252" s="398">
        <v>15.8</v>
      </c>
      <c r="DJ252" s="398">
        <v>10.1</v>
      </c>
      <c r="DK252" s="399">
        <v>0.37</v>
      </c>
      <c r="DL252" s="398">
        <v>21.2</v>
      </c>
      <c r="DM252" s="400">
        <v>8.15</v>
      </c>
      <c r="DN252" s="398">
        <v>66.599999999999994</v>
      </c>
      <c r="DO252" s="411">
        <v>60</v>
      </c>
      <c r="DP252" s="115"/>
      <c r="DQ252" s="428" t="s">
        <v>1486</v>
      </c>
      <c r="DR252" s="429">
        <v>40.200000000000003</v>
      </c>
      <c r="DS252" s="429">
        <v>245</v>
      </c>
      <c r="DT252" s="431"/>
      <c r="DU252" s="431"/>
      <c r="DV252" s="431"/>
      <c r="DW252" s="431"/>
      <c r="DX252" s="432"/>
      <c r="DZ252" s="447" t="s">
        <v>1446</v>
      </c>
      <c r="EA252" s="448">
        <v>88</v>
      </c>
      <c r="EB252" s="448">
        <v>26</v>
      </c>
      <c r="EC252" s="448">
        <v>10.8</v>
      </c>
      <c r="ED252" s="448" t="s">
        <v>1824</v>
      </c>
      <c r="EE252" s="448">
        <v>0.60499999999999998</v>
      </c>
      <c r="EF252" s="449">
        <v>45054</v>
      </c>
      <c r="EG252" s="449">
        <v>45062</v>
      </c>
      <c r="EH252" s="448">
        <v>10.3</v>
      </c>
      <c r="EI252" s="448" t="s">
        <v>1801</v>
      </c>
      <c r="EJ252" s="448">
        <v>0.99</v>
      </c>
      <c r="EK252" s="448">
        <v>1</v>
      </c>
      <c r="EL252" s="448">
        <v>5.18</v>
      </c>
      <c r="EM252" s="448">
        <v>13</v>
      </c>
      <c r="EN252" s="448">
        <v>534</v>
      </c>
      <c r="EO252" s="448">
        <v>98.5</v>
      </c>
      <c r="EP252" s="448">
        <v>4.54</v>
      </c>
      <c r="EQ252" s="448">
        <v>113</v>
      </c>
      <c r="ER252" s="448">
        <v>179</v>
      </c>
      <c r="ES252" s="448">
        <v>34.799999999999997</v>
      </c>
      <c r="ET252" s="448">
        <v>2.63</v>
      </c>
      <c r="EU252" s="450">
        <v>53.1</v>
      </c>
    </row>
    <row r="253" spans="2:151">
      <c r="B253" s="78" t="s">
        <v>145</v>
      </c>
      <c r="C253" s="79" t="s">
        <v>259</v>
      </c>
      <c r="D253" s="80" t="s">
        <v>259</v>
      </c>
      <c r="E253" s="1" t="s">
        <v>4</v>
      </c>
      <c r="F253" s="4">
        <v>51.5</v>
      </c>
      <c r="G253" s="4">
        <v>15.1</v>
      </c>
      <c r="H253" s="3" t="str">
        <f t="shared" si="20"/>
        <v>WT12X51.5</v>
      </c>
      <c r="I253" s="4">
        <v>12.3</v>
      </c>
      <c r="J253" s="5">
        <v>12.25</v>
      </c>
      <c r="K253" s="6" t="s">
        <v>5</v>
      </c>
      <c r="L253" s="6" t="s">
        <v>5</v>
      </c>
      <c r="M253" s="6" t="s">
        <v>5</v>
      </c>
      <c r="N253" s="7">
        <v>9</v>
      </c>
      <c r="O253" s="5">
        <v>9</v>
      </c>
      <c r="P253" s="5" t="s">
        <v>5</v>
      </c>
      <c r="Q253" s="6" t="s">
        <v>5</v>
      </c>
      <c r="R253" s="6" t="s">
        <v>5</v>
      </c>
      <c r="S253" s="22">
        <v>0.55000000000000004</v>
      </c>
      <c r="T253" s="5">
        <v>0.5625</v>
      </c>
      <c r="U253" s="8">
        <v>0.3125</v>
      </c>
      <c r="V253" s="22">
        <v>0.98</v>
      </c>
      <c r="W253" s="8">
        <v>1</v>
      </c>
      <c r="X253" s="22">
        <v>0.98</v>
      </c>
      <c r="Y253" s="6" t="s">
        <v>5</v>
      </c>
      <c r="Z253" s="6" t="s">
        <v>5</v>
      </c>
      <c r="AA253" s="33">
        <v>1.48</v>
      </c>
      <c r="AB253" s="34">
        <v>2.25</v>
      </c>
      <c r="AC253" s="8" t="s">
        <v>5</v>
      </c>
      <c r="AD253" s="6" t="s">
        <v>5</v>
      </c>
      <c r="AE253" s="33">
        <v>3.01</v>
      </c>
      <c r="AF253" s="6" t="s">
        <v>5</v>
      </c>
      <c r="AG253" s="6" t="s">
        <v>5</v>
      </c>
      <c r="AH253" s="40">
        <v>0.84099999999999997</v>
      </c>
      <c r="AI253" s="33">
        <v>4.59</v>
      </c>
      <c r="AJ253" s="6" t="s">
        <v>5</v>
      </c>
      <c r="AK253" s="6" t="s">
        <v>5</v>
      </c>
      <c r="AL253" s="6" t="s">
        <v>5</v>
      </c>
      <c r="AM253" s="6" t="s">
        <v>5</v>
      </c>
      <c r="AN253" s="4">
        <v>22.4</v>
      </c>
      <c r="AO253" s="38">
        <v>204</v>
      </c>
      <c r="AP253" s="39">
        <v>39.200000000000003</v>
      </c>
      <c r="AQ253" s="4">
        <v>22</v>
      </c>
      <c r="AR253" s="7">
        <v>3.67</v>
      </c>
      <c r="AS253" s="39">
        <v>59.7</v>
      </c>
      <c r="AT253" s="39">
        <v>20.7</v>
      </c>
      <c r="AU253" s="4">
        <v>13.3</v>
      </c>
      <c r="AV253" s="7">
        <v>1.99</v>
      </c>
      <c r="AW253" s="6" t="s">
        <v>5</v>
      </c>
      <c r="AX253" s="6" t="s">
        <v>5</v>
      </c>
      <c r="AY253" s="6" t="s">
        <v>5</v>
      </c>
      <c r="AZ253" s="33">
        <v>3.53</v>
      </c>
      <c r="BA253" s="4">
        <v>12.3</v>
      </c>
      <c r="BB253" s="6" t="s">
        <v>5</v>
      </c>
      <c r="BC253" s="6" t="s">
        <v>5</v>
      </c>
      <c r="BD253" s="6" t="s">
        <v>5</v>
      </c>
      <c r="BE253" s="6" t="s">
        <v>5</v>
      </c>
      <c r="BF253" s="6" t="s">
        <v>5</v>
      </c>
      <c r="BG253" s="6" t="s">
        <v>5</v>
      </c>
      <c r="BH253" s="6" t="s">
        <v>5</v>
      </c>
      <c r="BI253" s="7">
        <v>4.88</v>
      </c>
      <c r="BJ253" s="22">
        <v>0.73299999999999998</v>
      </c>
      <c r="BK253" s="6" t="s">
        <v>5</v>
      </c>
      <c r="BL253" s="2" t="s">
        <v>5</v>
      </c>
      <c r="BM253" s="2" t="s">
        <v>5</v>
      </c>
      <c r="BN253" s="2" t="s">
        <v>5</v>
      </c>
      <c r="BO253" s="2" t="s">
        <v>5</v>
      </c>
      <c r="BP253" s="2" t="s">
        <v>5</v>
      </c>
      <c r="BQ253" s="2" t="s">
        <v>5</v>
      </c>
      <c r="BR253" s="2" t="s">
        <v>5</v>
      </c>
      <c r="BS253" s="2" t="s">
        <v>5</v>
      </c>
      <c r="BT253" s="2" t="s">
        <v>5</v>
      </c>
      <c r="BU253" s="2" t="s">
        <v>5</v>
      </c>
      <c r="BV253" s="2" t="s">
        <v>5</v>
      </c>
      <c r="BW253" s="2" t="s">
        <v>5</v>
      </c>
      <c r="BX253" s="2" t="s">
        <v>5</v>
      </c>
      <c r="BY253" s="25" t="s">
        <v>5</v>
      </c>
      <c r="BZ253" s="25" t="s">
        <v>5</v>
      </c>
      <c r="CA253" s="4">
        <v>32.6</v>
      </c>
      <c r="CB253" s="6" t="s">
        <v>5</v>
      </c>
      <c r="CC253" s="4">
        <v>41.6</v>
      </c>
      <c r="CD253" s="4">
        <v>33.6</v>
      </c>
      <c r="CE253" s="6">
        <v>42.6</v>
      </c>
      <c r="CF253" s="16" t="s">
        <v>5</v>
      </c>
      <c r="CG253" s="5">
        <v>5.5</v>
      </c>
      <c r="CH253" s="18" t="s">
        <v>5</v>
      </c>
      <c r="CV253" s="344" t="str">
        <f t="shared" si="21"/>
        <v>WT7X15</v>
      </c>
      <c r="CW253" s="338">
        <v>4.42</v>
      </c>
      <c r="DH253" s="397" t="s">
        <v>1474</v>
      </c>
      <c r="DI253" s="398">
        <v>14.4</v>
      </c>
      <c r="DJ253" s="398">
        <v>10</v>
      </c>
      <c r="DK253" s="399">
        <v>0.34</v>
      </c>
      <c r="DL253" s="398">
        <v>23.1</v>
      </c>
      <c r="DM253" s="400">
        <v>8.93</v>
      </c>
      <c r="DN253" s="398">
        <v>60.4</v>
      </c>
      <c r="DO253" s="411">
        <v>54.6</v>
      </c>
      <c r="DP253" s="115"/>
      <c r="DQ253" s="428" t="s">
        <v>1487</v>
      </c>
      <c r="DR253" s="429">
        <v>39.799999999999997</v>
      </c>
      <c r="DS253" s="429">
        <v>146</v>
      </c>
      <c r="DT253" s="431"/>
      <c r="DU253" s="431"/>
      <c r="DV253" s="431"/>
      <c r="DW253" s="431"/>
      <c r="DX253" s="432"/>
      <c r="DZ253" s="447" t="s">
        <v>1452</v>
      </c>
      <c r="EA253" s="448">
        <v>77</v>
      </c>
      <c r="EB253" s="448">
        <v>22.7</v>
      </c>
      <c r="EC253" s="448">
        <v>10.6</v>
      </c>
      <c r="ED253" s="448" t="s">
        <v>1825</v>
      </c>
      <c r="EE253" s="448">
        <v>0.53</v>
      </c>
      <c r="EF253" s="449">
        <v>44928</v>
      </c>
      <c r="EG253" s="449">
        <v>44930</v>
      </c>
      <c r="EH253" s="448">
        <v>10.199999999999999</v>
      </c>
      <c r="EI253" s="448" t="s">
        <v>1801</v>
      </c>
      <c r="EJ253" s="448">
        <v>0.87</v>
      </c>
      <c r="EK253" s="449">
        <v>45115</v>
      </c>
      <c r="EL253" s="448">
        <v>5.86</v>
      </c>
      <c r="EM253" s="448">
        <v>14.8</v>
      </c>
      <c r="EN253" s="448">
        <v>455</v>
      </c>
      <c r="EO253" s="448">
        <v>85.9</v>
      </c>
      <c r="EP253" s="448">
        <v>4.49</v>
      </c>
      <c r="EQ253" s="448">
        <v>97.6</v>
      </c>
      <c r="ER253" s="448">
        <v>154</v>
      </c>
      <c r="ES253" s="448">
        <v>30.1</v>
      </c>
      <c r="ET253" s="448">
        <v>2.6</v>
      </c>
      <c r="EU253" s="450">
        <v>45.9</v>
      </c>
    </row>
    <row r="254" spans="2:151">
      <c r="B254" s="78" t="s">
        <v>145</v>
      </c>
      <c r="C254" s="79" t="s">
        <v>260</v>
      </c>
      <c r="D254" s="80" t="s">
        <v>260</v>
      </c>
      <c r="E254" s="1" t="s">
        <v>4</v>
      </c>
      <c r="F254" s="4">
        <v>47</v>
      </c>
      <c r="G254" s="4">
        <v>13.8</v>
      </c>
      <c r="H254" s="3" t="str">
        <f t="shared" si="20"/>
        <v>WT12X47</v>
      </c>
      <c r="I254" s="4">
        <v>12.2</v>
      </c>
      <c r="J254" s="5">
        <v>12.125</v>
      </c>
      <c r="K254" s="6" t="s">
        <v>5</v>
      </c>
      <c r="L254" s="6" t="s">
        <v>5</v>
      </c>
      <c r="M254" s="6" t="s">
        <v>5</v>
      </c>
      <c r="N254" s="7">
        <v>9.07</v>
      </c>
      <c r="O254" s="5">
        <v>9.125</v>
      </c>
      <c r="P254" s="5" t="s">
        <v>5</v>
      </c>
      <c r="Q254" s="6" t="s">
        <v>5</v>
      </c>
      <c r="R254" s="6" t="s">
        <v>5</v>
      </c>
      <c r="S254" s="22">
        <v>0.51500000000000001</v>
      </c>
      <c r="T254" s="5">
        <v>0.5</v>
      </c>
      <c r="U254" s="8">
        <v>0.25</v>
      </c>
      <c r="V254" s="22">
        <v>0.875</v>
      </c>
      <c r="W254" s="8">
        <v>0.875</v>
      </c>
      <c r="X254" s="22">
        <v>0.875</v>
      </c>
      <c r="Y254" s="6" t="s">
        <v>5</v>
      </c>
      <c r="Z254" s="6" t="s">
        <v>5</v>
      </c>
      <c r="AA254" s="33">
        <v>1.38</v>
      </c>
      <c r="AB254" s="34">
        <v>2.125</v>
      </c>
      <c r="AC254" s="8" t="s">
        <v>5</v>
      </c>
      <c r="AD254" s="6" t="s">
        <v>5</v>
      </c>
      <c r="AE254" s="33">
        <v>2.99</v>
      </c>
      <c r="AF254" s="6" t="s">
        <v>5</v>
      </c>
      <c r="AG254" s="6" t="s">
        <v>5</v>
      </c>
      <c r="AH254" s="40">
        <v>0.76400000000000001</v>
      </c>
      <c r="AI254" s="33">
        <v>5.18</v>
      </c>
      <c r="AJ254" s="6" t="s">
        <v>5</v>
      </c>
      <c r="AK254" s="6" t="s">
        <v>5</v>
      </c>
      <c r="AL254" s="6" t="s">
        <v>5</v>
      </c>
      <c r="AM254" s="6" t="s">
        <v>5</v>
      </c>
      <c r="AN254" s="4">
        <v>23.7</v>
      </c>
      <c r="AO254" s="38">
        <v>186</v>
      </c>
      <c r="AP254" s="39">
        <v>36.1</v>
      </c>
      <c r="AQ254" s="4">
        <v>20.3</v>
      </c>
      <c r="AR254" s="7">
        <v>3.67</v>
      </c>
      <c r="AS254" s="39">
        <v>54.5</v>
      </c>
      <c r="AT254" s="39">
        <v>18.7</v>
      </c>
      <c r="AU254" s="4">
        <v>12</v>
      </c>
      <c r="AV254" s="7">
        <v>1.98</v>
      </c>
      <c r="AW254" s="6" t="s">
        <v>5</v>
      </c>
      <c r="AX254" s="6" t="s">
        <v>5</v>
      </c>
      <c r="AY254" s="6" t="s">
        <v>5</v>
      </c>
      <c r="AZ254" s="33">
        <v>2.62</v>
      </c>
      <c r="BA254" s="7">
        <v>9.57</v>
      </c>
      <c r="BB254" s="6" t="s">
        <v>5</v>
      </c>
      <c r="BC254" s="6" t="s">
        <v>5</v>
      </c>
      <c r="BD254" s="6" t="s">
        <v>5</v>
      </c>
      <c r="BE254" s="6" t="s">
        <v>5</v>
      </c>
      <c r="BF254" s="6" t="s">
        <v>5</v>
      </c>
      <c r="BG254" s="6" t="s">
        <v>5</v>
      </c>
      <c r="BH254" s="6" t="s">
        <v>5</v>
      </c>
      <c r="BI254" s="7">
        <v>4.8899999999999997</v>
      </c>
      <c r="BJ254" s="22">
        <v>0.72699999999999998</v>
      </c>
      <c r="BK254" s="6" t="s">
        <v>5</v>
      </c>
      <c r="BL254" s="2" t="s">
        <v>5</v>
      </c>
      <c r="BM254" s="2" t="s">
        <v>5</v>
      </c>
      <c r="BN254" s="2" t="s">
        <v>5</v>
      </c>
      <c r="BO254" s="2" t="s">
        <v>5</v>
      </c>
      <c r="BP254" s="2" t="s">
        <v>5</v>
      </c>
      <c r="BQ254" s="2" t="s">
        <v>5</v>
      </c>
      <c r="BR254" s="2" t="s">
        <v>5</v>
      </c>
      <c r="BS254" s="2" t="s">
        <v>5</v>
      </c>
      <c r="BT254" s="2" t="s">
        <v>5</v>
      </c>
      <c r="BU254" s="2" t="s">
        <v>5</v>
      </c>
      <c r="BV254" s="2" t="s">
        <v>5</v>
      </c>
      <c r="BW254" s="2" t="s">
        <v>5</v>
      </c>
      <c r="BX254" s="2" t="s">
        <v>5</v>
      </c>
      <c r="BY254" s="25" t="s">
        <v>5</v>
      </c>
      <c r="BZ254" s="25" t="s">
        <v>5</v>
      </c>
      <c r="CA254" s="4">
        <v>32.5</v>
      </c>
      <c r="CB254" s="6" t="s">
        <v>5</v>
      </c>
      <c r="CC254" s="4">
        <v>41.5</v>
      </c>
      <c r="CD254" s="4">
        <v>33.5</v>
      </c>
      <c r="CE254" s="4">
        <v>42.5</v>
      </c>
      <c r="CF254" s="16" t="s">
        <v>5</v>
      </c>
      <c r="CG254" s="5">
        <v>5.5</v>
      </c>
      <c r="CH254" s="18" t="s">
        <v>5</v>
      </c>
      <c r="CV254" s="344" t="str">
        <f t="shared" si="21"/>
        <v>WT6X15</v>
      </c>
      <c r="CW254" s="338">
        <v>4.4000000000000004</v>
      </c>
      <c r="DH254" s="397" t="s">
        <v>1477</v>
      </c>
      <c r="DI254" s="398">
        <v>13.3</v>
      </c>
      <c r="DJ254" s="398">
        <v>10.1</v>
      </c>
      <c r="DK254" s="399">
        <v>0.35</v>
      </c>
      <c r="DL254" s="398">
        <v>22.5</v>
      </c>
      <c r="DM254" s="400">
        <v>6.47</v>
      </c>
      <c r="DN254" s="398">
        <v>54.9</v>
      </c>
      <c r="DO254" s="411">
        <v>49.1</v>
      </c>
      <c r="DP254" s="115"/>
      <c r="DQ254" s="428" t="s">
        <v>1488</v>
      </c>
      <c r="DR254" s="429">
        <v>38.799999999999997</v>
      </c>
      <c r="DS254" s="429">
        <v>171</v>
      </c>
      <c r="DT254" s="431"/>
      <c r="DU254" s="431"/>
      <c r="DV254" s="431"/>
      <c r="DW254" s="431"/>
      <c r="DX254" s="432"/>
      <c r="DZ254" s="447" t="s">
        <v>1459</v>
      </c>
      <c r="EA254" s="448">
        <v>68</v>
      </c>
      <c r="EB254" s="448">
        <v>19.899999999999999</v>
      </c>
      <c r="EC254" s="448">
        <v>10.4</v>
      </c>
      <c r="ED254" s="448" t="s">
        <v>1727</v>
      </c>
      <c r="EE254" s="448">
        <v>0.47</v>
      </c>
      <c r="EF254" s="449">
        <v>44928</v>
      </c>
      <c r="EG254" s="449">
        <v>44930</v>
      </c>
      <c r="EH254" s="448">
        <v>10.1</v>
      </c>
      <c r="EI254" s="448" t="s">
        <v>1743</v>
      </c>
      <c r="EJ254" s="448">
        <v>0.77</v>
      </c>
      <c r="EK254" s="449">
        <v>44989</v>
      </c>
      <c r="EL254" s="448">
        <v>6.58</v>
      </c>
      <c r="EM254" s="448">
        <v>16.7</v>
      </c>
      <c r="EN254" s="448">
        <v>394</v>
      </c>
      <c r="EO254" s="448">
        <v>75.7</v>
      </c>
      <c r="EP254" s="448">
        <v>4.4400000000000004</v>
      </c>
      <c r="EQ254" s="448">
        <v>85.3</v>
      </c>
      <c r="ER254" s="448">
        <v>134</v>
      </c>
      <c r="ES254" s="448">
        <v>26.4</v>
      </c>
      <c r="ET254" s="448">
        <v>2.59</v>
      </c>
      <c r="EU254" s="450">
        <v>40.1</v>
      </c>
    </row>
    <row r="255" spans="2:151">
      <c r="B255" s="78" t="s">
        <v>145</v>
      </c>
      <c r="C255" s="79" t="s">
        <v>261</v>
      </c>
      <c r="D255" s="80" t="s">
        <v>261</v>
      </c>
      <c r="E255" s="1" t="s">
        <v>4</v>
      </c>
      <c r="F255" s="4">
        <v>42</v>
      </c>
      <c r="G255" s="4">
        <v>12.4</v>
      </c>
      <c r="H255" s="3" t="str">
        <f t="shared" si="20"/>
        <v>WT12X42</v>
      </c>
      <c r="I255" s="4">
        <v>12.1</v>
      </c>
      <c r="J255" s="5">
        <v>12</v>
      </c>
      <c r="K255" s="6" t="s">
        <v>5</v>
      </c>
      <c r="L255" s="6" t="s">
        <v>5</v>
      </c>
      <c r="M255" s="6" t="s">
        <v>5</v>
      </c>
      <c r="N255" s="7">
        <v>9.02</v>
      </c>
      <c r="O255" s="5">
        <v>9</v>
      </c>
      <c r="P255" s="5" t="s">
        <v>5</v>
      </c>
      <c r="Q255" s="6" t="s">
        <v>5</v>
      </c>
      <c r="R255" s="6" t="s">
        <v>5</v>
      </c>
      <c r="S255" s="22">
        <v>0.47</v>
      </c>
      <c r="T255" s="5">
        <v>0.5</v>
      </c>
      <c r="U255" s="8">
        <v>0.25</v>
      </c>
      <c r="V255" s="22">
        <v>0.77</v>
      </c>
      <c r="W255" s="8">
        <v>0.75</v>
      </c>
      <c r="X255" s="22">
        <v>0.77</v>
      </c>
      <c r="Y255" s="6" t="s">
        <v>5</v>
      </c>
      <c r="Z255" s="6" t="s">
        <v>5</v>
      </c>
      <c r="AA255" s="33">
        <v>1.27</v>
      </c>
      <c r="AB255" s="34">
        <v>2.0625</v>
      </c>
      <c r="AC255" s="8" t="s">
        <v>5</v>
      </c>
      <c r="AD255" s="6" t="s">
        <v>5</v>
      </c>
      <c r="AE255" s="33">
        <v>2.97</v>
      </c>
      <c r="AF255" s="6" t="s">
        <v>5</v>
      </c>
      <c r="AG255" s="6" t="s">
        <v>5</v>
      </c>
      <c r="AH255" s="40">
        <v>0.68500000000000005</v>
      </c>
      <c r="AI255" s="33">
        <v>5.86</v>
      </c>
      <c r="AJ255" s="6" t="s">
        <v>5</v>
      </c>
      <c r="AK255" s="6" t="s">
        <v>5</v>
      </c>
      <c r="AL255" s="6" t="s">
        <v>5</v>
      </c>
      <c r="AM255" s="6" t="s">
        <v>5</v>
      </c>
      <c r="AN255" s="4">
        <v>25.7</v>
      </c>
      <c r="AO255" s="38">
        <v>166</v>
      </c>
      <c r="AP255" s="39">
        <v>32.5</v>
      </c>
      <c r="AQ255" s="4">
        <v>18.3</v>
      </c>
      <c r="AR255" s="7">
        <v>3.67</v>
      </c>
      <c r="AS255" s="39">
        <v>47.2</v>
      </c>
      <c r="AT255" s="39">
        <v>16.3</v>
      </c>
      <c r="AU255" s="4">
        <v>10.5</v>
      </c>
      <c r="AV255" s="7">
        <v>1.95</v>
      </c>
      <c r="AW255" s="6" t="s">
        <v>5</v>
      </c>
      <c r="AX255" s="6" t="s">
        <v>5</v>
      </c>
      <c r="AY255" s="6" t="s">
        <v>5</v>
      </c>
      <c r="AZ255" s="33">
        <v>1.84</v>
      </c>
      <c r="BA255" s="7">
        <v>6.9</v>
      </c>
      <c r="BB255" s="6" t="s">
        <v>5</v>
      </c>
      <c r="BC255" s="6" t="s">
        <v>5</v>
      </c>
      <c r="BD255" s="6" t="s">
        <v>5</v>
      </c>
      <c r="BE255" s="6" t="s">
        <v>5</v>
      </c>
      <c r="BF255" s="6" t="s">
        <v>5</v>
      </c>
      <c r="BG255" s="6" t="s">
        <v>5</v>
      </c>
      <c r="BH255" s="6" t="s">
        <v>5</v>
      </c>
      <c r="BI255" s="7">
        <v>4.9000000000000004</v>
      </c>
      <c r="BJ255" s="22">
        <v>0.72</v>
      </c>
      <c r="BK255" s="6" t="s">
        <v>5</v>
      </c>
      <c r="BL255" s="2" t="s">
        <v>5</v>
      </c>
      <c r="BM255" s="2" t="s">
        <v>5</v>
      </c>
      <c r="BN255" s="2" t="s">
        <v>5</v>
      </c>
      <c r="BO255" s="2" t="s">
        <v>5</v>
      </c>
      <c r="BP255" s="2" t="s">
        <v>5</v>
      </c>
      <c r="BQ255" s="2" t="s">
        <v>5</v>
      </c>
      <c r="BR255" s="2" t="s">
        <v>5</v>
      </c>
      <c r="BS255" s="2" t="s">
        <v>5</v>
      </c>
      <c r="BT255" s="2" t="s">
        <v>5</v>
      </c>
      <c r="BU255" s="2" t="s">
        <v>5</v>
      </c>
      <c r="BV255" s="2" t="s">
        <v>5</v>
      </c>
      <c r="BW255" s="2" t="s">
        <v>5</v>
      </c>
      <c r="BX255" s="2" t="s">
        <v>5</v>
      </c>
      <c r="BY255" s="25" t="s">
        <v>5</v>
      </c>
      <c r="BZ255" s="25" t="s">
        <v>5</v>
      </c>
      <c r="CA255" s="4">
        <v>32.200000000000003</v>
      </c>
      <c r="CB255" s="6" t="s">
        <v>5</v>
      </c>
      <c r="CC255" s="4">
        <v>41.2</v>
      </c>
      <c r="CD255" s="4">
        <v>33.200000000000003</v>
      </c>
      <c r="CE255" s="4">
        <v>42.2</v>
      </c>
      <c r="CF255" s="16" t="s">
        <v>5</v>
      </c>
      <c r="CG255" s="5">
        <v>5.5</v>
      </c>
      <c r="CH255" s="18" t="s">
        <v>5</v>
      </c>
      <c r="CV255" s="344" t="str">
        <f t="shared" si="21"/>
        <v>WT4X14</v>
      </c>
      <c r="CW255" s="338">
        <v>4.12</v>
      </c>
      <c r="DH255" s="397" t="s">
        <v>1483</v>
      </c>
      <c r="DI255" s="398">
        <v>11.5</v>
      </c>
      <c r="DJ255" s="400">
        <v>9.92</v>
      </c>
      <c r="DK255" s="399">
        <v>0.315</v>
      </c>
      <c r="DL255" s="398">
        <v>25</v>
      </c>
      <c r="DM255" s="400">
        <v>7.53</v>
      </c>
      <c r="DN255" s="398">
        <v>46.8</v>
      </c>
      <c r="DO255" s="411">
        <v>42.1</v>
      </c>
      <c r="DP255" s="115"/>
      <c r="DQ255" s="428" t="s">
        <v>1489</v>
      </c>
      <c r="DR255" s="429">
        <v>37.200000000000003</v>
      </c>
      <c r="DS255" s="429">
        <v>204</v>
      </c>
      <c r="DT255" s="431"/>
      <c r="DU255" s="431"/>
      <c r="DV255" s="431"/>
      <c r="DW255" s="431"/>
      <c r="DX255" s="432"/>
      <c r="DZ255" s="447" t="s">
        <v>1464</v>
      </c>
      <c r="EA255" s="448">
        <v>60</v>
      </c>
      <c r="EB255" s="448">
        <v>17.7</v>
      </c>
      <c r="EC255" s="448">
        <v>10.199999999999999</v>
      </c>
      <c r="ED255" s="448" t="s">
        <v>1801</v>
      </c>
      <c r="EE255" s="448">
        <v>0.42</v>
      </c>
      <c r="EF255" s="449">
        <v>45123</v>
      </c>
      <c r="EG255" s="449">
        <v>44930</v>
      </c>
      <c r="EH255" s="448">
        <v>10.1</v>
      </c>
      <c r="EI255" s="448" t="s">
        <v>1743</v>
      </c>
      <c r="EJ255" s="448">
        <v>0.68</v>
      </c>
      <c r="EK255" s="449">
        <v>45246</v>
      </c>
      <c r="EL255" s="448">
        <v>7.41</v>
      </c>
      <c r="EM255" s="448">
        <v>18.7</v>
      </c>
      <c r="EN255" s="448">
        <v>341</v>
      </c>
      <c r="EO255" s="448">
        <v>66.7</v>
      </c>
      <c r="EP255" s="448">
        <v>4.3899999999999997</v>
      </c>
      <c r="EQ255" s="448">
        <v>74.599999999999994</v>
      </c>
      <c r="ER255" s="448">
        <v>116</v>
      </c>
      <c r="ES255" s="448">
        <v>23</v>
      </c>
      <c r="ET255" s="448">
        <v>2.57</v>
      </c>
      <c r="EU255" s="450">
        <v>35</v>
      </c>
    </row>
    <row r="256" spans="2:151">
      <c r="B256" s="78" t="s">
        <v>145</v>
      </c>
      <c r="C256" s="79" t="s">
        <v>262</v>
      </c>
      <c r="D256" s="80" t="s">
        <v>262</v>
      </c>
      <c r="E256" s="1" t="s">
        <v>4</v>
      </c>
      <c r="F256" s="4">
        <v>38</v>
      </c>
      <c r="G256" s="4">
        <v>11.2</v>
      </c>
      <c r="H256" s="3" t="str">
        <f t="shared" si="20"/>
        <v>WT12X38</v>
      </c>
      <c r="I256" s="4">
        <v>12</v>
      </c>
      <c r="J256" s="5">
        <v>12</v>
      </c>
      <c r="K256" s="6" t="s">
        <v>5</v>
      </c>
      <c r="L256" s="6" t="s">
        <v>5</v>
      </c>
      <c r="M256" s="6" t="s">
        <v>5</v>
      </c>
      <c r="N256" s="7">
        <v>8.99</v>
      </c>
      <c r="O256" s="5">
        <v>9</v>
      </c>
      <c r="P256" s="5" t="s">
        <v>5</v>
      </c>
      <c r="Q256" s="6" t="s">
        <v>5</v>
      </c>
      <c r="R256" s="6" t="s">
        <v>5</v>
      </c>
      <c r="S256" s="22">
        <v>0.44</v>
      </c>
      <c r="T256" s="5">
        <v>0.4375</v>
      </c>
      <c r="U256" s="8">
        <v>0.25</v>
      </c>
      <c r="V256" s="22">
        <v>0.68</v>
      </c>
      <c r="W256" s="8">
        <v>0.6875</v>
      </c>
      <c r="X256" s="22">
        <v>0.68</v>
      </c>
      <c r="Y256" s="6" t="s">
        <v>5</v>
      </c>
      <c r="Z256" s="6" t="s">
        <v>5</v>
      </c>
      <c r="AA256" s="33">
        <v>1.18</v>
      </c>
      <c r="AB256" s="34">
        <v>1.9375</v>
      </c>
      <c r="AC256" s="8" t="s">
        <v>5</v>
      </c>
      <c r="AD256" s="6" t="s">
        <v>5</v>
      </c>
      <c r="AE256" s="33">
        <v>3</v>
      </c>
      <c r="AF256" s="6" t="s">
        <v>5</v>
      </c>
      <c r="AG256" s="6" t="s">
        <v>5</v>
      </c>
      <c r="AH256" s="40">
        <v>0.622</v>
      </c>
      <c r="AI256" s="33">
        <v>6.61</v>
      </c>
      <c r="AJ256" s="6" t="s">
        <v>5</v>
      </c>
      <c r="AK256" s="6" t="s">
        <v>5</v>
      </c>
      <c r="AL256" s="6" t="s">
        <v>5</v>
      </c>
      <c r="AM256" s="6" t="s">
        <v>5</v>
      </c>
      <c r="AN256" s="4">
        <v>27.3</v>
      </c>
      <c r="AO256" s="38">
        <v>151</v>
      </c>
      <c r="AP256" s="39">
        <v>30.1</v>
      </c>
      <c r="AQ256" s="4">
        <v>16.899999999999999</v>
      </c>
      <c r="AR256" s="7">
        <v>3.68</v>
      </c>
      <c r="AS256" s="39">
        <v>41.3</v>
      </c>
      <c r="AT256" s="39">
        <v>14.3</v>
      </c>
      <c r="AU256" s="7">
        <v>9.18</v>
      </c>
      <c r="AV256" s="7">
        <v>1.92</v>
      </c>
      <c r="AW256" s="6" t="s">
        <v>5</v>
      </c>
      <c r="AX256" s="6" t="s">
        <v>5</v>
      </c>
      <c r="AY256" s="6" t="s">
        <v>5</v>
      </c>
      <c r="AZ256" s="33">
        <v>1.34</v>
      </c>
      <c r="BA256" s="7">
        <v>5.3</v>
      </c>
      <c r="BB256" s="6" t="s">
        <v>5</v>
      </c>
      <c r="BC256" s="6" t="s">
        <v>5</v>
      </c>
      <c r="BD256" s="6" t="s">
        <v>5</v>
      </c>
      <c r="BE256" s="6" t="s">
        <v>5</v>
      </c>
      <c r="BF256" s="6" t="s">
        <v>5</v>
      </c>
      <c r="BG256" s="6" t="s">
        <v>5</v>
      </c>
      <c r="BH256" s="6" t="s">
        <v>5</v>
      </c>
      <c r="BI256" s="7">
        <v>4.93</v>
      </c>
      <c r="BJ256" s="22">
        <v>0.70899999999999996</v>
      </c>
      <c r="BK256" s="6" t="s">
        <v>5</v>
      </c>
      <c r="BL256" s="2" t="s">
        <v>5</v>
      </c>
      <c r="BM256" s="2" t="s">
        <v>5</v>
      </c>
      <c r="BN256" s="2" t="s">
        <v>5</v>
      </c>
      <c r="BO256" s="2" t="s">
        <v>5</v>
      </c>
      <c r="BP256" s="2" t="s">
        <v>5</v>
      </c>
      <c r="BQ256" s="2" t="s">
        <v>5</v>
      </c>
      <c r="BR256" s="2" t="s">
        <v>5</v>
      </c>
      <c r="BS256" s="2" t="s">
        <v>5</v>
      </c>
      <c r="BT256" s="2" t="s">
        <v>5</v>
      </c>
      <c r="BU256" s="2" t="s">
        <v>5</v>
      </c>
      <c r="BV256" s="2" t="s">
        <v>5</v>
      </c>
      <c r="BW256" s="2" t="s">
        <v>5</v>
      </c>
      <c r="BX256" s="2" t="s">
        <v>5</v>
      </c>
      <c r="BY256" s="25" t="s">
        <v>5</v>
      </c>
      <c r="BZ256" s="25" t="s">
        <v>5</v>
      </c>
      <c r="CA256" s="4">
        <v>32</v>
      </c>
      <c r="CB256" s="6" t="s">
        <v>5</v>
      </c>
      <c r="CC256" s="4">
        <v>41</v>
      </c>
      <c r="CD256" s="4">
        <v>33</v>
      </c>
      <c r="CE256" s="4">
        <v>42</v>
      </c>
      <c r="CF256" s="16" t="s">
        <v>5</v>
      </c>
      <c r="CG256" s="5">
        <v>5.5</v>
      </c>
      <c r="CH256" s="18" t="s">
        <v>5</v>
      </c>
      <c r="CV256" s="344" t="str">
        <f t="shared" si="21"/>
        <v>WT7X13</v>
      </c>
      <c r="CW256" s="338">
        <v>3.85</v>
      </c>
      <c r="DH256" s="397" t="s">
        <v>1488</v>
      </c>
      <c r="DI256" s="400">
        <v>9.7100000000000009</v>
      </c>
      <c r="DJ256" s="400">
        <v>9.73</v>
      </c>
      <c r="DK256" s="399">
        <v>0.28999999999999998</v>
      </c>
      <c r="DL256" s="398">
        <v>27.1</v>
      </c>
      <c r="DM256" s="400">
        <v>9.15</v>
      </c>
      <c r="DN256" s="398">
        <v>38.799999999999997</v>
      </c>
      <c r="DO256" s="411">
        <v>35</v>
      </c>
      <c r="DP256" s="115"/>
      <c r="DQ256" s="428" t="s">
        <v>1490</v>
      </c>
      <c r="DR256" s="429">
        <v>36.6</v>
      </c>
      <c r="DS256" s="429">
        <v>170</v>
      </c>
      <c r="DT256" s="431"/>
      <c r="DU256" s="431"/>
      <c r="DV256" s="431"/>
      <c r="DW256" s="431"/>
      <c r="DX256" s="432"/>
      <c r="DZ256" s="447" t="s">
        <v>1469</v>
      </c>
      <c r="EA256" s="448">
        <v>54</v>
      </c>
      <c r="EB256" s="448">
        <v>15.8</v>
      </c>
      <c r="EC256" s="448">
        <v>10.1</v>
      </c>
      <c r="ED256" s="448" t="s">
        <v>1743</v>
      </c>
      <c r="EE256" s="448">
        <v>0.37</v>
      </c>
      <c r="EF256" s="449">
        <v>44993</v>
      </c>
      <c r="EG256" s="449">
        <v>45001</v>
      </c>
      <c r="EH256" s="448">
        <v>10</v>
      </c>
      <c r="EI256" s="448">
        <v>10</v>
      </c>
      <c r="EJ256" s="448">
        <v>0.61499999999999999</v>
      </c>
      <c r="EK256" s="449">
        <v>45054</v>
      </c>
      <c r="EL256" s="448">
        <v>8.15</v>
      </c>
      <c r="EM256" s="448">
        <v>21.2</v>
      </c>
      <c r="EN256" s="448">
        <v>303</v>
      </c>
      <c r="EO256" s="448">
        <v>60</v>
      </c>
      <c r="EP256" s="448">
        <v>4.37</v>
      </c>
      <c r="EQ256" s="448">
        <v>66.599999999999994</v>
      </c>
      <c r="ER256" s="448">
        <v>103</v>
      </c>
      <c r="ES256" s="448">
        <v>20.6</v>
      </c>
      <c r="ET256" s="448">
        <v>2.56</v>
      </c>
      <c r="EU256" s="450">
        <v>31.3</v>
      </c>
    </row>
    <row r="257" spans="2:151">
      <c r="B257" s="78" t="s">
        <v>145</v>
      </c>
      <c r="C257" s="79" t="s">
        <v>263</v>
      </c>
      <c r="D257" s="80" t="s">
        <v>263</v>
      </c>
      <c r="E257" s="1" t="s">
        <v>4</v>
      </c>
      <c r="F257" s="4">
        <v>34</v>
      </c>
      <c r="G257" s="4">
        <v>10</v>
      </c>
      <c r="H257" s="3" t="str">
        <f t="shared" si="20"/>
        <v>WT12X34</v>
      </c>
      <c r="I257" s="4">
        <v>11.9</v>
      </c>
      <c r="J257" s="5">
        <v>11.875</v>
      </c>
      <c r="K257" s="6" t="s">
        <v>5</v>
      </c>
      <c r="L257" s="6" t="s">
        <v>5</v>
      </c>
      <c r="M257" s="6" t="s">
        <v>5</v>
      </c>
      <c r="N257" s="7">
        <v>8.9700000000000006</v>
      </c>
      <c r="O257" s="5">
        <v>9</v>
      </c>
      <c r="P257" s="5" t="s">
        <v>5</v>
      </c>
      <c r="Q257" s="6" t="s">
        <v>5</v>
      </c>
      <c r="R257" s="6" t="s">
        <v>5</v>
      </c>
      <c r="S257" s="22">
        <v>0.41499999999999998</v>
      </c>
      <c r="T257" s="5">
        <v>0.4375</v>
      </c>
      <c r="U257" s="8">
        <v>0.25</v>
      </c>
      <c r="V257" s="22">
        <v>0.58499999999999996</v>
      </c>
      <c r="W257" s="8">
        <v>0.5625</v>
      </c>
      <c r="X257" s="22">
        <v>0.58499999999999996</v>
      </c>
      <c r="Y257" s="6" t="s">
        <v>5</v>
      </c>
      <c r="Z257" s="6" t="s">
        <v>5</v>
      </c>
      <c r="AA257" s="33">
        <v>1.0900000000000001</v>
      </c>
      <c r="AB257" s="34">
        <v>1.875</v>
      </c>
      <c r="AC257" s="8" t="s">
        <v>5</v>
      </c>
      <c r="AD257" s="6" t="s">
        <v>5</v>
      </c>
      <c r="AE257" s="33">
        <v>3.06</v>
      </c>
      <c r="AF257" s="6" t="s">
        <v>5</v>
      </c>
      <c r="AG257" s="6" t="s">
        <v>5</v>
      </c>
      <c r="AH257" s="40">
        <v>0.56000000000000005</v>
      </c>
      <c r="AI257" s="33">
        <v>7.66</v>
      </c>
      <c r="AJ257" s="6" t="s">
        <v>5</v>
      </c>
      <c r="AK257" s="6" t="s">
        <v>5</v>
      </c>
      <c r="AL257" s="6" t="s">
        <v>5</v>
      </c>
      <c r="AM257" s="6" t="s">
        <v>5</v>
      </c>
      <c r="AN257" s="4">
        <v>28.7</v>
      </c>
      <c r="AO257" s="38">
        <v>137</v>
      </c>
      <c r="AP257" s="39">
        <v>27.9</v>
      </c>
      <c r="AQ257" s="4">
        <v>15.6</v>
      </c>
      <c r="AR257" s="7">
        <v>3.7</v>
      </c>
      <c r="AS257" s="39">
        <v>35.200000000000003</v>
      </c>
      <c r="AT257" s="39">
        <v>12.3</v>
      </c>
      <c r="AU257" s="7">
        <v>7.85</v>
      </c>
      <c r="AV257" s="7">
        <v>1.87</v>
      </c>
      <c r="AW257" s="6" t="s">
        <v>5</v>
      </c>
      <c r="AX257" s="6" t="s">
        <v>5</v>
      </c>
      <c r="AY257" s="6" t="s">
        <v>5</v>
      </c>
      <c r="AZ257" s="40">
        <v>0.93200000000000005</v>
      </c>
      <c r="BA257" s="7">
        <v>4.08</v>
      </c>
      <c r="BB257" s="6" t="s">
        <v>5</v>
      </c>
      <c r="BC257" s="6" t="s">
        <v>5</v>
      </c>
      <c r="BD257" s="6" t="s">
        <v>5</v>
      </c>
      <c r="BE257" s="6" t="s">
        <v>5</v>
      </c>
      <c r="BF257" s="6" t="s">
        <v>5</v>
      </c>
      <c r="BG257" s="6" t="s">
        <v>5</v>
      </c>
      <c r="BH257" s="6" t="s">
        <v>5</v>
      </c>
      <c r="BI257" s="7">
        <v>4.99</v>
      </c>
      <c r="BJ257" s="22">
        <v>0.69099999999999995</v>
      </c>
      <c r="BK257" s="6" t="s">
        <v>5</v>
      </c>
      <c r="BL257" s="2" t="s">
        <v>5</v>
      </c>
      <c r="BM257" s="2" t="s">
        <v>5</v>
      </c>
      <c r="BN257" s="2" t="s">
        <v>5</v>
      </c>
      <c r="BO257" s="2" t="s">
        <v>5</v>
      </c>
      <c r="BP257" s="2" t="s">
        <v>5</v>
      </c>
      <c r="BQ257" s="2" t="s">
        <v>5</v>
      </c>
      <c r="BR257" s="2" t="s">
        <v>5</v>
      </c>
      <c r="BS257" s="2" t="s">
        <v>5</v>
      </c>
      <c r="BT257" s="2" t="s">
        <v>5</v>
      </c>
      <c r="BU257" s="2" t="s">
        <v>5</v>
      </c>
      <c r="BV257" s="2" t="s">
        <v>5</v>
      </c>
      <c r="BW257" s="2" t="s">
        <v>5</v>
      </c>
      <c r="BX257" s="2" t="s">
        <v>5</v>
      </c>
      <c r="BY257" s="25" t="s">
        <v>5</v>
      </c>
      <c r="BZ257" s="25" t="s">
        <v>5</v>
      </c>
      <c r="CA257" s="4">
        <v>31.8</v>
      </c>
      <c r="CB257" s="6" t="s">
        <v>5</v>
      </c>
      <c r="CC257" s="4">
        <v>40.700000000000003</v>
      </c>
      <c r="CD257" s="4">
        <v>32.799999999999997</v>
      </c>
      <c r="CE257" s="4">
        <v>41.7</v>
      </c>
      <c r="CF257" s="16" t="s">
        <v>5</v>
      </c>
      <c r="CG257" s="5">
        <v>5.5</v>
      </c>
      <c r="CH257" s="18" t="s">
        <v>5</v>
      </c>
      <c r="CV257" s="344" t="str">
        <f t="shared" si="21"/>
        <v>WT8X13</v>
      </c>
      <c r="CW257" s="338">
        <v>3.84</v>
      </c>
      <c r="DH257" s="397" t="s">
        <v>1490</v>
      </c>
      <c r="DI257" s="400">
        <v>8.84</v>
      </c>
      <c r="DJ257" s="398">
        <v>10.5</v>
      </c>
      <c r="DK257" s="399">
        <v>0.3</v>
      </c>
      <c r="DL257" s="398">
        <v>29.5</v>
      </c>
      <c r="DM257" s="400">
        <v>5.7</v>
      </c>
      <c r="DN257" s="398">
        <v>36.6</v>
      </c>
      <c r="DO257" s="411">
        <v>32.4</v>
      </c>
      <c r="DP257" s="115"/>
      <c r="DQ257" s="428" t="s">
        <v>1491</v>
      </c>
      <c r="DR257" s="429">
        <v>34.700000000000003</v>
      </c>
      <c r="DS257" s="429">
        <v>127</v>
      </c>
      <c r="DT257" s="431"/>
      <c r="DU257" s="431"/>
      <c r="DV257" s="431"/>
      <c r="DW257" s="431"/>
      <c r="DX257" s="432"/>
      <c r="DZ257" s="447" t="s">
        <v>1474</v>
      </c>
      <c r="EA257" s="448">
        <v>49</v>
      </c>
      <c r="EB257" s="448">
        <v>14.4</v>
      </c>
      <c r="EC257" s="448">
        <v>10</v>
      </c>
      <c r="ED257" s="448">
        <v>10</v>
      </c>
      <c r="EE257" s="448">
        <v>0.34</v>
      </c>
      <c r="EF257" s="449">
        <v>45062</v>
      </c>
      <c r="EG257" s="449">
        <v>45001</v>
      </c>
      <c r="EH257" s="448">
        <v>10</v>
      </c>
      <c r="EI257" s="448">
        <v>10</v>
      </c>
      <c r="EJ257" s="448">
        <v>0.56000000000000005</v>
      </c>
      <c r="EK257" s="449">
        <v>45185</v>
      </c>
      <c r="EL257" s="448">
        <v>8.93</v>
      </c>
      <c r="EM257" s="448">
        <v>23.1</v>
      </c>
      <c r="EN257" s="448">
        <v>272</v>
      </c>
      <c r="EO257" s="448">
        <v>54.6</v>
      </c>
      <c r="EP257" s="448">
        <v>4.3499999999999996</v>
      </c>
      <c r="EQ257" s="448">
        <v>60.4</v>
      </c>
      <c r="ER257" s="448">
        <v>93.4</v>
      </c>
      <c r="ES257" s="448">
        <v>18.7</v>
      </c>
      <c r="ET257" s="448">
        <v>2.54</v>
      </c>
      <c r="EU257" s="450">
        <v>28.3</v>
      </c>
    </row>
    <row r="258" spans="2:151">
      <c r="B258" s="78" t="s">
        <v>145</v>
      </c>
      <c r="C258" s="79" t="s">
        <v>264</v>
      </c>
      <c r="D258" s="80" t="s">
        <v>264</v>
      </c>
      <c r="E258" s="1" t="s">
        <v>4</v>
      </c>
      <c r="F258" s="4">
        <v>31</v>
      </c>
      <c r="G258" s="7">
        <v>9.11</v>
      </c>
      <c r="H258" s="3" t="str">
        <f t="shared" si="20"/>
        <v>WT12X31</v>
      </c>
      <c r="I258" s="4">
        <v>11.9</v>
      </c>
      <c r="J258" s="5">
        <v>11.875</v>
      </c>
      <c r="K258" s="6" t="s">
        <v>5</v>
      </c>
      <c r="L258" s="6" t="s">
        <v>5</v>
      </c>
      <c r="M258" s="6" t="s">
        <v>5</v>
      </c>
      <c r="N258" s="7">
        <v>7.04</v>
      </c>
      <c r="O258" s="5">
        <v>7</v>
      </c>
      <c r="P258" s="5" t="s">
        <v>5</v>
      </c>
      <c r="Q258" s="6" t="s">
        <v>5</v>
      </c>
      <c r="R258" s="6" t="s">
        <v>5</v>
      </c>
      <c r="S258" s="22">
        <v>0.43</v>
      </c>
      <c r="T258" s="5">
        <v>0.4375</v>
      </c>
      <c r="U258" s="8">
        <v>0.25</v>
      </c>
      <c r="V258" s="22">
        <v>0.59</v>
      </c>
      <c r="W258" s="8">
        <v>0.5625</v>
      </c>
      <c r="X258" s="22">
        <v>0.59</v>
      </c>
      <c r="Y258" s="6" t="s">
        <v>5</v>
      </c>
      <c r="Z258" s="6" t="s">
        <v>5</v>
      </c>
      <c r="AA258" s="7">
        <v>1.0900000000000001</v>
      </c>
      <c r="AB258" s="8">
        <v>1.5</v>
      </c>
      <c r="AC258" s="8" t="s">
        <v>5</v>
      </c>
      <c r="AD258" s="6" t="s">
        <v>5</v>
      </c>
      <c r="AE258" s="7">
        <v>3.46</v>
      </c>
      <c r="AF258" s="6" t="s">
        <v>5</v>
      </c>
      <c r="AG258" s="6" t="s">
        <v>5</v>
      </c>
      <c r="AH258" s="7">
        <v>1.28</v>
      </c>
      <c r="AI258" s="7">
        <v>5.97</v>
      </c>
      <c r="AJ258" s="6" t="s">
        <v>5</v>
      </c>
      <c r="AK258" s="6" t="s">
        <v>5</v>
      </c>
      <c r="AL258" s="6" t="s">
        <v>5</v>
      </c>
      <c r="AM258" s="6" t="s">
        <v>5</v>
      </c>
      <c r="AN258" s="4">
        <v>27.7</v>
      </c>
      <c r="AO258" s="6">
        <v>131</v>
      </c>
      <c r="AP258" s="4">
        <v>28.4</v>
      </c>
      <c r="AQ258" s="4">
        <v>15.6</v>
      </c>
      <c r="AR258" s="7">
        <v>3.79</v>
      </c>
      <c r="AS258" s="4">
        <v>17.2</v>
      </c>
      <c r="AT258" s="7">
        <v>7.85</v>
      </c>
      <c r="AU258" s="7">
        <v>4.9000000000000004</v>
      </c>
      <c r="AV258" s="7">
        <v>1.38</v>
      </c>
      <c r="AW258" s="6" t="s">
        <v>5</v>
      </c>
      <c r="AX258" s="6" t="s">
        <v>5</v>
      </c>
      <c r="AY258" s="6" t="s">
        <v>5</v>
      </c>
      <c r="AZ258" s="22">
        <v>0.85</v>
      </c>
      <c r="BA258" s="7">
        <v>3.92</v>
      </c>
      <c r="BB258" s="6" t="s">
        <v>5</v>
      </c>
      <c r="BC258" s="6" t="s">
        <v>5</v>
      </c>
      <c r="BD258" s="6" t="s">
        <v>5</v>
      </c>
      <c r="BE258" s="6" t="s">
        <v>5</v>
      </c>
      <c r="BF258" s="6" t="s">
        <v>5</v>
      </c>
      <c r="BG258" s="6" t="s">
        <v>5</v>
      </c>
      <c r="BH258" s="6" t="s">
        <v>5</v>
      </c>
      <c r="BI258" s="7">
        <v>5.13</v>
      </c>
      <c r="BJ258" s="22">
        <v>0.61899999999999999</v>
      </c>
      <c r="BK258" s="6" t="s">
        <v>5</v>
      </c>
      <c r="BL258" s="2" t="s">
        <v>5</v>
      </c>
      <c r="BM258" s="2" t="s">
        <v>5</v>
      </c>
      <c r="BN258" s="2" t="s">
        <v>5</v>
      </c>
      <c r="BO258" s="2" t="s">
        <v>5</v>
      </c>
      <c r="BP258" s="2" t="s">
        <v>5</v>
      </c>
      <c r="BQ258" s="2" t="s">
        <v>5</v>
      </c>
      <c r="BR258" s="2" t="s">
        <v>5</v>
      </c>
      <c r="BS258" s="2" t="s">
        <v>5</v>
      </c>
      <c r="BT258" s="2" t="s">
        <v>5</v>
      </c>
      <c r="BU258" s="2" t="s">
        <v>5</v>
      </c>
      <c r="BV258" s="2" t="s">
        <v>5</v>
      </c>
      <c r="BW258" s="2" t="s">
        <v>5</v>
      </c>
      <c r="BX258" s="2" t="s">
        <v>5</v>
      </c>
      <c r="BY258" s="25" t="s">
        <v>5</v>
      </c>
      <c r="BZ258" s="25" t="s">
        <v>5</v>
      </c>
      <c r="CA258" s="4">
        <v>30.2</v>
      </c>
      <c r="CB258" s="6" t="s">
        <v>5</v>
      </c>
      <c r="CC258" s="4">
        <v>37.200000000000003</v>
      </c>
      <c r="CD258" s="4">
        <v>30.8</v>
      </c>
      <c r="CE258" s="4">
        <v>37.9</v>
      </c>
      <c r="CF258" s="16" t="s">
        <v>5</v>
      </c>
      <c r="CG258" s="5">
        <v>3.5</v>
      </c>
      <c r="CH258" s="18" t="s">
        <v>5</v>
      </c>
      <c r="CV258" s="344" t="str">
        <f t="shared" si="21"/>
        <v>WT6X13</v>
      </c>
      <c r="CW258" s="338">
        <v>3.82</v>
      </c>
      <c r="DH258" s="397" t="s">
        <v>1493</v>
      </c>
      <c r="DI258" s="400">
        <v>7.61</v>
      </c>
      <c r="DJ258" s="398">
        <v>10.3</v>
      </c>
      <c r="DK258" s="399">
        <v>0.26</v>
      </c>
      <c r="DL258" s="398">
        <v>34</v>
      </c>
      <c r="DM258" s="400">
        <v>6.56</v>
      </c>
      <c r="DN258" s="398">
        <v>31.3</v>
      </c>
      <c r="DO258" s="411">
        <v>27.9</v>
      </c>
      <c r="DP258" s="115"/>
      <c r="DQ258" s="428" t="s">
        <v>1492</v>
      </c>
      <c r="DR258" s="429">
        <v>33.200000000000003</v>
      </c>
      <c r="DS258" s="429">
        <v>199</v>
      </c>
      <c r="DT258" s="431"/>
      <c r="DU258" s="431"/>
      <c r="DV258" s="431"/>
      <c r="DW258" s="431"/>
      <c r="DX258" s="432"/>
      <c r="DZ258" s="447" t="s">
        <v>1477</v>
      </c>
      <c r="EA258" s="448">
        <v>45</v>
      </c>
      <c r="EB258" s="448">
        <v>13.3</v>
      </c>
      <c r="EC258" s="448">
        <v>10.1</v>
      </c>
      <c r="ED258" s="448" t="s">
        <v>1743</v>
      </c>
      <c r="EE258" s="448">
        <v>0.35</v>
      </c>
      <c r="EF258" s="449">
        <v>44993</v>
      </c>
      <c r="EG258" s="449">
        <v>45001</v>
      </c>
      <c r="EH258" s="448">
        <v>8.02</v>
      </c>
      <c r="EI258" s="448">
        <v>8</v>
      </c>
      <c r="EJ258" s="448">
        <v>0.62</v>
      </c>
      <c r="EK258" s="449">
        <v>45054</v>
      </c>
      <c r="EL258" s="448">
        <v>6.47</v>
      </c>
      <c r="EM258" s="448">
        <v>22.5</v>
      </c>
      <c r="EN258" s="448">
        <v>248</v>
      </c>
      <c r="EO258" s="448">
        <v>49.1</v>
      </c>
      <c r="EP258" s="448">
        <v>4.32</v>
      </c>
      <c r="EQ258" s="448">
        <v>54.9</v>
      </c>
      <c r="ER258" s="448">
        <v>53.4</v>
      </c>
      <c r="ES258" s="448">
        <v>13.3</v>
      </c>
      <c r="ET258" s="448">
        <v>2.0099999999999998</v>
      </c>
      <c r="EU258" s="450">
        <v>20.3</v>
      </c>
    </row>
    <row r="259" spans="2:151">
      <c r="B259" s="78" t="s">
        <v>145</v>
      </c>
      <c r="C259" s="79" t="s">
        <v>265</v>
      </c>
      <c r="D259" s="80" t="s">
        <v>265</v>
      </c>
      <c r="E259" s="1" t="s">
        <v>4</v>
      </c>
      <c r="F259" s="4">
        <v>27.5</v>
      </c>
      <c r="G259" s="7">
        <v>8.1</v>
      </c>
      <c r="H259" s="3" t="str">
        <f t="shared" si="20"/>
        <v>WT12X27.5</v>
      </c>
      <c r="I259" s="4">
        <v>11.8</v>
      </c>
      <c r="J259" s="5">
        <v>11.75</v>
      </c>
      <c r="K259" s="6" t="s">
        <v>5</v>
      </c>
      <c r="L259" s="6" t="s">
        <v>5</v>
      </c>
      <c r="M259" s="6" t="s">
        <v>5</v>
      </c>
      <c r="N259" s="7">
        <v>7.01</v>
      </c>
      <c r="O259" s="5">
        <v>7</v>
      </c>
      <c r="P259" s="5" t="s">
        <v>5</v>
      </c>
      <c r="Q259" s="6" t="s">
        <v>5</v>
      </c>
      <c r="R259" s="6" t="s">
        <v>5</v>
      </c>
      <c r="S259" s="22">
        <v>0.39500000000000002</v>
      </c>
      <c r="T259" s="5">
        <v>0.375</v>
      </c>
      <c r="U259" s="8">
        <v>0.1875</v>
      </c>
      <c r="V259" s="22">
        <v>0.505</v>
      </c>
      <c r="W259" s="8">
        <v>0.5</v>
      </c>
      <c r="X259" s="22">
        <v>0.505</v>
      </c>
      <c r="Y259" s="6" t="s">
        <v>5</v>
      </c>
      <c r="Z259" s="6" t="s">
        <v>5</v>
      </c>
      <c r="AA259" s="7">
        <v>1.01</v>
      </c>
      <c r="AB259" s="8">
        <v>1.4375</v>
      </c>
      <c r="AC259" s="8" t="s">
        <v>5</v>
      </c>
      <c r="AD259" s="6" t="s">
        <v>5</v>
      </c>
      <c r="AE259" s="7">
        <v>3.5</v>
      </c>
      <c r="AF259" s="6" t="s">
        <v>5</v>
      </c>
      <c r="AG259" s="6" t="s">
        <v>5</v>
      </c>
      <c r="AH259" s="7">
        <v>1.53</v>
      </c>
      <c r="AI259" s="7">
        <v>6.94</v>
      </c>
      <c r="AJ259" s="6" t="s">
        <v>5</v>
      </c>
      <c r="AK259" s="6" t="s">
        <v>5</v>
      </c>
      <c r="AL259" s="6" t="s">
        <v>5</v>
      </c>
      <c r="AM259" s="6" t="s">
        <v>5</v>
      </c>
      <c r="AN259" s="4">
        <v>29.9</v>
      </c>
      <c r="AO259" s="6">
        <v>117</v>
      </c>
      <c r="AP259" s="4">
        <v>25.6</v>
      </c>
      <c r="AQ259" s="4">
        <v>14.1</v>
      </c>
      <c r="AR259" s="7">
        <v>3.8</v>
      </c>
      <c r="AS259" s="4">
        <v>14.5</v>
      </c>
      <c r="AT259" s="7">
        <v>6.65</v>
      </c>
      <c r="AU259" s="7">
        <v>4.1500000000000004</v>
      </c>
      <c r="AV259" s="7">
        <v>1.34</v>
      </c>
      <c r="AW259" s="6" t="s">
        <v>5</v>
      </c>
      <c r="AX259" s="6" t="s">
        <v>5</v>
      </c>
      <c r="AY259" s="6" t="s">
        <v>5</v>
      </c>
      <c r="AZ259" s="22">
        <v>0.58799999999999997</v>
      </c>
      <c r="BA259" s="7">
        <v>2.93</v>
      </c>
      <c r="BB259" s="6" t="s">
        <v>5</v>
      </c>
      <c r="BC259" s="6" t="s">
        <v>5</v>
      </c>
      <c r="BD259" s="6" t="s">
        <v>5</v>
      </c>
      <c r="BE259" s="6" t="s">
        <v>5</v>
      </c>
      <c r="BF259" s="6" t="s">
        <v>5</v>
      </c>
      <c r="BG259" s="6" t="s">
        <v>5</v>
      </c>
      <c r="BH259" s="6" t="s">
        <v>5</v>
      </c>
      <c r="BI259" s="7">
        <v>5.17</v>
      </c>
      <c r="BJ259" s="22">
        <v>0.60599999999999998</v>
      </c>
      <c r="BK259" s="6" t="s">
        <v>5</v>
      </c>
      <c r="BL259" s="2" t="s">
        <v>5</v>
      </c>
      <c r="BM259" s="2" t="s">
        <v>5</v>
      </c>
      <c r="BN259" s="2" t="s">
        <v>5</v>
      </c>
      <c r="BO259" s="2" t="s">
        <v>5</v>
      </c>
      <c r="BP259" s="2" t="s">
        <v>5</v>
      </c>
      <c r="BQ259" s="2" t="s">
        <v>5</v>
      </c>
      <c r="BR259" s="2" t="s">
        <v>5</v>
      </c>
      <c r="BS259" s="2" t="s">
        <v>5</v>
      </c>
      <c r="BT259" s="2" t="s">
        <v>5</v>
      </c>
      <c r="BU259" s="2" t="s">
        <v>5</v>
      </c>
      <c r="BV259" s="2" t="s">
        <v>5</v>
      </c>
      <c r="BW259" s="2" t="s">
        <v>5</v>
      </c>
      <c r="BX259" s="2" t="s">
        <v>5</v>
      </c>
      <c r="BY259" s="25" t="s">
        <v>5</v>
      </c>
      <c r="BZ259" s="25" t="s">
        <v>5</v>
      </c>
      <c r="CA259" s="4">
        <v>29.9</v>
      </c>
      <c r="CB259" s="6" t="s">
        <v>5</v>
      </c>
      <c r="CC259" s="4">
        <v>36.9</v>
      </c>
      <c r="CD259" s="4">
        <v>30.6</v>
      </c>
      <c r="CE259" s="4">
        <v>37.6</v>
      </c>
      <c r="CF259" s="16" t="s">
        <v>5</v>
      </c>
      <c r="CG259" s="5">
        <v>3.5</v>
      </c>
      <c r="CH259" s="18" t="s">
        <v>5</v>
      </c>
      <c r="CV259" s="344" t="str">
        <f t="shared" si="21"/>
        <v>WT5X13</v>
      </c>
      <c r="CW259" s="338">
        <v>3.81</v>
      </c>
      <c r="DH259" s="397" t="s">
        <v>1497</v>
      </c>
      <c r="DI259" s="400">
        <v>6.49</v>
      </c>
      <c r="DJ259" s="398">
        <v>10.199999999999999</v>
      </c>
      <c r="DK259" s="399">
        <v>0.24</v>
      </c>
      <c r="DL259" s="398">
        <v>36.9</v>
      </c>
      <c r="DM259" s="400">
        <v>7.99</v>
      </c>
      <c r="DN259" s="398">
        <v>26</v>
      </c>
      <c r="DO259" s="411">
        <v>23.2</v>
      </c>
      <c r="DP259" s="115"/>
      <c r="DQ259" s="428" t="s">
        <v>1493</v>
      </c>
      <c r="DR259" s="429">
        <v>31.3</v>
      </c>
      <c r="DS259" s="429">
        <v>144</v>
      </c>
      <c r="DT259" s="431"/>
      <c r="DU259" s="431"/>
      <c r="DV259" s="431"/>
      <c r="DW259" s="431"/>
      <c r="DX259" s="432"/>
      <c r="DZ259" s="447" t="s">
        <v>1483</v>
      </c>
      <c r="EA259" s="448">
        <v>39</v>
      </c>
      <c r="EB259" s="448">
        <v>11.5</v>
      </c>
      <c r="EC259" s="448">
        <v>9.92</v>
      </c>
      <c r="ED259" s="448" t="s">
        <v>1826</v>
      </c>
      <c r="EE259" s="448">
        <v>0.315</v>
      </c>
      <c r="EF259" s="449">
        <v>45062</v>
      </c>
      <c r="EG259" s="449">
        <v>45001</v>
      </c>
      <c r="EH259" s="448">
        <v>7.99</v>
      </c>
      <c r="EI259" s="448">
        <v>8</v>
      </c>
      <c r="EJ259" s="448">
        <v>0.53</v>
      </c>
      <c r="EK259" s="449">
        <v>44928</v>
      </c>
      <c r="EL259" s="448">
        <v>7.53</v>
      </c>
      <c r="EM259" s="448">
        <v>25</v>
      </c>
      <c r="EN259" s="448">
        <v>209</v>
      </c>
      <c r="EO259" s="448">
        <v>42.1</v>
      </c>
      <c r="EP259" s="448">
        <v>4.2699999999999996</v>
      </c>
      <c r="EQ259" s="448">
        <v>46.8</v>
      </c>
      <c r="ER259" s="448">
        <v>45</v>
      </c>
      <c r="ES259" s="448">
        <v>11.3</v>
      </c>
      <c r="ET259" s="448">
        <v>1.98</v>
      </c>
      <c r="EU259" s="450">
        <v>17.2</v>
      </c>
    </row>
    <row r="260" spans="2:151">
      <c r="B260" s="78" t="s">
        <v>145</v>
      </c>
      <c r="C260" s="79" t="s">
        <v>266</v>
      </c>
      <c r="D260" s="80" t="s">
        <v>266</v>
      </c>
      <c r="E260" s="1" t="s">
        <v>6</v>
      </c>
      <c r="F260" s="4">
        <v>137.5</v>
      </c>
      <c r="G260" s="3">
        <v>40.9</v>
      </c>
      <c r="H260" s="3" t="str">
        <f t="shared" ref="H260:H323" si="22">D260</f>
        <v>WT10.5X137.5</v>
      </c>
      <c r="I260" s="4">
        <v>12.1</v>
      </c>
      <c r="J260" s="5">
        <v>12.125</v>
      </c>
      <c r="K260" s="6" t="s">
        <v>5</v>
      </c>
      <c r="L260" s="6" t="s">
        <v>5</v>
      </c>
      <c r="M260" s="6" t="s">
        <v>5</v>
      </c>
      <c r="N260" s="4">
        <v>12.9</v>
      </c>
      <c r="O260" s="5">
        <v>12.875</v>
      </c>
      <c r="P260" s="6" t="s">
        <v>5</v>
      </c>
      <c r="Q260" s="6" t="s">
        <v>5</v>
      </c>
      <c r="R260" s="6" t="s">
        <v>5</v>
      </c>
      <c r="S260" s="7">
        <v>1.22</v>
      </c>
      <c r="T260" s="5">
        <v>1.25</v>
      </c>
      <c r="U260" s="8">
        <v>0.625</v>
      </c>
      <c r="V260" s="7">
        <v>2.19</v>
      </c>
      <c r="W260" s="8">
        <v>2.1875</v>
      </c>
      <c r="X260" s="7">
        <v>2.19</v>
      </c>
      <c r="Y260" s="6" t="s">
        <v>5</v>
      </c>
      <c r="Z260" s="6" t="s">
        <v>5</v>
      </c>
      <c r="AA260" s="7">
        <v>3.37</v>
      </c>
      <c r="AB260" s="8">
        <v>3.4375</v>
      </c>
      <c r="AC260" s="5" t="s">
        <v>5</v>
      </c>
      <c r="AD260" s="6" t="s">
        <v>5</v>
      </c>
      <c r="AE260" s="21">
        <v>2.9</v>
      </c>
      <c r="AF260" s="6" t="s">
        <v>5</v>
      </c>
      <c r="AG260" s="6" t="s">
        <v>5</v>
      </c>
      <c r="AH260" s="9">
        <v>1.59</v>
      </c>
      <c r="AI260" s="21">
        <v>2.95</v>
      </c>
      <c r="AJ260" s="6" t="s">
        <v>5</v>
      </c>
      <c r="AK260" s="6" t="s">
        <v>5</v>
      </c>
      <c r="AL260" s="6" t="s">
        <v>5</v>
      </c>
      <c r="AM260" s="6" t="s">
        <v>5</v>
      </c>
      <c r="AN260" s="7">
        <v>9.92</v>
      </c>
      <c r="AO260" s="36">
        <v>420</v>
      </c>
      <c r="AP260" s="36">
        <v>86.3</v>
      </c>
      <c r="AQ260" s="3">
        <v>45.7</v>
      </c>
      <c r="AR260" s="9">
        <v>3.2</v>
      </c>
      <c r="AS260" s="36">
        <v>394</v>
      </c>
      <c r="AT260" s="13">
        <v>95.1</v>
      </c>
      <c r="AU260" s="13">
        <v>61.1</v>
      </c>
      <c r="AV260" s="9">
        <v>3.1</v>
      </c>
      <c r="AW260" s="6" t="s">
        <v>5</v>
      </c>
      <c r="AX260" s="6" t="s">
        <v>5</v>
      </c>
      <c r="AY260" s="6" t="s">
        <v>5</v>
      </c>
      <c r="AZ260" s="13">
        <v>53.5</v>
      </c>
      <c r="BA260" s="14">
        <v>224</v>
      </c>
      <c r="BB260" s="6" t="s">
        <v>5</v>
      </c>
      <c r="BC260" s="6" t="s">
        <v>5</v>
      </c>
      <c r="BD260" s="6" t="s">
        <v>5</v>
      </c>
      <c r="BE260" s="6" t="s">
        <v>5</v>
      </c>
      <c r="BF260" s="6" t="s">
        <v>5</v>
      </c>
      <c r="BG260" s="6" t="s">
        <v>5</v>
      </c>
      <c r="BH260" s="6" t="s">
        <v>5</v>
      </c>
      <c r="BI260" s="9">
        <v>4.8099999999999996</v>
      </c>
      <c r="BJ260" s="35">
        <v>0.85899999999999999</v>
      </c>
      <c r="BK260" s="6" t="s">
        <v>5</v>
      </c>
      <c r="BL260" s="6" t="s">
        <v>5</v>
      </c>
      <c r="BM260" s="6" t="s">
        <v>5</v>
      </c>
      <c r="BN260" s="6" t="s">
        <v>5</v>
      </c>
      <c r="BO260" s="6" t="s">
        <v>5</v>
      </c>
      <c r="BP260" s="6" t="s">
        <v>5</v>
      </c>
      <c r="BQ260" s="6" t="s">
        <v>5</v>
      </c>
      <c r="BR260" s="6" t="s">
        <v>5</v>
      </c>
      <c r="BS260" s="6" t="s">
        <v>5</v>
      </c>
      <c r="BT260" s="6" t="s">
        <v>5</v>
      </c>
      <c r="BU260" s="6" t="s">
        <v>5</v>
      </c>
      <c r="BV260" s="6" t="s">
        <v>5</v>
      </c>
      <c r="BW260" s="6" t="s">
        <v>5</v>
      </c>
      <c r="BX260" s="6" t="s">
        <v>5</v>
      </c>
      <c r="BY260" s="6" t="s">
        <v>5</v>
      </c>
      <c r="BZ260" s="6" t="s">
        <v>5</v>
      </c>
      <c r="CA260" s="4">
        <v>36.1</v>
      </c>
      <c r="CB260" s="6" t="s">
        <v>5</v>
      </c>
      <c r="CC260" s="4">
        <v>49</v>
      </c>
      <c r="CD260" s="4">
        <v>37.1</v>
      </c>
      <c r="CE260" s="4">
        <v>50</v>
      </c>
      <c r="CF260" s="16" t="s">
        <v>5</v>
      </c>
      <c r="CG260" s="5">
        <v>5.5</v>
      </c>
      <c r="CH260" s="18" t="s">
        <v>5</v>
      </c>
      <c r="CV260" s="344" t="str">
        <f t="shared" ref="CV260:CV285" si="23">VLOOKUP(CW260,$G$140:$H$422,2,FALSE)</f>
        <v>WT3X12.5</v>
      </c>
      <c r="CW260" s="338">
        <v>3.67</v>
      </c>
      <c r="DH260" s="397" t="s">
        <v>1500</v>
      </c>
      <c r="DI260" s="400">
        <v>5.62</v>
      </c>
      <c r="DJ260" s="398">
        <v>10.199999999999999</v>
      </c>
      <c r="DK260" s="399">
        <v>0.25</v>
      </c>
      <c r="DL260" s="398">
        <v>35.4</v>
      </c>
      <c r="DM260" s="400">
        <v>5.09</v>
      </c>
      <c r="DN260" s="398">
        <v>21.6</v>
      </c>
      <c r="DO260" s="411">
        <v>18.8</v>
      </c>
      <c r="DP260" s="115"/>
      <c r="DQ260" s="428" t="s">
        <v>1494</v>
      </c>
      <c r="DR260" s="429">
        <v>30.4</v>
      </c>
      <c r="DS260" s="429">
        <v>110</v>
      </c>
      <c r="DT260" s="431"/>
      <c r="DU260" s="431"/>
      <c r="DV260" s="431"/>
      <c r="DW260" s="431"/>
      <c r="DX260" s="432"/>
      <c r="DZ260" s="447" t="s">
        <v>1488</v>
      </c>
      <c r="EA260" s="448">
        <v>33</v>
      </c>
      <c r="EB260" s="448">
        <v>9.7100000000000009</v>
      </c>
      <c r="EC260" s="448">
        <v>9.73</v>
      </c>
      <c r="ED260" s="448" t="s">
        <v>1827</v>
      </c>
      <c r="EE260" s="448">
        <v>0.28999999999999998</v>
      </c>
      <c r="EF260" s="449">
        <v>45062</v>
      </c>
      <c r="EG260" s="449">
        <v>45001</v>
      </c>
      <c r="EH260" s="448">
        <v>7.96</v>
      </c>
      <c r="EI260" s="448">
        <v>8</v>
      </c>
      <c r="EJ260" s="448">
        <v>0.435</v>
      </c>
      <c r="EK260" s="449">
        <v>45123</v>
      </c>
      <c r="EL260" s="448">
        <v>9.15</v>
      </c>
      <c r="EM260" s="448">
        <v>27.1</v>
      </c>
      <c r="EN260" s="448">
        <v>171</v>
      </c>
      <c r="EO260" s="448">
        <v>35</v>
      </c>
      <c r="EP260" s="448">
        <v>4.1900000000000004</v>
      </c>
      <c r="EQ260" s="448">
        <v>38.799999999999997</v>
      </c>
      <c r="ER260" s="448">
        <v>36.6</v>
      </c>
      <c r="ES260" s="448">
        <v>9.1999999999999993</v>
      </c>
      <c r="ET260" s="448">
        <v>1.94</v>
      </c>
      <c r="EU260" s="450">
        <v>14</v>
      </c>
    </row>
    <row r="261" spans="2:151">
      <c r="B261" s="78" t="s">
        <v>145</v>
      </c>
      <c r="C261" s="79" t="s">
        <v>267</v>
      </c>
      <c r="D261" s="80" t="s">
        <v>267</v>
      </c>
      <c r="E261" s="1" t="s">
        <v>4</v>
      </c>
      <c r="F261" s="2">
        <v>124</v>
      </c>
      <c r="G261" s="3">
        <v>37</v>
      </c>
      <c r="H261" s="3" t="str">
        <f t="shared" si="22"/>
        <v>WT10.5X124</v>
      </c>
      <c r="I261" s="4">
        <v>11.9</v>
      </c>
      <c r="J261" s="5">
        <v>11.875</v>
      </c>
      <c r="K261" s="6" t="s">
        <v>5</v>
      </c>
      <c r="L261" s="6" t="s">
        <v>5</v>
      </c>
      <c r="M261" s="6" t="s">
        <v>5</v>
      </c>
      <c r="N261" s="4">
        <v>12.8</v>
      </c>
      <c r="O261" s="5">
        <v>12.75</v>
      </c>
      <c r="P261" s="6" t="s">
        <v>5</v>
      </c>
      <c r="Q261" s="6" t="s">
        <v>5</v>
      </c>
      <c r="R261" s="6" t="s">
        <v>5</v>
      </c>
      <c r="S261" s="7">
        <v>1.1000000000000001</v>
      </c>
      <c r="T261" s="5">
        <v>1.125</v>
      </c>
      <c r="U261" s="8">
        <v>0.5625</v>
      </c>
      <c r="V261" s="7">
        <v>1.99</v>
      </c>
      <c r="W261" s="8">
        <v>2</v>
      </c>
      <c r="X261" s="7">
        <v>1.99</v>
      </c>
      <c r="Y261" s="6" t="s">
        <v>5</v>
      </c>
      <c r="Z261" s="6" t="s">
        <v>5</v>
      </c>
      <c r="AA261" s="7">
        <v>3.17</v>
      </c>
      <c r="AB261" s="8">
        <v>3.25</v>
      </c>
      <c r="AC261" s="5" t="s">
        <v>5</v>
      </c>
      <c r="AD261" s="6" t="s">
        <v>5</v>
      </c>
      <c r="AE261" s="21">
        <v>2.77</v>
      </c>
      <c r="AF261" s="6" t="s">
        <v>5</v>
      </c>
      <c r="AG261" s="6" t="s">
        <v>5</v>
      </c>
      <c r="AH261" s="9">
        <v>1.45</v>
      </c>
      <c r="AI261" s="21">
        <v>3.22</v>
      </c>
      <c r="AJ261" s="6" t="s">
        <v>5</v>
      </c>
      <c r="AK261" s="6" t="s">
        <v>5</v>
      </c>
      <c r="AL261" s="6" t="s">
        <v>5</v>
      </c>
      <c r="AM261" s="6" t="s">
        <v>5</v>
      </c>
      <c r="AN261" s="4">
        <v>10.8</v>
      </c>
      <c r="AO261" s="36">
        <v>368</v>
      </c>
      <c r="AP261" s="36">
        <v>75.7</v>
      </c>
      <c r="AQ261" s="3">
        <v>40.299999999999997</v>
      </c>
      <c r="AR261" s="9">
        <v>3.15</v>
      </c>
      <c r="AS261" s="36">
        <v>349</v>
      </c>
      <c r="AT261" s="13">
        <v>84.8</v>
      </c>
      <c r="AU261" s="13">
        <v>54.5</v>
      </c>
      <c r="AV261" s="9">
        <v>3.07</v>
      </c>
      <c r="AW261" s="6" t="s">
        <v>5</v>
      </c>
      <c r="AX261" s="6" t="s">
        <v>5</v>
      </c>
      <c r="AY261" s="6" t="s">
        <v>5</v>
      </c>
      <c r="AZ261" s="13">
        <v>40.200000000000003</v>
      </c>
      <c r="BA261" s="14">
        <v>163</v>
      </c>
      <c r="BB261" s="6" t="s">
        <v>5</v>
      </c>
      <c r="BC261" s="6" t="s">
        <v>5</v>
      </c>
      <c r="BD261" s="6" t="s">
        <v>5</v>
      </c>
      <c r="BE261" s="6" t="s">
        <v>5</v>
      </c>
      <c r="BF261" s="6" t="s">
        <v>5</v>
      </c>
      <c r="BG261" s="6" t="s">
        <v>5</v>
      </c>
      <c r="BH261" s="6" t="s">
        <v>5</v>
      </c>
      <c r="BI261" s="9">
        <v>4.75</v>
      </c>
      <c r="BJ261" s="35">
        <v>0.86</v>
      </c>
      <c r="BK261" s="6" t="s">
        <v>5</v>
      </c>
      <c r="BL261" s="6" t="s">
        <v>5</v>
      </c>
      <c r="BM261" s="6" t="s">
        <v>5</v>
      </c>
      <c r="BN261" s="6" t="s">
        <v>5</v>
      </c>
      <c r="BO261" s="6" t="s">
        <v>5</v>
      </c>
      <c r="BP261" s="6" t="s">
        <v>5</v>
      </c>
      <c r="BQ261" s="6" t="s">
        <v>5</v>
      </c>
      <c r="BR261" s="6" t="s">
        <v>5</v>
      </c>
      <c r="BS261" s="6" t="s">
        <v>5</v>
      </c>
      <c r="BT261" s="6" t="s">
        <v>5</v>
      </c>
      <c r="BU261" s="6" t="s">
        <v>5</v>
      </c>
      <c r="BV261" s="6" t="s">
        <v>5</v>
      </c>
      <c r="BW261" s="6" t="s">
        <v>5</v>
      </c>
      <c r="BX261" s="6" t="s">
        <v>5</v>
      </c>
      <c r="BY261" s="6" t="s">
        <v>5</v>
      </c>
      <c r="BZ261" s="6" t="s">
        <v>5</v>
      </c>
      <c r="CA261" s="4">
        <v>35.6</v>
      </c>
      <c r="CB261" s="6" t="s">
        <v>5</v>
      </c>
      <c r="CC261" s="4">
        <v>48.4</v>
      </c>
      <c r="CD261" s="4">
        <v>36.6</v>
      </c>
      <c r="CE261" s="4">
        <v>49.4</v>
      </c>
      <c r="CF261" s="16" t="s">
        <v>5</v>
      </c>
      <c r="CG261" s="5">
        <v>5.5</v>
      </c>
      <c r="CH261" s="18" t="s">
        <v>5</v>
      </c>
      <c r="CV261" s="344" t="str">
        <f t="shared" si="23"/>
        <v>WT4X12</v>
      </c>
      <c r="CW261" s="338">
        <v>3.54</v>
      </c>
      <c r="DH261" s="397" t="s">
        <v>1503</v>
      </c>
      <c r="DI261" s="400">
        <v>4.99</v>
      </c>
      <c r="DJ261" s="398">
        <v>10.1</v>
      </c>
      <c r="DK261" s="399">
        <v>0.24</v>
      </c>
      <c r="DL261" s="398">
        <v>36.9</v>
      </c>
      <c r="DM261" s="400">
        <v>6.08</v>
      </c>
      <c r="DN261" s="398">
        <v>18.7</v>
      </c>
      <c r="DO261" s="411">
        <v>16.2</v>
      </c>
      <c r="DP261" s="115"/>
      <c r="DQ261" s="428" t="s">
        <v>1495</v>
      </c>
      <c r="DR261" s="429">
        <v>29.3</v>
      </c>
      <c r="DS261" s="429">
        <v>156</v>
      </c>
      <c r="DT261" s="431"/>
      <c r="DU261" s="431"/>
      <c r="DV261" s="431"/>
      <c r="DW261" s="431"/>
      <c r="DX261" s="432"/>
      <c r="DZ261" s="447" t="s">
        <v>1490</v>
      </c>
      <c r="EA261" s="448">
        <v>30</v>
      </c>
      <c r="EB261" s="448">
        <v>8.84</v>
      </c>
      <c r="EC261" s="448">
        <v>10.5</v>
      </c>
      <c r="ED261" s="448" t="s">
        <v>1721</v>
      </c>
      <c r="EE261" s="448">
        <v>0.3</v>
      </c>
      <c r="EF261" s="449">
        <v>45062</v>
      </c>
      <c r="EG261" s="449">
        <v>45001</v>
      </c>
      <c r="EH261" s="448">
        <v>5.81</v>
      </c>
      <c r="EI261" s="448" t="s">
        <v>1828</v>
      </c>
      <c r="EJ261" s="448">
        <v>0.51</v>
      </c>
      <c r="EK261" s="449">
        <v>44928</v>
      </c>
      <c r="EL261" s="448">
        <v>5.7</v>
      </c>
      <c r="EM261" s="448">
        <v>29.5</v>
      </c>
      <c r="EN261" s="448">
        <v>170</v>
      </c>
      <c r="EO261" s="448">
        <v>32.4</v>
      </c>
      <c r="EP261" s="448">
        <v>4.38</v>
      </c>
      <c r="EQ261" s="448">
        <v>36.6</v>
      </c>
      <c r="ER261" s="448">
        <v>16.7</v>
      </c>
      <c r="ES261" s="448">
        <v>5.75</v>
      </c>
      <c r="ET261" s="448">
        <v>1.37</v>
      </c>
      <c r="EU261" s="450">
        <v>8.84</v>
      </c>
    </row>
    <row r="262" spans="2:151">
      <c r="B262" s="78" t="s">
        <v>145</v>
      </c>
      <c r="C262" s="79" t="s">
        <v>268</v>
      </c>
      <c r="D262" s="80" t="s">
        <v>268</v>
      </c>
      <c r="E262" s="1" t="s">
        <v>4</v>
      </c>
      <c r="F262" s="4">
        <v>111.5</v>
      </c>
      <c r="G262" s="3">
        <v>33.200000000000003</v>
      </c>
      <c r="H262" s="3" t="str">
        <f t="shared" si="22"/>
        <v>WT10.5X111.5</v>
      </c>
      <c r="I262" s="4">
        <v>11.7</v>
      </c>
      <c r="J262" s="5">
        <v>11.75</v>
      </c>
      <c r="K262" s="6" t="s">
        <v>5</v>
      </c>
      <c r="L262" s="6" t="s">
        <v>5</v>
      </c>
      <c r="M262" s="6" t="s">
        <v>5</v>
      </c>
      <c r="N262" s="4">
        <v>12.7</v>
      </c>
      <c r="O262" s="5">
        <v>12.75</v>
      </c>
      <c r="P262" s="6" t="s">
        <v>5</v>
      </c>
      <c r="Q262" s="6" t="s">
        <v>5</v>
      </c>
      <c r="R262" s="6" t="s">
        <v>5</v>
      </c>
      <c r="S262" s="7">
        <v>1</v>
      </c>
      <c r="T262" s="5">
        <v>1</v>
      </c>
      <c r="U262" s="8">
        <v>0.5</v>
      </c>
      <c r="V262" s="7">
        <v>1.79</v>
      </c>
      <c r="W262" s="8">
        <v>1.8125</v>
      </c>
      <c r="X262" s="7">
        <v>1.79</v>
      </c>
      <c r="Y262" s="6" t="s">
        <v>5</v>
      </c>
      <c r="Z262" s="6" t="s">
        <v>5</v>
      </c>
      <c r="AA262" s="7">
        <v>2.9699999999999998</v>
      </c>
      <c r="AB262" s="8">
        <v>3.0625</v>
      </c>
      <c r="AC262" s="5" t="s">
        <v>5</v>
      </c>
      <c r="AD262" s="6" t="s">
        <v>5</v>
      </c>
      <c r="AE262" s="21">
        <v>2.66</v>
      </c>
      <c r="AF262" s="6" t="s">
        <v>5</v>
      </c>
      <c r="AG262" s="6" t="s">
        <v>5</v>
      </c>
      <c r="AH262" s="9">
        <v>1.31</v>
      </c>
      <c r="AI262" s="21">
        <v>3.55</v>
      </c>
      <c r="AJ262" s="6" t="s">
        <v>5</v>
      </c>
      <c r="AK262" s="6" t="s">
        <v>5</v>
      </c>
      <c r="AL262" s="6" t="s">
        <v>5</v>
      </c>
      <c r="AM262" s="6" t="s">
        <v>5</v>
      </c>
      <c r="AN262" s="4">
        <v>11.7</v>
      </c>
      <c r="AO262" s="36">
        <v>324</v>
      </c>
      <c r="AP262" s="36">
        <v>66.7</v>
      </c>
      <c r="AQ262" s="3">
        <v>35.9</v>
      </c>
      <c r="AR262" s="9">
        <v>3.12</v>
      </c>
      <c r="AS262" s="36">
        <v>307</v>
      </c>
      <c r="AT262" s="13">
        <v>74.900000000000006</v>
      </c>
      <c r="AU262" s="13">
        <v>48.3</v>
      </c>
      <c r="AV262" s="9">
        <v>3.04</v>
      </c>
      <c r="AW262" s="6" t="s">
        <v>5</v>
      </c>
      <c r="AX262" s="6" t="s">
        <v>5</v>
      </c>
      <c r="AY262" s="6" t="s">
        <v>5</v>
      </c>
      <c r="AZ262" s="13">
        <v>29.6</v>
      </c>
      <c r="BA262" s="14">
        <v>117</v>
      </c>
      <c r="BB262" s="6" t="s">
        <v>5</v>
      </c>
      <c r="BC262" s="6" t="s">
        <v>5</v>
      </c>
      <c r="BD262" s="6" t="s">
        <v>5</v>
      </c>
      <c r="BE262" s="6" t="s">
        <v>5</v>
      </c>
      <c r="BF262" s="6" t="s">
        <v>5</v>
      </c>
      <c r="BG262" s="6" t="s">
        <v>5</v>
      </c>
      <c r="BH262" s="6" t="s">
        <v>5</v>
      </c>
      <c r="BI262" s="9">
        <v>4.7</v>
      </c>
      <c r="BJ262" s="35">
        <v>0.85899999999999999</v>
      </c>
      <c r="BK262" s="6" t="s">
        <v>5</v>
      </c>
      <c r="BL262" s="6" t="s">
        <v>5</v>
      </c>
      <c r="BM262" s="6" t="s">
        <v>5</v>
      </c>
      <c r="BN262" s="6" t="s">
        <v>5</v>
      </c>
      <c r="BO262" s="6" t="s">
        <v>5</v>
      </c>
      <c r="BP262" s="6" t="s">
        <v>5</v>
      </c>
      <c r="BQ262" s="6" t="s">
        <v>5</v>
      </c>
      <c r="BR262" s="6" t="s">
        <v>5</v>
      </c>
      <c r="BS262" s="6" t="s">
        <v>5</v>
      </c>
      <c r="BT262" s="6" t="s">
        <v>5</v>
      </c>
      <c r="BU262" s="6" t="s">
        <v>5</v>
      </c>
      <c r="BV262" s="6" t="s">
        <v>5</v>
      </c>
      <c r="BW262" s="6" t="s">
        <v>5</v>
      </c>
      <c r="BX262" s="6" t="s">
        <v>5</v>
      </c>
      <c r="BY262" s="6" t="s">
        <v>5</v>
      </c>
      <c r="BZ262" s="6" t="s">
        <v>5</v>
      </c>
      <c r="CA262" s="4">
        <v>35.1</v>
      </c>
      <c r="CB262" s="6" t="s">
        <v>5</v>
      </c>
      <c r="CC262" s="4">
        <v>47.8</v>
      </c>
      <c r="CD262" s="4">
        <v>36.1</v>
      </c>
      <c r="CE262" s="6">
        <v>48.8</v>
      </c>
      <c r="CF262" s="16" t="s">
        <v>5</v>
      </c>
      <c r="CG262" s="5">
        <v>5.5</v>
      </c>
      <c r="CH262" s="18" t="s">
        <v>5</v>
      </c>
      <c r="CV262" s="344" t="str">
        <f t="shared" si="23"/>
        <v>WT7X11</v>
      </c>
      <c r="CW262" s="338">
        <v>3.25</v>
      </c>
      <c r="DH262" s="397" t="s">
        <v>1506</v>
      </c>
      <c r="DI262" s="400">
        <v>4.41</v>
      </c>
      <c r="DJ262" s="400">
        <v>9.99</v>
      </c>
      <c r="DK262" s="399">
        <v>0.23</v>
      </c>
      <c r="DL262" s="398">
        <v>38.5</v>
      </c>
      <c r="DM262" s="400">
        <v>7.41</v>
      </c>
      <c r="DN262" s="398">
        <v>16</v>
      </c>
      <c r="DO262" s="411">
        <v>13.8</v>
      </c>
      <c r="DP262" s="115"/>
      <c r="DQ262" s="428" t="s">
        <v>1496</v>
      </c>
      <c r="DR262" s="429">
        <v>27.2</v>
      </c>
      <c r="DS262" s="429">
        <v>98</v>
      </c>
      <c r="DT262" s="431"/>
      <c r="DU262" s="431"/>
      <c r="DV262" s="431"/>
      <c r="DW262" s="431"/>
      <c r="DX262" s="432"/>
      <c r="DZ262" s="447" t="s">
        <v>1493</v>
      </c>
      <c r="EA262" s="448">
        <v>26</v>
      </c>
      <c r="EB262" s="448">
        <v>7.61</v>
      </c>
      <c r="EC262" s="448">
        <v>10.3</v>
      </c>
      <c r="ED262" s="448" t="s">
        <v>1727</v>
      </c>
      <c r="EE262" s="448">
        <v>0.26</v>
      </c>
      <c r="EF262" s="449">
        <v>44930</v>
      </c>
      <c r="EG262" s="449">
        <v>44934</v>
      </c>
      <c r="EH262" s="448">
        <v>5.77</v>
      </c>
      <c r="EI262" s="448" t="s">
        <v>1828</v>
      </c>
      <c r="EJ262" s="448">
        <v>0.44</v>
      </c>
      <c r="EK262" s="449">
        <v>45123</v>
      </c>
      <c r="EL262" s="448">
        <v>6.56</v>
      </c>
      <c r="EM262" s="448">
        <v>34</v>
      </c>
      <c r="EN262" s="448">
        <v>144</v>
      </c>
      <c r="EO262" s="448">
        <v>27.9</v>
      </c>
      <c r="EP262" s="448">
        <v>4.3499999999999996</v>
      </c>
      <c r="EQ262" s="448">
        <v>31.3</v>
      </c>
      <c r="ER262" s="448">
        <v>14.1</v>
      </c>
      <c r="ES262" s="448">
        <v>4.8899999999999997</v>
      </c>
      <c r="ET262" s="448">
        <v>1.36</v>
      </c>
      <c r="EU262" s="450">
        <v>7.5</v>
      </c>
    </row>
    <row r="263" spans="2:151">
      <c r="B263" s="78" t="s">
        <v>145</v>
      </c>
      <c r="C263" s="79" t="s">
        <v>269</v>
      </c>
      <c r="D263" s="80" t="s">
        <v>269</v>
      </c>
      <c r="E263" s="1" t="s">
        <v>4</v>
      </c>
      <c r="F263" s="6">
        <v>100.5</v>
      </c>
      <c r="G263" s="4">
        <v>29.6</v>
      </c>
      <c r="H263" s="3" t="str">
        <f t="shared" si="22"/>
        <v>WT10.5X100.5</v>
      </c>
      <c r="I263" s="4">
        <v>11.5</v>
      </c>
      <c r="J263" s="5">
        <v>11.5</v>
      </c>
      <c r="K263" s="6" t="s">
        <v>5</v>
      </c>
      <c r="L263" s="6" t="s">
        <v>5</v>
      </c>
      <c r="M263" s="6" t="s">
        <v>5</v>
      </c>
      <c r="N263" s="4">
        <v>12.6</v>
      </c>
      <c r="O263" s="5">
        <v>12.625</v>
      </c>
      <c r="P263" s="5" t="s">
        <v>5</v>
      </c>
      <c r="Q263" s="6" t="s">
        <v>5</v>
      </c>
      <c r="R263" s="6" t="s">
        <v>5</v>
      </c>
      <c r="S263" s="22">
        <v>0.91</v>
      </c>
      <c r="T263" s="5">
        <v>0.9375</v>
      </c>
      <c r="U263" s="8">
        <v>0.5</v>
      </c>
      <c r="V263" s="7">
        <v>1.63</v>
      </c>
      <c r="W263" s="8">
        <v>1.625</v>
      </c>
      <c r="X263" s="7">
        <v>1.63</v>
      </c>
      <c r="Y263" s="6" t="s">
        <v>5</v>
      </c>
      <c r="Z263" s="6" t="s">
        <v>5</v>
      </c>
      <c r="AA263" s="33">
        <v>2.13</v>
      </c>
      <c r="AB263" s="34">
        <v>2.875</v>
      </c>
      <c r="AC263" s="8" t="s">
        <v>5</v>
      </c>
      <c r="AD263" s="6" t="s">
        <v>5</v>
      </c>
      <c r="AE263" s="33">
        <v>2.57</v>
      </c>
      <c r="AF263" s="6" t="s">
        <v>5</v>
      </c>
      <c r="AG263" s="6" t="s">
        <v>5</v>
      </c>
      <c r="AH263" s="33">
        <v>1.18</v>
      </c>
      <c r="AI263" s="33">
        <v>3.86</v>
      </c>
      <c r="AJ263" s="6" t="s">
        <v>5</v>
      </c>
      <c r="AK263" s="6" t="s">
        <v>5</v>
      </c>
      <c r="AL263" s="6" t="s">
        <v>5</v>
      </c>
      <c r="AM263" s="6" t="s">
        <v>5</v>
      </c>
      <c r="AN263" s="4">
        <v>12.6</v>
      </c>
      <c r="AO263" s="38">
        <v>285</v>
      </c>
      <c r="AP263" s="39">
        <v>58.6</v>
      </c>
      <c r="AQ263" s="4">
        <v>31.9</v>
      </c>
      <c r="AR263" s="7">
        <v>3.1</v>
      </c>
      <c r="AS263" s="38">
        <v>271</v>
      </c>
      <c r="AT263" s="39">
        <v>66.5</v>
      </c>
      <c r="AU263" s="4">
        <v>43.1</v>
      </c>
      <c r="AV263" s="7">
        <v>3.02</v>
      </c>
      <c r="AW263" s="6" t="s">
        <v>5</v>
      </c>
      <c r="AX263" s="6" t="s">
        <v>5</v>
      </c>
      <c r="AY263" s="6" t="s">
        <v>5</v>
      </c>
      <c r="AZ263" s="39">
        <v>20.399999999999999</v>
      </c>
      <c r="BA263" s="4">
        <v>85.4</v>
      </c>
      <c r="BB263" s="6" t="s">
        <v>5</v>
      </c>
      <c r="BC263" s="6" t="s">
        <v>5</v>
      </c>
      <c r="BD263" s="6" t="s">
        <v>5</v>
      </c>
      <c r="BE263" s="6" t="s">
        <v>5</v>
      </c>
      <c r="BF263" s="6" t="s">
        <v>5</v>
      </c>
      <c r="BG263" s="6" t="s">
        <v>5</v>
      </c>
      <c r="BH263" s="6" t="s">
        <v>5</v>
      </c>
      <c r="BI263" s="7">
        <v>4.67</v>
      </c>
      <c r="BJ263" s="22">
        <v>0.85899999999999999</v>
      </c>
      <c r="BK263" s="6" t="s">
        <v>5</v>
      </c>
      <c r="BL263" s="2" t="s">
        <v>5</v>
      </c>
      <c r="BM263" s="2" t="s">
        <v>5</v>
      </c>
      <c r="BN263" s="2" t="s">
        <v>5</v>
      </c>
      <c r="BO263" s="2" t="s">
        <v>5</v>
      </c>
      <c r="BP263" s="2" t="s">
        <v>5</v>
      </c>
      <c r="BQ263" s="2" t="s">
        <v>5</v>
      </c>
      <c r="BR263" s="2" t="s">
        <v>5</v>
      </c>
      <c r="BS263" s="2" t="s">
        <v>5</v>
      </c>
      <c r="BT263" s="2" t="s">
        <v>5</v>
      </c>
      <c r="BU263" s="2" t="s">
        <v>5</v>
      </c>
      <c r="BV263" s="2" t="s">
        <v>5</v>
      </c>
      <c r="BW263" s="2" t="s">
        <v>5</v>
      </c>
      <c r="BX263" s="2" t="s">
        <v>5</v>
      </c>
      <c r="BY263" s="25" t="s">
        <v>5</v>
      </c>
      <c r="BZ263" s="25" t="s">
        <v>5</v>
      </c>
      <c r="CA263" s="4">
        <v>34.6</v>
      </c>
      <c r="CB263" s="6" t="s">
        <v>5</v>
      </c>
      <c r="CC263" s="4">
        <v>47.2</v>
      </c>
      <c r="CD263" s="4">
        <v>35.6</v>
      </c>
      <c r="CE263" s="6">
        <v>48.2</v>
      </c>
      <c r="CF263" s="16" t="s">
        <v>5</v>
      </c>
      <c r="CG263" s="5">
        <v>5.5</v>
      </c>
      <c r="CH263" s="18" t="s">
        <v>5</v>
      </c>
      <c r="CV263" s="344" t="str">
        <f t="shared" si="23"/>
        <v>WT6X11</v>
      </c>
      <c r="CW263" s="338">
        <v>3.24</v>
      </c>
      <c r="DH263" s="397" t="s">
        <v>1508</v>
      </c>
      <c r="DI263" s="400">
        <v>3.54</v>
      </c>
      <c r="DJ263" s="400">
        <v>9.8699999999999992</v>
      </c>
      <c r="DK263" s="399">
        <v>0.19</v>
      </c>
      <c r="DL263" s="398">
        <v>46.6</v>
      </c>
      <c r="DM263" s="400">
        <v>9.43</v>
      </c>
      <c r="DN263" s="398">
        <v>12.6</v>
      </c>
      <c r="DO263" s="411">
        <v>10.9</v>
      </c>
      <c r="DP263" s="115"/>
      <c r="DQ263" s="428" t="s">
        <v>1497</v>
      </c>
      <c r="DR263" s="429">
        <v>26</v>
      </c>
      <c r="DS263" s="429">
        <v>118</v>
      </c>
      <c r="DT263" s="431"/>
      <c r="DU263" s="431"/>
      <c r="DV263" s="431"/>
      <c r="DW263" s="431"/>
      <c r="DX263" s="432"/>
      <c r="DZ263" s="447" t="s">
        <v>1497</v>
      </c>
      <c r="EA263" s="448">
        <v>22</v>
      </c>
      <c r="EB263" s="448">
        <v>6.49</v>
      </c>
      <c r="EC263" s="448">
        <v>10.199999999999999</v>
      </c>
      <c r="ED263" s="448" t="s">
        <v>1743</v>
      </c>
      <c r="EE263" s="448">
        <v>0.24</v>
      </c>
      <c r="EF263" s="449">
        <v>44930</v>
      </c>
      <c r="EG263" s="449">
        <v>44934</v>
      </c>
      <c r="EH263" s="448">
        <v>5.75</v>
      </c>
      <c r="EI263" s="448" t="s">
        <v>1828</v>
      </c>
      <c r="EJ263" s="448">
        <v>0.36</v>
      </c>
      <c r="EK263" s="449">
        <v>44993</v>
      </c>
      <c r="EL263" s="448">
        <v>7.99</v>
      </c>
      <c r="EM263" s="448">
        <v>36.9</v>
      </c>
      <c r="EN263" s="448">
        <v>118</v>
      </c>
      <c r="EO263" s="448">
        <v>23.2</v>
      </c>
      <c r="EP263" s="448">
        <v>4.2699999999999996</v>
      </c>
      <c r="EQ263" s="448">
        <v>26</v>
      </c>
      <c r="ER263" s="448">
        <v>11.4</v>
      </c>
      <c r="ES263" s="448">
        <v>3.97</v>
      </c>
      <c r="ET263" s="448">
        <v>1.33</v>
      </c>
      <c r="EU263" s="450">
        <v>6.1</v>
      </c>
    </row>
    <row r="264" spans="2:151">
      <c r="B264" s="78" t="s">
        <v>145</v>
      </c>
      <c r="C264" s="79" t="s">
        <v>270</v>
      </c>
      <c r="D264" s="80" t="s">
        <v>270</v>
      </c>
      <c r="E264" s="1" t="s">
        <v>4</v>
      </c>
      <c r="F264" s="4">
        <v>91</v>
      </c>
      <c r="G264" s="4">
        <v>26.8</v>
      </c>
      <c r="H264" s="3" t="str">
        <f t="shared" si="22"/>
        <v>WT10.5X91</v>
      </c>
      <c r="I264" s="4">
        <v>11.4</v>
      </c>
      <c r="J264" s="5">
        <v>11.375</v>
      </c>
      <c r="K264" s="6" t="s">
        <v>5</v>
      </c>
      <c r="L264" s="6" t="s">
        <v>5</v>
      </c>
      <c r="M264" s="6" t="s">
        <v>5</v>
      </c>
      <c r="N264" s="4">
        <v>12.5</v>
      </c>
      <c r="O264" s="5">
        <v>12.5</v>
      </c>
      <c r="P264" s="5" t="s">
        <v>5</v>
      </c>
      <c r="Q264" s="6" t="s">
        <v>5</v>
      </c>
      <c r="R264" s="6" t="s">
        <v>5</v>
      </c>
      <c r="S264" s="22">
        <v>0.83</v>
      </c>
      <c r="T264" s="5">
        <v>0.8125</v>
      </c>
      <c r="U264" s="8">
        <v>0.4375</v>
      </c>
      <c r="V264" s="7">
        <v>1.48</v>
      </c>
      <c r="W264" s="8">
        <v>1.5</v>
      </c>
      <c r="X264" s="7">
        <v>1.48</v>
      </c>
      <c r="Y264" s="6" t="s">
        <v>5</v>
      </c>
      <c r="Z264" s="6" t="s">
        <v>5</v>
      </c>
      <c r="AA264" s="33">
        <v>1.98</v>
      </c>
      <c r="AB264" s="34">
        <v>2.75</v>
      </c>
      <c r="AC264" s="8" t="s">
        <v>5</v>
      </c>
      <c r="AD264" s="6" t="s">
        <v>5</v>
      </c>
      <c r="AE264" s="33">
        <v>2.48</v>
      </c>
      <c r="AF264" s="6" t="s">
        <v>5</v>
      </c>
      <c r="AG264" s="6" t="s">
        <v>5</v>
      </c>
      <c r="AH264" s="33">
        <v>1.07</v>
      </c>
      <c r="AI264" s="33">
        <v>4.22</v>
      </c>
      <c r="AJ264" s="6" t="s">
        <v>5</v>
      </c>
      <c r="AK264" s="6" t="s">
        <v>5</v>
      </c>
      <c r="AL264" s="6" t="s">
        <v>5</v>
      </c>
      <c r="AM264" s="6" t="s">
        <v>5</v>
      </c>
      <c r="AN264" s="4">
        <v>13.7</v>
      </c>
      <c r="AO264" s="38">
        <v>253</v>
      </c>
      <c r="AP264" s="39">
        <v>52.1</v>
      </c>
      <c r="AQ264" s="4">
        <v>28.5</v>
      </c>
      <c r="AR264" s="7">
        <v>3.07</v>
      </c>
      <c r="AS264" s="38">
        <v>241</v>
      </c>
      <c r="AT264" s="39">
        <v>59.5</v>
      </c>
      <c r="AU264" s="4">
        <v>38.6</v>
      </c>
      <c r="AV264" s="7">
        <v>3</v>
      </c>
      <c r="AW264" s="6" t="s">
        <v>5</v>
      </c>
      <c r="AX264" s="6" t="s">
        <v>5</v>
      </c>
      <c r="AY264" s="6" t="s">
        <v>5</v>
      </c>
      <c r="AZ264" s="39">
        <v>15.3</v>
      </c>
      <c r="BA264" s="4">
        <v>63</v>
      </c>
      <c r="BB264" s="6" t="s">
        <v>5</v>
      </c>
      <c r="BC264" s="6" t="s">
        <v>5</v>
      </c>
      <c r="BD264" s="6" t="s">
        <v>5</v>
      </c>
      <c r="BE264" s="6" t="s">
        <v>5</v>
      </c>
      <c r="BF264" s="6" t="s">
        <v>5</v>
      </c>
      <c r="BG264" s="6" t="s">
        <v>5</v>
      </c>
      <c r="BH264" s="6" t="s">
        <v>5</v>
      </c>
      <c r="BI264" s="7">
        <v>4.6399999999999997</v>
      </c>
      <c r="BJ264" s="22">
        <v>0.85899999999999999</v>
      </c>
      <c r="BK264" s="6" t="s">
        <v>5</v>
      </c>
      <c r="BL264" s="2" t="s">
        <v>5</v>
      </c>
      <c r="BM264" s="2" t="s">
        <v>5</v>
      </c>
      <c r="BN264" s="2" t="s">
        <v>5</v>
      </c>
      <c r="BO264" s="2" t="s">
        <v>5</v>
      </c>
      <c r="BP264" s="2" t="s">
        <v>5</v>
      </c>
      <c r="BQ264" s="2" t="s">
        <v>5</v>
      </c>
      <c r="BR264" s="2" t="s">
        <v>5</v>
      </c>
      <c r="BS264" s="2" t="s">
        <v>5</v>
      </c>
      <c r="BT264" s="2" t="s">
        <v>5</v>
      </c>
      <c r="BU264" s="2" t="s">
        <v>5</v>
      </c>
      <c r="BV264" s="2" t="s">
        <v>5</v>
      </c>
      <c r="BW264" s="2" t="s">
        <v>5</v>
      </c>
      <c r="BX264" s="2" t="s">
        <v>5</v>
      </c>
      <c r="BY264" s="25" t="s">
        <v>5</v>
      </c>
      <c r="BZ264" s="25" t="s">
        <v>5</v>
      </c>
      <c r="CA264" s="4">
        <v>34.299999999999997</v>
      </c>
      <c r="CB264" s="6" t="s">
        <v>5</v>
      </c>
      <c r="CC264" s="4">
        <v>46.8</v>
      </c>
      <c r="CD264" s="4">
        <v>35.299999999999997</v>
      </c>
      <c r="CE264" s="6">
        <v>47.8</v>
      </c>
      <c r="CF264" s="16" t="s">
        <v>5</v>
      </c>
      <c r="CG264" s="5">
        <v>5.5</v>
      </c>
      <c r="CH264" s="18" t="s">
        <v>5</v>
      </c>
      <c r="CV264" s="344" t="str">
        <f t="shared" si="23"/>
        <v>WT6X11</v>
      </c>
      <c r="CW264" s="338">
        <v>3.24</v>
      </c>
      <c r="DH264" s="397" t="s">
        <v>1467</v>
      </c>
      <c r="DI264" s="398">
        <v>19.7</v>
      </c>
      <c r="DJ264" s="400">
        <v>9</v>
      </c>
      <c r="DK264" s="399">
        <v>0.56999999999999995</v>
      </c>
      <c r="DL264" s="398">
        <v>11.1</v>
      </c>
      <c r="DM264" s="400">
        <v>4.43</v>
      </c>
      <c r="DN264" s="398">
        <v>70.099999999999994</v>
      </c>
      <c r="DO264" s="411">
        <v>60.4</v>
      </c>
      <c r="DP264" s="115"/>
      <c r="DQ264" s="428" t="s">
        <v>1498</v>
      </c>
      <c r="DR264" s="429">
        <v>24.7</v>
      </c>
      <c r="DS264" s="429">
        <v>130</v>
      </c>
      <c r="DT264" s="431"/>
      <c r="DU264" s="431"/>
      <c r="DV264" s="431"/>
      <c r="DW264" s="431"/>
      <c r="DX264" s="432"/>
      <c r="DZ264" s="447" t="s">
        <v>1500</v>
      </c>
      <c r="EA264" s="448">
        <v>19</v>
      </c>
      <c r="EB264" s="448">
        <v>5.62</v>
      </c>
      <c r="EC264" s="448">
        <v>10.199999999999999</v>
      </c>
      <c r="ED264" s="448" t="s">
        <v>1801</v>
      </c>
      <c r="EE264" s="448">
        <v>0.25</v>
      </c>
      <c r="EF264" s="449">
        <v>44930</v>
      </c>
      <c r="EG264" s="449">
        <v>44934</v>
      </c>
      <c r="EH264" s="448">
        <v>4.0199999999999996</v>
      </c>
      <c r="EI264" s="448">
        <v>4</v>
      </c>
      <c r="EJ264" s="448">
        <v>0.39500000000000002</v>
      </c>
      <c r="EK264" s="449">
        <v>44993</v>
      </c>
      <c r="EL264" s="448">
        <v>5.09</v>
      </c>
      <c r="EM264" s="448">
        <v>35.4</v>
      </c>
      <c r="EN264" s="448">
        <v>96.3</v>
      </c>
      <c r="EO264" s="448">
        <v>18.8</v>
      </c>
      <c r="EP264" s="448">
        <v>4.1399999999999997</v>
      </c>
      <c r="EQ264" s="448">
        <v>21.6</v>
      </c>
      <c r="ER264" s="448">
        <v>4.29</v>
      </c>
      <c r="ES264" s="448">
        <v>2.14</v>
      </c>
      <c r="ET264" s="448">
        <v>0.874</v>
      </c>
      <c r="EU264" s="450">
        <v>3.35</v>
      </c>
    </row>
    <row r="265" spans="2:151">
      <c r="B265" s="78" t="s">
        <v>145</v>
      </c>
      <c r="C265" s="79" t="s">
        <v>271</v>
      </c>
      <c r="D265" s="80" t="s">
        <v>271</v>
      </c>
      <c r="E265" s="1" t="s">
        <v>4</v>
      </c>
      <c r="F265" s="4">
        <v>83</v>
      </c>
      <c r="G265" s="4">
        <v>24.4</v>
      </c>
      <c r="H265" s="3" t="str">
        <f t="shared" si="22"/>
        <v>WT10.5X83</v>
      </c>
      <c r="I265" s="4">
        <v>11.2</v>
      </c>
      <c r="J265" s="5">
        <v>11.25</v>
      </c>
      <c r="K265" s="6" t="s">
        <v>5</v>
      </c>
      <c r="L265" s="6" t="s">
        <v>5</v>
      </c>
      <c r="M265" s="6" t="s">
        <v>5</v>
      </c>
      <c r="N265" s="4">
        <v>12.4</v>
      </c>
      <c r="O265" s="5">
        <v>12.375</v>
      </c>
      <c r="P265" s="5" t="s">
        <v>5</v>
      </c>
      <c r="Q265" s="6" t="s">
        <v>5</v>
      </c>
      <c r="R265" s="6" t="s">
        <v>5</v>
      </c>
      <c r="S265" s="22">
        <v>0.75</v>
      </c>
      <c r="T265" s="5">
        <v>0.75</v>
      </c>
      <c r="U265" s="8">
        <v>0.375</v>
      </c>
      <c r="V265" s="7">
        <v>1.36</v>
      </c>
      <c r="W265" s="8">
        <v>1.375</v>
      </c>
      <c r="X265" s="7">
        <v>1.36</v>
      </c>
      <c r="Y265" s="6" t="s">
        <v>5</v>
      </c>
      <c r="Z265" s="6" t="s">
        <v>5</v>
      </c>
      <c r="AA265" s="33">
        <v>1.86</v>
      </c>
      <c r="AB265" s="34">
        <v>2.625</v>
      </c>
      <c r="AC265" s="8" t="s">
        <v>5</v>
      </c>
      <c r="AD265" s="6" t="s">
        <v>5</v>
      </c>
      <c r="AE265" s="33">
        <v>2.39</v>
      </c>
      <c r="AF265" s="6" t="s">
        <v>5</v>
      </c>
      <c r="AG265" s="6" t="s">
        <v>5</v>
      </c>
      <c r="AH265" s="40">
        <v>0.98299999999999998</v>
      </c>
      <c r="AI265" s="33">
        <v>4.57</v>
      </c>
      <c r="AJ265" s="6" t="s">
        <v>5</v>
      </c>
      <c r="AK265" s="6" t="s">
        <v>5</v>
      </c>
      <c r="AL265" s="6" t="s">
        <v>5</v>
      </c>
      <c r="AM265" s="6" t="s">
        <v>5</v>
      </c>
      <c r="AN265" s="4">
        <v>14.9</v>
      </c>
      <c r="AO265" s="38">
        <v>226</v>
      </c>
      <c r="AP265" s="39">
        <v>46.3</v>
      </c>
      <c r="AQ265" s="4">
        <v>25.5</v>
      </c>
      <c r="AR265" s="7">
        <v>3.04</v>
      </c>
      <c r="AS265" s="38">
        <v>217</v>
      </c>
      <c r="AT265" s="39">
        <v>53.9</v>
      </c>
      <c r="AU265" s="4">
        <v>35</v>
      </c>
      <c r="AV265" s="7">
        <v>2.99</v>
      </c>
      <c r="AW265" s="6" t="s">
        <v>5</v>
      </c>
      <c r="AX265" s="6" t="s">
        <v>5</v>
      </c>
      <c r="AY265" s="6" t="s">
        <v>5</v>
      </c>
      <c r="AZ265" s="39">
        <v>11.8</v>
      </c>
      <c r="BA265" s="4">
        <v>47.3</v>
      </c>
      <c r="BB265" s="6" t="s">
        <v>5</v>
      </c>
      <c r="BC265" s="6" t="s">
        <v>5</v>
      </c>
      <c r="BD265" s="6" t="s">
        <v>5</v>
      </c>
      <c r="BE265" s="6" t="s">
        <v>5</v>
      </c>
      <c r="BF265" s="6" t="s">
        <v>5</v>
      </c>
      <c r="BG265" s="6" t="s">
        <v>5</v>
      </c>
      <c r="BH265" s="6" t="s">
        <v>5</v>
      </c>
      <c r="BI265" s="7">
        <v>4.59</v>
      </c>
      <c r="BJ265" s="22">
        <v>0.86099999999999999</v>
      </c>
      <c r="BK265" s="6" t="s">
        <v>5</v>
      </c>
      <c r="BL265" s="2" t="s">
        <v>5</v>
      </c>
      <c r="BM265" s="2" t="s">
        <v>5</v>
      </c>
      <c r="BN265" s="2" t="s">
        <v>5</v>
      </c>
      <c r="BO265" s="2" t="s">
        <v>5</v>
      </c>
      <c r="BP265" s="2" t="s">
        <v>5</v>
      </c>
      <c r="BQ265" s="2" t="s">
        <v>5</v>
      </c>
      <c r="BR265" s="2" t="s">
        <v>5</v>
      </c>
      <c r="BS265" s="2" t="s">
        <v>5</v>
      </c>
      <c r="BT265" s="2" t="s">
        <v>5</v>
      </c>
      <c r="BU265" s="2" t="s">
        <v>5</v>
      </c>
      <c r="BV265" s="2" t="s">
        <v>5</v>
      </c>
      <c r="BW265" s="2" t="s">
        <v>5</v>
      </c>
      <c r="BX265" s="2" t="s">
        <v>5</v>
      </c>
      <c r="BY265" s="25" t="s">
        <v>5</v>
      </c>
      <c r="BZ265" s="25" t="s">
        <v>5</v>
      </c>
      <c r="CA265" s="4">
        <v>33.799999999999997</v>
      </c>
      <c r="CB265" s="6" t="s">
        <v>5</v>
      </c>
      <c r="CC265" s="4">
        <v>46.2</v>
      </c>
      <c r="CD265" s="4">
        <v>34.800000000000004</v>
      </c>
      <c r="CE265" s="6">
        <v>47.2</v>
      </c>
      <c r="CF265" s="16" t="s">
        <v>5</v>
      </c>
      <c r="CG265" s="5">
        <v>5.5</v>
      </c>
      <c r="CH265" s="18" t="s">
        <v>5</v>
      </c>
      <c r="CV265" s="344" t="str">
        <f t="shared" si="23"/>
        <v>WT4X10.5</v>
      </c>
      <c r="CW265" s="338">
        <v>3.08</v>
      </c>
      <c r="DH265" s="397" t="s">
        <v>1475</v>
      </c>
      <c r="DI265" s="398">
        <v>17.100000000000001</v>
      </c>
      <c r="DJ265" s="400">
        <v>8.75</v>
      </c>
      <c r="DK265" s="399">
        <v>0.51</v>
      </c>
      <c r="DL265" s="398">
        <v>12.4</v>
      </c>
      <c r="DM265" s="400">
        <v>5.07</v>
      </c>
      <c r="DN265" s="398">
        <v>59.8</v>
      </c>
      <c r="DO265" s="411">
        <v>52</v>
      </c>
      <c r="DP265" s="115"/>
      <c r="DQ265" s="428" t="s">
        <v>1499</v>
      </c>
      <c r="DR265" s="429">
        <v>23.1</v>
      </c>
      <c r="DS265" s="429">
        <v>82.7</v>
      </c>
      <c r="DT265" s="431"/>
      <c r="DU265" s="431"/>
      <c r="DV265" s="431"/>
      <c r="DW265" s="431"/>
      <c r="DX265" s="432"/>
      <c r="DZ265" s="447" t="s">
        <v>1503</v>
      </c>
      <c r="EA265" s="448">
        <v>17</v>
      </c>
      <c r="EB265" s="448">
        <v>4.99</v>
      </c>
      <c r="EC265" s="448">
        <v>10.1</v>
      </c>
      <c r="ED265" s="448" t="s">
        <v>1743</v>
      </c>
      <c r="EE265" s="448">
        <v>0.24</v>
      </c>
      <c r="EF265" s="449">
        <v>44930</v>
      </c>
      <c r="EG265" s="449">
        <v>44934</v>
      </c>
      <c r="EH265" s="448">
        <v>4.01</v>
      </c>
      <c r="EI265" s="448">
        <v>4</v>
      </c>
      <c r="EJ265" s="448">
        <v>0.33</v>
      </c>
      <c r="EK265" s="449">
        <v>45062</v>
      </c>
      <c r="EL265" s="448">
        <v>6.08</v>
      </c>
      <c r="EM265" s="448">
        <v>36.9</v>
      </c>
      <c r="EN265" s="448">
        <v>81.900000000000006</v>
      </c>
      <c r="EO265" s="448">
        <v>16.2</v>
      </c>
      <c r="EP265" s="448">
        <v>4.05</v>
      </c>
      <c r="EQ265" s="448">
        <v>18.7</v>
      </c>
      <c r="ER265" s="448">
        <v>3.56</v>
      </c>
      <c r="ES265" s="448">
        <v>1.78</v>
      </c>
      <c r="ET265" s="448">
        <v>0.84499999999999997</v>
      </c>
      <c r="EU265" s="450">
        <v>2.8</v>
      </c>
    </row>
    <row r="266" spans="2:151">
      <c r="B266" s="78" t="s">
        <v>145</v>
      </c>
      <c r="C266" s="79" t="s">
        <v>272</v>
      </c>
      <c r="D266" s="80" t="s">
        <v>272</v>
      </c>
      <c r="E266" s="1" t="s">
        <v>4</v>
      </c>
      <c r="F266" s="4">
        <v>73.5</v>
      </c>
      <c r="G266" s="4">
        <v>21.6</v>
      </c>
      <c r="H266" s="3" t="str">
        <f t="shared" si="22"/>
        <v>WT10.5X73.5</v>
      </c>
      <c r="I266" s="4">
        <v>11</v>
      </c>
      <c r="J266" s="5">
        <v>11</v>
      </c>
      <c r="K266" s="6" t="s">
        <v>5</v>
      </c>
      <c r="L266" s="6" t="s">
        <v>5</v>
      </c>
      <c r="M266" s="6" t="s">
        <v>5</v>
      </c>
      <c r="N266" s="4">
        <v>12.5</v>
      </c>
      <c r="O266" s="5">
        <v>12.5</v>
      </c>
      <c r="P266" s="5" t="s">
        <v>5</v>
      </c>
      <c r="Q266" s="6" t="s">
        <v>5</v>
      </c>
      <c r="R266" s="6" t="s">
        <v>5</v>
      </c>
      <c r="S266" s="22">
        <v>0.72</v>
      </c>
      <c r="T266" s="5">
        <v>0.75</v>
      </c>
      <c r="U266" s="8">
        <v>0.375</v>
      </c>
      <c r="V266" s="7">
        <v>1.1499999999999999</v>
      </c>
      <c r="W266" s="8">
        <v>1.125</v>
      </c>
      <c r="X266" s="7">
        <v>1.1499999999999999</v>
      </c>
      <c r="Y266" s="6" t="s">
        <v>5</v>
      </c>
      <c r="Z266" s="6" t="s">
        <v>5</v>
      </c>
      <c r="AA266" s="33">
        <v>1.65</v>
      </c>
      <c r="AB266" s="34">
        <v>2.4375</v>
      </c>
      <c r="AC266" s="8" t="s">
        <v>5</v>
      </c>
      <c r="AD266" s="6" t="s">
        <v>5</v>
      </c>
      <c r="AE266" s="33">
        <v>2.39</v>
      </c>
      <c r="AF266" s="6" t="s">
        <v>5</v>
      </c>
      <c r="AG266" s="6" t="s">
        <v>5</v>
      </c>
      <c r="AH266" s="40">
        <v>0.86399999999999999</v>
      </c>
      <c r="AI266" s="33">
        <v>5.44</v>
      </c>
      <c r="AJ266" s="6" t="s">
        <v>5</v>
      </c>
      <c r="AK266" s="6" t="s">
        <v>5</v>
      </c>
      <c r="AL266" s="6" t="s">
        <v>5</v>
      </c>
      <c r="AM266" s="6" t="s">
        <v>5</v>
      </c>
      <c r="AN266" s="4">
        <v>15.3</v>
      </c>
      <c r="AO266" s="38">
        <v>204</v>
      </c>
      <c r="AP266" s="39">
        <v>42.4</v>
      </c>
      <c r="AQ266" s="4">
        <v>23.7</v>
      </c>
      <c r="AR266" s="7">
        <v>3.08</v>
      </c>
      <c r="AS266" s="38">
        <v>188</v>
      </c>
      <c r="AT266" s="39">
        <v>46.3</v>
      </c>
      <c r="AU266" s="4">
        <v>30</v>
      </c>
      <c r="AV266" s="7">
        <v>2.95</v>
      </c>
      <c r="AW266" s="6" t="s">
        <v>5</v>
      </c>
      <c r="AX266" s="6" t="s">
        <v>5</v>
      </c>
      <c r="AY266" s="6" t="s">
        <v>5</v>
      </c>
      <c r="AZ266" s="33">
        <v>7.69</v>
      </c>
      <c r="BA266" s="4">
        <v>32.5</v>
      </c>
      <c r="BB266" s="6" t="s">
        <v>5</v>
      </c>
      <c r="BC266" s="6" t="s">
        <v>5</v>
      </c>
      <c r="BD266" s="6" t="s">
        <v>5</v>
      </c>
      <c r="BE266" s="6" t="s">
        <v>5</v>
      </c>
      <c r="BF266" s="6" t="s">
        <v>5</v>
      </c>
      <c r="BG266" s="6" t="s">
        <v>5</v>
      </c>
      <c r="BH266" s="6" t="s">
        <v>5</v>
      </c>
      <c r="BI266" s="7">
        <v>4.63</v>
      </c>
      <c r="BJ266" s="22">
        <v>0.84599999999999997</v>
      </c>
      <c r="BK266" s="6" t="s">
        <v>5</v>
      </c>
      <c r="BL266" s="2" t="s">
        <v>5</v>
      </c>
      <c r="BM266" s="2" t="s">
        <v>5</v>
      </c>
      <c r="BN266" s="2" t="s">
        <v>5</v>
      </c>
      <c r="BO266" s="2" t="s">
        <v>5</v>
      </c>
      <c r="BP266" s="2" t="s">
        <v>5</v>
      </c>
      <c r="BQ266" s="2" t="s">
        <v>5</v>
      </c>
      <c r="BR266" s="2" t="s">
        <v>5</v>
      </c>
      <c r="BS266" s="2" t="s">
        <v>5</v>
      </c>
      <c r="BT266" s="2" t="s">
        <v>5</v>
      </c>
      <c r="BU266" s="2" t="s">
        <v>5</v>
      </c>
      <c r="BV266" s="2" t="s">
        <v>5</v>
      </c>
      <c r="BW266" s="2" t="s">
        <v>5</v>
      </c>
      <c r="BX266" s="2" t="s">
        <v>5</v>
      </c>
      <c r="BY266" s="25" t="s">
        <v>5</v>
      </c>
      <c r="BZ266" s="25" t="s">
        <v>5</v>
      </c>
      <c r="CA266" s="4">
        <v>33.5</v>
      </c>
      <c r="CB266" s="6" t="s">
        <v>5</v>
      </c>
      <c r="CC266" s="4">
        <v>46</v>
      </c>
      <c r="CD266" s="4">
        <v>34.5</v>
      </c>
      <c r="CE266" s="4">
        <v>47</v>
      </c>
      <c r="CF266" s="16" t="s">
        <v>5</v>
      </c>
      <c r="CG266" s="5">
        <v>5.5</v>
      </c>
      <c r="CH266" s="18" t="s">
        <v>5</v>
      </c>
      <c r="CV266" s="344" t="str">
        <f t="shared" si="23"/>
        <v>WT3X10</v>
      </c>
      <c r="CW266" s="338">
        <v>2.94</v>
      </c>
      <c r="DH266" s="397" t="s">
        <v>1481</v>
      </c>
      <c r="DI266" s="398">
        <v>14.1</v>
      </c>
      <c r="DJ266" s="400">
        <v>8.5</v>
      </c>
      <c r="DK266" s="399">
        <v>0.4</v>
      </c>
      <c r="DL266" s="398">
        <v>15.9</v>
      </c>
      <c r="DM266" s="400">
        <v>5.92</v>
      </c>
      <c r="DN266" s="398">
        <v>49</v>
      </c>
      <c r="DO266" s="411">
        <v>43.2</v>
      </c>
      <c r="DP266" s="115"/>
      <c r="DQ266" s="428" t="s">
        <v>1500</v>
      </c>
      <c r="DR266" s="429">
        <v>21.6</v>
      </c>
      <c r="DS266" s="429">
        <v>96.3</v>
      </c>
      <c r="DT266" s="431"/>
      <c r="DU266" s="431"/>
      <c r="DV266" s="431"/>
      <c r="DW266" s="431"/>
      <c r="DX266" s="432"/>
      <c r="DZ266" s="447" t="s">
        <v>1506</v>
      </c>
      <c r="EA266" s="448">
        <v>15</v>
      </c>
      <c r="EB266" s="448">
        <v>4.41</v>
      </c>
      <c r="EC266" s="448">
        <v>9.99</v>
      </c>
      <c r="ED266" s="448">
        <v>10</v>
      </c>
      <c r="EE266" s="448">
        <v>0.23</v>
      </c>
      <c r="EF266" s="449">
        <v>44930</v>
      </c>
      <c r="EG266" s="449">
        <v>44934</v>
      </c>
      <c r="EH266" s="448">
        <v>4</v>
      </c>
      <c r="EI266" s="448">
        <v>4</v>
      </c>
      <c r="EJ266" s="448">
        <v>0.27</v>
      </c>
      <c r="EK266" s="449">
        <v>44930</v>
      </c>
      <c r="EL266" s="448">
        <v>7.41</v>
      </c>
      <c r="EM266" s="448">
        <v>38.5</v>
      </c>
      <c r="EN266" s="448">
        <v>68.900000000000006</v>
      </c>
      <c r="EO266" s="448">
        <v>13.8</v>
      </c>
      <c r="EP266" s="448">
        <v>3.95</v>
      </c>
      <c r="EQ266" s="448">
        <v>16</v>
      </c>
      <c r="ER266" s="448">
        <v>2.89</v>
      </c>
      <c r="ES266" s="448">
        <v>1.45</v>
      </c>
      <c r="ET266" s="448">
        <v>0.81</v>
      </c>
      <c r="EU266" s="450">
        <v>2.2999999999999998</v>
      </c>
    </row>
    <row r="267" spans="2:151">
      <c r="B267" s="78" t="s">
        <v>145</v>
      </c>
      <c r="C267" s="79" t="s">
        <v>273</v>
      </c>
      <c r="D267" s="80" t="s">
        <v>273</v>
      </c>
      <c r="E267" s="1" t="s">
        <v>4</v>
      </c>
      <c r="F267" s="4">
        <v>66</v>
      </c>
      <c r="G267" s="4">
        <v>19.399999999999999</v>
      </c>
      <c r="H267" s="3" t="str">
        <f t="shared" si="22"/>
        <v>WT10.5X66</v>
      </c>
      <c r="I267" s="4">
        <v>10.9</v>
      </c>
      <c r="J267" s="5">
        <v>10.875</v>
      </c>
      <c r="K267" s="6" t="s">
        <v>5</v>
      </c>
      <c r="L267" s="6" t="s">
        <v>5</v>
      </c>
      <c r="M267" s="6" t="s">
        <v>5</v>
      </c>
      <c r="N267" s="4">
        <v>12.4</v>
      </c>
      <c r="O267" s="5">
        <v>12.5</v>
      </c>
      <c r="P267" s="5" t="s">
        <v>5</v>
      </c>
      <c r="Q267" s="6" t="s">
        <v>5</v>
      </c>
      <c r="R267" s="6" t="s">
        <v>5</v>
      </c>
      <c r="S267" s="22">
        <v>0.65</v>
      </c>
      <c r="T267" s="5">
        <v>0.625</v>
      </c>
      <c r="U267" s="8">
        <v>0.3125</v>
      </c>
      <c r="V267" s="7">
        <v>1.04</v>
      </c>
      <c r="W267" s="8">
        <v>1.0625</v>
      </c>
      <c r="X267" s="7">
        <v>1.04</v>
      </c>
      <c r="Y267" s="6" t="s">
        <v>5</v>
      </c>
      <c r="Z267" s="6" t="s">
        <v>5</v>
      </c>
      <c r="AA267" s="33">
        <v>1.54</v>
      </c>
      <c r="AB267" s="34">
        <v>2.25</v>
      </c>
      <c r="AC267" s="8" t="s">
        <v>5</v>
      </c>
      <c r="AD267" s="6" t="s">
        <v>5</v>
      </c>
      <c r="AE267" s="33">
        <v>2.33</v>
      </c>
      <c r="AF267" s="6" t="s">
        <v>5</v>
      </c>
      <c r="AG267" s="6" t="s">
        <v>5</v>
      </c>
      <c r="AH267" s="40">
        <v>0.78</v>
      </c>
      <c r="AI267" s="33">
        <v>6.01</v>
      </c>
      <c r="AJ267" s="6" t="s">
        <v>5</v>
      </c>
      <c r="AK267" s="6" t="s">
        <v>5</v>
      </c>
      <c r="AL267" s="6" t="s">
        <v>5</v>
      </c>
      <c r="AM267" s="6" t="s">
        <v>5</v>
      </c>
      <c r="AN267" s="4">
        <v>16.8</v>
      </c>
      <c r="AO267" s="38">
        <v>181</v>
      </c>
      <c r="AP267" s="39">
        <v>37.6</v>
      </c>
      <c r="AQ267" s="4">
        <v>21.1</v>
      </c>
      <c r="AR267" s="7">
        <v>3.06</v>
      </c>
      <c r="AS267" s="38">
        <v>166</v>
      </c>
      <c r="AT267" s="39">
        <v>41.1</v>
      </c>
      <c r="AU267" s="4">
        <v>26.7</v>
      </c>
      <c r="AV267" s="7">
        <v>2.93</v>
      </c>
      <c r="AW267" s="6" t="s">
        <v>5</v>
      </c>
      <c r="AX267" s="6" t="s">
        <v>5</v>
      </c>
      <c r="AY267" s="6" t="s">
        <v>5</v>
      </c>
      <c r="AZ267" s="33">
        <v>5.62</v>
      </c>
      <c r="BA267" s="4">
        <v>23.4</v>
      </c>
      <c r="BB267" s="6" t="s">
        <v>5</v>
      </c>
      <c r="BC267" s="6" t="s">
        <v>5</v>
      </c>
      <c r="BD267" s="6" t="s">
        <v>5</v>
      </c>
      <c r="BE267" s="6" t="s">
        <v>5</v>
      </c>
      <c r="BF267" s="6" t="s">
        <v>5</v>
      </c>
      <c r="BG267" s="6" t="s">
        <v>5</v>
      </c>
      <c r="BH267" s="6" t="s">
        <v>5</v>
      </c>
      <c r="BI267" s="7">
        <v>4.5999999999999996</v>
      </c>
      <c r="BJ267" s="22">
        <v>0.84499999999999997</v>
      </c>
      <c r="BK267" s="6" t="s">
        <v>5</v>
      </c>
      <c r="BL267" s="2" t="s">
        <v>5</v>
      </c>
      <c r="BM267" s="2" t="s">
        <v>5</v>
      </c>
      <c r="BN267" s="2" t="s">
        <v>5</v>
      </c>
      <c r="BO267" s="2" t="s">
        <v>5</v>
      </c>
      <c r="BP267" s="2" t="s">
        <v>5</v>
      </c>
      <c r="BQ267" s="2" t="s">
        <v>5</v>
      </c>
      <c r="BR267" s="2" t="s">
        <v>5</v>
      </c>
      <c r="BS267" s="2" t="s">
        <v>5</v>
      </c>
      <c r="BT267" s="2" t="s">
        <v>5</v>
      </c>
      <c r="BU267" s="2" t="s">
        <v>5</v>
      </c>
      <c r="BV267" s="2" t="s">
        <v>5</v>
      </c>
      <c r="BW267" s="2" t="s">
        <v>5</v>
      </c>
      <c r="BX267" s="2" t="s">
        <v>5</v>
      </c>
      <c r="BY267" s="25" t="s">
        <v>5</v>
      </c>
      <c r="BZ267" s="25" t="s">
        <v>5</v>
      </c>
      <c r="CA267" s="4">
        <v>33.200000000000003</v>
      </c>
      <c r="CB267" s="6" t="s">
        <v>5</v>
      </c>
      <c r="CC267" s="4">
        <v>45.6</v>
      </c>
      <c r="CD267" s="4">
        <v>34.200000000000003</v>
      </c>
      <c r="CE267" s="6">
        <v>46.6</v>
      </c>
      <c r="CF267" s="16" t="s">
        <v>5</v>
      </c>
      <c r="CG267" s="5">
        <v>5.5</v>
      </c>
      <c r="CH267" s="18" t="s">
        <v>5</v>
      </c>
      <c r="CV267" s="344" t="str">
        <f t="shared" si="23"/>
        <v>WT5X9.5</v>
      </c>
      <c r="CW267" s="338">
        <v>2.81</v>
      </c>
      <c r="DH267" s="397" t="s">
        <v>1487</v>
      </c>
      <c r="DI267" s="398">
        <v>11.7</v>
      </c>
      <c r="DJ267" s="400">
        <v>8.25</v>
      </c>
      <c r="DK267" s="399">
        <v>0.36</v>
      </c>
      <c r="DL267" s="398">
        <v>17.600000000000001</v>
      </c>
      <c r="DM267" s="400">
        <v>7.21</v>
      </c>
      <c r="DN267" s="398">
        <v>39.799999999999997</v>
      </c>
      <c r="DO267" s="411">
        <v>35.5</v>
      </c>
      <c r="DP267" s="115"/>
      <c r="DQ267" s="428" t="s">
        <v>1501</v>
      </c>
      <c r="DR267" s="429">
        <v>20.399999999999999</v>
      </c>
      <c r="DS267" s="429">
        <v>75.3</v>
      </c>
      <c r="DT267" s="431"/>
      <c r="DU267" s="431"/>
      <c r="DV267" s="431"/>
      <c r="DW267" s="431"/>
      <c r="DX267" s="432"/>
      <c r="DZ267" s="447" t="s">
        <v>1508</v>
      </c>
      <c r="EA267" s="448">
        <v>12</v>
      </c>
      <c r="EB267" s="448">
        <v>3.54</v>
      </c>
      <c r="EC267" s="448">
        <v>9.8699999999999992</v>
      </c>
      <c r="ED267" s="448" t="s">
        <v>1826</v>
      </c>
      <c r="EE267" s="448">
        <v>0.19</v>
      </c>
      <c r="EF267" s="449">
        <v>45001</v>
      </c>
      <c r="EG267" s="449">
        <v>44934</v>
      </c>
      <c r="EH267" s="448">
        <v>3.96</v>
      </c>
      <c r="EI267" s="448">
        <v>4</v>
      </c>
      <c r="EJ267" s="448">
        <v>0.21</v>
      </c>
      <c r="EK267" s="449">
        <v>45001</v>
      </c>
      <c r="EL267" s="448">
        <v>9.43</v>
      </c>
      <c r="EM267" s="448">
        <v>46.6</v>
      </c>
      <c r="EN267" s="448">
        <v>53.8</v>
      </c>
      <c r="EO267" s="448">
        <v>10.9</v>
      </c>
      <c r="EP267" s="448">
        <v>3.9</v>
      </c>
      <c r="EQ267" s="448">
        <v>12.6</v>
      </c>
      <c r="ER267" s="448">
        <v>2.1800000000000002</v>
      </c>
      <c r="ES267" s="448">
        <v>1.1000000000000001</v>
      </c>
      <c r="ET267" s="448">
        <v>0.78500000000000003</v>
      </c>
      <c r="EU267" s="450">
        <v>1.74</v>
      </c>
    </row>
    <row r="268" spans="2:151">
      <c r="B268" s="78" t="s">
        <v>145</v>
      </c>
      <c r="C268" s="79" t="s">
        <v>274</v>
      </c>
      <c r="D268" s="80" t="s">
        <v>274</v>
      </c>
      <c r="E268" s="1" t="s">
        <v>4</v>
      </c>
      <c r="F268" s="4">
        <v>61</v>
      </c>
      <c r="G268" s="4">
        <v>17.899999999999999</v>
      </c>
      <c r="H268" s="3" t="str">
        <f t="shared" si="22"/>
        <v>WT10.5X61</v>
      </c>
      <c r="I268" s="4">
        <v>10.8</v>
      </c>
      <c r="J268" s="5">
        <v>10.875</v>
      </c>
      <c r="K268" s="6" t="s">
        <v>5</v>
      </c>
      <c r="L268" s="6" t="s">
        <v>5</v>
      </c>
      <c r="M268" s="6" t="s">
        <v>5</v>
      </c>
      <c r="N268" s="4">
        <v>12.4</v>
      </c>
      <c r="O268" s="5">
        <v>12.375</v>
      </c>
      <c r="P268" s="5" t="s">
        <v>5</v>
      </c>
      <c r="Q268" s="6" t="s">
        <v>5</v>
      </c>
      <c r="R268" s="6" t="s">
        <v>5</v>
      </c>
      <c r="S268" s="22">
        <v>0.6</v>
      </c>
      <c r="T268" s="5">
        <v>0.625</v>
      </c>
      <c r="U268" s="8">
        <v>0.3125</v>
      </c>
      <c r="V268" s="22">
        <v>0.96</v>
      </c>
      <c r="W268" s="8">
        <v>0.9375</v>
      </c>
      <c r="X268" s="22">
        <v>0.96</v>
      </c>
      <c r="Y268" s="6" t="s">
        <v>5</v>
      </c>
      <c r="Z268" s="6" t="s">
        <v>5</v>
      </c>
      <c r="AA268" s="33">
        <v>1.46</v>
      </c>
      <c r="AB268" s="34">
        <v>2.25</v>
      </c>
      <c r="AC268" s="8" t="s">
        <v>5</v>
      </c>
      <c r="AD268" s="6" t="s">
        <v>5</v>
      </c>
      <c r="AE268" s="33">
        <v>2.2799999999999998</v>
      </c>
      <c r="AF268" s="6" t="s">
        <v>5</v>
      </c>
      <c r="AG268" s="6" t="s">
        <v>5</v>
      </c>
      <c r="AH268" s="40">
        <v>0.72399999999999998</v>
      </c>
      <c r="AI268" s="33">
        <v>6.45</v>
      </c>
      <c r="AJ268" s="6" t="s">
        <v>5</v>
      </c>
      <c r="AK268" s="6" t="s">
        <v>5</v>
      </c>
      <c r="AL268" s="6" t="s">
        <v>5</v>
      </c>
      <c r="AM268" s="6" t="s">
        <v>5</v>
      </c>
      <c r="AN268" s="4">
        <v>18</v>
      </c>
      <c r="AO268" s="38">
        <v>166</v>
      </c>
      <c r="AP268" s="39">
        <v>34.299999999999997</v>
      </c>
      <c r="AQ268" s="4">
        <v>19.3</v>
      </c>
      <c r="AR268" s="7">
        <v>3.04</v>
      </c>
      <c r="AS268" s="38">
        <v>152</v>
      </c>
      <c r="AT268" s="39">
        <v>37.799999999999997</v>
      </c>
      <c r="AU268" s="4">
        <v>24.6</v>
      </c>
      <c r="AV268" s="7">
        <v>2.91</v>
      </c>
      <c r="AW268" s="6" t="s">
        <v>5</v>
      </c>
      <c r="AX268" s="6" t="s">
        <v>5</v>
      </c>
      <c r="AY268" s="6" t="s">
        <v>5</v>
      </c>
      <c r="AZ268" s="33">
        <v>4.47</v>
      </c>
      <c r="BA268" s="4">
        <v>18.399999999999999</v>
      </c>
      <c r="BB268" s="6" t="s">
        <v>5</v>
      </c>
      <c r="BC268" s="6" t="s">
        <v>5</v>
      </c>
      <c r="BD268" s="6" t="s">
        <v>5</v>
      </c>
      <c r="BE268" s="6" t="s">
        <v>5</v>
      </c>
      <c r="BF268" s="6" t="s">
        <v>5</v>
      </c>
      <c r="BG268" s="6" t="s">
        <v>5</v>
      </c>
      <c r="BH268" s="6" t="s">
        <v>5</v>
      </c>
      <c r="BI268" s="7">
        <v>4.58</v>
      </c>
      <c r="BJ268" s="22">
        <v>0.84599999999999997</v>
      </c>
      <c r="BK268" s="6" t="s">
        <v>5</v>
      </c>
      <c r="BL268" s="2" t="s">
        <v>5</v>
      </c>
      <c r="BM268" s="2" t="s">
        <v>5</v>
      </c>
      <c r="BN268" s="2" t="s">
        <v>5</v>
      </c>
      <c r="BO268" s="2" t="s">
        <v>5</v>
      </c>
      <c r="BP268" s="2" t="s">
        <v>5</v>
      </c>
      <c r="BQ268" s="2" t="s">
        <v>5</v>
      </c>
      <c r="BR268" s="2" t="s">
        <v>5</v>
      </c>
      <c r="BS268" s="2" t="s">
        <v>5</v>
      </c>
      <c r="BT268" s="2" t="s">
        <v>5</v>
      </c>
      <c r="BU268" s="2" t="s">
        <v>5</v>
      </c>
      <c r="BV268" s="2" t="s">
        <v>5</v>
      </c>
      <c r="BW268" s="2" t="s">
        <v>5</v>
      </c>
      <c r="BX268" s="2" t="s">
        <v>5</v>
      </c>
      <c r="BY268" s="25" t="s">
        <v>5</v>
      </c>
      <c r="BZ268" s="25" t="s">
        <v>5</v>
      </c>
      <c r="CA268" s="4">
        <v>33</v>
      </c>
      <c r="CB268" s="6" t="s">
        <v>5</v>
      </c>
      <c r="CC268" s="4">
        <v>45.4</v>
      </c>
      <c r="CD268" s="4">
        <v>34.000000000000007</v>
      </c>
      <c r="CE268" s="6">
        <v>46.400000000000006</v>
      </c>
      <c r="CF268" s="16" t="s">
        <v>5</v>
      </c>
      <c r="CG268" s="5">
        <v>5.5</v>
      </c>
      <c r="CH268" s="18" t="s">
        <v>5</v>
      </c>
      <c r="CV268" s="344" t="str">
        <f t="shared" si="23"/>
        <v>WT6X9.5</v>
      </c>
      <c r="CW268" s="338">
        <v>2.79</v>
      </c>
      <c r="DH268" s="397" t="s">
        <v>1491</v>
      </c>
      <c r="DI268" s="398">
        <v>10.3</v>
      </c>
      <c r="DJ268" s="400">
        <v>8.1199999999999992</v>
      </c>
      <c r="DK268" s="399">
        <v>0.31</v>
      </c>
      <c r="DL268" s="398">
        <v>20.5</v>
      </c>
      <c r="DM268" s="400">
        <v>8.1</v>
      </c>
      <c r="DN268" s="398">
        <v>34.700000000000003</v>
      </c>
      <c r="DO268" s="411">
        <v>31.2</v>
      </c>
      <c r="DP268" s="115"/>
      <c r="DQ268" s="428" t="s">
        <v>1502</v>
      </c>
      <c r="DR268" s="429">
        <v>20.100000000000001</v>
      </c>
      <c r="DS268" s="429">
        <v>103</v>
      </c>
      <c r="DT268" s="431"/>
      <c r="DU268" s="431"/>
      <c r="DV268" s="431"/>
      <c r="DW268" s="431"/>
      <c r="DX268" s="432"/>
      <c r="DZ268" s="447" t="s">
        <v>1467</v>
      </c>
      <c r="EA268" s="448">
        <v>67</v>
      </c>
      <c r="EB268" s="448">
        <v>19.7</v>
      </c>
      <c r="EC268" s="448">
        <v>9</v>
      </c>
      <c r="ED268" s="448">
        <v>9</v>
      </c>
      <c r="EE268" s="448">
        <v>0.56999999999999995</v>
      </c>
      <c r="EF268" s="449">
        <v>45185</v>
      </c>
      <c r="EG268" s="449">
        <v>45062</v>
      </c>
      <c r="EH268" s="448">
        <v>8.2799999999999994</v>
      </c>
      <c r="EI268" s="448" t="s">
        <v>1778</v>
      </c>
      <c r="EJ268" s="448">
        <v>0.93500000000000005</v>
      </c>
      <c r="EK268" s="448" t="s">
        <v>1628</v>
      </c>
      <c r="EL268" s="448">
        <v>4.43</v>
      </c>
      <c r="EM268" s="448">
        <v>11.1</v>
      </c>
      <c r="EN268" s="448">
        <v>272</v>
      </c>
      <c r="EO268" s="448">
        <v>60.4</v>
      </c>
      <c r="EP268" s="448">
        <v>3.72</v>
      </c>
      <c r="EQ268" s="448">
        <v>70.099999999999994</v>
      </c>
      <c r="ER268" s="448">
        <v>88.6</v>
      </c>
      <c r="ES268" s="448">
        <v>21.4</v>
      </c>
      <c r="ET268" s="448">
        <v>2.12</v>
      </c>
      <c r="EU268" s="450">
        <v>32.700000000000003</v>
      </c>
    </row>
    <row r="269" spans="2:151">
      <c r="B269" s="78" t="s">
        <v>145</v>
      </c>
      <c r="C269" s="79" t="s">
        <v>275</v>
      </c>
      <c r="D269" s="80" t="s">
        <v>275</v>
      </c>
      <c r="E269" s="1" t="s">
        <v>4</v>
      </c>
      <c r="F269" s="4">
        <v>55.5</v>
      </c>
      <c r="G269" s="4">
        <v>16.3</v>
      </c>
      <c r="H269" s="3" t="str">
        <f t="shared" si="22"/>
        <v>WT10.5X55.5</v>
      </c>
      <c r="I269" s="4">
        <v>10.8</v>
      </c>
      <c r="J269" s="5">
        <v>10.75</v>
      </c>
      <c r="K269" s="6" t="s">
        <v>5</v>
      </c>
      <c r="L269" s="6" t="s">
        <v>5</v>
      </c>
      <c r="M269" s="6" t="s">
        <v>5</v>
      </c>
      <c r="N269" s="4">
        <v>12.3</v>
      </c>
      <c r="O269" s="5">
        <v>12.375</v>
      </c>
      <c r="P269" s="5" t="s">
        <v>5</v>
      </c>
      <c r="Q269" s="6" t="s">
        <v>5</v>
      </c>
      <c r="R269" s="6" t="s">
        <v>5</v>
      </c>
      <c r="S269" s="22">
        <v>0.55000000000000004</v>
      </c>
      <c r="T269" s="5">
        <v>0.5625</v>
      </c>
      <c r="U269" s="8">
        <v>0.3125</v>
      </c>
      <c r="V269" s="22">
        <v>0.875</v>
      </c>
      <c r="W269" s="8">
        <v>0.875</v>
      </c>
      <c r="X269" s="22">
        <v>0.875</v>
      </c>
      <c r="Y269" s="6" t="s">
        <v>5</v>
      </c>
      <c r="Z269" s="6" t="s">
        <v>5</v>
      </c>
      <c r="AA269" s="33">
        <v>1.38</v>
      </c>
      <c r="AB269" s="34">
        <v>2.125</v>
      </c>
      <c r="AC269" s="8" t="s">
        <v>5</v>
      </c>
      <c r="AD269" s="6" t="s">
        <v>5</v>
      </c>
      <c r="AE269" s="33">
        <v>2.23</v>
      </c>
      <c r="AF269" s="6" t="s">
        <v>5</v>
      </c>
      <c r="AG269" s="6" t="s">
        <v>5</v>
      </c>
      <c r="AH269" s="40">
        <v>0.66200000000000003</v>
      </c>
      <c r="AI269" s="33">
        <v>7.05</v>
      </c>
      <c r="AJ269" s="6" t="s">
        <v>5</v>
      </c>
      <c r="AK269" s="6" t="s">
        <v>5</v>
      </c>
      <c r="AL269" s="6" t="s">
        <v>5</v>
      </c>
      <c r="AM269" s="6" t="s">
        <v>5</v>
      </c>
      <c r="AN269" s="4">
        <v>19.600000000000001</v>
      </c>
      <c r="AO269" s="38">
        <v>150</v>
      </c>
      <c r="AP269" s="39">
        <v>31</v>
      </c>
      <c r="AQ269" s="4">
        <v>17.5</v>
      </c>
      <c r="AR269" s="7">
        <v>3.03</v>
      </c>
      <c r="AS269" s="38">
        <v>137</v>
      </c>
      <c r="AT269" s="39">
        <v>34.1</v>
      </c>
      <c r="AU269" s="4">
        <v>22.2</v>
      </c>
      <c r="AV269" s="7">
        <v>2.9</v>
      </c>
      <c r="AW269" s="6" t="s">
        <v>5</v>
      </c>
      <c r="AX269" s="6" t="s">
        <v>5</v>
      </c>
      <c r="AY269" s="6" t="s">
        <v>5</v>
      </c>
      <c r="AZ269" s="33">
        <v>3.4</v>
      </c>
      <c r="BA269" s="4">
        <v>13.8</v>
      </c>
      <c r="BB269" s="6" t="s">
        <v>5</v>
      </c>
      <c r="BC269" s="6" t="s">
        <v>5</v>
      </c>
      <c r="BD269" s="6" t="s">
        <v>5</v>
      </c>
      <c r="BE269" s="6" t="s">
        <v>5</v>
      </c>
      <c r="BF269" s="6" t="s">
        <v>5</v>
      </c>
      <c r="BG269" s="6" t="s">
        <v>5</v>
      </c>
      <c r="BH269" s="6" t="s">
        <v>5</v>
      </c>
      <c r="BI269" s="7">
        <v>4.5599999999999996</v>
      </c>
      <c r="BJ269" s="22">
        <v>0.84499999999999997</v>
      </c>
      <c r="BK269" s="6" t="s">
        <v>5</v>
      </c>
      <c r="BL269" s="2" t="s">
        <v>5</v>
      </c>
      <c r="BM269" s="2" t="s">
        <v>5</v>
      </c>
      <c r="BN269" s="2" t="s">
        <v>5</v>
      </c>
      <c r="BO269" s="2" t="s">
        <v>5</v>
      </c>
      <c r="BP269" s="2" t="s">
        <v>5</v>
      </c>
      <c r="BQ269" s="2" t="s">
        <v>5</v>
      </c>
      <c r="BR269" s="2" t="s">
        <v>5</v>
      </c>
      <c r="BS269" s="2" t="s">
        <v>5</v>
      </c>
      <c r="BT269" s="2" t="s">
        <v>5</v>
      </c>
      <c r="BU269" s="2" t="s">
        <v>5</v>
      </c>
      <c r="BV269" s="2" t="s">
        <v>5</v>
      </c>
      <c r="BW269" s="2" t="s">
        <v>5</v>
      </c>
      <c r="BX269" s="2" t="s">
        <v>5</v>
      </c>
      <c r="BY269" s="25" t="s">
        <v>5</v>
      </c>
      <c r="BZ269" s="25" t="s">
        <v>5</v>
      </c>
      <c r="CA269" s="4">
        <v>32.9</v>
      </c>
      <c r="CB269" s="6" t="s">
        <v>5</v>
      </c>
      <c r="CC269" s="4">
        <v>45.2</v>
      </c>
      <c r="CD269" s="4">
        <v>33.900000000000006</v>
      </c>
      <c r="CE269" s="6">
        <v>46.2</v>
      </c>
      <c r="CF269" s="16" t="s">
        <v>5</v>
      </c>
      <c r="CG269" s="5">
        <v>5.5</v>
      </c>
      <c r="CH269" s="18" t="s">
        <v>5</v>
      </c>
      <c r="CV269" s="344" t="str">
        <f t="shared" si="23"/>
        <v>WT2.5X9.5</v>
      </c>
      <c r="CW269" s="338">
        <v>2.78</v>
      </c>
      <c r="DH269" s="397" t="s">
        <v>1494</v>
      </c>
      <c r="DI269" s="400">
        <v>9.1300000000000008</v>
      </c>
      <c r="DJ269" s="400">
        <v>8</v>
      </c>
      <c r="DK269" s="399">
        <v>0.28499999999999998</v>
      </c>
      <c r="DL269" s="398">
        <v>22.3</v>
      </c>
      <c r="DM269" s="400">
        <v>9.19</v>
      </c>
      <c r="DN269" s="398">
        <v>30.4</v>
      </c>
      <c r="DO269" s="411">
        <v>27.5</v>
      </c>
      <c r="DP269" s="115"/>
      <c r="DQ269" s="428" t="s">
        <v>1503</v>
      </c>
      <c r="DR269" s="429">
        <v>18.7</v>
      </c>
      <c r="DS269" s="429">
        <v>81.900000000000006</v>
      </c>
      <c r="DT269" s="431"/>
      <c r="DU269" s="431"/>
      <c r="DV269" s="431"/>
      <c r="DW269" s="431"/>
      <c r="DX269" s="432"/>
      <c r="DZ269" s="447" t="s">
        <v>1475</v>
      </c>
      <c r="EA269" s="448">
        <v>58</v>
      </c>
      <c r="EB269" s="448">
        <v>17.100000000000001</v>
      </c>
      <c r="EC269" s="448">
        <v>8.75</v>
      </c>
      <c r="ED269" s="448" t="s">
        <v>1829</v>
      </c>
      <c r="EE269" s="448">
        <v>0.51</v>
      </c>
      <c r="EF269" s="449">
        <v>44928</v>
      </c>
      <c r="EG269" s="449">
        <v>44930</v>
      </c>
      <c r="EH269" s="448">
        <v>8.2200000000000006</v>
      </c>
      <c r="EI269" s="448" t="s">
        <v>1778</v>
      </c>
      <c r="EJ269" s="448">
        <v>0.81</v>
      </c>
      <c r="EK269" s="448" t="s">
        <v>1620</v>
      </c>
      <c r="EL269" s="448">
        <v>5.07</v>
      </c>
      <c r="EM269" s="448">
        <v>12.4</v>
      </c>
      <c r="EN269" s="448">
        <v>228</v>
      </c>
      <c r="EO269" s="448">
        <v>52</v>
      </c>
      <c r="EP269" s="448">
        <v>3.65</v>
      </c>
      <c r="EQ269" s="448">
        <v>59.8</v>
      </c>
      <c r="ER269" s="448">
        <v>75.099999999999994</v>
      </c>
      <c r="ES269" s="448">
        <v>18.3</v>
      </c>
      <c r="ET269" s="448">
        <v>2.1</v>
      </c>
      <c r="EU269" s="450">
        <v>27.9</v>
      </c>
    </row>
    <row r="270" spans="2:151">
      <c r="B270" s="78" t="s">
        <v>145</v>
      </c>
      <c r="C270" s="79" t="s">
        <v>276</v>
      </c>
      <c r="D270" s="80" t="s">
        <v>276</v>
      </c>
      <c r="E270" s="1" t="s">
        <v>4</v>
      </c>
      <c r="F270" s="4">
        <v>50.5</v>
      </c>
      <c r="G270" s="4">
        <v>14.9</v>
      </c>
      <c r="H270" s="3" t="str">
        <f t="shared" si="22"/>
        <v>WT10.5X50.5</v>
      </c>
      <c r="I270" s="4">
        <v>10.7</v>
      </c>
      <c r="J270" s="5">
        <v>10.625</v>
      </c>
      <c r="K270" s="6" t="s">
        <v>5</v>
      </c>
      <c r="L270" s="6" t="s">
        <v>5</v>
      </c>
      <c r="M270" s="6" t="s">
        <v>5</v>
      </c>
      <c r="N270" s="4">
        <v>12.3</v>
      </c>
      <c r="O270" s="5">
        <v>12.25</v>
      </c>
      <c r="P270" s="5" t="s">
        <v>5</v>
      </c>
      <c r="Q270" s="6" t="s">
        <v>5</v>
      </c>
      <c r="R270" s="6" t="s">
        <v>5</v>
      </c>
      <c r="S270" s="22">
        <v>0.5</v>
      </c>
      <c r="T270" s="5">
        <v>0.5</v>
      </c>
      <c r="U270" s="8">
        <v>0.25</v>
      </c>
      <c r="V270" s="22">
        <v>0.8</v>
      </c>
      <c r="W270" s="8">
        <v>0.8125</v>
      </c>
      <c r="X270" s="22">
        <v>0.8</v>
      </c>
      <c r="Y270" s="6" t="s">
        <v>5</v>
      </c>
      <c r="Z270" s="6" t="s">
        <v>5</v>
      </c>
      <c r="AA270" s="33">
        <v>1.3</v>
      </c>
      <c r="AB270" s="34">
        <v>2.0625</v>
      </c>
      <c r="AC270" s="8" t="s">
        <v>5</v>
      </c>
      <c r="AD270" s="6" t="s">
        <v>5</v>
      </c>
      <c r="AE270" s="33">
        <v>2.1800000000000002</v>
      </c>
      <c r="AF270" s="6" t="s">
        <v>5</v>
      </c>
      <c r="AG270" s="6" t="s">
        <v>5</v>
      </c>
      <c r="AH270" s="40">
        <v>0.60499999999999998</v>
      </c>
      <c r="AI270" s="33">
        <v>7.68</v>
      </c>
      <c r="AJ270" s="6" t="s">
        <v>5</v>
      </c>
      <c r="AK270" s="6" t="s">
        <v>5</v>
      </c>
      <c r="AL270" s="6" t="s">
        <v>5</v>
      </c>
      <c r="AM270" s="6" t="s">
        <v>5</v>
      </c>
      <c r="AN270" s="4">
        <v>21.4</v>
      </c>
      <c r="AO270" s="38">
        <v>135</v>
      </c>
      <c r="AP270" s="39">
        <v>27.9</v>
      </c>
      <c r="AQ270" s="4">
        <v>15.8</v>
      </c>
      <c r="AR270" s="7">
        <v>3.01</v>
      </c>
      <c r="AS270" s="38">
        <v>124</v>
      </c>
      <c r="AT270" s="39">
        <v>30.8</v>
      </c>
      <c r="AU270" s="4">
        <v>20.2</v>
      </c>
      <c r="AV270" s="7">
        <v>2.89</v>
      </c>
      <c r="AW270" s="6" t="s">
        <v>5</v>
      </c>
      <c r="AX270" s="6" t="s">
        <v>5</v>
      </c>
      <c r="AY270" s="6" t="s">
        <v>5</v>
      </c>
      <c r="AZ270" s="33">
        <v>2.6</v>
      </c>
      <c r="BA270" s="4">
        <v>10.4</v>
      </c>
      <c r="BB270" s="6" t="s">
        <v>5</v>
      </c>
      <c r="BC270" s="6" t="s">
        <v>5</v>
      </c>
      <c r="BD270" s="6" t="s">
        <v>5</v>
      </c>
      <c r="BE270" s="6" t="s">
        <v>5</v>
      </c>
      <c r="BF270" s="6" t="s">
        <v>5</v>
      </c>
      <c r="BG270" s="6" t="s">
        <v>5</v>
      </c>
      <c r="BH270" s="6" t="s">
        <v>5</v>
      </c>
      <c r="BI270" s="7">
        <v>4.53</v>
      </c>
      <c r="BJ270" s="22">
        <v>0.84599999999999997</v>
      </c>
      <c r="BK270" s="6" t="s">
        <v>5</v>
      </c>
      <c r="BL270" s="2" t="s">
        <v>5</v>
      </c>
      <c r="BM270" s="2" t="s">
        <v>5</v>
      </c>
      <c r="BN270" s="2" t="s">
        <v>5</v>
      </c>
      <c r="BO270" s="2" t="s">
        <v>5</v>
      </c>
      <c r="BP270" s="2" t="s">
        <v>5</v>
      </c>
      <c r="BQ270" s="2" t="s">
        <v>5</v>
      </c>
      <c r="BR270" s="2" t="s">
        <v>5</v>
      </c>
      <c r="BS270" s="2" t="s">
        <v>5</v>
      </c>
      <c r="BT270" s="2" t="s">
        <v>5</v>
      </c>
      <c r="BU270" s="2" t="s">
        <v>5</v>
      </c>
      <c r="BV270" s="2" t="s">
        <v>5</v>
      </c>
      <c r="BW270" s="2" t="s">
        <v>5</v>
      </c>
      <c r="BX270" s="2" t="s">
        <v>5</v>
      </c>
      <c r="BY270" s="25" t="s">
        <v>5</v>
      </c>
      <c r="BZ270" s="25" t="s">
        <v>5</v>
      </c>
      <c r="CA270" s="4">
        <v>32.700000000000003</v>
      </c>
      <c r="CB270" s="6" t="s">
        <v>5</v>
      </c>
      <c r="CC270" s="4">
        <v>45</v>
      </c>
      <c r="CD270" s="4">
        <v>33.700000000000003</v>
      </c>
      <c r="CE270" s="4">
        <v>46</v>
      </c>
      <c r="CF270" s="16" t="s">
        <v>5</v>
      </c>
      <c r="CG270" s="5">
        <v>5.5</v>
      </c>
      <c r="CH270" s="18" t="s">
        <v>5</v>
      </c>
      <c r="CV270" s="344" t="str">
        <f t="shared" si="23"/>
        <v>WT4X9</v>
      </c>
      <c r="CW270" s="338">
        <v>2.63</v>
      </c>
      <c r="DH270" s="397" t="s">
        <v>1496</v>
      </c>
      <c r="DI270" s="400">
        <v>8.25</v>
      </c>
      <c r="DJ270" s="400">
        <v>8.06</v>
      </c>
      <c r="DK270" s="399">
        <v>0.28499999999999998</v>
      </c>
      <c r="DL270" s="398">
        <v>22.3</v>
      </c>
      <c r="DM270" s="400">
        <v>7.03</v>
      </c>
      <c r="DN270" s="398">
        <v>27.2</v>
      </c>
      <c r="DO270" s="411">
        <v>24.3</v>
      </c>
      <c r="DP270" s="115"/>
      <c r="DQ270" s="428" t="s">
        <v>1504</v>
      </c>
      <c r="DR270" s="429">
        <v>17.399999999999999</v>
      </c>
      <c r="DS270" s="429">
        <v>88.6</v>
      </c>
      <c r="DT270" s="431"/>
      <c r="DU270" s="431"/>
      <c r="DV270" s="431"/>
      <c r="DW270" s="431"/>
      <c r="DX270" s="432"/>
      <c r="DZ270" s="447" t="s">
        <v>1481</v>
      </c>
      <c r="EA270" s="448">
        <v>48</v>
      </c>
      <c r="EB270" s="448">
        <v>14.1</v>
      </c>
      <c r="EC270" s="448">
        <v>8.5</v>
      </c>
      <c r="ED270" s="448" t="s">
        <v>1830</v>
      </c>
      <c r="EE270" s="448">
        <v>0.4</v>
      </c>
      <c r="EF270" s="449">
        <v>44993</v>
      </c>
      <c r="EG270" s="449">
        <v>45001</v>
      </c>
      <c r="EH270" s="448">
        <v>8.11</v>
      </c>
      <c r="EI270" s="448" t="s">
        <v>1782</v>
      </c>
      <c r="EJ270" s="448">
        <v>0.68500000000000005</v>
      </c>
      <c r="EK270" s="449">
        <v>45246</v>
      </c>
      <c r="EL270" s="448">
        <v>5.92</v>
      </c>
      <c r="EM270" s="448">
        <v>15.9</v>
      </c>
      <c r="EN270" s="448">
        <v>184</v>
      </c>
      <c r="EO270" s="448">
        <v>43.2</v>
      </c>
      <c r="EP270" s="448">
        <v>3.61</v>
      </c>
      <c r="EQ270" s="448">
        <v>49</v>
      </c>
      <c r="ER270" s="448">
        <v>60.9</v>
      </c>
      <c r="ES270" s="448">
        <v>15</v>
      </c>
      <c r="ET270" s="448">
        <v>2.08</v>
      </c>
      <c r="EU270" s="450">
        <v>22.9</v>
      </c>
    </row>
    <row r="271" spans="2:151">
      <c r="B271" s="78" t="s">
        <v>145</v>
      </c>
      <c r="C271" s="79" t="s">
        <v>277</v>
      </c>
      <c r="D271" s="80" t="s">
        <v>277</v>
      </c>
      <c r="E271" s="1" t="s">
        <v>4</v>
      </c>
      <c r="F271" s="4">
        <v>46.5</v>
      </c>
      <c r="G271" s="4">
        <v>13.7</v>
      </c>
      <c r="H271" s="3" t="str">
        <f t="shared" si="22"/>
        <v>WT10.5X46.5</v>
      </c>
      <c r="I271" s="4">
        <v>10.8</v>
      </c>
      <c r="J271" s="5">
        <v>10.75</v>
      </c>
      <c r="K271" s="6" t="s">
        <v>5</v>
      </c>
      <c r="L271" s="6" t="s">
        <v>5</v>
      </c>
      <c r="M271" s="6" t="s">
        <v>5</v>
      </c>
      <c r="N271" s="7">
        <v>8.42</v>
      </c>
      <c r="O271" s="5">
        <v>8.375</v>
      </c>
      <c r="P271" s="5" t="s">
        <v>5</v>
      </c>
      <c r="Q271" s="6" t="s">
        <v>5</v>
      </c>
      <c r="R271" s="6" t="s">
        <v>5</v>
      </c>
      <c r="S271" s="22">
        <v>0.57999999999999996</v>
      </c>
      <c r="T271" s="5">
        <v>0.5625</v>
      </c>
      <c r="U271" s="8">
        <v>0.3125</v>
      </c>
      <c r="V271" s="22">
        <v>0.93</v>
      </c>
      <c r="W271" s="8">
        <v>0.9375</v>
      </c>
      <c r="X271" s="22">
        <v>0.93</v>
      </c>
      <c r="Y271" s="6" t="s">
        <v>5</v>
      </c>
      <c r="Z271" s="6" t="s">
        <v>5</v>
      </c>
      <c r="AA271" s="7">
        <v>1.43</v>
      </c>
      <c r="AB271" s="8">
        <v>1.625</v>
      </c>
      <c r="AC271" s="8" t="s">
        <v>5</v>
      </c>
      <c r="AD271" s="6" t="s">
        <v>5</v>
      </c>
      <c r="AE271" s="7">
        <v>2.74</v>
      </c>
      <c r="AF271" s="6" t="s">
        <v>5</v>
      </c>
      <c r="AG271" s="6" t="s">
        <v>5</v>
      </c>
      <c r="AH271" s="22">
        <v>0.81200000000000006</v>
      </c>
      <c r="AI271" s="7">
        <v>4.53</v>
      </c>
      <c r="AJ271" s="6" t="s">
        <v>5</v>
      </c>
      <c r="AK271" s="6" t="s">
        <v>5</v>
      </c>
      <c r="AL271" s="6" t="s">
        <v>5</v>
      </c>
      <c r="AM271" s="6" t="s">
        <v>5</v>
      </c>
      <c r="AN271" s="4">
        <v>18.600000000000001</v>
      </c>
      <c r="AO271" s="6">
        <v>144</v>
      </c>
      <c r="AP271" s="4">
        <v>31.8</v>
      </c>
      <c r="AQ271" s="4">
        <v>17.899999999999999</v>
      </c>
      <c r="AR271" s="7">
        <v>3.25</v>
      </c>
      <c r="AS271" s="4">
        <v>46.4</v>
      </c>
      <c r="AT271" s="4">
        <v>17.3</v>
      </c>
      <c r="AU271" s="4">
        <v>11</v>
      </c>
      <c r="AV271" s="7">
        <v>1.84</v>
      </c>
      <c r="AW271" s="6" t="s">
        <v>5</v>
      </c>
      <c r="AX271" s="6" t="s">
        <v>5</v>
      </c>
      <c r="AY271" s="6" t="s">
        <v>5</v>
      </c>
      <c r="AZ271" s="7">
        <v>3.01</v>
      </c>
      <c r="BA271" s="7">
        <v>9.33</v>
      </c>
      <c r="BB271" s="6" t="s">
        <v>5</v>
      </c>
      <c r="BC271" s="6" t="s">
        <v>5</v>
      </c>
      <c r="BD271" s="6" t="s">
        <v>5</v>
      </c>
      <c r="BE271" s="6" t="s">
        <v>5</v>
      </c>
      <c r="BF271" s="6" t="s">
        <v>5</v>
      </c>
      <c r="BG271" s="6" t="s">
        <v>5</v>
      </c>
      <c r="BH271" s="6" t="s">
        <v>5</v>
      </c>
      <c r="BI271" s="7">
        <v>4.37</v>
      </c>
      <c r="BJ271" s="22">
        <v>0.73</v>
      </c>
      <c r="BK271" s="6" t="s">
        <v>5</v>
      </c>
      <c r="BL271" s="2" t="s">
        <v>5</v>
      </c>
      <c r="BM271" s="2" t="s">
        <v>5</v>
      </c>
      <c r="BN271" s="2" t="s">
        <v>5</v>
      </c>
      <c r="BO271" s="2" t="s">
        <v>5</v>
      </c>
      <c r="BP271" s="2" t="s">
        <v>5</v>
      </c>
      <c r="BQ271" s="2" t="s">
        <v>5</v>
      </c>
      <c r="BR271" s="2" t="s">
        <v>5</v>
      </c>
      <c r="BS271" s="2" t="s">
        <v>5</v>
      </c>
      <c r="BT271" s="2" t="s">
        <v>5</v>
      </c>
      <c r="BU271" s="2" t="s">
        <v>5</v>
      </c>
      <c r="BV271" s="2" t="s">
        <v>5</v>
      </c>
      <c r="BW271" s="2" t="s">
        <v>5</v>
      </c>
      <c r="BX271" s="2" t="s">
        <v>5</v>
      </c>
      <c r="BY271" s="25" t="s">
        <v>5</v>
      </c>
      <c r="BZ271" s="25" t="s">
        <v>5</v>
      </c>
      <c r="CA271" s="4">
        <v>29.5</v>
      </c>
      <c r="CB271" s="6" t="s">
        <v>5</v>
      </c>
      <c r="CC271" s="4">
        <v>37.9</v>
      </c>
      <c r="CD271" s="4">
        <v>30</v>
      </c>
      <c r="CE271" s="4">
        <v>38.4</v>
      </c>
      <c r="CF271" s="16" t="s">
        <v>5</v>
      </c>
      <c r="CG271" s="5">
        <v>5.5</v>
      </c>
      <c r="CH271" s="18" t="s">
        <v>5</v>
      </c>
      <c r="CV271" s="344" t="str">
        <f t="shared" si="23"/>
        <v>WT5X8.5</v>
      </c>
      <c r="CW271" s="338">
        <v>2.5</v>
      </c>
      <c r="DH271" s="397" t="s">
        <v>1499</v>
      </c>
      <c r="DI271" s="400">
        <v>7.08</v>
      </c>
      <c r="DJ271" s="400">
        <v>7.93</v>
      </c>
      <c r="DK271" s="399">
        <v>0.245</v>
      </c>
      <c r="DL271" s="398">
        <v>25.9</v>
      </c>
      <c r="DM271" s="400">
        <v>8.1199999999999992</v>
      </c>
      <c r="DN271" s="398">
        <v>23.1</v>
      </c>
      <c r="DO271" s="411">
        <v>20.9</v>
      </c>
      <c r="DP271" s="115"/>
      <c r="DQ271" s="428" t="s">
        <v>1505</v>
      </c>
      <c r="DR271" s="429">
        <v>17</v>
      </c>
      <c r="DS271" s="429">
        <v>61.9</v>
      </c>
      <c r="DT271" s="431"/>
      <c r="DU271" s="431"/>
      <c r="DV271" s="431"/>
      <c r="DW271" s="431"/>
      <c r="DX271" s="432"/>
      <c r="DZ271" s="447" t="s">
        <v>1487</v>
      </c>
      <c r="EA271" s="448">
        <v>40</v>
      </c>
      <c r="EB271" s="448">
        <v>11.7</v>
      </c>
      <c r="EC271" s="448">
        <v>8.25</v>
      </c>
      <c r="ED271" s="448" t="s">
        <v>1778</v>
      </c>
      <c r="EE271" s="448">
        <v>0.36</v>
      </c>
      <c r="EF271" s="449">
        <v>44993</v>
      </c>
      <c r="EG271" s="449">
        <v>45001</v>
      </c>
      <c r="EH271" s="448">
        <v>8.07</v>
      </c>
      <c r="EI271" s="448" t="s">
        <v>1782</v>
      </c>
      <c r="EJ271" s="448">
        <v>0.56000000000000005</v>
      </c>
      <c r="EK271" s="449">
        <v>45185</v>
      </c>
      <c r="EL271" s="448">
        <v>7.21</v>
      </c>
      <c r="EM271" s="448">
        <v>17.600000000000001</v>
      </c>
      <c r="EN271" s="448">
        <v>146</v>
      </c>
      <c r="EO271" s="448">
        <v>35.5</v>
      </c>
      <c r="EP271" s="448">
        <v>3.53</v>
      </c>
      <c r="EQ271" s="448">
        <v>39.799999999999997</v>
      </c>
      <c r="ER271" s="448">
        <v>49.1</v>
      </c>
      <c r="ES271" s="448">
        <v>12.2</v>
      </c>
      <c r="ET271" s="448">
        <v>2.04</v>
      </c>
      <c r="EU271" s="450">
        <v>18.5</v>
      </c>
    </row>
    <row r="272" spans="2:151">
      <c r="B272" s="78" t="s">
        <v>145</v>
      </c>
      <c r="C272" s="79" t="s">
        <v>278</v>
      </c>
      <c r="D272" s="80" t="s">
        <v>278</v>
      </c>
      <c r="E272" s="1" t="s">
        <v>4</v>
      </c>
      <c r="F272" s="4">
        <v>41.5</v>
      </c>
      <c r="G272" s="4">
        <v>12.2</v>
      </c>
      <c r="H272" s="3" t="str">
        <f t="shared" si="22"/>
        <v>WT10.5X41.5</v>
      </c>
      <c r="I272" s="4">
        <v>10.7</v>
      </c>
      <c r="J272" s="5">
        <v>10.75</v>
      </c>
      <c r="K272" s="6" t="s">
        <v>5</v>
      </c>
      <c r="L272" s="6" t="s">
        <v>5</v>
      </c>
      <c r="M272" s="6" t="s">
        <v>5</v>
      </c>
      <c r="N272" s="7">
        <v>8.36</v>
      </c>
      <c r="O272" s="5">
        <v>8.375</v>
      </c>
      <c r="P272" s="5" t="s">
        <v>5</v>
      </c>
      <c r="Q272" s="6" t="s">
        <v>5</v>
      </c>
      <c r="R272" s="6" t="s">
        <v>5</v>
      </c>
      <c r="S272" s="22">
        <v>0.51500000000000001</v>
      </c>
      <c r="T272" s="5">
        <v>0.5</v>
      </c>
      <c r="U272" s="8">
        <v>0.25</v>
      </c>
      <c r="V272" s="22">
        <v>0.83499999999999996</v>
      </c>
      <c r="W272" s="8">
        <v>0.8125</v>
      </c>
      <c r="X272" s="22">
        <v>0.83499999999999996</v>
      </c>
      <c r="Y272" s="6" t="s">
        <v>5</v>
      </c>
      <c r="Z272" s="6" t="s">
        <v>5</v>
      </c>
      <c r="AA272" s="7">
        <v>1.34</v>
      </c>
      <c r="AB272" s="8">
        <v>1.5</v>
      </c>
      <c r="AC272" s="8" t="s">
        <v>5</v>
      </c>
      <c r="AD272" s="6" t="s">
        <v>5</v>
      </c>
      <c r="AE272" s="7">
        <v>2.66</v>
      </c>
      <c r="AF272" s="6" t="s">
        <v>5</v>
      </c>
      <c r="AG272" s="6" t="s">
        <v>5</v>
      </c>
      <c r="AH272" s="22">
        <v>0.72799999999999998</v>
      </c>
      <c r="AI272" s="7">
        <v>5</v>
      </c>
      <c r="AJ272" s="6" t="s">
        <v>5</v>
      </c>
      <c r="AK272" s="6" t="s">
        <v>5</v>
      </c>
      <c r="AL272" s="6" t="s">
        <v>5</v>
      </c>
      <c r="AM272" s="6" t="s">
        <v>5</v>
      </c>
      <c r="AN272" s="4">
        <v>20.8</v>
      </c>
      <c r="AO272" s="6">
        <v>127</v>
      </c>
      <c r="AP272" s="4">
        <v>28</v>
      </c>
      <c r="AQ272" s="4">
        <v>15.7</v>
      </c>
      <c r="AR272" s="7">
        <v>3.22</v>
      </c>
      <c r="AS272" s="4">
        <v>40.700000000000003</v>
      </c>
      <c r="AT272" s="4">
        <v>15.2</v>
      </c>
      <c r="AU272" s="7">
        <v>9.74</v>
      </c>
      <c r="AV272" s="7">
        <v>1.83</v>
      </c>
      <c r="AW272" s="6" t="s">
        <v>5</v>
      </c>
      <c r="AX272" s="6" t="s">
        <v>5</v>
      </c>
      <c r="AY272" s="6" t="s">
        <v>5</v>
      </c>
      <c r="AZ272" s="7">
        <v>2.16</v>
      </c>
      <c r="BA272" s="7">
        <v>6.5</v>
      </c>
      <c r="BB272" s="6" t="s">
        <v>5</v>
      </c>
      <c r="BC272" s="6" t="s">
        <v>5</v>
      </c>
      <c r="BD272" s="6" t="s">
        <v>5</v>
      </c>
      <c r="BE272" s="6" t="s">
        <v>5</v>
      </c>
      <c r="BF272" s="6" t="s">
        <v>5</v>
      </c>
      <c r="BG272" s="6" t="s">
        <v>5</v>
      </c>
      <c r="BH272" s="6" t="s">
        <v>5</v>
      </c>
      <c r="BI272" s="7">
        <v>4.33</v>
      </c>
      <c r="BJ272" s="22">
        <v>0.73199999999999998</v>
      </c>
      <c r="BK272" s="6" t="s">
        <v>5</v>
      </c>
      <c r="BL272" s="2" t="s">
        <v>5</v>
      </c>
      <c r="BM272" s="2" t="s">
        <v>5</v>
      </c>
      <c r="BN272" s="2" t="s">
        <v>5</v>
      </c>
      <c r="BO272" s="2" t="s">
        <v>5</v>
      </c>
      <c r="BP272" s="2" t="s">
        <v>5</v>
      </c>
      <c r="BQ272" s="2" t="s">
        <v>5</v>
      </c>
      <c r="BR272" s="2" t="s">
        <v>5</v>
      </c>
      <c r="BS272" s="2" t="s">
        <v>5</v>
      </c>
      <c r="BT272" s="2" t="s">
        <v>5</v>
      </c>
      <c r="BU272" s="2" t="s">
        <v>5</v>
      </c>
      <c r="BV272" s="2" t="s">
        <v>5</v>
      </c>
      <c r="BW272" s="2" t="s">
        <v>5</v>
      </c>
      <c r="BX272" s="2" t="s">
        <v>5</v>
      </c>
      <c r="BY272" s="25" t="s">
        <v>5</v>
      </c>
      <c r="BZ272" s="25" t="s">
        <v>5</v>
      </c>
      <c r="CA272" s="4">
        <v>29.2</v>
      </c>
      <c r="CB272" s="6" t="s">
        <v>5</v>
      </c>
      <c r="CC272" s="4">
        <v>37.6</v>
      </c>
      <c r="CD272" s="4">
        <v>29.8</v>
      </c>
      <c r="CE272" s="4">
        <v>38.1</v>
      </c>
      <c r="CF272" s="16" t="s">
        <v>5</v>
      </c>
      <c r="CG272" s="5">
        <v>5.5</v>
      </c>
      <c r="CH272" s="18" t="s">
        <v>5</v>
      </c>
      <c r="CV272" s="344" t="str">
        <f t="shared" si="23"/>
        <v>WT3X8</v>
      </c>
      <c r="CW272" s="338">
        <v>2.37</v>
      </c>
      <c r="DH272" s="397" t="s">
        <v>1501</v>
      </c>
      <c r="DI272" s="400">
        <v>6.16</v>
      </c>
      <c r="DJ272" s="400">
        <v>8.2799999999999994</v>
      </c>
      <c r="DK272" s="399">
        <v>0.25</v>
      </c>
      <c r="DL272" s="398">
        <v>27.5</v>
      </c>
      <c r="DM272" s="400">
        <v>6.59</v>
      </c>
      <c r="DN272" s="398">
        <v>20.399999999999999</v>
      </c>
      <c r="DO272" s="411">
        <v>18.2</v>
      </c>
      <c r="DP272" s="115"/>
      <c r="DQ272" s="428" t="s">
        <v>1506</v>
      </c>
      <c r="DR272" s="429">
        <v>16</v>
      </c>
      <c r="DS272" s="429">
        <v>68.900000000000006</v>
      </c>
      <c r="DT272" s="431"/>
      <c r="DU272" s="431"/>
      <c r="DV272" s="431"/>
      <c r="DW272" s="431"/>
      <c r="DX272" s="432"/>
      <c r="DZ272" s="447" t="s">
        <v>1491</v>
      </c>
      <c r="EA272" s="448">
        <v>35</v>
      </c>
      <c r="EB272" s="448">
        <v>10.3</v>
      </c>
      <c r="EC272" s="448">
        <v>8.1199999999999992</v>
      </c>
      <c r="ED272" s="448" t="s">
        <v>1782</v>
      </c>
      <c r="EE272" s="448">
        <v>0.31</v>
      </c>
      <c r="EF272" s="449">
        <v>45062</v>
      </c>
      <c r="EG272" s="449">
        <v>45001</v>
      </c>
      <c r="EH272" s="448">
        <v>8.02</v>
      </c>
      <c r="EI272" s="448">
        <v>8</v>
      </c>
      <c r="EJ272" s="448">
        <v>0.495</v>
      </c>
      <c r="EK272" s="449">
        <v>44928</v>
      </c>
      <c r="EL272" s="448">
        <v>8.1</v>
      </c>
      <c r="EM272" s="448">
        <v>20.5</v>
      </c>
      <c r="EN272" s="448">
        <v>127</v>
      </c>
      <c r="EO272" s="448">
        <v>31.2</v>
      </c>
      <c r="EP272" s="448">
        <v>3.51</v>
      </c>
      <c r="EQ272" s="448">
        <v>34.700000000000003</v>
      </c>
      <c r="ER272" s="448">
        <v>42.6</v>
      </c>
      <c r="ES272" s="448">
        <v>10.6</v>
      </c>
      <c r="ET272" s="448">
        <v>2.0299999999999998</v>
      </c>
      <c r="EU272" s="450">
        <v>16.100000000000001</v>
      </c>
    </row>
    <row r="273" spans="2:151">
      <c r="B273" s="78" t="s">
        <v>145</v>
      </c>
      <c r="C273" s="79" t="s">
        <v>279</v>
      </c>
      <c r="D273" s="80" t="s">
        <v>279</v>
      </c>
      <c r="E273" s="1" t="s">
        <v>4</v>
      </c>
      <c r="F273" s="4">
        <v>36.5</v>
      </c>
      <c r="G273" s="4">
        <v>10.7</v>
      </c>
      <c r="H273" s="3" t="str">
        <f t="shared" si="22"/>
        <v>WT10.5X36.5</v>
      </c>
      <c r="I273" s="4">
        <v>10.6</v>
      </c>
      <c r="J273" s="5">
        <v>10.625</v>
      </c>
      <c r="K273" s="6" t="s">
        <v>5</v>
      </c>
      <c r="L273" s="6" t="s">
        <v>5</v>
      </c>
      <c r="M273" s="6" t="s">
        <v>5</v>
      </c>
      <c r="N273" s="7">
        <v>8.3000000000000007</v>
      </c>
      <c r="O273" s="5">
        <v>8.25</v>
      </c>
      <c r="P273" s="5" t="s">
        <v>5</v>
      </c>
      <c r="Q273" s="6" t="s">
        <v>5</v>
      </c>
      <c r="R273" s="6" t="s">
        <v>5</v>
      </c>
      <c r="S273" s="22">
        <v>0.45500000000000002</v>
      </c>
      <c r="T273" s="5">
        <v>0.4375</v>
      </c>
      <c r="U273" s="8">
        <v>0.25</v>
      </c>
      <c r="V273" s="22">
        <v>0.74</v>
      </c>
      <c r="W273" s="8">
        <v>0.75</v>
      </c>
      <c r="X273" s="22">
        <v>0.74</v>
      </c>
      <c r="Y273" s="6" t="s">
        <v>5</v>
      </c>
      <c r="Z273" s="6" t="s">
        <v>5</v>
      </c>
      <c r="AA273" s="7">
        <v>1.24</v>
      </c>
      <c r="AB273" s="8">
        <v>1.4375</v>
      </c>
      <c r="AC273" s="8" t="s">
        <v>5</v>
      </c>
      <c r="AD273" s="6" t="s">
        <v>5</v>
      </c>
      <c r="AE273" s="7">
        <v>2.6</v>
      </c>
      <c r="AF273" s="6" t="s">
        <v>5</v>
      </c>
      <c r="AG273" s="6" t="s">
        <v>5</v>
      </c>
      <c r="AH273" s="22">
        <v>0.64700000000000002</v>
      </c>
      <c r="AI273" s="7">
        <v>5.6</v>
      </c>
      <c r="AJ273" s="6" t="s">
        <v>5</v>
      </c>
      <c r="AK273" s="6" t="s">
        <v>5</v>
      </c>
      <c r="AL273" s="6" t="s">
        <v>5</v>
      </c>
      <c r="AM273" s="6" t="s">
        <v>5</v>
      </c>
      <c r="AN273" s="4">
        <v>23.3</v>
      </c>
      <c r="AO273" s="6">
        <v>110</v>
      </c>
      <c r="AP273" s="4">
        <v>24.4</v>
      </c>
      <c r="AQ273" s="4">
        <v>13.8</v>
      </c>
      <c r="AR273" s="7">
        <v>3.21</v>
      </c>
      <c r="AS273" s="4">
        <v>35.299999999999997</v>
      </c>
      <c r="AT273" s="4">
        <v>13.3</v>
      </c>
      <c r="AU273" s="7">
        <v>8.51</v>
      </c>
      <c r="AV273" s="7">
        <v>1.81</v>
      </c>
      <c r="AW273" s="6" t="s">
        <v>5</v>
      </c>
      <c r="AX273" s="6" t="s">
        <v>5</v>
      </c>
      <c r="AY273" s="6" t="s">
        <v>5</v>
      </c>
      <c r="AZ273" s="7">
        <v>1.51</v>
      </c>
      <c r="BA273" s="7">
        <v>4.42</v>
      </c>
      <c r="BB273" s="6" t="s">
        <v>5</v>
      </c>
      <c r="BC273" s="6" t="s">
        <v>5</v>
      </c>
      <c r="BD273" s="6" t="s">
        <v>5</v>
      </c>
      <c r="BE273" s="6" t="s">
        <v>5</v>
      </c>
      <c r="BF273" s="6" t="s">
        <v>5</v>
      </c>
      <c r="BG273" s="6" t="s">
        <v>5</v>
      </c>
      <c r="BH273" s="6" t="s">
        <v>5</v>
      </c>
      <c r="BI273" s="7">
        <v>4.3</v>
      </c>
      <c r="BJ273" s="22">
        <v>0.73199999999999998</v>
      </c>
      <c r="BK273" s="6" t="s">
        <v>5</v>
      </c>
      <c r="BL273" s="2" t="s">
        <v>5</v>
      </c>
      <c r="BM273" s="2" t="s">
        <v>5</v>
      </c>
      <c r="BN273" s="2" t="s">
        <v>5</v>
      </c>
      <c r="BO273" s="2" t="s">
        <v>5</v>
      </c>
      <c r="BP273" s="2" t="s">
        <v>5</v>
      </c>
      <c r="BQ273" s="2" t="s">
        <v>5</v>
      </c>
      <c r="BR273" s="2" t="s">
        <v>5</v>
      </c>
      <c r="BS273" s="2" t="s">
        <v>5</v>
      </c>
      <c r="BT273" s="2" t="s">
        <v>5</v>
      </c>
      <c r="BU273" s="2" t="s">
        <v>5</v>
      </c>
      <c r="BV273" s="2" t="s">
        <v>5</v>
      </c>
      <c r="BW273" s="2" t="s">
        <v>5</v>
      </c>
      <c r="BX273" s="2" t="s">
        <v>5</v>
      </c>
      <c r="BY273" s="25" t="s">
        <v>5</v>
      </c>
      <c r="BZ273" s="25" t="s">
        <v>5</v>
      </c>
      <c r="CA273" s="4">
        <v>29</v>
      </c>
      <c r="CB273" s="6" t="s">
        <v>5</v>
      </c>
      <c r="CC273" s="4">
        <v>37.299999999999997</v>
      </c>
      <c r="CD273" s="4">
        <v>29.499999999999996</v>
      </c>
      <c r="CE273" s="6">
        <v>37.799999999999997</v>
      </c>
      <c r="CF273" s="16" t="s">
        <v>5</v>
      </c>
      <c r="CG273" s="5">
        <v>5.5</v>
      </c>
      <c r="CH273" s="18" t="s">
        <v>5</v>
      </c>
      <c r="CV273" s="344" t="str">
        <f t="shared" si="23"/>
        <v>WT6X8</v>
      </c>
      <c r="CW273" s="338">
        <v>2.36</v>
      </c>
      <c r="DH273" s="397" t="s">
        <v>1505</v>
      </c>
      <c r="DI273" s="400">
        <v>5.26</v>
      </c>
      <c r="DJ273" s="400">
        <v>8.14</v>
      </c>
      <c r="DK273" s="399">
        <v>0.23</v>
      </c>
      <c r="DL273" s="398">
        <v>29.9</v>
      </c>
      <c r="DM273" s="400">
        <v>7.95</v>
      </c>
      <c r="DN273" s="398">
        <v>17</v>
      </c>
      <c r="DO273" s="411">
        <v>15.2</v>
      </c>
      <c r="DP273" s="115"/>
      <c r="DQ273" s="428" t="s">
        <v>1507</v>
      </c>
      <c r="DR273" s="429">
        <v>13.6</v>
      </c>
      <c r="DS273" s="429">
        <v>48</v>
      </c>
      <c r="DT273" s="431"/>
      <c r="DU273" s="431"/>
      <c r="DV273" s="431"/>
      <c r="DW273" s="431"/>
      <c r="DX273" s="432"/>
      <c r="DZ273" s="447" t="s">
        <v>1494</v>
      </c>
      <c r="EA273" s="448">
        <v>31</v>
      </c>
      <c r="EB273" s="448">
        <v>9.1300000000000008</v>
      </c>
      <c r="EC273" s="448">
        <v>8</v>
      </c>
      <c r="ED273" s="448">
        <v>8</v>
      </c>
      <c r="EE273" s="448">
        <v>0.28499999999999998</v>
      </c>
      <c r="EF273" s="449">
        <v>45062</v>
      </c>
      <c r="EG273" s="449">
        <v>45001</v>
      </c>
      <c r="EH273" s="448">
        <v>8</v>
      </c>
      <c r="EI273" s="448">
        <v>8</v>
      </c>
      <c r="EJ273" s="448">
        <v>0.435</v>
      </c>
      <c r="EK273" s="449">
        <v>45123</v>
      </c>
      <c r="EL273" s="448">
        <v>9.19</v>
      </c>
      <c r="EM273" s="448">
        <v>22.3</v>
      </c>
      <c r="EN273" s="448">
        <v>110</v>
      </c>
      <c r="EO273" s="448">
        <v>27.5</v>
      </c>
      <c r="EP273" s="448">
        <v>3.47</v>
      </c>
      <c r="EQ273" s="448">
        <v>30.4</v>
      </c>
      <c r="ER273" s="448">
        <v>37.1</v>
      </c>
      <c r="ES273" s="448">
        <v>9.27</v>
      </c>
      <c r="ET273" s="448">
        <v>2.02</v>
      </c>
      <c r="EU273" s="450">
        <v>14.1</v>
      </c>
    </row>
    <row r="274" spans="2:151">
      <c r="B274" s="78" t="s">
        <v>145</v>
      </c>
      <c r="C274" s="79" t="s">
        <v>280</v>
      </c>
      <c r="D274" s="80" t="s">
        <v>280</v>
      </c>
      <c r="E274" s="1" t="s">
        <v>4</v>
      </c>
      <c r="F274" s="4">
        <v>34</v>
      </c>
      <c r="G274" s="4">
        <v>10</v>
      </c>
      <c r="H274" s="3" t="str">
        <f t="shared" si="22"/>
        <v>WT10.5X34</v>
      </c>
      <c r="I274" s="4">
        <v>10.6</v>
      </c>
      <c r="J274" s="5">
        <v>10.625</v>
      </c>
      <c r="K274" s="6" t="s">
        <v>5</v>
      </c>
      <c r="L274" s="6" t="s">
        <v>5</v>
      </c>
      <c r="M274" s="6" t="s">
        <v>5</v>
      </c>
      <c r="N274" s="7">
        <v>8.27</v>
      </c>
      <c r="O274" s="5">
        <v>8.25</v>
      </c>
      <c r="P274" s="5" t="s">
        <v>5</v>
      </c>
      <c r="Q274" s="6" t="s">
        <v>5</v>
      </c>
      <c r="R274" s="6" t="s">
        <v>5</v>
      </c>
      <c r="S274" s="22">
        <v>0.43</v>
      </c>
      <c r="T274" s="5">
        <v>0.4375</v>
      </c>
      <c r="U274" s="8">
        <v>0.25</v>
      </c>
      <c r="V274" s="22">
        <v>0.68500000000000005</v>
      </c>
      <c r="W274" s="8">
        <v>0.6875</v>
      </c>
      <c r="X274" s="22">
        <v>0.68500000000000005</v>
      </c>
      <c r="Y274" s="6" t="s">
        <v>5</v>
      </c>
      <c r="Z274" s="6" t="s">
        <v>5</v>
      </c>
      <c r="AA274" s="7">
        <v>1.19</v>
      </c>
      <c r="AB274" s="8">
        <v>1.375</v>
      </c>
      <c r="AC274" s="8" t="s">
        <v>5</v>
      </c>
      <c r="AD274" s="6" t="s">
        <v>5</v>
      </c>
      <c r="AE274" s="7">
        <v>2.59</v>
      </c>
      <c r="AF274" s="6" t="s">
        <v>5</v>
      </c>
      <c r="AG274" s="6" t="s">
        <v>5</v>
      </c>
      <c r="AH274" s="22">
        <v>0.60599999999999998</v>
      </c>
      <c r="AI274" s="7">
        <v>6.04</v>
      </c>
      <c r="AJ274" s="6" t="s">
        <v>5</v>
      </c>
      <c r="AK274" s="6" t="s">
        <v>5</v>
      </c>
      <c r="AL274" s="6" t="s">
        <v>5</v>
      </c>
      <c r="AM274" s="6" t="s">
        <v>5</v>
      </c>
      <c r="AN274" s="4">
        <v>24.7</v>
      </c>
      <c r="AO274" s="6">
        <v>103</v>
      </c>
      <c r="AP274" s="4">
        <v>22.9</v>
      </c>
      <c r="AQ274" s="4">
        <v>12.9</v>
      </c>
      <c r="AR274" s="7">
        <v>3.2</v>
      </c>
      <c r="AS274" s="4">
        <v>32.4</v>
      </c>
      <c r="AT274" s="4">
        <v>12.2</v>
      </c>
      <c r="AU274" s="7">
        <v>7.83</v>
      </c>
      <c r="AV274" s="7">
        <v>1.8</v>
      </c>
      <c r="AW274" s="6" t="s">
        <v>5</v>
      </c>
      <c r="AX274" s="6" t="s">
        <v>5</v>
      </c>
      <c r="AY274" s="6" t="s">
        <v>5</v>
      </c>
      <c r="AZ274" s="7">
        <v>1.22</v>
      </c>
      <c r="BA274" s="7">
        <v>3.62</v>
      </c>
      <c r="BB274" s="6" t="s">
        <v>5</v>
      </c>
      <c r="BC274" s="6" t="s">
        <v>5</v>
      </c>
      <c r="BD274" s="6" t="s">
        <v>5</v>
      </c>
      <c r="BE274" s="6" t="s">
        <v>5</v>
      </c>
      <c r="BF274" s="6" t="s">
        <v>5</v>
      </c>
      <c r="BG274" s="6" t="s">
        <v>5</v>
      </c>
      <c r="BH274" s="6" t="s">
        <v>5</v>
      </c>
      <c r="BI274" s="7">
        <v>4.3</v>
      </c>
      <c r="BJ274" s="22">
        <v>0.72799999999999998</v>
      </c>
      <c r="BK274" s="6" t="s">
        <v>5</v>
      </c>
      <c r="BL274" s="2" t="s">
        <v>5</v>
      </c>
      <c r="BM274" s="2" t="s">
        <v>5</v>
      </c>
      <c r="BN274" s="2" t="s">
        <v>5</v>
      </c>
      <c r="BO274" s="2" t="s">
        <v>5</v>
      </c>
      <c r="BP274" s="2" t="s">
        <v>5</v>
      </c>
      <c r="BQ274" s="2" t="s">
        <v>5</v>
      </c>
      <c r="BR274" s="2" t="s">
        <v>5</v>
      </c>
      <c r="BS274" s="2" t="s">
        <v>5</v>
      </c>
      <c r="BT274" s="2" t="s">
        <v>5</v>
      </c>
      <c r="BU274" s="2" t="s">
        <v>5</v>
      </c>
      <c r="BV274" s="2" t="s">
        <v>5</v>
      </c>
      <c r="BW274" s="2" t="s">
        <v>5</v>
      </c>
      <c r="BX274" s="2" t="s">
        <v>5</v>
      </c>
      <c r="BY274" s="25" t="s">
        <v>5</v>
      </c>
      <c r="BZ274" s="25" t="s">
        <v>5</v>
      </c>
      <c r="CA274" s="4">
        <v>29</v>
      </c>
      <c r="CB274" s="6" t="s">
        <v>5</v>
      </c>
      <c r="CC274" s="4">
        <v>37.200000000000003</v>
      </c>
      <c r="CD274" s="4">
        <v>29.5</v>
      </c>
      <c r="CE274" s="4">
        <v>37.700000000000003</v>
      </c>
      <c r="CF274" s="16" t="s">
        <v>5</v>
      </c>
      <c r="CG274" s="5">
        <v>5.5</v>
      </c>
      <c r="CH274" s="18" t="s">
        <v>5</v>
      </c>
      <c r="CV274" s="344" t="str">
        <f t="shared" si="23"/>
        <v>WT2.5X8</v>
      </c>
      <c r="CW274" s="338">
        <v>2.35</v>
      </c>
      <c r="DH274" s="397" t="s">
        <v>1507</v>
      </c>
      <c r="DI274" s="400">
        <v>4.4400000000000004</v>
      </c>
      <c r="DJ274" s="400">
        <v>8.11</v>
      </c>
      <c r="DK274" s="399">
        <v>0.245</v>
      </c>
      <c r="DL274" s="398">
        <v>28.1</v>
      </c>
      <c r="DM274" s="400">
        <v>6.37</v>
      </c>
      <c r="DN274" s="398">
        <v>13.6</v>
      </c>
      <c r="DO274" s="411">
        <v>11.8</v>
      </c>
      <c r="DP274" s="115"/>
      <c r="DQ274" s="428" t="s">
        <v>1508</v>
      </c>
      <c r="DR274" s="429">
        <v>12.6</v>
      </c>
      <c r="DS274" s="429">
        <v>53.8</v>
      </c>
      <c r="DT274" s="431"/>
      <c r="DU274" s="431"/>
      <c r="DV274" s="431"/>
      <c r="DW274" s="431"/>
      <c r="DX274" s="432"/>
      <c r="DZ274" s="447" t="s">
        <v>1496</v>
      </c>
      <c r="EA274" s="448">
        <v>28</v>
      </c>
      <c r="EB274" s="448">
        <v>8.25</v>
      </c>
      <c r="EC274" s="448">
        <v>8.06</v>
      </c>
      <c r="ED274" s="448">
        <v>8</v>
      </c>
      <c r="EE274" s="448">
        <v>0.28499999999999998</v>
      </c>
      <c r="EF274" s="449">
        <v>45062</v>
      </c>
      <c r="EG274" s="449">
        <v>45001</v>
      </c>
      <c r="EH274" s="448">
        <v>6.54</v>
      </c>
      <c r="EI274" s="448" t="s">
        <v>1783</v>
      </c>
      <c r="EJ274" s="448">
        <v>0.46500000000000002</v>
      </c>
      <c r="EK274" s="449">
        <v>45123</v>
      </c>
      <c r="EL274" s="448">
        <v>7.03</v>
      </c>
      <c r="EM274" s="448">
        <v>22.3</v>
      </c>
      <c r="EN274" s="448">
        <v>98</v>
      </c>
      <c r="EO274" s="448">
        <v>24.3</v>
      </c>
      <c r="EP274" s="448">
        <v>3.45</v>
      </c>
      <c r="EQ274" s="448">
        <v>27.2</v>
      </c>
      <c r="ER274" s="448">
        <v>21.7</v>
      </c>
      <c r="ES274" s="448">
        <v>6.63</v>
      </c>
      <c r="ET274" s="448">
        <v>1.62</v>
      </c>
      <c r="EU274" s="450">
        <v>10.1</v>
      </c>
    </row>
    <row r="275" spans="2:151">
      <c r="B275" s="78" t="s">
        <v>145</v>
      </c>
      <c r="C275" s="79" t="s">
        <v>281</v>
      </c>
      <c r="D275" s="80" t="s">
        <v>281</v>
      </c>
      <c r="E275" s="1" t="s">
        <v>4</v>
      </c>
      <c r="F275" s="4">
        <v>31</v>
      </c>
      <c r="G275" s="7">
        <v>9.1300000000000008</v>
      </c>
      <c r="H275" s="3" t="str">
        <f t="shared" si="22"/>
        <v>WT10.5X31</v>
      </c>
      <c r="I275" s="4">
        <v>10.5</v>
      </c>
      <c r="J275" s="5">
        <v>10.5</v>
      </c>
      <c r="K275" s="6" t="s">
        <v>5</v>
      </c>
      <c r="L275" s="6" t="s">
        <v>5</v>
      </c>
      <c r="M275" s="6" t="s">
        <v>5</v>
      </c>
      <c r="N275" s="7">
        <v>8.24</v>
      </c>
      <c r="O275" s="5">
        <v>8.25</v>
      </c>
      <c r="P275" s="5" t="s">
        <v>5</v>
      </c>
      <c r="Q275" s="6" t="s">
        <v>5</v>
      </c>
      <c r="R275" s="6" t="s">
        <v>5</v>
      </c>
      <c r="S275" s="22">
        <v>0.4</v>
      </c>
      <c r="T275" s="5">
        <v>0.375</v>
      </c>
      <c r="U275" s="8">
        <v>0.1875</v>
      </c>
      <c r="V275" s="22">
        <v>0.61499999999999999</v>
      </c>
      <c r="W275" s="8">
        <v>0.625</v>
      </c>
      <c r="X275" s="22">
        <v>0.61499999999999999</v>
      </c>
      <c r="Y275" s="6" t="s">
        <v>5</v>
      </c>
      <c r="Z275" s="6" t="s">
        <v>5</v>
      </c>
      <c r="AA275" s="7">
        <v>1.1200000000000001</v>
      </c>
      <c r="AB275" s="8">
        <v>1.3125</v>
      </c>
      <c r="AC275" s="8" t="s">
        <v>5</v>
      </c>
      <c r="AD275" s="6" t="s">
        <v>5</v>
      </c>
      <c r="AE275" s="7">
        <v>2.58</v>
      </c>
      <c r="AF275" s="6" t="s">
        <v>5</v>
      </c>
      <c r="AG275" s="6" t="s">
        <v>5</v>
      </c>
      <c r="AH275" s="22">
        <v>0.55400000000000005</v>
      </c>
      <c r="AI275" s="7">
        <v>6.7</v>
      </c>
      <c r="AJ275" s="6" t="s">
        <v>5</v>
      </c>
      <c r="AK275" s="6" t="s">
        <v>5</v>
      </c>
      <c r="AL275" s="6" t="s">
        <v>5</v>
      </c>
      <c r="AM275" s="6" t="s">
        <v>5</v>
      </c>
      <c r="AN275" s="4">
        <v>26.3</v>
      </c>
      <c r="AO275" s="4">
        <v>93.8</v>
      </c>
      <c r="AP275" s="4">
        <v>21.1</v>
      </c>
      <c r="AQ275" s="4">
        <v>11.9</v>
      </c>
      <c r="AR275" s="7">
        <v>3.21</v>
      </c>
      <c r="AS275" s="4">
        <v>28.7</v>
      </c>
      <c r="AT275" s="4">
        <v>10.9</v>
      </c>
      <c r="AU275" s="7">
        <v>6.97</v>
      </c>
      <c r="AV275" s="7">
        <v>1.77</v>
      </c>
      <c r="AW275" s="6" t="s">
        <v>5</v>
      </c>
      <c r="AX275" s="6" t="s">
        <v>5</v>
      </c>
      <c r="AY275" s="6" t="s">
        <v>5</v>
      </c>
      <c r="AZ275" s="22">
        <v>0.91300000000000003</v>
      </c>
      <c r="BA275" s="7">
        <v>2.78</v>
      </c>
      <c r="BB275" s="6" t="s">
        <v>5</v>
      </c>
      <c r="BC275" s="6" t="s">
        <v>5</v>
      </c>
      <c r="BD275" s="6" t="s">
        <v>5</v>
      </c>
      <c r="BE275" s="6" t="s">
        <v>5</v>
      </c>
      <c r="BF275" s="6" t="s">
        <v>5</v>
      </c>
      <c r="BG275" s="6" t="s">
        <v>5</v>
      </c>
      <c r="BH275" s="6" t="s">
        <v>5</v>
      </c>
      <c r="BI275" s="7">
        <v>4.3099999999999996</v>
      </c>
      <c r="BJ275" s="22">
        <v>0.72099999999999997</v>
      </c>
      <c r="BK275" s="6" t="s">
        <v>5</v>
      </c>
      <c r="BL275" s="2" t="s">
        <v>5</v>
      </c>
      <c r="BM275" s="2" t="s">
        <v>5</v>
      </c>
      <c r="BN275" s="2" t="s">
        <v>5</v>
      </c>
      <c r="BO275" s="2" t="s">
        <v>5</v>
      </c>
      <c r="BP275" s="2" t="s">
        <v>5</v>
      </c>
      <c r="BQ275" s="2" t="s">
        <v>5</v>
      </c>
      <c r="BR275" s="2" t="s">
        <v>5</v>
      </c>
      <c r="BS275" s="2" t="s">
        <v>5</v>
      </c>
      <c r="BT275" s="2" t="s">
        <v>5</v>
      </c>
      <c r="BU275" s="2" t="s">
        <v>5</v>
      </c>
      <c r="BV275" s="2" t="s">
        <v>5</v>
      </c>
      <c r="BW275" s="2" t="s">
        <v>5</v>
      </c>
      <c r="BX275" s="2" t="s">
        <v>5</v>
      </c>
      <c r="BY275" s="25" t="s">
        <v>5</v>
      </c>
      <c r="BZ275" s="25" t="s">
        <v>5</v>
      </c>
      <c r="CA275" s="4">
        <v>28.7</v>
      </c>
      <c r="CB275" s="6" t="s">
        <v>5</v>
      </c>
      <c r="CC275" s="4">
        <v>37</v>
      </c>
      <c r="CD275" s="4">
        <v>29.2</v>
      </c>
      <c r="CE275" s="4">
        <v>37.5</v>
      </c>
      <c r="CF275" s="16" t="s">
        <v>5</v>
      </c>
      <c r="CG275" s="5">
        <v>5.5</v>
      </c>
      <c r="CH275" s="18" t="s">
        <v>5</v>
      </c>
      <c r="CV275" s="344" t="str">
        <f t="shared" si="23"/>
        <v>WT4X7.5</v>
      </c>
      <c r="CW275" s="338">
        <v>2.2200000000000002</v>
      </c>
      <c r="DH275" s="397" t="s">
        <v>1509</v>
      </c>
      <c r="DI275" s="400">
        <v>3.84</v>
      </c>
      <c r="DJ275" s="400">
        <v>7.99</v>
      </c>
      <c r="DK275" s="399">
        <v>0.23</v>
      </c>
      <c r="DL275" s="398">
        <v>29.9</v>
      </c>
      <c r="DM275" s="400">
        <v>7.84</v>
      </c>
      <c r="DN275" s="398">
        <v>11.4</v>
      </c>
      <c r="DO275" s="412">
        <v>9.91</v>
      </c>
      <c r="DP275" s="116"/>
      <c r="DQ275" s="428" t="s">
        <v>1509</v>
      </c>
      <c r="DR275" s="429">
        <v>11.4</v>
      </c>
      <c r="DS275" s="429">
        <v>39.6</v>
      </c>
      <c r="DT275" s="431"/>
      <c r="DU275" s="431"/>
      <c r="DV275" s="431"/>
      <c r="DW275" s="431"/>
      <c r="DX275" s="432"/>
      <c r="DZ275" s="447" t="s">
        <v>1499</v>
      </c>
      <c r="EA275" s="448">
        <v>24</v>
      </c>
      <c r="EB275" s="448">
        <v>7.08</v>
      </c>
      <c r="EC275" s="448">
        <v>7.93</v>
      </c>
      <c r="ED275" s="448" t="s">
        <v>1831</v>
      </c>
      <c r="EE275" s="448">
        <v>0.245</v>
      </c>
      <c r="EF275" s="449">
        <v>44930</v>
      </c>
      <c r="EG275" s="449">
        <v>44934</v>
      </c>
      <c r="EH275" s="448">
        <v>6.5</v>
      </c>
      <c r="EI275" s="448" t="s">
        <v>1783</v>
      </c>
      <c r="EJ275" s="448">
        <v>0.4</v>
      </c>
      <c r="EK275" s="449">
        <v>44993</v>
      </c>
      <c r="EL275" s="448">
        <v>8.1199999999999992</v>
      </c>
      <c r="EM275" s="448">
        <v>25.9</v>
      </c>
      <c r="EN275" s="448">
        <v>82.7</v>
      </c>
      <c r="EO275" s="448">
        <v>20.9</v>
      </c>
      <c r="EP275" s="448">
        <v>3.42</v>
      </c>
      <c r="EQ275" s="448">
        <v>23.1</v>
      </c>
      <c r="ER275" s="448">
        <v>18.3</v>
      </c>
      <c r="ES275" s="448">
        <v>5.63</v>
      </c>
      <c r="ET275" s="448">
        <v>1.61</v>
      </c>
      <c r="EU275" s="450">
        <v>8.57</v>
      </c>
    </row>
    <row r="276" spans="2:151">
      <c r="B276" s="78" t="s">
        <v>145</v>
      </c>
      <c r="C276" s="79" t="s">
        <v>282</v>
      </c>
      <c r="D276" s="80" t="s">
        <v>282</v>
      </c>
      <c r="E276" s="1" t="s">
        <v>4</v>
      </c>
      <c r="F276" s="4">
        <v>27.5</v>
      </c>
      <c r="G276" s="7">
        <v>8.1</v>
      </c>
      <c r="H276" s="3" t="str">
        <f t="shared" si="22"/>
        <v>WT10.5X27.5</v>
      </c>
      <c r="I276" s="4">
        <v>10.4</v>
      </c>
      <c r="J276" s="5">
        <v>10.375</v>
      </c>
      <c r="K276" s="6" t="s">
        <v>5</v>
      </c>
      <c r="L276" s="6" t="s">
        <v>5</v>
      </c>
      <c r="M276" s="6" t="s">
        <v>5</v>
      </c>
      <c r="N276" s="7">
        <v>8.2200000000000006</v>
      </c>
      <c r="O276" s="5">
        <v>8.25</v>
      </c>
      <c r="P276" s="5" t="s">
        <v>5</v>
      </c>
      <c r="Q276" s="6" t="s">
        <v>5</v>
      </c>
      <c r="R276" s="6" t="s">
        <v>5</v>
      </c>
      <c r="S276" s="22">
        <v>0.375</v>
      </c>
      <c r="T276" s="5">
        <v>0.375</v>
      </c>
      <c r="U276" s="8">
        <v>0.1875</v>
      </c>
      <c r="V276" s="22">
        <v>0.52200000000000002</v>
      </c>
      <c r="W276" s="8">
        <v>0.5</v>
      </c>
      <c r="X276" s="22">
        <v>0.52200000000000002</v>
      </c>
      <c r="Y276" s="6" t="s">
        <v>5</v>
      </c>
      <c r="Z276" s="6" t="s">
        <v>5</v>
      </c>
      <c r="AA276" s="7">
        <v>1.02</v>
      </c>
      <c r="AB276" s="8">
        <v>1.1875</v>
      </c>
      <c r="AC276" s="8" t="s">
        <v>5</v>
      </c>
      <c r="AD276" s="6" t="s">
        <v>5</v>
      </c>
      <c r="AE276" s="7">
        <v>2.64</v>
      </c>
      <c r="AF276" s="6" t="s">
        <v>5</v>
      </c>
      <c r="AG276" s="6" t="s">
        <v>5</v>
      </c>
      <c r="AH276" s="22">
        <v>0.49299999999999999</v>
      </c>
      <c r="AI276" s="7">
        <v>7.87</v>
      </c>
      <c r="AJ276" s="6" t="s">
        <v>5</v>
      </c>
      <c r="AK276" s="6" t="s">
        <v>5</v>
      </c>
      <c r="AL276" s="6" t="s">
        <v>5</v>
      </c>
      <c r="AM276" s="6" t="s">
        <v>5</v>
      </c>
      <c r="AN276" s="4">
        <v>27.7</v>
      </c>
      <c r="AO276" s="4">
        <v>84.4</v>
      </c>
      <c r="AP276" s="4">
        <v>19.399999999999999</v>
      </c>
      <c r="AQ276" s="4">
        <v>10.9</v>
      </c>
      <c r="AR276" s="7">
        <v>3.23</v>
      </c>
      <c r="AS276" s="4">
        <v>24.2</v>
      </c>
      <c r="AT276" s="7">
        <v>9.18</v>
      </c>
      <c r="AU276" s="7">
        <v>5.89</v>
      </c>
      <c r="AV276" s="7">
        <v>1.73</v>
      </c>
      <c r="AW276" s="6" t="s">
        <v>5</v>
      </c>
      <c r="AX276" s="6" t="s">
        <v>5</v>
      </c>
      <c r="AY276" s="6" t="s">
        <v>5</v>
      </c>
      <c r="AZ276" s="22">
        <v>0.61699999999999999</v>
      </c>
      <c r="BA276" s="7">
        <v>2.08</v>
      </c>
      <c r="BB276" s="6" t="s">
        <v>5</v>
      </c>
      <c r="BC276" s="6" t="s">
        <v>5</v>
      </c>
      <c r="BD276" s="6" t="s">
        <v>5</v>
      </c>
      <c r="BE276" s="6" t="s">
        <v>5</v>
      </c>
      <c r="BF276" s="6" t="s">
        <v>5</v>
      </c>
      <c r="BG276" s="6" t="s">
        <v>5</v>
      </c>
      <c r="BH276" s="6" t="s">
        <v>5</v>
      </c>
      <c r="BI276" s="7">
        <v>4.37</v>
      </c>
      <c r="BJ276" s="22">
        <v>0.70299999999999996</v>
      </c>
      <c r="BK276" s="6" t="s">
        <v>5</v>
      </c>
      <c r="BL276" s="2" t="s">
        <v>5</v>
      </c>
      <c r="BM276" s="2" t="s">
        <v>5</v>
      </c>
      <c r="BN276" s="2" t="s">
        <v>5</v>
      </c>
      <c r="BO276" s="2" t="s">
        <v>5</v>
      </c>
      <c r="BP276" s="2" t="s">
        <v>5</v>
      </c>
      <c r="BQ276" s="2" t="s">
        <v>5</v>
      </c>
      <c r="BR276" s="2" t="s">
        <v>5</v>
      </c>
      <c r="BS276" s="2" t="s">
        <v>5</v>
      </c>
      <c r="BT276" s="2" t="s">
        <v>5</v>
      </c>
      <c r="BU276" s="2" t="s">
        <v>5</v>
      </c>
      <c r="BV276" s="2" t="s">
        <v>5</v>
      </c>
      <c r="BW276" s="2" t="s">
        <v>5</v>
      </c>
      <c r="BX276" s="2" t="s">
        <v>5</v>
      </c>
      <c r="BY276" s="25" t="s">
        <v>5</v>
      </c>
      <c r="BZ276" s="25" t="s">
        <v>5</v>
      </c>
      <c r="CA276" s="4">
        <v>28.5</v>
      </c>
      <c r="CB276" s="6" t="s">
        <v>5</v>
      </c>
      <c r="CC276" s="4">
        <v>36.700000000000003</v>
      </c>
      <c r="CD276" s="4">
        <v>29</v>
      </c>
      <c r="CE276" s="4">
        <v>37.200000000000003</v>
      </c>
      <c r="CF276" s="16" t="s">
        <v>5</v>
      </c>
      <c r="CG276" s="5">
        <v>5.5</v>
      </c>
      <c r="CH276" s="18" t="s">
        <v>5</v>
      </c>
      <c r="CV276" s="344" t="str">
        <f t="shared" si="23"/>
        <v>WT5X7.5</v>
      </c>
      <c r="CW276" s="338">
        <v>2.21</v>
      </c>
      <c r="DH276" s="397" t="s">
        <v>1510</v>
      </c>
      <c r="DI276" s="400">
        <v>2.96</v>
      </c>
      <c r="DJ276" s="400">
        <v>7.89</v>
      </c>
      <c r="DK276" s="399">
        <v>0.17</v>
      </c>
      <c r="DL276" s="398">
        <v>40.5</v>
      </c>
      <c r="DM276" s="400">
        <v>9.61</v>
      </c>
      <c r="DN276" s="400">
        <v>8.8699999999999992</v>
      </c>
      <c r="DO276" s="412">
        <v>7.81</v>
      </c>
      <c r="DP276" s="116"/>
      <c r="DQ276" s="428" t="s">
        <v>1510</v>
      </c>
      <c r="DR276" s="429">
        <v>8.8699999999999992</v>
      </c>
      <c r="DS276" s="429">
        <v>30.8</v>
      </c>
      <c r="DT276" s="431"/>
      <c r="DU276" s="431"/>
      <c r="DV276" s="431"/>
      <c r="DW276" s="431"/>
      <c r="DX276" s="432"/>
      <c r="DZ276" s="447" t="s">
        <v>1501</v>
      </c>
      <c r="EA276" s="448">
        <v>21</v>
      </c>
      <c r="EB276" s="448">
        <v>6.16</v>
      </c>
      <c r="EC276" s="448">
        <v>8.2799999999999994</v>
      </c>
      <c r="ED276" s="448" t="s">
        <v>1778</v>
      </c>
      <c r="EE276" s="448">
        <v>0.25</v>
      </c>
      <c r="EF276" s="449">
        <v>44930</v>
      </c>
      <c r="EG276" s="449">
        <v>44934</v>
      </c>
      <c r="EH276" s="448">
        <v>5.27</v>
      </c>
      <c r="EI276" s="448" t="s">
        <v>1832</v>
      </c>
      <c r="EJ276" s="448">
        <v>0.4</v>
      </c>
      <c r="EK276" s="449">
        <v>44993</v>
      </c>
      <c r="EL276" s="448">
        <v>6.59</v>
      </c>
      <c r="EM276" s="448">
        <v>27.5</v>
      </c>
      <c r="EN276" s="448">
        <v>75.3</v>
      </c>
      <c r="EO276" s="448">
        <v>18.2</v>
      </c>
      <c r="EP276" s="448">
        <v>3.49</v>
      </c>
      <c r="EQ276" s="448">
        <v>20.399999999999999</v>
      </c>
      <c r="ER276" s="448">
        <v>9.77</v>
      </c>
      <c r="ES276" s="448">
        <v>3.71</v>
      </c>
      <c r="ET276" s="448">
        <v>1.26</v>
      </c>
      <c r="EU276" s="450">
        <v>5.69</v>
      </c>
    </row>
    <row r="277" spans="2:151">
      <c r="B277" s="78" t="s">
        <v>145</v>
      </c>
      <c r="C277" s="79" t="s">
        <v>283</v>
      </c>
      <c r="D277" s="80" t="s">
        <v>283</v>
      </c>
      <c r="E277" s="1" t="s">
        <v>4</v>
      </c>
      <c r="F277" s="4">
        <v>24</v>
      </c>
      <c r="G277" s="7">
        <v>7.07</v>
      </c>
      <c r="H277" s="3" t="str">
        <f t="shared" si="22"/>
        <v>WT10.5X24</v>
      </c>
      <c r="I277" s="4">
        <v>10.3</v>
      </c>
      <c r="J277" s="5">
        <v>10.25</v>
      </c>
      <c r="K277" s="6" t="s">
        <v>5</v>
      </c>
      <c r="L277" s="6" t="s">
        <v>5</v>
      </c>
      <c r="M277" s="6" t="s">
        <v>5</v>
      </c>
      <c r="N277" s="7">
        <v>8.14</v>
      </c>
      <c r="O277" s="5">
        <v>8.125</v>
      </c>
      <c r="P277" s="5" t="s">
        <v>5</v>
      </c>
      <c r="Q277" s="6" t="s">
        <v>5</v>
      </c>
      <c r="R277" s="6" t="s">
        <v>5</v>
      </c>
      <c r="S277" s="22">
        <v>0.35</v>
      </c>
      <c r="T277" s="5">
        <v>0.375</v>
      </c>
      <c r="U277" s="8">
        <v>0.1875</v>
      </c>
      <c r="V277" s="22">
        <v>0.43</v>
      </c>
      <c r="W277" s="8">
        <v>0.4375</v>
      </c>
      <c r="X277" s="22">
        <v>0.43</v>
      </c>
      <c r="Y277" s="6" t="s">
        <v>5</v>
      </c>
      <c r="Z277" s="6" t="s">
        <v>5</v>
      </c>
      <c r="AA277" s="22">
        <v>0.93</v>
      </c>
      <c r="AB277" s="8">
        <v>1.125</v>
      </c>
      <c r="AC277" s="8" t="s">
        <v>5</v>
      </c>
      <c r="AD277" s="6" t="s">
        <v>5</v>
      </c>
      <c r="AE277" s="7">
        <v>2.74</v>
      </c>
      <c r="AF277" s="6" t="s">
        <v>5</v>
      </c>
      <c r="AG277" s="6" t="s">
        <v>5</v>
      </c>
      <c r="AH277" s="22">
        <v>0.45900000000000002</v>
      </c>
      <c r="AI277" s="7">
        <v>9.4700000000000006</v>
      </c>
      <c r="AJ277" s="6" t="s">
        <v>5</v>
      </c>
      <c r="AK277" s="6" t="s">
        <v>5</v>
      </c>
      <c r="AL277" s="6" t="s">
        <v>5</v>
      </c>
      <c r="AM277" s="6" t="s">
        <v>5</v>
      </c>
      <c r="AN277" s="4">
        <v>29.4</v>
      </c>
      <c r="AO277" s="4">
        <v>74.900000000000006</v>
      </c>
      <c r="AP277" s="4">
        <v>17.8</v>
      </c>
      <c r="AQ277" s="7">
        <v>9.9</v>
      </c>
      <c r="AR277" s="7">
        <v>3.26</v>
      </c>
      <c r="AS277" s="4">
        <v>19.399999999999999</v>
      </c>
      <c r="AT277" s="7">
        <v>7.44</v>
      </c>
      <c r="AU277" s="7">
        <v>4.76</v>
      </c>
      <c r="AV277" s="7">
        <v>1.66</v>
      </c>
      <c r="AW277" s="6" t="s">
        <v>5</v>
      </c>
      <c r="AX277" s="6" t="s">
        <v>5</v>
      </c>
      <c r="AY277" s="6" t="s">
        <v>5</v>
      </c>
      <c r="AZ277" s="22">
        <v>0.4</v>
      </c>
      <c r="BA277" s="7">
        <v>1.52</v>
      </c>
      <c r="BB277" s="6" t="s">
        <v>5</v>
      </c>
      <c r="BC277" s="6" t="s">
        <v>5</v>
      </c>
      <c r="BD277" s="6" t="s">
        <v>5</v>
      </c>
      <c r="BE277" s="6" t="s">
        <v>5</v>
      </c>
      <c r="BF277" s="6" t="s">
        <v>5</v>
      </c>
      <c r="BG277" s="6" t="s">
        <v>5</v>
      </c>
      <c r="BH277" s="6" t="s">
        <v>5</v>
      </c>
      <c r="BI277" s="7">
        <v>4.4400000000000004</v>
      </c>
      <c r="BJ277" s="22">
        <v>0.67600000000000005</v>
      </c>
      <c r="BK277" s="6" t="s">
        <v>5</v>
      </c>
      <c r="BL277" s="2" t="s">
        <v>5</v>
      </c>
      <c r="BM277" s="2" t="s">
        <v>5</v>
      </c>
      <c r="BN277" s="2" t="s">
        <v>5</v>
      </c>
      <c r="BO277" s="2" t="s">
        <v>5</v>
      </c>
      <c r="BP277" s="2" t="s">
        <v>5</v>
      </c>
      <c r="BQ277" s="2" t="s">
        <v>5</v>
      </c>
      <c r="BR277" s="2" t="s">
        <v>5</v>
      </c>
      <c r="BS277" s="2" t="s">
        <v>5</v>
      </c>
      <c r="BT277" s="2" t="s">
        <v>5</v>
      </c>
      <c r="BU277" s="2" t="s">
        <v>5</v>
      </c>
      <c r="BV277" s="2" t="s">
        <v>5</v>
      </c>
      <c r="BW277" s="2" t="s">
        <v>5</v>
      </c>
      <c r="BX277" s="2" t="s">
        <v>5</v>
      </c>
      <c r="BY277" s="25" t="s">
        <v>5</v>
      </c>
      <c r="BZ277" s="25" t="s">
        <v>5</v>
      </c>
      <c r="CA277" s="4">
        <v>28.2</v>
      </c>
      <c r="CB277" s="6" t="s">
        <v>5</v>
      </c>
      <c r="CC277" s="4">
        <v>36.4</v>
      </c>
      <c r="CD277" s="4">
        <v>28.7</v>
      </c>
      <c r="CE277" s="4">
        <v>36.9</v>
      </c>
      <c r="CF277" s="16" t="s">
        <v>5</v>
      </c>
      <c r="CG277" s="5">
        <v>5.5</v>
      </c>
      <c r="CH277" s="18" t="s">
        <v>5</v>
      </c>
      <c r="CV277" s="344" t="str">
        <f t="shared" si="23"/>
        <v>WT5X7.5</v>
      </c>
      <c r="CW277" s="338">
        <v>2.21</v>
      </c>
      <c r="DH277" s="397" t="s">
        <v>1523</v>
      </c>
      <c r="DI277" s="400">
        <v>7.34</v>
      </c>
      <c r="DJ277" s="400">
        <v>6.38</v>
      </c>
      <c r="DK277" s="399">
        <v>0.32</v>
      </c>
      <c r="DL277" s="398">
        <v>15.5</v>
      </c>
      <c r="DM277" s="400">
        <v>6.68</v>
      </c>
      <c r="DN277" s="398">
        <v>18.899999999999999</v>
      </c>
      <c r="DO277" s="411">
        <v>16.7</v>
      </c>
      <c r="DP277" s="115"/>
      <c r="DQ277" s="434" t="s">
        <v>1523</v>
      </c>
      <c r="DR277" s="435">
        <v>18.899999999999999</v>
      </c>
      <c r="DS277" s="436">
        <v>53.4</v>
      </c>
      <c r="DT277" s="431"/>
      <c r="DU277" s="431"/>
      <c r="DV277" s="431"/>
      <c r="DW277" s="431"/>
      <c r="DX277" s="432"/>
      <c r="DZ277" s="447" t="s">
        <v>1505</v>
      </c>
      <c r="EA277" s="448">
        <v>18</v>
      </c>
      <c r="EB277" s="448">
        <v>5.26</v>
      </c>
      <c r="EC277" s="448">
        <v>8.14</v>
      </c>
      <c r="ED277" s="448" t="s">
        <v>1782</v>
      </c>
      <c r="EE277" s="448">
        <v>0.23</v>
      </c>
      <c r="EF277" s="449">
        <v>44930</v>
      </c>
      <c r="EG277" s="449">
        <v>44934</v>
      </c>
      <c r="EH277" s="448">
        <v>5.25</v>
      </c>
      <c r="EI277" s="448" t="s">
        <v>1832</v>
      </c>
      <c r="EJ277" s="448">
        <v>0.33</v>
      </c>
      <c r="EK277" s="449">
        <v>45062</v>
      </c>
      <c r="EL277" s="448">
        <v>7.95</v>
      </c>
      <c r="EM277" s="448">
        <v>29.9</v>
      </c>
      <c r="EN277" s="448">
        <v>61.9</v>
      </c>
      <c r="EO277" s="448">
        <v>15.2</v>
      </c>
      <c r="EP277" s="448">
        <v>3.43</v>
      </c>
      <c r="EQ277" s="448">
        <v>17</v>
      </c>
      <c r="ER277" s="448">
        <v>7.97</v>
      </c>
      <c r="ES277" s="448">
        <v>3.04</v>
      </c>
      <c r="ET277" s="448">
        <v>1.23</v>
      </c>
      <c r="EU277" s="450">
        <v>4.66</v>
      </c>
    </row>
    <row r="278" spans="2:151">
      <c r="B278" s="78" t="s">
        <v>145</v>
      </c>
      <c r="C278" s="79" t="s">
        <v>284</v>
      </c>
      <c r="D278" s="80" t="s">
        <v>284</v>
      </c>
      <c r="E278" s="1" t="s">
        <v>4</v>
      </c>
      <c r="F278" s="4">
        <v>28.5</v>
      </c>
      <c r="G278" s="7">
        <v>8.3699999999999992</v>
      </c>
      <c r="H278" s="3" t="str">
        <f t="shared" si="22"/>
        <v>WT10.5X28.5</v>
      </c>
      <c r="I278" s="4">
        <v>10.5</v>
      </c>
      <c r="J278" s="5">
        <v>10.5</v>
      </c>
      <c r="K278" s="6" t="s">
        <v>5</v>
      </c>
      <c r="L278" s="6" t="s">
        <v>5</v>
      </c>
      <c r="M278" s="6" t="s">
        <v>5</v>
      </c>
      <c r="N278" s="7">
        <v>6.56</v>
      </c>
      <c r="O278" s="5">
        <v>6.5</v>
      </c>
      <c r="P278" s="5" t="s">
        <v>5</v>
      </c>
      <c r="Q278" s="6" t="s">
        <v>5</v>
      </c>
      <c r="R278" s="6" t="s">
        <v>5</v>
      </c>
      <c r="S278" s="22">
        <v>0.40500000000000003</v>
      </c>
      <c r="T278" s="5">
        <v>0.375</v>
      </c>
      <c r="U278" s="8">
        <v>0.1875</v>
      </c>
      <c r="V278" s="22">
        <v>0.65</v>
      </c>
      <c r="W278" s="8">
        <v>0.625</v>
      </c>
      <c r="X278" s="22">
        <v>0.65</v>
      </c>
      <c r="Y278" s="6" t="s">
        <v>5</v>
      </c>
      <c r="Z278" s="6" t="s">
        <v>5</v>
      </c>
      <c r="AA278" s="7">
        <v>1.1499999999999999</v>
      </c>
      <c r="AB278" s="8">
        <v>1.3125</v>
      </c>
      <c r="AC278" s="8" t="s">
        <v>5</v>
      </c>
      <c r="AD278" s="6" t="s">
        <v>5</v>
      </c>
      <c r="AE278" s="7">
        <v>2.85</v>
      </c>
      <c r="AF278" s="6" t="s">
        <v>5</v>
      </c>
      <c r="AG278" s="6" t="s">
        <v>5</v>
      </c>
      <c r="AH278" s="22">
        <v>0.63800000000000001</v>
      </c>
      <c r="AI278" s="7">
        <v>5.04</v>
      </c>
      <c r="AJ278" s="6" t="s">
        <v>5</v>
      </c>
      <c r="AK278" s="6" t="s">
        <v>5</v>
      </c>
      <c r="AL278" s="6" t="s">
        <v>5</v>
      </c>
      <c r="AM278" s="6" t="s">
        <v>5</v>
      </c>
      <c r="AN278" s="4">
        <v>25.9</v>
      </c>
      <c r="AO278" s="4">
        <v>90.4</v>
      </c>
      <c r="AP278" s="4">
        <v>21.2</v>
      </c>
      <c r="AQ278" s="4">
        <v>11.8</v>
      </c>
      <c r="AR278" s="7">
        <v>3.29</v>
      </c>
      <c r="AS278" s="4">
        <v>15.3</v>
      </c>
      <c r="AT278" s="7">
        <v>7.4</v>
      </c>
      <c r="AU278" s="7">
        <v>4.67</v>
      </c>
      <c r="AV278" s="7">
        <v>1.35</v>
      </c>
      <c r="AW278" s="6" t="s">
        <v>5</v>
      </c>
      <c r="AX278" s="6" t="s">
        <v>5</v>
      </c>
      <c r="AY278" s="6" t="s">
        <v>5</v>
      </c>
      <c r="AZ278" s="22">
        <v>0.88400000000000001</v>
      </c>
      <c r="BA278" s="7">
        <v>2.5</v>
      </c>
      <c r="BB278" s="6" t="s">
        <v>5</v>
      </c>
      <c r="BC278" s="6" t="s">
        <v>5</v>
      </c>
      <c r="BD278" s="6" t="s">
        <v>5</v>
      </c>
      <c r="BE278" s="6" t="s">
        <v>5</v>
      </c>
      <c r="BF278" s="6" t="s">
        <v>5</v>
      </c>
      <c r="BG278" s="6" t="s">
        <v>5</v>
      </c>
      <c r="BH278" s="6" t="s">
        <v>5</v>
      </c>
      <c r="BI278" s="7">
        <v>4.3600000000000003</v>
      </c>
      <c r="BJ278" s="22">
        <v>0.66500000000000004</v>
      </c>
      <c r="BK278" s="6" t="s">
        <v>5</v>
      </c>
      <c r="BL278" s="2" t="s">
        <v>5</v>
      </c>
      <c r="BM278" s="2" t="s">
        <v>5</v>
      </c>
      <c r="BN278" s="2" t="s">
        <v>5</v>
      </c>
      <c r="BO278" s="2" t="s">
        <v>5</v>
      </c>
      <c r="BP278" s="2" t="s">
        <v>5</v>
      </c>
      <c r="BQ278" s="2" t="s">
        <v>5</v>
      </c>
      <c r="BR278" s="2" t="s">
        <v>5</v>
      </c>
      <c r="BS278" s="2" t="s">
        <v>5</v>
      </c>
      <c r="BT278" s="2" t="s">
        <v>5</v>
      </c>
      <c r="BU278" s="2" t="s">
        <v>5</v>
      </c>
      <c r="BV278" s="2" t="s">
        <v>5</v>
      </c>
      <c r="BW278" s="2" t="s">
        <v>5</v>
      </c>
      <c r="BX278" s="2" t="s">
        <v>5</v>
      </c>
      <c r="BY278" s="25" t="s">
        <v>5</v>
      </c>
      <c r="BZ278" s="25" t="s">
        <v>5</v>
      </c>
      <c r="CA278" s="4">
        <v>27</v>
      </c>
      <c r="CB278" s="6" t="s">
        <v>5</v>
      </c>
      <c r="CC278" s="4">
        <v>33.6</v>
      </c>
      <c r="CD278" s="4">
        <v>27.6</v>
      </c>
      <c r="CE278" s="4">
        <v>34.1</v>
      </c>
      <c r="CF278" s="16" t="s">
        <v>5</v>
      </c>
      <c r="CG278" s="5">
        <v>3.5</v>
      </c>
      <c r="CH278" s="18" t="s">
        <v>5</v>
      </c>
      <c r="CV278" s="344" t="str">
        <f t="shared" si="23"/>
        <v>WT6X7</v>
      </c>
      <c r="CW278" s="338">
        <v>2.08</v>
      </c>
      <c r="DH278" s="397" t="s">
        <v>1524</v>
      </c>
      <c r="DI278" s="400">
        <v>5.87</v>
      </c>
      <c r="DJ278" s="400">
        <v>6.2</v>
      </c>
      <c r="DK278" s="399">
        <v>0.26</v>
      </c>
      <c r="DL278" s="398">
        <v>19.100000000000001</v>
      </c>
      <c r="DM278" s="400">
        <v>8.25</v>
      </c>
      <c r="DN278" s="398">
        <v>14.9</v>
      </c>
      <c r="DO278" s="411">
        <v>13.4</v>
      </c>
      <c r="DP278" s="115"/>
      <c r="DQ278" s="434" t="s">
        <v>1524</v>
      </c>
      <c r="DR278" s="435">
        <v>14.9</v>
      </c>
      <c r="DS278" s="436">
        <v>41.4</v>
      </c>
      <c r="DT278" s="431"/>
      <c r="DU278" s="431"/>
      <c r="DV278" s="431"/>
      <c r="DW278" s="431"/>
      <c r="DX278" s="432"/>
      <c r="DZ278" s="447" t="s">
        <v>1507</v>
      </c>
      <c r="EA278" s="448">
        <v>15</v>
      </c>
      <c r="EB278" s="448">
        <v>4.4400000000000004</v>
      </c>
      <c r="EC278" s="448">
        <v>8.11</v>
      </c>
      <c r="ED278" s="448" t="s">
        <v>1782</v>
      </c>
      <c r="EE278" s="448">
        <v>0.245</v>
      </c>
      <c r="EF278" s="449">
        <v>44930</v>
      </c>
      <c r="EG278" s="449">
        <v>44934</v>
      </c>
      <c r="EH278" s="448">
        <v>4.0199999999999996</v>
      </c>
      <c r="EI278" s="448">
        <v>4</v>
      </c>
      <c r="EJ278" s="448">
        <v>0.315</v>
      </c>
      <c r="EK278" s="449">
        <v>45062</v>
      </c>
      <c r="EL278" s="448">
        <v>6.37</v>
      </c>
      <c r="EM278" s="448">
        <v>28.1</v>
      </c>
      <c r="EN278" s="448">
        <v>48</v>
      </c>
      <c r="EO278" s="448">
        <v>11.8</v>
      </c>
      <c r="EP278" s="448">
        <v>3.29</v>
      </c>
      <c r="EQ278" s="448">
        <v>13.6</v>
      </c>
      <c r="ER278" s="448">
        <v>3.41</v>
      </c>
      <c r="ES278" s="448">
        <v>1.7</v>
      </c>
      <c r="ET278" s="448">
        <v>0.876</v>
      </c>
      <c r="EU278" s="450">
        <v>2.67</v>
      </c>
    </row>
    <row r="279" spans="2:151">
      <c r="B279" s="78" t="s">
        <v>145</v>
      </c>
      <c r="C279" s="79" t="s">
        <v>285</v>
      </c>
      <c r="D279" s="80" t="s">
        <v>285</v>
      </c>
      <c r="E279" s="1" t="s">
        <v>4</v>
      </c>
      <c r="F279" s="4">
        <v>25</v>
      </c>
      <c r="G279" s="7">
        <v>7.36</v>
      </c>
      <c r="H279" s="3" t="str">
        <f t="shared" si="22"/>
        <v>WT10.5X25</v>
      </c>
      <c r="I279" s="4">
        <v>10.4</v>
      </c>
      <c r="J279" s="5">
        <v>10.375</v>
      </c>
      <c r="K279" s="6" t="s">
        <v>5</v>
      </c>
      <c r="L279" s="6" t="s">
        <v>5</v>
      </c>
      <c r="M279" s="6" t="s">
        <v>5</v>
      </c>
      <c r="N279" s="7">
        <v>6.53</v>
      </c>
      <c r="O279" s="5">
        <v>6.5</v>
      </c>
      <c r="P279" s="5" t="s">
        <v>5</v>
      </c>
      <c r="Q279" s="6" t="s">
        <v>5</v>
      </c>
      <c r="R279" s="6" t="s">
        <v>5</v>
      </c>
      <c r="S279" s="22">
        <v>0.38</v>
      </c>
      <c r="T279" s="5">
        <v>0.375</v>
      </c>
      <c r="U279" s="8">
        <v>0.1875</v>
      </c>
      <c r="V279" s="22">
        <v>0.53500000000000003</v>
      </c>
      <c r="W279" s="8">
        <v>0.5625</v>
      </c>
      <c r="X279" s="22">
        <v>0.53500000000000003</v>
      </c>
      <c r="Y279" s="6" t="s">
        <v>5</v>
      </c>
      <c r="Z279" s="6" t="s">
        <v>5</v>
      </c>
      <c r="AA279" s="7">
        <v>1.04</v>
      </c>
      <c r="AB279" s="8">
        <v>1.25</v>
      </c>
      <c r="AC279" s="8" t="s">
        <v>5</v>
      </c>
      <c r="AD279" s="6" t="s">
        <v>5</v>
      </c>
      <c r="AE279" s="7">
        <v>2.93</v>
      </c>
      <c r="AF279" s="6" t="s">
        <v>5</v>
      </c>
      <c r="AG279" s="6" t="s">
        <v>5</v>
      </c>
      <c r="AH279" s="22">
        <v>0.77100000000000002</v>
      </c>
      <c r="AI279" s="7">
        <v>6.1</v>
      </c>
      <c r="AJ279" s="6" t="s">
        <v>5</v>
      </c>
      <c r="AK279" s="6" t="s">
        <v>5</v>
      </c>
      <c r="AL279" s="6" t="s">
        <v>5</v>
      </c>
      <c r="AM279" s="6" t="s">
        <v>5</v>
      </c>
      <c r="AN279" s="4">
        <v>27.4</v>
      </c>
      <c r="AO279" s="4">
        <v>80.3</v>
      </c>
      <c r="AP279" s="4">
        <v>19.399999999999999</v>
      </c>
      <c r="AQ279" s="4">
        <v>10.7</v>
      </c>
      <c r="AR279" s="7">
        <v>3.3</v>
      </c>
      <c r="AS279" s="4">
        <v>12.5</v>
      </c>
      <c r="AT279" s="7">
        <v>6.08</v>
      </c>
      <c r="AU279" s="7">
        <v>3.82</v>
      </c>
      <c r="AV279" s="7">
        <v>1.3</v>
      </c>
      <c r="AW279" s="6" t="s">
        <v>5</v>
      </c>
      <c r="AX279" s="6" t="s">
        <v>5</v>
      </c>
      <c r="AY279" s="6" t="s">
        <v>5</v>
      </c>
      <c r="AZ279" s="22">
        <v>0.56999999999999995</v>
      </c>
      <c r="BA279" s="7">
        <v>1.89</v>
      </c>
      <c r="BB279" s="6" t="s">
        <v>5</v>
      </c>
      <c r="BC279" s="6" t="s">
        <v>5</v>
      </c>
      <c r="BD279" s="6" t="s">
        <v>5</v>
      </c>
      <c r="BE279" s="6" t="s">
        <v>5</v>
      </c>
      <c r="BF279" s="6" t="s">
        <v>5</v>
      </c>
      <c r="BG279" s="6" t="s">
        <v>5</v>
      </c>
      <c r="BH279" s="6" t="s">
        <v>5</v>
      </c>
      <c r="BI279" s="7">
        <v>4.4400000000000004</v>
      </c>
      <c r="BJ279" s="22">
        <v>0.64</v>
      </c>
      <c r="BK279" s="6" t="s">
        <v>5</v>
      </c>
      <c r="BL279" s="2" t="s">
        <v>5</v>
      </c>
      <c r="BM279" s="2" t="s">
        <v>5</v>
      </c>
      <c r="BN279" s="2" t="s">
        <v>5</v>
      </c>
      <c r="BO279" s="2" t="s">
        <v>5</v>
      </c>
      <c r="BP279" s="2" t="s">
        <v>5</v>
      </c>
      <c r="BQ279" s="2" t="s">
        <v>5</v>
      </c>
      <c r="BR279" s="2" t="s">
        <v>5</v>
      </c>
      <c r="BS279" s="2" t="s">
        <v>5</v>
      </c>
      <c r="BT279" s="2" t="s">
        <v>5</v>
      </c>
      <c r="BU279" s="2" t="s">
        <v>5</v>
      </c>
      <c r="BV279" s="2" t="s">
        <v>5</v>
      </c>
      <c r="BW279" s="2" t="s">
        <v>5</v>
      </c>
      <c r="BX279" s="2" t="s">
        <v>5</v>
      </c>
      <c r="BY279" s="25" t="s">
        <v>5</v>
      </c>
      <c r="BZ279" s="25" t="s">
        <v>5</v>
      </c>
      <c r="CA279" s="4">
        <v>26.8</v>
      </c>
      <c r="CB279" s="6" t="s">
        <v>5</v>
      </c>
      <c r="CC279" s="4">
        <v>33.299999999999997</v>
      </c>
      <c r="CD279" s="4">
        <v>27.3</v>
      </c>
      <c r="CE279" s="4">
        <v>33.9</v>
      </c>
      <c r="CF279" s="16" t="s">
        <v>5</v>
      </c>
      <c r="CG279" s="5">
        <v>3.5</v>
      </c>
      <c r="CH279" s="18" t="s">
        <v>5</v>
      </c>
      <c r="CV279" s="344" t="str">
        <f t="shared" si="23"/>
        <v>WT4X6.5</v>
      </c>
      <c r="CW279" s="338">
        <v>1.92</v>
      </c>
      <c r="DH279" s="397" t="s">
        <v>1525</v>
      </c>
      <c r="DI279" s="400">
        <v>4.43</v>
      </c>
      <c r="DJ279" s="400">
        <v>5.99</v>
      </c>
      <c r="DK279" s="399">
        <v>0.23</v>
      </c>
      <c r="DL279" s="398">
        <v>21.6</v>
      </c>
      <c r="DM279" s="398">
        <v>11.5</v>
      </c>
      <c r="DN279" s="398">
        <v>10.8</v>
      </c>
      <c r="DO279" s="412">
        <v>9.7200000000000006</v>
      </c>
      <c r="DP279" s="116"/>
      <c r="DQ279" s="434" t="s">
        <v>1525</v>
      </c>
      <c r="DR279" s="435">
        <v>10.8</v>
      </c>
      <c r="DS279" s="436">
        <v>29.1</v>
      </c>
      <c r="DT279" s="431"/>
      <c r="DU279" s="431"/>
      <c r="DV279" s="431"/>
      <c r="DW279" s="431"/>
      <c r="DX279" s="432"/>
      <c r="DZ279" s="447" t="s">
        <v>1509</v>
      </c>
      <c r="EA279" s="448">
        <v>13</v>
      </c>
      <c r="EB279" s="448">
        <v>3.84</v>
      </c>
      <c r="EC279" s="448">
        <v>7.99</v>
      </c>
      <c r="ED279" s="448">
        <v>8</v>
      </c>
      <c r="EE279" s="448">
        <v>0.23</v>
      </c>
      <c r="EF279" s="449">
        <v>44930</v>
      </c>
      <c r="EG279" s="449">
        <v>44934</v>
      </c>
      <c r="EH279" s="448">
        <v>4</v>
      </c>
      <c r="EI279" s="448">
        <v>4</v>
      </c>
      <c r="EJ279" s="448">
        <v>0.255</v>
      </c>
      <c r="EK279" s="449">
        <v>44930</v>
      </c>
      <c r="EL279" s="448">
        <v>7.84</v>
      </c>
      <c r="EM279" s="448">
        <v>29.9</v>
      </c>
      <c r="EN279" s="448">
        <v>39.6</v>
      </c>
      <c r="EO279" s="448">
        <v>9.91</v>
      </c>
      <c r="EP279" s="448">
        <v>3.21</v>
      </c>
      <c r="EQ279" s="448">
        <v>11.4</v>
      </c>
      <c r="ER279" s="448">
        <v>2.73</v>
      </c>
      <c r="ES279" s="448">
        <v>1.37</v>
      </c>
      <c r="ET279" s="448">
        <v>0.84299999999999997</v>
      </c>
      <c r="EU279" s="450">
        <v>2.15</v>
      </c>
    </row>
    <row r="280" spans="2:151">
      <c r="B280" s="78" t="s">
        <v>145</v>
      </c>
      <c r="C280" s="79" t="s">
        <v>286</v>
      </c>
      <c r="D280" s="80" t="s">
        <v>286</v>
      </c>
      <c r="E280" s="1" t="s">
        <v>4</v>
      </c>
      <c r="F280" s="4">
        <v>22</v>
      </c>
      <c r="G280" s="7">
        <v>6.49</v>
      </c>
      <c r="H280" s="3" t="str">
        <f t="shared" si="22"/>
        <v>WT10.5X22</v>
      </c>
      <c r="I280" s="4">
        <v>10.3</v>
      </c>
      <c r="J280" s="5">
        <v>10.375</v>
      </c>
      <c r="K280" s="6" t="s">
        <v>5</v>
      </c>
      <c r="L280" s="6" t="s">
        <v>5</v>
      </c>
      <c r="M280" s="6" t="s">
        <v>5</v>
      </c>
      <c r="N280" s="7">
        <v>6.5</v>
      </c>
      <c r="O280" s="5">
        <v>6.5</v>
      </c>
      <c r="P280" s="5" t="s">
        <v>5</v>
      </c>
      <c r="Q280" s="6" t="s">
        <v>5</v>
      </c>
      <c r="R280" s="6" t="s">
        <v>5</v>
      </c>
      <c r="S280" s="22">
        <v>0.35</v>
      </c>
      <c r="T280" s="5">
        <v>0.375</v>
      </c>
      <c r="U280" s="8">
        <v>0.1875</v>
      </c>
      <c r="V280" s="22">
        <v>0.45</v>
      </c>
      <c r="W280" s="8">
        <v>0.4375</v>
      </c>
      <c r="X280" s="22">
        <v>0.45</v>
      </c>
      <c r="Y280" s="6" t="s">
        <v>5</v>
      </c>
      <c r="Z280" s="6" t="s">
        <v>5</v>
      </c>
      <c r="AA280" s="22">
        <v>0.95</v>
      </c>
      <c r="AB280" s="8">
        <v>1.125</v>
      </c>
      <c r="AC280" s="8" t="s">
        <v>5</v>
      </c>
      <c r="AD280" s="6" t="s">
        <v>5</v>
      </c>
      <c r="AE280" s="7">
        <v>2.98</v>
      </c>
      <c r="AF280" s="6" t="s">
        <v>5</v>
      </c>
      <c r="AG280" s="6" t="s">
        <v>5</v>
      </c>
      <c r="AH280" s="7">
        <v>1.06</v>
      </c>
      <c r="AI280" s="7">
        <v>7.22</v>
      </c>
      <c r="AJ280" s="6" t="s">
        <v>5</v>
      </c>
      <c r="AK280" s="6" t="s">
        <v>5</v>
      </c>
      <c r="AL280" s="6" t="s">
        <v>5</v>
      </c>
      <c r="AM280" s="6" t="s">
        <v>5</v>
      </c>
      <c r="AN280" s="4">
        <v>29.4</v>
      </c>
      <c r="AO280" s="4">
        <v>71.099999999999994</v>
      </c>
      <c r="AP280" s="4">
        <v>17.600000000000001</v>
      </c>
      <c r="AQ280" s="7">
        <v>9.68</v>
      </c>
      <c r="AR280" s="7">
        <v>3.31</v>
      </c>
      <c r="AS280" s="4">
        <v>10.3</v>
      </c>
      <c r="AT280" s="7">
        <v>5.07</v>
      </c>
      <c r="AU280" s="7">
        <v>3.18</v>
      </c>
      <c r="AV280" s="7">
        <v>1.26</v>
      </c>
      <c r="AW280" s="6" t="s">
        <v>5</v>
      </c>
      <c r="AX280" s="6" t="s">
        <v>5</v>
      </c>
      <c r="AY280" s="6" t="s">
        <v>5</v>
      </c>
      <c r="AZ280" s="22">
        <v>0.38300000000000001</v>
      </c>
      <c r="BA280" s="7">
        <v>1.4</v>
      </c>
      <c r="BB280" s="6" t="s">
        <v>5</v>
      </c>
      <c r="BC280" s="6" t="s">
        <v>5</v>
      </c>
      <c r="BD280" s="6" t="s">
        <v>5</v>
      </c>
      <c r="BE280" s="6" t="s">
        <v>5</v>
      </c>
      <c r="BF280" s="6" t="s">
        <v>5</v>
      </c>
      <c r="BG280" s="6" t="s">
        <v>5</v>
      </c>
      <c r="BH280" s="6" t="s">
        <v>5</v>
      </c>
      <c r="BI280" s="7">
        <v>4.49</v>
      </c>
      <c r="BJ280" s="22">
        <v>0.623</v>
      </c>
      <c r="BK280" s="6" t="s">
        <v>5</v>
      </c>
      <c r="BL280" s="2" t="s">
        <v>5</v>
      </c>
      <c r="BM280" s="2" t="s">
        <v>5</v>
      </c>
      <c r="BN280" s="2" t="s">
        <v>5</v>
      </c>
      <c r="BO280" s="2" t="s">
        <v>5</v>
      </c>
      <c r="BP280" s="2" t="s">
        <v>5</v>
      </c>
      <c r="BQ280" s="2" t="s">
        <v>5</v>
      </c>
      <c r="BR280" s="2" t="s">
        <v>5</v>
      </c>
      <c r="BS280" s="2" t="s">
        <v>5</v>
      </c>
      <c r="BT280" s="2" t="s">
        <v>5</v>
      </c>
      <c r="BU280" s="2" t="s">
        <v>5</v>
      </c>
      <c r="BV280" s="2" t="s">
        <v>5</v>
      </c>
      <c r="BW280" s="2" t="s">
        <v>5</v>
      </c>
      <c r="BX280" s="2" t="s">
        <v>5</v>
      </c>
      <c r="BY280" s="25" t="s">
        <v>5</v>
      </c>
      <c r="BZ280" s="25" t="s">
        <v>5</v>
      </c>
      <c r="CA280" s="4">
        <v>26.6</v>
      </c>
      <c r="CB280" s="6" t="s">
        <v>5</v>
      </c>
      <c r="CC280" s="4">
        <v>33.1</v>
      </c>
      <c r="CD280" s="4">
        <v>27.1</v>
      </c>
      <c r="CE280" s="6">
        <v>33.6</v>
      </c>
      <c r="CF280" s="16" t="s">
        <v>5</v>
      </c>
      <c r="CG280" s="5">
        <v>3.5</v>
      </c>
      <c r="CH280" s="18" t="s">
        <v>5</v>
      </c>
      <c r="CV280" s="344" t="str">
        <f t="shared" si="23"/>
        <v>WT2X6.5</v>
      </c>
      <c r="CW280" s="338">
        <v>1.91</v>
      </c>
      <c r="DH280" s="397" t="s">
        <v>1526</v>
      </c>
      <c r="DI280" s="400">
        <v>4.74</v>
      </c>
      <c r="DJ280" s="400">
        <v>6.28</v>
      </c>
      <c r="DK280" s="399">
        <v>0.26</v>
      </c>
      <c r="DL280" s="398">
        <v>19.100000000000001</v>
      </c>
      <c r="DM280" s="400">
        <v>4.9800000000000004</v>
      </c>
      <c r="DN280" s="398">
        <v>11.7</v>
      </c>
      <c r="DO280" s="411">
        <v>10.199999999999999</v>
      </c>
      <c r="DP280" s="115"/>
      <c r="DQ280" s="434" t="s">
        <v>1526</v>
      </c>
      <c r="DR280" s="435">
        <v>11.7</v>
      </c>
      <c r="DS280" s="436">
        <v>32.1</v>
      </c>
      <c r="DT280" s="431"/>
      <c r="DU280" s="431"/>
      <c r="DV280" s="431"/>
      <c r="DW280" s="431"/>
      <c r="DX280" s="432"/>
      <c r="DZ280" s="447" t="s">
        <v>1510</v>
      </c>
      <c r="EA280" s="448">
        <v>10</v>
      </c>
      <c r="EB280" s="448">
        <v>2.96</v>
      </c>
      <c r="EC280" s="448">
        <v>7.89</v>
      </c>
      <c r="ED280" s="448" t="s">
        <v>1831</v>
      </c>
      <c r="EE280" s="448">
        <v>0.17</v>
      </c>
      <c r="EF280" s="449">
        <v>45001</v>
      </c>
      <c r="EG280" s="449">
        <v>44934</v>
      </c>
      <c r="EH280" s="448">
        <v>3.94</v>
      </c>
      <c r="EI280" s="448">
        <v>4</v>
      </c>
      <c r="EJ280" s="448">
        <v>0.20499999999999999</v>
      </c>
      <c r="EK280" s="449">
        <v>45001</v>
      </c>
      <c r="EL280" s="448">
        <v>9.61</v>
      </c>
      <c r="EM280" s="448">
        <v>40.5</v>
      </c>
      <c r="EN280" s="448">
        <v>30.8</v>
      </c>
      <c r="EO280" s="448">
        <v>7.81</v>
      </c>
      <c r="EP280" s="448">
        <v>3.22</v>
      </c>
      <c r="EQ280" s="448">
        <v>8.8699999999999992</v>
      </c>
      <c r="ER280" s="448">
        <v>2.09</v>
      </c>
      <c r="ES280" s="448">
        <v>1.06</v>
      </c>
      <c r="ET280" s="448">
        <v>0.84099999999999997</v>
      </c>
      <c r="EU280" s="450">
        <v>1.66</v>
      </c>
    </row>
    <row r="281" spans="2:151">
      <c r="B281" s="78" t="s">
        <v>145</v>
      </c>
      <c r="C281" s="79" t="s">
        <v>287</v>
      </c>
      <c r="D281" s="80" t="s">
        <v>287</v>
      </c>
      <c r="E281" s="1" t="s">
        <v>4</v>
      </c>
      <c r="F281" s="6">
        <v>155.5</v>
      </c>
      <c r="G281" s="4">
        <v>45.8</v>
      </c>
      <c r="H281" s="3" t="str">
        <f t="shared" si="22"/>
        <v>WT9X155.5</v>
      </c>
      <c r="I281" s="4">
        <v>11.2</v>
      </c>
      <c r="J281" s="5">
        <v>11.125</v>
      </c>
      <c r="K281" s="6" t="s">
        <v>5</v>
      </c>
      <c r="L281" s="6" t="s">
        <v>5</v>
      </c>
      <c r="M281" s="6" t="s">
        <v>5</v>
      </c>
      <c r="N281" s="4">
        <v>12</v>
      </c>
      <c r="O281" s="5">
        <v>12</v>
      </c>
      <c r="P281" s="5" t="s">
        <v>5</v>
      </c>
      <c r="Q281" s="6" t="s">
        <v>5</v>
      </c>
      <c r="R281" s="6" t="s">
        <v>5</v>
      </c>
      <c r="S281" s="7">
        <v>1.52</v>
      </c>
      <c r="T281" s="5">
        <v>1.5</v>
      </c>
      <c r="U281" s="8">
        <v>0.75</v>
      </c>
      <c r="V281" s="7">
        <v>2.74</v>
      </c>
      <c r="W281" s="8">
        <v>2.75</v>
      </c>
      <c r="X281" s="7">
        <v>2.74</v>
      </c>
      <c r="Y281" s="6" t="s">
        <v>5</v>
      </c>
      <c r="Z281" s="6" t="s">
        <v>5</v>
      </c>
      <c r="AA281" s="33">
        <v>3.24</v>
      </c>
      <c r="AB281" s="34">
        <v>3.5625</v>
      </c>
      <c r="AC281" s="8" t="s">
        <v>5</v>
      </c>
      <c r="AD281" s="6" t="s">
        <v>5</v>
      </c>
      <c r="AE281" s="37">
        <v>2.93</v>
      </c>
      <c r="AF281" s="6" t="s">
        <v>5</v>
      </c>
      <c r="AG281" s="6" t="s">
        <v>5</v>
      </c>
      <c r="AH281" s="33">
        <v>1.91</v>
      </c>
      <c r="AI281" s="33">
        <v>2.19</v>
      </c>
      <c r="AJ281" s="6" t="s">
        <v>5</v>
      </c>
      <c r="AK281" s="6" t="s">
        <v>5</v>
      </c>
      <c r="AL281" s="6" t="s">
        <v>5</v>
      </c>
      <c r="AM281" s="6" t="s">
        <v>5</v>
      </c>
      <c r="AN281" s="7">
        <v>7.37</v>
      </c>
      <c r="AO281" s="38">
        <v>383</v>
      </c>
      <c r="AP281" s="39">
        <v>90.6</v>
      </c>
      <c r="AQ281" s="4">
        <v>46.6</v>
      </c>
      <c r="AR281" s="7">
        <v>2.89</v>
      </c>
      <c r="AS281" s="38">
        <v>398</v>
      </c>
      <c r="AT281" s="38">
        <v>104</v>
      </c>
      <c r="AU281" s="4">
        <v>66.2</v>
      </c>
      <c r="AV281" s="7">
        <v>2.95</v>
      </c>
      <c r="AW281" s="6" t="s">
        <v>5</v>
      </c>
      <c r="AX281" s="6" t="s">
        <v>5</v>
      </c>
      <c r="AY281" s="6" t="s">
        <v>5</v>
      </c>
      <c r="AZ281" s="39">
        <v>87.2</v>
      </c>
      <c r="BA281" s="6">
        <v>339</v>
      </c>
      <c r="BB281" s="6" t="s">
        <v>5</v>
      </c>
      <c r="BC281" s="6" t="s">
        <v>5</v>
      </c>
      <c r="BD281" s="6" t="s">
        <v>5</v>
      </c>
      <c r="BE281" s="6" t="s">
        <v>5</v>
      </c>
      <c r="BF281" s="6" t="s">
        <v>5</v>
      </c>
      <c r="BG281" s="6" t="s">
        <v>5</v>
      </c>
      <c r="BH281" s="6" t="s">
        <v>5</v>
      </c>
      <c r="BI281" s="7">
        <v>4.41</v>
      </c>
      <c r="BJ281" s="22">
        <v>0.875</v>
      </c>
      <c r="BK281" s="6" t="s">
        <v>5</v>
      </c>
      <c r="BL281" s="2" t="s">
        <v>5</v>
      </c>
      <c r="BM281" s="2" t="s">
        <v>5</v>
      </c>
      <c r="BN281" s="2" t="s">
        <v>5</v>
      </c>
      <c r="BO281" s="2" t="s">
        <v>5</v>
      </c>
      <c r="BP281" s="2" t="s">
        <v>5</v>
      </c>
      <c r="BQ281" s="2" t="s">
        <v>5</v>
      </c>
      <c r="BR281" s="2" t="s">
        <v>5</v>
      </c>
      <c r="BS281" s="2" t="s">
        <v>5</v>
      </c>
      <c r="BT281" s="2" t="s">
        <v>5</v>
      </c>
      <c r="BU281" s="2" t="s">
        <v>5</v>
      </c>
      <c r="BV281" s="2" t="s">
        <v>5</v>
      </c>
      <c r="BW281" s="2" t="s">
        <v>5</v>
      </c>
      <c r="BX281" s="2" t="s">
        <v>5</v>
      </c>
      <c r="BY281" s="25" t="s">
        <v>5</v>
      </c>
      <c r="BZ281" s="25" t="s">
        <v>5</v>
      </c>
      <c r="CA281" s="4">
        <v>33.700000000000003</v>
      </c>
      <c r="CB281" s="6" t="s">
        <v>5</v>
      </c>
      <c r="CC281" s="4">
        <v>45.7</v>
      </c>
      <c r="CD281" s="4">
        <v>34.4</v>
      </c>
      <c r="CE281" s="6">
        <v>46.4</v>
      </c>
      <c r="CF281" s="16" t="s">
        <v>5</v>
      </c>
      <c r="CG281" s="5">
        <v>5.5</v>
      </c>
      <c r="CH281" s="18" t="s">
        <v>5</v>
      </c>
      <c r="CV281" s="344" t="str">
        <f t="shared" si="23"/>
        <v>WT3X6</v>
      </c>
      <c r="CW281" s="338">
        <v>1.78</v>
      </c>
      <c r="DH281" s="397" t="s">
        <v>1527</v>
      </c>
      <c r="DI281" s="400">
        <v>3.55</v>
      </c>
      <c r="DJ281" s="400">
        <v>6.03</v>
      </c>
      <c r="DK281" s="399">
        <v>0.23</v>
      </c>
      <c r="DL281" s="398">
        <v>21.6</v>
      </c>
      <c r="DM281" s="400">
        <v>7.14</v>
      </c>
      <c r="DN281" s="400">
        <v>8.3000000000000007</v>
      </c>
      <c r="DO281" s="412">
        <v>7.31</v>
      </c>
      <c r="DP281" s="116"/>
      <c r="DQ281" s="434" t="s">
        <v>1527</v>
      </c>
      <c r="DR281" s="437">
        <v>8.3000000000000007</v>
      </c>
      <c r="DS281" s="436">
        <v>22.1</v>
      </c>
      <c r="DT281" s="431"/>
      <c r="DU281" s="431"/>
      <c r="DV281" s="431"/>
      <c r="DW281" s="431"/>
      <c r="DX281" s="432"/>
      <c r="DZ281" s="447" t="s">
        <v>1523</v>
      </c>
      <c r="EA281" s="448">
        <v>25</v>
      </c>
      <c r="EB281" s="448">
        <v>7.34</v>
      </c>
      <c r="EC281" s="448">
        <v>6.38</v>
      </c>
      <c r="ED281" s="448" t="s">
        <v>1833</v>
      </c>
      <c r="EE281" s="448">
        <v>0.32</v>
      </c>
      <c r="EF281" s="449">
        <v>45062</v>
      </c>
      <c r="EG281" s="449">
        <v>45001</v>
      </c>
      <c r="EH281" s="448">
        <v>6.08</v>
      </c>
      <c r="EI281" s="448" t="s">
        <v>1834</v>
      </c>
      <c r="EJ281" s="448">
        <v>0.45500000000000002</v>
      </c>
      <c r="EK281" s="449">
        <v>45123</v>
      </c>
      <c r="EL281" s="448">
        <v>6.68</v>
      </c>
      <c r="EM281" s="448">
        <v>15.5</v>
      </c>
      <c r="EN281" s="448">
        <v>53.4</v>
      </c>
      <c r="EO281" s="448">
        <v>16.7</v>
      </c>
      <c r="EP281" s="448">
        <v>2.7</v>
      </c>
      <c r="EQ281" s="448">
        <v>18.899999999999999</v>
      </c>
      <c r="ER281" s="448">
        <v>17.100000000000001</v>
      </c>
      <c r="ES281" s="448">
        <v>5.61</v>
      </c>
      <c r="ET281" s="448">
        <v>1.52</v>
      </c>
      <c r="EU281" s="450">
        <v>8.56</v>
      </c>
    </row>
    <row r="282" spans="2:151">
      <c r="B282" s="78" t="s">
        <v>145</v>
      </c>
      <c r="C282" s="79" t="s">
        <v>288</v>
      </c>
      <c r="D282" s="80" t="s">
        <v>288</v>
      </c>
      <c r="E282" s="1" t="s">
        <v>4</v>
      </c>
      <c r="F282" s="6">
        <v>141.5</v>
      </c>
      <c r="G282" s="4">
        <v>41.7</v>
      </c>
      <c r="H282" s="3" t="str">
        <f t="shared" si="22"/>
        <v>WT9X141.5</v>
      </c>
      <c r="I282" s="4">
        <v>10.9</v>
      </c>
      <c r="J282" s="5">
        <v>10.875</v>
      </c>
      <c r="K282" s="6" t="s">
        <v>5</v>
      </c>
      <c r="L282" s="6" t="s">
        <v>5</v>
      </c>
      <c r="M282" s="6" t="s">
        <v>5</v>
      </c>
      <c r="N282" s="4">
        <v>11.9</v>
      </c>
      <c r="O282" s="5">
        <v>11.875</v>
      </c>
      <c r="P282" s="5" t="s">
        <v>5</v>
      </c>
      <c r="Q282" s="6" t="s">
        <v>5</v>
      </c>
      <c r="R282" s="6" t="s">
        <v>5</v>
      </c>
      <c r="S282" s="7">
        <v>1.4</v>
      </c>
      <c r="T282" s="5">
        <v>1.375</v>
      </c>
      <c r="U282" s="8">
        <v>0.6875</v>
      </c>
      <c r="V282" s="7">
        <v>2.5</v>
      </c>
      <c r="W282" s="8">
        <v>2.5</v>
      </c>
      <c r="X282" s="7">
        <v>2.5</v>
      </c>
      <c r="Y282" s="6" t="s">
        <v>5</v>
      </c>
      <c r="Z282" s="6" t="s">
        <v>5</v>
      </c>
      <c r="AA282" s="33">
        <v>3</v>
      </c>
      <c r="AB282" s="34">
        <v>3.375</v>
      </c>
      <c r="AC282" s="8" t="s">
        <v>5</v>
      </c>
      <c r="AD282" s="6" t="s">
        <v>5</v>
      </c>
      <c r="AE282" s="37">
        <v>2.8</v>
      </c>
      <c r="AF282" s="6" t="s">
        <v>5</v>
      </c>
      <c r="AG282" s="6" t="s">
        <v>5</v>
      </c>
      <c r="AH282" s="33">
        <v>1.75</v>
      </c>
      <c r="AI282" s="33">
        <v>2.38</v>
      </c>
      <c r="AJ282" s="6" t="s">
        <v>5</v>
      </c>
      <c r="AK282" s="6" t="s">
        <v>5</v>
      </c>
      <c r="AL282" s="6" t="s">
        <v>5</v>
      </c>
      <c r="AM282" s="6" t="s">
        <v>5</v>
      </c>
      <c r="AN282" s="7">
        <v>7.79</v>
      </c>
      <c r="AO282" s="38">
        <v>337</v>
      </c>
      <c r="AP282" s="39">
        <v>80.2</v>
      </c>
      <c r="AQ282" s="4">
        <v>41.5</v>
      </c>
      <c r="AR282" s="7">
        <v>2.85</v>
      </c>
      <c r="AS282" s="38">
        <v>352</v>
      </c>
      <c r="AT282" s="39">
        <v>92.5</v>
      </c>
      <c r="AU282" s="4">
        <v>59.2</v>
      </c>
      <c r="AV282" s="7">
        <v>2.91</v>
      </c>
      <c r="AW282" s="6" t="s">
        <v>5</v>
      </c>
      <c r="AX282" s="6" t="s">
        <v>5</v>
      </c>
      <c r="AY282" s="6" t="s">
        <v>5</v>
      </c>
      <c r="AZ282" s="39">
        <v>66.5</v>
      </c>
      <c r="BA282" s="6">
        <v>251</v>
      </c>
      <c r="BB282" s="6" t="s">
        <v>5</v>
      </c>
      <c r="BC282" s="6" t="s">
        <v>5</v>
      </c>
      <c r="BD282" s="6" t="s">
        <v>5</v>
      </c>
      <c r="BE282" s="6" t="s">
        <v>5</v>
      </c>
      <c r="BF282" s="6" t="s">
        <v>5</v>
      </c>
      <c r="BG282" s="6" t="s">
        <v>5</v>
      </c>
      <c r="BH282" s="6" t="s">
        <v>5</v>
      </c>
      <c r="BI282" s="7">
        <v>4.3600000000000003</v>
      </c>
      <c r="BJ282" s="22">
        <v>0.873</v>
      </c>
      <c r="BK282" s="6" t="s">
        <v>5</v>
      </c>
      <c r="BL282" s="2" t="s">
        <v>5</v>
      </c>
      <c r="BM282" s="2" t="s">
        <v>5</v>
      </c>
      <c r="BN282" s="2" t="s">
        <v>5</v>
      </c>
      <c r="BO282" s="2" t="s">
        <v>5</v>
      </c>
      <c r="BP282" s="2" t="s">
        <v>5</v>
      </c>
      <c r="BQ282" s="2" t="s">
        <v>5</v>
      </c>
      <c r="BR282" s="2" t="s">
        <v>5</v>
      </c>
      <c r="BS282" s="2" t="s">
        <v>5</v>
      </c>
      <c r="BT282" s="2" t="s">
        <v>5</v>
      </c>
      <c r="BU282" s="2" t="s">
        <v>5</v>
      </c>
      <c r="BV282" s="2" t="s">
        <v>5</v>
      </c>
      <c r="BW282" s="2" t="s">
        <v>5</v>
      </c>
      <c r="BX282" s="2" t="s">
        <v>5</v>
      </c>
      <c r="BY282" s="25" t="s">
        <v>5</v>
      </c>
      <c r="BZ282" s="25" t="s">
        <v>5</v>
      </c>
      <c r="CA282" s="4">
        <v>33</v>
      </c>
      <c r="CB282" s="6" t="s">
        <v>5</v>
      </c>
      <c r="CC282" s="4">
        <v>44.9</v>
      </c>
      <c r="CD282" s="4">
        <v>33.700000000000003</v>
      </c>
      <c r="CE282" s="6">
        <v>45.6</v>
      </c>
      <c r="CF282" s="16" t="s">
        <v>5</v>
      </c>
      <c r="CG282" s="5">
        <v>5.5</v>
      </c>
      <c r="CH282" s="18" t="s">
        <v>5</v>
      </c>
      <c r="CV282" s="344" t="str">
        <f t="shared" si="23"/>
        <v>WT5X6</v>
      </c>
      <c r="CW282" s="338">
        <v>1.77</v>
      </c>
      <c r="DH282" s="397" t="s">
        <v>1528</v>
      </c>
      <c r="DI282" s="400">
        <v>2.68</v>
      </c>
      <c r="DJ282" s="400">
        <v>5.9</v>
      </c>
      <c r="DK282" s="399">
        <v>0.17</v>
      </c>
      <c r="DL282" s="398">
        <v>29.2</v>
      </c>
      <c r="DM282" s="400">
        <v>9.16</v>
      </c>
      <c r="DN282" s="400">
        <v>6.23</v>
      </c>
      <c r="DO282" s="412">
        <v>5.56</v>
      </c>
      <c r="DP282" s="116"/>
      <c r="DQ282" s="434" t="s">
        <v>1528</v>
      </c>
      <c r="DR282" s="437">
        <v>6.23</v>
      </c>
      <c r="DS282" s="436">
        <v>16.399999999999999</v>
      </c>
      <c r="DT282" s="431"/>
      <c r="DU282" s="431"/>
      <c r="DV282" s="431"/>
      <c r="DW282" s="431"/>
      <c r="DX282" s="432"/>
      <c r="DZ282" s="447" t="s">
        <v>1524</v>
      </c>
      <c r="EA282" s="448">
        <v>20</v>
      </c>
      <c r="EB282" s="448">
        <v>5.87</v>
      </c>
      <c r="EC282" s="448">
        <v>6.2</v>
      </c>
      <c r="ED282" s="448" t="s">
        <v>1835</v>
      </c>
      <c r="EE282" s="448">
        <v>0.26</v>
      </c>
      <c r="EF282" s="449">
        <v>44930</v>
      </c>
      <c r="EG282" s="449">
        <v>44934</v>
      </c>
      <c r="EH282" s="448">
        <v>6.02</v>
      </c>
      <c r="EI282" s="448">
        <v>6</v>
      </c>
      <c r="EJ282" s="448">
        <v>0.36499999999999999</v>
      </c>
      <c r="EK282" s="449">
        <v>44993</v>
      </c>
      <c r="EL282" s="448">
        <v>8.25</v>
      </c>
      <c r="EM282" s="448">
        <v>19.100000000000001</v>
      </c>
      <c r="EN282" s="448">
        <v>41.4</v>
      </c>
      <c r="EO282" s="448">
        <v>13.4</v>
      </c>
      <c r="EP282" s="448">
        <v>2.66</v>
      </c>
      <c r="EQ282" s="448">
        <v>14.9</v>
      </c>
      <c r="ER282" s="448">
        <v>13.3</v>
      </c>
      <c r="ES282" s="448">
        <v>4.41</v>
      </c>
      <c r="ET282" s="448">
        <v>1.5</v>
      </c>
      <c r="EU282" s="450">
        <v>6.72</v>
      </c>
    </row>
    <row r="283" spans="2:151">
      <c r="B283" s="78" t="s">
        <v>145</v>
      </c>
      <c r="C283" s="79" t="s">
        <v>289</v>
      </c>
      <c r="D283" s="80" t="s">
        <v>289</v>
      </c>
      <c r="E283" s="1" t="s">
        <v>4</v>
      </c>
      <c r="F283" s="6">
        <v>129</v>
      </c>
      <c r="G283" s="4">
        <v>38</v>
      </c>
      <c r="H283" s="3" t="str">
        <f t="shared" si="22"/>
        <v>WT9X129</v>
      </c>
      <c r="I283" s="4">
        <v>10.7</v>
      </c>
      <c r="J283" s="5">
        <v>10.75</v>
      </c>
      <c r="K283" s="6" t="s">
        <v>5</v>
      </c>
      <c r="L283" s="6" t="s">
        <v>5</v>
      </c>
      <c r="M283" s="6" t="s">
        <v>5</v>
      </c>
      <c r="N283" s="4">
        <v>11.8</v>
      </c>
      <c r="O283" s="5">
        <v>11.75</v>
      </c>
      <c r="P283" s="5" t="s">
        <v>5</v>
      </c>
      <c r="Q283" s="6" t="s">
        <v>5</v>
      </c>
      <c r="R283" s="6" t="s">
        <v>5</v>
      </c>
      <c r="S283" s="7">
        <v>1.28</v>
      </c>
      <c r="T283" s="5">
        <v>1.25</v>
      </c>
      <c r="U283" s="8">
        <v>0.625</v>
      </c>
      <c r="V283" s="7">
        <v>2.2999999999999998</v>
      </c>
      <c r="W283" s="8">
        <v>2.3125</v>
      </c>
      <c r="X283" s="7">
        <v>2.2999999999999998</v>
      </c>
      <c r="Y283" s="6" t="s">
        <v>5</v>
      </c>
      <c r="Z283" s="6" t="s">
        <v>5</v>
      </c>
      <c r="AA283" s="33">
        <v>2.7</v>
      </c>
      <c r="AB283" s="34">
        <v>3.1875</v>
      </c>
      <c r="AC283" s="8" t="s">
        <v>5</v>
      </c>
      <c r="AD283" s="6" t="s">
        <v>5</v>
      </c>
      <c r="AE283" s="37">
        <v>2.68</v>
      </c>
      <c r="AF283" s="6" t="s">
        <v>5</v>
      </c>
      <c r="AG283" s="6" t="s">
        <v>5</v>
      </c>
      <c r="AH283" s="33">
        <v>1.61</v>
      </c>
      <c r="AI283" s="33">
        <v>2.56</v>
      </c>
      <c r="AJ283" s="6" t="s">
        <v>5</v>
      </c>
      <c r="AK283" s="6" t="s">
        <v>5</v>
      </c>
      <c r="AL283" s="6" t="s">
        <v>5</v>
      </c>
      <c r="AM283" s="6" t="s">
        <v>5</v>
      </c>
      <c r="AN283" s="7">
        <v>8.36</v>
      </c>
      <c r="AO283" s="38">
        <v>298</v>
      </c>
      <c r="AP283" s="39">
        <v>71</v>
      </c>
      <c r="AQ283" s="4">
        <v>37</v>
      </c>
      <c r="AR283" s="7">
        <v>2.8</v>
      </c>
      <c r="AS283" s="38">
        <v>314</v>
      </c>
      <c r="AT283" s="39">
        <v>83.1</v>
      </c>
      <c r="AU283" s="4">
        <v>53.4</v>
      </c>
      <c r="AV283" s="7">
        <v>2.88</v>
      </c>
      <c r="AW283" s="6" t="s">
        <v>5</v>
      </c>
      <c r="AX283" s="6" t="s">
        <v>5</v>
      </c>
      <c r="AY283" s="6" t="s">
        <v>5</v>
      </c>
      <c r="AZ283" s="39">
        <v>51.1</v>
      </c>
      <c r="BA283" s="6">
        <v>189</v>
      </c>
      <c r="BB283" s="6" t="s">
        <v>5</v>
      </c>
      <c r="BC283" s="6" t="s">
        <v>5</v>
      </c>
      <c r="BD283" s="6" t="s">
        <v>5</v>
      </c>
      <c r="BE283" s="6" t="s">
        <v>5</v>
      </c>
      <c r="BF283" s="6" t="s">
        <v>5</v>
      </c>
      <c r="BG283" s="6" t="s">
        <v>5</v>
      </c>
      <c r="BH283" s="6" t="s">
        <v>5</v>
      </c>
      <c r="BI283" s="7">
        <v>4.3</v>
      </c>
      <c r="BJ283" s="22">
        <v>0.874</v>
      </c>
      <c r="BK283" s="6" t="s">
        <v>5</v>
      </c>
      <c r="BL283" s="2" t="s">
        <v>5</v>
      </c>
      <c r="BM283" s="2" t="s">
        <v>5</v>
      </c>
      <c r="BN283" s="2" t="s">
        <v>5</v>
      </c>
      <c r="BO283" s="2" t="s">
        <v>5</v>
      </c>
      <c r="BP283" s="2" t="s">
        <v>5</v>
      </c>
      <c r="BQ283" s="2" t="s">
        <v>5</v>
      </c>
      <c r="BR283" s="2" t="s">
        <v>5</v>
      </c>
      <c r="BS283" s="2" t="s">
        <v>5</v>
      </c>
      <c r="BT283" s="2" t="s">
        <v>5</v>
      </c>
      <c r="BU283" s="2" t="s">
        <v>5</v>
      </c>
      <c r="BV283" s="2" t="s">
        <v>5</v>
      </c>
      <c r="BW283" s="2" t="s">
        <v>5</v>
      </c>
      <c r="BX283" s="2" t="s">
        <v>5</v>
      </c>
      <c r="BY283" s="25" t="s">
        <v>5</v>
      </c>
      <c r="BZ283" s="25" t="s">
        <v>5</v>
      </c>
      <c r="CA283" s="4">
        <v>32.5</v>
      </c>
      <c r="CB283" s="6" t="s">
        <v>5</v>
      </c>
      <c r="CC283" s="4">
        <v>44.3</v>
      </c>
      <c r="CD283" s="4">
        <v>33.200000000000003</v>
      </c>
      <c r="CE283" s="4">
        <v>45</v>
      </c>
      <c r="CF283" s="16" t="s">
        <v>5</v>
      </c>
      <c r="CG283" s="5">
        <v>5.5</v>
      </c>
      <c r="CH283" s="18" t="s">
        <v>5</v>
      </c>
      <c r="CV283" s="344" t="str">
        <f t="shared" si="23"/>
        <v>WT4X5</v>
      </c>
      <c r="CW283" s="338">
        <v>1.48</v>
      </c>
      <c r="DH283" s="397" t="s">
        <v>1529</v>
      </c>
      <c r="DI283" s="400">
        <v>2.52</v>
      </c>
      <c r="DJ283" s="400">
        <v>5.83</v>
      </c>
      <c r="DK283" s="399">
        <v>0.17</v>
      </c>
      <c r="DL283" s="398">
        <v>29.1</v>
      </c>
      <c r="DM283" s="398">
        <v>10.1</v>
      </c>
      <c r="DN283" s="400">
        <v>5.73</v>
      </c>
      <c r="DO283" s="412">
        <v>5.0999999999999996</v>
      </c>
      <c r="DP283" s="116"/>
      <c r="DQ283" s="434" t="s">
        <v>1529</v>
      </c>
      <c r="DR283" s="437">
        <v>5.73</v>
      </c>
      <c r="DS283" s="436">
        <v>14.9</v>
      </c>
      <c r="DT283" s="431"/>
      <c r="DU283" s="431"/>
      <c r="DV283" s="431"/>
      <c r="DW283" s="431"/>
      <c r="DX283" s="432"/>
      <c r="DZ283" s="447" t="s">
        <v>1525</v>
      </c>
      <c r="EA283" s="448">
        <v>15</v>
      </c>
      <c r="EB283" s="448">
        <v>4.43</v>
      </c>
      <c r="EC283" s="448">
        <v>5.99</v>
      </c>
      <c r="ED283" s="448">
        <v>6</v>
      </c>
      <c r="EE283" s="448">
        <v>0.23</v>
      </c>
      <c r="EF283" s="449">
        <v>44930</v>
      </c>
      <c r="EG283" s="449">
        <v>44934</v>
      </c>
      <c r="EH283" s="448">
        <v>5.99</v>
      </c>
      <c r="EI283" s="448">
        <v>6</v>
      </c>
      <c r="EJ283" s="448">
        <v>0.26</v>
      </c>
      <c r="EK283" s="449">
        <v>44930</v>
      </c>
      <c r="EL283" s="448">
        <v>11.5</v>
      </c>
      <c r="EM283" s="448">
        <v>21.6</v>
      </c>
      <c r="EN283" s="448">
        <v>29.1</v>
      </c>
      <c r="EO283" s="448">
        <v>9.7200000000000006</v>
      </c>
      <c r="EP283" s="448">
        <v>2.56</v>
      </c>
      <c r="EQ283" s="448">
        <v>10.8</v>
      </c>
      <c r="ER283" s="448">
        <v>9.32</v>
      </c>
      <c r="ES283" s="448">
        <v>3.11</v>
      </c>
      <c r="ET283" s="448">
        <v>1.45</v>
      </c>
      <c r="EU283" s="450">
        <v>4.75</v>
      </c>
    </row>
    <row r="284" spans="2:151">
      <c r="B284" s="78" t="s">
        <v>145</v>
      </c>
      <c r="C284" s="79" t="s">
        <v>290</v>
      </c>
      <c r="D284" s="80" t="s">
        <v>290</v>
      </c>
      <c r="E284" s="1" t="s">
        <v>4</v>
      </c>
      <c r="F284" s="6">
        <v>117</v>
      </c>
      <c r="G284" s="4">
        <v>34.299999999999997</v>
      </c>
      <c r="H284" s="3" t="str">
        <f t="shared" si="22"/>
        <v>WT9X117</v>
      </c>
      <c r="I284" s="4">
        <v>10.5</v>
      </c>
      <c r="J284" s="5">
        <v>10.5</v>
      </c>
      <c r="K284" s="6" t="s">
        <v>5</v>
      </c>
      <c r="L284" s="6" t="s">
        <v>5</v>
      </c>
      <c r="M284" s="6" t="s">
        <v>5</v>
      </c>
      <c r="N284" s="4">
        <v>11.7</v>
      </c>
      <c r="O284" s="5">
        <v>11.625</v>
      </c>
      <c r="P284" s="5" t="s">
        <v>5</v>
      </c>
      <c r="Q284" s="6" t="s">
        <v>5</v>
      </c>
      <c r="R284" s="6" t="s">
        <v>5</v>
      </c>
      <c r="S284" s="7">
        <v>1.1599999999999999</v>
      </c>
      <c r="T284" s="5">
        <v>1.1875</v>
      </c>
      <c r="U284" s="8">
        <v>0.625</v>
      </c>
      <c r="V284" s="7">
        <v>2.11</v>
      </c>
      <c r="W284" s="8">
        <v>2.125</v>
      </c>
      <c r="X284" s="7">
        <v>2.11</v>
      </c>
      <c r="Y284" s="6" t="s">
        <v>5</v>
      </c>
      <c r="Z284" s="6" t="s">
        <v>5</v>
      </c>
      <c r="AA284" s="33">
        <v>2.5099999999999998</v>
      </c>
      <c r="AB284" s="34">
        <v>3</v>
      </c>
      <c r="AC284" s="8" t="s">
        <v>5</v>
      </c>
      <c r="AD284" s="6" t="s">
        <v>5</v>
      </c>
      <c r="AE284" s="37">
        <v>2.5499999999999998</v>
      </c>
      <c r="AF284" s="6" t="s">
        <v>5</v>
      </c>
      <c r="AG284" s="6" t="s">
        <v>5</v>
      </c>
      <c r="AH284" s="33">
        <v>1.48</v>
      </c>
      <c r="AI284" s="33">
        <v>2.76</v>
      </c>
      <c r="AJ284" s="6" t="s">
        <v>5</v>
      </c>
      <c r="AK284" s="6" t="s">
        <v>5</v>
      </c>
      <c r="AL284" s="6" t="s">
        <v>5</v>
      </c>
      <c r="AM284" s="6" t="s">
        <v>5</v>
      </c>
      <c r="AN284" s="7">
        <v>9.0500000000000007</v>
      </c>
      <c r="AO284" s="38">
        <v>261</v>
      </c>
      <c r="AP284" s="39">
        <v>62.4</v>
      </c>
      <c r="AQ284" s="4">
        <v>32.700000000000003</v>
      </c>
      <c r="AR284" s="7">
        <v>2.75</v>
      </c>
      <c r="AS284" s="38">
        <v>279</v>
      </c>
      <c r="AT284" s="39">
        <v>74.400000000000006</v>
      </c>
      <c r="AU284" s="4">
        <v>47.9</v>
      </c>
      <c r="AV284" s="7">
        <v>2.85</v>
      </c>
      <c r="AW284" s="6" t="s">
        <v>5</v>
      </c>
      <c r="AX284" s="6" t="s">
        <v>5</v>
      </c>
      <c r="AY284" s="6" t="s">
        <v>5</v>
      </c>
      <c r="AZ284" s="39">
        <v>39.1</v>
      </c>
      <c r="BA284" s="6">
        <v>140</v>
      </c>
      <c r="BB284" s="6" t="s">
        <v>5</v>
      </c>
      <c r="BC284" s="6" t="s">
        <v>5</v>
      </c>
      <c r="BD284" s="6" t="s">
        <v>5</v>
      </c>
      <c r="BE284" s="6" t="s">
        <v>5</v>
      </c>
      <c r="BF284" s="6" t="s">
        <v>5</v>
      </c>
      <c r="BG284" s="6" t="s">
        <v>5</v>
      </c>
      <c r="BH284" s="6" t="s">
        <v>5</v>
      </c>
      <c r="BI284" s="7">
        <v>4.2300000000000004</v>
      </c>
      <c r="BJ284" s="22">
        <v>0.875</v>
      </c>
      <c r="BK284" s="6" t="s">
        <v>5</v>
      </c>
      <c r="BL284" s="2" t="s">
        <v>5</v>
      </c>
      <c r="BM284" s="2" t="s">
        <v>5</v>
      </c>
      <c r="BN284" s="2" t="s">
        <v>5</v>
      </c>
      <c r="BO284" s="2" t="s">
        <v>5</v>
      </c>
      <c r="BP284" s="2" t="s">
        <v>5</v>
      </c>
      <c r="BQ284" s="2" t="s">
        <v>5</v>
      </c>
      <c r="BR284" s="2" t="s">
        <v>5</v>
      </c>
      <c r="BS284" s="2" t="s">
        <v>5</v>
      </c>
      <c r="BT284" s="2" t="s">
        <v>5</v>
      </c>
      <c r="BU284" s="2" t="s">
        <v>5</v>
      </c>
      <c r="BV284" s="2" t="s">
        <v>5</v>
      </c>
      <c r="BW284" s="2" t="s">
        <v>5</v>
      </c>
      <c r="BX284" s="2" t="s">
        <v>5</v>
      </c>
      <c r="BY284" s="25" t="s">
        <v>5</v>
      </c>
      <c r="BZ284" s="25" t="s">
        <v>5</v>
      </c>
      <c r="CA284" s="4">
        <v>32</v>
      </c>
      <c r="CB284" s="6" t="s">
        <v>5</v>
      </c>
      <c r="CC284" s="4">
        <v>43.7</v>
      </c>
      <c r="CD284" s="4">
        <v>32.700000000000003</v>
      </c>
      <c r="CE284" s="6">
        <v>44.4</v>
      </c>
      <c r="CF284" s="16" t="s">
        <v>5</v>
      </c>
      <c r="CG284" s="5">
        <v>5.5</v>
      </c>
      <c r="CH284" s="18" t="s">
        <v>5</v>
      </c>
      <c r="CV284" s="344" t="str">
        <f t="shared" si="23"/>
        <v>WT3X4.5</v>
      </c>
      <c r="CW284" s="338">
        <v>1.34</v>
      </c>
      <c r="DH284" s="397" t="s">
        <v>1530</v>
      </c>
      <c r="DI284" s="400">
        <v>5.56</v>
      </c>
      <c r="DJ284" s="400">
        <v>5.15</v>
      </c>
      <c r="DK284" s="399">
        <v>0.27</v>
      </c>
      <c r="DL284" s="398">
        <v>13.7</v>
      </c>
      <c r="DM284" s="400">
        <v>5.85</v>
      </c>
      <c r="DN284" s="398">
        <v>11.6</v>
      </c>
      <c r="DO284" s="411">
        <v>10.199999999999999</v>
      </c>
      <c r="DP284" s="115"/>
      <c r="DQ284" s="434" t="s">
        <v>1530</v>
      </c>
      <c r="DR284" s="435">
        <v>11.6</v>
      </c>
      <c r="DS284" s="436">
        <v>26.3</v>
      </c>
      <c r="DT284" s="431"/>
      <c r="DU284" s="431"/>
      <c r="DV284" s="431"/>
      <c r="DW284" s="431"/>
      <c r="DX284" s="432"/>
      <c r="DZ284" s="447" t="s">
        <v>1526</v>
      </c>
      <c r="EA284" s="448">
        <v>16</v>
      </c>
      <c r="EB284" s="448">
        <v>4.74</v>
      </c>
      <c r="EC284" s="448">
        <v>6.28</v>
      </c>
      <c r="ED284" s="448" t="s">
        <v>1835</v>
      </c>
      <c r="EE284" s="448">
        <v>0.26</v>
      </c>
      <c r="EF284" s="449">
        <v>44930</v>
      </c>
      <c r="EG284" s="449">
        <v>44934</v>
      </c>
      <c r="EH284" s="448">
        <v>4.03</v>
      </c>
      <c r="EI284" s="448">
        <v>4</v>
      </c>
      <c r="EJ284" s="448">
        <v>0.40500000000000003</v>
      </c>
      <c r="EK284" s="449">
        <v>44993</v>
      </c>
      <c r="EL284" s="448">
        <v>4.9800000000000004</v>
      </c>
      <c r="EM284" s="448">
        <v>19.100000000000001</v>
      </c>
      <c r="EN284" s="448">
        <v>32.1</v>
      </c>
      <c r="EO284" s="448">
        <v>10.199999999999999</v>
      </c>
      <c r="EP284" s="448">
        <v>2.6</v>
      </c>
      <c r="EQ284" s="448">
        <v>11.7</v>
      </c>
      <c r="ER284" s="448">
        <v>4.43</v>
      </c>
      <c r="ES284" s="448">
        <v>2.2000000000000002</v>
      </c>
      <c r="ET284" s="448">
        <v>0.96699999999999997</v>
      </c>
      <c r="EU284" s="450">
        <v>3.39</v>
      </c>
    </row>
    <row r="285" spans="2:151" ht="14.4" thickBot="1">
      <c r="B285" s="78" t="s">
        <v>145</v>
      </c>
      <c r="C285" s="79" t="s">
        <v>291</v>
      </c>
      <c r="D285" s="80" t="s">
        <v>291</v>
      </c>
      <c r="E285" s="1" t="s">
        <v>4</v>
      </c>
      <c r="F285" s="6">
        <v>105.5</v>
      </c>
      <c r="G285" s="4">
        <v>31.2</v>
      </c>
      <c r="H285" s="3" t="str">
        <f t="shared" si="22"/>
        <v>WT9X105.5</v>
      </c>
      <c r="I285" s="4">
        <v>10.3</v>
      </c>
      <c r="J285" s="5">
        <v>10.375</v>
      </c>
      <c r="K285" s="6" t="s">
        <v>5</v>
      </c>
      <c r="L285" s="6" t="s">
        <v>5</v>
      </c>
      <c r="M285" s="6" t="s">
        <v>5</v>
      </c>
      <c r="N285" s="4">
        <v>11.6</v>
      </c>
      <c r="O285" s="5">
        <v>11.5</v>
      </c>
      <c r="P285" s="5" t="s">
        <v>5</v>
      </c>
      <c r="Q285" s="6" t="s">
        <v>5</v>
      </c>
      <c r="R285" s="6" t="s">
        <v>5</v>
      </c>
      <c r="S285" s="7">
        <v>1.06</v>
      </c>
      <c r="T285" s="5">
        <v>1.0625</v>
      </c>
      <c r="U285" s="8">
        <v>0.5625</v>
      </c>
      <c r="V285" s="7">
        <v>1.91</v>
      </c>
      <c r="W285" s="8">
        <v>1.9375</v>
      </c>
      <c r="X285" s="7">
        <v>1.91</v>
      </c>
      <c r="Y285" s="6" t="s">
        <v>5</v>
      </c>
      <c r="Z285" s="6" t="s">
        <v>5</v>
      </c>
      <c r="AA285" s="33">
        <v>2.31</v>
      </c>
      <c r="AB285" s="34">
        <v>2.8125</v>
      </c>
      <c r="AC285" s="8" t="s">
        <v>5</v>
      </c>
      <c r="AD285" s="6" t="s">
        <v>5</v>
      </c>
      <c r="AE285" s="37">
        <v>2.44</v>
      </c>
      <c r="AF285" s="6" t="s">
        <v>5</v>
      </c>
      <c r="AG285" s="6" t="s">
        <v>5</v>
      </c>
      <c r="AH285" s="33">
        <v>1.34</v>
      </c>
      <c r="AI285" s="33">
        <v>3.02</v>
      </c>
      <c r="AJ285" s="6" t="s">
        <v>5</v>
      </c>
      <c r="AK285" s="6" t="s">
        <v>5</v>
      </c>
      <c r="AL285" s="6" t="s">
        <v>5</v>
      </c>
      <c r="AM285" s="6" t="s">
        <v>5</v>
      </c>
      <c r="AN285" s="7">
        <v>9.7200000000000006</v>
      </c>
      <c r="AO285" s="38">
        <v>229</v>
      </c>
      <c r="AP285" s="39">
        <v>55</v>
      </c>
      <c r="AQ285" s="4">
        <v>29.1</v>
      </c>
      <c r="AR285" s="7">
        <v>2.72</v>
      </c>
      <c r="AS285" s="38">
        <v>246</v>
      </c>
      <c r="AT285" s="39">
        <v>66.099999999999994</v>
      </c>
      <c r="AU285" s="4">
        <v>42.7</v>
      </c>
      <c r="AV285" s="7">
        <v>2.82</v>
      </c>
      <c r="AW285" s="6" t="s">
        <v>5</v>
      </c>
      <c r="AX285" s="6" t="s">
        <v>5</v>
      </c>
      <c r="AY285" s="6" t="s">
        <v>5</v>
      </c>
      <c r="AZ285" s="39">
        <v>29.1</v>
      </c>
      <c r="BA285" s="6">
        <v>102</v>
      </c>
      <c r="BB285" s="6" t="s">
        <v>5</v>
      </c>
      <c r="BC285" s="6" t="s">
        <v>5</v>
      </c>
      <c r="BD285" s="6" t="s">
        <v>5</v>
      </c>
      <c r="BE285" s="6" t="s">
        <v>5</v>
      </c>
      <c r="BF285" s="6" t="s">
        <v>5</v>
      </c>
      <c r="BG285" s="6" t="s">
        <v>5</v>
      </c>
      <c r="BH285" s="6" t="s">
        <v>5</v>
      </c>
      <c r="BI285" s="7">
        <v>4.1900000000000004</v>
      </c>
      <c r="BJ285" s="22">
        <v>0.874</v>
      </c>
      <c r="BK285" s="6" t="s">
        <v>5</v>
      </c>
      <c r="BL285" s="2" t="s">
        <v>5</v>
      </c>
      <c r="BM285" s="2" t="s">
        <v>5</v>
      </c>
      <c r="BN285" s="2" t="s">
        <v>5</v>
      </c>
      <c r="BO285" s="2" t="s">
        <v>5</v>
      </c>
      <c r="BP285" s="2" t="s">
        <v>5</v>
      </c>
      <c r="BQ285" s="2" t="s">
        <v>5</v>
      </c>
      <c r="BR285" s="2" t="s">
        <v>5</v>
      </c>
      <c r="BS285" s="2" t="s">
        <v>5</v>
      </c>
      <c r="BT285" s="2" t="s">
        <v>5</v>
      </c>
      <c r="BU285" s="2" t="s">
        <v>5</v>
      </c>
      <c r="BV285" s="2" t="s">
        <v>5</v>
      </c>
      <c r="BW285" s="2" t="s">
        <v>5</v>
      </c>
      <c r="BX285" s="2" t="s">
        <v>5</v>
      </c>
      <c r="BY285" s="25" t="s">
        <v>5</v>
      </c>
      <c r="BZ285" s="25" t="s">
        <v>5</v>
      </c>
      <c r="CA285" s="4">
        <v>31.5</v>
      </c>
      <c r="CB285" s="6" t="s">
        <v>5</v>
      </c>
      <c r="CC285" s="4">
        <v>43.1</v>
      </c>
      <c r="CD285" s="4">
        <v>32.199999999999996</v>
      </c>
      <c r="CE285" s="6">
        <v>43.8</v>
      </c>
      <c r="CF285" s="16" t="s">
        <v>5</v>
      </c>
      <c r="CG285" s="5">
        <v>5.5</v>
      </c>
      <c r="CH285" s="18" t="s">
        <v>5</v>
      </c>
      <c r="CV285" s="347" t="str">
        <f t="shared" si="23"/>
        <v>WT3X4.25</v>
      </c>
      <c r="CW285" s="348">
        <v>1.26</v>
      </c>
      <c r="DH285" s="397" t="s">
        <v>1531</v>
      </c>
      <c r="DI285" s="400">
        <v>4.71</v>
      </c>
      <c r="DJ285" s="400">
        <v>5.01</v>
      </c>
      <c r="DK285" s="399">
        <v>0.24</v>
      </c>
      <c r="DL285" s="398">
        <v>15.4</v>
      </c>
      <c r="DM285" s="400">
        <v>6.94</v>
      </c>
      <c r="DN285" s="400">
        <v>9.6300000000000008</v>
      </c>
      <c r="DO285" s="412">
        <v>8.5500000000000007</v>
      </c>
      <c r="DP285" s="116"/>
      <c r="DQ285" s="434" t="s">
        <v>1531</v>
      </c>
      <c r="DR285" s="437">
        <v>9.6300000000000008</v>
      </c>
      <c r="DS285" s="436">
        <v>21.4</v>
      </c>
      <c r="DT285" s="431"/>
      <c r="DU285" s="431"/>
      <c r="DV285" s="431"/>
      <c r="DW285" s="431"/>
      <c r="DX285" s="432"/>
      <c r="DZ285" s="447" t="s">
        <v>1527</v>
      </c>
      <c r="EA285" s="448">
        <v>12</v>
      </c>
      <c r="EB285" s="448">
        <v>3.55</v>
      </c>
      <c r="EC285" s="448">
        <v>6.03</v>
      </c>
      <c r="ED285" s="448">
        <v>6</v>
      </c>
      <c r="EE285" s="448">
        <v>0.23</v>
      </c>
      <c r="EF285" s="449">
        <v>44930</v>
      </c>
      <c r="EG285" s="449">
        <v>44934</v>
      </c>
      <c r="EH285" s="448">
        <v>4</v>
      </c>
      <c r="EI285" s="448">
        <v>4</v>
      </c>
      <c r="EJ285" s="448">
        <v>0.28000000000000003</v>
      </c>
      <c r="EK285" s="449">
        <v>44930</v>
      </c>
      <c r="EL285" s="448">
        <v>7.14</v>
      </c>
      <c r="EM285" s="448">
        <v>21.6</v>
      </c>
      <c r="EN285" s="448">
        <v>22.1</v>
      </c>
      <c r="EO285" s="448">
        <v>7.31</v>
      </c>
      <c r="EP285" s="448">
        <v>2.4900000000000002</v>
      </c>
      <c r="EQ285" s="448">
        <v>8.3000000000000007</v>
      </c>
      <c r="ER285" s="448">
        <v>2.99</v>
      </c>
      <c r="ES285" s="448">
        <v>1.5</v>
      </c>
      <c r="ET285" s="448">
        <v>0.91800000000000004</v>
      </c>
      <c r="EU285" s="450">
        <v>2.3199999999999998</v>
      </c>
    </row>
    <row r="286" spans="2:151" ht="14.4" thickBot="1">
      <c r="B286" s="78" t="s">
        <v>145</v>
      </c>
      <c r="C286" s="79" t="s">
        <v>292</v>
      </c>
      <c r="D286" s="80" t="s">
        <v>292</v>
      </c>
      <c r="E286" s="1" t="s">
        <v>4</v>
      </c>
      <c r="F286" s="4">
        <v>96</v>
      </c>
      <c r="G286" s="4">
        <v>28.1</v>
      </c>
      <c r="H286" s="3" t="str">
        <f t="shared" si="22"/>
        <v>WT9X96</v>
      </c>
      <c r="I286" s="4">
        <v>10.199999999999999</v>
      </c>
      <c r="J286" s="5">
        <v>10.125</v>
      </c>
      <c r="K286" s="6" t="s">
        <v>5</v>
      </c>
      <c r="L286" s="6" t="s">
        <v>5</v>
      </c>
      <c r="M286" s="6" t="s">
        <v>5</v>
      </c>
      <c r="N286" s="4">
        <v>11.5</v>
      </c>
      <c r="O286" s="5">
        <v>11.5</v>
      </c>
      <c r="P286" s="5" t="s">
        <v>5</v>
      </c>
      <c r="Q286" s="6" t="s">
        <v>5</v>
      </c>
      <c r="R286" s="6" t="s">
        <v>5</v>
      </c>
      <c r="S286" s="22">
        <v>0.96</v>
      </c>
      <c r="T286" s="5">
        <v>0.9375</v>
      </c>
      <c r="U286" s="8">
        <v>0.5</v>
      </c>
      <c r="V286" s="7">
        <v>1.75</v>
      </c>
      <c r="W286" s="8">
        <v>1.75</v>
      </c>
      <c r="X286" s="7">
        <v>1.75</v>
      </c>
      <c r="Y286" s="6" t="s">
        <v>5</v>
      </c>
      <c r="Z286" s="6" t="s">
        <v>5</v>
      </c>
      <c r="AA286" s="33">
        <v>2.15</v>
      </c>
      <c r="AB286" s="8">
        <v>2.625</v>
      </c>
      <c r="AC286" s="8" t="s">
        <v>5</v>
      </c>
      <c r="AD286" s="6" t="s">
        <v>5</v>
      </c>
      <c r="AE286" s="37">
        <v>2.34</v>
      </c>
      <c r="AF286" s="6" t="s">
        <v>5</v>
      </c>
      <c r="AG286" s="6" t="s">
        <v>5</v>
      </c>
      <c r="AH286" s="33">
        <v>1.23</v>
      </c>
      <c r="AI286" s="33">
        <v>3.27</v>
      </c>
      <c r="AJ286" s="6" t="s">
        <v>5</v>
      </c>
      <c r="AK286" s="6" t="s">
        <v>5</v>
      </c>
      <c r="AL286" s="6" t="s">
        <v>5</v>
      </c>
      <c r="AM286" s="6" t="s">
        <v>5</v>
      </c>
      <c r="AN286" s="4">
        <v>10.6</v>
      </c>
      <c r="AO286" s="38">
        <v>202</v>
      </c>
      <c r="AP286" s="39">
        <v>48.5</v>
      </c>
      <c r="AQ286" s="4">
        <v>25.8</v>
      </c>
      <c r="AR286" s="7">
        <v>2.68</v>
      </c>
      <c r="AS286" s="38">
        <v>220</v>
      </c>
      <c r="AT286" s="39">
        <v>59.4</v>
      </c>
      <c r="AU286" s="4">
        <v>38.4</v>
      </c>
      <c r="AV286" s="7">
        <v>2.79</v>
      </c>
      <c r="AW286" s="6" t="s">
        <v>5</v>
      </c>
      <c r="AX286" s="6" t="s">
        <v>5</v>
      </c>
      <c r="AY286" s="6" t="s">
        <v>5</v>
      </c>
      <c r="AZ286" s="39">
        <v>22.3</v>
      </c>
      <c r="BA286" s="4">
        <v>75.7</v>
      </c>
      <c r="BB286" s="6" t="s">
        <v>5</v>
      </c>
      <c r="BC286" s="6" t="s">
        <v>5</v>
      </c>
      <c r="BD286" s="6" t="s">
        <v>5</v>
      </c>
      <c r="BE286" s="6" t="s">
        <v>5</v>
      </c>
      <c r="BF286" s="6" t="s">
        <v>5</v>
      </c>
      <c r="BG286" s="6" t="s">
        <v>5</v>
      </c>
      <c r="BH286" s="6" t="s">
        <v>5</v>
      </c>
      <c r="BI286" s="7">
        <v>4.13</v>
      </c>
      <c r="BJ286" s="22">
        <v>0.875</v>
      </c>
      <c r="BK286" s="6" t="s">
        <v>5</v>
      </c>
      <c r="BL286" s="2" t="s">
        <v>5</v>
      </c>
      <c r="BM286" s="2" t="s">
        <v>5</v>
      </c>
      <c r="BN286" s="2" t="s">
        <v>5</v>
      </c>
      <c r="BO286" s="2" t="s">
        <v>5</v>
      </c>
      <c r="BP286" s="2" t="s">
        <v>5</v>
      </c>
      <c r="BQ286" s="2" t="s">
        <v>5</v>
      </c>
      <c r="BR286" s="2" t="s">
        <v>5</v>
      </c>
      <c r="BS286" s="2" t="s">
        <v>5</v>
      </c>
      <c r="BT286" s="2" t="s">
        <v>5</v>
      </c>
      <c r="BU286" s="2" t="s">
        <v>5</v>
      </c>
      <c r="BV286" s="2" t="s">
        <v>5</v>
      </c>
      <c r="BW286" s="2" t="s">
        <v>5</v>
      </c>
      <c r="BX286" s="2" t="s">
        <v>5</v>
      </c>
      <c r="BY286" s="25" t="s">
        <v>5</v>
      </c>
      <c r="BZ286" s="25" t="s">
        <v>5</v>
      </c>
      <c r="CA286" s="4">
        <v>31.2</v>
      </c>
      <c r="CB286" s="6" t="s">
        <v>5</v>
      </c>
      <c r="CC286" s="4">
        <v>42.7</v>
      </c>
      <c r="CD286" s="4">
        <v>31.9</v>
      </c>
      <c r="CE286" s="6">
        <v>43.4</v>
      </c>
      <c r="CF286" s="16" t="s">
        <v>5</v>
      </c>
      <c r="CG286" s="5">
        <v>5.5</v>
      </c>
      <c r="CH286" s="18" t="s">
        <v>5</v>
      </c>
      <c r="DH286" s="413" t="s">
        <v>1532</v>
      </c>
      <c r="DI286" s="414">
        <v>3.83</v>
      </c>
      <c r="DJ286" s="414">
        <v>4.16</v>
      </c>
      <c r="DK286" s="415">
        <v>0.28000000000000003</v>
      </c>
      <c r="DL286" s="416">
        <v>10.6</v>
      </c>
      <c r="DM286" s="414">
        <v>5.88</v>
      </c>
      <c r="DN286" s="414">
        <v>6.28</v>
      </c>
      <c r="DO286" s="417">
        <v>5.46</v>
      </c>
      <c r="DP286" s="116"/>
      <c r="DQ286" s="438" t="s">
        <v>1532</v>
      </c>
      <c r="DR286" s="439">
        <v>6.28</v>
      </c>
      <c r="DS286" s="440">
        <v>11.3</v>
      </c>
      <c r="DT286" s="441"/>
      <c r="DU286" s="441"/>
      <c r="DV286" s="441"/>
      <c r="DW286" s="441"/>
      <c r="DX286" s="442"/>
      <c r="DZ286" s="447" t="s">
        <v>1528</v>
      </c>
      <c r="EA286" s="448">
        <v>9</v>
      </c>
      <c r="EB286" s="448">
        <v>2.68</v>
      </c>
      <c r="EC286" s="448">
        <v>5.9</v>
      </c>
      <c r="ED286" s="448" t="s">
        <v>1836</v>
      </c>
      <c r="EE286" s="448">
        <v>0.17</v>
      </c>
      <c r="EF286" s="449">
        <v>45001</v>
      </c>
      <c r="EG286" s="449">
        <v>44934</v>
      </c>
      <c r="EH286" s="448">
        <v>3.94</v>
      </c>
      <c r="EI286" s="448">
        <v>4</v>
      </c>
      <c r="EJ286" s="448">
        <v>0.215</v>
      </c>
      <c r="EK286" s="449">
        <v>45001</v>
      </c>
      <c r="EL286" s="448">
        <v>9.16</v>
      </c>
      <c r="EM286" s="448">
        <v>29.2</v>
      </c>
      <c r="EN286" s="448">
        <v>16.399999999999999</v>
      </c>
      <c r="EO286" s="448">
        <v>5.56</v>
      </c>
      <c r="EP286" s="448">
        <v>2.4700000000000002</v>
      </c>
      <c r="EQ286" s="448">
        <v>6.23</v>
      </c>
      <c r="ER286" s="448">
        <v>2.2000000000000002</v>
      </c>
      <c r="ES286" s="448">
        <v>1.1100000000000001</v>
      </c>
      <c r="ET286" s="448">
        <v>0.90500000000000003</v>
      </c>
      <c r="EU286" s="450">
        <v>1.72</v>
      </c>
    </row>
    <row r="287" spans="2:151">
      <c r="B287" s="78" t="s">
        <v>145</v>
      </c>
      <c r="C287" s="79" t="s">
        <v>293</v>
      </c>
      <c r="D287" s="80" t="s">
        <v>293</v>
      </c>
      <c r="E287" s="1" t="s">
        <v>4</v>
      </c>
      <c r="F287" s="4">
        <v>87.5</v>
      </c>
      <c r="G287" s="4">
        <v>25.7</v>
      </c>
      <c r="H287" s="3" t="str">
        <f t="shared" si="22"/>
        <v>WT9X87.5</v>
      </c>
      <c r="I287" s="4">
        <v>10</v>
      </c>
      <c r="J287" s="5">
        <v>10</v>
      </c>
      <c r="K287" s="6" t="s">
        <v>5</v>
      </c>
      <c r="L287" s="6" t="s">
        <v>5</v>
      </c>
      <c r="M287" s="6" t="s">
        <v>5</v>
      </c>
      <c r="N287" s="4">
        <v>11.4</v>
      </c>
      <c r="O287" s="5">
        <v>11.375</v>
      </c>
      <c r="P287" s="5" t="s">
        <v>5</v>
      </c>
      <c r="Q287" s="6" t="s">
        <v>5</v>
      </c>
      <c r="R287" s="6" t="s">
        <v>5</v>
      </c>
      <c r="S287" s="22">
        <v>0.89</v>
      </c>
      <c r="T287" s="5">
        <v>0.875</v>
      </c>
      <c r="U287" s="8">
        <v>0.4375</v>
      </c>
      <c r="V287" s="7">
        <v>1.59</v>
      </c>
      <c r="W287" s="8">
        <v>1.5625</v>
      </c>
      <c r="X287" s="7">
        <v>1.59</v>
      </c>
      <c r="Y287" s="6" t="s">
        <v>5</v>
      </c>
      <c r="Z287" s="6" t="s">
        <v>5</v>
      </c>
      <c r="AA287" s="7">
        <v>1.99</v>
      </c>
      <c r="AB287" s="8">
        <v>2.4375</v>
      </c>
      <c r="AC287" s="8" t="s">
        <v>5</v>
      </c>
      <c r="AD287" s="6" t="s">
        <v>5</v>
      </c>
      <c r="AE287" s="7">
        <v>2.2599999999999998</v>
      </c>
      <c r="AF287" s="6" t="s">
        <v>5</v>
      </c>
      <c r="AG287" s="6" t="s">
        <v>5</v>
      </c>
      <c r="AH287" s="7">
        <v>1.1299999999999999</v>
      </c>
      <c r="AI287" s="7">
        <v>3.58</v>
      </c>
      <c r="AJ287" s="6" t="s">
        <v>5</v>
      </c>
      <c r="AK287" s="6" t="s">
        <v>5</v>
      </c>
      <c r="AL287" s="6" t="s">
        <v>5</v>
      </c>
      <c r="AM287" s="6" t="s">
        <v>5</v>
      </c>
      <c r="AN287" s="4">
        <v>11.2</v>
      </c>
      <c r="AO287" s="6">
        <v>181</v>
      </c>
      <c r="AP287" s="4">
        <v>43.6</v>
      </c>
      <c r="AQ287" s="4">
        <v>23.4</v>
      </c>
      <c r="AR287" s="7">
        <v>2.66</v>
      </c>
      <c r="AS287" s="6">
        <v>196</v>
      </c>
      <c r="AT287" s="4">
        <v>53.1</v>
      </c>
      <c r="AU287" s="4">
        <v>34.4</v>
      </c>
      <c r="AV287" s="7">
        <v>2.76</v>
      </c>
      <c r="AW287" s="6" t="s">
        <v>5</v>
      </c>
      <c r="AX287" s="6" t="s">
        <v>5</v>
      </c>
      <c r="AY287" s="6" t="s">
        <v>5</v>
      </c>
      <c r="AZ287" s="4">
        <v>16.8</v>
      </c>
      <c r="BA287" s="4">
        <v>56.5</v>
      </c>
      <c r="BB287" s="6" t="s">
        <v>5</v>
      </c>
      <c r="BC287" s="6" t="s">
        <v>5</v>
      </c>
      <c r="BD287" s="6" t="s">
        <v>5</v>
      </c>
      <c r="BE287" s="6" t="s">
        <v>5</v>
      </c>
      <c r="BF287" s="6" t="s">
        <v>5</v>
      </c>
      <c r="BG287" s="6" t="s">
        <v>5</v>
      </c>
      <c r="BH287" s="6" t="s">
        <v>5</v>
      </c>
      <c r="BI287" s="7">
        <v>4.0999999999999996</v>
      </c>
      <c r="BJ287" s="22">
        <v>0.872</v>
      </c>
      <c r="BK287" s="6" t="s">
        <v>5</v>
      </c>
      <c r="BL287" s="2" t="s">
        <v>5</v>
      </c>
      <c r="BM287" s="2" t="s">
        <v>5</v>
      </c>
      <c r="BN287" s="2" t="s">
        <v>5</v>
      </c>
      <c r="BO287" s="2" t="s">
        <v>5</v>
      </c>
      <c r="BP287" s="2" t="s">
        <v>5</v>
      </c>
      <c r="BQ287" s="2" t="s">
        <v>5</v>
      </c>
      <c r="BR287" s="2" t="s">
        <v>5</v>
      </c>
      <c r="BS287" s="2" t="s">
        <v>5</v>
      </c>
      <c r="BT287" s="2" t="s">
        <v>5</v>
      </c>
      <c r="BU287" s="2" t="s">
        <v>5</v>
      </c>
      <c r="BV287" s="2" t="s">
        <v>5</v>
      </c>
      <c r="BW287" s="2" t="s">
        <v>5</v>
      </c>
      <c r="BX287" s="2" t="s">
        <v>5</v>
      </c>
      <c r="BY287" s="25" t="s">
        <v>5</v>
      </c>
      <c r="BZ287" s="25" t="s">
        <v>5</v>
      </c>
      <c r="CA287" s="4">
        <v>30.7</v>
      </c>
      <c r="CB287" s="6" t="s">
        <v>5</v>
      </c>
      <c r="CC287" s="4">
        <v>42.1</v>
      </c>
      <c r="CD287" s="4">
        <v>31.4</v>
      </c>
      <c r="CE287" s="6">
        <v>42.8</v>
      </c>
      <c r="CF287" s="16" t="s">
        <v>5</v>
      </c>
      <c r="CG287" s="5">
        <v>5.5</v>
      </c>
      <c r="CH287" s="18" t="s">
        <v>5</v>
      </c>
      <c r="DZ287" s="447" t="s">
        <v>1529</v>
      </c>
      <c r="EA287" s="448">
        <v>8.5</v>
      </c>
      <c r="EB287" s="448">
        <v>2.52</v>
      </c>
      <c r="EC287" s="448">
        <v>5.83</v>
      </c>
      <c r="ED287" s="448" t="s">
        <v>1836</v>
      </c>
      <c r="EE287" s="448">
        <v>0.17</v>
      </c>
      <c r="EF287" s="449">
        <v>45001</v>
      </c>
      <c r="EG287" s="449">
        <v>44934</v>
      </c>
      <c r="EH287" s="448">
        <v>3.94</v>
      </c>
      <c r="EI287" s="448">
        <v>4</v>
      </c>
      <c r="EJ287" s="448">
        <v>0.19500000000000001</v>
      </c>
      <c r="EK287" s="449">
        <v>45001</v>
      </c>
      <c r="EL287" s="448">
        <v>10.1</v>
      </c>
      <c r="EM287" s="448">
        <v>29.1</v>
      </c>
      <c r="EN287" s="448">
        <v>14.9</v>
      </c>
      <c r="EO287" s="448">
        <v>5.0999999999999996</v>
      </c>
      <c r="EP287" s="448">
        <v>2.4300000000000002</v>
      </c>
      <c r="EQ287" s="448">
        <v>5.73</v>
      </c>
      <c r="ER287" s="448">
        <v>1.99</v>
      </c>
      <c r="ES287" s="448">
        <v>1.01</v>
      </c>
      <c r="ET287" s="448">
        <v>0.89</v>
      </c>
      <c r="EU287" s="450">
        <v>1.56</v>
      </c>
    </row>
    <row r="288" spans="2:151">
      <c r="B288" s="78" t="s">
        <v>145</v>
      </c>
      <c r="C288" s="79" t="s">
        <v>294</v>
      </c>
      <c r="D288" s="80" t="s">
        <v>294</v>
      </c>
      <c r="E288" s="1" t="s">
        <v>4</v>
      </c>
      <c r="F288" s="4">
        <v>79</v>
      </c>
      <c r="G288" s="4">
        <v>23.2</v>
      </c>
      <c r="H288" s="3" t="str">
        <f t="shared" si="22"/>
        <v>WT9X79</v>
      </c>
      <c r="I288" s="7">
        <v>9.86</v>
      </c>
      <c r="J288" s="5">
        <v>9.875</v>
      </c>
      <c r="K288" s="6" t="s">
        <v>5</v>
      </c>
      <c r="L288" s="6" t="s">
        <v>5</v>
      </c>
      <c r="M288" s="6" t="s">
        <v>5</v>
      </c>
      <c r="N288" s="4">
        <v>11.3</v>
      </c>
      <c r="O288" s="5">
        <v>11.25</v>
      </c>
      <c r="P288" s="5" t="s">
        <v>5</v>
      </c>
      <c r="Q288" s="6" t="s">
        <v>5</v>
      </c>
      <c r="R288" s="6" t="s">
        <v>5</v>
      </c>
      <c r="S288" s="22">
        <v>0.81</v>
      </c>
      <c r="T288" s="5">
        <v>0.8125</v>
      </c>
      <c r="U288" s="8">
        <v>0.4375</v>
      </c>
      <c r="V288" s="7">
        <v>1.44</v>
      </c>
      <c r="W288" s="8">
        <v>1.4375</v>
      </c>
      <c r="X288" s="7">
        <v>1.44</v>
      </c>
      <c r="Y288" s="6" t="s">
        <v>5</v>
      </c>
      <c r="Z288" s="6" t="s">
        <v>5</v>
      </c>
      <c r="AA288" s="7">
        <v>1.84</v>
      </c>
      <c r="AB288" s="8">
        <v>2.375</v>
      </c>
      <c r="AC288" s="8" t="s">
        <v>5</v>
      </c>
      <c r="AD288" s="6" t="s">
        <v>5</v>
      </c>
      <c r="AE288" s="7">
        <v>2.17</v>
      </c>
      <c r="AF288" s="6" t="s">
        <v>5</v>
      </c>
      <c r="AG288" s="6" t="s">
        <v>5</v>
      </c>
      <c r="AH288" s="7">
        <v>1.02</v>
      </c>
      <c r="AI288" s="7">
        <v>3.92</v>
      </c>
      <c r="AJ288" s="6" t="s">
        <v>5</v>
      </c>
      <c r="AK288" s="6" t="s">
        <v>5</v>
      </c>
      <c r="AL288" s="6" t="s">
        <v>5</v>
      </c>
      <c r="AM288" s="6" t="s">
        <v>5</v>
      </c>
      <c r="AN288" s="4">
        <v>12.2</v>
      </c>
      <c r="AO288" s="6">
        <v>160</v>
      </c>
      <c r="AP288" s="4">
        <v>38.5</v>
      </c>
      <c r="AQ288" s="4">
        <v>20.8</v>
      </c>
      <c r="AR288" s="7">
        <v>2.63</v>
      </c>
      <c r="AS288" s="6">
        <v>174</v>
      </c>
      <c r="AT288" s="4">
        <v>47.4</v>
      </c>
      <c r="AU288" s="4">
        <v>30.7</v>
      </c>
      <c r="AV288" s="7">
        <v>2.74</v>
      </c>
      <c r="AW288" s="6" t="s">
        <v>5</v>
      </c>
      <c r="AX288" s="6" t="s">
        <v>5</v>
      </c>
      <c r="AY288" s="6" t="s">
        <v>5</v>
      </c>
      <c r="AZ288" s="4">
        <v>12.5</v>
      </c>
      <c r="BA288" s="4">
        <v>41.2</v>
      </c>
      <c r="BB288" s="6" t="s">
        <v>5</v>
      </c>
      <c r="BC288" s="6" t="s">
        <v>5</v>
      </c>
      <c r="BD288" s="6" t="s">
        <v>5</v>
      </c>
      <c r="BE288" s="6" t="s">
        <v>5</v>
      </c>
      <c r="BF288" s="6" t="s">
        <v>5</v>
      </c>
      <c r="BG288" s="6" t="s">
        <v>5</v>
      </c>
      <c r="BH288" s="6" t="s">
        <v>5</v>
      </c>
      <c r="BI288" s="7">
        <v>4.0599999999999996</v>
      </c>
      <c r="BJ288" s="22">
        <v>0.872</v>
      </c>
      <c r="BK288" s="6" t="s">
        <v>5</v>
      </c>
      <c r="BL288" s="2" t="s">
        <v>5</v>
      </c>
      <c r="BM288" s="2" t="s">
        <v>5</v>
      </c>
      <c r="BN288" s="2" t="s">
        <v>5</v>
      </c>
      <c r="BO288" s="2" t="s">
        <v>5</v>
      </c>
      <c r="BP288" s="2" t="s">
        <v>5</v>
      </c>
      <c r="BQ288" s="2" t="s">
        <v>5</v>
      </c>
      <c r="BR288" s="2" t="s">
        <v>5</v>
      </c>
      <c r="BS288" s="2" t="s">
        <v>5</v>
      </c>
      <c r="BT288" s="2" t="s">
        <v>5</v>
      </c>
      <c r="BU288" s="2" t="s">
        <v>5</v>
      </c>
      <c r="BV288" s="2" t="s">
        <v>5</v>
      </c>
      <c r="BW288" s="2" t="s">
        <v>5</v>
      </c>
      <c r="BX288" s="2" t="s">
        <v>5</v>
      </c>
      <c r="BY288" s="25" t="s">
        <v>5</v>
      </c>
      <c r="BZ288" s="25" t="s">
        <v>5</v>
      </c>
      <c r="CA288" s="4">
        <v>30.3</v>
      </c>
      <c r="CB288" s="6" t="s">
        <v>5</v>
      </c>
      <c r="CC288" s="4">
        <v>41.6</v>
      </c>
      <c r="CD288" s="4">
        <v>31</v>
      </c>
      <c r="CE288" s="4">
        <v>42.3</v>
      </c>
      <c r="CF288" s="16" t="s">
        <v>5</v>
      </c>
      <c r="CG288" s="5">
        <v>5.5</v>
      </c>
      <c r="CH288" s="18" t="s">
        <v>5</v>
      </c>
      <c r="DZ288" s="447" t="s">
        <v>1530</v>
      </c>
      <c r="EA288" s="448">
        <v>19</v>
      </c>
      <c r="EB288" s="448">
        <v>5.56</v>
      </c>
      <c r="EC288" s="448">
        <v>5.15</v>
      </c>
      <c r="ED288" s="448" t="s">
        <v>1806</v>
      </c>
      <c r="EE288" s="448">
        <v>0.27</v>
      </c>
      <c r="EF288" s="449">
        <v>44930</v>
      </c>
      <c r="EG288" s="449">
        <v>44934</v>
      </c>
      <c r="EH288" s="448">
        <v>5.03</v>
      </c>
      <c r="EI288" s="448">
        <v>5</v>
      </c>
      <c r="EJ288" s="448">
        <v>0.43</v>
      </c>
      <c r="EK288" s="449">
        <v>45123</v>
      </c>
      <c r="EL288" s="448">
        <v>5.85</v>
      </c>
      <c r="EM288" s="448">
        <v>13.7</v>
      </c>
      <c r="EN288" s="448">
        <v>26.3</v>
      </c>
      <c r="EO288" s="448">
        <v>10.199999999999999</v>
      </c>
      <c r="EP288" s="448">
        <v>2.17</v>
      </c>
      <c r="EQ288" s="448">
        <v>11.6</v>
      </c>
      <c r="ER288" s="448">
        <v>9.1300000000000008</v>
      </c>
      <c r="ES288" s="448">
        <v>3.63</v>
      </c>
      <c r="ET288" s="448">
        <v>1.28</v>
      </c>
      <c r="EU288" s="450">
        <v>5.53</v>
      </c>
    </row>
    <row r="289" spans="2:151">
      <c r="B289" s="78" t="s">
        <v>145</v>
      </c>
      <c r="C289" s="79" t="s">
        <v>295</v>
      </c>
      <c r="D289" s="80" t="s">
        <v>295</v>
      </c>
      <c r="E289" s="1" t="s">
        <v>4</v>
      </c>
      <c r="F289" s="4">
        <v>71.5</v>
      </c>
      <c r="G289" s="4">
        <v>21</v>
      </c>
      <c r="H289" s="3" t="str">
        <f t="shared" si="22"/>
        <v>WT9X71.5</v>
      </c>
      <c r="I289" s="7">
        <v>9.75</v>
      </c>
      <c r="J289" s="5">
        <v>9.75</v>
      </c>
      <c r="K289" s="6" t="s">
        <v>5</v>
      </c>
      <c r="L289" s="6" t="s">
        <v>5</v>
      </c>
      <c r="M289" s="6" t="s">
        <v>5</v>
      </c>
      <c r="N289" s="4">
        <v>11.2</v>
      </c>
      <c r="O289" s="5">
        <v>11.25</v>
      </c>
      <c r="P289" s="5" t="s">
        <v>5</v>
      </c>
      <c r="Q289" s="6" t="s">
        <v>5</v>
      </c>
      <c r="R289" s="6" t="s">
        <v>5</v>
      </c>
      <c r="S289" s="22">
        <v>0.73</v>
      </c>
      <c r="T289" s="5">
        <v>0.75</v>
      </c>
      <c r="U289" s="8">
        <v>0.375</v>
      </c>
      <c r="V289" s="7">
        <v>1.32</v>
      </c>
      <c r="W289" s="8">
        <v>1.3125</v>
      </c>
      <c r="X289" s="7">
        <v>1.32</v>
      </c>
      <c r="Y289" s="6" t="s">
        <v>5</v>
      </c>
      <c r="Z289" s="6" t="s">
        <v>5</v>
      </c>
      <c r="AA289" s="7">
        <v>1.72</v>
      </c>
      <c r="AB289" s="8">
        <v>2.1875</v>
      </c>
      <c r="AC289" s="8" t="s">
        <v>5</v>
      </c>
      <c r="AD289" s="6" t="s">
        <v>5</v>
      </c>
      <c r="AE289" s="7">
        <v>2.09</v>
      </c>
      <c r="AF289" s="6" t="s">
        <v>5</v>
      </c>
      <c r="AG289" s="6" t="s">
        <v>5</v>
      </c>
      <c r="AH289" s="22">
        <v>0.93700000000000006</v>
      </c>
      <c r="AI289" s="7">
        <v>4.25</v>
      </c>
      <c r="AJ289" s="6" t="s">
        <v>5</v>
      </c>
      <c r="AK289" s="6" t="s">
        <v>5</v>
      </c>
      <c r="AL289" s="6" t="s">
        <v>5</v>
      </c>
      <c r="AM289" s="6" t="s">
        <v>5</v>
      </c>
      <c r="AN289" s="4">
        <v>13.4</v>
      </c>
      <c r="AO289" s="6">
        <v>142</v>
      </c>
      <c r="AP289" s="4">
        <v>34</v>
      </c>
      <c r="AQ289" s="4">
        <v>18.5</v>
      </c>
      <c r="AR289" s="7">
        <v>2.6</v>
      </c>
      <c r="AS289" s="6">
        <v>156</v>
      </c>
      <c r="AT289" s="4">
        <v>42.7</v>
      </c>
      <c r="AU289" s="4">
        <v>27.7</v>
      </c>
      <c r="AV289" s="7">
        <v>2.72</v>
      </c>
      <c r="AW289" s="6" t="s">
        <v>5</v>
      </c>
      <c r="AX289" s="6" t="s">
        <v>5</v>
      </c>
      <c r="AY289" s="6" t="s">
        <v>5</v>
      </c>
      <c r="AZ289" s="7">
        <v>9.58</v>
      </c>
      <c r="BA289" s="4">
        <v>30.7</v>
      </c>
      <c r="BB289" s="6" t="s">
        <v>5</v>
      </c>
      <c r="BC289" s="6" t="s">
        <v>5</v>
      </c>
      <c r="BD289" s="6" t="s">
        <v>5</v>
      </c>
      <c r="BE289" s="6" t="s">
        <v>5</v>
      </c>
      <c r="BF289" s="6" t="s">
        <v>5</v>
      </c>
      <c r="BG289" s="6" t="s">
        <v>5</v>
      </c>
      <c r="BH289" s="6" t="s">
        <v>5</v>
      </c>
      <c r="BI289" s="7">
        <v>4.0199999999999996</v>
      </c>
      <c r="BJ289" s="22">
        <v>0.874</v>
      </c>
      <c r="BK289" s="6" t="s">
        <v>5</v>
      </c>
      <c r="BL289" s="2" t="s">
        <v>5</v>
      </c>
      <c r="BM289" s="2" t="s">
        <v>5</v>
      </c>
      <c r="BN289" s="2" t="s">
        <v>5</v>
      </c>
      <c r="BO289" s="2" t="s">
        <v>5</v>
      </c>
      <c r="BP289" s="2" t="s">
        <v>5</v>
      </c>
      <c r="BQ289" s="2" t="s">
        <v>5</v>
      </c>
      <c r="BR289" s="2" t="s">
        <v>5</v>
      </c>
      <c r="BS289" s="2" t="s">
        <v>5</v>
      </c>
      <c r="BT289" s="2" t="s">
        <v>5</v>
      </c>
      <c r="BU289" s="2" t="s">
        <v>5</v>
      </c>
      <c r="BV289" s="2" t="s">
        <v>5</v>
      </c>
      <c r="BW289" s="2" t="s">
        <v>5</v>
      </c>
      <c r="BX289" s="2" t="s">
        <v>5</v>
      </c>
      <c r="BY289" s="25" t="s">
        <v>5</v>
      </c>
      <c r="BZ289" s="25" t="s">
        <v>5</v>
      </c>
      <c r="CA289" s="4">
        <v>30</v>
      </c>
      <c r="CB289" s="6" t="s">
        <v>5</v>
      </c>
      <c r="CC289" s="4">
        <v>41.2</v>
      </c>
      <c r="CD289" s="4">
        <v>30.7</v>
      </c>
      <c r="CE289" s="6">
        <v>41.9</v>
      </c>
      <c r="CF289" s="16" t="s">
        <v>5</v>
      </c>
      <c r="CG289" s="5">
        <v>5.5</v>
      </c>
      <c r="CH289" s="18" t="s">
        <v>5</v>
      </c>
      <c r="DZ289" s="447" t="s">
        <v>1531</v>
      </c>
      <c r="EA289" s="448">
        <v>16</v>
      </c>
      <c r="EB289" s="448">
        <v>4.71</v>
      </c>
      <c r="EC289" s="448">
        <v>5.01</v>
      </c>
      <c r="ED289" s="448">
        <v>5</v>
      </c>
      <c r="EE289" s="448">
        <v>0.24</v>
      </c>
      <c r="EF289" s="449">
        <v>44930</v>
      </c>
      <c r="EG289" s="449">
        <v>44934</v>
      </c>
      <c r="EH289" s="448">
        <v>5</v>
      </c>
      <c r="EI289" s="448">
        <v>5</v>
      </c>
      <c r="EJ289" s="448">
        <v>0.36</v>
      </c>
      <c r="EK289" s="449">
        <v>44993</v>
      </c>
      <c r="EL289" s="448">
        <v>6.94</v>
      </c>
      <c r="EM289" s="448">
        <v>15.4</v>
      </c>
      <c r="EN289" s="448">
        <v>21.4</v>
      </c>
      <c r="EO289" s="448">
        <v>8.5500000000000007</v>
      </c>
      <c r="EP289" s="448">
        <v>2.13</v>
      </c>
      <c r="EQ289" s="448">
        <v>9.6300000000000008</v>
      </c>
      <c r="ER289" s="448">
        <v>7.51</v>
      </c>
      <c r="ES289" s="448">
        <v>3</v>
      </c>
      <c r="ET289" s="448">
        <v>1.26</v>
      </c>
      <c r="EU289" s="450">
        <v>4.58</v>
      </c>
    </row>
    <row r="290" spans="2:151" ht="14.4" thickBot="1">
      <c r="B290" s="78" t="s">
        <v>145</v>
      </c>
      <c r="C290" s="79" t="s">
        <v>296</v>
      </c>
      <c r="D290" s="80" t="s">
        <v>296</v>
      </c>
      <c r="E290" s="1" t="s">
        <v>4</v>
      </c>
      <c r="F290" s="4">
        <v>65</v>
      </c>
      <c r="G290" s="4">
        <v>19.2</v>
      </c>
      <c r="H290" s="3" t="str">
        <f t="shared" si="22"/>
        <v>WT9X65</v>
      </c>
      <c r="I290" s="7">
        <v>9.6300000000000008</v>
      </c>
      <c r="J290" s="5">
        <v>9.625</v>
      </c>
      <c r="K290" s="6" t="s">
        <v>5</v>
      </c>
      <c r="L290" s="6" t="s">
        <v>5</v>
      </c>
      <c r="M290" s="6" t="s">
        <v>5</v>
      </c>
      <c r="N290" s="4">
        <v>11.2</v>
      </c>
      <c r="O290" s="5">
        <v>11.125</v>
      </c>
      <c r="P290" s="5" t="s">
        <v>5</v>
      </c>
      <c r="Q290" s="6" t="s">
        <v>5</v>
      </c>
      <c r="R290" s="6" t="s">
        <v>5</v>
      </c>
      <c r="S290" s="22">
        <v>0.67</v>
      </c>
      <c r="T290" s="5">
        <v>0.6875</v>
      </c>
      <c r="U290" s="8">
        <v>0.375</v>
      </c>
      <c r="V290" s="7">
        <v>1.2</v>
      </c>
      <c r="W290" s="8">
        <v>1.1875</v>
      </c>
      <c r="X290" s="7">
        <v>1.2</v>
      </c>
      <c r="Y290" s="6" t="s">
        <v>5</v>
      </c>
      <c r="Z290" s="6" t="s">
        <v>5</v>
      </c>
      <c r="AA290" s="7">
        <v>1.6</v>
      </c>
      <c r="AB290" s="8">
        <v>2.0625</v>
      </c>
      <c r="AC290" s="8" t="s">
        <v>5</v>
      </c>
      <c r="AD290" s="6" t="s">
        <v>5</v>
      </c>
      <c r="AE290" s="7">
        <v>2.02</v>
      </c>
      <c r="AF290" s="6" t="s">
        <v>5</v>
      </c>
      <c r="AG290" s="6" t="s">
        <v>5</v>
      </c>
      <c r="AH290" s="22">
        <v>0.85599999999999998</v>
      </c>
      <c r="AI290" s="7">
        <v>4.6500000000000004</v>
      </c>
      <c r="AJ290" s="6" t="s">
        <v>5</v>
      </c>
      <c r="AK290" s="6" t="s">
        <v>5</v>
      </c>
      <c r="AL290" s="6" t="s">
        <v>5</v>
      </c>
      <c r="AM290" s="6" t="s">
        <v>5</v>
      </c>
      <c r="AN290" s="4">
        <v>14.4</v>
      </c>
      <c r="AO290" s="6">
        <v>127</v>
      </c>
      <c r="AP290" s="4">
        <v>30.5</v>
      </c>
      <c r="AQ290" s="4">
        <v>16.7</v>
      </c>
      <c r="AR290" s="7">
        <v>2.58</v>
      </c>
      <c r="AS290" s="6">
        <v>139</v>
      </c>
      <c r="AT290" s="4">
        <v>38.299999999999997</v>
      </c>
      <c r="AU290" s="4">
        <v>24.9</v>
      </c>
      <c r="AV290" s="7">
        <v>2.7</v>
      </c>
      <c r="AW290" s="6" t="s">
        <v>5</v>
      </c>
      <c r="AX290" s="6" t="s">
        <v>5</v>
      </c>
      <c r="AY290" s="6" t="s">
        <v>5</v>
      </c>
      <c r="AZ290" s="7">
        <v>7.23</v>
      </c>
      <c r="BA290" s="4">
        <v>22.8</v>
      </c>
      <c r="BB290" s="6" t="s">
        <v>5</v>
      </c>
      <c r="BC290" s="6" t="s">
        <v>5</v>
      </c>
      <c r="BD290" s="6" t="s">
        <v>5</v>
      </c>
      <c r="BE290" s="6" t="s">
        <v>5</v>
      </c>
      <c r="BF290" s="6" t="s">
        <v>5</v>
      </c>
      <c r="BG290" s="6" t="s">
        <v>5</v>
      </c>
      <c r="BH290" s="6" t="s">
        <v>5</v>
      </c>
      <c r="BI290" s="7">
        <v>4</v>
      </c>
      <c r="BJ290" s="22">
        <v>0.873</v>
      </c>
      <c r="BK290" s="6" t="s">
        <v>5</v>
      </c>
      <c r="BL290" s="2" t="s">
        <v>5</v>
      </c>
      <c r="BM290" s="2" t="s">
        <v>5</v>
      </c>
      <c r="BN290" s="2" t="s">
        <v>5</v>
      </c>
      <c r="BO290" s="2" t="s">
        <v>5</v>
      </c>
      <c r="BP290" s="2" t="s">
        <v>5</v>
      </c>
      <c r="BQ290" s="2" t="s">
        <v>5</v>
      </c>
      <c r="BR290" s="2" t="s">
        <v>5</v>
      </c>
      <c r="BS290" s="2" t="s">
        <v>5</v>
      </c>
      <c r="BT290" s="2" t="s">
        <v>5</v>
      </c>
      <c r="BU290" s="2" t="s">
        <v>5</v>
      </c>
      <c r="BV290" s="2" t="s">
        <v>5</v>
      </c>
      <c r="BW290" s="2" t="s">
        <v>5</v>
      </c>
      <c r="BX290" s="2" t="s">
        <v>5</v>
      </c>
      <c r="BY290" s="25" t="s">
        <v>5</v>
      </c>
      <c r="BZ290" s="25" t="s">
        <v>5</v>
      </c>
      <c r="CA290" s="4">
        <v>29.8</v>
      </c>
      <c r="CB290" s="6" t="s">
        <v>5</v>
      </c>
      <c r="CC290" s="4">
        <v>41</v>
      </c>
      <c r="CD290" s="4">
        <v>30.5</v>
      </c>
      <c r="CE290" s="4">
        <v>41.7</v>
      </c>
      <c r="CF290" s="16" t="s">
        <v>5</v>
      </c>
      <c r="CG290" s="5">
        <v>5.5</v>
      </c>
      <c r="CH290" s="18" t="s">
        <v>5</v>
      </c>
      <c r="DZ290" s="451" t="s">
        <v>1532</v>
      </c>
      <c r="EA290" s="452">
        <v>13</v>
      </c>
      <c r="EB290" s="452">
        <v>3.83</v>
      </c>
      <c r="EC290" s="452">
        <v>4.16</v>
      </c>
      <c r="ED290" s="452" t="s">
        <v>1837</v>
      </c>
      <c r="EE290" s="452">
        <v>0.28000000000000003</v>
      </c>
      <c r="EF290" s="453">
        <v>44930</v>
      </c>
      <c r="EG290" s="453">
        <v>44934</v>
      </c>
      <c r="EH290" s="452">
        <v>4.0599999999999996</v>
      </c>
      <c r="EI290" s="452">
        <v>4</v>
      </c>
      <c r="EJ290" s="452">
        <v>0.34499999999999997</v>
      </c>
      <c r="EK290" s="453">
        <v>44993</v>
      </c>
      <c r="EL290" s="452">
        <v>5.88</v>
      </c>
      <c r="EM290" s="452">
        <v>10.6</v>
      </c>
      <c r="EN290" s="452">
        <v>11.3</v>
      </c>
      <c r="EO290" s="452">
        <v>5.46</v>
      </c>
      <c r="EP290" s="452">
        <v>1.72</v>
      </c>
      <c r="EQ290" s="452">
        <v>6.28</v>
      </c>
      <c r="ER290" s="452">
        <v>3.86</v>
      </c>
      <c r="ES290" s="452">
        <v>1.9</v>
      </c>
      <c r="ET290" s="452">
        <v>1</v>
      </c>
      <c r="EU290" s="454">
        <v>2.92</v>
      </c>
    </row>
    <row r="291" spans="2:151">
      <c r="B291" s="78" t="s">
        <v>145</v>
      </c>
      <c r="C291" s="79" t="s">
        <v>297</v>
      </c>
      <c r="D291" s="80" t="s">
        <v>297</v>
      </c>
      <c r="E291" s="1" t="s">
        <v>4</v>
      </c>
      <c r="F291" s="4">
        <v>59.5</v>
      </c>
      <c r="G291" s="4">
        <v>17.600000000000001</v>
      </c>
      <c r="H291" s="3" t="str">
        <f t="shared" si="22"/>
        <v>WT9X59.5</v>
      </c>
      <c r="I291" s="7">
        <v>9.49</v>
      </c>
      <c r="J291" s="5">
        <v>9.5</v>
      </c>
      <c r="K291" s="6" t="s">
        <v>5</v>
      </c>
      <c r="L291" s="6" t="s">
        <v>5</v>
      </c>
      <c r="M291" s="6" t="s">
        <v>5</v>
      </c>
      <c r="N291" s="4">
        <v>11.3</v>
      </c>
      <c r="O291" s="5">
        <v>11.25</v>
      </c>
      <c r="P291" s="5" t="s">
        <v>5</v>
      </c>
      <c r="Q291" s="6" t="s">
        <v>5</v>
      </c>
      <c r="R291" s="6" t="s">
        <v>5</v>
      </c>
      <c r="S291" s="22">
        <v>0.65500000000000003</v>
      </c>
      <c r="T291" s="5">
        <v>0.625</v>
      </c>
      <c r="U291" s="8">
        <v>0.3125</v>
      </c>
      <c r="V291" s="7">
        <v>1.06</v>
      </c>
      <c r="W291" s="8">
        <v>1.0625</v>
      </c>
      <c r="X291" s="7">
        <v>1.06</v>
      </c>
      <c r="Y291" s="6" t="s">
        <v>5</v>
      </c>
      <c r="Z291" s="6" t="s">
        <v>5</v>
      </c>
      <c r="AA291" s="7">
        <v>1.46</v>
      </c>
      <c r="AB291" s="8">
        <v>1.9375</v>
      </c>
      <c r="AC291" s="8" t="s">
        <v>5</v>
      </c>
      <c r="AD291" s="6" t="s">
        <v>5</v>
      </c>
      <c r="AE291" s="7">
        <v>2.0299999999999998</v>
      </c>
      <c r="AF291" s="6" t="s">
        <v>5</v>
      </c>
      <c r="AG291" s="6" t="s">
        <v>5</v>
      </c>
      <c r="AH291" s="22">
        <v>0.77800000000000002</v>
      </c>
      <c r="AI291" s="7">
        <v>5.31</v>
      </c>
      <c r="AJ291" s="6" t="s">
        <v>5</v>
      </c>
      <c r="AK291" s="6" t="s">
        <v>5</v>
      </c>
      <c r="AL291" s="6" t="s">
        <v>5</v>
      </c>
      <c r="AM291" s="6" t="s">
        <v>5</v>
      </c>
      <c r="AN291" s="4">
        <v>14.5</v>
      </c>
      <c r="AO291" s="6">
        <v>119</v>
      </c>
      <c r="AP291" s="4">
        <v>28.7</v>
      </c>
      <c r="AQ291" s="4">
        <v>15.9</v>
      </c>
      <c r="AR291" s="7">
        <v>2.6</v>
      </c>
      <c r="AS291" s="6">
        <v>126</v>
      </c>
      <c r="AT291" s="4">
        <v>34.5</v>
      </c>
      <c r="AU291" s="4">
        <v>22.5</v>
      </c>
      <c r="AV291" s="7">
        <v>2.69</v>
      </c>
      <c r="AW291" s="6" t="s">
        <v>5</v>
      </c>
      <c r="AX291" s="6" t="s">
        <v>5</v>
      </c>
      <c r="AY291" s="6" t="s">
        <v>5</v>
      </c>
      <c r="AZ291" s="7">
        <v>5.3</v>
      </c>
      <c r="BA291" s="4">
        <v>17.399999999999999</v>
      </c>
      <c r="BB291" s="6" t="s">
        <v>5</v>
      </c>
      <c r="BC291" s="6" t="s">
        <v>5</v>
      </c>
      <c r="BD291" s="6" t="s">
        <v>5</v>
      </c>
      <c r="BE291" s="6" t="s">
        <v>5</v>
      </c>
      <c r="BF291" s="6" t="s">
        <v>5</v>
      </c>
      <c r="BG291" s="6" t="s">
        <v>5</v>
      </c>
      <c r="BH291" s="6" t="s">
        <v>5</v>
      </c>
      <c r="BI291" s="7">
        <v>4.03</v>
      </c>
      <c r="BJ291" s="22">
        <v>0.86199999999999999</v>
      </c>
      <c r="BK291" s="6" t="s">
        <v>5</v>
      </c>
      <c r="BL291" s="2" t="s">
        <v>5</v>
      </c>
      <c r="BM291" s="2" t="s">
        <v>5</v>
      </c>
      <c r="BN291" s="2" t="s">
        <v>5</v>
      </c>
      <c r="BO291" s="2" t="s">
        <v>5</v>
      </c>
      <c r="BP291" s="2" t="s">
        <v>5</v>
      </c>
      <c r="BQ291" s="2" t="s">
        <v>5</v>
      </c>
      <c r="BR291" s="2" t="s">
        <v>5</v>
      </c>
      <c r="BS291" s="2" t="s">
        <v>5</v>
      </c>
      <c r="BT291" s="2" t="s">
        <v>5</v>
      </c>
      <c r="BU291" s="2" t="s">
        <v>5</v>
      </c>
      <c r="BV291" s="2" t="s">
        <v>5</v>
      </c>
      <c r="BW291" s="2" t="s">
        <v>5</v>
      </c>
      <c r="BX291" s="2" t="s">
        <v>5</v>
      </c>
      <c r="BY291" s="25" t="s">
        <v>5</v>
      </c>
      <c r="BZ291" s="25" t="s">
        <v>5</v>
      </c>
      <c r="CA291" s="4">
        <v>29.6</v>
      </c>
      <c r="CB291" s="6" t="s">
        <v>5</v>
      </c>
      <c r="CC291" s="4">
        <v>40.9</v>
      </c>
      <c r="CD291" s="4">
        <v>30.3</v>
      </c>
      <c r="CE291" s="4">
        <v>41.6</v>
      </c>
      <c r="CF291" s="16" t="s">
        <v>5</v>
      </c>
      <c r="CG291" s="5">
        <v>5.5</v>
      </c>
      <c r="CH291" s="18" t="s">
        <v>5</v>
      </c>
    </row>
    <row r="292" spans="2:151">
      <c r="B292" s="78" t="s">
        <v>145</v>
      </c>
      <c r="C292" s="79" t="s">
        <v>298</v>
      </c>
      <c r="D292" s="80" t="s">
        <v>298</v>
      </c>
      <c r="E292" s="1" t="s">
        <v>4</v>
      </c>
      <c r="F292" s="4">
        <v>53</v>
      </c>
      <c r="G292" s="4">
        <v>15.6</v>
      </c>
      <c r="H292" s="3" t="str">
        <f t="shared" si="22"/>
        <v>WT9X53</v>
      </c>
      <c r="I292" s="7">
        <v>9.3699999999999992</v>
      </c>
      <c r="J292" s="5">
        <v>9.375</v>
      </c>
      <c r="K292" s="6" t="s">
        <v>5</v>
      </c>
      <c r="L292" s="6" t="s">
        <v>5</v>
      </c>
      <c r="M292" s="6" t="s">
        <v>5</v>
      </c>
      <c r="N292" s="4">
        <v>11.2</v>
      </c>
      <c r="O292" s="5">
        <v>11.25</v>
      </c>
      <c r="P292" s="5" t="s">
        <v>5</v>
      </c>
      <c r="Q292" s="6" t="s">
        <v>5</v>
      </c>
      <c r="R292" s="6" t="s">
        <v>5</v>
      </c>
      <c r="S292" s="22">
        <v>0.59</v>
      </c>
      <c r="T292" s="5">
        <v>0.5625</v>
      </c>
      <c r="U292" s="8">
        <v>0.3125</v>
      </c>
      <c r="V292" s="22">
        <v>0.94</v>
      </c>
      <c r="W292" s="8">
        <v>0.9375</v>
      </c>
      <c r="X292" s="22">
        <v>0.94</v>
      </c>
      <c r="Y292" s="6" t="s">
        <v>5</v>
      </c>
      <c r="Z292" s="6" t="s">
        <v>5</v>
      </c>
      <c r="AA292" s="7">
        <v>1.34</v>
      </c>
      <c r="AB292" s="8">
        <v>1.8125</v>
      </c>
      <c r="AC292" s="8" t="s">
        <v>5</v>
      </c>
      <c r="AD292" s="6" t="s">
        <v>5</v>
      </c>
      <c r="AE292" s="7">
        <v>1.97</v>
      </c>
      <c r="AF292" s="6" t="s">
        <v>5</v>
      </c>
      <c r="AG292" s="6" t="s">
        <v>5</v>
      </c>
      <c r="AH292" s="22">
        <v>0.69499999999999995</v>
      </c>
      <c r="AI292" s="7">
        <v>5.96</v>
      </c>
      <c r="AJ292" s="6" t="s">
        <v>5</v>
      </c>
      <c r="AK292" s="6" t="s">
        <v>5</v>
      </c>
      <c r="AL292" s="6" t="s">
        <v>5</v>
      </c>
      <c r="AM292" s="6" t="s">
        <v>5</v>
      </c>
      <c r="AN292" s="4">
        <v>15.9</v>
      </c>
      <c r="AO292" s="6">
        <v>104</v>
      </c>
      <c r="AP292" s="4">
        <v>25.2</v>
      </c>
      <c r="AQ292" s="4">
        <v>14.1</v>
      </c>
      <c r="AR292" s="7">
        <v>2.59</v>
      </c>
      <c r="AS292" s="6">
        <v>110</v>
      </c>
      <c r="AT292" s="4">
        <v>30.2</v>
      </c>
      <c r="AU292" s="4">
        <v>19.7</v>
      </c>
      <c r="AV292" s="7">
        <v>2.66</v>
      </c>
      <c r="AW292" s="6" t="s">
        <v>5</v>
      </c>
      <c r="AX292" s="6" t="s">
        <v>5</v>
      </c>
      <c r="AY292" s="6" t="s">
        <v>5</v>
      </c>
      <c r="AZ292" s="7">
        <v>3.73</v>
      </c>
      <c r="BA292" s="4">
        <v>12.1</v>
      </c>
      <c r="BB292" s="6" t="s">
        <v>5</v>
      </c>
      <c r="BC292" s="6" t="s">
        <v>5</v>
      </c>
      <c r="BD292" s="6" t="s">
        <v>5</v>
      </c>
      <c r="BE292" s="6" t="s">
        <v>5</v>
      </c>
      <c r="BF292" s="6" t="s">
        <v>5</v>
      </c>
      <c r="BG292" s="6" t="s">
        <v>5</v>
      </c>
      <c r="BH292" s="6" t="s">
        <v>5</v>
      </c>
      <c r="BI292" s="7">
        <v>4</v>
      </c>
      <c r="BJ292" s="22">
        <v>0.86</v>
      </c>
      <c r="BK292" s="6" t="s">
        <v>5</v>
      </c>
      <c r="BL292" s="2" t="s">
        <v>5</v>
      </c>
      <c r="BM292" s="2" t="s">
        <v>5</v>
      </c>
      <c r="BN292" s="2" t="s">
        <v>5</v>
      </c>
      <c r="BO292" s="2" t="s">
        <v>5</v>
      </c>
      <c r="BP292" s="2" t="s">
        <v>5</v>
      </c>
      <c r="BQ292" s="2" t="s">
        <v>5</v>
      </c>
      <c r="BR292" s="2" t="s">
        <v>5</v>
      </c>
      <c r="BS292" s="2" t="s">
        <v>5</v>
      </c>
      <c r="BT292" s="2" t="s">
        <v>5</v>
      </c>
      <c r="BU292" s="2" t="s">
        <v>5</v>
      </c>
      <c r="BV292" s="2" t="s">
        <v>5</v>
      </c>
      <c r="BW292" s="2" t="s">
        <v>5</v>
      </c>
      <c r="BX292" s="2" t="s">
        <v>5</v>
      </c>
      <c r="BY292" s="25" t="s">
        <v>5</v>
      </c>
      <c r="BZ292" s="25" t="s">
        <v>5</v>
      </c>
      <c r="CA292" s="4">
        <v>29.3</v>
      </c>
      <c r="CB292" s="6" t="s">
        <v>5</v>
      </c>
      <c r="CC292" s="4">
        <v>40.5</v>
      </c>
      <c r="CD292" s="4">
        <v>29.9</v>
      </c>
      <c r="CE292" s="4">
        <v>41.1</v>
      </c>
      <c r="CF292" s="16" t="s">
        <v>5</v>
      </c>
      <c r="CG292" s="5">
        <v>5.5</v>
      </c>
      <c r="CH292" s="18" t="s">
        <v>5</v>
      </c>
    </row>
    <row r="293" spans="2:151">
      <c r="B293" s="78" t="s">
        <v>145</v>
      </c>
      <c r="C293" s="79" t="s">
        <v>299</v>
      </c>
      <c r="D293" s="80" t="s">
        <v>299</v>
      </c>
      <c r="E293" s="1" t="s">
        <v>4</v>
      </c>
      <c r="F293" s="4">
        <v>48.5</v>
      </c>
      <c r="G293" s="4">
        <v>14.2</v>
      </c>
      <c r="H293" s="3" t="str">
        <f t="shared" si="22"/>
        <v>WT9X48.5</v>
      </c>
      <c r="I293" s="7">
        <v>9.3000000000000007</v>
      </c>
      <c r="J293" s="5">
        <v>9.25</v>
      </c>
      <c r="K293" s="6" t="s">
        <v>5</v>
      </c>
      <c r="L293" s="6" t="s">
        <v>5</v>
      </c>
      <c r="M293" s="6" t="s">
        <v>5</v>
      </c>
      <c r="N293" s="4">
        <v>11.1</v>
      </c>
      <c r="O293" s="5">
        <v>11.125</v>
      </c>
      <c r="P293" s="5" t="s">
        <v>5</v>
      </c>
      <c r="Q293" s="6" t="s">
        <v>5</v>
      </c>
      <c r="R293" s="6" t="s">
        <v>5</v>
      </c>
      <c r="S293" s="22">
        <v>0.53500000000000003</v>
      </c>
      <c r="T293" s="5">
        <v>0.5625</v>
      </c>
      <c r="U293" s="8">
        <v>0.3125</v>
      </c>
      <c r="V293" s="22">
        <v>0.87</v>
      </c>
      <c r="W293" s="8">
        <v>0.875</v>
      </c>
      <c r="X293" s="22">
        <v>0.87</v>
      </c>
      <c r="Y293" s="6" t="s">
        <v>5</v>
      </c>
      <c r="Z293" s="6" t="s">
        <v>5</v>
      </c>
      <c r="AA293" s="7">
        <v>1.27</v>
      </c>
      <c r="AB293" s="8">
        <v>1.75</v>
      </c>
      <c r="AC293" s="8" t="s">
        <v>5</v>
      </c>
      <c r="AD293" s="6" t="s">
        <v>5</v>
      </c>
      <c r="AE293" s="7">
        <v>1.91</v>
      </c>
      <c r="AF293" s="6" t="s">
        <v>5</v>
      </c>
      <c r="AG293" s="6" t="s">
        <v>5</v>
      </c>
      <c r="AH293" s="22">
        <v>0.64</v>
      </c>
      <c r="AI293" s="7">
        <v>6.41</v>
      </c>
      <c r="AJ293" s="6" t="s">
        <v>5</v>
      </c>
      <c r="AK293" s="6" t="s">
        <v>5</v>
      </c>
      <c r="AL293" s="6" t="s">
        <v>5</v>
      </c>
      <c r="AM293" s="6" t="s">
        <v>5</v>
      </c>
      <c r="AN293" s="4">
        <v>17.399999999999999</v>
      </c>
      <c r="AO293" s="4">
        <v>93.8</v>
      </c>
      <c r="AP293" s="4">
        <v>22.6</v>
      </c>
      <c r="AQ293" s="4">
        <v>12.7</v>
      </c>
      <c r="AR293" s="7">
        <v>2.56</v>
      </c>
      <c r="AS293" s="6">
        <v>100</v>
      </c>
      <c r="AT293" s="4">
        <v>27.6</v>
      </c>
      <c r="AU293" s="4">
        <v>18</v>
      </c>
      <c r="AV293" s="7">
        <v>2.65</v>
      </c>
      <c r="AW293" s="6" t="s">
        <v>5</v>
      </c>
      <c r="AX293" s="6" t="s">
        <v>5</v>
      </c>
      <c r="AY293" s="6" t="s">
        <v>5</v>
      </c>
      <c r="AZ293" s="7">
        <v>2.92</v>
      </c>
      <c r="BA293" s="7">
        <v>9.2899999999999991</v>
      </c>
      <c r="BB293" s="6" t="s">
        <v>5</v>
      </c>
      <c r="BC293" s="6" t="s">
        <v>5</v>
      </c>
      <c r="BD293" s="6" t="s">
        <v>5</v>
      </c>
      <c r="BE293" s="6" t="s">
        <v>5</v>
      </c>
      <c r="BF293" s="6" t="s">
        <v>5</v>
      </c>
      <c r="BG293" s="6" t="s">
        <v>5</v>
      </c>
      <c r="BH293" s="6" t="s">
        <v>5</v>
      </c>
      <c r="BI293" s="7">
        <v>3.97</v>
      </c>
      <c r="BJ293" s="22">
        <v>0.86299999999999999</v>
      </c>
      <c r="BK293" s="6" t="s">
        <v>5</v>
      </c>
      <c r="BL293" s="2" t="s">
        <v>5</v>
      </c>
      <c r="BM293" s="2" t="s">
        <v>5</v>
      </c>
      <c r="BN293" s="2" t="s">
        <v>5</v>
      </c>
      <c r="BO293" s="2" t="s">
        <v>5</v>
      </c>
      <c r="BP293" s="2" t="s">
        <v>5</v>
      </c>
      <c r="BQ293" s="2" t="s">
        <v>5</v>
      </c>
      <c r="BR293" s="2" t="s">
        <v>5</v>
      </c>
      <c r="BS293" s="2" t="s">
        <v>5</v>
      </c>
      <c r="BT293" s="2" t="s">
        <v>5</v>
      </c>
      <c r="BU293" s="2" t="s">
        <v>5</v>
      </c>
      <c r="BV293" s="2" t="s">
        <v>5</v>
      </c>
      <c r="BW293" s="2" t="s">
        <v>5</v>
      </c>
      <c r="BX293" s="2" t="s">
        <v>5</v>
      </c>
      <c r="BY293" s="25" t="s">
        <v>5</v>
      </c>
      <c r="BZ293" s="25" t="s">
        <v>5</v>
      </c>
      <c r="CA293" s="4">
        <v>29</v>
      </c>
      <c r="CB293" s="6" t="s">
        <v>5</v>
      </c>
      <c r="CC293" s="4">
        <v>40.1</v>
      </c>
      <c r="CD293" s="4">
        <v>29.699999999999996</v>
      </c>
      <c r="CE293" s="6">
        <v>40.799999999999997</v>
      </c>
      <c r="CF293" s="16" t="s">
        <v>5</v>
      </c>
      <c r="CG293" s="5">
        <v>5.5</v>
      </c>
      <c r="CH293" s="18" t="s">
        <v>5</v>
      </c>
    </row>
    <row r="294" spans="2:151">
      <c r="B294" s="78" t="s">
        <v>145</v>
      </c>
      <c r="C294" s="79" t="s">
        <v>300</v>
      </c>
      <c r="D294" s="80" t="s">
        <v>300</v>
      </c>
      <c r="E294" s="1" t="s">
        <v>4</v>
      </c>
      <c r="F294" s="4">
        <v>43</v>
      </c>
      <c r="G294" s="4">
        <v>12.7</v>
      </c>
      <c r="H294" s="3" t="str">
        <f t="shared" si="22"/>
        <v>WT9X43</v>
      </c>
      <c r="I294" s="7">
        <v>9.1999999999999993</v>
      </c>
      <c r="J294" s="5">
        <v>9.25</v>
      </c>
      <c r="K294" s="6" t="s">
        <v>5</v>
      </c>
      <c r="L294" s="6" t="s">
        <v>5</v>
      </c>
      <c r="M294" s="6" t="s">
        <v>5</v>
      </c>
      <c r="N294" s="4">
        <v>11.1</v>
      </c>
      <c r="O294" s="5">
        <v>11.125</v>
      </c>
      <c r="P294" s="5" t="s">
        <v>5</v>
      </c>
      <c r="Q294" s="6" t="s">
        <v>5</v>
      </c>
      <c r="R294" s="6" t="s">
        <v>5</v>
      </c>
      <c r="S294" s="22">
        <v>0.48</v>
      </c>
      <c r="T294" s="5">
        <v>0.5</v>
      </c>
      <c r="U294" s="8">
        <v>0.25</v>
      </c>
      <c r="V294" s="22">
        <v>0.77</v>
      </c>
      <c r="W294" s="8">
        <v>0.75</v>
      </c>
      <c r="X294" s="22">
        <v>0.77</v>
      </c>
      <c r="Y294" s="6" t="s">
        <v>5</v>
      </c>
      <c r="Z294" s="6" t="s">
        <v>5</v>
      </c>
      <c r="AA294" s="7">
        <v>1.17</v>
      </c>
      <c r="AB294" s="8">
        <v>1.625</v>
      </c>
      <c r="AC294" s="8" t="s">
        <v>5</v>
      </c>
      <c r="AD294" s="6" t="s">
        <v>5</v>
      </c>
      <c r="AE294" s="7">
        <v>1.86</v>
      </c>
      <c r="AF294" s="6" t="s">
        <v>5</v>
      </c>
      <c r="AG294" s="6" t="s">
        <v>5</v>
      </c>
      <c r="AH294" s="22">
        <v>0.56999999999999995</v>
      </c>
      <c r="AI294" s="7">
        <v>7.2</v>
      </c>
      <c r="AJ294" s="6" t="s">
        <v>5</v>
      </c>
      <c r="AK294" s="6" t="s">
        <v>5</v>
      </c>
      <c r="AL294" s="6" t="s">
        <v>5</v>
      </c>
      <c r="AM294" s="6" t="s">
        <v>5</v>
      </c>
      <c r="AN294" s="4">
        <v>19.2</v>
      </c>
      <c r="AO294" s="4">
        <v>82.4</v>
      </c>
      <c r="AP294" s="4">
        <v>19.899999999999999</v>
      </c>
      <c r="AQ294" s="4">
        <v>11.2</v>
      </c>
      <c r="AR294" s="7">
        <v>2.5499999999999998</v>
      </c>
      <c r="AS294" s="4">
        <v>87.6</v>
      </c>
      <c r="AT294" s="4">
        <v>24.2</v>
      </c>
      <c r="AU294" s="4">
        <v>15.8</v>
      </c>
      <c r="AV294" s="7">
        <v>2.63</v>
      </c>
      <c r="AW294" s="6" t="s">
        <v>5</v>
      </c>
      <c r="AX294" s="6" t="s">
        <v>5</v>
      </c>
      <c r="AY294" s="6" t="s">
        <v>5</v>
      </c>
      <c r="AZ294" s="7">
        <v>2.04</v>
      </c>
      <c r="BA294" s="7">
        <v>6.42</v>
      </c>
      <c r="BB294" s="6" t="s">
        <v>5</v>
      </c>
      <c r="BC294" s="6" t="s">
        <v>5</v>
      </c>
      <c r="BD294" s="6" t="s">
        <v>5</v>
      </c>
      <c r="BE294" s="6" t="s">
        <v>5</v>
      </c>
      <c r="BF294" s="6" t="s">
        <v>5</v>
      </c>
      <c r="BG294" s="6" t="s">
        <v>5</v>
      </c>
      <c r="BH294" s="6" t="s">
        <v>5</v>
      </c>
      <c r="BI294" s="7">
        <v>3.95</v>
      </c>
      <c r="BJ294" s="22">
        <v>0.86099999999999999</v>
      </c>
      <c r="BK294" s="6" t="s">
        <v>5</v>
      </c>
      <c r="BL294" s="2" t="s">
        <v>5</v>
      </c>
      <c r="BM294" s="2" t="s">
        <v>5</v>
      </c>
      <c r="BN294" s="2" t="s">
        <v>5</v>
      </c>
      <c r="BO294" s="2" t="s">
        <v>5</v>
      </c>
      <c r="BP294" s="2" t="s">
        <v>5</v>
      </c>
      <c r="BQ294" s="2" t="s">
        <v>5</v>
      </c>
      <c r="BR294" s="2" t="s">
        <v>5</v>
      </c>
      <c r="BS294" s="2" t="s">
        <v>5</v>
      </c>
      <c r="BT294" s="2" t="s">
        <v>5</v>
      </c>
      <c r="BU294" s="2" t="s">
        <v>5</v>
      </c>
      <c r="BV294" s="2" t="s">
        <v>5</v>
      </c>
      <c r="BW294" s="2" t="s">
        <v>5</v>
      </c>
      <c r="BX294" s="2" t="s">
        <v>5</v>
      </c>
      <c r="BY294" s="25" t="s">
        <v>5</v>
      </c>
      <c r="BZ294" s="25" t="s">
        <v>5</v>
      </c>
      <c r="CA294" s="4">
        <v>28.8</v>
      </c>
      <c r="CB294" s="6" t="s">
        <v>5</v>
      </c>
      <c r="CC294" s="4">
        <v>39.9</v>
      </c>
      <c r="CD294" s="4">
        <v>29.499999999999993</v>
      </c>
      <c r="CE294" s="6">
        <v>40.599999999999994</v>
      </c>
      <c r="CF294" s="16" t="s">
        <v>5</v>
      </c>
      <c r="CG294" s="5">
        <v>5.5</v>
      </c>
      <c r="CH294" s="18" t="s">
        <v>5</v>
      </c>
    </row>
    <row r="295" spans="2:151">
      <c r="B295" s="78" t="s">
        <v>145</v>
      </c>
      <c r="C295" s="79" t="s">
        <v>301</v>
      </c>
      <c r="D295" s="80" t="s">
        <v>301</v>
      </c>
      <c r="E295" s="1" t="s">
        <v>4</v>
      </c>
      <c r="F295" s="4">
        <v>38</v>
      </c>
      <c r="G295" s="4">
        <v>11.1</v>
      </c>
      <c r="H295" s="3" t="str">
        <f t="shared" si="22"/>
        <v>WT9X38</v>
      </c>
      <c r="I295" s="7">
        <v>9.11</v>
      </c>
      <c r="J295" s="5">
        <v>9.125</v>
      </c>
      <c r="K295" s="6" t="s">
        <v>5</v>
      </c>
      <c r="L295" s="6" t="s">
        <v>5</v>
      </c>
      <c r="M295" s="6" t="s">
        <v>5</v>
      </c>
      <c r="N295" s="4">
        <v>11</v>
      </c>
      <c r="O295" s="5">
        <v>11</v>
      </c>
      <c r="P295" s="5" t="s">
        <v>5</v>
      </c>
      <c r="Q295" s="6" t="s">
        <v>5</v>
      </c>
      <c r="R295" s="6" t="s">
        <v>5</v>
      </c>
      <c r="S295" s="22">
        <v>0.42499999999999999</v>
      </c>
      <c r="T295" s="5">
        <v>0.4375</v>
      </c>
      <c r="U295" s="8">
        <v>0.25</v>
      </c>
      <c r="V295" s="22">
        <v>0.68</v>
      </c>
      <c r="W295" s="8">
        <v>0.6875</v>
      </c>
      <c r="X295" s="22">
        <v>0.68</v>
      </c>
      <c r="Y295" s="6" t="s">
        <v>5</v>
      </c>
      <c r="Z295" s="6" t="s">
        <v>5</v>
      </c>
      <c r="AA295" s="7">
        <v>1.08</v>
      </c>
      <c r="AB295" s="8">
        <v>1.5625</v>
      </c>
      <c r="AC295" s="8" t="s">
        <v>5</v>
      </c>
      <c r="AD295" s="6" t="s">
        <v>5</v>
      </c>
      <c r="AE295" s="7">
        <v>1.8</v>
      </c>
      <c r="AF295" s="6" t="s">
        <v>5</v>
      </c>
      <c r="AG295" s="6" t="s">
        <v>5</v>
      </c>
      <c r="AH295" s="22">
        <v>0.505</v>
      </c>
      <c r="AI295" s="7">
        <v>8.11</v>
      </c>
      <c r="AJ295" s="6" t="s">
        <v>5</v>
      </c>
      <c r="AK295" s="6" t="s">
        <v>5</v>
      </c>
      <c r="AL295" s="6" t="s">
        <v>5</v>
      </c>
      <c r="AM295" s="6" t="s">
        <v>5</v>
      </c>
      <c r="AN295" s="4">
        <v>21.4</v>
      </c>
      <c r="AO295" s="4">
        <v>71.8</v>
      </c>
      <c r="AP295" s="4">
        <v>17.3</v>
      </c>
      <c r="AQ295" s="7">
        <v>9.83</v>
      </c>
      <c r="AR295" s="7">
        <v>2.54</v>
      </c>
      <c r="AS295" s="4">
        <v>76.2</v>
      </c>
      <c r="AT295" s="4">
        <v>21.1</v>
      </c>
      <c r="AU295" s="4">
        <v>13.8</v>
      </c>
      <c r="AV295" s="7">
        <v>2.61</v>
      </c>
      <c r="AW295" s="6" t="s">
        <v>5</v>
      </c>
      <c r="AX295" s="6" t="s">
        <v>5</v>
      </c>
      <c r="AY295" s="6" t="s">
        <v>5</v>
      </c>
      <c r="AZ295" s="7">
        <v>1.41</v>
      </c>
      <c r="BA295" s="7">
        <v>4.37</v>
      </c>
      <c r="BB295" s="6" t="s">
        <v>5</v>
      </c>
      <c r="BC295" s="6" t="s">
        <v>5</v>
      </c>
      <c r="BD295" s="6" t="s">
        <v>5</v>
      </c>
      <c r="BE295" s="6" t="s">
        <v>5</v>
      </c>
      <c r="BF295" s="6" t="s">
        <v>5</v>
      </c>
      <c r="BG295" s="6" t="s">
        <v>5</v>
      </c>
      <c r="BH295" s="6" t="s">
        <v>5</v>
      </c>
      <c r="BI295" s="7">
        <v>3.93</v>
      </c>
      <c r="BJ295" s="22">
        <v>0.86099999999999999</v>
      </c>
      <c r="BK295" s="6" t="s">
        <v>5</v>
      </c>
      <c r="BL295" s="2" t="s">
        <v>5</v>
      </c>
      <c r="BM295" s="2" t="s">
        <v>5</v>
      </c>
      <c r="BN295" s="2" t="s">
        <v>5</v>
      </c>
      <c r="BO295" s="2" t="s">
        <v>5</v>
      </c>
      <c r="BP295" s="2" t="s">
        <v>5</v>
      </c>
      <c r="BQ295" s="2" t="s">
        <v>5</v>
      </c>
      <c r="BR295" s="2" t="s">
        <v>5</v>
      </c>
      <c r="BS295" s="2" t="s">
        <v>5</v>
      </c>
      <c r="BT295" s="2" t="s">
        <v>5</v>
      </c>
      <c r="BU295" s="2" t="s">
        <v>5</v>
      </c>
      <c r="BV295" s="2" t="s">
        <v>5</v>
      </c>
      <c r="BW295" s="2" t="s">
        <v>5</v>
      </c>
      <c r="BX295" s="2" t="s">
        <v>5</v>
      </c>
      <c r="BY295" s="25" t="s">
        <v>5</v>
      </c>
      <c r="BZ295" s="25" t="s">
        <v>5</v>
      </c>
      <c r="CA295" s="4">
        <v>28.5</v>
      </c>
      <c r="CB295" s="6" t="s">
        <v>5</v>
      </c>
      <c r="CC295" s="4">
        <v>39.5</v>
      </c>
      <c r="CD295" s="4">
        <v>29.2</v>
      </c>
      <c r="CE295" s="4">
        <v>40.200000000000003</v>
      </c>
      <c r="CF295" s="16" t="s">
        <v>5</v>
      </c>
      <c r="CG295" s="5">
        <v>5.5</v>
      </c>
      <c r="CH295" s="18" t="s">
        <v>5</v>
      </c>
    </row>
    <row r="296" spans="2:151">
      <c r="B296" s="78" t="s">
        <v>145</v>
      </c>
      <c r="C296" s="79" t="s">
        <v>302</v>
      </c>
      <c r="D296" s="80" t="s">
        <v>302</v>
      </c>
      <c r="E296" s="1" t="s">
        <v>4</v>
      </c>
      <c r="F296" s="4">
        <v>35.5</v>
      </c>
      <c r="G296" s="4">
        <v>10.4</v>
      </c>
      <c r="H296" s="3" t="str">
        <f t="shared" si="22"/>
        <v>WT9X35.5</v>
      </c>
      <c r="I296" s="7">
        <v>9.24</v>
      </c>
      <c r="J296" s="5">
        <v>9.25</v>
      </c>
      <c r="K296" s="6" t="s">
        <v>5</v>
      </c>
      <c r="L296" s="6" t="s">
        <v>5</v>
      </c>
      <c r="M296" s="6" t="s">
        <v>5</v>
      </c>
      <c r="N296" s="7">
        <v>7.64</v>
      </c>
      <c r="O296" s="5">
        <v>7.625</v>
      </c>
      <c r="P296" s="5" t="s">
        <v>5</v>
      </c>
      <c r="Q296" s="6" t="s">
        <v>5</v>
      </c>
      <c r="R296" s="6" t="s">
        <v>5</v>
      </c>
      <c r="S296" s="22">
        <v>0.495</v>
      </c>
      <c r="T296" s="5">
        <v>0.5</v>
      </c>
      <c r="U296" s="8">
        <v>0.25</v>
      </c>
      <c r="V296" s="22">
        <v>0.81</v>
      </c>
      <c r="W296" s="8">
        <v>0.8125</v>
      </c>
      <c r="X296" s="22">
        <v>0.81</v>
      </c>
      <c r="Y296" s="6" t="s">
        <v>5</v>
      </c>
      <c r="Z296" s="6" t="s">
        <v>5</v>
      </c>
      <c r="AA296" s="7">
        <v>1.21</v>
      </c>
      <c r="AB296" s="8">
        <v>1.5</v>
      </c>
      <c r="AC296" s="8" t="s">
        <v>5</v>
      </c>
      <c r="AD296" s="6" t="s">
        <v>5</v>
      </c>
      <c r="AE296" s="7">
        <v>2.2599999999999998</v>
      </c>
      <c r="AF296" s="6" t="s">
        <v>5</v>
      </c>
      <c r="AG296" s="6" t="s">
        <v>5</v>
      </c>
      <c r="AH296" s="22">
        <v>0.68300000000000005</v>
      </c>
      <c r="AI296" s="7">
        <v>4.71</v>
      </c>
      <c r="AJ296" s="6" t="s">
        <v>5</v>
      </c>
      <c r="AK296" s="6" t="s">
        <v>5</v>
      </c>
      <c r="AL296" s="6" t="s">
        <v>5</v>
      </c>
      <c r="AM296" s="6" t="s">
        <v>5</v>
      </c>
      <c r="AN296" s="4">
        <v>18.7</v>
      </c>
      <c r="AO296" s="4">
        <v>78.2</v>
      </c>
      <c r="AP296" s="4">
        <v>20</v>
      </c>
      <c r="AQ296" s="4">
        <v>11.2</v>
      </c>
      <c r="AR296" s="7">
        <v>2.74</v>
      </c>
      <c r="AS296" s="4">
        <v>30.1</v>
      </c>
      <c r="AT296" s="4">
        <v>12.3</v>
      </c>
      <c r="AU296" s="7">
        <v>7.89</v>
      </c>
      <c r="AV296" s="7">
        <v>1.7</v>
      </c>
      <c r="AW296" s="6" t="s">
        <v>5</v>
      </c>
      <c r="AX296" s="6" t="s">
        <v>5</v>
      </c>
      <c r="AY296" s="6" t="s">
        <v>5</v>
      </c>
      <c r="AZ296" s="7">
        <v>1.74</v>
      </c>
      <c r="BA296" s="7">
        <v>3.96</v>
      </c>
      <c r="BB296" s="6" t="s">
        <v>5</v>
      </c>
      <c r="BC296" s="6" t="s">
        <v>5</v>
      </c>
      <c r="BD296" s="6" t="s">
        <v>5</v>
      </c>
      <c r="BE296" s="6" t="s">
        <v>5</v>
      </c>
      <c r="BF296" s="6" t="s">
        <v>5</v>
      </c>
      <c r="BG296" s="6" t="s">
        <v>5</v>
      </c>
      <c r="BH296" s="6" t="s">
        <v>5</v>
      </c>
      <c r="BI296" s="7">
        <v>3.72</v>
      </c>
      <c r="BJ296" s="22">
        <v>0.752</v>
      </c>
      <c r="BK296" s="6" t="s">
        <v>5</v>
      </c>
      <c r="BL296" s="2" t="s">
        <v>5</v>
      </c>
      <c r="BM296" s="2" t="s">
        <v>5</v>
      </c>
      <c r="BN296" s="2" t="s">
        <v>5</v>
      </c>
      <c r="BO296" s="2" t="s">
        <v>5</v>
      </c>
      <c r="BP296" s="2" t="s">
        <v>5</v>
      </c>
      <c r="BQ296" s="2" t="s">
        <v>5</v>
      </c>
      <c r="BR296" s="2" t="s">
        <v>5</v>
      </c>
      <c r="BS296" s="2" t="s">
        <v>5</v>
      </c>
      <c r="BT296" s="2" t="s">
        <v>5</v>
      </c>
      <c r="BU296" s="2" t="s">
        <v>5</v>
      </c>
      <c r="BV296" s="2" t="s">
        <v>5</v>
      </c>
      <c r="BW296" s="2" t="s">
        <v>5</v>
      </c>
      <c r="BX296" s="2" t="s">
        <v>5</v>
      </c>
      <c r="BY296" s="25" t="s">
        <v>5</v>
      </c>
      <c r="BZ296" s="25" t="s">
        <v>5</v>
      </c>
      <c r="CA296" s="4">
        <v>25.6</v>
      </c>
      <c r="CB296" s="6" t="s">
        <v>5</v>
      </c>
      <c r="CC296" s="4">
        <v>33.200000000000003</v>
      </c>
      <c r="CD296" s="4">
        <v>26.1</v>
      </c>
      <c r="CE296" s="4">
        <v>33.799999999999997</v>
      </c>
      <c r="CF296" s="16" t="s">
        <v>5</v>
      </c>
      <c r="CG296" s="5">
        <v>3.5</v>
      </c>
      <c r="CH296" s="18" t="s">
        <v>5</v>
      </c>
    </row>
    <row r="297" spans="2:151">
      <c r="B297" s="78" t="s">
        <v>145</v>
      </c>
      <c r="C297" s="79" t="s">
        <v>303</v>
      </c>
      <c r="D297" s="80" t="s">
        <v>303</v>
      </c>
      <c r="E297" s="1" t="s">
        <v>4</v>
      </c>
      <c r="F297" s="4">
        <v>32.5</v>
      </c>
      <c r="G297" s="7">
        <v>9.5500000000000007</v>
      </c>
      <c r="H297" s="3" t="str">
        <f t="shared" si="22"/>
        <v>WT9X32.5</v>
      </c>
      <c r="I297" s="7">
        <v>9.18</v>
      </c>
      <c r="J297" s="5">
        <v>9.125</v>
      </c>
      <c r="K297" s="6" t="s">
        <v>5</v>
      </c>
      <c r="L297" s="6" t="s">
        <v>5</v>
      </c>
      <c r="M297" s="6" t="s">
        <v>5</v>
      </c>
      <c r="N297" s="7">
        <v>7.59</v>
      </c>
      <c r="O297" s="5">
        <v>7.625</v>
      </c>
      <c r="P297" s="5" t="s">
        <v>5</v>
      </c>
      <c r="Q297" s="6" t="s">
        <v>5</v>
      </c>
      <c r="R297" s="6" t="s">
        <v>5</v>
      </c>
      <c r="S297" s="22">
        <v>0.45</v>
      </c>
      <c r="T297" s="5">
        <v>0.4375</v>
      </c>
      <c r="U297" s="8">
        <v>0.25</v>
      </c>
      <c r="V297" s="22">
        <v>0.75</v>
      </c>
      <c r="W297" s="8">
        <v>0.75</v>
      </c>
      <c r="X297" s="22">
        <v>0.75</v>
      </c>
      <c r="Y297" s="6" t="s">
        <v>5</v>
      </c>
      <c r="Z297" s="6" t="s">
        <v>5</v>
      </c>
      <c r="AA297" s="7">
        <v>1.1499999999999999</v>
      </c>
      <c r="AB297" s="8">
        <v>1.4375</v>
      </c>
      <c r="AC297" s="8" t="s">
        <v>5</v>
      </c>
      <c r="AD297" s="6" t="s">
        <v>5</v>
      </c>
      <c r="AE297" s="7">
        <v>2.2000000000000002</v>
      </c>
      <c r="AF297" s="6" t="s">
        <v>5</v>
      </c>
      <c r="AG297" s="6" t="s">
        <v>5</v>
      </c>
      <c r="AH297" s="22">
        <v>0.629</v>
      </c>
      <c r="AI297" s="7">
        <v>5.0599999999999996</v>
      </c>
      <c r="AJ297" s="6" t="s">
        <v>5</v>
      </c>
      <c r="AK297" s="6" t="s">
        <v>5</v>
      </c>
      <c r="AL297" s="6" t="s">
        <v>5</v>
      </c>
      <c r="AM297" s="6" t="s">
        <v>5</v>
      </c>
      <c r="AN297" s="4">
        <v>20.399999999999999</v>
      </c>
      <c r="AO297" s="4">
        <v>70.7</v>
      </c>
      <c r="AP297" s="4">
        <v>18</v>
      </c>
      <c r="AQ297" s="4">
        <v>10.1</v>
      </c>
      <c r="AR297" s="7">
        <v>2.72</v>
      </c>
      <c r="AS297" s="4">
        <v>27.4</v>
      </c>
      <c r="AT297" s="4">
        <v>11.2</v>
      </c>
      <c r="AU297" s="7">
        <v>7.22</v>
      </c>
      <c r="AV297" s="7">
        <v>1.69</v>
      </c>
      <c r="AW297" s="6" t="s">
        <v>5</v>
      </c>
      <c r="AX297" s="6" t="s">
        <v>5</v>
      </c>
      <c r="AY297" s="6" t="s">
        <v>5</v>
      </c>
      <c r="AZ297" s="7">
        <v>1.36</v>
      </c>
      <c r="BA297" s="7">
        <v>3.01</v>
      </c>
      <c r="BB297" s="6" t="s">
        <v>5</v>
      </c>
      <c r="BC297" s="6" t="s">
        <v>5</v>
      </c>
      <c r="BD297" s="6" t="s">
        <v>5</v>
      </c>
      <c r="BE297" s="6" t="s">
        <v>5</v>
      </c>
      <c r="BF297" s="6" t="s">
        <v>5</v>
      </c>
      <c r="BG297" s="6" t="s">
        <v>5</v>
      </c>
      <c r="BH297" s="6" t="s">
        <v>5</v>
      </c>
      <c r="BI297" s="7">
        <v>3.69</v>
      </c>
      <c r="BJ297" s="22">
        <v>0.755</v>
      </c>
      <c r="BK297" s="6" t="s">
        <v>5</v>
      </c>
      <c r="BL297" s="2" t="s">
        <v>5</v>
      </c>
      <c r="BM297" s="2" t="s">
        <v>5</v>
      </c>
      <c r="BN297" s="2" t="s">
        <v>5</v>
      </c>
      <c r="BO297" s="2" t="s">
        <v>5</v>
      </c>
      <c r="BP297" s="2" t="s">
        <v>5</v>
      </c>
      <c r="BQ297" s="2" t="s">
        <v>5</v>
      </c>
      <c r="BR297" s="2" t="s">
        <v>5</v>
      </c>
      <c r="BS297" s="2" t="s">
        <v>5</v>
      </c>
      <c r="BT297" s="2" t="s">
        <v>5</v>
      </c>
      <c r="BU297" s="2" t="s">
        <v>5</v>
      </c>
      <c r="BV297" s="2" t="s">
        <v>5</v>
      </c>
      <c r="BW297" s="2" t="s">
        <v>5</v>
      </c>
      <c r="BX297" s="2" t="s">
        <v>5</v>
      </c>
      <c r="BY297" s="25" t="s">
        <v>5</v>
      </c>
      <c r="BZ297" s="25" t="s">
        <v>5</v>
      </c>
      <c r="CA297" s="4">
        <v>25.4</v>
      </c>
      <c r="CB297" s="6" t="s">
        <v>5</v>
      </c>
      <c r="CC297" s="4">
        <v>33</v>
      </c>
      <c r="CD297" s="4">
        <v>26</v>
      </c>
      <c r="CE297" s="4">
        <v>33.5</v>
      </c>
      <c r="CF297" s="16" t="s">
        <v>5</v>
      </c>
      <c r="CG297" s="5">
        <v>3.5</v>
      </c>
      <c r="CH297" s="18" t="s">
        <v>5</v>
      </c>
    </row>
    <row r="298" spans="2:151">
      <c r="B298" s="78" t="s">
        <v>145</v>
      </c>
      <c r="C298" s="79" t="s">
        <v>304</v>
      </c>
      <c r="D298" s="80" t="s">
        <v>304</v>
      </c>
      <c r="E298" s="1" t="s">
        <v>4</v>
      </c>
      <c r="F298" s="4">
        <v>30</v>
      </c>
      <c r="G298" s="7">
        <v>8.82</v>
      </c>
      <c r="H298" s="3" t="str">
        <f t="shared" si="22"/>
        <v>WT9X30</v>
      </c>
      <c r="I298" s="7">
        <v>9.1199999999999992</v>
      </c>
      <c r="J298" s="5">
        <v>9.125</v>
      </c>
      <c r="K298" s="6" t="s">
        <v>5</v>
      </c>
      <c r="L298" s="6" t="s">
        <v>5</v>
      </c>
      <c r="M298" s="6" t="s">
        <v>5</v>
      </c>
      <c r="N298" s="7">
        <v>7.56</v>
      </c>
      <c r="O298" s="5">
        <v>7.5</v>
      </c>
      <c r="P298" s="5" t="s">
        <v>5</v>
      </c>
      <c r="Q298" s="6" t="s">
        <v>5</v>
      </c>
      <c r="R298" s="6" t="s">
        <v>5</v>
      </c>
      <c r="S298" s="22">
        <v>0.41499999999999998</v>
      </c>
      <c r="T298" s="5">
        <v>0.4375</v>
      </c>
      <c r="U298" s="8">
        <v>0.25</v>
      </c>
      <c r="V298" s="22">
        <v>0.69499999999999995</v>
      </c>
      <c r="W298" s="8">
        <v>0.6875</v>
      </c>
      <c r="X298" s="22">
        <v>0.69499999999999995</v>
      </c>
      <c r="Y298" s="6" t="s">
        <v>5</v>
      </c>
      <c r="Z298" s="6" t="s">
        <v>5</v>
      </c>
      <c r="AA298" s="7">
        <v>1.1000000000000001</v>
      </c>
      <c r="AB298" s="8">
        <v>1.375</v>
      </c>
      <c r="AC298" s="8" t="s">
        <v>5</v>
      </c>
      <c r="AD298" s="6" t="s">
        <v>5</v>
      </c>
      <c r="AE298" s="7">
        <v>2.16</v>
      </c>
      <c r="AF298" s="6" t="s">
        <v>5</v>
      </c>
      <c r="AG298" s="6" t="s">
        <v>5</v>
      </c>
      <c r="AH298" s="22">
        <v>0.58299999999999996</v>
      </c>
      <c r="AI298" s="7">
        <v>5.44</v>
      </c>
      <c r="AJ298" s="6" t="s">
        <v>5</v>
      </c>
      <c r="AK298" s="6" t="s">
        <v>5</v>
      </c>
      <c r="AL298" s="6" t="s">
        <v>5</v>
      </c>
      <c r="AM298" s="6" t="s">
        <v>5</v>
      </c>
      <c r="AN298" s="4">
        <v>22</v>
      </c>
      <c r="AO298" s="4">
        <v>64.7</v>
      </c>
      <c r="AP298" s="4">
        <v>16.5</v>
      </c>
      <c r="AQ298" s="7">
        <v>9.2899999999999991</v>
      </c>
      <c r="AR298" s="7">
        <v>2.71</v>
      </c>
      <c r="AS298" s="4">
        <v>25</v>
      </c>
      <c r="AT298" s="4">
        <v>10.3</v>
      </c>
      <c r="AU298" s="7">
        <v>6.63</v>
      </c>
      <c r="AV298" s="7">
        <v>1.68</v>
      </c>
      <c r="AW298" s="6" t="s">
        <v>5</v>
      </c>
      <c r="AX298" s="6" t="s">
        <v>5</v>
      </c>
      <c r="AY298" s="6" t="s">
        <v>5</v>
      </c>
      <c r="AZ298" s="7">
        <v>1.08</v>
      </c>
      <c r="BA298" s="7">
        <v>2.35</v>
      </c>
      <c r="BB298" s="6" t="s">
        <v>5</v>
      </c>
      <c r="BC298" s="6" t="s">
        <v>5</v>
      </c>
      <c r="BD298" s="6" t="s">
        <v>5</v>
      </c>
      <c r="BE298" s="6" t="s">
        <v>5</v>
      </c>
      <c r="BF298" s="6" t="s">
        <v>5</v>
      </c>
      <c r="BG298" s="6" t="s">
        <v>5</v>
      </c>
      <c r="BH298" s="6" t="s">
        <v>5</v>
      </c>
      <c r="BI298" s="7">
        <v>3.67</v>
      </c>
      <c r="BJ298" s="22">
        <v>0.75600000000000001</v>
      </c>
      <c r="BK298" s="6" t="s">
        <v>5</v>
      </c>
      <c r="BL298" s="2" t="s">
        <v>5</v>
      </c>
      <c r="BM298" s="2" t="s">
        <v>5</v>
      </c>
      <c r="BN298" s="2" t="s">
        <v>5</v>
      </c>
      <c r="BO298" s="2" t="s">
        <v>5</v>
      </c>
      <c r="BP298" s="2" t="s">
        <v>5</v>
      </c>
      <c r="BQ298" s="2" t="s">
        <v>5</v>
      </c>
      <c r="BR298" s="2" t="s">
        <v>5</v>
      </c>
      <c r="BS298" s="2" t="s">
        <v>5</v>
      </c>
      <c r="BT298" s="2" t="s">
        <v>5</v>
      </c>
      <c r="BU298" s="2" t="s">
        <v>5</v>
      </c>
      <c r="BV298" s="2" t="s">
        <v>5</v>
      </c>
      <c r="BW298" s="2" t="s">
        <v>5</v>
      </c>
      <c r="BX298" s="2" t="s">
        <v>5</v>
      </c>
      <c r="BY298" s="25" t="s">
        <v>5</v>
      </c>
      <c r="BZ298" s="25" t="s">
        <v>5</v>
      </c>
      <c r="CA298" s="4">
        <v>25.3</v>
      </c>
      <c r="CB298" s="6" t="s">
        <v>5</v>
      </c>
      <c r="CC298" s="4">
        <v>32.799999999999997</v>
      </c>
      <c r="CD298" s="4">
        <v>25.8</v>
      </c>
      <c r="CE298" s="4">
        <v>33.4</v>
      </c>
      <c r="CF298" s="16" t="s">
        <v>5</v>
      </c>
      <c r="CG298" s="5">
        <v>3.5</v>
      </c>
      <c r="CH298" s="18" t="s">
        <v>5</v>
      </c>
    </row>
    <row r="299" spans="2:151">
      <c r="B299" s="78" t="s">
        <v>145</v>
      </c>
      <c r="C299" s="79" t="s">
        <v>305</v>
      </c>
      <c r="D299" s="80" t="s">
        <v>305</v>
      </c>
      <c r="E299" s="1" t="s">
        <v>4</v>
      </c>
      <c r="F299" s="4">
        <v>27.5</v>
      </c>
      <c r="G299" s="7">
        <v>8.1</v>
      </c>
      <c r="H299" s="3" t="str">
        <f t="shared" si="22"/>
        <v>WT9X27.5</v>
      </c>
      <c r="I299" s="7">
        <v>9.06</v>
      </c>
      <c r="J299" s="5">
        <v>9</v>
      </c>
      <c r="K299" s="6" t="s">
        <v>5</v>
      </c>
      <c r="L299" s="6" t="s">
        <v>5</v>
      </c>
      <c r="M299" s="6" t="s">
        <v>5</v>
      </c>
      <c r="N299" s="7">
        <v>7.53</v>
      </c>
      <c r="O299" s="5">
        <v>7.5</v>
      </c>
      <c r="P299" s="5" t="s">
        <v>5</v>
      </c>
      <c r="Q299" s="6" t="s">
        <v>5</v>
      </c>
      <c r="R299" s="6" t="s">
        <v>5</v>
      </c>
      <c r="S299" s="22">
        <v>0.39</v>
      </c>
      <c r="T299" s="5">
        <v>0.375</v>
      </c>
      <c r="U299" s="8">
        <v>0.1875</v>
      </c>
      <c r="V299" s="22">
        <v>0.63</v>
      </c>
      <c r="W299" s="8">
        <v>0.625</v>
      </c>
      <c r="X299" s="22">
        <v>0.63</v>
      </c>
      <c r="Y299" s="6" t="s">
        <v>5</v>
      </c>
      <c r="Z299" s="6" t="s">
        <v>5</v>
      </c>
      <c r="AA299" s="7">
        <v>1.03</v>
      </c>
      <c r="AB299" s="8">
        <v>1.3125</v>
      </c>
      <c r="AC299" s="8" t="s">
        <v>5</v>
      </c>
      <c r="AD299" s="6" t="s">
        <v>5</v>
      </c>
      <c r="AE299" s="7">
        <v>2.16</v>
      </c>
      <c r="AF299" s="6" t="s">
        <v>5</v>
      </c>
      <c r="AG299" s="6" t="s">
        <v>5</v>
      </c>
      <c r="AH299" s="22">
        <v>0.53800000000000003</v>
      </c>
      <c r="AI299" s="7">
        <v>5.98</v>
      </c>
      <c r="AJ299" s="6" t="s">
        <v>5</v>
      </c>
      <c r="AK299" s="6" t="s">
        <v>5</v>
      </c>
      <c r="AL299" s="6" t="s">
        <v>5</v>
      </c>
      <c r="AM299" s="6" t="s">
        <v>5</v>
      </c>
      <c r="AN299" s="4">
        <v>23.2</v>
      </c>
      <c r="AO299" s="4">
        <v>59.5</v>
      </c>
      <c r="AP299" s="4">
        <v>15.3</v>
      </c>
      <c r="AQ299" s="7">
        <v>8.6300000000000008</v>
      </c>
      <c r="AR299" s="7">
        <v>2.71</v>
      </c>
      <c r="AS299" s="4">
        <v>22.5</v>
      </c>
      <c r="AT299" s="7">
        <v>9.26</v>
      </c>
      <c r="AU299" s="7">
        <v>5.97</v>
      </c>
      <c r="AV299" s="7">
        <v>1.67</v>
      </c>
      <c r="AW299" s="6" t="s">
        <v>5</v>
      </c>
      <c r="AX299" s="6" t="s">
        <v>5</v>
      </c>
      <c r="AY299" s="6" t="s">
        <v>5</v>
      </c>
      <c r="AZ299" s="22">
        <v>0.83</v>
      </c>
      <c r="BA299" s="7">
        <v>1.84</v>
      </c>
      <c r="BB299" s="6" t="s">
        <v>5</v>
      </c>
      <c r="BC299" s="6" t="s">
        <v>5</v>
      </c>
      <c r="BD299" s="6" t="s">
        <v>5</v>
      </c>
      <c r="BE299" s="6" t="s">
        <v>5</v>
      </c>
      <c r="BF299" s="6" t="s">
        <v>5</v>
      </c>
      <c r="BG299" s="6" t="s">
        <v>5</v>
      </c>
      <c r="BH299" s="6" t="s">
        <v>5</v>
      </c>
      <c r="BI299" s="7">
        <v>3.68</v>
      </c>
      <c r="BJ299" s="22">
        <v>0.749</v>
      </c>
      <c r="BK299" s="6" t="s">
        <v>5</v>
      </c>
      <c r="BL299" s="2" t="s">
        <v>5</v>
      </c>
      <c r="BM299" s="2" t="s">
        <v>5</v>
      </c>
      <c r="BN299" s="2" t="s">
        <v>5</v>
      </c>
      <c r="BO299" s="2" t="s">
        <v>5</v>
      </c>
      <c r="BP299" s="2" t="s">
        <v>5</v>
      </c>
      <c r="BQ299" s="2" t="s">
        <v>5</v>
      </c>
      <c r="BR299" s="2" t="s">
        <v>5</v>
      </c>
      <c r="BS299" s="2" t="s">
        <v>5</v>
      </c>
      <c r="BT299" s="2" t="s">
        <v>5</v>
      </c>
      <c r="BU299" s="2" t="s">
        <v>5</v>
      </c>
      <c r="BV299" s="2" t="s">
        <v>5</v>
      </c>
      <c r="BW299" s="2" t="s">
        <v>5</v>
      </c>
      <c r="BX299" s="2" t="s">
        <v>5</v>
      </c>
      <c r="BY299" s="25" t="s">
        <v>5</v>
      </c>
      <c r="BZ299" s="25" t="s">
        <v>5</v>
      </c>
      <c r="CA299" s="4">
        <v>25.1</v>
      </c>
      <c r="CB299" s="6" t="s">
        <v>5</v>
      </c>
      <c r="CC299" s="4">
        <v>32.700000000000003</v>
      </c>
      <c r="CD299" s="4">
        <v>25.7</v>
      </c>
      <c r="CE299" s="4">
        <v>33.200000000000003</v>
      </c>
      <c r="CF299" s="16" t="s">
        <v>5</v>
      </c>
      <c r="CG299" s="5">
        <v>3.5</v>
      </c>
      <c r="CH299" s="18" t="s">
        <v>5</v>
      </c>
    </row>
    <row r="300" spans="2:151">
      <c r="B300" s="78" t="s">
        <v>145</v>
      </c>
      <c r="C300" s="79" t="s">
        <v>306</v>
      </c>
      <c r="D300" s="80" t="s">
        <v>306</v>
      </c>
      <c r="E300" s="1" t="s">
        <v>4</v>
      </c>
      <c r="F300" s="4">
        <v>25</v>
      </c>
      <c r="G300" s="7">
        <v>7.34</v>
      </c>
      <c r="H300" s="3" t="str">
        <f t="shared" si="22"/>
        <v>WT9X25</v>
      </c>
      <c r="I300" s="7">
        <v>9</v>
      </c>
      <c r="J300" s="5">
        <v>9</v>
      </c>
      <c r="K300" s="6" t="s">
        <v>5</v>
      </c>
      <c r="L300" s="6" t="s">
        <v>5</v>
      </c>
      <c r="M300" s="6" t="s">
        <v>5</v>
      </c>
      <c r="N300" s="7">
        <v>7.5</v>
      </c>
      <c r="O300" s="5">
        <v>7.5</v>
      </c>
      <c r="P300" s="5" t="s">
        <v>5</v>
      </c>
      <c r="Q300" s="6" t="s">
        <v>5</v>
      </c>
      <c r="R300" s="6" t="s">
        <v>5</v>
      </c>
      <c r="S300" s="22">
        <v>0.35499999999999998</v>
      </c>
      <c r="T300" s="5">
        <v>0.375</v>
      </c>
      <c r="U300" s="8">
        <v>0.1875</v>
      </c>
      <c r="V300" s="22">
        <v>0.56999999999999995</v>
      </c>
      <c r="W300" s="8">
        <v>0.5625</v>
      </c>
      <c r="X300" s="22">
        <v>0.56999999999999995</v>
      </c>
      <c r="Y300" s="6" t="s">
        <v>5</v>
      </c>
      <c r="Z300" s="6" t="s">
        <v>5</v>
      </c>
      <c r="AA300" s="22">
        <v>0.97199999999999998</v>
      </c>
      <c r="AB300" s="8">
        <v>1.25</v>
      </c>
      <c r="AC300" s="8" t="s">
        <v>5</v>
      </c>
      <c r="AD300" s="6" t="s">
        <v>5</v>
      </c>
      <c r="AE300" s="7">
        <v>2.12</v>
      </c>
      <c r="AF300" s="6" t="s">
        <v>5</v>
      </c>
      <c r="AG300" s="6" t="s">
        <v>5</v>
      </c>
      <c r="AH300" s="22">
        <v>0.48899999999999999</v>
      </c>
      <c r="AI300" s="7">
        <v>6.57</v>
      </c>
      <c r="AJ300" s="6" t="s">
        <v>5</v>
      </c>
      <c r="AK300" s="6" t="s">
        <v>5</v>
      </c>
      <c r="AL300" s="6" t="s">
        <v>5</v>
      </c>
      <c r="AM300" s="6" t="s">
        <v>5</v>
      </c>
      <c r="AN300" s="4">
        <v>25.4</v>
      </c>
      <c r="AO300" s="4">
        <v>53.5</v>
      </c>
      <c r="AP300" s="4">
        <v>13.8</v>
      </c>
      <c r="AQ300" s="7">
        <v>7.79</v>
      </c>
      <c r="AR300" s="7">
        <v>2.7</v>
      </c>
      <c r="AS300" s="4">
        <v>20</v>
      </c>
      <c r="AT300" s="7">
        <v>8.2799999999999994</v>
      </c>
      <c r="AU300" s="7">
        <v>5.35</v>
      </c>
      <c r="AV300" s="7">
        <v>1.65</v>
      </c>
      <c r="AW300" s="6" t="s">
        <v>5</v>
      </c>
      <c r="AX300" s="6" t="s">
        <v>5</v>
      </c>
      <c r="AY300" s="6" t="s">
        <v>5</v>
      </c>
      <c r="AZ300" s="22">
        <v>0.61899999999999999</v>
      </c>
      <c r="BA300" s="7">
        <v>1.36</v>
      </c>
      <c r="BB300" s="6" t="s">
        <v>5</v>
      </c>
      <c r="BC300" s="6" t="s">
        <v>5</v>
      </c>
      <c r="BD300" s="6" t="s">
        <v>5</v>
      </c>
      <c r="BE300" s="6" t="s">
        <v>5</v>
      </c>
      <c r="BF300" s="6" t="s">
        <v>5</v>
      </c>
      <c r="BG300" s="6" t="s">
        <v>5</v>
      </c>
      <c r="BH300" s="6" t="s">
        <v>5</v>
      </c>
      <c r="BI300" s="7">
        <v>3.66</v>
      </c>
      <c r="BJ300" s="22">
        <v>0.748</v>
      </c>
      <c r="BK300" s="6" t="s">
        <v>5</v>
      </c>
      <c r="BL300" s="2" t="s">
        <v>5</v>
      </c>
      <c r="BM300" s="2" t="s">
        <v>5</v>
      </c>
      <c r="BN300" s="2" t="s">
        <v>5</v>
      </c>
      <c r="BO300" s="2" t="s">
        <v>5</v>
      </c>
      <c r="BP300" s="2" t="s">
        <v>5</v>
      </c>
      <c r="BQ300" s="2" t="s">
        <v>5</v>
      </c>
      <c r="BR300" s="2" t="s">
        <v>5</v>
      </c>
      <c r="BS300" s="2" t="s">
        <v>5</v>
      </c>
      <c r="BT300" s="2" t="s">
        <v>5</v>
      </c>
      <c r="BU300" s="2" t="s">
        <v>5</v>
      </c>
      <c r="BV300" s="2" t="s">
        <v>5</v>
      </c>
      <c r="BW300" s="2" t="s">
        <v>5</v>
      </c>
      <c r="BX300" s="2" t="s">
        <v>5</v>
      </c>
      <c r="BY300" s="25" t="s">
        <v>5</v>
      </c>
      <c r="BZ300" s="25" t="s">
        <v>5</v>
      </c>
      <c r="CA300" s="4">
        <v>25</v>
      </c>
      <c r="CB300" s="6" t="s">
        <v>5</v>
      </c>
      <c r="CC300" s="4">
        <v>32.5</v>
      </c>
      <c r="CD300" s="4">
        <v>25.5</v>
      </c>
      <c r="CE300" s="4">
        <v>33</v>
      </c>
      <c r="CF300" s="16" t="s">
        <v>5</v>
      </c>
      <c r="CG300" s="5">
        <v>3.5</v>
      </c>
      <c r="CH300" s="18" t="s">
        <v>5</v>
      </c>
    </row>
    <row r="301" spans="2:151">
      <c r="B301" s="78" t="s">
        <v>145</v>
      </c>
      <c r="C301" s="79" t="s">
        <v>307</v>
      </c>
      <c r="D301" s="80" t="s">
        <v>307</v>
      </c>
      <c r="E301" s="1" t="s">
        <v>4</v>
      </c>
      <c r="F301" s="4">
        <v>23</v>
      </c>
      <c r="G301" s="7">
        <v>6.77</v>
      </c>
      <c r="H301" s="3" t="str">
        <f t="shared" si="22"/>
        <v>WT9X23</v>
      </c>
      <c r="I301" s="7">
        <v>9.0299999999999994</v>
      </c>
      <c r="J301" s="5">
        <v>9</v>
      </c>
      <c r="K301" s="6" t="s">
        <v>5</v>
      </c>
      <c r="L301" s="6" t="s">
        <v>5</v>
      </c>
      <c r="M301" s="6" t="s">
        <v>5</v>
      </c>
      <c r="N301" s="7">
        <v>6.06</v>
      </c>
      <c r="O301" s="5">
        <v>6</v>
      </c>
      <c r="P301" s="5" t="s">
        <v>5</v>
      </c>
      <c r="Q301" s="6" t="s">
        <v>5</v>
      </c>
      <c r="R301" s="6" t="s">
        <v>5</v>
      </c>
      <c r="S301" s="22">
        <v>0.36</v>
      </c>
      <c r="T301" s="5">
        <v>0.375</v>
      </c>
      <c r="U301" s="8">
        <v>0.1875</v>
      </c>
      <c r="V301" s="22">
        <v>0.60499999999999998</v>
      </c>
      <c r="W301" s="8">
        <v>0.625</v>
      </c>
      <c r="X301" s="22">
        <v>0.60499999999999998</v>
      </c>
      <c r="Y301" s="6" t="s">
        <v>5</v>
      </c>
      <c r="Z301" s="6" t="s">
        <v>5</v>
      </c>
      <c r="AA301" s="7">
        <v>1.01</v>
      </c>
      <c r="AB301" s="8">
        <v>1.25</v>
      </c>
      <c r="AC301" s="8" t="s">
        <v>5</v>
      </c>
      <c r="AD301" s="6" t="s">
        <v>5</v>
      </c>
      <c r="AE301" s="7">
        <v>2.33</v>
      </c>
      <c r="AF301" s="6" t="s">
        <v>5</v>
      </c>
      <c r="AG301" s="6" t="s">
        <v>5</v>
      </c>
      <c r="AH301" s="22">
        <v>0.55800000000000005</v>
      </c>
      <c r="AI301" s="7">
        <v>5.01</v>
      </c>
      <c r="AJ301" s="6" t="s">
        <v>5</v>
      </c>
      <c r="AK301" s="6" t="s">
        <v>5</v>
      </c>
      <c r="AL301" s="6" t="s">
        <v>5</v>
      </c>
      <c r="AM301" s="6" t="s">
        <v>5</v>
      </c>
      <c r="AN301" s="4">
        <v>25.1</v>
      </c>
      <c r="AO301" s="4">
        <v>52.1</v>
      </c>
      <c r="AP301" s="4">
        <v>13.9</v>
      </c>
      <c r="AQ301" s="7">
        <v>7.77</v>
      </c>
      <c r="AR301" s="7">
        <v>2.77</v>
      </c>
      <c r="AS301" s="4">
        <v>11.3</v>
      </c>
      <c r="AT301" s="7">
        <v>5.84</v>
      </c>
      <c r="AU301" s="7">
        <v>3.71</v>
      </c>
      <c r="AV301" s="7">
        <v>1.29</v>
      </c>
      <c r="AW301" s="6" t="s">
        <v>5</v>
      </c>
      <c r="AX301" s="6" t="s">
        <v>5</v>
      </c>
      <c r="AY301" s="6" t="s">
        <v>5</v>
      </c>
      <c r="AZ301" s="22">
        <v>0.60899999999999999</v>
      </c>
      <c r="BA301" s="7">
        <v>1.2</v>
      </c>
      <c r="BB301" s="6" t="s">
        <v>5</v>
      </c>
      <c r="BC301" s="6" t="s">
        <v>5</v>
      </c>
      <c r="BD301" s="6" t="s">
        <v>5</v>
      </c>
      <c r="BE301" s="6" t="s">
        <v>5</v>
      </c>
      <c r="BF301" s="6" t="s">
        <v>5</v>
      </c>
      <c r="BG301" s="6" t="s">
        <v>5</v>
      </c>
      <c r="BH301" s="6" t="s">
        <v>5</v>
      </c>
      <c r="BI301" s="7">
        <v>3.67</v>
      </c>
      <c r="BJ301" s="22">
        <v>0.69499999999999995</v>
      </c>
      <c r="BK301" s="6" t="s">
        <v>5</v>
      </c>
      <c r="BL301" s="2" t="s">
        <v>5</v>
      </c>
      <c r="BM301" s="2" t="s">
        <v>5</v>
      </c>
      <c r="BN301" s="2" t="s">
        <v>5</v>
      </c>
      <c r="BO301" s="2" t="s">
        <v>5</v>
      </c>
      <c r="BP301" s="2" t="s">
        <v>5</v>
      </c>
      <c r="BQ301" s="2" t="s">
        <v>5</v>
      </c>
      <c r="BR301" s="2" t="s">
        <v>5</v>
      </c>
      <c r="BS301" s="2" t="s">
        <v>5</v>
      </c>
      <c r="BT301" s="2" t="s">
        <v>5</v>
      </c>
      <c r="BU301" s="2" t="s">
        <v>5</v>
      </c>
      <c r="BV301" s="2" t="s">
        <v>5</v>
      </c>
      <c r="BW301" s="2" t="s">
        <v>5</v>
      </c>
      <c r="BX301" s="2" t="s">
        <v>5</v>
      </c>
      <c r="BY301" s="25" t="s">
        <v>5</v>
      </c>
      <c r="BZ301" s="25" t="s">
        <v>5</v>
      </c>
      <c r="CA301" s="4">
        <v>23.6</v>
      </c>
      <c r="CB301" s="6" t="s">
        <v>5</v>
      </c>
      <c r="CC301" s="4">
        <v>29.7</v>
      </c>
      <c r="CD301" s="4">
        <v>24.1</v>
      </c>
      <c r="CE301" s="4">
        <v>30.2</v>
      </c>
      <c r="CF301" s="16" t="s">
        <v>5</v>
      </c>
      <c r="CG301" s="5">
        <v>3.5</v>
      </c>
      <c r="CH301" s="18" t="s">
        <v>5</v>
      </c>
    </row>
    <row r="302" spans="2:151">
      <c r="B302" s="78" t="s">
        <v>145</v>
      </c>
      <c r="C302" s="79" t="s">
        <v>308</v>
      </c>
      <c r="D302" s="80" t="s">
        <v>308</v>
      </c>
      <c r="E302" s="1" t="s">
        <v>4</v>
      </c>
      <c r="F302" s="4">
        <v>20</v>
      </c>
      <c r="G302" s="7">
        <v>5.88</v>
      </c>
      <c r="H302" s="3" t="str">
        <f t="shared" si="22"/>
        <v>WT9X20</v>
      </c>
      <c r="I302" s="7">
        <v>8.9499999999999993</v>
      </c>
      <c r="J302" s="5">
        <v>9</v>
      </c>
      <c r="K302" s="6" t="s">
        <v>5</v>
      </c>
      <c r="L302" s="6" t="s">
        <v>5</v>
      </c>
      <c r="M302" s="6" t="s">
        <v>5</v>
      </c>
      <c r="N302" s="7">
        <v>6.02</v>
      </c>
      <c r="O302" s="5">
        <v>6</v>
      </c>
      <c r="P302" s="5" t="s">
        <v>5</v>
      </c>
      <c r="Q302" s="6" t="s">
        <v>5</v>
      </c>
      <c r="R302" s="6" t="s">
        <v>5</v>
      </c>
      <c r="S302" s="22">
        <v>0.315</v>
      </c>
      <c r="T302" s="5">
        <v>0.3125</v>
      </c>
      <c r="U302" s="8">
        <v>0.1875</v>
      </c>
      <c r="V302" s="22">
        <v>0.52500000000000002</v>
      </c>
      <c r="W302" s="8">
        <v>0.5</v>
      </c>
      <c r="X302" s="22">
        <v>0.52500000000000002</v>
      </c>
      <c r="Y302" s="6" t="s">
        <v>5</v>
      </c>
      <c r="Z302" s="6" t="s">
        <v>5</v>
      </c>
      <c r="AA302" s="22">
        <v>0.92700000000000005</v>
      </c>
      <c r="AB302" s="8">
        <v>1.1875</v>
      </c>
      <c r="AC302" s="8" t="s">
        <v>5</v>
      </c>
      <c r="AD302" s="6" t="s">
        <v>5</v>
      </c>
      <c r="AE302" s="7">
        <v>2.29</v>
      </c>
      <c r="AF302" s="6" t="s">
        <v>5</v>
      </c>
      <c r="AG302" s="6" t="s">
        <v>5</v>
      </c>
      <c r="AH302" s="22">
        <v>0.48899999999999999</v>
      </c>
      <c r="AI302" s="7">
        <v>5.73</v>
      </c>
      <c r="AJ302" s="6" t="s">
        <v>5</v>
      </c>
      <c r="AK302" s="6" t="s">
        <v>5</v>
      </c>
      <c r="AL302" s="6" t="s">
        <v>5</v>
      </c>
      <c r="AM302" s="6" t="s">
        <v>5</v>
      </c>
      <c r="AN302" s="4">
        <v>28.4</v>
      </c>
      <c r="AO302" s="4">
        <v>44.8</v>
      </c>
      <c r="AP302" s="4">
        <v>12</v>
      </c>
      <c r="AQ302" s="7">
        <v>6.73</v>
      </c>
      <c r="AR302" s="7">
        <v>2.76</v>
      </c>
      <c r="AS302" s="7">
        <v>9.5500000000000007</v>
      </c>
      <c r="AT302" s="7">
        <v>4.97</v>
      </c>
      <c r="AU302" s="7">
        <v>3.17</v>
      </c>
      <c r="AV302" s="7">
        <v>1.27</v>
      </c>
      <c r="AW302" s="6" t="s">
        <v>5</v>
      </c>
      <c r="AX302" s="6" t="s">
        <v>5</v>
      </c>
      <c r="AY302" s="6" t="s">
        <v>5</v>
      </c>
      <c r="AZ302" s="22">
        <v>0.40400000000000003</v>
      </c>
      <c r="BA302" s="22">
        <v>0.78800000000000003</v>
      </c>
      <c r="BB302" s="6" t="s">
        <v>5</v>
      </c>
      <c r="BC302" s="6" t="s">
        <v>5</v>
      </c>
      <c r="BD302" s="6" t="s">
        <v>5</v>
      </c>
      <c r="BE302" s="6" t="s">
        <v>5</v>
      </c>
      <c r="BF302" s="6" t="s">
        <v>5</v>
      </c>
      <c r="BG302" s="6" t="s">
        <v>5</v>
      </c>
      <c r="BH302" s="6" t="s">
        <v>5</v>
      </c>
      <c r="BI302" s="7">
        <v>3.65</v>
      </c>
      <c r="BJ302" s="22">
        <v>0.69299999999999995</v>
      </c>
      <c r="BK302" s="6" t="s">
        <v>5</v>
      </c>
      <c r="BL302" s="2" t="s">
        <v>5</v>
      </c>
      <c r="BM302" s="2" t="s">
        <v>5</v>
      </c>
      <c r="BN302" s="2" t="s">
        <v>5</v>
      </c>
      <c r="BO302" s="2" t="s">
        <v>5</v>
      </c>
      <c r="BP302" s="2" t="s">
        <v>5</v>
      </c>
      <c r="BQ302" s="2" t="s">
        <v>5</v>
      </c>
      <c r="BR302" s="2" t="s">
        <v>5</v>
      </c>
      <c r="BS302" s="2" t="s">
        <v>5</v>
      </c>
      <c r="BT302" s="2" t="s">
        <v>5</v>
      </c>
      <c r="BU302" s="2" t="s">
        <v>5</v>
      </c>
      <c r="BV302" s="2" t="s">
        <v>5</v>
      </c>
      <c r="BW302" s="2" t="s">
        <v>5</v>
      </c>
      <c r="BX302" s="2" t="s">
        <v>5</v>
      </c>
      <c r="BY302" s="25" t="s">
        <v>5</v>
      </c>
      <c r="BZ302" s="25" t="s">
        <v>5</v>
      </c>
      <c r="CA302" s="4">
        <v>23.4</v>
      </c>
      <c r="CB302" s="6" t="s">
        <v>5</v>
      </c>
      <c r="CC302" s="4">
        <v>29.4</v>
      </c>
      <c r="CD302" s="4">
        <v>23.9</v>
      </c>
      <c r="CE302" s="4">
        <v>29.9</v>
      </c>
      <c r="CF302" s="16" t="s">
        <v>5</v>
      </c>
      <c r="CG302" s="5">
        <v>3.5</v>
      </c>
      <c r="CH302" s="18" t="s">
        <v>5</v>
      </c>
    </row>
    <row r="303" spans="2:151">
      <c r="B303" s="78" t="s">
        <v>145</v>
      </c>
      <c r="C303" s="79" t="s">
        <v>309</v>
      </c>
      <c r="D303" s="80" t="s">
        <v>309</v>
      </c>
      <c r="E303" s="1" t="s">
        <v>4</v>
      </c>
      <c r="F303" s="4">
        <v>17.5</v>
      </c>
      <c r="G303" s="7">
        <v>5.15</v>
      </c>
      <c r="H303" s="3" t="str">
        <f t="shared" si="22"/>
        <v>WT9X17.5</v>
      </c>
      <c r="I303" s="7">
        <v>8.85</v>
      </c>
      <c r="J303" s="5">
        <v>8.875</v>
      </c>
      <c r="K303" s="6" t="s">
        <v>5</v>
      </c>
      <c r="L303" s="6" t="s">
        <v>5</v>
      </c>
      <c r="M303" s="6" t="s">
        <v>5</v>
      </c>
      <c r="N303" s="7">
        <v>6</v>
      </c>
      <c r="O303" s="5">
        <v>6</v>
      </c>
      <c r="P303" s="5" t="s">
        <v>5</v>
      </c>
      <c r="Q303" s="6" t="s">
        <v>5</v>
      </c>
      <c r="R303" s="6" t="s">
        <v>5</v>
      </c>
      <c r="S303" s="22">
        <v>0.3</v>
      </c>
      <c r="T303" s="5">
        <v>0.3125</v>
      </c>
      <c r="U303" s="8">
        <v>0.1875</v>
      </c>
      <c r="V303" s="22">
        <v>0.42499999999999999</v>
      </c>
      <c r="W303" s="8">
        <v>0.4375</v>
      </c>
      <c r="X303" s="22">
        <v>0.42499999999999999</v>
      </c>
      <c r="Y303" s="6" t="s">
        <v>5</v>
      </c>
      <c r="Z303" s="6" t="s">
        <v>5</v>
      </c>
      <c r="AA303" s="22">
        <v>0.82699999999999996</v>
      </c>
      <c r="AB303" s="8">
        <v>1.125</v>
      </c>
      <c r="AC303" s="8" t="s">
        <v>5</v>
      </c>
      <c r="AD303" s="6" t="s">
        <v>5</v>
      </c>
      <c r="AE303" s="7">
        <v>2.39</v>
      </c>
      <c r="AF303" s="6" t="s">
        <v>5</v>
      </c>
      <c r="AG303" s="6" t="s">
        <v>5</v>
      </c>
      <c r="AH303" s="22">
        <v>0.45</v>
      </c>
      <c r="AI303" s="7">
        <v>7.06</v>
      </c>
      <c r="AJ303" s="6" t="s">
        <v>5</v>
      </c>
      <c r="AK303" s="6" t="s">
        <v>5</v>
      </c>
      <c r="AL303" s="6" t="s">
        <v>5</v>
      </c>
      <c r="AM303" s="6" t="s">
        <v>5</v>
      </c>
      <c r="AN303" s="4">
        <v>29.5</v>
      </c>
      <c r="AO303" s="4">
        <v>40.1</v>
      </c>
      <c r="AP303" s="4">
        <v>11.2</v>
      </c>
      <c r="AQ303" s="7">
        <v>6.21</v>
      </c>
      <c r="AR303" s="7">
        <v>2.79</v>
      </c>
      <c r="AS303" s="7">
        <v>7.67</v>
      </c>
      <c r="AT303" s="7">
        <v>4.0199999999999996</v>
      </c>
      <c r="AU303" s="7">
        <v>2.56</v>
      </c>
      <c r="AV303" s="7">
        <v>1.22</v>
      </c>
      <c r="AW303" s="6" t="s">
        <v>5</v>
      </c>
      <c r="AX303" s="6" t="s">
        <v>5</v>
      </c>
      <c r="AY303" s="6" t="s">
        <v>5</v>
      </c>
      <c r="AZ303" s="22">
        <v>0.252</v>
      </c>
      <c r="BA303" s="22">
        <v>0.59799999999999998</v>
      </c>
      <c r="BB303" s="6" t="s">
        <v>5</v>
      </c>
      <c r="BC303" s="6" t="s">
        <v>5</v>
      </c>
      <c r="BD303" s="6" t="s">
        <v>5</v>
      </c>
      <c r="BE303" s="6" t="s">
        <v>5</v>
      </c>
      <c r="BF303" s="6" t="s">
        <v>5</v>
      </c>
      <c r="BG303" s="6" t="s">
        <v>5</v>
      </c>
      <c r="BH303" s="6" t="s">
        <v>5</v>
      </c>
      <c r="BI303" s="7">
        <v>3.74</v>
      </c>
      <c r="BJ303" s="22">
        <v>0.66200000000000003</v>
      </c>
      <c r="BK303" s="6" t="s">
        <v>5</v>
      </c>
      <c r="BL303" s="2" t="s">
        <v>5</v>
      </c>
      <c r="BM303" s="2" t="s">
        <v>5</v>
      </c>
      <c r="BN303" s="2" t="s">
        <v>5</v>
      </c>
      <c r="BO303" s="2" t="s">
        <v>5</v>
      </c>
      <c r="BP303" s="2" t="s">
        <v>5</v>
      </c>
      <c r="BQ303" s="2" t="s">
        <v>5</v>
      </c>
      <c r="BR303" s="2" t="s">
        <v>5</v>
      </c>
      <c r="BS303" s="2" t="s">
        <v>5</v>
      </c>
      <c r="BT303" s="2" t="s">
        <v>5</v>
      </c>
      <c r="BU303" s="2" t="s">
        <v>5</v>
      </c>
      <c r="BV303" s="2" t="s">
        <v>5</v>
      </c>
      <c r="BW303" s="2" t="s">
        <v>5</v>
      </c>
      <c r="BX303" s="2" t="s">
        <v>5</v>
      </c>
      <c r="BY303" s="25" t="s">
        <v>5</v>
      </c>
      <c r="BZ303" s="25" t="s">
        <v>5</v>
      </c>
      <c r="CA303" s="4">
        <v>23.2</v>
      </c>
      <c r="CB303" s="6" t="s">
        <v>5</v>
      </c>
      <c r="CC303" s="4">
        <v>29.2</v>
      </c>
      <c r="CD303" s="4">
        <v>23.7</v>
      </c>
      <c r="CE303" s="6">
        <v>29.7</v>
      </c>
      <c r="CF303" s="16" t="s">
        <v>5</v>
      </c>
      <c r="CG303" s="5">
        <v>3.5</v>
      </c>
      <c r="CH303" s="18" t="s">
        <v>5</v>
      </c>
    </row>
    <row r="304" spans="2:151">
      <c r="B304" s="78" t="s">
        <v>145</v>
      </c>
      <c r="C304" s="79" t="s">
        <v>310</v>
      </c>
      <c r="D304" s="80" t="s">
        <v>310</v>
      </c>
      <c r="E304" s="1" t="s">
        <v>4</v>
      </c>
      <c r="F304" s="4">
        <v>50</v>
      </c>
      <c r="G304" s="4">
        <v>14.7</v>
      </c>
      <c r="H304" s="3" t="str">
        <f t="shared" si="22"/>
        <v>WT8X50</v>
      </c>
      <c r="I304" s="7">
        <v>8.49</v>
      </c>
      <c r="J304" s="5">
        <v>8.5</v>
      </c>
      <c r="K304" s="6" t="s">
        <v>5</v>
      </c>
      <c r="L304" s="6" t="s">
        <v>5</v>
      </c>
      <c r="M304" s="6" t="s">
        <v>5</v>
      </c>
      <c r="N304" s="4">
        <v>10.4</v>
      </c>
      <c r="O304" s="5">
        <v>10.375</v>
      </c>
      <c r="P304" s="5" t="s">
        <v>5</v>
      </c>
      <c r="Q304" s="6" t="s">
        <v>5</v>
      </c>
      <c r="R304" s="6" t="s">
        <v>5</v>
      </c>
      <c r="S304" s="22">
        <v>0.58499999999999996</v>
      </c>
      <c r="T304" s="5">
        <v>0.5625</v>
      </c>
      <c r="U304" s="8">
        <v>0.3125</v>
      </c>
      <c r="V304" s="22">
        <v>0.98499999999999999</v>
      </c>
      <c r="W304" s="8">
        <v>1</v>
      </c>
      <c r="X304" s="22">
        <v>0.98499999999999999</v>
      </c>
      <c r="Y304" s="6" t="s">
        <v>5</v>
      </c>
      <c r="Z304" s="6" t="s">
        <v>5</v>
      </c>
      <c r="AA304" s="7">
        <v>1.39</v>
      </c>
      <c r="AB304" s="8">
        <v>1.875</v>
      </c>
      <c r="AC304" s="8" t="s">
        <v>5</v>
      </c>
      <c r="AD304" s="6" t="s">
        <v>5</v>
      </c>
      <c r="AE304" s="7">
        <v>1.76</v>
      </c>
      <c r="AF304" s="6" t="s">
        <v>5</v>
      </c>
      <c r="AG304" s="6" t="s">
        <v>5</v>
      </c>
      <c r="AH304" s="22">
        <v>0.70599999999999996</v>
      </c>
      <c r="AI304" s="7">
        <v>5.29</v>
      </c>
      <c r="AJ304" s="6" t="s">
        <v>5</v>
      </c>
      <c r="AK304" s="6" t="s">
        <v>5</v>
      </c>
      <c r="AL304" s="6" t="s">
        <v>5</v>
      </c>
      <c r="AM304" s="6" t="s">
        <v>5</v>
      </c>
      <c r="AN304" s="4">
        <v>14.5</v>
      </c>
      <c r="AO304" s="4">
        <v>76.8</v>
      </c>
      <c r="AP304" s="4">
        <v>20.7</v>
      </c>
      <c r="AQ304" s="4">
        <v>11.4</v>
      </c>
      <c r="AR304" s="7">
        <v>2.2799999999999998</v>
      </c>
      <c r="AS304" s="4">
        <v>93.1</v>
      </c>
      <c r="AT304" s="4">
        <v>27.4</v>
      </c>
      <c r="AU304" s="4">
        <v>17.899999999999999</v>
      </c>
      <c r="AV304" s="7">
        <v>2.5099999999999998</v>
      </c>
      <c r="AW304" s="6" t="s">
        <v>5</v>
      </c>
      <c r="AX304" s="6" t="s">
        <v>5</v>
      </c>
      <c r="AY304" s="6" t="s">
        <v>5</v>
      </c>
      <c r="AZ304" s="7">
        <v>3.85</v>
      </c>
      <c r="BA304" s="4">
        <v>10.4</v>
      </c>
      <c r="BB304" s="6" t="s">
        <v>5</v>
      </c>
      <c r="BC304" s="6" t="s">
        <v>5</v>
      </c>
      <c r="BD304" s="6" t="s">
        <v>5</v>
      </c>
      <c r="BE304" s="6" t="s">
        <v>5</v>
      </c>
      <c r="BF304" s="6" t="s">
        <v>5</v>
      </c>
      <c r="BG304" s="6" t="s">
        <v>5</v>
      </c>
      <c r="BH304" s="6" t="s">
        <v>5</v>
      </c>
      <c r="BI304" s="7">
        <v>3.63</v>
      </c>
      <c r="BJ304" s="22">
        <v>0.878</v>
      </c>
      <c r="BK304" s="6" t="s">
        <v>5</v>
      </c>
      <c r="BL304" s="2" t="s">
        <v>5</v>
      </c>
      <c r="BM304" s="2" t="s">
        <v>5</v>
      </c>
      <c r="BN304" s="2" t="s">
        <v>5</v>
      </c>
      <c r="BO304" s="2" t="s">
        <v>5</v>
      </c>
      <c r="BP304" s="2" t="s">
        <v>5</v>
      </c>
      <c r="BQ304" s="2" t="s">
        <v>5</v>
      </c>
      <c r="BR304" s="2" t="s">
        <v>5</v>
      </c>
      <c r="BS304" s="2" t="s">
        <v>5</v>
      </c>
      <c r="BT304" s="2" t="s">
        <v>5</v>
      </c>
      <c r="BU304" s="2" t="s">
        <v>5</v>
      </c>
      <c r="BV304" s="2" t="s">
        <v>5</v>
      </c>
      <c r="BW304" s="2" t="s">
        <v>5</v>
      </c>
      <c r="BX304" s="2" t="s">
        <v>5</v>
      </c>
      <c r="BY304" s="25" t="s">
        <v>5</v>
      </c>
      <c r="BZ304" s="25" t="s">
        <v>5</v>
      </c>
      <c r="CA304" s="4">
        <v>26.7</v>
      </c>
      <c r="CB304" s="6" t="s">
        <v>5</v>
      </c>
      <c r="CC304" s="4">
        <v>37.1</v>
      </c>
      <c r="CD304" s="4">
        <v>27.4</v>
      </c>
      <c r="CE304" s="4">
        <v>37.799999999999997</v>
      </c>
      <c r="CF304" s="16" t="s">
        <v>5</v>
      </c>
      <c r="CG304" s="5">
        <v>5.5</v>
      </c>
      <c r="CH304" s="18" t="s">
        <v>5</v>
      </c>
    </row>
    <row r="305" spans="2:86">
      <c r="B305" s="78" t="s">
        <v>145</v>
      </c>
      <c r="C305" s="79" t="s">
        <v>311</v>
      </c>
      <c r="D305" s="80" t="s">
        <v>311</v>
      </c>
      <c r="E305" s="1" t="s">
        <v>4</v>
      </c>
      <c r="F305" s="4">
        <v>44.5</v>
      </c>
      <c r="G305" s="4">
        <v>13.1</v>
      </c>
      <c r="H305" s="3" t="str">
        <f t="shared" si="22"/>
        <v>WT8X44.5</v>
      </c>
      <c r="I305" s="7">
        <v>8.3800000000000008</v>
      </c>
      <c r="J305" s="5">
        <v>8.375</v>
      </c>
      <c r="K305" s="6" t="s">
        <v>5</v>
      </c>
      <c r="L305" s="6" t="s">
        <v>5</v>
      </c>
      <c r="M305" s="6" t="s">
        <v>5</v>
      </c>
      <c r="N305" s="4">
        <v>10.4</v>
      </c>
      <c r="O305" s="5">
        <v>10.375</v>
      </c>
      <c r="P305" s="5" t="s">
        <v>5</v>
      </c>
      <c r="Q305" s="6" t="s">
        <v>5</v>
      </c>
      <c r="R305" s="6" t="s">
        <v>5</v>
      </c>
      <c r="S305" s="22">
        <v>0.52500000000000002</v>
      </c>
      <c r="T305" s="5">
        <v>0.5</v>
      </c>
      <c r="U305" s="8">
        <v>0.25</v>
      </c>
      <c r="V305" s="22">
        <v>0.875</v>
      </c>
      <c r="W305" s="8">
        <v>0.875</v>
      </c>
      <c r="X305" s="22">
        <v>0.875</v>
      </c>
      <c r="Y305" s="6" t="s">
        <v>5</v>
      </c>
      <c r="Z305" s="6" t="s">
        <v>5</v>
      </c>
      <c r="AA305" s="7">
        <v>1.28</v>
      </c>
      <c r="AB305" s="8">
        <v>1.75</v>
      </c>
      <c r="AC305" s="8" t="s">
        <v>5</v>
      </c>
      <c r="AD305" s="6" t="s">
        <v>5</v>
      </c>
      <c r="AE305" s="7">
        <v>1.7</v>
      </c>
      <c r="AF305" s="6" t="s">
        <v>5</v>
      </c>
      <c r="AG305" s="6" t="s">
        <v>5</v>
      </c>
      <c r="AH305" s="22">
        <v>0.63100000000000001</v>
      </c>
      <c r="AI305" s="7">
        <v>5.92</v>
      </c>
      <c r="AJ305" s="6" t="s">
        <v>5</v>
      </c>
      <c r="AK305" s="6" t="s">
        <v>5</v>
      </c>
      <c r="AL305" s="6" t="s">
        <v>5</v>
      </c>
      <c r="AM305" s="6" t="s">
        <v>5</v>
      </c>
      <c r="AN305" s="4">
        <v>16</v>
      </c>
      <c r="AO305" s="4">
        <v>67.2</v>
      </c>
      <c r="AP305" s="4">
        <v>18.100000000000001</v>
      </c>
      <c r="AQ305" s="4">
        <v>10.1</v>
      </c>
      <c r="AR305" s="7">
        <v>2.27</v>
      </c>
      <c r="AS305" s="4">
        <v>81.3</v>
      </c>
      <c r="AT305" s="4">
        <v>24</v>
      </c>
      <c r="AU305" s="4">
        <v>15.7</v>
      </c>
      <c r="AV305" s="7">
        <v>2.4900000000000002</v>
      </c>
      <c r="AW305" s="6" t="s">
        <v>5</v>
      </c>
      <c r="AX305" s="6" t="s">
        <v>5</v>
      </c>
      <c r="AY305" s="6" t="s">
        <v>5</v>
      </c>
      <c r="AZ305" s="7">
        <v>2.72</v>
      </c>
      <c r="BA305" s="7">
        <v>7.19</v>
      </c>
      <c r="BB305" s="6" t="s">
        <v>5</v>
      </c>
      <c r="BC305" s="6" t="s">
        <v>5</v>
      </c>
      <c r="BD305" s="6" t="s">
        <v>5</v>
      </c>
      <c r="BE305" s="6" t="s">
        <v>5</v>
      </c>
      <c r="BF305" s="6" t="s">
        <v>5</v>
      </c>
      <c r="BG305" s="6" t="s">
        <v>5</v>
      </c>
      <c r="BH305" s="6" t="s">
        <v>5</v>
      </c>
      <c r="BI305" s="7">
        <v>3.6</v>
      </c>
      <c r="BJ305" s="22">
        <v>0.877</v>
      </c>
      <c r="BK305" s="6" t="s">
        <v>5</v>
      </c>
      <c r="BL305" s="2" t="s">
        <v>5</v>
      </c>
      <c r="BM305" s="2" t="s">
        <v>5</v>
      </c>
      <c r="BN305" s="2" t="s">
        <v>5</v>
      </c>
      <c r="BO305" s="2" t="s">
        <v>5</v>
      </c>
      <c r="BP305" s="2" t="s">
        <v>5</v>
      </c>
      <c r="BQ305" s="2" t="s">
        <v>5</v>
      </c>
      <c r="BR305" s="2" t="s">
        <v>5</v>
      </c>
      <c r="BS305" s="2" t="s">
        <v>5</v>
      </c>
      <c r="BT305" s="2" t="s">
        <v>5</v>
      </c>
      <c r="BU305" s="2" t="s">
        <v>5</v>
      </c>
      <c r="BV305" s="2" t="s">
        <v>5</v>
      </c>
      <c r="BW305" s="2" t="s">
        <v>5</v>
      </c>
      <c r="BX305" s="2" t="s">
        <v>5</v>
      </c>
      <c r="BY305" s="25" t="s">
        <v>5</v>
      </c>
      <c r="BZ305" s="25" t="s">
        <v>5</v>
      </c>
      <c r="CA305" s="4">
        <v>26.5</v>
      </c>
      <c r="CB305" s="6" t="s">
        <v>5</v>
      </c>
      <c r="CC305" s="4">
        <v>36.9</v>
      </c>
      <c r="CD305" s="4">
        <v>27.2</v>
      </c>
      <c r="CE305" s="4">
        <v>37.6</v>
      </c>
      <c r="CF305" s="16" t="s">
        <v>5</v>
      </c>
      <c r="CG305" s="5">
        <v>5.5</v>
      </c>
      <c r="CH305" s="18" t="s">
        <v>5</v>
      </c>
    </row>
    <row r="306" spans="2:86">
      <c r="B306" s="78" t="s">
        <v>145</v>
      </c>
      <c r="C306" s="79" t="s">
        <v>312</v>
      </c>
      <c r="D306" s="80" t="s">
        <v>312</v>
      </c>
      <c r="E306" s="1" t="s">
        <v>4</v>
      </c>
      <c r="F306" s="4">
        <v>38.5</v>
      </c>
      <c r="G306" s="4">
        <v>11.3</v>
      </c>
      <c r="H306" s="3" t="str">
        <f t="shared" si="22"/>
        <v>WT8X38.5</v>
      </c>
      <c r="I306" s="7">
        <v>8.26</v>
      </c>
      <c r="J306" s="5">
        <v>8.25</v>
      </c>
      <c r="K306" s="6" t="s">
        <v>5</v>
      </c>
      <c r="L306" s="6" t="s">
        <v>5</v>
      </c>
      <c r="M306" s="6" t="s">
        <v>5</v>
      </c>
      <c r="N306" s="4">
        <v>10.3</v>
      </c>
      <c r="O306" s="5">
        <v>10.25</v>
      </c>
      <c r="P306" s="5" t="s">
        <v>5</v>
      </c>
      <c r="Q306" s="6" t="s">
        <v>5</v>
      </c>
      <c r="R306" s="6" t="s">
        <v>5</v>
      </c>
      <c r="S306" s="22">
        <v>0.45500000000000002</v>
      </c>
      <c r="T306" s="5">
        <v>0.4375</v>
      </c>
      <c r="U306" s="8">
        <v>0.25</v>
      </c>
      <c r="V306" s="22">
        <v>0.76</v>
      </c>
      <c r="W306" s="8">
        <v>0.75</v>
      </c>
      <c r="X306" s="22">
        <v>0.76</v>
      </c>
      <c r="Y306" s="6" t="s">
        <v>5</v>
      </c>
      <c r="Z306" s="6" t="s">
        <v>5</v>
      </c>
      <c r="AA306" s="7">
        <v>1.1599999999999999</v>
      </c>
      <c r="AB306" s="8">
        <v>1.625</v>
      </c>
      <c r="AC306" s="8" t="s">
        <v>5</v>
      </c>
      <c r="AD306" s="6" t="s">
        <v>5</v>
      </c>
      <c r="AE306" s="7">
        <v>1.63</v>
      </c>
      <c r="AF306" s="6" t="s">
        <v>5</v>
      </c>
      <c r="AG306" s="6" t="s">
        <v>5</v>
      </c>
      <c r="AH306" s="22">
        <v>0.54900000000000004</v>
      </c>
      <c r="AI306" s="7">
        <v>6.77</v>
      </c>
      <c r="AJ306" s="6" t="s">
        <v>5</v>
      </c>
      <c r="AK306" s="6" t="s">
        <v>5</v>
      </c>
      <c r="AL306" s="6" t="s">
        <v>5</v>
      </c>
      <c r="AM306" s="6" t="s">
        <v>5</v>
      </c>
      <c r="AN306" s="4">
        <v>18.2</v>
      </c>
      <c r="AO306" s="4">
        <v>56.9</v>
      </c>
      <c r="AP306" s="4">
        <v>15.3</v>
      </c>
      <c r="AQ306" s="7">
        <v>8.59</v>
      </c>
      <c r="AR306" s="7">
        <v>2.2400000000000002</v>
      </c>
      <c r="AS306" s="4">
        <v>69.2</v>
      </c>
      <c r="AT306" s="4">
        <v>20.5</v>
      </c>
      <c r="AU306" s="4">
        <v>13.4</v>
      </c>
      <c r="AV306" s="7">
        <v>2.4700000000000002</v>
      </c>
      <c r="AW306" s="6" t="s">
        <v>5</v>
      </c>
      <c r="AX306" s="6" t="s">
        <v>5</v>
      </c>
      <c r="AY306" s="6" t="s">
        <v>5</v>
      </c>
      <c r="AZ306" s="7">
        <v>1.78</v>
      </c>
      <c r="BA306" s="7">
        <v>4.6100000000000003</v>
      </c>
      <c r="BB306" s="6" t="s">
        <v>5</v>
      </c>
      <c r="BC306" s="6" t="s">
        <v>5</v>
      </c>
      <c r="BD306" s="6" t="s">
        <v>5</v>
      </c>
      <c r="BE306" s="6" t="s">
        <v>5</v>
      </c>
      <c r="BF306" s="6" t="s">
        <v>5</v>
      </c>
      <c r="BG306" s="6" t="s">
        <v>5</v>
      </c>
      <c r="BH306" s="6" t="s">
        <v>5</v>
      </c>
      <c r="BI306" s="7">
        <v>3.57</v>
      </c>
      <c r="BJ306" s="22">
        <v>0.877</v>
      </c>
      <c r="BK306" s="6" t="s">
        <v>5</v>
      </c>
      <c r="BL306" s="2" t="s">
        <v>5</v>
      </c>
      <c r="BM306" s="2" t="s">
        <v>5</v>
      </c>
      <c r="BN306" s="2" t="s">
        <v>5</v>
      </c>
      <c r="BO306" s="2" t="s">
        <v>5</v>
      </c>
      <c r="BP306" s="2" t="s">
        <v>5</v>
      </c>
      <c r="BQ306" s="2" t="s">
        <v>5</v>
      </c>
      <c r="BR306" s="2" t="s">
        <v>5</v>
      </c>
      <c r="BS306" s="2" t="s">
        <v>5</v>
      </c>
      <c r="BT306" s="2" t="s">
        <v>5</v>
      </c>
      <c r="BU306" s="2" t="s">
        <v>5</v>
      </c>
      <c r="BV306" s="2" t="s">
        <v>5</v>
      </c>
      <c r="BW306" s="2" t="s">
        <v>5</v>
      </c>
      <c r="BX306" s="2" t="s">
        <v>5</v>
      </c>
      <c r="BY306" s="25" t="s">
        <v>5</v>
      </c>
      <c r="BZ306" s="25" t="s">
        <v>5</v>
      </c>
      <c r="CA306" s="4">
        <v>26.1</v>
      </c>
      <c r="CB306" s="6" t="s">
        <v>5</v>
      </c>
      <c r="CC306" s="4">
        <v>36.4</v>
      </c>
      <c r="CD306" s="4">
        <v>26.8</v>
      </c>
      <c r="CE306" s="4">
        <v>37.1</v>
      </c>
      <c r="CF306" s="16" t="s">
        <v>5</v>
      </c>
      <c r="CG306" s="5">
        <v>5.5</v>
      </c>
      <c r="CH306" s="18" t="s">
        <v>5</v>
      </c>
    </row>
    <row r="307" spans="2:86">
      <c r="B307" s="78" t="s">
        <v>145</v>
      </c>
      <c r="C307" s="79" t="s">
        <v>313</v>
      </c>
      <c r="D307" s="80" t="s">
        <v>313</v>
      </c>
      <c r="E307" s="1" t="s">
        <v>4</v>
      </c>
      <c r="F307" s="4">
        <v>33.5</v>
      </c>
      <c r="G307" s="7">
        <v>9.81</v>
      </c>
      <c r="H307" s="3" t="str">
        <f t="shared" si="22"/>
        <v>WT8X33.5</v>
      </c>
      <c r="I307" s="7">
        <v>8.17</v>
      </c>
      <c r="J307" s="5">
        <v>8.125</v>
      </c>
      <c r="K307" s="6" t="s">
        <v>5</v>
      </c>
      <c r="L307" s="6" t="s">
        <v>5</v>
      </c>
      <c r="M307" s="6" t="s">
        <v>5</v>
      </c>
      <c r="N307" s="4">
        <v>10.199999999999999</v>
      </c>
      <c r="O307" s="5">
        <v>10.25</v>
      </c>
      <c r="P307" s="5" t="s">
        <v>5</v>
      </c>
      <c r="Q307" s="6" t="s">
        <v>5</v>
      </c>
      <c r="R307" s="6" t="s">
        <v>5</v>
      </c>
      <c r="S307" s="22">
        <v>0.39500000000000002</v>
      </c>
      <c r="T307" s="5">
        <v>0.375</v>
      </c>
      <c r="U307" s="8">
        <v>0.1875</v>
      </c>
      <c r="V307" s="22">
        <v>0.66500000000000004</v>
      </c>
      <c r="W307" s="8">
        <v>0.6875</v>
      </c>
      <c r="X307" s="22">
        <v>0.66500000000000004</v>
      </c>
      <c r="Y307" s="6" t="s">
        <v>5</v>
      </c>
      <c r="Z307" s="6" t="s">
        <v>5</v>
      </c>
      <c r="AA307" s="7">
        <v>1.07</v>
      </c>
      <c r="AB307" s="8">
        <v>1.5625</v>
      </c>
      <c r="AC307" s="8" t="s">
        <v>5</v>
      </c>
      <c r="AD307" s="6" t="s">
        <v>5</v>
      </c>
      <c r="AE307" s="7">
        <v>1.56</v>
      </c>
      <c r="AF307" s="6" t="s">
        <v>5</v>
      </c>
      <c r="AG307" s="6" t="s">
        <v>5</v>
      </c>
      <c r="AH307" s="22">
        <v>0.48099999999999998</v>
      </c>
      <c r="AI307" s="7">
        <v>7.7</v>
      </c>
      <c r="AJ307" s="6" t="s">
        <v>5</v>
      </c>
      <c r="AK307" s="6" t="s">
        <v>5</v>
      </c>
      <c r="AL307" s="6" t="s">
        <v>5</v>
      </c>
      <c r="AM307" s="6" t="s">
        <v>5</v>
      </c>
      <c r="AN307" s="4">
        <v>20.7</v>
      </c>
      <c r="AO307" s="4">
        <v>48.6</v>
      </c>
      <c r="AP307" s="4">
        <v>13</v>
      </c>
      <c r="AQ307" s="7">
        <v>7.36</v>
      </c>
      <c r="AR307" s="7">
        <v>2.2200000000000002</v>
      </c>
      <c r="AS307" s="4">
        <v>59.5</v>
      </c>
      <c r="AT307" s="4">
        <v>17.7</v>
      </c>
      <c r="AU307" s="4">
        <v>11.6</v>
      </c>
      <c r="AV307" s="7">
        <v>2.46</v>
      </c>
      <c r="AW307" s="6" t="s">
        <v>5</v>
      </c>
      <c r="AX307" s="6" t="s">
        <v>5</v>
      </c>
      <c r="AY307" s="6" t="s">
        <v>5</v>
      </c>
      <c r="AZ307" s="7">
        <v>1.19</v>
      </c>
      <c r="BA307" s="7">
        <v>3.01</v>
      </c>
      <c r="BB307" s="6" t="s">
        <v>5</v>
      </c>
      <c r="BC307" s="6" t="s">
        <v>5</v>
      </c>
      <c r="BD307" s="6" t="s">
        <v>5</v>
      </c>
      <c r="BE307" s="6" t="s">
        <v>5</v>
      </c>
      <c r="BF307" s="6" t="s">
        <v>5</v>
      </c>
      <c r="BG307" s="6" t="s">
        <v>5</v>
      </c>
      <c r="BH307" s="6" t="s">
        <v>5</v>
      </c>
      <c r="BI307" s="7">
        <v>3.54</v>
      </c>
      <c r="BJ307" s="22">
        <v>0.879</v>
      </c>
      <c r="BK307" s="6" t="s">
        <v>5</v>
      </c>
      <c r="BL307" s="2" t="s">
        <v>5</v>
      </c>
      <c r="BM307" s="2" t="s">
        <v>5</v>
      </c>
      <c r="BN307" s="2" t="s">
        <v>5</v>
      </c>
      <c r="BO307" s="2" t="s">
        <v>5</v>
      </c>
      <c r="BP307" s="2" t="s">
        <v>5</v>
      </c>
      <c r="BQ307" s="2" t="s">
        <v>5</v>
      </c>
      <c r="BR307" s="2" t="s">
        <v>5</v>
      </c>
      <c r="BS307" s="2" t="s">
        <v>5</v>
      </c>
      <c r="BT307" s="2" t="s">
        <v>5</v>
      </c>
      <c r="BU307" s="2" t="s">
        <v>5</v>
      </c>
      <c r="BV307" s="2" t="s">
        <v>5</v>
      </c>
      <c r="BW307" s="2" t="s">
        <v>5</v>
      </c>
      <c r="BX307" s="2" t="s">
        <v>5</v>
      </c>
      <c r="BY307" s="25" t="s">
        <v>5</v>
      </c>
      <c r="BZ307" s="25" t="s">
        <v>5</v>
      </c>
      <c r="CA307" s="4">
        <v>25.9</v>
      </c>
      <c r="CB307" s="6" t="s">
        <v>5</v>
      </c>
      <c r="CC307" s="4">
        <v>36.1</v>
      </c>
      <c r="CD307" s="4">
        <v>26.5</v>
      </c>
      <c r="CE307" s="4">
        <v>36.700000000000003</v>
      </c>
      <c r="CF307" s="16" t="s">
        <v>5</v>
      </c>
      <c r="CG307" s="5">
        <v>5.5</v>
      </c>
      <c r="CH307" s="18" t="s">
        <v>5</v>
      </c>
    </row>
    <row r="308" spans="2:86">
      <c r="B308" s="78" t="s">
        <v>145</v>
      </c>
      <c r="C308" s="79" t="s">
        <v>314</v>
      </c>
      <c r="D308" s="80" t="s">
        <v>314</v>
      </c>
      <c r="E308" s="1" t="s">
        <v>4</v>
      </c>
      <c r="F308" s="4">
        <v>28.5</v>
      </c>
      <c r="G308" s="7">
        <v>8.39</v>
      </c>
      <c r="H308" s="3" t="str">
        <f t="shared" si="22"/>
        <v>WT8X28.5</v>
      </c>
      <c r="I308" s="7">
        <v>8.2200000000000006</v>
      </c>
      <c r="J308" s="5">
        <v>8.25</v>
      </c>
      <c r="K308" s="6" t="s">
        <v>5</v>
      </c>
      <c r="L308" s="6" t="s">
        <v>5</v>
      </c>
      <c r="M308" s="6" t="s">
        <v>5</v>
      </c>
      <c r="N308" s="7">
        <v>7.12</v>
      </c>
      <c r="O308" s="5">
        <v>7.125</v>
      </c>
      <c r="P308" s="5" t="s">
        <v>5</v>
      </c>
      <c r="Q308" s="6" t="s">
        <v>5</v>
      </c>
      <c r="R308" s="6" t="s">
        <v>5</v>
      </c>
      <c r="S308" s="22">
        <v>0.43</v>
      </c>
      <c r="T308" s="5">
        <v>0.4375</v>
      </c>
      <c r="U308" s="8">
        <v>0.25</v>
      </c>
      <c r="V308" s="22">
        <v>0.71499999999999997</v>
      </c>
      <c r="W308" s="8">
        <v>0.6875</v>
      </c>
      <c r="X308" s="22">
        <v>0.71499999999999997</v>
      </c>
      <c r="Y308" s="6" t="s">
        <v>5</v>
      </c>
      <c r="Z308" s="6" t="s">
        <v>5</v>
      </c>
      <c r="AA308" s="7">
        <v>1.1200000000000001</v>
      </c>
      <c r="AB308" s="8">
        <v>1.375</v>
      </c>
      <c r="AC308" s="8" t="s">
        <v>5</v>
      </c>
      <c r="AD308" s="6" t="s">
        <v>5</v>
      </c>
      <c r="AE308" s="7">
        <v>1.94</v>
      </c>
      <c r="AF308" s="6" t="s">
        <v>5</v>
      </c>
      <c r="AG308" s="6" t="s">
        <v>5</v>
      </c>
      <c r="AH308" s="22">
        <v>0.58899999999999997</v>
      </c>
      <c r="AI308" s="7">
        <v>4.9800000000000004</v>
      </c>
      <c r="AJ308" s="6" t="s">
        <v>5</v>
      </c>
      <c r="AK308" s="6" t="s">
        <v>5</v>
      </c>
      <c r="AL308" s="6" t="s">
        <v>5</v>
      </c>
      <c r="AM308" s="6" t="s">
        <v>5</v>
      </c>
      <c r="AN308" s="4">
        <v>19.100000000000001</v>
      </c>
      <c r="AO308" s="4">
        <v>48.7</v>
      </c>
      <c r="AP308" s="4">
        <v>13.8</v>
      </c>
      <c r="AQ308" s="7">
        <v>7.77</v>
      </c>
      <c r="AR308" s="7">
        <v>2.41</v>
      </c>
      <c r="AS308" s="4">
        <v>21.6</v>
      </c>
      <c r="AT308" s="7">
        <v>9.42</v>
      </c>
      <c r="AU308" s="7">
        <v>6.06</v>
      </c>
      <c r="AV308" s="7">
        <v>1.6</v>
      </c>
      <c r="AW308" s="6" t="s">
        <v>5</v>
      </c>
      <c r="AX308" s="6" t="s">
        <v>5</v>
      </c>
      <c r="AY308" s="6" t="s">
        <v>5</v>
      </c>
      <c r="AZ308" s="7">
        <v>1.1000000000000001</v>
      </c>
      <c r="BA308" s="7">
        <v>1.99</v>
      </c>
      <c r="BB308" s="6" t="s">
        <v>5</v>
      </c>
      <c r="BC308" s="6" t="s">
        <v>5</v>
      </c>
      <c r="BD308" s="6" t="s">
        <v>5</v>
      </c>
      <c r="BE308" s="6" t="s">
        <v>5</v>
      </c>
      <c r="BF308" s="6" t="s">
        <v>5</v>
      </c>
      <c r="BG308" s="6" t="s">
        <v>5</v>
      </c>
      <c r="BH308" s="6" t="s">
        <v>5</v>
      </c>
      <c r="BI308" s="7">
        <v>3.3</v>
      </c>
      <c r="BJ308" s="22">
        <v>0.77</v>
      </c>
      <c r="BK308" s="6" t="s">
        <v>5</v>
      </c>
      <c r="BL308" s="2" t="s">
        <v>5</v>
      </c>
      <c r="BM308" s="2" t="s">
        <v>5</v>
      </c>
      <c r="BN308" s="2" t="s">
        <v>5</v>
      </c>
      <c r="BO308" s="2" t="s">
        <v>5</v>
      </c>
      <c r="BP308" s="2" t="s">
        <v>5</v>
      </c>
      <c r="BQ308" s="2" t="s">
        <v>5</v>
      </c>
      <c r="BR308" s="2" t="s">
        <v>5</v>
      </c>
      <c r="BS308" s="2" t="s">
        <v>5</v>
      </c>
      <c r="BT308" s="2" t="s">
        <v>5</v>
      </c>
      <c r="BU308" s="2" t="s">
        <v>5</v>
      </c>
      <c r="BV308" s="2" t="s">
        <v>5</v>
      </c>
      <c r="BW308" s="2" t="s">
        <v>5</v>
      </c>
      <c r="BX308" s="2" t="s">
        <v>5</v>
      </c>
      <c r="BY308" s="25" t="s">
        <v>5</v>
      </c>
      <c r="BZ308" s="25" t="s">
        <v>5</v>
      </c>
      <c r="CA308" s="4">
        <v>23</v>
      </c>
      <c r="CB308" s="6" t="s">
        <v>5</v>
      </c>
      <c r="CC308" s="4">
        <v>30.2</v>
      </c>
      <c r="CD308" s="4">
        <v>23.6</v>
      </c>
      <c r="CE308" s="4">
        <v>30.7</v>
      </c>
      <c r="CF308" s="16" t="s">
        <v>5</v>
      </c>
      <c r="CG308" s="5">
        <v>3.5</v>
      </c>
      <c r="CH308" s="18" t="s">
        <v>5</v>
      </c>
    </row>
    <row r="309" spans="2:86">
      <c r="B309" s="78" t="s">
        <v>145</v>
      </c>
      <c r="C309" s="79" t="s">
        <v>315</v>
      </c>
      <c r="D309" s="80" t="s">
        <v>315</v>
      </c>
      <c r="E309" s="1" t="s">
        <v>4</v>
      </c>
      <c r="F309" s="4">
        <v>25</v>
      </c>
      <c r="G309" s="7">
        <v>7.37</v>
      </c>
      <c r="H309" s="3" t="str">
        <f t="shared" si="22"/>
        <v>WT8X25</v>
      </c>
      <c r="I309" s="7">
        <v>8.1300000000000008</v>
      </c>
      <c r="J309" s="5">
        <v>8.125</v>
      </c>
      <c r="K309" s="6" t="s">
        <v>5</v>
      </c>
      <c r="L309" s="6" t="s">
        <v>5</v>
      </c>
      <c r="M309" s="6" t="s">
        <v>5</v>
      </c>
      <c r="N309" s="7">
        <v>7.07</v>
      </c>
      <c r="O309" s="5">
        <v>7.125</v>
      </c>
      <c r="P309" s="5" t="s">
        <v>5</v>
      </c>
      <c r="Q309" s="6" t="s">
        <v>5</v>
      </c>
      <c r="R309" s="6" t="s">
        <v>5</v>
      </c>
      <c r="S309" s="22">
        <v>0.38</v>
      </c>
      <c r="T309" s="5">
        <v>0.375</v>
      </c>
      <c r="U309" s="8">
        <v>0.1875</v>
      </c>
      <c r="V309" s="22">
        <v>0.63</v>
      </c>
      <c r="W309" s="8">
        <v>0.625</v>
      </c>
      <c r="X309" s="22">
        <v>0.63</v>
      </c>
      <c r="Y309" s="6" t="s">
        <v>5</v>
      </c>
      <c r="Z309" s="6" t="s">
        <v>5</v>
      </c>
      <c r="AA309" s="7">
        <v>1.03</v>
      </c>
      <c r="AB309" s="8">
        <v>1.3125</v>
      </c>
      <c r="AC309" s="8" t="s">
        <v>5</v>
      </c>
      <c r="AD309" s="6" t="s">
        <v>5</v>
      </c>
      <c r="AE309" s="7">
        <v>1.89</v>
      </c>
      <c r="AF309" s="6" t="s">
        <v>5</v>
      </c>
      <c r="AG309" s="6" t="s">
        <v>5</v>
      </c>
      <c r="AH309" s="22">
        <v>0.52100000000000002</v>
      </c>
      <c r="AI309" s="7">
        <v>5.61</v>
      </c>
      <c r="AJ309" s="6" t="s">
        <v>5</v>
      </c>
      <c r="AK309" s="6" t="s">
        <v>5</v>
      </c>
      <c r="AL309" s="6" t="s">
        <v>5</v>
      </c>
      <c r="AM309" s="6" t="s">
        <v>5</v>
      </c>
      <c r="AN309" s="4">
        <v>21.4</v>
      </c>
      <c r="AO309" s="4">
        <v>42.3</v>
      </c>
      <c r="AP309" s="4">
        <v>12</v>
      </c>
      <c r="AQ309" s="7">
        <v>6.78</v>
      </c>
      <c r="AR309" s="7">
        <v>2.4</v>
      </c>
      <c r="AS309" s="4">
        <v>18.600000000000001</v>
      </c>
      <c r="AT309" s="7">
        <v>8.15</v>
      </c>
      <c r="AU309" s="7">
        <v>5.26</v>
      </c>
      <c r="AV309" s="7">
        <v>1.59</v>
      </c>
      <c r="AW309" s="6" t="s">
        <v>5</v>
      </c>
      <c r="AX309" s="6" t="s">
        <v>5</v>
      </c>
      <c r="AY309" s="6" t="s">
        <v>5</v>
      </c>
      <c r="AZ309" s="22">
        <v>0.76</v>
      </c>
      <c r="BA309" s="7">
        <v>1.34</v>
      </c>
      <c r="BB309" s="6" t="s">
        <v>5</v>
      </c>
      <c r="BC309" s="6" t="s">
        <v>5</v>
      </c>
      <c r="BD309" s="6" t="s">
        <v>5</v>
      </c>
      <c r="BE309" s="6" t="s">
        <v>5</v>
      </c>
      <c r="BF309" s="6" t="s">
        <v>5</v>
      </c>
      <c r="BG309" s="6" t="s">
        <v>5</v>
      </c>
      <c r="BH309" s="6" t="s">
        <v>5</v>
      </c>
      <c r="BI309" s="7">
        <v>3.28</v>
      </c>
      <c r="BJ309" s="22">
        <v>0.76900000000000002</v>
      </c>
      <c r="BK309" s="6" t="s">
        <v>5</v>
      </c>
      <c r="BL309" s="2" t="s">
        <v>5</v>
      </c>
      <c r="BM309" s="2" t="s">
        <v>5</v>
      </c>
      <c r="BN309" s="2" t="s">
        <v>5</v>
      </c>
      <c r="BO309" s="2" t="s">
        <v>5</v>
      </c>
      <c r="BP309" s="2" t="s">
        <v>5</v>
      </c>
      <c r="BQ309" s="2" t="s">
        <v>5</v>
      </c>
      <c r="BR309" s="2" t="s">
        <v>5</v>
      </c>
      <c r="BS309" s="2" t="s">
        <v>5</v>
      </c>
      <c r="BT309" s="2" t="s">
        <v>5</v>
      </c>
      <c r="BU309" s="2" t="s">
        <v>5</v>
      </c>
      <c r="BV309" s="2" t="s">
        <v>5</v>
      </c>
      <c r="BW309" s="2" t="s">
        <v>5</v>
      </c>
      <c r="BX309" s="2" t="s">
        <v>5</v>
      </c>
      <c r="BY309" s="25" t="s">
        <v>5</v>
      </c>
      <c r="BZ309" s="25" t="s">
        <v>5</v>
      </c>
      <c r="CA309" s="4">
        <v>22.8</v>
      </c>
      <c r="CB309" s="6" t="s">
        <v>5</v>
      </c>
      <c r="CC309" s="4">
        <v>29.9</v>
      </c>
      <c r="CD309" s="4">
        <v>23.3</v>
      </c>
      <c r="CE309" s="6">
        <v>30.400000000000002</v>
      </c>
      <c r="CF309" s="16" t="s">
        <v>5</v>
      </c>
      <c r="CG309" s="5">
        <v>3.5</v>
      </c>
      <c r="CH309" s="18" t="s">
        <v>5</v>
      </c>
    </row>
    <row r="310" spans="2:86">
      <c r="B310" s="78" t="s">
        <v>145</v>
      </c>
      <c r="C310" s="79" t="s">
        <v>316</v>
      </c>
      <c r="D310" s="80" t="s">
        <v>316</v>
      </c>
      <c r="E310" s="1" t="s">
        <v>4</v>
      </c>
      <c r="F310" s="4">
        <v>22.5</v>
      </c>
      <c r="G310" s="7">
        <v>6.63</v>
      </c>
      <c r="H310" s="3" t="str">
        <f t="shared" si="22"/>
        <v>WT8X22.5</v>
      </c>
      <c r="I310" s="7">
        <v>8.07</v>
      </c>
      <c r="J310" s="5">
        <v>8.125</v>
      </c>
      <c r="K310" s="6" t="s">
        <v>5</v>
      </c>
      <c r="L310" s="6" t="s">
        <v>5</v>
      </c>
      <c r="M310" s="6" t="s">
        <v>5</v>
      </c>
      <c r="N310" s="7">
        <v>7.04</v>
      </c>
      <c r="O310" s="5">
        <v>7</v>
      </c>
      <c r="P310" s="5" t="s">
        <v>5</v>
      </c>
      <c r="Q310" s="6" t="s">
        <v>5</v>
      </c>
      <c r="R310" s="6" t="s">
        <v>5</v>
      </c>
      <c r="S310" s="22">
        <v>0.34499999999999997</v>
      </c>
      <c r="T310" s="5">
        <v>0.375</v>
      </c>
      <c r="U310" s="8">
        <v>0.1875</v>
      </c>
      <c r="V310" s="22">
        <v>0.56499999999999995</v>
      </c>
      <c r="W310" s="8">
        <v>0.5625</v>
      </c>
      <c r="X310" s="22">
        <v>0.56499999999999995</v>
      </c>
      <c r="Y310" s="6" t="s">
        <v>5</v>
      </c>
      <c r="Z310" s="6" t="s">
        <v>5</v>
      </c>
      <c r="AA310" s="22">
        <v>0.96699999999999997</v>
      </c>
      <c r="AB310" s="8">
        <v>1.25</v>
      </c>
      <c r="AC310" s="8" t="s">
        <v>5</v>
      </c>
      <c r="AD310" s="6" t="s">
        <v>5</v>
      </c>
      <c r="AE310" s="7">
        <v>1.86</v>
      </c>
      <c r="AF310" s="6" t="s">
        <v>5</v>
      </c>
      <c r="AG310" s="6" t="s">
        <v>5</v>
      </c>
      <c r="AH310" s="22">
        <v>0.47099999999999997</v>
      </c>
      <c r="AI310" s="7">
        <v>6.23</v>
      </c>
      <c r="AJ310" s="6" t="s">
        <v>5</v>
      </c>
      <c r="AK310" s="6" t="s">
        <v>5</v>
      </c>
      <c r="AL310" s="6" t="s">
        <v>5</v>
      </c>
      <c r="AM310" s="6" t="s">
        <v>5</v>
      </c>
      <c r="AN310" s="4">
        <v>23.4</v>
      </c>
      <c r="AO310" s="4">
        <v>37.799999999999997</v>
      </c>
      <c r="AP310" s="4">
        <v>10.8</v>
      </c>
      <c r="AQ310" s="7">
        <v>6.1</v>
      </c>
      <c r="AR310" s="7">
        <v>2.39</v>
      </c>
      <c r="AS310" s="4">
        <v>16.399999999999999</v>
      </c>
      <c r="AT310" s="7">
        <v>7.22</v>
      </c>
      <c r="AU310" s="7">
        <v>4.67</v>
      </c>
      <c r="AV310" s="7">
        <v>1.57</v>
      </c>
      <c r="AW310" s="6" t="s">
        <v>5</v>
      </c>
      <c r="AX310" s="6" t="s">
        <v>5</v>
      </c>
      <c r="AY310" s="6" t="s">
        <v>5</v>
      </c>
      <c r="AZ310" s="22">
        <v>0.55500000000000005</v>
      </c>
      <c r="BA310" s="22">
        <v>0.97399999999999998</v>
      </c>
      <c r="BB310" s="6" t="s">
        <v>5</v>
      </c>
      <c r="BC310" s="6" t="s">
        <v>5</v>
      </c>
      <c r="BD310" s="6" t="s">
        <v>5</v>
      </c>
      <c r="BE310" s="6" t="s">
        <v>5</v>
      </c>
      <c r="BF310" s="6" t="s">
        <v>5</v>
      </c>
      <c r="BG310" s="6" t="s">
        <v>5</v>
      </c>
      <c r="BH310" s="6" t="s">
        <v>5</v>
      </c>
      <c r="BI310" s="7">
        <v>3.27</v>
      </c>
      <c r="BJ310" s="22">
        <v>0.76700000000000002</v>
      </c>
      <c r="BK310" s="6" t="s">
        <v>5</v>
      </c>
      <c r="BL310" s="2" t="s">
        <v>5</v>
      </c>
      <c r="BM310" s="2" t="s">
        <v>5</v>
      </c>
      <c r="BN310" s="2" t="s">
        <v>5</v>
      </c>
      <c r="BO310" s="2" t="s">
        <v>5</v>
      </c>
      <c r="BP310" s="2" t="s">
        <v>5</v>
      </c>
      <c r="BQ310" s="2" t="s">
        <v>5</v>
      </c>
      <c r="BR310" s="2" t="s">
        <v>5</v>
      </c>
      <c r="BS310" s="2" t="s">
        <v>5</v>
      </c>
      <c r="BT310" s="2" t="s">
        <v>5</v>
      </c>
      <c r="BU310" s="2" t="s">
        <v>5</v>
      </c>
      <c r="BV310" s="2" t="s">
        <v>5</v>
      </c>
      <c r="BW310" s="2" t="s">
        <v>5</v>
      </c>
      <c r="BX310" s="2" t="s">
        <v>5</v>
      </c>
      <c r="BY310" s="25" t="s">
        <v>5</v>
      </c>
      <c r="BZ310" s="25" t="s">
        <v>5</v>
      </c>
      <c r="CA310" s="4">
        <v>22.7</v>
      </c>
      <c r="CB310" s="6" t="s">
        <v>5</v>
      </c>
      <c r="CC310" s="4">
        <v>29.7</v>
      </c>
      <c r="CD310" s="4">
        <v>23.2</v>
      </c>
      <c r="CE310" s="4">
        <v>30.2</v>
      </c>
      <c r="CF310" s="16" t="s">
        <v>5</v>
      </c>
      <c r="CG310" s="5">
        <v>3.5</v>
      </c>
      <c r="CH310" s="18" t="s">
        <v>5</v>
      </c>
    </row>
    <row r="311" spans="2:86">
      <c r="B311" s="78" t="s">
        <v>145</v>
      </c>
      <c r="C311" s="79" t="s">
        <v>317</v>
      </c>
      <c r="D311" s="80" t="s">
        <v>317</v>
      </c>
      <c r="E311" s="1" t="s">
        <v>4</v>
      </c>
      <c r="F311" s="4">
        <v>20</v>
      </c>
      <c r="G311" s="7">
        <v>5.89</v>
      </c>
      <c r="H311" s="3" t="str">
        <f t="shared" si="22"/>
        <v>WT8X20</v>
      </c>
      <c r="I311" s="7">
        <v>8.01</v>
      </c>
      <c r="J311" s="5">
        <v>8</v>
      </c>
      <c r="K311" s="6" t="s">
        <v>5</v>
      </c>
      <c r="L311" s="6" t="s">
        <v>5</v>
      </c>
      <c r="M311" s="6" t="s">
        <v>5</v>
      </c>
      <c r="N311" s="7">
        <v>7</v>
      </c>
      <c r="O311" s="5">
        <v>7</v>
      </c>
      <c r="P311" s="5" t="s">
        <v>5</v>
      </c>
      <c r="Q311" s="6" t="s">
        <v>5</v>
      </c>
      <c r="R311" s="6" t="s">
        <v>5</v>
      </c>
      <c r="S311" s="22">
        <v>0.30499999999999999</v>
      </c>
      <c r="T311" s="5">
        <v>0.3125</v>
      </c>
      <c r="U311" s="8">
        <v>0.1875</v>
      </c>
      <c r="V311" s="22">
        <v>0.505</v>
      </c>
      <c r="W311" s="8">
        <v>0.5</v>
      </c>
      <c r="X311" s="22">
        <v>0.505</v>
      </c>
      <c r="Y311" s="6" t="s">
        <v>5</v>
      </c>
      <c r="Z311" s="6" t="s">
        <v>5</v>
      </c>
      <c r="AA311" s="22">
        <v>0.90700000000000003</v>
      </c>
      <c r="AB311" s="8">
        <v>1.1875</v>
      </c>
      <c r="AC311" s="8" t="s">
        <v>5</v>
      </c>
      <c r="AD311" s="6" t="s">
        <v>5</v>
      </c>
      <c r="AE311" s="7">
        <v>1.81</v>
      </c>
      <c r="AF311" s="6" t="s">
        <v>5</v>
      </c>
      <c r="AG311" s="6" t="s">
        <v>5</v>
      </c>
      <c r="AH311" s="22">
        <v>0.42099999999999999</v>
      </c>
      <c r="AI311" s="7">
        <v>6.93</v>
      </c>
      <c r="AJ311" s="6" t="s">
        <v>5</v>
      </c>
      <c r="AK311" s="6" t="s">
        <v>5</v>
      </c>
      <c r="AL311" s="6" t="s">
        <v>5</v>
      </c>
      <c r="AM311" s="6" t="s">
        <v>5</v>
      </c>
      <c r="AN311" s="4">
        <v>26.3</v>
      </c>
      <c r="AO311" s="4">
        <v>33.1</v>
      </c>
      <c r="AP311" s="7">
        <v>9.43</v>
      </c>
      <c r="AQ311" s="7">
        <v>5.35</v>
      </c>
      <c r="AR311" s="7">
        <v>2.37</v>
      </c>
      <c r="AS311" s="4">
        <v>14.4</v>
      </c>
      <c r="AT311" s="7">
        <v>6.36</v>
      </c>
      <c r="AU311" s="7">
        <v>4.12</v>
      </c>
      <c r="AV311" s="7">
        <v>1.56</v>
      </c>
      <c r="AW311" s="6" t="s">
        <v>5</v>
      </c>
      <c r="AX311" s="6" t="s">
        <v>5</v>
      </c>
      <c r="AY311" s="6" t="s">
        <v>5</v>
      </c>
      <c r="AZ311" s="22">
        <v>0.39600000000000002</v>
      </c>
      <c r="BA311" s="22">
        <v>0.67300000000000004</v>
      </c>
      <c r="BB311" s="6" t="s">
        <v>5</v>
      </c>
      <c r="BC311" s="6" t="s">
        <v>5</v>
      </c>
      <c r="BD311" s="6" t="s">
        <v>5</v>
      </c>
      <c r="BE311" s="6" t="s">
        <v>5</v>
      </c>
      <c r="BF311" s="6" t="s">
        <v>5</v>
      </c>
      <c r="BG311" s="6" t="s">
        <v>5</v>
      </c>
      <c r="BH311" s="6" t="s">
        <v>5</v>
      </c>
      <c r="BI311" s="7">
        <v>3.24</v>
      </c>
      <c r="BJ311" s="22">
        <v>0.76900000000000002</v>
      </c>
      <c r="BK311" s="6" t="s">
        <v>5</v>
      </c>
      <c r="BL311" s="2" t="s">
        <v>5</v>
      </c>
      <c r="BM311" s="2" t="s">
        <v>5</v>
      </c>
      <c r="BN311" s="2" t="s">
        <v>5</v>
      </c>
      <c r="BO311" s="2" t="s">
        <v>5</v>
      </c>
      <c r="BP311" s="2" t="s">
        <v>5</v>
      </c>
      <c r="BQ311" s="2" t="s">
        <v>5</v>
      </c>
      <c r="BR311" s="2" t="s">
        <v>5</v>
      </c>
      <c r="BS311" s="2" t="s">
        <v>5</v>
      </c>
      <c r="BT311" s="2" t="s">
        <v>5</v>
      </c>
      <c r="BU311" s="2" t="s">
        <v>5</v>
      </c>
      <c r="BV311" s="2" t="s">
        <v>5</v>
      </c>
      <c r="BW311" s="2" t="s">
        <v>5</v>
      </c>
      <c r="BX311" s="2" t="s">
        <v>5</v>
      </c>
      <c r="BY311" s="25" t="s">
        <v>5</v>
      </c>
      <c r="BZ311" s="25" t="s">
        <v>5</v>
      </c>
      <c r="CA311" s="4">
        <v>22.5</v>
      </c>
      <c r="CB311" s="6" t="s">
        <v>5</v>
      </c>
      <c r="CC311" s="4">
        <v>29.5</v>
      </c>
      <c r="CD311" s="4">
        <v>23</v>
      </c>
      <c r="CE311" s="4">
        <v>30</v>
      </c>
      <c r="CF311" s="16" t="s">
        <v>5</v>
      </c>
      <c r="CG311" s="5">
        <v>3.5</v>
      </c>
      <c r="CH311" s="18" t="s">
        <v>5</v>
      </c>
    </row>
    <row r="312" spans="2:86">
      <c r="B312" s="78" t="s">
        <v>145</v>
      </c>
      <c r="C312" s="79" t="s">
        <v>318</v>
      </c>
      <c r="D312" s="80" t="s">
        <v>318</v>
      </c>
      <c r="E312" s="1" t="s">
        <v>4</v>
      </c>
      <c r="F312" s="4">
        <v>18</v>
      </c>
      <c r="G312" s="7">
        <v>5.29</v>
      </c>
      <c r="H312" s="3" t="str">
        <f t="shared" si="22"/>
        <v>WT8X18</v>
      </c>
      <c r="I312" s="7">
        <v>7.93</v>
      </c>
      <c r="J312" s="5">
        <v>7.875</v>
      </c>
      <c r="K312" s="6" t="s">
        <v>5</v>
      </c>
      <c r="L312" s="6" t="s">
        <v>5</v>
      </c>
      <c r="M312" s="6" t="s">
        <v>5</v>
      </c>
      <c r="N312" s="7">
        <v>6.99</v>
      </c>
      <c r="O312" s="5">
        <v>7</v>
      </c>
      <c r="P312" s="5" t="s">
        <v>5</v>
      </c>
      <c r="Q312" s="6" t="s">
        <v>5</v>
      </c>
      <c r="R312" s="6" t="s">
        <v>5</v>
      </c>
      <c r="S312" s="22">
        <v>0.29499999999999998</v>
      </c>
      <c r="T312" s="5">
        <v>0.3125</v>
      </c>
      <c r="U312" s="8">
        <v>0.1875</v>
      </c>
      <c r="V312" s="22">
        <v>0.43</v>
      </c>
      <c r="W312" s="8">
        <v>0.4375</v>
      </c>
      <c r="X312" s="22">
        <v>0.43</v>
      </c>
      <c r="Y312" s="6" t="s">
        <v>5</v>
      </c>
      <c r="Z312" s="6" t="s">
        <v>5</v>
      </c>
      <c r="AA312" s="22">
        <v>0.83199999999999996</v>
      </c>
      <c r="AB312" s="8">
        <v>1.125</v>
      </c>
      <c r="AC312" s="8" t="s">
        <v>5</v>
      </c>
      <c r="AD312" s="6" t="s">
        <v>5</v>
      </c>
      <c r="AE312" s="7">
        <v>1.88</v>
      </c>
      <c r="AF312" s="6" t="s">
        <v>5</v>
      </c>
      <c r="AG312" s="6" t="s">
        <v>5</v>
      </c>
      <c r="AH312" s="22">
        <v>0.378</v>
      </c>
      <c r="AI312" s="7">
        <v>8.1199999999999992</v>
      </c>
      <c r="AJ312" s="6" t="s">
        <v>5</v>
      </c>
      <c r="AK312" s="6" t="s">
        <v>5</v>
      </c>
      <c r="AL312" s="6" t="s">
        <v>5</v>
      </c>
      <c r="AM312" s="6" t="s">
        <v>5</v>
      </c>
      <c r="AN312" s="4">
        <v>26.9</v>
      </c>
      <c r="AO312" s="4">
        <v>30.6</v>
      </c>
      <c r="AP312" s="7">
        <v>8.93</v>
      </c>
      <c r="AQ312" s="7">
        <v>5.05</v>
      </c>
      <c r="AR312" s="7">
        <v>2.41</v>
      </c>
      <c r="AS312" s="4">
        <v>12.2</v>
      </c>
      <c r="AT312" s="7">
        <v>5.42</v>
      </c>
      <c r="AU312" s="7">
        <v>3.5</v>
      </c>
      <c r="AV312" s="7">
        <v>1.52</v>
      </c>
      <c r="AW312" s="6" t="s">
        <v>5</v>
      </c>
      <c r="AX312" s="6" t="s">
        <v>5</v>
      </c>
      <c r="AY312" s="6" t="s">
        <v>5</v>
      </c>
      <c r="AZ312" s="22">
        <v>0.27200000000000002</v>
      </c>
      <c r="BA312" s="22">
        <v>0.51600000000000001</v>
      </c>
      <c r="BB312" s="6" t="s">
        <v>5</v>
      </c>
      <c r="BC312" s="6" t="s">
        <v>5</v>
      </c>
      <c r="BD312" s="6" t="s">
        <v>5</v>
      </c>
      <c r="BE312" s="6" t="s">
        <v>5</v>
      </c>
      <c r="BF312" s="6" t="s">
        <v>5</v>
      </c>
      <c r="BG312" s="6" t="s">
        <v>5</v>
      </c>
      <c r="BH312" s="6" t="s">
        <v>5</v>
      </c>
      <c r="BI312" s="7">
        <v>3.3</v>
      </c>
      <c r="BJ312" s="22">
        <v>0.745</v>
      </c>
      <c r="BK312" s="6" t="s">
        <v>5</v>
      </c>
      <c r="BL312" s="2" t="s">
        <v>5</v>
      </c>
      <c r="BM312" s="2" t="s">
        <v>5</v>
      </c>
      <c r="BN312" s="2" t="s">
        <v>5</v>
      </c>
      <c r="BO312" s="2" t="s">
        <v>5</v>
      </c>
      <c r="BP312" s="2" t="s">
        <v>5</v>
      </c>
      <c r="BQ312" s="2" t="s">
        <v>5</v>
      </c>
      <c r="BR312" s="2" t="s">
        <v>5</v>
      </c>
      <c r="BS312" s="2" t="s">
        <v>5</v>
      </c>
      <c r="BT312" s="2" t="s">
        <v>5</v>
      </c>
      <c r="BU312" s="2" t="s">
        <v>5</v>
      </c>
      <c r="BV312" s="2" t="s">
        <v>5</v>
      </c>
      <c r="BW312" s="2" t="s">
        <v>5</v>
      </c>
      <c r="BX312" s="2" t="s">
        <v>5</v>
      </c>
      <c r="BY312" s="25" t="s">
        <v>5</v>
      </c>
      <c r="BZ312" s="25" t="s">
        <v>5</v>
      </c>
      <c r="CA312" s="4">
        <v>22.3</v>
      </c>
      <c r="CB312" s="6" t="s">
        <v>5</v>
      </c>
      <c r="CC312" s="4">
        <v>29.3</v>
      </c>
      <c r="CD312" s="4">
        <v>22.9</v>
      </c>
      <c r="CE312" s="4">
        <v>29.8</v>
      </c>
      <c r="CF312" s="16" t="s">
        <v>5</v>
      </c>
      <c r="CG312" s="5">
        <v>3.5</v>
      </c>
      <c r="CH312" s="18" t="s">
        <v>5</v>
      </c>
    </row>
    <row r="313" spans="2:86">
      <c r="B313" s="78" t="s">
        <v>145</v>
      </c>
      <c r="C313" s="79" t="s">
        <v>319</v>
      </c>
      <c r="D313" s="80" t="s">
        <v>319</v>
      </c>
      <c r="E313" s="1" t="s">
        <v>4</v>
      </c>
      <c r="F313" s="4">
        <v>15.5</v>
      </c>
      <c r="G313" s="7">
        <v>4.5599999999999996</v>
      </c>
      <c r="H313" s="3" t="str">
        <f t="shared" si="22"/>
        <v>WT8X15.5</v>
      </c>
      <c r="I313" s="7">
        <v>7.94</v>
      </c>
      <c r="J313" s="5">
        <v>8</v>
      </c>
      <c r="K313" s="6" t="s">
        <v>5</v>
      </c>
      <c r="L313" s="6" t="s">
        <v>5</v>
      </c>
      <c r="M313" s="6" t="s">
        <v>5</v>
      </c>
      <c r="N313" s="7">
        <v>5.53</v>
      </c>
      <c r="O313" s="5">
        <v>5.5</v>
      </c>
      <c r="P313" s="5" t="s">
        <v>5</v>
      </c>
      <c r="Q313" s="6" t="s">
        <v>5</v>
      </c>
      <c r="R313" s="6" t="s">
        <v>5</v>
      </c>
      <c r="S313" s="22">
        <v>0.27500000000000002</v>
      </c>
      <c r="T313" s="5">
        <v>0.25</v>
      </c>
      <c r="U313" s="8">
        <v>0.125</v>
      </c>
      <c r="V313" s="22">
        <v>0.44</v>
      </c>
      <c r="W313" s="8">
        <v>0.4375</v>
      </c>
      <c r="X313" s="22">
        <v>0.44</v>
      </c>
      <c r="Y313" s="6" t="s">
        <v>5</v>
      </c>
      <c r="Z313" s="6" t="s">
        <v>5</v>
      </c>
      <c r="AA313" s="22">
        <v>0.84199999999999997</v>
      </c>
      <c r="AB313" s="8">
        <v>1.125</v>
      </c>
      <c r="AC313" s="8" t="s">
        <v>5</v>
      </c>
      <c r="AD313" s="6" t="s">
        <v>5</v>
      </c>
      <c r="AE313" s="7">
        <v>2.02</v>
      </c>
      <c r="AF313" s="6" t="s">
        <v>5</v>
      </c>
      <c r="AG313" s="6" t="s">
        <v>5</v>
      </c>
      <c r="AH313" s="22">
        <v>0.41299999999999998</v>
      </c>
      <c r="AI313" s="7">
        <v>6.28</v>
      </c>
      <c r="AJ313" s="6" t="s">
        <v>5</v>
      </c>
      <c r="AK313" s="6" t="s">
        <v>5</v>
      </c>
      <c r="AL313" s="6" t="s">
        <v>5</v>
      </c>
      <c r="AM313" s="6" t="s">
        <v>5</v>
      </c>
      <c r="AN313" s="4">
        <v>28.9</v>
      </c>
      <c r="AO313" s="4">
        <v>27.5</v>
      </c>
      <c r="AP313" s="7">
        <v>8.27</v>
      </c>
      <c r="AQ313" s="7">
        <v>4.6399999999999997</v>
      </c>
      <c r="AR313" s="7">
        <v>2.4500000000000002</v>
      </c>
      <c r="AS313" s="7">
        <v>6.2</v>
      </c>
      <c r="AT313" s="7">
        <v>3.51</v>
      </c>
      <c r="AU313" s="7">
        <v>2.2400000000000002</v>
      </c>
      <c r="AV313" s="7">
        <v>1.17</v>
      </c>
      <c r="AW313" s="6" t="s">
        <v>5</v>
      </c>
      <c r="AX313" s="6" t="s">
        <v>5</v>
      </c>
      <c r="AY313" s="6" t="s">
        <v>5</v>
      </c>
      <c r="AZ313" s="22">
        <v>0.23</v>
      </c>
      <c r="BA313" s="22">
        <v>0.36599999999999999</v>
      </c>
      <c r="BB313" s="6" t="s">
        <v>5</v>
      </c>
      <c r="BC313" s="6" t="s">
        <v>5</v>
      </c>
      <c r="BD313" s="6" t="s">
        <v>5</v>
      </c>
      <c r="BE313" s="6" t="s">
        <v>5</v>
      </c>
      <c r="BF313" s="6" t="s">
        <v>5</v>
      </c>
      <c r="BG313" s="6" t="s">
        <v>5</v>
      </c>
      <c r="BH313" s="6" t="s">
        <v>5</v>
      </c>
      <c r="BI313" s="7">
        <v>3.26</v>
      </c>
      <c r="BJ313" s="22">
        <v>0.69499999999999995</v>
      </c>
      <c r="BK313" s="6" t="s">
        <v>5</v>
      </c>
      <c r="BL313" s="2" t="s">
        <v>5</v>
      </c>
      <c r="BM313" s="2" t="s">
        <v>5</v>
      </c>
      <c r="BN313" s="2" t="s">
        <v>5</v>
      </c>
      <c r="BO313" s="2" t="s">
        <v>5</v>
      </c>
      <c r="BP313" s="2" t="s">
        <v>5</v>
      </c>
      <c r="BQ313" s="2" t="s">
        <v>5</v>
      </c>
      <c r="BR313" s="2" t="s">
        <v>5</v>
      </c>
      <c r="BS313" s="2" t="s">
        <v>5</v>
      </c>
      <c r="BT313" s="2" t="s">
        <v>5</v>
      </c>
      <c r="BU313" s="2" t="s">
        <v>5</v>
      </c>
      <c r="BV313" s="2" t="s">
        <v>5</v>
      </c>
      <c r="BW313" s="2" t="s">
        <v>5</v>
      </c>
      <c r="BX313" s="2" t="s">
        <v>5</v>
      </c>
      <c r="BY313" s="25" t="s">
        <v>5</v>
      </c>
      <c r="BZ313" s="25" t="s">
        <v>5</v>
      </c>
      <c r="CA313" s="4">
        <v>20.9</v>
      </c>
      <c r="CB313" s="6" t="s">
        <v>5</v>
      </c>
      <c r="CC313" s="4">
        <v>26.4</v>
      </c>
      <c r="CD313" s="4">
        <v>21.4</v>
      </c>
      <c r="CE313" s="4">
        <v>26.9</v>
      </c>
      <c r="CF313" s="16" t="s">
        <v>5</v>
      </c>
      <c r="CG313" s="5">
        <v>3.5</v>
      </c>
      <c r="CH313" s="18" t="s">
        <v>5</v>
      </c>
    </row>
    <row r="314" spans="2:86">
      <c r="B314" s="78" t="s">
        <v>145</v>
      </c>
      <c r="C314" s="79" t="s">
        <v>320</v>
      </c>
      <c r="D314" s="80" t="s">
        <v>320</v>
      </c>
      <c r="E314" s="1" t="s">
        <v>4</v>
      </c>
      <c r="F314" s="4">
        <v>13</v>
      </c>
      <c r="G314" s="7">
        <v>3.84</v>
      </c>
      <c r="H314" s="3" t="str">
        <f t="shared" si="22"/>
        <v>WT8X13</v>
      </c>
      <c r="I314" s="7">
        <v>7.85</v>
      </c>
      <c r="J314" s="5">
        <v>7.875</v>
      </c>
      <c r="K314" s="6" t="s">
        <v>5</v>
      </c>
      <c r="L314" s="6" t="s">
        <v>5</v>
      </c>
      <c r="M314" s="6" t="s">
        <v>5</v>
      </c>
      <c r="N314" s="7">
        <v>5.5</v>
      </c>
      <c r="O314" s="5">
        <v>5.5</v>
      </c>
      <c r="P314" s="5" t="s">
        <v>5</v>
      </c>
      <c r="Q314" s="6" t="s">
        <v>5</v>
      </c>
      <c r="R314" s="6" t="s">
        <v>5</v>
      </c>
      <c r="S314" s="22">
        <v>0.25</v>
      </c>
      <c r="T314" s="5">
        <v>0.25</v>
      </c>
      <c r="U314" s="8">
        <v>0.125</v>
      </c>
      <c r="V314" s="22">
        <v>0.34499999999999997</v>
      </c>
      <c r="W314" s="8">
        <v>0.375</v>
      </c>
      <c r="X314" s="22">
        <v>0.34499999999999997</v>
      </c>
      <c r="Y314" s="6" t="s">
        <v>5</v>
      </c>
      <c r="Z314" s="6" t="s">
        <v>5</v>
      </c>
      <c r="AA314" s="22">
        <v>0.747</v>
      </c>
      <c r="AB314" s="8">
        <v>1.0625</v>
      </c>
      <c r="AC314" s="8" t="s">
        <v>5</v>
      </c>
      <c r="AD314" s="6" t="s">
        <v>5</v>
      </c>
      <c r="AE314" s="7">
        <v>2.09</v>
      </c>
      <c r="AF314" s="6" t="s">
        <v>5</v>
      </c>
      <c r="AG314" s="6" t="s">
        <v>5</v>
      </c>
      <c r="AH314" s="22">
        <v>0.372</v>
      </c>
      <c r="AI314" s="7">
        <v>7.97</v>
      </c>
      <c r="AJ314" s="6" t="s">
        <v>5</v>
      </c>
      <c r="AK314" s="6" t="s">
        <v>5</v>
      </c>
      <c r="AL314" s="6" t="s">
        <v>5</v>
      </c>
      <c r="AM314" s="6" t="s">
        <v>5</v>
      </c>
      <c r="AN314" s="4">
        <v>31.4</v>
      </c>
      <c r="AO314" s="4">
        <v>23.5</v>
      </c>
      <c r="AP314" s="7">
        <v>7.36</v>
      </c>
      <c r="AQ314" s="7">
        <v>4.09</v>
      </c>
      <c r="AR314" s="7">
        <v>2.4700000000000002</v>
      </c>
      <c r="AS314" s="7">
        <v>4.79</v>
      </c>
      <c r="AT314" s="7">
        <v>2.73</v>
      </c>
      <c r="AU314" s="7">
        <v>1.74</v>
      </c>
      <c r="AV314" s="7">
        <v>1.1200000000000001</v>
      </c>
      <c r="AW314" s="6" t="s">
        <v>5</v>
      </c>
      <c r="AX314" s="6" t="s">
        <v>5</v>
      </c>
      <c r="AY314" s="6" t="s">
        <v>5</v>
      </c>
      <c r="AZ314" s="22">
        <v>0.13</v>
      </c>
      <c r="BA314" s="22">
        <v>0.24299999999999999</v>
      </c>
      <c r="BB314" s="6" t="s">
        <v>5</v>
      </c>
      <c r="BC314" s="6" t="s">
        <v>5</v>
      </c>
      <c r="BD314" s="6" t="s">
        <v>5</v>
      </c>
      <c r="BE314" s="6" t="s">
        <v>5</v>
      </c>
      <c r="BF314" s="6" t="s">
        <v>5</v>
      </c>
      <c r="BG314" s="6" t="s">
        <v>5</v>
      </c>
      <c r="BH314" s="6" t="s">
        <v>5</v>
      </c>
      <c r="BI314" s="7">
        <v>3.32</v>
      </c>
      <c r="BJ314" s="22">
        <v>0.66700000000000004</v>
      </c>
      <c r="BK314" s="6" t="s">
        <v>5</v>
      </c>
      <c r="BL314" s="2" t="s">
        <v>5</v>
      </c>
      <c r="BM314" s="2" t="s">
        <v>5</v>
      </c>
      <c r="BN314" s="2" t="s">
        <v>5</v>
      </c>
      <c r="BO314" s="2" t="s">
        <v>5</v>
      </c>
      <c r="BP314" s="2" t="s">
        <v>5</v>
      </c>
      <c r="BQ314" s="2" t="s">
        <v>5</v>
      </c>
      <c r="BR314" s="2" t="s">
        <v>5</v>
      </c>
      <c r="BS314" s="2" t="s">
        <v>5</v>
      </c>
      <c r="BT314" s="2" t="s">
        <v>5</v>
      </c>
      <c r="BU314" s="2" t="s">
        <v>5</v>
      </c>
      <c r="BV314" s="2" t="s">
        <v>5</v>
      </c>
      <c r="BW314" s="2" t="s">
        <v>5</v>
      </c>
      <c r="BX314" s="2" t="s">
        <v>5</v>
      </c>
      <c r="BY314" s="25" t="s">
        <v>5</v>
      </c>
      <c r="BZ314" s="25" t="s">
        <v>5</v>
      </c>
      <c r="CA314" s="4">
        <v>20.7</v>
      </c>
      <c r="CB314" s="6" t="s">
        <v>5</v>
      </c>
      <c r="CC314" s="4">
        <v>26.2</v>
      </c>
      <c r="CD314" s="4">
        <v>21.2</v>
      </c>
      <c r="CE314" s="6">
        <v>26.7</v>
      </c>
      <c r="CF314" s="16" t="s">
        <v>5</v>
      </c>
      <c r="CG314" s="5">
        <v>3.5</v>
      </c>
      <c r="CH314" s="18" t="s">
        <v>5</v>
      </c>
    </row>
    <row r="315" spans="2:86">
      <c r="B315" s="78" t="s">
        <v>145</v>
      </c>
      <c r="C315" s="79" t="s">
        <v>321</v>
      </c>
      <c r="D315" s="80" t="s">
        <v>321</v>
      </c>
      <c r="E315" s="1" t="s">
        <v>6</v>
      </c>
      <c r="F315" s="4">
        <v>436.5</v>
      </c>
      <c r="G315" s="10">
        <v>129</v>
      </c>
      <c r="H315" s="3" t="str">
        <f t="shared" si="22"/>
        <v>WT7X436.5</v>
      </c>
      <c r="I315" s="4">
        <v>11.8</v>
      </c>
      <c r="J315" s="5">
        <v>11.75</v>
      </c>
      <c r="K315" s="6" t="s">
        <v>5</v>
      </c>
      <c r="L315" s="6" t="s">
        <v>5</v>
      </c>
      <c r="M315" s="6" t="s">
        <v>5</v>
      </c>
      <c r="N315" s="4">
        <v>18.8</v>
      </c>
      <c r="O315" s="5">
        <v>18.75</v>
      </c>
      <c r="P315" s="6" t="s">
        <v>5</v>
      </c>
      <c r="Q315" s="6" t="s">
        <v>5</v>
      </c>
      <c r="R315" s="6" t="s">
        <v>5</v>
      </c>
      <c r="S315" s="7">
        <v>3.94</v>
      </c>
      <c r="T315" s="5">
        <v>3.9375</v>
      </c>
      <c r="U315" s="8">
        <v>2</v>
      </c>
      <c r="V315" s="7">
        <v>5.51</v>
      </c>
      <c r="W315" s="8">
        <v>5.5</v>
      </c>
      <c r="X315" s="7">
        <v>5.51</v>
      </c>
      <c r="Y315" s="6" t="s">
        <v>5</v>
      </c>
      <c r="Z315" s="6" t="s">
        <v>5</v>
      </c>
      <c r="AA315" s="7">
        <v>6.1</v>
      </c>
      <c r="AB315" s="8">
        <v>6.1875</v>
      </c>
      <c r="AC315" s="5" t="s">
        <v>5</v>
      </c>
      <c r="AD315" s="6" t="s">
        <v>5</v>
      </c>
      <c r="AE315" s="9">
        <v>3.88</v>
      </c>
      <c r="AF315" s="6" t="s">
        <v>5</v>
      </c>
      <c r="AG315" s="6" t="s">
        <v>5</v>
      </c>
      <c r="AH315" s="9">
        <v>3.43</v>
      </c>
      <c r="AI315" s="9">
        <v>1.71</v>
      </c>
      <c r="AJ315" s="6" t="s">
        <v>5</v>
      </c>
      <c r="AK315" s="6" t="s">
        <v>5</v>
      </c>
      <c r="AL315" s="6" t="s">
        <v>5</v>
      </c>
      <c r="AM315" s="6" t="s">
        <v>5</v>
      </c>
      <c r="AN315" s="7">
        <v>2.99</v>
      </c>
      <c r="AO315" s="11">
        <v>1040</v>
      </c>
      <c r="AP315" s="11">
        <v>281</v>
      </c>
      <c r="AQ315" s="10">
        <v>131</v>
      </c>
      <c r="AR315" s="9">
        <v>2.84</v>
      </c>
      <c r="AS315" s="11">
        <v>3080</v>
      </c>
      <c r="AT315" s="10">
        <v>511</v>
      </c>
      <c r="AU315" s="10">
        <v>328</v>
      </c>
      <c r="AV315" s="9">
        <v>4.8899999999999997</v>
      </c>
      <c r="AW315" s="6" t="s">
        <v>5</v>
      </c>
      <c r="AX315" s="6" t="s">
        <v>5</v>
      </c>
      <c r="AY315" s="6" t="s">
        <v>5</v>
      </c>
      <c r="AZ315" s="14">
        <v>1110</v>
      </c>
      <c r="BA315" s="11">
        <v>8980</v>
      </c>
      <c r="BB315" s="6" t="s">
        <v>5</v>
      </c>
      <c r="BC315" s="6" t="s">
        <v>5</v>
      </c>
      <c r="BD315" s="6" t="s">
        <v>5</v>
      </c>
      <c r="BE315" s="6" t="s">
        <v>5</v>
      </c>
      <c r="BF315" s="6" t="s">
        <v>5</v>
      </c>
      <c r="BG315" s="6" t="s">
        <v>5</v>
      </c>
      <c r="BH315" s="6" t="s">
        <v>5</v>
      </c>
      <c r="BI315" s="9">
        <v>5.76</v>
      </c>
      <c r="BJ315" s="35">
        <v>0.96199999999999997</v>
      </c>
      <c r="BK315" s="6" t="s">
        <v>5</v>
      </c>
      <c r="BL315" s="6" t="s">
        <v>5</v>
      </c>
      <c r="BM315" s="6" t="s">
        <v>5</v>
      </c>
      <c r="BN315" s="6" t="s">
        <v>5</v>
      </c>
      <c r="BO315" s="6" t="s">
        <v>5</v>
      </c>
      <c r="BP315" s="6" t="s">
        <v>5</v>
      </c>
      <c r="BQ315" s="6" t="s">
        <v>5</v>
      </c>
      <c r="BR315" s="6" t="s">
        <v>5</v>
      </c>
      <c r="BS315" s="6" t="s">
        <v>5</v>
      </c>
      <c r="BT315" s="6" t="s">
        <v>5</v>
      </c>
      <c r="BU315" s="6" t="s">
        <v>5</v>
      </c>
      <c r="BV315" s="6" t="s">
        <v>5</v>
      </c>
      <c r="BW315" s="6" t="s">
        <v>5</v>
      </c>
      <c r="BX315" s="6" t="s">
        <v>5</v>
      </c>
      <c r="BY315" s="6" t="s">
        <v>5</v>
      </c>
      <c r="BZ315" s="6" t="s">
        <v>5</v>
      </c>
      <c r="CA315" s="4">
        <v>41.9</v>
      </c>
      <c r="CB315" s="6" t="s">
        <v>5</v>
      </c>
      <c r="CC315" s="4">
        <v>60.7</v>
      </c>
      <c r="CD315" s="4">
        <v>42.400000000000006</v>
      </c>
      <c r="CE315" s="6">
        <v>61.2</v>
      </c>
      <c r="CF315" s="16" t="s">
        <v>5</v>
      </c>
      <c r="CG315" s="5">
        <v>8.5</v>
      </c>
      <c r="CH315" s="41">
        <v>3</v>
      </c>
    </row>
    <row r="316" spans="2:86">
      <c r="B316" s="78" t="s">
        <v>145</v>
      </c>
      <c r="C316" s="79" t="s">
        <v>322</v>
      </c>
      <c r="D316" s="80" t="s">
        <v>322</v>
      </c>
      <c r="E316" s="1" t="s">
        <v>6</v>
      </c>
      <c r="F316" s="2">
        <v>404</v>
      </c>
      <c r="G316" s="10">
        <v>119</v>
      </c>
      <c r="H316" s="3" t="str">
        <f t="shared" si="22"/>
        <v>WT7X404</v>
      </c>
      <c r="I316" s="4">
        <v>11.4</v>
      </c>
      <c r="J316" s="5">
        <v>11.375</v>
      </c>
      <c r="K316" s="6" t="s">
        <v>5</v>
      </c>
      <c r="L316" s="6" t="s">
        <v>5</v>
      </c>
      <c r="M316" s="6" t="s">
        <v>5</v>
      </c>
      <c r="N316" s="4">
        <v>18.600000000000001</v>
      </c>
      <c r="O316" s="5">
        <v>18.625</v>
      </c>
      <c r="P316" s="6" t="s">
        <v>5</v>
      </c>
      <c r="Q316" s="6" t="s">
        <v>5</v>
      </c>
      <c r="R316" s="6" t="s">
        <v>5</v>
      </c>
      <c r="S316" s="7">
        <v>3.74</v>
      </c>
      <c r="T316" s="5">
        <v>3.75</v>
      </c>
      <c r="U316" s="8">
        <v>1.875</v>
      </c>
      <c r="V316" s="7">
        <v>5.12</v>
      </c>
      <c r="W316" s="8">
        <v>5.125</v>
      </c>
      <c r="X316" s="7">
        <v>5.12</v>
      </c>
      <c r="Y316" s="6" t="s">
        <v>5</v>
      </c>
      <c r="Z316" s="6" t="s">
        <v>5</v>
      </c>
      <c r="AA316" s="7">
        <v>5.71</v>
      </c>
      <c r="AB316" s="8">
        <v>5.75</v>
      </c>
      <c r="AC316" s="5" t="s">
        <v>5</v>
      </c>
      <c r="AD316" s="6" t="s">
        <v>5</v>
      </c>
      <c r="AE316" s="9">
        <v>3.69</v>
      </c>
      <c r="AF316" s="6" t="s">
        <v>5</v>
      </c>
      <c r="AG316" s="6" t="s">
        <v>5</v>
      </c>
      <c r="AH316" s="9">
        <v>3.2</v>
      </c>
      <c r="AI316" s="9">
        <v>1.82</v>
      </c>
      <c r="AJ316" s="6" t="s">
        <v>5</v>
      </c>
      <c r="AK316" s="6" t="s">
        <v>5</v>
      </c>
      <c r="AL316" s="6" t="s">
        <v>5</v>
      </c>
      <c r="AM316" s="6" t="s">
        <v>5</v>
      </c>
      <c r="AN316" s="7">
        <v>3.05</v>
      </c>
      <c r="AO316" s="11">
        <v>898</v>
      </c>
      <c r="AP316" s="11">
        <v>249</v>
      </c>
      <c r="AQ316" s="10">
        <v>116</v>
      </c>
      <c r="AR316" s="9">
        <v>2.75</v>
      </c>
      <c r="AS316" s="11">
        <v>2770</v>
      </c>
      <c r="AT316" s="10">
        <v>465</v>
      </c>
      <c r="AU316" s="10">
        <v>298</v>
      </c>
      <c r="AV316" s="9">
        <v>4.82</v>
      </c>
      <c r="AW316" s="6" t="s">
        <v>5</v>
      </c>
      <c r="AX316" s="6" t="s">
        <v>5</v>
      </c>
      <c r="AY316" s="6" t="s">
        <v>5</v>
      </c>
      <c r="AZ316" s="14">
        <v>898</v>
      </c>
      <c r="BA316" s="11">
        <v>7000</v>
      </c>
      <c r="BB316" s="6" t="s">
        <v>5</v>
      </c>
      <c r="BC316" s="6" t="s">
        <v>5</v>
      </c>
      <c r="BD316" s="6" t="s">
        <v>5</v>
      </c>
      <c r="BE316" s="6" t="s">
        <v>5</v>
      </c>
      <c r="BF316" s="6" t="s">
        <v>5</v>
      </c>
      <c r="BG316" s="6" t="s">
        <v>5</v>
      </c>
      <c r="BH316" s="6" t="s">
        <v>5</v>
      </c>
      <c r="BI316" s="9">
        <v>5.67</v>
      </c>
      <c r="BJ316" s="35">
        <v>0.96</v>
      </c>
      <c r="BK316" s="6" t="s">
        <v>5</v>
      </c>
      <c r="BL316" s="6" t="s">
        <v>5</v>
      </c>
      <c r="BM316" s="6" t="s">
        <v>5</v>
      </c>
      <c r="BN316" s="6" t="s">
        <v>5</v>
      </c>
      <c r="BO316" s="6" t="s">
        <v>5</v>
      </c>
      <c r="BP316" s="6" t="s">
        <v>5</v>
      </c>
      <c r="BQ316" s="6" t="s">
        <v>5</v>
      </c>
      <c r="BR316" s="6" t="s">
        <v>5</v>
      </c>
      <c r="BS316" s="6" t="s">
        <v>5</v>
      </c>
      <c r="BT316" s="6" t="s">
        <v>5</v>
      </c>
      <c r="BU316" s="6" t="s">
        <v>5</v>
      </c>
      <c r="BV316" s="6" t="s">
        <v>5</v>
      </c>
      <c r="BW316" s="6" t="s">
        <v>5</v>
      </c>
      <c r="BX316" s="6" t="s">
        <v>5</v>
      </c>
      <c r="BY316" s="6" t="s">
        <v>5</v>
      </c>
      <c r="BZ316" s="6" t="s">
        <v>5</v>
      </c>
      <c r="CA316" s="4">
        <v>40.9</v>
      </c>
      <c r="CB316" s="6" t="s">
        <v>5</v>
      </c>
      <c r="CC316" s="4">
        <v>59.5</v>
      </c>
      <c r="CD316" s="4">
        <v>41.4</v>
      </c>
      <c r="CE316" s="4">
        <v>60</v>
      </c>
      <c r="CF316" s="16" t="s">
        <v>5</v>
      </c>
      <c r="CG316" s="5">
        <v>8.5</v>
      </c>
      <c r="CH316" s="41">
        <v>3</v>
      </c>
    </row>
    <row r="317" spans="2:86">
      <c r="B317" s="78" t="s">
        <v>145</v>
      </c>
      <c r="C317" s="79" t="s">
        <v>323</v>
      </c>
      <c r="D317" s="80" t="s">
        <v>323</v>
      </c>
      <c r="E317" s="1" t="s">
        <v>6</v>
      </c>
      <c r="F317" s="6">
        <v>365</v>
      </c>
      <c r="G317" s="6">
        <v>107</v>
      </c>
      <c r="H317" s="3" t="str">
        <f t="shared" si="22"/>
        <v>WT7X365</v>
      </c>
      <c r="I317" s="4">
        <v>11.2</v>
      </c>
      <c r="J317" s="5">
        <v>11.25</v>
      </c>
      <c r="K317" s="6" t="s">
        <v>5</v>
      </c>
      <c r="L317" s="6" t="s">
        <v>5</v>
      </c>
      <c r="M317" s="6" t="s">
        <v>5</v>
      </c>
      <c r="N317" s="4">
        <v>17.899999999999999</v>
      </c>
      <c r="O317" s="5">
        <v>17.875</v>
      </c>
      <c r="P317" s="5" t="s">
        <v>5</v>
      </c>
      <c r="Q317" s="6" t="s">
        <v>5</v>
      </c>
      <c r="R317" s="6" t="s">
        <v>5</v>
      </c>
      <c r="S317" s="7">
        <v>3.07</v>
      </c>
      <c r="T317" s="5">
        <v>3.0625</v>
      </c>
      <c r="U317" s="8">
        <v>1.5625</v>
      </c>
      <c r="V317" s="7">
        <v>4.91</v>
      </c>
      <c r="W317" s="8">
        <v>4.9375</v>
      </c>
      <c r="X317" s="7">
        <v>4.91</v>
      </c>
      <c r="Y317" s="6" t="s">
        <v>5</v>
      </c>
      <c r="Z317" s="6" t="s">
        <v>5</v>
      </c>
      <c r="AA317" s="7">
        <v>5.51</v>
      </c>
      <c r="AB317" s="8">
        <v>6.1875</v>
      </c>
      <c r="AC317" s="8" t="s">
        <v>5</v>
      </c>
      <c r="AD317" s="6" t="s">
        <v>5</v>
      </c>
      <c r="AE317" s="7">
        <v>3.47</v>
      </c>
      <c r="AF317" s="6" t="s">
        <v>5</v>
      </c>
      <c r="AG317" s="6" t="s">
        <v>5</v>
      </c>
      <c r="AH317" s="7">
        <v>3</v>
      </c>
      <c r="AI317" s="7">
        <v>1.82</v>
      </c>
      <c r="AJ317" s="6" t="s">
        <v>5</v>
      </c>
      <c r="AK317" s="6" t="s">
        <v>5</v>
      </c>
      <c r="AL317" s="6" t="s">
        <v>5</v>
      </c>
      <c r="AM317" s="6" t="s">
        <v>5</v>
      </c>
      <c r="AN317" s="7">
        <v>3.65</v>
      </c>
      <c r="AO317" s="6">
        <v>739</v>
      </c>
      <c r="AP317" s="6">
        <v>211</v>
      </c>
      <c r="AQ317" s="4">
        <v>95.4</v>
      </c>
      <c r="AR317" s="7">
        <v>2.62</v>
      </c>
      <c r="AS317" s="6">
        <v>2360</v>
      </c>
      <c r="AT317" s="6">
        <v>408</v>
      </c>
      <c r="AU317" s="6">
        <v>264</v>
      </c>
      <c r="AV317" s="7">
        <v>4.6900000000000004</v>
      </c>
      <c r="AW317" s="6" t="s">
        <v>5</v>
      </c>
      <c r="AX317" s="6" t="s">
        <v>5</v>
      </c>
      <c r="AY317" s="6" t="s">
        <v>5</v>
      </c>
      <c r="AZ317" s="6">
        <v>714</v>
      </c>
      <c r="BA317" s="6">
        <v>5250</v>
      </c>
      <c r="BB317" s="6" t="s">
        <v>5</v>
      </c>
      <c r="BC317" s="6" t="s">
        <v>5</v>
      </c>
      <c r="BD317" s="6" t="s">
        <v>5</v>
      </c>
      <c r="BE317" s="6" t="s">
        <v>5</v>
      </c>
      <c r="BF317" s="6" t="s">
        <v>5</v>
      </c>
      <c r="BG317" s="6" t="s">
        <v>5</v>
      </c>
      <c r="BH317" s="6" t="s">
        <v>5</v>
      </c>
      <c r="BI317" s="7">
        <v>5.47</v>
      </c>
      <c r="BJ317" s="22">
        <v>0.96599999999999997</v>
      </c>
      <c r="BK317" s="6" t="s">
        <v>5</v>
      </c>
      <c r="BL317" s="2" t="s">
        <v>5</v>
      </c>
      <c r="BM317" s="2" t="s">
        <v>5</v>
      </c>
      <c r="BN317" s="2" t="s">
        <v>5</v>
      </c>
      <c r="BO317" s="2" t="s">
        <v>5</v>
      </c>
      <c r="BP317" s="2" t="s">
        <v>5</v>
      </c>
      <c r="BQ317" s="2" t="s">
        <v>5</v>
      </c>
      <c r="BR317" s="2" t="s">
        <v>5</v>
      </c>
      <c r="BS317" s="2" t="s">
        <v>5</v>
      </c>
      <c r="BT317" s="2" t="s">
        <v>5</v>
      </c>
      <c r="BU317" s="2" t="s">
        <v>5</v>
      </c>
      <c r="BV317" s="2" t="s">
        <v>5</v>
      </c>
      <c r="BW317" s="2" t="s">
        <v>5</v>
      </c>
      <c r="BX317" s="2" t="s">
        <v>5</v>
      </c>
      <c r="BY317" s="25" t="s">
        <v>5</v>
      </c>
      <c r="BZ317" s="25" t="s">
        <v>5</v>
      </c>
      <c r="CA317" s="4">
        <v>39.299999999999997</v>
      </c>
      <c r="CB317" s="6" t="s">
        <v>5</v>
      </c>
      <c r="CC317" s="4">
        <v>57.2</v>
      </c>
      <c r="CD317" s="4">
        <v>40.299999999999997</v>
      </c>
      <c r="CE317" s="6">
        <v>58.199999999999996</v>
      </c>
      <c r="CF317" s="16" t="s">
        <v>5</v>
      </c>
      <c r="CG317" s="5">
        <v>7.5</v>
      </c>
      <c r="CH317" s="41">
        <v>3</v>
      </c>
    </row>
    <row r="318" spans="2:86">
      <c r="B318" s="78" t="s">
        <v>145</v>
      </c>
      <c r="C318" s="79" t="s">
        <v>324</v>
      </c>
      <c r="D318" s="80" t="s">
        <v>324</v>
      </c>
      <c r="E318" s="1" t="s">
        <v>6</v>
      </c>
      <c r="F318" s="6">
        <v>332.5</v>
      </c>
      <c r="G318" s="4">
        <v>97.8</v>
      </c>
      <c r="H318" s="3" t="str">
        <f t="shared" si="22"/>
        <v>WT7X332.5</v>
      </c>
      <c r="I318" s="4">
        <v>10.8</v>
      </c>
      <c r="J318" s="5">
        <v>10.875</v>
      </c>
      <c r="K318" s="6" t="s">
        <v>5</v>
      </c>
      <c r="L318" s="6" t="s">
        <v>5</v>
      </c>
      <c r="M318" s="6" t="s">
        <v>5</v>
      </c>
      <c r="N318" s="4">
        <v>17.7</v>
      </c>
      <c r="O318" s="5">
        <v>17.625</v>
      </c>
      <c r="P318" s="5" t="s">
        <v>5</v>
      </c>
      <c r="Q318" s="6" t="s">
        <v>5</v>
      </c>
      <c r="R318" s="6" t="s">
        <v>5</v>
      </c>
      <c r="S318" s="7">
        <v>2.83</v>
      </c>
      <c r="T318" s="5">
        <v>2.8125</v>
      </c>
      <c r="U318" s="8">
        <v>1.4375</v>
      </c>
      <c r="V318" s="7">
        <v>4.5199999999999996</v>
      </c>
      <c r="W318" s="8">
        <v>4.5</v>
      </c>
      <c r="X318" s="7">
        <v>4.5199999999999996</v>
      </c>
      <c r="Y318" s="6" t="s">
        <v>5</v>
      </c>
      <c r="Z318" s="6" t="s">
        <v>5</v>
      </c>
      <c r="AA318" s="7">
        <v>5.12</v>
      </c>
      <c r="AB318" s="8">
        <v>5.8125</v>
      </c>
      <c r="AC318" s="8" t="s">
        <v>5</v>
      </c>
      <c r="AD318" s="6" t="s">
        <v>5</v>
      </c>
      <c r="AE318" s="7">
        <v>3.25</v>
      </c>
      <c r="AF318" s="6" t="s">
        <v>5</v>
      </c>
      <c r="AG318" s="6" t="s">
        <v>5</v>
      </c>
      <c r="AH318" s="7">
        <v>2.77</v>
      </c>
      <c r="AI318" s="7">
        <v>1.95</v>
      </c>
      <c r="AJ318" s="6" t="s">
        <v>5</v>
      </c>
      <c r="AK318" s="6" t="s">
        <v>5</v>
      </c>
      <c r="AL318" s="6" t="s">
        <v>5</v>
      </c>
      <c r="AM318" s="6" t="s">
        <v>5</v>
      </c>
      <c r="AN318" s="7">
        <v>3.82</v>
      </c>
      <c r="AO318" s="6">
        <v>622</v>
      </c>
      <c r="AP318" s="6">
        <v>182</v>
      </c>
      <c r="AQ318" s="4">
        <v>82.1</v>
      </c>
      <c r="AR318" s="7">
        <v>2.52</v>
      </c>
      <c r="AS318" s="6">
        <v>2080</v>
      </c>
      <c r="AT318" s="6">
        <v>365</v>
      </c>
      <c r="AU318" s="6">
        <v>236</v>
      </c>
      <c r="AV318" s="7">
        <v>4.62</v>
      </c>
      <c r="AW318" s="6" t="s">
        <v>5</v>
      </c>
      <c r="AX318" s="6" t="s">
        <v>5</v>
      </c>
      <c r="AY318" s="6" t="s">
        <v>5</v>
      </c>
      <c r="AZ318" s="6">
        <v>555</v>
      </c>
      <c r="BA318" s="6">
        <v>3920</v>
      </c>
      <c r="BB318" s="6" t="s">
        <v>5</v>
      </c>
      <c r="BC318" s="6" t="s">
        <v>5</v>
      </c>
      <c r="BD318" s="6" t="s">
        <v>5</v>
      </c>
      <c r="BE318" s="6" t="s">
        <v>5</v>
      </c>
      <c r="BF318" s="6" t="s">
        <v>5</v>
      </c>
      <c r="BG318" s="6" t="s">
        <v>5</v>
      </c>
      <c r="BH318" s="6" t="s">
        <v>5</v>
      </c>
      <c r="BI318" s="7">
        <v>5.35</v>
      </c>
      <c r="BJ318" s="22">
        <v>0.96599999999999997</v>
      </c>
      <c r="BK318" s="6" t="s">
        <v>5</v>
      </c>
      <c r="BL318" s="2" t="s">
        <v>5</v>
      </c>
      <c r="BM318" s="2" t="s">
        <v>5</v>
      </c>
      <c r="BN318" s="2" t="s">
        <v>5</v>
      </c>
      <c r="BO318" s="2" t="s">
        <v>5</v>
      </c>
      <c r="BP318" s="2" t="s">
        <v>5</v>
      </c>
      <c r="BQ318" s="2" t="s">
        <v>5</v>
      </c>
      <c r="BR318" s="2" t="s">
        <v>5</v>
      </c>
      <c r="BS318" s="2" t="s">
        <v>5</v>
      </c>
      <c r="BT318" s="2" t="s">
        <v>5</v>
      </c>
      <c r="BU318" s="2" t="s">
        <v>5</v>
      </c>
      <c r="BV318" s="2" t="s">
        <v>5</v>
      </c>
      <c r="BW318" s="2" t="s">
        <v>5</v>
      </c>
      <c r="BX318" s="2" t="s">
        <v>5</v>
      </c>
      <c r="BY318" s="25" t="s">
        <v>5</v>
      </c>
      <c r="BZ318" s="25" t="s">
        <v>5</v>
      </c>
      <c r="CA318" s="4">
        <v>38.299999999999997</v>
      </c>
      <c r="CB318" s="6" t="s">
        <v>5</v>
      </c>
      <c r="CC318" s="4">
        <v>56</v>
      </c>
      <c r="CD318" s="4">
        <v>39.299999999999997</v>
      </c>
      <c r="CE318" s="4">
        <v>57</v>
      </c>
      <c r="CF318" s="16" t="s">
        <v>5</v>
      </c>
      <c r="CG318" s="5">
        <v>7.5</v>
      </c>
      <c r="CH318" s="41">
        <v>3</v>
      </c>
    </row>
    <row r="319" spans="2:86">
      <c r="B319" s="78" t="s">
        <v>145</v>
      </c>
      <c r="C319" s="79" t="s">
        <v>325</v>
      </c>
      <c r="D319" s="80" t="s">
        <v>325</v>
      </c>
      <c r="E319" s="1" t="s">
        <v>6</v>
      </c>
      <c r="F319" s="6">
        <v>302.5</v>
      </c>
      <c r="G319" s="4">
        <v>89</v>
      </c>
      <c r="H319" s="3" t="str">
        <f t="shared" si="22"/>
        <v>WT7X302.5</v>
      </c>
      <c r="I319" s="4">
        <v>10.5</v>
      </c>
      <c r="J319" s="5">
        <v>10.5</v>
      </c>
      <c r="K319" s="6" t="s">
        <v>5</v>
      </c>
      <c r="L319" s="6" t="s">
        <v>5</v>
      </c>
      <c r="M319" s="6" t="s">
        <v>5</v>
      </c>
      <c r="N319" s="4">
        <v>17.399999999999999</v>
      </c>
      <c r="O319" s="5">
        <v>17.375</v>
      </c>
      <c r="P319" s="5" t="s">
        <v>5</v>
      </c>
      <c r="Q319" s="6" t="s">
        <v>5</v>
      </c>
      <c r="R319" s="6" t="s">
        <v>5</v>
      </c>
      <c r="S319" s="7">
        <v>2.6</v>
      </c>
      <c r="T319" s="5">
        <v>2.625</v>
      </c>
      <c r="U319" s="8">
        <v>1.3125</v>
      </c>
      <c r="V319" s="7">
        <v>4.16</v>
      </c>
      <c r="W319" s="8">
        <v>4.1875</v>
      </c>
      <c r="X319" s="7">
        <v>4.16</v>
      </c>
      <c r="Y319" s="6" t="s">
        <v>5</v>
      </c>
      <c r="Z319" s="6" t="s">
        <v>5</v>
      </c>
      <c r="AA319" s="7">
        <v>4.76</v>
      </c>
      <c r="AB319" s="8">
        <v>5.4375</v>
      </c>
      <c r="AC319" s="8" t="s">
        <v>5</v>
      </c>
      <c r="AD319" s="6" t="s">
        <v>5</v>
      </c>
      <c r="AE319" s="7">
        <v>3.05</v>
      </c>
      <c r="AF319" s="6" t="s">
        <v>5</v>
      </c>
      <c r="AG319" s="6" t="s">
        <v>5</v>
      </c>
      <c r="AH319" s="7">
        <v>2.5499999999999998</v>
      </c>
      <c r="AI319" s="7">
        <v>2.09</v>
      </c>
      <c r="AJ319" s="6" t="s">
        <v>5</v>
      </c>
      <c r="AK319" s="6" t="s">
        <v>5</v>
      </c>
      <c r="AL319" s="6" t="s">
        <v>5</v>
      </c>
      <c r="AM319" s="6" t="s">
        <v>5</v>
      </c>
      <c r="AN319" s="7">
        <v>4.04</v>
      </c>
      <c r="AO319" s="6">
        <v>524</v>
      </c>
      <c r="AP319" s="6">
        <v>157</v>
      </c>
      <c r="AQ319" s="4">
        <v>70.599999999999994</v>
      </c>
      <c r="AR319" s="7">
        <v>2.4300000000000002</v>
      </c>
      <c r="AS319" s="6">
        <v>1840</v>
      </c>
      <c r="AT319" s="6">
        <v>326</v>
      </c>
      <c r="AU319" s="6">
        <v>211</v>
      </c>
      <c r="AV319" s="7">
        <v>4.55</v>
      </c>
      <c r="AW319" s="6" t="s">
        <v>5</v>
      </c>
      <c r="AX319" s="6" t="s">
        <v>5</v>
      </c>
      <c r="AY319" s="6" t="s">
        <v>5</v>
      </c>
      <c r="AZ319" s="6">
        <v>430</v>
      </c>
      <c r="BA319" s="6">
        <v>2930</v>
      </c>
      <c r="BB319" s="6" t="s">
        <v>5</v>
      </c>
      <c r="BC319" s="6" t="s">
        <v>5</v>
      </c>
      <c r="BD319" s="6" t="s">
        <v>5</v>
      </c>
      <c r="BE319" s="6" t="s">
        <v>5</v>
      </c>
      <c r="BF319" s="6" t="s">
        <v>5</v>
      </c>
      <c r="BG319" s="6" t="s">
        <v>5</v>
      </c>
      <c r="BH319" s="6" t="s">
        <v>5</v>
      </c>
      <c r="BI319" s="7">
        <v>5.24</v>
      </c>
      <c r="BJ319" s="22">
        <v>0.96599999999999997</v>
      </c>
      <c r="BK319" s="6" t="s">
        <v>5</v>
      </c>
      <c r="BL319" s="2" t="s">
        <v>5</v>
      </c>
      <c r="BM319" s="2" t="s">
        <v>5</v>
      </c>
      <c r="BN319" s="2" t="s">
        <v>5</v>
      </c>
      <c r="BO319" s="2" t="s">
        <v>5</v>
      </c>
      <c r="BP319" s="2" t="s">
        <v>5</v>
      </c>
      <c r="BQ319" s="2" t="s">
        <v>5</v>
      </c>
      <c r="BR319" s="2" t="s">
        <v>5</v>
      </c>
      <c r="BS319" s="2" t="s">
        <v>5</v>
      </c>
      <c r="BT319" s="2" t="s">
        <v>5</v>
      </c>
      <c r="BU319" s="2" t="s">
        <v>5</v>
      </c>
      <c r="BV319" s="2" t="s">
        <v>5</v>
      </c>
      <c r="BW319" s="2" t="s">
        <v>5</v>
      </c>
      <c r="BX319" s="2" t="s">
        <v>5</v>
      </c>
      <c r="BY319" s="25" t="s">
        <v>5</v>
      </c>
      <c r="BZ319" s="25" t="s">
        <v>5</v>
      </c>
      <c r="CA319" s="4">
        <v>37.4</v>
      </c>
      <c r="CB319" s="6" t="s">
        <v>5</v>
      </c>
      <c r="CC319" s="4">
        <v>54.8</v>
      </c>
      <c r="CD319" s="4">
        <v>38.4</v>
      </c>
      <c r="CE319" s="6">
        <v>55.8</v>
      </c>
      <c r="CF319" s="16" t="s">
        <v>5</v>
      </c>
      <c r="CG319" s="5">
        <v>7.5</v>
      </c>
      <c r="CH319" s="41">
        <v>3</v>
      </c>
    </row>
    <row r="320" spans="2:86">
      <c r="B320" s="78" t="s">
        <v>145</v>
      </c>
      <c r="C320" s="79" t="s">
        <v>326</v>
      </c>
      <c r="D320" s="80" t="s">
        <v>326</v>
      </c>
      <c r="E320" s="1" t="s">
        <v>6</v>
      </c>
      <c r="F320" s="6">
        <v>275</v>
      </c>
      <c r="G320" s="4">
        <v>80.900000000000006</v>
      </c>
      <c r="H320" s="3" t="str">
        <f t="shared" si="22"/>
        <v>WT7X275</v>
      </c>
      <c r="I320" s="4">
        <v>10.1</v>
      </c>
      <c r="J320" s="5">
        <v>10.125</v>
      </c>
      <c r="K320" s="6" t="s">
        <v>5</v>
      </c>
      <c r="L320" s="6" t="s">
        <v>5</v>
      </c>
      <c r="M320" s="6" t="s">
        <v>5</v>
      </c>
      <c r="N320" s="4">
        <v>17.2</v>
      </c>
      <c r="O320" s="5">
        <v>17.25</v>
      </c>
      <c r="P320" s="5" t="s">
        <v>5</v>
      </c>
      <c r="Q320" s="6" t="s">
        <v>5</v>
      </c>
      <c r="R320" s="6" t="s">
        <v>5</v>
      </c>
      <c r="S320" s="7">
        <v>2.38</v>
      </c>
      <c r="T320" s="5">
        <v>2.375</v>
      </c>
      <c r="U320" s="8">
        <v>1.1875</v>
      </c>
      <c r="V320" s="7">
        <v>3.82</v>
      </c>
      <c r="W320" s="8">
        <v>3.8125</v>
      </c>
      <c r="X320" s="7">
        <v>3.82</v>
      </c>
      <c r="Y320" s="6" t="s">
        <v>5</v>
      </c>
      <c r="Z320" s="6" t="s">
        <v>5</v>
      </c>
      <c r="AA320" s="7">
        <v>4.42</v>
      </c>
      <c r="AB320" s="8">
        <v>5.125</v>
      </c>
      <c r="AC320" s="8" t="s">
        <v>5</v>
      </c>
      <c r="AD320" s="6" t="s">
        <v>5</v>
      </c>
      <c r="AE320" s="7">
        <v>2.85</v>
      </c>
      <c r="AF320" s="6" t="s">
        <v>5</v>
      </c>
      <c r="AG320" s="6" t="s">
        <v>5</v>
      </c>
      <c r="AH320" s="7">
        <v>2.35</v>
      </c>
      <c r="AI320" s="7">
        <v>2.25</v>
      </c>
      <c r="AJ320" s="6" t="s">
        <v>5</v>
      </c>
      <c r="AK320" s="6" t="s">
        <v>5</v>
      </c>
      <c r="AL320" s="6" t="s">
        <v>5</v>
      </c>
      <c r="AM320" s="6" t="s">
        <v>5</v>
      </c>
      <c r="AN320" s="7">
        <v>4.24</v>
      </c>
      <c r="AO320" s="6">
        <v>442</v>
      </c>
      <c r="AP320" s="6">
        <v>136</v>
      </c>
      <c r="AQ320" s="4">
        <v>60.9</v>
      </c>
      <c r="AR320" s="7">
        <v>2.34</v>
      </c>
      <c r="AS320" s="6">
        <v>1630</v>
      </c>
      <c r="AT320" s="6">
        <v>292</v>
      </c>
      <c r="AU320" s="6">
        <v>189</v>
      </c>
      <c r="AV320" s="7">
        <v>4.49</v>
      </c>
      <c r="AW320" s="6" t="s">
        <v>5</v>
      </c>
      <c r="AX320" s="6" t="s">
        <v>5</v>
      </c>
      <c r="AY320" s="6" t="s">
        <v>5</v>
      </c>
      <c r="AZ320" s="6">
        <v>331</v>
      </c>
      <c r="BA320" s="6">
        <v>2180</v>
      </c>
      <c r="BB320" s="6" t="s">
        <v>5</v>
      </c>
      <c r="BC320" s="6" t="s">
        <v>5</v>
      </c>
      <c r="BD320" s="6" t="s">
        <v>5</v>
      </c>
      <c r="BE320" s="6" t="s">
        <v>5</v>
      </c>
      <c r="BF320" s="6" t="s">
        <v>5</v>
      </c>
      <c r="BG320" s="6" t="s">
        <v>5</v>
      </c>
      <c r="BH320" s="6" t="s">
        <v>5</v>
      </c>
      <c r="BI320" s="7">
        <v>5.15</v>
      </c>
      <c r="BJ320" s="22">
        <v>0.96599999999999997</v>
      </c>
      <c r="BK320" s="6" t="s">
        <v>5</v>
      </c>
      <c r="BL320" s="2" t="s">
        <v>5</v>
      </c>
      <c r="BM320" s="2" t="s">
        <v>5</v>
      </c>
      <c r="BN320" s="2" t="s">
        <v>5</v>
      </c>
      <c r="BO320" s="2" t="s">
        <v>5</v>
      </c>
      <c r="BP320" s="2" t="s">
        <v>5</v>
      </c>
      <c r="BQ320" s="2" t="s">
        <v>5</v>
      </c>
      <c r="BR320" s="2" t="s">
        <v>5</v>
      </c>
      <c r="BS320" s="2" t="s">
        <v>5</v>
      </c>
      <c r="BT320" s="2" t="s">
        <v>5</v>
      </c>
      <c r="BU320" s="2" t="s">
        <v>5</v>
      </c>
      <c r="BV320" s="2" t="s">
        <v>5</v>
      </c>
      <c r="BW320" s="2" t="s">
        <v>5</v>
      </c>
      <c r="BX320" s="2" t="s">
        <v>5</v>
      </c>
      <c r="BY320" s="25" t="s">
        <v>5</v>
      </c>
      <c r="BZ320" s="25" t="s">
        <v>5</v>
      </c>
      <c r="CA320" s="4">
        <v>36.4</v>
      </c>
      <c r="CB320" s="6" t="s">
        <v>5</v>
      </c>
      <c r="CC320" s="4">
        <v>53.6</v>
      </c>
      <c r="CD320" s="4">
        <v>37.399999999999991</v>
      </c>
      <c r="CE320" s="6">
        <v>54.599999999999994</v>
      </c>
      <c r="CF320" s="16" t="s">
        <v>5</v>
      </c>
      <c r="CG320" s="5">
        <v>7.5</v>
      </c>
      <c r="CH320" s="41">
        <v>3</v>
      </c>
    </row>
    <row r="321" spans="2:86">
      <c r="B321" s="78" t="s">
        <v>145</v>
      </c>
      <c r="C321" s="79" t="s">
        <v>327</v>
      </c>
      <c r="D321" s="80" t="s">
        <v>327</v>
      </c>
      <c r="E321" s="1" t="s">
        <v>6</v>
      </c>
      <c r="F321" s="6">
        <v>250</v>
      </c>
      <c r="G321" s="4">
        <v>73.5</v>
      </c>
      <c r="H321" s="3" t="str">
        <f t="shared" si="22"/>
        <v>WT7X250</v>
      </c>
      <c r="I321" s="7">
        <v>9.8000000000000007</v>
      </c>
      <c r="J321" s="5">
        <v>9.75</v>
      </c>
      <c r="K321" s="6" t="s">
        <v>5</v>
      </c>
      <c r="L321" s="6" t="s">
        <v>5</v>
      </c>
      <c r="M321" s="6" t="s">
        <v>5</v>
      </c>
      <c r="N321" s="4">
        <v>17</v>
      </c>
      <c r="O321" s="5">
        <v>17</v>
      </c>
      <c r="P321" s="5" t="s">
        <v>5</v>
      </c>
      <c r="Q321" s="6" t="s">
        <v>5</v>
      </c>
      <c r="R321" s="6" t="s">
        <v>5</v>
      </c>
      <c r="S321" s="7">
        <v>2.19</v>
      </c>
      <c r="T321" s="5">
        <v>2.1875</v>
      </c>
      <c r="U321" s="8">
        <v>1.125</v>
      </c>
      <c r="V321" s="7">
        <v>3.5</v>
      </c>
      <c r="W321" s="8">
        <v>3.5</v>
      </c>
      <c r="X321" s="7">
        <v>3.5</v>
      </c>
      <c r="Y321" s="6" t="s">
        <v>5</v>
      </c>
      <c r="Z321" s="6" t="s">
        <v>5</v>
      </c>
      <c r="AA321" s="7">
        <v>4.0999999999999996</v>
      </c>
      <c r="AB321" s="8">
        <v>4.8125</v>
      </c>
      <c r="AC321" s="8" t="s">
        <v>5</v>
      </c>
      <c r="AD321" s="6" t="s">
        <v>5</v>
      </c>
      <c r="AE321" s="7">
        <v>2.67</v>
      </c>
      <c r="AF321" s="6" t="s">
        <v>5</v>
      </c>
      <c r="AG321" s="6" t="s">
        <v>5</v>
      </c>
      <c r="AH321" s="7">
        <v>2.16</v>
      </c>
      <c r="AI321" s="7">
        <v>2.4300000000000002</v>
      </c>
      <c r="AJ321" s="6" t="s">
        <v>5</v>
      </c>
      <c r="AK321" s="6" t="s">
        <v>5</v>
      </c>
      <c r="AL321" s="6" t="s">
        <v>5</v>
      </c>
      <c r="AM321" s="6" t="s">
        <v>5</v>
      </c>
      <c r="AN321" s="7">
        <v>4.47</v>
      </c>
      <c r="AO321" s="6">
        <v>375</v>
      </c>
      <c r="AP321" s="6">
        <v>117</v>
      </c>
      <c r="AQ321" s="4">
        <v>52.7</v>
      </c>
      <c r="AR321" s="7">
        <v>2.2599999999999998</v>
      </c>
      <c r="AS321" s="6">
        <v>1440</v>
      </c>
      <c r="AT321" s="6">
        <v>261</v>
      </c>
      <c r="AU321" s="6">
        <v>169</v>
      </c>
      <c r="AV321" s="7">
        <v>4.43</v>
      </c>
      <c r="AW321" s="6" t="s">
        <v>5</v>
      </c>
      <c r="AX321" s="6" t="s">
        <v>5</v>
      </c>
      <c r="AY321" s="6" t="s">
        <v>5</v>
      </c>
      <c r="AZ321" s="6">
        <v>254</v>
      </c>
      <c r="BA321" s="6">
        <v>1620</v>
      </c>
      <c r="BB321" s="6" t="s">
        <v>5</v>
      </c>
      <c r="BC321" s="6" t="s">
        <v>5</v>
      </c>
      <c r="BD321" s="6" t="s">
        <v>5</v>
      </c>
      <c r="BE321" s="6" t="s">
        <v>5</v>
      </c>
      <c r="BF321" s="6" t="s">
        <v>5</v>
      </c>
      <c r="BG321" s="6" t="s">
        <v>5</v>
      </c>
      <c r="BH321" s="6" t="s">
        <v>5</v>
      </c>
      <c r="BI321" s="7">
        <v>5.0599999999999996</v>
      </c>
      <c r="BJ321" s="22">
        <v>0.96699999999999997</v>
      </c>
      <c r="BK321" s="6" t="s">
        <v>5</v>
      </c>
      <c r="BL321" s="2" t="s">
        <v>5</v>
      </c>
      <c r="BM321" s="2" t="s">
        <v>5</v>
      </c>
      <c r="BN321" s="2" t="s">
        <v>5</v>
      </c>
      <c r="BO321" s="2" t="s">
        <v>5</v>
      </c>
      <c r="BP321" s="2" t="s">
        <v>5</v>
      </c>
      <c r="BQ321" s="2" t="s">
        <v>5</v>
      </c>
      <c r="BR321" s="2" t="s">
        <v>5</v>
      </c>
      <c r="BS321" s="2" t="s">
        <v>5</v>
      </c>
      <c r="BT321" s="2" t="s">
        <v>5</v>
      </c>
      <c r="BU321" s="2" t="s">
        <v>5</v>
      </c>
      <c r="BV321" s="2" t="s">
        <v>5</v>
      </c>
      <c r="BW321" s="2" t="s">
        <v>5</v>
      </c>
      <c r="BX321" s="2" t="s">
        <v>5</v>
      </c>
      <c r="BY321" s="25" t="s">
        <v>5</v>
      </c>
      <c r="BZ321" s="25" t="s">
        <v>5</v>
      </c>
      <c r="CA321" s="4">
        <v>35.6</v>
      </c>
      <c r="CB321" s="6" t="s">
        <v>5</v>
      </c>
      <c r="CC321" s="4">
        <v>52.6</v>
      </c>
      <c r="CD321" s="4">
        <v>36.6</v>
      </c>
      <c r="CE321" s="6">
        <v>53.6</v>
      </c>
      <c r="CF321" s="16" t="s">
        <v>5</v>
      </c>
      <c r="CG321" s="5">
        <v>7.5</v>
      </c>
      <c r="CH321" s="41">
        <v>3</v>
      </c>
    </row>
    <row r="322" spans="2:86">
      <c r="B322" s="78" t="s">
        <v>145</v>
      </c>
      <c r="C322" s="79" t="s">
        <v>328</v>
      </c>
      <c r="D322" s="80" t="s">
        <v>328</v>
      </c>
      <c r="E322" s="1" t="s">
        <v>6</v>
      </c>
      <c r="F322" s="6">
        <v>227.5</v>
      </c>
      <c r="G322" s="4">
        <v>66.900000000000006</v>
      </c>
      <c r="H322" s="3" t="str">
        <f t="shared" si="22"/>
        <v>WT7X227.5</v>
      </c>
      <c r="I322" s="7">
        <v>9.51</v>
      </c>
      <c r="J322" s="5">
        <v>9.5</v>
      </c>
      <c r="K322" s="6" t="s">
        <v>5</v>
      </c>
      <c r="L322" s="6" t="s">
        <v>5</v>
      </c>
      <c r="M322" s="6" t="s">
        <v>5</v>
      </c>
      <c r="N322" s="4">
        <v>16.8</v>
      </c>
      <c r="O322" s="5">
        <v>16.875</v>
      </c>
      <c r="P322" s="5" t="s">
        <v>5</v>
      </c>
      <c r="Q322" s="6" t="s">
        <v>5</v>
      </c>
      <c r="R322" s="6" t="s">
        <v>5</v>
      </c>
      <c r="S322" s="7">
        <v>2.02</v>
      </c>
      <c r="T322" s="5">
        <v>2</v>
      </c>
      <c r="U322" s="8">
        <v>1</v>
      </c>
      <c r="V322" s="7">
        <v>3.21</v>
      </c>
      <c r="W322" s="8">
        <v>3.1875</v>
      </c>
      <c r="X322" s="7">
        <v>3.21</v>
      </c>
      <c r="Y322" s="6" t="s">
        <v>5</v>
      </c>
      <c r="Z322" s="6" t="s">
        <v>5</v>
      </c>
      <c r="AA322" s="7">
        <v>3.81</v>
      </c>
      <c r="AB322" s="8">
        <v>4.5</v>
      </c>
      <c r="AC322" s="8" t="s">
        <v>5</v>
      </c>
      <c r="AD322" s="6" t="s">
        <v>5</v>
      </c>
      <c r="AE322" s="7">
        <v>2.5099999999999998</v>
      </c>
      <c r="AF322" s="6" t="s">
        <v>5</v>
      </c>
      <c r="AG322" s="6" t="s">
        <v>5</v>
      </c>
      <c r="AH322" s="7">
        <v>1.99</v>
      </c>
      <c r="AI322" s="7">
        <v>2.62</v>
      </c>
      <c r="AJ322" s="6" t="s">
        <v>5</v>
      </c>
      <c r="AK322" s="6" t="s">
        <v>5</v>
      </c>
      <c r="AL322" s="6" t="s">
        <v>5</v>
      </c>
      <c r="AM322" s="6" t="s">
        <v>5</v>
      </c>
      <c r="AN322" s="7">
        <v>4.71</v>
      </c>
      <c r="AO322" s="6">
        <v>321</v>
      </c>
      <c r="AP322" s="6">
        <v>102</v>
      </c>
      <c r="AQ322" s="4">
        <v>45.9</v>
      </c>
      <c r="AR322" s="7">
        <v>2.19</v>
      </c>
      <c r="AS322" s="6">
        <v>1280</v>
      </c>
      <c r="AT322" s="6">
        <v>234</v>
      </c>
      <c r="AU322" s="6">
        <v>152</v>
      </c>
      <c r="AV322" s="7">
        <v>4.38</v>
      </c>
      <c r="AW322" s="6" t="s">
        <v>5</v>
      </c>
      <c r="AX322" s="6" t="s">
        <v>5</v>
      </c>
      <c r="AY322" s="6" t="s">
        <v>5</v>
      </c>
      <c r="AZ322" s="6">
        <v>196</v>
      </c>
      <c r="BA322" s="6">
        <v>1210</v>
      </c>
      <c r="BB322" s="6" t="s">
        <v>5</v>
      </c>
      <c r="BC322" s="6" t="s">
        <v>5</v>
      </c>
      <c r="BD322" s="6" t="s">
        <v>5</v>
      </c>
      <c r="BE322" s="6" t="s">
        <v>5</v>
      </c>
      <c r="BF322" s="6" t="s">
        <v>5</v>
      </c>
      <c r="BG322" s="6" t="s">
        <v>5</v>
      </c>
      <c r="BH322" s="6" t="s">
        <v>5</v>
      </c>
      <c r="BI322" s="7">
        <v>4.9800000000000004</v>
      </c>
      <c r="BJ322" s="22">
        <v>0.96699999999999997</v>
      </c>
      <c r="BK322" s="6" t="s">
        <v>5</v>
      </c>
      <c r="BL322" s="2" t="s">
        <v>5</v>
      </c>
      <c r="BM322" s="2" t="s">
        <v>5</v>
      </c>
      <c r="BN322" s="2" t="s">
        <v>5</v>
      </c>
      <c r="BO322" s="2" t="s">
        <v>5</v>
      </c>
      <c r="BP322" s="2" t="s">
        <v>5</v>
      </c>
      <c r="BQ322" s="2" t="s">
        <v>5</v>
      </c>
      <c r="BR322" s="2" t="s">
        <v>5</v>
      </c>
      <c r="BS322" s="2" t="s">
        <v>5</v>
      </c>
      <c r="BT322" s="2" t="s">
        <v>5</v>
      </c>
      <c r="BU322" s="2" t="s">
        <v>5</v>
      </c>
      <c r="BV322" s="2" t="s">
        <v>5</v>
      </c>
      <c r="BW322" s="2" t="s">
        <v>5</v>
      </c>
      <c r="BX322" s="2" t="s">
        <v>5</v>
      </c>
      <c r="BY322" s="25" t="s">
        <v>5</v>
      </c>
      <c r="BZ322" s="25" t="s">
        <v>5</v>
      </c>
      <c r="CA322" s="4">
        <v>34.799999999999997</v>
      </c>
      <c r="CB322" s="6" t="s">
        <v>5</v>
      </c>
      <c r="CC322" s="4">
        <v>51.6</v>
      </c>
      <c r="CD322" s="4">
        <v>35.799999999999997</v>
      </c>
      <c r="CE322" s="4">
        <v>52.6</v>
      </c>
      <c r="CF322" s="16" t="s">
        <v>5</v>
      </c>
      <c r="CG322" s="5">
        <v>7.5</v>
      </c>
      <c r="CH322" s="41">
        <v>3</v>
      </c>
    </row>
    <row r="323" spans="2:86">
      <c r="B323" s="78" t="s">
        <v>145</v>
      </c>
      <c r="C323" s="79" t="s">
        <v>329</v>
      </c>
      <c r="D323" s="80" t="s">
        <v>329</v>
      </c>
      <c r="E323" s="1" t="s">
        <v>6</v>
      </c>
      <c r="F323" s="6">
        <v>213</v>
      </c>
      <c r="G323" s="4">
        <v>62.7</v>
      </c>
      <c r="H323" s="3" t="str">
        <f t="shared" si="22"/>
        <v>WT7X213</v>
      </c>
      <c r="I323" s="7">
        <v>9.34</v>
      </c>
      <c r="J323" s="5">
        <v>9.375</v>
      </c>
      <c r="K323" s="6" t="s">
        <v>5</v>
      </c>
      <c r="L323" s="6" t="s">
        <v>5</v>
      </c>
      <c r="M323" s="6" t="s">
        <v>5</v>
      </c>
      <c r="N323" s="4">
        <v>16.7</v>
      </c>
      <c r="O323" s="5">
        <v>16.75</v>
      </c>
      <c r="P323" s="5" t="s">
        <v>5</v>
      </c>
      <c r="Q323" s="6" t="s">
        <v>5</v>
      </c>
      <c r="R323" s="6" t="s">
        <v>5</v>
      </c>
      <c r="S323" s="7">
        <v>1.88</v>
      </c>
      <c r="T323" s="5">
        <v>1.875</v>
      </c>
      <c r="U323" s="8">
        <v>0.9375</v>
      </c>
      <c r="V323" s="7">
        <v>3.04</v>
      </c>
      <c r="W323" s="8">
        <v>3.0625</v>
      </c>
      <c r="X323" s="7">
        <v>3.04</v>
      </c>
      <c r="Y323" s="6" t="s">
        <v>5</v>
      </c>
      <c r="Z323" s="6" t="s">
        <v>5</v>
      </c>
      <c r="AA323" s="7">
        <v>3.63</v>
      </c>
      <c r="AB323" s="8">
        <v>4.3125</v>
      </c>
      <c r="AC323" s="8" t="s">
        <v>5</v>
      </c>
      <c r="AD323" s="6" t="s">
        <v>5</v>
      </c>
      <c r="AE323" s="7">
        <v>2.4</v>
      </c>
      <c r="AF323" s="6" t="s">
        <v>5</v>
      </c>
      <c r="AG323" s="6" t="s">
        <v>5</v>
      </c>
      <c r="AH323" s="7">
        <v>1.88</v>
      </c>
      <c r="AI323" s="7">
        <v>2.75</v>
      </c>
      <c r="AJ323" s="6" t="s">
        <v>5</v>
      </c>
      <c r="AK323" s="6" t="s">
        <v>5</v>
      </c>
      <c r="AL323" s="6" t="s">
        <v>5</v>
      </c>
      <c r="AM323" s="6" t="s">
        <v>5</v>
      </c>
      <c r="AN323" s="7">
        <v>4.97</v>
      </c>
      <c r="AO323" s="6">
        <v>287</v>
      </c>
      <c r="AP323" s="4">
        <v>91.7</v>
      </c>
      <c r="AQ323" s="4">
        <v>41.4</v>
      </c>
      <c r="AR323" s="7">
        <v>2.14</v>
      </c>
      <c r="AS323" s="6">
        <v>1180</v>
      </c>
      <c r="AT323" s="6">
        <v>217</v>
      </c>
      <c r="AU323" s="6">
        <v>141</v>
      </c>
      <c r="AV323" s="7">
        <v>4.34</v>
      </c>
      <c r="AW323" s="6" t="s">
        <v>5</v>
      </c>
      <c r="AX323" s="6" t="s">
        <v>5</v>
      </c>
      <c r="AY323" s="6" t="s">
        <v>5</v>
      </c>
      <c r="AZ323" s="6">
        <v>164</v>
      </c>
      <c r="BA323" s="6">
        <v>991</v>
      </c>
      <c r="BB323" s="6" t="s">
        <v>5</v>
      </c>
      <c r="BC323" s="6" t="s">
        <v>5</v>
      </c>
      <c r="BD323" s="6" t="s">
        <v>5</v>
      </c>
      <c r="BE323" s="6" t="s">
        <v>5</v>
      </c>
      <c r="BF323" s="6" t="s">
        <v>5</v>
      </c>
      <c r="BG323" s="6" t="s">
        <v>5</v>
      </c>
      <c r="BH323" s="6" t="s">
        <v>5</v>
      </c>
      <c r="BI323" s="7">
        <v>4.92</v>
      </c>
      <c r="BJ323" s="22">
        <v>0.96799999999999997</v>
      </c>
      <c r="BK323" s="6" t="s">
        <v>5</v>
      </c>
      <c r="BL323" s="2" t="s">
        <v>5</v>
      </c>
      <c r="BM323" s="2" t="s">
        <v>5</v>
      </c>
      <c r="BN323" s="2" t="s">
        <v>5</v>
      </c>
      <c r="BO323" s="2" t="s">
        <v>5</v>
      </c>
      <c r="BP323" s="2" t="s">
        <v>5</v>
      </c>
      <c r="BQ323" s="2" t="s">
        <v>5</v>
      </c>
      <c r="BR323" s="2" t="s">
        <v>5</v>
      </c>
      <c r="BS323" s="2" t="s">
        <v>5</v>
      </c>
      <c r="BT323" s="2" t="s">
        <v>5</v>
      </c>
      <c r="BU323" s="2" t="s">
        <v>5</v>
      </c>
      <c r="BV323" s="2" t="s">
        <v>5</v>
      </c>
      <c r="BW323" s="2" t="s">
        <v>5</v>
      </c>
      <c r="BX323" s="2" t="s">
        <v>5</v>
      </c>
      <c r="BY323" s="25" t="s">
        <v>5</v>
      </c>
      <c r="BZ323" s="25" t="s">
        <v>5</v>
      </c>
      <c r="CA323" s="4">
        <v>34.4</v>
      </c>
      <c r="CB323" s="6" t="s">
        <v>5</v>
      </c>
      <c r="CC323" s="4">
        <v>51.1</v>
      </c>
      <c r="CD323" s="4">
        <v>35.4</v>
      </c>
      <c r="CE323" s="4">
        <v>52.1</v>
      </c>
      <c r="CF323" s="16" t="s">
        <v>5</v>
      </c>
      <c r="CG323" s="5">
        <v>7.5</v>
      </c>
      <c r="CH323" s="41">
        <v>3</v>
      </c>
    </row>
    <row r="324" spans="2:86">
      <c r="B324" s="78" t="s">
        <v>145</v>
      </c>
      <c r="C324" s="79" t="s">
        <v>330</v>
      </c>
      <c r="D324" s="80" t="s">
        <v>330</v>
      </c>
      <c r="E324" s="1" t="s">
        <v>6</v>
      </c>
      <c r="F324" s="6">
        <v>199</v>
      </c>
      <c r="G324" s="4">
        <v>58.4</v>
      </c>
      <c r="H324" s="3" t="str">
        <f t="shared" ref="H324:H387" si="24">D324</f>
        <v>WT7X199</v>
      </c>
      <c r="I324" s="7">
        <v>9.15</v>
      </c>
      <c r="J324" s="5">
        <v>9.125</v>
      </c>
      <c r="K324" s="6" t="s">
        <v>5</v>
      </c>
      <c r="L324" s="6" t="s">
        <v>5</v>
      </c>
      <c r="M324" s="6" t="s">
        <v>5</v>
      </c>
      <c r="N324" s="4">
        <v>16.600000000000001</v>
      </c>
      <c r="O324" s="5">
        <v>16.625</v>
      </c>
      <c r="P324" s="5" t="s">
        <v>5</v>
      </c>
      <c r="Q324" s="6" t="s">
        <v>5</v>
      </c>
      <c r="R324" s="6" t="s">
        <v>5</v>
      </c>
      <c r="S324" s="7">
        <v>1.77</v>
      </c>
      <c r="T324" s="5">
        <v>1.75</v>
      </c>
      <c r="U324" s="8">
        <v>0.875</v>
      </c>
      <c r="V324" s="7">
        <v>2.85</v>
      </c>
      <c r="W324" s="8">
        <v>2.875</v>
      </c>
      <c r="X324" s="7">
        <v>2.85</v>
      </c>
      <c r="Y324" s="6" t="s">
        <v>5</v>
      </c>
      <c r="Z324" s="6" t="s">
        <v>5</v>
      </c>
      <c r="AA324" s="7">
        <v>3.44</v>
      </c>
      <c r="AB324" s="8">
        <v>4.125</v>
      </c>
      <c r="AC324" s="8" t="s">
        <v>5</v>
      </c>
      <c r="AD324" s="6" t="s">
        <v>5</v>
      </c>
      <c r="AE324" s="7">
        <v>2.2999999999999998</v>
      </c>
      <c r="AF324" s="6" t="s">
        <v>5</v>
      </c>
      <c r="AG324" s="6" t="s">
        <v>5</v>
      </c>
      <c r="AH324" s="7">
        <v>1.76</v>
      </c>
      <c r="AI324" s="7">
        <v>2.92</v>
      </c>
      <c r="AJ324" s="6" t="s">
        <v>5</v>
      </c>
      <c r="AK324" s="6" t="s">
        <v>5</v>
      </c>
      <c r="AL324" s="6" t="s">
        <v>5</v>
      </c>
      <c r="AM324" s="6" t="s">
        <v>5</v>
      </c>
      <c r="AN324" s="7">
        <v>5.17</v>
      </c>
      <c r="AO324" s="6">
        <v>257</v>
      </c>
      <c r="AP324" s="4">
        <v>82.9</v>
      </c>
      <c r="AQ324" s="4">
        <v>37.6</v>
      </c>
      <c r="AR324" s="7">
        <v>2.1</v>
      </c>
      <c r="AS324" s="6">
        <v>1090</v>
      </c>
      <c r="AT324" s="6">
        <v>201</v>
      </c>
      <c r="AU324" s="6">
        <v>131</v>
      </c>
      <c r="AV324" s="7">
        <v>4.3099999999999996</v>
      </c>
      <c r="AW324" s="6" t="s">
        <v>5</v>
      </c>
      <c r="AX324" s="6" t="s">
        <v>5</v>
      </c>
      <c r="AY324" s="6" t="s">
        <v>5</v>
      </c>
      <c r="AZ324" s="6">
        <v>135</v>
      </c>
      <c r="BA324" s="6">
        <v>801</v>
      </c>
      <c r="BB324" s="6" t="s">
        <v>5</v>
      </c>
      <c r="BC324" s="6" t="s">
        <v>5</v>
      </c>
      <c r="BD324" s="6" t="s">
        <v>5</v>
      </c>
      <c r="BE324" s="6" t="s">
        <v>5</v>
      </c>
      <c r="BF324" s="6" t="s">
        <v>5</v>
      </c>
      <c r="BG324" s="6" t="s">
        <v>5</v>
      </c>
      <c r="BH324" s="6" t="s">
        <v>5</v>
      </c>
      <c r="BI324" s="7">
        <v>4.87</v>
      </c>
      <c r="BJ324" s="22">
        <v>0.96799999999999997</v>
      </c>
      <c r="BK324" s="6" t="s">
        <v>5</v>
      </c>
      <c r="BL324" s="2" t="s">
        <v>5</v>
      </c>
      <c r="BM324" s="2" t="s">
        <v>5</v>
      </c>
      <c r="BN324" s="2" t="s">
        <v>5</v>
      </c>
      <c r="BO324" s="2" t="s">
        <v>5</v>
      </c>
      <c r="BP324" s="2" t="s">
        <v>5</v>
      </c>
      <c r="BQ324" s="2" t="s">
        <v>5</v>
      </c>
      <c r="BR324" s="2" t="s">
        <v>5</v>
      </c>
      <c r="BS324" s="2" t="s">
        <v>5</v>
      </c>
      <c r="BT324" s="2" t="s">
        <v>5</v>
      </c>
      <c r="BU324" s="2" t="s">
        <v>5</v>
      </c>
      <c r="BV324" s="2" t="s">
        <v>5</v>
      </c>
      <c r="BW324" s="2" t="s">
        <v>5</v>
      </c>
      <c r="BX324" s="2" t="s">
        <v>5</v>
      </c>
      <c r="BY324" s="25" t="s">
        <v>5</v>
      </c>
      <c r="BZ324" s="25" t="s">
        <v>5</v>
      </c>
      <c r="CA324" s="4">
        <v>33.9</v>
      </c>
      <c r="CB324" s="6" t="s">
        <v>5</v>
      </c>
      <c r="CC324" s="4">
        <v>50.5</v>
      </c>
      <c r="CD324" s="4">
        <v>34.9</v>
      </c>
      <c r="CE324" s="6">
        <v>51.5</v>
      </c>
      <c r="CF324" s="16" t="s">
        <v>5</v>
      </c>
      <c r="CG324" s="5">
        <v>7.5</v>
      </c>
      <c r="CH324" s="41">
        <v>3</v>
      </c>
    </row>
    <row r="325" spans="2:86">
      <c r="B325" s="78" t="s">
        <v>145</v>
      </c>
      <c r="C325" s="79" t="s">
        <v>331</v>
      </c>
      <c r="D325" s="80" t="s">
        <v>331</v>
      </c>
      <c r="E325" s="1" t="s">
        <v>6</v>
      </c>
      <c r="F325" s="6">
        <v>185</v>
      </c>
      <c r="G325" s="4">
        <v>54.4</v>
      </c>
      <c r="H325" s="3" t="str">
        <f t="shared" si="24"/>
        <v>WT7X185</v>
      </c>
      <c r="I325" s="7">
        <v>8.9600000000000009</v>
      </c>
      <c r="J325" s="5">
        <v>9</v>
      </c>
      <c r="K325" s="6" t="s">
        <v>5</v>
      </c>
      <c r="L325" s="6" t="s">
        <v>5</v>
      </c>
      <c r="M325" s="6" t="s">
        <v>5</v>
      </c>
      <c r="N325" s="4">
        <v>16.5</v>
      </c>
      <c r="O325" s="5">
        <v>16.5</v>
      </c>
      <c r="P325" s="5" t="s">
        <v>5</v>
      </c>
      <c r="Q325" s="6" t="s">
        <v>5</v>
      </c>
      <c r="R325" s="6" t="s">
        <v>5</v>
      </c>
      <c r="S325" s="7">
        <v>1.66</v>
      </c>
      <c r="T325" s="5">
        <v>1.6875</v>
      </c>
      <c r="U325" s="8">
        <v>0.8125</v>
      </c>
      <c r="V325" s="7">
        <v>2.66</v>
      </c>
      <c r="W325" s="8">
        <v>2.6875</v>
      </c>
      <c r="X325" s="7">
        <v>2.66</v>
      </c>
      <c r="Y325" s="6" t="s">
        <v>5</v>
      </c>
      <c r="Z325" s="6" t="s">
        <v>5</v>
      </c>
      <c r="AA325" s="7">
        <v>3.26</v>
      </c>
      <c r="AB325" s="8">
        <v>3.9375</v>
      </c>
      <c r="AC325" s="8" t="s">
        <v>5</v>
      </c>
      <c r="AD325" s="6" t="s">
        <v>5</v>
      </c>
      <c r="AE325" s="7">
        <v>2.19</v>
      </c>
      <c r="AF325" s="6" t="s">
        <v>5</v>
      </c>
      <c r="AG325" s="6" t="s">
        <v>5</v>
      </c>
      <c r="AH325" s="7">
        <v>1.65</v>
      </c>
      <c r="AI325" s="7">
        <v>3.1</v>
      </c>
      <c r="AJ325" s="6" t="s">
        <v>5</v>
      </c>
      <c r="AK325" s="6" t="s">
        <v>5</v>
      </c>
      <c r="AL325" s="6" t="s">
        <v>5</v>
      </c>
      <c r="AM325" s="6" t="s">
        <v>5</v>
      </c>
      <c r="AN325" s="7">
        <v>5.4</v>
      </c>
      <c r="AO325" s="6">
        <v>229</v>
      </c>
      <c r="AP325" s="4">
        <v>74.400000000000006</v>
      </c>
      <c r="AQ325" s="4">
        <v>33.9</v>
      </c>
      <c r="AR325" s="7">
        <v>2.0499999999999998</v>
      </c>
      <c r="AS325" s="6">
        <v>994</v>
      </c>
      <c r="AT325" s="6">
        <v>185</v>
      </c>
      <c r="AU325" s="6">
        <v>121</v>
      </c>
      <c r="AV325" s="7">
        <v>4.2699999999999996</v>
      </c>
      <c r="AW325" s="6" t="s">
        <v>5</v>
      </c>
      <c r="AX325" s="6" t="s">
        <v>5</v>
      </c>
      <c r="AY325" s="6" t="s">
        <v>5</v>
      </c>
      <c r="AZ325" s="6">
        <v>110</v>
      </c>
      <c r="BA325" s="6">
        <v>640</v>
      </c>
      <c r="BB325" s="6" t="s">
        <v>5</v>
      </c>
      <c r="BC325" s="6" t="s">
        <v>5</v>
      </c>
      <c r="BD325" s="6" t="s">
        <v>5</v>
      </c>
      <c r="BE325" s="6" t="s">
        <v>5</v>
      </c>
      <c r="BF325" s="6" t="s">
        <v>5</v>
      </c>
      <c r="BG325" s="6" t="s">
        <v>5</v>
      </c>
      <c r="BH325" s="6" t="s">
        <v>5</v>
      </c>
      <c r="BI325" s="7">
        <v>4.82</v>
      </c>
      <c r="BJ325" s="22">
        <v>0.96799999999999997</v>
      </c>
      <c r="BK325" s="6" t="s">
        <v>5</v>
      </c>
      <c r="BL325" s="2" t="s">
        <v>5</v>
      </c>
      <c r="BM325" s="2" t="s">
        <v>5</v>
      </c>
      <c r="BN325" s="2" t="s">
        <v>5</v>
      </c>
      <c r="BO325" s="2" t="s">
        <v>5</v>
      </c>
      <c r="BP325" s="2" t="s">
        <v>5</v>
      </c>
      <c r="BQ325" s="2" t="s">
        <v>5</v>
      </c>
      <c r="BR325" s="2" t="s">
        <v>5</v>
      </c>
      <c r="BS325" s="2" t="s">
        <v>5</v>
      </c>
      <c r="BT325" s="2" t="s">
        <v>5</v>
      </c>
      <c r="BU325" s="2" t="s">
        <v>5</v>
      </c>
      <c r="BV325" s="2" t="s">
        <v>5</v>
      </c>
      <c r="BW325" s="2" t="s">
        <v>5</v>
      </c>
      <c r="BX325" s="2" t="s">
        <v>5</v>
      </c>
      <c r="BY325" s="25" t="s">
        <v>5</v>
      </c>
      <c r="BZ325" s="25" t="s">
        <v>5</v>
      </c>
      <c r="CA325" s="4">
        <v>33.4</v>
      </c>
      <c r="CB325" s="6" t="s">
        <v>5</v>
      </c>
      <c r="CC325" s="4">
        <v>49.9</v>
      </c>
      <c r="CD325" s="4">
        <v>34.4</v>
      </c>
      <c r="CE325" s="4">
        <v>50.9</v>
      </c>
      <c r="CF325" s="16" t="s">
        <v>5</v>
      </c>
      <c r="CG325" s="5">
        <v>7.5</v>
      </c>
      <c r="CH325" s="41">
        <v>3</v>
      </c>
    </row>
    <row r="326" spans="2:86">
      <c r="B326" s="78" t="s">
        <v>145</v>
      </c>
      <c r="C326" s="79" t="s">
        <v>332</v>
      </c>
      <c r="D326" s="80" t="s">
        <v>332</v>
      </c>
      <c r="E326" s="1" t="s">
        <v>6</v>
      </c>
      <c r="F326" s="6">
        <v>171</v>
      </c>
      <c r="G326" s="4">
        <v>50.3</v>
      </c>
      <c r="H326" s="3" t="str">
        <f t="shared" si="24"/>
        <v>WT7X171</v>
      </c>
      <c r="I326" s="7">
        <v>8.77</v>
      </c>
      <c r="J326" s="5">
        <v>8.75</v>
      </c>
      <c r="K326" s="6" t="s">
        <v>5</v>
      </c>
      <c r="L326" s="6" t="s">
        <v>5</v>
      </c>
      <c r="M326" s="6" t="s">
        <v>5</v>
      </c>
      <c r="N326" s="4">
        <v>16.399999999999999</v>
      </c>
      <c r="O326" s="5">
        <v>16.375</v>
      </c>
      <c r="P326" s="5" t="s">
        <v>5</v>
      </c>
      <c r="Q326" s="6" t="s">
        <v>5</v>
      </c>
      <c r="R326" s="6" t="s">
        <v>5</v>
      </c>
      <c r="S326" s="7">
        <v>1.54</v>
      </c>
      <c r="T326" s="5">
        <v>1.5625</v>
      </c>
      <c r="U326" s="8">
        <v>0.8125</v>
      </c>
      <c r="V326" s="7">
        <v>2.4700000000000002</v>
      </c>
      <c r="W326" s="8">
        <v>2.5</v>
      </c>
      <c r="X326" s="7">
        <v>2.4700000000000002</v>
      </c>
      <c r="Y326" s="6" t="s">
        <v>5</v>
      </c>
      <c r="Z326" s="6" t="s">
        <v>5</v>
      </c>
      <c r="AA326" s="7">
        <v>3.07</v>
      </c>
      <c r="AB326" s="8">
        <v>3.75</v>
      </c>
      <c r="AC326" s="8" t="s">
        <v>5</v>
      </c>
      <c r="AD326" s="6" t="s">
        <v>5</v>
      </c>
      <c r="AE326" s="7">
        <v>2.09</v>
      </c>
      <c r="AF326" s="6" t="s">
        <v>5</v>
      </c>
      <c r="AG326" s="6" t="s">
        <v>5</v>
      </c>
      <c r="AH326" s="7">
        <v>1.54</v>
      </c>
      <c r="AI326" s="7">
        <v>3.31</v>
      </c>
      <c r="AJ326" s="6" t="s">
        <v>5</v>
      </c>
      <c r="AK326" s="6" t="s">
        <v>5</v>
      </c>
      <c r="AL326" s="6" t="s">
        <v>5</v>
      </c>
      <c r="AM326" s="6" t="s">
        <v>5</v>
      </c>
      <c r="AN326" s="7">
        <v>5.69</v>
      </c>
      <c r="AO326" s="6">
        <v>203</v>
      </c>
      <c r="AP326" s="4">
        <v>66.2</v>
      </c>
      <c r="AQ326" s="4">
        <v>30.4</v>
      </c>
      <c r="AR326" s="7">
        <v>2.0099999999999998</v>
      </c>
      <c r="AS326" s="6">
        <v>903</v>
      </c>
      <c r="AT326" s="6">
        <v>169</v>
      </c>
      <c r="AU326" s="6">
        <v>110</v>
      </c>
      <c r="AV326" s="7">
        <v>4.24</v>
      </c>
      <c r="AW326" s="6" t="s">
        <v>5</v>
      </c>
      <c r="AX326" s="6" t="s">
        <v>5</v>
      </c>
      <c r="AY326" s="6" t="s">
        <v>5</v>
      </c>
      <c r="AZ326" s="4">
        <v>88.3</v>
      </c>
      <c r="BA326" s="6">
        <v>502</v>
      </c>
      <c r="BB326" s="6" t="s">
        <v>5</v>
      </c>
      <c r="BC326" s="6" t="s">
        <v>5</v>
      </c>
      <c r="BD326" s="6" t="s">
        <v>5</v>
      </c>
      <c r="BE326" s="6" t="s">
        <v>5</v>
      </c>
      <c r="BF326" s="6" t="s">
        <v>5</v>
      </c>
      <c r="BG326" s="6" t="s">
        <v>5</v>
      </c>
      <c r="BH326" s="6" t="s">
        <v>5</v>
      </c>
      <c r="BI326" s="7">
        <v>4.7699999999999996</v>
      </c>
      <c r="BJ326" s="22">
        <v>0.96799999999999997</v>
      </c>
      <c r="BK326" s="6" t="s">
        <v>5</v>
      </c>
      <c r="BL326" s="2" t="s">
        <v>5</v>
      </c>
      <c r="BM326" s="2" t="s">
        <v>5</v>
      </c>
      <c r="BN326" s="2" t="s">
        <v>5</v>
      </c>
      <c r="BO326" s="2" t="s">
        <v>5</v>
      </c>
      <c r="BP326" s="2" t="s">
        <v>5</v>
      </c>
      <c r="BQ326" s="2" t="s">
        <v>5</v>
      </c>
      <c r="BR326" s="2" t="s">
        <v>5</v>
      </c>
      <c r="BS326" s="2" t="s">
        <v>5</v>
      </c>
      <c r="BT326" s="2" t="s">
        <v>5</v>
      </c>
      <c r="BU326" s="2" t="s">
        <v>5</v>
      </c>
      <c r="BV326" s="2" t="s">
        <v>5</v>
      </c>
      <c r="BW326" s="2" t="s">
        <v>5</v>
      </c>
      <c r="BX326" s="2" t="s">
        <v>5</v>
      </c>
      <c r="BY326" s="25" t="s">
        <v>5</v>
      </c>
      <c r="BZ326" s="25" t="s">
        <v>5</v>
      </c>
      <c r="CA326" s="4">
        <v>32.9</v>
      </c>
      <c r="CB326" s="6" t="s">
        <v>5</v>
      </c>
      <c r="CC326" s="4">
        <v>49.3</v>
      </c>
      <c r="CD326" s="4">
        <v>33.9</v>
      </c>
      <c r="CE326" s="4">
        <v>50.3</v>
      </c>
      <c r="CF326" s="16" t="s">
        <v>5</v>
      </c>
      <c r="CG326" s="5">
        <v>7.5</v>
      </c>
      <c r="CH326" s="41">
        <v>3</v>
      </c>
    </row>
    <row r="327" spans="2:86">
      <c r="B327" s="78" t="s">
        <v>145</v>
      </c>
      <c r="C327" s="79" t="s">
        <v>333</v>
      </c>
      <c r="D327" s="80" t="s">
        <v>333</v>
      </c>
      <c r="E327" s="1" t="s">
        <v>6</v>
      </c>
      <c r="F327" s="6">
        <v>155.5</v>
      </c>
      <c r="G327" s="4">
        <v>45.7</v>
      </c>
      <c r="H327" s="3" t="str">
        <f t="shared" si="24"/>
        <v>WT7X155.5</v>
      </c>
      <c r="I327" s="7">
        <v>8.56</v>
      </c>
      <c r="J327" s="5">
        <v>8.5</v>
      </c>
      <c r="K327" s="6" t="s">
        <v>5</v>
      </c>
      <c r="L327" s="6" t="s">
        <v>5</v>
      </c>
      <c r="M327" s="6" t="s">
        <v>5</v>
      </c>
      <c r="N327" s="4">
        <v>16.2</v>
      </c>
      <c r="O327" s="5">
        <v>16.25</v>
      </c>
      <c r="P327" s="5" t="s">
        <v>5</v>
      </c>
      <c r="Q327" s="6" t="s">
        <v>5</v>
      </c>
      <c r="R327" s="6" t="s">
        <v>5</v>
      </c>
      <c r="S327" s="7">
        <v>1.41</v>
      </c>
      <c r="T327" s="5">
        <v>1.4375</v>
      </c>
      <c r="U327" s="8">
        <v>0.75</v>
      </c>
      <c r="V327" s="7">
        <v>2.2599999999999998</v>
      </c>
      <c r="W327" s="8">
        <v>2.25</v>
      </c>
      <c r="X327" s="7">
        <v>2.2599999999999998</v>
      </c>
      <c r="Y327" s="6" t="s">
        <v>5</v>
      </c>
      <c r="Z327" s="6" t="s">
        <v>5</v>
      </c>
      <c r="AA327" s="7">
        <v>2.86</v>
      </c>
      <c r="AB327" s="8">
        <v>3.5625</v>
      </c>
      <c r="AC327" s="8" t="s">
        <v>5</v>
      </c>
      <c r="AD327" s="6" t="s">
        <v>5</v>
      </c>
      <c r="AE327" s="7">
        <v>1.97</v>
      </c>
      <c r="AF327" s="6" t="s">
        <v>5</v>
      </c>
      <c r="AG327" s="6" t="s">
        <v>5</v>
      </c>
      <c r="AH327" s="7">
        <v>1.41</v>
      </c>
      <c r="AI327" s="7">
        <v>3.59</v>
      </c>
      <c r="AJ327" s="6" t="s">
        <v>5</v>
      </c>
      <c r="AK327" s="6" t="s">
        <v>5</v>
      </c>
      <c r="AL327" s="6" t="s">
        <v>5</v>
      </c>
      <c r="AM327" s="6" t="s">
        <v>5</v>
      </c>
      <c r="AN327" s="7">
        <v>6.07</v>
      </c>
      <c r="AO327" s="6">
        <v>176</v>
      </c>
      <c r="AP327" s="4">
        <v>57.7</v>
      </c>
      <c r="AQ327" s="4">
        <v>26.7</v>
      </c>
      <c r="AR327" s="7">
        <v>1.96</v>
      </c>
      <c r="AS327" s="6">
        <v>807</v>
      </c>
      <c r="AT327" s="6">
        <v>152</v>
      </c>
      <c r="AU327" s="4">
        <v>99.4</v>
      </c>
      <c r="AV327" s="7">
        <v>4.2</v>
      </c>
      <c r="AW327" s="6" t="s">
        <v>5</v>
      </c>
      <c r="AX327" s="6" t="s">
        <v>5</v>
      </c>
      <c r="AY327" s="6" t="s">
        <v>5</v>
      </c>
      <c r="AZ327" s="4">
        <v>67.5</v>
      </c>
      <c r="BA327" s="6">
        <v>375</v>
      </c>
      <c r="BB327" s="6" t="s">
        <v>5</v>
      </c>
      <c r="BC327" s="6" t="s">
        <v>5</v>
      </c>
      <c r="BD327" s="6" t="s">
        <v>5</v>
      </c>
      <c r="BE327" s="6" t="s">
        <v>5</v>
      </c>
      <c r="BF327" s="6" t="s">
        <v>5</v>
      </c>
      <c r="BG327" s="6" t="s">
        <v>5</v>
      </c>
      <c r="BH327" s="6" t="s">
        <v>5</v>
      </c>
      <c r="BI327" s="7">
        <v>4.71</v>
      </c>
      <c r="BJ327" s="22">
        <v>0.96899999999999997</v>
      </c>
      <c r="BK327" s="6" t="s">
        <v>5</v>
      </c>
      <c r="BL327" s="2" t="s">
        <v>5</v>
      </c>
      <c r="BM327" s="2" t="s">
        <v>5</v>
      </c>
      <c r="BN327" s="2" t="s">
        <v>5</v>
      </c>
      <c r="BO327" s="2" t="s">
        <v>5</v>
      </c>
      <c r="BP327" s="2" t="s">
        <v>5</v>
      </c>
      <c r="BQ327" s="2" t="s">
        <v>5</v>
      </c>
      <c r="BR327" s="2" t="s">
        <v>5</v>
      </c>
      <c r="BS327" s="2" t="s">
        <v>5</v>
      </c>
      <c r="BT327" s="2" t="s">
        <v>5</v>
      </c>
      <c r="BU327" s="2" t="s">
        <v>5</v>
      </c>
      <c r="BV327" s="2" t="s">
        <v>5</v>
      </c>
      <c r="BW327" s="2" t="s">
        <v>5</v>
      </c>
      <c r="BX327" s="2" t="s">
        <v>5</v>
      </c>
      <c r="BY327" s="25" t="s">
        <v>5</v>
      </c>
      <c r="BZ327" s="25" t="s">
        <v>5</v>
      </c>
      <c r="CA327" s="4">
        <v>32.299999999999997</v>
      </c>
      <c r="CB327" s="6" t="s">
        <v>5</v>
      </c>
      <c r="CC327" s="4">
        <v>48.5</v>
      </c>
      <c r="CD327" s="4">
        <v>33.299999999999997</v>
      </c>
      <c r="CE327" s="4">
        <v>49.5</v>
      </c>
      <c r="CF327" s="16" t="s">
        <v>5</v>
      </c>
      <c r="CG327" s="5">
        <v>7.5</v>
      </c>
      <c r="CH327" s="41">
        <v>3</v>
      </c>
    </row>
    <row r="328" spans="2:86">
      <c r="B328" s="78" t="s">
        <v>145</v>
      </c>
      <c r="C328" s="79" t="s">
        <v>334</v>
      </c>
      <c r="D328" s="80" t="s">
        <v>334</v>
      </c>
      <c r="E328" s="1" t="s">
        <v>6</v>
      </c>
      <c r="F328" s="6">
        <v>141.5</v>
      </c>
      <c r="G328" s="4">
        <v>41.6</v>
      </c>
      <c r="H328" s="3" t="str">
        <f t="shared" si="24"/>
        <v>WT7X141.5</v>
      </c>
      <c r="I328" s="7">
        <v>8.3699999999999992</v>
      </c>
      <c r="J328" s="5">
        <v>8.375</v>
      </c>
      <c r="K328" s="6" t="s">
        <v>5</v>
      </c>
      <c r="L328" s="6" t="s">
        <v>5</v>
      </c>
      <c r="M328" s="6" t="s">
        <v>5</v>
      </c>
      <c r="N328" s="4">
        <v>16.100000000000001</v>
      </c>
      <c r="O328" s="5">
        <v>16.125</v>
      </c>
      <c r="P328" s="5" t="s">
        <v>5</v>
      </c>
      <c r="Q328" s="6" t="s">
        <v>5</v>
      </c>
      <c r="R328" s="6" t="s">
        <v>5</v>
      </c>
      <c r="S328" s="7">
        <v>1.29</v>
      </c>
      <c r="T328" s="5">
        <v>1.3125</v>
      </c>
      <c r="U328" s="8">
        <v>0.6875</v>
      </c>
      <c r="V328" s="7">
        <v>2.0699999999999998</v>
      </c>
      <c r="W328" s="8">
        <v>2.0625</v>
      </c>
      <c r="X328" s="7">
        <v>2.0699999999999998</v>
      </c>
      <c r="Y328" s="6" t="s">
        <v>5</v>
      </c>
      <c r="Z328" s="6" t="s">
        <v>5</v>
      </c>
      <c r="AA328" s="7">
        <v>2.67</v>
      </c>
      <c r="AB328" s="8">
        <v>3.375</v>
      </c>
      <c r="AC328" s="8" t="s">
        <v>5</v>
      </c>
      <c r="AD328" s="6" t="s">
        <v>5</v>
      </c>
      <c r="AE328" s="7">
        <v>1.86</v>
      </c>
      <c r="AF328" s="6" t="s">
        <v>5</v>
      </c>
      <c r="AG328" s="6" t="s">
        <v>5</v>
      </c>
      <c r="AH328" s="7">
        <v>1.29</v>
      </c>
      <c r="AI328" s="7">
        <v>3.89</v>
      </c>
      <c r="AJ328" s="6" t="s">
        <v>5</v>
      </c>
      <c r="AK328" s="6" t="s">
        <v>5</v>
      </c>
      <c r="AL328" s="6" t="s">
        <v>5</v>
      </c>
      <c r="AM328" s="6" t="s">
        <v>5</v>
      </c>
      <c r="AN328" s="7">
        <v>6.49</v>
      </c>
      <c r="AO328" s="6">
        <v>153</v>
      </c>
      <c r="AP328" s="4">
        <v>50.4</v>
      </c>
      <c r="AQ328" s="4">
        <v>23.5</v>
      </c>
      <c r="AR328" s="7">
        <v>1.92</v>
      </c>
      <c r="AS328" s="6">
        <v>722</v>
      </c>
      <c r="AT328" s="6">
        <v>137</v>
      </c>
      <c r="AU328" s="4">
        <v>89.7</v>
      </c>
      <c r="AV328" s="7">
        <v>4.17</v>
      </c>
      <c r="AW328" s="6" t="s">
        <v>5</v>
      </c>
      <c r="AX328" s="6" t="s">
        <v>5</v>
      </c>
      <c r="AY328" s="6" t="s">
        <v>5</v>
      </c>
      <c r="AZ328" s="4">
        <v>51.8</v>
      </c>
      <c r="BA328" s="6">
        <v>281</v>
      </c>
      <c r="BB328" s="6" t="s">
        <v>5</v>
      </c>
      <c r="BC328" s="6" t="s">
        <v>5</v>
      </c>
      <c r="BD328" s="6" t="s">
        <v>5</v>
      </c>
      <c r="BE328" s="6" t="s">
        <v>5</v>
      </c>
      <c r="BF328" s="6" t="s">
        <v>5</v>
      </c>
      <c r="BG328" s="6" t="s">
        <v>5</v>
      </c>
      <c r="BH328" s="6" t="s">
        <v>5</v>
      </c>
      <c r="BI328" s="7">
        <v>4.66</v>
      </c>
      <c r="BJ328" s="22">
        <v>0.96899999999999997</v>
      </c>
      <c r="BK328" s="6" t="s">
        <v>5</v>
      </c>
      <c r="BL328" s="2" t="s">
        <v>5</v>
      </c>
      <c r="BM328" s="2" t="s">
        <v>5</v>
      </c>
      <c r="BN328" s="2" t="s">
        <v>5</v>
      </c>
      <c r="BO328" s="2" t="s">
        <v>5</v>
      </c>
      <c r="BP328" s="2" t="s">
        <v>5</v>
      </c>
      <c r="BQ328" s="2" t="s">
        <v>5</v>
      </c>
      <c r="BR328" s="2" t="s">
        <v>5</v>
      </c>
      <c r="BS328" s="2" t="s">
        <v>5</v>
      </c>
      <c r="BT328" s="2" t="s">
        <v>5</v>
      </c>
      <c r="BU328" s="2" t="s">
        <v>5</v>
      </c>
      <c r="BV328" s="2" t="s">
        <v>5</v>
      </c>
      <c r="BW328" s="2" t="s">
        <v>5</v>
      </c>
      <c r="BX328" s="2" t="s">
        <v>5</v>
      </c>
      <c r="BY328" s="25" t="s">
        <v>5</v>
      </c>
      <c r="BZ328" s="25" t="s">
        <v>5</v>
      </c>
      <c r="CA328" s="4">
        <v>31.8</v>
      </c>
      <c r="CB328" s="6" t="s">
        <v>5</v>
      </c>
      <c r="CC328" s="4">
        <v>47.9</v>
      </c>
      <c r="CD328" s="4">
        <v>32.799999999999997</v>
      </c>
      <c r="CE328" s="4">
        <v>48.9</v>
      </c>
      <c r="CF328" s="16" t="s">
        <v>5</v>
      </c>
      <c r="CG328" s="5">
        <v>7.5</v>
      </c>
      <c r="CH328" s="41">
        <v>3</v>
      </c>
    </row>
    <row r="329" spans="2:86">
      <c r="B329" s="78" t="s">
        <v>145</v>
      </c>
      <c r="C329" s="79" t="s">
        <v>335</v>
      </c>
      <c r="D329" s="80" t="s">
        <v>335</v>
      </c>
      <c r="E329" s="1" t="s">
        <v>4</v>
      </c>
      <c r="F329" s="6">
        <v>128.5</v>
      </c>
      <c r="G329" s="4">
        <v>37.799999999999997</v>
      </c>
      <c r="H329" s="3" t="str">
        <f t="shared" si="24"/>
        <v>WT7X128.5</v>
      </c>
      <c r="I329" s="7">
        <v>8.19</v>
      </c>
      <c r="J329" s="5">
        <v>8.25</v>
      </c>
      <c r="K329" s="6" t="s">
        <v>5</v>
      </c>
      <c r="L329" s="6" t="s">
        <v>5</v>
      </c>
      <c r="M329" s="6" t="s">
        <v>5</v>
      </c>
      <c r="N329" s="4">
        <v>16</v>
      </c>
      <c r="O329" s="5">
        <v>16</v>
      </c>
      <c r="P329" s="5" t="s">
        <v>5</v>
      </c>
      <c r="Q329" s="6" t="s">
        <v>5</v>
      </c>
      <c r="R329" s="6" t="s">
        <v>5</v>
      </c>
      <c r="S329" s="7">
        <v>1.18</v>
      </c>
      <c r="T329" s="5">
        <v>1.1875</v>
      </c>
      <c r="U329" s="8">
        <v>0.625</v>
      </c>
      <c r="V329" s="7">
        <v>1.89</v>
      </c>
      <c r="W329" s="8">
        <v>1.875</v>
      </c>
      <c r="X329" s="7">
        <v>1.89</v>
      </c>
      <c r="Y329" s="6" t="s">
        <v>5</v>
      </c>
      <c r="Z329" s="6" t="s">
        <v>5</v>
      </c>
      <c r="AA329" s="7">
        <v>2.4900000000000002</v>
      </c>
      <c r="AB329" s="8">
        <v>3.1875</v>
      </c>
      <c r="AC329" s="8" t="s">
        <v>5</v>
      </c>
      <c r="AD329" s="6" t="s">
        <v>5</v>
      </c>
      <c r="AE329" s="7">
        <v>1.75</v>
      </c>
      <c r="AF329" s="6" t="s">
        <v>5</v>
      </c>
      <c r="AG329" s="6" t="s">
        <v>5</v>
      </c>
      <c r="AH329" s="7">
        <v>1.18</v>
      </c>
      <c r="AI329" s="7">
        <v>4.2300000000000004</v>
      </c>
      <c r="AJ329" s="6" t="s">
        <v>5</v>
      </c>
      <c r="AK329" s="6" t="s">
        <v>5</v>
      </c>
      <c r="AL329" s="6" t="s">
        <v>5</v>
      </c>
      <c r="AM329" s="6" t="s">
        <v>5</v>
      </c>
      <c r="AN329" s="7">
        <v>6.94</v>
      </c>
      <c r="AO329" s="6">
        <v>133</v>
      </c>
      <c r="AP329" s="4">
        <v>43.9</v>
      </c>
      <c r="AQ329" s="4">
        <v>20.7</v>
      </c>
      <c r="AR329" s="7">
        <v>1.88</v>
      </c>
      <c r="AS329" s="6">
        <v>645</v>
      </c>
      <c r="AT329" s="6">
        <v>123</v>
      </c>
      <c r="AU329" s="4">
        <v>80.7</v>
      </c>
      <c r="AV329" s="7">
        <v>4.13</v>
      </c>
      <c r="AW329" s="6" t="s">
        <v>5</v>
      </c>
      <c r="AX329" s="6" t="s">
        <v>5</v>
      </c>
      <c r="AY329" s="6" t="s">
        <v>5</v>
      </c>
      <c r="AZ329" s="4">
        <v>39.299999999999997</v>
      </c>
      <c r="BA329" s="6">
        <v>209</v>
      </c>
      <c r="BB329" s="6" t="s">
        <v>5</v>
      </c>
      <c r="BC329" s="6" t="s">
        <v>5</v>
      </c>
      <c r="BD329" s="6" t="s">
        <v>5</v>
      </c>
      <c r="BE329" s="6" t="s">
        <v>5</v>
      </c>
      <c r="BF329" s="6" t="s">
        <v>5</v>
      </c>
      <c r="BG329" s="6" t="s">
        <v>5</v>
      </c>
      <c r="BH329" s="6" t="s">
        <v>5</v>
      </c>
      <c r="BI329" s="7">
        <v>4.6100000000000003</v>
      </c>
      <c r="BJ329" s="22">
        <v>0.96899999999999997</v>
      </c>
      <c r="BK329" s="6" t="s">
        <v>5</v>
      </c>
      <c r="BL329" s="2" t="s">
        <v>5</v>
      </c>
      <c r="BM329" s="2" t="s">
        <v>5</v>
      </c>
      <c r="BN329" s="2" t="s">
        <v>5</v>
      </c>
      <c r="BO329" s="2" t="s">
        <v>5</v>
      </c>
      <c r="BP329" s="2" t="s">
        <v>5</v>
      </c>
      <c r="BQ329" s="2" t="s">
        <v>5</v>
      </c>
      <c r="BR329" s="2" t="s">
        <v>5</v>
      </c>
      <c r="BS329" s="2" t="s">
        <v>5</v>
      </c>
      <c r="BT329" s="2" t="s">
        <v>5</v>
      </c>
      <c r="BU329" s="2" t="s">
        <v>5</v>
      </c>
      <c r="BV329" s="2" t="s">
        <v>5</v>
      </c>
      <c r="BW329" s="2" t="s">
        <v>5</v>
      </c>
      <c r="BX329" s="2" t="s">
        <v>5</v>
      </c>
      <c r="BY329" s="25" t="s">
        <v>5</v>
      </c>
      <c r="BZ329" s="25" t="s">
        <v>5</v>
      </c>
      <c r="CA329" s="4">
        <v>31.4</v>
      </c>
      <c r="CB329" s="6" t="s">
        <v>5</v>
      </c>
      <c r="CC329" s="4">
        <v>47.4</v>
      </c>
      <c r="CD329" s="4">
        <v>32.4</v>
      </c>
      <c r="CE329" s="4">
        <v>48.4</v>
      </c>
      <c r="CF329" s="16" t="s">
        <v>5</v>
      </c>
      <c r="CG329" s="5">
        <v>7.5</v>
      </c>
      <c r="CH329" s="41">
        <v>3</v>
      </c>
    </row>
    <row r="330" spans="2:86">
      <c r="B330" s="78" t="s">
        <v>145</v>
      </c>
      <c r="C330" s="79" t="s">
        <v>336</v>
      </c>
      <c r="D330" s="80" t="s">
        <v>336</v>
      </c>
      <c r="E330" s="1" t="s">
        <v>4</v>
      </c>
      <c r="F330" s="6">
        <v>116.5</v>
      </c>
      <c r="G330" s="4">
        <v>34.200000000000003</v>
      </c>
      <c r="H330" s="3" t="str">
        <f t="shared" si="24"/>
        <v>WT7X116.5</v>
      </c>
      <c r="I330" s="7">
        <v>8.02</v>
      </c>
      <c r="J330" s="5">
        <v>8</v>
      </c>
      <c r="K330" s="6" t="s">
        <v>5</v>
      </c>
      <c r="L330" s="6" t="s">
        <v>5</v>
      </c>
      <c r="M330" s="6" t="s">
        <v>5</v>
      </c>
      <c r="N330" s="4">
        <v>15.9</v>
      </c>
      <c r="O330" s="5">
        <v>15.875</v>
      </c>
      <c r="P330" s="5" t="s">
        <v>5</v>
      </c>
      <c r="Q330" s="6" t="s">
        <v>5</v>
      </c>
      <c r="R330" s="6" t="s">
        <v>5</v>
      </c>
      <c r="S330" s="7">
        <v>1.07</v>
      </c>
      <c r="T330" s="5">
        <v>1.0625</v>
      </c>
      <c r="U330" s="8">
        <v>0.5625</v>
      </c>
      <c r="V330" s="7">
        <v>1.72</v>
      </c>
      <c r="W330" s="8">
        <v>1.75</v>
      </c>
      <c r="X330" s="7">
        <v>1.72</v>
      </c>
      <c r="Y330" s="6" t="s">
        <v>5</v>
      </c>
      <c r="Z330" s="6" t="s">
        <v>5</v>
      </c>
      <c r="AA330" s="7">
        <v>2.3199999999999998</v>
      </c>
      <c r="AB330" s="8">
        <v>3</v>
      </c>
      <c r="AC330" s="8" t="s">
        <v>5</v>
      </c>
      <c r="AD330" s="6" t="s">
        <v>5</v>
      </c>
      <c r="AE330" s="7">
        <v>1.65</v>
      </c>
      <c r="AF330" s="6" t="s">
        <v>5</v>
      </c>
      <c r="AG330" s="6" t="s">
        <v>5</v>
      </c>
      <c r="AH330" s="7">
        <v>1.08</v>
      </c>
      <c r="AI330" s="7">
        <v>4.62</v>
      </c>
      <c r="AJ330" s="6" t="s">
        <v>5</v>
      </c>
      <c r="AK330" s="6" t="s">
        <v>5</v>
      </c>
      <c r="AL330" s="6" t="s">
        <v>5</v>
      </c>
      <c r="AM330" s="6" t="s">
        <v>5</v>
      </c>
      <c r="AN330" s="7">
        <v>7.5</v>
      </c>
      <c r="AO330" s="6">
        <v>116</v>
      </c>
      <c r="AP330" s="4">
        <v>38.200000000000003</v>
      </c>
      <c r="AQ330" s="4">
        <v>18.2</v>
      </c>
      <c r="AR330" s="7">
        <v>1.84</v>
      </c>
      <c r="AS330" s="6">
        <v>576</v>
      </c>
      <c r="AT330" s="6">
        <v>110</v>
      </c>
      <c r="AU330" s="4">
        <v>72.5</v>
      </c>
      <c r="AV330" s="7">
        <v>4.0999999999999996</v>
      </c>
      <c r="AW330" s="6" t="s">
        <v>5</v>
      </c>
      <c r="AX330" s="6" t="s">
        <v>5</v>
      </c>
      <c r="AY330" s="6" t="s">
        <v>5</v>
      </c>
      <c r="AZ330" s="4">
        <v>29.6</v>
      </c>
      <c r="BA330" s="6">
        <v>154</v>
      </c>
      <c r="BB330" s="6" t="s">
        <v>5</v>
      </c>
      <c r="BC330" s="6" t="s">
        <v>5</v>
      </c>
      <c r="BD330" s="6" t="s">
        <v>5</v>
      </c>
      <c r="BE330" s="6" t="s">
        <v>5</v>
      </c>
      <c r="BF330" s="6" t="s">
        <v>5</v>
      </c>
      <c r="BG330" s="6" t="s">
        <v>5</v>
      </c>
      <c r="BH330" s="6" t="s">
        <v>5</v>
      </c>
      <c r="BI330" s="7">
        <v>4.57</v>
      </c>
      <c r="BJ330" s="22">
        <v>0.97</v>
      </c>
      <c r="BK330" s="6" t="s">
        <v>5</v>
      </c>
      <c r="BL330" s="2" t="s">
        <v>5</v>
      </c>
      <c r="BM330" s="2" t="s">
        <v>5</v>
      </c>
      <c r="BN330" s="2" t="s">
        <v>5</v>
      </c>
      <c r="BO330" s="2" t="s">
        <v>5</v>
      </c>
      <c r="BP330" s="2" t="s">
        <v>5</v>
      </c>
      <c r="BQ330" s="2" t="s">
        <v>5</v>
      </c>
      <c r="BR330" s="2" t="s">
        <v>5</v>
      </c>
      <c r="BS330" s="2" t="s">
        <v>5</v>
      </c>
      <c r="BT330" s="2" t="s">
        <v>5</v>
      </c>
      <c r="BU330" s="2" t="s">
        <v>5</v>
      </c>
      <c r="BV330" s="2" t="s">
        <v>5</v>
      </c>
      <c r="BW330" s="2" t="s">
        <v>5</v>
      </c>
      <c r="BX330" s="2" t="s">
        <v>5</v>
      </c>
      <c r="BY330" s="25" t="s">
        <v>5</v>
      </c>
      <c r="BZ330" s="25" t="s">
        <v>5</v>
      </c>
      <c r="CA330" s="4">
        <v>30.9</v>
      </c>
      <c r="CB330" s="6" t="s">
        <v>5</v>
      </c>
      <c r="CC330" s="4">
        <v>46.8</v>
      </c>
      <c r="CD330" s="4">
        <v>31.9</v>
      </c>
      <c r="CE330" s="4">
        <v>47.8</v>
      </c>
      <c r="CF330" s="16" t="s">
        <v>5</v>
      </c>
      <c r="CG330" s="5">
        <v>7.5</v>
      </c>
      <c r="CH330" s="41">
        <v>3</v>
      </c>
    </row>
    <row r="331" spans="2:86">
      <c r="B331" s="78" t="s">
        <v>145</v>
      </c>
      <c r="C331" s="79" t="s">
        <v>337</v>
      </c>
      <c r="D331" s="80" t="s">
        <v>337</v>
      </c>
      <c r="E331" s="1" t="s">
        <v>4</v>
      </c>
      <c r="F331" s="6">
        <v>105.5</v>
      </c>
      <c r="G331" s="4">
        <v>31</v>
      </c>
      <c r="H331" s="3" t="str">
        <f t="shared" si="24"/>
        <v>WT7X105.5</v>
      </c>
      <c r="I331" s="7">
        <v>7.86</v>
      </c>
      <c r="J331" s="5">
        <v>7.875</v>
      </c>
      <c r="K331" s="6" t="s">
        <v>5</v>
      </c>
      <c r="L331" s="6" t="s">
        <v>5</v>
      </c>
      <c r="M331" s="6" t="s">
        <v>5</v>
      </c>
      <c r="N331" s="4">
        <v>15.8</v>
      </c>
      <c r="O331" s="5">
        <v>15.75</v>
      </c>
      <c r="P331" s="5" t="s">
        <v>5</v>
      </c>
      <c r="Q331" s="6" t="s">
        <v>5</v>
      </c>
      <c r="R331" s="6" t="s">
        <v>5</v>
      </c>
      <c r="S331" s="22">
        <v>0.98</v>
      </c>
      <c r="T331" s="5">
        <v>1</v>
      </c>
      <c r="U331" s="8">
        <v>0.5</v>
      </c>
      <c r="V331" s="7">
        <v>1.56</v>
      </c>
      <c r="W331" s="8">
        <v>1.5625</v>
      </c>
      <c r="X331" s="7">
        <v>1.56</v>
      </c>
      <c r="Y331" s="6" t="s">
        <v>5</v>
      </c>
      <c r="Z331" s="6" t="s">
        <v>5</v>
      </c>
      <c r="AA331" s="7">
        <v>2.16</v>
      </c>
      <c r="AB331" s="8">
        <v>2.875</v>
      </c>
      <c r="AC331" s="8" t="s">
        <v>5</v>
      </c>
      <c r="AD331" s="6" t="s">
        <v>5</v>
      </c>
      <c r="AE331" s="7">
        <v>1.57</v>
      </c>
      <c r="AF331" s="6" t="s">
        <v>5</v>
      </c>
      <c r="AG331" s="6" t="s">
        <v>5</v>
      </c>
      <c r="AH331" s="22">
        <v>0.98</v>
      </c>
      <c r="AI331" s="7">
        <v>5.0599999999999996</v>
      </c>
      <c r="AJ331" s="6" t="s">
        <v>5</v>
      </c>
      <c r="AK331" s="6" t="s">
        <v>5</v>
      </c>
      <c r="AL331" s="6" t="s">
        <v>5</v>
      </c>
      <c r="AM331" s="6" t="s">
        <v>5</v>
      </c>
      <c r="AN331" s="7">
        <v>8.02</v>
      </c>
      <c r="AO331" s="6">
        <v>102</v>
      </c>
      <c r="AP331" s="4">
        <v>33.4</v>
      </c>
      <c r="AQ331" s="4">
        <v>16.2</v>
      </c>
      <c r="AR331" s="7">
        <v>1.81</v>
      </c>
      <c r="AS331" s="6">
        <v>513</v>
      </c>
      <c r="AT331" s="4">
        <v>98.9</v>
      </c>
      <c r="AU331" s="4">
        <v>65</v>
      </c>
      <c r="AV331" s="7">
        <v>4.07</v>
      </c>
      <c r="AW331" s="6" t="s">
        <v>5</v>
      </c>
      <c r="AX331" s="6" t="s">
        <v>5</v>
      </c>
      <c r="AY331" s="6" t="s">
        <v>5</v>
      </c>
      <c r="AZ331" s="4">
        <v>22.2</v>
      </c>
      <c r="BA331" s="6">
        <v>113</v>
      </c>
      <c r="BB331" s="6" t="s">
        <v>5</v>
      </c>
      <c r="BC331" s="6" t="s">
        <v>5</v>
      </c>
      <c r="BD331" s="6" t="s">
        <v>5</v>
      </c>
      <c r="BE331" s="6" t="s">
        <v>5</v>
      </c>
      <c r="BF331" s="6" t="s">
        <v>5</v>
      </c>
      <c r="BG331" s="6" t="s">
        <v>5</v>
      </c>
      <c r="BH331" s="6" t="s">
        <v>5</v>
      </c>
      <c r="BI331" s="7">
        <v>4.5199999999999996</v>
      </c>
      <c r="BJ331" s="22">
        <v>0.97</v>
      </c>
      <c r="BK331" s="6" t="s">
        <v>5</v>
      </c>
      <c r="BL331" s="2" t="s">
        <v>5</v>
      </c>
      <c r="BM331" s="2" t="s">
        <v>5</v>
      </c>
      <c r="BN331" s="2" t="s">
        <v>5</v>
      </c>
      <c r="BO331" s="2" t="s">
        <v>5</v>
      </c>
      <c r="BP331" s="2" t="s">
        <v>5</v>
      </c>
      <c r="BQ331" s="2" t="s">
        <v>5</v>
      </c>
      <c r="BR331" s="2" t="s">
        <v>5</v>
      </c>
      <c r="BS331" s="2" t="s">
        <v>5</v>
      </c>
      <c r="BT331" s="2" t="s">
        <v>5</v>
      </c>
      <c r="BU331" s="2" t="s">
        <v>5</v>
      </c>
      <c r="BV331" s="2" t="s">
        <v>5</v>
      </c>
      <c r="BW331" s="2" t="s">
        <v>5</v>
      </c>
      <c r="BX331" s="2" t="s">
        <v>5</v>
      </c>
      <c r="BY331" s="25" t="s">
        <v>5</v>
      </c>
      <c r="BZ331" s="25" t="s">
        <v>5</v>
      </c>
      <c r="CA331" s="4">
        <v>30.5</v>
      </c>
      <c r="CB331" s="6" t="s">
        <v>5</v>
      </c>
      <c r="CC331" s="4">
        <v>46.3</v>
      </c>
      <c r="CD331" s="4">
        <v>31.5</v>
      </c>
      <c r="CE331" s="4">
        <v>47.3</v>
      </c>
      <c r="CF331" s="16" t="s">
        <v>5</v>
      </c>
      <c r="CG331" s="5">
        <v>7.5</v>
      </c>
      <c r="CH331" s="41">
        <v>3</v>
      </c>
    </row>
    <row r="332" spans="2:86">
      <c r="B332" s="78" t="s">
        <v>145</v>
      </c>
      <c r="C332" s="79" t="s">
        <v>338</v>
      </c>
      <c r="D332" s="80" t="s">
        <v>338</v>
      </c>
      <c r="E332" s="1" t="s">
        <v>4</v>
      </c>
      <c r="F332" s="4">
        <v>96.5</v>
      </c>
      <c r="G332" s="4">
        <v>28.4</v>
      </c>
      <c r="H332" s="3" t="str">
        <f t="shared" si="24"/>
        <v>WT7X96.5</v>
      </c>
      <c r="I332" s="7">
        <v>7.74</v>
      </c>
      <c r="J332" s="5">
        <v>7.75</v>
      </c>
      <c r="K332" s="6" t="s">
        <v>5</v>
      </c>
      <c r="L332" s="6" t="s">
        <v>5</v>
      </c>
      <c r="M332" s="6" t="s">
        <v>5</v>
      </c>
      <c r="N332" s="4">
        <v>15.7</v>
      </c>
      <c r="O332" s="5">
        <v>15.75</v>
      </c>
      <c r="P332" s="5" t="s">
        <v>5</v>
      </c>
      <c r="Q332" s="6" t="s">
        <v>5</v>
      </c>
      <c r="R332" s="6" t="s">
        <v>5</v>
      </c>
      <c r="S332" s="22">
        <v>0.89</v>
      </c>
      <c r="T332" s="5">
        <v>0.875</v>
      </c>
      <c r="U332" s="8">
        <v>0.4375</v>
      </c>
      <c r="V332" s="7">
        <v>1.44</v>
      </c>
      <c r="W332" s="8">
        <v>1.4375</v>
      </c>
      <c r="X332" s="7">
        <v>1.44</v>
      </c>
      <c r="Y332" s="6" t="s">
        <v>5</v>
      </c>
      <c r="Z332" s="6" t="s">
        <v>5</v>
      </c>
      <c r="AA332" s="7">
        <v>2.04</v>
      </c>
      <c r="AB332" s="8">
        <v>2.75</v>
      </c>
      <c r="AC332" s="8" t="s">
        <v>5</v>
      </c>
      <c r="AD332" s="6" t="s">
        <v>5</v>
      </c>
      <c r="AE332" s="7">
        <v>1.49</v>
      </c>
      <c r="AF332" s="6" t="s">
        <v>5</v>
      </c>
      <c r="AG332" s="6" t="s">
        <v>5</v>
      </c>
      <c r="AH332" s="22">
        <v>0.90300000000000002</v>
      </c>
      <c r="AI332" s="7">
        <v>5.45</v>
      </c>
      <c r="AJ332" s="6" t="s">
        <v>5</v>
      </c>
      <c r="AK332" s="6" t="s">
        <v>5</v>
      </c>
      <c r="AL332" s="6" t="s">
        <v>5</v>
      </c>
      <c r="AM332" s="6" t="s">
        <v>5</v>
      </c>
      <c r="AN332" s="7">
        <v>8.6999999999999993</v>
      </c>
      <c r="AO332" s="4">
        <v>89.8</v>
      </c>
      <c r="AP332" s="4">
        <v>29.4</v>
      </c>
      <c r="AQ332" s="4">
        <v>14.4</v>
      </c>
      <c r="AR332" s="7">
        <v>1.78</v>
      </c>
      <c r="AS332" s="6">
        <v>466</v>
      </c>
      <c r="AT332" s="4">
        <v>90.1</v>
      </c>
      <c r="AU332" s="4">
        <v>59.3</v>
      </c>
      <c r="AV332" s="7">
        <v>4.05</v>
      </c>
      <c r="AW332" s="6" t="s">
        <v>5</v>
      </c>
      <c r="AX332" s="6" t="s">
        <v>5</v>
      </c>
      <c r="AY332" s="6" t="s">
        <v>5</v>
      </c>
      <c r="AZ332" s="4">
        <v>17.3</v>
      </c>
      <c r="BA332" s="4">
        <v>87.2</v>
      </c>
      <c r="BB332" s="6" t="s">
        <v>5</v>
      </c>
      <c r="BC332" s="6" t="s">
        <v>5</v>
      </c>
      <c r="BD332" s="6" t="s">
        <v>5</v>
      </c>
      <c r="BE332" s="6" t="s">
        <v>5</v>
      </c>
      <c r="BF332" s="6" t="s">
        <v>5</v>
      </c>
      <c r="BG332" s="6" t="s">
        <v>5</v>
      </c>
      <c r="BH332" s="6" t="s">
        <v>5</v>
      </c>
      <c r="BI332" s="7">
        <v>4.49</v>
      </c>
      <c r="BJ332" s="22">
        <v>0.97099999999999997</v>
      </c>
      <c r="BK332" s="6" t="s">
        <v>5</v>
      </c>
      <c r="BL332" s="2" t="s">
        <v>5</v>
      </c>
      <c r="BM332" s="2" t="s">
        <v>5</v>
      </c>
      <c r="BN332" s="2" t="s">
        <v>5</v>
      </c>
      <c r="BO332" s="2" t="s">
        <v>5</v>
      </c>
      <c r="BP332" s="2" t="s">
        <v>5</v>
      </c>
      <c r="BQ332" s="2" t="s">
        <v>5</v>
      </c>
      <c r="BR332" s="2" t="s">
        <v>5</v>
      </c>
      <c r="BS332" s="2" t="s">
        <v>5</v>
      </c>
      <c r="BT332" s="2" t="s">
        <v>5</v>
      </c>
      <c r="BU332" s="2" t="s">
        <v>5</v>
      </c>
      <c r="BV332" s="2" t="s">
        <v>5</v>
      </c>
      <c r="BW332" s="2" t="s">
        <v>5</v>
      </c>
      <c r="BX332" s="2" t="s">
        <v>5</v>
      </c>
      <c r="BY332" s="25" t="s">
        <v>5</v>
      </c>
      <c r="BZ332" s="25" t="s">
        <v>5</v>
      </c>
      <c r="CA332" s="4">
        <v>30.2</v>
      </c>
      <c r="CB332" s="6" t="s">
        <v>5</v>
      </c>
      <c r="CC332" s="4">
        <v>45.9</v>
      </c>
      <c r="CD332" s="4">
        <v>31.2</v>
      </c>
      <c r="CE332" s="4">
        <v>46.9</v>
      </c>
      <c r="CF332" s="16" t="s">
        <v>5</v>
      </c>
      <c r="CG332" s="5">
        <v>7.5</v>
      </c>
      <c r="CH332" s="41">
        <v>3</v>
      </c>
    </row>
    <row r="333" spans="2:86">
      <c r="B333" s="78" t="s">
        <v>145</v>
      </c>
      <c r="C333" s="79" t="s">
        <v>339</v>
      </c>
      <c r="D333" s="80" t="s">
        <v>339</v>
      </c>
      <c r="E333" s="1" t="s">
        <v>4</v>
      </c>
      <c r="F333" s="4">
        <v>88</v>
      </c>
      <c r="G333" s="4">
        <v>25.9</v>
      </c>
      <c r="H333" s="3" t="str">
        <f t="shared" si="24"/>
        <v>WT7X88</v>
      </c>
      <c r="I333" s="7">
        <v>7.61</v>
      </c>
      <c r="J333" s="5">
        <v>7.625</v>
      </c>
      <c r="K333" s="6" t="s">
        <v>5</v>
      </c>
      <c r="L333" s="6" t="s">
        <v>5</v>
      </c>
      <c r="M333" s="6" t="s">
        <v>5</v>
      </c>
      <c r="N333" s="4">
        <v>15.7</v>
      </c>
      <c r="O333" s="5">
        <v>15.625</v>
      </c>
      <c r="P333" s="5" t="s">
        <v>5</v>
      </c>
      <c r="Q333" s="6" t="s">
        <v>5</v>
      </c>
      <c r="R333" s="6" t="s">
        <v>5</v>
      </c>
      <c r="S333" s="22">
        <v>0.83</v>
      </c>
      <c r="T333" s="5">
        <v>0.8125</v>
      </c>
      <c r="U333" s="8">
        <v>0.4375</v>
      </c>
      <c r="V333" s="7">
        <v>1.31</v>
      </c>
      <c r="W333" s="8">
        <v>1.3125</v>
      </c>
      <c r="X333" s="7">
        <v>1.31</v>
      </c>
      <c r="Y333" s="6" t="s">
        <v>5</v>
      </c>
      <c r="Z333" s="6" t="s">
        <v>5</v>
      </c>
      <c r="AA333" s="7">
        <v>1.91</v>
      </c>
      <c r="AB333" s="8">
        <v>2.625</v>
      </c>
      <c r="AC333" s="8" t="s">
        <v>5</v>
      </c>
      <c r="AD333" s="6" t="s">
        <v>5</v>
      </c>
      <c r="AE333" s="7">
        <v>1.43</v>
      </c>
      <c r="AF333" s="6" t="s">
        <v>5</v>
      </c>
      <c r="AG333" s="6" t="s">
        <v>5</v>
      </c>
      <c r="AH333" s="22">
        <v>0.82699999999999996</v>
      </c>
      <c r="AI333" s="7">
        <v>5.97</v>
      </c>
      <c r="AJ333" s="6" t="s">
        <v>5</v>
      </c>
      <c r="AK333" s="6" t="s">
        <v>5</v>
      </c>
      <c r="AL333" s="6" t="s">
        <v>5</v>
      </c>
      <c r="AM333" s="6" t="s">
        <v>5</v>
      </c>
      <c r="AN333" s="7">
        <v>9.17</v>
      </c>
      <c r="AO333" s="4">
        <v>80.5</v>
      </c>
      <c r="AP333" s="4">
        <v>26.3</v>
      </c>
      <c r="AQ333" s="4">
        <v>13</v>
      </c>
      <c r="AR333" s="7">
        <v>1.76</v>
      </c>
      <c r="AS333" s="6">
        <v>419</v>
      </c>
      <c r="AT333" s="4">
        <v>81.3</v>
      </c>
      <c r="AU333" s="4">
        <v>53.5</v>
      </c>
      <c r="AV333" s="7">
        <v>4.0199999999999996</v>
      </c>
      <c r="AW333" s="6" t="s">
        <v>5</v>
      </c>
      <c r="AX333" s="6" t="s">
        <v>5</v>
      </c>
      <c r="AY333" s="6" t="s">
        <v>5</v>
      </c>
      <c r="AZ333" s="4">
        <v>13.2</v>
      </c>
      <c r="BA333" s="4">
        <v>65.2</v>
      </c>
      <c r="BB333" s="6" t="s">
        <v>5</v>
      </c>
      <c r="BC333" s="6" t="s">
        <v>5</v>
      </c>
      <c r="BD333" s="6" t="s">
        <v>5</v>
      </c>
      <c r="BE333" s="6" t="s">
        <v>5</v>
      </c>
      <c r="BF333" s="6" t="s">
        <v>5</v>
      </c>
      <c r="BG333" s="6" t="s">
        <v>5</v>
      </c>
      <c r="BH333" s="6" t="s">
        <v>5</v>
      </c>
      <c r="BI333" s="7">
        <v>4.46</v>
      </c>
      <c r="BJ333" s="22">
        <v>0.97</v>
      </c>
      <c r="BK333" s="6" t="s">
        <v>5</v>
      </c>
      <c r="BL333" s="2" t="s">
        <v>5</v>
      </c>
      <c r="BM333" s="2" t="s">
        <v>5</v>
      </c>
      <c r="BN333" s="2" t="s">
        <v>5</v>
      </c>
      <c r="BO333" s="2" t="s">
        <v>5</v>
      </c>
      <c r="BP333" s="2" t="s">
        <v>5</v>
      </c>
      <c r="BQ333" s="2" t="s">
        <v>5</v>
      </c>
      <c r="BR333" s="2" t="s">
        <v>5</v>
      </c>
      <c r="BS333" s="2" t="s">
        <v>5</v>
      </c>
      <c r="BT333" s="2" t="s">
        <v>5</v>
      </c>
      <c r="BU333" s="2" t="s">
        <v>5</v>
      </c>
      <c r="BV333" s="2" t="s">
        <v>5</v>
      </c>
      <c r="BW333" s="2" t="s">
        <v>5</v>
      </c>
      <c r="BX333" s="2" t="s">
        <v>5</v>
      </c>
      <c r="BY333" s="25" t="s">
        <v>5</v>
      </c>
      <c r="BZ333" s="25" t="s">
        <v>5</v>
      </c>
      <c r="CA333" s="4">
        <v>29.9</v>
      </c>
      <c r="CB333" s="6" t="s">
        <v>5</v>
      </c>
      <c r="CC333" s="4">
        <v>45.6</v>
      </c>
      <c r="CD333" s="4">
        <v>30.9</v>
      </c>
      <c r="CE333" s="4">
        <v>46.6</v>
      </c>
      <c r="CF333" s="16" t="s">
        <v>5</v>
      </c>
      <c r="CG333" s="5">
        <v>7.5</v>
      </c>
      <c r="CH333" s="41">
        <v>3</v>
      </c>
    </row>
    <row r="334" spans="2:86">
      <c r="B334" s="78" t="s">
        <v>145</v>
      </c>
      <c r="C334" s="79" t="s">
        <v>340</v>
      </c>
      <c r="D334" s="80" t="s">
        <v>340</v>
      </c>
      <c r="E334" s="1" t="s">
        <v>4</v>
      </c>
      <c r="F334" s="4">
        <v>79.5</v>
      </c>
      <c r="G334" s="4">
        <v>23.4</v>
      </c>
      <c r="H334" s="3" t="str">
        <f t="shared" si="24"/>
        <v>WT7X79.5</v>
      </c>
      <c r="I334" s="7">
        <v>7.49</v>
      </c>
      <c r="J334" s="5">
        <v>7.5</v>
      </c>
      <c r="K334" s="6" t="s">
        <v>5</v>
      </c>
      <c r="L334" s="6" t="s">
        <v>5</v>
      </c>
      <c r="M334" s="6" t="s">
        <v>5</v>
      </c>
      <c r="N334" s="4">
        <v>15.6</v>
      </c>
      <c r="O334" s="5">
        <v>15.625</v>
      </c>
      <c r="P334" s="5" t="s">
        <v>5</v>
      </c>
      <c r="Q334" s="6" t="s">
        <v>5</v>
      </c>
      <c r="R334" s="6" t="s">
        <v>5</v>
      </c>
      <c r="S334" s="22">
        <v>0.745</v>
      </c>
      <c r="T334" s="5">
        <v>0.75</v>
      </c>
      <c r="U334" s="8">
        <v>0.375</v>
      </c>
      <c r="V334" s="7">
        <v>1.19</v>
      </c>
      <c r="W334" s="8">
        <v>1.1875</v>
      </c>
      <c r="X334" s="7">
        <v>1.19</v>
      </c>
      <c r="Y334" s="6" t="s">
        <v>5</v>
      </c>
      <c r="Z334" s="6" t="s">
        <v>5</v>
      </c>
      <c r="AA334" s="7">
        <v>1.79</v>
      </c>
      <c r="AB334" s="8">
        <v>2.5</v>
      </c>
      <c r="AC334" s="8" t="s">
        <v>5</v>
      </c>
      <c r="AD334" s="6" t="s">
        <v>5</v>
      </c>
      <c r="AE334" s="7">
        <v>1.35</v>
      </c>
      <c r="AF334" s="6" t="s">
        <v>5</v>
      </c>
      <c r="AG334" s="6" t="s">
        <v>5</v>
      </c>
      <c r="AH334" s="22">
        <v>0.751</v>
      </c>
      <c r="AI334" s="7">
        <v>6.54</v>
      </c>
      <c r="AJ334" s="6" t="s">
        <v>5</v>
      </c>
      <c r="AK334" s="6" t="s">
        <v>5</v>
      </c>
      <c r="AL334" s="6" t="s">
        <v>5</v>
      </c>
      <c r="AM334" s="6" t="s">
        <v>5</v>
      </c>
      <c r="AN334" s="4">
        <v>10.1</v>
      </c>
      <c r="AO334" s="4">
        <v>70.2</v>
      </c>
      <c r="AP334" s="4">
        <v>22.8</v>
      </c>
      <c r="AQ334" s="4">
        <v>11.4</v>
      </c>
      <c r="AR334" s="7">
        <v>1.73</v>
      </c>
      <c r="AS334" s="6">
        <v>374</v>
      </c>
      <c r="AT334" s="4">
        <v>73</v>
      </c>
      <c r="AU334" s="4">
        <v>48.1</v>
      </c>
      <c r="AV334" s="7">
        <v>4</v>
      </c>
      <c r="AW334" s="6" t="s">
        <v>5</v>
      </c>
      <c r="AX334" s="6" t="s">
        <v>5</v>
      </c>
      <c r="AY334" s="6" t="s">
        <v>5</v>
      </c>
      <c r="AZ334" s="7">
        <v>9.84</v>
      </c>
      <c r="BA334" s="4">
        <v>47.9</v>
      </c>
      <c r="BB334" s="6" t="s">
        <v>5</v>
      </c>
      <c r="BC334" s="6" t="s">
        <v>5</v>
      </c>
      <c r="BD334" s="6" t="s">
        <v>5</v>
      </c>
      <c r="BE334" s="6" t="s">
        <v>5</v>
      </c>
      <c r="BF334" s="6" t="s">
        <v>5</v>
      </c>
      <c r="BG334" s="6" t="s">
        <v>5</v>
      </c>
      <c r="BH334" s="6" t="s">
        <v>5</v>
      </c>
      <c r="BI334" s="7">
        <v>4.43</v>
      </c>
      <c r="BJ334" s="22">
        <v>0.97099999999999997</v>
      </c>
      <c r="BK334" s="6" t="s">
        <v>5</v>
      </c>
      <c r="BL334" s="2" t="s">
        <v>5</v>
      </c>
      <c r="BM334" s="2" t="s">
        <v>5</v>
      </c>
      <c r="BN334" s="2" t="s">
        <v>5</v>
      </c>
      <c r="BO334" s="2" t="s">
        <v>5</v>
      </c>
      <c r="BP334" s="2" t="s">
        <v>5</v>
      </c>
      <c r="BQ334" s="2" t="s">
        <v>5</v>
      </c>
      <c r="BR334" s="2" t="s">
        <v>5</v>
      </c>
      <c r="BS334" s="2" t="s">
        <v>5</v>
      </c>
      <c r="BT334" s="2" t="s">
        <v>5</v>
      </c>
      <c r="BU334" s="2" t="s">
        <v>5</v>
      </c>
      <c r="BV334" s="2" t="s">
        <v>5</v>
      </c>
      <c r="BW334" s="2" t="s">
        <v>5</v>
      </c>
      <c r="BX334" s="2" t="s">
        <v>5</v>
      </c>
      <c r="BY334" s="25" t="s">
        <v>5</v>
      </c>
      <c r="BZ334" s="25" t="s">
        <v>5</v>
      </c>
      <c r="CA334" s="4">
        <v>29.6</v>
      </c>
      <c r="CB334" s="6" t="s">
        <v>5</v>
      </c>
      <c r="CC334" s="4">
        <v>45.2</v>
      </c>
      <c r="CD334" s="4">
        <v>30.6</v>
      </c>
      <c r="CE334" s="4">
        <v>46.2</v>
      </c>
      <c r="CF334" s="16" t="s">
        <v>5</v>
      </c>
      <c r="CG334" s="5">
        <v>7.5</v>
      </c>
      <c r="CH334" s="41">
        <v>3</v>
      </c>
    </row>
    <row r="335" spans="2:86">
      <c r="B335" s="78" t="s">
        <v>145</v>
      </c>
      <c r="C335" s="79" t="s">
        <v>341</v>
      </c>
      <c r="D335" s="80" t="s">
        <v>341</v>
      </c>
      <c r="E335" s="1" t="s">
        <v>4</v>
      </c>
      <c r="F335" s="4">
        <v>72.5</v>
      </c>
      <c r="G335" s="4">
        <v>21.3</v>
      </c>
      <c r="H335" s="3" t="str">
        <f t="shared" si="24"/>
        <v>WT7X72.5</v>
      </c>
      <c r="I335" s="7">
        <v>7.39</v>
      </c>
      <c r="J335" s="5">
        <v>7.375</v>
      </c>
      <c r="K335" s="6" t="s">
        <v>5</v>
      </c>
      <c r="L335" s="6" t="s">
        <v>5</v>
      </c>
      <c r="M335" s="6" t="s">
        <v>5</v>
      </c>
      <c r="N335" s="4">
        <v>15.5</v>
      </c>
      <c r="O335" s="5">
        <v>15.5</v>
      </c>
      <c r="P335" s="5" t="s">
        <v>5</v>
      </c>
      <c r="Q335" s="6" t="s">
        <v>5</v>
      </c>
      <c r="R335" s="6" t="s">
        <v>5</v>
      </c>
      <c r="S335" s="22">
        <v>0.68</v>
      </c>
      <c r="T335" s="5">
        <v>0.6875</v>
      </c>
      <c r="U335" s="8">
        <v>0.375</v>
      </c>
      <c r="V335" s="7">
        <v>1.0900000000000001</v>
      </c>
      <c r="W335" s="8">
        <v>1.0625</v>
      </c>
      <c r="X335" s="7">
        <v>1.0900000000000001</v>
      </c>
      <c r="Y335" s="6" t="s">
        <v>5</v>
      </c>
      <c r="Z335" s="6" t="s">
        <v>5</v>
      </c>
      <c r="AA335" s="7">
        <v>1.69</v>
      </c>
      <c r="AB335" s="8">
        <v>2.375</v>
      </c>
      <c r="AC335" s="8" t="s">
        <v>5</v>
      </c>
      <c r="AD335" s="6" t="s">
        <v>5</v>
      </c>
      <c r="AE335" s="7">
        <v>1.29</v>
      </c>
      <c r="AF335" s="6" t="s">
        <v>5</v>
      </c>
      <c r="AG335" s="6" t="s">
        <v>5</v>
      </c>
      <c r="AH335" s="22">
        <v>0.68799999999999994</v>
      </c>
      <c r="AI335" s="7">
        <v>7.11</v>
      </c>
      <c r="AJ335" s="6" t="s">
        <v>5</v>
      </c>
      <c r="AK335" s="6" t="s">
        <v>5</v>
      </c>
      <c r="AL335" s="6" t="s">
        <v>5</v>
      </c>
      <c r="AM335" s="6" t="s">
        <v>5</v>
      </c>
      <c r="AN335" s="4">
        <v>10.9</v>
      </c>
      <c r="AO335" s="4">
        <v>62.5</v>
      </c>
      <c r="AP335" s="4">
        <v>20.2</v>
      </c>
      <c r="AQ335" s="4">
        <v>10.199999999999999</v>
      </c>
      <c r="AR335" s="7">
        <v>1.71</v>
      </c>
      <c r="AS335" s="6">
        <v>338</v>
      </c>
      <c r="AT335" s="4">
        <v>66.2</v>
      </c>
      <c r="AU335" s="4">
        <v>43.7</v>
      </c>
      <c r="AV335" s="7">
        <v>3.98</v>
      </c>
      <c r="AW335" s="6" t="s">
        <v>5</v>
      </c>
      <c r="AX335" s="6" t="s">
        <v>5</v>
      </c>
      <c r="AY335" s="6" t="s">
        <v>5</v>
      </c>
      <c r="AZ335" s="7">
        <v>7.56</v>
      </c>
      <c r="BA335" s="4">
        <v>36.299999999999997</v>
      </c>
      <c r="BB335" s="6" t="s">
        <v>5</v>
      </c>
      <c r="BC335" s="6" t="s">
        <v>5</v>
      </c>
      <c r="BD335" s="6" t="s">
        <v>5</v>
      </c>
      <c r="BE335" s="6" t="s">
        <v>5</v>
      </c>
      <c r="BF335" s="6" t="s">
        <v>5</v>
      </c>
      <c r="BG335" s="6" t="s">
        <v>5</v>
      </c>
      <c r="BH335" s="6" t="s">
        <v>5</v>
      </c>
      <c r="BI335" s="7">
        <v>4.4000000000000004</v>
      </c>
      <c r="BJ335" s="22">
        <v>0.97099999999999997</v>
      </c>
      <c r="BK335" s="6" t="s">
        <v>5</v>
      </c>
      <c r="BL335" s="2" t="s">
        <v>5</v>
      </c>
      <c r="BM335" s="2" t="s">
        <v>5</v>
      </c>
      <c r="BN335" s="2" t="s">
        <v>5</v>
      </c>
      <c r="BO335" s="2" t="s">
        <v>5</v>
      </c>
      <c r="BP335" s="2" t="s">
        <v>5</v>
      </c>
      <c r="BQ335" s="2" t="s">
        <v>5</v>
      </c>
      <c r="BR335" s="2" t="s">
        <v>5</v>
      </c>
      <c r="BS335" s="2" t="s">
        <v>5</v>
      </c>
      <c r="BT335" s="2" t="s">
        <v>5</v>
      </c>
      <c r="BU335" s="2" t="s">
        <v>5</v>
      </c>
      <c r="BV335" s="2" t="s">
        <v>5</v>
      </c>
      <c r="BW335" s="2" t="s">
        <v>5</v>
      </c>
      <c r="BX335" s="2" t="s">
        <v>5</v>
      </c>
      <c r="BY335" s="25" t="s">
        <v>5</v>
      </c>
      <c r="BZ335" s="25" t="s">
        <v>5</v>
      </c>
      <c r="CA335" s="4">
        <v>29.3</v>
      </c>
      <c r="CB335" s="6" t="s">
        <v>5</v>
      </c>
      <c r="CC335" s="4">
        <v>44.8</v>
      </c>
      <c r="CD335" s="4">
        <v>30.3</v>
      </c>
      <c r="CE335" s="4">
        <v>45.8</v>
      </c>
      <c r="CF335" s="16" t="s">
        <v>5</v>
      </c>
      <c r="CG335" s="5">
        <v>7.5</v>
      </c>
      <c r="CH335" s="41">
        <v>3</v>
      </c>
    </row>
    <row r="336" spans="2:86">
      <c r="B336" s="78" t="s">
        <v>145</v>
      </c>
      <c r="C336" s="79" t="s">
        <v>342</v>
      </c>
      <c r="D336" s="80" t="s">
        <v>342</v>
      </c>
      <c r="E336" s="1" t="s">
        <v>4</v>
      </c>
      <c r="F336" s="4">
        <v>66</v>
      </c>
      <c r="G336" s="4">
        <v>19.399999999999999</v>
      </c>
      <c r="H336" s="3" t="str">
        <f t="shared" si="24"/>
        <v>WT7X66</v>
      </c>
      <c r="I336" s="7">
        <v>7.33</v>
      </c>
      <c r="J336" s="5">
        <v>7.375</v>
      </c>
      <c r="K336" s="6" t="s">
        <v>5</v>
      </c>
      <c r="L336" s="6" t="s">
        <v>5</v>
      </c>
      <c r="M336" s="6" t="s">
        <v>5</v>
      </c>
      <c r="N336" s="4">
        <v>14.7</v>
      </c>
      <c r="O336" s="5">
        <v>14.75</v>
      </c>
      <c r="P336" s="5" t="s">
        <v>5</v>
      </c>
      <c r="Q336" s="6" t="s">
        <v>5</v>
      </c>
      <c r="R336" s="6" t="s">
        <v>5</v>
      </c>
      <c r="S336" s="22">
        <v>0.64500000000000002</v>
      </c>
      <c r="T336" s="5">
        <v>0.625</v>
      </c>
      <c r="U336" s="8">
        <v>0.3125</v>
      </c>
      <c r="V336" s="7">
        <v>1.03</v>
      </c>
      <c r="W336" s="8">
        <v>1</v>
      </c>
      <c r="X336" s="7">
        <v>1.03</v>
      </c>
      <c r="Y336" s="6" t="s">
        <v>5</v>
      </c>
      <c r="Z336" s="6" t="s">
        <v>5</v>
      </c>
      <c r="AA336" s="7">
        <v>1.63</v>
      </c>
      <c r="AB336" s="8">
        <v>2.3125</v>
      </c>
      <c r="AC336" s="8" t="s">
        <v>5</v>
      </c>
      <c r="AD336" s="6" t="s">
        <v>5</v>
      </c>
      <c r="AE336" s="7">
        <v>1.29</v>
      </c>
      <c r="AF336" s="6" t="s">
        <v>5</v>
      </c>
      <c r="AG336" s="6" t="s">
        <v>5</v>
      </c>
      <c r="AH336" s="22">
        <v>0.65800000000000003</v>
      </c>
      <c r="AI336" s="7">
        <v>7.15</v>
      </c>
      <c r="AJ336" s="6" t="s">
        <v>5</v>
      </c>
      <c r="AK336" s="6" t="s">
        <v>5</v>
      </c>
      <c r="AL336" s="6" t="s">
        <v>5</v>
      </c>
      <c r="AM336" s="6" t="s">
        <v>5</v>
      </c>
      <c r="AN336" s="4">
        <v>11.4</v>
      </c>
      <c r="AO336" s="4">
        <v>57.8</v>
      </c>
      <c r="AP336" s="4">
        <v>18.600000000000001</v>
      </c>
      <c r="AQ336" s="7">
        <v>9.57</v>
      </c>
      <c r="AR336" s="7">
        <v>1.73</v>
      </c>
      <c r="AS336" s="6">
        <v>274</v>
      </c>
      <c r="AT336" s="4">
        <v>56.5</v>
      </c>
      <c r="AU336" s="4">
        <v>37.200000000000003</v>
      </c>
      <c r="AV336" s="7">
        <v>3.76</v>
      </c>
      <c r="AW336" s="6" t="s">
        <v>5</v>
      </c>
      <c r="AX336" s="6" t="s">
        <v>5</v>
      </c>
      <c r="AY336" s="6" t="s">
        <v>5</v>
      </c>
      <c r="AZ336" s="7">
        <v>6.13</v>
      </c>
      <c r="BA336" s="4">
        <v>26.6</v>
      </c>
      <c r="BB336" s="6" t="s">
        <v>5</v>
      </c>
      <c r="BC336" s="6" t="s">
        <v>5</v>
      </c>
      <c r="BD336" s="6" t="s">
        <v>5</v>
      </c>
      <c r="BE336" s="6" t="s">
        <v>5</v>
      </c>
      <c r="BF336" s="6" t="s">
        <v>5</v>
      </c>
      <c r="BG336" s="6" t="s">
        <v>5</v>
      </c>
      <c r="BH336" s="6" t="s">
        <v>5</v>
      </c>
      <c r="BI336" s="7">
        <v>4.21</v>
      </c>
      <c r="BJ336" s="22">
        <v>0.96599999999999997</v>
      </c>
      <c r="BK336" s="6" t="s">
        <v>5</v>
      </c>
      <c r="BL336" s="2" t="s">
        <v>5</v>
      </c>
      <c r="BM336" s="2" t="s">
        <v>5</v>
      </c>
      <c r="BN336" s="2" t="s">
        <v>5</v>
      </c>
      <c r="BO336" s="2" t="s">
        <v>5</v>
      </c>
      <c r="BP336" s="2" t="s">
        <v>5</v>
      </c>
      <c r="BQ336" s="2" t="s">
        <v>5</v>
      </c>
      <c r="BR336" s="2" t="s">
        <v>5</v>
      </c>
      <c r="BS336" s="2" t="s">
        <v>5</v>
      </c>
      <c r="BT336" s="2" t="s">
        <v>5</v>
      </c>
      <c r="BU336" s="2" t="s">
        <v>5</v>
      </c>
      <c r="BV336" s="2" t="s">
        <v>5</v>
      </c>
      <c r="BW336" s="2" t="s">
        <v>5</v>
      </c>
      <c r="BX336" s="2" t="s">
        <v>5</v>
      </c>
      <c r="BY336" s="25" t="s">
        <v>5</v>
      </c>
      <c r="BZ336" s="25" t="s">
        <v>5</v>
      </c>
      <c r="CA336" s="4">
        <v>28.3</v>
      </c>
      <c r="CB336" s="6" t="s">
        <v>5</v>
      </c>
      <c r="CC336" s="4">
        <v>43</v>
      </c>
      <c r="CD336" s="4">
        <v>29.4</v>
      </c>
      <c r="CE336" s="4">
        <v>44.1</v>
      </c>
      <c r="CF336" s="16" t="s">
        <v>5</v>
      </c>
      <c r="CG336" s="5">
        <v>5.5</v>
      </c>
      <c r="CH336" s="18" t="s">
        <v>5</v>
      </c>
    </row>
    <row r="337" spans="2:86">
      <c r="B337" s="78" t="s">
        <v>145</v>
      </c>
      <c r="C337" s="79" t="s">
        <v>343</v>
      </c>
      <c r="D337" s="80" t="s">
        <v>343</v>
      </c>
      <c r="E337" s="1" t="s">
        <v>4</v>
      </c>
      <c r="F337" s="4">
        <v>60</v>
      </c>
      <c r="G337" s="4">
        <v>17.7</v>
      </c>
      <c r="H337" s="3" t="str">
        <f t="shared" si="24"/>
        <v>WT7X60</v>
      </c>
      <c r="I337" s="7">
        <v>7.24</v>
      </c>
      <c r="J337" s="5">
        <v>7.25</v>
      </c>
      <c r="K337" s="6" t="s">
        <v>5</v>
      </c>
      <c r="L337" s="6" t="s">
        <v>5</v>
      </c>
      <c r="M337" s="6" t="s">
        <v>5</v>
      </c>
      <c r="N337" s="4">
        <v>14.7</v>
      </c>
      <c r="O337" s="5">
        <v>14.625</v>
      </c>
      <c r="P337" s="5" t="s">
        <v>5</v>
      </c>
      <c r="Q337" s="6" t="s">
        <v>5</v>
      </c>
      <c r="R337" s="6" t="s">
        <v>5</v>
      </c>
      <c r="S337" s="22">
        <v>0.59</v>
      </c>
      <c r="T337" s="5">
        <v>0.5625</v>
      </c>
      <c r="U337" s="8">
        <v>0.3125</v>
      </c>
      <c r="V337" s="22">
        <v>0.94</v>
      </c>
      <c r="W337" s="8">
        <v>0.9375</v>
      </c>
      <c r="X337" s="22">
        <v>0.94</v>
      </c>
      <c r="Y337" s="6" t="s">
        <v>5</v>
      </c>
      <c r="Z337" s="6" t="s">
        <v>5</v>
      </c>
      <c r="AA337" s="7">
        <v>1.54</v>
      </c>
      <c r="AB337" s="8">
        <v>2.25</v>
      </c>
      <c r="AC337" s="8" t="s">
        <v>5</v>
      </c>
      <c r="AD337" s="6" t="s">
        <v>5</v>
      </c>
      <c r="AE337" s="7">
        <v>1.24</v>
      </c>
      <c r="AF337" s="6" t="s">
        <v>5</v>
      </c>
      <c r="AG337" s="6" t="s">
        <v>5</v>
      </c>
      <c r="AH337" s="22">
        <v>0.60199999999999998</v>
      </c>
      <c r="AI337" s="7">
        <v>7.8</v>
      </c>
      <c r="AJ337" s="6" t="s">
        <v>5</v>
      </c>
      <c r="AK337" s="6" t="s">
        <v>5</v>
      </c>
      <c r="AL337" s="6" t="s">
        <v>5</v>
      </c>
      <c r="AM337" s="6" t="s">
        <v>5</v>
      </c>
      <c r="AN337" s="4">
        <v>12.3</v>
      </c>
      <c r="AO337" s="4">
        <v>51.7</v>
      </c>
      <c r="AP337" s="4">
        <v>16.5</v>
      </c>
      <c r="AQ337" s="7">
        <v>8.61</v>
      </c>
      <c r="AR337" s="7">
        <v>1.71</v>
      </c>
      <c r="AS337" s="6">
        <v>247</v>
      </c>
      <c r="AT337" s="4">
        <v>51.2</v>
      </c>
      <c r="AU337" s="4">
        <v>33.700000000000003</v>
      </c>
      <c r="AV337" s="7">
        <v>3.74</v>
      </c>
      <c r="AW337" s="6" t="s">
        <v>5</v>
      </c>
      <c r="AX337" s="6" t="s">
        <v>5</v>
      </c>
      <c r="AY337" s="6" t="s">
        <v>5</v>
      </c>
      <c r="AZ337" s="7">
        <v>4.67</v>
      </c>
      <c r="BA337" s="4">
        <v>20</v>
      </c>
      <c r="BB337" s="6" t="s">
        <v>5</v>
      </c>
      <c r="BC337" s="6" t="s">
        <v>5</v>
      </c>
      <c r="BD337" s="6" t="s">
        <v>5</v>
      </c>
      <c r="BE337" s="6" t="s">
        <v>5</v>
      </c>
      <c r="BF337" s="6" t="s">
        <v>5</v>
      </c>
      <c r="BG337" s="6" t="s">
        <v>5</v>
      </c>
      <c r="BH337" s="6" t="s">
        <v>5</v>
      </c>
      <c r="BI337" s="7">
        <v>4.1900000000000004</v>
      </c>
      <c r="BJ337" s="22">
        <v>0.96599999999999997</v>
      </c>
      <c r="BK337" s="6" t="s">
        <v>5</v>
      </c>
      <c r="BL337" s="2" t="s">
        <v>5</v>
      </c>
      <c r="BM337" s="2" t="s">
        <v>5</v>
      </c>
      <c r="BN337" s="2" t="s">
        <v>5</v>
      </c>
      <c r="BO337" s="2" t="s">
        <v>5</v>
      </c>
      <c r="BP337" s="2" t="s">
        <v>5</v>
      </c>
      <c r="BQ337" s="2" t="s">
        <v>5</v>
      </c>
      <c r="BR337" s="2" t="s">
        <v>5</v>
      </c>
      <c r="BS337" s="2" t="s">
        <v>5</v>
      </c>
      <c r="BT337" s="2" t="s">
        <v>5</v>
      </c>
      <c r="BU337" s="2" t="s">
        <v>5</v>
      </c>
      <c r="BV337" s="2" t="s">
        <v>5</v>
      </c>
      <c r="BW337" s="2" t="s">
        <v>5</v>
      </c>
      <c r="BX337" s="2" t="s">
        <v>5</v>
      </c>
      <c r="BY337" s="25" t="s">
        <v>5</v>
      </c>
      <c r="BZ337" s="25" t="s">
        <v>5</v>
      </c>
      <c r="CA337" s="4">
        <v>28.2</v>
      </c>
      <c r="CB337" s="6" t="s">
        <v>5</v>
      </c>
      <c r="CC337" s="4">
        <v>42.9</v>
      </c>
      <c r="CD337" s="4">
        <v>29.2</v>
      </c>
      <c r="CE337" s="4">
        <v>43.9</v>
      </c>
      <c r="CF337" s="16" t="s">
        <v>5</v>
      </c>
      <c r="CG337" s="5">
        <v>5.5</v>
      </c>
      <c r="CH337" s="18" t="s">
        <v>5</v>
      </c>
    </row>
    <row r="338" spans="2:86">
      <c r="B338" s="78" t="s">
        <v>145</v>
      </c>
      <c r="C338" s="79" t="s">
        <v>344</v>
      </c>
      <c r="D338" s="80" t="s">
        <v>344</v>
      </c>
      <c r="E338" s="1" t="s">
        <v>4</v>
      </c>
      <c r="F338" s="4">
        <v>54.5</v>
      </c>
      <c r="G338" s="4">
        <v>16</v>
      </c>
      <c r="H338" s="3" t="str">
        <f t="shared" si="24"/>
        <v>WT7X54.5</v>
      </c>
      <c r="I338" s="7">
        <v>7.16</v>
      </c>
      <c r="J338" s="5">
        <v>7.125</v>
      </c>
      <c r="K338" s="6" t="s">
        <v>5</v>
      </c>
      <c r="L338" s="6" t="s">
        <v>5</v>
      </c>
      <c r="M338" s="6" t="s">
        <v>5</v>
      </c>
      <c r="N338" s="4">
        <v>14.6</v>
      </c>
      <c r="O338" s="5">
        <v>14.625</v>
      </c>
      <c r="P338" s="5" t="s">
        <v>5</v>
      </c>
      <c r="Q338" s="6" t="s">
        <v>5</v>
      </c>
      <c r="R338" s="6" t="s">
        <v>5</v>
      </c>
      <c r="S338" s="22">
        <v>0.52500000000000002</v>
      </c>
      <c r="T338" s="5">
        <v>0.5</v>
      </c>
      <c r="U338" s="8">
        <v>0.25</v>
      </c>
      <c r="V338" s="22">
        <v>0.86</v>
      </c>
      <c r="W338" s="8">
        <v>0.875</v>
      </c>
      <c r="X338" s="22">
        <v>0.86</v>
      </c>
      <c r="Y338" s="6" t="s">
        <v>5</v>
      </c>
      <c r="Z338" s="6" t="s">
        <v>5</v>
      </c>
      <c r="AA338" s="7">
        <v>1.46</v>
      </c>
      <c r="AB338" s="8">
        <v>2.1875</v>
      </c>
      <c r="AC338" s="8" t="s">
        <v>5</v>
      </c>
      <c r="AD338" s="6" t="s">
        <v>5</v>
      </c>
      <c r="AE338" s="7">
        <v>1.17</v>
      </c>
      <c r="AF338" s="6" t="s">
        <v>5</v>
      </c>
      <c r="AG338" s="6" t="s">
        <v>5</v>
      </c>
      <c r="AH338" s="22">
        <v>0.54800000000000004</v>
      </c>
      <c r="AI338" s="7">
        <v>8.49</v>
      </c>
      <c r="AJ338" s="6" t="s">
        <v>5</v>
      </c>
      <c r="AK338" s="6" t="s">
        <v>5</v>
      </c>
      <c r="AL338" s="6" t="s">
        <v>5</v>
      </c>
      <c r="AM338" s="6" t="s">
        <v>5</v>
      </c>
      <c r="AN338" s="4">
        <v>13.6</v>
      </c>
      <c r="AO338" s="4">
        <v>45.3</v>
      </c>
      <c r="AP338" s="4">
        <v>14.4</v>
      </c>
      <c r="AQ338" s="7">
        <v>7.56</v>
      </c>
      <c r="AR338" s="7">
        <v>1.68</v>
      </c>
      <c r="AS338" s="6">
        <v>223</v>
      </c>
      <c r="AT338" s="4">
        <v>46.3</v>
      </c>
      <c r="AU338" s="4">
        <v>30.6</v>
      </c>
      <c r="AV338" s="7">
        <v>3.73</v>
      </c>
      <c r="AW338" s="6" t="s">
        <v>5</v>
      </c>
      <c r="AX338" s="6" t="s">
        <v>5</v>
      </c>
      <c r="AY338" s="6" t="s">
        <v>5</v>
      </c>
      <c r="AZ338" s="7">
        <v>3.55</v>
      </c>
      <c r="BA338" s="4">
        <v>15</v>
      </c>
      <c r="BB338" s="6" t="s">
        <v>5</v>
      </c>
      <c r="BC338" s="6" t="s">
        <v>5</v>
      </c>
      <c r="BD338" s="6" t="s">
        <v>5</v>
      </c>
      <c r="BE338" s="6" t="s">
        <v>5</v>
      </c>
      <c r="BF338" s="6" t="s">
        <v>5</v>
      </c>
      <c r="BG338" s="6" t="s">
        <v>5</v>
      </c>
      <c r="BH338" s="6" t="s">
        <v>5</v>
      </c>
      <c r="BI338" s="7">
        <v>4.16</v>
      </c>
      <c r="BJ338" s="22">
        <v>0.96799999999999997</v>
      </c>
      <c r="BK338" s="6" t="s">
        <v>5</v>
      </c>
      <c r="BL338" s="2" t="s">
        <v>5</v>
      </c>
      <c r="BM338" s="2" t="s">
        <v>5</v>
      </c>
      <c r="BN338" s="2" t="s">
        <v>5</v>
      </c>
      <c r="BO338" s="2" t="s">
        <v>5</v>
      </c>
      <c r="BP338" s="2" t="s">
        <v>5</v>
      </c>
      <c r="BQ338" s="2" t="s">
        <v>5</v>
      </c>
      <c r="BR338" s="2" t="s">
        <v>5</v>
      </c>
      <c r="BS338" s="2" t="s">
        <v>5</v>
      </c>
      <c r="BT338" s="2" t="s">
        <v>5</v>
      </c>
      <c r="BU338" s="2" t="s">
        <v>5</v>
      </c>
      <c r="BV338" s="2" t="s">
        <v>5</v>
      </c>
      <c r="BW338" s="2" t="s">
        <v>5</v>
      </c>
      <c r="BX338" s="2" t="s">
        <v>5</v>
      </c>
      <c r="BY338" s="25" t="s">
        <v>5</v>
      </c>
      <c r="BZ338" s="25" t="s">
        <v>5</v>
      </c>
      <c r="CA338" s="4">
        <v>27.9</v>
      </c>
      <c r="CB338" s="6" t="s">
        <v>5</v>
      </c>
      <c r="CC338" s="4">
        <v>42.5</v>
      </c>
      <c r="CD338" s="4">
        <v>28.9</v>
      </c>
      <c r="CE338" s="4">
        <v>43.5</v>
      </c>
      <c r="CF338" s="16" t="s">
        <v>5</v>
      </c>
      <c r="CG338" s="5">
        <v>5.5</v>
      </c>
      <c r="CH338" s="18" t="s">
        <v>5</v>
      </c>
    </row>
    <row r="339" spans="2:86">
      <c r="B339" s="78" t="s">
        <v>145</v>
      </c>
      <c r="C339" s="79" t="s">
        <v>345</v>
      </c>
      <c r="D339" s="80" t="s">
        <v>345</v>
      </c>
      <c r="E339" s="1" t="s">
        <v>4</v>
      </c>
      <c r="F339" s="4">
        <v>49.5</v>
      </c>
      <c r="G339" s="4">
        <v>14.6</v>
      </c>
      <c r="H339" s="3" t="str">
        <f t="shared" si="24"/>
        <v>WT7X49.5</v>
      </c>
      <c r="I339" s="7">
        <v>7.08</v>
      </c>
      <c r="J339" s="5">
        <v>7.125</v>
      </c>
      <c r="K339" s="6" t="s">
        <v>5</v>
      </c>
      <c r="L339" s="6" t="s">
        <v>5</v>
      </c>
      <c r="M339" s="6" t="s">
        <v>5</v>
      </c>
      <c r="N339" s="4">
        <v>14.6</v>
      </c>
      <c r="O339" s="5">
        <v>14.625</v>
      </c>
      <c r="P339" s="5" t="s">
        <v>5</v>
      </c>
      <c r="Q339" s="6" t="s">
        <v>5</v>
      </c>
      <c r="R339" s="6" t="s">
        <v>5</v>
      </c>
      <c r="S339" s="22">
        <v>0.48499999999999999</v>
      </c>
      <c r="T339" s="5">
        <v>0.5</v>
      </c>
      <c r="U339" s="8">
        <v>0.25</v>
      </c>
      <c r="V339" s="22">
        <v>0.78</v>
      </c>
      <c r="W339" s="8">
        <v>0.75</v>
      </c>
      <c r="X339" s="22">
        <v>0.78</v>
      </c>
      <c r="Y339" s="6" t="s">
        <v>5</v>
      </c>
      <c r="Z339" s="6" t="s">
        <v>5</v>
      </c>
      <c r="AA339" s="7">
        <v>1.38</v>
      </c>
      <c r="AB339" s="8">
        <v>2.0625</v>
      </c>
      <c r="AC339" s="8" t="s">
        <v>5</v>
      </c>
      <c r="AD339" s="6" t="s">
        <v>5</v>
      </c>
      <c r="AE339" s="7">
        <v>1.1399999999999999</v>
      </c>
      <c r="AF339" s="6" t="s">
        <v>5</v>
      </c>
      <c r="AG339" s="6" t="s">
        <v>5</v>
      </c>
      <c r="AH339" s="22">
        <v>0.5</v>
      </c>
      <c r="AI339" s="7">
        <v>9.34</v>
      </c>
      <c r="AJ339" s="6" t="s">
        <v>5</v>
      </c>
      <c r="AK339" s="6" t="s">
        <v>5</v>
      </c>
      <c r="AL339" s="6" t="s">
        <v>5</v>
      </c>
      <c r="AM339" s="6" t="s">
        <v>5</v>
      </c>
      <c r="AN339" s="4">
        <v>14.6</v>
      </c>
      <c r="AO339" s="4">
        <v>40.9</v>
      </c>
      <c r="AP339" s="4">
        <v>12.9</v>
      </c>
      <c r="AQ339" s="7">
        <v>6.88</v>
      </c>
      <c r="AR339" s="7">
        <v>1.67</v>
      </c>
      <c r="AS339" s="6">
        <v>201</v>
      </c>
      <c r="AT339" s="4">
        <v>41.8</v>
      </c>
      <c r="AU339" s="4">
        <v>27.6</v>
      </c>
      <c r="AV339" s="7">
        <v>3.71</v>
      </c>
      <c r="AW339" s="6" t="s">
        <v>5</v>
      </c>
      <c r="AX339" s="6" t="s">
        <v>5</v>
      </c>
      <c r="AY339" s="6" t="s">
        <v>5</v>
      </c>
      <c r="AZ339" s="7">
        <v>2.68</v>
      </c>
      <c r="BA339" s="4">
        <v>11.1</v>
      </c>
      <c r="BB339" s="6" t="s">
        <v>5</v>
      </c>
      <c r="BC339" s="6" t="s">
        <v>5</v>
      </c>
      <c r="BD339" s="6" t="s">
        <v>5</v>
      </c>
      <c r="BE339" s="6" t="s">
        <v>5</v>
      </c>
      <c r="BF339" s="6" t="s">
        <v>5</v>
      </c>
      <c r="BG339" s="6" t="s">
        <v>5</v>
      </c>
      <c r="BH339" s="6" t="s">
        <v>5</v>
      </c>
      <c r="BI339" s="7">
        <v>4.1399999999999997</v>
      </c>
      <c r="BJ339" s="22">
        <v>0.96699999999999997</v>
      </c>
      <c r="BK339" s="6" t="s">
        <v>5</v>
      </c>
      <c r="BL339" s="2" t="s">
        <v>5</v>
      </c>
      <c r="BM339" s="2" t="s">
        <v>5</v>
      </c>
      <c r="BN339" s="2" t="s">
        <v>5</v>
      </c>
      <c r="BO339" s="2" t="s">
        <v>5</v>
      </c>
      <c r="BP339" s="2" t="s">
        <v>5</v>
      </c>
      <c r="BQ339" s="2" t="s">
        <v>5</v>
      </c>
      <c r="BR339" s="2" t="s">
        <v>5</v>
      </c>
      <c r="BS339" s="2" t="s">
        <v>5</v>
      </c>
      <c r="BT339" s="2" t="s">
        <v>5</v>
      </c>
      <c r="BU339" s="2" t="s">
        <v>5</v>
      </c>
      <c r="BV339" s="2" t="s">
        <v>5</v>
      </c>
      <c r="BW339" s="2" t="s">
        <v>5</v>
      </c>
      <c r="BX339" s="2" t="s">
        <v>5</v>
      </c>
      <c r="BY339" s="25" t="s">
        <v>5</v>
      </c>
      <c r="BZ339" s="25" t="s">
        <v>5</v>
      </c>
      <c r="CA339" s="4">
        <v>27.7</v>
      </c>
      <c r="CB339" s="6" t="s">
        <v>5</v>
      </c>
      <c r="CC339" s="4">
        <v>42.3</v>
      </c>
      <c r="CD339" s="4">
        <v>28.8</v>
      </c>
      <c r="CE339" s="4">
        <v>43.4</v>
      </c>
      <c r="CF339" s="16" t="s">
        <v>5</v>
      </c>
      <c r="CG339" s="5">
        <v>5.5</v>
      </c>
      <c r="CH339" s="18" t="s">
        <v>5</v>
      </c>
    </row>
    <row r="340" spans="2:86">
      <c r="B340" s="78" t="s">
        <v>145</v>
      </c>
      <c r="C340" s="79" t="s">
        <v>346</v>
      </c>
      <c r="D340" s="80" t="s">
        <v>346</v>
      </c>
      <c r="E340" s="1" t="s">
        <v>4</v>
      </c>
      <c r="F340" s="4">
        <v>45</v>
      </c>
      <c r="G340" s="4">
        <v>13.2</v>
      </c>
      <c r="H340" s="3" t="str">
        <f t="shared" si="24"/>
        <v>WT7X45</v>
      </c>
      <c r="I340" s="7">
        <v>7.01</v>
      </c>
      <c r="J340" s="5">
        <v>7</v>
      </c>
      <c r="K340" s="6" t="s">
        <v>5</v>
      </c>
      <c r="L340" s="6" t="s">
        <v>5</v>
      </c>
      <c r="M340" s="6" t="s">
        <v>5</v>
      </c>
      <c r="N340" s="4">
        <v>14.5</v>
      </c>
      <c r="O340" s="5">
        <v>14.5</v>
      </c>
      <c r="P340" s="5" t="s">
        <v>5</v>
      </c>
      <c r="Q340" s="6" t="s">
        <v>5</v>
      </c>
      <c r="R340" s="6" t="s">
        <v>5</v>
      </c>
      <c r="S340" s="22">
        <v>0.44</v>
      </c>
      <c r="T340" s="5">
        <v>0.4375</v>
      </c>
      <c r="U340" s="8">
        <v>0.25</v>
      </c>
      <c r="V340" s="22">
        <v>0.71</v>
      </c>
      <c r="W340" s="8">
        <v>0.6875</v>
      </c>
      <c r="X340" s="22">
        <v>0.71</v>
      </c>
      <c r="Y340" s="6" t="s">
        <v>5</v>
      </c>
      <c r="Z340" s="6" t="s">
        <v>5</v>
      </c>
      <c r="AA340" s="7">
        <v>1.31</v>
      </c>
      <c r="AB340" s="8">
        <v>2</v>
      </c>
      <c r="AC340" s="8" t="s">
        <v>5</v>
      </c>
      <c r="AD340" s="6" t="s">
        <v>5</v>
      </c>
      <c r="AE340" s="7">
        <v>1.0900000000000001</v>
      </c>
      <c r="AF340" s="6" t="s">
        <v>5</v>
      </c>
      <c r="AG340" s="6" t="s">
        <v>5</v>
      </c>
      <c r="AH340" s="22">
        <v>0.45600000000000002</v>
      </c>
      <c r="AI340" s="4">
        <v>10.199999999999999</v>
      </c>
      <c r="AJ340" s="6" t="s">
        <v>5</v>
      </c>
      <c r="AK340" s="6" t="s">
        <v>5</v>
      </c>
      <c r="AL340" s="6" t="s">
        <v>5</v>
      </c>
      <c r="AM340" s="6" t="s">
        <v>5</v>
      </c>
      <c r="AN340" s="4">
        <v>15.9</v>
      </c>
      <c r="AO340" s="4">
        <v>36.5</v>
      </c>
      <c r="AP340" s="4">
        <v>11.5</v>
      </c>
      <c r="AQ340" s="7">
        <v>6.16</v>
      </c>
      <c r="AR340" s="7">
        <v>1.66</v>
      </c>
      <c r="AS340" s="6">
        <v>181</v>
      </c>
      <c r="AT340" s="4">
        <v>37.799999999999997</v>
      </c>
      <c r="AU340" s="4">
        <v>25</v>
      </c>
      <c r="AV340" s="7">
        <v>3.7</v>
      </c>
      <c r="AW340" s="6" t="s">
        <v>5</v>
      </c>
      <c r="AX340" s="6" t="s">
        <v>5</v>
      </c>
      <c r="AY340" s="6" t="s">
        <v>5</v>
      </c>
      <c r="AZ340" s="7">
        <v>2.0299999999999998</v>
      </c>
      <c r="BA340" s="7">
        <v>8.31</v>
      </c>
      <c r="BB340" s="6" t="s">
        <v>5</v>
      </c>
      <c r="BC340" s="6" t="s">
        <v>5</v>
      </c>
      <c r="BD340" s="6" t="s">
        <v>5</v>
      </c>
      <c r="BE340" s="6" t="s">
        <v>5</v>
      </c>
      <c r="BF340" s="6" t="s">
        <v>5</v>
      </c>
      <c r="BG340" s="6" t="s">
        <v>5</v>
      </c>
      <c r="BH340" s="6" t="s">
        <v>5</v>
      </c>
      <c r="BI340" s="7">
        <v>4.12</v>
      </c>
      <c r="BJ340" s="22">
        <v>0.96799999999999997</v>
      </c>
      <c r="BK340" s="6" t="s">
        <v>5</v>
      </c>
      <c r="BL340" s="2" t="s">
        <v>5</v>
      </c>
      <c r="BM340" s="2" t="s">
        <v>5</v>
      </c>
      <c r="BN340" s="2" t="s">
        <v>5</v>
      </c>
      <c r="BO340" s="2" t="s">
        <v>5</v>
      </c>
      <c r="BP340" s="2" t="s">
        <v>5</v>
      </c>
      <c r="BQ340" s="2" t="s">
        <v>5</v>
      </c>
      <c r="BR340" s="2" t="s">
        <v>5</v>
      </c>
      <c r="BS340" s="2" t="s">
        <v>5</v>
      </c>
      <c r="BT340" s="2" t="s">
        <v>5</v>
      </c>
      <c r="BU340" s="2" t="s">
        <v>5</v>
      </c>
      <c r="BV340" s="2" t="s">
        <v>5</v>
      </c>
      <c r="BW340" s="2" t="s">
        <v>5</v>
      </c>
      <c r="BX340" s="2" t="s">
        <v>5</v>
      </c>
      <c r="BY340" s="25" t="s">
        <v>5</v>
      </c>
      <c r="BZ340" s="25" t="s">
        <v>5</v>
      </c>
      <c r="CA340" s="4">
        <v>27.5</v>
      </c>
      <c r="CB340" s="6" t="s">
        <v>5</v>
      </c>
      <c r="CC340" s="4">
        <v>42</v>
      </c>
      <c r="CD340" s="4">
        <v>28.5</v>
      </c>
      <c r="CE340" s="4">
        <v>43</v>
      </c>
      <c r="CF340" s="16" t="s">
        <v>5</v>
      </c>
      <c r="CG340" s="5">
        <v>5.5</v>
      </c>
      <c r="CH340" s="18" t="s">
        <v>5</v>
      </c>
    </row>
    <row r="341" spans="2:86">
      <c r="B341" s="78" t="s">
        <v>145</v>
      </c>
      <c r="C341" s="79" t="s">
        <v>347</v>
      </c>
      <c r="D341" s="80" t="s">
        <v>347</v>
      </c>
      <c r="E341" s="1" t="s">
        <v>4</v>
      </c>
      <c r="F341" s="4">
        <v>41</v>
      </c>
      <c r="G341" s="4">
        <v>12</v>
      </c>
      <c r="H341" s="3" t="str">
        <f t="shared" si="24"/>
        <v>WT7X41</v>
      </c>
      <c r="I341" s="7">
        <v>7.16</v>
      </c>
      <c r="J341" s="5">
        <v>7.125</v>
      </c>
      <c r="K341" s="6" t="s">
        <v>5</v>
      </c>
      <c r="L341" s="6" t="s">
        <v>5</v>
      </c>
      <c r="M341" s="6" t="s">
        <v>5</v>
      </c>
      <c r="N341" s="4">
        <v>10.1</v>
      </c>
      <c r="O341" s="5">
        <v>10.125</v>
      </c>
      <c r="P341" s="5" t="s">
        <v>5</v>
      </c>
      <c r="Q341" s="6" t="s">
        <v>5</v>
      </c>
      <c r="R341" s="6" t="s">
        <v>5</v>
      </c>
      <c r="S341" s="22">
        <v>0.51</v>
      </c>
      <c r="T341" s="5">
        <v>0.5</v>
      </c>
      <c r="U341" s="8">
        <v>0.25</v>
      </c>
      <c r="V341" s="22">
        <v>0.85499999999999998</v>
      </c>
      <c r="W341" s="8">
        <v>0.875</v>
      </c>
      <c r="X341" s="22">
        <v>0.85499999999999998</v>
      </c>
      <c r="Y341" s="6" t="s">
        <v>5</v>
      </c>
      <c r="Z341" s="6" t="s">
        <v>5</v>
      </c>
      <c r="AA341" s="7">
        <v>1.45</v>
      </c>
      <c r="AB341" s="8">
        <v>1.6875</v>
      </c>
      <c r="AC341" s="8" t="s">
        <v>5</v>
      </c>
      <c r="AD341" s="6" t="s">
        <v>5</v>
      </c>
      <c r="AE341" s="7">
        <v>1.39</v>
      </c>
      <c r="AF341" s="6" t="s">
        <v>5</v>
      </c>
      <c r="AG341" s="6" t="s">
        <v>5</v>
      </c>
      <c r="AH341" s="22">
        <v>0.59299999999999997</v>
      </c>
      <c r="AI341" s="7">
        <v>5.92</v>
      </c>
      <c r="AJ341" s="6" t="s">
        <v>5</v>
      </c>
      <c r="AK341" s="6" t="s">
        <v>5</v>
      </c>
      <c r="AL341" s="6" t="s">
        <v>5</v>
      </c>
      <c r="AM341" s="6" t="s">
        <v>5</v>
      </c>
      <c r="AN341" s="4">
        <v>14</v>
      </c>
      <c r="AO341" s="4">
        <v>41.2</v>
      </c>
      <c r="AP341" s="4">
        <v>13.2</v>
      </c>
      <c r="AQ341" s="7">
        <v>7.14</v>
      </c>
      <c r="AR341" s="7">
        <v>1.85</v>
      </c>
      <c r="AS341" s="4">
        <v>74.099999999999994</v>
      </c>
      <c r="AT341" s="4">
        <v>22.4</v>
      </c>
      <c r="AU341" s="4">
        <v>14.6</v>
      </c>
      <c r="AV341" s="7">
        <v>2.48</v>
      </c>
      <c r="AW341" s="6" t="s">
        <v>5</v>
      </c>
      <c r="AX341" s="6" t="s">
        <v>5</v>
      </c>
      <c r="AY341" s="6" t="s">
        <v>5</v>
      </c>
      <c r="AZ341" s="7">
        <v>2.5299999999999998</v>
      </c>
      <c r="BA341" s="7">
        <v>5.63</v>
      </c>
      <c r="BB341" s="6" t="s">
        <v>5</v>
      </c>
      <c r="BC341" s="6" t="s">
        <v>5</v>
      </c>
      <c r="BD341" s="6" t="s">
        <v>5</v>
      </c>
      <c r="BE341" s="6" t="s">
        <v>5</v>
      </c>
      <c r="BF341" s="6" t="s">
        <v>5</v>
      </c>
      <c r="BG341" s="6" t="s">
        <v>5</v>
      </c>
      <c r="BH341" s="6" t="s">
        <v>5</v>
      </c>
      <c r="BI341" s="7">
        <v>3.24</v>
      </c>
      <c r="BJ341" s="22">
        <v>0.91200000000000003</v>
      </c>
      <c r="BK341" s="6" t="s">
        <v>5</v>
      </c>
      <c r="BL341" s="2" t="s">
        <v>5</v>
      </c>
      <c r="BM341" s="2" t="s">
        <v>5</v>
      </c>
      <c r="BN341" s="2" t="s">
        <v>5</v>
      </c>
      <c r="BO341" s="2" t="s">
        <v>5</v>
      </c>
      <c r="BP341" s="2" t="s">
        <v>5</v>
      </c>
      <c r="BQ341" s="2" t="s">
        <v>5</v>
      </c>
      <c r="BR341" s="2" t="s">
        <v>5</v>
      </c>
      <c r="BS341" s="2" t="s">
        <v>5</v>
      </c>
      <c r="BT341" s="2" t="s">
        <v>5</v>
      </c>
      <c r="BU341" s="2" t="s">
        <v>5</v>
      </c>
      <c r="BV341" s="2" t="s">
        <v>5</v>
      </c>
      <c r="BW341" s="2" t="s">
        <v>5</v>
      </c>
      <c r="BX341" s="2" t="s">
        <v>5</v>
      </c>
      <c r="BY341" s="25" t="s">
        <v>5</v>
      </c>
      <c r="BZ341" s="25" t="s">
        <v>5</v>
      </c>
      <c r="CA341" s="4">
        <v>23.7</v>
      </c>
      <c r="CB341" s="6" t="s">
        <v>5</v>
      </c>
      <c r="CC341" s="4">
        <v>33.799999999999997</v>
      </c>
      <c r="CD341" s="4">
        <v>24.4</v>
      </c>
      <c r="CE341" s="4">
        <v>34.5</v>
      </c>
      <c r="CF341" s="16" t="s">
        <v>5</v>
      </c>
      <c r="CG341" s="5">
        <v>5.5</v>
      </c>
      <c r="CH341" s="18" t="s">
        <v>5</v>
      </c>
    </row>
    <row r="342" spans="2:86">
      <c r="B342" s="78" t="s">
        <v>145</v>
      </c>
      <c r="C342" s="79" t="s">
        <v>348</v>
      </c>
      <c r="D342" s="80" t="s">
        <v>348</v>
      </c>
      <c r="E342" s="1" t="s">
        <v>4</v>
      </c>
      <c r="F342" s="4">
        <v>37</v>
      </c>
      <c r="G342" s="4">
        <v>10.9</v>
      </c>
      <c r="H342" s="3" t="str">
        <f t="shared" si="24"/>
        <v>WT7X37</v>
      </c>
      <c r="I342" s="7">
        <v>7.09</v>
      </c>
      <c r="J342" s="5">
        <v>7.125</v>
      </c>
      <c r="K342" s="6" t="s">
        <v>5</v>
      </c>
      <c r="L342" s="6" t="s">
        <v>5</v>
      </c>
      <c r="M342" s="6" t="s">
        <v>5</v>
      </c>
      <c r="N342" s="4">
        <v>10.1</v>
      </c>
      <c r="O342" s="5">
        <v>10.125</v>
      </c>
      <c r="P342" s="5" t="s">
        <v>5</v>
      </c>
      <c r="Q342" s="6" t="s">
        <v>5</v>
      </c>
      <c r="R342" s="6" t="s">
        <v>5</v>
      </c>
      <c r="S342" s="22">
        <v>0.45</v>
      </c>
      <c r="T342" s="5">
        <v>0.4375</v>
      </c>
      <c r="U342" s="8">
        <v>0.25</v>
      </c>
      <c r="V342" s="22">
        <v>0.78500000000000003</v>
      </c>
      <c r="W342" s="8">
        <v>0.8125</v>
      </c>
      <c r="X342" s="22">
        <v>0.78500000000000003</v>
      </c>
      <c r="Y342" s="6" t="s">
        <v>5</v>
      </c>
      <c r="Z342" s="6" t="s">
        <v>5</v>
      </c>
      <c r="AA342" s="7">
        <v>1.38</v>
      </c>
      <c r="AB342" s="8">
        <v>1.625</v>
      </c>
      <c r="AC342" s="8" t="s">
        <v>5</v>
      </c>
      <c r="AD342" s="6" t="s">
        <v>5</v>
      </c>
      <c r="AE342" s="7">
        <v>1.32</v>
      </c>
      <c r="AF342" s="6" t="s">
        <v>5</v>
      </c>
      <c r="AG342" s="6" t="s">
        <v>5</v>
      </c>
      <c r="AH342" s="22">
        <v>0.54100000000000004</v>
      </c>
      <c r="AI342" s="7">
        <v>6.41</v>
      </c>
      <c r="AJ342" s="6" t="s">
        <v>5</v>
      </c>
      <c r="AK342" s="6" t="s">
        <v>5</v>
      </c>
      <c r="AL342" s="6" t="s">
        <v>5</v>
      </c>
      <c r="AM342" s="6" t="s">
        <v>5</v>
      </c>
      <c r="AN342" s="4">
        <v>15.8</v>
      </c>
      <c r="AO342" s="4">
        <v>36</v>
      </c>
      <c r="AP342" s="4">
        <v>11.5</v>
      </c>
      <c r="AQ342" s="7">
        <v>6.25</v>
      </c>
      <c r="AR342" s="7">
        <v>1.82</v>
      </c>
      <c r="AS342" s="4">
        <v>66.900000000000006</v>
      </c>
      <c r="AT342" s="4">
        <v>20.2</v>
      </c>
      <c r="AU342" s="4">
        <v>13.3</v>
      </c>
      <c r="AV342" s="7">
        <v>2.48</v>
      </c>
      <c r="AW342" s="6" t="s">
        <v>5</v>
      </c>
      <c r="AX342" s="6" t="s">
        <v>5</v>
      </c>
      <c r="AY342" s="6" t="s">
        <v>5</v>
      </c>
      <c r="AZ342" s="7">
        <v>1.93</v>
      </c>
      <c r="BA342" s="7">
        <v>4.1900000000000004</v>
      </c>
      <c r="BB342" s="6" t="s">
        <v>5</v>
      </c>
      <c r="BC342" s="6" t="s">
        <v>5</v>
      </c>
      <c r="BD342" s="6" t="s">
        <v>5</v>
      </c>
      <c r="BE342" s="6" t="s">
        <v>5</v>
      </c>
      <c r="BF342" s="6" t="s">
        <v>5</v>
      </c>
      <c r="BG342" s="6" t="s">
        <v>5</v>
      </c>
      <c r="BH342" s="6" t="s">
        <v>5</v>
      </c>
      <c r="BI342" s="7">
        <v>3.21</v>
      </c>
      <c r="BJ342" s="22">
        <v>0.91600000000000004</v>
      </c>
      <c r="BK342" s="6" t="s">
        <v>5</v>
      </c>
      <c r="BL342" s="2" t="s">
        <v>5</v>
      </c>
      <c r="BM342" s="2" t="s">
        <v>5</v>
      </c>
      <c r="BN342" s="2" t="s">
        <v>5</v>
      </c>
      <c r="BO342" s="2" t="s">
        <v>5</v>
      </c>
      <c r="BP342" s="2" t="s">
        <v>5</v>
      </c>
      <c r="BQ342" s="2" t="s">
        <v>5</v>
      </c>
      <c r="BR342" s="2" t="s">
        <v>5</v>
      </c>
      <c r="BS342" s="2" t="s">
        <v>5</v>
      </c>
      <c r="BT342" s="2" t="s">
        <v>5</v>
      </c>
      <c r="BU342" s="2" t="s">
        <v>5</v>
      </c>
      <c r="BV342" s="2" t="s">
        <v>5</v>
      </c>
      <c r="BW342" s="2" t="s">
        <v>5</v>
      </c>
      <c r="BX342" s="2" t="s">
        <v>5</v>
      </c>
      <c r="BY342" s="25" t="s">
        <v>5</v>
      </c>
      <c r="BZ342" s="25" t="s">
        <v>5</v>
      </c>
      <c r="CA342" s="4">
        <v>23.6</v>
      </c>
      <c r="CB342" s="6" t="s">
        <v>5</v>
      </c>
      <c r="CC342" s="4">
        <v>33.700000000000003</v>
      </c>
      <c r="CD342" s="4">
        <v>24.3</v>
      </c>
      <c r="CE342" s="4">
        <v>34.4</v>
      </c>
      <c r="CF342" s="16" t="s">
        <v>5</v>
      </c>
      <c r="CG342" s="5">
        <v>5.5</v>
      </c>
      <c r="CH342" s="18" t="s">
        <v>5</v>
      </c>
    </row>
    <row r="343" spans="2:86">
      <c r="B343" s="78" t="s">
        <v>145</v>
      </c>
      <c r="C343" s="79" t="s">
        <v>349</v>
      </c>
      <c r="D343" s="80" t="s">
        <v>349</v>
      </c>
      <c r="E343" s="1" t="s">
        <v>4</v>
      </c>
      <c r="F343" s="4">
        <v>34</v>
      </c>
      <c r="G343" s="4">
        <v>10</v>
      </c>
      <c r="H343" s="3" t="str">
        <f t="shared" si="24"/>
        <v>WT7X34</v>
      </c>
      <c r="I343" s="7">
        <v>7.02</v>
      </c>
      <c r="J343" s="5">
        <v>7</v>
      </c>
      <c r="K343" s="6" t="s">
        <v>5</v>
      </c>
      <c r="L343" s="6" t="s">
        <v>5</v>
      </c>
      <c r="M343" s="6" t="s">
        <v>5</v>
      </c>
      <c r="N343" s="4">
        <v>10</v>
      </c>
      <c r="O343" s="5">
        <v>10</v>
      </c>
      <c r="P343" s="5" t="s">
        <v>5</v>
      </c>
      <c r="Q343" s="6" t="s">
        <v>5</v>
      </c>
      <c r="R343" s="6" t="s">
        <v>5</v>
      </c>
      <c r="S343" s="22">
        <v>0.41499999999999998</v>
      </c>
      <c r="T343" s="5">
        <v>0.4375</v>
      </c>
      <c r="U343" s="8">
        <v>0.25</v>
      </c>
      <c r="V343" s="22">
        <v>0.72</v>
      </c>
      <c r="W343" s="8">
        <v>0.75</v>
      </c>
      <c r="X343" s="22">
        <v>0.72</v>
      </c>
      <c r="Y343" s="6" t="s">
        <v>5</v>
      </c>
      <c r="Z343" s="6" t="s">
        <v>5</v>
      </c>
      <c r="AA343" s="7">
        <v>1.31</v>
      </c>
      <c r="AB343" s="8">
        <v>1.5625</v>
      </c>
      <c r="AC343" s="8" t="s">
        <v>5</v>
      </c>
      <c r="AD343" s="6" t="s">
        <v>5</v>
      </c>
      <c r="AE343" s="7">
        <v>1.29</v>
      </c>
      <c r="AF343" s="6" t="s">
        <v>5</v>
      </c>
      <c r="AG343" s="6" t="s">
        <v>5</v>
      </c>
      <c r="AH343" s="22">
        <v>0.498</v>
      </c>
      <c r="AI343" s="7">
        <v>6.97</v>
      </c>
      <c r="AJ343" s="6" t="s">
        <v>5</v>
      </c>
      <c r="AK343" s="6" t="s">
        <v>5</v>
      </c>
      <c r="AL343" s="6" t="s">
        <v>5</v>
      </c>
      <c r="AM343" s="6" t="s">
        <v>5</v>
      </c>
      <c r="AN343" s="4">
        <v>16.899999999999999</v>
      </c>
      <c r="AO343" s="4">
        <v>32.6</v>
      </c>
      <c r="AP343" s="4">
        <v>10.4</v>
      </c>
      <c r="AQ343" s="7">
        <v>5.69</v>
      </c>
      <c r="AR343" s="7">
        <v>1.81</v>
      </c>
      <c r="AS343" s="4">
        <v>60.7</v>
      </c>
      <c r="AT343" s="4">
        <v>18.399999999999999</v>
      </c>
      <c r="AU343" s="4">
        <v>12.1</v>
      </c>
      <c r="AV343" s="7">
        <v>2.46</v>
      </c>
      <c r="AW343" s="6" t="s">
        <v>5</v>
      </c>
      <c r="AX343" s="6" t="s">
        <v>5</v>
      </c>
      <c r="AY343" s="6" t="s">
        <v>5</v>
      </c>
      <c r="AZ343" s="7">
        <v>1.5</v>
      </c>
      <c r="BA343" s="7">
        <v>3.21</v>
      </c>
      <c r="BB343" s="6" t="s">
        <v>5</v>
      </c>
      <c r="BC343" s="6" t="s">
        <v>5</v>
      </c>
      <c r="BD343" s="6" t="s">
        <v>5</v>
      </c>
      <c r="BE343" s="6" t="s">
        <v>5</v>
      </c>
      <c r="BF343" s="6" t="s">
        <v>5</v>
      </c>
      <c r="BG343" s="6" t="s">
        <v>5</v>
      </c>
      <c r="BH343" s="6" t="s">
        <v>5</v>
      </c>
      <c r="BI343" s="7">
        <v>3.19</v>
      </c>
      <c r="BJ343" s="22">
        <v>0.91600000000000004</v>
      </c>
      <c r="BK343" s="6" t="s">
        <v>5</v>
      </c>
      <c r="BL343" s="2" t="s">
        <v>5</v>
      </c>
      <c r="BM343" s="2" t="s">
        <v>5</v>
      </c>
      <c r="BN343" s="2" t="s">
        <v>5</v>
      </c>
      <c r="BO343" s="2" t="s">
        <v>5</v>
      </c>
      <c r="BP343" s="2" t="s">
        <v>5</v>
      </c>
      <c r="BQ343" s="2" t="s">
        <v>5</v>
      </c>
      <c r="BR343" s="2" t="s">
        <v>5</v>
      </c>
      <c r="BS343" s="2" t="s">
        <v>5</v>
      </c>
      <c r="BT343" s="2" t="s">
        <v>5</v>
      </c>
      <c r="BU343" s="2" t="s">
        <v>5</v>
      </c>
      <c r="BV343" s="2" t="s">
        <v>5</v>
      </c>
      <c r="BW343" s="2" t="s">
        <v>5</v>
      </c>
      <c r="BX343" s="2" t="s">
        <v>5</v>
      </c>
      <c r="BY343" s="25" t="s">
        <v>5</v>
      </c>
      <c r="BZ343" s="25" t="s">
        <v>5</v>
      </c>
      <c r="CA343" s="4">
        <v>23.4</v>
      </c>
      <c r="CB343" s="6" t="s">
        <v>5</v>
      </c>
      <c r="CC343" s="4">
        <v>33.4</v>
      </c>
      <c r="CD343" s="4">
        <v>24</v>
      </c>
      <c r="CE343" s="4">
        <v>34</v>
      </c>
      <c r="CF343" s="16" t="s">
        <v>5</v>
      </c>
      <c r="CG343" s="5">
        <v>5.5</v>
      </c>
      <c r="CH343" s="18" t="s">
        <v>5</v>
      </c>
    </row>
    <row r="344" spans="2:86">
      <c r="B344" s="78" t="s">
        <v>145</v>
      </c>
      <c r="C344" s="79" t="s">
        <v>350</v>
      </c>
      <c r="D344" s="80" t="s">
        <v>350</v>
      </c>
      <c r="E344" s="1" t="s">
        <v>4</v>
      </c>
      <c r="F344" s="4">
        <v>30.5</v>
      </c>
      <c r="G344" s="7">
        <v>8.9600000000000009</v>
      </c>
      <c r="H344" s="3" t="str">
        <f t="shared" si="24"/>
        <v>WT7X30.5</v>
      </c>
      <c r="I344" s="7">
        <v>6.95</v>
      </c>
      <c r="J344" s="5">
        <v>7</v>
      </c>
      <c r="K344" s="6" t="s">
        <v>5</v>
      </c>
      <c r="L344" s="6" t="s">
        <v>5</v>
      </c>
      <c r="M344" s="6" t="s">
        <v>5</v>
      </c>
      <c r="N344" s="4">
        <v>10</v>
      </c>
      <c r="O344" s="5">
        <v>10</v>
      </c>
      <c r="P344" s="5" t="s">
        <v>5</v>
      </c>
      <c r="Q344" s="6" t="s">
        <v>5</v>
      </c>
      <c r="R344" s="6" t="s">
        <v>5</v>
      </c>
      <c r="S344" s="22">
        <v>0.375</v>
      </c>
      <c r="T344" s="5">
        <v>0.375</v>
      </c>
      <c r="U344" s="8">
        <v>0.1875</v>
      </c>
      <c r="V344" s="22">
        <v>0.64500000000000002</v>
      </c>
      <c r="W344" s="8">
        <v>0.625</v>
      </c>
      <c r="X344" s="22">
        <v>0.64500000000000002</v>
      </c>
      <c r="Y344" s="6" t="s">
        <v>5</v>
      </c>
      <c r="Z344" s="6" t="s">
        <v>5</v>
      </c>
      <c r="AA344" s="7">
        <v>1.24</v>
      </c>
      <c r="AB344" s="8">
        <v>1.5</v>
      </c>
      <c r="AC344" s="8" t="s">
        <v>5</v>
      </c>
      <c r="AD344" s="6" t="s">
        <v>5</v>
      </c>
      <c r="AE344" s="7">
        <v>1.25</v>
      </c>
      <c r="AF344" s="6" t="s">
        <v>5</v>
      </c>
      <c r="AG344" s="6" t="s">
        <v>5</v>
      </c>
      <c r="AH344" s="22">
        <v>0.44800000000000001</v>
      </c>
      <c r="AI344" s="7">
        <v>7.75</v>
      </c>
      <c r="AJ344" s="6" t="s">
        <v>5</v>
      </c>
      <c r="AK344" s="6" t="s">
        <v>5</v>
      </c>
      <c r="AL344" s="6" t="s">
        <v>5</v>
      </c>
      <c r="AM344" s="6" t="s">
        <v>5</v>
      </c>
      <c r="AN344" s="4">
        <v>18.5</v>
      </c>
      <c r="AO344" s="4">
        <v>28.9</v>
      </c>
      <c r="AP344" s="7">
        <v>9.15</v>
      </c>
      <c r="AQ344" s="7">
        <v>5.07</v>
      </c>
      <c r="AR344" s="7">
        <v>1.8</v>
      </c>
      <c r="AS344" s="4">
        <v>53.7</v>
      </c>
      <c r="AT344" s="4">
        <v>16.399999999999999</v>
      </c>
      <c r="AU344" s="4">
        <v>10.7</v>
      </c>
      <c r="AV344" s="7">
        <v>2.4500000000000002</v>
      </c>
      <c r="AW344" s="6" t="s">
        <v>5</v>
      </c>
      <c r="AX344" s="6" t="s">
        <v>5</v>
      </c>
      <c r="AY344" s="6" t="s">
        <v>5</v>
      </c>
      <c r="AZ344" s="7">
        <v>1.0900000000000001</v>
      </c>
      <c r="BA344" s="7">
        <v>2.29</v>
      </c>
      <c r="BB344" s="6" t="s">
        <v>5</v>
      </c>
      <c r="BC344" s="6" t="s">
        <v>5</v>
      </c>
      <c r="BD344" s="6" t="s">
        <v>5</v>
      </c>
      <c r="BE344" s="6" t="s">
        <v>5</v>
      </c>
      <c r="BF344" s="6" t="s">
        <v>5</v>
      </c>
      <c r="BG344" s="6" t="s">
        <v>5</v>
      </c>
      <c r="BH344" s="6" t="s">
        <v>5</v>
      </c>
      <c r="BI344" s="7">
        <v>3.17</v>
      </c>
      <c r="BJ344" s="22">
        <v>0.91500000000000004</v>
      </c>
      <c r="BK344" s="6" t="s">
        <v>5</v>
      </c>
      <c r="BL344" s="2" t="s">
        <v>5</v>
      </c>
      <c r="BM344" s="2" t="s">
        <v>5</v>
      </c>
      <c r="BN344" s="2" t="s">
        <v>5</v>
      </c>
      <c r="BO344" s="2" t="s">
        <v>5</v>
      </c>
      <c r="BP344" s="2" t="s">
        <v>5</v>
      </c>
      <c r="BQ344" s="2" t="s">
        <v>5</v>
      </c>
      <c r="BR344" s="2" t="s">
        <v>5</v>
      </c>
      <c r="BS344" s="2" t="s">
        <v>5</v>
      </c>
      <c r="BT344" s="2" t="s">
        <v>5</v>
      </c>
      <c r="BU344" s="2" t="s">
        <v>5</v>
      </c>
      <c r="BV344" s="2" t="s">
        <v>5</v>
      </c>
      <c r="BW344" s="2" t="s">
        <v>5</v>
      </c>
      <c r="BX344" s="2" t="s">
        <v>5</v>
      </c>
      <c r="BY344" s="25" t="s">
        <v>5</v>
      </c>
      <c r="BZ344" s="25" t="s">
        <v>5</v>
      </c>
      <c r="CA344" s="4">
        <v>23.2</v>
      </c>
      <c r="CB344" s="6" t="s">
        <v>5</v>
      </c>
      <c r="CC344" s="4">
        <v>33.200000000000003</v>
      </c>
      <c r="CD344" s="4">
        <v>23.9</v>
      </c>
      <c r="CE344" s="6">
        <v>33.9</v>
      </c>
      <c r="CF344" s="16" t="s">
        <v>5</v>
      </c>
      <c r="CG344" s="5">
        <v>5.5</v>
      </c>
      <c r="CH344" s="18" t="s">
        <v>5</v>
      </c>
    </row>
    <row r="345" spans="2:86">
      <c r="B345" s="78" t="s">
        <v>145</v>
      </c>
      <c r="C345" s="79" t="s">
        <v>351</v>
      </c>
      <c r="D345" s="80" t="s">
        <v>351</v>
      </c>
      <c r="E345" s="1" t="s">
        <v>4</v>
      </c>
      <c r="F345" s="4">
        <v>26.5</v>
      </c>
      <c r="G345" s="7">
        <v>7.8</v>
      </c>
      <c r="H345" s="3" t="str">
        <f t="shared" si="24"/>
        <v>WT7X26.5</v>
      </c>
      <c r="I345" s="7">
        <v>6.96</v>
      </c>
      <c r="J345" s="5">
        <v>7</v>
      </c>
      <c r="K345" s="6" t="s">
        <v>5</v>
      </c>
      <c r="L345" s="6" t="s">
        <v>5</v>
      </c>
      <c r="M345" s="6" t="s">
        <v>5</v>
      </c>
      <c r="N345" s="7">
        <v>8.06</v>
      </c>
      <c r="O345" s="5">
        <v>8</v>
      </c>
      <c r="P345" s="5" t="s">
        <v>5</v>
      </c>
      <c r="Q345" s="6" t="s">
        <v>5</v>
      </c>
      <c r="R345" s="6" t="s">
        <v>5</v>
      </c>
      <c r="S345" s="22">
        <v>0.37</v>
      </c>
      <c r="T345" s="5">
        <v>0.375</v>
      </c>
      <c r="U345" s="8">
        <v>0.1875</v>
      </c>
      <c r="V345" s="22">
        <v>0.66</v>
      </c>
      <c r="W345" s="8">
        <v>0.6875</v>
      </c>
      <c r="X345" s="22">
        <v>0.66</v>
      </c>
      <c r="Y345" s="6" t="s">
        <v>5</v>
      </c>
      <c r="Z345" s="6" t="s">
        <v>5</v>
      </c>
      <c r="AA345" s="7">
        <v>1.25</v>
      </c>
      <c r="AB345" s="8">
        <v>1.5</v>
      </c>
      <c r="AC345" s="8" t="s">
        <v>5</v>
      </c>
      <c r="AD345" s="6" t="s">
        <v>5</v>
      </c>
      <c r="AE345" s="7">
        <v>1.38</v>
      </c>
      <c r="AF345" s="6" t="s">
        <v>5</v>
      </c>
      <c r="AG345" s="6" t="s">
        <v>5</v>
      </c>
      <c r="AH345" s="22">
        <v>0.48399999999999999</v>
      </c>
      <c r="AI345" s="7">
        <v>6.11</v>
      </c>
      <c r="AJ345" s="6" t="s">
        <v>5</v>
      </c>
      <c r="AK345" s="6" t="s">
        <v>5</v>
      </c>
      <c r="AL345" s="6" t="s">
        <v>5</v>
      </c>
      <c r="AM345" s="6" t="s">
        <v>5</v>
      </c>
      <c r="AN345" s="4">
        <v>18.8</v>
      </c>
      <c r="AO345" s="4">
        <v>27.6</v>
      </c>
      <c r="AP345" s="7">
        <v>8.8699999999999992</v>
      </c>
      <c r="AQ345" s="7">
        <v>4.9400000000000004</v>
      </c>
      <c r="AR345" s="7">
        <v>1.88</v>
      </c>
      <c r="AS345" s="4">
        <v>28.8</v>
      </c>
      <c r="AT345" s="4">
        <v>11</v>
      </c>
      <c r="AU345" s="7">
        <v>7.15</v>
      </c>
      <c r="AV345" s="7">
        <v>1.92</v>
      </c>
      <c r="AW345" s="6" t="s">
        <v>5</v>
      </c>
      <c r="AX345" s="6" t="s">
        <v>5</v>
      </c>
      <c r="AY345" s="6" t="s">
        <v>5</v>
      </c>
      <c r="AZ345" s="22">
        <v>0.96699999999999997</v>
      </c>
      <c r="BA345" s="7">
        <v>1.46</v>
      </c>
      <c r="BB345" s="6" t="s">
        <v>5</v>
      </c>
      <c r="BC345" s="6" t="s">
        <v>5</v>
      </c>
      <c r="BD345" s="6" t="s">
        <v>5</v>
      </c>
      <c r="BE345" s="6" t="s">
        <v>5</v>
      </c>
      <c r="BF345" s="6" t="s">
        <v>5</v>
      </c>
      <c r="BG345" s="6" t="s">
        <v>5</v>
      </c>
      <c r="BH345" s="6" t="s">
        <v>5</v>
      </c>
      <c r="BI345" s="7">
        <v>2.89</v>
      </c>
      <c r="BJ345" s="22">
        <v>0.86799999999999999</v>
      </c>
      <c r="BK345" s="6" t="s">
        <v>5</v>
      </c>
      <c r="BL345" s="2" t="s">
        <v>5</v>
      </c>
      <c r="BM345" s="2" t="s">
        <v>5</v>
      </c>
      <c r="BN345" s="2" t="s">
        <v>5</v>
      </c>
      <c r="BO345" s="2" t="s">
        <v>5</v>
      </c>
      <c r="BP345" s="2" t="s">
        <v>5</v>
      </c>
      <c r="BQ345" s="2" t="s">
        <v>5</v>
      </c>
      <c r="BR345" s="2" t="s">
        <v>5</v>
      </c>
      <c r="BS345" s="2" t="s">
        <v>5</v>
      </c>
      <c r="BT345" s="2" t="s">
        <v>5</v>
      </c>
      <c r="BU345" s="2" t="s">
        <v>5</v>
      </c>
      <c r="BV345" s="2" t="s">
        <v>5</v>
      </c>
      <c r="BW345" s="2" t="s">
        <v>5</v>
      </c>
      <c r="BX345" s="2" t="s">
        <v>5</v>
      </c>
      <c r="BY345" s="25" t="s">
        <v>5</v>
      </c>
      <c r="BZ345" s="25" t="s">
        <v>5</v>
      </c>
      <c r="CA345" s="4">
        <v>21.3</v>
      </c>
      <c r="CB345" s="6" t="s">
        <v>5</v>
      </c>
      <c r="CC345" s="4">
        <v>29.4</v>
      </c>
      <c r="CD345" s="4">
        <v>22</v>
      </c>
      <c r="CE345" s="4">
        <v>30</v>
      </c>
      <c r="CF345" s="16" t="s">
        <v>5</v>
      </c>
      <c r="CG345" s="5">
        <v>5.5</v>
      </c>
      <c r="CH345" s="18" t="s">
        <v>5</v>
      </c>
    </row>
    <row r="346" spans="2:86">
      <c r="B346" s="78" t="s">
        <v>145</v>
      </c>
      <c r="C346" s="79" t="s">
        <v>352</v>
      </c>
      <c r="D346" s="80" t="s">
        <v>352</v>
      </c>
      <c r="E346" s="1" t="s">
        <v>4</v>
      </c>
      <c r="F346" s="4">
        <v>24</v>
      </c>
      <c r="G346" s="7">
        <v>7.07</v>
      </c>
      <c r="H346" s="3" t="str">
        <f t="shared" si="24"/>
        <v>WT7X24</v>
      </c>
      <c r="I346" s="7">
        <v>6.9</v>
      </c>
      <c r="J346" s="5">
        <v>6.875</v>
      </c>
      <c r="K346" s="6" t="s">
        <v>5</v>
      </c>
      <c r="L346" s="6" t="s">
        <v>5</v>
      </c>
      <c r="M346" s="6" t="s">
        <v>5</v>
      </c>
      <c r="N346" s="7">
        <v>8.0299999999999994</v>
      </c>
      <c r="O346" s="5">
        <v>8</v>
      </c>
      <c r="P346" s="5" t="s">
        <v>5</v>
      </c>
      <c r="Q346" s="6" t="s">
        <v>5</v>
      </c>
      <c r="R346" s="6" t="s">
        <v>5</v>
      </c>
      <c r="S346" s="22">
        <v>0.34</v>
      </c>
      <c r="T346" s="5">
        <v>0.3125</v>
      </c>
      <c r="U346" s="8">
        <v>0.1875</v>
      </c>
      <c r="V346" s="22">
        <v>0.59499999999999997</v>
      </c>
      <c r="W346" s="8">
        <v>0.625</v>
      </c>
      <c r="X346" s="22">
        <v>0.59499999999999997</v>
      </c>
      <c r="Y346" s="6" t="s">
        <v>5</v>
      </c>
      <c r="Z346" s="6" t="s">
        <v>5</v>
      </c>
      <c r="AA346" s="7">
        <v>1.19</v>
      </c>
      <c r="AB346" s="8">
        <v>1.4375</v>
      </c>
      <c r="AC346" s="8" t="s">
        <v>5</v>
      </c>
      <c r="AD346" s="6" t="s">
        <v>5</v>
      </c>
      <c r="AE346" s="7">
        <v>1.35</v>
      </c>
      <c r="AF346" s="6" t="s">
        <v>5</v>
      </c>
      <c r="AG346" s="6" t="s">
        <v>5</v>
      </c>
      <c r="AH346" s="22">
        <v>0.44</v>
      </c>
      <c r="AI346" s="7">
        <v>6.75</v>
      </c>
      <c r="AJ346" s="6" t="s">
        <v>5</v>
      </c>
      <c r="AK346" s="6" t="s">
        <v>5</v>
      </c>
      <c r="AL346" s="6" t="s">
        <v>5</v>
      </c>
      <c r="AM346" s="6" t="s">
        <v>5</v>
      </c>
      <c r="AN346" s="4">
        <v>20.3</v>
      </c>
      <c r="AO346" s="4">
        <v>24.9</v>
      </c>
      <c r="AP346" s="7">
        <v>8</v>
      </c>
      <c r="AQ346" s="7">
        <v>4.49</v>
      </c>
      <c r="AR346" s="7">
        <v>1.88</v>
      </c>
      <c r="AS346" s="4">
        <v>25.7</v>
      </c>
      <c r="AT346" s="7">
        <v>9.8000000000000007</v>
      </c>
      <c r="AU346" s="7">
        <v>6.4</v>
      </c>
      <c r="AV346" s="7">
        <v>1.91</v>
      </c>
      <c r="AW346" s="6" t="s">
        <v>5</v>
      </c>
      <c r="AX346" s="6" t="s">
        <v>5</v>
      </c>
      <c r="AY346" s="6" t="s">
        <v>5</v>
      </c>
      <c r="AZ346" s="22">
        <v>0.72299999999999998</v>
      </c>
      <c r="BA346" s="7">
        <v>1.07</v>
      </c>
      <c r="BB346" s="6" t="s">
        <v>5</v>
      </c>
      <c r="BC346" s="6" t="s">
        <v>5</v>
      </c>
      <c r="BD346" s="6" t="s">
        <v>5</v>
      </c>
      <c r="BE346" s="6" t="s">
        <v>5</v>
      </c>
      <c r="BF346" s="6" t="s">
        <v>5</v>
      </c>
      <c r="BG346" s="6" t="s">
        <v>5</v>
      </c>
      <c r="BH346" s="6" t="s">
        <v>5</v>
      </c>
      <c r="BI346" s="7">
        <v>2.87</v>
      </c>
      <c r="BJ346" s="22">
        <v>0.86599999999999999</v>
      </c>
      <c r="BK346" s="6" t="s">
        <v>5</v>
      </c>
      <c r="BL346" s="2" t="s">
        <v>5</v>
      </c>
      <c r="BM346" s="2" t="s">
        <v>5</v>
      </c>
      <c r="BN346" s="2" t="s">
        <v>5</v>
      </c>
      <c r="BO346" s="2" t="s">
        <v>5</v>
      </c>
      <c r="BP346" s="2" t="s">
        <v>5</v>
      </c>
      <c r="BQ346" s="2" t="s">
        <v>5</v>
      </c>
      <c r="BR346" s="2" t="s">
        <v>5</v>
      </c>
      <c r="BS346" s="2" t="s">
        <v>5</v>
      </c>
      <c r="BT346" s="2" t="s">
        <v>5</v>
      </c>
      <c r="BU346" s="2" t="s">
        <v>5</v>
      </c>
      <c r="BV346" s="2" t="s">
        <v>5</v>
      </c>
      <c r="BW346" s="2" t="s">
        <v>5</v>
      </c>
      <c r="BX346" s="2" t="s">
        <v>5</v>
      </c>
      <c r="BY346" s="25" t="s">
        <v>5</v>
      </c>
      <c r="BZ346" s="25" t="s">
        <v>5</v>
      </c>
      <c r="CA346" s="4">
        <v>21.1</v>
      </c>
      <c r="CB346" s="6" t="s">
        <v>5</v>
      </c>
      <c r="CC346" s="4">
        <v>29.2</v>
      </c>
      <c r="CD346" s="4">
        <v>21.8</v>
      </c>
      <c r="CE346" s="4">
        <v>29.9</v>
      </c>
      <c r="CF346" s="16" t="s">
        <v>5</v>
      </c>
      <c r="CG346" s="5">
        <v>5.5</v>
      </c>
      <c r="CH346" s="18" t="s">
        <v>5</v>
      </c>
    </row>
    <row r="347" spans="2:86">
      <c r="B347" s="78" t="s">
        <v>145</v>
      </c>
      <c r="C347" s="79" t="s">
        <v>353</v>
      </c>
      <c r="D347" s="80" t="s">
        <v>353</v>
      </c>
      <c r="E347" s="1" t="s">
        <v>4</v>
      </c>
      <c r="F347" s="4">
        <v>21.5</v>
      </c>
      <c r="G347" s="7">
        <v>6.31</v>
      </c>
      <c r="H347" s="3" t="str">
        <f t="shared" si="24"/>
        <v>WT7X21.5</v>
      </c>
      <c r="I347" s="7">
        <v>6.83</v>
      </c>
      <c r="J347" s="5">
        <v>6.875</v>
      </c>
      <c r="K347" s="6" t="s">
        <v>5</v>
      </c>
      <c r="L347" s="6" t="s">
        <v>5</v>
      </c>
      <c r="M347" s="6" t="s">
        <v>5</v>
      </c>
      <c r="N347" s="7">
        <v>8</v>
      </c>
      <c r="O347" s="5">
        <v>8</v>
      </c>
      <c r="P347" s="5" t="s">
        <v>5</v>
      </c>
      <c r="Q347" s="6" t="s">
        <v>5</v>
      </c>
      <c r="R347" s="6" t="s">
        <v>5</v>
      </c>
      <c r="S347" s="22">
        <v>0.30499999999999999</v>
      </c>
      <c r="T347" s="5">
        <v>0.3125</v>
      </c>
      <c r="U347" s="8">
        <v>0.1875</v>
      </c>
      <c r="V347" s="22">
        <v>0.53</v>
      </c>
      <c r="W347" s="8">
        <v>0.5</v>
      </c>
      <c r="X347" s="22">
        <v>0.53</v>
      </c>
      <c r="Y347" s="6" t="s">
        <v>5</v>
      </c>
      <c r="Z347" s="6" t="s">
        <v>5</v>
      </c>
      <c r="AA347" s="7">
        <v>1.1200000000000001</v>
      </c>
      <c r="AB347" s="8">
        <v>1.375</v>
      </c>
      <c r="AC347" s="8" t="s">
        <v>5</v>
      </c>
      <c r="AD347" s="6" t="s">
        <v>5</v>
      </c>
      <c r="AE347" s="7">
        <v>1.31</v>
      </c>
      <c r="AF347" s="6" t="s">
        <v>5</v>
      </c>
      <c r="AG347" s="6" t="s">
        <v>5</v>
      </c>
      <c r="AH347" s="22">
        <v>0.39500000000000002</v>
      </c>
      <c r="AI347" s="7">
        <v>7.54</v>
      </c>
      <c r="AJ347" s="6" t="s">
        <v>5</v>
      </c>
      <c r="AK347" s="6" t="s">
        <v>5</v>
      </c>
      <c r="AL347" s="6" t="s">
        <v>5</v>
      </c>
      <c r="AM347" s="6" t="s">
        <v>5</v>
      </c>
      <c r="AN347" s="4">
        <v>22.4</v>
      </c>
      <c r="AO347" s="4">
        <v>21.9</v>
      </c>
      <c r="AP347" s="7">
        <v>7.05</v>
      </c>
      <c r="AQ347" s="7">
        <v>3.98</v>
      </c>
      <c r="AR347" s="7">
        <v>1.86</v>
      </c>
      <c r="AS347" s="4">
        <v>22.6</v>
      </c>
      <c r="AT347" s="7">
        <v>8.64</v>
      </c>
      <c r="AU347" s="7">
        <v>5.65</v>
      </c>
      <c r="AV347" s="7">
        <v>1.89</v>
      </c>
      <c r="AW347" s="6" t="s">
        <v>5</v>
      </c>
      <c r="AX347" s="6" t="s">
        <v>5</v>
      </c>
      <c r="AY347" s="6" t="s">
        <v>5</v>
      </c>
      <c r="AZ347" s="22">
        <v>0.52200000000000002</v>
      </c>
      <c r="BA347" s="22">
        <v>0.751</v>
      </c>
      <c r="BB347" s="6" t="s">
        <v>5</v>
      </c>
      <c r="BC347" s="6" t="s">
        <v>5</v>
      </c>
      <c r="BD347" s="6" t="s">
        <v>5</v>
      </c>
      <c r="BE347" s="6" t="s">
        <v>5</v>
      </c>
      <c r="BF347" s="6" t="s">
        <v>5</v>
      </c>
      <c r="BG347" s="6" t="s">
        <v>5</v>
      </c>
      <c r="BH347" s="6" t="s">
        <v>5</v>
      </c>
      <c r="BI347" s="7">
        <v>2.86</v>
      </c>
      <c r="BJ347" s="22">
        <v>0.86499999999999999</v>
      </c>
      <c r="BK347" s="6" t="s">
        <v>5</v>
      </c>
      <c r="BL347" s="2" t="s">
        <v>5</v>
      </c>
      <c r="BM347" s="2" t="s">
        <v>5</v>
      </c>
      <c r="BN347" s="2" t="s">
        <v>5</v>
      </c>
      <c r="BO347" s="2" t="s">
        <v>5</v>
      </c>
      <c r="BP347" s="2" t="s">
        <v>5</v>
      </c>
      <c r="BQ347" s="2" t="s">
        <v>5</v>
      </c>
      <c r="BR347" s="2" t="s">
        <v>5</v>
      </c>
      <c r="BS347" s="2" t="s">
        <v>5</v>
      </c>
      <c r="BT347" s="2" t="s">
        <v>5</v>
      </c>
      <c r="BU347" s="2" t="s">
        <v>5</v>
      </c>
      <c r="BV347" s="2" t="s">
        <v>5</v>
      </c>
      <c r="BW347" s="2" t="s">
        <v>5</v>
      </c>
      <c r="BX347" s="2" t="s">
        <v>5</v>
      </c>
      <c r="BY347" s="25" t="s">
        <v>5</v>
      </c>
      <c r="BZ347" s="25" t="s">
        <v>5</v>
      </c>
      <c r="CA347" s="4">
        <v>21</v>
      </c>
      <c r="CB347" s="6" t="s">
        <v>5</v>
      </c>
      <c r="CC347" s="4">
        <v>29</v>
      </c>
      <c r="CD347" s="4">
        <v>21.7</v>
      </c>
      <c r="CE347" s="4">
        <v>29.7</v>
      </c>
      <c r="CF347" s="16" t="s">
        <v>5</v>
      </c>
      <c r="CG347" s="5">
        <v>5.5</v>
      </c>
      <c r="CH347" s="18" t="s">
        <v>5</v>
      </c>
    </row>
    <row r="348" spans="2:86">
      <c r="B348" s="78" t="s">
        <v>145</v>
      </c>
      <c r="C348" s="79" t="s">
        <v>354</v>
      </c>
      <c r="D348" s="80" t="s">
        <v>354</v>
      </c>
      <c r="E348" s="1" t="s">
        <v>4</v>
      </c>
      <c r="F348" s="4">
        <v>19</v>
      </c>
      <c r="G348" s="7">
        <v>5.58</v>
      </c>
      <c r="H348" s="3" t="str">
        <f t="shared" si="24"/>
        <v>WT7X19</v>
      </c>
      <c r="I348" s="7">
        <v>7.05</v>
      </c>
      <c r="J348" s="5">
        <v>7</v>
      </c>
      <c r="K348" s="6" t="s">
        <v>5</v>
      </c>
      <c r="L348" s="6" t="s">
        <v>5</v>
      </c>
      <c r="M348" s="6" t="s">
        <v>5</v>
      </c>
      <c r="N348" s="7">
        <v>6.77</v>
      </c>
      <c r="O348" s="5">
        <v>6.75</v>
      </c>
      <c r="P348" s="5" t="s">
        <v>5</v>
      </c>
      <c r="Q348" s="6" t="s">
        <v>5</v>
      </c>
      <c r="R348" s="6" t="s">
        <v>5</v>
      </c>
      <c r="S348" s="22">
        <v>0.31</v>
      </c>
      <c r="T348" s="5">
        <v>0.3125</v>
      </c>
      <c r="U348" s="8">
        <v>0.1875</v>
      </c>
      <c r="V348" s="22">
        <v>0.51500000000000001</v>
      </c>
      <c r="W348" s="8">
        <v>0.5</v>
      </c>
      <c r="X348" s="22">
        <v>0.51500000000000001</v>
      </c>
      <c r="Y348" s="6" t="s">
        <v>5</v>
      </c>
      <c r="Z348" s="6" t="s">
        <v>5</v>
      </c>
      <c r="AA348" s="22">
        <v>0.91500000000000004</v>
      </c>
      <c r="AB348" s="8">
        <v>1.25</v>
      </c>
      <c r="AC348" s="8" t="s">
        <v>5</v>
      </c>
      <c r="AD348" s="6" t="s">
        <v>5</v>
      </c>
      <c r="AE348" s="7">
        <v>1.54</v>
      </c>
      <c r="AF348" s="6" t="s">
        <v>5</v>
      </c>
      <c r="AG348" s="6" t="s">
        <v>5</v>
      </c>
      <c r="AH348" s="22">
        <v>0.41199999999999998</v>
      </c>
      <c r="AI348" s="7">
        <v>6.57</v>
      </c>
      <c r="AJ348" s="6" t="s">
        <v>5</v>
      </c>
      <c r="AK348" s="6" t="s">
        <v>5</v>
      </c>
      <c r="AL348" s="6" t="s">
        <v>5</v>
      </c>
      <c r="AM348" s="6" t="s">
        <v>5</v>
      </c>
      <c r="AN348" s="4">
        <v>22.7</v>
      </c>
      <c r="AO348" s="4">
        <v>23.3</v>
      </c>
      <c r="AP348" s="7">
        <v>7.45</v>
      </c>
      <c r="AQ348" s="7">
        <v>4.22</v>
      </c>
      <c r="AR348" s="7">
        <v>2.04</v>
      </c>
      <c r="AS348" s="4">
        <v>13.3</v>
      </c>
      <c r="AT348" s="7">
        <v>6.07</v>
      </c>
      <c r="AU348" s="7">
        <v>3.94</v>
      </c>
      <c r="AV348" s="7">
        <v>1.55</v>
      </c>
      <c r="AW348" s="6" t="s">
        <v>5</v>
      </c>
      <c r="AX348" s="6" t="s">
        <v>5</v>
      </c>
      <c r="AY348" s="6" t="s">
        <v>5</v>
      </c>
      <c r="AZ348" s="22">
        <v>0.39800000000000002</v>
      </c>
      <c r="BA348" s="22">
        <v>0.55400000000000005</v>
      </c>
      <c r="BB348" s="6" t="s">
        <v>5</v>
      </c>
      <c r="BC348" s="6" t="s">
        <v>5</v>
      </c>
      <c r="BD348" s="6" t="s">
        <v>5</v>
      </c>
      <c r="BE348" s="6" t="s">
        <v>5</v>
      </c>
      <c r="BF348" s="6" t="s">
        <v>5</v>
      </c>
      <c r="BG348" s="6" t="s">
        <v>5</v>
      </c>
      <c r="BH348" s="6" t="s">
        <v>5</v>
      </c>
      <c r="BI348" s="7">
        <v>2.86</v>
      </c>
      <c r="BJ348" s="22">
        <v>0.79900000000000004</v>
      </c>
      <c r="BK348" s="6" t="s">
        <v>5</v>
      </c>
      <c r="BL348" s="2" t="s">
        <v>5</v>
      </c>
      <c r="BM348" s="2" t="s">
        <v>5</v>
      </c>
      <c r="BN348" s="2" t="s">
        <v>5</v>
      </c>
      <c r="BO348" s="2" t="s">
        <v>5</v>
      </c>
      <c r="BP348" s="2" t="s">
        <v>5</v>
      </c>
      <c r="BQ348" s="2" t="s">
        <v>5</v>
      </c>
      <c r="BR348" s="2" t="s">
        <v>5</v>
      </c>
      <c r="BS348" s="2" t="s">
        <v>5</v>
      </c>
      <c r="BT348" s="2" t="s">
        <v>5</v>
      </c>
      <c r="BU348" s="2" t="s">
        <v>5</v>
      </c>
      <c r="BV348" s="2" t="s">
        <v>5</v>
      </c>
      <c r="BW348" s="2" t="s">
        <v>5</v>
      </c>
      <c r="BX348" s="2" t="s">
        <v>5</v>
      </c>
      <c r="BY348" s="25" t="s">
        <v>5</v>
      </c>
      <c r="BZ348" s="25" t="s">
        <v>5</v>
      </c>
      <c r="CA348" s="4">
        <v>20.399999999999999</v>
      </c>
      <c r="CB348" s="6" t="s">
        <v>5</v>
      </c>
      <c r="CC348" s="4">
        <v>27.1</v>
      </c>
      <c r="CD348" s="4">
        <v>20.9</v>
      </c>
      <c r="CE348" s="4">
        <v>27.6</v>
      </c>
      <c r="CF348" s="16" t="s">
        <v>5</v>
      </c>
      <c r="CG348" s="5">
        <v>3.5</v>
      </c>
      <c r="CH348" s="18" t="s">
        <v>5</v>
      </c>
    </row>
    <row r="349" spans="2:86">
      <c r="B349" s="78" t="s">
        <v>145</v>
      </c>
      <c r="C349" s="79" t="s">
        <v>355</v>
      </c>
      <c r="D349" s="80" t="s">
        <v>355</v>
      </c>
      <c r="E349" s="1" t="s">
        <v>4</v>
      </c>
      <c r="F349" s="4">
        <v>17</v>
      </c>
      <c r="G349" s="7">
        <v>5</v>
      </c>
      <c r="H349" s="3" t="str">
        <f t="shared" si="24"/>
        <v>WT7X17</v>
      </c>
      <c r="I349" s="7">
        <v>6.99</v>
      </c>
      <c r="J349" s="5">
        <v>7</v>
      </c>
      <c r="K349" s="6" t="s">
        <v>5</v>
      </c>
      <c r="L349" s="6" t="s">
        <v>5</v>
      </c>
      <c r="M349" s="6" t="s">
        <v>5</v>
      </c>
      <c r="N349" s="7">
        <v>6.75</v>
      </c>
      <c r="O349" s="5">
        <v>6.75</v>
      </c>
      <c r="P349" s="5" t="s">
        <v>5</v>
      </c>
      <c r="Q349" s="6" t="s">
        <v>5</v>
      </c>
      <c r="R349" s="6" t="s">
        <v>5</v>
      </c>
      <c r="S349" s="22">
        <v>0.28499999999999998</v>
      </c>
      <c r="T349" s="5">
        <v>0.3125</v>
      </c>
      <c r="U349" s="8">
        <v>0.1875</v>
      </c>
      <c r="V349" s="22">
        <v>0.45500000000000002</v>
      </c>
      <c r="W349" s="8">
        <v>0.4375</v>
      </c>
      <c r="X349" s="22">
        <v>0.45500000000000002</v>
      </c>
      <c r="Y349" s="6" t="s">
        <v>5</v>
      </c>
      <c r="Z349" s="6" t="s">
        <v>5</v>
      </c>
      <c r="AA349" s="22">
        <v>0.85499999999999998</v>
      </c>
      <c r="AB349" s="8">
        <v>1.1875</v>
      </c>
      <c r="AC349" s="8" t="s">
        <v>5</v>
      </c>
      <c r="AD349" s="6" t="s">
        <v>5</v>
      </c>
      <c r="AE349" s="7">
        <v>1.53</v>
      </c>
      <c r="AF349" s="6" t="s">
        <v>5</v>
      </c>
      <c r="AG349" s="6" t="s">
        <v>5</v>
      </c>
      <c r="AH349" s="22">
        <v>0.371</v>
      </c>
      <c r="AI349" s="7">
        <v>7.41</v>
      </c>
      <c r="AJ349" s="6" t="s">
        <v>5</v>
      </c>
      <c r="AK349" s="6" t="s">
        <v>5</v>
      </c>
      <c r="AL349" s="6" t="s">
        <v>5</v>
      </c>
      <c r="AM349" s="6" t="s">
        <v>5</v>
      </c>
      <c r="AN349" s="4">
        <v>24.5</v>
      </c>
      <c r="AO349" s="4">
        <v>20.9</v>
      </c>
      <c r="AP349" s="7">
        <v>6.74</v>
      </c>
      <c r="AQ349" s="7">
        <v>3.83</v>
      </c>
      <c r="AR349" s="7">
        <v>2.04</v>
      </c>
      <c r="AS349" s="4">
        <v>11.6</v>
      </c>
      <c r="AT349" s="7">
        <v>5.32</v>
      </c>
      <c r="AU349" s="7">
        <v>3.45</v>
      </c>
      <c r="AV349" s="7">
        <v>1.53</v>
      </c>
      <c r="AW349" s="6" t="s">
        <v>5</v>
      </c>
      <c r="AX349" s="6" t="s">
        <v>5</v>
      </c>
      <c r="AY349" s="6" t="s">
        <v>5</v>
      </c>
      <c r="AZ349" s="22">
        <v>0.28399999999999997</v>
      </c>
      <c r="BA349" s="22">
        <v>0.4</v>
      </c>
      <c r="BB349" s="6" t="s">
        <v>5</v>
      </c>
      <c r="BC349" s="6" t="s">
        <v>5</v>
      </c>
      <c r="BD349" s="6" t="s">
        <v>5</v>
      </c>
      <c r="BE349" s="6" t="s">
        <v>5</v>
      </c>
      <c r="BF349" s="6" t="s">
        <v>5</v>
      </c>
      <c r="BG349" s="6" t="s">
        <v>5</v>
      </c>
      <c r="BH349" s="6" t="s">
        <v>5</v>
      </c>
      <c r="BI349" s="7">
        <v>2.87</v>
      </c>
      <c r="BJ349" s="22">
        <v>0.79200000000000004</v>
      </c>
      <c r="BK349" s="6" t="s">
        <v>5</v>
      </c>
      <c r="BL349" s="2" t="s">
        <v>5</v>
      </c>
      <c r="BM349" s="2" t="s">
        <v>5</v>
      </c>
      <c r="BN349" s="2" t="s">
        <v>5</v>
      </c>
      <c r="BO349" s="2" t="s">
        <v>5</v>
      </c>
      <c r="BP349" s="2" t="s">
        <v>5</v>
      </c>
      <c r="BQ349" s="2" t="s">
        <v>5</v>
      </c>
      <c r="BR349" s="2" t="s">
        <v>5</v>
      </c>
      <c r="BS349" s="2" t="s">
        <v>5</v>
      </c>
      <c r="BT349" s="2" t="s">
        <v>5</v>
      </c>
      <c r="BU349" s="2" t="s">
        <v>5</v>
      </c>
      <c r="BV349" s="2" t="s">
        <v>5</v>
      </c>
      <c r="BW349" s="2" t="s">
        <v>5</v>
      </c>
      <c r="BX349" s="2" t="s">
        <v>5</v>
      </c>
      <c r="BY349" s="25" t="s">
        <v>5</v>
      </c>
      <c r="BZ349" s="25" t="s">
        <v>5</v>
      </c>
      <c r="CA349" s="4">
        <v>20.2</v>
      </c>
      <c r="CB349" s="6" t="s">
        <v>5</v>
      </c>
      <c r="CC349" s="4">
        <v>27</v>
      </c>
      <c r="CD349" s="4">
        <v>20.7</v>
      </c>
      <c r="CE349" s="4">
        <v>27.5</v>
      </c>
      <c r="CF349" s="16" t="s">
        <v>5</v>
      </c>
      <c r="CG349" s="5">
        <v>3.5</v>
      </c>
      <c r="CH349" s="18" t="s">
        <v>5</v>
      </c>
    </row>
    <row r="350" spans="2:86">
      <c r="B350" s="78" t="s">
        <v>145</v>
      </c>
      <c r="C350" s="79" t="s">
        <v>356</v>
      </c>
      <c r="D350" s="80" t="s">
        <v>356</v>
      </c>
      <c r="E350" s="1" t="s">
        <v>4</v>
      </c>
      <c r="F350" s="4">
        <v>15</v>
      </c>
      <c r="G350" s="7">
        <v>4.42</v>
      </c>
      <c r="H350" s="3" t="str">
        <f t="shared" si="24"/>
        <v>WT7X15</v>
      </c>
      <c r="I350" s="7">
        <v>6.92</v>
      </c>
      <c r="J350" s="5">
        <v>6.875</v>
      </c>
      <c r="K350" s="6" t="s">
        <v>5</v>
      </c>
      <c r="L350" s="6" t="s">
        <v>5</v>
      </c>
      <c r="M350" s="6" t="s">
        <v>5</v>
      </c>
      <c r="N350" s="7">
        <v>6.73</v>
      </c>
      <c r="O350" s="5">
        <v>6.75</v>
      </c>
      <c r="P350" s="5" t="s">
        <v>5</v>
      </c>
      <c r="Q350" s="6" t="s">
        <v>5</v>
      </c>
      <c r="R350" s="6" t="s">
        <v>5</v>
      </c>
      <c r="S350" s="22">
        <v>0.27</v>
      </c>
      <c r="T350" s="5">
        <v>0.25</v>
      </c>
      <c r="U350" s="8">
        <v>0.125</v>
      </c>
      <c r="V350" s="22">
        <v>0.38500000000000001</v>
      </c>
      <c r="W350" s="8">
        <v>0.375</v>
      </c>
      <c r="X350" s="22">
        <v>0.38500000000000001</v>
      </c>
      <c r="Y350" s="6" t="s">
        <v>5</v>
      </c>
      <c r="Z350" s="6" t="s">
        <v>5</v>
      </c>
      <c r="AA350" s="22">
        <v>0.78500000000000003</v>
      </c>
      <c r="AB350" s="8">
        <v>1.125</v>
      </c>
      <c r="AC350" s="8" t="s">
        <v>5</v>
      </c>
      <c r="AD350" s="6" t="s">
        <v>5</v>
      </c>
      <c r="AE350" s="7">
        <v>1.58</v>
      </c>
      <c r="AF350" s="6" t="s">
        <v>5</v>
      </c>
      <c r="AG350" s="6" t="s">
        <v>5</v>
      </c>
      <c r="AH350" s="22">
        <v>0.32900000000000001</v>
      </c>
      <c r="AI350" s="7">
        <v>8.74</v>
      </c>
      <c r="AJ350" s="6" t="s">
        <v>5</v>
      </c>
      <c r="AK350" s="6" t="s">
        <v>5</v>
      </c>
      <c r="AL350" s="6" t="s">
        <v>5</v>
      </c>
      <c r="AM350" s="6" t="s">
        <v>5</v>
      </c>
      <c r="AN350" s="4">
        <v>25.6</v>
      </c>
      <c r="AO350" s="4">
        <v>19</v>
      </c>
      <c r="AP350" s="7">
        <v>6.25</v>
      </c>
      <c r="AQ350" s="7">
        <v>3.55</v>
      </c>
      <c r="AR350" s="7">
        <v>2.0699999999999998</v>
      </c>
      <c r="AS350" s="7">
        <v>9.7899999999999991</v>
      </c>
      <c r="AT350" s="7">
        <v>4.49</v>
      </c>
      <c r="AU350" s="7">
        <v>2.91</v>
      </c>
      <c r="AV350" s="7">
        <v>1.49</v>
      </c>
      <c r="AW350" s="6" t="s">
        <v>5</v>
      </c>
      <c r="AX350" s="6" t="s">
        <v>5</v>
      </c>
      <c r="AY350" s="6" t="s">
        <v>5</v>
      </c>
      <c r="AZ350" s="22">
        <v>0.19</v>
      </c>
      <c r="BA350" s="22">
        <v>0.28699999999999998</v>
      </c>
      <c r="BB350" s="6" t="s">
        <v>5</v>
      </c>
      <c r="BC350" s="6" t="s">
        <v>5</v>
      </c>
      <c r="BD350" s="6" t="s">
        <v>5</v>
      </c>
      <c r="BE350" s="6" t="s">
        <v>5</v>
      </c>
      <c r="BF350" s="6" t="s">
        <v>5</v>
      </c>
      <c r="BG350" s="6" t="s">
        <v>5</v>
      </c>
      <c r="BH350" s="6" t="s">
        <v>5</v>
      </c>
      <c r="BI350" s="7">
        <v>2.9</v>
      </c>
      <c r="BJ350" s="22">
        <v>0.77200000000000002</v>
      </c>
      <c r="BK350" s="6" t="s">
        <v>5</v>
      </c>
      <c r="BL350" s="2" t="s">
        <v>5</v>
      </c>
      <c r="BM350" s="2" t="s">
        <v>5</v>
      </c>
      <c r="BN350" s="2" t="s">
        <v>5</v>
      </c>
      <c r="BO350" s="2" t="s">
        <v>5</v>
      </c>
      <c r="BP350" s="2" t="s">
        <v>5</v>
      </c>
      <c r="BQ350" s="2" t="s">
        <v>5</v>
      </c>
      <c r="BR350" s="2" t="s">
        <v>5</v>
      </c>
      <c r="BS350" s="2" t="s">
        <v>5</v>
      </c>
      <c r="BT350" s="2" t="s">
        <v>5</v>
      </c>
      <c r="BU350" s="2" t="s">
        <v>5</v>
      </c>
      <c r="BV350" s="2" t="s">
        <v>5</v>
      </c>
      <c r="BW350" s="2" t="s">
        <v>5</v>
      </c>
      <c r="BX350" s="2" t="s">
        <v>5</v>
      </c>
      <c r="BY350" s="25" t="s">
        <v>5</v>
      </c>
      <c r="BZ350" s="25" t="s">
        <v>5</v>
      </c>
      <c r="CA350" s="4">
        <v>20.100000000000001</v>
      </c>
      <c r="CB350" s="6" t="s">
        <v>5</v>
      </c>
      <c r="CC350" s="4">
        <v>26.8</v>
      </c>
      <c r="CD350" s="4">
        <v>20.6</v>
      </c>
      <c r="CE350" s="6">
        <v>27.3</v>
      </c>
      <c r="CF350" s="16" t="s">
        <v>5</v>
      </c>
      <c r="CG350" s="5">
        <v>3.5</v>
      </c>
      <c r="CH350" s="18" t="s">
        <v>5</v>
      </c>
    </row>
    <row r="351" spans="2:86">
      <c r="B351" s="78" t="s">
        <v>145</v>
      </c>
      <c r="C351" s="79" t="s">
        <v>357</v>
      </c>
      <c r="D351" s="80" t="s">
        <v>357</v>
      </c>
      <c r="E351" s="1" t="s">
        <v>4</v>
      </c>
      <c r="F351" s="4">
        <v>13</v>
      </c>
      <c r="G351" s="7">
        <v>3.85</v>
      </c>
      <c r="H351" s="3" t="str">
        <f t="shared" si="24"/>
        <v>WT7X13</v>
      </c>
      <c r="I351" s="7">
        <v>6.96</v>
      </c>
      <c r="J351" s="5">
        <v>7</v>
      </c>
      <c r="K351" s="6" t="s">
        <v>5</v>
      </c>
      <c r="L351" s="6" t="s">
        <v>5</v>
      </c>
      <c r="M351" s="6" t="s">
        <v>5</v>
      </c>
      <c r="N351" s="7">
        <v>5.03</v>
      </c>
      <c r="O351" s="5">
        <v>5</v>
      </c>
      <c r="P351" s="5" t="s">
        <v>5</v>
      </c>
      <c r="Q351" s="6" t="s">
        <v>5</v>
      </c>
      <c r="R351" s="6" t="s">
        <v>5</v>
      </c>
      <c r="S351" s="22">
        <v>0.255</v>
      </c>
      <c r="T351" s="5">
        <v>0.25</v>
      </c>
      <c r="U351" s="8">
        <v>0.125</v>
      </c>
      <c r="V351" s="22">
        <v>0.42</v>
      </c>
      <c r="W351" s="8">
        <v>0.4375</v>
      </c>
      <c r="X351" s="22">
        <v>0.42</v>
      </c>
      <c r="Y351" s="6" t="s">
        <v>5</v>
      </c>
      <c r="Z351" s="6" t="s">
        <v>5</v>
      </c>
      <c r="AA351" s="22">
        <v>0.82</v>
      </c>
      <c r="AB351" s="8">
        <v>1.125</v>
      </c>
      <c r="AC351" s="8" t="s">
        <v>5</v>
      </c>
      <c r="AD351" s="6" t="s">
        <v>5</v>
      </c>
      <c r="AE351" s="7">
        <v>1.72</v>
      </c>
      <c r="AF351" s="6" t="s">
        <v>5</v>
      </c>
      <c r="AG351" s="6" t="s">
        <v>5</v>
      </c>
      <c r="AH351" s="22">
        <v>0.38300000000000001</v>
      </c>
      <c r="AI351" s="7">
        <v>5.98</v>
      </c>
      <c r="AJ351" s="6" t="s">
        <v>5</v>
      </c>
      <c r="AK351" s="6" t="s">
        <v>5</v>
      </c>
      <c r="AL351" s="6" t="s">
        <v>5</v>
      </c>
      <c r="AM351" s="6" t="s">
        <v>5</v>
      </c>
      <c r="AN351" s="4">
        <v>27.3</v>
      </c>
      <c r="AO351" s="4">
        <v>17.3</v>
      </c>
      <c r="AP351" s="7">
        <v>5.89</v>
      </c>
      <c r="AQ351" s="7">
        <v>3.31</v>
      </c>
      <c r="AR351" s="7">
        <v>2.12</v>
      </c>
      <c r="AS351" s="7">
        <v>4.45</v>
      </c>
      <c r="AT351" s="7">
        <v>2.76</v>
      </c>
      <c r="AU351" s="7">
        <v>1.77</v>
      </c>
      <c r="AV351" s="7">
        <v>1.08</v>
      </c>
      <c r="AW351" s="6" t="s">
        <v>5</v>
      </c>
      <c r="AX351" s="6" t="s">
        <v>5</v>
      </c>
      <c r="AY351" s="6" t="s">
        <v>5</v>
      </c>
      <c r="AZ351" s="22">
        <v>0.17899999999999999</v>
      </c>
      <c r="BA351" s="22">
        <v>0.20699999999999999</v>
      </c>
      <c r="BB351" s="6" t="s">
        <v>5</v>
      </c>
      <c r="BC351" s="6" t="s">
        <v>5</v>
      </c>
      <c r="BD351" s="6" t="s">
        <v>5</v>
      </c>
      <c r="BE351" s="6" t="s">
        <v>5</v>
      </c>
      <c r="BF351" s="6" t="s">
        <v>5</v>
      </c>
      <c r="BG351" s="6" t="s">
        <v>5</v>
      </c>
      <c r="BH351" s="6" t="s">
        <v>5</v>
      </c>
      <c r="BI351" s="7">
        <v>2.82</v>
      </c>
      <c r="BJ351" s="22">
        <v>0.71199999999999997</v>
      </c>
      <c r="BK351" s="6" t="s">
        <v>5</v>
      </c>
      <c r="BL351" s="2" t="s">
        <v>5</v>
      </c>
      <c r="BM351" s="2" t="s">
        <v>5</v>
      </c>
      <c r="BN351" s="2" t="s">
        <v>5</v>
      </c>
      <c r="BO351" s="2" t="s">
        <v>5</v>
      </c>
      <c r="BP351" s="2" t="s">
        <v>5</v>
      </c>
      <c r="BQ351" s="2" t="s">
        <v>5</v>
      </c>
      <c r="BR351" s="2" t="s">
        <v>5</v>
      </c>
      <c r="BS351" s="2" t="s">
        <v>5</v>
      </c>
      <c r="BT351" s="2" t="s">
        <v>5</v>
      </c>
      <c r="BU351" s="2" t="s">
        <v>5</v>
      </c>
      <c r="BV351" s="2" t="s">
        <v>5</v>
      </c>
      <c r="BW351" s="2" t="s">
        <v>5</v>
      </c>
      <c r="BX351" s="2" t="s">
        <v>5</v>
      </c>
      <c r="BY351" s="25" t="s">
        <v>5</v>
      </c>
      <c r="BZ351" s="25" t="s">
        <v>5</v>
      </c>
      <c r="CA351" s="4">
        <v>18.399999999999999</v>
      </c>
      <c r="CB351" s="6" t="s">
        <v>5</v>
      </c>
      <c r="CC351" s="4">
        <v>23.5</v>
      </c>
      <c r="CD351" s="4">
        <v>19</v>
      </c>
      <c r="CE351" s="4">
        <v>24</v>
      </c>
      <c r="CF351" s="16" t="s">
        <v>5</v>
      </c>
      <c r="CG351" s="5">
        <v>2.75</v>
      </c>
      <c r="CH351" s="18" t="s">
        <v>5</v>
      </c>
    </row>
    <row r="352" spans="2:86">
      <c r="B352" s="78" t="s">
        <v>145</v>
      </c>
      <c r="C352" s="79" t="s">
        <v>358</v>
      </c>
      <c r="D352" s="80" t="s">
        <v>358</v>
      </c>
      <c r="E352" s="1" t="s">
        <v>4</v>
      </c>
      <c r="F352" s="4">
        <v>11</v>
      </c>
      <c r="G352" s="7">
        <v>3.25</v>
      </c>
      <c r="H352" s="3" t="str">
        <f t="shared" si="24"/>
        <v>WT7X11</v>
      </c>
      <c r="I352" s="7">
        <v>6.87</v>
      </c>
      <c r="J352" s="5">
        <v>6.875</v>
      </c>
      <c r="K352" s="6" t="s">
        <v>5</v>
      </c>
      <c r="L352" s="6" t="s">
        <v>5</v>
      </c>
      <c r="M352" s="6" t="s">
        <v>5</v>
      </c>
      <c r="N352" s="7">
        <v>5</v>
      </c>
      <c r="O352" s="5">
        <v>5</v>
      </c>
      <c r="P352" s="5" t="s">
        <v>5</v>
      </c>
      <c r="Q352" s="6" t="s">
        <v>5</v>
      </c>
      <c r="R352" s="6" t="s">
        <v>5</v>
      </c>
      <c r="S352" s="22">
        <v>0.23</v>
      </c>
      <c r="T352" s="5">
        <v>0.25</v>
      </c>
      <c r="U352" s="8">
        <v>0.125</v>
      </c>
      <c r="V352" s="22">
        <v>0.33500000000000002</v>
      </c>
      <c r="W352" s="8">
        <v>0.3125</v>
      </c>
      <c r="X352" s="22">
        <v>0.33500000000000002</v>
      </c>
      <c r="Y352" s="6" t="s">
        <v>5</v>
      </c>
      <c r="Z352" s="6" t="s">
        <v>5</v>
      </c>
      <c r="AA352" s="22">
        <v>0.73499999999999999</v>
      </c>
      <c r="AB352" s="8">
        <v>1.0625</v>
      </c>
      <c r="AC352" s="8" t="s">
        <v>5</v>
      </c>
      <c r="AD352" s="6" t="s">
        <v>5</v>
      </c>
      <c r="AE352" s="7">
        <v>1.76</v>
      </c>
      <c r="AF352" s="6" t="s">
        <v>5</v>
      </c>
      <c r="AG352" s="6" t="s">
        <v>5</v>
      </c>
      <c r="AH352" s="22">
        <v>0.32500000000000001</v>
      </c>
      <c r="AI352" s="7">
        <v>7.46</v>
      </c>
      <c r="AJ352" s="6" t="s">
        <v>5</v>
      </c>
      <c r="AK352" s="6" t="s">
        <v>5</v>
      </c>
      <c r="AL352" s="6" t="s">
        <v>5</v>
      </c>
      <c r="AM352" s="6" t="s">
        <v>5</v>
      </c>
      <c r="AN352" s="4">
        <v>29.9</v>
      </c>
      <c r="AO352" s="4">
        <v>14.8</v>
      </c>
      <c r="AP352" s="7">
        <v>5.2</v>
      </c>
      <c r="AQ352" s="7">
        <v>2.91</v>
      </c>
      <c r="AR352" s="7">
        <v>2.14</v>
      </c>
      <c r="AS352" s="7">
        <v>3.5</v>
      </c>
      <c r="AT352" s="7">
        <v>2.19</v>
      </c>
      <c r="AU352" s="7">
        <v>1.4</v>
      </c>
      <c r="AV352" s="7">
        <v>1.04</v>
      </c>
      <c r="AW352" s="6" t="s">
        <v>5</v>
      </c>
      <c r="AX352" s="6" t="s">
        <v>5</v>
      </c>
      <c r="AY352" s="6" t="s">
        <v>5</v>
      </c>
      <c r="AZ352" s="22">
        <v>0.104</v>
      </c>
      <c r="BA352" s="22">
        <v>0.13400000000000001</v>
      </c>
      <c r="BB352" s="6" t="s">
        <v>5</v>
      </c>
      <c r="BC352" s="6" t="s">
        <v>5</v>
      </c>
      <c r="BD352" s="6" t="s">
        <v>5</v>
      </c>
      <c r="BE352" s="6" t="s">
        <v>5</v>
      </c>
      <c r="BF352" s="6" t="s">
        <v>5</v>
      </c>
      <c r="BG352" s="6" t="s">
        <v>5</v>
      </c>
      <c r="BH352" s="6" t="s">
        <v>5</v>
      </c>
      <c r="BI352" s="7">
        <v>2.86</v>
      </c>
      <c r="BJ352" s="22">
        <v>0.68899999999999995</v>
      </c>
      <c r="BK352" s="6" t="s">
        <v>5</v>
      </c>
      <c r="BL352" s="2" t="s">
        <v>5</v>
      </c>
      <c r="BM352" s="2" t="s">
        <v>5</v>
      </c>
      <c r="BN352" s="2" t="s">
        <v>5</v>
      </c>
      <c r="BO352" s="2" t="s">
        <v>5</v>
      </c>
      <c r="BP352" s="2" t="s">
        <v>5</v>
      </c>
      <c r="BQ352" s="2" t="s">
        <v>5</v>
      </c>
      <c r="BR352" s="2" t="s">
        <v>5</v>
      </c>
      <c r="BS352" s="2" t="s">
        <v>5</v>
      </c>
      <c r="BT352" s="2" t="s">
        <v>5</v>
      </c>
      <c r="BU352" s="2" t="s">
        <v>5</v>
      </c>
      <c r="BV352" s="2" t="s">
        <v>5</v>
      </c>
      <c r="BW352" s="2" t="s">
        <v>5</v>
      </c>
      <c r="BX352" s="2" t="s">
        <v>5</v>
      </c>
      <c r="BY352" s="25" t="s">
        <v>5</v>
      </c>
      <c r="BZ352" s="25" t="s">
        <v>5</v>
      </c>
      <c r="CA352" s="4">
        <v>18.2</v>
      </c>
      <c r="CB352" s="6" t="s">
        <v>5</v>
      </c>
      <c r="CC352" s="4">
        <v>23.2</v>
      </c>
      <c r="CD352" s="4">
        <v>18.7</v>
      </c>
      <c r="CE352" s="4">
        <v>23.7</v>
      </c>
      <c r="CF352" s="16" t="s">
        <v>5</v>
      </c>
      <c r="CG352" s="5">
        <v>2.75</v>
      </c>
      <c r="CH352" s="18" t="s">
        <v>5</v>
      </c>
    </row>
    <row r="353" spans="2:86">
      <c r="B353" s="78" t="s">
        <v>145</v>
      </c>
      <c r="C353" s="79" t="s">
        <v>359</v>
      </c>
      <c r="D353" s="80" t="s">
        <v>359</v>
      </c>
      <c r="E353" s="1" t="s">
        <v>6</v>
      </c>
      <c r="F353" s="6">
        <v>168</v>
      </c>
      <c r="G353" s="4">
        <v>49.5</v>
      </c>
      <c r="H353" s="3" t="str">
        <f t="shared" si="24"/>
        <v>WT6X168</v>
      </c>
      <c r="I353" s="7">
        <v>8.41</v>
      </c>
      <c r="J353" s="5">
        <v>8.375</v>
      </c>
      <c r="K353" s="6" t="s">
        <v>5</v>
      </c>
      <c r="L353" s="6" t="s">
        <v>5</v>
      </c>
      <c r="M353" s="6" t="s">
        <v>5</v>
      </c>
      <c r="N353" s="4">
        <v>13.4</v>
      </c>
      <c r="O353" s="5">
        <v>13.375</v>
      </c>
      <c r="P353" s="5" t="s">
        <v>5</v>
      </c>
      <c r="Q353" s="6" t="s">
        <v>5</v>
      </c>
      <c r="R353" s="6" t="s">
        <v>5</v>
      </c>
      <c r="S353" s="7">
        <v>1.78</v>
      </c>
      <c r="T353" s="5">
        <v>1.75</v>
      </c>
      <c r="U353" s="8">
        <v>0.875</v>
      </c>
      <c r="V353" s="7">
        <v>2.96</v>
      </c>
      <c r="W353" s="8">
        <v>2.9375</v>
      </c>
      <c r="X353" s="7">
        <v>2.96</v>
      </c>
      <c r="Y353" s="6" t="s">
        <v>5</v>
      </c>
      <c r="Z353" s="6" t="s">
        <v>5</v>
      </c>
      <c r="AA353" s="7">
        <v>3.55</v>
      </c>
      <c r="AB353" s="8">
        <v>3.875</v>
      </c>
      <c r="AC353" s="8" t="s">
        <v>5</v>
      </c>
      <c r="AD353" s="6" t="s">
        <v>5</v>
      </c>
      <c r="AE353" s="7">
        <v>2.31</v>
      </c>
      <c r="AF353" s="6" t="s">
        <v>5</v>
      </c>
      <c r="AG353" s="6" t="s">
        <v>5</v>
      </c>
      <c r="AH353" s="7">
        <v>1.84</v>
      </c>
      <c r="AI353" s="7">
        <v>2.2599999999999998</v>
      </c>
      <c r="AJ353" s="6" t="s">
        <v>5</v>
      </c>
      <c r="AK353" s="6" t="s">
        <v>5</v>
      </c>
      <c r="AL353" s="6" t="s">
        <v>5</v>
      </c>
      <c r="AM353" s="6" t="s">
        <v>5</v>
      </c>
      <c r="AN353" s="7">
        <v>4.72</v>
      </c>
      <c r="AO353" s="6">
        <v>190</v>
      </c>
      <c r="AP353" s="4">
        <v>68.400000000000006</v>
      </c>
      <c r="AQ353" s="4">
        <v>31.2</v>
      </c>
      <c r="AR353" s="7">
        <v>1.96</v>
      </c>
      <c r="AS353" s="6">
        <v>593</v>
      </c>
      <c r="AT353" s="6">
        <v>137</v>
      </c>
      <c r="AU353" s="4">
        <v>88.6</v>
      </c>
      <c r="AV353" s="7">
        <v>3.47</v>
      </c>
      <c r="AW353" s="6" t="s">
        <v>5</v>
      </c>
      <c r="AX353" s="6" t="s">
        <v>5</v>
      </c>
      <c r="AY353" s="6" t="s">
        <v>5</v>
      </c>
      <c r="AZ353" s="6">
        <v>120</v>
      </c>
      <c r="BA353" s="6">
        <v>481</v>
      </c>
      <c r="BB353" s="6" t="s">
        <v>5</v>
      </c>
      <c r="BC353" s="6" t="s">
        <v>5</v>
      </c>
      <c r="BD353" s="6" t="s">
        <v>5</v>
      </c>
      <c r="BE353" s="6" t="s">
        <v>5</v>
      </c>
      <c r="BF353" s="6" t="s">
        <v>5</v>
      </c>
      <c r="BG353" s="6" t="s">
        <v>5</v>
      </c>
      <c r="BH353" s="6" t="s">
        <v>5</v>
      </c>
      <c r="BI353" s="7">
        <v>4.07</v>
      </c>
      <c r="BJ353" s="22">
        <v>0.95799999999999996</v>
      </c>
      <c r="BK353" s="6" t="s">
        <v>5</v>
      </c>
      <c r="BL353" s="2" t="s">
        <v>5</v>
      </c>
      <c r="BM353" s="2" t="s">
        <v>5</v>
      </c>
      <c r="BN353" s="2" t="s">
        <v>5</v>
      </c>
      <c r="BO353" s="2" t="s">
        <v>5</v>
      </c>
      <c r="BP353" s="2" t="s">
        <v>5</v>
      </c>
      <c r="BQ353" s="2" t="s">
        <v>5</v>
      </c>
      <c r="BR353" s="2" t="s">
        <v>5</v>
      </c>
      <c r="BS353" s="2" t="s">
        <v>5</v>
      </c>
      <c r="BT353" s="2" t="s">
        <v>5</v>
      </c>
      <c r="BU353" s="2" t="s">
        <v>5</v>
      </c>
      <c r="BV353" s="2" t="s">
        <v>5</v>
      </c>
      <c r="BW353" s="2" t="s">
        <v>5</v>
      </c>
      <c r="BX353" s="2" t="s">
        <v>5</v>
      </c>
      <c r="BY353" s="25" t="s">
        <v>5</v>
      </c>
      <c r="BZ353" s="25" t="s">
        <v>5</v>
      </c>
      <c r="CA353" s="4">
        <v>29.5</v>
      </c>
      <c r="CB353" s="6" t="s">
        <v>5</v>
      </c>
      <c r="CC353" s="4">
        <v>42.9</v>
      </c>
      <c r="CD353" s="4">
        <v>30.2</v>
      </c>
      <c r="CE353" s="4">
        <v>43.6</v>
      </c>
      <c r="CF353" s="16" t="s">
        <v>5</v>
      </c>
      <c r="CG353" s="5">
        <v>5.5</v>
      </c>
      <c r="CH353" s="18" t="s">
        <v>5</v>
      </c>
    </row>
    <row r="354" spans="2:86">
      <c r="B354" s="78" t="s">
        <v>145</v>
      </c>
      <c r="C354" s="79" t="s">
        <v>360</v>
      </c>
      <c r="D354" s="80" t="s">
        <v>360</v>
      </c>
      <c r="E354" s="1" t="s">
        <v>6</v>
      </c>
      <c r="F354" s="6">
        <v>152.5</v>
      </c>
      <c r="G354" s="4">
        <v>44.7</v>
      </c>
      <c r="H354" s="3" t="str">
        <f t="shared" si="24"/>
        <v>WT6X152.5</v>
      </c>
      <c r="I354" s="7">
        <v>8.16</v>
      </c>
      <c r="J354" s="5">
        <v>8.125</v>
      </c>
      <c r="K354" s="6" t="s">
        <v>5</v>
      </c>
      <c r="L354" s="6" t="s">
        <v>5</v>
      </c>
      <c r="M354" s="6" t="s">
        <v>5</v>
      </c>
      <c r="N354" s="4">
        <v>13.2</v>
      </c>
      <c r="O354" s="5">
        <v>13.25</v>
      </c>
      <c r="P354" s="5" t="s">
        <v>5</v>
      </c>
      <c r="Q354" s="6" t="s">
        <v>5</v>
      </c>
      <c r="R354" s="6" t="s">
        <v>5</v>
      </c>
      <c r="S354" s="7">
        <v>1.63</v>
      </c>
      <c r="T354" s="5">
        <v>1.625</v>
      </c>
      <c r="U354" s="8">
        <v>0.8125</v>
      </c>
      <c r="V354" s="7">
        <v>2.71</v>
      </c>
      <c r="W354" s="8">
        <v>2.6875</v>
      </c>
      <c r="X354" s="7">
        <v>2.71</v>
      </c>
      <c r="Y354" s="6" t="s">
        <v>5</v>
      </c>
      <c r="Z354" s="6" t="s">
        <v>5</v>
      </c>
      <c r="AA354" s="7">
        <v>3.3</v>
      </c>
      <c r="AB354" s="8">
        <v>3.625</v>
      </c>
      <c r="AC354" s="8" t="s">
        <v>5</v>
      </c>
      <c r="AD354" s="6" t="s">
        <v>5</v>
      </c>
      <c r="AE354" s="7">
        <v>2.16</v>
      </c>
      <c r="AF354" s="6" t="s">
        <v>5</v>
      </c>
      <c r="AG354" s="6" t="s">
        <v>5</v>
      </c>
      <c r="AH354" s="7">
        <v>1.69</v>
      </c>
      <c r="AI354" s="7">
        <v>2.4500000000000002</v>
      </c>
      <c r="AJ354" s="6" t="s">
        <v>5</v>
      </c>
      <c r="AK354" s="6" t="s">
        <v>5</v>
      </c>
      <c r="AL354" s="6" t="s">
        <v>5</v>
      </c>
      <c r="AM354" s="6" t="s">
        <v>5</v>
      </c>
      <c r="AN354" s="7">
        <v>5.01</v>
      </c>
      <c r="AO354" s="6">
        <v>162</v>
      </c>
      <c r="AP354" s="4">
        <v>59.1</v>
      </c>
      <c r="AQ354" s="4">
        <v>27</v>
      </c>
      <c r="AR354" s="7">
        <v>1.9</v>
      </c>
      <c r="AS354" s="6">
        <v>525</v>
      </c>
      <c r="AT354" s="6">
        <v>122</v>
      </c>
      <c r="AU354" s="4">
        <v>79.3</v>
      </c>
      <c r="AV354" s="7">
        <v>3.42</v>
      </c>
      <c r="AW354" s="6" t="s">
        <v>5</v>
      </c>
      <c r="AX354" s="6" t="s">
        <v>5</v>
      </c>
      <c r="AY354" s="6" t="s">
        <v>5</v>
      </c>
      <c r="AZ354" s="4">
        <v>92</v>
      </c>
      <c r="BA354" s="6">
        <v>356</v>
      </c>
      <c r="BB354" s="6" t="s">
        <v>5</v>
      </c>
      <c r="BC354" s="6" t="s">
        <v>5</v>
      </c>
      <c r="BD354" s="6" t="s">
        <v>5</v>
      </c>
      <c r="BE354" s="6" t="s">
        <v>5</v>
      </c>
      <c r="BF354" s="6" t="s">
        <v>5</v>
      </c>
      <c r="BG354" s="6" t="s">
        <v>5</v>
      </c>
      <c r="BH354" s="6" t="s">
        <v>5</v>
      </c>
      <c r="BI354" s="7">
        <v>4</v>
      </c>
      <c r="BJ354" s="22">
        <v>0.95899999999999996</v>
      </c>
      <c r="BK354" s="6" t="s">
        <v>5</v>
      </c>
      <c r="BL354" s="2" t="s">
        <v>5</v>
      </c>
      <c r="BM354" s="2" t="s">
        <v>5</v>
      </c>
      <c r="BN354" s="2" t="s">
        <v>5</v>
      </c>
      <c r="BO354" s="2" t="s">
        <v>5</v>
      </c>
      <c r="BP354" s="2" t="s">
        <v>5</v>
      </c>
      <c r="BQ354" s="2" t="s">
        <v>5</v>
      </c>
      <c r="BR354" s="2" t="s">
        <v>5</v>
      </c>
      <c r="BS354" s="2" t="s">
        <v>5</v>
      </c>
      <c r="BT354" s="2" t="s">
        <v>5</v>
      </c>
      <c r="BU354" s="2" t="s">
        <v>5</v>
      </c>
      <c r="BV354" s="2" t="s">
        <v>5</v>
      </c>
      <c r="BW354" s="2" t="s">
        <v>5</v>
      </c>
      <c r="BX354" s="2" t="s">
        <v>5</v>
      </c>
      <c r="BY354" s="25" t="s">
        <v>5</v>
      </c>
      <c r="BZ354" s="25" t="s">
        <v>5</v>
      </c>
      <c r="CA354" s="4">
        <v>28.8</v>
      </c>
      <c r="CB354" s="6" t="s">
        <v>5</v>
      </c>
      <c r="CC354" s="4">
        <v>42</v>
      </c>
      <c r="CD354" s="4">
        <v>29.5</v>
      </c>
      <c r="CE354" s="4">
        <v>42.7</v>
      </c>
      <c r="CF354" s="16" t="s">
        <v>5</v>
      </c>
      <c r="CG354" s="5">
        <v>5.5</v>
      </c>
      <c r="CH354" s="18" t="s">
        <v>5</v>
      </c>
    </row>
    <row r="355" spans="2:86">
      <c r="B355" s="78" t="s">
        <v>145</v>
      </c>
      <c r="C355" s="79" t="s">
        <v>361</v>
      </c>
      <c r="D355" s="80" t="s">
        <v>361</v>
      </c>
      <c r="E355" s="1" t="s">
        <v>6</v>
      </c>
      <c r="F355" s="6">
        <v>139.5</v>
      </c>
      <c r="G355" s="4">
        <v>41</v>
      </c>
      <c r="H355" s="3" t="str">
        <f t="shared" si="24"/>
        <v>WT6X139.5</v>
      </c>
      <c r="I355" s="7">
        <v>7.93</v>
      </c>
      <c r="J355" s="5">
        <v>7.875</v>
      </c>
      <c r="K355" s="6" t="s">
        <v>5</v>
      </c>
      <c r="L355" s="6" t="s">
        <v>5</v>
      </c>
      <c r="M355" s="6" t="s">
        <v>5</v>
      </c>
      <c r="N355" s="4">
        <v>13.1</v>
      </c>
      <c r="O355" s="5">
        <v>13.125</v>
      </c>
      <c r="P355" s="5" t="s">
        <v>5</v>
      </c>
      <c r="Q355" s="6" t="s">
        <v>5</v>
      </c>
      <c r="R355" s="6" t="s">
        <v>5</v>
      </c>
      <c r="S355" s="7">
        <v>1.53</v>
      </c>
      <c r="T355" s="5">
        <v>1.5</v>
      </c>
      <c r="U355" s="8">
        <v>0.75</v>
      </c>
      <c r="V355" s="7">
        <v>2.4700000000000002</v>
      </c>
      <c r="W355" s="8">
        <v>2.5</v>
      </c>
      <c r="X355" s="7">
        <v>2.4700000000000002</v>
      </c>
      <c r="Y355" s="6" t="s">
        <v>5</v>
      </c>
      <c r="Z355" s="6" t="s">
        <v>5</v>
      </c>
      <c r="AA355" s="7">
        <v>3.07</v>
      </c>
      <c r="AB355" s="8">
        <v>3.375</v>
      </c>
      <c r="AC355" s="8" t="s">
        <v>5</v>
      </c>
      <c r="AD355" s="6" t="s">
        <v>5</v>
      </c>
      <c r="AE355" s="7">
        <v>2.0499999999999998</v>
      </c>
      <c r="AF355" s="6" t="s">
        <v>5</v>
      </c>
      <c r="AG355" s="6" t="s">
        <v>5</v>
      </c>
      <c r="AH355" s="7">
        <v>1.56</v>
      </c>
      <c r="AI355" s="7">
        <v>2.66</v>
      </c>
      <c r="AJ355" s="6" t="s">
        <v>5</v>
      </c>
      <c r="AK355" s="6" t="s">
        <v>5</v>
      </c>
      <c r="AL355" s="6" t="s">
        <v>5</v>
      </c>
      <c r="AM355" s="6" t="s">
        <v>5</v>
      </c>
      <c r="AN355" s="7">
        <v>5.18</v>
      </c>
      <c r="AO355" s="6">
        <v>141</v>
      </c>
      <c r="AP355" s="4">
        <v>51.9</v>
      </c>
      <c r="AQ355" s="4">
        <v>24.1</v>
      </c>
      <c r="AR355" s="7">
        <v>1.86</v>
      </c>
      <c r="AS355" s="6">
        <v>469</v>
      </c>
      <c r="AT355" s="6">
        <v>110</v>
      </c>
      <c r="AU355" s="4">
        <v>71.3</v>
      </c>
      <c r="AV355" s="7">
        <v>3.38</v>
      </c>
      <c r="AW355" s="6" t="s">
        <v>5</v>
      </c>
      <c r="AX355" s="6" t="s">
        <v>5</v>
      </c>
      <c r="AY355" s="6" t="s">
        <v>5</v>
      </c>
      <c r="AZ355" s="4">
        <v>70.900000000000006</v>
      </c>
      <c r="BA355" s="6">
        <v>267</v>
      </c>
      <c r="BB355" s="6" t="s">
        <v>5</v>
      </c>
      <c r="BC355" s="6" t="s">
        <v>5</v>
      </c>
      <c r="BD355" s="6" t="s">
        <v>5</v>
      </c>
      <c r="BE355" s="6" t="s">
        <v>5</v>
      </c>
      <c r="BF355" s="6" t="s">
        <v>5</v>
      </c>
      <c r="BG355" s="6" t="s">
        <v>5</v>
      </c>
      <c r="BH355" s="6" t="s">
        <v>5</v>
      </c>
      <c r="BI355" s="7">
        <v>3.94</v>
      </c>
      <c r="BJ355" s="22">
        <v>0.95799999999999996</v>
      </c>
      <c r="BK355" s="6" t="s">
        <v>5</v>
      </c>
      <c r="BL355" s="2" t="s">
        <v>5</v>
      </c>
      <c r="BM355" s="2" t="s">
        <v>5</v>
      </c>
      <c r="BN355" s="2" t="s">
        <v>5</v>
      </c>
      <c r="BO355" s="2" t="s">
        <v>5</v>
      </c>
      <c r="BP355" s="2" t="s">
        <v>5</v>
      </c>
      <c r="BQ355" s="2" t="s">
        <v>5</v>
      </c>
      <c r="BR355" s="2" t="s">
        <v>5</v>
      </c>
      <c r="BS355" s="2" t="s">
        <v>5</v>
      </c>
      <c r="BT355" s="2" t="s">
        <v>5</v>
      </c>
      <c r="BU355" s="2" t="s">
        <v>5</v>
      </c>
      <c r="BV355" s="2" t="s">
        <v>5</v>
      </c>
      <c r="BW355" s="2" t="s">
        <v>5</v>
      </c>
      <c r="BX355" s="2" t="s">
        <v>5</v>
      </c>
      <c r="BY355" s="25" t="s">
        <v>5</v>
      </c>
      <c r="BZ355" s="25" t="s">
        <v>5</v>
      </c>
      <c r="CA355" s="4">
        <v>28.3</v>
      </c>
      <c r="CB355" s="6" t="s">
        <v>5</v>
      </c>
      <c r="CC355" s="4">
        <v>41.4</v>
      </c>
      <c r="CD355" s="4">
        <v>29</v>
      </c>
      <c r="CE355" s="4">
        <v>42.1</v>
      </c>
      <c r="CF355" s="16" t="s">
        <v>5</v>
      </c>
      <c r="CG355" s="5">
        <v>5.5</v>
      </c>
      <c r="CH355" s="18" t="s">
        <v>5</v>
      </c>
    </row>
    <row r="356" spans="2:86">
      <c r="B356" s="78" t="s">
        <v>145</v>
      </c>
      <c r="C356" s="79" t="s">
        <v>362</v>
      </c>
      <c r="D356" s="80" t="s">
        <v>362</v>
      </c>
      <c r="E356" s="1" t="s">
        <v>6</v>
      </c>
      <c r="F356" s="6">
        <v>126</v>
      </c>
      <c r="G356" s="4">
        <v>37.1</v>
      </c>
      <c r="H356" s="3" t="str">
        <f t="shared" si="24"/>
        <v>WT6X126</v>
      </c>
      <c r="I356" s="7">
        <v>7.71</v>
      </c>
      <c r="J356" s="5">
        <v>7.75</v>
      </c>
      <c r="K356" s="6" t="s">
        <v>5</v>
      </c>
      <c r="L356" s="6" t="s">
        <v>5</v>
      </c>
      <c r="M356" s="6" t="s">
        <v>5</v>
      </c>
      <c r="N356" s="4">
        <v>13</v>
      </c>
      <c r="O356" s="5">
        <v>13</v>
      </c>
      <c r="P356" s="5" t="s">
        <v>5</v>
      </c>
      <c r="Q356" s="6" t="s">
        <v>5</v>
      </c>
      <c r="R356" s="6" t="s">
        <v>5</v>
      </c>
      <c r="S356" s="7">
        <v>1.4</v>
      </c>
      <c r="T356" s="5">
        <v>1.375</v>
      </c>
      <c r="U356" s="8">
        <v>0.6875</v>
      </c>
      <c r="V356" s="7">
        <v>2.25</v>
      </c>
      <c r="W356" s="8">
        <v>2.25</v>
      </c>
      <c r="X356" s="7">
        <v>2.25</v>
      </c>
      <c r="Y356" s="6" t="s">
        <v>5</v>
      </c>
      <c r="Z356" s="6" t="s">
        <v>5</v>
      </c>
      <c r="AA356" s="7">
        <v>2.85</v>
      </c>
      <c r="AB356" s="8">
        <v>3.125</v>
      </c>
      <c r="AC356" s="8" t="s">
        <v>5</v>
      </c>
      <c r="AD356" s="6" t="s">
        <v>5</v>
      </c>
      <c r="AE356" s="7">
        <v>1.92</v>
      </c>
      <c r="AF356" s="6" t="s">
        <v>5</v>
      </c>
      <c r="AG356" s="6" t="s">
        <v>5</v>
      </c>
      <c r="AH356" s="7">
        <v>1.42</v>
      </c>
      <c r="AI356" s="7">
        <v>2.89</v>
      </c>
      <c r="AJ356" s="6" t="s">
        <v>5</v>
      </c>
      <c r="AK356" s="6" t="s">
        <v>5</v>
      </c>
      <c r="AL356" s="6" t="s">
        <v>5</v>
      </c>
      <c r="AM356" s="6" t="s">
        <v>5</v>
      </c>
      <c r="AN356" s="7">
        <v>5.51</v>
      </c>
      <c r="AO356" s="6">
        <v>121</v>
      </c>
      <c r="AP356" s="4">
        <v>44.8</v>
      </c>
      <c r="AQ356" s="4">
        <v>20.9</v>
      </c>
      <c r="AR356" s="7">
        <v>1.81</v>
      </c>
      <c r="AS356" s="6">
        <v>414</v>
      </c>
      <c r="AT356" s="4">
        <v>97.9</v>
      </c>
      <c r="AU356" s="4">
        <v>63.6</v>
      </c>
      <c r="AV356" s="7">
        <v>3.34</v>
      </c>
      <c r="AW356" s="6" t="s">
        <v>5</v>
      </c>
      <c r="AX356" s="6" t="s">
        <v>5</v>
      </c>
      <c r="AY356" s="6" t="s">
        <v>5</v>
      </c>
      <c r="AZ356" s="4">
        <v>53.5</v>
      </c>
      <c r="BA356" s="6">
        <v>195</v>
      </c>
      <c r="BB356" s="6" t="s">
        <v>5</v>
      </c>
      <c r="BC356" s="6" t="s">
        <v>5</v>
      </c>
      <c r="BD356" s="6" t="s">
        <v>5</v>
      </c>
      <c r="BE356" s="6" t="s">
        <v>5</v>
      </c>
      <c r="BF356" s="6" t="s">
        <v>5</v>
      </c>
      <c r="BG356" s="6" t="s">
        <v>5</v>
      </c>
      <c r="BH356" s="6" t="s">
        <v>5</v>
      </c>
      <c r="BI356" s="7">
        <v>3.88</v>
      </c>
      <c r="BJ356" s="22">
        <v>0.95799999999999996</v>
      </c>
      <c r="BK356" s="6" t="s">
        <v>5</v>
      </c>
      <c r="BL356" s="2" t="s">
        <v>5</v>
      </c>
      <c r="BM356" s="2" t="s">
        <v>5</v>
      </c>
      <c r="BN356" s="2" t="s">
        <v>5</v>
      </c>
      <c r="BO356" s="2" t="s">
        <v>5</v>
      </c>
      <c r="BP356" s="2" t="s">
        <v>5</v>
      </c>
      <c r="BQ356" s="2" t="s">
        <v>5</v>
      </c>
      <c r="BR356" s="2" t="s">
        <v>5</v>
      </c>
      <c r="BS356" s="2" t="s">
        <v>5</v>
      </c>
      <c r="BT356" s="2" t="s">
        <v>5</v>
      </c>
      <c r="BU356" s="2" t="s">
        <v>5</v>
      </c>
      <c r="BV356" s="2" t="s">
        <v>5</v>
      </c>
      <c r="BW356" s="2" t="s">
        <v>5</v>
      </c>
      <c r="BX356" s="2" t="s">
        <v>5</v>
      </c>
      <c r="BY356" s="25" t="s">
        <v>5</v>
      </c>
      <c r="BZ356" s="25" t="s">
        <v>5</v>
      </c>
      <c r="CA356" s="4">
        <v>27.7</v>
      </c>
      <c r="CB356" s="6" t="s">
        <v>5</v>
      </c>
      <c r="CC356" s="4">
        <v>40.700000000000003</v>
      </c>
      <c r="CD356" s="4">
        <v>28.4</v>
      </c>
      <c r="CE356" s="4">
        <v>41.4</v>
      </c>
      <c r="CF356" s="16" t="s">
        <v>5</v>
      </c>
      <c r="CG356" s="5">
        <v>5.5</v>
      </c>
      <c r="CH356" s="18" t="s">
        <v>5</v>
      </c>
    </row>
    <row r="357" spans="2:86">
      <c r="B357" s="78" t="s">
        <v>145</v>
      </c>
      <c r="C357" s="79" t="s">
        <v>363</v>
      </c>
      <c r="D357" s="80" t="s">
        <v>363</v>
      </c>
      <c r="E357" s="1" t="s">
        <v>6</v>
      </c>
      <c r="F357" s="6">
        <v>115</v>
      </c>
      <c r="G357" s="4">
        <v>33.799999999999997</v>
      </c>
      <c r="H357" s="3" t="str">
        <f t="shared" si="24"/>
        <v>WT6X115</v>
      </c>
      <c r="I357" s="7">
        <v>7.53</v>
      </c>
      <c r="J357" s="5">
        <v>7.5</v>
      </c>
      <c r="K357" s="6" t="s">
        <v>5</v>
      </c>
      <c r="L357" s="6" t="s">
        <v>5</v>
      </c>
      <c r="M357" s="6" t="s">
        <v>5</v>
      </c>
      <c r="N357" s="4">
        <v>12.9</v>
      </c>
      <c r="O357" s="5">
        <v>12.875</v>
      </c>
      <c r="P357" s="5" t="s">
        <v>5</v>
      </c>
      <c r="Q357" s="6" t="s">
        <v>5</v>
      </c>
      <c r="R357" s="6" t="s">
        <v>5</v>
      </c>
      <c r="S357" s="7">
        <v>1.29</v>
      </c>
      <c r="T357" s="5">
        <v>1.3125</v>
      </c>
      <c r="U357" s="8">
        <v>0.6875</v>
      </c>
      <c r="V357" s="7">
        <v>2.0699999999999998</v>
      </c>
      <c r="W357" s="8">
        <v>2.0625</v>
      </c>
      <c r="X357" s="7">
        <v>2.0699999999999998</v>
      </c>
      <c r="Y357" s="6" t="s">
        <v>5</v>
      </c>
      <c r="Z357" s="6" t="s">
        <v>5</v>
      </c>
      <c r="AA357" s="7">
        <v>2.67</v>
      </c>
      <c r="AB357" s="8">
        <v>2.9375</v>
      </c>
      <c r="AC357" s="8" t="s">
        <v>5</v>
      </c>
      <c r="AD357" s="6" t="s">
        <v>5</v>
      </c>
      <c r="AE357" s="7">
        <v>1.82</v>
      </c>
      <c r="AF357" s="6" t="s">
        <v>5</v>
      </c>
      <c r="AG357" s="6" t="s">
        <v>5</v>
      </c>
      <c r="AH357" s="7">
        <v>1.31</v>
      </c>
      <c r="AI357" s="7">
        <v>3.11</v>
      </c>
      <c r="AJ357" s="6" t="s">
        <v>5</v>
      </c>
      <c r="AK357" s="6" t="s">
        <v>5</v>
      </c>
      <c r="AL357" s="6" t="s">
        <v>5</v>
      </c>
      <c r="AM357" s="6" t="s">
        <v>5</v>
      </c>
      <c r="AN357" s="7">
        <v>5.84</v>
      </c>
      <c r="AO357" s="6">
        <v>106</v>
      </c>
      <c r="AP357" s="4">
        <v>39.4</v>
      </c>
      <c r="AQ357" s="4">
        <v>18.5</v>
      </c>
      <c r="AR357" s="7">
        <v>1.77</v>
      </c>
      <c r="AS357" s="6">
        <v>371</v>
      </c>
      <c r="AT357" s="4">
        <v>88.4</v>
      </c>
      <c r="AU357" s="4">
        <v>57.5</v>
      </c>
      <c r="AV357" s="7">
        <v>3.31</v>
      </c>
      <c r="AW357" s="6" t="s">
        <v>5</v>
      </c>
      <c r="AX357" s="6" t="s">
        <v>5</v>
      </c>
      <c r="AY357" s="6" t="s">
        <v>5</v>
      </c>
      <c r="AZ357" s="4">
        <v>41.6</v>
      </c>
      <c r="BA357" s="6">
        <v>148</v>
      </c>
      <c r="BB357" s="6" t="s">
        <v>5</v>
      </c>
      <c r="BC357" s="6" t="s">
        <v>5</v>
      </c>
      <c r="BD357" s="6" t="s">
        <v>5</v>
      </c>
      <c r="BE357" s="6" t="s">
        <v>5</v>
      </c>
      <c r="BF357" s="6" t="s">
        <v>5</v>
      </c>
      <c r="BG357" s="6" t="s">
        <v>5</v>
      </c>
      <c r="BH357" s="6" t="s">
        <v>5</v>
      </c>
      <c r="BI357" s="7">
        <v>3.83</v>
      </c>
      <c r="BJ357" s="22">
        <v>0.95799999999999996</v>
      </c>
      <c r="BK357" s="6" t="s">
        <v>5</v>
      </c>
      <c r="BL357" s="2" t="s">
        <v>5</v>
      </c>
      <c r="BM357" s="2" t="s">
        <v>5</v>
      </c>
      <c r="BN357" s="2" t="s">
        <v>5</v>
      </c>
      <c r="BO357" s="2" t="s">
        <v>5</v>
      </c>
      <c r="BP357" s="2" t="s">
        <v>5</v>
      </c>
      <c r="BQ357" s="2" t="s">
        <v>5</v>
      </c>
      <c r="BR357" s="2" t="s">
        <v>5</v>
      </c>
      <c r="BS357" s="2" t="s">
        <v>5</v>
      </c>
      <c r="BT357" s="2" t="s">
        <v>5</v>
      </c>
      <c r="BU357" s="2" t="s">
        <v>5</v>
      </c>
      <c r="BV357" s="2" t="s">
        <v>5</v>
      </c>
      <c r="BW357" s="2" t="s">
        <v>5</v>
      </c>
      <c r="BX357" s="2" t="s">
        <v>5</v>
      </c>
      <c r="BY357" s="25" t="s">
        <v>5</v>
      </c>
      <c r="BZ357" s="25" t="s">
        <v>5</v>
      </c>
      <c r="CA357" s="4">
        <v>27.3</v>
      </c>
      <c r="CB357" s="6" t="s">
        <v>5</v>
      </c>
      <c r="CC357" s="4">
        <v>40.200000000000003</v>
      </c>
      <c r="CD357" s="4">
        <v>28</v>
      </c>
      <c r="CE357" s="4">
        <v>40.9</v>
      </c>
      <c r="CF357" s="16" t="s">
        <v>5</v>
      </c>
      <c r="CG357" s="5">
        <v>5.5</v>
      </c>
      <c r="CH357" s="18" t="s">
        <v>5</v>
      </c>
    </row>
    <row r="358" spans="2:86">
      <c r="B358" s="78" t="s">
        <v>145</v>
      </c>
      <c r="C358" s="79" t="s">
        <v>364</v>
      </c>
      <c r="D358" s="80" t="s">
        <v>364</v>
      </c>
      <c r="E358" s="1" t="s">
        <v>4</v>
      </c>
      <c r="F358" s="6">
        <v>105</v>
      </c>
      <c r="G358" s="4">
        <v>30.9</v>
      </c>
      <c r="H358" s="3" t="str">
        <f t="shared" si="24"/>
        <v>WT6X105</v>
      </c>
      <c r="I358" s="7">
        <v>7.36</v>
      </c>
      <c r="J358" s="5">
        <v>7.375</v>
      </c>
      <c r="K358" s="6" t="s">
        <v>5</v>
      </c>
      <c r="L358" s="6" t="s">
        <v>5</v>
      </c>
      <c r="M358" s="6" t="s">
        <v>5</v>
      </c>
      <c r="N358" s="4">
        <v>12.8</v>
      </c>
      <c r="O358" s="5">
        <v>12.75</v>
      </c>
      <c r="P358" s="5" t="s">
        <v>5</v>
      </c>
      <c r="Q358" s="6" t="s">
        <v>5</v>
      </c>
      <c r="R358" s="6" t="s">
        <v>5</v>
      </c>
      <c r="S358" s="7">
        <v>1.18</v>
      </c>
      <c r="T358" s="5">
        <v>1.1875</v>
      </c>
      <c r="U358" s="8">
        <v>0.625</v>
      </c>
      <c r="V358" s="7">
        <v>1.9</v>
      </c>
      <c r="W358" s="8">
        <v>1.875</v>
      </c>
      <c r="X358" s="7">
        <v>1.9</v>
      </c>
      <c r="Y358" s="6" t="s">
        <v>5</v>
      </c>
      <c r="Z358" s="6" t="s">
        <v>5</v>
      </c>
      <c r="AA358" s="7">
        <v>2.5</v>
      </c>
      <c r="AB358" s="8">
        <v>2.8125</v>
      </c>
      <c r="AC358" s="8" t="s">
        <v>5</v>
      </c>
      <c r="AD358" s="6" t="s">
        <v>5</v>
      </c>
      <c r="AE358" s="7">
        <v>1.72</v>
      </c>
      <c r="AF358" s="6" t="s">
        <v>5</v>
      </c>
      <c r="AG358" s="6" t="s">
        <v>5</v>
      </c>
      <c r="AH358" s="7">
        <v>1.21</v>
      </c>
      <c r="AI358" s="7">
        <v>3.37</v>
      </c>
      <c r="AJ358" s="6" t="s">
        <v>5</v>
      </c>
      <c r="AK358" s="6" t="s">
        <v>5</v>
      </c>
      <c r="AL358" s="6" t="s">
        <v>5</v>
      </c>
      <c r="AM358" s="6" t="s">
        <v>5</v>
      </c>
      <c r="AN358" s="7">
        <v>6.24</v>
      </c>
      <c r="AO358" s="4">
        <v>92.1</v>
      </c>
      <c r="AP358" s="4">
        <v>34.5</v>
      </c>
      <c r="AQ358" s="4">
        <v>16.399999999999999</v>
      </c>
      <c r="AR358" s="7">
        <v>1.73</v>
      </c>
      <c r="AS358" s="6">
        <v>332</v>
      </c>
      <c r="AT358" s="4">
        <v>79.7</v>
      </c>
      <c r="AU358" s="4">
        <v>51.9</v>
      </c>
      <c r="AV358" s="7">
        <v>3.28</v>
      </c>
      <c r="AW358" s="6" t="s">
        <v>5</v>
      </c>
      <c r="AX358" s="6" t="s">
        <v>5</v>
      </c>
      <c r="AY358" s="6" t="s">
        <v>5</v>
      </c>
      <c r="AZ358" s="4">
        <v>32.1</v>
      </c>
      <c r="BA358" s="6">
        <v>112</v>
      </c>
      <c r="BB358" s="6" t="s">
        <v>5</v>
      </c>
      <c r="BC358" s="6" t="s">
        <v>5</v>
      </c>
      <c r="BD358" s="6" t="s">
        <v>5</v>
      </c>
      <c r="BE358" s="6" t="s">
        <v>5</v>
      </c>
      <c r="BF358" s="6" t="s">
        <v>5</v>
      </c>
      <c r="BG358" s="6" t="s">
        <v>5</v>
      </c>
      <c r="BH358" s="6" t="s">
        <v>5</v>
      </c>
      <c r="BI358" s="7">
        <v>3.79</v>
      </c>
      <c r="BJ358" s="22">
        <v>0.95799999999999996</v>
      </c>
      <c r="BK358" s="6" t="s">
        <v>5</v>
      </c>
      <c r="BL358" s="2" t="s">
        <v>5</v>
      </c>
      <c r="BM358" s="2" t="s">
        <v>5</v>
      </c>
      <c r="BN358" s="2" t="s">
        <v>5</v>
      </c>
      <c r="BO358" s="2" t="s">
        <v>5</v>
      </c>
      <c r="BP358" s="2" t="s">
        <v>5</v>
      </c>
      <c r="BQ358" s="2" t="s">
        <v>5</v>
      </c>
      <c r="BR358" s="2" t="s">
        <v>5</v>
      </c>
      <c r="BS358" s="2" t="s">
        <v>5</v>
      </c>
      <c r="BT358" s="2" t="s">
        <v>5</v>
      </c>
      <c r="BU358" s="2" t="s">
        <v>5</v>
      </c>
      <c r="BV358" s="2" t="s">
        <v>5</v>
      </c>
      <c r="BW358" s="2" t="s">
        <v>5</v>
      </c>
      <c r="BX358" s="2" t="s">
        <v>5</v>
      </c>
      <c r="BY358" s="25" t="s">
        <v>5</v>
      </c>
      <c r="BZ358" s="25" t="s">
        <v>5</v>
      </c>
      <c r="CA358" s="4">
        <v>26.8</v>
      </c>
      <c r="CB358" s="6" t="s">
        <v>5</v>
      </c>
      <c r="CC358" s="4">
        <v>39.6</v>
      </c>
      <c r="CD358" s="4">
        <v>27.5</v>
      </c>
      <c r="CE358" s="4">
        <v>40.299999999999997</v>
      </c>
      <c r="CF358" s="16" t="s">
        <v>5</v>
      </c>
      <c r="CG358" s="5">
        <v>5.5</v>
      </c>
      <c r="CH358" s="18" t="s">
        <v>5</v>
      </c>
    </row>
    <row r="359" spans="2:86">
      <c r="B359" s="78" t="s">
        <v>145</v>
      </c>
      <c r="C359" s="79" t="s">
        <v>365</v>
      </c>
      <c r="D359" s="80" t="s">
        <v>365</v>
      </c>
      <c r="E359" s="1" t="s">
        <v>4</v>
      </c>
      <c r="F359" s="4">
        <v>95</v>
      </c>
      <c r="G359" s="4">
        <v>28</v>
      </c>
      <c r="H359" s="3" t="str">
        <f t="shared" si="24"/>
        <v>WT6X95</v>
      </c>
      <c r="I359" s="7">
        <v>7.19</v>
      </c>
      <c r="J359" s="5">
        <v>7.25</v>
      </c>
      <c r="K359" s="6" t="s">
        <v>5</v>
      </c>
      <c r="L359" s="6" t="s">
        <v>5</v>
      </c>
      <c r="M359" s="6" t="s">
        <v>5</v>
      </c>
      <c r="N359" s="4">
        <v>12.7</v>
      </c>
      <c r="O359" s="5">
        <v>12.625</v>
      </c>
      <c r="P359" s="5" t="s">
        <v>5</v>
      </c>
      <c r="Q359" s="6" t="s">
        <v>5</v>
      </c>
      <c r="R359" s="6" t="s">
        <v>5</v>
      </c>
      <c r="S359" s="7">
        <v>1.06</v>
      </c>
      <c r="T359" s="5">
        <v>1.0625</v>
      </c>
      <c r="U359" s="8">
        <v>0.5625</v>
      </c>
      <c r="V359" s="7">
        <v>1.74</v>
      </c>
      <c r="W359" s="8">
        <v>1.75</v>
      </c>
      <c r="X359" s="7">
        <v>1.74</v>
      </c>
      <c r="Y359" s="6" t="s">
        <v>5</v>
      </c>
      <c r="Z359" s="6" t="s">
        <v>5</v>
      </c>
      <c r="AA359" s="7">
        <v>2.33</v>
      </c>
      <c r="AB359" s="8">
        <v>2.625</v>
      </c>
      <c r="AC359" s="8" t="s">
        <v>5</v>
      </c>
      <c r="AD359" s="6" t="s">
        <v>5</v>
      </c>
      <c r="AE359" s="7">
        <v>1.62</v>
      </c>
      <c r="AF359" s="6" t="s">
        <v>5</v>
      </c>
      <c r="AG359" s="6" t="s">
        <v>5</v>
      </c>
      <c r="AH359" s="7">
        <v>1.1000000000000001</v>
      </c>
      <c r="AI359" s="7">
        <v>3.65</v>
      </c>
      <c r="AJ359" s="6" t="s">
        <v>5</v>
      </c>
      <c r="AK359" s="6" t="s">
        <v>5</v>
      </c>
      <c r="AL359" s="6" t="s">
        <v>5</v>
      </c>
      <c r="AM359" s="6" t="s">
        <v>5</v>
      </c>
      <c r="AN359" s="7">
        <v>6.78</v>
      </c>
      <c r="AO359" s="4">
        <v>79</v>
      </c>
      <c r="AP359" s="4">
        <v>29.8</v>
      </c>
      <c r="AQ359" s="4">
        <v>14.2</v>
      </c>
      <c r="AR359" s="7">
        <v>1.68</v>
      </c>
      <c r="AS359" s="6">
        <v>295</v>
      </c>
      <c r="AT359" s="4">
        <v>71.2</v>
      </c>
      <c r="AU359" s="4">
        <v>46.5</v>
      </c>
      <c r="AV359" s="7">
        <v>3.25</v>
      </c>
      <c r="AW359" s="6" t="s">
        <v>5</v>
      </c>
      <c r="AX359" s="6" t="s">
        <v>5</v>
      </c>
      <c r="AY359" s="6" t="s">
        <v>5</v>
      </c>
      <c r="AZ359" s="4">
        <v>24.3</v>
      </c>
      <c r="BA359" s="4">
        <v>82.1</v>
      </c>
      <c r="BB359" s="6" t="s">
        <v>5</v>
      </c>
      <c r="BC359" s="6" t="s">
        <v>5</v>
      </c>
      <c r="BD359" s="6" t="s">
        <v>5</v>
      </c>
      <c r="BE359" s="6" t="s">
        <v>5</v>
      </c>
      <c r="BF359" s="6" t="s">
        <v>5</v>
      </c>
      <c r="BG359" s="6" t="s">
        <v>5</v>
      </c>
      <c r="BH359" s="6" t="s">
        <v>5</v>
      </c>
      <c r="BI359" s="7">
        <v>3.73</v>
      </c>
      <c r="BJ359" s="22">
        <v>0.96</v>
      </c>
      <c r="BK359" s="6" t="s">
        <v>5</v>
      </c>
      <c r="BL359" s="2" t="s">
        <v>5</v>
      </c>
      <c r="BM359" s="2" t="s">
        <v>5</v>
      </c>
      <c r="BN359" s="2" t="s">
        <v>5</v>
      </c>
      <c r="BO359" s="2" t="s">
        <v>5</v>
      </c>
      <c r="BP359" s="2" t="s">
        <v>5</v>
      </c>
      <c r="BQ359" s="2" t="s">
        <v>5</v>
      </c>
      <c r="BR359" s="2" t="s">
        <v>5</v>
      </c>
      <c r="BS359" s="2" t="s">
        <v>5</v>
      </c>
      <c r="BT359" s="2" t="s">
        <v>5</v>
      </c>
      <c r="BU359" s="2" t="s">
        <v>5</v>
      </c>
      <c r="BV359" s="2" t="s">
        <v>5</v>
      </c>
      <c r="BW359" s="2" t="s">
        <v>5</v>
      </c>
      <c r="BX359" s="2" t="s">
        <v>5</v>
      </c>
      <c r="BY359" s="25" t="s">
        <v>5</v>
      </c>
      <c r="BZ359" s="25" t="s">
        <v>5</v>
      </c>
      <c r="CA359" s="4">
        <v>26.4</v>
      </c>
      <c r="CB359" s="6" t="s">
        <v>5</v>
      </c>
      <c r="CC359" s="4">
        <v>39.1</v>
      </c>
      <c r="CD359" s="4">
        <v>27.1</v>
      </c>
      <c r="CE359" s="4">
        <v>39.799999999999997</v>
      </c>
      <c r="CF359" s="16" t="s">
        <v>5</v>
      </c>
      <c r="CG359" s="5">
        <v>5.5</v>
      </c>
      <c r="CH359" s="18" t="s">
        <v>5</v>
      </c>
    </row>
    <row r="360" spans="2:86">
      <c r="B360" s="78" t="s">
        <v>145</v>
      </c>
      <c r="C360" s="79" t="s">
        <v>366</v>
      </c>
      <c r="D360" s="80" t="s">
        <v>366</v>
      </c>
      <c r="E360" s="1" t="s">
        <v>4</v>
      </c>
      <c r="F360" s="4">
        <v>85</v>
      </c>
      <c r="G360" s="4">
        <v>25</v>
      </c>
      <c r="H360" s="3" t="str">
        <f t="shared" si="24"/>
        <v>WT6X85</v>
      </c>
      <c r="I360" s="7">
        <v>7.02</v>
      </c>
      <c r="J360" s="5">
        <v>7</v>
      </c>
      <c r="K360" s="6" t="s">
        <v>5</v>
      </c>
      <c r="L360" s="6" t="s">
        <v>5</v>
      </c>
      <c r="M360" s="6" t="s">
        <v>5</v>
      </c>
      <c r="N360" s="4">
        <v>12.6</v>
      </c>
      <c r="O360" s="5">
        <v>12.625</v>
      </c>
      <c r="P360" s="5" t="s">
        <v>5</v>
      </c>
      <c r="Q360" s="6" t="s">
        <v>5</v>
      </c>
      <c r="R360" s="6" t="s">
        <v>5</v>
      </c>
      <c r="S360" s="22">
        <v>0.96</v>
      </c>
      <c r="T360" s="5">
        <v>0.9375</v>
      </c>
      <c r="U360" s="8">
        <v>0.5</v>
      </c>
      <c r="V360" s="7">
        <v>1.56</v>
      </c>
      <c r="W360" s="8">
        <v>1.5625</v>
      </c>
      <c r="X360" s="7">
        <v>1.56</v>
      </c>
      <c r="Y360" s="6" t="s">
        <v>5</v>
      </c>
      <c r="Z360" s="6" t="s">
        <v>5</v>
      </c>
      <c r="AA360" s="7">
        <v>2.16</v>
      </c>
      <c r="AB360" s="8">
        <v>2.4375</v>
      </c>
      <c r="AC360" s="8" t="s">
        <v>5</v>
      </c>
      <c r="AD360" s="6" t="s">
        <v>5</v>
      </c>
      <c r="AE360" s="7">
        <v>1.52</v>
      </c>
      <c r="AF360" s="6" t="s">
        <v>5</v>
      </c>
      <c r="AG360" s="6" t="s">
        <v>5</v>
      </c>
      <c r="AH360" s="22">
        <v>0.99399999999999999</v>
      </c>
      <c r="AI360" s="7">
        <v>4.03</v>
      </c>
      <c r="AJ360" s="6" t="s">
        <v>5</v>
      </c>
      <c r="AK360" s="6" t="s">
        <v>5</v>
      </c>
      <c r="AL360" s="6" t="s">
        <v>5</v>
      </c>
      <c r="AM360" s="6" t="s">
        <v>5</v>
      </c>
      <c r="AN360" s="7">
        <v>7.31</v>
      </c>
      <c r="AO360" s="4">
        <v>67.8</v>
      </c>
      <c r="AP360" s="4">
        <v>25.6</v>
      </c>
      <c r="AQ360" s="4">
        <v>12.3</v>
      </c>
      <c r="AR360" s="7">
        <v>1.65</v>
      </c>
      <c r="AS360" s="6">
        <v>259</v>
      </c>
      <c r="AT360" s="4">
        <v>62.9</v>
      </c>
      <c r="AU360" s="4">
        <v>41.2</v>
      </c>
      <c r="AV360" s="7">
        <v>3.22</v>
      </c>
      <c r="AW360" s="6" t="s">
        <v>5</v>
      </c>
      <c r="AX360" s="6" t="s">
        <v>5</v>
      </c>
      <c r="AY360" s="6" t="s">
        <v>5</v>
      </c>
      <c r="AZ360" s="4">
        <v>17.7</v>
      </c>
      <c r="BA360" s="4">
        <v>58.3</v>
      </c>
      <c r="BB360" s="6" t="s">
        <v>5</v>
      </c>
      <c r="BC360" s="6" t="s">
        <v>5</v>
      </c>
      <c r="BD360" s="6" t="s">
        <v>5</v>
      </c>
      <c r="BE360" s="6" t="s">
        <v>5</v>
      </c>
      <c r="BF360" s="6" t="s">
        <v>5</v>
      </c>
      <c r="BG360" s="6" t="s">
        <v>5</v>
      </c>
      <c r="BH360" s="6" t="s">
        <v>5</v>
      </c>
      <c r="BI360" s="7">
        <v>3.69</v>
      </c>
      <c r="BJ360" s="22">
        <v>0.96</v>
      </c>
      <c r="BK360" s="6" t="s">
        <v>5</v>
      </c>
      <c r="BL360" s="2" t="s">
        <v>5</v>
      </c>
      <c r="BM360" s="2" t="s">
        <v>5</v>
      </c>
      <c r="BN360" s="2" t="s">
        <v>5</v>
      </c>
      <c r="BO360" s="2" t="s">
        <v>5</v>
      </c>
      <c r="BP360" s="2" t="s">
        <v>5</v>
      </c>
      <c r="BQ360" s="2" t="s">
        <v>5</v>
      </c>
      <c r="BR360" s="2" t="s">
        <v>5</v>
      </c>
      <c r="BS360" s="2" t="s">
        <v>5</v>
      </c>
      <c r="BT360" s="2" t="s">
        <v>5</v>
      </c>
      <c r="BU360" s="2" t="s">
        <v>5</v>
      </c>
      <c r="BV360" s="2" t="s">
        <v>5</v>
      </c>
      <c r="BW360" s="2" t="s">
        <v>5</v>
      </c>
      <c r="BX360" s="2" t="s">
        <v>5</v>
      </c>
      <c r="BY360" s="25" t="s">
        <v>5</v>
      </c>
      <c r="BZ360" s="25" t="s">
        <v>5</v>
      </c>
      <c r="CA360" s="4">
        <v>26</v>
      </c>
      <c r="CB360" s="6" t="s">
        <v>5</v>
      </c>
      <c r="CC360" s="4">
        <v>38.6</v>
      </c>
      <c r="CD360" s="4">
        <v>26.6</v>
      </c>
      <c r="CE360" s="4">
        <v>39.200000000000003</v>
      </c>
      <c r="CF360" s="16" t="s">
        <v>5</v>
      </c>
      <c r="CG360" s="5">
        <v>5.5</v>
      </c>
      <c r="CH360" s="18" t="s">
        <v>5</v>
      </c>
    </row>
    <row r="361" spans="2:86">
      <c r="B361" s="78" t="s">
        <v>145</v>
      </c>
      <c r="C361" s="79" t="s">
        <v>367</v>
      </c>
      <c r="D361" s="80" t="s">
        <v>367</v>
      </c>
      <c r="E361" s="1" t="s">
        <v>4</v>
      </c>
      <c r="F361" s="4">
        <v>76</v>
      </c>
      <c r="G361" s="4">
        <v>22.4</v>
      </c>
      <c r="H361" s="3" t="str">
        <f t="shared" si="24"/>
        <v>WT6X76</v>
      </c>
      <c r="I361" s="7">
        <v>6.86</v>
      </c>
      <c r="J361" s="5">
        <v>6.875</v>
      </c>
      <c r="K361" s="6" t="s">
        <v>5</v>
      </c>
      <c r="L361" s="6" t="s">
        <v>5</v>
      </c>
      <c r="M361" s="6" t="s">
        <v>5</v>
      </c>
      <c r="N361" s="4">
        <v>12.5</v>
      </c>
      <c r="O361" s="5">
        <v>12.5</v>
      </c>
      <c r="P361" s="5" t="s">
        <v>5</v>
      </c>
      <c r="Q361" s="6" t="s">
        <v>5</v>
      </c>
      <c r="R361" s="6" t="s">
        <v>5</v>
      </c>
      <c r="S361" s="22">
        <v>0.87</v>
      </c>
      <c r="T361" s="5">
        <v>0.875</v>
      </c>
      <c r="U361" s="8">
        <v>0.4375</v>
      </c>
      <c r="V361" s="7">
        <v>1.4</v>
      </c>
      <c r="W361" s="8">
        <v>1.375</v>
      </c>
      <c r="X361" s="7">
        <v>1.4</v>
      </c>
      <c r="Y361" s="6" t="s">
        <v>5</v>
      </c>
      <c r="Z361" s="6" t="s">
        <v>5</v>
      </c>
      <c r="AA361" s="7">
        <v>2</v>
      </c>
      <c r="AB361" s="8">
        <v>2.3125</v>
      </c>
      <c r="AC361" s="8" t="s">
        <v>5</v>
      </c>
      <c r="AD361" s="6" t="s">
        <v>5</v>
      </c>
      <c r="AE361" s="7">
        <v>1.43</v>
      </c>
      <c r="AF361" s="6" t="s">
        <v>5</v>
      </c>
      <c r="AG361" s="6" t="s">
        <v>5</v>
      </c>
      <c r="AH361" s="22">
        <v>0.89600000000000002</v>
      </c>
      <c r="AI361" s="7">
        <v>4.46</v>
      </c>
      <c r="AJ361" s="6" t="s">
        <v>5</v>
      </c>
      <c r="AK361" s="6" t="s">
        <v>5</v>
      </c>
      <c r="AL361" s="6" t="s">
        <v>5</v>
      </c>
      <c r="AM361" s="6" t="s">
        <v>5</v>
      </c>
      <c r="AN361" s="7">
        <v>7.89</v>
      </c>
      <c r="AO361" s="4">
        <v>58.5</v>
      </c>
      <c r="AP361" s="4">
        <v>22</v>
      </c>
      <c r="AQ361" s="4">
        <v>10.8</v>
      </c>
      <c r="AR361" s="7">
        <v>1.62</v>
      </c>
      <c r="AS361" s="6">
        <v>227</v>
      </c>
      <c r="AT361" s="4">
        <v>55.6</v>
      </c>
      <c r="AU361" s="4">
        <v>36.4</v>
      </c>
      <c r="AV361" s="7">
        <v>3.19</v>
      </c>
      <c r="AW361" s="6" t="s">
        <v>5</v>
      </c>
      <c r="AX361" s="6" t="s">
        <v>5</v>
      </c>
      <c r="AY361" s="6" t="s">
        <v>5</v>
      </c>
      <c r="AZ361" s="4">
        <v>12.8</v>
      </c>
      <c r="BA361" s="4">
        <v>41.3</v>
      </c>
      <c r="BB361" s="6" t="s">
        <v>5</v>
      </c>
      <c r="BC361" s="6" t="s">
        <v>5</v>
      </c>
      <c r="BD361" s="6" t="s">
        <v>5</v>
      </c>
      <c r="BE361" s="6" t="s">
        <v>5</v>
      </c>
      <c r="BF361" s="6" t="s">
        <v>5</v>
      </c>
      <c r="BG361" s="6" t="s">
        <v>5</v>
      </c>
      <c r="BH361" s="6" t="s">
        <v>5</v>
      </c>
      <c r="BI361" s="7">
        <v>3.65</v>
      </c>
      <c r="BJ361" s="22">
        <v>0.96</v>
      </c>
      <c r="BK361" s="6" t="s">
        <v>5</v>
      </c>
      <c r="BL361" s="2" t="s">
        <v>5</v>
      </c>
      <c r="BM361" s="2" t="s">
        <v>5</v>
      </c>
      <c r="BN361" s="2" t="s">
        <v>5</v>
      </c>
      <c r="BO361" s="2" t="s">
        <v>5</v>
      </c>
      <c r="BP361" s="2" t="s">
        <v>5</v>
      </c>
      <c r="BQ361" s="2" t="s">
        <v>5</v>
      </c>
      <c r="BR361" s="2" t="s">
        <v>5</v>
      </c>
      <c r="BS361" s="2" t="s">
        <v>5</v>
      </c>
      <c r="BT361" s="2" t="s">
        <v>5</v>
      </c>
      <c r="BU361" s="2" t="s">
        <v>5</v>
      </c>
      <c r="BV361" s="2" t="s">
        <v>5</v>
      </c>
      <c r="BW361" s="2" t="s">
        <v>5</v>
      </c>
      <c r="BX361" s="2" t="s">
        <v>5</v>
      </c>
      <c r="BY361" s="25" t="s">
        <v>5</v>
      </c>
      <c r="BZ361" s="25" t="s">
        <v>5</v>
      </c>
      <c r="CA361" s="4">
        <v>25.5</v>
      </c>
      <c r="CB361" s="6" t="s">
        <v>5</v>
      </c>
      <c r="CC361" s="4">
        <v>38</v>
      </c>
      <c r="CD361" s="4">
        <v>26.2</v>
      </c>
      <c r="CE361" s="4">
        <v>38.700000000000003</v>
      </c>
      <c r="CF361" s="16" t="s">
        <v>5</v>
      </c>
      <c r="CG361" s="5">
        <v>5.5</v>
      </c>
      <c r="CH361" s="18" t="s">
        <v>5</v>
      </c>
    </row>
    <row r="362" spans="2:86">
      <c r="B362" s="78" t="s">
        <v>145</v>
      </c>
      <c r="C362" s="79" t="s">
        <v>368</v>
      </c>
      <c r="D362" s="80" t="s">
        <v>368</v>
      </c>
      <c r="E362" s="1" t="s">
        <v>4</v>
      </c>
      <c r="F362" s="4">
        <v>68</v>
      </c>
      <c r="G362" s="4">
        <v>20</v>
      </c>
      <c r="H362" s="3" t="str">
        <f t="shared" si="24"/>
        <v>WT6X68</v>
      </c>
      <c r="I362" s="7">
        <v>6.71</v>
      </c>
      <c r="J362" s="5">
        <v>6.75</v>
      </c>
      <c r="K362" s="6" t="s">
        <v>5</v>
      </c>
      <c r="L362" s="6" t="s">
        <v>5</v>
      </c>
      <c r="M362" s="6" t="s">
        <v>5</v>
      </c>
      <c r="N362" s="4">
        <v>12.4</v>
      </c>
      <c r="O362" s="5">
        <v>12.375</v>
      </c>
      <c r="P362" s="5" t="s">
        <v>5</v>
      </c>
      <c r="Q362" s="6" t="s">
        <v>5</v>
      </c>
      <c r="R362" s="6" t="s">
        <v>5</v>
      </c>
      <c r="S362" s="22">
        <v>0.79</v>
      </c>
      <c r="T362" s="5">
        <v>0.8125</v>
      </c>
      <c r="U362" s="8">
        <v>0.4375</v>
      </c>
      <c r="V362" s="7">
        <v>1.25</v>
      </c>
      <c r="W362" s="8">
        <v>1.25</v>
      </c>
      <c r="X362" s="7">
        <v>1.25</v>
      </c>
      <c r="Y362" s="6" t="s">
        <v>5</v>
      </c>
      <c r="Z362" s="6" t="s">
        <v>5</v>
      </c>
      <c r="AA362" s="7">
        <v>1.85</v>
      </c>
      <c r="AB362" s="8">
        <v>2.125</v>
      </c>
      <c r="AC362" s="8" t="s">
        <v>5</v>
      </c>
      <c r="AD362" s="6" t="s">
        <v>5</v>
      </c>
      <c r="AE362" s="7">
        <v>1.35</v>
      </c>
      <c r="AF362" s="6" t="s">
        <v>5</v>
      </c>
      <c r="AG362" s="6" t="s">
        <v>5</v>
      </c>
      <c r="AH362" s="22">
        <v>0.80500000000000005</v>
      </c>
      <c r="AI362" s="7">
        <v>4.96</v>
      </c>
      <c r="AJ362" s="6" t="s">
        <v>5</v>
      </c>
      <c r="AK362" s="6" t="s">
        <v>5</v>
      </c>
      <c r="AL362" s="6" t="s">
        <v>5</v>
      </c>
      <c r="AM362" s="6" t="s">
        <v>5</v>
      </c>
      <c r="AN362" s="7">
        <v>8.49</v>
      </c>
      <c r="AO362" s="4">
        <v>50.6</v>
      </c>
      <c r="AP362" s="4">
        <v>19</v>
      </c>
      <c r="AQ362" s="7">
        <v>9.4600000000000009</v>
      </c>
      <c r="AR362" s="7">
        <v>1.59</v>
      </c>
      <c r="AS362" s="6">
        <v>199</v>
      </c>
      <c r="AT362" s="4">
        <v>48.9</v>
      </c>
      <c r="AU362" s="4">
        <v>32.1</v>
      </c>
      <c r="AV362" s="7">
        <v>3.16</v>
      </c>
      <c r="AW362" s="6" t="s">
        <v>5</v>
      </c>
      <c r="AX362" s="6" t="s">
        <v>5</v>
      </c>
      <c r="AY362" s="6" t="s">
        <v>5</v>
      </c>
      <c r="AZ362" s="7">
        <v>9.2100000000000009</v>
      </c>
      <c r="BA362" s="4">
        <v>28.9</v>
      </c>
      <c r="BB362" s="6" t="s">
        <v>5</v>
      </c>
      <c r="BC362" s="6" t="s">
        <v>5</v>
      </c>
      <c r="BD362" s="6" t="s">
        <v>5</v>
      </c>
      <c r="BE362" s="6" t="s">
        <v>5</v>
      </c>
      <c r="BF362" s="6" t="s">
        <v>5</v>
      </c>
      <c r="BG362" s="6" t="s">
        <v>5</v>
      </c>
      <c r="BH362" s="6" t="s">
        <v>5</v>
      </c>
      <c r="BI362" s="7">
        <v>3.61</v>
      </c>
      <c r="BJ362" s="22">
        <v>0.95899999999999996</v>
      </c>
      <c r="BK362" s="6" t="s">
        <v>5</v>
      </c>
      <c r="BL362" s="2" t="s">
        <v>5</v>
      </c>
      <c r="BM362" s="2" t="s">
        <v>5</v>
      </c>
      <c r="BN362" s="2" t="s">
        <v>5</v>
      </c>
      <c r="BO362" s="2" t="s">
        <v>5</v>
      </c>
      <c r="BP362" s="2" t="s">
        <v>5</v>
      </c>
      <c r="BQ362" s="2" t="s">
        <v>5</v>
      </c>
      <c r="BR362" s="2" t="s">
        <v>5</v>
      </c>
      <c r="BS362" s="2" t="s">
        <v>5</v>
      </c>
      <c r="BT362" s="2" t="s">
        <v>5</v>
      </c>
      <c r="BU362" s="2" t="s">
        <v>5</v>
      </c>
      <c r="BV362" s="2" t="s">
        <v>5</v>
      </c>
      <c r="BW362" s="2" t="s">
        <v>5</v>
      </c>
      <c r="BX362" s="2" t="s">
        <v>5</v>
      </c>
      <c r="BY362" s="25" t="s">
        <v>5</v>
      </c>
      <c r="BZ362" s="25" t="s">
        <v>5</v>
      </c>
      <c r="CA362" s="4">
        <v>25.1</v>
      </c>
      <c r="CB362" s="6" t="s">
        <v>5</v>
      </c>
      <c r="CC362" s="4">
        <v>37.5</v>
      </c>
      <c r="CD362" s="4">
        <v>25.8</v>
      </c>
      <c r="CE362" s="4">
        <v>38.200000000000003</v>
      </c>
      <c r="CF362" s="16" t="s">
        <v>5</v>
      </c>
      <c r="CG362" s="5">
        <v>5.5</v>
      </c>
      <c r="CH362" s="18" t="s">
        <v>5</v>
      </c>
    </row>
    <row r="363" spans="2:86">
      <c r="B363" s="78" t="s">
        <v>145</v>
      </c>
      <c r="C363" s="79" t="s">
        <v>369</v>
      </c>
      <c r="D363" s="80" t="s">
        <v>369</v>
      </c>
      <c r="E363" s="1" t="s">
        <v>4</v>
      </c>
      <c r="F363" s="4">
        <v>60</v>
      </c>
      <c r="G363" s="4">
        <v>17.600000000000001</v>
      </c>
      <c r="H363" s="3" t="str">
        <f t="shared" si="24"/>
        <v>WT6X60</v>
      </c>
      <c r="I363" s="7">
        <v>6.56</v>
      </c>
      <c r="J363" s="5">
        <v>6.5</v>
      </c>
      <c r="K363" s="6" t="s">
        <v>5</v>
      </c>
      <c r="L363" s="6" t="s">
        <v>5</v>
      </c>
      <c r="M363" s="6" t="s">
        <v>5</v>
      </c>
      <c r="N363" s="4">
        <v>12.3</v>
      </c>
      <c r="O363" s="5">
        <v>12.375</v>
      </c>
      <c r="P363" s="5" t="s">
        <v>5</v>
      </c>
      <c r="Q363" s="6" t="s">
        <v>5</v>
      </c>
      <c r="R363" s="6" t="s">
        <v>5</v>
      </c>
      <c r="S363" s="22">
        <v>0.71</v>
      </c>
      <c r="T363" s="5">
        <v>0.6875</v>
      </c>
      <c r="U363" s="8">
        <v>0.375</v>
      </c>
      <c r="V363" s="7">
        <v>1.1100000000000001</v>
      </c>
      <c r="W363" s="8">
        <v>1.125</v>
      </c>
      <c r="X363" s="7">
        <v>1.1100000000000001</v>
      </c>
      <c r="Y363" s="6" t="s">
        <v>5</v>
      </c>
      <c r="Z363" s="6" t="s">
        <v>5</v>
      </c>
      <c r="AA363" s="7">
        <v>1.7</v>
      </c>
      <c r="AB363" s="8">
        <v>2</v>
      </c>
      <c r="AC363" s="8" t="s">
        <v>5</v>
      </c>
      <c r="AD363" s="6" t="s">
        <v>5</v>
      </c>
      <c r="AE363" s="7">
        <v>1.28</v>
      </c>
      <c r="AF363" s="6" t="s">
        <v>5</v>
      </c>
      <c r="AG363" s="6" t="s">
        <v>5</v>
      </c>
      <c r="AH363" s="22">
        <v>0.71599999999999997</v>
      </c>
      <c r="AI363" s="7">
        <v>5.57</v>
      </c>
      <c r="AJ363" s="6" t="s">
        <v>5</v>
      </c>
      <c r="AK363" s="6" t="s">
        <v>5</v>
      </c>
      <c r="AL363" s="6" t="s">
        <v>5</v>
      </c>
      <c r="AM363" s="6" t="s">
        <v>5</v>
      </c>
      <c r="AN363" s="7">
        <v>9.24</v>
      </c>
      <c r="AO363" s="4">
        <v>43.4</v>
      </c>
      <c r="AP363" s="4">
        <v>16.2</v>
      </c>
      <c r="AQ363" s="7">
        <v>8.2200000000000006</v>
      </c>
      <c r="AR363" s="7">
        <v>1.57</v>
      </c>
      <c r="AS363" s="6">
        <v>172</v>
      </c>
      <c r="AT363" s="4">
        <v>42.7</v>
      </c>
      <c r="AU363" s="4">
        <v>28</v>
      </c>
      <c r="AV363" s="7">
        <v>3.13</v>
      </c>
      <c r="AW363" s="6" t="s">
        <v>5</v>
      </c>
      <c r="AX363" s="6" t="s">
        <v>5</v>
      </c>
      <c r="AY363" s="6" t="s">
        <v>5</v>
      </c>
      <c r="AZ363" s="7">
        <v>6.42</v>
      </c>
      <c r="BA363" s="4">
        <v>19.7</v>
      </c>
      <c r="BB363" s="6" t="s">
        <v>5</v>
      </c>
      <c r="BC363" s="6" t="s">
        <v>5</v>
      </c>
      <c r="BD363" s="6" t="s">
        <v>5</v>
      </c>
      <c r="BE363" s="6" t="s">
        <v>5</v>
      </c>
      <c r="BF363" s="6" t="s">
        <v>5</v>
      </c>
      <c r="BG363" s="6" t="s">
        <v>5</v>
      </c>
      <c r="BH363" s="6" t="s">
        <v>5</v>
      </c>
      <c r="BI363" s="7">
        <v>3.57</v>
      </c>
      <c r="BJ363" s="22">
        <v>0.95899999999999996</v>
      </c>
      <c r="BK363" s="6" t="s">
        <v>5</v>
      </c>
      <c r="BL363" s="2" t="s">
        <v>5</v>
      </c>
      <c r="BM363" s="2" t="s">
        <v>5</v>
      </c>
      <c r="BN363" s="2" t="s">
        <v>5</v>
      </c>
      <c r="BO363" s="2" t="s">
        <v>5</v>
      </c>
      <c r="BP363" s="2" t="s">
        <v>5</v>
      </c>
      <c r="BQ363" s="2" t="s">
        <v>5</v>
      </c>
      <c r="BR363" s="2" t="s">
        <v>5</v>
      </c>
      <c r="BS363" s="2" t="s">
        <v>5</v>
      </c>
      <c r="BT363" s="2" t="s">
        <v>5</v>
      </c>
      <c r="BU363" s="2" t="s">
        <v>5</v>
      </c>
      <c r="BV363" s="2" t="s">
        <v>5</v>
      </c>
      <c r="BW363" s="2" t="s">
        <v>5</v>
      </c>
      <c r="BX363" s="2" t="s">
        <v>5</v>
      </c>
      <c r="BY363" s="25" t="s">
        <v>5</v>
      </c>
      <c r="BZ363" s="25" t="s">
        <v>5</v>
      </c>
      <c r="CA363" s="4">
        <v>24.7</v>
      </c>
      <c r="CB363" s="6" t="s">
        <v>5</v>
      </c>
      <c r="CC363" s="4">
        <v>37</v>
      </c>
      <c r="CD363" s="4">
        <v>25.4</v>
      </c>
      <c r="CE363" s="4">
        <v>37.700000000000003</v>
      </c>
      <c r="CF363" s="16" t="s">
        <v>5</v>
      </c>
      <c r="CG363" s="5">
        <v>5.5</v>
      </c>
      <c r="CH363" s="18" t="s">
        <v>5</v>
      </c>
    </row>
    <row r="364" spans="2:86">
      <c r="B364" s="78" t="s">
        <v>145</v>
      </c>
      <c r="C364" s="79" t="s">
        <v>370</v>
      </c>
      <c r="D364" s="80" t="s">
        <v>370</v>
      </c>
      <c r="E364" s="1" t="s">
        <v>4</v>
      </c>
      <c r="F364" s="4">
        <v>53</v>
      </c>
      <c r="G364" s="4">
        <v>15.6</v>
      </c>
      <c r="H364" s="3" t="str">
        <f t="shared" si="24"/>
        <v>WT6X53</v>
      </c>
      <c r="I364" s="7">
        <v>6.45</v>
      </c>
      <c r="J364" s="5">
        <v>6.5</v>
      </c>
      <c r="K364" s="6" t="s">
        <v>5</v>
      </c>
      <c r="L364" s="6" t="s">
        <v>5</v>
      </c>
      <c r="M364" s="6" t="s">
        <v>5</v>
      </c>
      <c r="N364" s="4">
        <v>12.2</v>
      </c>
      <c r="O364" s="5">
        <v>12.25</v>
      </c>
      <c r="P364" s="5" t="s">
        <v>5</v>
      </c>
      <c r="Q364" s="6" t="s">
        <v>5</v>
      </c>
      <c r="R364" s="6" t="s">
        <v>5</v>
      </c>
      <c r="S364" s="22">
        <v>0.61</v>
      </c>
      <c r="T364" s="5">
        <v>0.625</v>
      </c>
      <c r="U364" s="8">
        <v>0.3125</v>
      </c>
      <c r="V364" s="22">
        <v>0.99</v>
      </c>
      <c r="W364" s="8">
        <v>1</v>
      </c>
      <c r="X364" s="22">
        <v>0.99</v>
      </c>
      <c r="Y364" s="6" t="s">
        <v>5</v>
      </c>
      <c r="Z364" s="6" t="s">
        <v>5</v>
      </c>
      <c r="AA364" s="7">
        <v>1.59</v>
      </c>
      <c r="AB364" s="8">
        <v>1.875</v>
      </c>
      <c r="AC364" s="8" t="s">
        <v>5</v>
      </c>
      <c r="AD364" s="6" t="s">
        <v>5</v>
      </c>
      <c r="AE364" s="7">
        <v>1.19</v>
      </c>
      <c r="AF364" s="6" t="s">
        <v>5</v>
      </c>
      <c r="AG364" s="6" t="s">
        <v>5</v>
      </c>
      <c r="AH364" s="22">
        <v>0.63700000000000001</v>
      </c>
      <c r="AI364" s="7">
        <v>6.17</v>
      </c>
      <c r="AJ364" s="6" t="s">
        <v>5</v>
      </c>
      <c r="AK364" s="6" t="s">
        <v>5</v>
      </c>
      <c r="AL364" s="6" t="s">
        <v>5</v>
      </c>
      <c r="AM364" s="6" t="s">
        <v>5</v>
      </c>
      <c r="AN364" s="4">
        <v>10.6</v>
      </c>
      <c r="AO364" s="4">
        <v>36.299999999999997</v>
      </c>
      <c r="AP364" s="4">
        <v>13.6</v>
      </c>
      <c r="AQ364" s="7">
        <v>6.92</v>
      </c>
      <c r="AR364" s="7">
        <v>1.53</v>
      </c>
      <c r="AS364" s="6">
        <v>151</v>
      </c>
      <c r="AT364" s="4">
        <v>37.5</v>
      </c>
      <c r="AU364" s="4">
        <v>24.7</v>
      </c>
      <c r="AV364" s="7">
        <v>3.11</v>
      </c>
      <c r="AW364" s="6" t="s">
        <v>5</v>
      </c>
      <c r="AX364" s="6" t="s">
        <v>5</v>
      </c>
      <c r="AY364" s="6" t="s">
        <v>5</v>
      </c>
      <c r="AZ364" s="7">
        <v>4.55</v>
      </c>
      <c r="BA364" s="4">
        <v>13.6</v>
      </c>
      <c r="BB364" s="6" t="s">
        <v>5</v>
      </c>
      <c r="BC364" s="6" t="s">
        <v>5</v>
      </c>
      <c r="BD364" s="6" t="s">
        <v>5</v>
      </c>
      <c r="BE364" s="6" t="s">
        <v>5</v>
      </c>
      <c r="BF364" s="6" t="s">
        <v>5</v>
      </c>
      <c r="BG364" s="6" t="s">
        <v>5</v>
      </c>
      <c r="BH364" s="6" t="s">
        <v>5</v>
      </c>
      <c r="BI364" s="7">
        <v>3.53</v>
      </c>
      <c r="BJ364" s="22">
        <v>0.96099999999999997</v>
      </c>
      <c r="BK364" s="6" t="s">
        <v>5</v>
      </c>
      <c r="BL364" s="2" t="s">
        <v>5</v>
      </c>
      <c r="BM364" s="2" t="s">
        <v>5</v>
      </c>
      <c r="BN364" s="2" t="s">
        <v>5</v>
      </c>
      <c r="BO364" s="2" t="s">
        <v>5</v>
      </c>
      <c r="BP364" s="2" t="s">
        <v>5</v>
      </c>
      <c r="BQ364" s="2" t="s">
        <v>5</v>
      </c>
      <c r="BR364" s="2" t="s">
        <v>5</v>
      </c>
      <c r="BS364" s="2" t="s">
        <v>5</v>
      </c>
      <c r="BT364" s="2" t="s">
        <v>5</v>
      </c>
      <c r="BU364" s="2" t="s">
        <v>5</v>
      </c>
      <c r="BV364" s="2" t="s">
        <v>5</v>
      </c>
      <c r="BW364" s="2" t="s">
        <v>5</v>
      </c>
      <c r="BX364" s="2" t="s">
        <v>5</v>
      </c>
      <c r="BY364" s="25" t="s">
        <v>5</v>
      </c>
      <c r="BZ364" s="25" t="s">
        <v>5</v>
      </c>
      <c r="CA364" s="4">
        <v>24.4</v>
      </c>
      <c r="CB364" s="6" t="s">
        <v>5</v>
      </c>
      <c r="CC364" s="4">
        <v>36.6</v>
      </c>
      <c r="CD364" s="4">
        <v>25.099999999999998</v>
      </c>
      <c r="CE364" s="6">
        <v>37.299999999999997</v>
      </c>
      <c r="CF364" s="16" t="s">
        <v>5</v>
      </c>
      <c r="CG364" s="5">
        <v>5.5</v>
      </c>
      <c r="CH364" s="18" t="s">
        <v>5</v>
      </c>
    </row>
    <row r="365" spans="2:86">
      <c r="B365" s="78" t="s">
        <v>145</v>
      </c>
      <c r="C365" s="79" t="s">
        <v>371</v>
      </c>
      <c r="D365" s="80" t="s">
        <v>371</v>
      </c>
      <c r="E365" s="1" t="s">
        <v>4</v>
      </c>
      <c r="F365" s="4">
        <v>48</v>
      </c>
      <c r="G365" s="4">
        <v>14.1</v>
      </c>
      <c r="H365" s="3" t="str">
        <f t="shared" si="24"/>
        <v>WT6X48</v>
      </c>
      <c r="I365" s="7">
        <v>6.36</v>
      </c>
      <c r="J365" s="5">
        <v>6.375</v>
      </c>
      <c r="K365" s="6" t="s">
        <v>5</v>
      </c>
      <c r="L365" s="6" t="s">
        <v>5</v>
      </c>
      <c r="M365" s="6" t="s">
        <v>5</v>
      </c>
      <c r="N365" s="4">
        <v>12.2</v>
      </c>
      <c r="O365" s="5">
        <v>12.125</v>
      </c>
      <c r="P365" s="5" t="s">
        <v>5</v>
      </c>
      <c r="Q365" s="6" t="s">
        <v>5</v>
      </c>
      <c r="R365" s="6" t="s">
        <v>5</v>
      </c>
      <c r="S365" s="22">
        <v>0.55000000000000004</v>
      </c>
      <c r="T365" s="5">
        <v>0.5625</v>
      </c>
      <c r="U365" s="8">
        <v>0.3125</v>
      </c>
      <c r="V365" s="22">
        <v>0.9</v>
      </c>
      <c r="W365" s="8">
        <v>0.875</v>
      </c>
      <c r="X365" s="22">
        <v>0.9</v>
      </c>
      <c r="Y365" s="6" t="s">
        <v>5</v>
      </c>
      <c r="Z365" s="6" t="s">
        <v>5</v>
      </c>
      <c r="AA365" s="7">
        <v>1.5</v>
      </c>
      <c r="AB365" s="8">
        <v>1.8125</v>
      </c>
      <c r="AC365" s="8" t="s">
        <v>5</v>
      </c>
      <c r="AD365" s="6" t="s">
        <v>5</v>
      </c>
      <c r="AE365" s="7">
        <v>1.1299999999999999</v>
      </c>
      <c r="AF365" s="6" t="s">
        <v>5</v>
      </c>
      <c r="AG365" s="6" t="s">
        <v>5</v>
      </c>
      <c r="AH365" s="22">
        <v>0.57999999999999996</v>
      </c>
      <c r="AI365" s="7">
        <v>6.76</v>
      </c>
      <c r="AJ365" s="6" t="s">
        <v>5</v>
      </c>
      <c r="AK365" s="6" t="s">
        <v>5</v>
      </c>
      <c r="AL365" s="6" t="s">
        <v>5</v>
      </c>
      <c r="AM365" s="6" t="s">
        <v>5</v>
      </c>
      <c r="AN365" s="4">
        <v>11.6</v>
      </c>
      <c r="AO365" s="4">
        <v>32</v>
      </c>
      <c r="AP365" s="4">
        <v>11.9</v>
      </c>
      <c r="AQ365" s="7">
        <v>6.12</v>
      </c>
      <c r="AR365" s="7">
        <v>1.51</v>
      </c>
      <c r="AS365" s="6">
        <v>135</v>
      </c>
      <c r="AT365" s="4">
        <v>33.700000000000003</v>
      </c>
      <c r="AU365" s="4">
        <v>22.2</v>
      </c>
      <c r="AV365" s="7">
        <v>3.09</v>
      </c>
      <c r="AW365" s="6" t="s">
        <v>5</v>
      </c>
      <c r="AX365" s="6" t="s">
        <v>5</v>
      </c>
      <c r="AY365" s="6" t="s">
        <v>5</v>
      </c>
      <c r="AZ365" s="7">
        <v>3.42</v>
      </c>
      <c r="BA365" s="4">
        <v>10.1</v>
      </c>
      <c r="BB365" s="6" t="s">
        <v>5</v>
      </c>
      <c r="BC365" s="6" t="s">
        <v>5</v>
      </c>
      <c r="BD365" s="6" t="s">
        <v>5</v>
      </c>
      <c r="BE365" s="6" t="s">
        <v>5</v>
      </c>
      <c r="BF365" s="6" t="s">
        <v>5</v>
      </c>
      <c r="BG365" s="6" t="s">
        <v>5</v>
      </c>
      <c r="BH365" s="6" t="s">
        <v>5</v>
      </c>
      <c r="BI365" s="7">
        <v>3.51</v>
      </c>
      <c r="BJ365" s="22">
        <v>0.96199999999999997</v>
      </c>
      <c r="BK365" s="6" t="s">
        <v>5</v>
      </c>
      <c r="BL365" s="2" t="s">
        <v>5</v>
      </c>
      <c r="BM365" s="2" t="s">
        <v>5</v>
      </c>
      <c r="BN365" s="2" t="s">
        <v>5</v>
      </c>
      <c r="BO365" s="2" t="s">
        <v>5</v>
      </c>
      <c r="BP365" s="2" t="s">
        <v>5</v>
      </c>
      <c r="BQ365" s="2" t="s">
        <v>5</v>
      </c>
      <c r="BR365" s="2" t="s">
        <v>5</v>
      </c>
      <c r="BS365" s="2" t="s">
        <v>5</v>
      </c>
      <c r="BT365" s="2" t="s">
        <v>5</v>
      </c>
      <c r="BU365" s="2" t="s">
        <v>5</v>
      </c>
      <c r="BV365" s="2" t="s">
        <v>5</v>
      </c>
      <c r="BW365" s="2" t="s">
        <v>5</v>
      </c>
      <c r="BX365" s="2" t="s">
        <v>5</v>
      </c>
      <c r="BY365" s="25" t="s">
        <v>5</v>
      </c>
      <c r="BZ365" s="25" t="s">
        <v>5</v>
      </c>
      <c r="CA365" s="4">
        <v>24.2</v>
      </c>
      <c r="CB365" s="6" t="s">
        <v>5</v>
      </c>
      <c r="CC365" s="4">
        <v>36.4</v>
      </c>
      <c r="CD365" s="4">
        <v>24.9</v>
      </c>
      <c r="CE365" s="4">
        <v>37.1</v>
      </c>
      <c r="CF365" s="16" t="s">
        <v>5</v>
      </c>
      <c r="CG365" s="5">
        <v>5.5</v>
      </c>
      <c r="CH365" s="18" t="s">
        <v>5</v>
      </c>
    </row>
    <row r="366" spans="2:86">
      <c r="B366" s="78" t="s">
        <v>145</v>
      </c>
      <c r="C366" s="79" t="s">
        <v>372</v>
      </c>
      <c r="D366" s="80" t="s">
        <v>372</v>
      </c>
      <c r="E366" s="1" t="s">
        <v>4</v>
      </c>
      <c r="F366" s="4">
        <v>43.5</v>
      </c>
      <c r="G366" s="4">
        <v>12.8</v>
      </c>
      <c r="H366" s="3" t="str">
        <f t="shared" si="24"/>
        <v>WT6X43.5</v>
      </c>
      <c r="I366" s="7">
        <v>6.27</v>
      </c>
      <c r="J366" s="5">
        <v>6.25</v>
      </c>
      <c r="K366" s="6" t="s">
        <v>5</v>
      </c>
      <c r="L366" s="6" t="s">
        <v>5</v>
      </c>
      <c r="M366" s="6" t="s">
        <v>5</v>
      </c>
      <c r="N366" s="4">
        <v>12.1</v>
      </c>
      <c r="O366" s="5">
        <v>12.125</v>
      </c>
      <c r="P366" s="5" t="s">
        <v>5</v>
      </c>
      <c r="Q366" s="6" t="s">
        <v>5</v>
      </c>
      <c r="R366" s="6" t="s">
        <v>5</v>
      </c>
      <c r="S366" s="22">
        <v>0.51500000000000001</v>
      </c>
      <c r="T366" s="5">
        <v>0.5</v>
      </c>
      <c r="U366" s="8">
        <v>0.25</v>
      </c>
      <c r="V366" s="22">
        <v>0.81</v>
      </c>
      <c r="W366" s="8">
        <v>0.8125</v>
      </c>
      <c r="X366" s="22">
        <v>0.81</v>
      </c>
      <c r="Y366" s="6" t="s">
        <v>5</v>
      </c>
      <c r="Z366" s="6" t="s">
        <v>5</v>
      </c>
      <c r="AA366" s="7">
        <v>1.41</v>
      </c>
      <c r="AB366" s="8">
        <v>1.6875</v>
      </c>
      <c r="AC366" s="8" t="s">
        <v>5</v>
      </c>
      <c r="AD366" s="6" t="s">
        <v>5</v>
      </c>
      <c r="AE366" s="7">
        <v>1.1000000000000001</v>
      </c>
      <c r="AF366" s="6" t="s">
        <v>5</v>
      </c>
      <c r="AG366" s="6" t="s">
        <v>5</v>
      </c>
      <c r="AH366" s="22">
        <v>0.52700000000000002</v>
      </c>
      <c r="AI366" s="7">
        <v>7.48</v>
      </c>
      <c r="AJ366" s="6" t="s">
        <v>5</v>
      </c>
      <c r="AK366" s="6" t="s">
        <v>5</v>
      </c>
      <c r="AL366" s="6" t="s">
        <v>5</v>
      </c>
      <c r="AM366" s="6" t="s">
        <v>5</v>
      </c>
      <c r="AN366" s="4">
        <v>12.2</v>
      </c>
      <c r="AO366" s="4">
        <v>28.9</v>
      </c>
      <c r="AP366" s="4">
        <v>10.7</v>
      </c>
      <c r="AQ366" s="7">
        <v>5.6</v>
      </c>
      <c r="AR366" s="7">
        <v>1.5</v>
      </c>
      <c r="AS366" s="6">
        <v>120</v>
      </c>
      <c r="AT366" s="4">
        <v>30.2</v>
      </c>
      <c r="AU366" s="4">
        <v>19.899999999999999</v>
      </c>
      <c r="AV366" s="7">
        <v>3.07</v>
      </c>
      <c r="AW366" s="6" t="s">
        <v>5</v>
      </c>
      <c r="AX366" s="6" t="s">
        <v>5</v>
      </c>
      <c r="AY366" s="6" t="s">
        <v>5</v>
      </c>
      <c r="AZ366" s="7">
        <v>2.54</v>
      </c>
      <c r="BA366" s="7">
        <v>7.34</v>
      </c>
      <c r="BB366" s="6" t="s">
        <v>5</v>
      </c>
      <c r="BC366" s="6" t="s">
        <v>5</v>
      </c>
      <c r="BD366" s="6" t="s">
        <v>5</v>
      </c>
      <c r="BE366" s="6" t="s">
        <v>5</v>
      </c>
      <c r="BF366" s="6" t="s">
        <v>5</v>
      </c>
      <c r="BG366" s="6" t="s">
        <v>5</v>
      </c>
      <c r="BH366" s="6" t="s">
        <v>5</v>
      </c>
      <c r="BI366" s="7">
        <v>3.49</v>
      </c>
      <c r="BJ366" s="22">
        <v>0.96</v>
      </c>
      <c r="BK366" s="6" t="s">
        <v>5</v>
      </c>
      <c r="BL366" s="2" t="s">
        <v>5</v>
      </c>
      <c r="BM366" s="2" t="s">
        <v>5</v>
      </c>
      <c r="BN366" s="2" t="s">
        <v>5</v>
      </c>
      <c r="BO366" s="2" t="s">
        <v>5</v>
      </c>
      <c r="BP366" s="2" t="s">
        <v>5</v>
      </c>
      <c r="BQ366" s="2" t="s">
        <v>5</v>
      </c>
      <c r="BR366" s="2" t="s">
        <v>5</v>
      </c>
      <c r="BS366" s="2" t="s">
        <v>5</v>
      </c>
      <c r="BT366" s="2" t="s">
        <v>5</v>
      </c>
      <c r="BU366" s="2" t="s">
        <v>5</v>
      </c>
      <c r="BV366" s="2" t="s">
        <v>5</v>
      </c>
      <c r="BW366" s="2" t="s">
        <v>5</v>
      </c>
      <c r="BX366" s="2" t="s">
        <v>5</v>
      </c>
      <c r="BY366" s="25" t="s">
        <v>5</v>
      </c>
      <c r="BZ366" s="25" t="s">
        <v>5</v>
      </c>
      <c r="CA366" s="4">
        <v>24</v>
      </c>
      <c r="CB366" s="6" t="s">
        <v>5</v>
      </c>
      <c r="CC366" s="4">
        <v>36.1</v>
      </c>
      <c r="CD366" s="4">
        <v>24.6</v>
      </c>
      <c r="CE366" s="4">
        <v>36.700000000000003</v>
      </c>
      <c r="CF366" s="16" t="s">
        <v>5</v>
      </c>
      <c r="CG366" s="5">
        <v>5.5</v>
      </c>
      <c r="CH366" s="18" t="s">
        <v>5</v>
      </c>
    </row>
    <row r="367" spans="2:86">
      <c r="B367" s="78" t="s">
        <v>145</v>
      </c>
      <c r="C367" s="79" t="s">
        <v>373</v>
      </c>
      <c r="D367" s="80" t="s">
        <v>373</v>
      </c>
      <c r="E367" s="1" t="s">
        <v>4</v>
      </c>
      <c r="F367" s="4">
        <v>39.5</v>
      </c>
      <c r="G367" s="4">
        <v>11.6</v>
      </c>
      <c r="H367" s="3" t="str">
        <f t="shared" si="24"/>
        <v>WT6X39.5</v>
      </c>
      <c r="I367" s="7">
        <v>6.19</v>
      </c>
      <c r="J367" s="5">
        <v>6.25</v>
      </c>
      <c r="K367" s="6" t="s">
        <v>5</v>
      </c>
      <c r="L367" s="6" t="s">
        <v>5</v>
      </c>
      <c r="M367" s="6" t="s">
        <v>5</v>
      </c>
      <c r="N367" s="4">
        <v>12.1</v>
      </c>
      <c r="O367" s="5">
        <v>12.125</v>
      </c>
      <c r="P367" s="5" t="s">
        <v>5</v>
      </c>
      <c r="Q367" s="6" t="s">
        <v>5</v>
      </c>
      <c r="R367" s="6" t="s">
        <v>5</v>
      </c>
      <c r="S367" s="22">
        <v>0.47</v>
      </c>
      <c r="T367" s="5">
        <v>0.5</v>
      </c>
      <c r="U367" s="8">
        <v>0.25</v>
      </c>
      <c r="V367" s="22">
        <v>0.73499999999999999</v>
      </c>
      <c r="W367" s="8">
        <v>0.75</v>
      </c>
      <c r="X367" s="22">
        <v>0.73499999999999999</v>
      </c>
      <c r="Y367" s="6" t="s">
        <v>5</v>
      </c>
      <c r="Z367" s="6" t="s">
        <v>5</v>
      </c>
      <c r="AA367" s="7">
        <v>1.33</v>
      </c>
      <c r="AB367" s="8">
        <v>1.625</v>
      </c>
      <c r="AC367" s="8" t="s">
        <v>5</v>
      </c>
      <c r="AD367" s="6" t="s">
        <v>5</v>
      </c>
      <c r="AE367" s="7">
        <v>1.06</v>
      </c>
      <c r="AF367" s="6" t="s">
        <v>5</v>
      </c>
      <c r="AG367" s="6" t="s">
        <v>5</v>
      </c>
      <c r="AH367" s="22">
        <v>0.48</v>
      </c>
      <c r="AI367" s="7">
        <v>8.2200000000000006</v>
      </c>
      <c r="AJ367" s="6" t="s">
        <v>5</v>
      </c>
      <c r="AK367" s="6" t="s">
        <v>5</v>
      </c>
      <c r="AL367" s="6" t="s">
        <v>5</v>
      </c>
      <c r="AM367" s="6" t="s">
        <v>5</v>
      </c>
      <c r="AN367" s="4">
        <v>13.2</v>
      </c>
      <c r="AO367" s="4">
        <v>25.8</v>
      </c>
      <c r="AP367" s="7">
        <v>9.49</v>
      </c>
      <c r="AQ367" s="7">
        <v>5.03</v>
      </c>
      <c r="AR367" s="7">
        <v>1.49</v>
      </c>
      <c r="AS367" s="6">
        <v>108</v>
      </c>
      <c r="AT367" s="4">
        <v>27.1</v>
      </c>
      <c r="AU367" s="4">
        <v>17.899999999999999</v>
      </c>
      <c r="AV367" s="7">
        <v>3.05</v>
      </c>
      <c r="AW367" s="6" t="s">
        <v>5</v>
      </c>
      <c r="AX367" s="6" t="s">
        <v>5</v>
      </c>
      <c r="AY367" s="6" t="s">
        <v>5</v>
      </c>
      <c r="AZ367" s="7">
        <v>1.91</v>
      </c>
      <c r="BA367" s="7">
        <v>5.43</v>
      </c>
      <c r="BB367" s="6" t="s">
        <v>5</v>
      </c>
      <c r="BC367" s="6" t="s">
        <v>5</v>
      </c>
      <c r="BD367" s="6" t="s">
        <v>5</v>
      </c>
      <c r="BE367" s="6" t="s">
        <v>5</v>
      </c>
      <c r="BF367" s="6" t="s">
        <v>5</v>
      </c>
      <c r="BG367" s="6" t="s">
        <v>5</v>
      </c>
      <c r="BH367" s="6" t="s">
        <v>5</v>
      </c>
      <c r="BI367" s="7">
        <v>3.47</v>
      </c>
      <c r="BJ367" s="22">
        <v>0.96</v>
      </c>
      <c r="BK367" s="6" t="s">
        <v>5</v>
      </c>
      <c r="BL367" s="2" t="s">
        <v>5</v>
      </c>
      <c r="BM367" s="2" t="s">
        <v>5</v>
      </c>
      <c r="BN367" s="2" t="s">
        <v>5</v>
      </c>
      <c r="BO367" s="2" t="s">
        <v>5</v>
      </c>
      <c r="BP367" s="2" t="s">
        <v>5</v>
      </c>
      <c r="BQ367" s="2" t="s">
        <v>5</v>
      </c>
      <c r="BR367" s="2" t="s">
        <v>5</v>
      </c>
      <c r="BS367" s="2" t="s">
        <v>5</v>
      </c>
      <c r="BT367" s="2" t="s">
        <v>5</v>
      </c>
      <c r="BU367" s="2" t="s">
        <v>5</v>
      </c>
      <c r="BV367" s="2" t="s">
        <v>5</v>
      </c>
      <c r="BW367" s="2" t="s">
        <v>5</v>
      </c>
      <c r="BX367" s="2" t="s">
        <v>5</v>
      </c>
      <c r="BY367" s="25" t="s">
        <v>5</v>
      </c>
      <c r="BZ367" s="25" t="s">
        <v>5</v>
      </c>
      <c r="CA367" s="4">
        <v>23.8</v>
      </c>
      <c r="CB367" s="6" t="s">
        <v>5</v>
      </c>
      <c r="CC367" s="4">
        <v>35.9</v>
      </c>
      <c r="CD367" s="4">
        <v>24.5</v>
      </c>
      <c r="CE367" s="4">
        <v>36.6</v>
      </c>
      <c r="CF367" s="16" t="s">
        <v>5</v>
      </c>
      <c r="CG367" s="5">
        <v>5.5</v>
      </c>
      <c r="CH367" s="18" t="s">
        <v>5</v>
      </c>
    </row>
    <row r="368" spans="2:86">
      <c r="B368" s="78" t="s">
        <v>145</v>
      </c>
      <c r="C368" s="79" t="s">
        <v>374</v>
      </c>
      <c r="D368" s="80" t="s">
        <v>374</v>
      </c>
      <c r="E368" s="1" t="s">
        <v>4</v>
      </c>
      <c r="F368" s="4">
        <v>36</v>
      </c>
      <c r="G368" s="4">
        <v>10.6</v>
      </c>
      <c r="H368" s="3" t="str">
        <f t="shared" si="24"/>
        <v>WT6X36</v>
      </c>
      <c r="I368" s="7">
        <v>6.13</v>
      </c>
      <c r="J368" s="5">
        <v>6.125</v>
      </c>
      <c r="K368" s="6" t="s">
        <v>5</v>
      </c>
      <c r="L368" s="6" t="s">
        <v>5</v>
      </c>
      <c r="M368" s="6" t="s">
        <v>5</v>
      </c>
      <c r="N368" s="4">
        <v>12</v>
      </c>
      <c r="O368" s="5">
        <v>12</v>
      </c>
      <c r="P368" s="5" t="s">
        <v>5</v>
      </c>
      <c r="Q368" s="6" t="s">
        <v>5</v>
      </c>
      <c r="R368" s="6" t="s">
        <v>5</v>
      </c>
      <c r="S368" s="22">
        <v>0.43</v>
      </c>
      <c r="T368" s="5">
        <v>0.4375</v>
      </c>
      <c r="U368" s="8">
        <v>0.25</v>
      </c>
      <c r="V368" s="22">
        <v>0.67</v>
      </c>
      <c r="W368" s="8">
        <v>0.6875</v>
      </c>
      <c r="X368" s="22">
        <v>0.67</v>
      </c>
      <c r="Y368" s="6" t="s">
        <v>5</v>
      </c>
      <c r="Z368" s="6" t="s">
        <v>5</v>
      </c>
      <c r="AA368" s="7">
        <v>1.27</v>
      </c>
      <c r="AB368" s="8">
        <v>1.5625</v>
      </c>
      <c r="AC368" s="8" t="s">
        <v>5</v>
      </c>
      <c r="AD368" s="6" t="s">
        <v>5</v>
      </c>
      <c r="AE368" s="7">
        <v>1.02</v>
      </c>
      <c r="AF368" s="6" t="s">
        <v>5</v>
      </c>
      <c r="AG368" s="6" t="s">
        <v>5</v>
      </c>
      <c r="AH368" s="22">
        <v>0.439</v>
      </c>
      <c r="AI368" s="7">
        <v>8.99</v>
      </c>
      <c r="AJ368" s="6" t="s">
        <v>5</v>
      </c>
      <c r="AK368" s="6" t="s">
        <v>5</v>
      </c>
      <c r="AL368" s="6" t="s">
        <v>5</v>
      </c>
      <c r="AM368" s="6" t="s">
        <v>5</v>
      </c>
      <c r="AN368" s="4">
        <v>14.3</v>
      </c>
      <c r="AO368" s="4">
        <v>23.2</v>
      </c>
      <c r="AP368" s="7">
        <v>8.48</v>
      </c>
      <c r="AQ368" s="7">
        <v>4.54</v>
      </c>
      <c r="AR368" s="7">
        <v>1.48</v>
      </c>
      <c r="AS368" s="4">
        <v>97.5</v>
      </c>
      <c r="AT368" s="4">
        <v>24.6</v>
      </c>
      <c r="AU368" s="4">
        <v>16.2</v>
      </c>
      <c r="AV368" s="7">
        <v>3.04</v>
      </c>
      <c r="AW368" s="6" t="s">
        <v>5</v>
      </c>
      <c r="AX368" s="6" t="s">
        <v>5</v>
      </c>
      <c r="AY368" s="6" t="s">
        <v>5</v>
      </c>
      <c r="AZ368" s="7">
        <v>1.46</v>
      </c>
      <c r="BA368" s="7">
        <v>4.07</v>
      </c>
      <c r="BB368" s="6" t="s">
        <v>5</v>
      </c>
      <c r="BC368" s="6" t="s">
        <v>5</v>
      </c>
      <c r="BD368" s="6" t="s">
        <v>5</v>
      </c>
      <c r="BE368" s="6" t="s">
        <v>5</v>
      </c>
      <c r="BF368" s="6" t="s">
        <v>5</v>
      </c>
      <c r="BG368" s="6" t="s">
        <v>5</v>
      </c>
      <c r="BH368" s="6" t="s">
        <v>5</v>
      </c>
      <c r="BI368" s="7">
        <v>3.45</v>
      </c>
      <c r="BJ368" s="22">
        <v>0.96</v>
      </c>
      <c r="BK368" s="6" t="s">
        <v>5</v>
      </c>
      <c r="BL368" s="2" t="s">
        <v>5</v>
      </c>
      <c r="BM368" s="2" t="s">
        <v>5</v>
      </c>
      <c r="BN368" s="2" t="s">
        <v>5</v>
      </c>
      <c r="BO368" s="2" t="s">
        <v>5</v>
      </c>
      <c r="BP368" s="2" t="s">
        <v>5</v>
      </c>
      <c r="BQ368" s="2" t="s">
        <v>5</v>
      </c>
      <c r="BR368" s="2" t="s">
        <v>5</v>
      </c>
      <c r="BS368" s="2" t="s">
        <v>5</v>
      </c>
      <c r="BT368" s="2" t="s">
        <v>5</v>
      </c>
      <c r="BU368" s="2" t="s">
        <v>5</v>
      </c>
      <c r="BV368" s="2" t="s">
        <v>5</v>
      </c>
      <c r="BW368" s="2" t="s">
        <v>5</v>
      </c>
      <c r="BX368" s="2" t="s">
        <v>5</v>
      </c>
      <c r="BY368" s="25" t="s">
        <v>5</v>
      </c>
      <c r="BZ368" s="25" t="s">
        <v>5</v>
      </c>
      <c r="CA368" s="4">
        <v>23.6</v>
      </c>
      <c r="CB368" s="6" t="s">
        <v>5</v>
      </c>
      <c r="CC368" s="4">
        <v>35.6</v>
      </c>
      <c r="CD368" s="4">
        <v>24.3</v>
      </c>
      <c r="CE368" s="4">
        <v>36.299999999999997</v>
      </c>
      <c r="CF368" s="16" t="s">
        <v>5</v>
      </c>
      <c r="CG368" s="5">
        <v>5.5</v>
      </c>
      <c r="CH368" s="18" t="s">
        <v>5</v>
      </c>
    </row>
    <row r="369" spans="2:86">
      <c r="B369" s="78" t="s">
        <v>145</v>
      </c>
      <c r="C369" s="79" t="s">
        <v>375</v>
      </c>
      <c r="D369" s="80" t="s">
        <v>375</v>
      </c>
      <c r="E369" s="1" t="s">
        <v>4</v>
      </c>
      <c r="F369" s="4">
        <v>32.5</v>
      </c>
      <c r="G369" s="7">
        <v>9.5399999999999991</v>
      </c>
      <c r="H369" s="3" t="str">
        <f t="shared" si="24"/>
        <v>WT6X32.5</v>
      </c>
      <c r="I369" s="7">
        <v>6.06</v>
      </c>
      <c r="J369" s="5">
        <v>6</v>
      </c>
      <c r="K369" s="6" t="s">
        <v>5</v>
      </c>
      <c r="L369" s="6" t="s">
        <v>5</v>
      </c>
      <c r="M369" s="6" t="s">
        <v>5</v>
      </c>
      <c r="N369" s="4">
        <v>12</v>
      </c>
      <c r="O369" s="5">
        <v>12</v>
      </c>
      <c r="P369" s="5" t="s">
        <v>5</v>
      </c>
      <c r="Q369" s="6" t="s">
        <v>5</v>
      </c>
      <c r="R369" s="6" t="s">
        <v>5</v>
      </c>
      <c r="S369" s="22">
        <v>0.39</v>
      </c>
      <c r="T369" s="5">
        <v>0.375</v>
      </c>
      <c r="U369" s="8">
        <v>0.1875</v>
      </c>
      <c r="V369" s="22">
        <v>0.60499999999999998</v>
      </c>
      <c r="W369" s="8">
        <v>0.625</v>
      </c>
      <c r="X369" s="22">
        <v>0.60499999999999998</v>
      </c>
      <c r="Y369" s="6" t="s">
        <v>5</v>
      </c>
      <c r="Z369" s="6" t="s">
        <v>5</v>
      </c>
      <c r="AA369" s="7">
        <v>1.2</v>
      </c>
      <c r="AB369" s="8">
        <v>1.5</v>
      </c>
      <c r="AC369" s="8" t="s">
        <v>5</v>
      </c>
      <c r="AD369" s="6" t="s">
        <v>5</v>
      </c>
      <c r="AE369" s="22">
        <v>0.98499999999999999</v>
      </c>
      <c r="AF369" s="6" t="s">
        <v>5</v>
      </c>
      <c r="AG369" s="6" t="s">
        <v>5</v>
      </c>
      <c r="AH369" s="22">
        <v>0.39800000000000002</v>
      </c>
      <c r="AI369" s="7">
        <v>9.92</v>
      </c>
      <c r="AJ369" s="6" t="s">
        <v>5</v>
      </c>
      <c r="AK369" s="6" t="s">
        <v>5</v>
      </c>
      <c r="AL369" s="6" t="s">
        <v>5</v>
      </c>
      <c r="AM369" s="6" t="s">
        <v>5</v>
      </c>
      <c r="AN369" s="4">
        <v>15.5</v>
      </c>
      <c r="AO369" s="4">
        <v>20.6</v>
      </c>
      <c r="AP369" s="7">
        <v>7.5</v>
      </c>
      <c r="AQ369" s="7">
        <v>4.0599999999999996</v>
      </c>
      <c r="AR369" s="7">
        <v>1.47</v>
      </c>
      <c r="AS369" s="4">
        <v>87.2</v>
      </c>
      <c r="AT369" s="4">
        <v>22</v>
      </c>
      <c r="AU369" s="4">
        <v>14.5</v>
      </c>
      <c r="AV369" s="7">
        <v>3.02</v>
      </c>
      <c r="AW369" s="6" t="s">
        <v>5</v>
      </c>
      <c r="AX369" s="6" t="s">
        <v>5</v>
      </c>
      <c r="AY369" s="6" t="s">
        <v>5</v>
      </c>
      <c r="AZ369" s="7">
        <v>1.0900000000000001</v>
      </c>
      <c r="BA369" s="7">
        <v>2.97</v>
      </c>
      <c r="BB369" s="6" t="s">
        <v>5</v>
      </c>
      <c r="BC369" s="6" t="s">
        <v>5</v>
      </c>
      <c r="BD369" s="6" t="s">
        <v>5</v>
      </c>
      <c r="BE369" s="6" t="s">
        <v>5</v>
      </c>
      <c r="BF369" s="6" t="s">
        <v>5</v>
      </c>
      <c r="BG369" s="6" t="s">
        <v>5</v>
      </c>
      <c r="BH369" s="6" t="s">
        <v>5</v>
      </c>
      <c r="BI369" s="7">
        <v>3.43</v>
      </c>
      <c r="BJ369" s="22">
        <v>0.96</v>
      </c>
      <c r="BK369" s="6" t="s">
        <v>5</v>
      </c>
      <c r="BL369" s="2" t="s">
        <v>5</v>
      </c>
      <c r="BM369" s="2" t="s">
        <v>5</v>
      </c>
      <c r="BN369" s="2" t="s">
        <v>5</v>
      </c>
      <c r="BO369" s="2" t="s">
        <v>5</v>
      </c>
      <c r="BP369" s="2" t="s">
        <v>5</v>
      </c>
      <c r="BQ369" s="2" t="s">
        <v>5</v>
      </c>
      <c r="BR369" s="2" t="s">
        <v>5</v>
      </c>
      <c r="BS369" s="2" t="s">
        <v>5</v>
      </c>
      <c r="BT369" s="2" t="s">
        <v>5</v>
      </c>
      <c r="BU369" s="2" t="s">
        <v>5</v>
      </c>
      <c r="BV369" s="2" t="s">
        <v>5</v>
      </c>
      <c r="BW369" s="2" t="s">
        <v>5</v>
      </c>
      <c r="BX369" s="2" t="s">
        <v>5</v>
      </c>
      <c r="BY369" s="25" t="s">
        <v>5</v>
      </c>
      <c r="BZ369" s="25" t="s">
        <v>5</v>
      </c>
      <c r="CA369" s="4">
        <v>23.4</v>
      </c>
      <c r="CB369" s="6" t="s">
        <v>5</v>
      </c>
      <c r="CC369" s="4">
        <v>35.4</v>
      </c>
      <c r="CD369" s="4">
        <v>24.1</v>
      </c>
      <c r="CE369" s="4">
        <v>36.1</v>
      </c>
      <c r="CF369" s="16" t="s">
        <v>5</v>
      </c>
      <c r="CG369" s="5">
        <v>5.5</v>
      </c>
      <c r="CH369" s="18" t="s">
        <v>5</v>
      </c>
    </row>
    <row r="370" spans="2:86">
      <c r="B370" s="78" t="s">
        <v>145</v>
      </c>
      <c r="C370" s="79" t="s">
        <v>376</v>
      </c>
      <c r="D370" s="80" t="s">
        <v>376</v>
      </c>
      <c r="E370" s="1" t="s">
        <v>4</v>
      </c>
      <c r="F370" s="4">
        <v>29</v>
      </c>
      <c r="G370" s="7">
        <v>8.52</v>
      </c>
      <c r="H370" s="3" t="str">
        <f t="shared" si="24"/>
        <v>WT6X29</v>
      </c>
      <c r="I370" s="7">
        <v>6.1</v>
      </c>
      <c r="J370" s="5">
        <v>6.125</v>
      </c>
      <c r="K370" s="6" t="s">
        <v>5</v>
      </c>
      <c r="L370" s="6" t="s">
        <v>5</v>
      </c>
      <c r="M370" s="6" t="s">
        <v>5</v>
      </c>
      <c r="N370" s="4">
        <v>10</v>
      </c>
      <c r="O370" s="5">
        <v>10</v>
      </c>
      <c r="P370" s="5" t="s">
        <v>5</v>
      </c>
      <c r="Q370" s="6" t="s">
        <v>5</v>
      </c>
      <c r="R370" s="6" t="s">
        <v>5</v>
      </c>
      <c r="S370" s="22">
        <v>0.36</v>
      </c>
      <c r="T370" s="5">
        <v>0.375</v>
      </c>
      <c r="U370" s="8">
        <v>0.1875</v>
      </c>
      <c r="V370" s="22">
        <v>0.64</v>
      </c>
      <c r="W370" s="8">
        <v>0.625</v>
      </c>
      <c r="X370" s="22">
        <v>0.64</v>
      </c>
      <c r="Y370" s="6" t="s">
        <v>5</v>
      </c>
      <c r="Z370" s="6" t="s">
        <v>5</v>
      </c>
      <c r="AA370" s="7">
        <v>1.24</v>
      </c>
      <c r="AB370" s="8">
        <v>1.5</v>
      </c>
      <c r="AC370" s="8" t="s">
        <v>5</v>
      </c>
      <c r="AD370" s="6" t="s">
        <v>5</v>
      </c>
      <c r="AE370" s="7">
        <v>1.03</v>
      </c>
      <c r="AF370" s="6" t="s">
        <v>5</v>
      </c>
      <c r="AG370" s="6" t="s">
        <v>5</v>
      </c>
      <c r="AH370" s="22">
        <v>0.42599999999999999</v>
      </c>
      <c r="AI370" s="7">
        <v>7.82</v>
      </c>
      <c r="AJ370" s="6" t="s">
        <v>5</v>
      </c>
      <c r="AK370" s="6" t="s">
        <v>5</v>
      </c>
      <c r="AL370" s="6" t="s">
        <v>5</v>
      </c>
      <c r="AM370" s="6" t="s">
        <v>5</v>
      </c>
      <c r="AN370" s="4">
        <v>16.899999999999999</v>
      </c>
      <c r="AO370" s="4">
        <v>19.100000000000001</v>
      </c>
      <c r="AP370" s="7">
        <v>6.97</v>
      </c>
      <c r="AQ370" s="7">
        <v>3.76</v>
      </c>
      <c r="AR370" s="7">
        <v>1.5</v>
      </c>
      <c r="AS370" s="4">
        <v>53.5</v>
      </c>
      <c r="AT370" s="4">
        <v>16.2</v>
      </c>
      <c r="AU370" s="4">
        <v>10.7</v>
      </c>
      <c r="AV370" s="7">
        <v>2.5099999999999998</v>
      </c>
      <c r="AW370" s="6" t="s">
        <v>5</v>
      </c>
      <c r="AX370" s="6" t="s">
        <v>5</v>
      </c>
      <c r="AY370" s="6" t="s">
        <v>5</v>
      </c>
      <c r="AZ370" s="7">
        <v>1.05</v>
      </c>
      <c r="BA370" s="7">
        <v>2.08</v>
      </c>
      <c r="BB370" s="6" t="s">
        <v>5</v>
      </c>
      <c r="BC370" s="6" t="s">
        <v>5</v>
      </c>
      <c r="BD370" s="6" t="s">
        <v>5</v>
      </c>
      <c r="BE370" s="6" t="s">
        <v>5</v>
      </c>
      <c r="BF370" s="6" t="s">
        <v>5</v>
      </c>
      <c r="BG370" s="6" t="s">
        <v>5</v>
      </c>
      <c r="BH370" s="6" t="s">
        <v>5</v>
      </c>
      <c r="BI370" s="7">
        <v>3</v>
      </c>
      <c r="BJ370" s="22">
        <v>0.94399999999999995</v>
      </c>
      <c r="BK370" s="6" t="s">
        <v>5</v>
      </c>
      <c r="BL370" s="2" t="s">
        <v>5</v>
      </c>
      <c r="BM370" s="2" t="s">
        <v>5</v>
      </c>
      <c r="BN370" s="2" t="s">
        <v>5</v>
      </c>
      <c r="BO370" s="2" t="s">
        <v>5</v>
      </c>
      <c r="BP370" s="2" t="s">
        <v>5</v>
      </c>
      <c r="BQ370" s="2" t="s">
        <v>5</v>
      </c>
      <c r="BR370" s="2" t="s">
        <v>5</v>
      </c>
      <c r="BS370" s="2" t="s">
        <v>5</v>
      </c>
      <c r="BT370" s="2" t="s">
        <v>5</v>
      </c>
      <c r="BU370" s="2" t="s">
        <v>5</v>
      </c>
      <c r="BV370" s="2" t="s">
        <v>5</v>
      </c>
      <c r="BW370" s="2" t="s">
        <v>5</v>
      </c>
      <c r="BX370" s="2" t="s">
        <v>5</v>
      </c>
      <c r="BY370" s="25" t="s">
        <v>5</v>
      </c>
      <c r="BZ370" s="25" t="s">
        <v>5</v>
      </c>
      <c r="CA370" s="4">
        <v>21.6</v>
      </c>
      <c r="CB370" s="6" t="s">
        <v>5</v>
      </c>
      <c r="CC370" s="4">
        <v>31.6</v>
      </c>
      <c r="CD370" s="4">
        <v>22.200000000000003</v>
      </c>
      <c r="CE370" s="6">
        <v>32.200000000000003</v>
      </c>
      <c r="CF370" s="16" t="s">
        <v>5</v>
      </c>
      <c r="CG370" s="5">
        <v>5.5</v>
      </c>
      <c r="CH370" s="18" t="s">
        <v>5</v>
      </c>
    </row>
    <row r="371" spans="2:86">
      <c r="B371" s="78" t="s">
        <v>145</v>
      </c>
      <c r="C371" s="79" t="s">
        <v>377</v>
      </c>
      <c r="D371" s="80" t="s">
        <v>377</v>
      </c>
      <c r="E371" s="1" t="s">
        <v>4</v>
      </c>
      <c r="F371" s="4">
        <v>26.5</v>
      </c>
      <c r="G371" s="7">
        <v>7.78</v>
      </c>
      <c r="H371" s="3" t="str">
        <f t="shared" si="24"/>
        <v>WT6X26.5</v>
      </c>
      <c r="I371" s="7">
        <v>6.03</v>
      </c>
      <c r="J371" s="5">
        <v>6</v>
      </c>
      <c r="K371" s="6" t="s">
        <v>5</v>
      </c>
      <c r="L371" s="6" t="s">
        <v>5</v>
      </c>
      <c r="M371" s="6" t="s">
        <v>5</v>
      </c>
      <c r="N371" s="4">
        <v>10</v>
      </c>
      <c r="O371" s="5">
        <v>10</v>
      </c>
      <c r="P371" s="5" t="s">
        <v>5</v>
      </c>
      <c r="Q371" s="6" t="s">
        <v>5</v>
      </c>
      <c r="R371" s="6" t="s">
        <v>5</v>
      </c>
      <c r="S371" s="22">
        <v>0.34499999999999997</v>
      </c>
      <c r="T371" s="5">
        <v>0.375</v>
      </c>
      <c r="U371" s="8">
        <v>0.1875</v>
      </c>
      <c r="V371" s="22">
        <v>0.57499999999999996</v>
      </c>
      <c r="W371" s="8">
        <v>0.5625</v>
      </c>
      <c r="X371" s="22">
        <v>0.57499999999999996</v>
      </c>
      <c r="Y371" s="6" t="s">
        <v>5</v>
      </c>
      <c r="Z371" s="6" t="s">
        <v>5</v>
      </c>
      <c r="AA371" s="7">
        <v>1.18</v>
      </c>
      <c r="AB371" s="8">
        <v>1.375</v>
      </c>
      <c r="AC371" s="8" t="s">
        <v>5</v>
      </c>
      <c r="AD371" s="6" t="s">
        <v>5</v>
      </c>
      <c r="AE371" s="7">
        <v>1.02</v>
      </c>
      <c r="AF371" s="6" t="s">
        <v>5</v>
      </c>
      <c r="AG371" s="6" t="s">
        <v>5</v>
      </c>
      <c r="AH371" s="22">
        <v>0.38900000000000001</v>
      </c>
      <c r="AI371" s="7">
        <v>8.69</v>
      </c>
      <c r="AJ371" s="6" t="s">
        <v>5</v>
      </c>
      <c r="AK371" s="6" t="s">
        <v>5</v>
      </c>
      <c r="AL371" s="6" t="s">
        <v>5</v>
      </c>
      <c r="AM371" s="6" t="s">
        <v>5</v>
      </c>
      <c r="AN371" s="4">
        <v>17.5</v>
      </c>
      <c r="AO371" s="4">
        <v>17.7</v>
      </c>
      <c r="AP371" s="7">
        <v>6.46</v>
      </c>
      <c r="AQ371" s="7">
        <v>3.54</v>
      </c>
      <c r="AR371" s="7">
        <v>1.51</v>
      </c>
      <c r="AS371" s="4">
        <v>47.9</v>
      </c>
      <c r="AT371" s="4">
        <v>14.5</v>
      </c>
      <c r="AU371" s="7">
        <v>9.58</v>
      </c>
      <c r="AV371" s="7">
        <v>2.48</v>
      </c>
      <c r="AW371" s="6" t="s">
        <v>5</v>
      </c>
      <c r="AX371" s="6" t="s">
        <v>5</v>
      </c>
      <c r="AY371" s="6" t="s">
        <v>5</v>
      </c>
      <c r="AZ371" s="22">
        <v>0.78800000000000003</v>
      </c>
      <c r="BA371" s="7">
        <v>1.53</v>
      </c>
      <c r="BB371" s="6" t="s">
        <v>5</v>
      </c>
      <c r="BC371" s="6" t="s">
        <v>5</v>
      </c>
      <c r="BD371" s="6" t="s">
        <v>5</v>
      </c>
      <c r="BE371" s="6" t="s">
        <v>5</v>
      </c>
      <c r="BF371" s="6" t="s">
        <v>5</v>
      </c>
      <c r="BG371" s="6" t="s">
        <v>5</v>
      </c>
      <c r="BH371" s="6" t="s">
        <v>5</v>
      </c>
      <c r="BI371" s="7">
        <v>3</v>
      </c>
      <c r="BJ371" s="22">
        <v>0.93899999999999995</v>
      </c>
      <c r="BK371" s="6" t="s">
        <v>5</v>
      </c>
      <c r="BL371" s="2" t="s">
        <v>5</v>
      </c>
      <c r="BM371" s="2" t="s">
        <v>5</v>
      </c>
      <c r="BN371" s="2" t="s">
        <v>5</v>
      </c>
      <c r="BO371" s="2" t="s">
        <v>5</v>
      </c>
      <c r="BP371" s="2" t="s">
        <v>5</v>
      </c>
      <c r="BQ371" s="2" t="s">
        <v>5</v>
      </c>
      <c r="BR371" s="2" t="s">
        <v>5</v>
      </c>
      <c r="BS371" s="2" t="s">
        <v>5</v>
      </c>
      <c r="BT371" s="2" t="s">
        <v>5</v>
      </c>
      <c r="BU371" s="2" t="s">
        <v>5</v>
      </c>
      <c r="BV371" s="2" t="s">
        <v>5</v>
      </c>
      <c r="BW371" s="2" t="s">
        <v>5</v>
      </c>
      <c r="BX371" s="2" t="s">
        <v>5</v>
      </c>
      <c r="BY371" s="25" t="s">
        <v>5</v>
      </c>
      <c r="BZ371" s="25" t="s">
        <v>5</v>
      </c>
      <c r="CA371" s="4">
        <v>21.5</v>
      </c>
      <c r="CB371" s="6" t="s">
        <v>5</v>
      </c>
      <c r="CC371" s="4">
        <v>31.5</v>
      </c>
      <c r="CD371" s="4">
        <v>22.1</v>
      </c>
      <c r="CE371" s="4">
        <v>32.1</v>
      </c>
      <c r="CF371" s="16" t="s">
        <v>5</v>
      </c>
      <c r="CG371" s="5">
        <v>5.5</v>
      </c>
      <c r="CH371" s="18" t="s">
        <v>5</v>
      </c>
    </row>
    <row r="372" spans="2:86">
      <c r="B372" s="78" t="s">
        <v>145</v>
      </c>
      <c r="C372" s="79" t="s">
        <v>378</v>
      </c>
      <c r="D372" s="80" t="s">
        <v>378</v>
      </c>
      <c r="E372" s="1" t="s">
        <v>4</v>
      </c>
      <c r="F372" s="4">
        <v>25</v>
      </c>
      <c r="G372" s="7">
        <v>7.3</v>
      </c>
      <c r="H372" s="3" t="str">
        <f t="shared" si="24"/>
        <v>WT6X25</v>
      </c>
      <c r="I372" s="7">
        <v>6.1</v>
      </c>
      <c r="J372" s="5">
        <v>6.125</v>
      </c>
      <c r="K372" s="6" t="s">
        <v>5</v>
      </c>
      <c r="L372" s="6" t="s">
        <v>5</v>
      </c>
      <c r="M372" s="6" t="s">
        <v>5</v>
      </c>
      <c r="N372" s="7">
        <v>8.08</v>
      </c>
      <c r="O372" s="5">
        <v>8.125</v>
      </c>
      <c r="P372" s="5" t="s">
        <v>5</v>
      </c>
      <c r="Q372" s="6" t="s">
        <v>5</v>
      </c>
      <c r="R372" s="6" t="s">
        <v>5</v>
      </c>
      <c r="S372" s="22">
        <v>0.37</v>
      </c>
      <c r="T372" s="5">
        <v>0.375</v>
      </c>
      <c r="U372" s="8">
        <v>0.1875</v>
      </c>
      <c r="V372" s="22">
        <v>0.64</v>
      </c>
      <c r="W372" s="8">
        <v>0.625</v>
      </c>
      <c r="X372" s="22">
        <v>0.64</v>
      </c>
      <c r="Y372" s="6" t="s">
        <v>5</v>
      </c>
      <c r="Z372" s="6" t="s">
        <v>5</v>
      </c>
      <c r="AA372" s="7">
        <v>1.1399999999999999</v>
      </c>
      <c r="AB372" s="8">
        <v>1.5</v>
      </c>
      <c r="AC372" s="8" t="s">
        <v>5</v>
      </c>
      <c r="AD372" s="6" t="s">
        <v>5</v>
      </c>
      <c r="AE372" s="7">
        <v>1.17</v>
      </c>
      <c r="AF372" s="6" t="s">
        <v>5</v>
      </c>
      <c r="AG372" s="6" t="s">
        <v>5</v>
      </c>
      <c r="AH372" s="22">
        <v>0.45200000000000001</v>
      </c>
      <c r="AI372" s="7">
        <v>6.31</v>
      </c>
      <c r="AJ372" s="6" t="s">
        <v>5</v>
      </c>
      <c r="AK372" s="6" t="s">
        <v>5</v>
      </c>
      <c r="AL372" s="6" t="s">
        <v>5</v>
      </c>
      <c r="AM372" s="6" t="s">
        <v>5</v>
      </c>
      <c r="AN372" s="4">
        <v>16.5</v>
      </c>
      <c r="AO372" s="4">
        <v>18.7</v>
      </c>
      <c r="AP372" s="7">
        <v>6.88</v>
      </c>
      <c r="AQ372" s="7">
        <v>3.79</v>
      </c>
      <c r="AR372" s="7">
        <v>1.6</v>
      </c>
      <c r="AS372" s="4">
        <v>28.2</v>
      </c>
      <c r="AT372" s="4">
        <v>10.6</v>
      </c>
      <c r="AU372" s="7">
        <v>6.97</v>
      </c>
      <c r="AV372" s="7">
        <v>1.96</v>
      </c>
      <c r="AW372" s="6" t="s">
        <v>5</v>
      </c>
      <c r="AX372" s="6" t="s">
        <v>5</v>
      </c>
      <c r="AY372" s="6" t="s">
        <v>5</v>
      </c>
      <c r="AZ372" s="22">
        <v>0.85499999999999998</v>
      </c>
      <c r="BA372" s="7">
        <v>1.23</v>
      </c>
      <c r="BB372" s="6" t="s">
        <v>5</v>
      </c>
      <c r="BC372" s="6" t="s">
        <v>5</v>
      </c>
      <c r="BD372" s="6" t="s">
        <v>5</v>
      </c>
      <c r="BE372" s="6" t="s">
        <v>5</v>
      </c>
      <c r="BF372" s="6" t="s">
        <v>5</v>
      </c>
      <c r="BG372" s="6" t="s">
        <v>5</v>
      </c>
      <c r="BH372" s="6" t="s">
        <v>5</v>
      </c>
      <c r="BI372" s="7">
        <v>2.67</v>
      </c>
      <c r="BJ372" s="22">
        <v>0.89900000000000002</v>
      </c>
      <c r="BK372" s="6" t="s">
        <v>5</v>
      </c>
      <c r="BL372" s="2" t="s">
        <v>5</v>
      </c>
      <c r="BM372" s="2" t="s">
        <v>5</v>
      </c>
      <c r="BN372" s="2" t="s">
        <v>5</v>
      </c>
      <c r="BO372" s="2" t="s">
        <v>5</v>
      </c>
      <c r="BP372" s="2" t="s">
        <v>5</v>
      </c>
      <c r="BQ372" s="2" t="s">
        <v>5</v>
      </c>
      <c r="BR372" s="2" t="s">
        <v>5</v>
      </c>
      <c r="BS372" s="2" t="s">
        <v>5</v>
      </c>
      <c r="BT372" s="2" t="s">
        <v>5</v>
      </c>
      <c r="BU372" s="2" t="s">
        <v>5</v>
      </c>
      <c r="BV372" s="2" t="s">
        <v>5</v>
      </c>
      <c r="BW372" s="2" t="s">
        <v>5</v>
      </c>
      <c r="BX372" s="2" t="s">
        <v>5</v>
      </c>
      <c r="BY372" s="25" t="s">
        <v>5</v>
      </c>
      <c r="BZ372" s="25" t="s">
        <v>5</v>
      </c>
      <c r="CA372" s="4">
        <v>19.7</v>
      </c>
      <c r="CB372" s="6" t="s">
        <v>5</v>
      </c>
      <c r="CC372" s="4">
        <v>27.8</v>
      </c>
      <c r="CD372" s="4">
        <v>20.3</v>
      </c>
      <c r="CE372" s="4">
        <v>28.4</v>
      </c>
      <c r="CF372" s="16" t="s">
        <v>5</v>
      </c>
      <c r="CG372" s="5">
        <v>5.5</v>
      </c>
      <c r="CH372" s="18" t="s">
        <v>5</v>
      </c>
    </row>
    <row r="373" spans="2:86">
      <c r="B373" s="78" t="s">
        <v>145</v>
      </c>
      <c r="C373" s="79" t="s">
        <v>379</v>
      </c>
      <c r="D373" s="80" t="s">
        <v>379</v>
      </c>
      <c r="E373" s="1" t="s">
        <v>4</v>
      </c>
      <c r="F373" s="4">
        <v>22.5</v>
      </c>
      <c r="G373" s="7">
        <v>6.56</v>
      </c>
      <c r="H373" s="3" t="str">
        <f t="shared" si="24"/>
        <v>WT6X22.5</v>
      </c>
      <c r="I373" s="7">
        <v>6.03</v>
      </c>
      <c r="J373" s="5">
        <v>6</v>
      </c>
      <c r="K373" s="6" t="s">
        <v>5</v>
      </c>
      <c r="L373" s="6" t="s">
        <v>5</v>
      </c>
      <c r="M373" s="6" t="s">
        <v>5</v>
      </c>
      <c r="N373" s="7">
        <v>8.0500000000000007</v>
      </c>
      <c r="O373" s="5">
        <v>8</v>
      </c>
      <c r="P373" s="5" t="s">
        <v>5</v>
      </c>
      <c r="Q373" s="6" t="s">
        <v>5</v>
      </c>
      <c r="R373" s="6" t="s">
        <v>5</v>
      </c>
      <c r="S373" s="22">
        <v>0.33500000000000002</v>
      </c>
      <c r="T373" s="5">
        <v>0.3125</v>
      </c>
      <c r="U373" s="8">
        <v>0.1875</v>
      </c>
      <c r="V373" s="22">
        <v>0.57499999999999996</v>
      </c>
      <c r="W373" s="8">
        <v>0.5625</v>
      </c>
      <c r="X373" s="22">
        <v>0.57499999999999996</v>
      </c>
      <c r="Y373" s="6" t="s">
        <v>5</v>
      </c>
      <c r="Z373" s="6" t="s">
        <v>5</v>
      </c>
      <c r="AA373" s="7">
        <v>1.08</v>
      </c>
      <c r="AB373" s="8">
        <v>1.375</v>
      </c>
      <c r="AC373" s="8" t="s">
        <v>5</v>
      </c>
      <c r="AD373" s="6" t="s">
        <v>5</v>
      </c>
      <c r="AE373" s="7">
        <v>1.1299999999999999</v>
      </c>
      <c r="AF373" s="6" t="s">
        <v>5</v>
      </c>
      <c r="AG373" s="6" t="s">
        <v>5</v>
      </c>
      <c r="AH373" s="22">
        <v>0.40799999999999997</v>
      </c>
      <c r="AI373" s="7">
        <v>7</v>
      </c>
      <c r="AJ373" s="6" t="s">
        <v>5</v>
      </c>
      <c r="AK373" s="6" t="s">
        <v>5</v>
      </c>
      <c r="AL373" s="6" t="s">
        <v>5</v>
      </c>
      <c r="AM373" s="6" t="s">
        <v>5</v>
      </c>
      <c r="AN373" s="4">
        <v>18</v>
      </c>
      <c r="AO373" s="4">
        <v>16.600000000000001</v>
      </c>
      <c r="AP373" s="7">
        <v>6.1</v>
      </c>
      <c r="AQ373" s="7">
        <v>3.39</v>
      </c>
      <c r="AR373" s="7">
        <v>1.59</v>
      </c>
      <c r="AS373" s="4">
        <v>25</v>
      </c>
      <c r="AT373" s="7">
        <v>9.4700000000000006</v>
      </c>
      <c r="AU373" s="7">
        <v>6.21</v>
      </c>
      <c r="AV373" s="7">
        <v>1.95</v>
      </c>
      <c r="AW373" s="6" t="s">
        <v>5</v>
      </c>
      <c r="AX373" s="6" t="s">
        <v>5</v>
      </c>
      <c r="AY373" s="6" t="s">
        <v>5</v>
      </c>
      <c r="AZ373" s="22">
        <v>0.627</v>
      </c>
      <c r="BA373" s="22">
        <v>0.88500000000000001</v>
      </c>
      <c r="BB373" s="6" t="s">
        <v>5</v>
      </c>
      <c r="BC373" s="6" t="s">
        <v>5</v>
      </c>
      <c r="BD373" s="6" t="s">
        <v>5</v>
      </c>
      <c r="BE373" s="6" t="s">
        <v>5</v>
      </c>
      <c r="BF373" s="6" t="s">
        <v>5</v>
      </c>
      <c r="BG373" s="6" t="s">
        <v>5</v>
      </c>
      <c r="BH373" s="6" t="s">
        <v>5</v>
      </c>
      <c r="BI373" s="7">
        <v>2.66</v>
      </c>
      <c r="BJ373" s="22">
        <v>0.89800000000000002</v>
      </c>
      <c r="BK373" s="6" t="s">
        <v>5</v>
      </c>
      <c r="BL373" s="2" t="s">
        <v>5</v>
      </c>
      <c r="BM373" s="2" t="s">
        <v>5</v>
      </c>
      <c r="BN373" s="2" t="s">
        <v>5</v>
      </c>
      <c r="BO373" s="2" t="s">
        <v>5</v>
      </c>
      <c r="BP373" s="2" t="s">
        <v>5</v>
      </c>
      <c r="BQ373" s="2" t="s">
        <v>5</v>
      </c>
      <c r="BR373" s="2" t="s">
        <v>5</v>
      </c>
      <c r="BS373" s="2" t="s">
        <v>5</v>
      </c>
      <c r="BT373" s="2" t="s">
        <v>5</v>
      </c>
      <c r="BU373" s="2" t="s">
        <v>5</v>
      </c>
      <c r="BV373" s="2" t="s">
        <v>5</v>
      </c>
      <c r="BW373" s="2" t="s">
        <v>5</v>
      </c>
      <c r="BX373" s="2" t="s">
        <v>5</v>
      </c>
      <c r="BY373" s="25" t="s">
        <v>5</v>
      </c>
      <c r="BZ373" s="25" t="s">
        <v>5</v>
      </c>
      <c r="CA373" s="4">
        <v>19.5</v>
      </c>
      <c r="CB373" s="6" t="s">
        <v>5</v>
      </c>
      <c r="CC373" s="4">
        <v>27.6</v>
      </c>
      <c r="CD373" s="4">
        <v>20.100000000000001</v>
      </c>
      <c r="CE373" s="4">
        <v>28.2</v>
      </c>
      <c r="CF373" s="16" t="s">
        <v>5</v>
      </c>
      <c r="CG373" s="5">
        <v>5.5</v>
      </c>
      <c r="CH373" s="18" t="s">
        <v>5</v>
      </c>
    </row>
    <row r="374" spans="2:86">
      <c r="B374" s="78" t="s">
        <v>145</v>
      </c>
      <c r="C374" s="79" t="s">
        <v>380</v>
      </c>
      <c r="D374" s="80" t="s">
        <v>380</v>
      </c>
      <c r="E374" s="1" t="s">
        <v>4</v>
      </c>
      <c r="F374" s="4">
        <v>20</v>
      </c>
      <c r="G374" s="7">
        <v>5.84</v>
      </c>
      <c r="H374" s="3" t="str">
        <f t="shared" si="24"/>
        <v>WT6X20</v>
      </c>
      <c r="I374" s="7">
        <v>5.97</v>
      </c>
      <c r="J374" s="5">
        <v>6</v>
      </c>
      <c r="K374" s="6" t="s">
        <v>5</v>
      </c>
      <c r="L374" s="6" t="s">
        <v>5</v>
      </c>
      <c r="M374" s="6" t="s">
        <v>5</v>
      </c>
      <c r="N374" s="7">
        <v>8.01</v>
      </c>
      <c r="O374" s="5">
        <v>8</v>
      </c>
      <c r="P374" s="5" t="s">
        <v>5</v>
      </c>
      <c r="Q374" s="6" t="s">
        <v>5</v>
      </c>
      <c r="R374" s="6" t="s">
        <v>5</v>
      </c>
      <c r="S374" s="22">
        <v>0.29499999999999998</v>
      </c>
      <c r="T374" s="5">
        <v>0.3125</v>
      </c>
      <c r="U374" s="8">
        <v>0.1875</v>
      </c>
      <c r="V374" s="22">
        <v>0.51500000000000001</v>
      </c>
      <c r="W374" s="8">
        <v>0.5</v>
      </c>
      <c r="X374" s="22">
        <v>0.51500000000000001</v>
      </c>
      <c r="Y374" s="6" t="s">
        <v>5</v>
      </c>
      <c r="Z374" s="6" t="s">
        <v>5</v>
      </c>
      <c r="AA374" s="7">
        <v>1.02</v>
      </c>
      <c r="AB374" s="8">
        <v>1.375</v>
      </c>
      <c r="AC374" s="8" t="s">
        <v>5</v>
      </c>
      <c r="AD374" s="6" t="s">
        <v>5</v>
      </c>
      <c r="AE374" s="7">
        <v>1.0900000000000001</v>
      </c>
      <c r="AF374" s="6" t="s">
        <v>5</v>
      </c>
      <c r="AG374" s="6" t="s">
        <v>5</v>
      </c>
      <c r="AH374" s="22">
        <v>0.36499999999999999</v>
      </c>
      <c r="AI374" s="7">
        <v>7.77</v>
      </c>
      <c r="AJ374" s="6" t="s">
        <v>5</v>
      </c>
      <c r="AK374" s="6" t="s">
        <v>5</v>
      </c>
      <c r="AL374" s="6" t="s">
        <v>5</v>
      </c>
      <c r="AM374" s="6" t="s">
        <v>5</v>
      </c>
      <c r="AN374" s="4">
        <v>20.2</v>
      </c>
      <c r="AO374" s="4">
        <v>14.4</v>
      </c>
      <c r="AP374" s="7">
        <v>5.28</v>
      </c>
      <c r="AQ374" s="7">
        <v>2.95</v>
      </c>
      <c r="AR374" s="7">
        <v>1.57</v>
      </c>
      <c r="AS374" s="4">
        <v>22</v>
      </c>
      <c r="AT374" s="7">
        <v>8.3800000000000008</v>
      </c>
      <c r="AU374" s="7">
        <v>5.5</v>
      </c>
      <c r="AV374" s="7">
        <v>1.94</v>
      </c>
      <c r="AW374" s="6" t="s">
        <v>5</v>
      </c>
      <c r="AX374" s="6" t="s">
        <v>5</v>
      </c>
      <c r="AY374" s="6" t="s">
        <v>5</v>
      </c>
      <c r="AZ374" s="22">
        <v>0.45200000000000001</v>
      </c>
      <c r="BA374" s="22">
        <v>0.62</v>
      </c>
      <c r="BB374" s="6" t="s">
        <v>5</v>
      </c>
      <c r="BC374" s="6" t="s">
        <v>5</v>
      </c>
      <c r="BD374" s="6" t="s">
        <v>5</v>
      </c>
      <c r="BE374" s="6" t="s">
        <v>5</v>
      </c>
      <c r="BF374" s="6" t="s">
        <v>5</v>
      </c>
      <c r="BG374" s="6" t="s">
        <v>5</v>
      </c>
      <c r="BH374" s="6" t="s">
        <v>5</v>
      </c>
      <c r="BI374" s="7">
        <v>2.63</v>
      </c>
      <c r="BJ374" s="22">
        <v>0.90100000000000002</v>
      </c>
      <c r="BK374" s="6" t="s">
        <v>5</v>
      </c>
      <c r="BL374" s="2" t="s">
        <v>5</v>
      </c>
      <c r="BM374" s="2" t="s">
        <v>5</v>
      </c>
      <c r="BN374" s="2" t="s">
        <v>5</v>
      </c>
      <c r="BO374" s="2" t="s">
        <v>5</v>
      </c>
      <c r="BP374" s="2" t="s">
        <v>5</v>
      </c>
      <c r="BQ374" s="2" t="s">
        <v>5</v>
      </c>
      <c r="BR374" s="2" t="s">
        <v>5</v>
      </c>
      <c r="BS374" s="2" t="s">
        <v>5</v>
      </c>
      <c r="BT374" s="2" t="s">
        <v>5</v>
      </c>
      <c r="BU374" s="2" t="s">
        <v>5</v>
      </c>
      <c r="BV374" s="2" t="s">
        <v>5</v>
      </c>
      <c r="BW374" s="2" t="s">
        <v>5</v>
      </c>
      <c r="BX374" s="2" t="s">
        <v>5</v>
      </c>
      <c r="BY374" s="25" t="s">
        <v>5</v>
      </c>
      <c r="BZ374" s="25" t="s">
        <v>5</v>
      </c>
      <c r="CA374" s="4">
        <v>19.3</v>
      </c>
      <c r="CB374" s="6" t="s">
        <v>5</v>
      </c>
      <c r="CC374" s="4">
        <v>27.4</v>
      </c>
      <c r="CD374" s="4">
        <v>20</v>
      </c>
      <c r="CE374" s="4">
        <v>28</v>
      </c>
      <c r="CF374" s="16" t="s">
        <v>5</v>
      </c>
      <c r="CG374" s="5">
        <v>5.5</v>
      </c>
      <c r="CH374" s="18" t="s">
        <v>5</v>
      </c>
    </row>
    <row r="375" spans="2:86">
      <c r="B375" s="78" t="s">
        <v>145</v>
      </c>
      <c r="C375" s="79" t="s">
        <v>381</v>
      </c>
      <c r="D375" s="80" t="s">
        <v>381</v>
      </c>
      <c r="E375" s="1" t="s">
        <v>4</v>
      </c>
      <c r="F375" s="4">
        <v>17.5</v>
      </c>
      <c r="G375" s="7">
        <v>5.17</v>
      </c>
      <c r="H375" s="3" t="str">
        <f t="shared" si="24"/>
        <v>WT6X17.5</v>
      </c>
      <c r="I375" s="7">
        <v>6.25</v>
      </c>
      <c r="J375" s="5">
        <v>6.25</v>
      </c>
      <c r="K375" s="6" t="s">
        <v>5</v>
      </c>
      <c r="L375" s="6" t="s">
        <v>5</v>
      </c>
      <c r="M375" s="6" t="s">
        <v>5</v>
      </c>
      <c r="N375" s="7">
        <v>6.56</v>
      </c>
      <c r="O375" s="5">
        <v>6.5</v>
      </c>
      <c r="P375" s="5" t="s">
        <v>5</v>
      </c>
      <c r="Q375" s="6" t="s">
        <v>5</v>
      </c>
      <c r="R375" s="6" t="s">
        <v>5</v>
      </c>
      <c r="S375" s="22">
        <v>0.3</v>
      </c>
      <c r="T375" s="5">
        <v>0.3125</v>
      </c>
      <c r="U375" s="8">
        <v>0.1875</v>
      </c>
      <c r="V375" s="22">
        <v>0.52</v>
      </c>
      <c r="W375" s="8">
        <v>0.5</v>
      </c>
      <c r="X375" s="22">
        <v>0.52</v>
      </c>
      <c r="Y375" s="6" t="s">
        <v>5</v>
      </c>
      <c r="Z375" s="6" t="s">
        <v>5</v>
      </c>
      <c r="AA375" s="22">
        <v>0.82</v>
      </c>
      <c r="AB375" s="8">
        <v>1.1875</v>
      </c>
      <c r="AC375" s="8" t="s">
        <v>5</v>
      </c>
      <c r="AD375" s="6" t="s">
        <v>5</v>
      </c>
      <c r="AE375" s="7">
        <v>1.3</v>
      </c>
      <c r="AF375" s="6" t="s">
        <v>5</v>
      </c>
      <c r="AG375" s="6" t="s">
        <v>5</v>
      </c>
      <c r="AH375" s="22">
        <v>0.39400000000000002</v>
      </c>
      <c r="AI375" s="7">
        <v>6.31</v>
      </c>
      <c r="AJ375" s="6" t="s">
        <v>5</v>
      </c>
      <c r="AK375" s="6" t="s">
        <v>5</v>
      </c>
      <c r="AL375" s="6" t="s">
        <v>5</v>
      </c>
      <c r="AM375" s="6" t="s">
        <v>5</v>
      </c>
      <c r="AN375" s="4">
        <v>20.8</v>
      </c>
      <c r="AO375" s="4">
        <v>16</v>
      </c>
      <c r="AP375" s="7">
        <v>5.71</v>
      </c>
      <c r="AQ375" s="7">
        <v>3.23</v>
      </c>
      <c r="AR375" s="7">
        <v>1.76</v>
      </c>
      <c r="AS375" s="4">
        <v>12.2</v>
      </c>
      <c r="AT375" s="7">
        <v>5.73</v>
      </c>
      <c r="AU375" s="7">
        <v>3.73</v>
      </c>
      <c r="AV375" s="7">
        <v>1.54</v>
      </c>
      <c r="AW375" s="6" t="s">
        <v>5</v>
      </c>
      <c r="AX375" s="6" t="s">
        <v>5</v>
      </c>
      <c r="AY375" s="6" t="s">
        <v>5</v>
      </c>
      <c r="AZ375" s="22">
        <v>0.36899999999999999</v>
      </c>
      <c r="BA375" s="22">
        <v>0.437</v>
      </c>
      <c r="BB375" s="6" t="s">
        <v>5</v>
      </c>
      <c r="BC375" s="6" t="s">
        <v>5</v>
      </c>
      <c r="BD375" s="6" t="s">
        <v>5</v>
      </c>
      <c r="BE375" s="6" t="s">
        <v>5</v>
      </c>
      <c r="BF375" s="6" t="s">
        <v>5</v>
      </c>
      <c r="BG375" s="6" t="s">
        <v>5</v>
      </c>
      <c r="BH375" s="6" t="s">
        <v>5</v>
      </c>
      <c r="BI375" s="7">
        <v>2.56</v>
      </c>
      <c r="BJ375" s="22">
        <v>0.83399999999999996</v>
      </c>
      <c r="BK375" s="6" t="s">
        <v>5</v>
      </c>
      <c r="BL375" s="2" t="s">
        <v>5</v>
      </c>
      <c r="BM375" s="2" t="s">
        <v>5</v>
      </c>
      <c r="BN375" s="2" t="s">
        <v>5</v>
      </c>
      <c r="BO375" s="2" t="s">
        <v>5</v>
      </c>
      <c r="BP375" s="2" t="s">
        <v>5</v>
      </c>
      <c r="BQ375" s="2" t="s">
        <v>5</v>
      </c>
      <c r="BR375" s="2" t="s">
        <v>5</v>
      </c>
      <c r="BS375" s="2" t="s">
        <v>5</v>
      </c>
      <c r="BT375" s="2" t="s">
        <v>5</v>
      </c>
      <c r="BU375" s="2" t="s">
        <v>5</v>
      </c>
      <c r="BV375" s="2" t="s">
        <v>5</v>
      </c>
      <c r="BW375" s="2" t="s">
        <v>5</v>
      </c>
      <c r="BX375" s="2" t="s">
        <v>5</v>
      </c>
      <c r="BY375" s="25" t="s">
        <v>5</v>
      </c>
      <c r="BZ375" s="25" t="s">
        <v>5</v>
      </c>
      <c r="CA375" s="4">
        <v>18.5</v>
      </c>
      <c r="CB375" s="6" t="s">
        <v>5</v>
      </c>
      <c r="CC375" s="4">
        <v>25.1</v>
      </c>
      <c r="CD375" s="4">
        <v>19.100000000000001</v>
      </c>
      <c r="CE375" s="4">
        <v>25.6</v>
      </c>
      <c r="CF375" s="16" t="s">
        <v>5</v>
      </c>
      <c r="CG375" s="5">
        <v>3.5</v>
      </c>
      <c r="CH375" s="18" t="s">
        <v>5</v>
      </c>
    </row>
    <row r="376" spans="2:86">
      <c r="B376" s="78" t="s">
        <v>145</v>
      </c>
      <c r="C376" s="79" t="s">
        <v>382</v>
      </c>
      <c r="D376" s="80" t="s">
        <v>382</v>
      </c>
      <c r="E376" s="1" t="s">
        <v>4</v>
      </c>
      <c r="F376" s="4">
        <v>15</v>
      </c>
      <c r="G376" s="7">
        <v>4.4000000000000004</v>
      </c>
      <c r="H376" s="3" t="str">
        <f t="shared" si="24"/>
        <v>WT6X15</v>
      </c>
      <c r="I376" s="7">
        <v>6.17</v>
      </c>
      <c r="J376" s="5">
        <v>6.125</v>
      </c>
      <c r="K376" s="6" t="s">
        <v>5</v>
      </c>
      <c r="L376" s="6" t="s">
        <v>5</v>
      </c>
      <c r="M376" s="6" t="s">
        <v>5</v>
      </c>
      <c r="N376" s="7">
        <v>6.52</v>
      </c>
      <c r="O376" s="5">
        <v>6.5</v>
      </c>
      <c r="P376" s="5" t="s">
        <v>5</v>
      </c>
      <c r="Q376" s="6" t="s">
        <v>5</v>
      </c>
      <c r="R376" s="6" t="s">
        <v>5</v>
      </c>
      <c r="S376" s="22">
        <v>0.26</v>
      </c>
      <c r="T376" s="5">
        <v>0.25</v>
      </c>
      <c r="U376" s="8">
        <v>0.125</v>
      </c>
      <c r="V376" s="22">
        <v>0.44</v>
      </c>
      <c r="W376" s="8">
        <v>0.4375</v>
      </c>
      <c r="X376" s="22">
        <v>0.44</v>
      </c>
      <c r="Y376" s="6" t="s">
        <v>5</v>
      </c>
      <c r="Z376" s="6" t="s">
        <v>5</v>
      </c>
      <c r="AA376" s="22">
        <v>0.74</v>
      </c>
      <c r="AB376" s="8">
        <v>1.125</v>
      </c>
      <c r="AC376" s="8" t="s">
        <v>5</v>
      </c>
      <c r="AD376" s="6" t="s">
        <v>5</v>
      </c>
      <c r="AE376" s="7">
        <v>1.27</v>
      </c>
      <c r="AF376" s="6" t="s">
        <v>5</v>
      </c>
      <c r="AG376" s="6" t="s">
        <v>5</v>
      </c>
      <c r="AH376" s="22">
        <v>0.33700000000000002</v>
      </c>
      <c r="AI376" s="7">
        <v>7.41</v>
      </c>
      <c r="AJ376" s="6" t="s">
        <v>5</v>
      </c>
      <c r="AK376" s="6" t="s">
        <v>5</v>
      </c>
      <c r="AL376" s="6" t="s">
        <v>5</v>
      </c>
      <c r="AM376" s="6" t="s">
        <v>5</v>
      </c>
      <c r="AN376" s="4">
        <v>23.7</v>
      </c>
      <c r="AO376" s="4">
        <v>13.5</v>
      </c>
      <c r="AP376" s="7">
        <v>4.83</v>
      </c>
      <c r="AQ376" s="7">
        <v>2.75</v>
      </c>
      <c r="AR376" s="7">
        <v>1.75</v>
      </c>
      <c r="AS376" s="4">
        <v>10.199999999999999</v>
      </c>
      <c r="AT376" s="7">
        <v>4.78</v>
      </c>
      <c r="AU376" s="7">
        <v>3.12</v>
      </c>
      <c r="AV376" s="7">
        <v>1.52</v>
      </c>
      <c r="AW376" s="6" t="s">
        <v>5</v>
      </c>
      <c r="AX376" s="6" t="s">
        <v>5</v>
      </c>
      <c r="AY376" s="6" t="s">
        <v>5</v>
      </c>
      <c r="AZ376" s="22">
        <v>0.22800000000000001</v>
      </c>
      <c r="BA376" s="22">
        <v>0.26700000000000002</v>
      </c>
      <c r="BB376" s="6" t="s">
        <v>5</v>
      </c>
      <c r="BC376" s="6" t="s">
        <v>5</v>
      </c>
      <c r="BD376" s="6" t="s">
        <v>5</v>
      </c>
      <c r="BE376" s="6" t="s">
        <v>5</v>
      </c>
      <c r="BF376" s="6" t="s">
        <v>5</v>
      </c>
      <c r="BG376" s="6" t="s">
        <v>5</v>
      </c>
      <c r="BH376" s="6" t="s">
        <v>5</v>
      </c>
      <c r="BI376" s="7">
        <v>2.54</v>
      </c>
      <c r="BJ376" s="22">
        <v>0.83</v>
      </c>
      <c r="BK376" s="6" t="s">
        <v>5</v>
      </c>
      <c r="BL376" s="2" t="s">
        <v>5</v>
      </c>
      <c r="BM376" s="2" t="s">
        <v>5</v>
      </c>
      <c r="BN376" s="2" t="s">
        <v>5</v>
      </c>
      <c r="BO376" s="2" t="s">
        <v>5</v>
      </c>
      <c r="BP376" s="2" t="s">
        <v>5</v>
      </c>
      <c r="BQ376" s="2" t="s">
        <v>5</v>
      </c>
      <c r="BR376" s="2" t="s">
        <v>5</v>
      </c>
      <c r="BS376" s="2" t="s">
        <v>5</v>
      </c>
      <c r="BT376" s="2" t="s">
        <v>5</v>
      </c>
      <c r="BU376" s="2" t="s">
        <v>5</v>
      </c>
      <c r="BV376" s="2" t="s">
        <v>5</v>
      </c>
      <c r="BW376" s="2" t="s">
        <v>5</v>
      </c>
      <c r="BX376" s="2" t="s">
        <v>5</v>
      </c>
      <c r="BY376" s="25" t="s">
        <v>5</v>
      </c>
      <c r="BZ376" s="25" t="s">
        <v>5</v>
      </c>
      <c r="CA376" s="4">
        <v>18.3</v>
      </c>
      <c r="CB376" s="6" t="s">
        <v>5</v>
      </c>
      <c r="CC376" s="4">
        <v>24.9</v>
      </c>
      <c r="CD376" s="4">
        <v>18.899999999999999</v>
      </c>
      <c r="CE376" s="4">
        <v>25.4</v>
      </c>
      <c r="CF376" s="16" t="s">
        <v>5</v>
      </c>
      <c r="CG376" s="5">
        <v>3.5</v>
      </c>
      <c r="CH376" s="18" t="s">
        <v>5</v>
      </c>
    </row>
    <row r="377" spans="2:86">
      <c r="B377" s="78" t="s">
        <v>145</v>
      </c>
      <c r="C377" s="79" t="s">
        <v>383</v>
      </c>
      <c r="D377" s="80" t="s">
        <v>383</v>
      </c>
      <c r="E377" s="1" t="s">
        <v>4</v>
      </c>
      <c r="F377" s="4">
        <v>13</v>
      </c>
      <c r="G377" s="7">
        <v>3.82</v>
      </c>
      <c r="H377" s="3" t="str">
        <f t="shared" si="24"/>
        <v>WT6X13</v>
      </c>
      <c r="I377" s="7">
        <v>6.11</v>
      </c>
      <c r="J377" s="5">
        <v>6.125</v>
      </c>
      <c r="K377" s="6" t="s">
        <v>5</v>
      </c>
      <c r="L377" s="6" t="s">
        <v>5</v>
      </c>
      <c r="M377" s="6" t="s">
        <v>5</v>
      </c>
      <c r="N377" s="7">
        <v>6.49</v>
      </c>
      <c r="O377" s="5">
        <v>6.5</v>
      </c>
      <c r="P377" s="5" t="s">
        <v>5</v>
      </c>
      <c r="Q377" s="6" t="s">
        <v>5</v>
      </c>
      <c r="R377" s="6" t="s">
        <v>5</v>
      </c>
      <c r="S377" s="22">
        <v>0.23</v>
      </c>
      <c r="T377" s="5">
        <v>0.25</v>
      </c>
      <c r="U377" s="8">
        <v>0.125</v>
      </c>
      <c r="V377" s="22">
        <v>0.38</v>
      </c>
      <c r="W377" s="8">
        <v>0.375</v>
      </c>
      <c r="X377" s="22">
        <v>0.38</v>
      </c>
      <c r="Y377" s="6" t="s">
        <v>5</v>
      </c>
      <c r="Z377" s="6" t="s">
        <v>5</v>
      </c>
      <c r="AA377" s="22">
        <v>0.68</v>
      </c>
      <c r="AB377" s="8">
        <v>1.0625</v>
      </c>
      <c r="AC377" s="8" t="s">
        <v>5</v>
      </c>
      <c r="AD377" s="6" t="s">
        <v>5</v>
      </c>
      <c r="AE377" s="7">
        <v>1.25</v>
      </c>
      <c r="AF377" s="6" t="s">
        <v>5</v>
      </c>
      <c r="AG377" s="6" t="s">
        <v>5</v>
      </c>
      <c r="AH377" s="22">
        <v>0.29499999999999998</v>
      </c>
      <c r="AI377" s="7">
        <v>8.5399999999999991</v>
      </c>
      <c r="AJ377" s="6" t="s">
        <v>5</v>
      </c>
      <c r="AK377" s="6" t="s">
        <v>5</v>
      </c>
      <c r="AL377" s="6" t="s">
        <v>5</v>
      </c>
      <c r="AM377" s="6" t="s">
        <v>5</v>
      </c>
      <c r="AN377" s="4">
        <v>26.6</v>
      </c>
      <c r="AO377" s="4">
        <v>11.7</v>
      </c>
      <c r="AP377" s="7">
        <v>4.2</v>
      </c>
      <c r="AQ377" s="7">
        <v>2.4</v>
      </c>
      <c r="AR377" s="7">
        <v>1.75</v>
      </c>
      <c r="AS377" s="7">
        <v>8.66</v>
      </c>
      <c r="AT377" s="7">
        <v>4.08</v>
      </c>
      <c r="AU377" s="7">
        <v>2.67</v>
      </c>
      <c r="AV377" s="7">
        <v>1.51</v>
      </c>
      <c r="AW377" s="6" t="s">
        <v>5</v>
      </c>
      <c r="AX377" s="6" t="s">
        <v>5</v>
      </c>
      <c r="AY377" s="6" t="s">
        <v>5</v>
      </c>
      <c r="AZ377" s="22">
        <v>0.15</v>
      </c>
      <c r="BA377" s="22">
        <v>0.17399999999999999</v>
      </c>
      <c r="BB377" s="6" t="s">
        <v>5</v>
      </c>
      <c r="BC377" s="6" t="s">
        <v>5</v>
      </c>
      <c r="BD377" s="6" t="s">
        <v>5</v>
      </c>
      <c r="BE377" s="6" t="s">
        <v>5</v>
      </c>
      <c r="BF377" s="6" t="s">
        <v>5</v>
      </c>
      <c r="BG377" s="6" t="s">
        <v>5</v>
      </c>
      <c r="BH377" s="6" t="s">
        <v>5</v>
      </c>
      <c r="BI377" s="7">
        <v>2.54</v>
      </c>
      <c r="BJ377" s="22">
        <v>0.82699999999999996</v>
      </c>
      <c r="BK377" s="6" t="s">
        <v>5</v>
      </c>
      <c r="BL377" s="2" t="s">
        <v>5</v>
      </c>
      <c r="BM377" s="2" t="s">
        <v>5</v>
      </c>
      <c r="BN377" s="2" t="s">
        <v>5</v>
      </c>
      <c r="BO377" s="2" t="s">
        <v>5</v>
      </c>
      <c r="BP377" s="2" t="s">
        <v>5</v>
      </c>
      <c r="BQ377" s="2" t="s">
        <v>5</v>
      </c>
      <c r="BR377" s="2" t="s">
        <v>5</v>
      </c>
      <c r="BS377" s="2" t="s">
        <v>5</v>
      </c>
      <c r="BT377" s="2" t="s">
        <v>5</v>
      </c>
      <c r="BU377" s="2" t="s">
        <v>5</v>
      </c>
      <c r="BV377" s="2" t="s">
        <v>5</v>
      </c>
      <c r="BW377" s="2" t="s">
        <v>5</v>
      </c>
      <c r="BX377" s="2" t="s">
        <v>5</v>
      </c>
      <c r="BY377" s="25" t="s">
        <v>5</v>
      </c>
      <c r="BZ377" s="25" t="s">
        <v>5</v>
      </c>
      <c r="CA377" s="4">
        <v>18.2</v>
      </c>
      <c r="CB377" s="6" t="s">
        <v>5</v>
      </c>
      <c r="CC377" s="4">
        <v>24.7</v>
      </c>
      <c r="CD377" s="4">
        <v>18.7</v>
      </c>
      <c r="CE377" s="6">
        <v>25.2</v>
      </c>
      <c r="CF377" s="16" t="s">
        <v>5</v>
      </c>
      <c r="CG377" s="5">
        <v>3.5</v>
      </c>
      <c r="CH377" s="18" t="s">
        <v>5</v>
      </c>
    </row>
    <row r="378" spans="2:86">
      <c r="B378" s="78" t="s">
        <v>145</v>
      </c>
      <c r="C378" s="79" t="s">
        <v>384</v>
      </c>
      <c r="D378" s="80" t="s">
        <v>384</v>
      </c>
      <c r="E378" s="1" t="s">
        <v>4</v>
      </c>
      <c r="F378" s="4">
        <v>11</v>
      </c>
      <c r="G378" s="7">
        <v>3.24</v>
      </c>
      <c r="H378" s="3" t="str">
        <f t="shared" si="24"/>
        <v>WT6X11</v>
      </c>
      <c r="I378" s="7">
        <v>6.16</v>
      </c>
      <c r="J378" s="5">
        <v>6.125</v>
      </c>
      <c r="K378" s="6" t="s">
        <v>5</v>
      </c>
      <c r="L378" s="6" t="s">
        <v>5</v>
      </c>
      <c r="M378" s="6" t="s">
        <v>5</v>
      </c>
      <c r="N378" s="7">
        <v>4.03</v>
      </c>
      <c r="O378" s="5">
        <v>4</v>
      </c>
      <c r="P378" s="5" t="s">
        <v>5</v>
      </c>
      <c r="Q378" s="6" t="s">
        <v>5</v>
      </c>
      <c r="R378" s="6" t="s">
        <v>5</v>
      </c>
      <c r="S378" s="22">
        <v>0.26</v>
      </c>
      <c r="T378" s="5">
        <v>0.25</v>
      </c>
      <c r="U378" s="8">
        <v>0.125</v>
      </c>
      <c r="V378" s="22">
        <v>0.42499999999999999</v>
      </c>
      <c r="W378" s="8">
        <v>0.4375</v>
      </c>
      <c r="X378" s="22">
        <v>0.42499999999999999</v>
      </c>
      <c r="Y378" s="6" t="s">
        <v>5</v>
      </c>
      <c r="Z378" s="6" t="s">
        <v>5</v>
      </c>
      <c r="AA378" s="22">
        <v>0.72499999999999998</v>
      </c>
      <c r="AB378" s="8">
        <v>0.9375</v>
      </c>
      <c r="AC378" s="8" t="s">
        <v>5</v>
      </c>
      <c r="AD378" s="6" t="s">
        <v>5</v>
      </c>
      <c r="AE378" s="7">
        <v>1.63</v>
      </c>
      <c r="AF378" s="6" t="s">
        <v>5</v>
      </c>
      <c r="AG378" s="6" t="s">
        <v>5</v>
      </c>
      <c r="AH378" s="22">
        <v>0.40200000000000002</v>
      </c>
      <c r="AI378" s="7">
        <v>4.74</v>
      </c>
      <c r="AJ378" s="6" t="s">
        <v>5</v>
      </c>
      <c r="AK378" s="6" t="s">
        <v>5</v>
      </c>
      <c r="AL378" s="6" t="s">
        <v>5</v>
      </c>
      <c r="AM378" s="6" t="s">
        <v>5</v>
      </c>
      <c r="AN378" s="4">
        <v>23.7</v>
      </c>
      <c r="AO378" s="4">
        <v>11.7</v>
      </c>
      <c r="AP378" s="7">
        <v>4.63</v>
      </c>
      <c r="AQ378" s="7">
        <v>2.59</v>
      </c>
      <c r="AR378" s="7">
        <v>1.9</v>
      </c>
      <c r="AS378" s="7">
        <v>2.33</v>
      </c>
      <c r="AT378" s="7">
        <v>1.83</v>
      </c>
      <c r="AU378" s="7">
        <v>1.1499999999999999</v>
      </c>
      <c r="AV378" s="22">
        <v>0.84699999999999998</v>
      </c>
      <c r="AW378" s="6" t="s">
        <v>5</v>
      </c>
      <c r="AX378" s="6" t="s">
        <v>5</v>
      </c>
      <c r="AY378" s="6" t="s">
        <v>5</v>
      </c>
      <c r="AZ378" s="22">
        <v>0.14599999999999999</v>
      </c>
      <c r="BA378" s="22">
        <v>0.13700000000000001</v>
      </c>
      <c r="BB378" s="6" t="s">
        <v>5</v>
      </c>
      <c r="BC378" s="6" t="s">
        <v>5</v>
      </c>
      <c r="BD378" s="6" t="s">
        <v>5</v>
      </c>
      <c r="BE378" s="6" t="s">
        <v>5</v>
      </c>
      <c r="BF378" s="6" t="s">
        <v>5</v>
      </c>
      <c r="BG378" s="6" t="s">
        <v>5</v>
      </c>
      <c r="BH378" s="6" t="s">
        <v>5</v>
      </c>
      <c r="BI378" s="7">
        <v>2.52</v>
      </c>
      <c r="BJ378" s="22">
        <v>0.68300000000000005</v>
      </c>
      <c r="BK378" s="6" t="s">
        <v>5</v>
      </c>
      <c r="BL378" s="2" t="s">
        <v>5</v>
      </c>
      <c r="BM378" s="2" t="s">
        <v>5</v>
      </c>
      <c r="BN378" s="2" t="s">
        <v>5</v>
      </c>
      <c r="BO378" s="2" t="s">
        <v>5</v>
      </c>
      <c r="BP378" s="2" t="s">
        <v>5</v>
      </c>
      <c r="BQ378" s="2" t="s">
        <v>5</v>
      </c>
      <c r="BR378" s="2" t="s">
        <v>5</v>
      </c>
      <c r="BS378" s="2" t="s">
        <v>5</v>
      </c>
      <c r="BT378" s="2" t="s">
        <v>5</v>
      </c>
      <c r="BU378" s="2" t="s">
        <v>5</v>
      </c>
      <c r="BV378" s="2" t="s">
        <v>5</v>
      </c>
      <c r="BW378" s="2" t="s">
        <v>5</v>
      </c>
      <c r="BX378" s="2" t="s">
        <v>5</v>
      </c>
      <c r="BY378" s="25" t="s">
        <v>5</v>
      </c>
      <c r="BZ378" s="25" t="s">
        <v>5</v>
      </c>
      <c r="CA378" s="4">
        <v>16</v>
      </c>
      <c r="CB378" s="6" t="s">
        <v>5</v>
      </c>
      <c r="CC378" s="4">
        <v>20</v>
      </c>
      <c r="CD378" s="4">
        <v>16.399999999999999</v>
      </c>
      <c r="CE378" s="4">
        <v>20.399999999999999</v>
      </c>
      <c r="CF378" s="16" t="s">
        <v>5</v>
      </c>
      <c r="CG378" s="5">
        <v>2.25</v>
      </c>
      <c r="CH378" s="18" t="s">
        <v>5</v>
      </c>
    </row>
    <row r="379" spans="2:86">
      <c r="B379" s="78" t="s">
        <v>145</v>
      </c>
      <c r="C379" s="79" t="s">
        <v>385</v>
      </c>
      <c r="D379" s="80" t="s">
        <v>385</v>
      </c>
      <c r="E379" s="1" t="s">
        <v>4</v>
      </c>
      <c r="F379" s="7">
        <v>9.5</v>
      </c>
      <c r="G379" s="7">
        <v>2.79</v>
      </c>
      <c r="H379" s="3" t="str">
        <f t="shared" si="24"/>
        <v>WT6X9.5</v>
      </c>
      <c r="I379" s="7">
        <v>6.08</v>
      </c>
      <c r="J379" s="5">
        <v>6.125</v>
      </c>
      <c r="K379" s="6" t="s">
        <v>5</v>
      </c>
      <c r="L379" s="6" t="s">
        <v>5</v>
      </c>
      <c r="M379" s="6" t="s">
        <v>5</v>
      </c>
      <c r="N379" s="7">
        <v>4.01</v>
      </c>
      <c r="O379" s="5">
        <v>4</v>
      </c>
      <c r="P379" s="5" t="s">
        <v>5</v>
      </c>
      <c r="Q379" s="6" t="s">
        <v>5</v>
      </c>
      <c r="R379" s="6" t="s">
        <v>5</v>
      </c>
      <c r="S379" s="22">
        <v>0.23499999999999999</v>
      </c>
      <c r="T379" s="5">
        <v>0.25</v>
      </c>
      <c r="U379" s="8">
        <v>0.125</v>
      </c>
      <c r="V379" s="22">
        <v>0.35</v>
      </c>
      <c r="W379" s="8">
        <v>0.375</v>
      </c>
      <c r="X379" s="22">
        <v>0.35</v>
      </c>
      <c r="Y379" s="6" t="s">
        <v>5</v>
      </c>
      <c r="Z379" s="6" t="s">
        <v>5</v>
      </c>
      <c r="AA379" s="22">
        <v>0.65</v>
      </c>
      <c r="AB379" s="8">
        <v>0.875</v>
      </c>
      <c r="AC379" s="8" t="s">
        <v>5</v>
      </c>
      <c r="AD379" s="6" t="s">
        <v>5</v>
      </c>
      <c r="AE379" s="7">
        <v>1.65</v>
      </c>
      <c r="AF379" s="6" t="s">
        <v>5</v>
      </c>
      <c r="AG379" s="6" t="s">
        <v>5</v>
      </c>
      <c r="AH379" s="22">
        <v>0.34799999999999998</v>
      </c>
      <c r="AI379" s="7">
        <v>5.72</v>
      </c>
      <c r="AJ379" s="6" t="s">
        <v>5</v>
      </c>
      <c r="AK379" s="6" t="s">
        <v>5</v>
      </c>
      <c r="AL379" s="6" t="s">
        <v>5</v>
      </c>
      <c r="AM379" s="6" t="s">
        <v>5</v>
      </c>
      <c r="AN379" s="4">
        <v>25.9</v>
      </c>
      <c r="AO379" s="4">
        <v>10.1</v>
      </c>
      <c r="AP379" s="7">
        <v>4.1100000000000003</v>
      </c>
      <c r="AQ379" s="7">
        <v>2.2799999999999998</v>
      </c>
      <c r="AR379" s="7">
        <v>1.9</v>
      </c>
      <c r="AS379" s="7">
        <v>1.88</v>
      </c>
      <c r="AT379" s="7">
        <v>1.49</v>
      </c>
      <c r="AU379" s="22">
        <v>0.93899999999999995</v>
      </c>
      <c r="AV379" s="22">
        <v>0.82099999999999995</v>
      </c>
      <c r="AW379" s="6" t="s">
        <v>5</v>
      </c>
      <c r="AX379" s="6" t="s">
        <v>5</v>
      </c>
      <c r="AY379" s="6" t="s">
        <v>5</v>
      </c>
      <c r="AZ379" s="28">
        <v>8.9899999999999994E-2</v>
      </c>
      <c r="BA379" s="28">
        <v>9.3399999999999997E-2</v>
      </c>
      <c r="BB379" s="6" t="s">
        <v>5</v>
      </c>
      <c r="BC379" s="6" t="s">
        <v>5</v>
      </c>
      <c r="BD379" s="6" t="s">
        <v>5</v>
      </c>
      <c r="BE379" s="6" t="s">
        <v>5</v>
      </c>
      <c r="BF379" s="6" t="s">
        <v>5</v>
      </c>
      <c r="BG379" s="6" t="s">
        <v>5</v>
      </c>
      <c r="BH379" s="6" t="s">
        <v>5</v>
      </c>
      <c r="BI379" s="7">
        <v>2.54</v>
      </c>
      <c r="BJ379" s="22">
        <v>0.66500000000000004</v>
      </c>
      <c r="BK379" s="6" t="s">
        <v>5</v>
      </c>
      <c r="BL379" s="2" t="s">
        <v>5</v>
      </c>
      <c r="BM379" s="2" t="s">
        <v>5</v>
      </c>
      <c r="BN379" s="2" t="s">
        <v>5</v>
      </c>
      <c r="BO379" s="2" t="s">
        <v>5</v>
      </c>
      <c r="BP379" s="2" t="s">
        <v>5</v>
      </c>
      <c r="BQ379" s="2" t="s">
        <v>5</v>
      </c>
      <c r="BR379" s="2" t="s">
        <v>5</v>
      </c>
      <c r="BS379" s="2" t="s">
        <v>5</v>
      </c>
      <c r="BT379" s="2" t="s">
        <v>5</v>
      </c>
      <c r="BU379" s="2" t="s">
        <v>5</v>
      </c>
      <c r="BV379" s="2" t="s">
        <v>5</v>
      </c>
      <c r="BW379" s="2" t="s">
        <v>5</v>
      </c>
      <c r="BX379" s="2" t="s">
        <v>5</v>
      </c>
      <c r="BY379" s="25" t="s">
        <v>5</v>
      </c>
      <c r="BZ379" s="25" t="s">
        <v>5</v>
      </c>
      <c r="CA379" s="4">
        <v>15.8</v>
      </c>
      <c r="CB379" s="6" t="s">
        <v>5</v>
      </c>
      <c r="CC379" s="4">
        <v>19.8</v>
      </c>
      <c r="CD379" s="4">
        <v>16.2</v>
      </c>
      <c r="CE379" s="4">
        <v>20.2</v>
      </c>
      <c r="CF379" s="16" t="s">
        <v>5</v>
      </c>
      <c r="CG379" s="5">
        <v>2.25</v>
      </c>
      <c r="CH379" s="18" t="s">
        <v>5</v>
      </c>
    </row>
    <row r="380" spans="2:86">
      <c r="B380" s="78" t="s">
        <v>145</v>
      </c>
      <c r="C380" s="79" t="s">
        <v>386</v>
      </c>
      <c r="D380" s="80" t="s">
        <v>386</v>
      </c>
      <c r="E380" s="1" t="s">
        <v>4</v>
      </c>
      <c r="F380" s="7">
        <v>8</v>
      </c>
      <c r="G380" s="7">
        <v>2.36</v>
      </c>
      <c r="H380" s="3" t="str">
        <f t="shared" si="24"/>
        <v>WT6X8</v>
      </c>
      <c r="I380" s="7">
        <v>6</v>
      </c>
      <c r="J380" s="5">
        <v>6</v>
      </c>
      <c r="K380" s="6" t="s">
        <v>5</v>
      </c>
      <c r="L380" s="6" t="s">
        <v>5</v>
      </c>
      <c r="M380" s="6" t="s">
        <v>5</v>
      </c>
      <c r="N380" s="7">
        <v>3.99</v>
      </c>
      <c r="O380" s="5">
        <v>4</v>
      </c>
      <c r="P380" s="5" t="s">
        <v>5</v>
      </c>
      <c r="Q380" s="6" t="s">
        <v>5</v>
      </c>
      <c r="R380" s="6" t="s">
        <v>5</v>
      </c>
      <c r="S380" s="22">
        <v>0.22</v>
      </c>
      <c r="T380" s="5">
        <v>0.25</v>
      </c>
      <c r="U380" s="8">
        <v>0.125</v>
      </c>
      <c r="V380" s="22">
        <v>0.26500000000000001</v>
      </c>
      <c r="W380" s="8">
        <v>0.25</v>
      </c>
      <c r="X380" s="22">
        <v>0.26500000000000001</v>
      </c>
      <c r="Y380" s="6" t="s">
        <v>5</v>
      </c>
      <c r="Z380" s="6" t="s">
        <v>5</v>
      </c>
      <c r="AA380" s="22">
        <v>0.56499999999999995</v>
      </c>
      <c r="AB380" s="8">
        <v>0.8125</v>
      </c>
      <c r="AC380" s="8" t="s">
        <v>5</v>
      </c>
      <c r="AD380" s="6" t="s">
        <v>5</v>
      </c>
      <c r="AE380" s="7">
        <v>1.74</v>
      </c>
      <c r="AF380" s="6" t="s">
        <v>5</v>
      </c>
      <c r="AG380" s="6" t="s">
        <v>5</v>
      </c>
      <c r="AH380" s="22">
        <v>0.63900000000000001</v>
      </c>
      <c r="AI380" s="7">
        <v>7.53</v>
      </c>
      <c r="AJ380" s="6" t="s">
        <v>5</v>
      </c>
      <c r="AK380" s="6" t="s">
        <v>5</v>
      </c>
      <c r="AL380" s="6" t="s">
        <v>5</v>
      </c>
      <c r="AM380" s="6" t="s">
        <v>5</v>
      </c>
      <c r="AN380" s="4">
        <v>27.3</v>
      </c>
      <c r="AO380" s="7">
        <v>8.6999999999999993</v>
      </c>
      <c r="AP380" s="7">
        <v>3.72</v>
      </c>
      <c r="AQ380" s="7">
        <v>2.04</v>
      </c>
      <c r="AR380" s="7">
        <v>1.92</v>
      </c>
      <c r="AS380" s="7">
        <v>1.41</v>
      </c>
      <c r="AT380" s="7">
        <v>1.1299999999999999</v>
      </c>
      <c r="AU380" s="22">
        <v>0.70599999999999996</v>
      </c>
      <c r="AV380" s="22">
        <v>0.77300000000000002</v>
      </c>
      <c r="AW380" s="6" t="s">
        <v>5</v>
      </c>
      <c r="AX380" s="6" t="s">
        <v>5</v>
      </c>
      <c r="AY380" s="6" t="s">
        <v>5</v>
      </c>
      <c r="AZ380" s="28">
        <v>5.11E-2</v>
      </c>
      <c r="BA380" s="28">
        <v>6.7799999999999999E-2</v>
      </c>
      <c r="BB380" s="6" t="s">
        <v>5</v>
      </c>
      <c r="BC380" s="6" t="s">
        <v>5</v>
      </c>
      <c r="BD380" s="6" t="s">
        <v>5</v>
      </c>
      <c r="BE380" s="6" t="s">
        <v>5</v>
      </c>
      <c r="BF380" s="6" t="s">
        <v>5</v>
      </c>
      <c r="BG380" s="6" t="s">
        <v>5</v>
      </c>
      <c r="BH380" s="6" t="s">
        <v>5</v>
      </c>
      <c r="BI380" s="7">
        <v>2.62</v>
      </c>
      <c r="BJ380" s="22">
        <v>0.624</v>
      </c>
      <c r="BK380" s="6" t="s">
        <v>5</v>
      </c>
      <c r="BL380" s="2" t="s">
        <v>5</v>
      </c>
      <c r="BM380" s="2" t="s">
        <v>5</v>
      </c>
      <c r="BN380" s="2" t="s">
        <v>5</v>
      </c>
      <c r="BO380" s="2" t="s">
        <v>5</v>
      </c>
      <c r="BP380" s="2" t="s">
        <v>5</v>
      </c>
      <c r="BQ380" s="2" t="s">
        <v>5</v>
      </c>
      <c r="BR380" s="2" t="s">
        <v>5</v>
      </c>
      <c r="BS380" s="2" t="s">
        <v>5</v>
      </c>
      <c r="BT380" s="2" t="s">
        <v>5</v>
      </c>
      <c r="BU380" s="2" t="s">
        <v>5</v>
      </c>
      <c r="BV380" s="2" t="s">
        <v>5</v>
      </c>
      <c r="BW380" s="2" t="s">
        <v>5</v>
      </c>
      <c r="BX380" s="2" t="s">
        <v>5</v>
      </c>
      <c r="BY380" s="25" t="s">
        <v>5</v>
      </c>
      <c r="BZ380" s="25" t="s">
        <v>5</v>
      </c>
      <c r="CA380" s="4">
        <v>15.6</v>
      </c>
      <c r="CB380" s="6" t="s">
        <v>5</v>
      </c>
      <c r="CC380" s="4">
        <v>19.600000000000001</v>
      </c>
      <c r="CD380" s="4">
        <v>16</v>
      </c>
      <c r="CE380" s="4">
        <v>20</v>
      </c>
      <c r="CF380" s="16" t="s">
        <v>5</v>
      </c>
      <c r="CG380" s="5">
        <v>2.25</v>
      </c>
      <c r="CH380" s="18" t="s">
        <v>5</v>
      </c>
    </row>
    <row r="381" spans="2:86">
      <c r="B381" s="78" t="s">
        <v>145</v>
      </c>
      <c r="C381" s="79" t="s">
        <v>387</v>
      </c>
      <c r="D381" s="80" t="s">
        <v>387</v>
      </c>
      <c r="E381" s="1" t="s">
        <v>4</v>
      </c>
      <c r="F381" s="7">
        <v>7</v>
      </c>
      <c r="G381" s="7">
        <v>2.08</v>
      </c>
      <c r="H381" s="3" t="str">
        <f t="shared" si="24"/>
        <v>WT6X7</v>
      </c>
      <c r="I381" s="7">
        <v>5.96</v>
      </c>
      <c r="J381" s="5">
        <v>6</v>
      </c>
      <c r="K381" s="6" t="s">
        <v>5</v>
      </c>
      <c r="L381" s="6" t="s">
        <v>5</v>
      </c>
      <c r="M381" s="6" t="s">
        <v>5</v>
      </c>
      <c r="N381" s="7">
        <v>3.97</v>
      </c>
      <c r="O381" s="5">
        <v>4</v>
      </c>
      <c r="P381" s="5" t="s">
        <v>5</v>
      </c>
      <c r="Q381" s="6" t="s">
        <v>5</v>
      </c>
      <c r="R381" s="6" t="s">
        <v>5</v>
      </c>
      <c r="S381" s="22">
        <v>0.2</v>
      </c>
      <c r="T381" s="5">
        <v>0.1875</v>
      </c>
      <c r="U381" s="8">
        <v>0.125</v>
      </c>
      <c r="V381" s="22">
        <v>0.22500000000000001</v>
      </c>
      <c r="W381" s="8">
        <v>0.25</v>
      </c>
      <c r="X381" s="22">
        <v>0.22500000000000001</v>
      </c>
      <c r="Y381" s="6" t="s">
        <v>5</v>
      </c>
      <c r="Z381" s="6" t="s">
        <v>5</v>
      </c>
      <c r="AA381" s="22">
        <v>0.52500000000000002</v>
      </c>
      <c r="AB381" s="8">
        <v>0.75</v>
      </c>
      <c r="AC381" s="8" t="s">
        <v>5</v>
      </c>
      <c r="AD381" s="6" t="s">
        <v>5</v>
      </c>
      <c r="AE381" s="7">
        <v>1.76</v>
      </c>
      <c r="AF381" s="6" t="s">
        <v>5</v>
      </c>
      <c r="AG381" s="6" t="s">
        <v>5</v>
      </c>
      <c r="AH381" s="22">
        <v>0.76</v>
      </c>
      <c r="AI381" s="7">
        <v>8.82</v>
      </c>
      <c r="AJ381" s="6" t="s">
        <v>5</v>
      </c>
      <c r="AK381" s="6" t="s">
        <v>5</v>
      </c>
      <c r="AL381" s="6" t="s">
        <v>5</v>
      </c>
      <c r="AM381" s="6" t="s">
        <v>5</v>
      </c>
      <c r="AN381" s="4">
        <v>29.8</v>
      </c>
      <c r="AO381" s="7">
        <v>7.67</v>
      </c>
      <c r="AP381" s="7">
        <v>3.32</v>
      </c>
      <c r="AQ381" s="7">
        <v>1.83</v>
      </c>
      <c r="AR381" s="7">
        <v>1.92</v>
      </c>
      <c r="AS381" s="7">
        <v>1.18</v>
      </c>
      <c r="AT381" s="22">
        <v>0.94699999999999995</v>
      </c>
      <c r="AU381" s="22">
        <v>0.59299999999999997</v>
      </c>
      <c r="AV381" s="22">
        <v>0.753</v>
      </c>
      <c r="AW381" s="6" t="s">
        <v>5</v>
      </c>
      <c r="AX381" s="6" t="s">
        <v>5</v>
      </c>
      <c r="AY381" s="6" t="s">
        <v>5</v>
      </c>
      <c r="AZ381" s="28">
        <v>3.5000000000000003E-2</v>
      </c>
      <c r="BA381" s="28">
        <v>4.9299999999999997E-2</v>
      </c>
      <c r="BB381" s="6" t="s">
        <v>5</v>
      </c>
      <c r="BC381" s="6" t="s">
        <v>5</v>
      </c>
      <c r="BD381" s="6" t="s">
        <v>5</v>
      </c>
      <c r="BE381" s="6" t="s">
        <v>5</v>
      </c>
      <c r="BF381" s="6" t="s">
        <v>5</v>
      </c>
      <c r="BG381" s="6" t="s">
        <v>5</v>
      </c>
      <c r="BH381" s="6" t="s">
        <v>5</v>
      </c>
      <c r="BI381" s="7">
        <v>2.64</v>
      </c>
      <c r="BJ381" s="22">
        <v>0.61099999999999999</v>
      </c>
      <c r="BK381" s="6" t="s">
        <v>5</v>
      </c>
      <c r="BL381" s="2" t="s">
        <v>5</v>
      </c>
      <c r="BM381" s="2" t="s">
        <v>5</v>
      </c>
      <c r="BN381" s="2" t="s">
        <v>5</v>
      </c>
      <c r="BO381" s="2" t="s">
        <v>5</v>
      </c>
      <c r="BP381" s="2" t="s">
        <v>5</v>
      </c>
      <c r="BQ381" s="2" t="s">
        <v>5</v>
      </c>
      <c r="BR381" s="2" t="s">
        <v>5</v>
      </c>
      <c r="BS381" s="2" t="s">
        <v>5</v>
      </c>
      <c r="BT381" s="2" t="s">
        <v>5</v>
      </c>
      <c r="BU381" s="2" t="s">
        <v>5</v>
      </c>
      <c r="BV381" s="2" t="s">
        <v>5</v>
      </c>
      <c r="BW381" s="2" t="s">
        <v>5</v>
      </c>
      <c r="BX381" s="2" t="s">
        <v>5</v>
      </c>
      <c r="BY381" s="25" t="s">
        <v>5</v>
      </c>
      <c r="BZ381" s="25" t="s">
        <v>5</v>
      </c>
      <c r="CA381" s="4">
        <v>15.5</v>
      </c>
      <c r="CB381" s="6" t="s">
        <v>5</v>
      </c>
      <c r="CC381" s="4">
        <v>19.5</v>
      </c>
      <c r="CD381" s="4">
        <v>15.9</v>
      </c>
      <c r="CE381" s="4">
        <v>19.899999999999999</v>
      </c>
      <c r="CF381" s="16" t="s">
        <v>5</v>
      </c>
      <c r="CG381" s="5">
        <v>2.25</v>
      </c>
      <c r="CH381" s="18" t="s">
        <v>5</v>
      </c>
    </row>
    <row r="382" spans="2:86">
      <c r="B382" s="78" t="s">
        <v>145</v>
      </c>
      <c r="C382" s="79" t="s">
        <v>388</v>
      </c>
      <c r="D382" s="80" t="s">
        <v>388</v>
      </c>
      <c r="E382" s="1" t="s">
        <v>4</v>
      </c>
      <c r="F382" s="4">
        <v>56</v>
      </c>
      <c r="G382" s="4">
        <v>16.5</v>
      </c>
      <c r="H382" s="3" t="str">
        <f t="shared" si="24"/>
        <v>WT5X56</v>
      </c>
      <c r="I382" s="7">
        <v>5.68</v>
      </c>
      <c r="J382" s="5">
        <v>5.625</v>
      </c>
      <c r="K382" s="6" t="s">
        <v>5</v>
      </c>
      <c r="L382" s="6" t="s">
        <v>5</v>
      </c>
      <c r="M382" s="6" t="s">
        <v>5</v>
      </c>
      <c r="N382" s="4">
        <v>10.4</v>
      </c>
      <c r="O382" s="5">
        <v>10.375</v>
      </c>
      <c r="P382" s="5" t="s">
        <v>5</v>
      </c>
      <c r="Q382" s="6" t="s">
        <v>5</v>
      </c>
      <c r="R382" s="6" t="s">
        <v>5</v>
      </c>
      <c r="S382" s="22">
        <v>0.755</v>
      </c>
      <c r="T382" s="5">
        <v>0.75</v>
      </c>
      <c r="U382" s="8">
        <v>0.375</v>
      </c>
      <c r="V382" s="7">
        <v>1.25</v>
      </c>
      <c r="W382" s="8">
        <v>1.25</v>
      </c>
      <c r="X382" s="7">
        <v>1.25</v>
      </c>
      <c r="Y382" s="6" t="s">
        <v>5</v>
      </c>
      <c r="Z382" s="6" t="s">
        <v>5</v>
      </c>
      <c r="AA382" s="7">
        <v>1.75</v>
      </c>
      <c r="AB382" s="8">
        <v>1.9375</v>
      </c>
      <c r="AC382" s="8" t="s">
        <v>5</v>
      </c>
      <c r="AD382" s="6" t="s">
        <v>5</v>
      </c>
      <c r="AE382" s="7">
        <v>1.21</v>
      </c>
      <c r="AF382" s="6" t="s">
        <v>5</v>
      </c>
      <c r="AG382" s="6" t="s">
        <v>5</v>
      </c>
      <c r="AH382" s="22">
        <v>0.79100000000000004</v>
      </c>
      <c r="AI382" s="7">
        <v>4.17</v>
      </c>
      <c r="AJ382" s="6" t="s">
        <v>5</v>
      </c>
      <c r="AK382" s="6" t="s">
        <v>5</v>
      </c>
      <c r="AL382" s="6" t="s">
        <v>5</v>
      </c>
      <c r="AM382" s="6" t="s">
        <v>5</v>
      </c>
      <c r="AN382" s="7">
        <v>7.52</v>
      </c>
      <c r="AO382" s="4">
        <v>28.6</v>
      </c>
      <c r="AP382" s="4">
        <v>13.4</v>
      </c>
      <c r="AQ382" s="7">
        <v>6.4</v>
      </c>
      <c r="AR382" s="7">
        <v>1.32</v>
      </c>
      <c r="AS382" s="6">
        <v>118</v>
      </c>
      <c r="AT382" s="4">
        <v>34.6</v>
      </c>
      <c r="AU382" s="4">
        <v>22.6</v>
      </c>
      <c r="AV382" s="7">
        <v>2.67</v>
      </c>
      <c r="AW382" s="6" t="s">
        <v>5</v>
      </c>
      <c r="AX382" s="6" t="s">
        <v>5</v>
      </c>
      <c r="AY382" s="6" t="s">
        <v>5</v>
      </c>
      <c r="AZ382" s="7">
        <v>7.5</v>
      </c>
      <c r="BA382" s="4">
        <v>16.899999999999999</v>
      </c>
      <c r="BB382" s="6" t="s">
        <v>5</v>
      </c>
      <c r="BC382" s="6" t="s">
        <v>5</v>
      </c>
      <c r="BD382" s="6" t="s">
        <v>5</v>
      </c>
      <c r="BE382" s="6" t="s">
        <v>5</v>
      </c>
      <c r="BF382" s="6" t="s">
        <v>5</v>
      </c>
      <c r="BG382" s="6" t="s">
        <v>5</v>
      </c>
      <c r="BH382" s="6" t="s">
        <v>5</v>
      </c>
      <c r="BI382" s="7">
        <v>3.04</v>
      </c>
      <c r="BJ382" s="22">
        <v>0.96299999999999997</v>
      </c>
      <c r="BK382" s="6" t="s">
        <v>5</v>
      </c>
      <c r="BL382" s="2" t="s">
        <v>5</v>
      </c>
      <c r="BM382" s="2" t="s">
        <v>5</v>
      </c>
      <c r="BN382" s="2" t="s">
        <v>5</v>
      </c>
      <c r="BO382" s="2" t="s">
        <v>5</v>
      </c>
      <c r="BP382" s="2" t="s">
        <v>5</v>
      </c>
      <c r="BQ382" s="2" t="s">
        <v>5</v>
      </c>
      <c r="BR382" s="2" t="s">
        <v>5</v>
      </c>
      <c r="BS382" s="2" t="s">
        <v>5</v>
      </c>
      <c r="BT382" s="2" t="s">
        <v>5</v>
      </c>
      <c r="BU382" s="2" t="s">
        <v>5</v>
      </c>
      <c r="BV382" s="2" t="s">
        <v>5</v>
      </c>
      <c r="BW382" s="2" t="s">
        <v>5</v>
      </c>
      <c r="BX382" s="2" t="s">
        <v>5</v>
      </c>
      <c r="BY382" s="25" t="s">
        <v>5</v>
      </c>
      <c r="BZ382" s="25" t="s">
        <v>5</v>
      </c>
      <c r="CA382" s="4">
        <v>21.2</v>
      </c>
      <c r="CB382" s="6" t="s">
        <v>5</v>
      </c>
      <c r="CC382" s="4">
        <v>31.6</v>
      </c>
      <c r="CD382" s="4">
        <v>21.8</v>
      </c>
      <c r="CE382" s="4">
        <v>32.200000000000003</v>
      </c>
      <c r="CF382" s="16" t="s">
        <v>5</v>
      </c>
      <c r="CG382" s="5">
        <v>5.5</v>
      </c>
      <c r="CH382" s="18" t="s">
        <v>5</v>
      </c>
    </row>
    <row r="383" spans="2:86">
      <c r="B383" s="78" t="s">
        <v>145</v>
      </c>
      <c r="C383" s="79" t="s">
        <v>389</v>
      </c>
      <c r="D383" s="80" t="s">
        <v>389</v>
      </c>
      <c r="E383" s="1" t="s">
        <v>4</v>
      </c>
      <c r="F383" s="4">
        <v>50</v>
      </c>
      <c r="G383" s="4">
        <v>14.7</v>
      </c>
      <c r="H383" s="3" t="str">
        <f t="shared" si="24"/>
        <v>WT5X50</v>
      </c>
      <c r="I383" s="7">
        <v>5.55</v>
      </c>
      <c r="J383" s="5">
        <v>5.5</v>
      </c>
      <c r="K383" s="6" t="s">
        <v>5</v>
      </c>
      <c r="L383" s="6" t="s">
        <v>5</v>
      </c>
      <c r="M383" s="6" t="s">
        <v>5</v>
      </c>
      <c r="N383" s="4">
        <v>10.3</v>
      </c>
      <c r="O383" s="5">
        <v>10.375</v>
      </c>
      <c r="P383" s="5" t="s">
        <v>5</v>
      </c>
      <c r="Q383" s="6" t="s">
        <v>5</v>
      </c>
      <c r="R383" s="6" t="s">
        <v>5</v>
      </c>
      <c r="S383" s="22">
        <v>0.68</v>
      </c>
      <c r="T383" s="5">
        <v>0.6875</v>
      </c>
      <c r="U383" s="8">
        <v>0.375</v>
      </c>
      <c r="V383" s="7">
        <v>1.1200000000000001</v>
      </c>
      <c r="W383" s="8">
        <v>1.125</v>
      </c>
      <c r="X383" s="7">
        <v>1.1200000000000001</v>
      </c>
      <c r="Y383" s="6" t="s">
        <v>5</v>
      </c>
      <c r="Z383" s="6" t="s">
        <v>5</v>
      </c>
      <c r="AA383" s="7">
        <v>1.62</v>
      </c>
      <c r="AB383" s="8">
        <v>1.8125</v>
      </c>
      <c r="AC383" s="8" t="s">
        <v>5</v>
      </c>
      <c r="AD383" s="6" t="s">
        <v>5</v>
      </c>
      <c r="AE383" s="7">
        <v>1.1299999999999999</v>
      </c>
      <c r="AF383" s="6" t="s">
        <v>5</v>
      </c>
      <c r="AG383" s="6" t="s">
        <v>5</v>
      </c>
      <c r="AH383" s="22">
        <v>0.71099999999999997</v>
      </c>
      <c r="AI383" s="7">
        <v>4.62</v>
      </c>
      <c r="AJ383" s="6" t="s">
        <v>5</v>
      </c>
      <c r="AK383" s="6" t="s">
        <v>5</v>
      </c>
      <c r="AL383" s="6" t="s">
        <v>5</v>
      </c>
      <c r="AM383" s="6" t="s">
        <v>5</v>
      </c>
      <c r="AN383" s="7">
        <v>8.16</v>
      </c>
      <c r="AO383" s="4">
        <v>24.5</v>
      </c>
      <c r="AP383" s="4">
        <v>11.4</v>
      </c>
      <c r="AQ383" s="7">
        <v>5.56</v>
      </c>
      <c r="AR383" s="7">
        <v>1.29</v>
      </c>
      <c r="AS383" s="6">
        <v>103</v>
      </c>
      <c r="AT383" s="4">
        <v>30.5</v>
      </c>
      <c r="AU383" s="4">
        <v>20</v>
      </c>
      <c r="AV383" s="7">
        <v>2.65</v>
      </c>
      <c r="AW383" s="6" t="s">
        <v>5</v>
      </c>
      <c r="AX383" s="6" t="s">
        <v>5</v>
      </c>
      <c r="AY383" s="6" t="s">
        <v>5</v>
      </c>
      <c r="AZ383" s="7">
        <v>5.41</v>
      </c>
      <c r="BA383" s="4">
        <v>11.9</v>
      </c>
      <c r="BB383" s="6" t="s">
        <v>5</v>
      </c>
      <c r="BC383" s="6" t="s">
        <v>5</v>
      </c>
      <c r="BD383" s="6" t="s">
        <v>5</v>
      </c>
      <c r="BE383" s="6" t="s">
        <v>5</v>
      </c>
      <c r="BF383" s="6" t="s">
        <v>5</v>
      </c>
      <c r="BG383" s="6" t="s">
        <v>5</v>
      </c>
      <c r="BH383" s="6" t="s">
        <v>5</v>
      </c>
      <c r="BI383" s="7">
        <v>3</v>
      </c>
      <c r="BJ383" s="22">
        <v>0.96399999999999997</v>
      </c>
      <c r="BK383" s="6" t="s">
        <v>5</v>
      </c>
      <c r="BL383" s="2" t="s">
        <v>5</v>
      </c>
      <c r="BM383" s="2" t="s">
        <v>5</v>
      </c>
      <c r="BN383" s="2" t="s">
        <v>5</v>
      </c>
      <c r="BO383" s="2" t="s">
        <v>5</v>
      </c>
      <c r="BP383" s="2" t="s">
        <v>5</v>
      </c>
      <c r="BQ383" s="2" t="s">
        <v>5</v>
      </c>
      <c r="BR383" s="2" t="s">
        <v>5</v>
      </c>
      <c r="BS383" s="2" t="s">
        <v>5</v>
      </c>
      <c r="BT383" s="2" t="s">
        <v>5</v>
      </c>
      <c r="BU383" s="2" t="s">
        <v>5</v>
      </c>
      <c r="BV383" s="2" t="s">
        <v>5</v>
      </c>
      <c r="BW383" s="2" t="s">
        <v>5</v>
      </c>
      <c r="BX383" s="2" t="s">
        <v>5</v>
      </c>
      <c r="BY383" s="25" t="s">
        <v>5</v>
      </c>
      <c r="BZ383" s="25" t="s">
        <v>5</v>
      </c>
      <c r="CA383" s="4">
        <v>20.9</v>
      </c>
      <c r="CB383" s="6" t="s">
        <v>5</v>
      </c>
      <c r="CC383" s="4">
        <v>31.2</v>
      </c>
      <c r="CD383" s="4">
        <v>21.400000000000002</v>
      </c>
      <c r="CE383" s="6">
        <v>31.7</v>
      </c>
      <c r="CF383" s="16" t="s">
        <v>5</v>
      </c>
      <c r="CG383" s="5">
        <v>5.5</v>
      </c>
      <c r="CH383" s="18" t="s">
        <v>5</v>
      </c>
    </row>
    <row r="384" spans="2:86">
      <c r="B384" s="78" t="s">
        <v>145</v>
      </c>
      <c r="C384" s="79" t="s">
        <v>390</v>
      </c>
      <c r="D384" s="80" t="s">
        <v>390</v>
      </c>
      <c r="E384" s="1" t="s">
        <v>4</v>
      </c>
      <c r="F384" s="4">
        <v>44</v>
      </c>
      <c r="G384" s="4">
        <v>13</v>
      </c>
      <c r="H384" s="3" t="str">
        <f t="shared" si="24"/>
        <v>WT5X44</v>
      </c>
      <c r="I384" s="7">
        <v>5.42</v>
      </c>
      <c r="J384" s="5">
        <v>5.375</v>
      </c>
      <c r="K384" s="6" t="s">
        <v>5</v>
      </c>
      <c r="L384" s="6" t="s">
        <v>5</v>
      </c>
      <c r="M384" s="6" t="s">
        <v>5</v>
      </c>
      <c r="N384" s="4">
        <v>10.3</v>
      </c>
      <c r="O384" s="5">
        <v>10.25</v>
      </c>
      <c r="P384" s="5" t="s">
        <v>5</v>
      </c>
      <c r="Q384" s="6" t="s">
        <v>5</v>
      </c>
      <c r="R384" s="6" t="s">
        <v>5</v>
      </c>
      <c r="S384" s="22">
        <v>0.60499999999999998</v>
      </c>
      <c r="T384" s="5">
        <v>0.625</v>
      </c>
      <c r="U384" s="8">
        <v>0.3125</v>
      </c>
      <c r="V384" s="22">
        <v>0.99</v>
      </c>
      <c r="W384" s="8">
        <v>1</v>
      </c>
      <c r="X384" s="22">
        <v>0.99</v>
      </c>
      <c r="Y384" s="6" t="s">
        <v>5</v>
      </c>
      <c r="Z384" s="6" t="s">
        <v>5</v>
      </c>
      <c r="AA384" s="7">
        <v>1.49</v>
      </c>
      <c r="AB384" s="8">
        <v>1.6875</v>
      </c>
      <c r="AC384" s="8" t="s">
        <v>5</v>
      </c>
      <c r="AD384" s="6" t="s">
        <v>5</v>
      </c>
      <c r="AE384" s="7">
        <v>1.06</v>
      </c>
      <c r="AF384" s="6" t="s">
        <v>5</v>
      </c>
      <c r="AG384" s="6" t="s">
        <v>5</v>
      </c>
      <c r="AH384" s="22">
        <v>0.63100000000000001</v>
      </c>
      <c r="AI384" s="7">
        <v>5.18</v>
      </c>
      <c r="AJ384" s="6" t="s">
        <v>5</v>
      </c>
      <c r="AK384" s="6" t="s">
        <v>5</v>
      </c>
      <c r="AL384" s="6" t="s">
        <v>5</v>
      </c>
      <c r="AM384" s="6" t="s">
        <v>5</v>
      </c>
      <c r="AN384" s="7">
        <v>8.9600000000000009</v>
      </c>
      <c r="AO384" s="4">
        <v>20.8</v>
      </c>
      <c r="AP384" s="7">
        <v>9.65</v>
      </c>
      <c r="AQ384" s="7">
        <v>4.7699999999999996</v>
      </c>
      <c r="AR384" s="7">
        <v>1.27</v>
      </c>
      <c r="AS384" s="4">
        <v>89.3</v>
      </c>
      <c r="AT384" s="4">
        <v>26.5</v>
      </c>
      <c r="AU384" s="4">
        <v>17.399999999999999</v>
      </c>
      <c r="AV384" s="7">
        <v>2.63</v>
      </c>
      <c r="AW384" s="6" t="s">
        <v>5</v>
      </c>
      <c r="AX384" s="6" t="s">
        <v>5</v>
      </c>
      <c r="AY384" s="6" t="s">
        <v>5</v>
      </c>
      <c r="AZ384" s="7">
        <v>3.75</v>
      </c>
      <c r="BA384" s="7">
        <v>8.02</v>
      </c>
      <c r="BB384" s="6" t="s">
        <v>5</v>
      </c>
      <c r="BC384" s="6" t="s">
        <v>5</v>
      </c>
      <c r="BD384" s="6" t="s">
        <v>5</v>
      </c>
      <c r="BE384" s="6" t="s">
        <v>5</v>
      </c>
      <c r="BF384" s="6" t="s">
        <v>5</v>
      </c>
      <c r="BG384" s="6" t="s">
        <v>5</v>
      </c>
      <c r="BH384" s="6" t="s">
        <v>5</v>
      </c>
      <c r="BI384" s="7">
        <v>2.97</v>
      </c>
      <c r="BJ384" s="22">
        <v>0.96399999999999997</v>
      </c>
      <c r="BK384" s="6" t="s">
        <v>5</v>
      </c>
      <c r="BL384" s="2" t="s">
        <v>5</v>
      </c>
      <c r="BM384" s="2" t="s">
        <v>5</v>
      </c>
      <c r="BN384" s="2" t="s">
        <v>5</v>
      </c>
      <c r="BO384" s="2" t="s">
        <v>5</v>
      </c>
      <c r="BP384" s="2" t="s">
        <v>5</v>
      </c>
      <c r="BQ384" s="2" t="s">
        <v>5</v>
      </c>
      <c r="BR384" s="2" t="s">
        <v>5</v>
      </c>
      <c r="BS384" s="2" t="s">
        <v>5</v>
      </c>
      <c r="BT384" s="2" t="s">
        <v>5</v>
      </c>
      <c r="BU384" s="2" t="s">
        <v>5</v>
      </c>
      <c r="BV384" s="2" t="s">
        <v>5</v>
      </c>
      <c r="BW384" s="2" t="s">
        <v>5</v>
      </c>
      <c r="BX384" s="2" t="s">
        <v>5</v>
      </c>
      <c r="BY384" s="25" t="s">
        <v>5</v>
      </c>
      <c r="BZ384" s="25" t="s">
        <v>5</v>
      </c>
      <c r="CA384" s="4">
        <v>20.6</v>
      </c>
      <c r="CB384" s="6" t="s">
        <v>5</v>
      </c>
      <c r="CC384" s="4">
        <v>30.9</v>
      </c>
      <c r="CD384" s="4">
        <v>21.1</v>
      </c>
      <c r="CE384" s="4">
        <v>31.4</v>
      </c>
      <c r="CF384" s="16" t="s">
        <v>5</v>
      </c>
      <c r="CG384" s="5">
        <v>5.5</v>
      </c>
      <c r="CH384" s="18" t="s">
        <v>5</v>
      </c>
    </row>
    <row r="385" spans="2:86">
      <c r="B385" s="78" t="s">
        <v>145</v>
      </c>
      <c r="C385" s="79" t="s">
        <v>391</v>
      </c>
      <c r="D385" s="80" t="s">
        <v>391</v>
      </c>
      <c r="E385" s="1" t="s">
        <v>4</v>
      </c>
      <c r="F385" s="4">
        <v>38.5</v>
      </c>
      <c r="G385" s="4">
        <v>11.3</v>
      </c>
      <c r="H385" s="3" t="str">
        <f t="shared" si="24"/>
        <v>WT5X38.5</v>
      </c>
      <c r="I385" s="7">
        <v>5.3</v>
      </c>
      <c r="J385" s="5">
        <v>5.25</v>
      </c>
      <c r="K385" s="6" t="s">
        <v>5</v>
      </c>
      <c r="L385" s="6" t="s">
        <v>5</v>
      </c>
      <c r="M385" s="6" t="s">
        <v>5</v>
      </c>
      <c r="N385" s="4">
        <v>10.199999999999999</v>
      </c>
      <c r="O385" s="5">
        <v>10.25</v>
      </c>
      <c r="P385" s="5" t="s">
        <v>5</v>
      </c>
      <c r="Q385" s="6" t="s">
        <v>5</v>
      </c>
      <c r="R385" s="6" t="s">
        <v>5</v>
      </c>
      <c r="S385" s="22">
        <v>0.53</v>
      </c>
      <c r="T385" s="5">
        <v>0.5</v>
      </c>
      <c r="U385" s="8">
        <v>0.25</v>
      </c>
      <c r="V385" s="22">
        <v>0.87</v>
      </c>
      <c r="W385" s="8">
        <v>0.875</v>
      </c>
      <c r="X385" s="22">
        <v>0.87</v>
      </c>
      <c r="Y385" s="6" t="s">
        <v>5</v>
      </c>
      <c r="Z385" s="6" t="s">
        <v>5</v>
      </c>
      <c r="AA385" s="7">
        <v>1.37</v>
      </c>
      <c r="AB385" s="8">
        <v>1.5625</v>
      </c>
      <c r="AC385" s="8" t="s">
        <v>5</v>
      </c>
      <c r="AD385" s="6" t="s">
        <v>5</v>
      </c>
      <c r="AE385" s="22">
        <v>0.99</v>
      </c>
      <c r="AF385" s="6" t="s">
        <v>5</v>
      </c>
      <c r="AG385" s="6" t="s">
        <v>5</v>
      </c>
      <c r="AH385" s="22">
        <v>0.55500000000000005</v>
      </c>
      <c r="AI385" s="7">
        <v>5.86</v>
      </c>
      <c r="AJ385" s="6" t="s">
        <v>5</v>
      </c>
      <c r="AK385" s="6" t="s">
        <v>5</v>
      </c>
      <c r="AL385" s="6" t="s">
        <v>5</v>
      </c>
      <c r="AM385" s="6" t="s">
        <v>5</v>
      </c>
      <c r="AN385" s="4">
        <v>10</v>
      </c>
      <c r="AO385" s="4">
        <v>17.399999999999999</v>
      </c>
      <c r="AP385" s="7">
        <v>8.06</v>
      </c>
      <c r="AQ385" s="7">
        <v>4.05</v>
      </c>
      <c r="AR385" s="7">
        <v>1.24</v>
      </c>
      <c r="AS385" s="4">
        <v>76.8</v>
      </c>
      <c r="AT385" s="4">
        <v>22.9</v>
      </c>
      <c r="AU385" s="4">
        <v>15.1</v>
      </c>
      <c r="AV385" s="7">
        <v>2.6</v>
      </c>
      <c r="AW385" s="6" t="s">
        <v>5</v>
      </c>
      <c r="AX385" s="6" t="s">
        <v>5</v>
      </c>
      <c r="AY385" s="6" t="s">
        <v>5</v>
      </c>
      <c r="AZ385" s="7">
        <v>2.5499999999999998</v>
      </c>
      <c r="BA385" s="7">
        <v>5.31</v>
      </c>
      <c r="BB385" s="6" t="s">
        <v>5</v>
      </c>
      <c r="BC385" s="6" t="s">
        <v>5</v>
      </c>
      <c r="BD385" s="6" t="s">
        <v>5</v>
      </c>
      <c r="BE385" s="6" t="s">
        <v>5</v>
      </c>
      <c r="BF385" s="6" t="s">
        <v>5</v>
      </c>
      <c r="BG385" s="6" t="s">
        <v>5</v>
      </c>
      <c r="BH385" s="6" t="s">
        <v>5</v>
      </c>
      <c r="BI385" s="7">
        <v>2.94</v>
      </c>
      <c r="BJ385" s="22">
        <v>0.96399999999999997</v>
      </c>
      <c r="BK385" s="6" t="s">
        <v>5</v>
      </c>
      <c r="BL385" s="2" t="s">
        <v>5</v>
      </c>
      <c r="BM385" s="2" t="s">
        <v>5</v>
      </c>
      <c r="BN385" s="2" t="s">
        <v>5</v>
      </c>
      <c r="BO385" s="2" t="s">
        <v>5</v>
      </c>
      <c r="BP385" s="2" t="s">
        <v>5</v>
      </c>
      <c r="BQ385" s="2" t="s">
        <v>5</v>
      </c>
      <c r="BR385" s="2" t="s">
        <v>5</v>
      </c>
      <c r="BS385" s="2" t="s">
        <v>5</v>
      </c>
      <c r="BT385" s="2" t="s">
        <v>5</v>
      </c>
      <c r="BU385" s="2" t="s">
        <v>5</v>
      </c>
      <c r="BV385" s="2" t="s">
        <v>5</v>
      </c>
      <c r="BW385" s="2" t="s">
        <v>5</v>
      </c>
      <c r="BX385" s="2" t="s">
        <v>5</v>
      </c>
      <c r="BY385" s="25" t="s">
        <v>5</v>
      </c>
      <c r="BZ385" s="25" t="s">
        <v>5</v>
      </c>
      <c r="CA385" s="4">
        <v>20.3</v>
      </c>
      <c r="CB385" s="6" t="s">
        <v>5</v>
      </c>
      <c r="CC385" s="4">
        <v>30.5</v>
      </c>
      <c r="CD385" s="4">
        <v>20.8</v>
      </c>
      <c r="CE385" s="4">
        <v>31</v>
      </c>
      <c r="CF385" s="16" t="s">
        <v>5</v>
      </c>
      <c r="CG385" s="5">
        <v>5.5</v>
      </c>
      <c r="CH385" s="18" t="s">
        <v>5</v>
      </c>
    </row>
    <row r="386" spans="2:86">
      <c r="B386" s="78" t="s">
        <v>145</v>
      </c>
      <c r="C386" s="79" t="s">
        <v>392</v>
      </c>
      <c r="D386" s="80" t="s">
        <v>392</v>
      </c>
      <c r="E386" s="1" t="s">
        <v>4</v>
      </c>
      <c r="F386" s="4">
        <v>34</v>
      </c>
      <c r="G386" s="4">
        <v>10</v>
      </c>
      <c r="H386" s="3" t="str">
        <f t="shared" si="24"/>
        <v>WT5X34</v>
      </c>
      <c r="I386" s="7">
        <v>5.2</v>
      </c>
      <c r="J386" s="5">
        <v>5.25</v>
      </c>
      <c r="K386" s="6" t="s">
        <v>5</v>
      </c>
      <c r="L386" s="6" t="s">
        <v>5</v>
      </c>
      <c r="M386" s="6" t="s">
        <v>5</v>
      </c>
      <c r="N386" s="4">
        <v>10.1</v>
      </c>
      <c r="O386" s="5">
        <v>10.125</v>
      </c>
      <c r="P386" s="5" t="s">
        <v>5</v>
      </c>
      <c r="Q386" s="6" t="s">
        <v>5</v>
      </c>
      <c r="R386" s="6" t="s">
        <v>5</v>
      </c>
      <c r="S386" s="22">
        <v>0.47</v>
      </c>
      <c r="T386" s="5">
        <v>0.5</v>
      </c>
      <c r="U386" s="8">
        <v>0.25</v>
      </c>
      <c r="V386" s="22">
        <v>0.77</v>
      </c>
      <c r="W386" s="8">
        <v>0.75</v>
      </c>
      <c r="X386" s="22">
        <v>0.77</v>
      </c>
      <c r="Y386" s="6" t="s">
        <v>5</v>
      </c>
      <c r="Z386" s="6" t="s">
        <v>5</v>
      </c>
      <c r="AA386" s="7">
        <v>1.27</v>
      </c>
      <c r="AB386" s="8">
        <v>1.4375</v>
      </c>
      <c r="AC386" s="8" t="s">
        <v>5</v>
      </c>
      <c r="AD386" s="6" t="s">
        <v>5</v>
      </c>
      <c r="AE386" s="22">
        <v>0.93200000000000005</v>
      </c>
      <c r="AF386" s="6" t="s">
        <v>5</v>
      </c>
      <c r="AG386" s="6" t="s">
        <v>5</v>
      </c>
      <c r="AH386" s="22">
        <v>0.49299999999999999</v>
      </c>
      <c r="AI386" s="7">
        <v>6.58</v>
      </c>
      <c r="AJ386" s="6" t="s">
        <v>5</v>
      </c>
      <c r="AK386" s="6" t="s">
        <v>5</v>
      </c>
      <c r="AL386" s="6" t="s">
        <v>5</v>
      </c>
      <c r="AM386" s="6" t="s">
        <v>5</v>
      </c>
      <c r="AN386" s="4">
        <v>11.1</v>
      </c>
      <c r="AO386" s="4">
        <v>14.9</v>
      </c>
      <c r="AP386" s="7">
        <v>6.85</v>
      </c>
      <c r="AQ386" s="7">
        <v>3.49</v>
      </c>
      <c r="AR386" s="7">
        <v>1.22</v>
      </c>
      <c r="AS386" s="4">
        <v>66.7</v>
      </c>
      <c r="AT386" s="4">
        <v>20</v>
      </c>
      <c r="AU386" s="4">
        <v>13.2</v>
      </c>
      <c r="AV386" s="7">
        <v>2.58</v>
      </c>
      <c r="AW386" s="6" t="s">
        <v>5</v>
      </c>
      <c r="AX386" s="6" t="s">
        <v>5</v>
      </c>
      <c r="AY386" s="6" t="s">
        <v>5</v>
      </c>
      <c r="AZ386" s="7">
        <v>1.78</v>
      </c>
      <c r="BA386" s="7">
        <v>3.62</v>
      </c>
      <c r="BB386" s="6" t="s">
        <v>5</v>
      </c>
      <c r="BC386" s="6" t="s">
        <v>5</v>
      </c>
      <c r="BD386" s="6" t="s">
        <v>5</v>
      </c>
      <c r="BE386" s="6" t="s">
        <v>5</v>
      </c>
      <c r="BF386" s="6" t="s">
        <v>5</v>
      </c>
      <c r="BG386" s="6" t="s">
        <v>5</v>
      </c>
      <c r="BH386" s="6" t="s">
        <v>5</v>
      </c>
      <c r="BI386" s="7">
        <v>2.91</v>
      </c>
      <c r="BJ386" s="22">
        <v>0.96499999999999997</v>
      </c>
      <c r="BK386" s="6" t="s">
        <v>5</v>
      </c>
      <c r="BL386" s="2" t="s">
        <v>5</v>
      </c>
      <c r="BM386" s="2" t="s">
        <v>5</v>
      </c>
      <c r="BN386" s="2" t="s">
        <v>5</v>
      </c>
      <c r="BO386" s="2" t="s">
        <v>5</v>
      </c>
      <c r="BP386" s="2" t="s">
        <v>5</v>
      </c>
      <c r="BQ386" s="2" t="s">
        <v>5</v>
      </c>
      <c r="BR386" s="2" t="s">
        <v>5</v>
      </c>
      <c r="BS386" s="2" t="s">
        <v>5</v>
      </c>
      <c r="BT386" s="2" t="s">
        <v>5</v>
      </c>
      <c r="BU386" s="2" t="s">
        <v>5</v>
      </c>
      <c r="BV386" s="2" t="s">
        <v>5</v>
      </c>
      <c r="BW386" s="2" t="s">
        <v>5</v>
      </c>
      <c r="BX386" s="2" t="s">
        <v>5</v>
      </c>
      <c r="BY386" s="25" t="s">
        <v>5</v>
      </c>
      <c r="BZ386" s="25" t="s">
        <v>5</v>
      </c>
      <c r="CA386" s="4">
        <v>20</v>
      </c>
      <c r="CB386" s="6" t="s">
        <v>5</v>
      </c>
      <c r="CC386" s="4">
        <v>30.1</v>
      </c>
      <c r="CD386" s="4">
        <v>20.5</v>
      </c>
      <c r="CE386" s="6">
        <v>30.6</v>
      </c>
      <c r="CF386" s="16" t="s">
        <v>5</v>
      </c>
      <c r="CG386" s="5">
        <v>5.5</v>
      </c>
      <c r="CH386" s="18" t="s">
        <v>5</v>
      </c>
    </row>
    <row r="387" spans="2:86">
      <c r="B387" s="78" t="s">
        <v>145</v>
      </c>
      <c r="C387" s="79" t="s">
        <v>393</v>
      </c>
      <c r="D387" s="80" t="s">
        <v>393</v>
      </c>
      <c r="E387" s="1" t="s">
        <v>4</v>
      </c>
      <c r="F387" s="4">
        <v>30</v>
      </c>
      <c r="G387" s="7">
        <v>8.84</v>
      </c>
      <c r="H387" s="3" t="str">
        <f t="shared" si="24"/>
        <v>WT5X30</v>
      </c>
      <c r="I387" s="7">
        <v>5.1100000000000003</v>
      </c>
      <c r="J387" s="5">
        <v>5.125</v>
      </c>
      <c r="K387" s="6" t="s">
        <v>5</v>
      </c>
      <c r="L387" s="6" t="s">
        <v>5</v>
      </c>
      <c r="M387" s="6" t="s">
        <v>5</v>
      </c>
      <c r="N387" s="4">
        <v>10.1</v>
      </c>
      <c r="O387" s="5">
        <v>10.125</v>
      </c>
      <c r="P387" s="5" t="s">
        <v>5</v>
      </c>
      <c r="Q387" s="6" t="s">
        <v>5</v>
      </c>
      <c r="R387" s="6" t="s">
        <v>5</v>
      </c>
      <c r="S387" s="22">
        <v>0.42</v>
      </c>
      <c r="T387" s="5">
        <v>0.4375</v>
      </c>
      <c r="U387" s="8">
        <v>0.25</v>
      </c>
      <c r="V387" s="22">
        <v>0.68</v>
      </c>
      <c r="W387" s="8">
        <v>0.6875</v>
      </c>
      <c r="X387" s="22">
        <v>0.68</v>
      </c>
      <c r="Y387" s="6" t="s">
        <v>5</v>
      </c>
      <c r="Z387" s="6" t="s">
        <v>5</v>
      </c>
      <c r="AA387" s="7">
        <v>1.18</v>
      </c>
      <c r="AB387" s="8">
        <v>1.375</v>
      </c>
      <c r="AC387" s="8" t="s">
        <v>5</v>
      </c>
      <c r="AD387" s="6" t="s">
        <v>5</v>
      </c>
      <c r="AE387" s="22">
        <v>0.88400000000000001</v>
      </c>
      <c r="AF387" s="6" t="s">
        <v>5</v>
      </c>
      <c r="AG387" s="6" t="s">
        <v>5</v>
      </c>
      <c r="AH387" s="22">
        <v>0.438</v>
      </c>
      <c r="AI387" s="7">
        <v>7.41</v>
      </c>
      <c r="AJ387" s="6" t="s">
        <v>5</v>
      </c>
      <c r="AK387" s="6" t="s">
        <v>5</v>
      </c>
      <c r="AL387" s="6" t="s">
        <v>5</v>
      </c>
      <c r="AM387" s="6" t="s">
        <v>5</v>
      </c>
      <c r="AN387" s="4">
        <v>12.2</v>
      </c>
      <c r="AO387" s="4">
        <v>12.9</v>
      </c>
      <c r="AP387" s="7">
        <v>5.87</v>
      </c>
      <c r="AQ387" s="7">
        <v>3.04</v>
      </c>
      <c r="AR387" s="7">
        <v>1.21</v>
      </c>
      <c r="AS387" s="4">
        <v>58.1</v>
      </c>
      <c r="AT387" s="4">
        <v>17.5</v>
      </c>
      <c r="AU387" s="4">
        <v>11.5</v>
      </c>
      <c r="AV387" s="7">
        <v>2.57</v>
      </c>
      <c r="AW387" s="6" t="s">
        <v>5</v>
      </c>
      <c r="AX387" s="6" t="s">
        <v>5</v>
      </c>
      <c r="AY387" s="6" t="s">
        <v>5</v>
      </c>
      <c r="AZ387" s="7">
        <v>1.23</v>
      </c>
      <c r="BA387" s="7">
        <v>2.46</v>
      </c>
      <c r="BB387" s="6" t="s">
        <v>5</v>
      </c>
      <c r="BC387" s="6" t="s">
        <v>5</v>
      </c>
      <c r="BD387" s="6" t="s">
        <v>5</v>
      </c>
      <c r="BE387" s="6" t="s">
        <v>5</v>
      </c>
      <c r="BF387" s="6" t="s">
        <v>5</v>
      </c>
      <c r="BG387" s="6" t="s">
        <v>5</v>
      </c>
      <c r="BH387" s="6" t="s">
        <v>5</v>
      </c>
      <c r="BI387" s="7">
        <v>2.89</v>
      </c>
      <c r="BJ387" s="22">
        <v>0.96399999999999997</v>
      </c>
      <c r="BK387" s="6" t="s">
        <v>5</v>
      </c>
      <c r="BL387" s="2" t="s">
        <v>5</v>
      </c>
      <c r="BM387" s="2" t="s">
        <v>5</v>
      </c>
      <c r="BN387" s="2" t="s">
        <v>5</v>
      </c>
      <c r="BO387" s="2" t="s">
        <v>5</v>
      </c>
      <c r="BP387" s="2" t="s">
        <v>5</v>
      </c>
      <c r="BQ387" s="2" t="s">
        <v>5</v>
      </c>
      <c r="BR387" s="2" t="s">
        <v>5</v>
      </c>
      <c r="BS387" s="2" t="s">
        <v>5</v>
      </c>
      <c r="BT387" s="2" t="s">
        <v>5</v>
      </c>
      <c r="BU387" s="2" t="s">
        <v>5</v>
      </c>
      <c r="BV387" s="2" t="s">
        <v>5</v>
      </c>
      <c r="BW387" s="2" t="s">
        <v>5</v>
      </c>
      <c r="BX387" s="2" t="s">
        <v>5</v>
      </c>
      <c r="BY387" s="25" t="s">
        <v>5</v>
      </c>
      <c r="BZ387" s="25" t="s">
        <v>5</v>
      </c>
      <c r="CA387" s="4">
        <v>19.8</v>
      </c>
      <c r="CB387" s="6" t="s">
        <v>5</v>
      </c>
      <c r="CC387" s="4">
        <v>29.9</v>
      </c>
      <c r="CD387" s="4">
        <v>20.3</v>
      </c>
      <c r="CE387" s="4">
        <v>30.4</v>
      </c>
      <c r="CF387" s="16" t="s">
        <v>5</v>
      </c>
      <c r="CG387" s="5">
        <v>5.5</v>
      </c>
      <c r="CH387" s="18" t="s">
        <v>5</v>
      </c>
    </row>
    <row r="388" spans="2:86">
      <c r="B388" s="78" t="s">
        <v>145</v>
      </c>
      <c r="C388" s="79" t="s">
        <v>394</v>
      </c>
      <c r="D388" s="80" t="s">
        <v>394</v>
      </c>
      <c r="E388" s="1" t="s">
        <v>4</v>
      </c>
      <c r="F388" s="4">
        <v>27</v>
      </c>
      <c r="G388" s="7">
        <v>7.9</v>
      </c>
      <c r="H388" s="3" t="str">
        <f t="shared" ref="H388:H451" si="25">D388</f>
        <v>WT5X27</v>
      </c>
      <c r="I388" s="7">
        <v>5.05</v>
      </c>
      <c r="J388" s="5">
        <v>5</v>
      </c>
      <c r="K388" s="6" t="s">
        <v>5</v>
      </c>
      <c r="L388" s="6" t="s">
        <v>5</v>
      </c>
      <c r="M388" s="6" t="s">
        <v>5</v>
      </c>
      <c r="N388" s="4">
        <v>10</v>
      </c>
      <c r="O388" s="5">
        <v>10</v>
      </c>
      <c r="P388" s="5" t="s">
        <v>5</v>
      </c>
      <c r="Q388" s="6" t="s">
        <v>5</v>
      </c>
      <c r="R388" s="6" t="s">
        <v>5</v>
      </c>
      <c r="S388" s="22">
        <v>0.37</v>
      </c>
      <c r="T388" s="5">
        <v>0.375</v>
      </c>
      <c r="U388" s="8">
        <v>0.1875</v>
      </c>
      <c r="V388" s="22">
        <v>0.61499999999999999</v>
      </c>
      <c r="W388" s="8">
        <v>0.625</v>
      </c>
      <c r="X388" s="22">
        <v>0.61499999999999999</v>
      </c>
      <c r="Y388" s="6" t="s">
        <v>5</v>
      </c>
      <c r="Z388" s="6" t="s">
        <v>5</v>
      </c>
      <c r="AA388" s="7">
        <v>1.1200000000000001</v>
      </c>
      <c r="AB388" s="8">
        <v>1.3125</v>
      </c>
      <c r="AC388" s="8" t="s">
        <v>5</v>
      </c>
      <c r="AD388" s="6" t="s">
        <v>5</v>
      </c>
      <c r="AE388" s="22">
        <v>0.83599999999999997</v>
      </c>
      <c r="AF388" s="6" t="s">
        <v>5</v>
      </c>
      <c r="AG388" s="6" t="s">
        <v>5</v>
      </c>
      <c r="AH388" s="22">
        <v>0.39500000000000002</v>
      </c>
      <c r="AI388" s="7">
        <v>8.15</v>
      </c>
      <c r="AJ388" s="6" t="s">
        <v>5</v>
      </c>
      <c r="AK388" s="6" t="s">
        <v>5</v>
      </c>
      <c r="AL388" s="6" t="s">
        <v>5</v>
      </c>
      <c r="AM388" s="6" t="s">
        <v>5</v>
      </c>
      <c r="AN388" s="4">
        <v>13.6</v>
      </c>
      <c r="AO388" s="4">
        <v>11.1</v>
      </c>
      <c r="AP388" s="7">
        <v>5.05</v>
      </c>
      <c r="AQ388" s="7">
        <v>2.64</v>
      </c>
      <c r="AR388" s="7">
        <v>1.19</v>
      </c>
      <c r="AS388" s="4">
        <v>51.7</v>
      </c>
      <c r="AT388" s="4">
        <v>15.6</v>
      </c>
      <c r="AU388" s="4">
        <v>10.3</v>
      </c>
      <c r="AV388" s="7">
        <v>2.56</v>
      </c>
      <c r="AW388" s="6" t="s">
        <v>5</v>
      </c>
      <c r="AX388" s="6" t="s">
        <v>5</v>
      </c>
      <c r="AY388" s="6" t="s">
        <v>5</v>
      </c>
      <c r="AZ388" s="22">
        <v>0.90900000000000003</v>
      </c>
      <c r="BA388" s="7">
        <v>1.78</v>
      </c>
      <c r="BB388" s="6" t="s">
        <v>5</v>
      </c>
      <c r="BC388" s="6" t="s">
        <v>5</v>
      </c>
      <c r="BD388" s="6" t="s">
        <v>5</v>
      </c>
      <c r="BE388" s="6" t="s">
        <v>5</v>
      </c>
      <c r="BF388" s="6" t="s">
        <v>5</v>
      </c>
      <c r="BG388" s="6" t="s">
        <v>5</v>
      </c>
      <c r="BH388" s="6" t="s">
        <v>5</v>
      </c>
      <c r="BI388" s="7">
        <v>2.87</v>
      </c>
      <c r="BJ388" s="22">
        <v>0.96599999999999997</v>
      </c>
      <c r="BK388" s="6" t="s">
        <v>5</v>
      </c>
      <c r="BL388" s="2" t="s">
        <v>5</v>
      </c>
      <c r="BM388" s="2" t="s">
        <v>5</v>
      </c>
      <c r="BN388" s="2" t="s">
        <v>5</v>
      </c>
      <c r="BO388" s="2" t="s">
        <v>5</v>
      </c>
      <c r="BP388" s="2" t="s">
        <v>5</v>
      </c>
      <c r="BQ388" s="2" t="s">
        <v>5</v>
      </c>
      <c r="BR388" s="2" t="s">
        <v>5</v>
      </c>
      <c r="BS388" s="2" t="s">
        <v>5</v>
      </c>
      <c r="BT388" s="2" t="s">
        <v>5</v>
      </c>
      <c r="BU388" s="2" t="s">
        <v>5</v>
      </c>
      <c r="BV388" s="2" t="s">
        <v>5</v>
      </c>
      <c r="BW388" s="2" t="s">
        <v>5</v>
      </c>
      <c r="BX388" s="2" t="s">
        <v>5</v>
      </c>
      <c r="BY388" s="25" t="s">
        <v>5</v>
      </c>
      <c r="BZ388" s="25" t="s">
        <v>5</v>
      </c>
      <c r="CA388" s="4">
        <v>19.600000000000001</v>
      </c>
      <c r="CB388" s="6" t="s">
        <v>5</v>
      </c>
      <c r="CC388" s="4">
        <v>29.6</v>
      </c>
      <c r="CD388" s="4">
        <v>20.100000000000001</v>
      </c>
      <c r="CE388" s="6">
        <v>30.1</v>
      </c>
      <c r="CF388" s="16" t="s">
        <v>5</v>
      </c>
      <c r="CG388" s="5">
        <v>5.5</v>
      </c>
      <c r="CH388" s="18" t="s">
        <v>5</v>
      </c>
    </row>
    <row r="389" spans="2:86">
      <c r="B389" s="78" t="s">
        <v>145</v>
      </c>
      <c r="C389" s="79" t="s">
        <v>395</v>
      </c>
      <c r="D389" s="80" t="s">
        <v>395</v>
      </c>
      <c r="E389" s="1" t="s">
        <v>4</v>
      </c>
      <c r="F389" s="4">
        <v>24.5</v>
      </c>
      <c r="G389" s="7">
        <v>7.21</v>
      </c>
      <c r="H389" s="3" t="str">
        <f t="shared" si="25"/>
        <v>WT5X24.5</v>
      </c>
      <c r="I389" s="7">
        <v>4.99</v>
      </c>
      <c r="J389" s="5">
        <v>5</v>
      </c>
      <c r="K389" s="6" t="s">
        <v>5</v>
      </c>
      <c r="L389" s="6" t="s">
        <v>5</v>
      </c>
      <c r="M389" s="6" t="s">
        <v>5</v>
      </c>
      <c r="N389" s="4">
        <v>10</v>
      </c>
      <c r="O389" s="5">
        <v>10</v>
      </c>
      <c r="P389" s="5" t="s">
        <v>5</v>
      </c>
      <c r="Q389" s="6" t="s">
        <v>5</v>
      </c>
      <c r="R389" s="6" t="s">
        <v>5</v>
      </c>
      <c r="S389" s="22">
        <v>0.34</v>
      </c>
      <c r="T389" s="5">
        <v>0.3125</v>
      </c>
      <c r="U389" s="8">
        <v>0.1875</v>
      </c>
      <c r="V389" s="22">
        <v>0.56000000000000005</v>
      </c>
      <c r="W389" s="8">
        <v>0.5625</v>
      </c>
      <c r="X389" s="22">
        <v>0.56000000000000005</v>
      </c>
      <c r="Y389" s="6" t="s">
        <v>5</v>
      </c>
      <c r="Z389" s="6" t="s">
        <v>5</v>
      </c>
      <c r="AA389" s="7">
        <v>1.06</v>
      </c>
      <c r="AB389" s="8">
        <v>1.25</v>
      </c>
      <c r="AC389" s="8" t="s">
        <v>5</v>
      </c>
      <c r="AD389" s="6" t="s">
        <v>5</v>
      </c>
      <c r="AE389" s="22">
        <v>0.80700000000000005</v>
      </c>
      <c r="AF389" s="6" t="s">
        <v>5</v>
      </c>
      <c r="AG389" s="6" t="s">
        <v>5</v>
      </c>
      <c r="AH389" s="22">
        <v>0.36099999999999999</v>
      </c>
      <c r="AI389" s="7">
        <v>8.93</v>
      </c>
      <c r="AJ389" s="6" t="s">
        <v>5</v>
      </c>
      <c r="AK389" s="6" t="s">
        <v>5</v>
      </c>
      <c r="AL389" s="6" t="s">
        <v>5</v>
      </c>
      <c r="AM389" s="6" t="s">
        <v>5</v>
      </c>
      <c r="AN389" s="4">
        <v>14.7</v>
      </c>
      <c r="AO389" s="4">
        <v>10</v>
      </c>
      <c r="AP389" s="7">
        <v>4.5199999999999996</v>
      </c>
      <c r="AQ389" s="7">
        <v>2.39</v>
      </c>
      <c r="AR389" s="7">
        <v>1.18</v>
      </c>
      <c r="AS389" s="4">
        <v>46.7</v>
      </c>
      <c r="AT389" s="4">
        <v>14.1</v>
      </c>
      <c r="AU389" s="7">
        <v>9.34</v>
      </c>
      <c r="AV389" s="7">
        <v>2.54</v>
      </c>
      <c r="AW389" s="6" t="s">
        <v>5</v>
      </c>
      <c r="AX389" s="6" t="s">
        <v>5</v>
      </c>
      <c r="AY389" s="6" t="s">
        <v>5</v>
      </c>
      <c r="AZ389" s="22">
        <v>0.69299999999999995</v>
      </c>
      <c r="BA389" s="7">
        <v>1.33</v>
      </c>
      <c r="BB389" s="6" t="s">
        <v>5</v>
      </c>
      <c r="BC389" s="6" t="s">
        <v>5</v>
      </c>
      <c r="BD389" s="6" t="s">
        <v>5</v>
      </c>
      <c r="BE389" s="6" t="s">
        <v>5</v>
      </c>
      <c r="BF389" s="6" t="s">
        <v>5</v>
      </c>
      <c r="BG389" s="6" t="s">
        <v>5</v>
      </c>
      <c r="BH389" s="6" t="s">
        <v>5</v>
      </c>
      <c r="BI389" s="7">
        <v>2.85</v>
      </c>
      <c r="BJ389" s="22">
        <v>0.96599999999999997</v>
      </c>
      <c r="BK389" s="6" t="s">
        <v>5</v>
      </c>
      <c r="BL389" s="2" t="s">
        <v>5</v>
      </c>
      <c r="BM389" s="2" t="s">
        <v>5</v>
      </c>
      <c r="BN389" s="2" t="s">
        <v>5</v>
      </c>
      <c r="BO389" s="2" t="s">
        <v>5</v>
      </c>
      <c r="BP389" s="2" t="s">
        <v>5</v>
      </c>
      <c r="BQ389" s="2" t="s">
        <v>5</v>
      </c>
      <c r="BR389" s="2" t="s">
        <v>5</v>
      </c>
      <c r="BS389" s="2" t="s">
        <v>5</v>
      </c>
      <c r="BT389" s="2" t="s">
        <v>5</v>
      </c>
      <c r="BU389" s="2" t="s">
        <v>5</v>
      </c>
      <c r="BV389" s="2" t="s">
        <v>5</v>
      </c>
      <c r="BW389" s="2" t="s">
        <v>5</v>
      </c>
      <c r="BX389" s="2" t="s">
        <v>5</v>
      </c>
      <c r="BY389" s="25" t="s">
        <v>5</v>
      </c>
      <c r="BZ389" s="25" t="s">
        <v>5</v>
      </c>
      <c r="CA389" s="4">
        <v>19.5</v>
      </c>
      <c r="CB389" s="6" t="s">
        <v>5</v>
      </c>
      <c r="CC389" s="4">
        <v>29.5</v>
      </c>
      <c r="CD389" s="4">
        <v>20</v>
      </c>
      <c r="CE389" s="4">
        <v>30</v>
      </c>
      <c r="CF389" s="16" t="s">
        <v>5</v>
      </c>
      <c r="CG389" s="5">
        <v>5.5</v>
      </c>
      <c r="CH389" s="18" t="s">
        <v>5</v>
      </c>
    </row>
    <row r="390" spans="2:86">
      <c r="B390" s="78" t="s">
        <v>145</v>
      </c>
      <c r="C390" s="79" t="s">
        <v>396</v>
      </c>
      <c r="D390" s="80" t="s">
        <v>396</v>
      </c>
      <c r="E390" s="1" t="s">
        <v>4</v>
      </c>
      <c r="F390" s="4">
        <v>22.5</v>
      </c>
      <c r="G390" s="7">
        <v>6.63</v>
      </c>
      <c r="H390" s="3" t="str">
        <f t="shared" si="25"/>
        <v>WT5X22.5</v>
      </c>
      <c r="I390" s="7">
        <v>5.05</v>
      </c>
      <c r="J390" s="5">
        <v>5</v>
      </c>
      <c r="K390" s="6" t="s">
        <v>5</v>
      </c>
      <c r="L390" s="6" t="s">
        <v>5</v>
      </c>
      <c r="M390" s="6" t="s">
        <v>5</v>
      </c>
      <c r="N390" s="7">
        <v>8.02</v>
      </c>
      <c r="O390" s="5">
        <v>8</v>
      </c>
      <c r="P390" s="5" t="s">
        <v>5</v>
      </c>
      <c r="Q390" s="6" t="s">
        <v>5</v>
      </c>
      <c r="R390" s="6" t="s">
        <v>5</v>
      </c>
      <c r="S390" s="22">
        <v>0.35</v>
      </c>
      <c r="T390" s="5">
        <v>0.375</v>
      </c>
      <c r="U390" s="8">
        <v>0.1875</v>
      </c>
      <c r="V390" s="22">
        <v>0.62</v>
      </c>
      <c r="W390" s="8">
        <v>0.625</v>
      </c>
      <c r="X390" s="22">
        <v>0.62</v>
      </c>
      <c r="Y390" s="6" t="s">
        <v>5</v>
      </c>
      <c r="Z390" s="6" t="s">
        <v>5</v>
      </c>
      <c r="AA390" s="7">
        <v>1.1200000000000001</v>
      </c>
      <c r="AB390" s="8">
        <v>1.3125</v>
      </c>
      <c r="AC390" s="8" t="s">
        <v>5</v>
      </c>
      <c r="AD390" s="6" t="s">
        <v>5</v>
      </c>
      <c r="AE390" s="22">
        <v>0.90700000000000003</v>
      </c>
      <c r="AF390" s="6" t="s">
        <v>5</v>
      </c>
      <c r="AG390" s="6" t="s">
        <v>5</v>
      </c>
      <c r="AH390" s="22">
        <v>0.41299999999999998</v>
      </c>
      <c r="AI390" s="7">
        <v>6.47</v>
      </c>
      <c r="AJ390" s="6" t="s">
        <v>5</v>
      </c>
      <c r="AK390" s="6" t="s">
        <v>5</v>
      </c>
      <c r="AL390" s="6" t="s">
        <v>5</v>
      </c>
      <c r="AM390" s="6" t="s">
        <v>5</v>
      </c>
      <c r="AN390" s="4">
        <v>14.4</v>
      </c>
      <c r="AO390" s="4">
        <v>10.199999999999999</v>
      </c>
      <c r="AP390" s="7">
        <v>4.6500000000000004</v>
      </c>
      <c r="AQ390" s="7">
        <v>2.4700000000000002</v>
      </c>
      <c r="AR390" s="7">
        <v>1.24</v>
      </c>
      <c r="AS390" s="4">
        <v>26.7</v>
      </c>
      <c r="AT390" s="4">
        <v>10.1</v>
      </c>
      <c r="AU390" s="7">
        <v>6.65</v>
      </c>
      <c r="AV390" s="7">
        <v>2.0099999999999998</v>
      </c>
      <c r="AW390" s="6" t="s">
        <v>5</v>
      </c>
      <c r="AX390" s="6" t="s">
        <v>5</v>
      </c>
      <c r="AY390" s="6" t="s">
        <v>5</v>
      </c>
      <c r="AZ390" s="22">
        <v>0.753</v>
      </c>
      <c r="BA390" s="22">
        <v>0.98099999999999998</v>
      </c>
      <c r="BB390" s="6" t="s">
        <v>5</v>
      </c>
      <c r="BC390" s="6" t="s">
        <v>5</v>
      </c>
      <c r="BD390" s="6" t="s">
        <v>5</v>
      </c>
      <c r="BE390" s="6" t="s">
        <v>5</v>
      </c>
      <c r="BF390" s="6" t="s">
        <v>5</v>
      </c>
      <c r="BG390" s="6" t="s">
        <v>5</v>
      </c>
      <c r="BH390" s="6" t="s">
        <v>5</v>
      </c>
      <c r="BI390" s="7">
        <v>2.4300000000000002</v>
      </c>
      <c r="BJ390" s="22">
        <v>0.94</v>
      </c>
      <c r="BK390" s="6" t="s">
        <v>5</v>
      </c>
      <c r="BL390" s="2" t="s">
        <v>5</v>
      </c>
      <c r="BM390" s="2" t="s">
        <v>5</v>
      </c>
      <c r="BN390" s="2" t="s">
        <v>5</v>
      </c>
      <c r="BO390" s="2" t="s">
        <v>5</v>
      </c>
      <c r="BP390" s="2" t="s">
        <v>5</v>
      </c>
      <c r="BQ390" s="2" t="s">
        <v>5</v>
      </c>
      <c r="BR390" s="2" t="s">
        <v>5</v>
      </c>
      <c r="BS390" s="2" t="s">
        <v>5</v>
      </c>
      <c r="BT390" s="2" t="s">
        <v>5</v>
      </c>
      <c r="BU390" s="2" t="s">
        <v>5</v>
      </c>
      <c r="BV390" s="2" t="s">
        <v>5</v>
      </c>
      <c r="BW390" s="2" t="s">
        <v>5</v>
      </c>
      <c r="BX390" s="2" t="s">
        <v>5</v>
      </c>
      <c r="BY390" s="25" t="s">
        <v>5</v>
      </c>
      <c r="BZ390" s="25" t="s">
        <v>5</v>
      </c>
      <c r="CA390" s="4">
        <v>17.600000000000001</v>
      </c>
      <c r="CB390" s="6" t="s">
        <v>5</v>
      </c>
      <c r="CC390" s="4">
        <v>25.6</v>
      </c>
      <c r="CD390" s="4">
        <v>18.100000000000001</v>
      </c>
      <c r="CE390" s="4">
        <v>26.1</v>
      </c>
      <c r="CF390" s="16" t="s">
        <v>5</v>
      </c>
      <c r="CG390" s="5">
        <v>5.5</v>
      </c>
      <c r="CH390" s="18" t="s">
        <v>5</v>
      </c>
    </row>
    <row r="391" spans="2:86">
      <c r="B391" s="78" t="s">
        <v>145</v>
      </c>
      <c r="C391" s="79" t="s">
        <v>397</v>
      </c>
      <c r="D391" s="80" t="s">
        <v>397</v>
      </c>
      <c r="E391" s="1" t="s">
        <v>4</v>
      </c>
      <c r="F391" s="4">
        <v>19.5</v>
      </c>
      <c r="G391" s="7">
        <v>5.73</v>
      </c>
      <c r="H391" s="3" t="str">
        <f t="shared" si="25"/>
        <v>WT5X19.5</v>
      </c>
      <c r="I391" s="7">
        <v>4.96</v>
      </c>
      <c r="J391" s="5">
        <v>5</v>
      </c>
      <c r="K391" s="6" t="s">
        <v>5</v>
      </c>
      <c r="L391" s="6" t="s">
        <v>5</v>
      </c>
      <c r="M391" s="6" t="s">
        <v>5</v>
      </c>
      <c r="N391" s="7">
        <v>7.99</v>
      </c>
      <c r="O391" s="5">
        <v>8</v>
      </c>
      <c r="P391" s="5" t="s">
        <v>5</v>
      </c>
      <c r="Q391" s="6" t="s">
        <v>5</v>
      </c>
      <c r="R391" s="6" t="s">
        <v>5</v>
      </c>
      <c r="S391" s="22">
        <v>0.315</v>
      </c>
      <c r="T391" s="5">
        <v>0.3125</v>
      </c>
      <c r="U391" s="8">
        <v>0.1875</v>
      </c>
      <c r="V391" s="22">
        <v>0.53</v>
      </c>
      <c r="W391" s="8">
        <v>0.5</v>
      </c>
      <c r="X391" s="22">
        <v>0.53</v>
      </c>
      <c r="Y391" s="6" t="s">
        <v>5</v>
      </c>
      <c r="Z391" s="6" t="s">
        <v>5</v>
      </c>
      <c r="AA391" s="7">
        <v>1.03</v>
      </c>
      <c r="AB391" s="8">
        <v>1.1875</v>
      </c>
      <c r="AC391" s="8" t="s">
        <v>5</v>
      </c>
      <c r="AD391" s="6" t="s">
        <v>5</v>
      </c>
      <c r="AE391" s="22">
        <v>0.876</v>
      </c>
      <c r="AF391" s="6" t="s">
        <v>5</v>
      </c>
      <c r="AG391" s="6" t="s">
        <v>5</v>
      </c>
      <c r="AH391" s="22">
        <v>0.35899999999999999</v>
      </c>
      <c r="AI391" s="7">
        <v>7.53</v>
      </c>
      <c r="AJ391" s="6" t="s">
        <v>5</v>
      </c>
      <c r="AK391" s="6" t="s">
        <v>5</v>
      </c>
      <c r="AL391" s="6" t="s">
        <v>5</v>
      </c>
      <c r="AM391" s="6" t="s">
        <v>5</v>
      </c>
      <c r="AN391" s="4">
        <v>15.7</v>
      </c>
      <c r="AO391" s="7">
        <v>8.84</v>
      </c>
      <c r="AP391" s="7">
        <v>3.99</v>
      </c>
      <c r="AQ391" s="7">
        <v>2.16</v>
      </c>
      <c r="AR391" s="7">
        <v>1.24</v>
      </c>
      <c r="AS391" s="4">
        <v>22.5</v>
      </c>
      <c r="AT391" s="7">
        <v>8.57</v>
      </c>
      <c r="AU391" s="7">
        <v>5.64</v>
      </c>
      <c r="AV391" s="7">
        <v>1.98</v>
      </c>
      <c r="AW391" s="6" t="s">
        <v>5</v>
      </c>
      <c r="AX391" s="6" t="s">
        <v>5</v>
      </c>
      <c r="AY391" s="6" t="s">
        <v>5</v>
      </c>
      <c r="AZ391" s="22">
        <v>0.48699999999999999</v>
      </c>
      <c r="BA391" s="22">
        <v>0.61599999999999999</v>
      </c>
      <c r="BB391" s="6" t="s">
        <v>5</v>
      </c>
      <c r="BC391" s="6" t="s">
        <v>5</v>
      </c>
      <c r="BD391" s="6" t="s">
        <v>5</v>
      </c>
      <c r="BE391" s="6" t="s">
        <v>5</v>
      </c>
      <c r="BF391" s="6" t="s">
        <v>5</v>
      </c>
      <c r="BG391" s="6" t="s">
        <v>5</v>
      </c>
      <c r="BH391" s="6" t="s">
        <v>5</v>
      </c>
      <c r="BI391" s="7">
        <v>2.42</v>
      </c>
      <c r="BJ391" s="22">
        <v>0.93600000000000005</v>
      </c>
      <c r="BK391" s="6" t="s">
        <v>5</v>
      </c>
      <c r="BL391" s="2" t="s">
        <v>5</v>
      </c>
      <c r="BM391" s="2" t="s">
        <v>5</v>
      </c>
      <c r="BN391" s="2" t="s">
        <v>5</v>
      </c>
      <c r="BO391" s="2" t="s">
        <v>5</v>
      </c>
      <c r="BP391" s="2" t="s">
        <v>5</v>
      </c>
      <c r="BQ391" s="2" t="s">
        <v>5</v>
      </c>
      <c r="BR391" s="2" t="s">
        <v>5</v>
      </c>
      <c r="BS391" s="2" t="s">
        <v>5</v>
      </c>
      <c r="BT391" s="2" t="s">
        <v>5</v>
      </c>
      <c r="BU391" s="2" t="s">
        <v>5</v>
      </c>
      <c r="BV391" s="2" t="s">
        <v>5</v>
      </c>
      <c r="BW391" s="2" t="s">
        <v>5</v>
      </c>
      <c r="BX391" s="2" t="s">
        <v>5</v>
      </c>
      <c r="BY391" s="25" t="s">
        <v>5</v>
      </c>
      <c r="BZ391" s="25" t="s">
        <v>5</v>
      </c>
      <c r="CA391" s="4">
        <v>17.399999999999999</v>
      </c>
      <c r="CB391" s="6" t="s">
        <v>5</v>
      </c>
      <c r="CC391" s="4">
        <v>25.4</v>
      </c>
      <c r="CD391" s="4">
        <v>17.899999999999999</v>
      </c>
      <c r="CE391" s="6">
        <v>25.9</v>
      </c>
      <c r="CF391" s="16" t="s">
        <v>5</v>
      </c>
      <c r="CG391" s="5">
        <v>5.5</v>
      </c>
      <c r="CH391" s="18" t="s">
        <v>5</v>
      </c>
    </row>
    <row r="392" spans="2:86">
      <c r="B392" s="78" t="s">
        <v>145</v>
      </c>
      <c r="C392" s="79" t="s">
        <v>398</v>
      </c>
      <c r="D392" s="80" t="s">
        <v>398</v>
      </c>
      <c r="E392" s="1" t="s">
        <v>4</v>
      </c>
      <c r="F392" s="4">
        <v>16.5</v>
      </c>
      <c r="G392" s="7">
        <v>4.8499999999999996</v>
      </c>
      <c r="H392" s="3" t="str">
        <f t="shared" si="25"/>
        <v>WT5X16.5</v>
      </c>
      <c r="I392" s="7">
        <v>4.87</v>
      </c>
      <c r="J392" s="5">
        <v>4.875</v>
      </c>
      <c r="K392" s="6" t="s">
        <v>5</v>
      </c>
      <c r="L392" s="6" t="s">
        <v>5</v>
      </c>
      <c r="M392" s="6" t="s">
        <v>5</v>
      </c>
      <c r="N392" s="7">
        <v>7.96</v>
      </c>
      <c r="O392" s="5">
        <v>8</v>
      </c>
      <c r="P392" s="5" t="s">
        <v>5</v>
      </c>
      <c r="Q392" s="6" t="s">
        <v>5</v>
      </c>
      <c r="R392" s="6" t="s">
        <v>5</v>
      </c>
      <c r="S392" s="22">
        <v>0.28999999999999998</v>
      </c>
      <c r="T392" s="5">
        <v>0.3125</v>
      </c>
      <c r="U392" s="8">
        <v>0.1875</v>
      </c>
      <c r="V392" s="22">
        <v>0.435</v>
      </c>
      <c r="W392" s="8">
        <v>0.4375</v>
      </c>
      <c r="X392" s="22">
        <v>0.435</v>
      </c>
      <c r="Y392" s="6" t="s">
        <v>5</v>
      </c>
      <c r="Z392" s="6" t="s">
        <v>5</v>
      </c>
      <c r="AA392" s="22">
        <v>0.93500000000000005</v>
      </c>
      <c r="AB392" s="8">
        <v>1.125</v>
      </c>
      <c r="AC392" s="8" t="s">
        <v>5</v>
      </c>
      <c r="AD392" s="6" t="s">
        <v>5</v>
      </c>
      <c r="AE392" s="22">
        <v>0.86899999999999999</v>
      </c>
      <c r="AF392" s="6" t="s">
        <v>5</v>
      </c>
      <c r="AG392" s="6" t="s">
        <v>5</v>
      </c>
      <c r="AH392" s="22">
        <v>0.30499999999999999</v>
      </c>
      <c r="AI392" s="7">
        <v>9.15</v>
      </c>
      <c r="AJ392" s="6" t="s">
        <v>5</v>
      </c>
      <c r="AK392" s="6" t="s">
        <v>5</v>
      </c>
      <c r="AL392" s="6" t="s">
        <v>5</v>
      </c>
      <c r="AM392" s="6" t="s">
        <v>5</v>
      </c>
      <c r="AN392" s="4">
        <v>16.8</v>
      </c>
      <c r="AO392" s="7">
        <v>7.71</v>
      </c>
      <c r="AP392" s="7">
        <v>3.48</v>
      </c>
      <c r="AQ392" s="7">
        <v>1.93</v>
      </c>
      <c r="AR392" s="7">
        <v>1.26</v>
      </c>
      <c r="AS392" s="4">
        <v>18.3</v>
      </c>
      <c r="AT392" s="7">
        <v>7</v>
      </c>
      <c r="AU392" s="7">
        <v>4.5999999999999996</v>
      </c>
      <c r="AV392" s="7">
        <v>1.94</v>
      </c>
      <c r="AW392" s="6" t="s">
        <v>5</v>
      </c>
      <c r="AX392" s="6" t="s">
        <v>5</v>
      </c>
      <c r="AY392" s="6" t="s">
        <v>5</v>
      </c>
      <c r="AZ392" s="22">
        <v>0.29099999999999998</v>
      </c>
      <c r="BA392" s="22">
        <v>0.35599999999999998</v>
      </c>
      <c r="BB392" s="6" t="s">
        <v>5</v>
      </c>
      <c r="BC392" s="6" t="s">
        <v>5</v>
      </c>
      <c r="BD392" s="6" t="s">
        <v>5</v>
      </c>
      <c r="BE392" s="6" t="s">
        <v>5</v>
      </c>
      <c r="BF392" s="6" t="s">
        <v>5</v>
      </c>
      <c r="BG392" s="6" t="s">
        <v>5</v>
      </c>
      <c r="BH392" s="6" t="s">
        <v>5</v>
      </c>
      <c r="BI392" s="7">
        <v>2.4</v>
      </c>
      <c r="BJ392" s="22">
        <v>0.92700000000000005</v>
      </c>
      <c r="BK392" s="6" t="s">
        <v>5</v>
      </c>
      <c r="BL392" s="2" t="s">
        <v>5</v>
      </c>
      <c r="BM392" s="2" t="s">
        <v>5</v>
      </c>
      <c r="BN392" s="2" t="s">
        <v>5</v>
      </c>
      <c r="BO392" s="2" t="s">
        <v>5</v>
      </c>
      <c r="BP392" s="2" t="s">
        <v>5</v>
      </c>
      <c r="BQ392" s="2" t="s">
        <v>5</v>
      </c>
      <c r="BR392" s="2" t="s">
        <v>5</v>
      </c>
      <c r="BS392" s="2" t="s">
        <v>5</v>
      </c>
      <c r="BT392" s="2" t="s">
        <v>5</v>
      </c>
      <c r="BU392" s="2" t="s">
        <v>5</v>
      </c>
      <c r="BV392" s="2" t="s">
        <v>5</v>
      </c>
      <c r="BW392" s="2" t="s">
        <v>5</v>
      </c>
      <c r="BX392" s="2" t="s">
        <v>5</v>
      </c>
      <c r="BY392" s="25" t="s">
        <v>5</v>
      </c>
      <c r="BZ392" s="25" t="s">
        <v>5</v>
      </c>
      <c r="CA392" s="4">
        <v>17.2</v>
      </c>
      <c r="CB392" s="6" t="s">
        <v>5</v>
      </c>
      <c r="CC392" s="4">
        <v>25.1</v>
      </c>
      <c r="CD392" s="4">
        <v>17.7</v>
      </c>
      <c r="CE392" s="4">
        <v>25.7</v>
      </c>
      <c r="CF392" s="16" t="s">
        <v>5</v>
      </c>
      <c r="CG392" s="5">
        <v>5.5</v>
      </c>
      <c r="CH392" s="18" t="s">
        <v>5</v>
      </c>
    </row>
    <row r="393" spans="2:86">
      <c r="B393" s="78" t="s">
        <v>145</v>
      </c>
      <c r="C393" s="79" t="s">
        <v>399</v>
      </c>
      <c r="D393" s="80" t="s">
        <v>399</v>
      </c>
      <c r="E393" s="1" t="s">
        <v>4</v>
      </c>
      <c r="F393" s="4">
        <v>15</v>
      </c>
      <c r="G393" s="7">
        <v>4.42</v>
      </c>
      <c r="H393" s="3" t="str">
        <f t="shared" si="25"/>
        <v>WT5X15</v>
      </c>
      <c r="I393" s="7">
        <v>5.24</v>
      </c>
      <c r="J393" s="5">
        <v>5.25</v>
      </c>
      <c r="K393" s="6" t="s">
        <v>5</v>
      </c>
      <c r="L393" s="6" t="s">
        <v>5</v>
      </c>
      <c r="M393" s="6" t="s">
        <v>5</v>
      </c>
      <c r="N393" s="7">
        <v>5.81</v>
      </c>
      <c r="O393" s="5">
        <v>5.75</v>
      </c>
      <c r="P393" s="5" t="s">
        <v>5</v>
      </c>
      <c r="Q393" s="6" t="s">
        <v>5</v>
      </c>
      <c r="R393" s="6" t="s">
        <v>5</v>
      </c>
      <c r="S393" s="22">
        <v>0.3</v>
      </c>
      <c r="T393" s="5">
        <v>0.3125</v>
      </c>
      <c r="U393" s="8">
        <v>0.1875</v>
      </c>
      <c r="V393" s="22">
        <v>0.51</v>
      </c>
      <c r="W393" s="8">
        <v>0.5</v>
      </c>
      <c r="X393" s="22">
        <v>0.51</v>
      </c>
      <c r="Y393" s="6" t="s">
        <v>5</v>
      </c>
      <c r="Z393" s="6" t="s">
        <v>5</v>
      </c>
      <c r="AA393" s="22">
        <v>0.81</v>
      </c>
      <c r="AB393" s="8">
        <v>1.125</v>
      </c>
      <c r="AC393" s="8" t="s">
        <v>5</v>
      </c>
      <c r="AD393" s="6" t="s">
        <v>5</v>
      </c>
      <c r="AE393" s="7">
        <v>1.1000000000000001</v>
      </c>
      <c r="AF393" s="6" t="s">
        <v>5</v>
      </c>
      <c r="AG393" s="6" t="s">
        <v>5</v>
      </c>
      <c r="AH393" s="22">
        <v>0.38</v>
      </c>
      <c r="AI393" s="7">
        <v>5.7</v>
      </c>
      <c r="AJ393" s="6" t="s">
        <v>5</v>
      </c>
      <c r="AK393" s="6" t="s">
        <v>5</v>
      </c>
      <c r="AL393" s="6" t="s">
        <v>5</v>
      </c>
      <c r="AM393" s="6" t="s">
        <v>5</v>
      </c>
      <c r="AN393" s="4">
        <v>17.5</v>
      </c>
      <c r="AO393" s="7">
        <v>9.2799999999999994</v>
      </c>
      <c r="AP393" s="7">
        <v>4.01</v>
      </c>
      <c r="AQ393" s="7">
        <v>2.2400000000000002</v>
      </c>
      <c r="AR393" s="7">
        <v>1.45</v>
      </c>
      <c r="AS393" s="7">
        <v>8.35</v>
      </c>
      <c r="AT393" s="7">
        <v>4.41</v>
      </c>
      <c r="AU393" s="7">
        <v>2.87</v>
      </c>
      <c r="AV393" s="7">
        <v>1.37</v>
      </c>
      <c r="AW393" s="6" t="s">
        <v>5</v>
      </c>
      <c r="AX393" s="6" t="s">
        <v>5</v>
      </c>
      <c r="AY393" s="6" t="s">
        <v>5</v>
      </c>
      <c r="AZ393" s="22">
        <v>0.31</v>
      </c>
      <c r="BA393" s="22">
        <v>0.27300000000000002</v>
      </c>
      <c r="BB393" s="6" t="s">
        <v>5</v>
      </c>
      <c r="BC393" s="6" t="s">
        <v>5</v>
      </c>
      <c r="BD393" s="6" t="s">
        <v>5</v>
      </c>
      <c r="BE393" s="6" t="s">
        <v>5</v>
      </c>
      <c r="BF393" s="6" t="s">
        <v>5</v>
      </c>
      <c r="BG393" s="6" t="s">
        <v>5</v>
      </c>
      <c r="BH393" s="6" t="s">
        <v>5</v>
      </c>
      <c r="BI393" s="7">
        <v>2.17</v>
      </c>
      <c r="BJ393" s="22">
        <v>0.84899999999999998</v>
      </c>
      <c r="BK393" s="6" t="s">
        <v>5</v>
      </c>
      <c r="BL393" s="2" t="s">
        <v>5</v>
      </c>
      <c r="BM393" s="2" t="s">
        <v>5</v>
      </c>
      <c r="BN393" s="2" t="s">
        <v>5</v>
      </c>
      <c r="BO393" s="2" t="s">
        <v>5</v>
      </c>
      <c r="BP393" s="2" t="s">
        <v>5</v>
      </c>
      <c r="BQ393" s="2" t="s">
        <v>5</v>
      </c>
      <c r="BR393" s="2" t="s">
        <v>5</v>
      </c>
      <c r="BS393" s="2" t="s">
        <v>5</v>
      </c>
      <c r="BT393" s="2" t="s">
        <v>5</v>
      </c>
      <c r="BU393" s="2" t="s">
        <v>5</v>
      </c>
      <c r="BV393" s="2" t="s">
        <v>5</v>
      </c>
      <c r="BW393" s="2" t="s">
        <v>5</v>
      </c>
      <c r="BX393" s="2" t="s">
        <v>5</v>
      </c>
      <c r="BY393" s="25" t="s">
        <v>5</v>
      </c>
      <c r="BZ393" s="25" t="s">
        <v>5</v>
      </c>
      <c r="CA393" s="4">
        <v>15.9</v>
      </c>
      <c r="CB393" s="6" t="s">
        <v>5</v>
      </c>
      <c r="CC393" s="4">
        <v>21.7</v>
      </c>
      <c r="CD393" s="4">
        <v>16.3</v>
      </c>
      <c r="CE393" s="6">
        <v>22.1</v>
      </c>
      <c r="CF393" s="16" t="s">
        <v>5</v>
      </c>
      <c r="CG393" s="5">
        <v>2.75</v>
      </c>
      <c r="CH393" s="18" t="s">
        <v>5</v>
      </c>
    </row>
    <row r="394" spans="2:86">
      <c r="B394" s="78" t="s">
        <v>145</v>
      </c>
      <c r="C394" s="79" t="s">
        <v>400</v>
      </c>
      <c r="D394" s="80" t="s">
        <v>400</v>
      </c>
      <c r="E394" s="1" t="s">
        <v>4</v>
      </c>
      <c r="F394" s="4">
        <v>13</v>
      </c>
      <c r="G394" s="7">
        <v>3.81</v>
      </c>
      <c r="H394" s="3" t="str">
        <f t="shared" si="25"/>
        <v>WT5X13</v>
      </c>
      <c r="I394" s="7">
        <v>5.17</v>
      </c>
      <c r="J394" s="5">
        <v>5.125</v>
      </c>
      <c r="K394" s="6" t="s">
        <v>5</v>
      </c>
      <c r="L394" s="6" t="s">
        <v>5</v>
      </c>
      <c r="M394" s="6" t="s">
        <v>5</v>
      </c>
      <c r="N394" s="7">
        <v>5.77</v>
      </c>
      <c r="O394" s="5">
        <v>5.75</v>
      </c>
      <c r="P394" s="5" t="s">
        <v>5</v>
      </c>
      <c r="Q394" s="6" t="s">
        <v>5</v>
      </c>
      <c r="R394" s="6" t="s">
        <v>5</v>
      </c>
      <c r="S394" s="22">
        <v>0.26</v>
      </c>
      <c r="T394" s="5">
        <v>0.25</v>
      </c>
      <c r="U394" s="8">
        <v>0.125</v>
      </c>
      <c r="V394" s="22">
        <v>0.44</v>
      </c>
      <c r="W394" s="8">
        <v>0.4375</v>
      </c>
      <c r="X394" s="22">
        <v>0.44</v>
      </c>
      <c r="Y394" s="6" t="s">
        <v>5</v>
      </c>
      <c r="Z394" s="6" t="s">
        <v>5</v>
      </c>
      <c r="AA394" s="22">
        <v>0.74</v>
      </c>
      <c r="AB394" s="8">
        <v>1.0625</v>
      </c>
      <c r="AC394" s="8" t="s">
        <v>5</v>
      </c>
      <c r="AD394" s="6" t="s">
        <v>5</v>
      </c>
      <c r="AE394" s="7">
        <v>1.06</v>
      </c>
      <c r="AF394" s="6" t="s">
        <v>5</v>
      </c>
      <c r="AG394" s="6" t="s">
        <v>5</v>
      </c>
      <c r="AH394" s="22">
        <v>0.33</v>
      </c>
      <c r="AI394" s="7">
        <v>6.56</v>
      </c>
      <c r="AJ394" s="6" t="s">
        <v>5</v>
      </c>
      <c r="AK394" s="6" t="s">
        <v>5</v>
      </c>
      <c r="AL394" s="6" t="s">
        <v>5</v>
      </c>
      <c r="AM394" s="6" t="s">
        <v>5</v>
      </c>
      <c r="AN394" s="4">
        <v>19.899999999999999</v>
      </c>
      <c r="AO394" s="7">
        <v>7.86</v>
      </c>
      <c r="AP394" s="7">
        <v>3.39</v>
      </c>
      <c r="AQ394" s="7">
        <v>1.91</v>
      </c>
      <c r="AR394" s="7">
        <v>1.44</v>
      </c>
      <c r="AS394" s="7">
        <v>7.05</v>
      </c>
      <c r="AT394" s="7">
        <v>3.75</v>
      </c>
      <c r="AU394" s="7">
        <v>2.44</v>
      </c>
      <c r="AV394" s="7">
        <v>1.36</v>
      </c>
      <c r="AW394" s="6" t="s">
        <v>5</v>
      </c>
      <c r="AX394" s="6" t="s">
        <v>5</v>
      </c>
      <c r="AY394" s="6" t="s">
        <v>5</v>
      </c>
      <c r="AZ394" s="22">
        <v>0.20100000000000001</v>
      </c>
      <c r="BA394" s="22">
        <v>0.17299999999999999</v>
      </c>
      <c r="BB394" s="6" t="s">
        <v>5</v>
      </c>
      <c r="BC394" s="6" t="s">
        <v>5</v>
      </c>
      <c r="BD394" s="6" t="s">
        <v>5</v>
      </c>
      <c r="BE394" s="6" t="s">
        <v>5</v>
      </c>
      <c r="BF394" s="6" t="s">
        <v>5</v>
      </c>
      <c r="BG394" s="6" t="s">
        <v>5</v>
      </c>
      <c r="BH394" s="6" t="s">
        <v>5</v>
      </c>
      <c r="BI394" s="7">
        <v>2.15</v>
      </c>
      <c r="BJ394" s="22">
        <v>0.84799999999999998</v>
      </c>
      <c r="BK394" s="6" t="s">
        <v>5</v>
      </c>
      <c r="BL394" s="2" t="s">
        <v>5</v>
      </c>
      <c r="BM394" s="2" t="s">
        <v>5</v>
      </c>
      <c r="BN394" s="2" t="s">
        <v>5</v>
      </c>
      <c r="BO394" s="2" t="s">
        <v>5</v>
      </c>
      <c r="BP394" s="2" t="s">
        <v>5</v>
      </c>
      <c r="BQ394" s="2" t="s">
        <v>5</v>
      </c>
      <c r="BR394" s="2" t="s">
        <v>5</v>
      </c>
      <c r="BS394" s="2" t="s">
        <v>5</v>
      </c>
      <c r="BT394" s="2" t="s">
        <v>5</v>
      </c>
      <c r="BU394" s="2" t="s">
        <v>5</v>
      </c>
      <c r="BV394" s="2" t="s">
        <v>5</v>
      </c>
      <c r="BW394" s="2" t="s">
        <v>5</v>
      </c>
      <c r="BX394" s="2" t="s">
        <v>5</v>
      </c>
      <c r="BY394" s="25" t="s">
        <v>5</v>
      </c>
      <c r="BZ394" s="25" t="s">
        <v>5</v>
      </c>
      <c r="CA394" s="4">
        <v>15.7</v>
      </c>
      <c r="CB394" s="6" t="s">
        <v>5</v>
      </c>
      <c r="CC394" s="4">
        <v>21.5</v>
      </c>
      <c r="CD394" s="4">
        <v>16.100000000000001</v>
      </c>
      <c r="CE394" s="4">
        <v>21.9</v>
      </c>
      <c r="CF394" s="16" t="s">
        <v>5</v>
      </c>
      <c r="CG394" s="5">
        <v>2.75</v>
      </c>
      <c r="CH394" s="18" t="s">
        <v>5</v>
      </c>
    </row>
    <row r="395" spans="2:86">
      <c r="B395" s="78" t="s">
        <v>145</v>
      </c>
      <c r="C395" s="79" t="s">
        <v>401</v>
      </c>
      <c r="D395" s="80" t="s">
        <v>401</v>
      </c>
      <c r="E395" s="1" t="s">
        <v>4</v>
      </c>
      <c r="F395" s="4">
        <v>11</v>
      </c>
      <c r="G395" s="7">
        <v>3.24</v>
      </c>
      <c r="H395" s="3" t="str">
        <f t="shared" si="25"/>
        <v>WT5X11</v>
      </c>
      <c r="I395" s="7">
        <v>5.09</v>
      </c>
      <c r="J395" s="5">
        <v>5.125</v>
      </c>
      <c r="K395" s="6" t="s">
        <v>5</v>
      </c>
      <c r="L395" s="6" t="s">
        <v>5</v>
      </c>
      <c r="M395" s="6" t="s">
        <v>5</v>
      </c>
      <c r="N395" s="7">
        <v>5.75</v>
      </c>
      <c r="O395" s="5">
        <v>5.75</v>
      </c>
      <c r="P395" s="5" t="s">
        <v>5</v>
      </c>
      <c r="Q395" s="6" t="s">
        <v>5</v>
      </c>
      <c r="R395" s="6" t="s">
        <v>5</v>
      </c>
      <c r="S395" s="22">
        <v>0.24</v>
      </c>
      <c r="T395" s="5">
        <v>0.25</v>
      </c>
      <c r="U395" s="8">
        <v>0.125</v>
      </c>
      <c r="V395" s="22">
        <v>0.36</v>
      </c>
      <c r="W395" s="8">
        <v>0.375</v>
      </c>
      <c r="X395" s="22">
        <v>0.36</v>
      </c>
      <c r="Y395" s="6" t="s">
        <v>5</v>
      </c>
      <c r="Z395" s="6" t="s">
        <v>5</v>
      </c>
      <c r="AA395" s="22">
        <v>0.66</v>
      </c>
      <c r="AB395" s="8">
        <v>0.9375</v>
      </c>
      <c r="AC395" s="8" t="s">
        <v>5</v>
      </c>
      <c r="AD395" s="6" t="s">
        <v>5</v>
      </c>
      <c r="AE395" s="7">
        <v>1.07</v>
      </c>
      <c r="AF395" s="6" t="s">
        <v>5</v>
      </c>
      <c r="AG395" s="6" t="s">
        <v>5</v>
      </c>
      <c r="AH395" s="22">
        <v>0.28199999999999997</v>
      </c>
      <c r="AI395" s="7">
        <v>7.99</v>
      </c>
      <c r="AJ395" s="6" t="s">
        <v>5</v>
      </c>
      <c r="AK395" s="6" t="s">
        <v>5</v>
      </c>
      <c r="AL395" s="6" t="s">
        <v>5</v>
      </c>
      <c r="AM395" s="6" t="s">
        <v>5</v>
      </c>
      <c r="AN395" s="4">
        <v>21.2</v>
      </c>
      <c r="AO395" s="7">
        <v>6.88</v>
      </c>
      <c r="AP395" s="7">
        <v>3.02</v>
      </c>
      <c r="AQ395" s="7">
        <v>1.72</v>
      </c>
      <c r="AR395" s="7">
        <v>1.46</v>
      </c>
      <c r="AS395" s="7">
        <v>5.71</v>
      </c>
      <c r="AT395" s="7">
        <v>3.05</v>
      </c>
      <c r="AU395" s="7">
        <v>1.99</v>
      </c>
      <c r="AV395" s="7">
        <v>1.33</v>
      </c>
      <c r="AW395" s="6" t="s">
        <v>5</v>
      </c>
      <c r="AX395" s="6" t="s">
        <v>5</v>
      </c>
      <c r="AY395" s="6" t="s">
        <v>5</v>
      </c>
      <c r="AZ395" s="22">
        <v>0.11899999999999999</v>
      </c>
      <c r="BA395" s="22">
        <v>0.107</v>
      </c>
      <c r="BB395" s="6" t="s">
        <v>5</v>
      </c>
      <c r="BC395" s="6" t="s">
        <v>5</v>
      </c>
      <c r="BD395" s="6" t="s">
        <v>5</v>
      </c>
      <c r="BE395" s="6" t="s">
        <v>5</v>
      </c>
      <c r="BF395" s="6" t="s">
        <v>5</v>
      </c>
      <c r="BG395" s="6" t="s">
        <v>5</v>
      </c>
      <c r="BH395" s="6" t="s">
        <v>5</v>
      </c>
      <c r="BI395" s="7">
        <v>2.16</v>
      </c>
      <c r="BJ395" s="22">
        <v>0.83</v>
      </c>
      <c r="BK395" s="6" t="s">
        <v>5</v>
      </c>
      <c r="BL395" s="2" t="s">
        <v>5</v>
      </c>
      <c r="BM395" s="2" t="s">
        <v>5</v>
      </c>
      <c r="BN395" s="2" t="s">
        <v>5</v>
      </c>
      <c r="BO395" s="2" t="s">
        <v>5</v>
      </c>
      <c r="BP395" s="2" t="s">
        <v>5</v>
      </c>
      <c r="BQ395" s="2" t="s">
        <v>5</v>
      </c>
      <c r="BR395" s="2" t="s">
        <v>5</v>
      </c>
      <c r="BS395" s="2" t="s">
        <v>5</v>
      </c>
      <c r="BT395" s="2" t="s">
        <v>5</v>
      </c>
      <c r="BU395" s="2" t="s">
        <v>5</v>
      </c>
      <c r="BV395" s="2" t="s">
        <v>5</v>
      </c>
      <c r="BW395" s="2" t="s">
        <v>5</v>
      </c>
      <c r="BX395" s="2" t="s">
        <v>5</v>
      </c>
      <c r="BY395" s="25" t="s">
        <v>5</v>
      </c>
      <c r="BZ395" s="25" t="s">
        <v>5</v>
      </c>
      <c r="CA395" s="4">
        <v>15.5</v>
      </c>
      <c r="CB395" s="6" t="s">
        <v>5</v>
      </c>
      <c r="CC395" s="4">
        <v>21.3</v>
      </c>
      <c r="CD395" s="4">
        <v>15.9</v>
      </c>
      <c r="CE395" s="4">
        <v>21.7</v>
      </c>
      <c r="CF395" s="16" t="s">
        <v>5</v>
      </c>
      <c r="CG395" s="5">
        <v>2.75</v>
      </c>
      <c r="CH395" s="18" t="s">
        <v>5</v>
      </c>
    </row>
    <row r="396" spans="2:86">
      <c r="B396" s="78" t="s">
        <v>145</v>
      </c>
      <c r="C396" s="79" t="s">
        <v>402</v>
      </c>
      <c r="D396" s="80" t="s">
        <v>402</v>
      </c>
      <c r="E396" s="1" t="s">
        <v>4</v>
      </c>
      <c r="F396" s="7">
        <v>9.5</v>
      </c>
      <c r="G396" s="7">
        <v>2.81</v>
      </c>
      <c r="H396" s="3" t="str">
        <f t="shared" si="25"/>
        <v>WT5X9.5</v>
      </c>
      <c r="I396" s="7">
        <v>5.12</v>
      </c>
      <c r="J396" s="5">
        <v>5.125</v>
      </c>
      <c r="K396" s="6" t="s">
        <v>5</v>
      </c>
      <c r="L396" s="6" t="s">
        <v>5</v>
      </c>
      <c r="M396" s="6" t="s">
        <v>5</v>
      </c>
      <c r="N396" s="7">
        <v>4.0199999999999996</v>
      </c>
      <c r="O396" s="5">
        <v>4</v>
      </c>
      <c r="P396" s="5" t="s">
        <v>5</v>
      </c>
      <c r="Q396" s="6" t="s">
        <v>5</v>
      </c>
      <c r="R396" s="6" t="s">
        <v>5</v>
      </c>
      <c r="S396" s="22">
        <v>0.25</v>
      </c>
      <c r="T396" s="5">
        <v>0.25</v>
      </c>
      <c r="U396" s="8">
        <v>0.125</v>
      </c>
      <c r="V396" s="22">
        <v>0.39500000000000002</v>
      </c>
      <c r="W396" s="8">
        <v>0.375</v>
      </c>
      <c r="X396" s="22">
        <v>0.39500000000000002</v>
      </c>
      <c r="Y396" s="6" t="s">
        <v>5</v>
      </c>
      <c r="Z396" s="6" t="s">
        <v>5</v>
      </c>
      <c r="AA396" s="22">
        <v>0.69499999999999995</v>
      </c>
      <c r="AB396" s="8">
        <v>0.9375</v>
      </c>
      <c r="AC396" s="8" t="s">
        <v>5</v>
      </c>
      <c r="AD396" s="6" t="s">
        <v>5</v>
      </c>
      <c r="AE396" s="7">
        <v>1.28</v>
      </c>
      <c r="AF396" s="6" t="s">
        <v>5</v>
      </c>
      <c r="AG396" s="6" t="s">
        <v>5</v>
      </c>
      <c r="AH396" s="22">
        <v>0.34899999999999998</v>
      </c>
      <c r="AI396" s="7">
        <v>5.09</v>
      </c>
      <c r="AJ396" s="6" t="s">
        <v>5</v>
      </c>
      <c r="AK396" s="6" t="s">
        <v>5</v>
      </c>
      <c r="AL396" s="6" t="s">
        <v>5</v>
      </c>
      <c r="AM396" s="6" t="s">
        <v>5</v>
      </c>
      <c r="AN396" s="4">
        <v>20.5</v>
      </c>
      <c r="AO396" s="7">
        <v>6.68</v>
      </c>
      <c r="AP396" s="7">
        <v>3.1</v>
      </c>
      <c r="AQ396" s="7">
        <v>1.74</v>
      </c>
      <c r="AR396" s="7">
        <v>1.54</v>
      </c>
      <c r="AS396" s="7">
        <v>2.15</v>
      </c>
      <c r="AT396" s="7">
        <v>1.67</v>
      </c>
      <c r="AU396" s="7">
        <v>1.07</v>
      </c>
      <c r="AV396" s="22">
        <v>0.874</v>
      </c>
      <c r="AW396" s="6" t="s">
        <v>5</v>
      </c>
      <c r="AX396" s="6" t="s">
        <v>5</v>
      </c>
      <c r="AY396" s="6" t="s">
        <v>5</v>
      </c>
      <c r="AZ396" s="22">
        <v>0.11600000000000001</v>
      </c>
      <c r="BA396" s="28">
        <v>7.9600000000000004E-2</v>
      </c>
      <c r="BB396" s="6" t="s">
        <v>5</v>
      </c>
      <c r="BC396" s="6" t="s">
        <v>5</v>
      </c>
      <c r="BD396" s="6" t="s">
        <v>5</v>
      </c>
      <c r="BE396" s="6" t="s">
        <v>5</v>
      </c>
      <c r="BF396" s="6" t="s">
        <v>5</v>
      </c>
      <c r="BG396" s="6" t="s">
        <v>5</v>
      </c>
      <c r="BH396" s="6" t="s">
        <v>5</v>
      </c>
      <c r="BI396" s="7">
        <v>2.08</v>
      </c>
      <c r="BJ396" s="22">
        <v>0.72899999999999998</v>
      </c>
      <c r="BK396" s="6" t="s">
        <v>5</v>
      </c>
      <c r="BL396" s="2" t="s">
        <v>5</v>
      </c>
      <c r="BM396" s="2" t="s">
        <v>5</v>
      </c>
      <c r="BN396" s="2" t="s">
        <v>5</v>
      </c>
      <c r="BO396" s="2" t="s">
        <v>5</v>
      </c>
      <c r="BP396" s="2" t="s">
        <v>5</v>
      </c>
      <c r="BQ396" s="2" t="s">
        <v>5</v>
      </c>
      <c r="BR396" s="2" t="s">
        <v>5</v>
      </c>
      <c r="BS396" s="2" t="s">
        <v>5</v>
      </c>
      <c r="BT396" s="2" t="s">
        <v>5</v>
      </c>
      <c r="BU396" s="2" t="s">
        <v>5</v>
      </c>
      <c r="BV396" s="2" t="s">
        <v>5</v>
      </c>
      <c r="BW396" s="2" t="s">
        <v>5</v>
      </c>
      <c r="BX396" s="2" t="s">
        <v>5</v>
      </c>
      <c r="BY396" s="25" t="s">
        <v>5</v>
      </c>
      <c r="BZ396" s="25" t="s">
        <v>5</v>
      </c>
      <c r="CA396" s="4">
        <v>13.9</v>
      </c>
      <c r="CB396" s="6" t="s">
        <v>5</v>
      </c>
      <c r="CC396" s="4">
        <v>17.899999999999999</v>
      </c>
      <c r="CD396" s="4">
        <v>14.3</v>
      </c>
      <c r="CE396" s="4">
        <v>18.3</v>
      </c>
      <c r="CF396" s="16" t="s">
        <v>5</v>
      </c>
      <c r="CG396" s="5">
        <v>2.25</v>
      </c>
      <c r="CH396" s="18" t="s">
        <v>5</v>
      </c>
    </row>
    <row r="397" spans="2:86">
      <c r="B397" s="78" t="s">
        <v>145</v>
      </c>
      <c r="C397" s="79" t="s">
        <v>403</v>
      </c>
      <c r="D397" s="80" t="s">
        <v>403</v>
      </c>
      <c r="E397" s="1" t="s">
        <v>4</v>
      </c>
      <c r="F397" s="7">
        <v>8.5</v>
      </c>
      <c r="G397" s="7">
        <v>2.5</v>
      </c>
      <c r="H397" s="3" t="str">
        <f t="shared" si="25"/>
        <v>WT5X8.5</v>
      </c>
      <c r="I397" s="7">
        <v>5.0599999999999996</v>
      </c>
      <c r="J397" s="5">
        <v>5</v>
      </c>
      <c r="K397" s="6" t="s">
        <v>5</v>
      </c>
      <c r="L397" s="6" t="s">
        <v>5</v>
      </c>
      <c r="M397" s="6" t="s">
        <v>5</v>
      </c>
      <c r="N397" s="7">
        <v>4.01</v>
      </c>
      <c r="O397" s="5">
        <v>4</v>
      </c>
      <c r="P397" s="5" t="s">
        <v>5</v>
      </c>
      <c r="Q397" s="6" t="s">
        <v>5</v>
      </c>
      <c r="R397" s="6" t="s">
        <v>5</v>
      </c>
      <c r="S397" s="22">
        <v>0.24</v>
      </c>
      <c r="T397" s="5">
        <v>0.25</v>
      </c>
      <c r="U397" s="8">
        <v>0.125</v>
      </c>
      <c r="V397" s="22">
        <v>0.33</v>
      </c>
      <c r="W397" s="8">
        <v>0.3125</v>
      </c>
      <c r="X397" s="22">
        <v>0.33</v>
      </c>
      <c r="Y397" s="6" t="s">
        <v>5</v>
      </c>
      <c r="Z397" s="6" t="s">
        <v>5</v>
      </c>
      <c r="AA397" s="22">
        <v>0.63</v>
      </c>
      <c r="AB397" s="8">
        <v>0.875</v>
      </c>
      <c r="AC397" s="8" t="s">
        <v>5</v>
      </c>
      <c r="AD397" s="6" t="s">
        <v>5</v>
      </c>
      <c r="AE397" s="7">
        <v>1.32</v>
      </c>
      <c r="AF397" s="6" t="s">
        <v>5</v>
      </c>
      <c r="AG397" s="6" t="s">
        <v>5</v>
      </c>
      <c r="AH397" s="22">
        <v>0.311</v>
      </c>
      <c r="AI397" s="7">
        <v>6.08</v>
      </c>
      <c r="AJ397" s="6" t="s">
        <v>5</v>
      </c>
      <c r="AK397" s="6" t="s">
        <v>5</v>
      </c>
      <c r="AL397" s="6" t="s">
        <v>5</v>
      </c>
      <c r="AM397" s="6" t="s">
        <v>5</v>
      </c>
      <c r="AN397" s="4">
        <v>21.1</v>
      </c>
      <c r="AO397" s="7">
        <v>6.06</v>
      </c>
      <c r="AP397" s="7">
        <v>2.9</v>
      </c>
      <c r="AQ397" s="7">
        <v>1.62</v>
      </c>
      <c r="AR397" s="7">
        <v>1.56</v>
      </c>
      <c r="AS397" s="7">
        <v>1.78</v>
      </c>
      <c r="AT397" s="7">
        <v>1.4</v>
      </c>
      <c r="AU397" s="22">
        <v>0.88700000000000001</v>
      </c>
      <c r="AV397" s="22">
        <v>0.84399999999999997</v>
      </c>
      <c r="AW397" s="6" t="s">
        <v>5</v>
      </c>
      <c r="AX397" s="6" t="s">
        <v>5</v>
      </c>
      <c r="AY397" s="6" t="s">
        <v>5</v>
      </c>
      <c r="AZ397" s="28">
        <v>7.7600000000000002E-2</v>
      </c>
      <c r="BA397" s="28">
        <v>6.0999999999999999E-2</v>
      </c>
      <c r="BB397" s="6" t="s">
        <v>5</v>
      </c>
      <c r="BC397" s="6" t="s">
        <v>5</v>
      </c>
      <c r="BD397" s="6" t="s">
        <v>5</v>
      </c>
      <c r="BE397" s="6" t="s">
        <v>5</v>
      </c>
      <c r="BF397" s="6" t="s">
        <v>5</v>
      </c>
      <c r="BG397" s="6" t="s">
        <v>5</v>
      </c>
      <c r="BH397" s="6" t="s">
        <v>5</v>
      </c>
      <c r="BI397" s="7">
        <v>2.11</v>
      </c>
      <c r="BJ397" s="22">
        <v>0.70299999999999996</v>
      </c>
      <c r="BK397" s="6" t="s">
        <v>5</v>
      </c>
      <c r="BL397" s="2" t="s">
        <v>5</v>
      </c>
      <c r="BM397" s="2" t="s">
        <v>5</v>
      </c>
      <c r="BN397" s="2" t="s">
        <v>5</v>
      </c>
      <c r="BO397" s="2" t="s">
        <v>5</v>
      </c>
      <c r="BP397" s="2" t="s">
        <v>5</v>
      </c>
      <c r="BQ397" s="2" t="s">
        <v>5</v>
      </c>
      <c r="BR397" s="2" t="s">
        <v>5</v>
      </c>
      <c r="BS397" s="2" t="s">
        <v>5</v>
      </c>
      <c r="BT397" s="2" t="s">
        <v>5</v>
      </c>
      <c r="BU397" s="2" t="s">
        <v>5</v>
      </c>
      <c r="BV397" s="2" t="s">
        <v>5</v>
      </c>
      <c r="BW397" s="2" t="s">
        <v>5</v>
      </c>
      <c r="BX397" s="2" t="s">
        <v>5</v>
      </c>
      <c r="BY397" s="25" t="s">
        <v>5</v>
      </c>
      <c r="BZ397" s="25" t="s">
        <v>5</v>
      </c>
      <c r="CA397" s="4">
        <v>13.8</v>
      </c>
      <c r="CB397" s="6" t="s">
        <v>5</v>
      </c>
      <c r="CC397" s="4">
        <v>17.8</v>
      </c>
      <c r="CD397" s="4">
        <v>14.1</v>
      </c>
      <c r="CE397" s="4">
        <v>18.100000000000001</v>
      </c>
      <c r="CF397" s="16" t="s">
        <v>5</v>
      </c>
      <c r="CG397" s="5">
        <v>2.25</v>
      </c>
      <c r="CH397" s="18" t="s">
        <v>5</v>
      </c>
    </row>
    <row r="398" spans="2:86">
      <c r="B398" s="78" t="s">
        <v>145</v>
      </c>
      <c r="C398" s="79" t="s">
        <v>404</v>
      </c>
      <c r="D398" s="80" t="s">
        <v>404</v>
      </c>
      <c r="E398" s="1" t="s">
        <v>4</v>
      </c>
      <c r="F398" s="7">
        <v>7.5</v>
      </c>
      <c r="G398" s="7">
        <v>2.21</v>
      </c>
      <c r="H398" s="3" t="str">
        <f t="shared" si="25"/>
        <v>WT5X7.5</v>
      </c>
      <c r="I398" s="7">
        <v>5</v>
      </c>
      <c r="J398" s="5">
        <v>5</v>
      </c>
      <c r="K398" s="6" t="s">
        <v>5</v>
      </c>
      <c r="L398" s="6" t="s">
        <v>5</v>
      </c>
      <c r="M398" s="6" t="s">
        <v>5</v>
      </c>
      <c r="N398" s="7">
        <v>4</v>
      </c>
      <c r="O398" s="5">
        <v>4</v>
      </c>
      <c r="P398" s="5" t="s">
        <v>5</v>
      </c>
      <c r="Q398" s="6" t="s">
        <v>5</v>
      </c>
      <c r="R398" s="6" t="s">
        <v>5</v>
      </c>
      <c r="S398" s="22">
        <v>0.23</v>
      </c>
      <c r="T398" s="5">
        <v>0.25</v>
      </c>
      <c r="U398" s="8">
        <v>0.125</v>
      </c>
      <c r="V398" s="22">
        <v>0.27</v>
      </c>
      <c r="W398" s="8">
        <v>0.25</v>
      </c>
      <c r="X398" s="22">
        <v>0.27</v>
      </c>
      <c r="Y398" s="6" t="s">
        <v>5</v>
      </c>
      <c r="Z398" s="6" t="s">
        <v>5</v>
      </c>
      <c r="AA398" s="22">
        <v>0.56999999999999995</v>
      </c>
      <c r="AB398" s="8">
        <v>0.8125</v>
      </c>
      <c r="AC398" s="8" t="s">
        <v>5</v>
      </c>
      <c r="AD398" s="6" t="s">
        <v>5</v>
      </c>
      <c r="AE398" s="7">
        <v>1.37</v>
      </c>
      <c r="AF398" s="6" t="s">
        <v>5</v>
      </c>
      <c r="AG398" s="6" t="s">
        <v>5</v>
      </c>
      <c r="AH398" s="22">
        <v>0.30499999999999999</v>
      </c>
      <c r="AI398" s="7">
        <v>7.41</v>
      </c>
      <c r="AJ398" s="6" t="s">
        <v>5</v>
      </c>
      <c r="AK398" s="6" t="s">
        <v>5</v>
      </c>
      <c r="AL398" s="6" t="s">
        <v>5</v>
      </c>
      <c r="AM398" s="6" t="s">
        <v>5</v>
      </c>
      <c r="AN398" s="4">
        <v>21.7</v>
      </c>
      <c r="AO398" s="7">
        <v>5.45</v>
      </c>
      <c r="AP398" s="7">
        <v>2.71</v>
      </c>
      <c r="AQ398" s="7">
        <v>1.5</v>
      </c>
      <c r="AR398" s="7">
        <v>1.57</v>
      </c>
      <c r="AS398" s="7">
        <v>1.45</v>
      </c>
      <c r="AT398" s="7">
        <v>1.1499999999999999</v>
      </c>
      <c r="AU398" s="22">
        <v>0.72299999999999998</v>
      </c>
      <c r="AV398" s="22">
        <v>0.81</v>
      </c>
      <c r="AW398" s="6" t="s">
        <v>5</v>
      </c>
      <c r="AX398" s="6" t="s">
        <v>5</v>
      </c>
      <c r="AY398" s="6" t="s">
        <v>5</v>
      </c>
      <c r="AZ398" s="28">
        <v>5.1799999999999999E-2</v>
      </c>
      <c r="BA398" s="28">
        <v>4.7500000000000001E-2</v>
      </c>
      <c r="BB398" s="6" t="s">
        <v>5</v>
      </c>
      <c r="BC398" s="6" t="s">
        <v>5</v>
      </c>
      <c r="BD398" s="6" t="s">
        <v>5</v>
      </c>
      <c r="BE398" s="6" t="s">
        <v>5</v>
      </c>
      <c r="BF398" s="6" t="s">
        <v>5</v>
      </c>
      <c r="BG398" s="6" t="s">
        <v>5</v>
      </c>
      <c r="BH398" s="6" t="s">
        <v>5</v>
      </c>
      <c r="BI398" s="7">
        <v>2.16</v>
      </c>
      <c r="BJ398" s="22">
        <v>0.67200000000000004</v>
      </c>
      <c r="BK398" s="6" t="s">
        <v>5</v>
      </c>
      <c r="BL398" s="2" t="s">
        <v>5</v>
      </c>
      <c r="BM398" s="2" t="s">
        <v>5</v>
      </c>
      <c r="BN398" s="2" t="s">
        <v>5</v>
      </c>
      <c r="BO398" s="2" t="s">
        <v>5</v>
      </c>
      <c r="BP398" s="2" t="s">
        <v>5</v>
      </c>
      <c r="BQ398" s="2" t="s">
        <v>5</v>
      </c>
      <c r="BR398" s="2" t="s">
        <v>5</v>
      </c>
      <c r="BS398" s="2" t="s">
        <v>5</v>
      </c>
      <c r="BT398" s="2" t="s">
        <v>5</v>
      </c>
      <c r="BU398" s="2" t="s">
        <v>5</v>
      </c>
      <c r="BV398" s="2" t="s">
        <v>5</v>
      </c>
      <c r="BW398" s="2" t="s">
        <v>5</v>
      </c>
      <c r="BX398" s="2" t="s">
        <v>5</v>
      </c>
      <c r="BY398" s="25" t="s">
        <v>5</v>
      </c>
      <c r="BZ398" s="25" t="s">
        <v>5</v>
      </c>
      <c r="CA398" s="4">
        <v>13.6</v>
      </c>
      <c r="CB398" s="6" t="s">
        <v>5</v>
      </c>
      <c r="CC398" s="4">
        <v>17.600000000000001</v>
      </c>
      <c r="CD398" s="4">
        <v>14</v>
      </c>
      <c r="CE398" s="4">
        <v>18</v>
      </c>
      <c r="CF398" s="16" t="s">
        <v>5</v>
      </c>
      <c r="CG398" s="5">
        <v>2.25</v>
      </c>
      <c r="CH398" s="18" t="s">
        <v>5</v>
      </c>
    </row>
    <row r="399" spans="2:86">
      <c r="B399" s="78" t="s">
        <v>145</v>
      </c>
      <c r="C399" s="79" t="s">
        <v>405</v>
      </c>
      <c r="D399" s="80" t="s">
        <v>405</v>
      </c>
      <c r="E399" s="1" t="s">
        <v>4</v>
      </c>
      <c r="F399" s="7">
        <v>6</v>
      </c>
      <c r="G399" s="7">
        <v>1.77</v>
      </c>
      <c r="H399" s="3" t="str">
        <f t="shared" si="25"/>
        <v>WT5X6</v>
      </c>
      <c r="I399" s="7">
        <v>4.9400000000000004</v>
      </c>
      <c r="J399" s="5">
        <v>4.875</v>
      </c>
      <c r="K399" s="6" t="s">
        <v>5</v>
      </c>
      <c r="L399" s="6" t="s">
        <v>5</v>
      </c>
      <c r="M399" s="6" t="s">
        <v>5</v>
      </c>
      <c r="N399" s="7">
        <v>3.96</v>
      </c>
      <c r="O399" s="5">
        <v>4</v>
      </c>
      <c r="P399" s="5" t="s">
        <v>5</v>
      </c>
      <c r="Q399" s="6" t="s">
        <v>5</v>
      </c>
      <c r="R399" s="6" t="s">
        <v>5</v>
      </c>
      <c r="S399" s="22">
        <v>0.19</v>
      </c>
      <c r="T399" s="5">
        <v>0.1875</v>
      </c>
      <c r="U399" s="8">
        <v>0.125</v>
      </c>
      <c r="V399" s="22">
        <v>0.21</v>
      </c>
      <c r="W399" s="8">
        <v>0.1875</v>
      </c>
      <c r="X399" s="22">
        <v>0.21</v>
      </c>
      <c r="Y399" s="6" t="s">
        <v>5</v>
      </c>
      <c r="Z399" s="6" t="s">
        <v>5</v>
      </c>
      <c r="AA399" s="22">
        <v>0.51</v>
      </c>
      <c r="AB399" s="8">
        <v>0.75</v>
      </c>
      <c r="AC399" s="8" t="s">
        <v>5</v>
      </c>
      <c r="AD399" s="6" t="s">
        <v>5</v>
      </c>
      <c r="AE399" s="7">
        <v>1.36</v>
      </c>
      <c r="AF399" s="6" t="s">
        <v>5</v>
      </c>
      <c r="AG399" s="6" t="s">
        <v>5</v>
      </c>
      <c r="AH399" s="22">
        <v>0.32200000000000001</v>
      </c>
      <c r="AI399" s="7">
        <v>9.43</v>
      </c>
      <c r="AJ399" s="6" t="s">
        <v>5</v>
      </c>
      <c r="AK399" s="6" t="s">
        <v>5</v>
      </c>
      <c r="AL399" s="6" t="s">
        <v>5</v>
      </c>
      <c r="AM399" s="6" t="s">
        <v>5</v>
      </c>
      <c r="AN399" s="4">
        <v>26</v>
      </c>
      <c r="AO399" s="7">
        <v>4.3499999999999996</v>
      </c>
      <c r="AP399" s="7">
        <v>2.2000000000000002</v>
      </c>
      <c r="AQ399" s="7">
        <v>1.22</v>
      </c>
      <c r="AR399" s="7">
        <v>1.57</v>
      </c>
      <c r="AS399" s="7">
        <v>1.0900000000000001</v>
      </c>
      <c r="AT399" s="22">
        <v>0.86899999999999999</v>
      </c>
      <c r="AU399" s="22">
        <v>0.55100000000000005</v>
      </c>
      <c r="AV399" s="22">
        <v>0.78500000000000003</v>
      </c>
      <c r="AW399" s="6" t="s">
        <v>5</v>
      </c>
      <c r="AX399" s="6" t="s">
        <v>5</v>
      </c>
      <c r="AY399" s="6" t="s">
        <v>5</v>
      </c>
      <c r="AZ399" s="28">
        <v>2.7199999999999998E-2</v>
      </c>
      <c r="BA399" s="28">
        <v>2.5499999999999998E-2</v>
      </c>
      <c r="BB399" s="6" t="s">
        <v>5</v>
      </c>
      <c r="BC399" s="6" t="s">
        <v>5</v>
      </c>
      <c r="BD399" s="6" t="s">
        <v>5</v>
      </c>
      <c r="BE399" s="6" t="s">
        <v>5</v>
      </c>
      <c r="BF399" s="6" t="s">
        <v>5</v>
      </c>
      <c r="BG399" s="6" t="s">
        <v>5</v>
      </c>
      <c r="BH399" s="6" t="s">
        <v>5</v>
      </c>
      <c r="BI399" s="7">
        <v>2.16</v>
      </c>
      <c r="BJ399" s="22">
        <v>0.66100000000000003</v>
      </c>
      <c r="BK399" s="6" t="s">
        <v>5</v>
      </c>
      <c r="BL399" s="2" t="s">
        <v>5</v>
      </c>
      <c r="BM399" s="2" t="s">
        <v>5</v>
      </c>
      <c r="BN399" s="2" t="s">
        <v>5</v>
      </c>
      <c r="BO399" s="2" t="s">
        <v>5</v>
      </c>
      <c r="BP399" s="2" t="s">
        <v>5</v>
      </c>
      <c r="BQ399" s="2" t="s">
        <v>5</v>
      </c>
      <c r="BR399" s="2" t="s">
        <v>5</v>
      </c>
      <c r="BS399" s="2" t="s">
        <v>5</v>
      </c>
      <c r="BT399" s="2" t="s">
        <v>5</v>
      </c>
      <c r="BU399" s="2" t="s">
        <v>5</v>
      </c>
      <c r="BV399" s="2" t="s">
        <v>5</v>
      </c>
      <c r="BW399" s="2" t="s">
        <v>5</v>
      </c>
      <c r="BX399" s="2" t="s">
        <v>5</v>
      </c>
      <c r="BY399" s="25" t="s">
        <v>5</v>
      </c>
      <c r="BZ399" s="25" t="s">
        <v>5</v>
      </c>
      <c r="CA399" s="4">
        <v>13.5</v>
      </c>
      <c r="CB399" s="6" t="s">
        <v>5</v>
      </c>
      <c r="CC399" s="4">
        <v>17.399999999999999</v>
      </c>
      <c r="CD399" s="4">
        <v>13.8</v>
      </c>
      <c r="CE399" s="6">
        <v>17.8</v>
      </c>
      <c r="CF399" s="16" t="s">
        <v>5</v>
      </c>
      <c r="CG399" s="5">
        <v>2.25</v>
      </c>
      <c r="CH399" s="18" t="s">
        <v>5</v>
      </c>
    </row>
    <row r="400" spans="2:86">
      <c r="B400" s="78" t="s">
        <v>145</v>
      </c>
      <c r="C400" s="79" t="s">
        <v>406</v>
      </c>
      <c r="D400" s="80" t="s">
        <v>406</v>
      </c>
      <c r="E400" s="1" t="s">
        <v>4</v>
      </c>
      <c r="F400" s="4">
        <v>33.5</v>
      </c>
      <c r="G400" s="7">
        <v>9.84</v>
      </c>
      <c r="H400" s="3" t="str">
        <f t="shared" si="25"/>
        <v>WT4X33.5</v>
      </c>
      <c r="I400" s="7">
        <v>4.5</v>
      </c>
      <c r="J400" s="5">
        <v>4.5</v>
      </c>
      <c r="K400" s="6" t="s">
        <v>5</v>
      </c>
      <c r="L400" s="6" t="s">
        <v>5</v>
      </c>
      <c r="M400" s="6" t="s">
        <v>5</v>
      </c>
      <c r="N400" s="7">
        <v>8.2799999999999994</v>
      </c>
      <c r="O400" s="5">
        <v>8.25</v>
      </c>
      <c r="P400" s="5" t="s">
        <v>5</v>
      </c>
      <c r="Q400" s="6" t="s">
        <v>5</v>
      </c>
      <c r="R400" s="6" t="s">
        <v>5</v>
      </c>
      <c r="S400" s="22">
        <v>0.56999999999999995</v>
      </c>
      <c r="T400" s="5">
        <v>0.5625</v>
      </c>
      <c r="U400" s="8">
        <v>0.3125</v>
      </c>
      <c r="V400" s="22">
        <v>0.93500000000000005</v>
      </c>
      <c r="W400" s="8">
        <v>0.9375</v>
      </c>
      <c r="X400" s="22">
        <v>0.93500000000000005</v>
      </c>
      <c r="Y400" s="6" t="s">
        <v>5</v>
      </c>
      <c r="Z400" s="6" t="s">
        <v>5</v>
      </c>
      <c r="AA400" s="7">
        <v>1.33</v>
      </c>
      <c r="AB400" s="8">
        <v>1.625</v>
      </c>
      <c r="AC400" s="8" t="s">
        <v>5</v>
      </c>
      <c r="AD400" s="6" t="s">
        <v>5</v>
      </c>
      <c r="AE400" s="22">
        <v>0.93600000000000005</v>
      </c>
      <c r="AF400" s="6" t="s">
        <v>5</v>
      </c>
      <c r="AG400" s="6" t="s">
        <v>5</v>
      </c>
      <c r="AH400" s="22">
        <v>0.59399999999999997</v>
      </c>
      <c r="AI400" s="7">
        <v>4.43</v>
      </c>
      <c r="AJ400" s="6" t="s">
        <v>5</v>
      </c>
      <c r="AK400" s="6" t="s">
        <v>5</v>
      </c>
      <c r="AL400" s="6" t="s">
        <v>5</v>
      </c>
      <c r="AM400" s="6" t="s">
        <v>5</v>
      </c>
      <c r="AN400" s="7">
        <v>7.89</v>
      </c>
      <c r="AO400" s="4">
        <v>10.9</v>
      </c>
      <c r="AP400" s="7">
        <v>6.29</v>
      </c>
      <c r="AQ400" s="7">
        <v>3.05</v>
      </c>
      <c r="AR400" s="7">
        <v>1.05</v>
      </c>
      <c r="AS400" s="4">
        <v>44.3</v>
      </c>
      <c r="AT400" s="4">
        <v>16.3</v>
      </c>
      <c r="AU400" s="4">
        <v>10.7</v>
      </c>
      <c r="AV400" s="7">
        <v>2.12</v>
      </c>
      <c r="AW400" s="6" t="s">
        <v>5</v>
      </c>
      <c r="AX400" s="6" t="s">
        <v>5</v>
      </c>
      <c r="AY400" s="6" t="s">
        <v>5</v>
      </c>
      <c r="AZ400" s="7">
        <v>2.5099999999999998</v>
      </c>
      <c r="BA400" s="7">
        <v>3.56</v>
      </c>
      <c r="BB400" s="6" t="s">
        <v>5</v>
      </c>
      <c r="BC400" s="6" t="s">
        <v>5</v>
      </c>
      <c r="BD400" s="6" t="s">
        <v>5</v>
      </c>
      <c r="BE400" s="6" t="s">
        <v>5</v>
      </c>
      <c r="BF400" s="6" t="s">
        <v>5</v>
      </c>
      <c r="BG400" s="6" t="s">
        <v>5</v>
      </c>
      <c r="BH400" s="6" t="s">
        <v>5</v>
      </c>
      <c r="BI400" s="7">
        <v>2.41</v>
      </c>
      <c r="BJ400" s="22">
        <v>0.96199999999999997</v>
      </c>
      <c r="BK400" s="6" t="s">
        <v>5</v>
      </c>
      <c r="BL400" s="2" t="s">
        <v>5</v>
      </c>
      <c r="BM400" s="2" t="s">
        <v>5</v>
      </c>
      <c r="BN400" s="2" t="s">
        <v>5</v>
      </c>
      <c r="BO400" s="2" t="s">
        <v>5</v>
      </c>
      <c r="BP400" s="2" t="s">
        <v>5</v>
      </c>
      <c r="BQ400" s="2" t="s">
        <v>5</v>
      </c>
      <c r="BR400" s="2" t="s">
        <v>5</v>
      </c>
      <c r="BS400" s="2" t="s">
        <v>5</v>
      </c>
      <c r="BT400" s="2" t="s">
        <v>5</v>
      </c>
      <c r="BU400" s="2" t="s">
        <v>5</v>
      </c>
      <c r="BV400" s="2" t="s">
        <v>5</v>
      </c>
      <c r="BW400" s="2" t="s">
        <v>5</v>
      </c>
      <c r="BX400" s="2" t="s">
        <v>5</v>
      </c>
      <c r="BY400" s="25" t="s">
        <v>5</v>
      </c>
      <c r="BZ400" s="25" t="s">
        <v>5</v>
      </c>
      <c r="CA400" s="4">
        <v>16.8</v>
      </c>
      <c r="CB400" s="6" t="s">
        <v>5</v>
      </c>
      <c r="CC400" s="4">
        <v>25</v>
      </c>
      <c r="CD400" s="4">
        <v>17.3</v>
      </c>
      <c r="CE400" s="4">
        <v>25.6</v>
      </c>
      <c r="CF400" s="16" t="s">
        <v>5</v>
      </c>
      <c r="CG400" s="5">
        <v>5.5</v>
      </c>
      <c r="CH400" s="18" t="s">
        <v>5</v>
      </c>
    </row>
    <row r="401" spans="2:86">
      <c r="B401" s="78" t="s">
        <v>145</v>
      </c>
      <c r="C401" s="79" t="s">
        <v>407</v>
      </c>
      <c r="D401" s="80" t="s">
        <v>407</v>
      </c>
      <c r="E401" s="1" t="s">
        <v>4</v>
      </c>
      <c r="F401" s="4">
        <v>29</v>
      </c>
      <c r="G401" s="7">
        <v>8.5399999999999991</v>
      </c>
      <c r="H401" s="3" t="str">
        <f t="shared" si="25"/>
        <v>WT4X29</v>
      </c>
      <c r="I401" s="7">
        <v>4.38</v>
      </c>
      <c r="J401" s="5">
        <v>4.375</v>
      </c>
      <c r="K401" s="6" t="s">
        <v>5</v>
      </c>
      <c r="L401" s="6" t="s">
        <v>5</v>
      </c>
      <c r="M401" s="6" t="s">
        <v>5</v>
      </c>
      <c r="N401" s="7">
        <v>8.2200000000000006</v>
      </c>
      <c r="O401" s="5">
        <v>8.25</v>
      </c>
      <c r="P401" s="5" t="s">
        <v>5</v>
      </c>
      <c r="Q401" s="6" t="s">
        <v>5</v>
      </c>
      <c r="R401" s="6" t="s">
        <v>5</v>
      </c>
      <c r="S401" s="22">
        <v>0.51</v>
      </c>
      <c r="T401" s="5">
        <v>0.5</v>
      </c>
      <c r="U401" s="8">
        <v>0.25</v>
      </c>
      <c r="V401" s="22">
        <v>0.81</v>
      </c>
      <c r="W401" s="8">
        <v>0.8125</v>
      </c>
      <c r="X401" s="22">
        <v>0.81</v>
      </c>
      <c r="Y401" s="6" t="s">
        <v>5</v>
      </c>
      <c r="Z401" s="6" t="s">
        <v>5</v>
      </c>
      <c r="AA401" s="7">
        <v>1.2</v>
      </c>
      <c r="AB401" s="8">
        <v>1.5</v>
      </c>
      <c r="AC401" s="8" t="s">
        <v>5</v>
      </c>
      <c r="AD401" s="6" t="s">
        <v>5</v>
      </c>
      <c r="AE401" s="22">
        <v>0.874</v>
      </c>
      <c r="AF401" s="6" t="s">
        <v>5</v>
      </c>
      <c r="AG401" s="6" t="s">
        <v>5</v>
      </c>
      <c r="AH401" s="22">
        <v>0.52</v>
      </c>
      <c r="AI401" s="7">
        <v>5.07</v>
      </c>
      <c r="AJ401" s="6" t="s">
        <v>5</v>
      </c>
      <c r="AK401" s="6" t="s">
        <v>5</v>
      </c>
      <c r="AL401" s="6" t="s">
        <v>5</v>
      </c>
      <c r="AM401" s="6" t="s">
        <v>5</v>
      </c>
      <c r="AN401" s="7">
        <v>8.59</v>
      </c>
      <c r="AO401" s="7">
        <v>9.1199999999999992</v>
      </c>
      <c r="AP401" s="7">
        <v>5.25</v>
      </c>
      <c r="AQ401" s="7">
        <v>2.61</v>
      </c>
      <c r="AR401" s="7">
        <v>1.03</v>
      </c>
      <c r="AS401" s="4">
        <v>37.5</v>
      </c>
      <c r="AT401" s="4">
        <v>13.9</v>
      </c>
      <c r="AU401" s="7">
        <v>9.1300000000000008</v>
      </c>
      <c r="AV401" s="7">
        <v>2.1</v>
      </c>
      <c r="AW401" s="6" t="s">
        <v>5</v>
      </c>
      <c r="AX401" s="6" t="s">
        <v>5</v>
      </c>
      <c r="AY401" s="6" t="s">
        <v>5</v>
      </c>
      <c r="AZ401" s="7">
        <v>1.66</v>
      </c>
      <c r="BA401" s="7">
        <v>2.2799999999999998</v>
      </c>
      <c r="BB401" s="6" t="s">
        <v>5</v>
      </c>
      <c r="BC401" s="6" t="s">
        <v>5</v>
      </c>
      <c r="BD401" s="6" t="s">
        <v>5</v>
      </c>
      <c r="BE401" s="6" t="s">
        <v>5</v>
      </c>
      <c r="BF401" s="6" t="s">
        <v>5</v>
      </c>
      <c r="BG401" s="6" t="s">
        <v>5</v>
      </c>
      <c r="BH401" s="6" t="s">
        <v>5</v>
      </c>
      <c r="BI401" s="7">
        <v>2.38</v>
      </c>
      <c r="BJ401" s="22">
        <v>0.96099999999999997</v>
      </c>
      <c r="BK401" s="6" t="s">
        <v>5</v>
      </c>
      <c r="BL401" s="2" t="s">
        <v>5</v>
      </c>
      <c r="BM401" s="2" t="s">
        <v>5</v>
      </c>
      <c r="BN401" s="2" t="s">
        <v>5</v>
      </c>
      <c r="BO401" s="2" t="s">
        <v>5</v>
      </c>
      <c r="BP401" s="2" t="s">
        <v>5</v>
      </c>
      <c r="BQ401" s="2" t="s">
        <v>5</v>
      </c>
      <c r="BR401" s="2" t="s">
        <v>5</v>
      </c>
      <c r="BS401" s="2" t="s">
        <v>5</v>
      </c>
      <c r="BT401" s="2" t="s">
        <v>5</v>
      </c>
      <c r="BU401" s="2" t="s">
        <v>5</v>
      </c>
      <c r="BV401" s="2" t="s">
        <v>5</v>
      </c>
      <c r="BW401" s="2" t="s">
        <v>5</v>
      </c>
      <c r="BX401" s="2" t="s">
        <v>5</v>
      </c>
      <c r="BY401" s="25" t="s">
        <v>5</v>
      </c>
      <c r="BZ401" s="25" t="s">
        <v>5</v>
      </c>
      <c r="CA401" s="4">
        <v>16.5</v>
      </c>
      <c r="CB401" s="6" t="s">
        <v>5</v>
      </c>
      <c r="CC401" s="4">
        <v>24.7</v>
      </c>
      <c r="CD401" s="4">
        <v>17</v>
      </c>
      <c r="CE401" s="6">
        <v>25.2</v>
      </c>
      <c r="CF401" s="16" t="s">
        <v>5</v>
      </c>
      <c r="CG401" s="5">
        <v>5.5</v>
      </c>
      <c r="CH401" s="18" t="s">
        <v>5</v>
      </c>
    </row>
    <row r="402" spans="2:86">
      <c r="B402" s="78" t="s">
        <v>145</v>
      </c>
      <c r="C402" s="79" t="s">
        <v>408</v>
      </c>
      <c r="D402" s="80" t="s">
        <v>408</v>
      </c>
      <c r="E402" s="1" t="s">
        <v>4</v>
      </c>
      <c r="F402" s="4">
        <v>24</v>
      </c>
      <c r="G402" s="7">
        <v>7.05</v>
      </c>
      <c r="H402" s="3" t="str">
        <f t="shared" si="25"/>
        <v>WT4X24</v>
      </c>
      <c r="I402" s="7">
        <v>4.25</v>
      </c>
      <c r="J402" s="5">
        <v>4.25</v>
      </c>
      <c r="K402" s="6" t="s">
        <v>5</v>
      </c>
      <c r="L402" s="6" t="s">
        <v>5</v>
      </c>
      <c r="M402" s="6" t="s">
        <v>5</v>
      </c>
      <c r="N402" s="7">
        <v>8.11</v>
      </c>
      <c r="O402" s="5">
        <v>8.125</v>
      </c>
      <c r="P402" s="5" t="s">
        <v>5</v>
      </c>
      <c r="Q402" s="6" t="s">
        <v>5</v>
      </c>
      <c r="R402" s="6" t="s">
        <v>5</v>
      </c>
      <c r="S402" s="22">
        <v>0.4</v>
      </c>
      <c r="T402" s="5">
        <v>0.375</v>
      </c>
      <c r="U402" s="8">
        <v>0.1875</v>
      </c>
      <c r="V402" s="22">
        <v>0.68500000000000005</v>
      </c>
      <c r="W402" s="8">
        <v>0.6875</v>
      </c>
      <c r="X402" s="22">
        <v>0.68500000000000005</v>
      </c>
      <c r="Y402" s="6" t="s">
        <v>5</v>
      </c>
      <c r="Z402" s="6" t="s">
        <v>5</v>
      </c>
      <c r="AA402" s="7">
        <v>1.08</v>
      </c>
      <c r="AB402" s="8">
        <v>1.375</v>
      </c>
      <c r="AC402" s="8" t="s">
        <v>5</v>
      </c>
      <c r="AD402" s="6" t="s">
        <v>5</v>
      </c>
      <c r="AE402" s="22">
        <v>0.77700000000000002</v>
      </c>
      <c r="AF402" s="6" t="s">
        <v>5</v>
      </c>
      <c r="AG402" s="6" t="s">
        <v>5</v>
      </c>
      <c r="AH402" s="22">
        <v>0.435</v>
      </c>
      <c r="AI402" s="7">
        <v>5.92</v>
      </c>
      <c r="AJ402" s="6" t="s">
        <v>5</v>
      </c>
      <c r="AK402" s="6" t="s">
        <v>5</v>
      </c>
      <c r="AL402" s="6" t="s">
        <v>5</v>
      </c>
      <c r="AM402" s="6" t="s">
        <v>5</v>
      </c>
      <c r="AN402" s="4">
        <v>10.6</v>
      </c>
      <c r="AO402" s="7">
        <v>6.85</v>
      </c>
      <c r="AP402" s="7">
        <v>3.94</v>
      </c>
      <c r="AQ402" s="7">
        <v>1.97</v>
      </c>
      <c r="AR402" s="22">
        <v>0.98599999999999999</v>
      </c>
      <c r="AS402" s="4">
        <v>30.5</v>
      </c>
      <c r="AT402" s="4">
        <v>11.4</v>
      </c>
      <c r="AU402" s="7">
        <v>7.51</v>
      </c>
      <c r="AV402" s="7">
        <v>2.08</v>
      </c>
      <c r="AW402" s="6" t="s">
        <v>5</v>
      </c>
      <c r="AX402" s="6" t="s">
        <v>5</v>
      </c>
      <c r="AY402" s="6" t="s">
        <v>5</v>
      </c>
      <c r="AZ402" s="22">
        <v>0.97699999999999998</v>
      </c>
      <c r="BA402" s="7">
        <v>1.3</v>
      </c>
      <c r="BB402" s="6" t="s">
        <v>5</v>
      </c>
      <c r="BC402" s="6" t="s">
        <v>5</v>
      </c>
      <c r="BD402" s="6" t="s">
        <v>5</v>
      </c>
      <c r="BE402" s="6" t="s">
        <v>5</v>
      </c>
      <c r="BF402" s="6" t="s">
        <v>5</v>
      </c>
      <c r="BG402" s="6" t="s">
        <v>5</v>
      </c>
      <c r="BH402" s="6" t="s">
        <v>5</v>
      </c>
      <c r="BI402" s="7">
        <v>2.34</v>
      </c>
      <c r="BJ402" s="22">
        <v>0.96599999999999997</v>
      </c>
      <c r="BK402" s="6" t="s">
        <v>5</v>
      </c>
      <c r="BL402" s="2" t="s">
        <v>5</v>
      </c>
      <c r="BM402" s="2" t="s">
        <v>5</v>
      </c>
      <c r="BN402" s="2" t="s">
        <v>5</v>
      </c>
      <c r="BO402" s="2" t="s">
        <v>5</v>
      </c>
      <c r="BP402" s="2" t="s">
        <v>5</v>
      </c>
      <c r="BQ402" s="2" t="s">
        <v>5</v>
      </c>
      <c r="BR402" s="2" t="s">
        <v>5</v>
      </c>
      <c r="BS402" s="2" t="s">
        <v>5</v>
      </c>
      <c r="BT402" s="2" t="s">
        <v>5</v>
      </c>
      <c r="BU402" s="2" t="s">
        <v>5</v>
      </c>
      <c r="BV402" s="2" t="s">
        <v>5</v>
      </c>
      <c r="BW402" s="2" t="s">
        <v>5</v>
      </c>
      <c r="BX402" s="2" t="s">
        <v>5</v>
      </c>
      <c r="BY402" s="25" t="s">
        <v>5</v>
      </c>
      <c r="BZ402" s="25" t="s">
        <v>5</v>
      </c>
      <c r="CA402" s="4">
        <v>16.100000000000001</v>
      </c>
      <c r="CB402" s="6" t="s">
        <v>5</v>
      </c>
      <c r="CC402" s="4">
        <v>24.2</v>
      </c>
      <c r="CD402" s="4">
        <v>16.600000000000001</v>
      </c>
      <c r="CE402" s="4">
        <v>24.7</v>
      </c>
      <c r="CF402" s="16" t="s">
        <v>5</v>
      </c>
      <c r="CG402" s="5">
        <v>5.5</v>
      </c>
      <c r="CH402" s="18" t="s">
        <v>5</v>
      </c>
    </row>
    <row r="403" spans="2:86">
      <c r="B403" s="78" t="s">
        <v>145</v>
      </c>
      <c r="C403" s="79" t="s">
        <v>409</v>
      </c>
      <c r="D403" s="80" t="s">
        <v>409</v>
      </c>
      <c r="E403" s="1" t="s">
        <v>4</v>
      </c>
      <c r="F403" s="4">
        <v>20</v>
      </c>
      <c r="G403" s="7">
        <v>5.87</v>
      </c>
      <c r="H403" s="3" t="str">
        <f t="shared" si="25"/>
        <v>WT4X20</v>
      </c>
      <c r="I403" s="7">
        <v>4.13</v>
      </c>
      <c r="J403" s="5">
        <v>4.125</v>
      </c>
      <c r="K403" s="6" t="s">
        <v>5</v>
      </c>
      <c r="L403" s="6" t="s">
        <v>5</v>
      </c>
      <c r="M403" s="6" t="s">
        <v>5</v>
      </c>
      <c r="N403" s="7">
        <v>8.07</v>
      </c>
      <c r="O403" s="5">
        <v>8.125</v>
      </c>
      <c r="P403" s="5" t="s">
        <v>5</v>
      </c>
      <c r="Q403" s="6" t="s">
        <v>5</v>
      </c>
      <c r="R403" s="6" t="s">
        <v>5</v>
      </c>
      <c r="S403" s="22">
        <v>0.36</v>
      </c>
      <c r="T403" s="5">
        <v>0.375</v>
      </c>
      <c r="U403" s="8">
        <v>0.1875</v>
      </c>
      <c r="V403" s="22">
        <v>0.56000000000000005</v>
      </c>
      <c r="W403" s="8">
        <v>0.5625</v>
      </c>
      <c r="X403" s="22">
        <v>0.56000000000000005</v>
      </c>
      <c r="Y403" s="6" t="s">
        <v>5</v>
      </c>
      <c r="Z403" s="6" t="s">
        <v>5</v>
      </c>
      <c r="AA403" s="22">
        <v>0.95399999999999996</v>
      </c>
      <c r="AB403" s="8">
        <v>1.25</v>
      </c>
      <c r="AC403" s="8" t="s">
        <v>5</v>
      </c>
      <c r="AD403" s="6" t="s">
        <v>5</v>
      </c>
      <c r="AE403" s="22">
        <v>0.73499999999999999</v>
      </c>
      <c r="AF403" s="6" t="s">
        <v>5</v>
      </c>
      <c r="AG403" s="6" t="s">
        <v>5</v>
      </c>
      <c r="AH403" s="22">
        <v>0.36399999999999999</v>
      </c>
      <c r="AI403" s="7">
        <v>7.21</v>
      </c>
      <c r="AJ403" s="6" t="s">
        <v>5</v>
      </c>
      <c r="AK403" s="6" t="s">
        <v>5</v>
      </c>
      <c r="AL403" s="6" t="s">
        <v>5</v>
      </c>
      <c r="AM403" s="6" t="s">
        <v>5</v>
      </c>
      <c r="AN403" s="4">
        <v>11.5</v>
      </c>
      <c r="AO403" s="7">
        <v>5.73</v>
      </c>
      <c r="AP403" s="7">
        <v>3.25</v>
      </c>
      <c r="AQ403" s="7">
        <v>1.69</v>
      </c>
      <c r="AR403" s="22">
        <v>0.98799999999999999</v>
      </c>
      <c r="AS403" s="4">
        <v>24.5</v>
      </c>
      <c r="AT403" s="7">
        <v>9.24</v>
      </c>
      <c r="AU403" s="7">
        <v>6.08</v>
      </c>
      <c r="AV403" s="7">
        <v>2.04</v>
      </c>
      <c r="AW403" s="6" t="s">
        <v>5</v>
      </c>
      <c r="AX403" s="6" t="s">
        <v>5</v>
      </c>
      <c r="AY403" s="6" t="s">
        <v>5</v>
      </c>
      <c r="AZ403" s="22">
        <v>0.55800000000000005</v>
      </c>
      <c r="BA403" s="22">
        <v>0.71499999999999997</v>
      </c>
      <c r="BB403" s="6" t="s">
        <v>5</v>
      </c>
      <c r="BC403" s="6" t="s">
        <v>5</v>
      </c>
      <c r="BD403" s="6" t="s">
        <v>5</v>
      </c>
      <c r="BE403" s="6" t="s">
        <v>5</v>
      </c>
      <c r="BF403" s="6" t="s">
        <v>5</v>
      </c>
      <c r="BG403" s="6" t="s">
        <v>5</v>
      </c>
      <c r="BH403" s="6" t="s">
        <v>5</v>
      </c>
      <c r="BI403" s="7">
        <v>2.3199999999999998</v>
      </c>
      <c r="BJ403" s="22">
        <v>0.96099999999999997</v>
      </c>
      <c r="BK403" s="6" t="s">
        <v>5</v>
      </c>
      <c r="BL403" s="2" t="s">
        <v>5</v>
      </c>
      <c r="BM403" s="2" t="s">
        <v>5</v>
      </c>
      <c r="BN403" s="2" t="s">
        <v>5</v>
      </c>
      <c r="BO403" s="2" t="s">
        <v>5</v>
      </c>
      <c r="BP403" s="2" t="s">
        <v>5</v>
      </c>
      <c r="BQ403" s="2" t="s">
        <v>5</v>
      </c>
      <c r="BR403" s="2" t="s">
        <v>5</v>
      </c>
      <c r="BS403" s="2" t="s">
        <v>5</v>
      </c>
      <c r="BT403" s="2" t="s">
        <v>5</v>
      </c>
      <c r="BU403" s="2" t="s">
        <v>5</v>
      </c>
      <c r="BV403" s="2" t="s">
        <v>5</v>
      </c>
      <c r="BW403" s="2" t="s">
        <v>5</v>
      </c>
      <c r="BX403" s="2" t="s">
        <v>5</v>
      </c>
      <c r="BY403" s="25" t="s">
        <v>5</v>
      </c>
      <c r="BZ403" s="25" t="s">
        <v>5</v>
      </c>
      <c r="CA403" s="4">
        <v>15.8</v>
      </c>
      <c r="CB403" s="6" t="s">
        <v>5</v>
      </c>
      <c r="CC403" s="4">
        <v>23.9</v>
      </c>
      <c r="CD403" s="4">
        <v>16.3</v>
      </c>
      <c r="CE403" s="6">
        <v>24.4</v>
      </c>
      <c r="CF403" s="16" t="s">
        <v>5</v>
      </c>
      <c r="CG403" s="5">
        <v>5.5</v>
      </c>
      <c r="CH403" s="18" t="s">
        <v>5</v>
      </c>
    </row>
    <row r="404" spans="2:86">
      <c r="B404" s="78" t="s">
        <v>145</v>
      </c>
      <c r="C404" s="79" t="s">
        <v>410</v>
      </c>
      <c r="D404" s="80" t="s">
        <v>410</v>
      </c>
      <c r="E404" s="1" t="s">
        <v>4</v>
      </c>
      <c r="F404" s="4">
        <v>17.5</v>
      </c>
      <c r="G404" s="7">
        <v>5.14</v>
      </c>
      <c r="H404" s="3" t="str">
        <f t="shared" si="25"/>
        <v>WT4X17.5</v>
      </c>
      <c r="I404" s="7">
        <v>4.0599999999999996</v>
      </c>
      <c r="J404" s="5">
        <v>4</v>
      </c>
      <c r="K404" s="6" t="s">
        <v>5</v>
      </c>
      <c r="L404" s="6" t="s">
        <v>5</v>
      </c>
      <c r="M404" s="6" t="s">
        <v>5</v>
      </c>
      <c r="N404" s="7">
        <v>8.02</v>
      </c>
      <c r="O404" s="5">
        <v>8</v>
      </c>
      <c r="P404" s="5" t="s">
        <v>5</v>
      </c>
      <c r="Q404" s="6" t="s">
        <v>5</v>
      </c>
      <c r="R404" s="6" t="s">
        <v>5</v>
      </c>
      <c r="S404" s="22">
        <v>0.31</v>
      </c>
      <c r="T404" s="5">
        <v>0.3125</v>
      </c>
      <c r="U404" s="8">
        <v>0.1875</v>
      </c>
      <c r="V404" s="22">
        <v>0.495</v>
      </c>
      <c r="W404" s="8">
        <v>0.5</v>
      </c>
      <c r="X404" s="22">
        <v>0.495</v>
      </c>
      <c r="Y404" s="6" t="s">
        <v>5</v>
      </c>
      <c r="Z404" s="6" t="s">
        <v>5</v>
      </c>
      <c r="AA404" s="22">
        <v>0.88900000000000001</v>
      </c>
      <c r="AB404" s="8">
        <v>1.1875</v>
      </c>
      <c r="AC404" s="8" t="s">
        <v>5</v>
      </c>
      <c r="AD404" s="6" t="s">
        <v>5</v>
      </c>
      <c r="AE404" s="22">
        <v>0.68799999999999994</v>
      </c>
      <c r="AF404" s="6" t="s">
        <v>5</v>
      </c>
      <c r="AG404" s="6" t="s">
        <v>5</v>
      </c>
      <c r="AH404" s="22">
        <v>0.32100000000000001</v>
      </c>
      <c r="AI404" s="7">
        <v>8.1</v>
      </c>
      <c r="AJ404" s="6" t="s">
        <v>5</v>
      </c>
      <c r="AK404" s="6" t="s">
        <v>5</v>
      </c>
      <c r="AL404" s="6" t="s">
        <v>5</v>
      </c>
      <c r="AM404" s="6" t="s">
        <v>5</v>
      </c>
      <c r="AN404" s="4">
        <v>13.1</v>
      </c>
      <c r="AO404" s="7">
        <v>4.82</v>
      </c>
      <c r="AP404" s="7">
        <v>2.71</v>
      </c>
      <c r="AQ404" s="7">
        <v>1.43</v>
      </c>
      <c r="AR404" s="22">
        <v>0.96799999999999997</v>
      </c>
      <c r="AS404" s="4">
        <v>21.3</v>
      </c>
      <c r="AT404" s="7">
        <v>8.0500000000000007</v>
      </c>
      <c r="AU404" s="7">
        <v>5.31</v>
      </c>
      <c r="AV404" s="7">
        <v>2.0299999999999998</v>
      </c>
      <c r="AW404" s="6" t="s">
        <v>5</v>
      </c>
      <c r="AX404" s="6" t="s">
        <v>5</v>
      </c>
      <c r="AY404" s="6" t="s">
        <v>5</v>
      </c>
      <c r="AZ404" s="22">
        <v>0.38400000000000001</v>
      </c>
      <c r="BA404" s="22">
        <v>0.48</v>
      </c>
      <c r="BB404" s="6" t="s">
        <v>5</v>
      </c>
      <c r="BC404" s="6" t="s">
        <v>5</v>
      </c>
      <c r="BD404" s="6" t="s">
        <v>5</v>
      </c>
      <c r="BE404" s="6" t="s">
        <v>5</v>
      </c>
      <c r="BF404" s="6" t="s">
        <v>5</v>
      </c>
      <c r="BG404" s="6" t="s">
        <v>5</v>
      </c>
      <c r="BH404" s="6" t="s">
        <v>5</v>
      </c>
      <c r="BI404" s="7">
        <v>2.2999999999999998</v>
      </c>
      <c r="BJ404" s="22">
        <v>0.96299999999999997</v>
      </c>
      <c r="BK404" s="6" t="s">
        <v>5</v>
      </c>
      <c r="BL404" s="2" t="s">
        <v>5</v>
      </c>
      <c r="BM404" s="2" t="s">
        <v>5</v>
      </c>
      <c r="BN404" s="2" t="s">
        <v>5</v>
      </c>
      <c r="BO404" s="2" t="s">
        <v>5</v>
      </c>
      <c r="BP404" s="2" t="s">
        <v>5</v>
      </c>
      <c r="BQ404" s="2" t="s">
        <v>5</v>
      </c>
      <c r="BR404" s="2" t="s">
        <v>5</v>
      </c>
      <c r="BS404" s="2" t="s">
        <v>5</v>
      </c>
      <c r="BT404" s="2" t="s">
        <v>5</v>
      </c>
      <c r="BU404" s="2" t="s">
        <v>5</v>
      </c>
      <c r="BV404" s="2" t="s">
        <v>5</v>
      </c>
      <c r="BW404" s="2" t="s">
        <v>5</v>
      </c>
      <c r="BX404" s="2" t="s">
        <v>5</v>
      </c>
      <c r="BY404" s="25" t="s">
        <v>5</v>
      </c>
      <c r="BZ404" s="25" t="s">
        <v>5</v>
      </c>
      <c r="CA404" s="4">
        <v>15.6</v>
      </c>
      <c r="CB404" s="6" t="s">
        <v>5</v>
      </c>
      <c r="CC404" s="4">
        <v>23.6</v>
      </c>
      <c r="CD404" s="4">
        <v>16.100000000000001</v>
      </c>
      <c r="CE404" s="4">
        <v>24.2</v>
      </c>
      <c r="CF404" s="16" t="s">
        <v>5</v>
      </c>
      <c r="CG404" s="5">
        <v>5.5</v>
      </c>
      <c r="CH404" s="18" t="s">
        <v>5</v>
      </c>
    </row>
    <row r="405" spans="2:86">
      <c r="B405" s="78" t="s">
        <v>145</v>
      </c>
      <c r="C405" s="79" t="s">
        <v>411</v>
      </c>
      <c r="D405" s="80" t="s">
        <v>411</v>
      </c>
      <c r="E405" s="1" t="s">
        <v>4</v>
      </c>
      <c r="F405" s="4">
        <v>15.5</v>
      </c>
      <c r="G405" s="7">
        <v>4.5599999999999996</v>
      </c>
      <c r="H405" s="3" t="str">
        <f t="shared" si="25"/>
        <v>WT4X15.5</v>
      </c>
      <c r="I405" s="7">
        <v>4</v>
      </c>
      <c r="J405" s="5">
        <v>4</v>
      </c>
      <c r="K405" s="6" t="s">
        <v>5</v>
      </c>
      <c r="L405" s="6" t="s">
        <v>5</v>
      </c>
      <c r="M405" s="6" t="s">
        <v>5</v>
      </c>
      <c r="N405" s="7">
        <v>8</v>
      </c>
      <c r="O405" s="5">
        <v>8</v>
      </c>
      <c r="P405" s="5" t="s">
        <v>5</v>
      </c>
      <c r="Q405" s="6" t="s">
        <v>5</v>
      </c>
      <c r="R405" s="6" t="s">
        <v>5</v>
      </c>
      <c r="S405" s="22">
        <v>0.28499999999999998</v>
      </c>
      <c r="T405" s="5">
        <v>0.3125</v>
      </c>
      <c r="U405" s="8">
        <v>0.1875</v>
      </c>
      <c r="V405" s="22">
        <v>0.435</v>
      </c>
      <c r="W405" s="8">
        <v>0.4375</v>
      </c>
      <c r="X405" s="22">
        <v>0.435</v>
      </c>
      <c r="Y405" s="6" t="s">
        <v>5</v>
      </c>
      <c r="Z405" s="6" t="s">
        <v>5</v>
      </c>
      <c r="AA405" s="22">
        <v>0.82899999999999996</v>
      </c>
      <c r="AB405" s="8">
        <v>1.125</v>
      </c>
      <c r="AC405" s="8" t="s">
        <v>5</v>
      </c>
      <c r="AD405" s="6" t="s">
        <v>5</v>
      </c>
      <c r="AE405" s="22">
        <v>0.66800000000000004</v>
      </c>
      <c r="AF405" s="6" t="s">
        <v>5</v>
      </c>
      <c r="AG405" s="6" t="s">
        <v>5</v>
      </c>
      <c r="AH405" s="22">
        <v>0.28499999999999998</v>
      </c>
      <c r="AI405" s="7">
        <v>9.19</v>
      </c>
      <c r="AJ405" s="6" t="s">
        <v>5</v>
      </c>
      <c r="AK405" s="6" t="s">
        <v>5</v>
      </c>
      <c r="AL405" s="6" t="s">
        <v>5</v>
      </c>
      <c r="AM405" s="6" t="s">
        <v>5</v>
      </c>
      <c r="AN405" s="4">
        <v>14</v>
      </c>
      <c r="AO405" s="7">
        <v>4.28</v>
      </c>
      <c r="AP405" s="7">
        <v>2.39</v>
      </c>
      <c r="AQ405" s="7">
        <v>1.28</v>
      </c>
      <c r="AR405" s="22">
        <v>0.96899999999999997</v>
      </c>
      <c r="AS405" s="4">
        <v>18.5</v>
      </c>
      <c r="AT405" s="7">
        <v>7.03</v>
      </c>
      <c r="AU405" s="7">
        <v>4.6399999999999997</v>
      </c>
      <c r="AV405" s="7">
        <v>2.02</v>
      </c>
      <c r="AW405" s="6" t="s">
        <v>5</v>
      </c>
      <c r="AX405" s="6" t="s">
        <v>5</v>
      </c>
      <c r="AY405" s="6" t="s">
        <v>5</v>
      </c>
      <c r="AZ405" s="22">
        <v>0.26700000000000002</v>
      </c>
      <c r="BA405" s="22">
        <v>0.32700000000000001</v>
      </c>
      <c r="BB405" s="6" t="s">
        <v>5</v>
      </c>
      <c r="BC405" s="6" t="s">
        <v>5</v>
      </c>
      <c r="BD405" s="6" t="s">
        <v>5</v>
      </c>
      <c r="BE405" s="6" t="s">
        <v>5</v>
      </c>
      <c r="BF405" s="6" t="s">
        <v>5</v>
      </c>
      <c r="BG405" s="6" t="s">
        <v>5</v>
      </c>
      <c r="BH405" s="6" t="s">
        <v>5</v>
      </c>
      <c r="BI405" s="7">
        <v>2.2799999999999998</v>
      </c>
      <c r="BJ405" s="22">
        <v>0.96099999999999997</v>
      </c>
      <c r="BK405" s="6" t="s">
        <v>5</v>
      </c>
      <c r="BL405" s="2" t="s">
        <v>5</v>
      </c>
      <c r="BM405" s="2" t="s">
        <v>5</v>
      </c>
      <c r="BN405" s="2" t="s">
        <v>5</v>
      </c>
      <c r="BO405" s="2" t="s">
        <v>5</v>
      </c>
      <c r="BP405" s="2" t="s">
        <v>5</v>
      </c>
      <c r="BQ405" s="2" t="s">
        <v>5</v>
      </c>
      <c r="BR405" s="2" t="s">
        <v>5</v>
      </c>
      <c r="BS405" s="2" t="s">
        <v>5</v>
      </c>
      <c r="BT405" s="2" t="s">
        <v>5</v>
      </c>
      <c r="BU405" s="2" t="s">
        <v>5</v>
      </c>
      <c r="BV405" s="2" t="s">
        <v>5</v>
      </c>
      <c r="BW405" s="2" t="s">
        <v>5</v>
      </c>
      <c r="BX405" s="2" t="s">
        <v>5</v>
      </c>
      <c r="BY405" s="25" t="s">
        <v>5</v>
      </c>
      <c r="BZ405" s="25" t="s">
        <v>5</v>
      </c>
      <c r="CA405" s="4">
        <v>15.5</v>
      </c>
      <c r="CB405" s="6" t="s">
        <v>5</v>
      </c>
      <c r="CC405" s="4">
        <v>23.5</v>
      </c>
      <c r="CD405" s="4">
        <v>16</v>
      </c>
      <c r="CE405" s="4">
        <v>24</v>
      </c>
      <c r="CF405" s="16" t="s">
        <v>5</v>
      </c>
      <c r="CG405" s="5">
        <v>5.5</v>
      </c>
      <c r="CH405" s="18" t="s">
        <v>5</v>
      </c>
    </row>
    <row r="406" spans="2:86">
      <c r="B406" s="78" t="s">
        <v>145</v>
      </c>
      <c r="C406" s="79" t="s">
        <v>412</v>
      </c>
      <c r="D406" s="80" t="s">
        <v>412</v>
      </c>
      <c r="E406" s="1" t="s">
        <v>4</v>
      </c>
      <c r="F406" s="4">
        <v>14</v>
      </c>
      <c r="G406" s="7">
        <v>4.12</v>
      </c>
      <c r="H406" s="3" t="str">
        <f t="shared" si="25"/>
        <v>WT4X14</v>
      </c>
      <c r="I406" s="7">
        <v>4.03</v>
      </c>
      <c r="J406" s="5">
        <v>4</v>
      </c>
      <c r="K406" s="6" t="s">
        <v>5</v>
      </c>
      <c r="L406" s="6" t="s">
        <v>5</v>
      </c>
      <c r="M406" s="6" t="s">
        <v>5</v>
      </c>
      <c r="N406" s="7">
        <v>6.54</v>
      </c>
      <c r="O406" s="5">
        <v>6.5</v>
      </c>
      <c r="P406" s="5" t="s">
        <v>5</v>
      </c>
      <c r="Q406" s="6" t="s">
        <v>5</v>
      </c>
      <c r="R406" s="6" t="s">
        <v>5</v>
      </c>
      <c r="S406" s="22">
        <v>0.28499999999999998</v>
      </c>
      <c r="T406" s="5">
        <v>0.3125</v>
      </c>
      <c r="U406" s="8">
        <v>0.1875</v>
      </c>
      <c r="V406" s="22">
        <v>0.46500000000000002</v>
      </c>
      <c r="W406" s="8">
        <v>0.4375</v>
      </c>
      <c r="X406" s="22">
        <v>0.46500000000000002</v>
      </c>
      <c r="Y406" s="6" t="s">
        <v>5</v>
      </c>
      <c r="Z406" s="6" t="s">
        <v>5</v>
      </c>
      <c r="AA406" s="22">
        <v>0.85899999999999999</v>
      </c>
      <c r="AB406" s="8">
        <v>0.9375</v>
      </c>
      <c r="AC406" s="8" t="s">
        <v>5</v>
      </c>
      <c r="AD406" s="6" t="s">
        <v>5</v>
      </c>
      <c r="AE406" s="22">
        <v>0.73399999999999999</v>
      </c>
      <c r="AF406" s="6" t="s">
        <v>5</v>
      </c>
      <c r="AG406" s="6" t="s">
        <v>5</v>
      </c>
      <c r="AH406" s="22">
        <v>0.315</v>
      </c>
      <c r="AI406" s="7">
        <v>7.03</v>
      </c>
      <c r="AJ406" s="6" t="s">
        <v>5</v>
      </c>
      <c r="AK406" s="6" t="s">
        <v>5</v>
      </c>
      <c r="AL406" s="6" t="s">
        <v>5</v>
      </c>
      <c r="AM406" s="6" t="s">
        <v>5</v>
      </c>
      <c r="AN406" s="4">
        <v>14.1</v>
      </c>
      <c r="AO406" s="7">
        <v>4.2300000000000004</v>
      </c>
      <c r="AP406" s="7">
        <v>2.38</v>
      </c>
      <c r="AQ406" s="7">
        <v>1.28</v>
      </c>
      <c r="AR406" s="7">
        <v>1.01</v>
      </c>
      <c r="AS406" s="4">
        <v>10.8</v>
      </c>
      <c r="AT406" s="7">
        <v>5.04</v>
      </c>
      <c r="AU406" s="7">
        <v>3.31</v>
      </c>
      <c r="AV406" s="7">
        <v>1.62</v>
      </c>
      <c r="AW406" s="6" t="s">
        <v>5</v>
      </c>
      <c r="AX406" s="6" t="s">
        <v>5</v>
      </c>
      <c r="AY406" s="6" t="s">
        <v>5</v>
      </c>
      <c r="AZ406" s="22">
        <v>0.26800000000000002</v>
      </c>
      <c r="BA406" s="22">
        <v>0.23</v>
      </c>
      <c r="BB406" s="6" t="s">
        <v>5</v>
      </c>
      <c r="BC406" s="6" t="s">
        <v>5</v>
      </c>
      <c r="BD406" s="6" t="s">
        <v>5</v>
      </c>
      <c r="BE406" s="6" t="s">
        <v>5</v>
      </c>
      <c r="BF406" s="6" t="s">
        <v>5</v>
      </c>
      <c r="BG406" s="6" t="s">
        <v>5</v>
      </c>
      <c r="BH406" s="6" t="s">
        <v>5</v>
      </c>
      <c r="BI406" s="7">
        <v>1.98</v>
      </c>
      <c r="BJ406" s="22">
        <v>0.93500000000000005</v>
      </c>
      <c r="BK406" s="6" t="s">
        <v>5</v>
      </c>
      <c r="BL406" s="2" t="s">
        <v>5</v>
      </c>
      <c r="BM406" s="2" t="s">
        <v>5</v>
      </c>
      <c r="BN406" s="2" t="s">
        <v>5</v>
      </c>
      <c r="BO406" s="2" t="s">
        <v>5</v>
      </c>
      <c r="BP406" s="2" t="s">
        <v>5</v>
      </c>
      <c r="BQ406" s="2" t="s">
        <v>5</v>
      </c>
      <c r="BR406" s="2" t="s">
        <v>5</v>
      </c>
      <c r="BS406" s="2" t="s">
        <v>5</v>
      </c>
      <c r="BT406" s="2" t="s">
        <v>5</v>
      </c>
      <c r="BU406" s="2" t="s">
        <v>5</v>
      </c>
      <c r="BV406" s="2" t="s">
        <v>5</v>
      </c>
      <c r="BW406" s="2" t="s">
        <v>5</v>
      </c>
      <c r="BX406" s="2" t="s">
        <v>5</v>
      </c>
      <c r="BY406" s="25" t="s">
        <v>5</v>
      </c>
      <c r="BZ406" s="25" t="s">
        <v>5</v>
      </c>
      <c r="CA406" s="4">
        <v>14.2</v>
      </c>
      <c r="CB406" s="6" t="s">
        <v>5</v>
      </c>
      <c r="CC406" s="4">
        <v>20.8</v>
      </c>
      <c r="CD406" s="4">
        <v>14.600000000000001</v>
      </c>
      <c r="CE406" s="4">
        <v>21.1</v>
      </c>
      <c r="CF406" s="16" t="s">
        <v>5</v>
      </c>
      <c r="CG406" s="5">
        <v>4</v>
      </c>
      <c r="CH406" s="18" t="s">
        <v>5</v>
      </c>
    </row>
    <row r="407" spans="2:86">
      <c r="B407" s="78" t="s">
        <v>145</v>
      </c>
      <c r="C407" s="79" t="s">
        <v>413</v>
      </c>
      <c r="D407" s="80" t="s">
        <v>413</v>
      </c>
      <c r="E407" s="1" t="s">
        <v>4</v>
      </c>
      <c r="F407" s="4">
        <v>12</v>
      </c>
      <c r="G407" s="7">
        <v>3.54</v>
      </c>
      <c r="H407" s="3" t="str">
        <f t="shared" si="25"/>
        <v>WT4X12</v>
      </c>
      <c r="I407" s="7">
        <v>3.97</v>
      </c>
      <c r="J407" s="5">
        <v>4</v>
      </c>
      <c r="K407" s="6" t="s">
        <v>5</v>
      </c>
      <c r="L407" s="6" t="s">
        <v>5</v>
      </c>
      <c r="M407" s="6" t="s">
        <v>5</v>
      </c>
      <c r="N407" s="7">
        <v>6.5</v>
      </c>
      <c r="O407" s="5">
        <v>6.5</v>
      </c>
      <c r="P407" s="5" t="s">
        <v>5</v>
      </c>
      <c r="Q407" s="6" t="s">
        <v>5</v>
      </c>
      <c r="R407" s="6" t="s">
        <v>5</v>
      </c>
      <c r="S407" s="22">
        <v>0.245</v>
      </c>
      <c r="T407" s="5">
        <v>0.25</v>
      </c>
      <c r="U407" s="8">
        <v>0.125</v>
      </c>
      <c r="V407" s="22">
        <v>0.4</v>
      </c>
      <c r="W407" s="8">
        <v>0.375</v>
      </c>
      <c r="X407" s="22">
        <v>0.4</v>
      </c>
      <c r="Y407" s="6" t="s">
        <v>5</v>
      </c>
      <c r="Z407" s="6" t="s">
        <v>5</v>
      </c>
      <c r="AA407" s="22">
        <v>0.79400000000000004</v>
      </c>
      <c r="AB407" s="8">
        <v>0.875</v>
      </c>
      <c r="AC407" s="8" t="s">
        <v>5</v>
      </c>
      <c r="AD407" s="6" t="s">
        <v>5</v>
      </c>
      <c r="AE407" s="22">
        <v>0.69499999999999995</v>
      </c>
      <c r="AF407" s="6" t="s">
        <v>5</v>
      </c>
      <c r="AG407" s="6" t="s">
        <v>5</v>
      </c>
      <c r="AH407" s="22">
        <v>0.27200000000000002</v>
      </c>
      <c r="AI407" s="7">
        <v>8.1199999999999992</v>
      </c>
      <c r="AJ407" s="6" t="s">
        <v>5</v>
      </c>
      <c r="AK407" s="6" t="s">
        <v>5</v>
      </c>
      <c r="AL407" s="6" t="s">
        <v>5</v>
      </c>
      <c r="AM407" s="6" t="s">
        <v>5</v>
      </c>
      <c r="AN407" s="4">
        <v>16.2</v>
      </c>
      <c r="AO407" s="7">
        <v>3.53</v>
      </c>
      <c r="AP407" s="7">
        <v>1.98</v>
      </c>
      <c r="AQ407" s="7">
        <v>1.08</v>
      </c>
      <c r="AR407" s="22">
        <v>0.999</v>
      </c>
      <c r="AS407" s="7">
        <v>9.14</v>
      </c>
      <c r="AT407" s="7">
        <v>4.28</v>
      </c>
      <c r="AU407" s="7">
        <v>2.81</v>
      </c>
      <c r="AV407" s="7">
        <v>1.61</v>
      </c>
      <c r="AW407" s="6" t="s">
        <v>5</v>
      </c>
      <c r="AX407" s="6" t="s">
        <v>5</v>
      </c>
      <c r="AY407" s="6" t="s">
        <v>5</v>
      </c>
      <c r="AZ407" s="22">
        <v>0.17299999999999999</v>
      </c>
      <c r="BA407" s="22">
        <v>0.14399999999999999</v>
      </c>
      <c r="BB407" s="6" t="s">
        <v>5</v>
      </c>
      <c r="BC407" s="6" t="s">
        <v>5</v>
      </c>
      <c r="BD407" s="6" t="s">
        <v>5</v>
      </c>
      <c r="BE407" s="6" t="s">
        <v>5</v>
      </c>
      <c r="BF407" s="6" t="s">
        <v>5</v>
      </c>
      <c r="BG407" s="6" t="s">
        <v>5</v>
      </c>
      <c r="BH407" s="6" t="s">
        <v>5</v>
      </c>
      <c r="BI407" s="7">
        <v>1.96</v>
      </c>
      <c r="BJ407" s="22">
        <v>0.93600000000000005</v>
      </c>
      <c r="BK407" s="6" t="s">
        <v>5</v>
      </c>
      <c r="BL407" s="2" t="s">
        <v>5</v>
      </c>
      <c r="BM407" s="2" t="s">
        <v>5</v>
      </c>
      <c r="BN407" s="2" t="s">
        <v>5</v>
      </c>
      <c r="BO407" s="2" t="s">
        <v>5</v>
      </c>
      <c r="BP407" s="2" t="s">
        <v>5</v>
      </c>
      <c r="BQ407" s="2" t="s">
        <v>5</v>
      </c>
      <c r="BR407" s="2" t="s">
        <v>5</v>
      </c>
      <c r="BS407" s="2" t="s">
        <v>5</v>
      </c>
      <c r="BT407" s="2" t="s">
        <v>5</v>
      </c>
      <c r="BU407" s="2" t="s">
        <v>5</v>
      </c>
      <c r="BV407" s="2" t="s">
        <v>5</v>
      </c>
      <c r="BW407" s="2" t="s">
        <v>5</v>
      </c>
      <c r="BX407" s="2" t="s">
        <v>5</v>
      </c>
      <c r="BY407" s="25" t="s">
        <v>5</v>
      </c>
      <c r="BZ407" s="25" t="s">
        <v>5</v>
      </c>
      <c r="CA407" s="4">
        <v>14.1</v>
      </c>
      <c r="CB407" s="6" t="s">
        <v>5</v>
      </c>
      <c r="CC407" s="4">
        <v>20.6</v>
      </c>
      <c r="CD407" s="4">
        <v>14.4</v>
      </c>
      <c r="CE407" s="4">
        <v>20.9</v>
      </c>
      <c r="CF407" s="16" t="s">
        <v>5</v>
      </c>
      <c r="CG407" s="5">
        <v>4</v>
      </c>
      <c r="CH407" s="18" t="s">
        <v>5</v>
      </c>
    </row>
    <row r="408" spans="2:86">
      <c r="B408" s="78" t="s">
        <v>145</v>
      </c>
      <c r="C408" s="79" t="s">
        <v>414</v>
      </c>
      <c r="D408" s="80" t="s">
        <v>414</v>
      </c>
      <c r="E408" s="1" t="s">
        <v>4</v>
      </c>
      <c r="F408" s="4">
        <v>10.5</v>
      </c>
      <c r="G408" s="7">
        <v>3.08</v>
      </c>
      <c r="H408" s="3" t="str">
        <f t="shared" si="25"/>
        <v>WT4X10.5</v>
      </c>
      <c r="I408" s="7">
        <v>4.1399999999999997</v>
      </c>
      <c r="J408" s="5">
        <v>4.125</v>
      </c>
      <c r="K408" s="6" t="s">
        <v>5</v>
      </c>
      <c r="L408" s="6" t="s">
        <v>5</v>
      </c>
      <c r="M408" s="6" t="s">
        <v>5</v>
      </c>
      <c r="N408" s="7">
        <v>5.27</v>
      </c>
      <c r="O408" s="5">
        <v>5.25</v>
      </c>
      <c r="P408" s="5" t="s">
        <v>5</v>
      </c>
      <c r="Q408" s="6" t="s">
        <v>5</v>
      </c>
      <c r="R408" s="6" t="s">
        <v>5</v>
      </c>
      <c r="S408" s="22">
        <v>0.25</v>
      </c>
      <c r="T408" s="5">
        <v>0.25</v>
      </c>
      <c r="U408" s="8">
        <v>0.125</v>
      </c>
      <c r="V408" s="22">
        <v>0.4</v>
      </c>
      <c r="W408" s="8">
        <v>0.375</v>
      </c>
      <c r="X408" s="22">
        <v>0.4</v>
      </c>
      <c r="Y408" s="6" t="s">
        <v>5</v>
      </c>
      <c r="Z408" s="6" t="s">
        <v>5</v>
      </c>
      <c r="AA408" s="22">
        <v>0.7</v>
      </c>
      <c r="AB408" s="8">
        <v>0.875</v>
      </c>
      <c r="AC408" s="8" t="s">
        <v>5</v>
      </c>
      <c r="AD408" s="6" t="s">
        <v>5</v>
      </c>
      <c r="AE408" s="22">
        <v>0.83099999999999996</v>
      </c>
      <c r="AF408" s="6" t="s">
        <v>5</v>
      </c>
      <c r="AG408" s="6" t="s">
        <v>5</v>
      </c>
      <c r="AH408" s="22">
        <v>0.29199999999999998</v>
      </c>
      <c r="AI408" s="7">
        <v>6.59</v>
      </c>
      <c r="AJ408" s="6" t="s">
        <v>5</v>
      </c>
      <c r="AK408" s="6" t="s">
        <v>5</v>
      </c>
      <c r="AL408" s="6" t="s">
        <v>5</v>
      </c>
      <c r="AM408" s="6" t="s">
        <v>5</v>
      </c>
      <c r="AN408" s="4">
        <v>16.600000000000001</v>
      </c>
      <c r="AO408" s="7">
        <v>3.9</v>
      </c>
      <c r="AP408" s="7">
        <v>2.11</v>
      </c>
      <c r="AQ408" s="7">
        <v>1.18</v>
      </c>
      <c r="AR408" s="7">
        <v>1.1200000000000001</v>
      </c>
      <c r="AS408" s="7">
        <v>4.88</v>
      </c>
      <c r="AT408" s="7">
        <v>2.84</v>
      </c>
      <c r="AU408" s="7">
        <v>1.85</v>
      </c>
      <c r="AV408" s="7">
        <v>1.26</v>
      </c>
      <c r="AW408" s="6" t="s">
        <v>5</v>
      </c>
      <c r="AX408" s="6" t="s">
        <v>5</v>
      </c>
      <c r="AY408" s="6" t="s">
        <v>5</v>
      </c>
      <c r="AZ408" s="22">
        <v>0.14099999999999999</v>
      </c>
      <c r="BA408" s="28">
        <v>9.1600000000000001E-2</v>
      </c>
      <c r="BB408" s="6" t="s">
        <v>5</v>
      </c>
      <c r="BC408" s="6" t="s">
        <v>5</v>
      </c>
      <c r="BD408" s="6" t="s">
        <v>5</v>
      </c>
      <c r="BE408" s="6" t="s">
        <v>5</v>
      </c>
      <c r="BF408" s="6" t="s">
        <v>5</v>
      </c>
      <c r="BG408" s="6" t="s">
        <v>5</v>
      </c>
      <c r="BH408" s="6" t="s">
        <v>5</v>
      </c>
      <c r="BI408" s="7">
        <v>1.8</v>
      </c>
      <c r="BJ408" s="22">
        <v>0.877</v>
      </c>
      <c r="BK408" s="6" t="s">
        <v>5</v>
      </c>
      <c r="BL408" s="2" t="s">
        <v>5</v>
      </c>
      <c r="BM408" s="2" t="s">
        <v>5</v>
      </c>
      <c r="BN408" s="2" t="s">
        <v>5</v>
      </c>
      <c r="BO408" s="2" t="s">
        <v>5</v>
      </c>
      <c r="BP408" s="2" t="s">
        <v>5</v>
      </c>
      <c r="BQ408" s="2" t="s">
        <v>5</v>
      </c>
      <c r="BR408" s="2" t="s">
        <v>5</v>
      </c>
      <c r="BS408" s="2" t="s">
        <v>5</v>
      </c>
      <c r="BT408" s="2" t="s">
        <v>5</v>
      </c>
      <c r="BU408" s="2" t="s">
        <v>5</v>
      </c>
      <c r="BV408" s="2" t="s">
        <v>5</v>
      </c>
      <c r="BW408" s="2" t="s">
        <v>5</v>
      </c>
      <c r="BX408" s="2" t="s">
        <v>5</v>
      </c>
      <c r="BY408" s="25" t="s">
        <v>5</v>
      </c>
      <c r="BZ408" s="25" t="s">
        <v>5</v>
      </c>
      <c r="CA408" s="4">
        <v>13.2</v>
      </c>
      <c r="CB408" s="6" t="s">
        <v>5</v>
      </c>
      <c r="CC408" s="4">
        <v>18.5</v>
      </c>
      <c r="CD408" s="4">
        <v>13.6</v>
      </c>
      <c r="CE408" s="4">
        <v>18.8</v>
      </c>
      <c r="CF408" s="16" t="s">
        <v>5</v>
      </c>
      <c r="CG408" s="5">
        <v>2.75</v>
      </c>
      <c r="CH408" s="18" t="s">
        <v>5</v>
      </c>
    </row>
    <row r="409" spans="2:86">
      <c r="B409" s="78" t="s">
        <v>145</v>
      </c>
      <c r="C409" s="79" t="s">
        <v>415</v>
      </c>
      <c r="D409" s="80" t="s">
        <v>415</v>
      </c>
      <c r="E409" s="1" t="s">
        <v>4</v>
      </c>
      <c r="F409" s="7">
        <v>9</v>
      </c>
      <c r="G409" s="7">
        <v>2.63</v>
      </c>
      <c r="H409" s="3" t="str">
        <f t="shared" si="25"/>
        <v>WT4X9</v>
      </c>
      <c r="I409" s="7">
        <v>4.07</v>
      </c>
      <c r="J409" s="5">
        <v>4.125</v>
      </c>
      <c r="K409" s="6" t="s">
        <v>5</v>
      </c>
      <c r="L409" s="6" t="s">
        <v>5</v>
      </c>
      <c r="M409" s="6" t="s">
        <v>5</v>
      </c>
      <c r="N409" s="7">
        <v>5.25</v>
      </c>
      <c r="O409" s="5">
        <v>5.25</v>
      </c>
      <c r="P409" s="5" t="s">
        <v>5</v>
      </c>
      <c r="Q409" s="6" t="s">
        <v>5</v>
      </c>
      <c r="R409" s="6" t="s">
        <v>5</v>
      </c>
      <c r="S409" s="22">
        <v>0.23</v>
      </c>
      <c r="T409" s="5">
        <v>0.25</v>
      </c>
      <c r="U409" s="8">
        <v>0.125</v>
      </c>
      <c r="V409" s="22">
        <v>0.33</v>
      </c>
      <c r="W409" s="8">
        <v>0.3125</v>
      </c>
      <c r="X409" s="22">
        <v>0.33</v>
      </c>
      <c r="Y409" s="6" t="s">
        <v>5</v>
      </c>
      <c r="Z409" s="6" t="s">
        <v>5</v>
      </c>
      <c r="AA409" s="22">
        <v>0.63</v>
      </c>
      <c r="AB409" s="8">
        <v>0.8125</v>
      </c>
      <c r="AC409" s="8" t="s">
        <v>5</v>
      </c>
      <c r="AD409" s="6" t="s">
        <v>5</v>
      </c>
      <c r="AE409" s="22">
        <v>0.83399999999999996</v>
      </c>
      <c r="AF409" s="6" t="s">
        <v>5</v>
      </c>
      <c r="AG409" s="6" t="s">
        <v>5</v>
      </c>
      <c r="AH409" s="22">
        <v>0.251</v>
      </c>
      <c r="AI409" s="7">
        <v>7.95</v>
      </c>
      <c r="AJ409" s="6" t="s">
        <v>5</v>
      </c>
      <c r="AK409" s="6" t="s">
        <v>5</v>
      </c>
      <c r="AL409" s="6" t="s">
        <v>5</v>
      </c>
      <c r="AM409" s="6" t="s">
        <v>5</v>
      </c>
      <c r="AN409" s="4">
        <v>17.7</v>
      </c>
      <c r="AO409" s="7">
        <v>3.41</v>
      </c>
      <c r="AP409" s="7">
        <v>1.86</v>
      </c>
      <c r="AQ409" s="7">
        <v>1.05</v>
      </c>
      <c r="AR409" s="7">
        <v>1.1399999999999999</v>
      </c>
      <c r="AS409" s="7">
        <v>3.98</v>
      </c>
      <c r="AT409" s="7">
        <v>2.33</v>
      </c>
      <c r="AU409" s="7">
        <v>1.52</v>
      </c>
      <c r="AV409" s="7">
        <v>1.23</v>
      </c>
      <c r="AW409" s="6" t="s">
        <v>5</v>
      </c>
      <c r="AX409" s="6" t="s">
        <v>5</v>
      </c>
      <c r="AY409" s="6" t="s">
        <v>5</v>
      </c>
      <c r="AZ409" s="28">
        <v>8.5500000000000007E-2</v>
      </c>
      <c r="BA409" s="28">
        <v>5.62E-2</v>
      </c>
      <c r="BB409" s="6" t="s">
        <v>5</v>
      </c>
      <c r="BC409" s="6" t="s">
        <v>5</v>
      </c>
      <c r="BD409" s="6" t="s">
        <v>5</v>
      </c>
      <c r="BE409" s="6" t="s">
        <v>5</v>
      </c>
      <c r="BF409" s="6" t="s">
        <v>5</v>
      </c>
      <c r="BG409" s="6" t="s">
        <v>5</v>
      </c>
      <c r="BH409" s="6" t="s">
        <v>5</v>
      </c>
      <c r="BI409" s="7">
        <v>1.8</v>
      </c>
      <c r="BJ409" s="22">
        <v>0.86299999999999999</v>
      </c>
      <c r="BK409" s="6" t="s">
        <v>5</v>
      </c>
      <c r="BL409" s="2" t="s">
        <v>5</v>
      </c>
      <c r="BM409" s="2" t="s">
        <v>5</v>
      </c>
      <c r="BN409" s="2" t="s">
        <v>5</v>
      </c>
      <c r="BO409" s="2" t="s">
        <v>5</v>
      </c>
      <c r="BP409" s="2" t="s">
        <v>5</v>
      </c>
      <c r="BQ409" s="2" t="s">
        <v>5</v>
      </c>
      <c r="BR409" s="2" t="s">
        <v>5</v>
      </c>
      <c r="BS409" s="2" t="s">
        <v>5</v>
      </c>
      <c r="BT409" s="2" t="s">
        <v>5</v>
      </c>
      <c r="BU409" s="2" t="s">
        <v>5</v>
      </c>
      <c r="BV409" s="2" t="s">
        <v>5</v>
      </c>
      <c r="BW409" s="2" t="s">
        <v>5</v>
      </c>
      <c r="BX409" s="2" t="s">
        <v>5</v>
      </c>
      <c r="BY409" s="25" t="s">
        <v>5</v>
      </c>
      <c r="BZ409" s="25" t="s">
        <v>5</v>
      </c>
      <c r="CA409" s="4">
        <v>13.1</v>
      </c>
      <c r="CB409" s="6" t="s">
        <v>5</v>
      </c>
      <c r="CC409" s="4">
        <v>18.3</v>
      </c>
      <c r="CD409" s="4">
        <v>13.4</v>
      </c>
      <c r="CE409" s="4">
        <v>18.600000000000001</v>
      </c>
      <c r="CF409" s="16" t="s">
        <v>5</v>
      </c>
      <c r="CG409" s="5">
        <v>2.75</v>
      </c>
      <c r="CH409" s="18" t="s">
        <v>5</v>
      </c>
    </row>
    <row r="410" spans="2:86">
      <c r="B410" s="78" t="s">
        <v>145</v>
      </c>
      <c r="C410" s="79" t="s">
        <v>416</v>
      </c>
      <c r="D410" s="80" t="s">
        <v>416</v>
      </c>
      <c r="E410" s="1" t="s">
        <v>4</v>
      </c>
      <c r="F410" s="7">
        <v>7.5</v>
      </c>
      <c r="G410" s="7">
        <v>2.2200000000000002</v>
      </c>
      <c r="H410" s="3" t="str">
        <f t="shared" si="25"/>
        <v>WT4X7.5</v>
      </c>
      <c r="I410" s="7">
        <v>4.0599999999999996</v>
      </c>
      <c r="J410" s="5">
        <v>4</v>
      </c>
      <c r="K410" s="6" t="s">
        <v>5</v>
      </c>
      <c r="L410" s="6" t="s">
        <v>5</v>
      </c>
      <c r="M410" s="6" t="s">
        <v>5</v>
      </c>
      <c r="N410" s="7">
        <v>4.0199999999999996</v>
      </c>
      <c r="O410" s="5">
        <v>4</v>
      </c>
      <c r="P410" s="5" t="s">
        <v>5</v>
      </c>
      <c r="Q410" s="6" t="s">
        <v>5</v>
      </c>
      <c r="R410" s="6" t="s">
        <v>5</v>
      </c>
      <c r="S410" s="22">
        <v>0.245</v>
      </c>
      <c r="T410" s="5">
        <v>0.25</v>
      </c>
      <c r="U410" s="8">
        <v>0.125</v>
      </c>
      <c r="V410" s="22">
        <v>0.315</v>
      </c>
      <c r="W410" s="8">
        <v>0.3125</v>
      </c>
      <c r="X410" s="22">
        <v>0.315</v>
      </c>
      <c r="Y410" s="6" t="s">
        <v>5</v>
      </c>
      <c r="Z410" s="6" t="s">
        <v>5</v>
      </c>
      <c r="AA410" s="22">
        <v>0.61499999999999999</v>
      </c>
      <c r="AB410" s="8">
        <v>0.8125</v>
      </c>
      <c r="AC410" s="8" t="s">
        <v>5</v>
      </c>
      <c r="AD410" s="6" t="s">
        <v>5</v>
      </c>
      <c r="AE410" s="22">
        <v>0.998</v>
      </c>
      <c r="AF410" s="6" t="s">
        <v>5</v>
      </c>
      <c r="AG410" s="6" t="s">
        <v>5</v>
      </c>
      <c r="AH410" s="22">
        <v>0.27600000000000002</v>
      </c>
      <c r="AI410" s="7">
        <v>6.37</v>
      </c>
      <c r="AJ410" s="6" t="s">
        <v>5</v>
      </c>
      <c r="AK410" s="6" t="s">
        <v>5</v>
      </c>
      <c r="AL410" s="6" t="s">
        <v>5</v>
      </c>
      <c r="AM410" s="6" t="s">
        <v>5</v>
      </c>
      <c r="AN410" s="4">
        <v>16.600000000000001</v>
      </c>
      <c r="AO410" s="7">
        <v>3.28</v>
      </c>
      <c r="AP410" s="7">
        <v>1.91</v>
      </c>
      <c r="AQ410" s="7">
        <v>1.07</v>
      </c>
      <c r="AR410" s="7">
        <v>1.22</v>
      </c>
      <c r="AS410" s="7">
        <v>1.7</v>
      </c>
      <c r="AT410" s="7">
        <v>1.33</v>
      </c>
      <c r="AU410" s="22">
        <v>0.84899999999999998</v>
      </c>
      <c r="AV410" s="22">
        <v>0.876</v>
      </c>
      <c r="AW410" s="6" t="s">
        <v>5</v>
      </c>
      <c r="AX410" s="6" t="s">
        <v>5</v>
      </c>
      <c r="AY410" s="6" t="s">
        <v>5</v>
      </c>
      <c r="AZ410" s="28">
        <v>6.7900000000000002E-2</v>
      </c>
      <c r="BA410" s="28">
        <v>3.8199999999999998E-2</v>
      </c>
      <c r="BB410" s="6" t="s">
        <v>5</v>
      </c>
      <c r="BC410" s="6" t="s">
        <v>5</v>
      </c>
      <c r="BD410" s="6" t="s">
        <v>5</v>
      </c>
      <c r="BE410" s="6" t="s">
        <v>5</v>
      </c>
      <c r="BF410" s="6" t="s">
        <v>5</v>
      </c>
      <c r="BG410" s="6" t="s">
        <v>5</v>
      </c>
      <c r="BH410" s="6" t="s">
        <v>5</v>
      </c>
      <c r="BI410" s="7">
        <v>1.72</v>
      </c>
      <c r="BJ410" s="22">
        <v>0.76</v>
      </c>
      <c r="BK410" s="6" t="s">
        <v>5</v>
      </c>
      <c r="BL410" s="2" t="s">
        <v>5</v>
      </c>
      <c r="BM410" s="2" t="s">
        <v>5</v>
      </c>
      <c r="BN410" s="2" t="s">
        <v>5</v>
      </c>
      <c r="BO410" s="2" t="s">
        <v>5</v>
      </c>
      <c r="BP410" s="2" t="s">
        <v>5</v>
      </c>
      <c r="BQ410" s="2" t="s">
        <v>5</v>
      </c>
      <c r="BR410" s="2" t="s">
        <v>5</v>
      </c>
      <c r="BS410" s="2" t="s">
        <v>5</v>
      </c>
      <c r="BT410" s="2" t="s">
        <v>5</v>
      </c>
      <c r="BU410" s="2" t="s">
        <v>5</v>
      </c>
      <c r="BV410" s="2" t="s">
        <v>5</v>
      </c>
      <c r="BW410" s="2" t="s">
        <v>5</v>
      </c>
      <c r="BX410" s="2" t="s">
        <v>5</v>
      </c>
      <c r="BY410" s="25" t="s">
        <v>5</v>
      </c>
      <c r="BZ410" s="25" t="s">
        <v>5</v>
      </c>
      <c r="CA410" s="4">
        <v>11.8</v>
      </c>
      <c r="CB410" s="6" t="s">
        <v>5</v>
      </c>
      <c r="CC410" s="4">
        <v>15.8</v>
      </c>
      <c r="CD410" s="4">
        <v>12.1</v>
      </c>
      <c r="CE410" s="4">
        <v>16.2</v>
      </c>
      <c r="CF410" s="16" t="s">
        <v>5</v>
      </c>
      <c r="CG410" s="5">
        <v>2.25</v>
      </c>
      <c r="CH410" s="18" t="s">
        <v>5</v>
      </c>
    </row>
    <row r="411" spans="2:86">
      <c r="B411" s="78" t="s">
        <v>145</v>
      </c>
      <c r="C411" s="79" t="s">
        <v>417</v>
      </c>
      <c r="D411" s="80" t="s">
        <v>417</v>
      </c>
      <c r="E411" s="1" t="s">
        <v>4</v>
      </c>
      <c r="F411" s="7">
        <v>6.5</v>
      </c>
      <c r="G411" s="7">
        <v>1.92</v>
      </c>
      <c r="H411" s="3" t="str">
        <f t="shared" si="25"/>
        <v>WT4X6.5</v>
      </c>
      <c r="I411" s="7">
        <v>4</v>
      </c>
      <c r="J411" s="5">
        <v>4</v>
      </c>
      <c r="K411" s="6" t="s">
        <v>5</v>
      </c>
      <c r="L411" s="6" t="s">
        <v>5</v>
      </c>
      <c r="M411" s="6" t="s">
        <v>5</v>
      </c>
      <c r="N411" s="7">
        <v>4</v>
      </c>
      <c r="O411" s="5">
        <v>4</v>
      </c>
      <c r="P411" s="5" t="s">
        <v>5</v>
      </c>
      <c r="Q411" s="6" t="s">
        <v>5</v>
      </c>
      <c r="R411" s="6" t="s">
        <v>5</v>
      </c>
      <c r="S411" s="22">
        <v>0.23</v>
      </c>
      <c r="T411" s="5">
        <v>0.25</v>
      </c>
      <c r="U411" s="8">
        <v>0.125</v>
      </c>
      <c r="V411" s="22">
        <v>0.255</v>
      </c>
      <c r="W411" s="8">
        <v>0.25</v>
      </c>
      <c r="X411" s="22">
        <v>0.255</v>
      </c>
      <c r="Y411" s="6" t="s">
        <v>5</v>
      </c>
      <c r="Z411" s="6" t="s">
        <v>5</v>
      </c>
      <c r="AA411" s="22">
        <v>0.55500000000000005</v>
      </c>
      <c r="AB411" s="8">
        <v>0.75</v>
      </c>
      <c r="AC411" s="8" t="s">
        <v>5</v>
      </c>
      <c r="AD411" s="6" t="s">
        <v>5</v>
      </c>
      <c r="AE411" s="7">
        <v>1.03</v>
      </c>
      <c r="AF411" s="6" t="s">
        <v>5</v>
      </c>
      <c r="AG411" s="6" t="s">
        <v>5</v>
      </c>
      <c r="AH411" s="22">
        <v>0.24</v>
      </c>
      <c r="AI411" s="7">
        <v>7.84</v>
      </c>
      <c r="AJ411" s="6" t="s">
        <v>5</v>
      </c>
      <c r="AK411" s="6" t="s">
        <v>5</v>
      </c>
      <c r="AL411" s="6" t="s">
        <v>5</v>
      </c>
      <c r="AM411" s="6" t="s">
        <v>5</v>
      </c>
      <c r="AN411" s="4">
        <v>17.399999999999999</v>
      </c>
      <c r="AO411" s="7">
        <v>2.89</v>
      </c>
      <c r="AP411" s="7">
        <v>1.74</v>
      </c>
      <c r="AQ411" s="22">
        <v>0.97399999999999998</v>
      </c>
      <c r="AR411" s="7">
        <v>1.23</v>
      </c>
      <c r="AS411" s="7">
        <v>1.36</v>
      </c>
      <c r="AT411" s="7">
        <v>1.07</v>
      </c>
      <c r="AU411" s="22">
        <v>0.68200000000000005</v>
      </c>
      <c r="AV411" s="22">
        <v>0.84299999999999997</v>
      </c>
      <c r="AW411" s="6" t="s">
        <v>5</v>
      </c>
      <c r="AX411" s="6" t="s">
        <v>5</v>
      </c>
      <c r="AY411" s="6" t="s">
        <v>5</v>
      </c>
      <c r="AZ411" s="28">
        <v>4.3299999999999998E-2</v>
      </c>
      <c r="BA411" s="28">
        <v>2.69E-2</v>
      </c>
      <c r="BB411" s="6" t="s">
        <v>5</v>
      </c>
      <c r="BC411" s="6" t="s">
        <v>5</v>
      </c>
      <c r="BD411" s="6" t="s">
        <v>5</v>
      </c>
      <c r="BE411" s="6" t="s">
        <v>5</v>
      </c>
      <c r="BF411" s="6" t="s">
        <v>5</v>
      </c>
      <c r="BG411" s="6" t="s">
        <v>5</v>
      </c>
      <c r="BH411" s="6" t="s">
        <v>5</v>
      </c>
      <c r="BI411" s="7">
        <v>1.74</v>
      </c>
      <c r="BJ411" s="22">
        <v>0.73299999999999998</v>
      </c>
      <c r="BK411" s="6" t="s">
        <v>5</v>
      </c>
      <c r="BL411" s="2" t="s">
        <v>5</v>
      </c>
      <c r="BM411" s="2" t="s">
        <v>5</v>
      </c>
      <c r="BN411" s="2" t="s">
        <v>5</v>
      </c>
      <c r="BO411" s="2" t="s">
        <v>5</v>
      </c>
      <c r="BP411" s="2" t="s">
        <v>5</v>
      </c>
      <c r="BQ411" s="2" t="s">
        <v>5</v>
      </c>
      <c r="BR411" s="2" t="s">
        <v>5</v>
      </c>
      <c r="BS411" s="2" t="s">
        <v>5</v>
      </c>
      <c r="BT411" s="2" t="s">
        <v>5</v>
      </c>
      <c r="BU411" s="2" t="s">
        <v>5</v>
      </c>
      <c r="BV411" s="2" t="s">
        <v>5</v>
      </c>
      <c r="BW411" s="2" t="s">
        <v>5</v>
      </c>
      <c r="BX411" s="2" t="s">
        <v>5</v>
      </c>
      <c r="BY411" s="25" t="s">
        <v>5</v>
      </c>
      <c r="BZ411" s="25" t="s">
        <v>5</v>
      </c>
      <c r="CA411" s="4">
        <v>11.7</v>
      </c>
      <c r="CB411" s="6" t="s">
        <v>5</v>
      </c>
      <c r="CC411" s="4">
        <v>15.7</v>
      </c>
      <c r="CD411" s="4">
        <v>12</v>
      </c>
      <c r="CE411" s="4">
        <v>16</v>
      </c>
      <c r="CF411" s="16" t="s">
        <v>5</v>
      </c>
      <c r="CG411" s="5">
        <v>2.25</v>
      </c>
      <c r="CH411" s="18" t="s">
        <v>5</v>
      </c>
    </row>
    <row r="412" spans="2:86">
      <c r="B412" s="78" t="s">
        <v>145</v>
      </c>
      <c r="C412" s="79" t="s">
        <v>418</v>
      </c>
      <c r="D412" s="80" t="s">
        <v>418</v>
      </c>
      <c r="E412" s="1" t="s">
        <v>4</v>
      </c>
      <c r="F412" s="7">
        <v>5</v>
      </c>
      <c r="G412" s="7">
        <v>1.48</v>
      </c>
      <c r="H412" s="3" t="str">
        <f t="shared" si="25"/>
        <v>WT4X5</v>
      </c>
      <c r="I412" s="7">
        <v>3.95</v>
      </c>
      <c r="J412" s="5">
        <v>4</v>
      </c>
      <c r="K412" s="6" t="s">
        <v>5</v>
      </c>
      <c r="L412" s="6" t="s">
        <v>5</v>
      </c>
      <c r="M412" s="6" t="s">
        <v>5</v>
      </c>
      <c r="N412" s="7">
        <v>3.94</v>
      </c>
      <c r="O412" s="5">
        <v>4</v>
      </c>
      <c r="P412" s="5" t="s">
        <v>5</v>
      </c>
      <c r="Q412" s="6" t="s">
        <v>5</v>
      </c>
      <c r="R412" s="6" t="s">
        <v>5</v>
      </c>
      <c r="S412" s="22">
        <v>0.17</v>
      </c>
      <c r="T412" s="5">
        <v>0.1875</v>
      </c>
      <c r="U412" s="8">
        <v>0.125</v>
      </c>
      <c r="V412" s="22">
        <v>0.20499999999999999</v>
      </c>
      <c r="W412" s="8">
        <v>0.1875</v>
      </c>
      <c r="X412" s="22">
        <v>0.20499999999999999</v>
      </c>
      <c r="Y412" s="6" t="s">
        <v>5</v>
      </c>
      <c r="Z412" s="6" t="s">
        <v>5</v>
      </c>
      <c r="AA412" s="22">
        <v>0.505</v>
      </c>
      <c r="AB412" s="8">
        <v>0.6875</v>
      </c>
      <c r="AC412" s="8" t="s">
        <v>5</v>
      </c>
      <c r="AD412" s="6" t="s">
        <v>5</v>
      </c>
      <c r="AE412" s="22">
        <v>0.95299999999999996</v>
      </c>
      <c r="AF412" s="6" t="s">
        <v>5</v>
      </c>
      <c r="AG412" s="6" t="s">
        <v>5</v>
      </c>
      <c r="AH412" s="22">
        <v>0.188</v>
      </c>
      <c r="AI412" s="7">
        <v>9.61</v>
      </c>
      <c r="AJ412" s="6" t="s">
        <v>5</v>
      </c>
      <c r="AK412" s="6" t="s">
        <v>5</v>
      </c>
      <c r="AL412" s="6" t="s">
        <v>5</v>
      </c>
      <c r="AM412" s="6" t="s">
        <v>5</v>
      </c>
      <c r="AN412" s="4">
        <v>23.2</v>
      </c>
      <c r="AO412" s="7">
        <v>2.15</v>
      </c>
      <c r="AP412" s="7">
        <v>1.27</v>
      </c>
      <c r="AQ412" s="22">
        <v>0.71699999999999997</v>
      </c>
      <c r="AR412" s="7">
        <v>1.2</v>
      </c>
      <c r="AS412" s="7">
        <v>1.05</v>
      </c>
      <c r="AT412" s="22">
        <v>0.82599999999999996</v>
      </c>
      <c r="AU412" s="22">
        <v>0.53100000000000003</v>
      </c>
      <c r="AV412" s="22">
        <v>0.84</v>
      </c>
      <c r="AW412" s="6" t="s">
        <v>5</v>
      </c>
      <c r="AX412" s="6" t="s">
        <v>5</v>
      </c>
      <c r="AY412" s="6" t="s">
        <v>5</v>
      </c>
      <c r="AZ412" s="28">
        <v>2.12E-2</v>
      </c>
      <c r="BA412" s="28">
        <v>1.14E-2</v>
      </c>
      <c r="BB412" s="6" t="s">
        <v>5</v>
      </c>
      <c r="BC412" s="6" t="s">
        <v>5</v>
      </c>
      <c r="BD412" s="6" t="s">
        <v>5</v>
      </c>
      <c r="BE412" s="6" t="s">
        <v>5</v>
      </c>
      <c r="BF412" s="6" t="s">
        <v>5</v>
      </c>
      <c r="BG412" s="6" t="s">
        <v>5</v>
      </c>
      <c r="BH412" s="6" t="s">
        <v>5</v>
      </c>
      <c r="BI412" s="7">
        <v>1.7</v>
      </c>
      <c r="BJ412" s="22">
        <v>0.749</v>
      </c>
      <c r="BK412" s="6" t="s">
        <v>5</v>
      </c>
      <c r="BL412" s="2" t="s">
        <v>5</v>
      </c>
      <c r="BM412" s="2" t="s">
        <v>5</v>
      </c>
      <c r="BN412" s="2" t="s">
        <v>5</v>
      </c>
      <c r="BO412" s="2" t="s">
        <v>5</v>
      </c>
      <c r="BP412" s="2" t="s">
        <v>5</v>
      </c>
      <c r="BQ412" s="2" t="s">
        <v>5</v>
      </c>
      <c r="BR412" s="2" t="s">
        <v>5</v>
      </c>
      <c r="BS412" s="2" t="s">
        <v>5</v>
      </c>
      <c r="BT412" s="2" t="s">
        <v>5</v>
      </c>
      <c r="BU412" s="2" t="s">
        <v>5</v>
      </c>
      <c r="BV412" s="2" t="s">
        <v>5</v>
      </c>
      <c r="BW412" s="2" t="s">
        <v>5</v>
      </c>
      <c r="BX412" s="2" t="s">
        <v>5</v>
      </c>
      <c r="BY412" s="25" t="s">
        <v>5</v>
      </c>
      <c r="BZ412" s="25" t="s">
        <v>5</v>
      </c>
      <c r="CA412" s="4">
        <v>11.5</v>
      </c>
      <c r="CB412" s="6" t="s">
        <v>5</v>
      </c>
      <c r="CC412" s="4">
        <v>15.4</v>
      </c>
      <c r="CD412" s="4">
        <v>11.8</v>
      </c>
      <c r="CE412" s="4">
        <v>15.8</v>
      </c>
      <c r="CF412" s="16" t="s">
        <v>5</v>
      </c>
      <c r="CG412" s="5">
        <v>2.25</v>
      </c>
      <c r="CH412" s="18" t="s">
        <v>5</v>
      </c>
    </row>
    <row r="413" spans="2:86">
      <c r="B413" s="78" t="s">
        <v>145</v>
      </c>
      <c r="C413" s="79" t="s">
        <v>419</v>
      </c>
      <c r="D413" s="80" t="s">
        <v>419</v>
      </c>
      <c r="E413" s="1" t="s">
        <v>4</v>
      </c>
      <c r="F413" s="4">
        <v>12.5</v>
      </c>
      <c r="G413" s="7">
        <v>3.67</v>
      </c>
      <c r="H413" s="3" t="str">
        <f t="shared" si="25"/>
        <v>WT3X12.5</v>
      </c>
      <c r="I413" s="7">
        <v>3.19</v>
      </c>
      <c r="J413" s="5">
        <v>3.25</v>
      </c>
      <c r="K413" s="6" t="s">
        <v>5</v>
      </c>
      <c r="L413" s="6" t="s">
        <v>5</v>
      </c>
      <c r="M413" s="6" t="s">
        <v>5</v>
      </c>
      <c r="N413" s="7">
        <v>6.08</v>
      </c>
      <c r="O413" s="5">
        <v>6.125</v>
      </c>
      <c r="P413" s="5" t="s">
        <v>5</v>
      </c>
      <c r="Q413" s="6" t="s">
        <v>5</v>
      </c>
      <c r="R413" s="6" t="s">
        <v>5</v>
      </c>
      <c r="S413" s="22">
        <v>0.32</v>
      </c>
      <c r="T413" s="5">
        <v>0.3125</v>
      </c>
      <c r="U413" s="8">
        <v>0.1875</v>
      </c>
      <c r="V413" s="22">
        <v>0.45500000000000002</v>
      </c>
      <c r="W413" s="8">
        <v>0.4375</v>
      </c>
      <c r="X413" s="22">
        <v>0.45500000000000002</v>
      </c>
      <c r="Y413" s="6" t="s">
        <v>5</v>
      </c>
      <c r="Z413" s="6" t="s">
        <v>5</v>
      </c>
      <c r="AA413" s="22">
        <v>0.70499999999999996</v>
      </c>
      <c r="AB413" s="8">
        <v>0.9375</v>
      </c>
      <c r="AC413" s="8" t="s">
        <v>5</v>
      </c>
      <c r="AD413" s="6" t="s">
        <v>5</v>
      </c>
      <c r="AE413" s="22">
        <v>0.61</v>
      </c>
      <c r="AF413" s="6" t="s">
        <v>5</v>
      </c>
      <c r="AG413" s="6" t="s">
        <v>5</v>
      </c>
      <c r="AH413" s="22">
        <v>0.30199999999999999</v>
      </c>
      <c r="AI413" s="7">
        <v>6.68</v>
      </c>
      <c r="AJ413" s="6" t="s">
        <v>5</v>
      </c>
      <c r="AK413" s="6" t="s">
        <v>5</v>
      </c>
      <c r="AL413" s="6" t="s">
        <v>5</v>
      </c>
      <c r="AM413" s="6" t="s">
        <v>5</v>
      </c>
      <c r="AN413" s="4">
        <v>10</v>
      </c>
      <c r="AO413" s="7">
        <v>2.29</v>
      </c>
      <c r="AP413" s="7">
        <v>1.68</v>
      </c>
      <c r="AQ413" s="22">
        <v>0.88600000000000001</v>
      </c>
      <c r="AR413" s="22">
        <v>0.78900000000000003</v>
      </c>
      <c r="AS413" s="7">
        <v>8.5299999999999994</v>
      </c>
      <c r="AT413" s="7">
        <v>4.28</v>
      </c>
      <c r="AU413" s="7">
        <v>2.81</v>
      </c>
      <c r="AV413" s="7">
        <v>1.52</v>
      </c>
      <c r="AW413" s="6" t="s">
        <v>5</v>
      </c>
      <c r="AX413" s="6" t="s">
        <v>5</v>
      </c>
      <c r="AY413" s="6" t="s">
        <v>5</v>
      </c>
      <c r="AZ413" s="22">
        <v>0.22900000000000001</v>
      </c>
      <c r="BA413" s="22">
        <v>0.17100000000000001</v>
      </c>
      <c r="BB413" s="6" t="s">
        <v>5</v>
      </c>
      <c r="BC413" s="6" t="s">
        <v>5</v>
      </c>
      <c r="BD413" s="6" t="s">
        <v>5</v>
      </c>
      <c r="BE413" s="6" t="s">
        <v>5</v>
      </c>
      <c r="BF413" s="6" t="s">
        <v>5</v>
      </c>
      <c r="BG413" s="6" t="s">
        <v>5</v>
      </c>
      <c r="BH413" s="6" t="s">
        <v>5</v>
      </c>
      <c r="BI413" s="7">
        <v>1.76</v>
      </c>
      <c r="BJ413" s="22">
        <v>0.95299999999999996</v>
      </c>
      <c r="BK413" s="6" t="s">
        <v>5</v>
      </c>
      <c r="BL413" s="2" t="s">
        <v>5</v>
      </c>
      <c r="BM413" s="2" t="s">
        <v>5</v>
      </c>
      <c r="BN413" s="2" t="s">
        <v>5</v>
      </c>
      <c r="BO413" s="2" t="s">
        <v>5</v>
      </c>
      <c r="BP413" s="2" t="s">
        <v>5</v>
      </c>
      <c r="BQ413" s="2" t="s">
        <v>5</v>
      </c>
      <c r="BR413" s="2" t="s">
        <v>5</v>
      </c>
      <c r="BS413" s="2" t="s">
        <v>5</v>
      </c>
      <c r="BT413" s="2" t="s">
        <v>5</v>
      </c>
      <c r="BU413" s="2" t="s">
        <v>5</v>
      </c>
      <c r="BV413" s="2" t="s">
        <v>5</v>
      </c>
      <c r="BW413" s="2" t="s">
        <v>5</v>
      </c>
      <c r="BX413" s="2" t="s">
        <v>5</v>
      </c>
      <c r="BY413" s="25" t="s">
        <v>5</v>
      </c>
      <c r="BZ413" s="25" t="s">
        <v>5</v>
      </c>
      <c r="CA413" s="4">
        <v>12.1</v>
      </c>
      <c r="CB413" s="6" t="s">
        <v>5</v>
      </c>
      <c r="CC413" s="4">
        <v>18.2</v>
      </c>
      <c r="CD413" s="4">
        <v>12.5</v>
      </c>
      <c r="CE413" s="4">
        <v>18.5</v>
      </c>
      <c r="CF413" s="16" t="s">
        <v>5</v>
      </c>
      <c r="CG413" s="5">
        <v>3.5</v>
      </c>
      <c r="CH413" s="18" t="s">
        <v>5</v>
      </c>
    </row>
    <row r="414" spans="2:86">
      <c r="B414" s="78" t="s">
        <v>145</v>
      </c>
      <c r="C414" s="79" t="s">
        <v>420</v>
      </c>
      <c r="D414" s="80" t="s">
        <v>420</v>
      </c>
      <c r="E414" s="1" t="s">
        <v>4</v>
      </c>
      <c r="F414" s="4">
        <v>10</v>
      </c>
      <c r="G414" s="7">
        <v>2.94</v>
      </c>
      <c r="H414" s="3" t="str">
        <f t="shared" si="25"/>
        <v>WT3X10</v>
      </c>
      <c r="I414" s="7">
        <v>3.1</v>
      </c>
      <c r="J414" s="5">
        <v>3.125</v>
      </c>
      <c r="K414" s="6" t="s">
        <v>5</v>
      </c>
      <c r="L414" s="6" t="s">
        <v>5</v>
      </c>
      <c r="M414" s="6" t="s">
        <v>5</v>
      </c>
      <c r="N414" s="7">
        <v>6.02</v>
      </c>
      <c r="O414" s="5">
        <v>6</v>
      </c>
      <c r="P414" s="5" t="s">
        <v>5</v>
      </c>
      <c r="Q414" s="6" t="s">
        <v>5</v>
      </c>
      <c r="R414" s="6" t="s">
        <v>5</v>
      </c>
      <c r="S414" s="22">
        <v>0.26</v>
      </c>
      <c r="T414" s="5">
        <v>0.25</v>
      </c>
      <c r="U414" s="8">
        <v>0.125</v>
      </c>
      <c r="V414" s="22">
        <v>0.36499999999999999</v>
      </c>
      <c r="W414" s="8">
        <v>0.375</v>
      </c>
      <c r="X414" s="22">
        <v>0.36499999999999999</v>
      </c>
      <c r="Y414" s="6" t="s">
        <v>5</v>
      </c>
      <c r="Z414" s="6" t="s">
        <v>5</v>
      </c>
      <c r="AA414" s="22">
        <v>0.61499999999999999</v>
      </c>
      <c r="AB414" s="8">
        <v>0.875</v>
      </c>
      <c r="AC414" s="8" t="s">
        <v>5</v>
      </c>
      <c r="AD414" s="6" t="s">
        <v>5</v>
      </c>
      <c r="AE414" s="22">
        <v>0.56000000000000005</v>
      </c>
      <c r="AF414" s="6" t="s">
        <v>5</v>
      </c>
      <c r="AG414" s="6" t="s">
        <v>5</v>
      </c>
      <c r="AH414" s="22">
        <v>0.24399999999999999</v>
      </c>
      <c r="AI414" s="7">
        <v>8.25</v>
      </c>
      <c r="AJ414" s="6" t="s">
        <v>5</v>
      </c>
      <c r="AK414" s="6" t="s">
        <v>5</v>
      </c>
      <c r="AL414" s="6" t="s">
        <v>5</v>
      </c>
      <c r="AM414" s="6" t="s">
        <v>5</v>
      </c>
      <c r="AN414" s="4">
        <v>11.9</v>
      </c>
      <c r="AO414" s="7">
        <v>1.76</v>
      </c>
      <c r="AP414" s="7">
        <v>1.29</v>
      </c>
      <c r="AQ414" s="22">
        <v>0.69299999999999995</v>
      </c>
      <c r="AR414" s="22">
        <v>0.77400000000000002</v>
      </c>
      <c r="AS414" s="7">
        <v>6.64</v>
      </c>
      <c r="AT414" s="7">
        <v>3.36</v>
      </c>
      <c r="AU414" s="7">
        <v>2.21</v>
      </c>
      <c r="AV414" s="7">
        <v>1.5</v>
      </c>
      <c r="AW414" s="6" t="s">
        <v>5</v>
      </c>
      <c r="AX414" s="6" t="s">
        <v>5</v>
      </c>
      <c r="AY414" s="6" t="s">
        <v>5</v>
      </c>
      <c r="AZ414" s="22">
        <v>0.12</v>
      </c>
      <c r="BA414" s="28">
        <v>8.5800000000000001E-2</v>
      </c>
      <c r="BB414" s="6" t="s">
        <v>5</v>
      </c>
      <c r="BC414" s="6" t="s">
        <v>5</v>
      </c>
      <c r="BD414" s="6" t="s">
        <v>5</v>
      </c>
      <c r="BE414" s="6" t="s">
        <v>5</v>
      </c>
      <c r="BF414" s="6" t="s">
        <v>5</v>
      </c>
      <c r="BG414" s="6" t="s">
        <v>5</v>
      </c>
      <c r="BH414" s="6" t="s">
        <v>5</v>
      </c>
      <c r="BI414" s="7">
        <v>1.73</v>
      </c>
      <c r="BJ414" s="22">
        <v>0.95299999999999996</v>
      </c>
      <c r="BK414" s="6" t="s">
        <v>5</v>
      </c>
      <c r="BL414" s="2" t="s">
        <v>5</v>
      </c>
      <c r="BM414" s="2" t="s">
        <v>5</v>
      </c>
      <c r="BN414" s="2" t="s">
        <v>5</v>
      </c>
      <c r="BO414" s="2" t="s">
        <v>5</v>
      </c>
      <c r="BP414" s="2" t="s">
        <v>5</v>
      </c>
      <c r="BQ414" s="2" t="s">
        <v>5</v>
      </c>
      <c r="BR414" s="2" t="s">
        <v>5</v>
      </c>
      <c r="BS414" s="2" t="s">
        <v>5</v>
      </c>
      <c r="BT414" s="2" t="s">
        <v>5</v>
      </c>
      <c r="BU414" s="2" t="s">
        <v>5</v>
      </c>
      <c r="BV414" s="2" t="s">
        <v>5</v>
      </c>
      <c r="BW414" s="2" t="s">
        <v>5</v>
      </c>
      <c r="BX414" s="2" t="s">
        <v>5</v>
      </c>
      <c r="BY414" s="25" t="s">
        <v>5</v>
      </c>
      <c r="BZ414" s="25" t="s">
        <v>5</v>
      </c>
      <c r="CA414" s="4">
        <v>11.9</v>
      </c>
      <c r="CB414" s="6" t="s">
        <v>5</v>
      </c>
      <c r="CC414" s="4">
        <v>17.899999999999999</v>
      </c>
      <c r="CD414" s="4">
        <v>12.2</v>
      </c>
      <c r="CE414" s="4">
        <v>18.2</v>
      </c>
      <c r="CF414" s="16" t="s">
        <v>5</v>
      </c>
      <c r="CG414" s="5">
        <v>3.5</v>
      </c>
      <c r="CH414" s="18" t="s">
        <v>5</v>
      </c>
    </row>
    <row r="415" spans="2:86">
      <c r="B415" s="78" t="s">
        <v>145</v>
      </c>
      <c r="C415" s="79" t="s">
        <v>421</v>
      </c>
      <c r="D415" s="80" t="s">
        <v>421</v>
      </c>
      <c r="E415" s="1" t="s">
        <v>4</v>
      </c>
      <c r="F415" s="7">
        <v>7.5</v>
      </c>
      <c r="G415" s="7">
        <v>2.21</v>
      </c>
      <c r="H415" s="3" t="str">
        <f t="shared" si="25"/>
        <v>WT3X7.5</v>
      </c>
      <c r="I415" s="7">
        <v>3</v>
      </c>
      <c r="J415" s="5">
        <v>3</v>
      </c>
      <c r="K415" s="6" t="s">
        <v>5</v>
      </c>
      <c r="L415" s="6" t="s">
        <v>5</v>
      </c>
      <c r="M415" s="6" t="s">
        <v>5</v>
      </c>
      <c r="N415" s="7">
        <v>5.99</v>
      </c>
      <c r="O415" s="5">
        <v>6</v>
      </c>
      <c r="P415" s="5" t="s">
        <v>5</v>
      </c>
      <c r="Q415" s="6" t="s">
        <v>5</v>
      </c>
      <c r="R415" s="6" t="s">
        <v>5</v>
      </c>
      <c r="S415" s="22">
        <v>0.23</v>
      </c>
      <c r="T415" s="5">
        <v>0.25</v>
      </c>
      <c r="U415" s="8">
        <v>0.125</v>
      </c>
      <c r="V415" s="22">
        <v>0.26</v>
      </c>
      <c r="W415" s="8">
        <v>0.25</v>
      </c>
      <c r="X415" s="22">
        <v>0.26</v>
      </c>
      <c r="Y415" s="6" t="s">
        <v>5</v>
      </c>
      <c r="Z415" s="6" t="s">
        <v>5</v>
      </c>
      <c r="AA415" s="22">
        <v>0.51</v>
      </c>
      <c r="AB415" s="8">
        <v>0.75</v>
      </c>
      <c r="AC415" s="8" t="s">
        <v>5</v>
      </c>
      <c r="AD415" s="6" t="s">
        <v>5</v>
      </c>
      <c r="AE415" s="22">
        <v>0.55800000000000005</v>
      </c>
      <c r="AF415" s="6" t="s">
        <v>5</v>
      </c>
      <c r="AG415" s="6" t="s">
        <v>5</v>
      </c>
      <c r="AH415" s="22">
        <v>0.185</v>
      </c>
      <c r="AI415" s="4">
        <v>11.5</v>
      </c>
      <c r="AJ415" s="6" t="s">
        <v>5</v>
      </c>
      <c r="AK415" s="6" t="s">
        <v>5</v>
      </c>
      <c r="AL415" s="6" t="s">
        <v>5</v>
      </c>
      <c r="AM415" s="6" t="s">
        <v>5</v>
      </c>
      <c r="AN415" s="4">
        <v>13</v>
      </c>
      <c r="AO415" s="7">
        <v>1.41</v>
      </c>
      <c r="AP415" s="7">
        <v>1.03</v>
      </c>
      <c r="AQ415" s="22">
        <v>0.57699999999999996</v>
      </c>
      <c r="AR415" s="22">
        <v>0.79700000000000004</v>
      </c>
      <c r="AS415" s="7">
        <v>4.66</v>
      </c>
      <c r="AT415" s="7">
        <v>2.37</v>
      </c>
      <c r="AU415" s="7">
        <v>1.56</v>
      </c>
      <c r="AV415" s="7">
        <v>1.45</v>
      </c>
      <c r="AW415" s="6" t="s">
        <v>5</v>
      </c>
      <c r="AX415" s="6" t="s">
        <v>5</v>
      </c>
      <c r="AY415" s="6" t="s">
        <v>5</v>
      </c>
      <c r="AZ415" s="28">
        <v>5.04E-2</v>
      </c>
      <c r="BA415" s="28">
        <v>3.4200000000000001E-2</v>
      </c>
      <c r="BB415" s="6" t="s">
        <v>5</v>
      </c>
      <c r="BC415" s="6" t="s">
        <v>5</v>
      </c>
      <c r="BD415" s="6" t="s">
        <v>5</v>
      </c>
      <c r="BE415" s="6" t="s">
        <v>5</v>
      </c>
      <c r="BF415" s="6" t="s">
        <v>5</v>
      </c>
      <c r="BG415" s="6" t="s">
        <v>5</v>
      </c>
      <c r="BH415" s="6" t="s">
        <v>5</v>
      </c>
      <c r="BI415" s="7">
        <v>1.71</v>
      </c>
      <c r="BJ415" s="22">
        <v>0.93700000000000006</v>
      </c>
      <c r="BK415" s="6" t="s">
        <v>5</v>
      </c>
      <c r="BL415" s="2" t="s">
        <v>5</v>
      </c>
      <c r="BM415" s="2" t="s">
        <v>5</v>
      </c>
      <c r="BN415" s="2" t="s">
        <v>5</v>
      </c>
      <c r="BO415" s="2" t="s">
        <v>5</v>
      </c>
      <c r="BP415" s="2" t="s">
        <v>5</v>
      </c>
      <c r="BQ415" s="2" t="s">
        <v>5</v>
      </c>
      <c r="BR415" s="2" t="s">
        <v>5</v>
      </c>
      <c r="BS415" s="2" t="s">
        <v>5</v>
      </c>
      <c r="BT415" s="2" t="s">
        <v>5</v>
      </c>
      <c r="BU415" s="2" t="s">
        <v>5</v>
      </c>
      <c r="BV415" s="2" t="s">
        <v>5</v>
      </c>
      <c r="BW415" s="2" t="s">
        <v>5</v>
      </c>
      <c r="BX415" s="2" t="s">
        <v>5</v>
      </c>
      <c r="BY415" s="25" t="s">
        <v>5</v>
      </c>
      <c r="BZ415" s="25" t="s">
        <v>5</v>
      </c>
      <c r="CA415" s="4">
        <v>11.7</v>
      </c>
      <c r="CB415" s="6" t="s">
        <v>5</v>
      </c>
      <c r="CC415" s="4">
        <v>17.600000000000001</v>
      </c>
      <c r="CD415" s="4">
        <v>12</v>
      </c>
      <c r="CE415" s="4">
        <v>18</v>
      </c>
      <c r="CF415" s="16" t="s">
        <v>5</v>
      </c>
      <c r="CG415" s="5">
        <v>3.5</v>
      </c>
      <c r="CH415" s="18" t="s">
        <v>5</v>
      </c>
    </row>
    <row r="416" spans="2:86">
      <c r="B416" s="78" t="s">
        <v>145</v>
      </c>
      <c r="C416" s="79" t="s">
        <v>422</v>
      </c>
      <c r="D416" s="80" t="s">
        <v>422</v>
      </c>
      <c r="E416" s="1" t="s">
        <v>4</v>
      </c>
      <c r="F416" s="7">
        <v>8</v>
      </c>
      <c r="G416" s="7">
        <v>2.37</v>
      </c>
      <c r="H416" s="3" t="str">
        <f t="shared" si="25"/>
        <v>WT3X8</v>
      </c>
      <c r="I416" s="7">
        <v>3.14</v>
      </c>
      <c r="J416" s="5">
        <v>3.125</v>
      </c>
      <c r="K416" s="6" t="s">
        <v>5</v>
      </c>
      <c r="L416" s="6" t="s">
        <v>5</v>
      </c>
      <c r="M416" s="6" t="s">
        <v>5</v>
      </c>
      <c r="N416" s="7">
        <v>4.03</v>
      </c>
      <c r="O416" s="5">
        <v>4</v>
      </c>
      <c r="P416" s="5" t="s">
        <v>5</v>
      </c>
      <c r="Q416" s="6" t="s">
        <v>5</v>
      </c>
      <c r="R416" s="6" t="s">
        <v>5</v>
      </c>
      <c r="S416" s="22">
        <v>0.26</v>
      </c>
      <c r="T416" s="5">
        <v>0.25</v>
      </c>
      <c r="U416" s="8">
        <v>0.125</v>
      </c>
      <c r="V416" s="22">
        <v>0.40500000000000003</v>
      </c>
      <c r="W416" s="8">
        <v>0.375</v>
      </c>
      <c r="X416" s="22">
        <v>0.40500000000000003</v>
      </c>
      <c r="Y416" s="6" t="s">
        <v>5</v>
      </c>
      <c r="Z416" s="6" t="s">
        <v>5</v>
      </c>
      <c r="AA416" s="22">
        <v>0.65500000000000003</v>
      </c>
      <c r="AB416" s="8">
        <v>0.875</v>
      </c>
      <c r="AC416" s="8" t="s">
        <v>5</v>
      </c>
      <c r="AD416" s="6" t="s">
        <v>5</v>
      </c>
      <c r="AE416" s="22">
        <v>0.67600000000000005</v>
      </c>
      <c r="AF416" s="6" t="s">
        <v>5</v>
      </c>
      <c r="AG416" s="6" t="s">
        <v>5</v>
      </c>
      <c r="AH416" s="22">
        <v>0.29399999999999998</v>
      </c>
      <c r="AI416" s="7">
        <v>4.9800000000000004</v>
      </c>
      <c r="AJ416" s="6" t="s">
        <v>5</v>
      </c>
      <c r="AK416" s="6" t="s">
        <v>5</v>
      </c>
      <c r="AL416" s="6" t="s">
        <v>5</v>
      </c>
      <c r="AM416" s="6" t="s">
        <v>5</v>
      </c>
      <c r="AN416" s="4">
        <v>12.1</v>
      </c>
      <c r="AO416" s="7">
        <v>1.69</v>
      </c>
      <c r="AP416" s="7">
        <v>1.25</v>
      </c>
      <c r="AQ416" s="22">
        <v>0.68500000000000005</v>
      </c>
      <c r="AR416" s="22">
        <v>0.84399999999999997</v>
      </c>
      <c r="AS416" s="7">
        <v>2.21</v>
      </c>
      <c r="AT416" s="7">
        <v>1.69</v>
      </c>
      <c r="AU416" s="7">
        <v>1.1000000000000001</v>
      </c>
      <c r="AV416" s="22">
        <v>0.96599999999999997</v>
      </c>
      <c r="AW416" s="6" t="s">
        <v>5</v>
      </c>
      <c r="AX416" s="6" t="s">
        <v>5</v>
      </c>
      <c r="AY416" s="6" t="s">
        <v>5</v>
      </c>
      <c r="AZ416" s="22">
        <v>0.111</v>
      </c>
      <c r="BA416" s="28">
        <v>4.2599999999999999E-2</v>
      </c>
      <c r="BB416" s="6" t="s">
        <v>5</v>
      </c>
      <c r="BC416" s="6" t="s">
        <v>5</v>
      </c>
      <c r="BD416" s="6" t="s">
        <v>5</v>
      </c>
      <c r="BE416" s="6" t="s">
        <v>5</v>
      </c>
      <c r="BF416" s="6" t="s">
        <v>5</v>
      </c>
      <c r="BG416" s="6" t="s">
        <v>5</v>
      </c>
      <c r="BH416" s="6" t="s">
        <v>5</v>
      </c>
      <c r="BI416" s="7">
        <v>1.37</v>
      </c>
      <c r="BJ416" s="22">
        <v>0.88</v>
      </c>
      <c r="BK416" s="6" t="s">
        <v>5</v>
      </c>
      <c r="BL416" s="2" t="s">
        <v>5</v>
      </c>
      <c r="BM416" s="2" t="s">
        <v>5</v>
      </c>
      <c r="BN416" s="2" t="s">
        <v>5</v>
      </c>
      <c r="BO416" s="2" t="s">
        <v>5</v>
      </c>
      <c r="BP416" s="2" t="s">
        <v>5</v>
      </c>
      <c r="BQ416" s="2" t="s">
        <v>5</v>
      </c>
      <c r="BR416" s="2" t="s">
        <v>5</v>
      </c>
      <c r="BS416" s="2" t="s">
        <v>5</v>
      </c>
      <c r="BT416" s="2" t="s">
        <v>5</v>
      </c>
      <c r="BU416" s="2" t="s">
        <v>5</v>
      </c>
      <c r="BV416" s="2" t="s">
        <v>5</v>
      </c>
      <c r="BW416" s="2" t="s">
        <v>5</v>
      </c>
      <c r="BX416" s="2" t="s">
        <v>5</v>
      </c>
      <c r="BY416" s="25" t="s">
        <v>5</v>
      </c>
      <c r="BZ416" s="25" t="s">
        <v>5</v>
      </c>
      <c r="CA416" s="4">
        <v>10</v>
      </c>
      <c r="CB416" s="6" t="s">
        <v>5</v>
      </c>
      <c r="CC416" s="4">
        <v>14</v>
      </c>
      <c r="CD416" s="4">
        <v>10.3</v>
      </c>
      <c r="CE416" s="4">
        <v>14.3</v>
      </c>
      <c r="CF416" s="16" t="s">
        <v>5</v>
      </c>
      <c r="CG416" s="5">
        <v>2.25</v>
      </c>
      <c r="CH416" s="18" t="s">
        <v>5</v>
      </c>
    </row>
    <row r="417" spans="2:86">
      <c r="B417" s="78" t="s">
        <v>145</v>
      </c>
      <c r="C417" s="79" t="s">
        <v>423</v>
      </c>
      <c r="D417" s="80" t="s">
        <v>423</v>
      </c>
      <c r="E417" s="1" t="s">
        <v>4</v>
      </c>
      <c r="F417" s="7">
        <v>6</v>
      </c>
      <c r="G417" s="7">
        <v>1.78</v>
      </c>
      <c r="H417" s="3" t="str">
        <f t="shared" si="25"/>
        <v>WT3X6</v>
      </c>
      <c r="I417" s="7">
        <v>3.02</v>
      </c>
      <c r="J417" s="5">
        <v>3</v>
      </c>
      <c r="K417" s="6" t="s">
        <v>5</v>
      </c>
      <c r="L417" s="6" t="s">
        <v>5</v>
      </c>
      <c r="M417" s="6" t="s">
        <v>5</v>
      </c>
      <c r="N417" s="7">
        <v>4</v>
      </c>
      <c r="O417" s="5">
        <v>4</v>
      </c>
      <c r="P417" s="5" t="s">
        <v>5</v>
      </c>
      <c r="Q417" s="6" t="s">
        <v>5</v>
      </c>
      <c r="R417" s="6" t="s">
        <v>5</v>
      </c>
      <c r="S417" s="22">
        <v>0.23</v>
      </c>
      <c r="T417" s="5">
        <v>0.25</v>
      </c>
      <c r="U417" s="8">
        <v>0.125</v>
      </c>
      <c r="V417" s="22">
        <v>0.28000000000000003</v>
      </c>
      <c r="W417" s="8">
        <v>0.25</v>
      </c>
      <c r="X417" s="22">
        <v>0.28000000000000003</v>
      </c>
      <c r="Y417" s="6" t="s">
        <v>5</v>
      </c>
      <c r="Z417" s="6" t="s">
        <v>5</v>
      </c>
      <c r="AA417" s="22">
        <v>0.53</v>
      </c>
      <c r="AB417" s="8">
        <v>0.75</v>
      </c>
      <c r="AC417" s="8" t="s">
        <v>5</v>
      </c>
      <c r="AD417" s="6" t="s">
        <v>5</v>
      </c>
      <c r="AE417" s="22">
        <v>0.67700000000000005</v>
      </c>
      <c r="AF417" s="6" t="s">
        <v>5</v>
      </c>
      <c r="AG417" s="6" t="s">
        <v>5</v>
      </c>
      <c r="AH417" s="22">
        <v>0.222</v>
      </c>
      <c r="AI417" s="7">
        <v>7.14</v>
      </c>
      <c r="AJ417" s="6" t="s">
        <v>5</v>
      </c>
      <c r="AK417" s="6" t="s">
        <v>5</v>
      </c>
      <c r="AL417" s="6" t="s">
        <v>5</v>
      </c>
      <c r="AM417" s="6" t="s">
        <v>5</v>
      </c>
      <c r="AN417" s="4">
        <v>13.1</v>
      </c>
      <c r="AO417" s="7">
        <v>1.32</v>
      </c>
      <c r="AP417" s="7">
        <v>1.01</v>
      </c>
      <c r="AQ417" s="22">
        <v>0.56399999999999995</v>
      </c>
      <c r="AR417" s="22">
        <v>0.86199999999999999</v>
      </c>
      <c r="AS417" s="7">
        <v>1.5</v>
      </c>
      <c r="AT417" s="7">
        <v>1.1599999999999999</v>
      </c>
      <c r="AU417" s="22">
        <v>0.748</v>
      </c>
      <c r="AV417" s="22">
        <v>0.91800000000000004</v>
      </c>
      <c r="AW417" s="6" t="s">
        <v>5</v>
      </c>
      <c r="AX417" s="6" t="s">
        <v>5</v>
      </c>
      <c r="AY417" s="6" t="s">
        <v>5</v>
      </c>
      <c r="AZ417" s="28">
        <v>4.4900000000000002E-2</v>
      </c>
      <c r="BA417" s="28">
        <v>1.78E-2</v>
      </c>
      <c r="BB417" s="6" t="s">
        <v>5</v>
      </c>
      <c r="BC417" s="6" t="s">
        <v>5</v>
      </c>
      <c r="BD417" s="6" t="s">
        <v>5</v>
      </c>
      <c r="BE417" s="6" t="s">
        <v>5</v>
      </c>
      <c r="BF417" s="6" t="s">
        <v>5</v>
      </c>
      <c r="BG417" s="6" t="s">
        <v>5</v>
      </c>
      <c r="BH417" s="6" t="s">
        <v>5</v>
      </c>
      <c r="BI417" s="7">
        <v>1.37</v>
      </c>
      <c r="BJ417" s="22">
        <v>0.84599999999999997</v>
      </c>
      <c r="BK417" s="6" t="s">
        <v>5</v>
      </c>
      <c r="BL417" s="2" t="s">
        <v>5</v>
      </c>
      <c r="BM417" s="2" t="s">
        <v>5</v>
      </c>
      <c r="BN417" s="2" t="s">
        <v>5</v>
      </c>
      <c r="BO417" s="2" t="s">
        <v>5</v>
      </c>
      <c r="BP417" s="2" t="s">
        <v>5</v>
      </c>
      <c r="BQ417" s="2" t="s">
        <v>5</v>
      </c>
      <c r="BR417" s="2" t="s">
        <v>5</v>
      </c>
      <c r="BS417" s="2" t="s">
        <v>5</v>
      </c>
      <c r="BT417" s="2" t="s">
        <v>5</v>
      </c>
      <c r="BU417" s="2" t="s">
        <v>5</v>
      </c>
      <c r="BV417" s="2" t="s">
        <v>5</v>
      </c>
      <c r="BW417" s="2" t="s">
        <v>5</v>
      </c>
      <c r="BX417" s="2" t="s">
        <v>5</v>
      </c>
      <c r="BY417" s="25" t="s">
        <v>5</v>
      </c>
      <c r="BZ417" s="25" t="s">
        <v>5</v>
      </c>
      <c r="CA417" s="7">
        <v>9.6999999999999993</v>
      </c>
      <c r="CB417" s="6" t="s">
        <v>5</v>
      </c>
      <c r="CC417" s="4">
        <v>13.7</v>
      </c>
      <c r="CD417" s="4">
        <v>10</v>
      </c>
      <c r="CE417" s="4">
        <v>14</v>
      </c>
      <c r="CF417" s="16" t="s">
        <v>5</v>
      </c>
      <c r="CG417" s="5">
        <v>2.25</v>
      </c>
      <c r="CH417" s="18" t="s">
        <v>5</v>
      </c>
    </row>
    <row r="418" spans="2:86">
      <c r="B418" s="78" t="s">
        <v>145</v>
      </c>
      <c r="C418" s="79" t="s">
        <v>424</v>
      </c>
      <c r="D418" s="80" t="s">
        <v>424</v>
      </c>
      <c r="E418" s="1" t="s">
        <v>4</v>
      </c>
      <c r="F418" s="7">
        <v>4.5</v>
      </c>
      <c r="G418" s="7">
        <v>1.34</v>
      </c>
      <c r="H418" s="3" t="str">
        <f t="shared" si="25"/>
        <v>WT3X4.5</v>
      </c>
      <c r="I418" s="7">
        <v>2.95</v>
      </c>
      <c r="J418" s="5">
        <v>3</v>
      </c>
      <c r="K418" s="6" t="s">
        <v>5</v>
      </c>
      <c r="L418" s="6" t="s">
        <v>5</v>
      </c>
      <c r="M418" s="6" t="s">
        <v>5</v>
      </c>
      <c r="N418" s="7">
        <v>3.94</v>
      </c>
      <c r="O418" s="5">
        <v>4</v>
      </c>
      <c r="P418" s="5" t="s">
        <v>5</v>
      </c>
      <c r="Q418" s="6" t="s">
        <v>5</v>
      </c>
      <c r="R418" s="6" t="s">
        <v>5</v>
      </c>
      <c r="S418" s="22">
        <v>0.17</v>
      </c>
      <c r="T418" s="5">
        <v>0.1875</v>
      </c>
      <c r="U418" s="8">
        <v>0.125</v>
      </c>
      <c r="V418" s="22">
        <v>0.215</v>
      </c>
      <c r="W418" s="8">
        <v>0.1875</v>
      </c>
      <c r="X418" s="22">
        <v>0.215</v>
      </c>
      <c r="Y418" s="6" t="s">
        <v>5</v>
      </c>
      <c r="Z418" s="6" t="s">
        <v>5</v>
      </c>
      <c r="AA418" s="22">
        <v>0.46500000000000002</v>
      </c>
      <c r="AB418" s="8">
        <v>0.6875</v>
      </c>
      <c r="AC418" s="8" t="s">
        <v>5</v>
      </c>
      <c r="AD418" s="6" t="s">
        <v>5</v>
      </c>
      <c r="AE418" s="22">
        <v>0.623</v>
      </c>
      <c r="AF418" s="6" t="s">
        <v>5</v>
      </c>
      <c r="AG418" s="6" t="s">
        <v>5</v>
      </c>
      <c r="AH418" s="22">
        <v>0.17</v>
      </c>
      <c r="AI418" s="7">
        <v>9.16</v>
      </c>
      <c r="AJ418" s="6" t="s">
        <v>5</v>
      </c>
      <c r="AK418" s="6" t="s">
        <v>5</v>
      </c>
      <c r="AL418" s="6" t="s">
        <v>5</v>
      </c>
      <c r="AM418" s="6" t="s">
        <v>5</v>
      </c>
      <c r="AN418" s="4">
        <v>17.399999999999999</v>
      </c>
      <c r="AO418" s="22">
        <v>0.95</v>
      </c>
      <c r="AP418" s="22">
        <v>0.72</v>
      </c>
      <c r="AQ418" s="22">
        <v>0.40799999999999997</v>
      </c>
      <c r="AR418" s="22">
        <v>0.84199999999999997</v>
      </c>
      <c r="AS418" s="7">
        <v>1.1000000000000001</v>
      </c>
      <c r="AT418" s="22">
        <v>0.85599999999999998</v>
      </c>
      <c r="AU418" s="22">
        <v>0.55700000000000005</v>
      </c>
      <c r="AV418" s="22">
        <v>0.90500000000000003</v>
      </c>
      <c r="AW418" s="6" t="s">
        <v>5</v>
      </c>
      <c r="AX418" s="6" t="s">
        <v>5</v>
      </c>
      <c r="AY418" s="6" t="s">
        <v>5</v>
      </c>
      <c r="AZ418" s="28">
        <v>2.0199999999999999E-2</v>
      </c>
      <c r="BA418" s="31">
        <v>7.3600000000000002E-3</v>
      </c>
      <c r="BB418" s="6" t="s">
        <v>5</v>
      </c>
      <c r="BC418" s="6" t="s">
        <v>5</v>
      </c>
      <c r="BD418" s="6" t="s">
        <v>5</v>
      </c>
      <c r="BE418" s="6" t="s">
        <v>5</v>
      </c>
      <c r="BF418" s="6" t="s">
        <v>5</v>
      </c>
      <c r="BG418" s="6" t="s">
        <v>5</v>
      </c>
      <c r="BH418" s="6" t="s">
        <v>5</v>
      </c>
      <c r="BI418" s="7">
        <v>1.34</v>
      </c>
      <c r="BJ418" s="22">
        <v>0.85199999999999998</v>
      </c>
      <c r="BK418" s="6" t="s">
        <v>5</v>
      </c>
      <c r="BL418" s="2" t="s">
        <v>5</v>
      </c>
      <c r="BM418" s="2" t="s">
        <v>5</v>
      </c>
      <c r="BN418" s="2" t="s">
        <v>5</v>
      </c>
      <c r="BO418" s="2" t="s">
        <v>5</v>
      </c>
      <c r="BP418" s="2" t="s">
        <v>5</v>
      </c>
      <c r="BQ418" s="2" t="s">
        <v>5</v>
      </c>
      <c r="BR418" s="2" t="s">
        <v>5</v>
      </c>
      <c r="BS418" s="2" t="s">
        <v>5</v>
      </c>
      <c r="BT418" s="2" t="s">
        <v>5</v>
      </c>
      <c r="BU418" s="2" t="s">
        <v>5</v>
      </c>
      <c r="BV418" s="2" t="s">
        <v>5</v>
      </c>
      <c r="BW418" s="2" t="s">
        <v>5</v>
      </c>
      <c r="BX418" s="2" t="s">
        <v>5</v>
      </c>
      <c r="BY418" s="25" t="s">
        <v>5</v>
      </c>
      <c r="BZ418" s="25" t="s">
        <v>5</v>
      </c>
      <c r="CA418" s="7">
        <v>9.5</v>
      </c>
      <c r="CB418" s="6" t="s">
        <v>5</v>
      </c>
      <c r="CC418" s="4">
        <v>13.4</v>
      </c>
      <c r="CD418" s="7">
        <v>9.8400000000000016</v>
      </c>
      <c r="CE418" s="4">
        <v>13.8</v>
      </c>
      <c r="CF418" s="16" t="s">
        <v>5</v>
      </c>
      <c r="CG418" s="5">
        <v>2.25</v>
      </c>
      <c r="CH418" s="18" t="s">
        <v>5</v>
      </c>
    </row>
    <row r="419" spans="2:86">
      <c r="B419" s="78" t="s">
        <v>145</v>
      </c>
      <c r="C419" s="79" t="s">
        <v>425</v>
      </c>
      <c r="D419" s="80" t="s">
        <v>425</v>
      </c>
      <c r="E419" s="1" t="s">
        <v>4</v>
      </c>
      <c r="F419" s="7">
        <v>4.25</v>
      </c>
      <c r="G419" s="7">
        <v>1.26</v>
      </c>
      <c r="H419" s="3" t="str">
        <f t="shared" si="25"/>
        <v>WT3X4.25</v>
      </c>
      <c r="I419" s="7">
        <v>2.92</v>
      </c>
      <c r="J419" s="5">
        <v>2.875</v>
      </c>
      <c r="K419" s="6" t="s">
        <v>5</v>
      </c>
      <c r="L419" s="6" t="s">
        <v>5</v>
      </c>
      <c r="M419" s="6" t="s">
        <v>5</v>
      </c>
      <c r="N419" s="7">
        <v>3.94</v>
      </c>
      <c r="O419" s="5">
        <v>4</v>
      </c>
      <c r="P419" s="5" t="s">
        <v>5</v>
      </c>
      <c r="Q419" s="6" t="s">
        <v>5</v>
      </c>
      <c r="R419" s="6" t="s">
        <v>5</v>
      </c>
      <c r="S419" s="22">
        <v>0.17</v>
      </c>
      <c r="T419" s="5">
        <v>0.1875</v>
      </c>
      <c r="U419" s="8">
        <v>0.125</v>
      </c>
      <c r="V419" s="22">
        <v>0.19500000000000001</v>
      </c>
      <c r="W419" s="8">
        <v>0.1875</v>
      </c>
      <c r="X419" s="22">
        <v>0.19500000000000001</v>
      </c>
      <c r="Y419" s="6" t="s">
        <v>5</v>
      </c>
      <c r="Z419" s="6" t="s">
        <v>5</v>
      </c>
      <c r="AA419" s="22">
        <v>0.44500000000000001</v>
      </c>
      <c r="AB419" s="8">
        <v>0.6875</v>
      </c>
      <c r="AC419" s="8" t="s">
        <v>5</v>
      </c>
      <c r="AD419" s="6" t="s">
        <v>5</v>
      </c>
      <c r="AE419" s="22">
        <v>0.63700000000000001</v>
      </c>
      <c r="AF419" s="6" t="s">
        <v>5</v>
      </c>
      <c r="AG419" s="6" t="s">
        <v>5</v>
      </c>
      <c r="AH419" s="22">
        <v>0.16</v>
      </c>
      <c r="AI419" s="4">
        <v>10.1</v>
      </c>
      <c r="AJ419" s="6" t="s">
        <v>5</v>
      </c>
      <c r="AK419" s="6" t="s">
        <v>5</v>
      </c>
      <c r="AL419" s="6" t="s">
        <v>5</v>
      </c>
      <c r="AM419" s="6" t="s">
        <v>5</v>
      </c>
      <c r="AN419" s="4">
        <v>17.2</v>
      </c>
      <c r="AO419" s="22">
        <v>0.90500000000000003</v>
      </c>
      <c r="AP419" s="22">
        <v>0.7</v>
      </c>
      <c r="AQ419" s="22">
        <v>0.39700000000000002</v>
      </c>
      <c r="AR419" s="22">
        <v>0.84799999999999998</v>
      </c>
      <c r="AS419" s="22">
        <v>0.995</v>
      </c>
      <c r="AT419" s="22">
        <v>0.77800000000000002</v>
      </c>
      <c r="AU419" s="22">
        <v>0.505</v>
      </c>
      <c r="AV419" s="22">
        <v>0.89</v>
      </c>
      <c r="AW419" s="6" t="s">
        <v>5</v>
      </c>
      <c r="AX419" s="6" t="s">
        <v>5</v>
      </c>
      <c r="AY419" s="6" t="s">
        <v>5</v>
      </c>
      <c r="AZ419" s="28">
        <v>1.66E-2</v>
      </c>
      <c r="BA419" s="31">
        <v>6.1999999999999998E-3</v>
      </c>
      <c r="BB419" s="6" t="s">
        <v>5</v>
      </c>
      <c r="BC419" s="6" t="s">
        <v>5</v>
      </c>
      <c r="BD419" s="6" t="s">
        <v>5</v>
      </c>
      <c r="BE419" s="6" t="s">
        <v>5</v>
      </c>
      <c r="BF419" s="6" t="s">
        <v>5</v>
      </c>
      <c r="BG419" s="6" t="s">
        <v>5</v>
      </c>
      <c r="BH419" s="6" t="s">
        <v>5</v>
      </c>
      <c r="BI419" s="7">
        <v>1.34</v>
      </c>
      <c r="BJ419" s="22">
        <v>0.83899999999999997</v>
      </c>
      <c r="BK419" s="6" t="s">
        <v>5</v>
      </c>
      <c r="BL419" s="2" t="s">
        <v>5</v>
      </c>
      <c r="BM419" s="2" t="s">
        <v>5</v>
      </c>
      <c r="BN419" s="2" t="s">
        <v>5</v>
      </c>
      <c r="BO419" s="2" t="s">
        <v>5</v>
      </c>
      <c r="BP419" s="2" t="s">
        <v>5</v>
      </c>
      <c r="BQ419" s="2" t="s">
        <v>5</v>
      </c>
      <c r="BR419" s="2" t="s">
        <v>5</v>
      </c>
      <c r="BS419" s="2" t="s">
        <v>5</v>
      </c>
      <c r="BT419" s="2" t="s">
        <v>5</v>
      </c>
      <c r="BU419" s="2" t="s">
        <v>5</v>
      </c>
      <c r="BV419" s="2" t="s">
        <v>5</v>
      </c>
      <c r="BW419" s="2" t="s">
        <v>5</v>
      </c>
      <c r="BX419" s="2" t="s">
        <v>5</v>
      </c>
      <c r="BY419" s="25" t="s">
        <v>5</v>
      </c>
      <c r="BZ419" s="25" t="s">
        <v>5</v>
      </c>
      <c r="CA419" s="7">
        <v>9.44</v>
      </c>
      <c r="CB419" s="6" t="s">
        <v>5</v>
      </c>
      <c r="CC419" s="4">
        <v>13.4</v>
      </c>
      <c r="CD419" s="7">
        <v>9.7799999999999994</v>
      </c>
      <c r="CE419" s="4">
        <v>13.7</v>
      </c>
      <c r="CF419" s="16" t="s">
        <v>5</v>
      </c>
      <c r="CG419" s="5">
        <v>2.25</v>
      </c>
      <c r="CH419" s="18" t="s">
        <v>5</v>
      </c>
    </row>
    <row r="420" spans="2:86">
      <c r="B420" s="78" t="s">
        <v>145</v>
      </c>
      <c r="C420" s="79" t="s">
        <v>426</v>
      </c>
      <c r="D420" s="80" t="s">
        <v>426</v>
      </c>
      <c r="E420" s="1" t="s">
        <v>4</v>
      </c>
      <c r="F420" s="7">
        <v>9.5</v>
      </c>
      <c r="G420" s="7">
        <v>2.78</v>
      </c>
      <c r="H420" s="3" t="str">
        <f t="shared" si="25"/>
        <v>WT2.5X9.5</v>
      </c>
      <c r="I420" s="7">
        <v>2.58</v>
      </c>
      <c r="J420" s="5">
        <v>2.625</v>
      </c>
      <c r="K420" s="6" t="s">
        <v>5</v>
      </c>
      <c r="L420" s="6" t="s">
        <v>5</v>
      </c>
      <c r="M420" s="6" t="s">
        <v>5</v>
      </c>
      <c r="N420" s="7">
        <v>5.03</v>
      </c>
      <c r="O420" s="5">
        <v>5</v>
      </c>
      <c r="P420" s="5" t="s">
        <v>5</v>
      </c>
      <c r="Q420" s="6" t="s">
        <v>5</v>
      </c>
      <c r="R420" s="6" t="s">
        <v>5</v>
      </c>
      <c r="S420" s="22">
        <v>0.27</v>
      </c>
      <c r="T420" s="5">
        <v>0.25</v>
      </c>
      <c r="U420" s="8">
        <v>0.125</v>
      </c>
      <c r="V420" s="22">
        <v>0.43</v>
      </c>
      <c r="W420" s="8">
        <v>0.4375</v>
      </c>
      <c r="X420" s="22">
        <v>0.43</v>
      </c>
      <c r="Y420" s="6" t="s">
        <v>5</v>
      </c>
      <c r="Z420" s="6" t="s">
        <v>5</v>
      </c>
      <c r="AA420" s="22">
        <v>0.73</v>
      </c>
      <c r="AB420" s="8">
        <v>0.8125</v>
      </c>
      <c r="AC420" s="8" t="s">
        <v>5</v>
      </c>
      <c r="AD420" s="6" t="s">
        <v>5</v>
      </c>
      <c r="AE420" s="22">
        <v>0.48699999999999999</v>
      </c>
      <c r="AF420" s="6" t="s">
        <v>5</v>
      </c>
      <c r="AG420" s="6" t="s">
        <v>5</v>
      </c>
      <c r="AH420" s="22">
        <v>0.27600000000000002</v>
      </c>
      <c r="AI420" s="7">
        <v>5.85</v>
      </c>
      <c r="AJ420" s="6" t="s">
        <v>5</v>
      </c>
      <c r="AK420" s="6" t="s">
        <v>5</v>
      </c>
      <c r="AL420" s="6" t="s">
        <v>5</v>
      </c>
      <c r="AM420" s="6" t="s">
        <v>5</v>
      </c>
      <c r="AN420" s="7">
        <v>9.56</v>
      </c>
      <c r="AO420" s="7">
        <v>1.01</v>
      </c>
      <c r="AP420" s="22">
        <v>0.97</v>
      </c>
      <c r="AQ420" s="22">
        <v>0.48499999999999999</v>
      </c>
      <c r="AR420" s="22">
        <v>0.60399999999999998</v>
      </c>
      <c r="AS420" s="7">
        <v>4.5599999999999996</v>
      </c>
      <c r="AT420" s="7">
        <v>2.76</v>
      </c>
      <c r="AU420" s="7">
        <v>1.81</v>
      </c>
      <c r="AV420" s="7">
        <v>1.28</v>
      </c>
      <c r="AW420" s="6" t="s">
        <v>5</v>
      </c>
      <c r="AX420" s="6" t="s">
        <v>5</v>
      </c>
      <c r="AY420" s="6" t="s">
        <v>5</v>
      </c>
      <c r="AZ420" s="22">
        <v>0.157</v>
      </c>
      <c r="BA420" s="28">
        <v>7.7499999999999999E-2</v>
      </c>
      <c r="BB420" s="6" t="s">
        <v>5</v>
      </c>
      <c r="BC420" s="6" t="s">
        <v>5</v>
      </c>
      <c r="BD420" s="6" t="s">
        <v>5</v>
      </c>
      <c r="BE420" s="6" t="s">
        <v>5</v>
      </c>
      <c r="BF420" s="6" t="s">
        <v>5</v>
      </c>
      <c r="BG420" s="6" t="s">
        <v>5</v>
      </c>
      <c r="BH420" s="6" t="s">
        <v>5</v>
      </c>
      <c r="BI420" s="7">
        <v>1.44</v>
      </c>
      <c r="BJ420" s="22">
        <v>0.96399999999999997</v>
      </c>
      <c r="BK420" s="6" t="s">
        <v>5</v>
      </c>
      <c r="BL420" s="2" t="s">
        <v>5</v>
      </c>
      <c r="BM420" s="2" t="s">
        <v>5</v>
      </c>
      <c r="BN420" s="2" t="s">
        <v>5</v>
      </c>
      <c r="BO420" s="2" t="s">
        <v>5</v>
      </c>
      <c r="BP420" s="2" t="s">
        <v>5</v>
      </c>
      <c r="BQ420" s="2" t="s">
        <v>5</v>
      </c>
      <c r="BR420" s="2" t="s">
        <v>5</v>
      </c>
      <c r="BS420" s="2" t="s">
        <v>5</v>
      </c>
      <c r="BT420" s="2" t="s">
        <v>5</v>
      </c>
      <c r="BU420" s="2" t="s">
        <v>5</v>
      </c>
      <c r="BV420" s="2" t="s">
        <v>5</v>
      </c>
      <c r="BW420" s="2" t="s">
        <v>5</v>
      </c>
      <c r="BX420" s="2" t="s">
        <v>5</v>
      </c>
      <c r="BY420" s="25" t="s">
        <v>5</v>
      </c>
      <c r="BZ420" s="25" t="s">
        <v>5</v>
      </c>
      <c r="CA420" s="7">
        <v>9.93</v>
      </c>
      <c r="CB420" s="6" t="s">
        <v>5</v>
      </c>
      <c r="CC420" s="4">
        <v>15</v>
      </c>
      <c r="CD420" s="4">
        <v>10.199999999999999</v>
      </c>
      <c r="CE420" s="4">
        <v>15.2</v>
      </c>
      <c r="CF420" s="16" t="s">
        <v>5</v>
      </c>
      <c r="CG420" s="5">
        <v>2.75</v>
      </c>
      <c r="CH420" s="18" t="s">
        <v>5</v>
      </c>
    </row>
    <row r="421" spans="2:86">
      <c r="B421" s="78" t="s">
        <v>145</v>
      </c>
      <c r="C421" s="79" t="s">
        <v>427</v>
      </c>
      <c r="D421" s="80" t="s">
        <v>427</v>
      </c>
      <c r="E421" s="1" t="s">
        <v>4</v>
      </c>
      <c r="F421" s="7">
        <v>8</v>
      </c>
      <c r="G421" s="7">
        <v>2.35</v>
      </c>
      <c r="H421" s="3" t="str">
        <f t="shared" si="25"/>
        <v>WT2.5X8</v>
      </c>
      <c r="I421" s="7">
        <v>2.5099999999999998</v>
      </c>
      <c r="J421" s="5">
        <v>2.5</v>
      </c>
      <c r="K421" s="6" t="s">
        <v>5</v>
      </c>
      <c r="L421" s="6" t="s">
        <v>5</v>
      </c>
      <c r="M421" s="6" t="s">
        <v>5</v>
      </c>
      <c r="N421" s="7">
        <v>5</v>
      </c>
      <c r="O421" s="5">
        <v>5</v>
      </c>
      <c r="P421" s="5" t="s">
        <v>5</v>
      </c>
      <c r="Q421" s="6" t="s">
        <v>5</v>
      </c>
      <c r="R421" s="6" t="s">
        <v>5</v>
      </c>
      <c r="S421" s="22">
        <v>0.24</v>
      </c>
      <c r="T421" s="5">
        <v>0.25</v>
      </c>
      <c r="U421" s="8">
        <v>0.125</v>
      </c>
      <c r="V421" s="22">
        <v>0.36</v>
      </c>
      <c r="W421" s="8">
        <v>0.375</v>
      </c>
      <c r="X421" s="22">
        <v>0.36</v>
      </c>
      <c r="Y421" s="6" t="s">
        <v>5</v>
      </c>
      <c r="Z421" s="6" t="s">
        <v>5</v>
      </c>
      <c r="AA421" s="22">
        <v>0.66</v>
      </c>
      <c r="AB421" s="8">
        <v>0.75</v>
      </c>
      <c r="AC421" s="8" t="s">
        <v>5</v>
      </c>
      <c r="AD421" s="6" t="s">
        <v>5</v>
      </c>
      <c r="AE421" s="22">
        <v>0.45800000000000002</v>
      </c>
      <c r="AF421" s="6" t="s">
        <v>5</v>
      </c>
      <c r="AG421" s="6" t="s">
        <v>5</v>
      </c>
      <c r="AH421" s="22">
        <v>0.23499999999999999</v>
      </c>
      <c r="AI421" s="7">
        <v>6.94</v>
      </c>
      <c r="AJ421" s="6" t="s">
        <v>5</v>
      </c>
      <c r="AK421" s="6" t="s">
        <v>5</v>
      </c>
      <c r="AL421" s="6" t="s">
        <v>5</v>
      </c>
      <c r="AM421" s="6" t="s">
        <v>5</v>
      </c>
      <c r="AN421" s="4">
        <v>10.5</v>
      </c>
      <c r="AO421" s="22">
        <v>0.84499999999999997</v>
      </c>
      <c r="AP421" s="22">
        <v>0.80100000000000005</v>
      </c>
      <c r="AQ421" s="22">
        <v>0.41299999999999998</v>
      </c>
      <c r="AR421" s="22">
        <v>0.59899999999999998</v>
      </c>
      <c r="AS421" s="7">
        <v>3.75</v>
      </c>
      <c r="AT421" s="7">
        <v>2.2799999999999998</v>
      </c>
      <c r="AU421" s="7">
        <v>1.5</v>
      </c>
      <c r="AV421" s="7">
        <v>1.26</v>
      </c>
      <c r="AW421" s="6" t="s">
        <v>5</v>
      </c>
      <c r="AX421" s="6" t="s">
        <v>5</v>
      </c>
      <c r="AY421" s="6" t="s">
        <v>5</v>
      </c>
      <c r="AZ421" s="28">
        <v>9.5799999999999996E-2</v>
      </c>
      <c r="BA421" s="28">
        <v>4.53E-2</v>
      </c>
      <c r="BB421" s="6" t="s">
        <v>5</v>
      </c>
      <c r="BC421" s="6" t="s">
        <v>5</v>
      </c>
      <c r="BD421" s="6" t="s">
        <v>5</v>
      </c>
      <c r="BE421" s="6" t="s">
        <v>5</v>
      </c>
      <c r="BF421" s="6" t="s">
        <v>5</v>
      </c>
      <c r="BG421" s="6" t="s">
        <v>5</v>
      </c>
      <c r="BH421" s="6" t="s">
        <v>5</v>
      </c>
      <c r="BI421" s="7">
        <v>1.43</v>
      </c>
      <c r="BJ421" s="22">
        <v>0.96199999999999997</v>
      </c>
      <c r="BK421" s="6" t="s">
        <v>5</v>
      </c>
      <c r="BL421" s="2" t="s">
        <v>5</v>
      </c>
      <c r="BM421" s="2" t="s">
        <v>5</v>
      </c>
      <c r="BN421" s="2" t="s">
        <v>5</v>
      </c>
      <c r="BO421" s="2" t="s">
        <v>5</v>
      </c>
      <c r="BP421" s="2" t="s">
        <v>5</v>
      </c>
      <c r="BQ421" s="2" t="s">
        <v>5</v>
      </c>
      <c r="BR421" s="2" t="s">
        <v>5</v>
      </c>
      <c r="BS421" s="2" t="s">
        <v>5</v>
      </c>
      <c r="BT421" s="2" t="s">
        <v>5</v>
      </c>
      <c r="BU421" s="2" t="s">
        <v>5</v>
      </c>
      <c r="BV421" s="2" t="s">
        <v>5</v>
      </c>
      <c r="BW421" s="2" t="s">
        <v>5</v>
      </c>
      <c r="BX421" s="2" t="s">
        <v>5</v>
      </c>
      <c r="BY421" s="25" t="s">
        <v>5</v>
      </c>
      <c r="BZ421" s="25" t="s">
        <v>5</v>
      </c>
      <c r="CA421" s="7">
        <v>9.76</v>
      </c>
      <c r="CB421" s="6" t="s">
        <v>5</v>
      </c>
      <c r="CC421" s="4">
        <v>14.8</v>
      </c>
      <c r="CD421" s="4">
        <v>10</v>
      </c>
      <c r="CE421" s="4">
        <v>15</v>
      </c>
      <c r="CF421" s="16" t="s">
        <v>5</v>
      </c>
      <c r="CG421" s="5">
        <v>2.75</v>
      </c>
      <c r="CH421" s="18" t="s">
        <v>5</v>
      </c>
    </row>
    <row r="422" spans="2:86">
      <c r="B422" s="78" t="s">
        <v>145</v>
      </c>
      <c r="C422" s="79" t="s">
        <v>428</v>
      </c>
      <c r="D422" s="80" t="s">
        <v>428</v>
      </c>
      <c r="E422" s="1" t="s">
        <v>4</v>
      </c>
      <c r="F422" s="7">
        <v>6.5</v>
      </c>
      <c r="G422" s="7">
        <v>1.91</v>
      </c>
      <c r="H422" s="3" t="str">
        <f t="shared" si="25"/>
        <v>WT2X6.5</v>
      </c>
      <c r="I422" s="7">
        <v>2.08</v>
      </c>
      <c r="J422" s="5">
        <v>2.125</v>
      </c>
      <c r="K422" s="6" t="s">
        <v>5</v>
      </c>
      <c r="L422" s="6" t="s">
        <v>5</v>
      </c>
      <c r="M422" s="6" t="s">
        <v>5</v>
      </c>
      <c r="N422" s="7">
        <v>4.0599999999999996</v>
      </c>
      <c r="O422" s="5">
        <v>4</v>
      </c>
      <c r="P422" s="5" t="s">
        <v>5</v>
      </c>
      <c r="Q422" s="6" t="s">
        <v>5</v>
      </c>
      <c r="R422" s="6" t="s">
        <v>5</v>
      </c>
      <c r="S422" s="22">
        <v>0.28000000000000003</v>
      </c>
      <c r="T422" s="5">
        <v>0.25</v>
      </c>
      <c r="U422" s="8">
        <v>0.125</v>
      </c>
      <c r="V422" s="22">
        <v>0.34499999999999997</v>
      </c>
      <c r="W422" s="8">
        <v>0.375</v>
      </c>
      <c r="X422" s="22">
        <v>0.34499999999999997</v>
      </c>
      <c r="Y422" s="6" t="s">
        <v>5</v>
      </c>
      <c r="Z422" s="6" t="s">
        <v>5</v>
      </c>
      <c r="AA422" s="22">
        <v>0.59499999999999997</v>
      </c>
      <c r="AB422" s="8">
        <v>0.75</v>
      </c>
      <c r="AC422" s="8" t="s">
        <v>5</v>
      </c>
      <c r="AD422" s="6" t="s">
        <v>5</v>
      </c>
      <c r="AE422" s="22">
        <v>0.44</v>
      </c>
      <c r="AF422" s="6" t="s">
        <v>5</v>
      </c>
      <c r="AG422" s="6" t="s">
        <v>5</v>
      </c>
      <c r="AH422" s="22">
        <v>0.23599999999999999</v>
      </c>
      <c r="AI422" s="7">
        <v>5.88</v>
      </c>
      <c r="AJ422" s="6" t="s">
        <v>5</v>
      </c>
      <c r="AK422" s="6" t="s">
        <v>5</v>
      </c>
      <c r="AL422" s="6" t="s">
        <v>5</v>
      </c>
      <c r="AM422" s="6" t="s">
        <v>5</v>
      </c>
      <c r="AN422" s="7">
        <v>7.43</v>
      </c>
      <c r="AO422" s="22">
        <v>0.52600000000000002</v>
      </c>
      <c r="AP422" s="22">
        <v>0.61599999999999999</v>
      </c>
      <c r="AQ422" s="22">
        <v>0.32100000000000001</v>
      </c>
      <c r="AR422" s="22">
        <v>0.52400000000000002</v>
      </c>
      <c r="AS422" s="7">
        <v>1.93</v>
      </c>
      <c r="AT422" s="7">
        <v>1.46</v>
      </c>
      <c r="AU422" s="22">
        <v>0.95</v>
      </c>
      <c r="AV422" s="7">
        <v>1</v>
      </c>
      <c r="AW422" s="6" t="s">
        <v>5</v>
      </c>
      <c r="AX422" s="6" t="s">
        <v>5</v>
      </c>
      <c r="AY422" s="6" t="s">
        <v>5</v>
      </c>
      <c r="AZ422" s="28">
        <v>7.4999999999999997E-2</v>
      </c>
      <c r="BA422" s="28">
        <v>2.3300000000000001E-2</v>
      </c>
      <c r="BB422" s="6" t="s">
        <v>5</v>
      </c>
      <c r="BC422" s="6" t="s">
        <v>5</v>
      </c>
      <c r="BD422" s="6" t="s">
        <v>5</v>
      </c>
      <c r="BE422" s="6" t="s">
        <v>5</v>
      </c>
      <c r="BF422" s="6" t="s">
        <v>5</v>
      </c>
      <c r="BG422" s="6" t="s">
        <v>5</v>
      </c>
      <c r="BH422" s="6" t="s">
        <v>5</v>
      </c>
      <c r="BI422" s="7">
        <v>1.1599999999999999</v>
      </c>
      <c r="BJ422" s="22">
        <v>0.94699999999999995</v>
      </c>
      <c r="BK422" s="6" t="s">
        <v>5</v>
      </c>
      <c r="BL422" s="2" t="s">
        <v>5</v>
      </c>
      <c r="BM422" s="2" t="s">
        <v>5</v>
      </c>
      <c r="BN422" s="2" t="s">
        <v>5</v>
      </c>
      <c r="BO422" s="2" t="s">
        <v>5</v>
      </c>
      <c r="BP422" s="2" t="s">
        <v>5</v>
      </c>
      <c r="BQ422" s="2" t="s">
        <v>5</v>
      </c>
      <c r="BR422" s="2" t="s">
        <v>5</v>
      </c>
      <c r="BS422" s="2" t="s">
        <v>5</v>
      </c>
      <c r="BT422" s="2" t="s">
        <v>5</v>
      </c>
      <c r="BU422" s="2" t="s">
        <v>5</v>
      </c>
      <c r="BV422" s="2" t="s">
        <v>5</v>
      </c>
      <c r="BW422" s="2" t="s">
        <v>5</v>
      </c>
      <c r="BX422" s="2" t="s">
        <v>5</v>
      </c>
      <c r="BY422" s="25" t="s">
        <v>5</v>
      </c>
      <c r="BZ422" s="25" t="s">
        <v>5</v>
      </c>
      <c r="CA422" s="7">
        <v>7.95</v>
      </c>
      <c r="CB422" s="6" t="s">
        <v>5</v>
      </c>
      <c r="CC422" s="4">
        <v>12</v>
      </c>
      <c r="CD422" s="7">
        <v>8.2199999999999989</v>
      </c>
      <c r="CE422" s="4">
        <v>12.3</v>
      </c>
      <c r="CF422" s="16" t="s">
        <v>5</v>
      </c>
      <c r="CG422" s="5">
        <v>2.25</v>
      </c>
      <c r="CH422" s="18" t="s">
        <v>5</v>
      </c>
    </row>
    <row r="423" spans="2:86">
      <c r="B423" s="78" t="s">
        <v>429</v>
      </c>
      <c r="C423" s="79" t="s">
        <v>430</v>
      </c>
      <c r="D423" s="80" t="s">
        <v>430</v>
      </c>
      <c r="E423" s="1" t="s">
        <v>4</v>
      </c>
      <c r="F423" s="7">
        <v>6.2</v>
      </c>
      <c r="G423" s="7">
        <v>1.82</v>
      </c>
      <c r="H423" s="3" t="str">
        <f t="shared" si="25"/>
        <v>MT6.25X6.2</v>
      </c>
      <c r="I423" s="7">
        <v>6.27</v>
      </c>
      <c r="J423" s="5">
        <v>6.25</v>
      </c>
      <c r="K423" s="6" t="s">
        <v>5</v>
      </c>
      <c r="L423" s="6" t="s">
        <v>5</v>
      </c>
      <c r="M423" s="6" t="s">
        <v>5</v>
      </c>
      <c r="N423" s="7">
        <v>3.75</v>
      </c>
      <c r="O423" s="5">
        <v>3.75</v>
      </c>
      <c r="P423" s="5" t="s">
        <v>5</v>
      </c>
      <c r="Q423" s="6" t="s">
        <v>5</v>
      </c>
      <c r="R423" s="6" t="s">
        <v>5</v>
      </c>
      <c r="S423" s="22">
        <v>0.155</v>
      </c>
      <c r="T423" s="5">
        <v>0.125</v>
      </c>
      <c r="U423" s="8">
        <v>6.25E-2</v>
      </c>
      <c r="V423" s="22">
        <v>0.22800000000000001</v>
      </c>
      <c r="W423" s="8">
        <v>0.25</v>
      </c>
      <c r="X423" s="22">
        <v>0.22800000000000001</v>
      </c>
      <c r="Y423" s="6" t="s">
        <v>5</v>
      </c>
      <c r="Z423" s="6" t="s">
        <v>5</v>
      </c>
      <c r="AA423" s="22">
        <v>0.56299999999999994</v>
      </c>
      <c r="AB423" s="8">
        <v>0.5625</v>
      </c>
      <c r="AC423" s="8" t="s">
        <v>5</v>
      </c>
      <c r="AD423" s="6" t="s">
        <v>5</v>
      </c>
      <c r="AE423" s="7">
        <v>1.74</v>
      </c>
      <c r="AF423" s="6" t="s">
        <v>5</v>
      </c>
      <c r="AG423" s="6" t="s">
        <v>5</v>
      </c>
      <c r="AH423" s="22">
        <v>0.372</v>
      </c>
      <c r="AI423" s="7">
        <v>8.2200000000000006</v>
      </c>
      <c r="AJ423" s="6" t="s">
        <v>5</v>
      </c>
      <c r="AK423" s="6" t="s">
        <v>5</v>
      </c>
      <c r="AL423" s="6" t="s">
        <v>5</v>
      </c>
      <c r="AM423" s="6" t="s">
        <v>5</v>
      </c>
      <c r="AN423" s="4">
        <v>40.4</v>
      </c>
      <c r="AO423" s="7">
        <v>7.29</v>
      </c>
      <c r="AP423" s="7">
        <v>2.92</v>
      </c>
      <c r="AQ423" s="7">
        <v>1.61</v>
      </c>
      <c r="AR423" s="7">
        <v>2.0099999999999998</v>
      </c>
      <c r="AS423" s="7">
        <v>1</v>
      </c>
      <c r="AT423" s="22">
        <v>0.83899999999999997</v>
      </c>
      <c r="AU423" s="22">
        <v>0.53600000000000003</v>
      </c>
      <c r="AV423" s="22">
        <v>0.746</v>
      </c>
      <c r="AW423" s="6" t="s">
        <v>5</v>
      </c>
      <c r="AX423" s="6" t="s">
        <v>5</v>
      </c>
      <c r="AY423" s="6" t="s">
        <v>5</v>
      </c>
      <c r="AZ423" s="28">
        <v>2.46E-2</v>
      </c>
      <c r="BA423" s="28">
        <v>2.8400000000000002E-2</v>
      </c>
      <c r="BB423" s="6" t="s">
        <v>5</v>
      </c>
      <c r="BC423" s="6" t="s">
        <v>5</v>
      </c>
      <c r="BD423" s="6" t="s">
        <v>5</v>
      </c>
      <c r="BE423" s="6" t="s">
        <v>5</v>
      </c>
      <c r="BF423" s="6" t="s">
        <v>5</v>
      </c>
      <c r="BG423" s="6" t="s">
        <v>5</v>
      </c>
      <c r="BH423" s="6" t="s">
        <v>5</v>
      </c>
      <c r="BI423" s="7">
        <v>2.69</v>
      </c>
      <c r="BJ423" s="22">
        <v>0.63400000000000001</v>
      </c>
      <c r="BK423" s="6" t="s">
        <v>5</v>
      </c>
      <c r="BL423" s="2" t="s">
        <v>5</v>
      </c>
      <c r="BM423" s="2" t="s">
        <v>5</v>
      </c>
      <c r="BN423" s="2" t="s">
        <v>5</v>
      </c>
      <c r="BO423" s="2" t="s">
        <v>5</v>
      </c>
      <c r="BP423" s="2" t="s">
        <v>5</v>
      </c>
      <c r="BQ423" s="2" t="s">
        <v>5</v>
      </c>
      <c r="BR423" s="2" t="s">
        <v>5</v>
      </c>
      <c r="BS423" s="2" t="s">
        <v>5</v>
      </c>
      <c r="BT423" s="2" t="s">
        <v>5</v>
      </c>
      <c r="BU423" s="2" t="s">
        <v>5</v>
      </c>
      <c r="BV423" s="2" t="s">
        <v>5</v>
      </c>
      <c r="BW423" s="2" t="s">
        <v>5</v>
      </c>
      <c r="BX423" s="2" t="s">
        <v>5</v>
      </c>
      <c r="BY423" s="25" t="s">
        <v>5</v>
      </c>
      <c r="BZ423" s="25" t="s">
        <v>5</v>
      </c>
      <c r="CA423" s="6" t="s">
        <v>5</v>
      </c>
      <c r="CB423" s="6" t="s">
        <v>5</v>
      </c>
      <c r="CC423" s="6" t="s">
        <v>5</v>
      </c>
      <c r="CD423" s="6" t="s">
        <v>5</v>
      </c>
      <c r="CE423" s="6" t="s">
        <v>5</v>
      </c>
      <c r="CF423" s="16" t="s">
        <v>5</v>
      </c>
      <c r="CG423" s="16" t="s">
        <v>5</v>
      </c>
      <c r="CH423" s="18" t="s">
        <v>5</v>
      </c>
    </row>
    <row r="424" spans="2:86">
      <c r="B424" s="78" t="s">
        <v>429</v>
      </c>
      <c r="C424" s="79" t="s">
        <v>431</v>
      </c>
      <c r="D424" s="80" t="s">
        <v>431</v>
      </c>
      <c r="E424" s="1" t="s">
        <v>4</v>
      </c>
      <c r="F424" s="7">
        <v>5.8</v>
      </c>
      <c r="G424" s="7">
        <v>1.7</v>
      </c>
      <c r="H424" s="3" t="str">
        <f t="shared" si="25"/>
        <v>MT6.25X5.8</v>
      </c>
      <c r="I424" s="7">
        <v>6.25</v>
      </c>
      <c r="J424" s="5">
        <v>6.25</v>
      </c>
      <c r="K424" s="6" t="s">
        <v>5</v>
      </c>
      <c r="L424" s="6" t="s">
        <v>5</v>
      </c>
      <c r="M424" s="6" t="s">
        <v>5</v>
      </c>
      <c r="N424" s="7">
        <v>3.5</v>
      </c>
      <c r="O424" s="5">
        <v>3.5</v>
      </c>
      <c r="P424" s="5" t="s">
        <v>5</v>
      </c>
      <c r="Q424" s="6" t="s">
        <v>5</v>
      </c>
      <c r="R424" s="6" t="s">
        <v>5</v>
      </c>
      <c r="S424" s="22">
        <v>0.155</v>
      </c>
      <c r="T424" s="5">
        <v>0.125</v>
      </c>
      <c r="U424" s="8">
        <v>6.25E-2</v>
      </c>
      <c r="V424" s="22">
        <v>0.21099999999999999</v>
      </c>
      <c r="W424" s="8">
        <v>0.1875</v>
      </c>
      <c r="X424" s="22">
        <v>0.21099999999999999</v>
      </c>
      <c r="Y424" s="6" t="s">
        <v>5</v>
      </c>
      <c r="Z424" s="6" t="s">
        <v>5</v>
      </c>
      <c r="AA424" s="22">
        <v>0.56299999999999994</v>
      </c>
      <c r="AB424" s="8">
        <v>0.5625</v>
      </c>
      <c r="AC424" s="8" t="s">
        <v>5</v>
      </c>
      <c r="AD424" s="6" t="s">
        <v>5</v>
      </c>
      <c r="AE424" s="7">
        <v>1.84</v>
      </c>
      <c r="AF424" s="6" t="s">
        <v>5</v>
      </c>
      <c r="AG424" s="6" t="s">
        <v>5</v>
      </c>
      <c r="AH424" s="22">
        <v>0.80800000000000005</v>
      </c>
      <c r="AI424" s="7">
        <v>8.2899999999999991</v>
      </c>
      <c r="AJ424" s="6" t="s">
        <v>5</v>
      </c>
      <c r="AK424" s="6" t="s">
        <v>5</v>
      </c>
      <c r="AL424" s="6" t="s">
        <v>5</v>
      </c>
      <c r="AM424" s="6" t="s">
        <v>5</v>
      </c>
      <c r="AN424" s="4">
        <v>40.299999999999997</v>
      </c>
      <c r="AO424" s="7">
        <v>6.94</v>
      </c>
      <c r="AP424" s="7">
        <v>2.86</v>
      </c>
      <c r="AQ424" s="7">
        <v>1.57</v>
      </c>
      <c r="AR424" s="7">
        <v>2.0299999999999998</v>
      </c>
      <c r="AS424" s="22">
        <v>0.75600000000000001</v>
      </c>
      <c r="AT424" s="22">
        <v>0.68400000000000005</v>
      </c>
      <c r="AU424" s="22">
        <v>0.432</v>
      </c>
      <c r="AV424" s="22">
        <v>0.66900000000000004</v>
      </c>
      <c r="AW424" s="6" t="s">
        <v>5</v>
      </c>
      <c r="AX424" s="6" t="s">
        <v>5</v>
      </c>
      <c r="AY424" s="6" t="s">
        <v>5</v>
      </c>
      <c r="AZ424" s="28">
        <v>2.06E-2</v>
      </c>
      <c r="BA424" s="28">
        <v>2.6800000000000001E-2</v>
      </c>
      <c r="BB424" s="6" t="s">
        <v>5</v>
      </c>
      <c r="BC424" s="6" t="s">
        <v>5</v>
      </c>
      <c r="BD424" s="6" t="s">
        <v>5</v>
      </c>
      <c r="BE424" s="6" t="s">
        <v>5</v>
      </c>
      <c r="BF424" s="6" t="s">
        <v>5</v>
      </c>
      <c r="BG424" s="6" t="s">
        <v>5</v>
      </c>
      <c r="BH424" s="6" t="s">
        <v>5</v>
      </c>
      <c r="BI424" s="7">
        <v>2.75</v>
      </c>
      <c r="BJ424" s="22">
        <v>0.60199999999999998</v>
      </c>
      <c r="BK424" s="6" t="s">
        <v>5</v>
      </c>
      <c r="BL424" s="2" t="s">
        <v>5</v>
      </c>
      <c r="BM424" s="2" t="s">
        <v>5</v>
      </c>
      <c r="BN424" s="2" t="s">
        <v>5</v>
      </c>
      <c r="BO424" s="2" t="s">
        <v>5</v>
      </c>
      <c r="BP424" s="2" t="s">
        <v>5</v>
      </c>
      <c r="BQ424" s="2" t="s">
        <v>5</v>
      </c>
      <c r="BR424" s="2" t="s">
        <v>5</v>
      </c>
      <c r="BS424" s="2" t="s">
        <v>5</v>
      </c>
      <c r="BT424" s="2" t="s">
        <v>5</v>
      </c>
      <c r="BU424" s="2" t="s">
        <v>5</v>
      </c>
      <c r="BV424" s="2" t="s">
        <v>5</v>
      </c>
      <c r="BW424" s="2" t="s">
        <v>5</v>
      </c>
      <c r="BX424" s="2" t="s">
        <v>5</v>
      </c>
      <c r="BY424" s="25" t="s">
        <v>5</v>
      </c>
      <c r="BZ424" s="25" t="s">
        <v>5</v>
      </c>
      <c r="CA424" s="6" t="s">
        <v>5</v>
      </c>
      <c r="CB424" s="6" t="s">
        <v>5</v>
      </c>
      <c r="CC424" s="6" t="s">
        <v>5</v>
      </c>
      <c r="CD424" s="6" t="s">
        <v>5</v>
      </c>
      <c r="CE424" s="6" t="s">
        <v>5</v>
      </c>
      <c r="CF424" s="16" t="s">
        <v>5</v>
      </c>
      <c r="CG424" s="16" t="s">
        <v>5</v>
      </c>
      <c r="CH424" s="18" t="s">
        <v>5</v>
      </c>
    </row>
    <row r="425" spans="2:86">
      <c r="B425" s="78" t="s">
        <v>429</v>
      </c>
      <c r="C425" s="79" t="s">
        <v>432</v>
      </c>
      <c r="D425" s="80" t="s">
        <v>432</v>
      </c>
      <c r="E425" s="1" t="s">
        <v>4</v>
      </c>
      <c r="F425" s="7">
        <v>5.9</v>
      </c>
      <c r="G425" s="7">
        <v>1.74</v>
      </c>
      <c r="H425" s="3" t="str">
        <f t="shared" si="25"/>
        <v>MT6X5.9</v>
      </c>
      <c r="I425" s="7">
        <v>6</v>
      </c>
      <c r="J425" s="5">
        <v>6</v>
      </c>
      <c r="K425" s="6" t="s">
        <v>5</v>
      </c>
      <c r="L425" s="6" t="s">
        <v>5</v>
      </c>
      <c r="M425" s="6" t="s">
        <v>5</v>
      </c>
      <c r="N425" s="7">
        <v>3.07</v>
      </c>
      <c r="O425" s="5">
        <v>3.125</v>
      </c>
      <c r="P425" s="5" t="s">
        <v>5</v>
      </c>
      <c r="Q425" s="6" t="s">
        <v>5</v>
      </c>
      <c r="R425" s="6" t="s">
        <v>5</v>
      </c>
      <c r="S425" s="22">
        <v>0.17699999999999999</v>
      </c>
      <c r="T425" s="5">
        <v>0.1875</v>
      </c>
      <c r="U425" s="8">
        <v>0.125</v>
      </c>
      <c r="V425" s="22">
        <v>0.22500000000000001</v>
      </c>
      <c r="W425" s="8">
        <v>0.25</v>
      </c>
      <c r="X425" s="22">
        <v>0.22500000000000001</v>
      </c>
      <c r="Y425" s="6" t="s">
        <v>5</v>
      </c>
      <c r="Z425" s="6" t="s">
        <v>5</v>
      </c>
      <c r="AA425" s="22">
        <v>0.56299999999999994</v>
      </c>
      <c r="AB425" s="8">
        <v>0.5625</v>
      </c>
      <c r="AC425" s="8" t="s">
        <v>5</v>
      </c>
      <c r="AD425" s="6" t="s">
        <v>5</v>
      </c>
      <c r="AE425" s="7">
        <v>1.89</v>
      </c>
      <c r="AF425" s="6" t="s">
        <v>5</v>
      </c>
      <c r="AG425" s="6" t="s">
        <v>5</v>
      </c>
      <c r="AH425" s="7">
        <v>1.1299999999999999</v>
      </c>
      <c r="AI425" s="7">
        <v>6.82</v>
      </c>
      <c r="AJ425" s="6" t="s">
        <v>5</v>
      </c>
      <c r="AK425" s="6" t="s">
        <v>5</v>
      </c>
      <c r="AL425" s="6" t="s">
        <v>5</v>
      </c>
      <c r="AM425" s="6" t="s">
        <v>5</v>
      </c>
      <c r="AN425" s="4">
        <v>33.9</v>
      </c>
      <c r="AO425" s="7">
        <v>6.61</v>
      </c>
      <c r="AP425" s="7">
        <v>2.89</v>
      </c>
      <c r="AQ425" s="7">
        <v>1.61</v>
      </c>
      <c r="AR425" s="7">
        <v>1.96</v>
      </c>
      <c r="AS425" s="22">
        <v>0.54300000000000004</v>
      </c>
      <c r="AT425" s="22">
        <v>0.57499999999999996</v>
      </c>
      <c r="AU425" s="22">
        <v>0.35399999999999998</v>
      </c>
      <c r="AV425" s="22">
        <v>0.56100000000000005</v>
      </c>
      <c r="AW425" s="6" t="s">
        <v>5</v>
      </c>
      <c r="AX425" s="6" t="s">
        <v>5</v>
      </c>
      <c r="AY425" s="6" t="s">
        <v>5</v>
      </c>
      <c r="AZ425" s="28">
        <v>2.4899999999999999E-2</v>
      </c>
      <c r="BA425" s="28">
        <v>3.3700000000000001E-2</v>
      </c>
      <c r="BB425" s="6" t="s">
        <v>5</v>
      </c>
      <c r="BC425" s="6" t="s">
        <v>5</v>
      </c>
      <c r="BD425" s="6" t="s">
        <v>5</v>
      </c>
      <c r="BE425" s="6" t="s">
        <v>5</v>
      </c>
      <c r="BF425" s="6" t="s">
        <v>5</v>
      </c>
      <c r="BG425" s="6" t="s">
        <v>5</v>
      </c>
      <c r="BH425" s="6" t="s">
        <v>5</v>
      </c>
      <c r="BI425" s="7">
        <v>2.71</v>
      </c>
      <c r="BJ425" s="22">
        <v>0.56699999999999995</v>
      </c>
      <c r="BK425" s="6" t="s">
        <v>5</v>
      </c>
      <c r="BL425" s="2" t="s">
        <v>5</v>
      </c>
      <c r="BM425" s="2" t="s">
        <v>5</v>
      </c>
      <c r="BN425" s="2" t="s">
        <v>5</v>
      </c>
      <c r="BO425" s="2" t="s">
        <v>5</v>
      </c>
      <c r="BP425" s="2" t="s">
        <v>5</v>
      </c>
      <c r="BQ425" s="2" t="s">
        <v>5</v>
      </c>
      <c r="BR425" s="2" t="s">
        <v>5</v>
      </c>
      <c r="BS425" s="2" t="s">
        <v>5</v>
      </c>
      <c r="BT425" s="2" t="s">
        <v>5</v>
      </c>
      <c r="BU425" s="2" t="s">
        <v>5</v>
      </c>
      <c r="BV425" s="2" t="s">
        <v>5</v>
      </c>
      <c r="BW425" s="2" t="s">
        <v>5</v>
      </c>
      <c r="BX425" s="2" t="s">
        <v>5</v>
      </c>
      <c r="BY425" s="25" t="s">
        <v>5</v>
      </c>
      <c r="BZ425" s="25" t="s">
        <v>5</v>
      </c>
      <c r="CA425" s="6" t="s">
        <v>5</v>
      </c>
      <c r="CB425" s="6" t="s">
        <v>5</v>
      </c>
      <c r="CC425" s="6" t="s">
        <v>5</v>
      </c>
      <c r="CD425" s="6" t="s">
        <v>5</v>
      </c>
      <c r="CE425" s="6" t="s">
        <v>5</v>
      </c>
      <c r="CF425" s="16" t="s">
        <v>5</v>
      </c>
      <c r="CG425" s="16" t="s">
        <v>5</v>
      </c>
      <c r="CH425" s="18" t="s">
        <v>5</v>
      </c>
    </row>
    <row r="426" spans="2:86">
      <c r="B426" s="78" t="s">
        <v>429</v>
      </c>
      <c r="C426" s="79" t="s">
        <v>433</v>
      </c>
      <c r="D426" s="80" t="s">
        <v>433</v>
      </c>
      <c r="E426" s="1" t="s">
        <v>4</v>
      </c>
      <c r="F426" s="7">
        <v>5.4</v>
      </c>
      <c r="G426" s="7">
        <v>1.59</v>
      </c>
      <c r="H426" s="3" t="str">
        <f t="shared" si="25"/>
        <v>MT6X5.4</v>
      </c>
      <c r="I426" s="7">
        <v>5.99</v>
      </c>
      <c r="J426" s="5">
        <v>6</v>
      </c>
      <c r="K426" s="6" t="s">
        <v>5</v>
      </c>
      <c r="L426" s="6" t="s">
        <v>5</v>
      </c>
      <c r="M426" s="6" t="s">
        <v>5</v>
      </c>
      <c r="N426" s="7">
        <v>3.07</v>
      </c>
      <c r="O426" s="5">
        <v>3.125</v>
      </c>
      <c r="P426" s="5" t="s">
        <v>5</v>
      </c>
      <c r="Q426" s="6" t="s">
        <v>5</v>
      </c>
      <c r="R426" s="6" t="s">
        <v>5</v>
      </c>
      <c r="S426" s="22">
        <v>0.16</v>
      </c>
      <c r="T426" s="5">
        <v>0.1875</v>
      </c>
      <c r="U426" s="8">
        <v>0.125</v>
      </c>
      <c r="V426" s="22">
        <v>0.21</v>
      </c>
      <c r="W426" s="8">
        <v>0.1875</v>
      </c>
      <c r="X426" s="22">
        <v>0.21</v>
      </c>
      <c r="Y426" s="6" t="s">
        <v>5</v>
      </c>
      <c r="Z426" s="6" t="s">
        <v>5</v>
      </c>
      <c r="AA426" s="22">
        <v>0.56299999999999994</v>
      </c>
      <c r="AB426" s="8">
        <v>0.5625</v>
      </c>
      <c r="AC426" s="8" t="s">
        <v>5</v>
      </c>
      <c r="AD426" s="6" t="s">
        <v>5</v>
      </c>
      <c r="AE426" s="7">
        <v>1.86</v>
      </c>
      <c r="AF426" s="6" t="s">
        <v>5</v>
      </c>
      <c r="AG426" s="6" t="s">
        <v>5</v>
      </c>
      <c r="AH426" s="7">
        <v>1.05</v>
      </c>
      <c r="AI426" s="7">
        <v>7.31</v>
      </c>
      <c r="AJ426" s="6" t="s">
        <v>5</v>
      </c>
      <c r="AK426" s="6" t="s">
        <v>5</v>
      </c>
      <c r="AL426" s="6" t="s">
        <v>5</v>
      </c>
      <c r="AM426" s="6" t="s">
        <v>5</v>
      </c>
      <c r="AN426" s="4">
        <v>37.4</v>
      </c>
      <c r="AO426" s="7">
        <v>6.03</v>
      </c>
      <c r="AP426" s="7">
        <v>2.63</v>
      </c>
      <c r="AQ426" s="7">
        <v>1.46</v>
      </c>
      <c r="AR426" s="7">
        <v>1.95</v>
      </c>
      <c r="AS426" s="22">
        <v>0.50600000000000001</v>
      </c>
      <c r="AT426" s="22">
        <v>0.53200000000000003</v>
      </c>
      <c r="AU426" s="22">
        <v>0.33</v>
      </c>
      <c r="AV426" s="22">
        <v>0.56599999999999995</v>
      </c>
      <c r="AW426" s="6" t="s">
        <v>5</v>
      </c>
      <c r="AX426" s="6" t="s">
        <v>5</v>
      </c>
      <c r="AY426" s="6" t="s">
        <v>5</v>
      </c>
      <c r="AZ426" s="28">
        <v>1.9599999999999999E-2</v>
      </c>
      <c r="BA426" s="28">
        <v>2.5000000000000001E-2</v>
      </c>
      <c r="BB426" s="6" t="s">
        <v>5</v>
      </c>
      <c r="BC426" s="6" t="s">
        <v>5</v>
      </c>
      <c r="BD426" s="6" t="s">
        <v>5</v>
      </c>
      <c r="BE426" s="6" t="s">
        <v>5</v>
      </c>
      <c r="BF426" s="6" t="s">
        <v>5</v>
      </c>
      <c r="BG426" s="6" t="s">
        <v>5</v>
      </c>
      <c r="BH426" s="6" t="s">
        <v>5</v>
      </c>
      <c r="BI426" s="7">
        <v>2.69</v>
      </c>
      <c r="BJ426" s="22">
        <v>0.57399999999999995</v>
      </c>
      <c r="BK426" s="6" t="s">
        <v>5</v>
      </c>
      <c r="BL426" s="2" t="s">
        <v>5</v>
      </c>
      <c r="BM426" s="2" t="s">
        <v>5</v>
      </c>
      <c r="BN426" s="2" t="s">
        <v>5</v>
      </c>
      <c r="BO426" s="2" t="s">
        <v>5</v>
      </c>
      <c r="BP426" s="2" t="s">
        <v>5</v>
      </c>
      <c r="BQ426" s="2" t="s">
        <v>5</v>
      </c>
      <c r="BR426" s="2" t="s">
        <v>5</v>
      </c>
      <c r="BS426" s="2" t="s">
        <v>5</v>
      </c>
      <c r="BT426" s="2" t="s">
        <v>5</v>
      </c>
      <c r="BU426" s="2" t="s">
        <v>5</v>
      </c>
      <c r="BV426" s="2" t="s">
        <v>5</v>
      </c>
      <c r="BW426" s="2" t="s">
        <v>5</v>
      </c>
      <c r="BX426" s="2" t="s">
        <v>5</v>
      </c>
      <c r="BY426" s="25" t="s">
        <v>5</v>
      </c>
      <c r="BZ426" s="25" t="s">
        <v>5</v>
      </c>
      <c r="CA426" s="6" t="s">
        <v>5</v>
      </c>
      <c r="CB426" s="6" t="s">
        <v>5</v>
      </c>
      <c r="CC426" s="6" t="s">
        <v>5</v>
      </c>
      <c r="CD426" s="6" t="s">
        <v>5</v>
      </c>
      <c r="CE426" s="6" t="s">
        <v>5</v>
      </c>
      <c r="CF426" s="16" t="s">
        <v>5</v>
      </c>
      <c r="CG426" s="16" t="s">
        <v>5</v>
      </c>
      <c r="CH426" s="18" t="s">
        <v>5</v>
      </c>
    </row>
    <row r="427" spans="2:86">
      <c r="B427" s="78" t="s">
        <v>429</v>
      </c>
      <c r="C427" s="79" t="s">
        <v>434</v>
      </c>
      <c r="D427" s="80" t="s">
        <v>434</v>
      </c>
      <c r="E427" s="1" t="s">
        <v>4</v>
      </c>
      <c r="F427" s="7">
        <v>5</v>
      </c>
      <c r="G427" s="7">
        <v>1.48</v>
      </c>
      <c r="H427" s="3" t="str">
        <f t="shared" si="25"/>
        <v>MT6X5</v>
      </c>
      <c r="I427" s="7">
        <v>5.99</v>
      </c>
      <c r="J427" s="5">
        <v>6</v>
      </c>
      <c r="K427" s="6" t="s">
        <v>5</v>
      </c>
      <c r="L427" s="6" t="s">
        <v>5</v>
      </c>
      <c r="M427" s="6" t="s">
        <v>5</v>
      </c>
      <c r="N427" s="7">
        <v>3.25</v>
      </c>
      <c r="O427" s="5">
        <v>3.25</v>
      </c>
      <c r="P427" s="5" t="s">
        <v>5</v>
      </c>
      <c r="Q427" s="6" t="s">
        <v>5</v>
      </c>
      <c r="R427" s="6" t="s">
        <v>5</v>
      </c>
      <c r="S427" s="22">
        <v>0.14899999999999999</v>
      </c>
      <c r="T427" s="5">
        <v>0.125</v>
      </c>
      <c r="U427" s="8">
        <v>6.25E-2</v>
      </c>
      <c r="V427" s="22">
        <v>0.18</v>
      </c>
      <c r="W427" s="8">
        <v>0.1875</v>
      </c>
      <c r="X427" s="22">
        <v>0.18</v>
      </c>
      <c r="Y427" s="6" t="s">
        <v>5</v>
      </c>
      <c r="Z427" s="6" t="s">
        <v>5</v>
      </c>
      <c r="AA427" s="22">
        <v>0.5</v>
      </c>
      <c r="AB427" s="8">
        <v>0.5</v>
      </c>
      <c r="AC427" s="8" t="s">
        <v>5</v>
      </c>
      <c r="AD427" s="6" t="s">
        <v>5</v>
      </c>
      <c r="AE427" s="7">
        <v>1.86</v>
      </c>
      <c r="AF427" s="6" t="s">
        <v>5</v>
      </c>
      <c r="AG427" s="6" t="s">
        <v>5</v>
      </c>
      <c r="AH427" s="7">
        <v>1.08</v>
      </c>
      <c r="AI427" s="7">
        <v>9.0299999999999994</v>
      </c>
      <c r="AJ427" s="6" t="s">
        <v>5</v>
      </c>
      <c r="AK427" s="6" t="s">
        <v>5</v>
      </c>
      <c r="AL427" s="6" t="s">
        <v>5</v>
      </c>
      <c r="AM427" s="6" t="s">
        <v>5</v>
      </c>
      <c r="AN427" s="4">
        <v>40.200000000000003</v>
      </c>
      <c r="AO427" s="7">
        <v>5.62</v>
      </c>
      <c r="AP427" s="7">
        <v>2.4500000000000002</v>
      </c>
      <c r="AQ427" s="7">
        <v>1.36</v>
      </c>
      <c r="AR427" s="7">
        <v>1.96</v>
      </c>
      <c r="AS427" s="22">
        <v>0.51700000000000002</v>
      </c>
      <c r="AT427" s="22">
        <v>0.50900000000000001</v>
      </c>
      <c r="AU427" s="22">
        <v>0.318</v>
      </c>
      <c r="AV427" s="22">
        <v>0.59399999999999997</v>
      </c>
      <c r="AW427" s="6" t="s">
        <v>5</v>
      </c>
      <c r="AX427" s="6" t="s">
        <v>5</v>
      </c>
      <c r="AY427" s="6" t="s">
        <v>5</v>
      </c>
      <c r="AZ427" s="28">
        <v>1.4500000000000001E-2</v>
      </c>
      <c r="BA427" s="28">
        <v>2.0199999999999999E-2</v>
      </c>
      <c r="BB427" s="6" t="s">
        <v>5</v>
      </c>
      <c r="BC427" s="6" t="s">
        <v>5</v>
      </c>
      <c r="BD427" s="6" t="s">
        <v>5</v>
      </c>
      <c r="BE427" s="6" t="s">
        <v>5</v>
      </c>
      <c r="BF427" s="6" t="s">
        <v>5</v>
      </c>
      <c r="BG427" s="6" t="s">
        <v>5</v>
      </c>
      <c r="BH427" s="6" t="s">
        <v>5</v>
      </c>
      <c r="BI427" s="7">
        <v>2.71</v>
      </c>
      <c r="BJ427" s="22">
        <v>0.57199999999999995</v>
      </c>
      <c r="BK427" s="6" t="s">
        <v>5</v>
      </c>
      <c r="BL427" s="2" t="s">
        <v>5</v>
      </c>
      <c r="BM427" s="2" t="s">
        <v>5</v>
      </c>
      <c r="BN427" s="2" t="s">
        <v>5</v>
      </c>
      <c r="BO427" s="2" t="s">
        <v>5</v>
      </c>
      <c r="BP427" s="2" t="s">
        <v>5</v>
      </c>
      <c r="BQ427" s="2" t="s">
        <v>5</v>
      </c>
      <c r="BR427" s="2" t="s">
        <v>5</v>
      </c>
      <c r="BS427" s="2" t="s">
        <v>5</v>
      </c>
      <c r="BT427" s="2" t="s">
        <v>5</v>
      </c>
      <c r="BU427" s="2" t="s">
        <v>5</v>
      </c>
      <c r="BV427" s="2" t="s">
        <v>5</v>
      </c>
      <c r="BW427" s="2" t="s">
        <v>5</v>
      </c>
      <c r="BX427" s="2" t="s">
        <v>5</v>
      </c>
      <c r="BY427" s="25" t="s">
        <v>5</v>
      </c>
      <c r="BZ427" s="25" t="s">
        <v>5</v>
      </c>
      <c r="CA427" s="6" t="s">
        <v>5</v>
      </c>
      <c r="CB427" s="6" t="s">
        <v>5</v>
      </c>
      <c r="CC427" s="6" t="s">
        <v>5</v>
      </c>
      <c r="CD427" s="6" t="s">
        <v>5</v>
      </c>
      <c r="CE427" s="6" t="s">
        <v>5</v>
      </c>
      <c r="CF427" s="16" t="s">
        <v>5</v>
      </c>
      <c r="CG427" s="16" t="s">
        <v>5</v>
      </c>
      <c r="CH427" s="18" t="s">
        <v>5</v>
      </c>
    </row>
    <row r="428" spans="2:86">
      <c r="B428" s="78" t="s">
        <v>429</v>
      </c>
      <c r="C428" s="79" t="s">
        <v>435</v>
      </c>
      <c r="D428" s="80" t="s">
        <v>435</v>
      </c>
      <c r="E428" s="1" t="s">
        <v>4</v>
      </c>
      <c r="F428" s="7">
        <v>4.5</v>
      </c>
      <c r="G428" s="7">
        <v>1.33</v>
      </c>
      <c r="H428" s="3" t="str">
        <f t="shared" si="25"/>
        <v>MT5X4.5</v>
      </c>
      <c r="I428" s="7">
        <v>5</v>
      </c>
      <c r="J428" s="5">
        <v>5</v>
      </c>
      <c r="K428" s="6" t="s">
        <v>5</v>
      </c>
      <c r="L428" s="6" t="s">
        <v>5</v>
      </c>
      <c r="M428" s="6" t="s">
        <v>5</v>
      </c>
      <c r="N428" s="7">
        <v>2.69</v>
      </c>
      <c r="O428" s="5">
        <v>2.75</v>
      </c>
      <c r="P428" s="5" t="s">
        <v>5</v>
      </c>
      <c r="Q428" s="6" t="s">
        <v>5</v>
      </c>
      <c r="R428" s="6" t="s">
        <v>5</v>
      </c>
      <c r="S428" s="22">
        <v>0.157</v>
      </c>
      <c r="T428" s="5">
        <v>0.1875</v>
      </c>
      <c r="U428" s="8">
        <v>0.125</v>
      </c>
      <c r="V428" s="22">
        <v>0.20599999999999999</v>
      </c>
      <c r="W428" s="8">
        <v>0.1875</v>
      </c>
      <c r="X428" s="22">
        <v>0.20599999999999999</v>
      </c>
      <c r="Y428" s="6" t="s">
        <v>5</v>
      </c>
      <c r="Z428" s="6" t="s">
        <v>5</v>
      </c>
      <c r="AA428" s="22">
        <v>0.56299999999999994</v>
      </c>
      <c r="AB428" s="8">
        <v>0.5625</v>
      </c>
      <c r="AC428" s="8" t="s">
        <v>5</v>
      </c>
      <c r="AD428" s="6" t="s">
        <v>5</v>
      </c>
      <c r="AE428" s="7">
        <v>1.54</v>
      </c>
      <c r="AF428" s="6" t="s">
        <v>5</v>
      </c>
      <c r="AG428" s="6" t="s">
        <v>5</v>
      </c>
      <c r="AH428" s="22">
        <v>0.80800000000000005</v>
      </c>
      <c r="AI428" s="7">
        <v>6.53</v>
      </c>
      <c r="AJ428" s="6" t="s">
        <v>5</v>
      </c>
      <c r="AK428" s="6" t="s">
        <v>5</v>
      </c>
      <c r="AL428" s="6" t="s">
        <v>5</v>
      </c>
      <c r="AM428" s="6" t="s">
        <v>5</v>
      </c>
      <c r="AN428" s="4">
        <v>31.8</v>
      </c>
      <c r="AO428" s="7">
        <v>3.47</v>
      </c>
      <c r="AP428" s="7">
        <v>1.81</v>
      </c>
      <c r="AQ428" s="7">
        <v>1</v>
      </c>
      <c r="AR428" s="7">
        <v>1.62</v>
      </c>
      <c r="AS428" s="22">
        <v>0.33600000000000002</v>
      </c>
      <c r="AT428" s="22">
        <v>0.40300000000000002</v>
      </c>
      <c r="AU428" s="22">
        <v>0.25</v>
      </c>
      <c r="AV428" s="22">
        <v>0.505</v>
      </c>
      <c r="AW428" s="6" t="s">
        <v>5</v>
      </c>
      <c r="AX428" s="6" t="s">
        <v>5</v>
      </c>
      <c r="AY428" s="6" t="s">
        <v>5</v>
      </c>
      <c r="AZ428" s="28">
        <v>1.5599999999999999E-2</v>
      </c>
      <c r="BA428" s="28">
        <v>1.38E-2</v>
      </c>
      <c r="BB428" s="6" t="s">
        <v>5</v>
      </c>
      <c r="BC428" s="6" t="s">
        <v>5</v>
      </c>
      <c r="BD428" s="6" t="s">
        <v>5</v>
      </c>
      <c r="BE428" s="6" t="s">
        <v>5</v>
      </c>
      <c r="BF428" s="6" t="s">
        <v>5</v>
      </c>
      <c r="BG428" s="6" t="s">
        <v>5</v>
      </c>
      <c r="BH428" s="6" t="s">
        <v>5</v>
      </c>
      <c r="BI428" s="7">
        <v>2.2200000000000002</v>
      </c>
      <c r="BJ428" s="22">
        <v>0.58499999999999996</v>
      </c>
      <c r="BK428" s="6" t="s">
        <v>5</v>
      </c>
      <c r="BL428" s="2" t="s">
        <v>5</v>
      </c>
      <c r="BM428" s="2" t="s">
        <v>5</v>
      </c>
      <c r="BN428" s="2" t="s">
        <v>5</v>
      </c>
      <c r="BO428" s="2" t="s">
        <v>5</v>
      </c>
      <c r="BP428" s="2" t="s">
        <v>5</v>
      </c>
      <c r="BQ428" s="2" t="s">
        <v>5</v>
      </c>
      <c r="BR428" s="2" t="s">
        <v>5</v>
      </c>
      <c r="BS428" s="2" t="s">
        <v>5</v>
      </c>
      <c r="BT428" s="2" t="s">
        <v>5</v>
      </c>
      <c r="BU428" s="2" t="s">
        <v>5</v>
      </c>
      <c r="BV428" s="2" t="s">
        <v>5</v>
      </c>
      <c r="BW428" s="2" t="s">
        <v>5</v>
      </c>
      <c r="BX428" s="2" t="s">
        <v>5</v>
      </c>
      <c r="BY428" s="25" t="s">
        <v>5</v>
      </c>
      <c r="BZ428" s="25" t="s">
        <v>5</v>
      </c>
      <c r="CA428" s="6" t="s">
        <v>5</v>
      </c>
      <c r="CB428" s="6" t="s">
        <v>5</v>
      </c>
      <c r="CC428" s="6" t="s">
        <v>5</v>
      </c>
      <c r="CD428" s="6" t="s">
        <v>5</v>
      </c>
      <c r="CE428" s="6" t="s">
        <v>5</v>
      </c>
      <c r="CF428" s="16" t="s">
        <v>5</v>
      </c>
      <c r="CG428" s="16" t="s">
        <v>5</v>
      </c>
      <c r="CH428" s="18" t="s">
        <v>5</v>
      </c>
    </row>
    <row r="429" spans="2:86">
      <c r="B429" s="78" t="s">
        <v>429</v>
      </c>
      <c r="C429" s="79" t="s">
        <v>436</v>
      </c>
      <c r="D429" s="80" t="s">
        <v>436</v>
      </c>
      <c r="E429" s="1" t="s">
        <v>4</v>
      </c>
      <c r="F429" s="7">
        <v>4</v>
      </c>
      <c r="G429" s="7">
        <v>1.19</v>
      </c>
      <c r="H429" s="3" t="str">
        <f t="shared" si="25"/>
        <v>MT5X4</v>
      </c>
      <c r="I429" s="7">
        <v>4.9800000000000004</v>
      </c>
      <c r="J429" s="5">
        <v>5</v>
      </c>
      <c r="K429" s="6" t="s">
        <v>5</v>
      </c>
      <c r="L429" s="6" t="s">
        <v>5</v>
      </c>
      <c r="M429" s="6" t="s">
        <v>5</v>
      </c>
      <c r="N429" s="7">
        <v>2.69</v>
      </c>
      <c r="O429" s="5">
        <v>2.75</v>
      </c>
      <c r="P429" s="5" t="s">
        <v>5</v>
      </c>
      <c r="Q429" s="6" t="s">
        <v>5</v>
      </c>
      <c r="R429" s="6" t="s">
        <v>5</v>
      </c>
      <c r="S429" s="22">
        <v>0.14099999999999999</v>
      </c>
      <c r="T429" s="5">
        <v>0.125</v>
      </c>
      <c r="U429" s="8">
        <v>6.25E-2</v>
      </c>
      <c r="V429" s="22">
        <v>0.182</v>
      </c>
      <c r="W429" s="8">
        <v>0.1875</v>
      </c>
      <c r="X429" s="22">
        <v>0.182</v>
      </c>
      <c r="Y429" s="6" t="s">
        <v>5</v>
      </c>
      <c r="Z429" s="6" t="s">
        <v>5</v>
      </c>
      <c r="AA429" s="22">
        <v>0.56299999999999994</v>
      </c>
      <c r="AB429" s="8">
        <v>0.5625</v>
      </c>
      <c r="AC429" s="8" t="s">
        <v>5</v>
      </c>
      <c r="AD429" s="6" t="s">
        <v>5</v>
      </c>
      <c r="AE429" s="7">
        <v>1.52</v>
      </c>
      <c r="AF429" s="6" t="s">
        <v>5</v>
      </c>
      <c r="AG429" s="6" t="s">
        <v>5</v>
      </c>
      <c r="AH429" s="22">
        <v>0.80900000000000005</v>
      </c>
      <c r="AI429" s="7">
        <v>7.39</v>
      </c>
      <c r="AJ429" s="6" t="s">
        <v>5</v>
      </c>
      <c r="AK429" s="6" t="s">
        <v>5</v>
      </c>
      <c r="AL429" s="6" t="s">
        <v>5</v>
      </c>
      <c r="AM429" s="6" t="s">
        <v>5</v>
      </c>
      <c r="AN429" s="4">
        <v>35.299999999999997</v>
      </c>
      <c r="AO429" s="7">
        <v>3.08</v>
      </c>
      <c r="AP429" s="7">
        <v>1.61</v>
      </c>
      <c r="AQ429" s="22">
        <v>0.89400000000000002</v>
      </c>
      <c r="AR429" s="7">
        <v>1.62</v>
      </c>
      <c r="AS429" s="22">
        <v>0.29599999999999999</v>
      </c>
      <c r="AT429" s="22">
        <v>0.35399999999999998</v>
      </c>
      <c r="AU429" s="22">
        <v>0.22</v>
      </c>
      <c r="AV429" s="22">
        <v>0.502</v>
      </c>
      <c r="AW429" s="6" t="s">
        <v>5</v>
      </c>
      <c r="AX429" s="6" t="s">
        <v>5</v>
      </c>
      <c r="AY429" s="6" t="s">
        <v>5</v>
      </c>
      <c r="AZ429" s="28">
        <v>1.12E-2</v>
      </c>
      <c r="BA429" s="31">
        <v>9.8899999999999995E-3</v>
      </c>
      <c r="BB429" s="6" t="s">
        <v>5</v>
      </c>
      <c r="BC429" s="6" t="s">
        <v>5</v>
      </c>
      <c r="BD429" s="6" t="s">
        <v>5</v>
      </c>
      <c r="BE429" s="6" t="s">
        <v>5</v>
      </c>
      <c r="BF429" s="6" t="s">
        <v>5</v>
      </c>
      <c r="BG429" s="6" t="s">
        <v>5</v>
      </c>
      <c r="BH429" s="6" t="s">
        <v>5</v>
      </c>
      <c r="BI429" s="7">
        <v>2.2200000000000002</v>
      </c>
      <c r="BJ429" s="22">
        <v>0.58299999999999996</v>
      </c>
      <c r="BK429" s="6" t="s">
        <v>5</v>
      </c>
      <c r="BL429" s="2" t="s">
        <v>5</v>
      </c>
      <c r="BM429" s="2" t="s">
        <v>5</v>
      </c>
      <c r="BN429" s="2" t="s">
        <v>5</v>
      </c>
      <c r="BO429" s="2" t="s">
        <v>5</v>
      </c>
      <c r="BP429" s="2" t="s">
        <v>5</v>
      </c>
      <c r="BQ429" s="2" t="s">
        <v>5</v>
      </c>
      <c r="BR429" s="2" t="s">
        <v>5</v>
      </c>
      <c r="BS429" s="2" t="s">
        <v>5</v>
      </c>
      <c r="BT429" s="2" t="s">
        <v>5</v>
      </c>
      <c r="BU429" s="2" t="s">
        <v>5</v>
      </c>
      <c r="BV429" s="2" t="s">
        <v>5</v>
      </c>
      <c r="BW429" s="2" t="s">
        <v>5</v>
      </c>
      <c r="BX429" s="2" t="s">
        <v>5</v>
      </c>
      <c r="BY429" s="25" t="s">
        <v>5</v>
      </c>
      <c r="BZ429" s="25" t="s">
        <v>5</v>
      </c>
      <c r="CA429" s="6" t="s">
        <v>5</v>
      </c>
      <c r="CB429" s="6" t="s">
        <v>5</v>
      </c>
      <c r="CC429" s="6" t="s">
        <v>5</v>
      </c>
      <c r="CD429" s="6" t="s">
        <v>5</v>
      </c>
      <c r="CE429" s="6" t="s">
        <v>5</v>
      </c>
      <c r="CF429" s="16" t="s">
        <v>5</v>
      </c>
      <c r="CG429" s="16" t="s">
        <v>5</v>
      </c>
      <c r="CH429" s="18" t="s">
        <v>5</v>
      </c>
    </row>
    <row r="430" spans="2:86">
      <c r="B430" s="78" t="s">
        <v>429</v>
      </c>
      <c r="C430" s="79" t="s">
        <v>437</v>
      </c>
      <c r="D430" s="80" t="s">
        <v>437</v>
      </c>
      <c r="E430" s="1" t="s">
        <v>4</v>
      </c>
      <c r="F430" s="7">
        <v>3.75</v>
      </c>
      <c r="G430" s="7">
        <v>1.1100000000000001</v>
      </c>
      <c r="H430" s="3" t="str">
        <f t="shared" si="25"/>
        <v>MT5X3.75</v>
      </c>
      <c r="I430" s="7">
        <v>5</v>
      </c>
      <c r="J430" s="5">
        <v>5</v>
      </c>
      <c r="K430" s="6" t="s">
        <v>5</v>
      </c>
      <c r="L430" s="6" t="s">
        <v>5</v>
      </c>
      <c r="M430" s="6" t="s">
        <v>5</v>
      </c>
      <c r="N430" s="7">
        <v>2.69</v>
      </c>
      <c r="O430" s="5">
        <v>2.75</v>
      </c>
      <c r="P430" s="5" t="s">
        <v>5</v>
      </c>
      <c r="Q430" s="6" t="s">
        <v>5</v>
      </c>
      <c r="R430" s="6" t="s">
        <v>5</v>
      </c>
      <c r="S430" s="22">
        <v>0.13</v>
      </c>
      <c r="T430" s="5">
        <v>0.125</v>
      </c>
      <c r="U430" s="8">
        <v>6.25E-2</v>
      </c>
      <c r="V430" s="22">
        <v>0.17299999999999999</v>
      </c>
      <c r="W430" s="8">
        <v>0.1875</v>
      </c>
      <c r="X430" s="22">
        <v>0.17299999999999999</v>
      </c>
      <c r="Y430" s="6" t="s">
        <v>5</v>
      </c>
      <c r="Z430" s="6" t="s">
        <v>5</v>
      </c>
      <c r="AA430" s="22">
        <v>0.438</v>
      </c>
      <c r="AB430" s="8">
        <v>0.4375</v>
      </c>
      <c r="AC430" s="8" t="s">
        <v>5</v>
      </c>
      <c r="AD430" s="6" t="s">
        <v>5</v>
      </c>
      <c r="AE430" s="7">
        <v>1.51</v>
      </c>
      <c r="AF430" s="6" t="s">
        <v>5</v>
      </c>
      <c r="AG430" s="6" t="s">
        <v>5</v>
      </c>
      <c r="AH430" s="22">
        <v>0.75900000000000001</v>
      </c>
      <c r="AI430" s="7">
        <v>7.77</v>
      </c>
      <c r="AJ430" s="6" t="s">
        <v>5</v>
      </c>
      <c r="AK430" s="6" t="s">
        <v>5</v>
      </c>
      <c r="AL430" s="6" t="s">
        <v>5</v>
      </c>
      <c r="AM430" s="6" t="s">
        <v>5</v>
      </c>
      <c r="AN430" s="4">
        <v>38.4</v>
      </c>
      <c r="AO430" s="7">
        <v>2.91</v>
      </c>
      <c r="AP430" s="7">
        <v>1.51</v>
      </c>
      <c r="AQ430" s="22">
        <v>0.83599999999999997</v>
      </c>
      <c r="AR430" s="7">
        <v>1.63</v>
      </c>
      <c r="AS430" s="22">
        <v>0.28100000000000003</v>
      </c>
      <c r="AT430" s="22">
        <v>0.33400000000000002</v>
      </c>
      <c r="AU430" s="22">
        <v>0.20899999999999999</v>
      </c>
      <c r="AV430" s="22">
        <v>0.505</v>
      </c>
      <c r="AW430" s="6" t="s">
        <v>5</v>
      </c>
      <c r="AX430" s="6" t="s">
        <v>5</v>
      </c>
      <c r="AY430" s="6" t="s">
        <v>5</v>
      </c>
      <c r="AZ430" s="31">
        <v>9.3200000000000002E-3</v>
      </c>
      <c r="BA430" s="31">
        <v>7.92E-3</v>
      </c>
      <c r="BB430" s="6" t="s">
        <v>5</v>
      </c>
      <c r="BC430" s="6" t="s">
        <v>5</v>
      </c>
      <c r="BD430" s="6" t="s">
        <v>5</v>
      </c>
      <c r="BE430" s="6" t="s">
        <v>5</v>
      </c>
      <c r="BF430" s="6" t="s">
        <v>5</v>
      </c>
      <c r="BG430" s="6" t="s">
        <v>5</v>
      </c>
      <c r="BH430" s="6" t="s">
        <v>5</v>
      </c>
      <c r="BI430" s="7">
        <v>2.2200000000000002</v>
      </c>
      <c r="BJ430" s="22">
        <v>0.58799999999999997</v>
      </c>
      <c r="BK430" s="6" t="s">
        <v>5</v>
      </c>
      <c r="BL430" s="2" t="s">
        <v>5</v>
      </c>
      <c r="BM430" s="2" t="s">
        <v>5</v>
      </c>
      <c r="BN430" s="2" t="s">
        <v>5</v>
      </c>
      <c r="BO430" s="2" t="s">
        <v>5</v>
      </c>
      <c r="BP430" s="2" t="s">
        <v>5</v>
      </c>
      <c r="BQ430" s="2" t="s">
        <v>5</v>
      </c>
      <c r="BR430" s="2" t="s">
        <v>5</v>
      </c>
      <c r="BS430" s="2" t="s">
        <v>5</v>
      </c>
      <c r="BT430" s="2" t="s">
        <v>5</v>
      </c>
      <c r="BU430" s="2" t="s">
        <v>5</v>
      </c>
      <c r="BV430" s="2" t="s">
        <v>5</v>
      </c>
      <c r="BW430" s="2" t="s">
        <v>5</v>
      </c>
      <c r="BX430" s="2" t="s">
        <v>5</v>
      </c>
      <c r="BY430" s="25" t="s">
        <v>5</v>
      </c>
      <c r="BZ430" s="25" t="s">
        <v>5</v>
      </c>
      <c r="CA430" s="6" t="s">
        <v>5</v>
      </c>
      <c r="CB430" s="6" t="s">
        <v>5</v>
      </c>
      <c r="CC430" s="6" t="s">
        <v>5</v>
      </c>
      <c r="CD430" s="6" t="s">
        <v>5</v>
      </c>
      <c r="CE430" s="6" t="s">
        <v>5</v>
      </c>
      <c r="CF430" s="16" t="s">
        <v>5</v>
      </c>
      <c r="CG430" s="16" t="s">
        <v>5</v>
      </c>
      <c r="CH430" s="18" t="s">
        <v>5</v>
      </c>
    </row>
    <row r="431" spans="2:86">
      <c r="B431" s="78" t="s">
        <v>429</v>
      </c>
      <c r="C431" s="79" t="s">
        <v>438</v>
      </c>
      <c r="D431" s="80" t="s">
        <v>438</v>
      </c>
      <c r="E431" s="1" t="s">
        <v>4</v>
      </c>
      <c r="F431" s="7">
        <v>3.25</v>
      </c>
      <c r="G431" s="22">
        <v>0.95899999999999996</v>
      </c>
      <c r="H431" s="3" t="str">
        <f t="shared" si="25"/>
        <v>MT4X3.25</v>
      </c>
      <c r="I431" s="7">
        <v>4</v>
      </c>
      <c r="J431" s="5">
        <v>4</v>
      </c>
      <c r="K431" s="6" t="s">
        <v>5</v>
      </c>
      <c r="L431" s="6" t="s">
        <v>5</v>
      </c>
      <c r="M431" s="6" t="s">
        <v>5</v>
      </c>
      <c r="N431" s="7">
        <v>2.2799999999999998</v>
      </c>
      <c r="O431" s="5">
        <v>2.25</v>
      </c>
      <c r="P431" s="5" t="s">
        <v>5</v>
      </c>
      <c r="Q431" s="6" t="s">
        <v>5</v>
      </c>
      <c r="R431" s="6" t="s">
        <v>5</v>
      </c>
      <c r="S431" s="22">
        <v>0.13500000000000001</v>
      </c>
      <c r="T431" s="5">
        <v>0.125</v>
      </c>
      <c r="U431" s="8">
        <v>6.25E-2</v>
      </c>
      <c r="V431" s="22">
        <v>0.189</v>
      </c>
      <c r="W431" s="8">
        <v>0.1875</v>
      </c>
      <c r="X431" s="22">
        <v>0.189</v>
      </c>
      <c r="Y431" s="6" t="s">
        <v>5</v>
      </c>
      <c r="Z431" s="6" t="s">
        <v>5</v>
      </c>
      <c r="AA431" s="22">
        <v>0.56299999999999994</v>
      </c>
      <c r="AB431" s="8">
        <v>0.5625</v>
      </c>
      <c r="AC431" s="8" t="s">
        <v>5</v>
      </c>
      <c r="AD431" s="6" t="s">
        <v>5</v>
      </c>
      <c r="AE431" s="7">
        <v>1.18</v>
      </c>
      <c r="AF431" s="6" t="s">
        <v>5</v>
      </c>
      <c r="AG431" s="6" t="s">
        <v>5</v>
      </c>
      <c r="AH431" s="22">
        <v>0.47199999999999998</v>
      </c>
      <c r="AI431" s="7">
        <v>6.03</v>
      </c>
      <c r="AJ431" s="6" t="s">
        <v>5</v>
      </c>
      <c r="AK431" s="6" t="s">
        <v>5</v>
      </c>
      <c r="AL431" s="6" t="s">
        <v>5</v>
      </c>
      <c r="AM431" s="6" t="s">
        <v>5</v>
      </c>
      <c r="AN431" s="4">
        <v>29.6</v>
      </c>
      <c r="AO431" s="7">
        <v>1.57</v>
      </c>
      <c r="AP431" s="7">
        <v>1.01</v>
      </c>
      <c r="AQ431" s="22">
        <v>0.55800000000000005</v>
      </c>
      <c r="AR431" s="7">
        <v>1.29</v>
      </c>
      <c r="AS431" s="22">
        <v>0.188</v>
      </c>
      <c r="AT431" s="22">
        <v>0.26400000000000001</v>
      </c>
      <c r="AU431" s="22">
        <v>0.16500000000000001</v>
      </c>
      <c r="AV431" s="22">
        <v>0.44400000000000001</v>
      </c>
      <c r="AW431" s="6" t="s">
        <v>5</v>
      </c>
      <c r="AX431" s="6" t="s">
        <v>5</v>
      </c>
      <c r="AY431" s="6" t="s">
        <v>5</v>
      </c>
      <c r="AZ431" s="31">
        <v>9.1699999999999993E-3</v>
      </c>
      <c r="BA431" s="31">
        <v>4.6299999999999996E-3</v>
      </c>
      <c r="BB431" s="6" t="s">
        <v>5</v>
      </c>
      <c r="BC431" s="6" t="s">
        <v>5</v>
      </c>
      <c r="BD431" s="6" t="s">
        <v>5</v>
      </c>
      <c r="BE431" s="6" t="s">
        <v>5</v>
      </c>
      <c r="BF431" s="6" t="s">
        <v>5</v>
      </c>
      <c r="BG431" s="6" t="s">
        <v>5</v>
      </c>
      <c r="BH431" s="6" t="s">
        <v>5</v>
      </c>
      <c r="BI431" s="7">
        <v>1.74</v>
      </c>
      <c r="BJ431" s="22">
        <v>0.61199999999999999</v>
      </c>
      <c r="BK431" s="6" t="s">
        <v>5</v>
      </c>
      <c r="BL431" s="2" t="s">
        <v>5</v>
      </c>
      <c r="BM431" s="2" t="s">
        <v>5</v>
      </c>
      <c r="BN431" s="2" t="s">
        <v>5</v>
      </c>
      <c r="BO431" s="2" t="s">
        <v>5</v>
      </c>
      <c r="BP431" s="2" t="s">
        <v>5</v>
      </c>
      <c r="BQ431" s="2" t="s">
        <v>5</v>
      </c>
      <c r="BR431" s="2" t="s">
        <v>5</v>
      </c>
      <c r="BS431" s="2" t="s">
        <v>5</v>
      </c>
      <c r="BT431" s="2" t="s">
        <v>5</v>
      </c>
      <c r="BU431" s="2" t="s">
        <v>5</v>
      </c>
      <c r="BV431" s="2" t="s">
        <v>5</v>
      </c>
      <c r="BW431" s="2" t="s">
        <v>5</v>
      </c>
      <c r="BX431" s="2" t="s">
        <v>5</v>
      </c>
      <c r="BY431" s="25" t="s">
        <v>5</v>
      </c>
      <c r="BZ431" s="25" t="s">
        <v>5</v>
      </c>
      <c r="CA431" s="6" t="s">
        <v>5</v>
      </c>
      <c r="CB431" s="6" t="s">
        <v>5</v>
      </c>
      <c r="CC431" s="6" t="s">
        <v>5</v>
      </c>
      <c r="CD431" s="6" t="s">
        <v>5</v>
      </c>
      <c r="CE431" s="6" t="s">
        <v>5</v>
      </c>
      <c r="CF431" s="16" t="s">
        <v>5</v>
      </c>
      <c r="CG431" s="16" t="s">
        <v>5</v>
      </c>
      <c r="CH431" s="18" t="s">
        <v>5</v>
      </c>
    </row>
    <row r="432" spans="2:86">
      <c r="B432" s="78" t="s">
        <v>429</v>
      </c>
      <c r="C432" s="79" t="s">
        <v>439</v>
      </c>
      <c r="D432" s="80" t="s">
        <v>439</v>
      </c>
      <c r="E432" s="1" t="s">
        <v>4</v>
      </c>
      <c r="F432" s="7">
        <v>3.1</v>
      </c>
      <c r="G432" s="22">
        <v>0.91100000000000003</v>
      </c>
      <c r="H432" s="3" t="str">
        <f t="shared" si="25"/>
        <v>MT4X3.1</v>
      </c>
      <c r="I432" s="7">
        <v>4</v>
      </c>
      <c r="J432" s="5">
        <v>4</v>
      </c>
      <c r="K432" s="6" t="s">
        <v>5</v>
      </c>
      <c r="L432" s="6" t="s">
        <v>5</v>
      </c>
      <c r="M432" s="6" t="s">
        <v>5</v>
      </c>
      <c r="N432" s="7">
        <v>2.2799999999999998</v>
      </c>
      <c r="O432" s="5">
        <v>2.25</v>
      </c>
      <c r="P432" s="5" t="s">
        <v>5</v>
      </c>
      <c r="Q432" s="6" t="s">
        <v>5</v>
      </c>
      <c r="R432" s="6" t="s">
        <v>5</v>
      </c>
      <c r="S432" s="22">
        <v>0.129</v>
      </c>
      <c r="T432" s="5">
        <v>0.125</v>
      </c>
      <c r="U432" s="8">
        <v>6.25E-2</v>
      </c>
      <c r="V432" s="22">
        <v>0.17699999999999999</v>
      </c>
      <c r="W432" s="8">
        <v>0.1875</v>
      </c>
      <c r="X432" s="22">
        <v>0.17699999999999999</v>
      </c>
      <c r="Y432" s="6" t="s">
        <v>5</v>
      </c>
      <c r="Z432" s="6" t="s">
        <v>5</v>
      </c>
      <c r="AA432" s="22">
        <v>0.438</v>
      </c>
      <c r="AB432" s="8">
        <v>0.4375</v>
      </c>
      <c r="AC432" s="8" t="s">
        <v>5</v>
      </c>
      <c r="AD432" s="6" t="s">
        <v>5</v>
      </c>
      <c r="AE432" s="7">
        <v>1.18</v>
      </c>
      <c r="AF432" s="6" t="s">
        <v>5</v>
      </c>
      <c r="AG432" s="6" t="s">
        <v>5</v>
      </c>
      <c r="AH432" s="22">
        <v>0.497</v>
      </c>
      <c r="AI432" s="7">
        <v>6.44</v>
      </c>
      <c r="AJ432" s="6" t="s">
        <v>5</v>
      </c>
      <c r="AK432" s="6" t="s">
        <v>5</v>
      </c>
      <c r="AL432" s="6" t="s">
        <v>5</v>
      </c>
      <c r="AM432" s="6" t="s">
        <v>5</v>
      </c>
      <c r="AN432" s="4">
        <v>31</v>
      </c>
      <c r="AO432" s="7">
        <v>1.5</v>
      </c>
      <c r="AP432" s="22">
        <v>0.96699999999999997</v>
      </c>
      <c r="AQ432" s="22">
        <v>0.53300000000000003</v>
      </c>
      <c r="AR432" s="7">
        <v>1.29</v>
      </c>
      <c r="AS432" s="22">
        <v>0.17599999999999999</v>
      </c>
      <c r="AT432" s="22">
        <v>0.247</v>
      </c>
      <c r="AU432" s="22">
        <v>0.154</v>
      </c>
      <c r="AV432" s="22">
        <v>0.441</v>
      </c>
      <c r="AW432" s="6" t="s">
        <v>5</v>
      </c>
      <c r="AX432" s="6" t="s">
        <v>5</v>
      </c>
      <c r="AY432" s="6" t="s">
        <v>5</v>
      </c>
      <c r="AZ432" s="31">
        <v>7.7799999999999996E-3</v>
      </c>
      <c r="BA432" s="31">
        <v>4.0299999999999997E-3</v>
      </c>
      <c r="BB432" s="6" t="s">
        <v>5</v>
      </c>
      <c r="BC432" s="6" t="s">
        <v>5</v>
      </c>
      <c r="BD432" s="6" t="s">
        <v>5</v>
      </c>
      <c r="BE432" s="6" t="s">
        <v>5</v>
      </c>
      <c r="BF432" s="6" t="s">
        <v>5</v>
      </c>
      <c r="BG432" s="6" t="s">
        <v>5</v>
      </c>
      <c r="BH432" s="6" t="s">
        <v>5</v>
      </c>
      <c r="BI432" s="7">
        <v>1.75</v>
      </c>
      <c r="BJ432" s="22">
        <v>0.60799999999999998</v>
      </c>
      <c r="BK432" s="6" t="s">
        <v>5</v>
      </c>
      <c r="BL432" s="2" t="s">
        <v>5</v>
      </c>
      <c r="BM432" s="2" t="s">
        <v>5</v>
      </c>
      <c r="BN432" s="2" t="s">
        <v>5</v>
      </c>
      <c r="BO432" s="2" t="s">
        <v>5</v>
      </c>
      <c r="BP432" s="2" t="s">
        <v>5</v>
      </c>
      <c r="BQ432" s="2" t="s">
        <v>5</v>
      </c>
      <c r="BR432" s="2" t="s">
        <v>5</v>
      </c>
      <c r="BS432" s="2" t="s">
        <v>5</v>
      </c>
      <c r="BT432" s="2" t="s">
        <v>5</v>
      </c>
      <c r="BU432" s="2" t="s">
        <v>5</v>
      </c>
      <c r="BV432" s="2" t="s">
        <v>5</v>
      </c>
      <c r="BW432" s="2" t="s">
        <v>5</v>
      </c>
      <c r="BX432" s="2" t="s">
        <v>5</v>
      </c>
      <c r="BY432" s="25" t="s">
        <v>5</v>
      </c>
      <c r="BZ432" s="25" t="s">
        <v>5</v>
      </c>
      <c r="CA432" s="6" t="s">
        <v>5</v>
      </c>
      <c r="CB432" s="6" t="s">
        <v>5</v>
      </c>
      <c r="CC432" s="6" t="s">
        <v>5</v>
      </c>
      <c r="CD432" s="6" t="s">
        <v>5</v>
      </c>
      <c r="CE432" s="6" t="s">
        <v>5</v>
      </c>
      <c r="CF432" s="16" t="s">
        <v>5</v>
      </c>
      <c r="CG432" s="16" t="s">
        <v>5</v>
      </c>
      <c r="CH432" s="18" t="s">
        <v>5</v>
      </c>
    </row>
    <row r="433" spans="2:86">
      <c r="B433" s="78" t="s">
        <v>429</v>
      </c>
      <c r="C433" s="79" t="s">
        <v>440</v>
      </c>
      <c r="D433" s="80" t="s">
        <v>440</v>
      </c>
      <c r="E433" s="1" t="s">
        <v>4</v>
      </c>
      <c r="F433" s="7">
        <v>2.2000000000000002</v>
      </c>
      <c r="G433" s="22">
        <v>0.64700000000000002</v>
      </c>
      <c r="H433" s="3" t="str">
        <f t="shared" si="25"/>
        <v>MT3X2.2</v>
      </c>
      <c r="I433" s="7">
        <v>3</v>
      </c>
      <c r="J433" s="5">
        <v>3</v>
      </c>
      <c r="K433" s="6" t="s">
        <v>5</v>
      </c>
      <c r="L433" s="6" t="s">
        <v>5</v>
      </c>
      <c r="M433" s="6" t="s">
        <v>5</v>
      </c>
      <c r="N433" s="7">
        <v>1.84</v>
      </c>
      <c r="O433" s="5">
        <v>1.875</v>
      </c>
      <c r="P433" s="5" t="s">
        <v>5</v>
      </c>
      <c r="Q433" s="6" t="s">
        <v>5</v>
      </c>
      <c r="R433" s="6" t="s">
        <v>5</v>
      </c>
      <c r="S433" s="22">
        <v>0.114</v>
      </c>
      <c r="T433" s="5">
        <v>0.125</v>
      </c>
      <c r="U433" s="8">
        <v>6.25E-2</v>
      </c>
      <c r="V433" s="22">
        <v>0.17100000000000001</v>
      </c>
      <c r="W433" s="8">
        <v>0.1875</v>
      </c>
      <c r="X433" s="22">
        <v>0.17100000000000001</v>
      </c>
      <c r="Y433" s="6" t="s">
        <v>5</v>
      </c>
      <c r="Z433" s="6" t="s">
        <v>5</v>
      </c>
      <c r="AA433" s="22">
        <v>0.375</v>
      </c>
      <c r="AB433" s="8">
        <v>0.375</v>
      </c>
      <c r="AC433" s="8" t="s">
        <v>5</v>
      </c>
      <c r="AD433" s="6" t="s">
        <v>5</v>
      </c>
      <c r="AE433" s="22">
        <v>0.84099999999999997</v>
      </c>
      <c r="AF433" s="6" t="s">
        <v>5</v>
      </c>
      <c r="AG433" s="6" t="s">
        <v>5</v>
      </c>
      <c r="AH433" s="22">
        <v>0.19</v>
      </c>
      <c r="AI433" s="7">
        <v>5.38</v>
      </c>
      <c r="AJ433" s="6" t="s">
        <v>5</v>
      </c>
      <c r="AK433" s="6" t="s">
        <v>5</v>
      </c>
      <c r="AL433" s="6" t="s">
        <v>5</v>
      </c>
      <c r="AM433" s="6" t="s">
        <v>5</v>
      </c>
      <c r="AN433" s="4">
        <v>26.3</v>
      </c>
      <c r="AO433" s="22">
        <v>0.57899999999999996</v>
      </c>
      <c r="AP433" s="22">
        <v>0.48299999999999998</v>
      </c>
      <c r="AQ433" s="22">
        <v>0.26800000000000002</v>
      </c>
      <c r="AR433" s="22">
        <v>0.94899999999999995</v>
      </c>
      <c r="AS433" s="28">
        <v>8.9700000000000002E-2</v>
      </c>
      <c r="AT433" s="22">
        <v>0.155</v>
      </c>
      <c r="AU433" s="28">
        <v>9.7299999999999998E-2</v>
      </c>
      <c r="AV433" s="22">
        <v>0.374</v>
      </c>
      <c r="AW433" s="6" t="s">
        <v>5</v>
      </c>
      <c r="AX433" s="6" t="s">
        <v>5</v>
      </c>
      <c r="AY433" s="6" t="s">
        <v>5</v>
      </c>
      <c r="AZ433" s="31">
        <v>4.9399999999999999E-3</v>
      </c>
      <c r="BA433" s="31">
        <v>1.24E-3</v>
      </c>
      <c r="BB433" s="6" t="s">
        <v>5</v>
      </c>
      <c r="BC433" s="6" t="s">
        <v>5</v>
      </c>
      <c r="BD433" s="6" t="s">
        <v>5</v>
      </c>
      <c r="BE433" s="6" t="s">
        <v>5</v>
      </c>
      <c r="BF433" s="6" t="s">
        <v>5</v>
      </c>
      <c r="BG433" s="6" t="s">
        <v>5</v>
      </c>
      <c r="BH433" s="6" t="s">
        <v>5</v>
      </c>
      <c r="BI433" s="7">
        <v>1.27</v>
      </c>
      <c r="BJ433" s="22">
        <v>0.64600000000000002</v>
      </c>
      <c r="BK433" s="6" t="s">
        <v>5</v>
      </c>
      <c r="BL433" s="2" t="s">
        <v>5</v>
      </c>
      <c r="BM433" s="2" t="s">
        <v>5</v>
      </c>
      <c r="BN433" s="2" t="s">
        <v>5</v>
      </c>
      <c r="BO433" s="2" t="s">
        <v>5</v>
      </c>
      <c r="BP433" s="2" t="s">
        <v>5</v>
      </c>
      <c r="BQ433" s="2" t="s">
        <v>5</v>
      </c>
      <c r="BR433" s="2" t="s">
        <v>5</v>
      </c>
      <c r="BS433" s="2" t="s">
        <v>5</v>
      </c>
      <c r="BT433" s="2" t="s">
        <v>5</v>
      </c>
      <c r="BU433" s="2" t="s">
        <v>5</v>
      </c>
      <c r="BV433" s="2" t="s">
        <v>5</v>
      </c>
      <c r="BW433" s="2" t="s">
        <v>5</v>
      </c>
      <c r="BX433" s="2" t="s">
        <v>5</v>
      </c>
      <c r="BY433" s="25" t="s">
        <v>5</v>
      </c>
      <c r="BZ433" s="25" t="s">
        <v>5</v>
      </c>
      <c r="CA433" s="6" t="s">
        <v>5</v>
      </c>
      <c r="CB433" s="6" t="s">
        <v>5</v>
      </c>
      <c r="CC433" s="6" t="s">
        <v>5</v>
      </c>
      <c r="CD433" s="6" t="s">
        <v>5</v>
      </c>
      <c r="CE433" s="6" t="s">
        <v>5</v>
      </c>
      <c r="CF433" s="16" t="s">
        <v>5</v>
      </c>
      <c r="CG433" s="16" t="s">
        <v>5</v>
      </c>
      <c r="CH433" s="18" t="s">
        <v>5</v>
      </c>
    </row>
    <row r="434" spans="2:86">
      <c r="B434" s="78" t="s">
        <v>429</v>
      </c>
      <c r="C434" s="79" t="s">
        <v>441</v>
      </c>
      <c r="D434" s="80" t="s">
        <v>441</v>
      </c>
      <c r="E434" s="1" t="s">
        <v>4</v>
      </c>
      <c r="F434" s="7">
        <v>1.85</v>
      </c>
      <c r="G434" s="22">
        <v>0.54500000000000004</v>
      </c>
      <c r="H434" s="3" t="str">
        <f t="shared" si="25"/>
        <v>MT3X1.85</v>
      </c>
      <c r="I434" s="7">
        <v>2.96</v>
      </c>
      <c r="J434" s="5">
        <v>3</v>
      </c>
      <c r="K434" s="6" t="s">
        <v>5</v>
      </c>
      <c r="L434" s="6" t="s">
        <v>5</v>
      </c>
      <c r="M434" s="6" t="s">
        <v>5</v>
      </c>
      <c r="N434" s="7">
        <v>2</v>
      </c>
      <c r="O434" s="5">
        <v>2</v>
      </c>
      <c r="P434" s="5" t="s">
        <v>5</v>
      </c>
      <c r="Q434" s="6" t="s">
        <v>5</v>
      </c>
      <c r="R434" s="6" t="s">
        <v>5</v>
      </c>
      <c r="S434" s="28">
        <v>9.8000000000000004E-2</v>
      </c>
      <c r="T434" s="5">
        <v>0.125</v>
      </c>
      <c r="U434" s="8">
        <v>6.25E-2</v>
      </c>
      <c r="V434" s="22">
        <v>0.129</v>
      </c>
      <c r="W434" s="8">
        <v>0.125</v>
      </c>
      <c r="X434" s="22">
        <v>0.129</v>
      </c>
      <c r="Y434" s="6" t="s">
        <v>5</v>
      </c>
      <c r="Z434" s="6" t="s">
        <v>5</v>
      </c>
      <c r="AA434" s="22">
        <v>0.313</v>
      </c>
      <c r="AB434" s="8">
        <v>0.3125</v>
      </c>
      <c r="AC434" s="8" t="s">
        <v>5</v>
      </c>
      <c r="AD434" s="6" t="s">
        <v>5</v>
      </c>
      <c r="AE434" s="22">
        <v>0.82699999999999996</v>
      </c>
      <c r="AF434" s="6" t="s">
        <v>5</v>
      </c>
      <c r="AG434" s="6" t="s">
        <v>5</v>
      </c>
      <c r="AH434" s="22">
        <v>0.17399999999999999</v>
      </c>
      <c r="AI434" s="7">
        <v>7.75</v>
      </c>
      <c r="AJ434" s="6" t="s">
        <v>5</v>
      </c>
      <c r="AK434" s="6" t="s">
        <v>5</v>
      </c>
      <c r="AL434" s="6" t="s">
        <v>5</v>
      </c>
      <c r="AM434" s="6" t="s">
        <v>5</v>
      </c>
      <c r="AN434" s="4">
        <v>30.2</v>
      </c>
      <c r="AO434" s="22">
        <v>0.48299999999999998</v>
      </c>
      <c r="AP434" s="22">
        <v>0.40899999999999997</v>
      </c>
      <c r="AQ434" s="22">
        <v>0.22600000000000001</v>
      </c>
      <c r="AR434" s="22">
        <v>0.94499999999999995</v>
      </c>
      <c r="AS434" s="28">
        <v>8.6300000000000002E-2</v>
      </c>
      <c r="AT434" s="22">
        <v>0.13600000000000001</v>
      </c>
      <c r="AU434" s="28">
        <v>8.6300000000000002E-2</v>
      </c>
      <c r="AV434" s="22">
        <v>0.4</v>
      </c>
      <c r="AW434" s="6" t="s">
        <v>5</v>
      </c>
      <c r="AX434" s="6" t="s">
        <v>5</v>
      </c>
      <c r="AY434" s="6" t="s">
        <v>5</v>
      </c>
      <c r="AZ434" s="31">
        <v>2.65E-3</v>
      </c>
      <c r="BA434" s="32">
        <v>7.54E-4</v>
      </c>
      <c r="BB434" s="6" t="s">
        <v>5</v>
      </c>
      <c r="BC434" s="6" t="s">
        <v>5</v>
      </c>
      <c r="BD434" s="6" t="s">
        <v>5</v>
      </c>
      <c r="BE434" s="6" t="s">
        <v>5</v>
      </c>
      <c r="BF434" s="6" t="s">
        <v>5</v>
      </c>
      <c r="BG434" s="6" t="s">
        <v>5</v>
      </c>
      <c r="BH434" s="6" t="s">
        <v>5</v>
      </c>
      <c r="BI434" s="7">
        <v>1.28</v>
      </c>
      <c r="BJ434" s="22">
        <v>0.64400000000000002</v>
      </c>
      <c r="BK434" s="6" t="s">
        <v>5</v>
      </c>
      <c r="BL434" s="2" t="s">
        <v>5</v>
      </c>
      <c r="BM434" s="2" t="s">
        <v>5</v>
      </c>
      <c r="BN434" s="2" t="s">
        <v>5</v>
      </c>
      <c r="BO434" s="2" t="s">
        <v>5</v>
      </c>
      <c r="BP434" s="2" t="s">
        <v>5</v>
      </c>
      <c r="BQ434" s="2" t="s">
        <v>5</v>
      </c>
      <c r="BR434" s="2" t="s">
        <v>5</v>
      </c>
      <c r="BS434" s="2" t="s">
        <v>5</v>
      </c>
      <c r="BT434" s="2" t="s">
        <v>5</v>
      </c>
      <c r="BU434" s="2" t="s">
        <v>5</v>
      </c>
      <c r="BV434" s="2" t="s">
        <v>5</v>
      </c>
      <c r="BW434" s="2" t="s">
        <v>5</v>
      </c>
      <c r="BX434" s="2" t="s">
        <v>5</v>
      </c>
      <c r="BY434" s="25" t="s">
        <v>5</v>
      </c>
      <c r="BZ434" s="25" t="s">
        <v>5</v>
      </c>
      <c r="CA434" s="6" t="s">
        <v>5</v>
      </c>
      <c r="CB434" s="6" t="s">
        <v>5</v>
      </c>
      <c r="CC434" s="6" t="s">
        <v>5</v>
      </c>
      <c r="CD434" s="6" t="s">
        <v>5</v>
      </c>
      <c r="CE434" s="6" t="s">
        <v>5</v>
      </c>
      <c r="CF434" s="16" t="s">
        <v>5</v>
      </c>
      <c r="CG434" s="16" t="s">
        <v>5</v>
      </c>
      <c r="CH434" s="18" t="s">
        <v>5</v>
      </c>
    </row>
    <row r="435" spans="2:86">
      <c r="B435" s="78" t="s">
        <v>429</v>
      </c>
      <c r="C435" s="79" t="s">
        <v>442</v>
      </c>
      <c r="D435" s="80" t="s">
        <v>442</v>
      </c>
      <c r="E435" s="1" t="s">
        <v>6</v>
      </c>
      <c r="F435" s="7">
        <v>9.4499999999999993</v>
      </c>
      <c r="G435" s="7">
        <v>2.78</v>
      </c>
      <c r="H435" s="3" t="str">
        <f t="shared" si="25"/>
        <v>MT2.5X9.45</v>
      </c>
      <c r="I435" s="7">
        <v>2.5</v>
      </c>
      <c r="J435" s="5">
        <v>2.5</v>
      </c>
      <c r="K435" s="6" t="s">
        <v>5</v>
      </c>
      <c r="L435" s="6" t="s">
        <v>5</v>
      </c>
      <c r="M435" s="6" t="s">
        <v>5</v>
      </c>
      <c r="N435" s="7">
        <v>5</v>
      </c>
      <c r="O435" s="5">
        <v>5</v>
      </c>
      <c r="P435" s="5" t="s">
        <v>5</v>
      </c>
      <c r="Q435" s="6" t="s">
        <v>5</v>
      </c>
      <c r="R435" s="6" t="s">
        <v>5</v>
      </c>
      <c r="S435" s="22">
        <v>0.316</v>
      </c>
      <c r="T435" s="5">
        <v>0.3125</v>
      </c>
      <c r="U435" s="8">
        <v>0.1875</v>
      </c>
      <c r="V435" s="22">
        <v>0.41599999999999998</v>
      </c>
      <c r="W435" s="8">
        <v>0.4375</v>
      </c>
      <c r="X435" s="22">
        <v>0.41599999999999998</v>
      </c>
      <c r="Y435" s="6" t="s">
        <v>5</v>
      </c>
      <c r="Z435" s="6" t="s">
        <v>5</v>
      </c>
      <c r="AA435" s="22">
        <v>0.81299999999999994</v>
      </c>
      <c r="AB435" s="8">
        <v>0.8125</v>
      </c>
      <c r="AC435" s="8" t="s">
        <v>5</v>
      </c>
      <c r="AD435" s="6" t="s">
        <v>5</v>
      </c>
      <c r="AE435" s="22">
        <v>0.51200000000000001</v>
      </c>
      <c r="AF435" s="6" t="s">
        <v>5</v>
      </c>
      <c r="AG435" s="6" t="s">
        <v>5</v>
      </c>
      <c r="AH435" s="22">
        <v>0.27600000000000002</v>
      </c>
      <c r="AI435" s="7">
        <v>6.01</v>
      </c>
      <c r="AJ435" s="6" t="s">
        <v>5</v>
      </c>
      <c r="AK435" s="6" t="s">
        <v>5</v>
      </c>
      <c r="AL435" s="6" t="s">
        <v>5</v>
      </c>
      <c r="AM435" s="6" t="s">
        <v>5</v>
      </c>
      <c r="AN435" s="7">
        <v>7.91</v>
      </c>
      <c r="AO435" s="7">
        <v>1.05</v>
      </c>
      <c r="AP435" s="7">
        <v>1.03</v>
      </c>
      <c r="AQ435" s="22">
        <v>0.52800000000000002</v>
      </c>
      <c r="AR435" s="22">
        <v>0.61699999999999999</v>
      </c>
      <c r="AS435" s="7">
        <v>4.3499999999999996</v>
      </c>
      <c r="AT435" s="7">
        <v>2.66</v>
      </c>
      <c r="AU435" s="7">
        <v>1.74</v>
      </c>
      <c r="AV435" s="7">
        <v>1.26</v>
      </c>
      <c r="AW435" s="6" t="s">
        <v>5</v>
      </c>
      <c r="AX435" s="6" t="s">
        <v>5</v>
      </c>
      <c r="AY435" s="6" t="s">
        <v>5</v>
      </c>
      <c r="AZ435" s="22">
        <v>0.156</v>
      </c>
      <c r="BA435" s="28">
        <v>7.3200000000000001E-2</v>
      </c>
      <c r="BB435" s="6" t="s">
        <v>5</v>
      </c>
      <c r="BC435" s="6" t="s">
        <v>5</v>
      </c>
      <c r="BD435" s="6" t="s">
        <v>5</v>
      </c>
      <c r="BE435" s="6" t="s">
        <v>5</v>
      </c>
      <c r="BF435" s="6" t="s">
        <v>5</v>
      </c>
      <c r="BG435" s="6" t="s">
        <v>5</v>
      </c>
      <c r="BH435" s="6" t="s">
        <v>5</v>
      </c>
      <c r="BI435" s="7">
        <v>1.43</v>
      </c>
      <c r="BJ435" s="22">
        <v>0.95499999999999996</v>
      </c>
      <c r="BK435" s="6" t="s">
        <v>5</v>
      </c>
      <c r="BL435" s="2" t="s">
        <v>5</v>
      </c>
      <c r="BM435" s="2" t="s">
        <v>5</v>
      </c>
      <c r="BN435" s="2" t="s">
        <v>5</v>
      </c>
      <c r="BO435" s="2" t="s">
        <v>5</v>
      </c>
      <c r="BP435" s="2" t="s">
        <v>5</v>
      </c>
      <c r="BQ435" s="2" t="s">
        <v>5</v>
      </c>
      <c r="BR435" s="2" t="s">
        <v>5</v>
      </c>
      <c r="BS435" s="2" t="s">
        <v>5</v>
      </c>
      <c r="BT435" s="2" t="s">
        <v>5</v>
      </c>
      <c r="BU435" s="2" t="s">
        <v>5</v>
      </c>
      <c r="BV435" s="2" t="s">
        <v>5</v>
      </c>
      <c r="BW435" s="2" t="s">
        <v>5</v>
      </c>
      <c r="BX435" s="2" t="s">
        <v>5</v>
      </c>
      <c r="BY435" s="25" t="s">
        <v>5</v>
      </c>
      <c r="BZ435" s="25" t="s">
        <v>5</v>
      </c>
      <c r="CA435" s="6" t="s">
        <v>5</v>
      </c>
      <c r="CB435" s="6" t="s">
        <v>5</v>
      </c>
      <c r="CC435" s="6" t="s">
        <v>5</v>
      </c>
      <c r="CD435" s="6" t="s">
        <v>5</v>
      </c>
      <c r="CE435" s="6" t="s">
        <v>5</v>
      </c>
      <c r="CF435" s="16" t="s">
        <v>5</v>
      </c>
      <c r="CG435" s="5">
        <v>2.75</v>
      </c>
      <c r="CH435" s="18" t="s">
        <v>5</v>
      </c>
    </row>
    <row r="436" spans="2:86">
      <c r="B436" s="78" t="s">
        <v>429</v>
      </c>
      <c r="C436" s="79" t="s">
        <v>443</v>
      </c>
      <c r="D436" s="80" t="s">
        <v>443</v>
      </c>
      <c r="E436" s="1" t="s">
        <v>4</v>
      </c>
      <c r="F436" s="7">
        <v>3</v>
      </c>
      <c r="G436" s="22">
        <v>0.875</v>
      </c>
      <c r="H436" s="3" t="str">
        <f t="shared" si="25"/>
        <v>MT2X3</v>
      </c>
      <c r="I436" s="7">
        <v>1.9</v>
      </c>
      <c r="J436" s="5">
        <v>1.875</v>
      </c>
      <c r="K436" s="6" t="s">
        <v>5</v>
      </c>
      <c r="L436" s="6" t="s">
        <v>5</v>
      </c>
      <c r="M436" s="6" t="s">
        <v>5</v>
      </c>
      <c r="N436" s="7">
        <v>3.8</v>
      </c>
      <c r="O436" s="5">
        <v>3.75</v>
      </c>
      <c r="P436" s="5" t="s">
        <v>5</v>
      </c>
      <c r="Q436" s="6" t="s">
        <v>5</v>
      </c>
      <c r="R436" s="6" t="s">
        <v>5</v>
      </c>
      <c r="S436" s="22">
        <v>0.13</v>
      </c>
      <c r="T436" s="5">
        <v>0.125</v>
      </c>
      <c r="U436" s="8">
        <v>6.25E-2</v>
      </c>
      <c r="V436" s="22">
        <v>0.16</v>
      </c>
      <c r="W436" s="8">
        <v>0.1875</v>
      </c>
      <c r="X436" s="22">
        <v>0.16</v>
      </c>
      <c r="Y436" s="6" t="s">
        <v>5</v>
      </c>
      <c r="Z436" s="6" t="s">
        <v>5</v>
      </c>
      <c r="AA436" s="22">
        <v>0.5</v>
      </c>
      <c r="AB436" s="8">
        <v>0.5</v>
      </c>
      <c r="AC436" s="8" t="s">
        <v>5</v>
      </c>
      <c r="AD436" s="6" t="s">
        <v>5</v>
      </c>
      <c r="AE436" s="22">
        <v>0.34100000000000003</v>
      </c>
      <c r="AF436" s="6" t="s">
        <v>5</v>
      </c>
      <c r="AG436" s="6" t="s">
        <v>5</v>
      </c>
      <c r="AH436" s="22">
        <v>0.112</v>
      </c>
      <c r="AI436" s="4">
        <v>11.9</v>
      </c>
      <c r="AJ436" s="6" t="s">
        <v>5</v>
      </c>
      <c r="AK436" s="6" t="s">
        <v>5</v>
      </c>
      <c r="AL436" s="6" t="s">
        <v>5</v>
      </c>
      <c r="AM436" s="6" t="s">
        <v>5</v>
      </c>
      <c r="AN436" s="4">
        <v>14.6</v>
      </c>
      <c r="AO436" s="22">
        <v>0.20799999999999999</v>
      </c>
      <c r="AP436" s="22">
        <v>0.24099999999999999</v>
      </c>
      <c r="AQ436" s="22">
        <v>0.13300000000000001</v>
      </c>
      <c r="AR436" s="22">
        <v>0.49299999999999999</v>
      </c>
      <c r="AS436" s="22">
        <v>0.73199999999999998</v>
      </c>
      <c r="AT436" s="22">
        <v>0.58799999999999997</v>
      </c>
      <c r="AU436" s="22">
        <v>0.38500000000000001</v>
      </c>
      <c r="AV436" s="22">
        <v>0.92600000000000005</v>
      </c>
      <c r="AW436" s="6" t="s">
        <v>5</v>
      </c>
      <c r="AX436" s="6" t="s">
        <v>5</v>
      </c>
      <c r="AY436" s="6" t="s">
        <v>5</v>
      </c>
      <c r="AZ436" s="31">
        <v>9.1900000000000003E-3</v>
      </c>
      <c r="BA436" s="31">
        <v>1.9300000000000001E-3</v>
      </c>
      <c r="BB436" s="6" t="s">
        <v>5</v>
      </c>
      <c r="BC436" s="6" t="s">
        <v>5</v>
      </c>
      <c r="BD436" s="6" t="s">
        <v>5</v>
      </c>
      <c r="BE436" s="6" t="s">
        <v>5</v>
      </c>
      <c r="BF436" s="6" t="s">
        <v>5</v>
      </c>
      <c r="BG436" s="6" t="s">
        <v>5</v>
      </c>
      <c r="BH436" s="6" t="s">
        <v>5</v>
      </c>
      <c r="BI436" s="7">
        <v>1.08</v>
      </c>
      <c r="BJ436" s="22">
        <v>0.94199999999999995</v>
      </c>
      <c r="BK436" s="6" t="s">
        <v>5</v>
      </c>
      <c r="BL436" s="2" t="s">
        <v>5</v>
      </c>
      <c r="BM436" s="2" t="s">
        <v>5</v>
      </c>
      <c r="BN436" s="2" t="s">
        <v>5</v>
      </c>
      <c r="BO436" s="2" t="s">
        <v>5</v>
      </c>
      <c r="BP436" s="2" t="s">
        <v>5</v>
      </c>
      <c r="BQ436" s="2" t="s">
        <v>5</v>
      </c>
      <c r="BR436" s="2" t="s">
        <v>5</v>
      </c>
      <c r="BS436" s="2" t="s">
        <v>5</v>
      </c>
      <c r="BT436" s="2" t="s">
        <v>5</v>
      </c>
      <c r="BU436" s="2" t="s">
        <v>5</v>
      </c>
      <c r="BV436" s="2" t="s">
        <v>5</v>
      </c>
      <c r="BW436" s="2" t="s">
        <v>5</v>
      </c>
      <c r="BX436" s="2" t="s">
        <v>5</v>
      </c>
      <c r="BY436" s="25" t="s">
        <v>5</v>
      </c>
      <c r="BZ436" s="25" t="s">
        <v>5</v>
      </c>
      <c r="CA436" s="6" t="s">
        <v>5</v>
      </c>
      <c r="CB436" s="6" t="s">
        <v>5</v>
      </c>
      <c r="CC436" s="6" t="s">
        <v>5</v>
      </c>
      <c r="CD436" s="6" t="s">
        <v>5</v>
      </c>
      <c r="CE436" s="6" t="s">
        <v>5</v>
      </c>
      <c r="CF436" s="16" t="s">
        <v>5</v>
      </c>
      <c r="CG436" s="16" t="s">
        <v>5</v>
      </c>
      <c r="CH436" s="18" t="s">
        <v>5</v>
      </c>
    </row>
    <row r="437" spans="2:86">
      <c r="B437" s="78" t="s">
        <v>444</v>
      </c>
      <c r="C437" s="79" t="s">
        <v>445</v>
      </c>
      <c r="D437" s="80" t="s">
        <v>445</v>
      </c>
      <c r="E437" s="1" t="s">
        <v>4</v>
      </c>
      <c r="F437" s="4">
        <v>60.5</v>
      </c>
      <c r="G437" s="4">
        <v>17.8</v>
      </c>
      <c r="H437" s="3" t="str">
        <f t="shared" si="25"/>
        <v>ST12X60.5</v>
      </c>
      <c r="I437" s="4">
        <v>12.3</v>
      </c>
      <c r="J437" s="5">
        <v>12.25</v>
      </c>
      <c r="K437" s="6" t="s">
        <v>5</v>
      </c>
      <c r="L437" s="6" t="s">
        <v>5</v>
      </c>
      <c r="M437" s="6" t="s">
        <v>5</v>
      </c>
      <c r="N437" s="7">
        <v>8.0500000000000007</v>
      </c>
      <c r="O437" s="5">
        <v>8</v>
      </c>
      <c r="P437" s="5" t="s">
        <v>5</v>
      </c>
      <c r="Q437" s="6" t="s">
        <v>5</v>
      </c>
      <c r="R437" s="6" t="s">
        <v>5</v>
      </c>
      <c r="S437" s="22">
        <v>0.8</v>
      </c>
      <c r="T437" s="5">
        <v>0.8125</v>
      </c>
      <c r="U437" s="8">
        <v>0.4375</v>
      </c>
      <c r="V437" s="7">
        <v>1.0900000000000001</v>
      </c>
      <c r="W437" s="8">
        <v>1.0625</v>
      </c>
      <c r="X437" s="7">
        <v>1.0900000000000001</v>
      </c>
      <c r="Y437" s="6" t="s">
        <v>5</v>
      </c>
      <c r="Z437" s="6" t="s">
        <v>5</v>
      </c>
      <c r="AA437" s="7">
        <v>2</v>
      </c>
      <c r="AB437" s="8">
        <v>2</v>
      </c>
      <c r="AC437" s="8" t="s">
        <v>5</v>
      </c>
      <c r="AD437" s="6" t="s">
        <v>5</v>
      </c>
      <c r="AE437" s="7">
        <v>3.63</v>
      </c>
      <c r="AF437" s="6" t="s">
        <v>5</v>
      </c>
      <c r="AG437" s="6" t="s">
        <v>5</v>
      </c>
      <c r="AH437" s="7">
        <v>1.26</v>
      </c>
      <c r="AI437" s="7">
        <v>3.69</v>
      </c>
      <c r="AJ437" s="6" t="s">
        <v>5</v>
      </c>
      <c r="AK437" s="6" t="s">
        <v>5</v>
      </c>
      <c r="AL437" s="6" t="s">
        <v>5</v>
      </c>
      <c r="AM437" s="6" t="s">
        <v>5</v>
      </c>
      <c r="AN437" s="4">
        <v>15.4</v>
      </c>
      <c r="AO437" s="6">
        <v>259</v>
      </c>
      <c r="AP437" s="4">
        <v>54.5</v>
      </c>
      <c r="AQ437" s="4">
        <v>30.1</v>
      </c>
      <c r="AR437" s="7">
        <v>3.82</v>
      </c>
      <c r="AS437" s="4">
        <v>41.5</v>
      </c>
      <c r="AT437" s="4">
        <v>18.100000000000001</v>
      </c>
      <c r="AU437" s="4">
        <v>10.3</v>
      </c>
      <c r="AV437" s="7">
        <v>1.53</v>
      </c>
      <c r="AW437" s="6" t="s">
        <v>5</v>
      </c>
      <c r="AX437" s="6" t="s">
        <v>5</v>
      </c>
      <c r="AY437" s="6" t="s">
        <v>5</v>
      </c>
      <c r="AZ437" s="7">
        <v>6.38</v>
      </c>
      <c r="BA437" s="4">
        <v>27.5</v>
      </c>
      <c r="BB437" s="6" t="s">
        <v>5</v>
      </c>
      <c r="BC437" s="6" t="s">
        <v>5</v>
      </c>
      <c r="BD437" s="6" t="s">
        <v>5</v>
      </c>
      <c r="BE437" s="6" t="s">
        <v>5</v>
      </c>
      <c r="BF437" s="6" t="s">
        <v>5</v>
      </c>
      <c r="BG437" s="6" t="s">
        <v>5</v>
      </c>
      <c r="BH437" s="6" t="s">
        <v>5</v>
      </c>
      <c r="BI437" s="7">
        <v>5.14</v>
      </c>
      <c r="BJ437" s="22">
        <v>0.64</v>
      </c>
      <c r="BK437" s="6" t="s">
        <v>5</v>
      </c>
      <c r="BL437" s="2" t="s">
        <v>5</v>
      </c>
      <c r="BM437" s="2" t="s">
        <v>5</v>
      </c>
      <c r="BN437" s="2" t="s">
        <v>5</v>
      </c>
      <c r="BO437" s="2" t="s">
        <v>5</v>
      </c>
      <c r="BP437" s="2" t="s">
        <v>5</v>
      </c>
      <c r="BQ437" s="2" t="s">
        <v>5</v>
      </c>
      <c r="BR437" s="2" t="s">
        <v>5</v>
      </c>
      <c r="BS437" s="2" t="s">
        <v>5</v>
      </c>
      <c r="BT437" s="2" t="s">
        <v>5</v>
      </c>
      <c r="BU437" s="2" t="s">
        <v>5</v>
      </c>
      <c r="BV437" s="2" t="s">
        <v>5</v>
      </c>
      <c r="BW437" s="2" t="s">
        <v>5</v>
      </c>
      <c r="BX437" s="2" t="s">
        <v>5</v>
      </c>
      <c r="BY437" s="25" t="s">
        <v>5</v>
      </c>
      <c r="BZ437" s="25" t="s">
        <v>5</v>
      </c>
      <c r="CA437" s="6" t="s">
        <v>5</v>
      </c>
      <c r="CB437" s="6" t="s">
        <v>5</v>
      </c>
      <c r="CC437" s="6" t="s">
        <v>5</v>
      </c>
      <c r="CD437" s="6" t="s">
        <v>5</v>
      </c>
      <c r="CE437" s="6" t="s">
        <v>5</v>
      </c>
      <c r="CF437" s="16" t="s">
        <v>5</v>
      </c>
      <c r="CG437" s="5">
        <v>4</v>
      </c>
      <c r="CH437" s="18" t="s">
        <v>5</v>
      </c>
    </row>
    <row r="438" spans="2:86">
      <c r="B438" s="78" t="s">
        <v>444</v>
      </c>
      <c r="C438" s="79" t="s">
        <v>446</v>
      </c>
      <c r="D438" s="80" t="s">
        <v>446</v>
      </c>
      <c r="E438" s="1" t="s">
        <v>4</v>
      </c>
      <c r="F438" s="4">
        <v>53</v>
      </c>
      <c r="G438" s="4">
        <v>15.6</v>
      </c>
      <c r="H438" s="3" t="str">
        <f t="shared" si="25"/>
        <v>ST12X53</v>
      </c>
      <c r="I438" s="4">
        <v>12.3</v>
      </c>
      <c r="J438" s="5">
        <v>12.25</v>
      </c>
      <c r="K438" s="6" t="s">
        <v>5</v>
      </c>
      <c r="L438" s="6" t="s">
        <v>5</v>
      </c>
      <c r="M438" s="6" t="s">
        <v>5</v>
      </c>
      <c r="N438" s="7">
        <v>7.87</v>
      </c>
      <c r="O438" s="5">
        <v>7.875</v>
      </c>
      <c r="P438" s="5" t="s">
        <v>5</v>
      </c>
      <c r="Q438" s="6" t="s">
        <v>5</v>
      </c>
      <c r="R438" s="6" t="s">
        <v>5</v>
      </c>
      <c r="S438" s="22">
        <v>0.62</v>
      </c>
      <c r="T438" s="5">
        <v>0.625</v>
      </c>
      <c r="U438" s="8">
        <v>0.3125</v>
      </c>
      <c r="V438" s="7">
        <v>1.0900000000000001</v>
      </c>
      <c r="W438" s="8">
        <v>1.0625</v>
      </c>
      <c r="X438" s="7">
        <v>1.0900000000000001</v>
      </c>
      <c r="Y438" s="6" t="s">
        <v>5</v>
      </c>
      <c r="Z438" s="6" t="s">
        <v>5</v>
      </c>
      <c r="AA438" s="7">
        <v>2</v>
      </c>
      <c r="AB438" s="8">
        <v>2</v>
      </c>
      <c r="AC438" s="8" t="s">
        <v>5</v>
      </c>
      <c r="AD438" s="6" t="s">
        <v>5</v>
      </c>
      <c r="AE438" s="7">
        <v>3.28</v>
      </c>
      <c r="AF438" s="6" t="s">
        <v>5</v>
      </c>
      <c r="AG438" s="6" t="s">
        <v>5</v>
      </c>
      <c r="AH438" s="7">
        <v>1.02</v>
      </c>
      <c r="AI438" s="7">
        <v>3.61</v>
      </c>
      <c r="AJ438" s="6" t="s">
        <v>5</v>
      </c>
      <c r="AK438" s="6" t="s">
        <v>5</v>
      </c>
      <c r="AL438" s="6" t="s">
        <v>5</v>
      </c>
      <c r="AM438" s="6" t="s">
        <v>5</v>
      </c>
      <c r="AN438" s="4">
        <v>19.8</v>
      </c>
      <c r="AO438" s="6">
        <v>216</v>
      </c>
      <c r="AP438" s="4">
        <v>43.3</v>
      </c>
      <c r="AQ438" s="4">
        <v>24.1</v>
      </c>
      <c r="AR438" s="7">
        <v>3.72</v>
      </c>
      <c r="AS438" s="4">
        <v>38.4</v>
      </c>
      <c r="AT438" s="4">
        <v>16.7</v>
      </c>
      <c r="AU438" s="7">
        <v>9.76</v>
      </c>
      <c r="AV438" s="7">
        <v>1.57</v>
      </c>
      <c r="AW438" s="6" t="s">
        <v>5</v>
      </c>
      <c r="AX438" s="6" t="s">
        <v>5</v>
      </c>
      <c r="AY438" s="6" t="s">
        <v>5</v>
      </c>
      <c r="AZ438" s="7">
        <v>5.05</v>
      </c>
      <c r="BA438" s="4">
        <v>15</v>
      </c>
      <c r="BB438" s="6" t="s">
        <v>5</v>
      </c>
      <c r="BC438" s="6" t="s">
        <v>5</v>
      </c>
      <c r="BD438" s="6" t="s">
        <v>5</v>
      </c>
      <c r="BE438" s="6" t="s">
        <v>5</v>
      </c>
      <c r="BF438" s="6" t="s">
        <v>5</v>
      </c>
      <c r="BG438" s="6" t="s">
        <v>5</v>
      </c>
      <c r="BH438" s="6" t="s">
        <v>5</v>
      </c>
      <c r="BI438" s="7">
        <v>4.88</v>
      </c>
      <c r="BJ438" s="22">
        <v>0.68600000000000005</v>
      </c>
      <c r="BK438" s="6" t="s">
        <v>5</v>
      </c>
      <c r="BL438" s="2" t="s">
        <v>5</v>
      </c>
      <c r="BM438" s="2" t="s">
        <v>5</v>
      </c>
      <c r="BN438" s="2" t="s">
        <v>5</v>
      </c>
      <c r="BO438" s="2" t="s">
        <v>5</v>
      </c>
      <c r="BP438" s="2" t="s">
        <v>5</v>
      </c>
      <c r="BQ438" s="2" t="s">
        <v>5</v>
      </c>
      <c r="BR438" s="2" t="s">
        <v>5</v>
      </c>
      <c r="BS438" s="2" t="s">
        <v>5</v>
      </c>
      <c r="BT438" s="2" t="s">
        <v>5</v>
      </c>
      <c r="BU438" s="2" t="s">
        <v>5</v>
      </c>
      <c r="BV438" s="2" t="s">
        <v>5</v>
      </c>
      <c r="BW438" s="2" t="s">
        <v>5</v>
      </c>
      <c r="BX438" s="2" t="s">
        <v>5</v>
      </c>
      <c r="BY438" s="25" t="s">
        <v>5</v>
      </c>
      <c r="BZ438" s="25" t="s">
        <v>5</v>
      </c>
      <c r="CA438" s="6" t="s">
        <v>5</v>
      </c>
      <c r="CB438" s="6" t="s">
        <v>5</v>
      </c>
      <c r="CC438" s="6" t="s">
        <v>5</v>
      </c>
      <c r="CD438" s="6" t="s">
        <v>5</v>
      </c>
      <c r="CE438" s="6" t="s">
        <v>5</v>
      </c>
      <c r="CF438" s="16" t="s">
        <v>5</v>
      </c>
      <c r="CG438" s="5">
        <v>4</v>
      </c>
      <c r="CH438" s="18" t="s">
        <v>5</v>
      </c>
    </row>
    <row r="439" spans="2:86">
      <c r="B439" s="78" t="s">
        <v>444</v>
      </c>
      <c r="C439" s="79" t="s">
        <v>447</v>
      </c>
      <c r="D439" s="80" t="s">
        <v>447</v>
      </c>
      <c r="E439" s="1" t="s">
        <v>4</v>
      </c>
      <c r="F439" s="4">
        <v>50</v>
      </c>
      <c r="G439" s="4">
        <v>14.7</v>
      </c>
      <c r="H439" s="3" t="str">
        <f t="shared" si="25"/>
        <v>ST12X50</v>
      </c>
      <c r="I439" s="4">
        <v>12</v>
      </c>
      <c r="J439" s="5">
        <v>12</v>
      </c>
      <c r="K439" s="6" t="s">
        <v>5</v>
      </c>
      <c r="L439" s="6" t="s">
        <v>5</v>
      </c>
      <c r="M439" s="6" t="s">
        <v>5</v>
      </c>
      <c r="N439" s="7">
        <v>7.25</v>
      </c>
      <c r="O439" s="5">
        <v>7.25</v>
      </c>
      <c r="P439" s="5" t="s">
        <v>5</v>
      </c>
      <c r="Q439" s="6" t="s">
        <v>5</v>
      </c>
      <c r="R439" s="6" t="s">
        <v>5</v>
      </c>
      <c r="S439" s="22">
        <v>0.745</v>
      </c>
      <c r="T439" s="5">
        <v>0.75</v>
      </c>
      <c r="U439" s="8">
        <v>0.375</v>
      </c>
      <c r="V439" s="22">
        <v>0.87</v>
      </c>
      <c r="W439" s="8">
        <v>0.875</v>
      </c>
      <c r="X439" s="22">
        <v>0.87</v>
      </c>
      <c r="Y439" s="6" t="s">
        <v>5</v>
      </c>
      <c r="Z439" s="6" t="s">
        <v>5</v>
      </c>
      <c r="AA439" s="7">
        <v>1.75</v>
      </c>
      <c r="AB439" s="8">
        <v>1.75</v>
      </c>
      <c r="AC439" s="8" t="s">
        <v>5</v>
      </c>
      <c r="AD439" s="6" t="s">
        <v>5</v>
      </c>
      <c r="AE439" s="7">
        <v>3.84</v>
      </c>
      <c r="AF439" s="6" t="s">
        <v>5</v>
      </c>
      <c r="AG439" s="6" t="s">
        <v>5</v>
      </c>
      <c r="AH439" s="7">
        <v>2.16</v>
      </c>
      <c r="AI439" s="7">
        <v>4.17</v>
      </c>
      <c r="AJ439" s="6" t="s">
        <v>5</v>
      </c>
      <c r="AK439" s="6" t="s">
        <v>5</v>
      </c>
      <c r="AL439" s="6" t="s">
        <v>5</v>
      </c>
      <c r="AM439" s="6" t="s">
        <v>5</v>
      </c>
      <c r="AN439" s="4">
        <v>16.100000000000001</v>
      </c>
      <c r="AO439" s="6">
        <v>215</v>
      </c>
      <c r="AP439" s="4">
        <v>47.5</v>
      </c>
      <c r="AQ439" s="4">
        <v>26.3</v>
      </c>
      <c r="AR439" s="7">
        <v>3.83</v>
      </c>
      <c r="AS439" s="4">
        <v>23.7</v>
      </c>
      <c r="AT439" s="4">
        <v>12</v>
      </c>
      <c r="AU439" s="7">
        <v>6.55</v>
      </c>
      <c r="AV439" s="7">
        <v>1.27</v>
      </c>
      <c r="AW439" s="6" t="s">
        <v>5</v>
      </c>
      <c r="AX439" s="6" t="s">
        <v>5</v>
      </c>
      <c r="AY439" s="6" t="s">
        <v>5</v>
      </c>
      <c r="AZ439" s="7">
        <v>3.76</v>
      </c>
      <c r="BA439" s="4">
        <v>19.5</v>
      </c>
      <c r="BB439" s="6" t="s">
        <v>5</v>
      </c>
      <c r="BC439" s="6" t="s">
        <v>5</v>
      </c>
      <c r="BD439" s="6" t="s">
        <v>5</v>
      </c>
      <c r="BE439" s="6" t="s">
        <v>5</v>
      </c>
      <c r="BF439" s="6" t="s">
        <v>5</v>
      </c>
      <c r="BG439" s="6" t="s">
        <v>5</v>
      </c>
      <c r="BH439" s="6" t="s">
        <v>5</v>
      </c>
      <c r="BI439" s="7">
        <v>5.28</v>
      </c>
      <c r="BJ439" s="22">
        <v>0.58399999999999996</v>
      </c>
      <c r="BK439" s="6" t="s">
        <v>5</v>
      </c>
      <c r="BL439" s="2" t="s">
        <v>5</v>
      </c>
      <c r="BM439" s="2" t="s">
        <v>5</v>
      </c>
      <c r="BN439" s="2" t="s">
        <v>5</v>
      </c>
      <c r="BO439" s="2" t="s">
        <v>5</v>
      </c>
      <c r="BP439" s="2" t="s">
        <v>5</v>
      </c>
      <c r="BQ439" s="2" t="s">
        <v>5</v>
      </c>
      <c r="BR439" s="2" t="s">
        <v>5</v>
      </c>
      <c r="BS439" s="2" t="s">
        <v>5</v>
      </c>
      <c r="BT439" s="2" t="s">
        <v>5</v>
      </c>
      <c r="BU439" s="2" t="s">
        <v>5</v>
      </c>
      <c r="BV439" s="2" t="s">
        <v>5</v>
      </c>
      <c r="BW439" s="2" t="s">
        <v>5</v>
      </c>
      <c r="BX439" s="2" t="s">
        <v>5</v>
      </c>
      <c r="BY439" s="25" t="s">
        <v>5</v>
      </c>
      <c r="BZ439" s="25" t="s">
        <v>5</v>
      </c>
      <c r="CA439" s="6" t="s">
        <v>5</v>
      </c>
      <c r="CB439" s="6" t="s">
        <v>5</v>
      </c>
      <c r="CC439" s="6" t="s">
        <v>5</v>
      </c>
      <c r="CD439" s="6" t="s">
        <v>5</v>
      </c>
      <c r="CE439" s="6" t="s">
        <v>5</v>
      </c>
      <c r="CF439" s="16" t="s">
        <v>5</v>
      </c>
      <c r="CG439" s="5">
        <v>4</v>
      </c>
      <c r="CH439" s="18" t="s">
        <v>5</v>
      </c>
    </row>
    <row r="440" spans="2:86">
      <c r="B440" s="78" t="s">
        <v>444</v>
      </c>
      <c r="C440" s="79" t="s">
        <v>448</v>
      </c>
      <c r="D440" s="80" t="s">
        <v>448</v>
      </c>
      <c r="E440" s="1" t="s">
        <v>4</v>
      </c>
      <c r="F440" s="4">
        <v>45</v>
      </c>
      <c r="G440" s="4">
        <v>13.2</v>
      </c>
      <c r="H440" s="3" t="str">
        <f t="shared" si="25"/>
        <v>ST12X45</v>
      </c>
      <c r="I440" s="4">
        <v>12</v>
      </c>
      <c r="J440" s="5">
        <v>12</v>
      </c>
      <c r="K440" s="6" t="s">
        <v>5</v>
      </c>
      <c r="L440" s="6" t="s">
        <v>5</v>
      </c>
      <c r="M440" s="6" t="s">
        <v>5</v>
      </c>
      <c r="N440" s="7">
        <v>7.13</v>
      </c>
      <c r="O440" s="5">
        <v>7.125</v>
      </c>
      <c r="P440" s="5" t="s">
        <v>5</v>
      </c>
      <c r="Q440" s="6" t="s">
        <v>5</v>
      </c>
      <c r="R440" s="6" t="s">
        <v>5</v>
      </c>
      <c r="S440" s="22">
        <v>0.625</v>
      </c>
      <c r="T440" s="5">
        <v>0.625</v>
      </c>
      <c r="U440" s="8">
        <v>0.3125</v>
      </c>
      <c r="V440" s="22">
        <v>0.87</v>
      </c>
      <c r="W440" s="8">
        <v>0.875</v>
      </c>
      <c r="X440" s="22">
        <v>0.87</v>
      </c>
      <c r="Y440" s="6" t="s">
        <v>5</v>
      </c>
      <c r="Z440" s="6" t="s">
        <v>5</v>
      </c>
      <c r="AA440" s="7">
        <v>1.75</v>
      </c>
      <c r="AB440" s="8">
        <v>1.75</v>
      </c>
      <c r="AC440" s="8" t="s">
        <v>5</v>
      </c>
      <c r="AD440" s="6" t="s">
        <v>5</v>
      </c>
      <c r="AE440" s="7">
        <v>3.6</v>
      </c>
      <c r="AF440" s="6" t="s">
        <v>5</v>
      </c>
      <c r="AG440" s="6" t="s">
        <v>5</v>
      </c>
      <c r="AH440" s="7">
        <v>1.42</v>
      </c>
      <c r="AI440" s="7">
        <v>4.0999999999999996</v>
      </c>
      <c r="AJ440" s="6" t="s">
        <v>5</v>
      </c>
      <c r="AK440" s="6" t="s">
        <v>5</v>
      </c>
      <c r="AL440" s="6" t="s">
        <v>5</v>
      </c>
      <c r="AM440" s="6" t="s">
        <v>5</v>
      </c>
      <c r="AN440" s="4">
        <v>19.2</v>
      </c>
      <c r="AO440" s="6">
        <v>190</v>
      </c>
      <c r="AP440" s="4">
        <v>41.1</v>
      </c>
      <c r="AQ440" s="4">
        <v>22.6</v>
      </c>
      <c r="AR440" s="7">
        <v>3.79</v>
      </c>
      <c r="AS440" s="4">
        <v>22.3</v>
      </c>
      <c r="AT440" s="4">
        <v>11.2</v>
      </c>
      <c r="AU440" s="7">
        <v>6.27</v>
      </c>
      <c r="AV440" s="7">
        <v>1.3</v>
      </c>
      <c r="AW440" s="6" t="s">
        <v>5</v>
      </c>
      <c r="AX440" s="6" t="s">
        <v>5</v>
      </c>
      <c r="AY440" s="6" t="s">
        <v>5</v>
      </c>
      <c r="AZ440" s="7">
        <v>3.01</v>
      </c>
      <c r="BA440" s="4">
        <v>12.1</v>
      </c>
      <c r="BB440" s="6" t="s">
        <v>5</v>
      </c>
      <c r="BC440" s="6" t="s">
        <v>5</v>
      </c>
      <c r="BD440" s="6" t="s">
        <v>5</v>
      </c>
      <c r="BE440" s="6" t="s">
        <v>5</v>
      </c>
      <c r="BF440" s="6" t="s">
        <v>5</v>
      </c>
      <c r="BG440" s="6" t="s">
        <v>5</v>
      </c>
      <c r="BH440" s="6" t="s">
        <v>5</v>
      </c>
      <c r="BI440" s="7">
        <v>5.1100000000000003</v>
      </c>
      <c r="BJ440" s="22">
        <v>0.61499999999999999</v>
      </c>
      <c r="BK440" s="6" t="s">
        <v>5</v>
      </c>
      <c r="BL440" s="2" t="s">
        <v>5</v>
      </c>
      <c r="BM440" s="2" t="s">
        <v>5</v>
      </c>
      <c r="BN440" s="2" t="s">
        <v>5</v>
      </c>
      <c r="BO440" s="2" t="s">
        <v>5</v>
      </c>
      <c r="BP440" s="2" t="s">
        <v>5</v>
      </c>
      <c r="BQ440" s="2" t="s">
        <v>5</v>
      </c>
      <c r="BR440" s="2" t="s">
        <v>5</v>
      </c>
      <c r="BS440" s="2" t="s">
        <v>5</v>
      </c>
      <c r="BT440" s="2" t="s">
        <v>5</v>
      </c>
      <c r="BU440" s="2" t="s">
        <v>5</v>
      </c>
      <c r="BV440" s="2" t="s">
        <v>5</v>
      </c>
      <c r="BW440" s="2" t="s">
        <v>5</v>
      </c>
      <c r="BX440" s="2" t="s">
        <v>5</v>
      </c>
      <c r="BY440" s="25" t="s">
        <v>5</v>
      </c>
      <c r="BZ440" s="25" t="s">
        <v>5</v>
      </c>
      <c r="CA440" s="6" t="s">
        <v>5</v>
      </c>
      <c r="CB440" s="6" t="s">
        <v>5</v>
      </c>
      <c r="CC440" s="6" t="s">
        <v>5</v>
      </c>
      <c r="CD440" s="6" t="s">
        <v>5</v>
      </c>
      <c r="CE440" s="6" t="s">
        <v>5</v>
      </c>
      <c r="CF440" s="16" t="s">
        <v>5</v>
      </c>
      <c r="CG440" s="5">
        <v>4</v>
      </c>
      <c r="CH440" s="18" t="s">
        <v>5</v>
      </c>
    </row>
    <row r="441" spans="2:86">
      <c r="B441" s="78" t="s">
        <v>444</v>
      </c>
      <c r="C441" s="79" t="s">
        <v>449</v>
      </c>
      <c r="D441" s="80" t="s">
        <v>449</v>
      </c>
      <c r="E441" s="1" t="s">
        <v>4</v>
      </c>
      <c r="F441" s="4">
        <v>40</v>
      </c>
      <c r="G441" s="4">
        <v>11.7</v>
      </c>
      <c r="H441" s="3" t="str">
        <f t="shared" si="25"/>
        <v>ST12X40</v>
      </c>
      <c r="I441" s="4">
        <v>12</v>
      </c>
      <c r="J441" s="5">
        <v>12</v>
      </c>
      <c r="K441" s="6" t="s">
        <v>5</v>
      </c>
      <c r="L441" s="6" t="s">
        <v>5</v>
      </c>
      <c r="M441" s="6" t="s">
        <v>5</v>
      </c>
      <c r="N441" s="7">
        <v>7</v>
      </c>
      <c r="O441" s="5">
        <v>7</v>
      </c>
      <c r="P441" s="5" t="s">
        <v>5</v>
      </c>
      <c r="Q441" s="6" t="s">
        <v>5</v>
      </c>
      <c r="R441" s="6" t="s">
        <v>5</v>
      </c>
      <c r="S441" s="22">
        <v>0.5</v>
      </c>
      <c r="T441" s="5">
        <v>0.5</v>
      </c>
      <c r="U441" s="8">
        <v>0.25</v>
      </c>
      <c r="V441" s="22">
        <v>0.87</v>
      </c>
      <c r="W441" s="8">
        <v>0.875</v>
      </c>
      <c r="X441" s="22">
        <v>0.87</v>
      </c>
      <c r="Y441" s="6" t="s">
        <v>5</v>
      </c>
      <c r="Z441" s="6" t="s">
        <v>5</v>
      </c>
      <c r="AA441" s="7">
        <v>1.75</v>
      </c>
      <c r="AB441" s="8">
        <v>1.75</v>
      </c>
      <c r="AC441" s="8" t="s">
        <v>5</v>
      </c>
      <c r="AD441" s="6" t="s">
        <v>5</v>
      </c>
      <c r="AE441" s="7">
        <v>3.3</v>
      </c>
      <c r="AF441" s="6" t="s">
        <v>5</v>
      </c>
      <c r="AG441" s="6" t="s">
        <v>5</v>
      </c>
      <c r="AH441" s="22">
        <v>0.90900000000000003</v>
      </c>
      <c r="AI441" s="7">
        <v>4.0199999999999996</v>
      </c>
      <c r="AJ441" s="6" t="s">
        <v>5</v>
      </c>
      <c r="AK441" s="6" t="s">
        <v>5</v>
      </c>
      <c r="AL441" s="6" t="s">
        <v>5</v>
      </c>
      <c r="AM441" s="6" t="s">
        <v>5</v>
      </c>
      <c r="AN441" s="4">
        <v>24</v>
      </c>
      <c r="AO441" s="6">
        <v>162</v>
      </c>
      <c r="AP441" s="4">
        <v>33.6</v>
      </c>
      <c r="AQ441" s="4">
        <v>18.600000000000001</v>
      </c>
      <c r="AR441" s="7">
        <v>3.72</v>
      </c>
      <c r="AS441" s="4">
        <v>21</v>
      </c>
      <c r="AT441" s="4">
        <v>10.4</v>
      </c>
      <c r="AU441" s="7">
        <v>6</v>
      </c>
      <c r="AV441" s="7">
        <v>1.34</v>
      </c>
      <c r="AW441" s="6" t="s">
        <v>5</v>
      </c>
      <c r="AX441" s="6" t="s">
        <v>5</v>
      </c>
      <c r="AY441" s="6" t="s">
        <v>5</v>
      </c>
      <c r="AZ441" s="7">
        <v>2.44</v>
      </c>
      <c r="BA441" s="7">
        <v>6.94</v>
      </c>
      <c r="BB441" s="6" t="s">
        <v>5</v>
      </c>
      <c r="BC441" s="6" t="s">
        <v>5</v>
      </c>
      <c r="BD441" s="6" t="s">
        <v>5</v>
      </c>
      <c r="BE441" s="6" t="s">
        <v>5</v>
      </c>
      <c r="BF441" s="6" t="s">
        <v>5</v>
      </c>
      <c r="BG441" s="6" t="s">
        <v>5</v>
      </c>
      <c r="BH441" s="6" t="s">
        <v>5</v>
      </c>
      <c r="BI441" s="7">
        <v>4.88</v>
      </c>
      <c r="BJ441" s="22">
        <v>0.65600000000000003</v>
      </c>
      <c r="BK441" s="6" t="s">
        <v>5</v>
      </c>
      <c r="BL441" s="2" t="s">
        <v>5</v>
      </c>
      <c r="BM441" s="2" t="s">
        <v>5</v>
      </c>
      <c r="BN441" s="2" t="s">
        <v>5</v>
      </c>
      <c r="BO441" s="2" t="s">
        <v>5</v>
      </c>
      <c r="BP441" s="2" t="s">
        <v>5</v>
      </c>
      <c r="BQ441" s="2" t="s">
        <v>5</v>
      </c>
      <c r="BR441" s="2" t="s">
        <v>5</v>
      </c>
      <c r="BS441" s="2" t="s">
        <v>5</v>
      </c>
      <c r="BT441" s="2" t="s">
        <v>5</v>
      </c>
      <c r="BU441" s="2" t="s">
        <v>5</v>
      </c>
      <c r="BV441" s="2" t="s">
        <v>5</v>
      </c>
      <c r="BW441" s="2" t="s">
        <v>5</v>
      </c>
      <c r="BX441" s="2" t="s">
        <v>5</v>
      </c>
      <c r="BY441" s="25" t="s">
        <v>5</v>
      </c>
      <c r="BZ441" s="25" t="s">
        <v>5</v>
      </c>
      <c r="CA441" s="6" t="s">
        <v>5</v>
      </c>
      <c r="CB441" s="6" t="s">
        <v>5</v>
      </c>
      <c r="CC441" s="6" t="s">
        <v>5</v>
      </c>
      <c r="CD441" s="6" t="s">
        <v>5</v>
      </c>
      <c r="CE441" s="6" t="s">
        <v>5</v>
      </c>
      <c r="CF441" s="16" t="s">
        <v>5</v>
      </c>
      <c r="CG441" s="5">
        <v>4</v>
      </c>
      <c r="CH441" s="18" t="s">
        <v>5</v>
      </c>
    </row>
    <row r="442" spans="2:86">
      <c r="B442" s="78" t="s">
        <v>444</v>
      </c>
      <c r="C442" s="79" t="s">
        <v>450</v>
      </c>
      <c r="D442" s="80" t="s">
        <v>450</v>
      </c>
      <c r="E442" s="1" t="s">
        <v>4</v>
      </c>
      <c r="F442" s="4">
        <v>48</v>
      </c>
      <c r="G442" s="4">
        <v>14.1</v>
      </c>
      <c r="H442" s="3" t="str">
        <f t="shared" si="25"/>
        <v>ST10X48</v>
      </c>
      <c r="I442" s="4">
        <v>10.199999999999999</v>
      </c>
      <c r="J442" s="5">
        <v>10.125</v>
      </c>
      <c r="K442" s="6" t="s">
        <v>5</v>
      </c>
      <c r="L442" s="6" t="s">
        <v>5</v>
      </c>
      <c r="M442" s="6" t="s">
        <v>5</v>
      </c>
      <c r="N442" s="7">
        <v>7.2</v>
      </c>
      <c r="O442" s="5">
        <v>7.25</v>
      </c>
      <c r="P442" s="5" t="s">
        <v>5</v>
      </c>
      <c r="Q442" s="6" t="s">
        <v>5</v>
      </c>
      <c r="R442" s="6" t="s">
        <v>5</v>
      </c>
      <c r="S442" s="22">
        <v>0.8</v>
      </c>
      <c r="T442" s="5">
        <v>0.8125</v>
      </c>
      <c r="U442" s="8">
        <v>0.4375</v>
      </c>
      <c r="V442" s="22">
        <v>0.92</v>
      </c>
      <c r="W442" s="8">
        <v>0.9375</v>
      </c>
      <c r="X442" s="22">
        <v>0.92</v>
      </c>
      <c r="Y442" s="6" t="s">
        <v>5</v>
      </c>
      <c r="Z442" s="6" t="s">
        <v>5</v>
      </c>
      <c r="AA442" s="7">
        <v>1.75</v>
      </c>
      <c r="AB442" s="8">
        <v>1.75</v>
      </c>
      <c r="AC442" s="8" t="s">
        <v>5</v>
      </c>
      <c r="AD442" s="6" t="s">
        <v>5</v>
      </c>
      <c r="AE442" s="7">
        <v>3.13</v>
      </c>
      <c r="AF442" s="6" t="s">
        <v>5</v>
      </c>
      <c r="AG442" s="6" t="s">
        <v>5</v>
      </c>
      <c r="AH442" s="7">
        <v>1.35</v>
      </c>
      <c r="AI442" s="7">
        <v>3.91</v>
      </c>
      <c r="AJ442" s="6" t="s">
        <v>5</v>
      </c>
      <c r="AK442" s="6" t="s">
        <v>5</v>
      </c>
      <c r="AL442" s="6" t="s">
        <v>5</v>
      </c>
      <c r="AM442" s="6" t="s">
        <v>5</v>
      </c>
      <c r="AN442" s="4">
        <v>12.7</v>
      </c>
      <c r="AO442" s="6">
        <v>143</v>
      </c>
      <c r="AP442" s="4">
        <v>36.9</v>
      </c>
      <c r="AQ442" s="4">
        <v>20.3</v>
      </c>
      <c r="AR442" s="7">
        <v>3.18</v>
      </c>
      <c r="AS442" s="4">
        <v>25</v>
      </c>
      <c r="AT442" s="4">
        <v>12.5</v>
      </c>
      <c r="AU442" s="7">
        <v>6.93</v>
      </c>
      <c r="AV442" s="7">
        <v>1.33</v>
      </c>
      <c r="AW442" s="6" t="s">
        <v>5</v>
      </c>
      <c r="AX442" s="6" t="s">
        <v>5</v>
      </c>
      <c r="AY442" s="6" t="s">
        <v>5</v>
      </c>
      <c r="AZ442" s="7">
        <v>4.16</v>
      </c>
      <c r="BA442" s="4">
        <v>15</v>
      </c>
      <c r="BB442" s="6" t="s">
        <v>5</v>
      </c>
      <c r="BC442" s="6" t="s">
        <v>5</v>
      </c>
      <c r="BD442" s="6" t="s">
        <v>5</v>
      </c>
      <c r="BE442" s="6" t="s">
        <v>5</v>
      </c>
      <c r="BF442" s="6" t="s">
        <v>5</v>
      </c>
      <c r="BG442" s="6" t="s">
        <v>5</v>
      </c>
      <c r="BH442" s="6" t="s">
        <v>5</v>
      </c>
      <c r="BI442" s="7">
        <v>4.3600000000000003</v>
      </c>
      <c r="BJ442" s="22">
        <v>0.625</v>
      </c>
      <c r="BK442" s="6" t="s">
        <v>5</v>
      </c>
      <c r="BL442" s="2" t="s">
        <v>5</v>
      </c>
      <c r="BM442" s="2" t="s">
        <v>5</v>
      </c>
      <c r="BN442" s="2" t="s">
        <v>5</v>
      </c>
      <c r="BO442" s="2" t="s">
        <v>5</v>
      </c>
      <c r="BP442" s="2" t="s">
        <v>5</v>
      </c>
      <c r="BQ442" s="2" t="s">
        <v>5</v>
      </c>
      <c r="BR442" s="2" t="s">
        <v>5</v>
      </c>
      <c r="BS442" s="2" t="s">
        <v>5</v>
      </c>
      <c r="BT442" s="2" t="s">
        <v>5</v>
      </c>
      <c r="BU442" s="2" t="s">
        <v>5</v>
      </c>
      <c r="BV442" s="2" t="s">
        <v>5</v>
      </c>
      <c r="BW442" s="2" t="s">
        <v>5</v>
      </c>
      <c r="BX442" s="2" t="s">
        <v>5</v>
      </c>
      <c r="BY442" s="25" t="s">
        <v>5</v>
      </c>
      <c r="BZ442" s="25" t="s">
        <v>5</v>
      </c>
      <c r="CA442" s="6" t="s">
        <v>5</v>
      </c>
      <c r="CB442" s="6" t="s">
        <v>5</v>
      </c>
      <c r="CC442" s="6" t="s">
        <v>5</v>
      </c>
      <c r="CD442" s="6" t="s">
        <v>5</v>
      </c>
      <c r="CE442" s="6" t="s">
        <v>5</v>
      </c>
      <c r="CF442" s="16" t="s">
        <v>5</v>
      </c>
      <c r="CG442" s="5">
        <v>4</v>
      </c>
      <c r="CH442" s="18" t="s">
        <v>5</v>
      </c>
    </row>
    <row r="443" spans="2:86">
      <c r="B443" s="78" t="s">
        <v>444</v>
      </c>
      <c r="C443" s="79" t="s">
        <v>451</v>
      </c>
      <c r="D443" s="80" t="s">
        <v>451</v>
      </c>
      <c r="E443" s="1" t="s">
        <v>4</v>
      </c>
      <c r="F443" s="4">
        <v>43</v>
      </c>
      <c r="G443" s="4">
        <v>12.7</v>
      </c>
      <c r="H443" s="3" t="str">
        <f t="shared" si="25"/>
        <v>ST10X43</v>
      </c>
      <c r="I443" s="4">
        <v>10.199999999999999</v>
      </c>
      <c r="J443" s="5">
        <v>10.125</v>
      </c>
      <c r="K443" s="6" t="s">
        <v>5</v>
      </c>
      <c r="L443" s="6" t="s">
        <v>5</v>
      </c>
      <c r="M443" s="6" t="s">
        <v>5</v>
      </c>
      <c r="N443" s="7">
        <v>7.06</v>
      </c>
      <c r="O443" s="5">
        <v>7</v>
      </c>
      <c r="P443" s="5" t="s">
        <v>5</v>
      </c>
      <c r="Q443" s="6" t="s">
        <v>5</v>
      </c>
      <c r="R443" s="6" t="s">
        <v>5</v>
      </c>
      <c r="S443" s="22">
        <v>0.66</v>
      </c>
      <c r="T443" s="5">
        <v>0.6875</v>
      </c>
      <c r="U443" s="8">
        <v>0.375</v>
      </c>
      <c r="V443" s="22">
        <v>0.92</v>
      </c>
      <c r="W443" s="8">
        <v>0.9375</v>
      </c>
      <c r="X443" s="22">
        <v>0.92</v>
      </c>
      <c r="Y443" s="6" t="s">
        <v>5</v>
      </c>
      <c r="Z443" s="6" t="s">
        <v>5</v>
      </c>
      <c r="AA443" s="7">
        <v>1.75</v>
      </c>
      <c r="AB443" s="8">
        <v>1.75</v>
      </c>
      <c r="AC443" s="8" t="s">
        <v>5</v>
      </c>
      <c r="AD443" s="6" t="s">
        <v>5</v>
      </c>
      <c r="AE443" s="7">
        <v>2.91</v>
      </c>
      <c r="AF443" s="6" t="s">
        <v>5</v>
      </c>
      <c r="AG443" s="6" t="s">
        <v>5</v>
      </c>
      <c r="AH443" s="22">
        <v>0.97199999999999998</v>
      </c>
      <c r="AI443" s="7">
        <v>3.84</v>
      </c>
      <c r="AJ443" s="6" t="s">
        <v>5</v>
      </c>
      <c r="AK443" s="6" t="s">
        <v>5</v>
      </c>
      <c r="AL443" s="6" t="s">
        <v>5</v>
      </c>
      <c r="AM443" s="6" t="s">
        <v>5</v>
      </c>
      <c r="AN443" s="4">
        <v>15.4</v>
      </c>
      <c r="AO443" s="6">
        <v>124</v>
      </c>
      <c r="AP443" s="4">
        <v>31.1</v>
      </c>
      <c r="AQ443" s="4">
        <v>17.2</v>
      </c>
      <c r="AR443" s="7">
        <v>3.13</v>
      </c>
      <c r="AS443" s="4">
        <v>23.3</v>
      </c>
      <c r="AT443" s="4">
        <v>11.6</v>
      </c>
      <c r="AU443" s="7">
        <v>6.59</v>
      </c>
      <c r="AV443" s="7">
        <v>1.36</v>
      </c>
      <c r="AW443" s="6" t="s">
        <v>5</v>
      </c>
      <c r="AX443" s="6" t="s">
        <v>5</v>
      </c>
      <c r="AY443" s="6" t="s">
        <v>5</v>
      </c>
      <c r="AZ443" s="7">
        <v>3.3</v>
      </c>
      <c r="BA443" s="7">
        <v>9.17</v>
      </c>
      <c r="BB443" s="6" t="s">
        <v>5</v>
      </c>
      <c r="BC443" s="6" t="s">
        <v>5</v>
      </c>
      <c r="BD443" s="6" t="s">
        <v>5</v>
      </c>
      <c r="BE443" s="6" t="s">
        <v>5</v>
      </c>
      <c r="BF443" s="6" t="s">
        <v>5</v>
      </c>
      <c r="BG443" s="6" t="s">
        <v>5</v>
      </c>
      <c r="BH443" s="6" t="s">
        <v>5</v>
      </c>
      <c r="BI443" s="7">
        <v>4.21</v>
      </c>
      <c r="BJ443" s="22">
        <v>0.65900000000000003</v>
      </c>
      <c r="BK443" s="6" t="s">
        <v>5</v>
      </c>
      <c r="BL443" s="2" t="s">
        <v>5</v>
      </c>
      <c r="BM443" s="2" t="s">
        <v>5</v>
      </c>
      <c r="BN443" s="2" t="s">
        <v>5</v>
      </c>
      <c r="BO443" s="2" t="s">
        <v>5</v>
      </c>
      <c r="BP443" s="2" t="s">
        <v>5</v>
      </c>
      <c r="BQ443" s="2" t="s">
        <v>5</v>
      </c>
      <c r="BR443" s="2" t="s">
        <v>5</v>
      </c>
      <c r="BS443" s="2" t="s">
        <v>5</v>
      </c>
      <c r="BT443" s="2" t="s">
        <v>5</v>
      </c>
      <c r="BU443" s="2" t="s">
        <v>5</v>
      </c>
      <c r="BV443" s="2" t="s">
        <v>5</v>
      </c>
      <c r="BW443" s="2" t="s">
        <v>5</v>
      </c>
      <c r="BX443" s="2" t="s">
        <v>5</v>
      </c>
      <c r="BY443" s="25" t="s">
        <v>5</v>
      </c>
      <c r="BZ443" s="25" t="s">
        <v>5</v>
      </c>
      <c r="CA443" s="6" t="s">
        <v>5</v>
      </c>
      <c r="CB443" s="6" t="s">
        <v>5</v>
      </c>
      <c r="CC443" s="6" t="s">
        <v>5</v>
      </c>
      <c r="CD443" s="6" t="s">
        <v>5</v>
      </c>
      <c r="CE443" s="6" t="s">
        <v>5</v>
      </c>
      <c r="CF443" s="16" t="s">
        <v>5</v>
      </c>
      <c r="CG443" s="5">
        <v>4</v>
      </c>
      <c r="CH443" s="18" t="s">
        <v>5</v>
      </c>
    </row>
    <row r="444" spans="2:86">
      <c r="B444" s="78" t="s">
        <v>444</v>
      </c>
      <c r="C444" s="79" t="s">
        <v>452</v>
      </c>
      <c r="D444" s="80" t="s">
        <v>452</v>
      </c>
      <c r="E444" s="1" t="s">
        <v>4</v>
      </c>
      <c r="F444" s="4">
        <v>37.5</v>
      </c>
      <c r="G444" s="4">
        <v>11</v>
      </c>
      <c r="H444" s="3" t="str">
        <f t="shared" si="25"/>
        <v>ST10X37.5</v>
      </c>
      <c r="I444" s="4">
        <v>10</v>
      </c>
      <c r="J444" s="5">
        <v>10</v>
      </c>
      <c r="K444" s="6" t="s">
        <v>5</v>
      </c>
      <c r="L444" s="6" t="s">
        <v>5</v>
      </c>
      <c r="M444" s="6" t="s">
        <v>5</v>
      </c>
      <c r="N444" s="7">
        <v>6.39</v>
      </c>
      <c r="O444" s="5">
        <v>6.375</v>
      </c>
      <c r="P444" s="5" t="s">
        <v>5</v>
      </c>
      <c r="Q444" s="6" t="s">
        <v>5</v>
      </c>
      <c r="R444" s="6" t="s">
        <v>5</v>
      </c>
      <c r="S444" s="22">
        <v>0.63500000000000001</v>
      </c>
      <c r="T444" s="5">
        <v>0.625</v>
      </c>
      <c r="U444" s="8">
        <v>0.3125</v>
      </c>
      <c r="V444" s="22">
        <v>0.79500000000000004</v>
      </c>
      <c r="W444" s="8">
        <v>0.8125</v>
      </c>
      <c r="X444" s="22">
        <v>0.79500000000000004</v>
      </c>
      <c r="Y444" s="6" t="s">
        <v>5</v>
      </c>
      <c r="Z444" s="6" t="s">
        <v>5</v>
      </c>
      <c r="AA444" s="7">
        <v>1.63</v>
      </c>
      <c r="AB444" s="8">
        <v>1.625</v>
      </c>
      <c r="AC444" s="8" t="s">
        <v>5</v>
      </c>
      <c r="AD444" s="6" t="s">
        <v>5</v>
      </c>
      <c r="AE444" s="7">
        <v>3.07</v>
      </c>
      <c r="AF444" s="6" t="s">
        <v>5</v>
      </c>
      <c r="AG444" s="6" t="s">
        <v>5</v>
      </c>
      <c r="AH444" s="7">
        <v>1.34</v>
      </c>
      <c r="AI444" s="7">
        <v>4.0199999999999996</v>
      </c>
      <c r="AJ444" s="6" t="s">
        <v>5</v>
      </c>
      <c r="AK444" s="6" t="s">
        <v>5</v>
      </c>
      <c r="AL444" s="6" t="s">
        <v>5</v>
      </c>
      <c r="AM444" s="6" t="s">
        <v>5</v>
      </c>
      <c r="AN444" s="4">
        <v>15.7</v>
      </c>
      <c r="AO444" s="6">
        <v>109</v>
      </c>
      <c r="AP444" s="4">
        <v>28.6</v>
      </c>
      <c r="AQ444" s="4">
        <v>15.8</v>
      </c>
      <c r="AR444" s="7">
        <v>3.15</v>
      </c>
      <c r="AS444" s="4">
        <v>14.8</v>
      </c>
      <c r="AT444" s="7">
        <v>8.36</v>
      </c>
      <c r="AU444" s="7">
        <v>4.62</v>
      </c>
      <c r="AV444" s="7">
        <v>1.1599999999999999</v>
      </c>
      <c r="AW444" s="6" t="s">
        <v>5</v>
      </c>
      <c r="AX444" s="6" t="s">
        <v>5</v>
      </c>
      <c r="AY444" s="6" t="s">
        <v>5</v>
      </c>
      <c r="AZ444" s="7">
        <v>2.2799999999999998</v>
      </c>
      <c r="BA444" s="7">
        <v>7.21</v>
      </c>
      <c r="BB444" s="6" t="s">
        <v>5</v>
      </c>
      <c r="BC444" s="6" t="s">
        <v>5</v>
      </c>
      <c r="BD444" s="6" t="s">
        <v>5</v>
      </c>
      <c r="BE444" s="6" t="s">
        <v>5</v>
      </c>
      <c r="BF444" s="6" t="s">
        <v>5</v>
      </c>
      <c r="BG444" s="6" t="s">
        <v>5</v>
      </c>
      <c r="BH444" s="6" t="s">
        <v>5</v>
      </c>
      <c r="BI444" s="7">
        <v>4.29</v>
      </c>
      <c r="BJ444" s="22">
        <v>0.61299999999999999</v>
      </c>
      <c r="BK444" s="6" t="s">
        <v>5</v>
      </c>
      <c r="BL444" s="2" t="s">
        <v>5</v>
      </c>
      <c r="BM444" s="2" t="s">
        <v>5</v>
      </c>
      <c r="BN444" s="2" t="s">
        <v>5</v>
      </c>
      <c r="BO444" s="2" t="s">
        <v>5</v>
      </c>
      <c r="BP444" s="2" t="s">
        <v>5</v>
      </c>
      <c r="BQ444" s="2" t="s">
        <v>5</v>
      </c>
      <c r="BR444" s="2" t="s">
        <v>5</v>
      </c>
      <c r="BS444" s="2" t="s">
        <v>5</v>
      </c>
      <c r="BT444" s="2" t="s">
        <v>5</v>
      </c>
      <c r="BU444" s="2" t="s">
        <v>5</v>
      </c>
      <c r="BV444" s="2" t="s">
        <v>5</v>
      </c>
      <c r="BW444" s="2" t="s">
        <v>5</v>
      </c>
      <c r="BX444" s="2" t="s">
        <v>5</v>
      </c>
      <c r="BY444" s="25" t="s">
        <v>5</v>
      </c>
      <c r="BZ444" s="25" t="s">
        <v>5</v>
      </c>
      <c r="CA444" s="6" t="s">
        <v>5</v>
      </c>
      <c r="CB444" s="6" t="s">
        <v>5</v>
      </c>
      <c r="CC444" s="6" t="s">
        <v>5</v>
      </c>
      <c r="CD444" s="6" t="s">
        <v>5</v>
      </c>
      <c r="CE444" s="6" t="s">
        <v>5</v>
      </c>
      <c r="CF444" s="16" t="s">
        <v>5</v>
      </c>
      <c r="CG444" s="5">
        <v>3.5</v>
      </c>
      <c r="CH444" s="18" t="s">
        <v>5</v>
      </c>
    </row>
    <row r="445" spans="2:86">
      <c r="B445" s="78" t="s">
        <v>444</v>
      </c>
      <c r="C445" s="79" t="s">
        <v>453</v>
      </c>
      <c r="D445" s="80" t="s">
        <v>453</v>
      </c>
      <c r="E445" s="1" t="s">
        <v>4</v>
      </c>
      <c r="F445" s="4">
        <v>33</v>
      </c>
      <c r="G445" s="7">
        <v>9.6999999999999993</v>
      </c>
      <c r="H445" s="3" t="str">
        <f t="shared" si="25"/>
        <v>ST10X33</v>
      </c>
      <c r="I445" s="4">
        <v>10</v>
      </c>
      <c r="J445" s="5">
        <v>10</v>
      </c>
      <c r="K445" s="6" t="s">
        <v>5</v>
      </c>
      <c r="L445" s="6" t="s">
        <v>5</v>
      </c>
      <c r="M445" s="6" t="s">
        <v>5</v>
      </c>
      <c r="N445" s="7">
        <v>6.26</v>
      </c>
      <c r="O445" s="5">
        <v>6.25</v>
      </c>
      <c r="P445" s="5" t="s">
        <v>5</v>
      </c>
      <c r="Q445" s="6" t="s">
        <v>5</v>
      </c>
      <c r="R445" s="6" t="s">
        <v>5</v>
      </c>
      <c r="S445" s="22">
        <v>0.505</v>
      </c>
      <c r="T445" s="5">
        <v>0.5</v>
      </c>
      <c r="U445" s="8">
        <v>0.25</v>
      </c>
      <c r="V445" s="22">
        <v>0.79500000000000004</v>
      </c>
      <c r="W445" s="8">
        <v>0.8125</v>
      </c>
      <c r="X445" s="22">
        <v>0.79500000000000004</v>
      </c>
      <c r="Y445" s="6" t="s">
        <v>5</v>
      </c>
      <c r="Z445" s="6" t="s">
        <v>5</v>
      </c>
      <c r="AA445" s="7">
        <v>1.63</v>
      </c>
      <c r="AB445" s="8">
        <v>1.625</v>
      </c>
      <c r="AC445" s="8" t="s">
        <v>5</v>
      </c>
      <c r="AD445" s="6" t="s">
        <v>5</v>
      </c>
      <c r="AE445" s="7">
        <v>2.81</v>
      </c>
      <c r="AF445" s="6" t="s">
        <v>5</v>
      </c>
      <c r="AG445" s="6" t="s">
        <v>5</v>
      </c>
      <c r="AH445" s="22">
        <v>0.84099999999999997</v>
      </c>
      <c r="AI445" s="7">
        <v>3.94</v>
      </c>
      <c r="AJ445" s="6" t="s">
        <v>5</v>
      </c>
      <c r="AK445" s="6" t="s">
        <v>5</v>
      </c>
      <c r="AL445" s="6" t="s">
        <v>5</v>
      </c>
      <c r="AM445" s="6" t="s">
        <v>5</v>
      </c>
      <c r="AN445" s="4">
        <v>19.8</v>
      </c>
      <c r="AO445" s="4">
        <v>92.9</v>
      </c>
      <c r="AP445" s="4">
        <v>23.4</v>
      </c>
      <c r="AQ445" s="4">
        <v>12.9</v>
      </c>
      <c r="AR445" s="7">
        <v>3.1</v>
      </c>
      <c r="AS445" s="4">
        <v>13.7</v>
      </c>
      <c r="AT445" s="7">
        <v>7.7</v>
      </c>
      <c r="AU445" s="7">
        <v>4.3899999999999997</v>
      </c>
      <c r="AV445" s="7">
        <v>1.19</v>
      </c>
      <c r="AW445" s="6" t="s">
        <v>5</v>
      </c>
      <c r="AX445" s="6" t="s">
        <v>5</v>
      </c>
      <c r="AY445" s="6" t="s">
        <v>5</v>
      </c>
      <c r="AZ445" s="7">
        <v>1.78</v>
      </c>
      <c r="BA445" s="7">
        <v>4.0199999999999996</v>
      </c>
      <c r="BB445" s="6" t="s">
        <v>5</v>
      </c>
      <c r="BC445" s="6" t="s">
        <v>5</v>
      </c>
      <c r="BD445" s="6" t="s">
        <v>5</v>
      </c>
      <c r="BE445" s="6" t="s">
        <v>5</v>
      </c>
      <c r="BF445" s="6" t="s">
        <v>5</v>
      </c>
      <c r="BG445" s="6" t="s">
        <v>5</v>
      </c>
      <c r="BH445" s="6" t="s">
        <v>5</v>
      </c>
      <c r="BI445" s="7">
        <v>4.0999999999999996</v>
      </c>
      <c r="BJ445" s="22">
        <v>0.65400000000000003</v>
      </c>
      <c r="BK445" s="6" t="s">
        <v>5</v>
      </c>
      <c r="BL445" s="2" t="s">
        <v>5</v>
      </c>
      <c r="BM445" s="2" t="s">
        <v>5</v>
      </c>
      <c r="BN445" s="2" t="s">
        <v>5</v>
      </c>
      <c r="BO445" s="2" t="s">
        <v>5</v>
      </c>
      <c r="BP445" s="2" t="s">
        <v>5</v>
      </c>
      <c r="BQ445" s="2" t="s">
        <v>5</v>
      </c>
      <c r="BR445" s="2" t="s">
        <v>5</v>
      </c>
      <c r="BS445" s="2" t="s">
        <v>5</v>
      </c>
      <c r="BT445" s="2" t="s">
        <v>5</v>
      </c>
      <c r="BU445" s="2" t="s">
        <v>5</v>
      </c>
      <c r="BV445" s="2" t="s">
        <v>5</v>
      </c>
      <c r="BW445" s="2" t="s">
        <v>5</v>
      </c>
      <c r="BX445" s="2" t="s">
        <v>5</v>
      </c>
      <c r="BY445" s="25" t="s">
        <v>5</v>
      </c>
      <c r="BZ445" s="25" t="s">
        <v>5</v>
      </c>
      <c r="CA445" s="6" t="s">
        <v>5</v>
      </c>
      <c r="CB445" s="6" t="s">
        <v>5</v>
      </c>
      <c r="CC445" s="6" t="s">
        <v>5</v>
      </c>
      <c r="CD445" s="6" t="s">
        <v>5</v>
      </c>
      <c r="CE445" s="6" t="s">
        <v>5</v>
      </c>
      <c r="CF445" s="16" t="s">
        <v>5</v>
      </c>
      <c r="CG445" s="5">
        <v>3.5</v>
      </c>
      <c r="CH445" s="18" t="s">
        <v>5</v>
      </c>
    </row>
    <row r="446" spans="2:86">
      <c r="B446" s="78" t="s">
        <v>444</v>
      </c>
      <c r="C446" s="79" t="s">
        <v>454</v>
      </c>
      <c r="D446" s="80" t="s">
        <v>454</v>
      </c>
      <c r="E446" s="1" t="s">
        <v>4</v>
      </c>
      <c r="F446" s="4">
        <v>35</v>
      </c>
      <c r="G446" s="4">
        <v>10.3</v>
      </c>
      <c r="H446" s="3" t="str">
        <f t="shared" si="25"/>
        <v>ST9X35</v>
      </c>
      <c r="I446" s="7">
        <v>9</v>
      </c>
      <c r="J446" s="5">
        <v>9</v>
      </c>
      <c r="K446" s="6" t="s">
        <v>5</v>
      </c>
      <c r="L446" s="6" t="s">
        <v>5</v>
      </c>
      <c r="M446" s="6" t="s">
        <v>5</v>
      </c>
      <c r="N446" s="7">
        <v>6.25</v>
      </c>
      <c r="O446" s="5">
        <v>6.25</v>
      </c>
      <c r="P446" s="5" t="s">
        <v>5</v>
      </c>
      <c r="Q446" s="6" t="s">
        <v>5</v>
      </c>
      <c r="R446" s="6" t="s">
        <v>5</v>
      </c>
      <c r="S446" s="22">
        <v>0.71099999999999997</v>
      </c>
      <c r="T446" s="5">
        <v>0.6875</v>
      </c>
      <c r="U446" s="8">
        <v>0.375</v>
      </c>
      <c r="V446" s="22">
        <v>0.69099999999999995</v>
      </c>
      <c r="W446" s="8">
        <v>0.6875</v>
      </c>
      <c r="X446" s="22">
        <v>0.69099999999999995</v>
      </c>
      <c r="Y446" s="6" t="s">
        <v>5</v>
      </c>
      <c r="Z446" s="6" t="s">
        <v>5</v>
      </c>
      <c r="AA446" s="7">
        <v>1.5</v>
      </c>
      <c r="AB446" s="8">
        <v>1.5</v>
      </c>
      <c r="AC446" s="8" t="s">
        <v>5</v>
      </c>
      <c r="AD446" s="6" t="s">
        <v>5</v>
      </c>
      <c r="AE446" s="7">
        <v>2.94</v>
      </c>
      <c r="AF446" s="6" t="s">
        <v>5</v>
      </c>
      <c r="AG446" s="6" t="s">
        <v>5</v>
      </c>
      <c r="AH446" s="7">
        <v>1.78</v>
      </c>
      <c r="AI446" s="7">
        <v>4.5199999999999996</v>
      </c>
      <c r="AJ446" s="6" t="s">
        <v>5</v>
      </c>
      <c r="AK446" s="6" t="s">
        <v>5</v>
      </c>
      <c r="AL446" s="6" t="s">
        <v>5</v>
      </c>
      <c r="AM446" s="6" t="s">
        <v>5</v>
      </c>
      <c r="AN446" s="4">
        <v>12.7</v>
      </c>
      <c r="AO446" s="4">
        <v>84.5</v>
      </c>
      <c r="AP446" s="4">
        <v>25.1</v>
      </c>
      <c r="AQ446" s="4">
        <v>14</v>
      </c>
      <c r="AR446" s="7">
        <v>2.87</v>
      </c>
      <c r="AS446" s="4">
        <v>12</v>
      </c>
      <c r="AT446" s="7">
        <v>7.17</v>
      </c>
      <c r="AU446" s="7">
        <v>3.84</v>
      </c>
      <c r="AV446" s="7">
        <v>1.08</v>
      </c>
      <c r="AW446" s="6" t="s">
        <v>5</v>
      </c>
      <c r="AX446" s="6" t="s">
        <v>5</v>
      </c>
      <c r="AY446" s="6" t="s">
        <v>5</v>
      </c>
      <c r="AZ446" s="7">
        <v>2.02</v>
      </c>
      <c r="BA446" s="7">
        <v>7.03</v>
      </c>
      <c r="BB446" s="6" t="s">
        <v>5</v>
      </c>
      <c r="BC446" s="6" t="s">
        <v>5</v>
      </c>
      <c r="BD446" s="6" t="s">
        <v>5</v>
      </c>
      <c r="BE446" s="6" t="s">
        <v>5</v>
      </c>
      <c r="BF446" s="6" t="s">
        <v>5</v>
      </c>
      <c r="BG446" s="6" t="s">
        <v>5</v>
      </c>
      <c r="BH446" s="6" t="s">
        <v>5</v>
      </c>
      <c r="BI446" s="7">
        <v>4.0199999999999996</v>
      </c>
      <c r="BJ446" s="22">
        <v>0.58199999999999996</v>
      </c>
      <c r="BK446" s="6" t="s">
        <v>5</v>
      </c>
      <c r="BL446" s="2" t="s">
        <v>5</v>
      </c>
      <c r="BM446" s="2" t="s">
        <v>5</v>
      </c>
      <c r="BN446" s="2" t="s">
        <v>5</v>
      </c>
      <c r="BO446" s="2" t="s">
        <v>5</v>
      </c>
      <c r="BP446" s="2" t="s">
        <v>5</v>
      </c>
      <c r="BQ446" s="2" t="s">
        <v>5</v>
      </c>
      <c r="BR446" s="2" t="s">
        <v>5</v>
      </c>
      <c r="BS446" s="2" t="s">
        <v>5</v>
      </c>
      <c r="BT446" s="2" t="s">
        <v>5</v>
      </c>
      <c r="BU446" s="2" t="s">
        <v>5</v>
      </c>
      <c r="BV446" s="2" t="s">
        <v>5</v>
      </c>
      <c r="BW446" s="2" t="s">
        <v>5</v>
      </c>
      <c r="BX446" s="2" t="s">
        <v>5</v>
      </c>
      <c r="BY446" s="25" t="s">
        <v>5</v>
      </c>
      <c r="BZ446" s="25" t="s">
        <v>5</v>
      </c>
      <c r="CA446" s="6" t="s">
        <v>5</v>
      </c>
      <c r="CB446" s="6" t="s">
        <v>5</v>
      </c>
      <c r="CC446" s="6" t="s">
        <v>5</v>
      </c>
      <c r="CD446" s="6" t="s">
        <v>5</v>
      </c>
      <c r="CE446" s="6" t="s">
        <v>5</v>
      </c>
      <c r="CF446" s="16" t="s">
        <v>5</v>
      </c>
      <c r="CG446" s="5">
        <v>3.5</v>
      </c>
      <c r="CH446" s="18" t="s">
        <v>5</v>
      </c>
    </row>
    <row r="447" spans="2:86">
      <c r="B447" s="78" t="s">
        <v>444</v>
      </c>
      <c r="C447" s="79" t="s">
        <v>455</v>
      </c>
      <c r="D447" s="80" t="s">
        <v>455</v>
      </c>
      <c r="E447" s="1" t="s">
        <v>4</v>
      </c>
      <c r="F447" s="7">
        <v>27.35</v>
      </c>
      <c r="G447" s="7">
        <v>8.02</v>
      </c>
      <c r="H447" s="3" t="str">
        <f t="shared" si="25"/>
        <v>ST9X27.35</v>
      </c>
      <c r="I447" s="7">
        <v>9</v>
      </c>
      <c r="J447" s="5">
        <v>9</v>
      </c>
      <c r="K447" s="6" t="s">
        <v>5</v>
      </c>
      <c r="L447" s="6" t="s">
        <v>5</v>
      </c>
      <c r="M447" s="6" t="s">
        <v>5</v>
      </c>
      <c r="N447" s="7">
        <v>6</v>
      </c>
      <c r="O447" s="5">
        <v>6</v>
      </c>
      <c r="P447" s="5" t="s">
        <v>5</v>
      </c>
      <c r="Q447" s="6" t="s">
        <v>5</v>
      </c>
      <c r="R447" s="6" t="s">
        <v>5</v>
      </c>
      <c r="S447" s="22">
        <v>0.46100000000000002</v>
      </c>
      <c r="T447" s="5">
        <v>0.4375</v>
      </c>
      <c r="U447" s="8">
        <v>0.25</v>
      </c>
      <c r="V447" s="22">
        <v>0.69099999999999995</v>
      </c>
      <c r="W447" s="8">
        <v>0.6875</v>
      </c>
      <c r="X447" s="22">
        <v>0.69099999999999995</v>
      </c>
      <c r="Y447" s="6" t="s">
        <v>5</v>
      </c>
      <c r="Z447" s="6" t="s">
        <v>5</v>
      </c>
      <c r="AA447" s="7">
        <v>1.5</v>
      </c>
      <c r="AB447" s="8">
        <v>1.5</v>
      </c>
      <c r="AC447" s="8" t="s">
        <v>5</v>
      </c>
      <c r="AD447" s="6" t="s">
        <v>5</v>
      </c>
      <c r="AE447" s="7">
        <v>2.5099999999999998</v>
      </c>
      <c r="AF447" s="6" t="s">
        <v>5</v>
      </c>
      <c r="AG447" s="6" t="s">
        <v>5</v>
      </c>
      <c r="AH447" s="22">
        <v>0.73699999999999999</v>
      </c>
      <c r="AI447" s="7">
        <v>4.34</v>
      </c>
      <c r="AJ447" s="6" t="s">
        <v>5</v>
      </c>
      <c r="AK447" s="6" t="s">
        <v>5</v>
      </c>
      <c r="AL447" s="6" t="s">
        <v>5</v>
      </c>
      <c r="AM447" s="6" t="s">
        <v>5</v>
      </c>
      <c r="AN447" s="4">
        <v>19.5</v>
      </c>
      <c r="AO447" s="4">
        <v>62.3</v>
      </c>
      <c r="AP447" s="4">
        <v>17.3</v>
      </c>
      <c r="AQ447" s="7">
        <v>9.6</v>
      </c>
      <c r="AR447" s="7">
        <v>2.79</v>
      </c>
      <c r="AS447" s="4">
        <v>10.4</v>
      </c>
      <c r="AT447" s="7">
        <v>6.06</v>
      </c>
      <c r="AU447" s="7">
        <v>3.45</v>
      </c>
      <c r="AV447" s="7">
        <v>1.1399999999999999</v>
      </c>
      <c r="AW447" s="6" t="s">
        <v>5</v>
      </c>
      <c r="AX447" s="6" t="s">
        <v>5</v>
      </c>
      <c r="AY447" s="6" t="s">
        <v>5</v>
      </c>
      <c r="AZ447" s="7">
        <v>1.1599999999999999</v>
      </c>
      <c r="BA447" s="7">
        <v>2.2599999999999998</v>
      </c>
      <c r="BB447" s="6" t="s">
        <v>5</v>
      </c>
      <c r="BC447" s="6" t="s">
        <v>5</v>
      </c>
      <c r="BD447" s="6" t="s">
        <v>5</v>
      </c>
      <c r="BE447" s="6" t="s">
        <v>5</v>
      </c>
      <c r="BF447" s="6" t="s">
        <v>5</v>
      </c>
      <c r="BG447" s="6" t="s">
        <v>5</v>
      </c>
      <c r="BH447" s="6" t="s">
        <v>5</v>
      </c>
      <c r="BI447" s="7">
        <v>3.71</v>
      </c>
      <c r="BJ447" s="22">
        <v>0.66</v>
      </c>
      <c r="BK447" s="6" t="s">
        <v>5</v>
      </c>
      <c r="BL447" s="2" t="s">
        <v>5</v>
      </c>
      <c r="BM447" s="2" t="s">
        <v>5</v>
      </c>
      <c r="BN447" s="2" t="s">
        <v>5</v>
      </c>
      <c r="BO447" s="2" t="s">
        <v>5</v>
      </c>
      <c r="BP447" s="2" t="s">
        <v>5</v>
      </c>
      <c r="BQ447" s="2" t="s">
        <v>5</v>
      </c>
      <c r="BR447" s="2" t="s">
        <v>5</v>
      </c>
      <c r="BS447" s="2" t="s">
        <v>5</v>
      </c>
      <c r="BT447" s="2" t="s">
        <v>5</v>
      </c>
      <c r="BU447" s="2" t="s">
        <v>5</v>
      </c>
      <c r="BV447" s="2" t="s">
        <v>5</v>
      </c>
      <c r="BW447" s="2" t="s">
        <v>5</v>
      </c>
      <c r="BX447" s="2" t="s">
        <v>5</v>
      </c>
      <c r="BY447" s="25" t="s">
        <v>5</v>
      </c>
      <c r="BZ447" s="25" t="s">
        <v>5</v>
      </c>
      <c r="CA447" s="6" t="s">
        <v>5</v>
      </c>
      <c r="CB447" s="6" t="s">
        <v>5</v>
      </c>
      <c r="CC447" s="6" t="s">
        <v>5</v>
      </c>
      <c r="CD447" s="6" t="s">
        <v>5</v>
      </c>
      <c r="CE447" s="6" t="s">
        <v>5</v>
      </c>
      <c r="CF447" s="16" t="s">
        <v>5</v>
      </c>
      <c r="CG447" s="5">
        <v>3.5</v>
      </c>
      <c r="CH447" s="18" t="s">
        <v>5</v>
      </c>
    </row>
    <row r="448" spans="2:86">
      <c r="B448" s="78" t="s">
        <v>444</v>
      </c>
      <c r="C448" s="79" t="s">
        <v>456</v>
      </c>
      <c r="D448" s="80" t="s">
        <v>456</v>
      </c>
      <c r="E448" s="1" t="s">
        <v>4</v>
      </c>
      <c r="F448" s="4">
        <v>25</v>
      </c>
      <c r="G448" s="7">
        <v>7.34</v>
      </c>
      <c r="H448" s="3" t="str">
        <f t="shared" si="25"/>
        <v>ST7.5X25</v>
      </c>
      <c r="I448" s="7">
        <v>7.5</v>
      </c>
      <c r="J448" s="5">
        <v>7.5</v>
      </c>
      <c r="K448" s="6" t="s">
        <v>5</v>
      </c>
      <c r="L448" s="6" t="s">
        <v>5</v>
      </c>
      <c r="M448" s="6" t="s">
        <v>5</v>
      </c>
      <c r="N448" s="7">
        <v>5.64</v>
      </c>
      <c r="O448" s="5">
        <v>5.625</v>
      </c>
      <c r="P448" s="5" t="s">
        <v>5</v>
      </c>
      <c r="Q448" s="6" t="s">
        <v>5</v>
      </c>
      <c r="R448" s="6" t="s">
        <v>5</v>
      </c>
      <c r="S448" s="22">
        <v>0.55000000000000004</v>
      </c>
      <c r="T448" s="5">
        <v>0.5625</v>
      </c>
      <c r="U448" s="8">
        <v>0.3125</v>
      </c>
      <c r="V448" s="22">
        <v>0.622</v>
      </c>
      <c r="W448" s="8">
        <v>0.625</v>
      </c>
      <c r="X448" s="22">
        <v>0.622</v>
      </c>
      <c r="Y448" s="6" t="s">
        <v>5</v>
      </c>
      <c r="Z448" s="6" t="s">
        <v>5</v>
      </c>
      <c r="AA448" s="7">
        <v>1.38</v>
      </c>
      <c r="AB448" s="8">
        <v>1.375</v>
      </c>
      <c r="AC448" s="8" t="s">
        <v>5</v>
      </c>
      <c r="AD448" s="6" t="s">
        <v>5</v>
      </c>
      <c r="AE448" s="7">
        <v>2.25</v>
      </c>
      <c r="AF448" s="6" t="s">
        <v>5</v>
      </c>
      <c r="AG448" s="6" t="s">
        <v>5</v>
      </c>
      <c r="AH448" s="22">
        <v>0.82599999999999996</v>
      </c>
      <c r="AI448" s="7">
        <v>4.53</v>
      </c>
      <c r="AJ448" s="6" t="s">
        <v>5</v>
      </c>
      <c r="AK448" s="6" t="s">
        <v>5</v>
      </c>
      <c r="AL448" s="6" t="s">
        <v>5</v>
      </c>
      <c r="AM448" s="6" t="s">
        <v>5</v>
      </c>
      <c r="AN448" s="4">
        <v>13.6</v>
      </c>
      <c r="AO448" s="4">
        <v>40.5</v>
      </c>
      <c r="AP448" s="4">
        <v>14</v>
      </c>
      <c r="AQ448" s="7">
        <v>7.72</v>
      </c>
      <c r="AR448" s="7">
        <v>2.35</v>
      </c>
      <c r="AS448" s="7">
        <v>7.79</v>
      </c>
      <c r="AT448" s="7">
        <v>4.99</v>
      </c>
      <c r="AU448" s="7">
        <v>2.76</v>
      </c>
      <c r="AV448" s="7">
        <v>1.03</v>
      </c>
      <c r="AW448" s="6" t="s">
        <v>5</v>
      </c>
      <c r="AX448" s="6" t="s">
        <v>5</v>
      </c>
      <c r="AY448" s="6" t="s">
        <v>5</v>
      </c>
      <c r="AZ448" s="7">
        <v>1.05</v>
      </c>
      <c r="BA448" s="7">
        <v>2.02</v>
      </c>
      <c r="BB448" s="6" t="s">
        <v>5</v>
      </c>
      <c r="BC448" s="6" t="s">
        <v>5</v>
      </c>
      <c r="BD448" s="6" t="s">
        <v>5</v>
      </c>
      <c r="BE448" s="6" t="s">
        <v>5</v>
      </c>
      <c r="BF448" s="6" t="s">
        <v>5</v>
      </c>
      <c r="BG448" s="6" t="s">
        <v>5</v>
      </c>
      <c r="BH448" s="6" t="s">
        <v>5</v>
      </c>
      <c r="BI448" s="7">
        <v>3.22</v>
      </c>
      <c r="BJ448" s="22">
        <v>0.63500000000000001</v>
      </c>
      <c r="BK448" s="6" t="s">
        <v>5</v>
      </c>
      <c r="BL448" s="2" t="s">
        <v>5</v>
      </c>
      <c r="BM448" s="2" t="s">
        <v>5</v>
      </c>
      <c r="BN448" s="2" t="s">
        <v>5</v>
      </c>
      <c r="BO448" s="2" t="s">
        <v>5</v>
      </c>
      <c r="BP448" s="2" t="s">
        <v>5</v>
      </c>
      <c r="BQ448" s="2" t="s">
        <v>5</v>
      </c>
      <c r="BR448" s="2" t="s">
        <v>5</v>
      </c>
      <c r="BS448" s="2" t="s">
        <v>5</v>
      </c>
      <c r="BT448" s="2" t="s">
        <v>5</v>
      </c>
      <c r="BU448" s="2" t="s">
        <v>5</v>
      </c>
      <c r="BV448" s="2" t="s">
        <v>5</v>
      </c>
      <c r="BW448" s="2" t="s">
        <v>5</v>
      </c>
      <c r="BX448" s="2" t="s">
        <v>5</v>
      </c>
      <c r="BY448" s="25" t="s">
        <v>5</v>
      </c>
      <c r="BZ448" s="25" t="s">
        <v>5</v>
      </c>
      <c r="CA448" s="6" t="s">
        <v>5</v>
      </c>
      <c r="CB448" s="6" t="s">
        <v>5</v>
      </c>
      <c r="CC448" s="6" t="s">
        <v>5</v>
      </c>
      <c r="CD448" s="6" t="s">
        <v>5</v>
      </c>
      <c r="CE448" s="6" t="s">
        <v>5</v>
      </c>
      <c r="CF448" s="16" t="s">
        <v>5</v>
      </c>
      <c r="CG448" s="5">
        <v>3.5</v>
      </c>
      <c r="CH448" s="18" t="s">
        <v>5</v>
      </c>
    </row>
    <row r="449" spans="2:86">
      <c r="B449" s="78" t="s">
        <v>444</v>
      </c>
      <c r="C449" s="79" t="s">
        <v>457</v>
      </c>
      <c r="D449" s="80" t="s">
        <v>457</v>
      </c>
      <c r="E449" s="1" t="s">
        <v>4</v>
      </c>
      <c r="F449" s="7">
        <v>21.45</v>
      </c>
      <c r="G449" s="7">
        <v>6.3</v>
      </c>
      <c r="H449" s="3" t="str">
        <f t="shared" si="25"/>
        <v>ST7.5X21.45</v>
      </c>
      <c r="I449" s="7">
        <v>7.5</v>
      </c>
      <c r="J449" s="5">
        <v>7.5</v>
      </c>
      <c r="K449" s="6" t="s">
        <v>5</v>
      </c>
      <c r="L449" s="6" t="s">
        <v>5</v>
      </c>
      <c r="M449" s="6" t="s">
        <v>5</v>
      </c>
      <c r="N449" s="7">
        <v>5.5</v>
      </c>
      <c r="O449" s="5">
        <v>5.5</v>
      </c>
      <c r="P449" s="5" t="s">
        <v>5</v>
      </c>
      <c r="Q449" s="6" t="s">
        <v>5</v>
      </c>
      <c r="R449" s="6" t="s">
        <v>5</v>
      </c>
      <c r="S449" s="22">
        <v>0.41099999999999998</v>
      </c>
      <c r="T449" s="5">
        <v>0.4375</v>
      </c>
      <c r="U449" s="8">
        <v>0.25</v>
      </c>
      <c r="V449" s="22">
        <v>0.622</v>
      </c>
      <c r="W449" s="8">
        <v>0.625</v>
      </c>
      <c r="X449" s="22">
        <v>0.622</v>
      </c>
      <c r="Y449" s="6" t="s">
        <v>5</v>
      </c>
      <c r="Z449" s="6" t="s">
        <v>5</v>
      </c>
      <c r="AA449" s="7">
        <v>1.38</v>
      </c>
      <c r="AB449" s="8">
        <v>1.375</v>
      </c>
      <c r="AC449" s="8" t="s">
        <v>5</v>
      </c>
      <c r="AD449" s="6" t="s">
        <v>5</v>
      </c>
      <c r="AE449" s="7">
        <v>2.0099999999999998</v>
      </c>
      <c r="AF449" s="6" t="s">
        <v>5</v>
      </c>
      <c r="AG449" s="6" t="s">
        <v>5</v>
      </c>
      <c r="AH449" s="22">
        <v>0.60499999999999998</v>
      </c>
      <c r="AI449" s="7">
        <v>4.42</v>
      </c>
      <c r="AJ449" s="6" t="s">
        <v>5</v>
      </c>
      <c r="AK449" s="6" t="s">
        <v>5</v>
      </c>
      <c r="AL449" s="6" t="s">
        <v>5</v>
      </c>
      <c r="AM449" s="6" t="s">
        <v>5</v>
      </c>
      <c r="AN449" s="4">
        <v>18.2</v>
      </c>
      <c r="AO449" s="4">
        <v>32.9</v>
      </c>
      <c r="AP449" s="4">
        <v>10.8</v>
      </c>
      <c r="AQ449" s="7">
        <v>5.99</v>
      </c>
      <c r="AR449" s="7">
        <v>2.29</v>
      </c>
      <c r="AS449" s="7">
        <v>7.13</v>
      </c>
      <c r="AT449" s="7">
        <v>4.54</v>
      </c>
      <c r="AU449" s="7">
        <v>2.59</v>
      </c>
      <c r="AV449" s="7">
        <v>1.06</v>
      </c>
      <c r="AW449" s="6" t="s">
        <v>5</v>
      </c>
      <c r="AX449" s="6" t="s">
        <v>5</v>
      </c>
      <c r="AY449" s="6" t="s">
        <v>5</v>
      </c>
      <c r="AZ449" s="22">
        <v>0.76500000000000001</v>
      </c>
      <c r="BA449" s="22">
        <v>0.995</v>
      </c>
      <c r="BB449" s="6" t="s">
        <v>5</v>
      </c>
      <c r="BC449" s="6" t="s">
        <v>5</v>
      </c>
      <c r="BD449" s="6" t="s">
        <v>5</v>
      </c>
      <c r="BE449" s="6" t="s">
        <v>5</v>
      </c>
      <c r="BF449" s="6" t="s">
        <v>5</v>
      </c>
      <c r="BG449" s="6" t="s">
        <v>5</v>
      </c>
      <c r="BH449" s="6" t="s">
        <v>5</v>
      </c>
      <c r="BI449" s="7">
        <v>3.04</v>
      </c>
      <c r="BJ449" s="22">
        <v>0.68899999999999995</v>
      </c>
      <c r="BK449" s="6" t="s">
        <v>5</v>
      </c>
      <c r="BL449" s="2" t="s">
        <v>5</v>
      </c>
      <c r="BM449" s="2" t="s">
        <v>5</v>
      </c>
      <c r="BN449" s="2" t="s">
        <v>5</v>
      </c>
      <c r="BO449" s="2" t="s">
        <v>5</v>
      </c>
      <c r="BP449" s="2" t="s">
        <v>5</v>
      </c>
      <c r="BQ449" s="2" t="s">
        <v>5</v>
      </c>
      <c r="BR449" s="2" t="s">
        <v>5</v>
      </c>
      <c r="BS449" s="2" t="s">
        <v>5</v>
      </c>
      <c r="BT449" s="2" t="s">
        <v>5</v>
      </c>
      <c r="BU449" s="2" t="s">
        <v>5</v>
      </c>
      <c r="BV449" s="2" t="s">
        <v>5</v>
      </c>
      <c r="BW449" s="2" t="s">
        <v>5</v>
      </c>
      <c r="BX449" s="2" t="s">
        <v>5</v>
      </c>
      <c r="BY449" s="25" t="s">
        <v>5</v>
      </c>
      <c r="BZ449" s="25" t="s">
        <v>5</v>
      </c>
      <c r="CA449" s="6" t="s">
        <v>5</v>
      </c>
      <c r="CB449" s="6" t="s">
        <v>5</v>
      </c>
      <c r="CC449" s="6" t="s">
        <v>5</v>
      </c>
      <c r="CD449" s="6" t="s">
        <v>5</v>
      </c>
      <c r="CE449" s="6" t="s">
        <v>5</v>
      </c>
      <c r="CF449" s="16" t="s">
        <v>5</v>
      </c>
      <c r="CG449" s="5">
        <v>3.5</v>
      </c>
      <c r="CH449" s="18" t="s">
        <v>5</v>
      </c>
    </row>
    <row r="450" spans="2:86">
      <c r="B450" s="78" t="s">
        <v>444</v>
      </c>
      <c r="C450" s="79" t="s">
        <v>458</v>
      </c>
      <c r="D450" s="80" t="s">
        <v>458</v>
      </c>
      <c r="E450" s="1" t="s">
        <v>4</v>
      </c>
      <c r="F450" s="4">
        <v>25</v>
      </c>
      <c r="G450" s="7">
        <v>7.33</v>
      </c>
      <c r="H450" s="3" t="str">
        <f t="shared" si="25"/>
        <v>ST6X25</v>
      </c>
      <c r="I450" s="7">
        <v>6</v>
      </c>
      <c r="J450" s="5">
        <v>6</v>
      </c>
      <c r="K450" s="6" t="s">
        <v>5</v>
      </c>
      <c r="L450" s="6" t="s">
        <v>5</v>
      </c>
      <c r="M450" s="6" t="s">
        <v>5</v>
      </c>
      <c r="N450" s="7">
        <v>5.48</v>
      </c>
      <c r="O450" s="5">
        <v>5.5</v>
      </c>
      <c r="P450" s="5" t="s">
        <v>5</v>
      </c>
      <c r="Q450" s="6" t="s">
        <v>5</v>
      </c>
      <c r="R450" s="6" t="s">
        <v>5</v>
      </c>
      <c r="S450" s="22">
        <v>0.68700000000000006</v>
      </c>
      <c r="T450" s="5">
        <v>0.6875</v>
      </c>
      <c r="U450" s="8">
        <v>0.375</v>
      </c>
      <c r="V450" s="22">
        <v>0.65900000000000003</v>
      </c>
      <c r="W450" s="8">
        <v>0.6875</v>
      </c>
      <c r="X450" s="22">
        <v>0.65900000000000003</v>
      </c>
      <c r="Y450" s="6" t="s">
        <v>5</v>
      </c>
      <c r="Z450" s="6" t="s">
        <v>5</v>
      </c>
      <c r="AA450" s="7">
        <v>1.44</v>
      </c>
      <c r="AB450" s="8">
        <v>1.4375</v>
      </c>
      <c r="AC450" s="8" t="s">
        <v>5</v>
      </c>
      <c r="AD450" s="6" t="s">
        <v>5</v>
      </c>
      <c r="AE450" s="7">
        <v>1.84</v>
      </c>
      <c r="AF450" s="6" t="s">
        <v>5</v>
      </c>
      <c r="AG450" s="6" t="s">
        <v>5</v>
      </c>
      <c r="AH450" s="22">
        <v>0.75800000000000001</v>
      </c>
      <c r="AI450" s="7">
        <v>4.17</v>
      </c>
      <c r="AJ450" s="6" t="s">
        <v>5</v>
      </c>
      <c r="AK450" s="6" t="s">
        <v>5</v>
      </c>
      <c r="AL450" s="6" t="s">
        <v>5</v>
      </c>
      <c r="AM450" s="6" t="s">
        <v>5</v>
      </c>
      <c r="AN450" s="7">
        <v>8.73</v>
      </c>
      <c r="AO450" s="4">
        <v>25.1</v>
      </c>
      <c r="AP450" s="4">
        <v>11</v>
      </c>
      <c r="AQ450" s="7">
        <v>6.04</v>
      </c>
      <c r="AR450" s="7">
        <v>1.85</v>
      </c>
      <c r="AS450" s="7">
        <v>7.79</v>
      </c>
      <c r="AT450" s="7">
        <v>5.16</v>
      </c>
      <c r="AU450" s="7">
        <v>2.84</v>
      </c>
      <c r="AV450" s="7">
        <v>1.03</v>
      </c>
      <c r="AW450" s="6" t="s">
        <v>5</v>
      </c>
      <c r="AX450" s="6" t="s">
        <v>5</v>
      </c>
      <c r="AY450" s="6" t="s">
        <v>5</v>
      </c>
      <c r="AZ450" s="7">
        <v>1.36</v>
      </c>
      <c r="BA450" s="7">
        <v>1.97</v>
      </c>
      <c r="BB450" s="6" t="s">
        <v>5</v>
      </c>
      <c r="BC450" s="6" t="s">
        <v>5</v>
      </c>
      <c r="BD450" s="6" t="s">
        <v>5</v>
      </c>
      <c r="BE450" s="6" t="s">
        <v>5</v>
      </c>
      <c r="BF450" s="6" t="s">
        <v>5</v>
      </c>
      <c r="BG450" s="6" t="s">
        <v>5</v>
      </c>
      <c r="BH450" s="6" t="s">
        <v>5</v>
      </c>
      <c r="BI450" s="7">
        <v>2.6</v>
      </c>
      <c r="BJ450" s="22">
        <v>0.66200000000000003</v>
      </c>
      <c r="BK450" s="6" t="s">
        <v>5</v>
      </c>
      <c r="BL450" s="2" t="s">
        <v>5</v>
      </c>
      <c r="BM450" s="2" t="s">
        <v>5</v>
      </c>
      <c r="BN450" s="2" t="s">
        <v>5</v>
      </c>
      <c r="BO450" s="2" t="s">
        <v>5</v>
      </c>
      <c r="BP450" s="2" t="s">
        <v>5</v>
      </c>
      <c r="BQ450" s="2" t="s">
        <v>5</v>
      </c>
      <c r="BR450" s="2" t="s">
        <v>5</v>
      </c>
      <c r="BS450" s="2" t="s">
        <v>5</v>
      </c>
      <c r="BT450" s="2" t="s">
        <v>5</v>
      </c>
      <c r="BU450" s="2" t="s">
        <v>5</v>
      </c>
      <c r="BV450" s="2" t="s">
        <v>5</v>
      </c>
      <c r="BW450" s="2" t="s">
        <v>5</v>
      </c>
      <c r="BX450" s="2" t="s">
        <v>5</v>
      </c>
      <c r="BY450" s="25" t="s">
        <v>5</v>
      </c>
      <c r="BZ450" s="25" t="s">
        <v>5</v>
      </c>
      <c r="CA450" s="6" t="s">
        <v>5</v>
      </c>
      <c r="CB450" s="6" t="s">
        <v>5</v>
      </c>
      <c r="CC450" s="6" t="s">
        <v>5</v>
      </c>
      <c r="CD450" s="6" t="s">
        <v>5</v>
      </c>
      <c r="CE450" s="6" t="s">
        <v>5</v>
      </c>
      <c r="CF450" s="16" t="s">
        <v>5</v>
      </c>
      <c r="CG450" s="5">
        <v>3</v>
      </c>
      <c r="CH450" s="18" t="s">
        <v>5</v>
      </c>
    </row>
    <row r="451" spans="2:86">
      <c r="B451" s="78" t="s">
        <v>444</v>
      </c>
      <c r="C451" s="79" t="s">
        <v>459</v>
      </c>
      <c r="D451" s="80" t="s">
        <v>459</v>
      </c>
      <c r="E451" s="1" t="s">
        <v>4</v>
      </c>
      <c r="F451" s="4">
        <v>20.399999999999999</v>
      </c>
      <c r="G451" s="7">
        <v>5.96</v>
      </c>
      <c r="H451" s="3" t="str">
        <f t="shared" si="25"/>
        <v>ST6X20.4</v>
      </c>
      <c r="I451" s="7">
        <v>6</v>
      </c>
      <c r="J451" s="5">
        <v>6</v>
      </c>
      <c r="K451" s="6" t="s">
        <v>5</v>
      </c>
      <c r="L451" s="6" t="s">
        <v>5</v>
      </c>
      <c r="M451" s="6" t="s">
        <v>5</v>
      </c>
      <c r="N451" s="7">
        <v>5.25</v>
      </c>
      <c r="O451" s="5">
        <v>5.25</v>
      </c>
      <c r="P451" s="5" t="s">
        <v>5</v>
      </c>
      <c r="Q451" s="6" t="s">
        <v>5</v>
      </c>
      <c r="R451" s="6" t="s">
        <v>5</v>
      </c>
      <c r="S451" s="22">
        <v>0.46200000000000002</v>
      </c>
      <c r="T451" s="5">
        <v>0.4375</v>
      </c>
      <c r="U451" s="8">
        <v>0.25</v>
      </c>
      <c r="V451" s="22">
        <v>0.65900000000000003</v>
      </c>
      <c r="W451" s="8">
        <v>0.6875</v>
      </c>
      <c r="X451" s="22">
        <v>0.65900000000000003</v>
      </c>
      <c r="Y451" s="6" t="s">
        <v>5</v>
      </c>
      <c r="Z451" s="6" t="s">
        <v>5</v>
      </c>
      <c r="AA451" s="7">
        <v>1.44</v>
      </c>
      <c r="AB451" s="8">
        <v>1.4375</v>
      </c>
      <c r="AC451" s="8" t="s">
        <v>5</v>
      </c>
      <c r="AD451" s="6" t="s">
        <v>5</v>
      </c>
      <c r="AE451" s="7">
        <v>1.58</v>
      </c>
      <c r="AF451" s="6" t="s">
        <v>5</v>
      </c>
      <c r="AG451" s="6" t="s">
        <v>5</v>
      </c>
      <c r="AH451" s="22">
        <v>0.57699999999999996</v>
      </c>
      <c r="AI451" s="7">
        <v>3.98</v>
      </c>
      <c r="AJ451" s="6" t="s">
        <v>5</v>
      </c>
      <c r="AK451" s="6" t="s">
        <v>5</v>
      </c>
      <c r="AL451" s="6" t="s">
        <v>5</v>
      </c>
      <c r="AM451" s="6" t="s">
        <v>5</v>
      </c>
      <c r="AN451" s="4">
        <v>13</v>
      </c>
      <c r="AO451" s="4">
        <v>18.899999999999999</v>
      </c>
      <c r="AP451" s="7">
        <v>7.71</v>
      </c>
      <c r="AQ451" s="7">
        <v>4.2699999999999996</v>
      </c>
      <c r="AR451" s="7">
        <v>1.78</v>
      </c>
      <c r="AS451" s="7">
        <v>6.74</v>
      </c>
      <c r="AT451" s="7">
        <v>4.43</v>
      </c>
      <c r="AU451" s="7">
        <v>2.57</v>
      </c>
      <c r="AV451" s="7">
        <v>1.06</v>
      </c>
      <c r="AW451" s="6" t="s">
        <v>5</v>
      </c>
      <c r="AX451" s="6" t="s">
        <v>5</v>
      </c>
      <c r="AY451" s="6" t="s">
        <v>5</v>
      </c>
      <c r="AZ451" s="22">
        <v>0.84199999999999997</v>
      </c>
      <c r="BA451" s="22">
        <v>0.78700000000000003</v>
      </c>
      <c r="BB451" s="6" t="s">
        <v>5</v>
      </c>
      <c r="BC451" s="6" t="s">
        <v>5</v>
      </c>
      <c r="BD451" s="6" t="s">
        <v>5</v>
      </c>
      <c r="BE451" s="6" t="s">
        <v>5</v>
      </c>
      <c r="BF451" s="6" t="s">
        <v>5</v>
      </c>
      <c r="BG451" s="6" t="s">
        <v>5</v>
      </c>
      <c r="BH451" s="6" t="s">
        <v>5</v>
      </c>
      <c r="BI451" s="7">
        <v>2.42</v>
      </c>
      <c r="BJ451" s="22">
        <v>0.73199999999999998</v>
      </c>
      <c r="BK451" s="6" t="s">
        <v>5</v>
      </c>
      <c r="BL451" s="2" t="s">
        <v>5</v>
      </c>
      <c r="BM451" s="2" t="s">
        <v>5</v>
      </c>
      <c r="BN451" s="2" t="s">
        <v>5</v>
      </c>
      <c r="BO451" s="2" t="s">
        <v>5</v>
      </c>
      <c r="BP451" s="2" t="s">
        <v>5</v>
      </c>
      <c r="BQ451" s="2" t="s">
        <v>5</v>
      </c>
      <c r="BR451" s="2" t="s">
        <v>5</v>
      </c>
      <c r="BS451" s="2" t="s">
        <v>5</v>
      </c>
      <c r="BT451" s="2" t="s">
        <v>5</v>
      </c>
      <c r="BU451" s="2" t="s">
        <v>5</v>
      </c>
      <c r="BV451" s="2" t="s">
        <v>5</v>
      </c>
      <c r="BW451" s="2" t="s">
        <v>5</v>
      </c>
      <c r="BX451" s="2" t="s">
        <v>5</v>
      </c>
      <c r="BY451" s="25" t="s">
        <v>5</v>
      </c>
      <c r="BZ451" s="25" t="s">
        <v>5</v>
      </c>
      <c r="CA451" s="6" t="s">
        <v>5</v>
      </c>
      <c r="CB451" s="6" t="s">
        <v>5</v>
      </c>
      <c r="CC451" s="6" t="s">
        <v>5</v>
      </c>
      <c r="CD451" s="6" t="s">
        <v>5</v>
      </c>
      <c r="CE451" s="6" t="s">
        <v>5</v>
      </c>
      <c r="CF451" s="16" t="s">
        <v>5</v>
      </c>
      <c r="CG451" s="5">
        <v>3</v>
      </c>
      <c r="CH451" s="18" t="s">
        <v>5</v>
      </c>
    </row>
    <row r="452" spans="2:86">
      <c r="B452" s="78" t="s">
        <v>444</v>
      </c>
      <c r="C452" s="79" t="s">
        <v>460</v>
      </c>
      <c r="D452" s="80" t="s">
        <v>460</v>
      </c>
      <c r="E452" s="1" t="s">
        <v>4</v>
      </c>
      <c r="F452" s="4">
        <v>17.5</v>
      </c>
      <c r="G452" s="7">
        <v>5.12</v>
      </c>
      <c r="H452" s="3" t="str">
        <f t="shared" ref="H452:H515" si="26">D452</f>
        <v>ST6X17.5</v>
      </c>
      <c r="I452" s="7">
        <v>6</v>
      </c>
      <c r="J452" s="5">
        <v>6</v>
      </c>
      <c r="K452" s="6" t="s">
        <v>5</v>
      </c>
      <c r="L452" s="6" t="s">
        <v>5</v>
      </c>
      <c r="M452" s="6" t="s">
        <v>5</v>
      </c>
      <c r="N452" s="7">
        <v>5.08</v>
      </c>
      <c r="O452" s="5">
        <v>5.125</v>
      </c>
      <c r="P452" s="5" t="s">
        <v>5</v>
      </c>
      <c r="Q452" s="6" t="s">
        <v>5</v>
      </c>
      <c r="R452" s="6" t="s">
        <v>5</v>
      </c>
      <c r="S452" s="22">
        <v>0.42799999999999999</v>
      </c>
      <c r="T452" s="5">
        <v>0.4375</v>
      </c>
      <c r="U452" s="8">
        <v>0.25</v>
      </c>
      <c r="V452" s="22">
        <v>0.54400000000000004</v>
      </c>
      <c r="W452" s="8">
        <v>0.5625</v>
      </c>
      <c r="X452" s="22">
        <v>0.54400000000000004</v>
      </c>
      <c r="Y452" s="6" t="s">
        <v>5</v>
      </c>
      <c r="Z452" s="6" t="s">
        <v>5</v>
      </c>
      <c r="AA452" s="7">
        <v>1.19</v>
      </c>
      <c r="AB452" s="8">
        <v>1.1875</v>
      </c>
      <c r="AC452" s="8" t="s">
        <v>5</v>
      </c>
      <c r="AD452" s="6" t="s">
        <v>5</v>
      </c>
      <c r="AE452" s="7">
        <v>1.65</v>
      </c>
      <c r="AF452" s="6" t="s">
        <v>5</v>
      </c>
      <c r="AG452" s="6" t="s">
        <v>5</v>
      </c>
      <c r="AH452" s="22">
        <v>0.54300000000000004</v>
      </c>
      <c r="AI452" s="7">
        <v>4.67</v>
      </c>
      <c r="AJ452" s="6" t="s">
        <v>5</v>
      </c>
      <c r="AK452" s="6" t="s">
        <v>5</v>
      </c>
      <c r="AL452" s="6" t="s">
        <v>5</v>
      </c>
      <c r="AM452" s="6" t="s">
        <v>5</v>
      </c>
      <c r="AN452" s="4">
        <v>14</v>
      </c>
      <c r="AO452" s="4">
        <v>17.2</v>
      </c>
      <c r="AP452" s="7">
        <v>7.12</v>
      </c>
      <c r="AQ452" s="7">
        <v>3.95</v>
      </c>
      <c r="AR452" s="7">
        <v>1.83</v>
      </c>
      <c r="AS452" s="7">
        <v>4.92</v>
      </c>
      <c r="AT452" s="7">
        <v>3.4</v>
      </c>
      <c r="AU452" s="7">
        <v>1.94</v>
      </c>
      <c r="AV452" s="22">
        <v>0.98</v>
      </c>
      <c r="AW452" s="6" t="s">
        <v>5</v>
      </c>
      <c r="AX452" s="6" t="s">
        <v>5</v>
      </c>
      <c r="AY452" s="6" t="s">
        <v>5</v>
      </c>
      <c r="AZ452" s="22">
        <v>0.52400000000000002</v>
      </c>
      <c r="BA452" s="22">
        <v>0.55600000000000005</v>
      </c>
      <c r="BB452" s="6" t="s">
        <v>5</v>
      </c>
      <c r="BC452" s="6" t="s">
        <v>5</v>
      </c>
      <c r="BD452" s="6" t="s">
        <v>5</v>
      </c>
      <c r="BE452" s="6" t="s">
        <v>5</v>
      </c>
      <c r="BF452" s="6" t="s">
        <v>5</v>
      </c>
      <c r="BG452" s="6" t="s">
        <v>5</v>
      </c>
      <c r="BH452" s="6" t="s">
        <v>5</v>
      </c>
      <c r="BI452" s="7">
        <v>2.4900000000000002</v>
      </c>
      <c r="BJ452" s="22">
        <v>0.69499999999999995</v>
      </c>
      <c r="BK452" s="6" t="s">
        <v>5</v>
      </c>
      <c r="BL452" s="2" t="s">
        <v>5</v>
      </c>
      <c r="BM452" s="2" t="s">
        <v>5</v>
      </c>
      <c r="BN452" s="2" t="s">
        <v>5</v>
      </c>
      <c r="BO452" s="2" t="s">
        <v>5</v>
      </c>
      <c r="BP452" s="2" t="s">
        <v>5</v>
      </c>
      <c r="BQ452" s="2" t="s">
        <v>5</v>
      </c>
      <c r="BR452" s="2" t="s">
        <v>5</v>
      </c>
      <c r="BS452" s="2" t="s">
        <v>5</v>
      </c>
      <c r="BT452" s="2" t="s">
        <v>5</v>
      </c>
      <c r="BU452" s="2" t="s">
        <v>5</v>
      </c>
      <c r="BV452" s="2" t="s">
        <v>5</v>
      </c>
      <c r="BW452" s="2" t="s">
        <v>5</v>
      </c>
      <c r="BX452" s="2" t="s">
        <v>5</v>
      </c>
      <c r="BY452" s="25" t="s">
        <v>5</v>
      </c>
      <c r="BZ452" s="25" t="s">
        <v>5</v>
      </c>
      <c r="CA452" s="6" t="s">
        <v>5</v>
      </c>
      <c r="CB452" s="6" t="s">
        <v>5</v>
      </c>
      <c r="CC452" s="6" t="s">
        <v>5</v>
      </c>
      <c r="CD452" s="6" t="s">
        <v>5</v>
      </c>
      <c r="CE452" s="6" t="s">
        <v>5</v>
      </c>
      <c r="CF452" s="16" t="s">
        <v>5</v>
      </c>
      <c r="CG452" s="5">
        <v>3</v>
      </c>
      <c r="CH452" s="18" t="s">
        <v>5</v>
      </c>
    </row>
    <row r="453" spans="2:86">
      <c r="B453" s="78" t="s">
        <v>444</v>
      </c>
      <c r="C453" s="79" t="s">
        <v>461</v>
      </c>
      <c r="D453" s="80" t="s">
        <v>461</v>
      </c>
      <c r="E453" s="1" t="s">
        <v>4</v>
      </c>
      <c r="F453" s="4">
        <v>15.9</v>
      </c>
      <c r="G453" s="7">
        <v>4.6500000000000004</v>
      </c>
      <c r="H453" s="3" t="str">
        <f t="shared" si="26"/>
        <v>ST6X15.9</v>
      </c>
      <c r="I453" s="7">
        <v>6</v>
      </c>
      <c r="J453" s="5">
        <v>6</v>
      </c>
      <c r="K453" s="6" t="s">
        <v>5</v>
      </c>
      <c r="L453" s="6" t="s">
        <v>5</v>
      </c>
      <c r="M453" s="6" t="s">
        <v>5</v>
      </c>
      <c r="N453" s="7">
        <v>5</v>
      </c>
      <c r="O453" s="5">
        <v>5</v>
      </c>
      <c r="P453" s="5" t="s">
        <v>5</v>
      </c>
      <c r="Q453" s="6" t="s">
        <v>5</v>
      </c>
      <c r="R453" s="6" t="s">
        <v>5</v>
      </c>
      <c r="S453" s="22">
        <v>0.35</v>
      </c>
      <c r="T453" s="5">
        <v>0.375</v>
      </c>
      <c r="U453" s="8">
        <v>0.1875</v>
      </c>
      <c r="V453" s="22">
        <v>0.54400000000000004</v>
      </c>
      <c r="W453" s="8">
        <v>0.5625</v>
      </c>
      <c r="X453" s="22">
        <v>0.54400000000000004</v>
      </c>
      <c r="Y453" s="6" t="s">
        <v>5</v>
      </c>
      <c r="Z453" s="6" t="s">
        <v>5</v>
      </c>
      <c r="AA453" s="7">
        <v>1.19</v>
      </c>
      <c r="AB453" s="8">
        <v>1.1875</v>
      </c>
      <c r="AC453" s="8" t="s">
        <v>5</v>
      </c>
      <c r="AD453" s="6" t="s">
        <v>5</v>
      </c>
      <c r="AE453" s="7">
        <v>1.51</v>
      </c>
      <c r="AF453" s="6" t="s">
        <v>5</v>
      </c>
      <c r="AG453" s="6" t="s">
        <v>5</v>
      </c>
      <c r="AH453" s="22">
        <v>0.48</v>
      </c>
      <c r="AI453" s="7">
        <v>4.5999999999999996</v>
      </c>
      <c r="AJ453" s="6" t="s">
        <v>5</v>
      </c>
      <c r="AK453" s="6" t="s">
        <v>5</v>
      </c>
      <c r="AL453" s="6" t="s">
        <v>5</v>
      </c>
      <c r="AM453" s="6" t="s">
        <v>5</v>
      </c>
      <c r="AN453" s="4">
        <v>17.100000000000001</v>
      </c>
      <c r="AO453" s="4">
        <v>14.8</v>
      </c>
      <c r="AP453" s="7">
        <v>5.94</v>
      </c>
      <c r="AQ453" s="7">
        <v>3.3</v>
      </c>
      <c r="AR453" s="7">
        <v>1.78</v>
      </c>
      <c r="AS453" s="7">
        <v>4.66</v>
      </c>
      <c r="AT453" s="7">
        <v>3.22</v>
      </c>
      <c r="AU453" s="7">
        <v>1.87</v>
      </c>
      <c r="AV453" s="7">
        <v>1</v>
      </c>
      <c r="AW453" s="6" t="s">
        <v>5</v>
      </c>
      <c r="AX453" s="6" t="s">
        <v>5</v>
      </c>
      <c r="AY453" s="6" t="s">
        <v>5</v>
      </c>
      <c r="AZ453" s="22">
        <v>0.438</v>
      </c>
      <c r="BA453" s="22">
        <v>0.36399999999999999</v>
      </c>
      <c r="BB453" s="6" t="s">
        <v>5</v>
      </c>
      <c r="BC453" s="6" t="s">
        <v>5</v>
      </c>
      <c r="BD453" s="6" t="s">
        <v>5</v>
      </c>
      <c r="BE453" s="6" t="s">
        <v>5</v>
      </c>
      <c r="BF453" s="6" t="s">
        <v>5</v>
      </c>
      <c r="BG453" s="6" t="s">
        <v>5</v>
      </c>
      <c r="BH453" s="6" t="s">
        <v>5</v>
      </c>
      <c r="BI453" s="7">
        <v>2.39</v>
      </c>
      <c r="BJ453" s="22">
        <v>0.73099999999999998</v>
      </c>
      <c r="BK453" s="6" t="s">
        <v>5</v>
      </c>
      <c r="BL453" s="2" t="s">
        <v>5</v>
      </c>
      <c r="BM453" s="2" t="s">
        <v>5</v>
      </c>
      <c r="BN453" s="2" t="s">
        <v>5</v>
      </c>
      <c r="BO453" s="2" t="s">
        <v>5</v>
      </c>
      <c r="BP453" s="2" t="s">
        <v>5</v>
      </c>
      <c r="BQ453" s="2" t="s">
        <v>5</v>
      </c>
      <c r="BR453" s="2" t="s">
        <v>5</v>
      </c>
      <c r="BS453" s="2" t="s">
        <v>5</v>
      </c>
      <c r="BT453" s="2" t="s">
        <v>5</v>
      </c>
      <c r="BU453" s="2" t="s">
        <v>5</v>
      </c>
      <c r="BV453" s="2" t="s">
        <v>5</v>
      </c>
      <c r="BW453" s="2" t="s">
        <v>5</v>
      </c>
      <c r="BX453" s="2" t="s">
        <v>5</v>
      </c>
      <c r="BY453" s="25" t="s">
        <v>5</v>
      </c>
      <c r="BZ453" s="25" t="s">
        <v>5</v>
      </c>
      <c r="CA453" s="6" t="s">
        <v>5</v>
      </c>
      <c r="CB453" s="6" t="s">
        <v>5</v>
      </c>
      <c r="CC453" s="6" t="s">
        <v>5</v>
      </c>
      <c r="CD453" s="6" t="s">
        <v>5</v>
      </c>
      <c r="CE453" s="6" t="s">
        <v>5</v>
      </c>
      <c r="CF453" s="16" t="s">
        <v>5</v>
      </c>
      <c r="CG453" s="5">
        <v>3</v>
      </c>
      <c r="CH453" s="18" t="s">
        <v>5</v>
      </c>
    </row>
    <row r="454" spans="2:86">
      <c r="B454" s="78" t="s">
        <v>444</v>
      </c>
      <c r="C454" s="79" t="s">
        <v>462</v>
      </c>
      <c r="D454" s="80" t="s">
        <v>462</v>
      </c>
      <c r="E454" s="1" t="s">
        <v>4</v>
      </c>
      <c r="F454" s="4">
        <v>17.5</v>
      </c>
      <c r="G454" s="7">
        <v>5.14</v>
      </c>
      <c r="H454" s="3" t="str">
        <f t="shared" si="26"/>
        <v>ST5X17.5</v>
      </c>
      <c r="I454" s="7">
        <v>5</v>
      </c>
      <c r="J454" s="5">
        <v>5</v>
      </c>
      <c r="K454" s="6" t="s">
        <v>5</v>
      </c>
      <c r="L454" s="6" t="s">
        <v>5</v>
      </c>
      <c r="M454" s="6" t="s">
        <v>5</v>
      </c>
      <c r="N454" s="7">
        <v>4.9400000000000004</v>
      </c>
      <c r="O454" s="5">
        <v>5</v>
      </c>
      <c r="P454" s="5" t="s">
        <v>5</v>
      </c>
      <c r="Q454" s="6" t="s">
        <v>5</v>
      </c>
      <c r="R454" s="6" t="s">
        <v>5</v>
      </c>
      <c r="S454" s="22">
        <v>0.59399999999999997</v>
      </c>
      <c r="T454" s="5">
        <v>0.625</v>
      </c>
      <c r="U454" s="8">
        <v>0.3125</v>
      </c>
      <c r="V454" s="22">
        <v>0.49099999999999999</v>
      </c>
      <c r="W454" s="8">
        <v>0.5</v>
      </c>
      <c r="X454" s="22">
        <v>0.49099999999999999</v>
      </c>
      <c r="Y454" s="6" t="s">
        <v>5</v>
      </c>
      <c r="Z454" s="6" t="s">
        <v>5</v>
      </c>
      <c r="AA454" s="7">
        <v>1.1299999999999999</v>
      </c>
      <c r="AB454" s="8">
        <v>1.125</v>
      </c>
      <c r="AC454" s="8" t="s">
        <v>5</v>
      </c>
      <c r="AD454" s="6" t="s">
        <v>5</v>
      </c>
      <c r="AE454" s="7">
        <v>1.56</v>
      </c>
      <c r="AF454" s="6" t="s">
        <v>5</v>
      </c>
      <c r="AG454" s="6" t="s">
        <v>5</v>
      </c>
      <c r="AH454" s="22">
        <v>0.67300000000000004</v>
      </c>
      <c r="AI454" s="7">
        <v>5.03</v>
      </c>
      <c r="AJ454" s="6" t="s">
        <v>5</v>
      </c>
      <c r="AK454" s="6" t="s">
        <v>5</v>
      </c>
      <c r="AL454" s="6" t="s">
        <v>5</v>
      </c>
      <c r="AM454" s="6" t="s">
        <v>5</v>
      </c>
      <c r="AN454" s="7">
        <v>8.42</v>
      </c>
      <c r="AO454" s="4">
        <v>12.5</v>
      </c>
      <c r="AP454" s="7">
        <v>6.58</v>
      </c>
      <c r="AQ454" s="7">
        <v>3.62</v>
      </c>
      <c r="AR454" s="7">
        <v>1.56</v>
      </c>
      <c r="AS454" s="7">
        <v>4.1500000000000004</v>
      </c>
      <c r="AT454" s="7">
        <v>3.1</v>
      </c>
      <c r="AU454" s="7">
        <v>1.68</v>
      </c>
      <c r="AV454" s="22">
        <v>0.89900000000000002</v>
      </c>
      <c r="AW454" s="6" t="s">
        <v>5</v>
      </c>
      <c r="AX454" s="6" t="s">
        <v>5</v>
      </c>
      <c r="AY454" s="6" t="s">
        <v>5</v>
      </c>
      <c r="AZ454" s="22">
        <v>0.63300000000000001</v>
      </c>
      <c r="BA454" s="22">
        <v>0.72499999999999998</v>
      </c>
      <c r="BB454" s="6" t="s">
        <v>5</v>
      </c>
      <c r="BC454" s="6" t="s">
        <v>5</v>
      </c>
      <c r="BD454" s="6" t="s">
        <v>5</v>
      </c>
      <c r="BE454" s="6" t="s">
        <v>5</v>
      </c>
      <c r="BF454" s="6" t="s">
        <v>5</v>
      </c>
      <c r="BG454" s="6" t="s">
        <v>5</v>
      </c>
      <c r="BH454" s="6" t="s">
        <v>5</v>
      </c>
      <c r="BI454" s="7">
        <v>2.23</v>
      </c>
      <c r="BJ454" s="22">
        <v>0.65300000000000002</v>
      </c>
      <c r="BK454" s="6" t="s">
        <v>5</v>
      </c>
      <c r="BL454" s="2" t="s">
        <v>5</v>
      </c>
      <c r="BM454" s="2" t="s">
        <v>5</v>
      </c>
      <c r="BN454" s="2" t="s">
        <v>5</v>
      </c>
      <c r="BO454" s="2" t="s">
        <v>5</v>
      </c>
      <c r="BP454" s="2" t="s">
        <v>5</v>
      </c>
      <c r="BQ454" s="2" t="s">
        <v>5</v>
      </c>
      <c r="BR454" s="2" t="s">
        <v>5</v>
      </c>
      <c r="BS454" s="2" t="s">
        <v>5</v>
      </c>
      <c r="BT454" s="2" t="s">
        <v>5</v>
      </c>
      <c r="BU454" s="2" t="s">
        <v>5</v>
      </c>
      <c r="BV454" s="2" t="s">
        <v>5</v>
      </c>
      <c r="BW454" s="2" t="s">
        <v>5</v>
      </c>
      <c r="BX454" s="2" t="s">
        <v>5</v>
      </c>
      <c r="BY454" s="25" t="s">
        <v>5</v>
      </c>
      <c r="BZ454" s="25" t="s">
        <v>5</v>
      </c>
      <c r="CA454" s="6" t="s">
        <v>5</v>
      </c>
      <c r="CB454" s="6" t="s">
        <v>5</v>
      </c>
      <c r="CC454" s="6" t="s">
        <v>5</v>
      </c>
      <c r="CD454" s="6" t="s">
        <v>5</v>
      </c>
      <c r="CE454" s="6" t="s">
        <v>5</v>
      </c>
      <c r="CF454" s="16" t="s">
        <v>5</v>
      </c>
      <c r="CG454" s="5">
        <v>2.75</v>
      </c>
      <c r="CH454" s="18" t="s">
        <v>5</v>
      </c>
    </row>
    <row r="455" spans="2:86">
      <c r="B455" s="78" t="s">
        <v>444</v>
      </c>
      <c r="C455" s="79" t="s">
        <v>463</v>
      </c>
      <c r="D455" s="80" t="s">
        <v>463</v>
      </c>
      <c r="E455" s="1" t="s">
        <v>4</v>
      </c>
      <c r="F455" s="4">
        <v>12.7</v>
      </c>
      <c r="G455" s="7">
        <v>3.72</v>
      </c>
      <c r="H455" s="3" t="str">
        <f t="shared" si="26"/>
        <v>ST5X12.7</v>
      </c>
      <c r="I455" s="7">
        <v>5</v>
      </c>
      <c r="J455" s="5">
        <v>5</v>
      </c>
      <c r="K455" s="6" t="s">
        <v>5</v>
      </c>
      <c r="L455" s="6" t="s">
        <v>5</v>
      </c>
      <c r="M455" s="6" t="s">
        <v>5</v>
      </c>
      <c r="N455" s="7">
        <v>4.66</v>
      </c>
      <c r="O455" s="5">
        <v>4.625</v>
      </c>
      <c r="P455" s="5" t="s">
        <v>5</v>
      </c>
      <c r="Q455" s="6" t="s">
        <v>5</v>
      </c>
      <c r="R455" s="6" t="s">
        <v>5</v>
      </c>
      <c r="S455" s="22">
        <v>0.311</v>
      </c>
      <c r="T455" s="5">
        <v>0.3125</v>
      </c>
      <c r="U455" s="8">
        <v>0.1875</v>
      </c>
      <c r="V455" s="22">
        <v>0.49099999999999999</v>
      </c>
      <c r="W455" s="8">
        <v>0.5</v>
      </c>
      <c r="X455" s="22">
        <v>0.49099999999999999</v>
      </c>
      <c r="Y455" s="6" t="s">
        <v>5</v>
      </c>
      <c r="Z455" s="6" t="s">
        <v>5</v>
      </c>
      <c r="AA455" s="7">
        <v>1.1299999999999999</v>
      </c>
      <c r="AB455" s="8">
        <v>1.125</v>
      </c>
      <c r="AC455" s="8" t="s">
        <v>5</v>
      </c>
      <c r="AD455" s="6" t="s">
        <v>5</v>
      </c>
      <c r="AE455" s="7">
        <v>1.2</v>
      </c>
      <c r="AF455" s="6" t="s">
        <v>5</v>
      </c>
      <c r="AG455" s="6" t="s">
        <v>5</v>
      </c>
      <c r="AH455" s="22">
        <v>0.40300000000000002</v>
      </c>
      <c r="AI455" s="7">
        <v>4.75</v>
      </c>
      <c r="AJ455" s="6" t="s">
        <v>5</v>
      </c>
      <c r="AK455" s="6" t="s">
        <v>5</v>
      </c>
      <c r="AL455" s="6" t="s">
        <v>5</v>
      </c>
      <c r="AM455" s="6" t="s">
        <v>5</v>
      </c>
      <c r="AN455" s="4">
        <v>16.100000000000001</v>
      </c>
      <c r="AO455" s="7">
        <v>7.79</v>
      </c>
      <c r="AP455" s="7">
        <v>3.7</v>
      </c>
      <c r="AQ455" s="7">
        <v>2.0499999999999998</v>
      </c>
      <c r="AR455" s="7">
        <v>1.45</v>
      </c>
      <c r="AS455" s="7">
        <v>3.36</v>
      </c>
      <c r="AT455" s="7">
        <v>2.4900000000000002</v>
      </c>
      <c r="AU455" s="7">
        <v>1.44</v>
      </c>
      <c r="AV455" s="22">
        <v>0.95</v>
      </c>
      <c r="AW455" s="6" t="s">
        <v>5</v>
      </c>
      <c r="AX455" s="6" t="s">
        <v>5</v>
      </c>
      <c r="AY455" s="6" t="s">
        <v>5</v>
      </c>
      <c r="AZ455" s="22">
        <v>0.3</v>
      </c>
      <c r="BA455" s="22">
        <v>0.17299999999999999</v>
      </c>
      <c r="BB455" s="6" t="s">
        <v>5</v>
      </c>
      <c r="BC455" s="6" t="s">
        <v>5</v>
      </c>
      <c r="BD455" s="6" t="s">
        <v>5</v>
      </c>
      <c r="BE455" s="6" t="s">
        <v>5</v>
      </c>
      <c r="BF455" s="6" t="s">
        <v>5</v>
      </c>
      <c r="BG455" s="6" t="s">
        <v>5</v>
      </c>
      <c r="BH455" s="6" t="s">
        <v>5</v>
      </c>
      <c r="BI455" s="7">
        <v>1.98</v>
      </c>
      <c r="BJ455" s="22">
        <v>0.76700000000000002</v>
      </c>
      <c r="BK455" s="6" t="s">
        <v>5</v>
      </c>
      <c r="BL455" s="2" t="s">
        <v>5</v>
      </c>
      <c r="BM455" s="2" t="s">
        <v>5</v>
      </c>
      <c r="BN455" s="2" t="s">
        <v>5</v>
      </c>
      <c r="BO455" s="2" t="s">
        <v>5</v>
      </c>
      <c r="BP455" s="2" t="s">
        <v>5</v>
      </c>
      <c r="BQ455" s="2" t="s">
        <v>5</v>
      </c>
      <c r="BR455" s="2" t="s">
        <v>5</v>
      </c>
      <c r="BS455" s="2" t="s">
        <v>5</v>
      </c>
      <c r="BT455" s="2" t="s">
        <v>5</v>
      </c>
      <c r="BU455" s="2" t="s">
        <v>5</v>
      </c>
      <c r="BV455" s="2" t="s">
        <v>5</v>
      </c>
      <c r="BW455" s="2" t="s">
        <v>5</v>
      </c>
      <c r="BX455" s="2" t="s">
        <v>5</v>
      </c>
      <c r="BY455" s="25" t="s">
        <v>5</v>
      </c>
      <c r="BZ455" s="25" t="s">
        <v>5</v>
      </c>
      <c r="CA455" s="6" t="s">
        <v>5</v>
      </c>
      <c r="CB455" s="6" t="s">
        <v>5</v>
      </c>
      <c r="CC455" s="6" t="s">
        <v>5</v>
      </c>
      <c r="CD455" s="6" t="s">
        <v>5</v>
      </c>
      <c r="CE455" s="6" t="s">
        <v>5</v>
      </c>
      <c r="CF455" s="16" t="s">
        <v>5</v>
      </c>
      <c r="CG455" s="5">
        <v>2.75</v>
      </c>
      <c r="CH455" s="18" t="s">
        <v>5</v>
      </c>
    </row>
    <row r="456" spans="2:86">
      <c r="B456" s="78" t="s">
        <v>444</v>
      </c>
      <c r="C456" s="79" t="s">
        <v>464</v>
      </c>
      <c r="D456" s="80" t="s">
        <v>464</v>
      </c>
      <c r="E456" s="1" t="s">
        <v>4</v>
      </c>
      <c r="F456" s="4">
        <v>11.5</v>
      </c>
      <c r="G456" s="7">
        <v>3.38</v>
      </c>
      <c r="H456" s="3" t="str">
        <f t="shared" si="26"/>
        <v>ST4X11.5</v>
      </c>
      <c r="I456" s="7">
        <v>4</v>
      </c>
      <c r="J456" s="5">
        <v>4</v>
      </c>
      <c r="K456" s="6" t="s">
        <v>5</v>
      </c>
      <c r="L456" s="6" t="s">
        <v>5</v>
      </c>
      <c r="M456" s="6" t="s">
        <v>5</v>
      </c>
      <c r="N456" s="7">
        <v>4.17</v>
      </c>
      <c r="O456" s="5">
        <v>4.125</v>
      </c>
      <c r="P456" s="5" t="s">
        <v>5</v>
      </c>
      <c r="Q456" s="6" t="s">
        <v>5</v>
      </c>
      <c r="R456" s="6" t="s">
        <v>5</v>
      </c>
      <c r="S456" s="22">
        <v>0.441</v>
      </c>
      <c r="T456" s="5">
        <v>0.4375</v>
      </c>
      <c r="U456" s="8">
        <v>0.25</v>
      </c>
      <c r="V456" s="22">
        <v>0.42499999999999999</v>
      </c>
      <c r="W456" s="8">
        <v>0.4375</v>
      </c>
      <c r="X456" s="22">
        <v>0.42499999999999999</v>
      </c>
      <c r="Y456" s="6" t="s">
        <v>5</v>
      </c>
      <c r="Z456" s="6" t="s">
        <v>5</v>
      </c>
      <c r="AA456" s="7">
        <v>1</v>
      </c>
      <c r="AB456" s="8">
        <v>1</v>
      </c>
      <c r="AC456" s="8" t="s">
        <v>5</v>
      </c>
      <c r="AD456" s="6" t="s">
        <v>5</v>
      </c>
      <c r="AE456" s="7">
        <v>1.1499999999999999</v>
      </c>
      <c r="AF456" s="6" t="s">
        <v>5</v>
      </c>
      <c r="AG456" s="6" t="s">
        <v>5</v>
      </c>
      <c r="AH456" s="22">
        <v>0.439</v>
      </c>
      <c r="AI456" s="7">
        <v>4.91</v>
      </c>
      <c r="AJ456" s="6" t="s">
        <v>5</v>
      </c>
      <c r="AK456" s="6" t="s">
        <v>5</v>
      </c>
      <c r="AL456" s="6" t="s">
        <v>5</v>
      </c>
      <c r="AM456" s="6" t="s">
        <v>5</v>
      </c>
      <c r="AN456" s="7">
        <v>9.07</v>
      </c>
      <c r="AO456" s="7">
        <v>5</v>
      </c>
      <c r="AP456" s="7">
        <v>3.19</v>
      </c>
      <c r="AQ456" s="7">
        <v>1.76</v>
      </c>
      <c r="AR456" s="7">
        <v>1.22</v>
      </c>
      <c r="AS456" s="7">
        <v>2.13</v>
      </c>
      <c r="AT456" s="7">
        <v>1.84</v>
      </c>
      <c r="AU456" s="7">
        <v>1.02</v>
      </c>
      <c r="AV456" s="22">
        <v>0.79500000000000004</v>
      </c>
      <c r="AW456" s="6" t="s">
        <v>5</v>
      </c>
      <c r="AX456" s="6" t="s">
        <v>5</v>
      </c>
      <c r="AY456" s="6" t="s">
        <v>5</v>
      </c>
      <c r="AZ456" s="22">
        <v>0.27100000000000002</v>
      </c>
      <c r="BA456" s="22">
        <v>0.16800000000000001</v>
      </c>
      <c r="BB456" s="6" t="s">
        <v>5</v>
      </c>
      <c r="BC456" s="6" t="s">
        <v>5</v>
      </c>
      <c r="BD456" s="6" t="s">
        <v>5</v>
      </c>
      <c r="BE456" s="6" t="s">
        <v>5</v>
      </c>
      <c r="BF456" s="6" t="s">
        <v>5</v>
      </c>
      <c r="BG456" s="6" t="s">
        <v>5</v>
      </c>
      <c r="BH456" s="6" t="s">
        <v>5</v>
      </c>
      <c r="BI456" s="7">
        <v>1.73</v>
      </c>
      <c r="BJ456" s="22">
        <v>0.70399999999999996</v>
      </c>
      <c r="BK456" s="6" t="s">
        <v>5</v>
      </c>
      <c r="BL456" s="2" t="s">
        <v>5</v>
      </c>
      <c r="BM456" s="2" t="s">
        <v>5</v>
      </c>
      <c r="BN456" s="2" t="s">
        <v>5</v>
      </c>
      <c r="BO456" s="2" t="s">
        <v>5</v>
      </c>
      <c r="BP456" s="2" t="s">
        <v>5</v>
      </c>
      <c r="BQ456" s="2" t="s">
        <v>5</v>
      </c>
      <c r="BR456" s="2" t="s">
        <v>5</v>
      </c>
      <c r="BS456" s="2" t="s">
        <v>5</v>
      </c>
      <c r="BT456" s="2" t="s">
        <v>5</v>
      </c>
      <c r="BU456" s="2" t="s">
        <v>5</v>
      </c>
      <c r="BV456" s="2" t="s">
        <v>5</v>
      </c>
      <c r="BW456" s="2" t="s">
        <v>5</v>
      </c>
      <c r="BX456" s="2" t="s">
        <v>5</v>
      </c>
      <c r="BY456" s="25" t="s">
        <v>5</v>
      </c>
      <c r="BZ456" s="25" t="s">
        <v>5</v>
      </c>
      <c r="CA456" s="6" t="s">
        <v>5</v>
      </c>
      <c r="CB456" s="6" t="s">
        <v>5</v>
      </c>
      <c r="CC456" s="6" t="s">
        <v>5</v>
      </c>
      <c r="CD456" s="6" t="s">
        <v>5</v>
      </c>
      <c r="CE456" s="6" t="s">
        <v>5</v>
      </c>
      <c r="CF456" s="16" t="s">
        <v>5</v>
      </c>
      <c r="CG456" s="5">
        <v>2.25</v>
      </c>
      <c r="CH456" s="18" t="s">
        <v>5</v>
      </c>
    </row>
    <row r="457" spans="2:86">
      <c r="B457" s="78" t="s">
        <v>444</v>
      </c>
      <c r="C457" s="79" t="s">
        <v>465</v>
      </c>
      <c r="D457" s="80" t="s">
        <v>465</v>
      </c>
      <c r="E457" s="1" t="s">
        <v>4</v>
      </c>
      <c r="F457" s="7">
        <v>9.1999999999999993</v>
      </c>
      <c r="G457" s="7">
        <v>2.7</v>
      </c>
      <c r="H457" s="3" t="str">
        <f t="shared" si="26"/>
        <v>ST4X9.2</v>
      </c>
      <c r="I457" s="7">
        <v>4</v>
      </c>
      <c r="J457" s="5">
        <v>4</v>
      </c>
      <c r="K457" s="6" t="s">
        <v>5</v>
      </c>
      <c r="L457" s="6" t="s">
        <v>5</v>
      </c>
      <c r="M457" s="6" t="s">
        <v>5</v>
      </c>
      <c r="N457" s="7">
        <v>4</v>
      </c>
      <c r="O457" s="5">
        <v>4</v>
      </c>
      <c r="P457" s="5" t="s">
        <v>5</v>
      </c>
      <c r="Q457" s="6" t="s">
        <v>5</v>
      </c>
      <c r="R457" s="6" t="s">
        <v>5</v>
      </c>
      <c r="S457" s="22">
        <v>0.27100000000000002</v>
      </c>
      <c r="T457" s="5">
        <v>0.25</v>
      </c>
      <c r="U457" s="8">
        <v>0.125</v>
      </c>
      <c r="V457" s="22">
        <v>0.42499999999999999</v>
      </c>
      <c r="W457" s="8">
        <v>0.4375</v>
      </c>
      <c r="X457" s="22">
        <v>0.42499999999999999</v>
      </c>
      <c r="Y457" s="6" t="s">
        <v>5</v>
      </c>
      <c r="Z457" s="6" t="s">
        <v>5</v>
      </c>
      <c r="AA457" s="7">
        <v>1</v>
      </c>
      <c r="AB457" s="8">
        <v>1</v>
      </c>
      <c r="AC457" s="8" t="s">
        <v>5</v>
      </c>
      <c r="AD457" s="6" t="s">
        <v>5</v>
      </c>
      <c r="AE457" s="22">
        <v>0.94199999999999995</v>
      </c>
      <c r="AF457" s="6" t="s">
        <v>5</v>
      </c>
      <c r="AG457" s="6" t="s">
        <v>5</v>
      </c>
      <c r="AH457" s="22">
        <v>0.33600000000000002</v>
      </c>
      <c r="AI457" s="7">
        <v>4.71</v>
      </c>
      <c r="AJ457" s="6" t="s">
        <v>5</v>
      </c>
      <c r="AK457" s="6" t="s">
        <v>5</v>
      </c>
      <c r="AL457" s="6" t="s">
        <v>5</v>
      </c>
      <c r="AM457" s="6" t="s">
        <v>5</v>
      </c>
      <c r="AN457" s="4">
        <v>14.8</v>
      </c>
      <c r="AO457" s="7">
        <v>3.49</v>
      </c>
      <c r="AP457" s="7">
        <v>2.0699999999999998</v>
      </c>
      <c r="AQ457" s="7">
        <v>1.1399999999999999</v>
      </c>
      <c r="AR457" s="7">
        <v>1.1399999999999999</v>
      </c>
      <c r="AS457" s="7">
        <v>1.84</v>
      </c>
      <c r="AT457" s="7">
        <v>1.59</v>
      </c>
      <c r="AU457" s="22">
        <v>0.92200000000000004</v>
      </c>
      <c r="AV457" s="22">
        <v>0.82699999999999996</v>
      </c>
      <c r="AW457" s="6" t="s">
        <v>5</v>
      </c>
      <c r="AX457" s="6" t="s">
        <v>5</v>
      </c>
      <c r="AY457" s="6" t="s">
        <v>5</v>
      </c>
      <c r="AZ457" s="22">
        <v>0.16700000000000001</v>
      </c>
      <c r="BA457" s="28">
        <v>6.4199999999999993E-2</v>
      </c>
      <c r="BB457" s="6" t="s">
        <v>5</v>
      </c>
      <c r="BC457" s="6" t="s">
        <v>5</v>
      </c>
      <c r="BD457" s="6" t="s">
        <v>5</v>
      </c>
      <c r="BE457" s="6" t="s">
        <v>5</v>
      </c>
      <c r="BF457" s="6" t="s">
        <v>5</v>
      </c>
      <c r="BG457" s="6" t="s">
        <v>5</v>
      </c>
      <c r="BH457" s="6" t="s">
        <v>5</v>
      </c>
      <c r="BI457" s="7">
        <v>1.58</v>
      </c>
      <c r="BJ457" s="22">
        <v>0.78800000000000003</v>
      </c>
      <c r="BK457" s="6" t="s">
        <v>5</v>
      </c>
      <c r="BL457" s="2" t="s">
        <v>5</v>
      </c>
      <c r="BM457" s="2" t="s">
        <v>5</v>
      </c>
      <c r="BN457" s="2" t="s">
        <v>5</v>
      </c>
      <c r="BO457" s="2" t="s">
        <v>5</v>
      </c>
      <c r="BP457" s="2" t="s">
        <v>5</v>
      </c>
      <c r="BQ457" s="2" t="s">
        <v>5</v>
      </c>
      <c r="BR457" s="2" t="s">
        <v>5</v>
      </c>
      <c r="BS457" s="2" t="s">
        <v>5</v>
      </c>
      <c r="BT457" s="2" t="s">
        <v>5</v>
      </c>
      <c r="BU457" s="2" t="s">
        <v>5</v>
      </c>
      <c r="BV457" s="2" t="s">
        <v>5</v>
      </c>
      <c r="BW457" s="2" t="s">
        <v>5</v>
      </c>
      <c r="BX457" s="2" t="s">
        <v>5</v>
      </c>
      <c r="BY457" s="25" t="s">
        <v>5</v>
      </c>
      <c r="BZ457" s="25" t="s">
        <v>5</v>
      </c>
      <c r="CA457" s="6" t="s">
        <v>5</v>
      </c>
      <c r="CB457" s="6" t="s">
        <v>5</v>
      </c>
      <c r="CC457" s="6" t="s">
        <v>5</v>
      </c>
      <c r="CD457" s="6" t="s">
        <v>5</v>
      </c>
      <c r="CE457" s="6" t="s">
        <v>5</v>
      </c>
      <c r="CF457" s="16" t="s">
        <v>5</v>
      </c>
      <c r="CG457" s="5">
        <v>2.25</v>
      </c>
      <c r="CH457" s="18" t="s">
        <v>5</v>
      </c>
    </row>
    <row r="458" spans="2:86">
      <c r="B458" s="78" t="s">
        <v>444</v>
      </c>
      <c r="C458" s="79" t="s">
        <v>466</v>
      </c>
      <c r="D458" s="80" t="s">
        <v>466</v>
      </c>
      <c r="E458" s="1" t="s">
        <v>4</v>
      </c>
      <c r="F458" s="7">
        <v>8.6</v>
      </c>
      <c r="G458" s="7">
        <v>2.5299999999999998</v>
      </c>
      <c r="H458" s="3" t="str">
        <f t="shared" si="26"/>
        <v>ST3X8.6</v>
      </c>
      <c r="I458" s="7">
        <v>3</v>
      </c>
      <c r="J458" s="5">
        <v>3</v>
      </c>
      <c r="K458" s="6" t="s">
        <v>5</v>
      </c>
      <c r="L458" s="6" t="s">
        <v>5</v>
      </c>
      <c r="M458" s="6" t="s">
        <v>5</v>
      </c>
      <c r="N458" s="7">
        <v>3.57</v>
      </c>
      <c r="O458" s="5">
        <v>3.625</v>
      </c>
      <c r="P458" s="5" t="s">
        <v>5</v>
      </c>
      <c r="Q458" s="6" t="s">
        <v>5</v>
      </c>
      <c r="R458" s="6" t="s">
        <v>5</v>
      </c>
      <c r="S458" s="22">
        <v>0.46500000000000002</v>
      </c>
      <c r="T458" s="5">
        <v>0.4375</v>
      </c>
      <c r="U458" s="8">
        <v>0.25</v>
      </c>
      <c r="V458" s="22">
        <v>0.35899999999999999</v>
      </c>
      <c r="W458" s="8">
        <v>0.375</v>
      </c>
      <c r="X458" s="22">
        <v>0.35899999999999999</v>
      </c>
      <c r="Y458" s="6" t="s">
        <v>5</v>
      </c>
      <c r="Z458" s="6" t="s">
        <v>5</v>
      </c>
      <c r="AA458" s="22">
        <v>0.81299999999999994</v>
      </c>
      <c r="AB458" s="8">
        <v>0.8125</v>
      </c>
      <c r="AC458" s="8" t="s">
        <v>5</v>
      </c>
      <c r="AD458" s="6" t="s">
        <v>5</v>
      </c>
      <c r="AE458" s="22">
        <v>0.91500000000000004</v>
      </c>
      <c r="AF458" s="6" t="s">
        <v>5</v>
      </c>
      <c r="AG458" s="6" t="s">
        <v>5</v>
      </c>
      <c r="AH458" s="22">
        <v>0.39400000000000002</v>
      </c>
      <c r="AI458" s="7">
        <v>4.97</v>
      </c>
      <c r="AJ458" s="6" t="s">
        <v>5</v>
      </c>
      <c r="AK458" s="6" t="s">
        <v>5</v>
      </c>
      <c r="AL458" s="6" t="s">
        <v>5</v>
      </c>
      <c r="AM458" s="6" t="s">
        <v>5</v>
      </c>
      <c r="AN458" s="7">
        <v>6.45</v>
      </c>
      <c r="AO458" s="7">
        <v>2.12</v>
      </c>
      <c r="AP458" s="7">
        <v>1.85</v>
      </c>
      <c r="AQ458" s="7">
        <v>1.02</v>
      </c>
      <c r="AR458" s="22">
        <v>0.91500000000000004</v>
      </c>
      <c r="AS458" s="7">
        <v>1.1399999999999999</v>
      </c>
      <c r="AT458" s="7">
        <v>1.17</v>
      </c>
      <c r="AU458" s="22">
        <v>0.64200000000000002</v>
      </c>
      <c r="AV458" s="22">
        <v>0.67300000000000004</v>
      </c>
      <c r="AW458" s="6" t="s">
        <v>5</v>
      </c>
      <c r="AX458" s="6" t="s">
        <v>5</v>
      </c>
      <c r="AY458" s="6" t="s">
        <v>5</v>
      </c>
      <c r="AZ458" s="22">
        <v>0.18099999999999999</v>
      </c>
      <c r="BA458" s="28">
        <v>7.7200000000000005E-2</v>
      </c>
      <c r="BB458" s="6" t="s">
        <v>5</v>
      </c>
      <c r="BC458" s="6" t="s">
        <v>5</v>
      </c>
      <c r="BD458" s="6" t="s">
        <v>5</v>
      </c>
      <c r="BE458" s="6" t="s">
        <v>5</v>
      </c>
      <c r="BF458" s="6" t="s">
        <v>5</v>
      </c>
      <c r="BG458" s="6" t="s">
        <v>5</v>
      </c>
      <c r="BH458" s="6" t="s">
        <v>5</v>
      </c>
      <c r="BI458" s="7">
        <v>1.35</v>
      </c>
      <c r="BJ458" s="22">
        <v>0.70499999999999996</v>
      </c>
      <c r="BK458" s="6" t="s">
        <v>5</v>
      </c>
      <c r="BL458" s="2" t="s">
        <v>5</v>
      </c>
      <c r="BM458" s="2" t="s">
        <v>5</v>
      </c>
      <c r="BN458" s="2" t="s">
        <v>5</v>
      </c>
      <c r="BO458" s="2" t="s">
        <v>5</v>
      </c>
      <c r="BP458" s="2" t="s">
        <v>5</v>
      </c>
      <c r="BQ458" s="2" t="s">
        <v>5</v>
      </c>
      <c r="BR458" s="2" t="s">
        <v>5</v>
      </c>
      <c r="BS458" s="2" t="s">
        <v>5</v>
      </c>
      <c r="BT458" s="2" t="s">
        <v>5</v>
      </c>
      <c r="BU458" s="2" t="s">
        <v>5</v>
      </c>
      <c r="BV458" s="2" t="s">
        <v>5</v>
      </c>
      <c r="BW458" s="2" t="s">
        <v>5</v>
      </c>
      <c r="BX458" s="2" t="s">
        <v>5</v>
      </c>
      <c r="BY458" s="25" t="s">
        <v>5</v>
      </c>
      <c r="BZ458" s="25" t="s">
        <v>5</v>
      </c>
      <c r="CA458" s="6" t="s">
        <v>5</v>
      </c>
      <c r="CB458" s="6" t="s">
        <v>5</v>
      </c>
      <c r="CC458" s="6" t="s">
        <v>5</v>
      </c>
      <c r="CD458" s="6" t="s">
        <v>5</v>
      </c>
      <c r="CE458" s="6" t="s">
        <v>5</v>
      </c>
      <c r="CF458" s="16" t="s">
        <v>5</v>
      </c>
      <c r="CG458" s="16" t="s">
        <v>5</v>
      </c>
      <c r="CH458" s="18" t="s">
        <v>5</v>
      </c>
    </row>
    <row r="459" spans="2:86">
      <c r="B459" s="78" t="s">
        <v>444</v>
      </c>
      <c r="C459" s="79" t="s">
        <v>467</v>
      </c>
      <c r="D459" s="80" t="s">
        <v>467</v>
      </c>
      <c r="E459" s="1" t="s">
        <v>4</v>
      </c>
      <c r="F459" s="7">
        <v>6.25</v>
      </c>
      <c r="G459" s="7">
        <v>1.83</v>
      </c>
      <c r="H459" s="3" t="str">
        <f t="shared" si="26"/>
        <v>ST3X6.25</v>
      </c>
      <c r="I459" s="7">
        <v>3</v>
      </c>
      <c r="J459" s="5">
        <v>3</v>
      </c>
      <c r="K459" s="6" t="s">
        <v>5</v>
      </c>
      <c r="L459" s="6" t="s">
        <v>5</v>
      </c>
      <c r="M459" s="6" t="s">
        <v>5</v>
      </c>
      <c r="N459" s="7">
        <v>3.33</v>
      </c>
      <c r="O459" s="5">
        <v>3.375</v>
      </c>
      <c r="P459" s="5" t="s">
        <v>5</v>
      </c>
      <c r="Q459" s="6" t="s">
        <v>5</v>
      </c>
      <c r="R459" s="6" t="s">
        <v>5</v>
      </c>
      <c r="S459" s="22">
        <v>0.23200000000000001</v>
      </c>
      <c r="T459" s="5">
        <v>0.25</v>
      </c>
      <c r="U459" s="8">
        <v>0.125</v>
      </c>
      <c r="V459" s="22">
        <v>0.35899999999999999</v>
      </c>
      <c r="W459" s="8">
        <v>0.375</v>
      </c>
      <c r="X459" s="22">
        <v>0.35899999999999999</v>
      </c>
      <c r="Y459" s="6" t="s">
        <v>5</v>
      </c>
      <c r="Z459" s="6" t="s">
        <v>5</v>
      </c>
      <c r="AA459" s="22">
        <v>0.81299999999999994</v>
      </c>
      <c r="AB459" s="8">
        <v>0.8125</v>
      </c>
      <c r="AC459" s="8" t="s">
        <v>5</v>
      </c>
      <c r="AD459" s="6" t="s">
        <v>5</v>
      </c>
      <c r="AE459" s="22">
        <v>0.69199999999999995</v>
      </c>
      <c r="AF459" s="6" t="s">
        <v>5</v>
      </c>
      <c r="AG459" s="6" t="s">
        <v>5</v>
      </c>
      <c r="AH459" s="22">
        <v>0.27100000000000002</v>
      </c>
      <c r="AI459" s="7">
        <v>4.6399999999999997</v>
      </c>
      <c r="AJ459" s="6" t="s">
        <v>5</v>
      </c>
      <c r="AK459" s="6" t="s">
        <v>5</v>
      </c>
      <c r="AL459" s="6" t="s">
        <v>5</v>
      </c>
      <c r="AM459" s="6" t="s">
        <v>5</v>
      </c>
      <c r="AN459" s="4">
        <v>12.9</v>
      </c>
      <c r="AO459" s="7">
        <v>1.26</v>
      </c>
      <c r="AP459" s="7">
        <v>1.01</v>
      </c>
      <c r="AQ459" s="22">
        <v>0.54700000000000004</v>
      </c>
      <c r="AR459" s="22">
        <v>0.83099999999999996</v>
      </c>
      <c r="AS459" s="22">
        <v>0.90100000000000002</v>
      </c>
      <c r="AT459" s="22">
        <v>0.93</v>
      </c>
      <c r="AU459" s="22">
        <v>0.54100000000000004</v>
      </c>
      <c r="AV459" s="22">
        <v>0.70199999999999996</v>
      </c>
      <c r="AW459" s="6" t="s">
        <v>5</v>
      </c>
      <c r="AX459" s="6" t="s">
        <v>5</v>
      </c>
      <c r="AY459" s="6" t="s">
        <v>5</v>
      </c>
      <c r="AZ459" s="28">
        <v>8.3000000000000004E-2</v>
      </c>
      <c r="BA459" s="28">
        <v>1.9699999999999999E-2</v>
      </c>
      <c r="BB459" s="6" t="s">
        <v>5</v>
      </c>
      <c r="BC459" s="6" t="s">
        <v>5</v>
      </c>
      <c r="BD459" s="6" t="s">
        <v>5</v>
      </c>
      <c r="BE459" s="6" t="s">
        <v>5</v>
      </c>
      <c r="BF459" s="6" t="s">
        <v>5</v>
      </c>
      <c r="BG459" s="6" t="s">
        <v>5</v>
      </c>
      <c r="BH459" s="6" t="s">
        <v>5</v>
      </c>
      <c r="BI459" s="7">
        <v>1.2</v>
      </c>
      <c r="BJ459" s="22">
        <v>0.81899999999999995</v>
      </c>
      <c r="BK459" s="6" t="s">
        <v>5</v>
      </c>
      <c r="BL459" s="2" t="s">
        <v>5</v>
      </c>
      <c r="BM459" s="2" t="s">
        <v>5</v>
      </c>
      <c r="BN459" s="2" t="s">
        <v>5</v>
      </c>
      <c r="BO459" s="2" t="s">
        <v>5</v>
      </c>
      <c r="BP459" s="2" t="s">
        <v>5</v>
      </c>
      <c r="BQ459" s="2" t="s">
        <v>5</v>
      </c>
      <c r="BR459" s="2" t="s">
        <v>5</v>
      </c>
      <c r="BS459" s="2" t="s">
        <v>5</v>
      </c>
      <c r="BT459" s="2" t="s">
        <v>5</v>
      </c>
      <c r="BU459" s="2" t="s">
        <v>5</v>
      </c>
      <c r="BV459" s="2" t="s">
        <v>5</v>
      </c>
      <c r="BW459" s="2" t="s">
        <v>5</v>
      </c>
      <c r="BX459" s="2" t="s">
        <v>5</v>
      </c>
      <c r="BY459" s="25" t="s">
        <v>5</v>
      </c>
      <c r="BZ459" s="25" t="s">
        <v>5</v>
      </c>
      <c r="CA459" s="6" t="s">
        <v>5</v>
      </c>
      <c r="CB459" s="6" t="s">
        <v>5</v>
      </c>
      <c r="CC459" s="6" t="s">
        <v>5</v>
      </c>
      <c r="CD459" s="6" t="s">
        <v>5</v>
      </c>
      <c r="CE459" s="6" t="s">
        <v>5</v>
      </c>
      <c r="CF459" s="16" t="s">
        <v>5</v>
      </c>
      <c r="CG459" s="16" t="s">
        <v>5</v>
      </c>
      <c r="CH459" s="18" t="s">
        <v>5</v>
      </c>
    </row>
    <row r="460" spans="2:86">
      <c r="B460" s="78" t="s">
        <v>444</v>
      </c>
      <c r="C460" s="79" t="s">
        <v>468</v>
      </c>
      <c r="D460" s="80" t="s">
        <v>468</v>
      </c>
      <c r="E460" s="1" t="s">
        <v>4</v>
      </c>
      <c r="F460" s="7">
        <v>5</v>
      </c>
      <c r="G460" s="7">
        <v>1.46</v>
      </c>
      <c r="H460" s="3" t="str">
        <f t="shared" si="26"/>
        <v>ST2.5X5</v>
      </c>
      <c r="I460" s="7">
        <v>2.5</v>
      </c>
      <c r="J460" s="5">
        <v>2.5</v>
      </c>
      <c r="K460" s="6" t="s">
        <v>5</v>
      </c>
      <c r="L460" s="6" t="s">
        <v>5</v>
      </c>
      <c r="M460" s="6" t="s">
        <v>5</v>
      </c>
      <c r="N460" s="7">
        <v>3</v>
      </c>
      <c r="O460" s="5">
        <v>3</v>
      </c>
      <c r="P460" s="5" t="s">
        <v>5</v>
      </c>
      <c r="Q460" s="6" t="s">
        <v>5</v>
      </c>
      <c r="R460" s="6" t="s">
        <v>5</v>
      </c>
      <c r="S460" s="22">
        <v>0.214</v>
      </c>
      <c r="T460" s="5">
        <v>0.1875</v>
      </c>
      <c r="U460" s="8">
        <v>0.125</v>
      </c>
      <c r="V460" s="22">
        <v>0.32600000000000001</v>
      </c>
      <c r="W460" s="8">
        <v>0.3125</v>
      </c>
      <c r="X460" s="22">
        <v>0.32600000000000001</v>
      </c>
      <c r="Y460" s="6" t="s">
        <v>5</v>
      </c>
      <c r="Z460" s="6" t="s">
        <v>5</v>
      </c>
      <c r="AA460" s="22">
        <v>0.75</v>
      </c>
      <c r="AB460" s="8">
        <v>0.75</v>
      </c>
      <c r="AC460" s="8" t="s">
        <v>5</v>
      </c>
      <c r="AD460" s="6" t="s">
        <v>5</v>
      </c>
      <c r="AE460" s="22">
        <v>0.56999999999999995</v>
      </c>
      <c r="AF460" s="6" t="s">
        <v>5</v>
      </c>
      <c r="AG460" s="6" t="s">
        <v>5</v>
      </c>
      <c r="AH460" s="22">
        <v>0.23899999999999999</v>
      </c>
      <c r="AI460" s="7">
        <v>4.5999999999999996</v>
      </c>
      <c r="AJ460" s="6" t="s">
        <v>5</v>
      </c>
      <c r="AK460" s="6" t="s">
        <v>5</v>
      </c>
      <c r="AL460" s="6" t="s">
        <v>5</v>
      </c>
      <c r="AM460" s="6" t="s">
        <v>5</v>
      </c>
      <c r="AN460" s="4">
        <v>11.7</v>
      </c>
      <c r="AO460" s="22">
        <v>0.67100000000000004</v>
      </c>
      <c r="AP460" s="22">
        <v>0.65</v>
      </c>
      <c r="AQ460" s="22">
        <v>0.34799999999999998</v>
      </c>
      <c r="AR460" s="22">
        <v>0.67700000000000005</v>
      </c>
      <c r="AS460" s="22">
        <v>0.59699999999999998</v>
      </c>
      <c r="AT460" s="22">
        <v>0.68600000000000005</v>
      </c>
      <c r="AU460" s="22">
        <v>0.39800000000000002</v>
      </c>
      <c r="AV460" s="22">
        <v>0.63800000000000001</v>
      </c>
      <c r="AW460" s="6" t="s">
        <v>5</v>
      </c>
      <c r="AX460" s="6" t="s">
        <v>5</v>
      </c>
      <c r="AY460" s="6" t="s">
        <v>5</v>
      </c>
      <c r="AZ460" s="28">
        <v>5.6800000000000003E-2</v>
      </c>
      <c r="BA460" s="28">
        <v>0.01</v>
      </c>
      <c r="BB460" s="6" t="s">
        <v>5</v>
      </c>
      <c r="BC460" s="6" t="s">
        <v>5</v>
      </c>
      <c r="BD460" s="6" t="s">
        <v>5</v>
      </c>
      <c r="BE460" s="6" t="s">
        <v>5</v>
      </c>
      <c r="BF460" s="6" t="s">
        <v>5</v>
      </c>
      <c r="BG460" s="6" t="s">
        <v>5</v>
      </c>
      <c r="BH460" s="6" t="s">
        <v>5</v>
      </c>
      <c r="BI460" s="7">
        <v>1.02</v>
      </c>
      <c r="BJ460" s="22">
        <v>0.83899999999999997</v>
      </c>
      <c r="BK460" s="6" t="s">
        <v>5</v>
      </c>
      <c r="BL460" s="2" t="s">
        <v>5</v>
      </c>
      <c r="BM460" s="2" t="s">
        <v>5</v>
      </c>
      <c r="BN460" s="2" t="s">
        <v>5</v>
      </c>
      <c r="BO460" s="2" t="s">
        <v>5</v>
      </c>
      <c r="BP460" s="2" t="s">
        <v>5</v>
      </c>
      <c r="BQ460" s="2" t="s">
        <v>5</v>
      </c>
      <c r="BR460" s="2" t="s">
        <v>5</v>
      </c>
      <c r="BS460" s="2" t="s">
        <v>5</v>
      </c>
      <c r="BT460" s="2" t="s">
        <v>5</v>
      </c>
      <c r="BU460" s="2" t="s">
        <v>5</v>
      </c>
      <c r="BV460" s="2" t="s">
        <v>5</v>
      </c>
      <c r="BW460" s="2" t="s">
        <v>5</v>
      </c>
      <c r="BX460" s="2" t="s">
        <v>5</v>
      </c>
      <c r="BY460" s="25" t="s">
        <v>5</v>
      </c>
      <c r="BZ460" s="25" t="s">
        <v>5</v>
      </c>
      <c r="CA460" s="6" t="s">
        <v>5</v>
      </c>
      <c r="CB460" s="6" t="s">
        <v>5</v>
      </c>
      <c r="CC460" s="6" t="s">
        <v>5</v>
      </c>
      <c r="CD460" s="6" t="s">
        <v>5</v>
      </c>
      <c r="CE460" s="6" t="s">
        <v>5</v>
      </c>
      <c r="CF460" s="16" t="s">
        <v>5</v>
      </c>
      <c r="CG460" s="16" t="s">
        <v>5</v>
      </c>
      <c r="CH460" s="18" t="s">
        <v>5</v>
      </c>
    </row>
    <row r="461" spans="2:86">
      <c r="B461" s="78" t="s">
        <v>444</v>
      </c>
      <c r="C461" s="79" t="s">
        <v>469</v>
      </c>
      <c r="D461" s="80" t="s">
        <v>469</v>
      </c>
      <c r="E461" s="1" t="s">
        <v>4</v>
      </c>
      <c r="F461" s="7">
        <v>4.75</v>
      </c>
      <c r="G461" s="7">
        <v>1.4</v>
      </c>
      <c r="H461" s="3" t="str">
        <f t="shared" si="26"/>
        <v>ST2X4.75</v>
      </c>
      <c r="I461" s="7">
        <v>2</v>
      </c>
      <c r="J461" s="5">
        <v>2</v>
      </c>
      <c r="K461" s="6" t="s">
        <v>5</v>
      </c>
      <c r="L461" s="6" t="s">
        <v>5</v>
      </c>
      <c r="M461" s="6" t="s">
        <v>5</v>
      </c>
      <c r="N461" s="7">
        <v>2.8</v>
      </c>
      <c r="O461" s="5">
        <v>2.75</v>
      </c>
      <c r="P461" s="5" t="s">
        <v>5</v>
      </c>
      <c r="Q461" s="6" t="s">
        <v>5</v>
      </c>
      <c r="R461" s="6" t="s">
        <v>5</v>
      </c>
      <c r="S461" s="22">
        <v>0.32600000000000001</v>
      </c>
      <c r="T461" s="5">
        <v>0.3125</v>
      </c>
      <c r="U461" s="8">
        <v>0.1875</v>
      </c>
      <c r="V461" s="22">
        <v>0.29299999999999998</v>
      </c>
      <c r="W461" s="8">
        <v>0.3125</v>
      </c>
      <c r="X461" s="22">
        <v>0.29299999999999998</v>
      </c>
      <c r="Y461" s="6" t="s">
        <v>5</v>
      </c>
      <c r="Z461" s="6" t="s">
        <v>5</v>
      </c>
      <c r="AA461" s="22">
        <v>0.75</v>
      </c>
      <c r="AB461" s="8">
        <v>0.75</v>
      </c>
      <c r="AC461" s="8" t="s">
        <v>5</v>
      </c>
      <c r="AD461" s="6" t="s">
        <v>5</v>
      </c>
      <c r="AE461" s="22">
        <v>0.55300000000000005</v>
      </c>
      <c r="AF461" s="6" t="s">
        <v>5</v>
      </c>
      <c r="AG461" s="6" t="s">
        <v>5</v>
      </c>
      <c r="AH461" s="22">
        <v>0.25</v>
      </c>
      <c r="AI461" s="7">
        <v>4.78</v>
      </c>
      <c r="AJ461" s="6" t="s">
        <v>5</v>
      </c>
      <c r="AK461" s="6" t="s">
        <v>5</v>
      </c>
      <c r="AL461" s="6" t="s">
        <v>5</v>
      </c>
      <c r="AM461" s="6" t="s">
        <v>5</v>
      </c>
      <c r="AN461" s="7">
        <v>6.13</v>
      </c>
      <c r="AO461" s="22">
        <v>0.46200000000000002</v>
      </c>
      <c r="AP461" s="22">
        <v>0.59199999999999997</v>
      </c>
      <c r="AQ461" s="22">
        <v>0.31900000000000001</v>
      </c>
      <c r="AR461" s="22">
        <v>0.57499999999999996</v>
      </c>
      <c r="AS461" s="22">
        <v>0.44400000000000001</v>
      </c>
      <c r="AT461" s="22">
        <v>0.56499999999999995</v>
      </c>
      <c r="AU461" s="22">
        <v>0.317</v>
      </c>
      <c r="AV461" s="22">
        <v>0.56399999999999995</v>
      </c>
      <c r="AW461" s="6" t="s">
        <v>5</v>
      </c>
      <c r="AX461" s="6" t="s">
        <v>5</v>
      </c>
      <c r="AY461" s="6" t="s">
        <v>5</v>
      </c>
      <c r="AZ461" s="28">
        <v>5.8999999999999997E-2</v>
      </c>
      <c r="BA461" s="28">
        <v>9.9500000000000005E-3</v>
      </c>
      <c r="BB461" s="6" t="s">
        <v>5</v>
      </c>
      <c r="BC461" s="6" t="s">
        <v>5</v>
      </c>
      <c r="BD461" s="6" t="s">
        <v>5</v>
      </c>
      <c r="BE461" s="6" t="s">
        <v>5</v>
      </c>
      <c r="BF461" s="6" t="s">
        <v>5</v>
      </c>
      <c r="BG461" s="6" t="s">
        <v>5</v>
      </c>
      <c r="BH461" s="6" t="s">
        <v>5</v>
      </c>
      <c r="BI461" s="22">
        <v>0.90300000000000002</v>
      </c>
      <c r="BJ461" s="22">
        <v>0.79700000000000004</v>
      </c>
      <c r="BK461" s="6" t="s">
        <v>5</v>
      </c>
      <c r="BL461" s="2" t="s">
        <v>5</v>
      </c>
      <c r="BM461" s="2" t="s">
        <v>5</v>
      </c>
      <c r="BN461" s="2" t="s">
        <v>5</v>
      </c>
      <c r="BO461" s="2" t="s">
        <v>5</v>
      </c>
      <c r="BP461" s="2" t="s">
        <v>5</v>
      </c>
      <c r="BQ461" s="2" t="s">
        <v>5</v>
      </c>
      <c r="BR461" s="2" t="s">
        <v>5</v>
      </c>
      <c r="BS461" s="2" t="s">
        <v>5</v>
      </c>
      <c r="BT461" s="2" t="s">
        <v>5</v>
      </c>
      <c r="BU461" s="2" t="s">
        <v>5</v>
      </c>
      <c r="BV461" s="2" t="s">
        <v>5</v>
      </c>
      <c r="BW461" s="2" t="s">
        <v>5</v>
      </c>
      <c r="BX461" s="2" t="s">
        <v>5</v>
      </c>
      <c r="BY461" s="25" t="s">
        <v>5</v>
      </c>
      <c r="BZ461" s="25" t="s">
        <v>5</v>
      </c>
      <c r="CA461" s="6" t="s">
        <v>5</v>
      </c>
      <c r="CB461" s="6" t="s">
        <v>5</v>
      </c>
      <c r="CC461" s="6" t="s">
        <v>5</v>
      </c>
      <c r="CD461" s="6" t="s">
        <v>5</v>
      </c>
      <c r="CE461" s="6" t="s">
        <v>5</v>
      </c>
      <c r="CF461" s="16" t="s">
        <v>5</v>
      </c>
      <c r="CG461" s="16" t="s">
        <v>5</v>
      </c>
      <c r="CH461" s="18" t="s">
        <v>5</v>
      </c>
    </row>
    <row r="462" spans="2:86">
      <c r="B462" s="78" t="s">
        <v>444</v>
      </c>
      <c r="C462" s="79" t="s">
        <v>470</v>
      </c>
      <c r="D462" s="80" t="s">
        <v>470</v>
      </c>
      <c r="E462" s="1" t="s">
        <v>4</v>
      </c>
      <c r="F462" s="7">
        <v>3.85</v>
      </c>
      <c r="G462" s="7">
        <v>1.1299999999999999</v>
      </c>
      <c r="H462" s="3" t="str">
        <f t="shared" si="26"/>
        <v>ST2X3.85</v>
      </c>
      <c r="I462" s="7">
        <v>2</v>
      </c>
      <c r="J462" s="5">
        <v>2</v>
      </c>
      <c r="K462" s="6" t="s">
        <v>5</v>
      </c>
      <c r="L462" s="6" t="s">
        <v>5</v>
      </c>
      <c r="M462" s="6" t="s">
        <v>5</v>
      </c>
      <c r="N462" s="7">
        <v>2.66</v>
      </c>
      <c r="O462" s="5">
        <v>2.625</v>
      </c>
      <c r="P462" s="5" t="s">
        <v>5</v>
      </c>
      <c r="Q462" s="6" t="s">
        <v>5</v>
      </c>
      <c r="R462" s="6" t="s">
        <v>5</v>
      </c>
      <c r="S462" s="22">
        <v>0.193</v>
      </c>
      <c r="T462" s="5">
        <v>0.1875</v>
      </c>
      <c r="U462" s="8">
        <v>0.125</v>
      </c>
      <c r="V462" s="22">
        <v>0.29299999999999998</v>
      </c>
      <c r="W462" s="8">
        <v>0.3125</v>
      </c>
      <c r="X462" s="22">
        <v>0.29299999999999998</v>
      </c>
      <c r="Y462" s="6" t="s">
        <v>5</v>
      </c>
      <c r="Z462" s="6" t="s">
        <v>5</v>
      </c>
      <c r="AA462" s="22">
        <v>0.75</v>
      </c>
      <c r="AB462" s="8">
        <v>0.75</v>
      </c>
      <c r="AC462" s="8" t="s">
        <v>5</v>
      </c>
      <c r="AD462" s="6" t="s">
        <v>5</v>
      </c>
      <c r="AE462" s="22">
        <v>0.44800000000000001</v>
      </c>
      <c r="AF462" s="6" t="s">
        <v>5</v>
      </c>
      <c r="AG462" s="6" t="s">
        <v>5</v>
      </c>
      <c r="AH462" s="22">
        <v>0.20399999999999999</v>
      </c>
      <c r="AI462" s="7">
        <v>4.54</v>
      </c>
      <c r="AJ462" s="6" t="s">
        <v>5</v>
      </c>
      <c r="AK462" s="6" t="s">
        <v>5</v>
      </c>
      <c r="AL462" s="6" t="s">
        <v>5</v>
      </c>
      <c r="AM462" s="6" t="s">
        <v>5</v>
      </c>
      <c r="AN462" s="4">
        <v>10.4</v>
      </c>
      <c r="AO462" s="22">
        <v>0.307</v>
      </c>
      <c r="AP462" s="22">
        <v>0.38100000000000001</v>
      </c>
      <c r="AQ462" s="22">
        <v>0.19800000000000001</v>
      </c>
      <c r="AR462" s="22">
        <v>0.52200000000000002</v>
      </c>
      <c r="AS462" s="22">
        <v>0.374</v>
      </c>
      <c r="AT462" s="22">
        <v>0.48499999999999999</v>
      </c>
      <c r="AU462" s="22">
        <v>0.28100000000000003</v>
      </c>
      <c r="AV462" s="22">
        <v>0.57599999999999996</v>
      </c>
      <c r="AW462" s="6" t="s">
        <v>5</v>
      </c>
      <c r="AX462" s="6" t="s">
        <v>5</v>
      </c>
      <c r="AY462" s="6" t="s">
        <v>5</v>
      </c>
      <c r="AZ462" s="28">
        <v>3.6400000000000002E-2</v>
      </c>
      <c r="BA462" s="31">
        <v>4.5700000000000003E-3</v>
      </c>
      <c r="BB462" s="6" t="s">
        <v>5</v>
      </c>
      <c r="BC462" s="6" t="s">
        <v>5</v>
      </c>
      <c r="BD462" s="6" t="s">
        <v>5</v>
      </c>
      <c r="BE462" s="6" t="s">
        <v>5</v>
      </c>
      <c r="BF462" s="6" t="s">
        <v>5</v>
      </c>
      <c r="BG462" s="6" t="s">
        <v>5</v>
      </c>
      <c r="BH462" s="6" t="s">
        <v>5</v>
      </c>
      <c r="BI462" s="22">
        <v>0.83399999999999996</v>
      </c>
      <c r="BJ462" s="22">
        <v>0.86899999999999999</v>
      </c>
      <c r="BK462" s="6" t="s">
        <v>5</v>
      </c>
      <c r="BL462" s="2" t="s">
        <v>5</v>
      </c>
      <c r="BM462" s="2" t="s">
        <v>5</v>
      </c>
      <c r="BN462" s="2" t="s">
        <v>5</v>
      </c>
      <c r="BO462" s="2" t="s">
        <v>5</v>
      </c>
      <c r="BP462" s="2" t="s">
        <v>5</v>
      </c>
      <c r="BQ462" s="2" t="s">
        <v>5</v>
      </c>
      <c r="BR462" s="2" t="s">
        <v>5</v>
      </c>
      <c r="BS462" s="2" t="s">
        <v>5</v>
      </c>
      <c r="BT462" s="2" t="s">
        <v>5</v>
      </c>
      <c r="BU462" s="2" t="s">
        <v>5</v>
      </c>
      <c r="BV462" s="2" t="s">
        <v>5</v>
      </c>
      <c r="BW462" s="2" t="s">
        <v>5</v>
      </c>
      <c r="BX462" s="2" t="s">
        <v>5</v>
      </c>
      <c r="BY462" s="25" t="s">
        <v>5</v>
      </c>
      <c r="BZ462" s="25" t="s">
        <v>5</v>
      </c>
      <c r="CA462" s="6" t="s">
        <v>5</v>
      </c>
      <c r="CB462" s="6" t="s">
        <v>5</v>
      </c>
      <c r="CC462" s="6" t="s">
        <v>5</v>
      </c>
      <c r="CD462" s="6" t="s">
        <v>5</v>
      </c>
      <c r="CE462" s="6" t="s">
        <v>5</v>
      </c>
      <c r="CF462" s="16" t="s">
        <v>5</v>
      </c>
      <c r="CG462" s="16" t="s">
        <v>5</v>
      </c>
      <c r="CH462" s="18" t="s">
        <v>5</v>
      </c>
    </row>
    <row r="463" spans="2:86">
      <c r="B463" s="78" t="s">
        <v>444</v>
      </c>
      <c r="C463" s="79" t="s">
        <v>471</v>
      </c>
      <c r="D463" s="80" t="s">
        <v>471</v>
      </c>
      <c r="E463" s="1" t="s">
        <v>4</v>
      </c>
      <c r="F463" s="7">
        <v>3.75</v>
      </c>
      <c r="G463" s="7">
        <v>1.1000000000000001</v>
      </c>
      <c r="H463" s="3" t="str">
        <f t="shared" si="26"/>
        <v>ST1.5X3.75</v>
      </c>
      <c r="I463" s="7">
        <v>1.5</v>
      </c>
      <c r="J463" s="5">
        <v>1.5</v>
      </c>
      <c r="K463" s="6" t="s">
        <v>5</v>
      </c>
      <c r="L463" s="6" t="s">
        <v>5</v>
      </c>
      <c r="M463" s="6" t="s">
        <v>5</v>
      </c>
      <c r="N463" s="7">
        <v>2.5099999999999998</v>
      </c>
      <c r="O463" s="5">
        <v>2.5</v>
      </c>
      <c r="P463" s="5" t="s">
        <v>5</v>
      </c>
      <c r="Q463" s="6" t="s">
        <v>5</v>
      </c>
      <c r="R463" s="6" t="s">
        <v>5</v>
      </c>
      <c r="S463" s="22">
        <v>0.34899999999999998</v>
      </c>
      <c r="T463" s="5">
        <v>0.375</v>
      </c>
      <c r="U463" s="8">
        <v>0.1875</v>
      </c>
      <c r="V463" s="22">
        <v>0.26</v>
      </c>
      <c r="W463" s="8">
        <v>0.25</v>
      </c>
      <c r="X463" s="22">
        <v>0.26</v>
      </c>
      <c r="Y463" s="6" t="s">
        <v>5</v>
      </c>
      <c r="Z463" s="6" t="s">
        <v>5</v>
      </c>
      <c r="AA463" s="22">
        <v>0.625</v>
      </c>
      <c r="AB463" s="8">
        <v>0.625</v>
      </c>
      <c r="AC463" s="8" t="s">
        <v>5</v>
      </c>
      <c r="AD463" s="6" t="s">
        <v>5</v>
      </c>
      <c r="AE463" s="22">
        <v>0.432</v>
      </c>
      <c r="AF463" s="6" t="s">
        <v>5</v>
      </c>
      <c r="AG463" s="6" t="s">
        <v>5</v>
      </c>
      <c r="AH463" s="22">
        <v>0.219</v>
      </c>
      <c r="AI463" s="7">
        <v>4.83</v>
      </c>
      <c r="AJ463" s="6" t="s">
        <v>5</v>
      </c>
      <c r="AK463" s="6" t="s">
        <v>5</v>
      </c>
      <c r="AL463" s="6" t="s">
        <v>5</v>
      </c>
      <c r="AM463" s="6" t="s">
        <v>5</v>
      </c>
      <c r="AN463" s="7">
        <v>4.3</v>
      </c>
      <c r="AO463" s="22">
        <v>0.2</v>
      </c>
      <c r="AP463" s="22">
        <v>0.35099999999999998</v>
      </c>
      <c r="AQ463" s="22">
        <v>0.187</v>
      </c>
      <c r="AR463" s="22">
        <v>0.42599999999999999</v>
      </c>
      <c r="AS463" s="22">
        <v>0.28899999999999998</v>
      </c>
      <c r="AT463" s="22">
        <v>0.41099999999999998</v>
      </c>
      <c r="AU463" s="22">
        <v>0.23</v>
      </c>
      <c r="AV463" s="22">
        <v>0.51300000000000001</v>
      </c>
      <c r="AW463" s="6" t="s">
        <v>5</v>
      </c>
      <c r="AX463" s="6" t="s">
        <v>5</v>
      </c>
      <c r="AY463" s="6" t="s">
        <v>5</v>
      </c>
      <c r="AZ463" s="28">
        <v>4.3200000000000002E-2</v>
      </c>
      <c r="BA463" s="31">
        <v>4.96E-3</v>
      </c>
      <c r="BB463" s="6" t="s">
        <v>5</v>
      </c>
      <c r="BC463" s="6" t="s">
        <v>5</v>
      </c>
      <c r="BD463" s="6" t="s">
        <v>5</v>
      </c>
      <c r="BE463" s="6" t="s">
        <v>5</v>
      </c>
      <c r="BF463" s="6" t="s">
        <v>5</v>
      </c>
      <c r="BG463" s="6" t="s">
        <v>5</v>
      </c>
      <c r="BH463" s="6" t="s">
        <v>5</v>
      </c>
      <c r="BI463" s="22">
        <v>0.73199999999999998</v>
      </c>
      <c r="BJ463" s="22">
        <v>0.83</v>
      </c>
      <c r="BK463" s="6" t="s">
        <v>5</v>
      </c>
      <c r="BL463" s="2" t="s">
        <v>5</v>
      </c>
      <c r="BM463" s="2" t="s">
        <v>5</v>
      </c>
      <c r="BN463" s="2" t="s">
        <v>5</v>
      </c>
      <c r="BO463" s="2" t="s">
        <v>5</v>
      </c>
      <c r="BP463" s="2" t="s">
        <v>5</v>
      </c>
      <c r="BQ463" s="2" t="s">
        <v>5</v>
      </c>
      <c r="BR463" s="2" t="s">
        <v>5</v>
      </c>
      <c r="BS463" s="2" t="s">
        <v>5</v>
      </c>
      <c r="BT463" s="2" t="s">
        <v>5</v>
      </c>
      <c r="BU463" s="2" t="s">
        <v>5</v>
      </c>
      <c r="BV463" s="2" t="s">
        <v>5</v>
      </c>
      <c r="BW463" s="2" t="s">
        <v>5</v>
      </c>
      <c r="BX463" s="2" t="s">
        <v>5</v>
      </c>
      <c r="BY463" s="25" t="s">
        <v>5</v>
      </c>
      <c r="BZ463" s="25" t="s">
        <v>5</v>
      </c>
      <c r="CA463" s="6" t="s">
        <v>5</v>
      </c>
      <c r="CB463" s="6" t="s">
        <v>5</v>
      </c>
      <c r="CC463" s="6" t="s">
        <v>5</v>
      </c>
      <c r="CD463" s="6" t="s">
        <v>5</v>
      </c>
      <c r="CE463" s="6" t="s">
        <v>5</v>
      </c>
      <c r="CF463" s="16" t="s">
        <v>5</v>
      </c>
      <c r="CG463" s="16" t="s">
        <v>5</v>
      </c>
      <c r="CH463" s="18" t="s">
        <v>5</v>
      </c>
    </row>
    <row r="464" spans="2:86">
      <c r="B464" s="78" t="s">
        <v>444</v>
      </c>
      <c r="C464" s="79" t="s">
        <v>472</v>
      </c>
      <c r="D464" s="80" t="s">
        <v>472</v>
      </c>
      <c r="E464" s="1" t="s">
        <v>4</v>
      </c>
      <c r="F464" s="7">
        <v>2.85</v>
      </c>
      <c r="G464" s="22">
        <v>0.83</v>
      </c>
      <c r="H464" s="3" t="str">
        <f t="shared" si="26"/>
        <v>ST1.5X2.85</v>
      </c>
      <c r="I464" s="7">
        <v>1.5</v>
      </c>
      <c r="J464" s="5">
        <v>1.5</v>
      </c>
      <c r="K464" s="6" t="s">
        <v>5</v>
      </c>
      <c r="L464" s="6" t="s">
        <v>5</v>
      </c>
      <c r="M464" s="6" t="s">
        <v>5</v>
      </c>
      <c r="N464" s="7">
        <v>2.33</v>
      </c>
      <c r="O464" s="5">
        <v>2.375</v>
      </c>
      <c r="P464" s="5" t="s">
        <v>5</v>
      </c>
      <c r="Q464" s="6" t="s">
        <v>5</v>
      </c>
      <c r="R464" s="6" t="s">
        <v>5</v>
      </c>
      <c r="S464" s="22">
        <v>0.17</v>
      </c>
      <c r="T464" s="5">
        <v>0.1875</v>
      </c>
      <c r="U464" s="8">
        <v>0.125</v>
      </c>
      <c r="V464" s="22">
        <v>0.26</v>
      </c>
      <c r="W464" s="8">
        <v>0.25</v>
      </c>
      <c r="X464" s="22">
        <v>0.26</v>
      </c>
      <c r="Y464" s="6" t="s">
        <v>5</v>
      </c>
      <c r="Z464" s="6" t="s">
        <v>5</v>
      </c>
      <c r="AA464" s="22">
        <v>0.625</v>
      </c>
      <c r="AB464" s="8">
        <v>0.625</v>
      </c>
      <c r="AC464" s="8" t="s">
        <v>5</v>
      </c>
      <c r="AD464" s="6" t="s">
        <v>5</v>
      </c>
      <c r="AE464" s="22">
        <v>0.32900000000000001</v>
      </c>
      <c r="AF464" s="6" t="s">
        <v>5</v>
      </c>
      <c r="AG464" s="6" t="s">
        <v>5</v>
      </c>
      <c r="AH464" s="22">
        <v>0.17100000000000001</v>
      </c>
      <c r="AI464" s="7">
        <v>4.4800000000000004</v>
      </c>
      <c r="AJ464" s="6" t="s">
        <v>5</v>
      </c>
      <c r="AK464" s="6" t="s">
        <v>5</v>
      </c>
      <c r="AL464" s="6" t="s">
        <v>5</v>
      </c>
      <c r="AM464" s="6" t="s">
        <v>5</v>
      </c>
      <c r="AN464" s="7">
        <v>8.82</v>
      </c>
      <c r="AO464" s="22">
        <v>0.114</v>
      </c>
      <c r="AP464" s="22">
        <v>0.19600000000000001</v>
      </c>
      <c r="AQ464" s="28">
        <v>9.7000000000000003E-2</v>
      </c>
      <c r="AR464" s="22">
        <v>0.37</v>
      </c>
      <c r="AS464" s="22">
        <v>0.223</v>
      </c>
      <c r="AT464" s="22">
        <v>0.32800000000000001</v>
      </c>
      <c r="AU464" s="22">
        <v>0.192</v>
      </c>
      <c r="AV464" s="22">
        <v>0.51800000000000002</v>
      </c>
      <c r="AW464" s="6" t="s">
        <v>5</v>
      </c>
      <c r="AX464" s="6" t="s">
        <v>5</v>
      </c>
      <c r="AY464" s="6" t="s">
        <v>5</v>
      </c>
      <c r="AZ464" s="28">
        <v>2.1600000000000001E-2</v>
      </c>
      <c r="BA464" s="31">
        <v>1.89E-3</v>
      </c>
      <c r="BB464" s="6" t="s">
        <v>5</v>
      </c>
      <c r="BC464" s="6" t="s">
        <v>5</v>
      </c>
      <c r="BD464" s="6" t="s">
        <v>5</v>
      </c>
      <c r="BE464" s="6" t="s">
        <v>5</v>
      </c>
      <c r="BF464" s="6" t="s">
        <v>5</v>
      </c>
      <c r="BG464" s="6" t="s">
        <v>5</v>
      </c>
      <c r="BH464" s="6" t="s">
        <v>5</v>
      </c>
      <c r="BI464" s="22">
        <v>0.66700000000000004</v>
      </c>
      <c r="BJ464" s="22">
        <v>0.91100000000000003</v>
      </c>
      <c r="BK464" s="6" t="s">
        <v>5</v>
      </c>
      <c r="BL464" s="2" t="s">
        <v>5</v>
      </c>
      <c r="BM464" s="2" t="s">
        <v>5</v>
      </c>
      <c r="BN464" s="2" t="s">
        <v>5</v>
      </c>
      <c r="BO464" s="2" t="s">
        <v>5</v>
      </c>
      <c r="BP464" s="2" t="s">
        <v>5</v>
      </c>
      <c r="BQ464" s="2" t="s">
        <v>5</v>
      </c>
      <c r="BR464" s="2" t="s">
        <v>5</v>
      </c>
      <c r="BS464" s="2" t="s">
        <v>5</v>
      </c>
      <c r="BT464" s="2" t="s">
        <v>5</v>
      </c>
      <c r="BU464" s="2" t="s">
        <v>5</v>
      </c>
      <c r="BV464" s="2" t="s">
        <v>5</v>
      </c>
      <c r="BW464" s="2" t="s">
        <v>5</v>
      </c>
      <c r="BX464" s="2" t="s">
        <v>5</v>
      </c>
      <c r="BY464" s="25" t="s">
        <v>5</v>
      </c>
      <c r="BZ464" s="25" t="s">
        <v>5</v>
      </c>
      <c r="CA464" s="6" t="s">
        <v>5</v>
      </c>
      <c r="CB464" s="6" t="s">
        <v>5</v>
      </c>
      <c r="CC464" s="6" t="s">
        <v>5</v>
      </c>
      <c r="CD464" s="6" t="s">
        <v>5</v>
      </c>
      <c r="CE464" s="6" t="s">
        <v>5</v>
      </c>
      <c r="CF464" s="16" t="s">
        <v>5</v>
      </c>
      <c r="CG464" s="16" t="s">
        <v>5</v>
      </c>
      <c r="CH464" s="18" t="s">
        <v>5</v>
      </c>
    </row>
    <row r="465" spans="2:86">
      <c r="B465" s="78" t="s">
        <v>473</v>
      </c>
      <c r="C465" s="79" t="s">
        <v>565</v>
      </c>
      <c r="D465" s="80" t="s">
        <v>565</v>
      </c>
      <c r="E465" s="1" t="s">
        <v>4</v>
      </c>
      <c r="F465" s="2">
        <v>210</v>
      </c>
      <c r="G465" s="4">
        <v>62.2</v>
      </c>
      <c r="H465" s="3" t="str">
        <f t="shared" si="26"/>
        <v>2L12X12X1-3/8</v>
      </c>
      <c r="I465" s="4">
        <v>12</v>
      </c>
      <c r="J465" s="5" t="s">
        <v>5</v>
      </c>
      <c r="K465" s="5" t="s">
        <v>5</v>
      </c>
      <c r="L465" s="5" t="s">
        <v>5</v>
      </c>
      <c r="M465" s="5" t="s">
        <v>5</v>
      </c>
      <c r="N465" s="5" t="s">
        <v>5</v>
      </c>
      <c r="O465" s="5" t="s">
        <v>5</v>
      </c>
      <c r="P465" s="5" t="s">
        <v>5</v>
      </c>
      <c r="Q465" s="4">
        <v>12</v>
      </c>
      <c r="R465" s="5" t="s">
        <v>5</v>
      </c>
      <c r="S465" s="5" t="s">
        <v>5</v>
      </c>
      <c r="T465" s="5" t="s">
        <v>5</v>
      </c>
      <c r="U465" s="5" t="s">
        <v>5</v>
      </c>
      <c r="V465" s="5" t="s">
        <v>5</v>
      </c>
      <c r="W465" s="5" t="s">
        <v>5</v>
      </c>
      <c r="X465" s="6">
        <v>1.38</v>
      </c>
      <c r="Y465" s="5" t="s">
        <v>5</v>
      </c>
      <c r="Z465" s="5" t="s">
        <v>5</v>
      </c>
      <c r="AA465" s="5" t="s">
        <v>5</v>
      </c>
      <c r="AB465" s="5" t="s">
        <v>5</v>
      </c>
      <c r="AC465" s="5" t="s">
        <v>5</v>
      </c>
      <c r="AD465" s="5" t="s">
        <v>5</v>
      </c>
      <c r="AE465" s="7">
        <v>3.5</v>
      </c>
      <c r="AF465" s="5" t="s">
        <v>5</v>
      </c>
      <c r="AG465" s="5" t="s">
        <v>5</v>
      </c>
      <c r="AH465" s="7">
        <v>1.3</v>
      </c>
      <c r="AI465" s="5" t="s">
        <v>5</v>
      </c>
      <c r="AJ465" s="7">
        <v>8.6999999999999993</v>
      </c>
      <c r="AK465" s="5" t="s">
        <v>5</v>
      </c>
      <c r="AL465" s="5" t="s">
        <v>5</v>
      </c>
      <c r="AM465" s="5" t="s">
        <v>5</v>
      </c>
      <c r="AN465" s="5" t="s">
        <v>5</v>
      </c>
      <c r="AO465" s="2">
        <v>826</v>
      </c>
      <c r="AP465" s="2">
        <v>176</v>
      </c>
      <c r="AQ465" s="4">
        <v>97.2</v>
      </c>
      <c r="AR465" s="7">
        <v>3.64</v>
      </c>
      <c r="AS465" s="14">
        <v>1590</v>
      </c>
      <c r="AT465" s="14">
        <v>218</v>
      </c>
      <c r="AU465" s="14">
        <v>133</v>
      </c>
      <c r="AV465" s="21">
        <v>5.0599999999999996</v>
      </c>
      <c r="AW465" s="5" t="s">
        <v>5</v>
      </c>
      <c r="AX465" s="5" t="s">
        <v>5</v>
      </c>
      <c r="AY465" s="5" t="s">
        <v>5</v>
      </c>
      <c r="AZ465" s="5" t="s">
        <v>5</v>
      </c>
      <c r="BA465" s="5" t="s">
        <v>5</v>
      </c>
      <c r="BB465" s="5" t="s">
        <v>5</v>
      </c>
      <c r="BC465" s="5" t="s">
        <v>5</v>
      </c>
      <c r="BD465" s="5" t="s">
        <v>5</v>
      </c>
      <c r="BE465" s="5" t="s">
        <v>5</v>
      </c>
      <c r="BF465" s="5" t="s">
        <v>5</v>
      </c>
      <c r="BG465" s="5" t="s">
        <v>5</v>
      </c>
      <c r="BH465" s="5" t="s">
        <v>5</v>
      </c>
      <c r="BI465" s="21">
        <v>6.84</v>
      </c>
      <c r="BJ465" s="35">
        <v>0.83099999999999996</v>
      </c>
      <c r="BK465" s="5" t="s">
        <v>5</v>
      </c>
      <c r="BL465" s="5" t="s">
        <v>5</v>
      </c>
      <c r="BM465" s="5" t="s">
        <v>5</v>
      </c>
      <c r="BN465" s="5" t="s">
        <v>5</v>
      </c>
      <c r="BO465" s="5" t="s">
        <v>5</v>
      </c>
      <c r="BP465" s="5" t="s">
        <v>5</v>
      </c>
      <c r="BQ465" s="5" t="s">
        <v>5</v>
      </c>
      <c r="BR465" s="5" t="s">
        <v>5</v>
      </c>
      <c r="BS465" s="5" t="s">
        <v>5</v>
      </c>
      <c r="BT465" s="5" t="s">
        <v>5</v>
      </c>
      <c r="BU465" s="5" t="s">
        <v>5</v>
      </c>
      <c r="BV465" s="5" t="s">
        <v>5</v>
      </c>
      <c r="BW465" s="5" t="s">
        <v>5</v>
      </c>
      <c r="BX465" s="5" t="s">
        <v>5</v>
      </c>
      <c r="BY465" s="5" t="s">
        <v>5</v>
      </c>
      <c r="BZ465" s="5" t="s">
        <v>5</v>
      </c>
      <c r="CA465" s="5" t="s">
        <v>5</v>
      </c>
      <c r="CB465" s="5" t="s">
        <v>5</v>
      </c>
      <c r="CC465" s="5" t="s">
        <v>5</v>
      </c>
      <c r="CD465" s="5" t="s">
        <v>5</v>
      </c>
      <c r="CE465" s="5" t="s">
        <v>5</v>
      </c>
      <c r="CF465" s="16" t="s">
        <v>5</v>
      </c>
      <c r="CG465" s="16" t="s">
        <v>5</v>
      </c>
      <c r="CH465" s="18" t="s">
        <v>5</v>
      </c>
    </row>
    <row r="466" spans="2:86">
      <c r="B466" s="78" t="s">
        <v>473</v>
      </c>
      <c r="C466" s="79" t="s">
        <v>566</v>
      </c>
      <c r="D466" s="80" t="s">
        <v>566</v>
      </c>
      <c r="E466" s="1" t="s">
        <v>4</v>
      </c>
      <c r="F466" s="2">
        <v>210</v>
      </c>
      <c r="G466" s="4">
        <v>62.2</v>
      </c>
      <c r="H466" s="3" t="str">
        <f t="shared" si="26"/>
        <v>2L12X12X1-3/8X3/4</v>
      </c>
      <c r="I466" s="4">
        <v>12</v>
      </c>
      <c r="J466" s="5" t="s">
        <v>5</v>
      </c>
      <c r="K466" s="5" t="s">
        <v>5</v>
      </c>
      <c r="L466" s="5" t="s">
        <v>5</v>
      </c>
      <c r="M466" s="5" t="s">
        <v>5</v>
      </c>
      <c r="N466" s="5" t="s">
        <v>5</v>
      </c>
      <c r="O466" s="5" t="s">
        <v>5</v>
      </c>
      <c r="P466" s="5" t="s">
        <v>5</v>
      </c>
      <c r="Q466" s="4">
        <v>12</v>
      </c>
      <c r="R466" s="5" t="s">
        <v>5</v>
      </c>
      <c r="S466" s="5" t="s">
        <v>5</v>
      </c>
      <c r="T466" s="5" t="s">
        <v>5</v>
      </c>
      <c r="U466" s="5" t="s">
        <v>5</v>
      </c>
      <c r="V466" s="5" t="s">
        <v>5</v>
      </c>
      <c r="W466" s="5" t="s">
        <v>5</v>
      </c>
      <c r="X466" s="6">
        <v>1.38</v>
      </c>
      <c r="Y466" s="5" t="s">
        <v>5</v>
      </c>
      <c r="Z466" s="5" t="s">
        <v>5</v>
      </c>
      <c r="AA466" s="5" t="s">
        <v>5</v>
      </c>
      <c r="AB466" s="5" t="s">
        <v>5</v>
      </c>
      <c r="AC466" s="5" t="s">
        <v>5</v>
      </c>
      <c r="AD466" s="5" t="s">
        <v>5</v>
      </c>
      <c r="AE466" s="7">
        <v>3.5</v>
      </c>
      <c r="AF466" s="5" t="s">
        <v>5</v>
      </c>
      <c r="AG466" s="5" t="s">
        <v>5</v>
      </c>
      <c r="AH466" s="7">
        <v>1.3</v>
      </c>
      <c r="AI466" s="5" t="s">
        <v>5</v>
      </c>
      <c r="AJ466" s="7">
        <v>8.6999999999999993</v>
      </c>
      <c r="AK466" s="5" t="s">
        <v>5</v>
      </c>
      <c r="AL466" s="5" t="s">
        <v>5</v>
      </c>
      <c r="AM466" s="5" t="s">
        <v>5</v>
      </c>
      <c r="AN466" s="5" t="s">
        <v>5</v>
      </c>
      <c r="AO466" s="2">
        <v>826</v>
      </c>
      <c r="AP466" s="2">
        <v>176</v>
      </c>
      <c r="AQ466" s="4">
        <v>97.2</v>
      </c>
      <c r="AR466" s="7">
        <v>3.64</v>
      </c>
      <c r="AS466" s="14">
        <v>1760</v>
      </c>
      <c r="AT466" s="14">
        <v>241</v>
      </c>
      <c r="AU466" s="14">
        <v>142</v>
      </c>
      <c r="AV466" s="21">
        <v>5.32</v>
      </c>
      <c r="AW466" s="5" t="s">
        <v>5</v>
      </c>
      <c r="AX466" s="5" t="s">
        <v>5</v>
      </c>
      <c r="AY466" s="5" t="s">
        <v>5</v>
      </c>
      <c r="AZ466" s="5" t="s">
        <v>5</v>
      </c>
      <c r="BA466" s="5" t="s">
        <v>5</v>
      </c>
      <c r="BB466" s="5" t="s">
        <v>5</v>
      </c>
      <c r="BC466" s="5" t="s">
        <v>5</v>
      </c>
      <c r="BD466" s="5" t="s">
        <v>5</v>
      </c>
      <c r="BE466" s="5" t="s">
        <v>5</v>
      </c>
      <c r="BF466" s="5" t="s">
        <v>5</v>
      </c>
      <c r="BG466" s="5" t="s">
        <v>5</v>
      </c>
      <c r="BH466" s="5" t="s">
        <v>5</v>
      </c>
      <c r="BI466" s="21">
        <v>7.03</v>
      </c>
      <c r="BJ466" s="35">
        <v>0.84</v>
      </c>
      <c r="BK466" s="5" t="s">
        <v>5</v>
      </c>
      <c r="BL466" s="5" t="s">
        <v>5</v>
      </c>
      <c r="BM466" s="5" t="s">
        <v>5</v>
      </c>
      <c r="BN466" s="5" t="s">
        <v>5</v>
      </c>
      <c r="BO466" s="5" t="s">
        <v>5</v>
      </c>
      <c r="BP466" s="5" t="s">
        <v>5</v>
      </c>
      <c r="BQ466" s="5" t="s">
        <v>5</v>
      </c>
      <c r="BR466" s="5" t="s">
        <v>5</v>
      </c>
      <c r="BS466" s="5" t="s">
        <v>5</v>
      </c>
      <c r="BT466" s="5" t="s">
        <v>5</v>
      </c>
      <c r="BU466" s="5" t="s">
        <v>5</v>
      </c>
      <c r="BV466" s="5" t="s">
        <v>5</v>
      </c>
      <c r="BW466" s="5" t="s">
        <v>5</v>
      </c>
      <c r="BX466" s="5" t="s">
        <v>5</v>
      </c>
      <c r="BY466" s="5" t="s">
        <v>5</v>
      </c>
      <c r="BZ466" s="5" t="s">
        <v>5</v>
      </c>
      <c r="CA466" s="5" t="s">
        <v>5</v>
      </c>
      <c r="CB466" s="5" t="s">
        <v>5</v>
      </c>
      <c r="CC466" s="5" t="s">
        <v>5</v>
      </c>
      <c r="CD466" s="5" t="s">
        <v>5</v>
      </c>
      <c r="CE466" s="5" t="s">
        <v>5</v>
      </c>
      <c r="CF466" s="16" t="s">
        <v>5</v>
      </c>
      <c r="CG466" s="16" t="s">
        <v>5</v>
      </c>
      <c r="CH466" s="18" t="s">
        <v>5</v>
      </c>
    </row>
    <row r="467" spans="2:86">
      <c r="B467" s="78" t="s">
        <v>473</v>
      </c>
      <c r="C467" s="79" t="s">
        <v>567</v>
      </c>
      <c r="D467" s="80" t="s">
        <v>567</v>
      </c>
      <c r="E467" s="1" t="s">
        <v>4</v>
      </c>
      <c r="F467" s="2">
        <v>210</v>
      </c>
      <c r="G467" s="4">
        <v>62.2</v>
      </c>
      <c r="H467" s="3" t="str">
        <f t="shared" si="26"/>
        <v>2L12X12X1-3/8X1-1/2</v>
      </c>
      <c r="I467" s="4">
        <v>12</v>
      </c>
      <c r="J467" s="5" t="s">
        <v>5</v>
      </c>
      <c r="K467" s="5" t="s">
        <v>5</v>
      </c>
      <c r="L467" s="5" t="s">
        <v>5</v>
      </c>
      <c r="M467" s="5" t="s">
        <v>5</v>
      </c>
      <c r="N467" s="5" t="s">
        <v>5</v>
      </c>
      <c r="O467" s="5" t="s">
        <v>5</v>
      </c>
      <c r="P467" s="5" t="s">
        <v>5</v>
      </c>
      <c r="Q467" s="4">
        <v>12</v>
      </c>
      <c r="R467" s="5" t="s">
        <v>5</v>
      </c>
      <c r="S467" s="5" t="s">
        <v>5</v>
      </c>
      <c r="T467" s="5" t="s">
        <v>5</v>
      </c>
      <c r="U467" s="5" t="s">
        <v>5</v>
      </c>
      <c r="V467" s="5" t="s">
        <v>5</v>
      </c>
      <c r="W467" s="5" t="s">
        <v>5</v>
      </c>
      <c r="X467" s="6">
        <v>1.38</v>
      </c>
      <c r="Y467" s="5" t="s">
        <v>5</v>
      </c>
      <c r="Z467" s="5" t="s">
        <v>5</v>
      </c>
      <c r="AA467" s="5" t="s">
        <v>5</v>
      </c>
      <c r="AB467" s="5" t="s">
        <v>5</v>
      </c>
      <c r="AC467" s="5" t="s">
        <v>5</v>
      </c>
      <c r="AD467" s="5" t="s">
        <v>5</v>
      </c>
      <c r="AE467" s="7">
        <v>3.5</v>
      </c>
      <c r="AF467" s="5" t="s">
        <v>5</v>
      </c>
      <c r="AG467" s="5" t="s">
        <v>5</v>
      </c>
      <c r="AH467" s="7">
        <v>1.3</v>
      </c>
      <c r="AI467" s="5" t="s">
        <v>5</v>
      </c>
      <c r="AJ467" s="7">
        <v>8.6999999999999993</v>
      </c>
      <c r="AK467" s="5" t="s">
        <v>5</v>
      </c>
      <c r="AL467" s="5" t="s">
        <v>5</v>
      </c>
      <c r="AM467" s="5" t="s">
        <v>5</v>
      </c>
      <c r="AN467" s="5" t="s">
        <v>5</v>
      </c>
      <c r="AO467" s="2">
        <v>826</v>
      </c>
      <c r="AP467" s="2">
        <v>176</v>
      </c>
      <c r="AQ467" s="4">
        <v>97.2</v>
      </c>
      <c r="AR467" s="7">
        <v>3.64</v>
      </c>
      <c r="AS467" s="14">
        <v>1950</v>
      </c>
      <c r="AT467" s="14">
        <v>264</v>
      </c>
      <c r="AU467" s="14">
        <v>153</v>
      </c>
      <c r="AV467" s="21">
        <v>5.6</v>
      </c>
      <c r="AW467" s="5" t="s">
        <v>5</v>
      </c>
      <c r="AX467" s="5" t="s">
        <v>5</v>
      </c>
      <c r="AY467" s="5" t="s">
        <v>5</v>
      </c>
      <c r="AZ467" s="5" t="s">
        <v>5</v>
      </c>
      <c r="BA467" s="5" t="s">
        <v>5</v>
      </c>
      <c r="BB467" s="5" t="s">
        <v>5</v>
      </c>
      <c r="BC467" s="5" t="s">
        <v>5</v>
      </c>
      <c r="BD467" s="5" t="s">
        <v>5</v>
      </c>
      <c r="BE467" s="5" t="s">
        <v>5</v>
      </c>
      <c r="BF467" s="5" t="s">
        <v>5</v>
      </c>
      <c r="BG467" s="5" t="s">
        <v>5</v>
      </c>
      <c r="BH467" s="5" t="s">
        <v>5</v>
      </c>
      <c r="BI467" s="21">
        <v>7.25</v>
      </c>
      <c r="BJ467" s="35">
        <v>0.85</v>
      </c>
      <c r="BK467" s="5" t="s">
        <v>5</v>
      </c>
      <c r="BL467" s="5" t="s">
        <v>5</v>
      </c>
      <c r="BM467" s="5" t="s">
        <v>5</v>
      </c>
      <c r="BN467" s="5" t="s">
        <v>5</v>
      </c>
      <c r="BO467" s="5" t="s">
        <v>5</v>
      </c>
      <c r="BP467" s="5" t="s">
        <v>5</v>
      </c>
      <c r="BQ467" s="5" t="s">
        <v>5</v>
      </c>
      <c r="BR467" s="5" t="s">
        <v>5</v>
      </c>
      <c r="BS467" s="5" t="s">
        <v>5</v>
      </c>
      <c r="BT467" s="5" t="s">
        <v>5</v>
      </c>
      <c r="BU467" s="5" t="s">
        <v>5</v>
      </c>
      <c r="BV467" s="5" t="s">
        <v>5</v>
      </c>
      <c r="BW467" s="5" t="s">
        <v>5</v>
      </c>
      <c r="BX467" s="5" t="s">
        <v>5</v>
      </c>
      <c r="BY467" s="5" t="s">
        <v>5</v>
      </c>
      <c r="BZ467" s="5" t="s">
        <v>5</v>
      </c>
      <c r="CA467" s="5" t="s">
        <v>5</v>
      </c>
      <c r="CB467" s="5" t="s">
        <v>5</v>
      </c>
      <c r="CC467" s="5" t="s">
        <v>5</v>
      </c>
      <c r="CD467" s="5" t="s">
        <v>5</v>
      </c>
      <c r="CE467" s="5" t="s">
        <v>5</v>
      </c>
      <c r="CF467" s="16" t="s">
        <v>5</v>
      </c>
      <c r="CG467" s="16" t="s">
        <v>5</v>
      </c>
      <c r="CH467" s="18" t="s">
        <v>5</v>
      </c>
    </row>
    <row r="468" spans="2:86">
      <c r="B468" s="78" t="s">
        <v>473</v>
      </c>
      <c r="C468" s="79" t="s">
        <v>568</v>
      </c>
      <c r="D468" s="80" t="s">
        <v>568</v>
      </c>
      <c r="E468" s="1" t="s">
        <v>4</v>
      </c>
      <c r="F468" s="14">
        <v>193</v>
      </c>
      <c r="G468" s="4">
        <v>56.8</v>
      </c>
      <c r="H468" s="3" t="str">
        <f t="shared" si="26"/>
        <v>2L12X12X1-1/4</v>
      </c>
      <c r="I468" s="4">
        <v>12</v>
      </c>
      <c r="J468" s="5" t="s">
        <v>5</v>
      </c>
      <c r="K468" s="5" t="s">
        <v>5</v>
      </c>
      <c r="L468" s="5" t="s">
        <v>5</v>
      </c>
      <c r="M468" s="5" t="s">
        <v>5</v>
      </c>
      <c r="N468" s="5" t="s">
        <v>5</v>
      </c>
      <c r="O468" s="5" t="s">
        <v>5</v>
      </c>
      <c r="P468" s="5" t="s">
        <v>5</v>
      </c>
      <c r="Q468" s="4">
        <v>12</v>
      </c>
      <c r="R468" s="5" t="s">
        <v>5</v>
      </c>
      <c r="S468" s="5" t="s">
        <v>5</v>
      </c>
      <c r="T468" s="5" t="s">
        <v>5</v>
      </c>
      <c r="U468" s="5" t="s">
        <v>5</v>
      </c>
      <c r="V468" s="5" t="s">
        <v>5</v>
      </c>
      <c r="W468" s="5" t="s">
        <v>5</v>
      </c>
      <c r="X468" s="7">
        <v>1.25</v>
      </c>
      <c r="Y468" s="5" t="s">
        <v>5</v>
      </c>
      <c r="Z468" s="5" t="s">
        <v>5</v>
      </c>
      <c r="AA468" s="5" t="s">
        <v>5</v>
      </c>
      <c r="AB468" s="5" t="s">
        <v>5</v>
      </c>
      <c r="AC468" s="5" t="s">
        <v>5</v>
      </c>
      <c r="AD468" s="5" t="s">
        <v>5</v>
      </c>
      <c r="AE468" s="7">
        <v>3.45</v>
      </c>
      <c r="AF468" s="5" t="s">
        <v>5</v>
      </c>
      <c r="AG468" s="5" t="s">
        <v>5</v>
      </c>
      <c r="AH468" s="7">
        <v>1.18</v>
      </c>
      <c r="AI468" s="5" t="s">
        <v>5</v>
      </c>
      <c r="AJ468" s="7">
        <v>9.6</v>
      </c>
      <c r="AK468" s="5" t="s">
        <v>5</v>
      </c>
      <c r="AL468" s="5" t="s">
        <v>5</v>
      </c>
      <c r="AM468" s="5" t="s">
        <v>5</v>
      </c>
      <c r="AN468" s="5" t="s">
        <v>5</v>
      </c>
      <c r="AO468" s="2">
        <v>762</v>
      </c>
      <c r="AP468" s="2">
        <v>161</v>
      </c>
      <c r="AQ468" s="4">
        <v>89.2</v>
      </c>
      <c r="AR468" s="7">
        <v>3.66</v>
      </c>
      <c r="AS468" s="14">
        <v>1440</v>
      </c>
      <c r="AT468" s="14">
        <v>196</v>
      </c>
      <c r="AU468" s="14">
        <v>120</v>
      </c>
      <c r="AV468" s="21">
        <v>5.04</v>
      </c>
      <c r="AW468" s="5" t="s">
        <v>5</v>
      </c>
      <c r="AX468" s="5" t="s">
        <v>5</v>
      </c>
      <c r="AY468" s="5" t="s">
        <v>5</v>
      </c>
      <c r="AZ468" s="5" t="s">
        <v>5</v>
      </c>
      <c r="BA468" s="5" t="s">
        <v>5</v>
      </c>
      <c r="BB468" s="5" t="s">
        <v>5</v>
      </c>
      <c r="BC468" s="5" t="s">
        <v>5</v>
      </c>
      <c r="BD468" s="5" t="s">
        <v>5</v>
      </c>
      <c r="BE468" s="5" t="s">
        <v>5</v>
      </c>
      <c r="BF468" s="5" t="s">
        <v>5</v>
      </c>
      <c r="BG468" s="5" t="s">
        <v>5</v>
      </c>
      <c r="BH468" s="5" t="s">
        <v>5</v>
      </c>
      <c r="BI468" s="21">
        <v>6.84</v>
      </c>
      <c r="BJ468" s="35">
        <v>0.82899999999999996</v>
      </c>
      <c r="BK468" s="5" t="s">
        <v>5</v>
      </c>
      <c r="BL468" s="5" t="s">
        <v>5</v>
      </c>
      <c r="BM468" s="5" t="s">
        <v>5</v>
      </c>
      <c r="BN468" s="5" t="s">
        <v>5</v>
      </c>
      <c r="BO468" s="5" t="s">
        <v>5</v>
      </c>
      <c r="BP468" s="5" t="s">
        <v>5</v>
      </c>
      <c r="BQ468" s="5" t="s">
        <v>5</v>
      </c>
      <c r="BR468" s="5" t="s">
        <v>5</v>
      </c>
      <c r="BS468" s="5" t="s">
        <v>5</v>
      </c>
      <c r="BT468" s="5" t="s">
        <v>5</v>
      </c>
      <c r="BU468" s="5" t="s">
        <v>5</v>
      </c>
      <c r="BV468" s="5" t="s">
        <v>5</v>
      </c>
      <c r="BW468" s="5" t="s">
        <v>5</v>
      </c>
      <c r="BX468" s="5" t="s">
        <v>5</v>
      </c>
      <c r="BY468" s="5" t="s">
        <v>5</v>
      </c>
      <c r="BZ468" s="5" t="s">
        <v>5</v>
      </c>
      <c r="CA468" s="5" t="s">
        <v>5</v>
      </c>
      <c r="CB468" s="5" t="s">
        <v>5</v>
      </c>
      <c r="CC468" s="5" t="s">
        <v>5</v>
      </c>
      <c r="CD468" s="5" t="s">
        <v>5</v>
      </c>
      <c r="CE468" s="5" t="s">
        <v>5</v>
      </c>
      <c r="CF468" s="16" t="s">
        <v>5</v>
      </c>
      <c r="CG468" s="16" t="s">
        <v>5</v>
      </c>
      <c r="CH468" s="18" t="s">
        <v>5</v>
      </c>
    </row>
    <row r="469" spans="2:86">
      <c r="B469" s="78" t="s">
        <v>473</v>
      </c>
      <c r="C469" s="79" t="s">
        <v>569</v>
      </c>
      <c r="D469" s="80" t="s">
        <v>569</v>
      </c>
      <c r="E469" s="1" t="s">
        <v>4</v>
      </c>
      <c r="F469" s="2">
        <v>193</v>
      </c>
      <c r="G469" s="4">
        <v>56.8</v>
      </c>
      <c r="H469" s="3" t="str">
        <f t="shared" si="26"/>
        <v>2L12X12X1-1/4X3/4</v>
      </c>
      <c r="I469" s="4">
        <v>12</v>
      </c>
      <c r="J469" s="5" t="s">
        <v>5</v>
      </c>
      <c r="K469" s="5" t="s">
        <v>5</v>
      </c>
      <c r="L469" s="5" t="s">
        <v>5</v>
      </c>
      <c r="M469" s="5" t="s">
        <v>5</v>
      </c>
      <c r="N469" s="5" t="s">
        <v>5</v>
      </c>
      <c r="O469" s="5" t="s">
        <v>5</v>
      </c>
      <c r="P469" s="5" t="s">
        <v>5</v>
      </c>
      <c r="Q469" s="4">
        <v>12</v>
      </c>
      <c r="R469" s="5" t="s">
        <v>5</v>
      </c>
      <c r="S469" s="5" t="s">
        <v>5</v>
      </c>
      <c r="T469" s="5" t="s">
        <v>5</v>
      </c>
      <c r="U469" s="5" t="s">
        <v>5</v>
      </c>
      <c r="V469" s="5" t="s">
        <v>5</v>
      </c>
      <c r="W469" s="5" t="s">
        <v>5</v>
      </c>
      <c r="X469" s="7">
        <v>1.25</v>
      </c>
      <c r="Y469" s="5" t="s">
        <v>5</v>
      </c>
      <c r="Z469" s="5" t="s">
        <v>5</v>
      </c>
      <c r="AA469" s="5" t="s">
        <v>5</v>
      </c>
      <c r="AB469" s="5" t="s">
        <v>5</v>
      </c>
      <c r="AC469" s="5" t="s">
        <v>5</v>
      </c>
      <c r="AD469" s="5" t="s">
        <v>5</v>
      </c>
      <c r="AE469" s="7">
        <v>3.45</v>
      </c>
      <c r="AF469" s="5" t="s">
        <v>5</v>
      </c>
      <c r="AG469" s="5" t="s">
        <v>5</v>
      </c>
      <c r="AH469" s="7">
        <v>1.18</v>
      </c>
      <c r="AI469" s="5" t="s">
        <v>5</v>
      </c>
      <c r="AJ469" s="7">
        <v>9.6</v>
      </c>
      <c r="AK469" s="5" t="s">
        <v>5</v>
      </c>
      <c r="AL469" s="5" t="s">
        <v>5</v>
      </c>
      <c r="AM469" s="5" t="s">
        <v>5</v>
      </c>
      <c r="AN469" s="5" t="s">
        <v>5</v>
      </c>
      <c r="AO469" s="2">
        <v>762</v>
      </c>
      <c r="AP469" s="2">
        <v>161</v>
      </c>
      <c r="AQ469" s="4">
        <v>89.2</v>
      </c>
      <c r="AR469" s="7">
        <v>3.66</v>
      </c>
      <c r="AS469" s="14">
        <v>1590</v>
      </c>
      <c r="AT469" s="14">
        <v>217</v>
      </c>
      <c r="AU469" s="14">
        <v>128</v>
      </c>
      <c r="AV469" s="21">
        <v>5.29</v>
      </c>
      <c r="AW469" s="5" t="s">
        <v>5</v>
      </c>
      <c r="AX469" s="5" t="s">
        <v>5</v>
      </c>
      <c r="AY469" s="5" t="s">
        <v>5</v>
      </c>
      <c r="AZ469" s="5" t="s">
        <v>5</v>
      </c>
      <c r="BA469" s="5" t="s">
        <v>5</v>
      </c>
      <c r="BB469" s="5" t="s">
        <v>5</v>
      </c>
      <c r="BC469" s="5" t="s">
        <v>5</v>
      </c>
      <c r="BD469" s="5" t="s">
        <v>5</v>
      </c>
      <c r="BE469" s="5" t="s">
        <v>5</v>
      </c>
      <c r="BF469" s="5" t="s">
        <v>5</v>
      </c>
      <c r="BG469" s="5" t="s">
        <v>5</v>
      </c>
      <c r="BH469" s="5" t="s">
        <v>5</v>
      </c>
      <c r="BI469" s="21">
        <v>7.03</v>
      </c>
      <c r="BJ469" s="35">
        <v>0.83899999999999997</v>
      </c>
      <c r="BK469" s="5" t="s">
        <v>5</v>
      </c>
      <c r="BL469" s="5" t="s">
        <v>5</v>
      </c>
      <c r="BM469" s="5" t="s">
        <v>5</v>
      </c>
      <c r="BN469" s="5" t="s">
        <v>5</v>
      </c>
      <c r="BO469" s="5" t="s">
        <v>5</v>
      </c>
      <c r="BP469" s="5" t="s">
        <v>5</v>
      </c>
      <c r="BQ469" s="5" t="s">
        <v>5</v>
      </c>
      <c r="BR469" s="5" t="s">
        <v>5</v>
      </c>
      <c r="BS469" s="5" t="s">
        <v>5</v>
      </c>
      <c r="BT469" s="5" t="s">
        <v>5</v>
      </c>
      <c r="BU469" s="5" t="s">
        <v>5</v>
      </c>
      <c r="BV469" s="5" t="s">
        <v>5</v>
      </c>
      <c r="BW469" s="5" t="s">
        <v>5</v>
      </c>
      <c r="BX469" s="5" t="s">
        <v>5</v>
      </c>
      <c r="BY469" s="5" t="s">
        <v>5</v>
      </c>
      <c r="BZ469" s="5" t="s">
        <v>5</v>
      </c>
      <c r="CA469" s="5" t="s">
        <v>5</v>
      </c>
      <c r="CB469" s="5" t="s">
        <v>5</v>
      </c>
      <c r="CC469" s="5" t="s">
        <v>5</v>
      </c>
      <c r="CD469" s="5" t="s">
        <v>5</v>
      </c>
      <c r="CE469" s="5" t="s">
        <v>5</v>
      </c>
      <c r="CF469" s="16" t="s">
        <v>5</v>
      </c>
      <c r="CG469" s="16" t="s">
        <v>5</v>
      </c>
      <c r="CH469" s="18" t="s">
        <v>5</v>
      </c>
    </row>
    <row r="470" spans="2:86">
      <c r="B470" s="78" t="s">
        <v>473</v>
      </c>
      <c r="C470" s="79" t="s">
        <v>570</v>
      </c>
      <c r="D470" s="80" t="s">
        <v>570</v>
      </c>
      <c r="E470" s="1" t="s">
        <v>4</v>
      </c>
      <c r="F470" s="2">
        <v>193</v>
      </c>
      <c r="G470" s="4">
        <v>56.8</v>
      </c>
      <c r="H470" s="3" t="str">
        <f t="shared" si="26"/>
        <v>2L12X12X1-1/4X1-1/2</v>
      </c>
      <c r="I470" s="4">
        <v>12</v>
      </c>
      <c r="J470" s="5" t="s">
        <v>5</v>
      </c>
      <c r="K470" s="5" t="s">
        <v>5</v>
      </c>
      <c r="L470" s="5" t="s">
        <v>5</v>
      </c>
      <c r="M470" s="5" t="s">
        <v>5</v>
      </c>
      <c r="N470" s="5" t="s">
        <v>5</v>
      </c>
      <c r="O470" s="5" t="s">
        <v>5</v>
      </c>
      <c r="P470" s="5" t="s">
        <v>5</v>
      </c>
      <c r="Q470" s="4">
        <v>12</v>
      </c>
      <c r="R470" s="5" t="s">
        <v>5</v>
      </c>
      <c r="S470" s="5" t="s">
        <v>5</v>
      </c>
      <c r="T470" s="5" t="s">
        <v>5</v>
      </c>
      <c r="U470" s="5" t="s">
        <v>5</v>
      </c>
      <c r="V470" s="5" t="s">
        <v>5</v>
      </c>
      <c r="W470" s="5" t="s">
        <v>5</v>
      </c>
      <c r="X470" s="7">
        <v>1.25</v>
      </c>
      <c r="Y470" s="5" t="s">
        <v>5</v>
      </c>
      <c r="Z470" s="5" t="s">
        <v>5</v>
      </c>
      <c r="AA470" s="5" t="s">
        <v>5</v>
      </c>
      <c r="AB470" s="5" t="s">
        <v>5</v>
      </c>
      <c r="AC470" s="5" t="s">
        <v>5</v>
      </c>
      <c r="AD470" s="5" t="s">
        <v>5</v>
      </c>
      <c r="AE470" s="7">
        <v>3.45</v>
      </c>
      <c r="AF470" s="5" t="s">
        <v>5</v>
      </c>
      <c r="AG470" s="5" t="s">
        <v>5</v>
      </c>
      <c r="AH470" s="7">
        <v>1.18</v>
      </c>
      <c r="AI470" s="5" t="s">
        <v>5</v>
      </c>
      <c r="AJ470" s="7">
        <v>9.6</v>
      </c>
      <c r="AK470" s="5" t="s">
        <v>5</v>
      </c>
      <c r="AL470" s="5" t="s">
        <v>5</v>
      </c>
      <c r="AM470" s="5" t="s">
        <v>5</v>
      </c>
      <c r="AN470" s="5" t="s">
        <v>5</v>
      </c>
      <c r="AO470" s="2">
        <v>762</v>
      </c>
      <c r="AP470" s="2">
        <v>161</v>
      </c>
      <c r="AQ470" s="4">
        <v>89.2</v>
      </c>
      <c r="AR470" s="7">
        <v>3.66</v>
      </c>
      <c r="AS470" s="14">
        <v>1760</v>
      </c>
      <c r="AT470" s="14">
        <v>239</v>
      </c>
      <c r="AU470" s="14">
        <v>138</v>
      </c>
      <c r="AV470" s="21">
        <v>5.57</v>
      </c>
      <c r="AW470" s="5" t="s">
        <v>5</v>
      </c>
      <c r="AX470" s="5" t="s">
        <v>5</v>
      </c>
      <c r="AY470" s="5" t="s">
        <v>5</v>
      </c>
      <c r="AZ470" s="5" t="s">
        <v>5</v>
      </c>
      <c r="BA470" s="5" t="s">
        <v>5</v>
      </c>
      <c r="BB470" s="5" t="s">
        <v>5</v>
      </c>
      <c r="BC470" s="5" t="s">
        <v>5</v>
      </c>
      <c r="BD470" s="5" t="s">
        <v>5</v>
      </c>
      <c r="BE470" s="5" t="s">
        <v>5</v>
      </c>
      <c r="BF470" s="5" t="s">
        <v>5</v>
      </c>
      <c r="BG470" s="5" t="s">
        <v>5</v>
      </c>
      <c r="BH470" s="5" t="s">
        <v>5</v>
      </c>
      <c r="BI470" s="21">
        <v>7.24</v>
      </c>
      <c r="BJ470" s="35">
        <v>0.84799999999999998</v>
      </c>
      <c r="BK470" s="5" t="s">
        <v>5</v>
      </c>
      <c r="BL470" s="5" t="s">
        <v>5</v>
      </c>
      <c r="BM470" s="5" t="s">
        <v>5</v>
      </c>
      <c r="BN470" s="5" t="s">
        <v>5</v>
      </c>
      <c r="BO470" s="5" t="s">
        <v>5</v>
      </c>
      <c r="BP470" s="5" t="s">
        <v>5</v>
      </c>
      <c r="BQ470" s="5" t="s">
        <v>5</v>
      </c>
      <c r="BR470" s="5" t="s">
        <v>5</v>
      </c>
      <c r="BS470" s="5" t="s">
        <v>5</v>
      </c>
      <c r="BT470" s="5" t="s">
        <v>5</v>
      </c>
      <c r="BU470" s="5" t="s">
        <v>5</v>
      </c>
      <c r="BV470" s="5" t="s">
        <v>5</v>
      </c>
      <c r="BW470" s="5" t="s">
        <v>5</v>
      </c>
      <c r="BX470" s="5" t="s">
        <v>5</v>
      </c>
      <c r="BY470" s="5" t="s">
        <v>5</v>
      </c>
      <c r="BZ470" s="5" t="s">
        <v>5</v>
      </c>
      <c r="CA470" s="5" t="s">
        <v>5</v>
      </c>
      <c r="CB470" s="5" t="s">
        <v>5</v>
      </c>
      <c r="CC470" s="5" t="s">
        <v>5</v>
      </c>
      <c r="CD470" s="5" t="s">
        <v>5</v>
      </c>
      <c r="CE470" s="5" t="s">
        <v>5</v>
      </c>
      <c r="CF470" s="16" t="s">
        <v>5</v>
      </c>
      <c r="CG470" s="16" t="s">
        <v>5</v>
      </c>
      <c r="CH470" s="18" t="s">
        <v>5</v>
      </c>
    </row>
    <row r="471" spans="2:86">
      <c r="B471" s="78" t="s">
        <v>473</v>
      </c>
      <c r="C471" s="79" t="s">
        <v>571</v>
      </c>
      <c r="D471" s="80" t="s">
        <v>571</v>
      </c>
      <c r="E471" s="1" t="s">
        <v>4</v>
      </c>
      <c r="F471" s="14">
        <v>174</v>
      </c>
      <c r="G471" s="4">
        <v>51.6</v>
      </c>
      <c r="H471" s="3" t="str">
        <f t="shared" si="26"/>
        <v>2L12X12X1-1/8</v>
      </c>
      <c r="I471" s="4">
        <v>12</v>
      </c>
      <c r="J471" s="5" t="s">
        <v>5</v>
      </c>
      <c r="K471" s="5" t="s">
        <v>5</v>
      </c>
      <c r="L471" s="5" t="s">
        <v>5</v>
      </c>
      <c r="M471" s="5" t="s">
        <v>5</v>
      </c>
      <c r="N471" s="5" t="s">
        <v>5</v>
      </c>
      <c r="O471" s="5" t="s">
        <v>5</v>
      </c>
      <c r="P471" s="5" t="s">
        <v>5</v>
      </c>
      <c r="Q471" s="4">
        <v>12</v>
      </c>
      <c r="R471" s="5" t="s">
        <v>5</v>
      </c>
      <c r="S471" s="5" t="s">
        <v>5</v>
      </c>
      <c r="T471" s="5" t="s">
        <v>5</v>
      </c>
      <c r="U471" s="5" t="s">
        <v>5</v>
      </c>
      <c r="V471" s="5" t="s">
        <v>5</v>
      </c>
      <c r="W471" s="5" t="s">
        <v>5</v>
      </c>
      <c r="X471" s="6">
        <v>1.1299999999999999</v>
      </c>
      <c r="Y471" s="5" t="s">
        <v>5</v>
      </c>
      <c r="Z471" s="5" t="s">
        <v>5</v>
      </c>
      <c r="AA471" s="5" t="s">
        <v>5</v>
      </c>
      <c r="AB471" s="5" t="s">
        <v>5</v>
      </c>
      <c r="AC471" s="5" t="s">
        <v>5</v>
      </c>
      <c r="AD471" s="5" t="s">
        <v>5</v>
      </c>
      <c r="AE471" s="7">
        <v>3.41</v>
      </c>
      <c r="AF471" s="5" t="s">
        <v>5</v>
      </c>
      <c r="AG471" s="5" t="s">
        <v>5</v>
      </c>
      <c r="AH471" s="7">
        <v>1.08</v>
      </c>
      <c r="AI471" s="5" t="s">
        <v>5</v>
      </c>
      <c r="AJ471" s="4">
        <v>10.6</v>
      </c>
      <c r="AK471" s="5" t="s">
        <v>5</v>
      </c>
      <c r="AL471" s="5" t="s">
        <v>5</v>
      </c>
      <c r="AM471" s="5" t="s">
        <v>5</v>
      </c>
      <c r="AN471" s="5" t="s">
        <v>5</v>
      </c>
      <c r="AO471" s="2">
        <v>700</v>
      </c>
      <c r="AP471" s="2">
        <v>147</v>
      </c>
      <c r="AQ471" s="4">
        <v>81.400000000000006</v>
      </c>
      <c r="AR471" s="7">
        <v>3.68</v>
      </c>
      <c r="AS471" s="14">
        <v>1300</v>
      </c>
      <c r="AT471" s="14">
        <v>176</v>
      </c>
      <c r="AU471" s="14">
        <v>108</v>
      </c>
      <c r="AV471" s="21">
        <v>5.0199999999999996</v>
      </c>
      <c r="AW471" s="5" t="s">
        <v>5</v>
      </c>
      <c r="AX471" s="5" t="s">
        <v>5</v>
      </c>
      <c r="AY471" s="5" t="s">
        <v>5</v>
      </c>
      <c r="AZ471" s="5" t="s">
        <v>5</v>
      </c>
      <c r="BA471" s="5" t="s">
        <v>5</v>
      </c>
      <c r="BB471" s="5" t="s">
        <v>5</v>
      </c>
      <c r="BC471" s="5" t="s">
        <v>5</v>
      </c>
      <c r="BD471" s="5" t="s">
        <v>5</v>
      </c>
      <c r="BE471" s="5" t="s">
        <v>5</v>
      </c>
      <c r="BF471" s="5" t="s">
        <v>5</v>
      </c>
      <c r="BG471" s="5" t="s">
        <v>5</v>
      </c>
      <c r="BH471" s="5" t="s">
        <v>5</v>
      </c>
      <c r="BI471" s="21">
        <v>6.85</v>
      </c>
      <c r="BJ471" s="35">
        <v>0.82699999999999996</v>
      </c>
      <c r="BK471" s="5" t="s">
        <v>5</v>
      </c>
      <c r="BL471" s="5" t="s">
        <v>5</v>
      </c>
      <c r="BM471" s="5" t="s">
        <v>5</v>
      </c>
      <c r="BN471" s="5" t="s">
        <v>5</v>
      </c>
      <c r="BO471" s="5" t="s">
        <v>5</v>
      </c>
      <c r="BP471" s="5" t="s">
        <v>5</v>
      </c>
      <c r="BQ471" s="5" t="s">
        <v>5</v>
      </c>
      <c r="BR471" s="5" t="s">
        <v>5</v>
      </c>
      <c r="BS471" s="5" t="s">
        <v>5</v>
      </c>
      <c r="BT471" s="5" t="s">
        <v>5</v>
      </c>
      <c r="BU471" s="5" t="s">
        <v>5</v>
      </c>
      <c r="BV471" s="5" t="s">
        <v>5</v>
      </c>
      <c r="BW471" s="5" t="s">
        <v>5</v>
      </c>
      <c r="BX471" s="5" t="s">
        <v>5</v>
      </c>
      <c r="BY471" s="5" t="s">
        <v>5</v>
      </c>
      <c r="BZ471" s="5" t="s">
        <v>5</v>
      </c>
      <c r="CA471" s="5" t="s">
        <v>5</v>
      </c>
      <c r="CB471" s="5" t="s">
        <v>5</v>
      </c>
      <c r="CC471" s="5" t="s">
        <v>5</v>
      </c>
      <c r="CD471" s="5" t="s">
        <v>5</v>
      </c>
      <c r="CE471" s="5" t="s">
        <v>5</v>
      </c>
      <c r="CF471" s="16" t="s">
        <v>5</v>
      </c>
      <c r="CG471" s="16" t="s">
        <v>5</v>
      </c>
      <c r="CH471" s="18" t="s">
        <v>5</v>
      </c>
    </row>
    <row r="472" spans="2:86">
      <c r="B472" s="78" t="s">
        <v>473</v>
      </c>
      <c r="C472" s="79" t="s">
        <v>572</v>
      </c>
      <c r="D472" s="80" t="s">
        <v>572</v>
      </c>
      <c r="E472" s="1" t="s">
        <v>4</v>
      </c>
      <c r="F472" s="2">
        <v>174</v>
      </c>
      <c r="G472" s="4">
        <v>51.6</v>
      </c>
      <c r="H472" s="3" t="str">
        <f t="shared" si="26"/>
        <v>2L12X12X1-1/8X3/4</v>
      </c>
      <c r="I472" s="4">
        <v>12</v>
      </c>
      <c r="J472" s="5" t="s">
        <v>5</v>
      </c>
      <c r="K472" s="5" t="s">
        <v>5</v>
      </c>
      <c r="L472" s="5" t="s">
        <v>5</v>
      </c>
      <c r="M472" s="5" t="s">
        <v>5</v>
      </c>
      <c r="N472" s="5" t="s">
        <v>5</v>
      </c>
      <c r="O472" s="5" t="s">
        <v>5</v>
      </c>
      <c r="P472" s="5" t="s">
        <v>5</v>
      </c>
      <c r="Q472" s="4">
        <v>12</v>
      </c>
      <c r="R472" s="5" t="s">
        <v>5</v>
      </c>
      <c r="S472" s="5" t="s">
        <v>5</v>
      </c>
      <c r="T472" s="5" t="s">
        <v>5</v>
      </c>
      <c r="U472" s="5" t="s">
        <v>5</v>
      </c>
      <c r="V472" s="5" t="s">
        <v>5</v>
      </c>
      <c r="W472" s="5" t="s">
        <v>5</v>
      </c>
      <c r="X472" s="6">
        <v>1.1299999999999999</v>
      </c>
      <c r="Y472" s="5" t="s">
        <v>5</v>
      </c>
      <c r="Z472" s="5" t="s">
        <v>5</v>
      </c>
      <c r="AA472" s="5" t="s">
        <v>5</v>
      </c>
      <c r="AB472" s="5" t="s">
        <v>5</v>
      </c>
      <c r="AC472" s="5" t="s">
        <v>5</v>
      </c>
      <c r="AD472" s="5" t="s">
        <v>5</v>
      </c>
      <c r="AE472" s="7">
        <v>3.41</v>
      </c>
      <c r="AF472" s="5" t="s">
        <v>5</v>
      </c>
      <c r="AG472" s="5" t="s">
        <v>5</v>
      </c>
      <c r="AH472" s="7">
        <v>1.08</v>
      </c>
      <c r="AI472" s="5" t="s">
        <v>5</v>
      </c>
      <c r="AJ472" s="4">
        <v>10.6</v>
      </c>
      <c r="AK472" s="5" t="s">
        <v>5</v>
      </c>
      <c r="AL472" s="5" t="s">
        <v>5</v>
      </c>
      <c r="AM472" s="5" t="s">
        <v>5</v>
      </c>
      <c r="AN472" s="5" t="s">
        <v>5</v>
      </c>
      <c r="AO472" s="2">
        <v>700</v>
      </c>
      <c r="AP472" s="2">
        <v>147</v>
      </c>
      <c r="AQ472" s="4">
        <v>81.400000000000006</v>
      </c>
      <c r="AR472" s="7">
        <v>3.68</v>
      </c>
      <c r="AS472" s="14">
        <v>1440</v>
      </c>
      <c r="AT472" s="14">
        <v>195</v>
      </c>
      <c r="AU472" s="14">
        <v>116</v>
      </c>
      <c r="AV472" s="21">
        <v>5.28</v>
      </c>
      <c r="AW472" s="5" t="s">
        <v>5</v>
      </c>
      <c r="AX472" s="5" t="s">
        <v>5</v>
      </c>
      <c r="AY472" s="5" t="s">
        <v>5</v>
      </c>
      <c r="AZ472" s="5" t="s">
        <v>5</v>
      </c>
      <c r="BA472" s="5" t="s">
        <v>5</v>
      </c>
      <c r="BB472" s="5" t="s">
        <v>5</v>
      </c>
      <c r="BC472" s="5" t="s">
        <v>5</v>
      </c>
      <c r="BD472" s="5" t="s">
        <v>5</v>
      </c>
      <c r="BE472" s="5" t="s">
        <v>5</v>
      </c>
      <c r="BF472" s="5" t="s">
        <v>5</v>
      </c>
      <c r="BG472" s="5" t="s">
        <v>5</v>
      </c>
      <c r="BH472" s="5" t="s">
        <v>5</v>
      </c>
      <c r="BI472" s="21">
        <v>7.04</v>
      </c>
      <c r="BJ472" s="35">
        <v>0.83699999999999997</v>
      </c>
      <c r="BK472" s="5" t="s">
        <v>5</v>
      </c>
      <c r="BL472" s="5" t="s">
        <v>5</v>
      </c>
      <c r="BM472" s="5" t="s">
        <v>5</v>
      </c>
      <c r="BN472" s="5" t="s">
        <v>5</v>
      </c>
      <c r="BO472" s="5" t="s">
        <v>5</v>
      </c>
      <c r="BP472" s="5" t="s">
        <v>5</v>
      </c>
      <c r="BQ472" s="5" t="s">
        <v>5</v>
      </c>
      <c r="BR472" s="5" t="s">
        <v>5</v>
      </c>
      <c r="BS472" s="5" t="s">
        <v>5</v>
      </c>
      <c r="BT472" s="5" t="s">
        <v>5</v>
      </c>
      <c r="BU472" s="5" t="s">
        <v>5</v>
      </c>
      <c r="BV472" s="5" t="s">
        <v>5</v>
      </c>
      <c r="BW472" s="5" t="s">
        <v>5</v>
      </c>
      <c r="BX472" s="5" t="s">
        <v>5</v>
      </c>
      <c r="BY472" s="5" t="s">
        <v>5</v>
      </c>
      <c r="BZ472" s="5" t="s">
        <v>5</v>
      </c>
      <c r="CA472" s="5" t="s">
        <v>5</v>
      </c>
      <c r="CB472" s="5" t="s">
        <v>5</v>
      </c>
      <c r="CC472" s="5" t="s">
        <v>5</v>
      </c>
      <c r="CD472" s="5" t="s">
        <v>5</v>
      </c>
      <c r="CE472" s="5" t="s">
        <v>5</v>
      </c>
      <c r="CF472" s="16" t="s">
        <v>5</v>
      </c>
      <c r="CG472" s="16" t="s">
        <v>5</v>
      </c>
      <c r="CH472" s="18" t="s">
        <v>5</v>
      </c>
    </row>
    <row r="473" spans="2:86">
      <c r="B473" s="78" t="s">
        <v>473</v>
      </c>
      <c r="C473" s="79" t="s">
        <v>573</v>
      </c>
      <c r="D473" s="80" t="s">
        <v>573</v>
      </c>
      <c r="E473" s="1" t="s">
        <v>4</v>
      </c>
      <c r="F473" s="2">
        <v>174</v>
      </c>
      <c r="G473" s="4">
        <v>51.6</v>
      </c>
      <c r="H473" s="3" t="str">
        <f t="shared" si="26"/>
        <v>2L12X12X1-1/8X1-1/2</v>
      </c>
      <c r="I473" s="4">
        <v>12</v>
      </c>
      <c r="J473" s="5" t="s">
        <v>5</v>
      </c>
      <c r="K473" s="5" t="s">
        <v>5</v>
      </c>
      <c r="L473" s="5" t="s">
        <v>5</v>
      </c>
      <c r="M473" s="5" t="s">
        <v>5</v>
      </c>
      <c r="N473" s="5" t="s">
        <v>5</v>
      </c>
      <c r="O473" s="5" t="s">
        <v>5</v>
      </c>
      <c r="P473" s="5" t="s">
        <v>5</v>
      </c>
      <c r="Q473" s="4">
        <v>12</v>
      </c>
      <c r="R473" s="5" t="s">
        <v>5</v>
      </c>
      <c r="S473" s="5" t="s">
        <v>5</v>
      </c>
      <c r="T473" s="5" t="s">
        <v>5</v>
      </c>
      <c r="U473" s="5" t="s">
        <v>5</v>
      </c>
      <c r="V473" s="5" t="s">
        <v>5</v>
      </c>
      <c r="W473" s="5" t="s">
        <v>5</v>
      </c>
      <c r="X473" s="6">
        <v>1.1299999999999999</v>
      </c>
      <c r="Y473" s="5" t="s">
        <v>5</v>
      </c>
      <c r="Z473" s="5" t="s">
        <v>5</v>
      </c>
      <c r="AA473" s="5" t="s">
        <v>5</v>
      </c>
      <c r="AB473" s="5" t="s">
        <v>5</v>
      </c>
      <c r="AC473" s="5" t="s">
        <v>5</v>
      </c>
      <c r="AD473" s="5" t="s">
        <v>5</v>
      </c>
      <c r="AE473" s="7">
        <v>3.41</v>
      </c>
      <c r="AF473" s="5" t="s">
        <v>5</v>
      </c>
      <c r="AG473" s="5" t="s">
        <v>5</v>
      </c>
      <c r="AH473" s="7">
        <v>1.08</v>
      </c>
      <c r="AI473" s="5" t="s">
        <v>5</v>
      </c>
      <c r="AJ473" s="4">
        <v>10.6</v>
      </c>
      <c r="AK473" s="5" t="s">
        <v>5</v>
      </c>
      <c r="AL473" s="5" t="s">
        <v>5</v>
      </c>
      <c r="AM473" s="5" t="s">
        <v>5</v>
      </c>
      <c r="AN473" s="5" t="s">
        <v>5</v>
      </c>
      <c r="AO473" s="2">
        <v>700</v>
      </c>
      <c r="AP473" s="2">
        <v>147</v>
      </c>
      <c r="AQ473" s="4">
        <v>81.400000000000006</v>
      </c>
      <c r="AR473" s="7">
        <v>3.68</v>
      </c>
      <c r="AS473" s="14">
        <v>1590</v>
      </c>
      <c r="AT473" s="14">
        <v>215</v>
      </c>
      <c r="AU473" s="14">
        <v>125</v>
      </c>
      <c r="AV473" s="21">
        <v>5.55</v>
      </c>
      <c r="AW473" s="5" t="s">
        <v>5</v>
      </c>
      <c r="AX473" s="5" t="s">
        <v>5</v>
      </c>
      <c r="AY473" s="5" t="s">
        <v>5</v>
      </c>
      <c r="AZ473" s="5" t="s">
        <v>5</v>
      </c>
      <c r="BA473" s="5" t="s">
        <v>5</v>
      </c>
      <c r="BB473" s="5" t="s">
        <v>5</v>
      </c>
      <c r="BC473" s="5" t="s">
        <v>5</v>
      </c>
      <c r="BD473" s="5" t="s">
        <v>5</v>
      </c>
      <c r="BE473" s="5" t="s">
        <v>5</v>
      </c>
      <c r="BF473" s="5" t="s">
        <v>5</v>
      </c>
      <c r="BG473" s="5" t="s">
        <v>5</v>
      </c>
      <c r="BH473" s="5" t="s">
        <v>5</v>
      </c>
      <c r="BI473" s="21">
        <v>7.24</v>
      </c>
      <c r="BJ473" s="35">
        <v>0.84599999999999997</v>
      </c>
      <c r="BK473" s="5" t="s">
        <v>5</v>
      </c>
      <c r="BL473" s="5" t="s">
        <v>5</v>
      </c>
      <c r="BM473" s="5" t="s">
        <v>5</v>
      </c>
      <c r="BN473" s="5" t="s">
        <v>5</v>
      </c>
      <c r="BO473" s="5" t="s">
        <v>5</v>
      </c>
      <c r="BP473" s="5" t="s">
        <v>5</v>
      </c>
      <c r="BQ473" s="5" t="s">
        <v>5</v>
      </c>
      <c r="BR473" s="5" t="s">
        <v>5</v>
      </c>
      <c r="BS473" s="5" t="s">
        <v>5</v>
      </c>
      <c r="BT473" s="5" t="s">
        <v>5</v>
      </c>
      <c r="BU473" s="5" t="s">
        <v>5</v>
      </c>
      <c r="BV473" s="5" t="s">
        <v>5</v>
      </c>
      <c r="BW473" s="5" t="s">
        <v>5</v>
      </c>
      <c r="BX473" s="5" t="s">
        <v>5</v>
      </c>
      <c r="BY473" s="5" t="s">
        <v>5</v>
      </c>
      <c r="BZ473" s="5" t="s">
        <v>5</v>
      </c>
      <c r="CA473" s="5" t="s">
        <v>5</v>
      </c>
      <c r="CB473" s="5" t="s">
        <v>5</v>
      </c>
      <c r="CC473" s="5" t="s">
        <v>5</v>
      </c>
      <c r="CD473" s="5" t="s">
        <v>5</v>
      </c>
      <c r="CE473" s="5" t="s">
        <v>5</v>
      </c>
      <c r="CF473" s="16" t="s">
        <v>5</v>
      </c>
      <c r="CG473" s="16" t="s">
        <v>5</v>
      </c>
      <c r="CH473" s="18" t="s">
        <v>5</v>
      </c>
    </row>
    <row r="474" spans="2:86">
      <c r="B474" s="78" t="s">
        <v>473</v>
      </c>
      <c r="C474" s="79" t="s">
        <v>574</v>
      </c>
      <c r="D474" s="80" t="s">
        <v>574</v>
      </c>
      <c r="E474" s="1" t="s">
        <v>4</v>
      </c>
      <c r="F474" s="14">
        <v>156</v>
      </c>
      <c r="G474" s="4">
        <v>46</v>
      </c>
      <c r="H474" s="3" t="str">
        <f t="shared" si="26"/>
        <v>2L12X12X1</v>
      </c>
      <c r="I474" s="4">
        <v>12</v>
      </c>
      <c r="J474" s="5" t="s">
        <v>5</v>
      </c>
      <c r="K474" s="5" t="s">
        <v>5</v>
      </c>
      <c r="L474" s="5" t="s">
        <v>5</v>
      </c>
      <c r="M474" s="5" t="s">
        <v>5</v>
      </c>
      <c r="N474" s="5" t="s">
        <v>5</v>
      </c>
      <c r="O474" s="5" t="s">
        <v>5</v>
      </c>
      <c r="P474" s="5" t="s">
        <v>5</v>
      </c>
      <c r="Q474" s="4">
        <v>12</v>
      </c>
      <c r="R474" s="5" t="s">
        <v>5</v>
      </c>
      <c r="S474" s="5" t="s">
        <v>5</v>
      </c>
      <c r="T474" s="5" t="s">
        <v>5</v>
      </c>
      <c r="U474" s="5" t="s">
        <v>5</v>
      </c>
      <c r="V474" s="5" t="s">
        <v>5</v>
      </c>
      <c r="W474" s="5" t="s">
        <v>5</v>
      </c>
      <c r="X474" s="7">
        <v>1</v>
      </c>
      <c r="Y474" s="5" t="s">
        <v>5</v>
      </c>
      <c r="Z474" s="5" t="s">
        <v>5</v>
      </c>
      <c r="AA474" s="5" t="s">
        <v>5</v>
      </c>
      <c r="AB474" s="5" t="s">
        <v>5</v>
      </c>
      <c r="AC474" s="5" t="s">
        <v>5</v>
      </c>
      <c r="AD474" s="5" t="s">
        <v>5</v>
      </c>
      <c r="AE474" s="7">
        <v>3.36</v>
      </c>
      <c r="AF474" s="5" t="s">
        <v>5</v>
      </c>
      <c r="AG474" s="5" t="s">
        <v>5</v>
      </c>
      <c r="AH474" s="22">
        <v>0.95799999999999996</v>
      </c>
      <c r="AI474" s="5" t="s">
        <v>5</v>
      </c>
      <c r="AJ474" s="4">
        <v>12</v>
      </c>
      <c r="AK474" s="5" t="s">
        <v>5</v>
      </c>
      <c r="AL474" s="5" t="s">
        <v>5</v>
      </c>
      <c r="AM474" s="5" t="s">
        <v>5</v>
      </c>
      <c r="AN474" s="5" t="s">
        <v>5</v>
      </c>
      <c r="AO474" s="2">
        <v>630</v>
      </c>
      <c r="AP474" s="2">
        <v>132</v>
      </c>
      <c r="AQ474" s="4">
        <v>73</v>
      </c>
      <c r="AR474" s="7">
        <v>3.7</v>
      </c>
      <c r="AS474" s="14">
        <v>1150</v>
      </c>
      <c r="AT474" s="14">
        <v>155</v>
      </c>
      <c r="AU474" s="13">
        <v>95.8</v>
      </c>
      <c r="AV474" s="21">
        <v>5</v>
      </c>
      <c r="AW474" s="5" t="s">
        <v>5</v>
      </c>
      <c r="AX474" s="5" t="s">
        <v>5</v>
      </c>
      <c r="AY474" s="5" t="s">
        <v>5</v>
      </c>
      <c r="AZ474" s="5" t="s">
        <v>5</v>
      </c>
      <c r="BA474" s="5" t="s">
        <v>5</v>
      </c>
      <c r="BB474" s="5" t="s">
        <v>5</v>
      </c>
      <c r="BC474" s="5" t="s">
        <v>5</v>
      </c>
      <c r="BD474" s="5" t="s">
        <v>5</v>
      </c>
      <c r="BE474" s="5" t="s">
        <v>5</v>
      </c>
      <c r="BF474" s="5" t="s">
        <v>5</v>
      </c>
      <c r="BG474" s="5" t="s">
        <v>5</v>
      </c>
      <c r="BH474" s="5" t="s">
        <v>5</v>
      </c>
      <c r="BI474" s="21">
        <v>6.85</v>
      </c>
      <c r="BJ474" s="35">
        <v>0.82599999999999996</v>
      </c>
      <c r="BK474" s="5" t="s">
        <v>5</v>
      </c>
      <c r="BL474" s="5" t="s">
        <v>5</v>
      </c>
      <c r="BM474" s="5" t="s">
        <v>5</v>
      </c>
      <c r="BN474" s="5" t="s">
        <v>5</v>
      </c>
      <c r="BO474" s="5" t="s">
        <v>5</v>
      </c>
      <c r="BP474" s="5" t="s">
        <v>5</v>
      </c>
      <c r="BQ474" s="5" t="s">
        <v>5</v>
      </c>
      <c r="BR474" s="5" t="s">
        <v>5</v>
      </c>
      <c r="BS474" s="5" t="s">
        <v>5</v>
      </c>
      <c r="BT474" s="5" t="s">
        <v>5</v>
      </c>
      <c r="BU474" s="5" t="s">
        <v>5</v>
      </c>
      <c r="BV474" s="5" t="s">
        <v>5</v>
      </c>
      <c r="BW474" s="5" t="s">
        <v>5</v>
      </c>
      <c r="BX474" s="5" t="s">
        <v>5</v>
      </c>
      <c r="BY474" s="5" t="s">
        <v>5</v>
      </c>
      <c r="BZ474" s="5" t="s">
        <v>5</v>
      </c>
      <c r="CA474" s="5" t="s">
        <v>5</v>
      </c>
      <c r="CB474" s="5" t="s">
        <v>5</v>
      </c>
      <c r="CC474" s="5" t="s">
        <v>5</v>
      </c>
      <c r="CD474" s="5" t="s">
        <v>5</v>
      </c>
      <c r="CE474" s="5" t="s">
        <v>5</v>
      </c>
      <c r="CF474" s="16" t="s">
        <v>5</v>
      </c>
      <c r="CG474" s="16" t="s">
        <v>5</v>
      </c>
      <c r="CH474" s="18" t="s">
        <v>5</v>
      </c>
    </row>
    <row r="475" spans="2:86">
      <c r="B475" s="78" t="s">
        <v>473</v>
      </c>
      <c r="C475" s="79" t="s">
        <v>575</v>
      </c>
      <c r="D475" s="80" t="s">
        <v>575</v>
      </c>
      <c r="E475" s="1" t="s">
        <v>4</v>
      </c>
      <c r="F475" s="2">
        <v>156</v>
      </c>
      <c r="G475" s="4">
        <v>46</v>
      </c>
      <c r="H475" s="3" t="str">
        <f t="shared" si="26"/>
        <v>2L12X12X1X3/4</v>
      </c>
      <c r="I475" s="4">
        <v>12</v>
      </c>
      <c r="J475" s="5" t="s">
        <v>5</v>
      </c>
      <c r="K475" s="5" t="s">
        <v>5</v>
      </c>
      <c r="L475" s="5" t="s">
        <v>5</v>
      </c>
      <c r="M475" s="5" t="s">
        <v>5</v>
      </c>
      <c r="N475" s="5" t="s">
        <v>5</v>
      </c>
      <c r="O475" s="5" t="s">
        <v>5</v>
      </c>
      <c r="P475" s="5" t="s">
        <v>5</v>
      </c>
      <c r="Q475" s="4">
        <v>12</v>
      </c>
      <c r="R475" s="5" t="s">
        <v>5</v>
      </c>
      <c r="S475" s="5" t="s">
        <v>5</v>
      </c>
      <c r="T475" s="5" t="s">
        <v>5</v>
      </c>
      <c r="U475" s="5" t="s">
        <v>5</v>
      </c>
      <c r="V475" s="5" t="s">
        <v>5</v>
      </c>
      <c r="W475" s="5" t="s">
        <v>5</v>
      </c>
      <c r="X475" s="7">
        <v>1</v>
      </c>
      <c r="Y475" s="5" t="s">
        <v>5</v>
      </c>
      <c r="Z475" s="5" t="s">
        <v>5</v>
      </c>
      <c r="AA475" s="5" t="s">
        <v>5</v>
      </c>
      <c r="AB475" s="5" t="s">
        <v>5</v>
      </c>
      <c r="AC475" s="5" t="s">
        <v>5</v>
      </c>
      <c r="AD475" s="5" t="s">
        <v>5</v>
      </c>
      <c r="AE475" s="7">
        <v>3.36</v>
      </c>
      <c r="AF475" s="5" t="s">
        <v>5</v>
      </c>
      <c r="AG475" s="5" t="s">
        <v>5</v>
      </c>
      <c r="AH475" s="22">
        <v>0.95799999999999996</v>
      </c>
      <c r="AI475" s="5" t="s">
        <v>5</v>
      </c>
      <c r="AJ475" s="4">
        <v>12</v>
      </c>
      <c r="AK475" s="5" t="s">
        <v>5</v>
      </c>
      <c r="AL475" s="5" t="s">
        <v>5</v>
      </c>
      <c r="AM475" s="5" t="s">
        <v>5</v>
      </c>
      <c r="AN475" s="5" t="s">
        <v>5</v>
      </c>
      <c r="AO475" s="2">
        <v>630</v>
      </c>
      <c r="AP475" s="2">
        <v>132</v>
      </c>
      <c r="AQ475" s="4">
        <v>73</v>
      </c>
      <c r="AR475" s="7">
        <v>3.7</v>
      </c>
      <c r="AS475" s="14">
        <v>1270</v>
      </c>
      <c r="AT475" s="14">
        <v>172</v>
      </c>
      <c r="AU475" s="14">
        <v>103</v>
      </c>
      <c r="AV475" s="21">
        <v>5.25</v>
      </c>
      <c r="AW475" s="5" t="s">
        <v>5</v>
      </c>
      <c r="AX475" s="5" t="s">
        <v>5</v>
      </c>
      <c r="AY475" s="5" t="s">
        <v>5</v>
      </c>
      <c r="AZ475" s="5" t="s">
        <v>5</v>
      </c>
      <c r="BA475" s="5" t="s">
        <v>5</v>
      </c>
      <c r="BB475" s="5" t="s">
        <v>5</v>
      </c>
      <c r="BC475" s="5" t="s">
        <v>5</v>
      </c>
      <c r="BD475" s="5" t="s">
        <v>5</v>
      </c>
      <c r="BE475" s="5" t="s">
        <v>5</v>
      </c>
      <c r="BF475" s="5" t="s">
        <v>5</v>
      </c>
      <c r="BG475" s="5" t="s">
        <v>5</v>
      </c>
      <c r="BH475" s="5" t="s">
        <v>5</v>
      </c>
      <c r="BI475" s="21">
        <v>7.03</v>
      </c>
      <c r="BJ475" s="35">
        <v>0.83399999999999996</v>
      </c>
      <c r="BK475" s="5" t="s">
        <v>5</v>
      </c>
      <c r="BL475" s="5" t="s">
        <v>5</v>
      </c>
      <c r="BM475" s="5" t="s">
        <v>5</v>
      </c>
      <c r="BN475" s="5" t="s">
        <v>5</v>
      </c>
      <c r="BO475" s="5" t="s">
        <v>5</v>
      </c>
      <c r="BP475" s="5" t="s">
        <v>5</v>
      </c>
      <c r="BQ475" s="5" t="s">
        <v>5</v>
      </c>
      <c r="BR475" s="5" t="s">
        <v>5</v>
      </c>
      <c r="BS475" s="5" t="s">
        <v>5</v>
      </c>
      <c r="BT475" s="5" t="s">
        <v>5</v>
      </c>
      <c r="BU475" s="5" t="s">
        <v>5</v>
      </c>
      <c r="BV475" s="5" t="s">
        <v>5</v>
      </c>
      <c r="BW475" s="5" t="s">
        <v>5</v>
      </c>
      <c r="BX475" s="5" t="s">
        <v>5</v>
      </c>
      <c r="BY475" s="5" t="s">
        <v>5</v>
      </c>
      <c r="BZ475" s="5" t="s">
        <v>5</v>
      </c>
      <c r="CA475" s="5" t="s">
        <v>5</v>
      </c>
      <c r="CB475" s="5" t="s">
        <v>5</v>
      </c>
      <c r="CC475" s="5" t="s">
        <v>5</v>
      </c>
      <c r="CD475" s="5" t="s">
        <v>5</v>
      </c>
      <c r="CE475" s="5" t="s">
        <v>5</v>
      </c>
      <c r="CF475" s="16" t="s">
        <v>5</v>
      </c>
      <c r="CG475" s="16" t="s">
        <v>5</v>
      </c>
      <c r="CH475" s="18" t="s">
        <v>5</v>
      </c>
    </row>
    <row r="476" spans="2:86">
      <c r="B476" s="78" t="s">
        <v>473</v>
      </c>
      <c r="C476" s="79" t="s">
        <v>576</v>
      </c>
      <c r="D476" s="80" t="s">
        <v>576</v>
      </c>
      <c r="E476" s="1" t="s">
        <v>4</v>
      </c>
      <c r="F476" s="2">
        <v>156</v>
      </c>
      <c r="G476" s="4">
        <v>46</v>
      </c>
      <c r="H476" s="3" t="str">
        <f t="shared" si="26"/>
        <v>2L12X12X1X1-1/2</v>
      </c>
      <c r="I476" s="4">
        <v>12</v>
      </c>
      <c r="J476" s="5" t="s">
        <v>5</v>
      </c>
      <c r="K476" s="5" t="s">
        <v>5</v>
      </c>
      <c r="L476" s="5" t="s">
        <v>5</v>
      </c>
      <c r="M476" s="5" t="s">
        <v>5</v>
      </c>
      <c r="N476" s="5" t="s">
        <v>5</v>
      </c>
      <c r="O476" s="5" t="s">
        <v>5</v>
      </c>
      <c r="P476" s="5" t="s">
        <v>5</v>
      </c>
      <c r="Q476" s="4">
        <v>12</v>
      </c>
      <c r="R476" s="5" t="s">
        <v>5</v>
      </c>
      <c r="S476" s="5" t="s">
        <v>5</v>
      </c>
      <c r="T476" s="5" t="s">
        <v>5</v>
      </c>
      <c r="U476" s="5" t="s">
        <v>5</v>
      </c>
      <c r="V476" s="5" t="s">
        <v>5</v>
      </c>
      <c r="W476" s="5" t="s">
        <v>5</v>
      </c>
      <c r="X476" s="7">
        <v>1</v>
      </c>
      <c r="Y476" s="5" t="s">
        <v>5</v>
      </c>
      <c r="Z476" s="5" t="s">
        <v>5</v>
      </c>
      <c r="AA476" s="5" t="s">
        <v>5</v>
      </c>
      <c r="AB476" s="5" t="s">
        <v>5</v>
      </c>
      <c r="AC476" s="5" t="s">
        <v>5</v>
      </c>
      <c r="AD476" s="5" t="s">
        <v>5</v>
      </c>
      <c r="AE476" s="7">
        <v>3.36</v>
      </c>
      <c r="AF476" s="5" t="s">
        <v>5</v>
      </c>
      <c r="AG476" s="5" t="s">
        <v>5</v>
      </c>
      <c r="AH476" s="22">
        <v>0.95799999999999996</v>
      </c>
      <c r="AI476" s="5" t="s">
        <v>5</v>
      </c>
      <c r="AJ476" s="4">
        <v>12</v>
      </c>
      <c r="AK476" s="5" t="s">
        <v>5</v>
      </c>
      <c r="AL476" s="5" t="s">
        <v>5</v>
      </c>
      <c r="AM476" s="5" t="s">
        <v>5</v>
      </c>
      <c r="AN476" s="5" t="s">
        <v>5</v>
      </c>
      <c r="AO476" s="2">
        <v>630</v>
      </c>
      <c r="AP476" s="2">
        <v>132</v>
      </c>
      <c r="AQ476" s="4">
        <v>73</v>
      </c>
      <c r="AR476" s="7">
        <v>3.7</v>
      </c>
      <c r="AS476" s="14">
        <v>1410</v>
      </c>
      <c r="AT476" s="14">
        <v>189</v>
      </c>
      <c r="AU476" s="14">
        <v>111</v>
      </c>
      <c r="AV476" s="21">
        <v>5.54</v>
      </c>
      <c r="AW476" s="5" t="s">
        <v>5</v>
      </c>
      <c r="AX476" s="5" t="s">
        <v>5</v>
      </c>
      <c r="AY476" s="5" t="s">
        <v>5</v>
      </c>
      <c r="AZ476" s="5" t="s">
        <v>5</v>
      </c>
      <c r="BA476" s="5" t="s">
        <v>5</v>
      </c>
      <c r="BB476" s="5" t="s">
        <v>5</v>
      </c>
      <c r="BC476" s="5" t="s">
        <v>5</v>
      </c>
      <c r="BD476" s="5" t="s">
        <v>5</v>
      </c>
      <c r="BE476" s="5" t="s">
        <v>5</v>
      </c>
      <c r="BF476" s="5" t="s">
        <v>5</v>
      </c>
      <c r="BG476" s="5" t="s">
        <v>5</v>
      </c>
      <c r="BH476" s="5" t="s">
        <v>5</v>
      </c>
      <c r="BI476" s="21">
        <v>7.25</v>
      </c>
      <c r="BJ476" s="35">
        <v>0.84399999999999997</v>
      </c>
      <c r="BK476" s="5" t="s">
        <v>5</v>
      </c>
      <c r="BL476" s="5" t="s">
        <v>5</v>
      </c>
      <c r="BM476" s="5" t="s">
        <v>5</v>
      </c>
      <c r="BN476" s="5" t="s">
        <v>5</v>
      </c>
      <c r="BO476" s="5" t="s">
        <v>5</v>
      </c>
      <c r="BP476" s="5" t="s">
        <v>5</v>
      </c>
      <c r="BQ476" s="5" t="s">
        <v>5</v>
      </c>
      <c r="BR476" s="5" t="s">
        <v>5</v>
      </c>
      <c r="BS476" s="5" t="s">
        <v>5</v>
      </c>
      <c r="BT476" s="5" t="s">
        <v>5</v>
      </c>
      <c r="BU476" s="5" t="s">
        <v>5</v>
      </c>
      <c r="BV476" s="5" t="s">
        <v>5</v>
      </c>
      <c r="BW476" s="5" t="s">
        <v>5</v>
      </c>
      <c r="BX476" s="5" t="s">
        <v>5</v>
      </c>
      <c r="BY476" s="5" t="s">
        <v>5</v>
      </c>
      <c r="BZ476" s="5" t="s">
        <v>5</v>
      </c>
      <c r="CA476" s="5" t="s">
        <v>5</v>
      </c>
      <c r="CB476" s="5" t="s">
        <v>5</v>
      </c>
      <c r="CC476" s="5" t="s">
        <v>5</v>
      </c>
      <c r="CD476" s="5" t="s">
        <v>5</v>
      </c>
      <c r="CE476" s="5" t="s">
        <v>5</v>
      </c>
      <c r="CF476" s="16" t="s">
        <v>5</v>
      </c>
      <c r="CG476" s="16" t="s">
        <v>5</v>
      </c>
      <c r="CH476" s="18" t="s">
        <v>5</v>
      </c>
    </row>
    <row r="477" spans="2:86">
      <c r="B477" s="78" t="s">
        <v>473</v>
      </c>
      <c r="C477" s="79" t="s">
        <v>577</v>
      </c>
      <c r="D477" s="80" t="s">
        <v>577</v>
      </c>
      <c r="E477" s="1" t="s">
        <v>4</v>
      </c>
      <c r="F477" s="14">
        <v>174</v>
      </c>
      <c r="G477" s="4">
        <v>51.2</v>
      </c>
      <c r="H477" s="3" t="str">
        <f t="shared" si="26"/>
        <v>2L10X10X1-3/8</v>
      </c>
      <c r="I477" s="4">
        <v>10</v>
      </c>
      <c r="J477" s="5" t="s">
        <v>5</v>
      </c>
      <c r="K477" s="5" t="s">
        <v>5</v>
      </c>
      <c r="L477" s="5" t="s">
        <v>5</v>
      </c>
      <c r="M477" s="5" t="s">
        <v>5</v>
      </c>
      <c r="N477" s="5" t="s">
        <v>5</v>
      </c>
      <c r="O477" s="5" t="s">
        <v>5</v>
      </c>
      <c r="P477" s="5" t="s">
        <v>5</v>
      </c>
      <c r="Q477" s="4">
        <v>10</v>
      </c>
      <c r="R477" s="5" t="s">
        <v>5</v>
      </c>
      <c r="S477" s="5" t="s">
        <v>5</v>
      </c>
      <c r="T477" s="5" t="s">
        <v>5</v>
      </c>
      <c r="U477" s="5" t="s">
        <v>5</v>
      </c>
      <c r="V477" s="5" t="s">
        <v>5</v>
      </c>
      <c r="W477" s="5" t="s">
        <v>5</v>
      </c>
      <c r="X477" s="6">
        <v>1.38</v>
      </c>
      <c r="Y477" s="5" t="s">
        <v>5</v>
      </c>
      <c r="Z477" s="5" t="s">
        <v>5</v>
      </c>
      <c r="AA477" s="5" t="s">
        <v>5</v>
      </c>
      <c r="AB477" s="5" t="s">
        <v>5</v>
      </c>
      <c r="AC477" s="5" t="s">
        <v>5</v>
      </c>
      <c r="AD477" s="5" t="s">
        <v>5</v>
      </c>
      <c r="AE477" s="7">
        <v>3</v>
      </c>
      <c r="AF477" s="5" t="s">
        <v>5</v>
      </c>
      <c r="AG477" s="5" t="s">
        <v>5</v>
      </c>
      <c r="AH477" s="7">
        <v>1.28</v>
      </c>
      <c r="AI477" s="5" t="s">
        <v>5</v>
      </c>
      <c r="AJ477" s="7">
        <v>7.25</v>
      </c>
      <c r="AK477" s="5" t="s">
        <v>5</v>
      </c>
      <c r="AL477" s="5" t="s">
        <v>5</v>
      </c>
      <c r="AM477" s="5" t="s">
        <v>5</v>
      </c>
      <c r="AN477" s="5" t="s">
        <v>5</v>
      </c>
      <c r="AO477" s="2">
        <v>462</v>
      </c>
      <c r="AP477" s="2">
        <v>120</v>
      </c>
      <c r="AQ477" s="4">
        <v>66</v>
      </c>
      <c r="AR477" s="7">
        <v>3</v>
      </c>
      <c r="AS477" s="14">
        <v>923</v>
      </c>
      <c r="AT477" s="14">
        <v>154</v>
      </c>
      <c r="AU477" s="13">
        <v>92.3</v>
      </c>
      <c r="AV477" s="21">
        <v>4.25</v>
      </c>
      <c r="AW477" s="5" t="s">
        <v>5</v>
      </c>
      <c r="AX477" s="5" t="s">
        <v>5</v>
      </c>
      <c r="AY477" s="5" t="s">
        <v>5</v>
      </c>
      <c r="AZ477" s="5" t="s">
        <v>5</v>
      </c>
      <c r="BA477" s="5" t="s">
        <v>5</v>
      </c>
      <c r="BB477" s="5" t="s">
        <v>5</v>
      </c>
      <c r="BC477" s="5" t="s">
        <v>5</v>
      </c>
      <c r="BD477" s="5" t="s">
        <v>5</v>
      </c>
      <c r="BE477" s="5" t="s">
        <v>5</v>
      </c>
      <c r="BF477" s="5" t="s">
        <v>5</v>
      </c>
      <c r="BG477" s="5" t="s">
        <v>5</v>
      </c>
      <c r="BH477" s="5" t="s">
        <v>5</v>
      </c>
      <c r="BI477" s="21">
        <v>5.69</v>
      </c>
      <c r="BJ477" s="35">
        <v>0.83499999999999996</v>
      </c>
      <c r="BK477" s="5" t="s">
        <v>5</v>
      </c>
      <c r="BL477" s="5" t="s">
        <v>5</v>
      </c>
      <c r="BM477" s="5" t="s">
        <v>5</v>
      </c>
      <c r="BN477" s="5" t="s">
        <v>5</v>
      </c>
      <c r="BO477" s="5" t="s">
        <v>5</v>
      </c>
      <c r="BP477" s="5" t="s">
        <v>5</v>
      </c>
      <c r="BQ477" s="5" t="s">
        <v>5</v>
      </c>
      <c r="BR477" s="5" t="s">
        <v>5</v>
      </c>
      <c r="BS477" s="5" t="s">
        <v>5</v>
      </c>
      <c r="BT477" s="5" t="s">
        <v>5</v>
      </c>
      <c r="BU477" s="5" t="s">
        <v>5</v>
      </c>
      <c r="BV477" s="5" t="s">
        <v>5</v>
      </c>
      <c r="BW477" s="5" t="s">
        <v>5</v>
      </c>
      <c r="BX477" s="5" t="s">
        <v>5</v>
      </c>
      <c r="BY477" s="5" t="s">
        <v>5</v>
      </c>
      <c r="BZ477" s="5" t="s">
        <v>5</v>
      </c>
      <c r="CA477" s="5" t="s">
        <v>5</v>
      </c>
      <c r="CB477" s="5" t="s">
        <v>5</v>
      </c>
      <c r="CC477" s="5" t="s">
        <v>5</v>
      </c>
      <c r="CD477" s="5" t="s">
        <v>5</v>
      </c>
      <c r="CE477" s="5" t="s">
        <v>5</v>
      </c>
      <c r="CF477" s="16" t="s">
        <v>5</v>
      </c>
      <c r="CG477" s="16" t="s">
        <v>5</v>
      </c>
      <c r="CH477" s="18" t="s">
        <v>5</v>
      </c>
    </row>
    <row r="478" spans="2:86">
      <c r="B478" s="78" t="s">
        <v>473</v>
      </c>
      <c r="C478" s="79" t="s">
        <v>578</v>
      </c>
      <c r="D478" s="80" t="s">
        <v>578</v>
      </c>
      <c r="E478" s="1" t="s">
        <v>4</v>
      </c>
      <c r="F478" s="2">
        <v>174</v>
      </c>
      <c r="G478" s="4">
        <v>51.2</v>
      </c>
      <c r="H478" s="3" t="str">
        <f t="shared" si="26"/>
        <v>2L10X10X1-3/8X3/4</v>
      </c>
      <c r="I478" s="4">
        <v>10</v>
      </c>
      <c r="J478" s="5" t="s">
        <v>5</v>
      </c>
      <c r="K478" s="5" t="s">
        <v>5</v>
      </c>
      <c r="L478" s="5" t="s">
        <v>5</v>
      </c>
      <c r="M478" s="5" t="s">
        <v>5</v>
      </c>
      <c r="N478" s="5" t="s">
        <v>5</v>
      </c>
      <c r="O478" s="5" t="s">
        <v>5</v>
      </c>
      <c r="P478" s="5" t="s">
        <v>5</v>
      </c>
      <c r="Q478" s="4">
        <v>10</v>
      </c>
      <c r="R478" s="5" t="s">
        <v>5</v>
      </c>
      <c r="S478" s="5" t="s">
        <v>5</v>
      </c>
      <c r="T478" s="5" t="s">
        <v>5</v>
      </c>
      <c r="U478" s="5" t="s">
        <v>5</v>
      </c>
      <c r="V478" s="5" t="s">
        <v>5</v>
      </c>
      <c r="W478" s="5" t="s">
        <v>5</v>
      </c>
      <c r="X478" s="6">
        <v>1.38</v>
      </c>
      <c r="Y478" s="5" t="s">
        <v>5</v>
      </c>
      <c r="Z478" s="5" t="s">
        <v>5</v>
      </c>
      <c r="AA478" s="5" t="s">
        <v>5</v>
      </c>
      <c r="AB478" s="5" t="s">
        <v>5</v>
      </c>
      <c r="AC478" s="5" t="s">
        <v>5</v>
      </c>
      <c r="AD478" s="5" t="s">
        <v>5</v>
      </c>
      <c r="AE478" s="7">
        <v>3</v>
      </c>
      <c r="AF478" s="5" t="s">
        <v>5</v>
      </c>
      <c r="AG478" s="5" t="s">
        <v>5</v>
      </c>
      <c r="AH478" s="7">
        <v>1.28</v>
      </c>
      <c r="AI478" s="5" t="s">
        <v>5</v>
      </c>
      <c r="AJ478" s="7">
        <v>7.25</v>
      </c>
      <c r="AK478" s="5" t="s">
        <v>5</v>
      </c>
      <c r="AL478" s="5" t="s">
        <v>5</v>
      </c>
      <c r="AM478" s="5" t="s">
        <v>5</v>
      </c>
      <c r="AN478" s="5" t="s">
        <v>5</v>
      </c>
      <c r="AO478" s="2">
        <v>462</v>
      </c>
      <c r="AP478" s="2">
        <v>120</v>
      </c>
      <c r="AQ478" s="4">
        <v>66</v>
      </c>
      <c r="AR478" s="7">
        <v>3</v>
      </c>
      <c r="AS478" s="14">
        <v>1050</v>
      </c>
      <c r="AT478" s="14">
        <v>173</v>
      </c>
      <c r="AU478" s="14">
        <v>101</v>
      </c>
      <c r="AV478" s="21">
        <v>4.53</v>
      </c>
      <c r="AW478" s="5" t="s">
        <v>5</v>
      </c>
      <c r="AX478" s="5" t="s">
        <v>5</v>
      </c>
      <c r="AY478" s="5" t="s">
        <v>5</v>
      </c>
      <c r="AZ478" s="5" t="s">
        <v>5</v>
      </c>
      <c r="BA478" s="5" t="s">
        <v>5</v>
      </c>
      <c r="BB478" s="5" t="s">
        <v>5</v>
      </c>
      <c r="BC478" s="5" t="s">
        <v>5</v>
      </c>
      <c r="BD478" s="5" t="s">
        <v>5</v>
      </c>
      <c r="BE478" s="5" t="s">
        <v>5</v>
      </c>
      <c r="BF478" s="5" t="s">
        <v>5</v>
      </c>
      <c r="BG478" s="5" t="s">
        <v>5</v>
      </c>
      <c r="BH478" s="5" t="s">
        <v>5</v>
      </c>
      <c r="BI478" s="21">
        <v>5.9</v>
      </c>
      <c r="BJ478" s="35">
        <v>0.84699999999999998</v>
      </c>
      <c r="BK478" s="5" t="s">
        <v>5</v>
      </c>
      <c r="BL478" s="5" t="s">
        <v>5</v>
      </c>
      <c r="BM478" s="5" t="s">
        <v>5</v>
      </c>
      <c r="BN478" s="5" t="s">
        <v>5</v>
      </c>
      <c r="BO478" s="5" t="s">
        <v>5</v>
      </c>
      <c r="BP478" s="5" t="s">
        <v>5</v>
      </c>
      <c r="BQ478" s="5" t="s">
        <v>5</v>
      </c>
      <c r="BR478" s="5" t="s">
        <v>5</v>
      </c>
      <c r="BS478" s="5" t="s">
        <v>5</v>
      </c>
      <c r="BT478" s="5" t="s">
        <v>5</v>
      </c>
      <c r="BU478" s="5" t="s">
        <v>5</v>
      </c>
      <c r="BV478" s="5" t="s">
        <v>5</v>
      </c>
      <c r="BW478" s="5" t="s">
        <v>5</v>
      </c>
      <c r="BX478" s="5" t="s">
        <v>5</v>
      </c>
      <c r="BY478" s="5" t="s">
        <v>5</v>
      </c>
      <c r="BZ478" s="5" t="s">
        <v>5</v>
      </c>
      <c r="CA478" s="5" t="s">
        <v>5</v>
      </c>
      <c r="CB478" s="5" t="s">
        <v>5</v>
      </c>
      <c r="CC478" s="5" t="s">
        <v>5</v>
      </c>
      <c r="CD478" s="5" t="s">
        <v>5</v>
      </c>
      <c r="CE478" s="5" t="s">
        <v>5</v>
      </c>
      <c r="CF478" s="16" t="s">
        <v>5</v>
      </c>
      <c r="CG478" s="16" t="s">
        <v>5</v>
      </c>
      <c r="CH478" s="18" t="s">
        <v>5</v>
      </c>
    </row>
    <row r="479" spans="2:86">
      <c r="B479" s="78" t="s">
        <v>473</v>
      </c>
      <c r="C479" s="79" t="s">
        <v>579</v>
      </c>
      <c r="D479" s="80" t="s">
        <v>579</v>
      </c>
      <c r="E479" s="1" t="s">
        <v>4</v>
      </c>
      <c r="F479" s="2">
        <v>174</v>
      </c>
      <c r="G479" s="4">
        <v>51.2</v>
      </c>
      <c r="H479" s="3" t="str">
        <f t="shared" si="26"/>
        <v>2L10X10X1-3/8X1-1/2</v>
      </c>
      <c r="I479" s="4">
        <v>10</v>
      </c>
      <c r="J479" s="5" t="s">
        <v>5</v>
      </c>
      <c r="K479" s="5" t="s">
        <v>5</v>
      </c>
      <c r="L479" s="5" t="s">
        <v>5</v>
      </c>
      <c r="M479" s="5" t="s">
        <v>5</v>
      </c>
      <c r="N479" s="5" t="s">
        <v>5</v>
      </c>
      <c r="O479" s="5" t="s">
        <v>5</v>
      </c>
      <c r="P479" s="5" t="s">
        <v>5</v>
      </c>
      <c r="Q479" s="4">
        <v>10</v>
      </c>
      <c r="R479" s="5" t="s">
        <v>5</v>
      </c>
      <c r="S479" s="5" t="s">
        <v>5</v>
      </c>
      <c r="T479" s="5" t="s">
        <v>5</v>
      </c>
      <c r="U479" s="5" t="s">
        <v>5</v>
      </c>
      <c r="V479" s="5" t="s">
        <v>5</v>
      </c>
      <c r="W479" s="5" t="s">
        <v>5</v>
      </c>
      <c r="X479" s="6">
        <v>1.38</v>
      </c>
      <c r="Y479" s="5" t="s">
        <v>5</v>
      </c>
      <c r="Z479" s="5" t="s">
        <v>5</v>
      </c>
      <c r="AA479" s="5" t="s">
        <v>5</v>
      </c>
      <c r="AB479" s="5" t="s">
        <v>5</v>
      </c>
      <c r="AC479" s="5" t="s">
        <v>5</v>
      </c>
      <c r="AD479" s="5" t="s">
        <v>5</v>
      </c>
      <c r="AE479" s="7">
        <v>3</v>
      </c>
      <c r="AF479" s="5" t="s">
        <v>5</v>
      </c>
      <c r="AG479" s="5" t="s">
        <v>5</v>
      </c>
      <c r="AH479" s="7">
        <v>1.28</v>
      </c>
      <c r="AI479" s="5" t="s">
        <v>5</v>
      </c>
      <c r="AJ479" s="7">
        <v>7.25</v>
      </c>
      <c r="AK479" s="5" t="s">
        <v>5</v>
      </c>
      <c r="AL479" s="5" t="s">
        <v>5</v>
      </c>
      <c r="AM479" s="5" t="s">
        <v>5</v>
      </c>
      <c r="AN479" s="5" t="s">
        <v>5</v>
      </c>
      <c r="AO479" s="2">
        <v>462</v>
      </c>
      <c r="AP479" s="2">
        <v>120</v>
      </c>
      <c r="AQ479" s="4">
        <v>66</v>
      </c>
      <c r="AR479" s="7">
        <v>3</v>
      </c>
      <c r="AS479" s="14">
        <v>1180</v>
      </c>
      <c r="AT479" s="14">
        <v>192</v>
      </c>
      <c r="AU479" s="14">
        <v>110</v>
      </c>
      <c r="AV479" s="21">
        <v>4.8</v>
      </c>
      <c r="AW479" s="5" t="s">
        <v>5</v>
      </c>
      <c r="AX479" s="5" t="s">
        <v>5</v>
      </c>
      <c r="AY479" s="5" t="s">
        <v>5</v>
      </c>
      <c r="AZ479" s="5" t="s">
        <v>5</v>
      </c>
      <c r="BA479" s="5" t="s">
        <v>5</v>
      </c>
      <c r="BB479" s="5" t="s">
        <v>5</v>
      </c>
      <c r="BC479" s="5" t="s">
        <v>5</v>
      </c>
      <c r="BD479" s="5" t="s">
        <v>5</v>
      </c>
      <c r="BE479" s="5" t="s">
        <v>5</v>
      </c>
      <c r="BF479" s="5" t="s">
        <v>5</v>
      </c>
      <c r="BG479" s="5" t="s">
        <v>5</v>
      </c>
      <c r="BH479" s="5" t="s">
        <v>5</v>
      </c>
      <c r="BI479" s="21">
        <v>6.12</v>
      </c>
      <c r="BJ479" s="35">
        <v>0.85799999999999998</v>
      </c>
      <c r="BK479" s="5" t="s">
        <v>5</v>
      </c>
      <c r="BL479" s="5" t="s">
        <v>5</v>
      </c>
      <c r="BM479" s="5" t="s">
        <v>5</v>
      </c>
      <c r="BN479" s="5" t="s">
        <v>5</v>
      </c>
      <c r="BO479" s="5" t="s">
        <v>5</v>
      </c>
      <c r="BP479" s="5" t="s">
        <v>5</v>
      </c>
      <c r="BQ479" s="5" t="s">
        <v>5</v>
      </c>
      <c r="BR479" s="5" t="s">
        <v>5</v>
      </c>
      <c r="BS479" s="5" t="s">
        <v>5</v>
      </c>
      <c r="BT479" s="5" t="s">
        <v>5</v>
      </c>
      <c r="BU479" s="5" t="s">
        <v>5</v>
      </c>
      <c r="BV479" s="5" t="s">
        <v>5</v>
      </c>
      <c r="BW479" s="5" t="s">
        <v>5</v>
      </c>
      <c r="BX479" s="5" t="s">
        <v>5</v>
      </c>
      <c r="BY479" s="5" t="s">
        <v>5</v>
      </c>
      <c r="BZ479" s="5" t="s">
        <v>5</v>
      </c>
      <c r="CA479" s="5" t="s">
        <v>5</v>
      </c>
      <c r="CB479" s="5" t="s">
        <v>5</v>
      </c>
      <c r="CC479" s="5" t="s">
        <v>5</v>
      </c>
      <c r="CD479" s="5" t="s">
        <v>5</v>
      </c>
      <c r="CE479" s="5" t="s">
        <v>5</v>
      </c>
      <c r="CF479" s="16" t="s">
        <v>5</v>
      </c>
      <c r="CG479" s="16" t="s">
        <v>5</v>
      </c>
      <c r="CH479" s="18" t="s">
        <v>5</v>
      </c>
    </row>
    <row r="480" spans="2:86">
      <c r="B480" s="78" t="s">
        <v>473</v>
      </c>
      <c r="C480" s="79" t="s">
        <v>580</v>
      </c>
      <c r="D480" s="80" t="s">
        <v>580</v>
      </c>
      <c r="E480" s="1" t="s">
        <v>4</v>
      </c>
      <c r="F480" s="14">
        <v>160</v>
      </c>
      <c r="G480" s="4">
        <v>46.8</v>
      </c>
      <c r="H480" s="3" t="str">
        <f t="shared" si="26"/>
        <v>2L10X10X1-1/4</v>
      </c>
      <c r="I480" s="4">
        <v>10</v>
      </c>
      <c r="J480" s="5" t="s">
        <v>5</v>
      </c>
      <c r="K480" s="5" t="s">
        <v>5</v>
      </c>
      <c r="L480" s="5" t="s">
        <v>5</v>
      </c>
      <c r="M480" s="5" t="s">
        <v>5</v>
      </c>
      <c r="N480" s="5" t="s">
        <v>5</v>
      </c>
      <c r="O480" s="5" t="s">
        <v>5</v>
      </c>
      <c r="P480" s="5" t="s">
        <v>5</v>
      </c>
      <c r="Q480" s="4">
        <v>10</v>
      </c>
      <c r="R480" s="5" t="s">
        <v>5</v>
      </c>
      <c r="S480" s="5" t="s">
        <v>5</v>
      </c>
      <c r="T480" s="5" t="s">
        <v>5</v>
      </c>
      <c r="U480" s="5" t="s">
        <v>5</v>
      </c>
      <c r="V480" s="5" t="s">
        <v>5</v>
      </c>
      <c r="W480" s="5" t="s">
        <v>5</v>
      </c>
      <c r="X480" s="7">
        <v>1.25</v>
      </c>
      <c r="Y480" s="5" t="s">
        <v>5</v>
      </c>
      <c r="Z480" s="5" t="s">
        <v>5</v>
      </c>
      <c r="AA480" s="5" t="s">
        <v>5</v>
      </c>
      <c r="AB480" s="5" t="s">
        <v>5</v>
      </c>
      <c r="AC480" s="5" t="s">
        <v>5</v>
      </c>
      <c r="AD480" s="5" t="s">
        <v>5</v>
      </c>
      <c r="AE480" s="7">
        <v>2.95</v>
      </c>
      <c r="AF480" s="5" t="s">
        <v>5</v>
      </c>
      <c r="AG480" s="5" t="s">
        <v>5</v>
      </c>
      <c r="AH480" s="7">
        <v>1.17</v>
      </c>
      <c r="AI480" s="5" t="s">
        <v>5</v>
      </c>
      <c r="AJ480" s="7">
        <v>8</v>
      </c>
      <c r="AK480" s="5" t="s">
        <v>5</v>
      </c>
      <c r="AL480" s="5" t="s">
        <v>5</v>
      </c>
      <c r="AM480" s="5" t="s">
        <v>5</v>
      </c>
      <c r="AN480" s="5" t="s">
        <v>5</v>
      </c>
      <c r="AO480" s="2">
        <v>426</v>
      </c>
      <c r="AP480" s="2">
        <v>110</v>
      </c>
      <c r="AQ480" s="4">
        <v>60.4</v>
      </c>
      <c r="AR480" s="7">
        <v>3.02</v>
      </c>
      <c r="AS480" s="14">
        <v>833</v>
      </c>
      <c r="AT480" s="14">
        <v>138</v>
      </c>
      <c r="AU480" s="13">
        <v>83.3</v>
      </c>
      <c r="AV480" s="21">
        <v>4.22</v>
      </c>
      <c r="AW480" s="5" t="s">
        <v>5</v>
      </c>
      <c r="AX480" s="5" t="s">
        <v>5</v>
      </c>
      <c r="AY480" s="5" t="s">
        <v>5</v>
      </c>
      <c r="AZ480" s="5" t="s">
        <v>5</v>
      </c>
      <c r="BA480" s="5" t="s">
        <v>5</v>
      </c>
      <c r="BB480" s="5" t="s">
        <v>5</v>
      </c>
      <c r="BC480" s="5" t="s">
        <v>5</v>
      </c>
      <c r="BD480" s="5" t="s">
        <v>5</v>
      </c>
      <c r="BE480" s="5" t="s">
        <v>5</v>
      </c>
      <c r="BF480" s="5" t="s">
        <v>5</v>
      </c>
      <c r="BG480" s="5" t="s">
        <v>5</v>
      </c>
      <c r="BH480" s="5" t="s">
        <v>5</v>
      </c>
      <c r="BI480" s="21">
        <v>5.68</v>
      </c>
      <c r="BJ480" s="35">
        <v>0.83199999999999996</v>
      </c>
      <c r="BK480" s="5" t="s">
        <v>5</v>
      </c>
      <c r="BL480" s="5" t="s">
        <v>5</v>
      </c>
      <c r="BM480" s="5" t="s">
        <v>5</v>
      </c>
      <c r="BN480" s="5" t="s">
        <v>5</v>
      </c>
      <c r="BO480" s="5" t="s">
        <v>5</v>
      </c>
      <c r="BP480" s="5" t="s">
        <v>5</v>
      </c>
      <c r="BQ480" s="5" t="s">
        <v>5</v>
      </c>
      <c r="BR480" s="5" t="s">
        <v>5</v>
      </c>
      <c r="BS480" s="5" t="s">
        <v>5</v>
      </c>
      <c r="BT480" s="5" t="s">
        <v>5</v>
      </c>
      <c r="BU480" s="5" t="s">
        <v>5</v>
      </c>
      <c r="BV480" s="5" t="s">
        <v>5</v>
      </c>
      <c r="BW480" s="5" t="s">
        <v>5</v>
      </c>
      <c r="BX480" s="5" t="s">
        <v>5</v>
      </c>
      <c r="BY480" s="5" t="s">
        <v>5</v>
      </c>
      <c r="BZ480" s="5" t="s">
        <v>5</v>
      </c>
      <c r="CA480" s="5" t="s">
        <v>5</v>
      </c>
      <c r="CB480" s="5" t="s">
        <v>5</v>
      </c>
      <c r="CC480" s="5" t="s">
        <v>5</v>
      </c>
      <c r="CD480" s="5" t="s">
        <v>5</v>
      </c>
      <c r="CE480" s="5" t="s">
        <v>5</v>
      </c>
      <c r="CF480" s="16" t="s">
        <v>5</v>
      </c>
      <c r="CG480" s="16" t="s">
        <v>5</v>
      </c>
      <c r="CH480" s="18" t="s">
        <v>5</v>
      </c>
    </row>
    <row r="481" spans="2:86">
      <c r="B481" s="78" t="s">
        <v>473</v>
      </c>
      <c r="C481" s="79" t="s">
        <v>581</v>
      </c>
      <c r="D481" s="80" t="s">
        <v>581</v>
      </c>
      <c r="E481" s="1" t="s">
        <v>4</v>
      </c>
      <c r="F481" s="2">
        <v>160</v>
      </c>
      <c r="G481" s="4">
        <v>46.8</v>
      </c>
      <c r="H481" s="3" t="str">
        <f t="shared" si="26"/>
        <v>2L10X10X1-1/4X3/4</v>
      </c>
      <c r="I481" s="4">
        <v>10</v>
      </c>
      <c r="J481" s="5" t="s">
        <v>5</v>
      </c>
      <c r="K481" s="5" t="s">
        <v>5</v>
      </c>
      <c r="L481" s="5" t="s">
        <v>5</v>
      </c>
      <c r="M481" s="5" t="s">
        <v>5</v>
      </c>
      <c r="N481" s="5" t="s">
        <v>5</v>
      </c>
      <c r="O481" s="5" t="s">
        <v>5</v>
      </c>
      <c r="P481" s="5" t="s">
        <v>5</v>
      </c>
      <c r="Q481" s="4">
        <v>10</v>
      </c>
      <c r="R481" s="5" t="s">
        <v>5</v>
      </c>
      <c r="S481" s="5" t="s">
        <v>5</v>
      </c>
      <c r="T481" s="5" t="s">
        <v>5</v>
      </c>
      <c r="U481" s="5" t="s">
        <v>5</v>
      </c>
      <c r="V481" s="5" t="s">
        <v>5</v>
      </c>
      <c r="W481" s="5" t="s">
        <v>5</v>
      </c>
      <c r="X481" s="7">
        <v>1.25</v>
      </c>
      <c r="Y481" s="5" t="s">
        <v>5</v>
      </c>
      <c r="Z481" s="5" t="s">
        <v>5</v>
      </c>
      <c r="AA481" s="5" t="s">
        <v>5</v>
      </c>
      <c r="AB481" s="5" t="s">
        <v>5</v>
      </c>
      <c r="AC481" s="5" t="s">
        <v>5</v>
      </c>
      <c r="AD481" s="5" t="s">
        <v>5</v>
      </c>
      <c r="AE481" s="7">
        <v>2.95</v>
      </c>
      <c r="AF481" s="5" t="s">
        <v>5</v>
      </c>
      <c r="AG481" s="5" t="s">
        <v>5</v>
      </c>
      <c r="AH481" s="7">
        <v>1.17</v>
      </c>
      <c r="AI481" s="5" t="s">
        <v>5</v>
      </c>
      <c r="AJ481" s="7">
        <v>8</v>
      </c>
      <c r="AK481" s="5" t="s">
        <v>5</v>
      </c>
      <c r="AL481" s="5" t="s">
        <v>5</v>
      </c>
      <c r="AM481" s="5" t="s">
        <v>5</v>
      </c>
      <c r="AN481" s="5" t="s">
        <v>5</v>
      </c>
      <c r="AO481" s="2">
        <v>426</v>
      </c>
      <c r="AP481" s="2">
        <v>110</v>
      </c>
      <c r="AQ481" s="4">
        <v>60.4</v>
      </c>
      <c r="AR481" s="7">
        <v>3.02</v>
      </c>
      <c r="AS481" s="14">
        <v>943</v>
      </c>
      <c r="AT481" s="14">
        <v>156</v>
      </c>
      <c r="AU481" s="13">
        <v>90.9</v>
      </c>
      <c r="AV481" s="21">
        <v>4.49</v>
      </c>
      <c r="AW481" s="5" t="s">
        <v>5</v>
      </c>
      <c r="AX481" s="5" t="s">
        <v>5</v>
      </c>
      <c r="AY481" s="5" t="s">
        <v>5</v>
      </c>
      <c r="AZ481" s="5" t="s">
        <v>5</v>
      </c>
      <c r="BA481" s="5" t="s">
        <v>5</v>
      </c>
      <c r="BB481" s="5" t="s">
        <v>5</v>
      </c>
      <c r="BC481" s="5" t="s">
        <v>5</v>
      </c>
      <c r="BD481" s="5" t="s">
        <v>5</v>
      </c>
      <c r="BE481" s="5" t="s">
        <v>5</v>
      </c>
      <c r="BF481" s="5" t="s">
        <v>5</v>
      </c>
      <c r="BG481" s="5" t="s">
        <v>5</v>
      </c>
      <c r="BH481" s="5" t="s">
        <v>5</v>
      </c>
      <c r="BI481" s="21">
        <v>5.89</v>
      </c>
      <c r="BJ481" s="35">
        <v>0.84399999999999997</v>
      </c>
      <c r="BK481" s="5" t="s">
        <v>5</v>
      </c>
      <c r="BL481" s="5" t="s">
        <v>5</v>
      </c>
      <c r="BM481" s="5" t="s">
        <v>5</v>
      </c>
      <c r="BN481" s="5" t="s">
        <v>5</v>
      </c>
      <c r="BO481" s="5" t="s">
        <v>5</v>
      </c>
      <c r="BP481" s="5" t="s">
        <v>5</v>
      </c>
      <c r="BQ481" s="5" t="s">
        <v>5</v>
      </c>
      <c r="BR481" s="5" t="s">
        <v>5</v>
      </c>
      <c r="BS481" s="5" t="s">
        <v>5</v>
      </c>
      <c r="BT481" s="5" t="s">
        <v>5</v>
      </c>
      <c r="BU481" s="5" t="s">
        <v>5</v>
      </c>
      <c r="BV481" s="5" t="s">
        <v>5</v>
      </c>
      <c r="BW481" s="5" t="s">
        <v>5</v>
      </c>
      <c r="BX481" s="5" t="s">
        <v>5</v>
      </c>
      <c r="BY481" s="5" t="s">
        <v>5</v>
      </c>
      <c r="BZ481" s="5" t="s">
        <v>5</v>
      </c>
      <c r="CA481" s="5" t="s">
        <v>5</v>
      </c>
      <c r="CB481" s="5" t="s">
        <v>5</v>
      </c>
      <c r="CC481" s="5" t="s">
        <v>5</v>
      </c>
      <c r="CD481" s="5" t="s">
        <v>5</v>
      </c>
      <c r="CE481" s="5" t="s">
        <v>5</v>
      </c>
      <c r="CF481" s="16" t="s">
        <v>5</v>
      </c>
      <c r="CG481" s="16" t="s">
        <v>5</v>
      </c>
      <c r="CH481" s="18" t="s">
        <v>5</v>
      </c>
    </row>
    <row r="482" spans="2:86">
      <c r="B482" s="78" t="s">
        <v>473</v>
      </c>
      <c r="C482" s="79" t="s">
        <v>582</v>
      </c>
      <c r="D482" s="80" t="s">
        <v>582</v>
      </c>
      <c r="E482" s="1" t="s">
        <v>4</v>
      </c>
      <c r="F482" s="2">
        <v>160</v>
      </c>
      <c r="G482" s="4">
        <v>46.8</v>
      </c>
      <c r="H482" s="3" t="str">
        <f t="shared" si="26"/>
        <v>2L10X10X1-1/4X1-1/2</v>
      </c>
      <c r="I482" s="4">
        <v>10</v>
      </c>
      <c r="J482" s="5" t="s">
        <v>5</v>
      </c>
      <c r="K482" s="5" t="s">
        <v>5</v>
      </c>
      <c r="L482" s="5" t="s">
        <v>5</v>
      </c>
      <c r="M482" s="5" t="s">
        <v>5</v>
      </c>
      <c r="N482" s="5" t="s">
        <v>5</v>
      </c>
      <c r="O482" s="5" t="s">
        <v>5</v>
      </c>
      <c r="P482" s="5" t="s">
        <v>5</v>
      </c>
      <c r="Q482" s="4">
        <v>10</v>
      </c>
      <c r="R482" s="5" t="s">
        <v>5</v>
      </c>
      <c r="S482" s="5" t="s">
        <v>5</v>
      </c>
      <c r="T482" s="5" t="s">
        <v>5</v>
      </c>
      <c r="U482" s="5" t="s">
        <v>5</v>
      </c>
      <c r="V482" s="5" t="s">
        <v>5</v>
      </c>
      <c r="W482" s="5" t="s">
        <v>5</v>
      </c>
      <c r="X482" s="7">
        <v>1.25</v>
      </c>
      <c r="Y482" s="5" t="s">
        <v>5</v>
      </c>
      <c r="Z482" s="5" t="s">
        <v>5</v>
      </c>
      <c r="AA482" s="5" t="s">
        <v>5</v>
      </c>
      <c r="AB482" s="5" t="s">
        <v>5</v>
      </c>
      <c r="AC482" s="5" t="s">
        <v>5</v>
      </c>
      <c r="AD482" s="5" t="s">
        <v>5</v>
      </c>
      <c r="AE482" s="7">
        <v>2.95</v>
      </c>
      <c r="AF482" s="5" t="s">
        <v>5</v>
      </c>
      <c r="AG482" s="5" t="s">
        <v>5</v>
      </c>
      <c r="AH482" s="7">
        <v>1.17</v>
      </c>
      <c r="AI482" s="5" t="s">
        <v>5</v>
      </c>
      <c r="AJ482" s="7">
        <v>8</v>
      </c>
      <c r="AK482" s="5" t="s">
        <v>5</v>
      </c>
      <c r="AL482" s="5" t="s">
        <v>5</v>
      </c>
      <c r="AM482" s="5" t="s">
        <v>5</v>
      </c>
      <c r="AN482" s="5" t="s">
        <v>5</v>
      </c>
      <c r="AO482" s="2">
        <v>426</v>
      </c>
      <c r="AP482" s="2">
        <v>110</v>
      </c>
      <c r="AQ482" s="4">
        <v>60.4</v>
      </c>
      <c r="AR482" s="7">
        <v>3.02</v>
      </c>
      <c r="AS482" s="14">
        <v>1070</v>
      </c>
      <c r="AT482" s="14">
        <v>173</v>
      </c>
      <c r="AU482" s="13">
        <v>99.5</v>
      </c>
      <c r="AV482" s="21">
        <v>4.78</v>
      </c>
      <c r="AW482" s="5" t="s">
        <v>5</v>
      </c>
      <c r="AX482" s="5" t="s">
        <v>5</v>
      </c>
      <c r="AY482" s="5" t="s">
        <v>5</v>
      </c>
      <c r="AZ482" s="5" t="s">
        <v>5</v>
      </c>
      <c r="BA482" s="5" t="s">
        <v>5</v>
      </c>
      <c r="BB482" s="5" t="s">
        <v>5</v>
      </c>
      <c r="BC482" s="5" t="s">
        <v>5</v>
      </c>
      <c r="BD482" s="5" t="s">
        <v>5</v>
      </c>
      <c r="BE482" s="5" t="s">
        <v>5</v>
      </c>
      <c r="BF482" s="5" t="s">
        <v>5</v>
      </c>
      <c r="BG482" s="5" t="s">
        <v>5</v>
      </c>
      <c r="BH482" s="5" t="s">
        <v>5</v>
      </c>
      <c r="BI482" s="21">
        <v>6.11</v>
      </c>
      <c r="BJ482" s="35">
        <v>0.85499999999999998</v>
      </c>
      <c r="BK482" s="5" t="s">
        <v>5</v>
      </c>
      <c r="BL482" s="5" t="s">
        <v>5</v>
      </c>
      <c r="BM482" s="5" t="s">
        <v>5</v>
      </c>
      <c r="BN482" s="5" t="s">
        <v>5</v>
      </c>
      <c r="BO482" s="5" t="s">
        <v>5</v>
      </c>
      <c r="BP482" s="5" t="s">
        <v>5</v>
      </c>
      <c r="BQ482" s="5" t="s">
        <v>5</v>
      </c>
      <c r="BR482" s="5" t="s">
        <v>5</v>
      </c>
      <c r="BS482" s="5" t="s">
        <v>5</v>
      </c>
      <c r="BT482" s="5" t="s">
        <v>5</v>
      </c>
      <c r="BU482" s="5" t="s">
        <v>5</v>
      </c>
      <c r="BV482" s="5" t="s">
        <v>5</v>
      </c>
      <c r="BW482" s="5" t="s">
        <v>5</v>
      </c>
      <c r="BX482" s="5" t="s">
        <v>5</v>
      </c>
      <c r="BY482" s="5" t="s">
        <v>5</v>
      </c>
      <c r="BZ482" s="5" t="s">
        <v>5</v>
      </c>
      <c r="CA482" s="5" t="s">
        <v>5</v>
      </c>
      <c r="CB482" s="5" t="s">
        <v>5</v>
      </c>
      <c r="CC482" s="5" t="s">
        <v>5</v>
      </c>
      <c r="CD482" s="5" t="s">
        <v>5</v>
      </c>
      <c r="CE482" s="5" t="s">
        <v>5</v>
      </c>
      <c r="CF482" s="16" t="s">
        <v>5</v>
      </c>
      <c r="CG482" s="16" t="s">
        <v>5</v>
      </c>
      <c r="CH482" s="18" t="s">
        <v>5</v>
      </c>
    </row>
    <row r="483" spans="2:86">
      <c r="B483" s="78" t="s">
        <v>473</v>
      </c>
      <c r="C483" s="79" t="s">
        <v>583</v>
      </c>
      <c r="D483" s="80" t="s">
        <v>583</v>
      </c>
      <c r="E483" s="1" t="s">
        <v>4</v>
      </c>
      <c r="F483" s="14">
        <v>145</v>
      </c>
      <c r="G483" s="4">
        <v>42.6</v>
      </c>
      <c r="H483" s="3" t="str">
        <f t="shared" si="26"/>
        <v>2L10X10X1-1/8</v>
      </c>
      <c r="I483" s="4">
        <v>10</v>
      </c>
      <c r="J483" s="5" t="s">
        <v>5</v>
      </c>
      <c r="K483" s="5" t="s">
        <v>5</v>
      </c>
      <c r="L483" s="5" t="s">
        <v>5</v>
      </c>
      <c r="M483" s="5" t="s">
        <v>5</v>
      </c>
      <c r="N483" s="5" t="s">
        <v>5</v>
      </c>
      <c r="O483" s="5" t="s">
        <v>5</v>
      </c>
      <c r="P483" s="5" t="s">
        <v>5</v>
      </c>
      <c r="Q483" s="4">
        <v>10</v>
      </c>
      <c r="R483" s="5" t="s">
        <v>5</v>
      </c>
      <c r="S483" s="5" t="s">
        <v>5</v>
      </c>
      <c r="T483" s="5" t="s">
        <v>5</v>
      </c>
      <c r="U483" s="5" t="s">
        <v>5</v>
      </c>
      <c r="V483" s="5" t="s">
        <v>5</v>
      </c>
      <c r="W483" s="5" t="s">
        <v>5</v>
      </c>
      <c r="X483" s="6">
        <v>1.1299999999999999</v>
      </c>
      <c r="Y483" s="5" t="s">
        <v>5</v>
      </c>
      <c r="Z483" s="5" t="s">
        <v>5</v>
      </c>
      <c r="AA483" s="5" t="s">
        <v>5</v>
      </c>
      <c r="AB483" s="5" t="s">
        <v>5</v>
      </c>
      <c r="AC483" s="5" t="s">
        <v>5</v>
      </c>
      <c r="AD483" s="5" t="s">
        <v>5</v>
      </c>
      <c r="AE483" s="7">
        <v>2.9</v>
      </c>
      <c r="AF483" s="5" t="s">
        <v>5</v>
      </c>
      <c r="AG483" s="5" t="s">
        <v>5</v>
      </c>
      <c r="AH483" s="7">
        <v>1.07</v>
      </c>
      <c r="AI483" s="5" t="s">
        <v>5</v>
      </c>
      <c r="AJ483" s="7">
        <v>8.85</v>
      </c>
      <c r="AK483" s="5" t="s">
        <v>5</v>
      </c>
      <c r="AL483" s="5" t="s">
        <v>5</v>
      </c>
      <c r="AM483" s="5" t="s">
        <v>5</v>
      </c>
      <c r="AN483" s="5" t="s">
        <v>5</v>
      </c>
      <c r="AO483" s="2">
        <v>392</v>
      </c>
      <c r="AP483" s="2">
        <v>100</v>
      </c>
      <c r="AQ483" s="4">
        <v>55.2</v>
      </c>
      <c r="AR483" s="7">
        <v>3.03</v>
      </c>
      <c r="AS483" s="14">
        <v>750</v>
      </c>
      <c r="AT483" s="14">
        <v>124</v>
      </c>
      <c r="AU483" s="13">
        <v>75</v>
      </c>
      <c r="AV483" s="21">
        <v>4.2</v>
      </c>
      <c r="AW483" s="5" t="s">
        <v>5</v>
      </c>
      <c r="AX483" s="5" t="s">
        <v>5</v>
      </c>
      <c r="AY483" s="5" t="s">
        <v>5</v>
      </c>
      <c r="AZ483" s="5" t="s">
        <v>5</v>
      </c>
      <c r="BA483" s="5" t="s">
        <v>5</v>
      </c>
      <c r="BB483" s="5" t="s">
        <v>5</v>
      </c>
      <c r="BC483" s="5" t="s">
        <v>5</v>
      </c>
      <c r="BD483" s="5" t="s">
        <v>5</v>
      </c>
      <c r="BE483" s="5" t="s">
        <v>5</v>
      </c>
      <c r="BF483" s="5" t="s">
        <v>5</v>
      </c>
      <c r="BG483" s="5" t="s">
        <v>5</v>
      </c>
      <c r="BH483" s="5" t="s">
        <v>5</v>
      </c>
      <c r="BI483" s="21">
        <v>5.68</v>
      </c>
      <c r="BJ483" s="35">
        <v>0.83099999999999996</v>
      </c>
      <c r="BK483" s="5" t="s">
        <v>5</v>
      </c>
      <c r="BL483" s="5" t="s">
        <v>5</v>
      </c>
      <c r="BM483" s="5" t="s">
        <v>5</v>
      </c>
      <c r="BN483" s="5" t="s">
        <v>5</v>
      </c>
      <c r="BO483" s="5" t="s">
        <v>5</v>
      </c>
      <c r="BP483" s="5" t="s">
        <v>5</v>
      </c>
      <c r="BQ483" s="5" t="s">
        <v>5</v>
      </c>
      <c r="BR483" s="5" t="s">
        <v>5</v>
      </c>
      <c r="BS483" s="5" t="s">
        <v>5</v>
      </c>
      <c r="BT483" s="5" t="s">
        <v>5</v>
      </c>
      <c r="BU483" s="5" t="s">
        <v>5</v>
      </c>
      <c r="BV483" s="5" t="s">
        <v>5</v>
      </c>
      <c r="BW483" s="5" t="s">
        <v>5</v>
      </c>
      <c r="BX483" s="5" t="s">
        <v>5</v>
      </c>
      <c r="BY483" s="5" t="s">
        <v>5</v>
      </c>
      <c r="BZ483" s="5" t="s">
        <v>5</v>
      </c>
      <c r="CA483" s="5" t="s">
        <v>5</v>
      </c>
      <c r="CB483" s="5" t="s">
        <v>5</v>
      </c>
      <c r="CC483" s="5" t="s">
        <v>5</v>
      </c>
      <c r="CD483" s="5" t="s">
        <v>5</v>
      </c>
      <c r="CE483" s="5" t="s">
        <v>5</v>
      </c>
      <c r="CF483" s="16" t="s">
        <v>5</v>
      </c>
      <c r="CG483" s="16" t="s">
        <v>5</v>
      </c>
      <c r="CH483" s="18" t="s">
        <v>5</v>
      </c>
    </row>
    <row r="484" spans="2:86">
      <c r="B484" s="78" t="s">
        <v>473</v>
      </c>
      <c r="C484" s="79" t="s">
        <v>584</v>
      </c>
      <c r="D484" s="80" t="s">
        <v>584</v>
      </c>
      <c r="E484" s="1" t="s">
        <v>4</v>
      </c>
      <c r="F484" s="2">
        <v>145</v>
      </c>
      <c r="G484" s="4">
        <v>42.6</v>
      </c>
      <c r="H484" s="3" t="str">
        <f t="shared" si="26"/>
        <v>2L10X10X1-1/8X3/4</v>
      </c>
      <c r="I484" s="4">
        <v>10</v>
      </c>
      <c r="J484" s="5" t="s">
        <v>5</v>
      </c>
      <c r="K484" s="5" t="s">
        <v>5</v>
      </c>
      <c r="L484" s="5" t="s">
        <v>5</v>
      </c>
      <c r="M484" s="5" t="s">
        <v>5</v>
      </c>
      <c r="N484" s="5" t="s">
        <v>5</v>
      </c>
      <c r="O484" s="5" t="s">
        <v>5</v>
      </c>
      <c r="P484" s="5" t="s">
        <v>5</v>
      </c>
      <c r="Q484" s="4">
        <v>10</v>
      </c>
      <c r="R484" s="5" t="s">
        <v>5</v>
      </c>
      <c r="S484" s="5" t="s">
        <v>5</v>
      </c>
      <c r="T484" s="5" t="s">
        <v>5</v>
      </c>
      <c r="U484" s="5" t="s">
        <v>5</v>
      </c>
      <c r="V484" s="5" t="s">
        <v>5</v>
      </c>
      <c r="W484" s="5" t="s">
        <v>5</v>
      </c>
      <c r="X484" s="6">
        <v>1.1299999999999999</v>
      </c>
      <c r="Y484" s="5" t="s">
        <v>5</v>
      </c>
      <c r="Z484" s="5" t="s">
        <v>5</v>
      </c>
      <c r="AA484" s="5" t="s">
        <v>5</v>
      </c>
      <c r="AB484" s="5" t="s">
        <v>5</v>
      </c>
      <c r="AC484" s="5" t="s">
        <v>5</v>
      </c>
      <c r="AD484" s="5" t="s">
        <v>5</v>
      </c>
      <c r="AE484" s="7">
        <v>2.9</v>
      </c>
      <c r="AF484" s="5" t="s">
        <v>5</v>
      </c>
      <c r="AG484" s="5" t="s">
        <v>5</v>
      </c>
      <c r="AH484" s="7">
        <v>1.07</v>
      </c>
      <c r="AI484" s="5" t="s">
        <v>5</v>
      </c>
      <c r="AJ484" s="7">
        <v>8.85</v>
      </c>
      <c r="AK484" s="5" t="s">
        <v>5</v>
      </c>
      <c r="AL484" s="5" t="s">
        <v>5</v>
      </c>
      <c r="AM484" s="5" t="s">
        <v>5</v>
      </c>
      <c r="AN484" s="5" t="s">
        <v>5</v>
      </c>
      <c r="AO484" s="2">
        <v>392</v>
      </c>
      <c r="AP484" s="2">
        <v>100</v>
      </c>
      <c r="AQ484" s="4">
        <v>55.2</v>
      </c>
      <c r="AR484" s="7">
        <v>3.03</v>
      </c>
      <c r="AS484" s="14">
        <v>849</v>
      </c>
      <c r="AT484" s="14">
        <v>140</v>
      </c>
      <c r="AU484" s="13">
        <v>81.8</v>
      </c>
      <c r="AV484" s="21">
        <v>4.46</v>
      </c>
      <c r="AW484" s="5" t="s">
        <v>5</v>
      </c>
      <c r="AX484" s="5" t="s">
        <v>5</v>
      </c>
      <c r="AY484" s="5" t="s">
        <v>5</v>
      </c>
      <c r="AZ484" s="5" t="s">
        <v>5</v>
      </c>
      <c r="BA484" s="5" t="s">
        <v>5</v>
      </c>
      <c r="BB484" s="5" t="s">
        <v>5</v>
      </c>
      <c r="BC484" s="5" t="s">
        <v>5</v>
      </c>
      <c r="BD484" s="5" t="s">
        <v>5</v>
      </c>
      <c r="BE484" s="5" t="s">
        <v>5</v>
      </c>
      <c r="BF484" s="5" t="s">
        <v>5</v>
      </c>
      <c r="BG484" s="5" t="s">
        <v>5</v>
      </c>
      <c r="BH484" s="5" t="s">
        <v>5</v>
      </c>
      <c r="BI484" s="21">
        <v>5.88</v>
      </c>
      <c r="BJ484" s="35">
        <v>0.84199999999999997</v>
      </c>
      <c r="BK484" s="5" t="s">
        <v>5</v>
      </c>
      <c r="BL484" s="5" t="s">
        <v>5</v>
      </c>
      <c r="BM484" s="5" t="s">
        <v>5</v>
      </c>
      <c r="BN484" s="5" t="s">
        <v>5</v>
      </c>
      <c r="BO484" s="5" t="s">
        <v>5</v>
      </c>
      <c r="BP484" s="5" t="s">
        <v>5</v>
      </c>
      <c r="BQ484" s="5" t="s">
        <v>5</v>
      </c>
      <c r="BR484" s="5" t="s">
        <v>5</v>
      </c>
      <c r="BS484" s="5" t="s">
        <v>5</v>
      </c>
      <c r="BT484" s="5" t="s">
        <v>5</v>
      </c>
      <c r="BU484" s="5" t="s">
        <v>5</v>
      </c>
      <c r="BV484" s="5" t="s">
        <v>5</v>
      </c>
      <c r="BW484" s="5" t="s">
        <v>5</v>
      </c>
      <c r="BX484" s="5" t="s">
        <v>5</v>
      </c>
      <c r="BY484" s="5" t="s">
        <v>5</v>
      </c>
      <c r="BZ484" s="5" t="s">
        <v>5</v>
      </c>
      <c r="CA484" s="5" t="s">
        <v>5</v>
      </c>
      <c r="CB484" s="5" t="s">
        <v>5</v>
      </c>
      <c r="CC484" s="5" t="s">
        <v>5</v>
      </c>
      <c r="CD484" s="5" t="s">
        <v>5</v>
      </c>
      <c r="CE484" s="5" t="s">
        <v>5</v>
      </c>
      <c r="CF484" s="16" t="s">
        <v>5</v>
      </c>
      <c r="CG484" s="16" t="s">
        <v>5</v>
      </c>
      <c r="CH484" s="18" t="s">
        <v>5</v>
      </c>
    </row>
    <row r="485" spans="2:86">
      <c r="B485" s="78" t="s">
        <v>473</v>
      </c>
      <c r="C485" s="79" t="s">
        <v>585</v>
      </c>
      <c r="D485" s="80" t="s">
        <v>585</v>
      </c>
      <c r="E485" s="1" t="s">
        <v>4</v>
      </c>
      <c r="F485" s="2">
        <v>145</v>
      </c>
      <c r="G485" s="4">
        <v>42.6</v>
      </c>
      <c r="H485" s="3" t="str">
        <f t="shared" si="26"/>
        <v>2L10X10X1-1/8X1-1/2</v>
      </c>
      <c r="I485" s="4">
        <v>10</v>
      </c>
      <c r="J485" s="5" t="s">
        <v>5</v>
      </c>
      <c r="K485" s="5" t="s">
        <v>5</v>
      </c>
      <c r="L485" s="5" t="s">
        <v>5</v>
      </c>
      <c r="M485" s="5" t="s">
        <v>5</v>
      </c>
      <c r="N485" s="5" t="s">
        <v>5</v>
      </c>
      <c r="O485" s="5" t="s">
        <v>5</v>
      </c>
      <c r="P485" s="5" t="s">
        <v>5</v>
      </c>
      <c r="Q485" s="4">
        <v>10</v>
      </c>
      <c r="R485" s="5" t="s">
        <v>5</v>
      </c>
      <c r="S485" s="5" t="s">
        <v>5</v>
      </c>
      <c r="T485" s="5" t="s">
        <v>5</v>
      </c>
      <c r="U485" s="5" t="s">
        <v>5</v>
      </c>
      <c r="V485" s="5" t="s">
        <v>5</v>
      </c>
      <c r="W485" s="5" t="s">
        <v>5</v>
      </c>
      <c r="X485" s="6">
        <v>1.1299999999999999</v>
      </c>
      <c r="Y485" s="5" t="s">
        <v>5</v>
      </c>
      <c r="Z485" s="5" t="s">
        <v>5</v>
      </c>
      <c r="AA485" s="5" t="s">
        <v>5</v>
      </c>
      <c r="AB485" s="5" t="s">
        <v>5</v>
      </c>
      <c r="AC485" s="5" t="s">
        <v>5</v>
      </c>
      <c r="AD485" s="5" t="s">
        <v>5</v>
      </c>
      <c r="AE485" s="7">
        <v>2.9</v>
      </c>
      <c r="AF485" s="5" t="s">
        <v>5</v>
      </c>
      <c r="AG485" s="5" t="s">
        <v>5</v>
      </c>
      <c r="AH485" s="7">
        <v>1.07</v>
      </c>
      <c r="AI485" s="5" t="s">
        <v>5</v>
      </c>
      <c r="AJ485" s="7">
        <v>8.85</v>
      </c>
      <c r="AK485" s="5" t="s">
        <v>5</v>
      </c>
      <c r="AL485" s="5" t="s">
        <v>5</v>
      </c>
      <c r="AM485" s="5" t="s">
        <v>5</v>
      </c>
      <c r="AN485" s="5" t="s">
        <v>5</v>
      </c>
      <c r="AO485" s="2">
        <v>392</v>
      </c>
      <c r="AP485" s="2">
        <v>100</v>
      </c>
      <c r="AQ485" s="4">
        <v>55.2</v>
      </c>
      <c r="AR485" s="7">
        <v>3.03</v>
      </c>
      <c r="AS485" s="14">
        <v>960</v>
      </c>
      <c r="AT485" s="14">
        <v>155</v>
      </c>
      <c r="AU485" s="13">
        <v>89.3</v>
      </c>
      <c r="AV485" s="21">
        <v>4.75</v>
      </c>
      <c r="AW485" s="5" t="s">
        <v>5</v>
      </c>
      <c r="AX485" s="5" t="s">
        <v>5</v>
      </c>
      <c r="AY485" s="5" t="s">
        <v>5</v>
      </c>
      <c r="AZ485" s="5" t="s">
        <v>5</v>
      </c>
      <c r="BA485" s="5" t="s">
        <v>5</v>
      </c>
      <c r="BB485" s="5" t="s">
        <v>5</v>
      </c>
      <c r="BC485" s="5" t="s">
        <v>5</v>
      </c>
      <c r="BD485" s="5" t="s">
        <v>5</v>
      </c>
      <c r="BE485" s="5" t="s">
        <v>5</v>
      </c>
      <c r="BF485" s="5" t="s">
        <v>5</v>
      </c>
      <c r="BG485" s="5" t="s">
        <v>5</v>
      </c>
      <c r="BH485" s="5" t="s">
        <v>5</v>
      </c>
      <c r="BI485" s="21">
        <v>6.1</v>
      </c>
      <c r="BJ485" s="35">
        <v>0.85299999999999998</v>
      </c>
      <c r="BK485" s="5" t="s">
        <v>5</v>
      </c>
      <c r="BL485" s="5" t="s">
        <v>5</v>
      </c>
      <c r="BM485" s="5" t="s">
        <v>5</v>
      </c>
      <c r="BN485" s="5" t="s">
        <v>5</v>
      </c>
      <c r="BO485" s="5" t="s">
        <v>5</v>
      </c>
      <c r="BP485" s="5" t="s">
        <v>5</v>
      </c>
      <c r="BQ485" s="5" t="s">
        <v>5</v>
      </c>
      <c r="BR485" s="5" t="s">
        <v>5</v>
      </c>
      <c r="BS485" s="5" t="s">
        <v>5</v>
      </c>
      <c r="BT485" s="5" t="s">
        <v>5</v>
      </c>
      <c r="BU485" s="5" t="s">
        <v>5</v>
      </c>
      <c r="BV485" s="5" t="s">
        <v>5</v>
      </c>
      <c r="BW485" s="5" t="s">
        <v>5</v>
      </c>
      <c r="BX485" s="5" t="s">
        <v>5</v>
      </c>
      <c r="BY485" s="5" t="s">
        <v>5</v>
      </c>
      <c r="BZ485" s="5" t="s">
        <v>5</v>
      </c>
      <c r="CA485" s="5" t="s">
        <v>5</v>
      </c>
      <c r="CB485" s="5" t="s">
        <v>5</v>
      </c>
      <c r="CC485" s="5" t="s">
        <v>5</v>
      </c>
      <c r="CD485" s="5" t="s">
        <v>5</v>
      </c>
      <c r="CE485" s="5" t="s">
        <v>5</v>
      </c>
      <c r="CF485" s="16" t="s">
        <v>5</v>
      </c>
      <c r="CG485" s="16" t="s">
        <v>5</v>
      </c>
      <c r="CH485" s="18" t="s">
        <v>5</v>
      </c>
    </row>
    <row r="486" spans="2:86">
      <c r="B486" s="78" t="s">
        <v>473</v>
      </c>
      <c r="C486" s="79" t="s">
        <v>586</v>
      </c>
      <c r="D486" s="80" t="s">
        <v>586</v>
      </c>
      <c r="E486" s="1" t="s">
        <v>4</v>
      </c>
      <c r="F486" s="14">
        <v>129</v>
      </c>
      <c r="G486" s="4">
        <v>38</v>
      </c>
      <c r="H486" s="3" t="str">
        <f t="shared" si="26"/>
        <v>2L10X10X1</v>
      </c>
      <c r="I486" s="4">
        <v>10</v>
      </c>
      <c r="J486" s="5" t="s">
        <v>5</v>
      </c>
      <c r="K486" s="5" t="s">
        <v>5</v>
      </c>
      <c r="L486" s="5" t="s">
        <v>5</v>
      </c>
      <c r="M486" s="5" t="s">
        <v>5</v>
      </c>
      <c r="N486" s="5" t="s">
        <v>5</v>
      </c>
      <c r="O486" s="5" t="s">
        <v>5</v>
      </c>
      <c r="P486" s="5" t="s">
        <v>5</v>
      </c>
      <c r="Q486" s="4">
        <v>10</v>
      </c>
      <c r="R486" s="5" t="s">
        <v>5</v>
      </c>
      <c r="S486" s="5" t="s">
        <v>5</v>
      </c>
      <c r="T486" s="5" t="s">
        <v>5</v>
      </c>
      <c r="U486" s="5" t="s">
        <v>5</v>
      </c>
      <c r="V486" s="5" t="s">
        <v>5</v>
      </c>
      <c r="W486" s="5" t="s">
        <v>5</v>
      </c>
      <c r="X486" s="7">
        <v>1</v>
      </c>
      <c r="Y486" s="5" t="s">
        <v>5</v>
      </c>
      <c r="Z486" s="5" t="s">
        <v>5</v>
      </c>
      <c r="AA486" s="5" t="s">
        <v>5</v>
      </c>
      <c r="AB486" s="5" t="s">
        <v>5</v>
      </c>
      <c r="AC486" s="5" t="s">
        <v>5</v>
      </c>
      <c r="AD486" s="5" t="s">
        <v>5</v>
      </c>
      <c r="AE486" s="7">
        <v>2.86</v>
      </c>
      <c r="AF486" s="5" t="s">
        <v>5</v>
      </c>
      <c r="AG486" s="5" t="s">
        <v>5</v>
      </c>
      <c r="AH486" s="22">
        <v>0.95</v>
      </c>
      <c r="AI486" s="5" t="s">
        <v>5</v>
      </c>
      <c r="AJ486" s="4">
        <v>10</v>
      </c>
      <c r="AK486" s="5" t="s">
        <v>5</v>
      </c>
      <c r="AL486" s="5" t="s">
        <v>5</v>
      </c>
      <c r="AM486" s="5" t="s">
        <v>5</v>
      </c>
      <c r="AN486" s="5" t="s">
        <v>5</v>
      </c>
      <c r="AO486" s="2">
        <v>354</v>
      </c>
      <c r="AP486" s="4">
        <v>90</v>
      </c>
      <c r="AQ486" s="4">
        <v>49.6</v>
      </c>
      <c r="AR486" s="7">
        <v>3.05</v>
      </c>
      <c r="AS486" s="14">
        <v>665</v>
      </c>
      <c r="AT486" s="14">
        <v>109</v>
      </c>
      <c r="AU486" s="13">
        <v>66.5</v>
      </c>
      <c r="AV486" s="21">
        <v>4.18</v>
      </c>
      <c r="AW486" s="5" t="s">
        <v>5</v>
      </c>
      <c r="AX486" s="5" t="s">
        <v>5</v>
      </c>
      <c r="AY486" s="5" t="s">
        <v>5</v>
      </c>
      <c r="AZ486" s="5" t="s">
        <v>5</v>
      </c>
      <c r="BA486" s="5" t="s">
        <v>5</v>
      </c>
      <c r="BB486" s="5" t="s">
        <v>5</v>
      </c>
      <c r="BC486" s="5" t="s">
        <v>5</v>
      </c>
      <c r="BD486" s="5" t="s">
        <v>5</v>
      </c>
      <c r="BE486" s="5" t="s">
        <v>5</v>
      </c>
      <c r="BF486" s="5" t="s">
        <v>5</v>
      </c>
      <c r="BG486" s="5" t="s">
        <v>5</v>
      </c>
      <c r="BH486" s="5" t="s">
        <v>5</v>
      </c>
      <c r="BI486" s="21">
        <v>5.69</v>
      </c>
      <c r="BJ486" s="35">
        <v>0.82799999999999996</v>
      </c>
      <c r="BK486" s="5" t="s">
        <v>5</v>
      </c>
      <c r="BL486" s="5" t="s">
        <v>5</v>
      </c>
      <c r="BM486" s="5" t="s">
        <v>5</v>
      </c>
      <c r="BN486" s="5" t="s">
        <v>5</v>
      </c>
      <c r="BO486" s="5" t="s">
        <v>5</v>
      </c>
      <c r="BP486" s="5" t="s">
        <v>5</v>
      </c>
      <c r="BQ486" s="5" t="s">
        <v>5</v>
      </c>
      <c r="BR486" s="5" t="s">
        <v>5</v>
      </c>
      <c r="BS486" s="5" t="s">
        <v>5</v>
      </c>
      <c r="BT486" s="5" t="s">
        <v>5</v>
      </c>
      <c r="BU486" s="5" t="s">
        <v>5</v>
      </c>
      <c r="BV486" s="5" t="s">
        <v>5</v>
      </c>
      <c r="BW486" s="5" t="s">
        <v>5</v>
      </c>
      <c r="BX486" s="5" t="s">
        <v>5</v>
      </c>
      <c r="BY486" s="5" t="s">
        <v>5</v>
      </c>
      <c r="BZ486" s="5" t="s">
        <v>5</v>
      </c>
      <c r="CA486" s="5" t="s">
        <v>5</v>
      </c>
      <c r="CB486" s="5" t="s">
        <v>5</v>
      </c>
      <c r="CC486" s="5" t="s">
        <v>5</v>
      </c>
      <c r="CD486" s="5" t="s">
        <v>5</v>
      </c>
      <c r="CE486" s="5" t="s">
        <v>5</v>
      </c>
      <c r="CF486" s="16" t="s">
        <v>5</v>
      </c>
      <c r="CG486" s="16" t="s">
        <v>5</v>
      </c>
      <c r="CH486" s="18" t="s">
        <v>5</v>
      </c>
    </row>
    <row r="487" spans="2:86">
      <c r="B487" s="78" t="s">
        <v>473</v>
      </c>
      <c r="C487" s="79" t="s">
        <v>587</v>
      </c>
      <c r="D487" s="80" t="s">
        <v>587</v>
      </c>
      <c r="E487" s="1" t="s">
        <v>4</v>
      </c>
      <c r="F487" s="2">
        <v>129</v>
      </c>
      <c r="G487" s="4">
        <v>38</v>
      </c>
      <c r="H487" s="3" t="str">
        <f t="shared" si="26"/>
        <v>2L10X10X1X3/4</v>
      </c>
      <c r="I487" s="4">
        <v>10</v>
      </c>
      <c r="J487" s="5" t="s">
        <v>5</v>
      </c>
      <c r="K487" s="5" t="s">
        <v>5</v>
      </c>
      <c r="L487" s="5" t="s">
        <v>5</v>
      </c>
      <c r="M487" s="5" t="s">
        <v>5</v>
      </c>
      <c r="N487" s="5" t="s">
        <v>5</v>
      </c>
      <c r="O487" s="5" t="s">
        <v>5</v>
      </c>
      <c r="P487" s="5" t="s">
        <v>5</v>
      </c>
      <c r="Q487" s="4">
        <v>10</v>
      </c>
      <c r="R487" s="5" t="s">
        <v>5</v>
      </c>
      <c r="S487" s="5" t="s">
        <v>5</v>
      </c>
      <c r="T487" s="5" t="s">
        <v>5</v>
      </c>
      <c r="U487" s="5" t="s">
        <v>5</v>
      </c>
      <c r="V487" s="5" t="s">
        <v>5</v>
      </c>
      <c r="W487" s="5" t="s">
        <v>5</v>
      </c>
      <c r="X487" s="7">
        <v>1</v>
      </c>
      <c r="Y487" s="5" t="s">
        <v>5</v>
      </c>
      <c r="Z487" s="5" t="s">
        <v>5</v>
      </c>
      <c r="AA487" s="5" t="s">
        <v>5</v>
      </c>
      <c r="AB487" s="5" t="s">
        <v>5</v>
      </c>
      <c r="AC487" s="5" t="s">
        <v>5</v>
      </c>
      <c r="AD487" s="5" t="s">
        <v>5</v>
      </c>
      <c r="AE487" s="7">
        <v>2.86</v>
      </c>
      <c r="AF487" s="5" t="s">
        <v>5</v>
      </c>
      <c r="AG487" s="5" t="s">
        <v>5</v>
      </c>
      <c r="AH487" s="22">
        <v>0.95</v>
      </c>
      <c r="AI487" s="5" t="s">
        <v>5</v>
      </c>
      <c r="AJ487" s="4">
        <v>10</v>
      </c>
      <c r="AK487" s="5" t="s">
        <v>5</v>
      </c>
      <c r="AL487" s="5" t="s">
        <v>5</v>
      </c>
      <c r="AM487" s="5" t="s">
        <v>5</v>
      </c>
      <c r="AN487" s="5" t="s">
        <v>5</v>
      </c>
      <c r="AO487" s="2">
        <v>354</v>
      </c>
      <c r="AP487" s="4">
        <v>90</v>
      </c>
      <c r="AQ487" s="4">
        <v>49.6</v>
      </c>
      <c r="AR487" s="7">
        <v>3.05</v>
      </c>
      <c r="AS487" s="14">
        <v>752</v>
      </c>
      <c r="AT487" s="14">
        <v>123</v>
      </c>
      <c r="AU487" s="13">
        <v>72.5</v>
      </c>
      <c r="AV487" s="21">
        <v>4.45</v>
      </c>
      <c r="AW487" s="5" t="s">
        <v>5</v>
      </c>
      <c r="AX487" s="5" t="s">
        <v>5</v>
      </c>
      <c r="AY487" s="5" t="s">
        <v>5</v>
      </c>
      <c r="AZ487" s="5" t="s">
        <v>5</v>
      </c>
      <c r="BA487" s="5" t="s">
        <v>5</v>
      </c>
      <c r="BB487" s="5" t="s">
        <v>5</v>
      </c>
      <c r="BC487" s="5" t="s">
        <v>5</v>
      </c>
      <c r="BD487" s="5" t="s">
        <v>5</v>
      </c>
      <c r="BE487" s="5" t="s">
        <v>5</v>
      </c>
      <c r="BF487" s="5" t="s">
        <v>5</v>
      </c>
      <c r="BG487" s="5" t="s">
        <v>5</v>
      </c>
      <c r="BH487" s="5" t="s">
        <v>5</v>
      </c>
      <c r="BI487" s="21">
        <v>5.89</v>
      </c>
      <c r="BJ487" s="35">
        <v>0.83899999999999997</v>
      </c>
      <c r="BK487" s="5" t="s">
        <v>5</v>
      </c>
      <c r="BL487" s="5" t="s">
        <v>5</v>
      </c>
      <c r="BM487" s="5" t="s">
        <v>5</v>
      </c>
      <c r="BN487" s="5" t="s">
        <v>5</v>
      </c>
      <c r="BO487" s="5" t="s">
        <v>5</v>
      </c>
      <c r="BP487" s="5" t="s">
        <v>5</v>
      </c>
      <c r="BQ487" s="5" t="s">
        <v>5</v>
      </c>
      <c r="BR487" s="5" t="s">
        <v>5</v>
      </c>
      <c r="BS487" s="5" t="s">
        <v>5</v>
      </c>
      <c r="BT487" s="5" t="s">
        <v>5</v>
      </c>
      <c r="BU487" s="5" t="s">
        <v>5</v>
      </c>
      <c r="BV487" s="5" t="s">
        <v>5</v>
      </c>
      <c r="BW487" s="5" t="s">
        <v>5</v>
      </c>
      <c r="BX487" s="5" t="s">
        <v>5</v>
      </c>
      <c r="BY487" s="5" t="s">
        <v>5</v>
      </c>
      <c r="BZ487" s="5" t="s">
        <v>5</v>
      </c>
      <c r="CA487" s="5" t="s">
        <v>5</v>
      </c>
      <c r="CB487" s="5" t="s">
        <v>5</v>
      </c>
      <c r="CC487" s="5" t="s">
        <v>5</v>
      </c>
      <c r="CD487" s="5" t="s">
        <v>5</v>
      </c>
      <c r="CE487" s="5" t="s">
        <v>5</v>
      </c>
      <c r="CF487" s="16" t="s">
        <v>5</v>
      </c>
      <c r="CG487" s="16" t="s">
        <v>5</v>
      </c>
      <c r="CH487" s="18" t="s">
        <v>5</v>
      </c>
    </row>
    <row r="488" spans="2:86">
      <c r="B488" s="78" t="s">
        <v>473</v>
      </c>
      <c r="C488" s="79" t="s">
        <v>588</v>
      </c>
      <c r="D488" s="80" t="s">
        <v>588</v>
      </c>
      <c r="E488" s="1" t="s">
        <v>4</v>
      </c>
      <c r="F488" s="2">
        <v>129</v>
      </c>
      <c r="G488" s="4">
        <v>38</v>
      </c>
      <c r="H488" s="3" t="str">
        <f t="shared" si="26"/>
        <v>2L10X10X1X1-1/2</v>
      </c>
      <c r="I488" s="4">
        <v>10</v>
      </c>
      <c r="J488" s="5" t="s">
        <v>5</v>
      </c>
      <c r="K488" s="5" t="s">
        <v>5</v>
      </c>
      <c r="L488" s="5" t="s">
        <v>5</v>
      </c>
      <c r="M488" s="5" t="s">
        <v>5</v>
      </c>
      <c r="N488" s="5" t="s">
        <v>5</v>
      </c>
      <c r="O488" s="5" t="s">
        <v>5</v>
      </c>
      <c r="P488" s="5" t="s">
        <v>5</v>
      </c>
      <c r="Q488" s="4">
        <v>10</v>
      </c>
      <c r="R488" s="5" t="s">
        <v>5</v>
      </c>
      <c r="S488" s="5" t="s">
        <v>5</v>
      </c>
      <c r="T488" s="5" t="s">
        <v>5</v>
      </c>
      <c r="U488" s="5" t="s">
        <v>5</v>
      </c>
      <c r="V488" s="5" t="s">
        <v>5</v>
      </c>
      <c r="W488" s="5" t="s">
        <v>5</v>
      </c>
      <c r="X488" s="7">
        <v>1</v>
      </c>
      <c r="Y488" s="5" t="s">
        <v>5</v>
      </c>
      <c r="Z488" s="5" t="s">
        <v>5</v>
      </c>
      <c r="AA488" s="5" t="s">
        <v>5</v>
      </c>
      <c r="AB488" s="5" t="s">
        <v>5</v>
      </c>
      <c r="AC488" s="5" t="s">
        <v>5</v>
      </c>
      <c r="AD488" s="5" t="s">
        <v>5</v>
      </c>
      <c r="AE488" s="7">
        <v>2.86</v>
      </c>
      <c r="AF488" s="5" t="s">
        <v>5</v>
      </c>
      <c r="AG488" s="5" t="s">
        <v>5</v>
      </c>
      <c r="AH488" s="22">
        <v>0.95</v>
      </c>
      <c r="AI488" s="5" t="s">
        <v>5</v>
      </c>
      <c r="AJ488" s="4">
        <v>10</v>
      </c>
      <c r="AK488" s="5" t="s">
        <v>5</v>
      </c>
      <c r="AL488" s="5" t="s">
        <v>5</v>
      </c>
      <c r="AM488" s="5" t="s">
        <v>5</v>
      </c>
      <c r="AN488" s="5" t="s">
        <v>5</v>
      </c>
      <c r="AO488" s="2">
        <v>354</v>
      </c>
      <c r="AP488" s="4">
        <v>90</v>
      </c>
      <c r="AQ488" s="4">
        <v>49.6</v>
      </c>
      <c r="AR488" s="7">
        <v>3.05</v>
      </c>
      <c r="AS488" s="14">
        <v>849</v>
      </c>
      <c r="AT488" s="14">
        <v>137</v>
      </c>
      <c r="AU488" s="13">
        <v>79</v>
      </c>
      <c r="AV488" s="21">
        <v>4.7300000000000004</v>
      </c>
      <c r="AW488" s="5" t="s">
        <v>5</v>
      </c>
      <c r="AX488" s="5" t="s">
        <v>5</v>
      </c>
      <c r="AY488" s="5" t="s">
        <v>5</v>
      </c>
      <c r="AZ488" s="5" t="s">
        <v>5</v>
      </c>
      <c r="BA488" s="5" t="s">
        <v>5</v>
      </c>
      <c r="BB488" s="5" t="s">
        <v>5</v>
      </c>
      <c r="BC488" s="5" t="s">
        <v>5</v>
      </c>
      <c r="BD488" s="5" t="s">
        <v>5</v>
      </c>
      <c r="BE488" s="5" t="s">
        <v>5</v>
      </c>
      <c r="BF488" s="5" t="s">
        <v>5</v>
      </c>
      <c r="BG488" s="5" t="s">
        <v>5</v>
      </c>
      <c r="BH488" s="5" t="s">
        <v>5</v>
      </c>
      <c r="BI488" s="21">
        <v>6.1</v>
      </c>
      <c r="BJ488" s="35">
        <v>0.85</v>
      </c>
      <c r="BK488" s="5" t="s">
        <v>5</v>
      </c>
      <c r="BL488" s="5" t="s">
        <v>5</v>
      </c>
      <c r="BM488" s="5" t="s">
        <v>5</v>
      </c>
      <c r="BN488" s="5" t="s">
        <v>5</v>
      </c>
      <c r="BO488" s="5" t="s">
        <v>5</v>
      </c>
      <c r="BP488" s="5" t="s">
        <v>5</v>
      </c>
      <c r="BQ488" s="5" t="s">
        <v>5</v>
      </c>
      <c r="BR488" s="5" t="s">
        <v>5</v>
      </c>
      <c r="BS488" s="5" t="s">
        <v>5</v>
      </c>
      <c r="BT488" s="5" t="s">
        <v>5</v>
      </c>
      <c r="BU488" s="5" t="s">
        <v>5</v>
      </c>
      <c r="BV488" s="5" t="s">
        <v>5</v>
      </c>
      <c r="BW488" s="5" t="s">
        <v>5</v>
      </c>
      <c r="BX488" s="5" t="s">
        <v>5</v>
      </c>
      <c r="BY488" s="5" t="s">
        <v>5</v>
      </c>
      <c r="BZ488" s="5" t="s">
        <v>5</v>
      </c>
      <c r="CA488" s="5" t="s">
        <v>5</v>
      </c>
      <c r="CB488" s="5" t="s">
        <v>5</v>
      </c>
      <c r="CC488" s="5" t="s">
        <v>5</v>
      </c>
      <c r="CD488" s="5" t="s">
        <v>5</v>
      </c>
      <c r="CE488" s="5" t="s">
        <v>5</v>
      </c>
      <c r="CF488" s="16" t="s">
        <v>5</v>
      </c>
      <c r="CG488" s="16" t="s">
        <v>5</v>
      </c>
      <c r="CH488" s="18" t="s">
        <v>5</v>
      </c>
    </row>
    <row r="489" spans="2:86">
      <c r="B489" s="78" t="s">
        <v>473</v>
      </c>
      <c r="C489" s="79" t="s">
        <v>589</v>
      </c>
      <c r="D489" s="80" t="s">
        <v>589</v>
      </c>
      <c r="E489" s="1" t="s">
        <v>4</v>
      </c>
      <c r="F489" s="14">
        <v>114</v>
      </c>
      <c r="G489" s="4">
        <v>33.6</v>
      </c>
      <c r="H489" s="3" t="str">
        <f t="shared" si="26"/>
        <v>2L10X10X7/8</v>
      </c>
      <c r="I489" s="4">
        <v>10</v>
      </c>
      <c r="J489" s="5" t="s">
        <v>5</v>
      </c>
      <c r="K489" s="5" t="s">
        <v>5</v>
      </c>
      <c r="L489" s="5" t="s">
        <v>5</v>
      </c>
      <c r="M489" s="5" t="s">
        <v>5</v>
      </c>
      <c r="N489" s="5" t="s">
        <v>5</v>
      </c>
      <c r="O489" s="5" t="s">
        <v>5</v>
      </c>
      <c r="P489" s="5" t="s">
        <v>5</v>
      </c>
      <c r="Q489" s="4">
        <v>10</v>
      </c>
      <c r="R489" s="5" t="s">
        <v>5</v>
      </c>
      <c r="S489" s="5" t="s">
        <v>5</v>
      </c>
      <c r="T489" s="5" t="s">
        <v>5</v>
      </c>
      <c r="U489" s="5" t="s">
        <v>5</v>
      </c>
      <c r="V489" s="5" t="s">
        <v>5</v>
      </c>
      <c r="W489" s="5" t="s">
        <v>5</v>
      </c>
      <c r="X489" s="6">
        <v>0.875</v>
      </c>
      <c r="Y489" s="5" t="s">
        <v>5</v>
      </c>
      <c r="Z489" s="5" t="s">
        <v>5</v>
      </c>
      <c r="AA489" s="5" t="s">
        <v>5</v>
      </c>
      <c r="AB489" s="5" t="s">
        <v>5</v>
      </c>
      <c r="AC489" s="5" t="s">
        <v>5</v>
      </c>
      <c r="AD489" s="5" t="s">
        <v>5</v>
      </c>
      <c r="AE489" s="7">
        <v>2.8</v>
      </c>
      <c r="AF489" s="5" t="s">
        <v>5</v>
      </c>
      <c r="AG489" s="5" t="s">
        <v>5</v>
      </c>
      <c r="AH489" s="22">
        <v>0.84</v>
      </c>
      <c r="AI489" s="5" t="s">
        <v>5</v>
      </c>
      <c r="AJ489" s="4">
        <v>11.4</v>
      </c>
      <c r="AK489" s="5" t="s">
        <v>5</v>
      </c>
      <c r="AL489" s="5" t="s">
        <v>5</v>
      </c>
      <c r="AM489" s="5" t="s">
        <v>5</v>
      </c>
      <c r="AN489" s="5" t="s">
        <v>5</v>
      </c>
      <c r="AO489" s="2">
        <v>316</v>
      </c>
      <c r="AP489" s="4">
        <v>79.8</v>
      </c>
      <c r="AQ489" s="4">
        <v>43.8</v>
      </c>
      <c r="AR489" s="7">
        <v>3.07</v>
      </c>
      <c r="AS489" s="14">
        <v>579</v>
      </c>
      <c r="AT489" s="13">
        <v>94.1</v>
      </c>
      <c r="AU489" s="13">
        <v>57.9</v>
      </c>
      <c r="AV489" s="21">
        <v>4.1500000000000004</v>
      </c>
      <c r="AW489" s="5" t="s">
        <v>5</v>
      </c>
      <c r="AX489" s="5" t="s">
        <v>5</v>
      </c>
      <c r="AY489" s="5" t="s">
        <v>5</v>
      </c>
      <c r="AZ489" s="5" t="s">
        <v>5</v>
      </c>
      <c r="BA489" s="5" t="s">
        <v>5</v>
      </c>
      <c r="BB489" s="5" t="s">
        <v>5</v>
      </c>
      <c r="BC489" s="5" t="s">
        <v>5</v>
      </c>
      <c r="BD489" s="5" t="s">
        <v>5</v>
      </c>
      <c r="BE489" s="5" t="s">
        <v>5</v>
      </c>
      <c r="BF489" s="5" t="s">
        <v>5</v>
      </c>
      <c r="BG489" s="5" t="s">
        <v>5</v>
      </c>
      <c r="BH489" s="5" t="s">
        <v>5</v>
      </c>
      <c r="BI489" s="21">
        <v>5.68</v>
      </c>
      <c r="BJ489" s="35">
        <v>0.82699999999999996</v>
      </c>
      <c r="BK489" s="5" t="s">
        <v>5</v>
      </c>
      <c r="BL489" s="5" t="s">
        <v>5</v>
      </c>
      <c r="BM489" s="5" t="s">
        <v>5</v>
      </c>
      <c r="BN489" s="5" t="s">
        <v>5</v>
      </c>
      <c r="BO489" s="5" t="s">
        <v>5</v>
      </c>
      <c r="BP489" s="5" t="s">
        <v>5</v>
      </c>
      <c r="BQ489" s="5" t="s">
        <v>5</v>
      </c>
      <c r="BR489" s="5" t="s">
        <v>5</v>
      </c>
      <c r="BS489" s="5" t="s">
        <v>5</v>
      </c>
      <c r="BT489" s="5" t="s">
        <v>5</v>
      </c>
      <c r="BU489" s="5" t="s">
        <v>5</v>
      </c>
      <c r="BV489" s="5" t="s">
        <v>5</v>
      </c>
      <c r="BW489" s="5" t="s">
        <v>5</v>
      </c>
      <c r="BX489" s="5" t="s">
        <v>5</v>
      </c>
      <c r="BY489" s="5" t="s">
        <v>5</v>
      </c>
      <c r="BZ489" s="5" t="s">
        <v>5</v>
      </c>
      <c r="CA489" s="5" t="s">
        <v>5</v>
      </c>
      <c r="CB489" s="5" t="s">
        <v>5</v>
      </c>
      <c r="CC489" s="5" t="s">
        <v>5</v>
      </c>
      <c r="CD489" s="5" t="s">
        <v>5</v>
      </c>
      <c r="CE489" s="5" t="s">
        <v>5</v>
      </c>
      <c r="CF489" s="16" t="s">
        <v>5</v>
      </c>
      <c r="CG489" s="16" t="s">
        <v>5</v>
      </c>
      <c r="CH489" s="18" t="s">
        <v>5</v>
      </c>
    </row>
    <row r="490" spans="2:86">
      <c r="B490" s="78" t="s">
        <v>473</v>
      </c>
      <c r="C490" s="79" t="s">
        <v>590</v>
      </c>
      <c r="D490" s="80" t="s">
        <v>590</v>
      </c>
      <c r="E490" s="1" t="s">
        <v>4</v>
      </c>
      <c r="F490" s="2">
        <v>114</v>
      </c>
      <c r="G490" s="4">
        <v>33.6</v>
      </c>
      <c r="H490" s="3" t="str">
        <f t="shared" si="26"/>
        <v>2L10X10X7/8X3/4</v>
      </c>
      <c r="I490" s="4">
        <v>10</v>
      </c>
      <c r="J490" s="5" t="s">
        <v>5</v>
      </c>
      <c r="K490" s="5" t="s">
        <v>5</v>
      </c>
      <c r="L490" s="5" t="s">
        <v>5</v>
      </c>
      <c r="M490" s="5" t="s">
        <v>5</v>
      </c>
      <c r="N490" s="5" t="s">
        <v>5</v>
      </c>
      <c r="O490" s="5" t="s">
        <v>5</v>
      </c>
      <c r="P490" s="5" t="s">
        <v>5</v>
      </c>
      <c r="Q490" s="4">
        <v>10</v>
      </c>
      <c r="R490" s="5" t="s">
        <v>5</v>
      </c>
      <c r="S490" s="5" t="s">
        <v>5</v>
      </c>
      <c r="T490" s="5" t="s">
        <v>5</v>
      </c>
      <c r="U490" s="5" t="s">
        <v>5</v>
      </c>
      <c r="V490" s="5" t="s">
        <v>5</v>
      </c>
      <c r="W490" s="5" t="s">
        <v>5</v>
      </c>
      <c r="X490" s="6">
        <v>0.875</v>
      </c>
      <c r="Y490" s="5" t="s">
        <v>5</v>
      </c>
      <c r="Z490" s="5" t="s">
        <v>5</v>
      </c>
      <c r="AA490" s="5" t="s">
        <v>5</v>
      </c>
      <c r="AB490" s="5" t="s">
        <v>5</v>
      </c>
      <c r="AC490" s="5" t="s">
        <v>5</v>
      </c>
      <c r="AD490" s="5" t="s">
        <v>5</v>
      </c>
      <c r="AE490" s="7">
        <v>2.8</v>
      </c>
      <c r="AF490" s="5" t="s">
        <v>5</v>
      </c>
      <c r="AG490" s="5" t="s">
        <v>5</v>
      </c>
      <c r="AH490" s="22">
        <v>0.84</v>
      </c>
      <c r="AI490" s="5" t="s">
        <v>5</v>
      </c>
      <c r="AJ490" s="4">
        <v>11.4</v>
      </c>
      <c r="AK490" s="5" t="s">
        <v>5</v>
      </c>
      <c r="AL490" s="5" t="s">
        <v>5</v>
      </c>
      <c r="AM490" s="5" t="s">
        <v>5</v>
      </c>
      <c r="AN490" s="5" t="s">
        <v>5</v>
      </c>
      <c r="AO490" s="2">
        <v>316</v>
      </c>
      <c r="AP490" s="4">
        <v>79.8</v>
      </c>
      <c r="AQ490" s="4">
        <v>43.8</v>
      </c>
      <c r="AR490" s="7">
        <v>3.07</v>
      </c>
      <c r="AS490" s="14">
        <v>655</v>
      </c>
      <c r="AT490" s="14">
        <v>107</v>
      </c>
      <c r="AU490" s="13">
        <v>63.1</v>
      </c>
      <c r="AV490" s="21">
        <v>4.42</v>
      </c>
      <c r="AW490" s="5" t="s">
        <v>5</v>
      </c>
      <c r="AX490" s="5" t="s">
        <v>5</v>
      </c>
      <c r="AY490" s="5" t="s">
        <v>5</v>
      </c>
      <c r="AZ490" s="5" t="s">
        <v>5</v>
      </c>
      <c r="BA490" s="5" t="s">
        <v>5</v>
      </c>
      <c r="BB490" s="5" t="s">
        <v>5</v>
      </c>
      <c r="BC490" s="5" t="s">
        <v>5</v>
      </c>
      <c r="BD490" s="5" t="s">
        <v>5</v>
      </c>
      <c r="BE490" s="5" t="s">
        <v>5</v>
      </c>
      <c r="BF490" s="5" t="s">
        <v>5</v>
      </c>
      <c r="BG490" s="5" t="s">
        <v>5</v>
      </c>
      <c r="BH490" s="5" t="s">
        <v>5</v>
      </c>
      <c r="BI490" s="21">
        <v>5.87</v>
      </c>
      <c r="BJ490" s="35">
        <v>0.83799999999999997</v>
      </c>
      <c r="BK490" s="5" t="s">
        <v>5</v>
      </c>
      <c r="BL490" s="5" t="s">
        <v>5</v>
      </c>
      <c r="BM490" s="5" t="s">
        <v>5</v>
      </c>
      <c r="BN490" s="5" t="s">
        <v>5</v>
      </c>
      <c r="BO490" s="5" t="s">
        <v>5</v>
      </c>
      <c r="BP490" s="5" t="s">
        <v>5</v>
      </c>
      <c r="BQ490" s="5" t="s">
        <v>5</v>
      </c>
      <c r="BR490" s="5" t="s">
        <v>5</v>
      </c>
      <c r="BS490" s="5" t="s">
        <v>5</v>
      </c>
      <c r="BT490" s="5" t="s">
        <v>5</v>
      </c>
      <c r="BU490" s="5" t="s">
        <v>5</v>
      </c>
      <c r="BV490" s="5" t="s">
        <v>5</v>
      </c>
      <c r="BW490" s="5" t="s">
        <v>5</v>
      </c>
      <c r="BX490" s="5" t="s">
        <v>5</v>
      </c>
      <c r="BY490" s="5" t="s">
        <v>5</v>
      </c>
      <c r="BZ490" s="5" t="s">
        <v>5</v>
      </c>
      <c r="CA490" s="5" t="s">
        <v>5</v>
      </c>
      <c r="CB490" s="5" t="s">
        <v>5</v>
      </c>
      <c r="CC490" s="5" t="s">
        <v>5</v>
      </c>
      <c r="CD490" s="5" t="s">
        <v>5</v>
      </c>
      <c r="CE490" s="5" t="s">
        <v>5</v>
      </c>
      <c r="CF490" s="16" t="s">
        <v>5</v>
      </c>
      <c r="CG490" s="16" t="s">
        <v>5</v>
      </c>
      <c r="CH490" s="18" t="s">
        <v>5</v>
      </c>
    </row>
    <row r="491" spans="2:86">
      <c r="B491" s="78" t="s">
        <v>473</v>
      </c>
      <c r="C491" s="79" t="s">
        <v>591</v>
      </c>
      <c r="D491" s="80" t="s">
        <v>591</v>
      </c>
      <c r="E491" s="1" t="s">
        <v>4</v>
      </c>
      <c r="F491" s="2">
        <v>114</v>
      </c>
      <c r="G491" s="4">
        <v>33.6</v>
      </c>
      <c r="H491" s="3" t="str">
        <f t="shared" si="26"/>
        <v>2L10X10X7/8X1-1/2</v>
      </c>
      <c r="I491" s="4">
        <v>10</v>
      </c>
      <c r="J491" s="5" t="s">
        <v>5</v>
      </c>
      <c r="K491" s="5" t="s">
        <v>5</v>
      </c>
      <c r="L491" s="5" t="s">
        <v>5</v>
      </c>
      <c r="M491" s="5" t="s">
        <v>5</v>
      </c>
      <c r="N491" s="5" t="s">
        <v>5</v>
      </c>
      <c r="O491" s="5" t="s">
        <v>5</v>
      </c>
      <c r="P491" s="5" t="s">
        <v>5</v>
      </c>
      <c r="Q491" s="4">
        <v>10</v>
      </c>
      <c r="R491" s="5" t="s">
        <v>5</v>
      </c>
      <c r="S491" s="5" t="s">
        <v>5</v>
      </c>
      <c r="T491" s="5" t="s">
        <v>5</v>
      </c>
      <c r="U491" s="5" t="s">
        <v>5</v>
      </c>
      <c r="V491" s="5" t="s">
        <v>5</v>
      </c>
      <c r="W491" s="5" t="s">
        <v>5</v>
      </c>
      <c r="X491" s="6">
        <v>0.875</v>
      </c>
      <c r="Y491" s="5" t="s">
        <v>5</v>
      </c>
      <c r="Z491" s="5" t="s">
        <v>5</v>
      </c>
      <c r="AA491" s="5" t="s">
        <v>5</v>
      </c>
      <c r="AB491" s="5" t="s">
        <v>5</v>
      </c>
      <c r="AC491" s="5" t="s">
        <v>5</v>
      </c>
      <c r="AD491" s="5" t="s">
        <v>5</v>
      </c>
      <c r="AE491" s="7">
        <v>2.8</v>
      </c>
      <c r="AF491" s="5" t="s">
        <v>5</v>
      </c>
      <c r="AG491" s="5" t="s">
        <v>5</v>
      </c>
      <c r="AH491" s="22">
        <v>0.84</v>
      </c>
      <c r="AI491" s="5" t="s">
        <v>5</v>
      </c>
      <c r="AJ491" s="4">
        <v>11.4</v>
      </c>
      <c r="AK491" s="5" t="s">
        <v>5</v>
      </c>
      <c r="AL491" s="5" t="s">
        <v>5</v>
      </c>
      <c r="AM491" s="5" t="s">
        <v>5</v>
      </c>
      <c r="AN491" s="5" t="s">
        <v>5</v>
      </c>
      <c r="AO491" s="2">
        <v>316</v>
      </c>
      <c r="AP491" s="4">
        <v>79.8</v>
      </c>
      <c r="AQ491" s="4">
        <v>43.8</v>
      </c>
      <c r="AR491" s="7">
        <v>3.07</v>
      </c>
      <c r="AS491" s="14">
        <v>739</v>
      </c>
      <c r="AT491" s="14">
        <v>119</v>
      </c>
      <c r="AU491" s="13">
        <v>68.7</v>
      </c>
      <c r="AV491" s="21">
        <v>4.6900000000000004</v>
      </c>
      <c r="AW491" s="5" t="s">
        <v>5</v>
      </c>
      <c r="AX491" s="5" t="s">
        <v>5</v>
      </c>
      <c r="AY491" s="5" t="s">
        <v>5</v>
      </c>
      <c r="AZ491" s="5" t="s">
        <v>5</v>
      </c>
      <c r="BA491" s="5" t="s">
        <v>5</v>
      </c>
      <c r="BB491" s="5" t="s">
        <v>5</v>
      </c>
      <c r="BC491" s="5" t="s">
        <v>5</v>
      </c>
      <c r="BD491" s="5" t="s">
        <v>5</v>
      </c>
      <c r="BE491" s="5" t="s">
        <v>5</v>
      </c>
      <c r="BF491" s="5" t="s">
        <v>5</v>
      </c>
      <c r="BG491" s="5" t="s">
        <v>5</v>
      </c>
      <c r="BH491" s="5" t="s">
        <v>5</v>
      </c>
      <c r="BI491" s="21">
        <v>6.08</v>
      </c>
      <c r="BJ491" s="35">
        <v>0.84899999999999998</v>
      </c>
      <c r="BK491" s="5" t="s">
        <v>5</v>
      </c>
      <c r="BL491" s="5" t="s">
        <v>5</v>
      </c>
      <c r="BM491" s="5" t="s">
        <v>5</v>
      </c>
      <c r="BN491" s="5" t="s">
        <v>5</v>
      </c>
      <c r="BO491" s="5" t="s">
        <v>5</v>
      </c>
      <c r="BP491" s="5" t="s">
        <v>5</v>
      </c>
      <c r="BQ491" s="5" t="s">
        <v>5</v>
      </c>
      <c r="BR491" s="5" t="s">
        <v>5</v>
      </c>
      <c r="BS491" s="5" t="s">
        <v>5</v>
      </c>
      <c r="BT491" s="5" t="s">
        <v>5</v>
      </c>
      <c r="BU491" s="5" t="s">
        <v>5</v>
      </c>
      <c r="BV491" s="5" t="s">
        <v>5</v>
      </c>
      <c r="BW491" s="5" t="s">
        <v>5</v>
      </c>
      <c r="BX491" s="5" t="s">
        <v>5</v>
      </c>
      <c r="BY491" s="5" t="s">
        <v>5</v>
      </c>
      <c r="BZ491" s="5" t="s">
        <v>5</v>
      </c>
      <c r="CA491" s="5" t="s">
        <v>5</v>
      </c>
      <c r="CB491" s="5" t="s">
        <v>5</v>
      </c>
      <c r="CC491" s="5" t="s">
        <v>5</v>
      </c>
      <c r="CD491" s="5" t="s">
        <v>5</v>
      </c>
      <c r="CE491" s="5" t="s">
        <v>5</v>
      </c>
      <c r="CF491" s="16" t="s">
        <v>5</v>
      </c>
      <c r="CG491" s="16" t="s">
        <v>5</v>
      </c>
      <c r="CH491" s="18" t="s">
        <v>5</v>
      </c>
    </row>
    <row r="492" spans="2:86">
      <c r="B492" s="78" t="s">
        <v>473</v>
      </c>
      <c r="C492" s="79" t="s">
        <v>592</v>
      </c>
      <c r="D492" s="80" t="s">
        <v>592</v>
      </c>
      <c r="E492" s="1" t="s">
        <v>4</v>
      </c>
      <c r="F492" s="4">
        <v>98.2</v>
      </c>
      <c r="G492" s="4">
        <v>29</v>
      </c>
      <c r="H492" s="3" t="str">
        <f t="shared" si="26"/>
        <v>2L10X10X3/4</v>
      </c>
      <c r="I492" s="4">
        <v>10</v>
      </c>
      <c r="J492" s="5" t="s">
        <v>5</v>
      </c>
      <c r="K492" s="5" t="s">
        <v>5</v>
      </c>
      <c r="L492" s="5" t="s">
        <v>5</v>
      </c>
      <c r="M492" s="5" t="s">
        <v>5</v>
      </c>
      <c r="N492" s="5" t="s">
        <v>5</v>
      </c>
      <c r="O492" s="5" t="s">
        <v>5</v>
      </c>
      <c r="P492" s="5" t="s">
        <v>5</v>
      </c>
      <c r="Q492" s="4">
        <v>10</v>
      </c>
      <c r="R492" s="5" t="s">
        <v>5</v>
      </c>
      <c r="S492" s="5" t="s">
        <v>5</v>
      </c>
      <c r="T492" s="5" t="s">
        <v>5</v>
      </c>
      <c r="U492" s="5" t="s">
        <v>5</v>
      </c>
      <c r="V492" s="5" t="s">
        <v>5</v>
      </c>
      <c r="W492" s="5" t="s">
        <v>5</v>
      </c>
      <c r="X492" s="22">
        <v>0.75</v>
      </c>
      <c r="Y492" s="5" t="s">
        <v>5</v>
      </c>
      <c r="Z492" s="5" t="s">
        <v>5</v>
      </c>
      <c r="AA492" s="5" t="s">
        <v>5</v>
      </c>
      <c r="AB492" s="5" t="s">
        <v>5</v>
      </c>
      <c r="AC492" s="5" t="s">
        <v>5</v>
      </c>
      <c r="AD492" s="5" t="s">
        <v>5</v>
      </c>
      <c r="AE492" s="7">
        <v>2.76</v>
      </c>
      <c r="AF492" s="5" t="s">
        <v>5</v>
      </c>
      <c r="AG492" s="5" t="s">
        <v>5</v>
      </c>
      <c r="AH492" s="22">
        <v>0.72499999999999998</v>
      </c>
      <c r="AI492" s="5" t="s">
        <v>5</v>
      </c>
      <c r="AJ492" s="4">
        <v>13.3</v>
      </c>
      <c r="AK492" s="5" t="s">
        <v>5</v>
      </c>
      <c r="AL492" s="5" t="s">
        <v>5</v>
      </c>
      <c r="AM492" s="5" t="s">
        <v>5</v>
      </c>
      <c r="AN492" s="5" t="s">
        <v>5</v>
      </c>
      <c r="AO492" s="2">
        <v>278</v>
      </c>
      <c r="AP492" s="4">
        <v>69.2</v>
      </c>
      <c r="AQ492" s="4">
        <v>38.4</v>
      </c>
      <c r="AR492" s="7">
        <v>3.1</v>
      </c>
      <c r="AS492" s="14">
        <v>499</v>
      </c>
      <c r="AT492" s="13">
        <v>80</v>
      </c>
      <c r="AU492" s="13">
        <v>49.9</v>
      </c>
      <c r="AV492" s="21">
        <v>4.1500000000000004</v>
      </c>
      <c r="AW492" s="5" t="s">
        <v>5</v>
      </c>
      <c r="AX492" s="5" t="s">
        <v>5</v>
      </c>
      <c r="AY492" s="5" t="s">
        <v>5</v>
      </c>
      <c r="AZ492" s="5" t="s">
        <v>5</v>
      </c>
      <c r="BA492" s="5" t="s">
        <v>5</v>
      </c>
      <c r="BB492" s="5" t="s">
        <v>5</v>
      </c>
      <c r="BC492" s="5" t="s">
        <v>5</v>
      </c>
      <c r="BD492" s="5" t="s">
        <v>5</v>
      </c>
      <c r="BE492" s="5" t="s">
        <v>5</v>
      </c>
      <c r="BF492" s="5" t="s">
        <v>5</v>
      </c>
      <c r="BG492" s="5" t="s">
        <v>5</v>
      </c>
      <c r="BH492" s="5" t="s">
        <v>5</v>
      </c>
      <c r="BI492" s="21">
        <v>5.7</v>
      </c>
      <c r="BJ492" s="35">
        <v>0.82499999999999996</v>
      </c>
      <c r="BK492" s="5" t="s">
        <v>5</v>
      </c>
      <c r="BL492" s="5" t="s">
        <v>5</v>
      </c>
      <c r="BM492" s="5" t="s">
        <v>5</v>
      </c>
      <c r="BN492" s="5" t="s">
        <v>5</v>
      </c>
      <c r="BO492" s="5" t="s">
        <v>5</v>
      </c>
      <c r="BP492" s="5" t="s">
        <v>5</v>
      </c>
      <c r="BQ492" s="5" t="s">
        <v>5</v>
      </c>
      <c r="BR492" s="5" t="s">
        <v>5</v>
      </c>
      <c r="BS492" s="5" t="s">
        <v>5</v>
      </c>
      <c r="BT492" s="5" t="s">
        <v>5</v>
      </c>
      <c r="BU492" s="5" t="s">
        <v>5</v>
      </c>
      <c r="BV492" s="5" t="s">
        <v>5</v>
      </c>
      <c r="BW492" s="5" t="s">
        <v>5</v>
      </c>
      <c r="BX492" s="5" t="s">
        <v>5</v>
      </c>
      <c r="BY492" s="5" t="s">
        <v>5</v>
      </c>
      <c r="BZ492" s="5" t="s">
        <v>5</v>
      </c>
      <c r="CA492" s="5" t="s">
        <v>5</v>
      </c>
      <c r="CB492" s="5" t="s">
        <v>5</v>
      </c>
      <c r="CC492" s="5" t="s">
        <v>5</v>
      </c>
      <c r="CD492" s="5" t="s">
        <v>5</v>
      </c>
      <c r="CE492" s="5" t="s">
        <v>5</v>
      </c>
      <c r="CF492" s="16" t="s">
        <v>5</v>
      </c>
      <c r="CG492" s="16" t="s">
        <v>5</v>
      </c>
      <c r="CH492" s="18" t="s">
        <v>5</v>
      </c>
    </row>
    <row r="493" spans="2:86">
      <c r="B493" s="78" t="s">
        <v>473</v>
      </c>
      <c r="C493" s="79" t="s">
        <v>593</v>
      </c>
      <c r="D493" s="80" t="s">
        <v>593</v>
      </c>
      <c r="E493" s="1" t="s">
        <v>4</v>
      </c>
      <c r="F493" s="4">
        <v>98.2</v>
      </c>
      <c r="G493" s="4">
        <v>29</v>
      </c>
      <c r="H493" s="3" t="str">
        <f t="shared" si="26"/>
        <v>2L10X10X3/4X3/4</v>
      </c>
      <c r="I493" s="4">
        <v>10</v>
      </c>
      <c r="J493" s="5" t="s">
        <v>5</v>
      </c>
      <c r="K493" s="5" t="s">
        <v>5</v>
      </c>
      <c r="L493" s="5" t="s">
        <v>5</v>
      </c>
      <c r="M493" s="5" t="s">
        <v>5</v>
      </c>
      <c r="N493" s="5" t="s">
        <v>5</v>
      </c>
      <c r="O493" s="5" t="s">
        <v>5</v>
      </c>
      <c r="P493" s="5" t="s">
        <v>5</v>
      </c>
      <c r="Q493" s="4">
        <v>10</v>
      </c>
      <c r="R493" s="5" t="s">
        <v>5</v>
      </c>
      <c r="S493" s="5" t="s">
        <v>5</v>
      </c>
      <c r="T493" s="5" t="s">
        <v>5</v>
      </c>
      <c r="U493" s="5" t="s">
        <v>5</v>
      </c>
      <c r="V493" s="5" t="s">
        <v>5</v>
      </c>
      <c r="W493" s="5" t="s">
        <v>5</v>
      </c>
      <c r="X493" s="22">
        <v>0.75</v>
      </c>
      <c r="Y493" s="5" t="s">
        <v>5</v>
      </c>
      <c r="Z493" s="5" t="s">
        <v>5</v>
      </c>
      <c r="AA493" s="5" t="s">
        <v>5</v>
      </c>
      <c r="AB493" s="5" t="s">
        <v>5</v>
      </c>
      <c r="AC493" s="5" t="s">
        <v>5</v>
      </c>
      <c r="AD493" s="5" t="s">
        <v>5</v>
      </c>
      <c r="AE493" s="7">
        <v>2.76</v>
      </c>
      <c r="AF493" s="5" t="s">
        <v>5</v>
      </c>
      <c r="AG493" s="5" t="s">
        <v>5</v>
      </c>
      <c r="AH493" s="22">
        <v>0.72499999999999998</v>
      </c>
      <c r="AI493" s="5" t="s">
        <v>5</v>
      </c>
      <c r="AJ493" s="4">
        <v>13.3</v>
      </c>
      <c r="AK493" s="5" t="s">
        <v>5</v>
      </c>
      <c r="AL493" s="5" t="s">
        <v>5</v>
      </c>
      <c r="AM493" s="5" t="s">
        <v>5</v>
      </c>
      <c r="AN493" s="5" t="s">
        <v>5</v>
      </c>
      <c r="AO493" s="2">
        <v>278</v>
      </c>
      <c r="AP493" s="4">
        <v>69.2</v>
      </c>
      <c r="AQ493" s="4">
        <v>38.4</v>
      </c>
      <c r="AR493" s="7">
        <v>3.1</v>
      </c>
      <c r="AS493" s="14">
        <v>563</v>
      </c>
      <c r="AT493" s="13">
        <v>90.9</v>
      </c>
      <c r="AU493" s="13">
        <v>54.3</v>
      </c>
      <c r="AV493" s="21">
        <v>4.41</v>
      </c>
      <c r="AW493" s="5" t="s">
        <v>5</v>
      </c>
      <c r="AX493" s="5" t="s">
        <v>5</v>
      </c>
      <c r="AY493" s="5" t="s">
        <v>5</v>
      </c>
      <c r="AZ493" s="5" t="s">
        <v>5</v>
      </c>
      <c r="BA493" s="5" t="s">
        <v>5</v>
      </c>
      <c r="BB493" s="5" t="s">
        <v>5</v>
      </c>
      <c r="BC493" s="5" t="s">
        <v>5</v>
      </c>
      <c r="BD493" s="5" t="s">
        <v>5</v>
      </c>
      <c r="BE493" s="5" t="s">
        <v>5</v>
      </c>
      <c r="BF493" s="5" t="s">
        <v>5</v>
      </c>
      <c r="BG493" s="5" t="s">
        <v>5</v>
      </c>
      <c r="BH493" s="5" t="s">
        <v>5</v>
      </c>
      <c r="BI493" s="21">
        <v>5.89</v>
      </c>
      <c r="BJ493" s="35">
        <v>0.83599999999999997</v>
      </c>
      <c r="BK493" s="5" t="s">
        <v>5</v>
      </c>
      <c r="BL493" s="5" t="s">
        <v>5</v>
      </c>
      <c r="BM493" s="5" t="s">
        <v>5</v>
      </c>
      <c r="BN493" s="5" t="s">
        <v>5</v>
      </c>
      <c r="BO493" s="5" t="s">
        <v>5</v>
      </c>
      <c r="BP493" s="5" t="s">
        <v>5</v>
      </c>
      <c r="BQ493" s="5" t="s">
        <v>5</v>
      </c>
      <c r="BR493" s="5" t="s">
        <v>5</v>
      </c>
      <c r="BS493" s="5" t="s">
        <v>5</v>
      </c>
      <c r="BT493" s="5" t="s">
        <v>5</v>
      </c>
      <c r="BU493" s="5" t="s">
        <v>5</v>
      </c>
      <c r="BV493" s="5" t="s">
        <v>5</v>
      </c>
      <c r="BW493" s="5" t="s">
        <v>5</v>
      </c>
      <c r="BX493" s="5" t="s">
        <v>5</v>
      </c>
      <c r="BY493" s="5" t="s">
        <v>5</v>
      </c>
      <c r="BZ493" s="5" t="s">
        <v>5</v>
      </c>
      <c r="CA493" s="5" t="s">
        <v>5</v>
      </c>
      <c r="CB493" s="5" t="s">
        <v>5</v>
      </c>
      <c r="CC493" s="5" t="s">
        <v>5</v>
      </c>
      <c r="CD493" s="5" t="s">
        <v>5</v>
      </c>
      <c r="CE493" s="5" t="s">
        <v>5</v>
      </c>
      <c r="CF493" s="16" t="s">
        <v>5</v>
      </c>
      <c r="CG493" s="16" t="s">
        <v>5</v>
      </c>
      <c r="CH493" s="18" t="s">
        <v>5</v>
      </c>
    </row>
    <row r="494" spans="2:86">
      <c r="B494" s="78" t="s">
        <v>473</v>
      </c>
      <c r="C494" s="79" t="s">
        <v>594</v>
      </c>
      <c r="D494" s="80" t="s">
        <v>594</v>
      </c>
      <c r="E494" s="1" t="s">
        <v>4</v>
      </c>
      <c r="F494" s="4">
        <v>98.2</v>
      </c>
      <c r="G494" s="4">
        <v>29</v>
      </c>
      <c r="H494" s="3" t="str">
        <f t="shared" si="26"/>
        <v>2L10X10X3/4X1-1/2</v>
      </c>
      <c r="I494" s="4">
        <v>10</v>
      </c>
      <c r="J494" s="5" t="s">
        <v>5</v>
      </c>
      <c r="K494" s="5" t="s">
        <v>5</v>
      </c>
      <c r="L494" s="5" t="s">
        <v>5</v>
      </c>
      <c r="M494" s="5" t="s">
        <v>5</v>
      </c>
      <c r="N494" s="5" t="s">
        <v>5</v>
      </c>
      <c r="O494" s="5" t="s">
        <v>5</v>
      </c>
      <c r="P494" s="5" t="s">
        <v>5</v>
      </c>
      <c r="Q494" s="4">
        <v>10</v>
      </c>
      <c r="R494" s="5" t="s">
        <v>5</v>
      </c>
      <c r="S494" s="5" t="s">
        <v>5</v>
      </c>
      <c r="T494" s="5" t="s">
        <v>5</v>
      </c>
      <c r="U494" s="5" t="s">
        <v>5</v>
      </c>
      <c r="V494" s="5" t="s">
        <v>5</v>
      </c>
      <c r="W494" s="5" t="s">
        <v>5</v>
      </c>
      <c r="X494" s="22">
        <v>0.75</v>
      </c>
      <c r="Y494" s="5" t="s">
        <v>5</v>
      </c>
      <c r="Z494" s="5" t="s">
        <v>5</v>
      </c>
      <c r="AA494" s="5" t="s">
        <v>5</v>
      </c>
      <c r="AB494" s="5" t="s">
        <v>5</v>
      </c>
      <c r="AC494" s="5" t="s">
        <v>5</v>
      </c>
      <c r="AD494" s="5" t="s">
        <v>5</v>
      </c>
      <c r="AE494" s="7">
        <v>2.76</v>
      </c>
      <c r="AF494" s="5" t="s">
        <v>5</v>
      </c>
      <c r="AG494" s="5" t="s">
        <v>5</v>
      </c>
      <c r="AH494" s="22">
        <v>0.72499999999999998</v>
      </c>
      <c r="AI494" s="5" t="s">
        <v>5</v>
      </c>
      <c r="AJ494" s="4">
        <v>13.3</v>
      </c>
      <c r="AK494" s="5" t="s">
        <v>5</v>
      </c>
      <c r="AL494" s="5" t="s">
        <v>5</v>
      </c>
      <c r="AM494" s="5" t="s">
        <v>5</v>
      </c>
      <c r="AN494" s="5" t="s">
        <v>5</v>
      </c>
      <c r="AO494" s="2">
        <v>278</v>
      </c>
      <c r="AP494" s="4">
        <v>69.2</v>
      </c>
      <c r="AQ494" s="4">
        <v>38.4</v>
      </c>
      <c r="AR494" s="7">
        <v>3.1</v>
      </c>
      <c r="AS494" s="14">
        <v>635</v>
      </c>
      <c r="AT494" s="14">
        <v>102</v>
      </c>
      <c r="AU494" s="13">
        <v>59.1</v>
      </c>
      <c r="AV494" s="21">
        <v>4.68</v>
      </c>
      <c r="AW494" s="5" t="s">
        <v>5</v>
      </c>
      <c r="AX494" s="5" t="s">
        <v>5</v>
      </c>
      <c r="AY494" s="5" t="s">
        <v>5</v>
      </c>
      <c r="AZ494" s="5" t="s">
        <v>5</v>
      </c>
      <c r="BA494" s="5" t="s">
        <v>5</v>
      </c>
      <c r="BB494" s="5" t="s">
        <v>5</v>
      </c>
      <c r="BC494" s="5" t="s">
        <v>5</v>
      </c>
      <c r="BD494" s="5" t="s">
        <v>5</v>
      </c>
      <c r="BE494" s="5" t="s">
        <v>5</v>
      </c>
      <c r="BF494" s="5" t="s">
        <v>5</v>
      </c>
      <c r="BG494" s="5" t="s">
        <v>5</v>
      </c>
      <c r="BH494" s="5" t="s">
        <v>5</v>
      </c>
      <c r="BI494" s="21">
        <v>6.1</v>
      </c>
      <c r="BJ494" s="35">
        <v>0.84699999999999998</v>
      </c>
      <c r="BK494" s="5" t="s">
        <v>5</v>
      </c>
      <c r="BL494" s="5" t="s">
        <v>5</v>
      </c>
      <c r="BM494" s="5" t="s">
        <v>5</v>
      </c>
      <c r="BN494" s="5" t="s">
        <v>5</v>
      </c>
      <c r="BO494" s="5" t="s">
        <v>5</v>
      </c>
      <c r="BP494" s="5" t="s">
        <v>5</v>
      </c>
      <c r="BQ494" s="5" t="s">
        <v>5</v>
      </c>
      <c r="BR494" s="5" t="s">
        <v>5</v>
      </c>
      <c r="BS494" s="5" t="s">
        <v>5</v>
      </c>
      <c r="BT494" s="5" t="s">
        <v>5</v>
      </c>
      <c r="BU494" s="5" t="s">
        <v>5</v>
      </c>
      <c r="BV494" s="5" t="s">
        <v>5</v>
      </c>
      <c r="BW494" s="5" t="s">
        <v>5</v>
      </c>
      <c r="BX494" s="5" t="s">
        <v>5</v>
      </c>
      <c r="BY494" s="5" t="s">
        <v>5</v>
      </c>
      <c r="BZ494" s="5" t="s">
        <v>5</v>
      </c>
      <c r="CA494" s="5" t="s">
        <v>5</v>
      </c>
      <c r="CB494" s="5" t="s">
        <v>5</v>
      </c>
      <c r="CC494" s="5" t="s">
        <v>5</v>
      </c>
      <c r="CD494" s="5" t="s">
        <v>5</v>
      </c>
      <c r="CE494" s="5" t="s">
        <v>5</v>
      </c>
      <c r="CF494" s="16" t="s">
        <v>5</v>
      </c>
      <c r="CG494" s="16" t="s">
        <v>5</v>
      </c>
      <c r="CH494" s="18" t="s">
        <v>5</v>
      </c>
    </row>
    <row r="495" spans="2:86">
      <c r="B495" s="78" t="s">
        <v>473</v>
      </c>
      <c r="C495" s="79" t="s">
        <v>595</v>
      </c>
      <c r="D495" s="80" t="s">
        <v>595</v>
      </c>
      <c r="E495" s="1" t="s">
        <v>4</v>
      </c>
      <c r="F495" s="6">
        <v>114</v>
      </c>
      <c r="G495" s="4">
        <v>33.6</v>
      </c>
      <c r="H495" s="3" t="str">
        <f t="shared" si="26"/>
        <v>2L8X8X1-1/8</v>
      </c>
      <c r="I495" s="7">
        <v>8</v>
      </c>
      <c r="J495" s="5" t="s">
        <v>5</v>
      </c>
      <c r="K495" s="6" t="s">
        <v>5</v>
      </c>
      <c r="L495" s="6" t="s">
        <v>5</v>
      </c>
      <c r="M495" s="6" t="s">
        <v>5</v>
      </c>
      <c r="N495" s="6" t="s">
        <v>5</v>
      </c>
      <c r="O495" s="5" t="s">
        <v>5</v>
      </c>
      <c r="P495" s="5" t="s">
        <v>5</v>
      </c>
      <c r="Q495" s="7">
        <v>8</v>
      </c>
      <c r="R495" s="6" t="s">
        <v>5</v>
      </c>
      <c r="S495" s="6" t="s">
        <v>5</v>
      </c>
      <c r="T495" s="5" t="s">
        <v>5</v>
      </c>
      <c r="U495" s="8" t="s">
        <v>5</v>
      </c>
      <c r="V495" s="6" t="s">
        <v>5</v>
      </c>
      <c r="W495" s="8" t="s">
        <v>5</v>
      </c>
      <c r="X495" s="7">
        <v>1.1299999999999999</v>
      </c>
      <c r="Y495" s="6" t="s">
        <v>5</v>
      </c>
      <c r="Z495" s="6" t="s">
        <v>5</v>
      </c>
      <c r="AA495" s="6" t="s">
        <v>5</v>
      </c>
      <c r="AB495" s="8" t="s">
        <v>5</v>
      </c>
      <c r="AC495" s="8" t="s">
        <v>5</v>
      </c>
      <c r="AD495" s="6" t="s">
        <v>5</v>
      </c>
      <c r="AE495" s="7">
        <v>2.4</v>
      </c>
      <c r="AF495" s="6" t="s">
        <v>5</v>
      </c>
      <c r="AG495" s="6" t="s">
        <v>5</v>
      </c>
      <c r="AH495" s="7">
        <v>1.05</v>
      </c>
      <c r="AI495" s="6" t="s">
        <v>5</v>
      </c>
      <c r="AJ495" s="6">
        <v>7.08</v>
      </c>
      <c r="AK495" s="6" t="s">
        <v>5</v>
      </c>
      <c r="AL495" s="6" t="s">
        <v>5</v>
      </c>
      <c r="AM495" s="6" t="s">
        <v>5</v>
      </c>
      <c r="AN495" s="6" t="s">
        <v>5</v>
      </c>
      <c r="AO495" s="6">
        <v>196</v>
      </c>
      <c r="AP495" s="4">
        <v>63.2</v>
      </c>
      <c r="AQ495" s="4">
        <v>35</v>
      </c>
      <c r="AR495" s="7">
        <v>2.41</v>
      </c>
      <c r="AS495" s="6">
        <v>391</v>
      </c>
      <c r="AT495" s="6">
        <v>80.599999999999994</v>
      </c>
      <c r="AU495" s="6">
        <v>48.9</v>
      </c>
      <c r="AV495" s="7">
        <v>3.41</v>
      </c>
      <c r="AW495" s="6" t="s">
        <v>5</v>
      </c>
      <c r="AX495" s="6" t="s">
        <v>5</v>
      </c>
      <c r="AY495" s="6" t="s">
        <v>5</v>
      </c>
      <c r="AZ495" s="6" t="s">
        <v>5</v>
      </c>
      <c r="BA495" s="6" t="s">
        <v>5</v>
      </c>
      <c r="BB495" s="6" t="s">
        <v>5</v>
      </c>
      <c r="BC495" s="6" t="s">
        <v>5</v>
      </c>
      <c r="BD495" s="6" t="s">
        <v>5</v>
      </c>
      <c r="BE495" s="6" t="s">
        <v>5</v>
      </c>
      <c r="BF495" s="6" t="s">
        <v>5</v>
      </c>
      <c r="BG495" s="6" t="s">
        <v>5</v>
      </c>
      <c r="BH495" s="6" t="s">
        <v>5</v>
      </c>
      <c r="BI495" s="7">
        <v>4.5599999999999996</v>
      </c>
      <c r="BJ495" s="22">
        <v>0.83699999999999997</v>
      </c>
      <c r="BK495" s="6" t="s">
        <v>5</v>
      </c>
      <c r="BL495" s="2" t="s">
        <v>5</v>
      </c>
      <c r="BM495" s="2" t="s">
        <v>5</v>
      </c>
      <c r="BN495" s="2" t="s">
        <v>5</v>
      </c>
      <c r="BO495" s="2" t="s">
        <v>5</v>
      </c>
      <c r="BP495" s="2" t="s">
        <v>5</v>
      </c>
      <c r="BQ495" s="2" t="s">
        <v>5</v>
      </c>
      <c r="BR495" s="2" t="s">
        <v>5</v>
      </c>
      <c r="BS495" s="2" t="s">
        <v>5</v>
      </c>
      <c r="BT495" s="2" t="s">
        <v>5</v>
      </c>
      <c r="BU495" s="2" t="s">
        <v>5</v>
      </c>
      <c r="BV495" s="2" t="s">
        <v>5</v>
      </c>
      <c r="BW495" s="2" t="s">
        <v>5</v>
      </c>
      <c r="BX495" s="2" t="s">
        <v>5</v>
      </c>
      <c r="BY495" s="25" t="s">
        <v>5</v>
      </c>
      <c r="BZ495" s="25" t="s">
        <v>5</v>
      </c>
      <c r="CA495" s="6" t="s">
        <v>5</v>
      </c>
      <c r="CB495" s="6" t="s">
        <v>5</v>
      </c>
      <c r="CC495" s="6" t="s">
        <v>5</v>
      </c>
      <c r="CD495" s="6" t="s">
        <v>5</v>
      </c>
      <c r="CE495" s="6" t="s">
        <v>5</v>
      </c>
      <c r="CF495" s="16" t="s">
        <v>5</v>
      </c>
      <c r="CG495" s="16" t="s">
        <v>5</v>
      </c>
      <c r="CH495" s="18" t="s">
        <v>5</v>
      </c>
    </row>
    <row r="496" spans="2:86">
      <c r="B496" s="78" t="s">
        <v>473</v>
      </c>
      <c r="C496" s="79" t="s">
        <v>596</v>
      </c>
      <c r="D496" s="80" t="s">
        <v>596</v>
      </c>
      <c r="E496" s="1" t="s">
        <v>4</v>
      </c>
      <c r="F496" s="6">
        <v>114</v>
      </c>
      <c r="G496" s="4">
        <v>33.6</v>
      </c>
      <c r="H496" s="3" t="str">
        <f t="shared" si="26"/>
        <v>2L8X8X1-1/8X3/8</v>
      </c>
      <c r="I496" s="7">
        <v>8</v>
      </c>
      <c r="J496" s="5" t="s">
        <v>5</v>
      </c>
      <c r="K496" s="6" t="s">
        <v>5</v>
      </c>
      <c r="L496" s="6" t="s">
        <v>5</v>
      </c>
      <c r="M496" s="6" t="s">
        <v>5</v>
      </c>
      <c r="N496" s="6" t="s">
        <v>5</v>
      </c>
      <c r="O496" s="5" t="s">
        <v>5</v>
      </c>
      <c r="P496" s="5" t="s">
        <v>5</v>
      </c>
      <c r="Q496" s="7">
        <v>8</v>
      </c>
      <c r="R496" s="6" t="s">
        <v>5</v>
      </c>
      <c r="S496" s="6" t="s">
        <v>5</v>
      </c>
      <c r="T496" s="5" t="s">
        <v>5</v>
      </c>
      <c r="U496" s="8" t="s">
        <v>5</v>
      </c>
      <c r="V496" s="6" t="s">
        <v>5</v>
      </c>
      <c r="W496" s="8" t="s">
        <v>5</v>
      </c>
      <c r="X496" s="7">
        <v>1.1299999999999999</v>
      </c>
      <c r="Y496" s="6" t="s">
        <v>5</v>
      </c>
      <c r="Z496" s="6" t="s">
        <v>5</v>
      </c>
      <c r="AA496" s="6" t="s">
        <v>5</v>
      </c>
      <c r="AB496" s="8" t="s">
        <v>5</v>
      </c>
      <c r="AC496" s="8" t="s">
        <v>5</v>
      </c>
      <c r="AD496" s="6" t="s">
        <v>5</v>
      </c>
      <c r="AE496" s="7">
        <v>2.4</v>
      </c>
      <c r="AF496" s="6" t="s">
        <v>5</v>
      </c>
      <c r="AG496" s="6" t="s">
        <v>5</v>
      </c>
      <c r="AH496" s="7">
        <v>1.05</v>
      </c>
      <c r="AI496" s="6" t="s">
        <v>5</v>
      </c>
      <c r="AJ496" s="6">
        <v>7.08</v>
      </c>
      <c r="AK496" s="6" t="s">
        <v>5</v>
      </c>
      <c r="AL496" s="6" t="s">
        <v>5</v>
      </c>
      <c r="AM496" s="6" t="s">
        <v>5</v>
      </c>
      <c r="AN496" s="6" t="s">
        <v>5</v>
      </c>
      <c r="AO496" s="6">
        <v>196</v>
      </c>
      <c r="AP496" s="4">
        <v>63.2</v>
      </c>
      <c r="AQ496" s="4">
        <v>35</v>
      </c>
      <c r="AR496" s="7">
        <v>2.41</v>
      </c>
      <c r="AS496" s="6">
        <v>421</v>
      </c>
      <c r="AT496" s="6">
        <v>86.9</v>
      </c>
      <c r="AU496" s="6">
        <v>51.4</v>
      </c>
      <c r="AV496" s="7">
        <v>3.54</v>
      </c>
      <c r="AW496" s="6" t="s">
        <v>5</v>
      </c>
      <c r="AX496" s="6" t="s">
        <v>5</v>
      </c>
      <c r="AY496" s="6" t="s">
        <v>5</v>
      </c>
      <c r="AZ496" s="6" t="s">
        <v>5</v>
      </c>
      <c r="BA496" s="6" t="s">
        <v>5</v>
      </c>
      <c r="BB496" s="6" t="s">
        <v>5</v>
      </c>
      <c r="BC496" s="6" t="s">
        <v>5</v>
      </c>
      <c r="BD496" s="6" t="s">
        <v>5</v>
      </c>
      <c r="BE496" s="6" t="s">
        <v>5</v>
      </c>
      <c r="BF496" s="6" t="s">
        <v>5</v>
      </c>
      <c r="BG496" s="6" t="s">
        <v>5</v>
      </c>
      <c r="BH496" s="6" t="s">
        <v>5</v>
      </c>
      <c r="BI496" s="7">
        <v>4.66</v>
      </c>
      <c r="BJ496" s="22">
        <v>0.84399999999999997</v>
      </c>
      <c r="BK496" s="6" t="s">
        <v>5</v>
      </c>
      <c r="BL496" s="2" t="s">
        <v>5</v>
      </c>
      <c r="BM496" s="2" t="s">
        <v>5</v>
      </c>
      <c r="BN496" s="2" t="s">
        <v>5</v>
      </c>
      <c r="BO496" s="2" t="s">
        <v>5</v>
      </c>
      <c r="BP496" s="2" t="s">
        <v>5</v>
      </c>
      <c r="BQ496" s="2" t="s">
        <v>5</v>
      </c>
      <c r="BR496" s="2" t="s">
        <v>5</v>
      </c>
      <c r="BS496" s="2" t="s">
        <v>5</v>
      </c>
      <c r="BT496" s="2" t="s">
        <v>5</v>
      </c>
      <c r="BU496" s="2" t="s">
        <v>5</v>
      </c>
      <c r="BV496" s="2" t="s">
        <v>5</v>
      </c>
      <c r="BW496" s="2" t="s">
        <v>5</v>
      </c>
      <c r="BX496" s="2" t="s">
        <v>5</v>
      </c>
      <c r="BY496" s="25" t="s">
        <v>5</v>
      </c>
      <c r="BZ496" s="25" t="s">
        <v>5</v>
      </c>
      <c r="CA496" s="6" t="s">
        <v>5</v>
      </c>
      <c r="CB496" s="6" t="s">
        <v>5</v>
      </c>
      <c r="CC496" s="6" t="s">
        <v>5</v>
      </c>
      <c r="CD496" s="6" t="s">
        <v>5</v>
      </c>
      <c r="CE496" s="6" t="s">
        <v>5</v>
      </c>
      <c r="CF496" s="16" t="s">
        <v>5</v>
      </c>
      <c r="CG496" s="16" t="s">
        <v>5</v>
      </c>
      <c r="CH496" s="18" t="s">
        <v>5</v>
      </c>
    </row>
    <row r="497" spans="2:86">
      <c r="B497" s="78" t="s">
        <v>473</v>
      </c>
      <c r="C497" s="79" t="s">
        <v>597</v>
      </c>
      <c r="D497" s="80" t="s">
        <v>597</v>
      </c>
      <c r="E497" s="1" t="s">
        <v>4</v>
      </c>
      <c r="F497" s="6">
        <v>114</v>
      </c>
      <c r="G497" s="4">
        <v>33.6</v>
      </c>
      <c r="H497" s="3" t="str">
        <f t="shared" si="26"/>
        <v>2L8X8X1-1/8X3/4</v>
      </c>
      <c r="I497" s="7">
        <v>8</v>
      </c>
      <c r="J497" s="5" t="s">
        <v>5</v>
      </c>
      <c r="K497" s="6" t="s">
        <v>5</v>
      </c>
      <c r="L497" s="6" t="s">
        <v>5</v>
      </c>
      <c r="M497" s="6" t="s">
        <v>5</v>
      </c>
      <c r="N497" s="6" t="s">
        <v>5</v>
      </c>
      <c r="O497" s="5" t="s">
        <v>5</v>
      </c>
      <c r="P497" s="5" t="s">
        <v>5</v>
      </c>
      <c r="Q497" s="7">
        <v>8</v>
      </c>
      <c r="R497" s="6" t="s">
        <v>5</v>
      </c>
      <c r="S497" s="6" t="s">
        <v>5</v>
      </c>
      <c r="T497" s="5" t="s">
        <v>5</v>
      </c>
      <c r="U497" s="8" t="s">
        <v>5</v>
      </c>
      <c r="V497" s="6" t="s">
        <v>5</v>
      </c>
      <c r="W497" s="8" t="s">
        <v>5</v>
      </c>
      <c r="X497" s="7">
        <v>1.1299999999999999</v>
      </c>
      <c r="Y497" s="6" t="s">
        <v>5</v>
      </c>
      <c r="Z497" s="6" t="s">
        <v>5</v>
      </c>
      <c r="AA497" s="6" t="s">
        <v>5</v>
      </c>
      <c r="AB497" s="8" t="s">
        <v>5</v>
      </c>
      <c r="AC497" s="8" t="s">
        <v>5</v>
      </c>
      <c r="AD497" s="6" t="s">
        <v>5</v>
      </c>
      <c r="AE497" s="7">
        <v>2.4</v>
      </c>
      <c r="AF497" s="6" t="s">
        <v>5</v>
      </c>
      <c r="AG497" s="6" t="s">
        <v>5</v>
      </c>
      <c r="AH497" s="7">
        <v>1.05</v>
      </c>
      <c r="AI497" s="6" t="s">
        <v>5</v>
      </c>
      <c r="AJ497" s="6">
        <v>7.08</v>
      </c>
      <c r="AK497" s="6" t="s">
        <v>5</v>
      </c>
      <c r="AL497" s="6" t="s">
        <v>5</v>
      </c>
      <c r="AM497" s="6" t="s">
        <v>5</v>
      </c>
      <c r="AN497" s="6" t="s">
        <v>5</v>
      </c>
      <c r="AO497" s="6">
        <v>196</v>
      </c>
      <c r="AP497" s="4">
        <v>63.2</v>
      </c>
      <c r="AQ497" s="4">
        <v>35</v>
      </c>
      <c r="AR497" s="7">
        <v>2.41</v>
      </c>
      <c r="AS497" s="6">
        <v>455</v>
      </c>
      <c r="AT497" s="6">
        <v>93.2</v>
      </c>
      <c r="AU497" s="6">
        <v>54.3</v>
      </c>
      <c r="AV497" s="7">
        <v>3.68</v>
      </c>
      <c r="AW497" s="6" t="s">
        <v>5</v>
      </c>
      <c r="AX497" s="6" t="s">
        <v>5</v>
      </c>
      <c r="AY497" s="6" t="s">
        <v>5</v>
      </c>
      <c r="AZ497" s="6" t="s">
        <v>5</v>
      </c>
      <c r="BA497" s="6" t="s">
        <v>5</v>
      </c>
      <c r="BB497" s="6" t="s">
        <v>5</v>
      </c>
      <c r="BC497" s="6" t="s">
        <v>5</v>
      </c>
      <c r="BD497" s="6" t="s">
        <v>5</v>
      </c>
      <c r="BE497" s="6" t="s">
        <v>5</v>
      </c>
      <c r="BF497" s="6" t="s">
        <v>5</v>
      </c>
      <c r="BG497" s="6" t="s">
        <v>5</v>
      </c>
      <c r="BH497" s="6" t="s">
        <v>5</v>
      </c>
      <c r="BI497" s="7">
        <v>4.7699999999999996</v>
      </c>
      <c r="BJ497" s="22">
        <v>0.85099999999999998</v>
      </c>
      <c r="BK497" s="6" t="s">
        <v>5</v>
      </c>
      <c r="BL497" s="2" t="s">
        <v>5</v>
      </c>
      <c r="BM497" s="2" t="s">
        <v>5</v>
      </c>
      <c r="BN497" s="2" t="s">
        <v>5</v>
      </c>
      <c r="BO497" s="2" t="s">
        <v>5</v>
      </c>
      <c r="BP497" s="2" t="s">
        <v>5</v>
      </c>
      <c r="BQ497" s="2" t="s">
        <v>5</v>
      </c>
      <c r="BR497" s="2" t="s">
        <v>5</v>
      </c>
      <c r="BS497" s="2" t="s">
        <v>5</v>
      </c>
      <c r="BT497" s="2" t="s">
        <v>5</v>
      </c>
      <c r="BU497" s="2" t="s">
        <v>5</v>
      </c>
      <c r="BV497" s="2" t="s">
        <v>5</v>
      </c>
      <c r="BW497" s="2" t="s">
        <v>5</v>
      </c>
      <c r="BX497" s="2" t="s">
        <v>5</v>
      </c>
      <c r="BY497" s="25" t="s">
        <v>5</v>
      </c>
      <c r="BZ497" s="25" t="s">
        <v>5</v>
      </c>
      <c r="CA497" s="6" t="s">
        <v>5</v>
      </c>
      <c r="CB497" s="6" t="s">
        <v>5</v>
      </c>
      <c r="CC497" s="6" t="s">
        <v>5</v>
      </c>
      <c r="CD497" s="6" t="s">
        <v>5</v>
      </c>
      <c r="CE497" s="6" t="s">
        <v>5</v>
      </c>
      <c r="CF497" s="16" t="s">
        <v>5</v>
      </c>
      <c r="CG497" s="16" t="s">
        <v>5</v>
      </c>
      <c r="CH497" s="18" t="s">
        <v>5</v>
      </c>
    </row>
    <row r="498" spans="2:86">
      <c r="B498" s="78" t="s">
        <v>473</v>
      </c>
      <c r="C498" s="79" t="s">
        <v>598</v>
      </c>
      <c r="D498" s="80" t="s">
        <v>598</v>
      </c>
      <c r="E498" s="1" t="s">
        <v>4</v>
      </c>
      <c r="F498" s="6">
        <v>102</v>
      </c>
      <c r="G498" s="4">
        <v>30.2</v>
      </c>
      <c r="H498" s="3" t="str">
        <f t="shared" si="26"/>
        <v>2L8X8X1</v>
      </c>
      <c r="I498" s="7">
        <v>8</v>
      </c>
      <c r="J498" s="5" t="s">
        <v>5</v>
      </c>
      <c r="K498" s="6" t="s">
        <v>5</v>
      </c>
      <c r="L498" s="6" t="s">
        <v>5</v>
      </c>
      <c r="M498" s="6" t="s">
        <v>5</v>
      </c>
      <c r="N498" s="6" t="s">
        <v>5</v>
      </c>
      <c r="O498" s="5" t="s">
        <v>5</v>
      </c>
      <c r="P498" s="5" t="s">
        <v>5</v>
      </c>
      <c r="Q498" s="7">
        <v>8</v>
      </c>
      <c r="R498" s="6" t="s">
        <v>5</v>
      </c>
      <c r="S498" s="6" t="s">
        <v>5</v>
      </c>
      <c r="T498" s="5" t="s">
        <v>5</v>
      </c>
      <c r="U498" s="8" t="s">
        <v>5</v>
      </c>
      <c r="V498" s="6" t="s">
        <v>5</v>
      </c>
      <c r="W498" s="8" t="s">
        <v>5</v>
      </c>
      <c r="X498" s="7">
        <v>1</v>
      </c>
      <c r="Y498" s="6" t="s">
        <v>5</v>
      </c>
      <c r="Z498" s="6" t="s">
        <v>5</v>
      </c>
      <c r="AA498" s="6" t="s">
        <v>5</v>
      </c>
      <c r="AB498" s="8" t="s">
        <v>5</v>
      </c>
      <c r="AC498" s="8" t="s">
        <v>5</v>
      </c>
      <c r="AD498" s="6" t="s">
        <v>5</v>
      </c>
      <c r="AE498" s="7">
        <v>2.36</v>
      </c>
      <c r="AF498" s="6" t="s">
        <v>5</v>
      </c>
      <c r="AG498" s="6" t="s">
        <v>5</v>
      </c>
      <c r="AH498" s="22">
        <v>0.94399999999999995</v>
      </c>
      <c r="AI498" s="6" t="s">
        <v>5</v>
      </c>
      <c r="AJ498" s="7">
        <v>8</v>
      </c>
      <c r="AK498" s="6" t="s">
        <v>5</v>
      </c>
      <c r="AL498" s="6" t="s">
        <v>5</v>
      </c>
      <c r="AM498" s="6" t="s">
        <v>5</v>
      </c>
      <c r="AN498" s="6" t="s">
        <v>5</v>
      </c>
      <c r="AO498" s="6">
        <v>178</v>
      </c>
      <c r="AP498" s="4">
        <v>57</v>
      </c>
      <c r="AQ498" s="4">
        <v>31.6</v>
      </c>
      <c r="AR498" s="7">
        <v>2.4300000000000002</v>
      </c>
      <c r="AS498" s="6">
        <v>347</v>
      </c>
      <c r="AT498" s="6">
        <v>71.3</v>
      </c>
      <c r="AU498" s="6">
        <v>43.4</v>
      </c>
      <c r="AV498" s="7">
        <v>3.39</v>
      </c>
      <c r="AW498" s="6" t="s">
        <v>5</v>
      </c>
      <c r="AX498" s="6" t="s">
        <v>5</v>
      </c>
      <c r="AY498" s="6" t="s">
        <v>5</v>
      </c>
      <c r="AZ498" s="6" t="s">
        <v>5</v>
      </c>
      <c r="BA498" s="6" t="s">
        <v>5</v>
      </c>
      <c r="BB498" s="6" t="s">
        <v>5</v>
      </c>
      <c r="BC498" s="6" t="s">
        <v>5</v>
      </c>
      <c r="BD498" s="6" t="s">
        <v>5</v>
      </c>
      <c r="BE498" s="6" t="s">
        <v>5</v>
      </c>
      <c r="BF498" s="6" t="s">
        <v>5</v>
      </c>
      <c r="BG498" s="6" t="s">
        <v>5</v>
      </c>
      <c r="BH498" s="6" t="s">
        <v>5</v>
      </c>
      <c r="BI498" s="7">
        <v>4.5599999999999996</v>
      </c>
      <c r="BJ498" s="22">
        <v>0.83399999999999996</v>
      </c>
      <c r="BK498" s="6" t="s">
        <v>5</v>
      </c>
      <c r="BL498" s="2" t="s">
        <v>5</v>
      </c>
      <c r="BM498" s="2" t="s">
        <v>5</v>
      </c>
      <c r="BN498" s="2" t="s">
        <v>5</v>
      </c>
      <c r="BO498" s="2" t="s">
        <v>5</v>
      </c>
      <c r="BP498" s="2" t="s">
        <v>5</v>
      </c>
      <c r="BQ498" s="2" t="s">
        <v>5</v>
      </c>
      <c r="BR498" s="2" t="s">
        <v>5</v>
      </c>
      <c r="BS498" s="2" t="s">
        <v>5</v>
      </c>
      <c r="BT498" s="2" t="s">
        <v>5</v>
      </c>
      <c r="BU498" s="2" t="s">
        <v>5</v>
      </c>
      <c r="BV498" s="2" t="s">
        <v>5</v>
      </c>
      <c r="BW498" s="2" t="s">
        <v>5</v>
      </c>
      <c r="BX498" s="2" t="s">
        <v>5</v>
      </c>
      <c r="BY498" s="25" t="s">
        <v>5</v>
      </c>
      <c r="BZ498" s="25" t="s">
        <v>5</v>
      </c>
      <c r="CA498" s="6" t="s">
        <v>5</v>
      </c>
      <c r="CB498" s="6" t="s">
        <v>5</v>
      </c>
      <c r="CC498" s="6" t="s">
        <v>5</v>
      </c>
      <c r="CD498" s="6" t="s">
        <v>5</v>
      </c>
      <c r="CE498" s="6" t="s">
        <v>5</v>
      </c>
      <c r="CF498" s="16" t="s">
        <v>5</v>
      </c>
      <c r="CG498" s="16" t="s">
        <v>5</v>
      </c>
      <c r="CH498" s="18" t="s">
        <v>5</v>
      </c>
    </row>
    <row r="499" spans="2:86">
      <c r="B499" s="78" t="s">
        <v>473</v>
      </c>
      <c r="C499" s="79" t="s">
        <v>599</v>
      </c>
      <c r="D499" s="80" t="s">
        <v>599</v>
      </c>
      <c r="E499" s="1" t="s">
        <v>4</v>
      </c>
      <c r="F499" s="6">
        <v>102</v>
      </c>
      <c r="G499" s="4">
        <v>30.2</v>
      </c>
      <c r="H499" s="3" t="str">
        <f t="shared" si="26"/>
        <v>2L8X8X1X3/8</v>
      </c>
      <c r="I499" s="7">
        <v>8</v>
      </c>
      <c r="J499" s="5" t="s">
        <v>5</v>
      </c>
      <c r="K499" s="6" t="s">
        <v>5</v>
      </c>
      <c r="L499" s="6" t="s">
        <v>5</v>
      </c>
      <c r="M499" s="6" t="s">
        <v>5</v>
      </c>
      <c r="N499" s="6" t="s">
        <v>5</v>
      </c>
      <c r="O499" s="5" t="s">
        <v>5</v>
      </c>
      <c r="P499" s="5" t="s">
        <v>5</v>
      </c>
      <c r="Q499" s="7">
        <v>8</v>
      </c>
      <c r="R499" s="6" t="s">
        <v>5</v>
      </c>
      <c r="S499" s="6" t="s">
        <v>5</v>
      </c>
      <c r="T499" s="5" t="s">
        <v>5</v>
      </c>
      <c r="U499" s="8" t="s">
        <v>5</v>
      </c>
      <c r="V499" s="6" t="s">
        <v>5</v>
      </c>
      <c r="W499" s="8" t="s">
        <v>5</v>
      </c>
      <c r="X499" s="7">
        <v>1</v>
      </c>
      <c r="Y499" s="6" t="s">
        <v>5</v>
      </c>
      <c r="Z499" s="6" t="s">
        <v>5</v>
      </c>
      <c r="AA499" s="6" t="s">
        <v>5</v>
      </c>
      <c r="AB499" s="8" t="s">
        <v>5</v>
      </c>
      <c r="AC499" s="8" t="s">
        <v>5</v>
      </c>
      <c r="AD499" s="6" t="s">
        <v>5</v>
      </c>
      <c r="AE499" s="7">
        <v>2.36</v>
      </c>
      <c r="AF499" s="6" t="s">
        <v>5</v>
      </c>
      <c r="AG499" s="6" t="s">
        <v>5</v>
      </c>
      <c r="AH499" s="22">
        <v>0.94399999999999995</v>
      </c>
      <c r="AI499" s="6" t="s">
        <v>5</v>
      </c>
      <c r="AJ499" s="7">
        <v>8</v>
      </c>
      <c r="AK499" s="6" t="s">
        <v>5</v>
      </c>
      <c r="AL499" s="6" t="s">
        <v>5</v>
      </c>
      <c r="AM499" s="6" t="s">
        <v>5</v>
      </c>
      <c r="AN499" s="6" t="s">
        <v>5</v>
      </c>
      <c r="AO499" s="6">
        <v>178</v>
      </c>
      <c r="AP499" s="4">
        <v>57</v>
      </c>
      <c r="AQ499" s="4">
        <v>31.6</v>
      </c>
      <c r="AR499" s="7">
        <v>2.4300000000000002</v>
      </c>
      <c r="AS499" s="6">
        <v>374</v>
      </c>
      <c r="AT499" s="6">
        <v>76.900000000000006</v>
      </c>
      <c r="AU499" s="6">
        <v>45.7</v>
      </c>
      <c r="AV499" s="7">
        <v>3.52</v>
      </c>
      <c r="AW499" s="6" t="s">
        <v>5</v>
      </c>
      <c r="AX499" s="6" t="s">
        <v>5</v>
      </c>
      <c r="AY499" s="6" t="s">
        <v>5</v>
      </c>
      <c r="AZ499" s="6" t="s">
        <v>5</v>
      </c>
      <c r="BA499" s="6" t="s">
        <v>5</v>
      </c>
      <c r="BB499" s="6" t="s">
        <v>5</v>
      </c>
      <c r="BC499" s="6" t="s">
        <v>5</v>
      </c>
      <c r="BD499" s="6" t="s">
        <v>5</v>
      </c>
      <c r="BE499" s="6" t="s">
        <v>5</v>
      </c>
      <c r="BF499" s="6" t="s">
        <v>5</v>
      </c>
      <c r="BG499" s="6" t="s">
        <v>5</v>
      </c>
      <c r="BH499" s="6" t="s">
        <v>5</v>
      </c>
      <c r="BI499" s="7">
        <v>4.66</v>
      </c>
      <c r="BJ499" s="22">
        <v>0.84099999999999997</v>
      </c>
      <c r="BK499" s="6" t="s">
        <v>5</v>
      </c>
      <c r="BL499" s="2" t="s">
        <v>5</v>
      </c>
      <c r="BM499" s="2" t="s">
        <v>5</v>
      </c>
      <c r="BN499" s="2" t="s">
        <v>5</v>
      </c>
      <c r="BO499" s="2" t="s">
        <v>5</v>
      </c>
      <c r="BP499" s="2" t="s">
        <v>5</v>
      </c>
      <c r="BQ499" s="2" t="s">
        <v>5</v>
      </c>
      <c r="BR499" s="2" t="s">
        <v>5</v>
      </c>
      <c r="BS499" s="2" t="s">
        <v>5</v>
      </c>
      <c r="BT499" s="2" t="s">
        <v>5</v>
      </c>
      <c r="BU499" s="2" t="s">
        <v>5</v>
      </c>
      <c r="BV499" s="2" t="s">
        <v>5</v>
      </c>
      <c r="BW499" s="2" t="s">
        <v>5</v>
      </c>
      <c r="BX499" s="2" t="s">
        <v>5</v>
      </c>
      <c r="BY499" s="25" t="s">
        <v>5</v>
      </c>
      <c r="BZ499" s="25" t="s">
        <v>5</v>
      </c>
      <c r="CA499" s="6" t="s">
        <v>5</v>
      </c>
      <c r="CB499" s="6" t="s">
        <v>5</v>
      </c>
      <c r="CC499" s="6" t="s">
        <v>5</v>
      </c>
      <c r="CD499" s="6" t="s">
        <v>5</v>
      </c>
      <c r="CE499" s="6" t="s">
        <v>5</v>
      </c>
      <c r="CF499" s="16" t="s">
        <v>5</v>
      </c>
      <c r="CG499" s="16" t="s">
        <v>5</v>
      </c>
      <c r="CH499" s="18" t="s">
        <v>5</v>
      </c>
    </row>
    <row r="500" spans="2:86">
      <c r="B500" s="78" t="s">
        <v>473</v>
      </c>
      <c r="C500" s="79" t="s">
        <v>600</v>
      </c>
      <c r="D500" s="80" t="s">
        <v>600</v>
      </c>
      <c r="E500" s="1" t="s">
        <v>4</v>
      </c>
      <c r="F500" s="6">
        <v>102</v>
      </c>
      <c r="G500" s="4">
        <v>30.2</v>
      </c>
      <c r="H500" s="3" t="str">
        <f t="shared" si="26"/>
        <v>2L8X8X1X3/4</v>
      </c>
      <c r="I500" s="7">
        <v>8</v>
      </c>
      <c r="J500" s="5" t="s">
        <v>5</v>
      </c>
      <c r="K500" s="6" t="s">
        <v>5</v>
      </c>
      <c r="L500" s="6" t="s">
        <v>5</v>
      </c>
      <c r="M500" s="6" t="s">
        <v>5</v>
      </c>
      <c r="N500" s="6" t="s">
        <v>5</v>
      </c>
      <c r="O500" s="5" t="s">
        <v>5</v>
      </c>
      <c r="P500" s="5" t="s">
        <v>5</v>
      </c>
      <c r="Q500" s="7">
        <v>8</v>
      </c>
      <c r="R500" s="6" t="s">
        <v>5</v>
      </c>
      <c r="S500" s="6" t="s">
        <v>5</v>
      </c>
      <c r="T500" s="5" t="s">
        <v>5</v>
      </c>
      <c r="U500" s="8" t="s">
        <v>5</v>
      </c>
      <c r="V500" s="6" t="s">
        <v>5</v>
      </c>
      <c r="W500" s="8" t="s">
        <v>5</v>
      </c>
      <c r="X500" s="7">
        <v>1</v>
      </c>
      <c r="Y500" s="6" t="s">
        <v>5</v>
      </c>
      <c r="Z500" s="6" t="s">
        <v>5</v>
      </c>
      <c r="AA500" s="6" t="s">
        <v>5</v>
      </c>
      <c r="AB500" s="8" t="s">
        <v>5</v>
      </c>
      <c r="AC500" s="8" t="s">
        <v>5</v>
      </c>
      <c r="AD500" s="6" t="s">
        <v>5</v>
      </c>
      <c r="AE500" s="7">
        <v>2.36</v>
      </c>
      <c r="AF500" s="6" t="s">
        <v>5</v>
      </c>
      <c r="AG500" s="6" t="s">
        <v>5</v>
      </c>
      <c r="AH500" s="22">
        <v>0.94399999999999995</v>
      </c>
      <c r="AI500" s="6" t="s">
        <v>5</v>
      </c>
      <c r="AJ500" s="7">
        <v>8</v>
      </c>
      <c r="AK500" s="6" t="s">
        <v>5</v>
      </c>
      <c r="AL500" s="6" t="s">
        <v>5</v>
      </c>
      <c r="AM500" s="6" t="s">
        <v>5</v>
      </c>
      <c r="AN500" s="6" t="s">
        <v>5</v>
      </c>
      <c r="AO500" s="6">
        <v>178</v>
      </c>
      <c r="AP500" s="4">
        <v>57</v>
      </c>
      <c r="AQ500" s="4">
        <v>31.6</v>
      </c>
      <c r="AR500" s="7">
        <v>2.4300000000000002</v>
      </c>
      <c r="AS500" s="6">
        <v>405</v>
      </c>
      <c r="AT500" s="6">
        <v>82.6</v>
      </c>
      <c r="AU500" s="6">
        <v>48.4</v>
      </c>
      <c r="AV500" s="7">
        <v>3.66</v>
      </c>
      <c r="AW500" s="6" t="s">
        <v>5</v>
      </c>
      <c r="AX500" s="6" t="s">
        <v>5</v>
      </c>
      <c r="AY500" s="6" t="s">
        <v>5</v>
      </c>
      <c r="AZ500" s="6" t="s">
        <v>5</v>
      </c>
      <c r="BA500" s="6" t="s">
        <v>5</v>
      </c>
      <c r="BB500" s="6" t="s">
        <v>5</v>
      </c>
      <c r="BC500" s="6" t="s">
        <v>5</v>
      </c>
      <c r="BD500" s="6" t="s">
        <v>5</v>
      </c>
      <c r="BE500" s="6" t="s">
        <v>5</v>
      </c>
      <c r="BF500" s="6" t="s">
        <v>5</v>
      </c>
      <c r="BG500" s="6" t="s">
        <v>5</v>
      </c>
      <c r="BH500" s="6" t="s">
        <v>5</v>
      </c>
      <c r="BI500" s="7">
        <v>4.7699999999999996</v>
      </c>
      <c r="BJ500" s="22">
        <v>0.84799999999999998</v>
      </c>
      <c r="BK500" s="6" t="s">
        <v>5</v>
      </c>
      <c r="BL500" s="2" t="s">
        <v>5</v>
      </c>
      <c r="BM500" s="2" t="s">
        <v>5</v>
      </c>
      <c r="BN500" s="2" t="s">
        <v>5</v>
      </c>
      <c r="BO500" s="2" t="s">
        <v>5</v>
      </c>
      <c r="BP500" s="2" t="s">
        <v>5</v>
      </c>
      <c r="BQ500" s="2" t="s">
        <v>5</v>
      </c>
      <c r="BR500" s="2" t="s">
        <v>5</v>
      </c>
      <c r="BS500" s="2" t="s">
        <v>5</v>
      </c>
      <c r="BT500" s="2" t="s">
        <v>5</v>
      </c>
      <c r="BU500" s="2" t="s">
        <v>5</v>
      </c>
      <c r="BV500" s="2" t="s">
        <v>5</v>
      </c>
      <c r="BW500" s="2" t="s">
        <v>5</v>
      </c>
      <c r="BX500" s="2" t="s">
        <v>5</v>
      </c>
      <c r="BY500" s="25" t="s">
        <v>5</v>
      </c>
      <c r="BZ500" s="25" t="s">
        <v>5</v>
      </c>
      <c r="CA500" s="6" t="s">
        <v>5</v>
      </c>
      <c r="CB500" s="6" t="s">
        <v>5</v>
      </c>
      <c r="CC500" s="6" t="s">
        <v>5</v>
      </c>
      <c r="CD500" s="6" t="s">
        <v>5</v>
      </c>
      <c r="CE500" s="6" t="s">
        <v>5</v>
      </c>
      <c r="CF500" s="16" t="s">
        <v>5</v>
      </c>
      <c r="CG500" s="16" t="s">
        <v>5</v>
      </c>
      <c r="CH500" s="18" t="s">
        <v>5</v>
      </c>
    </row>
    <row r="501" spans="2:86">
      <c r="B501" s="78" t="s">
        <v>473</v>
      </c>
      <c r="C501" s="79" t="s">
        <v>601</v>
      </c>
      <c r="D501" s="80" t="s">
        <v>601</v>
      </c>
      <c r="E501" s="1" t="s">
        <v>4</v>
      </c>
      <c r="F501" s="4">
        <v>90</v>
      </c>
      <c r="G501" s="4">
        <v>26.6</v>
      </c>
      <c r="H501" s="3" t="str">
        <f t="shared" si="26"/>
        <v>2L8X8X7/8</v>
      </c>
      <c r="I501" s="7">
        <v>8</v>
      </c>
      <c r="J501" s="5" t="s">
        <v>5</v>
      </c>
      <c r="K501" s="6" t="s">
        <v>5</v>
      </c>
      <c r="L501" s="6" t="s">
        <v>5</v>
      </c>
      <c r="M501" s="6" t="s">
        <v>5</v>
      </c>
      <c r="N501" s="6" t="s">
        <v>5</v>
      </c>
      <c r="O501" s="5" t="s">
        <v>5</v>
      </c>
      <c r="P501" s="5" t="s">
        <v>5</v>
      </c>
      <c r="Q501" s="7">
        <v>8</v>
      </c>
      <c r="R501" s="6" t="s">
        <v>5</v>
      </c>
      <c r="S501" s="6" t="s">
        <v>5</v>
      </c>
      <c r="T501" s="5" t="s">
        <v>5</v>
      </c>
      <c r="U501" s="8" t="s">
        <v>5</v>
      </c>
      <c r="V501" s="6" t="s">
        <v>5</v>
      </c>
      <c r="W501" s="8" t="s">
        <v>5</v>
      </c>
      <c r="X501" s="22">
        <v>0.875</v>
      </c>
      <c r="Y501" s="6" t="s">
        <v>5</v>
      </c>
      <c r="Z501" s="6" t="s">
        <v>5</v>
      </c>
      <c r="AA501" s="6" t="s">
        <v>5</v>
      </c>
      <c r="AB501" s="8" t="s">
        <v>5</v>
      </c>
      <c r="AC501" s="8" t="s">
        <v>5</v>
      </c>
      <c r="AD501" s="6" t="s">
        <v>5</v>
      </c>
      <c r="AE501" s="7">
        <v>2.31</v>
      </c>
      <c r="AF501" s="6" t="s">
        <v>5</v>
      </c>
      <c r="AG501" s="6" t="s">
        <v>5</v>
      </c>
      <c r="AH501" s="22">
        <v>0.83099999999999996</v>
      </c>
      <c r="AI501" s="6" t="s">
        <v>5</v>
      </c>
      <c r="AJ501" s="6">
        <v>9.14</v>
      </c>
      <c r="AK501" s="6" t="s">
        <v>5</v>
      </c>
      <c r="AL501" s="6" t="s">
        <v>5</v>
      </c>
      <c r="AM501" s="6" t="s">
        <v>5</v>
      </c>
      <c r="AN501" s="6" t="s">
        <v>5</v>
      </c>
      <c r="AO501" s="6">
        <v>159</v>
      </c>
      <c r="AP501" s="4">
        <v>50.6</v>
      </c>
      <c r="AQ501" s="4">
        <v>28</v>
      </c>
      <c r="AR501" s="7">
        <v>2.4500000000000002</v>
      </c>
      <c r="AS501" s="6">
        <v>300</v>
      </c>
      <c r="AT501" s="6">
        <v>61.4</v>
      </c>
      <c r="AU501" s="6">
        <v>37.5</v>
      </c>
      <c r="AV501" s="7">
        <v>3.36</v>
      </c>
      <c r="AW501" s="6" t="s">
        <v>5</v>
      </c>
      <c r="AX501" s="6" t="s">
        <v>5</v>
      </c>
      <c r="AY501" s="6" t="s">
        <v>5</v>
      </c>
      <c r="AZ501" s="6" t="s">
        <v>5</v>
      </c>
      <c r="BA501" s="6" t="s">
        <v>5</v>
      </c>
      <c r="BB501" s="6" t="s">
        <v>5</v>
      </c>
      <c r="BC501" s="6" t="s">
        <v>5</v>
      </c>
      <c r="BD501" s="6" t="s">
        <v>5</v>
      </c>
      <c r="BE501" s="6" t="s">
        <v>5</v>
      </c>
      <c r="BF501" s="6" t="s">
        <v>5</v>
      </c>
      <c r="BG501" s="6" t="s">
        <v>5</v>
      </c>
      <c r="BH501" s="6" t="s">
        <v>5</v>
      </c>
      <c r="BI501" s="7">
        <v>4.5599999999999996</v>
      </c>
      <c r="BJ501" s="22">
        <v>0.83099999999999996</v>
      </c>
      <c r="BK501" s="6" t="s">
        <v>5</v>
      </c>
      <c r="BL501" s="2" t="s">
        <v>5</v>
      </c>
      <c r="BM501" s="2" t="s">
        <v>5</v>
      </c>
      <c r="BN501" s="2" t="s">
        <v>5</v>
      </c>
      <c r="BO501" s="2" t="s">
        <v>5</v>
      </c>
      <c r="BP501" s="2" t="s">
        <v>5</v>
      </c>
      <c r="BQ501" s="2" t="s">
        <v>5</v>
      </c>
      <c r="BR501" s="2" t="s">
        <v>5</v>
      </c>
      <c r="BS501" s="2" t="s">
        <v>5</v>
      </c>
      <c r="BT501" s="2" t="s">
        <v>5</v>
      </c>
      <c r="BU501" s="2" t="s">
        <v>5</v>
      </c>
      <c r="BV501" s="2" t="s">
        <v>5</v>
      </c>
      <c r="BW501" s="2" t="s">
        <v>5</v>
      </c>
      <c r="BX501" s="2" t="s">
        <v>5</v>
      </c>
      <c r="BY501" s="25" t="s">
        <v>5</v>
      </c>
      <c r="BZ501" s="25" t="s">
        <v>5</v>
      </c>
      <c r="CA501" s="6" t="s">
        <v>5</v>
      </c>
      <c r="CB501" s="6" t="s">
        <v>5</v>
      </c>
      <c r="CC501" s="6" t="s">
        <v>5</v>
      </c>
      <c r="CD501" s="6" t="s">
        <v>5</v>
      </c>
      <c r="CE501" s="6" t="s">
        <v>5</v>
      </c>
      <c r="CF501" s="16" t="s">
        <v>5</v>
      </c>
      <c r="CG501" s="16" t="s">
        <v>5</v>
      </c>
      <c r="CH501" s="18" t="s">
        <v>5</v>
      </c>
    </row>
    <row r="502" spans="2:86">
      <c r="B502" s="78" t="s">
        <v>473</v>
      </c>
      <c r="C502" s="79" t="s">
        <v>602</v>
      </c>
      <c r="D502" s="80" t="s">
        <v>602</v>
      </c>
      <c r="E502" s="1" t="s">
        <v>4</v>
      </c>
      <c r="F502" s="4">
        <v>90</v>
      </c>
      <c r="G502" s="4">
        <v>26.6</v>
      </c>
      <c r="H502" s="3" t="str">
        <f t="shared" si="26"/>
        <v>2L8X8X7/8X3/8</v>
      </c>
      <c r="I502" s="7">
        <v>8</v>
      </c>
      <c r="J502" s="5" t="s">
        <v>5</v>
      </c>
      <c r="K502" s="6" t="s">
        <v>5</v>
      </c>
      <c r="L502" s="6" t="s">
        <v>5</v>
      </c>
      <c r="M502" s="6" t="s">
        <v>5</v>
      </c>
      <c r="N502" s="6" t="s">
        <v>5</v>
      </c>
      <c r="O502" s="5" t="s">
        <v>5</v>
      </c>
      <c r="P502" s="5" t="s">
        <v>5</v>
      </c>
      <c r="Q502" s="7">
        <v>8</v>
      </c>
      <c r="R502" s="6" t="s">
        <v>5</v>
      </c>
      <c r="S502" s="6" t="s">
        <v>5</v>
      </c>
      <c r="T502" s="5" t="s">
        <v>5</v>
      </c>
      <c r="U502" s="8" t="s">
        <v>5</v>
      </c>
      <c r="V502" s="6" t="s">
        <v>5</v>
      </c>
      <c r="W502" s="8" t="s">
        <v>5</v>
      </c>
      <c r="X502" s="22">
        <v>0.875</v>
      </c>
      <c r="Y502" s="6" t="s">
        <v>5</v>
      </c>
      <c r="Z502" s="6" t="s">
        <v>5</v>
      </c>
      <c r="AA502" s="6" t="s">
        <v>5</v>
      </c>
      <c r="AB502" s="8" t="s">
        <v>5</v>
      </c>
      <c r="AC502" s="8" t="s">
        <v>5</v>
      </c>
      <c r="AD502" s="6" t="s">
        <v>5</v>
      </c>
      <c r="AE502" s="7">
        <v>2.31</v>
      </c>
      <c r="AF502" s="6" t="s">
        <v>5</v>
      </c>
      <c r="AG502" s="6" t="s">
        <v>5</v>
      </c>
      <c r="AH502" s="22">
        <v>0.83099999999999996</v>
      </c>
      <c r="AI502" s="6" t="s">
        <v>5</v>
      </c>
      <c r="AJ502" s="6">
        <v>9.14</v>
      </c>
      <c r="AK502" s="6" t="s">
        <v>5</v>
      </c>
      <c r="AL502" s="6" t="s">
        <v>5</v>
      </c>
      <c r="AM502" s="6" t="s">
        <v>5</v>
      </c>
      <c r="AN502" s="6" t="s">
        <v>5</v>
      </c>
      <c r="AO502" s="6">
        <v>159</v>
      </c>
      <c r="AP502" s="4">
        <v>50.6</v>
      </c>
      <c r="AQ502" s="4">
        <v>28</v>
      </c>
      <c r="AR502" s="7">
        <v>2.4500000000000002</v>
      </c>
      <c r="AS502" s="6">
        <v>326</v>
      </c>
      <c r="AT502" s="6">
        <v>66.400000000000006</v>
      </c>
      <c r="AU502" s="6">
        <v>39.799999999999997</v>
      </c>
      <c r="AV502" s="7">
        <v>3.5</v>
      </c>
      <c r="AW502" s="6" t="s">
        <v>5</v>
      </c>
      <c r="AX502" s="6" t="s">
        <v>5</v>
      </c>
      <c r="AY502" s="6" t="s">
        <v>5</v>
      </c>
      <c r="AZ502" s="6" t="s">
        <v>5</v>
      </c>
      <c r="BA502" s="6" t="s">
        <v>5</v>
      </c>
      <c r="BB502" s="6" t="s">
        <v>5</v>
      </c>
      <c r="BC502" s="6" t="s">
        <v>5</v>
      </c>
      <c r="BD502" s="6" t="s">
        <v>5</v>
      </c>
      <c r="BE502" s="6" t="s">
        <v>5</v>
      </c>
      <c r="BF502" s="6" t="s">
        <v>5</v>
      </c>
      <c r="BG502" s="6" t="s">
        <v>5</v>
      </c>
      <c r="BH502" s="6" t="s">
        <v>5</v>
      </c>
      <c r="BI502" s="7">
        <v>4.66</v>
      </c>
      <c r="BJ502" s="22">
        <v>0.83799999999999997</v>
      </c>
      <c r="BK502" s="6" t="s">
        <v>5</v>
      </c>
      <c r="BL502" s="2" t="s">
        <v>5</v>
      </c>
      <c r="BM502" s="2" t="s">
        <v>5</v>
      </c>
      <c r="BN502" s="2" t="s">
        <v>5</v>
      </c>
      <c r="BO502" s="2" t="s">
        <v>5</v>
      </c>
      <c r="BP502" s="2" t="s">
        <v>5</v>
      </c>
      <c r="BQ502" s="2" t="s">
        <v>5</v>
      </c>
      <c r="BR502" s="2" t="s">
        <v>5</v>
      </c>
      <c r="BS502" s="2" t="s">
        <v>5</v>
      </c>
      <c r="BT502" s="2" t="s">
        <v>5</v>
      </c>
      <c r="BU502" s="2" t="s">
        <v>5</v>
      </c>
      <c r="BV502" s="2" t="s">
        <v>5</v>
      </c>
      <c r="BW502" s="2" t="s">
        <v>5</v>
      </c>
      <c r="BX502" s="2" t="s">
        <v>5</v>
      </c>
      <c r="BY502" s="25" t="s">
        <v>5</v>
      </c>
      <c r="BZ502" s="25" t="s">
        <v>5</v>
      </c>
      <c r="CA502" s="6" t="s">
        <v>5</v>
      </c>
      <c r="CB502" s="6" t="s">
        <v>5</v>
      </c>
      <c r="CC502" s="6" t="s">
        <v>5</v>
      </c>
      <c r="CD502" s="6" t="s">
        <v>5</v>
      </c>
      <c r="CE502" s="6" t="s">
        <v>5</v>
      </c>
      <c r="CF502" s="16" t="s">
        <v>5</v>
      </c>
      <c r="CG502" s="16" t="s">
        <v>5</v>
      </c>
      <c r="CH502" s="18" t="s">
        <v>5</v>
      </c>
    </row>
    <row r="503" spans="2:86">
      <c r="B503" s="78" t="s">
        <v>473</v>
      </c>
      <c r="C503" s="79" t="s">
        <v>603</v>
      </c>
      <c r="D503" s="80" t="s">
        <v>603</v>
      </c>
      <c r="E503" s="1" t="s">
        <v>4</v>
      </c>
      <c r="F503" s="4">
        <v>90</v>
      </c>
      <c r="G503" s="4">
        <v>26.6</v>
      </c>
      <c r="H503" s="3" t="str">
        <f t="shared" si="26"/>
        <v>2L8X8X7/8X3/4</v>
      </c>
      <c r="I503" s="7">
        <v>8</v>
      </c>
      <c r="J503" s="5" t="s">
        <v>5</v>
      </c>
      <c r="K503" s="6" t="s">
        <v>5</v>
      </c>
      <c r="L503" s="6" t="s">
        <v>5</v>
      </c>
      <c r="M503" s="6" t="s">
        <v>5</v>
      </c>
      <c r="N503" s="6" t="s">
        <v>5</v>
      </c>
      <c r="O503" s="5" t="s">
        <v>5</v>
      </c>
      <c r="P503" s="5" t="s">
        <v>5</v>
      </c>
      <c r="Q503" s="7">
        <v>8</v>
      </c>
      <c r="R503" s="6" t="s">
        <v>5</v>
      </c>
      <c r="S503" s="6" t="s">
        <v>5</v>
      </c>
      <c r="T503" s="5" t="s">
        <v>5</v>
      </c>
      <c r="U503" s="8" t="s">
        <v>5</v>
      </c>
      <c r="V503" s="6" t="s">
        <v>5</v>
      </c>
      <c r="W503" s="8" t="s">
        <v>5</v>
      </c>
      <c r="X503" s="22">
        <v>0.875</v>
      </c>
      <c r="Y503" s="6" t="s">
        <v>5</v>
      </c>
      <c r="Z503" s="6" t="s">
        <v>5</v>
      </c>
      <c r="AA503" s="6" t="s">
        <v>5</v>
      </c>
      <c r="AB503" s="8" t="s">
        <v>5</v>
      </c>
      <c r="AC503" s="8" t="s">
        <v>5</v>
      </c>
      <c r="AD503" s="6" t="s">
        <v>5</v>
      </c>
      <c r="AE503" s="7">
        <v>2.31</v>
      </c>
      <c r="AF503" s="6" t="s">
        <v>5</v>
      </c>
      <c r="AG503" s="6" t="s">
        <v>5</v>
      </c>
      <c r="AH503" s="22">
        <v>0.83099999999999996</v>
      </c>
      <c r="AI503" s="6" t="s">
        <v>5</v>
      </c>
      <c r="AJ503" s="6">
        <v>9.14</v>
      </c>
      <c r="AK503" s="6" t="s">
        <v>5</v>
      </c>
      <c r="AL503" s="6" t="s">
        <v>5</v>
      </c>
      <c r="AM503" s="6" t="s">
        <v>5</v>
      </c>
      <c r="AN503" s="6" t="s">
        <v>5</v>
      </c>
      <c r="AO503" s="6">
        <v>159</v>
      </c>
      <c r="AP503" s="4">
        <v>50.6</v>
      </c>
      <c r="AQ503" s="4">
        <v>28</v>
      </c>
      <c r="AR503" s="7">
        <v>2.4500000000000002</v>
      </c>
      <c r="AS503" s="6">
        <v>351</v>
      </c>
      <c r="AT503" s="6">
        <v>71.400000000000006</v>
      </c>
      <c r="AU503" s="6">
        <v>41.9</v>
      </c>
      <c r="AV503" s="7">
        <v>3.63</v>
      </c>
      <c r="AW503" s="6" t="s">
        <v>5</v>
      </c>
      <c r="AX503" s="6" t="s">
        <v>5</v>
      </c>
      <c r="AY503" s="6" t="s">
        <v>5</v>
      </c>
      <c r="AZ503" s="6" t="s">
        <v>5</v>
      </c>
      <c r="BA503" s="6" t="s">
        <v>5</v>
      </c>
      <c r="BB503" s="6" t="s">
        <v>5</v>
      </c>
      <c r="BC503" s="6" t="s">
        <v>5</v>
      </c>
      <c r="BD503" s="6" t="s">
        <v>5</v>
      </c>
      <c r="BE503" s="6" t="s">
        <v>5</v>
      </c>
      <c r="BF503" s="6" t="s">
        <v>5</v>
      </c>
      <c r="BG503" s="6" t="s">
        <v>5</v>
      </c>
      <c r="BH503" s="6" t="s">
        <v>5</v>
      </c>
      <c r="BI503" s="7">
        <v>4.76</v>
      </c>
      <c r="BJ503" s="22">
        <v>0.84499999999999997</v>
      </c>
      <c r="BK503" s="6" t="s">
        <v>5</v>
      </c>
      <c r="BL503" s="2" t="s">
        <v>5</v>
      </c>
      <c r="BM503" s="2" t="s">
        <v>5</v>
      </c>
      <c r="BN503" s="2" t="s">
        <v>5</v>
      </c>
      <c r="BO503" s="2" t="s">
        <v>5</v>
      </c>
      <c r="BP503" s="2" t="s">
        <v>5</v>
      </c>
      <c r="BQ503" s="2" t="s">
        <v>5</v>
      </c>
      <c r="BR503" s="2" t="s">
        <v>5</v>
      </c>
      <c r="BS503" s="2" t="s">
        <v>5</v>
      </c>
      <c r="BT503" s="2" t="s">
        <v>5</v>
      </c>
      <c r="BU503" s="2" t="s">
        <v>5</v>
      </c>
      <c r="BV503" s="2" t="s">
        <v>5</v>
      </c>
      <c r="BW503" s="2" t="s">
        <v>5</v>
      </c>
      <c r="BX503" s="2" t="s">
        <v>5</v>
      </c>
      <c r="BY503" s="25" t="s">
        <v>5</v>
      </c>
      <c r="BZ503" s="25" t="s">
        <v>5</v>
      </c>
      <c r="CA503" s="6" t="s">
        <v>5</v>
      </c>
      <c r="CB503" s="6" t="s">
        <v>5</v>
      </c>
      <c r="CC503" s="6" t="s">
        <v>5</v>
      </c>
      <c r="CD503" s="6" t="s">
        <v>5</v>
      </c>
      <c r="CE503" s="6" t="s">
        <v>5</v>
      </c>
      <c r="CF503" s="16" t="s">
        <v>5</v>
      </c>
      <c r="CG503" s="16" t="s">
        <v>5</v>
      </c>
      <c r="CH503" s="18" t="s">
        <v>5</v>
      </c>
    </row>
    <row r="504" spans="2:86">
      <c r="B504" s="78" t="s">
        <v>473</v>
      </c>
      <c r="C504" s="79" t="s">
        <v>604</v>
      </c>
      <c r="D504" s="80" t="s">
        <v>604</v>
      </c>
      <c r="E504" s="1" t="s">
        <v>4</v>
      </c>
      <c r="F504" s="4">
        <v>77.8</v>
      </c>
      <c r="G504" s="4">
        <v>23</v>
      </c>
      <c r="H504" s="3" t="str">
        <f t="shared" si="26"/>
        <v>2L8X8X3/4</v>
      </c>
      <c r="I504" s="7">
        <v>8</v>
      </c>
      <c r="J504" s="5" t="s">
        <v>5</v>
      </c>
      <c r="K504" s="6" t="s">
        <v>5</v>
      </c>
      <c r="L504" s="6" t="s">
        <v>5</v>
      </c>
      <c r="M504" s="6" t="s">
        <v>5</v>
      </c>
      <c r="N504" s="6" t="s">
        <v>5</v>
      </c>
      <c r="O504" s="5" t="s">
        <v>5</v>
      </c>
      <c r="P504" s="5" t="s">
        <v>5</v>
      </c>
      <c r="Q504" s="7">
        <v>8</v>
      </c>
      <c r="R504" s="6" t="s">
        <v>5</v>
      </c>
      <c r="S504" s="6" t="s">
        <v>5</v>
      </c>
      <c r="T504" s="5" t="s">
        <v>5</v>
      </c>
      <c r="U504" s="8" t="s">
        <v>5</v>
      </c>
      <c r="V504" s="6" t="s">
        <v>5</v>
      </c>
      <c r="W504" s="8" t="s">
        <v>5</v>
      </c>
      <c r="X504" s="22">
        <v>0.75</v>
      </c>
      <c r="Y504" s="6" t="s">
        <v>5</v>
      </c>
      <c r="Z504" s="6" t="s">
        <v>5</v>
      </c>
      <c r="AA504" s="6" t="s">
        <v>5</v>
      </c>
      <c r="AB504" s="8" t="s">
        <v>5</v>
      </c>
      <c r="AC504" s="8" t="s">
        <v>5</v>
      </c>
      <c r="AD504" s="6" t="s">
        <v>5</v>
      </c>
      <c r="AE504" s="7">
        <v>2.2599999999999998</v>
      </c>
      <c r="AF504" s="6" t="s">
        <v>5</v>
      </c>
      <c r="AG504" s="6" t="s">
        <v>5</v>
      </c>
      <c r="AH504" s="22">
        <v>0.71899999999999997</v>
      </c>
      <c r="AI504" s="6" t="s">
        <v>5</v>
      </c>
      <c r="AJ504" s="6">
        <v>10.7</v>
      </c>
      <c r="AK504" s="6" t="s">
        <v>5</v>
      </c>
      <c r="AL504" s="6" t="s">
        <v>5</v>
      </c>
      <c r="AM504" s="6" t="s">
        <v>5</v>
      </c>
      <c r="AN504" s="6" t="s">
        <v>5</v>
      </c>
      <c r="AO504" s="6">
        <v>140</v>
      </c>
      <c r="AP504" s="4">
        <v>44</v>
      </c>
      <c r="AQ504" s="4">
        <v>24.4</v>
      </c>
      <c r="AR504" s="7">
        <v>2.46</v>
      </c>
      <c r="AS504" s="6">
        <v>257</v>
      </c>
      <c r="AT504" s="4">
        <v>52</v>
      </c>
      <c r="AU504" s="6">
        <v>32.1</v>
      </c>
      <c r="AV504" s="7">
        <v>3.34</v>
      </c>
      <c r="AW504" s="6" t="s">
        <v>5</v>
      </c>
      <c r="AX504" s="6" t="s">
        <v>5</v>
      </c>
      <c r="AY504" s="6" t="s">
        <v>5</v>
      </c>
      <c r="AZ504" s="6" t="s">
        <v>5</v>
      </c>
      <c r="BA504" s="6" t="s">
        <v>5</v>
      </c>
      <c r="BB504" s="6" t="s">
        <v>5</v>
      </c>
      <c r="BC504" s="6" t="s">
        <v>5</v>
      </c>
      <c r="BD504" s="6" t="s">
        <v>5</v>
      </c>
      <c r="BE504" s="6" t="s">
        <v>5</v>
      </c>
      <c r="BF504" s="6" t="s">
        <v>5</v>
      </c>
      <c r="BG504" s="6" t="s">
        <v>5</v>
      </c>
      <c r="BH504" s="6" t="s">
        <v>5</v>
      </c>
      <c r="BI504" s="7">
        <v>4.5599999999999996</v>
      </c>
      <c r="BJ504" s="22">
        <v>0.82899999999999996</v>
      </c>
      <c r="BK504" s="6" t="s">
        <v>5</v>
      </c>
      <c r="BL504" s="2" t="s">
        <v>5</v>
      </c>
      <c r="BM504" s="2" t="s">
        <v>5</v>
      </c>
      <c r="BN504" s="2" t="s">
        <v>5</v>
      </c>
      <c r="BO504" s="2" t="s">
        <v>5</v>
      </c>
      <c r="BP504" s="2" t="s">
        <v>5</v>
      </c>
      <c r="BQ504" s="2" t="s">
        <v>5</v>
      </c>
      <c r="BR504" s="2" t="s">
        <v>5</v>
      </c>
      <c r="BS504" s="2" t="s">
        <v>5</v>
      </c>
      <c r="BT504" s="2" t="s">
        <v>5</v>
      </c>
      <c r="BU504" s="2" t="s">
        <v>5</v>
      </c>
      <c r="BV504" s="2" t="s">
        <v>5</v>
      </c>
      <c r="BW504" s="2" t="s">
        <v>5</v>
      </c>
      <c r="BX504" s="2" t="s">
        <v>5</v>
      </c>
      <c r="BY504" s="25" t="s">
        <v>5</v>
      </c>
      <c r="BZ504" s="25" t="s">
        <v>5</v>
      </c>
      <c r="CA504" s="6" t="s">
        <v>5</v>
      </c>
      <c r="CB504" s="6" t="s">
        <v>5</v>
      </c>
      <c r="CC504" s="6" t="s">
        <v>5</v>
      </c>
      <c r="CD504" s="6" t="s">
        <v>5</v>
      </c>
      <c r="CE504" s="6" t="s">
        <v>5</v>
      </c>
      <c r="CF504" s="16" t="s">
        <v>5</v>
      </c>
      <c r="CG504" s="16" t="s">
        <v>5</v>
      </c>
      <c r="CH504" s="18" t="s">
        <v>5</v>
      </c>
    </row>
    <row r="505" spans="2:86">
      <c r="B505" s="78" t="s">
        <v>473</v>
      </c>
      <c r="C505" s="79" t="s">
        <v>605</v>
      </c>
      <c r="D505" s="80" t="s">
        <v>605</v>
      </c>
      <c r="E505" s="1" t="s">
        <v>4</v>
      </c>
      <c r="F505" s="4">
        <v>77.8</v>
      </c>
      <c r="G505" s="4">
        <v>23</v>
      </c>
      <c r="H505" s="3" t="str">
        <f t="shared" si="26"/>
        <v>2L8X8X3/4X3/8</v>
      </c>
      <c r="I505" s="7">
        <v>8</v>
      </c>
      <c r="J505" s="5" t="s">
        <v>5</v>
      </c>
      <c r="K505" s="6" t="s">
        <v>5</v>
      </c>
      <c r="L505" s="6" t="s">
        <v>5</v>
      </c>
      <c r="M505" s="6" t="s">
        <v>5</v>
      </c>
      <c r="N505" s="6" t="s">
        <v>5</v>
      </c>
      <c r="O505" s="5" t="s">
        <v>5</v>
      </c>
      <c r="P505" s="5" t="s">
        <v>5</v>
      </c>
      <c r="Q505" s="7">
        <v>8</v>
      </c>
      <c r="R505" s="6" t="s">
        <v>5</v>
      </c>
      <c r="S505" s="6" t="s">
        <v>5</v>
      </c>
      <c r="T505" s="5" t="s">
        <v>5</v>
      </c>
      <c r="U505" s="8" t="s">
        <v>5</v>
      </c>
      <c r="V505" s="6" t="s">
        <v>5</v>
      </c>
      <c r="W505" s="8" t="s">
        <v>5</v>
      </c>
      <c r="X505" s="22">
        <v>0.75</v>
      </c>
      <c r="Y505" s="6" t="s">
        <v>5</v>
      </c>
      <c r="Z505" s="6" t="s">
        <v>5</v>
      </c>
      <c r="AA505" s="6" t="s">
        <v>5</v>
      </c>
      <c r="AB505" s="8" t="s">
        <v>5</v>
      </c>
      <c r="AC505" s="8" t="s">
        <v>5</v>
      </c>
      <c r="AD505" s="6" t="s">
        <v>5</v>
      </c>
      <c r="AE505" s="7">
        <v>2.2599999999999998</v>
      </c>
      <c r="AF505" s="6" t="s">
        <v>5</v>
      </c>
      <c r="AG505" s="6" t="s">
        <v>5</v>
      </c>
      <c r="AH505" s="22">
        <v>0.71899999999999997</v>
      </c>
      <c r="AI505" s="6" t="s">
        <v>5</v>
      </c>
      <c r="AJ505" s="6">
        <v>10.7</v>
      </c>
      <c r="AK505" s="6" t="s">
        <v>5</v>
      </c>
      <c r="AL505" s="6" t="s">
        <v>5</v>
      </c>
      <c r="AM505" s="6" t="s">
        <v>5</v>
      </c>
      <c r="AN505" s="6" t="s">
        <v>5</v>
      </c>
      <c r="AO505" s="6">
        <v>140</v>
      </c>
      <c r="AP505" s="4">
        <v>44</v>
      </c>
      <c r="AQ505" s="4">
        <v>24.4</v>
      </c>
      <c r="AR505" s="7">
        <v>2.46</v>
      </c>
      <c r="AS505" s="6">
        <v>277</v>
      </c>
      <c r="AT505" s="6">
        <v>56.3</v>
      </c>
      <c r="AU505" s="6">
        <v>33.799999999999997</v>
      </c>
      <c r="AV505" s="7">
        <v>3.47</v>
      </c>
      <c r="AW505" s="6" t="s">
        <v>5</v>
      </c>
      <c r="AX505" s="6" t="s">
        <v>5</v>
      </c>
      <c r="AY505" s="6" t="s">
        <v>5</v>
      </c>
      <c r="AZ505" s="6" t="s">
        <v>5</v>
      </c>
      <c r="BA505" s="6" t="s">
        <v>5</v>
      </c>
      <c r="BB505" s="6" t="s">
        <v>5</v>
      </c>
      <c r="BC505" s="6" t="s">
        <v>5</v>
      </c>
      <c r="BD505" s="6" t="s">
        <v>5</v>
      </c>
      <c r="BE505" s="6" t="s">
        <v>5</v>
      </c>
      <c r="BF505" s="6" t="s">
        <v>5</v>
      </c>
      <c r="BG505" s="6" t="s">
        <v>5</v>
      </c>
      <c r="BH505" s="6" t="s">
        <v>5</v>
      </c>
      <c r="BI505" s="7">
        <v>4.66</v>
      </c>
      <c r="BJ505" s="22">
        <v>0.83599999999999997</v>
      </c>
      <c r="BK505" s="6" t="s">
        <v>5</v>
      </c>
      <c r="BL505" s="2" t="s">
        <v>5</v>
      </c>
      <c r="BM505" s="2" t="s">
        <v>5</v>
      </c>
      <c r="BN505" s="2" t="s">
        <v>5</v>
      </c>
      <c r="BO505" s="2" t="s">
        <v>5</v>
      </c>
      <c r="BP505" s="2" t="s">
        <v>5</v>
      </c>
      <c r="BQ505" s="2" t="s">
        <v>5</v>
      </c>
      <c r="BR505" s="2" t="s">
        <v>5</v>
      </c>
      <c r="BS505" s="2" t="s">
        <v>5</v>
      </c>
      <c r="BT505" s="2" t="s">
        <v>5</v>
      </c>
      <c r="BU505" s="2" t="s">
        <v>5</v>
      </c>
      <c r="BV505" s="2" t="s">
        <v>5</v>
      </c>
      <c r="BW505" s="2" t="s">
        <v>5</v>
      </c>
      <c r="BX505" s="2" t="s">
        <v>5</v>
      </c>
      <c r="BY505" s="25" t="s">
        <v>5</v>
      </c>
      <c r="BZ505" s="25" t="s">
        <v>5</v>
      </c>
      <c r="CA505" s="6" t="s">
        <v>5</v>
      </c>
      <c r="CB505" s="6" t="s">
        <v>5</v>
      </c>
      <c r="CC505" s="6" t="s">
        <v>5</v>
      </c>
      <c r="CD505" s="6" t="s">
        <v>5</v>
      </c>
      <c r="CE505" s="6" t="s">
        <v>5</v>
      </c>
      <c r="CF505" s="16" t="s">
        <v>5</v>
      </c>
      <c r="CG505" s="16" t="s">
        <v>5</v>
      </c>
      <c r="CH505" s="18" t="s">
        <v>5</v>
      </c>
    </row>
    <row r="506" spans="2:86">
      <c r="B506" s="78" t="s">
        <v>473</v>
      </c>
      <c r="C506" s="79" t="s">
        <v>606</v>
      </c>
      <c r="D506" s="80" t="s">
        <v>606</v>
      </c>
      <c r="E506" s="1" t="s">
        <v>4</v>
      </c>
      <c r="F506" s="4">
        <v>77.8</v>
      </c>
      <c r="G506" s="4">
        <v>23</v>
      </c>
      <c r="H506" s="3" t="str">
        <f t="shared" si="26"/>
        <v>2L8X8X3/4X3/4</v>
      </c>
      <c r="I506" s="7">
        <v>8</v>
      </c>
      <c r="J506" s="5" t="s">
        <v>5</v>
      </c>
      <c r="K506" s="6" t="s">
        <v>5</v>
      </c>
      <c r="L506" s="6" t="s">
        <v>5</v>
      </c>
      <c r="M506" s="6" t="s">
        <v>5</v>
      </c>
      <c r="N506" s="6" t="s">
        <v>5</v>
      </c>
      <c r="O506" s="5" t="s">
        <v>5</v>
      </c>
      <c r="P506" s="5" t="s">
        <v>5</v>
      </c>
      <c r="Q506" s="7">
        <v>8</v>
      </c>
      <c r="R506" s="6" t="s">
        <v>5</v>
      </c>
      <c r="S506" s="6" t="s">
        <v>5</v>
      </c>
      <c r="T506" s="5" t="s">
        <v>5</v>
      </c>
      <c r="U506" s="8" t="s">
        <v>5</v>
      </c>
      <c r="V506" s="6" t="s">
        <v>5</v>
      </c>
      <c r="W506" s="8" t="s">
        <v>5</v>
      </c>
      <c r="X506" s="22">
        <v>0.75</v>
      </c>
      <c r="Y506" s="6" t="s">
        <v>5</v>
      </c>
      <c r="Z506" s="6" t="s">
        <v>5</v>
      </c>
      <c r="AA506" s="6" t="s">
        <v>5</v>
      </c>
      <c r="AB506" s="8" t="s">
        <v>5</v>
      </c>
      <c r="AC506" s="8" t="s">
        <v>5</v>
      </c>
      <c r="AD506" s="6" t="s">
        <v>5</v>
      </c>
      <c r="AE506" s="7">
        <v>2.2599999999999998</v>
      </c>
      <c r="AF506" s="6" t="s">
        <v>5</v>
      </c>
      <c r="AG506" s="6" t="s">
        <v>5</v>
      </c>
      <c r="AH506" s="22">
        <v>0.71899999999999997</v>
      </c>
      <c r="AI506" s="6" t="s">
        <v>5</v>
      </c>
      <c r="AJ506" s="6">
        <v>10.7</v>
      </c>
      <c r="AK506" s="6" t="s">
        <v>5</v>
      </c>
      <c r="AL506" s="6" t="s">
        <v>5</v>
      </c>
      <c r="AM506" s="6" t="s">
        <v>5</v>
      </c>
      <c r="AN506" s="6" t="s">
        <v>5</v>
      </c>
      <c r="AO506" s="6">
        <v>140</v>
      </c>
      <c r="AP506" s="4">
        <v>44</v>
      </c>
      <c r="AQ506" s="4">
        <v>24.4</v>
      </c>
      <c r="AR506" s="7">
        <v>2.46</v>
      </c>
      <c r="AS506" s="6">
        <v>300</v>
      </c>
      <c r="AT506" s="6">
        <v>60.6</v>
      </c>
      <c r="AU506" s="6">
        <v>35.799999999999997</v>
      </c>
      <c r="AV506" s="7">
        <v>3.61</v>
      </c>
      <c r="AW506" s="6" t="s">
        <v>5</v>
      </c>
      <c r="AX506" s="6" t="s">
        <v>5</v>
      </c>
      <c r="AY506" s="6" t="s">
        <v>5</v>
      </c>
      <c r="AZ506" s="6" t="s">
        <v>5</v>
      </c>
      <c r="BA506" s="6" t="s">
        <v>5</v>
      </c>
      <c r="BB506" s="6" t="s">
        <v>5</v>
      </c>
      <c r="BC506" s="6" t="s">
        <v>5</v>
      </c>
      <c r="BD506" s="6" t="s">
        <v>5</v>
      </c>
      <c r="BE506" s="6" t="s">
        <v>5</v>
      </c>
      <c r="BF506" s="6" t="s">
        <v>5</v>
      </c>
      <c r="BG506" s="6" t="s">
        <v>5</v>
      </c>
      <c r="BH506" s="6" t="s">
        <v>5</v>
      </c>
      <c r="BI506" s="7">
        <v>4.76</v>
      </c>
      <c r="BJ506" s="22">
        <v>0.84299999999999997</v>
      </c>
      <c r="BK506" s="6" t="s">
        <v>5</v>
      </c>
      <c r="BL506" s="2" t="s">
        <v>5</v>
      </c>
      <c r="BM506" s="2" t="s">
        <v>5</v>
      </c>
      <c r="BN506" s="2" t="s">
        <v>5</v>
      </c>
      <c r="BO506" s="2" t="s">
        <v>5</v>
      </c>
      <c r="BP506" s="2" t="s">
        <v>5</v>
      </c>
      <c r="BQ506" s="2" t="s">
        <v>5</v>
      </c>
      <c r="BR506" s="2" t="s">
        <v>5</v>
      </c>
      <c r="BS506" s="2" t="s">
        <v>5</v>
      </c>
      <c r="BT506" s="2" t="s">
        <v>5</v>
      </c>
      <c r="BU506" s="2" t="s">
        <v>5</v>
      </c>
      <c r="BV506" s="2" t="s">
        <v>5</v>
      </c>
      <c r="BW506" s="2" t="s">
        <v>5</v>
      </c>
      <c r="BX506" s="2" t="s">
        <v>5</v>
      </c>
      <c r="BY506" s="25" t="s">
        <v>5</v>
      </c>
      <c r="BZ506" s="25" t="s">
        <v>5</v>
      </c>
      <c r="CA506" s="6" t="s">
        <v>5</v>
      </c>
      <c r="CB506" s="6" t="s">
        <v>5</v>
      </c>
      <c r="CC506" s="6" t="s">
        <v>5</v>
      </c>
      <c r="CD506" s="6" t="s">
        <v>5</v>
      </c>
      <c r="CE506" s="6" t="s">
        <v>5</v>
      </c>
      <c r="CF506" s="16" t="s">
        <v>5</v>
      </c>
      <c r="CG506" s="16" t="s">
        <v>5</v>
      </c>
      <c r="CH506" s="18" t="s">
        <v>5</v>
      </c>
    </row>
    <row r="507" spans="2:86">
      <c r="B507" s="78" t="s">
        <v>473</v>
      </c>
      <c r="C507" s="79" t="s">
        <v>607</v>
      </c>
      <c r="D507" s="80" t="s">
        <v>607</v>
      </c>
      <c r="E507" s="1" t="s">
        <v>4</v>
      </c>
      <c r="F507" s="4">
        <v>65.400000000000006</v>
      </c>
      <c r="G507" s="4">
        <v>19.399999999999999</v>
      </c>
      <c r="H507" s="3" t="str">
        <f t="shared" si="26"/>
        <v>2L8X8X5/8</v>
      </c>
      <c r="I507" s="7">
        <v>8</v>
      </c>
      <c r="J507" s="5" t="s">
        <v>5</v>
      </c>
      <c r="K507" s="6" t="s">
        <v>5</v>
      </c>
      <c r="L507" s="6" t="s">
        <v>5</v>
      </c>
      <c r="M507" s="6" t="s">
        <v>5</v>
      </c>
      <c r="N507" s="6" t="s">
        <v>5</v>
      </c>
      <c r="O507" s="5" t="s">
        <v>5</v>
      </c>
      <c r="P507" s="5" t="s">
        <v>5</v>
      </c>
      <c r="Q507" s="7">
        <v>8</v>
      </c>
      <c r="R507" s="6" t="s">
        <v>5</v>
      </c>
      <c r="S507" s="6" t="s">
        <v>5</v>
      </c>
      <c r="T507" s="5" t="s">
        <v>5</v>
      </c>
      <c r="U507" s="8" t="s">
        <v>5</v>
      </c>
      <c r="V507" s="6" t="s">
        <v>5</v>
      </c>
      <c r="W507" s="8" t="s">
        <v>5</v>
      </c>
      <c r="X507" s="22">
        <v>0.625</v>
      </c>
      <c r="Y507" s="6" t="s">
        <v>5</v>
      </c>
      <c r="Z507" s="6" t="s">
        <v>5</v>
      </c>
      <c r="AA507" s="6" t="s">
        <v>5</v>
      </c>
      <c r="AB507" s="8" t="s">
        <v>5</v>
      </c>
      <c r="AC507" s="8" t="s">
        <v>5</v>
      </c>
      <c r="AD507" s="6" t="s">
        <v>5</v>
      </c>
      <c r="AE507" s="7">
        <v>2.21</v>
      </c>
      <c r="AF507" s="6" t="s">
        <v>5</v>
      </c>
      <c r="AG507" s="6" t="s">
        <v>5</v>
      </c>
      <c r="AH507" s="22">
        <v>0.60599999999999998</v>
      </c>
      <c r="AI507" s="6" t="s">
        <v>5</v>
      </c>
      <c r="AJ507" s="6">
        <v>12.8</v>
      </c>
      <c r="AK507" s="6" t="s">
        <v>5</v>
      </c>
      <c r="AL507" s="6" t="s">
        <v>5</v>
      </c>
      <c r="AM507" s="6" t="s">
        <v>5</v>
      </c>
      <c r="AN507" s="6" t="s">
        <v>5</v>
      </c>
      <c r="AO507" s="6">
        <v>119</v>
      </c>
      <c r="AP507" s="4">
        <v>37.200000000000003</v>
      </c>
      <c r="AQ507" s="4">
        <v>20.6</v>
      </c>
      <c r="AR507" s="7">
        <v>2.48</v>
      </c>
      <c r="AS507" s="6">
        <v>214</v>
      </c>
      <c r="AT507" s="6">
        <v>42.8</v>
      </c>
      <c r="AU507" s="6">
        <v>26.8</v>
      </c>
      <c r="AV507" s="7">
        <v>3.32</v>
      </c>
      <c r="AW507" s="6" t="s">
        <v>5</v>
      </c>
      <c r="AX507" s="6" t="s">
        <v>5</v>
      </c>
      <c r="AY507" s="6" t="s">
        <v>5</v>
      </c>
      <c r="AZ507" s="6" t="s">
        <v>5</v>
      </c>
      <c r="BA507" s="6" t="s">
        <v>5</v>
      </c>
      <c r="BB507" s="6" t="s">
        <v>5</v>
      </c>
      <c r="BC507" s="6" t="s">
        <v>5</v>
      </c>
      <c r="BD507" s="6" t="s">
        <v>5</v>
      </c>
      <c r="BE507" s="6" t="s">
        <v>5</v>
      </c>
      <c r="BF507" s="6" t="s">
        <v>5</v>
      </c>
      <c r="BG507" s="6" t="s">
        <v>5</v>
      </c>
      <c r="BH507" s="6" t="s">
        <v>5</v>
      </c>
      <c r="BI507" s="7">
        <v>4.5599999999999996</v>
      </c>
      <c r="BJ507" s="22">
        <v>0.82599999999999996</v>
      </c>
      <c r="BK507" s="6" t="s">
        <v>5</v>
      </c>
      <c r="BL507" s="2" t="s">
        <v>5</v>
      </c>
      <c r="BM507" s="2" t="s">
        <v>5</v>
      </c>
      <c r="BN507" s="2" t="s">
        <v>5</v>
      </c>
      <c r="BO507" s="2" t="s">
        <v>5</v>
      </c>
      <c r="BP507" s="2" t="s">
        <v>5</v>
      </c>
      <c r="BQ507" s="2" t="s">
        <v>5</v>
      </c>
      <c r="BR507" s="2" t="s">
        <v>5</v>
      </c>
      <c r="BS507" s="2" t="s">
        <v>5</v>
      </c>
      <c r="BT507" s="2" t="s">
        <v>5</v>
      </c>
      <c r="BU507" s="2" t="s">
        <v>5</v>
      </c>
      <c r="BV507" s="2" t="s">
        <v>5</v>
      </c>
      <c r="BW507" s="2" t="s">
        <v>5</v>
      </c>
      <c r="BX507" s="2" t="s">
        <v>5</v>
      </c>
      <c r="BY507" s="25" t="s">
        <v>5</v>
      </c>
      <c r="BZ507" s="25" t="s">
        <v>5</v>
      </c>
      <c r="CA507" s="6" t="s">
        <v>5</v>
      </c>
      <c r="CB507" s="6" t="s">
        <v>5</v>
      </c>
      <c r="CC507" s="6" t="s">
        <v>5</v>
      </c>
      <c r="CD507" s="6" t="s">
        <v>5</v>
      </c>
      <c r="CE507" s="6" t="s">
        <v>5</v>
      </c>
      <c r="CF507" s="16" t="s">
        <v>5</v>
      </c>
      <c r="CG507" s="16" t="s">
        <v>5</v>
      </c>
      <c r="CH507" s="18" t="s">
        <v>5</v>
      </c>
    </row>
    <row r="508" spans="2:86">
      <c r="B508" s="78" t="s">
        <v>473</v>
      </c>
      <c r="C508" s="79" t="s">
        <v>608</v>
      </c>
      <c r="D508" s="80" t="s">
        <v>608</v>
      </c>
      <c r="E508" s="1" t="s">
        <v>4</v>
      </c>
      <c r="F508" s="4">
        <v>65.400000000000006</v>
      </c>
      <c r="G508" s="4">
        <v>19.399999999999999</v>
      </c>
      <c r="H508" s="3" t="str">
        <f t="shared" si="26"/>
        <v>2L8X8X5/8X3/8</v>
      </c>
      <c r="I508" s="7">
        <v>8</v>
      </c>
      <c r="J508" s="5" t="s">
        <v>5</v>
      </c>
      <c r="K508" s="6" t="s">
        <v>5</v>
      </c>
      <c r="L508" s="6" t="s">
        <v>5</v>
      </c>
      <c r="M508" s="6" t="s">
        <v>5</v>
      </c>
      <c r="N508" s="6" t="s">
        <v>5</v>
      </c>
      <c r="O508" s="5" t="s">
        <v>5</v>
      </c>
      <c r="P508" s="5" t="s">
        <v>5</v>
      </c>
      <c r="Q508" s="7">
        <v>8</v>
      </c>
      <c r="R508" s="6" t="s">
        <v>5</v>
      </c>
      <c r="S508" s="6" t="s">
        <v>5</v>
      </c>
      <c r="T508" s="5" t="s">
        <v>5</v>
      </c>
      <c r="U508" s="8" t="s">
        <v>5</v>
      </c>
      <c r="V508" s="6" t="s">
        <v>5</v>
      </c>
      <c r="W508" s="8" t="s">
        <v>5</v>
      </c>
      <c r="X508" s="22">
        <v>0.625</v>
      </c>
      <c r="Y508" s="6" t="s">
        <v>5</v>
      </c>
      <c r="Z508" s="6" t="s">
        <v>5</v>
      </c>
      <c r="AA508" s="6" t="s">
        <v>5</v>
      </c>
      <c r="AB508" s="8" t="s">
        <v>5</v>
      </c>
      <c r="AC508" s="8" t="s">
        <v>5</v>
      </c>
      <c r="AD508" s="6" t="s">
        <v>5</v>
      </c>
      <c r="AE508" s="7">
        <v>2.21</v>
      </c>
      <c r="AF508" s="6" t="s">
        <v>5</v>
      </c>
      <c r="AG508" s="6" t="s">
        <v>5</v>
      </c>
      <c r="AH508" s="22">
        <v>0.60599999999999998</v>
      </c>
      <c r="AI508" s="6" t="s">
        <v>5</v>
      </c>
      <c r="AJ508" s="6">
        <v>12.8</v>
      </c>
      <c r="AK508" s="6" t="s">
        <v>5</v>
      </c>
      <c r="AL508" s="6" t="s">
        <v>5</v>
      </c>
      <c r="AM508" s="6" t="s">
        <v>5</v>
      </c>
      <c r="AN508" s="6" t="s">
        <v>5</v>
      </c>
      <c r="AO508" s="6">
        <v>119</v>
      </c>
      <c r="AP508" s="4">
        <v>37.200000000000003</v>
      </c>
      <c r="AQ508" s="4">
        <v>20.6</v>
      </c>
      <c r="AR508" s="7">
        <v>2.48</v>
      </c>
      <c r="AS508" s="6">
        <v>231</v>
      </c>
      <c r="AT508" s="6">
        <v>46.5</v>
      </c>
      <c r="AU508" s="6">
        <v>28.2</v>
      </c>
      <c r="AV508" s="7">
        <v>3.45</v>
      </c>
      <c r="AW508" s="6" t="s">
        <v>5</v>
      </c>
      <c r="AX508" s="6" t="s">
        <v>5</v>
      </c>
      <c r="AY508" s="6" t="s">
        <v>5</v>
      </c>
      <c r="AZ508" s="6" t="s">
        <v>5</v>
      </c>
      <c r="BA508" s="6" t="s">
        <v>5</v>
      </c>
      <c r="BB508" s="6" t="s">
        <v>5</v>
      </c>
      <c r="BC508" s="6" t="s">
        <v>5</v>
      </c>
      <c r="BD508" s="6" t="s">
        <v>5</v>
      </c>
      <c r="BE508" s="6" t="s">
        <v>5</v>
      </c>
      <c r="BF508" s="6" t="s">
        <v>5</v>
      </c>
      <c r="BG508" s="6" t="s">
        <v>5</v>
      </c>
      <c r="BH508" s="6" t="s">
        <v>5</v>
      </c>
      <c r="BI508" s="7">
        <v>4.66</v>
      </c>
      <c r="BJ508" s="22">
        <v>0.83299999999999996</v>
      </c>
      <c r="BK508" s="6" t="s">
        <v>5</v>
      </c>
      <c r="BL508" s="2" t="s">
        <v>5</v>
      </c>
      <c r="BM508" s="2" t="s">
        <v>5</v>
      </c>
      <c r="BN508" s="2" t="s">
        <v>5</v>
      </c>
      <c r="BO508" s="2" t="s">
        <v>5</v>
      </c>
      <c r="BP508" s="2" t="s">
        <v>5</v>
      </c>
      <c r="BQ508" s="2" t="s">
        <v>5</v>
      </c>
      <c r="BR508" s="2" t="s">
        <v>5</v>
      </c>
      <c r="BS508" s="2" t="s">
        <v>5</v>
      </c>
      <c r="BT508" s="2" t="s">
        <v>5</v>
      </c>
      <c r="BU508" s="2" t="s">
        <v>5</v>
      </c>
      <c r="BV508" s="2" t="s">
        <v>5</v>
      </c>
      <c r="BW508" s="2" t="s">
        <v>5</v>
      </c>
      <c r="BX508" s="2" t="s">
        <v>5</v>
      </c>
      <c r="BY508" s="25" t="s">
        <v>5</v>
      </c>
      <c r="BZ508" s="25" t="s">
        <v>5</v>
      </c>
      <c r="CA508" s="6" t="s">
        <v>5</v>
      </c>
      <c r="CB508" s="6" t="s">
        <v>5</v>
      </c>
      <c r="CC508" s="6" t="s">
        <v>5</v>
      </c>
      <c r="CD508" s="6" t="s">
        <v>5</v>
      </c>
      <c r="CE508" s="6" t="s">
        <v>5</v>
      </c>
      <c r="CF508" s="16" t="s">
        <v>5</v>
      </c>
      <c r="CG508" s="16" t="s">
        <v>5</v>
      </c>
      <c r="CH508" s="18" t="s">
        <v>5</v>
      </c>
    </row>
    <row r="509" spans="2:86">
      <c r="B509" s="78" t="s">
        <v>473</v>
      </c>
      <c r="C509" s="79" t="s">
        <v>609</v>
      </c>
      <c r="D509" s="80" t="s">
        <v>609</v>
      </c>
      <c r="E509" s="1" t="s">
        <v>4</v>
      </c>
      <c r="F509" s="4">
        <v>65.400000000000006</v>
      </c>
      <c r="G509" s="4">
        <v>19.399999999999999</v>
      </c>
      <c r="H509" s="3" t="str">
        <f t="shared" si="26"/>
        <v>2L8X8X5/8X3/4</v>
      </c>
      <c r="I509" s="7">
        <v>8</v>
      </c>
      <c r="J509" s="5" t="s">
        <v>5</v>
      </c>
      <c r="K509" s="6" t="s">
        <v>5</v>
      </c>
      <c r="L509" s="6" t="s">
        <v>5</v>
      </c>
      <c r="M509" s="6" t="s">
        <v>5</v>
      </c>
      <c r="N509" s="6" t="s">
        <v>5</v>
      </c>
      <c r="O509" s="5" t="s">
        <v>5</v>
      </c>
      <c r="P509" s="5" t="s">
        <v>5</v>
      </c>
      <c r="Q509" s="7">
        <v>8</v>
      </c>
      <c r="R509" s="6" t="s">
        <v>5</v>
      </c>
      <c r="S509" s="6" t="s">
        <v>5</v>
      </c>
      <c r="T509" s="5" t="s">
        <v>5</v>
      </c>
      <c r="U509" s="8" t="s">
        <v>5</v>
      </c>
      <c r="V509" s="6" t="s">
        <v>5</v>
      </c>
      <c r="W509" s="8" t="s">
        <v>5</v>
      </c>
      <c r="X509" s="22">
        <v>0.625</v>
      </c>
      <c r="Y509" s="6" t="s">
        <v>5</v>
      </c>
      <c r="Z509" s="6" t="s">
        <v>5</v>
      </c>
      <c r="AA509" s="6" t="s">
        <v>5</v>
      </c>
      <c r="AB509" s="8" t="s">
        <v>5</v>
      </c>
      <c r="AC509" s="8" t="s">
        <v>5</v>
      </c>
      <c r="AD509" s="6" t="s">
        <v>5</v>
      </c>
      <c r="AE509" s="7">
        <v>2.21</v>
      </c>
      <c r="AF509" s="6" t="s">
        <v>5</v>
      </c>
      <c r="AG509" s="6" t="s">
        <v>5</v>
      </c>
      <c r="AH509" s="22">
        <v>0.60599999999999998</v>
      </c>
      <c r="AI509" s="6" t="s">
        <v>5</v>
      </c>
      <c r="AJ509" s="6">
        <v>12.8</v>
      </c>
      <c r="AK509" s="6" t="s">
        <v>5</v>
      </c>
      <c r="AL509" s="6" t="s">
        <v>5</v>
      </c>
      <c r="AM509" s="6" t="s">
        <v>5</v>
      </c>
      <c r="AN509" s="6" t="s">
        <v>5</v>
      </c>
      <c r="AO509" s="6">
        <v>119</v>
      </c>
      <c r="AP509" s="4">
        <v>37.200000000000003</v>
      </c>
      <c r="AQ509" s="4">
        <v>20.6</v>
      </c>
      <c r="AR509" s="7">
        <v>2.48</v>
      </c>
      <c r="AS509" s="6">
        <v>249</v>
      </c>
      <c r="AT509" s="6">
        <v>50.1</v>
      </c>
      <c r="AU509" s="6">
        <v>29.7</v>
      </c>
      <c r="AV509" s="7">
        <v>3.58</v>
      </c>
      <c r="AW509" s="6" t="s">
        <v>5</v>
      </c>
      <c r="AX509" s="6" t="s">
        <v>5</v>
      </c>
      <c r="AY509" s="6" t="s">
        <v>5</v>
      </c>
      <c r="AZ509" s="6" t="s">
        <v>5</v>
      </c>
      <c r="BA509" s="6" t="s">
        <v>5</v>
      </c>
      <c r="BB509" s="6" t="s">
        <v>5</v>
      </c>
      <c r="BC509" s="6" t="s">
        <v>5</v>
      </c>
      <c r="BD509" s="6" t="s">
        <v>5</v>
      </c>
      <c r="BE509" s="6" t="s">
        <v>5</v>
      </c>
      <c r="BF509" s="6" t="s">
        <v>5</v>
      </c>
      <c r="BG509" s="6" t="s">
        <v>5</v>
      </c>
      <c r="BH509" s="6" t="s">
        <v>5</v>
      </c>
      <c r="BI509" s="7">
        <v>4.76</v>
      </c>
      <c r="BJ509" s="22">
        <v>0.84</v>
      </c>
      <c r="BK509" s="6" t="s">
        <v>5</v>
      </c>
      <c r="BL509" s="2" t="s">
        <v>5</v>
      </c>
      <c r="BM509" s="2" t="s">
        <v>5</v>
      </c>
      <c r="BN509" s="2" t="s">
        <v>5</v>
      </c>
      <c r="BO509" s="2" t="s">
        <v>5</v>
      </c>
      <c r="BP509" s="2" t="s">
        <v>5</v>
      </c>
      <c r="BQ509" s="2" t="s">
        <v>5</v>
      </c>
      <c r="BR509" s="2" t="s">
        <v>5</v>
      </c>
      <c r="BS509" s="2" t="s">
        <v>5</v>
      </c>
      <c r="BT509" s="2" t="s">
        <v>5</v>
      </c>
      <c r="BU509" s="2" t="s">
        <v>5</v>
      </c>
      <c r="BV509" s="2" t="s">
        <v>5</v>
      </c>
      <c r="BW509" s="2" t="s">
        <v>5</v>
      </c>
      <c r="BX509" s="2" t="s">
        <v>5</v>
      </c>
      <c r="BY509" s="25" t="s">
        <v>5</v>
      </c>
      <c r="BZ509" s="25" t="s">
        <v>5</v>
      </c>
      <c r="CA509" s="6" t="s">
        <v>5</v>
      </c>
      <c r="CB509" s="6" t="s">
        <v>5</v>
      </c>
      <c r="CC509" s="6" t="s">
        <v>5</v>
      </c>
      <c r="CD509" s="6" t="s">
        <v>5</v>
      </c>
      <c r="CE509" s="6" t="s">
        <v>5</v>
      </c>
      <c r="CF509" s="16" t="s">
        <v>5</v>
      </c>
      <c r="CG509" s="16" t="s">
        <v>5</v>
      </c>
      <c r="CH509" s="18" t="s">
        <v>5</v>
      </c>
    </row>
    <row r="510" spans="2:86">
      <c r="B510" s="78" t="s">
        <v>473</v>
      </c>
      <c r="C510" s="79" t="s">
        <v>610</v>
      </c>
      <c r="D510" s="80" t="s">
        <v>610</v>
      </c>
      <c r="E510" s="1" t="s">
        <v>4</v>
      </c>
      <c r="F510" s="4">
        <v>59.2</v>
      </c>
      <c r="G510" s="4">
        <v>17.5</v>
      </c>
      <c r="H510" s="3" t="str">
        <f t="shared" si="26"/>
        <v>2L8X8X9/16</v>
      </c>
      <c r="I510" s="7">
        <v>8</v>
      </c>
      <c r="J510" s="5" t="s">
        <v>5</v>
      </c>
      <c r="K510" s="6" t="s">
        <v>5</v>
      </c>
      <c r="L510" s="6" t="s">
        <v>5</v>
      </c>
      <c r="M510" s="6" t="s">
        <v>5</v>
      </c>
      <c r="N510" s="6" t="s">
        <v>5</v>
      </c>
      <c r="O510" s="5" t="s">
        <v>5</v>
      </c>
      <c r="P510" s="5" t="s">
        <v>5</v>
      </c>
      <c r="Q510" s="7">
        <v>8</v>
      </c>
      <c r="R510" s="6" t="s">
        <v>5</v>
      </c>
      <c r="S510" s="6" t="s">
        <v>5</v>
      </c>
      <c r="T510" s="5" t="s">
        <v>5</v>
      </c>
      <c r="U510" s="8" t="s">
        <v>5</v>
      </c>
      <c r="V510" s="6" t="s">
        <v>5</v>
      </c>
      <c r="W510" s="8" t="s">
        <v>5</v>
      </c>
      <c r="X510" s="22">
        <v>0.56299999999999994</v>
      </c>
      <c r="Y510" s="6" t="s">
        <v>5</v>
      </c>
      <c r="Z510" s="6" t="s">
        <v>5</v>
      </c>
      <c r="AA510" s="6" t="s">
        <v>5</v>
      </c>
      <c r="AB510" s="8" t="s">
        <v>5</v>
      </c>
      <c r="AC510" s="8" t="s">
        <v>5</v>
      </c>
      <c r="AD510" s="6" t="s">
        <v>5</v>
      </c>
      <c r="AE510" s="7">
        <v>2.19</v>
      </c>
      <c r="AF510" s="6" t="s">
        <v>5</v>
      </c>
      <c r="AG510" s="6" t="s">
        <v>5</v>
      </c>
      <c r="AH510" s="22">
        <v>0.54800000000000004</v>
      </c>
      <c r="AI510" s="6" t="s">
        <v>5</v>
      </c>
      <c r="AJ510" s="6">
        <v>14.2</v>
      </c>
      <c r="AK510" s="6" t="s">
        <v>5</v>
      </c>
      <c r="AL510" s="6" t="s">
        <v>5</v>
      </c>
      <c r="AM510" s="6" t="s">
        <v>5</v>
      </c>
      <c r="AN510" s="6" t="s">
        <v>5</v>
      </c>
      <c r="AO510" s="6">
        <v>108</v>
      </c>
      <c r="AP510" s="4">
        <v>33.6</v>
      </c>
      <c r="AQ510" s="4">
        <v>18.7</v>
      </c>
      <c r="AR510" s="7">
        <v>2.4900000000000002</v>
      </c>
      <c r="AS510" s="6">
        <v>192</v>
      </c>
      <c r="AT510" s="6">
        <v>38.4</v>
      </c>
      <c r="AU510" s="4">
        <v>24</v>
      </c>
      <c r="AV510" s="7">
        <v>3.31</v>
      </c>
      <c r="AW510" s="6" t="s">
        <v>5</v>
      </c>
      <c r="AX510" s="6" t="s">
        <v>5</v>
      </c>
      <c r="AY510" s="6" t="s">
        <v>5</v>
      </c>
      <c r="AZ510" s="6" t="s">
        <v>5</v>
      </c>
      <c r="BA510" s="6" t="s">
        <v>5</v>
      </c>
      <c r="BB510" s="6" t="s">
        <v>5</v>
      </c>
      <c r="BC510" s="6" t="s">
        <v>5</v>
      </c>
      <c r="BD510" s="6" t="s">
        <v>5</v>
      </c>
      <c r="BE510" s="6" t="s">
        <v>5</v>
      </c>
      <c r="BF510" s="6" t="s">
        <v>5</v>
      </c>
      <c r="BG510" s="6" t="s">
        <v>5</v>
      </c>
      <c r="BH510" s="6" t="s">
        <v>5</v>
      </c>
      <c r="BI510" s="7">
        <v>4.5599999999999996</v>
      </c>
      <c r="BJ510" s="22">
        <v>0.82499999999999996</v>
      </c>
      <c r="BK510" s="6" t="s">
        <v>5</v>
      </c>
      <c r="BL510" s="2" t="s">
        <v>5</v>
      </c>
      <c r="BM510" s="2" t="s">
        <v>5</v>
      </c>
      <c r="BN510" s="2" t="s">
        <v>5</v>
      </c>
      <c r="BO510" s="2" t="s">
        <v>5</v>
      </c>
      <c r="BP510" s="2" t="s">
        <v>5</v>
      </c>
      <c r="BQ510" s="2" t="s">
        <v>5</v>
      </c>
      <c r="BR510" s="2" t="s">
        <v>5</v>
      </c>
      <c r="BS510" s="2" t="s">
        <v>5</v>
      </c>
      <c r="BT510" s="2" t="s">
        <v>5</v>
      </c>
      <c r="BU510" s="2" t="s">
        <v>5</v>
      </c>
      <c r="BV510" s="2" t="s">
        <v>5</v>
      </c>
      <c r="BW510" s="2" t="s">
        <v>5</v>
      </c>
      <c r="BX510" s="2" t="s">
        <v>5</v>
      </c>
      <c r="BY510" s="25" t="s">
        <v>5</v>
      </c>
      <c r="BZ510" s="25" t="s">
        <v>5</v>
      </c>
      <c r="CA510" s="6" t="s">
        <v>5</v>
      </c>
      <c r="CB510" s="6" t="s">
        <v>5</v>
      </c>
      <c r="CC510" s="6" t="s">
        <v>5</v>
      </c>
      <c r="CD510" s="6" t="s">
        <v>5</v>
      </c>
      <c r="CE510" s="6" t="s">
        <v>5</v>
      </c>
      <c r="CF510" s="16" t="s">
        <v>5</v>
      </c>
      <c r="CG510" s="16" t="s">
        <v>5</v>
      </c>
      <c r="CH510" s="18" t="s">
        <v>5</v>
      </c>
    </row>
    <row r="511" spans="2:86">
      <c r="B511" s="78" t="s">
        <v>473</v>
      </c>
      <c r="C511" s="79" t="s">
        <v>611</v>
      </c>
      <c r="D511" s="80" t="s">
        <v>611</v>
      </c>
      <c r="E511" s="1" t="s">
        <v>4</v>
      </c>
      <c r="F511" s="4">
        <v>59.2</v>
      </c>
      <c r="G511" s="4">
        <v>17.5</v>
      </c>
      <c r="H511" s="3" t="str">
        <f t="shared" si="26"/>
        <v>2L8X8X9/16X3/8</v>
      </c>
      <c r="I511" s="7">
        <v>8</v>
      </c>
      <c r="J511" s="5" t="s">
        <v>5</v>
      </c>
      <c r="K511" s="6" t="s">
        <v>5</v>
      </c>
      <c r="L511" s="6" t="s">
        <v>5</v>
      </c>
      <c r="M511" s="6" t="s">
        <v>5</v>
      </c>
      <c r="N511" s="6" t="s">
        <v>5</v>
      </c>
      <c r="O511" s="5" t="s">
        <v>5</v>
      </c>
      <c r="P511" s="5" t="s">
        <v>5</v>
      </c>
      <c r="Q511" s="7">
        <v>8</v>
      </c>
      <c r="R511" s="6" t="s">
        <v>5</v>
      </c>
      <c r="S511" s="6" t="s">
        <v>5</v>
      </c>
      <c r="T511" s="5" t="s">
        <v>5</v>
      </c>
      <c r="U511" s="8" t="s">
        <v>5</v>
      </c>
      <c r="V511" s="6" t="s">
        <v>5</v>
      </c>
      <c r="W511" s="8" t="s">
        <v>5</v>
      </c>
      <c r="X511" s="22">
        <v>0.56299999999999994</v>
      </c>
      <c r="Y511" s="6" t="s">
        <v>5</v>
      </c>
      <c r="Z511" s="6" t="s">
        <v>5</v>
      </c>
      <c r="AA511" s="6" t="s">
        <v>5</v>
      </c>
      <c r="AB511" s="8" t="s">
        <v>5</v>
      </c>
      <c r="AC511" s="8" t="s">
        <v>5</v>
      </c>
      <c r="AD511" s="6" t="s">
        <v>5</v>
      </c>
      <c r="AE511" s="7">
        <v>2.19</v>
      </c>
      <c r="AF511" s="6" t="s">
        <v>5</v>
      </c>
      <c r="AG511" s="6" t="s">
        <v>5</v>
      </c>
      <c r="AH511" s="22">
        <v>0.54800000000000004</v>
      </c>
      <c r="AI511" s="6" t="s">
        <v>5</v>
      </c>
      <c r="AJ511" s="6">
        <v>14.2</v>
      </c>
      <c r="AK511" s="6" t="s">
        <v>5</v>
      </c>
      <c r="AL511" s="6" t="s">
        <v>5</v>
      </c>
      <c r="AM511" s="6" t="s">
        <v>5</v>
      </c>
      <c r="AN511" s="6" t="s">
        <v>5</v>
      </c>
      <c r="AO511" s="6">
        <v>108</v>
      </c>
      <c r="AP511" s="4">
        <v>33.6</v>
      </c>
      <c r="AQ511" s="4">
        <v>18.7</v>
      </c>
      <c r="AR511" s="7">
        <v>2.4900000000000002</v>
      </c>
      <c r="AS511" s="6">
        <v>207</v>
      </c>
      <c r="AT511" s="6">
        <v>41.7</v>
      </c>
      <c r="AU511" s="6">
        <v>25.3</v>
      </c>
      <c r="AV511" s="7">
        <v>3.44</v>
      </c>
      <c r="AW511" s="6" t="s">
        <v>5</v>
      </c>
      <c r="AX511" s="6" t="s">
        <v>5</v>
      </c>
      <c r="AY511" s="6" t="s">
        <v>5</v>
      </c>
      <c r="AZ511" s="6" t="s">
        <v>5</v>
      </c>
      <c r="BA511" s="6" t="s">
        <v>5</v>
      </c>
      <c r="BB511" s="6" t="s">
        <v>5</v>
      </c>
      <c r="BC511" s="6" t="s">
        <v>5</v>
      </c>
      <c r="BD511" s="6" t="s">
        <v>5</v>
      </c>
      <c r="BE511" s="6" t="s">
        <v>5</v>
      </c>
      <c r="BF511" s="6" t="s">
        <v>5</v>
      </c>
      <c r="BG511" s="6" t="s">
        <v>5</v>
      </c>
      <c r="BH511" s="6" t="s">
        <v>5</v>
      </c>
      <c r="BI511" s="7">
        <v>4.6500000000000004</v>
      </c>
      <c r="BJ511" s="22">
        <v>0.83199999999999996</v>
      </c>
      <c r="BK511" s="6" t="s">
        <v>5</v>
      </c>
      <c r="BL511" s="2" t="s">
        <v>5</v>
      </c>
      <c r="BM511" s="2" t="s">
        <v>5</v>
      </c>
      <c r="BN511" s="2" t="s">
        <v>5</v>
      </c>
      <c r="BO511" s="2" t="s">
        <v>5</v>
      </c>
      <c r="BP511" s="2" t="s">
        <v>5</v>
      </c>
      <c r="BQ511" s="2" t="s">
        <v>5</v>
      </c>
      <c r="BR511" s="2" t="s">
        <v>5</v>
      </c>
      <c r="BS511" s="2" t="s">
        <v>5</v>
      </c>
      <c r="BT511" s="2" t="s">
        <v>5</v>
      </c>
      <c r="BU511" s="2" t="s">
        <v>5</v>
      </c>
      <c r="BV511" s="2" t="s">
        <v>5</v>
      </c>
      <c r="BW511" s="2" t="s">
        <v>5</v>
      </c>
      <c r="BX511" s="2" t="s">
        <v>5</v>
      </c>
      <c r="BY511" s="25" t="s">
        <v>5</v>
      </c>
      <c r="BZ511" s="25" t="s">
        <v>5</v>
      </c>
      <c r="CA511" s="6" t="s">
        <v>5</v>
      </c>
      <c r="CB511" s="6" t="s">
        <v>5</v>
      </c>
      <c r="CC511" s="6" t="s">
        <v>5</v>
      </c>
      <c r="CD511" s="6" t="s">
        <v>5</v>
      </c>
      <c r="CE511" s="6" t="s">
        <v>5</v>
      </c>
      <c r="CF511" s="16" t="s">
        <v>5</v>
      </c>
      <c r="CG511" s="16" t="s">
        <v>5</v>
      </c>
      <c r="CH511" s="18" t="s">
        <v>5</v>
      </c>
    </row>
    <row r="512" spans="2:86">
      <c r="B512" s="78" t="s">
        <v>473</v>
      </c>
      <c r="C512" s="79" t="s">
        <v>612</v>
      </c>
      <c r="D512" s="80" t="s">
        <v>612</v>
      </c>
      <c r="E512" s="1" t="s">
        <v>4</v>
      </c>
      <c r="F512" s="4">
        <v>59.2</v>
      </c>
      <c r="G512" s="4">
        <v>17.5</v>
      </c>
      <c r="H512" s="3" t="str">
        <f t="shared" si="26"/>
        <v>2L8X8X9/16X3/4</v>
      </c>
      <c r="I512" s="7">
        <v>8</v>
      </c>
      <c r="J512" s="5" t="s">
        <v>5</v>
      </c>
      <c r="K512" s="6" t="s">
        <v>5</v>
      </c>
      <c r="L512" s="6" t="s">
        <v>5</v>
      </c>
      <c r="M512" s="6" t="s">
        <v>5</v>
      </c>
      <c r="N512" s="6" t="s">
        <v>5</v>
      </c>
      <c r="O512" s="5" t="s">
        <v>5</v>
      </c>
      <c r="P512" s="5" t="s">
        <v>5</v>
      </c>
      <c r="Q512" s="7">
        <v>8</v>
      </c>
      <c r="R512" s="6" t="s">
        <v>5</v>
      </c>
      <c r="S512" s="6" t="s">
        <v>5</v>
      </c>
      <c r="T512" s="5" t="s">
        <v>5</v>
      </c>
      <c r="U512" s="8" t="s">
        <v>5</v>
      </c>
      <c r="V512" s="6" t="s">
        <v>5</v>
      </c>
      <c r="W512" s="8" t="s">
        <v>5</v>
      </c>
      <c r="X512" s="22">
        <v>0.56299999999999994</v>
      </c>
      <c r="Y512" s="6" t="s">
        <v>5</v>
      </c>
      <c r="Z512" s="6" t="s">
        <v>5</v>
      </c>
      <c r="AA512" s="6" t="s">
        <v>5</v>
      </c>
      <c r="AB512" s="8" t="s">
        <v>5</v>
      </c>
      <c r="AC512" s="8" t="s">
        <v>5</v>
      </c>
      <c r="AD512" s="6" t="s">
        <v>5</v>
      </c>
      <c r="AE512" s="7">
        <v>2.19</v>
      </c>
      <c r="AF512" s="6" t="s">
        <v>5</v>
      </c>
      <c r="AG512" s="6" t="s">
        <v>5</v>
      </c>
      <c r="AH512" s="22">
        <v>0.54800000000000004</v>
      </c>
      <c r="AI512" s="6" t="s">
        <v>5</v>
      </c>
      <c r="AJ512" s="6">
        <v>14.2</v>
      </c>
      <c r="AK512" s="6" t="s">
        <v>5</v>
      </c>
      <c r="AL512" s="6" t="s">
        <v>5</v>
      </c>
      <c r="AM512" s="6" t="s">
        <v>5</v>
      </c>
      <c r="AN512" s="6" t="s">
        <v>5</v>
      </c>
      <c r="AO512" s="6">
        <v>108</v>
      </c>
      <c r="AP512" s="4">
        <v>33.6</v>
      </c>
      <c r="AQ512" s="4">
        <v>18.7</v>
      </c>
      <c r="AR512" s="7">
        <v>2.4900000000000002</v>
      </c>
      <c r="AS512" s="6">
        <v>223</v>
      </c>
      <c r="AT512" s="4">
        <v>45</v>
      </c>
      <c r="AU512" s="6">
        <v>26.6</v>
      </c>
      <c r="AV512" s="7">
        <v>3.57</v>
      </c>
      <c r="AW512" s="6" t="s">
        <v>5</v>
      </c>
      <c r="AX512" s="6" t="s">
        <v>5</v>
      </c>
      <c r="AY512" s="6" t="s">
        <v>5</v>
      </c>
      <c r="AZ512" s="6" t="s">
        <v>5</v>
      </c>
      <c r="BA512" s="6" t="s">
        <v>5</v>
      </c>
      <c r="BB512" s="6" t="s">
        <v>5</v>
      </c>
      <c r="BC512" s="6" t="s">
        <v>5</v>
      </c>
      <c r="BD512" s="6" t="s">
        <v>5</v>
      </c>
      <c r="BE512" s="6" t="s">
        <v>5</v>
      </c>
      <c r="BF512" s="6" t="s">
        <v>5</v>
      </c>
      <c r="BG512" s="6" t="s">
        <v>5</v>
      </c>
      <c r="BH512" s="6" t="s">
        <v>5</v>
      </c>
      <c r="BI512" s="7">
        <v>4.75</v>
      </c>
      <c r="BJ512" s="22">
        <v>0.83899999999999997</v>
      </c>
      <c r="BK512" s="6" t="s">
        <v>5</v>
      </c>
      <c r="BL512" s="2" t="s">
        <v>5</v>
      </c>
      <c r="BM512" s="2" t="s">
        <v>5</v>
      </c>
      <c r="BN512" s="2" t="s">
        <v>5</v>
      </c>
      <c r="BO512" s="2" t="s">
        <v>5</v>
      </c>
      <c r="BP512" s="2" t="s">
        <v>5</v>
      </c>
      <c r="BQ512" s="2" t="s">
        <v>5</v>
      </c>
      <c r="BR512" s="2" t="s">
        <v>5</v>
      </c>
      <c r="BS512" s="2" t="s">
        <v>5</v>
      </c>
      <c r="BT512" s="2" t="s">
        <v>5</v>
      </c>
      <c r="BU512" s="2" t="s">
        <v>5</v>
      </c>
      <c r="BV512" s="2" t="s">
        <v>5</v>
      </c>
      <c r="BW512" s="2" t="s">
        <v>5</v>
      </c>
      <c r="BX512" s="2" t="s">
        <v>5</v>
      </c>
      <c r="BY512" s="25" t="s">
        <v>5</v>
      </c>
      <c r="BZ512" s="25" t="s">
        <v>5</v>
      </c>
      <c r="CA512" s="6" t="s">
        <v>5</v>
      </c>
      <c r="CB512" s="6" t="s">
        <v>5</v>
      </c>
      <c r="CC512" s="6" t="s">
        <v>5</v>
      </c>
      <c r="CD512" s="6" t="s">
        <v>5</v>
      </c>
      <c r="CE512" s="6" t="s">
        <v>5</v>
      </c>
      <c r="CF512" s="16" t="s">
        <v>5</v>
      </c>
      <c r="CG512" s="16" t="s">
        <v>5</v>
      </c>
      <c r="CH512" s="18" t="s">
        <v>5</v>
      </c>
    </row>
    <row r="513" spans="2:86">
      <c r="B513" s="78" t="s">
        <v>473</v>
      </c>
      <c r="C513" s="79" t="s">
        <v>613</v>
      </c>
      <c r="D513" s="80" t="s">
        <v>613</v>
      </c>
      <c r="E513" s="1" t="s">
        <v>4</v>
      </c>
      <c r="F513" s="4">
        <v>52.8</v>
      </c>
      <c r="G513" s="4">
        <v>15.7</v>
      </c>
      <c r="H513" s="3" t="str">
        <f t="shared" si="26"/>
        <v>2L8X8X1/2</v>
      </c>
      <c r="I513" s="7">
        <v>8</v>
      </c>
      <c r="J513" s="5" t="s">
        <v>5</v>
      </c>
      <c r="K513" s="6" t="s">
        <v>5</v>
      </c>
      <c r="L513" s="6" t="s">
        <v>5</v>
      </c>
      <c r="M513" s="6" t="s">
        <v>5</v>
      </c>
      <c r="N513" s="6" t="s">
        <v>5</v>
      </c>
      <c r="O513" s="5" t="s">
        <v>5</v>
      </c>
      <c r="P513" s="5" t="s">
        <v>5</v>
      </c>
      <c r="Q513" s="7">
        <v>8</v>
      </c>
      <c r="R513" s="6" t="s">
        <v>5</v>
      </c>
      <c r="S513" s="6" t="s">
        <v>5</v>
      </c>
      <c r="T513" s="5" t="s">
        <v>5</v>
      </c>
      <c r="U513" s="8" t="s">
        <v>5</v>
      </c>
      <c r="V513" s="6" t="s">
        <v>5</v>
      </c>
      <c r="W513" s="8" t="s">
        <v>5</v>
      </c>
      <c r="X513" s="22">
        <v>0.5</v>
      </c>
      <c r="Y513" s="6" t="s">
        <v>5</v>
      </c>
      <c r="Z513" s="6" t="s">
        <v>5</v>
      </c>
      <c r="AA513" s="6" t="s">
        <v>5</v>
      </c>
      <c r="AB513" s="8" t="s">
        <v>5</v>
      </c>
      <c r="AC513" s="8" t="s">
        <v>5</v>
      </c>
      <c r="AD513" s="6" t="s">
        <v>5</v>
      </c>
      <c r="AE513" s="7">
        <v>2.17</v>
      </c>
      <c r="AF513" s="6" t="s">
        <v>5</v>
      </c>
      <c r="AG513" s="6" t="s">
        <v>5</v>
      </c>
      <c r="AH513" s="22">
        <v>0.49</v>
      </c>
      <c r="AI513" s="6" t="s">
        <v>5</v>
      </c>
      <c r="AJ513" s="4">
        <v>16</v>
      </c>
      <c r="AK513" s="6" t="s">
        <v>5</v>
      </c>
      <c r="AL513" s="6" t="s">
        <v>5</v>
      </c>
      <c r="AM513" s="6" t="s">
        <v>5</v>
      </c>
      <c r="AN513" s="6" t="s">
        <v>5</v>
      </c>
      <c r="AO513" s="4">
        <v>97.6</v>
      </c>
      <c r="AP513" s="4">
        <v>30.2</v>
      </c>
      <c r="AQ513" s="4">
        <v>16.7</v>
      </c>
      <c r="AR513" s="7">
        <v>2.4900000000000002</v>
      </c>
      <c r="AS513" s="6">
        <v>171</v>
      </c>
      <c r="AT513" s="4">
        <v>34</v>
      </c>
      <c r="AU513" s="6">
        <v>21.4</v>
      </c>
      <c r="AV513" s="7">
        <v>3.3</v>
      </c>
      <c r="AW513" s="6" t="s">
        <v>5</v>
      </c>
      <c r="AX513" s="6" t="s">
        <v>5</v>
      </c>
      <c r="AY513" s="6" t="s">
        <v>5</v>
      </c>
      <c r="AZ513" s="6" t="s">
        <v>5</v>
      </c>
      <c r="BA513" s="6" t="s">
        <v>5</v>
      </c>
      <c r="BB513" s="6" t="s">
        <v>5</v>
      </c>
      <c r="BC513" s="6" t="s">
        <v>5</v>
      </c>
      <c r="BD513" s="6" t="s">
        <v>5</v>
      </c>
      <c r="BE513" s="6" t="s">
        <v>5</v>
      </c>
      <c r="BF513" s="6" t="s">
        <v>5</v>
      </c>
      <c r="BG513" s="6" t="s">
        <v>5</v>
      </c>
      <c r="BH513" s="6" t="s">
        <v>5</v>
      </c>
      <c r="BI513" s="7">
        <v>4.5599999999999996</v>
      </c>
      <c r="BJ513" s="22">
        <v>0.82399999999999995</v>
      </c>
      <c r="BK513" s="6" t="s">
        <v>5</v>
      </c>
      <c r="BL513" s="2" t="s">
        <v>5</v>
      </c>
      <c r="BM513" s="2" t="s">
        <v>5</v>
      </c>
      <c r="BN513" s="2" t="s">
        <v>5</v>
      </c>
      <c r="BO513" s="2" t="s">
        <v>5</v>
      </c>
      <c r="BP513" s="2" t="s">
        <v>5</v>
      </c>
      <c r="BQ513" s="2" t="s">
        <v>5</v>
      </c>
      <c r="BR513" s="2" t="s">
        <v>5</v>
      </c>
      <c r="BS513" s="2" t="s">
        <v>5</v>
      </c>
      <c r="BT513" s="2" t="s">
        <v>5</v>
      </c>
      <c r="BU513" s="2" t="s">
        <v>5</v>
      </c>
      <c r="BV513" s="2" t="s">
        <v>5</v>
      </c>
      <c r="BW513" s="2" t="s">
        <v>5</v>
      </c>
      <c r="BX513" s="2" t="s">
        <v>5</v>
      </c>
      <c r="BY513" s="25" t="s">
        <v>5</v>
      </c>
      <c r="BZ513" s="25" t="s">
        <v>5</v>
      </c>
      <c r="CA513" s="6" t="s">
        <v>5</v>
      </c>
      <c r="CB513" s="6" t="s">
        <v>5</v>
      </c>
      <c r="CC513" s="6" t="s">
        <v>5</v>
      </c>
      <c r="CD513" s="6" t="s">
        <v>5</v>
      </c>
      <c r="CE513" s="6" t="s">
        <v>5</v>
      </c>
      <c r="CF513" s="16" t="s">
        <v>5</v>
      </c>
      <c r="CG513" s="16" t="s">
        <v>5</v>
      </c>
      <c r="CH513" s="18" t="s">
        <v>5</v>
      </c>
    </row>
    <row r="514" spans="2:86">
      <c r="B514" s="78" t="s">
        <v>473</v>
      </c>
      <c r="C514" s="79" t="s">
        <v>614</v>
      </c>
      <c r="D514" s="80" t="s">
        <v>614</v>
      </c>
      <c r="E514" s="1" t="s">
        <v>4</v>
      </c>
      <c r="F514" s="4">
        <v>52.8</v>
      </c>
      <c r="G514" s="4">
        <v>15.7</v>
      </c>
      <c r="H514" s="3" t="str">
        <f t="shared" si="26"/>
        <v>2L8X8X1/2X3/8</v>
      </c>
      <c r="I514" s="7">
        <v>8</v>
      </c>
      <c r="J514" s="5" t="s">
        <v>5</v>
      </c>
      <c r="K514" s="6" t="s">
        <v>5</v>
      </c>
      <c r="L514" s="6" t="s">
        <v>5</v>
      </c>
      <c r="M514" s="6" t="s">
        <v>5</v>
      </c>
      <c r="N514" s="6" t="s">
        <v>5</v>
      </c>
      <c r="O514" s="5" t="s">
        <v>5</v>
      </c>
      <c r="P514" s="5" t="s">
        <v>5</v>
      </c>
      <c r="Q514" s="7">
        <v>8</v>
      </c>
      <c r="R514" s="6" t="s">
        <v>5</v>
      </c>
      <c r="S514" s="6" t="s">
        <v>5</v>
      </c>
      <c r="T514" s="5" t="s">
        <v>5</v>
      </c>
      <c r="U514" s="8" t="s">
        <v>5</v>
      </c>
      <c r="V514" s="6" t="s">
        <v>5</v>
      </c>
      <c r="W514" s="8" t="s">
        <v>5</v>
      </c>
      <c r="X514" s="22">
        <v>0.5</v>
      </c>
      <c r="Y514" s="6" t="s">
        <v>5</v>
      </c>
      <c r="Z514" s="6" t="s">
        <v>5</v>
      </c>
      <c r="AA514" s="6" t="s">
        <v>5</v>
      </c>
      <c r="AB514" s="8" t="s">
        <v>5</v>
      </c>
      <c r="AC514" s="8" t="s">
        <v>5</v>
      </c>
      <c r="AD514" s="6" t="s">
        <v>5</v>
      </c>
      <c r="AE514" s="7">
        <v>2.17</v>
      </c>
      <c r="AF514" s="6" t="s">
        <v>5</v>
      </c>
      <c r="AG514" s="6" t="s">
        <v>5</v>
      </c>
      <c r="AH514" s="22">
        <v>0.49</v>
      </c>
      <c r="AI514" s="6" t="s">
        <v>5</v>
      </c>
      <c r="AJ514" s="4">
        <v>16</v>
      </c>
      <c r="AK514" s="6" t="s">
        <v>5</v>
      </c>
      <c r="AL514" s="6" t="s">
        <v>5</v>
      </c>
      <c r="AM514" s="6" t="s">
        <v>5</v>
      </c>
      <c r="AN514" s="6" t="s">
        <v>5</v>
      </c>
      <c r="AO514" s="4">
        <v>97.6</v>
      </c>
      <c r="AP514" s="4">
        <v>30.2</v>
      </c>
      <c r="AQ514" s="4">
        <v>16.7</v>
      </c>
      <c r="AR514" s="7">
        <v>2.4900000000000002</v>
      </c>
      <c r="AS514" s="6">
        <v>185</v>
      </c>
      <c r="AT514" s="4">
        <v>37</v>
      </c>
      <c r="AU514" s="6">
        <v>22.6</v>
      </c>
      <c r="AV514" s="7">
        <v>3.43</v>
      </c>
      <c r="AW514" s="6" t="s">
        <v>5</v>
      </c>
      <c r="AX514" s="6" t="s">
        <v>5</v>
      </c>
      <c r="AY514" s="6" t="s">
        <v>5</v>
      </c>
      <c r="AZ514" s="6" t="s">
        <v>5</v>
      </c>
      <c r="BA514" s="6" t="s">
        <v>5</v>
      </c>
      <c r="BB514" s="6" t="s">
        <v>5</v>
      </c>
      <c r="BC514" s="6" t="s">
        <v>5</v>
      </c>
      <c r="BD514" s="6" t="s">
        <v>5</v>
      </c>
      <c r="BE514" s="6" t="s">
        <v>5</v>
      </c>
      <c r="BF514" s="6" t="s">
        <v>5</v>
      </c>
      <c r="BG514" s="6" t="s">
        <v>5</v>
      </c>
      <c r="BH514" s="6" t="s">
        <v>5</v>
      </c>
      <c r="BI514" s="7">
        <v>4.6500000000000004</v>
      </c>
      <c r="BJ514" s="22">
        <v>0.83099999999999996</v>
      </c>
      <c r="BK514" s="6" t="s">
        <v>5</v>
      </c>
      <c r="BL514" s="2" t="s">
        <v>5</v>
      </c>
      <c r="BM514" s="2" t="s">
        <v>5</v>
      </c>
      <c r="BN514" s="2" t="s">
        <v>5</v>
      </c>
      <c r="BO514" s="2" t="s">
        <v>5</v>
      </c>
      <c r="BP514" s="2" t="s">
        <v>5</v>
      </c>
      <c r="BQ514" s="2" t="s">
        <v>5</v>
      </c>
      <c r="BR514" s="2" t="s">
        <v>5</v>
      </c>
      <c r="BS514" s="2" t="s">
        <v>5</v>
      </c>
      <c r="BT514" s="2" t="s">
        <v>5</v>
      </c>
      <c r="BU514" s="2" t="s">
        <v>5</v>
      </c>
      <c r="BV514" s="2" t="s">
        <v>5</v>
      </c>
      <c r="BW514" s="2" t="s">
        <v>5</v>
      </c>
      <c r="BX514" s="2" t="s">
        <v>5</v>
      </c>
      <c r="BY514" s="25" t="s">
        <v>5</v>
      </c>
      <c r="BZ514" s="25" t="s">
        <v>5</v>
      </c>
      <c r="CA514" s="6" t="s">
        <v>5</v>
      </c>
      <c r="CB514" s="6" t="s">
        <v>5</v>
      </c>
      <c r="CC514" s="6" t="s">
        <v>5</v>
      </c>
      <c r="CD514" s="6" t="s">
        <v>5</v>
      </c>
      <c r="CE514" s="6" t="s">
        <v>5</v>
      </c>
      <c r="CF514" s="16" t="s">
        <v>5</v>
      </c>
      <c r="CG514" s="16" t="s">
        <v>5</v>
      </c>
      <c r="CH514" s="18" t="s">
        <v>5</v>
      </c>
    </row>
    <row r="515" spans="2:86">
      <c r="B515" s="78" t="s">
        <v>473</v>
      </c>
      <c r="C515" s="79" t="s">
        <v>615</v>
      </c>
      <c r="D515" s="80" t="s">
        <v>615</v>
      </c>
      <c r="E515" s="1" t="s">
        <v>4</v>
      </c>
      <c r="F515" s="4">
        <v>52.8</v>
      </c>
      <c r="G515" s="4">
        <v>15.7</v>
      </c>
      <c r="H515" s="3" t="str">
        <f t="shared" si="26"/>
        <v>2L8X8X1/2X3/4</v>
      </c>
      <c r="I515" s="7">
        <v>8</v>
      </c>
      <c r="J515" s="5" t="s">
        <v>5</v>
      </c>
      <c r="K515" s="6" t="s">
        <v>5</v>
      </c>
      <c r="L515" s="6" t="s">
        <v>5</v>
      </c>
      <c r="M515" s="6" t="s">
        <v>5</v>
      </c>
      <c r="N515" s="6" t="s">
        <v>5</v>
      </c>
      <c r="O515" s="5" t="s">
        <v>5</v>
      </c>
      <c r="P515" s="5" t="s">
        <v>5</v>
      </c>
      <c r="Q515" s="7">
        <v>8</v>
      </c>
      <c r="R515" s="6" t="s">
        <v>5</v>
      </c>
      <c r="S515" s="6" t="s">
        <v>5</v>
      </c>
      <c r="T515" s="5" t="s">
        <v>5</v>
      </c>
      <c r="U515" s="8" t="s">
        <v>5</v>
      </c>
      <c r="V515" s="6" t="s">
        <v>5</v>
      </c>
      <c r="W515" s="8" t="s">
        <v>5</v>
      </c>
      <c r="X515" s="22">
        <v>0.5</v>
      </c>
      <c r="Y515" s="6" t="s">
        <v>5</v>
      </c>
      <c r="Z515" s="6" t="s">
        <v>5</v>
      </c>
      <c r="AA515" s="6" t="s">
        <v>5</v>
      </c>
      <c r="AB515" s="8" t="s">
        <v>5</v>
      </c>
      <c r="AC515" s="8" t="s">
        <v>5</v>
      </c>
      <c r="AD515" s="6" t="s">
        <v>5</v>
      </c>
      <c r="AE515" s="7">
        <v>2.17</v>
      </c>
      <c r="AF515" s="6" t="s">
        <v>5</v>
      </c>
      <c r="AG515" s="6" t="s">
        <v>5</v>
      </c>
      <c r="AH515" s="22">
        <v>0.49</v>
      </c>
      <c r="AI515" s="6" t="s">
        <v>5</v>
      </c>
      <c r="AJ515" s="4">
        <v>16</v>
      </c>
      <c r="AK515" s="6" t="s">
        <v>5</v>
      </c>
      <c r="AL515" s="6" t="s">
        <v>5</v>
      </c>
      <c r="AM515" s="6" t="s">
        <v>5</v>
      </c>
      <c r="AN515" s="6" t="s">
        <v>5</v>
      </c>
      <c r="AO515" s="4">
        <v>97.6</v>
      </c>
      <c r="AP515" s="4">
        <v>30.2</v>
      </c>
      <c r="AQ515" s="4">
        <v>16.7</v>
      </c>
      <c r="AR515" s="7">
        <v>2.4900000000000002</v>
      </c>
      <c r="AS515" s="6">
        <v>199</v>
      </c>
      <c r="AT515" s="6">
        <v>39.9</v>
      </c>
      <c r="AU515" s="6">
        <v>23.8</v>
      </c>
      <c r="AV515" s="7">
        <v>3.56</v>
      </c>
      <c r="AW515" s="6" t="s">
        <v>5</v>
      </c>
      <c r="AX515" s="6" t="s">
        <v>5</v>
      </c>
      <c r="AY515" s="6" t="s">
        <v>5</v>
      </c>
      <c r="AZ515" s="6" t="s">
        <v>5</v>
      </c>
      <c r="BA515" s="6" t="s">
        <v>5</v>
      </c>
      <c r="BB515" s="6" t="s">
        <v>5</v>
      </c>
      <c r="BC515" s="6" t="s">
        <v>5</v>
      </c>
      <c r="BD515" s="6" t="s">
        <v>5</v>
      </c>
      <c r="BE515" s="6" t="s">
        <v>5</v>
      </c>
      <c r="BF515" s="6" t="s">
        <v>5</v>
      </c>
      <c r="BG515" s="6" t="s">
        <v>5</v>
      </c>
      <c r="BH515" s="6" t="s">
        <v>5</v>
      </c>
      <c r="BI515" s="7">
        <v>4.75</v>
      </c>
      <c r="BJ515" s="22">
        <v>0.83699999999999997</v>
      </c>
      <c r="BK515" s="6" t="s">
        <v>5</v>
      </c>
      <c r="BL515" s="2" t="s">
        <v>5</v>
      </c>
      <c r="BM515" s="2" t="s">
        <v>5</v>
      </c>
      <c r="BN515" s="2" t="s">
        <v>5</v>
      </c>
      <c r="BO515" s="2" t="s">
        <v>5</v>
      </c>
      <c r="BP515" s="2" t="s">
        <v>5</v>
      </c>
      <c r="BQ515" s="2" t="s">
        <v>5</v>
      </c>
      <c r="BR515" s="2" t="s">
        <v>5</v>
      </c>
      <c r="BS515" s="2" t="s">
        <v>5</v>
      </c>
      <c r="BT515" s="2" t="s">
        <v>5</v>
      </c>
      <c r="BU515" s="2" t="s">
        <v>5</v>
      </c>
      <c r="BV515" s="2" t="s">
        <v>5</v>
      </c>
      <c r="BW515" s="2" t="s">
        <v>5</v>
      </c>
      <c r="BX515" s="2" t="s">
        <v>5</v>
      </c>
      <c r="BY515" s="25" t="s">
        <v>5</v>
      </c>
      <c r="BZ515" s="25" t="s">
        <v>5</v>
      </c>
      <c r="CA515" s="6" t="s">
        <v>5</v>
      </c>
      <c r="CB515" s="6" t="s">
        <v>5</v>
      </c>
      <c r="CC515" s="6" t="s">
        <v>5</v>
      </c>
      <c r="CD515" s="6" t="s">
        <v>5</v>
      </c>
      <c r="CE515" s="6" t="s">
        <v>5</v>
      </c>
      <c r="CF515" s="16" t="s">
        <v>5</v>
      </c>
      <c r="CG515" s="16" t="s">
        <v>5</v>
      </c>
      <c r="CH515" s="18" t="s">
        <v>5</v>
      </c>
    </row>
    <row r="516" spans="2:86">
      <c r="B516" s="78" t="s">
        <v>473</v>
      </c>
      <c r="C516" s="79" t="s">
        <v>616</v>
      </c>
      <c r="D516" s="80" t="s">
        <v>616</v>
      </c>
      <c r="E516" s="1" t="s">
        <v>4</v>
      </c>
      <c r="F516" s="4">
        <v>74.8</v>
      </c>
      <c r="G516" s="4">
        <v>22</v>
      </c>
      <c r="H516" s="3" t="str">
        <f t="shared" ref="H516:H579" si="27">D516</f>
        <v>2L6X6X1</v>
      </c>
      <c r="I516" s="7">
        <v>6</v>
      </c>
      <c r="J516" s="5" t="s">
        <v>5</v>
      </c>
      <c r="K516" s="6" t="s">
        <v>5</v>
      </c>
      <c r="L516" s="6" t="s">
        <v>5</v>
      </c>
      <c r="M516" s="6" t="s">
        <v>5</v>
      </c>
      <c r="N516" s="6" t="s">
        <v>5</v>
      </c>
      <c r="O516" s="5" t="s">
        <v>5</v>
      </c>
      <c r="P516" s="5" t="s">
        <v>5</v>
      </c>
      <c r="Q516" s="7">
        <v>6</v>
      </c>
      <c r="R516" s="6" t="s">
        <v>5</v>
      </c>
      <c r="S516" s="6" t="s">
        <v>5</v>
      </c>
      <c r="T516" s="5" t="s">
        <v>5</v>
      </c>
      <c r="U516" s="8" t="s">
        <v>5</v>
      </c>
      <c r="V516" s="6" t="s">
        <v>5</v>
      </c>
      <c r="W516" s="8" t="s">
        <v>5</v>
      </c>
      <c r="X516" s="7">
        <v>1</v>
      </c>
      <c r="Y516" s="6" t="s">
        <v>5</v>
      </c>
      <c r="Z516" s="6" t="s">
        <v>5</v>
      </c>
      <c r="AA516" s="6" t="s">
        <v>5</v>
      </c>
      <c r="AB516" s="8" t="s">
        <v>5</v>
      </c>
      <c r="AC516" s="8" t="s">
        <v>5</v>
      </c>
      <c r="AD516" s="6" t="s">
        <v>5</v>
      </c>
      <c r="AE516" s="7">
        <v>1.86</v>
      </c>
      <c r="AF516" s="6" t="s">
        <v>5</v>
      </c>
      <c r="AG516" s="6" t="s">
        <v>5</v>
      </c>
      <c r="AH516" s="22">
        <v>0.91700000000000004</v>
      </c>
      <c r="AI516" s="6" t="s">
        <v>5</v>
      </c>
      <c r="AJ516" s="7">
        <v>6</v>
      </c>
      <c r="AK516" s="6" t="s">
        <v>5</v>
      </c>
      <c r="AL516" s="6" t="s">
        <v>5</v>
      </c>
      <c r="AM516" s="6" t="s">
        <v>5</v>
      </c>
      <c r="AN516" s="6" t="s">
        <v>5</v>
      </c>
      <c r="AO516" s="4">
        <v>70.8</v>
      </c>
      <c r="AP516" s="4">
        <v>30.8</v>
      </c>
      <c r="AQ516" s="4">
        <v>17.100000000000001</v>
      </c>
      <c r="AR516" s="7">
        <v>1.79</v>
      </c>
      <c r="AS516" s="6">
        <v>146</v>
      </c>
      <c r="AT516" s="6">
        <v>40.9</v>
      </c>
      <c r="AU516" s="6">
        <v>24.3</v>
      </c>
      <c r="AV516" s="7">
        <v>2.58</v>
      </c>
      <c r="AW516" s="6" t="s">
        <v>5</v>
      </c>
      <c r="AX516" s="6" t="s">
        <v>5</v>
      </c>
      <c r="AY516" s="6" t="s">
        <v>5</v>
      </c>
      <c r="AZ516" s="6" t="s">
        <v>5</v>
      </c>
      <c r="BA516" s="6" t="s">
        <v>5</v>
      </c>
      <c r="BB516" s="6" t="s">
        <v>5</v>
      </c>
      <c r="BC516" s="6" t="s">
        <v>5</v>
      </c>
      <c r="BD516" s="6" t="s">
        <v>5</v>
      </c>
      <c r="BE516" s="6" t="s">
        <v>5</v>
      </c>
      <c r="BF516" s="6" t="s">
        <v>5</v>
      </c>
      <c r="BG516" s="6" t="s">
        <v>5</v>
      </c>
      <c r="BH516" s="6" t="s">
        <v>5</v>
      </c>
      <c r="BI516" s="7">
        <v>3.42</v>
      </c>
      <c r="BJ516" s="22">
        <v>0.84299999999999997</v>
      </c>
      <c r="BK516" s="6" t="s">
        <v>5</v>
      </c>
      <c r="BL516" s="2" t="s">
        <v>5</v>
      </c>
      <c r="BM516" s="2" t="s">
        <v>5</v>
      </c>
      <c r="BN516" s="2" t="s">
        <v>5</v>
      </c>
      <c r="BO516" s="2" t="s">
        <v>5</v>
      </c>
      <c r="BP516" s="2" t="s">
        <v>5</v>
      </c>
      <c r="BQ516" s="2" t="s">
        <v>5</v>
      </c>
      <c r="BR516" s="2" t="s">
        <v>5</v>
      </c>
      <c r="BS516" s="2" t="s">
        <v>5</v>
      </c>
      <c r="BT516" s="2" t="s">
        <v>5</v>
      </c>
      <c r="BU516" s="2" t="s">
        <v>5</v>
      </c>
      <c r="BV516" s="2" t="s">
        <v>5</v>
      </c>
      <c r="BW516" s="2" t="s">
        <v>5</v>
      </c>
      <c r="BX516" s="2" t="s">
        <v>5</v>
      </c>
      <c r="BY516" s="25" t="s">
        <v>5</v>
      </c>
      <c r="BZ516" s="25" t="s">
        <v>5</v>
      </c>
      <c r="CA516" s="6" t="s">
        <v>5</v>
      </c>
      <c r="CB516" s="6" t="s">
        <v>5</v>
      </c>
      <c r="CC516" s="6" t="s">
        <v>5</v>
      </c>
      <c r="CD516" s="6" t="s">
        <v>5</v>
      </c>
      <c r="CE516" s="6" t="s">
        <v>5</v>
      </c>
      <c r="CF516" s="16" t="s">
        <v>5</v>
      </c>
      <c r="CG516" s="16" t="s">
        <v>5</v>
      </c>
      <c r="CH516" s="18" t="s">
        <v>5</v>
      </c>
    </row>
    <row r="517" spans="2:86">
      <c r="B517" s="78" t="s">
        <v>473</v>
      </c>
      <c r="C517" s="79" t="s">
        <v>617</v>
      </c>
      <c r="D517" s="80" t="s">
        <v>617</v>
      </c>
      <c r="E517" s="1" t="s">
        <v>4</v>
      </c>
      <c r="F517" s="4">
        <v>74.8</v>
      </c>
      <c r="G517" s="4">
        <v>22</v>
      </c>
      <c r="H517" s="3" t="str">
        <f t="shared" si="27"/>
        <v>2L6X6X1X3/8</v>
      </c>
      <c r="I517" s="7">
        <v>6</v>
      </c>
      <c r="J517" s="5" t="s">
        <v>5</v>
      </c>
      <c r="K517" s="6" t="s">
        <v>5</v>
      </c>
      <c r="L517" s="6" t="s">
        <v>5</v>
      </c>
      <c r="M517" s="6" t="s">
        <v>5</v>
      </c>
      <c r="N517" s="6" t="s">
        <v>5</v>
      </c>
      <c r="O517" s="5" t="s">
        <v>5</v>
      </c>
      <c r="P517" s="5" t="s">
        <v>5</v>
      </c>
      <c r="Q517" s="7">
        <v>6</v>
      </c>
      <c r="R517" s="6" t="s">
        <v>5</v>
      </c>
      <c r="S517" s="6" t="s">
        <v>5</v>
      </c>
      <c r="T517" s="5" t="s">
        <v>5</v>
      </c>
      <c r="U517" s="8" t="s">
        <v>5</v>
      </c>
      <c r="V517" s="6" t="s">
        <v>5</v>
      </c>
      <c r="W517" s="8" t="s">
        <v>5</v>
      </c>
      <c r="X517" s="7">
        <v>1</v>
      </c>
      <c r="Y517" s="6" t="s">
        <v>5</v>
      </c>
      <c r="Z517" s="6" t="s">
        <v>5</v>
      </c>
      <c r="AA517" s="6" t="s">
        <v>5</v>
      </c>
      <c r="AB517" s="8" t="s">
        <v>5</v>
      </c>
      <c r="AC517" s="8" t="s">
        <v>5</v>
      </c>
      <c r="AD517" s="6" t="s">
        <v>5</v>
      </c>
      <c r="AE517" s="7">
        <v>1.86</v>
      </c>
      <c r="AF517" s="6" t="s">
        <v>5</v>
      </c>
      <c r="AG517" s="6" t="s">
        <v>5</v>
      </c>
      <c r="AH517" s="22">
        <v>0.91700000000000004</v>
      </c>
      <c r="AI517" s="6" t="s">
        <v>5</v>
      </c>
      <c r="AJ517" s="7">
        <v>6</v>
      </c>
      <c r="AK517" s="6" t="s">
        <v>5</v>
      </c>
      <c r="AL517" s="6" t="s">
        <v>5</v>
      </c>
      <c r="AM517" s="6" t="s">
        <v>5</v>
      </c>
      <c r="AN517" s="6" t="s">
        <v>5</v>
      </c>
      <c r="AO517" s="4">
        <v>70.8</v>
      </c>
      <c r="AP517" s="4">
        <v>30.8</v>
      </c>
      <c r="AQ517" s="4">
        <v>17.100000000000001</v>
      </c>
      <c r="AR517" s="7">
        <v>1.79</v>
      </c>
      <c r="AS517" s="6">
        <v>163</v>
      </c>
      <c r="AT517" s="4">
        <v>45</v>
      </c>
      <c r="AU517" s="6">
        <v>26.3</v>
      </c>
      <c r="AV517" s="7">
        <v>2.72</v>
      </c>
      <c r="AW517" s="6" t="s">
        <v>5</v>
      </c>
      <c r="AX517" s="6" t="s">
        <v>5</v>
      </c>
      <c r="AY517" s="6" t="s">
        <v>5</v>
      </c>
      <c r="AZ517" s="6" t="s">
        <v>5</v>
      </c>
      <c r="BA517" s="6" t="s">
        <v>5</v>
      </c>
      <c r="BB517" s="6" t="s">
        <v>5</v>
      </c>
      <c r="BC517" s="6" t="s">
        <v>5</v>
      </c>
      <c r="BD517" s="6" t="s">
        <v>5</v>
      </c>
      <c r="BE517" s="6" t="s">
        <v>5</v>
      </c>
      <c r="BF517" s="6" t="s">
        <v>5</v>
      </c>
      <c r="BG517" s="6" t="s">
        <v>5</v>
      </c>
      <c r="BH517" s="6" t="s">
        <v>5</v>
      </c>
      <c r="BI517" s="7">
        <v>3.53</v>
      </c>
      <c r="BJ517" s="22">
        <v>0.85199999999999998</v>
      </c>
      <c r="BK517" s="6" t="s">
        <v>5</v>
      </c>
      <c r="BL517" s="2" t="s">
        <v>5</v>
      </c>
      <c r="BM517" s="2" t="s">
        <v>5</v>
      </c>
      <c r="BN517" s="2" t="s">
        <v>5</v>
      </c>
      <c r="BO517" s="2" t="s">
        <v>5</v>
      </c>
      <c r="BP517" s="2" t="s">
        <v>5</v>
      </c>
      <c r="BQ517" s="2" t="s">
        <v>5</v>
      </c>
      <c r="BR517" s="2" t="s">
        <v>5</v>
      </c>
      <c r="BS517" s="2" t="s">
        <v>5</v>
      </c>
      <c r="BT517" s="2" t="s">
        <v>5</v>
      </c>
      <c r="BU517" s="2" t="s">
        <v>5</v>
      </c>
      <c r="BV517" s="2" t="s">
        <v>5</v>
      </c>
      <c r="BW517" s="2" t="s">
        <v>5</v>
      </c>
      <c r="BX517" s="2" t="s">
        <v>5</v>
      </c>
      <c r="BY517" s="25" t="s">
        <v>5</v>
      </c>
      <c r="BZ517" s="25" t="s">
        <v>5</v>
      </c>
      <c r="CA517" s="6" t="s">
        <v>5</v>
      </c>
      <c r="CB517" s="6" t="s">
        <v>5</v>
      </c>
      <c r="CC517" s="6" t="s">
        <v>5</v>
      </c>
      <c r="CD517" s="6" t="s">
        <v>5</v>
      </c>
      <c r="CE517" s="6" t="s">
        <v>5</v>
      </c>
      <c r="CF517" s="16" t="s">
        <v>5</v>
      </c>
      <c r="CG517" s="16" t="s">
        <v>5</v>
      </c>
      <c r="CH517" s="18" t="s">
        <v>5</v>
      </c>
    </row>
    <row r="518" spans="2:86">
      <c r="B518" s="78" t="s">
        <v>473</v>
      </c>
      <c r="C518" s="79" t="s">
        <v>618</v>
      </c>
      <c r="D518" s="80" t="s">
        <v>618</v>
      </c>
      <c r="E518" s="1" t="s">
        <v>4</v>
      </c>
      <c r="F518" s="4">
        <v>74.8</v>
      </c>
      <c r="G518" s="4">
        <v>22</v>
      </c>
      <c r="H518" s="3" t="str">
        <f t="shared" si="27"/>
        <v>2L6X6X1X3/4</v>
      </c>
      <c r="I518" s="7">
        <v>6</v>
      </c>
      <c r="J518" s="5" t="s">
        <v>5</v>
      </c>
      <c r="K518" s="6" t="s">
        <v>5</v>
      </c>
      <c r="L518" s="6" t="s">
        <v>5</v>
      </c>
      <c r="M518" s="6" t="s">
        <v>5</v>
      </c>
      <c r="N518" s="6" t="s">
        <v>5</v>
      </c>
      <c r="O518" s="5" t="s">
        <v>5</v>
      </c>
      <c r="P518" s="5" t="s">
        <v>5</v>
      </c>
      <c r="Q518" s="7">
        <v>6</v>
      </c>
      <c r="R518" s="6" t="s">
        <v>5</v>
      </c>
      <c r="S518" s="6" t="s">
        <v>5</v>
      </c>
      <c r="T518" s="5" t="s">
        <v>5</v>
      </c>
      <c r="U518" s="8" t="s">
        <v>5</v>
      </c>
      <c r="V518" s="6" t="s">
        <v>5</v>
      </c>
      <c r="W518" s="8" t="s">
        <v>5</v>
      </c>
      <c r="X518" s="7">
        <v>1</v>
      </c>
      <c r="Y518" s="6" t="s">
        <v>5</v>
      </c>
      <c r="Z518" s="6" t="s">
        <v>5</v>
      </c>
      <c r="AA518" s="6" t="s">
        <v>5</v>
      </c>
      <c r="AB518" s="8" t="s">
        <v>5</v>
      </c>
      <c r="AC518" s="8" t="s">
        <v>5</v>
      </c>
      <c r="AD518" s="6" t="s">
        <v>5</v>
      </c>
      <c r="AE518" s="7">
        <v>1.86</v>
      </c>
      <c r="AF518" s="6" t="s">
        <v>5</v>
      </c>
      <c r="AG518" s="6" t="s">
        <v>5</v>
      </c>
      <c r="AH518" s="22">
        <v>0.91700000000000004</v>
      </c>
      <c r="AI518" s="6" t="s">
        <v>5</v>
      </c>
      <c r="AJ518" s="7">
        <v>6</v>
      </c>
      <c r="AK518" s="6" t="s">
        <v>5</v>
      </c>
      <c r="AL518" s="6" t="s">
        <v>5</v>
      </c>
      <c r="AM518" s="6" t="s">
        <v>5</v>
      </c>
      <c r="AN518" s="6" t="s">
        <v>5</v>
      </c>
      <c r="AO518" s="4">
        <v>70.8</v>
      </c>
      <c r="AP518" s="4">
        <v>30.8</v>
      </c>
      <c r="AQ518" s="4">
        <v>17.100000000000001</v>
      </c>
      <c r="AR518" s="7">
        <v>1.79</v>
      </c>
      <c r="AS518" s="6">
        <v>180</v>
      </c>
      <c r="AT518" s="6">
        <v>49.2</v>
      </c>
      <c r="AU518" s="6">
        <v>28.2</v>
      </c>
      <c r="AV518" s="7">
        <v>2.86</v>
      </c>
      <c r="AW518" s="6" t="s">
        <v>5</v>
      </c>
      <c r="AX518" s="6" t="s">
        <v>5</v>
      </c>
      <c r="AY518" s="6" t="s">
        <v>5</v>
      </c>
      <c r="AZ518" s="6" t="s">
        <v>5</v>
      </c>
      <c r="BA518" s="6" t="s">
        <v>5</v>
      </c>
      <c r="BB518" s="6" t="s">
        <v>5</v>
      </c>
      <c r="BC518" s="6" t="s">
        <v>5</v>
      </c>
      <c r="BD518" s="6" t="s">
        <v>5</v>
      </c>
      <c r="BE518" s="6" t="s">
        <v>5</v>
      </c>
      <c r="BF518" s="6" t="s">
        <v>5</v>
      </c>
      <c r="BG518" s="6" t="s">
        <v>5</v>
      </c>
      <c r="BH518" s="6" t="s">
        <v>5</v>
      </c>
      <c r="BI518" s="7">
        <v>3.64</v>
      </c>
      <c r="BJ518" s="22">
        <v>0.86099999999999999</v>
      </c>
      <c r="BK518" s="6" t="s">
        <v>5</v>
      </c>
      <c r="BL518" s="2" t="s">
        <v>5</v>
      </c>
      <c r="BM518" s="2" t="s">
        <v>5</v>
      </c>
      <c r="BN518" s="2" t="s">
        <v>5</v>
      </c>
      <c r="BO518" s="2" t="s">
        <v>5</v>
      </c>
      <c r="BP518" s="2" t="s">
        <v>5</v>
      </c>
      <c r="BQ518" s="2" t="s">
        <v>5</v>
      </c>
      <c r="BR518" s="2" t="s">
        <v>5</v>
      </c>
      <c r="BS518" s="2" t="s">
        <v>5</v>
      </c>
      <c r="BT518" s="2" t="s">
        <v>5</v>
      </c>
      <c r="BU518" s="2" t="s">
        <v>5</v>
      </c>
      <c r="BV518" s="2" t="s">
        <v>5</v>
      </c>
      <c r="BW518" s="2" t="s">
        <v>5</v>
      </c>
      <c r="BX518" s="2" t="s">
        <v>5</v>
      </c>
      <c r="BY518" s="25" t="s">
        <v>5</v>
      </c>
      <c r="BZ518" s="25" t="s">
        <v>5</v>
      </c>
      <c r="CA518" s="6" t="s">
        <v>5</v>
      </c>
      <c r="CB518" s="6" t="s">
        <v>5</v>
      </c>
      <c r="CC518" s="6" t="s">
        <v>5</v>
      </c>
      <c r="CD518" s="6" t="s">
        <v>5</v>
      </c>
      <c r="CE518" s="6" t="s">
        <v>5</v>
      </c>
      <c r="CF518" s="16" t="s">
        <v>5</v>
      </c>
      <c r="CG518" s="16" t="s">
        <v>5</v>
      </c>
      <c r="CH518" s="18" t="s">
        <v>5</v>
      </c>
    </row>
    <row r="519" spans="2:86">
      <c r="B519" s="78" t="s">
        <v>473</v>
      </c>
      <c r="C519" s="79" t="s">
        <v>619</v>
      </c>
      <c r="D519" s="80" t="s">
        <v>619</v>
      </c>
      <c r="E519" s="1" t="s">
        <v>4</v>
      </c>
      <c r="F519" s="4">
        <v>66.2</v>
      </c>
      <c r="G519" s="4">
        <v>19.5</v>
      </c>
      <c r="H519" s="3" t="str">
        <f t="shared" si="27"/>
        <v>2L6X6X7/8</v>
      </c>
      <c r="I519" s="7">
        <v>6</v>
      </c>
      <c r="J519" s="5" t="s">
        <v>5</v>
      </c>
      <c r="K519" s="6" t="s">
        <v>5</v>
      </c>
      <c r="L519" s="6" t="s">
        <v>5</v>
      </c>
      <c r="M519" s="6" t="s">
        <v>5</v>
      </c>
      <c r="N519" s="6" t="s">
        <v>5</v>
      </c>
      <c r="O519" s="5" t="s">
        <v>5</v>
      </c>
      <c r="P519" s="5" t="s">
        <v>5</v>
      </c>
      <c r="Q519" s="7">
        <v>6</v>
      </c>
      <c r="R519" s="6" t="s">
        <v>5</v>
      </c>
      <c r="S519" s="6" t="s">
        <v>5</v>
      </c>
      <c r="T519" s="5" t="s">
        <v>5</v>
      </c>
      <c r="U519" s="8" t="s">
        <v>5</v>
      </c>
      <c r="V519" s="6" t="s">
        <v>5</v>
      </c>
      <c r="W519" s="8" t="s">
        <v>5</v>
      </c>
      <c r="X519" s="22">
        <v>0.875</v>
      </c>
      <c r="Y519" s="6" t="s">
        <v>5</v>
      </c>
      <c r="Z519" s="6" t="s">
        <v>5</v>
      </c>
      <c r="AA519" s="6" t="s">
        <v>5</v>
      </c>
      <c r="AB519" s="8" t="s">
        <v>5</v>
      </c>
      <c r="AC519" s="8" t="s">
        <v>5</v>
      </c>
      <c r="AD519" s="6" t="s">
        <v>5</v>
      </c>
      <c r="AE519" s="7">
        <v>1.81</v>
      </c>
      <c r="AF519" s="6" t="s">
        <v>5</v>
      </c>
      <c r="AG519" s="6" t="s">
        <v>5</v>
      </c>
      <c r="AH519" s="22">
        <v>0.81299999999999994</v>
      </c>
      <c r="AI519" s="6" t="s">
        <v>5</v>
      </c>
      <c r="AJ519" s="7">
        <v>6.86</v>
      </c>
      <c r="AK519" s="6" t="s">
        <v>5</v>
      </c>
      <c r="AL519" s="6" t="s">
        <v>5</v>
      </c>
      <c r="AM519" s="6" t="s">
        <v>5</v>
      </c>
      <c r="AN519" s="6" t="s">
        <v>5</v>
      </c>
      <c r="AO519" s="4">
        <v>63.8</v>
      </c>
      <c r="AP519" s="4">
        <v>27.4</v>
      </c>
      <c r="AQ519" s="4">
        <v>15.2</v>
      </c>
      <c r="AR519" s="7">
        <v>1.81</v>
      </c>
      <c r="AS519" s="6">
        <v>128</v>
      </c>
      <c r="AT519" s="6">
        <v>35.299999999999997</v>
      </c>
      <c r="AU519" s="6">
        <v>21.3</v>
      </c>
      <c r="AV519" s="7">
        <v>2.56</v>
      </c>
      <c r="AW519" s="6" t="s">
        <v>5</v>
      </c>
      <c r="AX519" s="6" t="s">
        <v>5</v>
      </c>
      <c r="AY519" s="6" t="s">
        <v>5</v>
      </c>
      <c r="AZ519" s="6" t="s">
        <v>5</v>
      </c>
      <c r="BA519" s="6" t="s">
        <v>5</v>
      </c>
      <c r="BB519" s="6" t="s">
        <v>5</v>
      </c>
      <c r="BC519" s="6" t="s">
        <v>5</v>
      </c>
      <c r="BD519" s="6" t="s">
        <v>5</v>
      </c>
      <c r="BE519" s="6" t="s">
        <v>5</v>
      </c>
      <c r="BF519" s="6" t="s">
        <v>5</v>
      </c>
      <c r="BG519" s="6" t="s">
        <v>5</v>
      </c>
      <c r="BH519" s="6" t="s">
        <v>5</v>
      </c>
      <c r="BI519" s="7">
        <v>3.42</v>
      </c>
      <c r="BJ519" s="22">
        <v>0.83899999999999997</v>
      </c>
      <c r="BK519" s="6" t="s">
        <v>5</v>
      </c>
      <c r="BL519" s="2" t="s">
        <v>5</v>
      </c>
      <c r="BM519" s="2" t="s">
        <v>5</v>
      </c>
      <c r="BN519" s="2" t="s">
        <v>5</v>
      </c>
      <c r="BO519" s="2" t="s">
        <v>5</v>
      </c>
      <c r="BP519" s="2" t="s">
        <v>5</v>
      </c>
      <c r="BQ519" s="2" t="s">
        <v>5</v>
      </c>
      <c r="BR519" s="2" t="s">
        <v>5</v>
      </c>
      <c r="BS519" s="2" t="s">
        <v>5</v>
      </c>
      <c r="BT519" s="2" t="s">
        <v>5</v>
      </c>
      <c r="BU519" s="2" t="s">
        <v>5</v>
      </c>
      <c r="BV519" s="2" t="s">
        <v>5</v>
      </c>
      <c r="BW519" s="2" t="s">
        <v>5</v>
      </c>
      <c r="BX519" s="2" t="s">
        <v>5</v>
      </c>
      <c r="BY519" s="25" t="s">
        <v>5</v>
      </c>
      <c r="BZ519" s="25" t="s">
        <v>5</v>
      </c>
      <c r="CA519" s="6" t="s">
        <v>5</v>
      </c>
      <c r="CB519" s="6" t="s">
        <v>5</v>
      </c>
      <c r="CC519" s="6" t="s">
        <v>5</v>
      </c>
      <c r="CD519" s="6" t="s">
        <v>5</v>
      </c>
      <c r="CE519" s="6" t="s">
        <v>5</v>
      </c>
      <c r="CF519" s="16" t="s">
        <v>5</v>
      </c>
      <c r="CG519" s="16" t="s">
        <v>5</v>
      </c>
      <c r="CH519" s="18" t="s">
        <v>5</v>
      </c>
    </row>
    <row r="520" spans="2:86">
      <c r="B520" s="78" t="s">
        <v>473</v>
      </c>
      <c r="C520" s="79" t="s">
        <v>620</v>
      </c>
      <c r="D520" s="80" t="s">
        <v>620</v>
      </c>
      <c r="E520" s="1" t="s">
        <v>4</v>
      </c>
      <c r="F520" s="4">
        <v>66.2</v>
      </c>
      <c r="G520" s="4">
        <v>19.5</v>
      </c>
      <c r="H520" s="3" t="str">
        <f t="shared" si="27"/>
        <v>2L6X6X7/8X3/8</v>
      </c>
      <c r="I520" s="7">
        <v>6</v>
      </c>
      <c r="J520" s="5" t="s">
        <v>5</v>
      </c>
      <c r="K520" s="6" t="s">
        <v>5</v>
      </c>
      <c r="L520" s="6" t="s">
        <v>5</v>
      </c>
      <c r="M520" s="6" t="s">
        <v>5</v>
      </c>
      <c r="N520" s="6" t="s">
        <v>5</v>
      </c>
      <c r="O520" s="5" t="s">
        <v>5</v>
      </c>
      <c r="P520" s="5" t="s">
        <v>5</v>
      </c>
      <c r="Q520" s="7">
        <v>6</v>
      </c>
      <c r="R520" s="6" t="s">
        <v>5</v>
      </c>
      <c r="S520" s="6" t="s">
        <v>5</v>
      </c>
      <c r="T520" s="5" t="s">
        <v>5</v>
      </c>
      <c r="U520" s="8" t="s">
        <v>5</v>
      </c>
      <c r="V520" s="6" t="s">
        <v>5</v>
      </c>
      <c r="W520" s="8" t="s">
        <v>5</v>
      </c>
      <c r="X520" s="22">
        <v>0.875</v>
      </c>
      <c r="Y520" s="6" t="s">
        <v>5</v>
      </c>
      <c r="Z520" s="6" t="s">
        <v>5</v>
      </c>
      <c r="AA520" s="6" t="s">
        <v>5</v>
      </c>
      <c r="AB520" s="8" t="s">
        <v>5</v>
      </c>
      <c r="AC520" s="8" t="s">
        <v>5</v>
      </c>
      <c r="AD520" s="6" t="s">
        <v>5</v>
      </c>
      <c r="AE520" s="7">
        <v>1.81</v>
      </c>
      <c r="AF520" s="6" t="s">
        <v>5</v>
      </c>
      <c r="AG520" s="6" t="s">
        <v>5</v>
      </c>
      <c r="AH520" s="22">
        <v>0.81299999999999994</v>
      </c>
      <c r="AI520" s="6" t="s">
        <v>5</v>
      </c>
      <c r="AJ520" s="7">
        <v>6.86</v>
      </c>
      <c r="AK520" s="6" t="s">
        <v>5</v>
      </c>
      <c r="AL520" s="6" t="s">
        <v>5</v>
      </c>
      <c r="AM520" s="6" t="s">
        <v>5</v>
      </c>
      <c r="AN520" s="6" t="s">
        <v>5</v>
      </c>
      <c r="AO520" s="4">
        <v>63.8</v>
      </c>
      <c r="AP520" s="4">
        <v>27.4</v>
      </c>
      <c r="AQ520" s="4">
        <v>15.2</v>
      </c>
      <c r="AR520" s="7">
        <v>1.81</v>
      </c>
      <c r="AS520" s="6">
        <v>142</v>
      </c>
      <c r="AT520" s="4">
        <v>39</v>
      </c>
      <c r="AU520" s="6">
        <v>22.9</v>
      </c>
      <c r="AV520" s="7">
        <v>2.7</v>
      </c>
      <c r="AW520" s="6" t="s">
        <v>5</v>
      </c>
      <c r="AX520" s="6" t="s">
        <v>5</v>
      </c>
      <c r="AY520" s="6" t="s">
        <v>5</v>
      </c>
      <c r="AZ520" s="6" t="s">
        <v>5</v>
      </c>
      <c r="BA520" s="6" t="s">
        <v>5</v>
      </c>
      <c r="BB520" s="6" t="s">
        <v>5</v>
      </c>
      <c r="BC520" s="6" t="s">
        <v>5</v>
      </c>
      <c r="BD520" s="6" t="s">
        <v>5</v>
      </c>
      <c r="BE520" s="6" t="s">
        <v>5</v>
      </c>
      <c r="BF520" s="6" t="s">
        <v>5</v>
      </c>
      <c r="BG520" s="6" t="s">
        <v>5</v>
      </c>
      <c r="BH520" s="6" t="s">
        <v>5</v>
      </c>
      <c r="BI520" s="7">
        <v>3.53</v>
      </c>
      <c r="BJ520" s="22">
        <v>0.84799999999999998</v>
      </c>
      <c r="BK520" s="6" t="s">
        <v>5</v>
      </c>
      <c r="BL520" s="2" t="s">
        <v>5</v>
      </c>
      <c r="BM520" s="2" t="s">
        <v>5</v>
      </c>
      <c r="BN520" s="2" t="s">
        <v>5</v>
      </c>
      <c r="BO520" s="2" t="s">
        <v>5</v>
      </c>
      <c r="BP520" s="2" t="s">
        <v>5</v>
      </c>
      <c r="BQ520" s="2" t="s">
        <v>5</v>
      </c>
      <c r="BR520" s="2" t="s">
        <v>5</v>
      </c>
      <c r="BS520" s="2" t="s">
        <v>5</v>
      </c>
      <c r="BT520" s="2" t="s">
        <v>5</v>
      </c>
      <c r="BU520" s="2" t="s">
        <v>5</v>
      </c>
      <c r="BV520" s="2" t="s">
        <v>5</v>
      </c>
      <c r="BW520" s="2" t="s">
        <v>5</v>
      </c>
      <c r="BX520" s="2" t="s">
        <v>5</v>
      </c>
      <c r="BY520" s="25" t="s">
        <v>5</v>
      </c>
      <c r="BZ520" s="25" t="s">
        <v>5</v>
      </c>
      <c r="CA520" s="6" t="s">
        <v>5</v>
      </c>
      <c r="CB520" s="6" t="s">
        <v>5</v>
      </c>
      <c r="CC520" s="6" t="s">
        <v>5</v>
      </c>
      <c r="CD520" s="6" t="s">
        <v>5</v>
      </c>
      <c r="CE520" s="6" t="s">
        <v>5</v>
      </c>
      <c r="CF520" s="16" t="s">
        <v>5</v>
      </c>
      <c r="CG520" s="16" t="s">
        <v>5</v>
      </c>
      <c r="CH520" s="18" t="s">
        <v>5</v>
      </c>
    </row>
    <row r="521" spans="2:86">
      <c r="B521" s="78" t="s">
        <v>473</v>
      </c>
      <c r="C521" s="79" t="s">
        <v>621</v>
      </c>
      <c r="D521" s="80" t="s">
        <v>621</v>
      </c>
      <c r="E521" s="1" t="s">
        <v>4</v>
      </c>
      <c r="F521" s="4">
        <v>66.2</v>
      </c>
      <c r="G521" s="4">
        <v>19.5</v>
      </c>
      <c r="H521" s="3" t="str">
        <f t="shared" si="27"/>
        <v>2L6X6X7/8X3/4</v>
      </c>
      <c r="I521" s="7">
        <v>6</v>
      </c>
      <c r="J521" s="5" t="s">
        <v>5</v>
      </c>
      <c r="K521" s="6" t="s">
        <v>5</v>
      </c>
      <c r="L521" s="6" t="s">
        <v>5</v>
      </c>
      <c r="M521" s="6" t="s">
        <v>5</v>
      </c>
      <c r="N521" s="6" t="s">
        <v>5</v>
      </c>
      <c r="O521" s="5" t="s">
        <v>5</v>
      </c>
      <c r="P521" s="5" t="s">
        <v>5</v>
      </c>
      <c r="Q521" s="7">
        <v>6</v>
      </c>
      <c r="R521" s="6" t="s">
        <v>5</v>
      </c>
      <c r="S521" s="6" t="s">
        <v>5</v>
      </c>
      <c r="T521" s="5" t="s">
        <v>5</v>
      </c>
      <c r="U521" s="8" t="s">
        <v>5</v>
      </c>
      <c r="V521" s="6" t="s">
        <v>5</v>
      </c>
      <c r="W521" s="8" t="s">
        <v>5</v>
      </c>
      <c r="X521" s="22">
        <v>0.875</v>
      </c>
      <c r="Y521" s="6" t="s">
        <v>5</v>
      </c>
      <c r="Z521" s="6" t="s">
        <v>5</v>
      </c>
      <c r="AA521" s="6" t="s">
        <v>5</v>
      </c>
      <c r="AB521" s="8" t="s">
        <v>5</v>
      </c>
      <c r="AC521" s="8" t="s">
        <v>5</v>
      </c>
      <c r="AD521" s="6" t="s">
        <v>5</v>
      </c>
      <c r="AE521" s="7">
        <v>1.81</v>
      </c>
      <c r="AF521" s="6" t="s">
        <v>5</v>
      </c>
      <c r="AG521" s="6" t="s">
        <v>5</v>
      </c>
      <c r="AH521" s="22">
        <v>0.81299999999999994</v>
      </c>
      <c r="AI521" s="6" t="s">
        <v>5</v>
      </c>
      <c r="AJ521" s="7">
        <v>6.86</v>
      </c>
      <c r="AK521" s="6" t="s">
        <v>5</v>
      </c>
      <c r="AL521" s="6" t="s">
        <v>5</v>
      </c>
      <c r="AM521" s="6" t="s">
        <v>5</v>
      </c>
      <c r="AN521" s="6" t="s">
        <v>5</v>
      </c>
      <c r="AO521" s="4">
        <v>63.8</v>
      </c>
      <c r="AP521" s="4">
        <v>27.4</v>
      </c>
      <c r="AQ521" s="4">
        <v>15.2</v>
      </c>
      <c r="AR521" s="7">
        <v>1.81</v>
      </c>
      <c r="AS521" s="6">
        <v>157</v>
      </c>
      <c r="AT521" s="6">
        <v>42.6</v>
      </c>
      <c r="AU521" s="6">
        <v>24.6</v>
      </c>
      <c r="AV521" s="7">
        <v>2.84</v>
      </c>
      <c r="AW521" s="6" t="s">
        <v>5</v>
      </c>
      <c r="AX521" s="6" t="s">
        <v>5</v>
      </c>
      <c r="AY521" s="6" t="s">
        <v>5</v>
      </c>
      <c r="AZ521" s="6" t="s">
        <v>5</v>
      </c>
      <c r="BA521" s="6" t="s">
        <v>5</v>
      </c>
      <c r="BB521" s="6" t="s">
        <v>5</v>
      </c>
      <c r="BC521" s="6" t="s">
        <v>5</v>
      </c>
      <c r="BD521" s="6" t="s">
        <v>5</v>
      </c>
      <c r="BE521" s="6" t="s">
        <v>5</v>
      </c>
      <c r="BF521" s="6" t="s">
        <v>5</v>
      </c>
      <c r="BG521" s="6" t="s">
        <v>5</v>
      </c>
      <c r="BH521" s="6" t="s">
        <v>5</v>
      </c>
      <c r="BI521" s="7">
        <v>3.63</v>
      </c>
      <c r="BJ521" s="22">
        <v>0.85699999999999998</v>
      </c>
      <c r="BK521" s="6" t="s">
        <v>5</v>
      </c>
      <c r="BL521" s="2" t="s">
        <v>5</v>
      </c>
      <c r="BM521" s="2" t="s">
        <v>5</v>
      </c>
      <c r="BN521" s="2" t="s">
        <v>5</v>
      </c>
      <c r="BO521" s="2" t="s">
        <v>5</v>
      </c>
      <c r="BP521" s="2" t="s">
        <v>5</v>
      </c>
      <c r="BQ521" s="2" t="s">
        <v>5</v>
      </c>
      <c r="BR521" s="2" t="s">
        <v>5</v>
      </c>
      <c r="BS521" s="2" t="s">
        <v>5</v>
      </c>
      <c r="BT521" s="2" t="s">
        <v>5</v>
      </c>
      <c r="BU521" s="2" t="s">
        <v>5</v>
      </c>
      <c r="BV521" s="2" t="s">
        <v>5</v>
      </c>
      <c r="BW521" s="2" t="s">
        <v>5</v>
      </c>
      <c r="BX521" s="2" t="s">
        <v>5</v>
      </c>
      <c r="BY521" s="25" t="s">
        <v>5</v>
      </c>
      <c r="BZ521" s="25" t="s">
        <v>5</v>
      </c>
      <c r="CA521" s="6" t="s">
        <v>5</v>
      </c>
      <c r="CB521" s="6" t="s">
        <v>5</v>
      </c>
      <c r="CC521" s="6" t="s">
        <v>5</v>
      </c>
      <c r="CD521" s="6" t="s">
        <v>5</v>
      </c>
      <c r="CE521" s="6" t="s">
        <v>5</v>
      </c>
      <c r="CF521" s="16" t="s">
        <v>5</v>
      </c>
      <c r="CG521" s="16" t="s">
        <v>5</v>
      </c>
      <c r="CH521" s="18" t="s">
        <v>5</v>
      </c>
    </row>
    <row r="522" spans="2:86">
      <c r="B522" s="78" t="s">
        <v>473</v>
      </c>
      <c r="C522" s="79" t="s">
        <v>622</v>
      </c>
      <c r="D522" s="80" t="s">
        <v>622</v>
      </c>
      <c r="E522" s="1" t="s">
        <v>4</v>
      </c>
      <c r="F522" s="4">
        <v>57.4</v>
      </c>
      <c r="G522" s="4">
        <v>16.899999999999999</v>
      </c>
      <c r="H522" s="3" t="str">
        <f t="shared" si="27"/>
        <v>2L6X6X3/4</v>
      </c>
      <c r="I522" s="7">
        <v>6</v>
      </c>
      <c r="J522" s="5" t="s">
        <v>5</v>
      </c>
      <c r="K522" s="6" t="s">
        <v>5</v>
      </c>
      <c r="L522" s="6" t="s">
        <v>5</v>
      </c>
      <c r="M522" s="6" t="s">
        <v>5</v>
      </c>
      <c r="N522" s="6" t="s">
        <v>5</v>
      </c>
      <c r="O522" s="5" t="s">
        <v>5</v>
      </c>
      <c r="P522" s="5" t="s">
        <v>5</v>
      </c>
      <c r="Q522" s="7">
        <v>6</v>
      </c>
      <c r="R522" s="6" t="s">
        <v>5</v>
      </c>
      <c r="S522" s="6" t="s">
        <v>5</v>
      </c>
      <c r="T522" s="5" t="s">
        <v>5</v>
      </c>
      <c r="U522" s="8" t="s">
        <v>5</v>
      </c>
      <c r="V522" s="6" t="s">
        <v>5</v>
      </c>
      <c r="W522" s="8" t="s">
        <v>5</v>
      </c>
      <c r="X522" s="22">
        <v>0.75</v>
      </c>
      <c r="Y522" s="6" t="s">
        <v>5</v>
      </c>
      <c r="Z522" s="6" t="s">
        <v>5</v>
      </c>
      <c r="AA522" s="6" t="s">
        <v>5</v>
      </c>
      <c r="AB522" s="8" t="s">
        <v>5</v>
      </c>
      <c r="AC522" s="8" t="s">
        <v>5</v>
      </c>
      <c r="AD522" s="6" t="s">
        <v>5</v>
      </c>
      <c r="AE522" s="7">
        <v>1.77</v>
      </c>
      <c r="AF522" s="6" t="s">
        <v>5</v>
      </c>
      <c r="AG522" s="6" t="s">
        <v>5</v>
      </c>
      <c r="AH522" s="22">
        <v>0.70499999999999996</v>
      </c>
      <c r="AI522" s="6" t="s">
        <v>5</v>
      </c>
      <c r="AJ522" s="7">
        <v>8</v>
      </c>
      <c r="AK522" s="6" t="s">
        <v>5</v>
      </c>
      <c r="AL522" s="6" t="s">
        <v>5</v>
      </c>
      <c r="AM522" s="6" t="s">
        <v>5</v>
      </c>
      <c r="AN522" s="6" t="s">
        <v>5</v>
      </c>
      <c r="AO522" s="4">
        <v>56.2</v>
      </c>
      <c r="AP522" s="4">
        <v>23.8</v>
      </c>
      <c r="AQ522" s="4">
        <v>13.3</v>
      </c>
      <c r="AR522" s="7">
        <v>1.82</v>
      </c>
      <c r="AS522" s="6">
        <v>109</v>
      </c>
      <c r="AT522" s="6">
        <v>29.9</v>
      </c>
      <c r="AU522" s="6">
        <v>18.2</v>
      </c>
      <c r="AV522" s="7">
        <v>2.54</v>
      </c>
      <c r="AW522" s="6" t="s">
        <v>5</v>
      </c>
      <c r="AX522" s="6" t="s">
        <v>5</v>
      </c>
      <c r="AY522" s="6" t="s">
        <v>5</v>
      </c>
      <c r="AZ522" s="6" t="s">
        <v>5</v>
      </c>
      <c r="BA522" s="6" t="s">
        <v>5</v>
      </c>
      <c r="BB522" s="6" t="s">
        <v>5</v>
      </c>
      <c r="BC522" s="6" t="s">
        <v>5</v>
      </c>
      <c r="BD522" s="6" t="s">
        <v>5</v>
      </c>
      <c r="BE522" s="6" t="s">
        <v>5</v>
      </c>
      <c r="BF522" s="6" t="s">
        <v>5</v>
      </c>
      <c r="BG522" s="6" t="s">
        <v>5</v>
      </c>
      <c r="BH522" s="6" t="s">
        <v>5</v>
      </c>
      <c r="BI522" s="7">
        <v>3.42</v>
      </c>
      <c r="BJ522" s="22">
        <v>0.83499999999999996</v>
      </c>
      <c r="BK522" s="6" t="s">
        <v>5</v>
      </c>
      <c r="BL522" s="2" t="s">
        <v>5</v>
      </c>
      <c r="BM522" s="2" t="s">
        <v>5</v>
      </c>
      <c r="BN522" s="2" t="s">
        <v>5</v>
      </c>
      <c r="BO522" s="2" t="s">
        <v>5</v>
      </c>
      <c r="BP522" s="2" t="s">
        <v>5</v>
      </c>
      <c r="BQ522" s="2" t="s">
        <v>5</v>
      </c>
      <c r="BR522" s="2" t="s">
        <v>5</v>
      </c>
      <c r="BS522" s="2" t="s">
        <v>5</v>
      </c>
      <c r="BT522" s="2" t="s">
        <v>5</v>
      </c>
      <c r="BU522" s="2" t="s">
        <v>5</v>
      </c>
      <c r="BV522" s="2" t="s">
        <v>5</v>
      </c>
      <c r="BW522" s="2" t="s">
        <v>5</v>
      </c>
      <c r="BX522" s="2" t="s">
        <v>5</v>
      </c>
      <c r="BY522" s="25" t="s">
        <v>5</v>
      </c>
      <c r="BZ522" s="25" t="s">
        <v>5</v>
      </c>
      <c r="CA522" s="6" t="s">
        <v>5</v>
      </c>
      <c r="CB522" s="6" t="s">
        <v>5</v>
      </c>
      <c r="CC522" s="6" t="s">
        <v>5</v>
      </c>
      <c r="CD522" s="6" t="s">
        <v>5</v>
      </c>
      <c r="CE522" s="6" t="s">
        <v>5</v>
      </c>
      <c r="CF522" s="16" t="s">
        <v>5</v>
      </c>
      <c r="CG522" s="16" t="s">
        <v>5</v>
      </c>
      <c r="CH522" s="18" t="s">
        <v>5</v>
      </c>
    </row>
    <row r="523" spans="2:86">
      <c r="B523" s="78" t="s">
        <v>473</v>
      </c>
      <c r="C523" s="79" t="s">
        <v>623</v>
      </c>
      <c r="D523" s="80" t="s">
        <v>623</v>
      </c>
      <c r="E523" s="1" t="s">
        <v>4</v>
      </c>
      <c r="F523" s="4">
        <v>57.4</v>
      </c>
      <c r="G523" s="4">
        <v>16.899999999999999</v>
      </c>
      <c r="H523" s="3" t="str">
        <f t="shared" si="27"/>
        <v>2L6X6X3/4X3/8</v>
      </c>
      <c r="I523" s="7">
        <v>6</v>
      </c>
      <c r="J523" s="5" t="s">
        <v>5</v>
      </c>
      <c r="K523" s="6" t="s">
        <v>5</v>
      </c>
      <c r="L523" s="6" t="s">
        <v>5</v>
      </c>
      <c r="M523" s="6" t="s">
        <v>5</v>
      </c>
      <c r="N523" s="6" t="s">
        <v>5</v>
      </c>
      <c r="O523" s="5" t="s">
        <v>5</v>
      </c>
      <c r="P523" s="5" t="s">
        <v>5</v>
      </c>
      <c r="Q523" s="7">
        <v>6</v>
      </c>
      <c r="R523" s="6" t="s">
        <v>5</v>
      </c>
      <c r="S523" s="6" t="s">
        <v>5</v>
      </c>
      <c r="T523" s="5" t="s">
        <v>5</v>
      </c>
      <c r="U523" s="8" t="s">
        <v>5</v>
      </c>
      <c r="V523" s="6" t="s">
        <v>5</v>
      </c>
      <c r="W523" s="8" t="s">
        <v>5</v>
      </c>
      <c r="X523" s="22">
        <v>0.75</v>
      </c>
      <c r="Y523" s="6" t="s">
        <v>5</v>
      </c>
      <c r="Z523" s="6" t="s">
        <v>5</v>
      </c>
      <c r="AA523" s="6" t="s">
        <v>5</v>
      </c>
      <c r="AB523" s="8" t="s">
        <v>5</v>
      </c>
      <c r="AC523" s="8" t="s">
        <v>5</v>
      </c>
      <c r="AD523" s="6" t="s">
        <v>5</v>
      </c>
      <c r="AE523" s="7">
        <v>1.77</v>
      </c>
      <c r="AF523" s="6" t="s">
        <v>5</v>
      </c>
      <c r="AG523" s="6" t="s">
        <v>5</v>
      </c>
      <c r="AH523" s="22">
        <v>0.70499999999999996</v>
      </c>
      <c r="AI523" s="6" t="s">
        <v>5</v>
      </c>
      <c r="AJ523" s="7">
        <v>8</v>
      </c>
      <c r="AK523" s="6" t="s">
        <v>5</v>
      </c>
      <c r="AL523" s="6" t="s">
        <v>5</v>
      </c>
      <c r="AM523" s="6" t="s">
        <v>5</v>
      </c>
      <c r="AN523" s="6" t="s">
        <v>5</v>
      </c>
      <c r="AO523" s="4">
        <v>56.2</v>
      </c>
      <c r="AP523" s="4">
        <v>23.8</v>
      </c>
      <c r="AQ523" s="4">
        <v>13.3</v>
      </c>
      <c r="AR523" s="7">
        <v>1.82</v>
      </c>
      <c r="AS523" s="6">
        <v>120</v>
      </c>
      <c r="AT523" s="6">
        <v>33.1</v>
      </c>
      <c r="AU523" s="6">
        <v>19.399999999999999</v>
      </c>
      <c r="AV523" s="7">
        <v>2.67</v>
      </c>
      <c r="AW523" s="6" t="s">
        <v>5</v>
      </c>
      <c r="AX523" s="6" t="s">
        <v>5</v>
      </c>
      <c r="AY523" s="6" t="s">
        <v>5</v>
      </c>
      <c r="AZ523" s="6" t="s">
        <v>5</v>
      </c>
      <c r="BA523" s="6" t="s">
        <v>5</v>
      </c>
      <c r="BB523" s="6" t="s">
        <v>5</v>
      </c>
      <c r="BC523" s="6" t="s">
        <v>5</v>
      </c>
      <c r="BD523" s="6" t="s">
        <v>5</v>
      </c>
      <c r="BE523" s="6" t="s">
        <v>5</v>
      </c>
      <c r="BF523" s="6" t="s">
        <v>5</v>
      </c>
      <c r="BG523" s="6" t="s">
        <v>5</v>
      </c>
      <c r="BH523" s="6" t="s">
        <v>5</v>
      </c>
      <c r="BI523" s="7">
        <v>3.52</v>
      </c>
      <c r="BJ523" s="22">
        <v>0.84399999999999997</v>
      </c>
      <c r="BK523" s="6" t="s">
        <v>5</v>
      </c>
      <c r="BL523" s="2" t="s">
        <v>5</v>
      </c>
      <c r="BM523" s="2" t="s">
        <v>5</v>
      </c>
      <c r="BN523" s="2" t="s">
        <v>5</v>
      </c>
      <c r="BO523" s="2" t="s">
        <v>5</v>
      </c>
      <c r="BP523" s="2" t="s">
        <v>5</v>
      </c>
      <c r="BQ523" s="2" t="s">
        <v>5</v>
      </c>
      <c r="BR523" s="2" t="s">
        <v>5</v>
      </c>
      <c r="BS523" s="2" t="s">
        <v>5</v>
      </c>
      <c r="BT523" s="2" t="s">
        <v>5</v>
      </c>
      <c r="BU523" s="2" t="s">
        <v>5</v>
      </c>
      <c r="BV523" s="2" t="s">
        <v>5</v>
      </c>
      <c r="BW523" s="2" t="s">
        <v>5</v>
      </c>
      <c r="BX523" s="2" t="s">
        <v>5</v>
      </c>
      <c r="BY523" s="25" t="s">
        <v>5</v>
      </c>
      <c r="BZ523" s="25" t="s">
        <v>5</v>
      </c>
      <c r="CA523" s="6" t="s">
        <v>5</v>
      </c>
      <c r="CB523" s="6" t="s">
        <v>5</v>
      </c>
      <c r="CC523" s="6" t="s">
        <v>5</v>
      </c>
      <c r="CD523" s="6" t="s">
        <v>5</v>
      </c>
      <c r="CE523" s="6" t="s">
        <v>5</v>
      </c>
      <c r="CF523" s="16" t="s">
        <v>5</v>
      </c>
      <c r="CG523" s="16" t="s">
        <v>5</v>
      </c>
      <c r="CH523" s="18" t="s">
        <v>5</v>
      </c>
    </row>
    <row r="524" spans="2:86">
      <c r="B524" s="78" t="s">
        <v>473</v>
      </c>
      <c r="C524" s="79" t="s">
        <v>624</v>
      </c>
      <c r="D524" s="80" t="s">
        <v>624</v>
      </c>
      <c r="E524" s="1" t="s">
        <v>4</v>
      </c>
      <c r="F524" s="4">
        <v>57.4</v>
      </c>
      <c r="G524" s="4">
        <v>16.899999999999999</v>
      </c>
      <c r="H524" s="3" t="str">
        <f t="shared" si="27"/>
        <v>2L6X6X3/4X3/4</v>
      </c>
      <c r="I524" s="7">
        <v>6</v>
      </c>
      <c r="J524" s="5" t="s">
        <v>5</v>
      </c>
      <c r="K524" s="6" t="s">
        <v>5</v>
      </c>
      <c r="L524" s="6" t="s">
        <v>5</v>
      </c>
      <c r="M524" s="6" t="s">
        <v>5</v>
      </c>
      <c r="N524" s="6" t="s">
        <v>5</v>
      </c>
      <c r="O524" s="5" t="s">
        <v>5</v>
      </c>
      <c r="P524" s="5" t="s">
        <v>5</v>
      </c>
      <c r="Q524" s="7">
        <v>6</v>
      </c>
      <c r="R524" s="6" t="s">
        <v>5</v>
      </c>
      <c r="S524" s="6" t="s">
        <v>5</v>
      </c>
      <c r="T524" s="5" t="s">
        <v>5</v>
      </c>
      <c r="U524" s="8" t="s">
        <v>5</v>
      </c>
      <c r="V524" s="6" t="s">
        <v>5</v>
      </c>
      <c r="W524" s="8" t="s">
        <v>5</v>
      </c>
      <c r="X524" s="22">
        <v>0.75</v>
      </c>
      <c r="Y524" s="6" t="s">
        <v>5</v>
      </c>
      <c r="Z524" s="6" t="s">
        <v>5</v>
      </c>
      <c r="AA524" s="6" t="s">
        <v>5</v>
      </c>
      <c r="AB524" s="8" t="s">
        <v>5</v>
      </c>
      <c r="AC524" s="8" t="s">
        <v>5</v>
      </c>
      <c r="AD524" s="6" t="s">
        <v>5</v>
      </c>
      <c r="AE524" s="7">
        <v>1.77</v>
      </c>
      <c r="AF524" s="6" t="s">
        <v>5</v>
      </c>
      <c r="AG524" s="6" t="s">
        <v>5</v>
      </c>
      <c r="AH524" s="22">
        <v>0.70499999999999996</v>
      </c>
      <c r="AI524" s="6" t="s">
        <v>5</v>
      </c>
      <c r="AJ524" s="7">
        <v>8</v>
      </c>
      <c r="AK524" s="6" t="s">
        <v>5</v>
      </c>
      <c r="AL524" s="6" t="s">
        <v>5</v>
      </c>
      <c r="AM524" s="6" t="s">
        <v>5</v>
      </c>
      <c r="AN524" s="6" t="s">
        <v>5</v>
      </c>
      <c r="AO524" s="4">
        <v>56.2</v>
      </c>
      <c r="AP524" s="4">
        <v>23.8</v>
      </c>
      <c r="AQ524" s="4">
        <v>13.3</v>
      </c>
      <c r="AR524" s="7">
        <v>1.82</v>
      </c>
      <c r="AS524" s="6">
        <v>133</v>
      </c>
      <c r="AT524" s="6">
        <v>36.299999999999997</v>
      </c>
      <c r="AU524" s="6">
        <v>20.9</v>
      </c>
      <c r="AV524" s="7">
        <v>2.81</v>
      </c>
      <c r="AW524" s="6" t="s">
        <v>5</v>
      </c>
      <c r="AX524" s="6" t="s">
        <v>5</v>
      </c>
      <c r="AY524" s="6" t="s">
        <v>5</v>
      </c>
      <c r="AZ524" s="6" t="s">
        <v>5</v>
      </c>
      <c r="BA524" s="6" t="s">
        <v>5</v>
      </c>
      <c r="BB524" s="6" t="s">
        <v>5</v>
      </c>
      <c r="BC524" s="6" t="s">
        <v>5</v>
      </c>
      <c r="BD524" s="6" t="s">
        <v>5</v>
      </c>
      <c r="BE524" s="6" t="s">
        <v>5</v>
      </c>
      <c r="BF524" s="6" t="s">
        <v>5</v>
      </c>
      <c r="BG524" s="6" t="s">
        <v>5</v>
      </c>
      <c r="BH524" s="6" t="s">
        <v>5</v>
      </c>
      <c r="BI524" s="7">
        <v>3.63</v>
      </c>
      <c r="BJ524" s="22">
        <v>0.85299999999999998</v>
      </c>
      <c r="BK524" s="6" t="s">
        <v>5</v>
      </c>
      <c r="BL524" s="2" t="s">
        <v>5</v>
      </c>
      <c r="BM524" s="2" t="s">
        <v>5</v>
      </c>
      <c r="BN524" s="2" t="s">
        <v>5</v>
      </c>
      <c r="BO524" s="2" t="s">
        <v>5</v>
      </c>
      <c r="BP524" s="2" t="s">
        <v>5</v>
      </c>
      <c r="BQ524" s="2" t="s">
        <v>5</v>
      </c>
      <c r="BR524" s="2" t="s">
        <v>5</v>
      </c>
      <c r="BS524" s="2" t="s">
        <v>5</v>
      </c>
      <c r="BT524" s="2" t="s">
        <v>5</v>
      </c>
      <c r="BU524" s="2" t="s">
        <v>5</v>
      </c>
      <c r="BV524" s="2" t="s">
        <v>5</v>
      </c>
      <c r="BW524" s="2" t="s">
        <v>5</v>
      </c>
      <c r="BX524" s="2" t="s">
        <v>5</v>
      </c>
      <c r="BY524" s="25" t="s">
        <v>5</v>
      </c>
      <c r="BZ524" s="25" t="s">
        <v>5</v>
      </c>
      <c r="CA524" s="6" t="s">
        <v>5</v>
      </c>
      <c r="CB524" s="6" t="s">
        <v>5</v>
      </c>
      <c r="CC524" s="6" t="s">
        <v>5</v>
      </c>
      <c r="CD524" s="6" t="s">
        <v>5</v>
      </c>
      <c r="CE524" s="6" t="s">
        <v>5</v>
      </c>
      <c r="CF524" s="16" t="s">
        <v>5</v>
      </c>
      <c r="CG524" s="16" t="s">
        <v>5</v>
      </c>
      <c r="CH524" s="18" t="s">
        <v>5</v>
      </c>
    </row>
    <row r="525" spans="2:86">
      <c r="B525" s="78" t="s">
        <v>473</v>
      </c>
      <c r="C525" s="79" t="s">
        <v>625</v>
      </c>
      <c r="D525" s="80" t="s">
        <v>625</v>
      </c>
      <c r="E525" s="1" t="s">
        <v>4</v>
      </c>
      <c r="F525" s="4">
        <v>48.4</v>
      </c>
      <c r="G525" s="4">
        <v>14.3</v>
      </c>
      <c r="H525" s="3" t="str">
        <f t="shared" si="27"/>
        <v>2L6X6X5/8</v>
      </c>
      <c r="I525" s="7">
        <v>6</v>
      </c>
      <c r="J525" s="5" t="s">
        <v>5</v>
      </c>
      <c r="K525" s="6" t="s">
        <v>5</v>
      </c>
      <c r="L525" s="6" t="s">
        <v>5</v>
      </c>
      <c r="M525" s="6" t="s">
        <v>5</v>
      </c>
      <c r="N525" s="6" t="s">
        <v>5</v>
      </c>
      <c r="O525" s="5" t="s">
        <v>5</v>
      </c>
      <c r="P525" s="5" t="s">
        <v>5</v>
      </c>
      <c r="Q525" s="7">
        <v>6</v>
      </c>
      <c r="R525" s="6" t="s">
        <v>5</v>
      </c>
      <c r="S525" s="6" t="s">
        <v>5</v>
      </c>
      <c r="T525" s="5" t="s">
        <v>5</v>
      </c>
      <c r="U525" s="8" t="s">
        <v>5</v>
      </c>
      <c r="V525" s="6" t="s">
        <v>5</v>
      </c>
      <c r="W525" s="8" t="s">
        <v>5</v>
      </c>
      <c r="X525" s="22">
        <v>0.625</v>
      </c>
      <c r="Y525" s="6" t="s">
        <v>5</v>
      </c>
      <c r="Z525" s="6" t="s">
        <v>5</v>
      </c>
      <c r="AA525" s="6" t="s">
        <v>5</v>
      </c>
      <c r="AB525" s="8" t="s">
        <v>5</v>
      </c>
      <c r="AC525" s="8" t="s">
        <v>5</v>
      </c>
      <c r="AD525" s="6" t="s">
        <v>5</v>
      </c>
      <c r="AE525" s="7">
        <v>1.72</v>
      </c>
      <c r="AF525" s="6" t="s">
        <v>5</v>
      </c>
      <c r="AG525" s="6" t="s">
        <v>5</v>
      </c>
      <c r="AH525" s="22">
        <v>0.59399999999999997</v>
      </c>
      <c r="AI525" s="6" t="s">
        <v>5</v>
      </c>
      <c r="AJ525" s="7">
        <v>9.6</v>
      </c>
      <c r="AK525" s="6" t="s">
        <v>5</v>
      </c>
      <c r="AL525" s="6" t="s">
        <v>5</v>
      </c>
      <c r="AM525" s="6" t="s">
        <v>5</v>
      </c>
      <c r="AN525" s="6" t="s">
        <v>5</v>
      </c>
      <c r="AO525" s="4">
        <v>48.2</v>
      </c>
      <c r="AP525" s="4">
        <v>20.2</v>
      </c>
      <c r="AQ525" s="4">
        <v>11.3</v>
      </c>
      <c r="AR525" s="7">
        <v>1.84</v>
      </c>
      <c r="AS525" s="6">
        <v>90.8</v>
      </c>
      <c r="AT525" s="6">
        <v>24.5</v>
      </c>
      <c r="AU525" s="6">
        <v>15.1</v>
      </c>
      <c r="AV525" s="7">
        <v>2.52</v>
      </c>
      <c r="AW525" s="6" t="s">
        <v>5</v>
      </c>
      <c r="AX525" s="6" t="s">
        <v>5</v>
      </c>
      <c r="AY525" s="6" t="s">
        <v>5</v>
      </c>
      <c r="AZ525" s="6" t="s">
        <v>5</v>
      </c>
      <c r="BA525" s="6" t="s">
        <v>5</v>
      </c>
      <c r="BB525" s="6" t="s">
        <v>5</v>
      </c>
      <c r="BC525" s="6" t="s">
        <v>5</v>
      </c>
      <c r="BD525" s="6" t="s">
        <v>5</v>
      </c>
      <c r="BE525" s="6" t="s">
        <v>5</v>
      </c>
      <c r="BF525" s="6" t="s">
        <v>5</v>
      </c>
      <c r="BG525" s="6" t="s">
        <v>5</v>
      </c>
      <c r="BH525" s="6" t="s">
        <v>5</v>
      </c>
      <c r="BI525" s="7">
        <v>3.42</v>
      </c>
      <c r="BJ525" s="22">
        <v>0.83099999999999996</v>
      </c>
      <c r="BK525" s="6" t="s">
        <v>5</v>
      </c>
      <c r="BL525" s="2" t="s">
        <v>5</v>
      </c>
      <c r="BM525" s="2" t="s">
        <v>5</v>
      </c>
      <c r="BN525" s="2" t="s">
        <v>5</v>
      </c>
      <c r="BO525" s="2" t="s">
        <v>5</v>
      </c>
      <c r="BP525" s="2" t="s">
        <v>5</v>
      </c>
      <c r="BQ525" s="2" t="s">
        <v>5</v>
      </c>
      <c r="BR525" s="2" t="s">
        <v>5</v>
      </c>
      <c r="BS525" s="2" t="s">
        <v>5</v>
      </c>
      <c r="BT525" s="2" t="s">
        <v>5</v>
      </c>
      <c r="BU525" s="2" t="s">
        <v>5</v>
      </c>
      <c r="BV525" s="2" t="s">
        <v>5</v>
      </c>
      <c r="BW525" s="2" t="s">
        <v>5</v>
      </c>
      <c r="BX525" s="2" t="s">
        <v>5</v>
      </c>
      <c r="BY525" s="25" t="s">
        <v>5</v>
      </c>
      <c r="BZ525" s="25" t="s">
        <v>5</v>
      </c>
      <c r="CA525" s="6" t="s">
        <v>5</v>
      </c>
      <c r="CB525" s="6" t="s">
        <v>5</v>
      </c>
      <c r="CC525" s="6" t="s">
        <v>5</v>
      </c>
      <c r="CD525" s="6" t="s">
        <v>5</v>
      </c>
      <c r="CE525" s="6" t="s">
        <v>5</v>
      </c>
      <c r="CF525" s="16" t="s">
        <v>5</v>
      </c>
      <c r="CG525" s="16" t="s">
        <v>5</v>
      </c>
      <c r="CH525" s="18" t="s">
        <v>5</v>
      </c>
    </row>
    <row r="526" spans="2:86">
      <c r="B526" s="78" t="s">
        <v>473</v>
      </c>
      <c r="C526" s="79" t="s">
        <v>626</v>
      </c>
      <c r="D526" s="80" t="s">
        <v>626</v>
      </c>
      <c r="E526" s="1" t="s">
        <v>4</v>
      </c>
      <c r="F526" s="4">
        <v>48.4</v>
      </c>
      <c r="G526" s="4">
        <v>14.3</v>
      </c>
      <c r="H526" s="3" t="str">
        <f t="shared" si="27"/>
        <v>2L6X6X5/8X3/8</v>
      </c>
      <c r="I526" s="7">
        <v>6</v>
      </c>
      <c r="J526" s="5" t="s">
        <v>5</v>
      </c>
      <c r="K526" s="6" t="s">
        <v>5</v>
      </c>
      <c r="L526" s="6" t="s">
        <v>5</v>
      </c>
      <c r="M526" s="6" t="s">
        <v>5</v>
      </c>
      <c r="N526" s="6" t="s">
        <v>5</v>
      </c>
      <c r="O526" s="5" t="s">
        <v>5</v>
      </c>
      <c r="P526" s="5" t="s">
        <v>5</v>
      </c>
      <c r="Q526" s="7">
        <v>6</v>
      </c>
      <c r="R526" s="6" t="s">
        <v>5</v>
      </c>
      <c r="S526" s="6" t="s">
        <v>5</v>
      </c>
      <c r="T526" s="5" t="s">
        <v>5</v>
      </c>
      <c r="U526" s="8" t="s">
        <v>5</v>
      </c>
      <c r="V526" s="6" t="s">
        <v>5</v>
      </c>
      <c r="W526" s="8" t="s">
        <v>5</v>
      </c>
      <c r="X526" s="22">
        <v>0.625</v>
      </c>
      <c r="Y526" s="6" t="s">
        <v>5</v>
      </c>
      <c r="Z526" s="6" t="s">
        <v>5</v>
      </c>
      <c r="AA526" s="6" t="s">
        <v>5</v>
      </c>
      <c r="AB526" s="8" t="s">
        <v>5</v>
      </c>
      <c r="AC526" s="8" t="s">
        <v>5</v>
      </c>
      <c r="AD526" s="6" t="s">
        <v>5</v>
      </c>
      <c r="AE526" s="7">
        <v>1.72</v>
      </c>
      <c r="AF526" s="6" t="s">
        <v>5</v>
      </c>
      <c r="AG526" s="6" t="s">
        <v>5</v>
      </c>
      <c r="AH526" s="22">
        <v>0.59399999999999997</v>
      </c>
      <c r="AI526" s="6" t="s">
        <v>5</v>
      </c>
      <c r="AJ526" s="7">
        <v>9.6</v>
      </c>
      <c r="AK526" s="6" t="s">
        <v>5</v>
      </c>
      <c r="AL526" s="6" t="s">
        <v>5</v>
      </c>
      <c r="AM526" s="6" t="s">
        <v>5</v>
      </c>
      <c r="AN526" s="6" t="s">
        <v>5</v>
      </c>
      <c r="AO526" s="4">
        <v>48.2</v>
      </c>
      <c r="AP526" s="4">
        <v>20.2</v>
      </c>
      <c r="AQ526" s="4">
        <v>11.3</v>
      </c>
      <c r="AR526" s="7">
        <v>1.84</v>
      </c>
      <c r="AS526" s="6">
        <v>100</v>
      </c>
      <c r="AT526" s="6">
        <v>27.2</v>
      </c>
      <c r="AU526" s="6">
        <v>16.2</v>
      </c>
      <c r="AV526" s="7">
        <v>2.65</v>
      </c>
      <c r="AW526" s="6" t="s">
        <v>5</v>
      </c>
      <c r="AX526" s="6" t="s">
        <v>5</v>
      </c>
      <c r="AY526" s="6" t="s">
        <v>5</v>
      </c>
      <c r="AZ526" s="6" t="s">
        <v>5</v>
      </c>
      <c r="BA526" s="6" t="s">
        <v>5</v>
      </c>
      <c r="BB526" s="6" t="s">
        <v>5</v>
      </c>
      <c r="BC526" s="6" t="s">
        <v>5</v>
      </c>
      <c r="BD526" s="6" t="s">
        <v>5</v>
      </c>
      <c r="BE526" s="6" t="s">
        <v>5</v>
      </c>
      <c r="BF526" s="6" t="s">
        <v>5</v>
      </c>
      <c r="BG526" s="6" t="s">
        <v>5</v>
      </c>
      <c r="BH526" s="6" t="s">
        <v>5</v>
      </c>
      <c r="BI526" s="7">
        <v>3.52</v>
      </c>
      <c r="BJ526" s="22">
        <v>0.84</v>
      </c>
      <c r="BK526" s="6" t="s">
        <v>5</v>
      </c>
      <c r="BL526" s="2" t="s">
        <v>5</v>
      </c>
      <c r="BM526" s="2" t="s">
        <v>5</v>
      </c>
      <c r="BN526" s="2" t="s">
        <v>5</v>
      </c>
      <c r="BO526" s="2" t="s">
        <v>5</v>
      </c>
      <c r="BP526" s="2" t="s">
        <v>5</v>
      </c>
      <c r="BQ526" s="2" t="s">
        <v>5</v>
      </c>
      <c r="BR526" s="2" t="s">
        <v>5</v>
      </c>
      <c r="BS526" s="2" t="s">
        <v>5</v>
      </c>
      <c r="BT526" s="2" t="s">
        <v>5</v>
      </c>
      <c r="BU526" s="2" t="s">
        <v>5</v>
      </c>
      <c r="BV526" s="2" t="s">
        <v>5</v>
      </c>
      <c r="BW526" s="2" t="s">
        <v>5</v>
      </c>
      <c r="BX526" s="2" t="s">
        <v>5</v>
      </c>
      <c r="BY526" s="25" t="s">
        <v>5</v>
      </c>
      <c r="BZ526" s="25" t="s">
        <v>5</v>
      </c>
      <c r="CA526" s="6" t="s">
        <v>5</v>
      </c>
      <c r="CB526" s="6" t="s">
        <v>5</v>
      </c>
      <c r="CC526" s="6" t="s">
        <v>5</v>
      </c>
      <c r="CD526" s="6" t="s">
        <v>5</v>
      </c>
      <c r="CE526" s="6" t="s">
        <v>5</v>
      </c>
      <c r="CF526" s="16" t="s">
        <v>5</v>
      </c>
      <c r="CG526" s="16" t="s">
        <v>5</v>
      </c>
      <c r="CH526" s="18" t="s">
        <v>5</v>
      </c>
    </row>
    <row r="527" spans="2:86">
      <c r="B527" s="78" t="s">
        <v>473</v>
      </c>
      <c r="C527" s="79" t="s">
        <v>627</v>
      </c>
      <c r="D527" s="80" t="s">
        <v>627</v>
      </c>
      <c r="E527" s="1" t="s">
        <v>4</v>
      </c>
      <c r="F527" s="4">
        <v>48.4</v>
      </c>
      <c r="G527" s="4">
        <v>14.3</v>
      </c>
      <c r="H527" s="3" t="str">
        <f t="shared" si="27"/>
        <v>2L6X6X5/8X3/4</v>
      </c>
      <c r="I527" s="7">
        <v>6</v>
      </c>
      <c r="J527" s="5" t="s">
        <v>5</v>
      </c>
      <c r="K527" s="6" t="s">
        <v>5</v>
      </c>
      <c r="L527" s="6" t="s">
        <v>5</v>
      </c>
      <c r="M527" s="6" t="s">
        <v>5</v>
      </c>
      <c r="N527" s="6" t="s">
        <v>5</v>
      </c>
      <c r="O527" s="5" t="s">
        <v>5</v>
      </c>
      <c r="P527" s="5" t="s">
        <v>5</v>
      </c>
      <c r="Q527" s="7">
        <v>6</v>
      </c>
      <c r="R527" s="6" t="s">
        <v>5</v>
      </c>
      <c r="S527" s="6" t="s">
        <v>5</v>
      </c>
      <c r="T527" s="5" t="s">
        <v>5</v>
      </c>
      <c r="U527" s="8" t="s">
        <v>5</v>
      </c>
      <c r="V527" s="6" t="s">
        <v>5</v>
      </c>
      <c r="W527" s="8" t="s">
        <v>5</v>
      </c>
      <c r="X527" s="22">
        <v>0.625</v>
      </c>
      <c r="Y527" s="6" t="s">
        <v>5</v>
      </c>
      <c r="Z527" s="6" t="s">
        <v>5</v>
      </c>
      <c r="AA527" s="6" t="s">
        <v>5</v>
      </c>
      <c r="AB527" s="8" t="s">
        <v>5</v>
      </c>
      <c r="AC527" s="8" t="s">
        <v>5</v>
      </c>
      <c r="AD527" s="6" t="s">
        <v>5</v>
      </c>
      <c r="AE527" s="7">
        <v>1.72</v>
      </c>
      <c r="AF527" s="6" t="s">
        <v>5</v>
      </c>
      <c r="AG527" s="6" t="s">
        <v>5</v>
      </c>
      <c r="AH527" s="22">
        <v>0.59399999999999997</v>
      </c>
      <c r="AI527" s="6" t="s">
        <v>5</v>
      </c>
      <c r="AJ527" s="7">
        <v>9.6</v>
      </c>
      <c r="AK527" s="6" t="s">
        <v>5</v>
      </c>
      <c r="AL527" s="6" t="s">
        <v>5</v>
      </c>
      <c r="AM527" s="6" t="s">
        <v>5</v>
      </c>
      <c r="AN527" s="6" t="s">
        <v>5</v>
      </c>
      <c r="AO527" s="4">
        <v>48.2</v>
      </c>
      <c r="AP527" s="4">
        <v>20.2</v>
      </c>
      <c r="AQ527" s="4">
        <v>11.3</v>
      </c>
      <c r="AR527" s="7">
        <v>1.84</v>
      </c>
      <c r="AS527" s="6">
        <v>111</v>
      </c>
      <c r="AT527" s="6">
        <v>29.9</v>
      </c>
      <c r="AU527" s="6">
        <v>17.399999999999999</v>
      </c>
      <c r="AV527" s="7">
        <v>2.79</v>
      </c>
      <c r="AW527" s="6" t="s">
        <v>5</v>
      </c>
      <c r="AX527" s="6" t="s">
        <v>5</v>
      </c>
      <c r="AY527" s="6" t="s">
        <v>5</v>
      </c>
      <c r="AZ527" s="6" t="s">
        <v>5</v>
      </c>
      <c r="BA527" s="6" t="s">
        <v>5</v>
      </c>
      <c r="BB527" s="6" t="s">
        <v>5</v>
      </c>
      <c r="BC527" s="6" t="s">
        <v>5</v>
      </c>
      <c r="BD527" s="6" t="s">
        <v>5</v>
      </c>
      <c r="BE527" s="6" t="s">
        <v>5</v>
      </c>
      <c r="BF527" s="6" t="s">
        <v>5</v>
      </c>
      <c r="BG527" s="6" t="s">
        <v>5</v>
      </c>
      <c r="BH527" s="6" t="s">
        <v>5</v>
      </c>
      <c r="BI527" s="7">
        <v>3.62</v>
      </c>
      <c r="BJ527" s="22">
        <v>0.84899999999999998</v>
      </c>
      <c r="BK527" s="6" t="s">
        <v>5</v>
      </c>
      <c r="BL527" s="2" t="s">
        <v>5</v>
      </c>
      <c r="BM527" s="2" t="s">
        <v>5</v>
      </c>
      <c r="BN527" s="2" t="s">
        <v>5</v>
      </c>
      <c r="BO527" s="2" t="s">
        <v>5</v>
      </c>
      <c r="BP527" s="2" t="s">
        <v>5</v>
      </c>
      <c r="BQ527" s="2" t="s">
        <v>5</v>
      </c>
      <c r="BR527" s="2" t="s">
        <v>5</v>
      </c>
      <c r="BS527" s="2" t="s">
        <v>5</v>
      </c>
      <c r="BT527" s="2" t="s">
        <v>5</v>
      </c>
      <c r="BU527" s="2" t="s">
        <v>5</v>
      </c>
      <c r="BV527" s="2" t="s">
        <v>5</v>
      </c>
      <c r="BW527" s="2" t="s">
        <v>5</v>
      </c>
      <c r="BX527" s="2" t="s">
        <v>5</v>
      </c>
      <c r="BY527" s="25" t="s">
        <v>5</v>
      </c>
      <c r="BZ527" s="25" t="s">
        <v>5</v>
      </c>
      <c r="CA527" s="6" t="s">
        <v>5</v>
      </c>
      <c r="CB527" s="6" t="s">
        <v>5</v>
      </c>
      <c r="CC527" s="6" t="s">
        <v>5</v>
      </c>
      <c r="CD527" s="6" t="s">
        <v>5</v>
      </c>
      <c r="CE527" s="6" t="s">
        <v>5</v>
      </c>
      <c r="CF527" s="16" t="s">
        <v>5</v>
      </c>
      <c r="CG527" s="16" t="s">
        <v>5</v>
      </c>
      <c r="CH527" s="18" t="s">
        <v>5</v>
      </c>
    </row>
    <row r="528" spans="2:86">
      <c r="B528" s="78" t="s">
        <v>473</v>
      </c>
      <c r="C528" s="79" t="s">
        <v>628</v>
      </c>
      <c r="D528" s="80" t="s">
        <v>628</v>
      </c>
      <c r="E528" s="1" t="s">
        <v>4</v>
      </c>
      <c r="F528" s="4">
        <v>43.8</v>
      </c>
      <c r="G528" s="4">
        <v>12.9</v>
      </c>
      <c r="H528" s="3" t="str">
        <f t="shared" si="27"/>
        <v>2L6X6X9/16</v>
      </c>
      <c r="I528" s="7">
        <v>6</v>
      </c>
      <c r="J528" s="5" t="s">
        <v>5</v>
      </c>
      <c r="K528" s="6" t="s">
        <v>5</v>
      </c>
      <c r="L528" s="6" t="s">
        <v>5</v>
      </c>
      <c r="M528" s="6" t="s">
        <v>5</v>
      </c>
      <c r="N528" s="6" t="s">
        <v>5</v>
      </c>
      <c r="O528" s="5" t="s">
        <v>5</v>
      </c>
      <c r="P528" s="5" t="s">
        <v>5</v>
      </c>
      <c r="Q528" s="7">
        <v>6</v>
      </c>
      <c r="R528" s="6" t="s">
        <v>5</v>
      </c>
      <c r="S528" s="6" t="s">
        <v>5</v>
      </c>
      <c r="T528" s="5" t="s">
        <v>5</v>
      </c>
      <c r="U528" s="8" t="s">
        <v>5</v>
      </c>
      <c r="V528" s="6" t="s">
        <v>5</v>
      </c>
      <c r="W528" s="8" t="s">
        <v>5</v>
      </c>
      <c r="X528" s="22">
        <v>0.56299999999999994</v>
      </c>
      <c r="Y528" s="6" t="s">
        <v>5</v>
      </c>
      <c r="Z528" s="6" t="s">
        <v>5</v>
      </c>
      <c r="AA528" s="6" t="s">
        <v>5</v>
      </c>
      <c r="AB528" s="8" t="s">
        <v>5</v>
      </c>
      <c r="AC528" s="8" t="s">
        <v>5</v>
      </c>
      <c r="AD528" s="6" t="s">
        <v>5</v>
      </c>
      <c r="AE528" s="7">
        <v>1.7</v>
      </c>
      <c r="AF528" s="6" t="s">
        <v>5</v>
      </c>
      <c r="AG528" s="6" t="s">
        <v>5</v>
      </c>
      <c r="AH528" s="22">
        <v>0.53800000000000003</v>
      </c>
      <c r="AI528" s="6" t="s">
        <v>5</v>
      </c>
      <c r="AJ528" s="4">
        <v>10.7</v>
      </c>
      <c r="AK528" s="6" t="s">
        <v>5</v>
      </c>
      <c r="AL528" s="6" t="s">
        <v>5</v>
      </c>
      <c r="AM528" s="6" t="s">
        <v>5</v>
      </c>
      <c r="AN528" s="6" t="s">
        <v>5</v>
      </c>
      <c r="AO528" s="4">
        <v>44</v>
      </c>
      <c r="AP528" s="4">
        <v>18.399999999999999</v>
      </c>
      <c r="AQ528" s="4">
        <v>10.199999999999999</v>
      </c>
      <c r="AR528" s="7">
        <v>1.85</v>
      </c>
      <c r="AS528" s="6">
        <v>81.3</v>
      </c>
      <c r="AT528" s="6">
        <v>21.9</v>
      </c>
      <c r="AU528" s="4">
        <v>13.6</v>
      </c>
      <c r="AV528" s="7">
        <v>2.5099999999999998</v>
      </c>
      <c r="AW528" s="6" t="s">
        <v>5</v>
      </c>
      <c r="AX528" s="6" t="s">
        <v>5</v>
      </c>
      <c r="AY528" s="6" t="s">
        <v>5</v>
      </c>
      <c r="AZ528" s="6" t="s">
        <v>5</v>
      </c>
      <c r="BA528" s="6" t="s">
        <v>5</v>
      </c>
      <c r="BB528" s="6" t="s">
        <v>5</v>
      </c>
      <c r="BC528" s="6" t="s">
        <v>5</v>
      </c>
      <c r="BD528" s="6" t="s">
        <v>5</v>
      </c>
      <c r="BE528" s="6" t="s">
        <v>5</v>
      </c>
      <c r="BF528" s="6" t="s">
        <v>5</v>
      </c>
      <c r="BG528" s="6" t="s">
        <v>5</v>
      </c>
      <c r="BH528" s="6" t="s">
        <v>5</v>
      </c>
      <c r="BI528" s="7">
        <v>3.42</v>
      </c>
      <c r="BJ528" s="22">
        <v>0.82899999999999996</v>
      </c>
      <c r="BK528" s="6" t="s">
        <v>5</v>
      </c>
      <c r="BL528" s="2" t="s">
        <v>5</v>
      </c>
      <c r="BM528" s="2" t="s">
        <v>5</v>
      </c>
      <c r="BN528" s="2" t="s">
        <v>5</v>
      </c>
      <c r="BO528" s="2" t="s">
        <v>5</v>
      </c>
      <c r="BP528" s="2" t="s">
        <v>5</v>
      </c>
      <c r="BQ528" s="2" t="s">
        <v>5</v>
      </c>
      <c r="BR528" s="2" t="s">
        <v>5</v>
      </c>
      <c r="BS528" s="2" t="s">
        <v>5</v>
      </c>
      <c r="BT528" s="2" t="s">
        <v>5</v>
      </c>
      <c r="BU528" s="2" t="s">
        <v>5</v>
      </c>
      <c r="BV528" s="2" t="s">
        <v>5</v>
      </c>
      <c r="BW528" s="2" t="s">
        <v>5</v>
      </c>
      <c r="BX528" s="2" t="s">
        <v>5</v>
      </c>
      <c r="BY528" s="25" t="s">
        <v>5</v>
      </c>
      <c r="BZ528" s="25" t="s">
        <v>5</v>
      </c>
      <c r="CA528" s="6" t="s">
        <v>5</v>
      </c>
      <c r="CB528" s="6" t="s">
        <v>5</v>
      </c>
      <c r="CC528" s="6" t="s">
        <v>5</v>
      </c>
      <c r="CD528" s="6" t="s">
        <v>5</v>
      </c>
      <c r="CE528" s="6" t="s">
        <v>5</v>
      </c>
      <c r="CF528" s="16" t="s">
        <v>5</v>
      </c>
      <c r="CG528" s="16" t="s">
        <v>5</v>
      </c>
      <c r="CH528" s="18" t="s">
        <v>5</v>
      </c>
    </row>
    <row r="529" spans="2:86">
      <c r="B529" s="78" t="s">
        <v>473</v>
      </c>
      <c r="C529" s="79" t="s">
        <v>629</v>
      </c>
      <c r="D529" s="80" t="s">
        <v>629</v>
      </c>
      <c r="E529" s="1" t="s">
        <v>4</v>
      </c>
      <c r="F529" s="4">
        <v>43.8</v>
      </c>
      <c r="G529" s="4">
        <v>12.9</v>
      </c>
      <c r="H529" s="3" t="str">
        <f t="shared" si="27"/>
        <v>2L6X6X9/16X3/8</v>
      </c>
      <c r="I529" s="7">
        <v>6</v>
      </c>
      <c r="J529" s="5" t="s">
        <v>5</v>
      </c>
      <c r="K529" s="6" t="s">
        <v>5</v>
      </c>
      <c r="L529" s="6" t="s">
        <v>5</v>
      </c>
      <c r="M529" s="6" t="s">
        <v>5</v>
      </c>
      <c r="N529" s="6" t="s">
        <v>5</v>
      </c>
      <c r="O529" s="5" t="s">
        <v>5</v>
      </c>
      <c r="P529" s="5" t="s">
        <v>5</v>
      </c>
      <c r="Q529" s="7">
        <v>6</v>
      </c>
      <c r="R529" s="6" t="s">
        <v>5</v>
      </c>
      <c r="S529" s="6" t="s">
        <v>5</v>
      </c>
      <c r="T529" s="5" t="s">
        <v>5</v>
      </c>
      <c r="U529" s="8" t="s">
        <v>5</v>
      </c>
      <c r="V529" s="6" t="s">
        <v>5</v>
      </c>
      <c r="W529" s="8" t="s">
        <v>5</v>
      </c>
      <c r="X529" s="22">
        <v>0.56299999999999994</v>
      </c>
      <c r="Y529" s="6" t="s">
        <v>5</v>
      </c>
      <c r="Z529" s="6" t="s">
        <v>5</v>
      </c>
      <c r="AA529" s="6" t="s">
        <v>5</v>
      </c>
      <c r="AB529" s="8" t="s">
        <v>5</v>
      </c>
      <c r="AC529" s="8" t="s">
        <v>5</v>
      </c>
      <c r="AD529" s="6" t="s">
        <v>5</v>
      </c>
      <c r="AE529" s="7">
        <v>1.7</v>
      </c>
      <c r="AF529" s="6" t="s">
        <v>5</v>
      </c>
      <c r="AG529" s="6" t="s">
        <v>5</v>
      </c>
      <c r="AH529" s="22">
        <v>0.53800000000000003</v>
      </c>
      <c r="AI529" s="6" t="s">
        <v>5</v>
      </c>
      <c r="AJ529" s="4">
        <v>10.7</v>
      </c>
      <c r="AK529" s="6" t="s">
        <v>5</v>
      </c>
      <c r="AL529" s="6" t="s">
        <v>5</v>
      </c>
      <c r="AM529" s="6" t="s">
        <v>5</v>
      </c>
      <c r="AN529" s="6" t="s">
        <v>5</v>
      </c>
      <c r="AO529" s="4">
        <v>44</v>
      </c>
      <c r="AP529" s="4">
        <v>18.399999999999999</v>
      </c>
      <c r="AQ529" s="4">
        <v>10.199999999999999</v>
      </c>
      <c r="AR529" s="7">
        <v>1.85</v>
      </c>
      <c r="AS529" s="6">
        <v>89.9</v>
      </c>
      <c r="AT529" s="6">
        <v>24.3</v>
      </c>
      <c r="AU529" s="6">
        <v>14.5</v>
      </c>
      <c r="AV529" s="7">
        <v>2.64</v>
      </c>
      <c r="AW529" s="6" t="s">
        <v>5</v>
      </c>
      <c r="AX529" s="6" t="s">
        <v>5</v>
      </c>
      <c r="AY529" s="6" t="s">
        <v>5</v>
      </c>
      <c r="AZ529" s="6" t="s">
        <v>5</v>
      </c>
      <c r="BA529" s="6" t="s">
        <v>5</v>
      </c>
      <c r="BB529" s="6" t="s">
        <v>5</v>
      </c>
      <c r="BC529" s="6" t="s">
        <v>5</v>
      </c>
      <c r="BD529" s="6" t="s">
        <v>5</v>
      </c>
      <c r="BE529" s="6" t="s">
        <v>5</v>
      </c>
      <c r="BF529" s="6" t="s">
        <v>5</v>
      </c>
      <c r="BG529" s="6" t="s">
        <v>5</v>
      </c>
      <c r="BH529" s="6" t="s">
        <v>5</v>
      </c>
      <c r="BI529" s="7">
        <v>3.52</v>
      </c>
      <c r="BJ529" s="22">
        <v>0.83799999999999997</v>
      </c>
      <c r="BK529" s="6" t="s">
        <v>5</v>
      </c>
      <c r="BL529" s="2" t="s">
        <v>5</v>
      </c>
      <c r="BM529" s="2" t="s">
        <v>5</v>
      </c>
      <c r="BN529" s="2" t="s">
        <v>5</v>
      </c>
      <c r="BO529" s="2" t="s">
        <v>5</v>
      </c>
      <c r="BP529" s="2" t="s">
        <v>5</v>
      </c>
      <c r="BQ529" s="2" t="s">
        <v>5</v>
      </c>
      <c r="BR529" s="2" t="s">
        <v>5</v>
      </c>
      <c r="BS529" s="2" t="s">
        <v>5</v>
      </c>
      <c r="BT529" s="2" t="s">
        <v>5</v>
      </c>
      <c r="BU529" s="2" t="s">
        <v>5</v>
      </c>
      <c r="BV529" s="2" t="s">
        <v>5</v>
      </c>
      <c r="BW529" s="2" t="s">
        <v>5</v>
      </c>
      <c r="BX529" s="2" t="s">
        <v>5</v>
      </c>
      <c r="BY529" s="25" t="s">
        <v>5</v>
      </c>
      <c r="BZ529" s="25" t="s">
        <v>5</v>
      </c>
      <c r="CA529" s="6" t="s">
        <v>5</v>
      </c>
      <c r="CB529" s="6" t="s">
        <v>5</v>
      </c>
      <c r="CC529" s="6" t="s">
        <v>5</v>
      </c>
      <c r="CD529" s="6" t="s">
        <v>5</v>
      </c>
      <c r="CE529" s="6" t="s">
        <v>5</v>
      </c>
      <c r="CF529" s="16" t="s">
        <v>5</v>
      </c>
      <c r="CG529" s="16" t="s">
        <v>5</v>
      </c>
      <c r="CH529" s="18" t="s">
        <v>5</v>
      </c>
    </row>
    <row r="530" spans="2:86">
      <c r="B530" s="78" t="s">
        <v>473</v>
      </c>
      <c r="C530" s="79" t="s">
        <v>630</v>
      </c>
      <c r="D530" s="80" t="s">
        <v>630</v>
      </c>
      <c r="E530" s="1" t="s">
        <v>4</v>
      </c>
      <c r="F530" s="4">
        <v>43.8</v>
      </c>
      <c r="G530" s="4">
        <v>12.9</v>
      </c>
      <c r="H530" s="3" t="str">
        <f t="shared" si="27"/>
        <v>2L6X6X9/16X3/4</v>
      </c>
      <c r="I530" s="7">
        <v>6</v>
      </c>
      <c r="J530" s="5" t="s">
        <v>5</v>
      </c>
      <c r="K530" s="6" t="s">
        <v>5</v>
      </c>
      <c r="L530" s="6" t="s">
        <v>5</v>
      </c>
      <c r="M530" s="6" t="s">
        <v>5</v>
      </c>
      <c r="N530" s="6" t="s">
        <v>5</v>
      </c>
      <c r="O530" s="5" t="s">
        <v>5</v>
      </c>
      <c r="P530" s="5" t="s">
        <v>5</v>
      </c>
      <c r="Q530" s="7">
        <v>6</v>
      </c>
      <c r="R530" s="6" t="s">
        <v>5</v>
      </c>
      <c r="S530" s="6" t="s">
        <v>5</v>
      </c>
      <c r="T530" s="5" t="s">
        <v>5</v>
      </c>
      <c r="U530" s="8" t="s">
        <v>5</v>
      </c>
      <c r="V530" s="6" t="s">
        <v>5</v>
      </c>
      <c r="W530" s="8" t="s">
        <v>5</v>
      </c>
      <c r="X530" s="22">
        <v>0.56299999999999994</v>
      </c>
      <c r="Y530" s="6" t="s">
        <v>5</v>
      </c>
      <c r="Z530" s="6" t="s">
        <v>5</v>
      </c>
      <c r="AA530" s="6" t="s">
        <v>5</v>
      </c>
      <c r="AB530" s="8" t="s">
        <v>5</v>
      </c>
      <c r="AC530" s="8" t="s">
        <v>5</v>
      </c>
      <c r="AD530" s="6" t="s">
        <v>5</v>
      </c>
      <c r="AE530" s="7">
        <v>1.7</v>
      </c>
      <c r="AF530" s="6" t="s">
        <v>5</v>
      </c>
      <c r="AG530" s="6" t="s">
        <v>5</v>
      </c>
      <c r="AH530" s="22">
        <v>0.53800000000000003</v>
      </c>
      <c r="AI530" s="6" t="s">
        <v>5</v>
      </c>
      <c r="AJ530" s="4">
        <v>10.7</v>
      </c>
      <c r="AK530" s="6" t="s">
        <v>5</v>
      </c>
      <c r="AL530" s="6" t="s">
        <v>5</v>
      </c>
      <c r="AM530" s="6" t="s">
        <v>5</v>
      </c>
      <c r="AN530" s="6" t="s">
        <v>5</v>
      </c>
      <c r="AO530" s="4">
        <v>44</v>
      </c>
      <c r="AP530" s="4">
        <v>18.399999999999999</v>
      </c>
      <c r="AQ530" s="4">
        <v>10.199999999999999</v>
      </c>
      <c r="AR530" s="7">
        <v>1.85</v>
      </c>
      <c r="AS530" s="6">
        <v>99.7</v>
      </c>
      <c r="AT530" s="6">
        <v>26.8</v>
      </c>
      <c r="AU530" s="6">
        <v>15.6</v>
      </c>
      <c r="AV530" s="7">
        <v>2.78</v>
      </c>
      <c r="AW530" s="6" t="s">
        <v>5</v>
      </c>
      <c r="AX530" s="6" t="s">
        <v>5</v>
      </c>
      <c r="AY530" s="6" t="s">
        <v>5</v>
      </c>
      <c r="AZ530" s="6" t="s">
        <v>5</v>
      </c>
      <c r="BA530" s="6" t="s">
        <v>5</v>
      </c>
      <c r="BB530" s="6" t="s">
        <v>5</v>
      </c>
      <c r="BC530" s="6" t="s">
        <v>5</v>
      </c>
      <c r="BD530" s="6" t="s">
        <v>5</v>
      </c>
      <c r="BE530" s="6" t="s">
        <v>5</v>
      </c>
      <c r="BF530" s="6" t="s">
        <v>5</v>
      </c>
      <c r="BG530" s="6" t="s">
        <v>5</v>
      </c>
      <c r="BH530" s="6" t="s">
        <v>5</v>
      </c>
      <c r="BI530" s="7">
        <v>3.62</v>
      </c>
      <c r="BJ530" s="22">
        <v>0.84699999999999998</v>
      </c>
      <c r="BK530" s="6" t="s">
        <v>5</v>
      </c>
      <c r="BL530" s="2" t="s">
        <v>5</v>
      </c>
      <c r="BM530" s="2" t="s">
        <v>5</v>
      </c>
      <c r="BN530" s="2" t="s">
        <v>5</v>
      </c>
      <c r="BO530" s="2" t="s">
        <v>5</v>
      </c>
      <c r="BP530" s="2" t="s">
        <v>5</v>
      </c>
      <c r="BQ530" s="2" t="s">
        <v>5</v>
      </c>
      <c r="BR530" s="2" t="s">
        <v>5</v>
      </c>
      <c r="BS530" s="2" t="s">
        <v>5</v>
      </c>
      <c r="BT530" s="2" t="s">
        <v>5</v>
      </c>
      <c r="BU530" s="2" t="s">
        <v>5</v>
      </c>
      <c r="BV530" s="2" t="s">
        <v>5</v>
      </c>
      <c r="BW530" s="2" t="s">
        <v>5</v>
      </c>
      <c r="BX530" s="2" t="s">
        <v>5</v>
      </c>
      <c r="BY530" s="25" t="s">
        <v>5</v>
      </c>
      <c r="BZ530" s="25" t="s">
        <v>5</v>
      </c>
      <c r="CA530" s="6" t="s">
        <v>5</v>
      </c>
      <c r="CB530" s="6" t="s">
        <v>5</v>
      </c>
      <c r="CC530" s="6" t="s">
        <v>5</v>
      </c>
      <c r="CD530" s="6" t="s">
        <v>5</v>
      </c>
      <c r="CE530" s="6" t="s">
        <v>5</v>
      </c>
      <c r="CF530" s="16" t="s">
        <v>5</v>
      </c>
      <c r="CG530" s="16" t="s">
        <v>5</v>
      </c>
      <c r="CH530" s="18" t="s">
        <v>5</v>
      </c>
    </row>
    <row r="531" spans="2:86">
      <c r="B531" s="78" t="s">
        <v>473</v>
      </c>
      <c r="C531" s="79" t="s">
        <v>631</v>
      </c>
      <c r="D531" s="80" t="s">
        <v>631</v>
      </c>
      <c r="E531" s="1" t="s">
        <v>4</v>
      </c>
      <c r="F531" s="4">
        <v>39.200000000000003</v>
      </c>
      <c r="G531" s="4">
        <v>11.5</v>
      </c>
      <c r="H531" s="3" t="str">
        <f t="shared" si="27"/>
        <v>2L6X6X1/2</v>
      </c>
      <c r="I531" s="7">
        <v>6</v>
      </c>
      <c r="J531" s="5" t="s">
        <v>5</v>
      </c>
      <c r="K531" s="6" t="s">
        <v>5</v>
      </c>
      <c r="L531" s="6" t="s">
        <v>5</v>
      </c>
      <c r="M531" s="6" t="s">
        <v>5</v>
      </c>
      <c r="N531" s="6" t="s">
        <v>5</v>
      </c>
      <c r="O531" s="5" t="s">
        <v>5</v>
      </c>
      <c r="P531" s="5" t="s">
        <v>5</v>
      </c>
      <c r="Q531" s="7">
        <v>6</v>
      </c>
      <c r="R531" s="6" t="s">
        <v>5</v>
      </c>
      <c r="S531" s="6" t="s">
        <v>5</v>
      </c>
      <c r="T531" s="5" t="s">
        <v>5</v>
      </c>
      <c r="U531" s="8" t="s">
        <v>5</v>
      </c>
      <c r="V531" s="6" t="s">
        <v>5</v>
      </c>
      <c r="W531" s="8" t="s">
        <v>5</v>
      </c>
      <c r="X531" s="22">
        <v>0.5</v>
      </c>
      <c r="Y531" s="6" t="s">
        <v>5</v>
      </c>
      <c r="Z531" s="6" t="s">
        <v>5</v>
      </c>
      <c r="AA531" s="6" t="s">
        <v>5</v>
      </c>
      <c r="AB531" s="8" t="s">
        <v>5</v>
      </c>
      <c r="AC531" s="8" t="s">
        <v>5</v>
      </c>
      <c r="AD531" s="6" t="s">
        <v>5</v>
      </c>
      <c r="AE531" s="7">
        <v>1.67</v>
      </c>
      <c r="AF531" s="6" t="s">
        <v>5</v>
      </c>
      <c r="AG531" s="6" t="s">
        <v>5</v>
      </c>
      <c r="AH531" s="22">
        <v>0.48099999999999998</v>
      </c>
      <c r="AI531" s="6" t="s">
        <v>5</v>
      </c>
      <c r="AJ531" s="4">
        <v>12</v>
      </c>
      <c r="AK531" s="6" t="s">
        <v>5</v>
      </c>
      <c r="AL531" s="6" t="s">
        <v>5</v>
      </c>
      <c r="AM531" s="6" t="s">
        <v>5</v>
      </c>
      <c r="AN531" s="6" t="s">
        <v>5</v>
      </c>
      <c r="AO531" s="4">
        <v>39.799999999999997</v>
      </c>
      <c r="AP531" s="4">
        <v>16.399999999999999</v>
      </c>
      <c r="AQ531" s="7">
        <v>9.18</v>
      </c>
      <c r="AR531" s="7">
        <v>1.86</v>
      </c>
      <c r="AS531" s="6">
        <v>71.900000000000006</v>
      </c>
      <c r="AT531" s="6">
        <v>19.3</v>
      </c>
      <c r="AU531" s="4">
        <v>12</v>
      </c>
      <c r="AV531" s="7">
        <v>2.5</v>
      </c>
      <c r="AW531" s="6" t="s">
        <v>5</v>
      </c>
      <c r="AX531" s="6" t="s">
        <v>5</v>
      </c>
      <c r="AY531" s="6" t="s">
        <v>5</v>
      </c>
      <c r="AZ531" s="6" t="s">
        <v>5</v>
      </c>
      <c r="BA531" s="6" t="s">
        <v>5</v>
      </c>
      <c r="BB531" s="6" t="s">
        <v>5</v>
      </c>
      <c r="BC531" s="6" t="s">
        <v>5</v>
      </c>
      <c r="BD531" s="6" t="s">
        <v>5</v>
      </c>
      <c r="BE531" s="6" t="s">
        <v>5</v>
      </c>
      <c r="BF531" s="6" t="s">
        <v>5</v>
      </c>
      <c r="BG531" s="6" t="s">
        <v>5</v>
      </c>
      <c r="BH531" s="6" t="s">
        <v>5</v>
      </c>
      <c r="BI531" s="7">
        <v>3.42</v>
      </c>
      <c r="BJ531" s="22">
        <v>0.82699999999999996</v>
      </c>
      <c r="BK531" s="6" t="s">
        <v>5</v>
      </c>
      <c r="BL531" s="2" t="s">
        <v>5</v>
      </c>
      <c r="BM531" s="2" t="s">
        <v>5</v>
      </c>
      <c r="BN531" s="2" t="s">
        <v>5</v>
      </c>
      <c r="BO531" s="2" t="s">
        <v>5</v>
      </c>
      <c r="BP531" s="2" t="s">
        <v>5</v>
      </c>
      <c r="BQ531" s="2" t="s">
        <v>5</v>
      </c>
      <c r="BR531" s="2" t="s">
        <v>5</v>
      </c>
      <c r="BS531" s="2" t="s">
        <v>5</v>
      </c>
      <c r="BT531" s="2" t="s">
        <v>5</v>
      </c>
      <c r="BU531" s="2" t="s">
        <v>5</v>
      </c>
      <c r="BV531" s="2" t="s">
        <v>5</v>
      </c>
      <c r="BW531" s="2" t="s">
        <v>5</v>
      </c>
      <c r="BX531" s="2" t="s">
        <v>5</v>
      </c>
      <c r="BY531" s="25" t="s">
        <v>5</v>
      </c>
      <c r="BZ531" s="25" t="s">
        <v>5</v>
      </c>
      <c r="CA531" s="6" t="s">
        <v>5</v>
      </c>
      <c r="CB531" s="6" t="s">
        <v>5</v>
      </c>
      <c r="CC531" s="6" t="s">
        <v>5</v>
      </c>
      <c r="CD531" s="6" t="s">
        <v>5</v>
      </c>
      <c r="CE531" s="6" t="s">
        <v>5</v>
      </c>
      <c r="CF531" s="16" t="s">
        <v>5</v>
      </c>
      <c r="CG531" s="16" t="s">
        <v>5</v>
      </c>
      <c r="CH531" s="18" t="s">
        <v>5</v>
      </c>
    </row>
    <row r="532" spans="2:86">
      <c r="B532" s="78" t="s">
        <v>473</v>
      </c>
      <c r="C532" s="79" t="s">
        <v>632</v>
      </c>
      <c r="D532" s="80" t="s">
        <v>632</v>
      </c>
      <c r="E532" s="1" t="s">
        <v>4</v>
      </c>
      <c r="F532" s="4">
        <v>39.200000000000003</v>
      </c>
      <c r="G532" s="4">
        <v>11.5</v>
      </c>
      <c r="H532" s="3" t="str">
        <f t="shared" si="27"/>
        <v>2L6X6X1/2X3/8</v>
      </c>
      <c r="I532" s="7">
        <v>6</v>
      </c>
      <c r="J532" s="5" t="s">
        <v>5</v>
      </c>
      <c r="K532" s="6" t="s">
        <v>5</v>
      </c>
      <c r="L532" s="6" t="s">
        <v>5</v>
      </c>
      <c r="M532" s="6" t="s">
        <v>5</v>
      </c>
      <c r="N532" s="6" t="s">
        <v>5</v>
      </c>
      <c r="O532" s="5" t="s">
        <v>5</v>
      </c>
      <c r="P532" s="5" t="s">
        <v>5</v>
      </c>
      <c r="Q532" s="7">
        <v>6</v>
      </c>
      <c r="R532" s="6" t="s">
        <v>5</v>
      </c>
      <c r="S532" s="6" t="s">
        <v>5</v>
      </c>
      <c r="T532" s="5" t="s">
        <v>5</v>
      </c>
      <c r="U532" s="8" t="s">
        <v>5</v>
      </c>
      <c r="V532" s="6" t="s">
        <v>5</v>
      </c>
      <c r="W532" s="8" t="s">
        <v>5</v>
      </c>
      <c r="X532" s="22">
        <v>0.5</v>
      </c>
      <c r="Y532" s="6" t="s">
        <v>5</v>
      </c>
      <c r="Z532" s="6" t="s">
        <v>5</v>
      </c>
      <c r="AA532" s="6" t="s">
        <v>5</v>
      </c>
      <c r="AB532" s="8" t="s">
        <v>5</v>
      </c>
      <c r="AC532" s="8" t="s">
        <v>5</v>
      </c>
      <c r="AD532" s="6" t="s">
        <v>5</v>
      </c>
      <c r="AE532" s="7">
        <v>1.67</v>
      </c>
      <c r="AF532" s="6" t="s">
        <v>5</v>
      </c>
      <c r="AG532" s="6" t="s">
        <v>5</v>
      </c>
      <c r="AH532" s="22">
        <v>0.48099999999999998</v>
      </c>
      <c r="AI532" s="6" t="s">
        <v>5</v>
      </c>
      <c r="AJ532" s="4">
        <v>12</v>
      </c>
      <c r="AK532" s="6" t="s">
        <v>5</v>
      </c>
      <c r="AL532" s="6" t="s">
        <v>5</v>
      </c>
      <c r="AM532" s="6" t="s">
        <v>5</v>
      </c>
      <c r="AN532" s="6" t="s">
        <v>5</v>
      </c>
      <c r="AO532" s="4">
        <v>39.799999999999997</v>
      </c>
      <c r="AP532" s="4">
        <v>16.399999999999999</v>
      </c>
      <c r="AQ532" s="7">
        <v>9.18</v>
      </c>
      <c r="AR532" s="7">
        <v>1.86</v>
      </c>
      <c r="AS532" s="6">
        <v>79.5</v>
      </c>
      <c r="AT532" s="6">
        <v>21.4</v>
      </c>
      <c r="AU532" s="6">
        <v>12.8</v>
      </c>
      <c r="AV532" s="7">
        <v>2.63</v>
      </c>
      <c r="AW532" s="6" t="s">
        <v>5</v>
      </c>
      <c r="AX532" s="6" t="s">
        <v>5</v>
      </c>
      <c r="AY532" s="6" t="s">
        <v>5</v>
      </c>
      <c r="AZ532" s="6" t="s">
        <v>5</v>
      </c>
      <c r="BA532" s="6" t="s">
        <v>5</v>
      </c>
      <c r="BB532" s="6" t="s">
        <v>5</v>
      </c>
      <c r="BC532" s="6" t="s">
        <v>5</v>
      </c>
      <c r="BD532" s="6" t="s">
        <v>5</v>
      </c>
      <c r="BE532" s="6" t="s">
        <v>5</v>
      </c>
      <c r="BF532" s="6" t="s">
        <v>5</v>
      </c>
      <c r="BG532" s="6" t="s">
        <v>5</v>
      </c>
      <c r="BH532" s="6" t="s">
        <v>5</v>
      </c>
      <c r="BI532" s="7">
        <v>3.52</v>
      </c>
      <c r="BJ532" s="22">
        <v>0.83599999999999997</v>
      </c>
      <c r="BK532" s="6" t="s">
        <v>5</v>
      </c>
      <c r="BL532" s="2" t="s">
        <v>5</v>
      </c>
      <c r="BM532" s="2" t="s">
        <v>5</v>
      </c>
      <c r="BN532" s="2" t="s">
        <v>5</v>
      </c>
      <c r="BO532" s="2" t="s">
        <v>5</v>
      </c>
      <c r="BP532" s="2" t="s">
        <v>5</v>
      </c>
      <c r="BQ532" s="2" t="s">
        <v>5</v>
      </c>
      <c r="BR532" s="2" t="s">
        <v>5</v>
      </c>
      <c r="BS532" s="2" t="s">
        <v>5</v>
      </c>
      <c r="BT532" s="2" t="s">
        <v>5</v>
      </c>
      <c r="BU532" s="2" t="s">
        <v>5</v>
      </c>
      <c r="BV532" s="2" t="s">
        <v>5</v>
      </c>
      <c r="BW532" s="2" t="s">
        <v>5</v>
      </c>
      <c r="BX532" s="2" t="s">
        <v>5</v>
      </c>
      <c r="BY532" s="25" t="s">
        <v>5</v>
      </c>
      <c r="BZ532" s="25" t="s">
        <v>5</v>
      </c>
      <c r="CA532" s="6" t="s">
        <v>5</v>
      </c>
      <c r="CB532" s="6" t="s">
        <v>5</v>
      </c>
      <c r="CC532" s="6" t="s">
        <v>5</v>
      </c>
      <c r="CD532" s="6" t="s">
        <v>5</v>
      </c>
      <c r="CE532" s="6" t="s">
        <v>5</v>
      </c>
      <c r="CF532" s="16" t="s">
        <v>5</v>
      </c>
      <c r="CG532" s="16" t="s">
        <v>5</v>
      </c>
      <c r="CH532" s="18" t="s">
        <v>5</v>
      </c>
    </row>
    <row r="533" spans="2:86">
      <c r="B533" s="78" t="s">
        <v>473</v>
      </c>
      <c r="C533" s="79" t="s">
        <v>633</v>
      </c>
      <c r="D533" s="80" t="s">
        <v>633</v>
      </c>
      <c r="E533" s="1" t="s">
        <v>4</v>
      </c>
      <c r="F533" s="4">
        <v>39.200000000000003</v>
      </c>
      <c r="G533" s="4">
        <v>11.5</v>
      </c>
      <c r="H533" s="3" t="str">
        <f t="shared" si="27"/>
        <v>2L6X6X1/2X3/4</v>
      </c>
      <c r="I533" s="7">
        <v>6</v>
      </c>
      <c r="J533" s="5" t="s">
        <v>5</v>
      </c>
      <c r="K533" s="6" t="s">
        <v>5</v>
      </c>
      <c r="L533" s="6" t="s">
        <v>5</v>
      </c>
      <c r="M533" s="6" t="s">
        <v>5</v>
      </c>
      <c r="N533" s="6" t="s">
        <v>5</v>
      </c>
      <c r="O533" s="5" t="s">
        <v>5</v>
      </c>
      <c r="P533" s="5" t="s">
        <v>5</v>
      </c>
      <c r="Q533" s="7">
        <v>6</v>
      </c>
      <c r="R533" s="6" t="s">
        <v>5</v>
      </c>
      <c r="S533" s="6" t="s">
        <v>5</v>
      </c>
      <c r="T533" s="5" t="s">
        <v>5</v>
      </c>
      <c r="U533" s="8" t="s">
        <v>5</v>
      </c>
      <c r="V533" s="6" t="s">
        <v>5</v>
      </c>
      <c r="W533" s="8" t="s">
        <v>5</v>
      </c>
      <c r="X533" s="22">
        <v>0.5</v>
      </c>
      <c r="Y533" s="6" t="s">
        <v>5</v>
      </c>
      <c r="Z533" s="6" t="s">
        <v>5</v>
      </c>
      <c r="AA533" s="6" t="s">
        <v>5</v>
      </c>
      <c r="AB533" s="8" t="s">
        <v>5</v>
      </c>
      <c r="AC533" s="8" t="s">
        <v>5</v>
      </c>
      <c r="AD533" s="6" t="s">
        <v>5</v>
      </c>
      <c r="AE533" s="7">
        <v>1.67</v>
      </c>
      <c r="AF533" s="6" t="s">
        <v>5</v>
      </c>
      <c r="AG533" s="6" t="s">
        <v>5</v>
      </c>
      <c r="AH533" s="22">
        <v>0.48099999999999998</v>
      </c>
      <c r="AI533" s="6" t="s">
        <v>5</v>
      </c>
      <c r="AJ533" s="4">
        <v>12</v>
      </c>
      <c r="AK533" s="6" t="s">
        <v>5</v>
      </c>
      <c r="AL533" s="6" t="s">
        <v>5</v>
      </c>
      <c r="AM533" s="6" t="s">
        <v>5</v>
      </c>
      <c r="AN533" s="6" t="s">
        <v>5</v>
      </c>
      <c r="AO533" s="4">
        <v>39.799999999999997</v>
      </c>
      <c r="AP533" s="4">
        <v>16.399999999999999</v>
      </c>
      <c r="AQ533" s="7">
        <v>9.18</v>
      </c>
      <c r="AR533" s="7">
        <v>1.86</v>
      </c>
      <c r="AS533" s="6">
        <v>87.6</v>
      </c>
      <c r="AT533" s="6">
        <v>23.6</v>
      </c>
      <c r="AU533" s="6">
        <v>13.7</v>
      </c>
      <c r="AV533" s="7">
        <v>2.76</v>
      </c>
      <c r="AW533" s="6" t="s">
        <v>5</v>
      </c>
      <c r="AX533" s="6" t="s">
        <v>5</v>
      </c>
      <c r="AY533" s="6" t="s">
        <v>5</v>
      </c>
      <c r="AZ533" s="6" t="s">
        <v>5</v>
      </c>
      <c r="BA533" s="6" t="s">
        <v>5</v>
      </c>
      <c r="BB533" s="6" t="s">
        <v>5</v>
      </c>
      <c r="BC533" s="6" t="s">
        <v>5</v>
      </c>
      <c r="BD533" s="6" t="s">
        <v>5</v>
      </c>
      <c r="BE533" s="6" t="s">
        <v>5</v>
      </c>
      <c r="BF533" s="6" t="s">
        <v>5</v>
      </c>
      <c r="BG533" s="6" t="s">
        <v>5</v>
      </c>
      <c r="BH533" s="6" t="s">
        <v>5</v>
      </c>
      <c r="BI533" s="7">
        <v>3.62</v>
      </c>
      <c r="BJ533" s="22">
        <v>0.84599999999999997</v>
      </c>
      <c r="BK533" s="6" t="s">
        <v>5</v>
      </c>
      <c r="BL533" s="2" t="s">
        <v>5</v>
      </c>
      <c r="BM533" s="2" t="s">
        <v>5</v>
      </c>
      <c r="BN533" s="2" t="s">
        <v>5</v>
      </c>
      <c r="BO533" s="2" t="s">
        <v>5</v>
      </c>
      <c r="BP533" s="2" t="s">
        <v>5</v>
      </c>
      <c r="BQ533" s="2" t="s">
        <v>5</v>
      </c>
      <c r="BR533" s="2" t="s">
        <v>5</v>
      </c>
      <c r="BS533" s="2" t="s">
        <v>5</v>
      </c>
      <c r="BT533" s="2" t="s">
        <v>5</v>
      </c>
      <c r="BU533" s="2" t="s">
        <v>5</v>
      </c>
      <c r="BV533" s="2" t="s">
        <v>5</v>
      </c>
      <c r="BW533" s="2" t="s">
        <v>5</v>
      </c>
      <c r="BX533" s="2" t="s">
        <v>5</v>
      </c>
      <c r="BY533" s="25" t="s">
        <v>5</v>
      </c>
      <c r="BZ533" s="25" t="s">
        <v>5</v>
      </c>
      <c r="CA533" s="6" t="s">
        <v>5</v>
      </c>
      <c r="CB533" s="6" t="s">
        <v>5</v>
      </c>
      <c r="CC533" s="6" t="s">
        <v>5</v>
      </c>
      <c r="CD533" s="6" t="s">
        <v>5</v>
      </c>
      <c r="CE533" s="6" t="s">
        <v>5</v>
      </c>
      <c r="CF533" s="16" t="s">
        <v>5</v>
      </c>
      <c r="CG533" s="16" t="s">
        <v>5</v>
      </c>
      <c r="CH533" s="18" t="s">
        <v>5</v>
      </c>
    </row>
    <row r="534" spans="2:86">
      <c r="B534" s="78" t="s">
        <v>473</v>
      </c>
      <c r="C534" s="79" t="s">
        <v>634</v>
      </c>
      <c r="D534" s="80" t="s">
        <v>634</v>
      </c>
      <c r="E534" s="1" t="s">
        <v>4</v>
      </c>
      <c r="F534" s="4">
        <v>34.4</v>
      </c>
      <c r="G534" s="4">
        <v>10.199999999999999</v>
      </c>
      <c r="H534" s="3" t="str">
        <f t="shared" si="27"/>
        <v>2L6X6X7/16</v>
      </c>
      <c r="I534" s="7">
        <v>6</v>
      </c>
      <c r="J534" s="5" t="s">
        <v>5</v>
      </c>
      <c r="K534" s="6" t="s">
        <v>5</v>
      </c>
      <c r="L534" s="6" t="s">
        <v>5</v>
      </c>
      <c r="M534" s="6" t="s">
        <v>5</v>
      </c>
      <c r="N534" s="6" t="s">
        <v>5</v>
      </c>
      <c r="O534" s="5" t="s">
        <v>5</v>
      </c>
      <c r="P534" s="5" t="s">
        <v>5</v>
      </c>
      <c r="Q534" s="7">
        <v>6</v>
      </c>
      <c r="R534" s="6" t="s">
        <v>5</v>
      </c>
      <c r="S534" s="6" t="s">
        <v>5</v>
      </c>
      <c r="T534" s="5" t="s">
        <v>5</v>
      </c>
      <c r="U534" s="8" t="s">
        <v>5</v>
      </c>
      <c r="V534" s="6" t="s">
        <v>5</v>
      </c>
      <c r="W534" s="8" t="s">
        <v>5</v>
      </c>
      <c r="X534" s="22">
        <v>0.438</v>
      </c>
      <c r="Y534" s="6" t="s">
        <v>5</v>
      </c>
      <c r="Z534" s="6" t="s">
        <v>5</v>
      </c>
      <c r="AA534" s="6" t="s">
        <v>5</v>
      </c>
      <c r="AB534" s="8" t="s">
        <v>5</v>
      </c>
      <c r="AC534" s="8" t="s">
        <v>5</v>
      </c>
      <c r="AD534" s="6" t="s">
        <v>5</v>
      </c>
      <c r="AE534" s="7">
        <v>1.65</v>
      </c>
      <c r="AF534" s="6" t="s">
        <v>5</v>
      </c>
      <c r="AG534" s="6" t="s">
        <v>5</v>
      </c>
      <c r="AH534" s="22">
        <v>0.42299999999999999</v>
      </c>
      <c r="AI534" s="6" t="s">
        <v>5</v>
      </c>
      <c r="AJ534" s="4">
        <v>13.7</v>
      </c>
      <c r="AK534" s="6" t="s">
        <v>5</v>
      </c>
      <c r="AL534" s="6" t="s">
        <v>5</v>
      </c>
      <c r="AM534" s="6" t="s">
        <v>5</v>
      </c>
      <c r="AN534" s="6" t="s">
        <v>5</v>
      </c>
      <c r="AO534" s="4">
        <v>35.200000000000003</v>
      </c>
      <c r="AP534" s="4">
        <v>14.5</v>
      </c>
      <c r="AQ534" s="7">
        <v>8.1199999999999992</v>
      </c>
      <c r="AR534" s="7">
        <v>1.86</v>
      </c>
      <c r="AS534" s="6">
        <v>63.2</v>
      </c>
      <c r="AT534" s="6">
        <v>16.8</v>
      </c>
      <c r="AU534" s="6">
        <v>10.5</v>
      </c>
      <c r="AV534" s="7">
        <v>2.4900000000000002</v>
      </c>
      <c r="AW534" s="6" t="s">
        <v>5</v>
      </c>
      <c r="AX534" s="6" t="s">
        <v>5</v>
      </c>
      <c r="AY534" s="6" t="s">
        <v>5</v>
      </c>
      <c r="AZ534" s="6" t="s">
        <v>5</v>
      </c>
      <c r="BA534" s="6" t="s">
        <v>5</v>
      </c>
      <c r="BB534" s="6" t="s">
        <v>5</v>
      </c>
      <c r="BC534" s="6" t="s">
        <v>5</v>
      </c>
      <c r="BD534" s="6" t="s">
        <v>5</v>
      </c>
      <c r="BE534" s="6" t="s">
        <v>5</v>
      </c>
      <c r="BF534" s="6" t="s">
        <v>5</v>
      </c>
      <c r="BG534" s="6" t="s">
        <v>5</v>
      </c>
      <c r="BH534" s="6" t="s">
        <v>5</v>
      </c>
      <c r="BI534" s="7">
        <v>3.42</v>
      </c>
      <c r="BJ534" s="22">
        <v>0.82599999999999996</v>
      </c>
      <c r="BK534" s="6" t="s">
        <v>5</v>
      </c>
      <c r="BL534" s="2" t="s">
        <v>5</v>
      </c>
      <c r="BM534" s="2" t="s">
        <v>5</v>
      </c>
      <c r="BN534" s="2" t="s">
        <v>5</v>
      </c>
      <c r="BO534" s="2" t="s">
        <v>5</v>
      </c>
      <c r="BP534" s="2" t="s">
        <v>5</v>
      </c>
      <c r="BQ534" s="2" t="s">
        <v>5</v>
      </c>
      <c r="BR534" s="2" t="s">
        <v>5</v>
      </c>
      <c r="BS534" s="2" t="s">
        <v>5</v>
      </c>
      <c r="BT534" s="2" t="s">
        <v>5</v>
      </c>
      <c r="BU534" s="2" t="s">
        <v>5</v>
      </c>
      <c r="BV534" s="2" t="s">
        <v>5</v>
      </c>
      <c r="BW534" s="2" t="s">
        <v>5</v>
      </c>
      <c r="BX534" s="2" t="s">
        <v>5</v>
      </c>
      <c r="BY534" s="25" t="s">
        <v>5</v>
      </c>
      <c r="BZ534" s="25" t="s">
        <v>5</v>
      </c>
      <c r="CA534" s="6" t="s">
        <v>5</v>
      </c>
      <c r="CB534" s="6" t="s">
        <v>5</v>
      </c>
      <c r="CC534" s="6" t="s">
        <v>5</v>
      </c>
      <c r="CD534" s="6" t="s">
        <v>5</v>
      </c>
      <c r="CE534" s="6" t="s">
        <v>5</v>
      </c>
      <c r="CF534" s="16" t="s">
        <v>5</v>
      </c>
      <c r="CG534" s="16" t="s">
        <v>5</v>
      </c>
      <c r="CH534" s="18" t="s">
        <v>5</v>
      </c>
    </row>
    <row r="535" spans="2:86">
      <c r="B535" s="78" t="s">
        <v>473</v>
      </c>
      <c r="C535" s="79" t="s">
        <v>635</v>
      </c>
      <c r="D535" s="80" t="s">
        <v>635</v>
      </c>
      <c r="E535" s="1" t="s">
        <v>4</v>
      </c>
      <c r="F535" s="4">
        <v>34.4</v>
      </c>
      <c r="G535" s="4">
        <v>10.199999999999999</v>
      </c>
      <c r="H535" s="3" t="str">
        <f t="shared" si="27"/>
        <v>2L6X6X7/16X3/8</v>
      </c>
      <c r="I535" s="7">
        <v>6</v>
      </c>
      <c r="J535" s="5" t="s">
        <v>5</v>
      </c>
      <c r="K535" s="6" t="s">
        <v>5</v>
      </c>
      <c r="L535" s="6" t="s">
        <v>5</v>
      </c>
      <c r="M535" s="6" t="s">
        <v>5</v>
      </c>
      <c r="N535" s="6" t="s">
        <v>5</v>
      </c>
      <c r="O535" s="5" t="s">
        <v>5</v>
      </c>
      <c r="P535" s="5" t="s">
        <v>5</v>
      </c>
      <c r="Q535" s="7">
        <v>6</v>
      </c>
      <c r="R535" s="6" t="s">
        <v>5</v>
      </c>
      <c r="S535" s="6" t="s">
        <v>5</v>
      </c>
      <c r="T535" s="5" t="s">
        <v>5</v>
      </c>
      <c r="U535" s="8" t="s">
        <v>5</v>
      </c>
      <c r="V535" s="6" t="s">
        <v>5</v>
      </c>
      <c r="W535" s="8" t="s">
        <v>5</v>
      </c>
      <c r="X535" s="22">
        <v>0.438</v>
      </c>
      <c r="Y535" s="6" t="s">
        <v>5</v>
      </c>
      <c r="Z535" s="6" t="s">
        <v>5</v>
      </c>
      <c r="AA535" s="6" t="s">
        <v>5</v>
      </c>
      <c r="AB535" s="8" t="s">
        <v>5</v>
      </c>
      <c r="AC535" s="8" t="s">
        <v>5</v>
      </c>
      <c r="AD535" s="6" t="s">
        <v>5</v>
      </c>
      <c r="AE535" s="7">
        <v>1.65</v>
      </c>
      <c r="AF535" s="6" t="s">
        <v>5</v>
      </c>
      <c r="AG535" s="6" t="s">
        <v>5</v>
      </c>
      <c r="AH535" s="22">
        <v>0.42299999999999999</v>
      </c>
      <c r="AI535" s="6" t="s">
        <v>5</v>
      </c>
      <c r="AJ535" s="4">
        <v>13.7</v>
      </c>
      <c r="AK535" s="6" t="s">
        <v>5</v>
      </c>
      <c r="AL535" s="6" t="s">
        <v>5</v>
      </c>
      <c r="AM535" s="6" t="s">
        <v>5</v>
      </c>
      <c r="AN535" s="6" t="s">
        <v>5</v>
      </c>
      <c r="AO535" s="4">
        <v>35.200000000000003</v>
      </c>
      <c r="AP535" s="4">
        <v>14.5</v>
      </c>
      <c r="AQ535" s="7">
        <v>8.1199999999999992</v>
      </c>
      <c r="AR535" s="7">
        <v>1.86</v>
      </c>
      <c r="AS535" s="4">
        <v>70</v>
      </c>
      <c r="AT535" s="6">
        <v>18.7</v>
      </c>
      <c r="AU535" s="6">
        <v>11.3</v>
      </c>
      <c r="AV535" s="7">
        <v>2.62</v>
      </c>
      <c r="AW535" s="6" t="s">
        <v>5</v>
      </c>
      <c r="AX535" s="6" t="s">
        <v>5</v>
      </c>
      <c r="AY535" s="6" t="s">
        <v>5</v>
      </c>
      <c r="AZ535" s="6" t="s">
        <v>5</v>
      </c>
      <c r="BA535" s="6" t="s">
        <v>5</v>
      </c>
      <c r="BB535" s="6" t="s">
        <v>5</v>
      </c>
      <c r="BC535" s="6" t="s">
        <v>5</v>
      </c>
      <c r="BD535" s="6" t="s">
        <v>5</v>
      </c>
      <c r="BE535" s="6" t="s">
        <v>5</v>
      </c>
      <c r="BF535" s="6" t="s">
        <v>5</v>
      </c>
      <c r="BG535" s="6" t="s">
        <v>5</v>
      </c>
      <c r="BH535" s="6" t="s">
        <v>5</v>
      </c>
      <c r="BI535" s="7">
        <v>3.52</v>
      </c>
      <c r="BJ535" s="22">
        <v>0.83499999999999996</v>
      </c>
      <c r="BK535" s="6" t="s">
        <v>5</v>
      </c>
      <c r="BL535" s="2" t="s">
        <v>5</v>
      </c>
      <c r="BM535" s="2" t="s">
        <v>5</v>
      </c>
      <c r="BN535" s="2" t="s">
        <v>5</v>
      </c>
      <c r="BO535" s="2" t="s">
        <v>5</v>
      </c>
      <c r="BP535" s="2" t="s">
        <v>5</v>
      </c>
      <c r="BQ535" s="2" t="s">
        <v>5</v>
      </c>
      <c r="BR535" s="2" t="s">
        <v>5</v>
      </c>
      <c r="BS535" s="2" t="s">
        <v>5</v>
      </c>
      <c r="BT535" s="2" t="s">
        <v>5</v>
      </c>
      <c r="BU535" s="2" t="s">
        <v>5</v>
      </c>
      <c r="BV535" s="2" t="s">
        <v>5</v>
      </c>
      <c r="BW535" s="2" t="s">
        <v>5</v>
      </c>
      <c r="BX535" s="2" t="s">
        <v>5</v>
      </c>
      <c r="BY535" s="25" t="s">
        <v>5</v>
      </c>
      <c r="BZ535" s="25" t="s">
        <v>5</v>
      </c>
      <c r="CA535" s="6" t="s">
        <v>5</v>
      </c>
      <c r="CB535" s="6" t="s">
        <v>5</v>
      </c>
      <c r="CC535" s="6" t="s">
        <v>5</v>
      </c>
      <c r="CD535" s="6" t="s">
        <v>5</v>
      </c>
      <c r="CE535" s="6" t="s">
        <v>5</v>
      </c>
      <c r="CF535" s="16" t="s">
        <v>5</v>
      </c>
      <c r="CG535" s="16" t="s">
        <v>5</v>
      </c>
      <c r="CH535" s="18" t="s">
        <v>5</v>
      </c>
    </row>
    <row r="536" spans="2:86">
      <c r="B536" s="78" t="s">
        <v>473</v>
      </c>
      <c r="C536" s="79" t="s">
        <v>636</v>
      </c>
      <c r="D536" s="80" t="s">
        <v>636</v>
      </c>
      <c r="E536" s="1" t="s">
        <v>4</v>
      </c>
      <c r="F536" s="4">
        <v>34.4</v>
      </c>
      <c r="G536" s="4">
        <v>10.199999999999999</v>
      </c>
      <c r="H536" s="3" t="str">
        <f t="shared" si="27"/>
        <v>2L6X6X7/16X3/4</v>
      </c>
      <c r="I536" s="7">
        <v>6</v>
      </c>
      <c r="J536" s="5" t="s">
        <v>5</v>
      </c>
      <c r="K536" s="6" t="s">
        <v>5</v>
      </c>
      <c r="L536" s="6" t="s">
        <v>5</v>
      </c>
      <c r="M536" s="6" t="s">
        <v>5</v>
      </c>
      <c r="N536" s="6" t="s">
        <v>5</v>
      </c>
      <c r="O536" s="5" t="s">
        <v>5</v>
      </c>
      <c r="P536" s="5" t="s">
        <v>5</v>
      </c>
      <c r="Q536" s="7">
        <v>6</v>
      </c>
      <c r="R536" s="6" t="s">
        <v>5</v>
      </c>
      <c r="S536" s="6" t="s">
        <v>5</v>
      </c>
      <c r="T536" s="5" t="s">
        <v>5</v>
      </c>
      <c r="U536" s="8" t="s">
        <v>5</v>
      </c>
      <c r="V536" s="6" t="s">
        <v>5</v>
      </c>
      <c r="W536" s="8" t="s">
        <v>5</v>
      </c>
      <c r="X536" s="22">
        <v>0.438</v>
      </c>
      <c r="Y536" s="6" t="s">
        <v>5</v>
      </c>
      <c r="Z536" s="6" t="s">
        <v>5</v>
      </c>
      <c r="AA536" s="6" t="s">
        <v>5</v>
      </c>
      <c r="AB536" s="8" t="s">
        <v>5</v>
      </c>
      <c r="AC536" s="8" t="s">
        <v>5</v>
      </c>
      <c r="AD536" s="6" t="s">
        <v>5</v>
      </c>
      <c r="AE536" s="7">
        <v>1.65</v>
      </c>
      <c r="AF536" s="6" t="s">
        <v>5</v>
      </c>
      <c r="AG536" s="6" t="s">
        <v>5</v>
      </c>
      <c r="AH536" s="22">
        <v>0.42299999999999999</v>
      </c>
      <c r="AI536" s="6" t="s">
        <v>5</v>
      </c>
      <c r="AJ536" s="4">
        <v>13.7</v>
      </c>
      <c r="AK536" s="6" t="s">
        <v>5</v>
      </c>
      <c r="AL536" s="6" t="s">
        <v>5</v>
      </c>
      <c r="AM536" s="6" t="s">
        <v>5</v>
      </c>
      <c r="AN536" s="6" t="s">
        <v>5</v>
      </c>
      <c r="AO536" s="4">
        <v>35.200000000000003</v>
      </c>
      <c r="AP536" s="4">
        <v>14.5</v>
      </c>
      <c r="AQ536" s="7">
        <v>8.1199999999999992</v>
      </c>
      <c r="AR536" s="7">
        <v>1.86</v>
      </c>
      <c r="AS536" s="6">
        <v>77.099999999999994</v>
      </c>
      <c r="AT536" s="6">
        <v>20.6</v>
      </c>
      <c r="AU536" s="6">
        <v>12.1</v>
      </c>
      <c r="AV536" s="7">
        <v>2.75</v>
      </c>
      <c r="AW536" s="6" t="s">
        <v>5</v>
      </c>
      <c r="AX536" s="6" t="s">
        <v>5</v>
      </c>
      <c r="AY536" s="6" t="s">
        <v>5</v>
      </c>
      <c r="AZ536" s="6" t="s">
        <v>5</v>
      </c>
      <c r="BA536" s="6" t="s">
        <v>5</v>
      </c>
      <c r="BB536" s="6" t="s">
        <v>5</v>
      </c>
      <c r="BC536" s="6" t="s">
        <v>5</v>
      </c>
      <c r="BD536" s="6" t="s">
        <v>5</v>
      </c>
      <c r="BE536" s="6" t="s">
        <v>5</v>
      </c>
      <c r="BF536" s="6" t="s">
        <v>5</v>
      </c>
      <c r="BG536" s="6" t="s">
        <v>5</v>
      </c>
      <c r="BH536" s="6" t="s">
        <v>5</v>
      </c>
      <c r="BI536" s="7">
        <v>3.62</v>
      </c>
      <c r="BJ536" s="22">
        <v>0.84399999999999997</v>
      </c>
      <c r="BK536" s="6" t="s">
        <v>5</v>
      </c>
      <c r="BL536" s="2" t="s">
        <v>5</v>
      </c>
      <c r="BM536" s="2" t="s">
        <v>5</v>
      </c>
      <c r="BN536" s="2" t="s">
        <v>5</v>
      </c>
      <c r="BO536" s="2" t="s">
        <v>5</v>
      </c>
      <c r="BP536" s="2" t="s">
        <v>5</v>
      </c>
      <c r="BQ536" s="2" t="s">
        <v>5</v>
      </c>
      <c r="BR536" s="2" t="s">
        <v>5</v>
      </c>
      <c r="BS536" s="2" t="s">
        <v>5</v>
      </c>
      <c r="BT536" s="2" t="s">
        <v>5</v>
      </c>
      <c r="BU536" s="2" t="s">
        <v>5</v>
      </c>
      <c r="BV536" s="2" t="s">
        <v>5</v>
      </c>
      <c r="BW536" s="2" t="s">
        <v>5</v>
      </c>
      <c r="BX536" s="2" t="s">
        <v>5</v>
      </c>
      <c r="BY536" s="25" t="s">
        <v>5</v>
      </c>
      <c r="BZ536" s="25" t="s">
        <v>5</v>
      </c>
      <c r="CA536" s="6" t="s">
        <v>5</v>
      </c>
      <c r="CB536" s="6" t="s">
        <v>5</v>
      </c>
      <c r="CC536" s="6" t="s">
        <v>5</v>
      </c>
      <c r="CD536" s="6" t="s">
        <v>5</v>
      </c>
      <c r="CE536" s="6" t="s">
        <v>5</v>
      </c>
      <c r="CF536" s="16" t="s">
        <v>5</v>
      </c>
      <c r="CG536" s="16" t="s">
        <v>5</v>
      </c>
      <c r="CH536" s="18" t="s">
        <v>5</v>
      </c>
    </row>
    <row r="537" spans="2:86">
      <c r="B537" s="78" t="s">
        <v>473</v>
      </c>
      <c r="C537" s="79" t="s">
        <v>637</v>
      </c>
      <c r="D537" s="80" t="s">
        <v>637</v>
      </c>
      <c r="E537" s="1" t="s">
        <v>4</v>
      </c>
      <c r="F537" s="4">
        <v>29.8</v>
      </c>
      <c r="G537" s="7">
        <v>8.76</v>
      </c>
      <c r="H537" s="3" t="str">
        <f t="shared" si="27"/>
        <v>2L6X6X3/8</v>
      </c>
      <c r="I537" s="7">
        <v>6</v>
      </c>
      <c r="J537" s="5" t="s">
        <v>5</v>
      </c>
      <c r="K537" s="6" t="s">
        <v>5</v>
      </c>
      <c r="L537" s="6" t="s">
        <v>5</v>
      </c>
      <c r="M537" s="6" t="s">
        <v>5</v>
      </c>
      <c r="N537" s="6" t="s">
        <v>5</v>
      </c>
      <c r="O537" s="5" t="s">
        <v>5</v>
      </c>
      <c r="P537" s="5" t="s">
        <v>5</v>
      </c>
      <c r="Q537" s="7">
        <v>6</v>
      </c>
      <c r="R537" s="6" t="s">
        <v>5</v>
      </c>
      <c r="S537" s="6" t="s">
        <v>5</v>
      </c>
      <c r="T537" s="5" t="s">
        <v>5</v>
      </c>
      <c r="U537" s="8" t="s">
        <v>5</v>
      </c>
      <c r="V537" s="6" t="s">
        <v>5</v>
      </c>
      <c r="W537" s="8" t="s">
        <v>5</v>
      </c>
      <c r="X537" s="22">
        <v>0.375</v>
      </c>
      <c r="Y537" s="6" t="s">
        <v>5</v>
      </c>
      <c r="Z537" s="6" t="s">
        <v>5</v>
      </c>
      <c r="AA537" s="6" t="s">
        <v>5</v>
      </c>
      <c r="AB537" s="8" t="s">
        <v>5</v>
      </c>
      <c r="AC537" s="8" t="s">
        <v>5</v>
      </c>
      <c r="AD537" s="6" t="s">
        <v>5</v>
      </c>
      <c r="AE537" s="7">
        <v>1.62</v>
      </c>
      <c r="AF537" s="6" t="s">
        <v>5</v>
      </c>
      <c r="AG537" s="6" t="s">
        <v>5</v>
      </c>
      <c r="AH537" s="22">
        <v>0.36499999999999999</v>
      </c>
      <c r="AI537" s="6" t="s">
        <v>5</v>
      </c>
      <c r="AJ537" s="4">
        <v>16</v>
      </c>
      <c r="AK537" s="6" t="s">
        <v>5</v>
      </c>
      <c r="AL537" s="6" t="s">
        <v>5</v>
      </c>
      <c r="AM537" s="6" t="s">
        <v>5</v>
      </c>
      <c r="AN537" s="6" t="s">
        <v>5</v>
      </c>
      <c r="AO537" s="4">
        <v>30.8</v>
      </c>
      <c r="AP537" s="4">
        <v>12.5</v>
      </c>
      <c r="AQ537" s="7">
        <v>7.02</v>
      </c>
      <c r="AR537" s="7">
        <v>1.87</v>
      </c>
      <c r="AS537" s="6">
        <v>53.9</v>
      </c>
      <c r="AT537" s="6">
        <v>14.2</v>
      </c>
      <c r="AU537" s="6">
        <v>8.98</v>
      </c>
      <c r="AV537" s="7">
        <v>2.48</v>
      </c>
      <c r="AW537" s="6" t="s">
        <v>5</v>
      </c>
      <c r="AX537" s="6" t="s">
        <v>5</v>
      </c>
      <c r="AY537" s="6" t="s">
        <v>5</v>
      </c>
      <c r="AZ537" s="6" t="s">
        <v>5</v>
      </c>
      <c r="BA537" s="6" t="s">
        <v>5</v>
      </c>
      <c r="BB537" s="6" t="s">
        <v>5</v>
      </c>
      <c r="BC537" s="6" t="s">
        <v>5</v>
      </c>
      <c r="BD537" s="6" t="s">
        <v>5</v>
      </c>
      <c r="BE537" s="6" t="s">
        <v>5</v>
      </c>
      <c r="BF537" s="6" t="s">
        <v>5</v>
      </c>
      <c r="BG537" s="6" t="s">
        <v>5</v>
      </c>
      <c r="BH537" s="6" t="s">
        <v>5</v>
      </c>
      <c r="BI537" s="7">
        <v>3.42</v>
      </c>
      <c r="BJ537" s="22">
        <v>0.82399999999999995</v>
      </c>
      <c r="BK537" s="6" t="s">
        <v>5</v>
      </c>
      <c r="BL537" s="2" t="s">
        <v>5</v>
      </c>
      <c r="BM537" s="2" t="s">
        <v>5</v>
      </c>
      <c r="BN537" s="2" t="s">
        <v>5</v>
      </c>
      <c r="BO537" s="2" t="s">
        <v>5</v>
      </c>
      <c r="BP537" s="2" t="s">
        <v>5</v>
      </c>
      <c r="BQ537" s="2" t="s">
        <v>5</v>
      </c>
      <c r="BR537" s="2" t="s">
        <v>5</v>
      </c>
      <c r="BS537" s="2" t="s">
        <v>5</v>
      </c>
      <c r="BT537" s="2" t="s">
        <v>5</v>
      </c>
      <c r="BU537" s="2" t="s">
        <v>5</v>
      </c>
      <c r="BV537" s="2" t="s">
        <v>5</v>
      </c>
      <c r="BW537" s="2" t="s">
        <v>5</v>
      </c>
      <c r="BX537" s="2" t="s">
        <v>5</v>
      </c>
      <c r="BY537" s="25" t="s">
        <v>5</v>
      </c>
      <c r="BZ537" s="25" t="s">
        <v>5</v>
      </c>
      <c r="CA537" s="6" t="s">
        <v>5</v>
      </c>
      <c r="CB537" s="6" t="s">
        <v>5</v>
      </c>
      <c r="CC537" s="6" t="s">
        <v>5</v>
      </c>
      <c r="CD537" s="6" t="s">
        <v>5</v>
      </c>
      <c r="CE537" s="6" t="s">
        <v>5</v>
      </c>
      <c r="CF537" s="16" t="s">
        <v>5</v>
      </c>
      <c r="CG537" s="16" t="s">
        <v>5</v>
      </c>
      <c r="CH537" s="18" t="s">
        <v>5</v>
      </c>
    </row>
    <row r="538" spans="2:86">
      <c r="B538" s="78" t="s">
        <v>473</v>
      </c>
      <c r="C538" s="79" t="s">
        <v>638</v>
      </c>
      <c r="D538" s="80" t="s">
        <v>638</v>
      </c>
      <c r="E538" s="1" t="s">
        <v>4</v>
      </c>
      <c r="F538" s="4">
        <v>29.8</v>
      </c>
      <c r="G538" s="7">
        <v>8.76</v>
      </c>
      <c r="H538" s="3" t="str">
        <f t="shared" si="27"/>
        <v>2L6X6X3/8X3/8</v>
      </c>
      <c r="I538" s="7">
        <v>6</v>
      </c>
      <c r="J538" s="5" t="s">
        <v>5</v>
      </c>
      <c r="K538" s="6" t="s">
        <v>5</v>
      </c>
      <c r="L538" s="6" t="s">
        <v>5</v>
      </c>
      <c r="M538" s="6" t="s">
        <v>5</v>
      </c>
      <c r="N538" s="6" t="s">
        <v>5</v>
      </c>
      <c r="O538" s="5" t="s">
        <v>5</v>
      </c>
      <c r="P538" s="5" t="s">
        <v>5</v>
      </c>
      <c r="Q538" s="7">
        <v>6</v>
      </c>
      <c r="R538" s="6" t="s">
        <v>5</v>
      </c>
      <c r="S538" s="6" t="s">
        <v>5</v>
      </c>
      <c r="T538" s="5" t="s">
        <v>5</v>
      </c>
      <c r="U538" s="8" t="s">
        <v>5</v>
      </c>
      <c r="V538" s="6" t="s">
        <v>5</v>
      </c>
      <c r="W538" s="8" t="s">
        <v>5</v>
      </c>
      <c r="X538" s="22">
        <v>0.375</v>
      </c>
      <c r="Y538" s="6" t="s">
        <v>5</v>
      </c>
      <c r="Z538" s="6" t="s">
        <v>5</v>
      </c>
      <c r="AA538" s="6" t="s">
        <v>5</v>
      </c>
      <c r="AB538" s="8" t="s">
        <v>5</v>
      </c>
      <c r="AC538" s="8" t="s">
        <v>5</v>
      </c>
      <c r="AD538" s="6" t="s">
        <v>5</v>
      </c>
      <c r="AE538" s="7">
        <v>1.62</v>
      </c>
      <c r="AF538" s="6" t="s">
        <v>5</v>
      </c>
      <c r="AG538" s="6" t="s">
        <v>5</v>
      </c>
      <c r="AH538" s="22">
        <v>0.36499999999999999</v>
      </c>
      <c r="AI538" s="6" t="s">
        <v>5</v>
      </c>
      <c r="AJ538" s="4">
        <v>16</v>
      </c>
      <c r="AK538" s="6" t="s">
        <v>5</v>
      </c>
      <c r="AL538" s="6" t="s">
        <v>5</v>
      </c>
      <c r="AM538" s="6" t="s">
        <v>5</v>
      </c>
      <c r="AN538" s="6" t="s">
        <v>5</v>
      </c>
      <c r="AO538" s="4">
        <v>30.8</v>
      </c>
      <c r="AP538" s="4">
        <v>12.5</v>
      </c>
      <c r="AQ538" s="7">
        <v>7.02</v>
      </c>
      <c r="AR538" s="7">
        <v>1.87</v>
      </c>
      <c r="AS538" s="6">
        <v>59.2</v>
      </c>
      <c r="AT538" s="6">
        <v>15.8</v>
      </c>
      <c r="AU538" s="6">
        <v>9.57</v>
      </c>
      <c r="AV538" s="7">
        <v>2.6</v>
      </c>
      <c r="AW538" s="6" t="s">
        <v>5</v>
      </c>
      <c r="AX538" s="6" t="s">
        <v>5</v>
      </c>
      <c r="AY538" s="6" t="s">
        <v>5</v>
      </c>
      <c r="AZ538" s="6" t="s">
        <v>5</v>
      </c>
      <c r="BA538" s="6" t="s">
        <v>5</v>
      </c>
      <c r="BB538" s="6" t="s">
        <v>5</v>
      </c>
      <c r="BC538" s="6" t="s">
        <v>5</v>
      </c>
      <c r="BD538" s="6" t="s">
        <v>5</v>
      </c>
      <c r="BE538" s="6" t="s">
        <v>5</v>
      </c>
      <c r="BF538" s="6" t="s">
        <v>5</v>
      </c>
      <c r="BG538" s="6" t="s">
        <v>5</v>
      </c>
      <c r="BH538" s="6" t="s">
        <v>5</v>
      </c>
      <c r="BI538" s="7">
        <v>3.51</v>
      </c>
      <c r="BJ538" s="22">
        <v>0.83299999999999996</v>
      </c>
      <c r="BK538" s="6" t="s">
        <v>5</v>
      </c>
      <c r="BL538" s="2" t="s">
        <v>5</v>
      </c>
      <c r="BM538" s="2" t="s">
        <v>5</v>
      </c>
      <c r="BN538" s="2" t="s">
        <v>5</v>
      </c>
      <c r="BO538" s="2" t="s">
        <v>5</v>
      </c>
      <c r="BP538" s="2" t="s">
        <v>5</v>
      </c>
      <c r="BQ538" s="2" t="s">
        <v>5</v>
      </c>
      <c r="BR538" s="2" t="s">
        <v>5</v>
      </c>
      <c r="BS538" s="2" t="s">
        <v>5</v>
      </c>
      <c r="BT538" s="2" t="s">
        <v>5</v>
      </c>
      <c r="BU538" s="2" t="s">
        <v>5</v>
      </c>
      <c r="BV538" s="2" t="s">
        <v>5</v>
      </c>
      <c r="BW538" s="2" t="s">
        <v>5</v>
      </c>
      <c r="BX538" s="2" t="s">
        <v>5</v>
      </c>
      <c r="BY538" s="25" t="s">
        <v>5</v>
      </c>
      <c r="BZ538" s="25" t="s">
        <v>5</v>
      </c>
      <c r="CA538" s="6" t="s">
        <v>5</v>
      </c>
      <c r="CB538" s="6" t="s">
        <v>5</v>
      </c>
      <c r="CC538" s="6" t="s">
        <v>5</v>
      </c>
      <c r="CD538" s="6" t="s">
        <v>5</v>
      </c>
      <c r="CE538" s="6" t="s">
        <v>5</v>
      </c>
      <c r="CF538" s="16" t="s">
        <v>5</v>
      </c>
      <c r="CG538" s="16" t="s">
        <v>5</v>
      </c>
      <c r="CH538" s="18" t="s">
        <v>5</v>
      </c>
    </row>
    <row r="539" spans="2:86">
      <c r="B539" s="78" t="s">
        <v>473</v>
      </c>
      <c r="C539" s="79" t="s">
        <v>639</v>
      </c>
      <c r="D539" s="80" t="s">
        <v>639</v>
      </c>
      <c r="E539" s="1" t="s">
        <v>4</v>
      </c>
      <c r="F539" s="4">
        <v>29.8</v>
      </c>
      <c r="G539" s="7">
        <v>8.76</v>
      </c>
      <c r="H539" s="3" t="str">
        <f t="shared" si="27"/>
        <v>2L6X6X3/8X3/4</v>
      </c>
      <c r="I539" s="7">
        <v>6</v>
      </c>
      <c r="J539" s="5" t="s">
        <v>5</v>
      </c>
      <c r="K539" s="6" t="s">
        <v>5</v>
      </c>
      <c r="L539" s="6" t="s">
        <v>5</v>
      </c>
      <c r="M539" s="6" t="s">
        <v>5</v>
      </c>
      <c r="N539" s="6" t="s">
        <v>5</v>
      </c>
      <c r="O539" s="5" t="s">
        <v>5</v>
      </c>
      <c r="P539" s="5" t="s">
        <v>5</v>
      </c>
      <c r="Q539" s="7">
        <v>6</v>
      </c>
      <c r="R539" s="6" t="s">
        <v>5</v>
      </c>
      <c r="S539" s="6" t="s">
        <v>5</v>
      </c>
      <c r="T539" s="5" t="s">
        <v>5</v>
      </c>
      <c r="U539" s="8" t="s">
        <v>5</v>
      </c>
      <c r="V539" s="6" t="s">
        <v>5</v>
      </c>
      <c r="W539" s="8" t="s">
        <v>5</v>
      </c>
      <c r="X539" s="22">
        <v>0.375</v>
      </c>
      <c r="Y539" s="6" t="s">
        <v>5</v>
      </c>
      <c r="Z539" s="6" t="s">
        <v>5</v>
      </c>
      <c r="AA539" s="6" t="s">
        <v>5</v>
      </c>
      <c r="AB539" s="8" t="s">
        <v>5</v>
      </c>
      <c r="AC539" s="8" t="s">
        <v>5</v>
      </c>
      <c r="AD539" s="6" t="s">
        <v>5</v>
      </c>
      <c r="AE539" s="7">
        <v>1.62</v>
      </c>
      <c r="AF539" s="6" t="s">
        <v>5</v>
      </c>
      <c r="AG539" s="6" t="s">
        <v>5</v>
      </c>
      <c r="AH539" s="22">
        <v>0.36499999999999999</v>
      </c>
      <c r="AI539" s="6" t="s">
        <v>5</v>
      </c>
      <c r="AJ539" s="4">
        <v>16</v>
      </c>
      <c r="AK539" s="6" t="s">
        <v>5</v>
      </c>
      <c r="AL539" s="6" t="s">
        <v>5</v>
      </c>
      <c r="AM539" s="6" t="s">
        <v>5</v>
      </c>
      <c r="AN539" s="6" t="s">
        <v>5</v>
      </c>
      <c r="AO539" s="4">
        <v>30.8</v>
      </c>
      <c r="AP539" s="4">
        <v>12.5</v>
      </c>
      <c r="AQ539" s="7">
        <v>7.02</v>
      </c>
      <c r="AR539" s="7">
        <v>1.87</v>
      </c>
      <c r="AS539" s="6">
        <v>65.8</v>
      </c>
      <c r="AT539" s="6">
        <v>17.5</v>
      </c>
      <c r="AU539" s="6">
        <v>10.3</v>
      </c>
      <c r="AV539" s="7">
        <v>2.74</v>
      </c>
      <c r="AW539" s="6" t="s">
        <v>5</v>
      </c>
      <c r="AX539" s="6" t="s">
        <v>5</v>
      </c>
      <c r="AY539" s="6" t="s">
        <v>5</v>
      </c>
      <c r="AZ539" s="6" t="s">
        <v>5</v>
      </c>
      <c r="BA539" s="6" t="s">
        <v>5</v>
      </c>
      <c r="BB539" s="6" t="s">
        <v>5</v>
      </c>
      <c r="BC539" s="6" t="s">
        <v>5</v>
      </c>
      <c r="BD539" s="6" t="s">
        <v>5</v>
      </c>
      <c r="BE539" s="6" t="s">
        <v>5</v>
      </c>
      <c r="BF539" s="6" t="s">
        <v>5</v>
      </c>
      <c r="BG539" s="6" t="s">
        <v>5</v>
      </c>
      <c r="BH539" s="6" t="s">
        <v>5</v>
      </c>
      <c r="BI539" s="7">
        <v>3.61</v>
      </c>
      <c r="BJ539" s="22">
        <v>0.84199999999999997</v>
      </c>
      <c r="BK539" s="6" t="s">
        <v>5</v>
      </c>
      <c r="BL539" s="2" t="s">
        <v>5</v>
      </c>
      <c r="BM539" s="2" t="s">
        <v>5</v>
      </c>
      <c r="BN539" s="2" t="s">
        <v>5</v>
      </c>
      <c r="BO539" s="2" t="s">
        <v>5</v>
      </c>
      <c r="BP539" s="2" t="s">
        <v>5</v>
      </c>
      <c r="BQ539" s="2" t="s">
        <v>5</v>
      </c>
      <c r="BR539" s="2" t="s">
        <v>5</v>
      </c>
      <c r="BS539" s="2" t="s">
        <v>5</v>
      </c>
      <c r="BT539" s="2" t="s">
        <v>5</v>
      </c>
      <c r="BU539" s="2" t="s">
        <v>5</v>
      </c>
      <c r="BV539" s="2" t="s">
        <v>5</v>
      </c>
      <c r="BW539" s="2" t="s">
        <v>5</v>
      </c>
      <c r="BX539" s="2" t="s">
        <v>5</v>
      </c>
      <c r="BY539" s="25" t="s">
        <v>5</v>
      </c>
      <c r="BZ539" s="25" t="s">
        <v>5</v>
      </c>
      <c r="CA539" s="6" t="s">
        <v>5</v>
      </c>
      <c r="CB539" s="6" t="s">
        <v>5</v>
      </c>
      <c r="CC539" s="6" t="s">
        <v>5</v>
      </c>
      <c r="CD539" s="6" t="s">
        <v>5</v>
      </c>
      <c r="CE539" s="6" t="s">
        <v>5</v>
      </c>
      <c r="CF539" s="16" t="s">
        <v>5</v>
      </c>
      <c r="CG539" s="16" t="s">
        <v>5</v>
      </c>
      <c r="CH539" s="18" t="s">
        <v>5</v>
      </c>
    </row>
    <row r="540" spans="2:86">
      <c r="B540" s="78" t="s">
        <v>473</v>
      </c>
      <c r="C540" s="79" t="s">
        <v>640</v>
      </c>
      <c r="D540" s="80" t="s">
        <v>640</v>
      </c>
      <c r="E540" s="1" t="s">
        <v>4</v>
      </c>
      <c r="F540" s="4">
        <v>24.8</v>
      </c>
      <c r="G540" s="7">
        <v>7.34</v>
      </c>
      <c r="H540" s="3" t="str">
        <f t="shared" si="27"/>
        <v>2L6X6X5/16</v>
      </c>
      <c r="I540" s="7">
        <v>6</v>
      </c>
      <c r="J540" s="5" t="s">
        <v>5</v>
      </c>
      <c r="K540" s="6" t="s">
        <v>5</v>
      </c>
      <c r="L540" s="6" t="s">
        <v>5</v>
      </c>
      <c r="M540" s="6" t="s">
        <v>5</v>
      </c>
      <c r="N540" s="6" t="s">
        <v>5</v>
      </c>
      <c r="O540" s="5" t="s">
        <v>5</v>
      </c>
      <c r="P540" s="5" t="s">
        <v>5</v>
      </c>
      <c r="Q540" s="7">
        <v>6</v>
      </c>
      <c r="R540" s="6" t="s">
        <v>5</v>
      </c>
      <c r="S540" s="6" t="s">
        <v>5</v>
      </c>
      <c r="T540" s="5" t="s">
        <v>5</v>
      </c>
      <c r="U540" s="8" t="s">
        <v>5</v>
      </c>
      <c r="V540" s="6" t="s">
        <v>5</v>
      </c>
      <c r="W540" s="8" t="s">
        <v>5</v>
      </c>
      <c r="X540" s="22">
        <v>0.313</v>
      </c>
      <c r="Y540" s="6" t="s">
        <v>5</v>
      </c>
      <c r="Z540" s="6" t="s">
        <v>5</v>
      </c>
      <c r="AA540" s="6" t="s">
        <v>5</v>
      </c>
      <c r="AB540" s="8" t="s">
        <v>5</v>
      </c>
      <c r="AC540" s="8" t="s">
        <v>5</v>
      </c>
      <c r="AD540" s="6" t="s">
        <v>5</v>
      </c>
      <c r="AE540" s="7">
        <v>1.6</v>
      </c>
      <c r="AF540" s="6" t="s">
        <v>5</v>
      </c>
      <c r="AG540" s="6" t="s">
        <v>5</v>
      </c>
      <c r="AH540" s="22">
        <v>0.30599999999999999</v>
      </c>
      <c r="AI540" s="6" t="s">
        <v>5</v>
      </c>
      <c r="AJ540" s="4">
        <v>19.2</v>
      </c>
      <c r="AK540" s="6" t="s">
        <v>5</v>
      </c>
      <c r="AL540" s="6" t="s">
        <v>5</v>
      </c>
      <c r="AM540" s="6" t="s">
        <v>5</v>
      </c>
      <c r="AN540" s="6" t="s">
        <v>5</v>
      </c>
      <c r="AO540" s="4">
        <v>26</v>
      </c>
      <c r="AP540" s="4">
        <v>10.5</v>
      </c>
      <c r="AQ540" s="7">
        <v>5.9</v>
      </c>
      <c r="AR540" s="7">
        <v>1.88</v>
      </c>
      <c r="AS540" s="6">
        <v>44.8</v>
      </c>
      <c r="AT540" s="6">
        <v>11.7</v>
      </c>
      <c r="AU540" s="6">
        <v>7.47</v>
      </c>
      <c r="AV540" s="7">
        <v>2.4700000000000002</v>
      </c>
      <c r="AW540" s="6" t="s">
        <v>5</v>
      </c>
      <c r="AX540" s="6" t="s">
        <v>5</v>
      </c>
      <c r="AY540" s="6" t="s">
        <v>5</v>
      </c>
      <c r="AZ540" s="6" t="s">
        <v>5</v>
      </c>
      <c r="BA540" s="6" t="s">
        <v>5</v>
      </c>
      <c r="BB540" s="6" t="s">
        <v>5</v>
      </c>
      <c r="BC540" s="6" t="s">
        <v>5</v>
      </c>
      <c r="BD540" s="6" t="s">
        <v>5</v>
      </c>
      <c r="BE540" s="6" t="s">
        <v>5</v>
      </c>
      <c r="BF540" s="6" t="s">
        <v>5</v>
      </c>
      <c r="BG540" s="6" t="s">
        <v>5</v>
      </c>
      <c r="BH540" s="6" t="s">
        <v>5</v>
      </c>
      <c r="BI540" s="7">
        <v>3.42</v>
      </c>
      <c r="BJ540" s="22">
        <v>0.82299999999999995</v>
      </c>
      <c r="BK540" s="6" t="s">
        <v>5</v>
      </c>
      <c r="BL540" s="2" t="s">
        <v>5</v>
      </c>
      <c r="BM540" s="2" t="s">
        <v>5</v>
      </c>
      <c r="BN540" s="2" t="s">
        <v>5</v>
      </c>
      <c r="BO540" s="2" t="s">
        <v>5</v>
      </c>
      <c r="BP540" s="2" t="s">
        <v>5</v>
      </c>
      <c r="BQ540" s="2" t="s">
        <v>5</v>
      </c>
      <c r="BR540" s="2" t="s">
        <v>5</v>
      </c>
      <c r="BS540" s="2" t="s">
        <v>5</v>
      </c>
      <c r="BT540" s="2" t="s">
        <v>5</v>
      </c>
      <c r="BU540" s="2" t="s">
        <v>5</v>
      </c>
      <c r="BV540" s="2" t="s">
        <v>5</v>
      </c>
      <c r="BW540" s="2" t="s">
        <v>5</v>
      </c>
      <c r="BX540" s="2" t="s">
        <v>5</v>
      </c>
      <c r="BY540" s="25" t="s">
        <v>5</v>
      </c>
      <c r="BZ540" s="25" t="s">
        <v>5</v>
      </c>
      <c r="CA540" s="6" t="s">
        <v>5</v>
      </c>
      <c r="CB540" s="6" t="s">
        <v>5</v>
      </c>
      <c r="CC540" s="6" t="s">
        <v>5</v>
      </c>
      <c r="CD540" s="6" t="s">
        <v>5</v>
      </c>
      <c r="CE540" s="6" t="s">
        <v>5</v>
      </c>
      <c r="CF540" s="16" t="s">
        <v>5</v>
      </c>
      <c r="CG540" s="16" t="s">
        <v>5</v>
      </c>
      <c r="CH540" s="18" t="s">
        <v>5</v>
      </c>
    </row>
    <row r="541" spans="2:86">
      <c r="B541" s="78" t="s">
        <v>473</v>
      </c>
      <c r="C541" s="79" t="s">
        <v>641</v>
      </c>
      <c r="D541" s="80" t="s">
        <v>641</v>
      </c>
      <c r="E541" s="1" t="s">
        <v>4</v>
      </c>
      <c r="F541" s="4">
        <v>24.8</v>
      </c>
      <c r="G541" s="7">
        <v>7.34</v>
      </c>
      <c r="H541" s="3" t="str">
        <f t="shared" si="27"/>
        <v>2L6X6X5/16X3/8</v>
      </c>
      <c r="I541" s="7">
        <v>6</v>
      </c>
      <c r="J541" s="5" t="s">
        <v>5</v>
      </c>
      <c r="K541" s="6" t="s">
        <v>5</v>
      </c>
      <c r="L541" s="6" t="s">
        <v>5</v>
      </c>
      <c r="M541" s="6" t="s">
        <v>5</v>
      </c>
      <c r="N541" s="6" t="s">
        <v>5</v>
      </c>
      <c r="O541" s="5" t="s">
        <v>5</v>
      </c>
      <c r="P541" s="5" t="s">
        <v>5</v>
      </c>
      <c r="Q541" s="7">
        <v>6</v>
      </c>
      <c r="R541" s="6" t="s">
        <v>5</v>
      </c>
      <c r="S541" s="6" t="s">
        <v>5</v>
      </c>
      <c r="T541" s="5" t="s">
        <v>5</v>
      </c>
      <c r="U541" s="8" t="s">
        <v>5</v>
      </c>
      <c r="V541" s="6" t="s">
        <v>5</v>
      </c>
      <c r="W541" s="8" t="s">
        <v>5</v>
      </c>
      <c r="X541" s="22">
        <v>0.313</v>
      </c>
      <c r="Y541" s="6" t="s">
        <v>5</v>
      </c>
      <c r="Z541" s="6" t="s">
        <v>5</v>
      </c>
      <c r="AA541" s="6" t="s">
        <v>5</v>
      </c>
      <c r="AB541" s="8" t="s">
        <v>5</v>
      </c>
      <c r="AC541" s="8" t="s">
        <v>5</v>
      </c>
      <c r="AD541" s="6" t="s">
        <v>5</v>
      </c>
      <c r="AE541" s="7">
        <v>1.6</v>
      </c>
      <c r="AF541" s="6" t="s">
        <v>5</v>
      </c>
      <c r="AG541" s="6" t="s">
        <v>5</v>
      </c>
      <c r="AH541" s="22">
        <v>0.30599999999999999</v>
      </c>
      <c r="AI541" s="6" t="s">
        <v>5</v>
      </c>
      <c r="AJ541" s="4">
        <v>19.2</v>
      </c>
      <c r="AK541" s="6" t="s">
        <v>5</v>
      </c>
      <c r="AL541" s="6" t="s">
        <v>5</v>
      </c>
      <c r="AM541" s="6" t="s">
        <v>5</v>
      </c>
      <c r="AN541" s="6" t="s">
        <v>5</v>
      </c>
      <c r="AO541" s="4">
        <v>26</v>
      </c>
      <c r="AP541" s="4">
        <v>10.5</v>
      </c>
      <c r="AQ541" s="7">
        <v>5.9</v>
      </c>
      <c r="AR541" s="7">
        <v>1.88</v>
      </c>
      <c r="AS541" s="6">
        <v>49.2</v>
      </c>
      <c r="AT541" s="6">
        <v>13.1</v>
      </c>
      <c r="AU541" s="6">
        <v>7.95</v>
      </c>
      <c r="AV541" s="7">
        <v>2.59</v>
      </c>
      <c r="AW541" s="6" t="s">
        <v>5</v>
      </c>
      <c r="AX541" s="6" t="s">
        <v>5</v>
      </c>
      <c r="AY541" s="6" t="s">
        <v>5</v>
      </c>
      <c r="AZ541" s="6" t="s">
        <v>5</v>
      </c>
      <c r="BA541" s="6" t="s">
        <v>5</v>
      </c>
      <c r="BB541" s="6" t="s">
        <v>5</v>
      </c>
      <c r="BC541" s="6" t="s">
        <v>5</v>
      </c>
      <c r="BD541" s="6" t="s">
        <v>5</v>
      </c>
      <c r="BE541" s="6" t="s">
        <v>5</v>
      </c>
      <c r="BF541" s="6" t="s">
        <v>5</v>
      </c>
      <c r="BG541" s="6" t="s">
        <v>5</v>
      </c>
      <c r="BH541" s="6" t="s">
        <v>5</v>
      </c>
      <c r="BI541" s="7">
        <v>3.51</v>
      </c>
      <c r="BJ541" s="22">
        <v>0.83199999999999996</v>
      </c>
      <c r="BK541" s="6" t="s">
        <v>5</v>
      </c>
      <c r="BL541" s="2" t="s">
        <v>5</v>
      </c>
      <c r="BM541" s="2" t="s">
        <v>5</v>
      </c>
      <c r="BN541" s="2" t="s">
        <v>5</v>
      </c>
      <c r="BO541" s="2" t="s">
        <v>5</v>
      </c>
      <c r="BP541" s="2" t="s">
        <v>5</v>
      </c>
      <c r="BQ541" s="2" t="s">
        <v>5</v>
      </c>
      <c r="BR541" s="2" t="s">
        <v>5</v>
      </c>
      <c r="BS541" s="2" t="s">
        <v>5</v>
      </c>
      <c r="BT541" s="2" t="s">
        <v>5</v>
      </c>
      <c r="BU541" s="2" t="s">
        <v>5</v>
      </c>
      <c r="BV541" s="2" t="s">
        <v>5</v>
      </c>
      <c r="BW541" s="2" t="s">
        <v>5</v>
      </c>
      <c r="BX541" s="2" t="s">
        <v>5</v>
      </c>
      <c r="BY541" s="25" t="s">
        <v>5</v>
      </c>
      <c r="BZ541" s="25" t="s">
        <v>5</v>
      </c>
      <c r="CA541" s="6" t="s">
        <v>5</v>
      </c>
      <c r="CB541" s="6" t="s">
        <v>5</v>
      </c>
      <c r="CC541" s="6" t="s">
        <v>5</v>
      </c>
      <c r="CD541" s="6" t="s">
        <v>5</v>
      </c>
      <c r="CE541" s="6" t="s">
        <v>5</v>
      </c>
      <c r="CF541" s="16" t="s">
        <v>5</v>
      </c>
      <c r="CG541" s="16" t="s">
        <v>5</v>
      </c>
      <c r="CH541" s="18" t="s">
        <v>5</v>
      </c>
    </row>
    <row r="542" spans="2:86">
      <c r="B542" s="78" t="s">
        <v>473</v>
      </c>
      <c r="C542" s="79" t="s">
        <v>642</v>
      </c>
      <c r="D542" s="80" t="s">
        <v>642</v>
      </c>
      <c r="E542" s="1" t="s">
        <v>4</v>
      </c>
      <c r="F542" s="4">
        <v>24.8</v>
      </c>
      <c r="G542" s="7">
        <v>7.34</v>
      </c>
      <c r="H542" s="3" t="str">
        <f t="shared" si="27"/>
        <v>2L6X6X5/16X3/4</v>
      </c>
      <c r="I542" s="7">
        <v>6</v>
      </c>
      <c r="J542" s="5" t="s">
        <v>5</v>
      </c>
      <c r="K542" s="6" t="s">
        <v>5</v>
      </c>
      <c r="L542" s="6" t="s">
        <v>5</v>
      </c>
      <c r="M542" s="6" t="s">
        <v>5</v>
      </c>
      <c r="N542" s="6" t="s">
        <v>5</v>
      </c>
      <c r="O542" s="5" t="s">
        <v>5</v>
      </c>
      <c r="P542" s="5" t="s">
        <v>5</v>
      </c>
      <c r="Q542" s="7">
        <v>6</v>
      </c>
      <c r="R542" s="6" t="s">
        <v>5</v>
      </c>
      <c r="S542" s="6" t="s">
        <v>5</v>
      </c>
      <c r="T542" s="5" t="s">
        <v>5</v>
      </c>
      <c r="U542" s="8" t="s">
        <v>5</v>
      </c>
      <c r="V542" s="6" t="s">
        <v>5</v>
      </c>
      <c r="W542" s="8" t="s">
        <v>5</v>
      </c>
      <c r="X542" s="22">
        <v>0.313</v>
      </c>
      <c r="Y542" s="6" t="s">
        <v>5</v>
      </c>
      <c r="Z542" s="6" t="s">
        <v>5</v>
      </c>
      <c r="AA542" s="6" t="s">
        <v>5</v>
      </c>
      <c r="AB542" s="8" t="s">
        <v>5</v>
      </c>
      <c r="AC542" s="8" t="s">
        <v>5</v>
      </c>
      <c r="AD542" s="6" t="s">
        <v>5</v>
      </c>
      <c r="AE542" s="7">
        <v>1.6</v>
      </c>
      <c r="AF542" s="6" t="s">
        <v>5</v>
      </c>
      <c r="AG542" s="6" t="s">
        <v>5</v>
      </c>
      <c r="AH542" s="22">
        <v>0.30599999999999999</v>
      </c>
      <c r="AI542" s="6" t="s">
        <v>5</v>
      </c>
      <c r="AJ542" s="4">
        <v>19.2</v>
      </c>
      <c r="AK542" s="6" t="s">
        <v>5</v>
      </c>
      <c r="AL542" s="6" t="s">
        <v>5</v>
      </c>
      <c r="AM542" s="6" t="s">
        <v>5</v>
      </c>
      <c r="AN542" s="6" t="s">
        <v>5</v>
      </c>
      <c r="AO542" s="4">
        <v>26</v>
      </c>
      <c r="AP542" s="4">
        <v>10.5</v>
      </c>
      <c r="AQ542" s="7">
        <v>5.9</v>
      </c>
      <c r="AR542" s="7">
        <v>1.88</v>
      </c>
      <c r="AS542" s="6">
        <v>54.3</v>
      </c>
      <c r="AT542" s="6">
        <v>14.5</v>
      </c>
      <c r="AU542" s="6">
        <v>8.52</v>
      </c>
      <c r="AV542" s="7">
        <v>2.72</v>
      </c>
      <c r="AW542" s="6" t="s">
        <v>5</v>
      </c>
      <c r="AX542" s="6" t="s">
        <v>5</v>
      </c>
      <c r="AY542" s="6" t="s">
        <v>5</v>
      </c>
      <c r="AZ542" s="6" t="s">
        <v>5</v>
      </c>
      <c r="BA542" s="6" t="s">
        <v>5</v>
      </c>
      <c r="BB542" s="6" t="s">
        <v>5</v>
      </c>
      <c r="BC542" s="6" t="s">
        <v>5</v>
      </c>
      <c r="BD542" s="6" t="s">
        <v>5</v>
      </c>
      <c r="BE542" s="6" t="s">
        <v>5</v>
      </c>
      <c r="BF542" s="6" t="s">
        <v>5</v>
      </c>
      <c r="BG542" s="6" t="s">
        <v>5</v>
      </c>
      <c r="BH542" s="6" t="s">
        <v>5</v>
      </c>
      <c r="BI542" s="7">
        <v>3.61</v>
      </c>
      <c r="BJ542" s="22">
        <v>0.84099999999999997</v>
      </c>
      <c r="BK542" s="6" t="s">
        <v>5</v>
      </c>
      <c r="BL542" s="2" t="s">
        <v>5</v>
      </c>
      <c r="BM542" s="2" t="s">
        <v>5</v>
      </c>
      <c r="BN542" s="2" t="s">
        <v>5</v>
      </c>
      <c r="BO542" s="2" t="s">
        <v>5</v>
      </c>
      <c r="BP542" s="2" t="s">
        <v>5</v>
      </c>
      <c r="BQ542" s="2" t="s">
        <v>5</v>
      </c>
      <c r="BR542" s="2" t="s">
        <v>5</v>
      </c>
      <c r="BS542" s="2" t="s">
        <v>5</v>
      </c>
      <c r="BT542" s="2" t="s">
        <v>5</v>
      </c>
      <c r="BU542" s="2" t="s">
        <v>5</v>
      </c>
      <c r="BV542" s="2" t="s">
        <v>5</v>
      </c>
      <c r="BW542" s="2" t="s">
        <v>5</v>
      </c>
      <c r="BX542" s="2" t="s">
        <v>5</v>
      </c>
      <c r="BY542" s="25" t="s">
        <v>5</v>
      </c>
      <c r="BZ542" s="25" t="s">
        <v>5</v>
      </c>
      <c r="CA542" s="6" t="s">
        <v>5</v>
      </c>
      <c r="CB542" s="6" t="s">
        <v>5</v>
      </c>
      <c r="CC542" s="6" t="s">
        <v>5</v>
      </c>
      <c r="CD542" s="6" t="s">
        <v>5</v>
      </c>
      <c r="CE542" s="6" t="s">
        <v>5</v>
      </c>
      <c r="CF542" s="16" t="s">
        <v>5</v>
      </c>
      <c r="CG542" s="16" t="s">
        <v>5</v>
      </c>
      <c r="CH542" s="18" t="s">
        <v>5</v>
      </c>
    </row>
    <row r="543" spans="2:86">
      <c r="B543" s="78" t="s">
        <v>473</v>
      </c>
      <c r="C543" s="79" t="s">
        <v>643</v>
      </c>
      <c r="D543" s="80" t="s">
        <v>643</v>
      </c>
      <c r="E543" s="1" t="s">
        <v>4</v>
      </c>
      <c r="F543" s="4">
        <v>54.4</v>
      </c>
      <c r="G543" s="4">
        <v>16</v>
      </c>
      <c r="H543" s="3" t="str">
        <f t="shared" si="27"/>
        <v>2L5X5X7/8</v>
      </c>
      <c r="I543" s="7">
        <v>5</v>
      </c>
      <c r="J543" s="5" t="s">
        <v>5</v>
      </c>
      <c r="K543" s="6" t="s">
        <v>5</v>
      </c>
      <c r="L543" s="6" t="s">
        <v>5</v>
      </c>
      <c r="M543" s="6" t="s">
        <v>5</v>
      </c>
      <c r="N543" s="6" t="s">
        <v>5</v>
      </c>
      <c r="O543" s="5" t="s">
        <v>5</v>
      </c>
      <c r="P543" s="5" t="s">
        <v>5</v>
      </c>
      <c r="Q543" s="7">
        <v>5</v>
      </c>
      <c r="R543" s="6" t="s">
        <v>5</v>
      </c>
      <c r="S543" s="6" t="s">
        <v>5</v>
      </c>
      <c r="T543" s="5" t="s">
        <v>5</v>
      </c>
      <c r="U543" s="8" t="s">
        <v>5</v>
      </c>
      <c r="V543" s="6" t="s">
        <v>5</v>
      </c>
      <c r="W543" s="8" t="s">
        <v>5</v>
      </c>
      <c r="X543" s="22">
        <v>0.875</v>
      </c>
      <c r="Y543" s="6" t="s">
        <v>5</v>
      </c>
      <c r="Z543" s="6" t="s">
        <v>5</v>
      </c>
      <c r="AA543" s="6" t="s">
        <v>5</v>
      </c>
      <c r="AB543" s="8" t="s">
        <v>5</v>
      </c>
      <c r="AC543" s="8" t="s">
        <v>5</v>
      </c>
      <c r="AD543" s="6" t="s">
        <v>5</v>
      </c>
      <c r="AE543" s="7">
        <v>1.56</v>
      </c>
      <c r="AF543" s="6" t="s">
        <v>5</v>
      </c>
      <c r="AG543" s="6" t="s">
        <v>5</v>
      </c>
      <c r="AH543" s="22">
        <v>0.8</v>
      </c>
      <c r="AI543" s="6" t="s">
        <v>5</v>
      </c>
      <c r="AJ543" s="7">
        <v>5.71</v>
      </c>
      <c r="AK543" s="6" t="s">
        <v>5</v>
      </c>
      <c r="AL543" s="6" t="s">
        <v>5</v>
      </c>
      <c r="AM543" s="6" t="s">
        <v>5</v>
      </c>
      <c r="AN543" s="6" t="s">
        <v>5</v>
      </c>
      <c r="AO543" s="4">
        <v>35.6</v>
      </c>
      <c r="AP543" s="4">
        <v>18.600000000000001</v>
      </c>
      <c r="AQ543" s="4">
        <v>10.3</v>
      </c>
      <c r="AR543" s="7">
        <v>1.49</v>
      </c>
      <c r="AS543" s="6">
        <v>74.599999999999994</v>
      </c>
      <c r="AT543" s="4">
        <v>25</v>
      </c>
      <c r="AU543" s="6">
        <v>14.9</v>
      </c>
      <c r="AV543" s="7">
        <v>2.16</v>
      </c>
      <c r="AW543" s="6" t="s">
        <v>5</v>
      </c>
      <c r="AX543" s="6" t="s">
        <v>5</v>
      </c>
      <c r="AY543" s="6" t="s">
        <v>5</v>
      </c>
      <c r="AZ543" s="6" t="s">
        <v>5</v>
      </c>
      <c r="BA543" s="6" t="s">
        <v>5</v>
      </c>
      <c r="BB543" s="6" t="s">
        <v>5</v>
      </c>
      <c r="BC543" s="6" t="s">
        <v>5</v>
      </c>
      <c r="BD543" s="6" t="s">
        <v>5</v>
      </c>
      <c r="BE543" s="6" t="s">
        <v>5</v>
      </c>
      <c r="BF543" s="6" t="s">
        <v>5</v>
      </c>
      <c r="BG543" s="6" t="s">
        <v>5</v>
      </c>
      <c r="BH543" s="6" t="s">
        <v>5</v>
      </c>
      <c r="BI543" s="7">
        <v>2.85</v>
      </c>
      <c r="BJ543" s="22">
        <v>0.84499999999999997</v>
      </c>
      <c r="BK543" s="6" t="s">
        <v>5</v>
      </c>
      <c r="BL543" s="2" t="s">
        <v>5</v>
      </c>
      <c r="BM543" s="2" t="s">
        <v>5</v>
      </c>
      <c r="BN543" s="2" t="s">
        <v>5</v>
      </c>
      <c r="BO543" s="2" t="s">
        <v>5</v>
      </c>
      <c r="BP543" s="2" t="s">
        <v>5</v>
      </c>
      <c r="BQ543" s="2" t="s">
        <v>5</v>
      </c>
      <c r="BR543" s="2" t="s">
        <v>5</v>
      </c>
      <c r="BS543" s="2" t="s">
        <v>5</v>
      </c>
      <c r="BT543" s="2" t="s">
        <v>5</v>
      </c>
      <c r="BU543" s="2" t="s">
        <v>5</v>
      </c>
      <c r="BV543" s="2" t="s">
        <v>5</v>
      </c>
      <c r="BW543" s="2" t="s">
        <v>5</v>
      </c>
      <c r="BX543" s="2" t="s">
        <v>5</v>
      </c>
      <c r="BY543" s="25" t="s">
        <v>5</v>
      </c>
      <c r="BZ543" s="25" t="s">
        <v>5</v>
      </c>
      <c r="CA543" s="6" t="s">
        <v>5</v>
      </c>
      <c r="CB543" s="6" t="s">
        <v>5</v>
      </c>
      <c r="CC543" s="6" t="s">
        <v>5</v>
      </c>
      <c r="CD543" s="6" t="s">
        <v>5</v>
      </c>
      <c r="CE543" s="6" t="s">
        <v>5</v>
      </c>
      <c r="CF543" s="16" t="s">
        <v>5</v>
      </c>
      <c r="CG543" s="16" t="s">
        <v>5</v>
      </c>
      <c r="CH543" s="18" t="s">
        <v>5</v>
      </c>
    </row>
    <row r="544" spans="2:86">
      <c r="B544" s="78" t="s">
        <v>473</v>
      </c>
      <c r="C544" s="79" t="s">
        <v>644</v>
      </c>
      <c r="D544" s="80" t="s">
        <v>644</v>
      </c>
      <c r="E544" s="1" t="s">
        <v>4</v>
      </c>
      <c r="F544" s="4">
        <v>54.4</v>
      </c>
      <c r="G544" s="4">
        <v>16</v>
      </c>
      <c r="H544" s="3" t="str">
        <f t="shared" si="27"/>
        <v>2L5X5X7/8X3/8</v>
      </c>
      <c r="I544" s="7">
        <v>5</v>
      </c>
      <c r="J544" s="5" t="s">
        <v>5</v>
      </c>
      <c r="K544" s="6" t="s">
        <v>5</v>
      </c>
      <c r="L544" s="6" t="s">
        <v>5</v>
      </c>
      <c r="M544" s="6" t="s">
        <v>5</v>
      </c>
      <c r="N544" s="6" t="s">
        <v>5</v>
      </c>
      <c r="O544" s="5" t="s">
        <v>5</v>
      </c>
      <c r="P544" s="5" t="s">
        <v>5</v>
      </c>
      <c r="Q544" s="7">
        <v>5</v>
      </c>
      <c r="R544" s="6" t="s">
        <v>5</v>
      </c>
      <c r="S544" s="6" t="s">
        <v>5</v>
      </c>
      <c r="T544" s="5" t="s">
        <v>5</v>
      </c>
      <c r="U544" s="8" t="s">
        <v>5</v>
      </c>
      <c r="V544" s="6" t="s">
        <v>5</v>
      </c>
      <c r="W544" s="8" t="s">
        <v>5</v>
      </c>
      <c r="X544" s="22">
        <v>0.875</v>
      </c>
      <c r="Y544" s="6" t="s">
        <v>5</v>
      </c>
      <c r="Z544" s="6" t="s">
        <v>5</v>
      </c>
      <c r="AA544" s="6" t="s">
        <v>5</v>
      </c>
      <c r="AB544" s="8" t="s">
        <v>5</v>
      </c>
      <c r="AC544" s="8" t="s">
        <v>5</v>
      </c>
      <c r="AD544" s="6" t="s">
        <v>5</v>
      </c>
      <c r="AE544" s="7">
        <v>1.56</v>
      </c>
      <c r="AF544" s="6" t="s">
        <v>5</v>
      </c>
      <c r="AG544" s="6" t="s">
        <v>5</v>
      </c>
      <c r="AH544" s="22">
        <v>0.8</v>
      </c>
      <c r="AI544" s="6" t="s">
        <v>5</v>
      </c>
      <c r="AJ544" s="7">
        <v>5.71</v>
      </c>
      <c r="AK544" s="6" t="s">
        <v>5</v>
      </c>
      <c r="AL544" s="6" t="s">
        <v>5</v>
      </c>
      <c r="AM544" s="6" t="s">
        <v>5</v>
      </c>
      <c r="AN544" s="6" t="s">
        <v>5</v>
      </c>
      <c r="AO544" s="4">
        <v>35.6</v>
      </c>
      <c r="AP544" s="4">
        <v>18.600000000000001</v>
      </c>
      <c r="AQ544" s="4">
        <v>10.3</v>
      </c>
      <c r="AR544" s="7">
        <v>1.49</v>
      </c>
      <c r="AS544" s="6">
        <v>84.6</v>
      </c>
      <c r="AT544" s="4">
        <v>28</v>
      </c>
      <c r="AU544" s="6">
        <v>16.3</v>
      </c>
      <c r="AV544" s="7">
        <v>2.2999999999999998</v>
      </c>
      <c r="AW544" s="6" t="s">
        <v>5</v>
      </c>
      <c r="AX544" s="6" t="s">
        <v>5</v>
      </c>
      <c r="AY544" s="6" t="s">
        <v>5</v>
      </c>
      <c r="AZ544" s="6" t="s">
        <v>5</v>
      </c>
      <c r="BA544" s="6" t="s">
        <v>5</v>
      </c>
      <c r="BB544" s="6" t="s">
        <v>5</v>
      </c>
      <c r="BC544" s="6" t="s">
        <v>5</v>
      </c>
      <c r="BD544" s="6" t="s">
        <v>5</v>
      </c>
      <c r="BE544" s="6" t="s">
        <v>5</v>
      </c>
      <c r="BF544" s="6" t="s">
        <v>5</v>
      </c>
      <c r="BG544" s="6" t="s">
        <v>5</v>
      </c>
      <c r="BH544" s="6" t="s">
        <v>5</v>
      </c>
      <c r="BI544" s="7">
        <v>2.96</v>
      </c>
      <c r="BJ544" s="22">
        <v>0.85599999999999998</v>
      </c>
      <c r="BK544" s="6" t="s">
        <v>5</v>
      </c>
      <c r="BL544" s="2" t="s">
        <v>5</v>
      </c>
      <c r="BM544" s="2" t="s">
        <v>5</v>
      </c>
      <c r="BN544" s="2" t="s">
        <v>5</v>
      </c>
      <c r="BO544" s="2" t="s">
        <v>5</v>
      </c>
      <c r="BP544" s="2" t="s">
        <v>5</v>
      </c>
      <c r="BQ544" s="2" t="s">
        <v>5</v>
      </c>
      <c r="BR544" s="2" t="s">
        <v>5</v>
      </c>
      <c r="BS544" s="2" t="s">
        <v>5</v>
      </c>
      <c r="BT544" s="2" t="s">
        <v>5</v>
      </c>
      <c r="BU544" s="2" t="s">
        <v>5</v>
      </c>
      <c r="BV544" s="2" t="s">
        <v>5</v>
      </c>
      <c r="BW544" s="2" t="s">
        <v>5</v>
      </c>
      <c r="BX544" s="2" t="s">
        <v>5</v>
      </c>
      <c r="BY544" s="25" t="s">
        <v>5</v>
      </c>
      <c r="BZ544" s="25" t="s">
        <v>5</v>
      </c>
      <c r="CA544" s="6" t="s">
        <v>5</v>
      </c>
      <c r="CB544" s="6" t="s">
        <v>5</v>
      </c>
      <c r="CC544" s="6" t="s">
        <v>5</v>
      </c>
      <c r="CD544" s="6" t="s">
        <v>5</v>
      </c>
      <c r="CE544" s="6" t="s">
        <v>5</v>
      </c>
      <c r="CF544" s="16" t="s">
        <v>5</v>
      </c>
      <c r="CG544" s="16" t="s">
        <v>5</v>
      </c>
      <c r="CH544" s="18" t="s">
        <v>5</v>
      </c>
    </row>
    <row r="545" spans="2:86">
      <c r="B545" s="78" t="s">
        <v>473</v>
      </c>
      <c r="C545" s="79" t="s">
        <v>645</v>
      </c>
      <c r="D545" s="80" t="s">
        <v>645</v>
      </c>
      <c r="E545" s="1" t="s">
        <v>4</v>
      </c>
      <c r="F545" s="4">
        <v>54.4</v>
      </c>
      <c r="G545" s="4">
        <v>16</v>
      </c>
      <c r="H545" s="3" t="str">
        <f t="shared" si="27"/>
        <v>2L5X5X7/8X3/4</v>
      </c>
      <c r="I545" s="7">
        <v>5</v>
      </c>
      <c r="J545" s="5" t="s">
        <v>5</v>
      </c>
      <c r="K545" s="6" t="s">
        <v>5</v>
      </c>
      <c r="L545" s="6" t="s">
        <v>5</v>
      </c>
      <c r="M545" s="6" t="s">
        <v>5</v>
      </c>
      <c r="N545" s="6" t="s">
        <v>5</v>
      </c>
      <c r="O545" s="5" t="s">
        <v>5</v>
      </c>
      <c r="P545" s="5" t="s">
        <v>5</v>
      </c>
      <c r="Q545" s="7">
        <v>5</v>
      </c>
      <c r="R545" s="6" t="s">
        <v>5</v>
      </c>
      <c r="S545" s="6" t="s">
        <v>5</v>
      </c>
      <c r="T545" s="5" t="s">
        <v>5</v>
      </c>
      <c r="U545" s="8" t="s">
        <v>5</v>
      </c>
      <c r="V545" s="6" t="s">
        <v>5</v>
      </c>
      <c r="W545" s="8" t="s">
        <v>5</v>
      </c>
      <c r="X545" s="22">
        <v>0.875</v>
      </c>
      <c r="Y545" s="6" t="s">
        <v>5</v>
      </c>
      <c r="Z545" s="6" t="s">
        <v>5</v>
      </c>
      <c r="AA545" s="6" t="s">
        <v>5</v>
      </c>
      <c r="AB545" s="8" t="s">
        <v>5</v>
      </c>
      <c r="AC545" s="8" t="s">
        <v>5</v>
      </c>
      <c r="AD545" s="6" t="s">
        <v>5</v>
      </c>
      <c r="AE545" s="7">
        <v>1.56</v>
      </c>
      <c r="AF545" s="6" t="s">
        <v>5</v>
      </c>
      <c r="AG545" s="6" t="s">
        <v>5</v>
      </c>
      <c r="AH545" s="22">
        <v>0.8</v>
      </c>
      <c r="AI545" s="6" t="s">
        <v>5</v>
      </c>
      <c r="AJ545" s="7">
        <v>5.71</v>
      </c>
      <c r="AK545" s="6" t="s">
        <v>5</v>
      </c>
      <c r="AL545" s="6" t="s">
        <v>5</v>
      </c>
      <c r="AM545" s="6" t="s">
        <v>5</v>
      </c>
      <c r="AN545" s="6" t="s">
        <v>5</v>
      </c>
      <c r="AO545" s="4">
        <v>35.6</v>
      </c>
      <c r="AP545" s="4">
        <v>18.600000000000001</v>
      </c>
      <c r="AQ545" s="4">
        <v>10.3</v>
      </c>
      <c r="AR545" s="7">
        <v>1.49</v>
      </c>
      <c r="AS545" s="6">
        <v>95.3</v>
      </c>
      <c r="AT545" s="4">
        <v>31</v>
      </c>
      <c r="AU545" s="6">
        <v>17.7</v>
      </c>
      <c r="AV545" s="7">
        <v>2.44</v>
      </c>
      <c r="AW545" s="6" t="s">
        <v>5</v>
      </c>
      <c r="AX545" s="6" t="s">
        <v>5</v>
      </c>
      <c r="AY545" s="6" t="s">
        <v>5</v>
      </c>
      <c r="AZ545" s="6" t="s">
        <v>5</v>
      </c>
      <c r="BA545" s="6" t="s">
        <v>5</v>
      </c>
      <c r="BB545" s="6" t="s">
        <v>5</v>
      </c>
      <c r="BC545" s="6" t="s">
        <v>5</v>
      </c>
      <c r="BD545" s="6" t="s">
        <v>5</v>
      </c>
      <c r="BE545" s="6" t="s">
        <v>5</v>
      </c>
      <c r="BF545" s="6" t="s">
        <v>5</v>
      </c>
      <c r="BG545" s="6" t="s">
        <v>5</v>
      </c>
      <c r="BH545" s="6" t="s">
        <v>5</v>
      </c>
      <c r="BI545" s="7">
        <v>3.07</v>
      </c>
      <c r="BJ545" s="22">
        <v>0.86599999999999999</v>
      </c>
      <c r="BK545" s="6" t="s">
        <v>5</v>
      </c>
      <c r="BL545" s="2" t="s">
        <v>5</v>
      </c>
      <c r="BM545" s="2" t="s">
        <v>5</v>
      </c>
      <c r="BN545" s="2" t="s">
        <v>5</v>
      </c>
      <c r="BO545" s="2" t="s">
        <v>5</v>
      </c>
      <c r="BP545" s="2" t="s">
        <v>5</v>
      </c>
      <c r="BQ545" s="2" t="s">
        <v>5</v>
      </c>
      <c r="BR545" s="2" t="s">
        <v>5</v>
      </c>
      <c r="BS545" s="2" t="s">
        <v>5</v>
      </c>
      <c r="BT545" s="2" t="s">
        <v>5</v>
      </c>
      <c r="BU545" s="2" t="s">
        <v>5</v>
      </c>
      <c r="BV545" s="2" t="s">
        <v>5</v>
      </c>
      <c r="BW545" s="2" t="s">
        <v>5</v>
      </c>
      <c r="BX545" s="2" t="s">
        <v>5</v>
      </c>
      <c r="BY545" s="25" t="s">
        <v>5</v>
      </c>
      <c r="BZ545" s="25" t="s">
        <v>5</v>
      </c>
      <c r="CA545" s="6" t="s">
        <v>5</v>
      </c>
      <c r="CB545" s="6" t="s">
        <v>5</v>
      </c>
      <c r="CC545" s="6" t="s">
        <v>5</v>
      </c>
      <c r="CD545" s="6" t="s">
        <v>5</v>
      </c>
      <c r="CE545" s="6" t="s">
        <v>5</v>
      </c>
      <c r="CF545" s="16" t="s">
        <v>5</v>
      </c>
      <c r="CG545" s="16" t="s">
        <v>5</v>
      </c>
      <c r="CH545" s="18" t="s">
        <v>5</v>
      </c>
    </row>
    <row r="546" spans="2:86">
      <c r="B546" s="78" t="s">
        <v>473</v>
      </c>
      <c r="C546" s="79" t="s">
        <v>646</v>
      </c>
      <c r="D546" s="80" t="s">
        <v>646</v>
      </c>
      <c r="E546" s="1" t="s">
        <v>4</v>
      </c>
      <c r="F546" s="4">
        <v>47.2</v>
      </c>
      <c r="G546" s="4">
        <v>14</v>
      </c>
      <c r="H546" s="3" t="str">
        <f t="shared" si="27"/>
        <v>2L5X5X3/4</v>
      </c>
      <c r="I546" s="7">
        <v>5</v>
      </c>
      <c r="J546" s="5" t="s">
        <v>5</v>
      </c>
      <c r="K546" s="6" t="s">
        <v>5</v>
      </c>
      <c r="L546" s="6" t="s">
        <v>5</v>
      </c>
      <c r="M546" s="6" t="s">
        <v>5</v>
      </c>
      <c r="N546" s="6" t="s">
        <v>5</v>
      </c>
      <c r="O546" s="5" t="s">
        <v>5</v>
      </c>
      <c r="P546" s="5" t="s">
        <v>5</v>
      </c>
      <c r="Q546" s="7">
        <v>5</v>
      </c>
      <c r="R546" s="6" t="s">
        <v>5</v>
      </c>
      <c r="S546" s="6" t="s">
        <v>5</v>
      </c>
      <c r="T546" s="5" t="s">
        <v>5</v>
      </c>
      <c r="U546" s="8" t="s">
        <v>5</v>
      </c>
      <c r="V546" s="6" t="s">
        <v>5</v>
      </c>
      <c r="W546" s="8" t="s">
        <v>5</v>
      </c>
      <c r="X546" s="22">
        <v>0.75</v>
      </c>
      <c r="Y546" s="6" t="s">
        <v>5</v>
      </c>
      <c r="Z546" s="6" t="s">
        <v>5</v>
      </c>
      <c r="AA546" s="6" t="s">
        <v>5</v>
      </c>
      <c r="AB546" s="8" t="s">
        <v>5</v>
      </c>
      <c r="AC546" s="8" t="s">
        <v>5</v>
      </c>
      <c r="AD546" s="6" t="s">
        <v>5</v>
      </c>
      <c r="AE546" s="7">
        <v>1.52</v>
      </c>
      <c r="AF546" s="6" t="s">
        <v>5</v>
      </c>
      <c r="AG546" s="6" t="s">
        <v>5</v>
      </c>
      <c r="AH546" s="22">
        <v>0.69799999999999995</v>
      </c>
      <c r="AI546" s="6" t="s">
        <v>5</v>
      </c>
      <c r="AJ546" s="7">
        <v>6.67</v>
      </c>
      <c r="AK546" s="6" t="s">
        <v>5</v>
      </c>
      <c r="AL546" s="6" t="s">
        <v>5</v>
      </c>
      <c r="AM546" s="6" t="s">
        <v>5</v>
      </c>
      <c r="AN546" s="6" t="s">
        <v>5</v>
      </c>
      <c r="AO546" s="4">
        <v>31.4</v>
      </c>
      <c r="AP546" s="4">
        <v>16.3</v>
      </c>
      <c r="AQ546" s="7">
        <v>9.0399999999999991</v>
      </c>
      <c r="AR546" s="7">
        <v>1.5</v>
      </c>
      <c r="AS546" s="6">
        <v>63.5</v>
      </c>
      <c r="AT546" s="6">
        <v>21.2</v>
      </c>
      <c r="AU546" s="6">
        <v>12.7</v>
      </c>
      <c r="AV546" s="7">
        <v>2.13</v>
      </c>
      <c r="AW546" s="6" t="s">
        <v>5</v>
      </c>
      <c r="AX546" s="6" t="s">
        <v>5</v>
      </c>
      <c r="AY546" s="6" t="s">
        <v>5</v>
      </c>
      <c r="AZ546" s="6" t="s">
        <v>5</v>
      </c>
      <c r="BA546" s="6" t="s">
        <v>5</v>
      </c>
      <c r="BB546" s="6" t="s">
        <v>5</v>
      </c>
      <c r="BC546" s="6" t="s">
        <v>5</v>
      </c>
      <c r="BD546" s="6" t="s">
        <v>5</v>
      </c>
      <c r="BE546" s="6" t="s">
        <v>5</v>
      </c>
      <c r="BF546" s="6" t="s">
        <v>5</v>
      </c>
      <c r="BG546" s="6" t="s">
        <v>5</v>
      </c>
      <c r="BH546" s="6" t="s">
        <v>5</v>
      </c>
      <c r="BI546" s="7">
        <v>2.85</v>
      </c>
      <c r="BJ546" s="22">
        <v>0.84</v>
      </c>
      <c r="BK546" s="6" t="s">
        <v>5</v>
      </c>
      <c r="BL546" s="2" t="s">
        <v>5</v>
      </c>
      <c r="BM546" s="2" t="s">
        <v>5</v>
      </c>
      <c r="BN546" s="2" t="s">
        <v>5</v>
      </c>
      <c r="BO546" s="2" t="s">
        <v>5</v>
      </c>
      <c r="BP546" s="2" t="s">
        <v>5</v>
      </c>
      <c r="BQ546" s="2" t="s">
        <v>5</v>
      </c>
      <c r="BR546" s="2" t="s">
        <v>5</v>
      </c>
      <c r="BS546" s="2" t="s">
        <v>5</v>
      </c>
      <c r="BT546" s="2" t="s">
        <v>5</v>
      </c>
      <c r="BU546" s="2" t="s">
        <v>5</v>
      </c>
      <c r="BV546" s="2" t="s">
        <v>5</v>
      </c>
      <c r="BW546" s="2" t="s">
        <v>5</v>
      </c>
      <c r="BX546" s="2" t="s">
        <v>5</v>
      </c>
      <c r="BY546" s="25" t="s">
        <v>5</v>
      </c>
      <c r="BZ546" s="25" t="s">
        <v>5</v>
      </c>
      <c r="CA546" s="6" t="s">
        <v>5</v>
      </c>
      <c r="CB546" s="6" t="s">
        <v>5</v>
      </c>
      <c r="CC546" s="6" t="s">
        <v>5</v>
      </c>
      <c r="CD546" s="6" t="s">
        <v>5</v>
      </c>
      <c r="CE546" s="6" t="s">
        <v>5</v>
      </c>
      <c r="CF546" s="16" t="s">
        <v>5</v>
      </c>
      <c r="CG546" s="16" t="s">
        <v>5</v>
      </c>
      <c r="CH546" s="18" t="s">
        <v>5</v>
      </c>
    </row>
    <row r="547" spans="2:86">
      <c r="B547" s="78" t="s">
        <v>473</v>
      </c>
      <c r="C547" s="79" t="s">
        <v>647</v>
      </c>
      <c r="D547" s="80" t="s">
        <v>647</v>
      </c>
      <c r="E547" s="1" t="s">
        <v>4</v>
      </c>
      <c r="F547" s="4">
        <v>47.2</v>
      </c>
      <c r="G547" s="4">
        <v>14</v>
      </c>
      <c r="H547" s="3" t="str">
        <f t="shared" si="27"/>
        <v>2L5X5X3/4X3/8</v>
      </c>
      <c r="I547" s="7">
        <v>5</v>
      </c>
      <c r="J547" s="5" t="s">
        <v>5</v>
      </c>
      <c r="K547" s="6" t="s">
        <v>5</v>
      </c>
      <c r="L547" s="6" t="s">
        <v>5</v>
      </c>
      <c r="M547" s="6" t="s">
        <v>5</v>
      </c>
      <c r="N547" s="6" t="s">
        <v>5</v>
      </c>
      <c r="O547" s="5" t="s">
        <v>5</v>
      </c>
      <c r="P547" s="5" t="s">
        <v>5</v>
      </c>
      <c r="Q547" s="7">
        <v>5</v>
      </c>
      <c r="R547" s="6" t="s">
        <v>5</v>
      </c>
      <c r="S547" s="6" t="s">
        <v>5</v>
      </c>
      <c r="T547" s="5" t="s">
        <v>5</v>
      </c>
      <c r="U547" s="8" t="s">
        <v>5</v>
      </c>
      <c r="V547" s="6" t="s">
        <v>5</v>
      </c>
      <c r="W547" s="8" t="s">
        <v>5</v>
      </c>
      <c r="X547" s="22">
        <v>0.75</v>
      </c>
      <c r="Y547" s="6" t="s">
        <v>5</v>
      </c>
      <c r="Z547" s="6" t="s">
        <v>5</v>
      </c>
      <c r="AA547" s="6" t="s">
        <v>5</v>
      </c>
      <c r="AB547" s="8" t="s">
        <v>5</v>
      </c>
      <c r="AC547" s="8" t="s">
        <v>5</v>
      </c>
      <c r="AD547" s="6" t="s">
        <v>5</v>
      </c>
      <c r="AE547" s="7">
        <v>1.52</v>
      </c>
      <c r="AF547" s="6" t="s">
        <v>5</v>
      </c>
      <c r="AG547" s="6" t="s">
        <v>5</v>
      </c>
      <c r="AH547" s="22">
        <v>0.69799999999999995</v>
      </c>
      <c r="AI547" s="6" t="s">
        <v>5</v>
      </c>
      <c r="AJ547" s="7">
        <v>6.67</v>
      </c>
      <c r="AK547" s="6" t="s">
        <v>5</v>
      </c>
      <c r="AL547" s="6" t="s">
        <v>5</v>
      </c>
      <c r="AM547" s="6" t="s">
        <v>5</v>
      </c>
      <c r="AN547" s="6" t="s">
        <v>5</v>
      </c>
      <c r="AO547" s="4">
        <v>31.4</v>
      </c>
      <c r="AP547" s="4">
        <v>16.3</v>
      </c>
      <c r="AQ547" s="7">
        <v>9.0399999999999991</v>
      </c>
      <c r="AR547" s="7">
        <v>1.5</v>
      </c>
      <c r="AS547" s="6">
        <v>72.099999999999994</v>
      </c>
      <c r="AT547" s="6">
        <v>23.8</v>
      </c>
      <c r="AU547" s="6">
        <v>13.9</v>
      </c>
      <c r="AV547" s="7">
        <v>2.27</v>
      </c>
      <c r="AW547" s="6" t="s">
        <v>5</v>
      </c>
      <c r="AX547" s="6" t="s">
        <v>5</v>
      </c>
      <c r="AY547" s="6" t="s">
        <v>5</v>
      </c>
      <c r="AZ547" s="6" t="s">
        <v>5</v>
      </c>
      <c r="BA547" s="6" t="s">
        <v>5</v>
      </c>
      <c r="BB547" s="6" t="s">
        <v>5</v>
      </c>
      <c r="BC547" s="6" t="s">
        <v>5</v>
      </c>
      <c r="BD547" s="6" t="s">
        <v>5</v>
      </c>
      <c r="BE547" s="6" t="s">
        <v>5</v>
      </c>
      <c r="BF547" s="6" t="s">
        <v>5</v>
      </c>
      <c r="BG547" s="6" t="s">
        <v>5</v>
      </c>
      <c r="BH547" s="6" t="s">
        <v>5</v>
      </c>
      <c r="BI547" s="7">
        <v>2.95</v>
      </c>
      <c r="BJ547" s="22">
        <v>0.85099999999999998</v>
      </c>
      <c r="BK547" s="6" t="s">
        <v>5</v>
      </c>
      <c r="BL547" s="2" t="s">
        <v>5</v>
      </c>
      <c r="BM547" s="2" t="s">
        <v>5</v>
      </c>
      <c r="BN547" s="2" t="s">
        <v>5</v>
      </c>
      <c r="BO547" s="2" t="s">
        <v>5</v>
      </c>
      <c r="BP547" s="2" t="s">
        <v>5</v>
      </c>
      <c r="BQ547" s="2" t="s">
        <v>5</v>
      </c>
      <c r="BR547" s="2" t="s">
        <v>5</v>
      </c>
      <c r="BS547" s="2" t="s">
        <v>5</v>
      </c>
      <c r="BT547" s="2" t="s">
        <v>5</v>
      </c>
      <c r="BU547" s="2" t="s">
        <v>5</v>
      </c>
      <c r="BV547" s="2" t="s">
        <v>5</v>
      </c>
      <c r="BW547" s="2" t="s">
        <v>5</v>
      </c>
      <c r="BX547" s="2" t="s">
        <v>5</v>
      </c>
      <c r="BY547" s="25" t="s">
        <v>5</v>
      </c>
      <c r="BZ547" s="25" t="s">
        <v>5</v>
      </c>
      <c r="CA547" s="6" t="s">
        <v>5</v>
      </c>
      <c r="CB547" s="6" t="s">
        <v>5</v>
      </c>
      <c r="CC547" s="6" t="s">
        <v>5</v>
      </c>
      <c r="CD547" s="6" t="s">
        <v>5</v>
      </c>
      <c r="CE547" s="6" t="s">
        <v>5</v>
      </c>
      <c r="CF547" s="16" t="s">
        <v>5</v>
      </c>
      <c r="CG547" s="16" t="s">
        <v>5</v>
      </c>
      <c r="CH547" s="18" t="s">
        <v>5</v>
      </c>
    </row>
    <row r="548" spans="2:86">
      <c r="B548" s="78" t="s">
        <v>473</v>
      </c>
      <c r="C548" s="79" t="s">
        <v>648</v>
      </c>
      <c r="D548" s="80" t="s">
        <v>648</v>
      </c>
      <c r="E548" s="1" t="s">
        <v>4</v>
      </c>
      <c r="F548" s="4">
        <v>47.2</v>
      </c>
      <c r="G548" s="4">
        <v>14</v>
      </c>
      <c r="H548" s="3" t="str">
        <f t="shared" si="27"/>
        <v>2L5X5X3/4X3/4</v>
      </c>
      <c r="I548" s="7">
        <v>5</v>
      </c>
      <c r="J548" s="5" t="s">
        <v>5</v>
      </c>
      <c r="K548" s="6" t="s">
        <v>5</v>
      </c>
      <c r="L548" s="6" t="s">
        <v>5</v>
      </c>
      <c r="M548" s="6" t="s">
        <v>5</v>
      </c>
      <c r="N548" s="6" t="s">
        <v>5</v>
      </c>
      <c r="O548" s="5" t="s">
        <v>5</v>
      </c>
      <c r="P548" s="5" t="s">
        <v>5</v>
      </c>
      <c r="Q548" s="7">
        <v>5</v>
      </c>
      <c r="R548" s="6" t="s">
        <v>5</v>
      </c>
      <c r="S548" s="6" t="s">
        <v>5</v>
      </c>
      <c r="T548" s="5" t="s">
        <v>5</v>
      </c>
      <c r="U548" s="8" t="s">
        <v>5</v>
      </c>
      <c r="V548" s="6" t="s">
        <v>5</v>
      </c>
      <c r="W548" s="8" t="s">
        <v>5</v>
      </c>
      <c r="X548" s="22">
        <v>0.75</v>
      </c>
      <c r="Y548" s="6" t="s">
        <v>5</v>
      </c>
      <c r="Z548" s="6" t="s">
        <v>5</v>
      </c>
      <c r="AA548" s="6" t="s">
        <v>5</v>
      </c>
      <c r="AB548" s="8" t="s">
        <v>5</v>
      </c>
      <c r="AC548" s="8" t="s">
        <v>5</v>
      </c>
      <c r="AD548" s="6" t="s">
        <v>5</v>
      </c>
      <c r="AE548" s="7">
        <v>1.52</v>
      </c>
      <c r="AF548" s="6" t="s">
        <v>5</v>
      </c>
      <c r="AG548" s="6" t="s">
        <v>5</v>
      </c>
      <c r="AH548" s="22">
        <v>0.69799999999999995</v>
      </c>
      <c r="AI548" s="6" t="s">
        <v>5</v>
      </c>
      <c r="AJ548" s="7">
        <v>6.67</v>
      </c>
      <c r="AK548" s="6" t="s">
        <v>5</v>
      </c>
      <c r="AL548" s="6" t="s">
        <v>5</v>
      </c>
      <c r="AM548" s="6" t="s">
        <v>5</v>
      </c>
      <c r="AN548" s="6" t="s">
        <v>5</v>
      </c>
      <c r="AO548" s="4">
        <v>31.4</v>
      </c>
      <c r="AP548" s="4">
        <v>16.3</v>
      </c>
      <c r="AQ548" s="7">
        <v>9.0399999999999991</v>
      </c>
      <c r="AR548" s="7">
        <v>1.5</v>
      </c>
      <c r="AS548" s="6">
        <v>81.3</v>
      </c>
      <c r="AT548" s="6">
        <v>26.5</v>
      </c>
      <c r="AU548" s="6">
        <v>15.1</v>
      </c>
      <c r="AV548" s="7">
        <v>2.41</v>
      </c>
      <c r="AW548" s="6" t="s">
        <v>5</v>
      </c>
      <c r="AX548" s="6" t="s">
        <v>5</v>
      </c>
      <c r="AY548" s="6" t="s">
        <v>5</v>
      </c>
      <c r="AZ548" s="6" t="s">
        <v>5</v>
      </c>
      <c r="BA548" s="6" t="s">
        <v>5</v>
      </c>
      <c r="BB548" s="6" t="s">
        <v>5</v>
      </c>
      <c r="BC548" s="6" t="s">
        <v>5</v>
      </c>
      <c r="BD548" s="6" t="s">
        <v>5</v>
      </c>
      <c r="BE548" s="6" t="s">
        <v>5</v>
      </c>
      <c r="BF548" s="6" t="s">
        <v>5</v>
      </c>
      <c r="BG548" s="6" t="s">
        <v>5</v>
      </c>
      <c r="BH548" s="6" t="s">
        <v>5</v>
      </c>
      <c r="BI548" s="7">
        <v>3.06</v>
      </c>
      <c r="BJ548" s="22">
        <v>0.86099999999999999</v>
      </c>
      <c r="BK548" s="6" t="s">
        <v>5</v>
      </c>
      <c r="BL548" s="2" t="s">
        <v>5</v>
      </c>
      <c r="BM548" s="2" t="s">
        <v>5</v>
      </c>
      <c r="BN548" s="2" t="s">
        <v>5</v>
      </c>
      <c r="BO548" s="2" t="s">
        <v>5</v>
      </c>
      <c r="BP548" s="2" t="s">
        <v>5</v>
      </c>
      <c r="BQ548" s="2" t="s">
        <v>5</v>
      </c>
      <c r="BR548" s="2" t="s">
        <v>5</v>
      </c>
      <c r="BS548" s="2" t="s">
        <v>5</v>
      </c>
      <c r="BT548" s="2" t="s">
        <v>5</v>
      </c>
      <c r="BU548" s="2" t="s">
        <v>5</v>
      </c>
      <c r="BV548" s="2" t="s">
        <v>5</v>
      </c>
      <c r="BW548" s="2" t="s">
        <v>5</v>
      </c>
      <c r="BX548" s="2" t="s">
        <v>5</v>
      </c>
      <c r="BY548" s="25" t="s">
        <v>5</v>
      </c>
      <c r="BZ548" s="25" t="s">
        <v>5</v>
      </c>
      <c r="CA548" s="6" t="s">
        <v>5</v>
      </c>
      <c r="CB548" s="6" t="s">
        <v>5</v>
      </c>
      <c r="CC548" s="6" t="s">
        <v>5</v>
      </c>
      <c r="CD548" s="6" t="s">
        <v>5</v>
      </c>
      <c r="CE548" s="6" t="s">
        <v>5</v>
      </c>
      <c r="CF548" s="16" t="s">
        <v>5</v>
      </c>
      <c r="CG548" s="16" t="s">
        <v>5</v>
      </c>
      <c r="CH548" s="18" t="s">
        <v>5</v>
      </c>
    </row>
    <row r="549" spans="2:86">
      <c r="B549" s="78" t="s">
        <v>473</v>
      </c>
      <c r="C549" s="79" t="s">
        <v>649</v>
      </c>
      <c r="D549" s="80" t="s">
        <v>649</v>
      </c>
      <c r="E549" s="1" t="s">
        <v>4</v>
      </c>
      <c r="F549" s="4">
        <v>40</v>
      </c>
      <c r="G549" s="4">
        <v>11.8</v>
      </c>
      <c r="H549" s="3" t="str">
        <f t="shared" si="27"/>
        <v>2L5X5X5/8</v>
      </c>
      <c r="I549" s="7">
        <v>5</v>
      </c>
      <c r="J549" s="5" t="s">
        <v>5</v>
      </c>
      <c r="K549" s="6" t="s">
        <v>5</v>
      </c>
      <c r="L549" s="6" t="s">
        <v>5</v>
      </c>
      <c r="M549" s="6" t="s">
        <v>5</v>
      </c>
      <c r="N549" s="6" t="s">
        <v>5</v>
      </c>
      <c r="O549" s="5" t="s">
        <v>5</v>
      </c>
      <c r="P549" s="5" t="s">
        <v>5</v>
      </c>
      <c r="Q549" s="7">
        <v>5</v>
      </c>
      <c r="R549" s="6" t="s">
        <v>5</v>
      </c>
      <c r="S549" s="6" t="s">
        <v>5</v>
      </c>
      <c r="T549" s="5" t="s">
        <v>5</v>
      </c>
      <c r="U549" s="8" t="s">
        <v>5</v>
      </c>
      <c r="V549" s="6" t="s">
        <v>5</v>
      </c>
      <c r="W549" s="8" t="s">
        <v>5</v>
      </c>
      <c r="X549" s="22">
        <v>0.625</v>
      </c>
      <c r="Y549" s="6" t="s">
        <v>5</v>
      </c>
      <c r="Z549" s="6" t="s">
        <v>5</v>
      </c>
      <c r="AA549" s="6" t="s">
        <v>5</v>
      </c>
      <c r="AB549" s="8" t="s">
        <v>5</v>
      </c>
      <c r="AC549" s="8" t="s">
        <v>5</v>
      </c>
      <c r="AD549" s="6" t="s">
        <v>5</v>
      </c>
      <c r="AE549" s="7">
        <v>1.47</v>
      </c>
      <c r="AF549" s="6" t="s">
        <v>5</v>
      </c>
      <c r="AG549" s="6" t="s">
        <v>5</v>
      </c>
      <c r="AH549" s="22">
        <v>0.59</v>
      </c>
      <c r="AI549" s="6" t="s">
        <v>5</v>
      </c>
      <c r="AJ549" s="7">
        <v>8</v>
      </c>
      <c r="AK549" s="6" t="s">
        <v>5</v>
      </c>
      <c r="AL549" s="6" t="s">
        <v>5</v>
      </c>
      <c r="AM549" s="6" t="s">
        <v>5</v>
      </c>
      <c r="AN549" s="6" t="s">
        <v>5</v>
      </c>
      <c r="AO549" s="4">
        <v>27.2</v>
      </c>
      <c r="AP549" s="4">
        <v>13.9</v>
      </c>
      <c r="AQ549" s="7">
        <v>7.7</v>
      </c>
      <c r="AR549" s="7">
        <v>1.52</v>
      </c>
      <c r="AS549" s="6">
        <v>52.5</v>
      </c>
      <c r="AT549" s="6">
        <v>17.3</v>
      </c>
      <c r="AU549" s="6">
        <v>10.5</v>
      </c>
      <c r="AV549" s="7">
        <v>2.11</v>
      </c>
      <c r="AW549" s="6" t="s">
        <v>5</v>
      </c>
      <c r="AX549" s="6" t="s">
        <v>5</v>
      </c>
      <c r="AY549" s="6" t="s">
        <v>5</v>
      </c>
      <c r="AZ549" s="6" t="s">
        <v>5</v>
      </c>
      <c r="BA549" s="6" t="s">
        <v>5</v>
      </c>
      <c r="BB549" s="6" t="s">
        <v>5</v>
      </c>
      <c r="BC549" s="6" t="s">
        <v>5</v>
      </c>
      <c r="BD549" s="6" t="s">
        <v>5</v>
      </c>
      <c r="BE549" s="6" t="s">
        <v>5</v>
      </c>
      <c r="BF549" s="6" t="s">
        <v>5</v>
      </c>
      <c r="BG549" s="6" t="s">
        <v>5</v>
      </c>
      <c r="BH549" s="6" t="s">
        <v>5</v>
      </c>
      <c r="BI549" s="7">
        <v>2.85</v>
      </c>
      <c r="BJ549" s="22">
        <v>0.83499999999999996</v>
      </c>
      <c r="BK549" s="6" t="s">
        <v>5</v>
      </c>
      <c r="BL549" s="2" t="s">
        <v>5</v>
      </c>
      <c r="BM549" s="2" t="s">
        <v>5</v>
      </c>
      <c r="BN549" s="2" t="s">
        <v>5</v>
      </c>
      <c r="BO549" s="2" t="s">
        <v>5</v>
      </c>
      <c r="BP549" s="2" t="s">
        <v>5</v>
      </c>
      <c r="BQ549" s="2" t="s">
        <v>5</v>
      </c>
      <c r="BR549" s="2" t="s">
        <v>5</v>
      </c>
      <c r="BS549" s="2" t="s">
        <v>5</v>
      </c>
      <c r="BT549" s="2" t="s">
        <v>5</v>
      </c>
      <c r="BU549" s="2" t="s">
        <v>5</v>
      </c>
      <c r="BV549" s="2" t="s">
        <v>5</v>
      </c>
      <c r="BW549" s="2" t="s">
        <v>5</v>
      </c>
      <c r="BX549" s="2" t="s">
        <v>5</v>
      </c>
      <c r="BY549" s="25" t="s">
        <v>5</v>
      </c>
      <c r="BZ549" s="25" t="s">
        <v>5</v>
      </c>
      <c r="CA549" s="6" t="s">
        <v>5</v>
      </c>
      <c r="CB549" s="6" t="s">
        <v>5</v>
      </c>
      <c r="CC549" s="6" t="s">
        <v>5</v>
      </c>
      <c r="CD549" s="6" t="s">
        <v>5</v>
      </c>
      <c r="CE549" s="6" t="s">
        <v>5</v>
      </c>
      <c r="CF549" s="16" t="s">
        <v>5</v>
      </c>
      <c r="CG549" s="16" t="s">
        <v>5</v>
      </c>
      <c r="CH549" s="18" t="s">
        <v>5</v>
      </c>
    </row>
    <row r="550" spans="2:86">
      <c r="B550" s="78" t="s">
        <v>473</v>
      </c>
      <c r="C550" s="79" t="s">
        <v>650</v>
      </c>
      <c r="D550" s="80" t="s">
        <v>650</v>
      </c>
      <c r="E550" s="1" t="s">
        <v>4</v>
      </c>
      <c r="F550" s="4">
        <v>40</v>
      </c>
      <c r="G550" s="4">
        <v>11.8</v>
      </c>
      <c r="H550" s="3" t="str">
        <f t="shared" si="27"/>
        <v>2L5X5X5/8X3/8</v>
      </c>
      <c r="I550" s="7">
        <v>5</v>
      </c>
      <c r="J550" s="5" t="s">
        <v>5</v>
      </c>
      <c r="K550" s="6" t="s">
        <v>5</v>
      </c>
      <c r="L550" s="6" t="s">
        <v>5</v>
      </c>
      <c r="M550" s="6" t="s">
        <v>5</v>
      </c>
      <c r="N550" s="6" t="s">
        <v>5</v>
      </c>
      <c r="O550" s="5" t="s">
        <v>5</v>
      </c>
      <c r="P550" s="5" t="s">
        <v>5</v>
      </c>
      <c r="Q550" s="7">
        <v>5</v>
      </c>
      <c r="R550" s="6" t="s">
        <v>5</v>
      </c>
      <c r="S550" s="6" t="s">
        <v>5</v>
      </c>
      <c r="T550" s="5" t="s">
        <v>5</v>
      </c>
      <c r="U550" s="8" t="s">
        <v>5</v>
      </c>
      <c r="V550" s="6" t="s">
        <v>5</v>
      </c>
      <c r="W550" s="8" t="s">
        <v>5</v>
      </c>
      <c r="X550" s="22">
        <v>0.625</v>
      </c>
      <c r="Y550" s="6" t="s">
        <v>5</v>
      </c>
      <c r="Z550" s="6" t="s">
        <v>5</v>
      </c>
      <c r="AA550" s="6" t="s">
        <v>5</v>
      </c>
      <c r="AB550" s="8" t="s">
        <v>5</v>
      </c>
      <c r="AC550" s="8" t="s">
        <v>5</v>
      </c>
      <c r="AD550" s="6" t="s">
        <v>5</v>
      </c>
      <c r="AE550" s="7">
        <v>1.47</v>
      </c>
      <c r="AF550" s="6" t="s">
        <v>5</v>
      </c>
      <c r="AG550" s="6" t="s">
        <v>5</v>
      </c>
      <c r="AH550" s="22">
        <v>0.59</v>
      </c>
      <c r="AI550" s="6" t="s">
        <v>5</v>
      </c>
      <c r="AJ550" s="7">
        <v>8</v>
      </c>
      <c r="AK550" s="6" t="s">
        <v>5</v>
      </c>
      <c r="AL550" s="6" t="s">
        <v>5</v>
      </c>
      <c r="AM550" s="6" t="s">
        <v>5</v>
      </c>
      <c r="AN550" s="6" t="s">
        <v>5</v>
      </c>
      <c r="AO550" s="4">
        <v>27.2</v>
      </c>
      <c r="AP550" s="4">
        <v>13.9</v>
      </c>
      <c r="AQ550" s="7">
        <v>7.7</v>
      </c>
      <c r="AR550" s="7">
        <v>1.52</v>
      </c>
      <c r="AS550" s="6">
        <v>59.7</v>
      </c>
      <c r="AT550" s="6">
        <v>19.600000000000001</v>
      </c>
      <c r="AU550" s="6">
        <v>11.5</v>
      </c>
      <c r="AV550" s="7">
        <v>2.25</v>
      </c>
      <c r="AW550" s="6" t="s">
        <v>5</v>
      </c>
      <c r="AX550" s="6" t="s">
        <v>5</v>
      </c>
      <c r="AY550" s="6" t="s">
        <v>5</v>
      </c>
      <c r="AZ550" s="6" t="s">
        <v>5</v>
      </c>
      <c r="BA550" s="6" t="s">
        <v>5</v>
      </c>
      <c r="BB550" s="6" t="s">
        <v>5</v>
      </c>
      <c r="BC550" s="6" t="s">
        <v>5</v>
      </c>
      <c r="BD550" s="6" t="s">
        <v>5</v>
      </c>
      <c r="BE550" s="6" t="s">
        <v>5</v>
      </c>
      <c r="BF550" s="6" t="s">
        <v>5</v>
      </c>
      <c r="BG550" s="6" t="s">
        <v>5</v>
      </c>
      <c r="BH550" s="6" t="s">
        <v>5</v>
      </c>
      <c r="BI550" s="7">
        <v>2.95</v>
      </c>
      <c r="BJ550" s="22">
        <v>0.84599999999999997</v>
      </c>
      <c r="BK550" s="6" t="s">
        <v>5</v>
      </c>
      <c r="BL550" s="2" t="s">
        <v>5</v>
      </c>
      <c r="BM550" s="2" t="s">
        <v>5</v>
      </c>
      <c r="BN550" s="2" t="s">
        <v>5</v>
      </c>
      <c r="BO550" s="2" t="s">
        <v>5</v>
      </c>
      <c r="BP550" s="2" t="s">
        <v>5</v>
      </c>
      <c r="BQ550" s="2" t="s">
        <v>5</v>
      </c>
      <c r="BR550" s="2" t="s">
        <v>5</v>
      </c>
      <c r="BS550" s="2" t="s">
        <v>5</v>
      </c>
      <c r="BT550" s="2" t="s">
        <v>5</v>
      </c>
      <c r="BU550" s="2" t="s">
        <v>5</v>
      </c>
      <c r="BV550" s="2" t="s">
        <v>5</v>
      </c>
      <c r="BW550" s="2" t="s">
        <v>5</v>
      </c>
      <c r="BX550" s="2" t="s">
        <v>5</v>
      </c>
      <c r="BY550" s="25" t="s">
        <v>5</v>
      </c>
      <c r="BZ550" s="25" t="s">
        <v>5</v>
      </c>
      <c r="CA550" s="6" t="s">
        <v>5</v>
      </c>
      <c r="CB550" s="6" t="s">
        <v>5</v>
      </c>
      <c r="CC550" s="6" t="s">
        <v>5</v>
      </c>
      <c r="CD550" s="6" t="s">
        <v>5</v>
      </c>
      <c r="CE550" s="6" t="s">
        <v>5</v>
      </c>
      <c r="CF550" s="16" t="s">
        <v>5</v>
      </c>
      <c r="CG550" s="16" t="s">
        <v>5</v>
      </c>
      <c r="CH550" s="18" t="s">
        <v>5</v>
      </c>
    </row>
    <row r="551" spans="2:86">
      <c r="B551" s="78" t="s">
        <v>473</v>
      </c>
      <c r="C551" s="79" t="s">
        <v>651</v>
      </c>
      <c r="D551" s="80" t="s">
        <v>651</v>
      </c>
      <c r="E551" s="1" t="s">
        <v>4</v>
      </c>
      <c r="F551" s="4">
        <v>40</v>
      </c>
      <c r="G551" s="4">
        <v>11.8</v>
      </c>
      <c r="H551" s="3" t="str">
        <f t="shared" si="27"/>
        <v>2L5X5X5/8X3/4</v>
      </c>
      <c r="I551" s="7">
        <v>5</v>
      </c>
      <c r="J551" s="5" t="s">
        <v>5</v>
      </c>
      <c r="K551" s="6" t="s">
        <v>5</v>
      </c>
      <c r="L551" s="6" t="s">
        <v>5</v>
      </c>
      <c r="M551" s="6" t="s">
        <v>5</v>
      </c>
      <c r="N551" s="6" t="s">
        <v>5</v>
      </c>
      <c r="O551" s="5" t="s">
        <v>5</v>
      </c>
      <c r="P551" s="5" t="s">
        <v>5</v>
      </c>
      <c r="Q551" s="7">
        <v>5</v>
      </c>
      <c r="R551" s="6" t="s">
        <v>5</v>
      </c>
      <c r="S551" s="6" t="s">
        <v>5</v>
      </c>
      <c r="T551" s="5" t="s">
        <v>5</v>
      </c>
      <c r="U551" s="8" t="s">
        <v>5</v>
      </c>
      <c r="V551" s="6" t="s">
        <v>5</v>
      </c>
      <c r="W551" s="8" t="s">
        <v>5</v>
      </c>
      <c r="X551" s="22">
        <v>0.625</v>
      </c>
      <c r="Y551" s="6" t="s">
        <v>5</v>
      </c>
      <c r="Z551" s="6" t="s">
        <v>5</v>
      </c>
      <c r="AA551" s="6" t="s">
        <v>5</v>
      </c>
      <c r="AB551" s="8" t="s">
        <v>5</v>
      </c>
      <c r="AC551" s="8" t="s">
        <v>5</v>
      </c>
      <c r="AD551" s="6" t="s">
        <v>5</v>
      </c>
      <c r="AE551" s="7">
        <v>1.47</v>
      </c>
      <c r="AF551" s="6" t="s">
        <v>5</v>
      </c>
      <c r="AG551" s="6" t="s">
        <v>5</v>
      </c>
      <c r="AH551" s="22">
        <v>0.59</v>
      </c>
      <c r="AI551" s="6" t="s">
        <v>5</v>
      </c>
      <c r="AJ551" s="7">
        <v>8</v>
      </c>
      <c r="AK551" s="6" t="s">
        <v>5</v>
      </c>
      <c r="AL551" s="6" t="s">
        <v>5</v>
      </c>
      <c r="AM551" s="6" t="s">
        <v>5</v>
      </c>
      <c r="AN551" s="6" t="s">
        <v>5</v>
      </c>
      <c r="AO551" s="4">
        <v>27.2</v>
      </c>
      <c r="AP551" s="4">
        <v>13.9</v>
      </c>
      <c r="AQ551" s="7">
        <v>7.7</v>
      </c>
      <c r="AR551" s="7">
        <v>1.52</v>
      </c>
      <c r="AS551" s="6">
        <v>67.400000000000006</v>
      </c>
      <c r="AT551" s="6">
        <v>21.8</v>
      </c>
      <c r="AU551" s="6">
        <v>12.5</v>
      </c>
      <c r="AV551" s="7">
        <v>2.39</v>
      </c>
      <c r="AW551" s="6" t="s">
        <v>5</v>
      </c>
      <c r="AX551" s="6" t="s">
        <v>5</v>
      </c>
      <c r="AY551" s="6" t="s">
        <v>5</v>
      </c>
      <c r="AZ551" s="6" t="s">
        <v>5</v>
      </c>
      <c r="BA551" s="6" t="s">
        <v>5</v>
      </c>
      <c r="BB551" s="6" t="s">
        <v>5</v>
      </c>
      <c r="BC551" s="6" t="s">
        <v>5</v>
      </c>
      <c r="BD551" s="6" t="s">
        <v>5</v>
      </c>
      <c r="BE551" s="6" t="s">
        <v>5</v>
      </c>
      <c r="BF551" s="6" t="s">
        <v>5</v>
      </c>
      <c r="BG551" s="6" t="s">
        <v>5</v>
      </c>
      <c r="BH551" s="6" t="s">
        <v>5</v>
      </c>
      <c r="BI551" s="7">
        <v>3.06</v>
      </c>
      <c r="BJ551" s="22">
        <v>0.85699999999999998</v>
      </c>
      <c r="BK551" s="6" t="s">
        <v>5</v>
      </c>
      <c r="BL551" s="2" t="s">
        <v>5</v>
      </c>
      <c r="BM551" s="2" t="s">
        <v>5</v>
      </c>
      <c r="BN551" s="2" t="s">
        <v>5</v>
      </c>
      <c r="BO551" s="2" t="s">
        <v>5</v>
      </c>
      <c r="BP551" s="2" t="s">
        <v>5</v>
      </c>
      <c r="BQ551" s="2" t="s">
        <v>5</v>
      </c>
      <c r="BR551" s="2" t="s">
        <v>5</v>
      </c>
      <c r="BS551" s="2" t="s">
        <v>5</v>
      </c>
      <c r="BT551" s="2" t="s">
        <v>5</v>
      </c>
      <c r="BU551" s="2" t="s">
        <v>5</v>
      </c>
      <c r="BV551" s="2" t="s">
        <v>5</v>
      </c>
      <c r="BW551" s="2" t="s">
        <v>5</v>
      </c>
      <c r="BX551" s="2" t="s">
        <v>5</v>
      </c>
      <c r="BY551" s="25" t="s">
        <v>5</v>
      </c>
      <c r="BZ551" s="25" t="s">
        <v>5</v>
      </c>
      <c r="CA551" s="6" t="s">
        <v>5</v>
      </c>
      <c r="CB551" s="6" t="s">
        <v>5</v>
      </c>
      <c r="CC551" s="6" t="s">
        <v>5</v>
      </c>
      <c r="CD551" s="6" t="s">
        <v>5</v>
      </c>
      <c r="CE551" s="6" t="s">
        <v>5</v>
      </c>
      <c r="CF551" s="16" t="s">
        <v>5</v>
      </c>
      <c r="CG551" s="16" t="s">
        <v>5</v>
      </c>
      <c r="CH551" s="18" t="s">
        <v>5</v>
      </c>
    </row>
    <row r="552" spans="2:86">
      <c r="B552" s="78" t="s">
        <v>473</v>
      </c>
      <c r="C552" s="79" t="s">
        <v>652</v>
      </c>
      <c r="D552" s="80" t="s">
        <v>652</v>
      </c>
      <c r="E552" s="1" t="s">
        <v>4</v>
      </c>
      <c r="F552" s="4">
        <v>32.4</v>
      </c>
      <c r="G552" s="7">
        <v>9.58</v>
      </c>
      <c r="H552" s="3" t="str">
        <f t="shared" si="27"/>
        <v>2L5X5X1/2</v>
      </c>
      <c r="I552" s="7">
        <v>5</v>
      </c>
      <c r="J552" s="5" t="s">
        <v>5</v>
      </c>
      <c r="K552" s="6" t="s">
        <v>5</v>
      </c>
      <c r="L552" s="6" t="s">
        <v>5</v>
      </c>
      <c r="M552" s="6" t="s">
        <v>5</v>
      </c>
      <c r="N552" s="6" t="s">
        <v>5</v>
      </c>
      <c r="O552" s="5" t="s">
        <v>5</v>
      </c>
      <c r="P552" s="5" t="s">
        <v>5</v>
      </c>
      <c r="Q552" s="7">
        <v>5</v>
      </c>
      <c r="R552" s="6" t="s">
        <v>5</v>
      </c>
      <c r="S552" s="6" t="s">
        <v>5</v>
      </c>
      <c r="T552" s="5" t="s">
        <v>5</v>
      </c>
      <c r="U552" s="8" t="s">
        <v>5</v>
      </c>
      <c r="V552" s="6" t="s">
        <v>5</v>
      </c>
      <c r="W552" s="8" t="s">
        <v>5</v>
      </c>
      <c r="X552" s="22">
        <v>0.5</v>
      </c>
      <c r="Y552" s="6" t="s">
        <v>5</v>
      </c>
      <c r="Z552" s="6" t="s">
        <v>5</v>
      </c>
      <c r="AA552" s="6" t="s">
        <v>5</v>
      </c>
      <c r="AB552" s="8" t="s">
        <v>5</v>
      </c>
      <c r="AC552" s="8" t="s">
        <v>5</v>
      </c>
      <c r="AD552" s="6" t="s">
        <v>5</v>
      </c>
      <c r="AE552" s="7">
        <v>1.42</v>
      </c>
      <c r="AF552" s="6" t="s">
        <v>5</v>
      </c>
      <c r="AG552" s="6" t="s">
        <v>5</v>
      </c>
      <c r="AH552" s="22">
        <v>0.47899999999999998</v>
      </c>
      <c r="AI552" s="6" t="s">
        <v>5</v>
      </c>
      <c r="AJ552" s="4">
        <v>10</v>
      </c>
      <c r="AK552" s="6" t="s">
        <v>5</v>
      </c>
      <c r="AL552" s="6" t="s">
        <v>5</v>
      </c>
      <c r="AM552" s="6" t="s">
        <v>5</v>
      </c>
      <c r="AN552" s="6" t="s">
        <v>5</v>
      </c>
      <c r="AO552" s="4">
        <v>22.6</v>
      </c>
      <c r="AP552" s="4">
        <v>11.3</v>
      </c>
      <c r="AQ552" s="7">
        <v>6.3</v>
      </c>
      <c r="AR552" s="7">
        <v>1.53</v>
      </c>
      <c r="AS552" s="6">
        <v>41.8</v>
      </c>
      <c r="AT552" s="6">
        <v>13.6</v>
      </c>
      <c r="AU552" s="6">
        <v>8.36</v>
      </c>
      <c r="AV552" s="7">
        <v>2.09</v>
      </c>
      <c r="AW552" s="6" t="s">
        <v>5</v>
      </c>
      <c r="AX552" s="6" t="s">
        <v>5</v>
      </c>
      <c r="AY552" s="6" t="s">
        <v>5</v>
      </c>
      <c r="AZ552" s="6" t="s">
        <v>5</v>
      </c>
      <c r="BA552" s="6" t="s">
        <v>5</v>
      </c>
      <c r="BB552" s="6" t="s">
        <v>5</v>
      </c>
      <c r="BC552" s="6" t="s">
        <v>5</v>
      </c>
      <c r="BD552" s="6" t="s">
        <v>5</v>
      </c>
      <c r="BE552" s="6" t="s">
        <v>5</v>
      </c>
      <c r="BF552" s="6" t="s">
        <v>5</v>
      </c>
      <c r="BG552" s="6" t="s">
        <v>5</v>
      </c>
      <c r="BH552" s="6" t="s">
        <v>5</v>
      </c>
      <c r="BI552" s="7">
        <v>2.85</v>
      </c>
      <c r="BJ552" s="22">
        <v>0.83</v>
      </c>
      <c r="BK552" s="6" t="s">
        <v>5</v>
      </c>
      <c r="BL552" s="2" t="s">
        <v>5</v>
      </c>
      <c r="BM552" s="2" t="s">
        <v>5</v>
      </c>
      <c r="BN552" s="2" t="s">
        <v>5</v>
      </c>
      <c r="BO552" s="2" t="s">
        <v>5</v>
      </c>
      <c r="BP552" s="2" t="s">
        <v>5</v>
      </c>
      <c r="BQ552" s="2" t="s">
        <v>5</v>
      </c>
      <c r="BR552" s="2" t="s">
        <v>5</v>
      </c>
      <c r="BS552" s="2" t="s">
        <v>5</v>
      </c>
      <c r="BT552" s="2" t="s">
        <v>5</v>
      </c>
      <c r="BU552" s="2" t="s">
        <v>5</v>
      </c>
      <c r="BV552" s="2" t="s">
        <v>5</v>
      </c>
      <c r="BW552" s="2" t="s">
        <v>5</v>
      </c>
      <c r="BX552" s="2" t="s">
        <v>5</v>
      </c>
      <c r="BY552" s="25" t="s">
        <v>5</v>
      </c>
      <c r="BZ552" s="25" t="s">
        <v>5</v>
      </c>
      <c r="CA552" s="6" t="s">
        <v>5</v>
      </c>
      <c r="CB552" s="6" t="s">
        <v>5</v>
      </c>
      <c r="CC552" s="6" t="s">
        <v>5</v>
      </c>
      <c r="CD552" s="6" t="s">
        <v>5</v>
      </c>
      <c r="CE552" s="6" t="s">
        <v>5</v>
      </c>
      <c r="CF552" s="16" t="s">
        <v>5</v>
      </c>
      <c r="CG552" s="16" t="s">
        <v>5</v>
      </c>
      <c r="CH552" s="18" t="s">
        <v>5</v>
      </c>
    </row>
    <row r="553" spans="2:86">
      <c r="B553" s="78" t="s">
        <v>473</v>
      </c>
      <c r="C553" s="79" t="s">
        <v>653</v>
      </c>
      <c r="D553" s="80" t="s">
        <v>653</v>
      </c>
      <c r="E553" s="1" t="s">
        <v>4</v>
      </c>
      <c r="F553" s="4">
        <v>32.4</v>
      </c>
      <c r="G553" s="7">
        <v>9.58</v>
      </c>
      <c r="H553" s="3" t="str">
        <f t="shared" si="27"/>
        <v>2L5X5X1/2X3/8</v>
      </c>
      <c r="I553" s="7">
        <v>5</v>
      </c>
      <c r="J553" s="5" t="s">
        <v>5</v>
      </c>
      <c r="K553" s="6" t="s">
        <v>5</v>
      </c>
      <c r="L553" s="6" t="s">
        <v>5</v>
      </c>
      <c r="M553" s="6" t="s">
        <v>5</v>
      </c>
      <c r="N553" s="6" t="s">
        <v>5</v>
      </c>
      <c r="O553" s="5" t="s">
        <v>5</v>
      </c>
      <c r="P553" s="5" t="s">
        <v>5</v>
      </c>
      <c r="Q553" s="7">
        <v>5</v>
      </c>
      <c r="R553" s="6" t="s">
        <v>5</v>
      </c>
      <c r="S553" s="6" t="s">
        <v>5</v>
      </c>
      <c r="T553" s="5" t="s">
        <v>5</v>
      </c>
      <c r="U553" s="8" t="s">
        <v>5</v>
      </c>
      <c r="V553" s="6" t="s">
        <v>5</v>
      </c>
      <c r="W553" s="8" t="s">
        <v>5</v>
      </c>
      <c r="X553" s="22">
        <v>0.5</v>
      </c>
      <c r="Y553" s="6" t="s">
        <v>5</v>
      </c>
      <c r="Z553" s="6" t="s">
        <v>5</v>
      </c>
      <c r="AA553" s="6" t="s">
        <v>5</v>
      </c>
      <c r="AB553" s="8" t="s">
        <v>5</v>
      </c>
      <c r="AC553" s="8" t="s">
        <v>5</v>
      </c>
      <c r="AD553" s="6" t="s">
        <v>5</v>
      </c>
      <c r="AE553" s="7">
        <v>1.42</v>
      </c>
      <c r="AF553" s="6" t="s">
        <v>5</v>
      </c>
      <c r="AG553" s="6" t="s">
        <v>5</v>
      </c>
      <c r="AH553" s="22">
        <v>0.47899999999999998</v>
      </c>
      <c r="AI553" s="6" t="s">
        <v>5</v>
      </c>
      <c r="AJ553" s="4">
        <v>10</v>
      </c>
      <c r="AK553" s="6" t="s">
        <v>5</v>
      </c>
      <c r="AL553" s="6" t="s">
        <v>5</v>
      </c>
      <c r="AM553" s="6" t="s">
        <v>5</v>
      </c>
      <c r="AN553" s="6" t="s">
        <v>5</v>
      </c>
      <c r="AO553" s="4">
        <v>22.6</v>
      </c>
      <c r="AP553" s="4">
        <v>11.3</v>
      </c>
      <c r="AQ553" s="7">
        <v>6.3</v>
      </c>
      <c r="AR553" s="7">
        <v>1.53</v>
      </c>
      <c r="AS553" s="6">
        <v>47.2</v>
      </c>
      <c r="AT553" s="6">
        <v>15.4</v>
      </c>
      <c r="AU553" s="7">
        <v>9.1</v>
      </c>
      <c r="AV553" s="7">
        <v>2.2200000000000002</v>
      </c>
      <c r="AW553" s="6" t="s">
        <v>5</v>
      </c>
      <c r="AX553" s="6" t="s">
        <v>5</v>
      </c>
      <c r="AY553" s="6" t="s">
        <v>5</v>
      </c>
      <c r="AZ553" s="6" t="s">
        <v>5</v>
      </c>
      <c r="BA553" s="6" t="s">
        <v>5</v>
      </c>
      <c r="BB553" s="6" t="s">
        <v>5</v>
      </c>
      <c r="BC553" s="6" t="s">
        <v>5</v>
      </c>
      <c r="BD553" s="6" t="s">
        <v>5</v>
      </c>
      <c r="BE553" s="6" t="s">
        <v>5</v>
      </c>
      <c r="BF553" s="6" t="s">
        <v>5</v>
      </c>
      <c r="BG553" s="6" t="s">
        <v>5</v>
      </c>
      <c r="BH553" s="6" t="s">
        <v>5</v>
      </c>
      <c r="BI553" s="7">
        <v>2.94</v>
      </c>
      <c r="BJ553" s="22">
        <v>0.84199999999999997</v>
      </c>
      <c r="BK553" s="6" t="s">
        <v>5</v>
      </c>
      <c r="BL553" s="2" t="s">
        <v>5</v>
      </c>
      <c r="BM553" s="2" t="s">
        <v>5</v>
      </c>
      <c r="BN553" s="2" t="s">
        <v>5</v>
      </c>
      <c r="BO553" s="2" t="s">
        <v>5</v>
      </c>
      <c r="BP553" s="2" t="s">
        <v>5</v>
      </c>
      <c r="BQ553" s="2" t="s">
        <v>5</v>
      </c>
      <c r="BR553" s="2" t="s">
        <v>5</v>
      </c>
      <c r="BS553" s="2" t="s">
        <v>5</v>
      </c>
      <c r="BT553" s="2" t="s">
        <v>5</v>
      </c>
      <c r="BU553" s="2" t="s">
        <v>5</v>
      </c>
      <c r="BV553" s="2" t="s">
        <v>5</v>
      </c>
      <c r="BW553" s="2" t="s">
        <v>5</v>
      </c>
      <c r="BX553" s="2" t="s">
        <v>5</v>
      </c>
      <c r="BY553" s="25" t="s">
        <v>5</v>
      </c>
      <c r="BZ553" s="25" t="s">
        <v>5</v>
      </c>
      <c r="CA553" s="6" t="s">
        <v>5</v>
      </c>
      <c r="CB553" s="6" t="s">
        <v>5</v>
      </c>
      <c r="CC553" s="6" t="s">
        <v>5</v>
      </c>
      <c r="CD553" s="6" t="s">
        <v>5</v>
      </c>
      <c r="CE553" s="6" t="s">
        <v>5</v>
      </c>
      <c r="CF553" s="16" t="s">
        <v>5</v>
      </c>
      <c r="CG553" s="16" t="s">
        <v>5</v>
      </c>
      <c r="CH553" s="18" t="s">
        <v>5</v>
      </c>
    </row>
    <row r="554" spans="2:86">
      <c r="B554" s="78" t="s">
        <v>473</v>
      </c>
      <c r="C554" s="79" t="s">
        <v>654</v>
      </c>
      <c r="D554" s="80" t="s">
        <v>654</v>
      </c>
      <c r="E554" s="1" t="s">
        <v>4</v>
      </c>
      <c r="F554" s="4">
        <v>32.4</v>
      </c>
      <c r="G554" s="7">
        <v>9.58</v>
      </c>
      <c r="H554" s="3" t="str">
        <f t="shared" si="27"/>
        <v>2L5X5X1/2X3/4</v>
      </c>
      <c r="I554" s="7">
        <v>5</v>
      </c>
      <c r="J554" s="5" t="s">
        <v>5</v>
      </c>
      <c r="K554" s="6" t="s">
        <v>5</v>
      </c>
      <c r="L554" s="6" t="s">
        <v>5</v>
      </c>
      <c r="M554" s="6" t="s">
        <v>5</v>
      </c>
      <c r="N554" s="6" t="s">
        <v>5</v>
      </c>
      <c r="O554" s="5" t="s">
        <v>5</v>
      </c>
      <c r="P554" s="5" t="s">
        <v>5</v>
      </c>
      <c r="Q554" s="7">
        <v>5</v>
      </c>
      <c r="R554" s="6" t="s">
        <v>5</v>
      </c>
      <c r="S554" s="6" t="s">
        <v>5</v>
      </c>
      <c r="T554" s="5" t="s">
        <v>5</v>
      </c>
      <c r="U554" s="8" t="s">
        <v>5</v>
      </c>
      <c r="V554" s="6" t="s">
        <v>5</v>
      </c>
      <c r="W554" s="8" t="s">
        <v>5</v>
      </c>
      <c r="X554" s="22">
        <v>0.5</v>
      </c>
      <c r="Y554" s="6" t="s">
        <v>5</v>
      </c>
      <c r="Z554" s="6" t="s">
        <v>5</v>
      </c>
      <c r="AA554" s="6" t="s">
        <v>5</v>
      </c>
      <c r="AB554" s="8" t="s">
        <v>5</v>
      </c>
      <c r="AC554" s="8" t="s">
        <v>5</v>
      </c>
      <c r="AD554" s="6" t="s">
        <v>5</v>
      </c>
      <c r="AE554" s="7">
        <v>1.42</v>
      </c>
      <c r="AF554" s="6" t="s">
        <v>5</v>
      </c>
      <c r="AG554" s="6" t="s">
        <v>5</v>
      </c>
      <c r="AH554" s="22">
        <v>0.47899999999999998</v>
      </c>
      <c r="AI554" s="6" t="s">
        <v>5</v>
      </c>
      <c r="AJ554" s="4">
        <v>10</v>
      </c>
      <c r="AK554" s="6" t="s">
        <v>5</v>
      </c>
      <c r="AL554" s="6" t="s">
        <v>5</v>
      </c>
      <c r="AM554" s="6" t="s">
        <v>5</v>
      </c>
      <c r="AN554" s="6" t="s">
        <v>5</v>
      </c>
      <c r="AO554" s="4">
        <v>22.6</v>
      </c>
      <c r="AP554" s="4">
        <v>11.3</v>
      </c>
      <c r="AQ554" s="7">
        <v>6.3</v>
      </c>
      <c r="AR554" s="7">
        <v>1.53</v>
      </c>
      <c r="AS554" s="6">
        <v>53.4</v>
      </c>
      <c r="AT554" s="6">
        <v>17.2</v>
      </c>
      <c r="AU554" s="6">
        <v>9.93</v>
      </c>
      <c r="AV554" s="7">
        <v>2.36</v>
      </c>
      <c r="AW554" s="6" t="s">
        <v>5</v>
      </c>
      <c r="AX554" s="6" t="s">
        <v>5</v>
      </c>
      <c r="AY554" s="6" t="s">
        <v>5</v>
      </c>
      <c r="AZ554" s="6" t="s">
        <v>5</v>
      </c>
      <c r="BA554" s="6" t="s">
        <v>5</v>
      </c>
      <c r="BB554" s="6" t="s">
        <v>5</v>
      </c>
      <c r="BC554" s="6" t="s">
        <v>5</v>
      </c>
      <c r="BD554" s="6" t="s">
        <v>5</v>
      </c>
      <c r="BE554" s="6" t="s">
        <v>5</v>
      </c>
      <c r="BF554" s="6" t="s">
        <v>5</v>
      </c>
      <c r="BG554" s="6" t="s">
        <v>5</v>
      </c>
      <c r="BH554" s="6" t="s">
        <v>5</v>
      </c>
      <c r="BI554" s="7">
        <v>3.05</v>
      </c>
      <c r="BJ554" s="22">
        <v>0.85199999999999998</v>
      </c>
      <c r="BK554" s="6" t="s">
        <v>5</v>
      </c>
      <c r="BL554" s="2" t="s">
        <v>5</v>
      </c>
      <c r="BM554" s="2" t="s">
        <v>5</v>
      </c>
      <c r="BN554" s="2" t="s">
        <v>5</v>
      </c>
      <c r="BO554" s="2" t="s">
        <v>5</v>
      </c>
      <c r="BP554" s="2" t="s">
        <v>5</v>
      </c>
      <c r="BQ554" s="2" t="s">
        <v>5</v>
      </c>
      <c r="BR554" s="2" t="s">
        <v>5</v>
      </c>
      <c r="BS554" s="2" t="s">
        <v>5</v>
      </c>
      <c r="BT554" s="2" t="s">
        <v>5</v>
      </c>
      <c r="BU554" s="2" t="s">
        <v>5</v>
      </c>
      <c r="BV554" s="2" t="s">
        <v>5</v>
      </c>
      <c r="BW554" s="2" t="s">
        <v>5</v>
      </c>
      <c r="BX554" s="2" t="s">
        <v>5</v>
      </c>
      <c r="BY554" s="25" t="s">
        <v>5</v>
      </c>
      <c r="BZ554" s="25" t="s">
        <v>5</v>
      </c>
      <c r="CA554" s="6" t="s">
        <v>5</v>
      </c>
      <c r="CB554" s="6" t="s">
        <v>5</v>
      </c>
      <c r="CC554" s="6" t="s">
        <v>5</v>
      </c>
      <c r="CD554" s="6" t="s">
        <v>5</v>
      </c>
      <c r="CE554" s="6" t="s">
        <v>5</v>
      </c>
      <c r="CF554" s="16" t="s">
        <v>5</v>
      </c>
      <c r="CG554" s="16" t="s">
        <v>5</v>
      </c>
      <c r="CH554" s="18" t="s">
        <v>5</v>
      </c>
    </row>
    <row r="555" spans="2:86">
      <c r="B555" s="78" t="s">
        <v>473</v>
      </c>
      <c r="C555" s="79" t="s">
        <v>655</v>
      </c>
      <c r="D555" s="80" t="s">
        <v>655</v>
      </c>
      <c r="E555" s="1" t="s">
        <v>4</v>
      </c>
      <c r="F555" s="4">
        <v>28.6</v>
      </c>
      <c r="G555" s="7">
        <v>8.44</v>
      </c>
      <c r="H555" s="3" t="str">
        <f t="shared" si="27"/>
        <v>2L5X5X7/16</v>
      </c>
      <c r="I555" s="7">
        <v>5</v>
      </c>
      <c r="J555" s="5" t="s">
        <v>5</v>
      </c>
      <c r="K555" s="6" t="s">
        <v>5</v>
      </c>
      <c r="L555" s="6" t="s">
        <v>5</v>
      </c>
      <c r="M555" s="6" t="s">
        <v>5</v>
      </c>
      <c r="N555" s="6" t="s">
        <v>5</v>
      </c>
      <c r="O555" s="5" t="s">
        <v>5</v>
      </c>
      <c r="P555" s="5" t="s">
        <v>5</v>
      </c>
      <c r="Q555" s="7">
        <v>5</v>
      </c>
      <c r="R555" s="6" t="s">
        <v>5</v>
      </c>
      <c r="S555" s="6" t="s">
        <v>5</v>
      </c>
      <c r="T555" s="5" t="s">
        <v>5</v>
      </c>
      <c r="U555" s="8" t="s">
        <v>5</v>
      </c>
      <c r="V555" s="6" t="s">
        <v>5</v>
      </c>
      <c r="W555" s="8" t="s">
        <v>5</v>
      </c>
      <c r="X555" s="22">
        <v>0.438</v>
      </c>
      <c r="Y555" s="6" t="s">
        <v>5</v>
      </c>
      <c r="Z555" s="6" t="s">
        <v>5</v>
      </c>
      <c r="AA555" s="6" t="s">
        <v>5</v>
      </c>
      <c r="AB555" s="8" t="s">
        <v>5</v>
      </c>
      <c r="AC555" s="8" t="s">
        <v>5</v>
      </c>
      <c r="AD555" s="6" t="s">
        <v>5</v>
      </c>
      <c r="AE555" s="7">
        <v>1.4</v>
      </c>
      <c r="AF555" s="6" t="s">
        <v>5</v>
      </c>
      <c r="AG555" s="6" t="s">
        <v>5</v>
      </c>
      <c r="AH555" s="22">
        <v>0.42199999999999999</v>
      </c>
      <c r="AI555" s="6" t="s">
        <v>5</v>
      </c>
      <c r="AJ555" s="4">
        <v>11.4</v>
      </c>
      <c r="AK555" s="6" t="s">
        <v>5</v>
      </c>
      <c r="AL555" s="6" t="s">
        <v>5</v>
      </c>
      <c r="AM555" s="6" t="s">
        <v>5</v>
      </c>
      <c r="AN555" s="6" t="s">
        <v>5</v>
      </c>
      <c r="AO555" s="4">
        <v>20</v>
      </c>
      <c r="AP555" s="4">
        <v>10</v>
      </c>
      <c r="AQ555" s="7">
        <v>5.56</v>
      </c>
      <c r="AR555" s="7">
        <v>1.54</v>
      </c>
      <c r="AS555" s="6">
        <v>36.5</v>
      </c>
      <c r="AT555" s="6">
        <v>11.8</v>
      </c>
      <c r="AU555" s="7">
        <v>7.3</v>
      </c>
      <c r="AV555" s="7">
        <v>2.08</v>
      </c>
      <c r="AW555" s="6" t="s">
        <v>5</v>
      </c>
      <c r="AX555" s="6" t="s">
        <v>5</v>
      </c>
      <c r="AY555" s="6" t="s">
        <v>5</v>
      </c>
      <c r="AZ555" s="6" t="s">
        <v>5</v>
      </c>
      <c r="BA555" s="6" t="s">
        <v>5</v>
      </c>
      <c r="BB555" s="6" t="s">
        <v>5</v>
      </c>
      <c r="BC555" s="6" t="s">
        <v>5</v>
      </c>
      <c r="BD555" s="6" t="s">
        <v>5</v>
      </c>
      <c r="BE555" s="6" t="s">
        <v>5</v>
      </c>
      <c r="BF555" s="6" t="s">
        <v>5</v>
      </c>
      <c r="BG555" s="6" t="s">
        <v>5</v>
      </c>
      <c r="BH555" s="6" t="s">
        <v>5</v>
      </c>
      <c r="BI555" s="7">
        <v>2.85</v>
      </c>
      <c r="BJ555" s="22">
        <v>0.82799999999999996</v>
      </c>
      <c r="BK555" s="6" t="s">
        <v>5</v>
      </c>
      <c r="BL555" s="2" t="s">
        <v>5</v>
      </c>
      <c r="BM555" s="2" t="s">
        <v>5</v>
      </c>
      <c r="BN555" s="2" t="s">
        <v>5</v>
      </c>
      <c r="BO555" s="2" t="s">
        <v>5</v>
      </c>
      <c r="BP555" s="2" t="s">
        <v>5</v>
      </c>
      <c r="BQ555" s="2" t="s">
        <v>5</v>
      </c>
      <c r="BR555" s="2" t="s">
        <v>5</v>
      </c>
      <c r="BS555" s="2" t="s">
        <v>5</v>
      </c>
      <c r="BT555" s="2" t="s">
        <v>5</v>
      </c>
      <c r="BU555" s="2" t="s">
        <v>5</v>
      </c>
      <c r="BV555" s="2" t="s">
        <v>5</v>
      </c>
      <c r="BW555" s="2" t="s">
        <v>5</v>
      </c>
      <c r="BX555" s="2" t="s">
        <v>5</v>
      </c>
      <c r="BY555" s="25" t="s">
        <v>5</v>
      </c>
      <c r="BZ555" s="25" t="s">
        <v>5</v>
      </c>
      <c r="CA555" s="6" t="s">
        <v>5</v>
      </c>
      <c r="CB555" s="6" t="s">
        <v>5</v>
      </c>
      <c r="CC555" s="6" t="s">
        <v>5</v>
      </c>
      <c r="CD555" s="6" t="s">
        <v>5</v>
      </c>
      <c r="CE555" s="6" t="s">
        <v>5</v>
      </c>
      <c r="CF555" s="16" t="s">
        <v>5</v>
      </c>
      <c r="CG555" s="16" t="s">
        <v>5</v>
      </c>
      <c r="CH555" s="18" t="s">
        <v>5</v>
      </c>
    </row>
    <row r="556" spans="2:86">
      <c r="B556" s="78" t="s">
        <v>473</v>
      </c>
      <c r="C556" s="79" t="s">
        <v>656</v>
      </c>
      <c r="D556" s="80" t="s">
        <v>656</v>
      </c>
      <c r="E556" s="1" t="s">
        <v>4</v>
      </c>
      <c r="F556" s="4">
        <v>28.6</v>
      </c>
      <c r="G556" s="7">
        <v>8.44</v>
      </c>
      <c r="H556" s="3" t="str">
        <f t="shared" si="27"/>
        <v>2L5X5X7/16X3/8</v>
      </c>
      <c r="I556" s="7">
        <v>5</v>
      </c>
      <c r="J556" s="5" t="s">
        <v>5</v>
      </c>
      <c r="K556" s="6" t="s">
        <v>5</v>
      </c>
      <c r="L556" s="6" t="s">
        <v>5</v>
      </c>
      <c r="M556" s="6" t="s">
        <v>5</v>
      </c>
      <c r="N556" s="6" t="s">
        <v>5</v>
      </c>
      <c r="O556" s="5" t="s">
        <v>5</v>
      </c>
      <c r="P556" s="5" t="s">
        <v>5</v>
      </c>
      <c r="Q556" s="7">
        <v>5</v>
      </c>
      <c r="R556" s="6" t="s">
        <v>5</v>
      </c>
      <c r="S556" s="6" t="s">
        <v>5</v>
      </c>
      <c r="T556" s="5" t="s">
        <v>5</v>
      </c>
      <c r="U556" s="8" t="s">
        <v>5</v>
      </c>
      <c r="V556" s="6" t="s">
        <v>5</v>
      </c>
      <c r="W556" s="8" t="s">
        <v>5</v>
      </c>
      <c r="X556" s="22">
        <v>0.438</v>
      </c>
      <c r="Y556" s="6" t="s">
        <v>5</v>
      </c>
      <c r="Z556" s="6" t="s">
        <v>5</v>
      </c>
      <c r="AA556" s="6" t="s">
        <v>5</v>
      </c>
      <c r="AB556" s="8" t="s">
        <v>5</v>
      </c>
      <c r="AC556" s="8" t="s">
        <v>5</v>
      </c>
      <c r="AD556" s="6" t="s">
        <v>5</v>
      </c>
      <c r="AE556" s="7">
        <v>1.4</v>
      </c>
      <c r="AF556" s="6" t="s">
        <v>5</v>
      </c>
      <c r="AG556" s="6" t="s">
        <v>5</v>
      </c>
      <c r="AH556" s="22">
        <v>0.42199999999999999</v>
      </c>
      <c r="AI556" s="6" t="s">
        <v>5</v>
      </c>
      <c r="AJ556" s="4">
        <v>11.4</v>
      </c>
      <c r="AK556" s="6" t="s">
        <v>5</v>
      </c>
      <c r="AL556" s="6" t="s">
        <v>5</v>
      </c>
      <c r="AM556" s="6" t="s">
        <v>5</v>
      </c>
      <c r="AN556" s="6" t="s">
        <v>5</v>
      </c>
      <c r="AO556" s="4">
        <v>20</v>
      </c>
      <c r="AP556" s="4">
        <v>10</v>
      </c>
      <c r="AQ556" s="7">
        <v>5.56</v>
      </c>
      <c r="AR556" s="7">
        <v>1.54</v>
      </c>
      <c r="AS556" s="6">
        <v>41.2</v>
      </c>
      <c r="AT556" s="6">
        <v>13.4</v>
      </c>
      <c r="AU556" s="6">
        <v>7.94</v>
      </c>
      <c r="AV556" s="7">
        <v>2.21</v>
      </c>
      <c r="AW556" s="6" t="s">
        <v>5</v>
      </c>
      <c r="AX556" s="6" t="s">
        <v>5</v>
      </c>
      <c r="AY556" s="6" t="s">
        <v>5</v>
      </c>
      <c r="AZ556" s="6" t="s">
        <v>5</v>
      </c>
      <c r="BA556" s="6" t="s">
        <v>5</v>
      </c>
      <c r="BB556" s="6" t="s">
        <v>5</v>
      </c>
      <c r="BC556" s="6" t="s">
        <v>5</v>
      </c>
      <c r="BD556" s="6" t="s">
        <v>5</v>
      </c>
      <c r="BE556" s="6" t="s">
        <v>5</v>
      </c>
      <c r="BF556" s="6" t="s">
        <v>5</v>
      </c>
      <c r="BG556" s="6" t="s">
        <v>5</v>
      </c>
      <c r="BH556" s="6" t="s">
        <v>5</v>
      </c>
      <c r="BI556" s="7">
        <v>2.94</v>
      </c>
      <c r="BJ556" s="22">
        <v>0.83899999999999997</v>
      </c>
      <c r="BK556" s="6" t="s">
        <v>5</v>
      </c>
      <c r="BL556" s="2" t="s">
        <v>5</v>
      </c>
      <c r="BM556" s="2" t="s">
        <v>5</v>
      </c>
      <c r="BN556" s="2" t="s">
        <v>5</v>
      </c>
      <c r="BO556" s="2" t="s">
        <v>5</v>
      </c>
      <c r="BP556" s="2" t="s">
        <v>5</v>
      </c>
      <c r="BQ556" s="2" t="s">
        <v>5</v>
      </c>
      <c r="BR556" s="2" t="s">
        <v>5</v>
      </c>
      <c r="BS556" s="2" t="s">
        <v>5</v>
      </c>
      <c r="BT556" s="2" t="s">
        <v>5</v>
      </c>
      <c r="BU556" s="2" t="s">
        <v>5</v>
      </c>
      <c r="BV556" s="2" t="s">
        <v>5</v>
      </c>
      <c r="BW556" s="2" t="s">
        <v>5</v>
      </c>
      <c r="BX556" s="2" t="s">
        <v>5</v>
      </c>
      <c r="BY556" s="25" t="s">
        <v>5</v>
      </c>
      <c r="BZ556" s="25" t="s">
        <v>5</v>
      </c>
      <c r="CA556" s="6" t="s">
        <v>5</v>
      </c>
      <c r="CB556" s="6" t="s">
        <v>5</v>
      </c>
      <c r="CC556" s="6" t="s">
        <v>5</v>
      </c>
      <c r="CD556" s="6" t="s">
        <v>5</v>
      </c>
      <c r="CE556" s="6" t="s">
        <v>5</v>
      </c>
      <c r="CF556" s="16" t="s">
        <v>5</v>
      </c>
      <c r="CG556" s="16" t="s">
        <v>5</v>
      </c>
      <c r="CH556" s="18" t="s">
        <v>5</v>
      </c>
    </row>
    <row r="557" spans="2:86">
      <c r="B557" s="78" t="s">
        <v>473</v>
      </c>
      <c r="C557" s="79" t="s">
        <v>657</v>
      </c>
      <c r="D557" s="80" t="s">
        <v>657</v>
      </c>
      <c r="E557" s="1" t="s">
        <v>4</v>
      </c>
      <c r="F557" s="4">
        <v>28.6</v>
      </c>
      <c r="G557" s="7">
        <v>8.44</v>
      </c>
      <c r="H557" s="3" t="str">
        <f t="shared" si="27"/>
        <v>2L5X5X7/16X3/4</v>
      </c>
      <c r="I557" s="7">
        <v>5</v>
      </c>
      <c r="J557" s="5" t="s">
        <v>5</v>
      </c>
      <c r="K557" s="6" t="s">
        <v>5</v>
      </c>
      <c r="L557" s="6" t="s">
        <v>5</v>
      </c>
      <c r="M557" s="6" t="s">
        <v>5</v>
      </c>
      <c r="N557" s="6" t="s">
        <v>5</v>
      </c>
      <c r="O557" s="5" t="s">
        <v>5</v>
      </c>
      <c r="P557" s="5" t="s">
        <v>5</v>
      </c>
      <c r="Q557" s="7">
        <v>5</v>
      </c>
      <c r="R557" s="6" t="s">
        <v>5</v>
      </c>
      <c r="S557" s="6" t="s">
        <v>5</v>
      </c>
      <c r="T557" s="5" t="s">
        <v>5</v>
      </c>
      <c r="U557" s="8" t="s">
        <v>5</v>
      </c>
      <c r="V557" s="6" t="s">
        <v>5</v>
      </c>
      <c r="W557" s="8" t="s">
        <v>5</v>
      </c>
      <c r="X557" s="22">
        <v>0.438</v>
      </c>
      <c r="Y557" s="6" t="s">
        <v>5</v>
      </c>
      <c r="Z557" s="6" t="s">
        <v>5</v>
      </c>
      <c r="AA557" s="6" t="s">
        <v>5</v>
      </c>
      <c r="AB557" s="8" t="s">
        <v>5</v>
      </c>
      <c r="AC557" s="8" t="s">
        <v>5</v>
      </c>
      <c r="AD557" s="6" t="s">
        <v>5</v>
      </c>
      <c r="AE557" s="7">
        <v>1.4</v>
      </c>
      <c r="AF557" s="6" t="s">
        <v>5</v>
      </c>
      <c r="AG557" s="6" t="s">
        <v>5</v>
      </c>
      <c r="AH557" s="22">
        <v>0.42199999999999999</v>
      </c>
      <c r="AI557" s="6" t="s">
        <v>5</v>
      </c>
      <c r="AJ557" s="4">
        <v>11.4</v>
      </c>
      <c r="AK557" s="6" t="s">
        <v>5</v>
      </c>
      <c r="AL557" s="6" t="s">
        <v>5</v>
      </c>
      <c r="AM557" s="6" t="s">
        <v>5</v>
      </c>
      <c r="AN557" s="6" t="s">
        <v>5</v>
      </c>
      <c r="AO557" s="4">
        <v>20</v>
      </c>
      <c r="AP557" s="4">
        <v>10</v>
      </c>
      <c r="AQ557" s="7">
        <v>5.56</v>
      </c>
      <c r="AR557" s="7">
        <v>1.54</v>
      </c>
      <c r="AS557" s="6">
        <v>46.6</v>
      </c>
      <c r="AT557" s="4">
        <v>15</v>
      </c>
      <c r="AU557" s="6">
        <v>8.67</v>
      </c>
      <c r="AV557" s="7">
        <v>2.35</v>
      </c>
      <c r="AW557" s="6" t="s">
        <v>5</v>
      </c>
      <c r="AX557" s="6" t="s">
        <v>5</v>
      </c>
      <c r="AY557" s="6" t="s">
        <v>5</v>
      </c>
      <c r="AZ557" s="6" t="s">
        <v>5</v>
      </c>
      <c r="BA557" s="6" t="s">
        <v>5</v>
      </c>
      <c r="BB557" s="6" t="s">
        <v>5</v>
      </c>
      <c r="BC557" s="6" t="s">
        <v>5</v>
      </c>
      <c r="BD557" s="6" t="s">
        <v>5</v>
      </c>
      <c r="BE557" s="6" t="s">
        <v>5</v>
      </c>
      <c r="BF557" s="6" t="s">
        <v>5</v>
      </c>
      <c r="BG557" s="6" t="s">
        <v>5</v>
      </c>
      <c r="BH557" s="6" t="s">
        <v>5</v>
      </c>
      <c r="BI557" s="7">
        <v>3.05</v>
      </c>
      <c r="BJ557" s="22">
        <v>0.85</v>
      </c>
      <c r="BK557" s="6" t="s">
        <v>5</v>
      </c>
      <c r="BL557" s="2" t="s">
        <v>5</v>
      </c>
      <c r="BM557" s="2" t="s">
        <v>5</v>
      </c>
      <c r="BN557" s="2" t="s">
        <v>5</v>
      </c>
      <c r="BO557" s="2" t="s">
        <v>5</v>
      </c>
      <c r="BP557" s="2" t="s">
        <v>5</v>
      </c>
      <c r="BQ557" s="2" t="s">
        <v>5</v>
      </c>
      <c r="BR557" s="2" t="s">
        <v>5</v>
      </c>
      <c r="BS557" s="2" t="s">
        <v>5</v>
      </c>
      <c r="BT557" s="2" t="s">
        <v>5</v>
      </c>
      <c r="BU557" s="2" t="s">
        <v>5</v>
      </c>
      <c r="BV557" s="2" t="s">
        <v>5</v>
      </c>
      <c r="BW557" s="2" t="s">
        <v>5</v>
      </c>
      <c r="BX557" s="2" t="s">
        <v>5</v>
      </c>
      <c r="BY557" s="25" t="s">
        <v>5</v>
      </c>
      <c r="BZ557" s="25" t="s">
        <v>5</v>
      </c>
      <c r="CA557" s="6" t="s">
        <v>5</v>
      </c>
      <c r="CB557" s="6" t="s">
        <v>5</v>
      </c>
      <c r="CC557" s="6" t="s">
        <v>5</v>
      </c>
      <c r="CD557" s="6" t="s">
        <v>5</v>
      </c>
      <c r="CE557" s="6" t="s">
        <v>5</v>
      </c>
      <c r="CF557" s="16" t="s">
        <v>5</v>
      </c>
      <c r="CG557" s="16" t="s">
        <v>5</v>
      </c>
      <c r="CH557" s="18" t="s">
        <v>5</v>
      </c>
    </row>
    <row r="558" spans="2:86">
      <c r="B558" s="78" t="s">
        <v>473</v>
      </c>
      <c r="C558" s="79" t="s">
        <v>658</v>
      </c>
      <c r="D558" s="80" t="s">
        <v>658</v>
      </c>
      <c r="E558" s="1" t="s">
        <v>4</v>
      </c>
      <c r="F558" s="4">
        <v>24.6</v>
      </c>
      <c r="G558" s="7">
        <v>7.3</v>
      </c>
      <c r="H558" s="3" t="str">
        <f t="shared" si="27"/>
        <v>2L5X5X3/8</v>
      </c>
      <c r="I558" s="7">
        <v>5</v>
      </c>
      <c r="J558" s="5" t="s">
        <v>5</v>
      </c>
      <c r="K558" s="6" t="s">
        <v>5</v>
      </c>
      <c r="L558" s="6" t="s">
        <v>5</v>
      </c>
      <c r="M558" s="6" t="s">
        <v>5</v>
      </c>
      <c r="N558" s="6" t="s">
        <v>5</v>
      </c>
      <c r="O558" s="5" t="s">
        <v>5</v>
      </c>
      <c r="P558" s="5" t="s">
        <v>5</v>
      </c>
      <c r="Q558" s="7">
        <v>5</v>
      </c>
      <c r="R558" s="6" t="s">
        <v>5</v>
      </c>
      <c r="S558" s="6" t="s">
        <v>5</v>
      </c>
      <c r="T558" s="5" t="s">
        <v>5</v>
      </c>
      <c r="U558" s="8" t="s">
        <v>5</v>
      </c>
      <c r="V558" s="6" t="s">
        <v>5</v>
      </c>
      <c r="W558" s="8" t="s">
        <v>5</v>
      </c>
      <c r="X558" s="22">
        <v>0.375</v>
      </c>
      <c r="Y558" s="6" t="s">
        <v>5</v>
      </c>
      <c r="Z558" s="6" t="s">
        <v>5</v>
      </c>
      <c r="AA558" s="6" t="s">
        <v>5</v>
      </c>
      <c r="AB558" s="8" t="s">
        <v>5</v>
      </c>
      <c r="AC558" s="8" t="s">
        <v>5</v>
      </c>
      <c r="AD558" s="6" t="s">
        <v>5</v>
      </c>
      <c r="AE558" s="7">
        <v>1.37</v>
      </c>
      <c r="AF558" s="6" t="s">
        <v>5</v>
      </c>
      <c r="AG558" s="6" t="s">
        <v>5</v>
      </c>
      <c r="AH558" s="22">
        <v>0.36499999999999999</v>
      </c>
      <c r="AI558" s="6" t="s">
        <v>5</v>
      </c>
      <c r="AJ558" s="4">
        <v>13.3</v>
      </c>
      <c r="AK558" s="6" t="s">
        <v>5</v>
      </c>
      <c r="AL558" s="6" t="s">
        <v>5</v>
      </c>
      <c r="AM558" s="6" t="s">
        <v>5</v>
      </c>
      <c r="AN558" s="6" t="s">
        <v>5</v>
      </c>
      <c r="AO558" s="4">
        <v>17.5</v>
      </c>
      <c r="AP558" s="7">
        <v>8.66</v>
      </c>
      <c r="AQ558" s="7">
        <v>4.82</v>
      </c>
      <c r="AR558" s="7">
        <v>1.55</v>
      </c>
      <c r="AS558" s="6">
        <v>31.3</v>
      </c>
      <c r="AT558" s="4">
        <v>10</v>
      </c>
      <c r="AU558" s="6">
        <v>6.26</v>
      </c>
      <c r="AV558" s="7">
        <v>2.0699999999999998</v>
      </c>
      <c r="AW558" s="6" t="s">
        <v>5</v>
      </c>
      <c r="AX558" s="6" t="s">
        <v>5</v>
      </c>
      <c r="AY558" s="6" t="s">
        <v>5</v>
      </c>
      <c r="AZ558" s="6" t="s">
        <v>5</v>
      </c>
      <c r="BA558" s="6" t="s">
        <v>5</v>
      </c>
      <c r="BB558" s="6" t="s">
        <v>5</v>
      </c>
      <c r="BC558" s="6" t="s">
        <v>5</v>
      </c>
      <c r="BD558" s="6" t="s">
        <v>5</v>
      </c>
      <c r="BE558" s="6" t="s">
        <v>5</v>
      </c>
      <c r="BF558" s="6" t="s">
        <v>5</v>
      </c>
      <c r="BG558" s="6" t="s">
        <v>5</v>
      </c>
      <c r="BH558" s="6" t="s">
        <v>5</v>
      </c>
      <c r="BI558" s="7">
        <v>2.84</v>
      </c>
      <c r="BJ558" s="22">
        <v>0.82599999999999996</v>
      </c>
      <c r="BK558" s="6" t="s">
        <v>5</v>
      </c>
      <c r="BL558" s="2" t="s">
        <v>5</v>
      </c>
      <c r="BM558" s="2" t="s">
        <v>5</v>
      </c>
      <c r="BN558" s="2" t="s">
        <v>5</v>
      </c>
      <c r="BO558" s="2" t="s">
        <v>5</v>
      </c>
      <c r="BP558" s="2" t="s">
        <v>5</v>
      </c>
      <c r="BQ558" s="2" t="s">
        <v>5</v>
      </c>
      <c r="BR558" s="2" t="s">
        <v>5</v>
      </c>
      <c r="BS558" s="2" t="s">
        <v>5</v>
      </c>
      <c r="BT558" s="2" t="s">
        <v>5</v>
      </c>
      <c r="BU558" s="2" t="s">
        <v>5</v>
      </c>
      <c r="BV558" s="2" t="s">
        <v>5</v>
      </c>
      <c r="BW558" s="2" t="s">
        <v>5</v>
      </c>
      <c r="BX558" s="2" t="s">
        <v>5</v>
      </c>
      <c r="BY558" s="25" t="s">
        <v>5</v>
      </c>
      <c r="BZ558" s="25" t="s">
        <v>5</v>
      </c>
      <c r="CA558" s="6" t="s">
        <v>5</v>
      </c>
      <c r="CB558" s="6" t="s">
        <v>5</v>
      </c>
      <c r="CC558" s="6" t="s">
        <v>5</v>
      </c>
      <c r="CD558" s="6" t="s">
        <v>5</v>
      </c>
      <c r="CE558" s="6" t="s">
        <v>5</v>
      </c>
      <c r="CF558" s="16" t="s">
        <v>5</v>
      </c>
      <c r="CG558" s="16" t="s">
        <v>5</v>
      </c>
      <c r="CH558" s="18" t="s">
        <v>5</v>
      </c>
    </row>
    <row r="559" spans="2:86">
      <c r="B559" s="78" t="s">
        <v>473</v>
      </c>
      <c r="C559" s="79" t="s">
        <v>659</v>
      </c>
      <c r="D559" s="80" t="s">
        <v>659</v>
      </c>
      <c r="E559" s="1" t="s">
        <v>4</v>
      </c>
      <c r="F559" s="4">
        <v>24.6</v>
      </c>
      <c r="G559" s="7">
        <v>7.3</v>
      </c>
      <c r="H559" s="3" t="str">
        <f t="shared" si="27"/>
        <v>2L5X5X3/8X3/8</v>
      </c>
      <c r="I559" s="7">
        <v>5</v>
      </c>
      <c r="J559" s="5" t="s">
        <v>5</v>
      </c>
      <c r="K559" s="6" t="s">
        <v>5</v>
      </c>
      <c r="L559" s="6" t="s">
        <v>5</v>
      </c>
      <c r="M559" s="6" t="s">
        <v>5</v>
      </c>
      <c r="N559" s="6" t="s">
        <v>5</v>
      </c>
      <c r="O559" s="5" t="s">
        <v>5</v>
      </c>
      <c r="P559" s="5" t="s">
        <v>5</v>
      </c>
      <c r="Q559" s="7">
        <v>5</v>
      </c>
      <c r="R559" s="6" t="s">
        <v>5</v>
      </c>
      <c r="S559" s="6" t="s">
        <v>5</v>
      </c>
      <c r="T559" s="5" t="s">
        <v>5</v>
      </c>
      <c r="U559" s="8" t="s">
        <v>5</v>
      </c>
      <c r="V559" s="6" t="s">
        <v>5</v>
      </c>
      <c r="W559" s="8" t="s">
        <v>5</v>
      </c>
      <c r="X559" s="22">
        <v>0.375</v>
      </c>
      <c r="Y559" s="6" t="s">
        <v>5</v>
      </c>
      <c r="Z559" s="6" t="s">
        <v>5</v>
      </c>
      <c r="AA559" s="6" t="s">
        <v>5</v>
      </c>
      <c r="AB559" s="8" t="s">
        <v>5</v>
      </c>
      <c r="AC559" s="8" t="s">
        <v>5</v>
      </c>
      <c r="AD559" s="6" t="s">
        <v>5</v>
      </c>
      <c r="AE559" s="7">
        <v>1.37</v>
      </c>
      <c r="AF559" s="6" t="s">
        <v>5</v>
      </c>
      <c r="AG559" s="6" t="s">
        <v>5</v>
      </c>
      <c r="AH559" s="22">
        <v>0.36499999999999999</v>
      </c>
      <c r="AI559" s="6" t="s">
        <v>5</v>
      </c>
      <c r="AJ559" s="4">
        <v>13.3</v>
      </c>
      <c r="AK559" s="6" t="s">
        <v>5</v>
      </c>
      <c r="AL559" s="6" t="s">
        <v>5</v>
      </c>
      <c r="AM559" s="6" t="s">
        <v>5</v>
      </c>
      <c r="AN559" s="6" t="s">
        <v>5</v>
      </c>
      <c r="AO559" s="4">
        <v>17.5</v>
      </c>
      <c r="AP559" s="7">
        <v>8.66</v>
      </c>
      <c r="AQ559" s="7">
        <v>4.82</v>
      </c>
      <c r="AR559" s="7">
        <v>1.55</v>
      </c>
      <c r="AS559" s="6">
        <v>35.299999999999997</v>
      </c>
      <c r="AT559" s="6">
        <v>11.4</v>
      </c>
      <c r="AU559" s="7">
        <v>6.8</v>
      </c>
      <c r="AV559" s="7">
        <v>2.2000000000000002</v>
      </c>
      <c r="AW559" s="6" t="s">
        <v>5</v>
      </c>
      <c r="AX559" s="6" t="s">
        <v>5</v>
      </c>
      <c r="AY559" s="6" t="s">
        <v>5</v>
      </c>
      <c r="AZ559" s="6" t="s">
        <v>5</v>
      </c>
      <c r="BA559" s="6" t="s">
        <v>5</v>
      </c>
      <c r="BB559" s="6" t="s">
        <v>5</v>
      </c>
      <c r="BC559" s="6" t="s">
        <v>5</v>
      </c>
      <c r="BD559" s="6" t="s">
        <v>5</v>
      </c>
      <c r="BE559" s="6" t="s">
        <v>5</v>
      </c>
      <c r="BF559" s="6" t="s">
        <v>5</v>
      </c>
      <c r="BG559" s="6" t="s">
        <v>5</v>
      </c>
      <c r="BH559" s="6" t="s">
        <v>5</v>
      </c>
      <c r="BI559" s="7">
        <v>2.94</v>
      </c>
      <c r="BJ559" s="22">
        <v>0.83799999999999997</v>
      </c>
      <c r="BK559" s="6" t="s">
        <v>5</v>
      </c>
      <c r="BL559" s="2" t="s">
        <v>5</v>
      </c>
      <c r="BM559" s="2" t="s">
        <v>5</v>
      </c>
      <c r="BN559" s="2" t="s">
        <v>5</v>
      </c>
      <c r="BO559" s="2" t="s">
        <v>5</v>
      </c>
      <c r="BP559" s="2" t="s">
        <v>5</v>
      </c>
      <c r="BQ559" s="2" t="s">
        <v>5</v>
      </c>
      <c r="BR559" s="2" t="s">
        <v>5</v>
      </c>
      <c r="BS559" s="2" t="s">
        <v>5</v>
      </c>
      <c r="BT559" s="2" t="s">
        <v>5</v>
      </c>
      <c r="BU559" s="2" t="s">
        <v>5</v>
      </c>
      <c r="BV559" s="2" t="s">
        <v>5</v>
      </c>
      <c r="BW559" s="2" t="s">
        <v>5</v>
      </c>
      <c r="BX559" s="2" t="s">
        <v>5</v>
      </c>
      <c r="BY559" s="25" t="s">
        <v>5</v>
      </c>
      <c r="BZ559" s="25" t="s">
        <v>5</v>
      </c>
      <c r="CA559" s="6" t="s">
        <v>5</v>
      </c>
      <c r="CB559" s="6" t="s">
        <v>5</v>
      </c>
      <c r="CC559" s="6" t="s">
        <v>5</v>
      </c>
      <c r="CD559" s="6" t="s">
        <v>5</v>
      </c>
      <c r="CE559" s="6" t="s">
        <v>5</v>
      </c>
      <c r="CF559" s="16" t="s">
        <v>5</v>
      </c>
      <c r="CG559" s="16" t="s">
        <v>5</v>
      </c>
      <c r="CH559" s="18" t="s">
        <v>5</v>
      </c>
    </row>
    <row r="560" spans="2:86">
      <c r="B560" s="78" t="s">
        <v>473</v>
      </c>
      <c r="C560" s="79" t="s">
        <v>660</v>
      </c>
      <c r="D560" s="80" t="s">
        <v>660</v>
      </c>
      <c r="E560" s="1" t="s">
        <v>4</v>
      </c>
      <c r="F560" s="4">
        <v>24.6</v>
      </c>
      <c r="G560" s="7">
        <v>7.3</v>
      </c>
      <c r="H560" s="3" t="str">
        <f t="shared" si="27"/>
        <v>2L5X5X3/8X3/4</v>
      </c>
      <c r="I560" s="7">
        <v>5</v>
      </c>
      <c r="J560" s="5" t="s">
        <v>5</v>
      </c>
      <c r="K560" s="6" t="s">
        <v>5</v>
      </c>
      <c r="L560" s="6" t="s">
        <v>5</v>
      </c>
      <c r="M560" s="6" t="s">
        <v>5</v>
      </c>
      <c r="N560" s="6" t="s">
        <v>5</v>
      </c>
      <c r="O560" s="5" t="s">
        <v>5</v>
      </c>
      <c r="P560" s="5" t="s">
        <v>5</v>
      </c>
      <c r="Q560" s="7">
        <v>5</v>
      </c>
      <c r="R560" s="6" t="s">
        <v>5</v>
      </c>
      <c r="S560" s="6" t="s">
        <v>5</v>
      </c>
      <c r="T560" s="5" t="s">
        <v>5</v>
      </c>
      <c r="U560" s="8" t="s">
        <v>5</v>
      </c>
      <c r="V560" s="6" t="s">
        <v>5</v>
      </c>
      <c r="W560" s="8" t="s">
        <v>5</v>
      </c>
      <c r="X560" s="22">
        <v>0.375</v>
      </c>
      <c r="Y560" s="6" t="s">
        <v>5</v>
      </c>
      <c r="Z560" s="6" t="s">
        <v>5</v>
      </c>
      <c r="AA560" s="6" t="s">
        <v>5</v>
      </c>
      <c r="AB560" s="8" t="s">
        <v>5</v>
      </c>
      <c r="AC560" s="8" t="s">
        <v>5</v>
      </c>
      <c r="AD560" s="6" t="s">
        <v>5</v>
      </c>
      <c r="AE560" s="7">
        <v>1.37</v>
      </c>
      <c r="AF560" s="6" t="s">
        <v>5</v>
      </c>
      <c r="AG560" s="6" t="s">
        <v>5</v>
      </c>
      <c r="AH560" s="22">
        <v>0.36499999999999999</v>
      </c>
      <c r="AI560" s="6" t="s">
        <v>5</v>
      </c>
      <c r="AJ560" s="4">
        <v>13.3</v>
      </c>
      <c r="AK560" s="6" t="s">
        <v>5</v>
      </c>
      <c r="AL560" s="6" t="s">
        <v>5</v>
      </c>
      <c r="AM560" s="6" t="s">
        <v>5</v>
      </c>
      <c r="AN560" s="6" t="s">
        <v>5</v>
      </c>
      <c r="AO560" s="4">
        <v>17.5</v>
      </c>
      <c r="AP560" s="7">
        <v>8.66</v>
      </c>
      <c r="AQ560" s="7">
        <v>4.82</v>
      </c>
      <c r="AR560" s="7">
        <v>1.55</v>
      </c>
      <c r="AS560" s="4">
        <v>40</v>
      </c>
      <c r="AT560" s="6">
        <v>12.7</v>
      </c>
      <c r="AU560" s="6">
        <v>7.44</v>
      </c>
      <c r="AV560" s="7">
        <v>2.34</v>
      </c>
      <c r="AW560" s="6" t="s">
        <v>5</v>
      </c>
      <c r="AX560" s="6" t="s">
        <v>5</v>
      </c>
      <c r="AY560" s="6" t="s">
        <v>5</v>
      </c>
      <c r="AZ560" s="6" t="s">
        <v>5</v>
      </c>
      <c r="BA560" s="6" t="s">
        <v>5</v>
      </c>
      <c r="BB560" s="6" t="s">
        <v>5</v>
      </c>
      <c r="BC560" s="6" t="s">
        <v>5</v>
      </c>
      <c r="BD560" s="6" t="s">
        <v>5</v>
      </c>
      <c r="BE560" s="6" t="s">
        <v>5</v>
      </c>
      <c r="BF560" s="6" t="s">
        <v>5</v>
      </c>
      <c r="BG560" s="6" t="s">
        <v>5</v>
      </c>
      <c r="BH560" s="6" t="s">
        <v>5</v>
      </c>
      <c r="BI560" s="7">
        <v>3.04</v>
      </c>
      <c r="BJ560" s="22">
        <v>0.84799999999999998</v>
      </c>
      <c r="BK560" s="6" t="s">
        <v>5</v>
      </c>
      <c r="BL560" s="2" t="s">
        <v>5</v>
      </c>
      <c r="BM560" s="2" t="s">
        <v>5</v>
      </c>
      <c r="BN560" s="2" t="s">
        <v>5</v>
      </c>
      <c r="BO560" s="2" t="s">
        <v>5</v>
      </c>
      <c r="BP560" s="2" t="s">
        <v>5</v>
      </c>
      <c r="BQ560" s="2" t="s">
        <v>5</v>
      </c>
      <c r="BR560" s="2" t="s">
        <v>5</v>
      </c>
      <c r="BS560" s="2" t="s">
        <v>5</v>
      </c>
      <c r="BT560" s="2" t="s">
        <v>5</v>
      </c>
      <c r="BU560" s="2" t="s">
        <v>5</v>
      </c>
      <c r="BV560" s="2" t="s">
        <v>5</v>
      </c>
      <c r="BW560" s="2" t="s">
        <v>5</v>
      </c>
      <c r="BX560" s="2" t="s">
        <v>5</v>
      </c>
      <c r="BY560" s="25" t="s">
        <v>5</v>
      </c>
      <c r="BZ560" s="25" t="s">
        <v>5</v>
      </c>
      <c r="CA560" s="6" t="s">
        <v>5</v>
      </c>
      <c r="CB560" s="6" t="s">
        <v>5</v>
      </c>
      <c r="CC560" s="6" t="s">
        <v>5</v>
      </c>
      <c r="CD560" s="6" t="s">
        <v>5</v>
      </c>
      <c r="CE560" s="6" t="s">
        <v>5</v>
      </c>
      <c r="CF560" s="16" t="s">
        <v>5</v>
      </c>
      <c r="CG560" s="16" t="s">
        <v>5</v>
      </c>
      <c r="CH560" s="18" t="s">
        <v>5</v>
      </c>
    </row>
    <row r="561" spans="2:86">
      <c r="B561" s="78" t="s">
        <v>473</v>
      </c>
      <c r="C561" s="79" t="s">
        <v>661</v>
      </c>
      <c r="D561" s="80" t="s">
        <v>661</v>
      </c>
      <c r="E561" s="1" t="s">
        <v>4</v>
      </c>
      <c r="F561" s="4">
        <v>20.6</v>
      </c>
      <c r="G561" s="7">
        <v>6.14</v>
      </c>
      <c r="H561" s="3" t="str">
        <f t="shared" si="27"/>
        <v>2L5X5X5/16</v>
      </c>
      <c r="I561" s="7">
        <v>5</v>
      </c>
      <c r="J561" s="5" t="s">
        <v>5</v>
      </c>
      <c r="K561" s="6" t="s">
        <v>5</v>
      </c>
      <c r="L561" s="6" t="s">
        <v>5</v>
      </c>
      <c r="M561" s="6" t="s">
        <v>5</v>
      </c>
      <c r="N561" s="6" t="s">
        <v>5</v>
      </c>
      <c r="O561" s="5" t="s">
        <v>5</v>
      </c>
      <c r="P561" s="5" t="s">
        <v>5</v>
      </c>
      <c r="Q561" s="7">
        <v>5</v>
      </c>
      <c r="R561" s="6" t="s">
        <v>5</v>
      </c>
      <c r="S561" s="6" t="s">
        <v>5</v>
      </c>
      <c r="T561" s="5" t="s">
        <v>5</v>
      </c>
      <c r="U561" s="8" t="s">
        <v>5</v>
      </c>
      <c r="V561" s="6" t="s">
        <v>5</v>
      </c>
      <c r="W561" s="8" t="s">
        <v>5</v>
      </c>
      <c r="X561" s="22">
        <v>0.313</v>
      </c>
      <c r="Y561" s="6" t="s">
        <v>5</v>
      </c>
      <c r="Z561" s="6" t="s">
        <v>5</v>
      </c>
      <c r="AA561" s="6" t="s">
        <v>5</v>
      </c>
      <c r="AB561" s="8" t="s">
        <v>5</v>
      </c>
      <c r="AC561" s="8" t="s">
        <v>5</v>
      </c>
      <c r="AD561" s="6" t="s">
        <v>5</v>
      </c>
      <c r="AE561" s="7">
        <v>1.35</v>
      </c>
      <c r="AF561" s="6" t="s">
        <v>5</v>
      </c>
      <c r="AG561" s="6" t="s">
        <v>5</v>
      </c>
      <c r="AH561" s="22">
        <v>0.307</v>
      </c>
      <c r="AI561" s="6" t="s">
        <v>5</v>
      </c>
      <c r="AJ561" s="4">
        <v>16</v>
      </c>
      <c r="AK561" s="6" t="s">
        <v>5</v>
      </c>
      <c r="AL561" s="6" t="s">
        <v>5</v>
      </c>
      <c r="AM561" s="6" t="s">
        <v>5</v>
      </c>
      <c r="AN561" s="6" t="s">
        <v>5</v>
      </c>
      <c r="AO561" s="4">
        <v>14.9</v>
      </c>
      <c r="AP561" s="7">
        <v>7.3</v>
      </c>
      <c r="AQ561" s="7">
        <v>4.08</v>
      </c>
      <c r="AR561" s="7">
        <v>1.56</v>
      </c>
      <c r="AS561" s="6">
        <v>26.1</v>
      </c>
      <c r="AT561" s="6">
        <v>8.2899999999999991</v>
      </c>
      <c r="AU561" s="6">
        <v>5.22</v>
      </c>
      <c r="AV561" s="7">
        <v>2.06</v>
      </c>
      <c r="AW561" s="6" t="s">
        <v>5</v>
      </c>
      <c r="AX561" s="6" t="s">
        <v>5</v>
      </c>
      <c r="AY561" s="6" t="s">
        <v>5</v>
      </c>
      <c r="AZ561" s="6" t="s">
        <v>5</v>
      </c>
      <c r="BA561" s="6" t="s">
        <v>5</v>
      </c>
      <c r="BB561" s="6" t="s">
        <v>5</v>
      </c>
      <c r="BC561" s="6" t="s">
        <v>5</v>
      </c>
      <c r="BD561" s="6" t="s">
        <v>5</v>
      </c>
      <c r="BE561" s="6" t="s">
        <v>5</v>
      </c>
      <c r="BF561" s="6" t="s">
        <v>5</v>
      </c>
      <c r="BG561" s="6" t="s">
        <v>5</v>
      </c>
      <c r="BH561" s="6" t="s">
        <v>5</v>
      </c>
      <c r="BI561" s="7">
        <v>2.84</v>
      </c>
      <c r="BJ561" s="22">
        <v>0.82499999999999996</v>
      </c>
      <c r="BK561" s="6" t="s">
        <v>5</v>
      </c>
      <c r="BL561" s="2" t="s">
        <v>5</v>
      </c>
      <c r="BM561" s="2" t="s">
        <v>5</v>
      </c>
      <c r="BN561" s="2" t="s">
        <v>5</v>
      </c>
      <c r="BO561" s="2" t="s">
        <v>5</v>
      </c>
      <c r="BP561" s="2" t="s">
        <v>5</v>
      </c>
      <c r="BQ561" s="2" t="s">
        <v>5</v>
      </c>
      <c r="BR561" s="2" t="s">
        <v>5</v>
      </c>
      <c r="BS561" s="2" t="s">
        <v>5</v>
      </c>
      <c r="BT561" s="2" t="s">
        <v>5</v>
      </c>
      <c r="BU561" s="2" t="s">
        <v>5</v>
      </c>
      <c r="BV561" s="2" t="s">
        <v>5</v>
      </c>
      <c r="BW561" s="2" t="s">
        <v>5</v>
      </c>
      <c r="BX561" s="2" t="s">
        <v>5</v>
      </c>
      <c r="BY561" s="25" t="s">
        <v>5</v>
      </c>
      <c r="BZ561" s="25" t="s">
        <v>5</v>
      </c>
      <c r="CA561" s="6" t="s">
        <v>5</v>
      </c>
      <c r="CB561" s="6" t="s">
        <v>5</v>
      </c>
      <c r="CC561" s="6" t="s">
        <v>5</v>
      </c>
      <c r="CD561" s="6" t="s">
        <v>5</v>
      </c>
      <c r="CE561" s="6" t="s">
        <v>5</v>
      </c>
      <c r="CF561" s="16" t="s">
        <v>5</v>
      </c>
      <c r="CG561" s="16" t="s">
        <v>5</v>
      </c>
      <c r="CH561" s="18" t="s">
        <v>5</v>
      </c>
    </row>
    <row r="562" spans="2:86">
      <c r="B562" s="78" t="s">
        <v>473</v>
      </c>
      <c r="C562" s="79" t="s">
        <v>662</v>
      </c>
      <c r="D562" s="80" t="s">
        <v>662</v>
      </c>
      <c r="E562" s="1" t="s">
        <v>4</v>
      </c>
      <c r="F562" s="4">
        <v>20.6</v>
      </c>
      <c r="G562" s="7">
        <v>6.14</v>
      </c>
      <c r="H562" s="3" t="str">
        <f t="shared" si="27"/>
        <v>2L5X5X5/16X3/8</v>
      </c>
      <c r="I562" s="7">
        <v>5</v>
      </c>
      <c r="J562" s="5" t="s">
        <v>5</v>
      </c>
      <c r="K562" s="6" t="s">
        <v>5</v>
      </c>
      <c r="L562" s="6" t="s">
        <v>5</v>
      </c>
      <c r="M562" s="6" t="s">
        <v>5</v>
      </c>
      <c r="N562" s="6" t="s">
        <v>5</v>
      </c>
      <c r="O562" s="5" t="s">
        <v>5</v>
      </c>
      <c r="P562" s="5" t="s">
        <v>5</v>
      </c>
      <c r="Q562" s="7">
        <v>5</v>
      </c>
      <c r="R562" s="6" t="s">
        <v>5</v>
      </c>
      <c r="S562" s="6" t="s">
        <v>5</v>
      </c>
      <c r="T562" s="5" t="s">
        <v>5</v>
      </c>
      <c r="U562" s="8" t="s">
        <v>5</v>
      </c>
      <c r="V562" s="6" t="s">
        <v>5</v>
      </c>
      <c r="W562" s="8" t="s">
        <v>5</v>
      </c>
      <c r="X562" s="22">
        <v>0.313</v>
      </c>
      <c r="Y562" s="6" t="s">
        <v>5</v>
      </c>
      <c r="Z562" s="6" t="s">
        <v>5</v>
      </c>
      <c r="AA562" s="6" t="s">
        <v>5</v>
      </c>
      <c r="AB562" s="8" t="s">
        <v>5</v>
      </c>
      <c r="AC562" s="8" t="s">
        <v>5</v>
      </c>
      <c r="AD562" s="6" t="s">
        <v>5</v>
      </c>
      <c r="AE562" s="7">
        <v>1.35</v>
      </c>
      <c r="AF562" s="6" t="s">
        <v>5</v>
      </c>
      <c r="AG562" s="6" t="s">
        <v>5</v>
      </c>
      <c r="AH562" s="22">
        <v>0.307</v>
      </c>
      <c r="AI562" s="6" t="s">
        <v>5</v>
      </c>
      <c r="AJ562" s="4">
        <v>16</v>
      </c>
      <c r="AK562" s="6" t="s">
        <v>5</v>
      </c>
      <c r="AL562" s="6" t="s">
        <v>5</v>
      </c>
      <c r="AM562" s="6" t="s">
        <v>5</v>
      </c>
      <c r="AN562" s="6" t="s">
        <v>5</v>
      </c>
      <c r="AO562" s="4">
        <v>14.9</v>
      </c>
      <c r="AP562" s="7">
        <v>7.3</v>
      </c>
      <c r="AQ562" s="7">
        <v>4.08</v>
      </c>
      <c r="AR562" s="7">
        <v>1.56</v>
      </c>
      <c r="AS562" s="4">
        <v>29.4</v>
      </c>
      <c r="AT562" s="6">
        <v>9.44</v>
      </c>
      <c r="AU562" s="6">
        <v>5.67</v>
      </c>
      <c r="AV562" s="7">
        <v>2.19</v>
      </c>
      <c r="AW562" s="6" t="s">
        <v>5</v>
      </c>
      <c r="AX562" s="6" t="s">
        <v>5</v>
      </c>
      <c r="AY562" s="6" t="s">
        <v>5</v>
      </c>
      <c r="AZ562" s="6" t="s">
        <v>5</v>
      </c>
      <c r="BA562" s="6" t="s">
        <v>5</v>
      </c>
      <c r="BB562" s="6" t="s">
        <v>5</v>
      </c>
      <c r="BC562" s="6" t="s">
        <v>5</v>
      </c>
      <c r="BD562" s="6" t="s">
        <v>5</v>
      </c>
      <c r="BE562" s="6" t="s">
        <v>5</v>
      </c>
      <c r="BF562" s="6" t="s">
        <v>5</v>
      </c>
      <c r="BG562" s="6" t="s">
        <v>5</v>
      </c>
      <c r="BH562" s="6" t="s">
        <v>5</v>
      </c>
      <c r="BI562" s="7">
        <v>2.94</v>
      </c>
      <c r="BJ562" s="22">
        <v>0.83599999999999997</v>
      </c>
      <c r="BK562" s="6" t="s">
        <v>5</v>
      </c>
      <c r="BL562" s="2" t="s">
        <v>5</v>
      </c>
      <c r="BM562" s="2" t="s">
        <v>5</v>
      </c>
      <c r="BN562" s="2" t="s">
        <v>5</v>
      </c>
      <c r="BO562" s="2" t="s">
        <v>5</v>
      </c>
      <c r="BP562" s="2" t="s">
        <v>5</v>
      </c>
      <c r="BQ562" s="2" t="s">
        <v>5</v>
      </c>
      <c r="BR562" s="2" t="s">
        <v>5</v>
      </c>
      <c r="BS562" s="2" t="s">
        <v>5</v>
      </c>
      <c r="BT562" s="2" t="s">
        <v>5</v>
      </c>
      <c r="BU562" s="2" t="s">
        <v>5</v>
      </c>
      <c r="BV562" s="2" t="s">
        <v>5</v>
      </c>
      <c r="BW562" s="2" t="s">
        <v>5</v>
      </c>
      <c r="BX562" s="2" t="s">
        <v>5</v>
      </c>
      <c r="BY562" s="25" t="s">
        <v>5</v>
      </c>
      <c r="BZ562" s="25" t="s">
        <v>5</v>
      </c>
      <c r="CA562" s="6" t="s">
        <v>5</v>
      </c>
      <c r="CB562" s="6" t="s">
        <v>5</v>
      </c>
      <c r="CC562" s="6" t="s">
        <v>5</v>
      </c>
      <c r="CD562" s="6" t="s">
        <v>5</v>
      </c>
      <c r="CE562" s="6" t="s">
        <v>5</v>
      </c>
      <c r="CF562" s="16" t="s">
        <v>5</v>
      </c>
      <c r="CG562" s="16" t="s">
        <v>5</v>
      </c>
      <c r="CH562" s="18" t="s">
        <v>5</v>
      </c>
    </row>
    <row r="563" spans="2:86">
      <c r="B563" s="78" t="s">
        <v>473</v>
      </c>
      <c r="C563" s="79" t="s">
        <v>663</v>
      </c>
      <c r="D563" s="80" t="s">
        <v>663</v>
      </c>
      <c r="E563" s="1" t="s">
        <v>4</v>
      </c>
      <c r="F563" s="4">
        <v>20.6</v>
      </c>
      <c r="G563" s="7">
        <v>6.14</v>
      </c>
      <c r="H563" s="3" t="str">
        <f t="shared" si="27"/>
        <v>2L5X5X5/16X3/4</v>
      </c>
      <c r="I563" s="7">
        <v>5</v>
      </c>
      <c r="J563" s="5" t="s">
        <v>5</v>
      </c>
      <c r="K563" s="6" t="s">
        <v>5</v>
      </c>
      <c r="L563" s="6" t="s">
        <v>5</v>
      </c>
      <c r="M563" s="6" t="s">
        <v>5</v>
      </c>
      <c r="N563" s="6" t="s">
        <v>5</v>
      </c>
      <c r="O563" s="5" t="s">
        <v>5</v>
      </c>
      <c r="P563" s="5" t="s">
        <v>5</v>
      </c>
      <c r="Q563" s="7">
        <v>5</v>
      </c>
      <c r="R563" s="6" t="s">
        <v>5</v>
      </c>
      <c r="S563" s="6" t="s">
        <v>5</v>
      </c>
      <c r="T563" s="5" t="s">
        <v>5</v>
      </c>
      <c r="U563" s="8" t="s">
        <v>5</v>
      </c>
      <c r="V563" s="6" t="s">
        <v>5</v>
      </c>
      <c r="W563" s="8" t="s">
        <v>5</v>
      </c>
      <c r="X563" s="22">
        <v>0.313</v>
      </c>
      <c r="Y563" s="6" t="s">
        <v>5</v>
      </c>
      <c r="Z563" s="6" t="s">
        <v>5</v>
      </c>
      <c r="AA563" s="6" t="s">
        <v>5</v>
      </c>
      <c r="AB563" s="8" t="s">
        <v>5</v>
      </c>
      <c r="AC563" s="8" t="s">
        <v>5</v>
      </c>
      <c r="AD563" s="6" t="s">
        <v>5</v>
      </c>
      <c r="AE563" s="7">
        <v>1.35</v>
      </c>
      <c r="AF563" s="6" t="s">
        <v>5</v>
      </c>
      <c r="AG563" s="6" t="s">
        <v>5</v>
      </c>
      <c r="AH563" s="22">
        <v>0.307</v>
      </c>
      <c r="AI563" s="6" t="s">
        <v>5</v>
      </c>
      <c r="AJ563" s="4">
        <v>16</v>
      </c>
      <c r="AK563" s="6" t="s">
        <v>5</v>
      </c>
      <c r="AL563" s="6" t="s">
        <v>5</v>
      </c>
      <c r="AM563" s="6" t="s">
        <v>5</v>
      </c>
      <c r="AN563" s="6" t="s">
        <v>5</v>
      </c>
      <c r="AO563" s="4">
        <v>14.9</v>
      </c>
      <c r="AP563" s="7">
        <v>7.3</v>
      </c>
      <c r="AQ563" s="7">
        <v>4.08</v>
      </c>
      <c r="AR563" s="7">
        <v>1.56</v>
      </c>
      <c r="AS563" s="4">
        <v>33</v>
      </c>
      <c r="AT563" s="6">
        <v>10.6</v>
      </c>
      <c r="AU563" s="6">
        <v>6.14</v>
      </c>
      <c r="AV563" s="7">
        <v>2.3199999999999998</v>
      </c>
      <c r="AW563" s="6" t="s">
        <v>5</v>
      </c>
      <c r="AX563" s="6" t="s">
        <v>5</v>
      </c>
      <c r="AY563" s="6" t="s">
        <v>5</v>
      </c>
      <c r="AZ563" s="6" t="s">
        <v>5</v>
      </c>
      <c r="BA563" s="6" t="s">
        <v>5</v>
      </c>
      <c r="BB563" s="6" t="s">
        <v>5</v>
      </c>
      <c r="BC563" s="6" t="s">
        <v>5</v>
      </c>
      <c r="BD563" s="6" t="s">
        <v>5</v>
      </c>
      <c r="BE563" s="6" t="s">
        <v>5</v>
      </c>
      <c r="BF563" s="6" t="s">
        <v>5</v>
      </c>
      <c r="BG563" s="6" t="s">
        <v>5</v>
      </c>
      <c r="BH563" s="6" t="s">
        <v>5</v>
      </c>
      <c r="BI563" s="7">
        <v>3.04</v>
      </c>
      <c r="BJ563" s="22">
        <v>0.84699999999999998</v>
      </c>
      <c r="BK563" s="6" t="s">
        <v>5</v>
      </c>
      <c r="BL563" s="2" t="s">
        <v>5</v>
      </c>
      <c r="BM563" s="2" t="s">
        <v>5</v>
      </c>
      <c r="BN563" s="2" t="s">
        <v>5</v>
      </c>
      <c r="BO563" s="2" t="s">
        <v>5</v>
      </c>
      <c r="BP563" s="2" t="s">
        <v>5</v>
      </c>
      <c r="BQ563" s="2" t="s">
        <v>5</v>
      </c>
      <c r="BR563" s="2" t="s">
        <v>5</v>
      </c>
      <c r="BS563" s="2" t="s">
        <v>5</v>
      </c>
      <c r="BT563" s="2" t="s">
        <v>5</v>
      </c>
      <c r="BU563" s="2" t="s">
        <v>5</v>
      </c>
      <c r="BV563" s="2" t="s">
        <v>5</v>
      </c>
      <c r="BW563" s="2" t="s">
        <v>5</v>
      </c>
      <c r="BX563" s="2" t="s">
        <v>5</v>
      </c>
      <c r="BY563" s="25" t="s">
        <v>5</v>
      </c>
      <c r="BZ563" s="25" t="s">
        <v>5</v>
      </c>
      <c r="CA563" s="6" t="s">
        <v>5</v>
      </c>
      <c r="CB563" s="6" t="s">
        <v>5</v>
      </c>
      <c r="CC563" s="6" t="s">
        <v>5</v>
      </c>
      <c r="CD563" s="6" t="s">
        <v>5</v>
      </c>
      <c r="CE563" s="6" t="s">
        <v>5</v>
      </c>
      <c r="CF563" s="16" t="s">
        <v>5</v>
      </c>
      <c r="CG563" s="16" t="s">
        <v>5</v>
      </c>
      <c r="CH563" s="18" t="s">
        <v>5</v>
      </c>
    </row>
    <row r="564" spans="2:86">
      <c r="B564" s="78" t="s">
        <v>473</v>
      </c>
      <c r="C564" s="79" t="s">
        <v>664</v>
      </c>
      <c r="D564" s="80" t="s">
        <v>664</v>
      </c>
      <c r="E564" s="1" t="s">
        <v>4</v>
      </c>
      <c r="F564" s="4">
        <v>37</v>
      </c>
      <c r="G564" s="4">
        <v>10.9</v>
      </c>
      <c r="H564" s="3" t="str">
        <f t="shared" si="27"/>
        <v>2L4X4X3/4</v>
      </c>
      <c r="I564" s="7">
        <v>4</v>
      </c>
      <c r="J564" s="5" t="s">
        <v>5</v>
      </c>
      <c r="K564" s="6" t="s">
        <v>5</v>
      </c>
      <c r="L564" s="6" t="s">
        <v>5</v>
      </c>
      <c r="M564" s="6" t="s">
        <v>5</v>
      </c>
      <c r="N564" s="6" t="s">
        <v>5</v>
      </c>
      <c r="O564" s="5" t="s">
        <v>5</v>
      </c>
      <c r="P564" s="5" t="s">
        <v>5</v>
      </c>
      <c r="Q564" s="7">
        <v>4</v>
      </c>
      <c r="R564" s="6" t="s">
        <v>5</v>
      </c>
      <c r="S564" s="6" t="s">
        <v>5</v>
      </c>
      <c r="T564" s="5" t="s">
        <v>5</v>
      </c>
      <c r="U564" s="8" t="s">
        <v>5</v>
      </c>
      <c r="V564" s="6" t="s">
        <v>5</v>
      </c>
      <c r="W564" s="8" t="s">
        <v>5</v>
      </c>
      <c r="X564" s="22">
        <v>0.75</v>
      </c>
      <c r="Y564" s="6" t="s">
        <v>5</v>
      </c>
      <c r="Z564" s="6" t="s">
        <v>5</v>
      </c>
      <c r="AA564" s="6" t="s">
        <v>5</v>
      </c>
      <c r="AB564" s="8" t="s">
        <v>5</v>
      </c>
      <c r="AC564" s="8" t="s">
        <v>5</v>
      </c>
      <c r="AD564" s="6" t="s">
        <v>5</v>
      </c>
      <c r="AE564" s="7">
        <v>1.27</v>
      </c>
      <c r="AF564" s="6" t="s">
        <v>5</v>
      </c>
      <c r="AG564" s="6" t="s">
        <v>5</v>
      </c>
      <c r="AH564" s="22">
        <v>0.68</v>
      </c>
      <c r="AI564" s="6" t="s">
        <v>5</v>
      </c>
      <c r="AJ564" s="7">
        <v>5.33</v>
      </c>
      <c r="AK564" s="6" t="s">
        <v>5</v>
      </c>
      <c r="AL564" s="6" t="s">
        <v>5</v>
      </c>
      <c r="AM564" s="6" t="s">
        <v>5</v>
      </c>
      <c r="AN564" s="6" t="s">
        <v>5</v>
      </c>
      <c r="AO564" s="4">
        <v>15.2</v>
      </c>
      <c r="AP564" s="4">
        <v>10</v>
      </c>
      <c r="AQ564" s="7">
        <v>5.58</v>
      </c>
      <c r="AR564" s="7">
        <v>1.18</v>
      </c>
      <c r="AS564" s="6">
        <v>32.6</v>
      </c>
      <c r="AT564" s="6">
        <v>13.8</v>
      </c>
      <c r="AU564" s="6">
        <v>8.15</v>
      </c>
      <c r="AV564" s="7">
        <v>1.73</v>
      </c>
      <c r="AW564" s="6" t="s">
        <v>5</v>
      </c>
      <c r="AX564" s="6" t="s">
        <v>5</v>
      </c>
      <c r="AY564" s="6" t="s">
        <v>5</v>
      </c>
      <c r="AZ564" s="6" t="s">
        <v>5</v>
      </c>
      <c r="BA564" s="6" t="s">
        <v>5</v>
      </c>
      <c r="BB564" s="6" t="s">
        <v>5</v>
      </c>
      <c r="BC564" s="6" t="s">
        <v>5</v>
      </c>
      <c r="BD564" s="6" t="s">
        <v>5</v>
      </c>
      <c r="BE564" s="6" t="s">
        <v>5</v>
      </c>
      <c r="BF564" s="6" t="s">
        <v>5</v>
      </c>
      <c r="BG564" s="6" t="s">
        <v>5</v>
      </c>
      <c r="BH564" s="6" t="s">
        <v>5</v>
      </c>
      <c r="BI564" s="7">
        <v>2.2799999999999998</v>
      </c>
      <c r="BJ564" s="22">
        <v>0.84699999999999998</v>
      </c>
      <c r="BK564" s="6" t="s">
        <v>5</v>
      </c>
      <c r="BL564" s="2" t="s">
        <v>5</v>
      </c>
      <c r="BM564" s="2" t="s">
        <v>5</v>
      </c>
      <c r="BN564" s="2" t="s">
        <v>5</v>
      </c>
      <c r="BO564" s="2" t="s">
        <v>5</v>
      </c>
      <c r="BP564" s="2" t="s">
        <v>5</v>
      </c>
      <c r="BQ564" s="2" t="s">
        <v>5</v>
      </c>
      <c r="BR564" s="2" t="s">
        <v>5</v>
      </c>
      <c r="BS564" s="2" t="s">
        <v>5</v>
      </c>
      <c r="BT564" s="2" t="s">
        <v>5</v>
      </c>
      <c r="BU564" s="2" t="s">
        <v>5</v>
      </c>
      <c r="BV564" s="2" t="s">
        <v>5</v>
      </c>
      <c r="BW564" s="2" t="s">
        <v>5</v>
      </c>
      <c r="BX564" s="2" t="s">
        <v>5</v>
      </c>
      <c r="BY564" s="25" t="s">
        <v>5</v>
      </c>
      <c r="BZ564" s="25" t="s">
        <v>5</v>
      </c>
      <c r="CA564" s="6" t="s">
        <v>5</v>
      </c>
      <c r="CB564" s="6" t="s">
        <v>5</v>
      </c>
      <c r="CC564" s="6" t="s">
        <v>5</v>
      </c>
      <c r="CD564" s="6" t="s">
        <v>5</v>
      </c>
      <c r="CE564" s="6" t="s">
        <v>5</v>
      </c>
      <c r="CF564" s="16" t="s">
        <v>5</v>
      </c>
      <c r="CG564" s="16" t="s">
        <v>5</v>
      </c>
      <c r="CH564" s="18" t="s">
        <v>5</v>
      </c>
    </row>
    <row r="565" spans="2:86">
      <c r="B565" s="78" t="s">
        <v>473</v>
      </c>
      <c r="C565" s="79" t="s">
        <v>665</v>
      </c>
      <c r="D565" s="80" t="s">
        <v>665</v>
      </c>
      <c r="E565" s="1" t="s">
        <v>4</v>
      </c>
      <c r="F565" s="4">
        <v>37</v>
      </c>
      <c r="G565" s="4">
        <v>10.9</v>
      </c>
      <c r="H565" s="3" t="str">
        <f t="shared" si="27"/>
        <v>2L4X4X3/4X3/8</v>
      </c>
      <c r="I565" s="7">
        <v>4</v>
      </c>
      <c r="J565" s="5" t="s">
        <v>5</v>
      </c>
      <c r="K565" s="6" t="s">
        <v>5</v>
      </c>
      <c r="L565" s="6" t="s">
        <v>5</v>
      </c>
      <c r="M565" s="6" t="s">
        <v>5</v>
      </c>
      <c r="N565" s="6" t="s">
        <v>5</v>
      </c>
      <c r="O565" s="5" t="s">
        <v>5</v>
      </c>
      <c r="P565" s="5" t="s">
        <v>5</v>
      </c>
      <c r="Q565" s="7">
        <v>4</v>
      </c>
      <c r="R565" s="6" t="s">
        <v>5</v>
      </c>
      <c r="S565" s="6" t="s">
        <v>5</v>
      </c>
      <c r="T565" s="5" t="s">
        <v>5</v>
      </c>
      <c r="U565" s="8" t="s">
        <v>5</v>
      </c>
      <c r="V565" s="6" t="s">
        <v>5</v>
      </c>
      <c r="W565" s="8" t="s">
        <v>5</v>
      </c>
      <c r="X565" s="22">
        <v>0.75</v>
      </c>
      <c r="Y565" s="6" t="s">
        <v>5</v>
      </c>
      <c r="Z565" s="6" t="s">
        <v>5</v>
      </c>
      <c r="AA565" s="6" t="s">
        <v>5</v>
      </c>
      <c r="AB565" s="8" t="s">
        <v>5</v>
      </c>
      <c r="AC565" s="8" t="s">
        <v>5</v>
      </c>
      <c r="AD565" s="6" t="s">
        <v>5</v>
      </c>
      <c r="AE565" s="7">
        <v>1.27</v>
      </c>
      <c r="AF565" s="6" t="s">
        <v>5</v>
      </c>
      <c r="AG565" s="6" t="s">
        <v>5</v>
      </c>
      <c r="AH565" s="22">
        <v>0.68</v>
      </c>
      <c r="AI565" s="6" t="s">
        <v>5</v>
      </c>
      <c r="AJ565" s="7">
        <v>5.33</v>
      </c>
      <c r="AK565" s="6" t="s">
        <v>5</v>
      </c>
      <c r="AL565" s="6" t="s">
        <v>5</v>
      </c>
      <c r="AM565" s="6" t="s">
        <v>5</v>
      </c>
      <c r="AN565" s="6" t="s">
        <v>5</v>
      </c>
      <c r="AO565" s="4">
        <v>15.2</v>
      </c>
      <c r="AP565" s="4">
        <v>10</v>
      </c>
      <c r="AQ565" s="7">
        <v>5.58</v>
      </c>
      <c r="AR565" s="7">
        <v>1.18</v>
      </c>
      <c r="AS565" s="6">
        <v>38.5</v>
      </c>
      <c r="AT565" s="6">
        <v>15.9</v>
      </c>
      <c r="AU565" s="6">
        <v>9.19</v>
      </c>
      <c r="AV565" s="7">
        <v>1.88</v>
      </c>
      <c r="AW565" s="6" t="s">
        <v>5</v>
      </c>
      <c r="AX565" s="6" t="s">
        <v>5</v>
      </c>
      <c r="AY565" s="6" t="s">
        <v>5</v>
      </c>
      <c r="AZ565" s="6" t="s">
        <v>5</v>
      </c>
      <c r="BA565" s="6" t="s">
        <v>5</v>
      </c>
      <c r="BB565" s="6" t="s">
        <v>5</v>
      </c>
      <c r="BC565" s="6" t="s">
        <v>5</v>
      </c>
      <c r="BD565" s="6" t="s">
        <v>5</v>
      </c>
      <c r="BE565" s="6" t="s">
        <v>5</v>
      </c>
      <c r="BF565" s="6" t="s">
        <v>5</v>
      </c>
      <c r="BG565" s="6" t="s">
        <v>5</v>
      </c>
      <c r="BH565" s="6" t="s">
        <v>5</v>
      </c>
      <c r="BI565" s="7">
        <v>2.39</v>
      </c>
      <c r="BJ565" s="22">
        <v>0.86099999999999999</v>
      </c>
      <c r="BK565" s="6" t="s">
        <v>5</v>
      </c>
      <c r="BL565" s="2" t="s">
        <v>5</v>
      </c>
      <c r="BM565" s="2" t="s">
        <v>5</v>
      </c>
      <c r="BN565" s="2" t="s">
        <v>5</v>
      </c>
      <c r="BO565" s="2" t="s">
        <v>5</v>
      </c>
      <c r="BP565" s="2" t="s">
        <v>5</v>
      </c>
      <c r="BQ565" s="2" t="s">
        <v>5</v>
      </c>
      <c r="BR565" s="2" t="s">
        <v>5</v>
      </c>
      <c r="BS565" s="2" t="s">
        <v>5</v>
      </c>
      <c r="BT565" s="2" t="s">
        <v>5</v>
      </c>
      <c r="BU565" s="2" t="s">
        <v>5</v>
      </c>
      <c r="BV565" s="2" t="s">
        <v>5</v>
      </c>
      <c r="BW565" s="2" t="s">
        <v>5</v>
      </c>
      <c r="BX565" s="2" t="s">
        <v>5</v>
      </c>
      <c r="BY565" s="25" t="s">
        <v>5</v>
      </c>
      <c r="BZ565" s="25" t="s">
        <v>5</v>
      </c>
      <c r="CA565" s="6" t="s">
        <v>5</v>
      </c>
      <c r="CB565" s="6" t="s">
        <v>5</v>
      </c>
      <c r="CC565" s="6" t="s">
        <v>5</v>
      </c>
      <c r="CD565" s="6" t="s">
        <v>5</v>
      </c>
      <c r="CE565" s="6" t="s">
        <v>5</v>
      </c>
      <c r="CF565" s="16" t="s">
        <v>5</v>
      </c>
      <c r="CG565" s="16" t="s">
        <v>5</v>
      </c>
      <c r="CH565" s="18" t="s">
        <v>5</v>
      </c>
    </row>
    <row r="566" spans="2:86">
      <c r="B566" s="78" t="s">
        <v>473</v>
      </c>
      <c r="C566" s="79" t="s">
        <v>666</v>
      </c>
      <c r="D566" s="80" t="s">
        <v>666</v>
      </c>
      <c r="E566" s="1" t="s">
        <v>4</v>
      </c>
      <c r="F566" s="4">
        <v>37</v>
      </c>
      <c r="G566" s="4">
        <v>10.9</v>
      </c>
      <c r="H566" s="3" t="str">
        <f t="shared" si="27"/>
        <v>2L4X4X3/4X3/4</v>
      </c>
      <c r="I566" s="7">
        <v>4</v>
      </c>
      <c r="J566" s="5" t="s">
        <v>5</v>
      </c>
      <c r="K566" s="6" t="s">
        <v>5</v>
      </c>
      <c r="L566" s="6" t="s">
        <v>5</v>
      </c>
      <c r="M566" s="6" t="s">
        <v>5</v>
      </c>
      <c r="N566" s="6" t="s">
        <v>5</v>
      </c>
      <c r="O566" s="5" t="s">
        <v>5</v>
      </c>
      <c r="P566" s="5" t="s">
        <v>5</v>
      </c>
      <c r="Q566" s="7">
        <v>4</v>
      </c>
      <c r="R566" s="6" t="s">
        <v>5</v>
      </c>
      <c r="S566" s="6" t="s">
        <v>5</v>
      </c>
      <c r="T566" s="5" t="s">
        <v>5</v>
      </c>
      <c r="U566" s="8" t="s">
        <v>5</v>
      </c>
      <c r="V566" s="6" t="s">
        <v>5</v>
      </c>
      <c r="W566" s="8" t="s">
        <v>5</v>
      </c>
      <c r="X566" s="22">
        <v>0.75</v>
      </c>
      <c r="Y566" s="6" t="s">
        <v>5</v>
      </c>
      <c r="Z566" s="6" t="s">
        <v>5</v>
      </c>
      <c r="AA566" s="6" t="s">
        <v>5</v>
      </c>
      <c r="AB566" s="8" t="s">
        <v>5</v>
      </c>
      <c r="AC566" s="8" t="s">
        <v>5</v>
      </c>
      <c r="AD566" s="6" t="s">
        <v>5</v>
      </c>
      <c r="AE566" s="7">
        <v>1.27</v>
      </c>
      <c r="AF566" s="6" t="s">
        <v>5</v>
      </c>
      <c r="AG566" s="6" t="s">
        <v>5</v>
      </c>
      <c r="AH566" s="22">
        <v>0.68</v>
      </c>
      <c r="AI566" s="6" t="s">
        <v>5</v>
      </c>
      <c r="AJ566" s="7">
        <v>5.33</v>
      </c>
      <c r="AK566" s="6" t="s">
        <v>5</v>
      </c>
      <c r="AL566" s="6" t="s">
        <v>5</v>
      </c>
      <c r="AM566" s="6" t="s">
        <v>5</v>
      </c>
      <c r="AN566" s="6" t="s">
        <v>5</v>
      </c>
      <c r="AO566" s="4">
        <v>15.2</v>
      </c>
      <c r="AP566" s="4">
        <v>10</v>
      </c>
      <c r="AQ566" s="7">
        <v>5.58</v>
      </c>
      <c r="AR566" s="7">
        <v>1.18</v>
      </c>
      <c r="AS566" s="6">
        <v>44.9</v>
      </c>
      <c r="AT566" s="6">
        <v>17.899999999999999</v>
      </c>
      <c r="AU566" s="6">
        <v>10.3</v>
      </c>
      <c r="AV566" s="7">
        <v>2.0299999999999998</v>
      </c>
      <c r="AW566" s="6" t="s">
        <v>5</v>
      </c>
      <c r="AX566" s="6" t="s">
        <v>5</v>
      </c>
      <c r="AY566" s="6" t="s">
        <v>5</v>
      </c>
      <c r="AZ566" s="6" t="s">
        <v>5</v>
      </c>
      <c r="BA566" s="6" t="s">
        <v>5</v>
      </c>
      <c r="BB566" s="6" t="s">
        <v>5</v>
      </c>
      <c r="BC566" s="6" t="s">
        <v>5</v>
      </c>
      <c r="BD566" s="6" t="s">
        <v>5</v>
      </c>
      <c r="BE566" s="6" t="s">
        <v>5</v>
      </c>
      <c r="BF566" s="6" t="s">
        <v>5</v>
      </c>
      <c r="BG566" s="6" t="s">
        <v>5</v>
      </c>
      <c r="BH566" s="6" t="s">
        <v>5</v>
      </c>
      <c r="BI566" s="7">
        <v>2.5099999999999998</v>
      </c>
      <c r="BJ566" s="22">
        <v>0.874</v>
      </c>
      <c r="BK566" s="6" t="s">
        <v>5</v>
      </c>
      <c r="BL566" s="2" t="s">
        <v>5</v>
      </c>
      <c r="BM566" s="2" t="s">
        <v>5</v>
      </c>
      <c r="BN566" s="2" t="s">
        <v>5</v>
      </c>
      <c r="BO566" s="2" t="s">
        <v>5</v>
      </c>
      <c r="BP566" s="2" t="s">
        <v>5</v>
      </c>
      <c r="BQ566" s="2" t="s">
        <v>5</v>
      </c>
      <c r="BR566" s="2" t="s">
        <v>5</v>
      </c>
      <c r="BS566" s="2" t="s">
        <v>5</v>
      </c>
      <c r="BT566" s="2" t="s">
        <v>5</v>
      </c>
      <c r="BU566" s="2" t="s">
        <v>5</v>
      </c>
      <c r="BV566" s="2" t="s">
        <v>5</v>
      </c>
      <c r="BW566" s="2" t="s">
        <v>5</v>
      </c>
      <c r="BX566" s="2" t="s">
        <v>5</v>
      </c>
      <c r="BY566" s="25" t="s">
        <v>5</v>
      </c>
      <c r="BZ566" s="25" t="s">
        <v>5</v>
      </c>
      <c r="CA566" s="6" t="s">
        <v>5</v>
      </c>
      <c r="CB566" s="6" t="s">
        <v>5</v>
      </c>
      <c r="CC566" s="6" t="s">
        <v>5</v>
      </c>
      <c r="CD566" s="6" t="s">
        <v>5</v>
      </c>
      <c r="CE566" s="6" t="s">
        <v>5</v>
      </c>
      <c r="CF566" s="16" t="s">
        <v>5</v>
      </c>
      <c r="CG566" s="16" t="s">
        <v>5</v>
      </c>
      <c r="CH566" s="18" t="s">
        <v>5</v>
      </c>
    </row>
    <row r="567" spans="2:86">
      <c r="B567" s="78" t="s">
        <v>473</v>
      </c>
      <c r="C567" s="79" t="s">
        <v>667</v>
      </c>
      <c r="D567" s="80" t="s">
        <v>667</v>
      </c>
      <c r="E567" s="1" t="s">
        <v>4</v>
      </c>
      <c r="F567" s="4">
        <v>31.4</v>
      </c>
      <c r="G567" s="7">
        <v>9.2200000000000006</v>
      </c>
      <c r="H567" s="3" t="str">
        <f t="shared" si="27"/>
        <v>2L4X4X5/8</v>
      </c>
      <c r="I567" s="7">
        <v>4</v>
      </c>
      <c r="J567" s="5" t="s">
        <v>5</v>
      </c>
      <c r="K567" s="6" t="s">
        <v>5</v>
      </c>
      <c r="L567" s="6" t="s">
        <v>5</v>
      </c>
      <c r="M567" s="6" t="s">
        <v>5</v>
      </c>
      <c r="N567" s="6" t="s">
        <v>5</v>
      </c>
      <c r="O567" s="5" t="s">
        <v>5</v>
      </c>
      <c r="P567" s="5" t="s">
        <v>5</v>
      </c>
      <c r="Q567" s="7">
        <v>4</v>
      </c>
      <c r="R567" s="6" t="s">
        <v>5</v>
      </c>
      <c r="S567" s="6" t="s">
        <v>5</v>
      </c>
      <c r="T567" s="5" t="s">
        <v>5</v>
      </c>
      <c r="U567" s="8" t="s">
        <v>5</v>
      </c>
      <c r="V567" s="6" t="s">
        <v>5</v>
      </c>
      <c r="W567" s="8" t="s">
        <v>5</v>
      </c>
      <c r="X567" s="22">
        <v>0.625</v>
      </c>
      <c r="Y567" s="6" t="s">
        <v>5</v>
      </c>
      <c r="Z567" s="6" t="s">
        <v>5</v>
      </c>
      <c r="AA567" s="6" t="s">
        <v>5</v>
      </c>
      <c r="AB567" s="8" t="s">
        <v>5</v>
      </c>
      <c r="AC567" s="8" t="s">
        <v>5</v>
      </c>
      <c r="AD567" s="6" t="s">
        <v>5</v>
      </c>
      <c r="AE567" s="7">
        <v>1.22</v>
      </c>
      <c r="AF567" s="6" t="s">
        <v>5</v>
      </c>
      <c r="AG567" s="6" t="s">
        <v>5</v>
      </c>
      <c r="AH567" s="22">
        <v>0.57599999999999996</v>
      </c>
      <c r="AI567" s="6" t="s">
        <v>5</v>
      </c>
      <c r="AJ567" s="7">
        <v>6.4</v>
      </c>
      <c r="AK567" s="6" t="s">
        <v>5</v>
      </c>
      <c r="AL567" s="6" t="s">
        <v>5</v>
      </c>
      <c r="AM567" s="6" t="s">
        <v>5</v>
      </c>
      <c r="AN567" s="6" t="s">
        <v>5</v>
      </c>
      <c r="AO567" s="4">
        <v>13.2</v>
      </c>
      <c r="AP567" s="7">
        <v>8.56</v>
      </c>
      <c r="AQ567" s="7">
        <v>4.76</v>
      </c>
      <c r="AR567" s="7">
        <v>1.2</v>
      </c>
      <c r="AS567" s="4">
        <v>27</v>
      </c>
      <c r="AT567" s="6">
        <v>11.2</v>
      </c>
      <c r="AU567" s="6">
        <v>6.75</v>
      </c>
      <c r="AV567" s="7">
        <v>1.71</v>
      </c>
      <c r="AW567" s="6" t="s">
        <v>5</v>
      </c>
      <c r="AX567" s="6" t="s">
        <v>5</v>
      </c>
      <c r="AY567" s="6" t="s">
        <v>5</v>
      </c>
      <c r="AZ567" s="6" t="s">
        <v>5</v>
      </c>
      <c r="BA567" s="6" t="s">
        <v>5</v>
      </c>
      <c r="BB567" s="6" t="s">
        <v>5</v>
      </c>
      <c r="BC567" s="6" t="s">
        <v>5</v>
      </c>
      <c r="BD567" s="6" t="s">
        <v>5</v>
      </c>
      <c r="BE567" s="6" t="s">
        <v>5</v>
      </c>
      <c r="BF567" s="6" t="s">
        <v>5</v>
      </c>
      <c r="BG567" s="6" t="s">
        <v>5</v>
      </c>
      <c r="BH567" s="6" t="s">
        <v>5</v>
      </c>
      <c r="BI567" s="7">
        <v>2.2799999999999998</v>
      </c>
      <c r="BJ567" s="22">
        <v>0.84099999999999997</v>
      </c>
      <c r="BK567" s="6" t="s">
        <v>5</v>
      </c>
      <c r="BL567" s="2" t="s">
        <v>5</v>
      </c>
      <c r="BM567" s="2" t="s">
        <v>5</v>
      </c>
      <c r="BN567" s="2" t="s">
        <v>5</v>
      </c>
      <c r="BO567" s="2" t="s">
        <v>5</v>
      </c>
      <c r="BP567" s="2" t="s">
        <v>5</v>
      </c>
      <c r="BQ567" s="2" t="s">
        <v>5</v>
      </c>
      <c r="BR567" s="2" t="s">
        <v>5</v>
      </c>
      <c r="BS567" s="2" t="s">
        <v>5</v>
      </c>
      <c r="BT567" s="2" t="s">
        <v>5</v>
      </c>
      <c r="BU567" s="2" t="s">
        <v>5</v>
      </c>
      <c r="BV567" s="2" t="s">
        <v>5</v>
      </c>
      <c r="BW567" s="2" t="s">
        <v>5</v>
      </c>
      <c r="BX567" s="2" t="s">
        <v>5</v>
      </c>
      <c r="BY567" s="25" t="s">
        <v>5</v>
      </c>
      <c r="BZ567" s="25" t="s">
        <v>5</v>
      </c>
      <c r="CA567" s="6" t="s">
        <v>5</v>
      </c>
      <c r="CB567" s="6" t="s">
        <v>5</v>
      </c>
      <c r="CC567" s="6" t="s">
        <v>5</v>
      </c>
      <c r="CD567" s="6" t="s">
        <v>5</v>
      </c>
      <c r="CE567" s="6" t="s">
        <v>5</v>
      </c>
      <c r="CF567" s="16" t="s">
        <v>5</v>
      </c>
      <c r="CG567" s="16" t="s">
        <v>5</v>
      </c>
      <c r="CH567" s="18" t="s">
        <v>5</v>
      </c>
    </row>
    <row r="568" spans="2:86">
      <c r="B568" s="78" t="s">
        <v>473</v>
      </c>
      <c r="C568" s="79" t="s">
        <v>668</v>
      </c>
      <c r="D568" s="80" t="s">
        <v>668</v>
      </c>
      <c r="E568" s="1" t="s">
        <v>4</v>
      </c>
      <c r="F568" s="4">
        <v>31.4</v>
      </c>
      <c r="G568" s="7">
        <v>9.2200000000000006</v>
      </c>
      <c r="H568" s="3" t="str">
        <f t="shared" si="27"/>
        <v>2L4X4X5/8X3/8</v>
      </c>
      <c r="I568" s="7">
        <v>4</v>
      </c>
      <c r="J568" s="5" t="s">
        <v>5</v>
      </c>
      <c r="K568" s="6" t="s">
        <v>5</v>
      </c>
      <c r="L568" s="6" t="s">
        <v>5</v>
      </c>
      <c r="M568" s="6" t="s">
        <v>5</v>
      </c>
      <c r="N568" s="6" t="s">
        <v>5</v>
      </c>
      <c r="O568" s="5" t="s">
        <v>5</v>
      </c>
      <c r="P568" s="5" t="s">
        <v>5</v>
      </c>
      <c r="Q568" s="7">
        <v>4</v>
      </c>
      <c r="R568" s="6" t="s">
        <v>5</v>
      </c>
      <c r="S568" s="6" t="s">
        <v>5</v>
      </c>
      <c r="T568" s="5" t="s">
        <v>5</v>
      </c>
      <c r="U568" s="8" t="s">
        <v>5</v>
      </c>
      <c r="V568" s="6" t="s">
        <v>5</v>
      </c>
      <c r="W568" s="8" t="s">
        <v>5</v>
      </c>
      <c r="X568" s="22">
        <v>0.625</v>
      </c>
      <c r="Y568" s="6" t="s">
        <v>5</v>
      </c>
      <c r="Z568" s="6" t="s">
        <v>5</v>
      </c>
      <c r="AA568" s="6" t="s">
        <v>5</v>
      </c>
      <c r="AB568" s="8" t="s">
        <v>5</v>
      </c>
      <c r="AC568" s="8" t="s">
        <v>5</v>
      </c>
      <c r="AD568" s="6" t="s">
        <v>5</v>
      </c>
      <c r="AE568" s="7">
        <v>1.22</v>
      </c>
      <c r="AF568" s="6" t="s">
        <v>5</v>
      </c>
      <c r="AG568" s="6" t="s">
        <v>5</v>
      </c>
      <c r="AH568" s="22">
        <v>0.57599999999999996</v>
      </c>
      <c r="AI568" s="6" t="s">
        <v>5</v>
      </c>
      <c r="AJ568" s="7">
        <v>6.4</v>
      </c>
      <c r="AK568" s="6" t="s">
        <v>5</v>
      </c>
      <c r="AL568" s="6" t="s">
        <v>5</v>
      </c>
      <c r="AM568" s="6" t="s">
        <v>5</v>
      </c>
      <c r="AN568" s="6" t="s">
        <v>5</v>
      </c>
      <c r="AO568" s="4">
        <v>13.2</v>
      </c>
      <c r="AP568" s="7">
        <v>8.56</v>
      </c>
      <c r="AQ568" s="7">
        <v>4.76</v>
      </c>
      <c r="AR568" s="7">
        <v>1.2</v>
      </c>
      <c r="AS568" s="6">
        <v>31.6</v>
      </c>
      <c r="AT568" s="4">
        <v>13</v>
      </c>
      <c r="AU568" s="6">
        <v>7.55</v>
      </c>
      <c r="AV568" s="7">
        <v>1.85</v>
      </c>
      <c r="AW568" s="6" t="s">
        <v>5</v>
      </c>
      <c r="AX568" s="6" t="s">
        <v>5</v>
      </c>
      <c r="AY568" s="6" t="s">
        <v>5</v>
      </c>
      <c r="AZ568" s="6" t="s">
        <v>5</v>
      </c>
      <c r="BA568" s="6" t="s">
        <v>5</v>
      </c>
      <c r="BB568" s="6" t="s">
        <v>5</v>
      </c>
      <c r="BC568" s="6" t="s">
        <v>5</v>
      </c>
      <c r="BD568" s="6" t="s">
        <v>5</v>
      </c>
      <c r="BE568" s="6" t="s">
        <v>5</v>
      </c>
      <c r="BF568" s="6" t="s">
        <v>5</v>
      </c>
      <c r="BG568" s="6" t="s">
        <v>5</v>
      </c>
      <c r="BH568" s="6" t="s">
        <v>5</v>
      </c>
      <c r="BI568" s="7">
        <v>2.39</v>
      </c>
      <c r="BJ568" s="22">
        <v>0.85399999999999998</v>
      </c>
      <c r="BK568" s="6" t="s">
        <v>5</v>
      </c>
      <c r="BL568" s="2" t="s">
        <v>5</v>
      </c>
      <c r="BM568" s="2" t="s">
        <v>5</v>
      </c>
      <c r="BN568" s="2" t="s">
        <v>5</v>
      </c>
      <c r="BO568" s="2" t="s">
        <v>5</v>
      </c>
      <c r="BP568" s="2" t="s">
        <v>5</v>
      </c>
      <c r="BQ568" s="2" t="s">
        <v>5</v>
      </c>
      <c r="BR568" s="2" t="s">
        <v>5</v>
      </c>
      <c r="BS568" s="2" t="s">
        <v>5</v>
      </c>
      <c r="BT568" s="2" t="s">
        <v>5</v>
      </c>
      <c r="BU568" s="2" t="s">
        <v>5</v>
      </c>
      <c r="BV568" s="2" t="s">
        <v>5</v>
      </c>
      <c r="BW568" s="2" t="s">
        <v>5</v>
      </c>
      <c r="BX568" s="2" t="s">
        <v>5</v>
      </c>
      <c r="BY568" s="25" t="s">
        <v>5</v>
      </c>
      <c r="BZ568" s="25" t="s">
        <v>5</v>
      </c>
      <c r="CA568" s="6" t="s">
        <v>5</v>
      </c>
      <c r="CB568" s="6" t="s">
        <v>5</v>
      </c>
      <c r="CC568" s="6" t="s">
        <v>5</v>
      </c>
      <c r="CD568" s="6" t="s">
        <v>5</v>
      </c>
      <c r="CE568" s="6" t="s">
        <v>5</v>
      </c>
      <c r="CF568" s="16" t="s">
        <v>5</v>
      </c>
      <c r="CG568" s="16" t="s">
        <v>5</v>
      </c>
      <c r="CH568" s="18" t="s">
        <v>5</v>
      </c>
    </row>
    <row r="569" spans="2:86">
      <c r="B569" s="78" t="s">
        <v>473</v>
      </c>
      <c r="C569" s="79" t="s">
        <v>669</v>
      </c>
      <c r="D569" s="80" t="s">
        <v>669</v>
      </c>
      <c r="E569" s="1" t="s">
        <v>4</v>
      </c>
      <c r="F569" s="4">
        <v>31.4</v>
      </c>
      <c r="G569" s="7">
        <v>9.2200000000000006</v>
      </c>
      <c r="H569" s="3" t="str">
        <f t="shared" si="27"/>
        <v>2L4X4X5/8X3/4</v>
      </c>
      <c r="I569" s="7">
        <v>4</v>
      </c>
      <c r="J569" s="5" t="s">
        <v>5</v>
      </c>
      <c r="K569" s="6" t="s">
        <v>5</v>
      </c>
      <c r="L569" s="6" t="s">
        <v>5</v>
      </c>
      <c r="M569" s="6" t="s">
        <v>5</v>
      </c>
      <c r="N569" s="6" t="s">
        <v>5</v>
      </c>
      <c r="O569" s="5" t="s">
        <v>5</v>
      </c>
      <c r="P569" s="5" t="s">
        <v>5</v>
      </c>
      <c r="Q569" s="7">
        <v>4</v>
      </c>
      <c r="R569" s="6" t="s">
        <v>5</v>
      </c>
      <c r="S569" s="6" t="s">
        <v>5</v>
      </c>
      <c r="T569" s="5" t="s">
        <v>5</v>
      </c>
      <c r="U569" s="8" t="s">
        <v>5</v>
      </c>
      <c r="V569" s="6" t="s">
        <v>5</v>
      </c>
      <c r="W569" s="8" t="s">
        <v>5</v>
      </c>
      <c r="X569" s="22">
        <v>0.625</v>
      </c>
      <c r="Y569" s="6" t="s">
        <v>5</v>
      </c>
      <c r="Z569" s="6" t="s">
        <v>5</v>
      </c>
      <c r="AA569" s="6" t="s">
        <v>5</v>
      </c>
      <c r="AB569" s="8" t="s">
        <v>5</v>
      </c>
      <c r="AC569" s="8" t="s">
        <v>5</v>
      </c>
      <c r="AD569" s="6" t="s">
        <v>5</v>
      </c>
      <c r="AE569" s="7">
        <v>1.22</v>
      </c>
      <c r="AF569" s="6" t="s">
        <v>5</v>
      </c>
      <c r="AG569" s="6" t="s">
        <v>5</v>
      </c>
      <c r="AH569" s="22">
        <v>0.57599999999999996</v>
      </c>
      <c r="AI569" s="6" t="s">
        <v>5</v>
      </c>
      <c r="AJ569" s="7">
        <v>6.4</v>
      </c>
      <c r="AK569" s="6" t="s">
        <v>5</v>
      </c>
      <c r="AL569" s="6" t="s">
        <v>5</v>
      </c>
      <c r="AM569" s="6" t="s">
        <v>5</v>
      </c>
      <c r="AN569" s="6" t="s">
        <v>5</v>
      </c>
      <c r="AO569" s="4">
        <v>13.2</v>
      </c>
      <c r="AP569" s="7">
        <v>8.56</v>
      </c>
      <c r="AQ569" s="7">
        <v>4.76</v>
      </c>
      <c r="AR569" s="7">
        <v>1.2</v>
      </c>
      <c r="AS569" s="6">
        <v>36.9</v>
      </c>
      <c r="AT569" s="6">
        <v>14.7</v>
      </c>
      <c r="AU569" s="6">
        <v>8.43</v>
      </c>
      <c r="AV569" s="7">
        <v>2</v>
      </c>
      <c r="AW569" s="6" t="s">
        <v>5</v>
      </c>
      <c r="AX569" s="6" t="s">
        <v>5</v>
      </c>
      <c r="AY569" s="6" t="s">
        <v>5</v>
      </c>
      <c r="AZ569" s="6" t="s">
        <v>5</v>
      </c>
      <c r="BA569" s="6" t="s">
        <v>5</v>
      </c>
      <c r="BB569" s="6" t="s">
        <v>5</v>
      </c>
      <c r="BC569" s="6" t="s">
        <v>5</v>
      </c>
      <c r="BD569" s="6" t="s">
        <v>5</v>
      </c>
      <c r="BE569" s="6" t="s">
        <v>5</v>
      </c>
      <c r="BF569" s="6" t="s">
        <v>5</v>
      </c>
      <c r="BG569" s="6" t="s">
        <v>5</v>
      </c>
      <c r="BH569" s="6" t="s">
        <v>5</v>
      </c>
      <c r="BI569" s="7">
        <v>2.5</v>
      </c>
      <c r="BJ569" s="22">
        <v>0.86799999999999999</v>
      </c>
      <c r="BK569" s="6" t="s">
        <v>5</v>
      </c>
      <c r="BL569" s="2" t="s">
        <v>5</v>
      </c>
      <c r="BM569" s="2" t="s">
        <v>5</v>
      </c>
      <c r="BN569" s="2" t="s">
        <v>5</v>
      </c>
      <c r="BO569" s="2" t="s">
        <v>5</v>
      </c>
      <c r="BP569" s="2" t="s">
        <v>5</v>
      </c>
      <c r="BQ569" s="2" t="s">
        <v>5</v>
      </c>
      <c r="BR569" s="2" t="s">
        <v>5</v>
      </c>
      <c r="BS569" s="2" t="s">
        <v>5</v>
      </c>
      <c r="BT569" s="2" t="s">
        <v>5</v>
      </c>
      <c r="BU569" s="2" t="s">
        <v>5</v>
      </c>
      <c r="BV569" s="2" t="s">
        <v>5</v>
      </c>
      <c r="BW569" s="2" t="s">
        <v>5</v>
      </c>
      <c r="BX569" s="2" t="s">
        <v>5</v>
      </c>
      <c r="BY569" s="25" t="s">
        <v>5</v>
      </c>
      <c r="BZ569" s="25" t="s">
        <v>5</v>
      </c>
      <c r="CA569" s="6" t="s">
        <v>5</v>
      </c>
      <c r="CB569" s="6" t="s">
        <v>5</v>
      </c>
      <c r="CC569" s="6" t="s">
        <v>5</v>
      </c>
      <c r="CD569" s="6" t="s">
        <v>5</v>
      </c>
      <c r="CE569" s="6" t="s">
        <v>5</v>
      </c>
      <c r="CF569" s="16" t="s">
        <v>5</v>
      </c>
      <c r="CG569" s="16" t="s">
        <v>5</v>
      </c>
      <c r="CH569" s="18" t="s">
        <v>5</v>
      </c>
    </row>
    <row r="570" spans="2:86">
      <c r="B570" s="78" t="s">
        <v>473</v>
      </c>
      <c r="C570" s="79" t="s">
        <v>670</v>
      </c>
      <c r="D570" s="80" t="s">
        <v>670</v>
      </c>
      <c r="E570" s="1" t="s">
        <v>4</v>
      </c>
      <c r="F570" s="4">
        <v>25.6</v>
      </c>
      <c r="G570" s="7">
        <v>7.5</v>
      </c>
      <c r="H570" s="3" t="str">
        <f t="shared" si="27"/>
        <v>2L4X4X1/2</v>
      </c>
      <c r="I570" s="7">
        <v>4</v>
      </c>
      <c r="J570" s="5" t="s">
        <v>5</v>
      </c>
      <c r="K570" s="6" t="s">
        <v>5</v>
      </c>
      <c r="L570" s="6" t="s">
        <v>5</v>
      </c>
      <c r="M570" s="6" t="s">
        <v>5</v>
      </c>
      <c r="N570" s="6" t="s">
        <v>5</v>
      </c>
      <c r="O570" s="5" t="s">
        <v>5</v>
      </c>
      <c r="P570" s="5" t="s">
        <v>5</v>
      </c>
      <c r="Q570" s="7">
        <v>4</v>
      </c>
      <c r="R570" s="6" t="s">
        <v>5</v>
      </c>
      <c r="S570" s="6" t="s">
        <v>5</v>
      </c>
      <c r="T570" s="5" t="s">
        <v>5</v>
      </c>
      <c r="U570" s="8" t="s">
        <v>5</v>
      </c>
      <c r="V570" s="6" t="s">
        <v>5</v>
      </c>
      <c r="W570" s="8" t="s">
        <v>5</v>
      </c>
      <c r="X570" s="22">
        <v>0.5</v>
      </c>
      <c r="Y570" s="6" t="s">
        <v>5</v>
      </c>
      <c r="Z570" s="6" t="s">
        <v>5</v>
      </c>
      <c r="AA570" s="6" t="s">
        <v>5</v>
      </c>
      <c r="AB570" s="8" t="s">
        <v>5</v>
      </c>
      <c r="AC570" s="8" t="s">
        <v>5</v>
      </c>
      <c r="AD570" s="6" t="s">
        <v>5</v>
      </c>
      <c r="AE570" s="7">
        <v>1.18</v>
      </c>
      <c r="AF570" s="6" t="s">
        <v>5</v>
      </c>
      <c r="AG570" s="6" t="s">
        <v>5</v>
      </c>
      <c r="AH570" s="22">
        <v>0.46899999999999997</v>
      </c>
      <c r="AI570" s="6" t="s">
        <v>5</v>
      </c>
      <c r="AJ570" s="7">
        <v>8</v>
      </c>
      <c r="AK570" s="6" t="s">
        <v>5</v>
      </c>
      <c r="AL570" s="6" t="s">
        <v>5</v>
      </c>
      <c r="AM570" s="6" t="s">
        <v>5</v>
      </c>
      <c r="AN570" s="6" t="s">
        <v>5</v>
      </c>
      <c r="AO570" s="4">
        <v>11</v>
      </c>
      <c r="AP570" s="7">
        <v>7</v>
      </c>
      <c r="AQ570" s="7">
        <v>3.92</v>
      </c>
      <c r="AR570" s="7">
        <v>1.21</v>
      </c>
      <c r="AS570" s="6">
        <v>21.4</v>
      </c>
      <c r="AT570" s="6">
        <v>8.85</v>
      </c>
      <c r="AU570" s="6">
        <v>5.35</v>
      </c>
      <c r="AV570" s="7">
        <v>1.69</v>
      </c>
      <c r="AW570" s="6" t="s">
        <v>5</v>
      </c>
      <c r="AX570" s="6" t="s">
        <v>5</v>
      </c>
      <c r="AY570" s="6" t="s">
        <v>5</v>
      </c>
      <c r="AZ570" s="6" t="s">
        <v>5</v>
      </c>
      <c r="BA570" s="6" t="s">
        <v>5</v>
      </c>
      <c r="BB570" s="6" t="s">
        <v>5</v>
      </c>
      <c r="BC570" s="6" t="s">
        <v>5</v>
      </c>
      <c r="BD570" s="6" t="s">
        <v>5</v>
      </c>
      <c r="BE570" s="6" t="s">
        <v>5</v>
      </c>
      <c r="BF570" s="6" t="s">
        <v>5</v>
      </c>
      <c r="BG570" s="6" t="s">
        <v>5</v>
      </c>
      <c r="BH570" s="6" t="s">
        <v>5</v>
      </c>
      <c r="BI570" s="7">
        <v>2.2799999999999998</v>
      </c>
      <c r="BJ570" s="22">
        <v>0.83399999999999996</v>
      </c>
      <c r="BK570" s="6" t="s">
        <v>5</v>
      </c>
      <c r="BL570" s="2" t="s">
        <v>5</v>
      </c>
      <c r="BM570" s="2" t="s">
        <v>5</v>
      </c>
      <c r="BN570" s="2" t="s">
        <v>5</v>
      </c>
      <c r="BO570" s="2" t="s">
        <v>5</v>
      </c>
      <c r="BP570" s="2" t="s">
        <v>5</v>
      </c>
      <c r="BQ570" s="2" t="s">
        <v>5</v>
      </c>
      <c r="BR570" s="2" t="s">
        <v>5</v>
      </c>
      <c r="BS570" s="2" t="s">
        <v>5</v>
      </c>
      <c r="BT570" s="2" t="s">
        <v>5</v>
      </c>
      <c r="BU570" s="2" t="s">
        <v>5</v>
      </c>
      <c r="BV570" s="2" t="s">
        <v>5</v>
      </c>
      <c r="BW570" s="2" t="s">
        <v>5</v>
      </c>
      <c r="BX570" s="2" t="s">
        <v>5</v>
      </c>
      <c r="BY570" s="25" t="s">
        <v>5</v>
      </c>
      <c r="BZ570" s="25" t="s">
        <v>5</v>
      </c>
      <c r="CA570" s="6" t="s">
        <v>5</v>
      </c>
      <c r="CB570" s="6" t="s">
        <v>5</v>
      </c>
      <c r="CC570" s="6" t="s">
        <v>5</v>
      </c>
      <c r="CD570" s="6" t="s">
        <v>5</v>
      </c>
      <c r="CE570" s="6" t="s">
        <v>5</v>
      </c>
      <c r="CF570" s="16" t="s">
        <v>5</v>
      </c>
      <c r="CG570" s="16" t="s">
        <v>5</v>
      </c>
      <c r="CH570" s="18" t="s">
        <v>5</v>
      </c>
    </row>
    <row r="571" spans="2:86">
      <c r="B571" s="78" t="s">
        <v>473</v>
      </c>
      <c r="C571" s="79" t="s">
        <v>671</v>
      </c>
      <c r="D571" s="80" t="s">
        <v>671</v>
      </c>
      <c r="E571" s="1" t="s">
        <v>4</v>
      </c>
      <c r="F571" s="4">
        <v>25.6</v>
      </c>
      <c r="G571" s="7">
        <v>7.5</v>
      </c>
      <c r="H571" s="3" t="str">
        <f t="shared" si="27"/>
        <v>2L4X4X1/2X3/8</v>
      </c>
      <c r="I571" s="7">
        <v>4</v>
      </c>
      <c r="J571" s="5" t="s">
        <v>5</v>
      </c>
      <c r="K571" s="6" t="s">
        <v>5</v>
      </c>
      <c r="L571" s="6" t="s">
        <v>5</v>
      </c>
      <c r="M571" s="6" t="s">
        <v>5</v>
      </c>
      <c r="N571" s="6" t="s">
        <v>5</v>
      </c>
      <c r="O571" s="5" t="s">
        <v>5</v>
      </c>
      <c r="P571" s="5" t="s">
        <v>5</v>
      </c>
      <c r="Q571" s="7">
        <v>4</v>
      </c>
      <c r="R571" s="6" t="s">
        <v>5</v>
      </c>
      <c r="S571" s="6" t="s">
        <v>5</v>
      </c>
      <c r="T571" s="5" t="s">
        <v>5</v>
      </c>
      <c r="U571" s="8" t="s">
        <v>5</v>
      </c>
      <c r="V571" s="6" t="s">
        <v>5</v>
      </c>
      <c r="W571" s="8" t="s">
        <v>5</v>
      </c>
      <c r="X571" s="22">
        <v>0.5</v>
      </c>
      <c r="Y571" s="6" t="s">
        <v>5</v>
      </c>
      <c r="Z571" s="6" t="s">
        <v>5</v>
      </c>
      <c r="AA571" s="6" t="s">
        <v>5</v>
      </c>
      <c r="AB571" s="8" t="s">
        <v>5</v>
      </c>
      <c r="AC571" s="8" t="s">
        <v>5</v>
      </c>
      <c r="AD571" s="6" t="s">
        <v>5</v>
      </c>
      <c r="AE571" s="7">
        <v>1.18</v>
      </c>
      <c r="AF571" s="6" t="s">
        <v>5</v>
      </c>
      <c r="AG571" s="6" t="s">
        <v>5</v>
      </c>
      <c r="AH571" s="22">
        <v>0.46899999999999997</v>
      </c>
      <c r="AI571" s="6" t="s">
        <v>5</v>
      </c>
      <c r="AJ571" s="7">
        <v>8</v>
      </c>
      <c r="AK571" s="6" t="s">
        <v>5</v>
      </c>
      <c r="AL571" s="6" t="s">
        <v>5</v>
      </c>
      <c r="AM571" s="6" t="s">
        <v>5</v>
      </c>
      <c r="AN571" s="6" t="s">
        <v>5</v>
      </c>
      <c r="AO571" s="4">
        <v>11</v>
      </c>
      <c r="AP571" s="7">
        <v>7</v>
      </c>
      <c r="AQ571" s="7">
        <v>3.92</v>
      </c>
      <c r="AR571" s="7">
        <v>1.21</v>
      </c>
      <c r="AS571" s="6">
        <v>25.1</v>
      </c>
      <c r="AT571" s="6">
        <v>10.3</v>
      </c>
      <c r="AU571" s="6">
        <v>5.99</v>
      </c>
      <c r="AV571" s="7">
        <v>1.83</v>
      </c>
      <c r="AW571" s="6" t="s">
        <v>5</v>
      </c>
      <c r="AX571" s="6" t="s">
        <v>5</v>
      </c>
      <c r="AY571" s="6" t="s">
        <v>5</v>
      </c>
      <c r="AZ571" s="6" t="s">
        <v>5</v>
      </c>
      <c r="BA571" s="6" t="s">
        <v>5</v>
      </c>
      <c r="BB571" s="6" t="s">
        <v>5</v>
      </c>
      <c r="BC571" s="6" t="s">
        <v>5</v>
      </c>
      <c r="BD571" s="6" t="s">
        <v>5</v>
      </c>
      <c r="BE571" s="6" t="s">
        <v>5</v>
      </c>
      <c r="BF571" s="6" t="s">
        <v>5</v>
      </c>
      <c r="BG571" s="6" t="s">
        <v>5</v>
      </c>
      <c r="BH571" s="6" t="s">
        <v>5</v>
      </c>
      <c r="BI571" s="7">
        <v>2.38</v>
      </c>
      <c r="BJ571" s="22">
        <v>0.84799999999999998</v>
      </c>
      <c r="BK571" s="6" t="s">
        <v>5</v>
      </c>
      <c r="BL571" s="2" t="s">
        <v>5</v>
      </c>
      <c r="BM571" s="2" t="s">
        <v>5</v>
      </c>
      <c r="BN571" s="2" t="s">
        <v>5</v>
      </c>
      <c r="BO571" s="2" t="s">
        <v>5</v>
      </c>
      <c r="BP571" s="2" t="s">
        <v>5</v>
      </c>
      <c r="BQ571" s="2" t="s">
        <v>5</v>
      </c>
      <c r="BR571" s="2" t="s">
        <v>5</v>
      </c>
      <c r="BS571" s="2" t="s">
        <v>5</v>
      </c>
      <c r="BT571" s="2" t="s">
        <v>5</v>
      </c>
      <c r="BU571" s="2" t="s">
        <v>5</v>
      </c>
      <c r="BV571" s="2" t="s">
        <v>5</v>
      </c>
      <c r="BW571" s="2" t="s">
        <v>5</v>
      </c>
      <c r="BX571" s="2" t="s">
        <v>5</v>
      </c>
      <c r="BY571" s="25" t="s">
        <v>5</v>
      </c>
      <c r="BZ571" s="25" t="s">
        <v>5</v>
      </c>
      <c r="CA571" s="6" t="s">
        <v>5</v>
      </c>
      <c r="CB571" s="6" t="s">
        <v>5</v>
      </c>
      <c r="CC571" s="6" t="s">
        <v>5</v>
      </c>
      <c r="CD571" s="6" t="s">
        <v>5</v>
      </c>
      <c r="CE571" s="6" t="s">
        <v>5</v>
      </c>
      <c r="CF571" s="16" t="s">
        <v>5</v>
      </c>
      <c r="CG571" s="16" t="s">
        <v>5</v>
      </c>
      <c r="CH571" s="18" t="s">
        <v>5</v>
      </c>
    </row>
    <row r="572" spans="2:86">
      <c r="B572" s="78" t="s">
        <v>473</v>
      </c>
      <c r="C572" s="79" t="s">
        <v>672</v>
      </c>
      <c r="D572" s="80" t="s">
        <v>672</v>
      </c>
      <c r="E572" s="1" t="s">
        <v>4</v>
      </c>
      <c r="F572" s="4">
        <v>25.6</v>
      </c>
      <c r="G572" s="7">
        <v>7.5</v>
      </c>
      <c r="H572" s="3" t="str">
        <f t="shared" si="27"/>
        <v>2L4X4X1/2X3/4</v>
      </c>
      <c r="I572" s="7">
        <v>4</v>
      </c>
      <c r="J572" s="5" t="s">
        <v>5</v>
      </c>
      <c r="K572" s="6" t="s">
        <v>5</v>
      </c>
      <c r="L572" s="6" t="s">
        <v>5</v>
      </c>
      <c r="M572" s="6" t="s">
        <v>5</v>
      </c>
      <c r="N572" s="6" t="s">
        <v>5</v>
      </c>
      <c r="O572" s="5" t="s">
        <v>5</v>
      </c>
      <c r="P572" s="5" t="s">
        <v>5</v>
      </c>
      <c r="Q572" s="7">
        <v>4</v>
      </c>
      <c r="R572" s="6" t="s">
        <v>5</v>
      </c>
      <c r="S572" s="6" t="s">
        <v>5</v>
      </c>
      <c r="T572" s="5" t="s">
        <v>5</v>
      </c>
      <c r="U572" s="8" t="s">
        <v>5</v>
      </c>
      <c r="V572" s="6" t="s">
        <v>5</v>
      </c>
      <c r="W572" s="8" t="s">
        <v>5</v>
      </c>
      <c r="X572" s="22">
        <v>0.5</v>
      </c>
      <c r="Y572" s="6" t="s">
        <v>5</v>
      </c>
      <c r="Z572" s="6" t="s">
        <v>5</v>
      </c>
      <c r="AA572" s="6" t="s">
        <v>5</v>
      </c>
      <c r="AB572" s="8" t="s">
        <v>5</v>
      </c>
      <c r="AC572" s="8" t="s">
        <v>5</v>
      </c>
      <c r="AD572" s="6" t="s">
        <v>5</v>
      </c>
      <c r="AE572" s="7">
        <v>1.18</v>
      </c>
      <c r="AF572" s="6" t="s">
        <v>5</v>
      </c>
      <c r="AG572" s="6" t="s">
        <v>5</v>
      </c>
      <c r="AH572" s="22">
        <v>0.46899999999999997</v>
      </c>
      <c r="AI572" s="6" t="s">
        <v>5</v>
      </c>
      <c r="AJ572" s="7">
        <v>8</v>
      </c>
      <c r="AK572" s="6" t="s">
        <v>5</v>
      </c>
      <c r="AL572" s="6" t="s">
        <v>5</v>
      </c>
      <c r="AM572" s="6" t="s">
        <v>5</v>
      </c>
      <c r="AN572" s="6" t="s">
        <v>5</v>
      </c>
      <c r="AO572" s="4">
        <v>11</v>
      </c>
      <c r="AP572" s="7">
        <v>7</v>
      </c>
      <c r="AQ572" s="7">
        <v>3.92</v>
      </c>
      <c r="AR572" s="7">
        <v>1.21</v>
      </c>
      <c r="AS572" s="6">
        <v>29.1</v>
      </c>
      <c r="AT572" s="6">
        <v>11.7</v>
      </c>
      <c r="AU572" s="6">
        <v>6.65</v>
      </c>
      <c r="AV572" s="7">
        <v>1.97</v>
      </c>
      <c r="AW572" s="6" t="s">
        <v>5</v>
      </c>
      <c r="AX572" s="6" t="s">
        <v>5</v>
      </c>
      <c r="AY572" s="6" t="s">
        <v>5</v>
      </c>
      <c r="AZ572" s="6" t="s">
        <v>5</v>
      </c>
      <c r="BA572" s="6" t="s">
        <v>5</v>
      </c>
      <c r="BB572" s="6" t="s">
        <v>5</v>
      </c>
      <c r="BC572" s="6" t="s">
        <v>5</v>
      </c>
      <c r="BD572" s="6" t="s">
        <v>5</v>
      </c>
      <c r="BE572" s="6" t="s">
        <v>5</v>
      </c>
      <c r="BF572" s="6" t="s">
        <v>5</v>
      </c>
      <c r="BG572" s="6" t="s">
        <v>5</v>
      </c>
      <c r="BH572" s="6" t="s">
        <v>5</v>
      </c>
      <c r="BI572" s="7">
        <v>2.4900000000000002</v>
      </c>
      <c r="BJ572" s="22">
        <v>0.86199999999999999</v>
      </c>
      <c r="BK572" s="6" t="s">
        <v>5</v>
      </c>
      <c r="BL572" s="2" t="s">
        <v>5</v>
      </c>
      <c r="BM572" s="2" t="s">
        <v>5</v>
      </c>
      <c r="BN572" s="2" t="s">
        <v>5</v>
      </c>
      <c r="BO572" s="2" t="s">
        <v>5</v>
      </c>
      <c r="BP572" s="2" t="s">
        <v>5</v>
      </c>
      <c r="BQ572" s="2" t="s">
        <v>5</v>
      </c>
      <c r="BR572" s="2" t="s">
        <v>5</v>
      </c>
      <c r="BS572" s="2" t="s">
        <v>5</v>
      </c>
      <c r="BT572" s="2" t="s">
        <v>5</v>
      </c>
      <c r="BU572" s="2" t="s">
        <v>5</v>
      </c>
      <c r="BV572" s="2" t="s">
        <v>5</v>
      </c>
      <c r="BW572" s="2" t="s">
        <v>5</v>
      </c>
      <c r="BX572" s="2" t="s">
        <v>5</v>
      </c>
      <c r="BY572" s="25" t="s">
        <v>5</v>
      </c>
      <c r="BZ572" s="25" t="s">
        <v>5</v>
      </c>
      <c r="CA572" s="6" t="s">
        <v>5</v>
      </c>
      <c r="CB572" s="6" t="s">
        <v>5</v>
      </c>
      <c r="CC572" s="6" t="s">
        <v>5</v>
      </c>
      <c r="CD572" s="6" t="s">
        <v>5</v>
      </c>
      <c r="CE572" s="6" t="s">
        <v>5</v>
      </c>
      <c r="CF572" s="16" t="s">
        <v>5</v>
      </c>
      <c r="CG572" s="16" t="s">
        <v>5</v>
      </c>
      <c r="CH572" s="18" t="s">
        <v>5</v>
      </c>
    </row>
    <row r="573" spans="2:86">
      <c r="B573" s="78" t="s">
        <v>473</v>
      </c>
      <c r="C573" s="79" t="s">
        <v>673</v>
      </c>
      <c r="D573" s="80" t="s">
        <v>673</v>
      </c>
      <c r="E573" s="1" t="s">
        <v>4</v>
      </c>
      <c r="F573" s="4">
        <v>22.6</v>
      </c>
      <c r="G573" s="7">
        <v>6.6</v>
      </c>
      <c r="H573" s="3" t="str">
        <f t="shared" si="27"/>
        <v>2L4X4X7/16</v>
      </c>
      <c r="I573" s="7">
        <v>4</v>
      </c>
      <c r="J573" s="5" t="s">
        <v>5</v>
      </c>
      <c r="K573" s="6" t="s">
        <v>5</v>
      </c>
      <c r="L573" s="6" t="s">
        <v>5</v>
      </c>
      <c r="M573" s="6" t="s">
        <v>5</v>
      </c>
      <c r="N573" s="6" t="s">
        <v>5</v>
      </c>
      <c r="O573" s="5" t="s">
        <v>5</v>
      </c>
      <c r="P573" s="5" t="s">
        <v>5</v>
      </c>
      <c r="Q573" s="7">
        <v>4</v>
      </c>
      <c r="R573" s="6" t="s">
        <v>5</v>
      </c>
      <c r="S573" s="6" t="s">
        <v>5</v>
      </c>
      <c r="T573" s="5" t="s">
        <v>5</v>
      </c>
      <c r="U573" s="8" t="s">
        <v>5</v>
      </c>
      <c r="V573" s="6" t="s">
        <v>5</v>
      </c>
      <c r="W573" s="8" t="s">
        <v>5</v>
      </c>
      <c r="X573" s="22">
        <v>0.438</v>
      </c>
      <c r="Y573" s="6" t="s">
        <v>5</v>
      </c>
      <c r="Z573" s="6" t="s">
        <v>5</v>
      </c>
      <c r="AA573" s="6" t="s">
        <v>5</v>
      </c>
      <c r="AB573" s="8" t="s">
        <v>5</v>
      </c>
      <c r="AC573" s="8" t="s">
        <v>5</v>
      </c>
      <c r="AD573" s="6" t="s">
        <v>5</v>
      </c>
      <c r="AE573" s="7">
        <v>1.1499999999999999</v>
      </c>
      <c r="AF573" s="6" t="s">
        <v>5</v>
      </c>
      <c r="AG573" s="6" t="s">
        <v>5</v>
      </c>
      <c r="AH573" s="22">
        <v>0.41299999999999998</v>
      </c>
      <c r="AI573" s="6" t="s">
        <v>5</v>
      </c>
      <c r="AJ573" s="7">
        <v>9.1300000000000008</v>
      </c>
      <c r="AK573" s="6" t="s">
        <v>5</v>
      </c>
      <c r="AL573" s="6" t="s">
        <v>5</v>
      </c>
      <c r="AM573" s="6" t="s">
        <v>5</v>
      </c>
      <c r="AN573" s="6" t="s">
        <v>5</v>
      </c>
      <c r="AO573" s="7">
        <v>9.86</v>
      </c>
      <c r="AP573" s="7">
        <v>6.2</v>
      </c>
      <c r="AQ573" s="7">
        <v>3.46</v>
      </c>
      <c r="AR573" s="7">
        <v>1.22</v>
      </c>
      <c r="AS573" s="6">
        <v>18.600000000000001</v>
      </c>
      <c r="AT573" s="6">
        <v>7.59</v>
      </c>
      <c r="AU573" s="6">
        <v>4.6500000000000004</v>
      </c>
      <c r="AV573" s="7">
        <v>1.68</v>
      </c>
      <c r="AW573" s="6" t="s">
        <v>5</v>
      </c>
      <c r="AX573" s="6" t="s">
        <v>5</v>
      </c>
      <c r="AY573" s="6" t="s">
        <v>5</v>
      </c>
      <c r="AZ573" s="6" t="s">
        <v>5</v>
      </c>
      <c r="BA573" s="6" t="s">
        <v>5</v>
      </c>
      <c r="BB573" s="6" t="s">
        <v>5</v>
      </c>
      <c r="BC573" s="6" t="s">
        <v>5</v>
      </c>
      <c r="BD573" s="6" t="s">
        <v>5</v>
      </c>
      <c r="BE573" s="6" t="s">
        <v>5</v>
      </c>
      <c r="BF573" s="6" t="s">
        <v>5</v>
      </c>
      <c r="BG573" s="6" t="s">
        <v>5</v>
      </c>
      <c r="BH573" s="6" t="s">
        <v>5</v>
      </c>
      <c r="BI573" s="7">
        <v>2.2799999999999998</v>
      </c>
      <c r="BJ573" s="22">
        <v>0.83199999999999996</v>
      </c>
      <c r="BK573" s="6" t="s">
        <v>5</v>
      </c>
      <c r="BL573" s="2" t="s">
        <v>5</v>
      </c>
      <c r="BM573" s="2" t="s">
        <v>5</v>
      </c>
      <c r="BN573" s="2" t="s">
        <v>5</v>
      </c>
      <c r="BO573" s="2" t="s">
        <v>5</v>
      </c>
      <c r="BP573" s="2" t="s">
        <v>5</v>
      </c>
      <c r="BQ573" s="2" t="s">
        <v>5</v>
      </c>
      <c r="BR573" s="2" t="s">
        <v>5</v>
      </c>
      <c r="BS573" s="2" t="s">
        <v>5</v>
      </c>
      <c r="BT573" s="2" t="s">
        <v>5</v>
      </c>
      <c r="BU573" s="2" t="s">
        <v>5</v>
      </c>
      <c r="BV573" s="2" t="s">
        <v>5</v>
      </c>
      <c r="BW573" s="2" t="s">
        <v>5</v>
      </c>
      <c r="BX573" s="2" t="s">
        <v>5</v>
      </c>
      <c r="BY573" s="25" t="s">
        <v>5</v>
      </c>
      <c r="BZ573" s="25" t="s">
        <v>5</v>
      </c>
      <c r="CA573" s="6" t="s">
        <v>5</v>
      </c>
      <c r="CB573" s="6" t="s">
        <v>5</v>
      </c>
      <c r="CC573" s="6" t="s">
        <v>5</v>
      </c>
      <c r="CD573" s="6" t="s">
        <v>5</v>
      </c>
      <c r="CE573" s="6" t="s">
        <v>5</v>
      </c>
      <c r="CF573" s="16" t="s">
        <v>5</v>
      </c>
      <c r="CG573" s="16" t="s">
        <v>5</v>
      </c>
      <c r="CH573" s="18" t="s">
        <v>5</v>
      </c>
    </row>
    <row r="574" spans="2:86">
      <c r="B574" s="78" t="s">
        <v>473</v>
      </c>
      <c r="C574" s="79" t="s">
        <v>674</v>
      </c>
      <c r="D574" s="80" t="s">
        <v>674</v>
      </c>
      <c r="E574" s="1" t="s">
        <v>4</v>
      </c>
      <c r="F574" s="4">
        <v>22.6</v>
      </c>
      <c r="G574" s="7">
        <v>6.6</v>
      </c>
      <c r="H574" s="3" t="str">
        <f t="shared" si="27"/>
        <v>2L4X4X7/16X3/8</v>
      </c>
      <c r="I574" s="7">
        <v>4</v>
      </c>
      <c r="J574" s="5" t="s">
        <v>5</v>
      </c>
      <c r="K574" s="6" t="s">
        <v>5</v>
      </c>
      <c r="L574" s="6" t="s">
        <v>5</v>
      </c>
      <c r="M574" s="6" t="s">
        <v>5</v>
      </c>
      <c r="N574" s="6" t="s">
        <v>5</v>
      </c>
      <c r="O574" s="5" t="s">
        <v>5</v>
      </c>
      <c r="P574" s="5" t="s">
        <v>5</v>
      </c>
      <c r="Q574" s="7">
        <v>4</v>
      </c>
      <c r="R574" s="6" t="s">
        <v>5</v>
      </c>
      <c r="S574" s="6" t="s">
        <v>5</v>
      </c>
      <c r="T574" s="5" t="s">
        <v>5</v>
      </c>
      <c r="U574" s="8" t="s">
        <v>5</v>
      </c>
      <c r="V574" s="6" t="s">
        <v>5</v>
      </c>
      <c r="W574" s="8" t="s">
        <v>5</v>
      </c>
      <c r="X574" s="22">
        <v>0.438</v>
      </c>
      <c r="Y574" s="6" t="s">
        <v>5</v>
      </c>
      <c r="Z574" s="6" t="s">
        <v>5</v>
      </c>
      <c r="AA574" s="6" t="s">
        <v>5</v>
      </c>
      <c r="AB574" s="8" t="s">
        <v>5</v>
      </c>
      <c r="AC574" s="8" t="s">
        <v>5</v>
      </c>
      <c r="AD574" s="6" t="s">
        <v>5</v>
      </c>
      <c r="AE574" s="7">
        <v>1.1499999999999999</v>
      </c>
      <c r="AF574" s="6" t="s">
        <v>5</v>
      </c>
      <c r="AG574" s="6" t="s">
        <v>5</v>
      </c>
      <c r="AH574" s="22">
        <v>0.41299999999999998</v>
      </c>
      <c r="AI574" s="6" t="s">
        <v>5</v>
      </c>
      <c r="AJ574" s="7">
        <v>9.1300000000000008</v>
      </c>
      <c r="AK574" s="6" t="s">
        <v>5</v>
      </c>
      <c r="AL574" s="6" t="s">
        <v>5</v>
      </c>
      <c r="AM574" s="6" t="s">
        <v>5</v>
      </c>
      <c r="AN574" s="6" t="s">
        <v>5</v>
      </c>
      <c r="AO574" s="7">
        <v>9.86</v>
      </c>
      <c r="AP574" s="7">
        <v>6.2</v>
      </c>
      <c r="AQ574" s="7">
        <v>3.46</v>
      </c>
      <c r="AR574" s="7">
        <v>1.22</v>
      </c>
      <c r="AS574" s="6">
        <v>21.6</v>
      </c>
      <c r="AT574" s="6">
        <v>8.83</v>
      </c>
      <c r="AU574" s="6">
        <v>5.16</v>
      </c>
      <c r="AV574" s="7">
        <v>1.81</v>
      </c>
      <c r="AW574" s="6" t="s">
        <v>5</v>
      </c>
      <c r="AX574" s="6" t="s">
        <v>5</v>
      </c>
      <c r="AY574" s="6" t="s">
        <v>5</v>
      </c>
      <c r="AZ574" s="6" t="s">
        <v>5</v>
      </c>
      <c r="BA574" s="6" t="s">
        <v>5</v>
      </c>
      <c r="BB574" s="6" t="s">
        <v>5</v>
      </c>
      <c r="BC574" s="6" t="s">
        <v>5</v>
      </c>
      <c r="BD574" s="6" t="s">
        <v>5</v>
      </c>
      <c r="BE574" s="6" t="s">
        <v>5</v>
      </c>
      <c r="BF574" s="6" t="s">
        <v>5</v>
      </c>
      <c r="BG574" s="6" t="s">
        <v>5</v>
      </c>
      <c r="BH574" s="6" t="s">
        <v>5</v>
      </c>
      <c r="BI574" s="7">
        <v>2.38</v>
      </c>
      <c r="BJ574" s="22">
        <v>0.84599999999999997</v>
      </c>
      <c r="BK574" s="6" t="s">
        <v>5</v>
      </c>
      <c r="BL574" s="2" t="s">
        <v>5</v>
      </c>
      <c r="BM574" s="2" t="s">
        <v>5</v>
      </c>
      <c r="BN574" s="2" t="s">
        <v>5</v>
      </c>
      <c r="BO574" s="2" t="s">
        <v>5</v>
      </c>
      <c r="BP574" s="2" t="s">
        <v>5</v>
      </c>
      <c r="BQ574" s="2" t="s">
        <v>5</v>
      </c>
      <c r="BR574" s="2" t="s">
        <v>5</v>
      </c>
      <c r="BS574" s="2" t="s">
        <v>5</v>
      </c>
      <c r="BT574" s="2" t="s">
        <v>5</v>
      </c>
      <c r="BU574" s="2" t="s">
        <v>5</v>
      </c>
      <c r="BV574" s="2" t="s">
        <v>5</v>
      </c>
      <c r="BW574" s="2" t="s">
        <v>5</v>
      </c>
      <c r="BX574" s="2" t="s">
        <v>5</v>
      </c>
      <c r="BY574" s="25" t="s">
        <v>5</v>
      </c>
      <c r="BZ574" s="25" t="s">
        <v>5</v>
      </c>
      <c r="CA574" s="6" t="s">
        <v>5</v>
      </c>
      <c r="CB574" s="6" t="s">
        <v>5</v>
      </c>
      <c r="CC574" s="6" t="s">
        <v>5</v>
      </c>
      <c r="CD574" s="6" t="s">
        <v>5</v>
      </c>
      <c r="CE574" s="6" t="s">
        <v>5</v>
      </c>
      <c r="CF574" s="16" t="s">
        <v>5</v>
      </c>
      <c r="CG574" s="16" t="s">
        <v>5</v>
      </c>
      <c r="CH574" s="18" t="s">
        <v>5</v>
      </c>
    </row>
    <row r="575" spans="2:86">
      <c r="B575" s="78" t="s">
        <v>473</v>
      </c>
      <c r="C575" s="79" t="s">
        <v>675</v>
      </c>
      <c r="D575" s="80" t="s">
        <v>675</v>
      </c>
      <c r="E575" s="1" t="s">
        <v>4</v>
      </c>
      <c r="F575" s="4">
        <v>22.6</v>
      </c>
      <c r="G575" s="7">
        <v>6.6</v>
      </c>
      <c r="H575" s="3" t="str">
        <f t="shared" si="27"/>
        <v>2L4X4X7/16X3/4</v>
      </c>
      <c r="I575" s="7">
        <v>4</v>
      </c>
      <c r="J575" s="5" t="s">
        <v>5</v>
      </c>
      <c r="K575" s="6" t="s">
        <v>5</v>
      </c>
      <c r="L575" s="6" t="s">
        <v>5</v>
      </c>
      <c r="M575" s="6" t="s">
        <v>5</v>
      </c>
      <c r="N575" s="6" t="s">
        <v>5</v>
      </c>
      <c r="O575" s="5" t="s">
        <v>5</v>
      </c>
      <c r="P575" s="5" t="s">
        <v>5</v>
      </c>
      <c r="Q575" s="7">
        <v>4</v>
      </c>
      <c r="R575" s="6" t="s">
        <v>5</v>
      </c>
      <c r="S575" s="6" t="s">
        <v>5</v>
      </c>
      <c r="T575" s="5" t="s">
        <v>5</v>
      </c>
      <c r="U575" s="8" t="s">
        <v>5</v>
      </c>
      <c r="V575" s="6" t="s">
        <v>5</v>
      </c>
      <c r="W575" s="8" t="s">
        <v>5</v>
      </c>
      <c r="X575" s="22">
        <v>0.438</v>
      </c>
      <c r="Y575" s="6" t="s">
        <v>5</v>
      </c>
      <c r="Z575" s="6" t="s">
        <v>5</v>
      </c>
      <c r="AA575" s="6" t="s">
        <v>5</v>
      </c>
      <c r="AB575" s="8" t="s">
        <v>5</v>
      </c>
      <c r="AC575" s="8" t="s">
        <v>5</v>
      </c>
      <c r="AD575" s="6" t="s">
        <v>5</v>
      </c>
      <c r="AE575" s="7">
        <v>1.1499999999999999</v>
      </c>
      <c r="AF575" s="6" t="s">
        <v>5</v>
      </c>
      <c r="AG575" s="6" t="s">
        <v>5</v>
      </c>
      <c r="AH575" s="22">
        <v>0.41299999999999998</v>
      </c>
      <c r="AI575" s="6" t="s">
        <v>5</v>
      </c>
      <c r="AJ575" s="7">
        <v>9.1300000000000008</v>
      </c>
      <c r="AK575" s="6" t="s">
        <v>5</v>
      </c>
      <c r="AL575" s="6" t="s">
        <v>5</v>
      </c>
      <c r="AM575" s="6" t="s">
        <v>5</v>
      </c>
      <c r="AN575" s="6" t="s">
        <v>5</v>
      </c>
      <c r="AO575" s="7">
        <v>9.86</v>
      </c>
      <c r="AP575" s="7">
        <v>6.2</v>
      </c>
      <c r="AQ575" s="7">
        <v>3.46</v>
      </c>
      <c r="AR575" s="7">
        <v>1.22</v>
      </c>
      <c r="AS575" s="6">
        <v>25.4</v>
      </c>
      <c r="AT575" s="6">
        <v>10.1</v>
      </c>
      <c r="AU575" s="6">
        <v>5.81</v>
      </c>
      <c r="AV575" s="7">
        <v>1.96</v>
      </c>
      <c r="AW575" s="6" t="s">
        <v>5</v>
      </c>
      <c r="AX575" s="6" t="s">
        <v>5</v>
      </c>
      <c r="AY575" s="6" t="s">
        <v>5</v>
      </c>
      <c r="AZ575" s="6" t="s">
        <v>5</v>
      </c>
      <c r="BA575" s="6" t="s">
        <v>5</v>
      </c>
      <c r="BB575" s="6" t="s">
        <v>5</v>
      </c>
      <c r="BC575" s="6" t="s">
        <v>5</v>
      </c>
      <c r="BD575" s="6" t="s">
        <v>5</v>
      </c>
      <c r="BE575" s="6" t="s">
        <v>5</v>
      </c>
      <c r="BF575" s="6" t="s">
        <v>5</v>
      </c>
      <c r="BG575" s="6" t="s">
        <v>5</v>
      </c>
      <c r="BH575" s="6" t="s">
        <v>5</v>
      </c>
      <c r="BI575" s="7">
        <v>2.4900000000000002</v>
      </c>
      <c r="BJ575" s="22">
        <v>0.85899999999999999</v>
      </c>
      <c r="BK575" s="6" t="s">
        <v>5</v>
      </c>
      <c r="BL575" s="2" t="s">
        <v>5</v>
      </c>
      <c r="BM575" s="2" t="s">
        <v>5</v>
      </c>
      <c r="BN575" s="2" t="s">
        <v>5</v>
      </c>
      <c r="BO575" s="2" t="s">
        <v>5</v>
      </c>
      <c r="BP575" s="2" t="s">
        <v>5</v>
      </c>
      <c r="BQ575" s="2" t="s">
        <v>5</v>
      </c>
      <c r="BR575" s="2" t="s">
        <v>5</v>
      </c>
      <c r="BS575" s="2" t="s">
        <v>5</v>
      </c>
      <c r="BT575" s="2" t="s">
        <v>5</v>
      </c>
      <c r="BU575" s="2" t="s">
        <v>5</v>
      </c>
      <c r="BV575" s="2" t="s">
        <v>5</v>
      </c>
      <c r="BW575" s="2" t="s">
        <v>5</v>
      </c>
      <c r="BX575" s="2" t="s">
        <v>5</v>
      </c>
      <c r="BY575" s="25" t="s">
        <v>5</v>
      </c>
      <c r="BZ575" s="25" t="s">
        <v>5</v>
      </c>
      <c r="CA575" s="6" t="s">
        <v>5</v>
      </c>
      <c r="CB575" s="6" t="s">
        <v>5</v>
      </c>
      <c r="CC575" s="6" t="s">
        <v>5</v>
      </c>
      <c r="CD575" s="6" t="s">
        <v>5</v>
      </c>
      <c r="CE575" s="6" t="s">
        <v>5</v>
      </c>
      <c r="CF575" s="16" t="s">
        <v>5</v>
      </c>
      <c r="CG575" s="16" t="s">
        <v>5</v>
      </c>
      <c r="CH575" s="18" t="s">
        <v>5</v>
      </c>
    </row>
    <row r="576" spans="2:86">
      <c r="B576" s="78" t="s">
        <v>473</v>
      </c>
      <c r="C576" s="79" t="s">
        <v>676</v>
      </c>
      <c r="D576" s="80" t="s">
        <v>676</v>
      </c>
      <c r="E576" s="1" t="s">
        <v>4</v>
      </c>
      <c r="F576" s="4">
        <v>19.600000000000001</v>
      </c>
      <c r="G576" s="7">
        <v>5.72</v>
      </c>
      <c r="H576" s="3" t="str">
        <f t="shared" si="27"/>
        <v>2L4X4X3/8</v>
      </c>
      <c r="I576" s="7">
        <v>4</v>
      </c>
      <c r="J576" s="5" t="s">
        <v>5</v>
      </c>
      <c r="K576" s="6" t="s">
        <v>5</v>
      </c>
      <c r="L576" s="6" t="s">
        <v>5</v>
      </c>
      <c r="M576" s="6" t="s">
        <v>5</v>
      </c>
      <c r="N576" s="6" t="s">
        <v>5</v>
      </c>
      <c r="O576" s="5" t="s">
        <v>5</v>
      </c>
      <c r="P576" s="5" t="s">
        <v>5</v>
      </c>
      <c r="Q576" s="7">
        <v>4</v>
      </c>
      <c r="R576" s="6" t="s">
        <v>5</v>
      </c>
      <c r="S576" s="6" t="s">
        <v>5</v>
      </c>
      <c r="T576" s="5" t="s">
        <v>5</v>
      </c>
      <c r="U576" s="8" t="s">
        <v>5</v>
      </c>
      <c r="V576" s="6" t="s">
        <v>5</v>
      </c>
      <c r="W576" s="8" t="s">
        <v>5</v>
      </c>
      <c r="X576" s="22">
        <v>0.375</v>
      </c>
      <c r="Y576" s="6" t="s">
        <v>5</v>
      </c>
      <c r="Z576" s="6" t="s">
        <v>5</v>
      </c>
      <c r="AA576" s="6" t="s">
        <v>5</v>
      </c>
      <c r="AB576" s="8" t="s">
        <v>5</v>
      </c>
      <c r="AC576" s="8" t="s">
        <v>5</v>
      </c>
      <c r="AD576" s="6" t="s">
        <v>5</v>
      </c>
      <c r="AE576" s="7">
        <v>1.1299999999999999</v>
      </c>
      <c r="AF576" s="6" t="s">
        <v>5</v>
      </c>
      <c r="AG576" s="6" t="s">
        <v>5</v>
      </c>
      <c r="AH576" s="22">
        <v>0.35799999999999998</v>
      </c>
      <c r="AI576" s="6" t="s">
        <v>5</v>
      </c>
      <c r="AJ576" s="4">
        <v>10.7</v>
      </c>
      <c r="AK576" s="6" t="s">
        <v>5</v>
      </c>
      <c r="AL576" s="6" t="s">
        <v>5</v>
      </c>
      <c r="AM576" s="6" t="s">
        <v>5</v>
      </c>
      <c r="AN576" s="6" t="s">
        <v>5</v>
      </c>
      <c r="AO576" s="7">
        <v>8.64</v>
      </c>
      <c r="AP576" s="7">
        <v>5.38</v>
      </c>
      <c r="AQ576" s="7">
        <v>3</v>
      </c>
      <c r="AR576" s="7">
        <v>1.23</v>
      </c>
      <c r="AS576" s="4">
        <v>16</v>
      </c>
      <c r="AT576" s="6">
        <v>6.46</v>
      </c>
      <c r="AU576" s="7">
        <v>4</v>
      </c>
      <c r="AV576" s="7">
        <v>1.67</v>
      </c>
      <c r="AW576" s="6" t="s">
        <v>5</v>
      </c>
      <c r="AX576" s="6" t="s">
        <v>5</v>
      </c>
      <c r="AY576" s="6" t="s">
        <v>5</v>
      </c>
      <c r="AZ576" s="6" t="s">
        <v>5</v>
      </c>
      <c r="BA576" s="6" t="s">
        <v>5</v>
      </c>
      <c r="BB576" s="6" t="s">
        <v>5</v>
      </c>
      <c r="BC576" s="6" t="s">
        <v>5</v>
      </c>
      <c r="BD576" s="6" t="s">
        <v>5</v>
      </c>
      <c r="BE576" s="6" t="s">
        <v>5</v>
      </c>
      <c r="BF576" s="6" t="s">
        <v>5</v>
      </c>
      <c r="BG576" s="6" t="s">
        <v>5</v>
      </c>
      <c r="BH576" s="6" t="s">
        <v>5</v>
      </c>
      <c r="BI576" s="7">
        <v>2.2799999999999998</v>
      </c>
      <c r="BJ576" s="22">
        <v>0.82899999999999996</v>
      </c>
      <c r="BK576" s="6" t="s">
        <v>5</v>
      </c>
      <c r="BL576" s="2" t="s">
        <v>5</v>
      </c>
      <c r="BM576" s="2" t="s">
        <v>5</v>
      </c>
      <c r="BN576" s="2" t="s">
        <v>5</v>
      </c>
      <c r="BO576" s="2" t="s">
        <v>5</v>
      </c>
      <c r="BP576" s="2" t="s">
        <v>5</v>
      </c>
      <c r="BQ576" s="2" t="s">
        <v>5</v>
      </c>
      <c r="BR576" s="2" t="s">
        <v>5</v>
      </c>
      <c r="BS576" s="2" t="s">
        <v>5</v>
      </c>
      <c r="BT576" s="2" t="s">
        <v>5</v>
      </c>
      <c r="BU576" s="2" t="s">
        <v>5</v>
      </c>
      <c r="BV576" s="2" t="s">
        <v>5</v>
      </c>
      <c r="BW576" s="2" t="s">
        <v>5</v>
      </c>
      <c r="BX576" s="2" t="s">
        <v>5</v>
      </c>
      <c r="BY576" s="25" t="s">
        <v>5</v>
      </c>
      <c r="BZ576" s="25" t="s">
        <v>5</v>
      </c>
      <c r="CA576" s="6" t="s">
        <v>5</v>
      </c>
      <c r="CB576" s="6" t="s">
        <v>5</v>
      </c>
      <c r="CC576" s="6" t="s">
        <v>5</v>
      </c>
      <c r="CD576" s="6" t="s">
        <v>5</v>
      </c>
      <c r="CE576" s="6" t="s">
        <v>5</v>
      </c>
      <c r="CF576" s="16" t="s">
        <v>5</v>
      </c>
      <c r="CG576" s="16" t="s">
        <v>5</v>
      </c>
      <c r="CH576" s="18" t="s">
        <v>5</v>
      </c>
    </row>
    <row r="577" spans="2:86">
      <c r="B577" s="78" t="s">
        <v>473</v>
      </c>
      <c r="C577" s="79" t="s">
        <v>677</v>
      </c>
      <c r="D577" s="80" t="s">
        <v>677</v>
      </c>
      <c r="E577" s="1" t="s">
        <v>4</v>
      </c>
      <c r="F577" s="4">
        <v>19.600000000000001</v>
      </c>
      <c r="G577" s="7">
        <v>5.72</v>
      </c>
      <c r="H577" s="3" t="str">
        <f t="shared" si="27"/>
        <v>2L4X4X3/8X3/8</v>
      </c>
      <c r="I577" s="7">
        <v>4</v>
      </c>
      <c r="J577" s="5" t="s">
        <v>5</v>
      </c>
      <c r="K577" s="6" t="s">
        <v>5</v>
      </c>
      <c r="L577" s="6" t="s">
        <v>5</v>
      </c>
      <c r="M577" s="6" t="s">
        <v>5</v>
      </c>
      <c r="N577" s="6" t="s">
        <v>5</v>
      </c>
      <c r="O577" s="5" t="s">
        <v>5</v>
      </c>
      <c r="P577" s="5" t="s">
        <v>5</v>
      </c>
      <c r="Q577" s="7">
        <v>4</v>
      </c>
      <c r="R577" s="6" t="s">
        <v>5</v>
      </c>
      <c r="S577" s="6" t="s">
        <v>5</v>
      </c>
      <c r="T577" s="5" t="s">
        <v>5</v>
      </c>
      <c r="U577" s="8" t="s">
        <v>5</v>
      </c>
      <c r="V577" s="6" t="s">
        <v>5</v>
      </c>
      <c r="W577" s="8" t="s">
        <v>5</v>
      </c>
      <c r="X577" s="22">
        <v>0.375</v>
      </c>
      <c r="Y577" s="6" t="s">
        <v>5</v>
      </c>
      <c r="Z577" s="6" t="s">
        <v>5</v>
      </c>
      <c r="AA577" s="6" t="s">
        <v>5</v>
      </c>
      <c r="AB577" s="8" t="s">
        <v>5</v>
      </c>
      <c r="AC577" s="8" t="s">
        <v>5</v>
      </c>
      <c r="AD577" s="6" t="s">
        <v>5</v>
      </c>
      <c r="AE577" s="7">
        <v>1.1299999999999999</v>
      </c>
      <c r="AF577" s="6" t="s">
        <v>5</v>
      </c>
      <c r="AG577" s="6" t="s">
        <v>5</v>
      </c>
      <c r="AH577" s="22">
        <v>0.35799999999999998</v>
      </c>
      <c r="AI577" s="6" t="s">
        <v>5</v>
      </c>
      <c r="AJ577" s="4">
        <v>10.7</v>
      </c>
      <c r="AK577" s="6" t="s">
        <v>5</v>
      </c>
      <c r="AL577" s="6" t="s">
        <v>5</v>
      </c>
      <c r="AM577" s="6" t="s">
        <v>5</v>
      </c>
      <c r="AN577" s="6" t="s">
        <v>5</v>
      </c>
      <c r="AO577" s="7">
        <v>8.64</v>
      </c>
      <c r="AP577" s="7">
        <v>5.38</v>
      </c>
      <c r="AQ577" s="7">
        <v>3</v>
      </c>
      <c r="AR577" s="7">
        <v>1.23</v>
      </c>
      <c r="AS577" s="6">
        <v>18.5</v>
      </c>
      <c r="AT577" s="6">
        <v>7.54</v>
      </c>
      <c r="AU577" s="6">
        <v>4.42</v>
      </c>
      <c r="AV577" s="7">
        <v>1.8</v>
      </c>
      <c r="AW577" s="6" t="s">
        <v>5</v>
      </c>
      <c r="AX577" s="6" t="s">
        <v>5</v>
      </c>
      <c r="AY577" s="6" t="s">
        <v>5</v>
      </c>
      <c r="AZ577" s="6" t="s">
        <v>5</v>
      </c>
      <c r="BA577" s="6" t="s">
        <v>5</v>
      </c>
      <c r="BB577" s="6" t="s">
        <v>5</v>
      </c>
      <c r="BC577" s="6" t="s">
        <v>5</v>
      </c>
      <c r="BD577" s="6" t="s">
        <v>5</v>
      </c>
      <c r="BE577" s="6" t="s">
        <v>5</v>
      </c>
      <c r="BF577" s="6" t="s">
        <v>5</v>
      </c>
      <c r="BG577" s="6" t="s">
        <v>5</v>
      </c>
      <c r="BH577" s="6" t="s">
        <v>5</v>
      </c>
      <c r="BI577" s="7">
        <v>2.38</v>
      </c>
      <c r="BJ577" s="22">
        <v>0.84299999999999997</v>
      </c>
      <c r="BK577" s="6" t="s">
        <v>5</v>
      </c>
      <c r="BL577" s="2" t="s">
        <v>5</v>
      </c>
      <c r="BM577" s="2" t="s">
        <v>5</v>
      </c>
      <c r="BN577" s="2" t="s">
        <v>5</v>
      </c>
      <c r="BO577" s="2" t="s">
        <v>5</v>
      </c>
      <c r="BP577" s="2" t="s">
        <v>5</v>
      </c>
      <c r="BQ577" s="2" t="s">
        <v>5</v>
      </c>
      <c r="BR577" s="2" t="s">
        <v>5</v>
      </c>
      <c r="BS577" s="2" t="s">
        <v>5</v>
      </c>
      <c r="BT577" s="2" t="s">
        <v>5</v>
      </c>
      <c r="BU577" s="2" t="s">
        <v>5</v>
      </c>
      <c r="BV577" s="2" t="s">
        <v>5</v>
      </c>
      <c r="BW577" s="2" t="s">
        <v>5</v>
      </c>
      <c r="BX577" s="2" t="s">
        <v>5</v>
      </c>
      <c r="BY577" s="25" t="s">
        <v>5</v>
      </c>
      <c r="BZ577" s="25" t="s">
        <v>5</v>
      </c>
      <c r="CA577" s="6" t="s">
        <v>5</v>
      </c>
      <c r="CB577" s="6" t="s">
        <v>5</v>
      </c>
      <c r="CC577" s="6" t="s">
        <v>5</v>
      </c>
      <c r="CD577" s="6" t="s">
        <v>5</v>
      </c>
      <c r="CE577" s="6" t="s">
        <v>5</v>
      </c>
      <c r="CF577" s="16" t="s">
        <v>5</v>
      </c>
      <c r="CG577" s="16" t="s">
        <v>5</v>
      </c>
      <c r="CH577" s="18" t="s">
        <v>5</v>
      </c>
    </row>
    <row r="578" spans="2:86">
      <c r="B578" s="78" t="s">
        <v>473</v>
      </c>
      <c r="C578" s="79" t="s">
        <v>678</v>
      </c>
      <c r="D578" s="80" t="s">
        <v>678</v>
      </c>
      <c r="E578" s="1" t="s">
        <v>4</v>
      </c>
      <c r="F578" s="4">
        <v>19.600000000000001</v>
      </c>
      <c r="G578" s="7">
        <v>5.72</v>
      </c>
      <c r="H578" s="3" t="str">
        <f t="shared" si="27"/>
        <v>2L4X4X3/8X3/4</v>
      </c>
      <c r="I578" s="7">
        <v>4</v>
      </c>
      <c r="J578" s="5" t="s">
        <v>5</v>
      </c>
      <c r="K578" s="6" t="s">
        <v>5</v>
      </c>
      <c r="L578" s="6" t="s">
        <v>5</v>
      </c>
      <c r="M578" s="6" t="s">
        <v>5</v>
      </c>
      <c r="N578" s="6" t="s">
        <v>5</v>
      </c>
      <c r="O578" s="5" t="s">
        <v>5</v>
      </c>
      <c r="P578" s="5" t="s">
        <v>5</v>
      </c>
      <c r="Q578" s="7">
        <v>4</v>
      </c>
      <c r="R578" s="6" t="s">
        <v>5</v>
      </c>
      <c r="S578" s="6" t="s">
        <v>5</v>
      </c>
      <c r="T578" s="5" t="s">
        <v>5</v>
      </c>
      <c r="U578" s="8" t="s">
        <v>5</v>
      </c>
      <c r="V578" s="6" t="s">
        <v>5</v>
      </c>
      <c r="W578" s="8" t="s">
        <v>5</v>
      </c>
      <c r="X578" s="22">
        <v>0.375</v>
      </c>
      <c r="Y578" s="6" t="s">
        <v>5</v>
      </c>
      <c r="Z578" s="6" t="s">
        <v>5</v>
      </c>
      <c r="AA578" s="6" t="s">
        <v>5</v>
      </c>
      <c r="AB578" s="8" t="s">
        <v>5</v>
      </c>
      <c r="AC578" s="8" t="s">
        <v>5</v>
      </c>
      <c r="AD578" s="6" t="s">
        <v>5</v>
      </c>
      <c r="AE578" s="7">
        <v>1.1299999999999999</v>
      </c>
      <c r="AF578" s="6" t="s">
        <v>5</v>
      </c>
      <c r="AG578" s="6" t="s">
        <v>5</v>
      </c>
      <c r="AH578" s="22">
        <v>0.35799999999999998</v>
      </c>
      <c r="AI578" s="6" t="s">
        <v>5</v>
      </c>
      <c r="AJ578" s="4">
        <v>10.7</v>
      </c>
      <c r="AK578" s="6" t="s">
        <v>5</v>
      </c>
      <c r="AL578" s="6" t="s">
        <v>5</v>
      </c>
      <c r="AM578" s="6" t="s">
        <v>5</v>
      </c>
      <c r="AN578" s="6" t="s">
        <v>5</v>
      </c>
      <c r="AO578" s="7">
        <v>8.64</v>
      </c>
      <c r="AP578" s="7">
        <v>5.38</v>
      </c>
      <c r="AQ578" s="7">
        <v>3</v>
      </c>
      <c r="AR578" s="7">
        <v>1.23</v>
      </c>
      <c r="AS578" s="6">
        <v>21.5</v>
      </c>
      <c r="AT578" s="6">
        <v>8.61</v>
      </c>
      <c r="AU578" s="6">
        <v>4.91</v>
      </c>
      <c r="AV578" s="7">
        <v>1.94</v>
      </c>
      <c r="AW578" s="6" t="s">
        <v>5</v>
      </c>
      <c r="AX578" s="6" t="s">
        <v>5</v>
      </c>
      <c r="AY578" s="6" t="s">
        <v>5</v>
      </c>
      <c r="AZ578" s="6" t="s">
        <v>5</v>
      </c>
      <c r="BA578" s="6" t="s">
        <v>5</v>
      </c>
      <c r="BB578" s="6" t="s">
        <v>5</v>
      </c>
      <c r="BC578" s="6" t="s">
        <v>5</v>
      </c>
      <c r="BD578" s="6" t="s">
        <v>5</v>
      </c>
      <c r="BE578" s="6" t="s">
        <v>5</v>
      </c>
      <c r="BF578" s="6" t="s">
        <v>5</v>
      </c>
      <c r="BG578" s="6" t="s">
        <v>5</v>
      </c>
      <c r="BH578" s="6" t="s">
        <v>5</v>
      </c>
      <c r="BI578" s="7">
        <v>2.4900000000000002</v>
      </c>
      <c r="BJ578" s="22">
        <v>0.85599999999999998</v>
      </c>
      <c r="BK578" s="6" t="s">
        <v>5</v>
      </c>
      <c r="BL578" s="2" t="s">
        <v>5</v>
      </c>
      <c r="BM578" s="2" t="s">
        <v>5</v>
      </c>
      <c r="BN578" s="2" t="s">
        <v>5</v>
      </c>
      <c r="BO578" s="2" t="s">
        <v>5</v>
      </c>
      <c r="BP578" s="2" t="s">
        <v>5</v>
      </c>
      <c r="BQ578" s="2" t="s">
        <v>5</v>
      </c>
      <c r="BR578" s="2" t="s">
        <v>5</v>
      </c>
      <c r="BS578" s="2" t="s">
        <v>5</v>
      </c>
      <c r="BT578" s="2" t="s">
        <v>5</v>
      </c>
      <c r="BU578" s="2" t="s">
        <v>5</v>
      </c>
      <c r="BV578" s="2" t="s">
        <v>5</v>
      </c>
      <c r="BW578" s="2" t="s">
        <v>5</v>
      </c>
      <c r="BX578" s="2" t="s">
        <v>5</v>
      </c>
      <c r="BY578" s="25" t="s">
        <v>5</v>
      </c>
      <c r="BZ578" s="25" t="s">
        <v>5</v>
      </c>
      <c r="CA578" s="6" t="s">
        <v>5</v>
      </c>
      <c r="CB578" s="6" t="s">
        <v>5</v>
      </c>
      <c r="CC578" s="6" t="s">
        <v>5</v>
      </c>
      <c r="CD578" s="6" t="s">
        <v>5</v>
      </c>
      <c r="CE578" s="6" t="s">
        <v>5</v>
      </c>
      <c r="CF578" s="16" t="s">
        <v>5</v>
      </c>
      <c r="CG578" s="16" t="s">
        <v>5</v>
      </c>
      <c r="CH578" s="18" t="s">
        <v>5</v>
      </c>
    </row>
    <row r="579" spans="2:86">
      <c r="B579" s="78" t="s">
        <v>473</v>
      </c>
      <c r="C579" s="79" t="s">
        <v>679</v>
      </c>
      <c r="D579" s="80" t="s">
        <v>679</v>
      </c>
      <c r="E579" s="1" t="s">
        <v>4</v>
      </c>
      <c r="F579" s="4">
        <v>16.399999999999999</v>
      </c>
      <c r="G579" s="7">
        <v>4.8</v>
      </c>
      <c r="H579" s="3" t="str">
        <f t="shared" si="27"/>
        <v>2L4X4X5/16</v>
      </c>
      <c r="I579" s="7">
        <v>4</v>
      </c>
      <c r="J579" s="5" t="s">
        <v>5</v>
      </c>
      <c r="K579" s="6" t="s">
        <v>5</v>
      </c>
      <c r="L579" s="6" t="s">
        <v>5</v>
      </c>
      <c r="M579" s="6" t="s">
        <v>5</v>
      </c>
      <c r="N579" s="6" t="s">
        <v>5</v>
      </c>
      <c r="O579" s="5" t="s">
        <v>5</v>
      </c>
      <c r="P579" s="5" t="s">
        <v>5</v>
      </c>
      <c r="Q579" s="7">
        <v>4</v>
      </c>
      <c r="R579" s="6" t="s">
        <v>5</v>
      </c>
      <c r="S579" s="6" t="s">
        <v>5</v>
      </c>
      <c r="T579" s="5" t="s">
        <v>5</v>
      </c>
      <c r="U579" s="8" t="s">
        <v>5</v>
      </c>
      <c r="V579" s="6" t="s">
        <v>5</v>
      </c>
      <c r="W579" s="8" t="s">
        <v>5</v>
      </c>
      <c r="X579" s="22">
        <v>0.313</v>
      </c>
      <c r="Y579" s="6" t="s">
        <v>5</v>
      </c>
      <c r="Z579" s="6" t="s">
        <v>5</v>
      </c>
      <c r="AA579" s="6" t="s">
        <v>5</v>
      </c>
      <c r="AB579" s="8" t="s">
        <v>5</v>
      </c>
      <c r="AC579" s="8" t="s">
        <v>5</v>
      </c>
      <c r="AD579" s="6" t="s">
        <v>5</v>
      </c>
      <c r="AE579" s="7">
        <v>1.1100000000000001</v>
      </c>
      <c r="AF579" s="6" t="s">
        <v>5</v>
      </c>
      <c r="AG579" s="6" t="s">
        <v>5</v>
      </c>
      <c r="AH579" s="22">
        <v>0.3</v>
      </c>
      <c r="AI579" s="6" t="s">
        <v>5</v>
      </c>
      <c r="AJ579" s="4">
        <v>12.8</v>
      </c>
      <c r="AK579" s="6" t="s">
        <v>5</v>
      </c>
      <c r="AL579" s="6" t="s">
        <v>5</v>
      </c>
      <c r="AM579" s="6" t="s">
        <v>5</v>
      </c>
      <c r="AN579" s="6" t="s">
        <v>5</v>
      </c>
      <c r="AO579" s="7">
        <v>7.34</v>
      </c>
      <c r="AP579" s="7">
        <v>4.5199999999999996</v>
      </c>
      <c r="AQ579" s="7">
        <v>2.54</v>
      </c>
      <c r="AR579" s="7">
        <v>1.24</v>
      </c>
      <c r="AS579" s="6">
        <v>13.2</v>
      </c>
      <c r="AT579" s="6">
        <v>5.33</v>
      </c>
      <c r="AU579" s="7">
        <v>3.3</v>
      </c>
      <c r="AV579" s="7">
        <v>1.66</v>
      </c>
      <c r="AW579" s="6" t="s">
        <v>5</v>
      </c>
      <c r="AX579" s="6" t="s">
        <v>5</v>
      </c>
      <c r="AY579" s="6" t="s">
        <v>5</v>
      </c>
      <c r="AZ579" s="6" t="s">
        <v>5</v>
      </c>
      <c r="BA579" s="6" t="s">
        <v>5</v>
      </c>
      <c r="BB579" s="6" t="s">
        <v>5</v>
      </c>
      <c r="BC579" s="6" t="s">
        <v>5</v>
      </c>
      <c r="BD579" s="6" t="s">
        <v>5</v>
      </c>
      <c r="BE579" s="6" t="s">
        <v>5</v>
      </c>
      <c r="BF579" s="6" t="s">
        <v>5</v>
      </c>
      <c r="BG579" s="6" t="s">
        <v>5</v>
      </c>
      <c r="BH579" s="6" t="s">
        <v>5</v>
      </c>
      <c r="BI579" s="7">
        <v>2.2799999999999998</v>
      </c>
      <c r="BJ579" s="22">
        <v>0.82599999999999996</v>
      </c>
      <c r="BK579" s="6" t="s">
        <v>5</v>
      </c>
      <c r="BL579" s="2" t="s">
        <v>5</v>
      </c>
      <c r="BM579" s="2" t="s">
        <v>5</v>
      </c>
      <c r="BN579" s="2" t="s">
        <v>5</v>
      </c>
      <c r="BO579" s="2" t="s">
        <v>5</v>
      </c>
      <c r="BP579" s="2" t="s">
        <v>5</v>
      </c>
      <c r="BQ579" s="2" t="s">
        <v>5</v>
      </c>
      <c r="BR579" s="2" t="s">
        <v>5</v>
      </c>
      <c r="BS579" s="2" t="s">
        <v>5</v>
      </c>
      <c r="BT579" s="2" t="s">
        <v>5</v>
      </c>
      <c r="BU579" s="2" t="s">
        <v>5</v>
      </c>
      <c r="BV579" s="2" t="s">
        <v>5</v>
      </c>
      <c r="BW579" s="2" t="s">
        <v>5</v>
      </c>
      <c r="BX579" s="2" t="s">
        <v>5</v>
      </c>
      <c r="BY579" s="25" t="s">
        <v>5</v>
      </c>
      <c r="BZ579" s="25" t="s">
        <v>5</v>
      </c>
      <c r="CA579" s="6" t="s">
        <v>5</v>
      </c>
      <c r="CB579" s="6" t="s">
        <v>5</v>
      </c>
      <c r="CC579" s="6" t="s">
        <v>5</v>
      </c>
      <c r="CD579" s="6" t="s">
        <v>5</v>
      </c>
      <c r="CE579" s="6" t="s">
        <v>5</v>
      </c>
      <c r="CF579" s="16" t="s">
        <v>5</v>
      </c>
      <c r="CG579" s="16" t="s">
        <v>5</v>
      </c>
      <c r="CH579" s="18" t="s">
        <v>5</v>
      </c>
    </row>
    <row r="580" spans="2:86">
      <c r="B580" s="78" t="s">
        <v>473</v>
      </c>
      <c r="C580" s="79" t="s">
        <v>680</v>
      </c>
      <c r="D580" s="80" t="s">
        <v>680</v>
      </c>
      <c r="E580" s="1" t="s">
        <v>4</v>
      </c>
      <c r="F580" s="4">
        <v>16.399999999999999</v>
      </c>
      <c r="G580" s="7">
        <v>4.8</v>
      </c>
      <c r="H580" s="3" t="str">
        <f t="shared" ref="H580:H643" si="28">D580</f>
        <v>2L4X4X5/16X3/8</v>
      </c>
      <c r="I580" s="7">
        <v>4</v>
      </c>
      <c r="J580" s="5" t="s">
        <v>5</v>
      </c>
      <c r="K580" s="6" t="s">
        <v>5</v>
      </c>
      <c r="L580" s="6" t="s">
        <v>5</v>
      </c>
      <c r="M580" s="6" t="s">
        <v>5</v>
      </c>
      <c r="N580" s="6" t="s">
        <v>5</v>
      </c>
      <c r="O580" s="5" t="s">
        <v>5</v>
      </c>
      <c r="P580" s="5" t="s">
        <v>5</v>
      </c>
      <c r="Q580" s="7">
        <v>4</v>
      </c>
      <c r="R580" s="6" t="s">
        <v>5</v>
      </c>
      <c r="S580" s="6" t="s">
        <v>5</v>
      </c>
      <c r="T580" s="5" t="s">
        <v>5</v>
      </c>
      <c r="U580" s="8" t="s">
        <v>5</v>
      </c>
      <c r="V580" s="6" t="s">
        <v>5</v>
      </c>
      <c r="W580" s="8" t="s">
        <v>5</v>
      </c>
      <c r="X580" s="22">
        <v>0.313</v>
      </c>
      <c r="Y580" s="6" t="s">
        <v>5</v>
      </c>
      <c r="Z580" s="6" t="s">
        <v>5</v>
      </c>
      <c r="AA580" s="6" t="s">
        <v>5</v>
      </c>
      <c r="AB580" s="8" t="s">
        <v>5</v>
      </c>
      <c r="AC580" s="8" t="s">
        <v>5</v>
      </c>
      <c r="AD580" s="6" t="s">
        <v>5</v>
      </c>
      <c r="AE580" s="7">
        <v>1.1100000000000001</v>
      </c>
      <c r="AF580" s="6" t="s">
        <v>5</v>
      </c>
      <c r="AG580" s="6" t="s">
        <v>5</v>
      </c>
      <c r="AH580" s="22">
        <v>0.3</v>
      </c>
      <c r="AI580" s="6" t="s">
        <v>5</v>
      </c>
      <c r="AJ580" s="4">
        <v>12.8</v>
      </c>
      <c r="AK580" s="6" t="s">
        <v>5</v>
      </c>
      <c r="AL580" s="6" t="s">
        <v>5</v>
      </c>
      <c r="AM580" s="6" t="s">
        <v>5</v>
      </c>
      <c r="AN580" s="6" t="s">
        <v>5</v>
      </c>
      <c r="AO580" s="7">
        <v>7.34</v>
      </c>
      <c r="AP580" s="7">
        <v>4.5199999999999996</v>
      </c>
      <c r="AQ580" s="7">
        <v>2.54</v>
      </c>
      <c r="AR580" s="7">
        <v>1.24</v>
      </c>
      <c r="AS580" s="6">
        <v>15.4</v>
      </c>
      <c r="AT580" s="6">
        <v>6.23</v>
      </c>
      <c r="AU580" s="6">
        <v>3.68</v>
      </c>
      <c r="AV580" s="7">
        <v>1.79</v>
      </c>
      <c r="AW580" s="6" t="s">
        <v>5</v>
      </c>
      <c r="AX580" s="6" t="s">
        <v>5</v>
      </c>
      <c r="AY580" s="6" t="s">
        <v>5</v>
      </c>
      <c r="AZ580" s="6" t="s">
        <v>5</v>
      </c>
      <c r="BA580" s="6" t="s">
        <v>5</v>
      </c>
      <c r="BB580" s="6" t="s">
        <v>5</v>
      </c>
      <c r="BC580" s="6" t="s">
        <v>5</v>
      </c>
      <c r="BD580" s="6" t="s">
        <v>5</v>
      </c>
      <c r="BE580" s="6" t="s">
        <v>5</v>
      </c>
      <c r="BF580" s="6" t="s">
        <v>5</v>
      </c>
      <c r="BG580" s="6" t="s">
        <v>5</v>
      </c>
      <c r="BH580" s="6" t="s">
        <v>5</v>
      </c>
      <c r="BI580" s="7">
        <v>2.37</v>
      </c>
      <c r="BJ580" s="22">
        <v>0.84</v>
      </c>
      <c r="BK580" s="6" t="s">
        <v>5</v>
      </c>
      <c r="BL580" s="2" t="s">
        <v>5</v>
      </c>
      <c r="BM580" s="2" t="s">
        <v>5</v>
      </c>
      <c r="BN580" s="2" t="s">
        <v>5</v>
      </c>
      <c r="BO580" s="2" t="s">
        <v>5</v>
      </c>
      <c r="BP580" s="2" t="s">
        <v>5</v>
      </c>
      <c r="BQ580" s="2" t="s">
        <v>5</v>
      </c>
      <c r="BR580" s="2" t="s">
        <v>5</v>
      </c>
      <c r="BS580" s="2" t="s">
        <v>5</v>
      </c>
      <c r="BT580" s="2" t="s">
        <v>5</v>
      </c>
      <c r="BU580" s="2" t="s">
        <v>5</v>
      </c>
      <c r="BV580" s="2" t="s">
        <v>5</v>
      </c>
      <c r="BW580" s="2" t="s">
        <v>5</v>
      </c>
      <c r="BX580" s="2" t="s">
        <v>5</v>
      </c>
      <c r="BY580" s="25" t="s">
        <v>5</v>
      </c>
      <c r="BZ580" s="25" t="s">
        <v>5</v>
      </c>
      <c r="CA580" s="6" t="s">
        <v>5</v>
      </c>
      <c r="CB580" s="6" t="s">
        <v>5</v>
      </c>
      <c r="CC580" s="6" t="s">
        <v>5</v>
      </c>
      <c r="CD580" s="6" t="s">
        <v>5</v>
      </c>
      <c r="CE580" s="6" t="s">
        <v>5</v>
      </c>
      <c r="CF580" s="16" t="s">
        <v>5</v>
      </c>
      <c r="CG580" s="16" t="s">
        <v>5</v>
      </c>
      <c r="CH580" s="18" t="s">
        <v>5</v>
      </c>
    </row>
    <row r="581" spans="2:86">
      <c r="B581" s="78" t="s">
        <v>473</v>
      </c>
      <c r="C581" s="79" t="s">
        <v>681</v>
      </c>
      <c r="D581" s="80" t="s">
        <v>681</v>
      </c>
      <c r="E581" s="1" t="s">
        <v>4</v>
      </c>
      <c r="F581" s="4">
        <v>16.399999999999999</v>
      </c>
      <c r="G581" s="7">
        <v>4.8</v>
      </c>
      <c r="H581" s="3" t="str">
        <f t="shared" si="28"/>
        <v>2L4X4X5/16X3/4</v>
      </c>
      <c r="I581" s="7">
        <v>4</v>
      </c>
      <c r="J581" s="5" t="s">
        <v>5</v>
      </c>
      <c r="K581" s="6" t="s">
        <v>5</v>
      </c>
      <c r="L581" s="6" t="s">
        <v>5</v>
      </c>
      <c r="M581" s="6" t="s">
        <v>5</v>
      </c>
      <c r="N581" s="6" t="s">
        <v>5</v>
      </c>
      <c r="O581" s="5" t="s">
        <v>5</v>
      </c>
      <c r="P581" s="5" t="s">
        <v>5</v>
      </c>
      <c r="Q581" s="7">
        <v>4</v>
      </c>
      <c r="R581" s="6" t="s">
        <v>5</v>
      </c>
      <c r="S581" s="6" t="s">
        <v>5</v>
      </c>
      <c r="T581" s="5" t="s">
        <v>5</v>
      </c>
      <c r="U581" s="8" t="s">
        <v>5</v>
      </c>
      <c r="V581" s="6" t="s">
        <v>5</v>
      </c>
      <c r="W581" s="8" t="s">
        <v>5</v>
      </c>
      <c r="X581" s="22">
        <v>0.313</v>
      </c>
      <c r="Y581" s="6" t="s">
        <v>5</v>
      </c>
      <c r="Z581" s="6" t="s">
        <v>5</v>
      </c>
      <c r="AA581" s="6" t="s">
        <v>5</v>
      </c>
      <c r="AB581" s="8" t="s">
        <v>5</v>
      </c>
      <c r="AC581" s="8" t="s">
        <v>5</v>
      </c>
      <c r="AD581" s="6" t="s">
        <v>5</v>
      </c>
      <c r="AE581" s="7">
        <v>1.1100000000000001</v>
      </c>
      <c r="AF581" s="6" t="s">
        <v>5</v>
      </c>
      <c r="AG581" s="6" t="s">
        <v>5</v>
      </c>
      <c r="AH581" s="22">
        <v>0.3</v>
      </c>
      <c r="AI581" s="6" t="s">
        <v>5</v>
      </c>
      <c r="AJ581" s="4">
        <v>12.8</v>
      </c>
      <c r="AK581" s="6" t="s">
        <v>5</v>
      </c>
      <c r="AL581" s="6" t="s">
        <v>5</v>
      </c>
      <c r="AM581" s="6" t="s">
        <v>5</v>
      </c>
      <c r="AN581" s="6" t="s">
        <v>5</v>
      </c>
      <c r="AO581" s="7">
        <v>7.34</v>
      </c>
      <c r="AP581" s="7">
        <v>4.5199999999999996</v>
      </c>
      <c r="AQ581" s="7">
        <v>2.54</v>
      </c>
      <c r="AR581" s="7">
        <v>1.24</v>
      </c>
      <c r="AS581" s="6">
        <v>17.899999999999999</v>
      </c>
      <c r="AT581" s="6">
        <v>7.13</v>
      </c>
      <c r="AU581" s="6">
        <v>4.09</v>
      </c>
      <c r="AV581" s="7">
        <v>1.93</v>
      </c>
      <c r="AW581" s="6" t="s">
        <v>5</v>
      </c>
      <c r="AX581" s="6" t="s">
        <v>5</v>
      </c>
      <c r="AY581" s="6" t="s">
        <v>5</v>
      </c>
      <c r="AZ581" s="6" t="s">
        <v>5</v>
      </c>
      <c r="BA581" s="6" t="s">
        <v>5</v>
      </c>
      <c r="BB581" s="6" t="s">
        <v>5</v>
      </c>
      <c r="BC581" s="6" t="s">
        <v>5</v>
      </c>
      <c r="BD581" s="6" t="s">
        <v>5</v>
      </c>
      <c r="BE581" s="6" t="s">
        <v>5</v>
      </c>
      <c r="BF581" s="6" t="s">
        <v>5</v>
      </c>
      <c r="BG581" s="6" t="s">
        <v>5</v>
      </c>
      <c r="BH581" s="6" t="s">
        <v>5</v>
      </c>
      <c r="BI581" s="7">
        <v>2.48</v>
      </c>
      <c r="BJ581" s="22">
        <v>0.85399999999999998</v>
      </c>
      <c r="BK581" s="6" t="s">
        <v>5</v>
      </c>
      <c r="BL581" s="2" t="s">
        <v>5</v>
      </c>
      <c r="BM581" s="2" t="s">
        <v>5</v>
      </c>
      <c r="BN581" s="2" t="s">
        <v>5</v>
      </c>
      <c r="BO581" s="2" t="s">
        <v>5</v>
      </c>
      <c r="BP581" s="2" t="s">
        <v>5</v>
      </c>
      <c r="BQ581" s="2" t="s">
        <v>5</v>
      </c>
      <c r="BR581" s="2" t="s">
        <v>5</v>
      </c>
      <c r="BS581" s="2" t="s">
        <v>5</v>
      </c>
      <c r="BT581" s="2" t="s">
        <v>5</v>
      </c>
      <c r="BU581" s="2" t="s">
        <v>5</v>
      </c>
      <c r="BV581" s="2" t="s">
        <v>5</v>
      </c>
      <c r="BW581" s="2" t="s">
        <v>5</v>
      </c>
      <c r="BX581" s="2" t="s">
        <v>5</v>
      </c>
      <c r="BY581" s="25" t="s">
        <v>5</v>
      </c>
      <c r="BZ581" s="25" t="s">
        <v>5</v>
      </c>
      <c r="CA581" s="6" t="s">
        <v>5</v>
      </c>
      <c r="CB581" s="6" t="s">
        <v>5</v>
      </c>
      <c r="CC581" s="6" t="s">
        <v>5</v>
      </c>
      <c r="CD581" s="6" t="s">
        <v>5</v>
      </c>
      <c r="CE581" s="6" t="s">
        <v>5</v>
      </c>
      <c r="CF581" s="16" t="s">
        <v>5</v>
      </c>
      <c r="CG581" s="16" t="s">
        <v>5</v>
      </c>
      <c r="CH581" s="18" t="s">
        <v>5</v>
      </c>
    </row>
    <row r="582" spans="2:86">
      <c r="B582" s="78" t="s">
        <v>473</v>
      </c>
      <c r="C582" s="79" t="s">
        <v>682</v>
      </c>
      <c r="D582" s="80" t="s">
        <v>682</v>
      </c>
      <c r="E582" s="1" t="s">
        <v>4</v>
      </c>
      <c r="F582" s="4">
        <v>13.2</v>
      </c>
      <c r="G582" s="7">
        <v>3.86</v>
      </c>
      <c r="H582" s="3" t="str">
        <f t="shared" si="28"/>
        <v>2L4X4X1/4</v>
      </c>
      <c r="I582" s="7">
        <v>4</v>
      </c>
      <c r="J582" s="5" t="s">
        <v>5</v>
      </c>
      <c r="K582" s="6" t="s">
        <v>5</v>
      </c>
      <c r="L582" s="6" t="s">
        <v>5</v>
      </c>
      <c r="M582" s="6" t="s">
        <v>5</v>
      </c>
      <c r="N582" s="6" t="s">
        <v>5</v>
      </c>
      <c r="O582" s="5" t="s">
        <v>5</v>
      </c>
      <c r="P582" s="5" t="s">
        <v>5</v>
      </c>
      <c r="Q582" s="7">
        <v>4</v>
      </c>
      <c r="R582" s="6" t="s">
        <v>5</v>
      </c>
      <c r="S582" s="6" t="s">
        <v>5</v>
      </c>
      <c r="T582" s="5" t="s">
        <v>5</v>
      </c>
      <c r="U582" s="8" t="s">
        <v>5</v>
      </c>
      <c r="V582" s="6" t="s">
        <v>5</v>
      </c>
      <c r="W582" s="8" t="s">
        <v>5</v>
      </c>
      <c r="X582" s="22">
        <v>0.25</v>
      </c>
      <c r="Y582" s="6" t="s">
        <v>5</v>
      </c>
      <c r="Z582" s="6" t="s">
        <v>5</v>
      </c>
      <c r="AA582" s="6" t="s">
        <v>5</v>
      </c>
      <c r="AB582" s="8" t="s">
        <v>5</v>
      </c>
      <c r="AC582" s="8" t="s">
        <v>5</v>
      </c>
      <c r="AD582" s="6" t="s">
        <v>5</v>
      </c>
      <c r="AE582" s="7">
        <v>1.08</v>
      </c>
      <c r="AF582" s="6" t="s">
        <v>5</v>
      </c>
      <c r="AG582" s="6" t="s">
        <v>5</v>
      </c>
      <c r="AH582" s="22">
        <v>0.24099999999999999</v>
      </c>
      <c r="AI582" s="6" t="s">
        <v>5</v>
      </c>
      <c r="AJ582" s="4">
        <v>16</v>
      </c>
      <c r="AK582" s="6" t="s">
        <v>5</v>
      </c>
      <c r="AL582" s="6" t="s">
        <v>5</v>
      </c>
      <c r="AM582" s="6" t="s">
        <v>5</v>
      </c>
      <c r="AN582" s="6" t="s">
        <v>5</v>
      </c>
      <c r="AO582" s="7">
        <v>6</v>
      </c>
      <c r="AP582" s="7">
        <v>3.64</v>
      </c>
      <c r="AQ582" s="7">
        <v>2.06</v>
      </c>
      <c r="AR582" s="7">
        <v>1.25</v>
      </c>
      <c r="AS582" s="6">
        <v>10.5</v>
      </c>
      <c r="AT582" s="6">
        <v>4.17</v>
      </c>
      <c r="AU582" s="6">
        <v>2.62</v>
      </c>
      <c r="AV582" s="7">
        <v>1.65</v>
      </c>
      <c r="AW582" s="6" t="s">
        <v>5</v>
      </c>
      <c r="AX582" s="6" t="s">
        <v>5</v>
      </c>
      <c r="AY582" s="6" t="s">
        <v>5</v>
      </c>
      <c r="AZ582" s="6" t="s">
        <v>5</v>
      </c>
      <c r="BA582" s="6" t="s">
        <v>5</v>
      </c>
      <c r="BB582" s="6" t="s">
        <v>5</v>
      </c>
      <c r="BC582" s="6" t="s">
        <v>5</v>
      </c>
      <c r="BD582" s="6" t="s">
        <v>5</v>
      </c>
      <c r="BE582" s="6" t="s">
        <v>5</v>
      </c>
      <c r="BF582" s="6" t="s">
        <v>5</v>
      </c>
      <c r="BG582" s="6" t="s">
        <v>5</v>
      </c>
      <c r="BH582" s="6" t="s">
        <v>5</v>
      </c>
      <c r="BI582" s="7">
        <v>2.2799999999999998</v>
      </c>
      <c r="BJ582" s="22">
        <v>0.82399999999999995</v>
      </c>
      <c r="BK582" s="6" t="s">
        <v>5</v>
      </c>
      <c r="BL582" s="2" t="s">
        <v>5</v>
      </c>
      <c r="BM582" s="2" t="s">
        <v>5</v>
      </c>
      <c r="BN582" s="2" t="s">
        <v>5</v>
      </c>
      <c r="BO582" s="2" t="s">
        <v>5</v>
      </c>
      <c r="BP582" s="2" t="s">
        <v>5</v>
      </c>
      <c r="BQ582" s="2" t="s">
        <v>5</v>
      </c>
      <c r="BR582" s="2" t="s">
        <v>5</v>
      </c>
      <c r="BS582" s="2" t="s">
        <v>5</v>
      </c>
      <c r="BT582" s="2" t="s">
        <v>5</v>
      </c>
      <c r="BU582" s="2" t="s">
        <v>5</v>
      </c>
      <c r="BV582" s="2" t="s">
        <v>5</v>
      </c>
      <c r="BW582" s="2" t="s">
        <v>5</v>
      </c>
      <c r="BX582" s="2" t="s">
        <v>5</v>
      </c>
      <c r="BY582" s="25" t="s">
        <v>5</v>
      </c>
      <c r="BZ582" s="25" t="s">
        <v>5</v>
      </c>
      <c r="CA582" s="6" t="s">
        <v>5</v>
      </c>
      <c r="CB582" s="6" t="s">
        <v>5</v>
      </c>
      <c r="CC582" s="6" t="s">
        <v>5</v>
      </c>
      <c r="CD582" s="6" t="s">
        <v>5</v>
      </c>
      <c r="CE582" s="6" t="s">
        <v>5</v>
      </c>
      <c r="CF582" s="16" t="s">
        <v>5</v>
      </c>
      <c r="CG582" s="16" t="s">
        <v>5</v>
      </c>
      <c r="CH582" s="18" t="s">
        <v>5</v>
      </c>
    </row>
    <row r="583" spans="2:86">
      <c r="B583" s="78" t="s">
        <v>473</v>
      </c>
      <c r="C583" s="79" t="s">
        <v>683</v>
      </c>
      <c r="D583" s="80" t="s">
        <v>683</v>
      </c>
      <c r="E583" s="1" t="s">
        <v>4</v>
      </c>
      <c r="F583" s="4">
        <v>13.2</v>
      </c>
      <c r="G583" s="7">
        <v>3.86</v>
      </c>
      <c r="H583" s="3" t="str">
        <f t="shared" si="28"/>
        <v>2L4X4X1/4X3/8</v>
      </c>
      <c r="I583" s="7">
        <v>4</v>
      </c>
      <c r="J583" s="5" t="s">
        <v>5</v>
      </c>
      <c r="K583" s="6" t="s">
        <v>5</v>
      </c>
      <c r="L583" s="6" t="s">
        <v>5</v>
      </c>
      <c r="M583" s="6" t="s">
        <v>5</v>
      </c>
      <c r="N583" s="6" t="s">
        <v>5</v>
      </c>
      <c r="O583" s="5" t="s">
        <v>5</v>
      </c>
      <c r="P583" s="5" t="s">
        <v>5</v>
      </c>
      <c r="Q583" s="7">
        <v>4</v>
      </c>
      <c r="R583" s="6" t="s">
        <v>5</v>
      </c>
      <c r="S583" s="6" t="s">
        <v>5</v>
      </c>
      <c r="T583" s="5" t="s">
        <v>5</v>
      </c>
      <c r="U583" s="8" t="s">
        <v>5</v>
      </c>
      <c r="V583" s="6" t="s">
        <v>5</v>
      </c>
      <c r="W583" s="8" t="s">
        <v>5</v>
      </c>
      <c r="X583" s="22">
        <v>0.25</v>
      </c>
      <c r="Y583" s="6" t="s">
        <v>5</v>
      </c>
      <c r="Z583" s="6" t="s">
        <v>5</v>
      </c>
      <c r="AA583" s="6" t="s">
        <v>5</v>
      </c>
      <c r="AB583" s="8" t="s">
        <v>5</v>
      </c>
      <c r="AC583" s="8" t="s">
        <v>5</v>
      </c>
      <c r="AD583" s="6" t="s">
        <v>5</v>
      </c>
      <c r="AE583" s="7">
        <v>1.08</v>
      </c>
      <c r="AF583" s="6" t="s">
        <v>5</v>
      </c>
      <c r="AG583" s="6" t="s">
        <v>5</v>
      </c>
      <c r="AH583" s="22">
        <v>0.24099999999999999</v>
      </c>
      <c r="AI583" s="6" t="s">
        <v>5</v>
      </c>
      <c r="AJ583" s="4">
        <v>16</v>
      </c>
      <c r="AK583" s="6" t="s">
        <v>5</v>
      </c>
      <c r="AL583" s="6" t="s">
        <v>5</v>
      </c>
      <c r="AM583" s="6" t="s">
        <v>5</v>
      </c>
      <c r="AN583" s="6" t="s">
        <v>5</v>
      </c>
      <c r="AO583" s="7">
        <v>6</v>
      </c>
      <c r="AP583" s="7">
        <v>3.64</v>
      </c>
      <c r="AQ583" s="7">
        <v>2.06</v>
      </c>
      <c r="AR583" s="7">
        <v>1.25</v>
      </c>
      <c r="AS583" s="6">
        <v>12.2</v>
      </c>
      <c r="AT583" s="6">
        <v>4.8899999999999997</v>
      </c>
      <c r="AU583" s="6">
        <v>2.91</v>
      </c>
      <c r="AV583" s="7">
        <v>1.78</v>
      </c>
      <c r="AW583" s="6" t="s">
        <v>5</v>
      </c>
      <c r="AX583" s="6" t="s">
        <v>5</v>
      </c>
      <c r="AY583" s="6" t="s">
        <v>5</v>
      </c>
      <c r="AZ583" s="6" t="s">
        <v>5</v>
      </c>
      <c r="BA583" s="6" t="s">
        <v>5</v>
      </c>
      <c r="BB583" s="6" t="s">
        <v>5</v>
      </c>
      <c r="BC583" s="6" t="s">
        <v>5</v>
      </c>
      <c r="BD583" s="6" t="s">
        <v>5</v>
      </c>
      <c r="BE583" s="6" t="s">
        <v>5</v>
      </c>
      <c r="BF583" s="6" t="s">
        <v>5</v>
      </c>
      <c r="BG583" s="6" t="s">
        <v>5</v>
      </c>
      <c r="BH583" s="6" t="s">
        <v>5</v>
      </c>
      <c r="BI583" s="7">
        <v>2.37</v>
      </c>
      <c r="BJ583" s="22">
        <v>0.83799999999999997</v>
      </c>
      <c r="BK583" s="6" t="s">
        <v>5</v>
      </c>
      <c r="BL583" s="2" t="s">
        <v>5</v>
      </c>
      <c r="BM583" s="2" t="s">
        <v>5</v>
      </c>
      <c r="BN583" s="2" t="s">
        <v>5</v>
      </c>
      <c r="BO583" s="2" t="s">
        <v>5</v>
      </c>
      <c r="BP583" s="2" t="s">
        <v>5</v>
      </c>
      <c r="BQ583" s="2" t="s">
        <v>5</v>
      </c>
      <c r="BR583" s="2" t="s">
        <v>5</v>
      </c>
      <c r="BS583" s="2" t="s">
        <v>5</v>
      </c>
      <c r="BT583" s="2" t="s">
        <v>5</v>
      </c>
      <c r="BU583" s="2" t="s">
        <v>5</v>
      </c>
      <c r="BV583" s="2" t="s">
        <v>5</v>
      </c>
      <c r="BW583" s="2" t="s">
        <v>5</v>
      </c>
      <c r="BX583" s="2" t="s">
        <v>5</v>
      </c>
      <c r="BY583" s="25" t="s">
        <v>5</v>
      </c>
      <c r="BZ583" s="25" t="s">
        <v>5</v>
      </c>
      <c r="CA583" s="6" t="s">
        <v>5</v>
      </c>
      <c r="CB583" s="6" t="s">
        <v>5</v>
      </c>
      <c r="CC583" s="6" t="s">
        <v>5</v>
      </c>
      <c r="CD583" s="6" t="s">
        <v>5</v>
      </c>
      <c r="CE583" s="6" t="s">
        <v>5</v>
      </c>
      <c r="CF583" s="16" t="s">
        <v>5</v>
      </c>
      <c r="CG583" s="16" t="s">
        <v>5</v>
      </c>
      <c r="CH583" s="18" t="s">
        <v>5</v>
      </c>
    </row>
    <row r="584" spans="2:86">
      <c r="B584" s="78" t="s">
        <v>473</v>
      </c>
      <c r="C584" s="79" t="s">
        <v>684</v>
      </c>
      <c r="D584" s="80" t="s">
        <v>684</v>
      </c>
      <c r="E584" s="1" t="s">
        <v>4</v>
      </c>
      <c r="F584" s="4">
        <v>13.2</v>
      </c>
      <c r="G584" s="7">
        <v>3.86</v>
      </c>
      <c r="H584" s="3" t="str">
        <f t="shared" si="28"/>
        <v>2L4X4X1/4X3/4</v>
      </c>
      <c r="I584" s="7">
        <v>4</v>
      </c>
      <c r="J584" s="5" t="s">
        <v>5</v>
      </c>
      <c r="K584" s="6" t="s">
        <v>5</v>
      </c>
      <c r="L584" s="6" t="s">
        <v>5</v>
      </c>
      <c r="M584" s="6" t="s">
        <v>5</v>
      </c>
      <c r="N584" s="6" t="s">
        <v>5</v>
      </c>
      <c r="O584" s="5" t="s">
        <v>5</v>
      </c>
      <c r="P584" s="5" t="s">
        <v>5</v>
      </c>
      <c r="Q584" s="7">
        <v>4</v>
      </c>
      <c r="R584" s="6" t="s">
        <v>5</v>
      </c>
      <c r="S584" s="6" t="s">
        <v>5</v>
      </c>
      <c r="T584" s="5" t="s">
        <v>5</v>
      </c>
      <c r="U584" s="8" t="s">
        <v>5</v>
      </c>
      <c r="V584" s="6" t="s">
        <v>5</v>
      </c>
      <c r="W584" s="8" t="s">
        <v>5</v>
      </c>
      <c r="X584" s="22">
        <v>0.25</v>
      </c>
      <c r="Y584" s="6" t="s">
        <v>5</v>
      </c>
      <c r="Z584" s="6" t="s">
        <v>5</v>
      </c>
      <c r="AA584" s="6" t="s">
        <v>5</v>
      </c>
      <c r="AB584" s="8" t="s">
        <v>5</v>
      </c>
      <c r="AC584" s="8" t="s">
        <v>5</v>
      </c>
      <c r="AD584" s="6" t="s">
        <v>5</v>
      </c>
      <c r="AE584" s="7">
        <v>1.08</v>
      </c>
      <c r="AF584" s="6" t="s">
        <v>5</v>
      </c>
      <c r="AG584" s="6" t="s">
        <v>5</v>
      </c>
      <c r="AH584" s="22">
        <v>0.24099999999999999</v>
      </c>
      <c r="AI584" s="6" t="s">
        <v>5</v>
      </c>
      <c r="AJ584" s="4">
        <v>16</v>
      </c>
      <c r="AK584" s="6" t="s">
        <v>5</v>
      </c>
      <c r="AL584" s="6" t="s">
        <v>5</v>
      </c>
      <c r="AM584" s="6" t="s">
        <v>5</v>
      </c>
      <c r="AN584" s="6" t="s">
        <v>5</v>
      </c>
      <c r="AO584" s="7">
        <v>6</v>
      </c>
      <c r="AP584" s="7">
        <v>3.64</v>
      </c>
      <c r="AQ584" s="7">
        <v>2.06</v>
      </c>
      <c r="AR584" s="7">
        <v>1.25</v>
      </c>
      <c r="AS584" s="6">
        <v>14.1</v>
      </c>
      <c r="AT584" s="6">
        <v>5.62</v>
      </c>
      <c r="AU584" s="6">
        <v>3.22</v>
      </c>
      <c r="AV584" s="7">
        <v>1.91</v>
      </c>
      <c r="AW584" s="6" t="s">
        <v>5</v>
      </c>
      <c r="AX584" s="6" t="s">
        <v>5</v>
      </c>
      <c r="AY584" s="6" t="s">
        <v>5</v>
      </c>
      <c r="AZ584" s="6" t="s">
        <v>5</v>
      </c>
      <c r="BA584" s="6" t="s">
        <v>5</v>
      </c>
      <c r="BB584" s="6" t="s">
        <v>5</v>
      </c>
      <c r="BC584" s="6" t="s">
        <v>5</v>
      </c>
      <c r="BD584" s="6" t="s">
        <v>5</v>
      </c>
      <c r="BE584" s="6" t="s">
        <v>5</v>
      </c>
      <c r="BF584" s="6" t="s">
        <v>5</v>
      </c>
      <c r="BG584" s="6" t="s">
        <v>5</v>
      </c>
      <c r="BH584" s="6" t="s">
        <v>5</v>
      </c>
      <c r="BI584" s="7">
        <v>2.48</v>
      </c>
      <c r="BJ584" s="22">
        <v>0.85099999999999998</v>
      </c>
      <c r="BK584" s="6" t="s">
        <v>5</v>
      </c>
      <c r="BL584" s="2" t="s">
        <v>5</v>
      </c>
      <c r="BM584" s="2" t="s">
        <v>5</v>
      </c>
      <c r="BN584" s="2" t="s">
        <v>5</v>
      </c>
      <c r="BO584" s="2" t="s">
        <v>5</v>
      </c>
      <c r="BP584" s="2" t="s">
        <v>5</v>
      </c>
      <c r="BQ584" s="2" t="s">
        <v>5</v>
      </c>
      <c r="BR584" s="2" t="s">
        <v>5</v>
      </c>
      <c r="BS584" s="2" t="s">
        <v>5</v>
      </c>
      <c r="BT584" s="2" t="s">
        <v>5</v>
      </c>
      <c r="BU584" s="2" t="s">
        <v>5</v>
      </c>
      <c r="BV584" s="2" t="s">
        <v>5</v>
      </c>
      <c r="BW584" s="2" t="s">
        <v>5</v>
      </c>
      <c r="BX584" s="2" t="s">
        <v>5</v>
      </c>
      <c r="BY584" s="25" t="s">
        <v>5</v>
      </c>
      <c r="BZ584" s="25" t="s">
        <v>5</v>
      </c>
      <c r="CA584" s="6" t="s">
        <v>5</v>
      </c>
      <c r="CB584" s="6" t="s">
        <v>5</v>
      </c>
      <c r="CC584" s="6" t="s">
        <v>5</v>
      </c>
      <c r="CD584" s="6" t="s">
        <v>5</v>
      </c>
      <c r="CE584" s="6" t="s">
        <v>5</v>
      </c>
      <c r="CF584" s="16" t="s">
        <v>5</v>
      </c>
      <c r="CG584" s="16" t="s">
        <v>5</v>
      </c>
      <c r="CH584" s="18" t="s">
        <v>5</v>
      </c>
    </row>
    <row r="585" spans="2:86">
      <c r="B585" s="78" t="s">
        <v>473</v>
      </c>
      <c r="C585" s="79" t="s">
        <v>685</v>
      </c>
      <c r="D585" s="80" t="s">
        <v>685</v>
      </c>
      <c r="E585" s="1" t="s">
        <v>4</v>
      </c>
      <c r="F585" s="4">
        <v>22.2</v>
      </c>
      <c r="G585" s="7">
        <v>6.5</v>
      </c>
      <c r="H585" s="3" t="str">
        <f t="shared" si="28"/>
        <v>2L3-1/2X3-1/2X1/2</v>
      </c>
      <c r="I585" s="7">
        <v>3.5</v>
      </c>
      <c r="J585" s="5" t="s">
        <v>5</v>
      </c>
      <c r="K585" s="6" t="s">
        <v>5</v>
      </c>
      <c r="L585" s="6" t="s">
        <v>5</v>
      </c>
      <c r="M585" s="6" t="s">
        <v>5</v>
      </c>
      <c r="N585" s="6" t="s">
        <v>5</v>
      </c>
      <c r="O585" s="5" t="s">
        <v>5</v>
      </c>
      <c r="P585" s="5" t="s">
        <v>5</v>
      </c>
      <c r="Q585" s="7">
        <v>3.5</v>
      </c>
      <c r="R585" s="6" t="s">
        <v>5</v>
      </c>
      <c r="S585" s="6" t="s">
        <v>5</v>
      </c>
      <c r="T585" s="5" t="s">
        <v>5</v>
      </c>
      <c r="U585" s="8" t="s">
        <v>5</v>
      </c>
      <c r="V585" s="6" t="s">
        <v>5</v>
      </c>
      <c r="W585" s="8" t="s">
        <v>5</v>
      </c>
      <c r="X585" s="22">
        <v>0.5</v>
      </c>
      <c r="Y585" s="6" t="s">
        <v>5</v>
      </c>
      <c r="Z585" s="6" t="s">
        <v>5</v>
      </c>
      <c r="AA585" s="6" t="s">
        <v>5</v>
      </c>
      <c r="AB585" s="8" t="s">
        <v>5</v>
      </c>
      <c r="AC585" s="8" t="s">
        <v>5</v>
      </c>
      <c r="AD585" s="6" t="s">
        <v>5</v>
      </c>
      <c r="AE585" s="7">
        <v>1.05</v>
      </c>
      <c r="AF585" s="6" t="s">
        <v>5</v>
      </c>
      <c r="AG585" s="6" t="s">
        <v>5</v>
      </c>
      <c r="AH585" s="22">
        <v>0.46400000000000002</v>
      </c>
      <c r="AI585" s="6" t="s">
        <v>5</v>
      </c>
      <c r="AJ585" s="7">
        <v>7</v>
      </c>
      <c r="AK585" s="6" t="s">
        <v>5</v>
      </c>
      <c r="AL585" s="6" t="s">
        <v>5</v>
      </c>
      <c r="AM585" s="6" t="s">
        <v>5</v>
      </c>
      <c r="AN585" s="6" t="s">
        <v>5</v>
      </c>
      <c r="AO585" s="7">
        <v>7.26</v>
      </c>
      <c r="AP585" s="7">
        <v>5.32</v>
      </c>
      <c r="AQ585" s="7">
        <v>2.96</v>
      </c>
      <c r="AR585" s="7">
        <v>1.05</v>
      </c>
      <c r="AS585" s="6">
        <v>14.4</v>
      </c>
      <c r="AT585" s="6">
        <v>6.82</v>
      </c>
      <c r="AU585" s="6">
        <v>4.1100000000000003</v>
      </c>
      <c r="AV585" s="7">
        <v>1.49</v>
      </c>
      <c r="AW585" s="6" t="s">
        <v>5</v>
      </c>
      <c r="AX585" s="6" t="s">
        <v>5</v>
      </c>
      <c r="AY585" s="6" t="s">
        <v>5</v>
      </c>
      <c r="AZ585" s="6" t="s">
        <v>5</v>
      </c>
      <c r="BA585" s="6" t="s">
        <v>5</v>
      </c>
      <c r="BB585" s="6" t="s">
        <v>5</v>
      </c>
      <c r="BC585" s="6" t="s">
        <v>5</v>
      </c>
      <c r="BD585" s="6" t="s">
        <v>5</v>
      </c>
      <c r="BE585" s="6" t="s">
        <v>5</v>
      </c>
      <c r="BF585" s="6" t="s">
        <v>5</v>
      </c>
      <c r="BG585" s="6" t="s">
        <v>5</v>
      </c>
      <c r="BH585" s="6" t="s">
        <v>5</v>
      </c>
      <c r="BI585" s="7">
        <v>1.99</v>
      </c>
      <c r="BJ585" s="22">
        <v>0.83799999999999997</v>
      </c>
      <c r="BK585" s="6" t="s">
        <v>5</v>
      </c>
      <c r="BL585" s="2" t="s">
        <v>5</v>
      </c>
      <c r="BM585" s="2" t="s">
        <v>5</v>
      </c>
      <c r="BN585" s="2" t="s">
        <v>5</v>
      </c>
      <c r="BO585" s="2" t="s">
        <v>5</v>
      </c>
      <c r="BP585" s="2" t="s">
        <v>5</v>
      </c>
      <c r="BQ585" s="2" t="s">
        <v>5</v>
      </c>
      <c r="BR585" s="2" t="s">
        <v>5</v>
      </c>
      <c r="BS585" s="2" t="s">
        <v>5</v>
      </c>
      <c r="BT585" s="2" t="s">
        <v>5</v>
      </c>
      <c r="BU585" s="2" t="s">
        <v>5</v>
      </c>
      <c r="BV585" s="2" t="s">
        <v>5</v>
      </c>
      <c r="BW585" s="2" t="s">
        <v>5</v>
      </c>
      <c r="BX585" s="2" t="s">
        <v>5</v>
      </c>
      <c r="BY585" s="25" t="s">
        <v>5</v>
      </c>
      <c r="BZ585" s="25" t="s">
        <v>5</v>
      </c>
      <c r="CA585" s="6" t="s">
        <v>5</v>
      </c>
      <c r="CB585" s="6" t="s">
        <v>5</v>
      </c>
      <c r="CC585" s="6" t="s">
        <v>5</v>
      </c>
      <c r="CD585" s="6" t="s">
        <v>5</v>
      </c>
      <c r="CE585" s="6" t="s">
        <v>5</v>
      </c>
      <c r="CF585" s="16" t="s">
        <v>5</v>
      </c>
      <c r="CG585" s="16" t="s">
        <v>5</v>
      </c>
      <c r="CH585" s="18" t="s">
        <v>5</v>
      </c>
    </row>
    <row r="586" spans="2:86">
      <c r="B586" s="78" t="s">
        <v>473</v>
      </c>
      <c r="C586" s="79" t="s">
        <v>686</v>
      </c>
      <c r="D586" s="80" t="s">
        <v>686</v>
      </c>
      <c r="E586" s="1" t="s">
        <v>4</v>
      </c>
      <c r="F586" s="4">
        <v>22.2</v>
      </c>
      <c r="G586" s="7">
        <v>6.5</v>
      </c>
      <c r="H586" s="3" t="str">
        <f t="shared" si="28"/>
        <v>2L3-1/2X3-1/2X1/2X3/8</v>
      </c>
      <c r="I586" s="7">
        <v>3.5</v>
      </c>
      <c r="J586" s="5" t="s">
        <v>5</v>
      </c>
      <c r="K586" s="6" t="s">
        <v>5</v>
      </c>
      <c r="L586" s="6" t="s">
        <v>5</v>
      </c>
      <c r="M586" s="6" t="s">
        <v>5</v>
      </c>
      <c r="N586" s="6" t="s">
        <v>5</v>
      </c>
      <c r="O586" s="5" t="s">
        <v>5</v>
      </c>
      <c r="P586" s="5" t="s">
        <v>5</v>
      </c>
      <c r="Q586" s="7">
        <v>3.5</v>
      </c>
      <c r="R586" s="6" t="s">
        <v>5</v>
      </c>
      <c r="S586" s="6" t="s">
        <v>5</v>
      </c>
      <c r="T586" s="5" t="s">
        <v>5</v>
      </c>
      <c r="U586" s="8" t="s">
        <v>5</v>
      </c>
      <c r="V586" s="6" t="s">
        <v>5</v>
      </c>
      <c r="W586" s="8" t="s">
        <v>5</v>
      </c>
      <c r="X586" s="22">
        <v>0.5</v>
      </c>
      <c r="Y586" s="6" t="s">
        <v>5</v>
      </c>
      <c r="Z586" s="6" t="s">
        <v>5</v>
      </c>
      <c r="AA586" s="6" t="s">
        <v>5</v>
      </c>
      <c r="AB586" s="8" t="s">
        <v>5</v>
      </c>
      <c r="AC586" s="8" t="s">
        <v>5</v>
      </c>
      <c r="AD586" s="6" t="s">
        <v>5</v>
      </c>
      <c r="AE586" s="7">
        <v>1.05</v>
      </c>
      <c r="AF586" s="6" t="s">
        <v>5</v>
      </c>
      <c r="AG586" s="6" t="s">
        <v>5</v>
      </c>
      <c r="AH586" s="22">
        <v>0.46400000000000002</v>
      </c>
      <c r="AI586" s="6" t="s">
        <v>5</v>
      </c>
      <c r="AJ586" s="7">
        <v>7</v>
      </c>
      <c r="AK586" s="6" t="s">
        <v>5</v>
      </c>
      <c r="AL586" s="6" t="s">
        <v>5</v>
      </c>
      <c r="AM586" s="6" t="s">
        <v>5</v>
      </c>
      <c r="AN586" s="6" t="s">
        <v>5</v>
      </c>
      <c r="AO586" s="7">
        <v>7.26</v>
      </c>
      <c r="AP586" s="7">
        <v>5.32</v>
      </c>
      <c r="AQ586" s="7">
        <v>2.96</v>
      </c>
      <c r="AR586" s="7">
        <v>1.05</v>
      </c>
      <c r="AS586" s="6">
        <v>17.3</v>
      </c>
      <c r="AT586" s="6">
        <v>8.0399999999999991</v>
      </c>
      <c r="AU586" s="6">
        <v>4.6900000000000004</v>
      </c>
      <c r="AV586" s="7">
        <v>1.63</v>
      </c>
      <c r="AW586" s="6" t="s">
        <v>5</v>
      </c>
      <c r="AX586" s="6" t="s">
        <v>5</v>
      </c>
      <c r="AY586" s="6" t="s">
        <v>5</v>
      </c>
      <c r="AZ586" s="6" t="s">
        <v>5</v>
      </c>
      <c r="BA586" s="6" t="s">
        <v>5</v>
      </c>
      <c r="BB586" s="6" t="s">
        <v>5</v>
      </c>
      <c r="BC586" s="6" t="s">
        <v>5</v>
      </c>
      <c r="BD586" s="6" t="s">
        <v>5</v>
      </c>
      <c r="BE586" s="6" t="s">
        <v>5</v>
      </c>
      <c r="BF586" s="6" t="s">
        <v>5</v>
      </c>
      <c r="BG586" s="6" t="s">
        <v>5</v>
      </c>
      <c r="BH586" s="6" t="s">
        <v>5</v>
      </c>
      <c r="BI586" s="7">
        <v>2.1</v>
      </c>
      <c r="BJ586" s="22">
        <v>0.85399999999999998</v>
      </c>
      <c r="BK586" s="6" t="s">
        <v>5</v>
      </c>
      <c r="BL586" s="2" t="s">
        <v>5</v>
      </c>
      <c r="BM586" s="2" t="s">
        <v>5</v>
      </c>
      <c r="BN586" s="2" t="s">
        <v>5</v>
      </c>
      <c r="BO586" s="2" t="s">
        <v>5</v>
      </c>
      <c r="BP586" s="2" t="s">
        <v>5</v>
      </c>
      <c r="BQ586" s="2" t="s">
        <v>5</v>
      </c>
      <c r="BR586" s="2" t="s">
        <v>5</v>
      </c>
      <c r="BS586" s="2" t="s">
        <v>5</v>
      </c>
      <c r="BT586" s="2" t="s">
        <v>5</v>
      </c>
      <c r="BU586" s="2" t="s">
        <v>5</v>
      </c>
      <c r="BV586" s="2" t="s">
        <v>5</v>
      </c>
      <c r="BW586" s="2" t="s">
        <v>5</v>
      </c>
      <c r="BX586" s="2" t="s">
        <v>5</v>
      </c>
      <c r="BY586" s="25" t="s">
        <v>5</v>
      </c>
      <c r="BZ586" s="25" t="s">
        <v>5</v>
      </c>
      <c r="CA586" s="6" t="s">
        <v>5</v>
      </c>
      <c r="CB586" s="6" t="s">
        <v>5</v>
      </c>
      <c r="CC586" s="6" t="s">
        <v>5</v>
      </c>
      <c r="CD586" s="6" t="s">
        <v>5</v>
      </c>
      <c r="CE586" s="6" t="s">
        <v>5</v>
      </c>
      <c r="CF586" s="16" t="s">
        <v>5</v>
      </c>
      <c r="CG586" s="16" t="s">
        <v>5</v>
      </c>
      <c r="CH586" s="18" t="s">
        <v>5</v>
      </c>
    </row>
    <row r="587" spans="2:86">
      <c r="B587" s="78" t="s">
        <v>473</v>
      </c>
      <c r="C587" s="79" t="s">
        <v>687</v>
      </c>
      <c r="D587" s="80" t="s">
        <v>687</v>
      </c>
      <c r="E587" s="1" t="s">
        <v>4</v>
      </c>
      <c r="F587" s="4">
        <v>22.2</v>
      </c>
      <c r="G587" s="7">
        <v>6.5</v>
      </c>
      <c r="H587" s="3" t="str">
        <f t="shared" si="28"/>
        <v>2L3-1/2X3-1/2X1/2X3/4</v>
      </c>
      <c r="I587" s="7">
        <v>3.5</v>
      </c>
      <c r="J587" s="5" t="s">
        <v>5</v>
      </c>
      <c r="K587" s="6" t="s">
        <v>5</v>
      </c>
      <c r="L587" s="6" t="s">
        <v>5</v>
      </c>
      <c r="M587" s="6" t="s">
        <v>5</v>
      </c>
      <c r="N587" s="6" t="s">
        <v>5</v>
      </c>
      <c r="O587" s="5" t="s">
        <v>5</v>
      </c>
      <c r="P587" s="5" t="s">
        <v>5</v>
      </c>
      <c r="Q587" s="7">
        <v>3.5</v>
      </c>
      <c r="R587" s="6" t="s">
        <v>5</v>
      </c>
      <c r="S587" s="6" t="s">
        <v>5</v>
      </c>
      <c r="T587" s="5" t="s">
        <v>5</v>
      </c>
      <c r="U587" s="8" t="s">
        <v>5</v>
      </c>
      <c r="V587" s="6" t="s">
        <v>5</v>
      </c>
      <c r="W587" s="8" t="s">
        <v>5</v>
      </c>
      <c r="X587" s="22">
        <v>0.5</v>
      </c>
      <c r="Y587" s="6" t="s">
        <v>5</v>
      </c>
      <c r="Z587" s="6" t="s">
        <v>5</v>
      </c>
      <c r="AA587" s="6" t="s">
        <v>5</v>
      </c>
      <c r="AB587" s="8" t="s">
        <v>5</v>
      </c>
      <c r="AC587" s="8" t="s">
        <v>5</v>
      </c>
      <c r="AD587" s="6" t="s">
        <v>5</v>
      </c>
      <c r="AE587" s="7">
        <v>1.05</v>
      </c>
      <c r="AF587" s="6" t="s">
        <v>5</v>
      </c>
      <c r="AG587" s="6" t="s">
        <v>5</v>
      </c>
      <c r="AH587" s="22">
        <v>0.46400000000000002</v>
      </c>
      <c r="AI587" s="6" t="s">
        <v>5</v>
      </c>
      <c r="AJ587" s="7">
        <v>7</v>
      </c>
      <c r="AK587" s="6" t="s">
        <v>5</v>
      </c>
      <c r="AL587" s="6" t="s">
        <v>5</v>
      </c>
      <c r="AM587" s="6" t="s">
        <v>5</v>
      </c>
      <c r="AN587" s="6" t="s">
        <v>5</v>
      </c>
      <c r="AO587" s="7">
        <v>7.26</v>
      </c>
      <c r="AP587" s="7">
        <v>5.32</v>
      </c>
      <c r="AQ587" s="7">
        <v>2.96</v>
      </c>
      <c r="AR587" s="7">
        <v>1.05</v>
      </c>
      <c r="AS587" s="6">
        <v>20.399999999999999</v>
      </c>
      <c r="AT587" s="6">
        <v>9.26</v>
      </c>
      <c r="AU587" s="6">
        <v>5.26</v>
      </c>
      <c r="AV587" s="7">
        <v>1.77</v>
      </c>
      <c r="AW587" s="6" t="s">
        <v>5</v>
      </c>
      <c r="AX587" s="6" t="s">
        <v>5</v>
      </c>
      <c r="AY587" s="6" t="s">
        <v>5</v>
      </c>
      <c r="AZ587" s="6" t="s">
        <v>5</v>
      </c>
      <c r="BA587" s="6" t="s">
        <v>5</v>
      </c>
      <c r="BB587" s="6" t="s">
        <v>5</v>
      </c>
      <c r="BC587" s="6" t="s">
        <v>5</v>
      </c>
      <c r="BD587" s="6" t="s">
        <v>5</v>
      </c>
      <c r="BE587" s="6" t="s">
        <v>5</v>
      </c>
      <c r="BF587" s="6" t="s">
        <v>5</v>
      </c>
      <c r="BG587" s="6" t="s">
        <v>5</v>
      </c>
      <c r="BH587" s="6" t="s">
        <v>5</v>
      </c>
      <c r="BI587" s="7">
        <v>2.21</v>
      </c>
      <c r="BJ587" s="22">
        <v>0.86899999999999999</v>
      </c>
      <c r="BK587" s="6" t="s">
        <v>5</v>
      </c>
      <c r="BL587" s="2" t="s">
        <v>5</v>
      </c>
      <c r="BM587" s="2" t="s">
        <v>5</v>
      </c>
      <c r="BN587" s="2" t="s">
        <v>5</v>
      </c>
      <c r="BO587" s="2" t="s">
        <v>5</v>
      </c>
      <c r="BP587" s="2" t="s">
        <v>5</v>
      </c>
      <c r="BQ587" s="2" t="s">
        <v>5</v>
      </c>
      <c r="BR587" s="2" t="s">
        <v>5</v>
      </c>
      <c r="BS587" s="2" t="s">
        <v>5</v>
      </c>
      <c r="BT587" s="2" t="s">
        <v>5</v>
      </c>
      <c r="BU587" s="2" t="s">
        <v>5</v>
      </c>
      <c r="BV587" s="2" t="s">
        <v>5</v>
      </c>
      <c r="BW587" s="2" t="s">
        <v>5</v>
      </c>
      <c r="BX587" s="2" t="s">
        <v>5</v>
      </c>
      <c r="BY587" s="25" t="s">
        <v>5</v>
      </c>
      <c r="BZ587" s="25" t="s">
        <v>5</v>
      </c>
      <c r="CA587" s="6" t="s">
        <v>5</v>
      </c>
      <c r="CB587" s="6" t="s">
        <v>5</v>
      </c>
      <c r="CC587" s="6" t="s">
        <v>5</v>
      </c>
      <c r="CD587" s="6" t="s">
        <v>5</v>
      </c>
      <c r="CE587" s="6" t="s">
        <v>5</v>
      </c>
      <c r="CF587" s="16" t="s">
        <v>5</v>
      </c>
      <c r="CG587" s="16" t="s">
        <v>5</v>
      </c>
      <c r="CH587" s="18" t="s">
        <v>5</v>
      </c>
    </row>
    <row r="588" spans="2:86">
      <c r="B588" s="78" t="s">
        <v>473</v>
      </c>
      <c r="C588" s="79" t="s">
        <v>688</v>
      </c>
      <c r="D588" s="80" t="s">
        <v>688</v>
      </c>
      <c r="E588" s="1" t="s">
        <v>4</v>
      </c>
      <c r="F588" s="4">
        <v>19.600000000000001</v>
      </c>
      <c r="G588" s="7">
        <v>5.78</v>
      </c>
      <c r="H588" s="3" t="str">
        <f t="shared" si="28"/>
        <v>2L3-1/2X3-1/2X7/16</v>
      </c>
      <c r="I588" s="7">
        <v>3.5</v>
      </c>
      <c r="J588" s="5" t="s">
        <v>5</v>
      </c>
      <c r="K588" s="6" t="s">
        <v>5</v>
      </c>
      <c r="L588" s="6" t="s">
        <v>5</v>
      </c>
      <c r="M588" s="6" t="s">
        <v>5</v>
      </c>
      <c r="N588" s="6" t="s">
        <v>5</v>
      </c>
      <c r="O588" s="5" t="s">
        <v>5</v>
      </c>
      <c r="P588" s="5" t="s">
        <v>5</v>
      </c>
      <c r="Q588" s="7">
        <v>3.5</v>
      </c>
      <c r="R588" s="6" t="s">
        <v>5</v>
      </c>
      <c r="S588" s="6" t="s">
        <v>5</v>
      </c>
      <c r="T588" s="5" t="s">
        <v>5</v>
      </c>
      <c r="U588" s="8" t="s">
        <v>5</v>
      </c>
      <c r="V588" s="6" t="s">
        <v>5</v>
      </c>
      <c r="W588" s="8" t="s">
        <v>5</v>
      </c>
      <c r="X588" s="22">
        <v>0.438</v>
      </c>
      <c r="Y588" s="6" t="s">
        <v>5</v>
      </c>
      <c r="Z588" s="6" t="s">
        <v>5</v>
      </c>
      <c r="AA588" s="6" t="s">
        <v>5</v>
      </c>
      <c r="AB588" s="8" t="s">
        <v>5</v>
      </c>
      <c r="AC588" s="8" t="s">
        <v>5</v>
      </c>
      <c r="AD588" s="6" t="s">
        <v>5</v>
      </c>
      <c r="AE588" s="7">
        <v>1.03</v>
      </c>
      <c r="AF588" s="6" t="s">
        <v>5</v>
      </c>
      <c r="AG588" s="6" t="s">
        <v>5</v>
      </c>
      <c r="AH588" s="22">
        <v>0.41299999999999998</v>
      </c>
      <c r="AI588" s="6" t="s">
        <v>5</v>
      </c>
      <c r="AJ588" s="7">
        <v>7.99</v>
      </c>
      <c r="AK588" s="6" t="s">
        <v>5</v>
      </c>
      <c r="AL588" s="6" t="s">
        <v>5</v>
      </c>
      <c r="AM588" s="6" t="s">
        <v>5</v>
      </c>
      <c r="AN588" s="6" t="s">
        <v>5</v>
      </c>
      <c r="AO588" s="7">
        <v>6.5</v>
      </c>
      <c r="AP588" s="7">
        <v>4.72</v>
      </c>
      <c r="AQ588" s="7">
        <v>2.64</v>
      </c>
      <c r="AR588" s="7">
        <v>1.06</v>
      </c>
      <c r="AS588" s="6">
        <v>12.7</v>
      </c>
      <c r="AT588" s="6">
        <v>5.95</v>
      </c>
      <c r="AU588" s="6">
        <v>3.63</v>
      </c>
      <c r="AV588" s="7">
        <v>1.48</v>
      </c>
      <c r="AW588" s="6" t="s">
        <v>5</v>
      </c>
      <c r="AX588" s="6" t="s">
        <v>5</v>
      </c>
      <c r="AY588" s="6" t="s">
        <v>5</v>
      </c>
      <c r="AZ588" s="6" t="s">
        <v>5</v>
      </c>
      <c r="BA588" s="6" t="s">
        <v>5</v>
      </c>
      <c r="BB588" s="6" t="s">
        <v>5</v>
      </c>
      <c r="BC588" s="6" t="s">
        <v>5</v>
      </c>
      <c r="BD588" s="6" t="s">
        <v>5</v>
      </c>
      <c r="BE588" s="6" t="s">
        <v>5</v>
      </c>
      <c r="BF588" s="6" t="s">
        <v>5</v>
      </c>
      <c r="BG588" s="6" t="s">
        <v>5</v>
      </c>
      <c r="BH588" s="6" t="s">
        <v>5</v>
      </c>
      <c r="BI588" s="7">
        <v>1.99</v>
      </c>
      <c r="BJ588" s="22">
        <v>0.83499999999999996</v>
      </c>
      <c r="BK588" s="6" t="s">
        <v>5</v>
      </c>
      <c r="BL588" s="2" t="s">
        <v>5</v>
      </c>
      <c r="BM588" s="2" t="s">
        <v>5</v>
      </c>
      <c r="BN588" s="2" t="s">
        <v>5</v>
      </c>
      <c r="BO588" s="2" t="s">
        <v>5</v>
      </c>
      <c r="BP588" s="2" t="s">
        <v>5</v>
      </c>
      <c r="BQ588" s="2" t="s">
        <v>5</v>
      </c>
      <c r="BR588" s="2" t="s">
        <v>5</v>
      </c>
      <c r="BS588" s="2" t="s">
        <v>5</v>
      </c>
      <c r="BT588" s="2" t="s">
        <v>5</v>
      </c>
      <c r="BU588" s="2" t="s">
        <v>5</v>
      </c>
      <c r="BV588" s="2" t="s">
        <v>5</v>
      </c>
      <c r="BW588" s="2" t="s">
        <v>5</v>
      </c>
      <c r="BX588" s="2" t="s">
        <v>5</v>
      </c>
      <c r="BY588" s="25" t="s">
        <v>5</v>
      </c>
      <c r="BZ588" s="25" t="s">
        <v>5</v>
      </c>
      <c r="CA588" s="6" t="s">
        <v>5</v>
      </c>
      <c r="CB588" s="6" t="s">
        <v>5</v>
      </c>
      <c r="CC588" s="6" t="s">
        <v>5</v>
      </c>
      <c r="CD588" s="6" t="s">
        <v>5</v>
      </c>
      <c r="CE588" s="6" t="s">
        <v>5</v>
      </c>
      <c r="CF588" s="16" t="s">
        <v>5</v>
      </c>
      <c r="CG588" s="16" t="s">
        <v>5</v>
      </c>
      <c r="CH588" s="18" t="s">
        <v>5</v>
      </c>
    </row>
    <row r="589" spans="2:86">
      <c r="B589" s="78" t="s">
        <v>473</v>
      </c>
      <c r="C589" s="79" t="s">
        <v>689</v>
      </c>
      <c r="D589" s="80" t="s">
        <v>689</v>
      </c>
      <c r="E589" s="1" t="s">
        <v>4</v>
      </c>
      <c r="F589" s="4">
        <v>19.600000000000001</v>
      </c>
      <c r="G589" s="7">
        <v>5.78</v>
      </c>
      <c r="H589" s="3" t="str">
        <f t="shared" si="28"/>
        <v>2L3-1/2X3-1/2X7/16X3/8</v>
      </c>
      <c r="I589" s="7">
        <v>3.5</v>
      </c>
      <c r="J589" s="5" t="s">
        <v>5</v>
      </c>
      <c r="K589" s="6" t="s">
        <v>5</v>
      </c>
      <c r="L589" s="6" t="s">
        <v>5</v>
      </c>
      <c r="M589" s="6" t="s">
        <v>5</v>
      </c>
      <c r="N589" s="6" t="s">
        <v>5</v>
      </c>
      <c r="O589" s="5" t="s">
        <v>5</v>
      </c>
      <c r="P589" s="5" t="s">
        <v>5</v>
      </c>
      <c r="Q589" s="7">
        <v>3.5</v>
      </c>
      <c r="R589" s="6" t="s">
        <v>5</v>
      </c>
      <c r="S589" s="6" t="s">
        <v>5</v>
      </c>
      <c r="T589" s="5" t="s">
        <v>5</v>
      </c>
      <c r="U589" s="8" t="s">
        <v>5</v>
      </c>
      <c r="V589" s="6" t="s">
        <v>5</v>
      </c>
      <c r="W589" s="8" t="s">
        <v>5</v>
      </c>
      <c r="X589" s="22">
        <v>0.438</v>
      </c>
      <c r="Y589" s="6" t="s">
        <v>5</v>
      </c>
      <c r="Z589" s="6" t="s">
        <v>5</v>
      </c>
      <c r="AA589" s="6" t="s">
        <v>5</v>
      </c>
      <c r="AB589" s="8" t="s">
        <v>5</v>
      </c>
      <c r="AC589" s="8" t="s">
        <v>5</v>
      </c>
      <c r="AD589" s="6" t="s">
        <v>5</v>
      </c>
      <c r="AE589" s="7">
        <v>1.03</v>
      </c>
      <c r="AF589" s="6" t="s">
        <v>5</v>
      </c>
      <c r="AG589" s="6" t="s">
        <v>5</v>
      </c>
      <c r="AH589" s="22">
        <v>0.41299999999999998</v>
      </c>
      <c r="AI589" s="6" t="s">
        <v>5</v>
      </c>
      <c r="AJ589" s="7">
        <v>7.99</v>
      </c>
      <c r="AK589" s="6" t="s">
        <v>5</v>
      </c>
      <c r="AL589" s="6" t="s">
        <v>5</v>
      </c>
      <c r="AM589" s="6" t="s">
        <v>5</v>
      </c>
      <c r="AN589" s="6" t="s">
        <v>5</v>
      </c>
      <c r="AO589" s="7">
        <v>6.5</v>
      </c>
      <c r="AP589" s="7">
        <v>4.72</v>
      </c>
      <c r="AQ589" s="7">
        <v>2.64</v>
      </c>
      <c r="AR589" s="7">
        <v>1.06</v>
      </c>
      <c r="AS589" s="4">
        <v>15</v>
      </c>
      <c r="AT589" s="6">
        <v>7.04</v>
      </c>
      <c r="AU589" s="6">
        <v>4.07</v>
      </c>
      <c r="AV589" s="7">
        <v>1.61</v>
      </c>
      <c r="AW589" s="6" t="s">
        <v>5</v>
      </c>
      <c r="AX589" s="6" t="s">
        <v>5</v>
      </c>
      <c r="AY589" s="6" t="s">
        <v>5</v>
      </c>
      <c r="AZ589" s="6" t="s">
        <v>5</v>
      </c>
      <c r="BA589" s="6" t="s">
        <v>5</v>
      </c>
      <c r="BB589" s="6" t="s">
        <v>5</v>
      </c>
      <c r="BC589" s="6" t="s">
        <v>5</v>
      </c>
      <c r="BD589" s="6" t="s">
        <v>5</v>
      </c>
      <c r="BE589" s="6" t="s">
        <v>5</v>
      </c>
      <c r="BF589" s="6" t="s">
        <v>5</v>
      </c>
      <c r="BG589" s="6" t="s">
        <v>5</v>
      </c>
      <c r="BH589" s="6" t="s">
        <v>5</v>
      </c>
      <c r="BI589" s="7">
        <v>2.09</v>
      </c>
      <c r="BJ589" s="22">
        <v>0.85099999999999998</v>
      </c>
      <c r="BK589" s="6" t="s">
        <v>5</v>
      </c>
      <c r="BL589" s="2" t="s">
        <v>5</v>
      </c>
      <c r="BM589" s="2" t="s">
        <v>5</v>
      </c>
      <c r="BN589" s="2" t="s">
        <v>5</v>
      </c>
      <c r="BO589" s="2" t="s">
        <v>5</v>
      </c>
      <c r="BP589" s="2" t="s">
        <v>5</v>
      </c>
      <c r="BQ589" s="2" t="s">
        <v>5</v>
      </c>
      <c r="BR589" s="2" t="s">
        <v>5</v>
      </c>
      <c r="BS589" s="2" t="s">
        <v>5</v>
      </c>
      <c r="BT589" s="2" t="s">
        <v>5</v>
      </c>
      <c r="BU589" s="2" t="s">
        <v>5</v>
      </c>
      <c r="BV589" s="2" t="s">
        <v>5</v>
      </c>
      <c r="BW589" s="2" t="s">
        <v>5</v>
      </c>
      <c r="BX589" s="2" t="s">
        <v>5</v>
      </c>
      <c r="BY589" s="25" t="s">
        <v>5</v>
      </c>
      <c r="BZ589" s="25" t="s">
        <v>5</v>
      </c>
      <c r="CA589" s="6" t="s">
        <v>5</v>
      </c>
      <c r="CB589" s="6" t="s">
        <v>5</v>
      </c>
      <c r="CC589" s="6" t="s">
        <v>5</v>
      </c>
      <c r="CD589" s="6" t="s">
        <v>5</v>
      </c>
      <c r="CE589" s="6" t="s">
        <v>5</v>
      </c>
      <c r="CF589" s="16" t="s">
        <v>5</v>
      </c>
      <c r="CG589" s="16" t="s">
        <v>5</v>
      </c>
      <c r="CH589" s="18" t="s">
        <v>5</v>
      </c>
    </row>
    <row r="590" spans="2:86">
      <c r="B590" s="78" t="s">
        <v>473</v>
      </c>
      <c r="C590" s="79" t="s">
        <v>690</v>
      </c>
      <c r="D590" s="80" t="s">
        <v>690</v>
      </c>
      <c r="E590" s="1" t="s">
        <v>4</v>
      </c>
      <c r="F590" s="4">
        <v>19.600000000000001</v>
      </c>
      <c r="G590" s="7">
        <v>5.78</v>
      </c>
      <c r="H590" s="3" t="str">
        <f t="shared" si="28"/>
        <v>2L3-1/2X3-1/2X7/16X3/4</v>
      </c>
      <c r="I590" s="7">
        <v>3.5</v>
      </c>
      <c r="J590" s="5" t="s">
        <v>5</v>
      </c>
      <c r="K590" s="6" t="s">
        <v>5</v>
      </c>
      <c r="L590" s="6" t="s">
        <v>5</v>
      </c>
      <c r="M590" s="6" t="s">
        <v>5</v>
      </c>
      <c r="N590" s="6" t="s">
        <v>5</v>
      </c>
      <c r="O590" s="5" t="s">
        <v>5</v>
      </c>
      <c r="P590" s="5" t="s">
        <v>5</v>
      </c>
      <c r="Q590" s="7">
        <v>3.5</v>
      </c>
      <c r="R590" s="6" t="s">
        <v>5</v>
      </c>
      <c r="S590" s="6" t="s">
        <v>5</v>
      </c>
      <c r="T590" s="5" t="s">
        <v>5</v>
      </c>
      <c r="U590" s="8" t="s">
        <v>5</v>
      </c>
      <c r="V590" s="6" t="s">
        <v>5</v>
      </c>
      <c r="W590" s="8" t="s">
        <v>5</v>
      </c>
      <c r="X590" s="22">
        <v>0.438</v>
      </c>
      <c r="Y590" s="6" t="s">
        <v>5</v>
      </c>
      <c r="Z590" s="6" t="s">
        <v>5</v>
      </c>
      <c r="AA590" s="6" t="s">
        <v>5</v>
      </c>
      <c r="AB590" s="8" t="s">
        <v>5</v>
      </c>
      <c r="AC590" s="8" t="s">
        <v>5</v>
      </c>
      <c r="AD590" s="6" t="s">
        <v>5</v>
      </c>
      <c r="AE590" s="7">
        <v>1.03</v>
      </c>
      <c r="AF590" s="6" t="s">
        <v>5</v>
      </c>
      <c r="AG590" s="6" t="s">
        <v>5</v>
      </c>
      <c r="AH590" s="22">
        <v>0.41299999999999998</v>
      </c>
      <c r="AI590" s="6" t="s">
        <v>5</v>
      </c>
      <c r="AJ590" s="7">
        <v>7.99</v>
      </c>
      <c r="AK590" s="6" t="s">
        <v>5</v>
      </c>
      <c r="AL590" s="6" t="s">
        <v>5</v>
      </c>
      <c r="AM590" s="6" t="s">
        <v>5</v>
      </c>
      <c r="AN590" s="6" t="s">
        <v>5</v>
      </c>
      <c r="AO590" s="7">
        <v>6.5</v>
      </c>
      <c r="AP590" s="7">
        <v>4.72</v>
      </c>
      <c r="AQ590" s="7">
        <v>2.64</v>
      </c>
      <c r="AR590" s="7">
        <v>1.06</v>
      </c>
      <c r="AS590" s="6">
        <v>17.899999999999999</v>
      </c>
      <c r="AT590" s="6">
        <v>8.1199999999999992</v>
      </c>
      <c r="AU590" s="6">
        <v>4.62</v>
      </c>
      <c r="AV590" s="7">
        <v>1.76</v>
      </c>
      <c r="AW590" s="6" t="s">
        <v>5</v>
      </c>
      <c r="AX590" s="6" t="s">
        <v>5</v>
      </c>
      <c r="AY590" s="6" t="s">
        <v>5</v>
      </c>
      <c r="AZ590" s="6" t="s">
        <v>5</v>
      </c>
      <c r="BA590" s="6" t="s">
        <v>5</v>
      </c>
      <c r="BB590" s="6" t="s">
        <v>5</v>
      </c>
      <c r="BC590" s="6" t="s">
        <v>5</v>
      </c>
      <c r="BD590" s="6" t="s">
        <v>5</v>
      </c>
      <c r="BE590" s="6" t="s">
        <v>5</v>
      </c>
      <c r="BF590" s="6" t="s">
        <v>5</v>
      </c>
      <c r="BG590" s="6" t="s">
        <v>5</v>
      </c>
      <c r="BH590" s="6" t="s">
        <v>5</v>
      </c>
      <c r="BI590" s="7">
        <v>2.21</v>
      </c>
      <c r="BJ590" s="22">
        <v>0.86599999999999999</v>
      </c>
      <c r="BK590" s="6" t="s">
        <v>5</v>
      </c>
      <c r="BL590" s="2" t="s">
        <v>5</v>
      </c>
      <c r="BM590" s="2" t="s">
        <v>5</v>
      </c>
      <c r="BN590" s="2" t="s">
        <v>5</v>
      </c>
      <c r="BO590" s="2" t="s">
        <v>5</v>
      </c>
      <c r="BP590" s="2" t="s">
        <v>5</v>
      </c>
      <c r="BQ590" s="2" t="s">
        <v>5</v>
      </c>
      <c r="BR590" s="2" t="s">
        <v>5</v>
      </c>
      <c r="BS590" s="2" t="s">
        <v>5</v>
      </c>
      <c r="BT590" s="2" t="s">
        <v>5</v>
      </c>
      <c r="BU590" s="2" t="s">
        <v>5</v>
      </c>
      <c r="BV590" s="2" t="s">
        <v>5</v>
      </c>
      <c r="BW590" s="2" t="s">
        <v>5</v>
      </c>
      <c r="BX590" s="2" t="s">
        <v>5</v>
      </c>
      <c r="BY590" s="25" t="s">
        <v>5</v>
      </c>
      <c r="BZ590" s="25" t="s">
        <v>5</v>
      </c>
      <c r="CA590" s="6" t="s">
        <v>5</v>
      </c>
      <c r="CB590" s="6" t="s">
        <v>5</v>
      </c>
      <c r="CC590" s="6" t="s">
        <v>5</v>
      </c>
      <c r="CD590" s="6" t="s">
        <v>5</v>
      </c>
      <c r="CE590" s="6" t="s">
        <v>5</v>
      </c>
      <c r="CF590" s="16" t="s">
        <v>5</v>
      </c>
      <c r="CG590" s="16" t="s">
        <v>5</v>
      </c>
      <c r="CH590" s="18" t="s">
        <v>5</v>
      </c>
    </row>
    <row r="591" spans="2:86">
      <c r="B591" s="78" t="s">
        <v>473</v>
      </c>
      <c r="C591" s="79" t="s">
        <v>691</v>
      </c>
      <c r="D591" s="80" t="s">
        <v>691</v>
      </c>
      <c r="E591" s="1" t="s">
        <v>4</v>
      </c>
      <c r="F591" s="4">
        <v>17</v>
      </c>
      <c r="G591" s="7">
        <v>5</v>
      </c>
      <c r="H591" s="3" t="str">
        <f t="shared" si="28"/>
        <v>2L3-1/2X3-1/2X3/8</v>
      </c>
      <c r="I591" s="7">
        <v>3.5</v>
      </c>
      <c r="J591" s="5" t="s">
        <v>5</v>
      </c>
      <c r="K591" s="6" t="s">
        <v>5</v>
      </c>
      <c r="L591" s="6" t="s">
        <v>5</v>
      </c>
      <c r="M591" s="6" t="s">
        <v>5</v>
      </c>
      <c r="N591" s="6" t="s">
        <v>5</v>
      </c>
      <c r="O591" s="5" t="s">
        <v>5</v>
      </c>
      <c r="P591" s="5" t="s">
        <v>5</v>
      </c>
      <c r="Q591" s="7">
        <v>3.5</v>
      </c>
      <c r="R591" s="6" t="s">
        <v>5</v>
      </c>
      <c r="S591" s="6" t="s">
        <v>5</v>
      </c>
      <c r="T591" s="5" t="s">
        <v>5</v>
      </c>
      <c r="U591" s="8" t="s">
        <v>5</v>
      </c>
      <c r="V591" s="6" t="s">
        <v>5</v>
      </c>
      <c r="W591" s="8" t="s">
        <v>5</v>
      </c>
      <c r="X591" s="22">
        <v>0.375</v>
      </c>
      <c r="Y591" s="6" t="s">
        <v>5</v>
      </c>
      <c r="Z591" s="6" t="s">
        <v>5</v>
      </c>
      <c r="AA591" s="6" t="s">
        <v>5</v>
      </c>
      <c r="AB591" s="8" t="s">
        <v>5</v>
      </c>
      <c r="AC591" s="8" t="s">
        <v>5</v>
      </c>
      <c r="AD591" s="6" t="s">
        <v>5</v>
      </c>
      <c r="AE591" s="7">
        <v>1</v>
      </c>
      <c r="AF591" s="6" t="s">
        <v>5</v>
      </c>
      <c r="AG591" s="6" t="s">
        <v>5</v>
      </c>
      <c r="AH591" s="22">
        <v>0.35699999999999998</v>
      </c>
      <c r="AI591" s="6" t="s">
        <v>5</v>
      </c>
      <c r="AJ591" s="7">
        <v>9.33</v>
      </c>
      <c r="AK591" s="6" t="s">
        <v>5</v>
      </c>
      <c r="AL591" s="6" t="s">
        <v>5</v>
      </c>
      <c r="AM591" s="6" t="s">
        <v>5</v>
      </c>
      <c r="AN591" s="6" t="s">
        <v>5</v>
      </c>
      <c r="AO591" s="7">
        <v>5.72</v>
      </c>
      <c r="AP591" s="7">
        <v>4.12</v>
      </c>
      <c r="AQ591" s="7">
        <v>2.2999999999999998</v>
      </c>
      <c r="AR591" s="7">
        <v>1.07</v>
      </c>
      <c r="AS591" s="6">
        <v>10.8</v>
      </c>
      <c r="AT591" s="7">
        <v>5</v>
      </c>
      <c r="AU591" s="6">
        <v>3.09</v>
      </c>
      <c r="AV591" s="7">
        <v>1.47</v>
      </c>
      <c r="AW591" s="6" t="s">
        <v>5</v>
      </c>
      <c r="AX591" s="6" t="s">
        <v>5</v>
      </c>
      <c r="AY591" s="6" t="s">
        <v>5</v>
      </c>
      <c r="AZ591" s="6" t="s">
        <v>5</v>
      </c>
      <c r="BA591" s="6" t="s">
        <v>5</v>
      </c>
      <c r="BB591" s="6" t="s">
        <v>5</v>
      </c>
      <c r="BC591" s="6" t="s">
        <v>5</v>
      </c>
      <c r="BD591" s="6" t="s">
        <v>5</v>
      </c>
      <c r="BE591" s="6" t="s">
        <v>5</v>
      </c>
      <c r="BF591" s="6" t="s">
        <v>5</v>
      </c>
      <c r="BG591" s="6" t="s">
        <v>5</v>
      </c>
      <c r="BH591" s="6" t="s">
        <v>5</v>
      </c>
      <c r="BI591" s="7">
        <v>1.99</v>
      </c>
      <c r="BJ591" s="22">
        <v>0.83199999999999996</v>
      </c>
      <c r="BK591" s="6" t="s">
        <v>5</v>
      </c>
      <c r="BL591" s="2" t="s">
        <v>5</v>
      </c>
      <c r="BM591" s="2" t="s">
        <v>5</v>
      </c>
      <c r="BN591" s="2" t="s">
        <v>5</v>
      </c>
      <c r="BO591" s="2" t="s">
        <v>5</v>
      </c>
      <c r="BP591" s="2" t="s">
        <v>5</v>
      </c>
      <c r="BQ591" s="2" t="s">
        <v>5</v>
      </c>
      <c r="BR591" s="2" t="s">
        <v>5</v>
      </c>
      <c r="BS591" s="2" t="s">
        <v>5</v>
      </c>
      <c r="BT591" s="2" t="s">
        <v>5</v>
      </c>
      <c r="BU591" s="2" t="s">
        <v>5</v>
      </c>
      <c r="BV591" s="2" t="s">
        <v>5</v>
      </c>
      <c r="BW591" s="2" t="s">
        <v>5</v>
      </c>
      <c r="BX591" s="2" t="s">
        <v>5</v>
      </c>
      <c r="BY591" s="25" t="s">
        <v>5</v>
      </c>
      <c r="BZ591" s="25" t="s">
        <v>5</v>
      </c>
      <c r="CA591" s="6" t="s">
        <v>5</v>
      </c>
      <c r="CB591" s="6" t="s">
        <v>5</v>
      </c>
      <c r="CC591" s="6" t="s">
        <v>5</v>
      </c>
      <c r="CD591" s="6" t="s">
        <v>5</v>
      </c>
      <c r="CE591" s="6" t="s">
        <v>5</v>
      </c>
      <c r="CF591" s="16" t="s">
        <v>5</v>
      </c>
      <c r="CG591" s="16" t="s">
        <v>5</v>
      </c>
      <c r="CH591" s="18" t="s">
        <v>5</v>
      </c>
    </row>
    <row r="592" spans="2:86">
      <c r="B592" s="78" t="s">
        <v>473</v>
      </c>
      <c r="C592" s="79" t="s">
        <v>692</v>
      </c>
      <c r="D592" s="80" t="s">
        <v>692</v>
      </c>
      <c r="E592" s="1" t="s">
        <v>4</v>
      </c>
      <c r="F592" s="4">
        <v>17</v>
      </c>
      <c r="G592" s="7">
        <v>5</v>
      </c>
      <c r="H592" s="3" t="str">
        <f t="shared" si="28"/>
        <v>2L3-1/2X3-1/2X3/8X3/8</v>
      </c>
      <c r="I592" s="7">
        <v>3.5</v>
      </c>
      <c r="J592" s="5" t="s">
        <v>5</v>
      </c>
      <c r="K592" s="6" t="s">
        <v>5</v>
      </c>
      <c r="L592" s="6" t="s">
        <v>5</v>
      </c>
      <c r="M592" s="6" t="s">
        <v>5</v>
      </c>
      <c r="N592" s="6" t="s">
        <v>5</v>
      </c>
      <c r="O592" s="5" t="s">
        <v>5</v>
      </c>
      <c r="P592" s="5" t="s">
        <v>5</v>
      </c>
      <c r="Q592" s="7">
        <v>3.5</v>
      </c>
      <c r="R592" s="6" t="s">
        <v>5</v>
      </c>
      <c r="S592" s="6" t="s">
        <v>5</v>
      </c>
      <c r="T592" s="5" t="s">
        <v>5</v>
      </c>
      <c r="U592" s="8" t="s">
        <v>5</v>
      </c>
      <c r="V592" s="6" t="s">
        <v>5</v>
      </c>
      <c r="W592" s="8" t="s">
        <v>5</v>
      </c>
      <c r="X592" s="22">
        <v>0.375</v>
      </c>
      <c r="Y592" s="6" t="s">
        <v>5</v>
      </c>
      <c r="Z592" s="6" t="s">
        <v>5</v>
      </c>
      <c r="AA592" s="6" t="s">
        <v>5</v>
      </c>
      <c r="AB592" s="8" t="s">
        <v>5</v>
      </c>
      <c r="AC592" s="8" t="s">
        <v>5</v>
      </c>
      <c r="AD592" s="6" t="s">
        <v>5</v>
      </c>
      <c r="AE592" s="7">
        <v>1</v>
      </c>
      <c r="AF592" s="6" t="s">
        <v>5</v>
      </c>
      <c r="AG592" s="6" t="s">
        <v>5</v>
      </c>
      <c r="AH592" s="22">
        <v>0.35699999999999998</v>
      </c>
      <c r="AI592" s="6" t="s">
        <v>5</v>
      </c>
      <c r="AJ592" s="7">
        <v>9.33</v>
      </c>
      <c r="AK592" s="6" t="s">
        <v>5</v>
      </c>
      <c r="AL592" s="6" t="s">
        <v>5</v>
      </c>
      <c r="AM592" s="6" t="s">
        <v>5</v>
      </c>
      <c r="AN592" s="6" t="s">
        <v>5</v>
      </c>
      <c r="AO592" s="7">
        <v>5.72</v>
      </c>
      <c r="AP592" s="7">
        <v>4.12</v>
      </c>
      <c r="AQ592" s="7">
        <v>2.2999999999999998</v>
      </c>
      <c r="AR592" s="7">
        <v>1.07</v>
      </c>
      <c r="AS592" s="6">
        <v>12.8</v>
      </c>
      <c r="AT592" s="6">
        <v>5.94</v>
      </c>
      <c r="AU592" s="6">
        <v>3.47</v>
      </c>
      <c r="AV592" s="7">
        <v>1.6</v>
      </c>
      <c r="AW592" s="6" t="s">
        <v>5</v>
      </c>
      <c r="AX592" s="6" t="s">
        <v>5</v>
      </c>
      <c r="AY592" s="6" t="s">
        <v>5</v>
      </c>
      <c r="AZ592" s="6" t="s">
        <v>5</v>
      </c>
      <c r="BA592" s="6" t="s">
        <v>5</v>
      </c>
      <c r="BB592" s="6" t="s">
        <v>5</v>
      </c>
      <c r="BC592" s="6" t="s">
        <v>5</v>
      </c>
      <c r="BD592" s="6" t="s">
        <v>5</v>
      </c>
      <c r="BE592" s="6" t="s">
        <v>5</v>
      </c>
      <c r="BF592" s="6" t="s">
        <v>5</v>
      </c>
      <c r="BG592" s="6" t="s">
        <v>5</v>
      </c>
      <c r="BH592" s="6" t="s">
        <v>5</v>
      </c>
      <c r="BI592" s="7">
        <v>2.09</v>
      </c>
      <c r="BJ592" s="22">
        <v>0.84799999999999998</v>
      </c>
      <c r="BK592" s="6" t="s">
        <v>5</v>
      </c>
      <c r="BL592" s="2" t="s">
        <v>5</v>
      </c>
      <c r="BM592" s="2" t="s">
        <v>5</v>
      </c>
      <c r="BN592" s="2" t="s">
        <v>5</v>
      </c>
      <c r="BO592" s="2" t="s">
        <v>5</v>
      </c>
      <c r="BP592" s="2" t="s">
        <v>5</v>
      </c>
      <c r="BQ592" s="2" t="s">
        <v>5</v>
      </c>
      <c r="BR592" s="2" t="s">
        <v>5</v>
      </c>
      <c r="BS592" s="2" t="s">
        <v>5</v>
      </c>
      <c r="BT592" s="2" t="s">
        <v>5</v>
      </c>
      <c r="BU592" s="2" t="s">
        <v>5</v>
      </c>
      <c r="BV592" s="2" t="s">
        <v>5</v>
      </c>
      <c r="BW592" s="2" t="s">
        <v>5</v>
      </c>
      <c r="BX592" s="2" t="s">
        <v>5</v>
      </c>
      <c r="BY592" s="25" t="s">
        <v>5</v>
      </c>
      <c r="BZ592" s="25" t="s">
        <v>5</v>
      </c>
      <c r="CA592" s="6" t="s">
        <v>5</v>
      </c>
      <c r="CB592" s="6" t="s">
        <v>5</v>
      </c>
      <c r="CC592" s="6" t="s">
        <v>5</v>
      </c>
      <c r="CD592" s="6" t="s">
        <v>5</v>
      </c>
      <c r="CE592" s="6" t="s">
        <v>5</v>
      </c>
      <c r="CF592" s="16" t="s">
        <v>5</v>
      </c>
      <c r="CG592" s="16" t="s">
        <v>5</v>
      </c>
      <c r="CH592" s="18" t="s">
        <v>5</v>
      </c>
    </row>
    <row r="593" spans="2:86">
      <c r="B593" s="78" t="s">
        <v>473</v>
      </c>
      <c r="C593" s="79" t="s">
        <v>693</v>
      </c>
      <c r="D593" s="80" t="s">
        <v>693</v>
      </c>
      <c r="E593" s="1" t="s">
        <v>4</v>
      </c>
      <c r="F593" s="4">
        <v>17</v>
      </c>
      <c r="G593" s="7">
        <v>5</v>
      </c>
      <c r="H593" s="3" t="str">
        <f t="shared" si="28"/>
        <v>2L3-1/2X3-1/2X3/8X3/4</v>
      </c>
      <c r="I593" s="7">
        <v>3.5</v>
      </c>
      <c r="J593" s="5" t="s">
        <v>5</v>
      </c>
      <c r="K593" s="6" t="s">
        <v>5</v>
      </c>
      <c r="L593" s="6" t="s">
        <v>5</v>
      </c>
      <c r="M593" s="6" t="s">
        <v>5</v>
      </c>
      <c r="N593" s="6" t="s">
        <v>5</v>
      </c>
      <c r="O593" s="5" t="s">
        <v>5</v>
      </c>
      <c r="P593" s="5" t="s">
        <v>5</v>
      </c>
      <c r="Q593" s="7">
        <v>3.5</v>
      </c>
      <c r="R593" s="6" t="s">
        <v>5</v>
      </c>
      <c r="S593" s="6" t="s">
        <v>5</v>
      </c>
      <c r="T593" s="5" t="s">
        <v>5</v>
      </c>
      <c r="U593" s="8" t="s">
        <v>5</v>
      </c>
      <c r="V593" s="6" t="s">
        <v>5</v>
      </c>
      <c r="W593" s="8" t="s">
        <v>5</v>
      </c>
      <c r="X593" s="22">
        <v>0.375</v>
      </c>
      <c r="Y593" s="6" t="s">
        <v>5</v>
      </c>
      <c r="Z593" s="6" t="s">
        <v>5</v>
      </c>
      <c r="AA593" s="6" t="s">
        <v>5</v>
      </c>
      <c r="AB593" s="8" t="s">
        <v>5</v>
      </c>
      <c r="AC593" s="8" t="s">
        <v>5</v>
      </c>
      <c r="AD593" s="6" t="s">
        <v>5</v>
      </c>
      <c r="AE593" s="7">
        <v>1</v>
      </c>
      <c r="AF593" s="6" t="s">
        <v>5</v>
      </c>
      <c r="AG593" s="6" t="s">
        <v>5</v>
      </c>
      <c r="AH593" s="22">
        <v>0.35699999999999998</v>
      </c>
      <c r="AI593" s="6" t="s">
        <v>5</v>
      </c>
      <c r="AJ593" s="7">
        <v>9.33</v>
      </c>
      <c r="AK593" s="6" t="s">
        <v>5</v>
      </c>
      <c r="AL593" s="6" t="s">
        <v>5</v>
      </c>
      <c r="AM593" s="6" t="s">
        <v>5</v>
      </c>
      <c r="AN593" s="6" t="s">
        <v>5</v>
      </c>
      <c r="AO593" s="7">
        <v>5.72</v>
      </c>
      <c r="AP593" s="7">
        <v>4.12</v>
      </c>
      <c r="AQ593" s="7">
        <v>2.2999999999999998</v>
      </c>
      <c r="AR593" s="7">
        <v>1.07</v>
      </c>
      <c r="AS593" s="6">
        <v>15.1</v>
      </c>
      <c r="AT593" s="6">
        <v>6.88</v>
      </c>
      <c r="AU593" s="7">
        <v>3.9</v>
      </c>
      <c r="AV593" s="7">
        <v>1.74</v>
      </c>
      <c r="AW593" s="6" t="s">
        <v>5</v>
      </c>
      <c r="AX593" s="6" t="s">
        <v>5</v>
      </c>
      <c r="AY593" s="6" t="s">
        <v>5</v>
      </c>
      <c r="AZ593" s="6" t="s">
        <v>5</v>
      </c>
      <c r="BA593" s="6" t="s">
        <v>5</v>
      </c>
      <c r="BB593" s="6" t="s">
        <v>5</v>
      </c>
      <c r="BC593" s="6" t="s">
        <v>5</v>
      </c>
      <c r="BD593" s="6" t="s">
        <v>5</v>
      </c>
      <c r="BE593" s="6" t="s">
        <v>5</v>
      </c>
      <c r="BF593" s="6" t="s">
        <v>5</v>
      </c>
      <c r="BG593" s="6" t="s">
        <v>5</v>
      </c>
      <c r="BH593" s="6" t="s">
        <v>5</v>
      </c>
      <c r="BI593" s="7">
        <v>2.2000000000000002</v>
      </c>
      <c r="BJ593" s="22">
        <v>0.86299999999999999</v>
      </c>
      <c r="BK593" s="6" t="s">
        <v>5</v>
      </c>
      <c r="BL593" s="2" t="s">
        <v>5</v>
      </c>
      <c r="BM593" s="2" t="s">
        <v>5</v>
      </c>
      <c r="BN593" s="2" t="s">
        <v>5</v>
      </c>
      <c r="BO593" s="2" t="s">
        <v>5</v>
      </c>
      <c r="BP593" s="2" t="s">
        <v>5</v>
      </c>
      <c r="BQ593" s="2" t="s">
        <v>5</v>
      </c>
      <c r="BR593" s="2" t="s">
        <v>5</v>
      </c>
      <c r="BS593" s="2" t="s">
        <v>5</v>
      </c>
      <c r="BT593" s="2" t="s">
        <v>5</v>
      </c>
      <c r="BU593" s="2" t="s">
        <v>5</v>
      </c>
      <c r="BV593" s="2" t="s">
        <v>5</v>
      </c>
      <c r="BW593" s="2" t="s">
        <v>5</v>
      </c>
      <c r="BX593" s="2" t="s">
        <v>5</v>
      </c>
      <c r="BY593" s="25" t="s">
        <v>5</v>
      </c>
      <c r="BZ593" s="25" t="s">
        <v>5</v>
      </c>
      <c r="CA593" s="6" t="s">
        <v>5</v>
      </c>
      <c r="CB593" s="6" t="s">
        <v>5</v>
      </c>
      <c r="CC593" s="6" t="s">
        <v>5</v>
      </c>
      <c r="CD593" s="6" t="s">
        <v>5</v>
      </c>
      <c r="CE593" s="6" t="s">
        <v>5</v>
      </c>
      <c r="CF593" s="16" t="s">
        <v>5</v>
      </c>
      <c r="CG593" s="16" t="s">
        <v>5</v>
      </c>
      <c r="CH593" s="18" t="s">
        <v>5</v>
      </c>
    </row>
    <row r="594" spans="2:86">
      <c r="B594" s="78" t="s">
        <v>473</v>
      </c>
      <c r="C594" s="79" t="s">
        <v>694</v>
      </c>
      <c r="D594" s="80" t="s">
        <v>694</v>
      </c>
      <c r="E594" s="1" t="s">
        <v>4</v>
      </c>
      <c r="F594" s="4">
        <v>14.4</v>
      </c>
      <c r="G594" s="7">
        <v>4.2</v>
      </c>
      <c r="H594" s="3" t="str">
        <f t="shared" si="28"/>
        <v>2L3-1/2X3-1/2X5/16</v>
      </c>
      <c r="I594" s="7">
        <v>3.5</v>
      </c>
      <c r="J594" s="5" t="s">
        <v>5</v>
      </c>
      <c r="K594" s="6" t="s">
        <v>5</v>
      </c>
      <c r="L594" s="6" t="s">
        <v>5</v>
      </c>
      <c r="M594" s="6" t="s">
        <v>5</v>
      </c>
      <c r="N594" s="6" t="s">
        <v>5</v>
      </c>
      <c r="O594" s="5" t="s">
        <v>5</v>
      </c>
      <c r="P594" s="5" t="s">
        <v>5</v>
      </c>
      <c r="Q594" s="7">
        <v>3.5</v>
      </c>
      <c r="R594" s="6" t="s">
        <v>5</v>
      </c>
      <c r="S594" s="6" t="s">
        <v>5</v>
      </c>
      <c r="T594" s="5" t="s">
        <v>5</v>
      </c>
      <c r="U594" s="8" t="s">
        <v>5</v>
      </c>
      <c r="V594" s="6" t="s">
        <v>5</v>
      </c>
      <c r="W594" s="8" t="s">
        <v>5</v>
      </c>
      <c r="X594" s="22">
        <v>0.313</v>
      </c>
      <c r="Y594" s="6" t="s">
        <v>5</v>
      </c>
      <c r="Z594" s="6" t="s">
        <v>5</v>
      </c>
      <c r="AA594" s="6" t="s">
        <v>5</v>
      </c>
      <c r="AB594" s="8" t="s">
        <v>5</v>
      </c>
      <c r="AC594" s="8" t="s">
        <v>5</v>
      </c>
      <c r="AD594" s="6" t="s">
        <v>5</v>
      </c>
      <c r="AE594" s="22">
        <v>0.97899999999999998</v>
      </c>
      <c r="AF594" s="6" t="s">
        <v>5</v>
      </c>
      <c r="AG594" s="6" t="s">
        <v>5</v>
      </c>
      <c r="AH594" s="22">
        <v>0.3</v>
      </c>
      <c r="AI594" s="6" t="s">
        <v>5</v>
      </c>
      <c r="AJ594" s="4">
        <v>11.2</v>
      </c>
      <c r="AK594" s="6" t="s">
        <v>5</v>
      </c>
      <c r="AL594" s="6" t="s">
        <v>5</v>
      </c>
      <c r="AM594" s="6" t="s">
        <v>5</v>
      </c>
      <c r="AN594" s="6" t="s">
        <v>5</v>
      </c>
      <c r="AO594" s="7">
        <v>4.88</v>
      </c>
      <c r="AP594" s="7">
        <v>3.48</v>
      </c>
      <c r="AQ594" s="7">
        <v>1.94</v>
      </c>
      <c r="AR594" s="7">
        <v>1.08</v>
      </c>
      <c r="AS594" s="6">
        <v>8.9499999999999993</v>
      </c>
      <c r="AT594" s="6">
        <v>4.1100000000000003</v>
      </c>
      <c r="AU594" s="6">
        <v>2.56</v>
      </c>
      <c r="AV594" s="7">
        <v>1.46</v>
      </c>
      <c r="AW594" s="6" t="s">
        <v>5</v>
      </c>
      <c r="AX594" s="6" t="s">
        <v>5</v>
      </c>
      <c r="AY594" s="6" t="s">
        <v>5</v>
      </c>
      <c r="AZ594" s="6" t="s">
        <v>5</v>
      </c>
      <c r="BA594" s="6" t="s">
        <v>5</v>
      </c>
      <c r="BB594" s="6" t="s">
        <v>5</v>
      </c>
      <c r="BC594" s="6" t="s">
        <v>5</v>
      </c>
      <c r="BD594" s="6" t="s">
        <v>5</v>
      </c>
      <c r="BE594" s="6" t="s">
        <v>5</v>
      </c>
      <c r="BF594" s="6" t="s">
        <v>5</v>
      </c>
      <c r="BG594" s="6" t="s">
        <v>5</v>
      </c>
      <c r="BH594" s="6" t="s">
        <v>5</v>
      </c>
      <c r="BI594" s="7">
        <v>1.99</v>
      </c>
      <c r="BJ594" s="22">
        <v>0.82899999999999996</v>
      </c>
      <c r="BK594" s="6" t="s">
        <v>5</v>
      </c>
      <c r="BL594" s="2" t="s">
        <v>5</v>
      </c>
      <c r="BM594" s="2" t="s">
        <v>5</v>
      </c>
      <c r="BN594" s="2" t="s">
        <v>5</v>
      </c>
      <c r="BO594" s="2" t="s">
        <v>5</v>
      </c>
      <c r="BP594" s="2" t="s">
        <v>5</v>
      </c>
      <c r="BQ594" s="2" t="s">
        <v>5</v>
      </c>
      <c r="BR594" s="2" t="s">
        <v>5</v>
      </c>
      <c r="BS594" s="2" t="s">
        <v>5</v>
      </c>
      <c r="BT594" s="2" t="s">
        <v>5</v>
      </c>
      <c r="BU594" s="2" t="s">
        <v>5</v>
      </c>
      <c r="BV594" s="2" t="s">
        <v>5</v>
      </c>
      <c r="BW594" s="2" t="s">
        <v>5</v>
      </c>
      <c r="BX594" s="2" t="s">
        <v>5</v>
      </c>
      <c r="BY594" s="25" t="s">
        <v>5</v>
      </c>
      <c r="BZ594" s="25" t="s">
        <v>5</v>
      </c>
      <c r="CA594" s="6" t="s">
        <v>5</v>
      </c>
      <c r="CB594" s="6" t="s">
        <v>5</v>
      </c>
      <c r="CC594" s="6" t="s">
        <v>5</v>
      </c>
      <c r="CD594" s="6" t="s">
        <v>5</v>
      </c>
      <c r="CE594" s="6" t="s">
        <v>5</v>
      </c>
      <c r="CF594" s="16" t="s">
        <v>5</v>
      </c>
      <c r="CG594" s="16" t="s">
        <v>5</v>
      </c>
      <c r="CH594" s="18" t="s">
        <v>5</v>
      </c>
    </row>
    <row r="595" spans="2:86">
      <c r="B595" s="78" t="s">
        <v>473</v>
      </c>
      <c r="C595" s="79" t="s">
        <v>695</v>
      </c>
      <c r="D595" s="80" t="s">
        <v>695</v>
      </c>
      <c r="E595" s="1" t="s">
        <v>4</v>
      </c>
      <c r="F595" s="4">
        <v>14.4</v>
      </c>
      <c r="G595" s="7">
        <v>4.2</v>
      </c>
      <c r="H595" s="3" t="str">
        <f t="shared" si="28"/>
        <v>2L3-1/2X3-1/2X5/16X3/8</v>
      </c>
      <c r="I595" s="7">
        <v>3.5</v>
      </c>
      <c r="J595" s="5" t="s">
        <v>5</v>
      </c>
      <c r="K595" s="6" t="s">
        <v>5</v>
      </c>
      <c r="L595" s="6" t="s">
        <v>5</v>
      </c>
      <c r="M595" s="6" t="s">
        <v>5</v>
      </c>
      <c r="N595" s="6" t="s">
        <v>5</v>
      </c>
      <c r="O595" s="5" t="s">
        <v>5</v>
      </c>
      <c r="P595" s="5" t="s">
        <v>5</v>
      </c>
      <c r="Q595" s="7">
        <v>3.5</v>
      </c>
      <c r="R595" s="6" t="s">
        <v>5</v>
      </c>
      <c r="S595" s="6" t="s">
        <v>5</v>
      </c>
      <c r="T595" s="5" t="s">
        <v>5</v>
      </c>
      <c r="U595" s="8" t="s">
        <v>5</v>
      </c>
      <c r="V595" s="6" t="s">
        <v>5</v>
      </c>
      <c r="W595" s="8" t="s">
        <v>5</v>
      </c>
      <c r="X595" s="22">
        <v>0.313</v>
      </c>
      <c r="Y595" s="6" t="s">
        <v>5</v>
      </c>
      <c r="Z595" s="6" t="s">
        <v>5</v>
      </c>
      <c r="AA595" s="6" t="s">
        <v>5</v>
      </c>
      <c r="AB595" s="8" t="s">
        <v>5</v>
      </c>
      <c r="AC595" s="8" t="s">
        <v>5</v>
      </c>
      <c r="AD595" s="6" t="s">
        <v>5</v>
      </c>
      <c r="AE595" s="22">
        <v>0.97899999999999998</v>
      </c>
      <c r="AF595" s="6" t="s">
        <v>5</v>
      </c>
      <c r="AG595" s="6" t="s">
        <v>5</v>
      </c>
      <c r="AH595" s="22">
        <v>0.3</v>
      </c>
      <c r="AI595" s="6" t="s">
        <v>5</v>
      </c>
      <c r="AJ595" s="4">
        <v>11.2</v>
      </c>
      <c r="AK595" s="6" t="s">
        <v>5</v>
      </c>
      <c r="AL595" s="6" t="s">
        <v>5</v>
      </c>
      <c r="AM595" s="6" t="s">
        <v>5</v>
      </c>
      <c r="AN595" s="6" t="s">
        <v>5</v>
      </c>
      <c r="AO595" s="7">
        <v>4.88</v>
      </c>
      <c r="AP595" s="7">
        <v>3.48</v>
      </c>
      <c r="AQ595" s="7">
        <v>1.94</v>
      </c>
      <c r="AR595" s="7">
        <v>1.08</v>
      </c>
      <c r="AS595" s="6">
        <v>10.6</v>
      </c>
      <c r="AT595" s="7">
        <v>4.9000000000000004</v>
      </c>
      <c r="AU595" s="6">
        <v>2.87</v>
      </c>
      <c r="AV595" s="7">
        <v>1.59</v>
      </c>
      <c r="AW595" s="6" t="s">
        <v>5</v>
      </c>
      <c r="AX595" s="6" t="s">
        <v>5</v>
      </c>
      <c r="AY595" s="6" t="s">
        <v>5</v>
      </c>
      <c r="AZ595" s="6" t="s">
        <v>5</v>
      </c>
      <c r="BA595" s="6" t="s">
        <v>5</v>
      </c>
      <c r="BB595" s="6" t="s">
        <v>5</v>
      </c>
      <c r="BC595" s="6" t="s">
        <v>5</v>
      </c>
      <c r="BD595" s="6" t="s">
        <v>5</v>
      </c>
      <c r="BE595" s="6" t="s">
        <v>5</v>
      </c>
      <c r="BF595" s="6" t="s">
        <v>5</v>
      </c>
      <c r="BG595" s="6" t="s">
        <v>5</v>
      </c>
      <c r="BH595" s="6" t="s">
        <v>5</v>
      </c>
      <c r="BI595" s="7">
        <v>2.09</v>
      </c>
      <c r="BJ595" s="22">
        <v>0.84499999999999997</v>
      </c>
      <c r="BK595" s="6" t="s">
        <v>5</v>
      </c>
      <c r="BL595" s="2" t="s">
        <v>5</v>
      </c>
      <c r="BM595" s="2" t="s">
        <v>5</v>
      </c>
      <c r="BN595" s="2" t="s">
        <v>5</v>
      </c>
      <c r="BO595" s="2" t="s">
        <v>5</v>
      </c>
      <c r="BP595" s="2" t="s">
        <v>5</v>
      </c>
      <c r="BQ595" s="2" t="s">
        <v>5</v>
      </c>
      <c r="BR595" s="2" t="s">
        <v>5</v>
      </c>
      <c r="BS595" s="2" t="s">
        <v>5</v>
      </c>
      <c r="BT595" s="2" t="s">
        <v>5</v>
      </c>
      <c r="BU595" s="2" t="s">
        <v>5</v>
      </c>
      <c r="BV595" s="2" t="s">
        <v>5</v>
      </c>
      <c r="BW595" s="2" t="s">
        <v>5</v>
      </c>
      <c r="BX595" s="2" t="s">
        <v>5</v>
      </c>
      <c r="BY595" s="25" t="s">
        <v>5</v>
      </c>
      <c r="BZ595" s="25" t="s">
        <v>5</v>
      </c>
      <c r="CA595" s="6" t="s">
        <v>5</v>
      </c>
      <c r="CB595" s="6" t="s">
        <v>5</v>
      </c>
      <c r="CC595" s="6" t="s">
        <v>5</v>
      </c>
      <c r="CD595" s="6" t="s">
        <v>5</v>
      </c>
      <c r="CE595" s="6" t="s">
        <v>5</v>
      </c>
      <c r="CF595" s="16" t="s">
        <v>5</v>
      </c>
      <c r="CG595" s="16" t="s">
        <v>5</v>
      </c>
      <c r="CH595" s="18" t="s">
        <v>5</v>
      </c>
    </row>
    <row r="596" spans="2:86">
      <c r="B596" s="78" t="s">
        <v>473</v>
      </c>
      <c r="C596" s="79" t="s">
        <v>696</v>
      </c>
      <c r="D596" s="80" t="s">
        <v>696</v>
      </c>
      <c r="E596" s="1" t="s">
        <v>4</v>
      </c>
      <c r="F596" s="4">
        <v>14.4</v>
      </c>
      <c r="G596" s="7">
        <v>4.2</v>
      </c>
      <c r="H596" s="3" t="str">
        <f t="shared" si="28"/>
        <v>2L3-1/2X3-1/2X5/16X3/4</v>
      </c>
      <c r="I596" s="7">
        <v>3.5</v>
      </c>
      <c r="J596" s="5" t="s">
        <v>5</v>
      </c>
      <c r="K596" s="6" t="s">
        <v>5</v>
      </c>
      <c r="L596" s="6" t="s">
        <v>5</v>
      </c>
      <c r="M596" s="6" t="s">
        <v>5</v>
      </c>
      <c r="N596" s="6" t="s">
        <v>5</v>
      </c>
      <c r="O596" s="5" t="s">
        <v>5</v>
      </c>
      <c r="P596" s="5" t="s">
        <v>5</v>
      </c>
      <c r="Q596" s="7">
        <v>3.5</v>
      </c>
      <c r="R596" s="6" t="s">
        <v>5</v>
      </c>
      <c r="S596" s="6" t="s">
        <v>5</v>
      </c>
      <c r="T596" s="5" t="s">
        <v>5</v>
      </c>
      <c r="U596" s="8" t="s">
        <v>5</v>
      </c>
      <c r="V596" s="6" t="s">
        <v>5</v>
      </c>
      <c r="W596" s="8" t="s">
        <v>5</v>
      </c>
      <c r="X596" s="22">
        <v>0.313</v>
      </c>
      <c r="Y596" s="6" t="s">
        <v>5</v>
      </c>
      <c r="Z596" s="6" t="s">
        <v>5</v>
      </c>
      <c r="AA596" s="6" t="s">
        <v>5</v>
      </c>
      <c r="AB596" s="8" t="s">
        <v>5</v>
      </c>
      <c r="AC596" s="8" t="s">
        <v>5</v>
      </c>
      <c r="AD596" s="6" t="s">
        <v>5</v>
      </c>
      <c r="AE596" s="22">
        <v>0.97899999999999998</v>
      </c>
      <c r="AF596" s="6" t="s">
        <v>5</v>
      </c>
      <c r="AG596" s="6" t="s">
        <v>5</v>
      </c>
      <c r="AH596" s="22">
        <v>0.3</v>
      </c>
      <c r="AI596" s="6" t="s">
        <v>5</v>
      </c>
      <c r="AJ596" s="4">
        <v>11.2</v>
      </c>
      <c r="AK596" s="6" t="s">
        <v>5</v>
      </c>
      <c r="AL596" s="6" t="s">
        <v>5</v>
      </c>
      <c r="AM596" s="6" t="s">
        <v>5</v>
      </c>
      <c r="AN596" s="6" t="s">
        <v>5</v>
      </c>
      <c r="AO596" s="7">
        <v>4.88</v>
      </c>
      <c r="AP596" s="7">
        <v>3.48</v>
      </c>
      <c r="AQ596" s="7">
        <v>1.94</v>
      </c>
      <c r="AR596" s="7">
        <v>1.08</v>
      </c>
      <c r="AS596" s="6">
        <v>12.6</v>
      </c>
      <c r="AT596" s="6">
        <v>5.69</v>
      </c>
      <c r="AU596" s="6">
        <v>3.25</v>
      </c>
      <c r="AV596" s="7">
        <v>1.73</v>
      </c>
      <c r="AW596" s="6" t="s">
        <v>5</v>
      </c>
      <c r="AX596" s="6" t="s">
        <v>5</v>
      </c>
      <c r="AY596" s="6" t="s">
        <v>5</v>
      </c>
      <c r="AZ596" s="6" t="s">
        <v>5</v>
      </c>
      <c r="BA596" s="6" t="s">
        <v>5</v>
      </c>
      <c r="BB596" s="6" t="s">
        <v>5</v>
      </c>
      <c r="BC596" s="6" t="s">
        <v>5</v>
      </c>
      <c r="BD596" s="6" t="s">
        <v>5</v>
      </c>
      <c r="BE596" s="6" t="s">
        <v>5</v>
      </c>
      <c r="BF596" s="6" t="s">
        <v>5</v>
      </c>
      <c r="BG596" s="6" t="s">
        <v>5</v>
      </c>
      <c r="BH596" s="6" t="s">
        <v>5</v>
      </c>
      <c r="BI596" s="7">
        <v>2.2000000000000002</v>
      </c>
      <c r="BJ596" s="22">
        <v>0.86</v>
      </c>
      <c r="BK596" s="6" t="s">
        <v>5</v>
      </c>
      <c r="BL596" s="2" t="s">
        <v>5</v>
      </c>
      <c r="BM596" s="2" t="s">
        <v>5</v>
      </c>
      <c r="BN596" s="2" t="s">
        <v>5</v>
      </c>
      <c r="BO596" s="2" t="s">
        <v>5</v>
      </c>
      <c r="BP596" s="2" t="s">
        <v>5</v>
      </c>
      <c r="BQ596" s="2" t="s">
        <v>5</v>
      </c>
      <c r="BR596" s="2" t="s">
        <v>5</v>
      </c>
      <c r="BS596" s="2" t="s">
        <v>5</v>
      </c>
      <c r="BT596" s="2" t="s">
        <v>5</v>
      </c>
      <c r="BU596" s="2" t="s">
        <v>5</v>
      </c>
      <c r="BV596" s="2" t="s">
        <v>5</v>
      </c>
      <c r="BW596" s="2" t="s">
        <v>5</v>
      </c>
      <c r="BX596" s="2" t="s">
        <v>5</v>
      </c>
      <c r="BY596" s="25" t="s">
        <v>5</v>
      </c>
      <c r="BZ596" s="25" t="s">
        <v>5</v>
      </c>
      <c r="CA596" s="6" t="s">
        <v>5</v>
      </c>
      <c r="CB596" s="6" t="s">
        <v>5</v>
      </c>
      <c r="CC596" s="6" t="s">
        <v>5</v>
      </c>
      <c r="CD596" s="6" t="s">
        <v>5</v>
      </c>
      <c r="CE596" s="6" t="s">
        <v>5</v>
      </c>
      <c r="CF596" s="16" t="s">
        <v>5</v>
      </c>
      <c r="CG596" s="16" t="s">
        <v>5</v>
      </c>
      <c r="CH596" s="18" t="s">
        <v>5</v>
      </c>
    </row>
    <row r="597" spans="2:86">
      <c r="B597" s="78" t="s">
        <v>473</v>
      </c>
      <c r="C597" s="79" t="s">
        <v>697</v>
      </c>
      <c r="D597" s="80" t="s">
        <v>697</v>
      </c>
      <c r="E597" s="1" t="s">
        <v>4</v>
      </c>
      <c r="F597" s="4">
        <v>11.6</v>
      </c>
      <c r="G597" s="7">
        <v>3.4</v>
      </c>
      <c r="H597" s="3" t="str">
        <f t="shared" si="28"/>
        <v>2L3-1/2X3-1/2X1/4</v>
      </c>
      <c r="I597" s="7">
        <v>3.5</v>
      </c>
      <c r="J597" s="5" t="s">
        <v>5</v>
      </c>
      <c r="K597" s="6" t="s">
        <v>5</v>
      </c>
      <c r="L597" s="6" t="s">
        <v>5</v>
      </c>
      <c r="M597" s="6" t="s">
        <v>5</v>
      </c>
      <c r="N597" s="6" t="s">
        <v>5</v>
      </c>
      <c r="O597" s="5" t="s">
        <v>5</v>
      </c>
      <c r="P597" s="5" t="s">
        <v>5</v>
      </c>
      <c r="Q597" s="7">
        <v>3.5</v>
      </c>
      <c r="R597" s="6" t="s">
        <v>5</v>
      </c>
      <c r="S597" s="6" t="s">
        <v>5</v>
      </c>
      <c r="T597" s="5" t="s">
        <v>5</v>
      </c>
      <c r="U597" s="8" t="s">
        <v>5</v>
      </c>
      <c r="V597" s="6" t="s">
        <v>5</v>
      </c>
      <c r="W597" s="8" t="s">
        <v>5</v>
      </c>
      <c r="X597" s="22">
        <v>0.25</v>
      </c>
      <c r="Y597" s="6" t="s">
        <v>5</v>
      </c>
      <c r="Z597" s="6" t="s">
        <v>5</v>
      </c>
      <c r="AA597" s="6" t="s">
        <v>5</v>
      </c>
      <c r="AB597" s="8" t="s">
        <v>5</v>
      </c>
      <c r="AC597" s="8" t="s">
        <v>5</v>
      </c>
      <c r="AD597" s="6" t="s">
        <v>5</v>
      </c>
      <c r="AE597" s="22">
        <v>0.95399999999999996</v>
      </c>
      <c r="AF597" s="6" t="s">
        <v>5</v>
      </c>
      <c r="AG597" s="6" t="s">
        <v>5</v>
      </c>
      <c r="AH597" s="22">
        <v>0.24299999999999999</v>
      </c>
      <c r="AI597" s="6" t="s">
        <v>5</v>
      </c>
      <c r="AJ597" s="4">
        <v>14</v>
      </c>
      <c r="AK597" s="6" t="s">
        <v>5</v>
      </c>
      <c r="AL597" s="6" t="s">
        <v>5</v>
      </c>
      <c r="AM597" s="6" t="s">
        <v>5</v>
      </c>
      <c r="AN597" s="6" t="s">
        <v>5</v>
      </c>
      <c r="AO597" s="7">
        <v>4</v>
      </c>
      <c r="AP597" s="7">
        <v>2.82</v>
      </c>
      <c r="AQ597" s="7">
        <v>1.57</v>
      </c>
      <c r="AR597" s="7">
        <v>1.0900000000000001</v>
      </c>
      <c r="AS597" s="6">
        <v>7.05</v>
      </c>
      <c r="AT597" s="6">
        <v>3.24</v>
      </c>
      <c r="AU597" s="6">
        <v>2.0099999999999998</v>
      </c>
      <c r="AV597" s="7">
        <v>1.44</v>
      </c>
      <c r="AW597" s="6" t="s">
        <v>5</v>
      </c>
      <c r="AX597" s="6" t="s">
        <v>5</v>
      </c>
      <c r="AY597" s="6" t="s">
        <v>5</v>
      </c>
      <c r="AZ597" s="6" t="s">
        <v>5</v>
      </c>
      <c r="BA597" s="6" t="s">
        <v>5</v>
      </c>
      <c r="BB597" s="6" t="s">
        <v>5</v>
      </c>
      <c r="BC597" s="6" t="s">
        <v>5</v>
      </c>
      <c r="BD597" s="6" t="s">
        <v>5</v>
      </c>
      <c r="BE597" s="6" t="s">
        <v>5</v>
      </c>
      <c r="BF597" s="6" t="s">
        <v>5</v>
      </c>
      <c r="BG597" s="6" t="s">
        <v>5</v>
      </c>
      <c r="BH597" s="6" t="s">
        <v>5</v>
      </c>
      <c r="BI597" s="7">
        <v>1.99</v>
      </c>
      <c r="BJ597" s="22">
        <v>0.82599999999999996</v>
      </c>
      <c r="BK597" s="6" t="s">
        <v>5</v>
      </c>
      <c r="BL597" s="2" t="s">
        <v>5</v>
      </c>
      <c r="BM597" s="2" t="s">
        <v>5</v>
      </c>
      <c r="BN597" s="2" t="s">
        <v>5</v>
      </c>
      <c r="BO597" s="2" t="s">
        <v>5</v>
      </c>
      <c r="BP597" s="2" t="s">
        <v>5</v>
      </c>
      <c r="BQ597" s="2" t="s">
        <v>5</v>
      </c>
      <c r="BR597" s="2" t="s">
        <v>5</v>
      </c>
      <c r="BS597" s="2" t="s">
        <v>5</v>
      </c>
      <c r="BT597" s="2" t="s">
        <v>5</v>
      </c>
      <c r="BU597" s="2" t="s">
        <v>5</v>
      </c>
      <c r="BV597" s="2" t="s">
        <v>5</v>
      </c>
      <c r="BW597" s="2" t="s">
        <v>5</v>
      </c>
      <c r="BX597" s="2" t="s">
        <v>5</v>
      </c>
      <c r="BY597" s="25" t="s">
        <v>5</v>
      </c>
      <c r="BZ597" s="25" t="s">
        <v>5</v>
      </c>
      <c r="CA597" s="6" t="s">
        <v>5</v>
      </c>
      <c r="CB597" s="6" t="s">
        <v>5</v>
      </c>
      <c r="CC597" s="6" t="s">
        <v>5</v>
      </c>
      <c r="CD597" s="6" t="s">
        <v>5</v>
      </c>
      <c r="CE597" s="6" t="s">
        <v>5</v>
      </c>
      <c r="CF597" s="16" t="s">
        <v>5</v>
      </c>
      <c r="CG597" s="16" t="s">
        <v>5</v>
      </c>
      <c r="CH597" s="18" t="s">
        <v>5</v>
      </c>
    </row>
    <row r="598" spans="2:86">
      <c r="B598" s="78" t="s">
        <v>473</v>
      </c>
      <c r="C598" s="79" t="s">
        <v>698</v>
      </c>
      <c r="D598" s="80" t="s">
        <v>698</v>
      </c>
      <c r="E598" s="1" t="s">
        <v>4</v>
      </c>
      <c r="F598" s="4">
        <v>11.6</v>
      </c>
      <c r="G598" s="7">
        <v>3.4</v>
      </c>
      <c r="H598" s="3" t="str">
        <f t="shared" si="28"/>
        <v>2L3-1/2X3-1/2X1/4X3/8</v>
      </c>
      <c r="I598" s="7">
        <v>3.5</v>
      </c>
      <c r="J598" s="5" t="s">
        <v>5</v>
      </c>
      <c r="K598" s="6" t="s">
        <v>5</v>
      </c>
      <c r="L598" s="6" t="s">
        <v>5</v>
      </c>
      <c r="M598" s="6" t="s">
        <v>5</v>
      </c>
      <c r="N598" s="6" t="s">
        <v>5</v>
      </c>
      <c r="O598" s="5" t="s">
        <v>5</v>
      </c>
      <c r="P598" s="5" t="s">
        <v>5</v>
      </c>
      <c r="Q598" s="7">
        <v>3.5</v>
      </c>
      <c r="R598" s="6" t="s">
        <v>5</v>
      </c>
      <c r="S598" s="6" t="s">
        <v>5</v>
      </c>
      <c r="T598" s="5" t="s">
        <v>5</v>
      </c>
      <c r="U598" s="8" t="s">
        <v>5</v>
      </c>
      <c r="V598" s="6" t="s">
        <v>5</v>
      </c>
      <c r="W598" s="8" t="s">
        <v>5</v>
      </c>
      <c r="X598" s="22">
        <v>0.25</v>
      </c>
      <c r="Y598" s="6" t="s">
        <v>5</v>
      </c>
      <c r="Z598" s="6" t="s">
        <v>5</v>
      </c>
      <c r="AA598" s="6" t="s">
        <v>5</v>
      </c>
      <c r="AB598" s="8" t="s">
        <v>5</v>
      </c>
      <c r="AC598" s="8" t="s">
        <v>5</v>
      </c>
      <c r="AD598" s="6" t="s">
        <v>5</v>
      </c>
      <c r="AE598" s="22">
        <v>0.95399999999999996</v>
      </c>
      <c r="AF598" s="6" t="s">
        <v>5</v>
      </c>
      <c r="AG598" s="6" t="s">
        <v>5</v>
      </c>
      <c r="AH598" s="22">
        <v>0.24299999999999999</v>
      </c>
      <c r="AI598" s="6" t="s">
        <v>5</v>
      </c>
      <c r="AJ598" s="4">
        <v>14</v>
      </c>
      <c r="AK598" s="6" t="s">
        <v>5</v>
      </c>
      <c r="AL598" s="6" t="s">
        <v>5</v>
      </c>
      <c r="AM598" s="6" t="s">
        <v>5</v>
      </c>
      <c r="AN598" s="6" t="s">
        <v>5</v>
      </c>
      <c r="AO598" s="7">
        <v>4</v>
      </c>
      <c r="AP598" s="7">
        <v>2.82</v>
      </c>
      <c r="AQ598" s="7">
        <v>1.57</v>
      </c>
      <c r="AR598" s="7">
        <v>1.0900000000000001</v>
      </c>
      <c r="AS598" s="6">
        <v>8.3800000000000008</v>
      </c>
      <c r="AT598" s="6">
        <v>3.88</v>
      </c>
      <c r="AU598" s="6">
        <v>2.27</v>
      </c>
      <c r="AV598" s="7">
        <v>1.57</v>
      </c>
      <c r="AW598" s="6" t="s">
        <v>5</v>
      </c>
      <c r="AX598" s="6" t="s">
        <v>5</v>
      </c>
      <c r="AY598" s="6" t="s">
        <v>5</v>
      </c>
      <c r="AZ598" s="6" t="s">
        <v>5</v>
      </c>
      <c r="BA598" s="6" t="s">
        <v>5</v>
      </c>
      <c r="BB598" s="6" t="s">
        <v>5</v>
      </c>
      <c r="BC598" s="6" t="s">
        <v>5</v>
      </c>
      <c r="BD598" s="6" t="s">
        <v>5</v>
      </c>
      <c r="BE598" s="6" t="s">
        <v>5</v>
      </c>
      <c r="BF598" s="6" t="s">
        <v>5</v>
      </c>
      <c r="BG598" s="6" t="s">
        <v>5</v>
      </c>
      <c r="BH598" s="6" t="s">
        <v>5</v>
      </c>
      <c r="BI598" s="7">
        <v>2.08</v>
      </c>
      <c r="BJ598" s="22">
        <v>0.84199999999999997</v>
      </c>
      <c r="BK598" s="6" t="s">
        <v>5</v>
      </c>
      <c r="BL598" s="2" t="s">
        <v>5</v>
      </c>
      <c r="BM598" s="2" t="s">
        <v>5</v>
      </c>
      <c r="BN598" s="2" t="s">
        <v>5</v>
      </c>
      <c r="BO598" s="2" t="s">
        <v>5</v>
      </c>
      <c r="BP598" s="2" t="s">
        <v>5</v>
      </c>
      <c r="BQ598" s="2" t="s">
        <v>5</v>
      </c>
      <c r="BR598" s="2" t="s">
        <v>5</v>
      </c>
      <c r="BS598" s="2" t="s">
        <v>5</v>
      </c>
      <c r="BT598" s="2" t="s">
        <v>5</v>
      </c>
      <c r="BU598" s="2" t="s">
        <v>5</v>
      </c>
      <c r="BV598" s="2" t="s">
        <v>5</v>
      </c>
      <c r="BW598" s="2" t="s">
        <v>5</v>
      </c>
      <c r="BX598" s="2" t="s">
        <v>5</v>
      </c>
      <c r="BY598" s="25" t="s">
        <v>5</v>
      </c>
      <c r="BZ598" s="25" t="s">
        <v>5</v>
      </c>
      <c r="CA598" s="6" t="s">
        <v>5</v>
      </c>
      <c r="CB598" s="6" t="s">
        <v>5</v>
      </c>
      <c r="CC598" s="6" t="s">
        <v>5</v>
      </c>
      <c r="CD598" s="6" t="s">
        <v>5</v>
      </c>
      <c r="CE598" s="6" t="s">
        <v>5</v>
      </c>
      <c r="CF598" s="16" t="s">
        <v>5</v>
      </c>
      <c r="CG598" s="16" t="s">
        <v>5</v>
      </c>
      <c r="CH598" s="18" t="s">
        <v>5</v>
      </c>
    </row>
    <row r="599" spans="2:86">
      <c r="B599" s="78" t="s">
        <v>473</v>
      </c>
      <c r="C599" s="79" t="s">
        <v>699</v>
      </c>
      <c r="D599" s="80" t="s">
        <v>699</v>
      </c>
      <c r="E599" s="1" t="s">
        <v>4</v>
      </c>
      <c r="F599" s="4">
        <v>11.6</v>
      </c>
      <c r="G599" s="7">
        <v>3.4</v>
      </c>
      <c r="H599" s="3" t="str">
        <f t="shared" si="28"/>
        <v>2L3-1/2X3-1/2X1/4X3/4</v>
      </c>
      <c r="I599" s="7">
        <v>3.5</v>
      </c>
      <c r="J599" s="5" t="s">
        <v>5</v>
      </c>
      <c r="K599" s="6" t="s">
        <v>5</v>
      </c>
      <c r="L599" s="6" t="s">
        <v>5</v>
      </c>
      <c r="M599" s="6" t="s">
        <v>5</v>
      </c>
      <c r="N599" s="6" t="s">
        <v>5</v>
      </c>
      <c r="O599" s="5" t="s">
        <v>5</v>
      </c>
      <c r="P599" s="5" t="s">
        <v>5</v>
      </c>
      <c r="Q599" s="7">
        <v>3.5</v>
      </c>
      <c r="R599" s="6" t="s">
        <v>5</v>
      </c>
      <c r="S599" s="6" t="s">
        <v>5</v>
      </c>
      <c r="T599" s="5" t="s">
        <v>5</v>
      </c>
      <c r="U599" s="8" t="s">
        <v>5</v>
      </c>
      <c r="V599" s="6" t="s">
        <v>5</v>
      </c>
      <c r="W599" s="8" t="s">
        <v>5</v>
      </c>
      <c r="X599" s="22">
        <v>0.25</v>
      </c>
      <c r="Y599" s="6" t="s">
        <v>5</v>
      </c>
      <c r="Z599" s="6" t="s">
        <v>5</v>
      </c>
      <c r="AA599" s="6" t="s">
        <v>5</v>
      </c>
      <c r="AB599" s="8" t="s">
        <v>5</v>
      </c>
      <c r="AC599" s="8" t="s">
        <v>5</v>
      </c>
      <c r="AD599" s="6" t="s">
        <v>5</v>
      </c>
      <c r="AE599" s="22">
        <v>0.95399999999999996</v>
      </c>
      <c r="AF599" s="6" t="s">
        <v>5</v>
      </c>
      <c r="AG599" s="6" t="s">
        <v>5</v>
      </c>
      <c r="AH599" s="22">
        <v>0.24299999999999999</v>
      </c>
      <c r="AI599" s="6" t="s">
        <v>5</v>
      </c>
      <c r="AJ599" s="4">
        <v>14</v>
      </c>
      <c r="AK599" s="6" t="s">
        <v>5</v>
      </c>
      <c r="AL599" s="6" t="s">
        <v>5</v>
      </c>
      <c r="AM599" s="6" t="s">
        <v>5</v>
      </c>
      <c r="AN599" s="6" t="s">
        <v>5</v>
      </c>
      <c r="AO599" s="7">
        <v>4</v>
      </c>
      <c r="AP599" s="7">
        <v>2.82</v>
      </c>
      <c r="AQ599" s="7">
        <v>1.57</v>
      </c>
      <c r="AR599" s="7">
        <v>1.0900000000000001</v>
      </c>
      <c r="AS599" s="6">
        <v>10.1</v>
      </c>
      <c r="AT599" s="6">
        <v>4.5199999999999996</v>
      </c>
      <c r="AU599" s="6">
        <v>2.61</v>
      </c>
      <c r="AV599" s="7">
        <v>1.72</v>
      </c>
      <c r="AW599" s="6" t="s">
        <v>5</v>
      </c>
      <c r="AX599" s="6" t="s">
        <v>5</v>
      </c>
      <c r="AY599" s="6" t="s">
        <v>5</v>
      </c>
      <c r="AZ599" s="6" t="s">
        <v>5</v>
      </c>
      <c r="BA599" s="6" t="s">
        <v>5</v>
      </c>
      <c r="BB599" s="6" t="s">
        <v>5</v>
      </c>
      <c r="BC599" s="6" t="s">
        <v>5</v>
      </c>
      <c r="BD599" s="6" t="s">
        <v>5</v>
      </c>
      <c r="BE599" s="6" t="s">
        <v>5</v>
      </c>
      <c r="BF599" s="6" t="s">
        <v>5</v>
      </c>
      <c r="BG599" s="6" t="s">
        <v>5</v>
      </c>
      <c r="BH599" s="6" t="s">
        <v>5</v>
      </c>
      <c r="BI599" s="7">
        <v>2.19</v>
      </c>
      <c r="BJ599" s="22">
        <v>0.85699999999999998</v>
      </c>
      <c r="BK599" s="6" t="s">
        <v>5</v>
      </c>
      <c r="BL599" s="2" t="s">
        <v>5</v>
      </c>
      <c r="BM599" s="2" t="s">
        <v>5</v>
      </c>
      <c r="BN599" s="2" t="s">
        <v>5</v>
      </c>
      <c r="BO599" s="2" t="s">
        <v>5</v>
      </c>
      <c r="BP599" s="2" t="s">
        <v>5</v>
      </c>
      <c r="BQ599" s="2" t="s">
        <v>5</v>
      </c>
      <c r="BR599" s="2" t="s">
        <v>5</v>
      </c>
      <c r="BS599" s="2" t="s">
        <v>5</v>
      </c>
      <c r="BT599" s="2" t="s">
        <v>5</v>
      </c>
      <c r="BU599" s="2" t="s">
        <v>5</v>
      </c>
      <c r="BV599" s="2" t="s">
        <v>5</v>
      </c>
      <c r="BW599" s="2" t="s">
        <v>5</v>
      </c>
      <c r="BX599" s="2" t="s">
        <v>5</v>
      </c>
      <c r="BY599" s="25" t="s">
        <v>5</v>
      </c>
      <c r="BZ599" s="25" t="s">
        <v>5</v>
      </c>
      <c r="CA599" s="6" t="s">
        <v>5</v>
      </c>
      <c r="CB599" s="6" t="s">
        <v>5</v>
      </c>
      <c r="CC599" s="6" t="s">
        <v>5</v>
      </c>
      <c r="CD599" s="6" t="s">
        <v>5</v>
      </c>
      <c r="CE599" s="6" t="s">
        <v>5</v>
      </c>
      <c r="CF599" s="16" t="s">
        <v>5</v>
      </c>
      <c r="CG599" s="16" t="s">
        <v>5</v>
      </c>
      <c r="CH599" s="18" t="s">
        <v>5</v>
      </c>
    </row>
    <row r="600" spans="2:86">
      <c r="B600" s="78" t="s">
        <v>473</v>
      </c>
      <c r="C600" s="79" t="s">
        <v>700</v>
      </c>
      <c r="D600" s="80" t="s">
        <v>700</v>
      </c>
      <c r="E600" s="1" t="s">
        <v>4</v>
      </c>
      <c r="F600" s="4">
        <v>18.8</v>
      </c>
      <c r="G600" s="7">
        <v>5.52</v>
      </c>
      <c r="H600" s="3" t="str">
        <f t="shared" si="28"/>
        <v>2L3X3X1/2</v>
      </c>
      <c r="I600" s="7">
        <v>3</v>
      </c>
      <c r="J600" s="5" t="s">
        <v>5</v>
      </c>
      <c r="K600" s="6" t="s">
        <v>5</v>
      </c>
      <c r="L600" s="6" t="s">
        <v>5</v>
      </c>
      <c r="M600" s="6" t="s">
        <v>5</v>
      </c>
      <c r="N600" s="6" t="s">
        <v>5</v>
      </c>
      <c r="O600" s="5" t="s">
        <v>5</v>
      </c>
      <c r="P600" s="5" t="s">
        <v>5</v>
      </c>
      <c r="Q600" s="7">
        <v>3</v>
      </c>
      <c r="R600" s="6" t="s">
        <v>5</v>
      </c>
      <c r="S600" s="6" t="s">
        <v>5</v>
      </c>
      <c r="T600" s="5" t="s">
        <v>5</v>
      </c>
      <c r="U600" s="8" t="s">
        <v>5</v>
      </c>
      <c r="V600" s="6" t="s">
        <v>5</v>
      </c>
      <c r="W600" s="8" t="s">
        <v>5</v>
      </c>
      <c r="X600" s="22">
        <v>0.5</v>
      </c>
      <c r="Y600" s="6" t="s">
        <v>5</v>
      </c>
      <c r="Z600" s="6" t="s">
        <v>5</v>
      </c>
      <c r="AA600" s="6" t="s">
        <v>5</v>
      </c>
      <c r="AB600" s="8" t="s">
        <v>5</v>
      </c>
      <c r="AC600" s="8" t="s">
        <v>5</v>
      </c>
      <c r="AD600" s="6" t="s">
        <v>5</v>
      </c>
      <c r="AE600" s="22">
        <v>0.92900000000000005</v>
      </c>
      <c r="AF600" s="6" t="s">
        <v>5</v>
      </c>
      <c r="AG600" s="6" t="s">
        <v>5</v>
      </c>
      <c r="AH600" s="22">
        <v>0.46</v>
      </c>
      <c r="AI600" s="6" t="s">
        <v>5</v>
      </c>
      <c r="AJ600" s="7">
        <v>6</v>
      </c>
      <c r="AK600" s="6" t="s">
        <v>5</v>
      </c>
      <c r="AL600" s="6" t="s">
        <v>5</v>
      </c>
      <c r="AM600" s="6" t="s">
        <v>5</v>
      </c>
      <c r="AN600" s="6" t="s">
        <v>5</v>
      </c>
      <c r="AO600" s="7">
        <v>4.4000000000000004</v>
      </c>
      <c r="AP600" s="7">
        <v>3.82</v>
      </c>
      <c r="AQ600" s="7">
        <v>2.12</v>
      </c>
      <c r="AR600" s="22">
        <v>0.89500000000000002</v>
      </c>
      <c r="AS600" s="6">
        <v>9.19</v>
      </c>
      <c r="AT600" s="6">
        <v>5.13</v>
      </c>
      <c r="AU600" s="6">
        <v>3.06</v>
      </c>
      <c r="AV600" s="7">
        <v>1.29</v>
      </c>
      <c r="AW600" s="6" t="s">
        <v>5</v>
      </c>
      <c r="AX600" s="6" t="s">
        <v>5</v>
      </c>
      <c r="AY600" s="6" t="s">
        <v>5</v>
      </c>
      <c r="AZ600" s="6" t="s">
        <v>5</v>
      </c>
      <c r="BA600" s="6" t="s">
        <v>5</v>
      </c>
      <c r="BB600" s="6" t="s">
        <v>5</v>
      </c>
      <c r="BC600" s="6" t="s">
        <v>5</v>
      </c>
      <c r="BD600" s="6" t="s">
        <v>5</v>
      </c>
      <c r="BE600" s="6" t="s">
        <v>5</v>
      </c>
      <c r="BF600" s="6" t="s">
        <v>5</v>
      </c>
      <c r="BG600" s="6" t="s">
        <v>5</v>
      </c>
      <c r="BH600" s="6" t="s">
        <v>5</v>
      </c>
      <c r="BI600" s="7">
        <v>1.71</v>
      </c>
      <c r="BJ600" s="22">
        <v>0.84199999999999997</v>
      </c>
      <c r="BK600" s="6" t="s">
        <v>5</v>
      </c>
      <c r="BL600" s="2" t="s">
        <v>5</v>
      </c>
      <c r="BM600" s="2" t="s">
        <v>5</v>
      </c>
      <c r="BN600" s="2" t="s">
        <v>5</v>
      </c>
      <c r="BO600" s="2" t="s">
        <v>5</v>
      </c>
      <c r="BP600" s="2" t="s">
        <v>5</v>
      </c>
      <c r="BQ600" s="2" t="s">
        <v>5</v>
      </c>
      <c r="BR600" s="2" t="s">
        <v>5</v>
      </c>
      <c r="BS600" s="2" t="s">
        <v>5</v>
      </c>
      <c r="BT600" s="2" t="s">
        <v>5</v>
      </c>
      <c r="BU600" s="2" t="s">
        <v>5</v>
      </c>
      <c r="BV600" s="2" t="s">
        <v>5</v>
      </c>
      <c r="BW600" s="2" t="s">
        <v>5</v>
      </c>
      <c r="BX600" s="2" t="s">
        <v>5</v>
      </c>
      <c r="BY600" s="25" t="s">
        <v>5</v>
      </c>
      <c r="BZ600" s="25" t="s">
        <v>5</v>
      </c>
      <c r="CA600" s="6" t="s">
        <v>5</v>
      </c>
      <c r="CB600" s="6" t="s">
        <v>5</v>
      </c>
      <c r="CC600" s="6" t="s">
        <v>5</v>
      </c>
      <c r="CD600" s="6" t="s">
        <v>5</v>
      </c>
      <c r="CE600" s="6" t="s">
        <v>5</v>
      </c>
      <c r="CF600" s="16" t="s">
        <v>5</v>
      </c>
      <c r="CG600" s="16" t="s">
        <v>5</v>
      </c>
      <c r="CH600" s="18" t="s">
        <v>5</v>
      </c>
    </row>
    <row r="601" spans="2:86">
      <c r="B601" s="78" t="s">
        <v>473</v>
      </c>
      <c r="C601" s="79" t="s">
        <v>701</v>
      </c>
      <c r="D601" s="80" t="s">
        <v>701</v>
      </c>
      <c r="E601" s="1" t="s">
        <v>4</v>
      </c>
      <c r="F601" s="4">
        <v>18.8</v>
      </c>
      <c r="G601" s="7">
        <v>5.52</v>
      </c>
      <c r="H601" s="3" t="str">
        <f t="shared" si="28"/>
        <v>2L3X3X1/2X3/8</v>
      </c>
      <c r="I601" s="7">
        <v>3</v>
      </c>
      <c r="J601" s="5" t="s">
        <v>5</v>
      </c>
      <c r="K601" s="6" t="s">
        <v>5</v>
      </c>
      <c r="L601" s="6" t="s">
        <v>5</v>
      </c>
      <c r="M601" s="6" t="s">
        <v>5</v>
      </c>
      <c r="N601" s="6" t="s">
        <v>5</v>
      </c>
      <c r="O601" s="5" t="s">
        <v>5</v>
      </c>
      <c r="P601" s="5" t="s">
        <v>5</v>
      </c>
      <c r="Q601" s="7">
        <v>3</v>
      </c>
      <c r="R601" s="6" t="s">
        <v>5</v>
      </c>
      <c r="S601" s="6" t="s">
        <v>5</v>
      </c>
      <c r="T601" s="5" t="s">
        <v>5</v>
      </c>
      <c r="U601" s="8" t="s">
        <v>5</v>
      </c>
      <c r="V601" s="6" t="s">
        <v>5</v>
      </c>
      <c r="W601" s="8" t="s">
        <v>5</v>
      </c>
      <c r="X601" s="22">
        <v>0.5</v>
      </c>
      <c r="Y601" s="6" t="s">
        <v>5</v>
      </c>
      <c r="Z601" s="6" t="s">
        <v>5</v>
      </c>
      <c r="AA601" s="6" t="s">
        <v>5</v>
      </c>
      <c r="AB601" s="8" t="s">
        <v>5</v>
      </c>
      <c r="AC601" s="8" t="s">
        <v>5</v>
      </c>
      <c r="AD601" s="6" t="s">
        <v>5</v>
      </c>
      <c r="AE601" s="22">
        <v>0.92900000000000005</v>
      </c>
      <c r="AF601" s="6" t="s">
        <v>5</v>
      </c>
      <c r="AG601" s="6" t="s">
        <v>5</v>
      </c>
      <c r="AH601" s="22">
        <v>0.46</v>
      </c>
      <c r="AI601" s="6" t="s">
        <v>5</v>
      </c>
      <c r="AJ601" s="7">
        <v>6</v>
      </c>
      <c r="AK601" s="6" t="s">
        <v>5</v>
      </c>
      <c r="AL601" s="6" t="s">
        <v>5</v>
      </c>
      <c r="AM601" s="6" t="s">
        <v>5</v>
      </c>
      <c r="AN601" s="6" t="s">
        <v>5</v>
      </c>
      <c r="AO601" s="7">
        <v>4.4000000000000004</v>
      </c>
      <c r="AP601" s="7">
        <v>3.82</v>
      </c>
      <c r="AQ601" s="7">
        <v>2.12</v>
      </c>
      <c r="AR601" s="22">
        <v>0.89500000000000002</v>
      </c>
      <c r="AS601" s="6">
        <v>11.3</v>
      </c>
      <c r="AT601" s="6">
        <v>6.16</v>
      </c>
      <c r="AU601" s="6">
        <v>3.55</v>
      </c>
      <c r="AV601" s="7">
        <v>1.43</v>
      </c>
      <c r="AW601" s="6" t="s">
        <v>5</v>
      </c>
      <c r="AX601" s="6" t="s">
        <v>5</v>
      </c>
      <c r="AY601" s="6" t="s">
        <v>5</v>
      </c>
      <c r="AZ601" s="6" t="s">
        <v>5</v>
      </c>
      <c r="BA601" s="6" t="s">
        <v>5</v>
      </c>
      <c r="BB601" s="6" t="s">
        <v>5</v>
      </c>
      <c r="BC601" s="6" t="s">
        <v>5</v>
      </c>
      <c r="BD601" s="6" t="s">
        <v>5</v>
      </c>
      <c r="BE601" s="6" t="s">
        <v>5</v>
      </c>
      <c r="BF601" s="6" t="s">
        <v>5</v>
      </c>
      <c r="BG601" s="6" t="s">
        <v>5</v>
      </c>
      <c r="BH601" s="6" t="s">
        <v>5</v>
      </c>
      <c r="BI601" s="7">
        <v>1.82</v>
      </c>
      <c r="BJ601" s="22">
        <v>0.86099999999999999</v>
      </c>
      <c r="BK601" s="6" t="s">
        <v>5</v>
      </c>
      <c r="BL601" s="2" t="s">
        <v>5</v>
      </c>
      <c r="BM601" s="2" t="s">
        <v>5</v>
      </c>
      <c r="BN601" s="2" t="s">
        <v>5</v>
      </c>
      <c r="BO601" s="2" t="s">
        <v>5</v>
      </c>
      <c r="BP601" s="2" t="s">
        <v>5</v>
      </c>
      <c r="BQ601" s="2" t="s">
        <v>5</v>
      </c>
      <c r="BR601" s="2" t="s">
        <v>5</v>
      </c>
      <c r="BS601" s="2" t="s">
        <v>5</v>
      </c>
      <c r="BT601" s="2" t="s">
        <v>5</v>
      </c>
      <c r="BU601" s="2" t="s">
        <v>5</v>
      </c>
      <c r="BV601" s="2" t="s">
        <v>5</v>
      </c>
      <c r="BW601" s="2" t="s">
        <v>5</v>
      </c>
      <c r="BX601" s="2" t="s">
        <v>5</v>
      </c>
      <c r="BY601" s="25" t="s">
        <v>5</v>
      </c>
      <c r="BZ601" s="25" t="s">
        <v>5</v>
      </c>
      <c r="CA601" s="6" t="s">
        <v>5</v>
      </c>
      <c r="CB601" s="6" t="s">
        <v>5</v>
      </c>
      <c r="CC601" s="6" t="s">
        <v>5</v>
      </c>
      <c r="CD601" s="6" t="s">
        <v>5</v>
      </c>
      <c r="CE601" s="6" t="s">
        <v>5</v>
      </c>
      <c r="CF601" s="16" t="s">
        <v>5</v>
      </c>
      <c r="CG601" s="16" t="s">
        <v>5</v>
      </c>
      <c r="CH601" s="18" t="s">
        <v>5</v>
      </c>
    </row>
    <row r="602" spans="2:86">
      <c r="B602" s="78" t="s">
        <v>473</v>
      </c>
      <c r="C602" s="79" t="s">
        <v>702</v>
      </c>
      <c r="D602" s="80" t="s">
        <v>702</v>
      </c>
      <c r="E602" s="1" t="s">
        <v>4</v>
      </c>
      <c r="F602" s="4">
        <v>18.8</v>
      </c>
      <c r="G602" s="7">
        <v>5.52</v>
      </c>
      <c r="H602" s="3" t="str">
        <f t="shared" si="28"/>
        <v>2L3X3X1/2X3/4</v>
      </c>
      <c r="I602" s="7">
        <v>3</v>
      </c>
      <c r="J602" s="5" t="s">
        <v>5</v>
      </c>
      <c r="K602" s="6" t="s">
        <v>5</v>
      </c>
      <c r="L602" s="6" t="s">
        <v>5</v>
      </c>
      <c r="M602" s="6" t="s">
        <v>5</v>
      </c>
      <c r="N602" s="6" t="s">
        <v>5</v>
      </c>
      <c r="O602" s="5" t="s">
        <v>5</v>
      </c>
      <c r="P602" s="5" t="s">
        <v>5</v>
      </c>
      <c r="Q602" s="7">
        <v>3</v>
      </c>
      <c r="R602" s="6" t="s">
        <v>5</v>
      </c>
      <c r="S602" s="6" t="s">
        <v>5</v>
      </c>
      <c r="T602" s="5" t="s">
        <v>5</v>
      </c>
      <c r="U602" s="8" t="s">
        <v>5</v>
      </c>
      <c r="V602" s="6" t="s">
        <v>5</v>
      </c>
      <c r="W602" s="8" t="s">
        <v>5</v>
      </c>
      <c r="X602" s="22">
        <v>0.5</v>
      </c>
      <c r="Y602" s="6" t="s">
        <v>5</v>
      </c>
      <c r="Z602" s="6" t="s">
        <v>5</v>
      </c>
      <c r="AA602" s="6" t="s">
        <v>5</v>
      </c>
      <c r="AB602" s="8" t="s">
        <v>5</v>
      </c>
      <c r="AC602" s="8" t="s">
        <v>5</v>
      </c>
      <c r="AD602" s="6" t="s">
        <v>5</v>
      </c>
      <c r="AE602" s="22">
        <v>0.92900000000000005</v>
      </c>
      <c r="AF602" s="6" t="s">
        <v>5</v>
      </c>
      <c r="AG602" s="6" t="s">
        <v>5</v>
      </c>
      <c r="AH602" s="22">
        <v>0.46</v>
      </c>
      <c r="AI602" s="6" t="s">
        <v>5</v>
      </c>
      <c r="AJ602" s="7">
        <v>6</v>
      </c>
      <c r="AK602" s="6" t="s">
        <v>5</v>
      </c>
      <c r="AL602" s="6" t="s">
        <v>5</v>
      </c>
      <c r="AM602" s="6" t="s">
        <v>5</v>
      </c>
      <c r="AN602" s="6" t="s">
        <v>5</v>
      </c>
      <c r="AO602" s="7">
        <v>4.4000000000000004</v>
      </c>
      <c r="AP602" s="7">
        <v>3.82</v>
      </c>
      <c r="AQ602" s="7">
        <v>2.12</v>
      </c>
      <c r="AR602" s="22">
        <v>0.89500000000000002</v>
      </c>
      <c r="AS602" s="6">
        <v>13.8</v>
      </c>
      <c r="AT602" s="7">
        <v>7.2</v>
      </c>
      <c r="AU602" s="6">
        <v>4.09</v>
      </c>
      <c r="AV602" s="7">
        <v>1.58</v>
      </c>
      <c r="AW602" s="6" t="s">
        <v>5</v>
      </c>
      <c r="AX602" s="6" t="s">
        <v>5</v>
      </c>
      <c r="AY602" s="6" t="s">
        <v>5</v>
      </c>
      <c r="AZ602" s="6" t="s">
        <v>5</v>
      </c>
      <c r="BA602" s="6" t="s">
        <v>5</v>
      </c>
      <c r="BB602" s="6" t="s">
        <v>5</v>
      </c>
      <c r="BC602" s="6" t="s">
        <v>5</v>
      </c>
      <c r="BD602" s="6" t="s">
        <v>5</v>
      </c>
      <c r="BE602" s="6" t="s">
        <v>5</v>
      </c>
      <c r="BF602" s="6" t="s">
        <v>5</v>
      </c>
      <c r="BG602" s="6" t="s">
        <v>5</v>
      </c>
      <c r="BH602" s="6" t="s">
        <v>5</v>
      </c>
      <c r="BI602" s="7">
        <v>1.94</v>
      </c>
      <c r="BJ602" s="22">
        <v>0.878</v>
      </c>
      <c r="BK602" s="6" t="s">
        <v>5</v>
      </c>
      <c r="BL602" s="2" t="s">
        <v>5</v>
      </c>
      <c r="BM602" s="2" t="s">
        <v>5</v>
      </c>
      <c r="BN602" s="2" t="s">
        <v>5</v>
      </c>
      <c r="BO602" s="2" t="s">
        <v>5</v>
      </c>
      <c r="BP602" s="2" t="s">
        <v>5</v>
      </c>
      <c r="BQ602" s="2" t="s">
        <v>5</v>
      </c>
      <c r="BR602" s="2" t="s">
        <v>5</v>
      </c>
      <c r="BS602" s="2" t="s">
        <v>5</v>
      </c>
      <c r="BT602" s="2" t="s">
        <v>5</v>
      </c>
      <c r="BU602" s="2" t="s">
        <v>5</v>
      </c>
      <c r="BV602" s="2" t="s">
        <v>5</v>
      </c>
      <c r="BW602" s="2" t="s">
        <v>5</v>
      </c>
      <c r="BX602" s="2" t="s">
        <v>5</v>
      </c>
      <c r="BY602" s="25" t="s">
        <v>5</v>
      </c>
      <c r="BZ602" s="25" t="s">
        <v>5</v>
      </c>
      <c r="CA602" s="6" t="s">
        <v>5</v>
      </c>
      <c r="CB602" s="6" t="s">
        <v>5</v>
      </c>
      <c r="CC602" s="6" t="s">
        <v>5</v>
      </c>
      <c r="CD602" s="6" t="s">
        <v>5</v>
      </c>
      <c r="CE602" s="6" t="s">
        <v>5</v>
      </c>
      <c r="CF602" s="16" t="s">
        <v>5</v>
      </c>
      <c r="CG602" s="16" t="s">
        <v>5</v>
      </c>
      <c r="CH602" s="18" t="s">
        <v>5</v>
      </c>
    </row>
    <row r="603" spans="2:86">
      <c r="B603" s="78" t="s">
        <v>473</v>
      </c>
      <c r="C603" s="79" t="s">
        <v>703</v>
      </c>
      <c r="D603" s="80" t="s">
        <v>703</v>
      </c>
      <c r="E603" s="1" t="s">
        <v>4</v>
      </c>
      <c r="F603" s="4">
        <v>16.600000000000001</v>
      </c>
      <c r="G603" s="7">
        <v>4.8600000000000003</v>
      </c>
      <c r="H603" s="3" t="str">
        <f t="shared" si="28"/>
        <v>2L3X3X7/16</v>
      </c>
      <c r="I603" s="7">
        <v>3</v>
      </c>
      <c r="J603" s="5" t="s">
        <v>5</v>
      </c>
      <c r="K603" s="6" t="s">
        <v>5</v>
      </c>
      <c r="L603" s="6" t="s">
        <v>5</v>
      </c>
      <c r="M603" s="6" t="s">
        <v>5</v>
      </c>
      <c r="N603" s="6" t="s">
        <v>5</v>
      </c>
      <c r="O603" s="5" t="s">
        <v>5</v>
      </c>
      <c r="P603" s="5" t="s">
        <v>5</v>
      </c>
      <c r="Q603" s="7">
        <v>3</v>
      </c>
      <c r="R603" s="6" t="s">
        <v>5</v>
      </c>
      <c r="S603" s="6" t="s">
        <v>5</v>
      </c>
      <c r="T603" s="5" t="s">
        <v>5</v>
      </c>
      <c r="U603" s="8" t="s">
        <v>5</v>
      </c>
      <c r="V603" s="6" t="s">
        <v>5</v>
      </c>
      <c r="W603" s="8" t="s">
        <v>5</v>
      </c>
      <c r="X603" s="22">
        <v>0.438</v>
      </c>
      <c r="Y603" s="6" t="s">
        <v>5</v>
      </c>
      <c r="Z603" s="6" t="s">
        <v>5</v>
      </c>
      <c r="AA603" s="6" t="s">
        <v>5</v>
      </c>
      <c r="AB603" s="8" t="s">
        <v>5</v>
      </c>
      <c r="AC603" s="8" t="s">
        <v>5</v>
      </c>
      <c r="AD603" s="6" t="s">
        <v>5</v>
      </c>
      <c r="AE603" s="22">
        <v>0.90700000000000003</v>
      </c>
      <c r="AF603" s="6" t="s">
        <v>5</v>
      </c>
      <c r="AG603" s="6" t="s">
        <v>5</v>
      </c>
      <c r="AH603" s="22">
        <v>0.40500000000000003</v>
      </c>
      <c r="AI603" s="6" t="s">
        <v>5</v>
      </c>
      <c r="AJ603" s="7">
        <v>6.85</v>
      </c>
      <c r="AK603" s="6" t="s">
        <v>5</v>
      </c>
      <c r="AL603" s="6" t="s">
        <v>5</v>
      </c>
      <c r="AM603" s="6" t="s">
        <v>5</v>
      </c>
      <c r="AN603" s="6" t="s">
        <v>5</v>
      </c>
      <c r="AO603" s="7">
        <v>3.96</v>
      </c>
      <c r="AP603" s="7">
        <v>3.4</v>
      </c>
      <c r="AQ603" s="7">
        <v>1.89</v>
      </c>
      <c r="AR603" s="22">
        <v>0.90300000000000002</v>
      </c>
      <c r="AS603" s="6">
        <v>7.96</v>
      </c>
      <c r="AT603" s="6">
        <v>4.41</v>
      </c>
      <c r="AU603" s="6">
        <v>2.65</v>
      </c>
      <c r="AV603" s="7">
        <v>1.28</v>
      </c>
      <c r="AW603" s="6" t="s">
        <v>5</v>
      </c>
      <c r="AX603" s="6" t="s">
        <v>5</v>
      </c>
      <c r="AY603" s="6" t="s">
        <v>5</v>
      </c>
      <c r="AZ603" s="6" t="s">
        <v>5</v>
      </c>
      <c r="BA603" s="6" t="s">
        <v>5</v>
      </c>
      <c r="BB603" s="6" t="s">
        <v>5</v>
      </c>
      <c r="BC603" s="6" t="s">
        <v>5</v>
      </c>
      <c r="BD603" s="6" t="s">
        <v>5</v>
      </c>
      <c r="BE603" s="6" t="s">
        <v>5</v>
      </c>
      <c r="BF603" s="6" t="s">
        <v>5</v>
      </c>
      <c r="BG603" s="6" t="s">
        <v>5</v>
      </c>
      <c r="BH603" s="6" t="s">
        <v>5</v>
      </c>
      <c r="BI603" s="7">
        <v>1.71</v>
      </c>
      <c r="BJ603" s="22">
        <v>0.83799999999999997</v>
      </c>
      <c r="BK603" s="6" t="s">
        <v>5</v>
      </c>
      <c r="BL603" s="2" t="s">
        <v>5</v>
      </c>
      <c r="BM603" s="2" t="s">
        <v>5</v>
      </c>
      <c r="BN603" s="2" t="s">
        <v>5</v>
      </c>
      <c r="BO603" s="2" t="s">
        <v>5</v>
      </c>
      <c r="BP603" s="2" t="s">
        <v>5</v>
      </c>
      <c r="BQ603" s="2" t="s">
        <v>5</v>
      </c>
      <c r="BR603" s="2" t="s">
        <v>5</v>
      </c>
      <c r="BS603" s="2" t="s">
        <v>5</v>
      </c>
      <c r="BT603" s="2" t="s">
        <v>5</v>
      </c>
      <c r="BU603" s="2" t="s">
        <v>5</v>
      </c>
      <c r="BV603" s="2" t="s">
        <v>5</v>
      </c>
      <c r="BW603" s="2" t="s">
        <v>5</v>
      </c>
      <c r="BX603" s="2" t="s">
        <v>5</v>
      </c>
      <c r="BY603" s="25" t="s">
        <v>5</v>
      </c>
      <c r="BZ603" s="25" t="s">
        <v>5</v>
      </c>
      <c r="CA603" s="6" t="s">
        <v>5</v>
      </c>
      <c r="CB603" s="6" t="s">
        <v>5</v>
      </c>
      <c r="CC603" s="6" t="s">
        <v>5</v>
      </c>
      <c r="CD603" s="6" t="s">
        <v>5</v>
      </c>
      <c r="CE603" s="6" t="s">
        <v>5</v>
      </c>
      <c r="CF603" s="16" t="s">
        <v>5</v>
      </c>
      <c r="CG603" s="16" t="s">
        <v>5</v>
      </c>
      <c r="CH603" s="18" t="s">
        <v>5</v>
      </c>
    </row>
    <row r="604" spans="2:86">
      <c r="B604" s="78" t="s">
        <v>473</v>
      </c>
      <c r="C604" s="79" t="s">
        <v>704</v>
      </c>
      <c r="D604" s="80" t="s">
        <v>704</v>
      </c>
      <c r="E604" s="1" t="s">
        <v>4</v>
      </c>
      <c r="F604" s="4">
        <v>16.600000000000001</v>
      </c>
      <c r="G604" s="7">
        <v>4.8600000000000003</v>
      </c>
      <c r="H604" s="3" t="str">
        <f t="shared" si="28"/>
        <v>2L3X3X7/16X3/8</v>
      </c>
      <c r="I604" s="7">
        <v>3</v>
      </c>
      <c r="J604" s="5" t="s">
        <v>5</v>
      </c>
      <c r="K604" s="6" t="s">
        <v>5</v>
      </c>
      <c r="L604" s="6" t="s">
        <v>5</v>
      </c>
      <c r="M604" s="6" t="s">
        <v>5</v>
      </c>
      <c r="N604" s="6" t="s">
        <v>5</v>
      </c>
      <c r="O604" s="5" t="s">
        <v>5</v>
      </c>
      <c r="P604" s="5" t="s">
        <v>5</v>
      </c>
      <c r="Q604" s="7">
        <v>3</v>
      </c>
      <c r="R604" s="6" t="s">
        <v>5</v>
      </c>
      <c r="S604" s="6" t="s">
        <v>5</v>
      </c>
      <c r="T604" s="5" t="s">
        <v>5</v>
      </c>
      <c r="U604" s="8" t="s">
        <v>5</v>
      </c>
      <c r="V604" s="6" t="s">
        <v>5</v>
      </c>
      <c r="W604" s="8" t="s">
        <v>5</v>
      </c>
      <c r="X604" s="22">
        <v>0.438</v>
      </c>
      <c r="Y604" s="6" t="s">
        <v>5</v>
      </c>
      <c r="Z604" s="6" t="s">
        <v>5</v>
      </c>
      <c r="AA604" s="6" t="s">
        <v>5</v>
      </c>
      <c r="AB604" s="8" t="s">
        <v>5</v>
      </c>
      <c r="AC604" s="8" t="s">
        <v>5</v>
      </c>
      <c r="AD604" s="6" t="s">
        <v>5</v>
      </c>
      <c r="AE604" s="22">
        <v>0.90700000000000003</v>
      </c>
      <c r="AF604" s="6" t="s">
        <v>5</v>
      </c>
      <c r="AG604" s="6" t="s">
        <v>5</v>
      </c>
      <c r="AH604" s="22">
        <v>0.40500000000000003</v>
      </c>
      <c r="AI604" s="6" t="s">
        <v>5</v>
      </c>
      <c r="AJ604" s="7">
        <v>6.85</v>
      </c>
      <c r="AK604" s="6" t="s">
        <v>5</v>
      </c>
      <c r="AL604" s="6" t="s">
        <v>5</v>
      </c>
      <c r="AM604" s="6" t="s">
        <v>5</v>
      </c>
      <c r="AN604" s="6" t="s">
        <v>5</v>
      </c>
      <c r="AO604" s="7">
        <v>3.96</v>
      </c>
      <c r="AP604" s="7">
        <v>3.4</v>
      </c>
      <c r="AQ604" s="7">
        <v>1.89</v>
      </c>
      <c r="AR604" s="22">
        <v>0.90300000000000002</v>
      </c>
      <c r="AS604" s="7">
        <v>9.8000000000000007</v>
      </c>
      <c r="AT604" s="6">
        <v>5.32</v>
      </c>
      <c r="AU604" s="6">
        <v>3.07</v>
      </c>
      <c r="AV604" s="7">
        <v>1.42</v>
      </c>
      <c r="AW604" s="6" t="s">
        <v>5</v>
      </c>
      <c r="AX604" s="6" t="s">
        <v>5</v>
      </c>
      <c r="AY604" s="6" t="s">
        <v>5</v>
      </c>
      <c r="AZ604" s="6" t="s">
        <v>5</v>
      </c>
      <c r="BA604" s="6" t="s">
        <v>5</v>
      </c>
      <c r="BB604" s="6" t="s">
        <v>5</v>
      </c>
      <c r="BC604" s="6" t="s">
        <v>5</v>
      </c>
      <c r="BD604" s="6" t="s">
        <v>5</v>
      </c>
      <c r="BE604" s="6" t="s">
        <v>5</v>
      </c>
      <c r="BF604" s="6" t="s">
        <v>5</v>
      </c>
      <c r="BG604" s="6" t="s">
        <v>5</v>
      </c>
      <c r="BH604" s="6" t="s">
        <v>5</v>
      </c>
      <c r="BI604" s="7">
        <v>1.82</v>
      </c>
      <c r="BJ604" s="22">
        <v>0.85699999999999998</v>
      </c>
      <c r="BK604" s="6" t="s">
        <v>5</v>
      </c>
      <c r="BL604" s="2" t="s">
        <v>5</v>
      </c>
      <c r="BM604" s="2" t="s">
        <v>5</v>
      </c>
      <c r="BN604" s="2" t="s">
        <v>5</v>
      </c>
      <c r="BO604" s="2" t="s">
        <v>5</v>
      </c>
      <c r="BP604" s="2" t="s">
        <v>5</v>
      </c>
      <c r="BQ604" s="2" t="s">
        <v>5</v>
      </c>
      <c r="BR604" s="2" t="s">
        <v>5</v>
      </c>
      <c r="BS604" s="2" t="s">
        <v>5</v>
      </c>
      <c r="BT604" s="2" t="s">
        <v>5</v>
      </c>
      <c r="BU604" s="2" t="s">
        <v>5</v>
      </c>
      <c r="BV604" s="2" t="s">
        <v>5</v>
      </c>
      <c r="BW604" s="2" t="s">
        <v>5</v>
      </c>
      <c r="BX604" s="2" t="s">
        <v>5</v>
      </c>
      <c r="BY604" s="25" t="s">
        <v>5</v>
      </c>
      <c r="BZ604" s="25" t="s">
        <v>5</v>
      </c>
      <c r="CA604" s="6" t="s">
        <v>5</v>
      </c>
      <c r="CB604" s="6" t="s">
        <v>5</v>
      </c>
      <c r="CC604" s="6" t="s">
        <v>5</v>
      </c>
      <c r="CD604" s="6" t="s">
        <v>5</v>
      </c>
      <c r="CE604" s="6" t="s">
        <v>5</v>
      </c>
      <c r="CF604" s="16" t="s">
        <v>5</v>
      </c>
      <c r="CG604" s="16" t="s">
        <v>5</v>
      </c>
      <c r="CH604" s="18" t="s">
        <v>5</v>
      </c>
    </row>
    <row r="605" spans="2:86">
      <c r="B605" s="78" t="s">
        <v>473</v>
      </c>
      <c r="C605" s="79" t="s">
        <v>705</v>
      </c>
      <c r="D605" s="80" t="s">
        <v>705</v>
      </c>
      <c r="E605" s="1" t="s">
        <v>4</v>
      </c>
      <c r="F605" s="4">
        <v>16.600000000000001</v>
      </c>
      <c r="G605" s="7">
        <v>4.8600000000000003</v>
      </c>
      <c r="H605" s="3" t="str">
        <f t="shared" si="28"/>
        <v>2L3X3X7/16X3/4</v>
      </c>
      <c r="I605" s="7">
        <v>3</v>
      </c>
      <c r="J605" s="5" t="s">
        <v>5</v>
      </c>
      <c r="K605" s="6" t="s">
        <v>5</v>
      </c>
      <c r="L605" s="6" t="s">
        <v>5</v>
      </c>
      <c r="M605" s="6" t="s">
        <v>5</v>
      </c>
      <c r="N605" s="6" t="s">
        <v>5</v>
      </c>
      <c r="O605" s="5" t="s">
        <v>5</v>
      </c>
      <c r="P605" s="5" t="s">
        <v>5</v>
      </c>
      <c r="Q605" s="7">
        <v>3</v>
      </c>
      <c r="R605" s="6" t="s">
        <v>5</v>
      </c>
      <c r="S605" s="6" t="s">
        <v>5</v>
      </c>
      <c r="T605" s="5" t="s">
        <v>5</v>
      </c>
      <c r="U605" s="8" t="s">
        <v>5</v>
      </c>
      <c r="V605" s="6" t="s">
        <v>5</v>
      </c>
      <c r="W605" s="8" t="s">
        <v>5</v>
      </c>
      <c r="X605" s="22">
        <v>0.438</v>
      </c>
      <c r="Y605" s="6" t="s">
        <v>5</v>
      </c>
      <c r="Z605" s="6" t="s">
        <v>5</v>
      </c>
      <c r="AA605" s="6" t="s">
        <v>5</v>
      </c>
      <c r="AB605" s="8" t="s">
        <v>5</v>
      </c>
      <c r="AC605" s="8" t="s">
        <v>5</v>
      </c>
      <c r="AD605" s="6" t="s">
        <v>5</v>
      </c>
      <c r="AE605" s="22">
        <v>0.90700000000000003</v>
      </c>
      <c r="AF605" s="6" t="s">
        <v>5</v>
      </c>
      <c r="AG605" s="6" t="s">
        <v>5</v>
      </c>
      <c r="AH605" s="22">
        <v>0.40500000000000003</v>
      </c>
      <c r="AI605" s="6" t="s">
        <v>5</v>
      </c>
      <c r="AJ605" s="7">
        <v>6.85</v>
      </c>
      <c r="AK605" s="6" t="s">
        <v>5</v>
      </c>
      <c r="AL605" s="6" t="s">
        <v>5</v>
      </c>
      <c r="AM605" s="6" t="s">
        <v>5</v>
      </c>
      <c r="AN605" s="6" t="s">
        <v>5</v>
      </c>
      <c r="AO605" s="7">
        <v>3.96</v>
      </c>
      <c r="AP605" s="7">
        <v>3.4</v>
      </c>
      <c r="AQ605" s="7">
        <v>1.89</v>
      </c>
      <c r="AR605" s="22">
        <v>0.90300000000000002</v>
      </c>
      <c r="AS605" s="4">
        <v>12</v>
      </c>
      <c r="AT605" s="6">
        <v>6.23</v>
      </c>
      <c r="AU605" s="6">
        <v>3.56</v>
      </c>
      <c r="AV605" s="7">
        <v>1.57</v>
      </c>
      <c r="AW605" s="6" t="s">
        <v>5</v>
      </c>
      <c r="AX605" s="6" t="s">
        <v>5</v>
      </c>
      <c r="AY605" s="6" t="s">
        <v>5</v>
      </c>
      <c r="AZ605" s="6" t="s">
        <v>5</v>
      </c>
      <c r="BA605" s="6" t="s">
        <v>5</v>
      </c>
      <c r="BB605" s="6" t="s">
        <v>5</v>
      </c>
      <c r="BC605" s="6" t="s">
        <v>5</v>
      </c>
      <c r="BD605" s="6" t="s">
        <v>5</v>
      </c>
      <c r="BE605" s="6" t="s">
        <v>5</v>
      </c>
      <c r="BF605" s="6" t="s">
        <v>5</v>
      </c>
      <c r="BG605" s="6" t="s">
        <v>5</v>
      </c>
      <c r="BH605" s="6" t="s">
        <v>5</v>
      </c>
      <c r="BI605" s="7">
        <v>1.94</v>
      </c>
      <c r="BJ605" s="22">
        <v>0.874</v>
      </c>
      <c r="BK605" s="6" t="s">
        <v>5</v>
      </c>
      <c r="BL605" s="2" t="s">
        <v>5</v>
      </c>
      <c r="BM605" s="2" t="s">
        <v>5</v>
      </c>
      <c r="BN605" s="2" t="s">
        <v>5</v>
      </c>
      <c r="BO605" s="2" t="s">
        <v>5</v>
      </c>
      <c r="BP605" s="2" t="s">
        <v>5</v>
      </c>
      <c r="BQ605" s="2" t="s">
        <v>5</v>
      </c>
      <c r="BR605" s="2" t="s">
        <v>5</v>
      </c>
      <c r="BS605" s="2" t="s">
        <v>5</v>
      </c>
      <c r="BT605" s="2" t="s">
        <v>5</v>
      </c>
      <c r="BU605" s="2" t="s">
        <v>5</v>
      </c>
      <c r="BV605" s="2" t="s">
        <v>5</v>
      </c>
      <c r="BW605" s="2" t="s">
        <v>5</v>
      </c>
      <c r="BX605" s="2" t="s">
        <v>5</v>
      </c>
      <c r="BY605" s="25" t="s">
        <v>5</v>
      </c>
      <c r="BZ605" s="25" t="s">
        <v>5</v>
      </c>
      <c r="CA605" s="6" t="s">
        <v>5</v>
      </c>
      <c r="CB605" s="6" t="s">
        <v>5</v>
      </c>
      <c r="CC605" s="6" t="s">
        <v>5</v>
      </c>
      <c r="CD605" s="6" t="s">
        <v>5</v>
      </c>
      <c r="CE605" s="6" t="s">
        <v>5</v>
      </c>
      <c r="CF605" s="16" t="s">
        <v>5</v>
      </c>
      <c r="CG605" s="16" t="s">
        <v>5</v>
      </c>
      <c r="CH605" s="18" t="s">
        <v>5</v>
      </c>
    </row>
    <row r="606" spans="2:86">
      <c r="B606" s="78" t="s">
        <v>473</v>
      </c>
      <c r="C606" s="79" t="s">
        <v>706</v>
      </c>
      <c r="D606" s="80" t="s">
        <v>706</v>
      </c>
      <c r="E606" s="1" t="s">
        <v>4</v>
      </c>
      <c r="F606" s="4">
        <v>14.4</v>
      </c>
      <c r="G606" s="7">
        <v>4.22</v>
      </c>
      <c r="H606" s="3" t="str">
        <f t="shared" si="28"/>
        <v>2L3X3X3/8</v>
      </c>
      <c r="I606" s="7">
        <v>3</v>
      </c>
      <c r="J606" s="5" t="s">
        <v>5</v>
      </c>
      <c r="K606" s="6" t="s">
        <v>5</v>
      </c>
      <c r="L606" s="6" t="s">
        <v>5</v>
      </c>
      <c r="M606" s="6" t="s">
        <v>5</v>
      </c>
      <c r="N606" s="6" t="s">
        <v>5</v>
      </c>
      <c r="O606" s="5" t="s">
        <v>5</v>
      </c>
      <c r="P606" s="5" t="s">
        <v>5</v>
      </c>
      <c r="Q606" s="7">
        <v>3</v>
      </c>
      <c r="R606" s="6" t="s">
        <v>5</v>
      </c>
      <c r="S606" s="6" t="s">
        <v>5</v>
      </c>
      <c r="T606" s="5" t="s">
        <v>5</v>
      </c>
      <c r="U606" s="8" t="s">
        <v>5</v>
      </c>
      <c r="V606" s="6" t="s">
        <v>5</v>
      </c>
      <c r="W606" s="8" t="s">
        <v>5</v>
      </c>
      <c r="X606" s="22">
        <v>0.375</v>
      </c>
      <c r="Y606" s="6" t="s">
        <v>5</v>
      </c>
      <c r="Z606" s="6" t="s">
        <v>5</v>
      </c>
      <c r="AA606" s="6" t="s">
        <v>5</v>
      </c>
      <c r="AB606" s="8" t="s">
        <v>5</v>
      </c>
      <c r="AC606" s="8" t="s">
        <v>5</v>
      </c>
      <c r="AD606" s="6" t="s">
        <v>5</v>
      </c>
      <c r="AE606" s="22">
        <v>0.88400000000000001</v>
      </c>
      <c r="AF606" s="6" t="s">
        <v>5</v>
      </c>
      <c r="AG606" s="6" t="s">
        <v>5</v>
      </c>
      <c r="AH606" s="22">
        <v>0.35199999999999998</v>
      </c>
      <c r="AI606" s="6" t="s">
        <v>5</v>
      </c>
      <c r="AJ606" s="7">
        <v>8</v>
      </c>
      <c r="AK606" s="6" t="s">
        <v>5</v>
      </c>
      <c r="AL606" s="6" t="s">
        <v>5</v>
      </c>
      <c r="AM606" s="6" t="s">
        <v>5</v>
      </c>
      <c r="AN606" s="6" t="s">
        <v>5</v>
      </c>
      <c r="AO606" s="7">
        <v>3.5</v>
      </c>
      <c r="AP606" s="7">
        <v>2.96</v>
      </c>
      <c r="AQ606" s="7">
        <v>1.65</v>
      </c>
      <c r="AR606" s="22">
        <v>0.91</v>
      </c>
      <c r="AS606" s="6">
        <v>6.81</v>
      </c>
      <c r="AT606" s="6">
        <v>3.73</v>
      </c>
      <c r="AU606" s="6">
        <v>2.27</v>
      </c>
      <c r="AV606" s="7">
        <v>1.27</v>
      </c>
      <c r="AW606" s="6" t="s">
        <v>5</v>
      </c>
      <c r="AX606" s="6" t="s">
        <v>5</v>
      </c>
      <c r="AY606" s="6" t="s">
        <v>5</v>
      </c>
      <c r="AZ606" s="6" t="s">
        <v>5</v>
      </c>
      <c r="BA606" s="6" t="s">
        <v>5</v>
      </c>
      <c r="BB606" s="6" t="s">
        <v>5</v>
      </c>
      <c r="BC606" s="6" t="s">
        <v>5</v>
      </c>
      <c r="BD606" s="6" t="s">
        <v>5</v>
      </c>
      <c r="BE606" s="6" t="s">
        <v>5</v>
      </c>
      <c r="BF606" s="6" t="s">
        <v>5</v>
      </c>
      <c r="BG606" s="6" t="s">
        <v>5</v>
      </c>
      <c r="BH606" s="6" t="s">
        <v>5</v>
      </c>
      <c r="BI606" s="7">
        <v>1.71</v>
      </c>
      <c r="BJ606" s="22">
        <v>0.83399999999999996</v>
      </c>
      <c r="BK606" s="6" t="s">
        <v>5</v>
      </c>
      <c r="BL606" s="2" t="s">
        <v>5</v>
      </c>
      <c r="BM606" s="2" t="s">
        <v>5</v>
      </c>
      <c r="BN606" s="2" t="s">
        <v>5</v>
      </c>
      <c r="BO606" s="2" t="s">
        <v>5</v>
      </c>
      <c r="BP606" s="2" t="s">
        <v>5</v>
      </c>
      <c r="BQ606" s="2" t="s">
        <v>5</v>
      </c>
      <c r="BR606" s="2" t="s">
        <v>5</v>
      </c>
      <c r="BS606" s="2" t="s">
        <v>5</v>
      </c>
      <c r="BT606" s="2" t="s">
        <v>5</v>
      </c>
      <c r="BU606" s="2" t="s">
        <v>5</v>
      </c>
      <c r="BV606" s="2" t="s">
        <v>5</v>
      </c>
      <c r="BW606" s="2" t="s">
        <v>5</v>
      </c>
      <c r="BX606" s="2" t="s">
        <v>5</v>
      </c>
      <c r="BY606" s="25" t="s">
        <v>5</v>
      </c>
      <c r="BZ606" s="25" t="s">
        <v>5</v>
      </c>
      <c r="CA606" s="6" t="s">
        <v>5</v>
      </c>
      <c r="CB606" s="6" t="s">
        <v>5</v>
      </c>
      <c r="CC606" s="6" t="s">
        <v>5</v>
      </c>
      <c r="CD606" s="6" t="s">
        <v>5</v>
      </c>
      <c r="CE606" s="6" t="s">
        <v>5</v>
      </c>
      <c r="CF606" s="16" t="s">
        <v>5</v>
      </c>
      <c r="CG606" s="16" t="s">
        <v>5</v>
      </c>
      <c r="CH606" s="18" t="s">
        <v>5</v>
      </c>
    </row>
    <row r="607" spans="2:86">
      <c r="B607" s="78" t="s">
        <v>473</v>
      </c>
      <c r="C607" s="79" t="s">
        <v>707</v>
      </c>
      <c r="D607" s="80" t="s">
        <v>707</v>
      </c>
      <c r="E607" s="1" t="s">
        <v>4</v>
      </c>
      <c r="F607" s="4">
        <v>14.4</v>
      </c>
      <c r="G607" s="7">
        <v>4.22</v>
      </c>
      <c r="H607" s="3" t="str">
        <f t="shared" si="28"/>
        <v>2L3X3X3/8X3/8</v>
      </c>
      <c r="I607" s="7">
        <v>3</v>
      </c>
      <c r="J607" s="5" t="s">
        <v>5</v>
      </c>
      <c r="K607" s="6" t="s">
        <v>5</v>
      </c>
      <c r="L607" s="6" t="s">
        <v>5</v>
      </c>
      <c r="M607" s="6" t="s">
        <v>5</v>
      </c>
      <c r="N607" s="6" t="s">
        <v>5</v>
      </c>
      <c r="O607" s="5" t="s">
        <v>5</v>
      </c>
      <c r="P607" s="5" t="s">
        <v>5</v>
      </c>
      <c r="Q607" s="7">
        <v>3</v>
      </c>
      <c r="R607" s="6" t="s">
        <v>5</v>
      </c>
      <c r="S607" s="6" t="s">
        <v>5</v>
      </c>
      <c r="T607" s="5" t="s">
        <v>5</v>
      </c>
      <c r="U607" s="8" t="s">
        <v>5</v>
      </c>
      <c r="V607" s="6" t="s">
        <v>5</v>
      </c>
      <c r="W607" s="8" t="s">
        <v>5</v>
      </c>
      <c r="X607" s="22">
        <v>0.375</v>
      </c>
      <c r="Y607" s="6" t="s">
        <v>5</v>
      </c>
      <c r="Z607" s="6" t="s">
        <v>5</v>
      </c>
      <c r="AA607" s="6" t="s">
        <v>5</v>
      </c>
      <c r="AB607" s="8" t="s">
        <v>5</v>
      </c>
      <c r="AC607" s="8" t="s">
        <v>5</v>
      </c>
      <c r="AD607" s="6" t="s">
        <v>5</v>
      </c>
      <c r="AE607" s="22">
        <v>0.88400000000000001</v>
      </c>
      <c r="AF607" s="6" t="s">
        <v>5</v>
      </c>
      <c r="AG607" s="6" t="s">
        <v>5</v>
      </c>
      <c r="AH607" s="22">
        <v>0.35199999999999998</v>
      </c>
      <c r="AI607" s="6" t="s">
        <v>5</v>
      </c>
      <c r="AJ607" s="7">
        <v>8</v>
      </c>
      <c r="AK607" s="6" t="s">
        <v>5</v>
      </c>
      <c r="AL607" s="6" t="s">
        <v>5</v>
      </c>
      <c r="AM607" s="6" t="s">
        <v>5</v>
      </c>
      <c r="AN607" s="6" t="s">
        <v>5</v>
      </c>
      <c r="AO607" s="7">
        <v>3.5</v>
      </c>
      <c r="AP607" s="7">
        <v>2.96</v>
      </c>
      <c r="AQ607" s="7">
        <v>1.65</v>
      </c>
      <c r="AR607" s="22">
        <v>0.91</v>
      </c>
      <c r="AS607" s="6">
        <v>8.39</v>
      </c>
      <c r="AT607" s="6">
        <v>4.5199999999999996</v>
      </c>
      <c r="AU607" s="6">
        <v>2.63</v>
      </c>
      <c r="AV607" s="7">
        <v>1.41</v>
      </c>
      <c r="AW607" s="6" t="s">
        <v>5</v>
      </c>
      <c r="AX607" s="6" t="s">
        <v>5</v>
      </c>
      <c r="AY607" s="6" t="s">
        <v>5</v>
      </c>
      <c r="AZ607" s="6" t="s">
        <v>5</v>
      </c>
      <c r="BA607" s="6" t="s">
        <v>5</v>
      </c>
      <c r="BB607" s="6" t="s">
        <v>5</v>
      </c>
      <c r="BC607" s="6" t="s">
        <v>5</v>
      </c>
      <c r="BD607" s="6" t="s">
        <v>5</v>
      </c>
      <c r="BE607" s="6" t="s">
        <v>5</v>
      </c>
      <c r="BF607" s="6" t="s">
        <v>5</v>
      </c>
      <c r="BG607" s="6" t="s">
        <v>5</v>
      </c>
      <c r="BH607" s="6" t="s">
        <v>5</v>
      </c>
      <c r="BI607" s="7">
        <v>1.81</v>
      </c>
      <c r="BJ607" s="22">
        <v>0.85299999999999998</v>
      </c>
      <c r="BK607" s="6" t="s">
        <v>5</v>
      </c>
      <c r="BL607" s="2" t="s">
        <v>5</v>
      </c>
      <c r="BM607" s="2" t="s">
        <v>5</v>
      </c>
      <c r="BN607" s="2" t="s">
        <v>5</v>
      </c>
      <c r="BO607" s="2" t="s">
        <v>5</v>
      </c>
      <c r="BP607" s="2" t="s">
        <v>5</v>
      </c>
      <c r="BQ607" s="2" t="s">
        <v>5</v>
      </c>
      <c r="BR607" s="2" t="s">
        <v>5</v>
      </c>
      <c r="BS607" s="2" t="s">
        <v>5</v>
      </c>
      <c r="BT607" s="2" t="s">
        <v>5</v>
      </c>
      <c r="BU607" s="2" t="s">
        <v>5</v>
      </c>
      <c r="BV607" s="2" t="s">
        <v>5</v>
      </c>
      <c r="BW607" s="2" t="s">
        <v>5</v>
      </c>
      <c r="BX607" s="2" t="s">
        <v>5</v>
      </c>
      <c r="BY607" s="25" t="s">
        <v>5</v>
      </c>
      <c r="BZ607" s="25" t="s">
        <v>5</v>
      </c>
      <c r="CA607" s="6" t="s">
        <v>5</v>
      </c>
      <c r="CB607" s="6" t="s">
        <v>5</v>
      </c>
      <c r="CC607" s="6" t="s">
        <v>5</v>
      </c>
      <c r="CD607" s="6" t="s">
        <v>5</v>
      </c>
      <c r="CE607" s="6" t="s">
        <v>5</v>
      </c>
      <c r="CF607" s="16" t="s">
        <v>5</v>
      </c>
      <c r="CG607" s="16" t="s">
        <v>5</v>
      </c>
      <c r="CH607" s="18" t="s">
        <v>5</v>
      </c>
    </row>
    <row r="608" spans="2:86">
      <c r="B608" s="78" t="s">
        <v>473</v>
      </c>
      <c r="C608" s="79" t="s">
        <v>708</v>
      </c>
      <c r="D608" s="80" t="s">
        <v>708</v>
      </c>
      <c r="E608" s="1" t="s">
        <v>4</v>
      </c>
      <c r="F608" s="4">
        <v>14.4</v>
      </c>
      <c r="G608" s="7">
        <v>4.22</v>
      </c>
      <c r="H608" s="3" t="str">
        <f t="shared" si="28"/>
        <v>2L3X3X3/8X3/4</v>
      </c>
      <c r="I608" s="7">
        <v>3</v>
      </c>
      <c r="J608" s="5" t="s">
        <v>5</v>
      </c>
      <c r="K608" s="6" t="s">
        <v>5</v>
      </c>
      <c r="L608" s="6" t="s">
        <v>5</v>
      </c>
      <c r="M608" s="6" t="s">
        <v>5</v>
      </c>
      <c r="N608" s="6" t="s">
        <v>5</v>
      </c>
      <c r="O608" s="5" t="s">
        <v>5</v>
      </c>
      <c r="P608" s="5" t="s">
        <v>5</v>
      </c>
      <c r="Q608" s="7">
        <v>3</v>
      </c>
      <c r="R608" s="6" t="s">
        <v>5</v>
      </c>
      <c r="S608" s="6" t="s">
        <v>5</v>
      </c>
      <c r="T608" s="5" t="s">
        <v>5</v>
      </c>
      <c r="U608" s="8" t="s">
        <v>5</v>
      </c>
      <c r="V608" s="6" t="s">
        <v>5</v>
      </c>
      <c r="W608" s="8" t="s">
        <v>5</v>
      </c>
      <c r="X608" s="22">
        <v>0.375</v>
      </c>
      <c r="Y608" s="6" t="s">
        <v>5</v>
      </c>
      <c r="Z608" s="6" t="s">
        <v>5</v>
      </c>
      <c r="AA608" s="6" t="s">
        <v>5</v>
      </c>
      <c r="AB608" s="8" t="s">
        <v>5</v>
      </c>
      <c r="AC608" s="8" t="s">
        <v>5</v>
      </c>
      <c r="AD608" s="6" t="s">
        <v>5</v>
      </c>
      <c r="AE608" s="22">
        <v>0.88400000000000001</v>
      </c>
      <c r="AF608" s="6" t="s">
        <v>5</v>
      </c>
      <c r="AG608" s="6" t="s">
        <v>5</v>
      </c>
      <c r="AH608" s="22">
        <v>0.35199999999999998</v>
      </c>
      <c r="AI608" s="6" t="s">
        <v>5</v>
      </c>
      <c r="AJ608" s="7">
        <v>8</v>
      </c>
      <c r="AK608" s="6" t="s">
        <v>5</v>
      </c>
      <c r="AL608" s="6" t="s">
        <v>5</v>
      </c>
      <c r="AM608" s="6" t="s">
        <v>5</v>
      </c>
      <c r="AN608" s="6" t="s">
        <v>5</v>
      </c>
      <c r="AO608" s="7">
        <v>3.5</v>
      </c>
      <c r="AP608" s="7">
        <v>2.96</v>
      </c>
      <c r="AQ608" s="7">
        <v>1.65</v>
      </c>
      <c r="AR608" s="22">
        <v>0.91</v>
      </c>
      <c r="AS608" s="6">
        <v>10.1</v>
      </c>
      <c r="AT608" s="6">
        <v>5.31</v>
      </c>
      <c r="AU608" s="6">
        <v>2.99</v>
      </c>
      <c r="AV608" s="7">
        <v>1.55</v>
      </c>
      <c r="AW608" s="6" t="s">
        <v>5</v>
      </c>
      <c r="AX608" s="6" t="s">
        <v>5</v>
      </c>
      <c r="AY608" s="6" t="s">
        <v>5</v>
      </c>
      <c r="AZ608" s="6" t="s">
        <v>5</v>
      </c>
      <c r="BA608" s="6" t="s">
        <v>5</v>
      </c>
      <c r="BB608" s="6" t="s">
        <v>5</v>
      </c>
      <c r="BC608" s="6" t="s">
        <v>5</v>
      </c>
      <c r="BD608" s="6" t="s">
        <v>5</v>
      </c>
      <c r="BE608" s="6" t="s">
        <v>5</v>
      </c>
      <c r="BF608" s="6" t="s">
        <v>5</v>
      </c>
      <c r="BG608" s="6" t="s">
        <v>5</v>
      </c>
      <c r="BH608" s="6" t="s">
        <v>5</v>
      </c>
      <c r="BI608" s="7">
        <v>1.93</v>
      </c>
      <c r="BJ608" s="22">
        <v>0.87</v>
      </c>
      <c r="BK608" s="6" t="s">
        <v>5</v>
      </c>
      <c r="BL608" s="2" t="s">
        <v>5</v>
      </c>
      <c r="BM608" s="2" t="s">
        <v>5</v>
      </c>
      <c r="BN608" s="2" t="s">
        <v>5</v>
      </c>
      <c r="BO608" s="2" t="s">
        <v>5</v>
      </c>
      <c r="BP608" s="2" t="s">
        <v>5</v>
      </c>
      <c r="BQ608" s="2" t="s">
        <v>5</v>
      </c>
      <c r="BR608" s="2" t="s">
        <v>5</v>
      </c>
      <c r="BS608" s="2" t="s">
        <v>5</v>
      </c>
      <c r="BT608" s="2" t="s">
        <v>5</v>
      </c>
      <c r="BU608" s="2" t="s">
        <v>5</v>
      </c>
      <c r="BV608" s="2" t="s">
        <v>5</v>
      </c>
      <c r="BW608" s="2" t="s">
        <v>5</v>
      </c>
      <c r="BX608" s="2" t="s">
        <v>5</v>
      </c>
      <c r="BY608" s="25" t="s">
        <v>5</v>
      </c>
      <c r="BZ608" s="25" t="s">
        <v>5</v>
      </c>
      <c r="CA608" s="6" t="s">
        <v>5</v>
      </c>
      <c r="CB608" s="6" t="s">
        <v>5</v>
      </c>
      <c r="CC608" s="6" t="s">
        <v>5</v>
      </c>
      <c r="CD608" s="6" t="s">
        <v>5</v>
      </c>
      <c r="CE608" s="6" t="s">
        <v>5</v>
      </c>
      <c r="CF608" s="16" t="s">
        <v>5</v>
      </c>
      <c r="CG608" s="16" t="s">
        <v>5</v>
      </c>
      <c r="CH608" s="18" t="s">
        <v>5</v>
      </c>
    </row>
    <row r="609" spans="2:86">
      <c r="B609" s="78" t="s">
        <v>473</v>
      </c>
      <c r="C609" s="79" t="s">
        <v>709</v>
      </c>
      <c r="D609" s="80" t="s">
        <v>709</v>
      </c>
      <c r="E609" s="1" t="s">
        <v>4</v>
      </c>
      <c r="F609" s="4">
        <v>12.2</v>
      </c>
      <c r="G609" s="7">
        <v>3.56</v>
      </c>
      <c r="H609" s="3" t="str">
        <f t="shared" si="28"/>
        <v>2L3X3X5/16</v>
      </c>
      <c r="I609" s="7">
        <v>3</v>
      </c>
      <c r="J609" s="5" t="s">
        <v>5</v>
      </c>
      <c r="K609" s="6" t="s">
        <v>5</v>
      </c>
      <c r="L609" s="6" t="s">
        <v>5</v>
      </c>
      <c r="M609" s="6" t="s">
        <v>5</v>
      </c>
      <c r="N609" s="6" t="s">
        <v>5</v>
      </c>
      <c r="O609" s="5" t="s">
        <v>5</v>
      </c>
      <c r="P609" s="5" t="s">
        <v>5</v>
      </c>
      <c r="Q609" s="7">
        <v>3</v>
      </c>
      <c r="R609" s="6" t="s">
        <v>5</v>
      </c>
      <c r="S609" s="6" t="s">
        <v>5</v>
      </c>
      <c r="T609" s="5" t="s">
        <v>5</v>
      </c>
      <c r="U609" s="8" t="s">
        <v>5</v>
      </c>
      <c r="V609" s="6" t="s">
        <v>5</v>
      </c>
      <c r="W609" s="8" t="s">
        <v>5</v>
      </c>
      <c r="X609" s="22">
        <v>0.313</v>
      </c>
      <c r="Y609" s="6" t="s">
        <v>5</v>
      </c>
      <c r="Z609" s="6" t="s">
        <v>5</v>
      </c>
      <c r="AA609" s="6" t="s">
        <v>5</v>
      </c>
      <c r="AB609" s="8" t="s">
        <v>5</v>
      </c>
      <c r="AC609" s="8" t="s">
        <v>5</v>
      </c>
      <c r="AD609" s="6" t="s">
        <v>5</v>
      </c>
      <c r="AE609" s="22">
        <v>0.86</v>
      </c>
      <c r="AF609" s="6" t="s">
        <v>5</v>
      </c>
      <c r="AG609" s="6" t="s">
        <v>5</v>
      </c>
      <c r="AH609" s="22">
        <v>0.29699999999999999</v>
      </c>
      <c r="AI609" s="6" t="s">
        <v>5</v>
      </c>
      <c r="AJ609" s="7">
        <v>9.58</v>
      </c>
      <c r="AK609" s="6" t="s">
        <v>5</v>
      </c>
      <c r="AL609" s="6" t="s">
        <v>5</v>
      </c>
      <c r="AM609" s="6" t="s">
        <v>5</v>
      </c>
      <c r="AN609" s="6" t="s">
        <v>5</v>
      </c>
      <c r="AO609" s="7">
        <v>3</v>
      </c>
      <c r="AP609" s="7">
        <v>2.52</v>
      </c>
      <c r="AQ609" s="7">
        <v>1.4</v>
      </c>
      <c r="AR609" s="22">
        <v>0.91800000000000004</v>
      </c>
      <c r="AS609" s="6">
        <v>5.65</v>
      </c>
      <c r="AT609" s="6">
        <v>3.06</v>
      </c>
      <c r="AU609" s="6">
        <v>1.88</v>
      </c>
      <c r="AV609" s="7">
        <v>1.26</v>
      </c>
      <c r="AW609" s="6" t="s">
        <v>5</v>
      </c>
      <c r="AX609" s="6" t="s">
        <v>5</v>
      </c>
      <c r="AY609" s="6" t="s">
        <v>5</v>
      </c>
      <c r="AZ609" s="6" t="s">
        <v>5</v>
      </c>
      <c r="BA609" s="6" t="s">
        <v>5</v>
      </c>
      <c r="BB609" s="6" t="s">
        <v>5</v>
      </c>
      <c r="BC609" s="6" t="s">
        <v>5</v>
      </c>
      <c r="BD609" s="6" t="s">
        <v>5</v>
      </c>
      <c r="BE609" s="6" t="s">
        <v>5</v>
      </c>
      <c r="BF609" s="6" t="s">
        <v>5</v>
      </c>
      <c r="BG609" s="6" t="s">
        <v>5</v>
      </c>
      <c r="BH609" s="6" t="s">
        <v>5</v>
      </c>
      <c r="BI609" s="7">
        <v>1.71</v>
      </c>
      <c r="BJ609" s="22">
        <v>0.83</v>
      </c>
      <c r="BK609" s="6" t="s">
        <v>5</v>
      </c>
      <c r="BL609" s="2" t="s">
        <v>5</v>
      </c>
      <c r="BM609" s="2" t="s">
        <v>5</v>
      </c>
      <c r="BN609" s="2" t="s">
        <v>5</v>
      </c>
      <c r="BO609" s="2" t="s">
        <v>5</v>
      </c>
      <c r="BP609" s="2" t="s">
        <v>5</v>
      </c>
      <c r="BQ609" s="2" t="s">
        <v>5</v>
      </c>
      <c r="BR609" s="2" t="s">
        <v>5</v>
      </c>
      <c r="BS609" s="2" t="s">
        <v>5</v>
      </c>
      <c r="BT609" s="2" t="s">
        <v>5</v>
      </c>
      <c r="BU609" s="2" t="s">
        <v>5</v>
      </c>
      <c r="BV609" s="2" t="s">
        <v>5</v>
      </c>
      <c r="BW609" s="2" t="s">
        <v>5</v>
      </c>
      <c r="BX609" s="2" t="s">
        <v>5</v>
      </c>
      <c r="BY609" s="25" t="s">
        <v>5</v>
      </c>
      <c r="BZ609" s="25" t="s">
        <v>5</v>
      </c>
      <c r="CA609" s="6" t="s">
        <v>5</v>
      </c>
      <c r="CB609" s="6" t="s">
        <v>5</v>
      </c>
      <c r="CC609" s="6" t="s">
        <v>5</v>
      </c>
      <c r="CD609" s="6" t="s">
        <v>5</v>
      </c>
      <c r="CE609" s="6" t="s">
        <v>5</v>
      </c>
      <c r="CF609" s="16" t="s">
        <v>5</v>
      </c>
      <c r="CG609" s="16" t="s">
        <v>5</v>
      </c>
      <c r="CH609" s="18" t="s">
        <v>5</v>
      </c>
    </row>
    <row r="610" spans="2:86">
      <c r="B610" s="78" t="s">
        <v>473</v>
      </c>
      <c r="C610" s="79" t="s">
        <v>710</v>
      </c>
      <c r="D610" s="80" t="s">
        <v>710</v>
      </c>
      <c r="E610" s="1" t="s">
        <v>4</v>
      </c>
      <c r="F610" s="4">
        <v>12.2</v>
      </c>
      <c r="G610" s="7">
        <v>3.56</v>
      </c>
      <c r="H610" s="3" t="str">
        <f t="shared" si="28"/>
        <v>2L3X3X5/16X3/8</v>
      </c>
      <c r="I610" s="7">
        <v>3</v>
      </c>
      <c r="J610" s="5" t="s">
        <v>5</v>
      </c>
      <c r="K610" s="6" t="s">
        <v>5</v>
      </c>
      <c r="L610" s="6" t="s">
        <v>5</v>
      </c>
      <c r="M610" s="6" t="s">
        <v>5</v>
      </c>
      <c r="N610" s="6" t="s">
        <v>5</v>
      </c>
      <c r="O610" s="5" t="s">
        <v>5</v>
      </c>
      <c r="P610" s="5" t="s">
        <v>5</v>
      </c>
      <c r="Q610" s="7">
        <v>3</v>
      </c>
      <c r="R610" s="6" t="s">
        <v>5</v>
      </c>
      <c r="S610" s="6" t="s">
        <v>5</v>
      </c>
      <c r="T610" s="5" t="s">
        <v>5</v>
      </c>
      <c r="U610" s="8" t="s">
        <v>5</v>
      </c>
      <c r="V610" s="6" t="s">
        <v>5</v>
      </c>
      <c r="W610" s="8" t="s">
        <v>5</v>
      </c>
      <c r="X610" s="22">
        <v>0.313</v>
      </c>
      <c r="Y610" s="6" t="s">
        <v>5</v>
      </c>
      <c r="Z610" s="6" t="s">
        <v>5</v>
      </c>
      <c r="AA610" s="6" t="s">
        <v>5</v>
      </c>
      <c r="AB610" s="8" t="s">
        <v>5</v>
      </c>
      <c r="AC610" s="8" t="s">
        <v>5</v>
      </c>
      <c r="AD610" s="6" t="s">
        <v>5</v>
      </c>
      <c r="AE610" s="22">
        <v>0.86</v>
      </c>
      <c r="AF610" s="6" t="s">
        <v>5</v>
      </c>
      <c r="AG610" s="6" t="s">
        <v>5</v>
      </c>
      <c r="AH610" s="22">
        <v>0.29699999999999999</v>
      </c>
      <c r="AI610" s="6" t="s">
        <v>5</v>
      </c>
      <c r="AJ610" s="7">
        <v>9.58</v>
      </c>
      <c r="AK610" s="6" t="s">
        <v>5</v>
      </c>
      <c r="AL610" s="6" t="s">
        <v>5</v>
      </c>
      <c r="AM610" s="6" t="s">
        <v>5</v>
      </c>
      <c r="AN610" s="6" t="s">
        <v>5</v>
      </c>
      <c r="AO610" s="7">
        <v>3</v>
      </c>
      <c r="AP610" s="7">
        <v>2.52</v>
      </c>
      <c r="AQ610" s="7">
        <v>1.4</v>
      </c>
      <c r="AR610" s="22">
        <v>0.91800000000000004</v>
      </c>
      <c r="AS610" s="6">
        <v>6.88</v>
      </c>
      <c r="AT610" s="6">
        <v>3.73</v>
      </c>
      <c r="AU610" s="6">
        <v>2.16</v>
      </c>
      <c r="AV610" s="7">
        <v>1.39</v>
      </c>
      <c r="AW610" s="6" t="s">
        <v>5</v>
      </c>
      <c r="AX610" s="6" t="s">
        <v>5</v>
      </c>
      <c r="AY610" s="6" t="s">
        <v>5</v>
      </c>
      <c r="AZ610" s="6" t="s">
        <v>5</v>
      </c>
      <c r="BA610" s="6" t="s">
        <v>5</v>
      </c>
      <c r="BB610" s="6" t="s">
        <v>5</v>
      </c>
      <c r="BC610" s="6" t="s">
        <v>5</v>
      </c>
      <c r="BD610" s="6" t="s">
        <v>5</v>
      </c>
      <c r="BE610" s="6" t="s">
        <v>5</v>
      </c>
      <c r="BF610" s="6" t="s">
        <v>5</v>
      </c>
      <c r="BG610" s="6" t="s">
        <v>5</v>
      </c>
      <c r="BH610" s="6" t="s">
        <v>5</v>
      </c>
      <c r="BI610" s="7">
        <v>1.81</v>
      </c>
      <c r="BJ610" s="22">
        <v>0.84899999999999998</v>
      </c>
      <c r="BK610" s="6" t="s">
        <v>5</v>
      </c>
      <c r="BL610" s="2" t="s">
        <v>5</v>
      </c>
      <c r="BM610" s="2" t="s">
        <v>5</v>
      </c>
      <c r="BN610" s="2" t="s">
        <v>5</v>
      </c>
      <c r="BO610" s="2" t="s">
        <v>5</v>
      </c>
      <c r="BP610" s="2" t="s">
        <v>5</v>
      </c>
      <c r="BQ610" s="2" t="s">
        <v>5</v>
      </c>
      <c r="BR610" s="2" t="s">
        <v>5</v>
      </c>
      <c r="BS610" s="2" t="s">
        <v>5</v>
      </c>
      <c r="BT610" s="2" t="s">
        <v>5</v>
      </c>
      <c r="BU610" s="2" t="s">
        <v>5</v>
      </c>
      <c r="BV610" s="2" t="s">
        <v>5</v>
      </c>
      <c r="BW610" s="2" t="s">
        <v>5</v>
      </c>
      <c r="BX610" s="2" t="s">
        <v>5</v>
      </c>
      <c r="BY610" s="25" t="s">
        <v>5</v>
      </c>
      <c r="BZ610" s="25" t="s">
        <v>5</v>
      </c>
      <c r="CA610" s="6" t="s">
        <v>5</v>
      </c>
      <c r="CB610" s="6" t="s">
        <v>5</v>
      </c>
      <c r="CC610" s="6" t="s">
        <v>5</v>
      </c>
      <c r="CD610" s="6" t="s">
        <v>5</v>
      </c>
      <c r="CE610" s="6" t="s">
        <v>5</v>
      </c>
      <c r="CF610" s="16" t="s">
        <v>5</v>
      </c>
      <c r="CG610" s="16" t="s">
        <v>5</v>
      </c>
      <c r="CH610" s="18" t="s">
        <v>5</v>
      </c>
    </row>
    <row r="611" spans="2:86">
      <c r="B611" s="78" t="s">
        <v>473</v>
      </c>
      <c r="C611" s="79" t="s">
        <v>711</v>
      </c>
      <c r="D611" s="80" t="s">
        <v>711</v>
      </c>
      <c r="E611" s="1" t="s">
        <v>4</v>
      </c>
      <c r="F611" s="4">
        <v>12.2</v>
      </c>
      <c r="G611" s="7">
        <v>3.56</v>
      </c>
      <c r="H611" s="3" t="str">
        <f t="shared" si="28"/>
        <v>2L3X3X5/16X3/4</v>
      </c>
      <c r="I611" s="7">
        <v>3</v>
      </c>
      <c r="J611" s="5" t="s">
        <v>5</v>
      </c>
      <c r="K611" s="6" t="s">
        <v>5</v>
      </c>
      <c r="L611" s="6" t="s">
        <v>5</v>
      </c>
      <c r="M611" s="6" t="s">
        <v>5</v>
      </c>
      <c r="N611" s="6" t="s">
        <v>5</v>
      </c>
      <c r="O611" s="5" t="s">
        <v>5</v>
      </c>
      <c r="P611" s="5" t="s">
        <v>5</v>
      </c>
      <c r="Q611" s="7">
        <v>3</v>
      </c>
      <c r="R611" s="6" t="s">
        <v>5</v>
      </c>
      <c r="S611" s="6" t="s">
        <v>5</v>
      </c>
      <c r="T611" s="5" t="s">
        <v>5</v>
      </c>
      <c r="U611" s="8" t="s">
        <v>5</v>
      </c>
      <c r="V611" s="6" t="s">
        <v>5</v>
      </c>
      <c r="W611" s="8" t="s">
        <v>5</v>
      </c>
      <c r="X611" s="22">
        <v>0.313</v>
      </c>
      <c r="Y611" s="6" t="s">
        <v>5</v>
      </c>
      <c r="Z611" s="6" t="s">
        <v>5</v>
      </c>
      <c r="AA611" s="6" t="s">
        <v>5</v>
      </c>
      <c r="AB611" s="8" t="s">
        <v>5</v>
      </c>
      <c r="AC611" s="8" t="s">
        <v>5</v>
      </c>
      <c r="AD611" s="6" t="s">
        <v>5</v>
      </c>
      <c r="AE611" s="22">
        <v>0.86</v>
      </c>
      <c r="AF611" s="6" t="s">
        <v>5</v>
      </c>
      <c r="AG611" s="6" t="s">
        <v>5</v>
      </c>
      <c r="AH611" s="22">
        <v>0.29699999999999999</v>
      </c>
      <c r="AI611" s="6" t="s">
        <v>5</v>
      </c>
      <c r="AJ611" s="7">
        <v>9.58</v>
      </c>
      <c r="AK611" s="6" t="s">
        <v>5</v>
      </c>
      <c r="AL611" s="6" t="s">
        <v>5</v>
      </c>
      <c r="AM611" s="6" t="s">
        <v>5</v>
      </c>
      <c r="AN611" s="6" t="s">
        <v>5</v>
      </c>
      <c r="AO611" s="7">
        <v>3</v>
      </c>
      <c r="AP611" s="7">
        <v>2.52</v>
      </c>
      <c r="AQ611" s="7">
        <v>1.4</v>
      </c>
      <c r="AR611" s="22">
        <v>0.91800000000000004</v>
      </c>
      <c r="AS611" s="6">
        <v>8.44</v>
      </c>
      <c r="AT611" s="7">
        <v>4.4000000000000004</v>
      </c>
      <c r="AU611" s="7">
        <v>2.5</v>
      </c>
      <c r="AV611" s="7">
        <v>1.54</v>
      </c>
      <c r="AW611" s="6" t="s">
        <v>5</v>
      </c>
      <c r="AX611" s="6" t="s">
        <v>5</v>
      </c>
      <c r="AY611" s="6" t="s">
        <v>5</v>
      </c>
      <c r="AZ611" s="6" t="s">
        <v>5</v>
      </c>
      <c r="BA611" s="6" t="s">
        <v>5</v>
      </c>
      <c r="BB611" s="6" t="s">
        <v>5</v>
      </c>
      <c r="BC611" s="6" t="s">
        <v>5</v>
      </c>
      <c r="BD611" s="6" t="s">
        <v>5</v>
      </c>
      <c r="BE611" s="6" t="s">
        <v>5</v>
      </c>
      <c r="BF611" s="6" t="s">
        <v>5</v>
      </c>
      <c r="BG611" s="6" t="s">
        <v>5</v>
      </c>
      <c r="BH611" s="6" t="s">
        <v>5</v>
      </c>
      <c r="BI611" s="7">
        <v>1.93</v>
      </c>
      <c r="BJ611" s="22">
        <v>0.86599999999999999</v>
      </c>
      <c r="BK611" s="6" t="s">
        <v>5</v>
      </c>
      <c r="BL611" s="2" t="s">
        <v>5</v>
      </c>
      <c r="BM611" s="2" t="s">
        <v>5</v>
      </c>
      <c r="BN611" s="2" t="s">
        <v>5</v>
      </c>
      <c r="BO611" s="2" t="s">
        <v>5</v>
      </c>
      <c r="BP611" s="2" t="s">
        <v>5</v>
      </c>
      <c r="BQ611" s="2" t="s">
        <v>5</v>
      </c>
      <c r="BR611" s="2" t="s">
        <v>5</v>
      </c>
      <c r="BS611" s="2" t="s">
        <v>5</v>
      </c>
      <c r="BT611" s="2" t="s">
        <v>5</v>
      </c>
      <c r="BU611" s="2" t="s">
        <v>5</v>
      </c>
      <c r="BV611" s="2" t="s">
        <v>5</v>
      </c>
      <c r="BW611" s="2" t="s">
        <v>5</v>
      </c>
      <c r="BX611" s="2" t="s">
        <v>5</v>
      </c>
      <c r="BY611" s="25" t="s">
        <v>5</v>
      </c>
      <c r="BZ611" s="25" t="s">
        <v>5</v>
      </c>
      <c r="CA611" s="6" t="s">
        <v>5</v>
      </c>
      <c r="CB611" s="6" t="s">
        <v>5</v>
      </c>
      <c r="CC611" s="6" t="s">
        <v>5</v>
      </c>
      <c r="CD611" s="6" t="s">
        <v>5</v>
      </c>
      <c r="CE611" s="6" t="s">
        <v>5</v>
      </c>
      <c r="CF611" s="16" t="s">
        <v>5</v>
      </c>
      <c r="CG611" s="16" t="s">
        <v>5</v>
      </c>
      <c r="CH611" s="18" t="s">
        <v>5</v>
      </c>
    </row>
    <row r="612" spans="2:86">
      <c r="B612" s="78" t="s">
        <v>473</v>
      </c>
      <c r="C612" s="79" t="s">
        <v>712</v>
      </c>
      <c r="D612" s="80" t="s">
        <v>712</v>
      </c>
      <c r="E612" s="1" t="s">
        <v>4</v>
      </c>
      <c r="F612" s="7">
        <v>9.8000000000000007</v>
      </c>
      <c r="G612" s="7">
        <v>2.88</v>
      </c>
      <c r="H612" s="3" t="str">
        <f t="shared" si="28"/>
        <v>2L3X3X1/4</v>
      </c>
      <c r="I612" s="7">
        <v>3</v>
      </c>
      <c r="J612" s="5" t="s">
        <v>5</v>
      </c>
      <c r="K612" s="6" t="s">
        <v>5</v>
      </c>
      <c r="L612" s="6" t="s">
        <v>5</v>
      </c>
      <c r="M612" s="6" t="s">
        <v>5</v>
      </c>
      <c r="N612" s="6" t="s">
        <v>5</v>
      </c>
      <c r="O612" s="5" t="s">
        <v>5</v>
      </c>
      <c r="P612" s="5" t="s">
        <v>5</v>
      </c>
      <c r="Q612" s="7">
        <v>3</v>
      </c>
      <c r="R612" s="6" t="s">
        <v>5</v>
      </c>
      <c r="S612" s="6" t="s">
        <v>5</v>
      </c>
      <c r="T612" s="5" t="s">
        <v>5</v>
      </c>
      <c r="U612" s="8" t="s">
        <v>5</v>
      </c>
      <c r="V612" s="6" t="s">
        <v>5</v>
      </c>
      <c r="W612" s="8" t="s">
        <v>5</v>
      </c>
      <c r="X612" s="22">
        <v>0.25</v>
      </c>
      <c r="Y612" s="6" t="s">
        <v>5</v>
      </c>
      <c r="Z612" s="6" t="s">
        <v>5</v>
      </c>
      <c r="AA612" s="6" t="s">
        <v>5</v>
      </c>
      <c r="AB612" s="8" t="s">
        <v>5</v>
      </c>
      <c r="AC612" s="8" t="s">
        <v>5</v>
      </c>
      <c r="AD612" s="6" t="s">
        <v>5</v>
      </c>
      <c r="AE612" s="22">
        <v>0.83599999999999997</v>
      </c>
      <c r="AF612" s="6" t="s">
        <v>5</v>
      </c>
      <c r="AG612" s="6" t="s">
        <v>5</v>
      </c>
      <c r="AH612" s="22">
        <v>0.24</v>
      </c>
      <c r="AI612" s="6" t="s">
        <v>5</v>
      </c>
      <c r="AJ612" s="4">
        <v>12</v>
      </c>
      <c r="AK612" s="6" t="s">
        <v>5</v>
      </c>
      <c r="AL612" s="6" t="s">
        <v>5</v>
      </c>
      <c r="AM612" s="6" t="s">
        <v>5</v>
      </c>
      <c r="AN612" s="6" t="s">
        <v>5</v>
      </c>
      <c r="AO612" s="7">
        <v>2.46</v>
      </c>
      <c r="AP612" s="7">
        <v>2.04</v>
      </c>
      <c r="AQ612" s="7">
        <v>1.1399999999999999</v>
      </c>
      <c r="AR612" s="22">
        <v>0.92600000000000005</v>
      </c>
      <c r="AS612" s="7">
        <v>4.5</v>
      </c>
      <c r="AT612" s="6">
        <v>2.41</v>
      </c>
      <c r="AU612" s="7">
        <v>1.5</v>
      </c>
      <c r="AV612" s="7">
        <v>1.25</v>
      </c>
      <c r="AW612" s="6" t="s">
        <v>5</v>
      </c>
      <c r="AX612" s="6" t="s">
        <v>5</v>
      </c>
      <c r="AY612" s="6" t="s">
        <v>5</v>
      </c>
      <c r="AZ612" s="6" t="s">
        <v>5</v>
      </c>
      <c r="BA612" s="6" t="s">
        <v>5</v>
      </c>
      <c r="BB612" s="6" t="s">
        <v>5</v>
      </c>
      <c r="BC612" s="6" t="s">
        <v>5</v>
      </c>
      <c r="BD612" s="6" t="s">
        <v>5</v>
      </c>
      <c r="BE612" s="6" t="s">
        <v>5</v>
      </c>
      <c r="BF612" s="6" t="s">
        <v>5</v>
      </c>
      <c r="BG612" s="6" t="s">
        <v>5</v>
      </c>
      <c r="BH612" s="6" t="s">
        <v>5</v>
      </c>
      <c r="BI612" s="7">
        <v>1.71</v>
      </c>
      <c r="BJ612" s="22">
        <v>0.82699999999999996</v>
      </c>
      <c r="BK612" s="6" t="s">
        <v>5</v>
      </c>
      <c r="BL612" s="2" t="s">
        <v>5</v>
      </c>
      <c r="BM612" s="2" t="s">
        <v>5</v>
      </c>
      <c r="BN612" s="2" t="s">
        <v>5</v>
      </c>
      <c r="BO612" s="2" t="s">
        <v>5</v>
      </c>
      <c r="BP612" s="2" t="s">
        <v>5</v>
      </c>
      <c r="BQ612" s="2" t="s">
        <v>5</v>
      </c>
      <c r="BR612" s="2" t="s">
        <v>5</v>
      </c>
      <c r="BS612" s="2" t="s">
        <v>5</v>
      </c>
      <c r="BT612" s="2" t="s">
        <v>5</v>
      </c>
      <c r="BU612" s="2" t="s">
        <v>5</v>
      </c>
      <c r="BV612" s="2" t="s">
        <v>5</v>
      </c>
      <c r="BW612" s="2" t="s">
        <v>5</v>
      </c>
      <c r="BX612" s="2" t="s">
        <v>5</v>
      </c>
      <c r="BY612" s="25" t="s">
        <v>5</v>
      </c>
      <c r="BZ612" s="25" t="s">
        <v>5</v>
      </c>
      <c r="CA612" s="6" t="s">
        <v>5</v>
      </c>
      <c r="CB612" s="6" t="s">
        <v>5</v>
      </c>
      <c r="CC612" s="6" t="s">
        <v>5</v>
      </c>
      <c r="CD612" s="6" t="s">
        <v>5</v>
      </c>
      <c r="CE612" s="6" t="s">
        <v>5</v>
      </c>
      <c r="CF612" s="16" t="s">
        <v>5</v>
      </c>
      <c r="CG612" s="16" t="s">
        <v>5</v>
      </c>
      <c r="CH612" s="18" t="s">
        <v>5</v>
      </c>
    </row>
    <row r="613" spans="2:86">
      <c r="B613" s="78" t="s">
        <v>473</v>
      </c>
      <c r="C613" s="79" t="s">
        <v>713</v>
      </c>
      <c r="D613" s="80" t="s">
        <v>713</v>
      </c>
      <c r="E613" s="1" t="s">
        <v>4</v>
      </c>
      <c r="F613" s="7">
        <v>9.8000000000000007</v>
      </c>
      <c r="G613" s="7">
        <v>2.88</v>
      </c>
      <c r="H613" s="3" t="str">
        <f t="shared" si="28"/>
        <v>2L3X3X1/4X3/8</v>
      </c>
      <c r="I613" s="7">
        <v>3</v>
      </c>
      <c r="J613" s="5" t="s">
        <v>5</v>
      </c>
      <c r="K613" s="6" t="s">
        <v>5</v>
      </c>
      <c r="L613" s="6" t="s">
        <v>5</v>
      </c>
      <c r="M613" s="6" t="s">
        <v>5</v>
      </c>
      <c r="N613" s="6" t="s">
        <v>5</v>
      </c>
      <c r="O613" s="5" t="s">
        <v>5</v>
      </c>
      <c r="P613" s="5" t="s">
        <v>5</v>
      </c>
      <c r="Q613" s="7">
        <v>3</v>
      </c>
      <c r="R613" s="6" t="s">
        <v>5</v>
      </c>
      <c r="S613" s="6" t="s">
        <v>5</v>
      </c>
      <c r="T613" s="5" t="s">
        <v>5</v>
      </c>
      <c r="U613" s="8" t="s">
        <v>5</v>
      </c>
      <c r="V613" s="6" t="s">
        <v>5</v>
      </c>
      <c r="W613" s="8" t="s">
        <v>5</v>
      </c>
      <c r="X613" s="22">
        <v>0.25</v>
      </c>
      <c r="Y613" s="6" t="s">
        <v>5</v>
      </c>
      <c r="Z613" s="6" t="s">
        <v>5</v>
      </c>
      <c r="AA613" s="6" t="s">
        <v>5</v>
      </c>
      <c r="AB613" s="8" t="s">
        <v>5</v>
      </c>
      <c r="AC613" s="8" t="s">
        <v>5</v>
      </c>
      <c r="AD613" s="6" t="s">
        <v>5</v>
      </c>
      <c r="AE613" s="22">
        <v>0.83599999999999997</v>
      </c>
      <c r="AF613" s="6" t="s">
        <v>5</v>
      </c>
      <c r="AG613" s="6" t="s">
        <v>5</v>
      </c>
      <c r="AH613" s="22">
        <v>0.24</v>
      </c>
      <c r="AI613" s="6" t="s">
        <v>5</v>
      </c>
      <c r="AJ613" s="4">
        <v>12</v>
      </c>
      <c r="AK613" s="6" t="s">
        <v>5</v>
      </c>
      <c r="AL613" s="6" t="s">
        <v>5</v>
      </c>
      <c r="AM613" s="6" t="s">
        <v>5</v>
      </c>
      <c r="AN613" s="6" t="s">
        <v>5</v>
      </c>
      <c r="AO613" s="7">
        <v>2.46</v>
      </c>
      <c r="AP613" s="7">
        <v>2.04</v>
      </c>
      <c r="AQ613" s="7">
        <v>1.1399999999999999</v>
      </c>
      <c r="AR613" s="22">
        <v>0.92600000000000005</v>
      </c>
      <c r="AS613" s="6">
        <v>5.48</v>
      </c>
      <c r="AT613" s="6">
        <v>2.95</v>
      </c>
      <c r="AU613" s="6">
        <v>1.72</v>
      </c>
      <c r="AV613" s="7">
        <v>1.38</v>
      </c>
      <c r="AW613" s="6" t="s">
        <v>5</v>
      </c>
      <c r="AX613" s="6" t="s">
        <v>5</v>
      </c>
      <c r="AY613" s="6" t="s">
        <v>5</v>
      </c>
      <c r="AZ613" s="6" t="s">
        <v>5</v>
      </c>
      <c r="BA613" s="6" t="s">
        <v>5</v>
      </c>
      <c r="BB613" s="6" t="s">
        <v>5</v>
      </c>
      <c r="BC613" s="6" t="s">
        <v>5</v>
      </c>
      <c r="BD613" s="6" t="s">
        <v>5</v>
      </c>
      <c r="BE613" s="6" t="s">
        <v>5</v>
      </c>
      <c r="BF613" s="6" t="s">
        <v>5</v>
      </c>
      <c r="BG613" s="6" t="s">
        <v>5</v>
      </c>
      <c r="BH613" s="6" t="s">
        <v>5</v>
      </c>
      <c r="BI613" s="7">
        <v>1.81</v>
      </c>
      <c r="BJ613" s="22">
        <v>0.84499999999999997</v>
      </c>
      <c r="BK613" s="6" t="s">
        <v>5</v>
      </c>
      <c r="BL613" s="2" t="s">
        <v>5</v>
      </c>
      <c r="BM613" s="2" t="s">
        <v>5</v>
      </c>
      <c r="BN613" s="2" t="s">
        <v>5</v>
      </c>
      <c r="BO613" s="2" t="s">
        <v>5</v>
      </c>
      <c r="BP613" s="2" t="s">
        <v>5</v>
      </c>
      <c r="BQ613" s="2" t="s">
        <v>5</v>
      </c>
      <c r="BR613" s="2" t="s">
        <v>5</v>
      </c>
      <c r="BS613" s="2" t="s">
        <v>5</v>
      </c>
      <c r="BT613" s="2" t="s">
        <v>5</v>
      </c>
      <c r="BU613" s="2" t="s">
        <v>5</v>
      </c>
      <c r="BV613" s="2" t="s">
        <v>5</v>
      </c>
      <c r="BW613" s="2" t="s">
        <v>5</v>
      </c>
      <c r="BX613" s="2" t="s">
        <v>5</v>
      </c>
      <c r="BY613" s="25" t="s">
        <v>5</v>
      </c>
      <c r="BZ613" s="25" t="s">
        <v>5</v>
      </c>
      <c r="CA613" s="6" t="s">
        <v>5</v>
      </c>
      <c r="CB613" s="6" t="s">
        <v>5</v>
      </c>
      <c r="CC613" s="6" t="s">
        <v>5</v>
      </c>
      <c r="CD613" s="6" t="s">
        <v>5</v>
      </c>
      <c r="CE613" s="6" t="s">
        <v>5</v>
      </c>
      <c r="CF613" s="16" t="s">
        <v>5</v>
      </c>
      <c r="CG613" s="16" t="s">
        <v>5</v>
      </c>
      <c r="CH613" s="18" t="s">
        <v>5</v>
      </c>
    </row>
    <row r="614" spans="2:86">
      <c r="B614" s="78" t="s">
        <v>473</v>
      </c>
      <c r="C614" s="79" t="s">
        <v>714</v>
      </c>
      <c r="D614" s="80" t="s">
        <v>714</v>
      </c>
      <c r="E614" s="1" t="s">
        <v>4</v>
      </c>
      <c r="F614" s="7">
        <v>9.8000000000000007</v>
      </c>
      <c r="G614" s="7">
        <v>2.88</v>
      </c>
      <c r="H614" s="3" t="str">
        <f t="shared" si="28"/>
        <v>2L3X3X1/4X3/4</v>
      </c>
      <c r="I614" s="7">
        <v>3</v>
      </c>
      <c r="J614" s="5" t="s">
        <v>5</v>
      </c>
      <c r="K614" s="6" t="s">
        <v>5</v>
      </c>
      <c r="L614" s="6" t="s">
        <v>5</v>
      </c>
      <c r="M614" s="6" t="s">
        <v>5</v>
      </c>
      <c r="N614" s="6" t="s">
        <v>5</v>
      </c>
      <c r="O614" s="5" t="s">
        <v>5</v>
      </c>
      <c r="P614" s="5" t="s">
        <v>5</v>
      </c>
      <c r="Q614" s="7">
        <v>3</v>
      </c>
      <c r="R614" s="6" t="s">
        <v>5</v>
      </c>
      <c r="S614" s="6" t="s">
        <v>5</v>
      </c>
      <c r="T614" s="5" t="s">
        <v>5</v>
      </c>
      <c r="U614" s="8" t="s">
        <v>5</v>
      </c>
      <c r="V614" s="6" t="s">
        <v>5</v>
      </c>
      <c r="W614" s="8" t="s">
        <v>5</v>
      </c>
      <c r="X614" s="22">
        <v>0.25</v>
      </c>
      <c r="Y614" s="6" t="s">
        <v>5</v>
      </c>
      <c r="Z614" s="6" t="s">
        <v>5</v>
      </c>
      <c r="AA614" s="6" t="s">
        <v>5</v>
      </c>
      <c r="AB614" s="8" t="s">
        <v>5</v>
      </c>
      <c r="AC614" s="8" t="s">
        <v>5</v>
      </c>
      <c r="AD614" s="6" t="s">
        <v>5</v>
      </c>
      <c r="AE614" s="22">
        <v>0.83599999999999997</v>
      </c>
      <c r="AF614" s="6" t="s">
        <v>5</v>
      </c>
      <c r="AG614" s="6" t="s">
        <v>5</v>
      </c>
      <c r="AH614" s="22">
        <v>0.24</v>
      </c>
      <c r="AI614" s="6" t="s">
        <v>5</v>
      </c>
      <c r="AJ614" s="4">
        <v>12</v>
      </c>
      <c r="AK614" s="6" t="s">
        <v>5</v>
      </c>
      <c r="AL614" s="6" t="s">
        <v>5</v>
      </c>
      <c r="AM614" s="6" t="s">
        <v>5</v>
      </c>
      <c r="AN614" s="6" t="s">
        <v>5</v>
      </c>
      <c r="AO614" s="7">
        <v>2.46</v>
      </c>
      <c r="AP614" s="7">
        <v>2.04</v>
      </c>
      <c r="AQ614" s="7">
        <v>1.1399999999999999</v>
      </c>
      <c r="AR614" s="22">
        <v>0.92600000000000005</v>
      </c>
      <c r="AS614" s="6">
        <v>6.65</v>
      </c>
      <c r="AT614" s="6">
        <v>3.49</v>
      </c>
      <c r="AU614" s="6">
        <v>1.97</v>
      </c>
      <c r="AV614" s="7">
        <v>1.52</v>
      </c>
      <c r="AW614" s="6" t="s">
        <v>5</v>
      </c>
      <c r="AX614" s="6" t="s">
        <v>5</v>
      </c>
      <c r="AY614" s="6" t="s">
        <v>5</v>
      </c>
      <c r="AZ614" s="6" t="s">
        <v>5</v>
      </c>
      <c r="BA614" s="6" t="s">
        <v>5</v>
      </c>
      <c r="BB614" s="6" t="s">
        <v>5</v>
      </c>
      <c r="BC614" s="6" t="s">
        <v>5</v>
      </c>
      <c r="BD614" s="6" t="s">
        <v>5</v>
      </c>
      <c r="BE614" s="6" t="s">
        <v>5</v>
      </c>
      <c r="BF614" s="6" t="s">
        <v>5</v>
      </c>
      <c r="BG614" s="6" t="s">
        <v>5</v>
      </c>
      <c r="BH614" s="6" t="s">
        <v>5</v>
      </c>
      <c r="BI614" s="7">
        <v>1.92</v>
      </c>
      <c r="BJ614" s="22">
        <v>0.86299999999999999</v>
      </c>
      <c r="BK614" s="6" t="s">
        <v>5</v>
      </c>
      <c r="BL614" s="2" t="s">
        <v>5</v>
      </c>
      <c r="BM614" s="2" t="s">
        <v>5</v>
      </c>
      <c r="BN614" s="2" t="s">
        <v>5</v>
      </c>
      <c r="BO614" s="2" t="s">
        <v>5</v>
      </c>
      <c r="BP614" s="2" t="s">
        <v>5</v>
      </c>
      <c r="BQ614" s="2" t="s">
        <v>5</v>
      </c>
      <c r="BR614" s="2" t="s">
        <v>5</v>
      </c>
      <c r="BS614" s="2" t="s">
        <v>5</v>
      </c>
      <c r="BT614" s="2" t="s">
        <v>5</v>
      </c>
      <c r="BU614" s="2" t="s">
        <v>5</v>
      </c>
      <c r="BV614" s="2" t="s">
        <v>5</v>
      </c>
      <c r="BW614" s="2" t="s">
        <v>5</v>
      </c>
      <c r="BX614" s="2" t="s">
        <v>5</v>
      </c>
      <c r="BY614" s="25" t="s">
        <v>5</v>
      </c>
      <c r="BZ614" s="25" t="s">
        <v>5</v>
      </c>
      <c r="CA614" s="6" t="s">
        <v>5</v>
      </c>
      <c r="CB614" s="6" t="s">
        <v>5</v>
      </c>
      <c r="CC614" s="6" t="s">
        <v>5</v>
      </c>
      <c r="CD614" s="6" t="s">
        <v>5</v>
      </c>
      <c r="CE614" s="6" t="s">
        <v>5</v>
      </c>
      <c r="CF614" s="16" t="s">
        <v>5</v>
      </c>
      <c r="CG614" s="16" t="s">
        <v>5</v>
      </c>
      <c r="CH614" s="18" t="s">
        <v>5</v>
      </c>
    </row>
    <row r="615" spans="2:86">
      <c r="B615" s="78" t="s">
        <v>473</v>
      </c>
      <c r="C615" s="79" t="s">
        <v>715</v>
      </c>
      <c r="D615" s="80" t="s">
        <v>715</v>
      </c>
      <c r="E615" s="1" t="s">
        <v>4</v>
      </c>
      <c r="F615" s="7">
        <v>7.42</v>
      </c>
      <c r="G615" s="7">
        <v>2.1800000000000002</v>
      </c>
      <c r="H615" s="3" t="str">
        <f t="shared" si="28"/>
        <v>2L3X3X3/16</v>
      </c>
      <c r="I615" s="7">
        <v>3</v>
      </c>
      <c r="J615" s="5" t="s">
        <v>5</v>
      </c>
      <c r="K615" s="6" t="s">
        <v>5</v>
      </c>
      <c r="L615" s="6" t="s">
        <v>5</v>
      </c>
      <c r="M615" s="6" t="s">
        <v>5</v>
      </c>
      <c r="N615" s="6" t="s">
        <v>5</v>
      </c>
      <c r="O615" s="5" t="s">
        <v>5</v>
      </c>
      <c r="P615" s="5" t="s">
        <v>5</v>
      </c>
      <c r="Q615" s="7">
        <v>3</v>
      </c>
      <c r="R615" s="6" t="s">
        <v>5</v>
      </c>
      <c r="S615" s="6" t="s">
        <v>5</v>
      </c>
      <c r="T615" s="5" t="s">
        <v>5</v>
      </c>
      <c r="U615" s="8" t="s">
        <v>5</v>
      </c>
      <c r="V615" s="6" t="s">
        <v>5</v>
      </c>
      <c r="W615" s="8" t="s">
        <v>5</v>
      </c>
      <c r="X615" s="22">
        <v>0.188</v>
      </c>
      <c r="Y615" s="6" t="s">
        <v>5</v>
      </c>
      <c r="Z615" s="6" t="s">
        <v>5</v>
      </c>
      <c r="AA615" s="6" t="s">
        <v>5</v>
      </c>
      <c r="AB615" s="8" t="s">
        <v>5</v>
      </c>
      <c r="AC615" s="8" t="s">
        <v>5</v>
      </c>
      <c r="AD615" s="6" t="s">
        <v>5</v>
      </c>
      <c r="AE615" s="22">
        <v>0.81200000000000006</v>
      </c>
      <c r="AF615" s="6" t="s">
        <v>5</v>
      </c>
      <c r="AG615" s="6" t="s">
        <v>5</v>
      </c>
      <c r="AH615" s="22">
        <v>0.182</v>
      </c>
      <c r="AI615" s="6" t="s">
        <v>5</v>
      </c>
      <c r="AJ615" s="4">
        <v>16</v>
      </c>
      <c r="AK615" s="6" t="s">
        <v>5</v>
      </c>
      <c r="AL615" s="6" t="s">
        <v>5</v>
      </c>
      <c r="AM615" s="6" t="s">
        <v>5</v>
      </c>
      <c r="AN615" s="6" t="s">
        <v>5</v>
      </c>
      <c r="AO615" s="7">
        <v>1.9</v>
      </c>
      <c r="AP615" s="7">
        <v>1.55</v>
      </c>
      <c r="AQ615" s="22">
        <v>0.86599999999999999</v>
      </c>
      <c r="AR615" s="22">
        <v>0.93300000000000005</v>
      </c>
      <c r="AS615" s="6">
        <v>3.35</v>
      </c>
      <c r="AT615" s="6">
        <v>1.77</v>
      </c>
      <c r="AU615" s="6">
        <v>1.1200000000000001</v>
      </c>
      <c r="AV615" s="7">
        <v>1.24</v>
      </c>
      <c r="AW615" s="6" t="s">
        <v>5</v>
      </c>
      <c r="AX615" s="6" t="s">
        <v>5</v>
      </c>
      <c r="AY615" s="6" t="s">
        <v>5</v>
      </c>
      <c r="AZ615" s="6" t="s">
        <v>5</v>
      </c>
      <c r="BA615" s="6" t="s">
        <v>5</v>
      </c>
      <c r="BB615" s="6" t="s">
        <v>5</v>
      </c>
      <c r="BC615" s="6" t="s">
        <v>5</v>
      </c>
      <c r="BD615" s="6" t="s">
        <v>5</v>
      </c>
      <c r="BE615" s="6" t="s">
        <v>5</v>
      </c>
      <c r="BF615" s="6" t="s">
        <v>5</v>
      </c>
      <c r="BG615" s="6" t="s">
        <v>5</v>
      </c>
      <c r="BH615" s="6" t="s">
        <v>5</v>
      </c>
      <c r="BI615" s="7">
        <v>1.71</v>
      </c>
      <c r="BJ615" s="22">
        <v>0.82299999999999995</v>
      </c>
      <c r="BK615" s="6" t="s">
        <v>5</v>
      </c>
      <c r="BL615" s="2" t="s">
        <v>5</v>
      </c>
      <c r="BM615" s="2" t="s">
        <v>5</v>
      </c>
      <c r="BN615" s="2" t="s">
        <v>5</v>
      </c>
      <c r="BO615" s="2" t="s">
        <v>5</v>
      </c>
      <c r="BP615" s="2" t="s">
        <v>5</v>
      </c>
      <c r="BQ615" s="2" t="s">
        <v>5</v>
      </c>
      <c r="BR615" s="2" t="s">
        <v>5</v>
      </c>
      <c r="BS615" s="2" t="s">
        <v>5</v>
      </c>
      <c r="BT615" s="2" t="s">
        <v>5</v>
      </c>
      <c r="BU615" s="2" t="s">
        <v>5</v>
      </c>
      <c r="BV615" s="2" t="s">
        <v>5</v>
      </c>
      <c r="BW615" s="2" t="s">
        <v>5</v>
      </c>
      <c r="BX615" s="2" t="s">
        <v>5</v>
      </c>
      <c r="BY615" s="25" t="s">
        <v>5</v>
      </c>
      <c r="BZ615" s="25" t="s">
        <v>5</v>
      </c>
      <c r="CA615" s="6" t="s">
        <v>5</v>
      </c>
      <c r="CB615" s="6" t="s">
        <v>5</v>
      </c>
      <c r="CC615" s="6" t="s">
        <v>5</v>
      </c>
      <c r="CD615" s="6" t="s">
        <v>5</v>
      </c>
      <c r="CE615" s="6" t="s">
        <v>5</v>
      </c>
      <c r="CF615" s="16" t="s">
        <v>5</v>
      </c>
      <c r="CG615" s="16" t="s">
        <v>5</v>
      </c>
      <c r="CH615" s="18" t="s">
        <v>5</v>
      </c>
    </row>
    <row r="616" spans="2:86">
      <c r="B616" s="78" t="s">
        <v>473</v>
      </c>
      <c r="C616" s="79" t="s">
        <v>716</v>
      </c>
      <c r="D616" s="80" t="s">
        <v>716</v>
      </c>
      <c r="E616" s="1" t="s">
        <v>4</v>
      </c>
      <c r="F616" s="7">
        <v>7.42</v>
      </c>
      <c r="G616" s="7">
        <v>2.1800000000000002</v>
      </c>
      <c r="H616" s="3" t="str">
        <f t="shared" si="28"/>
        <v>2L3X3X3/16X3/8</v>
      </c>
      <c r="I616" s="7">
        <v>3</v>
      </c>
      <c r="J616" s="5" t="s">
        <v>5</v>
      </c>
      <c r="K616" s="6" t="s">
        <v>5</v>
      </c>
      <c r="L616" s="6" t="s">
        <v>5</v>
      </c>
      <c r="M616" s="6" t="s">
        <v>5</v>
      </c>
      <c r="N616" s="6" t="s">
        <v>5</v>
      </c>
      <c r="O616" s="5" t="s">
        <v>5</v>
      </c>
      <c r="P616" s="5" t="s">
        <v>5</v>
      </c>
      <c r="Q616" s="7">
        <v>3</v>
      </c>
      <c r="R616" s="6" t="s">
        <v>5</v>
      </c>
      <c r="S616" s="6" t="s">
        <v>5</v>
      </c>
      <c r="T616" s="5" t="s">
        <v>5</v>
      </c>
      <c r="U616" s="8" t="s">
        <v>5</v>
      </c>
      <c r="V616" s="6" t="s">
        <v>5</v>
      </c>
      <c r="W616" s="8" t="s">
        <v>5</v>
      </c>
      <c r="X616" s="22">
        <v>0.188</v>
      </c>
      <c r="Y616" s="6" t="s">
        <v>5</v>
      </c>
      <c r="Z616" s="6" t="s">
        <v>5</v>
      </c>
      <c r="AA616" s="6" t="s">
        <v>5</v>
      </c>
      <c r="AB616" s="8" t="s">
        <v>5</v>
      </c>
      <c r="AC616" s="8" t="s">
        <v>5</v>
      </c>
      <c r="AD616" s="6" t="s">
        <v>5</v>
      </c>
      <c r="AE616" s="22">
        <v>0.81200000000000006</v>
      </c>
      <c r="AF616" s="6" t="s">
        <v>5</v>
      </c>
      <c r="AG616" s="6" t="s">
        <v>5</v>
      </c>
      <c r="AH616" s="22">
        <v>0.182</v>
      </c>
      <c r="AI616" s="6" t="s">
        <v>5</v>
      </c>
      <c r="AJ616" s="4">
        <v>16</v>
      </c>
      <c r="AK616" s="6" t="s">
        <v>5</v>
      </c>
      <c r="AL616" s="6" t="s">
        <v>5</v>
      </c>
      <c r="AM616" s="6" t="s">
        <v>5</v>
      </c>
      <c r="AN616" s="6" t="s">
        <v>5</v>
      </c>
      <c r="AO616" s="7">
        <v>1.9</v>
      </c>
      <c r="AP616" s="7">
        <v>1.55</v>
      </c>
      <c r="AQ616" s="22">
        <v>0.86599999999999999</v>
      </c>
      <c r="AR616" s="22">
        <v>0.93300000000000005</v>
      </c>
      <c r="AS616" s="6">
        <v>4.09</v>
      </c>
      <c r="AT616" s="6">
        <v>2.1800000000000002</v>
      </c>
      <c r="AU616" s="6">
        <v>1.28</v>
      </c>
      <c r="AV616" s="7">
        <v>1.37</v>
      </c>
      <c r="AW616" s="6" t="s">
        <v>5</v>
      </c>
      <c r="AX616" s="6" t="s">
        <v>5</v>
      </c>
      <c r="AY616" s="6" t="s">
        <v>5</v>
      </c>
      <c r="AZ616" s="6" t="s">
        <v>5</v>
      </c>
      <c r="BA616" s="6" t="s">
        <v>5</v>
      </c>
      <c r="BB616" s="6" t="s">
        <v>5</v>
      </c>
      <c r="BC616" s="6" t="s">
        <v>5</v>
      </c>
      <c r="BD616" s="6" t="s">
        <v>5</v>
      </c>
      <c r="BE616" s="6" t="s">
        <v>5</v>
      </c>
      <c r="BF616" s="6" t="s">
        <v>5</v>
      </c>
      <c r="BG616" s="6" t="s">
        <v>5</v>
      </c>
      <c r="BH616" s="6" t="s">
        <v>5</v>
      </c>
      <c r="BI616" s="7">
        <v>1.8</v>
      </c>
      <c r="BJ616" s="22">
        <v>0.84199999999999997</v>
      </c>
      <c r="BK616" s="6" t="s">
        <v>5</v>
      </c>
      <c r="BL616" s="2" t="s">
        <v>5</v>
      </c>
      <c r="BM616" s="2" t="s">
        <v>5</v>
      </c>
      <c r="BN616" s="2" t="s">
        <v>5</v>
      </c>
      <c r="BO616" s="2" t="s">
        <v>5</v>
      </c>
      <c r="BP616" s="2" t="s">
        <v>5</v>
      </c>
      <c r="BQ616" s="2" t="s">
        <v>5</v>
      </c>
      <c r="BR616" s="2" t="s">
        <v>5</v>
      </c>
      <c r="BS616" s="2" t="s">
        <v>5</v>
      </c>
      <c r="BT616" s="2" t="s">
        <v>5</v>
      </c>
      <c r="BU616" s="2" t="s">
        <v>5</v>
      </c>
      <c r="BV616" s="2" t="s">
        <v>5</v>
      </c>
      <c r="BW616" s="2" t="s">
        <v>5</v>
      </c>
      <c r="BX616" s="2" t="s">
        <v>5</v>
      </c>
      <c r="BY616" s="25" t="s">
        <v>5</v>
      </c>
      <c r="BZ616" s="25" t="s">
        <v>5</v>
      </c>
      <c r="CA616" s="6" t="s">
        <v>5</v>
      </c>
      <c r="CB616" s="6" t="s">
        <v>5</v>
      </c>
      <c r="CC616" s="6" t="s">
        <v>5</v>
      </c>
      <c r="CD616" s="6" t="s">
        <v>5</v>
      </c>
      <c r="CE616" s="6" t="s">
        <v>5</v>
      </c>
      <c r="CF616" s="16" t="s">
        <v>5</v>
      </c>
      <c r="CG616" s="16" t="s">
        <v>5</v>
      </c>
      <c r="CH616" s="18" t="s">
        <v>5</v>
      </c>
    </row>
    <row r="617" spans="2:86">
      <c r="B617" s="78" t="s">
        <v>473</v>
      </c>
      <c r="C617" s="79" t="s">
        <v>717</v>
      </c>
      <c r="D617" s="80" t="s">
        <v>717</v>
      </c>
      <c r="E617" s="1" t="s">
        <v>4</v>
      </c>
      <c r="F617" s="7">
        <v>7.42</v>
      </c>
      <c r="G617" s="7">
        <v>2.1800000000000002</v>
      </c>
      <c r="H617" s="3" t="str">
        <f t="shared" si="28"/>
        <v>2L3X3X3/16X3/4</v>
      </c>
      <c r="I617" s="7">
        <v>3</v>
      </c>
      <c r="J617" s="5" t="s">
        <v>5</v>
      </c>
      <c r="K617" s="6" t="s">
        <v>5</v>
      </c>
      <c r="L617" s="6" t="s">
        <v>5</v>
      </c>
      <c r="M617" s="6" t="s">
        <v>5</v>
      </c>
      <c r="N617" s="6" t="s">
        <v>5</v>
      </c>
      <c r="O617" s="5" t="s">
        <v>5</v>
      </c>
      <c r="P617" s="5" t="s">
        <v>5</v>
      </c>
      <c r="Q617" s="7">
        <v>3</v>
      </c>
      <c r="R617" s="6" t="s">
        <v>5</v>
      </c>
      <c r="S617" s="6" t="s">
        <v>5</v>
      </c>
      <c r="T617" s="5" t="s">
        <v>5</v>
      </c>
      <c r="U617" s="8" t="s">
        <v>5</v>
      </c>
      <c r="V617" s="6" t="s">
        <v>5</v>
      </c>
      <c r="W617" s="8" t="s">
        <v>5</v>
      </c>
      <c r="X617" s="22">
        <v>0.188</v>
      </c>
      <c r="Y617" s="6" t="s">
        <v>5</v>
      </c>
      <c r="Z617" s="6" t="s">
        <v>5</v>
      </c>
      <c r="AA617" s="6" t="s">
        <v>5</v>
      </c>
      <c r="AB617" s="8" t="s">
        <v>5</v>
      </c>
      <c r="AC617" s="8" t="s">
        <v>5</v>
      </c>
      <c r="AD617" s="6" t="s">
        <v>5</v>
      </c>
      <c r="AE617" s="22">
        <v>0.81200000000000006</v>
      </c>
      <c r="AF617" s="6" t="s">
        <v>5</v>
      </c>
      <c r="AG617" s="6" t="s">
        <v>5</v>
      </c>
      <c r="AH617" s="22">
        <v>0.182</v>
      </c>
      <c r="AI617" s="6" t="s">
        <v>5</v>
      </c>
      <c r="AJ617" s="4">
        <v>16</v>
      </c>
      <c r="AK617" s="6" t="s">
        <v>5</v>
      </c>
      <c r="AL617" s="6" t="s">
        <v>5</v>
      </c>
      <c r="AM617" s="6" t="s">
        <v>5</v>
      </c>
      <c r="AN617" s="6" t="s">
        <v>5</v>
      </c>
      <c r="AO617" s="7">
        <v>1.9</v>
      </c>
      <c r="AP617" s="7">
        <v>1.55</v>
      </c>
      <c r="AQ617" s="22">
        <v>0.86599999999999999</v>
      </c>
      <c r="AR617" s="22">
        <v>0.93300000000000005</v>
      </c>
      <c r="AS617" s="6">
        <v>4.97</v>
      </c>
      <c r="AT617" s="6">
        <v>2.59</v>
      </c>
      <c r="AU617" s="6">
        <v>1.47</v>
      </c>
      <c r="AV617" s="7">
        <v>1.51</v>
      </c>
      <c r="AW617" s="6" t="s">
        <v>5</v>
      </c>
      <c r="AX617" s="6" t="s">
        <v>5</v>
      </c>
      <c r="AY617" s="6" t="s">
        <v>5</v>
      </c>
      <c r="AZ617" s="6" t="s">
        <v>5</v>
      </c>
      <c r="BA617" s="6" t="s">
        <v>5</v>
      </c>
      <c r="BB617" s="6" t="s">
        <v>5</v>
      </c>
      <c r="BC617" s="6" t="s">
        <v>5</v>
      </c>
      <c r="BD617" s="6" t="s">
        <v>5</v>
      </c>
      <c r="BE617" s="6" t="s">
        <v>5</v>
      </c>
      <c r="BF617" s="6" t="s">
        <v>5</v>
      </c>
      <c r="BG617" s="6" t="s">
        <v>5</v>
      </c>
      <c r="BH617" s="6" t="s">
        <v>5</v>
      </c>
      <c r="BI617" s="7">
        <v>1.91</v>
      </c>
      <c r="BJ617" s="22">
        <v>0.85899999999999999</v>
      </c>
      <c r="BK617" s="6" t="s">
        <v>5</v>
      </c>
      <c r="BL617" s="2" t="s">
        <v>5</v>
      </c>
      <c r="BM617" s="2" t="s">
        <v>5</v>
      </c>
      <c r="BN617" s="2" t="s">
        <v>5</v>
      </c>
      <c r="BO617" s="2" t="s">
        <v>5</v>
      </c>
      <c r="BP617" s="2" t="s">
        <v>5</v>
      </c>
      <c r="BQ617" s="2" t="s">
        <v>5</v>
      </c>
      <c r="BR617" s="2" t="s">
        <v>5</v>
      </c>
      <c r="BS617" s="2" t="s">
        <v>5</v>
      </c>
      <c r="BT617" s="2" t="s">
        <v>5</v>
      </c>
      <c r="BU617" s="2" t="s">
        <v>5</v>
      </c>
      <c r="BV617" s="2" t="s">
        <v>5</v>
      </c>
      <c r="BW617" s="2" t="s">
        <v>5</v>
      </c>
      <c r="BX617" s="2" t="s">
        <v>5</v>
      </c>
      <c r="BY617" s="25" t="s">
        <v>5</v>
      </c>
      <c r="BZ617" s="25" t="s">
        <v>5</v>
      </c>
      <c r="CA617" s="6" t="s">
        <v>5</v>
      </c>
      <c r="CB617" s="6" t="s">
        <v>5</v>
      </c>
      <c r="CC617" s="6" t="s">
        <v>5</v>
      </c>
      <c r="CD617" s="6" t="s">
        <v>5</v>
      </c>
      <c r="CE617" s="6" t="s">
        <v>5</v>
      </c>
      <c r="CF617" s="16" t="s">
        <v>5</v>
      </c>
      <c r="CG617" s="16" t="s">
        <v>5</v>
      </c>
      <c r="CH617" s="18" t="s">
        <v>5</v>
      </c>
    </row>
    <row r="618" spans="2:86">
      <c r="B618" s="78" t="s">
        <v>473</v>
      </c>
      <c r="C618" s="79" t="s">
        <v>718</v>
      </c>
      <c r="D618" s="80" t="s">
        <v>718</v>
      </c>
      <c r="E618" s="1" t="s">
        <v>4</v>
      </c>
      <c r="F618" s="4">
        <v>15.4</v>
      </c>
      <c r="G618" s="7">
        <v>4.5199999999999996</v>
      </c>
      <c r="H618" s="3" t="str">
        <f t="shared" si="28"/>
        <v>2L2-1/2X2-1/2X1/2</v>
      </c>
      <c r="I618" s="7">
        <v>2.5</v>
      </c>
      <c r="J618" s="5" t="s">
        <v>5</v>
      </c>
      <c r="K618" s="6" t="s">
        <v>5</v>
      </c>
      <c r="L618" s="6" t="s">
        <v>5</v>
      </c>
      <c r="M618" s="6" t="s">
        <v>5</v>
      </c>
      <c r="N618" s="6" t="s">
        <v>5</v>
      </c>
      <c r="O618" s="5" t="s">
        <v>5</v>
      </c>
      <c r="P618" s="5" t="s">
        <v>5</v>
      </c>
      <c r="Q618" s="7">
        <v>2.5</v>
      </c>
      <c r="R618" s="6" t="s">
        <v>5</v>
      </c>
      <c r="S618" s="6" t="s">
        <v>5</v>
      </c>
      <c r="T618" s="5" t="s">
        <v>5</v>
      </c>
      <c r="U618" s="8" t="s">
        <v>5</v>
      </c>
      <c r="V618" s="6" t="s">
        <v>5</v>
      </c>
      <c r="W618" s="8" t="s">
        <v>5</v>
      </c>
      <c r="X618" s="22">
        <v>0.5</v>
      </c>
      <c r="Y618" s="6" t="s">
        <v>5</v>
      </c>
      <c r="Z618" s="6" t="s">
        <v>5</v>
      </c>
      <c r="AA618" s="6" t="s">
        <v>5</v>
      </c>
      <c r="AB618" s="8" t="s">
        <v>5</v>
      </c>
      <c r="AC618" s="8" t="s">
        <v>5</v>
      </c>
      <c r="AD618" s="6" t="s">
        <v>5</v>
      </c>
      <c r="AE618" s="22">
        <v>0.80300000000000005</v>
      </c>
      <c r="AF618" s="6" t="s">
        <v>5</v>
      </c>
      <c r="AG618" s="6" t="s">
        <v>5</v>
      </c>
      <c r="AH618" s="22">
        <v>0.45200000000000001</v>
      </c>
      <c r="AI618" s="6" t="s">
        <v>5</v>
      </c>
      <c r="AJ618" s="7">
        <v>5</v>
      </c>
      <c r="AK618" s="6" t="s">
        <v>5</v>
      </c>
      <c r="AL618" s="6" t="s">
        <v>5</v>
      </c>
      <c r="AM618" s="6" t="s">
        <v>5</v>
      </c>
      <c r="AN618" s="6" t="s">
        <v>5</v>
      </c>
      <c r="AO618" s="7">
        <v>2.44</v>
      </c>
      <c r="AP618" s="7">
        <v>2.58</v>
      </c>
      <c r="AQ618" s="7">
        <v>1.43</v>
      </c>
      <c r="AR618" s="22">
        <v>0.73499999999999999</v>
      </c>
      <c r="AS618" s="6">
        <v>5.37</v>
      </c>
      <c r="AT618" s="6">
        <v>3.63</v>
      </c>
      <c r="AU618" s="6">
        <v>2.15</v>
      </c>
      <c r="AV618" s="7">
        <v>1.0900000000000001</v>
      </c>
      <c r="AW618" s="6" t="s">
        <v>5</v>
      </c>
      <c r="AX618" s="6" t="s">
        <v>5</v>
      </c>
      <c r="AY618" s="6" t="s">
        <v>5</v>
      </c>
      <c r="AZ618" s="6" t="s">
        <v>5</v>
      </c>
      <c r="BA618" s="6" t="s">
        <v>5</v>
      </c>
      <c r="BB618" s="6" t="s">
        <v>5</v>
      </c>
      <c r="BC618" s="6" t="s">
        <v>5</v>
      </c>
      <c r="BD618" s="6" t="s">
        <v>5</v>
      </c>
      <c r="BE618" s="6" t="s">
        <v>5</v>
      </c>
      <c r="BF618" s="6" t="s">
        <v>5</v>
      </c>
      <c r="BG618" s="6" t="s">
        <v>5</v>
      </c>
      <c r="BH618" s="6" t="s">
        <v>5</v>
      </c>
      <c r="BI618" s="7">
        <v>1.43</v>
      </c>
      <c r="BJ618" s="22">
        <v>0.85</v>
      </c>
      <c r="BK618" s="6" t="s">
        <v>5</v>
      </c>
      <c r="BL618" s="2" t="s">
        <v>5</v>
      </c>
      <c r="BM618" s="2" t="s">
        <v>5</v>
      </c>
      <c r="BN618" s="2" t="s">
        <v>5</v>
      </c>
      <c r="BO618" s="2" t="s">
        <v>5</v>
      </c>
      <c r="BP618" s="2" t="s">
        <v>5</v>
      </c>
      <c r="BQ618" s="2" t="s">
        <v>5</v>
      </c>
      <c r="BR618" s="2" t="s">
        <v>5</v>
      </c>
      <c r="BS618" s="2" t="s">
        <v>5</v>
      </c>
      <c r="BT618" s="2" t="s">
        <v>5</v>
      </c>
      <c r="BU618" s="2" t="s">
        <v>5</v>
      </c>
      <c r="BV618" s="2" t="s">
        <v>5</v>
      </c>
      <c r="BW618" s="2" t="s">
        <v>5</v>
      </c>
      <c r="BX618" s="2" t="s">
        <v>5</v>
      </c>
      <c r="BY618" s="25" t="s">
        <v>5</v>
      </c>
      <c r="BZ618" s="25" t="s">
        <v>5</v>
      </c>
      <c r="CA618" s="6" t="s">
        <v>5</v>
      </c>
      <c r="CB618" s="6" t="s">
        <v>5</v>
      </c>
      <c r="CC618" s="6" t="s">
        <v>5</v>
      </c>
      <c r="CD618" s="6" t="s">
        <v>5</v>
      </c>
      <c r="CE618" s="6" t="s">
        <v>5</v>
      </c>
      <c r="CF618" s="16" t="s">
        <v>5</v>
      </c>
      <c r="CG618" s="16" t="s">
        <v>5</v>
      </c>
      <c r="CH618" s="18" t="s">
        <v>5</v>
      </c>
    </row>
    <row r="619" spans="2:86">
      <c r="B619" s="78" t="s">
        <v>473</v>
      </c>
      <c r="C619" s="79" t="s">
        <v>719</v>
      </c>
      <c r="D619" s="80" t="s">
        <v>719</v>
      </c>
      <c r="E619" s="1" t="s">
        <v>4</v>
      </c>
      <c r="F619" s="4">
        <v>15.4</v>
      </c>
      <c r="G619" s="7">
        <v>4.5199999999999996</v>
      </c>
      <c r="H619" s="3" t="str">
        <f t="shared" si="28"/>
        <v>2L2-1/2X2-1/2X1/2X3/8</v>
      </c>
      <c r="I619" s="7">
        <v>2.5</v>
      </c>
      <c r="J619" s="5" t="s">
        <v>5</v>
      </c>
      <c r="K619" s="6" t="s">
        <v>5</v>
      </c>
      <c r="L619" s="6" t="s">
        <v>5</v>
      </c>
      <c r="M619" s="6" t="s">
        <v>5</v>
      </c>
      <c r="N619" s="6" t="s">
        <v>5</v>
      </c>
      <c r="O619" s="5" t="s">
        <v>5</v>
      </c>
      <c r="P619" s="5" t="s">
        <v>5</v>
      </c>
      <c r="Q619" s="7">
        <v>2.5</v>
      </c>
      <c r="R619" s="6" t="s">
        <v>5</v>
      </c>
      <c r="S619" s="6" t="s">
        <v>5</v>
      </c>
      <c r="T619" s="5" t="s">
        <v>5</v>
      </c>
      <c r="U619" s="8" t="s">
        <v>5</v>
      </c>
      <c r="V619" s="6" t="s">
        <v>5</v>
      </c>
      <c r="W619" s="8" t="s">
        <v>5</v>
      </c>
      <c r="X619" s="22">
        <v>0.5</v>
      </c>
      <c r="Y619" s="6" t="s">
        <v>5</v>
      </c>
      <c r="Z619" s="6" t="s">
        <v>5</v>
      </c>
      <c r="AA619" s="6" t="s">
        <v>5</v>
      </c>
      <c r="AB619" s="8" t="s">
        <v>5</v>
      </c>
      <c r="AC619" s="8" t="s">
        <v>5</v>
      </c>
      <c r="AD619" s="6" t="s">
        <v>5</v>
      </c>
      <c r="AE619" s="22">
        <v>0.80300000000000005</v>
      </c>
      <c r="AF619" s="6" t="s">
        <v>5</v>
      </c>
      <c r="AG619" s="6" t="s">
        <v>5</v>
      </c>
      <c r="AH619" s="22">
        <v>0.45200000000000001</v>
      </c>
      <c r="AI619" s="6" t="s">
        <v>5</v>
      </c>
      <c r="AJ619" s="7">
        <v>5</v>
      </c>
      <c r="AK619" s="6" t="s">
        <v>5</v>
      </c>
      <c r="AL619" s="6" t="s">
        <v>5</v>
      </c>
      <c r="AM619" s="6" t="s">
        <v>5</v>
      </c>
      <c r="AN619" s="6" t="s">
        <v>5</v>
      </c>
      <c r="AO619" s="7">
        <v>2.44</v>
      </c>
      <c r="AP619" s="7">
        <v>2.58</v>
      </c>
      <c r="AQ619" s="7">
        <v>1.43</v>
      </c>
      <c r="AR619" s="22">
        <v>0.73499999999999999</v>
      </c>
      <c r="AS619" s="6">
        <v>6.84</v>
      </c>
      <c r="AT619" s="6">
        <v>4.4800000000000004</v>
      </c>
      <c r="AU619" s="6">
        <v>2.5499999999999998</v>
      </c>
      <c r="AV619" s="7">
        <v>1.23</v>
      </c>
      <c r="AW619" s="6" t="s">
        <v>5</v>
      </c>
      <c r="AX619" s="6" t="s">
        <v>5</v>
      </c>
      <c r="AY619" s="6" t="s">
        <v>5</v>
      </c>
      <c r="AZ619" s="6" t="s">
        <v>5</v>
      </c>
      <c r="BA619" s="6" t="s">
        <v>5</v>
      </c>
      <c r="BB619" s="6" t="s">
        <v>5</v>
      </c>
      <c r="BC619" s="6" t="s">
        <v>5</v>
      </c>
      <c r="BD619" s="6" t="s">
        <v>5</v>
      </c>
      <c r="BE619" s="6" t="s">
        <v>5</v>
      </c>
      <c r="BF619" s="6" t="s">
        <v>5</v>
      </c>
      <c r="BG619" s="6" t="s">
        <v>5</v>
      </c>
      <c r="BH619" s="6" t="s">
        <v>5</v>
      </c>
      <c r="BI619" s="7">
        <v>1.54</v>
      </c>
      <c r="BJ619" s="22">
        <v>0.871</v>
      </c>
      <c r="BK619" s="6" t="s">
        <v>5</v>
      </c>
      <c r="BL619" s="2" t="s">
        <v>5</v>
      </c>
      <c r="BM619" s="2" t="s">
        <v>5</v>
      </c>
      <c r="BN619" s="2" t="s">
        <v>5</v>
      </c>
      <c r="BO619" s="2" t="s">
        <v>5</v>
      </c>
      <c r="BP619" s="2" t="s">
        <v>5</v>
      </c>
      <c r="BQ619" s="2" t="s">
        <v>5</v>
      </c>
      <c r="BR619" s="2" t="s">
        <v>5</v>
      </c>
      <c r="BS619" s="2" t="s">
        <v>5</v>
      </c>
      <c r="BT619" s="2" t="s">
        <v>5</v>
      </c>
      <c r="BU619" s="2" t="s">
        <v>5</v>
      </c>
      <c r="BV619" s="2" t="s">
        <v>5</v>
      </c>
      <c r="BW619" s="2" t="s">
        <v>5</v>
      </c>
      <c r="BX619" s="2" t="s">
        <v>5</v>
      </c>
      <c r="BY619" s="25" t="s">
        <v>5</v>
      </c>
      <c r="BZ619" s="25" t="s">
        <v>5</v>
      </c>
      <c r="CA619" s="6" t="s">
        <v>5</v>
      </c>
      <c r="CB619" s="6" t="s">
        <v>5</v>
      </c>
      <c r="CC619" s="6" t="s">
        <v>5</v>
      </c>
      <c r="CD619" s="6" t="s">
        <v>5</v>
      </c>
      <c r="CE619" s="6" t="s">
        <v>5</v>
      </c>
      <c r="CF619" s="16" t="s">
        <v>5</v>
      </c>
      <c r="CG619" s="16" t="s">
        <v>5</v>
      </c>
      <c r="CH619" s="18" t="s">
        <v>5</v>
      </c>
    </row>
    <row r="620" spans="2:86">
      <c r="B620" s="78" t="s">
        <v>473</v>
      </c>
      <c r="C620" s="79" t="s">
        <v>720</v>
      </c>
      <c r="D620" s="80" t="s">
        <v>720</v>
      </c>
      <c r="E620" s="1" t="s">
        <v>4</v>
      </c>
      <c r="F620" s="4">
        <v>15.4</v>
      </c>
      <c r="G620" s="7">
        <v>4.5199999999999996</v>
      </c>
      <c r="H620" s="3" t="str">
        <f t="shared" si="28"/>
        <v>2L2-1/2X2-1/2X1/2X3/4</v>
      </c>
      <c r="I620" s="7">
        <v>2.5</v>
      </c>
      <c r="J620" s="5" t="s">
        <v>5</v>
      </c>
      <c r="K620" s="6" t="s">
        <v>5</v>
      </c>
      <c r="L620" s="6" t="s">
        <v>5</v>
      </c>
      <c r="M620" s="6" t="s">
        <v>5</v>
      </c>
      <c r="N620" s="6" t="s">
        <v>5</v>
      </c>
      <c r="O620" s="5" t="s">
        <v>5</v>
      </c>
      <c r="P620" s="5" t="s">
        <v>5</v>
      </c>
      <c r="Q620" s="7">
        <v>2.5</v>
      </c>
      <c r="R620" s="6" t="s">
        <v>5</v>
      </c>
      <c r="S620" s="6" t="s">
        <v>5</v>
      </c>
      <c r="T620" s="5" t="s">
        <v>5</v>
      </c>
      <c r="U620" s="8" t="s">
        <v>5</v>
      </c>
      <c r="V620" s="6" t="s">
        <v>5</v>
      </c>
      <c r="W620" s="8" t="s">
        <v>5</v>
      </c>
      <c r="X620" s="22">
        <v>0.5</v>
      </c>
      <c r="Y620" s="6" t="s">
        <v>5</v>
      </c>
      <c r="Z620" s="6" t="s">
        <v>5</v>
      </c>
      <c r="AA620" s="6" t="s">
        <v>5</v>
      </c>
      <c r="AB620" s="8" t="s">
        <v>5</v>
      </c>
      <c r="AC620" s="8" t="s">
        <v>5</v>
      </c>
      <c r="AD620" s="6" t="s">
        <v>5</v>
      </c>
      <c r="AE620" s="22">
        <v>0.80300000000000005</v>
      </c>
      <c r="AF620" s="6" t="s">
        <v>5</v>
      </c>
      <c r="AG620" s="6" t="s">
        <v>5</v>
      </c>
      <c r="AH620" s="22">
        <v>0.45200000000000001</v>
      </c>
      <c r="AI620" s="6" t="s">
        <v>5</v>
      </c>
      <c r="AJ620" s="7">
        <v>5</v>
      </c>
      <c r="AK620" s="6" t="s">
        <v>5</v>
      </c>
      <c r="AL620" s="6" t="s">
        <v>5</v>
      </c>
      <c r="AM620" s="6" t="s">
        <v>5</v>
      </c>
      <c r="AN620" s="6" t="s">
        <v>5</v>
      </c>
      <c r="AO620" s="7">
        <v>2.44</v>
      </c>
      <c r="AP620" s="7">
        <v>2.58</v>
      </c>
      <c r="AQ620" s="7">
        <v>1.43</v>
      </c>
      <c r="AR620" s="22">
        <v>0.73499999999999999</v>
      </c>
      <c r="AS620" s="6">
        <v>8.73</v>
      </c>
      <c r="AT620" s="6">
        <v>5.32</v>
      </c>
      <c r="AU620" s="6">
        <v>3.04</v>
      </c>
      <c r="AV620" s="7">
        <v>1.39</v>
      </c>
      <c r="AW620" s="6" t="s">
        <v>5</v>
      </c>
      <c r="AX620" s="6" t="s">
        <v>5</v>
      </c>
      <c r="AY620" s="6" t="s">
        <v>5</v>
      </c>
      <c r="AZ620" s="6" t="s">
        <v>5</v>
      </c>
      <c r="BA620" s="6" t="s">
        <v>5</v>
      </c>
      <c r="BB620" s="6" t="s">
        <v>5</v>
      </c>
      <c r="BC620" s="6" t="s">
        <v>5</v>
      </c>
      <c r="BD620" s="6" t="s">
        <v>5</v>
      </c>
      <c r="BE620" s="6" t="s">
        <v>5</v>
      </c>
      <c r="BF620" s="6" t="s">
        <v>5</v>
      </c>
      <c r="BG620" s="6" t="s">
        <v>5</v>
      </c>
      <c r="BH620" s="6" t="s">
        <v>5</v>
      </c>
      <c r="BI620" s="7">
        <v>1.67</v>
      </c>
      <c r="BJ620" s="22">
        <v>0.89</v>
      </c>
      <c r="BK620" s="6" t="s">
        <v>5</v>
      </c>
      <c r="BL620" s="2" t="s">
        <v>5</v>
      </c>
      <c r="BM620" s="2" t="s">
        <v>5</v>
      </c>
      <c r="BN620" s="2" t="s">
        <v>5</v>
      </c>
      <c r="BO620" s="2" t="s">
        <v>5</v>
      </c>
      <c r="BP620" s="2" t="s">
        <v>5</v>
      </c>
      <c r="BQ620" s="2" t="s">
        <v>5</v>
      </c>
      <c r="BR620" s="2" t="s">
        <v>5</v>
      </c>
      <c r="BS620" s="2" t="s">
        <v>5</v>
      </c>
      <c r="BT620" s="2" t="s">
        <v>5</v>
      </c>
      <c r="BU620" s="2" t="s">
        <v>5</v>
      </c>
      <c r="BV620" s="2" t="s">
        <v>5</v>
      </c>
      <c r="BW620" s="2" t="s">
        <v>5</v>
      </c>
      <c r="BX620" s="2" t="s">
        <v>5</v>
      </c>
      <c r="BY620" s="25" t="s">
        <v>5</v>
      </c>
      <c r="BZ620" s="25" t="s">
        <v>5</v>
      </c>
      <c r="CA620" s="6" t="s">
        <v>5</v>
      </c>
      <c r="CB620" s="6" t="s">
        <v>5</v>
      </c>
      <c r="CC620" s="6" t="s">
        <v>5</v>
      </c>
      <c r="CD620" s="6" t="s">
        <v>5</v>
      </c>
      <c r="CE620" s="6" t="s">
        <v>5</v>
      </c>
      <c r="CF620" s="16" t="s">
        <v>5</v>
      </c>
      <c r="CG620" s="16" t="s">
        <v>5</v>
      </c>
      <c r="CH620" s="18" t="s">
        <v>5</v>
      </c>
    </row>
    <row r="621" spans="2:86">
      <c r="B621" s="78" t="s">
        <v>473</v>
      </c>
      <c r="C621" s="79" t="s">
        <v>721</v>
      </c>
      <c r="D621" s="80" t="s">
        <v>721</v>
      </c>
      <c r="E621" s="1" t="s">
        <v>4</v>
      </c>
      <c r="F621" s="4">
        <v>11.8</v>
      </c>
      <c r="G621" s="7">
        <v>3.46</v>
      </c>
      <c r="H621" s="3" t="str">
        <f t="shared" si="28"/>
        <v>2L2-1/2X2-1/2X3/8</v>
      </c>
      <c r="I621" s="7">
        <v>2.5</v>
      </c>
      <c r="J621" s="5" t="s">
        <v>5</v>
      </c>
      <c r="K621" s="6" t="s">
        <v>5</v>
      </c>
      <c r="L621" s="6" t="s">
        <v>5</v>
      </c>
      <c r="M621" s="6" t="s">
        <v>5</v>
      </c>
      <c r="N621" s="6" t="s">
        <v>5</v>
      </c>
      <c r="O621" s="5" t="s">
        <v>5</v>
      </c>
      <c r="P621" s="5" t="s">
        <v>5</v>
      </c>
      <c r="Q621" s="7">
        <v>2.5</v>
      </c>
      <c r="R621" s="6" t="s">
        <v>5</v>
      </c>
      <c r="S621" s="6" t="s">
        <v>5</v>
      </c>
      <c r="T621" s="5" t="s">
        <v>5</v>
      </c>
      <c r="U621" s="8" t="s">
        <v>5</v>
      </c>
      <c r="V621" s="6" t="s">
        <v>5</v>
      </c>
      <c r="W621" s="8" t="s">
        <v>5</v>
      </c>
      <c r="X621" s="22">
        <v>0.375</v>
      </c>
      <c r="Y621" s="6" t="s">
        <v>5</v>
      </c>
      <c r="Z621" s="6" t="s">
        <v>5</v>
      </c>
      <c r="AA621" s="6" t="s">
        <v>5</v>
      </c>
      <c r="AB621" s="8" t="s">
        <v>5</v>
      </c>
      <c r="AC621" s="8" t="s">
        <v>5</v>
      </c>
      <c r="AD621" s="6" t="s">
        <v>5</v>
      </c>
      <c r="AE621" s="22">
        <v>0.75800000000000001</v>
      </c>
      <c r="AF621" s="6" t="s">
        <v>5</v>
      </c>
      <c r="AG621" s="6" t="s">
        <v>5</v>
      </c>
      <c r="AH621" s="22">
        <v>0.34599999999999997</v>
      </c>
      <c r="AI621" s="6" t="s">
        <v>5</v>
      </c>
      <c r="AJ621" s="7">
        <v>6.67</v>
      </c>
      <c r="AK621" s="6" t="s">
        <v>5</v>
      </c>
      <c r="AL621" s="6" t="s">
        <v>5</v>
      </c>
      <c r="AM621" s="6" t="s">
        <v>5</v>
      </c>
      <c r="AN621" s="6" t="s">
        <v>5</v>
      </c>
      <c r="AO621" s="7">
        <v>1.94</v>
      </c>
      <c r="AP621" s="7">
        <v>2.02</v>
      </c>
      <c r="AQ621" s="7">
        <v>1.1200000000000001</v>
      </c>
      <c r="AR621" s="22">
        <v>0.749</v>
      </c>
      <c r="AS621" s="6">
        <v>3.96</v>
      </c>
      <c r="AT621" s="6">
        <v>2.62</v>
      </c>
      <c r="AU621" s="6">
        <v>1.58</v>
      </c>
      <c r="AV621" s="7">
        <v>1.07</v>
      </c>
      <c r="AW621" s="6" t="s">
        <v>5</v>
      </c>
      <c r="AX621" s="6" t="s">
        <v>5</v>
      </c>
      <c r="AY621" s="6" t="s">
        <v>5</v>
      </c>
      <c r="AZ621" s="6" t="s">
        <v>5</v>
      </c>
      <c r="BA621" s="6" t="s">
        <v>5</v>
      </c>
      <c r="BB621" s="6" t="s">
        <v>5</v>
      </c>
      <c r="BC621" s="6" t="s">
        <v>5</v>
      </c>
      <c r="BD621" s="6" t="s">
        <v>5</v>
      </c>
      <c r="BE621" s="6" t="s">
        <v>5</v>
      </c>
      <c r="BF621" s="6" t="s">
        <v>5</v>
      </c>
      <c r="BG621" s="6" t="s">
        <v>5</v>
      </c>
      <c r="BH621" s="6" t="s">
        <v>5</v>
      </c>
      <c r="BI621" s="7">
        <v>1.42</v>
      </c>
      <c r="BJ621" s="22">
        <v>0.83899999999999997</v>
      </c>
      <c r="BK621" s="6" t="s">
        <v>5</v>
      </c>
      <c r="BL621" s="2" t="s">
        <v>5</v>
      </c>
      <c r="BM621" s="2" t="s">
        <v>5</v>
      </c>
      <c r="BN621" s="2" t="s">
        <v>5</v>
      </c>
      <c r="BO621" s="2" t="s">
        <v>5</v>
      </c>
      <c r="BP621" s="2" t="s">
        <v>5</v>
      </c>
      <c r="BQ621" s="2" t="s">
        <v>5</v>
      </c>
      <c r="BR621" s="2" t="s">
        <v>5</v>
      </c>
      <c r="BS621" s="2" t="s">
        <v>5</v>
      </c>
      <c r="BT621" s="2" t="s">
        <v>5</v>
      </c>
      <c r="BU621" s="2" t="s">
        <v>5</v>
      </c>
      <c r="BV621" s="2" t="s">
        <v>5</v>
      </c>
      <c r="BW621" s="2" t="s">
        <v>5</v>
      </c>
      <c r="BX621" s="2" t="s">
        <v>5</v>
      </c>
      <c r="BY621" s="25" t="s">
        <v>5</v>
      </c>
      <c r="BZ621" s="25" t="s">
        <v>5</v>
      </c>
      <c r="CA621" s="6" t="s">
        <v>5</v>
      </c>
      <c r="CB621" s="6" t="s">
        <v>5</v>
      </c>
      <c r="CC621" s="6" t="s">
        <v>5</v>
      </c>
      <c r="CD621" s="6" t="s">
        <v>5</v>
      </c>
      <c r="CE621" s="6" t="s">
        <v>5</v>
      </c>
      <c r="CF621" s="16" t="s">
        <v>5</v>
      </c>
      <c r="CG621" s="16" t="s">
        <v>5</v>
      </c>
      <c r="CH621" s="18" t="s">
        <v>5</v>
      </c>
    </row>
    <row r="622" spans="2:86">
      <c r="B622" s="78" t="s">
        <v>473</v>
      </c>
      <c r="C622" s="79" t="s">
        <v>722</v>
      </c>
      <c r="D622" s="80" t="s">
        <v>722</v>
      </c>
      <c r="E622" s="1" t="s">
        <v>4</v>
      </c>
      <c r="F622" s="4">
        <v>11.8</v>
      </c>
      <c r="G622" s="7">
        <v>3.46</v>
      </c>
      <c r="H622" s="3" t="str">
        <f t="shared" si="28"/>
        <v>2L2-1/2X2-1/2X3/8X3/8</v>
      </c>
      <c r="I622" s="7">
        <v>2.5</v>
      </c>
      <c r="J622" s="5" t="s">
        <v>5</v>
      </c>
      <c r="K622" s="6" t="s">
        <v>5</v>
      </c>
      <c r="L622" s="6" t="s">
        <v>5</v>
      </c>
      <c r="M622" s="6" t="s">
        <v>5</v>
      </c>
      <c r="N622" s="6" t="s">
        <v>5</v>
      </c>
      <c r="O622" s="5" t="s">
        <v>5</v>
      </c>
      <c r="P622" s="5" t="s">
        <v>5</v>
      </c>
      <c r="Q622" s="7">
        <v>2.5</v>
      </c>
      <c r="R622" s="6" t="s">
        <v>5</v>
      </c>
      <c r="S622" s="6" t="s">
        <v>5</v>
      </c>
      <c r="T622" s="5" t="s">
        <v>5</v>
      </c>
      <c r="U622" s="8" t="s">
        <v>5</v>
      </c>
      <c r="V622" s="6" t="s">
        <v>5</v>
      </c>
      <c r="W622" s="8" t="s">
        <v>5</v>
      </c>
      <c r="X622" s="22">
        <v>0.375</v>
      </c>
      <c r="Y622" s="6" t="s">
        <v>5</v>
      </c>
      <c r="Z622" s="6" t="s">
        <v>5</v>
      </c>
      <c r="AA622" s="6" t="s">
        <v>5</v>
      </c>
      <c r="AB622" s="8" t="s">
        <v>5</v>
      </c>
      <c r="AC622" s="8" t="s">
        <v>5</v>
      </c>
      <c r="AD622" s="6" t="s">
        <v>5</v>
      </c>
      <c r="AE622" s="22">
        <v>0.75800000000000001</v>
      </c>
      <c r="AF622" s="6" t="s">
        <v>5</v>
      </c>
      <c r="AG622" s="6" t="s">
        <v>5</v>
      </c>
      <c r="AH622" s="22">
        <v>0.34599999999999997</v>
      </c>
      <c r="AI622" s="6" t="s">
        <v>5</v>
      </c>
      <c r="AJ622" s="7">
        <v>6.67</v>
      </c>
      <c r="AK622" s="6" t="s">
        <v>5</v>
      </c>
      <c r="AL622" s="6" t="s">
        <v>5</v>
      </c>
      <c r="AM622" s="6" t="s">
        <v>5</v>
      </c>
      <c r="AN622" s="6" t="s">
        <v>5</v>
      </c>
      <c r="AO622" s="7">
        <v>1.94</v>
      </c>
      <c r="AP622" s="7">
        <v>2.02</v>
      </c>
      <c r="AQ622" s="7">
        <v>1.1200000000000001</v>
      </c>
      <c r="AR622" s="22">
        <v>0.749</v>
      </c>
      <c r="AS622" s="6">
        <v>5.07</v>
      </c>
      <c r="AT622" s="6">
        <v>3.27</v>
      </c>
      <c r="AU622" s="6">
        <v>1.89</v>
      </c>
      <c r="AV622" s="7">
        <v>1.21</v>
      </c>
      <c r="AW622" s="6" t="s">
        <v>5</v>
      </c>
      <c r="AX622" s="6" t="s">
        <v>5</v>
      </c>
      <c r="AY622" s="6" t="s">
        <v>5</v>
      </c>
      <c r="AZ622" s="6" t="s">
        <v>5</v>
      </c>
      <c r="BA622" s="6" t="s">
        <v>5</v>
      </c>
      <c r="BB622" s="6" t="s">
        <v>5</v>
      </c>
      <c r="BC622" s="6" t="s">
        <v>5</v>
      </c>
      <c r="BD622" s="6" t="s">
        <v>5</v>
      </c>
      <c r="BE622" s="6" t="s">
        <v>5</v>
      </c>
      <c r="BF622" s="6" t="s">
        <v>5</v>
      </c>
      <c r="BG622" s="6" t="s">
        <v>5</v>
      </c>
      <c r="BH622" s="6" t="s">
        <v>5</v>
      </c>
      <c r="BI622" s="7">
        <v>1.53</v>
      </c>
      <c r="BJ622" s="22">
        <v>0.86099999999999999</v>
      </c>
      <c r="BK622" s="6" t="s">
        <v>5</v>
      </c>
      <c r="BL622" s="2" t="s">
        <v>5</v>
      </c>
      <c r="BM622" s="2" t="s">
        <v>5</v>
      </c>
      <c r="BN622" s="2" t="s">
        <v>5</v>
      </c>
      <c r="BO622" s="2" t="s">
        <v>5</v>
      </c>
      <c r="BP622" s="2" t="s">
        <v>5</v>
      </c>
      <c r="BQ622" s="2" t="s">
        <v>5</v>
      </c>
      <c r="BR622" s="2" t="s">
        <v>5</v>
      </c>
      <c r="BS622" s="2" t="s">
        <v>5</v>
      </c>
      <c r="BT622" s="2" t="s">
        <v>5</v>
      </c>
      <c r="BU622" s="2" t="s">
        <v>5</v>
      </c>
      <c r="BV622" s="2" t="s">
        <v>5</v>
      </c>
      <c r="BW622" s="2" t="s">
        <v>5</v>
      </c>
      <c r="BX622" s="2" t="s">
        <v>5</v>
      </c>
      <c r="BY622" s="25" t="s">
        <v>5</v>
      </c>
      <c r="BZ622" s="25" t="s">
        <v>5</v>
      </c>
      <c r="CA622" s="6" t="s">
        <v>5</v>
      </c>
      <c r="CB622" s="6" t="s">
        <v>5</v>
      </c>
      <c r="CC622" s="6" t="s">
        <v>5</v>
      </c>
      <c r="CD622" s="6" t="s">
        <v>5</v>
      </c>
      <c r="CE622" s="6" t="s">
        <v>5</v>
      </c>
      <c r="CF622" s="16" t="s">
        <v>5</v>
      </c>
      <c r="CG622" s="16" t="s">
        <v>5</v>
      </c>
      <c r="CH622" s="18" t="s">
        <v>5</v>
      </c>
    </row>
    <row r="623" spans="2:86">
      <c r="B623" s="78" t="s">
        <v>473</v>
      </c>
      <c r="C623" s="79" t="s">
        <v>723</v>
      </c>
      <c r="D623" s="80" t="s">
        <v>723</v>
      </c>
      <c r="E623" s="1" t="s">
        <v>4</v>
      </c>
      <c r="F623" s="4">
        <v>11.8</v>
      </c>
      <c r="G623" s="7">
        <v>3.46</v>
      </c>
      <c r="H623" s="3" t="str">
        <f t="shared" si="28"/>
        <v>2L2-1/2X2-1/2X3/8X3/4</v>
      </c>
      <c r="I623" s="7">
        <v>2.5</v>
      </c>
      <c r="J623" s="5" t="s">
        <v>5</v>
      </c>
      <c r="K623" s="6" t="s">
        <v>5</v>
      </c>
      <c r="L623" s="6" t="s">
        <v>5</v>
      </c>
      <c r="M623" s="6" t="s">
        <v>5</v>
      </c>
      <c r="N623" s="6" t="s">
        <v>5</v>
      </c>
      <c r="O623" s="5" t="s">
        <v>5</v>
      </c>
      <c r="P623" s="5" t="s">
        <v>5</v>
      </c>
      <c r="Q623" s="7">
        <v>2.5</v>
      </c>
      <c r="R623" s="6" t="s">
        <v>5</v>
      </c>
      <c r="S623" s="6" t="s">
        <v>5</v>
      </c>
      <c r="T623" s="5" t="s">
        <v>5</v>
      </c>
      <c r="U623" s="8" t="s">
        <v>5</v>
      </c>
      <c r="V623" s="6" t="s">
        <v>5</v>
      </c>
      <c r="W623" s="8" t="s">
        <v>5</v>
      </c>
      <c r="X623" s="22">
        <v>0.375</v>
      </c>
      <c r="Y623" s="6" t="s">
        <v>5</v>
      </c>
      <c r="Z623" s="6" t="s">
        <v>5</v>
      </c>
      <c r="AA623" s="6" t="s">
        <v>5</v>
      </c>
      <c r="AB623" s="8" t="s">
        <v>5</v>
      </c>
      <c r="AC623" s="8" t="s">
        <v>5</v>
      </c>
      <c r="AD623" s="6" t="s">
        <v>5</v>
      </c>
      <c r="AE623" s="22">
        <v>0.75800000000000001</v>
      </c>
      <c r="AF623" s="6" t="s">
        <v>5</v>
      </c>
      <c r="AG623" s="6" t="s">
        <v>5</v>
      </c>
      <c r="AH623" s="22">
        <v>0.34599999999999997</v>
      </c>
      <c r="AI623" s="6" t="s">
        <v>5</v>
      </c>
      <c r="AJ623" s="7">
        <v>6.67</v>
      </c>
      <c r="AK623" s="6" t="s">
        <v>5</v>
      </c>
      <c r="AL623" s="6" t="s">
        <v>5</v>
      </c>
      <c r="AM623" s="6" t="s">
        <v>5</v>
      </c>
      <c r="AN623" s="6" t="s">
        <v>5</v>
      </c>
      <c r="AO623" s="7">
        <v>1.94</v>
      </c>
      <c r="AP623" s="7">
        <v>2.02</v>
      </c>
      <c r="AQ623" s="7">
        <v>1.1200000000000001</v>
      </c>
      <c r="AR623" s="22">
        <v>0.749</v>
      </c>
      <c r="AS623" s="7">
        <v>6.4</v>
      </c>
      <c r="AT623" s="6">
        <v>3.92</v>
      </c>
      <c r="AU623" s="6">
        <v>2.23</v>
      </c>
      <c r="AV623" s="7">
        <v>1.36</v>
      </c>
      <c r="AW623" s="6" t="s">
        <v>5</v>
      </c>
      <c r="AX623" s="6" t="s">
        <v>5</v>
      </c>
      <c r="AY623" s="6" t="s">
        <v>5</v>
      </c>
      <c r="AZ623" s="6" t="s">
        <v>5</v>
      </c>
      <c r="BA623" s="6" t="s">
        <v>5</v>
      </c>
      <c r="BB623" s="6" t="s">
        <v>5</v>
      </c>
      <c r="BC623" s="6" t="s">
        <v>5</v>
      </c>
      <c r="BD623" s="6" t="s">
        <v>5</v>
      </c>
      <c r="BE623" s="6" t="s">
        <v>5</v>
      </c>
      <c r="BF623" s="6" t="s">
        <v>5</v>
      </c>
      <c r="BG623" s="6" t="s">
        <v>5</v>
      </c>
      <c r="BH623" s="6" t="s">
        <v>5</v>
      </c>
      <c r="BI623" s="7">
        <v>1.65</v>
      </c>
      <c r="BJ623" s="22">
        <v>0.88100000000000001</v>
      </c>
      <c r="BK623" s="6" t="s">
        <v>5</v>
      </c>
      <c r="BL623" s="2" t="s">
        <v>5</v>
      </c>
      <c r="BM623" s="2" t="s">
        <v>5</v>
      </c>
      <c r="BN623" s="2" t="s">
        <v>5</v>
      </c>
      <c r="BO623" s="2" t="s">
        <v>5</v>
      </c>
      <c r="BP623" s="2" t="s">
        <v>5</v>
      </c>
      <c r="BQ623" s="2" t="s">
        <v>5</v>
      </c>
      <c r="BR623" s="2" t="s">
        <v>5</v>
      </c>
      <c r="BS623" s="2" t="s">
        <v>5</v>
      </c>
      <c r="BT623" s="2" t="s">
        <v>5</v>
      </c>
      <c r="BU623" s="2" t="s">
        <v>5</v>
      </c>
      <c r="BV623" s="2" t="s">
        <v>5</v>
      </c>
      <c r="BW623" s="2" t="s">
        <v>5</v>
      </c>
      <c r="BX623" s="2" t="s">
        <v>5</v>
      </c>
      <c r="BY623" s="25" t="s">
        <v>5</v>
      </c>
      <c r="BZ623" s="25" t="s">
        <v>5</v>
      </c>
      <c r="CA623" s="6" t="s">
        <v>5</v>
      </c>
      <c r="CB623" s="6" t="s">
        <v>5</v>
      </c>
      <c r="CC623" s="6" t="s">
        <v>5</v>
      </c>
      <c r="CD623" s="6" t="s">
        <v>5</v>
      </c>
      <c r="CE623" s="6" t="s">
        <v>5</v>
      </c>
      <c r="CF623" s="16" t="s">
        <v>5</v>
      </c>
      <c r="CG623" s="16" t="s">
        <v>5</v>
      </c>
      <c r="CH623" s="18" t="s">
        <v>5</v>
      </c>
    </row>
    <row r="624" spans="2:86">
      <c r="B624" s="78" t="s">
        <v>473</v>
      </c>
      <c r="C624" s="79" t="s">
        <v>724</v>
      </c>
      <c r="D624" s="80" t="s">
        <v>724</v>
      </c>
      <c r="E624" s="1" t="s">
        <v>4</v>
      </c>
      <c r="F624" s="4">
        <v>10</v>
      </c>
      <c r="G624" s="7">
        <v>2.92</v>
      </c>
      <c r="H624" s="3" t="str">
        <f t="shared" si="28"/>
        <v>2L2-1/2X2-1/2X5/16</v>
      </c>
      <c r="I624" s="7">
        <v>2.5</v>
      </c>
      <c r="J624" s="5" t="s">
        <v>5</v>
      </c>
      <c r="K624" s="6" t="s">
        <v>5</v>
      </c>
      <c r="L624" s="6" t="s">
        <v>5</v>
      </c>
      <c r="M624" s="6" t="s">
        <v>5</v>
      </c>
      <c r="N624" s="6" t="s">
        <v>5</v>
      </c>
      <c r="O624" s="5" t="s">
        <v>5</v>
      </c>
      <c r="P624" s="5" t="s">
        <v>5</v>
      </c>
      <c r="Q624" s="7">
        <v>2.5</v>
      </c>
      <c r="R624" s="6" t="s">
        <v>5</v>
      </c>
      <c r="S624" s="6" t="s">
        <v>5</v>
      </c>
      <c r="T624" s="5" t="s">
        <v>5</v>
      </c>
      <c r="U624" s="8" t="s">
        <v>5</v>
      </c>
      <c r="V624" s="6" t="s">
        <v>5</v>
      </c>
      <c r="W624" s="8" t="s">
        <v>5</v>
      </c>
      <c r="X624" s="22">
        <v>0.313</v>
      </c>
      <c r="Y624" s="6" t="s">
        <v>5</v>
      </c>
      <c r="Z624" s="6" t="s">
        <v>5</v>
      </c>
      <c r="AA624" s="6" t="s">
        <v>5</v>
      </c>
      <c r="AB624" s="8" t="s">
        <v>5</v>
      </c>
      <c r="AC624" s="8" t="s">
        <v>5</v>
      </c>
      <c r="AD624" s="6" t="s">
        <v>5</v>
      </c>
      <c r="AE624" s="22">
        <v>0.73499999999999999</v>
      </c>
      <c r="AF624" s="6" t="s">
        <v>5</v>
      </c>
      <c r="AG624" s="6" t="s">
        <v>5</v>
      </c>
      <c r="AH624" s="22">
        <v>0.29199999999999998</v>
      </c>
      <c r="AI624" s="6" t="s">
        <v>5</v>
      </c>
      <c r="AJ624" s="7">
        <v>7.99</v>
      </c>
      <c r="AK624" s="6" t="s">
        <v>5</v>
      </c>
      <c r="AL624" s="6" t="s">
        <v>5</v>
      </c>
      <c r="AM624" s="6" t="s">
        <v>5</v>
      </c>
      <c r="AN624" s="6" t="s">
        <v>5</v>
      </c>
      <c r="AO624" s="7">
        <v>1.67</v>
      </c>
      <c r="AP624" s="7">
        <v>1.71</v>
      </c>
      <c r="AQ624" s="22">
        <v>0.94799999999999995</v>
      </c>
      <c r="AR624" s="22">
        <v>0.75600000000000001</v>
      </c>
      <c r="AS624" s="6">
        <v>3.22</v>
      </c>
      <c r="AT624" s="6">
        <v>2.15</v>
      </c>
      <c r="AU624" s="6">
        <v>1.29</v>
      </c>
      <c r="AV624" s="7">
        <v>1.05</v>
      </c>
      <c r="AW624" s="6" t="s">
        <v>5</v>
      </c>
      <c r="AX624" s="6" t="s">
        <v>5</v>
      </c>
      <c r="AY624" s="6" t="s">
        <v>5</v>
      </c>
      <c r="AZ624" s="6" t="s">
        <v>5</v>
      </c>
      <c r="BA624" s="6" t="s">
        <v>5</v>
      </c>
      <c r="BB624" s="6" t="s">
        <v>5</v>
      </c>
      <c r="BC624" s="6" t="s">
        <v>5</v>
      </c>
      <c r="BD624" s="6" t="s">
        <v>5</v>
      </c>
      <c r="BE624" s="6" t="s">
        <v>5</v>
      </c>
      <c r="BF624" s="6" t="s">
        <v>5</v>
      </c>
      <c r="BG624" s="6" t="s">
        <v>5</v>
      </c>
      <c r="BH624" s="6" t="s">
        <v>5</v>
      </c>
      <c r="BI624" s="7">
        <v>1.42</v>
      </c>
      <c r="BJ624" s="22">
        <v>0.83399999999999996</v>
      </c>
      <c r="BK624" s="6" t="s">
        <v>5</v>
      </c>
      <c r="BL624" s="2" t="s">
        <v>5</v>
      </c>
      <c r="BM624" s="2" t="s">
        <v>5</v>
      </c>
      <c r="BN624" s="2" t="s">
        <v>5</v>
      </c>
      <c r="BO624" s="2" t="s">
        <v>5</v>
      </c>
      <c r="BP624" s="2" t="s">
        <v>5</v>
      </c>
      <c r="BQ624" s="2" t="s">
        <v>5</v>
      </c>
      <c r="BR624" s="2" t="s">
        <v>5</v>
      </c>
      <c r="BS624" s="2" t="s">
        <v>5</v>
      </c>
      <c r="BT624" s="2" t="s">
        <v>5</v>
      </c>
      <c r="BU624" s="2" t="s">
        <v>5</v>
      </c>
      <c r="BV624" s="2" t="s">
        <v>5</v>
      </c>
      <c r="BW624" s="2" t="s">
        <v>5</v>
      </c>
      <c r="BX624" s="2" t="s">
        <v>5</v>
      </c>
      <c r="BY624" s="25" t="s">
        <v>5</v>
      </c>
      <c r="BZ624" s="25" t="s">
        <v>5</v>
      </c>
      <c r="CA624" s="6" t="s">
        <v>5</v>
      </c>
      <c r="CB624" s="6" t="s">
        <v>5</v>
      </c>
      <c r="CC624" s="6" t="s">
        <v>5</v>
      </c>
      <c r="CD624" s="6" t="s">
        <v>5</v>
      </c>
      <c r="CE624" s="6" t="s">
        <v>5</v>
      </c>
      <c r="CF624" s="16" t="s">
        <v>5</v>
      </c>
      <c r="CG624" s="16" t="s">
        <v>5</v>
      </c>
      <c r="CH624" s="18" t="s">
        <v>5</v>
      </c>
    </row>
    <row r="625" spans="2:86">
      <c r="B625" s="78" t="s">
        <v>473</v>
      </c>
      <c r="C625" s="79" t="s">
        <v>725</v>
      </c>
      <c r="D625" s="80" t="s">
        <v>725</v>
      </c>
      <c r="E625" s="1" t="s">
        <v>4</v>
      </c>
      <c r="F625" s="4">
        <v>10</v>
      </c>
      <c r="G625" s="7">
        <v>2.92</v>
      </c>
      <c r="H625" s="3" t="str">
        <f t="shared" si="28"/>
        <v>2L2-1/2X2-1/2X5/16X3/8</v>
      </c>
      <c r="I625" s="7">
        <v>2.5</v>
      </c>
      <c r="J625" s="5" t="s">
        <v>5</v>
      </c>
      <c r="K625" s="6" t="s">
        <v>5</v>
      </c>
      <c r="L625" s="6" t="s">
        <v>5</v>
      </c>
      <c r="M625" s="6" t="s">
        <v>5</v>
      </c>
      <c r="N625" s="6" t="s">
        <v>5</v>
      </c>
      <c r="O625" s="5" t="s">
        <v>5</v>
      </c>
      <c r="P625" s="5" t="s">
        <v>5</v>
      </c>
      <c r="Q625" s="7">
        <v>2.5</v>
      </c>
      <c r="R625" s="6" t="s">
        <v>5</v>
      </c>
      <c r="S625" s="6" t="s">
        <v>5</v>
      </c>
      <c r="T625" s="5" t="s">
        <v>5</v>
      </c>
      <c r="U625" s="8" t="s">
        <v>5</v>
      </c>
      <c r="V625" s="6" t="s">
        <v>5</v>
      </c>
      <c r="W625" s="8" t="s">
        <v>5</v>
      </c>
      <c r="X625" s="22">
        <v>0.313</v>
      </c>
      <c r="Y625" s="6" t="s">
        <v>5</v>
      </c>
      <c r="Z625" s="6" t="s">
        <v>5</v>
      </c>
      <c r="AA625" s="6" t="s">
        <v>5</v>
      </c>
      <c r="AB625" s="8" t="s">
        <v>5</v>
      </c>
      <c r="AC625" s="8" t="s">
        <v>5</v>
      </c>
      <c r="AD625" s="6" t="s">
        <v>5</v>
      </c>
      <c r="AE625" s="22">
        <v>0.73499999999999999</v>
      </c>
      <c r="AF625" s="6" t="s">
        <v>5</v>
      </c>
      <c r="AG625" s="6" t="s">
        <v>5</v>
      </c>
      <c r="AH625" s="22">
        <v>0.29199999999999998</v>
      </c>
      <c r="AI625" s="6" t="s">
        <v>5</v>
      </c>
      <c r="AJ625" s="7">
        <v>7.99</v>
      </c>
      <c r="AK625" s="6" t="s">
        <v>5</v>
      </c>
      <c r="AL625" s="6" t="s">
        <v>5</v>
      </c>
      <c r="AM625" s="6" t="s">
        <v>5</v>
      </c>
      <c r="AN625" s="6" t="s">
        <v>5</v>
      </c>
      <c r="AO625" s="7">
        <v>1.67</v>
      </c>
      <c r="AP625" s="7">
        <v>1.71</v>
      </c>
      <c r="AQ625" s="22">
        <v>0.94799999999999995</v>
      </c>
      <c r="AR625" s="22">
        <v>0.75600000000000001</v>
      </c>
      <c r="AS625" s="6">
        <v>4.1399999999999997</v>
      </c>
      <c r="AT625" s="6">
        <v>2.69</v>
      </c>
      <c r="AU625" s="6">
        <v>1.54</v>
      </c>
      <c r="AV625" s="7">
        <v>1.19</v>
      </c>
      <c r="AW625" s="6" t="s">
        <v>5</v>
      </c>
      <c r="AX625" s="6" t="s">
        <v>5</v>
      </c>
      <c r="AY625" s="6" t="s">
        <v>5</v>
      </c>
      <c r="AZ625" s="6" t="s">
        <v>5</v>
      </c>
      <c r="BA625" s="6" t="s">
        <v>5</v>
      </c>
      <c r="BB625" s="6" t="s">
        <v>5</v>
      </c>
      <c r="BC625" s="6" t="s">
        <v>5</v>
      </c>
      <c r="BD625" s="6" t="s">
        <v>5</v>
      </c>
      <c r="BE625" s="6" t="s">
        <v>5</v>
      </c>
      <c r="BF625" s="6" t="s">
        <v>5</v>
      </c>
      <c r="BG625" s="6" t="s">
        <v>5</v>
      </c>
      <c r="BH625" s="6" t="s">
        <v>5</v>
      </c>
      <c r="BI625" s="7">
        <v>1.53</v>
      </c>
      <c r="BJ625" s="22">
        <v>0.85599999999999998</v>
      </c>
      <c r="BK625" s="6" t="s">
        <v>5</v>
      </c>
      <c r="BL625" s="2" t="s">
        <v>5</v>
      </c>
      <c r="BM625" s="2" t="s">
        <v>5</v>
      </c>
      <c r="BN625" s="2" t="s">
        <v>5</v>
      </c>
      <c r="BO625" s="2" t="s">
        <v>5</v>
      </c>
      <c r="BP625" s="2" t="s">
        <v>5</v>
      </c>
      <c r="BQ625" s="2" t="s">
        <v>5</v>
      </c>
      <c r="BR625" s="2" t="s">
        <v>5</v>
      </c>
      <c r="BS625" s="2" t="s">
        <v>5</v>
      </c>
      <c r="BT625" s="2" t="s">
        <v>5</v>
      </c>
      <c r="BU625" s="2" t="s">
        <v>5</v>
      </c>
      <c r="BV625" s="2" t="s">
        <v>5</v>
      </c>
      <c r="BW625" s="2" t="s">
        <v>5</v>
      </c>
      <c r="BX625" s="2" t="s">
        <v>5</v>
      </c>
      <c r="BY625" s="25" t="s">
        <v>5</v>
      </c>
      <c r="BZ625" s="25" t="s">
        <v>5</v>
      </c>
      <c r="CA625" s="6" t="s">
        <v>5</v>
      </c>
      <c r="CB625" s="6" t="s">
        <v>5</v>
      </c>
      <c r="CC625" s="6" t="s">
        <v>5</v>
      </c>
      <c r="CD625" s="6" t="s">
        <v>5</v>
      </c>
      <c r="CE625" s="6" t="s">
        <v>5</v>
      </c>
      <c r="CF625" s="16" t="s">
        <v>5</v>
      </c>
      <c r="CG625" s="16" t="s">
        <v>5</v>
      </c>
      <c r="CH625" s="18" t="s">
        <v>5</v>
      </c>
    </row>
    <row r="626" spans="2:86">
      <c r="B626" s="78" t="s">
        <v>473</v>
      </c>
      <c r="C626" s="79" t="s">
        <v>726</v>
      </c>
      <c r="D626" s="80" t="s">
        <v>726</v>
      </c>
      <c r="E626" s="1" t="s">
        <v>4</v>
      </c>
      <c r="F626" s="4">
        <v>10</v>
      </c>
      <c r="G626" s="7">
        <v>2.92</v>
      </c>
      <c r="H626" s="3" t="str">
        <f t="shared" si="28"/>
        <v>2L2-1/2X2-1/2X5/16X3/4</v>
      </c>
      <c r="I626" s="7">
        <v>2.5</v>
      </c>
      <c r="J626" s="5" t="s">
        <v>5</v>
      </c>
      <c r="K626" s="6" t="s">
        <v>5</v>
      </c>
      <c r="L626" s="6" t="s">
        <v>5</v>
      </c>
      <c r="M626" s="6" t="s">
        <v>5</v>
      </c>
      <c r="N626" s="6" t="s">
        <v>5</v>
      </c>
      <c r="O626" s="5" t="s">
        <v>5</v>
      </c>
      <c r="P626" s="5" t="s">
        <v>5</v>
      </c>
      <c r="Q626" s="7">
        <v>2.5</v>
      </c>
      <c r="R626" s="6" t="s">
        <v>5</v>
      </c>
      <c r="S626" s="6" t="s">
        <v>5</v>
      </c>
      <c r="T626" s="5" t="s">
        <v>5</v>
      </c>
      <c r="U626" s="8" t="s">
        <v>5</v>
      </c>
      <c r="V626" s="6" t="s">
        <v>5</v>
      </c>
      <c r="W626" s="8" t="s">
        <v>5</v>
      </c>
      <c r="X626" s="22">
        <v>0.313</v>
      </c>
      <c r="Y626" s="6" t="s">
        <v>5</v>
      </c>
      <c r="Z626" s="6" t="s">
        <v>5</v>
      </c>
      <c r="AA626" s="6" t="s">
        <v>5</v>
      </c>
      <c r="AB626" s="8" t="s">
        <v>5</v>
      </c>
      <c r="AC626" s="8" t="s">
        <v>5</v>
      </c>
      <c r="AD626" s="6" t="s">
        <v>5</v>
      </c>
      <c r="AE626" s="22">
        <v>0.73499999999999999</v>
      </c>
      <c r="AF626" s="6" t="s">
        <v>5</v>
      </c>
      <c r="AG626" s="6" t="s">
        <v>5</v>
      </c>
      <c r="AH626" s="22">
        <v>0.29199999999999998</v>
      </c>
      <c r="AI626" s="6" t="s">
        <v>5</v>
      </c>
      <c r="AJ626" s="7">
        <v>7.99</v>
      </c>
      <c r="AK626" s="6" t="s">
        <v>5</v>
      </c>
      <c r="AL626" s="6" t="s">
        <v>5</v>
      </c>
      <c r="AM626" s="6" t="s">
        <v>5</v>
      </c>
      <c r="AN626" s="6" t="s">
        <v>5</v>
      </c>
      <c r="AO626" s="7">
        <v>1.67</v>
      </c>
      <c r="AP626" s="7">
        <v>1.71</v>
      </c>
      <c r="AQ626" s="22">
        <v>0.94799999999999995</v>
      </c>
      <c r="AR626" s="22">
        <v>0.75600000000000001</v>
      </c>
      <c r="AS626" s="6">
        <v>5.24</v>
      </c>
      <c r="AT626" s="6">
        <v>3.24</v>
      </c>
      <c r="AU626" s="6">
        <v>1.82</v>
      </c>
      <c r="AV626" s="7">
        <v>1.34</v>
      </c>
      <c r="AW626" s="6" t="s">
        <v>5</v>
      </c>
      <c r="AX626" s="6" t="s">
        <v>5</v>
      </c>
      <c r="AY626" s="6" t="s">
        <v>5</v>
      </c>
      <c r="AZ626" s="6" t="s">
        <v>5</v>
      </c>
      <c r="BA626" s="6" t="s">
        <v>5</v>
      </c>
      <c r="BB626" s="6" t="s">
        <v>5</v>
      </c>
      <c r="BC626" s="6" t="s">
        <v>5</v>
      </c>
      <c r="BD626" s="6" t="s">
        <v>5</v>
      </c>
      <c r="BE626" s="6" t="s">
        <v>5</v>
      </c>
      <c r="BF626" s="6" t="s">
        <v>5</v>
      </c>
      <c r="BG626" s="6" t="s">
        <v>5</v>
      </c>
      <c r="BH626" s="6" t="s">
        <v>5</v>
      </c>
      <c r="BI626" s="7">
        <v>1.65</v>
      </c>
      <c r="BJ626" s="22">
        <v>0.876</v>
      </c>
      <c r="BK626" s="6" t="s">
        <v>5</v>
      </c>
      <c r="BL626" s="2" t="s">
        <v>5</v>
      </c>
      <c r="BM626" s="2" t="s">
        <v>5</v>
      </c>
      <c r="BN626" s="2" t="s">
        <v>5</v>
      </c>
      <c r="BO626" s="2" t="s">
        <v>5</v>
      </c>
      <c r="BP626" s="2" t="s">
        <v>5</v>
      </c>
      <c r="BQ626" s="2" t="s">
        <v>5</v>
      </c>
      <c r="BR626" s="2" t="s">
        <v>5</v>
      </c>
      <c r="BS626" s="2" t="s">
        <v>5</v>
      </c>
      <c r="BT626" s="2" t="s">
        <v>5</v>
      </c>
      <c r="BU626" s="2" t="s">
        <v>5</v>
      </c>
      <c r="BV626" s="2" t="s">
        <v>5</v>
      </c>
      <c r="BW626" s="2" t="s">
        <v>5</v>
      </c>
      <c r="BX626" s="2" t="s">
        <v>5</v>
      </c>
      <c r="BY626" s="25" t="s">
        <v>5</v>
      </c>
      <c r="BZ626" s="25" t="s">
        <v>5</v>
      </c>
      <c r="CA626" s="6" t="s">
        <v>5</v>
      </c>
      <c r="CB626" s="6" t="s">
        <v>5</v>
      </c>
      <c r="CC626" s="6" t="s">
        <v>5</v>
      </c>
      <c r="CD626" s="6" t="s">
        <v>5</v>
      </c>
      <c r="CE626" s="6" t="s">
        <v>5</v>
      </c>
      <c r="CF626" s="16" t="s">
        <v>5</v>
      </c>
      <c r="CG626" s="16" t="s">
        <v>5</v>
      </c>
      <c r="CH626" s="18" t="s">
        <v>5</v>
      </c>
    </row>
    <row r="627" spans="2:86">
      <c r="B627" s="78" t="s">
        <v>473</v>
      </c>
      <c r="C627" s="79" t="s">
        <v>727</v>
      </c>
      <c r="D627" s="80" t="s">
        <v>727</v>
      </c>
      <c r="E627" s="1" t="s">
        <v>4</v>
      </c>
      <c r="F627" s="7">
        <v>8.1999999999999993</v>
      </c>
      <c r="G627" s="7">
        <v>2.38</v>
      </c>
      <c r="H627" s="3" t="str">
        <f t="shared" si="28"/>
        <v>2L2-1/2X2-1/2X1/4</v>
      </c>
      <c r="I627" s="7">
        <v>2.5</v>
      </c>
      <c r="J627" s="5" t="s">
        <v>5</v>
      </c>
      <c r="K627" s="6" t="s">
        <v>5</v>
      </c>
      <c r="L627" s="6" t="s">
        <v>5</v>
      </c>
      <c r="M627" s="6" t="s">
        <v>5</v>
      </c>
      <c r="N627" s="6" t="s">
        <v>5</v>
      </c>
      <c r="O627" s="5" t="s">
        <v>5</v>
      </c>
      <c r="P627" s="5" t="s">
        <v>5</v>
      </c>
      <c r="Q627" s="7">
        <v>2.5</v>
      </c>
      <c r="R627" s="6" t="s">
        <v>5</v>
      </c>
      <c r="S627" s="6" t="s">
        <v>5</v>
      </c>
      <c r="T627" s="5" t="s">
        <v>5</v>
      </c>
      <c r="U627" s="8" t="s">
        <v>5</v>
      </c>
      <c r="V627" s="6" t="s">
        <v>5</v>
      </c>
      <c r="W627" s="8" t="s">
        <v>5</v>
      </c>
      <c r="X627" s="22">
        <v>0.25</v>
      </c>
      <c r="Y627" s="6" t="s">
        <v>5</v>
      </c>
      <c r="Z627" s="6" t="s">
        <v>5</v>
      </c>
      <c r="AA627" s="6" t="s">
        <v>5</v>
      </c>
      <c r="AB627" s="8" t="s">
        <v>5</v>
      </c>
      <c r="AC627" s="8" t="s">
        <v>5</v>
      </c>
      <c r="AD627" s="6" t="s">
        <v>5</v>
      </c>
      <c r="AE627" s="22">
        <v>0.71099999999999997</v>
      </c>
      <c r="AF627" s="6" t="s">
        <v>5</v>
      </c>
      <c r="AG627" s="6" t="s">
        <v>5</v>
      </c>
      <c r="AH627" s="22">
        <v>0.23799999999999999</v>
      </c>
      <c r="AI627" s="6" t="s">
        <v>5</v>
      </c>
      <c r="AJ627" s="4">
        <v>10</v>
      </c>
      <c r="AK627" s="6" t="s">
        <v>5</v>
      </c>
      <c r="AL627" s="6" t="s">
        <v>5</v>
      </c>
      <c r="AM627" s="6" t="s">
        <v>5</v>
      </c>
      <c r="AN627" s="6" t="s">
        <v>5</v>
      </c>
      <c r="AO627" s="7">
        <v>1.38</v>
      </c>
      <c r="AP627" s="7">
        <v>1.39</v>
      </c>
      <c r="AQ627" s="22">
        <v>0.77400000000000002</v>
      </c>
      <c r="AR627" s="22">
        <v>0.76400000000000001</v>
      </c>
      <c r="AS627" s="6">
        <v>2.57</v>
      </c>
      <c r="AT627" s="6">
        <v>1.69</v>
      </c>
      <c r="AU627" s="6">
        <v>1.03</v>
      </c>
      <c r="AV627" s="7">
        <v>1.04</v>
      </c>
      <c r="AW627" s="6" t="s">
        <v>5</v>
      </c>
      <c r="AX627" s="6" t="s">
        <v>5</v>
      </c>
      <c r="AY627" s="6" t="s">
        <v>5</v>
      </c>
      <c r="AZ627" s="6" t="s">
        <v>5</v>
      </c>
      <c r="BA627" s="6" t="s">
        <v>5</v>
      </c>
      <c r="BB627" s="6" t="s">
        <v>5</v>
      </c>
      <c r="BC627" s="6" t="s">
        <v>5</v>
      </c>
      <c r="BD627" s="6" t="s">
        <v>5</v>
      </c>
      <c r="BE627" s="6" t="s">
        <v>5</v>
      </c>
      <c r="BF627" s="6" t="s">
        <v>5</v>
      </c>
      <c r="BG627" s="6" t="s">
        <v>5</v>
      </c>
      <c r="BH627" s="6" t="s">
        <v>5</v>
      </c>
      <c r="BI627" s="7">
        <v>1.42</v>
      </c>
      <c r="BJ627" s="22">
        <v>0.82899999999999996</v>
      </c>
      <c r="BK627" s="6" t="s">
        <v>5</v>
      </c>
      <c r="BL627" s="2" t="s">
        <v>5</v>
      </c>
      <c r="BM627" s="2" t="s">
        <v>5</v>
      </c>
      <c r="BN627" s="2" t="s">
        <v>5</v>
      </c>
      <c r="BO627" s="2" t="s">
        <v>5</v>
      </c>
      <c r="BP627" s="2" t="s">
        <v>5</v>
      </c>
      <c r="BQ627" s="2" t="s">
        <v>5</v>
      </c>
      <c r="BR627" s="2" t="s">
        <v>5</v>
      </c>
      <c r="BS627" s="2" t="s">
        <v>5</v>
      </c>
      <c r="BT627" s="2" t="s">
        <v>5</v>
      </c>
      <c r="BU627" s="2" t="s">
        <v>5</v>
      </c>
      <c r="BV627" s="2" t="s">
        <v>5</v>
      </c>
      <c r="BW627" s="2" t="s">
        <v>5</v>
      </c>
      <c r="BX627" s="2" t="s">
        <v>5</v>
      </c>
      <c r="BY627" s="25" t="s">
        <v>5</v>
      </c>
      <c r="BZ627" s="25" t="s">
        <v>5</v>
      </c>
      <c r="CA627" s="6" t="s">
        <v>5</v>
      </c>
      <c r="CB627" s="6" t="s">
        <v>5</v>
      </c>
      <c r="CC627" s="6" t="s">
        <v>5</v>
      </c>
      <c r="CD627" s="6" t="s">
        <v>5</v>
      </c>
      <c r="CE627" s="6" t="s">
        <v>5</v>
      </c>
      <c r="CF627" s="16" t="s">
        <v>5</v>
      </c>
      <c r="CG627" s="16" t="s">
        <v>5</v>
      </c>
      <c r="CH627" s="18" t="s">
        <v>5</v>
      </c>
    </row>
    <row r="628" spans="2:86">
      <c r="B628" s="78" t="s">
        <v>473</v>
      </c>
      <c r="C628" s="79" t="s">
        <v>728</v>
      </c>
      <c r="D628" s="80" t="s">
        <v>728</v>
      </c>
      <c r="E628" s="1" t="s">
        <v>4</v>
      </c>
      <c r="F628" s="7">
        <v>8.1999999999999993</v>
      </c>
      <c r="G628" s="7">
        <v>2.38</v>
      </c>
      <c r="H628" s="3" t="str">
        <f t="shared" si="28"/>
        <v>2L2-1/2X2-1/2X1/4X3/8</v>
      </c>
      <c r="I628" s="7">
        <v>2.5</v>
      </c>
      <c r="J628" s="5" t="s">
        <v>5</v>
      </c>
      <c r="K628" s="6" t="s">
        <v>5</v>
      </c>
      <c r="L628" s="6" t="s">
        <v>5</v>
      </c>
      <c r="M628" s="6" t="s">
        <v>5</v>
      </c>
      <c r="N628" s="6" t="s">
        <v>5</v>
      </c>
      <c r="O628" s="5" t="s">
        <v>5</v>
      </c>
      <c r="P628" s="5" t="s">
        <v>5</v>
      </c>
      <c r="Q628" s="7">
        <v>2.5</v>
      </c>
      <c r="R628" s="6" t="s">
        <v>5</v>
      </c>
      <c r="S628" s="6" t="s">
        <v>5</v>
      </c>
      <c r="T628" s="5" t="s">
        <v>5</v>
      </c>
      <c r="U628" s="8" t="s">
        <v>5</v>
      </c>
      <c r="V628" s="6" t="s">
        <v>5</v>
      </c>
      <c r="W628" s="8" t="s">
        <v>5</v>
      </c>
      <c r="X628" s="22">
        <v>0.25</v>
      </c>
      <c r="Y628" s="6" t="s">
        <v>5</v>
      </c>
      <c r="Z628" s="6" t="s">
        <v>5</v>
      </c>
      <c r="AA628" s="6" t="s">
        <v>5</v>
      </c>
      <c r="AB628" s="8" t="s">
        <v>5</v>
      </c>
      <c r="AC628" s="8" t="s">
        <v>5</v>
      </c>
      <c r="AD628" s="6" t="s">
        <v>5</v>
      </c>
      <c r="AE628" s="22">
        <v>0.71099999999999997</v>
      </c>
      <c r="AF628" s="6" t="s">
        <v>5</v>
      </c>
      <c r="AG628" s="6" t="s">
        <v>5</v>
      </c>
      <c r="AH628" s="22">
        <v>0.23799999999999999</v>
      </c>
      <c r="AI628" s="6" t="s">
        <v>5</v>
      </c>
      <c r="AJ628" s="4">
        <v>10</v>
      </c>
      <c r="AK628" s="6" t="s">
        <v>5</v>
      </c>
      <c r="AL628" s="6" t="s">
        <v>5</v>
      </c>
      <c r="AM628" s="6" t="s">
        <v>5</v>
      </c>
      <c r="AN628" s="6" t="s">
        <v>5</v>
      </c>
      <c r="AO628" s="7">
        <v>1.38</v>
      </c>
      <c r="AP628" s="7">
        <v>1.39</v>
      </c>
      <c r="AQ628" s="22">
        <v>0.77400000000000002</v>
      </c>
      <c r="AR628" s="22">
        <v>0.76400000000000001</v>
      </c>
      <c r="AS628" s="6">
        <v>3.31</v>
      </c>
      <c r="AT628" s="6">
        <v>2.14</v>
      </c>
      <c r="AU628" s="6">
        <v>1.23</v>
      </c>
      <c r="AV628" s="7">
        <v>1.18</v>
      </c>
      <c r="AW628" s="6" t="s">
        <v>5</v>
      </c>
      <c r="AX628" s="6" t="s">
        <v>5</v>
      </c>
      <c r="AY628" s="6" t="s">
        <v>5</v>
      </c>
      <c r="AZ628" s="6" t="s">
        <v>5</v>
      </c>
      <c r="BA628" s="6" t="s">
        <v>5</v>
      </c>
      <c r="BB628" s="6" t="s">
        <v>5</v>
      </c>
      <c r="BC628" s="6" t="s">
        <v>5</v>
      </c>
      <c r="BD628" s="6" t="s">
        <v>5</v>
      </c>
      <c r="BE628" s="6" t="s">
        <v>5</v>
      </c>
      <c r="BF628" s="6" t="s">
        <v>5</v>
      </c>
      <c r="BG628" s="6" t="s">
        <v>5</v>
      </c>
      <c r="BH628" s="6" t="s">
        <v>5</v>
      </c>
      <c r="BI628" s="7">
        <v>1.52</v>
      </c>
      <c r="BJ628" s="22">
        <v>0.85199999999999998</v>
      </c>
      <c r="BK628" s="6" t="s">
        <v>5</v>
      </c>
      <c r="BL628" s="2" t="s">
        <v>5</v>
      </c>
      <c r="BM628" s="2" t="s">
        <v>5</v>
      </c>
      <c r="BN628" s="2" t="s">
        <v>5</v>
      </c>
      <c r="BO628" s="2" t="s">
        <v>5</v>
      </c>
      <c r="BP628" s="2" t="s">
        <v>5</v>
      </c>
      <c r="BQ628" s="2" t="s">
        <v>5</v>
      </c>
      <c r="BR628" s="2" t="s">
        <v>5</v>
      </c>
      <c r="BS628" s="2" t="s">
        <v>5</v>
      </c>
      <c r="BT628" s="2" t="s">
        <v>5</v>
      </c>
      <c r="BU628" s="2" t="s">
        <v>5</v>
      </c>
      <c r="BV628" s="2" t="s">
        <v>5</v>
      </c>
      <c r="BW628" s="2" t="s">
        <v>5</v>
      </c>
      <c r="BX628" s="2" t="s">
        <v>5</v>
      </c>
      <c r="BY628" s="25" t="s">
        <v>5</v>
      </c>
      <c r="BZ628" s="25" t="s">
        <v>5</v>
      </c>
      <c r="CA628" s="6" t="s">
        <v>5</v>
      </c>
      <c r="CB628" s="6" t="s">
        <v>5</v>
      </c>
      <c r="CC628" s="6" t="s">
        <v>5</v>
      </c>
      <c r="CD628" s="6" t="s">
        <v>5</v>
      </c>
      <c r="CE628" s="6" t="s">
        <v>5</v>
      </c>
      <c r="CF628" s="16" t="s">
        <v>5</v>
      </c>
      <c r="CG628" s="16" t="s">
        <v>5</v>
      </c>
      <c r="CH628" s="18" t="s">
        <v>5</v>
      </c>
    </row>
    <row r="629" spans="2:86">
      <c r="B629" s="78" t="s">
        <v>473</v>
      </c>
      <c r="C629" s="79" t="s">
        <v>729</v>
      </c>
      <c r="D629" s="80" t="s">
        <v>729</v>
      </c>
      <c r="E629" s="1" t="s">
        <v>4</v>
      </c>
      <c r="F629" s="7">
        <v>8.1999999999999993</v>
      </c>
      <c r="G629" s="7">
        <v>2.38</v>
      </c>
      <c r="H629" s="3" t="str">
        <f t="shared" si="28"/>
        <v>2L2-1/2X2-1/2X1/4X3/4</v>
      </c>
      <c r="I629" s="7">
        <v>2.5</v>
      </c>
      <c r="J629" s="5" t="s">
        <v>5</v>
      </c>
      <c r="K629" s="6" t="s">
        <v>5</v>
      </c>
      <c r="L629" s="6" t="s">
        <v>5</v>
      </c>
      <c r="M629" s="6" t="s">
        <v>5</v>
      </c>
      <c r="N629" s="6" t="s">
        <v>5</v>
      </c>
      <c r="O629" s="5" t="s">
        <v>5</v>
      </c>
      <c r="P629" s="5" t="s">
        <v>5</v>
      </c>
      <c r="Q629" s="7">
        <v>2.5</v>
      </c>
      <c r="R629" s="6" t="s">
        <v>5</v>
      </c>
      <c r="S629" s="6" t="s">
        <v>5</v>
      </c>
      <c r="T629" s="5" t="s">
        <v>5</v>
      </c>
      <c r="U629" s="8" t="s">
        <v>5</v>
      </c>
      <c r="V629" s="6" t="s">
        <v>5</v>
      </c>
      <c r="W629" s="8" t="s">
        <v>5</v>
      </c>
      <c r="X629" s="22">
        <v>0.25</v>
      </c>
      <c r="Y629" s="6" t="s">
        <v>5</v>
      </c>
      <c r="Z629" s="6" t="s">
        <v>5</v>
      </c>
      <c r="AA629" s="6" t="s">
        <v>5</v>
      </c>
      <c r="AB629" s="8" t="s">
        <v>5</v>
      </c>
      <c r="AC629" s="8" t="s">
        <v>5</v>
      </c>
      <c r="AD629" s="6" t="s">
        <v>5</v>
      </c>
      <c r="AE629" s="22">
        <v>0.71099999999999997</v>
      </c>
      <c r="AF629" s="6" t="s">
        <v>5</v>
      </c>
      <c r="AG629" s="6" t="s">
        <v>5</v>
      </c>
      <c r="AH629" s="22">
        <v>0.23799999999999999</v>
      </c>
      <c r="AI629" s="6" t="s">
        <v>5</v>
      </c>
      <c r="AJ629" s="4">
        <v>10</v>
      </c>
      <c r="AK629" s="6" t="s">
        <v>5</v>
      </c>
      <c r="AL629" s="6" t="s">
        <v>5</v>
      </c>
      <c r="AM629" s="6" t="s">
        <v>5</v>
      </c>
      <c r="AN629" s="6" t="s">
        <v>5</v>
      </c>
      <c r="AO629" s="7">
        <v>1.38</v>
      </c>
      <c r="AP629" s="7">
        <v>1.39</v>
      </c>
      <c r="AQ629" s="22">
        <v>0.77400000000000002</v>
      </c>
      <c r="AR629" s="22">
        <v>0.76400000000000001</v>
      </c>
      <c r="AS629" s="6">
        <v>4.21</v>
      </c>
      <c r="AT629" s="6">
        <v>2.58</v>
      </c>
      <c r="AU629" s="6">
        <v>1.46</v>
      </c>
      <c r="AV629" s="7">
        <v>1.33</v>
      </c>
      <c r="AW629" s="6" t="s">
        <v>5</v>
      </c>
      <c r="AX629" s="6" t="s">
        <v>5</v>
      </c>
      <c r="AY629" s="6" t="s">
        <v>5</v>
      </c>
      <c r="AZ629" s="6" t="s">
        <v>5</v>
      </c>
      <c r="BA629" s="6" t="s">
        <v>5</v>
      </c>
      <c r="BB629" s="6" t="s">
        <v>5</v>
      </c>
      <c r="BC629" s="6" t="s">
        <v>5</v>
      </c>
      <c r="BD629" s="6" t="s">
        <v>5</v>
      </c>
      <c r="BE629" s="6" t="s">
        <v>5</v>
      </c>
      <c r="BF629" s="6" t="s">
        <v>5</v>
      </c>
      <c r="BG629" s="6" t="s">
        <v>5</v>
      </c>
      <c r="BH629" s="6" t="s">
        <v>5</v>
      </c>
      <c r="BI629" s="7">
        <v>1.64</v>
      </c>
      <c r="BJ629" s="22">
        <v>0.872</v>
      </c>
      <c r="BK629" s="6" t="s">
        <v>5</v>
      </c>
      <c r="BL629" s="2" t="s">
        <v>5</v>
      </c>
      <c r="BM629" s="2" t="s">
        <v>5</v>
      </c>
      <c r="BN629" s="2" t="s">
        <v>5</v>
      </c>
      <c r="BO629" s="2" t="s">
        <v>5</v>
      </c>
      <c r="BP629" s="2" t="s">
        <v>5</v>
      </c>
      <c r="BQ629" s="2" t="s">
        <v>5</v>
      </c>
      <c r="BR629" s="2" t="s">
        <v>5</v>
      </c>
      <c r="BS629" s="2" t="s">
        <v>5</v>
      </c>
      <c r="BT629" s="2" t="s">
        <v>5</v>
      </c>
      <c r="BU629" s="2" t="s">
        <v>5</v>
      </c>
      <c r="BV629" s="2" t="s">
        <v>5</v>
      </c>
      <c r="BW629" s="2" t="s">
        <v>5</v>
      </c>
      <c r="BX629" s="2" t="s">
        <v>5</v>
      </c>
      <c r="BY629" s="25" t="s">
        <v>5</v>
      </c>
      <c r="BZ629" s="25" t="s">
        <v>5</v>
      </c>
      <c r="CA629" s="6" t="s">
        <v>5</v>
      </c>
      <c r="CB629" s="6" t="s">
        <v>5</v>
      </c>
      <c r="CC629" s="6" t="s">
        <v>5</v>
      </c>
      <c r="CD629" s="6" t="s">
        <v>5</v>
      </c>
      <c r="CE629" s="6" t="s">
        <v>5</v>
      </c>
      <c r="CF629" s="16" t="s">
        <v>5</v>
      </c>
      <c r="CG629" s="16" t="s">
        <v>5</v>
      </c>
      <c r="CH629" s="18" t="s">
        <v>5</v>
      </c>
    </row>
    <row r="630" spans="2:86">
      <c r="B630" s="78" t="s">
        <v>473</v>
      </c>
      <c r="C630" s="79" t="s">
        <v>730</v>
      </c>
      <c r="D630" s="80" t="s">
        <v>730</v>
      </c>
      <c r="E630" s="1" t="s">
        <v>4</v>
      </c>
      <c r="F630" s="7">
        <v>6.14</v>
      </c>
      <c r="G630" s="7">
        <v>1.8</v>
      </c>
      <c r="H630" s="3" t="str">
        <f t="shared" si="28"/>
        <v>2L2-1/2X2-1/2X3/16</v>
      </c>
      <c r="I630" s="7">
        <v>2.5</v>
      </c>
      <c r="J630" s="5" t="s">
        <v>5</v>
      </c>
      <c r="K630" s="6" t="s">
        <v>5</v>
      </c>
      <c r="L630" s="6" t="s">
        <v>5</v>
      </c>
      <c r="M630" s="6" t="s">
        <v>5</v>
      </c>
      <c r="N630" s="6" t="s">
        <v>5</v>
      </c>
      <c r="O630" s="5" t="s">
        <v>5</v>
      </c>
      <c r="P630" s="5" t="s">
        <v>5</v>
      </c>
      <c r="Q630" s="7">
        <v>2.5</v>
      </c>
      <c r="R630" s="6" t="s">
        <v>5</v>
      </c>
      <c r="S630" s="6" t="s">
        <v>5</v>
      </c>
      <c r="T630" s="5" t="s">
        <v>5</v>
      </c>
      <c r="U630" s="8" t="s">
        <v>5</v>
      </c>
      <c r="V630" s="6" t="s">
        <v>5</v>
      </c>
      <c r="W630" s="8" t="s">
        <v>5</v>
      </c>
      <c r="X630" s="22">
        <v>0.188</v>
      </c>
      <c r="Y630" s="6" t="s">
        <v>5</v>
      </c>
      <c r="Z630" s="6" t="s">
        <v>5</v>
      </c>
      <c r="AA630" s="6" t="s">
        <v>5</v>
      </c>
      <c r="AB630" s="8" t="s">
        <v>5</v>
      </c>
      <c r="AC630" s="8" t="s">
        <v>5</v>
      </c>
      <c r="AD630" s="6" t="s">
        <v>5</v>
      </c>
      <c r="AE630" s="22">
        <v>0.68700000000000006</v>
      </c>
      <c r="AF630" s="6" t="s">
        <v>5</v>
      </c>
      <c r="AG630" s="6" t="s">
        <v>5</v>
      </c>
      <c r="AH630" s="22">
        <v>0.18</v>
      </c>
      <c r="AI630" s="6" t="s">
        <v>5</v>
      </c>
      <c r="AJ630" s="4">
        <v>13.3</v>
      </c>
      <c r="AK630" s="6" t="s">
        <v>5</v>
      </c>
      <c r="AL630" s="6" t="s">
        <v>5</v>
      </c>
      <c r="AM630" s="6" t="s">
        <v>5</v>
      </c>
      <c r="AN630" s="6" t="s">
        <v>5</v>
      </c>
      <c r="AO630" s="7">
        <v>1.07</v>
      </c>
      <c r="AP630" s="7">
        <v>1.06</v>
      </c>
      <c r="AQ630" s="22">
        <v>0.59</v>
      </c>
      <c r="AR630" s="22">
        <v>0.77100000000000002</v>
      </c>
      <c r="AS630" s="6">
        <v>1.91</v>
      </c>
      <c r="AT630" s="6">
        <v>1.24</v>
      </c>
      <c r="AU630" s="6">
        <v>0.76400000000000001</v>
      </c>
      <c r="AV630" s="7">
        <v>1.03</v>
      </c>
      <c r="AW630" s="6" t="s">
        <v>5</v>
      </c>
      <c r="AX630" s="6" t="s">
        <v>5</v>
      </c>
      <c r="AY630" s="6" t="s">
        <v>5</v>
      </c>
      <c r="AZ630" s="6" t="s">
        <v>5</v>
      </c>
      <c r="BA630" s="6" t="s">
        <v>5</v>
      </c>
      <c r="BB630" s="6" t="s">
        <v>5</v>
      </c>
      <c r="BC630" s="6" t="s">
        <v>5</v>
      </c>
      <c r="BD630" s="6" t="s">
        <v>5</v>
      </c>
      <c r="BE630" s="6" t="s">
        <v>5</v>
      </c>
      <c r="BF630" s="6" t="s">
        <v>5</v>
      </c>
      <c r="BG630" s="6" t="s">
        <v>5</v>
      </c>
      <c r="BH630" s="6" t="s">
        <v>5</v>
      </c>
      <c r="BI630" s="7">
        <v>1.42</v>
      </c>
      <c r="BJ630" s="22">
        <v>0.82499999999999996</v>
      </c>
      <c r="BK630" s="6" t="s">
        <v>5</v>
      </c>
      <c r="BL630" s="2" t="s">
        <v>5</v>
      </c>
      <c r="BM630" s="2" t="s">
        <v>5</v>
      </c>
      <c r="BN630" s="2" t="s">
        <v>5</v>
      </c>
      <c r="BO630" s="2" t="s">
        <v>5</v>
      </c>
      <c r="BP630" s="2" t="s">
        <v>5</v>
      </c>
      <c r="BQ630" s="2" t="s">
        <v>5</v>
      </c>
      <c r="BR630" s="2" t="s">
        <v>5</v>
      </c>
      <c r="BS630" s="2" t="s">
        <v>5</v>
      </c>
      <c r="BT630" s="2" t="s">
        <v>5</v>
      </c>
      <c r="BU630" s="2" t="s">
        <v>5</v>
      </c>
      <c r="BV630" s="2" t="s">
        <v>5</v>
      </c>
      <c r="BW630" s="2" t="s">
        <v>5</v>
      </c>
      <c r="BX630" s="2" t="s">
        <v>5</v>
      </c>
      <c r="BY630" s="25" t="s">
        <v>5</v>
      </c>
      <c r="BZ630" s="25" t="s">
        <v>5</v>
      </c>
      <c r="CA630" s="6" t="s">
        <v>5</v>
      </c>
      <c r="CB630" s="6" t="s">
        <v>5</v>
      </c>
      <c r="CC630" s="6" t="s">
        <v>5</v>
      </c>
      <c r="CD630" s="6" t="s">
        <v>5</v>
      </c>
      <c r="CE630" s="6" t="s">
        <v>5</v>
      </c>
      <c r="CF630" s="16" t="s">
        <v>5</v>
      </c>
      <c r="CG630" s="16" t="s">
        <v>5</v>
      </c>
      <c r="CH630" s="18" t="s">
        <v>5</v>
      </c>
    </row>
    <row r="631" spans="2:86">
      <c r="B631" s="78" t="s">
        <v>473</v>
      </c>
      <c r="C631" s="79" t="s">
        <v>731</v>
      </c>
      <c r="D631" s="80" t="s">
        <v>731</v>
      </c>
      <c r="E631" s="1" t="s">
        <v>4</v>
      </c>
      <c r="F631" s="7">
        <v>6.14</v>
      </c>
      <c r="G631" s="7">
        <v>1.8</v>
      </c>
      <c r="H631" s="3" t="str">
        <f t="shared" si="28"/>
        <v>2L2-1/2X2-1/2X3/16X3/8</v>
      </c>
      <c r="I631" s="7">
        <v>2.5</v>
      </c>
      <c r="J631" s="5" t="s">
        <v>5</v>
      </c>
      <c r="K631" s="6" t="s">
        <v>5</v>
      </c>
      <c r="L631" s="6" t="s">
        <v>5</v>
      </c>
      <c r="M631" s="6" t="s">
        <v>5</v>
      </c>
      <c r="N631" s="6" t="s">
        <v>5</v>
      </c>
      <c r="O631" s="5" t="s">
        <v>5</v>
      </c>
      <c r="P631" s="5" t="s">
        <v>5</v>
      </c>
      <c r="Q631" s="7">
        <v>2.5</v>
      </c>
      <c r="R631" s="6" t="s">
        <v>5</v>
      </c>
      <c r="S631" s="6" t="s">
        <v>5</v>
      </c>
      <c r="T631" s="5" t="s">
        <v>5</v>
      </c>
      <c r="U631" s="8" t="s">
        <v>5</v>
      </c>
      <c r="V631" s="6" t="s">
        <v>5</v>
      </c>
      <c r="W631" s="8" t="s">
        <v>5</v>
      </c>
      <c r="X631" s="22">
        <v>0.188</v>
      </c>
      <c r="Y631" s="6" t="s">
        <v>5</v>
      </c>
      <c r="Z631" s="6" t="s">
        <v>5</v>
      </c>
      <c r="AA631" s="6" t="s">
        <v>5</v>
      </c>
      <c r="AB631" s="8" t="s">
        <v>5</v>
      </c>
      <c r="AC631" s="8" t="s">
        <v>5</v>
      </c>
      <c r="AD631" s="6" t="s">
        <v>5</v>
      </c>
      <c r="AE631" s="22">
        <v>0.68700000000000006</v>
      </c>
      <c r="AF631" s="6" t="s">
        <v>5</v>
      </c>
      <c r="AG631" s="6" t="s">
        <v>5</v>
      </c>
      <c r="AH631" s="22">
        <v>0.18</v>
      </c>
      <c r="AI631" s="6" t="s">
        <v>5</v>
      </c>
      <c r="AJ631" s="4">
        <v>13.3</v>
      </c>
      <c r="AK631" s="6" t="s">
        <v>5</v>
      </c>
      <c r="AL631" s="6" t="s">
        <v>5</v>
      </c>
      <c r="AM631" s="6" t="s">
        <v>5</v>
      </c>
      <c r="AN631" s="6" t="s">
        <v>5</v>
      </c>
      <c r="AO631" s="7">
        <v>1.07</v>
      </c>
      <c r="AP631" s="7">
        <v>1.06</v>
      </c>
      <c r="AQ631" s="22">
        <v>0.59</v>
      </c>
      <c r="AR631" s="22">
        <v>0.77100000000000002</v>
      </c>
      <c r="AS631" s="6">
        <v>2.46</v>
      </c>
      <c r="AT631" s="6">
        <v>1.58</v>
      </c>
      <c r="AU631" s="6">
        <v>0.91500000000000004</v>
      </c>
      <c r="AV631" s="7">
        <v>1.17</v>
      </c>
      <c r="AW631" s="6" t="s">
        <v>5</v>
      </c>
      <c r="AX631" s="6" t="s">
        <v>5</v>
      </c>
      <c r="AY631" s="6" t="s">
        <v>5</v>
      </c>
      <c r="AZ631" s="6" t="s">
        <v>5</v>
      </c>
      <c r="BA631" s="6" t="s">
        <v>5</v>
      </c>
      <c r="BB631" s="6" t="s">
        <v>5</v>
      </c>
      <c r="BC631" s="6" t="s">
        <v>5</v>
      </c>
      <c r="BD631" s="6" t="s">
        <v>5</v>
      </c>
      <c r="BE631" s="6" t="s">
        <v>5</v>
      </c>
      <c r="BF631" s="6" t="s">
        <v>5</v>
      </c>
      <c r="BG631" s="6" t="s">
        <v>5</v>
      </c>
      <c r="BH631" s="6" t="s">
        <v>5</v>
      </c>
      <c r="BI631" s="7">
        <v>1.52</v>
      </c>
      <c r="BJ631" s="22">
        <v>0.84699999999999998</v>
      </c>
      <c r="BK631" s="6" t="s">
        <v>5</v>
      </c>
      <c r="BL631" s="2" t="s">
        <v>5</v>
      </c>
      <c r="BM631" s="2" t="s">
        <v>5</v>
      </c>
      <c r="BN631" s="2" t="s">
        <v>5</v>
      </c>
      <c r="BO631" s="2" t="s">
        <v>5</v>
      </c>
      <c r="BP631" s="2" t="s">
        <v>5</v>
      </c>
      <c r="BQ631" s="2" t="s">
        <v>5</v>
      </c>
      <c r="BR631" s="2" t="s">
        <v>5</v>
      </c>
      <c r="BS631" s="2" t="s">
        <v>5</v>
      </c>
      <c r="BT631" s="2" t="s">
        <v>5</v>
      </c>
      <c r="BU631" s="2" t="s">
        <v>5</v>
      </c>
      <c r="BV631" s="2" t="s">
        <v>5</v>
      </c>
      <c r="BW631" s="2" t="s">
        <v>5</v>
      </c>
      <c r="BX631" s="2" t="s">
        <v>5</v>
      </c>
      <c r="BY631" s="25" t="s">
        <v>5</v>
      </c>
      <c r="BZ631" s="25" t="s">
        <v>5</v>
      </c>
      <c r="CA631" s="6" t="s">
        <v>5</v>
      </c>
      <c r="CB631" s="6" t="s">
        <v>5</v>
      </c>
      <c r="CC631" s="6" t="s">
        <v>5</v>
      </c>
      <c r="CD631" s="6" t="s">
        <v>5</v>
      </c>
      <c r="CE631" s="6" t="s">
        <v>5</v>
      </c>
      <c r="CF631" s="16" t="s">
        <v>5</v>
      </c>
      <c r="CG631" s="16" t="s">
        <v>5</v>
      </c>
      <c r="CH631" s="18" t="s">
        <v>5</v>
      </c>
    </row>
    <row r="632" spans="2:86">
      <c r="B632" s="78" t="s">
        <v>473</v>
      </c>
      <c r="C632" s="79" t="s">
        <v>732</v>
      </c>
      <c r="D632" s="80" t="s">
        <v>732</v>
      </c>
      <c r="E632" s="1" t="s">
        <v>4</v>
      </c>
      <c r="F632" s="7">
        <v>6.14</v>
      </c>
      <c r="G632" s="7">
        <v>1.8</v>
      </c>
      <c r="H632" s="3" t="str">
        <f t="shared" si="28"/>
        <v>2L2-1/2X2-1/2X3/16X3/4</v>
      </c>
      <c r="I632" s="7">
        <v>2.5</v>
      </c>
      <c r="J632" s="5" t="s">
        <v>5</v>
      </c>
      <c r="K632" s="6" t="s">
        <v>5</v>
      </c>
      <c r="L632" s="6" t="s">
        <v>5</v>
      </c>
      <c r="M632" s="6" t="s">
        <v>5</v>
      </c>
      <c r="N632" s="6" t="s">
        <v>5</v>
      </c>
      <c r="O632" s="5" t="s">
        <v>5</v>
      </c>
      <c r="P632" s="5" t="s">
        <v>5</v>
      </c>
      <c r="Q632" s="7">
        <v>2.5</v>
      </c>
      <c r="R632" s="6" t="s">
        <v>5</v>
      </c>
      <c r="S632" s="6" t="s">
        <v>5</v>
      </c>
      <c r="T632" s="5" t="s">
        <v>5</v>
      </c>
      <c r="U632" s="8" t="s">
        <v>5</v>
      </c>
      <c r="V632" s="6" t="s">
        <v>5</v>
      </c>
      <c r="W632" s="8" t="s">
        <v>5</v>
      </c>
      <c r="X632" s="22">
        <v>0.188</v>
      </c>
      <c r="Y632" s="6" t="s">
        <v>5</v>
      </c>
      <c r="Z632" s="6" t="s">
        <v>5</v>
      </c>
      <c r="AA632" s="6" t="s">
        <v>5</v>
      </c>
      <c r="AB632" s="8" t="s">
        <v>5</v>
      </c>
      <c r="AC632" s="8" t="s">
        <v>5</v>
      </c>
      <c r="AD632" s="6" t="s">
        <v>5</v>
      </c>
      <c r="AE632" s="22">
        <v>0.68700000000000006</v>
      </c>
      <c r="AF632" s="6" t="s">
        <v>5</v>
      </c>
      <c r="AG632" s="6" t="s">
        <v>5</v>
      </c>
      <c r="AH632" s="22">
        <v>0.18</v>
      </c>
      <c r="AI632" s="6" t="s">
        <v>5</v>
      </c>
      <c r="AJ632" s="4">
        <v>13.3</v>
      </c>
      <c r="AK632" s="6" t="s">
        <v>5</v>
      </c>
      <c r="AL632" s="6" t="s">
        <v>5</v>
      </c>
      <c r="AM632" s="6" t="s">
        <v>5</v>
      </c>
      <c r="AN632" s="6" t="s">
        <v>5</v>
      </c>
      <c r="AO632" s="7">
        <v>1.07</v>
      </c>
      <c r="AP632" s="7">
        <v>1.06</v>
      </c>
      <c r="AQ632" s="22">
        <v>0.59</v>
      </c>
      <c r="AR632" s="22">
        <v>0.77100000000000002</v>
      </c>
      <c r="AS632" s="6">
        <v>3.09</v>
      </c>
      <c r="AT632" s="6">
        <v>1.91</v>
      </c>
      <c r="AU632" s="6">
        <v>1.07</v>
      </c>
      <c r="AV632" s="7">
        <v>1.31</v>
      </c>
      <c r="AW632" s="6" t="s">
        <v>5</v>
      </c>
      <c r="AX632" s="6" t="s">
        <v>5</v>
      </c>
      <c r="AY632" s="6" t="s">
        <v>5</v>
      </c>
      <c r="AZ632" s="6" t="s">
        <v>5</v>
      </c>
      <c r="BA632" s="6" t="s">
        <v>5</v>
      </c>
      <c r="BB632" s="6" t="s">
        <v>5</v>
      </c>
      <c r="BC632" s="6" t="s">
        <v>5</v>
      </c>
      <c r="BD632" s="6" t="s">
        <v>5</v>
      </c>
      <c r="BE632" s="6" t="s">
        <v>5</v>
      </c>
      <c r="BF632" s="6" t="s">
        <v>5</v>
      </c>
      <c r="BG632" s="6" t="s">
        <v>5</v>
      </c>
      <c r="BH632" s="6" t="s">
        <v>5</v>
      </c>
      <c r="BI632" s="7">
        <v>1.63</v>
      </c>
      <c r="BJ632" s="22">
        <v>0.86799999999999999</v>
      </c>
      <c r="BK632" s="6" t="s">
        <v>5</v>
      </c>
      <c r="BL632" s="2" t="s">
        <v>5</v>
      </c>
      <c r="BM632" s="2" t="s">
        <v>5</v>
      </c>
      <c r="BN632" s="2" t="s">
        <v>5</v>
      </c>
      <c r="BO632" s="2" t="s">
        <v>5</v>
      </c>
      <c r="BP632" s="2" t="s">
        <v>5</v>
      </c>
      <c r="BQ632" s="2" t="s">
        <v>5</v>
      </c>
      <c r="BR632" s="2" t="s">
        <v>5</v>
      </c>
      <c r="BS632" s="2" t="s">
        <v>5</v>
      </c>
      <c r="BT632" s="2" t="s">
        <v>5</v>
      </c>
      <c r="BU632" s="2" t="s">
        <v>5</v>
      </c>
      <c r="BV632" s="2" t="s">
        <v>5</v>
      </c>
      <c r="BW632" s="2" t="s">
        <v>5</v>
      </c>
      <c r="BX632" s="2" t="s">
        <v>5</v>
      </c>
      <c r="BY632" s="25" t="s">
        <v>5</v>
      </c>
      <c r="BZ632" s="25" t="s">
        <v>5</v>
      </c>
      <c r="CA632" s="6" t="s">
        <v>5</v>
      </c>
      <c r="CB632" s="6" t="s">
        <v>5</v>
      </c>
      <c r="CC632" s="6" t="s">
        <v>5</v>
      </c>
      <c r="CD632" s="6" t="s">
        <v>5</v>
      </c>
      <c r="CE632" s="6" t="s">
        <v>5</v>
      </c>
      <c r="CF632" s="16" t="s">
        <v>5</v>
      </c>
      <c r="CG632" s="16" t="s">
        <v>5</v>
      </c>
      <c r="CH632" s="18" t="s">
        <v>5</v>
      </c>
    </row>
    <row r="633" spans="2:86">
      <c r="B633" s="78" t="s">
        <v>473</v>
      </c>
      <c r="C633" s="79" t="s">
        <v>733</v>
      </c>
      <c r="D633" s="80" t="s">
        <v>733</v>
      </c>
      <c r="E633" s="1" t="s">
        <v>4</v>
      </c>
      <c r="F633" s="7">
        <v>9.4</v>
      </c>
      <c r="G633" s="7">
        <v>2.74</v>
      </c>
      <c r="H633" s="3" t="str">
        <f t="shared" si="28"/>
        <v>2L2X2X3/8</v>
      </c>
      <c r="I633" s="7">
        <v>2</v>
      </c>
      <c r="J633" s="5" t="s">
        <v>5</v>
      </c>
      <c r="K633" s="6" t="s">
        <v>5</v>
      </c>
      <c r="L633" s="6" t="s">
        <v>5</v>
      </c>
      <c r="M633" s="6" t="s">
        <v>5</v>
      </c>
      <c r="N633" s="6" t="s">
        <v>5</v>
      </c>
      <c r="O633" s="5" t="s">
        <v>5</v>
      </c>
      <c r="P633" s="5" t="s">
        <v>5</v>
      </c>
      <c r="Q633" s="7">
        <v>2</v>
      </c>
      <c r="R633" s="6" t="s">
        <v>5</v>
      </c>
      <c r="S633" s="6" t="s">
        <v>5</v>
      </c>
      <c r="T633" s="5" t="s">
        <v>5</v>
      </c>
      <c r="U633" s="8" t="s">
        <v>5</v>
      </c>
      <c r="V633" s="6" t="s">
        <v>5</v>
      </c>
      <c r="W633" s="8" t="s">
        <v>5</v>
      </c>
      <c r="X633" s="22">
        <v>0.375</v>
      </c>
      <c r="Y633" s="6" t="s">
        <v>5</v>
      </c>
      <c r="Z633" s="6" t="s">
        <v>5</v>
      </c>
      <c r="AA633" s="6" t="s">
        <v>5</v>
      </c>
      <c r="AB633" s="8" t="s">
        <v>5</v>
      </c>
      <c r="AC633" s="8" t="s">
        <v>5</v>
      </c>
      <c r="AD633" s="6" t="s">
        <v>5</v>
      </c>
      <c r="AE633" s="22">
        <v>0.63200000000000001</v>
      </c>
      <c r="AF633" s="6" t="s">
        <v>5</v>
      </c>
      <c r="AG633" s="6" t="s">
        <v>5</v>
      </c>
      <c r="AH633" s="22">
        <v>0.34300000000000003</v>
      </c>
      <c r="AI633" s="6" t="s">
        <v>5</v>
      </c>
      <c r="AJ633" s="7">
        <v>5.33</v>
      </c>
      <c r="AK633" s="6" t="s">
        <v>5</v>
      </c>
      <c r="AL633" s="6" t="s">
        <v>5</v>
      </c>
      <c r="AM633" s="6" t="s">
        <v>5</v>
      </c>
      <c r="AN633" s="6" t="s">
        <v>5</v>
      </c>
      <c r="AO633" s="22">
        <v>0.95199999999999996</v>
      </c>
      <c r="AP633" s="7">
        <v>1.26</v>
      </c>
      <c r="AQ633" s="22">
        <v>0.69599999999999995</v>
      </c>
      <c r="AR633" s="22">
        <v>0.59099999999999997</v>
      </c>
      <c r="AS633" s="6">
        <v>2.0499999999999998</v>
      </c>
      <c r="AT633" s="6">
        <v>1.73</v>
      </c>
      <c r="AU633" s="6">
        <v>1.02</v>
      </c>
      <c r="AV633" s="22">
        <v>0.86499999999999999</v>
      </c>
      <c r="AW633" s="6" t="s">
        <v>5</v>
      </c>
      <c r="AX633" s="6" t="s">
        <v>5</v>
      </c>
      <c r="AY633" s="6" t="s">
        <v>5</v>
      </c>
      <c r="AZ633" s="6" t="s">
        <v>5</v>
      </c>
      <c r="BA633" s="6" t="s">
        <v>5</v>
      </c>
      <c r="BB633" s="6" t="s">
        <v>5</v>
      </c>
      <c r="BC633" s="6" t="s">
        <v>5</v>
      </c>
      <c r="BD633" s="6" t="s">
        <v>5</v>
      </c>
      <c r="BE633" s="6" t="s">
        <v>5</v>
      </c>
      <c r="BF633" s="6" t="s">
        <v>5</v>
      </c>
      <c r="BG633" s="6" t="s">
        <v>5</v>
      </c>
      <c r="BH633" s="6" t="s">
        <v>5</v>
      </c>
      <c r="BI633" s="7">
        <v>1.1399999999999999</v>
      </c>
      <c r="BJ633" s="22">
        <v>0.84699999999999998</v>
      </c>
      <c r="BK633" s="6" t="s">
        <v>5</v>
      </c>
      <c r="BL633" s="2" t="s">
        <v>5</v>
      </c>
      <c r="BM633" s="2" t="s">
        <v>5</v>
      </c>
      <c r="BN633" s="2" t="s">
        <v>5</v>
      </c>
      <c r="BO633" s="2" t="s">
        <v>5</v>
      </c>
      <c r="BP633" s="2" t="s">
        <v>5</v>
      </c>
      <c r="BQ633" s="2" t="s">
        <v>5</v>
      </c>
      <c r="BR633" s="2" t="s">
        <v>5</v>
      </c>
      <c r="BS633" s="2" t="s">
        <v>5</v>
      </c>
      <c r="BT633" s="2" t="s">
        <v>5</v>
      </c>
      <c r="BU633" s="2" t="s">
        <v>5</v>
      </c>
      <c r="BV633" s="2" t="s">
        <v>5</v>
      </c>
      <c r="BW633" s="2" t="s">
        <v>5</v>
      </c>
      <c r="BX633" s="2" t="s">
        <v>5</v>
      </c>
      <c r="BY633" s="25" t="s">
        <v>5</v>
      </c>
      <c r="BZ633" s="25" t="s">
        <v>5</v>
      </c>
      <c r="CA633" s="6" t="s">
        <v>5</v>
      </c>
      <c r="CB633" s="6" t="s">
        <v>5</v>
      </c>
      <c r="CC633" s="6" t="s">
        <v>5</v>
      </c>
      <c r="CD633" s="6" t="s">
        <v>5</v>
      </c>
      <c r="CE633" s="6" t="s">
        <v>5</v>
      </c>
      <c r="CF633" s="16" t="s">
        <v>5</v>
      </c>
      <c r="CG633" s="16" t="s">
        <v>5</v>
      </c>
      <c r="CH633" s="18" t="s">
        <v>5</v>
      </c>
    </row>
    <row r="634" spans="2:86">
      <c r="B634" s="78" t="s">
        <v>473</v>
      </c>
      <c r="C634" s="79" t="s">
        <v>734</v>
      </c>
      <c r="D634" s="80" t="s">
        <v>734</v>
      </c>
      <c r="E634" s="1" t="s">
        <v>4</v>
      </c>
      <c r="F634" s="7">
        <v>9.4</v>
      </c>
      <c r="G634" s="7">
        <v>2.74</v>
      </c>
      <c r="H634" s="3" t="str">
        <f t="shared" si="28"/>
        <v>2L2X2X3/8X3/8</v>
      </c>
      <c r="I634" s="7">
        <v>2</v>
      </c>
      <c r="J634" s="5" t="s">
        <v>5</v>
      </c>
      <c r="K634" s="6" t="s">
        <v>5</v>
      </c>
      <c r="L634" s="6" t="s">
        <v>5</v>
      </c>
      <c r="M634" s="6" t="s">
        <v>5</v>
      </c>
      <c r="N634" s="6" t="s">
        <v>5</v>
      </c>
      <c r="O634" s="5" t="s">
        <v>5</v>
      </c>
      <c r="P634" s="5" t="s">
        <v>5</v>
      </c>
      <c r="Q634" s="7">
        <v>2</v>
      </c>
      <c r="R634" s="6" t="s">
        <v>5</v>
      </c>
      <c r="S634" s="6" t="s">
        <v>5</v>
      </c>
      <c r="T634" s="5" t="s">
        <v>5</v>
      </c>
      <c r="U634" s="8" t="s">
        <v>5</v>
      </c>
      <c r="V634" s="6" t="s">
        <v>5</v>
      </c>
      <c r="W634" s="8" t="s">
        <v>5</v>
      </c>
      <c r="X634" s="22">
        <v>0.375</v>
      </c>
      <c r="Y634" s="6" t="s">
        <v>5</v>
      </c>
      <c r="Z634" s="6" t="s">
        <v>5</v>
      </c>
      <c r="AA634" s="6" t="s">
        <v>5</v>
      </c>
      <c r="AB634" s="8" t="s">
        <v>5</v>
      </c>
      <c r="AC634" s="8" t="s">
        <v>5</v>
      </c>
      <c r="AD634" s="6" t="s">
        <v>5</v>
      </c>
      <c r="AE634" s="22">
        <v>0.63200000000000001</v>
      </c>
      <c r="AF634" s="6" t="s">
        <v>5</v>
      </c>
      <c r="AG634" s="6" t="s">
        <v>5</v>
      </c>
      <c r="AH634" s="22">
        <v>0.34300000000000003</v>
      </c>
      <c r="AI634" s="6" t="s">
        <v>5</v>
      </c>
      <c r="AJ634" s="7">
        <v>5.33</v>
      </c>
      <c r="AK634" s="6" t="s">
        <v>5</v>
      </c>
      <c r="AL634" s="6" t="s">
        <v>5</v>
      </c>
      <c r="AM634" s="6" t="s">
        <v>5</v>
      </c>
      <c r="AN634" s="6" t="s">
        <v>5</v>
      </c>
      <c r="AO634" s="22">
        <v>0.95199999999999996</v>
      </c>
      <c r="AP634" s="7">
        <v>1.26</v>
      </c>
      <c r="AQ634" s="22">
        <v>0.69599999999999995</v>
      </c>
      <c r="AR634" s="22">
        <v>0.59099999999999997</v>
      </c>
      <c r="AS634" s="7">
        <v>2.8</v>
      </c>
      <c r="AT634" s="6">
        <v>2.25</v>
      </c>
      <c r="AU634" s="6">
        <v>1.28</v>
      </c>
      <c r="AV634" s="7">
        <v>1.01</v>
      </c>
      <c r="AW634" s="6" t="s">
        <v>5</v>
      </c>
      <c r="AX634" s="6" t="s">
        <v>5</v>
      </c>
      <c r="AY634" s="6" t="s">
        <v>5</v>
      </c>
      <c r="AZ634" s="6" t="s">
        <v>5</v>
      </c>
      <c r="BA634" s="6" t="s">
        <v>5</v>
      </c>
      <c r="BB634" s="6" t="s">
        <v>5</v>
      </c>
      <c r="BC634" s="6" t="s">
        <v>5</v>
      </c>
      <c r="BD634" s="6" t="s">
        <v>5</v>
      </c>
      <c r="BE634" s="6" t="s">
        <v>5</v>
      </c>
      <c r="BF634" s="6" t="s">
        <v>5</v>
      </c>
      <c r="BG634" s="6" t="s">
        <v>5</v>
      </c>
      <c r="BH634" s="6" t="s">
        <v>5</v>
      </c>
      <c r="BI634" s="7">
        <v>1.25</v>
      </c>
      <c r="BJ634" s="22">
        <v>0.874</v>
      </c>
      <c r="BK634" s="6" t="s">
        <v>5</v>
      </c>
      <c r="BL634" s="2" t="s">
        <v>5</v>
      </c>
      <c r="BM634" s="2" t="s">
        <v>5</v>
      </c>
      <c r="BN634" s="2" t="s">
        <v>5</v>
      </c>
      <c r="BO634" s="2" t="s">
        <v>5</v>
      </c>
      <c r="BP634" s="2" t="s">
        <v>5</v>
      </c>
      <c r="BQ634" s="2" t="s">
        <v>5</v>
      </c>
      <c r="BR634" s="2" t="s">
        <v>5</v>
      </c>
      <c r="BS634" s="2" t="s">
        <v>5</v>
      </c>
      <c r="BT634" s="2" t="s">
        <v>5</v>
      </c>
      <c r="BU634" s="2" t="s">
        <v>5</v>
      </c>
      <c r="BV634" s="2" t="s">
        <v>5</v>
      </c>
      <c r="BW634" s="2" t="s">
        <v>5</v>
      </c>
      <c r="BX634" s="2" t="s">
        <v>5</v>
      </c>
      <c r="BY634" s="25" t="s">
        <v>5</v>
      </c>
      <c r="BZ634" s="25" t="s">
        <v>5</v>
      </c>
      <c r="CA634" s="6" t="s">
        <v>5</v>
      </c>
      <c r="CB634" s="6" t="s">
        <v>5</v>
      </c>
      <c r="CC634" s="6" t="s">
        <v>5</v>
      </c>
      <c r="CD634" s="6" t="s">
        <v>5</v>
      </c>
      <c r="CE634" s="6" t="s">
        <v>5</v>
      </c>
      <c r="CF634" s="16" t="s">
        <v>5</v>
      </c>
      <c r="CG634" s="16" t="s">
        <v>5</v>
      </c>
      <c r="CH634" s="18" t="s">
        <v>5</v>
      </c>
    </row>
    <row r="635" spans="2:86">
      <c r="B635" s="78" t="s">
        <v>473</v>
      </c>
      <c r="C635" s="79" t="s">
        <v>735</v>
      </c>
      <c r="D635" s="80" t="s">
        <v>735</v>
      </c>
      <c r="E635" s="1" t="s">
        <v>4</v>
      </c>
      <c r="F635" s="7">
        <v>9.4</v>
      </c>
      <c r="G635" s="7">
        <v>2.74</v>
      </c>
      <c r="H635" s="3" t="str">
        <f t="shared" si="28"/>
        <v>2L2X2X3/8X3/4</v>
      </c>
      <c r="I635" s="7">
        <v>2</v>
      </c>
      <c r="J635" s="5" t="s">
        <v>5</v>
      </c>
      <c r="K635" s="6" t="s">
        <v>5</v>
      </c>
      <c r="L635" s="6" t="s">
        <v>5</v>
      </c>
      <c r="M635" s="6" t="s">
        <v>5</v>
      </c>
      <c r="N635" s="6" t="s">
        <v>5</v>
      </c>
      <c r="O635" s="5" t="s">
        <v>5</v>
      </c>
      <c r="P635" s="5" t="s">
        <v>5</v>
      </c>
      <c r="Q635" s="7">
        <v>2</v>
      </c>
      <c r="R635" s="6" t="s">
        <v>5</v>
      </c>
      <c r="S635" s="6" t="s">
        <v>5</v>
      </c>
      <c r="T635" s="5" t="s">
        <v>5</v>
      </c>
      <c r="U635" s="8" t="s">
        <v>5</v>
      </c>
      <c r="V635" s="6" t="s">
        <v>5</v>
      </c>
      <c r="W635" s="8" t="s">
        <v>5</v>
      </c>
      <c r="X635" s="22">
        <v>0.375</v>
      </c>
      <c r="Y635" s="6" t="s">
        <v>5</v>
      </c>
      <c r="Z635" s="6" t="s">
        <v>5</v>
      </c>
      <c r="AA635" s="6" t="s">
        <v>5</v>
      </c>
      <c r="AB635" s="8" t="s">
        <v>5</v>
      </c>
      <c r="AC635" s="8" t="s">
        <v>5</v>
      </c>
      <c r="AD635" s="6" t="s">
        <v>5</v>
      </c>
      <c r="AE635" s="22">
        <v>0.63200000000000001</v>
      </c>
      <c r="AF635" s="6" t="s">
        <v>5</v>
      </c>
      <c r="AG635" s="6" t="s">
        <v>5</v>
      </c>
      <c r="AH635" s="22">
        <v>0.34300000000000003</v>
      </c>
      <c r="AI635" s="6" t="s">
        <v>5</v>
      </c>
      <c r="AJ635" s="7">
        <v>5.33</v>
      </c>
      <c r="AK635" s="6" t="s">
        <v>5</v>
      </c>
      <c r="AL635" s="6" t="s">
        <v>5</v>
      </c>
      <c r="AM635" s="6" t="s">
        <v>5</v>
      </c>
      <c r="AN635" s="6" t="s">
        <v>5</v>
      </c>
      <c r="AO635" s="22">
        <v>0.95199999999999996</v>
      </c>
      <c r="AP635" s="7">
        <v>1.26</v>
      </c>
      <c r="AQ635" s="22">
        <v>0.69599999999999995</v>
      </c>
      <c r="AR635" s="22">
        <v>0.59099999999999997</v>
      </c>
      <c r="AS635" s="6">
        <v>3.75</v>
      </c>
      <c r="AT635" s="6">
        <v>2.76</v>
      </c>
      <c r="AU635" s="6">
        <v>1.58</v>
      </c>
      <c r="AV635" s="7">
        <v>1.17</v>
      </c>
      <c r="AW635" s="6" t="s">
        <v>5</v>
      </c>
      <c r="AX635" s="6" t="s">
        <v>5</v>
      </c>
      <c r="AY635" s="6" t="s">
        <v>5</v>
      </c>
      <c r="AZ635" s="6" t="s">
        <v>5</v>
      </c>
      <c r="BA635" s="6" t="s">
        <v>5</v>
      </c>
      <c r="BB635" s="6" t="s">
        <v>5</v>
      </c>
      <c r="BC635" s="6" t="s">
        <v>5</v>
      </c>
      <c r="BD635" s="6" t="s">
        <v>5</v>
      </c>
      <c r="BE635" s="6" t="s">
        <v>5</v>
      </c>
      <c r="BF635" s="6" t="s">
        <v>5</v>
      </c>
      <c r="BG635" s="6" t="s">
        <v>5</v>
      </c>
      <c r="BH635" s="6" t="s">
        <v>5</v>
      </c>
      <c r="BI635" s="7">
        <v>1.38</v>
      </c>
      <c r="BJ635" s="22">
        <v>0.89700000000000002</v>
      </c>
      <c r="BK635" s="6" t="s">
        <v>5</v>
      </c>
      <c r="BL635" s="2" t="s">
        <v>5</v>
      </c>
      <c r="BM635" s="2" t="s">
        <v>5</v>
      </c>
      <c r="BN635" s="2" t="s">
        <v>5</v>
      </c>
      <c r="BO635" s="2" t="s">
        <v>5</v>
      </c>
      <c r="BP635" s="2" t="s">
        <v>5</v>
      </c>
      <c r="BQ635" s="2" t="s">
        <v>5</v>
      </c>
      <c r="BR635" s="2" t="s">
        <v>5</v>
      </c>
      <c r="BS635" s="2" t="s">
        <v>5</v>
      </c>
      <c r="BT635" s="2" t="s">
        <v>5</v>
      </c>
      <c r="BU635" s="2" t="s">
        <v>5</v>
      </c>
      <c r="BV635" s="2" t="s">
        <v>5</v>
      </c>
      <c r="BW635" s="2" t="s">
        <v>5</v>
      </c>
      <c r="BX635" s="2" t="s">
        <v>5</v>
      </c>
      <c r="BY635" s="25" t="s">
        <v>5</v>
      </c>
      <c r="BZ635" s="25" t="s">
        <v>5</v>
      </c>
      <c r="CA635" s="6" t="s">
        <v>5</v>
      </c>
      <c r="CB635" s="6" t="s">
        <v>5</v>
      </c>
      <c r="CC635" s="6" t="s">
        <v>5</v>
      </c>
      <c r="CD635" s="6" t="s">
        <v>5</v>
      </c>
      <c r="CE635" s="6" t="s">
        <v>5</v>
      </c>
      <c r="CF635" s="16" t="s">
        <v>5</v>
      </c>
      <c r="CG635" s="16" t="s">
        <v>5</v>
      </c>
      <c r="CH635" s="18" t="s">
        <v>5</v>
      </c>
    </row>
    <row r="636" spans="2:86">
      <c r="B636" s="78" t="s">
        <v>473</v>
      </c>
      <c r="C636" s="79" t="s">
        <v>736</v>
      </c>
      <c r="D636" s="80" t="s">
        <v>736</v>
      </c>
      <c r="E636" s="1" t="s">
        <v>4</v>
      </c>
      <c r="F636" s="7">
        <v>7.84</v>
      </c>
      <c r="G636" s="7">
        <v>2.3199999999999998</v>
      </c>
      <c r="H636" s="3" t="str">
        <f t="shared" si="28"/>
        <v>2L2X2X5/16</v>
      </c>
      <c r="I636" s="7">
        <v>2</v>
      </c>
      <c r="J636" s="5" t="s">
        <v>5</v>
      </c>
      <c r="K636" s="6" t="s">
        <v>5</v>
      </c>
      <c r="L636" s="6" t="s">
        <v>5</v>
      </c>
      <c r="M636" s="6" t="s">
        <v>5</v>
      </c>
      <c r="N636" s="6" t="s">
        <v>5</v>
      </c>
      <c r="O636" s="5" t="s">
        <v>5</v>
      </c>
      <c r="P636" s="5" t="s">
        <v>5</v>
      </c>
      <c r="Q636" s="7">
        <v>2</v>
      </c>
      <c r="R636" s="6" t="s">
        <v>5</v>
      </c>
      <c r="S636" s="6" t="s">
        <v>5</v>
      </c>
      <c r="T636" s="5" t="s">
        <v>5</v>
      </c>
      <c r="U636" s="8" t="s">
        <v>5</v>
      </c>
      <c r="V636" s="6" t="s">
        <v>5</v>
      </c>
      <c r="W636" s="8" t="s">
        <v>5</v>
      </c>
      <c r="X636" s="22">
        <v>0.313</v>
      </c>
      <c r="Y636" s="6" t="s">
        <v>5</v>
      </c>
      <c r="Z636" s="6" t="s">
        <v>5</v>
      </c>
      <c r="AA636" s="6" t="s">
        <v>5</v>
      </c>
      <c r="AB636" s="8" t="s">
        <v>5</v>
      </c>
      <c r="AC636" s="8" t="s">
        <v>5</v>
      </c>
      <c r="AD636" s="6" t="s">
        <v>5</v>
      </c>
      <c r="AE636" s="22">
        <v>0.60899999999999999</v>
      </c>
      <c r="AF636" s="6" t="s">
        <v>5</v>
      </c>
      <c r="AG636" s="6" t="s">
        <v>5</v>
      </c>
      <c r="AH636" s="22">
        <v>0.28999999999999998</v>
      </c>
      <c r="AI636" s="6" t="s">
        <v>5</v>
      </c>
      <c r="AJ636" s="7">
        <v>6.39</v>
      </c>
      <c r="AK636" s="6" t="s">
        <v>5</v>
      </c>
      <c r="AL636" s="6" t="s">
        <v>5</v>
      </c>
      <c r="AM636" s="6" t="s">
        <v>5</v>
      </c>
      <c r="AN636" s="6" t="s">
        <v>5</v>
      </c>
      <c r="AO636" s="22">
        <v>0.82799999999999996</v>
      </c>
      <c r="AP636" s="7">
        <v>1.07</v>
      </c>
      <c r="AQ636" s="22">
        <v>0.59599999999999997</v>
      </c>
      <c r="AR636" s="22">
        <v>0.59799999999999998</v>
      </c>
      <c r="AS636" s="6">
        <v>1.69</v>
      </c>
      <c r="AT636" s="6">
        <v>1.41</v>
      </c>
      <c r="AU636" s="6">
        <v>0.84499999999999997</v>
      </c>
      <c r="AV636" s="22">
        <v>0.85299999999999998</v>
      </c>
      <c r="AW636" s="6" t="s">
        <v>5</v>
      </c>
      <c r="AX636" s="6" t="s">
        <v>5</v>
      </c>
      <c r="AY636" s="6" t="s">
        <v>5</v>
      </c>
      <c r="AZ636" s="6" t="s">
        <v>5</v>
      </c>
      <c r="BA636" s="6" t="s">
        <v>5</v>
      </c>
      <c r="BB636" s="6" t="s">
        <v>5</v>
      </c>
      <c r="BC636" s="6" t="s">
        <v>5</v>
      </c>
      <c r="BD636" s="6" t="s">
        <v>5</v>
      </c>
      <c r="BE636" s="6" t="s">
        <v>5</v>
      </c>
      <c r="BF636" s="6" t="s">
        <v>5</v>
      </c>
      <c r="BG636" s="6" t="s">
        <v>5</v>
      </c>
      <c r="BH636" s="6" t="s">
        <v>5</v>
      </c>
      <c r="BI636" s="7">
        <v>1.1399999999999999</v>
      </c>
      <c r="BJ636" s="22">
        <v>0.84099999999999997</v>
      </c>
      <c r="BK636" s="6" t="s">
        <v>5</v>
      </c>
      <c r="BL636" s="2" t="s">
        <v>5</v>
      </c>
      <c r="BM636" s="2" t="s">
        <v>5</v>
      </c>
      <c r="BN636" s="2" t="s">
        <v>5</v>
      </c>
      <c r="BO636" s="2" t="s">
        <v>5</v>
      </c>
      <c r="BP636" s="2" t="s">
        <v>5</v>
      </c>
      <c r="BQ636" s="2" t="s">
        <v>5</v>
      </c>
      <c r="BR636" s="2" t="s">
        <v>5</v>
      </c>
      <c r="BS636" s="2" t="s">
        <v>5</v>
      </c>
      <c r="BT636" s="2" t="s">
        <v>5</v>
      </c>
      <c r="BU636" s="2" t="s">
        <v>5</v>
      </c>
      <c r="BV636" s="2" t="s">
        <v>5</v>
      </c>
      <c r="BW636" s="2" t="s">
        <v>5</v>
      </c>
      <c r="BX636" s="2" t="s">
        <v>5</v>
      </c>
      <c r="BY636" s="25" t="s">
        <v>5</v>
      </c>
      <c r="BZ636" s="25" t="s">
        <v>5</v>
      </c>
      <c r="CA636" s="6" t="s">
        <v>5</v>
      </c>
      <c r="CB636" s="6" t="s">
        <v>5</v>
      </c>
      <c r="CC636" s="6" t="s">
        <v>5</v>
      </c>
      <c r="CD636" s="6" t="s">
        <v>5</v>
      </c>
      <c r="CE636" s="6" t="s">
        <v>5</v>
      </c>
      <c r="CF636" s="16" t="s">
        <v>5</v>
      </c>
      <c r="CG636" s="16" t="s">
        <v>5</v>
      </c>
      <c r="CH636" s="18" t="s">
        <v>5</v>
      </c>
    </row>
    <row r="637" spans="2:86">
      <c r="B637" s="78" t="s">
        <v>473</v>
      </c>
      <c r="C637" s="79" t="s">
        <v>737</v>
      </c>
      <c r="D637" s="80" t="s">
        <v>737</v>
      </c>
      <c r="E637" s="1" t="s">
        <v>4</v>
      </c>
      <c r="F637" s="7">
        <v>7.84</v>
      </c>
      <c r="G637" s="7">
        <v>2.3199999999999998</v>
      </c>
      <c r="H637" s="3" t="str">
        <f t="shared" si="28"/>
        <v>2L2X2X5/16X3/8</v>
      </c>
      <c r="I637" s="7">
        <v>2</v>
      </c>
      <c r="J637" s="5" t="s">
        <v>5</v>
      </c>
      <c r="K637" s="6" t="s">
        <v>5</v>
      </c>
      <c r="L637" s="6" t="s">
        <v>5</v>
      </c>
      <c r="M637" s="6" t="s">
        <v>5</v>
      </c>
      <c r="N637" s="6" t="s">
        <v>5</v>
      </c>
      <c r="O637" s="5" t="s">
        <v>5</v>
      </c>
      <c r="P637" s="5" t="s">
        <v>5</v>
      </c>
      <c r="Q637" s="7">
        <v>2</v>
      </c>
      <c r="R637" s="6" t="s">
        <v>5</v>
      </c>
      <c r="S637" s="6" t="s">
        <v>5</v>
      </c>
      <c r="T637" s="5" t="s">
        <v>5</v>
      </c>
      <c r="U637" s="8" t="s">
        <v>5</v>
      </c>
      <c r="V637" s="6" t="s">
        <v>5</v>
      </c>
      <c r="W637" s="8" t="s">
        <v>5</v>
      </c>
      <c r="X637" s="22">
        <v>0.313</v>
      </c>
      <c r="Y637" s="6" t="s">
        <v>5</v>
      </c>
      <c r="Z637" s="6" t="s">
        <v>5</v>
      </c>
      <c r="AA637" s="6" t="s">
        <v>5</v>
      </c>
      <c r="AB637" s="8" t="s">
        <v>5</v>
      </c>
      <c r="AC637" s="8" t="s">
        <v>5</v>
      </c>
      <c r="AD637" s="6" t="s">
        <v>5</v>
      </c>
      <c r="AE637" s="22">
        <v>0.60899999999999999</v>
      </c>
      <c r="AF637" s="6" t="s">
        <v>5</v>
      </c>
      <c r="AG637" s="6" t="s">
        <v>5</v>
      </c>
      <c r="AH637" s="22">
        <v>0.28999999999999998</v>
      </c>
      <c r="AI637" s="6" t="s">
        <v>5</v>
      </c>
      <c r="AJ637" s="7">
        <v>6.39</v>
      </c>
      <c r="AK637" s="6" t="s">
        <v>5</v>
      </c>
      <c r="AL637" s="6" t="s">
        <v>5</v>
      </c>
      <c r="AM637" s="6" t="s">
        <v>5</v>
      </c>
      <c r="AN637" s="6" t="s">
        <v>5</v>
      </c>
      <c r="AO637" s="22">
        <v>0.82799999999999996</v>
      </c>
      <c r="AP637" s="7">
        <v>1.07</v>
      </c>
      <c r="AQ637" s="22">
        <v>0.59599999999999997</v>
      </c>
      <c r="AR637" s="22">
        <v>0.59799999999999998</v>
      </c>
      <c r="AS637" s="7">
        <v>2.2999999999999998</v>
      </c>
      <c r="AT637" s="6">
        <v>1.85</v>
      </c>
      <c r="AU637" s="6">
        <v>1.05</v>
      </c>
      <c r="AV637" s="22">
        <v>0.996</v>
      </c>
      <c r="AW637" s="6" t="s">
        <v>5</v>
      </c>
      <c r="AX637" s="6" t="s">
        <v>5</v>
      </c>
      <c r="AY637" s="6" t="s">
        <v>5</v>
      </c>
      <c r="AZ637" s="6" t="s">
        <v>5</v>
      </c>
      <c r="BA637" s="6" t="s">
        <v>5</v>
      </c>
      <c r="BB637" s="6" t="s">
        <v>5</v>
      </c>
      <c r="BC637" s="6" t="s">
        <v>5</v>
      </c>
      <c r="BD637" s="6" t="s">
        <v>5</v>
      </c>
      <c r="BE637" s="6" t="s">
        <v>5</v>
      </c>
      <c r="BF637" s="6" t="s">
        <v>5</v>
      </c>
      <c r="BG637" s="6" t="s">
        <v>5</v>
      </c>
      <c r="BH637" s="6" t="s">
        <v>5</v>
      </c>
      <c r="BI637" s="7">
        <v>1.25</v>
      </c>
      <c r="BJ637" s="22">
        <v>0.86799999999999999</v>
      </c>
      <c r="BK637" s="6" t="s">
        <v>5</v>
      </c>
      <c r="BL637" s="2" t="s">
        <v>5</v>
      </c>
      <c r="BM637" s="2" t="s">
        <v>5</v>
      </c>
      <c r="BN637" s="2" t="s">
        <v>5</v>
      </c>
      <c r="BO637" s="2" t="s">
        <v>5</v>
      </c>
      <c r="BP637" s="2" t="s">
        <v>5</v>
      </c>
      <c r="BQ637" s="2" t="s">
        <v>5</v>
      </c>
      <c r="BR637" s="2" t="s">
        <v>5</v>
      </c>
      <c r="BS637" s="2" t="s">
        <v>5</v>
      </c>
      <c r="BT637" s="2" t="s">
        <v>5</v>
      </c>
      <c r="BU637" s="2" t="s">
        <v>5</v>
      </c>
      <c r="BV637" s="2" t="s">
        <v>5</v>
      </c>
      <c r="BW637" s="2" t="s">
        <v>5</v>
      </c>
      <c r="BX637" s="2" t="s">
        <v>5</v>
      </c>
      <c r="BY637" s="25" t="s">
        <v>5</v>
      </c>
      <c r="BZ637" s="25" t="s">
        <v>5</v>
      </c>
      <c r="CA637" s="6" t="s">
        <v>5</v>
      </c>
      <c r="CB637" s="6" t="s">
        <v>5</v>
      </c>
      <c r="CC637" s="6" t="s">
        <v>5</v>
      </c>
      <c r="CD637" s="6" t="s">
        <v>5</v>
      </c>
      <c r="CE637" s="6" t="s">
        <v>5</v>
      </c>
      <c r="CF637" s="16" t="s">
        <v>5</v>
      </c>
      <c r="CG637" s="16" t="s">
        <v>5</v>
      </c>
      <c r="CH637" s="18" t="s">
        <v>5</v>
      </c>
    </row>
    <row r="638" spans="2:86">
      <c r="B638" s="78" t="s">
        <v>473</v>
      </c>
      <c r="C638" s="79" t="s">
        <v>738</v>
      </c>
      <c r="D638" s="80" t="s">
        <v>738</v>
      </c>
      <c r="E638" s="1" t="s">
        <v>4</v>
      </c>
      <c r="F638" s="7">
        <v>7.84</v>
      </c>
      <c r="G638" s="7">
        <v>2.3199999999999998</v>
      </c>
      <c r="H638" s="3" t="str">
        <f t="shared" si="28"/>
        <v>2L2X2X5/16X3/4</v>
      </c>
      <c r="I638" s="7">
        <v>2</v>
      </c>
      <c r="J638" s="5" t="s">
        <v>5</v>
      </c>
      <c r="K638" s="6" t="s">
        <v>5</v>
      </c>
      <c r="L638" s="6" t="s">
        <v>5</v>
      </c>
      <c r="M638" s="6" t="s">
        <v>5</v>
      </c>
      <c r="N638" s="6" t="s">
        <v>5</v>
      </c>
      <c r="O638" s="5" t="s">
        <v>5</v>
      </c>
      <c r="P638" s="5" t="s">
        <v>5</v>
      </c>
      <c r="Q638" s="7">
        <v>2</v>
      </c>
      <c r="R638" s="6" t="s">
        <v>5</v>
      </c>
      <c r="S638" s="6" t="s">
        <v>5</v>
      </c>
      <c r="T638" s="5" t="s">
        <v>5</v>
      </c>
      <c r="U638" s="8" t="s">
        <v>5</v>
      </c>
      <c r="V638" s="6" t="s">
        <v>5</v>
      </c>
      <c r="W638" s="8" t="s">
        <v>5</v>
      </c>
      <c r="X638" s="22">
        <v>0.313</v>
      </c>
      <c r="Y638" s="6" t="s">
        <v>5</v>
      </c>
      <c r="Z638" s="6" t="s">
        <v>5</v>
      </c>
      <c r="AA638" s="6" t="s">
        <v>5</v>
      </c>
      <c r="AB638" s="8" t="s">
        <v>5</v>
      </c>
      <c r="AC638" s="8" t="s">
        <v>5</v>
      </c>
      <c r="AD638" s="6" t="s">
        <v>5</v>
      </c>
      <c r="AE638" s="22">
        <v>0.60899999999999999</v>
      </c>
      <c r="AF638" s="6" t="s">
        <v>5</v>
      </c>
      <c r="AG638" s="6" t="s">
        <v>5</v>
      </c>
      <c r="AH638" s="22">
        <v>0.28999999999999998</v>
      </c>
      <c r="AI638" s="6" t="s">
        <v>5</v>
      </c>
      <c r="AJ638" s="7">
        <v>6.39</v>
      </c>
      <c r="AK638" s="6" t="s">
        <v>5</v>
      </c>
      <c r="AL638" s="6" t="s">
        <v>5</v>
      </c>
      <c r="AM638" s="6" t="s">
        <v>5</v>
      </c>
      <c r="AN638" s="6" t="s">
        <v>5</v>
      </c>
      <c r="AO638" s="22">
        <v>0.82799999999999996</v>
      </c>
      <c r="AP638" s="7">
        <v>1.07</v>
      </c>
      <c r="AQ638" s="22">
        <v>0.59599999999999997</v>
      </c>
      <c r="AR638" s="22">
        <v>0.59799999999999998</v>
      </c>
      <c r="AS638" s="6">
        <v>3.07</v>
      </c>
      <c r="AT638" s="6">
        <v>2.2799999999999998</v>
      </c>
      <c r="AU638" s="6">
        <v>1.29</v>
      </c>
      <c r="AV638" s="7">
        <v>1.1499999999999999</v>
      </c>
      <c r="AW638" s="6" t="s">
        <v>5</v>
      </c>
      <c r="AX638" s="6" t="s">
        <v>5</v>
      </c>
      <c r="AY638" s="6" t="s">
        <v>5</v>
      </c>
      <c r="AZ638" s="6" t="s">
        <v>5</v>
      </c>
      <c r="BA638" s="6" t="s">
        <v>5</v>
      </c>
      <c r="BB638" s="6" t="s">
        <v>5</v>
      </c>
      <c r="BC638" s="6" t="s">
        <v>5</v>
      </c>
      <c r="BD638" s="6" t="s">
        <v>5</v>
      </c>
      <c r="BE638" s="6" t="s">
        <v>5</v>
      </c>
      <c r="BF638" s="6" t="s">
        <v>5</v>
      </c>
      <c r="BG638" s="6" t="s">
        <v>5</v>
      </c>
      <c r="BH638" s="6" t="s">
        <v>5</v>
      </c>
      <c r="BI638" s="7">
        <v>1.37</v>
      </c>
      <c r="BJ638" s="22">
        <v>0.89100000000000001</v>
      </c>
      <c r="BK638" s="6" t="s">
        <v>5</v>
      </c>
      <c r="BL638" s="2" t="s">
        <v>5</v>
      </c>
      <c r="BM638" s="2" t="s">
        <v>5</v>
      </c>
      <c r="BN638" s="2" t="s">
        <v>5</v>
      </c>
      <c r="BO638" s="2" t="s">
        <v>5</v>
      </c>
      <c r="BP638" s="2" t="s">
        <v>5</v>
      </c>
      <c r="BQ638" s="2" t="s">
        <v>5</v>
      </c>
      <c r="BR638" s="2" t="s">
        <v>5</v>
      </c>
      <c r="BS638" s="2" t="s">
        <v>5</v>
      </c>
      <c r="BT638" s="2" t="s">
        <v>5</v>
      </c>
      <c r="BU638" s="2" t="s">
        <v>5</v>
      </c>
      <c r="BV638" s="2" t="s">
        <v>5</v>
      </c>
      <c r="BW638" s="2" t="s">
        <v>5</v>
      </c>
      <c r="BX638" s="2" t="s">
        <v>5</v>
      </c>
      <c r="BY638" s="25" t="s">
        <v>5</v>
      </c>
      <c r="BZ638" s="25" t="s">
        <v>5</v>
      </c>
      <c r="CA638" s="6" t="s">
        <v>5</v>
      </c>
      <c r="CB638" s="6" t="s">
        <v>5</v>
      </c>
      <c r="CC638" s="6" t="s">
        <v>5</v>
      </c>
      <c r="CD638" s="6" t="s">
        <v>5</v>
      </c>
      <c r="CE638" s="6" t="s">
        <v>5</v>
      </c>
      <c r="CF638" s="16" t="s">
        <v>5</v>
      </c>
      <c r="CG638" s="16" t="s">
        <v>5</v>
      </c>
      <c r="CH638" s="18" t="s">
        <v>5</v>
      </c>
    </row>
    <row r="639" spans="2:86">
      <c r="B639" s="78" t="s">
        <v>473</v>
      </c>
      <c r="C639" s="79" t="s">
        <v>739</v>
      </c>
      <c r="D639" s="80" t="s">
        <v>739</v>
      </c>
      <c r="E639" s="1" t="s">
        <v>4</v>
      </c>
      <c r="F639" s="7">
        <v>6.38</v>
      </c>
      <c r="G639" s="7">
        <v>1.89</v>
      </c>
      <c r="H639" s="3" t="str">
        <f t="shared" si="28"/>
        <v>2L2X2X1/4</v>
      </c>
      <c r="I639" s="7">
        <v>2</v>
      </c>
      <c r="J639" s="5" t="s">
        <v>5</v>
      </c>
      <c r="K639" s="6" t="s">
        <v>5</v>
      </c>
      <c r="L639" s="6" t="s">
        <v>5</v>
      </c>
      <c r="M639" s="6" t="s">
        <v>5</v>
      </c>
      <c r="N639" s="6" t="s">
        <v>5</v>
      </c>
      <c r="O639" s="5" t="s">
        <v>5</v>
      </c>
      <c r="P639" s="5" t="s">
        <v>5</v>
      </c>
      <c r="Q639" s="7">
        <v>2</v>
      </c>
      <c r="R639" s="6" t="s">
        <v>5</v>
      </c>
      <c r="S639" s="6" t="s">
        <v>5</v>
      </c>
      <c r="T639" s="5" t="s">
        <v>5</v>
      </c>
      <c r="U639" s="8" t="s">
        <v>5</v>
      </c>
      <c r="V639" s="6" t="s">
        <v>5</v>
      </c>
      <c r="W639" s="8" t="s">
        <v>5</v>
      </c>
      <c r="X639" s="22">
        <v>0.25</v>
      </c>
      <c r="Y639" s="6" t="s">
        <v>5</v>
      </c>
      <c r="Z639" s="6" t="s">
        <v>5</v>
      </c>
      <c r="AA639" s="6" t="s">
        <v>5</v>
      </c>
      <c r="AB639" s="8" t="s">
        <v>5</v>
      </c>
      <c r="AC639" s="8" t="s">
        <v>5</v>
      </c>
      <c r="AD639" s="6" t="s">
        <v>5</v>
      </c>
      <c r="AE639" s="22">
        <v>0.58599999999999997</v>
      </c>
      <c r="AF639" s="6" t="s">
        <v>5</v>
      </c>
      <c r="AG639" s="6" t="s">
        <v>5</v>
      </c>
      <c r="AH639" s="22">
        <v>0.23599999999999999</v>
      </c>
      <c r="AI639" s="6" t="s">
        <v>5</v>
      </c>
      <c r="AJ639" s="7">
        <v>8</v>
      </c>
      <c r="AK639" s="6" t="s">
        <v>5</v>
      </c>
      <c r="AL639" s="6" t="s">
        <v>5</v>
      </c>
      <c r="AM639" s="6" t="s">
        <v>5</v>
      </c>
      <c r="AN639" s="6" t="s">
        <v>5</v>
      </c>
      <c r="AO639" s="22">
        <v>0.69199999999999995</v>
      </c>
      <c r="AP639" s="22">
        <v>0.88</v>
      </c>
      <c r="AQ639" s="22">
        <v>0.48799999999999999</v>
      </c>
      <c r="AR639" s="22">
        <v>0.60499999999999998</v>
      </c>
      <c r="AS639" s="6">
        <v>1.34</v>
      </c>
      <c r="AT639" s="6">
        <v>1.1100000000000001</v>
      </c>
      <c r="AU639" s="22">
        <v>0.67</v>
      </c>
      <c r="AV639" s="22">
        <v>0.84199999999999997</v>
      </c>
      <c r="AW639" s="6" t="s">
        <v>5</v>
      </c>
      <c r="AX639" s="6" t="s">
        <v>5</v>
      </c>
      <c r="AY639" s="6" t="s">
        <v>5</v>
      </c>
      <c r="AZ639" s="6" t="s">
        <v>5</v>
      </c>
      <c r="BA639" s="6" t="s">
        <v>5</v>
      </c>
      <c r="BB639" s="6" t="s">
        <v>5</v>
      </c>
      <c r="BC639" s="6" t="s">
        <v>5</v>
      </c>
      <c r="BD639" s="6" t="s">
        <v>5</v>
      </c>
      <c r="BE639" s="6" t="s">
        <v>5</v>
      </c>
      <c r="BF639" s="6" t="s">
        <v>5</v>
      </c>
      <c r="BG639" s="6" t="s">
        <v>5</v>
      </c>
      <c r="BH639" s="6" t="s">
        <v>5</v>
      </c>
      <c r="BI639" s="7">
        <v>1.1299999999999999</v>
      </c>
      <c r="BJ639" s="22">
        <v>0.83499999999999996</v>
      </c>
      <c r="BK639" s="6" t="s">
        <v>5</v>
      </c>
      <c r="BL639" s="2" t="s">
        <v>5</v>
      </c>
      <c r="BM639" s="2" t="s">
        <v>5</v>
      </c>
      <c r="BN639" s="2" t="s">
        <v>5</v>
      </c>
      <c r="BO639" s="2" t="s">
        <v>5</v>
      </c>
      <c r="BP639" s="2" t="s">
        <v>5</v>
      </c>
      <c r="BQ639" s="2" t="s">
        <v>5</v>
      </c>
      <c r="BR639" s="2" t="s">
        <v>5</v>
      </c>
      <c r="BS639" s="2" t="s">
        <v>5</v>
      </c>
      <c r="BT639" s="2" t="s">
        <v>5</v>
      </c>
      <c r="BU639" s="2" t="s">
        <v>5</v>
      </c>
      <c r="BV639" s="2" t="s">
        <v>5</v>
      </c>
      <c r="BW639" s="2" t="s">
        <v>5</v>
      </c>
      <c r="BX639" s="2" t="s">
        <v>5</v>
      </c>
      <c r="BY639" s="25" t="s">
        <v>5</v>
      </c>
      <c r="BZ639" s="25" t="s">
        <v>5</v>
      </c>
      <c r="CA639" s="6" t="s">
        <v>5</v>
      </c>
      <c r="CB639" s="6" t="s">
        <v>5</v>
      </c>
      <c r="CC639" s="6" t="s">
        <v>5</v>
      </c>
      <c r="CD639" s="6" t="s">
        <v>5</v>
      </c>
      <c r="CE639" s="6" t="s">
        <v>5</v>
      </c>
      <c r="CF639" s="16" t="s">
        <v>5</v>
      </c>
      <c r="CG639" s="16" t="s">
        <v>5</v>
      </c>
      <c r="CH639" s="18" t="s">
        <v>5</v>
      </c>
    </row>
    <row r="640" spans="2:86">
      <c r="B640" s="78" t="s">
        <v>473</v>
      </c>
      <c r="C640" s="79" t="s">
        <v>740</v>
      </c>
      <c r="D640" s="80" t="s">
        <v>740</v>
      </c>
      <c r="E640" s="1" t="s">
        <v>4</v>
      </c>
      <c r="F640" s="7">
        <v>6.38</v>
      </c>
      <c r="G640" s="7">
        <v>1.89</v>
      </c>
      <c r="H640" s="3" t="str">
        <f t="shared" si="28"/>
        <v>2L2X2X1/4X3/8</v>
      </c>
      <c r="I640" s="7">
        <v>2</v>
      </c>
      <c r="J640" s="5" t="s">
        <v>5</v>
      </c>
      <c r="K640" s="6" t="s">
        <v>5</v>
      </c>
      <c r="L640" s="6" t="s">
        <v>5</v>
      </c>
      <c r="M640" s="6" t="s">
        <v>5</v>
      </c>
      <c r="N640" s="6" t="s">
        <v>5</v>
      </c>
      <c r="O640" s="5" t="s">
        <v>5</v>
      </c>
      <c r="P640" s="5" t="s">
        <v>5</v>
      </c>
      <c r="Q640" s="7">
        <v>2</v>
      </c>
      <c r="R640" s="6" t="s">
        <v>5</v>
      </c>
      <c r="S640" s="6" t="s">
        <v>5</v>
      </c>
      <c r="T640" s="5" t="s">
        <v>5</v>
      </c>
      <c r="U640" s="8" t="s">
        <v>5</v>
      </c>
      <c r="V640" s="6" t="s">
        <v>5</v>
      </c>
      <c r="W640" s="8" t="s">
        <v>5</v>
      </c>
      <c r="X640" s="22">
        <v>0.25</v>
      </c>
      <c r="Y640" s="6" t="s">
        <v>5</v>
      </c>
      <c r="Z640" s="6" t="s">
        <v>5</v>
      </c>
      <c r="AA640" s="6" t="s">
        <v>5</v>
      </c>
      <c r="AB640" s="8" t="s">
        <v>5</v>
      </c>
      <c r="AC640" s="8" t="s">
        <v>5</v>
      </c>
      <c r="AD640" s="6" t="s">
        <v>5</v>
      </c>
      <c r="AE640" s="22">
        <v>0.58599999999999997</v>
      </c>
      <c r="AF640" s="6" t="s">
        <v>5</v>
      </c>
      <c r="AG640" s="6" t="s">
        <v>5</v>
      </c>
      <c r="AH640" s="22">
        <v>0.23599999999999999</v>
      </c>
      <c r="AI640" s="6" t="s">
        <v>5</v>
      </c>
      <c r="AJ640" s="7">
        <v>8</v>
      </c>
      <c r="AK640" s="6" t="s">
        <v>5</v>
      </c>
      <c r="AL640" s="6" t="s">
        <v>5</v>
      </c>
      <c r="AM640" s="6" t="s">
        <v>5</v>
      </c>
      <c r="AN640" s="6" t="s">
        <v>5</v>
      </c>
      <c r="AO640" s="22">
        <v>0.69199999999999995</v>
      </c>
      <c r="AP640" s="22">
        <v>0.88</v>
      </c>
      <c r="AQ640" s="22">
        <v>0.48799999999999999</v>
      </c>
      <c r="AR640" s="22">
        <v>0.60499999999999998</v>
      </c>
      <c r="AS640" s="6">
        <v>1.82</v>
      </c>
      <c r="AT640" s="6">
        <v>1.46</v>
      </c>
      <c r="AU640" s="6">
        <v>0.83199999999999996</v>
      </c>
      <c r="AV640" s="22">
        <v>0.98199999999999998</v>
      </c>
      <c r="AW640" s="6" t="s">
        <v>5</v>
      </c>
      <c r="AX640" s="6" t="s">
        <v>5</v>
      </c>
      <c r="AY640" s="6" t="s">
        <v>5</v>
      </c>
      <c r="AZ640" s="6" t="s">
        <v>5</v>
      </c>
      <c r="BA640" s="6" t="s">
        <v>5</v>
      </c>
      <c r="BB640" s="6" t="s">
        <v>5</v>
      </c>
      <c r="BC640" s="6" t="s">
        <v>5</v>
      </c>
      <c r="BD640" s="6" t="s">
        <v>5</v>
      </c>
      <c r="BE640" s="6" t="s">
        <v>5</v>
      </c>
      <c r="BF640" s="6" t="s">
        <v>5</v>
      </c>
      <c r="BG640" s="6" t="s">
        <v>5</v>
      </c>
      <c r="BH640" s="6" t="s">
        <v>5</v>
      </c>
      <c r="BI640" s="7">
        <v>1.24</v>
      </c>
      <c r="BJ640" s="22">
        <v>0.86199999999999999</v>
      </c>
      <c r="BK640" s="6" t="s">
        <v>5</v>
      </c>
      <c r="BL640" s="2" t="s">
        <v>5</v>
      </c>
      <c r="BM640" s="2" t="s">
        <v>5</v>
      </c>
      <c r="BN640" s="2" t="s">
        <v>5</v>
      </c>
      <c r="BO640" s="2" t="s">
        <v>5</v>
      </c>
      <c r="BP640" s="2" t="s">
        <v>5</v>
      </c>
      <c r="BQ640" s="2" t="s">
        <v>5</v>
      </c>
      <c r="BR640" s="2" t="s">
        <v>5</v>
      </c>
      <c r="BS640" s="2" t="s">
        <v>5</v>
      </c>
      <c r="BT640" s="2" t="s">
        <v>5</v>
      </c>
      <c r="BU640" s="2" t="s">
        <v>5</v>
      </c>
      <c r="BV640" s="2" t="s">
        <v>5</v>
      </c>
      <c r="BW640" s="2" t="s">
        <v>5</v>
      </c>
      <c r="BX640" s="2" t="s">
        <v>5</v>
      </c>
      <c r="BY640" s="25" t="s">
        <v>5</v>
      </c>
      <c r="BZ640" s="25" t="s">
        <v>5</v>
      </c>
      <c r="CA640" s="6" t="s">
        <v>5</v>
      </c>
      <c r="CB640" s="6" t="s">
        <v>5</v>
      </c>
      <c r="CC640" s="6" t="s">
        <v>5</v>
      </c>
      <c r="CD640" s="6" t="s">
        <v>5</v>
      </c>
      <c r="CE640" s="6" t="s">
        <v>5</v>
      </c>
      <c r="CF640" s="16" t="s">
        <v>5</v>
      </c>
      <c r="CG640" s="16" t="s">
        <v>5</v>
      </c>
      <c r="CH640" s="18" t="s">
        <v>5</v>
      </c>
    </row>
    <row r="641" spans="2:86">
      <c r="B641" s="78" t="s">
        <v>473</v>
      </c>
      <c r="C641" s="79" t="s">
        <v>741</v>
      </c>
      <c r="D641" s="80" t="s">
        <v>741</v>
      </c>
      <c r="E641" s="1" t="s">
        <v>4</v>
      </c>
      <c r="F641" s="7">
        <v>6.38</v>
      </c>
      <c r="G641" s="7">
        <v>1.89</v>
      </c>
      <c r="H641" s="3" t="str">
        <f t="shared" si="28"/>
        <v>2L2X2X1/4X3/4</v>
      </c>
      <c r="I641" s="7">
        <v>2</v>
      </c>
      <c r="J641" s="5" t="s">
        <v>5</v>
      </c>
      <c r="K641" s="6" t="s">
        <v>5</v>
      </c>
      <c r="L641" s="6" t="s">
        <v>5</v>
      </c>
      <c r="M641" s="6" t="s">
        <v>5</v>
      </c>
      <c r="N641" s="6" t="s">
        <v>5</v>
      </c>
      <c r="O641" s="5" t="s">
        <v>5</v>
      </c>
      <c r="P641" s="5" t="s">
        <v>5</v>
      </c>
      <c r="Q641" s="7">
        <v>2</v>
      </c>
      <c r="R641" s="6" t="s">
        <v>5</v>
      </c>
      <c r="S641" s="6" t="s">
        <v>5</v>
      </c>
      <c r="T641" s="5" t="s">
        <v>5</v>
      </c>
      <c r="U641" s="8" t="s">
        <v>5</v>
      </c>
      <c r="V641" s="6" t="s">
        <v>5</v>
      </c>
      <c r="W641" s="8" t="s">
        <v>5</v>
      </c>
      <c r="X641" s="22">
        <v>0.25</v>
      </c>
      <c r="Y641" s="6" t="s">
        <v>5</v>
      </c>
      <c r="Z641" s="6" t="s">
        <v>5</v>
      </c>
      <c r="AA641" s="6" t="s">
        <v>5</v>
      </c>
      <c r="AB641" s="8" t="s">
        <v>5</v>
      </c>
      <c r="AC641" s="8" t="s">
        <v>5</v>
      </c>
      <c r="AD641" s="6" t="s">
        <v>5</v>
      </c>
      <c r="AE641" s="22">
        <v>0.58599999999999997</v>
      </c>
      <c r="AF641" s="6" t="s">
        <v>5</v>
      </c>
      <c r="AG641" s="6" t="s">
        <v>5</v>
      </c>
      <c r="AH641" s="22">
        <v>0.23599999999999999</v>
      </c>
      <c r="AI641" s="6" t="s">
        <v>5</v>
      </c>
      <c r="AJ641" s="7">
        <v>8</v>
      </c>
      <c r="AK641" s="6" t="s">
        <v>5</v>
      </c>
      <c r="AL641" s="6" t="s">
        <v>5</v>
      </c>
      <c r="AM641" s="6" t="s">
        <v>5</v>
      </c>
      <c r="AN641" s="6" t="s">
        <v>5</v>
      </c>
      <c r="AO641" s="22">
        <v>0.69199999999999995</v>
      </c>
      <c r="AP641" s="22">
        <v>0.88</v>
      </c>
      <c r="AQ641" s="22">
        <v>0.48799999999999999</v>
      </c>
      <c r="AR641" s="22">
        <v>0.60499999999999998</v>
      </c>
      <c r="AS641" s="6">
        <v>2.46</v>
      </c>
      <c r="AT641" s="6">
        <v>1.81</v>
      </c>
      <c r="AU641" s="6">
        <v>1.04</v>
      </c>
      <c r="AV641" s="7">
        <v>1.1399999999999999</v>
      </c>
      <c r="AW641" s="6" t="s">
        <v>5</v>
      </c>
      <c r="AX641" s="6" t="s">
        <v>5</v>
      </c>
      <c r="AY641" s="6" t="s">
        <v>5</v>
      </c>
      <c r="AZ641" s="6" t="s">
        <v>5</v>
      </c>
      <c r="BA641" s="6" t="s">
        <v>5</v>
      </c>
      <c r="BB641" s="6" t="s">
        <v>5</v>
      </c>
      <c r="BC641" s="6" t="s">
        <v>5</v>
      </c>
      <c r="BD641" s="6" t="s">
        <v>5</v>
      </c>
      <c r="BE641" s="6" t="s">
        <v>5</v>
      </c>
      <c r="BF641" s="6" t="s">
        <v>5</v>
      </c>
      <c r="BG641" s="6" t="s">
        <v>5</v>
      </c>
      <c r="BH641" s="6" t="s">
        <v>5</v>
      </c>
      <c r="BI641" s="7">
        <v>1.37</v>
      </c>
      <c r="BJ641" s="22">
        <v>0.88600000000000001</v>
      </c>
      <c r="BK641" s="6" t="s">
        <v>5</v>
      </c>
      <c r="BL641" s="2" t="s">
        <v>5</v>
      </c>
      <c r="BM641" s="2" t="s">
        <v>5</v>
      </c>
      <c r="BN641" s="2" t="s">
        <v>5</v>
      </c>
      <c r="BO641" s="2" t="s">
        <v>5</v>
      </c>
      <c r="BP641" s="2" t="s">
        <v>5</v>
      </c>
      <c r="BQ641" s="2" t="s">
        <v>5</v>
      </c>
      <c r="BR641" s="2" t="s">
        <v>5</v>
      </c>
      <c r="BS641" s="2" t="s">
        <v>5</v>
      </c>
      <c r="BT641" s="2" t="s">
        <v>5</v>
      </c>
      <c r="BU641" s="2" t="s">
        <v>5</v>
      </c>
      <c r="BV641" s="2" t="s">
        <v>5</v>
      </c>
      <c r="BW641" s="2" t="s">
        <v>5</v>
      </c>
      <c r="BX641" s="2" t="s">
        <v>5</v>
      </c>
      <c r="BY641" s="25" t="s">
        <v>5</v>
      </c>
      <c r="BZ641" s="25" t="s">
        <v>5</v>
      </c>
      <c r="CA641" s="6" t="s">
        <v>5</v>
      </c>
      <c r="CB641" s="6" t="s">
        <v>5</v>
      </c>
      <c r="CC641" s="6" t="s">
        <v>5</v>
      </c>
      <c r="CD641" s="6" t="s">
        <v>5</v>
      </c>
      <c r="CE641" s="6" t="s">
        <v>5</v>
      </c>
      <c r="CF641" s="16" t="s">
        <v>5</v>
      </c>
      <c r="CG641" s="16" t="s">
        <v>5</v>
      </c>
      <c r="CH641" s="18" t="s">
        <v>5</v>
      </c>
    </row>
    <row r="642" spans="2:86">
      <c r="B642" s="78" t="s">
        <v>473</v>
      </c>
      <c r="C642" s="79" t="s">
        <v>742</v>
      </c>
      <c r="D642" s="80" t="s">
        <v>742</v>
      </c>
      <c r="E642" s="1" t="s">
        <v>4</v>
      </c>
      <c r="F642" s="7">
        <v>4.88</v>
      </c>
      <c r="G642" s="7">
        <v>1.44</v>
      </c>
      <c r="H642" s="3" t="str">
        <f t="shared" si="28"/>
        <v>2L2X2X3/16</v>
      </c>
      <c r="I642" s="7">
        <v>2</v>
      </c>
      <c r="J642" s="5" t="s">
        <v>5</v>
      </c>
      <c r="K642" s="6" t="s">
        <v>5</v>
      </c>
      <c r="L642" s="6" t="s">
        <v>5</v>
      </c>
      <c r="M642" s="6" t="s">
        <v>5</v>
      </c>
      <c r="N642" s="6" t="s">
        <v>5</v>
      </c>
      <c r="O642" s="5" t="s">
        <v>5</v>
      </c>
      <c r="P642" s="5" t="s">
        <v>5</v>
      </c>
      <c r="Q642" s="7">
        <v>2</v>
      </c>
      <c r="R642" s="6" t="s">
        <v>5</v>
      </c>
      <c r="S642" s="6" t="s">
        <v>5</v>
      </c>
      <c r="T642" s="5" t="s">
        <v>5</v>
      </c>
      <c r="U642" s="8" t="s">
        <v>5</v>
      </c>
      <c r="V642" s="6" t="s">
        <v>5</v>
      </c>
      <c r="W642" s="8" t="s">
        <v>5</v>
      </c>
      <c r="X642" s="22">
        <v>0.188</v>
      </c>
      <c r="Y642" s="6" t="s">
        <v>5</v>
      </c>
      <c r="Z642" s="6" t="s">
        <v>5</v>
      </c>
      <c r="AA642" s="6" t="s">
        <v>5</v>
      </c>
      <c r="AB642" s="8" t="s">
        <v>5</v>
      </c>
      <c r="AC642" s="8" t="s">
        <v>5</v>
      </c>
      <c r="AD642" s="6" t="s">
        <v>5</v>
      </c>
      <c r="AE642" s="22">
        <v>0.56100000000000005</v>
      </c>
      <c r="AF642" s="6" t="s">
        <v>5</v>
      </c>
      <c r="AG642" s="6" t="s">
        <v>5</v>
      </c>
      <c r="AH642" s="22">
        <v>0.18099999999999999</v>
      </c>
      <c r="AI642" s="6" t="s">
        <v>5</v>
      </c>
      <c r="AJ642" s="4">
        <v>10.6</v>
      </c>
      <c r="AK642" s="6" t="s">
        <v>5</v>
      </c>
      <c r="AL642" s="6" t="s">
        <v>5</v>
      </c>
      <c r="AM642" s="6" t="s">
        <v>5</v>
      </c>
      <c r="AN642" s="6" t="s">
        <v>5</v>
      </c>
      <c r="AO642" s="22">
        <v>0.54200000000000004</v>
      </c>
      <c r="AP642" s="22">
        <v>0.67600000000000005</v>
      </c>
      <c r="AQ642" s="22">
        <v>0.376</v>
      </c>
      <c r="AR642" s="22">
        <v>0.61199999999999999</v>
      </c>
      <c r="AS642" s="6">
        <v>0.99399999999999999</v>
      </c>
      <c r="AT642" s="22">
        <v>0.81</v>
      </c>
      <c r="AU642" s="6">
        <v>0.497</v>
      </c>
      <c r="AV642" s="22">
        <v>0.83100000000000007</v>
      </c>
      <c r="AW642" s="6" t="s">
        <v>5</v>
      </c>
      <c r="AX642" s="6" t="s">
        <v>5</v>
      </c>
      <c r="AY642" s="6" t="s">
        <v>5</v>
      </c>
      <c r="AZ642" s="6" t="s">
        <v>5</v>
      </c>
      <c r="BA642" s="6" t="s">
        <v>5</v>
      </c>
      <c r="BB642" s="6" t="s">
        <v>5</v>
      </c>
      <c r="BC642" s="6" t="s">
        <v>5</v>
      </c>
      <c r="BD642" s="6" t="s">
        <v>5</v>
      </c>
      <c r="BE642" s="6" t="s">
        <v>5</v>
      </c>
      <c r="BF642" s="6" t="s">
        <v>5</v>
      </c>
      <c r="BG642" s="6" t="s">
        <v>5</v>
      </c>
      <c r="BH642" s="6" t="s">
        <v>5</v>
      </c>
      <c r="BI642" s="7">
        <v>1.1299999999999999</v>
      </c>
      <c r="BJ642" s="22">
        <v>0.83</v>
      </c>
      <c r="BK642" s="6" t="s">
        <v>5</v>
      </c>
      <c r="BL642" s="2" t="s">
        <v>5</v>
      </c>
      <c r="BM642" s="2" t="s">
        <v>5</v>
      </c>
      <c r="BN642" s="2" t="s">
        <v>5</v>
      </c>
      <c r="BO642" s="2" t="s">
        <v>5</v>
      </c>
      <c r="BP642" s="2" t="s">
        <v>5</v>
      </c>
      <c r="BQ642" s="2" t="s">
        <v>5</v>
      </c>
      <c r="BR642" s="2" t="s">
        <v>5</v>
      </c>
      <c r="BS642" s="2" t="s">
        <v>5</v>
      </c>
      <c r="BT642" s="2" t="s">
        <v>5</v>
      </c>
      <c r="BU642" s="2" t="s">
        <v>5</v>
      </c>
      <c r="BV642" s="2" t="s">
        <v>5</v>
      </c>
      <c r="BW642" s="2" t="s">
        <v>5</v>
      </c>
      <c r="BX642" s="2" t="s">
        <v>5</v>
      </c>
      <c r="BY642" s="25" t="s">
        <v>5</v>
      </c>
      <c r="BZ642" s="25" t="s">
        <v>5</v>
      </c>
      <c r="CA642" s="6" t="s">
        <v>5</v>
      </c>
      <c r="CB642" s="6" t="s">
        <v>5</v>
      </c>
      <c r="CC642" s="6" t="s">
        <v>5</v>
      </c>
      <c r="CD642" s="6" t="s">
        <v>5</v>
      </c>
      <c r="CE642" s="6" t="s">
        <v>5</v>
      </c>
      <c r="CF642" s="16" t="s">
        <v>5</v>
      </c>
      <c r="CG642" s="16" t="s">
        <v>5</v>
      </c>
      <c r="CH642" s="18" t="s">
        <v>5</v>
      </c>
    </row>
    <row r="643" spans="2:86">
      <c r="B643" s="78" t="s">
        <v>473</v>
      </c>
      <c r="C643" s="79" t="s">
        <v>743</v>
      </c>
      <c r="D643" s="80" t="s">
        <v>743</v>
      </c>
      <c r="E643" s="1" t="s">
        <v>4</v>
      </c>
      <c r="F643" s="7">
        <v>4.88</v>
      </c>
      <c r="G643" s="7">
        <v>1.44</v>
      </c>
      <c r="H643" s="3" t="str">
        <f t="shared" si="28"/>
        <v>2L2X2X3/16X3/8</v>
      </c>
      <c r="I643" s="7">
        <v>2</v>
      </c>
      <c r="J643" s="5" t="s">
        <v>5</v>
      </c>
      <c r="K643" s="6" t="s">
        <v>5</v>
      </c>
      <c r="L643" s="6" t="s">
        <v>5</v>
      </c>
      <c r="M643" s="6" t="s">
        <v>5</v>
      </c>
      <c r="N643" s="6" t="s">
        <v>5</v>
      </c>
      <c r="O643" s="5" t="s">
        <v>5</v>
      </c>
      <c r="P643" s="5" t="s">
        <v>5</v>
      </c>
      <c r="Q643" s="7">
        <v>2</v>
      </c>
      <c r="R643" s="6" t="s">
        <v>5</v>
      </c>
      <c r="S643" s="6" t="s">
        <v>5</v>
      </c>
      <c r="T643" s="5" t="s">
        <v>5</v>
      </c>
      <c r="U643" s="8" t="s">
        <v>5</v>
      </c>
      <c r="V643" s="6" t="s">
        <v>5</v>
      </c>
      <c r="W643" s="8" t="s">
        <v>5</v>
      </c>
      <c r="X643" s="22">
        <v>0.188</v>
      </c>
      <c r="Y643" s="6" t="s">
        <v>5</v>
      </c>
      <c r="Z643" s="6" t="s">
        <v>5</v>
      </c>
      <c r="AA643" s="6" t="s">
        <v>5</v>
      </c>
      <c r="AB643" s="8" t="s">
        <v>5</v>
      </c>
      <c r="AC643" s="8" t="s">
        <v>5</v>
      </c>
      <c r="AD643" s="6" t="s">
        <v>5</v>
      </c>
      <c r="AE643" s="22">
        <v>0.56100000000000005</v>
      </c>
      <c r="AF643" s="6" t="s">
        <v>5</v>
      </c>
      <c r="AG643" s="6" t="s">
        <v>5</v>
      </c>
      <c r="AH643" s="22">
        <v>0.18099999999999999</v>
      </c>
      <c r="AI643" s="6" t="s">
        <v>5</v>
      </c>
      <c r="AJ643" s="4">
        <v>10.6</v>
      </c>
      <c r="AK643" s="6" t="s">
        <v>5</v>
      </c>
      <c r="AL643" s="6" t="s">
        <v>5</v>
      </c>
      <c r="AM643" s="6" t="s">
        <v>5</v>
      </c>
      <c r="AN643" s="6" t="s">
        <v>5</v>
      </c>
      <c r="AO643" s="22">
        <v>0.54200000000000004</v>
      </c>
      <c r="AP643" s="22">
        <v>0.67600000000000005</v>
      </c>
      <c r="AQ643" s="22">
        <v>0.376</v>
      </c>
      <c r="AR643" s="22">
        <v>0.61199999999999999</v>
      </c>
      <c r="AS643" s="6">
        <v>1.35</v>
      </c>
      <c r="AT643" s="6">
        <v>1.08</v>
      </c>
      <c r="AU643" s="6">
        <v>0.61699999999999999</v>
      </c>
      <c r="AV643" s="22">
        <v>0.96699999999999997</v>
      </c>
      <c r="AW643" s="6" t="s">
        <v>5</v>
      </c>
      <c r="AX643" s="6" t="s">
        <v>5</v>
      </c>
      <c r="AY643" s="6" t="s">
        <v>5</v>
      </c>
      <c r="AZ643" s="6" t="s">
        <v>5</v>
      </c>
      <c r="BA643" s="6" t="s">
        <v>5</v>
      </c>
      <c r="BB643" s="6" t="s">
        <v>5</v>
      </c>
      <c r="BC643" s="6" t="s">
        <v>5</v>
      </c>
      <c r="BD643" s="6" t="s">
        <v>5</v>
      </c>
      <c r="BE643" s="6" t="s">
        <v>5</v>
      </c>
      <c r="BF643" s="6" t="s">
        <v>5</v>
      </c>
      <c r="BG643" s="6" t="s">
        <v>5</v>
      </c>
      <c r="BH643" s="6" t="s">
        <v>5</v>
      </c>
      <c r="BI643" s="7">
        <v>1.24</v>
      </c>
      <c r="BJ643" s="22">
        <v>0.85699999999999998</v>
      </c>
      <c r="BK643" s="6" t="s">
        <v>5</v>
      </c>
      <c r="BL643" s="2" t="s">
        <v>5</v>
      </c>
      <c r="BM643" s="2" t="s">
        <v>5</v>
      </c>
      <c r="BN643" s="2" t="s">
        <v>5</v>
      </c>
      <c r="BO643" s="2" t="s">
        <v>5</v>
      </c>
      <c r="BP643" s="2" t="s">
        <v>5</v>
      </c>
      <c r="BQ643" s="2" t="s">
        <v>5</v>
      </c>
      <c r="BR643" s="2" t="s">
        <v>5</v>
      </c>
      <c r="BS643" s="2" t="s">
        <v>5</v>
      </c>
      <c r="BT643" s="2" t="s">
        <v>5</v>
      </c>
      <c r="BU643" s="2" t="s">
        <v>5</v>
      </c>
      <c r="BV643" s="2" t="s">
        <v>5</v>
      </c>
      <c r="BW643" s="2" t="s">
        <v>5</v>
      </c>
      <c r="BX643" s="2" t="s">
        <v>5</v>
      </c>
      <c r="BY643" s="25" t="s">
        <v>5</v>
      </c>
      <c r="BZ643" s="25" t="s">
        <v>5</v>
      </c>
      <c r="CA643" s="6" t="s">
        <v>5</v>
      </c>
      <c r="CB643" s="6" t="s">
        <v>5</v>
      </c>
      <c r="CC643" s="6" t="s">
        <v>5</v>
      </c>
      <c r="CD643" s="6" t="s">
        <v>5</v>
      </c>
      <c r="CE643" s="6" t="s">
        <v>5</v>
      </c>
      <c r="CF643" s="16" t="s">
        <v>5</v>
      </c>
      <c r="CG643" s="16" t="s">
        <v>5</v>
      </c>
      <c r="CH643" s="18" t="s">
        <v>5</v>
      </c>
    </row>
    <row r="644" spans="2:86">
      <c r="B644" s="78" t="s">
        <v>473</v>
      </c>
      <c r="C644" s="79" t="s">
        <v>744</v>
      </c>
      <c r="D644" s="80" t="s">
        <v>744</v>
      </c>
      <c r="E644" s="1" t="s">
        <v>4</v>
      </c>
      <c r="F644" s="7">
        <v>4.88</v>
      </c>
      <c r="G644" s="7">
        <v>1.44</v>
      </c>
      <c r="H644" s="3" t="str">
        <f t="shared" ref="H644:H707" si="29">D644</f>
        <v>2L2X2X3/16X3/4</v>
      </c>
      <c r="I644" s="7">
        <v>2</v>
      </c>
      <c r="J644" s="5" t="s">
        <v>5</v>
      </c>
      <c r="K644" s="6" t="s">
        <v>5</v>
      </c>
      <c r="L644" s="6" t="s">
        <v>5</v>
      </c>
      <c r="M644" s="6" t="s">
        <v>5</v>
      </c>
      <c r="N644" s="6" t="s">
        <v>5</v>
      </c>
      <c r="O644" s="5" t="s">
        <v>5</v>
      </c>
      <c r="P644" s="5" t="s">
        <v>5</v>
      </c>
      <c r="Q644" s="7">
        <v>2</v>
      </c>
      <c r="R644" s="6" t="s">
        <v>5</v>
      </c>
      <c r="S644" s="6" t="s">
        <v>5</v>
      </c>
      <c r="T644" s="5" t="s">
        <v>5</v>
      </c>
      <c r="U644" s="8" t="s">
        <v>5</v>
      </c>
      <c r="V644" s="6" t="s">
        <v>5</v>
      </c>
      <c r="W644" s="8" t="s">
        <v>5</v>
      </c>
      <c r="X644" s="22">
        <v>0.188</v>
      </c>
      <c r="Y644" s="6" t="s">
        <v>5</v>
      </c>
      <c r="Z644" s="6" t="s">
        <v>5</v>
      </c>
      <c r="AA644" s="6" t="s">
        <v>5</v>
      </c>
      <c r="AB644" s="8" t="s">
        <v>5</v>
      </c>
      <c r="AC644" s="8" t="s">
        <v>5</v>
      </c>
      <c r="AD644" s="6" t="s">
        <v>5</v>
      </c>
      <c r="AE644" s="22">
        <v>0.56100000000000005</v>
      </c>
      <c r="AF644" s="6" t="s">
        <v>5</v>
      </c>
      <c r="AG644" s="6" t="s">
        <v>5</v>
      </c>
      <c r="AH644" s="22">
        <v>0.18099999999999999</v>
      </c>
      <c r="AI644" s="6" t="s">
        <v>5</v>
      </c>
      <c r="AJ644" s="4">
        <v>10.6</v>
      </c>
      <c r="AK644" s="6" t="s">
        <v>5</v>
      </c>
      <c r="AL644" s="6" t="s">
        <v>5</v>
      </c>
      <c r="AM644" s="6" t="s">
        <v>5</v>
      </c>
      <c r="AN644" s="6" t="s">
        <v>5</v>
      </c>
      <c r="AO644" s="22">
        <v>0.54200000000000004</v>
      </c>
      <c r="AP644" s="22">
        <v>0.67600000000000005</v>
      </c>
      <c r="AQ644" s="22">
        <v>0.376</v>
      </c>
      <c r="AR644" s="22">
        <v>0.61199999999999999</v>
      </c>
      <c r="AS644" s="6">
        <v>1.81</v>
      </c>
      <c r="AT644" s="6">
        <v>1.35</v>
      </c>
      <c r="AU644" s="6">
        <v>0.76200000000000001</v>
      </c>
      <c r="AV644" s="7">
        <v>1.1200000000000001</v>
      </c>
      <c r="AW644" s="6" t="s">
        <v>5</v>
      </c>
      <c r="AX644" s="6" t="s">
        <v>5</v>
      </c>
      <c r="AY644" s="6" t="s">
        <v>5</v>
      </c>
      <c r="AZ644" s="6" t="s">
        <v>5</v>
      </c>
      <c r="BA644" s="6" t="s">
        <v>5</v>
      </c>
      <c r="BB644" s="6" t="s">
        <v>5</v>
      </c>
      <c r="BC644" s="6" t="s">
        <v>5</v>
      </c>
      <c r="BD644" s="6" t="s">
        <v>5</v>
      </c>
      <c r="BE644" s="6" t="s">
        <v>5</v>
      </c>
      <c r="BF644" s="6" t="s">
        <v>5</v>
      </c>
      <c r="BG644" s="6" t="s">
        <v>5</v>
      </c>
      <c r="BH644" s="6" t="s">
        <v>5</v>
      </c>
      <c r="BI644" s="7">
        <v>1.36</v>
      </c>
      <c r="BJ644" s="22">
        <v>0.88200000000000001</v>
      </c>
      <c r="BK644" s="6" t="s">
        <v>5</v>
      </c>
      <c r="BL644" s="2" t="s">
        <v>5</v>
      </c>
      <c r="BM644" s="2" t="s">
        <v>5</v>
      </c>
      <c r="BN644" s="2" t="s">
        <v>5</v>
      </c>
      <c r="BO644" s="2" t="s">
        <v>5</v>
      </c>
      <c r="BP644" s="2" t="s">
        <v>5</v>
      </c>
      <c r="BQ644" s="2" t="s">
        <v>5</v>
      </c>
      <c r="BR644" s="2" t="s">
        <v>5</v>
      </c>
      <c r="BS644" s="2" t="s">
        <v>5</v>
      </c>
      <c r="BT644" s="2" t="s">
        <v>5</v>
      </c>
      <c r="BU644" s="2" t="s">
        <v>5</v>
      </c>
      <c r="BV644" s="2" t="s">
        <v>5</v>
      </c>
      <c r="BW644" s="2" t="s">
        <v>5</v>
      </c>
      <c r="BX644" s="2" t="s">
        <v>5</v>
      </c>
      <c r="BY644" s="25" t="s">
        <v>5</v>
      </c>
      <c r="BZ644" s="25" t="s">
        <v>5</v>
      </c>
      <c r="CA644" s="6" t="s">
        <v>5</v>
      </c>
      <c r="CB644" s="6" t="s">
        <v>5</v>
      </c>
      <c r="CC644" s="6" t="s">
        <v>5</v>
      </c>
      <c r="CD644" s="6" t="s">
        <v>5</v>
      </c>
      <c r="CE644" s="6" t="s">
        <v>5</v>
      </c>
      <c r="CF644" s="16" t="s">
        <v>5</v>
      </c>
      <c r="CG644" s="16" t="s">
        <v>5</v>
      </c>
      <c r="CH644" s="18" t="s">
        <v>5</v>
      </c>
    </row>
    <row r="645" spans="2:86">
      <c r="B645" s="78" t="s">
        <v>473</v>
      </c>
      <c r="C645" s="79" t="s">
        <v>745</v>
      </c>
      <c r="D645" s="80" t="s">
        <v>745</v>
      </c>
      <c r="E645" s="1" t="s">
        <v>4</v>
      </c>
      <c r="F645" s="7">
        <v>3.3</v>
      </c>
      <c r="G645" s="22">
        <v>0.98199999999999998</v>
      </c>
      <c r="H645" s="3" t="str">
        <f t="shared" si="29"/>
        <v>2L2X2X1/8</v>
      </c>
      <c r="I645" s="7">
        <v>2</v>
      </c>
      <c r="J645" s="5" t="s">
        <v>5</v>
      </c>
      <c r="K645" s="6" t="s">
        <v>5</v>
      </c>
      <c r="L645" s="6" t="s">
        <v>5</v>
      </c>
      <c r="M645" s="6" t="s">
        <v>5</v>
      </c>
      <c r="N645" s="6" t="s">
        <v>5</v>
      </c>
      <c r="O645" s="5" t="s">
        <v>5</v>
      </c>
      <c r="P645" s="5" t="s">
        <v>5</v>
      </c>
      <c r="Q645" s="7">
        <v>2</v>
      </c>
      <c r="R645" s="6" t="s">
        <v>5</v>
      </c>
      <c r="S645" s="6" t="s">
        <v>5</v>
      </c>
      <c r="T645" s="5" t="s">
        <v>5</v>
      </c>
      <c r="U645" s="8" t="s">
        <v>5</v>
      </c>
      <c r="V645" s="6" t="s">
        <v>5</v>
      </c>
      <c r="W645" s="8" t="s">
        <v>5</v>
      </c>
      <c r="X645" s="22">
        <v>0.125</v>
      </c>
      <c r="Y645" s="6" t="s">
        <v>5</v>
      </c>
      <c r="Z645" s="6" t="s">
        <v>5</v>
      </c>
      <c r="AA645" s="6" t="s">
        <v>5</v>
      </c>
      <c r="AB645" s="8" t="s">
        <v>5</v>
      </c>
      <c r="AC645" s="8" t="s">
        <v>5</v>
      </c>
      <c r="AD645" s="6" t="s">
        <v>5</v>
      </c>
      <c r="AE645" s="22">
        <v>0.53400000000000003</v>
      </c>
      <c r="AF645" s="6" t="s">
        <v>5</v>
      </c>
      <c r="AG645" s="6" t="s">
        <v>5</v>
      </c>
      <c r="AH645" s="22">
        <v>0.123</v>
      </c>
      <c r="AI645" s="6" t="s">
        <v>5</v>
      </c>
      <c r="AJ645" s="4">
        <v>16</v>
      </c>
      <c r="AK645" s="6" t="s">
        <v>5</v>
      </c>
      <c r="AL645" s="6" t="s">
        <v>5</v>
      </c>
      <c r="AM645" s="6" t="s">
        <v>5</v>
      </c>
      <c r="AN645" s="6" t="s">
        <v>5</v>
      </c>
      <c r="AO645" s="22">
        <v>0.378</v>
      </c>
      <c r="AP645" s="22">
        <v>0.46</v>
      </c>
      <c r="AQ645" s="22">
        <v>0.25800000000000001</v>
      </c>
      <c r="AR645" s="22">
        <v>0.62</v>
      </c>
      <c r="AS645" s="6">
        <v>0.65700000000000003</v>
      </c>
      <c r="AT645" s="6">
        <v>0.52400000000000002</v>
      </c>
      <c r="AU645" s="6">
        <v>0.32800000000000001</v>
      </c>
      <c r="AV645" s="22">
        <v>0.81800000000000006</v>
      </c>
      <c r="AW645" s="6" t="s">
        <v>5</v>
      </c>
      <c r="AX645" s="6" t="s">
        <v>5</v>
      </c>
      <c r="AY645" s="6" t="s">
        <v>5</v>
      </c>
      <c r="AZ645" s="6" t="s">
        <v>5</v>
      </c>
      <c r="BA645" s="6" t="s">
        <v>5</v>
      </c>
      <c r="BB645" s="6" t="s">
        <v>5</v>
      </c>
      <c r="BC645" s="6" t="s">
        <v>5</v>
      </c>
      <c r="BD645" s="6" t="s">
        <v>5</v>
      </c>
      <c r="BE645" s="6" t="s">
        <v>5</v>
      </c>
      <c r="BF645" s="6" t="s">
        <v>5</v>
      </c>
      <c r="BG645" s="6" t="s">
        <v>5</v>
      </c>
      <c r="BH645" s="6" t="s">
        <v>5</v>
      </c>
      <c r="BI645" s="7">
        <v>1.1299999999999999</v>
      </c>
      <c r="BJ645" s="22">
        <v>0.82599999999999996</v>
      </c>
      <c r="BK645" s="6" t="s">
        <v>5</v>
      </c>
      <c r="BL645" s="2" t="s">
        <v>5</v>
      </c>
      <c r="BM645" s="2" t="s">
        <v>5</v>
      </c>
      <c r="BN645" s="2" t="s">
        <v>5</v>
      </c>
      <c r="BO645" s="2" t="s">
        <v>5</v>
      </c>
      <c r="BP645" s="2" t="s">
        <v>5</v>
      </c>
      <c r="BQ645" s="2" t="s">
        <v>5</v>
      </c>
      <c r="BR645" s="2" t="s">
        <v>5</v>
      </c>
      <c r="BS645" s="2" t="s">
        <v>5</v>
      </c>
      <c r="BT645" s="2" t="s">
        <v>5</v>
      </c>
      <c r="BU645" s="2" t="s">
        <v>5</v>
      </c>
      <c r="BV645" s="2" t="s">
        <v>5</v>
      </c>
      <c r="BW645" s="2" t="s">
        <v>5</v>
      </c>
      <c r="BX645" s="2" t="s">
        <v>5</v>
      </c>
      <c r="BY645" s="25" t="s">
        <v>5</v>
      </c>
      <c r="BZ645" s="25" t="s">
        <v>5</v>
      </c>
      <c r="CA645" s="6" t="s">
        <v>5</v>
      </c>
      <c r="CB645" s="6" t="s">
        <v>5</v>
      </c>
      <c r="CC645" s="6" t="s">
        <v>5</v>
      </c>
      <c r="CD645" s="6" t="s">
        <v>5</v>
      </c>
      <c r="CE645" s="6" t="s">
        <v>5</v>
      </c>
      <c r="CF645" s="16" t="s">
        <v>5</v>
      </c>
      <c r="CG645" s="16" t="s">
        <v>5</v>
      </c>
      <c r="CH645" s="18" t="s">
        <v>5</v>
      </c>
    </row>
    <row r="646" spans="2:86">
      <c r="B646" s="78" t="s">
        <v>473</v>
      </c>
      <c r="C646" s="79" t="s">
        <v>746</v>
      </c>
      <c r="D646" s="80" t="s">
        <v>746</v>
      </c>
      <c r="E646" s="1" t="s">
        <v>4</v>
      </c>
      <c r="F646" s="7">
        <v>3.3</v>
      </c>
      <c r="G646" s="22">
        <v>0.98199999999999998</v>
      </c>
      <c r="H646" s="3" t="str">
        <f t="shared" si="29"/>
        <v>2L2X2X1/8X3/8</v>
      </c>
      <c r="I646" s="7">
        <v>2</v>
      </c>
      <c r="J646" s="5" t="s">
        <v>5</v>
      </c>
      <c r="K646" s="6" t="s">
        <v>5</v>
      </c>
      <c r="L646" s="6" t="s">
        <v>5</v>
      </c>
      <c r="M646" s="6" t="s">
        <v>5</v>
      </c>
      <c r="N646" s="6" t="s">
        <v>5</v>
      </c>
      <c r="O646" s="5" t="s">
        <v>5</v>
      </c>
      <c r="P646" s="5" t="s">
        <v>5</v>
      </c>
      <c r="Q646" s="7">
        <v>2</v>
      </c>
      <c r="R646" s="6" t="s">
        <v>5</v>
      </c>
      <c r="S646" s="6" t="s">
        <v>5</v>
      </c>
      <c r="T646" s="5" t="s">
        <v>5</v>
      </c>
      <c r="U646" s="8" t="s">
        <v>5</v>
      </c>
      <c r="V646" s="6" t="s">
        <v>5</v>
      </c>
      <c r="W646" s="8" t="s">
        <v>5</v>
      </c>
      <c r="X646" s="22">
        <v>0.125</v>
      </c>
      <c r="Y646" s="6" t="s">
        <v>5</v>
      </c>
      <c r="Z646" s="6" t="s">
        <v>5</v>
      </c>
      <c r="AA646" s="6" t="s">
        <v>5</v>
      </c>
      <c r="AB646" s="8" t="s">
        <v>5</v>
      </c>
      <c r="AC646" s="8" t="s">
        <v>5</v>
      </c>
      <c r="AD646" s="6" t="s">
        <v>5</v>
      </c>
      <c r="AE646" s="22">
        <v>0.53400000000000003</v>
      </c>
      <c r="AF646" s="6" t="s">
        <v>5</v>
      </c>
      <c r="AG646" s="6" t="s">
        <v>5</v>
      </c>
      <c r="AH646" s="22">
        <v>0.123</v>
      </c>
      <c r="AI646" s="6" t="s">
        <v>5</v>
      </c>
      <c r="AJ646" s="4">
        <v>16</v>
      </c>
      <c r="AK646" s="6" t="s">
        <v>5</v>
      </c>
      <c r="AL646" s="6" t="s">
        <v>5</v>
      </c>
      <c r="AM646" s="6" t="s">
        <v>5</v>
      </c>
      <c r="AN646" s="6" t="s">
        <v>5</v>
      </c>
      <c r="AO646" s="22">
        <v>0.378</v>
      </c>
      <c r="AP646" s="22">
        <v>0.46</v>
      </c>
      <c r="AQ646" s="22">
        <v>0.25800000000000001</v>
      </c>
      <c r="AR646" s="22">
        <v>0.62</v>
      </c>
      <c r="AS646" s="6">
        <v>0.88800000000000001</v>
      </c>
      <c r="AT646" s="6">
        <v>0.70899999999999996</v>
      </c>
      <c r="AU646" s="6">
        <v>0.40600000000000003</v>
      </c>
      <c r="AV646" s="22">
        <v>0.95100000000000007</v>
      </c>
      <c r="AW646" s="6" t="s">
        <v>5</v>
      </c>
      <c r="AX646" s="6" t="s">
        <v>5</v>
      </c>
      <c r="AY646" s="6" t="s">
        <v>5</v>
      </c>
      <c r="AZ646" s="6" t="s">
        <v>5</v>
      </c>
      <c r="BA646" s="6" t="s">
        <v>5</v>
      </c>
      <c r="BB646" s="6" t="s">
        <v>5</v>
      </c>
      <c r="BC646" s="6" t="s">
        <v>5</v>
      </c>
      <c r="BD646" s="6" t="s">
        <v>5</v>
      </c>
      <c r="BE646" s="6" t="s">
        <v>5</v>
      </c>
      <c r="BF646" s="6" t="s">
        <v>5</v>
      </c>
      <c r="BG646" s="6" t="s">
        <v>5</v>
      </c>
      <c r="BH646" s="6" t="s">
        <v>5</v>
      </c>
      <c r="BI646" s="7">
        <v>1.23</v>
      </c>
      <c r="BJ646" s="22">
        <v>0.85299999999999998</v>
      </c>
      <c r="BK646" s="6" t="s">
        <v>5</v>
      </c>
      <c r="BL646" s="2" t="s">
        <v>5</v>
      </c>
      <c r="BM646" s="2" t="s">
        <v>5</v>
      </c>
      <c r="BN646" s="2" t="s">
        <v>5</v>
      </c>
      <c r="BO646" s="2" t="s">
        <v>5</v>
      </c>
      <c r="BP646" s="2" t="s">
        <v>5</v>
      </c>
      <c r="BQ646" s="2" t="s">
        <v>5</v>
      </c>
      <c r="BR646" s="2" t="s">
        <v>5</v>
      </c>
      <c r="BS646" s="2" t="s">
        <v>5</v>
      </c>
      <c r="BT646" s="2" t="s">
        <v>5</v>
      </c>
      <c r="BU646" s="2" t="s">
        <v>5</v>
      </c>
      <c r="BV646" s="2" t="s">
        <v>5</v>
      </c>
      <c r="BW646" s="2" t="s">
        <v>5</v>
      </c>
      <c r="BX646" s="2" t="s">
        <v>5</v>
      </c>
      <c r="BY646" s="25" t="s">
        <v>5</v>
      </c>
      <c r="BZ646" s="25" t="s">
        <v>5</v>
      </c>
      <c r="CA646" s="6" t="s">
        <v>5</v>
      </c>
      <c r="CB646" s="6" t="s">
        <v>5</v>
      </c>
      <c r="CC646" s="6" t="s">
        <v>5</v>
      </c>
      <c r="CD646" s="6" t="s">
        <v>5</v>
      </c>
      <c r="CE646" s="6" t="s">
        <v>5</v>
      </c>
      <c r="CF646" s="16" t="s">
        <v>5</v>
      </c>
      <c r="CG646" s="16" t="s">
        <v>5</v>
      </c>
      <c r="CH646" s="18" t="s">
        <v>5</v>
      </c>
    </row>
    <row r="647" spans="2:86">
      <c r="B647" s="78" t="s">
        <v>473</v>
      </c>
      <c r="C647" s="79" t="s">
        <v>747</v>
      </c>
      <c r="D647" s="80" t="s">
        <v>747</v>
      </c>
      <c r="E647" s="1" t="s">
        <v>4</v>
      </c>
      <c r="F647" s="7">
        <v>3.3</v>
      </c>
      <c r="G647" s="22">
        <v>0.98199999999999998</v>
      </c>
      <c r="H647" s="3" t="str">
        <f t="shared" si="29"/>
        <v>2L2X2X1/8X3/4</v>
      </c>
      <c r="I647" s="7">
        <v>2</v>
      </c>
      <c r="J647" s="5" t="s">
        <v>5</v>
      </c>
      <c r="K647" s="6" t="s">
        <v>5</v>
      </c>
      <c r="L647" s="6" t="s">
        <v>5</v>
      </c>
      <c r="M647" s="6" t="s">
        <v>5</v>
      </c>
      <c r="N647" s="6" t="s">
        <v>5</v>
      </c>
      <c r="O647" s="5" t="s">
        <v>5</v>
      </c>
      <c r="P647" s="5" t="s">
        <v>5</v>
      </c>
      <c r="Q647" s="7">
        <v>2</v>
      </c>
      <c r="R647" s="6" t="s">
        <v>5</v>
      </c>
      <c r="S647" s="6" t="s">
        <v>5</v>
      </c>
      <c r="T647" s="5" t="s">
        <v>5</v>
      </c>
      <c r="U647" s="8" t="s">
        <v>5</v>
      </c>
      <c r="V647" s="6" t="s">
        <v>5</v>
      </c>
      <c r="W647" s="8" t="s">
        <v>5</v>
      </c>
      <c r="X647" s="22">
        <v>0.125</v>
      </c>
      <c r="Y647" s="6" t="s">
        <v>5</v>
      </c>
      <c r="Z647" s="6" t="s">
        <v>5</v>
      </c>
      <c r="AA647" s="6" t="s">
        <v>5</v>
      </c>
      <c r="AB647" s="8" t="s">
        <v>5</v>
      </c>
      <c r="AC647" s="8" t="s">
        <v>5</v>
      </c>
      <c r="AD647" s="6" t="s">
        <v>5</v>
      </c>
      <c r="AE647" s="22">
        <v>0.53400000000000003</v>
      </c>
      <c r="AF647" s="6" t="s">
        <v>5</v>
      </c>
      <c r="AG647" s="6" t="s">
        <v>5</v>
      </c>
      <c r="AH647" s="22">
        <v>0.123</v>
      </c>
      <c r="AI647" s="6" t="s">
        <v>5</v>
      </c>
      <c r="AJ647" s="4">
        <v>16</v>
      </c>
      <c r="AK647" s="6" t="s">
        <v>5</v>
      </c>
      <c r="AL647" s="6" t="s">
        <v>5</v>
      </c>
      <c r="AM647" s="6" t="s">
        <v>5</v>
      </c>
      <c r="AN647" s="6" t="s">
        <v>5</v>
      </c>
      <c r="AO647" s="22">
        <v>0.378</v>
      </c>
      <c r="AP647" s="22">
        <v>0.46</v>
      </c>
      <c r="AQ647" s="22">
        <v>0.25800000000000001</v>
      </c>
      <c r="AR647" s="22">
        <v>0.62</v>
      </c>
      <c r="AS647" s="6">
        <v>1.19</v>
      </c>
      <c r="AT647" s="6">
        <v>0.89300000000000002</v>
      </c>
      <c r="AU647" s="6">
        <v>0.501</v>
      </c>
      <c r="AV647" s="7">
        <v>1.1000000000000001</v>
      </c>
      <c r="AW647" s="6" t="s">
        <v>5</v>
      </c>
      <c r="AX647" s="6" t="s">
        <v>5</v>
      </c>
      <c r="AY647" s="6" t="s">
        <v>5</v>
      </c>
      <c r="AZ647" s="6" t="s">
        <v>5</v>
      </c>
      <c r="BA647" s="6" t="s">
        <v>5</v>
      </c>
      <c r="BB647" s="6" t="s">
        <v>5</v>
      </c>
      <c r="BC647" s="6" t="s">
        <v>5</v>
      </c>
      <c r="BD647" s="6" t="s">
        <v>5</v>
      </c>
      <c r="BE647" s="6" t="s">
        <v>5</v>
      </c>
      <c r="BF647" s="6" t="s">
        <v>5</v>
      </c>
      <c r="BG647" s="6" t="s">
        <v>5</v>
      </c>
      <c r="BH647" s="6" t="s">
        <v>5</v>
      </c>
      <c r="BI647" s="7">
        <v>1.35</v>
      </c>
      <c r="BJ647" s="22">
        <v>0.877</v>
      </c>
      <c r="BK647" s="6" t="s">
        <v>5</v>
      </c>
      <c r="BL647" s="2" t="s">
        <v>5</v>
      </c>
      <c r="BM647" s="2" t="s">
        <v>5</v>
      </c>
      <c r="BN647" s="2" t="s">
        <v>5</v>
      </c>
      <c r="BO647" s="2" t="s">
        <v>5</v>
      </c>
      <c r="BP647" s="2" t="s">
        <v>5</v>
      </c>
      <c r="BQ647" s="2" t="s">
        <v>5</v>
      </c>
      <c r="BR647" s="2" t="s">
        <v>5</v>
      </c>
      <c r="BS647" s="2" t="s">
        <v>5</v>
      </c>
      <c r="BT647" s="2" t="s">
        <v>5</v>
      </c>
      <c r="BU647" s="2" t="s">
        <v>5</v>
      </c>
      <c r="BV647" s="2" t="s">
        <v>5</v>
      </c>
      <c r="BW647" s="2" t="s">
        <v>5</v>
      </c>
      <c r="BX647" s="2" t="s">
        <v>5</v>
      </c>
      <c r="BY647" s="25" t="s">
        <v>5</v>
      </c>
      <c r="BZ647" s="25" t="s">
        <v>5</v>
      </c>
      <c r="CA647" s="6" t="s">
        <v>5</v>
      </c>
      <c r="CB647" s="6" t="s">
        <v>5</v>
      </c>
      <c r="CC647" s="6" t="s">
        <v>5</v>
      </c>
      <c r="CD647" s="6" t="s">
        <v>5</v>
      </c>
      <c r="CE647" s="6" t="s">
        <v>5</v>
      </c>
      <c r="CF647" s="16" t="s">
        <v>5</v>
      </c>
      <c r="CG647" s="16" t="s">
        <v>5</v>
      </c>
      <c r="CH647" s="18" t="s">
        <v>5</v>
      </c>
    </row>
    <row r="648" spans="2:86">
      <c r="B648" s="78" t="s">
        <v>473</v>
      </c>
      <c r="C648" s="79" t="s">
        <v>748</v>
      </c>
      <c r="D648" s="80" t="s">
        <v>748</v>
      </c>
      <c r="E648" s="1" t="s">
        <v>4</v>
      </c>
      <c r="F648" s="4">
        <v>88.4</v>
      </c>
      <c r="G648" s="4">
        <v>26.2</v>
      </c>
      <c r="H648" s="3" t="str">
        <f t="shared" si="29"/>
        <v>2L8X6X1LLBB</v>
      </c>
      <c r="I648" s="7">
        <v>8</v>
      </c>
      <c r="J648" s="5" t="s">
        <v>5</v>
      </c>
      <c r="K648" s="6" t="s">
        <v>5</v>
      </c>
      <c r="L648" s="6" t="s">
        <v>5</v>
      </c>
      <c r="M648" s="6" t="s">
        <v>5</v>
      </c>
      <c r="N648" s="6" t="s">
        <v>5</v>
      </c>
      <c r="O648" s="5" t="s">
        <v>5</v>
      </c>
      <c r="P648" s="5" t="s">
        <v>5</v>
      </c>
      <c r="Q648" s="7">
        <v>6</v>
      </c>
      <c r="R648" s="6" t="s">
        <v>5</v>
      </c>
      <c r="S648" s="6" t="s">
        <v>5</v>
      </c>
      <c r="T648" s="5" t="s">
        <v>5</v>
      </c>
      <c r="U648" s="8" t="s">
        <v>5</v>
      </c>
      <c r="V648" s="6" t="s">
        <v>5</v>
      </c>
      <c r="W648" s="8" t="s">
        <v>5</v>
      </c>
      <c r="X648" s="7">
        <v>1</v>
      </c>
      <c r="Y648" s="6" t="s">
        <v>5</v>
      </c>
      <c r="Z648" s="6" t="s">
        <v>5</v>
      </c>
      <c r="AA648" s="6" t="s">
        <v>5</v>
      </c>
      <c r="AB648" s="8" t="s">
        <v>5</v>
      </c>
      <c r="AC648" s="8" t="s">
        <v>5</v>
      </c>
      <c r="AD648" s="6" t="s">
        <v>5</v>
      </c>
      <c r="AE648" s="7">
        <v>2.65</v>
      </c>
      <c r="AF648" s="6" t="s">
        <v>5</v>
      </c>
      <c r="AG648" s="6" t="s">
        <v>5</v>
      </c>
      <c r="AH648" s="7">
        <v>1.45</v>
      </c>
      <c r="AI648" s="6" t="s">
        <v>5</v>
      </c>
      <c r="AJ648" s="7">
        <v>8</v>
      </c>
      <c r="AK648" s="6" t="s">
        <v>5</v>
      </c>
      <c r="AL648" s="6" t="s">
        <v>5</v>
      </c>
      <c r="AM648" s="6" t="s">
        <v>5</v>
      </c>
      <c r="AN648" s="6" t="s">
        <v>5</v>
      </c>
      <c r="AO648" s="6">
        <v>162</v>
      </c>
      <c r="AP648" s="4">
        <v>54.6</v>
      </c>
      <c r="AQ648" s="4">
        <v>30.2</v>
      </c>
      <c r="AR648" s="7">
        <v>2.4900000000000002</v>
      </c>
      <c r="AS648" s="6">
        <v>150</v>
      </c>
      <c r="AT648" s="6">
        <v>43.2</v>
      </c>
      <c r="AU648" s="4">
        <v>25</v>
      </c>
      <c r="AV648" s="7">
        <v>2.39</v>
      </c>
      <c r="AW648" s="6" t="s">
        <v>5</v>
      </c>
      <c r="AX648" s="6" t="s">
        <v>5</v>
      </c>
      <c r="AY648" s="6" t="s">
        <v>5</v>
      </c>
      <c r="AZ648" s="6" t="s">
        <v>5</v>
      </c>
      <c r="BA648" s="6" t="s">
        <v>5</v>
      </c>
      <c r="BB648" s="6" t="s">
        <v>5</v>
      </c>
      <c r="BC648" s="6" t="s">
        <v>5</v>
      </c>
      <c r="BD648" s="6" t="s">
        <v>5</v>
      </c>
      <c r="BE648" s="6" t="s">
        <v>5</v>
      </c>
      <c r="BF648" s="6" t="s">
        <v>5</v>
      </c>
      <c r="BG648" s="6" t="s">
        <v>5</v>
      </c>
      <c r="BH648" s="6" t="s">
        <v>5</v>
      </c>
      <c r="BI648" s="7">
        <v>4.0599999999999996</v>
      </c>
      <c r="BJ648" s="22">
        <v>0.72099999999999997</v>
      </c>
      <c r="BK648" s="6" t="s">
        <v>5</v>
      </c>
      <c r="BL648" s="2" t="s">
        <v>5</v>
      </c>
      <c r="BM648" s="2" t="s">
        <v>5</v>
      </c>
      <c r="BN648" s="2" t="s">
        <v>5</v>
      </c>
      <c r="BO648" s="2" t="s">
        <v>5</v>
      </c>
      <c r="BP648" s="2" t="s">
        <v>5</v>
      </c>
      <c r="BQ648" s="2" t="s">
        <v>5</v>
      </c>
      <c r="BR648" s="2" t="s">
        <v>5</v>
      </c>
      <c r="BS648" s="2" t="s">
        <v>5</v>
      </c>
      <c r="BT648" s="2" t="s">
        <v>5</v>
      </c>
      <c r="BU648" s="2" t="s">
        <v>5</v>
      </c>
      <c r="BV648" s="2" t="s">
        <v>5</v>
      </c>
      <c r="BW648" s="2" t="s">
        <v>5</v>
      </c>
      <c r="BX648" s="2" t="s">
        <v>5</v>
      </c>
      <c r="BY648" s="25" t="s">
        <v>5</v>
      </c>
      <c r="BZ648" s="25" t="s">
        <v>5</v>
      </c>
      <c r="CA648" s="6" t="s">
        <v>5</v>
      </c>
      <c r="CB648" s="6" t="s">
        <v>5</v>
      </c>
      <c r="CC648" s="6" t="s">
        <v>5</v>
      </c>
      <c r="CD648" s="6" t="s">
        <v>5</v>
      </c>
      <c r="CE648" s="6" t="s">
        <v>5</v>
      </c>
      <c r="CF648" s="16" t="s">
        <v>5</v>
      </c>
      <c r="CG648" s="16" t="s">
        <v>5</v>
      </c>
      <c r="CH648" s="18" t="s">
        <v>5</v>
      </c>
    </row>
    <row r="649" spans="2:86">
      <c r="B649" s="78" t="s">
        <v>473</v>
      </c>
      <c r="C649" s="79" t="s">
        <v>749</v>
      </c>
      <c r="D649" s="80" t="s">
        <v>749</v>
      </c>
      <c r="E649" s="1" t="s">
        <v>4</v>
      </c>
      <c r="F649" s="4">
        <v>88.4</v>
      </c>
      <c r="G649" s="4">
        <v>26.2</v>
      </c>
      <c r="H649" s="3" t="str">
        <f t="shared" si="29"/>
        <v>2L8X6X1X3/8LLBB</v>
      </c>
      <c r="I649" s="7">
        <v>8</v>
      </c>
      <c r="J649" s="5" t="s">
        <v>5</v>
      </c>
      <c r="K649" s="6" t="s">
        <v>5</v>
      </c>
      <c r="L649" s="6" t="s">
        <v>5</v>
      </c>
      <c r="M649" s="6" t="s">
        <v>5</v>
      </c>
      <c r="N649" s="6" t="s">
        <v>5</v>
      </c>
      <c r="O649" s="5" t="s">
        <v>5</v>
      </c>
      <c r="P649" s="5" t="s">
        <v>5</v>
      </c>
      <c r="Q649" s="7">
        <v>6</v>
      </c>
      <c r="R649" s="6" t="s">
        <v>5</v>
      </c>
      <c r="S649" s="6" t="s">
        <v>5</v>
      </c>
      <c r="T649" s="5" t="s">
        <v>5</v>
      </c>
      <c r="U649" s="8" t="s">
        <v>5</v>
      </c>
      <c r="V649" s="6" t="s">
        <v>5</v>
      </c>
      <c r="W649" s="8" t="s">
        <v>5</v>
      </c>
      <c r="X649" s="7">
        <v>1</v>
      </c>
      <c r="Y649" s="6" t="s">
        <v>5</v>
      </c>
      <c r="Z649" s="6" t="s">
        <v>5</v>
      </c>
      <c r="AA649" s="6" t="s">
        <v>5</v>
      </c>
      <c r="AB649" s="8" t="s">
        <v>5</v>
      </c>
      <c r="AC649" s="8" t="s">
        <v>5</v>
      </c>
      <c r="AD649" s="6" t="s">
        <v>5</v>
      </c>
      <c r="AE649" s="7">
        <v>2.65</v>
      </c>
      <c r="AF649" s="6" t="s">
        <v>5</v>
      </c>
      <c r="AG649" s="6" t="s">
        <v>5</v>
      </c>
      <c r="AH649" s="7">
        <v>1.45</v>
      </c>
      <c r="AI649" s="6" t="s">
        <v>5</v>
      </c>
      <c r="AJ649" s="7">
        <v>8</v>
      </c>
      <c r="AK649" s="6" t="s">
        <v>5</v>
      </c>
      <c r="AL649" s="6" t="s">
        <v>5</v>
      </c>
      <c r="AM649" s="6" t="s">
        <v>5</v>
      </c>
      <c r="AN649" s="6" t="s">
        <v>5</v>
      </c>
      <c r="AO649" s="6">
        <v>162</v>
      </c>
      <c r="AP649" s="4">
        <v>54.6</v>
      </c>
      <c r="AQ649" s="4">
        <v>30.2</v>
      </c>
      <c r="AR649" s="7">
        <v>2.4900000000000002</v>
      </c>
      <c r="AS649" s="6">
        <v>166</v>
      </c>
      <c r="AT649" s="6">
        <v>48.1</v>
      </c>
      <c r="AU649" s="6">
        <v>26.8</v>
      </c>
      <c r="AV649" s="7">
        <v>2.52</v>
      </c>
      <c r="AW649" s="6" t="s">
        <v>5</v>
      </c>
      <c r="AX649" s="6" t="s">
        <v>5</v>
      </c>
      <c r="AY649" s="6" t="s">
        <v>5</v>
      </c>
      <c r="AZ649" s="6" t="s">
        <v>5</v>
      </c>
      <c r="BA649" s="6" t="s">
        <v>5</v>
      </c>
      <c r="BB649" s="6" t="s">
        <v>5</v>
      </c>
      <c r="BC649" s="6" t="s">
        <v>5</v>
      </c>
      <c r="BD649" s="6" t="s">
        <v>5</v>
      </c>
      <c r="BE649" s="6" t="s">
        <v>5</v>
      </c>
      <c r="BF649" s="6" t="s">
        <v>5</v>
      </c>
      <c r="BG649" s="6" t="s">
        <v>5</v>
      </c>
      <c r="BH649" s="6" t="s">
        <v>5</v>
      </c>
      <c r="BI649" s="7">
        <v>4.1399999999999997</v>
      </c>
      <c r="BJ649" s="22">
        <v>0.73199999999999998</v>
      </c>
      <c r="BK649" s="6" t="s">
        <v>5</v>
      </c>
      <c r="BL649" s="2" t="s">
        <v>5</v>
      </c>
      <c r="BM649" s="2" t="s">
        <v>5</v>
      </c>
      <c r="BN649" s="2" t="s">
        <v>5</v>
      </c>
      <c r="BO649" s="2" t="s">
        <v>5</v>
      </c>
      <c r="BP649" s="2" t="s">
        <v>5</v>
      </c>
      <c r="BQ649" s="2" t="s">
        <v>5</v>
      </c>
      <c r="BR649" s="2" t="s">
        <v>5</v>
      </c>
      <c r="BS649" s="2" t="s">
        <v>5</v>
      </c>
      <c r="BT649" s="2" t="s">
        <v>5</v>
      </c>
      <c r="BU649" s="2" t="s">
        <v>5</v>
      </c>
      <c r="BV649" s="2" t="s">
        <v>5</v>
      </c>
      <c r="BW649" s="2" t="s">
        <v>5</v>
      </c>
      <c r="BX649" s="2" t="s">
        <v>5</v>
      </c>
      <c r="BY649" s="25" t="s">
        <v>5</v>
      </c>
      <c r="BZ649" s="25" t="s">
        <v>5</v>
      </c>
      <c r="CA649" s="6" t="s">
        <v>5</v>
      </c>
      <c r="CB649" s="6" t="s">
        <v>5</v>
      </c>
      <c r="CC649" s="6" t="s">
        <v>5</v>
      </c>
      <c r="CD649" s="6" t="s">
        <v>5</v>
      </c>
      <c r="CE649" s="6" t="s">
        <v>5</v>
      </c>
      <c r="CF649" s="16" t="s">
        <v>5</v>
      </c>
      <c r="CG649" s="16" t="s">
        <v>5</v>
      </c>
      <c r="CH649" s="18" t="s">
        <v>5</v>
      </c>
    </row>
    <row r="650" spans="2:86">
      <c r="B650" s="78" t="s">
        <v>473</v>
      </c>
      <c r="C650" s="79" t="s">
        <v>750</v>
      </c>
      <c r="D650" s="80" t="s">
        <v>750</v>
      </c>
      <c r="E650" s="1" t="s">
        <v>4</v>
      </c>
      <c r="F650" s="4">
        <v>88.4</v>
      </c>
      <c r="G650" s="4">
        <v>26.2</v>
      </c>
      <c r="H650" s="3" t="str">
        <f t="shared" si="29"/>
        <v>2L8X6X1X3/4LLBB</v>
      </c>
      <c r="I650" s="7">
        <v>8</v>
      </c>
      <c r="J650" s="5" t="s">
        <v>5</v>
      </c>
      <c r="K650" s="6" t="s">
        <v>5</v>
      </c>
      <c r="L650" s="6" t="s">
        <v>5</v>
      </c>
      <c r="M650" s="6" t="s">
        <v>5</v>
      </c>
      <c r="N650" s="6" t="s">
        <v>5</v>
      </c>
      <c r="O650" s="5" t="s">
        <v>5</v>
      </c>
      <c r="P650" s="5" t="s">
        <v>5</v>
      </c>
      <c r="Q650" s="7">
        <v>6</v>
      </c>
      <c r="R650" s="6" t="s">
        <v>5</v>
      </c>
      <c r="S650" s="6" t="s">
        <v>5</v>
      </c>
      <c r="T650" s="5" t="s">
        <v>5</v>
      </c>
      <c r="U650" s="8" t="s">
        <v>5</v>
      </c>
      <c r="V650" s="6" t="s">
        <v>5</v>
      </c>
      <c r="W650" s="8" t="s">
        <v>5</v>
      </c>
      <c r="X650" s="7">
        <v>1</v>
      </c>
      <c r="Y650" s="6" t="s">
        <v>5</v>
      </c>
      <c r="Z650" s="6" t="s">
        <v>5</v>
      </c>
      <c r="AA650" s="6" t="s">
        <v>5</v>
      </c>
      <c r="AB650" s="8" t="s">
        <v>5</v>
      </c>
      <c r="AC650" s="8" t="s">
        <v>5</v>
      </c>
      <c r="AD650" s="6" t="s">
        <v>5</v>
      </c>
      <c r="AE650" s="7">
        <v>2.65</v>
      </c>
      <c r="AF650" s="6" t="s">
        <v>5</v>
      </c>
      <c r="AG650" s="6" t="s">
        <v>5</v>
      </c>
      <c r="AH650" s="7">
        <v>1.45</v>
      </c>
      <c r="AI650" s="6" t="s">
        <v>5</v>
      </c>
      <c r="AJ650" s="7">
        <v>8</v>
      </c>
      <c r="AK650" s="6" t="s">
        <v>5</v>
      </c>
      <c r="AL650" s="6" t="s">
        <v>5</v>
      </c>
      <c r="AM650" s="6" t="s">
        <v>5</v>
      </c>
      <c r="AN650" s="6" t="s">
        <v>5</v>
      </c>
      <c r="AO650" s="6">
        <v>162</v>
      </c>
      <c r="AP650" s="4">
        <v>54.6</v>
      </c>
      <c r="AQ650" s="4">
        <v>30.2</v>
      </c>
      <c r="AR650" s="7">
        <v>2.4900000000000002</v>
      </c>
      <c r="AS650" s="6">
        <v>185</v>
      </c>
      <c r="AT650" s="6">
        <v>53.1</v>
      </c>
      <c r="AU650" s="4">
        <v>29</v>
      </c>
      <c r="AV650" s="7">
        <v>2.66</v>
      </c>
      <c r="AW650" s="6" t="s">
        <v>5</v>
      </c>
      <c r="AX650" s="6" t="s">
        <v>5</v>
      </c>
      <c r="AY650" s="6" t="s">
        <v>5</v>
      </c>
      <c r="AZ650" s="6" t="s">
        <v>5</v>
      </c>
      <c r="BA650" s="6" t="s">
        <v>5</v>
      </c>
      <c r="BB650" s="6" t="s">
        <v>5</v>
      </c>
      <c r="BC650" s="6" t="s">
        <v>5</v>
      </c>
      <c r="BD650" s="6" t="s">
        <v>5</v>
      </c>
      <c r="BE650" s="6" t="s">
        <v>5</v>
      </c>
      <c r="BF650" s="6" t="s">
        <v>5</v>
      </c>
      <c r="BG650" s="6" t="s">
        <v>5</v>
      </c>
      <c r="BH650" s="6" t="s">
        <v>5</v>
      </c>
      <c r="BI650" s="7">
        <v>4.2300000000000004</v>
      </c>
      <c r="BJ650" s="22">
        <v>0.74199999999999999</v>
      </c>
      <c r="BK650" s="6" t="s">
        <v>5</v>
      </c>
      <c r="BL650" s="2" t="s">
        <v>5</v>
      </c>
      <c r="BM650" s="2" t="s">
        <v>5</v>
      </c>
      <c r="BN650" s="2" t="s">
        <v>5</v>
      </c>
      <c r="BO650" s="2" t="s">
        <v>5</v>
      </c>
      <c r="BP650" s="2" t="s">
        <v>5</v>
      </c>
      <c r="BQ650" s="2" t="s">
        <v>5</v>
      </c>
      <c r="BR650" s="2" t="s">
        <v>5</v>
      </c>
      <c r="BS650" s="2" t="s">
        <v>5</v>
      </c>
      <c r="BT650" s="2" t="s">
        <v>5</v>
      </c>
      <c r="BU650" s="2" t="s">
        <v>5</v>
      </c>
      <c r="BV650" s="2" t="s">
        <v>5</v>
      </c>
      <c r="BW650" s="2" t="s">
        <v>5</v>
      </c>
      <c r="BX650" s="2" t="s">
        <v>5</v>
      </c>
      <c r="BY650" s="25" t="s">
        <v>5</v>
      </c>
      <c r="BZ650" s="25" t="s">
        <v>5</v>
      </c>
      <c r="CA650" s="6" t="s">
        <v>5</v>
      </c>
      <c r="CB650" s="6" t="s">
        <v>5</v>
      </c>
      <c r="CC650" s="6" t="s">
        <v>5</v>
      </c>
      <c r="CD650" s="6" t="s">
        <v>5</v>
      </c>
      <c r="CE650" s="6" t="s">
        <v>5</v>
      </c>
      <c r="CF650" s="16" t="s">
        <v>5</v>
      </c>
      <c r="CG650" s="16" t="s">
        <v>5</v>
      </c>
      <c r="CH650" s="18" t="s">
        <v>5</v>
      </c>
    </row>
    <row r="651" spans="2:86">
      <c r="B651" s="78" t="s">
        <v>473</v>
      </c>
      <c r="C651" s="79" t="s">
        <v>751</v>
      </c>
      <c r="D651" s="80" t="s">
        <v>751</v>
      </c>
      <c r="E651" s="1" t="s">
        <v>4</v>
      </c>
      <c r="F651" s="4">
        <v>78.2</v>
      </c>
      <c r="G651" s="4">
        <v>23</v>
      </c>
      <c r="H651" s="3" t="str">
        <f t="shared" si="29"/>
        <v>2L8X6X7/8LLBB</v>
      </c>
      <c r="I651" s="7">
        <v>8</v>
      </c>
      <c r="J651" s="5" t="s">
        <v>5</v>
      </c>
      <c r="K651" s="6" t="s">
        <v>5</v>
      </c>
      <c r="L651" s="6" t="s">
        <v>5</v>
      </c>
      <c r="M651" s="6" t="s">
        <v>5</v>
      </c>
      <c r="N651" s="6" t="s">
        <v>5</v>
      </c>
      <c r="O651" s="5" t="s">
        <v>5</v>
      </c>
      <c r="P651" s="5" t="s">
        <v>5</v>
      </c>
      <c r="Q651" s="7">
        <v>6</v>
      </c>
      <c r="R651" s="6" t="s">
        <v>5</v>
      </c>
      <c r="S651" s="6" t="s">
        <v>5</v>
      </c>
      <c r="T651" s="5" t="s">
        <v>5</v>
      </c>
      <c r="U651" s="8" t="s">
        <v>5</v>
      </c>
      <c r="V651" s="6" t="s">
        <v>5</v>
      </c>
      <c r="W651" s="8" t="s">
        <v>5</v>
      </c>
      <c r="X651" s="22">
        <v>0.875</v>
      </c>
      <c r="Y651" s="6" t="s">
        <v>5</v>
      </c>
      <c r="Z651" s="6" t="s">
        <v>5</v>
      </c>
      <c r="AA651" s="6" t="s">
        <v>5</v>
      </c>
      <c r="AB651" s="8" t="s">
        <v>5</v>
      </c>
      <c r="AC651" s="8" t="s">
        <v>5</v>
      </c>
      <c r="AD651" s="6" t="s">
        <v>5</v>
      </c>
      <c r="AE651" s="7">
        <v>2.6</v>
      </c>
      <c r="AF651" s="6" t="s">
        <v>5</v>
      </c>
      <c r="AG651" s="6" t="s">
        <v>5</v>
      </c>
      <c r="AH651" s="7">
        <v>1.43</v>
      </c>
      <c r="AI651" s="6" t="s">
        <v>5</v>
      </c>
      <c r="AJ651" s="7">
        <v>9.14</v>
      </c>
      <c r="AK651" s="6" t="s">
        <v>5</v>
      </c>
      <c r="AL651" s="6" t="s">
        <v>5</v>
      </c>
      <c r="AM651" s="6" t="s">
        <v>5</v>
      </c>
      <c r="AN651" s="6" t="s">
        <v>5</v>
      </c>
      <c r="AO651" s="6">
        <v>145</v>
      </c>
      <c r="AP651" s="4">
        <v>48.6</v>
      </c>
      <c r="AQ651" s="4">
        <v>26.8</v>
      </c>
      <c r="AR651" s="7">
        <v>2.5</v>
      </c>
      <c r="AS651" s="6">
        <v>129</v>
      </c>
      <c r="AT651" s="6">
        <v>36.799999999999997</v>
      </c>
      <c r="AU651" s="6">
        <v>21.5</v>
      </c>
      <c r="AV651" s="7">
        <v>2.37</v>
      </c>
      <c r="AW651" s="6" t="s">
        <v>5</v>
      </c>
      <c r="AX651" s="6" t="s">
        <v>5</v>
      </c>
      <c r="AY651" s="6" t="s">
        <v>5</v>
      </c>
      <c r="AZ651" s="6" t="s">
        <v>5</v>
      </c>
      <c r="BA651" s="6" t="s">
        <v>5</v>
      </c>
      <c r="BB651" s="6" t="s">
        <v>5</v>
      </c>
      <c r="BC651" s="6" t="s">
        <v>5</v>
      </c>
      <c r="BD651" s="6" t="s">
        <v>5</v>
      </c>
      <c r="BE651" s="6" t="s">
        <v>5</v>
      </c>
      <c r="BF651" s="6" t="s">
        <v>5</v>
      </c>
      <c r="BG651" s="6" t="s">
        <v>5</v>
      </c>
      <c r="BH651" s="6" t="s">
        <v>5</v>
      </c>
      <c r="BI651" s="7">
        <v>4.07</v>
      </c>
      <c r="BJ651" s="22">
        <v>0.71799999999999997</v>
      </c>
      <c r="BK651" s="6" t="s">
        <v>5</v>
      </c>
      <c r="BL651" s="2" t="s">
        <v>5</v>
      </c>
      <c r="BM651" s="2" t="s">
        <v>5</v>
      </c>
      <c r="BN651" s="2" t="s">
        <v>5</v>
      </c>
      <c r="BO651" s="2" t="s">
        <v>5</v>
      </c>
      <c r="BP651" s="2" t="s">
        <v>5</v>
      </c>
      <c r="BQ651" s="2" t="s">
        <v>5</v>
      </c>
      <c r="BR651" s="2" t="s">
        <v>5</v>
      </c>
      <c r="BS651" s="2" t="s">
        <v>5</v>
      </c>
      <c r="BT651" s="2" t="s">
        <v>5</v>
      </c>
      <c r="BU651" s="2" t="s">
        <v>5</v>
      </c>
      <c r="BV651" s="2" t="s">
        <v>5</v>
      </c>
      <c r="BW651" s="2" t="s">
        <v>5</v>
      </c>
      <c r="BX651" s="2" t="s">
        <v>5</v>
      </c>
      <c r="BY651" s="25" t="s">
        <v>5</v>
      </c>
      <c r="BZ651" s="25" t="s">
        <v>5</v>
      </c>
      <c r="CA651" s="6" t="s">
        <v>5</v>
      </c>
      <c r="CB651" s="6" t="s">
        <v>5</v>
      </c>
      <c r="CC651" s="6" t="s">
        <v>5</v>
      </c>
      <c r="CD651" s="6" t="s">
        <v>5</v>
      </c>
      <c r="CE651" s="6" t="s">
        <v>5</v>
      </c>
      <c r="CF651" s="16" t="s">
        <v>5</v>
      </c>
      <c r="CG651" s="16" t="s">
        <v>5</v>
      </c>
      <c r="CH651" s="18" t="s">
        <v>5</v>
      </c>
    </row>
    <row r="652" spans="2:86">
      <c r="B652" s="78" t="s">
        <v>473</v>
      </c>
      <c r="C652" s="79" t="s">
        <v>752</v>
      </c>
      <c r="D652" s="80" t="s">
        <v>752</v>
      </c>
      <c r="E652" s="1" t="s">
        <v>4</v>
      </c>
      <c r="F652" s="4">
        <v>78.2</v>
      </c>
      <c r="G652" s="4">
        <v>23</v>
      </c>
      <c r="H652" s="3" t="str">
        <f t="shared" si="29"/>
        <v>2L8X6X7/8X3/8LLBB</v>
      </c>
      <c r="I652" s="7">
        <v>8</v>
      </c>
      <c r="J652" s="5" t="s">
        <v>5</v>
      </c>
      <c r="K652" s="6" t="s">
        <v>5</v>
      </c>
      <c r="L652" s="6" t="s">
        <v>5</v>
      </c>
      <c r="M652" s="6" t="s">
        <v>5</v>
      </c>
      <c r="N652" s="6" t="s">
        <v>5</v>
      </c>
      <c r="O652" s="5" t="s">
        <v>5</v>
      </c>
      <c r="P652" s="5" t="s">
        <v>5</v>
      </c>
      <c r="Q652" s="7">
        <v>6</v>
      </c>
      <c r="R652" s="6" t="s">
        <v>5</v>
      </c>
      <c r="S652" s="6" t="s">
        <v>5</v>
      </c>
      <c r="T652" s="5" t="s">
        <v>5</v>
      </c>
      <c r="U652" s="8" t="s">
        <v>5</v>
      </c>
      <c r="V652" s="6" t="s">
        <v>5</v>
      </c>
      <c r="W652" s="8" t="s">
        <v>5</v>
      </c>
      <c r="X652" s="22">
        <v>0.875</v>
      </c>
      <c r="Y652" s="6" t="s">
        <v>5</v>
      </c>
      <c r="Z652" s="6" t="s">
        <v>5</v>
      </c>
      <c r="AA652" s="6" t="s">
        <v>5</v>
      </c>
      <c r="AB652" s="8" t="s">
        <v>5</v>
      </c>
      <c r="AC652" s="8" t="s">
        <v>5</v>
      </c>
      <c r="AD652" s="6" t="s">
        <v>5</v>
      </c>
      <c r="AE652" s="7">
        <v>2.6</v>
      </c>
      <c r="AF652" s="6" t="s">
        <v>5</v>
      </c>
      <c r="AG652" s="6" t="s">
        <v>5</v>
      </c>
      <c r="AH652" s="7">
        <v>1.43</v>
      </c>
      <c r="AI652" s="6" t="s">
        <v>5</v>
      </c>
      <c r="AJ652" s="7">
        <v>9.14</v>
      </c>
      <c r="AK652" s="6" t="s">
        <v>5</v>
      </c>
      <c r="AL652" s="6" t="s">
        <v>5</v>
      </c>
      <c r="AM652" s="6" t="s">
        <v>5</v>
      </c>
      <c r="AN652" s="6" t="s">
        <v>5</v>
      </c>
      <c r="AO652" s="6">
        <v>145</v>
      </c>
      <c r="AP652" s="4">
        <v>48.6</v>
      </c>
      <c r="AQ652" s="4">
        <v>26.8</v>
      </c>
      <c r="AR652" s="7">
        <v>2.5</v>
      </c>
      <c r="AS652" s="6">
        <v>144</v>
      </c>
      <c r="AT652" s="6">
        <v>41.1</v>
      </c>
      <c r="AU652" s="6">
        <v>23.3</v>
      </c>
      <c r="AV652" s="7">
        <v>2.5</v>
      </c>
      <c r="AW652" s="6" t="s">
        <v>5</v>
      </c>
      <c r="AX652" s="6" t="s">
        <v>5</v>
      </c>
      <c r="AY652" s="6" t="s">
        <v>5</v>
      </c>
      <c r="AZ652" s="6" t="s">
        <v>5</v>
      </c>
      <c r="BA652" s="6" t="s">
        <v>5</v>
      </c>
      <c r="BB652" s="6" t="s">
        <v>5</v>
      </c>
      <c r="BC652" s="6" t="s">
        <v>5</v>
      </c>
      <c r="BD652" s="6" t="s">
        <v>5</v>
      </c>
      <c r="BE652" s="6" t="s">
        <v>5</v>
      </c>
      <c r="BF652" s="6" t="s">
        <v>5</v>
      </c>
      <c r="BG652" s="6" t="s">
        <v>5</v>
      </c>
      <c r="BH652" s="6" t="s">
        <v>5</v>
      </c>
      <c r="BI652" s="7">
        <v>4.1399999999999997</v>
      </c>
      <c r="BJ652" s="22">
        <v>0.72799999999999998</v>
      </c>
      <c r="BK652" s="6" t="s">
        <v>5</v>
      </c>
      <c r="BL652" s="2" t="s">
        <v>5</v>
      </c>
      <c r="BM652" s="2" t="s">
        <v>5</v>
      </c>
      <c r="BN652" s="2" t="s">
        <v>5</v>
      </c>
      <c r="BO652" s="2" t="s">
        <v>5</v>
      </c>
      <c r="BP652" s="2" t="s">
        <v>5</v>
      </c>
      <c r="BQ652" s="2" t="s">
        <v>5</v>
      </c>
      <c r="BR652" s="2" t="s">
        <v>5</v>
      </c>
      <c r="BS652" s="2" t="s">
        <v>5</v>
      </c>
      <c r="BT652" s="2" t="s">
        <v>5</v>
      </c>
      <c r="BU652" s="2" t="s">
        <v>5</v>
      </c>
      <c r="BV652" s="2" t="s">
        <v>5</v>
      </c>
      <c r="BW652" s="2" t="s">
        <v>5</v>
      </c>
      <c r="BX652" s="2" t="s">
        <v>5</v>
      </c>
      <c r="BY652" s="25" t="s">
        <v>5</v>
      </c>
      <c r="BZ652" s="25" t="s">
        <v>5</v>
      </c>
      <c r="CA652" s="6" t="s">
        <v>5</v>
      </c>
      <c r="CB652" s="6" t="s">
        <v>5</v>
      </c>
      <c r="CC652" s="6" t="s">
        <v>5</v>
      </c>
      <c r="CD652" s="6" t="s">
        <v>5</v>
      </c>
      <c r="CE652" s="6" t="s">
        <v>5</v>
      </c>
      <c r="CF652" s="16" t="s">
        <v>5</v>
      </c>
      <c r="CG652" s="16" t="s">
        <v>5</v>
      </c>
      <c r="CH652" s="18" t="s">
        <v>5</v>
      </c>
    </row>
    <row r="653" spans="2:86">
      <c r="B653" s="78" t="s">
        <v>473</v>
      </c>
      <c r="C653" s="79" t="s">
        <v>753</v>
      </c>
      <c r="D653" s="80" t="s">
        <v>753</v>
      </c>
      <c r="E653" s="1" t="s">
        <v>4</v>
      </c>
      <c r="F653" s="4">
        <v>78.2</v>
      </c>
      <c r="G653" s="4">
        <v>23</v>
      </c>
      <c r="H653" s="3" t="str">
        <f t="shared" si="29"/>
        <v>2L8X6X7/8X3/4LLBB</v>
      </c>
      <c r="I653" s="7">
        <v>8</v>
      </c>
      <c r="J653" s="5" t="s">
        <v>5</v>
      </c>
      <c r="K653" s="6" t="s">
        <v>5</v>
      </c>
      <c r="L653" s="6" t="s">
        <v>5</v>
      </c>
      <c r="M653" s="6" t="s">
        <v>5</v>
      </c>
      <c r="N653" s="6" t="s">
        <v>5</v>
      </c>
      <c r="O653" s="5" t="s">
        <v>5</v>
      </c>
      <c r="P653" s="5" t="s">
        <v>5</v>
      </c>
      <c r="Q653" s="7">
        <v>6</v>
      </c>
      <c r="R653" s="6" t="s">
        <v>5</v>
      </c>
      <c r="S653" s="6" t="s">
        <v>5</v>
      </c>
      <c r="T653" s="5" t="s">
        <v>5</v>
      </c>
      <c r="U653" s="8" t="s">
        <v>5</v>
      </c>
      <c r="V653" s="6" t="s">
        <v>5</v>
      </c>
      <c r="W653" s="8" t="s">
        <v>5</v>
      </c>
      <c r="X653" s="22">
        <v>0.875</v>
      </c>
      <c r="Y653" s="6" t="s">
        <v>5</v>
      </c>
      <c r="Z653" s="6" t="s">
        <v>5</v>
      </c>
      <c r="AA653" s="6" t="s">
        <v>5</v>
      </c>
      <c r="AB653" s="8" t="s">
        <v>5</v>
      </c>
      <c r="AC653" s="8" t="s">
        <v>5</v>
      </c>
      <c r="AD653" s="6" t="s">
        <v>5</v>
      </c>
      <c r="AE653" s="7">
        <v>2.6</v>
      </c>
      <c r="AF653" s="6" t="s">
        <v>5</v>
      </c>
      <c r="AG653" s="6" t="s">
        <v>5</v>
      </c>
      <c r="AH653" s="7">
        <v>1.43</v>
      </c>
      <c r="AI653" s="6" t="s">
        <v>5</v>
      </c>
      <c r="AJ653" s="7">
        <v>9.14</v>
      </c>
      <c r="AK653" s="6" t="s">
        <v>5</v>
      </c>
      <c r="AL653" s="6" t="s">
        <v>5</v>
      </c>
      <c r="AM653" s="6" t="s">
        <v>5</v>
      </c>
      <c r="AN653" s="6" t="s">
        <v>5</v>
      </c>
      <c r="AO653" s="6">
        <v>145</v>
      </c>
      <c r="AP653" s="4">
        <v>48.6</v>
      </c>
      <c r="AQ653" s="4">
        <v>26.8</v>
      </c>
      <c r="AR653" s="7">
        <v>2.5</v>
      </c>
      <c r="AS653" s="6">
        <v>159</v>
      </c>
      <c r="AT653" s="6">
        <v>45.4</v>
      </c>
      <c r="AU653" s="6">
        <v>24.9</v>
      </c>
      <c r="AV653" s="7">
        <v>2.63</v>
      </c>
      <c r="AW653" s="6" t="s">
        <v>5</v>
      </c>
      <c r="AX653" s="6" t="s">
        <v>5</v>
      </c>
      <c r="AY653" s="6" t="s">
        <v>5</v>
      </c>
      <c r="AZ653" s="6" t="s">
        <v>5</v>
      </c>
      <c r="BA653" s="6" t="s">
        <v>5</v>
      </c>
      <c r="BB653" s="6" t="s">
        <v>5</v>
      </c>
      <c r="BC653" s="6" t="s">
        <v>5</v>
      </c>
      <c r="BD653" s="6" t="s">
        <v>5</v>
      </c>
      <c r="BE653" s="6" t="s">
        <v>5</v>
      </c>
      <c r="BF653" s="6" t="s">
        <v>5</v>
      </c>
      <c r="BG653" s="6" t="s">
        <v>5</v>
      </c>
      <c r="BH653" s="6" t="s">
        <v>5</v>
      </c>
      <c r="BI653" s="7">
        <v>4.2300000000000004</v>
      </c>
      <c r="BJ653" s="22">
        <v>0.73899999999999999</v>
      </c>
      <c r="BK653" s="6" t="s">
        <v>5</v>
      </c>
      <c r="BL653" s="2" t="s">
        <v>5</v>
      </c>
      <c r="BM653" s="2" t="s">
        <v>5</v>
      </c>
      <c r="BN653" s="2" t="s">
        <v>5</v>
      </c>
      <c r="BO653" s="2" t="s">
        <v>5</v>
      </c>
      <c r="BP653" s="2" t="s">
        <v>5</v>
      </c>
      <c r="BQ653" s="2" t="s">
        <v>5</v>
      </c>
      <c r="BR653" s="2" t="s">
        <v>5</v>
      </c>
      <c r="BS653" s="2" t="s">
        <v>5</v>
      </c>
      <c r="BT653" s="2" t="s">
        <v>5</v>
      </c>
      <c r="BU653" s="2" t="s">
        <v>5</v>
      </c>
      <c r="BV653" s="2" t="s">
        <v>5</v>
      </c>
      <c r="BW653" s="2" t="s">
        <v>5</v>
      </c>
      <c r="BX653" s="2" t="s">
        <v>5</v>
      </c>
      <c r="BY653" s="25" t="s">
        <v>5</v>
      </c>
      <c r="BZ653" s="25" t="s">
        <v>5</v>
      </c>
      <c r="CA653" s="6" t="s">
        <v>5</v>
      </c>
      <c r="CB653" s="6" t="s">
        <v>5</v>
      </c>
      <c r="CC653" s="6" t="s">
        <v>5</v>
      </c>
      <c r="CD653" s="6" t="s">
        <v>5</v>
      </c>
      <c r="CE653" s="6" t="s">
        <v>5</v>
      </c>
      <c r="CF653" s="16" t="s">
        <v>5</v>
      </c>
      <c r="CG653" s="16" t="s">
        <v>5</v>
      </c>
      <c r="CH653" s="18" t="s">
        <v>5</v>
      </c>
    </row>
    <row r="654" spans="2:86">
      <c r="B654" s="78" t="s">
        <v>473</v>
      </c>
      <c r="C654" s="79" t="s">
        <v>754</v>
      </c>
      <c r="D654" s="80" t="s">
        <v>754</v>
      </c>
      <c r="E654" s="1" t="s">
        <v>4</v>
      </c>
      <c r="F654" s="4">
        <v>67.599999999999994</v>
      </c>
      <c r="G654" s="4">
        <v>20</v>
      </c>
      <c r="H654" s="3" t="str">
        <f t="shared" si="29"/>
        <v>2L8X6X3/4LLBB</v>
      </c>
      <c r="I654" s="7">
        <v>8</v>
      </c>
      <c r="J654" s="5" t="s">
        <v>5</v>
      </c>
      <c r="K654" s="6" t="s">
        <v>5</v>
      </c>
      <c r="L654" s="6" t="s">
        <v>5</v>
      </c>
      <c r="M654" s="6" t="s">
        <v>5</v>
      </c>
      <c r="N654" s="6" t="s">
        <v>5</v>
      </c>
      <c r="O654" s="5" t="s">
        <v>5</v>
      </c>
      <c r="P654" s="5" t="s">
        <v>5</v>
      </c>
      <c r="Q654" s="7">
        <v>6</v>
      </c>
      <c r="R654" s="6" t="s">
        <v>5</v>
      </c>
      <c r="S654" s="6" t="s">
        <v>5</v>
      </c>
      <c r="T654" s="5" t="s">
        <v>5</v>
      </c>
      <c r="U654" s="8" t="s">
        <v>5</v>
      </c>
      <c r="V654" s="6" t="s">
        <v>5</v>
      </c>
      <c r="W654" s="8" t="s">
        <v>5</v>
      </c>
      <c r="X654" s="22">
        <v>0.75</v>
      </c>
      <c r="Y654" s="6" t="s">
        <v>5</v>
      </c>
      <c r="Z654" s="6" t="s">
        <v>5</v>
      </c>
      <c r="AA654" s="6" t="s">
        <v>5</v>
      </c>
      <c r="AB654" s="8" t="s">
        <v>5</v>
      </c>
      <c r="AC654" s="8" t="s">
        <v>5</v>
      </c>
      <c r="AD654" s="6" t="s">
        <v>5</v>
      </c>
      <c r="AE654" s="7">
        <v>2.5499999999999998</v>
      </c>
      <c r="AF654" s="6" t="s">
        <v>5</v>
      </c>
      <c r="AG654" s="6" t="s">
        <v>5</v>
      </c>
      <c r="AH654" s="7">
        <v>1.34</v>
      </c>
      <c r="AI654" s="6" t="s">
        <v>5</v>
      </c>
      <c r="AJ654" s="4">
        <v>10.7</v>
      </c>
      <c r="AK654" s="6" t="s">
        <v>5</v>
      </c>
      <c r="AL654" s="6" t="s">
        <v>5</v>
      </c>
      <c r="AM654" s="6" t="s">
        <v>5</v>
      </c>
      <c r="AN654" s="6" t="s">
        <v>5</v>
      </c>
      <c r="AO654" s="6">
        <v>127</v>
      </c>
      <c r="AP654" s="4">
        <v>42.2</v>
      </c>
      <c r="AQ654" s="4">
        <v>23.4</v>
      </c>
      <c r="AR654" s="7">
        <v>2.52</v>
      </c>
      <c r="AS654" s="6">
        <v>110</v>
      </c>
      <c r="AT654" s="6">
        <v>31.2</v>
      </c>
      <c r="AU654" s="6">
        <v>18.3</v>
      </c>
      <c r="AV654" s="7">
        <v>2.35</v>
      </c>
      <c r="AW654" s="6" t="s">
        <v>5</v>
      </c>
      <c r="AX654" s="6" t="s">
        <v>5</v>
      </c>
      <c r="AY654" s="6" t="s">
        <v>5</v>
      </c>
      <c r="AZ654" s="6" t="s">
        <v>5</v>
      </c>
      <c r="BA654" s="6" t="s">
        <v>5</v>
      </c>
      <c r="BB654" s="6" t="s">
        <v>5</v>
      </c>
      <c r="BC654" s="6" t="s">
        <v>5</v>
      </c>
      <c r="BD654" s="6" t="s">
        <v>5</v>
      </c>
      <c r="BE654" s="6" t="s">
        <v>5</v>
      </c>
      <c r="BF654" s="6" t="s">
        <v>5</v>
      </c>
      <c r="BG654" s="6" t="s">
        <v>5</v>
      </c>
      <c r="BH654" s="6" t="s">
        <v>5</v>
      </c>
      <c r="BI654" s="7">
        <v>4.07</v>
      </c>
      <c r="BJ654" s="22">
        <v>0.71399999999999997</v>
      </c>
      <c r="BK654" s="6" t="s">
        <v>5</v>
      </c>
      <c r="BL654" s="2" t="s">
        <v>5</v>
      </c>
      <c r="BM654" s="2" t="s">
        <v>5</v>
      </c>
      <c r="BN654" s="2" t="s">
        <v>5</v>
      </c>
      <c r="BO654" s="2" t="s">
        <v>5</v>
      </c>
      <c r="BP654" s="2" t="s">
        <v>5</v>
      </c>
      <c r="BQ654" s="2" t="s">
        <v>5</v>
      </c>
      <c r="BR654" s="2" t="s">
        <v>5</v>
      </c>
      <c r="BS654" s="2" t="s">
        <v>5</v>
      </c>
      <c r="BT654" s="2" t="s">
        <v>5</v>
      </c>
      <c r="BU654" s="2" t="s">
        <v>5</v>
      </c>
      <c r="BV654" s="2" t="s">
        <v>5</v>
      </c>
      <c r="BW654" s="2" t="s">
        <v>5</v>
      </c>
      <c r="BX654" s="2" t="s">
        <v>5</v>
      </c>
      <c r="BY654" s="25" t="s">
        <v>5</v>
      </c>
      <c r="BZ654" s="25" t="s">
        <v>5</v>
      </c>
      <c r="CA654" s="6" t="s">
        <v>5</v>
      </c>
      <c r="CB654" s="6" t="s">
        <v>5</v>
      </c>
      <c r="CC654" s="6" t="s">
        <v>5</v>
      </c>
      <c r="CD654" s="6" t="s">
        <v>5</v>
      </c>
      <c r="CE654" s="6" t="s">
        <v>5</v>
      </c>
      <c r="CF654" s="16" t="s">
        <v>5</v>
      </c>
      <c r="CG654" s="16" t="s">
        <v>5</v>
      </c>
      <c r="CH654" s="18" t="s">
        <v>5</v>
      </c>
    </row>
    <row r="655" spans="2:86">
      <c r="B655" s="78" t="s">
        <v>473</v>
      </c>
      <c r="C655" s="79" t="s">
        <v>755</v>
      </c>
      <c r="D655" s="80" t="s">
        <v>755</v>
      </c>
      <c r="E655" s="1" t="s">
        <v>4</v>
      </c>
      <c r="F655" s="4">
        <v>67.599999999999994</v>
      </c>
      <c r="G655" s="4">
        <v>20</v>
      </c>
      <c r="H655" s="3" t="str">
        <f t="shared" si="29"/>
        <v>2L8X6X3/4X3/8LLBB</v>
      </c>
      <c r="I655" s="7">
        <v>8</v>
      </c>
      <c r="J655" s="5" t="s">
        <v>5</v>
      </c>
      <c r="K655" s="6" t="s">
        <v>5</v>
      </c>
      <c r="L655" s="6" t="s">
        <v>5</v>
      </c>
      <c r="M655" s="6" t="s">
        <v>5</v>
      </c>
      <c r="N655" s="6" t="s">
        <v>5</v>
      </c>
      <c r="O655" s="5" t="s">
        <v>5</v>
      </c>
      <c r="P655" s="5" t="s">
        <v>5</v>
      </c>
      <c r="Q655" s="7">
        <v>6</v>
      </c>
      <c r="R655" s="6" t="s">
        <v>5</v>
      </c>
      <c r="S655" s="6" t="s">
        <v>5</v>
      </c>
      <c r="T655" s="5" t="s">
        <v>5</v>
      </c>
      <c r="U655" s="8" t="s">
        <v>5</v>
      </c>
      <c r="V655" s="6" t="s">
        <v>5</v>
      </c>
      <c r="W655" s="8" t="s">
        <v>5</v>
      </c>
      <c r="X655" s="22">
        <v>0.75</v>
      </c>
      <c r="Y655" s="6" t="s">
        <v>5</v>
      </c>
      <c r="Z655" s="6" t="s">
        <v>5</v>
      </c>
      <c r="AA655" s="6" t="s">
        <v>5</v>
      </c>
      <c r="AB655" s="8" t="s">
        <v>5</v>
      </c>
      <c r="AC655" s="8" t="s">
        <v>5</v>
      </c>
      <c r="AD655" s="6" t="s">
        <v>5</v>
      </c>
      <c r="AE655" s="7">
        <v>2.5499999999999998</v>
      </c>
      <c r="AF655" s="6" t="s">
        <v>5</v>
      </c>
      <c r="AG655" s="6" t="s">
        <v>5</v>
      </c>
      <c r="AH655" s="7">
        <v>1.34</v>
      </c>
      <c r="AI655" s="6" t="s">
        <v>5</v>
      </c>
      <c r="AJ655" s="4">
        <v>10.7</v>
      </c>
      <c r="AK655" s="6" t="s">
        <v>5</v>
      </c>
      <c r="AL655" s="6" t="s">
        <v>5</v>
      </c>
      <c r="AM655" s="6" t="s">
        <v>5</v>
      </c>
      <c r="AN655" s="6" t="s">
        <v>5</v>
      </c>
      <c r="AO655" s="6">
        <v>127</v>
      </c>
      <c r="AP655" s="4">
        <v>42.2</v>
      </c>
      <c r="AQ655" s="4">
        <v>23.4</v>
      </c>
      <c r="AR655" s="7">
        <v>2.52</v>
      </c>
      <c r="AS655" s="6">
        <v>122</v>
      </c>
      <c r="AT655" s="6">
        <v>34.9</v>
      </c>
      <c r="AU655" s="6">
        <v>19.7</v>
      </c>
      <c r="AV655" s="7">
        <v>2.4700000000000002</v>
      </c>
      <c r="AW655" s="6" t="s">
        <v>5</v>
      </c>
      <c r="AX655" s="6" t="s">
        <v>5</v>
      </c>
      <c r="AY655" s="6" t="s">
        <v>5</v>
      </c>
      <c r="AZ655" s="6" t="s">
        <v>5</v>
      </c>
      <c r="BA655" s="6" t="s">
        <v>5</v>
      </c>
      <c r="BB655" s="6" t="s">
        <v>5</v>
      </c>
      <c r="BC655" s="6" t="s">
        <v>5</v>
      </c>
      <c r="BD655" s="6" t="s">
        <v>5</v>
      </c>
      <c r="BE655" s="6" t="s">
        <v>5</v>
      </c>
      <c r="BF655" s="6" t="s">
        <v>5</v>
      </c>
      <c r="BG655" s="6" t="s">
        <v>5</v>
      </c>
      <c r="BH655" s="6" t="s">
        <v>5</v>
      </c>
      <c r="BI655" s="7">
        <v>4.1500000000000004</v>
      </c>
      <c r="BJ655" s="22">
        <v>0.72499999999999998</v>
      </c>
      <c r="BK655" s="6" t="s">
        <v>5</v>
      </c>
      <c r="BL655" s="2" t="s">
        <v>5</v>
      </c>
      <c r="BM655" s="2" t="s">
        <v>5</v>
      </c>
      <c r="BN655" s="2" t="s">
        <v>5</v>
      </c>
      <c r="BO655" s="2" t="s">
        <v>5</v>
      </c>
      <c r="BP655" s="2" t="s">
        <v>5</v>
      </c>
      <c r="BQ655" s="2" t="s">
        <v>5</v>
      </c>
      <c r="BR655" s="2" t="s">
        <v>5</v>
      </c>
      <c r="BS655" s="2" t="s">
        <v>5</v>
      </c>
      <c r="BT655" s="2" t="s">
        <v>5</v>
      </c>
      <c r="BU655" s="2" t="s">
        <v>5</v>
      </c>
      <c r="BV655" s="2" t="s">
        <v>5</v>
      </c>
      <c r="BW655" s="2" t="s">
        <v>5</v>
      </c>
      <c r="BX655" s="2" t="s">
        <v>5</v>
      </c>
      <c r="BY655" s="25" t="s">
        <v>5</v>
      </c>
      <c r="BZ655" s="25" t="s">
        <v>5</v>
      </c>
      <c r="CA655" s="6" t="s">
        <v>5</v>
      </c>
      <c r="CB655" s="6" t="s">
        <v>5</v>
      </c>
      <c r="CC655" s="6" t="s">
        <v>5</v>
      </c>
      <c r="CD655" s="6" t="s">
        <v>5</v>
      </c>
      <c r="CE655" s="6" t="s">
        <v>5</v>
      </c>
      <c r="CF655" s="16" t="s">
        <v>5</v>
      </c>
      <c r="CG655" s="16" t="s">
        <v>5</v>
      </c>
      <c r="CH655" s="18" t="s">
        <v>5</v>
      </c>
    </row>
    <row r="656" spans="2:86">
      <c r="B656" s="78" t="s">
        <v>473</v>
      </c>
      <c r="C656" s="79" t="s">
        <v>756</v>
      </c>
      <c r="D656" s="80" t="s">
        <v>756</v>
      </c>
      <c r="E656" s="1" t="s">
        <v>4</v>
      </c>
      <c r="F656" s="4">
        <v>67.599999999999994</v>
      </c>
      <c r="G656" s="4">
        <v>20</v>
      </c>
      <c r="H656" s="3" t="str">
        <f t="shared" si="29"/>
        <v>2L8X6X3/4X3/4LLBB</v>
      </c>
      <c r="I656" s="7">
        <v>8</v>
      </c>
      <c r="J656" s="5" t="s">
        <v>5</v>
      </c>
      <c r="K656" s="6" t="s">
        <v>5</v>
      </c>
      <c r="L656" s="6" t="s">
        <v>5</v>
      </c>
      <c r="M656" s="6" t="s">
        <v>5</v>
      </c>
      <c r="N656" s="6" t="s">
        <v>5</v>
      </c>
      <c r="O656" s="5" t="s">
        <v>5</v>
      </c>
      <c r="P656" s="5" t="s">
        <v>5</v>
      </c>
      <c r="Q656" s="7">
        <v>6</v>
      </c>
      <c r="R656" s="6" t="s">
        <v>5</v>
      </c>
      <c r="S656" s="6" t="s">
        <v>5</v>
      </c>
      <c r="T656" s="5" t="s">
        <v>5</v>
      </c>
      <c r="U656" s="8" t="s">
        <v>5</v>
      </c>
      <c r="V656" s="6" t="s">
        <v>5</v>
      </c>
      <c r="W656" s="8" t="s">
        <v>5</v>
      </c>
      <c r="X656" s="22">
        <v>0.75</v>
      </c>
      <c r="Y656" s="6" t="s">
        <v>5</v>
      </c>
      <c r="Z656" s="6" t="s">
        <v>5</v>
      </c>
      <c r="AA656" s="6" t="s">
        <v>5</v>
      </c>
      <c r="AB656" s="8" t="s">
        <v>5</v>
      </c>
      <c r="AC656" s="8" t="s">
        <v>5</v>
      </c>
      <c r="AD656" s="6" t="s">
        <v>5</v>
      </c>
      <c r="AE656" s="7">
        <v>2.5499999999999998</v>
      </c>
      <c r="AF656" s="6" t="s">
        <v>5</v>
      </c>
      <c r="AG656" s="6" t="s">
        <v>5</v>
      </c>
      <c r="AH656" s="7">
        <v>1.34</v>
      </c>
      <c r="AI656" s="6" t="s">
        <v>5</v>
      </c>
      <c r="AJ656" s="4">
        <v>10.7</v>
      </c>
      <c r="AK656" s="6" t="s">
        <v>5</v>
      </c>
      <c r="AL656" s="6" t="s">
        <v>5</v>
      </c>
      <c r="AM656" s="6" t="s">
        <v>5</v>
      </c>
      <c r="AN656" s="6" t="s">
        <v>5</v>
      </c>
      <c r="AO656" s="6">
        <v>127</v>
      </c>
      <c r="AP656" s="4">
        <v>42.2</v>
      </c>
      <c r="AQ656" s="4">
        <v>23.4</v>
      </c>
      <c r="AR656" s="7">
        <v>2.52</v>
      </c>
      <c r="AS656" s="6">
        <v>136</v>
      </c>
      <c r="AT656" s="6">
        <v>38.700000000000003</v>
      </c>
      <c r="AU656" s="6">
        <v>21.3</v>
      </c>
      <c r="AV656" s="7">
        <v>2.61</v>
      </c>
      <c r="AW656" s="6" t="s">
        <v>5</v>
      </c>
      <c r="AX656" s="6" t="s">
        <v>5</v>
      </c>
      <c r="AY656" s="6" t="s">
        <v>5</v>
      </c>
      <c r="AZ656" s="6" t="s">
        <v>5</v>
      </c>
      <c r="BA656" s="6" t="s">
        <v>5</v>
      </c>
      <c r="BB656" s="6" t="s">
        <v>5</v>
      </c>
      <c r="BC656" s="6" t="s">
        <v>5</v>
      </c>
      <c r="BD656" s="6" t="s">
        <v>5</v>
      </c>
      <c r="BE656" s="6" t="s">
        <v>5</v>
      </c>
      <c r="BF656" s="6" t="s">
        <v>5</v>
      </c>
      <c r="BG656" s="6" t="s">
        <v>5</v>
      </c>
      <c r="BH656" s="6" t="s">
        <v>5</v>
      </c>
      <c r="BI656" s="7">
        <v>4.2300000000000004</v>
      </c>
      <c r="BJ656" s="22">
        <v>0.73499999999999999</v>
      </c>
      <c r="BK656" s="6" t="s">
        <v>5</v>
      </c>
      <c r="BL656" s="2" t="s">
        <v>5</v>
      </c>
      <c r="BM656" s="2" t="s">
        <v>5</v>
      </c>
      <c r="BN656" s="2" t="s">
        <v>5</v>
      </c>
      <c r="BO656" s="2" t="s">
        <v>5</v>
      </c>
      <c r="BP656" s="2" t="s">
        <v>5</v>
      </c>
      <c r="BQ656" s="2" t="s">
        <v>5</v>
      </c>
      <c r="BR656" s="2" t="s">
        <v>5</v>
      </c>
      <c r="BS656" s="2" t="s">
        <v>5</v>
      </c>
      <c r="BT656" s="2" t="s">
        <v>5</v>
      </c>
      <c r="BU656" s="2" t="s">
        <v>5</v>
      </c>
      <c r="BV656" s="2" t="s">
        <v>5</v>
      </c>
      <c r="BW656" s="2" t="s">
        <v>5</v>
      </c>
      <c r="BX656" s="2" t="s">
        <v>5</v>
      </c>
      <c r="BY656" s="25" t="s">
        <v>5</v>
      </c>
      <c r="BZ656" s="25" t="s">
        <v>5</v>
      </c>
      <c r="CA656" s="6" t="s">
        <v>5</v>
      </c>
      <c r="CB656" s="6" t="s">
        <v>5</v>
      </c>
      <c r="CC656" s="6" t="s">
        <v>5</v>
      </c>
      <c r="CD656" s="6" t="s">
        <v>5</v>
      </c>
      <c r="CE656" s="6" t="s">
        <v>5</v>
      </c>
      <c r="CF656" s="16" t="s">
        <v>5</v>
      </c>
      <c r="CG656" s="16" t="s">
        <v>5</v>
      </c>
      <c r="CH656" s="18" t="s">
        <v>5</v>
      </c>
    </row>
    <row r="657" spans="2:86">
      <c r="B657" s="78" t="s">
        <v>473</v>
      </c>
      <c r="C657" s="79" t="s">
        <v>757</v>
      </c>
      <c r="D657" s="80" t="s">
        <v>757</v>
      </c>
      <c r="E657" s="1" t="s">
        <v>4</v>
      </c>
      <c r="F657" s="4">
        <v>57</v>
      </c>
      <c r="G657" s="4">
        <v>16.8</v>
      </c>
      <c r="H657" s="3" t="str">
        <f t="shared" si="29"/>
        <v>2L8X6X5/8LLBB</v>
      </c>
      <c r="I657" s="7">
        <v>8</v>
      </c>
      <c r="J657" s="5" t="s">
        <v>5</v>
      </c>
      <c r="K657" s="6" t="s">
        <v>5</v>
      </c>
      <c r="L657" s="6" t="s">
        <v>5</v>
      </c>
      <c r="M657" s="6" t="s">
        <v>5</v>
      </c>
      <c r="N657" s="6" t="s">
        <v>5</v>
      </c>
      <c r="O657" s="5" t="s">
        <v>5</v>
      </c>
      <c r="P657" s="5" t="s">
        <v>5</v>
      </c>
      <c r="Q657" s="7">
        <v>6</v>
      </c>
      <c r="R657" s="6" t="s">
        <v>5</v>
      </c>
      <c r="S657" s="6" t="s">
        <v>5</v>
      </c>
      <c r="T657" s="5" t="s">
        <v>5</v>
      </c>
      <c r="U657" s="8" t="s">
        <v>5</v>
      </c>
      <c r="V657" s="6" t="s">
        <v>5</v>
      </c>
      <c r="W657" s="8" t="s">
        <v>5</v>
      </c>
      <c r="X657" s="22">
        <v>0.625</v>
      </c>
      <c r="Y657" s="6" t="s">
        <v>5</v>
      </c>
      <c r="Z657" s="6" t="s">
        <v>5</v>
      </c>
      <c r="AA657" s="6" t="s">
        <v>5</v>
      </c>
      <c r="AB657" s="8" t="s">
        <v>5</v>
      </c>
      <c r="AC657" s="8" t="s">
        <v>5</v>
      </c>
      <c r="AD657" s="6" t="s">
        <v>5</v>
      </c>
      <c r="AE657" s="7">
        <v>2.5</v>
      </c>
      <c r="AF657" s="6" t="s">
        <v>5</v>
      </c>
      <c r="AG657" s="6" t="s">
        <v>5</v>
      </c>
      <c r="AH657" s="7">
        <v>1.27</v>
      </c>
      <c r="AI657" s="6" t="s">
        <v>5</v>
      </c>
      <c r="AJ657" s="4">
        <v>12.8</v>
      </c>
      <c r="AK657" s="6" t="s">
        <v>5</v>
      </c>
      <c r="AL657" s="6" t="s">
        <v>5</v>
      </c>
      <c r="AM657" s="6" t="s">
        <v>5</v>
      </c>
      <c r="AN657" s="6" t="s">
        <v>5</v>
      </c>
      <c r="AO657" s="6">
        <v>108</v>
      </c>
      <c r="AP657" s="4">
        <v>35.799999999999997</v>
      </c>
      <c r="AQ657" s="4">
        <v>19.7</v>
      </c>
      <c r="AR657" s="7">
        <v>2.54</v>
      </c>
      <c r="AS657" s="6">
        <v>91.2</v>
      </c>
      <c r="AT657" s="6">
        <v>25.4</v>
      </c>
      <c r="AU657" s="6">
        <v>15.2</v>
      </c>
      <c r="AV657" s="7">
        <v>2.33</v>
      </c>
      <c r="AW657" s="6" t="s">
        <v>5</v>
      </c>
      <c r="AX657" s="6" t="s">
        <v>5</v>
      </c>
      <c r="AY657" s="6" t="s">
        <v>5</v>
      </c>
      <c r="AZ657" s="6" t="s">
        <v>5</v>
      </c>
      <c r="BA657" s="6" t="s">
        <v>5</v>
      </c>
      <c r="BB657" s="6" t="s">
        <v>5</v>
      </c>
      <c r="BC657" s="6" t="s">
        <v>5</v>
      </c>
      <c r="BD657" s="6" t="s">
        <v>5</v>
      </c>
      <c r="BE657" s="6" t="s">
        <v>5</v>
      </c>
      <c r="BF657" s="6" t="s">
        <v>5</v>
      </c>
      <c r="BG657" s="6" t="s">
        <v>5</v>
      </c>
      <c r="BH657" s="6" t="s">
        <v>5</v>
      </c>
      <c r="BI657" s="7">
        <v>4.08</v>
      </c>
      <c r="BJ657" s="22">
        <v>0.71199999999999997</v>
      </c>
      <c r="BK657" s="6" t="s">
        <v>5</v>
      </c>
      <c r="BL657" s="2" t="s">
        <v>5</v>
      </c>
      <c r="BM657" s="2" t="s">
        <v>5</v>
      </c>
      <c r="BN657" s="2" t="s">
        <v>5</v>
      </c>
      <c r="BO657" s="2" t="s">
        <v>5</v>
      </c>
      <c r="BP657" s="2" t="s">
        <v>5</v>
      </c>
      <c r="BQ657" s="2" t="s">
        <v>5</v>
      </c>
      <c r="BR657" s="2" t="s">
        <v>5</v>
      </c>
      <c r="BS657" s="2" t="s">
        <v>5</v>
      </c>
      <c r="BT657" s="2" t="s">
        <v>5</v>
      </c>
      <c r="BU657" s="2" t="s">
        <v>5</v>
      </c>
      <c r="BV657" s="2" t="s">
        <v>5</v>
      </c>
      <c r="BW657" s="2" t="s">
        <v>5</v>
      </c>
      <c r="BX657" s="2" t="s">
        <v>5</v>
      </c>
      <c r="BY657" s="25" t="s">
        <v>5</v>
      </c>
      <c r="BZ657" s="25" t="s">
        <v>5</v>
      </c>
      <c r="CA657" s="6" t="s">
        <v>5</v>
      </c>
      <c r="CB657" s="6" t="s">
        <v>5</v>
      </c>
      <c r="CC657" s="6" t="s">
        <v>5</v>
      </c>
      <c r="CD657" s="6" t="s">
        <v>5</v>
      </c>
      <c r="CE657" s="6" t="s">
        <v>5</v>
      </c>
      <c r="CF657" s="16" t="s">
        <v>5</v>
      </c>
      <c r="CG657" s="16" t="s">
        <v>5</v>
      </c>
      <c r="CH657" s="18" t="s">
        <v>5</v>
      </c>
    </row>
    <row r="658" spans="2:86">
      <c r="B658" s="78" t="s">
        <v>473</v>
      </c>
      <c r="C658" s="79" t="s">
        <v>758</v>
      </c>
      <c r="D658" s="80" t="s">
        <v>758</v>
      </c>
      <c r="E658" s="1" t="s">
        <v>4</v>
      </c>
      <c r="F658" s="4">
        <v>57</v>
      </c>
      <c r="G658" s="4">
        <v>16.8</v>
      </c>
      <c r="H658" s="3" t="str">
        <f t="shared" si="29"/>
        <v>2L8X6X5/8X3/8LLBB</v>
      </c>
      <c r="I658" s="7">
        <v>8</v>
      </c>
      <c r="J658" s="5" t="s">
        <v>5</v>
      </c>
      <c r="K658" s="6" t="s">
        <v>5</v>
      </c>
      <c r="L658" s="6" t="s">
        <v>5</v>
      </c>
      <c r="M658" s="6" t="s">
        <v>5</v>
      </c>
      <c r="N658" s="6" t="s">
        <v>5</v>
      </c>
      <c r="O658" s="5" t="s">
        <v>5</v>
      </c>
      <c r="P658" s="5" t="s">
        <v>5</v>
      </c>
      <c r="Q658" s="7">
        <v>6</v>
      </c>
      <c r="R658" s="6" t="s">
        <v>5</v>
      </c>
      <c r="S658" s="6" t="s">
        <v>5</v>
      </c>
      <c r="T658" s="5" t="s">
        <v>5</v>
      </c>
      <c r="U658" s="8" t="s">
        <v>5</v>
      </c>
      <c r="V658" s="6" t="s">
        <v>5</v>
      </c>
      <c r="W658" s="8" t="s">
        <v>5</v>
      </c>
      <c r="X658" s="22">
        <v>0.625</v>
      </c>
      <c r="Y658" s="6" t="s">
        <v>5</v>
      </c>
      <c r="Z658" s="6" t="s">
        <v>5</v>
      </c>
      <c r="AA658" s="6" t="s">
        <v>5</v>
      </c>
      <c r="AB658" s="8" t="s">
        <v>5</v>
      </c>
      <c r="AC658" s="8" t="s">
        <v>5</v>
      </c>
      <c r="AD658" s="6" t="s">
        <v>5</v>
      </c>
      <c r="AE658" s="7">
        <v>2.5</v>
      </c>
      <c r="AF658" s="6" t="s">
        <v>5</v>
      </c>
      <c r="AG658" s="6" t="s">
        <v>5</v>
      </c>
      <c r="AH658" s="7">
        <v>1.27</v>
      </c>
      <c r="AI658" s="6" t="s">
        <v>5</v>
      </c>
      <c r="AJ658" s="4">
        <v>12.8</v>
      </c>
      <c r="AK658" s="6" t="s">
        <v>5</v>
      </c>
      <c r="AL658" s="6" t="s">
        <v>5</v>
      </c>
      <c r="AM658" s="6" t="s">
        <v>5</v>
      </c>
      <c r="AN658" s="6" t="s">
        <v>5</v>
      </c>
      <c r="AO658" s="6">
        <v>108</v>
      </c>
      <c r="AP658" s="4">
        <v>35.799999999999997</v>
      </c>
      <c r="AQ658" s="4">
        <v>19.7</v>
      </c>
      <c r="AR658" s="7">
        <v>2.54</v>
      </c>
      <c r="AS658" s="6">
        <v>101</v>
      </c>
      <c r="AT658" s="6">
        <v>28.6</v>
      </c>
      <c r="AU658" s="6">
        <v>16.3</v>
      </c>
      <c r="AV658" s="7">
        <v>2.4500000000000002</v>
      </c>
      <c r="AW658" s="6" t="s">
        <v>5</v>
      </c>
      <c r="AX658" s="6" t="s">
        <v>5</v>
      </c>
      <c r="AY658" s="6" t="s">
        <v>5</v>
      </c>
      <c r="AZ658" s="6" t="s">
        <v>5</v>
      </c>
      <c r="BA658" s="6" t="s">
        <v>5</v>
      </c>
      <c r="BB658" s="6" t="s">
        <v>5</v>
      </c>
      <c r="BC658" s="6" t="s">
        <v>5</v>
      </c>
      <c r="BD658" s="6" t="s">
        <v>5</v>
      </c>
      <c r="BE658" s="6" t="s">
        <v>5</v>
      </c>
      <c r="BF658" s="6" t="s">
        <v>5</v>
      </c>
      <c r="BG658" s="6" t="s">
        <v>5</v>
      </c>
      <c r="BH658" s="6" t="s">
        <v>5</v>
      </c>
      <c r="BI658" s="7">
        <v>4.16</v>
      </c>
      <c r="BJ658" s="22">
        <v>0.72199999999999998</v>
      </c>
      <c r="BK658" s="6" t="s">
        <v>5</v>
      </c>
      <c r="BL658" s="2" t="s">
        <v>5</v>
      </c>
      <c r="BM658" s="2" t="s">
        <v>5</v>
      </c>
      <c r="BN658" s="2" t="s">
        <v>5</v>
      </c>
      <c r="BO658" s="2" t="s">
        <v>5</v>
      </c>
      <c r="BP658" s="2" t="s">
        <v>5</v>
      </c>
      <c r="BQ658" s="2" t="s">
        <v>5</v>
      </c>
      <c r="BR658" s="2" t="s">
        <v>5</v>
      </c>
      <c r="BS658" s="2" t="s">
        <v>5</v>
      </c>
      <c r="BT658" s="2" t="s">
        <v>5</v>
      </c>
      <c r="BU658" s="2" t="s">
        <v>5</v>
      </c>
      <c r="BV658" s="2" t="s">
        <v>5</v>
      </c>
      <c r="BW658" s="2" t="s">
        <v>5</v>
      </c>
      <c r="BX658" s="2" t="s">
        <v>5</v>
      </c>
      <c r="BY658" s="25" t="s">
        <v>5</v>
      </c>
      <c r="BZ658" s="25" t="s">
        <v>5</v>
      </c>
      <c r="CA658" s="6" t="s">
        <v>5</v>
      </c>
      <c r="CB658" s="6" t="s">
        <v>5</v>
      </c>
      <c r="CC658" s="6" t="s">
        <v>5</v>
      </c>
      <c r="CD658" s="6" t="s">
        <v>5</v>
      </c>
      <c r="CE658" s="6" t="s">
        <v>5</v>
      </c>
      <c r="CF658" s="16" t="s">
        <v>5</v>
      </c>
      <c r="CG658" s="16" t="s">
        <v>5</v>
      </c>
      <c r="CH658" s="18" t="s">
        <v>5</v>
      </c>
    </row>
    <row r="659" spans="2:86">
      <c r="B659" s="78" t="s">
        <v>473</v>
      </c>
      <c r="C659" s="79" t="s">
        <v>759</v>
      </c>
      <c r="D659" s="80" t="s">
        <v>759</v>
      </c>
      <c r="E659" s="1" t="s">
        <v>4</v>
      </c>
      <c r="F659" s="4">
        <v>57</v>
      </c>
      <c r="G659" s="4">
        <v>16.8</v>
      </c>
      <c r="H659" s="3" t="str">
        <f t="shared" si="29"/>
        <v>2L8X6X5/8X3/4LLBB</v>
      </c>
      <c r="I659" s="7">
        <v>8</v>
      </c>
      <c r="J659" s="5" t="s">
        <v>5</v>
      </c>
      <c r="K659" s="6" t="s">
        <v>5</v>
      </c>
      <c r="L659" s="6" t="s">
        <v>5</v>
      </c>
      <c r="M659" s="6" t="s">
        <v>5</v>
      </c>
      <c r="N659" s="6" t="s">
        <v>5</v>
      </c>
      <c r="O659" s="5" t="s">
        <v>5</v>
      </c>
      <c r="P659" s="5" t="s">
        <v>5</v>
      </c>
      <c r="Q659" s="7">
        <v>6</v>
      </c>
      <c r="R659" s="6" t="s">
        <v>5</v>
      </c>
      <c r="S659" s="6" t="s">
        <v>5</v>
      </c>
      <c r="T659" s="5" t="s">
        <v>5</v>
      </c>
      <c r="U659" s="8" t="s">
        <v>5</v>
      </c>
      <c r="V659" s="6" t="s">
        <v>5</v>
      </c>
      <c r="W659" s="8" t="s">
        <v>5</v>
      </c>
      <c r="X659" s="22">
        <v>0.625</v>
      </c>
      <c r="Y659" s="6" t="s">
        <v>5</v>
      </c>
      <c r="Z659" s="6" t="s">
        <v>5</v>
      </c>
      <c r="AA659" s="6" t="s">
        <v>5</v>
      </c>
      <c r="AB659" s="8" t="s">
        <v>5</v>
      </c>
      <c r="AC659" s="8" t="s">
        <v>5</v>
      </c>
      <c r="AD659" s="6" t="s">
        <v>5</v>
      </c>
      <c r="AE659" s="7">
        <v>2.5</v>
      </c>
      <c r="AF659" s="6" t="s">
        <v>5</v>
      </c>
      <c r="AG659" s="6" t="s">
        <v>5</v>
      </c>
      <c r="AH659" s="7">
        <v>1.27</v>
      </c>
      <c r="AI659" s="6" t="s">
        <v>5</v>
      </c>
      <c r="AJ659" s="4">
        <v>12.8</v>
      </c>
      <c r="AK659" s="6" t="s">
        <v>5</v>
      </c>
      <c r="AL659" s="6" t="s">
        <v>5</v>
      </c>
      <c r="AM659" s="6" t="s">
        <v>5</v>
      </c>
      <c r="AN659" s="6" t="s">
        <v>5</v>
      </c>
      <c r="AO659" s="6">
        <v>108</v>
      </c>
      <c r="AP659" s="4">
        <v>35.799999999999997</v>
      </c>
      <c r="AQ659" s="4">
        <v>19.7</v>
      </c>
      <c r="AR659" s="7">
        <v>2.54</v>
      </c>
      <c r="AS659" s="6">
        <v>113</v>
      </c>
      <c r="AT659" s="6">
        <v>31.7</v>
      </c>
      <c r="AU659" s="6">
        <v>17.7</v>
      </c>
      <c r="AV659" s="7">
        <v>2.59</v>
      </c>
      <c r="AW659" s="6" t="s">
        <v>5</v>
      </c>
      <c r="AX659" s="6" t="s">
        <v>5</v>
      </c>
      <c r="AY659" s="6" t="s">
        <v>5</v>
      </c>
      <c r="AZ659" s="6" t="s">
        <v>5</v>
      </c>
      <c r="BA659" s="6" t="s">
        <v>5</v>
      </c>
      <c r="BB659" s="6" t="s">
        <v>5</v>
      </c>
      <c r="BC659" s="6" t="s">
        <v>5</v>
      </c>
      <c r="BD659" s="6" t="s">
        <v>5</v>
      </c>
      <c r="BE659" s="6" t="s">
        <v>5</v>
      </c>
      <c r="BF659" s="6" t="s">
        <v>5</v>
      </c>
      <c r="BG659" s="6" t="s">
        <v>5</v>
      </c>
      <c r="BH659" s="6" t="s">
        <v>5</v>
      </c>
      <c r="BI659" s="7">
        <v>4.24</v>
      </c>
      <c r="BJ659" s="22">
        <v>0.73199999999999998</v>
      </c>
      <c r="BK659" s="6" t="s">
        <v>5</v>
      </c>
      <c r="BL659" s="2" t="s">
        <v>5</v>
      </c>
      <c r="BM659" s="2" t="s">
        <v>5</v>
      </c>
      <c r="BN659" s="2" t="s">
        <v>5</v>
      </c>
      <c r="BO659" s="2" t="s">
        <v>5</v>
      </c>
      <c r="BP659" s="2" t="s">
        <v>5</v>
      </c>
      <c r="BQ659" s="2" t="s">
        <v>5</v>
      </c>
      <c r="BR659" s="2" t="s">
        <v>5</v>
      </c>
      <c r="BS659" s="2" t="s">
        <v>5</v>
      </c>
      <c r="BT659" s="2" t="s">
        <v>5</v>
      </c>
      <c r="BU659" s="2" t="s">
        <v>5</v>
      </c>
      <c r="BV659" s="2" t="s">
        <v>5</v>
      </c>
      <c r="BW659" s="2" t="s">
        <v>5</v>
      </c>
      <c r="BX659" s="2" t="s">
        <v>5</v>
      </c>
      <c r="BY659" s="25" t="s">
        <v>5</v>
      </c>
      <c r="BZ659" s="25" t="s">
        <v>5</v>
      </c>
      <c r="CA659" s="6" t="s">
        <v>5</v>
      </c>
      <c r="CB659" s="6" t="s">
        <v>5</v>
      </c>
      <c r="CC659" s="6" t="s">
        <v>5</v>
      </c>
      <c r="CD659" s="6" t="s">
        <v>5</v>
      </c>
      <c r="CE659" s="6" t="s">
        <v>5</v>
      </c>
      <c r="CF659" s="16" t="s">
        <v>5</v>
      </c>
      <c r="CG659" s="16" t="s">
        <v>5</v>
      </c>
      <c r="CH659" s="18" t="s">
        <v>5</v>
      </c>
    </row>
    <row r="660" spans="2:86">
      <c r="B660" s="78" t="s">
        <v>473</v>
      </c>
      <c r="C660" s="79" t="s">
        <v>760</v>
      </c>
      <c r="D660" s="80" t="s">
        <v>760</v>
      </c>
      <c r="E660" s="1" t="s">
        <v>4</v>
      </c>
      <c r="F660" s="4">
        <v>51.4</v>
      </c>
      <c r="G660" s="4">
        <v>15.2</v>
      </c>
      <c r="H660" s="3" t="str">
        <f t="shared" si="29"/>
        <v>2L8X6X9/16LLBB</v>
      </c>
      <c r="I660" s="7">
        <v>8</v>
      </c>
      <c r="J660" s="5" t="s">
        <v>5</v>
      </c>
      <c r="K660" s="6" t="s">
        <v>5</v>
      </c>
      <c r="L660" s="6" t="s">
        <v>5</v>
      </c>
      <c r="M660" s="6" t="s">
        <v>5</v>
      </c>
      <c r="N660" s="6" t="s">
        <v>5</v>
      </c>
      <c r="O660" s="5" t="s">
        <v>5</v>
      </c>
      <c r="P660" s="5" t="s">
        <v>5</v>
      </c>
      <c r="Q660" s="7">
        <v>6</v>
      </c>
      <c r="R660" s="6" t="s">
        <v>5</v>
      </c>
      <c r="S660" s="6" t="s">
        <v>5</v>
      </c>
      <c r="T660" s="5" t="s">
        <v>5</v>
      </c>
      <c r="U660" s="8" t="s">
        <v>5</v>
      </c>
      <c r="V660" s="6" t="s">
        <v>5</v>
      </c>
      <c r="W660" s="8" t="s">
        <v>5</v>
      </c>
      <c r="X660" s="22">
        <v>0.56299999999999994</v>
      </c>
      <c r="Y660" s="6" t="s">
        <v>5</v>
      </c>
      <c r="Z660" s="6" t="s">
        <v>5</v>
      </c>
      <c r="AA660" s="6" t="s">
        <v>5</v>
      </c>
      <c r="AB660" s="8" t="s">
        <v>5</v>
      </c>
      <c r="AC660" s="8" t="s">
        <v>5</v>
      </c>
      <c r="AD660" s="6" t="s">
        <v>5</v>
      </c>
      <c r="AE660" s="7">
        <v>2.48</v>
      </c>
      <c r="AF660" s="6" t="s">
        <v>5</v>
      </c>
      <c r="AG660" s="6" t="s">
        <v>5</v>
      </c>
      <c r="AH660" s="7">
        <v>1.24</v>
      </c>
      <c r="AI660" s="6" t="s">
        <v>5</v>
      </c>
      <c r="AJ660" s="4">
        <v>14.2</v>
      </c>
      <c r="AK660" s="6" t="s">
        <v>5</v>
      </c>
      <c r="AL660" s="6" t="s">
        <v>5</v>
      </c>
      <c r="AM660" s="6" t="s">
        <v>5</v>
      </c>
      <c r="AN660" s="6" t="s">
        <v>5</v>
      </c>
      <c r="AO660" s="4">
        <v>98.8</v>
      </c>
      <c r="AP660" s="4">
        <v>32.4</v>
      </c>
      <c r="AQ660" s="4">
        <v>17.899999999999999</v>
      </c>
      <c r="AR660" s="7">
        <v>2.5499999999999998</v>
      </c>
      <c r="AS660" s="6">
        <v>81.8</v>
      </c>
      <c r="AT660" s="6">
        <v>22.7</v>
      </c>
      <c r="AU660" s="6">
        <v>13.6</v>
      </c>
      <c r="AV660" s="7">
        <v>2.3199999999999998</v>
      </c>
      <c r="AW660" s="6" t="s">
        <v>5</v>
      </c>
      <c r="AX660" s="6" t="s">
        <v>5</v>
      </c>
      <c r="AY660" s="6" t="s">
        <v>5</v>
      </c>
      <c r="AZ660" s="6" t="s">
        <v>5</v>
      </c>
      <c r="BA660" s="6" t="s">
        <v>5</v>
      </c>
      <c r="BB660" s="6" t="s">
        <v>5</v>
      </c>
      <c r="BC660" s="6" t="s">
        <v>5</v>
      </c>
      <c r="BD660" s="6" t="s">
        <v>5</v>
      </c>
      <c r="BE660" s="6" t="s">
        <v>5</v>
      </c>
      <c r="BF660" s="6" t="s">
        <v>5</v>
      </c>
      <c r="BG660" s="6" t="s">
        <v>5</v>
      </c>
      <c r="BH660" s="6" t="s">
        <v>5</v>
      </c>
      <c r="BI660" s="7">
        <v>4.09</v>
      </c>
      <c r="BJ660" s="22">
        <v>0.71</v>
      </c>
      <c r="BK660" s="6" t="s">
        <v>5</v>
      </c>
      <c r="BL660" s="2" t="s">
        <v>5</v>
      </c>
      <c r="BM660" s="2" t="s">
        <v>5</v>
      </c>
      <c r="BN660" s="2" t="s">
        <v>5</v>
      </c>
      <c r="BO660" s="2" t="s">
        <v>5</v>
      </c>
      <c r="BP660" s="2" t="s">
        <v>5</v>
      </c>
      <c r="BQ660" s="2" t="s">
        <v>5</v>
      </c>
      <c r="BR660" s="2" t="s">
        <v>5</v>
      </c>
      <c r="BS660" s="2" t="s">
        <v>5</v>
      </c>
      <c r="BT660" s="2" t="s">
        <v>5</v>
      </c>
      <c r="BU660" s="2" t="s">
        <v>5</v>
      </c>
      <c r="BV660" s="2" t="s">
        <v>5</v>
      </c>
      <c r="BW660" s="2" t="s">
        <v>5</v>
      </c>
      <c r="BX660" s="2" t="s">
        <v>5</v>
      </c>
      <c r="BY660" s="25" t="s">
        <v>5</v>
      </c>
      <c r="BZ660" s="25" t="s">
        <v>5</v>
      </c>
      <c r="CA660" s="6" t="s">
        <v>5</v>
      </c>
      <c r="CB660" s="6" t="s">
        <v>5</v>
      </c>
      <c r="CC660" s="6" t="s">
        <v>5</v>
      </c>
      <c r="CD660" s="6" t="s">
        <v>5</v>
      </c>
      <c r="CE660" s="6" t="s">
        <v>5</v>
      </c>
      <c r="CF660" s="16" t="s">
        <v>5</v>
      </c>
      <c r="CG660" s="16" t="s">
        <v>5</v>
      </c>
      <c r="CH660" s="18" t="s">
        <v>5</v>
      </c>
    </row>
    <row r="661" spans="2:86">
      <c r="B661" s="78" t="s">
        <v>473</v>
      </c>
      <c r="C661" s="79" t="s">
        <v>761</v>
      </c>
      <c r="D661" s="80" t="s">
        <v>761</v>
      </c>
      <c r="E661" s="1" t="s">
        <v>4</v>
      </c>
      <c r="F661" s="4">
        <v>51.4</v>
      </c>
      <c r="G661" s="4">
        <v>15.2</v>
      </c>
      <c r="H661" s="3" t="str">
        <f t="shared" si="29"/>
        <v>2L8X6X9/16X3/8LLBB</v>
      </c>
      <c r="I661" s="7">
        <v>8</v>
      </c>
      <c r="J661" s="5" t="s">
        <v>5</v>
      </c>
      <c r="K661" s="6" t="s">
        <v>5</v>
      </c>
      <c r="L661" s="6" t="s">
        <v>5</v>
      </c>
      <c r="M661" s="6" t="s">
        <v>5</v>
      </c>
      <c r="N661" s="6" t="s">
        <v>5</v>
      </c>
      <c r="O661" s="5" t="s">
        <v>5</v>
      </c>
      <c r="P661" s="5" t="s">
        <v>5</v>
      </c>
      <c r="Q661" s="7">
        <v>6</v>
      </c>
      <c r="R661" s="6" t="s">
        <v>5</v>
      </c>
      <c r="S661" s="6" t="s">
        <v>5</v>
      </c>
      <c r="T661" s="5" t="s">
        <v>5</v>
      </c>
      <c r="U661" s="8" t="s">
        <v>5</v>
      </c>
      <c r="V661" s="6" t="s">
        <v>5</v>
      </c>
      <c r="W661" s="8" t="s">
        <v>5</v>
      </c>
      <c r="X661" s="22">
        <v>0.56299999999999994</v>
      </c>
      <c r="Y661" s="6" t="s">
        <v>5</v>
      </c>
      <c r="Z661" s="6" t="s">
        <v>5</v>
      </c>
      <c r="AA661" s="6" t="s">
        <v>5</v>
      </c>
      <c r="AB661" s="8" t="s">
        <v>5</v>
      </c>
      <c r="AC661" s="8" t="s">
        <v>5</v>
      </c>
      <c r="AD661" s="6" t="s">
        <v>5</v>
      </c>
      <c r="AE661" s="7">
        <v>2.48</v>
      </c>
      <c r="AF661" s="6" t="s">
        <v>5</v>
      </c>
      <c r="AG661" s="6" t="s">
        <v>5</v>
      </c>
      <c r="AH661" s="7">
        <v>1.24</v>
      </c>
      <c r="AI661" s="6" t="s">
        <v>5</v>
      </c>
      <c r="AJ661" s="4">
        <v>14.2</v>
      </c>
      <c r="AK661" s="6" t="s">
        <v>5</v>
      </c>
      <c r="AL661" s="6" t="s">
        <v>5</v>
      </c>
      <c r="AM661" s="6" t="s">
        <v>5</v>
      </c>
      <c r="AN661" s="6" t="s">
        <v>5</v>
      </c>
      <c r="AO661" s="4">
        <v>98.8</v>
      </c>
      <c r="AP661" s="4">
        <v>32.4</v>
      </c>
      <c r="AQ661" s="4">
        <v>17.899999999999999</v>
      </c>
      <c r="AR661" s="7">
        <v>2.5499999999999998</v>
      </c>
      <c r="AS661" s="6">
        <v>90.5</v>
      </c>
      <c r="AT661" s="6">
        <v>25.5</v>
      </c>
      <c r="AU661" s="6">
        <v>14.6</v>
      </c>
      <c r="AV661" s="7">
        <v>2.44</v>
      </c>
      <c r="AW661" s="6" t="s">
        <v>5</v>
      </c>
      <c r="AX661" s="6" t="s">
        <v>5</v>
      </c>
      <c r="AY661" s="6" t="s">
        <v>5</v>
      </c>
      <c r="AZ661" s="6" t="s">
        <v>5</v>
      </c>
      <c r="BA661" s="6" t="s">
        <v>5</v>
      </c>
      <c r="BB661" s="6" t="s">
        <v>5</v>
      </c>
      <c r="BC661" s="6" t="s">
        <v>5</v>
      </c>
      <c r="BD661" s="6" t="s">
        <v>5</v>
      </c>
      <c r="BE661" s="6" t="s">
        <v>5</v>
      </c>
      <c r="BF661" s="6" t="s">
        <v>5</v>
      </c>
      <c r="BG661" s="6" t="s">
        <v>5</v>
      </c>
      <c r="BH661" s="6" t="s">
        <v>5</v>
      </c>
      <c r="BI661" s="7">
        <v>4.16</v>
      </c>
      <c r="BJ661" s="22">
        <v>0.72</v>
      </c>
      <c r="BK661" s="6" t="s">
        <v>5</v>
      </c>
      <c r="BL661" s="2" t="s">
        <v>5</v>
      </c>
      <c r="BM661" s="2" t="s">
        <v>5</v>
      </c>
      <c r="BN661" s="2" t="s">
        <v>5</v>
      </c>
      <c r="BO661" s="2" t="s">
        <v>5</v>
      </c>
      <c r="BP661" s="2" t="s">
        <v>5</v>
      </c>
      <c r="BQ661" s="2" t="s">
        <v>5</v>
      </c>
      <c r="BR661" s="2" t="s">
        <v>5</v>
      </c>
      <c r="BS661" s="2" t="s">
        <v>5</v>
      </c>
      <c r="BT661" s="2" t="s">
        <v>5</v>
      </c>
      <c r="BU661" s="2" t="s">
        <v>5</v>
      </c>
      <c r="BV661" s="2" t="s">
        <v>5</v>
      </c>
      <c r="BW661" s="2" t="s">
        <v>5</v>
      </c>
      <c r="BX661" s="2" t="s">
        <v>5</v>
      </c>
      <c r="BY661" s="25" t="s">
        <v>5</v>
      </c>
      <c r="BZ661" s="25" t="s">
        <v>5</v>
      </c>
      <c r="CA661" s="6" t="s">
        <v>5</v>
      </c>
      <c r="CB661" s="6" t="s">
        <v>5</v>
      </c>
      <c r="CC661" s="6" t="s">
        <v>5</v>
      </c>
      <c r="CD661" s="6" t="s">
        <v>5</v>
      </c>
      <c r="CE661" s="6" t="s">
        <v>5</v>
      </c>
      <c r="CF661" s="16" t="s">
        <v>5</v>
      </c>
      <c r="CG661" s="16" t="s">
        <v>5</v>
      </c>
      <c r="CH661" s="18" t="s">
        <v>5</v>
      </c>
    </row>
    <row r="662" spans="2:86">
      <c r="B662" s="78" t="s">
        <v>473</v>
      </c>
      <c r="C662" s="79" t="s">
        <v>762</v>
      </c>
      <c r="D662" s="80" t="s">
        <v>762</v>
      </c>
      <c r="E662" s="1" t="s">
        <v>4</v>
      </c>
      <c r="F662" s="4">
        <v>51.4</v>
      </c>
      <c r="G662" s="4">
        <v>15.2</v>
      </c>
      <c r="H662" s="3" t="str">
        <f t="shared" si="29"/>
        <v>2L8X6X9/16X3/4LLBB</v>
      </c>
      <c r="I662" s="7">
        <v>8</v>
      </c>
      <c r="J662" s="5" t="s">
        <v>5</v>
      </c>
      <c r="K662" s="6" t="s">
        <v>5</v>
      </c>
      <c r="L662" s="6" t="s">
        <v>5</v>
      </c>
      <c r="M662" s="6" t="s">
        <v>5</v>
      </c>
      <c r="N662" s="6" t="s">
        <v>5</v>
      </c>
      <c r="O662" s="5" t="s">
        <v>5</v>
      </c>
      <c r="P662" s="5" t="s">
        <v>5</v>
      </c>
      <c r="Q662" s="7">
        <v>6</v>
      </c>
      <c r="R662" s="6" t="s">
        <v>5</v>
      </c>
      <c r="S662" s="6" t="s">
        <v>5</v>
      </c>
      <c r="T662" s="5" t="s">
        <v>5</v>
      </c>
      <c r="U662" s="8" t="s">
        <v>5</v>
      </c>
      <c r="V662" s="6" t="s">
        <v>5</v>
      </c>
      <c r="W662" s="8" t="s">
        <v>5</v>
      </c>
      <c r="X662" s="22">
        <v>0.56299999999999994</v>
      </c>
      <c r="Y662" s="6" t="s">
        <v>5</v>
      </c>
      <c r="Z662" s="6" t="s">
        <v>5</v>
      </c>
      <c r="AA662" s="6" t="s">
        <v>5</v>
      </c>
      <c r="AB662" s="8" t="s">
        <v>5</v>
      </c>
      <c r="AC662" s="8" t="s">
        <v>5</v>
      </c>
      <c r="AD662" s="6" t="s">
        <v>5</v>
      </c>
      <c r="AE662" s="7">
        <v>2.48</v>
      </c>
      <c r="AF662" s="6" t="s">
        <v>5</v>
      </c>
      <c r="AG662" s="6" t="s">
        <v>5</v>
      </c>
      <c r="AH662" s="7">
        <v>1.24</v>
      </c>
      <c r="AI662" s="6" t="s">
        <v>5</v>
      </c>
      <c r="AJ662" s="4">
        <v>14.2</v>
      </c>
      <c r="AK662" s="6" t="s">
        <v>5</v>
      </c>
      <c r="AL662" s="6" t="s">
        <v>5</v>
      </c>
      <c r="AM662" s="6" t="s">
        <v>5</v>
      </c>
      <c r="AN662" s="6" t="s">
        <v>5</v>
      </c>
      <c r="AO662" s="4">
        <v>98.8</v>
      </c>
      <c r="AP662" s="4">
        <v>32.4</v>
      </c>
      <c r="AQ662" s="4">
        <v>17.899999999999999</v>
      </c>
      <c r="AR662" s="7">
        <v>2.5499999999999998</v>
      </c>
      <c r="AS662" s="6">
        <v>101</v>
      </c>
      <c r="AT662" s="6">
        <v>28.4</v>
      </c>
      <c r="AU662" s="6">
        <v>15.8</v>
      </c>
      <c r="AV662" s="7">
        <v>2.58</v>
      </c>
      <c r="AW662" s="6" t="s">
        <v>5</v>
      </c>
      <c r="AX662" s="6" t="s">
        <v>5</v>
      </c>
      <c r="AY662" s="6" t="s">
        <v>5</v>
      </c>
      <c r="AZ662" s="6" t="s">
        <v>5</v>
      </c>
      <c r="BA662" s="6" t="s">
        <v>5</v>
      </c>
      <c r="BB662" s="6" t="s">
        <v>5</v>
      </c>
      <c r="BC662" s="6" t="s">
        <v>5</v>
      </c>
      <c r="BD662" s="6" t="s">
        <v>5</v>
      </c>
      <c r="BE662" s="6" t="s">
        <v>5</v>
      </c>
      <c r="BF662" s="6" t="s">
        <v>5</v>
      </c>
      <c r="BG662" s="6" t="s">
        <v>5</v>
      </c>
      <c r="BH662" s="6" t="s">
        <v>5</v>
      </c>
      <c r="BI662" s="7">
        <v>4.24</v>
      </c>
      <c r="BJ662" s="22">
        <v>0.73099999999999998</v>
      </c>
      <c r="BK662" s="6" t="s">
        <v>5</v>
      </c>
      <c r="BL662" s="2" t="s">
        <v>5</v>
      </c>
      <c r="BM662" s="2" t="s">
        <v>5</v>
      </c>
      <c r="BN662" s="2" t="s">
        <v>5</v>
      </c>
      <c r="BO662" s="2" t="s">
        <v>5</v>
      </c>
      <c r="BP662" s="2" t="s">
        <v>5</v>
      </c>
      <c r="BQ662" s="2" t="s">
        <v>5</v>
      </c>
      <c r="BR662" s="2" t="s">
        <v>5</v>
      </c>
      <c r="BS662" s="2" t="s">
        <v>5</v>
      </c>
      <c r="BT662" s="2" t="s">
        <v>5</v>
      </c>
      <c r="BU662" s="2" t="s">
        <v>5</v>
      </c>
      <c r="BV662" s="2" t="s">
        <v>5</v>
      </c>
      <c r="BW662" s="2" t="s">
        <v>5</v>
      </c>
      <c r="BX662" s="2" t="s">
        <v>5</v>
      </c>
      <c r="BY662" s="25" t="s">
        <v>5</v>
      </c>
      <c r="BZ662" s="25" t="s">
        <v>5</v>
      </c>
      <c r="CA662" s="6" t="s">
        <v>5</v>
      </c>
      <c r="CB662" s="6" t="s">
        <v>5</v>
      </c>
      <c r="CC662" s="6" t="s">
        <v>5</v>
      </c>
      <c r="CD662" s="6" t="s">
        <v>5</v>
      </c>
      <c r="CE662" s="6" t="s">
        <v>5</v>
      </c>
      <c r="CF662" s="16" t="s">
        <v>5</v>
      </c>
      <c r="CG662" s="16" t="s">
        <v>5</v>
      </c>
      <c r="CH662" s="18" t="s">
        <v>5</v>
      </c>
    </row>
    <row r="663" spans="2:86">
      <c r="B663" s="78" t="s">
        <v>473</v>
      </c>
      <c r="C663" s="79" t="s">
        <v>763</v>
      </c>
      <c r="D663" s="80" t="s">
        <v>763</v>
      </c>
      <c r="E663" s="1" t="s">
        <v>4</v>
      </c>
      <c r="F663" s="4">
        <v>46</v>
      </c>
      <c r="G663" s="4">
        <v>13.6</v>
      </c>
      <c r="H663" s="3" t="str">
        <f t="shared" si="29"/>
        <v>2L8X6X1/2LLBB</v>
      </c>
      <c r="I663" s="7">
        <v>8</v>
      </c>
      <c r="J663" s="5" t="s">
        <v>5</v>
      </c>
      <c r="K663" s="6" t="s">
        <v>5</v>
      </c>
      <c r="L663" s="6" t="s">
        <v>5</v>
      </c>
      <c r="M663" s="6" t="s">
        <v>5</v>
      </c>
      <c r="N663" s="6" t="s">
        <v>5</v>
      </c>
      <c r="O663" s="5" t="s">
        <v>5</v>
      </c>
      <c r="P663" s="5" t="s">
        <v>5</v>
      </c>
      <c r="Q663" s="7">
        <v>6</v>
      </c>
      <c r="R663" s="6" t="s">
        <v>5</v>
      </c>
      <c r="S663" s="6" t="s">
        <v>5</v>
      </c>
      <c r="T663" s="5" t="s">
        <v>5</v>
      </c>
      <c r="U663" s="8" t="s">
        <v>5</v>
      </c>
      <c r="V663" s="6" t="s">
        <v>5</v>
      </c>
      <c r="W663" s="8" t="s">
        <v>5</v>
      </c>
      <c r="X663" s="22">
        <v>0.5</v>
      </c>
      <c r="Y663" s="6" t="s">
        <v>5</v>
      </c>
      <c r="Z663" s="6" t="s">
        <v>5</v>
      </c>
      <c r="AA663" s="6" t="s">
        <v>5</v>
      </c>
      <c r="AB663" s="8" t="s">
        <v>5</v>
      </c>
      <c r="AC663" s="8" t="s">
        <v>5</v>
      </c>
      <c r="AD663" s="6" t="s">
        <v>5</v>
      </c>
      <c r="AE663" s="7">
        <v>2.46</v>
      </c>
      <c r="AF663" s="6" t="s">
        <v>5</v>
      </c>
      <c r="AG663" s="6" t="s">
        <v>5</v>
      </c>
      <c r="AH663" s="7">
        <v>1.2</v>
      </c>
      <c r="AI663" s="6" t="s">
        <v>5</v>
      </c>
      <c r="AJ663" s="4">
        <v>16</v>
      </c>
      <c r="AK663" s="6" t="s">
        <v>5</v>
      </c>
      <c r="AL663" s="6" t="s">
        <v>5</v>
      </c>
      <c r="AM663" s="6" t="s">
        <v>5</v>
      </c>
      <c r="AN663" s="6" t="s">
        <v>5</v>
      </c>
      <c r="AO663" s="4">
        <v>88.8</v>
      </c>
      <c r="AP663" s="4">
        <v>29.2</v>
      </c>
      <c r="AQ663" s="4">
        <v>16</v>
      </c>
      <c r="AR663" s="7">
        <v>2.5499999999999998</v>
      </c>
      <c r="AS663" s="6">
        <v>72.599999999999994</v>
      </c>
      <c r="AT663" s="6">
        <v>19.899999999999999</v>
      </c>
      <c r="AU663" s="6">
        <v>12.1</v>
      </c>
      <c r="AV663" s="7">
        <v>2.31</v>
      </c>
      <c r="AW663" s="6" t="s">
        <v>5</v>
      </c>
      <c r="AX663" s="6" t="s">
        <v>5</v>
      </c>
      <c r="AY663" s="6" t="s">
        <v>5</v>
      </c>
      <c r="AZ663" s="6" t="s">
        <v>5</v>
      </c>
      <c r="BA663" s="6" t="s">
        <v>5</v>
      </c>
      <c r="BB663" s="6" t="s">
        <v>5</v>
      </c>
      <c r="BC663" s="6" t="s">
        <v>5</v>
      </c>
      <c r="BD663" s="6" t="s">
        <v>5</v>
      </c>
      <c r="BE663" s="6" t="s">
        <v>5</v>
      </c>
      <c r="BF663" s="6" t="s">
        <v>5</v>
      </c>
      <c r="BG663" s="6" t="s">
        <v>5</v>
      </c>
      <c r="BH663" s="6" t="s">
        <v>5</v>
      </c>
      <c r="BI663" s="7">
        <v>4.09</v>
      </c>
      <c r="BJ663" s="22">
        <v>0.70899999999999996</v>
      </c>
      <c r="BK663" s="6" t="s">
        <v>5</v>
      </c>
      <c r="BL663" s="2" t="s">
        <v>5</v>
      </c>
      <c r="BM663" s="2" t="s">
        <v>5</v>
      </c>
      <c r="BN663" s="2" t="s">
        <v>5</v>
      </c>
      <c r="BO663" s="2" t="s">
        <v>5</v>
      </c>
      <c r="BP663" s="2" t="s">
        <v>5</v>
      </c>
      <c r="BQ663" s="2" t="s">
        <v>5</v>
      </c>
      <c r="BR663" s="2" t="s">
        <v>5</v>
      </c>
      <c r="BS663" s="2" t="s">
        <v>5</v>
      </c>
      <c r="BT663" s="2" t="s">
        <v>5</v>
      </c>
      <c r="BU663" s="2" t="s">
        <v>5</v>
      </c>
      <c r="BV663" s="2" t="s">
        <v>5</v>
      </c>
      <c r="BW663" s="2" t="s">
        <v>5</v>
      </c>
      <c r="BX663" s="2" t="s">
        <v>5</v>
      </c>
      <c r="BY663" s="25" t="s">
        <v>5</v>
      </c>
      <c r="BZ663" s="25" t="s">
        <v>5</v>
      </c>
      <c r="CA663" s="6" t="s">
        <v>5</v>
      </c>
      <c r="CB663" s="6" t="s">
        <v>5</v>
      </c>
      <c r="CC663" s="6" t="s">
        <v>5</v>
      </c>
      <c r="CD663" s="6" t="s">
        <v>5</v>
      </c>
      <c r="CE663" s="6" t="s">
        <v>5</v>
      </c>
      <c r="CF663" s="16" t="s">
        <v>5</v>
      </c>
      <c r="CG663" s="16" t="s">
        <v>5</v>
      </c>
      <c r="CH663" s="18" t="s">
        <v>5</v>
      </c>
    </row>
    <row r="664" spans="2:86">
      <c r="B664" s="78" t="s">
        <v>473</v>
      </c>
      <c r="C664" s="79" t="s">
        <v>764</v>
      </c>
      <c r="D664" s="80" t="s">
        <v>764</v>
      </c>
      <c r="E664" s="1" t="s">
        <v>4</v>
      </c>
      <c r="F664" s="4">
        <v>46</v>
      </c>
      <c r="G664" s="4">
        <v>13.6</v>
      </c>
      <c r="H664" s="3" t="str">
        <f t="shared" si="29"/>
        <v>2L8X6X1/2X3/8LLBB</v>
      </c>
      <c r="I664" s="7">
        <v>8</v>
      </c>
      <c r="J664" s="5" t="s">
        <v>5</v>
      </c>
      <c r="K664" s="6" t="s">
        <v>5</v>
      </c>
      <c r="L664" s="6" t="s">
        <v>5</v>
      </c>
      <c r="M664" s="6" t="s">
        <v>5</v>
      </c>
      <c r="N664" s="6" t="s">
        <v>5</v>
      </c>
      <c r="O664" s="5" t="s">
        <v>5</v>
      </c>
      <c r="P664" s="5" t="s">
        <v>5</v>
      </c>
      <c r="Q664" s="7">
        <v>6</v>
      </c>
      <c r="R664" s="6" t="s">
        <v>5</v>
      </c>
      <c r="S664" s="6" t="s">
        <v>5</v>
      </c>
      <c r="T664" s="5" t="s">
        <v>5</v>
      </c>
      <c r="U664" s="8" t="s">
        <v>5</v>
      </c>
      <c r="V664" s="6" t="s">
        <v>5</v>
      </c>
      <c r="W664" s="8" t="s">
        <v>5</v>
      </c>
      <c r="X664" s="22">
        <v>0.5</v>
      </c>
      <c r="Y664" s="6" t="s">
        <v>5</v>
      </c>
      <c r="Z664" s="6" t="s">
        <v>5</v>
      </c>
      <c r="AA664" s="6" t="s">
        <v>5</v>
      </c>
      <c r="AB664" s="8" t="s">
        <v>5</v>
      </c>
      <c r="AC664" s="8" t="s">
        <v>5</v>
      </c>
      <c r="AD664" s="6" t="s">
        <v>5</v>
      </c>
      <c r="AE664" s="7">
        <v>2.46</v>
      </c>
      <c r="AF664" s="6" t="s">
        <v>5</v>
      </c>
      <c r="AG664" s="6" t="s">
        <v>5</v>
      </c>
      <c r="AH664" s="7">
        <v>1.2</v>
      </c>
      <c r="AI664" s="6" t="s">
        <v>5</v>
      </c>
      <c r="AJ664" s="4">
        <v>16</v>
      </c>
      <c r="AK664" s="6" t="s">
        <v>5</v>
      </c>
      <c r="AL664" s="6" t="s">
        <v>5</v>
      </c>
      <c r="AM664" s="6" t="s">
        <v>5</v>
      </c>
      <c r="AN664" s="6" t="s">
        <v>5</v>
      </c>
      <c r="AO664" s="4">
        <v>88.8</v>
      </c>
      <c r="AP664" s="4">
        <v>29.2</v>
      </c>
      <c r="AQ664" s="4">
        <v>16</v>
      </c>
      <c r="AR664" s="7">
        <v>2.5499999999999998</v>
      </c>
      <c r="AS664" s="6">
        <v>80.3</v>
      </c>
      <c r="AT664" s="6">
        <v>22.4</v>
      </c>
      <c r="AU664" s="4">
        <v>13</v>
      </c>
      <c r="AV664" s="7">
        <v>2.4300000000000002</v>
      </c>
      <c r="AW664" s="6" t="s">
        <v>5</v>
      </c>
      <c r="AX664" s="6" t="s">
        <v>5</v>
      </c>
      <c r="AY664" s="6" t="s">
        <v>5</v>
      </c>
      <c r="AZ664" s="6" t="s">
        <v>5</v>
      </c>
      <c r="BA664" s="6" t="s">
        <v>5</v>
      </c>
      <c r="BB664" s="6" t="s">
        <v>5</v>
      </c>
      <c r="BC664" s="6" t="s">
        <v>5</v>
      </c>
      <c r="BD664" s="6" t="s">
        <v>5</v>
      </c>
      <c r="BE664" s="6" t="s">
        <v>5</v>
      </c>
      <c r="BF664" s="6" t="s">
        <v>5</v>
      </c>
      <c r="BG664" s="6" t="s">
        <v>5</v>
      </c>
      <c r="BH664" s="6" t="s">
        <v>5</v>
      </c>
      <c r="BI664" s="7">
        <v>4.16</v>
      </c>
      <c r="BJ664" s="22">
        <v>0.71899999999999997</v>
      </c>
      <c r="BK664" s="6" t="s">
        <v>5</v>
      </c>
      <c r="BL664" s="2" t="s">
        <v>5</v>
      </c>
      <c r="BM664" s="2" t="s">
        <v>5</v>
      </c>
      <c r="BN664" s="2" t="s">
        <v>5</v>
      </c>
      <c r="BO664" s="2" t="s">
        <v>5</v>
      </c>
      <c r="BP664" s="2" t="s">
        <v>5</v>
      </c>
      <c r="BQ664" s="2" t="s">
        <v>5</v>
      </c>
      <c r="BR664" s="2" t="s">
        <v>5</v>
      </c>
      <c r="BS664" s="2" t="s">
        <v>5</v>
      </c>
      <c r="BT664" s="2" t="s">
        <v>5</v>
      </c>
      <c r="BU664" s="2" t="s">
        <v>5</v>
      </c>
      <c r="BV664" s="2" t="s">
        <v>5</v>
      </c>
      <c r="BW664" s="2" t="s">
        <v>5</v>
      </c>
      <c r="BX664" s="2" t="s">
        <v>5</v>
      </c>
      <c r="BY664" s="25" t="s">
        <v>5</v>
      </c>
      <c r="BZ664" s="25" t="s">
        <v>5</v>
      </c>
      <c r="CA664" s="6" t="s">
        <v>5</v>
      </c>
      <c r="CB664" s="6" t="s">
        <v>5</v>
      </c>
      <c r="CC664" s="6" t="s">
        <v>5</v>
      </c>
      <c r="CD664" s="6" t="s">
        <v>5</v>
      </c>
      <c r="CE664" s="6" t="s">
        <v>5</v>
      </c>
      <c r="CF664" s="16" t="s">
        <v>5</v>
      </c>
      <c r="CG664" s="16" t="s">
        <v>5</v>
      </c>
      <c r="CH664" s="18" t="s">
        <v>5</v>
      </c>
    </row>
    <row r="665" spans="2:86">
      <c r="B665" s="78" t="s">
        <v>473</v>
      </c>
      <c r="C665" s="79" t="s">
        <v>765</v>
      </c>
      <c r="D665" s="80" t="s">
        <v>765</v>
      </c>
      <c r="E665" s="1" t="s">
        <v>4</v>
      </c>
      <c r="F665" s="4">
        <v>46</v>
      </c>
      <c r="G665" s="4">
        <v>13.6</v>
      </c>
      <c r="H665" s="3" t="str">
        <f t="shared" si="29"/>
        <v>2L8X6X1/2X3/4LLBB</v>
      </c>
      <c r="I665" s="7">
        <v>8</v>
      </c>
      <c r="J665" s="5" t="s">
        <v>5</v>
      </c>
      <c r="K665" s="6" t="s">
        <v>5</v>
      </c>
      <c r="L665" s="6" t="s">
        <v>5</v>
      </c>
      <c r="M665" s="6" t="s">
        <v>5</v>
      </c>
      <c r="N665" s="6" t="s">
        <v>5</v>
      </c>
      <c r="O665" s="5" t="s">
        <v>5</v>
      </c>
      <c r="P665" s="5" t="s">
        <v>5</v>
      </c>
      <c r="Q665" s="7">
        <v>6</v>
      </c>
      <c r="R665" s="6" t="s">
        <v>5</v>
      </c>
      <c r="S665" s="6" t="s">
        <v>5</v>
      </c>
      <c r="T665" s="5" t="s">
        <v>5</v>
      </c>
      <c r="U665" s="8" t="s">
        <v>5</v>
      </c>
      <c r="V665" s="6" t="s">
        <v>5</v>
      </c>
      <c r="W665" s="8" t="s">
        <v>5</v>
      </c>
      <c r="X665" s="22">
        <v>0.5</v>
      </c>
      <c r="Y665" s="6" t="s">
        <v>5</v>
      </c>
      <c r="Z665" s="6" t="s">
        <v>5</v>
      </c>
      <c r="AA665" s="6" t="s">
        <v>5</v>
      </c>
      <c r="AB665" s="8" t="s">
        <v>5</v>
      </c>
      <c r="AC665" s="8" t="s">
        <v>5</v>
      </c>
      <c r="AD665" s="6" t="s">
        <v>5</v>
      </c>
      <c r="AE665" s="7">
        <v>2.46</v>
      </c>
      <c r="AF665" s="6" t="s">
        <v>5</v>
      </c>
      <c r="AG665" s="6" t="s">
        <v>5</v>
      </c>
      <c r="AH665" s="7">
        <v>1.2</v>
      </c>
      <c r="AI665" s="6" t="s">
        <v>5</v>
      </c>
      <c r="AJ665" s="4">
        <v>16</v>
      </c>
      <c r="AK665" s="6" t="s">
        <v>5</v>
      </c>
      <c r="AL665" s="6" t="s">
        <v>5</v>
      </c>
      <c r="AM665" s="6" t="s">
        <v>5</v>
      </c>
      <c r="AN665" s="6" t="s">
        <v>5</v>
      </c>
      <c r="AO665" s="4">
        <v>88.8</v>
      </c>
      <c r="AP665" s="4">
        <v>29.2</v>
      </c>
      <c r="AQ665" s="4">
        <v>16</v>
      </c>
      <c r="AR665" s="7">
        <v>2.5499999999999998</v>
      </c>
      <c r="AS665" s="6">
        <v>89.1</v>
      </c>
      <c r="AT665" s="4">
        <v>25</v>
      </c>
      <c r="AU665" s="4">
        <v>14</v>
      </c>
      <c r="AV665" s="7">
        <v>2.56</v>
      </c>
      <c r="AW665" s="6" t="s">
        <v>5</v>
      </c>
      <c r="AX665" s="6" t="s">
        <v>5</v>
      </c>
      <c r="AY665" s="6" t="s">
        <v>5</v>
      </c>
      <c r="AZ665" s="6" t="s">
        <v>5</v>
      </c>
      <c r="BA665" s="6" t="s">
        <v>5</v>
      </c>
      <c r="BB665" s="6" t="s">
        <v>5</v>
      </c>
      <c r="BC665" s="6" t="s">
        <v>5</v>
      </c>
      <c r="BD665" s="6" t="s">
        <v>5</v>
      </c>
      <c r="BE665" s="6" t="s">
        <v>5</v>
      </c>
      <c r="BF665" s="6" t="s">
        <v>5</v>
      </c>
      <c r="BG665" s="6" t="s">
        <v>5</v>
      </c>
      <c r="BH665" s="6" t="s">
        <v>5</v>
      </c>
      <c r="BI665" s="7">
        <v>4.24</v>
      </c>
      <c r="BJ665" s="22">
        <v>0.72899999999999998</v>
      </c>
      <c r="BK665" s="6" t="s">
        <v>5</v>
      </c>
      <c r="BL665" s="2" t="s">
        <v>5</v>
      </c>
      <c r="BM665" s="2" t="s">
        <v>5</v>
      </c>
      <c r="BN665" s="2" t="s">
        <v>5</v>
      </c>
      <c r="BO665" s="2" t="s">
        <v>5</v>
      </c>
      <c r="BP665" s="2" t="s">
        <v>5</v>
      </c>
      <c r="BQ665" s="2" t="s">
        <v>5</v>
      </c>
      <c r="BR665" s="2" t="s">
        <v>5</v>
      </c>
      <c r="BS665" s="2" t="s">
        <v>5</v>
      </c>
      <c r="BT665" s="2" t="s">
        <v>5</v>
      </c>
      <c r="BU665" s="2" t="s">
        <v>5</v>
      </c>
      <c r="BV665" s="2" t="s">
        <v>5</v>
      </c>
      <c r="BW665" s="2" t="s">
        <v>5</v>
      </c>
      <c r="BX665" s="2" t="s">
        <v>5</v>
      </c>
      <c r="BY665" s="25" t="s">
        <v>5</v>
      </c>
      <c r="BZ665" s="25" t="s">
        <v>5</v>
      </c>
      <c r="CA665" s="6" t="s">
        <v>5</v>
      </c>
      <c r="CB665" s="6" t="s">
        <v>5</v>
      </c>
      <c r="CC665" s="6" t="s">
        <v>5</v>
      </c>
      <c r="CD665" s="6" t="s">
        <v>5</v>
      </c>
      <c r="CE665" s="6" t="s">
        <v>5</v>
      </c>
      <c r="CF665" s="16" t="s">
        <v>5</v>
      </c>
      <c r="CG665" s="16" t="s">
        <v>5</v>
      </c>
      <c r="CH665" s="18" t="s">
        <v>5</v>
      </c>
    </row>
    <row r="666" spans="2:86">
      <c r="B666" s="78" t="s">
        <v>473</v>
      </c>
      <c r="C666" s="79" t="s">
        <v>766</v>
      </c>
      <c r="D666" s="80" t="s">
        <v>766</v>
      </c>
      <c r="E666" s="1" t="s">
        <v>4</v>
      </c>
      <c r="F666" s="4">
        <v>40.4</v>
      </c>
      <c r="G666" s="4">
        <v>12</v>
      </c>
      <c r="H666" s="3" t="str">
        <f t="shared" si="29"/>
        <v>2L8X6X7/16LLBB</v>
      </c>
      <c r="I666" s="7">
        <v>8</v>
      </c>
      <c r="J666" s="5" t="s">
        <v>5</v>
      </c>
      <c r="K666" s="6" t="s">
        <v>5</v>
      </c>
      <c r="L666" s="6" t="s">
        <v>5</v>
      </c>
      <c r="M666" s="6" t="s">
        <v>5</v>
      </c>
      <c r="N666" s="6" t="s">
        <v>5</v>
      </c>
      <c r="O666" s="5" t="s">
        <v>5</v>
      </c>
      <c r="P666" s="5" t="s">
        <v>5</v>
      </c>
      <c r="Q666" s="7">
        <v>6</v>
      </c>
      <c r="R666" s="6" t="s">
        <v>5</v>
      </c>
      <c r="S666" s="6" t="s">
        <v>5</v>
      </c>
      <c r="T666" s="5" t="s">
        <v>5</v>
      </c>
      <c r="U666" s="8" t="s">
        <v>5</v>
      </c>
      <c r="V666" s="6" t="s">
        <v>5</v>
      </c>
      <c r="W666" s="8" t="s">
        <v>5</v>
      </c>
      <c r="X666" s="22">
        <v>0.438</v>
      </c>
      <c r="Y666" s="6" t="s">
        <v>5</v>
      </c>
      <c r="Z666" s="6" t="s">
        <v>5</v>
      </c>
      <c r="AA666" s="6" t="s">
        <v>5</v>
      </c>
      <c r="AB666" s="8" t="s">
        <v>5</v>
      </c>
      <c r="AC666" s="8" t="s">
        <v>5</v>
      </c>
      <c r="AD666" s="6" t="s">
        <v>5</v>
      </c>
      <c r="AE666" s="7">
        <v>2.4300000000000002</v>
      </c>
      <c r="AF666" s="6" t="s">
        <v>5</v>
      </c>
      <c r="AG666" s="6" t="s">
        <v>5</v>
      </c>
      <c r="AH666" s="7">
        <v>1.1499999999999999</v>
      </c>
      <c r="AI666" s="6" t="s">
        <v>5</v>
      </c>
      <c r="AJ666" s="4">
        <v>18.3</v>
      </c>
      <c r="AK666" s="6" t="s">
        <v>5</v>
      </c>
      <c r="AL666" s="6" t="s">
        <v>5</v>
      </c>
      <c r="AM666" s="6" t="s">
        <v>5</v>
      </c>
      <c r="AN666" s="6" t="s">
        <v>5</v>
      </c>
      <c r="AO666" s="4">
        <v>78.599999999999994</v>
      </c>
      <c r="AP666" s="4">
        <v>25.8</v>
      </c>
      <c r="AQ666" s="4">
        <v>14.1</v>
      </c>
      <c r="AR666" s="7">
        <v>2.56</v>
      </c>
      <c r="AS666" s="6">
        <v>63.5</v>
      </c>
      <c r="AT666" s="6">
        <v>17.3</v>
      </c>
      <c r="AU666" s="6">
        <v>10.6</v>
      </c>
      <c r="AV666" s="7">
        <v>2.2999999999999998</v>
      </c>
      <c r="AW666" s="6" t="s">
        <v>5</v>
      </c>
      <c r="AX666" s="6" t="s">
        <v>5</v>
      </c>
      <c r="AY666" s="6" t="s">
        <v>5</v>
      </c>
      <c r="AZ666" s="6" t="s">
        <v>5</v>
      </c>
      <c r="BA666" s="6" t="s">
        <v>5</v>
      </c>
      <c r="BB666" s="6" t="s">
        <v>5</v>
      </c>
      <c r="BC666" s="6" t="s">
        <v>5</v>
      </c>
      <c r="BD666" s="6" t="s">
        <v>5</v>
      </c>
      <c r="BE666" s="6" t="s">
        <v>5</v>
      </c>
      <c r="BF666" s="6" t="s">
        <v>5</v>
      </c>
      <c r="BG666" s="6" t="s">
        <v>5</v>
      </c>
      <c r="BH666" s="6" t="s">
        <v>5</v>
      </c>
      <c r="BI666" s="7">
        <v>4.09</v>
      </c>
      <c r="BJ666" s="22">
        <v>0.70799999999999996</v>
      </c>
      <c r="BK666" s="6" t="s">
        <v>5</v>
      </c>
      <c r="BL666" s="2" t="s">
        <v>5</v>
      </c>
      <c r="BM666" s="2" t="s">
        <v>5</v>
      </c>
      <c r="BN666" s="2" t="s">
        <v>5</v>
      </c>
      <c r="BO666" s="2" t="s">
        <v>5</v>
      </c>
      <c r="BP666" s="2" t="s">
        <v>5</v>
      </c>
      <c r="BQ666" s="2" t="s">
        <v>5</v>
      </c>
      <c r="BR666" s="2" t="s">
        <v>5</v>
      </c>
      <c r="BS666" s="2" t="s">
        <v>5</v>
      </c>
      <c r="BT666" s="2" t="s">
        <v>5</v>
      </c>
      <c r="BU666" s="2" t="s">
        <v>5</v>
      </c>
      <c r="BV666" s="2" t="s">
        <v>5</v>
      </c>
      <c r="BW666" s="2" t="s">
        <v>5</v>
      </c>
      <c r="BX666" s="2" t="s">
        <v>5</v>
      </c>
      <c r="BY666" s="25" t="s">
        <v>5</v>
      </c>
      <c r="BZ666" s="25" t="s">
        <v>5</v>
      </c>
      <c r="CA666" s="6" t="s">
        <v>5</v>
      </c>
      <c r="CB666" s="6" t="s">
        <v>5</v>
      </c>
      <c r="CC666" s="6" t="s">
        <v>5</v>
      </c>
      <c r="CD666" s="6" t="s">
        <v>5</v>
      </c>
      <c r="CE666" s="6" t="s">
        <v>5</v>
      </c>
      <c r="CF666" s="16" t="s">
        <v>5</v>
      </c>
      <c r="CG666" s="16" t="s">
        <v>5</v>
      </c>
      <c r="CH666" s="18" t="s">
        <v>5</v>
      </c>
    </row>
    <row r="667" spans="2:86">
      <c r="B667" s="78" t="s">
        <v>473</v>
      </c>
      <c r="C667" s="79" t="s">
        <v>767</v>
      </c>
      <c r="D667" s="80" t="s">
        <v>767</v>
      </c>
      <c r="E667" s="1" t="s">
        <v>4</v>
      </c>
      <c r="F667" s="4">
        <v>40.4</v>
      </c>
      <c r="G667" s="4">
        <v>12</v>
      </c>
      <c r="H667" s="3" t="str">
        <f t="shared" si="29"/>
        <v>2L8X6X7/16X3/8LLBB</v>
      </c>
      <c r="I667" s="7">
        <v>8</v>
      </c>
      <c r="J667" s="5" t="s">
        <v>5</v>
      </c>
      <c r="K667" s="6" t="s">
        <v>5</v>
      </c>
      <c r="L667" s="6" t="s">
        <v>5</v>
      </c>
      <c r="M667" s="6" t="s">
        <v>5</v>
      </c>
      <c r="N667" s="6" t="s">
        <v>5</v>
      </c>
      <c r="O667" s="5" t="s">
        <v>5</v>
      </c>
      <c r="P667" s="5" t="s">
        <v>5</v>
      </c>
      <c r="Q667" s="7">
        <v>6</v>
      </c>
      <c r="R667" s="6" t="s">
        <v>5</v>
      </c>
      <c r="S667" s="6" t="s">
        <v>5</v>
      </c>
      <c r="T667" s="5" t="s">
        <v>5</v>
      </c>
      <c r="U667" s="8" t="s">
        <v>5</v>
      </c>
      <c r="V667" s="6" t="s">
        <v>5</v>
      </c>
      <c r="W667" s="8" t="s">
        <v>5</v>
      </c>
      <c r="X667" s="22">
        <v>0.438</v>
      </c>
      <c r="Y667" s="6" t="s">
        <v>5</v>
      </c>
      <c r="Z667" s="6" t="s">
        <v>5</v>
      </c>
      <c r="AA667" s="6" t="s">
        <v>5</v>
      </c>
      <c r="AB667" s="8" t="s">
        <v>5</v>
      </c>
      <c r="AC667" s="8" t="s">
        <v>5</v>
      </c>
      <c r="AD667" s="6" t="s">
        <v>5</v>
      </c>
      <c r="AE667" s="7">
        <v>2.4300000000000002</v>
      </c>
      <c r="AF667" s="6" t="s">
        <v>5</v>
      </c>
      <c r="AG667" s="6" t="s">
        <v>5</v>
      </c>
      <c r="AH667" s="7">
        <v>1.1499999999999999</v>
      </c>
      <c r="AI667" s="6" t="s">
        <v>5</v>
      </c>
      <c r="AJ667" s="4">
        <v>18.3</v>
      </c>
      <c r="AK667" s="6" t="s">
        <v>5</v>
      </c>
      <c r="AL667" s="6" t="s">
        <v>5</v>
      </c>
      <c r="AM667" s="6" t="s">
        <v>5</v>
      </c>
      <c r="AN667" s="6" t="s">
        <v>5</v>
      </c>
      <c r="AO667" s="4">
        <v>78.599999999999994</v>
      </c>
      <c r="AP667" s="4">
        <v>25.8</v>
      </c>
      <c r="AQ667" s="4">
        <v>14.1</v>
      </c>
      <c r="AR667" s="7">
        <v>2.56</v>
      </c>
      <c r="AS667" s="6">
        <v>70.3</v>
      </c>
      <c r="AT667" s="6">
        <v>19.5</v>
      </c>
      <c r="AU667" s="6">
        <v>11.4</v>
      </c>
      <c r="AV667" s="7">
        <v>2.42</v>
      </c>
      <c r="AW667" s="6" t="s">
        <v>5</v>
      </c>
      <c r="AX667" s="6" t="s">
        <v>5</v>
      </c>
      <c r="AY667" s="6" t="s">
        <v>5</v>
      </c>
      <c r="AZ667" s="6" t="s">
        <v>5</v>
      </c>
      <c r="BA667" s="6" t="s">
        <v>5</v>
      </c>
      <c r="BB667" s="6" t="s">
        <v>5</v>
      </c>
      <c r="BC667" s="6" t="s">
        <v>5</v>
      </c>
      <c r="BD667" s="6" t="s">
        <v>5</v>
      </c>
      <c r="BE667" s="6" t="s">
        <v>5</v>
      </c>
      <c r="BF667" s="6" t="s">
        <v>5</v>
      </c>
      <c r="BG667" s="6" t="s">
        <v>5</v>
      </c>
      <c r="BH667" s="6" t="s">
        <v>5</v>
      </c>
      <c r="BI667" s="7">
        <v>4.16</v>
      </c>
      <c r="BJ667" s="22">
        <v>0.71799999999999997</v>
      </c>
      <c r="BK667" s="6" t="s">
        <v>5</v>
      </c>
      <c r="BL667" s="2" t="s">
        <v>5</v>
      </c>
      <c r="BM667" s="2" t="s">
        <v>5</v>
      </c>
      <c r="BN667" s="2" t="s">
        <v>5</v>
      </c>
      <c r="BO667" s="2" t="s">
        <v>5</v>
      </c>
      <c r="BP667" s="2" t="s">
        <v>5</v>
      </c>
      <c r="BQ667" s="2" t="s">
        <v>5</v>
      </c>
      <c r="BR667" s="2" t="s">
        <v>5</v>
      </c>
      <c r="BS667" s="2" t="s">
        <v>5</v>
      </c>
      <c r="BT667" s="2" t="s">
        <v>5</v>
      </c>
      <c r="BU667" s="2" t="s">
        <v>5</v>
      </c>
      <c r="BV667" s="2" t="s">
        <v>5</v>
      </c>
      <c r="BW667" s="2" t="s">
        <v>5</v>
      </c>
      <c r="BX667" s="2" t="s">
        <v>5</v>
      </c>
      <c r="BY667" s="25" t="s">
        <v>5</v>
      </c>
      <c r="BZ667" s="25" t="s">
        <v>5</v>
      </c>
      <c r="CA667" s="6" t="s">
        <v>5</v>
      </c>
      <c r="CB667" s="6" t="s">
        <v>5</v>
      </c>
      <c r="CC667" s="6" t="s">
        <v>5</v>
      </c>
      <c r="CD667" s="6" t="s">
        <v>5</v>
      </c>
      <c r="CE667" s="6" t="s">
        <v>5</v>
      </c>
      <c r="CF667" s="16" t="s">
        <v>5</v>
      </c>
      <c r="CG667" s="16" t="s">
        <v>5</v>
      </c>
      <c r="CH667" s="18" t="s">
        <v>5</v>
      </c>
    </row>
    <row r="668" spans="2:86">
      <c r="B668" s="78" t="s">
        <v>473</v>
      </c>
      <c r="C668" s="79" t="s">
        <v>768</v>
      </c>
      <c r="D668" s="80" t="s">
        <v>768</v>
      </c>
      <c r="E668" s="1" t="s">
        <v>4</v>
      </c>
      <c r="F668" s="4">
        <v>40.4</v>
      </c>
      <c r="G668" s="4">
        <v>12</v>
      </c>
      <c r="H668" s="3" t="str">
        <f t="shared" si="29"/>
        <v>2L8X6X7/16X3/4LLBB</v>
      </c>
      <c r="I668" s="7">
        <v>8</v>
      </c>
      <c r="J668" s="5" t="s">
        <v>5</v>
      </c>
      <c r="K668" s="6" t="s">
        <v>5</v>
      </c>
      <c r="L668" s="6" t="s">
        <v>5</v>
      </c>
      <c r="M668" s="6" t="s">
        <v>5</v>
      </c>
      <c r="N668" s="6" t="s">
        <v>5</v>
      </c>
      <c r="O668" s="5" t="s">
        <v>5</v>
      </c>
      <c r="P668" s="5" t="s">
        <v>5</v>
      </c>
      <c r="Q668" s="7">
        <v>6</v>
      </c>
      <c r="R668" s="6" t="s">
        <v>5</v>
      </c>
      <c r="S668" s="6" t="s">
        <v>5</v>
      </c>
      <c r="T668" s="5" t="s">
        <v>5</v>
      </c>
      <c r="U668" s="8" t="s">
        <v>5</v>
      </c>
      <c r="V668" s="6" t="s">
        <v>5</v>
      </c>
      <c r="W668" s="8" t="s">
        <v>5</v>
      </c>
      <c r="X668" s="22">
        <v>0.438</v>
      </c>
      <c r="Y668" s="6" t="s">
        <v>5</v>
      </c>
      <c r="Z668" s="6" t="s">
        <v>5</v>
      </c>
      <c r="AA668" s="6" t="s">
        <v>5</v>
      </c>
      <c r="AB668" s="8" t="s">
        <v>5</v>
      </c>
      <c r="AC668" s="8" t="s">
        <v>5</v>
      </c>
      <c r="AD668" s="6" t="s">
        <v>5</v>
      </c>
      <c r="AE668" s="7">
        <v>2.4300000000000002</v>
      </c>
      <c r="AF668" s="6" t="s">
        <v>5</v>
      </c>
      <c r="AG668" s="6" t="s">
        <v>5</v>
      </c>
      <c r="AH668" s="7">
        <v>1.1499999999999999</v>
      </c>
      <c r="AI668" s="6" t="s">
        <v>5</v>
      </c>
      <c r="AJ668" s="4">
        <v>18.3</v>
      </c>
      <c r="AK668" s="6" t="s">
        <v>5</v>
      </c>
      <c r="AL668" s="6" t="s">
        <v>5</v>
      </c>
      <c r="AM668" s="6" t="s">
        <v>5</v>
      </c>
      <c r="AN668" s="6" t="s">
        <v>5</v>
      </c>
      <c r="AO668" s="4">
        <v>78.599999999999994</v>
      </c>
      <c r="AP668" s="4">
        <v>25.8</v>
      </c>
      <c r="AQ668" s="4">
        <v>14.1</v>
      </c>
      <c r="AR668" s="7">
        <v>2.56</v>
      </c>
      <c r="AS668" s="4">
        <v>78</v>
      </c>
      <c r="AT668" s="6">
        <v>21.7</v>
      </c>
      <c r="AU668" s="6">
        <v>12.2</v>
      </c>
      <c r="AV668" s="7">
        <v>2.5499999999999998</v>
      </c>
      <c r="AW668" s="6" t="s">
        <v>5</v>
      </c>
      <c r="AX668" s="6" t="s">
        <v>5</v>
      </c>
      <c r="AY668" s="6" t="s">
        <v>5</v>
      </c>
      <c r="AZ668" s="6" t="s">
        <v>5</v>
      </c>
      <c r="BA668" s="6" t="s">
        <v>5</v>
      </c>
      <c r="BB668" s="6" t="s">
        <v>5</v>
      </c>
      <c r="BC668" s="6" t="s">
        <v>5</v>
      </c>
      <c r="BD668" s="6" t="s">
        <v>5</v>
      </c>
      <c r="BE668" s="6" t="s">
        <v>5</v>
      </c>
      <c r="BF668" s="6" t="s">
        <v>5</v>
      </c>
      <c r="BG668" s="6" t="s">
        <v>5</v>
      </c>
      <c r="BH668" s="6" t="s">
        <v>5</v>
      </c>
      <c r="BI668" s="7">
        <v>4.24</v>
      </c>
      <c r="BJ668" s="22">
        <v>0.72799999999999998</v>
      </c>
      <c r="BK668" s="6" t="s">
        <v>5</v>
      </c>
      <c r="BL668" s="2" t="s">
        <v>5</v>
      </c>
      <c r="BM668" s="2" t="s">
        <v>5</v>
      </c>
      <c r="BN668" s="2" t="s">
        <v>5</v>
      </c>
      <c r="BO668" s="2" t="s">
        <v>5</v>
      </c>
      <c r="BP668" s="2" t="s">
        <v>5</v>
      </c>
      <c r="BQ668" s="2" t="s">
        <v>5</v>
      </c>
      <c r="BR668" s="2" t="s">
        <v>5</v>
      </c>
      <c r="BS668" s="2" t="s">
        <v>5</v>
      </c>
      <c r="BT668" s="2" t="s">
        <v>5</v>
      </c>
      <c r="BU668" s="2" t="s">
        <v>5</v>
      </c>
      <c r="BV668" s="2" t="s">
        <v>5</v>
      </c>
      <c r="BW668" s="2" t="s">
        <v>5</v>
      </c>
      <c r="BX668" s="2" t="s">
        <v>5</v>
      </c>
      <c r="BY668" s="25" t="s">
        <v>5</v>
      </c>
      <c r="BZ668" s="25" t="s">
        <v>5</v>
      </c>
      <c r="CA668" s="6" t="s">
        <v>5</v>
      </c>
      <c r="CB668" s="6" t="s">
        <v>5</v>
      </c>
      <c r="CC668" s="6" t="s">
        <v>5</v>
      </c>
      <c r="CD668" s="6" t="s">
        <v>5</v>
      </c>
      <c r="CE668" s="6" t="s">
        <v>5</v>
      </c>
      <c r="CF668" s="16" t="s">
        <v>5</v>
      </c>
      <c r="CG668" s="16" t="s">
        <v>5</v>
      </c>
      <c r="CH668" s="18" t="s">
        <v>5</v>
      </c>
    </row>
    <row r="669" spans="2:86">
      <c r="B669" s="78" t="s">
        <v>473</v>
      </c>
      <c r="C669" s="79" t="s">
        <v>769</v>
      </c>
      <c r="D669" s="80" t="s">
        <v>769</v>
      </c>
      <c r="E669" s="1" t="s">
        <v>4</v>
      </c>
      <c r="F669" s="4">
        <v>74.8</v>
      </c>
      <c r="G669" s="4">
        <v>22.2</v>
      </c>
      <c r="H669" s="3" t="str">
        <f t="shared" si="29"/>
        <v>2L8X4X1LLBB</v>
      </c>
      <c r="I669" s="7">
        <v>8</v>
      </c>
      <c r="J669" s="5" t="s">
        <v>5</v>
      </c>
      <c r="K669" s="6" t="s">
        <v>5</v>
      </c>
      <c r="L669" s="6" t="s">
        <v>5</v>
      </c>
      <c r="M669" s="6" t="s">
        <v>5</v>
      </c>
      <c r="N669" s="6" t="s">
        <v>5</v>
      </c>
      <c r="O669" s="5" t="s">
        <v>5</v>
      </c>
      <c r="P669" s="5" t="s">
        <v>5</v>
      </c>
      <c r="Q669" s="7">
        <v>4</v>
      </c>
      <c r="R669" s="6" t="s">
        <v>5</v>
      </c>
      <c r="S669" s="6" t="s">
        <v>5</v>
      </c>
      <c r="T669" s="5" t="s">
        <v>5</v>
      </c>
      <c r="U669" s="8" t="s">
        <v>5</v>
      </c>
      <c r="V669" s="6" t="s">
        <v>5</v>
      </c>
      <c r="W669" s="8" t="s">
        <v>5</v>
      </c>
      <c r="X669" s="7">
        <v>1</v>
      </c>
      <c r="Y669" s="6" t="s">
        <v>5</v>
      </c>
      <c r="Z669" s="6" t="s">
        <v>5</v>
      </c>
      <c r="AA669" s="6" t="s">
        <v>5</v>
      </c>
      <c r="AB669" s="8" t="s">
        <v>5</v>
      </c>
      <c r="AC669" s="8" t="s">
        <v>5</v>
      </c>
      <c r="AD669" s="6" t="s">
        <v>5</v>
      </c>
      <c r="AE669" s="7">
        <v>3.03</v>
      </c>
      <c r="AF669" s="6" t="s">
        <v>5</v>
      </c>
      <c r="AG669" s="6" t="s">
        <v>5</v>
      </c>
      <c r="AH669" s="7">
        <v>2.4500000000000002</v>
      </c>
      <c r="AI669" s="6" t="s">
        <v>5</v>
      </c>
      <c r="AJ669" s="7">
        <v>8</v>
      </c>
      <c r="AK669" s="6" t="s">
        <v>5</v>
      </c>
      <c r="AL669" s="6" t="s">
        <v>5</v>
      </c>
      <c r="AM669" s="6" t="s">
        <v>5</v>
      </c>
      <c r="AN669" s="6" t="s">
        <v>5</v>
      </c>
      <c r="AO669" s="6">
        <v>139</v>
      </c>
      <c r="AP669" s="4">
        <v>48.6</v>
      </c>
      <c r="AQ669" s="4">
        <v>28</v>
      </c>
      <c r="AR669" s="7">
        <v>2.5099999999999998</v>
      </c>
      <c r="AS669" s="6">
        <v>47.3</v>
      </c>
      <c r="AT669" s="6">
        <v>23.1</v>
      </c>
      <c r="AU669" s="6">
        <v>11.8</v>
      </c>
      <c r="AV669" s="7">
        <v>1.46</v>
      </c>
      <c r="AW669" s="6" t="s">
        <v>5</v>
      </c>
      <c r="AX669" s="6" t="s">
        <v>5</v>
      </c>
      <c r="AY669" s="6" t="s">
        <v>5</v>
      </c>
      <c r="AZ669" s="6" t="s">
        <v>5</v>
      </c>
      <c r="BA669" s="6" t="s">
        <v>5</v>
      </c>
      <c r="BB669" s="6" t="s">
        <v>5</v>
      </c>
      <c r="BC669" s="6" t="s">
        <v>5</v>
      </c>
      <c r="BD669" s="6" t="s">
        <v>5</v>
      </c>
      <c r="BE669" s="6" t="s">
        <v>5</v>
      </c>
      <c r="BF669" s="6" t="s">
        <v>5</v>
      </c>
      <c r="BG669" s="6" t="s">
        <v>5</v>
      </c>
      <c r="BH669" s="6" t="s">
        <v>5</v>
      </c>
      <c r="BI669" s="7">
        <v>3.86</v>
      </c>
      <c r="BJ669" s="22">
        <v>0.56799999999999995</v>
      </c>
      <c r="BK669" s="6" t="s">
        <v>5</v>
      </c>
      <c r="BL669" s="2" t="s">
        <v>5</v>
      </c>
      <c r="BM669" s="2" t="s">
        <v>5</v>
      </c>
      <c r="BN669" s="2" t="s">
        <v>5</v>
      </c>
      <c r="BO669" s="2" t="s">
        <v>5</v>
      </c>
      <c r="BP669" s="2" t="s">
        <v>5</v>
      </c>
      <c r="BQ669" s="2" t="s">
        <v>5</v>
      </c>
      <c r="BR669" s="2" t="s">
        <v>5</v>
      </c>
      <c r="BS669" s="2" t="s">
        <v>5</v>
      </c>
      <c r="BT669" s="2" t="s">
        <v>5</v>
      </c>
      <c r="BU669" s="2" t="s">
        <v>5</v>
      </c>
      <c r="BV669" s="2" t="s">
        <v>5</v>
      </c>
      <c r="BW669" s="2" t="s">
        <v>5</v>
      </c>
      <c r="BX669" s="2" t="s">
        <v>5</v>
      </c>
      <c r="BY669" s="25" t="s">
        <v>5</v>
      </c>
      <c r="BZ669" s="25" t="s">
        <v>5</v>
      </c>
      <c r="CA669" s="6" t="s">
        <v>5</v>
      </c>
      <c r="CB669" s="6" t="s">
        <v>5</v>
      </c>
      <c r="CC669" s="6" t="s">
        <v>5</v>
      </c>
      <c r="CD669" s="6" t="s">
        <v>5</v>
      </c>
      <c r="CE669" s="6" t="s">
        <v>5</v>
      </c>
      <c r="CF669" s="16" t="s">
        <v>5</v>
      </c>
      <c r="CG669" s="16" t="s">
        <v>5</v>
      </c>
      <c r="CH669" s="18" t="s">
        <v>5</v>
      </c>
    </row>
    <row r="670" spans="2:86">
      <c r="B670" s="78" t="s">
        <v>473</v>
      </c>
      <c r="C670" s="79" t="s">
        <v>770</v>
      </c>
      <c r="D670" s="80" t="s">
        <v>770</v>
      </c>
      <c r="E670" s="1" t="s">
        <v>4</v>
      </c>
      <c r="F670" s="4">
        <v>74.8</v>
      </c>
      <c r="G670" s="4">
        <v>22.2</v>
      </c>
      <c r="H670" s="3" t="str">
        <f t="shared" si="29"/>
        <v>2L8X4X1X3/8LLBB</v>
      </c>
      <c r="I670" s="7">
        <v>8</v>
      </c>
      <c r="J670" s="5" t="s">
        <v>5</v>
      </c>
      <c r="K670" s="6" t="s">
        <v>5</v>
      </c>
      <c r="L670" s="6" t="s">
        <v>5</v>
      </c>
      <c r="M670" s="6" t="s">
        <v>5</v>
      </c>
      <c r="N670" s="6" t="s">
        <v>5</v>
      </c>
      <c r="O670" s="5" t="s">
        <v>5</v>
      </c>
      <c r="P670" s="5" t="s">
        <v>5</v>
      </c>
      <c r="Q670" s="7">
        <v>4</v>
      </c>
      <c r="R670" s="6" t="s">
        <v>5</v>
      </c>
      <c r="S670" s="6" t="s">
        <v>5</v>
      </c>
      <c r="T670" s="5" t="s">
        <v>5</v>
      </c>
      <c r="U670" s="8" t="s">
        <v>5</v>
      </c>
      <c r="V670" s="6" t="s">
        <v>5</v>
      </c>
      <c r="W670" s="8" t="s">
        <v>5</v>
      </c>
      <c r="X670" s="7">
        <v>1</v>
      </c>
      <c r="Y670" s="6" t="s">
        <v>5</v>
      </c>
      <c r="Z670" s="6" t="s">
        <v>5</v>
      </c>
      <c r="AA670" s="6" t="s">
        <v>5</v>
      </c>
      <c r="AB670" s="8" t="s">
        <v>5</v>
      </c>
      <c r="AC670" s="8" t="s">
        <v>5</v>
      </c>
      <c r="AD670" s="6" t="s">
        <v>5</v>
      </c>
      <c r="AE670" s="7">
        <v>3.03</v>
      </c>
      <c r="AF670" s="6" t="s">
        <v>5</v>
      </c>
      <c r="AG670" s="6" t="s">
        <v>5</v>
      </c>
      <c r="AH670" s="7">
        <v>2.4500000000000002</v>
      </c>
      <c r="AI670" s="6" t="s">
        <v>5</v>
      </c>
      <c r="AJ670" s="7">
        <v>8</v>
      </c>
      <c r="AK670" s="6" t="s">
        <v>5</v>
      </c>
      <c r="AL670" s="6" t="s">
        <v>5</v>
      </c>
      <c r="AM670" s="6" t="s">
        <v>5</v>
      </c>
      <c r="AN670" s="6" t="s">
        <v>5</v>
      </c>
      <c r="AO670" s="6">
        <v>139</v>
      </c>
      <c r="AP670" s="4">
        <v>48.6</v>
      </c>
      <c r="AQ670" s="4">
        <v>28</v>
      </c>
      <c r="AR670" s="7">
        <v>2.5099999999999998</v>
      </c>
      <c r="AS670" s="6">
        <v>56.8</v>
      </c>
      <c r="AT670" s="6">
        <v>27.3</v>
      </c>
      <c r="AU670" s="6">
        <v>13.6</v>
      </c>
      <c r="AV670" s="7">
        <v>1.6</v>
      </c>
      <c r="AW670" s="6" t="s">
        <v>5</v>
      </c>
      <c r="AX670" s="6" t="s">
        <v>5</v>
      </c>
      <c r="AY670" s="6" t="s">
        <v>5</v>
      </c>
      <c r="AZ670" s="6" t="s">
        <v>5</v>
      </c>
      <c r="BA670" s="6" t="s">
        <v>5</v>
      </c>
      <c r="BB670" s="6" t="s">
        <v>5</v>
      </c>
      <c r="BC670" s="6" t="s">
        <v>5</v>
      </c>
      <c r="BD670" s="6" t="s">
        <v>5</v>
      </c>
      <c r="BE670" s="6" t="s">
        <v>5</v>
      </c>
      <c r="BF670" s="6" t="s">
        <v>5</v>
      </c>
      <c r="BG670" s="6" t="s">
        <v>5</v>
      </c>
      <c r="BH670" s="6" t="s">
        <v>5</v>
      </c>
      <c r="BI670" s="7">
        <v>3.91</v>
      </c>
      <c r="BJ670" s="22">
        <v>0.57999999999999996</v>
      </c>
      <c r="BK670" s="6" t="s">
        <v>5</v>
      </c>
      <c r="BL670" s="2" t="s">
        <v>5</v>
      </c>
      <c r="BM670" s="2" t="s">
        <v>5</v>
      </c>
      <c r="BN670" s="2" t="s">
        <v>5</v>
      </c>
      <c r="BO670" s="2" t="s">
        <v>5</v>
      </c>
      <c r="BP670" s="2" t="s">
        <v>5</v>
      </c>
      <c r="BQ670" s="2" t="s">
        <v>5</v>
      </c>
      <c r="BR670" s="2" t="s">
        <v>5</v>
      </c>
      <c r="BS670" s="2" t="s">
        <v>5</v>
      </c>
      <c r="BT670" s="2" t="s">
        <v>5</v>
      </c>
      <c r="BU670" s="2" t="s">
        <v>5</v>
      </c>
      <c r="BV670" s="2" t="s">
        <v>5</v>
      </c>
      <c r="BW670" s="2" t="s">
        <v>5</v>
      </c>
      <c r="BX670" s="2" t="s">
        <v>5</v>
      </c>
      <c r="BY670" s="25" t="s">
        <v>5</v>
      </c>
      <c r="BZ670" s="25" t="s">
        <v>5</v>
      </c>
      <c r="CA670" s="6" t="s">
        <v>5</v>
      </c>
      <c r="CB670" s="6" t="s">
        <v>5</v>
      </c>
      <c r="CC670" s="6" t="s">
        <v>5</v>
      </c>
      <c r="CD670" s="6" t="s">
        <v>5</v>
      </c>
      <c r="CE670" s="6" t="s">
        <v>5</v>
      </c>
      <c r="CF670" s="16" t="s">
        <v>5</v>
      </c>
      <c r="CG670" s="16" t="s">
        <v>5</v>
      </c>
      <c r="CH670" s="18" t="s">
        <v>5</v>
      </c>
    </row>
    <row r="671" spans="2:86">
      <c r="B671" s="78" t="s">
        <v>473</v>
      </c>
      <c r="C671" s="79" t="s">
        <v>771</v>
      </c>
      <c r="D671" s="80" t="s">
        <v>771</v>
      </c>
      <c r="E671" s="1" t="s">
        <v>4</v>
      </c>
      <c r="F671" s="4">
        <v>74.8</v>
      </c>
      <c r="G671" s="4">
        <v>22.2</v>
      </c>
      <c r="H671" s="3" t="str">
        <f t="shared" si="29"/>
        <v>2L8X4X1X3/4LLBB</v>
      </c>
      <c r="I671" s="7">
        <v>8</v>
      </c>
      <c r="J671" s="5" t="s">
        <v>5</v>
      </c>
      <c r="K671" s="6" t="s">
        <v>5</v>
      </c>
      <c r="L671" s="6" t="s">
        <v>5</v>
      </c>
      <c r="M671" s="6" t="s">
        <v>5</v>
      </c>
      <c r="N671" s="6" t="s">
        <v>5</v>
      </c>
      <c r="O671" s="5" t="s">
        <v>5</v>
      </c>
      <c r="P671" s="5" t="s">
        <v>5</v>
      </c>
      <c r="Q671" s="7">
        <v>4</v>
      </c>
      <c r="R671" s="6" t="s">
        <v>5</v>
      </c>
      <c r="S671" s="6" t="s">
        <v>5</v>
      </c>
      <c r="T671" s="5" t="s">
        <v>5</v>
      </c>
      <c r="U671" s="8" t="s">
        <v>5</v>
      </c>
      <c r="V671" s="6" t="s">
        <v>5</v>
      </c>
      <c r="W671" s="8" t="s">
        <v>5</v>
      </c>
      <c r="X671" s="7">
        <v>1</v>
      </c>
      <c r="Y671" s="6" t="s">
        <v>5</v>
      </c>
      <c r="Z671" s="6" t="s">
        <v>5</v>
      </c>
      <c r="AA671" s="6" t="s">
        <v>5</v>
      </c>
      <c r="AB671" s="8" t="s">
        <v>5</v>
      </c>
      <c r="AC671" s="8" t="s">
        <v>5</v>
      </c>
      <c r="AD671" s="6" t="s">
        <v>5</v>
      </c>
      <c r="AE671" s="7">
        <v>3.03</v>
      </c>
      <c r="AF671" s="6" t="s">
        <v>5</v>
      </c>
      <c r="AG671" s="6" t="s">
        <v>5</v>
      </c>
      <c r="AH671" s="7">
        <v>2.4500000000000002</v>
      </c>
      <c r="AI671" s="6" t="s">
        <v>5</v>
      </c>
      <c r="AJ671" s="7">
        <v>8</v>
      </c>
      <c r="AK671" s="6" t="s">
        <v>5</v>
      </c>
      <c r="AL671" s="6" t="s">
        <v>5</v>
      </c>
      <c r="AM671" s="6" t="s">
        <v>5</v>
      </c>
      <c r="AN671" s="6" t="s">
        <v>5</v>
      </c>
      <c r="AO671" s="6">
        <v>139</v>
      </c>
      <c r="AP671" s="4">
        <v>48.6</v>
      </c>
      <c r="AQ671" s="4">
        <v>28</v>
      </c>
      <c r="AR671" s="7">
        <v>2.5099999999999998</v>
      </c>
      <c r="AS671" s="4">
        <v>68</v>
      </c>
      <c r="AT671" s="6">
        <v>31.4</v>
      </c>
      <c r="AU671" s="6">
        <v>15.5</v>
      </c>
      <c r="AV671" s="7">
        <v>1.75</v>
      </c>
      <c r="AW671" s="6" t="s">
        <v>5</v>
      </c>
      <c r="AX671" s="6" t="s">
        <v>5</v>
      </c>
      <c r="AY671" s="6" t="s">
        <v>5</v>
      </c>
      <c r="AZ671" s="6" t="s">
        <v>5</v>
      </c>
      <c r="BA671" s="6" t="s">
        <v>5</v>
      </c>
      <c r="BB671" s="6" t="s">
        <v>5</v>
      </c>
      <c r="BC671" s="6" t="s">
        <v>5</v>
      </c>
      <c r="BD671" s="6" t="s">
        <v>5</v>
      </c>
      <c r="BE671" s="6" t="s">
        <v>5</v>
      </c>
      <c r="BF671" s="6" t="s">
        <v>5</v>
      </c>
      <c r="BG671" s="6" t="s">
        <v>5</v>
      </c>
      <c r="BH671" s="6" t="s">
        <v>5</v>
      </c>
      <c r="BI671" s="7">
        <v>3.97</v>
      </c>
      <c r="BJ671" s="22">
        <v>0.59399999999999997</v>
      </c>
      <c r="BK671" s="6" t="s">
        <v>5</v>
      </c>
      <c r="BL671" s="2" t="s">
        <v>5</v>
      </c>
      <c r="BM671" s="2" t="s">
        <v>5</v>
      </c>
      <c r="BN671" s="2" t="s">
        <v>5</v>
      </c>
      <c r="BO671" s="2" t="s">
        <v>5</v>
      </c>
      <c r="BP671" s="2" t="s">
        <v>5</v>
      </c>
      <c r="BQ671" s="2" t="s">
        <v>5</v>
      </c>
      <c r="BR671" s="2" t="s">
        <v>5</v>
      </c>
      <c r="BS671" s="2" t="s">
        <v>5</v>
      </c>
      <c r="BT671" s="2" t="s">
        <v>5</v>
      </c>
      <c r="BU671" s="2" t="s">
        <v>5</v>
      </c>
      <c r="BV671" s="2" t="s">
        <v>5</v>
      </c>
      <c r="BW671" s="2" t="s">
        <v>5</v>
      </c>
      <c r="BX671" s="2" t="s">
        <v>5</v>
      </c>
      <c r="BY671" s="25" t="s">
        <v>5</v>
      </c>
      <c r="BZ671" s="25" t="s">
        <v>5</v>
      </c>
      <c r="CA671" s="6" t="s">
        <v>5</v>
      </c>
      <c r="CB671" s="6" t="s">
        <v>5</v>
      </c>
      <c r="CC671" s="6" t="s">
        <v>5</v>
      </c>
      <c r="CD671" s="6" t="s">
        <v>5</v>
      </c>
      <c r="CE671" s="6" t="s">
        <v>5</v>
      </c>
      <c r="CF671" s="16" t="s">
        <v>5</v>
      </c>
      <c r="CG671" s="16" t="s">
        <v>5</v>
      </c>
      <c r="CH671" s="18" t="s">
        <v>5</v>
      </c>
    </row>
    <row r="672" spans="2:86">
      <c r="B672" s="78" t="s">
        <v>473</v>
      </c>
      <c r="C672" s="79" t="s">
        <v>772</v>
      </c>
      <c r="D672" s="80" t="s">
        <v>772</v>
      </c>
      <c r="E672" s="1" t="s">
        <v>4</v>
      </c>
      <c r="F672" s="4">
        <v>66.2</v>
      </c>
      <c r="G672" s="4">
        <v>19.600000000000001</v>
      </c>
      <c r="H672" s="3" t="str">
        <f t="shared" si="29"/>
        <v>2L8X4X7/8LLBB</v>
      </c>
      <c r="I672" s="7">
        <v>8</v>
      </c>
      <c r="J672" s="5" t="s">
        <v>5</v>
      </c>
      <c r="K672" s="6" t="s">
        <v>5</v>
      </c>
      <c r="L672" s="6" t="s">
        <v>5</v>
      </c>
      <c r="M672" s="6" t="s">
        <v>5</v>
      </c>
      <c r="N672" s="6" t="s">
        <v>5</v>
      </c>
      <c r="O672" s="5" t="s">
        <v>5</v>
      </c>
      <c r="P672" s="5" t="s">
        <v>5</v>
      </c>
      <c r="Q672" s="7">
        <v>4</v>
      </c>
      <c r="R672" s="6" t="s">
        <v>5</v>
      </c>
      <c r="S672" s="6" t="s">
        <v>5</v>
      </c>
      <c r="T672" s="5" t="s">
        <v>5</v>
      </c>
      <c r="U672" s="8" t="s">
        <v>5</v>
      </c>
      <c r="V672" s="6" t="s">
        <v>5</v>
      </c>
      <c r="W672" s="8" t="s">
        <v>5</v>
      </c>
      <c r="X672" s="22">
        <v>0.875</v>
      </c>
      <c r="Y672" s="6" t="s">
        <v>5</v>
      </c>
      <c r="Z672" s="6" t="s">
        <v>5</v>
      </c>
      <c r="AA672" s="6" t="s">
        <v>5</v>
      </c>
      <c r="AB672" s="8" t="s">
        <v>5</v>
      </c>
      <c r="AC672" s="8" t="s">
        <v>5</v>
      </c>
      <c r="AD672" s="6" t="s">
        <v>5</v>
      </c>
      <c r="AE672" s="7">
        <v>2.99</v>
      </c>
      <c r="AF672" s="6" t="s">
        <v>5</v>
      </c>
      <c r="AG672" s="6" t="s">
        <v>5</v>
      </c>
      <c r="AH672" s="7">
        <v>2.41</v>
      </c>
      <c r="AI672" s="6" t="s">
        <v>5</v>
      </c>
      <c r="AJ672" s="7">
        <v>9.14</v>
      </c>
      <c r="AK672" s="6" t="s">
        <v>5</v>
      </c>
      <c r="AL672" s="6" t="s">
        <v>5</v>
      </c>
      <c r="AM672" s="6" t="s">
        <v>5</v>
      </c>
      <c r="AN672" s="6" t="s">
        <v>5</v>
      </c>
      <c r="AO672" s="6">
        <v>125</v>
      </c>
      <c r="AP672" s="4">
        <v>43.4</v>
      </c>
      <c r="AQ672" s="4">
        <v>25</v>
      </c>
      <c r="AR672" s="7">
        <v>2.5299999999999998</v>
      </c>
      <c r="AS672" s="6">
        <v>40.6</v>
      </c>
      <c r="AT672" s="6">
        <v>19.5</v>
      </c>
      <c r="AU672" s="6">
        <v>10.199999999999999</v>
      </c>
      <c r="AV672" s="7">
        <v>1.44</v>
      </c>
      <c r="AW672" s="6" t="s">
        <v>5</v>
      </c>
      <c r="AX672" s="6" t="s">
        <v>5</v>
      </c>
      <c r="AY672" s="6" t="s">
        <v>5</v>
      </c>
      <c r="AZ672" s="6" t="s">
        <v>5</v>
      </c>
      <c r="BA672" s="6" t="s">
        <v>5</v>
      </c>
      <c r="BB672" s="6" t="s">
        <v>5</v>
      </c>
      <c r="BC672" s="6" t="s">
        <v>5</v>
      </c>
      <c r="BD672" s="6" t="s">
        <v>5</v>
      </c>
      <c r="BE672" s="6" t="s">
        <v>5</v>
      </c>
      <c r="BF672" s="6" t="s">
        <v>5</v>
      </c>
      <c r="BG672" s="6" t="s">
        <v>5</v>
      </c>
      <c r="BH672" s="6" t="s">
        <v>5</v>
      </c>
      <c r="BI672" s="7">
        <v>3.87</v>
      </c>
      <c r="BJ672" s="22">
        <v>0.56599999999999995</v>
      </c>
      <c r="BK672" s="6" t="s">
        <v>5</v>
      </c>
      <c r="BL672" s="2" t="s">
        <v>5</v>
      </c>
      <c r="BM672" s="2" t="s">
        <v>5</v>
      </c>
      <c r="BN672" s="2" t="s">
        <v>5</v>
      </c>
      <c r="BO672" s="2" t="s">
        <v>5</v>
      </c>
      <c r="BP672" s="2" t="s">
        <v>5</v>
      </c>
      <c r="BQ672" s="2" t="s">
        <v>5</v>
      </c>
      <c r="BR672" s="2" t="s">
        <v>5</v>
      </c>
      <c r="BS672" s="2" t="s">
        <v>5</v>
      </c>
      <c r="BT672" s="2" t="s">
        <v>5</v>
      </c>
      <c r="BU672" s="2" t="s">
        <v>5</v>
      </c>
      <c r="BV672" s="2" t="s">
        <v>5</v>
      </c>
      <c r="BW672" s="2" t="s">
        <v>5</v>
      </c>
      <c r="BX672" s="2" t="s">
        <v>5</v>
      </c>
      <c r="BY672" s="25" t="s">
        <v>5</v>
      </c>
      <c r="BZ672" s="25" t="s">
        <v>5</v>
      </c>
      <c r="CA672" s="6" t="s">
        <v>5</v>
      </c>
      <c r="CB672" s="6" t="s">
        <v>5</v>
      </c>
      <c r="CC672" s="6" t="s">
        <v>5</v>
      </c>
      <c r="CD672" s="6" t="s">
        <v>5</v>
      </c>
      <c r="CE672" s="6" t="s">
        <v>5</v>
      </c>
      <c r="CF672" s="16" t="s">
        <v>5</v>
      </c>
      <c r="CG672" s="16" t="s">
        <v>5</v>
      </c>
      <c r="CH672" s="18" t="s">
        <v>5</v>
      </c>
    </row>
    <row r="673" spans="2:86">
      <c r="B673" s="78" t="s">
        <v>473</v>
      </c>
      <c r="C673" s="79" t="s">
        <v>773</v>
      </c>
      <c r="D673" s="80" t="s">
        <v>773</v>
      </c>
      <c r="E673" s="1" t="s">
        <v>4</v>
      </c>
      <c r="F673" s="4">
        <v>66.2</v>
      </c>
      <c r="G673" s="4">
        <v>19.600000000000001</v>
      </c>
      <c r="H673" s="3" t="str">
        <f t="shared" si="29"/>
        <v>2L8X4X7/8X3/8LLBB</v>
      </c>
      <c r="I673" s="7">
        <v>8</v>
      </c>
      <c r="J673" s="5" t="s">
        <v>5</v>
      </c>
      <c r="K673" s="6" t="s">
        <v>5</v>
      </c>
      <c r="L673" s="6" t="s">
        <v>5</v>
      </c>
      <c r="M673" s="6" t="s">
        <v>5</v>
      </c>
      <c r="N673" s="6" t="s">
        <v>5</v>
      </c>
      <c r="O673" s="5" t="s">
        <v>5</v>
      </c>
      <c r="P673" s="5" t="s">
        <v>5</v>
      </c>
      <c r="Q673" s="7">
        <v>4</v>
      </c>
      <c r="R673" s="6" t="s">
        <v>5</v>
      </c>
      <c r="S673" s="6" t="s">
        <v>5</v>
      </c>
      <c r="T673" s="5" t="s">
        <v>5</v>
      </c>
      <c r="U673" s="8" t="s">
        <v>5</v>
      </c>
      <c r="V673" s="6" t="s">
        <v>5</v>
      </c>
      <c r="W673" s="8" t="s">
        <v>5</v>
      </c>
      <c r="X673" s="22">
        <v>0.875</v>
      </c>
      <c r="Y673" s="6" t="s">
        <v>5</v>
      </c>
      <c r="Z673" s="6" t="s">
        <v>5</v>
      </c>
      <c r="AA673" s="6" t="s">
        <v>5</v>
      </c>
      <c r="AB673" s="8" t="s">
        <v>5</v>
      </c>
      <c r="AC673" s="8" t="s">
        <v>5</v>
      </c>
      <c r="AD673" s="6" t="s">
        <v>5</v>
      </c>
      <c r="AE673" s="7">
        <v>2.99</v>
      </c>
      <c r="AF673" s="6" t="s">
        <v>5</v>
      </c>
      <c r="AG673" s="6" t="s">
        <v>5</v>
      </c>
      <c r="AH673" s="7">
        <v>2.41</v>
      </c>
      <c r="AI673" s="6" t="s">
        <v>5</v>
      </c>
      <c r="AJ673" s="7">
        <v>9.14</v>
      </c>
      <c r="AK673" s="6" t="s">
        <v>5</v>
      </c>
      <c r="AL673" s="6" t="s">
        <v>5</v>
      </c>
      <c r="AM673" s="6" t="s">
        <v>5</v>
      </c>
      <c r="AN673" s="6" t="s">
        <v>5</v>
      </c>
      <c r="AO673" s="6">
        <v>125</v>
      </c>
      <c r="AP673" s="4">
        <v>43.4</v>
      </c>
      <c r="AQ673" s="4">
        <v>25</v>
      </c>
      <c r="AR673" s="7">
        <v>2.5299999999999998</v>
      </c>
      <c r="AS673" s="6">
        <v>48.3</v>
      </c>
      <c r="AT673" s="6">
        <v>23.2</v>
      </c>
      <c r="AU673" s="6">
        <v>11.5</v>
      </c>
      <c r="AV673" s="7">
        <v>1.57</v>
      </c>
      <c r="AW673" s="6" t="s">
        <v>5</v>
      </c>
      <c r="AX673" s="6" t="s">
        <v>5</v>
      </c>
      <c r="AY673" s="6" t="s">
        <v>5</v>
      </c>
      <c r="AZ673" s="6" t="s">
        <v>5</v>
      </c>
      <c r="BA673" s="6" t="s">
        <v>5</v>
      </c>
      <c r="BB673" s="6" t="s">
        <v>5</v>
      </c>
      <c r="BC673" s="6" t="s">
        <v>5</v>
      </c>
      <c r="BD673" s="6" t="s">
        <v>5</v>
      </c>
      <c r="BE673" s="6" t="s">
        <v>5</v>
      </c>
      <c r="BF673" s="6" t="s">
        <v>5</v>
      </c>
      <c r="BG673" s="6" t="s">
        <v>5</v>
      </c>
      <c r="BH673" s="6" t="s">
        <v>5</v>
      </c>
      <c r="BI673" s="7">
        <v>3.92</v>
      </c>
      <c r="BJ673" s="22">
        <v>0.57699999999999996</v>
      </c>
      <c r="BK673" s="6" t="s">
        <v>5</v>
      </c>
      <c r="BL673" s="2" t="s">
        <v>5</v>
      </c>
      <c r="BM673" s="2" t="s">
        <v>5</v>
      </c>
      <c r="BN673" s="2" t="s">
        <v>5</v>
      </c>
      <c r="BO673" s="2" t="s">
        <v>5</v>
      </c>
      <c r="BP673" s="2" t="s">
        <v>5</v>
      </c>
      <c r="BQ673" s="2" t="s">
        <v>5</v>
      </c>
      <c r="BR673" s="2" t="s">
        <v>5</v>
      </c>
      <c r="BS673" s="2" t="s">
        <v>5</v>
      </c>
      <c r="BT673" s="2" t="s">
        <v>5</v>
      </c>
      <c r="BU673" s="2" t="s">
        <v>5</v>
      </c>
      <c r="BV673" s="2" t="s">
        <v>5</v>
      </c>
      <c r="BW673" s="2" t="s">
        <v>5</v>
      </c>
      <c r="BX673" s="2" t="s">
        <v>5</v>
      </c>
      <c r="BY673" s="25" t="s">
        <v>5</v>
      </c>
      <c r="BZ673" s="25" t="s">
        <v>5</v>
      </c>
      <c r="CA673" s="6" t="s">
        <v>5</v>
      </c>
      <c r="CB673" s="6" t="s">
        <v>5</v>
      </c>
      <c r="CC673" s="6" t="s">
        <v>5</v>
      </c>
      <c r="CD673" s="6" t="s">
        <v>5</v>
      </c>
      <c r="CE673" s="6" t="s">
        <v>5</v>
      </c>
      <c r="CF673" s="16" t="s">
        <v>5</v>
      </c>
      <c r="CG673" s="16" t="s">
        <v>5</v>
      </c>
      <c r="CH673" s="18" t="s">
        <v>5</v>
      </c>
    </row>
    <row r="674" spans="2:86">
      <c r="B674" s="78" t="s">
        <v>473</v>
      </c>
      <c r="C674" s="79" t="s">
        <v>774</v>
      </c>
      <c r="D674" s="80" t="s">
        <v>774</v>
      </c>
      <c r="E674" s="1" t="s">
        <v>4</v>
      </c>
      <c r="F674" s="4">
        <v>66.2</v>
      </c>
      <c r="G674" s="4">
        <v>19.600000000000001</v>
      </c>
      <c r="H674" s="3" t="str">
        <f t="shared" si="29"/>
        <v>2L8X4X7/8X3/4LLBB</v>
      </c>
      <c r="I674" s="7">
        <v>8</v>
      </c>
      <c r="J674" s="5" t="s">
        <v>5</v>
      </c>
      <c r="K674" s="6" t="s">
        <v>5</v>
      </c>
      <c r="L674" s="6" t="s">
        <v>5</v>
      </c>
      <c r="M674" s="6" t="s">
        <v>5</v>
      </c>
      <c r="N674" s="6" t="s">
        <v>5</v>
      </c>
      <c r="O674" s="5" t="s">
        <v>5</v>
      </c>
      <c r="P674" s="5" t="s">
        <v>5</v>
      </c>
      <c r="Q674" s="7">
        <v>4</v>
      </c>
      <c r="R674" s="6" t="s">
        <v>5</v>
      </c>
      <c r="S674" s="6" t="s">
        <v>5</v>
      </c>
      <c r="T674" s="5" t="s">
        <v>5</v>
      </c>
      <c r="U674" s="8" t="s">
        <v>5</v>
      </c>
      <c r="V674" s="6" t="s">
        <v>5</v>
      </c>
      <c r="W674" s="8" t="s">
        <v>5</v>
      </c>
      <c r="X674" s="22">
        <v>0.875</v>
      </c>
      <c r="Y674" s="6" t="s">
        <v>5</v>
      </c>
      <c r="Z674" s="6" t="s">
        <v>5</v>
      </c>
      <c r="AA674" s="6" t="s">
        <v>5</v>
      </c>
      <c r="AB674" s="8" t="s">
        <v>5</v>
      </c>
      <c r="AC674" s="8" t="s">
        <v>5</v>
      </c>
      <c r="AD674" s="6" t="s">
        <v>5</v>
      </c>
      <c r="AE674" s="7">
        <v>2.99</v>
      </c>
      <c r="AF674" s="6" t="s">
        <v>5</v>
      </c>
      <c r="AG674" s="6" t="s">
        <v>5</v>
      </c>
      <c r="AH674" s="7">
        <v>2.41</v>
      </c>
      <c r="AI674" s="6" t="s">
        <v>5</v>
      </c>
      <c r="AJ674" s="7">
        <v>9.14</v>
      </c>
      <c r="AK674" s="6" t="s">
        <v>5</v>
      </c>
      <c r="AL674" s="6" t="s">
        <v>5</v>
      </c>
      <c r="AM674" s="6" t="s">
        <v>5</v>
      </c>
      <c r="AN674" s="6" t="s">
        <v>5</v>
      </c>
      <c r="AO674" s="6">
        <v>125</v>
      </c>
      <c r="AP674" s="4">
        <v>43.4</v>
      </c>
      <c r="AQ674" s="4">
        <v>25</v>
      </c>
      <c r="AR674" s="7">
        <v>2.5299999999999998</v>
      </c>
      <c r="AS674" s="4">
        <v>58</v>
      </c>
      <c r="AT674" s="6">
        <v>26.9</v>
      </c>
      <c r="AU674" s="6">
        <v>13.3</v>
      </c>
      <c r="AV674" s="7">
        <v>1.72</v>
      </c>
      <c r="AW674" s="6" t="s">
        <v>5</v>
      </c>
      <c r="AX674" s="6" t="s">
        <v>5</v>
      </c>
      <c r="AY674" s="6" t="s">
        <v>5</v>
      </c>
      <c r="AZ674" s="6" t="s">
        <v>5</v>
      </c>
      <c r="BA674" s="6" t="s">
        <v>5</v>
      </c>
      <c r="BB674" s="6" t="s">
        <v>5</v>
      </c>
      <c r="BC674" s="6" t="s">
        <v>5</v>
      </c>
      <c r="BD674" s="6" t="s">
        <v>5</v>
      </c>
      <c r="BE674" s="6" t="s">
        <v>5</v>
      </c>
      <c r="BF674" s="6" t="s">
        <v>5</v>
      </c>
      <c r="BG674" s="6" t="s">
        <v>5</v>
      </c>
      <c r="BH674" s="6" t="s">
        <v>5</v>
      </c>
      <c r="BI674" s="7">
        <v>3.98</v>
      </c>
      <c r="BJ674" s="22">
        <v>0.59</v>
      </c>
      <c r="BK674" s="6" t="s">
        <v>5</v>
      </c>
      <c r="BL674" s="2" t="s">
        <v>5</v>
      </c>
      <c r="BM674" s="2" t="s">
        <v>5</v>
      </c>
      <c r="BN674" s="2" t="s">
        <v>5</v>
      </c>
      <c r="BO674" s="2" t="s">
        <v>5</v>
      </c>
      <c r="BP674" s="2" t="s">
        <v>5</v>
      </c>
      <c r="BQ674" s="2" t="s">
        <v>5</v>
      </c>
      <c r="BR674" s="2" t="s">
        <v>5</v>
      </c>
      <c r="BS674" s="2" t="s">
        <v>5</v>
      </c>
      <c r="BT674" s="2" t="s">
        <v>5</v>
      </c>
      <c r="BU674" s="2" t="s">
        <v>5</v>
      </c>
      <c r="BV674" s="2" t="s">
        <v>5</v>
      </c>
      <c r="BW674" s="2" t="s">
        <v>5</v>
      </c>
      <c r="BX674" s="2" t="s">
        <v>5</v>
      </c>
      <c r="BY674" s="25" t="s">
        <v>5</v>
      </c>
      <c r="BZ674" s="25" t="s">
        <v>5</v>
      </c>
      <c r="CA674" s="6" t="s">
        <v>5</v>
      </c>
      <c r="CB674" s="6" t="s">
        <v>5</v>
      </c>
      <c r="CC674" s="6" t="s">
        <v>5</v>
      </c>
      <c r="CD674" s="6" t="s">
        <v>5</v>
      </c>
      <c r="CE674" s="6" t="s">
        <v>5</v>
      </c>
      <c r="CF674" s="16" t="s">
        <v>5</v>
      </c>
      <c r="CG674" s="16" t="s">
        <v>5</v>
      </c>
      <c r="CH674" s="18" t="s">
        <v>5</v>
      </c>
    </row>
    <row r="675" spans="2:86">
      <c r="B675" s="78" t="s">
        <v>473</v>
      </c>
      <c r="C675" s="79" t="s">
        <v>775</v>
      </c>
      <c r="D675" s="80" t="s">
        <v>775</v>
      </c>
      <c r="E675" s="1" t="s">
        <v>4</v>
      </c>
      <c r="F675" s="4">
        <v>57.4</v>
      </c>
      <c r="G675" s="4">
        <v>17</v>
      </c>
      <c r="H675" s="3" t="str">
        <f t="shared" si="29"/>
        <v>2L8X4X3/4LLBB</v>
      </c>
      <c r="I675" s="7">
        <v>8</v>
      </c>
      <c r="J675" s="5" t="s">
        <v>5</v>
      </c>
      <c r="K675" s="6" t="s">
        <v>5</v>
      </c>
      <c r="L675" s="6" t="s">
        <v>5</v>
      </c>
      <c r="M675" s="6" t="s">
        <v>5</v>
      </c>
      <c r="N675" s="6" t="s">
        <v>5</v>
      </c>
      <c r="O675" s="5" t="s">
        <v>5</v>
      </c>
      <c r="P675" s="5" t="s">
        <v>5</v>
      </c>
      <c r="Q675" s="7">
        <v>4</v>
      </c>
      <c r="R675" s="6" t="s">
        <v>5</v>
      </c>
      <c r="S675" s="6" t="s">
        <v>5</v>
      </c>
      <c r="T675" s="5" t="s">
        <v>5</v>
      </c>
      <c r="U675" s="8" t="s">
        <v>5</v>
      </c>
      <c r="V675" s="6" t="s">
        <v>5</v>
      </c>
      <c r="W675" s="8" t="s">
        <v>5</v>
      </c>
      <c r="X675" s="22">
        <v>0.75</v>
      </c>
      <c r="Y675" s="6" t="s">
        <v>5</v>
      </c>
      <c r="Z675" s="6" t="s">
        <v>5</v>
      </c>
      <c r="AA675" s="6" t="s">
        <v>5</v>
      </c>
      <c r="AB675" s="8" t="s">
        <v>5</v>
      </c>
      <c r="AC675" s="8" t="s">
        <v>5</v>
      </c>
      <c r="AD675" s="6" t="s">
        <v>5</v>
      </c>
      <c r="AE675" s="7">
        <v>2.94</v>
      </c>
      <c r="AF675" s="6" t="s">
        <v>5</v>
      </c>
      <c r="AG675" s="6" t="s">
        <v>5</v>
      </c>
      <c r="AH675" s="7">
        <v>2.34</v>
      </c>
      <c r="AI675" s="6" t="s">
        <v>5</v>
      </c>
      <c r="AJ675" s="4">
        <v>10.7</v>
      </c>
      <c r="AK675" s="6" t="s">
        <v>5</v>
      </c>
      <c r="AL675" s="6" t="s">
        <v>5</v>
      </c>
      <c r="AM675" s="6" t="s">
        <v>5</v>
      </c>
      <c r="AN675" s="6" t="s">
        <v>5</v>
      </c>
      <c r="AO675" s="6">
        <v>110</v>
      </c>
      <c r="AP675" s="4">
        <v>37.799999999999997</v>
      </c>
      <c r="AQ675" s="4">
        <v>21.8</v>
      </c>
      <c r="AR675" s="7">
        <v>2.5499999999999998</v>
      </c>
      <c r="AS675" s="6">
        <v>34.299999999999997</v>
      </c>
      <c r="AT675" s="6">
        <v>16.100000000000001</v>
      </c>
      <c r="AU675" s="6">
        <v>8.57</v>
      </c>
      <c r="AV675" s="7">
        <v>1.42</v>
      </c>
      <c r="AW675" s="6" t="s">
        <v>5</v>
      </c>
      <c r="AX675" s="6" t="s">
        <v>5</v>
      </c>
      <c r="AY675" s="6" t="s">
        <v>5</v>
      </c>
      <c r="AZ675" s="6" t="s">
        <v>5</v>
      </c>
      <c r="BA675" s="6" t="s">
        <v>5</v>
      </c>
      <c r="BB675" s="6" t="s">
        <v>5</v>
      </c>
      <c r="BC675" s="6" t="s">
        <v>5</v>
      </c>
      <c r="BD675" s="6" t="s">
        <v>5</v>
      </c>
      <c r="BE675" s="6" t="s">
        <v>5</v>
      </c>
      <c r="BF675" s="6" t="s">
        <v>5</v>
      </c>
      <c r="BG675" s="6" t="s">
        <v>5</v>
      </c>
      <c r="BH675" s="6" t="s">
        <v>5</v>
      </c>
      <c r="BI675" s="7">
        <v>3.88</v>
      </c>
      <c r="BJ675" s="22">
        <v>0.56399999999999995</v>
      </c>
      <c r="BK675" s="6" t="s">
        <v>5</v>
      </c>
      <c r="BL675" s="2" t="s">
        <v>5</v>
      </c>
      <c r="BM675" s="2" t="s">
        <v>5</v>
      </c>
      <c r="BN675" s="2" t="s">
        <v>5</v>
      </c>
      <c r="BO675" s="2" t="s">
        <v>5</v>
      </c>
      <c r="BP675" s="2" t="s">
        <v>5</v>
      </c>
      <c r="BQ675" s="2" t="s">
        <v>5</v>
      </c>
      <c r="BR675" s="2" t="s">
        <v>5</v>
      </c>
      <c r="BS675" s="2" t="s">
        <v>5</v>
      </c>
      <c r="BT675" s="2" t="s">
        <v>5</v>
      </c>
      <c r="BU675" s="2" t="s">
        <v>5</v>
      </c>
      <c r="BV675" s="2" t="s">
        <v>5</v>
      </c>
      <c r="BW675" s="2" t="s">
        <v>5</v>
      </c>
      <c r="BX675" s="2" t="s">
        <v>5</v>
      </c>
      <c r="BY675" s="25" t="s">
        <v>5</v>
      </c>
      <c r="BZ675" s="25" t="s">
        <v>5</v>
      </c>
      <c r="CA675" s="6" t="s">
        <v>5</v>
      </c>
      <c r="CB675" s="6" t="s">
        <v>5</v>
      </c>
      <c r="CC675" s="6" t="s">
        <v>5</v>
      </c>
      <c r="CD675" s="6" t="s">
        <v>5</v>
      </c>
      <c r="CE675" s="6" t="s">
        <v>5</v>
      </c>
      <c r="CF675" s="16" t="s">
        <v>5</v>
      </c>
      <c r="CG675" s="16" t="s">
        <v>5</v>
      </c>
      <c r="CH675" s="18" t="s">
        <v>5</v>
      </c>
    </row>
    <row r="676" spans="2:86">
      <c r="B676" s="78" t="s">
        <v>473</v>
      </c>
      <c r="C676" s="79" t="s">
        <v>776</v>
      </c>
      <c r="D676" s="80" t="s">
        <v>776</v>
      </c>
      <c r="E676" s="1" t="s">
        <v>4</v>
      </c>
      <c r="F676" s="4">
        <v>57.4</v>
      </c>
      <c r="G676" s="4">
        <v>17</v>
      </c>
      <c r="H676" s="3" t="str">
        <f t="shared" si="29"/>
        <v>2L8X4X3/4X3/8LLBB</v>
      </c>
      <c r="I676" s="7">
        <v>8</v>
      </c>
      <c r="J676" s="5" t="s">
        <v>5</v>
      </c>
      <c r="K676" s="6" t="s">
        <v>5</v>
      </c>
      <c r="L676" s="6" t="s">
        <v>5</v>
      </c>
      <c r="M676" s="6" t="s">
        <v>5</v>
      </c>
      <c r="N676" s="6" t="s">
        <v>5</v>
      </c>
      <c r="O676" s="5" t="s">
        <v>5</v>
      </c>
      <c r="P676" s="5" t="s">
        <v>5</v>
      </c>
      <c r="Q676" s="7">
        <v>4</v>
      </c>
      <c r="R676" s="6" t="s">
        <v>5</v>
      </c>
      <c r="S676" s="6" t="s">
        <v>5</v>
      </c>
      <c r="T676" s="5" t="s">
        <v>5</v>
      </c>
      <c r="U676" s="8" t="s">
        <v>5</v>
      </c>
      <c r="V676" s="6" t="s">
        <v>5</v>
      </c>
      <c r="W676" s="8" t="s">
        <v>5</v>
      </c>
      <c r="X676" s="22">
        <v>0.75</v>
      </c>
      <c r="Y676" s="6" t="s">
        <v>5</v>
      </c>
      <c r="Z676" s="6" t="s">
        <v>5</v>
      </c>
      <c r="AA676" s="6" t="s">
        <v>5</v>
      </c>
      <c r="AB676" s="8" t="s">
        <v>5</v>
      </c>
      <c r="AC676" s="8" t="s">
        <v>5</v>
      </c>
      <c r="AD676" s="6" t="s">
        <v>5</v>
      </c>
      <c r="AE676" s="7">
        <v>2.94</v>
      </c>
      <c r="AF676" s="6" t="s">
        <v>5</v>
      </c>
      <c r="AG676" s="6" t="s">
        <v>5</v>
      </c>
      <c r="AH676" s="7">
        <v>2.34</v>
      </c>
      <c r="AI676" s="6" t="s">
        <v>5</v>
      </c>
      <c r="AJ676" s="4">
        <v>10.7</v>
      </c>
      <c r="AK676" s="6" t="s">
        <v>5</v>
      </c>
      <c r="AL676" s="6" t="s">
        <v>5</v>
      </c>
      <c r="AM676" s="6" t="s">
        <v>5</v>
      </c>
      <c r="AN676" s="6" t="s">
        <v>5</v>
      </c>
      <c r="AO676" s="6">
        <v>110</v>
      </c>
      <c r="AP676" s="4">
        <v>37.799999999999997</v>
      </c>
      <c r="AQ676" s="4">
        <v>21.8</v>
      </c>
      <c r="AR676" s="7">
        <v>2.5499999999999998</v>
      </c>
      <c r="AS676" s="6">
        <v>40.799999999999997</v>
      </c>
      <c r="AT676" s="6">
        <v>19.3</v>
      </c>
      <c r="AU676" s="6">
        <v>9.74</v>
      </c>
      <c r="AV676" s="7">
        <v>1.55</v>
      </c>
      <c r="AW676" s="6" t="s">
        <v>5</v>
      </c>
      <c r="AX676" s="6" t="s">
        <v>5</v>
      </c>
      <c r="AY676" s="6" t="s">
        <v>5</v>
      </c>
      <c r="AZ676" s="6" t="s">
        <v>5</v>
      </c>
      <c r="BA676" s="6" t="s">
        <v>5</v>
      </c>
      <c r="BB676" s="6" t="s">
        <v>5</v>
      </c>
      <c r="BC676" s="6" t="s">
        <v>5</v>
      </c>
      <c r="BD676" s="6" t="s">
        <v>5</v>
      </c>
      <c r="BE676" s="6" t="s">
        <v>5</v>
      </c>
      <c r="BF676" s="6" t="s">
        <v>5</v>
      </c>
      <c r="BG676" s="6" t="s">
        <v>5</v>
      </c>
      <c r="BH676" s="6" t="s">
        <v>5</v>
      </c>
      <c r="BI676" s="7">
        <v>3.93</v>
      </c>
      <c r="BJ676" s="22">
        <v>0.57499999999999996</v>
      </c>
      <c r="BK676" s="6" t="s">
        <v>5</v>
      </c>
      <c r="BL676" s="2" t="s">
        <v>5</v>
      </c>
      <c r="BM676" s="2" t="s">
        <v>5</v>
      </c>
      <c r="BN676" s="2" t="s">
        <v>5</v>
      </c>
      <c r="BO676" s="2" t="s">
        <v>5</v>
      </c>
      <c r="BP676" s="2" t="s">
        <v>5</v>
      </c>
      <c r="BQ676" s="2" t="s">
        <v>5</v>
      </c>
      <c r="BR676" s="2" t="s">
        <v>5</v>
      </c>
      <c r="BS676" s="2" t="s">
        <v>5</v>
      </c>
      <c r="BT676" s="2" t="s">
        <v>5</v>
      </c>
      <c r="BU676" s="2" t="s">
        <v>5</v>
      </c>
      <c r="BV676" s="2" t="s">
        <v>5</v>
      </c>
      <c r="BW676" s="2" t="s">
        <v>5</v>
      </c>
      <c r="BX676" s="2" t="s">
        <v>5</v>
      </c>
      <c r="BY676" s="25" t="s">
        <v>5</v>
      </c>
      <c r="BZ676" s="25" t="s">
        <v>5</v>
      </c>
      <c r="CA676" s="6" t="s">
        <v>5</v>
      </c>
      <c r="CB676" s="6" t="s">
        <v>5</v>
      </c>
      <c r="CC676" s="6" t="s">
        <v>5</v>
      </c>
      <c r="CD676" s="6" t="s">
        <v>5</v>
      </c>
      <c r="CE676" s="6" t="s">
        <v>5</v>
      </c>
      <c r="CF676" s="16" t="s">
        <v>5</v>
      </c>
      <c r="CG676" s="16" t="s">
        <v>5</v>
      </c>
      <c r="CH676" s="18" t="s">
        <v>5</v>
      </c>
    </row>
    <row r="677" spans="2:86">
      <c r="B677" s="78" t="s">
        <v>473</v>
      </c>
      <c r="C677" s="79" t="s">
        <v>777</v>
      </c>
      <c r="D677" s="80" t="s">
        <v>777</v>
      </c>
      <c r="E677" s="1" t="s">
        <v>4</v>
      </c>
      <c r="F677" s="4">
        <v>57.4</v>
      </c>
      <c r="G677" s="4">
        <v>17</v>
      </c>
      <c r="H677" s="3" t="str">
        <f t="shared" si="29"/>
        <v>2L8X4X3/4X3/4LLBB</v>
      </c>
      <c r="I677" s="7">
        <v>8</v>
      </c>
      <c r="J677" s="5" t="s">
        <v>5</v>
      </c>
      <c r="K677" s="6" t="s">
        <v>5</v>
      </c>
      <c r="L677" s="6" t="s">
        <v>5</v>
      </c>
      <c r="M677" s="6" t="s">
        <v>5</v>
      </c>
      <c r="N677" s="6" t="s">
        <v>5</v>
      </c>
      <c r="O677" s="5" t="s">
        <v>5</v>
      </c>
      <c r="P677" s="5" t="s">
        <v>5</v>
      </c>
      <c r="Q677" s="7">
        <v>4</v>
      </c>
      <c r="R677" s="6" t="s">
        <v>5</v>
      </c>
      <c r="S677" s="6" t="s">
        <v>5</v>
      </c>
      <c r="T677" s="5" t="s">
        <v>5</v>
      </c>
      <c r="U677" s="8" t="s">
        <v>5</v>
      </c>
      <c r="V677" s="6" t="s">
        <v>5</v>
      </c>
      <c r="W677" s="8" t="s">
        <v>5</v>
      </c>
      <c r="X677" s="22">
        <v>0.75</v>
      </c>
      <c r="Y677" s="6" t="s">
        <v>5</v>
      </c>
      <c r="Z677" s="6" t="s">
        <v>5</v>
      </c>
      <c r="AA677" s="6" t="s">
        <v>5</v>
      </c>
      <c r="AB677" s="8" t="s">
        <v>5</v>
      </c>
      <c r="AC677" s="8" t="s">
        <v>5</v>
      </c>
      <c r="AD677" s="6" t="s">
        <v>5</v>
      </c>
      <c r="AE677" s="7">
        <v>2.94</v>
      </c>
      <c r="AF677" s="6" t="s">
        <v>5</v>
      </c>
      <c r="AG677" s="6" t="s">
        <v>5</v>
      </c>
      <c r="AH677" s="7">
        <v>2.34</v>
      </c>
      <c r="AI677" s="6" t="s">
        <v>5</v>
      </c>
      <c r="AJ677" s="4">
        <v>10.7</v>
      </c>
      <c r="AK677" s="6" t="s">
        <v>5</v>
      </c>
      <c r="AL677" s="6" t="s">
        <v>5</v>
      </c>
      <c r="AM677" s="6" t="s">
        <v>5</v>
      </c>
      <c r="AN677" s="6" t="s">
        <v>5</v>
      </c>
      <c r="AO677" s="6">
        <v>110</v>
      </c>
      <c r="AP677" s="4">
        <v>37.799999999999997</v>
      </c>
      <c r="AQ677" s="4">
        <v>21.8</v>
      </c>
      <c r="AR677" s="7">
        <v>2.5499999999999998</v>
      </c>
      <c r="AS677" s="6">
        <v>48.6</v>
      </c>
      <c r="AT677" s="6">
        <v>22.5</v>
      </c>
      <c r="AU677" s="6">
        <v>11.1</v>
      </c>
      <c r="AV677" s="7">
        <v>1.69</v>
      </c>
      <c r="AW677" s="6" t="s">
        <v>5</v>
      </c>
      <c r="AX677" s="6" t="s">
        <v>5</v>
      </c>
      <c r="AY677" s="6" t="s">
        <v>5</v>
      </c>
      <c r="AZ677" s="6" t="s">
        <v>5</v>
      </c>
      <c r="BA677" s="6" t="s">
        <v>5</v>
      </c>
      <c r="BB677" s="6" t="s">
        <v>5</v>
      </c>
      <c r="BC677" s="6" t="s">
        <v>5</v>
      </c>
      <c r="BD677" s="6" t="s">
        <v>5</v>
      </c>
      <c r="BE677" s="6" t="s">
        <v>5</v>
      </c>
      <c r="BF677" s="6" t="s">
        <v>5</v>
      </c>
      <c r="BG677" s="6" t="s">
        <v>5</v>
      </c>
      <c r="BH677" s="6" t="s">
        <v>5</v>
      </c>
      <c r="BI677" s="7">
        <v>3.99</v>
      </c>
      <c r="BJ677" s="22">
        <v>0.58699999999999997</v>
      </c>
      <c r="BK677" s="6" t="s">
        <v>5</v>
      </c>
      <c r="BL677" s="2" t="s">
        <v>5</v>
      </c>
      <c r="BM677" s="2" t="s">
        <v>5</v>
      </c>
      <c r="BN677" s="2" t="s">
        <v>5</v>
      </c>
      <c r="BO677" s="2" t="s">
        <v>5</v>
      </c>
      <c r="BP677" s="2" t="s">
        <v>5</v>
      </c>
      <c r="BQ677" s="2" t="s">
        <v>5</v>
      </c>
      <c r="BR677" s="2" t="s">
        <v>5</v>
      </c>
      <c r="BS677" s="2" t="s">
        <v>5</v>
      </c>
      <c r="BT677" s="2" t="s">
        <v>5</v>
      </c>
      <c r="BU677" s="2" t="s">
        <v>5</v>
      </c>
      <c r="BV677" s="2" t="s">
        <v>5</v>
      </c>
      <c r="BW677" s="2" t="s">
        <v>5</v>
      </c>
      <c r="BX677" s="2" t="s">
        <v>5</v>
      </c>
      <c r="BY677" s="25" t="s">
        <v>5</v>
      </c>
      <c r="BZ677" s="25" t="s">
        <v>5</v>
      </c>
      <c r="CA677" s="6" t="s">
        <v>5</v>
      </c>
      <c r="CB677" s="6" t="s">
        <v>5</v>
      </c>
      <c r="CC677" s="6" t="s">
        <v>5</v>
      </c>
      <c r="CD677" s="6" t="s">
        <v>5</v>
      </c>
      <c r="CE677" s="6" t="s">
        <v>5</v>
      </c>
      <c r="CF677" s="16" t="s">
        <v>5</v>
      </c>
      <c r="CG677" s="16" t="s">
        <v>5</v>
      </c>
      <c r="CH677" s="18" t="s">
        <v>5</v>
      </c>
    </row>
    <row r="678" spans="2:86">
      <c r="B678" s="78" t="s">
        <v>473</v>
      </c>
      <c r="C678" s="79" t="s">
        <v>778</v>
      </c>
      <c r="D678" s="80" t="s">
        <v>778</v>
      </c>
      <c r="E678" s="1" t="s">
        <v>4</v>
      </c>
      <c r="F678" s="4">
        <v>48.4</v>
      </c>
      <c r="G678" s="4">
        <v>14.3</v>
      </c>
      <c r="H678" s="3" t="str">
        <f t="shared" si="29"/>
        <v>2L8X4X5/8LLBB</v>
      </c>
      <c r="I678" s="7">
        <v>8</v>
      </c>
      <c r="J678" s="5" t="s">
        <v>5</v>
      </c>
      <c r="K678" s="6" t="s">
        <v>5</v>
      </c>
      <c r="L678" s="6" t="s">
        <v>5</v>
      </c>
      <c r="M678" s="6" t="s">
        <v>5</v>
      </c>
      <c r="N678" s="6" t="s">
        <v>5</v>
      </c>
      <c r="O678" s="5" t="s">
        <v>5</v>
      </c>
      <c r="P678" s="5" t="s">
        <v>5</v>
      </c>
      <c r="Q678" s="7">
        <v>4</v>
      </c>
      <c r="R678" s="6" t="s">
        <v>5</v>
      </c>
      <c r="S678" s="6" t="s">
        <v>5</v>
      </c>
      <c r="T678" s="5" t="s">
        <v>5</v>
      </c>
      <c r="U678" s="8" t="s">
        <v>5</v>
      </c>
      <c r="V678" s="6" t="s">
        <v>5</v>
      </c>
      <c r="W678" s="8" t="s">
        <v>5</v>
      </c>
      <c r="X678" s="22">
        <v>0.625</v>
      </c>
      <c r="Y678" s="6" t="s">
        <v>5</v>
      </c>
      <c r="Z678" s="6" t="s">
        <v>5</v>
      </c>
      <c r="AA678" s="6" t="s">
        <v>5</v>
      </c>
      <c r="AB678" s="8" t="s">
        <v>5</v>
      </c>
      <c r="AC678" s="8" t="s">
        <v>5</v>
      </c>
      <c r="AD678" s="6" t="s">
        <v>5</v>
      </c>
      <c r="AE678" s="7">
        <v>2.89</v>
      </c>
      <c r="AF678" s="6" t="s">
        <v>5</v>
      </c>
      <c r="AG678" s="6" t="s">
        <v>5</v>
      </c>
      <c r="AH678" s="7">
        <v>2.27</v>
      </c>
      <c r="AI678" s="6" t="s">
        <v>5</v>
      </c>
      <c r="AJ678" s="4">
        <v>12.8</v>
      </c>
      <c r="AK678" s="6" t="s">
        <v>5</v>
      </c>
      <c r="AL678" s="6" t="s">
        <v>5</v>
      </c>
      <c r="AM678" s="6" t="s">
        <v>5</v>
      </c>
      <c r="AN678" s="6" t="s">
        <v>5</v>
      </c>
      <c r="AO678" s="4">
        <v>94</v>
      </c>
      <c r="AP678" s="4">
        <v>32.200000000000003</v>
      </c>
      <c r="AQ678" s="4">
        <v>18.399999999999999</v>
      </c>
      <c r="AR678" s="7">
        <v>2.56</v>
      </c>
      <c r="AS678" s="6">
        <v>27.6</v>
      </c>
      <c r="AT678" s="6">
        <v>12.9</v>
      </c>
      <c r="AU678" s="7">
        <v>6.9</v>
      </c>
      <c r="AV678" s="7">
        <v>1.39</v>
      </c>
      <c r="AW678" s="6" t="s">
        <v>5</v>
      </c>
      <c r="AX678" s="6" t="s">
        <v>5</v>
      </c>
      <c r="AY678" s="6" t="s">
        <v>5</v>
      </c>
      <c r="AZ678" s="6" t="s">
        <v>5</v>
      </c>
      <c r="BA678" s="6" t="s">
        <v>5</v>
      </c>
      <c r="BB678" s="6" t="s">
        <v>5</v>
      </c>
      <c r="BC678" s="6" t="s">
        <v>5</v>
      </c>
      <c r="BD678" s="6" t="s">
        <v>5</v>
      </c>
      <c r="BE678" s="6" t="s">
        <v>5</v>
      </c>
      <c r="BF678" s="6" t="s">
        <v>5</v>
      </c>
      <c r="BG678" s="6" t="s">
        <v>5</v>
      </c>
      <c r="BH678" s="6" t="s">
        <v>5</v>
      </c>
      <c r="BI678" s="7">
        <v>3.89</v>
      </c>
      <c r="BJ678" s="22">
        <v>0.56200000000000006</v>
      </c>
      <c r="BK678" s="6" t="s">
        <v>5</v>
      </c>
      <c r="BL678" s="2" t="s">
        <v>5</v>
      </c>
      <c r="BM678" s="2" t="s">
        <v>5</v>
      </c>
      <c r="BN678" s="2" t="s">
        <v>5</v>
      </c>
      <c r="BO678" s="2" t="s">
        <v>5</v>
      </c>
      <c r="BP678" s="2" t="s">
        <v>5</v>
      </c>
      <c r="BQ678" s="2" t="s">
        <v>5</v>
      </c>
      <c r="BR678" s="2" t="s">
        <v>5</v>
      </c>
      <c r="BS678" s="2" t="s">
        <v>5</v>
      </c>
      <c r="BT678" s="2" t="s">
        <v>5</v>
      </c>
      <c r="BU678" s="2" t="s">
        <v>5</v>
      </c>
      <c r="BV678" s="2" t="s">
        <v>5</v>
      </c>
      <c r="BW678" s="2" t="s">
        <v>5</v>
      </c>
      <c r="BX678" s="2" t="s">
        <v>5</v>
      </c>
      <c r="BY678" s="25" t="s">
        <v>5</v>
      </c>
      <c r="BZ678" s="25" t="s">
        <v>5</v>
      </c>
      <c r="CA678" s="6" t="s">
        <v>5</v>
      </c>
      <c r="CB678" s="6" t="s">
        <v>5</v>
      </c>
      <c r="CC678" s="6" t="s">
        <v>5</v>
      </c>
      <c r="CD678" s="6" t="s">
        <v>5</v>
      </c>
      <c r="CE678" s="6" t="s">
        <v>5</v>
      </c>
      <c r="CF678" s="16" t="s">
        <v>5</v>
      </c>
      <c r="CG678" s="16" t="s">
        <v>5</v>
      </c>
      <c r="CH678" s="18" t="s">
        <v>5</v>
      </c>
    </row>
    <row r="679" spans="2:86">
      <c r="B679" s="78" t="s">
        <v>473</v>
      </c>
      <c r="C679" s="79" t="s">
        <v>779</v>
      </c>
      <c r="D679" s="80" t="s">
        <v>779</v>
      </c>
      <c r="E679" s="1" t="s">
        <v>4</v>
      </c>
      <c r="F679" s="4">
        <v>48.4</v>
      </c>
      <c r="G679" s="4">
        <v>14.3</v>
      </c>
      <c r="H679" s="3" t="str">
        <f t="shared" si="29"/>
        <v>2L8X4X5/8X3/8LLBB</v>
      </c>
      <c r="I679" s="7">
        <v>8</v>
      </c>
      <c r="J679" s="5" t="s">
        <v>5</v>
      </c>
      <c r="K679" s="6" t="s">
        <v>5</v>
      </c>
      <c r="L679" s="6" t="s">
        <v>5</v>
      </c>
      <c r="M679" s="6" t="s">
        <v>5</v>
      </c>
      <c r="N679" s="6" t="s">
        <v>5</v>
      </c>
      <c r="O679" s="5" t="s">
        <v>5</v>
      </c>
      <c r="P679" s="5" t="s">
        <v>5</v>
      </c>
      <c r="Q679" s="7">
        <v>4</v>
      </c>
      <c r="R679" s="6" t="s">
        <v>5</v>
      </c>
      <c r="S679" s="6" t="s">
        <v>5</v>
      </c>
      <c r="T679" s="5" t="s">
        <v>5</v>
      </c>
      <c r="U679" s="8" t="s">
        <v>5</v>
      </c>
      <c r="V679" s="6" t="s">
        <v>5</v>
      </c>
      <c r="W679" s="8" t="s">
        <v>5</v>
      </c>
      <c r="X679" s="22">
        <v>0.625</v>
      </c>
      <c r="Y679" s="6" t="s">
        <v>5</v>
      </c>
      <c r="Z679" s="6" t="s">
        <v>5</v>
      </c>
      <c r="AA679" s="6" t="s">
        <v>5</v>
      </c>
      <c r="AB679" s="8" t="s">
        <v>5</v>
      </c>
      <c r="AC679" s="8" t="s">
        <v>5</v>
      </c>
      <c r="AD679" s="6" t="s">
        <v>5</v>
      </c>
      <c r="AE679" s="7">
        <v>2.89</v>
      </c>
      <c r="AF679" s="6" t="s">
        <v>5</v>
      </c>
      <c r="AG679" s="6" t="s">
        <v>5</v>
      </c>
      <c r="AH679" s="7">
        <v>2.27</v>
      </c>
      <c r="AI679" s="6" t="s">
        <v>5</v>
      </c>
      <c r="AJ679" s="4">
        <v>12.8</v>
      </c>
      <c r="AK679" s="6" t="s">
        <v>5</v>
      </c>
      <c r="AL679" s="6" t="s">
        <v>5</v>
      </c>
      <c r="AM679" s="6" t="s">
        <v>5</v>
      </c>
      <c r="AN679" s="6" t="s">
        <v>5</v>
      </c>
      <c r="AO679" s="4">
        <v>94</v>
      </c>
      <c r="AP679" s="4">
        <v>32.200000000000003</v>
      </c>
      <c r="AQ679" s="4">
        <v>18.399999999999999</v>
      </c>
      <c r="AR679" s="7">
        <v>2.56</v>
      </c>
      <c r="AS679" s="4">
        <v>33</v>
      </c>
      <c r="AT679" s="6">
        <v>15.6</v>
      </c>
      <c r="AU679" s="6">
        <v>7.88</v>
      </c>
      <c r="AV679" s="7">
        <v>1.52</v>
      </c>
      <c r="AW679" s="6" t="s">
        <v>5</v>
      </c>
      <c r="AX679" s="6" t="s">
        <v>5</v>
      </c>
      <c r="AY679" s="6" t="s">
        <v>5</v>
      </c>
      <c r="AZ679" s="6" t="s">
        <v>5</v>
      </c>
      <c r="BA679" s="6" t="s">
        <v>5</v>
      </c>
      <c r="BB679" s="6" t="s">
        <v>5</v>
      </c>
      <c r="BC679" s="6" t="s">
        <v>5</v>
      </c>
      <c r="BD679" s="6" t="s">
        <v>5</v>
      </c>
      <c r="BE679" s="6" t="s">
        <v>5</v>
      </c>
      <c r="BF679" s="6" t="s">
        <v>5</v>
      </c>
      <c r="BG679" s="6" t="s">
        <v>5</v>
      </c>
      <c r="BH679" s="6" t="s">
        <v>5</v>
      </c>
      <c r="BI679" s="7">
        <v>3.94</v>
      </c>
      <c r="BJ679" s="22">
        <v>0.57299999999999995</v>
      </c>
      <c r="BK679" s="6" t="s">
        <v>5</v>
      </c>
      <c r="BL679" s="2" t="s">
        <v>5</v>
      </c>
      <c r="BM679" s="2" t="s">
        <v>5</v>
      </c>
      <c r="BN679" s="2" t="s">
        <v>5</v>
      </c>
      <c r="BO679" s="2" t="s">
        <v>5</v>
      </c>
      <c r="BP679" s="2" t="s">
        <v>5</v>
      </c>
      <c r="BQ679" s="2" t="s">
        <v>5</v>
      </c>
      <c r="BR679" s="2" t="s">
        <v>5</v>
      </c>
      <c r="BS679" s="2" t="s">
        <v>5</v>
      </c>
      <c r="BT679" s="2" t="s">
        <v>5</v>
      </c>
      <c r="BU679" s="2" t="s">
        <v>5</v>
      </c>
      <c r="BV679" s="2" t="s">
        <v>5</v>
      </c>
      <c r="BW679" s="2" t="s">
        <v>5</v>
      </c>
      <c r="BX679" s="2" t="s">
        <v>5</v>
      </c>
      <c r="BY679" s="25" t="s">
        <v>5</v>
      </c>
      <c r="BZ679" s="25" t="s">
        <v>5</v>
      </c>
      <c r="CA679" s="6" t="s">
        <v>5</v>
      </c>
      <c r="CB679" s="6" t="s">
        <v>5</v>
      </c>
      <c r="CC679" s="6" t="s">
        <v>5</v>
      </c>
      <c r="CD679" s="6" t="s">
        <v>5</v>
      </c>
      <c r="CE679" s="6" t="s">
        <v>5</v>
      </c>
      <c r="CF679" s="16" t="s">
        <v>5</v>
      </c>
      <c r="CG679" s="16" t="s">
        <v>5</v>
      </c>
      <c r="CH679" s="18" t="s">
        <v>5</v>
      </c>
    </row>
    <row r="680" spans="2:86">
      <c r="B680" s="78" t="s">
        <v>473</v>
      </c>
      <c r="C680" s="79" t="s">
        <v>780</v>
      </c>
      <c r="D680" s="80" t="s">
        <v>780</v>
      </c>
      <c r="E680" s="1" t="s">
        <v>4</v>
      </c>
      <c r="F680" s="4">
        <v>48.4</v>
      </c>
      <c r="G680" s="4">
        <v>14.3</v>
      </c>
      <c r="H680" s="3" t="str">
        <f t="shared" si="29"/>
        <v>2L8X4X5/8X3/4LLBB</v>
      </c>
      <c r="I680" s="7">
        <v>8</v>
      </c>
      <c r="J680" s="5" t="s">
        <v>5</v>
      </c>
      <c r="K680" s="6" t="s">
        <v>5</v>
      </c>
      <c r="L680" s="6" t="s">
        <v>5</v>
      </c>
      <c r="M680" s="6" t="s">
        <v>5</v>
      </c>
      <c r="N680" s="6" t="s">
        <v>5</v>
      </c>
      <c r="O680" s="5" t="s">
        <v>5</v>
      </c>
      <c r="P680" s="5" t="s">
        <v>5</v>
      </c>
      <c r="Q680" s="7">
        <v>4</v>
      </c>
      <c r="R680" s="6" t="s">
        <v>5</v>
      </c>
      <c r="S680" s="6" t="s">
        <v>5</v>
      </c>
      <c r="T680" s="5" t="s">
        <v>5</v>
      </c>
      <c r="U680" s="8" t="s">
        <v>5</v>
      </c>
      <c r="V680" s="6" t="s">
        <v>5</v>
      </c>
      <c r="W680" s="8" t="s">
        <v>5</v>
      </c>
      <c r="X680" s="22">
        <v>0.625</v>
      </c>
      <c r="Y680" s="6" t="s">
        <v>5</v>
      </c>
      <c r="Z680" s="6" t="s">
        <v>5</v>
      </c>
      <c r="AA680" s="6" t="s">
        <v>5</v>
      </c>
      <c r="AB680" s="8" t="s">
        <v>5</v>
      </c>
      <c r="AC680" s="8" t="s">
        <v>5</v>
      </c>
      <c r="AD680" s="6" t="s">
        <v>5</v>
      </c>
      <c r="AE680" s="7">
        <v>2.89</v>
      </c>
      <c r="AF680" s="6" t="s">
        <v>5</v>
      </c>
      <c r="AG680" s="6" t="s">
        <v>5</v>
      </c>
      <c r="AH680" s="7">
        <v>2.27</v>
      </c>
      <c r="AI680" s="6" t="s">
        <v>5</v>
      </c>
      <c r="AJ680" s="4">
        <v>12.8</v>
      </c>
      <c r="AK680" s="6" t="s">
        <v>5</v>
      </c>
      <c r="AL680" s="6" t="s">
        <v>5</v>
      </c>
      <c r="AM680" s="6" t="s">
        <v>5</v>
      </c>
      <c r="AN680" s="6" t="s">
        <v>5</v>
      </c>
      <c r="AO680" s="4">
        <v>94</v>
      </c>
      <c r="AP680" s="4">
        <v>32.200000000000003</v>
      </c>
      <c r="AQ680" s="4">
        <v>18.399999999999999</v>
      </c>
      <c r="AR680" s="7">
        <v>2.56</v>
      </c>
      <c r="AS680" s="6">
        <v>39.4</v>
      </c>
      <c r="AT680" s="6">
        <v>18.3</v>
      </c>
      <c r="AU680" s="6">
        <v>9.01</v>
      </c>
      <c r="AV680" s="7">
        <v>1.66</v>
      </c>
      <c r="AW680" s="6" t="s">
        <v>5</v>
      </c>
      <c r="AX680" s="6" t="s">
        <v>5</v>
      </c>
      <c r="AY680" s="6" t="s">
        <v>5</v>
      </c>
      <c r="AZ680" s="6" t="s">
        <v>5</v>
      </c>
      <c r="BA680" s="6" t="s">
        <v>5</v>
      </c>
      <c r="BB680" s="6" t="s">
        <v>5</v>
      </c>
      <c r="BC680" s="6" t="s">
        <v>5</v>
      </c>
      <c r="BD680" s="6" t="s">
        <v>5</v>
      </c>
      <c r="BE680" s="6" t="s">
        <v>5</v>
      </c>
      <c r="BF680" s="6" t="s">
        <v>5</v>
      </c>
      <c r="BG680" s="6" t="s">
        <v>5</v>
      </c>
      <c r="BH680" s="6" t="s">
        <v>5</v>
      </c>
      <c r="BI680" s="7">
        <v>3.99</v>
      </c>
      <c r="BJ680" s="22">
        <v>0.58499999999999996</v>
      </c>
      <c r="BK680" s="6" t="s">
        <v>5</v>
      </c>
      <c r="BL680" s="2" t="s">
        <v>5</v>
      </c>
      <c r="BM680" s="2" t="s">
        <v>5</v>
      </c>
      <c r="BN680" s="2" t="s">
        <v>5</v>
      </c>
      <c r="BO680" s="2" t="s">
        <v>5</v>
      </c>
      <c r="BP680" s="2" t="s">
        <v>5</v>
      </c>
      <c r="BQ680" s="2" t="s">
        <v>5</v>
      </c>
      <c r="BR680" s="2" t="s">
        <v>5</v>
      </c>
      <c r="BS680" s="2" t="s">
        <v>5</v>
      </c>
      <c r="BT680" s="2" t="s">
        <v>5</v>
      </c>
      <c r="BU680" s="2" t="s">
        <v>5</v>
      </c>
      <c r="BV680" s="2" t="s">
        <v>5</v>
      </c>
      <c r="BW680" s="2" t="s">
        <v>5</v>
      </c>
      <c r="BX680" s="2" t="s">
        <v>5</v>
      </c>
      <c r="BY680" s="25" t="s">
        <v>5</v>
      </c>
      <c r="BZ680" s="25" t="s">
        <v>5</v>
      </c>
      <c r="CA680" s="6" t="s">
        <v>5</v>
      </c>
      <c r="CB680" s="6" t="s">
        <v>5</v>
      </c>
      <c r="CC680" s="6" t="s">
        <v>5</v>
      </c>
      <c r="CD680" s="6" t="s">
        <v>5</v>
      </c>
      <c r="CE680" s="6" t="s">
        <v>5</v>
      </c>
      <c r="CF680" s="16" t="s">
        <v>5</v>
      </c>
      <c r="CG680" s="16" t="s">
        <v>5</v>
      </c>
      <c r="CH680" s="18" t="s">
        <v>5</v>
      </c>
    </row>
    <row r="681" spans="2:86">
      <c r="B681" s="78" t="s">
        <v>473</v>
      </c>
      <c r="C681" s="79" t="s">
        <v>781</v>
      </c>
      <c r="D681" s="80" t="s">
        <v>781</v>
      </c>
      <c r="E681" s="1" t="s">
        <v>4</v>
      </c>
      <c r="F681" s="4">
        <v>43.8</v>
      </c>
      <c r="G681" s="4">
        <v>13</v>
      </c>
      <c r="H681" s="3" t="str">
        <f t="shared" si="29"/>
        <v>2L8X4X9/16LLBB</v>
      </c>
      <c r="I681" s="7">
        <v>8</v>
      </c>
      <c r="J681" s="5" t="s">
        <v>5</v>
      </c>
      <c r="K681" s="6" t="s">
        <v>5</v>
      </c>
      <c r="L681" s="6" t="s">
        <v>5</v>
      </c>
      <c r="M681" s="6" t="s">
        <v>5</v>
      </c>
      <c r="N681" s="6" t="s">
        <v>5</v>
      </c>
      <c r="O681" s="5" t="s">
        <v>5</v>
      </c>
      <c r="P681" s="5" t="s">
        <v>5</v>
      </c>
      <c r="Q681" s="7">
        <v>4</v>
      </c>
      <c r="R681" s="6" t="s">
        <v>5</v>
      </c>
      <c r="S681" s="6" t="s">
        <v>5</v>
      </c>
      <c r="T681" s="5" t="s">
        <v>5</v>
      </c>
      <c r="U681" s="8" t="s">
        <v>5</v>
      </c>
      <c r="V681" s="6" t="s">
        <v>5</v>
      </c>
      <c r="W681" s="8" t="s">
        <v>5</v>
      </c>
      <c r="X681" s="22">
        <v>0.56299999999999994</v>
      </c>
      <c r="Y681" s="6" t="s">
        <v>5</v>
      </c>
      <c r="Z681" s="6" t="s">
        <v>5</v>
      </c>
      <c r="AA681" s="6" t="s">
        <v>5</v>
      </c>
      <c r="AB681" s="8" t="s">
        <v>5</v>
      </c>
      <c r="AC681" s="8" t="s">
        <v>5</v>
      </c>
      <c r="AD681" s="6" t="s">
        <v>5</v>
      </c>
      <c r="AE681" s="7">
        <v>2.86</v>
      </c>
      <c r="AF681" s="6" t="s">
        <v>5</v>
      </c>
      <c r="AG681" s="6" t="s">
        <v>5</v>
      </c>
      <c r="AH681" s="7">
        <v>2.23</v>
      </c>
      <c r="AI681" s="6" t="s">
        <v>5</v>
      </c>
      <c r="AJ681" s="4">
        <v>14.2</v>
      </c>
      <c r="AK681" s="6" t="s">
        <v>5</v>
      </c>
      <c r="AL681" s="6" t="s">
        <v>5</v>
      </c>
      <c r="AM681" s="6" t="s">
        <v>5</v>
      </c>
      <c r="AN681" s="6" t="s">
        <v>5</v>
      </c>
      <c r="AO681" s="4">
        <v>85.8</v>
      </c>
      <c r="AP681" s="4">
        <v>29.2</v>
      </c>
      <c r="AQ681" s="4">
        <v>16.7</v>
      </c>
      <c r="AR681" s="7">
        <v>2.57</v>
      </c>
      <c r="AS681" s="6">
        <v>24.8</v>
      </c>
      <c r="AT681" s="6">
        <v>11.4</v>
      </c>
      <c r="AU681" s="7">
        <v>6.2</v>
      </c>
      <c r="AV681" s="7">
        <v>1.38</v>
      </c>
      <c r="AW681" s="6" t="s">
        <v>5</v>
      </c>
      <c r="AX681" s="6" t="s">
        <v>5</v>
      </c>
      <c r="AY681" s="6" t="s">
        <v>5</v>
      </c>
      <c r="AZ681" s="6" t="s">
        <v>5</v>
      </c>
      <c r="BA681" s="6" t="s">
        <v>5</v>
      </c>
      <c r="BB681" s="6" t="s">
        <v>5</v>
      </c>
      <c r="BC681" s="6" t="s">
        <v>5</v>
      </c>
      <c r="BD681" s="6" t="s">
        <v>5</v>
      </c>
      <c r="BE681" s="6" t="s">
        <v>5</v>
      </c>
      <c r="BF681" s="6" t="s">
        <v>5</v>
      </c>
      <c r="BG681" s="6" t="s">
        <v>5</v>
      </c>
      <c r="BH681" s="6" t="s">
        <v>5</v>
      </c>
      <c r="BI681" s="7">
        <v>3.9</v>
      </c>
      <c r="BJ681" s="22">
        <v>0.56200000000000006</v>
      </c>
      <c r="BK681" s="6" t="s">
        <v>5</v>
      </c>
      <c r="BL681" s="2" t="s">
        <v>5</v>
      </c>
      <c r="BM681" s="2" t="s">
        <v>5</v>
      </c>
      <c r="BN681" s="2" t="s">
        <v>5</v>
      </c>
      <c r="BO681" s="2" t="s">
        <v>5</v>
      </c>
      <c r="BP681" s="2" t="s">
        <v>5</v>
      </c>
      <c r="BQ681" s="2" t="s">
        <v>5</v>
      </c>
      <c r="BR681" s="2" t="s">
        <v>5</v>
      </c>
      <c r="BS681" s="2" t="s">
        <v>5</v>
      </c>
      <c r="BT681" s="2" t="s">
        <v>5</v>
      </c>
      <c r="BU681" s="2" t="s">
        <v>5</v>
      </c>
      <c r="BV681" s="2" t="s">
        <v>5</v>
      </c>
      <c r="BW681" s="2" t="s">
        <v>5</v>
      </c>
      <c r="BX681" s="2" t="s">
        <v>5</v>
      </c>
      <c r="BY681" s="25" t="s">
        <v>5</v>
      </c>
      <c r="BZ681" s="25" t="s">
        <v>5</v>
      </c>
      <c r="CA681" s="6" t="s">
        <v>5</v>
      </c>
      <c r="CB681" s="6" t="s">
        <v>5</v>
      </c>
      <c r="CC681" s="6" t="s">
        <v>5</v>
      </c>
      <c r="CD681" s="6" t="s">
        <v>5</v>
      </c>
      <c r="CE681" s="6" t="s">
        <v>5</v>
      </c>
      <c r="CF681" s="16" t="s">
        <v>5</v>
      </c>
      <c r="CG681" s="16" t="s">
        <v>5</v>
      </c>
      <c r="CH681" s="18" t="s">
        <v>5</v>
      </c>
    </row>
    <row r="682" spans="2:86">
      <c r="B682" s="78" t="s">
        <v>473</v>
      </c>
      <c r="C682" s="79" t="s">
        <v>782</v>
      </c>
      <c r="D682" s="80" t="s">
        <v>782</v>
      </c>
      <c r="E682" s="1" t="s">
        <v>4</v>
      </c>
      <c r="F682" s="4">
        <v>43.8</v>
      </c>
      <c r="G682" s="4">
        <v>13</v>
      </c>
      <c r="H682" s="3" t="str">
        <f t="shared" si="29"/>
        <v>2L8X4X9/16X3/8LLBB</v>
      </c>
      <c r="I682" s="7">
        <v>8</v>
      </c>
      <c r="J682" s="5" t="s">
        <v>5</v>
      </c>
      <c r="K682" s="6" t="s">
        <v>5</v>
      </c>
      <c r="L682" s="6" t="s">
        <v>5</v>
      </c>
      <c r="M682" s="6" t="s">
        <v>5</v>
      </c>
      <c r="N682" s="6" t="s">
        <v>5</v>
      </c>
      <c r="O682" s="5" t="s">
        <v>5</v>
      </c>
      <c r="P682" s="5" t="s">
        <v>5</v>
      </c>
      <c r="Q682" s="7">
        <v>4</v>
      </c>
      <c r="R682" s="6" t="s">
        <v>5</v>
      </c>
      <c r="S682" s="6" t="s">
        <v>5</v>
      </c>
      <c r="T682" s="5" t="s">
        <v>5</v>
      </c>
      <c r="U682" s="8" t="s">
        <v>5</v>
      </c>
      <c r="V682" s="6" t="s">
        <v>5</v>
      </c>
      <c r="W682" s="8" t="s">
        <v>5</v>
      </c>
      <c r="X682" s="22">
        <v>0.56299999999999994</v>
      </c>
      <c r="Y682" s="6" t="s">
        <v>5</v>
      </c>
      <c r="Z682" s="6" t="s">
        <v>5</v>
      </c>
      <c r="AA682" s="6" t="s">
        <v>5</v>
      </c>
      <c r="AB682" s="8" t="s">
        <v>5</v>
      </c>
      <c r="AC682" s="8" t="s">
        <v>5</v>
      </c>
      <c r="AD682" s="6" t="s">
        <v>5</v>
      </c>
      <c r="AE682" s="7">
        <v>2.86</v>
      </c>
      <c r="AF682" s="6" t="s">
        <v>5</v>
      </c>
      <c r="AG682" s="6" t="s">
        <v>5</v>
      </c>
      <c r="AH682" s="7">
        <v>2.23</v>
      </c>
      <c r="AI682" s="6" t="s">
        <v>5</v>
      </c>
      <c r="AJ682" s="4">
        <v>14.2</v>
      </c>
      <c r="AK682" s="6" t="s">
        <v>5</v>
      </c>
      <c r="AL682" s="6" t="s">
        <v>5</v>
      </c>
      <c r="AM682" s="6" t="s">
        <v>5</v>
      </c>
      <c r="AN682" s="6" t="s">
        <v>5</v>
      </c>
      <c r="AO682" s="4">
        <v>85.8</v>
      </c>
      <c r="AP682" s="4">
        <v>29.2</v>
      </c>
      <c r="AQ682" s="4">
        <v>16.7</v>
      </c>
      <c r="AR682" s="7">
        <v>2.57</v>
      </c>
      <c r="AS682" s="6">
        <v>29.6</v>
      </c>
      <c r="AT682" s="6">
        <v>13.8</v>
      </c>
      <c r="AU682" s="6">
        <v>7.07</v>
      </c>
      <c r="AV682" s="7">
        <v>1.51</v>
      </c>
      <c r="AW682" s="6" t="s">
        <v>5</v>
      </c>
      <c r="AX682" s="6" t="s">
        <v>5</v>
      </c>
      <c r="AY682" s="6" t="s">
        <v>5</v>
      </c>
      <c r="AZ682" s="6" t="s">
        <v>5</v>
      </c>
      <c r="BA682" s="6" t="s">
        <v>5</v>
      </c>
      <c r="BB682" s="6" t="s">
        <v>5</v>
      </c>
      <c r="BC682" s="6" t="s">
        <v>5</v>
      </c>
      <c r="BD682" s="6" t="s">
        <v>5</v>
      </c>
      <c r="BE682" s="6" t="s">
        <v>5</v>
      </c>
      <c r="BF682" s="6" t="s">
        <v>5</v>
      </c>
      <c r="BG682" s="6" t="s">
        <v>5</v>
      </c>
      <c r="BH682" s="6" t="s">
        <v>5</v>
      </c>
      <c r="BI682" s="7">
        <v>3.94</v>
      </c>
      <c r="BJ682" s="22">
        <v>0.57199999999999995</v>
      </c>
      <c r="BK682" s="6" t="s">
        <v>5</v>
      </c>
      <c r="BL682" s="2" t="s">
        <v>5</v>
      </c>
      <c r="BM682" s="2" t="s">
        <v>5</v>
      </c>
      <c r="BN682" s="2" t="s">
        <v>5</v>
      </c>
      <c r="BO682" s="2" t="s">
        <v>5</v>
      </c>
      <c r="BP682" s="2" t="s">
        <v>5</v>
      </c>
      <c r="BQ682" s="2" t="s">
        <v>5</v>
      </c>
      <c r="BR682" s="2" t="s">
        <v>5</v>
      </c>
      <c r="BS682" s="2" t="s">
        <v>5</v>
      </c>
      <c r="BT682" s="2" t="s">
        <v>5</v>
      </c>
      <c r="BU682" s="2" t="s">
        <v>5</v>
      </c>
      <c r="BV682" s="2" t="s">
        <v>5</v>
      </c>
      <c r="BW682" s="2" t="s">
        <v>5</v>
      </c>
      <c r="BX682" s="2" t="s">
        <v>5</v>
      </c>
      <c r="BY682" s="25" t="s">
        <v>5</v>
      </c>
      <c r="BZ682" s="25" t="s">
        <v>5</v>
      </c>
      <c r="CA682" s="6" t="s">
        <v>5</v>
      </c>
      <c r="CB682" s="6" t="s">
        <v>5</v>
      </c>
      <c r="CC682" s="6" t="s">
        <v>5</v>
      </c>
      <c r="CD682" s="6" t="s">
        <v>5</v>
      </c>
      <c r="CE682" s="6" t="s">
        <v>5</v>
      </c>
      <c r="CF682" s="16" t="s">
        <v>5</v>
      </c>
      <c r="CG682" s="16" t="s">
        <v>5</v>
      </c>
      <c r="CH682" s="18" t="s">
        <v>5</v>
      </c>
    </row>
    <row r="683" spans="2:86">
      <c r="B683" s="78" t="s">
        <v>473</v>
      </c>
      <c r="C683" s="79" t="s">
        <v>783</v>
      </c>
      <c r="D683" s="80" t="s">
        <v>783</v>
      </c>
      <c r="E683" s="1" t="s">
        <v>4</v>
      </c>
      <c r="F683" s="4">
        <v>43.8</v>
      </c>
      <c r="G683" s="4">
        <v>13</v>
      </c>
      <c r="H683" s="3" t="str">
        <f t="shared" si="29"/>
        <v>2L8X4X9/16X3/4LLBB</v>
      </c>
      <c r="I683" s="7">
        <v>8</v>
      </c>
      <c r="J683" s="5" t="s">
        <v>5</v>
      </c>
      <c r="K683" s="6" t="s">
        <v>5</v>
      </c>
      <c r="L683" s="6" t="s">
        <v>5</v>
      </c>
      <c r="M683" s="6" t="s">
        <v>5</v>
      </c>
      <c r="N683" s="6" t="s">
        <v>5</v>
      </c>
      <c r="O683" s="5" t="s">
        <v>5</v>
      </c>
      <c r="P683" s="5" t="s">
        <v>5</v>
      </c>
      <c r="Q683" s="7">
        <v>4</v>
      </c>
      <c r="R683" s="6" t="s">
        <v>5</v>
      </c>
      <c r="S683" s="6" t="s">
        <v>5</v>
      </c>
      <c r="T683" s="5" t="s">
        <v>5</v>
      </c>
      <c r="U683" s="8" t="s">
        <v>5</v>
      </c>
      <c r="V683" s="6" t="s">
        <v>5</v>
      </c>
      <c r="W683" s="8" t="s">
        <v>5</v>
      </c>
      <c r="X683" s="22">
        <v>0.56299999999999994</v>
      </c>
      <c r="Y683" s="6" t="s">
        <v>5</v>
      </c>
      <c r="Z683" s="6" t="s">
        <v>5</v>
      </c>
      <c r="AA683" s="6" t="s">
        <v>5</v>
      </c>
      <c r="AB683" s="8" t="s">
        <v>5</v>
      </c>
      <c r="AC683" s="8" t="s">
        <v>5</v>
      </c>
      <c r="AD683" s="6" t="s">
        <v>5</v>
      </c>
      <c r="AE683" s="7">
        <v>2.86</v>
      </c>
      <c r="AF683" s="6" t="s">
        <v>5</v>
      </c>
      <c r="AG683" s="6" t="s">
        <v>5</v>
      </c>
      <c r="AH683" s="7">
        <v>2.23</v>
      </c>
      <c r="AI683" s="6" t="s">
        <v>5</v>
      </c>
      <c r="AJ683" s="4">
        <v>14.2</v>
      </c>
      <c r="AK683" s="6" t="s">
        <v>5</v>
      </c>
      <c r="AL683" s="6" t="s">
        <v>5</v>
      </c>
      <c r="AM683" s="6" t="s">
        <v>5</v>
      </c>
      <c r="AN683" s="6" t="s">
        <v>5</v>
      </c>
      <c r="AO683" s="4">
        <v>85.8</v>
      </c>
      <c r="AP683" s="4">
        <v>29.2</v>
      </c>
      <c r="AQ683" s="4">
        <v>16.7</v>
      </c>
      <c r="AR683" s="7">
        <v>2.57</v>
      </c>
      <c r="AS683" s="6">
        <v>35.4</v>
      </c>
      <c r="AT683" s="6">
        <v>16.3</v>
      </c>
      <c r="AU683" s="6">
        <v>8.09</v>
      </c>
      <c r="AV683" s="7">
        <v>1.65</v>
      </c>
      <c r="AW683" s="6" t="s">
        <v>5</v>
      </c>
      <c r="AX683" s="6" t="s">
        <v>5</v>
      </c>
      <c r="AY683" s="6" t="s">
        <v>5</v>
      </c>
      <c r="AZ683" s="6" t="s">
        <v>5</v>
      </c>
      <c r="BA683" s="6" t="s">
        <v>5</v>
      </c>
      <c r="BB683" s="6" t="s">
        <v>5</v>
      </c>
      <c r="BC683" s="6" t="s">
        <v>5</v>
      </c>
      <c r="BD683" s="6" t="s">
        <v>5</v>
      </c>
      <c r="BE683" s="6" t="s">
        <v>5</v>
      </c>
      <c r="BF683" s="6" t="s">
        <v>5</v>
      </c>
      <c r="BG683" s="6" t="s">
        <v>5</v>
      </c>
      <c r="BH683" s="6" t="s">
        <v>5</v>
      </c>
      <c r="BI683" s="7">
        <v>4</v>
      </c>
      <c r="BJ683" s="22">
        <v>0.58399999999999996</v>
      </c>
      <c r="BK683" s="6" t="s">
        <v>5</v>
      </c>
      <c r="BL683" s="2" t="s">
        <v>5</v>
      </c>
      <c r="BM683" s="2" t="s">
        <v>5</v>
      </c>
      <c r="BN683" s="2" t="s">
        <v>5</v>
      </c>
      <c r="BO683" s="2" t="s">
        <v>5</v>
      </c>
      <c r="BP683" s="2" t="s">
        <v>5</v>
      </c>
      <c r="BQ683" s="2" t="s">
        <v>5</v>
      </c>
      <c r="BR683" s="2" t="s">
        <v>5</v>
      </c>
      <c r="BS683" s="2" t="s">
        <v>5</v>
      </c>
      <c r="BT683" s="2" t="s">
        <v>5</v>
      </c>
      <c r="BU683" s="2" t="s">
        <v>5</v>
      </c>
      <c r="BV683" s="2" t="s">
        <v>5</v>
      </c>
      <c r="BW683" s="2" t="s">
        <v>5</v>
      </c>
      <c r="BX683" s="2" t="s">
        <v>5</v>
      </c>
      <c r="BY683" s="25" t="s">
        <v>5</v>
      </c>
      <c r="BZ683" s="25" t="s">
        <v>5</v>
      </c>
      <c r="CA683" s="6" t="s">
        <v>5</v>
      </c>
      <c r="CB683" s="6" t="s">
        <v>5</v>
      </c>
      <c r="CC683" s="6" t="s">
        <v>5</v>
      </c>
      <c r="CD683" s="6" t="s">
        <v>5</v>
      </c>
      <c r="CE683" s="6" t="s">
        <v>5</v>
      </c>
      <c r="CF683" s="16" t="s">
        <v>5</v>
      </c>
      <c r="CG683" s="16" t="s">
        <v>5</v>
      </c>
      <c r="CH683" s="18" t="s">
        <v>5</v>
      </c>
    </row>
    <row r="684" spans="2:86">
      <c r="B684" s="78" t="s">
        <v>473</v>
      </c>
      <c r="C684" s="79" t="s">
        <v>784</v>
      </c>
      <c r="D684" s="80" t="s">
        <v>784</v>
      </c>
      <c r="E684" s="1" t="s">
        <v>4</v>
      </c>
      <c r="F684" s="4">
        <v>39.200000000000003</v>
      </c>
      <c r="G684" s="4">
        <v>11.6</v>
      </c>
      <c r="H684" s="3" t="str">
        <f t="shared" si="29"/>
        <v>2L8X4X1/2LLBB</v>
      </c>
      <c r="I684" s="7">
        <v>8</v>
      </c>
      <c r="J684" s="5" t="s">
        <v>5</v>
      </c>
      <c r="K684" s="6" t="s">
        <v>5</v>
      </c>
      <c r="L684" s="6" t="s">
        <v>5</v>
      </c>
      <c r="M684" s="6" t="s">
        <v>5</v>
      </c>
      <c r="N684" s="6" t="s">
        <v>5</v>
      </c>
      <c r="O684" s="5" t="s">
        <v>5</v>
      </c>
      <c r="P684" s="5" t="s">
        <v>5</v>
      </c>
      <c r="Q684" s="7">
        <v>4</v>
      </c>
      <c r="R684" s="6" t="s">
        <v>5</v>
      </c>
      <c r="S684" s="6" t="s">
        <v>5</v>
      </c>
      <c r="T684" s="5" t="s">
        <v>5</v>
      </c>
      <c r="U684" s="8" t="s">
        <v>5</v>
      </c>
      <c r="V684" s="6" t="s">
        <v>5</v>
      </c>
      <c r="W684" s="8" t="s">
        <v>5</v>
      </c>
      <c r="X684" s="22">
        <v>0.5</v>
      </c>
      <c r="Y684" s="6" t="s">
        <v>5</v>
      </c>
      <c r="Z684" s="6" t="s">
        <v>5</v>
      </c>
      <c r="AA684" s="6" t="s">
        <v>5</v>
      </c>
      <c r="AB684" s="8" t="s">
        <v>5</v>
      </c>
      <c r="AC684" s="8" t="s">
        <v>5</v>
      </c>
      <c r="AD684" s="6" t="s">
        <v>5</v>
      </c>
      <c r="AE684" s="7">
        <v>2.84</v>
      </c>
      <c r="AF684" s="6" t="s">
        <v>5</v>
      </c>
      <c r="AG684" s="6" t="s">
        <v>5</v>
      </c>
      <c r="AH684" s="7">
        <v>2.2000000000000002</v>
      </c>
      <c r="AI684" s="6" t="s">
        <v>5</v>
      </c>
      <c r="AJ684" s="4">
        <v>16</v>
      </c>
      <c r="AK684" s="6" t="s">
        <v>5</v>
      </c>
      <c r="AL684" s="6" t="s">
        <v>5</v>
      </c>
      <c r="AM684" s="6" t="s">
        <v>5</v>
      </c>
      <c r="AN684" s="6" t="s">
        <v>5</v>
      </c>
      <c r="AO684" s="4">
        <v>77.2</v>
      </c>
      <c r="AP684" s="4">
        <v>26.2</v>
      </c>
      <c r="AQ684" s="4">
        <v>15</v>
      </c>
      <c r="AR684" s="7">
        <v>2.58</v>
      </c>
      <c r="AS684" s="6">
        <v>22.1</v>
      </c>
      <c r="AT684" s="6">
        <v>9.91</v>
      </c>
      <c r="AU684" s="6">
        <v>5.52</v>
      </c>
      <c r="AV684" s="7">
        <v>1.38</v>
      </c>
      <c r="AW684" s="6" t="s">
        <v>5</v>
      </c>
      <c r="AX684" s="6" t="s">
        <v>5</v>
      </c>
      <c r="AY684" s="6" t="s">
        <v>5</v>
      </c>
      <c r="AZ684" s="6" t="s">
        <v>5</v>
      </c>
      <c r="BA684" s="6" t="s">
        <v>5</v>
      </c>
      <c r="BB684" s="6" t="s">
        <v>5</v>
      </c>
      <c r="BC684" s="6" t="s">
        <v>5</v>
      </c>
      <c r="BD684" s="6" t="s">
        <v>5</v>
      </c>
      <c r="BE684" s="6" t="s">
        <v>5</v>
      </c>
      <c r="BF684" s="6" t="s">
        <v>5</v>
      </c>
      <c r="BG684" s="6" t="s">
        <v>5</v>
      </c>
      <c r="BH684" s="6" t="s">
        <v>5</v>
      </c>
      <c r="BI684" s="7">
        <v>3.9</v>
      </c>
      <c r="BJ684" s="22">
        <v>0.56100000000000005</v>
      </c>
      <c r="BK684" s="6" t="s">
        <v>5</v>
      </c>
      <c r="BL684" s="2" t="s">
        <v>5</v>
      </c>
      <c r="BM684" s="2" t="s">
        <v>5</v>
      </c>
      <c r="BN684" s="2" t="s">
        <v>5</v>
      </c>
      <c r="BO684" s="2" t="s">
        <v>5</v>
      </c>
      <c r="BP684" s="2" t="s">
        <v>5</v>
      </c>
      <c r="BQ684" s="2" t="s">
        <v>5</v>
      </c>
      <c r="BR684" s="2" t="s">
        <v>5</v>
      </c>
      <c r="BS684" s="2" t="s">
        <v>5</v>
      </c>
      <c r="BT684" s="2" t="s">
        <v>5</v>
      </c>
      <c r="BU684" s="2" t="s">
        <v>5</v>
      </c>
      <c r="BV684" s="2" t="s">
        <v>5</v>
      </c>
      <c r="BW684" s="2" t="s">
        <v>5</v>
      </c>
      <c r="BX684" s="2" t="s">
        <v>5</v>
      </c>
      <c r="BY684" s="25" t="s">
        <v>5</v>
      </c>
      <c r="BZ684" s="25" t="s">
        <v>5</v>
      </c>
      <c r="CA684" s="6" t="s">
        <v>5</v>
      </c>
      <c r="CB684" s="6" t="s">
        <v>5</v>
      </c>
      <c r="CC684" s="6" t="s">
        <v>5</v>
      </c>
      <c r="CD684" s="6" t="s">
        <v>5</v>
      </c>
      <c r="CE684" s="6" t="s">
        <v>5</v>
      </c>
      <c r="CF684" s="16" t="s">
        <v>5</v>
      </c>
      <c r="CG684" s="16" t="s">
        <v>5</v>
      </c>
      <c r="CH684" s="18" t="s">
        <v>5</v>
      </c>
    </row>
    <row r="685" spans="2:86">
      <c r="B685" s="78" t="s">
        <v>473</v>
      </c>
      <c r="C685" s="79" t="s">
        <v>785</v>
      </c>
      <c r="D685" s="80" t="s">
        <v>785</v>
      </c>
      <c r="E685" s="1" t="s">
        <v>4</v>
      </c>
      <c r="F685" s="4">
        <v>39.200000000000003</v>
      </c>
      <c r="G685" s="4">
        <v>11.6</v>
      </c>
      <c r="H685" s="3" t="str">
        <f t="shared" si="29"/>
        <v>2L8X4X1/2X3/8LLBB</v>
      </c>
      <c r="I685" s="7">
        <v>8</v>
      </c>
      <c r="J685" s="5" t="s">
        <v>5</v>
      </c>
      <c r="K685" s="6" t="s">
        <v>5</v>
      </c>
      <c r="L685" s="6" t="s">
        <v>5</v>
      </c>
      <c r="M685" s="6" t="s">
        <v>5</v>
      </c>
      <c r="N685" s="6" t="s">
        <v>5</v>
      </c>
      <c r="O685" s="5" t="s">
        <v>5</v>
      </c>
      <c r="P685" s="5" t="s">
        <v>5</v>
      </c>
      <c r="Q685" s="7">
        <v>4</v>
      </c>
      <c r="R685" s="6" t="s">
        <v>5</v>
      </c>
      <c r="S685" s="6" t="s">
        <v>5</v>
      </c>
      <c r="T685" s="5" t="s">
        <v>5</v>
      </c>
      <c r="U685" s="8" t="s">
        <v>5</v>
      </c>
      <c r="V685" s="6" t="s">
        <v>5</v>
      </c>
      <c r="W685" s="8" t="s">
        <v>5</v>
      </c>
      <c r="X685" s="22">
        <v>0.5</v>
      </c>
      <c r="Y685" s="6" t="s">
        <v>5</v>
      </c>
      <c r="Z685" s="6" t="s">
        <v>5</v>
      </c>
      <c r="AA685" s="6" t="s">
        <v>5</v>
      </c>
      <c r="AB685" s="8" t="s">
        <v>5</v>
      </c>
      <c r="AC685" s="8" t="s">
        <v>5</v>
      </c>
      <c r="AD685" s="6" t="s">
        <v>5</v>
      </c>
      <c r="AE685" s="7">
        <v>2.84</v>
      </c>
      <c r="AF685" s="6" t="s">
        <v>5</v>
      </c>
      <c r="AG685" s="6" t="s">
        <v>5</v>
      </c>
      <c r="AH685" s="7">
        <v>2.2000000000000002</v>
      </c>
      <c r="AI685" s="6" t="s">
        <v>5</v>
      </c>
      <c r="AJ685" s="4">
        <v>16</v>
      </c>
      <c r="AK685" s="6" t="s">
        <v>5</v>
      </c>
      <c r="AL685" s="6" t="s">
        <v>5</v>
      </c>
      <c r="AM685" s="6" t="s">
        <v>5</v>
      </c>
      <c r="AN685" s="6" t="s">
        <v>5</v>
      </c>
      <c r="AO685" s="4">
        <v>77.2</v>
      </c>
      <c r="AP685" s="4">
        <v>26.2</v>
      </c>
      <c r="AQ685" s="4">
        <v>15</v>
      </c>
      <c r="AR685" s="7">
        <v>2.58</v>
      </c>
      <c r="AS685" s="6">
        <v>26.1</v>
      </c>
      <c r="AT685" s="6">
        <v>12.1</v>
      </c>
      <c r="AU685" s="6">
        <v>6.23</v>
      </c>
      <c r="AV685" s="7">
        <v>1.5</v>
      </c>
      <c r="AW685" s="6" t="s">
        <v>5</v>
      </c>
      <c r="AX685" s="6" t="s">
        <v>5</v>
      </c>
      <c r="AY685" s="6" t="s">
        <v>5</v>
      </c>
      <c r="AZ685" s="6" t="s">
        <v>5</v>
      </c>
      <c r="BA685" s="6" t="s">
        <v>5</v>
      </c>
      <c r="BB685" s="6" t="s">
        <v>5</v>
      </c>
      <c r="BC685" s="6" t="s">
        <v>5</v>
      </c>
      <c r="BD685" s="6" t="s">
        <v>5</v>
      </c>
      <c r="BE685" s="6" t="s">
        <v>5</v>
      </c>
      <c r="BF685" s="6" t="s">
        <v>5</v>
      </c>
      <c r="BG685" s="6" t="s">
        <v>5</v>
      </c>
      <c r="BH685" s="6" t="s">
        <v>5</v>
      </c>
      <c r="BI685" s="7">
        <v>3.95</v>
      </c>
      <c r="BJ685" s="22">
        <v>0.57099999999999995</v>
      </c>
      <c r="BK685" s="6" t="s">
        <v>5</v>
      </c>
      <c r="BL685" s="2" t="s">
        <v>5</v>
      </c>
      <c r="BM685" s="2" t="s">
        <v>5</v>
      </c>
      <c r="BN685" s="2" t="s">
        <v>5</v>
      </c>
      <c r="BO685" s="2" t="s">
        <v>5</v>
      </c>
      <c r="BP685" s="2" t="s">
        <v>5</v>
      </c>
      <c r="BQ685" s="2" t="s">
        <v>5</v>
      </c>
      <c r="BR685" s="2" t="s">
        <v>5</v>
      </c>
      <c r="BS685" s="2" t="s">
        <v>5</v>
      </c>
      <c r="BT685" s="2" t="s">
        <v>5</v>
      </c>
      <c r="BU685" s="2" t="s">
        <v>5</v>
      </c>
      <c r="BV685" s="2" t="s">
        <v>5</v>
      </c>
      <c r="BW685" s="2" t="s">
        <v>5</v>
      </c>
      <c r="BX685" s="2" t="s">
        <v>5</v>
      </c>
      <c r="BY685" s="25" t="s">
        <v>5</v>
      </c>
      <c r="BZ685" s="25" t="s">
        <v>5</v>
      </c>
      <c r="CA685" s="6" t="s">
        <v>5</v>
      </c>
      <c r="CB685" s="6" t="s">
        <v>5</v>
      </c>
      <c r="CC685" s="6" t="s">
        <v>5</v>
      </c>
      <c r="CD685" s="6" t="s">
        <v>5</v>
      </c>
      <c r="CE685" s="6" t="s">
        <v>5</v>
      </c>
      <c r="CF685" s="16" t="s">
        <v>5</v>
      </c>
      <c r="CG685" s="16" t="s">
        <v>5</v>
      </c>
      <c r="CH685" s="18" t="s">
        <v>5</v>
      </c>
    </row>
    <row r="686" spans="2:86">
      <c r="B686" s="78" t="s">
        <v>473</v>
      </c>
      <c r="C686" s="79" t="s">
        <v>786</v>
      </c>
      <c r="D686" s="80" t="s">
        <v>786</v>
      </c>
      <c r="E686" s="1" t="s">
        <v>4</v>
      </c>
      <c r="F686" s="4">
        <v>39.200000000000003</v>
      </c>
      <c r="G686" s="4">
        <v>11.6</v>
      </c>
      <c r="H686" s="3" t="str">
        <f t="shared" si="29"/>
        <v>2L8X4X1/2X3/4LLBB</v>
      </c>
      <c r="I686" s="7">
        <v>8</v>
      </c>
      <c r="J686" s="5" t="s">
        <v>5</v>
      </c>
      <c r="K686" s="6" t="s">
        <v>5</v>
      </c>
      <c r="L686" s="6" t="s">
        <v>5</v>
      </c>
      <c r="M686" s="6" t="s">
        <v>5</v>
      </c>
      <c r="N686" s="6" t="s">
        <v>5</v>
      </c>
      <c r="O686" s="5" t="s">
        <v>5</v>
      </c>
      <c r="P686" s="5" t="s">
        <v>5</v>
      </c>
      <c r="Q686" s="7">
        <v>4</v>
      </c>
      <c r="R686" s="6" t="s">
        <v>5</v>
      </c>
      <c r="S686" s="6" t="s">
        <v>5</v>
      </c>
      <c r="T686" s="5" t="s">
        <v>5</v>
      </c>
      <c r="U686" s="8" t="s">
        <v>5</v>
      </c>
      <c r="V686" s="6" t="s">
        <v>5</v>
      </c>
      <c r="W686" s="8" t="s">
        <v>5</v>
      </c>
      <c r="X686" s="22">
        <v>0.5</v>
      </c>
      <c r="Y686" s="6" t="s">
        <v>5</v>
      </c>
      <c r="Z686" s="6" t="s">
        <v>5</v>
      </c>
      <c r="AA686" s="6" t="s">
        <v>5</v>
      </c>
      <c r="AB686" s="8" t="s">
        <v>5</v>
      </c>
      <c r="AC686" s="8" t="s">
        <v>5</v>
      </c>
      <c r="AD686" s="6" t="s">
        <v>5</v>
      </c>
      <c r="AE686" s="7">
        <v>2.84</v>
      </c>
      <c r="AF686" s="6" t="s">
        <v>5</v>
      </c>
      <c r="AG686" s="6" t="s">
        <v>5</v>
      </c>
      <c r="AH686" s="7">
        <v>2.2000000000000002</v>
      </c>
      <c r="AI686" s="6" t="s">
        <v>5</v>
      </c>
      <c r="AJ686" s="4">
        <v>16</v>
      </c>
      <c r="AK686" s="6" t="s">
        <v>5</v>
      </c>
      <c r="AL686" s="6" t="s">
        <v>5</v>
      </c>
      <c r="AM686" s="6" t="s">
        <v>5</v>
      </c>
      <c r="AN686" s="6" t="s">
        <v>5</v>
      </c>
      <c r="AO686" s="4">
        <v>77.2</v>
      </c>
      <c r="AP686" s="4">
        <v>26.2</v>
      </c>
      <c r="AQ686" s="4">
        <v>15</v>
      </c>
      <c r="AR686" s="7">
        <v>2.58</v>
      </c>
      <c r="AS686" s="6">
        <v>30.8</v>
      </c>
      <c r="AT686" s="6">
        <v>14.3</v>
      </c>
      <c r="AU686" s="6">
        <v>7.04</v>
      </c>
      <c r="AV686" s="7">
        <v>1.63</v>
      </c>
      <c r="AW686" s="6" t="s">
        <v>5</v>
      </c>
      <c r="AX686" s="6" t="s">
        <v>5</v>
      </c>
      <c r="AY686" s="6" t="s">
        <v>5</v>
      </c>
      <c r="AZ686" s="6" t="s">
        <v>5</v>
      </c>
      <c r="BA686" s="6" t="s">
        <v>5</v>
      </c>
      <c r="BB686" s="6" t="s">
        <v>5</v>
      </c>
      <c r="BC686" s="6" t="s">
        <v>5</v>
      </c>
      <c r="BD686" s="6" t="s">
        <v>5</v>
      </c>
      <c r="BE686" s="6" t="s">
        <v>5</v>
      </c>
      <c r="BF686" s="6" t="s">
        <v>5</v>
      </c>
      <c r="BG686" s="6" t="s">
        <v>5</v>
      </c>
      <c r="BH686" s="6" t="s">
        <v>5</v>
      </c>
      <c r="BI686" s="7">
        <v>4</v>
      </c>
      <c r="BJ686" s="22">
        <v>0.58299999999999996</v>
      </c>
      <c r="BK686" s="6" t="s">
        <v>5</v>
      </c>
      <c r="BL686" s="2" t="s">
        <v>5</v>
      </c>
      <c r="BM686" s="2" t="s">
        <v>5</v>
      </c>
      <c r="BN686" s="2" t="s">
        <v>5</v>
      </c>
      <c r="BO686" s="2" t="s">
        <v>5</v>
      </c>
      <c r="BP686" s="2" t="s">
        <v>5</v>
      </c>
      <c r="BQ686" s="2" t="s">
        <v>5</v>
      </c>
      <c r="BR686" s="2" t="s">
        <v>5</v>
      </c>
      <c r="BS686" s="2" t="s">
        <v>5</v>
      </c>
      <c r="BT686" s="2" t="s">
        <v>5</v>
      </c>
      <c r="BU686" s="2" t="s">
        <v>5</v>
      </c>
      <c r="BV686" s="2" t="s">
        <v>5</v>
      </c>
      <c r="BW686" s="2" t="s">
        <v>5</v>
      </c>
      <c r="BX686" s="2" t="s">
        <v>5</v>
      </c>
      <c r="BY686" s="25" t="s">
        <v>5</v>
      </c>
      <c r="BZ686" s="25" t="s">
        <v>5</v>
      </c>
      <c r="CA686" s="6" t="s">
        <v>5</v>
      </c>
      <c r="CB686" s="6" t="s">
        <v>5</v>
      </c>
      <c r="CC686" s="6" t="s">
        <v>5</v>
      </c>
      <c r="CD686" s="6" t="s">
        <v>5</v>
      </c>
      <c r="CE686" s="6" t="s">
        <v>5</v>
      </c>
      <c r="CF686" s="16" t="s">
        <v>5</v>
      </c>
      <c r="CG686" s="16" t="s">
        <v>5</v>
      </c>
      <c r="CH686" s="18" t="s">
        <v>5</v>
      </c>
    </row>
    <row r="687" spans="2:86">
      <c r="B687" s="78" t="s">
        <v>473</v>
      </c>
      <c r="C687" s="79" t="s">
        <v>787</v>
      </c>
      <c r="D687" s="80" t="s">
        <v>787</v>
      </c>
      <c r="E687" s="1" t="s">
        <v>4</v>
      </c>
      <c r="F687" s="4">
        <v>34.4</v>
      </c>
      <c r="G687" s="4">
        <v>10.199999999999999</v>
      </c>
      <c r="H687" s="3" t="str">
        <f t="shared" si="29"/>
        <v>2L8X4X7/16LLBB</v>
      </c>
      <c r="I687" s="7">
        <v>8</v>
      </c>
      <c r="J687" s="5" t="s">
        <v>5</v>
      </c>
      <c r="K687" s="6" t="s">
        <v>5</v>
      </c>
      <c r="L687" s="6" t="s">
        <v>5</v>
      </c>
      <c r="M687" s="6" t="s">
        <v>5</v>
      </c>
      <c r="N687" s="6" t="s">
        <v>5</v>
      </c>
      <c r="O687" s="5" t="s">
        <v>5</v>
      </c>
      <c r="P687" s="5" t="s">
        <v>5</v>
      </c>
      <c r="Q687" s="7">
        <v>4</v>
      </c>
      <c r="R687" s="6" t="s">
        <v>5</v>
      </c>
      <c r="S687" s="6" t="s">
        <v>5</v>
      </c>
      <c r="T687" s="5" t="s">
        <v>5</v>
      </c>
      <c r="U687" s="8" t="s">
        <v>5</v>
      </c>
      <c r="V687" s="6" t="s">
        <v>5</v>
      </c>
      <c r="W687" s="8" t="s">
        <v>5</v>
      </c>
      <c r="X687" s="22">
        <v>0.438</v>
      </c>
      <c r="Y687" s="6" t="s">
        <v>5</v>
      </c>
      <c r="Z687" s="6" t="s">
        <v>5</v>
      </c>
      <c r="AA687" s="6" t="s">
        <v>5</v>
      </c>
      <c r="AB687" s="8" t="s">
        <v>5</v>
      </c>
      <c r="AC687" s="8" t="s">
        <v>5</v>
      </c>
      <c r="AD687" s="6" t="s">
        <v>5</v>
      </c>
      <c r="AE687" s="7">
        <v>2.81</v>
      </c>
      <c r="AF687" s="6" t="s">
        <v>5</v>
      </c>
      <c r="AG687" s="6" t="s">
        <v>5</v>
      </c>
      <c r="AH687" s="7">
        <v>2.16</v>
      </c>
      <c r="AI687" s="6" t="s">
        <v>5</v>
      </c>
      <c r="AJ687" s="4">
        <v>18.3</v>
      </c>
      <c r="AK687" s="6" t="s">
        <v>5</v>
      </c>
      <c r="AL687" s="6" t="s">
        <v>5</v>
      </c>
      <c r="AM687" s="6" t="s">
        <v>5</v>
      </c>
      <c r="AN687" s="6" t="s">
        <v>5</v>
      </c>
      <c r="AO687" s="4">
        <v>68.400000000000006</v>
      </c>
      <c r="AP687" s="4">
        <v>23.2</v>
      </c>
      <c r="AQ687" s="4">
        <v>13.2</v>
      </c>
      <c r="AR687" s="7">
        <v>2.59</v>
      </c>
      <c r="AS687" s="6">
        <v>19.100000000000001</v>
      </c>
      <c r="AT687" s="6">
        <v>8.4700000000000006</v>
      </c>
      <c r="AU687" s="6">
        <v>4.78</v>
      </c>
      <c r="AV687" s="7">
        <v>1.37</v>
      </c>
      <c r="AW687" s="6" t="s">
        <v>5</v>
      </c>
      <c r="AX687" s="6" t="s">
        <v>5</v>
      </c>
      <c r="AY687" s="6" t="s">
        <v>5</v>
      </c>
      <c r="AZ687" s="6" t="s">
        <v>5</v>
      </c>
      <c r="BA687" s="6" t="s">
        <v>5</v>
      </c>
      <c r="BB687" s="6" t="s">
        <v>5</v>
      </c>
      <c r="BC687" s="6" t="s">
        <v>5</v>
      </c>
      <c r="BD687" s="6" t="s">
        <v>5</v>
      </c>
      <c r="BE687" s="6" t="s">
        <v>5</v>
      </c>
      <c r="BF687" s="6" t="s">
        <v>5</v>
      </c>
      <c r="BG687" s="6" t="s">
        <v>5</v>
      </c>
      <c r="BH687" s="6" t="s">
        <v>5</v>
      </c>
      <c r="BI687" s="7">
        <v>3.91</v>
      </c>
      <c r="BJ687" s="22">
        <v>0.56100000000000005</v>
      </c>
      <c r="BK687" s="6" t="s">
        <v>5</v>
      </c>
      <c r="BL687" s="2" t="s">
        <v>5</v>
      </c>
      <c r="BM687" s="2" t="s">
        <v>5</v>
      </c>
      <c r="BN687" s="2" t="s">
        <v>5</v>
      </c>
      <c r="BO687" s="2" t="s">
        <v>5</v>
      </c>
      <c r="BP687" s="2" t="s">
        <v>5</v>
      </c>
      <c r="BQ687" s="2" t="s">
        <v>5</v>
      </c>
      <c r="BR687" s="2" t="s">
        <v>5</v>
      </c>
      <c r="BS687" s="2" t="s">
        <v>5</v>
      </c>
      <c r="BT687" s="2" t="s">
        <v>5</v>
      </c>
      <c r="BU687" s="2" t="s">
        <v>5</v>
      </c>
      <c r="BV687" s="2" t="s">
        <v>5</v>
      </c>
      <c r="BW687" s="2" t="s">
        <v>5</v>
      </c>
      <c r="BX687" s="2" t="s">
        <v>5</v>
      </c>
      <c r="BY687" s="25" t="s">
        <v>5</v>
      </c>
      <c r="BZ687" s="25" t="s">
        <v>5</v>
      </c>
      <c r="CA687" s="6" t="s">
        <v>5</v>
      </c>
      <c r="CB687" s="6" t="s">
        <v>5</v>
      </c>
      <c r="CC687" s="6" t="s">
        <v>5</v>
      </c>
      <c r="CD687" s="6" t="s">
        <v>5</v>
      </c>
      <c r="CE687" s="6" t="s">
        <v>5</v>
      </c>
      <c r="CF687" s="16" t="s">
        <v>5</v>
      </c>
      <c r="CG687" s="16" t="s">
        <v>5</v>
      </c>
      <c r="CH687" s="18" t="s">
        <v>5</v>
      </c>
    </row>
    <row r="688" spans="2:86">
      <c r="B688" s="78" t="s">
        <v>473</v>
      </c>
      <c r="C688" s="79" t="s">
        <v>788</v>
      </c>
      <c r="D688" s="80" t="s">
        <v>788</v>
      </c>
      <c r="E688" s="1" t="s">
        <v>4</v>
      </c>
      <c r="F688" s="4">
        <v>34.4</v>
      </c>
      <c r="G688" s="4">
        <v>10.199999999999999</v>
      </c>
      <c r="H688" s="3" t="str">
        <f t="shared" si="29"/>
        <v>2L8X4X7/16X3/8LLBB</v>
      </c>
      <c r="I688" s="7">
        <v>8</v>
      </c>
      <c r="J688" s="5" t="s">
        <v>5</v>
      </c>
      <c r="K688" s="6" t="s">
        <v>5</v>
      </c>
      <c r="L688" s="6" t="s">
        <v>5</v>
      </c>
      <c r="M688" s="6" t="s">
        <v>5</v>
      </c>
      <c r="N688" s="6" t="s">
        <v>5</v>
      </c>
      <c r="O688" s="5" t="s">
        <v>5</v>
      </c>
      <c r="P688" s="5" t="s">
        <v>5</v>
      </c>
      <c r="Q688" s="7">
        <v>4</v>
      </c>
      <c r="R688" s="6" t="s">
        <v>5</v>
      </c>
      <c r="S688" s="6" t="s">
        <v>5</v>
      </c>
      <c r="T688" s="5" t="s">
        <v>5</v>
      </c>
      <c r="U688" s="8" t="s">
        <v>5</v>
      </c>
      <c r="V688" s="6" t="s">
        <v>5</v>
      </c>
      <c r="W688" s="8" t="s">
        <v>5</v>
      </c>
      <c r="X688" s="22">
        <v>0.438</v>
      </c>
      <c r="Y688" s="6" t="s">
        <v>5</v>
      </c>
      <c r="Z688" s="6" t="s">
        <v>5</v>
      </c>
      <c r="AA688" s="6" t="s">
        <v>5</v>
      </c>
      <c r="AB688" s="8" t="s">
        <v>5</v>
      </c>
      <c r="AC688" s="8" t="s">
        <v>5</v>
      </c>
      <c r="AD688" s="6" t="s">
        <v>5</v>
      </c>
      <c r="AE688" s="7">
        <v>2.81</v>
      </c>
      <c r="AF688" s="6" t="s">
        <v>5</v>
      </c>
      <c r="AG688" s="6" t="s">
        <v>5</v>
      </c>
      <c r="AH688" s="7">
        <v>2.16</v>
      </c>
      <c r="AI688" s="6" t="s">
        <v>5</v>
      </c>
      <c r="AJ688" s="4">
        <v>18.3</v>
      </c>
      <c r="AK688" s="6" t="s">
        <v>5</v>
      </c>
      <c r="AL688" s="6" t="s">
        <v>5</v>
      </c>
      <c r="AM688" s="6" t="s">
        <v>5</v>
      </c>
      <c r="AN688" s="6" t="s">
        <v>5</v>
      </c>
      <c r="AO688" s="4">
        <v>68.400000000000006</v>
      </c>
      <c r="AP688" s="4">
        <v>23.2</v>
      </c>
      <c r="AQ688" s="4">
        <v>13.2</v>
      </c>
      <c r="AR688" s="7">
        <v>2.59</v>
      </c>
      <c r="AS688" s="6">
        <v>22.6</v>
      </c>
      <c r="AT688" s="6">
        <v>10.4</v>
      </c>
      <c r="AU688" s="7">
        <v>5.4</v>
      </c>
      <c r="AV688" s="7">
        <v>1.49</v>
      </c>
      <c r="AW688" s="6" t="s">
        <v>5</v>
      </c>
      <c r="AX688" s="6" t="s">
        <v>5</v>
      </c>
      <c r="AY688" s="6" t="s">
        <v>5</v>
      </c>
      <c r="AZ688" s="6" t="s">
        <v>5</v>
      </c>
      <c r="BA688" s="6" t="s">
        <v>5</v>
      </c>
      <c r="BB688" s="6" t="s">
        <v>5</v>
      </c>
      <c r="BC688" s="6" t="s">
        <v>5</v>
      </c>
      <c r="BD688" s="6" t="s">
        <v>5</v>
      </c>
      <c r="BE688" s="6" t="s">
        <v>5</v>
      </c>
      <c r="BF688" s="6" t="s">
        <v>5</v>
      </c>
      <c r="BG688" s="6" t="s">
        <v>5</v>
      </c>
      <c r="BH688" s="6" t="s">
        <v>5</v>
      </c>
      <c r="BI688" s="7">
        <v>3.95</v>
      </c>
      <c r="BJ688" s="22">
        <v>0.57099999999999995</v>
      </c>
      <c r="BK688" s="6" t="s">
        <v>5</v>
      </c>
      <c r="BL688" s="2" t="s">
        <v>5</v>
      </c>
      <c r="BM688" s="2" t="s">
        <v>5</v>
      </c>
      <c r="BN688" s="2" t="s">
        <v>5</v>
      </c>
      <c r="BO688" s="2" t="s">
        <v>5</v>
      </c>
      <c r="BP688" s="2" t="s">
        <v>5</v>
      </c>
      <c r="BQ688" s="2" t="s">
        <v>5</v>
      </c>
      <c r="BR688" s="2" t="s">
        <v>5</v>
      </c>
      <c r="BS688" s="2" t="s">
        <v>5</v>
      </c>
      <c r="BT688" s="2" t="s">
        <v>5</v>
      </c>
      <c r="BU688" s="2" t="s">
        <v>5</v>
      </c>
      <c r="BV688" s="2" t="s">
        <v>5</v>
      </c>
      <c r="BW688" s="2" t="s">
        <v>5</v>
      </c>
      <c r="BX688" s="2" t="s">
        <v>5</v>
      </c>
      <c r="BY688" s="25" t="s">
        <v>5</v>
      </c>
      <c r="BZ688" s="25" t="s">
        <v>5</v>
      </c>
      <c r="CA688" s="6" t="s">
        <v>5</v>
      </c>
      <c r="CB688" s="6" t="s">
        <v>5</v>
      </c>
      <c r="CC688" s="6" t="s">
        <v>5</v>
      </c>
      <c r="CD688" s="6" t="s">
        <v>5</v>
      </c>
      <c r="CE688" s="6" t="s">
        <v>5</v>
      </c>
      <c r="CF688" s="16" t="s">
        <v>5</v>
      </c>
      <c r="CG688" s="16" t="s">
        <v>5</v>
      </c>
      <c r="CH688" s="18" t="s">
        <v>5</v>
      </c>
    </row>
    <row r="689" spans="2:86">
      <c r="B689" s="78" t="s">
        <v>473</v>
      </c>
      <c r="C689" s="79" t="s">
        <v>789</v>
      </c>
      <c r="D689" s="80" t="s">
        <v>789</v>
      </c>
      <c r="E689" s="1" t="s">
        <v>4</v>
      </c>
      <c r="F689" s="4">
        <v>34.4</v>
      </c>
      <c r="G689" s="4">
        <v>10.199999999999999</v>
      </c>
      <c r="H689" s="3" t="str">
        <f t="shared" si="29"/>
        <v>2L8X4X7/16X3/4LLBB</v>
      </c>
      <c r="I689" s="7">
        <v>8</v>
      </c>
      <c r="J689" s="5" t="s">
        <v>5</v>
      </c>
      <c r="K689" s="6" t="s">
        <v>5</v>
      </c>
      <c r="L689" s="6" t="s">
        <v>5</v>
      </c>
      <c r="M689" s="6" t="s">
        <v>5</v>
      </c>
      <c r="N689" s="6" t="s">
        <v>5</v>
      </c>
      <c r="O689" s="5" t="s">
        <v>5</v>
      </c>
      <c r="P689" s="5" t="s">
        <v>5</v>
      </c>
      <c r="Q689" s="7">
        <v>4</v>
      </c>
      <c r="R689" s="6" t="s">
        <v>5</v>
      </c>
      <c r="S689" s="6" t="s">
        <v>5</v>
      </c>
      <c r="T689" s="5" t="s">
        <v>5</v>
      </c>
      <c r="U689" s="8" t="s">
        <v>5</v>
      </c>
      <c r="V689" s="6" t="s">
        <v>5</v>
      </c>
      <c r="W689" s="8" t="s">
        <v>5</v>
      </c>
      <c r="X689" s="22">
        <v>0.438</v>
      </c>
      <c r="Y689" s="6" t="s">
        <v>5</v>
      </c>
      <c r="Z689" s="6" t="s">
        <v>5</v>
      </c>
      <c r="AA689" s="6" t="s">
        <v>5</v>
      </c>
      <c r="AB689" s="8" t="s">
        <v>5</v>
      </c>
      <c r="AC689" s="8" t="s">
        <v>5</v>
      </c>
      <c r="AD689" s="6" t="s">
        <v>5</v>
      </c>
      <c r="AE689" s="7">
        <v>2.81</v>
      </c>
      <c r="AF689" s="6" t="s">
        <v>5</v>
      </c>
      <c r="AG689" s="6" t="s">
        <v>5</v>
      </c>
      <c r="AH689" s="7">
        <v>2.16</v>
      </c>
      <c r="AI689" s="6" t="s">
        <v>5</v>
      </c>
      <c r="AJ689" s="4">
        <v>18.3</v>
      </c>
      <c r="AK689" s="6" t="s">
        <v>5</v>
      </c>
      <c r="AL689" s="6" t="s">
        <v>5</v>
      </c>
      <c r="AM689" s="6" t="s">
        <v>5</v>
      </c>
      <c r="AN689" s="6" t="s">
        <v>5</v>
      </c>
      <c r="AO689" s="4">
        <v>68.400000000000006</v>
      </c>
      <c r="AP689" s="4">
        <v>23.2</v>
      </c>
      <c r="AQ689" s="4">
        <v>13.2</v>
      </c>
      <c r="AR689" s="7">
        <v>2.59</v>
      </c>
      <c r="AS689" s="6">
        <v>26.8</v>
      </c>
      <c r="AT689" s="6">
        <v>12.3</v>
      </c>
      <c r="AU689" s="6">
        <v>6.13</v>
      </c>
      <c r="AV689" s="7">
        <v>1.62</v>
      </c>
      <c r="AW689" s="6" t="s">
        <v>5</v>
      </c>
      <c r="AX689" s="6" t="s">
        <v>5</v>
      </c>
      <c r="AY689" s="6" t="s">
        <v>5</v>
      </c>
      <c r="AZ689" s="6" t="s">
        <v>5</v>
      </c>
      <c r="BA689" s="6" t="s">
        <v>5</v>
      </c>
      <c r="BB689" s="6" t="s">
        <v>5</v>
      </c>
      <c r="BC689" s="6" t="s">
        <v>5</v>
      </c>
      <c r="BD689" s="6" t="s">
        <v>5</v>
      </c>
      <c r="BE689" s="6" t="s">
        <v>5</v>
      </c>
      <c r="BF689" s="6" t="s">
        <v>5</v>
      </c>
      <c r="BG689" s="6" t="s">
        <v>5</v>
      </c>
      <c r="BH689" s="6" t="s">
        <v>5</v>
      </c>
      <c r="BI689" s="7">
        <v>4</v>
      </c>
      <c r="BJ689" s="22">
        <v>0.58199999999999996</v>
      </c>
      <c r="BK689" s="6" t="s">
        <v>5</v>
      </c>
      <c r="BL689" s="2" t="s">
        <v>5</v>
      </c>
      <c r="BM689" s="2" t="s">
        <v>5</v>
      </c>
      <c r="BN689" s="2" t="s">
        <v>5</v>
      </c>
      <c r="BO689" s="2" t="s">
        <v>5</v>
      </c>
      <c r="BP689" s="2" t="s">
        <v>5</v>
      </c>
      <c r="BQ689" s="2" t="s">
        <v>5</v>
      </c>
      <c r="BR689" s="2" t="s">
        <v>5</v>
      </c>
      <c r="BS689" s="2" t="s">
        <v>5</v>
      </c>
      <c r="BT689" s="2" t="s">
        <v>5</v>
      </c>
      <c r="BU689" s="2" t="s">
        <v>5</v>
      </c>
      <c r="BV689" s="2" t="s">
        <v>5</v>
      </c>
      <c r="BW689" s="2" t="s">
        <v>5</v>
      </c>
      <c r="BX689" s="2" t="s">
        <v>5</v>
      </c>
      <c r="BY689" s="25" t="s">
        <v>5</v>
      </c>
      <c r="BZ689" s="25" t="s">
        <v>5</v>
      </c>
      <c r="CA689" s="6" t="s">
        <v>5</v>
      </c>
      <c r="CB689" s="6" t="s">
        <v>5</v>
      </c>
      <c r="CC689" s="6" t="s">
        <v>5</v>
      </c>
      <c r="CD689" s="6" t="s">
        <v>5</v>
      </c>
      <c r="CE689" s="6" t="s">
        <v>5</v>
      </c>
      <c r="CF689" s="16" t="s">
        <v>5</v>
      </c>
      <c r="CG689" s="16" t="s">
        <v>5</v>
      </c>
      <c r="CH689" s="18" t="s">
        <v>5</v>
      </c>
    </row>
    <row r="690" spans="2:86">
      <c r="B690" s="78" t="s">
        <v>473</v>
      </c>
      <c r="C690" s="79" t="s">
        <v>790</v>
      </c>
      <c r="D690" s="80" t="s">
        <v>790</v>
      </c>
      <c r="E690" s="1" t="s">
        <v>4</v>
      </c>
      <c r="F690" s="4">
        <v>52.4</v>
      </c>
      <c r="G690" s="4">
        <v>15.5</v>
      </c>
      <c r="H690" s="3" t="str">
        <f t="shared" si="29"/>
        <v>2L7X4X3/4LLBB</v>
      </c>
      <c r="I690" s="7">
        <v>7</v>
      </c>
      <c r="J690" s="5" t="s">
        <v>5</v>
      </c>
      <c r="K690" s="6" t="s">
        <v>5</v>
      </c>
      <c r="L690" s="6" t="s">
        <v>5</v>
      </c>
      <c r="M690" s="6" t="s">
        <v>5</v>
      </c>
      <c r="N690" s="6" t="s">
        <v>5</v>
      </c>
      <c r="O690" s="5" t="s">
        <v>5</v>
      </c>
      <c r="P690" s="5" t="s">
        <v>5</v>
      </c>
      <c r="Q690" s="7">
        <v>4</v>
      </c>
      <c r="R690" s="6" t="s">
        <v>5</v>
      </c>
      <c r="S690" s="6" t="s">
        <v>5</v>
      </c>
      <c r="T690" s="5" t="s">
        <v>5</v>
      </c>
      <c r="U690" s="8" t="s">
        <v>5</v>
      </c>
      <c r="V690" s="6" t="s">
        <v>5</v>
      </c>
      <c r="W690" s="8" t="s">
        <v>5</v>
      </c>
      <c r="X690" s="22">
        <v>0.75</v>
      </c>
      <c r="Y690" s="6" t="s">
        <v>5</v>
      </c>
      <c r="Z690" s="6" t="s">
        <v>5</v>
      </c>
      <c r="AA690" s="6" t="s">
        <v>5</v>
      </c>
      <c r="AB690" s="8" t="s">
        <v>5</v>
      </c>
      <c r="AC690" s="8" t="s">
        <v>5</v>
      </c>
      <c r="AD690" s="6" t="s">
        <v>5</v>
      </c>
      <c r="AE690" s="7">
        <v>2.5</v>
      </c>
      <c r="AF690" s="6" t="s">
        <v>5</v>
      </c>
      <c r="AG690" s="6" t="s">
        <v>5</v>
      </c>
      <c r="AH690" s="7">
        <v>1.84</v>
      </c>
      <c r="AI690" s="6" t="s">
        <v>5</v>
      </c>
      <c r="AJ690" s="7">
        <v>9.33</v>
      </c>
      <c r="AK690" s="6" t="s">
        <v>5</v>
      </c>
      <c r="AL690" s="6" t="s">
        <v>5</v>
      </c>
      <c r="AM690" s="6" t="s">
        <v>5</v>
      </c>
      <c r="AN690" s="6" t="s">
        <v>5</v>
      </c>
      <c r="AO690" s="4">
        <v>75.599999999999994</v>
      </c>
      <c r="AP690" s="4">
        <v>29.6</v>
      </c>
      <c r="AQ690" s="4">
        <v>16.8</v>
      </c>
      <c r="AR690" s="7">
        <v>2.21</v>
      </c>
      <c r="AS690" s="4">
        <v>34</v>
      </c>
      <c r="AT690" s="6">
        <v>15.5</v>
      </c>
      <c r="AU690" s="7">
        <v>8.5</v>
      </c>
      <c r="AV690" s="7">
        <v>1.48</v>
      </c>
      <c r="AW690" s="6" t="s">
        <v>5</v>
      </c>
      <c r="AX690" s="6" t="s">
        <v>5</v>
      </c>
      <c r="AY690" s="6" t="s">
        <v>5</v>
      </c>
      <c r="AZ690" s="6" t="s">
        <v>5</v>
      </c>
      <c r="BA690" s="6" t="s">
        <v>5</v>
      </c>
      <c r="BB690" s="6" t="s">
        <v>5</v>
      </c>
      <c r="BC690" s="6" t="s">
        <v>5</v>
      </c>
      <c r="BD690" s="6" t="s">
        <v>5</v>
      </c>
      <c r="BE690" s="6" t="s">
        <v>5</v>
      </c>
      <c r="BF690" s="6" t="s">
        <v>5</v>
      </c>
      <c r="BG690" s="6" t="s">
        <v>5</v>
      </c>
      <c r="BH690" s="6" t="s">
        <v>5</v>
      </c>
      <c r="BI690" s="7">
        <v>3.41</v>
      </c>
      <c r="BJ690" s="22">
        <v>0.61099999999999999</v>
      </c>
      <c r="BK690" s="6" t="s">
        <v>5</v>
      </c>
      <c r="BL690" s="2" t="s">
        <v>5</v>
      </c>
      <c r="BM690" s="2" t="s">
        <v>5</v>
      </c>
      <c r="BN690" s="2" t="s">
        <v>5</v>
      </c>
      <c r="BO690" s="2" t="s">
        <v>5</v>
      </c>
      <c r="BP690" s="2" t="s">
        <v>5</v>
      </c>
      <c r="BQ690" s="2" t="s">
        <v>5</v>
      </c>
      <c r="BR690" s="2" t="s">
        <v>5</v>
      </c>
      <c r="BS690" s="2" t="s">
        <v>5</v>
      </c>
      <c r="BT690" s="2" t="s">
        <v>5</v>
      </c>
      <c r="BU690" s="2" t="s">
        <v>5</v>
      </c>
      <c r="BV690" s="2" t="s">
        <v>5</v>
      </c>
      <c r="BW690" s="2" t="s">
        <v>5</v>
      </c>
      <c r="BX690" s="2" t="s">
        <v>5</v>
      </c>
      <c r="BY690" s="25" t="s">
        <v>5</v>
      </c>
      <c r="BZ690" s="25" t="s">
        <v>5</v>
      </c>
      <c r="CA690" s="6" t="s">
        <v>5</v>
      </c>
      <c r="CB690" s="6" t="s">
        <v>5</v>
      </c>
      <c r="CC690" s="6" t="s">
        <v>5</v>
      </c>
      <c r="CD690" s="6" t="s">
        <v>5</v>
      </c>
      <c r="CE690" s="6" t="s">
        <v>5</v>
      </c>
      <c r="CF690" s="16" t="s">
        <v>5</v>
      </c>
      <c r="CG690" s="16" t="s">
        <v>5</v>
      </c>
      <c r="CH690" s="18" t="s">
        <v>5</v>
      </c>
    </row>
    <row r="691" spans="2:86">
      <c r="B691" s="78" t="s">
        <v>473</v>
      </c>
      <c r="C691" s="79" t="s">
        <v>791</v>
      </c>
      <c r="D691" s="80" t="s">
        <v>791</v>
      </c>
      <c r="E691" s="1" t="s">
        <v>4</v>
      </c>
      <c r="F691" s="4">
        <v>52.4</v>
      </c>
      <c r="G691" s="4">
        <v>15.5</v>
      </c>
      <c r="H691" s="3" t="str">
        <f t="shared" si="29"/>
        <v>2L7X4X3/4X3/8LLBB</v>
      </c>
      <c r="I691" s="7">
        <v>7</v>
      </c>
      <c r="J691" s="5" t="s">
        <v>5</v>
      </c>
      <c r="K691" s="6" t="s">
        <v>5</v>
      </c>
      <c r="L691" s="6" t="s">
        <v>5</v>
      </c>
      <c r="M691" s="6" t="s">
        <v>5</v>
      </c>
      <c r="N691" s="6" t="s">
        <v>5</v>
      </c>
      <c r="O691" s="5" t="s">
        <v>5</v>
      </c>
      <c r="P691" s="5" t="s">
        <v>5</v>
      </c>
      <c r="Q691" s="7">
        <v>4</v>
      </c>
      <c r="R691" s="6" t="s">
        <v>5</v>
      </c>
      <c r="S691" s="6" t="s">
        <v>5</v>
      </c>
      <c r="T691" s="5" t="s">
        <v>5</v>
      </c>
      <c r="U691" s="8" t="s">
        <v>5</v>
      </c>
      <c r="V691" s="6" t="s">
        <v>5</v>
      </c>
      <c r="W691" s="8" t="s">
        <v>5</v>
      </c>
      <c r="X691" s="22">
        <v>0.75</v>
      </c>
      <c r="Y691" s="6" t="s">
        <v>5</v>
      </c>
      <c r="Z691" s="6" t="s">
        <v>5</v>
      </c>
      <c r="AA691" s="6" t="s">
        <v>5</v>
      </c>
      <c r="AB691" s="8" t="s">
        <v>5</v>
      </c>
      <c r="AC691" s="8" t="s">
        <v>5</v>
      </c>
      <c r="AD691" s="6" t="s">
        <v>5</v>
      </c>
      <c r="AE691" s="7">
        <v>2.5</v>
      </c>
      <c r="AF691" s="6" t="s">
        <v>5</v>
      </c>
      <c r="AG691" s="6" t="s">
        <v>5</v>
      </c>
      <c r="AH691" s="7">
        <v>1.84</v>
      </c>
      <c r="AI691" s="6" t="s">
        <v>5</v>
      </c>
      <c r="AJ691" s="7">
        <v>9.33</v>
      </c>
      <c r="AK691" s="6" t="s">
        <v>5</v>
      </c>
      <c r="AL691" s="6" t="s">
        <v>5</v>
      </c>
      <c r="AM691" s="6" t="s">
        <v>5</v>
      </c>
      <c r="AN691" s="6" t="s">
        <v>5</v>
      </c>
      <c r="AO691" s="4">
        <v>75.599999999999994</v>
      </c>
      <c r="AP691" s="4">
        <v>29.6</v>
      </c>
      <c r="AQ691" s="4">
        <v>16.8</v>
      </c>
      <c r="AR691" s="7">
        <v>2.21</v>
      </c>
      <c r="AS691" s="6">
        <v>40.200000000000003</v>
      </c>
      <c r="AT691" s="6">
        <v>18.399999999999999</v>
      </c>
      <c r="AU691" s="7">
        <v>9.6</v>
      </c>
      <c r="AV691" s="7">
        <v>1.61</v>
      </c>
      <c r="AW691" s="6" t="s">
        <v>5</v>
      </c>
      <c r="AX691" s="6" t="s">
        <v>5</v>
      </c>
      <c r="AY691" s="6" t="s">
        <v>5</v>
      </c>
      <c r="AZ691" s="6" t="s">
        <v>5</v>
      </c>
      <c r="BA691" s="6" t="s">
        <v>5</v>
      </c>
      <c r="BB691" s="6" t="s">
        <v>5</v>
      </c>
      <c r="BC691" s="6" t="s">
        <v>5</v>
      </c>
      <c r="BD691" s="6" t="s">
        <v>5</v>
      </c>
      <c r="BE691" s="6" t="s">
        <v>5</v>
      </c>
      <c r="BF691" s="6" t="s">
        <v>5</v>
      </c>
      <c r="BG691" s="6" t="s">
        <v>5</v>
      </c>
      <c r="BH691" s="6" t="s">
        <v>5</v>
      </c>
      <c r="BI691" s="7">
        <v>3.47</v>
      </c>
      <c r="BJ691" s="22">
        <v>0.624</v>
      </c>
      <c r="BK691" s="6" t="s">
        <v>5</v>
      </c>
      <c r="BL691" s="2" t="s">
        <v>5</v>
      </c>
      <c r="BM691" s="2" t="s">
        <v>5</v>
      </c>
      <c r="BN691" s="2" t="s">
        <v>5</v>
      </c>
      <c r="BO691" s="2" t="s">
        <v>5</v>
      </c>
      <c r="BP691" s="2" t="s">
        <v>5</v>
      </c>
      <c r="BQ691" s="2" t="s">
        <v>5</v>
      </c>
      <c r="BR691" s="2" t="s">
        <v>5</v>
      </c>
      <c r="BS691" s="2" t="s">
        <v>5</v>
      </c>
      <c r="BT691" s="2" t="s">
        <v>5</v>
      </c>
      <c r="BU691" s="2" t="s">
        <v>5</v>
      </c>
      <c r="BV691" s="2" t="s">
        <v>5</v>
      </c>
      <c r="BW691" s="2" t="s">
        <v>5</v>
      </c>
      <c r="BX691" s="2" t="s">
        <v>5</v>
      </c>
      <c r="BY691" s="25" t="s">
        <v>5</v>
      </c>
      <c r="BZ691" s="25" t="s">
        <v>5</v>
      </c>
      <c r="CA691" s="6" t="s">
        <v>5</v>
      </c>
      <c r="CB691" s="6" t="s">
        <v>5</v>
      </c>
      <c r="CC691" s="6" t="s">
        <v>5</v>
      </c>
      <c r="CD691" s="6" t="s">
        <v>5</v>
      </c>
      <c r="CE691" s="6" t="s">
        <v>5</v>
      </c>
      <c r="CF691" s="16" t="s">
        <v>5</v>
      </c>
      <c r="CG691" s="16" t="s">
        <v>5</v>
      </c>
      <c r="CH691" s="18" t="s">
        <v>5</v>
      </c>
    </row>
    <row r="692" spans="2:86">
      <c r="B692" s="78" t="s">
        <v>473</v>
      </c>
      <c r="C692" s="79" t="s">
        <v>792</v>
      </c>
      <c r="D692" s="80" t="s">
        <v>792</v>
      </c>
      <c r="E692" s="1" t="s">
        <v>4</v>
      </c>
      <c r="F692" s="4">
        <v>52.4</v>
      </c>
      <c r="G692" s="4">
        <v>15.5</v>
      </c>
      <c r="H692" s="3" t="str">
        <f t="shared" si="29"/>
        <v>2L7X4X3/4X3/4LLBB</v>
      </c>
      <c r="I692" s="7">
        <v>7</v>
      </c>
      <c r="J692" s="5" t="s">
        <v>5</v>
      </c>
      <c r="K692" s="6" t="s">
        <v>5</v>
      </c>
      <c r="L692" s="6" t="s">
        <v>5</v>
      </c>
      <c r="M692" s="6" t="s">
        <v>5</v>
      </c>
      <c r="N692" s="6" t="s">
        <v>5</v>
      </c>
      <c r="O692" s="5" t="s">
        <v>5</v>
      </c>
      <c r="P692" s="5" t="s">
        <v>5</v>
      </c>
      <c r="Q692" s="7">
        <v>4</v>
      </c>
      <c r="R692" s="6" t="s">
        <v>5</v>
      </c>
      <c r="S692" s="6" t="s">
        <v>5</v>
      </c>
      <c r="T692" s="5" t="s">
        <v>5</v>
      </c>
      <c r="U692" s="8" t="s">
        <v>5</v>
      </c>
      <c r="V692" s="6" t="s">
        <v>5</v>
      </c>
      <c r="W692" s="8" t="s">
        <v>5</v>
      </c>
      <c r="X692" s="22">
        <v>0.75</v>
      </c>
      <c r="Y692" s="6" t="s">
        <v>5</v>
      </c>
      <c r="Z692" s="6" t="s">
        <v>5</v>
      </c>
      <c r="AA692" s="6" t="s">
        <v>5</v>
      </c>
      <c r="AB692" s="8" t="s">
        <v>5</v>
      </c>
      <c r="AC692" s="8" t="s">
        <v>5</v>
      </c>
      <c r="AD692" s="6" t="s">
        <v>5</v>
      </c>
      <c r="AE692" s="7">
        <v>2.5</v>
      </c>
      <c r="AF692" s="6" t="s">
        <v>5</v>
      </c>
      <c r="AG692" s="6" t="s">
        <v>5</v>
      </c>
      <c r="AH692" s="7">
        <v>1.84</v>
      </c>
      <c r="AI692" s="6" t="s">
        <v>5</v>
      </c>
      <c r="AJ692" s="7">
        <v>9.33</v>
      </c>
      <c r="AK692" s="6" t="s">
        <v>5</v>
      </c>
      <c r="AL692" s="6" t="s">
        <v>5</v>
      </c>
      <c r="AM692" s="6" t="s">
        <v>5</v>
      </c>
      <c r="AN692" s="6" t="s">
        <v>5</v>
      </c>
      <c r="AO692" s="4">
        <v>75.599999999999994</v>
      </c>
      <c r="AP692" s="4">
        <v>29.6</v>
      </c>
      <c r="AQ692" s="4">
        <v>16.8</v>
      </c>
      <c r="AR692" s="7">
        <v>2.21</v>
      </c>
      <c r="AS692" s="6">
        <v>47.5</v>
      </c>
      <c r="AT692" s="6">
        <v>21.3</v>
      </c>
      <c r="AU692" s="6">
        <v>10.9</v>
      </c>
      <c r="AV692" s="7">
        <v>1.75</v>
      </c>
      <c r="AW692" s="6" t="s">
        <v>5</v>
      </c>
      <c r="AX692" s="6" t="s">
        <v>5</v>
      </c>
      <c r="AY692" s="6" t="s">
        <v>5</v>
      </c>
      <c r="AZ692" s="6" t="s">
        <v>5</v>
      </c>
      <c r="BA692" s="6" t="s">
        <v>5</v>
      </c>
      <c r="BB692" s="6" t="s">
        <v>5</v>
      </c>
      <c r="BC692" s="6" t="s">
        <v>5</v>
      </c>
      <c r="BD692" s="6" t="s">
        <v>5</v>
      </c>
      <c r="BE692" s="6" t="s">
        <v>5</v>
      </c>
      <c r="BF692" s="6" t="s">
        <v>5</v>
      </c>
      <c r="BG692" s="6" t="s">
        <v>5</v>
      </c>
      <c r="BH692" s="6" t="s">
        <v>5</v>
      </c>
      <c r="BI692" s="7">
        <v>3.53</v>
      </c>
      <c r="BJ692" s="22">
        <v>0.63900000000000001</v>
      </c>
      <c r="BK692" s="6" t="s">
        <v>5</v>
      </c>
      <c r="BL692" s="2" t="s">
        <v>5</v>
      </c>
      <c r="BM692" s="2" t="s">
        <v>5</v>
      </c>
      <c r="BN692" s="2" t="s">
        <v>5</v>
      </c>
      <c r="BO692" s="2" t="s">
        <v>5</v>
      </c>
      <c r="BP692" s="2" t="s">
        <v>5</v>
      </c>
      <c r="BQ692" s="2" t="s">
        <v>5</v>
      </c>
      <c r="BR692" s="2" t="s">
        <v>5</v>
      </c>
      <c r="BS692" s="2" t="s">
        <v>5</v>
      </c>
      <c r="BT692" s="2" t="s">
        <v>5</v>
      </c>
      <c r="BU692" s="2" t="s">
        <v>5</v>
      </c>
      <c r="BV692" s="2" t="s">
        <v>5</v>
      </c>
      <c r="BW692" s="2" t="s">
        <v>5</v>
      </c>
      <c r="BX692" s="2" t="s">
        <v>5</v>
      </c>
      <c r="BY692" s="25" t="s">
        <v>5</v>
      </c>
      <c r="BZ692" s="25" t="s">
        <v>5</v>
      </c>
      <c r="CA692" s="6" t="s">
        <v>5</v>
      </c>
      <c r="CB692" s="6" t="s">
        <v>5</v>
      </c>
      <c r="CC692" s="6" t="s">
        <v>5</v>
      </c>
      <c r="CD692" s="6" t="s">
        <v>5</v>
      </c>
      <c r="CE692" s="6" t="s">
        <v>5</v>
      </c>
      <c r="CF692" s="16" t="s">
        <v>5</v>
      </c>
      <c r="CG692" s="16" t="s">
        <v>5</v>
      </c>
      <c r="CH692" s="18" t="s">
        <v>5</v>
      </c>
    </row>
    <row r="693" spans="2:86">
      <c r="B693" s="78" t="s">
        <v>473</v>
      </c>
      <c r="C693" s="79" t="s">
        <v>793</v>
      </c>
      <c r="D693" s="80" t="s">
        <v>793</v>
      </c>
      <c r="E693" s="1" t="s">
        <v>4</v>
      </c>
      <c r="F693" s="4">
        <v>44.2</v>
      </c>
      <c r="G693" s="4">
        <v>13</v>
      </c>
      <c r="H693" s="3" t="str">
        <f t="shared" si="29"/>
        <v>2L7X4X5/8LLBB</v>
      </c>
      <c r="I693" s="7">
        <v>7</v>
      </c>
      <c r="J693" s="5" t="s">
        <v>5</v>
      </c>
      <c r="K693" s="6" t="s">
        <v>5</v>
      </c>
      <c r="L693" s="6" t="s">
        <v>5</v>
      </c>
      <c r="M693" s="6" t="s">
        <v>5</v>
      </c>
      <c r="N693" s="6" t="s">
        <v>5</v>
      </c>
      <c r="O693" s="5" t="s">
        <v>5</v>
      </c>
      <c r="P693" s="5" t="s">
        <v>5</v>
      </c>
      <c r="Q693" s="7">
        <v>4</v>
      </c>
      <c r="R693" s="6" t="s">
        <v>5</v>
      </c>
      <c r="S693" s="6" t="s">
        <v>5</v>
      </c>
      <c r="T693" s="5" t="s">
        <v>5</v>
      </c>
      <c r="U693" s="8" t="s">
        <v>5</v>
      </c>
      <c r="V693" s="6" t="s">
        <v>5</v>
      </c>
      <c r="W693" s="8" t="s">
        <v>5</v>
      </c>
      <c r="X693" s="22">
        <v>0.625</v>
      </c>
      <c r="Y693" s="6" t="s">
        <v>5</v>
      </c>
      <c r="Z693" s="6" t="s">
        <v>5</v>
      </c>
      <c r="AA693" s="6" t="s">
        <v>5</v>
      </c>
      <c r="AB693" s="8" t="s">
        <v>5</v>
      </c>
      <c r="AC693" s="8" t="s">
        <v>5</v>
      </c>
      <c r="AD693" s="6" t="s">
        <v>5</v>
      </c>
      <c r="AE693" s="7">
        <v>2.4500000000000002</v>
      </c>
      <c r="AF693" s="6" t="s">
        <v>5</v>
      </c>
      <c r="AG693" s="6" t="s">
        <v>5</v>
      </c>
      <c r="AH693" s="7">
        <v>1.8</v>
      </c>
      <c r="AI693" s="6" t="s">
        <v>5</v>
      </c>
      <c r="AJ693" s="4">
        <v>11.2</v>
      </c>
      <c r="AK693" s="6" t="s">
        <v>5</v>
      </c>
      <c r="AL693" s="6" t="s">
        <v>5</v>
      </c>
      <c r="AM693" s="6" t="s">
        <v>5</v>
      </c>
      <c r="AN693" s="6" t="s">
        <v>5</v>
      </c>
      <c r="AO693" s="4">
        <v>64.8</v>
      </c>
      <c r="AP693" s="4">
        <v>25</v>
      </c>
      <c r="AQ693" s="4">
        <v>14.2</v>
      </c>
      <c r="AR693" s="7">
        <v>2.23</v>
      </c>
      <c r="AS693" s="6">
        <v>27.3</v>
      </c>
      <c r="AT693" s="6">
        <v>12.5</v>
      </c>
      <c r="AU693" s="6">
        <v>6.82</v>
      </c>
      <c r="AV693" s="7">
        <v>1.45</v>
      </c>
      <c r="AW693" s="6" t="s">
        <v>5</v>
      </c>
      <c r="AX693" s="6" t="s">
        <v>5</v>
      </c>
      <c r="AY693" s="6" t="s">
        <v>5</v>
      </c>
      <c r="AZ693" s="6" t="s">
        <v>5</v>
      </c>
      <c r="BA693" s="6" t="s">
        <v>5</v>
      </c>
      <c r="BB693" s="6" t="s">
        <v>5</v>
      </c>
      <c r="BC693" s="6" t="s">
        <v>5</v>
      </c>
      <c r="BD693" s="6" t="s">
        <v>5</v>
      </c>
      <c r="BE693" s="6" t="s">
        <v>5</v>
      </c>
      <c r="BF693" s="6" t="s">
        <v>5</v>
      </c>
      <c r="BG693" s="6" t="s">
        <v>5</v>
      </c>
      <c r="BH693" s="6" t="s">
        <v>5</v>
      </c>
      <c r="BI693" s="7">
        <v>3.42</v>
      </c>
      <c r="BJ693" s="22">
        <v>0.60799999999999998</v>
      </c>
      <c r="BK693" s="6" t="s">
        <v>5</v>
      </c>
      <c r="BL693" s="2" t="s">
        <v>5</v>
      </c>
      <c r="BM693" s="2" t="s">
        <v>5</v>
      </c>
      <c r="BN693" s="2" t="s">
        <v>5</v>
      </c>
      <c r="BO693" s="2" t="s">
        <v>5</v>
      </c>
      <c r="BP693" s="2" t="s">
        <v>5</v>
      </c>
      <c r="BQ693" s="2" t="s">
        <v>5</v>
      </c>
      <c r="BR693" s="2" t="s">
        <v>5</v>
      </c>
      <c r="BS693" s="2" t="s">
        <v>5</v>
      </c>
      <c r="BT693" s="2" t="s">
        <v>5</v>
      </c>
      <c r="BU693" s="2" t="s">
        <v>5</v>
      </c>
      <c r="BV693" s="2" t="s">
        <v>5</v>
      </c>
      <c r="BW693" s="2" t="s">
        <v>5</v>
      </c>
      <c r="BX693" s="2" t="s">
        <v>5</v>
      </c>
      <c r="BY693" s="25" t="s">
        <v>5</v>
      </c>
      <c r="BZ693" s="25" t="s">
        <v>5</v>
      </c>
      <c r="CA693" s="6" t="s">
        <v>5</v>
      </c>
      <c r="CB693" s="6" t="s">
        <v>5</v>
      </c>
      <c r="CC693" s="6" t="s">
        <v>5</v>
      </c>
      <c r="CD693" s="6" t="s">
        <v>5</v>
      </c>
      <c r="CE693" s="6" t="s">
        <v>5</v>
      </c>
      <c r="CF693" s="16" t="s">
        <v>5</v>
      </c>
      <c r="CG693" s="16" t="s">
        <v>5</v>
      </c>
      <c r="CH693" s="18" t="s">
        <v>5</v>
      </c>
    </row>
    <row r="694" spans="2:86">
      <c r="B694" s="78" t="s">
        <v>473</v>
      </c>
      <c r="C694" s="79" t="s">
        <v>794</v>
      </c>
      <c r="D694" s="80" t="s">
        <v>794</v>
      </c>
      <c r="E694" s="1" t="s">
        <v>4</v>
      </c>
      <c r="F694" s="4">
        <v>44.2</v>
      </c>
      <c r="G694" s="4">
        <v>13</v>
      </c>
      <c r="H694" s="3" t="str">
        <f t="shared" si="29"/>
        <v>2L7X4X5/8X3/8LLBB</v>
      </c>
      <c r="I694" s="7">
        <v>7</v>
      </c>
      <c r="J694" s="5" t="s">
        <v>5</v>
      </c>
      <c r="K694" s="6" t="s">
        <v>5</v>
      </c>
      <c r="L694" s="6" t="s">
        <v>5</v>
      </c>
      <c r="M694" s="6" t="s">
        <v>5</v>
      </c>
      <c r="N694" s="6" t="s">
        <v>5</v>
      </c>
      <c r="O694" s="5" t="s">
        <v>5</v>
      </c>
      <c r="P694" s="5" t="s">
        <v>5</v>
      </c>
      <c r="Q694" s="7">
        <v>4</v>
      </c>
      <c r="R694" s="6" t="s">
        <v>5</v>
      </c>
      <c r="S694" s="6" t="s">
        <v>5</v>
      </c>
      <c r="T694" s="5" t="s">
        <v>5</v>
      </c>
      <c r="U694" s="8" t="s">
        <v>5</v>
      </c>
      <c r="V694" s="6" t="s">
        <v>5</v>
      </c>
      <c r="W694" s="8" t="s">
        <v>5</v>
      </c>
      <c r="X694" s="22">
        <v>0.625</v>
      </c>
      <c r="Y694" s="6" t="s">
        <v>5</v>
      </c>
      <c r="Z694" s="6" t="s">
        <v>5</v>
      </c>
      <c r="AA694" s="6" t="s">
        <v>5</v>
      </c>
      <c r="AB694" s="8" t="s">
        <v>5</v>
      </c>
      <c r="AC694" s="8" t="s">
        <v>5</v>
      </c>
      <c r="AD694" s="6" t="s">
        <v>5</v>
      </c>
      <c r="AE694" s="7">
        <v>2.4500000000000002</v>
      </c>
      <c r="AF694" s="6" t="s">
        <v>5</v>
      </c>
      <c r="AG694" s="6" t="s">
        <v>5</v>
      </c>
      <c r="AH694" s="7">
        <v>1.8</v>
      </c>
      <c r="AI694" s="6" t="s">
        <v>5</v>
      </c>
      <c r="AJ694" s="4">
        <v>11.2</v>
      </c>
      <c r="AK694" s="6" t="s">
        <v>5</v>
      </c>
      <c r="AL694" s="6" t="s">
        <v>5</v>
      </c>
      <c r="AM694" s="6" t="s">
        <v>5</v>
      </c>
      <c r="AN694" s="6" t="s">
        <v>5</v>
      </c>
      <c r="AO694" s="4">
        <v>64.8</v>
      </c>
      <c r="AP694" s="4">
        <v>25</v>
      </c>
      <c r="AQ694" s="4">
        <v>14.2</v>
      </c>
      <c r="AR694" s="7">
        <v>2.23</v>
      </c>
      <c r="AS694" s="6">
        <v>32.5</v>
      </c>
      <c r="AT694" s="6">
        <v>14.9</v>
      </c>
      <c r="AU694" s="6">
        <v>7.76</v>
      </c>
      <c r="AV694" s="7">
        <v>1.58</v>
      </c>
      <c r="AW694" s="6" t="s">
        <v>5</v>
      </c>
      <c r="AX694" s="6" t="s">
        <v>5</v>
      </c>
      <c r="AY694" s="6" t="s">
        <v>5</v>
      </c>
      <c r="AZ694" s="6" t="s">
        <v>5</v>
      </c>
      <c r="BA694" s="6" t="s">
        <v>5</v>
      </c>
      <c r="BB694" s="6" t="s">
        <v>5</v>
      </c>
      <c r="BC694" s="6" t="s">
        <v>5</v>
      </c>
      <c r="BD694" s="6" t="s">
        <v>5</v>
      </c>
      <c r="BE694" s="6" t="s">
        <v>5</v>
      </c>
      <c r="BF694" s="6" t="s">
        <v>5</v>
      </c>
      <c r="BG694" s="6" t="s">
        <v>5</v>
      </c>
      <c r="BH694" s="6" t="s">
        <v>5</v>
      </c>
      <c r="BI694" s="7">
        <v>3.47</v>
      </c>
      <c r="BJ694" s="22">
        <v>0.621</v>
      </c>
      <c r="BK694" s="6" t="s">
        <v>5</v>
      </c>
      <c r="BL694" s="2" t="s">
        <v>5</v>
      </c>
      <c r="BM694" s="2" t="s">
        <v>5</v>
      </c>
      <c r="BN694" s="2" t="s">
        <v>5</v>
      </c>
      <c r="BO694" s="2" t="s">
        <v>5</v>
      </c>
      <c r="BP694" s="2" t="s">
        <v>5</v>
      </c>
      <c r="BQ694" s="2" t="s">
        <v>5</v>
      </c>
      <c r="BR694" s="2" t="s">
        <v>5</v>
      </c>
      <c r="BS694" s="2" t="s">
        <v>5</v>
      </c>
      <c r="BT694" s="2" t="s">
        <v>5</v>
      </c>
      <c r="BU694" s="2" t="s">
        <v>5</v>
      </c>
      <c r="BV694" s="2" t="s">
        <v>5</v>
      </c>
      <c r="BW694" s="2" t="s">
        <v>5</v>
      </c>
      <c r="BX694" s="2" t="s">
        <v>5</v>
      </c>
      <c r="BY694" s="25" t="s">
        <v>5</v>
      </c>
      <c r="BZ694" s="25" t="s">
        <v>5</v>
      </c>
      <c r="CA694" s="6" t="s">
        <v>5</v>
      </c>
      <c r="CB694" s="6" t="s">
        <v>5</v>
      </c>
      <c r="CC694" s="6" t="s">
        <v>5</v>
      </c>
      <c r="CD694" s="6" t="s">
        <v>5</v>
      </c>
      <c r="CE694" s="6" t="s">
        <v>5</v>
      </c>
      <c r="CF694" s="16" t="s">
        <v>5</v>
      </c>
      <c r="CG694" s="16" t="s">
        <v>5</v>
      </c>
      <c r="CH694" s="18" t="s">
        <v>5</v>
      </c>
    </row>
    <row r="695" spans="2:86">
      <c r="B695" s="78" t="s">
        <v>473</v>
      </c>
      <c r="C695" s="79" t="s">
        <v>795</v>
      </c>
      <c r="D695" s="80" t="s">
        <v>795</v>
      </c>
      <c r="E695" s="1" t="s">
        <v>4</v>
      </c>
      <c r="F695" s="4">
        <v>44.2</v>
      </c>
      <c r="G695" s="4">
        <v>13</v>
      </c>
      <c r="H695" s="3" t="str">
        <f t="shared" si="29"/>
        <v>2L7X4X5/8X3/4LLBB</v>
      </c>
      <c r="I695" s="7">
        <v>7</v>
      </c>
      <c r="J695" s="5" t="s">
        <v>5</v>
      </c>
      <c r="K695" s="6" t="s">
        <v>5</v>
      </c>
      <c r="L695" s="6" t="s">
        <v>5</v>
      </c>
      <c r="M695" s="6" t="s">
        <v>5</v>
      </c>
      <c r="N695" s="6" t="s">
        <v>5</v>
      </c>
      <c r="O695" s="5" t="s">
        <v>5</v>
      </c>
      <c r="P695" s="5" t="s">
        <v>5</v>
      </c>
      <c r="Q695" s="7">
        <v>4</v>
      </c>
      <c r="R695" s="6" t="s">
        <v>5</v>
      </c>
      <c r="S695" s="6" t="s">
        <v>5</v>
      </c>
      <c r="T695" s="5" t="s">
        <v>5</v>
      </c>
      <c r="U695" s="8" t="s">
        <v>5</v>
      </c>
      <c r="V695" s="6" t="s">
        <v>5</v>
      </c>
      <c r="W695" s="8" t="s">
        <v>5</v>
      </c>
      <c r="X695" s="22">
        <v>0.625</v>
      </c>
      <c r="Y695" s="6" t="s">
        <v>5</v>
      </c>
      <c r="Z695" s="6" t="s">
        <v>5</v>
      </c>
      <c r="AA695" s="6" t="s">
        <v>5</v>
      </c>
      <c r="AB695" s="8" t="s">
        <v>5</v>
      </c>
      <c r="AC695" s="8" t="s">
        <v>5</v>
      </c>
      <c r="AD695" s="6" t="s">
        <v>5</v>
      </c>
      <c r="AE695" s="7">
        <v>2.4500000000000002</v>
      </c>
      <c r="AF695" s="6" t="s">
        <v>5</v>
      </c>
      <c r="AG695" s="6" t="s">
        <v>5</v>
      </c>
      <c r="AH695" s="7">
        <v>1.8</v>
      </c>
      <c r="AI695" s="6" t="s">
        <v>5</v>
      </c>
      <c r="AJ695" s="4">
        <v>11.2</v>
      </c>
      <c r="AK695" s="6" t="s">
        <v>5</v>
      </c>
      <c r="AL695" s="6" t="s">
        <v>5</v>
      </c>
      <c r="AM695" s="6" t="s">
        <v>5</v>
      </c>
      <c r="AN695" s="6" t="s">
        <v>5</v>
      </c>
      <c r="AO695" s="4">
        <v>64.8</v>
      </c>
      <c r="AP695" s="4">
        <v>25</v>
      </c>
      <c r="AQ695" s="4">
        <v>14.2</v>
      </c>
      <c r="AR695" s="7">
        <v>2.23</v>
      </c>
      <c r="AS695" s="6">
        <v>38.9</v>
      </c>
      <c r="AT695" s="6">
        <v>17.3</v>
      </c>
      <c r="AU695" s="6">
        <v>8.89</v>
      </c>
      <c r="AV695" s="7">
        <v>1.73</v>
      </c>
      <c r="AW695" s="6" t="s">
        <v>5</v>
      </c>
      <c r="AX695" s="6" t="s">
        <v>5</v>
      </c>
      <c r="AY695" s="6" t="s">
        <v>5</v>
      </c>
      <c r="AZ695" s="6" t="s">
        <v>5</v>
      </c>
      <c r="BA695" s="6" t="s">
        <v>5</v>
      </c>
      <c r="BB695" s="6" t="s">
        <v>5</v>
      </c>
      <c r="BC695" s="6" t="s">
        <v>5</v>
      </c>
      <c r="BD695" s="6" t="s">
        <v>5</v>
      </c>
      <c r="BE695" s="6" t="s">
        <v>5</v>
      </c>
      <c r="BF695" s="6" t="s">
        <v>5</v>
      </c>
      <c r="BG695" s="6" t="s">
        <v>5</v>
      </c>
      <c r="BH695" s="6" t="s">
        <v>5</v>
      </c>
      <c r="BI695" s="7">
        <v>3.54</v>
      </c>
      <c r="BJ695" s="22">
        <v>0.63500000000000001</v>
      </c>
      <c r="BK695" s="6" t="s">
        <v>5</v>
      </c>
      <c r="BL695" s="2" t="s">
        <v>5</v>
      </c>
      <c r="BM695" s="2" t="s">
        <v>5</v>
      </c>
      <c r="BN695" s="2" t="s">
        <v>5</v>
      </c>
      <c r="BO695" s="2" t="s">
        <v>5</v>
      </c>
      <c r="BP695" s="2" t="s">
        <v>5</v>
      </c>
      <c r="BQ695" s="2" t="s">
        <v>5</v>
      </c>
      <c r="BR695" s="2" t="s">
        <v>5</v>
      </c>
      <c r="BS695" s="2" t="s">
        <v>5</v>
      </c>
      <c r="BT695" s="2" t="s">
        <v>5</v>
      </c>
      <c r="BU695" s="2" t="s">
        <v>5</v>
      </c>
      <c r="BV695" s="2" t="s">
        <v>5</v>
      </c>
      <c r="BW695" s="2" t="s">
        <v>5</v>
      </c>
      <c r="BX695" s="2" t="s">
        <v>5</v>
      </c>
      <c r="BY695" s="25" t="s">
        <v>5</v>
      </c>
      <c r="BZ695" s="25" t="s">
        <v>5</v>
      </c>
      <c r="CA695" s="6" t="s">
        <v>5</v>
      </c>
      <c r="CB695" s="6" t="s">
        <v>5</v>
      </c>
      <c r="CC695" s="6" t="s">
        <v>5</v>
      </c>
      <c r="CD695" s="6" t="s">
        <v>5</v>
      </c>
      <c r="CE695" s="6" t="s">
        <v>5</v>
      </c>
      <c r="CF695" s="16" t="s">
        <v>5</v>
      </c>
      <c r="CG695" s="16" t="s">
        <v>5</v>
      </c>
      <c r="CH695" s="18" t="s">
        <v>5</v>
      </c>
    </row>
    <row r="696" spans="2:86">
      <c r="B696" s="78" t="s">
        <v>473</v>
      </c>
      <c r="C696" s="79" t="s">
        <v>796</v>
      </c>
      <c r="D696" s="80" t="s">
        <v>796</v>
      </c>
      <c r="E696" s="1" t="s">
        <v>4</v>
      </c>
      <c r="F696" s="4">
        <v>35.799999999999997</v>
      </c>
      <c r="G696" s="4">
        <v>10.5</v>
      </c>
      <c r="H696" s="3" t="str">
        <f t="shared" si="29"/>
        <v>2L7X4X1/2LLBB</v>
      </c>
      <c r="I696" s="7">
        <v>7</v>
      </c>
      <c r="J696" s="5" t="s">
        <v>5</v>
      </c>
      <c r="K696" s="6" t="s">
        <v>5</v>
      </c>
      <c r="L696" s="6" t="s">
        <v>5</v>
      </c>
      <c r="M696" s="6" t="s">
        <v>5</v>
      </c>
      <c r="N696" s="6" t="s">
        <v>5</v>
      </c>
      <c r="O696" s="5" t="s">
        <v>5</v>
      </c>
      <c r="P696" s="5" t="s">
        <v>5</v>
      </c>
      <c r="Q696" s="7">
        <v>4</v>
      </c>
      <c r="R696" s="6" t="s">
        <v>5</v>
      </c>
      <c r="S696" s="6" t="s">
        <v>5</v>
      </c>
      <c r="T696" s="5" t="s">
        <v>5</v>
      </c>
      <c r="U696" s="8" t="s">
        <v>5</v>
      </c>
      <c r="V696" s="6" t="s">
        <v>5</v>
      </c>
      <c r="W696" s="8" t="s">
        <v>5</v>
      </c>
      <c r="X696" s="22">
        <v>0.5</v>
      </c>
      <c r="Y696" s="6" t="s">
        <v>5</v>
      </c>
      <c r="Z696" s="6" t="s">
        <v>5</v>
      </c>
      <c r="AA696" s="6" t="s">
        <v>5</v>
      </c>
      <c r="AB696" s="8" t="s">
        <v>5</v>
      </c>
      <c r="AC696" s="8" t="s">
        <v>5</v>
      </c>
      <c r="AD696" s="6" t="s">
        <v>5</v>
      </c>
      <c r="AE696" s="7">
        <v>2.4</v>
      </c>
      <c r="AF696" s="6" t="s">
        <v>5</v>
      </c>
      <c r="AG696" s="6" t="s">
        <v>5</v>
      </c>
      <c r="AH696" s="7">
        <v>1.74</v>
      </c>
      <c r="AI696" s="6" t="s">
        <v>5</v>
      </c>
      <c r="AJ696" s="4">
        <v>14</v>
      </c>
      <c r="AK696" s="6" t="s">
        <v>5</v>
      </c>
      <c r="AL696" s="6" t="s">
        <v>5</v>
      </c>
      <c r="AM696" s="6" t="s">
        <v>5</v>
      </c>
      <c r="AN696" s="6" t="s">
        <v>5</v>
      </c>
      <c r="AO696" s="4">
        <v>53.2</v>
      </c>
      <c r="AP696" s="4">
        <v>20.399999999999999</v>
      </c>
      <c r="AQ696" s="4">
        <v>11.6</v>
      </c>
      <c r="AR696" s="7">
        <v>2.25</v>
      </c>
      <c r="AS696" s="6">
        <v>21.8</v>
      </c>
      <c r="AT696" s="6">
        <v>9.57</v>
      </c>
      <c r="AU696" s="6">
        <v>5.45</v>
      </c>
      <c r="AV696" s="7">
        <v>1.44</v>
      </c>
      <c r="AW696" s="6" t="s">
        <v>5</v>
      </c>
      <c r="AX696" s="6" t="s">
        <v>5</v>
      </c>
      <c r="AY696" s="6" t="s">
        <v>5</v>
      </c>
      <c r="AZ696" s="6" t="s">
        <v>5</v>
      </c>
      <c r="BA696" s="6" t="s">
        <v>5</v>
      </c>
      <c r="BB696" s="6" t="s">
        <v>5</v>
      </c>
      <c r="BC696" s="6" t="s">
        <v>5</v>
      </c>
      <c r="BD696" s="6" t="s">
        <v>5</v>
      </c>
      <c r="BE696" s="6" t="s">
        <v>5</v>
      </c>
      <c r="BF696" s="6" t="s">
        <v>5</v>
      </c>
      <c r="BG696" s="6" t="s">
        <v>5</v>
      </c>
      <c r="BH696" s="6" t="s">
        <v>5</v>
      </c>
      <c r="BI696" s="7">
        <v>3.43</v>
      </c>
      <c r="BJ696" s="22">
        <v>0.60599999999999998</v>
      </c>
      <c r="BK696" s="6" t="s">
        <v>5</v>
      </c>
      <c r="BL696" s="2" t="s">
        <v>5</v>
      </c>
      <c r="BM696" s="2" t="s">
        <v>5</v>
      </c>
      <c r="BN696" s="2" t="s">
        <v>5</v>
      </c>
      <c r="BO696" s="2" t="s">
        <v>5</v>
      </c>
      <c r="BP696" s="2" t="s">
        <v>5</v>
      </c>
      <c r="BQ696" s="2" t="s">
        <v>5</v>
      </c>
      <c r="BR696" s="2" t="s">
        <v>5</v>
      </c>
      <c r="BS696" s="2" t="s">
        <v>5</v>
      </c>
      <c r="BT696" s="2" t="s">
        <v>5</v>
      </c>
      <c r="BU696" s="2" t="s">
        <v>5</v>
      </c>
      <c r="BV696" s="2" t="s">
        <v>5</v>
      </c>
      <c r="BW696" s="2" t="s">
        <v>5</v>
      </c>
      <c r="BX696" s="2" t="s">
        <v>5</v>
      </c>
      <c r="BY696" s="25" t="s">
        <v>5</v>
      </c>
      <c r="BZ696" s="25" t="s">
        <v>5</v>
      </c>
      <c r="CA696" s="6" t="s">
        <v>5</v>
      </c>
      <c r="CB696" s="6" t="s">
        <v>5</v>
      </c>
      <c r="CC696" s="6" t="s">
        <v>5</v>
      </c>
      <c r="CD696" s="6" t="s">
        <v>5</v>
      </c>
      <c r="CE696" s="6" t="s">
        <v>5</v>
      </c>
      <c r="CF696" s="16" t="s">
        <v>5</v>
      </c>
      <c r="CG696" s="16" t="s">
        <v>5</v>
      </c>
      <c r="CH696" s="18" t="s">
        <v>5</v>
      </c>
    </row>
    <row r="697" spans="2:86">
      <c r="B697" s="78" t="s">
        <v>473</v>
      </c>
      <c r="C697" s="79" t="s">
        <v>797</v>
      </c>
      <c r="D697" s="80" t="s">
        <v>797</v>
      </c>
      <c r="E697" s="1" t="s">
        <v>4</v>
      </c>
      <c r="F697" s="4">
        <v>35.799999999999997</v>
      </c>
      <c r="G697" s="4">
        <v>10.5</v>
      </c>
      <c r="H697" s="3" t="str">
        <f t="shared" si="29"/>
        <v>2L7X4X1/2X3/8LLBB</v>
      </c>
      <c r="I697" s="7">
        <v>7</v>
      </c>
      <c r="J697" s="5" t="s">
        <v>5</v>
      </c>
      <c r="K697" s="6" t="s">
        <v>5</v>
      </c>
      <c r="L697" s="6" t="s">
        <v>5</v>
      </c>
      <c r="M697" s="6" t="s">
        <v>5</v>
      </c>
      <c r="N697" s="6" t="s">
        <v>5</v>
      </c>
      <c r="O697" s="5" t="s">
        <v>5</v>
      </c>
      <c r="P697" s="5" t="s">
        <v>5</v>
      </c>
      <c r="Q697" s="7">
        <v>4</v>
      </c>
      <c r="R697" s="6" t="s">
        <v>5</v>
      </c>
      <c r="S697" s="6" t="s">
        <v>5</v>
      </c>
      <c r="T697" s="5" t="s">
        <v>5</v>
      </c>
      <c r="U697" s="8" t="s">
        <v>5</v>
      </c>
      <c r="V697" s="6" t="s">
        <v>5</v>
      </c>
      <c r="W697" s="8" t="s">
        <v>5</v>
      </c>
      <c r="X697" s="22">
        <v>0.5</v>
      </c>
      <c r="Y697" s="6" t="s">
        <v>5</v>
      </c>
      <c r="Z697" s="6" t="s">
        <v>5</v>
      </c>
      <c r="AA697" s="6" t="s">
        <v>5</v>
      </c>
      <c r="AB697" s="8" t="s">
        <v>5</v>
      </c>
      <c r="AC697" s="8" t="s">
        <v>5</v>
      </c>
      <c r="AD697" s="6" t="s">
        <v>5</v>
      </c>
      <c r="AE697" s="7">
        <v>2.4</v>
      </c>
      <c r="AF697" s="6" t="s">
        <v>5</v>
      </c>
      <c r="AG697" s="6" t="s">
        <v>5</v>
      </c>
      <c r="AH697" s="7">
        <v>1.74</v>
      </c>
      <c r="AI697" s="6" t="s">
        <v>5</v>
      </c>
      <c r="AJ697" s="4">
        <v>14</v>
      </c>
      <c r="AK697" s="6" t="s">
        <v>5</v>
      </c>
      <c r="AL697" s="6" t="s">
        <v>5</v>
      </c>
      <c r="AM697" s="6" t="s">
        <v>5</v>
      </c>
      <c r="AN697" s="6" t="s">
        <v>5</v>
      </c>
      <c r="AO697" s="4">
        <v>53.2</v>
      </c>
      <c r="AP697" s="4">
        <v>20.399999999999999</v>
      </c>
      <c r="AQ697" s="4">
        <v>11.6</v>
      </c>
      <c r="AR697" s="7">
        <v>2.25</v>
      </c>
      <c r="AS697" s="6">
        <v>25.6</v>
      </c>
      <c r="AT697" s="6">
        <v>11.5</v>
      </c>
      <c r="AU697" s="6">
        <v>6.11</v>
      </c>
      <c r="AV697" s="7">
        <v>1.56</v>
      </c>
      <c r="AW697" s="6" t="s">
        <v>5</v>
      </c>
      <c r="AX697" s="6" t="s">
        <v>5</v>
      </c>
      <c r="AY697" s="6" t="s">
        <v>5</v>
      </c>
      <c r="AZ697" s="6" t="s">
        <v>5</v>
      </c>
      <c r="BA697" s="6" t="s">
        <v>5</v>
      </c>
      <c r="BB697" s="6" t="s">
        <v>5</v>
      </c>
      <c r="BC697" s="6" t="s">
        <v>5</v>
      </c>
      <c r="BD697" s="6" t="s">
        <v>5</v>
      </c>
      <c r="BE697" s="6" t="s">
        <v>5</v>
      </c>
      <c r="BF697" s="6" t="s">
        <v>5</v>
      </c>
      <c r="BG697" s="6" t="s">
        <v>5</v>
      </c>
      <c r="BH697" s="6" t="s">
        <v>5</v>
      </c>
      <c r="BI697" s="7">
        <v>3.48</v>
      </c>
      <c r="BJ697" s="22">
        <v>0.61799999999999999</v>
      </c>
      <c r="BK697" s="6" t="s">
        <v>5</v>
      </c>
      <c r="BL697" s="2" t="s">
        <v>5</v>
      </c>
      <c r="BM697" s="2" t="s">
        <v>5</v>
      </c>
      <c r="BN697" s="2" t="s">
        <v>5</v>
      </c>
      <c r="BO697" s="2" t="s">
        <v>5</v>
      </c>
      <c r="BP697" s="2" t="s">
        <v>5</v>
      </c>
      <c r="BQ697" s="2" t="s">
        <v>5</v>
      </c>
      <c r="BR697" s="2" t="s">
        <v>5</v>
      </c>
      <c r="BS697" s="2" t="s">
        <v>5</v>
      </c>
      <c r="BT697" s="2" t="s">
        <v>5</v>
      </c>
      <c r="BU697" s="2" t="s">
        <v>5</v>
      </c>
      <c r="BV697" s="2" t="s">
        <v>5</v>
      </c>
      <c r="BW697" s="2" t="s">
        <v>5</v>
      </c>
      <c r="BX697" s="2" t="s">
        <v>5</v>
      </c>
      <c r="BY697" s="25" t="s">
        <v>5</v>
      </c>
      <c r="BZ697" s="25" t="s">
        <v>5</v>
      </c>
      <c r="CA697" s="6" t="s">
        <v>5</v>
      </c>
      <c r="CB697" s="6" t="s">
        <v>5</v>
      </c>
      <c r="CC697" s="6" t="s">
        <v>5</v>
      </c>
      <c r="CD697" s="6" t="s">
        <v>5</v>
      </c>
      <c r="CE697" s="6" t="s">
        <v>5</v>
      </c>
      <c r="CF697" s="16" t="s">
        <v>5</v>
      </c>
      <c r="CG697" s="16" t="s">
        <v>5</v>
      </c>
      <c r="CH697" s="18" t="s">
        <v>5</v>
      </c>
    </row>
    <row r="698" spans="2:86">
      <c r="B698" s="78" t="s">
        <v>473</v>
      </c>
      <c r="C698" s="79" t="s">
        <v>798</v>
      </c>
      <c r="D698" s="80" t="s">
        <v>798</v>
      </c>
      <c r="E698" s="1" t="s">
        <v>4</v>
      </c>
      <c r="F698" s="4">
        <v>35.799999999999997</v>
      </c>
      <c r="G698" s="4">
        <v>10.5</v>
      </c>
      <c r="H698" s="3" t="str">
        <f t="shared" si="29"/>
        <v>2L7X4X1/2X3/4LLBB</v>
      </c>
      <c r="I698" s="7">
        <v>7</v>
      </c>
      <c r="J698" s="5" t="s">
        <v>5</v>
      </c>
      <c r="K698" s="6" t="s">
        <v>5</v>
      </c>
      <c r="L698" s="6" t="s">
        <v>5</v>
      </c>
      <c r="M698" s="6" t="s">
        <v>5</v>
      </c>
      <c r="N698" s="6" t="s">
        <v>5</v>
      </c>
      <c r="O698" s="5" t="s">
        <v>5</v>
      </c>
      <c r="P698" s="5" t="s">
        <v>5</v>
      </c>
      <c r="Q698" s="7">
        <v>4</v>
      </c>
      <c r="R698" s="6" t="s">
        <v>5</v>
      </c>
      <c r="S698" s="6" t="s">
        <v>5</v>
      </c>
      <c r="T698" s="5" t="s">
        <v>5</v>
      </c>
      <c r="U698" s="8" t="s">
        <v>5</v>
      </c>
      <c r="V698" s="6" t="s">
        <v>5</v>
      </c>
      <c r="W698" s="8" t="s">
        <v>5</v>
      </c>
      <c r="X698" s="22">
        <v>0.5</v>
      </c>
      <c r="Y698" s="6" t="s">
        <v>5</v>
      </c>
      <c r="Z698" s="6" t="s">
        <v>5</v>
      </c>
      <c r="AA698" s="6" t="s">
        <v>5</v>
      </c>
      <c r="AB698" s="8" t="s">
        <v>5</v>
      </c>
      <c r="AC698" s="8" t="s">
        <v>5</v>
      </c>
      <c r="AD698" s="6" t="s">
        <v>5</v>
      </c>
      <c r="AE698" s="7">
        <v>2.4</v>
      </c>
      <c r="AF698" s="6" t="s">
        <v>5</v>
      </c>
      <c r="AG698" s="6" t="s">
        <v>5</v>
      </c>
      <c r="AH698" s="7">
        <v>1.74</v>
      </c>
      <c r="AI698" s="6" t="s">
        <v>5</v>
      </c>
      <c r="AJ698" s="4">
        <v>14</v>
      </c>
      <c r="AK698" s="6" t="s">
        <v>5</v>
      </c>
      <c r="AL698" s="6" t="s">
        <v>5</v>
      </c>
      <c r="AM698" s="6" t="s">
        <v>5</v>
      </c>
      <c r="AN698" s="6" t="s">
        <v>5</v>
      </c>
      <c r="AO698" s="4">
        <v>53.2</v>
      </c>
      <c r="AP698" s="4">
        <v>20.399999999999999</v>
      </c>
      <c r="AQ698" s="4">
        <v>11.6</v>
      </c>
      <c r="AR698" s="7">
        <v>2.25</v>
      </c>
      <c r="AS698" s="6">
        <v>30.3</v>
      </c>
      <c r="AT698" s="6">
        <v>13.5</v>
      </c>
      <c r="AU698" s="6">
        <v>6.93</v>
      </c>
      <c r="AV698" s="7">
        <v>1.7</v>
      </c>
      <c r="AW698" s="6" t="s">
        <v>5</v>
      </c>
      <c r="AX698" s="6" t="s">
        <v>5</v>
      </c>
      <c r="AY698" s="6" t="s">
        <v>5</v>
      </c>
      <c r="AZ698" s="6" t="s">
        <v>5</v>
      </c>
      <c r="BA698" s="6" t="s">
        <v>5</v>
      </c>
      <c r="BB698" s="6" t="s">
        <v>5</v>
      </c>
      <c r="BC698" s="6" t="s">
        <v>5</v>
      </c>
      <c r="BD698" s="6" t="s">
        <v>5</v>
      </c>
      <c r="BE698" s="6" t="s">
        <v>5</v>
      </c>
      <c r="BF698" s="6" t="s">
        <v>5</v>
      </c>
      <c r="BG698" s="6" t="s">
        <v>5</v>
      </c>
      <c r="BH698" s="6" t="s">
        <v>5</v>
      </c>
      <c r="BI698" s="7">
        <v>3.55</v>
      </c>
      <c r="BJ698" s="22">
        <v>0.63200000000000001</v>
      </c>
      <c r="BK698" s="6" t="s">
        <v>5</v>
      </c>
      <c r="BL698" s="2" t="s">
        <v>5</v>
      </c>
      <c r="BM698" s="2" t="s">
        <v>5</v>
      </c>
      <c r="BN698" s="2" t="s">
        <v>5</v>
      </c>
      <c r="BO698" s="2" t="s">
        <v>5</v>
      </c>
      <c r="BP698" s="2" t="s">
        <v>5</v>
      </c>
      <c r="BQ698" s="2" t="s">
        <v>5</v>
      </c>
      <c r="BR698" s="2" t="s">
        <v>5</v>
      </c>
      <c r="BS698" s="2" t="s">
        <v>5</v>
      </c>
      <c r="BT698" s="2" t="s">
        <v>5</v>
      </c>
      <c r="BU698" s="2" t="s">
        <v>5</v>
      </c>
      <c r="BV698" s="2" t="s">
        <v>5</v>
      </c>
      <c r="BW698" s="2" t="s">
        <v>5</v>
      </c>
      <c r="BX698" s="2" t="s">
        <v>5</v>
      </c>
      <c r="BY698" s="25" t="s">
        <v>5</v>
      </c>
      <c r="BZ698" s="25" t="s">
        <v>5</v>
      </c>
      <c r="CA698" s="6" t="s">
        <v>5</v>
      </c>
      <c r="CB698" s="6" t="s">
        <v>5</v>
      </c>
      <c r="CC698" s="6" t="s">
        <v>5</v>
      </c>
      <c r="CD698" s="6" t="s">
        <v>5</v>
      </c>
      <c r="CE698" s="6" t="s">
        <v>5</v>
      </c>
      <c r="CF698" s="16" t="s">
        <v>5</v>
      </c>
      <c r="CG698" s="16" t="s">
        <v>5</v>
      </c>
      <c r="CH698" s="18" t="s">
        <v>5</v>
      </c>
    </row>
    <row r="699" spans="2:86">
      <c r="B699" s="78" t="s">
        <v>473</v>
      </c>
      <c r="C699" s="79" t="s">
        <v>799</v>
      </c>
      <c r="D699" s="80" t="s">
        <v>799</v>
      </c>
      <c r="E699" s="1" t="s">
        <v>4</v>
      </c>
      <c r="F699" s="4">
        <v>31.4</v>
      </c>
      <c r="G699" s="7">
        <v>9.26</v>
      </c>
      <c r="H699" s="3" t="str">
        <f t="shared" si="29"/>
        <v>2L7X4X7/16LLBB</v>
      </c>
      <c r="I699" s="7">
        <v>7</v>
      </c>
      <c r="J699" s="5" t="s">
        <v>5</v>
      </c>
      <c r="K699" s="6" t="s">
        <v>5</v>
      </c>
      <c r="L699" s="6" t="s">
        <v>5</v>
      </c>
      <c r="M699" s="6" t="s">
        <v>5</v>
      </c>
      <c r="N699" s="6" t="s">
        <v>5</v>
      </c>
      <c r="O699" s="5" t="s">
        <v>5</v>
      </c>
      <c r="P699" s="5" t="s">
        <v>5</v>
      </c>
      <c r="Q699" s="7">
        <v>4</v>
      </c>
      <c r="R699" s="6" t="s">
        <v>5</v>
      </c>
      <c r="S699" s="6" t="s">
        <v>5</v>
      </c>
      <c r="T699" s="5" t="s">
        <v>5</v>
      </c>
      <c r="U699" s="8" t="s">
        <v>5</v>
      </c>
      <c r="V699" s="6" t="s">
        <v>5</v>
      </c>
      <c r="W699" s="8" t="s">
        <v>5</v>
      </c>
      <c r="X699" s="22">
        <v>0.438</v>
      </c>
      <c r="Y699" s="6" t="s">
        <v>5</v>
      </c>
      <c r="Z699" s="6" t="s">
        <v>5</v>
      </c>
      <c r="AA699" s="6" t="s">
        <v>5</v>
      </c>
      <c r="AB699" s="8" t="s">
        <v>5</v>
      </c>
      <c r="AC699" s="8" t="s">
        <v>5</v>
      </c>
      <c r="AD699" s="6" t="s">
        <v>5</v>
      </c>
      <c r="AE699" s="7">
        <v>2.38</v>
      </c>
      <c r="AF699" s="6" t="s">
        <v>5</v>
      </c>
      <c r="AG699" s="6" t="s">
        <v>5</v>
      </c>
      <c r="AH699" s="7">
        <v>1.71</v>
      </c>
      <c r="AI699" s="6" t="s">
        <v>5</v>
      </c>
      <c r="AJ699" s="4">
        <v>16</v>
      </c>
      <c r="AK699" s="6" t="s">
        <v>5</v>
      </c>
      <c r="AL699" s="6" t="s">
        <v>5</v>
      </c>
      <c r="AM699" s="6" t="s">
        <v>5</v>
      </c>
      <c r="AN699" s="6" t="s">
        <v>5</v>
      </c>
      <c r="AO699" s="4">
        <v>47.2</v>
      </c>
      <c r="AP699" s="4">
        <v>18.100000000000001</v>
      </c>
      <c r="AQ699" s="4">
        <v>10.199999999999999</v>
      </c>
      <c r="AR699" s="7">
        <v>2.2599999999999998</v>
      </c>
      <c r="AS699" s="6">
        <v>18.899999999999999</v>
      </c>
      <c r="AT699" s="7">
        <v>8.1999999999999993</v>
      </c>
      <c r="AU699" s="6">
        <v>4.72</v>
      </c>
      <c r="AV699" s="7">
        <v>1.43</v>
      </c>
      <c r="AW699" s="6" t="s">
        <v>5</v>
      </c>
      <c r="AX699" s="6" t="s">
        <v>5</v>
      </c>
      <c r="AY699" s="6" t="s">
        <v>5</v>
      </c>
      <c r="AZ699" s="6" t="s">
        <v>5</v>
      </c>
      <c r="BA699" s="6" t="s">
        <v>5</v>
      </c>
      <c r="BB699" s="6" t="s">
        <v>5</v>
      </c>
      <c r="BC699" s="6" t="s">
        <v>5</v>
      </c>
      <c r="BD699" s="6" t="s">
        <v>5</v>
      </c>
      <c r="BE699" s="6" t="s">
        <v>5</v>
      </c>
      <c r="BF699" s="6" t="s">
        <v>5</v>
      </c>
      <c r="BG699" s="6" t="s">
        <v>5</v>
      </c>
      <c r="BH699" s="6" t="s">
        <v>5</v>
      </c>
      <c r="BI699" s="7">
        <v>3.43</v>
      </c>
      <c r="BJ699" s="22">
        <v>0.60499999999999998</v>
      </c>
      <c r="BK699" s="6" t="s">
        <v>5</v>
      </c>
      <c r="BL699" s="2" t="s">
        <v>5</v>
      </c>
      <c r="BM699" s="2" t="s">
        <v>5</v>
      </c>
      <c r="BN699" s="2" t="s">
        <v>5</v>
      </c>
      <c r="BO699" s="2" t="s">
        <v>5</v>
      </c>
      <c r="BP699" s="2" t="s">
        <v>5</v>
      </c>
      <c r="BQ699" s="2" t="s">
        <v>5</v>
      </c>
      <c r="BR699" s="2" t="s">
        <v>5</v>
      </c>
      <c r="BS699" s="2" t="s">
        <v>5</v>
      </c>
      <c r="BT699" s="2" t="s">
        <v>5</v>
      </c>
      <c r="BU699" s="2" t="s">
        <v>5</v>
      </c>
      <c r="BV699" s="2" t="s">
        <v>5</v>
      </c>
      <c r="BW699" s="2" t="s">
        <v>5</v>
      </c>
      <c r="BX699" s="2" t="s">
        <v>5</v>
      </c>
      <c r="BY699" s="25" t="s">
        <v>5</v>
      </c>
      <c r="BZ699" s="25" t="s">
        <v>5</v>
      </c>
      <c r="CA699" s="6" t="s">
        <v>5</v>
      </c>
      <c r="CB699" s="6" t="s">
        <v>5</v>
      </c>
      <c r="CC699" s="6" t="s">
        <v>5</v>
      </c>
      <c r="CD699" s="6" t="s">
        <v>5</v>
      </c>
      <c r="CE699" s="6" t="s">
        <v>5</v>
      </c>
      <c r="CF699" s="16" t="s">
        <v>5</v>
      </c>
      <c r="CG699" s="16" t="s">
        <v>5</v>
      </c>
      <c r="CH699" s="18" t="s">
        <v>5</v>
      </c>
    </row>
    <row r="700" spans="2:86">
      <c r="B700" s="78" t="s">
        <v>473</v>
      </c>
      <c r="C700" s="79" t="s">
        <v>800</v>
      </c>
      <c r="D700" s="80" t="s">
        <v>800</v>
      </c>
      <c r="E700" s="1" t="s">
        <v>4</v>
      </c>
      <c r="F700" s="4">
        <v>31.4</v>
      </c>
      <c r="G700" s="7">
        <v>9.26</v>
      </c>
      <c r="H700" s="3" t="str">
        <f t="shared" si="29"/>
        <v>2L7X4X7/16X3/8LLBB</v>
      </c>
      <c r="I700" s="7">
        <v>7</v>
      </c>
      <c r="J700" s="5" t="s">
        <v>5</v>
      </c>
      <c r="K700" s="6" t="s">
        <v>5</v>
      </c>
      <c r="L700" s="6" t="s">
        <v>5</v>
      </c>
      <c r="M700" s="6" t="s">
        <v>5</v>
      </c>
      <c r="N700" s="6" t="s">
        <v>5</v>
      </c>
      <c r="O700" s="5" t="s">
        <v>5</v>
      </c>
      <c r="P700" s="5" t="s">
        <v>5</v>
      </c>
      <c r="Q700" s="7">
        <v>4</v>
      </c>
      <c r="R700" s="6" t="s">
        <v>5</v>
      </c>
      <c r="S700" s="6" t="s">
        <v>5</v>
      </c>
      <c r="T700" s="5" t="s">
        <v>5</v>
      </c>
      <c r="U700" s="8" t="s">
        <v>5</v>
      </c>
      <c r="V700" s="6" t="s">
        <v>5</v>
      </c>
      <c r="W700" s="8" t="s">
        <v>5</v>
      </c>
      <c r="X700" s="22">
        <v>0.438</v>
      </c>
      <c r="Y700" s="6" t="s">
        <v>5</v>
      </c>
      <c r="Z700" s="6" t="s">
        <v>5</v>
      </c>
      <c r="AA700" s="6" t="s">
        <v>5</v>
      </c>
      <c r="AB700" s="8" t="s">
        <v>5</v>
      </c>
      <c r="AC700" s="8" t="s">
        <v>5</v>
      </c>
      <c r="AD700" s="6" t="s">
        <v>5</v>
      </c>
      <c r="AE700" s="7">
        <v>2.38</v>
      </c>
      <c r="AF700" s="6" t="s">
        <v>5</v>
      </c>
      <c r="AG700" s="6" t="s">
        <v>5</v>
      </c>
      <c r="AH700" s="7">
        <v>1.71</v>
      </c>
      <c r="AI700" s="6" t="s">
        <v>5</v>
      </c>
      <c r="AJ700" s="4">
        <v>16</v>
      </c>
      <c r="AK700" s="6" t="s">
        <v>5</v>
      </c>
      <c r="AL700" s="6" t="s">
        <v>5</v>
      </c>
      <c r="AM700" s="6" t="s">
        <v>5</v>
      </c>
      <c r="AN700" s="6" t="s">
        <v>5</v>
      </c>
      <c r="AO700" s="4">
        <v>47.2</v>
      </c>
      <c r="AP700" s="4">
        <v>18.100000000000001</v>
      </c>
      <c r="AQ700" s="4">
        <v>10.199999999999999</v>
      </c>
      <c r="AR700" s="7">
        <v>2.2599999999999998</v>
      </c>
      <c r="AS700" s="6">
        <v>22.2</v>
      </c>
      <c r="AT700" s="6">
        <v>9.94</v>
      </c>
      <c r="AU700" s="7">
        <v>5.3</v>
      </c>
      <c r="AV700" s="7">
        <v>1.55</v>
      </c>
      <c r="AW700" s="6" t="s">
        <v>5</v>
      </c>
      <c r="AX700" s="6" t="s">
        <v>5</v>
      </c>
      <c r="AY700" s="6" t="s">
        <v>5</v>
      </c>
      <c r="AZ700" s="6" t="s">
        <v>5</v>
      </c>
      <c r="BA700" s="6" t="s">
        <v>5</v>
      </c>
      <c r="BB700" s="6" t="s">
        <v>5</v>
      </c>
      <c r="BC700" s="6" t="s">
        <v>5</v>
      </c>
      <c r="BD700" s="6" t="s">
        <v>5</v>
      </c>
      <c r="BE700" s="6" t="s">
        <v>5</v>
      </c>
      <c r="BF700" s="6" t="s">
        <v>5</v>
      </c>
      <c r="BG700" s="6" t="s">
        <v>5</v>
      </c>
      <c r="BH700" s="6" t="s">
        <v>5</v>
      </c>
      <c r="BI700" s="7">
        <v>3.49</v>
      </c>
      <c r="BJ700" s="22">
        <v>0.61699999999999999</v>
      </c>
      <c r="BK700" s="6" t="s">
        <v>5</v>
      </c>
      <c r="BL700" s="2" t="s">
        <v>5</v>
      </c>
      <c r="BM700" s="2" t="s">
        <v>5</v>
      </c>
      <c r="BN700" s="2" t="s">
        <v>5</v>
      </c>
      <c r="BO700" s="2" t="s">
        <v>5</v>
      </c>
      <c r="BP700" s="2" t="s">
        <v>5</v>
      </c>
      <c r="BQ700" s="2" t="s">
        <v>5</v>
      </c>
      <c r="BR700" s="2" t="s">
        <v>5</v>
      </c>
      <c r="BS700" s="2" t="s">
        <v>5</v>
      </c>
      <c r="BT700" s="2" t="s">
        <v>5</v>
      </c>
      <c r="BU700" s="2" t="s">
        <v>5</v>
      </c>
      <c r="BV700" s="2" t="s">
        <v>5</v>
      </c>
      <c r="BW700" s="2" t="s">
        <v>5</v>
      </c>
      <c r="BX700" s="2" t="s">
        <v>5</v>
      </c>
      <c r="BY700" s="25" t="s">
        <v>5</v>
      </c>
      <c r="BZ700" s="25" t="s">
        <v>5</v>
      </c>
      <c r="CA700" s="6" t="s">
        <v>5</v>
      </c>
      <c r="CB700" s="6" t="s">
        <v>5</v>
      </c>
      <c r="CC700" s="6" t="s">
        <v>5</v>
      </c>
      <c r="CD700" s="6" t="s">
        <v>5</v>
      </c>
      <c r="CE700" s="6" t="s">
        <v>5</v>
      </c>
      <c r="CF700" s="16" t="s">
        <v>5</v>
      </c>
      <c r="CG700" s="16" t="s">
        <v>5</v>
      </c>
      <c r="CH700" s="18" t="s">
        <v>5</v>
      </c>
    </row>
    <row r="701" spans="2:86">
      <c r="B701" s="78" t="s">
        <v>473</v>
      </c>
      <c r="C701" s="79" t="s">
        <v>801</v>
      </c>
      <c r="D701" s="80" t="s">
        <v>801</v>
      </c>
      <c r="E701" s="1" t="s">
        <v>4</v>
      </c>
      <c r="F701" s="4">
        <v>31.4</v>
      </c>
      <c r="G701" s="7">
        <v>9.26</v>
      </c>
      <c r="H701" s="3" t="str">
        <f t="shared" si="29"/>
        <v>2L7X4X7/16X3/4LLBB</v>
      </c>
      <c r="I701" s="7">
        <v>7</v>
      </c>
      <c r="J701" s="5" t="s">
        <v>5</v>
      </c>
      <c r="K701" s="6" t="s">
        <v>5</v>
      </c>
      <c r="L701" s="6" t="s">
        <v>5</v>
      </c>
      <c r="M701" s="6" t="s">
        <v>5</v>
      </c>
      <c r="N701" s="6" t="s">
        <v>5</v>
      </c>
      <c r="O701" s="5" t="s">
        <v>5</v>
      </c>
      <c r="P701" s="5" t="s">
        <v>5</v>
      </c>
      <c r="Q701" s="7">
        <v>4</v>
      </c>
      <c r="R701" s="6" t="s">
        <v>5</v>
      </c>
      <c r="S701" s="6" t="s">
        <v>5</v>
      </c>
      <c r="T701" s="5" t="s">
        <v>5</v>
      </c>
      <c r="U701" s="8" t="s">
        <v>5</v>
      </c>
      <c r="V701" s="6" t="s">
        <v>5</v>
      </c>
      <c r="W701" s="8" t="s">
        <v>5</v>
      </c>
      <c r="X701" s="22">
        <v>0.438</v>
      </c>
      <c r="Y701" s="6" t="s">
        <v>5</v>
      </c>
      <c r="Z701" s="6" t="s">
        <v>5</v>
      </c>
      <c r="AA701" s="6" t="s">
        <v>5</v>
      </c>
      <c r="AB701" s="8" t="s">
        <v>5</v>
      </c>
      <c r="AC701" s="8" t="s">
        <v>5</v>
      </c>
      <c r="AD701" s="6" t="s">
        <v>5</v>
      </c>
      <c r="AE701" s="7">
        <v>2.38</v>
      </c>
      <c r="AF701" s="6" t="s">
        <v>5</v>
      </c>
      <c r="AG701" s="6" t="s">
        <v>5</v>
      </c>
      <c r="AH701" s="7">
        <v>1.71</v>
      </c>
      <c r="AI701" s="6" t="s">
        <v>5</v>
      </c>
      <c r="AJ701" s="4">
        <v>16</v>
      </c>
      <c r="AK701" s="6" t="s">
        <v>5</v>
      </c>
      <c r="AL701" s="6" t="s">
        <v>5</v>
      </c>
      <c r="AM701" s="6" t="s">
        <v>5</v>
      </c>
      <c r="AN701" s="6" t="s">
        <v>5</v>
      </c>
      <c r="AO701" s="4">
        <v>47.2</v>
      </c>
      <c r="AP701" s="4">
        <v>18.100000000000001</v>
      </c>
      <c r="AQ701" s="4">
        <v>10.199999999999999</v>
      </c>
      <c r="AR701" s="7">
        <v>2.2599999999999998</v>
      </c>
      <c r="AS701" s="6">
        <v>26.1</v>
      </c>
      <c r="AT701" s="6">
        <v>11.7</v>
      </c>
      <c r="AU701" s="6">
        <v>5.97</v>
      </c>
      <c r="AV701" s="7">
        <v>1.68</v>
      </c>
      <c r="AW701" s="6" t="s">
        <v>5</v>
      </c>
      <c r="AX701" s="6" t="s">
        <v>5</v>
      </c>
      <c r="AY701" s="6" t="s">
        <v>5</v>
      </c>
      <c r="AZ701" s="6" t="s">
        <v>5</v>
      </c>
      <c r="BA701" s="6" t="s">
        <v>5</v>
      </c>
      <c r="BB701" s="6" t="s">
        <v>5</v>
      </c>
      <c r="BC701" s="6" t="s">
        <v>5</v>
      </c>
      <c r="BD701" s="6" t="s">
        <v>5</v>
      </c>
      <c r="BE701" s="6" t="s">
        <v>5</v>
      </c>
      <c r="BF701" s="6" t="s">
        <v>5</v>
      </c>
      <c r="BG701" s="6" t="s">
        <v>5</v>
      </c>
      <c r="BH701" s="6" t="s">
        <v>5</v>
      </c>
      <c r="BI701" s="7">
        <v>3.55</v>
      </c>
      <c r="BJ701" s="22">
        <v>0.63</v>
      </c>
      <c r="BK701" s="6" t="s">
        <v>5</v>
      </c>
      <c r="BL701" s="2" t="s">
        <v>5</v>
      </c>
      <c r="BM701" s="2" t="s">
        <v>5</v>
      </c>
      <c r="BN701" s="2" t="s">
        <v>5</v>
      </c>
      <c r="BO701" s="2" t="s">
        <v>5</v>
      </c>
      <c r="BP701" s="2" t="s">
        <v>5</v>
      </c>
      <c r="BQ701" s="2" t="s">
        <v>5</v>
      </c>
      <c r="BR701" s="2" t="s">
        <v>5</v>
      </c>
      <c r="BS701" s="2" t="s">
        <v>5</v>
      </c>
      <c r="BT701" s="2" t="s">
        <v>5</v>
      </c>
      <c r="BU701" s="2" t="s">
        <v>5</v>
      </c>
      <c r="BV701" s="2" t="s">
        <v>5</v>
      </c>
      <c r="BW701" s="2" t="s">
        <v>5</v>
      </c>
      <c r="BX701" s="2" t="s">
        <v>5</v>
      </c>
      <c r="BY701" s="25" t="s">
        <v>5</v>
      </c>
      <c r="BZ701" s="25" t="s">
        <v>5</v>
      </c>
      <c r="CA701" s="6" t="s">
        <v>5</v>
      </c>
      <c r="CB701" s="6" t="s">
        <v>5</v>
      </c>
      <c r="CC701" s="6" t="s">
        <v>5</v>
      </c>
      <c r="CD701" s="6" t="s">
        <v>5</v>
      </c>
      <c r="CE701" s="6" t="s">
        <v>5</v>
      </c>
      <c r="CF701" s="16" t="s">
        <v>5</v>
      </c>
      <c r="CG701" s="16" t="s">
        <v>5</v>
      </c>
      <c r="CH701" s="18" t="s">
        <v>5</v>
      </c>
    </row>
    <row r="702" spans="2:86">
      <c r="B702" s="78" t="s">
        <v>473</v>
      </c>
      <c r="C702" s="79" t="s">
        <v>802</v>
      </c>
      <c r="D702" s="80" t="s">
        <v>802</v>
      </c>
      <c r="E702" s="1" t="s">
        <v>4</v>
      </c>
      <c r="F702" s="4">
        <v>27.2</v>
      </c>
      <c r="G702" s="7">
        <v>8</v>
      </c>
      <c r="H702" s="3" t="str">
        <f t="shared" si="29"/>
        <v>2L7X4X3/8LLBB</v>
      </c>
      <c r="I702" s="7">
        <v>7</v>
      </c>
      <c r="J702" s="5" t="s">
        <v>5</v>
      </c>
      <c r="K702" s="6" t="s">
        <v>5</v>
      </c>
      <c r="L702" s="6" t="s">
        <v>5</v>
      </c>
      <c r="M702" s="6" t="s">
        <v>5</v>
      </c>
      <c r="N702" s="6" t="s">
        <v>5</v>
      </c>
      <c r="O702" s="5" t="s">
        <v>5</v>
      </c>
      <c r="P702" s="5" t="s">
        <v>5</v>
      </c>
      <c r="Q702" s="7">
        <v>4</v>
      </c>
      <c r="R702" s="6" t="s">
        <v>5</v>
      </c>
      <c r="S702" s="6" t="s">
        <v>5</v>
      </c>
      <c r="T702" s="5" t="s">
        <v>5</v>
      </c>
      <c r="U702" s="8" t="s">
        <v>5</v>
      </c>
      <c r="V702" s="6" t="s">
        <v>5</v>
      </c>
      <c r="W702" s="8" t="s">
        <v>5</v>
      </c>
      <c r="X702" s="22">
        <v>0.375</v>
      </c>
      <c r="Y702" s="6" t="s">
        <v>5</v>
      </c>
      <c r="Z702" s="6" t="s">
        <v>5</v>
      </c>
      <c r="AA702" s="6" t="s">
        <v>5</v>
      </c>
      <c r="AB702" s="8" t="s">
        <v>5</v>
      </c>
      <c r="AC702" s="8" t="s">
        <v>5</v>
      </c>
      <c r="AD702" s="6" t="s">
        <v>5</v>
      </c>
      <c r="AE702" s="7">
        <v>2.35</v>
      </c>
      <c r="AF702" s="6" t="s">
        <v>5</v>
      </c>
      <c r="AG702" s="6" t="s">
        <v>5</v>
      </c>
      <c r="AH702" s="7">
        <v>1.67</v>
      </c>
      <c r="AI702" s="6" t="s">
        <v>5</v>
      </c>
      <c r="AJ702" s="4">
        <v>18.7</v>
      </c>
      <c r="AK702" s="6" t="s">
        <v>5</v>
      </c>
      <c r="AL702" s="6" t="s">
        <v>5</v>
      </c>
      <c r="AM702" s="6" t="s">
        <v>5</v>
      </c>
      <c r="AN702" s="6" t="s">
        <v>5</v>
      </c>
      <c r="AO702" s="4">
        <v>41</v>
      </c>
      <c r="AP702" s="4">
        <v>15.6</v>
      </c>
      <c r="AQ702" s="7">
        <v>8.84</v>
      </c>
      <c r="AR702" s="7">
        <v>2.27</v>
      </c>
      <c r="AS702" s="6">
        <v>16.100000000000001</v>
      </c>
      <c r="AT702" s="6">
        <v>6.89</v>
      </c>
      <c r="AU702" s="6">
        <v>4.03</v>
      </c>
      <c r="AV702" s="7">
        <v>1.42</v>
      </c>
      <c r="AW702" s="6" t="s">
        <v>5</v>
      </c>
      <c r="AX702" s="6" t="s">
        <v>5</v>
      </c>
      <c r="AY702" s="6" t="s">
        <v>5</v>
      </c>
      <c r="AZ702" s="6" t="s">
        <v>5</v>
      </c>
      <c r="BA702" s="6" t="s">
        <v>5</v>
      </c>
      <c r="BB702" s="6" t="s">
        <v>5</v>
      </c>
      <c r="BC702" s="6" t="s">
        <v>5</v>
      </c>
      <c r="BD702" s="6" t="s">
        <v>5</v>
      </c>
      <c r="BE702" s="6" t="s">
        <v>5</v>
      </c>
      <c r="BF702" s="6" t="s">
        <v>5</v>
      </c>
      <c r="BG702" s="6" t="s">
        <v>5</v>
      </c>
      <c r="BH702" s="6" t="s">
        <v>5</v>
      </c>
      <c r="BI702" s="7">
        <v>3.44</v>
      </c>
      <c r="BJ702" s="22">
        <v>0.60499999999999998</v>
      </c>
      <c r="BK702" s="6" t="s">
        <v>5</v>
      </c>
      <c r="BL702" s="2" t="s">
        <v>5</v>
      </c>
      <c r="BM702" s="2" t="s">
        <v>5</v>
      </c>
      <c r="BN702" s="2" t="s">
        <v>5</v>
      </c>
      <c r="BO702" s="2" t="s">
        <v>5</v>
      </c>
      <c r="BP702" s="2" t="s">
        <v>5</v>
      </c>
      <c r="BQ702" s="2" t="s">
        <v>5</v>
      </c>
      <c r="BR702" s="2" t="s">
        <v>5</v>
      </c>
      <c r="BS702" s="2" t="s">
        <v>5</v>
      </c>
      <c r="BT702" s="2" t="s">
        <v>5</v>
      </c>
      <c r="BU702" s="2" t="s">
        <v>5</v>
      </c>
      <c r="BV702" s="2" t="s">
        <v>5</v>
      </c>
      <c r="BW702" s="2" t="s">
        <v>5</v>
      </c>
      <c r="BX702" s="2" t="s">
        <v>5</v>
      </c>
      <c r="BY702" s="25" t="s">
        <v>5</v>
      </c>
      <c r="BZ702" s="25" t="s">
        <v>5</v>
      </c>
      <c r="CA702" s="6" t="s">
        <v>5</v>
      </c>
      <c r="CB702" s="6" t="s">
        <v>5</v>
      </c>
      <c r="CC702" s="6" t="s">
        <v>5</v>
      </c>
      <c r="CD702" s="6" t="s">
        <v>5</v>
      </c>
      <c r="CE702" s="6" t="s">
        <v>5</v>
      </c>
      <c r="CF702" s="16" t="s">
        <v>5</v>
      </c>
      <c r="CG702" s="16" t="s">
        <v>5</v>
      </c>
      <c r="CH702" s="18" t="s">
        <v>5</v>
      </c>
    </row>
    <row r="703" spans="2:86">
      <c r="B703" s="78" t="s">
        <v>473</v>
      </c>
      <c r="C703" s="79" t="s">
        <v>803</v>
      </c>
      <c r="D703" s="80" t="s">
        <v>803</v>
      </c>
      <c r="E703" s="1" t="s">
        <v>4</v>
      </c>
      <c r="F703" s="4">
        <v>27.2</v>
      </c>
      <c r="G703" s="7">
        <v>8</v>
      </c>
      <c r="H703" s="3" t="str">
        <f t="shared" si="29"/>
        <v>2L7X4X3/8X3/8LLBB</v>
      </c>
      <c r="I703" s="7">
        <v>7</v>
      </c>
      <c r="J703" s="5" t="s">
        <v>5</v>
      </c>
      <c r="K703" s="6" t="s">
        <v>5</v>
      </c>
      <c r="L703" s="6" t="s">
        <v>5</v>
      </c>
      <c r="M703" s="6" t="s">
        <v>5</v>
      </c>
      <c r="N703" s="6" t="s">
        <v>5</v>
      </c>
      <c r="O703" s="5" t="s">
        <v>5</v>
      </c>
      <c r="P703" s="5" t="s">
        <v>5</v>
      </c>
      <c r="Q703" s="7">
        <v>4</v>
      </c>
      <c r="R703" s="6" t="s">
        <v>5</v>
      </c>
      <c r="S703" s="6" t="s">
        <v>5</v>
      </c>
      <c r="T703" s="5" t="s">
        <v>5</v>
      </c>
      <c r="U703" s="8" t="s">
        <v>5</v>
      </c>
      <c r="V703" s="6" t="s">
        <v>5</v>
      </c>
      <c r="W703" s="8" t="s">
        <v>5</v>
      </c>
      <c r="X703" s="22">
        <v>0.375</v>
      </c>
      <c r="Y703" s="6" t="s">
        <v>5</v>
      </c>
      <c r="Z703" s="6" t="s">
        <v>5</v>
      </c>
      <c r="AA703" s="6" t="s">
        <v>5</v>
      </c>
      <c r="AB703" s="8" t="s">
        <v>5</v>
      </c>
      <c r="AC703" s="8" t="s">
        <v>5</v>
      </c>
      <c r="AD703" s="6" t="s">
        <v>5</v>
      </c>
      <c r="AE703" s="7">
        <v>2.35</v>
      </c>
      <c r="AF703" s="6" t="s">
        <v>5</v>
      </c>
      <c r="AG703" s="6" t="s">
        <v>5</v>
      </c>
      <c r="AH703" s="7">
        <v>1.67</v>
      </c>
      <c r="AI703" s="6" t="s">
        <v>5</v>
      </c>
      <c r="AJ703" s="4">
        <v>18.7</v>
      </c>
      <c r="AK703" s="6" t="s">
        <v>5</v>
      </c>
      <c r="AL703" s="6" t="s">
        <v>5</v>
      </c>
      <c r="AM703" s="6" t="s">
        <v>5</v>
      </c>
      <c r="AN703" s="6" t="s">
        <v>5</v>
      </c>
      <c r="AO703" s="4">
        <v>41</v>
      </c>
      <c r="AP703" s="4">
        <v>15.6</v>
      </c>
      <c r="AQ703" s="7">
        <v>8.84</v>
      </c>
      <c r="AR703" s="7">
        <v>2.27</v>
      </c>
      <c r="AS703" s="4">
        <v>19</v>
      </c>
      <c r="AT703" s="6">
        <v>8.39</v>
      </c>
      <c r="AU703" s="6">
        <v>4.54</v>
      </c>
      <c r="AV703" s="7">
        <v>1.54</v>
      </c>
      <c r="AW703" s="6" t="s">
        <v>5</v>
      </c>
      <c r="AX703" s="6" t="s">
        <v>5</v>
      </c>
      <c r="AY703" s="6" t="s">
        <v>5</v>
      </c>
      <c r="AZ703" s="6" t="s">
        <v>5</v>
      </c>
      <c r="BA703" s="6" t="s">
        <v>5</v>
      </c>
      <c r="BB703" s="6" t="s">
        <v>5</v>
      </c>
      <c r="BC703" s="6" t="s">
        <v>5</v>
      </c>
      <c r="BD703" s="6" t="s">
        <v>5</v>
      </c>
      <c r="BE703" s="6" t="s">
        <v>5</v>
      </c>
      <c r="BF703" s="6" t="s">
        <v>5</v>
      </c>
      <c r="BG703" s="6" t="s">
        <v>5</v>
      </c>
      <c r="BH703" s="6" t="s">
        <v>5</v>
      </c>
      <c r="BI703" s="7">
        <v>3.49</v>
      </c>
      <c r="BJ703" s="22">
        <v>0.61599999999999999</v>
      </c>
      <c r="BK703" s="6" t="s">
        <v>5</v>
      </c>
      <c r="BL703" s="2" t="s">
        <v>5</v>
      </c>
      <c r="BM703" s="2" t="s">
        <v>5</v>
      </c>
      <c r="BN703" s="2" t="s">
        <v>5</v>
      </c>
      <c r="BO703" s="2" t="s">
        <v>5</v>
      </c>
      <c r="BP703" s="2" t="s">
        <v>5</v>
      </c>
      <c r="BQ703" s="2" t="s">
        <v>5</v>
      </c>
      <c r="BR703" s="2" t="s">
        <v>5</v>
      </c>
      <c r="BS703" s="2" t="s">
        <v>5</v>
      </c>
      <c r="BT703" s="2" t="s">
        <v>5</v>
      </c>
      <c r="BU703" s="2" t="s">
        <v>5</v>
      </c>
      <c r="BV703" s="2" t="s">
        <v>5</v>
      </c>
      <c r="BW703" s="2" t="s">
        <v>5</v>
      </c>
      <c r="BX703" s="2" t="s">
        <v>5</v>
      </c>
      <c r="BY703" s="25" t="s">
        <v>5</v>
      </c>
      <c r="BZ703" s="25" t="s">
        <v>5</v>
      </c>
      <c r="CA703" s="6" t="s">
        <v>5</v>
      </c>
      <c r="CB703" s="6" t="s">
        <v>5</v>
      </c>
      <c r="CC703" s="6" t="s">
        <v>5</v>
      </c>
      <c r="CD703" s="6" t="s">
        <v>5</v>
      </c>
      <c r="CE703" s="6" t="s">
        <v>5</v>
      </c>
      <c r="CF703" s="16" t="s">
        <v>5</v>
      </c>
      <c r="CG703" s="16" t="s">
        <v>5</v>
      </c>
      <c r="CH703" s="18" t="s">
        <v>5</v>
      </c>
    </row>
    <row r="704" spans="2:86">
      <c r="B704" s="78" t="s">
        <v>473</v>
      </c>
      <c r="C704" s="79" t="s">
        <v>804</v>
      </c>
      <c r="D704" s="80" t="s">
        <v>804</v>
      </c>
      <c r="E704" s="1" t="s">
        <v>4</v>
      </c>
      <c r="F704" s="4">
        <v>27.2</v>
      </c>
      <c r="G704" s="7">
        <v>8</v>
      </c>
      <c r="H704" s="3" t="str">
        <f t="shared" si="29"/>
        <v>2L7X4X3/8X3/4LLBB</v>
      </c>
      <c r="I704" s="7">
        <v>7</v>
      </c>
      <c r="J704" s="5" t="s">
        <v>5</v>
      </c>
      <c r="K704" s="6" t="s">
        <v>5</v>
      </c>
      <c r="L704" s="6" t="s">
        <v>5</v>
      </c>
      <c r="M704" s="6" t="s">
        <v>5</v>
      </c>
      <c r="N704" s="6" t="s">
        <v>5</v>
      </c>
      <c r="O704" s="5" t="s">
        <v>5</v>
      </c>
      <c r="P704" s="5" t="s">
        <v>5</v>
      </c>
      <c r="Q704" s="7">
        <v>4</v>
      </c>
      <c r="R704" s="6" t="s">
        <v>5</v>
      </c>
      <c r="S704" s="6" t="s">
        <v>5</v>
      </c>
      <c r="T704" s="5" t="s">
        <v>5</v>
      </c>
      <c r="U704" s="8" t="s">
        <v>5</v>
      </c>
      <c r="V704" s="6" t="s">
        <v>5</v>
      </c>
      <c r="W704" s="8" t="s">
        <v>5</v>
      </c>
      <c r="X704" s="22">
        <v>0.375</v>
      </c>
      <c r="Y704" s="6" t="s">
        <v>5</v>
      </c>
      <c r="Z704" s="6" t="s">
        <v>5</v>
      </c>
      <c r="AA704" s="6" t="s">
        <v>5</v>
      </c>
      <c r="AB704" s="8" t="s">
        <v>5</v>
      </c>
      <c r="AC704" s="8" t="s">
        <v>5</v>
      </c>
      <c r="AD704" s="6" t="s">
        <v>5</v>
      </c>
      <c r="AE704" s="7">
        <v>2.35</v>
      </c>
      <c r="AF704" s="6" t="s">
        <v>5</v>
      </c>
      <c r="AG704" s="6" t="s">
        <v>5</v>
      </c>
      <c r="AH704" s="7">
        <v>1.67</v>
      </c>
      <c r="AI704" s="6" t="s">
        <v>5</v>
      </c>
      <c r="AJ704" s="4">
        <v>18.7</v>
      </c>
      <c r="AK704" s="6" t="s">
        <v>5</v>
      </c>
      <c r="AL704" s="6" t="s">
        <v>5</v>
      </c>
      <c r="AM704" s="6" t="s">
        <v>5</v>
      </c>
      <c r="AN704" s="6" t="s">
        <v>5</v>
      </c>
      <c r="AO704" s="4">
        <v>41</v>
      </c>
      <c r="AP704" s="4">
        <v>15.6</v>
      </c>
      <c r="AQ704" s="7">
        <v>8.84</v>
      </c>
      <c r="AR704" s="7">
        <v>2.27</v>
      </c>
      <c r="AS704" s="6">
        <v>22.3</v>
      </c>
      <c r="AT704" s="6">
        <v>9.89</v>
      </c>
      <c r="AU704" s="7">
        <v>5.0999999999999996</v>
      </c>
      <c r="AV704" s="7">
        <v>1.67</v>
      </c>
      <c r="AW704" s="6" t="s">
        <v>5</v>
      </c>
      <c r="AX704" s="6" t="s">
        <v>5</v>
      </c>
      <c r="AY704" s="6" t="s">
        <v>5</v>
      </c>
      <c r="AZ704" s="6" t="s">
        <v>5</v>
      </c>
      <c r="BA704" s="6" t="s">
        <v>5</v>
      </c>
      <c r="BB704" s="6" t="s">
        <v>5</v>
      </c>
      <c r="BC704" s="6" t="s">
        <v>5</v>
      </c>
      <c r="BD704" s="6" t="s">
        <v>5</v>
      </c>
      <c r="BE704" s="6" t="s">
        <v>5</v>
      </c>
      <c r="BF704" s="6" t="s">
        <v>5</v>
      </c>
      <c r="BG704" s="6" t="s">
        <v>5</v>
      </c>
      <c r="BH704" s="6" t="s">
        <v>5</v>
      </c>
      <c r="BI704" s="7">
        <v>3.55</v>
      </c>
      <c r="BJ704" s="22">
        <v>0.629</v>
      </c>
      <c r="BK704" s="6" t="s">
        <v>5</v>
      </c>
      <c r="BL704" s="2" t="s">
        <v>5</v>
      </c>
      <c r="BM704" s="2" t="s">
        <v>5</v>
      </c>
      <c r="BN704" s="2" t="s">
        <v>5</v>
      </c>
      <c r="BO704" s="2" t="s">
        <v>5</v>
      </c>
      <c r="BP704" s="2" t="s">
        <v>5</v>
      </c>
      <c r="BQ704" s="2" t="s">
        <v>5</v>
      </c>
      <c r="BR704" s="2" t="s">
        <v>5</v>
      </c>
      <c r="BS704" s="2" t="s">
        <v>5</v>
      </c>
      <c r="BT704" s="2" t="s">
        <v>5</v>
      </c>
      <c r="BU704" s="2" t="s">
        <v>5</v>
      </c>
      <c r="BV704" s="2" t="s">
        <v>5</v>
      </c>
      <c r="BW704" s="2" t="s">
        <v>5</v>
      </c>
      <c r="BX704" s="2" t="s">
        <v>5</v>
      </c>
      <c r="BY704" s="25" t="s">
        <v>5</v>
      </c>
      <c r="BZ704" s="25" t="s">
        <v>5</v>
      </c>
      <c r="CA704" s="6" t="s">
        <v>5</v>
      </c>
      <c r="CB704" s="6" t="s">
        <v>5</v>
      </c>
      <c r="CC704" s="6" t="s">
        <v>5</v>
      </c>
      <c r="CD704" s="6" t="s">
        <v>5</v>
      </c>
      <c r="CE704" s="6" t="s">
        <v>5</v>
      </c>
      <c r="CF704" s="16" t="s">
        <v>5</v>
      </c>
      <c r="CG704" s="16" t="s">
        <v>5</v>
      </c>
      <c r="CH704" s="18" t="s">
        <v>5</v>
      </c>
    </row>
    <row r="705" spans="2:86">
      <c r="B705" s="78" t="s">
        <v>473</v>
      </c>
      <c r="C705" s="79" t="s">
        <v>805</v>
      </c>
      <c r="D705" s="80" t="s">
        <v>805</v>
      </c>
      <c r="E705" s="1" t="s">
        <v>4</v>
      </c>
      <c r="F705" s="4">
        <v>54.4</v>
      </c>
      <c r="G705" s="4">
        <v>16</v>
      </c>
      <c r="H705" s="3" t="str">
        <f t="shared" si="29"/>
        <v>2L6X4X7/8LLBB</v>
      </c>
      <c r="I705" s="7">
        <v>6</v>
      </c>
      <c r="J705" s="5" t="s">
        <v>5</v>
      </c>
      <c r="K705" s="6" t="s">
        <v>5</v>
      </c>
      <c r="L705" s="6" t="s">
        <v>5</v>
      </c>
      <c r="M705" s="6" t="s">
        <v>5</v>
      </c>
      <c r="N705" s="6" t="s">
        <v>5</v>
      </c>
      <c r="O705" s="5" t="s">
        <v>5</v>
      </c>
      <c r="P705" s="5" t="s">
        <v>5</v>
      </c>
      <c r="Q705" s="7">
        <v>4</v>
      </c>
      <c r="R705" s="6" t="s">
        <v>5</v>
      </c>
      <c r="S705" s="6" t="s">
        <v>5</v>
      </c>
      <c r="T705" s="5" t="s">
        <v>5</v>
      </c>
      <c r="U705" s="8" t="s">
        <v>5</v>
      </c>
      <c r="V705" s="6" t="s">
        <v>5</v>
      </c>
      <c r="W705" s="8" t="s">
        <v>5</v>
      </c>
      <c r="X705" s="22">
        <v>0.875</v>
      </c>
      <c r="Y705" s="6" t="s">
        <v>5</v>
      </c>
      <c r="Z705" s="6" t="s">
        <v>5</v>
      </c>
      <c r="AA705" s="6" t="s">
        <v>5</v>
      </c>
      <c r="AB705" s="8" t="s">
        <v>5</v>
      </c>
      <c r="AC705" s="8" t="s">
        <v>5</v>
      </c>
      <c r="AD705" s="6" t="s">
        <v>5</v>
      </c>
      <c r="AE705" s="7">
        <v>2.12</v>
      </c>
      <c r="AF705" s="6" t="s">
        <v>5</v>
      </c>
      <c r="AG705" s="6" t="s">
        <v>5</v>
      </c>
      <c r="AH705" s="7">
        <v>1.43</v>
      </c>
      <c r="AI705" s="6" t="s">
        <v>5</v>
      </c>
      <c r="AJ705" s="7">
        <v>6.86</v>
      </c>
      <c r="AK705" s="6" t="s">
        <v>5</v>
      </c>
      <c r="AL705" s="6" t="s">
        <v>5</v>
      </c>
      <c r="AM705" s="6" t="s">
        <v>5</v>
      </c>
      <c r="AN705" s="6" t="s">
        <v>5</v>
      </c>
      <c r="AO705" s="4">
        <v>55.4</v>
      </c>
      <c r="AP705" s="4">
        <v>25.4</v>
      </c>
      <c r="AQ705" s="4">
        <v>14.3</v>
      </c>
      <c r="AR705" s="7">
        <v>1.86</v>
      </c>
      <c r="AS705" s="6">
        <v>39.4</v>
      </c>
      <c r="AT705" s="6">
        <v>17.899999999999999</v>
      </c>
      <c r="AU705" s="6">
        <v>9.85</v>
      </c>
      <c r="AV705" s="7">
        <v>1.57</v>
      </c>
      <c r="AW705" s="6" t="s">
        <v>5</v>
      </c>
      <c r="AX705" s="6" t="s">
        <v>5</v>
      </c>
      <c r="AY705" s="6" t="s">
        <v>5</v>
      </c>
      <c r="AZ705" s="6" t="s">
        <v>5</v>
      </c>
      <c r="BA705" s="6" t="s">
        <v>5</v>
      </c>
      <c r="BB705" s="6" t="s">
        <v>5</v>
      </c>
      <c r="BC705" s="6" t="s">
        <v>5</v>
      </c>
      <c r="BD705" s="6" t="s">
        <v>5</v>
      </c>
      <c r="BE705" s="6" t="s">
        <v>5</v>
      </c>
      <c r="BF705" s="6" t="s">
        <v>5</v>
      </c>
      <c r="BG705" s="6" t="s">
        <v>5</v>
      </c>
      <c r="BH705" s="6" t="s">
        <v>5</v>
      </c>
      <c r="BI705" s="7">
        <v>2.96</v>
      </c>
      <c r="BJ705" s="22">
        <v>0.67800000000000005</v>
      </c>
      <c r="BK705" s="6" t="s">
        <v>5</v>
      </c>
      <c r="BL705" s="2" t="s">
        <v>5</v>
      </c>
      <c r="BM705" s="2" t="s">
        <v>5</v>
      </c>
      <c r="BN705" s="2" t="s">
        <v>5</v>
      </c>
      <c r="BO705" s="2" t="s">
        <v>5</v>
      </c>
      <c r="BP705" s="2" t="s">
        <v>5</v>
      </c>
      <c r="BQ705" s="2" t="s">
        <v>5</v>
      </c>
      <c r="BR705" s="2" t="s">
        <v>5</v>
      </c>
      <c r="BS705" s="2" t="s">
        <v>5</v>
      </c>
      <c r="BT705" s="2" t="s">
        <v>5</v>
      </c>
      <c r="BU705" s="2" t="s">
        <v>5</v>
      </c>
      <c r="BV705" s="2" t="s">
        <v>5</v>
      </c>
      <c r="BW705" s="2" t="s">
        <v>5</v>
      </c>
      <c r="BX705" s="2" t="s">
        <v>5</v>
      </c>
      <c r="BY705" s="25" t="s">
        <v>5</v>
      </c>
      <c r="BZ705" s="25" t="s">
        <v>5</v>
      </c>
      <c r="CA705" s="6" t="s">
        <v>5</v>
      </c>
      <c r="CB705" s="6" t="s">
        <v>5</v>
      </c>
      <c r="CC705" s="6" t="s">
        <v>5</v>
      </c>
      <c r="CD705" s="6" t="s">
        <v>5</v>
      </c>
      <c r="CE705" s="6" t="s">
        <v>5</v>
      </c>
      <c r="CF705" s="16" t="s">
        <v>5</v>
      </c>
      <c r="CG705" s="16" t="s">
        <v>5</v>
      </c>
      <c r="CH705" s="18" t="s">
        <v>5</v>
      </c>
    </row>
    <row r="706" spans="2:86">
      <c r="B706" s="78" t="s">
        <v>473</v>
      </c>
      <c r="C706" s="79" t="s">
        <v>806</v>
      </c>
      <c r="D706" s="80" t="s">
        <v>806</v>
      </c>
      <c r="E706" s="1" t="s">
        <v>4</v>
      </c>
      <c r="F706" s="4">
        <v>54.4</v>
      </c>
      <c r="G706" s="4">
        <v>16</v>
      </c>
      <c r="H706" s="3" t="str">
        <f t="shared" si="29"/>
        <v>2L6X4X7/8X3/8LLBB</v>
      </c>
      <c r="I706" s="7">
        <v>6</v>
      </c>
      <c r="J706" s="5" t="s">
        <v>5</v>
      </c>
      <c r="K706" s="6" t="s">
        <v>5</v>
      </c>
      <c r="L706" s="6" t="s">
        <v>5</v>
      </c>
      <c r="M706" s="6" t="s">
        <v>5</v>
      </c>
      <c r="N706" s="6" t="s">
        <v>5</v>
      </c>
      <c r="O706" s="5" t="s">
        <v>5</v>
      </c>
      <c r="P706" s="5" t="s">
        <v>5</v>
      </c>
      <c r="Q706" s="7">
        <v>4</v>
      </c>
      <c r="R706" s="6" t="s">
        <v>5</v>
      </c>
      <c r="S706" s="6" t="s">
        <v>5</v>
      </c>
      <c r="T706" s="5" t="s">
        <v>5</v>
      </c>
      <c r="U706" s="8" t="s">
        <v>5</v>
      </c>
      <c r="V706" s="6" t="s">
        <v>5</v>
      </c>
      <c r="W706" s="8" t="s">
        <v>5</v>
      </c>
      <c r="X706" s="22">
        <v>0.875</v>
      </c>
      <c r="Y706" s="6" t="s">
        <v>5</v>
      </c>
      <c r="Z706" s="6" t="s">
        <v>5</v>
      </c>
      <c r="AA706" s="6" t="s">
        <v>5</v>
      </c>
      <c r="AB706" s="8" t="s">
        <v>5</v>
      </c>
      <c r="AC706" s="8" t="s">
        <v>5</v>
      </c>
      <c r="AD706" s="6" t="s">
        <v>5</v>
      </c>
      <c r="AE706" s="7">
        <v>2.12</v>
      </c>
      <c r="AF706" s="6" t="s">
        <v>5</v>
      </c>
      <c r="AG706" s="6" t="s">
        <v>5</v>
      </c>
      <c r="AH706" s="7">
        <v>1.43</v>
      </c>
      <c r="AI706" s="6" t="s">
        <v>5</v>
      </c>
      <c r="AJ706" s="7">
        <v>6.86</v>
      </c>
      <c r="AK706" s="6" t="s">
        <v>5</v>
      </c>
      <c r="AL706" s="6" t="s">
        <v>5</v>
      </c>
      <c r="AM706" s="6" t="s">
        <v>5</v>
      </c>
      <c r="AN706" s="6" t="s">
        <v>5</v>
      </c>
      <c r="AO706" s="4">
        <v>55.4</v>
      </c>
      <c r="AP706" s="4">
        <v>25.4</v>
      </c>
      <c r="AQ706" s="4">
        <v>14.3</v>
      </c>
      <c r="AR706" s="7">
        <v>1.86</v>
      </c>
      <c r="AS706" s="6">
        <v>46.8</v>
      </c>
      <c r="AT706" s="6">
        <v>20.9</v>
      </c>
      <c r="AU706" s="6">
        <v>11.2</v>
      </c>
      <c r="AV706" s="7">
        <v>1.71</v>
      </c>
      <c r="AW706" s="6" t="s">
        <v>5</v>
      </c>
      <c r="AX706" s="6" t="s">
        <v>5</v>
      </c>
      <c r="AY706" s="6" t="s">
        <v>5</v>
      </c>
      <c r="AZ706" s="6" t="s">
        <v>5</v>
      </c>
      <c r="BA706" s="6" t="s">
        <v>5</v>
      </c>
      <c r="BB706" s="6" t="s">
        <v>5</v>
      </c>
      <c r="BC706" s="6" t="s">
        <v>5</v>
      </c>
      <c r="BD706" s="6" t="s">
        <v>5</v>
      </c>
      <c r="BE706" s="6" t="s">
        <v>5</v>
      </c>
      <c r="BF706" s="6" t="s">
        <v>5</v>
      </c>
      <c r="BG706" s="6" t="s">
        <v>5</v>
      </c>
      <c r="BH706" s="6" t="s">
        <v>5</v>
      </c>
      <c r="BI706" s="7">
        <v>3.04</v>
      </c>
      <c r="BJ706" s="22">
        <v>0.69399999999999995</v>
      </c>
      <c r="BK706" s="6" t="s">
        <v>5</v>
      </c>
      <c r="BL706" s="2" t="s">
        <v>5</v>
      </c>
      <c r="BM706" s="2" t="s">
        <v>5</v>
      </c>
      <c r="BN706" s="2" t="s">
        <v>5</v>
      </c>
      <c r="BO706" s="2" t="s">
        <v>5</v>
      </c>
      <c r="BP706" s="2" t="s">
        <v>5</v>
      </c>
      <c r="BQ706" s="2" t="s">
        <v>5</v>
      </c>
      <c r="BR706" s="2" t="s">
        <v>5</v>
      </c>
      <c r="BS706" s="2" t="s">
        <v>5</v>
      </c>
      <c r="BT706" s="2" t="s">
        <v>5</v>
      </c>
      <c r="BU706" s="2" t="s">
        <v>5</v>
      </c>
      <c r="BV706" s="2" t="s">
        <v>5</v>
      </c>
      <c r="BW706" s="2" t="s">
        <v>5</v>
      </c>
      <c r="BX706" s="2" t="s">
        <v>5</v>
      </c>
      <c r="BY706" s="25" t="s">
        <v>5</v>
      </c>
      <c r="BZ706" s="25" t="s">
        <v>5</v>
      </c>
      <c r="CA706" s="6" t="s">
        <v>5</v>
      </c>
      <c r="CB706" s="6" t="s">
        <v>5</v>
      </c>
      <c r="CC706" s="6" t="s">
        <v>5</v>
      </c>
      <c r="CD706" s="6" t="s">
        <v>5</v>
      </c>
      <c r="CE706" s="6" t="s">
        <v>5</v>
      </c>
      <c r="CF706" s="16" t="s">
        <v>5</v>
      </c>
      <c r="CG706" s="16" t="s">
        <v>5</v>
      </c>
      <c r="CH706" s="18" t="s">
        <v>5</v>
      </c>
    </row>
    <row r="707" spans="2:86">
      <c r="B707" s="78" t="s">
        <v>473</v>
      </c>
      <c r="C707" s="79" t="s">
        <v>807</v>
      </c>
      <c r="D707" s="80" t="s">
        <v>807</v>
      </c>
      <c r="E707" s="1" t="s">
        <v>4</v>
      </c>
      <c r="F707" s="4">
        <v>54.4</v>
      </c>
      <c r="G707" s="4">
        <v>16</v>
      </c>
      <c r="H707" s="3" t="str">
        <f t="shared" si="29"/>
        <v>2L6X4X7/8X3/4LLBB</v>
      </c>
      <c r="I707" s="7">
        <v>6</v>
      </c>
      <c r="J707" s="5" t="s">
        <v>5</v>
      </c>
      <c r="K707" s="6" t="s">
        <v>5</v>
      </c>
      <c r="L707" s="6" t="s">
        <v>5</v>
      </c>
      <c r="M707" s="6" t="s">
        <v>5</v>
      </c>
      <c r="N707" s="6" t="s">
        <v>5</v>
      </c>
      <c r="O707" s="5" t="s">
        <v>5</v>
      </c>
      <c r="P707" s="5" t="s">
        <v>5</v>
      </c>
      <c r="Q707" s="7">
        <v>4</v>
      </c>
      <c r="R707" s="6" t="s">
        <v>5</v>
      </c>
      <c r="S707" s="6" t="s">
        <v>5</v>
      </c>
      <c r="T707" s="5" t="s">
        <v>5</v>
      </c>
      <c r="U707" s="8" t="s">
        <v>5</v>
      </c>
      <c r="V707" s="6" t="s">
        <v>5</v>
      </c>
      <c r="W707" s="8" t="s">
        <v>5</v>
      </c>
      <c r="X707" s="22">
        <v>0.875</v>
      </c>
      <c r="Y707" s="6" t="s">
        <v>5</v>
      </c>
      <c r="Z707" s="6" t="s">
        <v>5</v>
      </c>
      <c r="AA707" s="6" t="s">
        <v>5</v>
      </c>
      <c r="AB707" s="8" t="s">
        <v>5</v>
      </c>
      <c r="AC707" s="8" t="s">
        <v>5</v>
      </c>
      <c r="AD707" s="6" t="s">
        <v>5</v>
      </c>
      <c r="AE707" s="7">
        <v>2.12</v>
      </c>
      <c r="AF707" s="6" t="s">
        <v>5</v>
      </c>
      <c r="AG707" s="6" t="s">
        <v>5</v>
      </c>
      <c r="AH707" s="7">
        <v>1.43</v>
      </c>
      <c r="AI707" s="6" t="s">
        <v>5</v>
      </c>
      <c r="AJ707" s="7">
        <v>6.86</v>
      </c>
      <c r="AK707" s="6" t="s">
        <v>5</v>
      </c>
      <c r="AL707" s="6" t="s">
        <v>5</v>
      </c>
      <c r="AM707" s="6" t="s">
        <v>5</v>
      </c>
      <c r="AN707" s="6" t="s">
        <v>5</v>
      </c>
      <c r="AO707" s="4">
        <v>55.4</v>
      </c>
      <c r="AP707" s="4">
        <v>25.4</v>
      </c>
      <c r="AQ707" s="4">
        <v>14.3</v>
      </c>
      <c r="AR707" s="7">
        <v>1.86</v>
      </c>
      <c r="AS707" s="6">
        <v>55.4</v>
      </c>
      <c r="AT707" s="6">
        <v>23.9</v>
      </c>
      <c r="AU707" s="6">
        <v>12.7</v>
      </c>
      <c r="AV707" s="7">
        <v>1.86</v>
      </c>
      <c r="AW707" s="6" t="s">
        <v>5</v>
      </c>
      <c r="AX707" s="6" t="s">
        <v>5</v>
      </c>
      <c r="AY707" s="6" t="s">
        <v>5</v>
      </c>
      <c r="AZ707" s="6" t="s">
        <v>5</v>
      </c>
      <c r="BA707" s="6" t="s">
        <v>5</v>
      </c>
      <c r="BB707" s="6" t="s">
        <v>5</v>
      </c>
      <c r="BC707" s="6" t="s">
        <v>5</v>
      </c>
      <c r="BD707" s="6" t="s">
        <v>5</v>
      </c>
      <c r="BE707" s="6" t="s">
        <v>5</v>
      </c>
      <c r="BF707" s="6" t="s">
        <v>5</v>
      </c>
      <c r="BG707" s="6" t="s">
        <v>5</v>
      </c>
      <c r="BH707" s="6" t="s">
        <v>5</v>
      </c>
      <c r="BI707" s="7">
        <v>3.12</v>
      </c>
      <c r="BJ707" s="22">
        <v>0.71</v>
      </c>
      <c r="BK707" s="6" t="s">
        <v>5</v>
      </c>
      <c r="BL707" s="2" t="s">
        <v>5</v>
      </c>
      <c r="BM707" s="2" t="s">
        <v>5</v>
      </c>
      <c r="BN707" s="2" t="s">
        <v>5</v>
      </c>
      <c r="BO707" s="2" t="s">
        <v>5</v>
      </c>
      <c r="BP707" s="2" t="s">
        <v>5</v>
      </c>
      <c r="BQ707" s="2" t="s">
        <v>5</v>
      </c>
      <c r="BR707" s="2" t="s">
        <v>5</v>
      </c>
      <c r="BS707" s="2" t="s">
        <v>5</v>
      </c>
      <c r="BT707" s="2" t="s">
        <v>5</v>
      </c>
      <c r="BU707" s="2" t="s">
        <v>5</v>
      </c>
      <c r="BV707" s="2" t="s">
        <v>5</v>
      </c>
      <c r="BW707" s="2" t="s">
        <v>5</v>
      </c>
      <c r="BX707" s="2" t="s">
        <v>5</v>
      </c>
      <c r="BY707" s="25" t="s">
        <v>5</v>
      </c>
      <c r="BZ707" s="25" t="s">
        <v>5</v>
      </c>
      <c r="CA707" s="6" t="s">
        <v>5</v>
      </c>
      <c r="CB707" s="6" t="s">
        <v>5</v>
      </c>
      <c r="CC707" s="6" t="s">
        <v>5</v>
      </c>
      <c r="CD707" s="6" t="s">
        <v>5</v>
      </c>
      <c r="CE707" s="6" t="s">
        <v>5</v>
      </c>
      <c r="CF707" s="16" t="s">
        <v>5</v>
      </c>
      <c r="CG707" s="16" t="s">
        <v>5</v>
      </c>
      <c r="CH707" s="18" t="s">
        <v>5</v>
      </c>
    </row>
    <row r="708" spans="2:86">
      <c r="B708" s="78" t="s">
        <v>473</v>
      </c>
      <c r="C708" s="79" t="s">
        <v>808</v>
      </c>
      <c r="D708" s="80" t="s">
        <v>808</v>
      </c>
      <c r="E708" s="1" t="s">
        <v>4</v>
      </c>
      <c r="F708" s="4">
        <v>47.2</v>
      </c>
      <c r="G708" s="4">
        <v>13.9</v>
      </c>
      <c r="H708" s="3" t="str">
        <f t="shared" ref="H708:H771" si="30">D708</f>
        <v>2L6X4X3/4LLBB</v>
      </c>
      <c r="I708" s="7">
        <v>6</v>
      </c>
      <c r="J708" s="5" t="s">
        <v>5</v>
      </c>
      <c r="K708" s="6" t="s">
        <v>5</v>
      </c>
      <c r="L708" s="6" t="s">
        <v>5</v>
      </c>
      <c r="M708" s="6" t="s">
        <v>5</v>
      </c>
      <c r="N708" s="6" t="s">
        <v>5</v>
      </c>
      <c r="O708" s="5" t="s">
        <v>5</v>
      </c>
      <c r="P708" s="5" t="s">
        <v>5</v>
      </c>
      <c r="Q708" s="7">
        <v>4</v>
      </c>
      <c r="R708" s="6" t="s">
        <v>5</v>
      </c>
      <c r="S708" s="6" t="s">
        <v>5</v>
      </c>
      <c r="T708" s="5" t="s">
        <v>5</v>
      </c>
      <c r="U708" s="8" t="s">
        <v>5</v>
      </c>
      <c r="V708" s="6" t="s">
        <v>5</v>
      </c>
      <c r="W708" s="8" t="s">
        <v>5</v>
      </c>
      <c r="X708" s="22">
        <v>0.75</v>
      </c>
      <c r="Y708" s="6" t="s">
        <v>5</v>
      </c>
      <c r="Z708" s="6" t="s">
        <v>5</v>
      </c>
      <c r="AA708" s="6" t="s">
        <v>5</v>
      </c>
      <c r="AB708" s="8" t="s">
        <v>5</v>
      </c>
      <c r="AC708" s="8" t="s">
        <v>5</v>
      </c>
      <c r="AD708" s="6" t="s">
        <v>5</v>
      </c>
      <c r="AE708" s="7">
        <v>2.0699999999999998</v>
      </c>
      <c r="AF708" s="6" t="s">
        <v>5</v>
      </c>
      <c r="AG708" s="6" t="s">
        <v>5</v>
      </c>
      <c r="AH708" s="7">
        <v>1.37</v>
      </c>
      <c r="AI708" s="6" t="s">
        <v>5</v>
      </c>
      <c r="AJ708" s="7">
        <v>8</v>
      </c>
      <c r="AK708" s="6" t="s">
        <v>5</v>
      </c>
      <c r="AL708" s="6" t="s">
        <v>5</v>
      </c>
      <c r="AM708" s="6" t="s">
        <v>5</v>
      </c>
      <c r="AN708" s="6" t="s">
        <v>5</v>
      </c>
      <c r="AO708" s="4">
        <v>49</v>
      </c>
      <c r="AP708" s="4">
        <v>22.2</v>
      </c>
      <c r="AQ708" s="4">
        <v>12.5</v>
      </c>
      <c r="AR708" s="7">
        <v>1.88</v>
      </c>
      <c r="AS708" s="6">
        <v>33.4</v>
      </c>
      <c r="AT708" s="6">
        <v>14.9</v>
      </c>
      <c r="AU708" s="6">
        <v>8.35</v>
      </c>
      <c r="AV708" s="7">
        <v>1.55</v>
      </c>
      <c r="AW708" s="6" t="s">
        <v>5</v>
      </c>
      <c r="AX708" s="6" t="s">
        <v>5</v>
      </c>
      <c r="AY708" s="6" t="s">
        <v>5</v>
      </c>
      <c r="AZ708" s="6" t="s">
        <v>5</v>
      </c>
      <c r="BA708" s="6" t="s">
        <v>5</v>
      </c>
      <c r="BB708" s="6" t="s">
        <v>5</v>
      </c>
      <c r="BC708" s="6" t="s">
        <v>5</v>
      </c>
      <c r="BD708" s="6" t="s">
        <v>5</v>
      </c>
      <c r="BE708" s="6" t="s">
        <v>5</v>
      </c>
      <c r="BF708" s="6" t="s">
        <v>5</v>
      </c>
      <c r="BG708" s="6" t="s">
        <v>5</v>
      </c>
      <c r="BH708" s="6" t="s">
        <v>5</v>
      </c>
      <c r="BI708" s="7">
        <v>2.97</v>
      </c>
      <c r="BJ708" s="22">
        <v>0.67300000000000004</v>
      </c>
      <c r="BK708" s="6" t="s">
        <v>5</v>
      </c>
      <c r="BL708" s="2" t="s">
        <v>5</v>
      </c>
      <c r="BM708" s="2" t="s">
        <v>5</v>
      </c>
      <c r="BN708" s="2" t="s">
        <v>5</v>
      </c>
      <c r="BO708" s="2" t="s">
        <v>5</v>
      </c>
      <c r="BP708" s="2" t="s">
        <v>5</v>
      </c>
      <c r="BQ708" s="2" t="s">
        <v>5</v>
      </c>
      <c r="BR708" s="2" t="s">
        <v>5</v>
      </c>
      <c r="BS708" s="2" t="s">
        <v>5</v>
      </c>
      <c r="BT708" s="2" t="s">
        <v>5</v>
      </c>
      <c r="BU708" s="2" t="s">
        <v>5</v>
      </c>
      <c r="BV708" s="2" t="s">
        <v>5</v>
      </c>
      <c r="BW708" s="2" t="s">
        <v>5</v>
      </c>
      <c r="BX708" s="2" t="s">
        <v>5</v>
      </c>
      <c r="BY708" s="25" t="s">
        <v>5</v>
      </c>
      <c r="BZ708" s="25" t="s">
        <v>5</v>
      </c>
      <c r="CA708" s="6" t="s">
        <v>5</v>
      </c>
      <c r="CB708" s="6" t="s">
        <v>5</v>
      </c>
      <c r="CC708" s="6" t="s">
        <v>5</v>
      </c>
      <c r="CD708" s="6" t="s">
        <v>5</v>
      </c>
      <c r="CE708" s="6" t="s">
        <v>5</v>
      </c>
      <c r="CF708" s="16" t="s">
        <v>5</v>
      </c>
      <c r="CG708" s="16" t="s">
        <v>5</v>
      </c>
      <c r="CH708" s="18" t="s">
        <v>5</v>
      </c>
    </row>
    <row r="709" spans="2:86">
      <c r="B709" s="78" t="s">
        <v>473</v>
      </c>
      <c r="C709" s="79" t="s">
        <v>809</v>
      </c>
      <c r="D709" s="80" t="s">
        <v>809</v>
      </c>
      <c r="E709" s="1" t="s">
        <v>4</v>
      </c>
      <c r="F709" s="4">
        <v>47.2</v>
      </c>
      <c r="G709" s="4">
        <v>13.9</v>
      </c>
      <c r="H709" s="3" t="str">
        <f t="shared" si="30"/>
        <v>2L6X4X3/4X3/8LLBB</v>
      </c>
      <c r="I709" s="7">
        <v>6</v>
      </c>
      <c r="J709" s="5" t="s">
        <v>5</v>
      </c>
      <c r="K709" s="6" t="s">
        <v>5</v>
      </c>
      <c r="L709" s="6" t="s">
        <v>5</v>
      </c>
      <c r="M709" s="6" t="s">
        <v>5</v>
      </c>
      <c r="N709" s="6" t="s">
        <v>5</v>
      </c>
      <c r="O709" s="5" t="s">
        <v>5</v>
      </c>
      <c r="P709" s="5" t="s">
        <v>5</v>
      </c>
      <c r="Q709" s="7">
        <v>4</v>
      </c>
      <c r="R709" s="6" t="s">
        <v>5</v>
      </c>
      <c r="S709" s="6" t="s">
        <v>5</v>
      </c>
      <c r="T709" s="5" t="s">
        <v>5</v>
      </c>
      <c r="U709" s="8" t="s">
        <v>5</v>
      </c>
      <c r="V709" s="6" t="s">
        <v>5</v>
      </c>
      <c r="W709" s="8" t="s">
        <v>5</v>
      </c>
      <c r="X709" s="22">
        <v>0.75</v>
      </c>
      <c r="Y709" s="6" t="s">
        <v>5</v>
      </c>
      <c r="Z709" s="6" t="s">
        <v>5</v>
      </c>
      <c r="AA709" s="6" t="s">
        <v>5</v>
      </c>
      <c r="AB709" s="8" t="s">
        <v>5</v>
      </c>
      <c r="AC709" s="8" t="s">
        <v>5</v>
      </c>
      <c r="AD709" s="6" t="s">
        <v>5</v>
      </c>
      <c r="AE709" s="7">
        <v>2.0699999999999998</v>
      </c>
      <c r="AF709" s="6" t="s">
        <v>5</v>
      </c>
      <c r="AG709" s="6" t="s">
        <v>5</v>
      </c>
      <c r="AH709" s="7">
        <v>1.37</v>
      </c>
      <c r="AI709" s="6" t="s">
        <v>5</v>
      </c>
      <c r="AJ709" s="7">
        <v>8</v>
      </c>
      <c r="AK709" s="6" t="s">
        <v>5</v>
      </c>
      <c r="AL709" s="6" t="s">
        <v>5</v>
      </c>
      <c r="AM709" s="6" t="s">
        <v>5</v>
      </c>
      <c r="AN709" s="6" t="s">
        <v>5</v>
      </c>
      <c r="AO709" s="4">
        <v>49</v>
      </c>
      <c r="AP709" s="4">
        <v>22.2</v>
      </c>
      <c r="AQ709" s="4">
        <v>12.5</v>
      </c>
      <c r="AR709" s="7">
        <v>1.88</v>
      </c>
      <c r="AS709" s="6">
        <v>39.200000000000003</v>
      </c>
      <c r="AT709" s="6">
        <v>17.5</v>
      </c>
      <c r="AU709" s="6">
        <v>9.36</v>
      </c>
      <c r="AV709" s="7">
        <v>1.68</v>
      </c>
      <c r="AW709" s="6" t="s">
        <v>5</v>
      </c>
      <c r="AX709" s="6" t="s">
        <v>5</v>
      </c>
      <c r="AY709" s="6" t="s">
        <v>5</v>
      </c>
      <c r="AZ709" s="6" t="s">
        <v>5</v>
      </c>
      <c r="BA709" s="6" t="s">
        <v>5</v>
      </c>
      <c r="BB709" s="6" t="s">
        <v>5</v>
      </c>
      <c r="BC709" s="6" t="s">
        <v>5</v>
      </c>
      <c r="BD709" s="6" t="s">
        <v>5</v>
      </c>
      <c r="BE709" s="6" t="s">
        <v>5</v>
      </c>
      <c r="BF709" s="6" t="s">
        <v>5</v>
      </c>
      <c r="BG709" s="6" t="s">
        <v>5</v>
      </c>
      <c r="BH709" s="6" t="s">
        <v>5</v>
      </c>
      <c r="BI709" s="7">
        <v>3.04</v>
      </c>
      <c r="BJ709" s="22">
        <v>0.68799999999999994</v>
      </c>
      <c r="BK709" s="6" t="s">
        <v>5</v>
      </c>
      <c r="BL709" s="2" t="s">
        <v>5</v>
      </c>
      <c r="BM709" s="2" t="s">
        <v>5</v>
      </c>
      <c r="BN709" s="2" t="s">
        <v>5</v>
      </c>
      <c r="BO709" s="2" t="s">
        <v>5</v>
      </c>
      <c r="BP709" s="2" t="s">
        <v>5</v>
      </c>
      <c r="BQ709" s="2" t="s">
        <v>5</v>
      </c>
      <c r="BR709" s="2" t="s">
        <v>5</v>
      </c>
      <c r="BS709" s="2" t="s">
        <v>5</v>
      </c>
      <c r="BT709" s="2" t="s">
        <v>5</v>
      </c>
      <c r="BU709" s="2" t="s">
        <v>5</v>
      </c>
      <c r="BV709" s="2" t="s">
        <v>5</v>
      </c>
      <c r="BW709" s="2" t="s">
        <v>5</v>
      </c>
      <c r="BX709" s="2" t="s">
        <v>5</v>
      </c>
      <c r="BY709" s="25" t="s">
        <v>5</v>
      </c>
      <c r="BZ709" s="25" t="s">
        <v>5</v>
      </c>
      <c r="CA709" s="6" t="s">
        <v>5</v>
      </c>
      <c r="CB709" s="6" t="s">
        <v>5</v>
      </c>
      <c r="CC709" s="6" t="s">
        <v>5</v>
      </c>
      <c r="CD709" s="6" t="s">
        <v>5</v>
      </c>
      <c r="CE709" s="6" t="s">
        <v>5</v>
      </c>
      <c r="CF709" s="16" t="s">
        <v>5</v>
      </c>
      <c r="CG709" s="16" t="s">
        <v>5</v>
      </c>
      <c r="CH709" s="18" t="s">
        <v>5</v>
      </c>
    </row>
    <row r="710" spans="2:86">
      <c r="B710" s="78" t="s">
        <v>473</v>
      </c>
      <c r="C710" s="79" t="s">
        <v>810</v>
      </c>
      <c r="D710" s="80" t="s">
        <v>810</v>
      </c>
      <c r="E710" s="1" t="s">
        <v>4</v>
      </c>
      <c r="F710" s="4">
        <v>47.2</v>
      </c>
      <c r="G710" s="4">
        <v>13.9</v>
      </c>
      <c r="H710" s="3" t="str">
        <f t="shared" si="30"/>
        <v>2L6X4X3/4X3/4LLBB</v>
      </c>
      <c r="I710" s="7">
        <v>6</v>
      </c>
      <c r="J710" s="5" t="s">
        <v>5</v>
      </c>
      <c r="K710" s="6" t="s">
        <v>5</v>
      </c>
      <c r="L710" s="6" t="s">
        <v>5</v>
      </c>
      <c r="M710" s="6" t="s">
        <v>5</v>
      </c>
      <c r="N710" s="6" t="s">
        <v>5</v>
      </c>
      <c r="O710" s="5" t="s">
        <v>5</v>
      </c>
      <c r="P710" s="5" t="s">
        <v>5</v>
      </c>
      <c r="Q710" s="7">
        <v>4</v>
      </c>
      <c r="R710" s="6" t="s">
        <v>5</v>
      </c>
      <c r="S710" s="6" t="s">
        <v>5</v>
      </c>
      <c r="T710" s="5" t="s">
        <v>5</v>
      </c>
      <c r="U710" s="8" t="s">
        <v>5</v>
      </c>
      <c r="V710" s="6" t="s">
        <v>5</v>
      </c>
      <c r="W710" s="8" t="s">
        <v>5</v>
      </c>
      <c r="X710" s="22">
        <v>0.75</v>
      </c>
      <c r="Y710" s="6" t="s">
        <v>5</v>
      </c>
      <c r="Z710" s="6" t="s">
        <v>5</v>
      </c>
      <c r="AA710" s="6" t="s">
        <v>5</v>
      </c>
      <c r="AB710" s="8" t="s">
        <v>5</v>
      </c>
      <c r="AC710" s="8" t="s">
        <v>5</v>
      </c>
      <c r="AD710" s="6" t="s">
        <v>5</v>
      </c>
      <c r="AE710" s="7">
        <v>2.0699999999999998</v>
      </c>
      <c r="AF710" s="6" t="s">
        <v>5</v>
      </c>
      <c r="AG710" s="6" t="s">
        <v>5</v>
      </c>
      <c r="AH710" s="7">
        <v>1.37</v>
      </c>
      <c r="AI710" s="6" t="s">
        <v>5</v>
      </c>
      <c r="AJ710" s="7">
        <v>8</v>
      </c>
      <c r="AK710" s="6" t="s">
        <v>5</v>
      </c>
      <c r="AL710" s="6" t="s">
        <v>5</v>
      </c>
      <c r="AM710" s="6" t="s">
        <v>5</v>
      </c>
      <c r="AN710" s="6" t="s">
        <v>5</v>
      </c>
      <c r="AO710" s="4">
        <v>49</v>
      </c>
      <c r="AP710" s="4">
        <v>22.2</v>
      </c>
      <c r="AQ710" s="4">
        <v>12.5</v>
      </c>
      <c r="AR710" s="7">
        <v>1.88</v>
      </c>
      <c r="AS710" s="6">
        <v>46.5</v>
      </c>
      <c r="AT710" s="6">
        <v>20.100000000000001</v>
      </c>
      <c r="AU710" s="6">
        <v>10.6</v>
      </c>
      <c r="AV710" s="7">
        <v>1.83</v>
      </c>
      <c r="AW710" s="6" t="s">
        <v>5</v>
      </c>
      <c r="AX710" s="6" t="s">
        <v>5</v>
      </c>
      <c r="AY710" s="6" t="s">
        <v>5</v>
      </c>
      <c r="AZ710" s="6" t="s">
        <v>5</v>
      </c>
      <c r="BA710" s="6" t="s">
        <v>5</v>
      </c>
      <c r="BB710" s="6" t="s">
        <v>5</v>
      </c>
      <c r="BC710" s="6" t="s">
        <v>5</v>
      </c>
      <c r="BD710" s="6" t="s">
        <v>5</v>
      </c>
      <c r="BE710" s="6" t="s">
        <v>5</v>
      </c>
      <c r="BF710" s="6" t="s">
        <v>5</v>
      </c>
      <c r="BG710" s="6" t="s">
        <v>5</v>
      </c>
      <c r="BH710" s="6" t="s">
        <v>5</v>
      </c>
      <c r="BI710" s="7">
        <v>3.12</v>
      </c>
      <c r="BJ710" s="22">
        <v>0.70499999999999996</v>
      </c>
      <c r="BK710" s="6" t="s">
        <v>5</v>
      </c>
      <c r="BL710" s="2" t="s">
        <v>5</v>
      </c>
      <c r="BM710" s="2" t="s">
        <v>5</v>
      </c>
      <c r="BN710" s="2" t="s">
        <v>5</v>
      </c>
      <c r="BO710" s="2" t="s">
        <v>5</v>
      </c>
      <c r="BP710" s="2" t="s">
        <v>5</v>
      </c>
      <c r="BQ710" s="2" t="s">
        <v>5</v>
      </c>
      <c r="BR710" s="2" t="s">
        <v>5</v>
      </c>
      <c r="BS710" s="2" t="s">
        <v>5</v>
      </c>
      <c r="BT710" s="2" t="s">
        <v>5</v>
      </c>
      <c r="BU710" s="2" t="s">
        <v>5</v>
      </c>
      <c r="BV710" s="2" t="s">
        <v>5</v>
      </c>
      <c r="BW710" s="2" t="s">
        <v>5</v>
      </c>
      <c r="BX710" s="2" t="s">
        <v>5</v>
      </c>
      <c r="BY710" s="25" t="s">
        <v>5</v>
      </c>
      <c r="BZ710" s="25" t="s">
        <v>5</v>
      </c>
      <c r="CA710" s="6" t="s">
        <v>5</v>
      </c>
      <c r="CB710" s="6" t="s">
        <v>5</v>
      </c>
      <c r="CC710" s="6" t="s">
        <v>5</v>
      </c>
      <c r="CD710" s="6" t="s">
        <v>5</v>
      </c>
      <c r="CE710" s="6" t="s">
        <v>5</v>
      </c>
      <c r="CF710" s="16" t="s">
        <v>5</v>
      </c>
      <c r="CG710" s="16" t="s">
        <v>5</v>
      </c>
      <c r="CH710" s="18" t="s">
        <v>5</v>
      </c>
    </row>
    <row r="711" spans="2:86">
      <c r="B711" s="78" t="s">
        <v>473</v>
      </c>
      <c r="C711" s="79" t="s">
        <v>811</v>
      </c>
      <c r="D711" s="80" t="s">
        <v>811</v>
      </c>
      <c r="E711" s="1" t="s">
        <v>4</v>
      </c>
      <c r="F711" s="4">
        <v>40</v>
      </c>
      <c r="G711" s="4">
        <v>11.7</v>
      </c>
      <c r="H711" s="3" t="str">
        <f t="shared" si="30"/>
        <v>2L6X4X5/8LLBB</v>
      </c>
      <c r="I711" s="7">
        <v>6</v>
      </c>
      <c r="J711" s="5" t="s">
        <v>5</v>
      </c>
      <c r="K711" s="6" t="s">
        <v>5</v>
      </c>
      <c r="L711" s="6" t="s">
        <v>5</v>
      </c>
      <c r="M711" s="6" t="s">
        <v>5</v>
      </c>
      <c r="N711" s="6" t="s">
        <v>5</v>
      </c>
      <c r="O711" s="5" t="s">
        <v>5</v>
      </c>
      <c r="P711" s="5" t="s">
        <v>5</v>
      </c>
      <c r="Q711" s="7">
        <v>4</v>
      </c>
      <c r="R711" s="6" t="s">
        <v>5</v>
      </c>
      <c r="S711" s="6" t="s">
        <v>5</v>
      </c>
      <c r="T711" s="5" t="s">
        <v>5</v>
      </c>
      <c r="U711" s="8" t="s">
        <v>5</v>
      </c>
      <c r="V711" s="6" t="s">
        <v>5</v>
      </c>
      <c r="W711" s="8" t="s">
        <v>5</v>
      </c>
      <c r="X711" s="22">
        <v>0.625</v>
      </c>
      <c r="Y711" s="6" t="s">
        <v>5</v>
      </c>
      <c r="Z711" s="6" t="s">
        <v>5</v>
      </c>
      <c r="AA711" s="6" t="s">
        <v>5</v>
      </c>
      <c r="AB711" s="8" t="s">
        <v>5</v>
      </c>
      <c r="AC711" s="8" t="s">
        <v>5</v>
      </c>
      <c r="AD711" s="6" t="s">
        <v>5</v>
      </c>
      <c r="AE711" s="7">
        <v>2.0299999999999998</v>
      </c>
      <c r="AF711" s="6" t="s">
        <v>5</v>
      </c>
      <c r="AG711" s="6" t="s">
        <v>5</v>
      </c>
      <c r="AH711" s="7">
        <v>1.31</v>
      </c>
      <c r="AI711" s="6" t="s">
        <v>5</v>
      </c>
      <c r="AJ711" s="7">
        <v>9.6</v>
      </c>
      <c r="AK711" s="6" t="s">
        <v>5</v>
      </c>
      <c r="AL711" s="6" t="s">
        <v>5</v>
      </c>
      <c r="AM711" s="6" t="s">
        <v>5</v>
      </c>
      <c r="AN711" s="6" t="s">
        <v>5</v>
      </c>
      <c r="AO711" s="4">
        <v>42</v>
      </c>
      <c r="AP711" s="4">
        <v>18.899999999999999</v>
      </c>
      <c r="AQ711" s="4">
        <v>10.6</v>
      </c>
      <c r="AR711" s="7">
        <v>1.89</v>
      </c>
      <c r="AS711" s="6">
        <v>27.4</v>
      </c>
      <c r="AT711" s="6">
        <v>12.1</v>
      </c>
      <c r="AU711" s="6">
        <v>6.85</v>
      </c>
      <c r="AV711" s="7">
        <v>1.53</v>
      </c>
      <c r="AW711" s="6" t="s">
        <v>5</v>
      </c>
      <c r="AX711" s="6" t="s">
        <v>5</v>
      </c>
      <c r="AY711" s="6" t="s">
        <v>5</v>
      </c>
      <c r="AZ711" s="6" t="s">
        <v>5</v>
      </c>
      <c r="BA711" s="6" t="s">
        <v>5</v>
      </c>
      <c r="BB711" s="6" t="s">
        <v>5</v>
      </c>
      <c r="BC711" s="6" t="s">
        <v>5</v>
      </c>
      <c r="BD711" s="6" t="s">
        <v>5</v>
      </c>
      <c r="BE711" s="6" t="s">
        <v>5</v>
      </c>
      <c r="BF711" s="6" t="s">
        <v>5</v>
      </c>
      <c r="BG711" s="6" t="s">
        <v>5</v>
      </c>
      <c r="BH711" s="6" t="s">
        <v>5</v>
      </c>
      <c r="BI711" s="7">
        <v>2.98</v>
      </c>
      <c r="BJ711" s="22">
        <v>0.66900000000000004</v>
      </c>
      <c r="BK711" s="6" t="s">
        <v>5</v>
      </c>
      <c r="BL711" s="2" t="s">
        <v>5</v>
      </c>
      <c r="BM711" s="2" t="s">
        <v>5</v>
      </c>
      <c r="BN711" s="2" t="s">
        <v>5</v>
      </c>
      <c r="BO711" s="2" t="s">
        <v>5</v>
      </c>
      <c r="BP711" s="2" t="s">
        <v>5</v>
      </c>
      <c r="BQ711" s="2" t="s">
        <v>5</v>
      </c>
      <c r="BR711" s="2" t="s">
        <v>5</v>
      </c>
      <c r="BS711" s="2" t="s">
        <v>5</v>
      </c>
      <c r="BT711" s="2" t="s">
        <v>5</v>
      </c>
      <c r="BU711" s="2" t="s">
        <v>5</v>
      </c>
      <c r="BV711" s="2" t="s">
        <v>5</v>
      </c>
      <c r="BW711" s="2" t="s">
        <v>5</v>
      </c>
      <c r="BX711" s="2" t="s">
        <v>5</v>
      </c>
      <c r="BY711" s="25" t="s">
        <v>5</v>
      </c>
      <c r="BZ711" s="25" t="s">
        <v>5</v>
      </c>
      <c r="CA711" s="6" t="s">
        <v>5</v>
      </c>
      <c r="CB711" s="6" t="s">
        <v>5</v>
      </c>
      <c r="CC711" s="6" t="s">
        <v>5</v>
      </c>
      <c r="CD711" s="6" t="s">
        <v>5</v>
      </c>
      <c r="CE711" s="6" t="s">
        <v>5</v>
      </c>
      <c r="CF711" s="16" t="s">
        <v>5</v>
      </c>
      <c r="CG711" s="16" t="s">
        <v>5</v>
      </c>
      <c r="CH711" s="18" t="s">
        <v>5</v>
      </c>
    </row>
    <row r="712" spans="2:86">
      <c r="B712" s="78" t="s">
        <v>473</v>
      </c>
      <c r="C712" s="79" t="s">
        <v>812</v>
      </c>
      <c r="D712" s="80" t="s">
        <v>812</v>
      </c>
      <c r="E712" s="1" t="s">
        <v>4</v>
      </c>
      <c r="F712" s="4">
        <v>40</v>
      </c>
      <c r="G712" s="4">
        <v>11.7</v>
      </c>
      <c r="H712" s="3" t="str">
        <f t="shared" si="30"/>
        <v>2L6X4X5/8X3/8LLBB</v>
      </c>
      <c r="I712" s="7">
        <v>6</v>
      </c>
      <c r="J712" s="5" t="s">
        <v>5</v>
      </c>
      <c r="K712" s="6" t="s">
        <v>5</v>
      </c>
      <c r="L712" s="6" t="s">
        <v>5</v>
      </c>
      <c r="M712" s="6" t="s">
        <v>5</v>
      </c>
      <c r="N712" s="6" t="s">
        <v>5</v>
      </c>
      <c r="O712" s="5" t="s">
        <v>5</v>
      </c>
      <c r="P712" s="5" t="s">
        <v>5</v>
      </c>
      <c r="Q712" s="7">
        <v>4</v>
      </c>
      <c r="R712" s="6" t="s">
        <v>5</v>
      </c>
      <c r="S712" s="6" t="s">
        <v>5</v>
      </c>
      <c r="T712" s="5" t="s">
        <v>5</v>
      </c>
      <c r="U712" s="8" t="s">
        <v>5</v>
      </c>
      <c r="V712" s="6" t="s">
        <v>5</v>
      </c>
      <c r="W712" s="8" t="s">
        <v>5</v>
      </c>
      <c r="X712" s="22">
        <v>0.625</v>
      </c>
      <c r="Y712" s="6" t="s">
        <v>5</v>
      </c>
      <c r="Z712" s="6" t="s">
        <v>5</v>
      </c>
      <c r="AA712" s="6" t="s">
        <v>5</v>
      </c>
      <c r="AB712" s="8" t="s">
        <v>5</v>
      </c>
      <c r="AC712" s="8" t="s">
        <v>5</v>
      </c>
      <c r="AD712" s="6" t="s">
        <v>5</v>
      </c>
      <c r="AE712" s="7">
        <v>2.0299999999999998</v>
      </c>
      <c r="AF712" s="6" t="s">
        <v>5</v>
      </c>
      <c r="AG712" s="6" t="s">
        <v>5</v>
      </c>
      <c r="AH712" s="7">
        <v>1.31</v>
      </c>
      <c r="AI712" s="6" t="s">
        <v>5</v>
      </c>
      <c r="AJ712" s="7">
        <v>9.6</v>
      </c>
      <c r="AK712" s="6" t="s">
        <v>5</v>
      </c>
      <c r="AL712" s="6" t="s">
        <v>5</v>
      </c>
      <c r="AM712" s="6" t="s">
        <v>5</v>
      </c>
      <c r="AN712" s="6" t="s">
        <v>5</v>
      </c>
      <c r="AO712" s="4">
        <v>42</v>
      </c>
      <c r="AP712" s="4">
        <v>18.899999999999999</v>
      </c>
      <c r="AQ712" s="4">
        <v>10.6</v>
      </c>
      <c r="AR712" s="7">
        <v>1.89</v>
      </c>
      <c r="AS712" s="6">
        <v>32.200000000000003</v>
      </c>
      <c r="AT712" s="6">
        <v>14.3</v>
      </c>
      <c r="AU712" s="6">
        <v>7.69</v>
      </c>
      <c r="AV712" s="7">
        <v>1.66</v>
      </c>
      <c r="AW712" s="6" t="s">
        <v>5</v>
      </c>
      <c r="AX712" s="6" t="s">
        <v>5</v>
      </c>
      <c r="AY712" s="6" t="s">
        <v>5</v>
      </c>
      <c r="AZ712" s="6" t="s">
        <v>5</v>
      </c>
      <c r="BA712" s="6" t="s">
        <v>5</v>
      </c>
      <c r="BB712" s="6" t="s">
        <v>5</v>
      </c>
      <c r="BC712" s="6" t="s">
        <v>5</v>
      </c>
      <c r="BD712" s="6" t="s">
        <v>5</v>
      </c>
      <c r="BE712" s="6" t="s">
        <v>5</v>
      </c>
      <c r="BF712" s="6" t="s">
        <v>5</v>
      </c>
      <c r="BG712" s="6" t="s">
        <v>5</v>
      </c>
      <c r="BH712" s="6" t="s">
        <v>5</v>
      </c>
      <c r="BI712" s="7">
        <v>3.05</v>
      </c>
      <c r="BJ712" s="22">
        <v>0.68400000000000005</v>
      </c>
      <c r="BK712" s="6" t="s">
        <v>5</v>
      </c>
      <c r="BL712" s="2" t="s">
        <v>5</v>
      </c>
      <c r="BM712" s="2" t="s">
        <v>5</v>
      </c>
      <c r="BN712" s="2" t="s">
        <v>5</v>
      </c>
      <c r="BO712" s="2" t="s">
        <v>5</v>
      </c>
      <c r="BP712" s="2" t="s">
        <v>5</v>
      </c>
      <c r="BQ712" s="2" t="s">
        <v>5</v>
      </c>
      <c r="BR712" s="2" t="s">
        <v>5</v>
      </c>
      <c r="BS712" s="2" t="s">
        <v>5</v>
      </c>
      <c r="BT712" s="2" t="s">
        <v>5</v>
      </c>
      <c r="BU712" s="2" t="s">
        <v>5</v>
      </c>
      <c r="BV712" s="2" t="s">
        <v>5</v>
      </c>
      <c r="BW712" s="2" t="s">
        <v>5</v>
      </c>
      <c r="BX712" s="2" t="s">
        <v>5</v>
      </c>
      <c r="BY712" s="25" t="s">
        <v>5</v>
      </c>
      <c r="BZ712" s="25" t="s">
        <v>5</v>
      </c>
      <c r="CA712" s="6" t="s">
        <v>5</v>
      </c>
      <c r="CB712" s="6" t="s">
        <v>5</v>
      </c>
      <c r="CC712" s="6" t="s">
        <v>5</v>
      </c>
      <c r="CD712" s="6" t="s">
        <v>5</v>
      </c>
      <c r="CE712" s="6" t="s">
        <v>5</v>
      </c>
      <c r="CF712" s="16" t="s">
        <v>5</v>
      </c>
      <c r="CG712" s="16" t="s">
        <v>5</v>
      </c>
      <c r="CH712" s="18" t="s">
        <v>5</v>
      </c>
    </row>
    <row r="713" spans="2:86">
      <c r="B713" s="78" t="s">
        <v>473</v>
      </c>
      <c r="C713" s="79" t="s">
        <v>813</v>
      </c>
      <c r="D713" s="80" t="s">
        <v>813</v>
      </c>
      <c r="E713" s="1" t="s">
        <v>4</v>
      </c>
      <c r="F713" s="4">
        <v>40</v>
      </c>
      <c r="G713" s="4">
        <v>11.7</v>
      </c>
      <c r="H713" s="3" t="str">
        <f t="shared" si="30"/>
        <v>2L6X4X5/8X3/4LLBB</v>
      </c>
      <c r="I713" s="7">
        <v>6</v>
      </c>
      <c r="J713" s="5" t="s">
        <v>5</v>
      </c>
      <c r="K713" s="6" t="s">
        <v>5</v>
      </c>
      <c r="L713" s="6" t="s">
        <v>5</v>
      </c>
      <c r="M713" s="6" t="s">
        <v>5</v>
      </c>
      <c r="N713" s="6" t="s">
        <v>5</v>
      </c>
      <c r="O713" s="5" t="s">
        <v>5</v>
      </c>
      <c r="P713" s="5" t="s">
        <v>5</v>
      </c>
      <c r="Q713" s="7">
        <v>4</v>
      </c>
      <c r="R713" s="6" t="s">
        <v>5</v>
      </c>
      <c r="S713" s="6" t="s">
        <v>5</v>
      </c>
      <c r="T713" s="5" t="s">
        <v>5</v>
      </c>
      <c r="U713" s="8" t="s">
        <v>5</v>
      </c>
      <c r="V713" s="6" t="s">
        <v>5</v>
      </c>
      <c r="W713" s="8" t="s">
        <v>5</v>
      </c>
      <c r="X713" s="22">
        <v>0.625</v>
      </c>
      <c r="Y713" s="6" t="s">
        <v>5</v>
      </c>
      <c r="Z713" s="6" t="s">
        <v>5</v>
      </c>
      <c r="AA713" s="6" t="s">
        <v>5</v>
      </c>
      <c r="AB713" s="8" t="s">
        <v>5</v>
      </c>
      <c r="AC713" s="8" t="s">
        <v>5</v>
      </c>
      <c r="AD713" s="6" t="s">
        <v>5</v>
      </c>
      <c r="AE713" s="7">
        <v>2.0299999999999998</v>
      </c>
      <c r="AF713" s="6" t="s">
        <v>5</v>
      </c>
      <c r="AG713" s="6" t="s">
        <v>5</v>
      </c>
      <c r="AH713" s="7">
        <v>1.31</v>
      </c>
      <c r="AI713" s="6" t="s">
        <v>5</v>
      </c>
      <c r="AJ713" s="7">
        <v>9.6</v>
      </c>
      <c r="AK713" s="6" t="s">
        <v>5</v>
      </c>
      <c r="AL713" s="6" t="s">
        <v>5</v>
      </c>
      <c r="AM713" s="6" t="s">
        <v>5</v>
      </c>
      <c r="AN713" s="6" t="s">
        <v>5</v>
      </c>
      <c r="AO713" s="4">
        <v>42</v>
      </c>
      <c r="AP713" s="4">
        <v>18.899999999999999</v>
      </c>
      <c r="AQ713" s="4">
        <v>10.6</v>
      </c>
      <c r="AR713" s="7">
        <v>1.89</v>
      </c>
      <c r="AS713" s="6">
        <v>37.9</v>
      </c>
      <c r="AT713" s="6">
        <v>16.5</v>
      </c>
      <c r="AU713" s="6">
        <v>8.66</v>
      </c>
      <c r="AV713" s="7">
        <v>1.8</v>
      </c>
      <c r="AW713" s="6" t="s">
        <v>5</v>
      </c>
      <c r="AX713" s="6" t="s">
        <v>5</v>
      </c>
      <c r="AY713" s="6" t="s">
        <v>5</v>
      </c>
      <c r="AZ713" s="6" t="s">
        <v>5</v>
      </c>
      <c r="BA713" s="6" t="s">
        <v>5</v>
      </c>
      <c r="BB713" s="6" t="s">
        <v>5</v>
      </c>
      <c r="BC713" s="6" t="s">
        <v>5</v>
      </c>
      <c r="BD713" s="6" t="s">
        <v>5</v>
      </c>
      <c r="BE713" s="6" t="s">
        <v>5</v>
      </c>
      <c r="BF713" s="6" t="s">
        <v>5</v>
      </c>
      <c r="BG713" s="6" t="s">
        <v>5</v>
      </c>
      <c r="BH713" s="6" t="s">
        <v>5</v>
      </c>
      <c r="BI713" s="7">
        <v>3.13</v>
      </c>
      <c r="BJ713" s="22">
        <v>0.7</v>
      </c>
      <c r="BK713" s="6" t="s">
        <v>5</v>
      </c>
      <c r="BL713" s="2" t="s">
        <v>5</v>
      </c>
      <c r="BM713" s="2" t="s">
        <v>5</v>
      </c>
      <c r="BN713" s="2" t="s">
        <v>5</v>
      </c>
      <c r="BO713" s="2" t="s">
        <v>5</v>
      </c>
      <c r="BP713" s="2" t="s">
        <v>5</v>
      </c>
      <c r="BQ713" s="2" t="s">
        <v>5</v>
      </c>
      <c r="BR713" s="2" t="s">
        <v>5</v>
      </c>
      <c r="BS713" s="2" t="s">
        <v>5</v>
      </c>
      <c r="BT713" s="2" t="s">
        <v>5</v>
      </c>
      <c r="BU713" s="2" t="s">
        <v>5</v>
      </c>
      <c r="BV713" s="2" t="s">
        <v>5</v>
      </c>
      <c r="BW713" s="2" t="s">
        <v>5</v>
      </c>
      <c r="BX713" s="2" t="s">
        <v>5</v>
      </c>
      <c r="BY713" s="25" t="s">
        <v>5</v>
      </c>
      <c r="BZ713" s="25" t="s">
        <v>5</v>
      </c>
      <c r="CA713" s="6" t="s">
        <v>5</v>
      </c>
      <c r="CB713" s="6" t="s">
        <v>5</v>
      </c>
      <c r="CC713" s="6" t="s">
        <v>5</v>
      </c>
      <c r="CD713" s="6" t="s">
        <v>5</v>
      </c>
      <c r="CE713" s="6" t="s">
        <v>5</v>
      </c>
      <c r="CF713" s="16" t="s">
        <v>5</v>
      </c>
      <c r="CG713" s="16" t="s">
        <v>5</v>
      </c>
      <c r="CH713" s="18" t="s">
        <v>5</v>
      </c>
    </row>
    <row r="714" spans="2:86">
      <c r="B714" s="78" t="s">
        <v>473</v>
      </c>
      <c r="C714" s="79" t="s">
        <v>814</v>
      </c>
      <c r="D714" s="80" t="s">
        <v>814</v>
      </c>
      <c r="E714" s="1" t="s">
        <v>4</v>
      </c>
      <c r="F714" s="4">
        <v>36.200000000000003</v>
      </c>
      <c r="G714" s="4">
        <v>10.6</v>
      </c>
      <c r="H714" s="3" t="str">
        <f t="shared" si="30"/>
        <v>2L6X4X9/16LLBB</v>
      </c>
      <c r="I714" s="7">
        <v>6</v>
      </c>
      <c r="J714" s="5" t="s">
        <v>5</v>
      </c>
      <c r="K714" s="6" t="s">
        <v>5</v>
      </c>
      <c r="L714" s="6" t="s">
        <v>5</v>
      </c>
      <c r="M714" s="6" t="s">
        <v>5</v>
      </c>
      <c r="N714" s="6" t="s">
        <v>5</v>
      </c>
      <c r="O714" s="5" t="s">
        <v>5</v>
      </c>
      <c r="P714" s="5" t="s">
        <v>5</v>
      </c>
      <c r="Q714" s="7">
        <v>4</v>
      </c>
      <c r="R714" s="6" t="s">
        <v>5</v>
      </c>
      <c r="S714" s="6" t="s">
        <v>5</v>
      </c>
      <c r="T714" s="5" t="s">
        <v>5</v>
      </c>
      <c r="U714" s="8" t="s">
        <v>5</v>
      </c>
      <c r="V714" s="6" t="s">
        <v>5</v>
      </c>
      <c r="W714" s="8" t="s">
        <v>5</v>
      </c>
      <c r="X714" s="22">
        <v>0.56299999999999994</v>
      </c>
      <c r="Y714" s="6" t="s">
        <v>5</v>
      </c>
      <c r="Z714" s="6" t="s">
        <v>5</v>
      </c>
      <c r="AA714" s="6" t="s">
        <v>5</v>
      </c>
      <c r="AB714" s="8" t="s">
        <v>5</v>
      </c>
      <c r="AC714" s="8" t="s">
        <v>5</v>
      </c>
      <c r="AD714" s="6" t="s">
        <v>5</v>
      </c>
      <c r="AE714" s="7">
        <v>2</v>
      </c>
      <c r="AF714" s="6" t="s">
        <v>5</v>
      </c>
      <c r="AG714" s="6" t="s">
        <v>5</v>
      </c>
      <c r="AH714" s="7">
        <v>1.28</v>
      </c>
      <c r="AI714" s="6" t="s">
        <v>5</v>
      </c>
      <c r="AJ714" s="4">
        <v>10.7</v>
      </c>
      <c r="AK714" s="6" t="s">
        <v>5</v>
      </c>
      <c r="AL714" s="6" t="s">
        <v>5</v>
      </c>
      <c r="AM714" s="6" t="s">
        <v>5</v>
      </c>
      <c r="AN714" s="6" t="s">
        <v>5</v>
      </c>
      <c r="AO714" s="4">
        <v>38.4</v>
      </c>
      <c r="AP714" s="4">
        <v>17.2</v>
      </c>
      <c r="AQ714" s="7">
        <v>9.6199999999999992</v>
      </c>
      <c r="AR714" s="7">
        <v>1.9</v>
      </c>
      <c r="AS714" s="6">
        <v>24.5</v>
      </c>
      <c r="AT714" s="6">
        <v>10.6</v>
      </c>
      <c r="AU714" s="6">
        <v>6.12</v>
      </c>
      <c r="AV714" s="7">
        <v>1.52</v>
      </c>
      <c r="AW714" s="6" t="s">
        <v>5</v>
      </c>
      <c r="AX714" s="6" t="s">
        <v>5</v>
      </c>
      <c r="AY714" s="6" t="s">
        <v>5</v>
      </c>
      <c r="AZ714" s="6" t="s">
        <v>5</v>
      </c>
      <c r="BA714" s="6" t="s">
        <v>5</v>
      </c>
      <c r="BB714" s="6" t="s">
        <v>5</v>
      </c>
      <c r="BC714" s="6" t="s">
        <v>5</v>
      </c>
      <c r="BD714" s="6" t="s">
        <v>5</v>
      </c>
      <c r="BE714" s="6" t="s">
        <v>5</v>
      </c>
      <c r="BF714" s="6" t="s">
        <v>5</v>
      </c>
      <c r="BG714" s="6" t="s">
        <v>5</v>
      </c>
      <c r="BH714" s="6" t="s">
        <v>5</v>
      </c>
      <c r="BI714" s="7">
        <v>2.98</v>
      </c>
      <c r="BJ714" s="22">
        <v>0.66700000000000004</v>
      </c>
      <c r="BK714" s="6" t="s">
        <v>5</v>
      </c>
      <c r="BL714" s="2" t="s">
        <v>5</v>
      </c>
      <c r="BM714" s="2" t="s">
        <v>5</v>
      </c>
      <c r="BN714" s="2" t="s">
        <v>5</v>
      </c>
      <c r="BO714" s="2" t="s">
        <v>5</v>
      </c>
      <c r="BP714" s="2" t="s">
        <v>5</v>
      </c>
      <c r="BQ714" s="2" t="s">
        <v>5</v>
      </c>
      <c r="BR714" s="2" t="s">
        <v>5</v>
      </c>
      <c r="BS714" s="2" t="s">
        <v>5</v>
      </c>
      <c r="BT714" s="2" t="s">
        <v>5</v>
      </c>
      <c r="BU714" s="2" t="s">
        <v>5</v>
      </c>
      <c r="BV714" s="2" t="s">
        <v>5</v>
      </c>
      <c r="BW714" s="2" t="s">
        <v>5</v>
      </c>
      <c r="BX714" s="2" t="s">
        <v>5</v>
      </c>
      <c r="BY714" s="25" t="s">
        <v>5</v>
      </c>
      <c r="BZ714" s="25" t="s">
        <v>5</v>
      </c>
      <c r="CA714" s="6" t="s">
        <v>5</v>
      </c>
      <c r="CB714" s="6" t="s">
        <v>5</v>
      </c>
      <c r="CC714" s="6" t="s">
        <v>5</v>
      </c>
      <c r="CD714" s="6" t="s">
        <v>5</v>
      </c>
      <c r="CE714" s="6" t="s">
        <v>5</v>
      </c>
      <c r="CF714" s="16" t="s">
        <v>5</v>
      </c>
      <c r="CG714" s="16" t="s">
        <v>5</v>
      </c>
      <c r="CH714" s="18" t="s">
        <v>5</v>
      </c>
    </row>
    <row r="715" spans="2:86">
      <c r="B715" s="78" t="s">
        <v>473</v>
      </c>
      <c r="C715" s="79" t="s">
        <v>815</v>
      </c>
      <c r="D715" s="80" t="s">
        <v>815</v>
      </c>
      <c r="E715" s="1" t="s">
        <v>4</v>
      </c>
      <c r="F715" s="4">
        <v>36.200000000000003</v>
      </c>
      <c r="G715" s="4">
        <v>10.6</v>
      </c>
      <c r="H715" s="3" t="str">
        <f t="shared" si="30"/>
        <v>2L6X4X9/16X3/8LLBB</v>
      </c>
      <c r="I715" s="7">
        <v>6</v>
      </c>
      <c r="J715" s="5" t="s">
        <v>5</v>
      </c>
      <c r="K715" s="6" t="s">
        <v>5</v>
      </c>
      <c r="L715" s="6" t="s">
        <v>5</v>
      </c>
      <c r="M715" s="6" t="s">
        <v>5</v>
      </c>
      <c r="N715" s="6" t="s">
        <v>5</v>
      </c>
      <c r="O715" s="5" t="s">
        <v>5</v>
      </c>
      <c r="P715" s="5" t="s">
        <v>5</v>
      </c>
      <c r="Q715" s="7">
        <v>4</v>
      </c>
      <c r="R715" s="6" t="s">
        <v>5</v>
      </c>
      <c r="S715" s="6" t="s">
        <v>5</v>
      </c>
      <c r="T715" s="5" t="s">
        <v>5</v>
      </c>
      <c r="U715" s="8" t="s">
        <v>5</v>
      </c>
      <c r="V715" s="6" t="s">
        <v>5</v>
      </c>
      <c r="W715" s="8" t="s">
        <v>5</v>
      </c>
      <c r="X715" s="22">
        <v>0.56299999999999994</v>
      </c>
      <c r="Y715" s="6" t="s">
        <v>5</v>
      </c>
      <c r="Z715" s="6" t="s">
        <v>5</v>
      </c>
      <c r="AA715" s="6" t="s">
        <v>5</v>
      </c>
      <c r="AB715" s="8" t="s">
        <v>5</v>
      </c>
      <c r="AC715" s="8" t="s">
        <v>5</v>
      </c>
      <c r="AD715" s="6" t="s">
        <v>5</v>
      </c>
      <c r="AE715" s="7">
        <v>2</v>
      </c>
      <c r="AF715" s="6" t="s">
        <v>5</v>
      </c>
      <c r="AG715" s="6" t="s">
        <v>5</v>
      </c>
      <c r="AH715" s="7">
        <v>1.28</v>
      </c>
      <c r="AI715" s="6" t="s">
        <v>5</v>
      </c>
      <c r="AJ715" s="4">
        <v>10.7</v>
      </c>
      <c r="AK715" s="6" t="s">
        <v>5</v>
      </c>
      <c r="AL715" s="6" t="s">
        <v>5</v>
      </c>
      <c r="AM715" s="6" t="s">
        <v>5</v>
      </c>
      <c r="AN715" s="6" t="s">
        <v>5</v>
      </c>
      <c r="AO715" s="4">
        <v>38.4</v>
      </c>
      <c r="AP715" s="4">
        <v>17.2</v>
      </c>
      <c r="AQ715" s="7">
        <v>9.6199999999999992</v>
      </c>
      <c r="AR715" s="7">
        <v>1.9</v>
      </c>
      <c r="AS715" s="6">
        <v>28.9</v>
      </c>
      <c r="AT715" s="6">
        <v>12.6</v>
      </c>
      <c r="AU715" s="7">
        <v>6.9</v>
      </c>
      <c r="AV715" s="7">
        <v>1.65</v>
      </c>
      <c r="AW715" s="6" t="s">
        <v>5</v>
      </c>
      <c r="AX715" s="6" t="s">
        <v>5</v>
      </c>
      <c r="AY715" s="6" t="s">
        <v>5</v>
      </c>
      <c r="AZ715" s="6" t="s">
        <v>5</v>
      </c>
      <c r="BA715" s="6" t="s">
        <v>5</v>
      </c>
      <c r="BB715" s="6" t="s">
        <v>5</v>
      </c>
      <c r="BC715" s="6" t="s">
        <v>5</v>
      </c>
      <c r="BD715" s="6" t="s">
        <v>5</v>
      </c>
      <c r="BE715" s="6" t="s">
        <v>5</v>
      </c>
      <c r="BF715" s="6" t="s">
        <v>5</v>
      </c>
      <c r="BG715" s="6" t="s">
        <v>5</v>
      </c>
      <c r="BH715" s="6" t="s">
        <v>5</v>
      </c>
      <c r="BI715" s="7">
        <v>3.05</v>
      </c>
      <c r="BJ715" s="22">
        <v>0.68200000000000005</v>
      </c>
      <c r="BK715" s="6" t="s">
        <v>5</v>
      </c>
      <c r="BL715" s="2" t="s">
        <v>5</v>
      </c>
      <c r="BM715" s="2" t="s">
        <v>5</v>
      </c>
      <c r="BN715" s="2" t="s">
        <v>5</v>
      </c>
      <c r="BO715" s="2" t="s">
        <v>5</v>
      </c>
      <c r="BP715" s="2" t="s">
        <v>5</v>
      </c>
      <c r="BQ715" s="2" t="s">
        <v>5</v>
      </c>
      <c r="BR715" s="2" t="s">
        <v>5</v>
      </c>
      <c r="BS715" s="2" t="s">
        <v>5</v>
      </c>
      <c r="BT715" s="2" t="s">
        <v>5</v>
      </c>
      <c r="BU715" s="2" t="s">
        <v>5</v>
      </c>
      <c r="BV715" s="2" t="s">
        <v>5</v>
      </c>
      <c r="BW715" s="2" t="s">
        <v>5</v>
      </c>
      <c r="BX715" s="2" t="s">
        <v>5</v>
      </c>
      <c r="BY715" s="25" t="s">
        <v>5</v>
      </c>
      <c r="BZ715" s="25" t="s">
        <v>5</v>
      </c>
      <c r="CA715" s="6" t="s">
        <v>5</v>
      </c>
      <c r="CB715" s="6" t="s">
        <v>5</v>
      </c>
      <c r="CC715" s="6" t="s">
        <v>5</v>
      </c>
      <c r="CD715" s="6" t="s">
        <v>5</v>
      </c>
      <c r="CE715" s="6" t="s">
        <v>5</v>
      </c>
      <c r="CF715" s="16" t="s">
        <v>5</v>
      </c>
      <c r="CG715" s="16" t="s">
        <v>5</v>
      </c>
      <c r="CH715" s="18" t="s">
        <v>5</v>
      </c>
    </row>
    <row r="716" spans="2:86">
      <c r="B716" s="78" t="s">
        <v>473</v>
      </c>
      <c r="C716" s="79" t="s">
        <v>816</v>
      </c>
      <c r="D716" s="80" t="s">
        <v>816</v>
      </c>
      <c r="E716" s="1" t="s">
        <v>4</v>
      </c>
      <c r="F716" s="4">
        <v>36.200000000000003</v>
      </c>
      <c r="G716" s="4">
        <v>10.6</v>
      </c>
      <c r="H716" s="3" t="str">
        <f t="shared" si="30"/>
        <v>2L6X4X9/16X3/4LLBB</v>
      </c>
      <c r="I716" s="7">
        <v>6</v>
      </c>
      <c r="J716" s="5" t="s">
        <v>5</v>
      </c>
      <c r="K716" s="6" t="s">
        <v>5</v>
      </c>
      <c r="L716" s="6" t="s">
        <v>5</v>
      </c>
      <c r="M716" s="6" t="s">
        <v>5</v>
      </c>
      <c r="N716" s="6" t="s">
        <v>5</v>
      </c>
      <c r="O716" s="5" t="s">
        <v>5</v>
      </c>
      <c r="P716" s="5" t="s">
        <v>5</v>
      </c>
      <c r="Q716" s="7">
        <v>4</v>
      </c>
      <c r="R716" s="6" t="s">
        <v>5</v>
      </c>
      <c r="S716" s="6" t="s">
        <v>5</v>
      </c>
      <c r="T716" s="5" t="s">
        <v>5</v>
      </c>
      <c r="U716" s="8" t="s">
        <v>5</v>
      </c>
      <c r="V716" s="6" t="s">
        <v>5</v>
      </c>
      <c r="W716" s="8" t="s">
        <v>5</v>
      </c>
      <c r="X716" s="22">
        <v>0.56299999999999994</v>
      </c>
      <c r="Y716" s="6" t="s">
        <v>5</v>
      </c>
      <c r="Z716" s="6" t="s">
        <v>5</v>
      </c>
      <c r="AA716" s="6" t="s">
        <v>5</v>
      </c>
      <c r="AB716" s="8" t="s">
        <v>5</v>
      </c>
      <c r="AC716" s="8" t="s">
        <v>5</v>
      </c>
      <c r="AD716" s="6" t="s">
        <v>5</v>
      </c>
      <c r="AE716" s="7">
        <v>2</v>
      </c>
      <c r="AF716" s="6" t="s">
        <v>5</v>
      </c>
      <c r="AG716" s="6" t="s">
        <v>5</v>
      </c>
      <c r="AH716" s="7">
        <v>1.28</v>
      </c>
      <c r="AI716" s="6" t="s">
        <v>5</v>
      </c>
      <c r="AJ716" s="4">
        <v>10.7</v>
      </c>
      <c r="AK716" s="6" t="s">
        <v>5</v>
      </c>
      <c r="AL716" s="6" t="s">
        <v>5</v>
      </c>
      <c r="AM716" s="6" t="s">
        <v>5</v>
      </c>
      <c r="AN716" s="6" t="s">
        <v>5</v>
      </c>
      <c r="AO716" s="4">
        <v>38.4</v>
      </c>
      <c r="AP716" s="4">
        <v>17.2</v>
      </c>
      <c r="AQ716" s="7">
        <v>9.6199999999999992</v>
      </c>
      <c r="AR716" s="7">
        <v>1.9</v>
      </c>
      <c r="AS716" s="4">
        <v>34</v>
      </c>
      <c r="AT716" s="6">
        <v>14.6</v>
      </c>
      <c r="AU716" s="6">
        <v>7.77</v>
      </c>
      <c r="AV716" s="7">
        <v>1.79</v>
      </c>
      <c r="AW716" s="6" t="s">
        <v>5</v>
      </c>
      <c r="AX716" s="6" t="s">
        <v>5</v>
      </c>
      <c r="AY716" s="6" t="s">
        <v>5</v>
      </c>
      <c r="AZ716" s="6" t="s">
        <v>5</v>
      </c>
      <c r="BA716" s="6" t="s">
        <v>5</v>
      </c>
      <c r="BB716" s="6" t="s">
        <v>5</v>
      </c>
      <c r="BC716" s="6" t="s">
        <v>5</v>
      </c>
      <c r="BD716" s="6" t="s">
        <v>5</v>
      </c>
      <c r="BE716" s="6" t="s">
        <v>5</v>
      </c>
      <c r="BF716" s="6" t="s">
        <v>5</v>
      </c>
      <c r="BG716" s="6" t="s">
        <v>5</v>
      </c>
      <c r="BH716" s="6" t="s">
        <v>5</v>
      </c>
      <c r="BI716" s="7">
        <v>3.13</v>
      </c>
      <c r="BJ716" s="22">
        <v>0.69699999999999995</v>
      </c>
      <c r="BK716" s="6" t="s">
        <v>5</v>
      </c>
      <c r="BL716" s="2" t="s">
        <v>5</v>
      </c>
      <c r="BM716" s="2" t="s">
        <v>5</v>
      </c>
      <c r="BN716" s="2" t="s">
        <v>5</v>
      </c>
      <c r="BO716" s="2" t="s">
        <v>5</v>
      </c>
      <c r="BP716" s="2" t="s">
        <v>5</v>
      </c>
      <c r="BQ716" s="2" t="s">
        <v>5</v>
      </c>
      <c r="BR716" s="2" t="s">
        <v>5</v>
      </c>
      <c r="BS716" s="2" t="s">
        <v>5</v>
      </c>
      <c r="BT716" s="2" t="s">
        <v>5</v>
      </c>
      <c r="BU716" s="2" t="s">
        <v>5</v>
      </c>
      <c r="BV716" s="2" t="s">
        <v>5</v>
      </c>
      <c r="BW716" s="2" t="s">
        <v>5</v>
      </c>
      <c r="BX716" s="2" t="s">
        <v>5</v>
      </c>
      <c r="BY716" s="25" t="s">
        <v>5</v>
      </c>
      <c r="BZ716" s="25" t="s">
        <v>5</v>
      </c>
      <c r="CA716" s="6" t="s">
        <v>5</v>
      </c>
      <c r="CB716" s="6" t="s">
        <v>5</v>
      </c>
      <c r="CC716" s="6" t="s">
        <v>5</v>
      </c>
      <c r="CD716" s="6" t="s">
        <v>5</v>
      </c>
      <c r="CE716" s="6" t="s">
        <v>5</v>
      </c>
      <c r="CF716" s="16" t="s">
        <v>5</v>
      </c>
      <c r="CG716" s="16" t="s">
        <v>5</v>
      </c>
      <c r="CH716" s="18" t="s">
        <v>5</v>
      </c>
    </row>
    <row r="717" spans="2:86">
      <c r="B717" s="78" t="s">
        <v>473</v>
      </c>
      <c r="C717" s="79" t="s">
        <v>817</v>
      </c>
      <c r="D717" s="80" t="s">
        <v>817</v>
      </c>
      <c r="E717" s="1" t="s">
        <v>4</v>
      </c>
      <c r="F717" s="4">
        <v>32.4</v>
      </c>
      <c r="G717" s="7">
        <v>9.5</v>
      </c>
      <c r="H717" s="3" t="str">
        <f t="shared" si="30"/>
        <v>2L6X4X1/2LLBB</v>
      </c>
      <c r="I717" s="7">
        <v>6</v>
      </c>
      <c r="J717" s="5" t="s">
        <v>5</v>
      </c>
      <c r="K717" s="6" t="s">
        <v>5</v>
      </c>
      <c r="L717" s="6" t="s">
        <v>5</v>
      </c>
      <c r="M717" s="6" t="s">
        <v>5</v>
      </c>
      <c r="N717" s="6" t="s">
        <v>5</v>
      </c>
      <c r="O717" s="5" t="s">
        <v>5</v>
      </c>
      <c r="P717" s="5" t="s">
        <v>5</v>
      </c>
      <c r="Q717" s="7">
        <v>4</v>
      </c>
      <c r="R717" s="6" t="s">
        <v>5</v>
      </c>
      <c r="S717" s="6" t="s">
        <v>5</v>
      </c>
      <c r="T717" s="5" t="s">
        <v>5</v>
      </c>
      <c r="U717" s="8" t="s">
        <v>5</v>
      </c>
      <c r="V717" s="6" t="s">
        <v>5</v>
      </c>
      <c r="W717" s="8" t="s">
        <v>5</v>
      </c>
      <c r="X717" s="22">
        <v>0.5</v>
      </c>
      <c r="Y717" s="6" t="s">
        <v>5</v>
      </c>
      <c r="Z717" s="6" t="s">
        <v>5</v>
      </c>
      <c r="AA717" s="6" t="s">
        <v>5</v>
      </c>
      <c r="AB717" s="8" t="s">
        <v>5</v>
      </c>
      <c r="AC717" s="8" t="s">
        <v>5</v>
      </c>
      <c r="AD717" s="6" t="s">
        <v>5</v>
      </c>
      <c r="AE717" s="7">
        <v>1.98</v>
      </c>
      <c r="AF717" s="6" t="s">
        <v>5</v>
      </c>
      <c r="AG717" s="6" t="s">
        <v>5</v>
      </c>
      <c r="AH717" s="7">
        <v>1.25</v>
      </c>
      <c r="AI717" s="6" t="s">
        <v>5</v>
      </c>
      <c r="AJ717" s="4">
        <v>12</v>
      </c>
      <c r="AK717" s="6" t="s">
        <v>5</v>
      </c>
      <c r="AL717" s="6" t="s">
        <v>5</v>
      </c>
      <c r="AM717" s="6" t="s">
        <v>5</v>
      </c>
      <c r="AN717" s="6" t="s">
        <v>5</v>
      </c>
      <c r="AO717" s="4">
        <v>34.6</v>
      </c>
      <c r="AP717" s="4">
        <v>15.4</v>
      </c>
      <c r="AQ717" s="7">
        <v>8.6199999999999992</v>
      </c>
      <c r="AR717" s="7">
        <v>1.91</v>
      </c>
      <c r="AS717" s="6">
        <v>21.7</v>
      </c>
      <c r="AT717" s="6">
        <v>9.32</v>
      </c>
      <c r="AU717" s="6">
        <v>5.42</v>
      </c>
      <c r="AV717" s="7">
        <v>1.51</v>
      </c>
      <c r="AW717" s="6" t="s">
        <v>5</v>
      </c>
      <c r="AX717" s="6" t="s">
        <v>5</v>
      </c>
      <c r="AY717" s="6" t="s">
        <v>5</v>
      </c>
      <c r="AZ717" s="6" t="s">
        <v>5</v>
      </c>
      <c r="BA717" s="6" t="s">
        <v>5</v>
      </c>
      <c r="BB717" s="6" t="s">
        <v>5</v>
      </c>
      <c r="BC717" s="6" t="s">
        <v>5</v>
      </c>
      <c r="BD717" s="6" t="s">
        <v>5</v>
      </c>
      <c r="BE717" s="6" t="s">
        <v>5</v>
      </c>
      <c r="BF717" s="6" t="s">
        <v>5</v>
      </c>
      <c r="BG717" s="6" t="s">
        <v>5</v>
      </c>
      <c r="BH717" s="6" t="s">
        <v>5</v>
      </c>
      <c r="BI717" s="7">
        <v>2.99</v>
      </c>
      <c r="BJ717" s="22">
        <v>0.66500000000000004</v>
      </c>
      <c r="BK717" s="6" t="s">
        <v>5</v>
      </c>
      <c r="BL717" s="2" t="s">
        <v>5</v>
      </c>
      <c r="BM717" s="2" t="s">
        <v>5</v>
      </c>
      <c r="BN717" s="2" t="s">
        <v>5</v>
      </c>
      <c r="BO717" s="2" t="s">
        <v>5</v>
      </c>
      <c r="BP717" s="2" t="s">
        <v>5</v>
      </c>
      <c r="BQ717" s="2" t="s">
        <v>5</v>
      </c>
      <c r="BR717" s="2" t="s">
        <v>5</v>
      </c>
      <c r="BS717" s="2" t="s">
        <v>5</v>
      </c>
      <c r="BT717" s="2" t="s">
        <v>5</v>
      </c>
      <c r="BU717" s="2" t="s">
        <v>5</v>
      </c>
      <c r="BV717" s="2" t="s">
        <v>5</v>
      </c>
      <c r="BW717" s="2" t="s">
        <v>5</v>
      </c>
      <c r="BX717" s="2" t="s">
        <v>5</v>
      </c>
      <c r="BY717" s="25" t="s">
        <v>5</v>
      </c>
      <c r="BZ717" s="25" t="s">
        <v>5</v>
      </c>
      <c r="CA717" s="6" t="s">
        <v>5</v>
      </c>
      <c r="CB717" s="6" t="s">
        <v>5</v>
      </c>
      <c r="CC717" s="6" t="s">
        <v>5</v>
      </c>
      <c r="CD717" s="6" t="s">
        <v>5</v>
      </c>
      <c r="CE717" s="6" t="s">
        <v>5</v>
      </c>
      <c r="CF717" s="16" t="s">
        <v>5</v>
      </c>
      <c r="CG717" s="16" t="s">
        <v>5</v>
      </c>
      <c r="CH717" s="18" t="s">
        <v>5</v>
      </c>
    </row>
    <row r="718" spans="2:86">
      <c r="B718" s="78" t="s">
        <v>473</v>
      </c>
      <c r="C718" s="79" t="s">
        <v>818</v>
      </c>
      <c r="D718" s="80" t="s">
        <v>818</v>
      </c>
      <c r="E718" s="1" t="s">
        <v>4</v>
      </c>
      <c r="F718" s="4">
        <v>32.4</v>
      </c>
      <c r="G718" s="7">
        <v>9.5</v>
      </c>
      <c r="H718" s="3" t="str">
        <f t="shared" si="30"/>
        <v>2L6X4X1/2X3/8LLBB</v>
      </c>
      <c r="I718" s="7">
        <v>6</v>
      </c>
      <c r="J718" s="5" t="s">
        <v>5</v>
      </c>
      <c r="K718" s="6" t="s">
        <v>5</v>
      </c>
      <c r="L718" s="6" t="s">
        <v>5</v>
      </c>
      <c r="M718" s="6" t="s">
        <v>5</v>
      </c>
      <c r="N718" s="6" t="s">
        <v>5</v>
      </c>
      <c r="O718" s="5" t="s">
        <v>5</v>
      </c>
      <c r="P718" s="5" t="s">
        <v>5</v>
      </c>
      <c r="Q718" s="7">
        <v>4</v>
      </c>
      <c r="R718" s="6" t="s">
        <v>5</v>
      </c>
      <c r="S718" s="6" t="s">
        <v>5</v>
      </c>
      <c r="T718" s="5" t="s">
        <v>5</v>
      </c>
      <c r="U718" s="8" t="s">
        <v>5</v>
      </c>
      <c r="V718" s="6" t="s">
        <v>5</v>
      </c>
      <c r="W718" s="8" t="s">
        <v>5</v>
      </c>
      <c r="X718" s="22">
        <v>0.5</v>
      </c>
      <c r="Y718" s="6" t="s">
        <v>5</v>
      </c>
      <c r="Z718" s="6" t="s">
        <v>5</v>
      </c>
      <c r="AA718" s="6" t="s">
        <v>5</v>
      </c>
      <c r="AB718" s="8" t="s">
        <v>5</v>
      </c>
      <c r="AC718" s="8" t="s">
        <v>5</v>
      </c>
      <c r="AD718" s="6" t="s">
        <v>5</v>
      </c>
      <c r="AE718" s="7">
        <v>1.98</v>
      </c>
      <c r="AF718" s="6" t="s">
        <v>5</v>
      </c>
      <c r="AG718" s="6" t="s">
        <v>5</v>
      </c>
      <c r="AH718" s="7">
        <v>1.25</v>
      </c>
      <c r="AI718" s="6" t="s">
        <v>5</v>
      </c>
      <c r="AJ718" s="4">
        <v>12</v>
      </c>
      <c r="AK718" s="6" t="s">
        <v>5</v>
      </c>
      <c r="AL718" s="6" t="s">
        <v>5</v>
      </c>
      <c r="AM718" s="6" t="s">
        <v>5</v>
      </c>
      <c r="AN718" s="6" t="s">
        <v>5</v>
      </c>
      <c r="AO718" s="4">
        <v>34.6</v>
      </c>
      <c r="AP718" s="4">
        <v>15.4</v>
      </c>
      <c r="AQ718" s="7">
        <v>8.6199999999999992</v>
      </c>
      <c r="AR718" s="7">
        <v>1.91</v>
      </c>
      <c r="AS718" s="6">
        <v>25.6</v>
      </c>
      <c r="AT718" s="6">
        <v>11.1</v>
      </c>
      <c r="AU718" s="6">
        <v>6.11</v>
      </c>
      <c r="AV718" s="7">
        <v>1.64</v>
      </c>
      <c r="AW718" s="6" t="s">
        <v>5</v>
      </c>
      <c r="AX718" s="6" t="s">
        <v>5</v>
      </c>
      <c r="AY718" s="6" t="s">
        <v>5</v>
      </c>
      <c r="AZ718" s="6" t="s">
        <v>5</v>
      </c>
      <c r="BA718" s="6" t="s">
        <v>5</v>
      </c>
      <c r="BB718" s="6" t="s">
        <v>5</v>
      </c>
      <c r="BC718" s="6" t="s">
        <v>5</v>
      </c>
      <c r="BD718" s="6" t="s">
        <v>5</v>
      </c>
      <c r="BE718" s="6" t="s">
        <v>5</v>
      </c>
      <c r="BF718" s="6" t="s">
        <v>5</v>
      </c>
      <c r="BG718" s="6" t="s">
        <v>5</v>
      </c>
      <c r="BH718" s="6" t="s">
        <v>5</v>
      </c>
      <c r="BI718" s="7">
        <v>3.05</v>
      </c>
      <c r="BJ718" s="22">
        <v>0.67900000000000005</v>
      </c>
      <c r="BK718" s="6" t="s">
        <v>5</v>
      </c>
      <c r="BL718" s="2" t="s">
        <v>5</v>
      </c>
      <c r="BM718" s="2" t="s">
        <v>5</v>
      </c>
      <c r="BN718" s="2" t="s">
        <v>5</v>
      </c>
      <c r="BO718" s="2" t="s">
        <v>5</v>
      </c>
      <c r="BP718" s="2" t="s">
        <v>5</v>
      </c>
      <c r="BQ718" s="2" t="s">
        <v>5</v>
      </c>
      <c r="BR718" s="2" t="s">
        <v>5</v>
      </c>
      <c r="BS718" s="2" t="s">
        <v>5</v>
      </c>
      <c r="BT718" s="2" t="s">
        <v>5</v>
      </c>
      <c r="BU718" s="2" t="s">
        <v>5</v>
      </c>
      <c r="BV718" s="2" t="s">
        <v>5</v>
      </c>
      <c r="BW718" s="2" t="s">
        <v>5</v>
      </c>
      <c r="BX718" s="2" t="s">
        <v>5</v>
      </c>
      <c r="BY718" s="25" t="s">
        <v>5</v>
      </c>
      <c r="BZ718" s="25" t="s">
        <v>5</v>
      </c>
      <c r="CA718" s="6" t="s">
        <v>5</v>
      </c>
      <c r="CB718" s="6" t="s">
        <v>5</v>
      </c>
      <c r="CC718" s="6" t="s">
        <v>5</v>
      </c>
      <c r="CD718" s="6" t="s">
        <v>5</v>
      </c>
      <c r="CE718" s="6" t="s">
        <v>5</v>
      </c>
      <c r="CF718" s="16" t="s">
        <v>5</v>
      </c>
      <c r="CG718" s="16" t="s">
        <v>5</v>
      </c>
      <c r="CH718" s="18" t="s">
        <v>5</v>
      </c>
    </row>
    <row r="719" spans="2:86">
      <c r="B719" s="78" t="s">
        <v>473</v>
      </c>
      <c r="C719" s="79" t="s">
        <v>819</v>
      </c>
      <c r="D719" s="80" t="s">
        <v>819</v>
      </c>
      <c r="E719" s="1" t="s">
        <v>4</v>
      </c>
      <c r="F719" s="4">
        <v>32.4</v>
      </c>
      <c r="G719" s="7">
        <v>9.5</v>
      </c>
      <c r="H719" s="3" t="str">
        <f t="shared" si="30"/>
        <v>2L6X4X1/2X3/4LLBB</v>
      </c>
      <c r="I719" s="7">
        <v>6</v>
      </c>
      <c r="J719" s="5" t="s">
        <v>5</v>
      </c>
      <c r="K719" s="6" t="s">
        <v>5</v>
      </c>
      <c r="L719" s="6" t="s">
        <v>5</v>
      </c>
      <c r="M719" s="6" t="s">
        <v>5</v>
      </c>
      <c r="N719" s="6" t="s">
        <v>5</v>
      </c>
      <c r="O719" s="5" t="s">
        <v>5</v>
      </c>
      <c r="P719" s="5" t="s">
        <v>5</v>
      </c>
      <c r="Q719" s="7">
        <v>4</v>
      </c>
      <c r="R719" s="6" t="s">
        <v>5</v>
      </c>
      <c r="S719" s="6" t="s">
        <v>5</v>
      </c>
      <c r="T719" s="5" t="s">
        <v>5</v>
      </c>
      <c r="U719" s="8" t="s">
        <v>5</v>
      </c>
      <c r="V719" s="6" t="s">
        <v>5</v>
      </c>
      <c r="W719" s="8" t="s">
        <v>5</v>
      </c>
      <c r="X719" s="22">
        <v>0.5</v>
      </c>
      <c r="Y719" s="6" t="s">
        <v>5</v>
      </c>
      <c r="Z719" s="6" t="s">
        <v>5</v>
      </c>
      <c r="AA719" s="6" t="s">
        <v>5</v>
      </c>
      <c r="AB719" s="8" t="s">
        <v>5</v>
      </c>
      <c r="AC719" s="8" t="s">
        <v>5</v>
      </c>
      <c r="AD719" s="6" t="s">
        <v>5</v>
      </c>
      <c r="AE719" s="7">
        <v>1.98</v>
      </c>
      <c r="AF719" s="6" t="s">
        <v>5</v>
      </c>
      <c r="AG719" s="6" t="s">
        <v>5</v>
      </c>
      <c r="AH719" s="7">
        <v>1.25</v>
      </c>
      <c r="AI719" s="6" t="s">
        <v>5</v>
      </c>
      <c r="AJ719" s="4">
        <v>12</v>
      </c>
      <c r="AK719" s="6" t="s">
        <v>5</v>
      </c>
      <c r="AL719" s="6" t="s">
        <v>5</v>
      </c>
      <c r="AM719" s="6" t="s">
        <v>5</v>
      </c>
      <c r="AN719" s="6" t="s">
        <v>5</v>
      </c>
      <c r="AO719" s="4">
        <v>34.6</v>
      </c>
      <c r="AP719" s="4">
        <v>15.4</v>
      </c>
      <c r="AQ719" s="7">
        <v>8.6199999999999992</v>
      </c>
      <c r="AR719" s="7">
        <v>1.91</v>
      </c>
      <c r="AS719" s="6">
        <v>29.8</v>
      </c>
      <c r="AT719" s="6">
        <v>12.9</v>
      </c>
      <c r="AU719" s="6">
        <v>6.81</v>
      </c>
      <c r="AV719" s="7">
        <v>1.77</v>
      </c>
      <c r="AW719" s="6" t="s">
        <v>5</v>
      </c>
      <c r="AX719" s="6" t="s">
        <v>5</v>
      </c>
      <c r="AY719" s="6" t="s">
        <v>5</v>
      </c>
      <c r="AZ719" s="6" t="s">
        <v>5</v>
      </c>
      <c r="BA719" s="6" t="s">
        <v>5</v>
      </c>
      <c r="BB719" s="6" t="s">
        <v>5</v>
      </c>
      <c r="BC719" s="6" t="s">
        <v>5</v>
      </c>
      <c r="BD719" s="6" t="s">
        <v>5</v>
      </c>
      <c r="BE719" s="6" t="s">
        <v>5</v>
      </c>
      <c r="BF719" s="6" t="s">
        <v>5</v>
      </c>
      <c r="BG719" s="6" t="s">
        <v>5</v>
      </c>
      <c r="BH719" s="6" t="s">
        <v>5</v>
      </c>
      <c r="BI719" s="7">
        <v>3.13</v>
      </c>
      <c r="BJ719" s="22">
        <v>0.69499999999999995</v>
      </c>
      <c r="BK719" s="6" t="s">
        <v>5</v>
      </c>
      <c r="BL719" s="2" t="s">
        <v>5</v>
      </c>
      <c r="BM719" s="2" t="s">
        <v>5</v>
      </c>
      <c r="BN719" s="2" t="s">
        <v>5</v>
      </c>
      <c r="BO719" s="2" t="s">
        <v>5</v>
      </c>
      <c r="BP719" s="2" t="s">
        <v>5</v>
      </c>
      <c r="BQ719" s="2" t="s">
        <v>5</v>
      </c>
      <c r="BR719" s="2" t="s">
        <v>5</v>
      </c>
      <c r="BS719" s="2" t="s">
        <v>5</v>
      </c>
      <c r="BT719" s="2" t="s">
        <v>5</v>
      </c>
      <c r="BU719" s="2" t="s">
        <v>5</v>
      </c>
      <c r="BV719" s="2" t="s">
        <v>5</v>
      </c>
      <c r="BW719" s="2" t="s">
        <v>5</v>
      </c>
      <c r="BX719" s="2" t="s">
        <v>5</v>
      </c>
      <c r="BY719" s="25" t="s">
        <v>5</v>
      </c>
      <c r="BZ719" s="25" t="s">
        <v>5</v>
      </c>
      <c r="CA719" s="6" t="s">
        <v>5</v>
      </c>
      <c r="CB719" s="6" t="s">
        <v>5</v>
      </c>
      <c r="CC719" s="6" t="s">
        <v>5</v>
      </c>
      <c r="CD719" s="6" t="s">
        <v>5</v>
      </c>
      <c r="CE719" s="6" t="s">
        <v>5</v>
      </c>
      <c r="CF719" s="16" t="s">
        <v>5</v>
      </c>
      <c r="CG719" s="16" t="s">
        <v>5</v>
      </c>
      <c r="CH719" s="18" t="s">
        <v>5</v>
      </c>
    </row>
    <row r="720" spans="2:86">
      <c r="B720" s="78" t="s">
        <v>473</v>
      </c>
      <c r="C720" s="79" t="s">
        <v>820</v>
      </c>
      <c r="D720" s="80" t="s">
        <v>820</v>
      </c>
      <c r="E720" s="1" t="s">
        <v>4</v>
      </c>
      <c r="F720" s="4">
        <v>28.6</v>
      </c>
      <c r="G720" s="7">
        <v>8.36</v>
      </c>
      <c r="H720" s="3" t="str">
        <f t="shared" si="30"/>
        <v>2L6X4X7/16LLBB</v>
      </c>
      <c r="I720" s="7">
        <v>6</v>
      </c>
      <c r="J720" s="5" t="s">
        <v>5</v>
      </c>
      <c r="K720" s="6" t="s">
        <v>5</v>
      </c>
      <c r="L720" s="6" t="s">
        <v>5</v>
      </c>
      <c r="M720" s="6" t="s">
        <v>5</v>
      </c>
      <c r="N720" s="6" t="s">
        <v>5</v>
      </c>
      <c r="O720" s="5" t="s">
        <v>5</v>
      </c>
      <c r="P720" s="5" t="s">
        <v>5</v>
      </c>
      <c r="Q720" s="7">
        <v>4</v>
      </c>
      <c r="R720" s="6" t="s">
        <v>5</v>
      </c>
      <c r="S720" s="6" t="s">
        <v>5</v>
      </c>
      <c r="T720" s="5" t="s">
        <v>5</v>
      </c>
      <c r="U720" s="8" t="s">
        <v>5</v>
      </c>
      <c r="V720" s="6" t="s">
        <v>5</v>
      </c>
      <c r="W720" s="8" t="s">
        <v>5</v>
      </c>
      <c r="X720" s="22">
        <v>0.438</v>
      </c>
      <c r="Y720" s="6" t="s">
        <v>5</v>
      </c>
      <c r="Z720" s="6" t="s">
        <v>5</v>
      </c>
      <c r="AA720" s="6" t="s">
        <v>5</v>
      </c>
      <c r="AB720" s="8" t="s">
        <v>5</v>
      </c>
      <c r="AC720" s="8" t="s">
        <v>5</v>
      </c>
      <c r="AD720" s="6" t="s">
        <v>5</v>
      </c>
      <c r="AE720" s="7">
        <v>1.95</v>
      </c>
      <c r="AF720" s="6" t="s">
        <v>5</v>
      </c>
      <c r="AG720" s="6" t="s">
        <v>5</v>
      </c>
      <c r="AH720" s="7">
        <v>1.22</v>
      </c>
      <c r="AI720" s="6" t="s">
        <v>5</v>
      </c>
      <c r="AJ720" s="4">
        <v>13.7</v>
      </c>
      <c r="AK720" s="6" t="s">
        <v>5</v>
      </c>
      <c r="AL720" s="6" t="s">
        <v>5</v>
      </c>
      <c r="AM720" s="6" t="s">
        <v>5</v>
      </c>
      <c r="AN720" s="6" t="s">
        <v>5</v>
      </c>
      <c r="AO720" s="4">
        <v>30.8</v>
      </c>
      <c r="AP720" s="4">
        <v>13.6</v>
      </c>
      <c r="AQ720" s="7">
        <v>7.62</v>
      </c>
      <c r="AR720" s="7">
        <v>1.92</v>
      </c>
      <c r="AS720" s="6">
        <v>18.8</v>
      </c>
      <c r="AT720" s="7">
        <v>8</v>
      </c>
      <c r="AU720" s="7">
        <v>4.7</v>
      </c>
      <c r="AV720" s="7">
        <v>1.5</v>
      </c>
      <c r="AW720" s="6" t="s">
        <v>5</v>
      </c>
      <c r="AX720" s="6" t="s">
        <v>5</v>
      </c>
      <c r="AY720" s="6" t="s">
        <v>5</v>
      </c>
      <c r="AZ720" s="6" t="s">
        <v>5</v>
      </c>
      <c r="BA720" s="6" t="s">
        <v>5</v>
      </c>
      <c r="BB720" s="6" t="s">
        <v>5</v>
      </c>
      <c r="BC720" s="6" t="s">
        <v>5</v>
      </c>
      <c r="BD720" s="6" t="s">
        <v>5</v>
      </c>
      <c r="BE720" s="6" t="s">
        <v>5</v>
      </c>
      <c r="BF720" s="6" t="s">
        <v>5</v>
      </c>
      <c r="BG720" s="6" t="s">
        <v>5</v>
      </c>
      <c r="BH720" s="6" t="s">
        <v>5</v>
      </c>
      <c r="BI720" s="7">
        <v>2.99</v>
      </c>
      <c r="BJ720" s="22">
        <v>0.66300000000000003</v>
      </c>
      <c r="BK720" s="6" t="s">
        <v>5</v>
      </c>
      <c r="BL720" s="2" t="s">
        <v>5</v>
      </c>
      <c r="BM720" s="2" t="s">
        <v>5</v>
      </c>
      <c r="BN720" s="2" t="s">
        <v>5</v>
      </c>
      <c r="BO720" s="2" t="s">
        <v>5</v>
      </c>
      <c r="BP720" s="2" t="s">
        <v>5</v>
      </c>
      <c r="BQ720" s="2" t="s">
        <v>5</v>
      </c>
      <c r="BR720" s="2" t="s">
        <v>5</v>
      </c>
      <c r="BS720" s="2" t="s">
        <v>5</v>
      </c>
      <c r="BT720" s="2" t="s">
        <v>5</v>
      </c>
      <c r="BU720" s="2" t="s">
        <v>5</v>
      </c>
      <c r="BV720" s="2" t="s">
        <v>5</v>
      </c>
      <c r="BW720" s="2" t="s">
        <v>5</v>
      </c>
      <c r="BX720" s="2" t="s">
        <v>5</v>
      </c>
      <c r="BY720" s="25" t="s">
        <v>5</v>
      </c>
      <c r="BZ720" s="25" t="s">
        <v>5</v>
      </c>
      <c r="CA720" s="6" t="s">
        <v>5</v>
      </c>
      <c r="CB720" s="6" t="s">
        <v>5</v>
      </c>
      <c r="CC720" s="6" t="s">
        <v>5</v>
      </c>
      <c r="CD720" s="6" t="s">
        <v>5</v>
      </c>
      <c r="CE720" s="6" t="s">
        <v>5</v>
      </c>
      <c r="CF720" s="16" t="s">
        <v>5</v>
      </c>
      <c r="CG720" s="16" t="s">
        <v>5</v>
      </c>
      <c r="CH720" s="18" t="s">
        <v>5</v>
      </c>
    </row>
    <row r="721" spans="2:86">
      <c r="B721" s="78" t="s">
        <v>473</v>
      </c>
      <c r="C721" s="79" t="s">
        <v>821</v>
      </c>
      <c r="D721" s="80" t="s">
        <v>821</v>
      </c>
      <c r="E721" s="1" t="s">
        <v>4</v>
      </c>
      <c r="F721" s="4">
        <v>28.6</v>
      </c>
      <c r="G721" s="7">
        <v>8.36</v>
      </c>
      <c r="H721" s="3" t="str">
        <f t="shared" si="30"/>
        <v>2L6X4X7/16X3/8LLBB</v>
      </c>
      <c r="I721" s="7">
        <v>6</v>
      </c>
      <c r="J721" s="5" t="s">
        <v>5</v>
      </c>
      <c r="K721" s="6" t="s">
        <v>5</v>
      </c>
      <c r="L721" s="6" t="s">
        <v>5</v>
      </c>
      <c r="M721" s="6" t="s">
        <v>5</v>
      </c>
      <c r="N721" s="6" t="s">
        <v>5</v>
      </c>
      <c r="O721" s="5" t="s">
        <v>5</v>
      </c>
      <c r="P721" s="5" t="s">
        <v>5</v>
      </c>
      <c r="Q721" s="7">
        <v>4</v>
      </c>
      <c r="R721" s="6" t="s">
        <v>5</v>
      </c>
      <c r="S721" s="6" t="s">
        <v>5</v>
      </c>
      <c r="T721" s="5" t="s">
        <v>5</v>
      </c>
      <c r="U721" s="8" t="s">
        <v>5</v>
      </c>
      <c r="V721" s="6" t="s">
        <v>5</v>
      </c>
      <c r="W721" s="8" t="s">
        <v>5</v>
      </c>
      <c r="X721" s="22">
        <v>0.438</v>
      </c>
      <c r="Y721" s="6" t="s">
        <v>5</v>
      </c>
      <c r="Z721" s="6" t="s">
        <v>5</v>
      </c>
      <c r="AA721" s="6" t="s">
        <v>5</v>
      </c>
      <c r="AB721" s="8" t="s">
        <v>5</v>
      </c>
      <c r="AC721" s="8" t="s">
        <v>5</v>
      </c>
      <c r="AD721" s="6" t="s">
        <v>5</v>
      </c>
      <c r="AE721" s="7">
        <v>1.95</v>
      </c>
      <c r="AF721" s="6" t="s">
        <v>5</v>
      </c>
      <c r="AG721" s="6" t="s">
        <v>5</v>
      </c>
      <c r="AH721" s="7">
        <v>1.22</v>
      </c>
      <c r="AI721" s="6" t="s">
        <v>5</v>
      </c>
      <c r="AJ721" s="4">
        <v>13.7</v>
      </c>
      <c r="AK721" s="6" t="s">
        <v>5</v>
      </c>
      <c r="AL721" s="6" t="s">
        <v>5</v>
      </c>
      <c r="AM721" s="6" t="s">
        <v>5</v>
      </c>
      <c r="AN721" s="6" t="s">
        <v>5</v>
      </c>
      <c r="AO721" s="4">
        <v>30.8</v>
      </c>
      <c r="AP721" s="4">
        <v>13.6</v>
      </c>
      <c r="AQ721" s="7">
        <v>7.62</v>
      </c>
      <c r="AR721" s="7">
        <v>1.92</v>
      </c>
      <c r="AS721" s="6">
        <v>21.9</v>
      </c>
      <c r="AT721" s="6">
        <v>9.57</v>
      </c>
      <c r="AU721" s="6">
        <v>5.23</v>
      </c>
      <c r="AV721" s="7">
        <v>1.62</v>
      </c>
      <c r="AW721" s="6" t="s">
        <v>5</v>
      </c>
      <c r="AX721" s="6" t="s">
        <v>5</v>
      </c>
      <c r="AY721" s="6" t="s">
        <v>5</v>
      </c>
      <c r="AZ721" s="6" t="s">
        <v>5</v>
      </c>
      <c r="BA721" s="6" t="s">
        <v>5</v>
      </c>
      <c r="BB721" s="6" t="s">
        <v>5</v>
      </c>
      <c r="BC721" s="6" t="s">
        <v>5</v>
      </c>
      <c r="BD721" s="6" t="s">
        <v>5</v>
      </c>
      <c r="BE721" s="6" t="s">
        <v>5</v>
      </c>
      <c r="BF721" s="6" t="s">
        <v>5</v>
      </c>
      <c r="BG721" s="6" t="s">
        <v>5</v>
      </c>
      <c r="BH721" s="6" t="s">
        <v>5</v>
      </c>
      <c r="BI721" s="7">
        <v>3.06</v>
      </c>
      <c r="BJ721" s="22">
        <v>0.67800000000000005</v>
      </c>
      <c r="BK721" s="6" t="s">
        <v>5</v>
      </c>
      <c r="BL721" s="2" t="s">
        <v>5</v>
      </c>
      <c r="BM721" s="2" t="s">
        <v>5</v>
      </c>
      <c r="BN721" s="2" t="s">
        <v>5</v>
      </c>
      <c r="BO721" s="2" t="s">
        <v>5</v>
      </c>
      <c r="BP721" s="2" t="s">
        <v>5</v>
      </c>
      <c r="BQ721" s="2" t="s">
        <v>5</v>
      </c>
      <c r="BR721" s="2" t="s">
        <v>5</v>
      </c>
      <c r="BS721" s="2" t="s">
        <v>5</v>
      </c>
      <c r="BT721" s="2" t="s">
        <v>5</v>
      </c>
      <c r="BU721" s="2" t="s">
        <v>5</v>
      </c>
      <c r="BV721" s="2" t="s">
        <v>5</v>
      </c>
      <c r="BW721" s="2" t="s">
        <v>5</v>
      </c>
      <c r="BX721" s="2" t="s">
        <v>5</v>
      </c>
      <c r="BY721" s="25" t="s">
        <v>5</v>
      </c>
      <c r="BZ721" s="25" t="s">
        <v>5</v>
      </c>
      <c r="CA721" s="6" t="s">
        <v>5</v>
      </c>
      <c r="CB721" s="6" t="s">
        <v>5</v>
      </c>
      <c r="CC721" s="6" t="s">
        <v>5</v>
      </c>
      <c r="CD721" s="6" t="s">
        <v>5</v>
      </c>
      <c r="CE721" s="6" t="s">
        <v>5</v>
      </c>
      <c r="CF721" s="16" t="s">
        <v>5</v>
      </c>
      <c r="CG721" s="16" t="s">
        <v>5</v>
      </c>
      <c r="CH721" s="18" t="s">
        <v>5</v>
      </c>
    </row>
    <row r="722" spans="2:86">
      <c r="B722" s="78" t="s">
        <v>473</v>
      </c>
      <c r="C722" s="79" t="s">
        <v>822</v>
      </c>
      <c r="D722" s="80" t="s">
        <v>822</v>
      </c>
      <c r="E722" s="1" t="s">
        <v>4</v>
      </c>
      <c r="F722" s="4">
        <v>28.6</v>
      </c>
      <c r="G722" s="7">
        <v>8.36</v>
      </c>
      <c r="H722" s="3" t="str">
        <f t="shared" si="30"/>
        <v>2L6X4X7/16X3/4LLBB</v>
      </c>
      <c r="I722" s="7">
        <v>6</v>
      </c>
      <c r="J722" s="5" t="s">
        <v>5</v>
      </c>
      <c r="K722" s="6" t="s">
        <v>5</v>
      </c>
      <c r="L722" s="6" t="s">
        <v>5</v>
      </c>
      <c r="M722" s="6" t="s">
        <v>5</v>
      </c>
      <c r="N722" s="6" t="s">
        <v>5</v>
      </c>
      <c r="O722" s="5" t="s">
        <v>5</v>
      </c>
      <c r="P722" s="5" t="s">
        <v>5</v>
      </c>
      <c r="Q722" s="7">
        <v>4</v>
      </c>
      <c r="R722" s="6" t="s">
        <v>5</v>
      </c>
      <c r="S722" s="6" t="s">
        <v>5</v>
      </c>
      <c r="T722" s="5" t="s">
        <v>5</v>
      </c>
      <c r="U722" s="8" t="s">
        <v>5</v>
      </c>
      <c r="V722" s="6" t="s">
        <v>5</v>
      </c>
      <c r="W722" s="8" t="s">
        <v>5</v>
      </c>
      <c r="X722" s="22">
        <v>0.438</v>
      </c>
      <c r="Y722" s="6" t="s">
        <v>5</v>
      </c>
      <c r="Z722" s="6" t="s">
        <v>5</v>
      </c>
      <c r="AA722" s="6" t="s">
        <v>5</v>
      </c>
      <c r="AB722" s="8" t="s">
        <v>5</v>
      </c>
      <c r="AC722" s="8" t="s">
        <v>5</v>
      </c>
      <c r="AD722" s="6" t="s">
        <v>5</v>
      </c>
      <c r="AE722" s="7">
        <v>1.95</v>
      </c>
      <c r="AF722" s="6" t="s">
        <v>5</v>
      </c>
      <c r="AG722" s="6" t="s">
        <v>5</v>
      </c>
      <c r="AH722" s="7">
        <v>1.22</v>
      </c>
      <c r="AI722" s="6" t="s">
        <v>5</v>
      </c>
      <c r="AJ722" s="4">
        <v>13.7</v>
      </c>
      <c r="AK722" s="6" t="s">
        <v>5</v>
      </c>
      <c r="AL722" s="6" t="s">
        <v>5</v>
      </c>
      <c r="AM722" s="6" t="s">
        <v>5</v>
      </c>
      <c r="AN722" s="6" t="s">
        <v>5</v>
      </c>
      <c r="AO722" s="4">
        <v>30.8</v>
      </c>
      <c r="AP722" s="4">
        <v>13.6</v>
      </c>
      <c r="AQ722" s="7">
        <v>7.62</v>
      </c>
      <c r="AR722" s="7">
        <v>1.92</v>
      </c>
      <c r="AS722" s="6">
        <v>25.9</v>
      </c>
      <c r="AT722" s="6">
        <v>11.1</v>
      </c>
      <c r="AU722" s="6">
        <v>5.92</v>
      </c>
      <c r="AV722" s="7">
        <v>1.76</v>
      </c>
      <c r="AW722" s="6" t="s">
        <v>5</v>
      </c>
      <c r="AX722" s="6" t="s">
        <v>5</v>
      </c>
      <c r="AY722" s="6" t="s">
        <v>5</v>
      </c>
      <c r="AZ722" s="6" t="s">
        <v>5</v>
      </c>
      <c r="BA722" s="6" t="s">
        <v>5</v>
      </c>
      <c r="BB722" s="6" t="s">
        <v>5</v>
      </c>
      <c r="BC722" s="6" t="s">
        <v>5</v>
      </c>
      <c r="BD722" s="6" t="s">
        <v>5</v>
      </c>
      <c r="BE722" s="6" t="s">
        <v>5</v>
      </c>
      <c r="BF722" s="6" t="s">
        <v>5</v>
      </c>
      <c r="BG722" s="6" t="s">
        <v>5</v>
      </c>
      <c r="BH722" s="6" t="s">
        <v>5</v>
      </c>
      <c r="BI722" s="7">
        <v>3.13</v>
      </c>
      <c r="BJ722" s="22">
        <v>0.69299999999999995</v>
      </c>
      <c r="BK722" s="6" t="s">
        <v>5</v>
      </c>
      <c r="BL722" s="2" t="s">
        <v>5</v>
      </c>
      <c r="BM722" s="2" t="s">
        <v>5</v>
      </c>
      <c r="BN722" s="2" t="s">
        <v>5</v>
      </c>
      <c r="BO722" s="2" t="s">
        <v>5</v>
      </c>
      <c r="BP722" s="2" t="s">
        <v>5</v>
      </c>
      <c r="BQ722" s="2" t="s">
        <v>5</v>
      </c>
      <c r="BR722" s="2" t="s">
        <v>5</v>
      </c>
      <c r="BS722" s="2" t="s">
        <v>5</v>
      </c>
      <c r="BT722" s="2" t="s">
        <v>5</v>
      </c>
      <c r="BU722" s="2" t="s">
        <v>5</v>
      </c>
      <c r="BV722" s="2" t="s">
        <v>5</v>
      </c>
      <c r="BW722" s="2" t="s">
        <v>5</v>
      </c>
      <c r="BX722" s="2" t="s">
        <v>5</v>
      </c>
      <c r="BY722" s="25" t="s">
        <v>5</v>
      </c>
      <c r="BZ722" s="25" t="s">
        <v>5</v>
      </c>
      <c r="CA722" s="6" t="s">
        <v>5</v>
      </c>
      <c r="CB722" s="6" t="s">
        <v>5</v>
      </c>
      <c r="CC722" s="6" t="s">
        <v>5</v>
      </c>
      <c r="CD722" s="6" t="s">
        <v>5</v>
      </c>
      <c r="CE722" s="6" t="s">
        <v>5</v>
      </c>
      <c r="CF722" s="16" t="s">
        <v>5</v>
      </c>
      <c r="CG722" s="16" t="s">
        <v>5</v>
      </c>
      <c r="CH722" s="18" t="s">
        <v>5</v>
      </c>
    </row>
    <row r="723" spans="2:86">
      <c r="B723" s="78" t="s">
        <v>473</v>
      </c>
      <c r="C723" s="79" t="s">
        <v>823</v>
      </c>
      <c r="D723" s="80" t="s">
        <v>823</v>
      </c>
      <c r="E723" s="1" t="s">
        <v>4</v>
      </c>
      <c r="F723" s="4">
        <v>24.6</v>
      </c>
      <c r="G723" s="7">
        <v>7.22</v>
      </c>
      <c r="H723" s="3" t="str">
        <f t="shared" si="30"/>
        <v>2L6X4X3/8LLBB</v>
      </c>
      <c r="I723" s="7">
        <v>6</v>
      </c>
      <c r="J723" s="5" t="s">
        <v>5</v>
      </c>
      <c r="K723" s="6" t="s">
        <v>5</v>
      </c>
      <c r="L723" s="6" t="s">
        <v>5</v>
      </c>
      <c r="M723" s="6" t="s">
        <v>5</v>
      </c>
      <c r="N723" s="6" t="s">
        <v>5</v>
      </c>
      <c r="O723" s="5" t="s">
        <v>5</v>
      </c>
      <c r="P723" s="5" t="s">
        <v>5</v>
      </c>
      <c r="Q723" s="7">
        <v>4</v>
      </c>
      <c r="R723" s="6" t="s">
        <v>5</v>
      </c>
      <c r="S723" s="6" t="s">
        <v>5</v>
      </c>
      <c r="T723" s="5" t="s">
        <v>5</v>
      </c>
      <c r="U723" s="8" t="s">
        <v>5</v>
      </c>
      <c r="V723" s="6" t="s">
        <v>5</v>
      </c>
      <c r="W723" s="8" t="s">
        <v>5</v>
      </c>
      <c r="X723" s="22">
        <v>0.375</v>
      </c>
      <c r="Y723" s="6" t="s">
        <v>5</v>
      </c>
      <c r="Z723" s="6" t="s">
        <v>5</v>
      </c>
      <c r="AA723" s="6" t="s">
        <v>5</v>
      </c>
      <c r="AB723" s="8" t="s">
        <v>5</v>
      </c>
      <c r="AC723" s="8" t="s">
        <v>5</v>
      </c>
      <c r="AD723" s="6" t="s">
        <v>5</v>
      </c>
      <c r="AE723" s="7">
        <v>1.93</v>
      </c>
      <c r="AF723" s="6" t="s">
        <v>5</v>
      </c>
      <c r="AG723" s="6" t="s">
        <v>5</v>
      </c>
      <c r="AH723" s="7">
        <v>1.19</v>
      </c>
      <c r="AI723" s="6" t="s">
        <v>5</v>
      </c>
      <c r="AJ723" s="4">
        <v>16</v>
      </c>
      <c r="AK723" s="6" t="s">
        <v>5</v>
      </c>
      <c r="AL723" s="6" t="s">
        <v>5</v>
      </c>
      <c r="AM723" s="6" t="s">
        <v>5</v>
      </c>
      <c r="AN723" s="6" t="s">
        <v>5</v>
      </c>
      <c r="AO723" s="4">
        <v>26.8</v>
      </c>
      <c r="AP723" s="4">
        <v>11.8</v>
      </c>
      <c r="AQ723" s="7">
        <v>6.6</v>
      </c>
      <c r="AR723" s="7">
        <v>1.93</v>
      </c>
      <c r="AS723" s="4">
        <v>16</v>
      </c>
      <c r="AT723" s="6">
        <v>6.74</v>
      </c>
      <c r="AU723" s="7">
        <v>4</v>
      </c>
      <c r="AV723" s="7">
        <v>1.49</v>
      </c>
      <c r="AW723" s="6" t="s">
        <v>5</v>
      </c>
      <c r="AX723" s="6" t="s">
        <v>5</v>
      </c>
      <c r="AY723" s="6" t="s">
        <v>5</v>
      </c>
      <c r="AZ723" s="6" t="s">
        <v>5</v>
      </c>
      <c r="BA723" s="6" t="s">
        <v>5</v>
      </c>
      <c r="BB723" s="6" t="s">
        <v>5</v>
      </c>
      <c r="BC723" s="6" t="s">
        <v>5</v>
      </c>
      <c r="BD723" s="6" t="s">
        <v>5</v>
      </c>
      <c r="BE723" s="6" t="s">
        <v>5</v>
      </c>
      <c r="BF723" s="6" t="s">
        <v>5</v>
      </c>
      <c r="BG723" s="6" t="s">
        <v>5</v>
      </c>
      <c r="BH723" s="6" t="s">
        <v>5</v>
      </c>
      <c r="BI723" s="7">
        <v>2.99</v>
      </c>
      <c r="BJ723" s="22">
        <v>0.66200000000000003</v>
      </c>
      <c r="BK723" s="6" t="s">
        <v>5</v>
      </c>
      <c r="BL723" s="2" t="s">
        <v>5</v>
      </c>
      <c r="BM723" s="2" t="s">
        <v>5</v>
      </c>
      <c r="BN723" s="2" t="s">
        <v>5</v>
      </c>
      <c r="BO723" s="2" t="s">
        <v>5</v>
      </c>
      <c r="BP723" s="2" t="s">
        <v>5</v>
      </c>
      <c r="BQ723" s="2" t="s">
        <v>5</v>
      </c>
      <c r="BR723" s="2" t="s">
        <v>5</v>
      </c>
      <c r="BS723" s="2" t="s">
        <v>5</v>
      </c>
      <c r="BT723" s="2" t="s">
        <v>5</v>
      </c>
      <c r="BU723" s="2" t="s">
        <v>5</v>
      </c>
      <c r="BV723" s="2" t="s">
        <v>5</v>
      </c>
      <c r="BW723" s="2" t="s">
        <v>5</v>
      </c>
      <c r="BX723" s="2" t="s">
        <v>5</v>
      </c>
      <c r="BY723" s="25" t="s">
        <v>5</v>
      </c>
      <c r="BZ723" s="25" t="s">
        <v>5</v>
      </c>
      <c r="CA723" s="6" t="s">
        <v>5</v>
      </c>
      <c r="CB723" s="6" t="s">
        <v>5</v>
      </c>
      <c r="CC723" s="6" t="s">
        <v>5</v>
      </c>
      <c r="CD723" s="6" t="s">
        <v>5</v>
      </c>
      <c r="CE723" s="6" t="s">
        <v>5</v>
      </c>
      <c r="CF723" s="16" t="s">
        <v>5</v>
      </c>
      <c r="CG723" s="16" t="s">
        <v>5</v>
      </c>
      <c r="CH723" s="18" t="s">
        <v>5</v>
      </c>
    </row>
    <row r="724" spans="2:86">
      <c r="B724" s="78" t="s">
        <v>473</v>
      </c>
      <c r="C724" s="79" t="s">
        <v>824</v>
      </c>
      <c r="D724" s="80" t="s">
        <v>824</v>
      </c>
      <c r="E724" s="1" t="s">
        <v>4</v>
      </c>
      <c r="F724" s="4">
        <v>24.6</v>
      </c>
      <c r="G724" s="7">
        <v>7.22</v>
      </c>
      <c r="H724" s="3" t="str">
        <f t="shared" si="30"/>
        <v>2L6X4X3/8X3/8LLBB</v>
      </c>
      <c r="I724" s="7">
        <v>6</v>
      </c>
      <c r="J724" s="5" t="s">
        <v>5</v>
      </c>
      <c r="K724" s="6" t="s">
        <v>5</v>
      </c>
      <c r="L724" s="6" t="s">
        <v>5</v>
      </c>
      <c r="M724" s="6" t="s">
        <v>5</v>
      </c>
      <c r="N724" s="6" t="s">
        <v>5</v>
      </c>
      <c r="O724" s="5" t="s">
        <v>5</v>
      </c>
      <c r="P724" s="5" t="s">
        <v>5</v>
      </c>
      <c r="Q724" s="7">
        <v>4</v>
      </c>
      <c r="R724" s="6" t="s">
        <v>5</v>
      </c>
      <c r="S724" s="6" t="s">
        <v>5</v>
      </c>
      <c r="T724" s="5" t="s">
        <v>5</v>
      </c>
      <c r="U724" s="8" t="s">
        <v>5</v>
      </c>
      <c r="V724" s="6" t="s">
        <v>5</v>
      </c>
      <c r="W724" s="8" t="s">
        <v>5</v>
      </c>
      <c r="X724" s="22">
        <v>0.375</v>
      </c>
      <c r="Y724" s="6" t="s">
        <v>5</v>
      </c>
      <c r="Z724" s="6" t="s">
        <v>5</v>
      </c>
      <c r="AA724" s="6" t="s">
        <v>5</v>
      </c>
      <c r="AB724" s="8" t="s">
        <v>5</v>
      </c>
      <c r="AC724" s="8" t="s">
        <v>5</v>
      </c>
      <c r="AD724" s="6" t="s">
        <v>5</v>
      </c>
      <c r="AE724" s="7">
        <v>1.93</v>
      </c>
      <c r="AF724" s="6" t="s">
        <v>5</v>
      </c>
      <c r="AG724" s="6" t="s">
        <v>5</v>
      </c>
      <c r="AH724" s="7">
        <v>1.19</v>
      </c>
      <c r="AI724" s="6" t="s">
        <v>5</v>
      </c>
      <c r="AJ724" s="4">
        <v>16</v>
      </c>
      <c r="AK724" s="6" t="s">
        <v>5</v>
      </c>
      <c r="AL724" s="6" t="s">
        <v>5</v>
      </c>
      <c r="AM724" s="6" t="s">
        <v>5</v>
      </c>
      <c r="AN724" s="6" t="s">
        <v>5</v>
      </c>
      <c r="AO724" s="4">
        <v>26.8</v>
      </c>
      <c r="AP724" s="4">
        <v>11.8</v>
      </c>
      <c r="AQ724" s="7">
        <v>6.6</v>
      </c>
      <c r="AR724" s="7">
        <v>1.93</v>
      </c>
      <c r="AS724" s="6">
        <v>18.7</v>
      </c>
      <c r="AT724" s="6">
        <v>8.09</v>
      </c>
      <c r="AU724" s="6">
        <v>4.47</v>
      </c>
      <c r="AV724" s="7">
        <v>1.61</v>
      </c>
      <c r="AW724" s="6" t="s">
        <v>5</v>
      </c>
      <c r="AX724" s="6" t="s">
        <v>5</v>
      </c>
      <c r="AY724" s="6" t="s">
        <v>5</v>
      </c>
      <c r="AZ724" s="6" t="s">
        <v>5</v>
      </c>
      <c r="BA724" s="6" t="s">
        <v>5</v>
      </c>
      <c r="BB724" s="6" t="s">
        <v>5</v>
      </c>
      <c r="BC724" s="6" t="s">
        <v>5</v>
      </c>
      <c r="BD724" s="6" t="s">
        <v>5</v>
      </c>
      <c r="BE724" s="6" t="s">
        <v>5</v>
      </c>
      <c r="BF724" s="6" t="s">
        <v>5</v>
      </c>
      <c r="BG724" s="6" t="s">
        <v>5</v>
      </c>
      <c r="BH724" s="6" t="s">
        <v>5</v>
      </c>
      <c r="BI724" s="7">
        <v>3.06</v>
      </c>
      <c r="BJ724" s="22">
        <v>0.67600000000000005</v>
      </c>
      <c r="BK724" s="6" t="s">
        <v>5</v>
      </c>
      <c r="BL724" s="2" t="s">
        <v>5</v>
      </c>
      <c r="BM724" s="2" t="s">
        <v>5</v>
      </c>
      <c r="BN724" s="2" t="s">
        <v>5</v>
      </c>
      <c r="BO724" s="2" t="s">
        <v>5</v>
      </c>
      <c r="BP724" s="2" t="s">
        <v>5</v>
      </c>
      <c r="BQ724" s="2" t="s">
        <v>5</v>
      </c>
      <c r="BR724" s="2" t="s">
        <v>5</v>
      </c>
      <c r="BS724" s="2" t="s">
        <v>5</v>
      </c>
      <c r="BT724" s="2" t="s">
        <v>5</v>
      </c>
      <c r="BU724" s="2" t="s">
        <v>5</v>
      </c>
      <c r="BV724" s="2" t="s">
        <v>5</v>
      </c>
      <c r="BW724" s="2" t="s">
        <v>5</v>
      </c>
      <c r="BX724" s="2" t="s">
        <v>5</v>
      </c>
      <c r="BY724" s="25" t="s">
        <v>5</v>
      </c>
      <c r="BZ724" s="25" t="s">
        <v>5</v>
      </c>
      <c r="CA724" s="6" t="s">
        <v>5</v>
      </c>
      <c r="CB724" s="6" t="s">
        <v>5</v>
      </c>
      <c r="CC724" s="6" t="s">
        <v>5</v>
      </c>
      <c r="CD724" s="6" t="s">
        <v>5</v>
      </c>
      <c r="CE724" s="6" t="s">
        <v>5</v>
      </c>
      <c r="CF724" s="16" t="s">
        <v>5</v>
      </c>
      <c r="CG724" s="16" t="s">
        <v>5</v>
      </c>
      <c r="CH724" s="18" t="s">
        <v>5</v>
      </c>
    </row>
    <row r="725" spans="2:86">
      <c r="B725" s="78" t="s">
        <v>473</v>
      </c>
      <c r="C725" s="79" t="s">
        <v>825</v>
      </c>
      <c r="D725" s="80" t="s">
        <v>825</v>
      </c>
      <c r="E725" s="1" t="s">
        <v>4</v>
      </c>
      <c r="F725" s="4">
        <v>24.6</v>
      </c>
      <c r="G725" s="7">
        <v>7.22</v>
      </c>
      <c r="H725" s="3" t="str">
        <f t="shared" si="30"/>
        <v>2L6X4X3/8X3/4LLBB</v>
      </c>
      <c r="I725" s="7">
        <v>6</v>
      </c>
      <c r="J725" s="5" t="s">
        <v>5</v>
      </c>
      <c r="K725" s="6" t="s">
        <v>5</v>
      </c>
      <c r="L725" s="6" t="s">
        <v>5</v>
      </c>
      <c r="M725" s="6" t="s">
        <v>5</v>
      </c>
      <c r="N725" s="6" t="s">
        <v>5</v>
      </c>
      <c r="O725" s="5" t="s">
        <v>5</v>
      </c>
      <c r="P725" s="5" t="s">
        <v>5</v>
      </c>
      <c r="Q725" s="7">
        <v>4</v>
      </c>
      <c r="R725" s="6" t="s">
        <v>5</v>
      </c>
      <c r="S725" s="6" t="s">
        <v>5</v>
      </c>
      <c r="T725" s="5" t="s">
        <v>5</v>
      </c>
      <c r="U725" s="8" t="s">
        <v>5</v>
      </c>
      <c r="V725" s="6" t="s">
        <v>5</v>
      </c>
      <c r="W725" s="8" t="s">
        <v>5</v>
      </c>
      <c r="X725" s="22">
        <v>0.375</v>
      </c>
      <c r="Y725" s="6" t="s">
        <v>5</v>
      </c>
      <c r="Z725" s="6" t="s">
        <v>5</v>
      </c>
      <c r="AA725" s="6" t="s">
        <v>5</v>
      </c>
      <c r="AB725" s="8" t="s">
        <v>5</v>
      </c>
      <c r="AC725" s="8" t="s">
        <v>5</v>
      </c>
      <c r="AD725" s="6" t="s">
        <v>5</v>
      </c>
      <c r="AE725" s="7">
        <v>1.93</v>
      </c>
      <c r="AF725" s="6" t="s">
        <v>5</v>
      </c>
      <c r="AG725" s="6" t="s">
        <v>5</v>
      </c>
      <c r="AH725" s="7">
        <v>1.19</v>
      </c>
      <c r="AI725" s="6" t="s">
        <v>5</v>
      </c>
      <c r="AJ725" s="4">
        <v>16</v>
      </c>
      <c r="AK725" s="6" t="s">
        <v>5</v>
      </c>
      <c r="AL725" s="6" t="s">
        <v>5</v>
      </c>
      <c r="AM725" s="6" t="s">
        <v>5</v>
      </c>
      <c r="AN725" s="6" t="s">
        <v>5</v>
      </c>
      <c r="AO725" s="4">
        <v>26.8</v>
      </c>
      <c r="AP725" s="4">
        <v>11.8</v>
      </c>
      <c r="AQ725" s="7">
        <v>6.6</v>
      </c>
      <c r="AR725" s="7">
        <v>1.93</v>
      </c>
      <c r="AS725" s="6">
        <v>22.1</v>
      </c>
      <c r="AT725" s="6">
        <v>9.44</v>
      </c>
      <c r="AU725" s="6">
        <v>5.05</v>
      </c>
      <c r="AV725" s="7">
        <v>1.75</v>
      </c>
      <c r="AW725" s="6" t="s">
        <v>5</v>
      </c>
      <c r="AX725" s="6" t="s">
        <v>5</v>
      </c>
      <c r="AY725" s="6" t="s">
        <v>5</v>
      </c>
      <c r="AZ725" s="6" t="s">
        <v>5</v>
      </c>
      <c r="BA725" s="6" t="s">
        <v>5</v>
      </c>
      <c r="BB725" s="6" t="s">
        <v>5</v>
      </c>
      <c r="BC725" s="6" t="s">
        <v>5</v>
      </c>
      <c r="BD725" s="6" t="s">
        <v>5</v>
      </c>
      <c r="BE725" s="6" t="s">
        <v>5</v>
      </c>
      <c r="BF725" s="6" t="s">
        <v>5</v>
      </c>
      <c r="BG725" s="6" t="s">
        <v>5</v>
      </c>
      <c r="BH725" s="6" t="s">
        <v>5</v>
      </c>
      <c r="BI725" s="7">
        <v>3.13</v>
      </c>
      <c r="BJ725" s="22">
        <v>0.69099999999999995</v>
      </c>
      <c r="BK725" s="6" t="s">
        <v>5</v>
      </c>
      <c r="BL725" s="2" t="s">
        <v>5</v>
      </c>
      <c r="BM725" s="2" t="s">
        <v>5</v>
      </c>
      <c r="BN725" s="2" t="s">
        <v>5</v>
      </c>
      <c r="BO725" s="2" t="s">
        <v>5</v>
      </c>
      <c r="BP725" s="2" t="s">
        <v>5</v>
      </c>
      <c r="BQ725" s="2" t="s">
        <v>5</v>
      </c>
      <c r="BR725" s="2" t="s">
        <v>5</v>
      </c>
      <c r="BS725" s="2" t="s">
        <v>5</v>
      </c>
      <c r="BT725" s="2" t="s">
        <v>5</v>
      </c>
      <c r="BU725" s="2" t="s">
        <v>5</v>
      </c>
      <c r="BV725" s="2" t="s">
        <v>5</v>
      </c>
      <c r="BW725" s="2" t="s">
        <v>5</v>
      </c>
      <c r="BX725" s="2" t="s">
        <v>5</v>
      </c>
      <c r="BY725" s="25" t="s">
        <v>5</v>
      </c>
      <c r="BZ725" s="25" t="s">
        <v>5</v>
      </c>
      <c r="CA725" s="6" t="s">
        <v>5</v>
      </c>
      <c r="CB725" s="6" t="s">
        <v>5</v>
      </c>
      <c r="CC725" s="6" t="s">
        <v>5</v>
      </c>
      <c r="CD725" s="6" t="s">
        <v>5</v>
      </c>
      <c r="CE725" s="6" t="s">
        <v>5</v>
      </c>
      <c r="CF725" s="16" t="s">
        <v>5</v>
      </c>
      <c r="CG725" s="16" t="s">
        <v>5</v>
      </c>
      <c r="CH725" s="18" t="s">
        <v>5</v>
      </c>
    </row>
    <row r="726" spans="2:86">
      <c r="B726" s="78" t="s">
        <v>473</v>
      </c>
      <c r="C726" s="79" t="s">
        <v>826</v>
      </c>
      <c r="D726" s="80" t="s">
        <v>826</v>
      </c>
      <c r="E726" s="1" t="s">
        <v>4</v>
      </c>
      <c r="F726" s="4">
        <v>20.6</v>
      </c>
      <c r="G726" s="7">
        <v>6.06</v>
      </c>
      <c r="H726" s="3" t="str">
        <f t="shared" si="30"/>
        <v>2L6X4X5/16LLBB</v>
      </c>
      <c r="I726" s="7">
        <v>6</v>
      </c>
      <c r="J726" s="5" t="s">
        <v>5</v>
      </c>
      <c r="K726" s="6" t="s">
        <v>5</v>
      </c>
      <c r="L726" s="6" t="s">
        <v>5</v>
      </c>
      <c r="M726" s="6" t="s">
        <v>5</v>
      </c>
      <c r="N726" s="6" t="s">
        <v>5</v>
      </c>
      <c r="O726" s="5" t="s">
        <v>5</v>
      </c>
      <c r="P726" s="5" t="s">
        <v>5</v>
      </c>
      <c r="Q726" s="7">
        <v>4</v>
      </c>
      <c r="R726" s="6" t="s">
        <v>5</v>
      </c>
      <c r="S726" s="6" t="s">
        <v>5</v>
      </c>
      <c r="T726" s="5" t="s">
        <v>5</v>
      </c>
      <c r="U726" s="8" t="s">
        <v>5</v>
      </c>
      <c r="V726" s="6" t="s">
        <v>5</v>
      </c>
      <c r="W726" s="8" t="s">
        <v>5</v>
      </c>
      <c r="X726" s="22">
        <v>0.313</v>
      </c>
      <c r="Y726" s="6" t="s">
        <v>5</v>
      </c>
      <c r="Z726" s="6" t="s">
        <v>5</v>
      </c>
      <c r="AA726" s="6" t="s">
        <v>5</v>
      </c>
      <c r="AB726" s="8" t="s">
        <v>5</v>
      </c>
      <c r="AC726" s="8" t="s">
        <v>5</v>
      </c>
      <c r="AD726" s="6" t="s">
        <v>5</v>
      </c>
      <c r="AE726" s="7">
        <v>1.9</v>
      </c>
      <c r="AF726" s="6" t="s">
        <v>5</v>
      </c>
      <c r="AG726" s="6" t="s">
        <v>5</v>
      </c>
      <c r="AH726" s="7">
        <v>1.1499999999999999</v>
      </c>
      <c r="AI726" s="6" t="s">
        <v>5</v>
      </c>
      <c r="AJ726" s="4">
        <v>19.2</v>
      </c>
      <c r="AK726" s="6" t="s">
        <v>5</v>
      </c>
      <c r="AL726" s="6" t="s">
        <v>5</v>
      </c>
      <c r="AM726" s="6" t="s">
        <v>5</v>
      </c>
      <c r="AN726" s="6" t="s">
        <v>5</v>
      </c>
      <c r="AO726" s="4">
        <v>22.8</v>
      </c>
      <c r="AP726" s="7">
        <v>9.92</v>
      </c>
      <c r="AQ726" s="7">
        <v>5.54</v>
      </c>
      <c r="AR726" s="7">
        <v>1.94</v>
      </c>
      <c r="AS726" s="6">
        <v>13.3</v>
      </c>
      <c r="AT726" s="7">
        <v>5.5</v>
      </c>
      <c r="AU726" s="6">
        <v>3.32</v>
      </c>
      <c r="AV726" s="7">
        <v>1.48</v>
      </c>
      <c r="AW726" s="6" t="s">
        <v>5</v>
      </c>
      <c r="AX726" s="6" t="s">
        <v>5</v>
      </c>
      <c r="AY726" s="6" t="s">
        <v>5</v>
      </c>
      <c r="AZ726" s="6" t="s">
        <v>5</v>
      </c>
      <c r="BA726" s="6" t="s">
        <v>5</v>
      </c>
      <c r="BB726" s="6" t="s">
        <v>5</v>
      </c>
      <c r="BC726" s="6" t="s">
        <v>5</v>
      </c>
      <c r="BD726" s="6" t="s">
        <v>5</v>
      </c>
      <c r="BE726" s="6" t="s">
        <v>5</v>
      </c>
      <c r="BF726" s="6" t="s">
        <v>5</v>
      </c>
      <c r="BG726" s="6" t="s">
        <v>5</v>
      </c>
      <c r="BH726" s="6" t="s">
        <v>5</v>
      </c>
      <c r="BI726" s="7">
        <v>3</v>
      </c>
      <c r="BJ726" s="22">
        <v>0.66100000000000003</v>
      </c>
      <c r="BK726" s="6" t="s">
        <v>5</v>
      </c>
      <c r="BL726" s="2" t="s">
        <v>5</v>
      </c>
      <c r="BM726" s="2" t="s">
        <v>5</v>
      </c>
      <c r="BN726" s="2" t="s">
        <v>5</v>
      </c>
      <c r="BO726" s="2" t="s">
        <v>5</v>
      </c>
      <c r="BP726" s="2" t="s">
        <v>5</v>
      </c>
      <c r="BQ726" s="2" t="s">
        <v>5</v>
      </c>
      <c r="BR726" s="2" t="s">
        <v>5</v>
      </c>
      <c r="BS726" s="2" t="s">
        <v>5</v>
      </c>
      <c r="BT726" s="2" t="s">
        <v>5</v>
      </c>
      <c r="BU726" s="2" t="s">
        <v>5</v>
      </c>
      <c r="BV726" s="2" t="s">
        <v>5</v>
      </c>
      <c r="BW726" s="2" t="s">
        <v>5</v>
      </c>
      <c r="BX726" s="2" t="s">
        <v>5</v>
      </c>
      <c r="BY726" s="25" t="s">
        <v>5</v>
      </c>
      <c r="BZ726" s="25" t="s">
        <v>5</v>
      </c>
      <c r="CA726" s="6" t="s">
        <v>5</v>
      </c>
      <c r="CB726" s="6" t="s">
        <v>5</v>
      </c>
      <c r="CC726" s="6" t="s">
        <v>5</v>
      </c>
      <c r="CD726" s="6" t="s">
        <v>5</v>
      </c>
      <c r="CE726" s="6" t="s">
        <v>5</v>
      </c>
      <c r="CF726" s="16" t="s">
        <v>5</v>
      </c>
      <c r="CG726" s="16" t="s">
        <v>5</v>
      </c>
      <c r="CH726" s="18" t="s">
        <v>5</v>
      </c>
    </row>
    <row r="727" spans="2:86">
      <c r="B727" s="78" t="s">
        <v>473</v>
      </c>
      <c r="C727" s="79" t="s">
        <v>827</v>
      </c>
      <c r="D727" s="80" t="s">
        <v>827</v>
      </c>
      <c r="E727" s="1" t="s">
        <v>4</v>
      </c>
      <c r="F727" s="4">
        <v>20.6</v>
      </c>
      <c r="G727" s="7">
        <v>6.06</v>
      </c>
      <c r="H727" s="3" t="str">
        <f t="shared" si="30"/>
        <v>2L6X4X5/16X3/8LLBB</v>
      </c>
      <c r="I727" s="7">
        <v>6</v>
      </c>
      <c r="J727" s="5" t="s">
        <v>5</v>
      </c>
      <c r="K727" s="6" t="s">
        <v>5</v>
      </c>
      <c r="L727" s="6" t="s">
        <v>5</v>
      </c>
      <c r="M727" s="6" t="s">
        <v>5</v>
      </c>
      <c r="N727" s="6" t="s">
        <v>5</v>
      </c>
      <c r="O727" s="5" t="s">
        <v>5</v>
      </c>
      <c r="P727" s="5" t="s">
        <v>5</v>
      </c>
      <c r="Q727" s="7">
        <v>4</v>
      </c>
      <c r="R727" s="6" t="s">
        <v>5</v>
      </c>
      <c r="S727" s="6" t="s">
        <v>5</v>
      </c>
      <c r="T727" s="5" t="s">
        <v>5</v>
      </c>
      <c r="U727" s="8" t="s">
        <v>5</v>
      </c>
      <c r="V727" s="6" t="s">
        <v>5</v>
      </c>
      <c r="W727" s="8" t="s">
        <v>5</v>
      </c>
      <c r="X727" s="22">
        <v>0.313</v>
      </c>
      <c r="Y727" s="6" t="s">
        <v>5</v>
      </c>
      <c r="Z727" s="6" t="s">
        <v>5</v>
      </c>
      <c r="AA727" s="6" t="s">
        <v>5</v>
      </c>
      <c r="AB727" s="8" t="s">
        <v>5</v>
      </c>
      <c r="AC727" s="8" t="s">
        <v>5</v>
      </c>
      <c r="AD727" s="6" t="s">
        <v>5</v>
      </c>
      <c r="AE727" s="7">
        <v>1.9</v>
      </c>
      <c r="AF727" s="6" t="s">
        <v>5</v>
      </c>
      <c r="AG727" s="6" t="s">
        <v>5</v>
      </c>
      <c r="AH727" s="7">
        <v>1.1499999999999999</v>
      </c>
      <c r="AI727" s="6" t="s">
        <v>5</v>
      </c>
      <c r="AJ727" s="4">
        <v>19.2</v>
      </c>
      <c r="AK727" s="6" t="s">
        <v>5</v>
      </c>
      <c r="AL727" s="6" t="s">
        <v>5</v>
      </c>
      <c r="AM727" s="6" t="s">
        <v>5</v>
      </c>
      <c r="AN727" s="6" t="s">
        <v>5</v>
      </c>
      <c r="AO727" s="4">
        <v>22.8</v>
      </c>
      <c r="AP727" s="7">
        <v>9.92</v>
      </c>
      <c r="AQ727" s="7">
        <v>5.54</v>
      </c>
      <c r="AR727" s="7">
        <v>1.94</v>
      </c>
      <c r="AS727" s="6">
        <v>15.5</v>
      </c>
      <c r="AT727" s="6">
        <v>6.64</v>
      </c>
      <c r="AU727" s="7">
        <v>3.7</v>
      </c>
      <c r="AV727" s="7">
        <v>1.6</v>
      </c>
      <c r="AW727" s="6" t="s">
        <v>5</v>
      </c>
      <c r="AX727" s="6" t="s">
        <v>5</v>
      </c>
      <c r="AY727" s="6" t="s">
        <v>5</v>
      </c>
      <c r="AZ727" s="6" t="s">
        <v>5</v>
      </c>
      <c r="BA727" s="6" t="s">
        <v>5</v>
      </c>
      <c r="BB727" s="6" t="s">
        <v>5</v>
      </c>
      <c r="BC727" s="6" t="s">
        <v>5</v>
      </c>
      <c r="BD727" s="6" t="s">
        <v>5</v>
      </c>
      <c r="BE727" s="6" t="s">
        <v>5</v>
      </c>
      <c r="BF727" s="6" t="s">
        <v>5</v>
      </c>
      <c r="BG727" s="6" t="s">
        <v>5</v>
      </c>
      <c r="BH727" s="6" t="s">
        <v>5</v>
      </c>
      <c r="BI727" s="7">
        <v>3.06</v>
      </c>
      <c r="BJ727" s="22">
        <v>0.67400000000000004</v>
      </c>
      <c r="BK727" s="6" t="s">
        <v>5</v>
      </c>
      <c r="BL727" s="2" t="s">
        <v>5</v>
      </c>
      <c r="BM727" s="2" t="s">
        <v>5</v>
      </c>
      <c r="BN727" s="2" t="s">
        <v>5</v>
      </c>
      <c r="BO727" s="2" t="s">
        <v>5</v>
      </c>
      <c r="BP727" s="2" t="s">
        <v>5</v>
      </c>
      <c r="BQ727" s="2" t="s">
        <v>5</v>
      </c>
      <c r="BR727" s="2" t="s">
        <v>5</v>
      </c>
      <c r="BS727" s="2" t="s">
        <v>5</v>
      </c>
      <c r="BT727" s="2" t="s">
        <v>5</v>
      </c>
      <c r="BU727" s="2" t="s">
        <v>5</v>
      </c>
      <c r="BV727" s="2" t="s">
        <v>5</v>
      </c>
      <c r="BW727" s="2" t="s">
        <v>5</v>
      </c>
      <c r="BX727" s="2" t="s">
        <v>5</v>
      </c>
      <c r="BY727" s="25" t="s">
        <v>5</v>
      </c>
      <c r="BZ727" s="25" t="s">
        <v>5</v>
      </c>
      <c r="CA727" s="6" t="s">
        <v>5</v>
      </c>
      <c r="CB727" s="6" t="s">
        <v>5</v>
      </c>
      <c r="CC727" s="6" t="s">
        <v>5</v>
      </c>
      <c r="CD727" s="6" t="s">
        <v>5</v>
      </c>
      <c r="CE727" s="6" t="s">
        <v>5</v>
      </c>
      <c r="CF727" s="16" t="s">
        <v>5</v>
      </c>
      <c r="CG727" s="16" t="s">
        <v>5</v>
      </c>
      <c r="CH727" s="18" t="s">
        <v>5</v>
      </c>
    </row>
    <row r="728" spans="2:86">
      <c r="B728" s="78" t="s">
        <v>473</v>
      </c>
      <c r="C728" s="79" t="s">
        <v>828</v>
      </c>
      <c r="D728" s="80" t="s">
        <v>828</v>
      </c>
      <c r="E728" s="1" t="s">
        <v>4</v>
      </c>
      <c r="F728" s="4">
        <v>20.6</v>
      </c>
      <c r="G728" s="7">
        <v>6.06</v>
      </c>
      <c r="H728" s="3" t="str">
        <f t="shared" si="30"/>
        <v>2L6X4X5/16X3/4LLBB</v>
      </c>
      <c r="I728" s="7">
        <v>6</v>
      </c>
      <c r="J728" s="5" t="s">
        <v>5</v>
      </c>
      <c r="K728" s="6" t="s">
        <v>5</v>
      </c>
      <c r="L728" s="6" t="s">
        <v>5</v>
      </c>
      <c r="M728" s="6" t="s">
        <v>5</v>
      </c>
      <c r="N728" s="6" t="s">
        <v>5</v>
      </c>
      <c r="O728" s="5" t="s">
        <v>5</v>
      </c>
      <c r="P728" s="5" t="s">
        <v>5</v>
      </c>
      <c r="Q728" s="7">
        <v>4</v>
      </c>
      <c r="R728" s="6" t="s">
        <v>5</v>
      </c>
      <c r="S728" s="6" t="s">
        <v>5</v>
      </c>
      <c r="T728" s="5" t="s">
        <v>5</v>
      </c>
      <c r="U728" s="8" t="s">
        <v>5</v>
      </c>
      <c r="V728" s="6" t="s">
        <v>5</v>
      </c>
      <c r="W728" s="8" t="s">
        <v>5</v>
      </c>
      <c r="X728" s="22">
        <v>0.313</v>
      </c>
      <c r="Y728" s="6" t="s">
        <v>5</v>
      </c>
      <c r="Z728" s="6" t="s">
        <v>5</v>
      </c>
      <c r="AA728" s="6" t="s">
        <v>5</v>
      </c>
      <c r="AB728" s="8" t="s">
        <v>5</v>
      </c>
      <c r="AC728" s="8" t="s">
        <v>5</v>
      </c>
      <c r="AD728" s="6" t="s">
        <v>5</v>
      </c>
      <c r="AE728" s="7">
        <v>1.9</v>
      </c>
      <c r="AF728" s="6" t="s">
        <v>5</v>
      </c>
      <c r="AG728" s="6" t="s">
        <v>5</v>
      </c>
      <c r="AH728" s="7">
        <v>1.1499999999999999</v>
      </c>
      <c r="AI728" s="6" t="s">
        <v>5</v>
      </c>
      <c r="AJ728" s="4">
        <v>19.2</v>
      </c>
      <c r="AK728" s="6" t="s">
        <v>5</v>
      </c>
      <c r="AL728" s="6" t="s">
        <v>5</v>
      </c>
      <c r="AM728" s="6" t="s">
        <v>5</v>
      </c>
      <c r="AN728" s="6" t="s">
        <v>5</v>
      </c>
      <c r="AO728" s="4">
        <v>22.8</v>
      </c>
      <c r="AP728" s="7">
        <v>9.92</v>
      </c>
      <c r="AQ728" s="7">
        <v>5.54</v>
      </c>
      <c r="AR728" s="7">
        <v>1.94</v>
      </c>
      <c r="AS728" s="6">
        <v>18.3</v>
      </c>
      <c r="AT728" s="6">
        <v>7.77</v>
      </c>
      <c r="AU728" s="6">
        <v>4.18</v>
      </c>
      <c r="AV728" s="7">
        <v>1.74</v>
      </c>
      <c r="AW728" s="6" t="s">
        <v>5</v>
      </c>
      <c r="AX728" s="6" t="s">
        <v>5</v>
      </c>
      <c r="AY728" s="6" t="s">
        <v>5</v>
      </c>
      <c r="AZ728" s="6" t="s">
        <v>5</v>
      </c>
      <c r="BA728" s="6" t="s">
        <v>5</v>
      </c>
      <c r="BB728" s="6" t="s">
        <v>5</v>
      </c>
      <c r="BC728" s="6" t="s">
        <v>5</v>
      </c>
      <c r="BD728" s="6" t="s">
        <v>5</v>
      </c>
      <c r="BE728" s="6" t="s">
        <v>5</v>
      </c>
      <c r="BF728" s="6" t="s">
        <v>5</v>
      </c>
      <c r="BG728" s="6" t="s">
        <v>5</v>
      </c>
      <c r="BH728" s="6" t="s">
        <v>5</v>
      </c>
      <c r="BI728" s="7">
        <v>3.13</v>
      </c>
      <c r="BJ728" s="22">
        <v>0.68899999999999995</v>
      </c>
      <c r="BK728" s="6" t="s">
        <v>5</v>
      </c>
      <c r="BL728" s="2" t="s">
        <v>5</v>
      </c>
      <c r="BM728" s="2" t="s">
        <v>5</v>
      </c>
      <c r="BN728" s="2" t="s">
        <v>5</v>
      </c>
      <c r="BO728" s="2" t="s">
        <v>5</v>
      </c>
      <c r="BP728" s="2" t="s">
        <v>5</v>
      </c>
      <c r="BQ728" s="2" t="s">
        <v>5</v>
      </c>
      <c r="BR728" s="2" t="s">
        <v>5</v>
      </c>
      <c r="BS728" s="2" t="s">
        <v>5</v>
      </c>
      <c r="BT728" s="2" t="s">
        <v>5</v>
      </c>
      <c r="BU728" s="2" t="s">
        <v>5</v>
      </c>
      <c r="BV728" s="2" t="s">
        <v>5</v>
      </c>
      <c r="BW728" s="2" t="s">
        <v>5</v>
      </c>
      <c r="BX728" s="2" t="s">
        <v>5</v>
      </c>
      <c r="BY728" s="25" t="s">
        <v>5</v>
      </c>
      <c r="BZ728" s="25" t="s">
        <v>5</v>
      </c>
      <c r="CA728" s="6" t="s">
        <v>5</v>
      </c>
      <c r="CB728" s="6" t="s">
        <v>5</v>
      </c>
      <c r="CC728" s="6" t="s">
        <v>5</v>
      </c>
      <c r="CD728" s="6" t="s">
        <v>5</v>
      </c>
      <c r="CE728" s="6" t="s">
        <v>5</v>
      </c>
      <c r="CF728" s="16" t="s">
        <v>5</v>
      </c>
      <c r="CG728" s="16" t="s">
        <v>5</v>
      </c>
      <c r="CH728" s="18" t="s">
        <v>5</v>
      </c>
    </row>
    <row r="729" spans="2:86">
      <c r="B729" s="78" t="s">
        <v>473</v>
      </c>
      <c r="C729" s="79" t="s">
        <v>829</v>
      </c>
      <c r="D729" s="80" t="s">
        <v>829</v>
      </c>
      <c r="E729" s="1" t="s">
        <v>4</v>
      </c>
      <c r="F729" s="4">
        <v>30.6</v>
      </c>
      <c r="G729" s="7">
        <v>9</v>
      </c>
      <c r="H729" s="3" t="str">
        <f t="shared" si="30"/>
        <v>2L6X3-1/2X1/2LLBB</v>
      </c>
      <c r="I729" s="7">
        <v>6</v>
      </c>
      <c r="J729" s="5" t="s">
        <v>5</v>
      </c>
      <c r="K729" s="6" t="s">
        <v>5</v>
      </c>
      <c r="L729" s="6" t="s">
        <v>5</v>
      </c>
      <c r="M729" s="6" t="s">
        <v>5</v>
      </c>
      <c r="N729" s="6" t="s">
        <v>5</v>
      </c>
      <c r="O729" s="5" t="s">
        <v>5</v>
      </c>
      <c r="P729" s="5" t="s">
        <v>5</v>
      </c>
      <c r="Q729" s="7">
        <v>3.5</v>
      </c>
      <c r="R729" s="6" t="s">
        <v>5</v>
      </c>
      <c r="S729" s="6" t="s">
        <v>5</v>
      </c>
      <c r="T729" s="5" t="s">
        <v>5</v>
      </c>
      <c r="U729" s="8" t="s">
        <v>5</v>
      </c>
      <c r="V729" s="6" t="s">
        <v>5</v>
      </c>
      <c r="W729" s="8" t="s">
        <v>5</v>
      </c>
      <c r="X729" s="22">
        <v>0.5</v>
      </c>
      <c r="Y729" s="6" t="s">
        <v>5</v>
      </c>
      <c r="Z729" s="6" t="s">
        <v>5</v>
      </c>
      <c r="AA729" s="6" t="s">
        <v>5</v>
      </c>
      <c r="AB729" s="8" t="s">
        <v>5</v>
      </c>
      <c r="AC729" s="8" t="s">
        <v>5</v>
      </c>
      <c r="AD729" s="6" t="s">
        <v>5</v>
      </c>
      <c r="AE729" s="7">
        <v>2.0699999999999998</v>
      </c>
      <c r="AF729" s="6" t="s">
        <v>5</v>
      </c>
      <c r="AG729" s="6" t="s">
        <v>5</v>
      </c>
      <c r="AH729" s="7">
        <v>1.5</v>
      </c>
      <c r="AI729" s="6" t="s">
        <v>5</v>
      </c>
      <c r="AJ729" s="4">
        <v>12</v>
      </c>
      <c r="AK729" s="6" t="s">
        <v>5</v>
      </c>
      <c r="AL729" s="6" t="s">
        <v>5</v>
      </c>
      <c r="AM729" s="6" t="s">
        <v>5</v>
      </c>
      <c r="AN729" s="6" t="s">
        <v>5</v>
      </c>
      <c r="AO729" s="4">
        <v>33.200000000000003</v>
      </c>
      <c r="AP729" s="4">
        <v>15</v>
      </c>
      <c r="AQ729" s="7">
        <v>8.4600000000000009</v>
      </c>
      <c r="AR729" s="7">
        <v>1.92</v>
      </c>
      <c r="AS729" s="6">
        <v>14.5</v>
      </c>
      <c r="AT729" s="6">
        <v>7.46</v>
      </c>
      <c r="AU729" s="6">
        <v>4.1399999999999997</v>
      </c>
      <c r="AV729" s="7">
        <v>1.27</v>
      </c>
      <c r="AW729" s="6" t="s">
        <v>5</v>
      </c>
      <c r="AX729" s="6" t="s">
        <v>5</v>
      </c>
      <c r="AY729" s="6" t="s">
        <v>5</v>
      </c>
      <c r="AZ729" s="6" t="s">
        <v>5</v>
      </c>
      <c r="BA729" s="6" t="s">
        <v>5</v>
      </c>
      <c r="BB729" s="6" t="s">
        <v>5</v>
      </c>
      <c r="BC729" s="6" t="s">
        <v>5</v>
      </c>
      <c r="BD729" s="6" t="s">
        <v>5</v>
      </c>
      <c r="BE729" s="6" t="s">
        <v>5</v>
      </c>
      <c r="BF729" s="6" t="s">
        <v>5</v>
      </c>
      <c r="BG729" s="6" t="s">
        <v>5</v>
      </c>
      <c r="BH729" s="6" t="s">
        <v>5</v>
      </c>
      <c r="BI729" s="7">
        <v>2.94</v>
      </c>
      <c r="BJ729" s="22">
        <v>0.61499999999999999</v>
      </c>
      <c r="BK729" s="6" t="s">
        <v>5</v>
      </c>
      <c r="BL729" s="2" t="s">
        <v>5</v>
      </c>
      <c r="BM729" s="2" t="s">
        <v>5</v>
      </c>
      <c r="BN729" s="2" t="s">
        <v>5</v>
      </c>
      <c r="BO729" s="2" t="s">
        <v>5</v>
      </c>
      <c r="BP729" s="2" t="s">
        <v>5</v>
      </c>
      <c r="BQ729" s="2" t="s">
        <v>5</v>
      </c>
      <c r="BR729" s="2" t="s">
        <v>5</v>
      </c>
      <c r="BS729" s="2" t="s">
        <v>5</v>
      </c>
      <c r="BT729" s="2" t="s">
        <v>5</v>
      </c>
      <c r="BU729" s="2" t="s">
        <v>5</v>
      </c>
      <c r="BV729" s="2" t="s">
        <v>5</v>
      </c>
      <c r="BW729" s="2" t="s">
        <v>5</v>
      </c>
      <c r="BX729" s="2" t="s">
        <v>5</v>
      </c>
      <c r="BY729" s="25" t="s">
        <v>5</v>
      </c>
      <c r="BZ729" s="25" t="s">
        <v>5</v>
      </c>
      <c r="CA729" s="6" t="s">
        <v>5</v>
      </c>
      <c r="CB729" s="6" t="s">
        <v>5</v>
      </c>
      <c r="CC729" s="6" t="s">
        <v>5</v>
      </c>
      <c r="CD729" s="6" t="s">
        <v>5</v>
      </c>
      <c r="CE729" s="6" t="s">
        <v>5</v>
      </c>
      <c r="CF729" s="16" t="s">
        <v>5</v>
      </c>
      <c r="CG729" s="16" t="s">
        <v>5</v>
      </c>
      <c r="CH729" s="18" t="s">
        <v>5</v>
      </c>
    </row>
    <row r="730" spans="2:86">
      <c r="B730" s="78" t="s">
        <v>473</v>
      </c>
      <c r="C730" s="79" t="s">
        <v>830</v>
      </c>
      <c r="D730" s="80" t="s">
        <v>830</v>
      </c>
      <c r="E730" s="1" t="s">
        <v>4</v>
      </c>
      <c r="F730" s="4">
        <v>30.6</v>
      </c>
      <c r="G730" s="7">
        <v>9</v>
      </c>
      <c r="H730" s="3" t="str">
        <f t="shared" si="30"/>
        <v>2L6X3-1/2X1/2X3/8LLBB</v>
      </c>
      <c r="I730" s="7">
        <v>6</v>
      </c>
      <c r="J730" s="5" t="s">
        <v>5</v>
      </c>
      <c r="K730" s="6" t="s">
        <v>5</v>
      </c>
      <c r="L730" s="6" t="s">
        <v>5</v>
      </c>
      <c r="M730" s="6" t="s">
        <v>5</v>
      </c>
      <c r="N730" s="6" t="s">
        <v>5</v>
      </c>
      <c r="O730" s="5" t="s">
        <v>5</v>
      </c>
      <c r="P730" s="5" t="s">
        <v>5</v>
      </c>
      <c r="Q730" s="7">
        <v>3.5</v>
      </c>
      <c r="R730" s="6" t="s">
        <v>5</v>
      </c>
      <c r="S730" s="6" t="s">
        <v>5</v>
      </c>
      <c r="T730" s="5" t="s">
        <v>5</v>
      </c>
      <c r="U730" s="8" t="s">
        <v>5</v>
      </c>
      <c r="V730" s="6" t="s">
        <v>5</v>
      </c>
      <c r="W730" s="8" t="s">
        <v>5</v>
      </c>
      <c r="X730" s="22">
        <v>0.5</v>
      </c>
      <c r="Y730" s="6" t="s">
        <v>5</v>
      </c>
      <c r="Z730" s="6" t="s">
        <v>5</v>
      </c>
      <c r="AA730" s="6" t="s">
        <v>5</v>
      </c>
      <c r="AB730" s="8" t="s">
        <v>5</v>
      </c>
      <c r="AC730" s="8" t="s">
        <v>5</v>
      </c>
      <c r="AD730" s="6" t="s">
        <v>5</v>
      </c>
      <c r="AE730" s="7">
        <v>2.0699999999999998</v>
      </c>
      <c r="AF730" s="6" t="s">
        <v>5</v>
      </c>
      <c r="AG730" s="6" t="s">
        <v>5</v>
      </c>
      <c r="AH730" s="7">
        <v>1.5</v>
      </c>
      <c r="AI730" s="6" t="s">
        <v>5</v>
      </c>
      <c r="AJ730" s="4">
        <v>12</v>
      </c>
      <c r="AK730" s="6" t="s">
        <v>5</v>
      </c>
      <c r="AL730" s="6" t="s">
        <v>5</v>
      </c>
      <c r="AM730" s="6" t="s">
        <v>5</v>
      </c>
      <c r="AN730" s="6" t="s">
        <v>5</v>
      </c>
      <c r="AO730" s="4">
        <v>33.200000000000003</v>
      </c>
      <c r="AP730" s="4">
        <v>15</v>
      </c>
      <c r="AQ730" s="7">
        <v>8.4600000000000009</v>
      </c>
      <c r="AR730" s="7">
        <v>1.92</v>
      </c>
      <c r="AS730" s="6">
        <v>17.600000000000001</v>
      </c>
      <c r="AT730" s="6">
        <v>9.15</v>
      </c>
      <c r="AU730" s="6">
        <v>4.7699999999999996</v>
      </c>
      <c r="AV730" s="7">
        <v>1.4</v>
      </c>
      <c r="AW730" s="6" t="s">
        <v>5</v>
      </c>
      <c r="AX730" s="6" t="s">
        <v>5</v>
      </c>
      <c r="AY730" s="6" t="s">
        <v>5</v>
      </c>
      <c r="AZ730" s="6" t="s">
        <v>5</v>
      </c>
      <c r="BA730" s="6" t="s">
        <v>5</v>
      </c>
      <c r="BB730" s="6" t="s">
        <v>5</v>
      </c>
      <c r="BC730" s="6" t="s">
        <v>5</v>
      </c>
      <c r="BD730" s="6" t="s">
        <v>5</v>
      </c>
      <c r="BE730" s="6" t="s">
        <v>5</v>
      </c>
      <c r="BF730" s="6" t="s">
        <v>5</v>
      </c>
      <c r="BG730" s="6" t="s">
        <v>5</v>
      </c>
      <c r="BH730" s="6" t="s">
        <v>5</v>
      </c>
      <c r="BI730" s="7">
        <v>2.99</v>
      </c>
      <c r="BJ730" s="22">
        <v>0.63</v>
      </c>
      <c r="BK730" s="6" t="s">
        <v>5</v>
      </c>
      <c r="BL730" s="2" t="s">
        <v>5</v>
      </c>
      <c r="BM730" s="2" t="s">
        <v>5</v>
      </c>
      <c r="BN730" s="2" t="s">
        <v>5</v>
      </c>
      <c r="BO730" s="2" t="s">
        <v>5</v>
      </c>
      <c r="BP730" s="2" t="s">
        <v>5</v>
      </c>
      <c r="BQ730" s="2" t="s">
        <v>5</v>
      </c>
      <c r="BR730" s="2" t="s">
        <v>5</v>
      </c>
      <c r="BS730" s="2" t="s">
        <v>5</v>
      </c>
      <c r="BT730" s="2" t="s">
        <v>5</v>
      </c>
      <c r="BU730" s="2" t="s">
        <v>5</v>
      </c>
      <c r="BV730" s="2" t="s">
        <v>5</v>
      </c>
      <c r="BW730" s="2" t="s">
        <v>5</v>
      </c>
      <c r="BX730" s="2" t="s">
        <v>5</v>
      </c>
      <c r="BY730" s="25" t="s">
        <v>5</v>
      </c>
      <c r="BZ730" s="25" t="s">
        <v>5</v>
      </c>
      <c r="CA730" s="6" t="s">
        <v>5</v>
      </c>
      <c r="CB730" s="6" t="s">
        <v>5</v>
      </c>
      <c r="CC730" s="6" t="s">
        <v>5</v>
      </c>
      <c r="CD730" s="6" t="s">
        <v>5</v>
      </c>
      <c r="CE730" s="6" t="s">
        <v>5</v>
      </c>
      <c r="CF730" s="16" t="s">
        <v>5</v>
      </c>
      <c r="CG730" s="16" t="s">
        <v>5</v>
      </c>
      <c r="CH730" s="18" t="s">
        <v>5</v>
      </c>
    </row>
    <row r="731" spans="2:86">
      <c r="B731" s="78" t="s">
        <v>473</v>
      </c>
      <c r="C731" s="79" t="s">
        <v>831</v>
      </c>
      <c r="D731" s="80" t="s">
        <v>831</v>
      </c>
      <c r="E731" s="1" t="s">
        <v>4</v>
      </c>
      <c r="F731" s="4">
        <v>30.6</v>
      </c>
      <c r="G731" s="7">
        <v>9</v>
      </c>
      <c r="H731" s="3" t="str">
        <f t="shared" si="30"/>
        <v>2L6X3-1/2X1/2X3/4LLBB</v>
      </c>
      <c r="I731" s="7">
        <v>6</v>
      </c>
      <c r="J731" s="5" t="s">
        <v>5</v>
      </c>
      <c r="K731" s="6" t="s">
        <v>5</v>
      </c>
      <c r="L731" s="6" t="s">
        <v>5</v>
      </c>
      <c r="M731" s="6" t="s">
        <v>5</v>
      </c>
      <c r="N731" s="6" t="s">
        <v>5</v>
      </c>
      <c r="O731" s="5" t="s">
        <v>5</v>
      </c>
      <c r="P731" s="5" t="s">
        <v>5</v>
      </c>
      <c r="Q731" s="7">
        <v>3.5</v>
      </c>
      <c r="R731" s="6" t="s">
        <v>5</v>
      </c>
      <c r="S731" s="6" t="s">
        <v>5</v>
      </c>
      <c r="T731" s="5" t="s">
        <v>5</v>
      </c>
      <c r="U731" s="8" t="s">
        <v>5</v>
      </c>
      <c r="V731" s="6" t="s">
        <v>5</v>
      </c>
      <c r="W731" s="8" t="s">
        <v>5</v>
      </c>
      <c r="X731" s="22">
        <v>0.5</v>
      </c>
      <c r="Y731" s="6" t="s">
        <v>5</v>
      </c>
      <c r="Z731" s="6" t="s">
        <v>5</v>
      </c>
      <c r="AA731" s="6" t="s">
        <v>5</v>
      </c>
      <c r="AB731" s="8" t="s">
        <v>5</v>
      </c>
      <c r="AC731" s="8" t="s">
        <v>5</v>
      </c>
      <c r="AD731" s="6" t="s">
        <v>5</v>
      </c>
      <c r="AE731" s="7">
        <v>2.0699999999999998</v>
      </c>
      <c r="AF731" s="6" t="s">
        <v>5</v>
      </c>
      <c r="AG731" s="6" t="s">
        <v>5</v>
      </c>
      <c r="AH731" s="7">
        <v>1.5</v>
      </c>
      <c r="AI731" s="6" t="s">
        <v>5</v>
      </c>
      <c r="AJ731" s="4">
        <v>12</v>
      </c>
      <c r="AK731" s="6" t="s">
        <v>5</v>
      </c>
      <c r="AL731" s="6" t="s">
        <v>5</v>
      </c>
      <c r="AM731" s="6" t="s">
        <v>5</v>
      </c>
      <c r="AN731" s="6" t="s">
        <v>5</v>
      </c>
      <c r="AO731" s="4">
        <v>33.200000000000003</v>
      </c>
      <c r="AP731" s="4">
        <v>15</v>
      </c>
      <c r="AQ731" s="7">
        <v>8.4600000000000009</v>
      </c>
      <c r="AR731" s="7">
        <v>1.92</v>
      </c>
      <c r="AS731" s="6">
        <v>21.3</v>
      </c>
      <c r="AT731" s="6">
        <v>10.8</v>
      </c>
      <c r="AU731" s="7">
        <v>5.5</v>
      </c>
      <c r="AV731" s="7">
        <v>1.54</v>
      </c>
      <c r="AW731" s="6" t="s">
        <v>5</v>
      </c>
      <c r="AX731" s="6" t="s">
        <v>5</v>
      </c>
      <c r="AY731" s="6" t="s">
        <v>5</v>
      </c>
      <c r="AZ731" s="6" t="s">
        <v>5</v>
      </c>
      <c r="BA731" s="6" t="s">
        <v>5</v>
      </c>
      <c r="BB731" s="6" t="s">
        <v>5</v>
      </c>
      <c r="BC731" s="6" t="s">
        <v>5</v>
      </c>
      <c r="BD731" s="6" t="s">
        <v>5</v>
      </c>
      <c r="BE731" s="6" t="s">
        <v>5</v>
      </c>
      <c r="BF731" s="6" t="s">
        <v>5</v>
      </c>
      <c r="BG731" s="6" t="s">
        <v>5</v>
      </c>
      <c r="BH731" s="6" t="s">
        <v>5</v>
      </c>
      <c r="BI731" s="7">
        <v>3.06</v>
      </c>
      <c r="BJ731" s="22">
        <v>0.64600000000000002</v>
      </c>
      <c r="BK731" s="6" t="s">
        <v>5</v>
      </c>
      <c r="BL731" s="2" t="s">
        <v>5</v>
      </c>
      <c r="BM731" s="2" t="s">
        <v>5</v>
      </c>
      <c r="BN731" s="2" t="s">
        <v>5</v>
      </c>
      <c r="BO731" s="2" t="s">
        <v>5</v>
      </c>
      <c r="BP731" s="2" t="s">
        <v>5</v>
      </c>
      <c r="BQ731" s="2" t="s">
        <v>5</v>
      </c>
      <c r="BR731" s="2" t="s">
        <v>5</v>
      </c>
      <c r="BS731" s="2" t="s">
        <v>5</v>
      </c>
      <c r="BT731" s="2" t="s">
        <v>5</v>
      </c>
      <c r="BU731" s="2" t="s">
        <v>5</v>
      </c>
      <c r="BV731" s="2" t="s">
        <v>5</v>
      </c>
      <c r="BW731" s="2" t="s">
        <v>5</v>
      </c>
      <c r="BX731" s="2" t="s">
        <v>5</v>
      </c>
      <c r="BY731" s="25" t="s">
        <v>5</v>
      </c>
      <c r="BZ731" s="25" t="s">
        <v>5</v>
      </c>
      <c r="CA731" s="6" t="s">
        <v>5</v>
      </c>
      <c r="CB731" s="6" t="s">
        <v>5</v>
      </c>
      <c r="CC731" s="6" t="s">
        <v>5</v>
      </c>
      <c r="CD731" s="6" t="s">
        <v>5</v>
      </c>
      <c r="CE731" s="6" t="s">
        <v>5</v>
      </c>
      <c r="CF731" s="16" t="s">
        <v>5</v>
      </c>
      <c r="CG731" s="16" t="s">
        <v>5</v>
      </c>
      <c r="CH731" s="18" t="s">
        <v>5</v>
      </c>
    </row>
    <row r="732" spans="2:86">
      <c r="B732" s="78" t="s">
        <v>473</v>
      </c>
      <c r="C732" s="79" t="s">
        <v>832</v>
      </c>
      <c r="D732" s="80" t="s">
        <v>832</v>
      </c>
      <c r="E732" s="1" t="s">
        <v>4</v>
      </c>
      <c r="F732" s="4">
        <v>23.4</v>
      </c>
      <c r="G732" s="7">
        <v>6.88</v>
      </c>
      <c r="H732" s="3" t="str">
        <f t="shared" si="30"/>
        <v>2L6X3-1/2X3/8LLBB</v>
      </c>
      <c r="I732" s="7">
        <v>6</v>
      </c>
      <c r="J732" s="5" t="s">
        <v>5</v>
      </c>
      <c r="K732" s="6" t="s">
        <v>5</v>
      </c>
      <c r="L732" s="6" t="s">
        <v>5</v>
      </c>
      <c r="M732" s="6" t="s">
        <v>5</v>
      </c>
      <c r="N732" s="6" t="s">
        <v>5</v>
      </c>
      <c r="O732" s="5" t="s">
        <v>5</v>
      </c>
      <c r="P732" s="5" t="s">
        <v>5</v>
      </c>
      <c r="Q732" s="7">
        <v>3.5</v>
      </c>
      <c r="R732" s="6" t="s">
        <v>5</v>
      </c>
      <c r="S732" s="6" t="s">
        <v>5</v>
      </c>
      <c r="T732" s="5" t="s">
        <v>5</v>
      </c>
      <c r="U732" s="8" t="s">
        <v>5</v>
      </c>
      <c r="V732" s="6" t="s">
        <v>5</v>
      </c>
      <c r="W732" s="8" t="s">
        <v>5</v>
      </c>
      <c r="X732" s="22">
        <v>0.375</v>
      </c>
      <c r="Y732" s="6" t="s">
        <v>5</v>
      </c>
      <c r="Z732" s="6" t="s">
        <v>5</v>
      </c>
      <c r="AA732" s="6" t="s">
        <v>5</v>
      </c>
      <c r="AB732" s="8" t="s">
        <v>5</v>
      </c>
      <c r="AC732" s="8" t="s">
        <v>5</v>
      </c>
      <c r="AD732" s="6" t="s">
        <v>5</v>
      </c>
      <c r="AE732" s="7">
        <v>2.02</v>
      </c>
      <c r="AF732" s="6" t="s">
        <v>5</v>
      </c>
      <c r="AG732" s="6" t="s">
        <v>5</v>
      </c>
      <c r="AH732" s="7">
        <v>1.41</v>
      </c>
      <c r="AI732" s="6" t="s">
        <v>5</v>
      </c>
      <c r="AJ732" s="4">
        <v>16</v>
      </c>
      <c r="AK732" s="6" t="s">
        <v>5</v>
      </c>
      <c r="AL732" s="6" t="s">
        <v>5</v>
      </c>
      <c r="AM732" s="6" t="s">
        <v>5</v>
      </c>
      <c r="AN732" s="6" t="s">
        <v>5</v>
      </c>
      <c r="AO732" s="4">
        <v>25.8</v>
      </c>
      <c r="AP732" s="4">
        <v>11.5</v>
      </c>
      <c r="AQ732" s="7">
        <v>6.46</v>
      </c>
      <c r="AR732" s="7">
        <v>1.93</v>
      </c>
      <c r="AS732" s="6">
        <v>10.9</v>
      </c>
      <c r="AT732" s="6">
        <v>5.37</v>
      </c>
      <c r="AU732" s="6">
        <v>3.11</v>
      </c>
      <c r="AV732" s="7">
        <v>1.26</v>
      </c>
      <c r="AW732" s="6" t="s">
        <v>5</v>
      </c>
      <c r="AX732" s="6" t="s">
        <v>5</v>
      </c>
      <c r="AY732" s="6" t="s">
        <v>5</v>
      </c>
      <c r="AZ732" s="6" t="s">
        <v>5</v>
      </c>
      <c r="BA732" s="6" t="s">
        <v>5</v>
      </c>
      <c r="BB732" s="6" t="s">
        <v>5</v>
      </c>
      <c r="BC732" s="6" t="s">
        <v>5</v>
      </c>
      <c r="BD732" s="6" t="s">
        <v>5</v>
      </c>
      <c r="BE732" s="6" t="s">
        <v>5</v>
      </c>
      <c r="BF732" s="6" t="s">
        <v>5</v>
      </c>
      <c r="BG732" s="6" t="s">
        <v>5</v>
      </c>
      <c r="BH732" s="6" t="s">
        <v>5</v>
      </c>
      <c r="BI732" s="7">
        <v>2.95</v>
      </c>
      <c r="BJ732" s="22">
        <v>0.61299999999999999</v>
      </c>
      <c r="BK732" s="6" t="s">
        <v>5</v>
      </c>
      <c r="BL732" s="2" t="s">
        <v>5</v>
      </c>
      <c r="BM732" s="2" t="s">
        <v>5</v>
      </c>
      <c r="BN732" s="2" t="s">
        <v>5</v>
      </c>
      <c r="BO732" s="2" t="s">
        <v>5</v>
      </c>
      <c r="BP732" s="2" t="s">
        <v>5</v>
      </c>
      <c r="BQ732" s="2" t="s">
        <v>5</v>
      </c>
      <c r="BR732" s="2" t="s">
        <v>5</v>
      </c>
      <c r="BS732" s="2" t="s">
        <v>5</v>
      </c>
      <c r="BT732" s="2" t="s">
        <v>5</v>
      </c>
      <c r="BU732" s="2" t="s">
        <v>5</v>
      </c>
      <c r="BV732" s="2" t="s">
        <v>5</v>
      </c>
      <c r="BW732" s="2" t="s">
        <v>5</v>
      </c>
      <c r="BX732" s="2" t="s">
        <v>5</v>
      </c>
      <c r="BY732" s="25" t="s">
        <v>5</v>
      </c>
      <c r="BZ732" s="25" t="s">
        <v>5</v>
      </c>
      <c r="CA732" s="6" t="s">
        <v>5</v>
      </c>
      <c r="CB732" s="6" t="s">
        <v>5</v>
      </c>
      <c r="CC732" s="6" t="s">
        <v>5</v>
      </c>
      <c r="CD732" s="6" t="s">
        <v>5</v>
      </c>
      <c r="CE732" s="6" t="s">
        <v>5</v>
      </c>
      <c r="CF732" s="16" t="s">
        <v>5</v>
      </c>
      <c r="CG732" s="16" t="s">
        <v>5</v>
      </c>
      <c r="CH732" s="18" t="s">
        <v>5</v>
      </c>
    </row>
    <row r="733" spans="2:86">
      <c r="B733" s="78" t="s">
        <v>473</v>
      </c>
      <c r="C733" s="79" t="s">
        <v>833</v>
      </c>
      <c r="D733" s="80" t="s">
        <v>833</v>
      </c>
      <c r="E733" s="1" t="s">
        <v>4</v>
      </c>
      <c r="F733" s="4">
        <v>23.4</v>
      </c>
      <c r="G733" s="7">
        <v>6.88</v>
      </c>
      <c r="H733" s="3" t="str">
        <f t="shared" si="30"/>
        <v>2L6X3-1/2X3/8X3/8LLBB</v>
      </c>
      <c r="I733" s="7">
        <v>6</v>
      </c>
      <c r="J733" s="5" t="s">
        <v>5</v>
      </c>
      <c r="K733" s="6" t="s">
        <v>5</v>
      </c>
      <c r="L733" s="6" t="s">
        <v>5</v>
      </c>
      <c r="M733" s="6" t="s">
        <v>5</v>
      </c>
      <c r="N733" s="6" t="s">
        <v>5</v>
      </c>
      <c r="O733" s="5" t="s">
        <v>5</v>
      </c>
      <c r="P733" s="5" t="s">
        <v>5</v>
      </c>
      <c r="Q733" s="7">
        <v>3.5</v>
      </c>
      <c r="R733" s="6" t="s">
        <v>5</v>
      </c>
      <c r="S733" s="6" t="s">
        <v>5</v>
      </c>
      <c r="T733" s="5" t="s">
        <v>5</v>
      </c>
      <c r="U733" s="8" t="s">
        <v>5</v>
      </c>
      <c r="V733" s="6" t="s">
        <v>5</v>
      </c>
      <c r="W733" s="8" t="s">
        <v>5</v>
      </c>
      <c r="X733" s="22">
        <v>0.375</v>
      </c>
      <c r="Y733" s="6" t="s">
        <v>5</v>
      </c>
      <c r="Z733" s="6" t="s">
        <v>5</v>
      </c>
      <c r="AA733" s="6" t="s">
        <v>5</v>
      </c>
      <c r="AB733" s="8" t="s">
        <v>5</v>
      </c>
      <c r="AC733" s="8" t="s">
        <v>5</v>
      </c>
      <c r="AD733" s="6" t="s">
        <v>5</v>
      </c>
      <c r="AE733" s="7">
        <v>2.02</v>
      </c>
      <c r="AF733" s="6" t="s">
        <v>5</v>
      </c>
      <c r="AG733" s="6" t="s">
        <v>5</v>
      </c>
      <c r="AH733" s="7">
        <v>1.41</v>
      </c>
      <c r="AI733" s="6" t="s">
        <v>5</v>
      </c>
      <c r="AJ733" s="4">
        <v>16</v>
      </c>
      <c r="AK733" s="6" t="s">
        <v>5</v>
      </c>
      <c r="AL733" s="6" t="s">
        <v>5</v>
      </c>
      <c r="AM733" s="6" t="s">
        <v>5</v>
      </c>
      <c r="AN733" s="6" t="s">
        <v>5</v>
      </c>
      <c r="AO733" s="4">
        <v>25.8</v>
      </c>
      <c r="AP733" s="4">
        <v>11.5</v>
      </c>
      <c r="AQ733" s="7">
        <v>6.46</v>
      </c>
      <c r="AR733" s="7">
        <v>1.93</v>
      </c>
      <c r="AS733" s="6">
        <v>13.1</v>
      </c>
      <c r="AT733" s="6">
        <v>6.66</v>
      </c>
      <c r="AU733" s="6">
        <v>3.55</v>
      </c>
      <c r="AV733" s="7">
        <v>1.38</v>
      </c>
      <c r="AW733" s="6" t="s">
        <v>5</v>
      </c>
      <c r="AX733" s="6" t="s">
        <v>5</v>
      </c>
      <c r="AY733" s="6" t="s">
        <v>5</v>
      </c>
      <c r="AZ733" s="6" t="s">
        <v>5</v>
      </c>
      <c r="BA733" s="6" t="s">
        <v>5</v>
      </c>
      <c r="BB733" s="6" t="s">
        <v>5</v>
      </c>
      <c r="BC733" s="6" t="s">
        <v>5</v>
      </c>
      <c r="BD733" s="6" t="s">
        <v>5</v>
      </c>
      <c r="BE733" s="6" t="s">
        <v>5</v>
      </c>
      <c r="BF733" s="6" t="s">
        <v>5</v>
      </c>
      <c r="BG733" s="6" t="s">
        <v>5</v>
      </c>
      <c r="BH733" s="6" t="s">
        <v>5</v>
      </c>
      <c r="BI733" s="7">
        <v>3</v>
      </c>
      <c r="BJ733" s="22">
        <v>0.627</v>
      </c>
      <c r="BK733" s="6" t="s">
        <v>5</v>
      </c>
      <c r="BL733" s="2" t="s">
        <v>5</v>
      </c>
      <c r="BM733" s="2" t="s">
        <v>5</v>
      </c>
      <c r="BN733" s="2" t="s">
        <v>5</v>
      </c>
      <c r="BO733" s="2" t="s">
        <v>5</v>
      </c>
      <c r="BP733" s="2" t="s">
        <v>5</v>
      </c>
      <c r="BQ733" s="2" t="s">
        <v>5</v>
      </c>
      <c r="BR733" s="2" t="s">
        <v>5</v>
      </c>
      <c r="BS733" s="2" t="s">
        <v>5</v>
      </c>
      <c r="BT733" s="2" t="s">
        <v>5</v>
      </c>
      <c r="BU733" s="2" t="s">
        <v>5</v>
      </c>
      <c r="BV733" s="2" t="s">
        <v>5</v>
      </c>
      <c r="BW733" s="2" t="s">
        <v>5</v>
      </c>
      <c r="BX733" s="2" t="s">
        <v>5</v>
      </c>
      <c r="BY733" s="25" t="s">
        <v>5</v>
      </c>
      <c r="BZ733" s="25" t="s">
        <v>5</v>
      </c>
      <c r="CA733" s="6" t="s">
        <v>5</v>
      </c>
      <c r="CB733" s="6" t="s">
        <v>5</v>
      </c>
      <c r="CC733" s="6" t="s">
        <v>5</v>
      </c>
      <c r="CD733" s="6" t="s">
        <v>5</v>
      </c>
      <c r="CE733" s="6" t="s">
        <v>5</v>
      </c>
      <c r="CF733" s="16" t="s">
        <v>5</v>
      </c>
      <c r="CG733" s="16" t="s">
        <v>5</v>
      </c>
      <c r="CH733" s="18" t="s">
        <v>5</v>
      </c>
    </row>
    <row r="734" spans="2:86">
      <c r="B734" s="78" t="s">
        <v>473</v>
      </c>
      <c r="C734" s="79" t="s">
        <v>834</v>
      </c>
      <c r="D734" s="80" t="s">
        <v>834</v>
      </c>
      <c r="E734" s="1" t="s">
        <v>4</v>
      </c>
      <c r="F734" s="4">
        <v>23.4</v>
      </c>
      <c r="G734" s="7">
        <v>6.88</v>
      </c>
      <c r="H734" s="3" t="str">
        <f t="shared" si="30"/>
        <v>2L6X3-1/2X3/8X3/4LLBB</v>
      </c>
      <c r="I734" s="7">
        <v>6</v>
      </c>
      <c r="J734" s="5" t="s">
        <v>5</v>
      </c>
      <c r="K734" s="6" t="s">
        <v>5</v>
      </c>
      <c r="L734" s="6" t="s">
        <v>5</v>
      </c>
      <c r="M734" s="6" t="s">
        <v>5</v>
      </c>
      <c r="N734" s="6" t="s">
        <v>5</v>
      </c>
      <c r="O734" s="5" t="s">
        <v>5</v>
      </c>
      <c r="P734" s="5" t="s">
        <v>5</v>
      </c>
      <c r="Q734" s="7">
        <v>3.5</v>
      </c>
      <c r="R734" s="6" t="s">
        <v>5</v>
      </c>
      <c r="S734" s="6" t="s">
        <v>5</v>
      </c>
      <c r="T734" s="5" t="s">
        <v>5</v>
      </c>
      <c r="U734" s="8" t="s">
        <v>5</v>
      </c>
      <c r="V734" s="6" t="s">
        <v>5</v>
      </c>
      <c r="W734" s="8" t="s">
        <v>5</v>
      </c>
      <c r="X734" s="22">
        <v>0.375</v>
      </c>
      <c r="Y734" s="6" t="s">
        <v>5</v>
      </c>
      <c r="Z734" s="6" t="s">
        <v>5</v>
      </c>
      <c r="AA734" s="6" t="s">
        <v>5</v>
      </c>
      <c r="AB734" s="8" t="s">
        <v>5</v>
      </c>
      <c r="AC734" s="8" t="s">
        <v>5</v>
      </c>
      <c r="AD734" s="6" t="s">
        <v>5</v>
      </c>
      <c r="AE734" s="7">
        <v>2.02</v>
      </c>
      <c r="AF734" s="6" t="s">
        <v>5</v>
      </c>
      <c r="AG734" s="6" t="s">
        <v>5</v>
      </c>
      <c r="AH734" s="7">
        <v>1.41</v>
      </c>
      <c r="AI734" s="6" t="s">
        <v>5</v>
      </c>
      <c r="AJ734" s="4">
        <v>16</v>
      </c>
      <c r="AK734" s="6" t="s">
        <v>5</v>
      </c>
      <c r="AL734" s="6" t="s">
        <v>5</v>
      </c>
      <c r="AM734" s="6" t="s">
        <v>5</v>
      </c>
      <c r="AN734" s="6" t="s">
        <v>5</v>
      </c>
      <c r="AO734" s="4">
        <v>25.8</v>
      </c>
      <c r="AP734" s="4">
        <v>11.5</v>
      </c>
      <c r="AQ734" s="7">
        <v>6.46</v>
      </c>
      <c r="AR734" s="7">
        <v>1.93</v>
      </c>
      <c r="AS734" s="6">
        <v>15.9</v>
      </c>
      <c r="AT734" s="6">
        <v>7.95</v>
      </c>
      <c r="AU734" s="7">
        <v>4.0999999999999996</v>
      </c>
      <c r="AV734" s="7">
        <v>1.52</v>
      </c>
      <c r="AW734" s="6" t="s">
        <v>5</v>
      </c>
      <c r="AX734" s="6" t="s">
        <v>5</v>
      </c>
      <c r="AY734" s="6" t="s">
        <v>5</v>
      </c>
      <c r="AZ734" s="6" t="s">
        <v>5</v>
      </c>
      <c r="BA734" s="6" t="s">
        <v>5</v>
      </c>
      <c r="BB734" s="6" t="s">
        <v>5</v>
      </c>
      <c r="BC734" s="6" t="s">
        <v>5</v>
      </c>
      <c r="BD734" s="6" t="s">
        <v>5</v>
      </c>
      <c r="BE734" s="6" t="s">
        <v>5</v>
      </c>
      <c r="BF734" s="6" t="s">
        <v>5</v>
      </c>
      <c r="BG734" s="6" t="s">
        <v>5</v>
      </c>
      <c r="BH734" s="6" t="s">
        <v>5</v>
      </c>
      <c r="BI734" s="7">
        <v>3.07</v>
      </c>
      <c r="BJ734" s="22">
        <v>0.64200000000000002</v>
      </c>
      <c r="BK734" s="6" t="s">
        <v>5</v>
      </c>
      <c r="BL734" s="2" t="s">
        <v>5</v>
      </c>
      <c r="BM734" s="2" t="s">
        <v>5</v>
      </c>
      <c r="BN734" s="2" t="s">
        <v>5</v>
      </c>
      <c r="BO734" s="2" t="s">
        <v>5</v>
      </c>
      <c r="BP734" s="2" t="s">
        <v>5</v>
      </c>
      <c r="BQ734" s="2" t="s">
        <v>5</v>
      </c>
      <c r="BR734" s="2" t="s">
        <v>5</v>
      </c>
      <c r="BS734" s="2" t="s">
        <v>5</v>
      </c>
      <c r="BT734" s="2" t="s">
        <v>5</v>
      </c>
      <c r="BU734" s="2" t="s">
        <v>5</v>
      </c>
      <c r="BV734" s="2" t="s">
        <v>5</v>
      </c>
      <c r="BW734" s="2" t="s">
        <v>5</v>
      </c>
      <c r="BX734" s="2" t="s">
        <v>5</v>
      </c>
      <c r="BY734" s="25" t="s">
        <v>5</v>
      </c>
      <c r="BZ734" s="25" t="s">
        <v>5</v>
      </c>
      <c r="CA734" s="6" t="s">
        <v>5</v>
      </c>
      <c r="CB734" s="6" t="s">
        <v>5</v>
      </c>
      <c r="CC734" s="6" t="s">
        <v>5</v>
      </c>
      <c r="CD734" s="6" t="s">
        <v>5</v>
      </c>
      <c r="CE734" s="6" t="s">
        <v>5</v>
      </c>
      <c r="CF734" s="16" t="s">
        <v>5</v>
      </c>
      <c r="CG734" s="16" t="s">
        <v>5</v>
      </c>
      <c r="CH734" s="18" t="s">
        <v>5</v>
      </c>
    </row>
    <row r="735" spans="2:86">
      <c r="B735" s="78" t="s">
        <v>473</v>
      </c>
      <c r="C735" s="79" t="s">
        <v>835</v>
      </c>
      <c r="D735" s="80" t="s">
        <v>835</v>
      </c>
      <c r="E735" s="1" t="s">
        <v>4</v>
      </c>
      <c r="F735" s="4">
        <v>19.600000000000001</v>
      </c>
      <c r="G735" s="7">
        <v>5.78</v>
      </c>
      <c r="H735" s="3" t="str">
        <f t="shared" si="30"/>
        <v>2L6X3-1/2X5/16LLBB</v>
      </c>
      <c r="I735" s="7">
        <v>6</v>
      </c>
      <c r="J735" s="5" t="s">
        <v>5</v>
      </c>
      <c r="K735" s="6" t="s">
        <v>5</v>
      </c>
      <c r="L735" s="6" t="s">
        <v>5</v>
      </c>
      <c r="M735" s="6" t="s">
        <v>5</v>
      </c>
      <c r="N735" s="6" t="s">
        <v>5</v>
      </c>
      <c r="O735" s="5" t="s">
        <v>5</v>
      </c>
      <c r="P735" s="5" t="s">
        <v>5</v>
      </c>
      <c r="Q735" s="7">
        <v>3.5</v>
      </c>
      <c r="R735" s="6" t="s">
        <v>5</v>
      </c>
      <c r="S735" s="6" t="s">
        <v>5</v>
      </c>
      <c r="T735" s="5" t="s">
        <v>5</v>
      </c>
      <c r="U735" s="8" t="s">
        <v>5</v>
      </c>
      <c r="V735" s="6" t="s">
        <v>5</v>
      </c>
      <c r="W735" s="8" t="s">
        <v>5</v>
      </c>
      <c r="X735" s="22">
        <v>0.313</v>
      </c>
      <c r="Y735" s="6" t="s">
        <v>5</v>
      </c>
      <c r="Z735" s="6" t="s">
        <v>5</v>
      </c>
      <c r="AA735" s="6" t="s">
        <v>5</v>
      </c>
      <c r="AB735" s="8" t="s">
        <v>5</v>
      </c>
      <c r="AC735" s="8" t="s">
        <v>5</v>
      </c>
      <c r="AD735" s="6" t="s">
        <v>5</v>
      </c>
      <c r="AE735" s="7">
        <v>2</v>
      </c>
      <c r="AF735" s="6" t="s">
        <v>5</v>
      </c>
      <c r="AG735" s="6" t="s">
        <v>5</v>
      </c>
      <c r="AH735" s="7">
        <v>1.38</v>
      </c>
      <c r="AI735" s="6" t="s">
        <v>5</v>
      </c>
      <c r="AJ735" s="4">
        <v>19.2</v>
      </c>
      <c r="AK735" s="6" t="s">
        <v>5</v>
      </c>
      <c r="AL735" s="6" t="s">
        <v>5</v>
      </c>
      <c r="AM735" s="6" t="s">
        <v>5</v>
      </c>
      <c r="AN735" s="6" t="s">
        <v>5</v>
      </c>
      <c r="AO735" s="4">
        <v>21.8</v>
      </c>
      <c r="AP735" s="7">
        <v>9.68</v>
      </c>
      <c r="AQ735" s="7">
        <v>5.44</v>
      </c>
      <c r="AR735" s="7">
        <v>1.94</v>
      </c>
      <c r="AS735" s="6">
        <v>9.0299999999999994</v>
      </c>
      <c r="AT735" s="6">
        <v>4.37</v>
      </c>
      <c r="AU735" s="6">
        <v>2.58</v>
      </c>
      <c r="AV735" s="7">
        <v>1.25</v>
      </c>
      <c r="AW735" s="6" t="s">
        <v>5</v>
      </c>
      <c r="AX735" s="6" t="s">
        <v>5</v>
      </c>
      <c r="AY735" s="6" t="s">
        <v>5</v>
      </c>
      <c r="AZ735" s="6" t="s">
        <v>5</v>
      </c>
      <c r="BA735" s="6" t="s">
        <v>5</v>
      </c>
      <c r="BB735" s="6" t="s">
        <v>5</v>
      </c>
      <c r="BC735" s="6" t="s">
        <v>5</v>
      </c>
      <c r="BD735" s="6" t="s">
        <v>5</v>
      </c>
      <c r="BE735" s="6" t="s">
        <v>5</v>
      </c>
      <c r="BF735" s="6" t="s">
        <v>5</v>
      </c>
      <c r="BG735" s="6" t="s">
        <v>5</v>
      </c>
      <c r="BH735" s="6" t="s">
        <v>5</v>
      </c>
      <c r="BI735" s="7">
        <v>2.95</v>
      </c>
      <c r="BJ735" s="22">
        <v>0.61199999999999999</v>
      </c>
      <c r="BK735" s="6" t="s">
        <v>5</v>
      </c>
      <c r="BL735" s="2" t="s">
        <v>5</v>
      </c>
      <c r="BM735" s="2" t="s">
        <v>5</v>
      </c>
      <c r="BN735" s="2" t="s">
        <v>5</v>
      </c>
      <c r="BO735" s="2" t="s">
        <v>5</v>
      </c>
      <c r="BP735" s="2" t="s">
        <v>5</v>
      </c>
      <c r="BQ735" s="2" t="s">
        <v>5</v>
      </c>
      <c r="BR735" s="2" t="s">
        <v>5</v>
      </c>
      <c r="BS735" s="2" t="s">
        <v>5</v>
      </c>
      <c r="BT735" s="2" t="s">
        <v>5</v>
      </c>
      <c r="BU735" s="2" t="s">
        <v>5</v>
      </c>
      <c r="BV735" s="2" t="s">
        <v>5</v>
      </c>
      <c r="BW735" s="2" t="s">
        <v>5</v>
      </c>
      <c r="BX735" s="2" t="s">
        <v>5</v>
      </c>
      <c r="BY735" s="25" t="s">
        <v>5</v>
      </c>
      <c r="BZ735" s="25" t="s">
        <v>5</v>
      </c>
      <c r="CA735" s="6" t="s">
        <v>5</v>
      </c>
      <c r="CB735" s="6" t="s">
        <v>5</v>
      </c>
      <c r="CC735" s="6" t="s">
        <v>5</v>
      </c>
      <c r="CD735" s="6" t="s">
        <v>5</v>
      </c>
      <c r="CE735" s="6" t="s">
        <v>5</v>
      </c>
      <c r="CF735" s="16" t="s">
        <v>5</v>
      </c>
      <c r="CG735" s="16" t="s">
        <v>5</v>
      </c>
      <c r="CH735" s="18" t="s">
        <v>5</v>
      </c>
    </row>
    <row r="736" spans="2:86">
      <c r="B736" s="78" t="s">
        <v>473</v>
      </c>
      <c r="C736" s="79" t="s">
        <v>836</v>
      </c>
      <c r="D736" s="80" t="s">
        <v>836</v>
      </c>
      <c r="E736" s="1" t="s">
        <v>4</v>
      </c>
      <c r="F736" s="4">
        <v>19.600000000000001</v>
      </c>
      <c r="G736" s="7">
        <v>5.78</v>
      </c>
      <c r="H736" s="3" t="str">
        <f t="shared" si="30"/>
        <v>2L6X3-1/2X5/16X3/8LLBB</v>
      </c>
      <c r="I736" s="7">
        <v>6</v>
      </c>
      <c r="J736" s="5" t="s">
        <v>5</v>
      </c>
      <c r="K736" s="6" t="s">
        <v>5</v>
      </c>
      <c r="L736" s="6" t="s">
        <v>5</v>
      </c>
      <c r="M736" s="6" t="s">
        <v>5</v>
      </c>
      <c r="N736" s="6" t="s">
        <v>5</v>
      </c>
      <c r="O736" s="5" t="s">
        <v>5</v>
      </c>
      <c r="P736" s="5" t="s">
        <v>5</v>
      </c>
      <c r="Q736" s="7">
        <v>3.5</v>
      </c>
      <c r="R736" s="6" t="s">
        <v>5</v>
      </c>
      <c r="S736" s="6" t="s">
        <v>5</v>
      </c>
      <c r="T736" s="5" t="s">
        <v>5</v>
      </c>
      <c r="U736" s="8" t="s">
        <v>5</v>
      </c>
      <c r="V736" s="6" t="s">
        <v>5</v>
      </c>
      <c r="W736" s="8" t="s">
        <v>5</v>
      </c>
      <c r="X736" s="22">
        <v>0.313</v>
      </c>
      <c r="Y736" s="6" t="s">
        <v>5</v>
      </c>
      <c r="Z736" s="6" t="s">
        <v>5</v>
      </c>
      <c r="AA736" s="6" t="s">
        <v>5</v>
      </c>
      <c r="AB736" s="8" t="s">
        <v>5</v>
      </c>
      <c r="AC736" s="8" t="s">
        <v>5</v>
      </c>
      <c r="AD736" s="6" t="s">
        <v>5</v>
      </c>
      <c r="AE736" s="7">
        <v>2</v>
      </c>
      <c r="AF736" s="6" t="s">
        <v>5</v>
      </c>
      <c r="AG736" s="6" t="s">
        <v>5</v>
      </c>
      <c r="AH736" s="7">
        <v>1.38</v>
      </c>
      <c r="AI736" s="6" t="s">
        <v>5</v>
      </c>
      <c r="AJ736" s="4">
        <v>19.2</v>
      </c>
      <c r="AK736" s="6" t="s">
        <v>5</v>
      </c>
      <c r="AL736" s="6" t="s">
        <v>5</v>
      </c>
      <c r="AM736" s="6" t="s">
        <v>5</v>
      </c>
      <c r="AN736" s="6" t="s">
        <v>5</v>
      </c>
      <c r="AO736" s="4">
        <v>21.8</v>
      </c>
      <c r="AP736" s="7">
        <v>9.68</v>
      </c>
      <c r="AQ736" s="7">
        <v>5.44</v>
      </c>
      <c r="AR736" s="7">
        <v>1.94</v>
      </c>
      <c r="AS736" s="6">
        <v>10.8</v>
      </c>
      <c r="AT736" s="6">
        <v>5.45</v>
      </c>
      <c r="AU736" s="6">
        <v>2.93</v>
      </c>
      <c r="AV736" s="7">
        <v>1.37</v>
      </c>
      <c r="AW736" s="6" t="s">
        <v>5</v>
      </c>
      <c r="AX736" s="6" t="s">
        <v>5</v>
      </c>
      <c r="AY736" s="6" t="s">
        <v>5</v>
      </c>
      <c r="AZ736" s="6" t="s">
        <v>5</v>
      </c>
      <c r="BA736" s="6" t="s">
        <v>5</v>
      </c>
      <c r="BB736" s="6" t="s">
        <v>5</v>
      </c>
      <c r="BC736" s="6" t="s">
        <v>5</v>
      </c>
      <c r="BD736" s="6" t="s">
        <v>5</v>
      </c>
      <c r="BE736" s="6" t="s">
        <v>5</v>
      </c>
      <c r="BF736" s="6" t="s">
        <v>5</v>
      </c>
      <c r="BG736" s="6" t="s">
        <v>5</v>
      </c>
      <c r="BH736" s="6" t="s">
        <v>5</v>
      </c>
      <c r="BI736" s="7">
        <v>3</v>
      </c>
      <c r="BJ736" s="22">
        <v>0.625</v>
      </c>
      <c r="BK736" s="6" t="s">
        <v>5</v>
      </c>
      <c r="BL736" s="2" t="s">
        <v>5</v>
      </c>
      <c r="BM736" s="2" t="s">
        <v>5</v>
      </c>
      <c r="BN736" s="2" t="s">
        <v>5</v>
      </c>
      <c r="BO736" s="2" t="s">
        <v>5</v>
      </c>
      <c r="BP736" s="2" t="s">
        <v>5</v>
      </c>
      <c r="BQ736" s="2" t="s">
        <v>5</v>
      </c>
      <c r="BR736" s="2" t="s">
        <v>5</v>
      </c>
      <c r="BS736" s="2" t="s">
        <v>5</v>
      </c>
      <c r="BT736" s="2" t="s">
        <v>5</v>
      </c>
      <c r="BU736" s="2" t="s">
        <v>5</v>
      </c>
      <c r="BV736" s="2" t="s">
        <v>5</v>
      </c>
      <c r="BW736" s="2" t="s">
        <v>5</v>
      </c>
      <c r="BX736" s="2" t="s">
        <v>5</v>
      </c>
      <c r="BY736" s="25" t="s">
        <v>5</v>
      </c>
      <c r="BZ736" s="25" t="s">
        <v>5</v>
      </c>
      <c r="CA736" s="6" t="s">
        <v>5</v>
      </c>
      <c r="CB736" s="6" t="s">
        <v>5</v>
      </c>
      <c r="CC736" s="6" t="s">
        <v>5</v>
      </c>
      <c r="CD736" s="6" t="s">
        <v>5</v>
      </c>
      <c r="CE736" s="6" t="s">
        <v>5</v>
      </c>
      <c r="CF736" s="16" t="s">
        <v>5</v>
      </c>
      <c r="CG736" s="16" t="s">
        <v>5</v>
      </c>
      <c r="CH736" s="18" t="s">
        <v>5</v>
      </c>
    </row>
    <row r="737" spans="2:86">
      <c r="B737" s="78" t="s">
        <v>473</v>
      </c>
      <c r="C737" s="79" t="s">
        <v>837</v>
      </c>
      <c r="D737" s="80" t="s">
        <v>837</v>
      </c>
      <c r="E737" s="1" t="s">
        <v>4</v>
      </c>
      <c r="F737" s="4">
        <v>19.600000000000001</v>
      </c>
      <c r="G737" s="7">
        <v>5.78</v>
      </c>
      <c r="H737" s="3" t="str">
        <f t="shared" si="30"/>
        <v>2L6X3-1/2X5/16X3/4LLBB</v>
      </c>
      <c r="I737" s="7">
        <v>6</v>
      </c>
      <c r="J737" s="5" t="s">
        <v>5</v>
      </c>
      <c r="K737" s="6" t="s">
        <v>5</v>
      </c>
      <c r="L737" s="6" t="s">
        <v>5</v>
      </c>
      <c r="M737" s="6" t="s">
        <v>5</v>
      </c>
      <c r="N737" s="6" t="s">
        <v>5</v>
      </c>
      <c r="O737" s="5" t="s">
        <v>5</v>
      </c>
      <c r="P737" s="5" t="s">
        <v>5</v>
      </c>
      <c r="Q737" s="7">
        <v>3.5</v>
      </c>
      <c r="R737" s="6" t="s">
        <v>5</v>
      </c>
      <c r="S737" s="6" t="s">
        <v>5</v>
      </c>
      <c r="T737" s="5" t="s">
        <v>5</v>
      </c>
      <c r="U737" s="8" t="s">
        <v>5</v>
      </c>
      <c r="V737" s="6" t="s">
        <v>5</v>
      </c>
      <c r="W737" s="8" t="s">
        <v>5</v>
      </c>
      <c r="X737" s="22">
        <v>0.313</v>
      </c>
      <c r="Y737" s="6" t="s">
        <v>5</v>
      </c>
      <c r="Z737" s="6" t="s">
        <v>5</v>
      </c>
      <c r="AA737" s="6" t="s">
        <v>5</v>
      </c>
      <c r="AB737" s="8" t="s">
        <v>5</v>
      </c>
      <c r="AC737" s="8" t="s">
        <v>5</v>
      </c>
      <c r="AD737" s="6" t="s">
        <v>5</v>
      </c>
      <c r="AE737" s="7">
        <v>2</v>
      </c>
      <c r="AF737" s="6" t="s">
        <v>5</v>
      </c>
      <c r="AG737" s="6" t="s">
        <v>5</v>
      </c>
      <c r="AH737" s="7">
        <v>1.38</v>
      </c>
      <c r="AI737" s="6" t="s">
        <v>5</v>
      </c>
      <c r="AJ737" s="4">
        <v>19.2</v>
      </c>
      <c r="AK737" s="6" t="s">
        <v>5</v>
      </c>
      <c r="AL737" s="6" t="s">
        <v>5</v>
      </c>
      <c r="AM737" s="6" t="s">
        <v>5</v>
      </c>
      <c r="AN737" s="6" t="s">
        <v>5</v>
      </c>
      <c r="AO737" s="4">
        <v>21.8</v>
      </c>
      <c r="AP737" s="7">
        <v>9.68</v>
      </c>
      <c r="AQ737" s="7">
        <v>5.44</v>
      </c>
      <c r="AR737" s="7">
        <v>1.94</v>
      </c>
      <c r="AS737" s="4">
        <v>13</v>
      </c>
      <c r="AT737" s="6">
        <v>6.54</v>
      </c>
      <c r="AU737" s="6">
        <v>3.35</v>
      </c>
      <c r="AV737" s="7">
        <v>1.5</v>
      </c>
      <c r="AW737" s="6" t="s">
        <v>5</v>
      </c>
      <c r="AX737" s="6" t="s">
        <v>5</v>
      </c>
      <c r="AY737" s="6" t="s">
        <v>5</v>
      </c>
      <c r="AZ737" s="6" t="s">
        <v>5</v>
      </c>
      <c r="BA737" s="6" t="s">
        <v>5</v>
      </c>
      <c r="BB737" s="6" t="s">
        <v>5</v>
      </c>
      <c r="BC737" s="6" t="s">
        <v>5</v>
      </c>
      <c r="BD737" s="6" t="s">
        <v>5</v>
      </c>
      <c r="BE737" s="6" t="s">
        <v>5</v>
      </c>
      <c r="BF737" s="6" t="s">
        <v>5</v>
      </c>
      <c r="BG737" s="6" t="s">
        <v>5</v>
      </c>
      <c r="BH737" s="6" t="s">
        <v>5</v>
      </c>
      <c r="BI737" s="7">
        <v>3.07</v>
      </c>
      <c r="BJ737" s="22">
        <v>0.64100000000000001</v>
      </c>
      <c r="BK737" s="6" t="s">
        <v>5</v>
      </c>
      <c r="BL737" s="2" t="s">
        <v>5</v>
      </c>
      <c r="BM737" s="2" t="s">
        <v>5</v>
      </c>
      <c r="BN737" s="2" t="s">
        <v>5</v>
      </c>
      <c r="BO737" s="2" t="s">
        <v>5</v>
      </c>
      <c r="BP737" s="2" t="s">
        <v>5</v>
      </c>
      <c r="BQ737" s="2" t="s">
        <v>5</v>
      </c>
      <c r="BR737" s="2" t="s">
        <v>5</v>
      </c>
      <c r="BS737" s="2" t="s">
        <v>5</v>
      </c>
      <c r="BT737" s="2" t="s">
        <v>5</v>
      </c>
      <c r="BU737" s="2" t="s">
        <v>5</v>
      </c>
      <c r="BV737" s="2" t="s">
        <v>5</v>
      </c>
      <c r="BW737" s="2" t="s">
        <v>5</v>
      </c>
      <c r="BX737" s="2" t="s">
        <v>5</v>
      </c>
      <c r="BY737" s="25" t="s">
        <v>5</v>
      </c>
      <c r="BZ737" s="25" t="s">
        <v>5</v>
      </c>
      <c r="CA737" s="6" t="s">
        <v>5</v>
      </c>
      <c r="CB737" s="6" t="s">
        <v>5</v>
      </c>
      <c r="CC737" s="6" t="s">
        <v>5</v>
      </c>
      <c r="CD737" s="6" t="s">
        <v>5</v>
      </c>
      <c r="CE737" s="6" t="s">
        <v>5</v>
      </c>
      <c r="CF737" s="16" t="s">
        <v>5</v>
      </c>
      <c r="CG737" s="16" t="s">
        <v>5</v>
      </c>
      <c r="CH737" s="18" t="s">
        <v>5</v>
      </c>
    </row>
    <row r="738" spans="2:86">
      <c r="B738" s="78" t="s">
        <v>473</v>
      </c>
      <c r="C738" s="79" t="s">
        <v>838</v>
      </c>
      <c r="D738" s="80" t="s">
        <v>838</v>
      </c>
      <c r="E738" s="1" t="s">
        <v>4</v>
      </c>
      <c r="F738" s="4">
        <v>39.6</v>
      </c>
      <c r="G738" s="4">
        <v>11.7</v>
      </c>
      <c r="H738" s="3" t="str">
        <f t="shared" si="30"/>
        <v>2L5X3-1/2X3/4LLBB</v>
      </c>
      <c r="I738" s="7">
        <v>5</v>
      </c>
      <c r="J738" s="5" t="s">
        <v>5</v>
      </c>
      <c r="K738" s="6" t="s">
        <v>5</v>
      </c>
      <c r="L738" s="6" t="s">
        <v>5</v>
      </c>
      <c r="M738" s="6" t="s">
        <v>5</v>
      </c>
      <c r="N738" s="6" t="s">
        <v>5</v>
      </c>
      <c r="O738" s="5" t="s">
        <v>5</v>
      </c>
      <c r="P738" s="5" t="s">
        <v>5</v>
      </c>
      <c r="Q738" s="7">
        <v>3.5</v>
      </c>
      <c r="R738" s="6" t="s">
        <v>5</v>
      </c>
      <c r="S738" s="6" t="s">
        <v>5</v>
      </c>
      <c r="T738" s="5" t="s">
        <v>5</v>
      </c>
      <c r="U738" s="8" t="s">
        <v>5</v>
      </c>
      <c r="V738" s="6" t="s">
        <v>5</v>
      </c>
      <c r="W738" s="8" t="s">
        <v>5</v>
      </c>
      <c r="X738" s="22">
        <v>0.75</v>
      </c>
      <c r="Y738" s="6" t="s">
        <v>5</v>
      </c>
      <c r="Z738" s="6" t="s">
        <v>5</v>
      </c>
      <c r="AA738" s="6" t="s">
        <v>5</v>
      </c>
      <c r="AB738" s="8" t="s">
        <v>5</v>
      </c>
      <c r="AC738" s="8" t="s">
        <v>5</v>
      </c>
      <c r="AD738" s="6" t="s">
        <v>5</v>
      </c>
      <c r="AE738" s="7">
        <v>1.74</v>
      </c>
      <c r="AF738" s="6" t="s">
        <v>5</v>
      </c>
      <c r="AG738" s="6" t="s">
        <v>5</v>
      </c>
      <c r="AH738" s="7">
        <v>1.1000000000000001</v>
      </c>
      <c r="AI738" s="6" t="s">
        <v>5</v>
      </c>
      <c r="AJ738" s="7">
        <v>6.67</v>
      </c>
      <c r="AK738" s="6" t="s">
        <v>5</v>
      </c>
      <c r="AL738" s="6" t="s">
        <v>5</v>
      </c>
      <c r="AM738" s="6" t="s">
        <v>5</v>
      </c>
      <c r="AN738" s="6" t="s">
        <v>5</v>
      </c>
      <c r="AO738" s="4">
        <v>27.8</v>
      </c>
      <c r="AP738" s="4">
        <v>15.2</v>
      </c>
      <c r="AQ738" s="7">
        <v>8.52</v>
      </c>
      <c r="AR738" s="7">
        <v>1.55</v>
      </c>
      <c r="AS738" s="6">
        <v>22.6</v>
      </c>
      <c r="AT738" s="6">
        <v>11.6</v>
      </c>
      <c r="AU738" s="6">
        <v>6.46</v>
      </c>
      <c r="AV738" s="7">
        <v>1.39</v>
      </c>
      <c r="AW738" s="6" t="s">
        <v>5</v>
      </c>
      <c r="AX738" s="6" t="s">
        <v>5</v>
      </c>
      <c r="AY738" s="6" t="s">
        <v>5</v>
      </c>
      <c r="AZ738" s="6" t="s">
        <v>5</v>
      </c>
      <c r="BA738" s="6" t="s">
        <v>5</v>
      </c>
      <c r="BB738" s="6" t="s">
        <v>5</v>
      </c>
      <c r="BC738" s="6" t="s">
        <v>5</v>
      </c>
      <c r="BD738" s="6" t="s">
        <v>5</v>
      </c>
      <c r="BE738" s="6" t="s">
        <v>5</v>
      </c>
      <c r="BF738" s="6" t="s">
        <v>5</v>
      </c>
      <c r="BG738" s="6" t="s">
        <v>5</v>
      </c>
      <c r="BH738" s="6" t="s">
        <v>5</v>
      </c>
      <c r="BI738" s="7">
        <v>2.4900000000000002</v>
      </c>
      <c r="BJ738" s="22">
        <v>0.69899999999999995</v>
      </c>
      <c r="BK738" s="6" t="s">
        <v>5</v>
      </c>
      <c r="BL738" s="2" t="s">
        <v>5</v>
      </c>
      <c r="BM738" s="2" t="s">
        <v>5</v>
      </c>
      <c r="BN738" s="2" t="s">
        <v>5</v>
      </c>
      <c r="BO738" s="2" t="s">
        <v>5</v>
      </c>
      <c r="BP738" s="2" t="s">
        <v>5</v>
      </c>
      <c r="BQ738" s="2" t="s">
        <v>5</v>
      </c>
      <c r="BR738" s="2" t="s">
        <v>5</v>
      </c>
      <c r="BS738" s="2" t="s">
        <v>5</v>
      </c>
      <c r="BT738" s="2" t="s">
        <v>5</v>
      </c>
      <c r="BU738" s="2" t="s">
        <v>5</v>
      </c>
      <c r="BV738" s="2" t="s">
        <v>5</v>
      </c>
      <c r="BW738" s="2" t="s">
        <v>5</v>
      </c>
      <c r="BX738" s="2" t="s">
        <v>5</v>
      </c>
      <c r="BY738" s="25" t="s">
        <v>5</v>
      </c>
      <c r="BZ738" s="25" t="s">
        <v>5</v>
      </c>
      <c r="CA738" s="6" t="s">
        <v>5</v>
      </c>
      <c r="CB738" s="6" t="s">
        <v>5</v>
      </c>
      <c r="CC738" s="6" t="s">
        <v>5</v>
      </c>
      <c r="CD738" s="6" t="s">
        <v>5</v>
      </c>
      <c r="CE738" s="6" t="s">
        <v>5</v>
      </c>
      <c r="CF738" s="16" t="s">
        <v>5</v>
      </c>
      <c r="CG738" s="16" t="s">
        <v>5</v>
      </c>
      <c r="CH738" s="18" t="s">
        <v>5</v>
      </c>
    </row>
    <row r="739" spans="2:86">
      <c r="B739" s="78" t="s">
        <v>473</v>
      </c>
      <c r="C739" s="79" t="s">
        <v>839</v>
      </c>
      <c r="D739" s="80" t="s">
        <v>839</v>
      </c>
      <c r="E739" s="1" t="s">
        <v>4</v>
      </c>
      <c r="F739" s="4">
        <v>39.6</v>
      </c>
      <c r="G739" s="4">
        <v>11.7</v>
      </c>
      <c r="H739" s="3" t="str">
        <f t="shared" si="30"/>
        <v>2L5X3-1/2X3/4X3/8LLBB</v>
      </c>
      <c r="I739" s="7">
        <v>5</v>
      </c>
      <c r="J739" s="5" t="s">
        <v>5</v>
      </c>
      <c r="K739" s="6" t="s">
        <v>5</v>
      </c>
      <c r="L739" s="6" t="s">
        <v>5</v>
      </c>
      <c r="M739" s="6" t="s">
        <v>5</v>
      </c>
      <c r="N739" s="6" t="s">
        <v>5</v>
      </c>
      <c r="O739" s="5" t="s">
        <v>5</v>
      </c>
      <c r="P739" s="5" t="s">
        <v>5</v>
      </c>
      <c r="Q739" s="7">
        <v>3.5</v>
      </c>
      <c r="R739" s="6" t="s">
        <v>5</v>
      </c>
      <c r="S739" s="6" t="s">
        <v>5</v>
      </c>
      <c r="T739" s="5" t="s">
        <v>5</v>
      </c>
      <c r="U739" s="8" t="s">
        <v>5</v>
      </c>
      <c r="V739" s="6" t="s">
        <v>5</v>
      </c>
      <c r="W739" s="8" t="s">
        <v>5</v>
      </c>
      <c r="X739" s="22">
        <v>0.75</v>
      </c>
      <c r="Y739" s="6" t="s">
        <v>5</v>
      </c>
      <c r="Z739" s="6" t="s">
        <v>5</v>
      </c>
      <c r="AA739" s="6" t="s">
        <v>5</v>
      </c>
      <c r="AB739" s="8" t="s">
        <v>5</v>
      </c>
      <c r="AC739" s="8" t="s">
        <v>5</v>
      </c>
      <c r="AD739" s="6" t="s">
        <v>5</v>
      </c>
      <c r="AE739" s="7">
        <v>1.74</v>
      </c>
      <c r="AF739" s="6" t="s">
        <v>5</v>
      </c>
      <c r="AG739" s="6" t="s">
        <v>5</v>
      </c>
      <c r="AH739" s="7">
        <v>1.1000000000000001</v>
      </c>
      <c r="AI739" s="6" t="s">
        <v>5</v>
      </c>
      <c r="AJ739" s="7">
        <v>6.67</v>
      </c>
      <c r="AK739" s="6" t="s">
        <v>5</v>
      </c>
      <c r="AL739" s="6" t="s">
        <v>5</v>
      </c>
      <c r="AM739" s="6" t="s">
        <v>5</v>
      </c>
      <c r="AN739" s="6" t="s">
        <v>5</v>
      </c>
      <c r="AO739" s="4">
        <v>27.8</v>
      </c>
      <c r="AP739" s="4">
        <v>15.2</v>
      </c>
      <c r="AQ739" s="7">
        <v>8.52</v>
      </c>
      <c r="AR739" s="7">
        <v>1.55</v>
      </c>
      <c r="AS739" s="6">
        <v>27.4</v>
      </c>
      <c r="AT739" s="6">
        <v>13.8</v>
      </c>
      <c r="AU739" s="6">
        <v>7.43</v>
      </c>
      <c r="AV739" s="7">
        <v>1.53</v>
      </c>
      <c r="AW739" s="6" t="s">
        <v>5</v>
      </c>
      <c r="AX739" s="6" t="s">
        <v>5</v>
      </c>
      <c r="AY739" s="6" t="s">
        <v>5</v>
      </c>
      <c r="AZ739" s="6" t="s">
        <v>5</v>
      </c>
      <c r="BA739" s="6" t="s">
        <v>5</v>
      </c>
      <c r="BB739" s="6" t="s">
        <v>5</v>
      </c>
      <c r="BC739" s="6" t="s">
        <v>5</v>
      </c>
      <c r="BD739" s="6" t="s">
        <v>5</v>
      </c>
      <c r="BE739" s="6" t="s">
        <v>5</v>
      </c>
      <c r="BF739" s="6" t="s">
        <v>5</v>
      </c>
      <c r="BG739" s="6" t="s">
        <v>5</v>
      </c>
      <c r="BH739" s="6" t="s">
        <v>5</v>
      </c>
      <c r="BI739" s="7">
        <v>2.57</v>
      </c>
      <c r="BJ739" s="22">
        <v>0.71699999999999997</v>
      </c>
      <c r="BK739" s="6" t="s">
        <v>5</v>
      </c>
      <c r="BL739" s="2" t="s">
        <v>5</v>
      </c>
      <c r="BM739" s="2" t="s">
        <v>5</v>
      </c>
      <c r="BN739" s="2" t="s">
        <v>5</v>
      </c>
      <c r="BO739" s="2" t="s">
        <v>5</v>
      </c>
      <c r="BP739" s="2" t="s">
        <v>5</v>
      </c>
      <c r="BQ739" s="2" t="s">
        <v>5</v>
      </c>
      <c r="BR739" s="2" t="s">
        <v>5</v>
      </c>
      <c r="BS739" s="2" t="s">
        <v>5</v>
      </c>
      <c r="BT739" s="2" t="s">
        <v>5</v>
      </c>
      <c r="BU739" s="2" t="s">
        <v>5</v>
      </c>
      <c r="BV739" s="2" t="s">
        <v>5</v>
      </c>
      <c r="BW739" s="2" t="s">
        <v>5</v>
      </c>
      <c r="BX739" s="2" t="s">
        <v>5</v>
      </c>
      <c r="BY739" s="25" t="s">
        <v>5</v>
      </c>
      <c r="BZ739" s="25" t="s">
        <v>5</v>
      </c>
      <c r="CA739" s="6" t="s">
        <v>5</v>
      </c>
      <c r="CB739" s="6" t="s">
        <v>5</v>
      </c>
      <c r="CC739" s="6" t="s">
        <v>5</v>
      </c>
      <c r="CD739" s="6" t="s">
        <v>5</v>
      </c>
      <c r="CE739" s="6" t="s">
        <v>5</v>
      </c>
      <c r="CF739" s="16" t="s">
        <v>5</v>
      </c>
      <c r="CG739" s="16" t="s">
        <v>5</v>
      </c>
      <c r="CH739" s="18" t="s">
        <v>5</v>
      </c>
    </row>
    <row r="740" spans="2:86">
      <c r="B740" s="78" t="s">
        <v>473</v>
      </c>
      <c r="C740" s="79" t="s">
        <v>840</v>
      </c>
      <c r="D740" s="80" t="s">
        <v>840</v>
      </c>
      <c r="E740" s="1" t="s">
        <v>4</v>
      </c>
      <c r="F740" s="4">
        <v>39.6</v>
      </c>
      <c r="G740" s="4">
        <v>11.7</v>
      </c>
      <c r="H740" s="3" t="str">
        <f t="shared" si="30"/>
        <v>2L5X3-1/2X3/4X3/4LLBB</v>
      </c>
      <c r="I740" s="7">
        <v>5</v>
      </c>
      <c r="J740" s="5" t="s">
        <v>5</v>
      </c>
      <c r="K740" s="6" t="s">
        <v>5</v>
      </c>
      <c r="L740" s="6" t="s">
        <v>5</v>
      </c>
      <c r="M740" s="6" t="s">
        <v>5</v>
      </c>
      <c r="N740" s="6" t="s">
        <v>5</v>
      </c>
      <c r="O740" s="5" t="s">
        <v>5</v>
      </c>
      <c r="P740" s="5" t="s">
        <v>5</v>
      </c>
      <c r="Q740" s="7">
        <v>3.5</v>
      </c>
      <c r="R740" s="6" t="s">
        <v>5</v>
      </c>
      <c r="S740" s="6" t="s">
        <v>5</v>
      </c>
      <c r="T740" s="5" t="s">
        <v>5</v>
      </c>
      <c r="U740" s="8" t="s">
        <v>5</v>
      </c>
      <c r="V740" s="6" t="s">
        <v>5</v>
      </c>
      <c r="W740" s="8" t="s">
        <v>5</v>
      </c>
      <c r="X740" s="22">
        <v>0.75</v>
      </c>
      <c r="Y740" s="6" t="s">
        <v>5</v>
      </c>
      <c r="Z740" s="6" t="s">
        <v>5</v>
      </c>
      <c r="AA740" s="6" t="s">
        <v>5</v>
      </c>
      <c r="AB740" s="8" t="s">
        <v>5</v>
      </c>
      <c r="AC740" s="8" t="s">
        <v>5</v>
      </c>
      <c r="AD740" s="6" t="s">
        <v>5</v>
      </c>
      <c r="AE740" s="7">
        <v>1.74</v>
      </c>
      <c r="AF740" s="6" t="s">
        <v>5</v>
      </c>
      <c r="AG740" s="6" t="s">
        <v>5</v>
      </c>
      <c r="AH740" s="7">
        <v>1.1000000000000001</v>
      </c>
      <c r="AI740" s="6" t="s">
        <v>5</v>
      </c>
      <c r="AJ740" s="7">
        <v>6.67</v>
      </c>
      <c r="AK740" s="6" t="s">
        <v>5</v>
      </c>
      <c r="AL740" s="6" t="s">
        <v>5</v>
      </c>
      <c r="AM740" s="6" t="s">
        <v>5</v>
      </c>
      <c r="AN740" s="6" t="s">
        <v>5</v>
      </c>
      <c r="AO740" s="4">
        <v>27.8</v>
      </c>
      <c r="AP740" s="4">
        <v>15.2</v>
      </c>
      <c r="AQ740" s="7">
        <v>8.52</v>
      </c>
      <c r="AR740" s="7">
        <v>1.55</v>
      </c>
      <c r="AS740" s="4">
        <v>33</v>
      </c>
      <c r="AT740" s="4">
        <v>16</v>
      </c>
      <c r="AU740" s="6">
        <v>8.52</v>
      </c>
      <c r="AV740" s="7">
        <v>1.68</v>
      </c>
      <c r="AW740" s="6" t="s">
        <v>5</v>
      </c>
      <c r="AX740" s="6" t="s">
        <v>5</v>
      </c>
      <c r="AY740" s="6" t="s">
        <v>5</v>
      </c>
      <c r="AZ740" s="6" t="s">
        <v>5</v>
      </c>
      <c r="BA740" s="6" t="s">
        <v>5</v>
      </c>
      <c r="BB740" s="6" t="s">
        <v>5</v>
      </c>
      <c r="BC740" s="6" t="s">
        <v>5</v>
      </c>
      <c r="BD740" s="6" t="s">
        <v>5</v>
      </c>
      <c r="BE740" s="6" t="s">
        <v>5</v>
      </c>
      <c r="BF740" s="6" t="s">
        <v>5</v>
      </c>
      <c r="BG740" s="6" t="s">
        <v>5</v>
      </c>
      <c r="BH740" s="6" t="s">
        <v>5</v>
      </c>
      <c r="BI740" s="7">
        <v>2.66</v>
      </c>
      <c r="BJ740" s="22">
        <v>0.73599999999999999</v>
      </c>
      <c r="BK740" s="6" t="s">
        <v>5</v>
      </c>
      <c r="BL740" s="2" t="s">
        <v>5</v>
      </c>
      <c r="BM740" s="2" t="s">
        <v>5</v>
      </c>
      <c r="BN740" s="2" t="s">
        <v>5</v>
      </c>
      <c r="BO740" s="2" t="s">
        <v>5</v>
      </c>
      <c r="BP740" s="2" t="s">
        <v>5</v>
      </c>
      <c r="BQ740" s="2" t="s">
        <v>5</v>
      </c>
      <c r="BR740" s="2" t="s">
        <v>5</v>
      </c>
      <c r="BS740" s="2" t="s">
        <v>5</v>
      </c>
      <c r="BT740" s="2" t="s">
        <v>5</v>
      </c>
      <c r="BU740" s="2" t="s">
        <v>5</v>
      </c>
      <c r="BV740" s="2" t="s">
        <v>5</v>
      </c>
      <c r="BW740" s="2" t="s">
        <v>5</v>
      </c>
      <c r="BX740" s="2" t="s">
        <v>5</v>
      </c>
      <c r="BY740" s="25" t="s">
        <v>5</v>
      </c>
      <c r="BZ740" s="25" t="s">
        <v>5</v>
      </c>
      <c r="CA740" s="6" t="s">
        <v>5</v>
      </c>
      <c r="CB740" s="6" t="s">
        <v>5</v>
      </c>
      <c r="CC740" s="6" t="s">
        <v>5</v>
      </c>
      <c r="CD740" s="6" t="s">
        <v>5</v>
      </c>
      <c r="CE740" s="6" t="s">
        <v>5</v>
      </c>
      <c r="CF740" s="16" t="s">
        <v>5</v>
      </c>
      <c r="CG740" s="16" t="s">
        <v>5</v>
      </c>
      <c r="CH740" s="18" t="s">
        <v>5</v>
      </c>
    </row>
    <row r="741" spans="2:86">
      <c r="B741" s="78" t="s">
        <v>473</v>
      </c>
      <c r="C741" s="79" t="s">
        <v>841</v>
      </c>
      <c r="D741" s="80" t="s">
        <v>841</v>
      </c>
      <c r="E741" s="1" t="s">
        <v>4</v>
      </c>
      <c r="F741" s="4">
        <v>33.6</v>
      </c>
      <c r="G741" s="7">
        <v>9.86</v>
      </c>
      <c r="H741" s="3" t="str">
        <f t="shared" si="30"/>
        <v>2L5X3-1/2X5/8LLBB</v>
      </c>
      <c r="I741" s="7">
        <v>5</v>
      </c>
      <c r="J741" s="5" t="s">
        <v>5</v>
      </c>
      <c r="K741" s="6" t="s">
        <v>5</v>
      </c>
      <c r="L741" s="6" t="s">
        <v>5</v>
      </c>
      <c r="M741" s="6" t="s">
        <v>5</v>
      </c>
      <c r="N741" s="6" t="s">
        <v>5</v>
      </c>
      <c r="O741" s="5" t="s">
        <v>5</v>
      </c>
      <c r="P741" s="5" t="s">
        <v>5</v>
      </c>
      <c r="Q741" s="7">
        <v>3.5</v>
      </c>
      <c r="R741" s="6" t="s">
        <v>5</v>
      </c>
      <c r="S741" s="6" t="s">
        <v>5</v>
      </c>
      <c r="T741" s="5" t="s">
        <v>5</v>
      </c>
      <c r="U741" s="8" t="s">
        <v>5</v>
      </c>
      <c r="V741" s="6" t="s">
        <v>5</v>
      </c>
      <c r="W741" s="8" t="s">
        <v>5</v>
      </c>
      <c r="X741" s="22">
        <v>0.625</v>
      </c>
      <c r="Y741" s="6" t="s">
        <v>5</v>
      </c>
      <c r="Z741" s="6" t="s">
        <v>5</v>
      </c>
      <c r="AA741" s="6" t="s">
        <v>5</v>
      </c>
      <c r="AB741" s="8" t="s">
        <v>5</v>
      </c>
      <c r="AC741" s="8" t="s">
        <v>5</v>
      </c>
      <c r="AD741" s="6" t="s">
        <v>5</v>
      </c>
      <c r="AE741" s="7">
        <v>1.69</v>
      </c>
      <c r="AF741" s="6" t="s">
        <v>5</v>
      </c>
      <c r="AG741" s="6" t="s">
        <v>5</v>
      </c>
      <c r="AH741" s="7">
        <v>1.06</v>
      </c>
      <c r="AI741" s="6" t="s">
        <v>5</v>
      </c>
      <c r="AJ741" s="7">
        <v>8</v>
      </c>
      <c r="AK741" s="6" t="s">
        <v>5</v>
      </c>
      <c r="AL741" s="6" t="s">
        <v>5</v>
      </c>
      <c r="AM741" s="6" t="s">
        <v>5</v>
      </c>
      <c r="AN741" s="6" t="s">
        <v>5</v>
      </c>
      <c r="AO741" s="4">
        <v>24</v>
      </c>
      <c r="AP741" s="4">
        <v>13</v>
      </c>
      <c r="AQ741" s="7">
        <v>7.26</v>
      </c>
      <c r="AR741" s="7">
        <v>1.56</v>
      </c>
      <c r="AS741" s="6">
        <v>18.5</v>
      </c>
      <c r="AT741" s="6">
        <v>9.34</v>
      </c>
      <c r="AU741" s="6">
        <v>5.29</v>
      </c>
      <c r="AV741" s="7">
        <v>1.37</v>
      </c>
      <c r="AW741" s="6" t="s">
        <v>5</v>
      </c>
      <c r="AX741" s="6" t="s">
        <v>5</v>
      </c>
      <c r="AY741" s="6" t="s">
        <v>5</v>
      </c>
      <c r="AZ741" s="6" t="s">
        <v>5</v>
      </c>
      <c r="BA741" s="6" t="s">
        <v>5</v>
      </c>
      <c r="BB741" s="6" t="s">
        <v>5</v>
      </c>
      <c r="BC741" s="6" t="s">
        <v>5</v>
      </c>
      <c r="BD741" s="6" t="s">
        <v>5</v>
      </c>
      <c r="BE741" s="6" t="s">
        <v>5</v>
      </c>
      <c r="BF741" s="6" t="s">
        <v>5</v>
      </c>
      <c r="BG741" s="6" t="s">
        <v>5</v>
      </c>
      <c r="BH741" s="6" t="s">
        <v>5</v>
      </c>
      <c r="BI741" s="7">
        <v>2.4900000000000002</v>
      </c>
      <c r="BJ741" s="22">
        <v>0.69299999999999995</v>
      </c>
      <c r="BK741" s="6" t="s">
        <v>5</v>
      </c>
      <c r="BL741" s="2" t="s">
        <v>5</v>
      </c>
      <c r="BM741" s="2" t="s">
        <v>5</v>
      </c>
      <c r="BN741" s="2" t="s">
        <v>5</v>
      </c>
      <c r="BO741" s="2" t="s">
        <v>5</v>
      </c>
      <c r="BP741" s="2" t="s">
        <v>5</v>
      </c>
      <c r="BQ741" s="2" t="s">
        <v>5</v>
      </c>
      <c r="BR741" s="2" t="s">
        <v>5</v>
      </c>
      <c r="BS741" s="2" t="s">
        <v>5</v>
      </c>
      <c r="BT741" s="2" t="s">
        <v>5</v>
      </c>
      <c r="BU741" s="2" t="s">
        <v>5</v>
      </c>
      <c r="BV741" s="2" t="s">
        <v>5</v>
      </c>
      <c r="BW741" s="2" t="s">
        <v>5</v>
      </c>
      <c r="BX741" s="2" t="s">
        <v>5</v>
      </c>
      <c r="BY741" s="25" t="s">
        <v>5</v>
      </c>
      <c r="BZ741" s="25" t="s">
        <v>5</v>
      </c>
      <c r="CA741" s="6" t="s">
        <v>5</v>
      </c>
      <c r="CB741" s="6" t="s">
        <v>5</v>
      </c>
      <c r="CC741" s="6" t="s">
        <v>5</v>
      </c>
      <c r="CD741" s="6" t="s">
        <v>5</v>
      </c>
      <c r="CE741" s="6" t="s">
        <v>5</v>
      </c>
      <c r="CF741" s="16" t="s">
        <v>5</v>
      </c>
      <c r="CG741" s="16" t="s">
        <v>5</v>
      </c>
      <c r="CH741" s="18" t="s">
        <v>5</v>
      </c>
    </row>
    <row r="742" spans="2:86">
      <c r="B742" s="78" t="s">
        <v>473</v>
      </c>
      <c r="C742" s="79" t="s">
        <v>842</v>
      </c>
      <c r="D742" s="80" t="s">
        <v>842</v>
      </c>
      <c r="E742" s="1" t="s">
        <v>4</v>
      </c>
      <c r="F742" s="4">
        <v>33.6</v>
      </c>
      <c r="G742" s="7">
        <v>9.86</v>
      </c>
      <c r="H742" s="3" t="str">
        <f t="shared" si="30"/>
        <v>2L5X3-1/2X5/8X3/8LLBB</v>
      </c>
      <c r="I742" s="7">
        <v>5</v>
      </c>
      <c r="J742" s="5" t="s">
        <v>5</v>
      </c>
      <c r="K742" s="6" t="s">
        <v>5</v>
      </c>
      <c r="L742" s="6" t="s">
        <v>5</v>
      </c>
      <c r="M742" s="6" t="s">
        <v>5</v>
      </c>
      <c r="N742" s="6" t="s">
        <v>5</v>
      </c>
      <c r="O742" s="5" t="s">
        <v>5</v>
      </c>
      <c r="P742" s="5" t="s">
        <v>5</v>
      </c>
      <c r="Q742" s="7">
        <v>3.5</v>
      </c>
      <c r="R742" s="6" t="s">
        <v>5</v>
      </c>
      <c r="S742" s="6" t="s">
        <v>5</v>
      </c>
      <c r="T742" s="5" t="s">
        <v>5</v>
      </c>
      <c r="U742" s="8" t="s">
        <v>5</v>
      </c>
      <c r="V742" s="6" t="s">
        <v>5</v>
      </c>
      <c r="W742" s="8" t="s">
        <v>5</v>
      </c>
      <c r="X742" s="22">
        <v>0.625</v>
      </c>
      <c r="Y742" s="6" t="s">
        <v>5</v>
      </c>
      <c r="Z742" s="6" t="s">
        <v>5</v>
      </c>
      <c r="AA742" s="6" t="s">
        <v>5</v>
      </c>
      <c r="AB742" s="8" t="s">
        <v>5</v>
      </c>
      <c r="AC742" s="8" t="s">
        <v>5</v>
      </c>
      <c r="AD742" s="6" t="s">
        <v>5</v>
      </c>
      <c r="AE742" s="7">
        <v>1.69</v>
      </c>
      <c r="AF742" s="6" t="s">
        <v>5</v>
      </c>
      <c r="AG742" s="6" t="s">
        <v>5</v>
      </c>
      <c r="AH742" s="7">
        <v>1.06</v>
      </c>
      <c r="AI742" s="6" t="s">
        <v>5</v>
      </c>
      <c r="AJ742" s="7">
        <v>8</v>
      </c>
      <c r="AK742" s="6" t="s">
        <v>5</v>
      </c>
      <c r="AL742" s="6" t="s">
        <v>5</v>
      </c>
      <c r="AM742" s="6" t="s">
        <v>5</v>
      </c>
      <c r="AN742" s="6" t="s">
        <v>5</v>
      </c>
      <c r="AO742" s="4">
        <v>24</v>
      </c>
      <c r="AP742" s="4">
        <v>13</v>
      </c>
      <c r="AQ742" s="7">
        <v>7.26</v>
      </c>
      <c r="AR742" s="7">
        <v>1.56</v>
      </c>
      <c r="AS742" s="6">
        <v>22.2</v>
      </c>
      <c r="AT742" s="6">
        <v>11.2</v>
      </c>
      <c r="AU742" s="6">
        <v>6.02</v>
      </c>
      <c r="AV742" s="7">
        <v>1.5</v>
      </c>
      <c r="AW742" s="6" t="s">
        <v>5</v>
      </c>
      <c r="AX742" s="6" t="s">
        <v>5</v>
      </c>
      <c r="AY742" s="6" t="s">
        <v>5</v>
      </c>
      <c r="AZ742" s="6" t="s">
        <v>5</v>
      </c>
      <c r="BA742" s="6" t="s">
        <v>5</v>
      </c>
      <c r="BB742" s="6" t="s">
        <v>5</v>
      </c>
      <c r="BC742" s="6" t="s">
        <v>5</v>
      </c>
      <c r="BD742" s="6" t="s">
        <v>5</v>
      </c>
      <c r="BE742" s="6" t="s">
        <v>5</v>
      </c>
      <c r="BF742" s="6" t="s">
        <v>5</v>
      </c>
      <c r="BG742" s="6" t="s">
        <v>5</v>
      </c>
      <c r="BH742" s="6" t="s">
        <v>5</v>
      </c>
      <c r="BI742" s="7">
        <v>2.57</v>
      </c>
      <c r="BJ742" s="22">
        <v>0.71099999999999997</v>
      </c>
      <c r="BK742" s="6" t="s">
        <v>5</v>
      </c>
      <c r="BL742" s="2" t="s">
        <v>5</v>
      </c>
      <c r="BM742" s="2" t="s">
        <v>5</v>
      </c>
      <c r="BN742" s="2" t="s">
        <v>5</v>
      </c>
      <c r="BO742" s="2" t="s">
        <v>5</v>
      </c>
      <c r="BP742" s="2" t="s">
        <v>5</v>
      </c>
      <c r="BQ742" s="2" t="s">
        <v>5</v>
      </c>
      <c r="BR742" s="2" t="s">
        <v>5</v>
      </c>
      <c r="BS742" s="2" t="s">
        <v>5</v>
      </c>
      <c r="BT742" s="2" t="s">
        <v>5</v>
      </c>
      <c r="BU742" s="2" t="s">
        <v>5</v>
      </c>
      <c r="BV742" s="2" t="s">
        <v>5</v>
      </c>
      <c r="BW742" s="2" t="s">
        <v>5</v>
      </c>
      <c r="BX742" s="2" t="s">
        <v>5</v>
      </c>
      <c r="BY742" s="25" t="s">
        <v>5</v>
      </c>
      <c r="BZ742" s="25" t="s">
        <v>5</v>
      </c>
      <c r="CA742" s="6" t="s">
        <v>5</v>
      </c>
      <c r="CB742" s="6" t="s">
        <v>5</v>
      </c>
      <c r="CC742" s="6" t="s">
        <v>5</v>
      </c>
      <c r="CD742" s="6" t="s">
        <v>5</v>
      </c>
      <c r="CE742" s="6" t="s">
        <v>5</v>
      </c>
      <c r="CF742" s="16" t="s">
        <v>5</v>
      </c>
      <c r="CG742" s="16" t="s">
        <v>5</v>
      </c>
      <c r="CH742" s="18" t="s">
        <v>5</v>
      </c>
    </row>
    <row r="743" spans="2:86">
      <c r="B743" s="78" t="s">
        <v>473</v>
      </c>
      <c r="C743" s="79" t="s">
        <v>843</v>
      </c>
      <c r="D743" s="80" t="s">
        <v>843</v>
      </c>
      <c r="E743" s="1" t="s">
        <v>4</v>
      </c>
      <c r="F743" s="4">
        <v>33.6</v>
      </c>
      <c r="G743" s="7">
        <v>9.86</v>
      </c>
      <c r="H743" s="3" t="str">
        <f t="shared" si="30"/>
        <v>2L5X3-1/2X5/8X3/4LLBB</v>
      </c>
      <c r="I743" s="7">
        <v>5</v>
      </c>
      <c r="J743" s="5" t="s">
        <v>5</v>
      </c>
      <c r="K743" s="6" t="s">
        <v>5</v>
      </c>
      <c r="L743" s="6" t="s">
        <v>5</v>
      </c>
      <c r="M743" s="6" t="s">
        <v>5</v>
      </c>
      <c r="N743" s="6" t="s">
        <v>5</v>
      </c>
      <c r="O743" s="5" t="s">
        <v>5</v>
      </c>
      <c r="P743" s="5" t="s">
        <v>5</v>
      </c>
      <c r="Q743" s="7">
        <v>3.5</v>
      </c>
      <c r="R743" s="6" t="s">
        <v>5</v>
      </c>
      <c r="S743" s="6" t="s">
        <v>5</v>
      </c>
      <c r="T743" s="5" t="s">
        <v>5</v>
      </c>
      <c r="U743" s="8" t="s">
        <v>5</v>
      </c>
      <c r="V743" s="6" t="s">
        <v>5</v>
      </c>
      <c r="W743" s="8" t="s">
        <v>5</v>
      </c>
      <c r="X743" s="22">
        <v>0.625</v>
      </c>
      <c r="Y743" s="6" t="s">
        <v>5</v>
      </c>
      <c r="Z743" s="6" t="s">
        <v>5</v>
      </c>
      <c r="AA743" s="6" t="s">
        <v>5</v>
      </c>
      <c r="AB743" s="8" t="s">
        <v>5</v>
      </c>
      <c r="AC743" s="8" t="s">
        <v>5</v>
      </c>
      <c r="AD743" s="6" t="s">
        <v>5</v>
      </c>
      <c r="AE743" s="7">
        <v>1.69</v>
      </c>
      <c r="AF743" s="6" t="s">
        <v>5</v>
      </c>
      <c r="AG743" s="6" t="s">
        <v>5</v>
      </c>
      <c r="AH743" s="7">
        <v>1.06</v>
      </c>
      <c r="AI743" s="6" t="s">
        <v>5</v>
      </c>
      <c r="AJ743" s="7">
        <v>8</v>
      </c>
      <c r="AK743" s="6" t="s">
        <v>5</v>
      </c>
      <c r="AL743" s="6" t="s">
        <v>5</v>
      </c>
      <c r="AM743" s="6" t="s">
        <v>5</v>
      </c>
      <c r="AN743" s="6" t="s">
        <v>5</v>
      </c>
      <c r="AO743" s="4">
        <v>24</v>
      </c>
      <c r="AP743" s="4">
        <v>13</v>
      </c>
      <c r="AQ743" s="7">
        <v>7.26</v>
      </c>
      <c r="AR743" s="7">
        <v>1.56</v>
      </c>
      <c r="AS743" s="6">
        <v>26.8</v>
      </c>
      <c r="AT743" s="4">
        <v>13</v>
      </c>
      <c r="AU743" s="6">
        <v>6.92</v>
      </c>
      <c r="AV743" s="7">
        <v>1.65</v>
      </c>
      <c r="AW743" s="6" t="s">
        <v>5</v>
      </c>
      <c r="AX743" s="6" t="s">
        <v>5</v>
      </c>
      <c r="AY743" s="6" t="s">
        <v>5</v>
      </c>
      <c r="AZ743" s="6" t="s">
        <v>5</v>
      </c>
      <c r="BA743" s="6" t="s">
        <v>5</v>
      </c>
      <c r="BB743" s="6" t="s">
        <v>5</v>
      </c>
      <c r="BC743" s="6" t="s">
        <v>5</v>
      </c>
      <c r="BD743" s="6" t="s">
        <v>5</v>
      </c>
      <c r="BE743" s="6" t="s">
        <v>5</v>
      </c>
      <c r="BF743" s="6" t="s">
        <v>5</v>
      </c>
      <c r="BG743" s="6" t="s">
        <v>5</v>
      </c>
      <c r="BH743" s="6" t="s">
        <v>5</v>
      </c>
      <c r="BI743" s="7">
        <v>2.66</v>
      </c>
      <c r="BJ743" s="22">
        <v>0.73</v>
      </c>
      <c r="BK743" s="6" t="s">
        <v>5</v>
      </c>
      <c r="BL743" s="2" t="s">
        <v>5</v>
      </c>
      <c r="BM743" s="2" t="s">
        <v>5</v>
      </c>
      <c r="BN743" s="2" t="s">
        <v>5</v>
      </c>
      <c r="BO743" s="2" t="s">
        <v>5</v>
      </c>
      <c r="BP743" s="2" t="s">
        <v>5</v>
      </c>
      <c r="BQ743" s="2" t="s">
        <v>5</v>
      </c>
      <c r="BR743" s="2" t="s">
        <v>5</v>
      </c>
      <c r="BS743" s="2" t="s">
        <v>5</v>
      </c>
      <c r="BT743" s="2" t="s">
        <v>5</v>
      </c>
      <c r="BU743" s="2" t="s">
        <v>5</v>
      </c>
      <c r="BV743" s="2" t="s">
        <v>5</v>
      </c>
      <c r="BW743" s="2" t="s">
        <v>5</v>
      </c>
      <c r="BX743" s="2" t="s">
        <v>5</v>
      </c>
      <c r="BY743" s="25" t="s">
        <v>5</v>
      </c>
      <c r="BZ743" s="25" t="s">
        <v>5</v>
      </c>
      <c r="CA743" s="6" t="s">
        <v>5</v>
      </c>
      <c r="CB743" s="6" t="s">
        <v>5</v>
      </c>
      <c r="CC743" s="6" t="s">
        <v>5</v>
      </c>
      <c r="CD743" s="6" t="s">
        <v>5</v>
      </c>
      <c r="CE743" s="6" t="s">
        <v>5</v>
      </c>
      <c r="CF743" s="16" t="s">
        <v>5</v>
      </c>
      <c r="CG743" s="16" t="s">
        <v>5</v>
      </c>
      <c r="CH743" s="18" t="s">
        <v>5</v>
      </c>
    </row>
    <row r="744" spans="2:86">
      <c r="B744" s="78" t="s">
        <v>473</v>
      </c>
      <c r="C744" s="79" t="s">
        <v>844</v>
      </c>
      <c r="D744" s="80" t="s">
        <v>844</v>
      </c>
      <c r="E744" s="1" t="s">
        <v>4</v>
      </c>
      <c r="F744" s="4">
        <v>27.2</v>
      </c>
      <c r="G744" s="7">
        <v>8</v>
      </c>
      <c r="H744" s="3" t="str">
        <f t="shared" si="30"/>
        <v>2L5X3-1/2X1/2LLBB</v>
      </c>
      <c r="I744" s="7">
        <v>5</v>
      </c>
      <c r="J744" s="5" t="s">
        <v>5</v>
      </c>
      <c r="K744" s="6" t="s">
        <v>5</v>
      </c>
      <c r="L744" s="6" t="s">
        <v>5</v>
      </c>
      <c r="M744" s="6" t="s">
        <v>5</v>
      </c>
      <c r="N744" s="6" t="s">
        <v>5</v>
      </c>
      <c r="O744" s="5" t="s">
        <v>5</v>
      </c>
      <c r="P744" s="5" t="s">
        <v>5</v>
      </c>
      <c r="Q744" s="7">
        <v>3.5</v>
      </c>
      <c r="R744" s="6" t="s">
        <v>5</v>
      </c>
      <c r="S744" s="6" t="s">
        <v>5</v>
      </c>
      <c r="T744" s="5" t="s">
        <v>5</v>
      </c>
      <c r="U744" s="8" t="s">
        <v>5</v>
      </c>
      <c r="V744" s="6" t="s">
        <v>5</v>
      </c>
      <c r="W744" s="8" t="s">
        <v>5</v>
      </c>
      <c r="X744" s="22">
        <v>0.5</v>
      </c>
      <c r="Y744" s="6" t="s">
        <v>5</v>
      </c>
      <c r="Z744" s="6" t="s">
        <v>5</v>
      </c>
      <c r="AA744" s="6" t="s">
        <v>5</v>
      </c>
      <c r="AB744" s="8" t="s">
        <v>5</v>
      </c>
      <c r="AC744" s="8" t="s">
        <v>5</v>
      </c>
      <c r="AD744" s="6" t="s">
        <v>5</v>
      </c>
      <c r="AE744" s="7">
        <v>1.65</v>
      </c>
      <c r="AF744" s="6" t="s">
        <v>5</v>
      </c>
      <c r="AG744" s="6" t="s">
        <v>5</v>
      </c>
      <c r="AH744" s="7">
        <v>1</v>
      </c>
      <c r="AI744" s="6" t="s">
        <v>5</v>
      </c>
      <c r="AJ744" s="4">
        <v>10</v>
      </c>
      <c r="AK744" s="6" t="s">
        <v>5</v>
      </c>
      <c r="AL744" s="6" t="s">
        <v>5</v>
      </c>
      <c r="AM744" s="6" t="s">
        <v>5</v>
      </c>
      <c r="AN744" s="6" t="s">
        <v>5</v>
      </c>
      <c r="AO744" s="4">
        <v>20</v>
      </c>
      <c r="AP744" s="4">
        <v>10.7</v>
      </c>
      <c r="AQ744" s="7">
        <v>5.94</v>
      </c>
      <c r="AR744" s="7">
        <v>1.58</v>
      </c>
      <c r="AS744" s="6">
        <v>14.6</v>
      </c>
      <c r="AT744" s="6">
        <v>7.21</v>
      </c>
      <c r="AU744" s="6">
        <v>4.17</v>
      </c>
      <c r="AV744" s="7">
        <v>1.35</v>
      </c>
      <c r="AW744" s="6" t="s">
        <v>5</v>
      </c>
      <c r="AX744" s="6" t="s">
        <v>5</v>
      </c>
      <c r="AY744" s="6" t="s">
        <v>5</v>
      </c>
      <c r="AZ744" s="6" t="s">
        <v>5</v>
      </c>
      <c r="BA744" s="6" t="s">
        <v>5</v>
      </c>
      <c r="BB744" s="6" t="s">
        <v>5</v>
      </c>
      <c r="BC744" s="6" t="s">
        <v>5</v>
      </c>
      <c r="BD744" s="6" t="s">
        <v>5</v>
      </c>
      <c r="BE744" s="6" t="s">
        <v>5</v>
      </c>
      <c r="BF744" s="6" t="s">
        <v>5</v>
      </c>
      <c r="BG744" s="6" t="s">
        <v>5</v>
      </c>
      <c r="BH744" s="6" t="s">
        <v>5</v>
      </c>
      <c r="BI744" s="7">
        <v>2.5</v>
      </c>
      <c r="BJ744" s="22">
        <v>0.68799999999999994</v>
      </c>
      <c r="BK744" s="6" t="s">
        <v>5</v>
      </c>
      <c r="BL744" s="2" t="s">
        <v>5</v>
      </c>
      <c r="BM744" s="2" t="s">
        <v>5</v>
      </c>
      <c r="BN744" s="2" t="s">
        <v>5</v>
      </c>
      <c r="BO744" s="2" t="s">
        <v>5</v>
      </c>
      <c r="BP744" s="2" t="s">
        <v>5</v>
      </c>
      <c r="BQ744" s="2" t="s">
        <v>5</v>
      </c>
      <c r="BR744" s="2" t="s">
        <v>5</v>
      </c>
      <c r="BS744" s="2" t="s">
        <v>5</v>
      </c>
      <c r="BT744" s="2" t="s">
        <v>5</v>
      </c>
      <c r="BU744" s="2" t="s">
        <v>5</v>
      </c>
      <c r="BV744" s="2" t="s">
        <v>5</v>
      </c>
      <c r="BW744" s="2" t="s">
        <v>5</v>
      </c>
      <c r="BX744" s="2" t="s">
        <v>5</v>
      </c>
      <c r="BY744" s="25" t="s">
        <v>5</v>
      </c>
      <c r="BZ744" s="25" t="s">
        <v>5</v>
      </c>
      <c r="CA744" s="6" t="s">
        <v>5</v>
      </c>
      <c r="CB744" s="6" t="s">
        <v>5</v>
      </c>
      <c r="CC744" s="6" t="s">
        <v>5</v>
      </c>
      <c r="CD744" s="6" t="s">
        <v>5</v>
      </c>
      <c r="CE744" s="6" t="s">
        <v>5</v>
      </c>
      <c r="CF744" s="16" t="s">
        <v>5</v>
      </c>
      <c r="CG744" s="16" t="s">
        <v>5</v>
      </c>
      <c r="CH744" s="18" t="s">
        <v>5</v>
      </c>
    </row>
    <row r="745" spans="2:86">
      <c r="B745" s="78" t="s">
        <v>473</v>
      </c>
      <c r="C745" s="79" t="s">
        <v>845</v>
      </c>
      <c r="D745" s="80" t="s">
        <v>845</v>
      </c>
      <c r="E745" s="1" t="s">
        <v>4</v>
      </c>
      <c r="F745" s="4">
        <v>27.2</v>
      </c>
      <c r="G745" s="7">
        <v>8</v>
      </c>
      <c r="H745" s="3" t="str">
        <f t="shared" si="30"/>
        <v>2L5X3-1/2X1/2X3/8LLBB</v>
      </c>
      <c r="I745" s="7">
        <v>5</v>
      </c>
      <c r="J745" s="5" t="s">
        <v>5</v>
      </c>
      <c r="K745" s="6" t="s">
        <v>5</v>
      </c>
      <c r="L745" s="6" t="s">
        <v>5</v>
      </c>
      <c r="M745" s="6" t="s">
        <v>5</v>
      </c>
      <c r="N745" s="6" t="s">
        <v>5</v>
      </c>
      <c r="O745" s="5" t="s">
        <v>5</v>
      </c>
      <c r="P745" s="5" t="s">
        <v>5</v>
      </c>
      <c r="Q745" s="7">
        <v>3.5</v>
      </c>
      <c r="R745" s="6" t="s">
        <v>5</v>
      </c>
      <c r="S745" s="6" t="s">
        <v>5</v>
      </c>
      <c r="T745" s="5" t="s">
        <v>5</v>
      </c>
      <c r="U745" s="8" t="s">
        <v>5</v>
      </c>
      <c r="V745" s="6" t="s">
        <v>5</v>
      </c>
      <c r="W745" s="8" t="s">
        <v>5</v>
      </c>
      <c r="X745" s="22">
        <v>0.5</v>
      </c>
      <c r="Y745" s="6" t="s">
        <v>5</v>
      </c>
      <c r="Z745" s="6" t="s">
        <v>5</v>
      </c>
      <c r="AA745" s="6" t="s">
        <v>5</v>
      </c>
      <c r="AB745" s="8" t="s">
        <v>5</v>
      </c>
      <c r="AC745" s="8" t="s">
        <v>5</v>
      </c>
      <c r="AD745" s="6" t="s">
        <v>5</v>
      </c>
      <c r="AE745" s="7">
        <v>1.65</v>
      </c>
      <c r="AF745" s="6" t="s">
        <v>5</v>
      </c>
      <c r="AG745" s="6" t="s">
        <v>5</v>
      </c>
      <c r="AH745" s="7">
        <v>1</v>
      </c>
      <c r="AI745" s="6" t="s">
        <v>5</v>
      </c>
      <c r="AJ745" s="4">
        <v>10</v>
      </c>
      <c r="AK745" s="6" t="s">
        <v>5</v>
      </c>
      <c r="AL745" s="6" t="s">
        <v>5</v>
      </c>
      <c r="AM745" s="6" t="s">
        <v>5</v>
      </c>
      <c r="AN745" s="6" t="s">
        <v>5</v>
      </c>
      <c r="AO745" s="4">
        <v>20</v>
      </c>
      <c r="AP745" s="4">
        <v>10.7</v>
      </c>
      <c r="AQ745" s="7">
        <v>5.94</v>
      </c>
      <c r="AR745" s="7">
        <v>1.58</v>
      </c>
      <c r="AS745" s="6">
        <v>17.5</v>
      </c>
      <c r="AT745" s="6">
        <v>8.7100000000000009</v>
      </c>
      <c r="AU745" s="6">
        <v>4.75</v>
      </c>
      <c r="AV745" s="7">
        <v>1.48</v>
      </c>
      <c r="AW745" s="6" t="s">
        <v>5</v>
      </c>
      <c r="AX745" s="6" t="s">
        <v>5</v>
      </c>
      <c r="AY745" s="6" t="s">
        <v>5</v>
      </c>
      <c r="AZ745" s="6" t="s">
        <v>5</v>
      </c>
      <c r="BA745" s="6" t="s">
        <v>5</v>
      </c>
      <c r="BB745" s="6" t="s">
        <v>5</v>
      </c>
      <c r="BC745" s="6" t="s">
        <v>5</v>
      </c>
      <c r="BD745" s="6" t="s">
        <v>5</v>
      </c>
      <c r="BE745" s="6" t="s">
        <v>5</v>
      </c>
      <c r="BF745" s="6" t="s">
        <v>5</v>
      </c>
      <c r="BG745" s="6" t="s">
        <v>5</v>
      </c>
      <c r="BH745" s="6" t="s">
        <v>5</v>
      </c>
      <c r="BI745" s="7">
        <v>2.58</v>
      </c>
      <c r="BJ745" s="22">
        <v>0.70499999999999996</v>
      </c>
      <c r="BK745" s="6" t="s">
        <v>5</v>
      </c>
      <c r="BL745" s="2" t="s">
        <v>5</v>
      </c>
      <c r="BM745" s="2" t="s">
        <v>5</v>
      </c>
      <c r="BN745" s="2" t="s">
        <v>5</v>
      </c>
      <c r="BO745" s="2" t="s">
        <v>5</v>
      </c>
      <c r="BP745" s="2" t="s">
        <v>5</v>
      </c>
      <c r="BQ745" s="2" t="s">
        <v>5</v>
      </c>
      <c r="BR745" s="2" t="s">
        <v>5</v>
      </c>
      <c r="BS745" s="2" t="s">
        <v>5</v>
      </c>
      <c r="BT745" s="2" t="s">
        <v>5</v>
      </c>
      <c r="BU745" s="2" t="s">
        <v>5</v>
      </c>
      <c r="BV745" s="2" t="s">
        <v>5</v>
      </c>
      <c r="BW745" s="2" t="s">
        <v>5</v>
      </c>
      <c r="BX745" s="2" t="s">
        <v>5</v>
      </c>
      <c r="BY745" s="25" t="s">
        <v>5</v>
      </c>
      <c r="BZ745" s="25" t="s">
        <v>5</v>
      </c>
      <c r="CA745" s="6" t="s">
        <v>5</v>
      </c>
      <c r="CB745" s="6" t="s">
        <v>5</v>
      </c>
      <c r="CC745" s="6" t="s">
        <v>5</v>
      </c>
      <c r="CD745" s="6" t="s">
        <v>5</v>
      </c>
      <c r="CE745" s="6" t="s">
        <v>5</v>
      </c>
      <c r="CF745" s="16" t="s">
        <v>5</v>
      </c>
      <c r="CG745" s="16" t="s">
        <v>5</v>
      </c>
      <c r="CH745" s="18" t="s">
        <v>5</v>
      </c>
    </row>
    <row r="746" spans="2:86">
      <c r="B746" s="78" t="s">
        <v>473</v>
      </c>
      <c r="C746" s="79" t="s">
        <v>846</v>
      </c>
      <c r="D746" s="80" t="s">
        <v>846</v>
      </c>
      <c r="E746" s="1" t="s">
        <v>4</v>
      </c>
      <c r="F746" s="4">
        <v>27.2</v>
      </c>
      <c r="G746" s="7">
        <v>8</v>
      </c>
      <c r="H746" s="3" t="str">
        <f t="shared" si="30"/>
        <v>2L5X3-1/2X1/2X3/4LLBB</v>
      </c>
      <c r="I746" s="7">
        <v>5</v>
      </c>
      <c r="J746" s="5" t="s">
        <v>5</v>
      </c>
      <c r="K746" s="6" t="s">
        <v>5</v>
      </c>
      <c r="L746" s="6" t="s">
        <v>5</v>
      </c>
      <c r="M746" s="6" t="s">
        <v>5</v>
      </c>
      <c r="N746" s="6" t="s">
        <v>5</v>
      </c>
      <c r="O746" s="5" t="s">
        <v>5</v>
      </c>
      <c r="P746" s="5" t="s">
        <v>5</v>
      </c>
      <c r="Q746" s="7">
        <v>3.5</v>
      </c>
      <c r="R746" s="6" t="s">
        <v>5</v>
      </c>
      <c r="S746" s="6" t="s">
        <v>5</v>
      </c>
      <c r="T746" s="5" t="s">
        <v>5</v>
      </c>
      <c r="U746" s="8" t="s">
        <v>5</v>
      </c>
      <c r="V746" s="6" t="s">
        <v>5</v>
      </c>
      <c r="W746" s="8" t="s">
        <v>5</v>
      </c>
      <c r="X746" s="22">
        <v>0.5</v>
      </c>
      <c r="Y746" s="6" t="s">
        <v>5</v>
      </c>
      <c r="Z746" s="6" t="s">
        <v>5</v>
      </c>
      <c r="AA746" s="6" t="s">
        <v>5</v>
      </c>
      <c r="AB746" s="8" t="s">
        <v>5</v>
      </c>
      <c r="AC746" s="8" t="s">
        <v>5</v>
      </c>
      <c r="AD746" s="6" t="s">
        <v>5</v>
      </c>
      <c r="AE746" s="7">
        <v>1.65</v>
      </c>
      <c r="AF746" s="6" t="s">
        <v>5</v>
      </c>
      <c r="AG746" s="6" t="s">
        <v>5</v>
      </c>
      <c r="AH746" s="7">
        <v>1</v>
      </c>
      <c r="AI746" s="6" t="s">
        <v>5</v>
      </c>
      <c r="AJ746" s="4">
        <v>10</v>
      </c>
      <c r="AK746" s="6" t="s">
        <v>5</v>
      </c>
      <c r="AL746" s="6" t="s">
        <v>5</v>
      </c>
      <c r="AM746" s="6" t="s">
        <v>5</v>
      </c>
      <c r="AN746" s="6" t="s">
        <v>5</v>
      </c>
      <c r="AO746" s="4">
        <v>20</v>
      </c>
      <c r="AP746" s="4">
        <v>10.7</v>
      </c>
      <c r="AQ746" s="7">
        <v>5.94</v>
      </c>
      <c r="AR746" s="7">
        <v>1.58</v>
      </c>
      <c r="AS746" s="4">
        <v>21</v>
      </c>
      <c r="AT746" s="6">
        <v>10.199999999999999</v>
      </c>
      <c r="AU746" s="6">
        <v>5.42</v>
      </c>
      <c r="AV746" s="7">
        <v>1.62</v>
      </c>
      <c r="AW746" s="6" t="s">
        <v>5</v>
      </c>
      <c r="AX746" s="6" t="s">
        <v>5</v>
      </c>
      <c r="AY746" s="6" t="s">
        <v>5</v>
      </c>
      <c r="AZ746" s="6" t="s">
        <v>5</v>
      </c>
      <c r="BA746" s="6" t="s">
        <v>5</v>
      </c>
      <c r="BB746" s="6" t="s">
        <v>5</v>
      </c>
      <c r="BC746" s="6" t="s">
        <v>5</v>
      </c>
      <c r="BD746" s="6" t="s">
        <v>5</v>
      </c>
      <c r="BE746" s="6" t="s">
        <v>5</v>
      </c>
      <c r="BF746" s="6" t="s">
        <v>5</v>
      </c>
      <c r="BG746" s="6" t="s">
        <v>5</v>
      </c>
      <c r="BH746" s="6" t="s">
        <v>5</v>
      </c>
      <c r="BI746" s="7">
        <v>2.66</v>
      </c>
      <c r="BJ746" s="22">
        <v>0.72399999999999998</v>
      </c>
      <c r="BK746" s="6" t="s">
        <v>5</v>
      </c>
      <c r="BL746" s="2" t="s">
        <v>5</v>
      </c>
      <c r="BM746" s="2" t="s">
        <v>5</v>
      </c>
      <c r="BN746" s="2" t="s">
        <v>5</v>
      </c>
      <c r="BO746" s="2" t="s">
        <v>5</v>
      </c>
      <c r="BP746" s="2" t="s">
        <v>5</v>
      </c>
      <c r="BQ746" s="2" t="s">
        <v>5</v>
      </c>
      <c r="BR746" s="2" t="s">
        <v>5</v>
      </c>
      <c r="BS746" s="2" t="s">
        <v>5</v>
      </c>
      <c r="BT746" s="2" t="s">
        <v>5</v>
      </c>
      <c r="BU746" s="2" t="s">
        <v>5</v>
      </c>
      <c r="BV746" s="2" t="s">
        <v>5</v>
      </c>
      <c r="BW746" s="2" t="s">
        <v>5</v>
      </c>
      <c r="BX746" s="2" t="s">
        <v>5</v>
      </c>
      <c r="BY746" s="25" t="s">
        <v>5</v>
      </c>
      <c r="BZ746" s="25" t="s">
        <v>5</v>
      </c>
      <c r="CA746" s="6" t="s">
        <v>5</v>
      </c>
      <c r="CB746" s="6" t="s">
        <v>5</v>
      </c>
      <c r="CC746" s="6" t="s">
        <v>5</v>
      </c>
      <c r="CD746" s="6" t="s">
        <v>5</v>
      </c>
      <c r="CE746" s="6" t="s">
        <v>5</v>
      </c>
      <c r="CF746" s="16" t="s">
        <v>5</v>
      </c>
      <c r="CG746" s="16" t="s">
        <v>5</v>
      </c>
      <c r="CH746" s="18" t="s">
        <v>5</v>
      </c>
    </row>
    <row r="747" spans="2:86">
      <c r="B747" s="78" t="s">
        <v>473</v>
      </c>
      <c r="C747" s="79" t="s">
        <v>847</v>
      </c>
      <c r="D747" s="80" t="s">
        <v>847</v>
      </c>
      <c r="E747" s="1" t="s">
        <v>4</v>
      </c>
      <c r="F747" s="4">
        <v>20.8</v>
      </c>
      <c r="G747" s="7">
        <v>6.1</v>
      </c>
      <c r="H747" s="3" t="str">
        <f t="shared" si="30"/>
        <v>2L5X3-1/2X3/8LLBB</v>
      </c>
      <c r="I747" s="7">
        <v>5</v>
      </c>
      <c r="J747" s="5" t="s">
        <v>5</v>
      </c>
      <c r="K747" s="6" t="s">
        <v>5</v>
      </c>
      <c r="L747" s="6" t="s">
        <v>5</v>
      </c>
      <c r="M747" s="6" t="s">
        <v>5</v>
      </c>
      <c r="N747" s="6" t="s">
        <v>5</v>
      </c>
      <c r="O747" s="5" t="s">
        <v>5</v>
      </c>
      <c r="P747" s="5" t="s">
        <v>5</v>
      </c>
      <c r="Q747" s="7">
        <v>3.5</v>
      </c>
      <c r="R747" s="6" t="s">
        <v>5</v>
      </c>
      <c r="S747" s="6" t="s">
        <v>5</v>
      </c>
      <c r="T747" s="5" t="s">
        <v>5</v>
      </c>
      <c r="U747" s="8" t="s">
        <v>5</v>
      </c>
      <c r="V747" s="6" t="s">
        <v>5</v>
      </c>
      <c r="W747" s="8" t="s">
        <v>5</v>
      </c>
      <c r="X747" s="22">
        <v>0.375</v>
      </c>
      <c r="Y747" s="6" t="s">
        <v>5</v>
      </c>
      <c r="Z747" s="6" t="s">
        <v>5</v>
      </c>
      <c r="AA747" s="6" t="s">
        <v>5</v>
      </c>
      <c r="AB747" s="8" t="s">
        <v>5</v>
      </c>
      <c r="AC747" s="8" t="s">
        <v>5</v>
      </c>
      <c r="AD747" s="6" t="s">
        <v>5</v>
      </c>
      <c r="AE747" s="7">
        <v>1.6</v>
      </c>
      <c r="AF747" s="6" t="s">
        <v>5</v>
      </c>
      <c r="AG747" s="6" t="s">
        <v>5</v>
      </c>
      <c r="AH747" s="22">
        <v>0.93300000000000005</v>
      </c>
      <c r="AI747" s="6" t="s">
        <v>5</v>
      </c>
      <c r="AJ747" s="4">
        <v>13.3</v>
      </c>
      <c r="AK747" s="6" t="s">
        <v>5</v>
      </c>
      <c r="AL747" s="6" t="s">
        <v>5</v>
      </c>
      <c r="AM747" s="6" t="s">
        <v>5</v>
      </c>
      <c r="AN747" s="6" t="s">
        <v>5</v>
      </c>
      <c r="AO747" s="4">
        <v>15.5</v>
      </c>
      <c r="AP747" s="7">
        <v>8.18</v>
      </c>
      <c r="AQ747" s="7">
        <v>4.5599999999999996</v>
      </c>
      <c r="AR747" s="7">
        <v>1.59</v>
      </c>
      <c r="AS747" s="6">
        <v>10.8</v>
      </c>
      <c r="AT747" s="6">
        <v>5.21</v>
      </c>
      <c r="AU747" s="6">
        <v>3.09</v>
      </c>
      <c r="AV747" s="7">
        <v>1.33</v>
      </c>
      <c r="AW747" s="6" t="s">
        <v>5</v>
      </c>
      <c r="AX747" s="6" t="s">
        <v>5</v>
      </c>
      <c r="AY747" s="6" t="s">
        <v>5</v>
      </c>
      <c r="AZ747" s="6" t="s">
        <v>5</v>
      </c>
      <c r="BA747" s="6" t="s">
        <v>5</v>
      </c>
      <c r="BB747" s="6" t="s">
        <v>5</v>
      </c>
      <c r="BC747" s="6" t="s">
        <v>5</v>
      </c>
      <c r="BD747" s="6" t="s">
        <v>5</v>
      </c>
      <c r="BE747" s="6" t="s">
        <v>5</v>
      </c>
      <c r="BF747" s="6" t="s">
        <v>5</v>
      </c>
      <c r="BG747" s="6" t="s">
        <v>5</v>
      </c>
      <c r="BH747" s="6" t="s">
        <v>5</v>
      </c>
      <c r="BI747" s="7">
        <v>2.5099999999999998</v>
      </c>
      <c r="BJ747" s="22">
        <v>0.68300000000000005</v>
      </c>
      <c r="BK747" s="6" t="s">
        <v>5</v>
      </c>
      <c r="BL747" s="2" t="s">
        <v>5</v>
      </c>
      <c r="BM747" s="2" t="s">
        <v>5</v>
      </c>
      <c r="BN747" s="2" t="s">
        <v>5</v>
      </c>
      <c r="BO747" s="2" t="s">
        <v>5</v>
      </c>
      <c r="BP747" s="2" t="s">
        <v>5</v>
      </c>
      <c r="BQ747" s="2" t="s">
        <v>5</v>
      </c>
      <c r="BR747" s="2" t="s">
        <v>5</v>
      </c>
      <c r="BS747" s="2" t="s">
        <v>5</v>
      </c>
      <c r="BT747" s="2" t="s">
        <v>5</v>
      </c>
      <c r="BU747" s="2" t="s">
        <v>5</v>
      </c>
      <c r="BV747" s="2" t="s">
        <v>5</v>
      </c>
      <c r="BW747" s="2" t="s">
        <v>5</v>
      </c>
      <c r="BX747" s="2" t="s">
        <v>5</v>
      </c>
      <c r="BY747" s="25" t="s">
        <v>5</v>
      </c>
      <c r="BZ747" s="25" t="s">
        <v>5</v>
      </c>
      <c r="CA747" s="6" t="s">
        <v>5</v>
      </c>
      <c r="CB747" s="6" t="s">
        <v>5</v>
      </c>
      <c r="CC747" s="6" t="s">
        <v>5</v>
      </c>
      <c r="CD747" s="6" t="s">
        <v>5</v>
      </c>
      <c r="CE747" s="6" t="s">
        <v>5</v>
      </c>
      <c r="CF747" s="16" t="s">
        <v>5</v>
      </c>
      <c r="CG747" s="16" t="s">
        <v>5</v>
      </c>
      <c r="CH747" s="18" t="s">
        <v>5</v>
      </c>
    </row>
    <row r="748" spans="2:86">
      <c r="B748" s="78" t="s">
        <v>473</v>
      </c>
      <c r="C748" s="79" t="s">
        <v>848</v>
      </c>
      <c r="D748" s="80" t="s">
        <v>848</v>
      </c>
      <c r="E748" s="1" t="s">
        <v>4</v>
      </c>
      <c r="F748" s="4">
        <v>20.8</v>
      </c>
      <c r="G748" s="7">
        <v>6.1</v>
      </c>
      <c r="H748" s="3" t="str">
        <f t="shared" si="30"/>
        <v>2L5X3-1/2X3/8X3/8LLBB</v>
      </c>
      <c r="I748" s="7">
        <v>5</v>
      </c>
      <c r="J748" s="5" t="s">
        <v>5</v>
      </c>
      <c r="K748" s="6" t="s">
        <v>5</v>
      </c>
      <c r="L748" s="6" t="s">
        <v>5</v>
      </c>
      <c r="M748" s="6" t="s">
        <v>5</v>
      </c>
      <c r="N748" s="6" t="s">
        <v>5</v>
      </c>
      <c r="O748" s="5" t="s">
        <v>5</v>
      </c>
      <c r="P748" s="5" t="s">
        <v>5</v>
      </c>
      <c r="Q748" s="7">
        <v>3.5</v>
      </c>
      <c r="R748" s="6" t="s">
        <v>5</v>
      </c>
      <c r="S748" s="6" t="s">
        <v>5</v>
      </c>
      <c r="T748" s="5" t="s">
        <v>5</v>
      </c>
      <c r="U748" s="8" t="s">
        <v>5</v>
      </c>
      <c r="V748" s="6" t="s">
        <v>5</v>
      </c>
      <c r="W748" s="8" t="s">
        <v>5</v>
      </c>
      <c r="X748" s="22">
        <v>0.375</v>
      </c>
      <c r="Y748" s="6" t="s">
        <v>5</v>
      </c>
      <c r="Z748" s="6" t="s">
        <v>5</v>
      </c>
      <c r="AA748" s="6" t="s">
        <v>5</v>
      </c>
      <c r="AB748" s="8" t="s">
        <v>5</v>
      </c>
      <c r="AC748" s="8" t="s">
        <v>5</v>
      </c>
      <c r="AD748" s="6" t="s">
        <v>5</v>
      </c>
      <c r="AE748" s="7">
        <v>1.6</v>
      </c>
      <c r="AF748" s="6" t="s">
        <v>5</v>
      </c>
      <c r="AG748" s="6" t="s">
        <v>5</v>
      </c>
      <c r="AH748" s="22">
        <v>0.93300000000000005</v>
      </c>
      <c r="AI748" s="6" t="s">
        <v>5</v>
      </c>
      <c r="AJ748" s="4">
        <v>13.3</v>
      </c>
      <c r="AK748" s="6" t="s">
        <v>5</v>
      </c>
      <c r="AL748" s="6" t="s">
        <v>5</v>
      </c>
      <c r="AM748" s="6" t="s">
        <v>5</v>
      </c>
      <c r="AN748" s="6" t="s">
        <v>5</v>
      </c>
      <c r="AO748" s="4">
        <v>15.5</v>
      </c>
      <c r="AP748" s="7">
        <v>8.18</v>
      </c>
      <c r="AQ748" s="7">
        <v>4.5599999999999996</v>
      </c>
      <c r="AR748" s="7">
        <v>1.59</v>
      </c>
      <c r="AS748" s="4">
        <v>13</v>
      </c>
      <c r="AT748" s="6">
        <v>6.35</v>
      </c>
      <c r="AU748" s="6">
        <v>3.53</v>
      </c>
      <c r="AV748" s="7">
        <v>1.46</v>
      </c>
      <c r="AW748" s="6" t="s">
        <v>5</v>
      </c>
      <c r="AX748" s="6" t="s">
        <v>5</v>
      </c>
      <c r="AY748" s="6" t="s">
        <v>5</v>
      </c>
      <c r="AZ748" s="6" t="s">
        <v>5</v>
      </c>
      <c r="BA748" s="6" t="s">
        <v>5</v>
      </c>
      <c r="BB748" s="6" t="s">
        <v>5</v>
      </c>
      <c r="BC748" s="6" t="s">
        <v>5</v>
      </c>
      <c r="BD748" s="6" t="s">
        <v>5</v>
      </c>
      <c r="BE748" s="6" t="s">
        <v>5</v>
      </c>
      <c r="BF748" s="6" t="s">
        <v>5</v>
      </c>
      <c r="BG748" s="6" t="s">
        <v>5</v>
      </c>
      <c r="BH748" s="6" t="s">
        <v>5</v>
      </c>
      <c r="BI748" s="7">
        <v>2.58</v>
      </c>
      <c r="BJ748" s="22">
        <v>0.7</v>
      </c>
      <c r="BK748" s="6" t="s">
        <v>5</v>
      </c>
      <c r="BL748" s="2" t="s">
        <v>5</v>
      </c>
      <c r="BM748" s="2" t="s">
        <v>5</v>
      </c>
      <c r="BN748" s="2" t="s">
        <v>5</v>
      </c>
      <c r="BO748" s="2" t="s">
        <v>5</v>
      </c>
      <c r="BP748" s="2" t="s">
        <v>5</v>
      </c>
      <c r="BQ748" s="2" t="s">
        <v>5</v>
      </c>
      <c r="BR748" s="2" t="s">
        <v>5</v>
      </c>
      <c r="BS748" s="2" t="s">
        <v>5</v>
      </c>
      <c r="BT748" s="2" t="s">
        <v>5</v>
      </c>
      <c r="BU748" s="2" t="s">
        <v>5</v>
      </c>
      <c r="BV748" s="2" t="s">
        <v>5</v>
      </c>
      <c r="BW748" s="2" t="s">
        <v>5</v>
      </c>
      <c r="BX748" s="2" t="s">
        <v>5</v>
      </c>
      <c r="BY748" s="25" t="s">
        <v>5</v>
      </c>
      <c r="BZ748" s="25" t="s">
        <v>5</v>
      </c>
      <c r="CA748" s="6" t="s">
        <v>5</v>
      </c>
      <c r="CB748" s="6" t="s">
        <v>5</v>
      </c>
      <c r="CC748" s="6" t="s">
        <v>5</v>
      </c>
      <c r="CD748" s="6" t="s">
        <v>5</v>
      </c>
      <c r="CE748" s="6" t="s">
        <v>5</v>
      </c>
      <c r="CF748" s="16" t="s">
        <v>5</v>
      </c>
      <c r="CG748" s="16" t="s">
        <v>5</v>
      </c>
      <c r="CH748" s="18" t="s">
        <v>5</v>
      </c>
    </row>
    <row r="749" spans="2:86">
      <c r="B749" s="78" t="s">
        <v>473</v>
      </c>
      <c r="C749" s="79" t="s">
        <v>849</v>
      </c>
      <c r="D749" s="80" t="s">
        <v>849</v>
      </c>
      <c r="E749" s="1" t="s">
        <v>4</v>
      </c>
      <c r="F749" s="4">
        <v>20.8</v>
      </c>
      <c r="G749" s="7">
        <v>6.1</v>
      </c>
      <c r="H749" s="3" t="str">
        <f t="shared" si="30"/>
        <v>2L5X3-1/2X3/8X3/4LLBB</v>
      </c>
      <c r="I749" s="7">
        <v>5</v>
      </c>
      <c r="J749" s="5" t="s">
        <v>5</v>
      </c>
      <c r="K749" s="6" t="s">
        <v>5</v>
      </c>
      <c r="L749" s="6" t="s">
        <v>5</v>
      </c>
      <c r="M749" s="6" t="s">
        <v>5</v>
      </c>
      <c r="N749" s="6" t="s">
        <v>5</v>
      </c>
      <c r="O749" s="5" t="s">
        <v>5</v>
      </c>
      <c r="P749" s="5" t="s">
        <v>5</v>
      </c>
      <c r="Q749" s="7">
        <v>3.5</v>
      </c>
      <c r="R749" s="6" t="s">
        <v>5</v>
      </c>
      <c r="S749" s="6" t="s">
        <v>5</v>
      </c>
      <c r="T749" s="5" t="s">
        <v>5</v>
      </c>
      <c r="U749" s="8" t="s">
        <v>5</v>
      </c>
      <c r="V749" s="6" t="s">
        <v>5</v>
      </c>
      <c r="W749" s="8" t="s">
        <v>5</v>
      </c>
      <c r="X749" s="22">
        <v>0.375</v>
      </c>
      <c r="Y749" s="6" t="s">
        <v>5</v>
      </c>
      <c r="Z749" s="6" t="s">
        <v>5</v>
      </c>
      <c r="AA749" s="6" t="s">
        <v>5</v>
      </c>
      <c r="AB749" s="8" t="s">
        <v>5</v>
      </c>
      <c r="AC749" s="8" t="s">
        <v>5</v>
      </c>
      <c r="AD749" s="6" t="s">
        <v>5</v>
      </c>
      <c r="AE749" s="7">
        <v>1.6</v>
      </c>
      <c r="AF749" s="6" t="s">
        <v>5</v>
      </c>
      <c r="AG749" s="6" t="s">
        <v>5</v>
      </c>
      <c r="AH749" s="22">
        <v>0.93300000000000005</v>
      </c>
      <c r="AI749" s="6" t="s">
        <v>5</v>
      </c>
      <c r="AJ749" s="4">
        <v>13.3</v>
      </c>
      <c r="AK749" s="6" t="s">
        <v>5</v>
      </c>
      <c r="AL749" s="6" t="s">
        <v>5</v>
      </c>
      <c r="AM749" s="6" t="s">
        <v>5</v>
      </c>
      <c r="AN749" s="6" t="s">
        <v>5</v>
      </c>
      <c r="AO749" s="4">
        <v>15.5</v>
      </c>
      <c r="AP749" s="7">
        <v>8.18</v>
      </c>
      <c r="AQ749" s="7">
        <v>4.5599999999999996</v>
      </c>
      <c r="AR749" s="7">
        <v>1.59</v>
      </c>
      <c r="AS749" s="6">
        <v>15.4</v>
      </c>
      <c r="AT749" s="7">
        <v>7.5</v>
      </c>
      <c r="AU749" s="6">
        <v>3.97</v>
      </c>
      <c r="AV749" s="7">
        <v>1.59</v>
      </c>
      <c r="AW749" s="6" t="s">
        <v>5</v>
      </c>
      <c r="AX749" s="6" t="s">
        <v>5</v>
      </c>
      <c r="AY749" s="6" t="s">
        <v>5</v>
      </c>
      <c r="AZ749" s="6" t="s">
        <v>5</v>
      </c>
      <c r="BA749" s="6" t="s">
        <v>5</v>
      </c>
      <c r="BB749" s="6" t="s">
        <v>5</v>
      </c>
      <c r="BC749" s="6" t="s">
        <v>5</v>
      </c>
      <c r="BD749" s="6" t="s">
        <v>5</v>
      </c>
      <c r="BE749" s="6" t="s">
        <v>5</v>
      </c>
      <c r="BF749" s="6" t="s">
        <v>5</v>
      </c>
      <c r="BG749" s="6" t="s">
        <v>5</v>
      </c>
      <c r="BH749" s="6" t="s">
        <v>5</v>
      </c>
      <c r="BI749" s="7">
        <v>2.66</v>
      </c>
      <c r="BJ749" s="22">
        <v>0.71799999999999997</v>
      </c>
      <c r="BK749" s="6" t="s">
        <v>5</v>
      </c>
      <c r="BL749" s="2" t="s">
        <v>5</v>
      </c>
      <c r="BM749" s="2" t="s">
        <v>5</v>
      </c>
      <c r="BN749" s="2" t="s">
        <v>5</v>
      </c>
      <c r="BO749" s="2" t="s">
        <v>5</v>
      </c>
      <c r="BP749" s="2" t="s">
        <v>5</v>
      </c>
      <c r="BQ749" s="2" t="s">
        <v>5</v>
      </c>
      <c r="BR749" s="2" t="s">
        <v>5</v>
      </c>
      <c r="BS749" s="2" t="s">
        <v>5</v>
      </c>
      <c r="BT749" s="2" t="s">
        <v>5</v>
      </c>
      <c r="BU749" s="2" t="s">
        <v>5</v>
      </c>
      <c r="BV749" s="2" t="s">
        <v>5</v>
      </c>
      <c r="BW749" s="2" t="s">
        <v>5</v>
      </c>
      <c r="BX749" s="2" t="s">
        <v>5</v>
      </c>
      <c r="BY749" s="25" t="s">
        <v>5</v>
      </c>
      <c r="BZ749" s="25" t="s">
        <v>5</v>
      </c>
      <c r="CA749" s="6" t="s">
        <v>5</v>
      </c>
      <c r="CB749" s="6" t="s">
        <v>5</v>
      </c>
      <c r="CC749" s="6" t="s">
        <v>5</v>
      </c>
      <c r="CD749" s="6" t="s">
        <v>5</v>
      </c>
      <c r="CE749" s="6" t="s">
        <v>5</v>
      </c>
      <c r="CF749" s="16" t="s">
        <v>5</v>
      </c>
      <c r="CG749" s="16" t="s">
        <v>5</v>
      </c>
      <c r="CH749" s="18" t="s">
        <v>5</v>
      </c>
    </row>
    <row r="750" spans="2:86">
      <c r="B750" s="78" t="s">
        <v>473</v>
      </c>
      <c r="C750" s="79" t="s">
        <v>850</v>
      </c>
      <c r="D750" s="80" t="s">
        <v>850</v>
      </c>
      <c r="E750" s="1" t="s">
        <v>4</v>
      </c>
      <c r="F750" s="4">
        <v>17.399999999999999</v>
      </c>
      <c r="G750" s="7">
        <v>5.12</v>
      </c>
      <c r="H750" s="3" t="str">
        <f t="shared" si="30"/>
        <v>2L5X3-1/2X5/16LLBB</v>
      </c>
      <c r="I750" s="7">
        <v>5</v>
      </c>
      <c r="J750" s="5" t="s">
        <v>5</v>
      </c>
      <c r="K750" s="6" t="s">
        <v>5</v>
      </c>
      <c r="L750" s="6" t="s">
        <v>5</v>
      </c>
      <c r="M750" s="6" t="s">
        <v>5</v>
      </c>
      <c r="N750" s="6" t="s">
        <v>5</v>
      </c>
      <c r="O750" s="5" t="s">
        <v>5</v>
      </c>
      <c r="P750" s="5" t="s">
        <v>5</v>
      </c>
      <c r="Q750" s="7">
        <v>3.5</v>
      </c>
      <c r="R750" s="6" t="s">
        <v>5</v>
      </c>
      <c r="S750" s="6" t="s">
        <v>5</v>
      </c>
      <c r="T750" s="5" t="s">
        <v>5</v>
      </c>
      <c r="U750" s="8" t="s">
        <v>5</v>
      </c>
      <c r="V750" s="6" t="s">
        <v>5</v>
      </c>
      <c r="W750" s="8" t="s">
        <v>5</v>
      </c>
      <c r="X750" s="22">
        <v>0.313</v>
      </c>
      <c r="Y750" s="6" t="s">
        <v>5</v>
      </c>
      <c r="Z750" s="6" t="s">
        <v>5</v>
      </c>
      <c r="AA750" s="6" t="s">
        <v>5</v>
      </c>
      <c r="AB750" s="8" t="s">
        <v>5</v>
      </c>
      <c r="AC750" s="8" t="s">
        <v>5</v>
      </c>
      <c r="AD750" s="6" t="s">
        <v>5</v>
      </c>
      <c r="AE750" s="7">
        <v>1.57</v>
      </c>
      <c r="AF750" s="6" t="s">
        <v>5</v>
      </c>
      <c r="AG750" s="6" t="s">
        <v>5</v>
      </c>
      <c r="AH750" s="22">
        <v>0.90400000000000003</v>
      </c>
      <c r="AI750" s="6" t="s">
        <v>5</v>
      </c>
      <c r="AJ750" s="4">
        <v>16</v>
      </c>
      <c r="AK750" s="6" t="s">
        <v>5</v>
      </c>
      <c r="AL750" s="6" t="s">
        <v>5</v>
      </c>
      <c r="AM750" s="6" t="s">
        <v>5</v>
      </c>
      <c r="AN750" s="6" t="s">
        <v>5</v>
      </c>
      <c r="AO750" s="4">
        <v>13.2</v>
      </c>
      <c r="AP750" s="7">
        <v>6.9</v>
      </c>
      <c r="AQ750" s="7">
        <v>3.84</v>
      </c>
      <c r="AR750" s="7">
        <v>1.6</v>
      </c>
      <c r="AS750" s="6">
        <v>8.92</v>
      </c>
      <c r="AT750" s="6">
        <v>4.24</v>
      </c>
      <c r="AU750" s="6">
        <v>2.5499999999999998</v>
      </c>
      <c r="AV750" s="7">
        <v>1.32</v>
      </c>
      <c r="AW750" s="6" t="s">
        <v>5</v>
      </c>
      <c r="AX750" s="6" t="s">
        <v>5</v>
      </c>
      <c r="AY750" s="6" t="s">
        <v>5</v>
      </c>
      <c r="AZ750" s="6" t="s">
        <v>5</v>
      </c>
      <c r="BA750" s="6" t="s">
        <v>5</v>
      </c>
      <c r="BB750" s="6" t="s">
        <v>5</v>
      </c>
      <c r="BC750" s="6" t="s">
        <v>5</v>
      </c>
      <c r="BD750" s="6" t="s">
        <v>5</v>
      </c>
      <c r="BE750" s="6" t="s">
        <v>5</v>
      </c>
      <c r="BF750" s="6" t="s">
        <v>5</v>
      </c>
      <c r="BG750" s="6" t="s">
        <v>5</v>
      </c>
      <c r="BH750" s="6" t="s">
        <v>5</v>
      </c>
      <c r="BI750" s="7">
        <v>2.5099999999999998</v>
      </c>
      <c r="BJ750" s="22">
        <v>0.68200000000000005</v>
      </c>
      <c r="BK750" s="6" t="s">
        <v>5</v>
      </c>
      <c r="BL750" s="2" t="s">
        <v>5</v>
      </c>
      <c r="BM750" s="2" t="s">
        <v>5</v>
      </c>
      <c r="BN750" s="2" t="s">
        <v>5</v>
      </c>
      <c r="BO750" s="2" t="s">
        <v>5</v>
      </c>
      <c r="BP750" s="2" t="s">
        <v>5</v>
      </c>
      <c r="BQ750" s="2" t="s">
        <v>5</v>
      </c>
      <c r="BR750" s="2" t="s">
        <v>5</v>
      </c>
      <c r="BS750" s="2" t="s">
        <v>5</v>
      </c>
      <c r="BT750" s="2" t="s">
        <v>5</v>
      </c>
      <c r="BU750" s="2" t="s">
        <v>5</v>
      </c>
      <c r="BV750" s="2" t="s">
        <v>5</v>
      </c>
      <c r="BW750" s="2" t="s">
        <v>5</v>
      </c>
      <c r="BX750" s="2" t="s">
        <v>5</v>
      </c>
      <c r="BY750" s="25" t="s">
        <v>5</v>
      </c>
      <c r="BZ750" s="25" t="s">
        <v>5</v>
      </c>
      <c r="CA750" s="6" t="s">
        <v>5</v>
      </c>
      <c r="CB750" s="6" t="s">
        <v>5</v>
      </c>
      <c r="CC750" s="6" t="s">
        <v>5</v>
      </c>
      <c r="CD750" s="6" t="s">
        <v>5</v>
      </c>
      <c r="CE750" s="6" t="s">
        <v>5</v>
      </c>
      <c r="CF750" s="16" t="s">
        <v>5</v>
      </c>
      <c r="CG750" s="16" t="s">
        <v>5</v>
      </c>
      <c r="CH750" s="18" t="s">
        <v>5</v>
      </c>
    </row>
    <row r="751" spans="2:86">
      <c r="B751" s="78" t="s">
        <v>473</v>
      </c>
      <c r="C751" s="79" t="s">
        <v>851</v>
      </c>
      <c r="D751" s="80" t="s">
        <v>851</v>
      </c>
      <c r="E751" s="1" t="s">
        <v>4</v>
      </c>
      <c r="F751" s="4">
        <v>17.399999999999999</v>
      </c>
      <c r="G751" s="7">
        <v>5.12</v>
      </c>
      <c r="H751" s="3" t="str">
        <f t="shared" si="30"/>
        <v>2L5X3-1/2X5/16X3/8LLBB</v>
      </c>
      <c r="I751" s="7">
        <v>5</v>
      </c>
      <c r="J751" s="5" t="s">
        <v>5</v>
      </c>
      <c r="K751" s="6" t="s">
        <v>5</v>
      </c>
      <c r="L751" s="6" t="s">
        <v>5</v>
      </c>
      <c r="M751" s="6" t="s">
        <v>5</v>
      </c>
      <c r="N751" s="6" t="s">
        <v>5</v>
      </c>
      <c r="O751" s="5" t="s">
        <v>5</v>
      </c>
      <c r="P751" s="5" t="s">
        <v>5</v>
      </c>
      <c r="Q751" s="7">
        <v>3.5</v>
      </c>
      <c r="R751" s="6" t="s">
        <v>5</v>
      </c>
      <c r="S751" s="6" t="s">
        <v>5</v>
      </c>
      <c r="T751" s="5" t="s">
        <v>5</v>
      </c>
      <c r="U751" s="8" t="s">
        <v>5</v>
      </c>
      <c r="V751" s="6" t="s">
        <v>5</v>
      </c>
      <c r="W751" s="8" t="s">
        <v>5</v>
      </c>
      <c r="X751" s="22">
        <v>0.313</v>
      </c>
      <c r="Y751" s="6" t="s">
        <v>5</v>
      </c>
      <c r="Z751" s="6" t="s">
        <v>5</v>
      </c>
      <c r="AA751" s="6" t="s">
        <v>5</v>
      </c>
      <c r="AB751" s="8" t="s">
        <v>5</v>
      </c>
      <c r="AC751" s="8" t="s">
        <v>5</v>
      </c>
      <c r="AD751" s="6" t="s">
        <v>5</v>
      </c>
      <c r="AE751" s="7">
        <v>1.57</v>
      </c>
      <c r="AF751" s="6" t="s">
        <v>5</v>
      </c>
      <c r="AG751" s="6" t="s">
        <v>5</v>
      </c>
      <c r="AH751" s="22">
        <v>0.90400000000000003</v>
      </c>
      <c r="AI751" s="6" t="s">
        <v>5</v>
      </c>
      <c r="AJ751" s="4">
        <v>16</v>
      </c>
      <c r="AK751" s="6" t="s">
        <v>5</v>
      </c>
      <c r="AL751" s="6" t="s">
        <v>5</v>
      </c>
      <c r="AM751" s="6" t="s">
        <v>5</v>
      </c>
      <c r="AN751" s="6" t="s">
        <v>5</v>
      </c>
      <c r="AO751" s="4">
        <v>13.2</v>
      </c>
      <c r="AP751" s="7">
        <v>6.9</v>
      </c>
      <c r="AQ751" s="7">
        <v>3.84</v>
      </c>
      <c r="AR751" s="7">
        <v>1.6</v>
      </c>
      <c r="AS751" s="6">
        <v>10.6</v>
      </c>
      <c r="AT751" s="7">
        <v>5.2</v>
      </c>
      <c r="AU751" s="6">
        <v>2.87</v>
      </c>
      <c r="AV751" s="7">
        <v>1.44</v>
      </c>
      <c r="AW751" s="6" t="s">
        <v>5</v>
      </c>
      <c r="AX751" s="6" t="s">
        <v>5</v>
      </c>
      <c r="AY751" s="6" t="s">
        <v>5</v>
      </c>
      <c r="AZ751" s="6" t="s">
        <v>5</v>
      </c>
      <c r="BA751" s="6" t="s">
        <v>5</v>
      </c>
      <c r="BB751" s="6" t="s">
        <v>5</v>
      </c>
      <c r="BC751" s="6" t="s">
        <v>5</v>
      </c>
      <c r="BD751" s="6" t="s">
        <v>5</v>
      </c>
      <c r="BE751" s="6" t="s">
        <v>5</v>
      </c>
      <c r="BF751" s="6" t="s">
        <v>5</v>
      </c>
      <c r="BG751" s="6" t="s">
        <v>5</v>
      </c>
      <c r="BH751" s="6" t="s">
        <v>5</v>
      </c>
      <c r="BI751" s="7">
        <v>2.58</v>
      </c>
      <c r="BJ751" s="22">
        <v>0.69799999999999995</v>
      </c>
      <c r="BK751" s="6" t="s">
        <v>5</v>
      </c>
      <c r="BL751" s="2" t="s">
        <v>5</v>
      </c>
      <c r="BM751" s="2" t="s">
        <v>5</v>
      </c>
      <c r="BN751" s="2" t="s">
        <v>5</v>
      </c>
      <c r="BO751" s="2" t="s">
        <v>5</v>
      </c>
      <c r="BP751" s="2" t="s">
        <v>5</v>
      </c>
      <c r="BQ751" s="2" t="s">
        <v>5</v>
      </c>
      <c r="BR751" s="2" t="s">
        <v>5</v>
      </c>
      <c r="BS751" s="2" t="s">
        <v>5</v>
      </c>
      <c r="BT751" s="2" t="s">
        <v>5</v>
      </c>
      <c r="BU751" s="2" t="s">
        <v>5</v>
      </c>
      <c r="BV751" s="2" t="s">
        <v>5</v>
      </c>
      <c r="BW751" s="2" t="s">
        <v>5</v>
      </c>
      <c r="BX751" s="2" t="s">
        <v>5</v>
      </c>
      <c r="BY751" s="25" t="s">
        <v>5</v>
      </c>
      <c r="BZ751" s="25" t="s">
        <v>5</v>
      </c>
      <c r="CA751" s="6" t="s">
        <v>5</v>
      </c>
      <c r="CB751" s="6" t="s">
        <v>5</v>
      </c>
      <c r="CC751" s="6" t="s">
        <v>5</v>
      </c>
      <c r="CD751" s="6" t="s">
        <v>5</v>
      </c>
      <c r="CE751" s="6" t="s">
        <v>5</v>
      </c>
      <c r="CF751" s="16" t="s">
        <v>5</v>
      </c>
      <c r="CG751" s="16" t="s">
        <v>5</v>
      </c>
      <c r="CH751" s="18" t="s">
        <v>5</v>
      </c>
    </row>
    <row r="752" spans="2:86">
      <c r="B752" s="78" t="s">
        <v>473</v>
      </c>
      <c r="C752" s="79" t="s">
        <v>852</v>
      </c>
      <c r="D752" s="80" t="s">
        <v>852</v>
      </c>
      <c r="E752" s="1" t="s">
        <v>4</v>
      </c>
      <c r="F752" s="4">
        <v>17.399999999999999</v>
      </c>
      <c r="G752" s="7">
        <v>5.12</v>
      </c>
      <c r="H752" s="3" t="str">
        <f t="shared" si="30"/>
        <v>2L5X3-1/2X5/16X3/4LLBB</v>
      </c>
      <c r="I752" s="7">
        <v>5</v>
      </c>
      <c r="J752" s="5" t="s">
        <v>5</v>
      </c>
      <c r="K752" s="6" t="s">
        <v>5</v>
      </c>
      <c r="L752" s="6" t="s">
        <v>5</v>
      </c>
      <c r="M752" s="6" t="s">
        <v>5</v>
      </c>
      <c r="N752" s="6" t="s">
        <v>5</v>
      </c>
      <c r="O752" s="5" t="s">
        <v>5</v>
      </c>
      <c r="P752" s="5" t="s">
        <v>5</v>
      </c>
      <c r="Q752" s="7">
        <v>3.5</v>
      </c>
      <c r="R752" s="6" t="s">
        <v>5</v>
      </c>
      <c r="S752" s="6" t="s">
        <v>5</v>
      </c>
      <c r="T752" s="5" t="s">
        <v>5</v>
      </c>
      <c r="U752" s="8" t="s">
        <v>5</v>
      </c>
      <c r="V752" s="6" t="s">
        <v>5</v>
      </c>
      <c r="W752" s="8" t="s">
        <v>5</v>
      </c>
      <c r="X752" s="22">
        <v>0.313</v>
      </c>
      <c r="Y752" s="6" t="s">
        <v>5</v>
      </c>
      <c r="Z752" s="6" t="s">
        <v>5</v>
      </c>
      <c r="AA752" s="6" t="s">
        <v>5</v>
      </c>
      <c r="AB752" s="8" t="s">
        <v>5</v>
      </c>
      <c r="AC752" s="8" t="s">
        <v>5</v>
      </c>
      <c r="AD752" s="6" t="s">
        <v>5</v>
      </c>
      <c r="AE752" s="7">
        <v>1.57</v>
      </c>
      <c r="AF752" s="6" t="s">
        <v>5</v>
      </c>
      <c r="AG752" s="6" t="s">
        <v>5</v>
      </c>
      <c r="AH752" s="22">
        <v>0.90400000000000003</v>
      </c>
      <c r="AI752" s="6" t="s">
        <v>5</v>
      </c>
      <c r="AJ752" s="4">
        <v>16</v>
      </c>
      <c r="AK752" s="6" t="s">
        <v>5</v>
      </c>
      <c r="AL752" s="6" t="s">
        <v>5</v>
      </c>
      <c r="AM752" s="6" t="s">
        <v>5</v>
      </c>
      <c r="AN752" s="6" t="s">
        <v>5</v>
      </c>
      <c r="AO752" s="4">
        <v>13.2</v>
      </c>
      <c r="AP752" s="7">
        <v>6.9</v>
      </c>
      <c r="AQ752" s="7">
        <v>3.84</v>
      </c>
      <c r="AR752" s="7">
        <v>1.6</v>
      </c>
      <c r="AS752" s="6">
        <v>12.8</v>
      </c>
      <c r="AT752" s="6">
        <v>6.16</v>
      </c>
      <c r="AU752" s="7">
        <v>3.3</v>
      </c>
      <c r="AV752" s="7">
        <v>1.58</v>
      </c>
      <c r="AW752" s="6" t="s">
        <v>5</v>
      </c>
      <c r="AX752" s="6" t="s">
        <v>5</v>
      </c>
      <c r="AY752" s="6" t="s">
        <v>5</v>
      </c>
      <c r="AZ752" s="6" t="s">
        <v>5</v>
      </c>
      <c r="BA752" s="6" t="s">
        <v>5</v>
      </c>
      <c r="BB752" s="6" t="s">
        <v>5</v>
      </c>
      <c r="BC752" s="6" t="s">
        <v>5</v>
      </c>
      <c r="BD752" s="6" t="s">
        <v>5</v>
      </c>
      <c r="BE752" s="6" t="s">
        <v>5</v>
      </c>
      <c r="BF752" s="6" t="s">
        <v>5</v>
      </c>
      <c r="BG752" s="6" t="s">
        <v>5</v>
      </c>
      <c r="BH752" s="6" t="s">
        <v>5</v>
      </c>
      <c r="BI752" s="7">
        <v>2.66</v>
      </c>
      <c r="BJ752" s="22">
        <v>0.71599999999999997</v>
      </c>
      <c r="BK752" s="6" t="s">
        <v>5</v>
      </c>
      <c r="BL752" s="2" t="s">
        <v>5</v>
      </c>
      <c r="BM752" s="2" t="s">
        <v>5</v>
      </c>
      <c r="BN752" s="2" t="s">
        <v>5</v>
      </c>
      <c r="BO752" s="2" t="s">
        <v>5</v>
      </c>
      <c r="BP752" s="2" t="s">
        <v>5</v>
      </c>
      <c r="BQ752" s="2" t="s">
        <v>5</v>
      </c>
      <c r="BR752" s="2" t="s">
        <v>5</v>
      </c>
      <c r="BS752" s="2" t="s">
        <v>5</v>
      </c>
      <c r="BT752" s="2" t="s">
        <v>5</v>
      </c>
      <c r="BU752" s="2" t="s">
        <v>5</v>
      </c>
      <c r="BV752" s="2" t="s">
        <v>5</v>
      </c>
      <c r="BW752" s="2" t="s">
        <v>5</v>
      </c>
      <c r="BX752" s="2" t="s">
        <v>5</v>
      </c>
      <c r="BY752" s="25" t="s">
        <v>5</v>
      </c>
      <c r="BZ752" s="25" t="s">
        <v>5</v>
      </c>
      <c r="CA752" s="6" t="s">
        <v>5</v>
      </c>
      <c r="CB752" s="6" t="s">
        <v>5</v>
      </c>
      <c r="CC752" s="6" t="s">
        <v>5</v>
      </c>
      <c r="CD752" s="6" t="s">
        <v>5</v>
      </c>
      <c r="CE752" s="6" t="s">
        <v>5</v>
      </c>
      <c r="CF752" s="16" t="s">
        <v>5</v>
      </c>
      <c r="CG752" s="16" t="s">
        <v>5</v>
      </c>
      <c r="CH752" s="18" t="s">
        <v>5</v>
      </c>
    </row>
    <row r="753" spans="2:86">
      <c r="B753" s="78" t="s">
        <v>473</v>
      </c>
      <c r="C753" s="79" t="s">
        <v>853</v>
      </c>
      <c r="D753" s="80" t="s">
        <v>853</v>
      </c>
      <c r="E753" s="1" t="s">
        <v>4</v>
      </c>
      <c r="F753" s="4">
        <v>14</v>
      </c>
      <c r="G753" s="7">
        <v>4.1399999999999997</v>
      </c>
      <c r="H753" s="3" t="str">
        <f t="shared" si="30"/>
        <v>2L5X3-1/2X1/4LLBB</v>
      </c>
      <c r="I753" s="7">
        <v>5</v>
      </c>
      <c r="J753" s="5" t="s">
        <v>5</v>
      </c>
      <c r="K753" s="6" t="s">
        <v>5</v>
      </c>
      <c r="L753" s="6" t="s">
        <v>5</v>
      </c>
      <c r="M753" s="6" t="s">
        <v>5</v>
      </c>
      <c r="N753" s="6" t="s">
        <v>5</v>
      </c>
      <c r="O753" s="5" t="s">
        <v>5</v>
      </c>
      <c r="P753" s="5" t="s">
        <v>5</v>
      </c>
      <c r="Q753" s="7">
        <v>3.5</v>
      </c>
      <c r="R753" s="6" t="s">
        <v>5</v>
      </c>
      <c r="S753" s="6" t="s">
        <v>5</v>
      </c>
      <c r="T753" s="5" t="s">
        <v>5</v>
      </c>
      <c r="U753" s="8" t="s">
        <v>5</v>
      </c>
      <c r="V753" s="6" t="s">
        <v>5</v>
      </c>
      <c r="W753" s="8" t="s">
        <v>5</v>
      </c>
      <c r="X753" s="22">
        <v>0.25</v>
      </c>
      <c r="Y753" s="6" t="s">
        <v>5</v>
      </c>
      <c r="Z753" s="6" t="s">
        <v>5</v>
      </c>
      <c r="AA753" s="6" t="s">
        <v>5</v>
      </c>
      <c r="AB753" s="8" t="s">
        <v>5</v>
      </c>
      <c r="AC753" s="8" t="s">
        <v>5</v>
      </c>
      <c r="AD753" s="6" t="s">
        <v>5</v>
      </c>
      <c r="AE753" s="7">
        <v>1.55</v>
      </c>
      <c r="AF753" s="6" t="s">
        <v>5</v>
      </c>
      <c r="AG753" s="6" t="s">
        <v>5</v>
      </c>
      <c r="AH753" s="22">
        <v>0.86</v>
      </c>
      <c r="AI753" s="6" t="s">
        <v>5</v>
      </c>
      <c r="AJ753" s="4">
        <v>20</v>
      </c>
      <c r="AK753" s="6" t="s">
        <v>5</v>
      </c>
      <c r="AL753" s="6" t="s">
        <v>5</v>
      </c>
      <c r="AM753" s="6" t="s">
        <v>5</v>
      </c>
      <c r="AN753" s="6" t="s">
        <v>5</v>
      </c>
      <c r="AO753" s="4">
        <v>10.7</v>
      </c>
      <c r="AP753" s="7">
        <v>5.56</v>
      </c>
      <c r="AQ753" s="7">
        <v>3.1</v>
      </c>
      <c r="AR753" s="7">
        <v>1.61</v>
      </c>
      <c r="AS753" s="7">
        <v>7.1</v>
      </c>
      <c r="AT753" s="6">
        <v>3.33</v>
      </c>
      <c r="AU753" s="6">
        <v>2.0299999999999998</v>
      </c>
      <c r="AV753" s="7">
        <v>1.31</v>
      </c>
      <c r="AW753" s="6" t="s">
        <v>5</v>
      </c>
      <c r="AX753" s="6" t="s">
        <v>5</v>
      </c>
      <c r="AY753" s="6" t="s">
        <v>5</v>
      </c>
      <c r="AZ753" s="6" t="s">
        <v>5</v>
      </c>
      <c r="BA753" s="6" t="s">
        <v>5</v>
      </c>
      <c r="BB753" s="6" t="s">
        <v>5</v>
      </c>
      <c r="BC753" s="6" t="s">
        <v>5</v>
      </c>
      <c r="BD753" s="6" t="s">
        <v>5</v>
      </c>
      <c r="BE753" s="6" t="s">
        <v>5</v>
      </c>
      <c r="BF753" s="6" t="s">
        <v>5</v>
      </c>
      <c r="BG753" s="6" t="s">
        <v>5</v>
      </c>
      <c r="BH753" s="6" t="s">
        <v>5</v>
      </c>
      <c r="BI753" s="7">
        <v>2.52</v>
      </c>
      <c r="BJ753" s="22">
        <v>0.68</v>
      </c>
      <c r="BK753" s="6" t="s">
        <v>5</v>
      </c>
      <c r="BL753" s="2" t="s">
        <v>5</v>
      </c>
      <c r="BM753" s="2" t="s">
        <v>5</v>
      </c>
      <c r="BN753" s="2" t="s">
        <v>5</v>
      </c>
      <c r="BO753" s="2" t="s">
        <v>5</v>
      </c>
      <c r="BP753" s="2" t="s">
        <v>5</v>
      </c>
      <c r="BQ753" s="2" t="s">
        <v>5</v>
      </c>
      <c r="BR753" s="2" t="s">
        <v>5</v>
      </c>
      <c r="BS753" s="2" t="s">
        <v>5</v>
      </c>
      <c r="BT753" s="2" t="s">
        <v>5</v>
      </c>
      <c r="BU753" s="2" t="s">
        <v>5</v>
      </c>
      <c r="BV753" s="2" t="s">
        <v>5</v>
      </c>
      <c r="BW753" s="2" t="s">
        <v>5</v>
      </c>
      <c r="BX753" s="2" t="s">
        <v>5</v>
      </c>
      <c r="BY753" s="25" t="s">
        <v>5</v>
      </c>
      <c r="BZ753" s="25" t="s">
        <v>5</v>
      </c>
      <c r="CA753" s="6" t="s">
        <v>5</v>
      </c>
      <c r="CB753" s="6" t="s">
        <v>5</v>
      </c>
      <c r="CC753" s="6" t="s">
        <v>5</v>
      </c>
      <c r="CD753" s="6" t="s">
        <v>5</v>
      </c>
      <c r="CE753" s="6" t="s">
        <v>5</v>
      </c>
      <c r="CF753" s="16" t="s">
        <v>5</v>
      </c>
      <c r="CG753" s="16" t="s">
        <v>5</v>
      </c>
      <c r="CH753" s="18" t="s">
        <v>5</v>
      </c>
    </row>
    <row r="754" spans="2:86">
      <c r="B754" s="78" t="s">
        <v>473</v>
      </c>
      <c r="C754" s="79" t="s">
        <v>854</v>
      </c>
      <c r="D754" s="80" t="s">
        <v>854</v>
      </c>
      <c r="E754" s="1" t="s">
        <v>4</v>
      </c>
      <c r="F754" s="4">
        <v>14</v>
      </c>
      <c r="G754" s="7">
        <v>4.1399999999999997</v>
      </c>
      <c r="H754" s="3" t="str">
        <f t="shared" si="30"/>
        <v>2L5X3-1/2X1/4X3/8LLBB</v>
      </c>
      <c r="I754" s="7">
        <v>5</v>
      </c>
      <c r="J754" s="5" t="s">
        <v>5</v>
      </c>
      <c r="K754" s="6" t="s">
        <v>5</v>
      </c>
      <c r="L754" s="6" t="s">
        <v>5</v>
      </c>
      <c r="M754" s="6" t="s">
        <v>5</v>
      </c>
      <c r="N754" s="6" t="s">
        <v>5</v>
      </c>
      <c r="O754" s="5" t="s">
        <v>5</v>
      </c>
      <c r="P754" s="5" t="s">
        <v>5</v>
      </c>
      <c r="Q754" s="7">
        <v>3.5</v>
      </c>
      <c r="R754" s="6" t="s">
        <v>5</v>
      </c>
      <c r="S754" s="6" t="s">
        <v>5</v>
      </c>
      <c r="T754" s="5" t="s">
        <v>5</v>
      </c>
      <c r="U754" s="8" t="s">
        <v>5</v>
      </c>
      <c r="V754" s="6" t="s">
        <v>5</v>
      </c>
      <c r="W754" s="8" t="s">
        <v>5</v>
      </c>
      <c r="X754" s="22">
        <v>0.25</v>
      </c>
      <c r="Y754" s="6" t="s">
        <v>5</v>
      </c>
      <c r="Z754" s="6" t="s">
        <v>5</v>
      </c>
      <c r="AA754" s="6" t="s">
        <v>5</v>
      </c>
      <c r="AB754" s="8" t="s">
        <v>5</v>
      </c>
      <c r="AC754" s="8" t="s">
        <v>5</v>
      </c>
      <c r="AD754" s="6" t="s">
        <v>5</v>
      </c>
      <c r="AE754" s="7">
        <v>1.55</v>
      </c>
      <c r="AF754" s="6" t="s">
        <v>5</v>
      </c>
      <c r="AG754" s="6" t="s">
        <v>5</v>
      </c>
      <c r="AH754" s="22">
        <v>0.86</v>
      </c>
      <c r="AI754" s="6" t="s">
        <v>5</v>
      </c>
      <c r="AJ754" s="4">
        <v>20</v>
      </c>
      <c r="AK754" s="6" t="s">
        <v>5</v>
      </c>
      <c r="AL754" s="6" t="s">
        <v>5</v>
      </c>
      <c r="AM754" s="6" t="s">
        <v>5</v>
      </c>
      <c r="AN754" s="6" t="s">
        <v>5</v>
      </c>
      <c r="AO754" s="4">
        <v>10.7</v>
      </c>
      <c r="AP754" s="7">
        <v>5.56</v>
      </c>
      <c r="AQ754" s="7">
        <v>3.1</v>
      </c>
      <c r="AR754" s="7">
        <v>1.61</v>
      </c>
      <c r="AS754" s="6">
        <v>8.4700000000000006</v>
      </c>
      <c r="AT754" s="7">
        <v>4.0999999999999996</v>
      </c>
      <c r="AU754" s="7">
        <v>2.2999999999999998</v>
      </c>
      <c r="AV754" s="7">
        <v>1.43</v>
      </c>
      <c r="AW754" s="6" t="s">
        <v>5</v>
      </c>
      <c r="AX754" s="6" t="s">
        <v>5</v>
      </c>
      <c r="AY754" s="6" t="s">
        <v>5</v>
      </c>
      <c r="AZ754" s="6" t="s">
        <v>5</v>
      </c>
      <c r="BA754" s="6" t="s">
        <v>5</v>
      </c>
      <c r="BB754" s="6" t="s">
        <v>5</v>
      </c>
      <c r="BC754" s="6" t="s">
        <v>5</v>
      </c>
      <c r="BD754" s="6" t="s">
        <v>5</v>
      </c>
      <c r="BE754" s="6" t="s">
        <v>5</v>
      </c>
      <c r="BF754" s="6" t="s">
        <v>5</v>
      </c>
      <c r="BG754" s="6" t="s">
        <v>5</v>
      </c>
      <c r="BH754" s="6" t="s">
        <v>5</v>
      </c>
      <c r="BI754" s="7">
        <v>2.58</v>
      </c>
      <c r="BJ754" s="22">
        <v>0.69599999999999995</v>
      </c>
      <c r="BK754" s="6" t="s">
        <v>5</v>
      </c>
      <c r="BL754" s="2" t="s">
        <v>5</v>
      </c>
      <c r="BM754" s="2" t="s">
        <v>5</v>
      </c>
      <c r="BN754" s="2" t="s">
        <v>5</v>
      </c>
      <c r="BO754" s="2" t="s">
        <v>5</v>
      </c>
      <c r="BP754" s="2" t="s">
        <v>5</v>
      </c>
      <c r="BQ754" s="2" t="s">
        <v>5</v>
      </c>
      <c r="BR754" s="2" t="s">
        <v>5</v>
      </c>
      <c r="BS754" s="2" t="s">
        <v>5</v>
      </c>
      <c r="BT754" s="2" t="s">
        <v>5</v>
      </c>
      <c r="BU754" s="2" t="s">
        <v>5</v>
      </c>
      <c r="BV754" s="2" t="s">
        <v>5</v>
      </c>
      <c r="BW754" s="2" t="s">
        <v>5</v>
      </c>
      <c r="BX754" s="2" t="s">
        <v>5</v>
      </c>
      <c r="BY754" s="25" t="s">
        <v>5</v>
      </c>
      <c r="BZ754" s="25" t="s">
        <v>5</v>
      </c>
      <c r="CA754" s="6" t="s">
        <v>5</v>
      </c>
      <c r="CB754" s="6" t="s">
        <v>5</v>
      </c>
      <c r="CC754" s="6" t="s">
        <v>5</v>
      </c>
      <c r="CD754" s="6" t="s">
        <v>5</v>
      </c>
      <c r="CE754" s="6" t="s">
        <v>5</v>
      </c>
      <c r="CF754" s="16" t="s">
        <v>5</v>
      </c>
      <c r="CG754" s="16" t="s">
        <v>5</v>
      </c>
      <c r="CH754" s="18" t="s">
        <v>5</v>
      </c>
    </row>
    <row r="755" spans="2:86">
      <c r="B755" s="78" t="s">
        <v>473</v>
      </c>
      <c r="C755" s="79" t="s">
        <v>855</v>
      </c>
      <c r="D755" s="80" t="s">
        <v>855</v>
      </c>
      <c r="E755" s="1" t="s">
        <v>4</v>
      </c>
      <c r="F755" s="4">
        <v>14</v>
      </c>
      <c r="G755" s="7">
        <v>4.1399999999999997</v>
      </c>
      <c r="H755" s="3" t="str">
        <f t="shared" si="30"/>
        <v>2L5X3-1/2X1/4X3/4LLBB</v>
      </c>
      <c r="I755" s="7">
        <v>5</v>
      </c>
      <c r="J755" s="5" t="s">
        <v>5</v>
      </c>
      <c r="K755" s="6" t="s">
        <v>5</v>
      </c>
      <c r="L755" s="6" t="s">
        <v>5</v>
      </c>
      <c r="M755" s="6" t="s">
        <v>5</v>
      </c>
      <c r="N755" s="6" t="s">
        <v>5</v>
      </c>
      <c r="O755" s="5" t="s">
        <v>5</v>
      </c>
      <c r="P755" s="5" t="s">
        <v>5</v>
      </c>
      <c r="Q755" s="7">
        <v>3.5</v>
      </c>
      <c r="R755" s="6" t="s">
        <v>5</v>
      </c>
      <c r="S755" s="6" t="s">
        <v>5</v>
      </c>
      <c r="T755" s="5" t="s">
        <v>5</v>
      </c>
      <c r="U755" s="8" t="s">
        <v>5</v>
      </c>
      <c r="V755" s="6" t="s">
        <v>5</v>
      </c>
      <c r="W755" s="8" t="s">
        <v>5</v>
      </c>
      <c r="X755" s="22">
        <v>0.25</v>
      </c>
      <c r="Y755" s="6" t="s">
        <v>5</v>
      </c>
      <c r="Z755" s="6" t="s">
        <v>5</v>
      </c>
      <c r="AA755" s="6" t="s">
        <v>5</v>
      </c>
      <c r="AB755" s="8" t="s">
        <v>5</v>
      </c>
      <c r="AC755" s="8" t="s">
        <v>5</v>
      </c>
      <c r="AD755" s="6" t="s">
        <v>5</v>
      </c>
      <c r="AE755" s="7">
        <v>1.55</v>
      </c>
      <c r="AF755" s="6" t="s">
        <v>5</v>
      </c>
      <c r="AG755" s="6" t="s">
        <v>5</v>
      </c>
      <c r="AH755" s="22">
        <v>0.86</v>
      </c>
      <c r="AI755" s="6" t="s">
        <v>5</v>
      </c>
      <c r="AJ755" s="4">
        <v>20</v>
      </c>
      <c r="AK755" s="6" t="s">
        <v>5</v>
      </c>
      <c r="AL755" s="6" t="s">
        <v>5</v>
      </c>
      <c r="AM755" s="6" t="s">
        <v>5</v>
      </c>
      <c r="AN755" s="6" t="s">
        <v>5</v>
      </c>
      <c r="AO755" s="4">
        <v>10.7</v>
      </c>
      <c r="AP755" s="7">
        <v>5.56</v>
      </c>
      <c r="AQ755" s="7">
        <v>3.1</v>
      </c>
      <c r="AR755" s="7">
        <v>1.61</v>
      </c>
      <c r="AS755" s="6">
        <v>10.199999999999999</v>
      </c>
      <c r="AT755" s="6">
        <v>4.88</v>
      </c>
      <c r="AU755" s="6">
        <v>2.63</v>
      </c>
      <c r="AV755" s="7">
        <v>1.57</v>
      </c>
      <c r="AW755" s="6" t="s">
        <v>5</v>
      </c>
      <c r="AX755" s="6" t="s">
        <v>5</v>
      </c>
      <c r="AY755" s="6" t="s">
        <v>5</v>
      </c>
      <c r="AZ755" s="6" t="s">
        <v>5</v>
      </c>
      <c r="BA755" s="6" t="s">
        <v>5</v>
      </c>
      <c r="BB755" s="6" t="s">
        <v>5</v>
      </c>
      <c r="BC755" s="6" t="s">
        <v>5</v>
      </c>
      <c r="BD755" s="6" t="s">
        <v>5</v>
      </c>
      <c r="BE755" s="6" t="s">
        <v>5</v>
      </c>
      <c r="BF755" s="6" t="s">
        <v>5</v>
      </c>
      <c r="BG755" s="6" t="s">
        <v>5</v>
      </c>
      <c r="BH755" s="6" t="s">
        <v>5</v>
      </c>
      <c r="BI755" s="7">
        <v>2.66</v>
      </c>
      <c r="BJ755" s="22">
        <v>0.71399999999999997</v>
      </c>
      <c r="BK755" s="6" t="s">
        <v>5</v>
      </c>
      <c r="BL755" s="2" t="s">
        <v>5</v>
      </c>
      <c r="BM755" s="2" t="s">
        <v>5</v>
      </c>
      <c r="BN755" s="2" t="s">
        <v>5</v>
      </c>
      <c r="BO755" s="2" t="s">
        <v>5</v>
      </c>
      <c r="BP755" s="2" t="s">
        <v>5</v>
      </c>
      <c r="BQ755" s="2" t="s">
        <v>5</v>
      </c>
      <c r="BR755" s="2" t="s">
        <v>5</v>
      </c>
      <c r="BS755" s="2" t="s">
        <v>5</v>
      </c>
      <c r="BT755" s="2" t="s">
        <v>5</v>
      </c>
      <c r="BU755" s="2" t="s">
        <v>5</v>
      </c>
      <c r="BV755" s="2" t="s">
        <v>5</v>
      </c>
      <c r="BW755" s="2" t="s">
        <v>5</v>
      </c>
      <c r="BX755" s="2" t="s">
        <v>5</v>
      </c>
      <c r="BY755" s="25" t="s">
        <v>5</v>
      </c>
      <c r="BZ755" s="25" t="s">
        <v>5</v>
      </c>
      <c r="CA755" s="6" t="s">
        <v>5</v>
      </c>
      <c r="CB755" s="6" t="s">
        <v>5</v>
      </c>
      <c r="CC755" s="6" t="s">
        <v>5</v>
      </c>
      <c r="CD755" s="6" t="s">
        <v>5</v>
      </c>
      <c r="CE755" s="6" t="s">
        <v>5</v>
      </c>
      <c r="CF755" s="16" t="s">
        <v>5</v>
      </c>
      <c r="CG755" s="16" t="s">
        <v>5</v>
      </c>
      <c r="CH755" s="18" t="s">
        <v>5</v>
      </c>
    </row>
    <row r="756" spans="2:86">
      <c r="B756" s="78" t="s">
        <v>473</v>
      </c>
      <c r="C756" s="79" t="s">
        <v>856</v>
      </c>
      <c r="D756" s="80" t="s">
        <v>856</v>
      </c>
      <c r="E756" s="1" t="s">
        <v>4</v>
      </c>
      <c r="F756" s="4">
        <v>25.6</v>
      </c>
      <c r="G756" s="7">
        <v>7.5</v>
      </c>
      <c r="H756" s="3" t="str">
        <f t="shared" si="30"/>
        <v>2L5X3X1/2LLBB</v>
      </c>
      <c r="I756" s="7">
        <v>5</v>
      </c>
      <c r="J756" s="5" t="s">
        <v>5</v>
      </c>
      <c r="K756" s="6" t="s">
        <v>5</v>
      </c>
      <c r="L756" s="6" t="s">
        <v>5</v>
      </c>
      <c r="M756" s="6" t="s">
        <v>5</v>
      </c>
      <c r="N756" s="6" t="s">
        <v>5</v>
      </c>
      <c r="O756" s="5" t="s">
        <v>5</v>
      </c>
      <c r="P756" s="5" t="s">
        <v>5</v>
      </c>
      <c r="Q756" s="7">
        <v>3</v>
      </c>
      <c r="R756" s="6" t="s">
        <v>5</v>
      </c>
      <c r="S756" s="6" t="s">
        <v>5</v>
      </c>
      <c r="T756" s="5" t="s">
        <v>5</v>
      </c>
      <c r="U756" s="8" t="s">
        <v>5</v>
      </c>
      <c r="V756" s="6" t="s">
        <v>5</v>
      </c>
      <c r="W756" s="8" t="s">
        <v>5</v>
      </c>
      <c r="X756" s="22">
        <v>0.5</v>
      </c>
      <c r="Y756" s="6" t="s">
        <v>5</v>
      </c>
      <c r="Z756" s="6" t="s">
        <v>5</v>
      </c>
      <c r="AA756" s="6" t="s">
        <v>5</v>
      </c>
      <c r="AB756" s="8" t="s">
        <v>5</v>
      </c>
      <c r="AC756" s="8" t="s">
        <v>5</v>
      </c>
      <c r="AD756" s="6" t="s">
        <v>5</v>
      </c>
      <c r="AE756" s="7">
        <v>1.74</v>
      </c>
      <c r="AF756" s="6" t="s">
        <v>5</v>
      </c>
      <c r="AG756" s="6" t="s">
        <v>5</v>
      </c>
      <c r="AH756" s="7">
        <v>1.25</v>
      </c>
      <c r="AI756" s="6" t="s">
        <v>5</v>
      </c>
      <c r="AJ756" s="4">
        <v>10</v>
      </c>
      <c r="AK756" s="6" t="s">
        <v>5</v>
      </c>
      <c r="AL756" s="6" t="s">
        <v>5</v>
      </c>
      <c r="AM756" s="6" t="s">
        <v>5</v>
      </c>
      <c r="AN756" s="6" t="s">
        <v>5</v>
      </c>
      <c r="AO756" s="4">
        <v>18.899999999999999</v>
      </c>
      <c r="AP756" s="4">
        <v>10.199999999999999</v>
      </c>
      <c r="AQ756" s="7">
        <v>5.78</v>
      </c>
      <c r="AR756" s="7">
        <v>1.58</v>
      </c>
      <c r="AS756" s="6">
        <v>9.24</v>
      </c>
      <c r="AT756" s="7">
        <v>5.6</v>
      </c>
      <c r="AU756" s="6">
        <v>3.08</v>
      </c>
      <c r="AV756" s="7">
        <v>1.1100000000000001</v>
      </c>
      <c r="AW756" s="6" t="s">
        <v>5</v>
      </c>
      <c r="AX756" s="6" t="s">
        <v>5</v>
      </c>
      <c r="AY756" s="6" t="s">
        <v>5</v>
      </c>
      <c r="AZ756" s="6" t="s">
        <v>5</v>
      </c>
      <c r="BA756" s="6" t="s">
        <v>5</v>
      </c>
      <c r="BB756" s="6" t="s">
        <v>5</v>
      </c>
      <c r="BC756" s="6" t="s">
        <v>5</v>
      </c>
      <c r="BD756" s="6" t="s">
        <v>5</v>
      </c>
      <c r="BE756" s="6" t="s">
        <v>5</v>
      </c>
      <c r="BF756" s="6" t="s">
        <v>5</v>
      </c>
      <c r="BG756" s="6" t="s">
        <v>5</v>
      </c>
      <c r="BH756" s="6" t="s">
        <v>5</v>
      </c>
      <c r="BI756" s="7">
        <v>2.44</v>
      </c>
      <c r="BJ756" s="22">
        <v>0.628</v>
      </c>
      <c r="BK756" s="6" t="s">
        <v>5</v>
      </c>
      <c r="BL756" s="2" t="s">
        <v>5</v>
      </c>
      <c r="BM756" s="2" t="s">
        <v>5</v>
      </c>
      <c r="BN756" s="2" t="s">
        <v>5</v>
      </c>
      <c r="BO756" s="2" t="s">
        <v>5</v>
      </c>
      <c r="BP756" s="2" t="s">
        <v>5</v>
      </c>
      <c r="BQ756" s="2" t="s">
        <v>5</v>
      </c>
      <c r="BR756" s="2" t="s">
        <v>5</v>
      </c>
      <c r="BS756" s="2" t="s">
        <v>5</v>
      </c>
      <c r="BT756" s="2" t="s">
        <v>5</v>
      </c>
      <c r="BU756" s="2" t="s">
        <v>5</v>
      </c>
      <c r="BV756" s="2" t="s">
        <v>5</v>
      </c>
      <c r="BW756" s="2" t="s">
        <v>5</v>
      </c>
      <c r="BX756" s="2" t="s">
        <v>5</v>
      </c>
      <c r="BY756" s="25" t="s">
        <v>5</v>
      </c>
      <c r="BZ756" s="25" t="s">
        <v>5</v>
      </c>
      <c r="CA756" s="6" t="s">
        <v>5</v>
      </c>
      <c r="CB756" s="6" t="s">
        <v>5</v>
      </c>
      <c r="CC756" s="6" t="s">
        <v>5</v>
      </c>
      <c r="CD756" s="6" t="s">
        <v>5</v>
      </c>
      <c r="CE756" s="6" t="s">
        <v>5</v>
      </c>
      <c r="CF756" s="16" t="s">
        <v>5</v>
      </c>
      <c r="CG756" s="16" t="s">
        <v>5</v>
      </c>
      <c r="CH756" s="18" t="s">
        <v>5</v>
      </c>
    </row>
    <row r="757" spans="2:86">
      <c r="B757" s="78" t="s">
        <v>473</v>
      </c>
      <c r="C757" s="79" t="s">
        <v>857</v>
      </c>
      <c r="D757" s="80" t="s">
        <v>857</v>
      </c>
      <c r="E757" s="1" t="s">
        <v>4</v>
      </c>
      <c r="F757" s="4">
        <v>25.6</v>
      </c>
      <c r="G757" s="7">
        <v>7.5</v>
      </c>
      <c r="H757" s="3" t="str">
        <f t="shared" si="30"/>
        <v>2L5X3X1/2X3/8LLBB</v>
      </c>
      <c r="I757" s="7">
        <v>5</v>
      </c>
      <c r="J757" s="5" t="s">
        <v>5</v>
      </c>
      <c r="K757" s="6" t="s">
        <v>5</v>
      </c>
      <c r="L757" s="6" t="s">
        <v>5</v>
      </c>
      <c r="M757" s="6" t="s">
        <v>5</v>
      </c>
      <c r="N757" s="6" t="s">
        <v>5</v>
      </c>
      <c r="O757" s="5" t="s">
        <v>5</v>
      </c>
      <c r="P757" s="5" t="s">
        <v>5</v>
      </c>
      <c r="Q757" s="7">
        <v>3</v>
      </c>
      <c r="R757" s="6" t="s">
        <v>5</v>
      </c>
      <c r="S757" s="6" t="s">
        <v>5</v>
      </c>
      <c r="T757" s="5" t="s">
        <v>5</v>
      </c>
      <c r="U757" s="8" t="s">
        <v>5</v>
      </c>
      <c r="V757" s="6" t="s">
        <v>5</v>
      </c>
      <c r="W757" s="8" t="s">
        <v>5</v>
      </c>
      <c r="X757" s="22">
        <v>0.5</v>
      </c>
      <c r="Y757" s="6" t="s">
        <v>5</v>
      </c>
      <c r="Z757" s="6" t="s">
        <v>5</v>
      </c>
      <c r="AA757" s="6" t="s">
        <v>5</v>
      </c>
      <c r="AB757" s="8" t="s">
        <v>5</v>
      </c>
      <c r="AC757" s="8" t="s">
        <v>5</v>
      </c>
      <c r="AD757" s="6" t="s">
        <v>5</v>
      </c>
      <c r="AE757" s="7">
        <v>1.74</v>
      </c>
      <c r="AF757" s="6" t="s">
        <v>5</v>
      </c>
      <c r="AG757" s="6" t="s">
        <v>5</v>
      </c>
      <c r="AH757" s="7">
        <v>1.25</v>
      </c>
      <c r="AI757" s="6" t="s">
        <v>5</v>
      </c>
      <c r="AJ757" s="4">
        <v>10</v>
      </c>
      <c r="AK757" s="6" t="s">
        <v>5</v>
      </c>
      <c r="AL757" s="6" t="s">
        <v>5</v>
      </c>
      <c r="AM757" s="6" t="s">
        <v>5</v>
      </c>
      <c r="AN757" s="6" t="s">
        <v>5</v>
      </c>
      <c r="AO757" s="4">
        <v>18.899999999999999</v>
      </c>
      <c r="AP757" s="4">
        <v>10.199999999999999</v>
      </c>
      <c r="AQ757" s="7">
        <v>5.78</v>
      </c>
      <c r="AR757" s="7">
        <v>1.58</v>
      </c>
      <c r="AS757" s="6">
        <v>11.5</v>
      </c>
      <c r="AT757" s="7">
        <v>7</v>
      </c>
      <c r="AU757" s="6">
        <v>3.61</v>
      </c>
      <c r="AV757" s="7">
        <v>1.24</v>
      </c>
      <c r="AW757" s="6" t="s">
        <v>5</v>
      </c>
      <c r="AX757" s="6" t="s">
        <v>5</v>
      </c>
      <c r="AY757" s="6" t="s">
        <v>5</v>
      </c>
      <c r="AZ757" s="6" t="s">
        <v>5</v>
      </c>
      <c r="BA757" s="6" t="s">
        <v>5</v>
      </c>
      <c r="BB757" s="6" t="s">
        <v>5</v>
      </c>
      <c r="BC757" s="6" t="s">
        <v>5</v>
      </c>
      <c r="BD757" s="6" t="s">
        <v>5</v>
      </c>
      <c r="BE757" s="6" t="s">
        <v>5</v>
      </c>
      <c r="BF757" s="6" t="s">
        <v>5</v>
      </c>
      <c r="BG757" s="6" t="s">
        <v>5</v>
      </c>
      <c r="BH757" s="6" t="s">
        <v>5</v>
      </c>
      <c r="BI757" s="7">
        <v>2.5099999999999998</v>
      </c>
      <c r="BJ757" s="22">
        <v>0.64600000000000002</v>
      </c>
      <c r="BK757" s="6" t="s">
        <v>5</v>
      </c>
      <c r="BL757" s="2" t="s">
        <v>5</v>
      </c>
      <c r="BM757" s="2" t="s">
        <v>5</v>
      </c>
      <c r="BN757" s="2" t="s">
        <v>5</v>
      </c>
      <c r="BO757" s="2" t="s">
        <v>5</v>
      </c>
      <c r="BP757" s="2" t="s">
        <v>5</v>
      </c>
      <c r="BQ757" s="2" t="s">
        <v>5</v>
      </c>
      <c r="BR757" s="2" t="s">
        <v>5</v>
      </c>
      <c r="BS757" s="2" t="s">
        <v>5</v>
      </c>
      <c r="BT757" s="2" t="s">
        <v>5</v>
      </c>
      <c r="BU757" s="2" t="s">
        <v>5</v>
      </c>
      <c r="BV757" s="2" t="s">
        <v>5</v>
      </c>
      <c r="BW757" s="2" t="s">
        <v>5</v>
      </c>
      <c r="BX757" s="2" t="s">
        <v>5</v>
      </c>
      <c r="BY757" s="25" t="s">
        <v>5</v>
      </c>
      <c r="BZ757" s="25" t="s">
        <v>5</v>
      </c>
      <c r="CA757" s="6" t="s">
        <v>5</v>
      </c>
      <c r="CB757" s="6" t="s">
        <v>5</v>
      </c>
      <c r="CC757" s="6" t="s">
        <v>5</v>
      </c>
      <c r="CD757" s="6" t="s">
        <v>5</v>
      </c>
      <c r="CE757" s="6" t="s">
        <v>5</v>
      </c>
      <c r="CF757" s="16" t="s">
        <v>5</v>
      </c>
      <c r="CG757" s="16" t="s">
        <v>5</v>
      </c>
      <c r="CH757" s="18" t="s">
        <v>5</v>
      </c>
    </row>
    <row r="758" spans="2:86">
      <c r="B758" s="78" t="s">
        <v>473</v>
      </c>
      <c r="C758" s="79" t="s">
        <v>858</v>
      </c>
      <c r="D758" s="80" t="s">
        <v>858</v>
      </c>
      <c r="E758" s="1" t="s">
        <v>4</v>
      </c>
      <c r="F758" s="4">
        <v>25.6</v>
      </c>
      <c r="G758" s="7">
        <v>7.5</v>
      </c>
      <c r="H758" s="3" t="str">
        <f t="shared" si="30"/>
        <v>2L5X3X1/2X3/4LLBB</v>
      </c>
      <c r="I758" s="7">
        <v>5</v>
      </c>
      <c r="J758" s="5" t="s">
        <v>5</v>
      </c>
      <c r="K758" s="6" t="s">
        <v>5</v>
      </c>
      <c r="L758" s="6" t="s">
        <v>5</v>
      </c>
      <c r="M758" s="6" t="s">
        <v>5</v>
      </c>
      <c r="N758" s="6" t="s">
        <v>5</v>
      </c>
      <c r="O758" s="5" t="s">
        <v>5</v>
      </c>
      <c r="P758" s="5" t="s">
        <v>5</v>
      </c>
      <c r="Q758" s="7">
        <v>3</v>
      </c>
      <c r="R758" s="6" t="s">
        <v>5</v>
      </c>
      <c r="S758" s="6" t="s">
        <v>5</v>
      </c>
      <c r="T758" s="5" t="s">
        <v>5</v>
      </c>
      <c r="U758" s="8" t="s">
        <v>5</v>
      </c>
      <c r="V758" s="6" t="s">
        <v>5</v>
      </c>
      <c r="W758" s="8" t="s">
        <v>5</v>
      </c>
      <c r="X758" s="22">
        <v>0.5</v>
      </c>
      <c r="Y758" s="6" t="s">
        <v>5</v>
      </c>
      <c r="Z758" s="6" t="s">
        <v>5</v>
      </c>
      <c r="AA758" s="6" t="s">
        <v>5</v>
      </c>
      <c r="AB758" s="8" t="s">
        <v>5</v>
      </c>
      <c r="AC758" s="8" t="s">
        <v>5</v>
      </c>
      <c r="AD758" s="6" t="s">
        <v>5</v>
      </c>
      <c r="AE758" s="7">
        <v>1.74</v>
      </c>
      <c r="AF758" s="6" t="s">
        <v>5</v>
      </c>
      <c r="AG758" s="6" t="s">
        <v>5</v>
      </c>
      <c r="AH758" s="7">
        <v>1.25</v>
      </c>
      <c r="AI758" s="6" t="s">
        <v>5</v>
      </c>
      <c r="AJ758" s="4">
        <v>10</v>
      </c>
      <c r="AK758" s="6" t="s">
        <v>5</v>
      </c>
      <c r="AL758" s="6" t="s">
        <v>5</v>
      </c>
      <c r="AM758" s="6" t="s">
        <v>5</v>
      </c>
      <c r="AN758" s="6" t="s">
        <v>5</v>
      </c>
      <c r="AO758" s="4">
        <v>18.899999999999999</v>
      </c>
      <c r="AP758" s="4">
        <v>10.199999999999999</v>
      </c>
      <c r="AQ758" s="7">
        <v>5.78</v>
      </c>
      <c r="AR758" s="7">
        <v>1.58</v>
      </c>
      <c r="AS758" s="6">
        <v>14.5</v>
      </c>
      <c r="AT758" s="6">
        <v>8.41</v>
      </c>
      <c r="AU758" s="7">
        <v>4.3</v>
      </c>
      <c r="AV758" s="7">
        <v>1.39</v>
      </c>
      <c r="AW758" s="6" t="s">
        <v>5</v>
      </c>
      <c r="AX758" s="6" t="s">
        <v>5</v>
      </c>
      <c r="AY758" s="6" t="s">
        <v>5</v>
      </c>
      <c r="AZ758" s="6" t="s">
        <v>5</v>
      </c>
      <c r="BA758" s="6" t="s">
        <v>5</v>
      </c>
      <c r="BB758" s="6" t="s">
        <v>5</v>
      </c>
      <c r="BC758" s="6" t="s">
        <v>5</v>
      </c>
      <c r="BD758" s="6" t="s">
        <v>5</v>
      </c>
      <c r="BE758" s="6" t="s">
        <v>5</v>
      </c>
      <c r="BF758" s="6" t="s">
        <v>5</v>
      </c>
      <c r="BG758" s="6" t="s">
        <v>5</v>
      </c>
      <c r="BH758" s="6" t="s">
        <v>5</v>
      </c>
      <c r="BI758" s="7">
        <v>2.58</v>
      </c>
      <c r="BJ758" s="22">
        <v>0.66700000000000004</v>
      </c>
      <c r="BK758" s="6" t="s">
        <v>5</v>
      </c>
      <c r="BL758" s="2" t="s">
        <v>5</v>
      </c>
      <c r="BM758" s="2" t="s">
        <v>5</v>
      </c>
      <c r="BN758" s="2" t="s">
        <v>5</v>
      </c>
      <c r="BO758" s="2" t="s">
        <v>5</v>
      </c>
      <c r="BP758" s="2" t="s">
        <v>5</v>
      </c>
      <c r="BQ758" s="2" t="s">
        <v>5</v>
      </c>
      <c r="BR758" s="2" t="s">
        <v>5</v>
      </c>
      <c r="BS758" s="2" t="s">
        <v>5</v>
      </c>
      <c r="BT758" s="2" t="s">
        <v>5</v>
      </c>
      <c r="BU758" s="2" t="s">
        <v>5</v>
      </c>
      <c r="BV758" s="2" t="s">
        <v>5</v>
      </c>
      <c r="BW758" s="2" t="s">
        <v>5</v>
      </c>
      <c r="BX758" s="2" t="s">
        <v>5</v>
      </c>
      <c r="BY758" s="25" t="s">
        <v>5</v>
      </c>
      <c r="BZ758" s="25" t="s">
        <v>5</v>
      </c>
      <c r="CA758" s="6" t="s">
        <v>5</v>
      </c>
      <c r="CB758" s="6" t="s">
        <v>5</v>
      </c>
      <c r="CC758" s="6" t="s">
        <v>5</v>
      </c>
      <c r="CD758" s="6" t="s">
        <v>5</v>
      </c>
      <c r="CE758" s="6" t="s">
        <v>5</v>
      </c>
      <c r="CF758" s="16" t="s">
        <v>5</v>
      </c>
      <c r="CG758" s="16" t="s">
        <v>5</v>
      </c>
      <c r="CH758" s="18" t="s">
        <v>5</v>
      </c>
    </row>
    <row r="759" spans="2:86">
      <c r="B759" s="78" t="s">
        <v>473</v>
      </c>
      <c r="C759" s="79" t="s">
        <v>859</v>
      </c>
      <c r="D759" s="80" t="s">
        <v>859</v>
      </c>
      <c r="E759" s="1" t="s">
        <v>4</v>
      </c>
      <c r="F759" s="4">
        <v>22.6</v>
      </c>
      <c r="G759" s="7">
        <v>6.62</v>
      </c>
      <c r="H759" s="3" t="str">
        <f t="shared" si="30"/>
        <v>2L5X3X7/16LLBB</v>
      </c>
      <c r="I759" s="7">
        <v>5</v>
      </c>
      <c r="J759" s="5" t="s">
        <v>5</v>
      </c>
      <c r="K759" s="6" t="s">
        <v>5</v>
      </c>
      <c r="L759" s="6" t="s">
        <v>5</v>
      </c>
      <c r="M759" s="6" t="s">
        <v>5</v>
      </c>
      <c r="N759" s="6" t="s">
        <v>5</v>
      </c>
      <c r="O759" s="5" t="s">
        <v>5</v>
      </c>
      <c r="P759" s="5" t="s">
        <v>5</v>
      </c>
      <c r="Q759" s="7">
        <v>3</v>
      </c>
      <c r="R759" s="6" t="s">
        <v>5</v>
      </c>
      <c r="S759" s="6" t="s">
        <v>5</v>
      </c>
      <c r="T759" s="5" t="s">
        <v>5</v>
      </c>
      <c r="U759" s="8" t="s">
        <v>5</v>
      </c>
      <c r="V759" s="6" t="s">
        <v>5</v>
      </c>
      <c r="W759" s="8" t="s">
        <v>5</v>
      </c>
      <c r="X759" s="22">
        <v>0.438</v>
      </c>
      <c r="Y759" s="6" t="s">
        <v>5</v>
      </c>
      <c r="Z759" s="6" t="s">
        <v>5</v>
      </c>
      <c r="AA759" s="6" t="s">
        <v>5</v>
      </c>
      <c r="AB759" s="8" t="s">
        <v>5</v>
      </c>
      <c r="AC759" s="8" t="s">
        <v>5</v>
      </c>
      <c r="AD759" s="6" t="s">
        <v>5</v>
      </c>
      <c r="AE759" s="7">
        <v>1.72</v>
      </c>
      <c r="AF759" s="6" t="s">
        <v>5</v>
      </c>
      <c r="AG759" s="6" t="s">
        <v>5</v>
      </c>
      <c r="AH759" s="7">
        <v>1.22</v>
      </c>
      <c r="AI759" s="6" t="s">
        <v>5</v>
      </c>
      <c r="AJ759" s="4">
        <v>11.4</v>
      </c>
      <c r="AK759" s="6" t="s">
        <v>5</v>
      </c>
      <c r="AL759" s="6" t="s">
        <v>5</v>
      </c>
      <c r="AM759" s="6" t="s">
        <v>5</v>
      </c>
      <c r="AN759" s="6" t="s">
        <v>5</v>
      </c>
      <c r="AO759" s="4">
        <v>16.8</v>
      </c>
      <c r="AP759" s="7">
        <v>9.06</v>
      </c>
      <c r="AQ759" s="7">
        <v>5.12</v>
      </c>
      <c r="AR759" s="7">
        <v>1.59</v>
      </c>
      <c r="AS759" s="6">
        <v>8.01</v>
      </c>
      <c r="AT759" s="6">
        <v>4.78</v>
      </c>
      <c r="AU759" s="6">
        <v>2.67</v>
      </c>
      <c r="AV759" s="7">
        <v>1.1000000000000001</v>
      </c>
      <c r="AW759" s="6" t="s">
        <v>5</v>
      </c>
      <c r="AX759" s="6" t="s">
        <v>5</v>
      </c>
      <c r="AY759" s="6" t="s">
        <v>5</v>
      </c>
      <c r="AZ759" s="6" t="s">
        <v>5</v>
      </c>
      <c r="BA759" s="6" t="s">
        <v>5</v>
      </c>
      <c r="BB759" s="6" t="s">
        <v>5</v>
      </c>
      <c r="BC759" s="6" t="s">
        <v>5</v>
      </c>
      <c r="BD759" s="6" t="s">
        <v>5</v>
      </c>
      <c r="BE759" s="6" t="s">
        <v>5</v>
      </c>
      <c r="BF759" s="6" t="s">
        <v>5</v>
      </c>
      <c r="BG759" s="6" t="s">
        <v>5</v>
      </c>
      <c r="BH759" s="6" t="s">
        <v>5</v>
      </c>
      <c r="BI759" s="7">
        <v>2.4500000000000002</v>
      </c>
      <c r="BJ759" s="22">
        <v>0.626</v>
      </c>
      <c r="BK759" s="6" t="s">
        <v>5</v>
      </c>
      <c r="BL759" s="2" t="s">
        <v>5</v>
      </c>
      <c r="BM759" s="2" t="s">
        <v>5</v>
      </c>
      <c r="BN759" s="2" t="s">
        <v>5</v>
      </c>
      <c r="BO759" s="2" t="s">
        <v>5</v>
      </c>
      <c r="BP759" s="2" t="s">
        <v>5</v>
      </c>
      <c r="BQ759" s="2" t="s">
        <v>5</v>
      </c>
      <c r="BR759" s="2" t="s">
        <v>5</v>
      </c>
      <c r="BS759" s="2" t="s">
        <v>5</v>
      </c>
      <c r="BT759" s="2" t="s">
        <v>5</v>
      </c>
      <c r="BU759" s="2" t="s">
        <v>5</v>
      </c>
      <c r="BV759" s="2" t="s">
        <v>5</v>
      </c>
      <c r="BW759" s="2" t="s">
        <v>5</v>
      </c>
      <c r="BX759" s="2" t="s">
        <v>5</v>
      </c>
      <c r="BY759" s="25" t="s">
        <v>5</v>
      </c>
      <c r="BZ759" s="25" t="s">
        <v>5</v>
      </c>
      <c r="CA759" s="6" t="s">
        <v>5</v>
      </c>
      <c r="CB759" s="6" t="s">
        <v>5</v>
      </c>
      <c r="CC759" s="6" t="s">
        <v>5</v>
      </c>
      <c r="CD759" s="6" t="s">
        <v>5</v>
      </c>
      <c r="CE759" s="6" t="s">
        <v>5</v>
      </c>
      <c r="CF759" s="16" t="s">
        <v>5</v>
      </c>
      <c r="CG759" s="16" t="s">
        <v>5</v>
      </c>
      <c r="CH759" s="18" t="s">
        <v>5</v>
      </c>
    </row>
    <row r="760" spans="2:86">
      <c r="B760" s="78" t="s">
        <v>473</v>
      </c>
      <c r="C760" s="79" t="s">
        <v>860</v>
      </c>
      <c r="D760" s="80" t="s">
        <v>860</v>
      </c>
      <c r="E760" s="1" t="s">
        <v>4</v>
      </c>
      <c r="F760" s="4">
        <v>22.6</v>
      </c>
      <c r="G760" s="7">
        <v>6.62</v>
      </c>
      <c r="H760" s="3" t="str">
        <f t="shared" si="30"/>
        <v>2L5X3X7/16X3/8LLBB</v>
      </c>
      <c r="I760" s="7">
        <v>5</v>
      </c>
      <c r="J760" s="5" t="s">
        <v>5</v>
      </c>
      <c r="K760" s="6" t="s">
        <v>5</v>
      </c>
      <c r="L760" s="6" t="s">
        <v>5</v>
      </c>
      <c r="M760" s="6" t="s">
        <v>5</v>
      </c>
      <c r="N760" s="6" t="s">
        <v>5</v>
      </c>
      <c r="O760" s="5" t="s">
        <v>5</v>
      </c>
      <c r="P760" s="5" t="s">
        <v>5</v>
      </c>
      <c r="Q760" s="7">
        <v>3</v>
      </c>
      <c r="R760" s="6" t="s">
        <v>5</v>
      </c>
      <c r="S760" s="6" t="s">
        <v>5</v>
      </c>
      <c r="T760" s="5" t="s">
        <v>5</v>
      </c>
      <c r="U760" s="8" t="s">
        <v>5</v>
      </c>
      <c r="V760" s="6" t="s">
        <v>5</v>
      </c>
      <c r="W760" s="8" t="s">
        <v>5</v>
      </c>
      <c r="X760" s="22">
        <v>0.438</v>
      </c>
      <c r="Y760" s="6" t="s">
        <v>5</v>
      </c>
      <c r="Z760" s="6" t="s">
        <v>5</v>
      </c>
      <c r="AA760" s="6" t="s">
        <v>5</v>
      </c>
      <c r="AB760" s="8" t="s">
        <v>5</v>
      </c>
      <c r="AC760" s="8" t="s">
        <v>5</v>
      </c>
      <c r="AD760" s="6" t="s">
        <v>5</v>
      </c>
      <c r="AE760" s="7">
        <v>1.72</v>
      </c>
      <c r="AF760" s="6" t="s">
        <v>5</v>
      </c>
      <c r="AG760" s="6" t="s">
        <v>5</v>
      </c>
      <c r="AH760" s="7">
        <v>1.22</v>
      </c>
      <c r="AI760" s="6" t="s">
        <v>5</v>
      </c>
      <c r="AJ760" s="4">
        <v>11.4</v>
      </c>
      <c r="AK760" s="6" t="s">
        <v>5</v>
      </c>
      <c r="AL760" s="6" t="s">
        <v>5</v>
      </c>
      <c r="AM760" s="6" t="s">
        <v>5</v>
      </c>
      <c r="AN760" s="6" t="s">
        <v>5</v>
      </c>
      <c r="AO760" s="4">
        <v>16.8</v>
      </c>
      <c r="AP760" s="7">
        <v>9.06</v>
      </c>
      <c r="AQ760" s="7">
        <v>5.12</v>
      </c>
      <c r="AR760" s="7">
        <v>1.59</v>
      </c>
      <c r="AS760" s="4">
        <v>10</v>
      </c>
      <c r="AT760" s="6">
        <v>6.02</v>
      </c>
      <c r="AU760" s="6">
        <v>3.14</v>
      </c>
      <c r="AV760" s="7">
        <v>1.23</v>
      </c>
      <c r="AW760" s="6" t="s">
        <v>5</v>
      </c>
      <c r="AX760" s="6" t="s">
        <v>5</v>
      </c>
      <c r="AY760" s="6" t="s">
        <v>5</v>
      </c>
      <c r="AZ760" s="6" t="s">
        <v>5</v>
      </c>
      <c r="BA760" s="6" t="s">
        <v>5</v>
      </c>
      <c r="BB760" s="6" t="s">
        <v>5</v>
      </c>
      <c r="BC760" s="6" t="s">
        <v>5</v>
      </c>
      <c r="BD760" s="6" t="s">
        <v>5</v>
      </c>
      <c r="BE760" s="6" t="s">
        <v>5</v>
      </c>
      <c r="BF760" s="6" t="s">
        <v>5</v>
      </c>
      <c r="BG760" s="6" t="s">
        <v>5</v>
      </c>
      <c r="BH760" s="6" t="s">
        <v>5</v>
      </c>
      <c r="BI760" s="7">
        <v>2.5099999999999998</v>
      </c>
      <c r="BJ760" s="22">
        <v>0.64400000000000002</v>
      </c>
      <c r="BK760" s="6" t="s">
        <v>5</v>
      </c>
      <c r="BL760" s="2" t="s">
        <v>5</v>
      </c>
      <c r="BM760" s="2" t="s">
        <v>5</v>
      </c>
      <c r="BN760" s="2" t="s">
        <v>5</v>
      </c>
      <c r="BO760" s="2" t="s">
        <v>5</v>
      </c>
      <c r="BP760" s="2" t="s">
        <v>5</v>
      </c>
      <c r="BQ760" s="2" t="s">
        <v>5</v>
      </c>
      <c r="BR760" s="2" t="s">
        <v>5</v>
      </c>
      <c r="BS760" s="2" t="s">
        <v>5</v>
      </c>
      <c r="BT760" s="2" t="s">
        <v>5</v>
      </c>
      <c r="BU760" s="2" t="s">
        <v>5</v>
      </c>
      <c r="BV760" s="2" t="s">
        <v>5</v>
      </c>
      <c r="BW760" s="2" t="s">
        <v>5</v>
      </c>
      <c r="BX760" s="2" t="s">
        <v>5</v>
      </c>
      <c r="BY760" s="25" t="s">
        <v>5</v>
      </c>
      <c r="BZ760" s="25" t="s">
        <v>5</v>
      </c>
      <c r="CA760" s="6" t="s">
        <v>5</v>
      </c>
      <c r="CB760" s="6" t="s">
        <v>5</v>
      </c>
      <c r="CC760" s="6" t="s">
        <v>5</v>
      </c>
      <c r="CD760" s="6" t="s">
        <v>5</v>
      </c>
      <c r="CE760" s="6" t="s">
        <v>5</v>
      </c>
      <c r="CF760" s="16" t="s">
        <v>5</v>
      </c>
      <c r="CG760" s="16" t="s">
        <v>5</v>
      </c>
      <c r="CH760" s="18" t="s">
        <v>5</v>
      </c>
    </row>
    <row r="761" spans="2:86">
      <c r="B761" s="78" t="s">
        <v>473</v>
      </c>
      <c r="C761" s="79" t="s">
        <v>861</v>
      </c>
      <c r="D761" s="80" t="s">
        <v>861</v>
      </c>
      <c r="E761" s="1" t="s">
        <v>4</v>
      </c>
      <c r="F761" s="4">
        <v>22.6</v>
      </c>
      <c r="G761" s="7">
        <v>6.62</v>
      </c>
      <c r="H761" s="3" t="str">
        <f t="shared" si="30"/>
        <v>2L5X3X7/16X3/4LLBB</v>
      </c>
      <c r="I761" s="7">
        <v>5</v>
      </c>
      <c r="J761" s="5" t="s">
        <v>5</v>
      </c>
      <c r="K761" s="6" t="s">
        <v>5</v>
      </c>
      <c r="L761" s="6" t="s">
        <v>5</v>
      </c>
      <c r="M761" s="6" t="s">
        <v>5</v>
      </c>
      <c r="N761" s="6" t="s">
        <v>5</v>
      </c>
      <c r="O761" s="5" t="s">
        <v>5</v>
      </c>
      <c r="P761" s="5" t="s">
        <v>5</v>
      </c>
      <c r="Q761" s="7">
        <v>3</v>
      </c>
      <c r="R761" s="6" t="s">
        <v>5</v>
      </c>
      <c r="S761" s="6" t="s">
        <v>5</v>
      </c>
      <c r="T761" s="5" t="s">
        <v>5</v>
      </c>
      <c r="U761" s="8" t="s">
        <v>5</v>
      </c>
      <c r="V761" s="6" t="s">
        <v>5</v>
      </c>
      <c r="W761" s="8" t="s">
        <v>5</v>
      </c>
      <c r="X761" s="22">
        <v>0.438</v>
      </c>
      <c r="Y761" s="6" t="s">
        <v>5</v>
      </c>
      <c r="Z761" s="6" t="s">
        <v>5</v>
      </c>
      <c r="AA761" s="6" t="s">
        <v>5</v>
      </c>
      <c r="AB761" s="8" t="s">
        <v>5</v>
      </c>
      <c r="AC761" s="8" t="s">
        <v>5</v>
      </c>
      <c r="AD761" s="6" t="s">
        <v>5</v>
      </c>
      <c r="AE761" s="7">
        <v>1.72</v>
      </c>
      <c r="AF761" s="6" t="s">
        <v>5</v>
      </c>
      <c r="AG761" s="6" t="s">
        <v>5</v>
      </c>
      <c r="AH761" s="7">
        <v>1.22</v>
      </c>
      <c r="AI761" s="6" t="s">
        <v>5</v>
      </c>
      <c r="AJ761" s="4">
        <v>11.4</v>
      </c>
      <c r="AK761" s="6" t="s">
        <v>5</v>
      </c>
      <c r="AL761" s="6" t="s">
        <v>5</v>
      </c>
      <c r="AM761" s="6" t="s">
        <v>5</v>
      </c>
      <c r="AN761" s="6" t="s">
        <v>5</v>
      </c>
      <c r="AO761" s="4">
        <v>16.8</v>
      </c>
      <c r="AP761" s="7">
        <v>9.06</v>
      </c>
      <c r="AQ761" s="7">
        <v>5.12</v>
      </c>
      <c r="AR761" s="7">
        <v>1.59</v>
      </c>
      <c r="AS761" s="6">
        <v>12.6</v>
      </c>
      <c r="AT761" s="6">
        <v>7.26</v>
      </c>
      <c r="AU761" s="6">
        <v>3.73</v>
      </c>
      <c r="AV761" s="7">
        <v>1.38</v>
      </c>
      <c r="AW761" s="6" t="s">
        <v>5</v>
      </c>
      <c r="AX761" s="6" t="s">
        <v>5</v>
      </c>
      <c r="AY761" s="6" t="s">
        <v>5</v>
      </c>
      <c r="AZ761" s="6" t="s">
        <v>5</v>
      </c>
      <c r="BA761" s="6" t="s">
        <v>5</v>
      </c>
      <c r="BB761" s="6" t="s">
        <v>5</v>
      </c>
      <c r="BC761" s="6" t="s">
        <v>5</v>
      </c>
      <c r="BD761" s="6" t="s">
        <v>5</v>
      </c>
      <c r="BE761" s="6" t="s">
        <v>5</v>
      </c>
      <c r="BF761" s="6" t="s">
        <v>5</v>
      </c>
      <c r="BG761" s="6" t="s">
        <v>5</v>
      </c>
      <c r="BH761" s="6" t="s">
        <v>5</v>
      </c>
      <c r="BI761" s="7">
        <v>2.58</v>
      </c>
      <c r="BJ761" s="22">
        <v>0.66400000000000003</v>
      </c>
      <c r="BK761" s="6" t="s">
        <v>5</v>
      </c>
      <c r="BL761" s="2" t="s">
        <v>5</v>
      </c>
      <c r="BM761" s="2" t="s">
        <v>5</v>
      </c>
      <c r="BN761" s="2" t="s">
        <v>5</v>
      </c>
      <c r="BO761" s="2" t="s">
        <v>5</v>
      </c>
      <c r="BP761" s="2" t="s">
        <v>5</v>
      </c>
      <c r="BQ761" s="2" t="s">
        <v>5</v>
      </c>
      <c r="BR761" s="2" t="s">
        <v>5</v>
      </c>
      <c r="BS761" s="2" t="s">
        <v>5</v>
      </c>
      <c r="BT761" s="2" t="s">
        <v>5</v>
      </c>
      <c r="BU761" s="2" t="s">
        <v>5</v>
      </c>
      <c r="BV761" s="2" t="s">
        <v>5</v>
      </c>
      <c r="BW761" s="2" t="s">
        <v>5</v>
      </c>
      <c r="BX761" s="2" t="s">
        <v>5</v>
      </c>
      <c r="BY761" s="25" t="s">
        <v>5</v>
      </c>
      <c r="BZ761" s="25" t="s">
        <v>5</v>
      </c>
      <c r="CA761" s="6" t="s">
        <v>5</v>
      </c>
      <c r="CB761" s="6" t="s">
        <v>5</v>
      </c>
      <c r="CC761" s="6" t="s">
        <v>5</v>
      </c>
      <c r="CD761" s="6" t="s">
        <v>5</v>
      </c>
      <c r="CE761" s="6" t="s">
        <v>5</v>
      </c>
      <c r="CF761" s="16" t="s">
        <v>5</v>
      </c>
      <c r="CG761" s="16" t="s">
        <v>5</v>
      </c>
      <c r="CH761" s="18" t="s">
        <v>5</v>
      </c>
    </row>
    <row r="762" spans="2:86">
      <c r="B762" s="78" t="s">
        <v>473</v>
      </c>
      <c r="C762" s="79" t="s">
        <v>862</v>
      </c>
      <c r="D762" s="80" t="s">
        <v>862</v>
      </c>
      <c r="E762" s="1" t="s">
        <v>4</v>
      </c>
      <c r="F762" s="4">
        <v>19.600000000000001</v>
      </c>
      <c r="G762" s="7">
        <v>5.72</v>
      </c>
      <c r="H762" s="3" t="str">
        <f t="shared" si="30"/>
        <v>2L5X3X3/8LLBB</v>
      </c>
      <c r="I762" s="7">
        <v>5</v>
      </c>
      <c r="J762" s="5" t="s">
        <v>5</v>
      </c>
      <c r="K762" s="6" t="s">
        <v>5</v>
      </c>
      <c r="L762" s="6" t="s">
        <v>5</v>
      </c>
      <c r="M762" s="6" t="s">
        <v>5</v>
      </c>
      <c r="N762" s="6" t="s">
        <v>5</v>
      </c>
      <c r="O762" s="5" t="s">
        <v>5</v>
      </c>
      <c r="P762" s="5" t="s">
        <v>5</v>
      </c>
      <c r="Q762" s="7">
        <v>3</v>
      </c>
      <c r="R762" s="6" t="s">
        <v>5</v>
      </c>
      <c r="S762" s="6" t="s">
        <v>5</v>
      </c>
      <c r="T762" s="5" t="s">
        <v>5</v>
      </c>
      <c r="U762" s="8" t="s">
        <v>5</v>
      </c>
      <c r="V762" s="6" t="s">
        <v>5</v>
      </c>
      <c r="W762" s="8" t="s">
        <v>5</v>
      </c>
      <c r="X762" s="22">
        <v>0.375</v>
      </c>
      <c r="Y762" s="6" t="s">
        <v>5</v>
      </c>
      <c r="Z762" s="6" t="s">
        <v>5</v>
      </c>
      <c r="AA762" s="6" t="s">
        <v>5</v>
      </c>
      <c r="AB762" s="8" t="s">
        <v>5</v>
      </c>
      <c r="AC762" s="8" t="s">
        <v>5</v>
      </c>
      <c r="AD762" s="6" t="s">
        <v>5</v>
      </c>
      <c r="AE762" s="7">
        <v>1.69</v>
      </c>
      <c r="AF762" s="6" t="s">
        <v>5</v>
      </c>
      <c r="AG762" s="6" t="s">
        <v>5</v>
      </c>
      <c r="AH762" s="7">
        <v>1.19</v>
      </c>
      <c r="AI762" s="6" t="s">
        <v>5</v>
      </c>
      <c r="AJ762" s="4">
        <v>13.3</v>
      </c>
      <c r="AK762" s="6" t="s">
        <v>5</v>
      </c>
      <c r="AL762" s="6" t="s">
        <v>5</v>
      </c>
      <c r="AM762" s="6" t="s">
        <v>5</v>
      </c>
      <c r="AN762" s="6" t="s">
        <v>5</v>
      </c>
      <c r="AO762" s="4">
        <v>14.7</v>
      </c>
      <c r="AP762" s="7">
        <v>7.86</v>
      </c>
      <c r="AQ762" s="7">
        <v>4.4400000000000004</v>
      </c>
      <c r="AR762" s="7">
        <v>1.6</v>
      </c>
      <c r="AS762" s="7">
        <v>6.8</v>
      </c>
      <c r="AT762" s="6">
        <v>3.99</v>
      </c>
      <c r="AU762" s="6">
        <v>2.27</v>
      </c>
      <c r="AV762" s="7">
        <v>1.0900000000000001</v>
      </c>
      <c r="AW762" s="6" t="s">
        <v>5</v>
      </c>
      <c r="AX762" s="6" t="s">
        <v>5</v>
      </c>
      <c r="AY762" s="6" t="s">
        <v>5</v>
      </c>
      <c r="AZ762" s="6" t="s">
        <v>5</v>
      </c>
      <c r="BA762" s="6" t="s">
        <v>5</v>
      </c>
      <c r="BB762" s="6" t="s">
        <v>5</v>
      </c>
      <c r="BC762" s="6" t="s">
        <v>5</v>
      </c>
      <c r="BD762" s="6" t="s">
        <v>5</v>
      </c>
      <c r="BE762" s="6" t="s">
        <v>5</v>
      </c>
      <c r="BF762" s="6" t="s">
        <v>5</v>
      </c>
      <c r="BG762" s="6" t="s">
        <v>5</v>
      </c>
      <c r="BH762" s="6" t="s">
        <v>5</v>
      </c>
      <c r="BI762" s="7">
        <v>2.4500000000000002</v>
      </c>
      <c r="BJ762" s="22">
        <v>0.624</v>
      </c>
      <c r="BK762" s="6" t="s">
        <v>5</v>
      </c>
      <c r="BL762" s="2" t="s">
        <v>5</v>
      </c>
      <c r="BM762" s="2" t="s">
        <v>5</v>
      </c>
      <c r="BN762" s="2" t="s">
        <v>5</v>
      </c>
      <c r="BO762" s="2" t="s">
        <v>5</v>
      </c>
      <c r="BP762" s="2" t="s">
        <v>5</v>
      </c>
      <c r="BQ762" s="2" t="s">
        <v>5</v>
      </c>
      <c r="BR762" s="2" t="s">
        <v>5</v>
      </c>
      <c r="BS762" s="2" t="s">
        <v>5</v>
      </c>
      <c r="BT762" s="2" t="s">
        <v>5</v>
      </c>
      <c r="BU762" s="2" t="s">
        <v>5</v>
      </c>
      <c r="BV762" s="2" t="s">
        <v>5</v>
      </c>
      <c r="BW762" s="2" t="s">
        <v>5</v>
      </c>
      <c r="BX762" s="2" t="s">
        <v>5</v>
      </c>
      <c r="BY762" s="25" t="s">
        <v>5</v>
      </c>
      <c r="BZ762" s="25" t="s">
        <v>5</v>
      </c>
      <c r="CA762" s="6" t="s">
        <v>5</v>
      </c>
      <c r="CB762" s="6" t="s">
        <v>5</v>
      </c>
      <c r="CC762" s="6" t="s">
        <v>5</v>
      </c>
      <c r="CD762" s="6" t="s">
        <v>5</v>
      </c>
      <c r="CE762" s="6" t="s">
        <v>5</v>
      </c>
      <c r="CF762" s="16" t="s">
        <v>5</v>
      </c>
      <c r="CG762" s="16" t="s">
        <v>5</v>
      </c>
      <c r="CH762" s="18" t="s">
        <v>5</v>
      </c>
    </row>
    <row r="763" spans="2:86">
      <c r="B763" s="78" t="s">
        <v>473</v>
      </c>
      <c r="C763" s="79" t="s">
        <v>863</v>
      </c>
      <c r="D763" s="80" t="s">
        <v>863</v>
      </c>
      <c r="E763" s="1" t="s">
        <v>4</v>
      </c>
      <c r="F763" s="4">
        <v>19.600000000000001</v>
      </c>
      <c r="G763" s="7">
        <v>5.72</v>
      </c>
      <c r="H763" s="3" t="str">
        <f t="shared" si="30"/>
        <v>2L5X3X3/8X3/8LLBB</v>
      </c>
      <c r="I763" s="7">
        <v>5</v>
      </c>
      <c r="J763" s="5" t="s">
        <v>5</v>
      </c>
      <c r="K763" s="6" t="s">
        <v>5</v>
      </c>
      <c r="L763" s="6" t="s">
        <v>5</v>
      </c>
      <c r="M763" s="6" t="s">
        <v>5</v>
      </c>
      <c r="N763" s="6" t="s">
        <v>5</v>
      </c>
      <c r="O763" s="5" t="s">
        <v>5</v>
      </c>
      <c r="P763" s="5" t="s">
        <v>5</v>
      </c>
      <c r="Q763" s="7">
        <v>3</v>
      </c>
      <c r="R763" s="6" t="s">
        <v>5</v>
      </c>
      <c r="S763" s="6" t="s">
        <v>5</v>
      </c>
      <c r="T763" s="5" t="s">
        <v>5</v>
      </c>
      <c r="U763" s="8" t="s">
        <v>5</v>
      </c>
      <c r="V763" s="6" t="s">
        <v>5</v>
      </c>
      <c r="W763" s="8" t="s">
        <v>5</v>
      </c>
      <c r="X763" s="22">
        <v>0.375</v>
      </c>
      <c r="Y763" s="6" t="s">
        <v>5</v>
      </c>
      <c r="Z763" s="6" t="s">
        <v>5</v>
      </c>
      <c r="AA763" s="6" t="s">
        <v>5</v>
      </c>
      <c r="AB763" s="8" t="s">
        <v>5</v>
      </c>
      <c r="AC763" s="8" t="s">
        <v>5</v>
      </c>
      <c r="AD763" s="6" t="s">
        <v>5</v>
      </c>
      <c r="AE763" s="7">
        <v>1.69</v>
      </c>
      <c r="AF763" s="6" t="s">
        <v>5</v>
      </c>
      <c r="AG763" s="6" t="s">
        <v>5</v>
      </c>
      <c r="AH763" s="7">
        <v>1.19</v>
      </c>
      <c r="AI763" s="6" t="s">
        <v>5</v>
      </c>
      <c r="AJ763" s="4">
        <v>13.3</v>
      </c>
      <c r="AK763" s="6" t="s">
        <v>5</v>
      </c>
      <c r="AL763" s="6" t="s">
        <v>5</v>
      </c>
      <c r="AM763" s="6" t="s">
        <v>5</v>
      </c>
      <c r="AN763" s="6" t="s">
        <v>5</v>
      </c>
      <c r="AO763" s="4">
        <v>14.7</v>
      </c>
      <c r="AP763" s="7">
        <v>7.86</v>
      </c>
      <c r="AQ763" s="7">
        <v>4.4400000000000004</v>
      </c>
      <c r="AR763" s="7">
        <v>1.6</v>
      </c>
      <c r="AS763" s="6">
        <v>8.51</v>
      </c>
      <c r="AT763" s="6">
        <v>5.07</v>
      </c>
      <c r="AU763" s="6">
        <v>2.67</v>
      </c>
      <c r="AV763" s="7">
        <v>1.22</v>
      </c>
      <c r="AW763" s="6" t="s">
        <v>5</v>
      </c>
      <c r="AX763" s="6" t="s">
        <v>5</v>
      </c>
      <c r="AY763" s="6" t="s">
        <v>5</v>
      </c>
      <c r="AZ763" s="6" t="s">
        <v>5</v>
      </c>
      <c r="BA763" s="6" t="s">
        <v>5</v>
      </c>
      <c r="BB763" s="6" t="s">
        <v>5</v>
      </c>
      <c r="BC763" s="6" t="s">
        <v>5</v>
      </c>
      <c r="BD763" s="6" t="s">
        <v>5</v>
      </c>
      <c r="BE763" s="6" t="s">
        <v>5</v>
      </c>
      <c r="BF763" s="6" t="s">
        <v>5</v>
      </c>
      <c r="BG763" s="6" t="s">
        <v>5</v>
      </c>
      <c r="BH763" s="6" t="s">
        <v>5</v>
      </c>
      <c r="BI763" s="7">
        <v>2.5099999999999998</v>
      </c>
      <c r="BJ763" s="22">
        <v>0.64200000000000002</v>
      </c>
      <c r="BK763" s="6" t="s">
        <v>5</v>
      </c>
      <c r="BL763" s="2" t="s">
        <v>5</v>
      </c>
      <c r="BM763" s="2" t="s">
        <v>5</v>
      </c>
      <c r="BN763" s="2" t="s">
        <v>5</v>
      </c>
      <c r="BO763" s="2" t="s">
        <v>5</v>
      </c>
      <c r="BP763" s="2" t="s">
        <v>5</v>
      </c>
      <c r="BQ763" s="2" t="s">
        <v>5</v>
      </c>
      <c r="BR763" s="2" t="s">
        <v>5</v>
      </c>
      <c r="BS763" s="2" t="s">
        <v>5</v>
      </c>
      <c r="BT763" s="2" t="s">
        <v>5</v>
      </c>
      <c r="BU763" s="2" t="s">
        <v>5</v>
      </c>
      <c r="BV763" s="2" t="s">
        <v>5</v>
      </c>
      <c r="BW763" s="2" t="s">
        <v>5</v>
      </c>
      <c r="BX763" s="2" t="s">
        <v>5</v>
      </c>
      <c r="BY763" s="25" t="s">
        <v>5</v>
      </c>
      <c r="BZ763" s="25" t="s">
        <v>5</v>
      </c>
      <c r="CA763" s="6" t="s">
        <v>5</v>
      </c>
      <c r="CB763" s="6" t="s">
        <v>5</v>
      </c>
      <c r="CC763" s="6" t="s">
        <v>5</v>
      </c>
      <c r="CD763" s="6" t="s">
        <v>5</v>
      </c>
      <c r="CE763" s="6" t="s">
        <v>5</v>
      </c>
      <c r="CF763" s="16" t="s">
        <v>5</v>
      </c>
      <c r="CG763" s="16" t="s">
        <v>5</v>
      </c>
      <c r="CH763" s="18" t="s">
        <v>5</v>
      </c>
    </row>
    <row r="764" spans="2:86">
      <c r="B764" s="78" t="s">
        <v>473</v>
      </c>
      <c r="C764" s="79" t="s">
        <v>864</v>
      </c>
      <c r="D764" s="80" t="s">
        <v>864</v>
      </c>
      <c r="E764" s="1" t="s">
        <v>4</v>
      </c>
      <c r="F764" s="4">
        <v>19.600000000000001</v>
      </c>
      <c r="G764" s="7">
        <v>5.72</v>
      </c>
      <c r="H764" s="3" t="str">
        <f t="shared" si="30"/>
        <v>2L5X3X3/8X3/4LLBB</v>
      </c>
      <c r="I764" s="7">
        <v>5</v>
      </c>
      <c r="J764" s="5" t="s">
        <v>5</v>
      </c>
      <c r="K764" s="6" t="s">
        <v>5</v>
      </c>
      <c r="L764" s="6" t="s">
        <v>5</v>
      </c>
      <c r="M764" s="6" t="s">
        <v>5</v>
      </c>
      <c r="N764" s="6" t="s">
        <v>5</v>
      </c>
      <c r="O764" s="5" t="s">
        <v>5</v>
      </c>
      <c r="P764" s="5" t="s">
        <v>5</v>
      </c>
      <c r="Q764" s="7">
        <v>3</v>
      </c>
      <c r="R764" s="6" t="s">
        <v>5</v>
      </c>
      <c r="S764" s="6" t="s">
        <v>5</v>
      </c>
      <c r="T764" s="5" t="s">
        <v>5</v>
      </c>
      <c r="U764" s="8" t="s">
        <v>5</v>
      </c>
      <c r="V764" s="6" t="s">
        <v>5</v>
      </c>
      <c r="W764" s="8" t="s">
        <v>5</v>
      </c>
      <c r="X764" s="22">
        <v>0.375</v>
      </c>
      <c r="Y764" s="6" t="s">
        <v>5</v>
      </c>
      <c r="Z764" s="6" t="s">
        <v>5</v>
      </c>
      <c r="AA764" s="6" t="s">
        <v>5</v>
      </c>
      <c r="AB764" s="8" t="s">
        <v>5</v>
      </c>
      <c r="AC764" s="8" t="s">
        <v>5</v>
      </c>
      <c r="AD764" s="6" t="s">
        <v>5</v>
      </c>
      <c r="AE764" s="7">
        <v>1.69</v>
      </c>
      <c r="AF764" s="6" t="s">
        <v>5</v>
      </c>
      <c r="AG764" s="6" t="s">
        <v>5</v>
      </c>
      <c r="AH764" s="7">
        <v>1.19</v>
      </c>
      <c r="AI764" s="6" t="s">
        <v>5</v>
      </c>
      <c r="AJ764" s="4">
        <v>13.3</v>
      </c>
      <c r="AK764" s="6" t="s">
        <v>5</v>
      </c>
      <c r="AL764" s="6" t="s">
        <v>5</v>
      </c>
      <c r="AM764" s="6" t="s">
        <v>5</v>
      </c>
      <c r="AN764" s="6" t="s">
        <v>5</v>
      </c>
      <c r="AO764" s="4">
        <v>14.7</v>
      </c>
      <c r="AP764" s="7">
        <v>7.86</v>
      </c>
      <c r="AQ764" s="7">
        <v>4.4400000000000004</v>
      </c>
      <c r="AR764" s="7">
        <v>1.6</v>
      </c>
      <c r="AS764" s="6">
        <v>10.6</v>
      </c>
      <c r="AT764" s="6">
        <v>6.14</v>
      </c>
      <c r="AU764" s="6">
        <v>3.14</v>
      </c>
      <c r="AV764" s="7">
        <v>1.36</v>
      </c>
      <c r="AW764" s="6" t="s">
        <v>5</v>
      </c>
      <c r="AX764" s="6" t="s">
        <v>5</v>
      </c>
      <c r="AY764" s="6" t="s">
        <v>5</v>
      </c>
      <c r="AZ764" s="6" t="s">
        <v>5</v>
      </c>
      <c r="BA764" s="6" t="s">
        <v>5</v>
      </c>
      <c r="BB764" s="6" t="s">
        <v>5</v>
      </c>
      <c r="BC764" s="6" t="s">
        <v>5</v>
      </c>
      <c r="BD764" s="6" t="s">
        <v>5</v>
      </c>
      <c r="BE764" s="6" t="s">
        <v>5</v>
      </c>
      <c r="BF764" s="6" t="s">
        <v>5</v>
      </c>
      <c r="BG764" s="6" t="s">
        <v>5</v>
      </c>
      <c r="BH764" s="6" t="s">
        <v>5</v>
      </c>
      <c r="BI764" s="7">
        <v>2.59</v>
      </c>
      <c r="BJ764" s="22">
        <v>0.66100000000000003</v>
      </c>
      <c r="BK764" s="6" t="s">
        <v>5</v>
      </c>
      <c r="BL764" s="2" t="s">
        <v>5</v>
      </c>
      <c r="BM764" s="2" t="s">
        <v>5</v>
      </c>
      <c r="BN764" s="2" t="s">
        <v>5</v>
      </c>
      <c r="BO764" s="2" t="s">
        <v>5</v>
      </c>
      <c r="BP764" s="2" t="s">
        <v>5</v>
      </c>
      <c r="BQ764" s="2" t="s">
        <v>5</v>
      </c>
      <c r="BR764" s="2" t="s">
        <v>5</v>
      </c>
      <c r="BS764" s="2" t="s">
        <v>5</v>
      </c>
      <c r="BT764" s="2" t="s">
        <v>5</v>
      </c>
      <c r="BU764" s="2" t="s">
        <v>5</v>
      </c>
      <c r="BV764" s="2" t="s">
        <v>5</v>
      </c>
      <c r="BW764" s="2" t="s">
        <v>5</v>
      </c>
      <c r="BX764" s="2" t="s">
        <v>5</v>
      </c>
      <c r="BY764" s="25" t="s">
        <v>5</v>
      </c>
      <c r="BZ764" s="25" t="s">
        <v>5</v>
      </c>
      <c r="CA764" s="6" t="s">
        <v>5</v>
      </c>
      <c r="CB764" s="6" t="s">
        <v>5</v>
      </c>
      <c r="CC764" s="6" t="s">
        <v>5</v>
      </c>
      <c r="CD764" s="6" t="s">
        <v>5</v>
      </c>
      <c r="CE764" s="6" t="s">
        <v>5</v>
      </c>
      <c r="CF764" s="16" t="s">
        <v>5</v>
      </c>
      <c r="CG764" s="16" t="s">
        <v>5</v>
      </c>
      <c r="CH764" s="18" t="s">
        <v>5</v>
      </c>
    </row>
    <row r="765" spans="2:86">
      <c r="B765" s="78" t="s">
        <v>473</v>
      </c>
      <c r="C765" s="79" t="s">
        <v>865</v>
      </c>
      <c r="D765" s="80" t="s">
        <v>865</v>
      </c>
      <c r="E765" s="1" t="s">
        <v>4</v>
      </c>
      <c r="F765" s="4">
        <v>16.399999999999999</v>
      </c>
      <c r="G765" s="7">
        <v>4.82</v>
      </c>
      <c r="H765" s="3" t="str">
        <f t="shared" si="30"/>
        <v>2L5X3X5/16LLBB</v>
      </c>
      <c r="I765" s="7">
        <v>5</v>
      </c>
      <c r="J765" s="5" t="s">
        <v>5</v>
      </c>
      <c r="K765" s="6" t="s">
        <v>5</v>
      </c>
      <c r="L765" s="6" t="s">
        <v>5</v>
      </c>
      <c r="M765" s="6" t="s">
        <v>5</v>
      </c>
      <c r="N765" s="6" t="s">
        <v>5</v>
      </c>
      <c r="O765" s="5" t="s">
        <v>5</v>
      </c>
      <c r="P765" s="5" t="s">
        <v>5</v>
      </c>
      <c r="Q765" s="7">
        <v>3</v>
      </c>
      <c r="R765" s="6" t="s">
        <v>5</v>
      </c>
      <c r="S765" s="6" t="s">
        <v>5</v>
      </c>
      <c r="T765" s="5" t="s">
        <v>5</v>
      </c>
      <c r="U765" s="8" t="s">
        <v>5</v>
      </c>
      <c r="V765" s="6" t="s">
        <v>5</v>
      </c>
      <c r="W765" s="8" t="s">
        <v>5</v>
      </c>
      <c r="X765" s="22">
        <v>0.313</v>
      </c>
      <c r="Y765" s="6" t="s">
        <v>5</v>
      </c>
      <c r="Z765" s="6" t="s">
        <v>5</v>
      </c>
      <c r="AA765" s="6" t="s">
        <v>5</v>
      </c>
      <c r="AB765" s="8" t="s">
        <v>5</v>
      </c>
      <c r="AC765" s="8" t="s">
        <v>5</v>
      </c>
      <c r="AD765" s="6" t="s">
        <v>5</v>
      </c>
      <c r="AE765" s="7">
        <v>1.67</v>
      </c>
      <c r="AF765" s="6" t="s">
        <v>5</v>
      </c>
      <c r="AG765" s="6" t="s">
        <v>5</v>
      </c>
      <c r="AH765" s="7">
        <v>1.1399999999999999</v>
      </c>
      <c r="AI765" s="6" t="s">
        <v>5</v>
      </c>
      <c r="AJ765" s="4">
        <v>16</v>
      </c>
      <c r="AK765" s="6" t="s">
        <v>5</v>
      </c>
      <c r="AL765" s="6" t="s">
        <v>5</v>
      </c>
      <c r="AM765" s="6" t="s">
        <v>5</v>
      </c>
      <c r="AN765" s="6" t="s">
        <v>5</v>
      </c>
      <c r="AO765" s="4">
        <v>12.5</v>
      </c>
      <c r="AP765" s="7">
        <v>6.64</v>
      </c>
      <c r="AQ765" s="7">
        <v>3.74</v>
      </c>
      <c r="AR765" s="7">
        <v>1.61</v>
      </c>
      <c r="AS765" s="6">
        <v>5.62</v>
      </c>
      <c r="AT765" s="6">
        <v>3.24</v>
      </c>
      <c r="AU765" s="6">
        <v>1.87</v>
      </c>
      <c r="AV765" s="7">
        <v>1.08</v>
      </c>
      <c r="AW765" s="6" t="s">
        <v>5</v>
      </c>
      <c r="AX765" s="6" t="s">
        <v>5</v>
      </c>
      <c r="AY765" s="6" t="s">
        <v>5</v>
      </c>
      <c r="AZ765" s="6" t="s">
        <v>5</v>
      </c>
      <c r="BA765" s="6" t="s">
        <v>5</v>
      </c>
      <c r="BB765" s="6" t="s">
        <v>5</v>
      </c>
      <c r="BC765" s="6" t="s">
        <v>5</v>
      </c>
      <c r="BD765" s="6" t="s">
        <v>5</v>
      </c>
      <c r="BE765" s="6" t="s">
        <v>5</v>
      </c>
      <c r="BF765" s="6" t="s">
        <v>5</v>
      </c>
      <c r="BG765" s="6" t="s">
        <v>5</v>
      </c>
      <c r="BH765" s="6" t="s">
        <v>5</v>
      </c>
      <c r="BI765" s="7">
        <v>2.46</v>
      </c>
      <c r="BJ765" s="22">
        <v>0.623</v>
      </c>
      <c r="BK765" s="6" t="s">
        <v>5</v>
      </c>
      <c r="BL765" s="2" t="s">
        <v>5</v>
      </c>
      <c r="BM765" s="2" t="s">
        <v>5</v>
      </c>
      <c r="BN765" s="2" t="s">
        <v>5</v>
      </c>
      <c r="BO765" s="2" t="s">
        <v>5</v>
      </c>
      <c r="BP765" s="2" t="s">
        <v>5</v>
      </c>
      <c r="BQ765" s="2" t="s">
        <v>5</v>
      </c>
      <c r="BR765" s="2" t="s">
        <v>5</v>
      </c>
      <c r="BS765" s="2" t="s">
        <v>5</v>
      </c>
      <c r="BT765" s="2" t="s">
        <v>5</v>
      </c>
      <c r="BU765" s="2" t="s">
        <v>5</v>
      </c>
      <c r="BV765" s="2" t="s">
        <v>5</v>
      </c>
      <c r="BW765" s="2" t="s">
        <v>5</v>
      </c>
      <c r="BX765" s="2" t="s">
        <v>5</v>
      </c>
      <c r="BY765" s="25" t="s">
        <v>5</v>
      </c>
      <c r="BZ765" s="25" t="s">
        <v>5</v>
      </c>
      <c r="CA765" s="6" t="s">
        <v>5</v>
      </c>
      <c r="CB765" s="6" t="s">
        <v>5</v>
      </c>
      <c r="CC765" s="6" t="s">
        <v>5</v>
      </c>
      <c r="CD765" s="6" t="s">
        <v>5</v>
      </c>
      <c r="CE765" s="6" t="s">
        <v>5</v>
      </c>
      <c r="CF765" s="16" t="s">
        <v>5</v>
      </c>
      <c r="CG765" s="16" t="s">
        <v>5</v>
      </c>
      <c r="CH765" s="18" t="s">
        <v>5</v>
      </c>
    </row>
    <row r="766" spans="2:86">
      <c r="B766" s="78" t="s">
        <v>473</v>
      </c>
      <c r="C766" s="79" t="s">
        <v>866</v>
      </c>
      <c r="D766" s="80" t="s">
        <v>866</v>
      </c>
      <c r="E766" s="1" t="s">
        <v>4</v>
      </c>
      <c r="F766" s="4">
        <v>16.399999999999999</v>
      </c>
      <c r="G766" s="7">
        <v>4.82</v>
      </c>
      <c r="H766" s="3" t="str">
        <f t="shared" si="30"/>
        <v>2L5X3X5/16X3/8LLBB</v>
      </c>
      <c r="I766" s="7">
        <v>5</v>
      </c>
      <c r="J766" s="5" t="s">
        <v>5</v>
      </c>
      <c r="K766" s="6" t="s">
        <v>5</v>
      </c>
      <c r="L766" s="6" t="s">
        <v>5</v>
      </c>
      <c r="M766" s="6" t="s">
        <v>5</v>
      </c>
      <c r="N766" s="6" t="s">
        <v>5</v>
      </c>
      <c r="O766" s="5" t="s">
        <v>5</v>
      </c>
      <c r="P766" s="5" t="s">
        <v>5</v>
      </c>
      <c r="Q766" s="7">
        <v>3</v>
      </c>
      <c r="R766" s="6" t="s">
        <v>5</v>
      </c>
      <c r="S766" s="6" t="s">
        <v>5</v>
      </c>
      <c r="T766" s="5" t="s">
        <v>5</v>
      </c>
      <c r="U766" s="8" t="s">
        <v>5</v>
      </c>
      <c r="V766" s="6" t="s">
        <v>5</v>
      </c>
      <c r="W766" s="8" t="s">
        <v>5</v>
      </c>
      <c r="X766" s="22">
        <v>0.313</v>
      </c>
      <c r="Y766" s="6" t="s">
        <v>5</v>
      </c>
      <c r="Z766" s="6" t="s">
        <v>5</v>
      </c>
      <c r="AA766" s="6" t="s">
        <v>5</v>
      </c>
      <c r="AB766" s="8" t="s">
        <v>5</v>
      </c>
      <c r="AC766" s="8" t="s">
        <v>5</v>
      </c>
      <c r="AD766" s="6" t="s">
        <v>5</v>
      </c>
      <c r="AE766" s="7">
        <v>1.67</v>
      </c>
      <c r="AF766" s="6" t="s">
        <v>5</v>
      </c>
      <c r="AG766" s="6" t="s">
        <v>5</v>
      </c>
      <c r="AH766" s="7">
        <v>1.1399999999999999</v>
      </c>
      <c r="AI766" s="6" t="s">
        <v>5</v>
      </c>
      <c r="AJ766" s="4">
        <v>16</v>
      </c>
      <c r="AK766" s="6" t="s">
        <v>5</v>
      </c>
      <c r="AL766" s="6" t="s">
        <v>5</v>
      </c>
      <c r="AM766" s="6" t="s">
        <v>5</v>
      </c>
      <c r="AN766" s="6" t="s">
        <v>5</v>
      </c>
      <c r="AO766" s="4">
        <v>12.5</v>
      </c>
      <c r="AP766" s="7">
        <v>6.64</v>
      </c>
      <c r="AQ766" s="7">
        <v>3.74</v>
      </c>
      <c r="AR766" s="7">
        <v>1.61</v>
      </c>
      <c r="AS766" s="6">
        <v>7.06</v>
      </c>
      <c r="AT766" s="6">
        <v>4.1500000000000004</v>
      </c>
      <c r="AU766" s="6">
        <v>2.21</v>
      </c>
      <c r="AV766" s="7">
        <v>1.21</v>
      </c>
      <c r="AW766" s="6" t="s">
        <v>5</v>
      </c>
      <c r="AX766" s="6" t="s">
        <v>5</v>
      </c>
      <c r="AY766" s="6" t="s">
        <v>5</v>
      </c>
      <c r="AZ766" s="6" t="s">
        <v>5</v>
      </c>
      <c r="BA766" s="6" t="s">
        <v>5</v>
      </c>
      <c r="BB766" s="6" t="s">
        <v>5</v>
      </c>
      <c r="BC766" s="6" t="s">
        <v>5</v>
      </c>
      <c r="BD766" s="6" t="s">
        <v>5</v>
      </c>
      <c r="BE766" s="6" t="s">
        <v>5</v>
      </c>
      <c r="BF766" s="6" t="s">
        <v>5</v>
      </c>
      <c r="BG766" s="6" t="s">
        <v>5</v>
      </c>
      <c r="BH766" s="6" t="s">
        <v>5</v>
      </c>
      <c r="BI766" s="7">
        <v>2.52</v>
      </c>
      <c r="BJ766" s="22">
        <v>0.64</v>
      </c>
      <c r="BK766" s="6" t="s">
        <v>5</v>
      </c>
      <c r="BL766" s="2" t="s">
        <v>5</v>
      </c>
      <c r="BM766" s="2" t="s">
        <v>5</v>
      </c>
      <c r="BN766" s="2" t="s">
        <v>5</v>
      </c>
      <c r="BO766" s="2" t="s">
        <v>5</v>
      </c>
      <c r="BP766" s="2" t="s">
        <v>5</v>
      </c>
      <c r="BQ766" s="2" t="s">
        <v>5</v>
      </c>
      <c r="BR766" s="2" t="s">
        <v>5</v>
      </c>
      <c r="BS766" s="2" t="s">
        <v>5</v>
      </c>
      <c r="BT766" s="2" t="s">
        <v>5</v>
      </c>
      <c r="BU766" s="2" t="s">
        <v>5</v>
      </c>
      <c r="BV766" s="2" t="s">
        <v>5</v>
      </c>
      <c r="BW766" s="2" t="s">
        <v>5</v>
      </c>
      <c r="BX766" s="2" t="s">
        <v>5</v>
      </c>
      <c r="BY766" s="25" t="s">
        <v>5</v>
      </c>
      <c r="BZ766" s="25" t="s">
        <v>5</v>
      </c>
      <c r="CA766" s="6" t="s">
        <v>5</v>
      </c>
      <c r="CB766" s="6" t="s">
        <v>5</v>
      </c>
      <c r="CC766" s="6" t="s">
        <v>5</v>
      </c>
      <c r="CD766" s="6" t="s">
        <v>5</v>
      </c>
      <c r="CE766" s="6" t="s">
        <v>5</v>
      </c>
      <c r="CF766" s="16" t="s">
        <v>5</v>
      </c>
      <c r="CG766" s="16" t="s">
        <v>5</v>
      </c>
      <c r="CH766" s="18" t="s">
        <v>5</v>
      </c>
    </row>
    <row r="767" spans="2:86">
      <c r="B767" s="78" t="s">
        <v>473</v>
      </c>
      <c r="C767" s="79" t="s">
        <v>867</v>
      </c>
      <c r="D767" s="80" t="s">
        <v>867</v>
      </c>
      <c r="E767" s="1" t="s">
        <v>4</v>
      </c>
      <c r="F767" s="4">
        <v>16.399999999999999</v>
      </c>
      <c r="G767" s="7">
        <v>4.82</v>
      </c>
      <c r="H767" s="3" t="str">
        <f t="shared" si="30"/>
        <v>2L5X3X5/16X3/4LLBB</v>
      </c>
      <c r="I767" s="7">
        <v>5</v>
      </c>
      <c r="J767" s="5" t="s">
        <v>5</v>
      </c>
      <c r="K767" s="6" t="s">
        <v>5</v>
      </c>
      <c r="L767" s="6" t="s">
        <v>5</v>
      </c>
      <c r="M767" s="6" t="s">
        <v>5</v>
      </c>
      <c r="N767" s="6" t="s">
        <v>5</v>
      </c>
      <c r="O767" s="5" t="s">
        <v>5</v>
      </c>
      <c r="P767" s="5" t="s">
        <v>5</v>
      </c>
      <c r="Q767" s="7">
        <v>3</v>
      </c>
      <c r="R767" s="6" t="s">
        <v>5</v>
      </c>
      <c r="S767" s="6" t="s">
        <v>5</v>
      </c>
      <c r="T767" s="5" t="s">
        <v>5</v>
      </c>
      <c r="U767" s="8" t="s">
        <v>5</v>
      </c>
      <c r="V767" s="6" t="s">
        <v>5</v>
      </c>
      <c r="W767" s="8" t="s">
        <v>5</v>
      </c>
      <c r="X767" s="22">
        <v>0.313</v>
      </c>
      <c r="Y767" s="6" t="s">
        <v>5</v>
      </c>
      <c r="Z767" s="6" t="s">
        <v>5</v>
      </c>
      <c r="AA767" s="6" t="s">
        <v>5</v>
      </c>
      <c r="AB767" s="8" t="s">
        <v>5</v>
      </c>
      <c r="AC767" s="8" t="s">
        <v>5</v>
      </c>
      <c r="AD767" s="6" t="s">
        <v>5</v>
      </c>
      <c r="AE767" s="7">
        <v>1.67</v>
      </c>
      <c r="AF767" s="6" t="s">
        <v>5</v>
      </c>
      <c r="AG767" s="6" t="s">
        <v>5</v>
      </c>
      <c r="AH767" s="7">
        <v>1.1399999999999999</v>
      </c>
      <c r="AI767" s="6" t="s">
        <v>5</v>
      </c>
      <c r="AJ767" s="4">
        <v>16</v>
      </c>
      <c r="AK767" s="6" t="s">
        <v>5</v>
      </c>
      <c r="AL767" s="6" t="s">
        <v>5</v>
      </c>
      <c r="AM767" s="6" t="s">
        <v>5</v>
      </c>
      <c r="AN767" s="6" t="s">
        <v>5</v>
      </c>
      <c r="AO767" s="4">
        <v>12.5</v>
      </c>
      <c r="AP767" s="7">
        <v>6.64</v>
      </c>
      <c r="AQ767" s="7">
        <v>3.74</v>
      </c>
      <c r="AR767" s="7">
        <v>1.61</v>
      </c>
      <c r="AS767" s="6">
        <v>8.7799999999999994</v>
      </c>
      <c r="AT767" s="6">
        <v>5.05</v>
      </c>
      <c r="AU767" s="7">
        <v>2.6</v>
      </c>
      <c r="AV767" s="7">
        <v>1.35</v>
      </c>
      <c r="AW767" s="6" t="s">
        <v>5</v>
      </c>
      <c r="AX767" s="6" t="s">
        <v>5</v>
      </c>
      <c r="AY767" s="6" t="s">
        <v>5</v>
      </c>
      <c r="AZ767" s="6" t="s">
        <v>5</v>
      </c>
      <c r="BA767" s="6" t="s">
        <v>5</v>
      </c>
      <c r="BB767" s="6" t="s">
        <v>5</v>
      </c>
      <c r="BC767" s="6" t="s">
        <v>5</v>
      </c>
      <c r="BD767" s="6" t="s">
        <v>5</v>
      </c>
      <c r="BE767" s="6" t="s">
        <v>5</v>
      </c>
      <c r="BF767" s="6" t="s">
        <v>5</v>
      </c>
      <c r="BG767" s="6" t="s">
        <v>5</v>
      </c>
      <c r="BH767" s="6" t="s">
        <v>5</v>
      </c>
      <c r="BI767" s="7">
        <v>2.59</v>
      </c>
      <c r="BJ767" s="22">
        <v>0.65900000000000003</v>
      </c>
      <c r="BK767" s="6" t="s">
        <v>5</v>
      </c>
      <c r="BL767" s="2" t="s">
        <v>5</v>
      </c>
      <c r="BM767" s="2" t="s">
        <v>5</v>
      </c>
      <c r="BN767" s="2" t="s">
        <v>5</v>
      </c>
      <c r="BO767" s="2" t="s">
        <v>5</v>
      </c>
      <c r="BP767" s="2" t="s">
        <v>5</v>
      </c>
      <c r="BQ767" s="2" t="s">
        <v>5</v>
      </c>
      <c r="BR767" s="2" t="s">
        <v>5</v>
      </c>
      <c r="BS767" s="2" t="s">
        <v>5</v>
      </c>
      <c r="BT767" s="2" t="s">
        <v>5</v>
      </c>
      <c r="BU767" s="2" t="s">
        <v>5</v>
      </c>
      <c r="BV767" s="2" t="s">
        <v>5</v>
      </c>
      <c r="BW767" s="2" t="s">
        <v>5</v>
      </c>
      <c r="BX767" s="2" t="s">
        <v>5</v>
      </c>
      <c r="BY767" s="25" t="s">
        <v>5</v>
      </c>
      <c r="BZ767" s="25" t="s">
        <v>5</v>
      </c>
      <c r="CA767" s="6" t="s">
        <v>5</v>
      </c>
      <c r="CB767" s="6" t="s">
        <v>5</v>
      </c>
      <c r="CC767" s="6" t="s">
        <v>5</v>
      </c>
      <c r="CD767" s="6" t="s">
        <v>5</v>
      </c>
      <c r="CE767" s="6" t="s">
        <v>5</v>
      </c>
      <c r="CF767" s="16" t="s">
        <v>5</v>
      </c>
      <c r="CG767" s="16" t="s">
        <v>5</v>
      </c>
      <c r="CH767" s="18" t="s">
        <v>5</v>
      </c>
    </row>
    <row r="768" spans="2:86">
      <c r="B768" s="78" t="s">
        <v>473</v>
      </c>
      <c r="C768" s="79" t="s">
        <v>868</v>
      </c>
      <c r="D768" s="80" t="s">
        <v>868</v>
      </c>
      <c r="E768" s="1" t="s">
        <v>4</v>
      </c>
      <c r="F768" s="4">
        <v>13.2</v>
      </c>
      <c r="G768" s="7">
        <v>3.88</v>
      </c>
      <c r="H768" s="3" t="str">
        <f t="shared" si="30"/>
        <v>2L5X3X1/4LLBB</v>
      </c>
      <c r="I768" s="7">
        <v>5</v>
      </c>
      <c r="J768" s="5" t="s">
        <v>5</v>
      </c>
      <c r="K768" s="6" t="s">
        <v>5</v>
      </c>
      <c r="L768" s="6" t="s">
        <v>5</v>
      </c>
      <c r="M768" s="6" t="s">
        <v>5</v>
      </c>
      <c r="N768" s="6" t="s">
        <v>5</v>
      </c>
      <c r="O768" s="5" t="s">
        <v>5</v>
      </c>
      <c r="P768" s="5" t="s">
        <v>5</v>
      </c>
      <c r="Q768" s="7">
        <v>3</v>
      </c>
      <c r="R768" s="6" t="s">
        <v>5</v>
      </c>
      <c r="S768" s="6" t="s">
        <v>5</v>
      </c>
      <c r="T768" s="5" t="s">
        <v>5</v>
      </c>
      <c r="U768" s="8" t="s">
        <v>5</v>
      </c>
      <c r="V768" s="6" t="s">
        <v>5</v>
      </c>
      <c r="W768" s="8" t="s">
        <v>5</v>
      </c>
      <c r="X768" s="22">
        <v>0.25</v>
      </c>
      <c r="Y768" s="6" t="s">
        <v>5</v>
      </c>
      <c r="Z768" s="6" t="s">
        <v>5</v>
      </c>
      <c r="AA768" s="6" t="s">
        <v>5</v>
      </c>
      <c r="AB768" s="8" t="s">
        <v>5</v>
      </c>
      <c r="AC768" s="8" t="s">
        <v>5</v>
      </c>
      <c r="AD768" s="6" t="s">
        <v>5</v>
      </c>
      <c r="AE768" s="7">
        <v>1.64</v>
      </c>
      <c r="AF768" s="6" t="s">
        <v>5</v>
      </c>
      <c r="AG768" s="6" t="s">
        <v>5</v>
      </c>
      <c r="AH768" s="7">
        <v>1.1200000000000001</v>
      </c>
      <c r="AI768" s="6" t="s">
        <v>5</v>
      </c>
      <c r="AJ768" s="4">
        <v>20</v>
      </c>
      <c r="AK768" s="6" t="s">
        <v>5</v>
      </c>
      <c r="AL768" s="6" t="s">
        <v>5</v>
      </c>
      <c r="AM768" s="6" t="s">
        <v>5</v>
      </c>
      <c r="AN768" s="6" t="s">
        <v>5</v>
      </c>
      <c r="AO768" s="4">
        <v>10.199999999999999</v>
      </c>
      <c r="AP768" s="7">
        <v>5.36</v>
      </c>
      <c r="AQ768" s="7">
        <v>3.02</v>
      </c>
      <c r="AR768" s="7">
        <v>1.62</v>
      </c>
      <c r="AS768" s="6">
        <v>4.4400000000000004</v>
      </c>
      <c r="AT768" s="6">
        <v>2.5099999999999998</v>
      </c>
      <c r="AU768" s="6">
        <v>1.48</v>
      </c>
      <c r="AV768" s="7">
        <v>1.07</v>
      </c>
      <c r="AW768" s="6" t="s">
        <v>5</v>
      </c>
      <c r="AX768" s="6" t="s">
        <v>5</v>
      </c>
      <c r="AY768" s="6" t="s">
        <v>5</v>
      </c>
      <c r="AZ768" s="6" t="s">
        <v>5</v>
      </c>
      <c r="BA768" s="6" t="s">
        <v>5</v>
      </c>
      <c r="BB768" s="6" t="s">
        <v>5</v>
      </c>
      <c r="BC768" s="6" t="s">
        <v>5</v>
      </c>
      <c r="BD768" s="6" t="s">
        <v>5</v>
      </c>
      <c r="BE768" s="6" t="s">
        <v>5</v>
      </c>
      <c r="BF768" s="6" t="s">
        <v>5</v>
      </c>
      <c r="BG768" s="6" t="s">
        <v>5</v>
      </c>
      <c r="BH768" s="6" t="s">
        <v>5</v>
      </c>
      <c r="BI768" s="7">
        <v>2.46</v>
      </c>
      <c r="BJ768" s="22">
        <v>0.622</v>
      </c>
      <c r="BK768" s="6" t="s">
        <v>5</v>
      </c>
      <c r="BL768" s="2" t="s">
        <v>5</v>
      </c>
      <c r="BM768" s="2" t="s">
        <v>5</v>
      </c>
      <c r="BN768" s="2" t="s">
        <v>5</v>
      </c>
      <c r="BO768" s="2" t="s">
        <v>5</v>
      </c>
      <c r="BP768" s="2" t="s">
        <v>5</v>
      </c>
      <c r="BQ768" s="2" t="s">
        <v>5</v>
      </c>
      <c r="BR768" s="2" t="s">
        <v>5</v>
      </c>
      <c r="BS768" s="2" t="s">
        <v>5</v>
      </c>
      <c r="BT768" s="2" t="s">
        <v>5</v>
      </c>
      <c r="BU768" s="2" t="s">
        <v>5</v>
      </c>
      <c r="BV768" s="2" t="s">
        <v>5</v>
      </c>
      <c r="BW768" s="2" t="s">
        <v>5</v>
      </c>
      <c r="BX768" s="2" t="s">
        <v>5</v>
      </c>
      <c r="BY768" s="25" t="s">
        <v>5</v>
      </c>
      <c r="BZ768" s="25" t="s">
        <v>5</v>
      </c>
      <c r="CA768" s="6" t="s">
        <v>5</v>
      </c>
      <c r="CB768" s="6" t="s">
        <v>5</v>
      </c>
      <c r="CC768" s="6" t="s">
        <v>5</v>
      </c>
      <c r="CD768" s="6" t="s">
        <v>5</v>
      </c>
      <c r="CE768" s="6" t="s">
        <v>5</v>
      </c>
      <c r="CF768" s="16" t="s">
        <v>5</v>
      </c>
      <c r="CG768" s="16" t="s">
        <v>5</v>
      </c>
      <c r="CH768" s="18" t="s">
        <v>5</v>
      </c>
    </row>
    <row r="769" spans="2:86">
      <c r="B769" s="78" t="s">
        <v>473</v>
      </c>
      <c r="C769" s="79" t="s">
        <v>869</v>
      </c>
      <c r="D769" s="80" t="s">
        <v>869</v>
      </c>
      <c r="E769" s="1" t="s">
        <v>4</v>
      </c>
      <c r="F769" s="4">
        <v>13.2</v>
      </c>
      <c r="G769" s="7">
        <v>3.88</v>
      </c>
      <c r="H769" s="3" t="str">
        <f t="shared" si="30"/>
        <v>2L5X3X1/4X3/8LLBB</v>
      </c>
      <c r="I769" s="7">
        <v>5</v>
      </c>
      <c r="J769" s="5" t="s">
        <v>5</v>
      </c>
      <c r="K769" s="6" t="s">
        <v>5</v>
      </c>
      <c r="L769" s="6" t="s">
        <v>5</v>
      </c>
      <c r="M769" s="6" t="s">
        <v>5</v>
      </c>
      <c r="N769" s="6" t="s">
        <v>5</v>
      </c>
      <c r="O769" s="5" t="s">
        <v>5</v>
      </c>
      <c r="P769" s="5" t="s">
        <v>5</v>
      </c>
      <c r="Q769" s="7">
        <v>3</v>
      </c>
      <c r="R769" s="6" t="s">
        <v>5</v>
      </c>
      <c r="S769" s="6" t="s">
        <v>5</v>
      </c>
      <c r="T769" s="5" t="s">
        <v>5</v>
      </c>
      <c r="U769" s="8" t="s">
        <v>5</v>
      </c>
      <c r="V769" s="6" t="s">
        <v>5</v>
      </c>
      <c r="W769" s="8" t="s">
        <v>5</v>
      </c>
      <c r="X769" s="22">
        <v>0.25</v>
      </c>
      <c r="Y769" s="6" t="s">
        <v>5</v>
      </c>
      <c r="Z769" s="6" t="s">
        <v>5</v>
      </c>
      <c r="AA769" s="6" t="s">
        <v>5</v>
      </c>
      <c r="AB769" s="8" t="s">
        <v>5</v>
      </c>
      <c r="AC769" s="8" t="s">
        <v>5</v>
      </c>
      <c r="AD769" s="6" t="s">
        <v>5</v>
      </c>
      <c r="AE769" s="7">
        <v>1.64</v>
      </c>
      <c r="AF769" s="6" t="s">
        <v>5</v>
      </c>
      <c r="AG769" s="6" t="s">
        <v>5</v>
      </c>
      <c r="AH769" s="7">
        <v>1.1200000000000001</v>
      </c>
      <c r="AI769" s="6" t="s">
        <v>5</v>
      </c>
      <c r="AJ769" s="4">
        <v>20</v>
      </c>
      <c r="AK769" s="6" t="s">
        <v>5</v>
      </c>
      <c r="AL769" s="6" t="s">
        <v>5</v>
      </c>
      <c r="AM769" s="6" t="s">
        <v>5</v>
      </c>
      <c r="AN769" s="6" t="s">
        <v>5</v>
      </c>
      <c r="AO769" s="4">
        <v>10.199999999999999</v>
      </c>
      <c r="AP769" s="7">
        <v>5.36</v>
      </c>
      <c r="AQ769" s="7">
        <v>3.02</v>
      </c>
      <c r="AR769" s="7">
        <v>1.62</v>
      </c>
      <c r="AS769" s="6">
        <v>5.49</v>
      </c>
      <c r="AT769" s="6">
        <v>3.24</v>
      </c>
      <c r="AU769" s="6">
        <v>1.72</v>
      </c>
      <c r="AV769" s="7">
        <v>1.19</v>
      </c>
      <c r="AW769" s="6" t="s">
        <v>5</v>
      </c>
      <c r="AX769" s="6" t="s">
        <v>5</v>
      </c>
      <c r="AY769" s="6" t="s">
        <v>5</v>
      </c>
      <c r="AZ769" s="6" t="s">
        <v>5</v>
      </c>
      <c r="BA769" s="6" t="s">
        <v>5</v>
      </c>
      <c r="BB769" s="6" t="s">
        <v>5</v>
      </c>
      <c r="BC769" s="6" t="s">
        <v>5</v>
      </c>
      <c r="BD769" s="6" t="s">
        <v>5</v>
      </c>
      <c r="BE769" s="6" t="s">
        <v>5</v>
      </c>
      <c r="BF769" s="6" t="s">
        <v>5</v>
      </c>
      <c r="BG769" s="6" t="s">
        <v>5</v>
      </c>
      <c r="BH769" s="6" t="s">
        <v>5</v>
      </c>
      <c r="BI769" s="7">
        <v>2.52</v>
      </c>
      <c r="BJ769" s="22">
        <v>0.63800000000000001</v>
      </c>
      <c r="BK769" s="6" t="s">
        <v>5</v>
      </c>
      <c r="BL769" s="2" t="s">
        <v>5</v>
      </c>
      <c r="BM769" s="2" t="s">
        <v>5</v>
      </c>
      <c r="BN769" s="2" t="s">
        <v>5</v>
      </c>
      <c r="BO769" s="2" t="s">
        <v>5</v>
      </c>
      <c r="BP769" s="2" t="s">
        <v>5</v>
      </c>
      <c r="BQ769" s="2" t="s">
        <v>5</v>
      </c>
      <c r="BR769" s="2" t="s">
        <v>5</v>
      </c>
      <c r="BS769" s="2" t="s">
        <v>5</v>
      </c>
      <c r="BT769" s="2" t="s">
        <v>5</v>
      </c>
      <c r="BU769" s="2" t="s">
        <v>5</v>
      </c>
      <c r="BV769" s="2" t="s">
        <v>5</v>
      </c>
      <c r="BW769" s="2" t="s">
        <v>5</v>
      </c>
      <c r="BX769" s="2" t="s">
        <v>5</v>
      </c>
      <c r="BY769" s="25" t="s">
        <v>5</v>
      </c>
      <c r="BZ769" s="25" t="s">
        <v>5</v>
      </c>
      <c r="CA769" s="6" t="s">
        <v>5</v>
      </c>
      <c r="CB769" s="6" t="s">
        <v>5</v>
      </c>
      <c r="CC769" s="6" t="s">
        <v>5</v>
      </c>
      <c r="CD769" s="6" t="s">
        <v>5</v>
      </c>
      <c r="CE769" s="6" t="s">
        <v>5</v>
      </c>
      <c r="CF769" s="16" t="s">
        <v>5</v>
      </c>
      <c r="CG769" s="16" t="s">
        <v>5</v>
      </c>
      <c r="CH769" s="18" t="s">
        <v>5</v>
      </c>
    </row>
    <row r="770" spans="2:86">
      <c r="B770" s="78" t="s">
        <v>473</v>
      </c>
      <c r="C770" s="79" t="s">
        <v>870</v>
      </c>
      <c r="D770" s="80" t="s">
        <v>870</v>
      </c>
      <c r="E770" s="1" t="s">
        <v>4</v>
      </c>
      <c r="F770" s="4">
        <v>13.2</v>
      </c>
      <c r="G770" s="7">
        <v>3.88</v>
      </c>
      <c r="H770" s="3" t="str">
        <f t="shared" si="30"/>
        <v>2L5X3X1/4X3/4LLBB</v>
      </c>
      <c r="I770" s="7">
        <v>5</v>
      </c>
      <c r="J770" s="5" t="s">
        <v>5</v>
      </c>
      <c r="K770" s="6" t="s">
        <v>5</v>
      </c>
      <c r="L770" s="6" t="s">
        <v>5</v>
      </c>
      <c r="M770" s="6" t="s">
        <v>5</v>
      </c>
      <c r="N770" s="6" t="s">
        <v>5</v>
      </c>
      <c r="O770" s="5" t="s">
        <v>5</v>
      </c>
      <c r="P770" s="5" t="s">
        <v>5</v>
      </c>
      <c r="Q770" s="7">
        <v>3</v>
      </c>
      <c r="R770" s="6" t="s">
        <v>5</v>
      </c>
      <c r="S770" s="6" t="s">
        <v>5</v>
      </c>
      <c r="T770" s="5" t="s">
        <v>5</v>
      </c>
      <c r="U770" s="8" t="s">
        <v>5</v>
      </c>
      <c r="V770" s="6" t="s">
        <v>5</v>
      </c>
      <c r="W770" s="8" t="s">
        <v>5</v>
      </c>
      <c r="X770" s="22">
        <v>0.25</v>
      </c>
      <c r="Y770" s="6" t="s">
        <v>5</v>
      </c>
      <c r="Z770" s="6" t="s">
        <v>5</v>
      </c>
      <c r="AA770" s="6" t="s">
        <v>5</v>
      </c>
      <c r="AB770" s="8" t="s">
        <v>5</v>
      </c>
      <c r="AC770" s="8" t="s">
        <v>5</v>
      </c>
      <c r="AD770" s="6" t="s">
        <v>5</v>
      </c>
      <c r="AE770" s="7">
        <v>1.64</v>
      </c>
      <c r="AF770" s="6" t="s">
        <v>5</v>
      </c>
      <c r="AG770" s="6" t="s">
        <v>5</v>
      </c>
      <c r="AH770" s="7">
        <v>1.1200000000000001</v>
      </c>
      <c r="AI770" s="6" t="s">
        <v>5</v>
      </c>
      <c r="AJ770" s="4">
        <v>20</v>
      </c>
      <c r="AK770" s="6" t="s">
        <v>5</v>
      </c>
      <c r="AL770" s="6" t="s">
        <v>5</v>
      </c>
      <c r="AM770" s="6" t="s">
        <v>5</v>
      </c>
      <c r="AN770" s="6" t="s">
        <v>5</v>
      </c>
      <c r="AO770" s="4">
        <v>10.199999999999999</v>
      </c>
      <c r="AP770" s="7">
        <v>5.36</v>
      </c>
      <c r="AQ770" s="7">
        <v>3.02</v>
      </c>
      <c r="AR770" s="7">
        <v>1.62</v>
      </c>
      <c r="AS770" s="6">
        <v>6.86</v>
      </c>
      <c r="AT770" s="6">
        <v>3.97</v>
      </c>
      <c r="AU770" s="6">
        <v>2.0299999999999998</v>
      </c>
      <c r="AV770" s="7">
        <v>1.33</v>
      </c>
      <c r="AW770" s="6" t="s">
        <v>5</v>
      </c>
      <c r="AX770" s="6" t="s">
        <v>5</v>
      </c>
      <c r="AY770" s="6" t="s">
        <v>5</v>
      </c>
      <c r="AZ770" s="6" t="s">
        <v>5</v>
      </c>
      <c r="BA770" s="6" t="s">
        <v>5</v>
      </c>
      <c r="BB770" s="6" t="s">
        <v>5</v>
      </c>
      <c r="BC770" s="6" t="s">
        <v>5</v>
      </c>
      <c r="BD770" s="6" t="s">
        <v>5</v>
      </c>
      <c r="BE770" s="6" t="s">
        <v>5</v>
      </c>
      <c r="BF770" s="6" t="s">
        <v>5</v>
      </c>
      <c r="BG770" s="6" t="s">
        <v>5</v>
      </c>
      <c r="BH770" s="6" t="s">
        <v>5</v>
      </c>
      <c r="BI770" s="7">
        <v>2.59</v>
      </c>
      <c r="BJ770" s="22">
        <v>0.65700000000000003</v>
      </c>
      <c r="BK770" s="6" t="s">
        <v>5</v>
      </c>
      <c r="BL770" s="2" t="s">
        <v>5</v>
      </c>
      <c r="BM770" s="2" t="s">
        <v>5</v>
      </c>
      <c r="BN770" s="2" t="s">
        <v>5</v>
      </c>
      <c r="BO770" s="2" t="s">
        <v>5</v>
      </c>
      <c r="BP770" s="2" t="s">
        <v>5</v>
      </c>
      <c r="BQ770" s="2" t="s">
        <v>5</v>
      </c>
      <c r="BR770" s="2" t="s">
        <v>5</v>
      </c>
      <c r="BS770" s="2" t="s">
        <v>5</v>
      </c>
      <c r="BT770" s="2" t="s">
        <v>5</v>
      </c>
      <c r="BU770" s="2" t="s">
        <v>5</v>
      </c>
      <c r="BV770" s="2" t="s">
        <v>5</v>
      </c>
      <c r="BW770" s="2" t="s">
        <v>5</v>
      </c>
      <c r="BX770" s="2" t="s">
        <v>5</v>
      </c>
      <c r="BY770" s="25" t="s">
        <v>5</v>
      </c>
      <c r="BZ770" s="25" t="s">
        <v>5</v>
      </c>
      <c r="CA770" s="6" t="s">
        <v>5</v>
      </c>
      <c r="CB770" s="6" t="s">
        <v>5</v>
      </c>
      <c r="CC770" s="6" t="s">
        <v>5</v>
      </c>
      <c r="CD770" s="6" t="s">
        <v>5</v>
      </c>
      <c r="CE770" s="6" t="s">
        <v>5</v>
      </c>
      <c r="CF770" s="16" t="s">
        <v>5</v>
      </c>
      <c r="CG770" s="16" t="s">
        <v>5</v>
      </c>
      <c r="CH770" s="18" t="s">
        <v>5</v>
      </c>
    </row>
    <row r="771" spans="2:86">
      <c r="B771" s="78" t="s">
        <v>473</v>
      </c>
      <c r="C771" s="79" t="s">
        <v>871</v>
      </c>
      <c r="D771" s="80" t="s">
        <v>871</v>
      </c>
      <c r="E771" s="1" t="s">
        <v>4</v>
      </c>
      <c r="F771" s="4">
        <v>23.8</v>
      </c>
      <c r="G771" s="7">
        <v>7</v>
      </c>
      <c r="H771" s="3" t="str">
        <f t="shared" si="30"/>
        <v>2L4X3-1/2X1/2LLBB</v>
      </c>
      <c r="I771" s="7">
        <v>4</v>
      </c>
      <c r="J771" s="5" t="s">
        <v>5</v>
      </c>
      <c r="K771" s="6" t="s">
        <v>5</v>
      </c>
      <c r="L771" s="6" t="s">
        <v>5</v>
      </c>
      <c r="M771" s="6" t="s">
        <v>5</v>
      </c>
      <c r="N771" s="6" t="s">
        <v>5</v>
      </c>
      <c r="O771" s="5" t="s">
        <v>5</v>
      </c>
      <c r="P771" s="5" t="s">
        <v>5</v>
      </c>
      <c r="Q771" s="7">
        <v>3.5</v>
      </c>
      <c r="R771" s="6" t="s">
        <v>5</v>
      </c>
      <c r="S771" s="6" t="s">
        <v>5</v>
      </c>
      <c r="T771" s="5" t="s">
        <v>5</v>
      </c>
      <c r="U771" s="8" t="s">
        <v>5</v>
      </c>
      <c r="V771" s="6" t="s">
        <v>5</v>
      </c>
      <c r="W771" s="8" t="s">
        <v>5</v>
      </c>
      <c r="X771" s="22">
        <v>0.5</v>
      </c>
      <c r="Y771" s="6" t="s">
        <v>5</v>
      </c>
      <c r="Z771" s="6" t="s">
        <v>5</v>
      </c>
      <c r="AA771" s="6" t="s">
        <v>5</v>
      </c>
      <c r="AB771" s="8" t="s">
        <v>5</v>
      </c>
      <c r="AC771" s="8" t="s">
        <v>5</v>
      </c>
      <c r="AD771" s="6" t="s">
        <v>5</v>
      </c>
      <c r="AE771" s="7">
        <v>1.24</v>
      </c>
      <c r="AF771" s="6" t="s">
        <v>5</v>
      </c>
      <c r="AG771" s="6" t="s">
        <v>5</v>
      </c>
      <c r="AH771" s="22">
        <v>0.5</v>
      </c>
      <c r="AI771" s="6" t="s">
        <v>5</v>
      </c>
      <c r="AJ771" s="7">
        <v>8</v>
      </c>
      <c r="AK771" s="6" t="s">
        <v>5</v>
      </c>
      <c r="AL771" s="6" t="s">
        <v>5</v>
      </c>
      <c r="AM771" s="6" t="s">
        <v>5</v>
      </c>
      <c r="AN771" s="6" t="s">
        <v>5</v>
      </c>
      <c r="AO771" s="4">
        <v>10.6</v>
      </c>
      <c r="AP771" s="7">
        <v>6.92</v>
      </c>
      <c r="AQ771" s="7">
        <v>3.84</v>
      </c>
      <c r="AR771" s="7">
        <v>1.23</v>
      </c>
      <c r="AS771" s="6">
        <v>14.5</v>
      </c>
      <c r="AT771" s="6">
        <v>6.96</v>
      </c>
      <c r="AU771" s="6">
        <v>4.1399999999999997</v>
      </c>
      <c r="AV771" s="7">
        <v>1.44</v>
      </c>
      <c r="AW771" s="6" t="s">
        <v>5</v>
      </c>
      <c r="AX771" s="6" t="s">
        <v>5</v>
      </c>
      <c r="AY771" s="6" t="s">
        <v>5</v>
      </c>
      <c r="AZ771" s="6" t="s">
        <v>5</v>
      </c>
      <c r="BA771" s="6" t="s">
        <v>5</v>
      </c>
      <c r="BB771" s="6" t="s">
        <v>5</v>
      </c>
      <c r="BC771" s="6" t="s">
        <v>5</v>
      </c>
      <c r="BD771" s="6" t="s">
        <v>5</v>
      </c>
      <c r="BE771" s="6" t="s">
        <v>5</v>
      </c>
      <c r="BF771" s="6" t="s">
        <v>5</v>
      </c>
      <c r="BG771" s="6" t="s">
        <v>5</v>
      </c>
      <c r="BH771" s="6" t="s">
        <v>5</v>
      </c>
      <c r="BI771" s="7">
        <v>2.14</v>
      </c>
      <c r="BJ771" s="22">
        <v>0.78400000000000003</v>
      </c>
      <c r="BK771" s="6" t="s">
        <v>5</v>
      </c>
      <c r="BL771" s="2" t="s">
        <v>5</v>
      </c>
      <c r="BM771" s="2" t="s">
        <v>5</v>
      </c>
      <c r="BN771" s="2" t="s">
        <v>5</v>
      </c>
      <c r="BO771" s="2" t="s">
        <v>5</v>
      </c>
      <c r="BP771" s="2" t="s">
        <v>5</v>
      </c>
      <c r="BQ771" s="2" t="s">
        <v>5</v>
      </c>
      <c r="BR771" s="2" t="s">
        <v>5</v>
      </c>
      <c r="BS771" s="2" t="s">
        <v>5</v>
      </c>
      <c r="BT771" s="2" t="s">
        <v>5</v>
      </c>
      <c r="BU771" s="2" t="s">
        <v>5</v>
      </c>
      <c r="BV771" s="2" t="s">
        <v>5</v>
      </c>
      <c r="BW771" s="2" t="s">
        <v>5</v>
      </c>
      <c r="BX771" s="2" t="s">
        <v>5</v>
      </c>
      <c r="BY771" s="25" t="s">
        <v>5</v>
      </c>
      <c r="BZ771" s="25" t="s">
        <v>5</v>
      </c>
      <c r="CA771" s="6" t="s">
        <v>5</v>
      </c>
      <c r="CB771" s="6" t="s">
        <v>5</v>
      </c>
      <c r="CC771" s="6" t="s">
        <v>5</v>
      </c>
      <c r="CD771" s="6" t="s">
        <v>5</v>
      </c>
      <c r="CE771" s="6" t="s">
        <v>5</v>
      </c>
      <c r="CF771" s="16" t="s">
        <v>5</v>
      </c>
      <c r="CG771" s="16" t="s">
        <v>5</v>
      </c>
      <c r="CH771" s="18" t="s">
        <v>5</v>
      </c>
    </row>
    <row r="772" spans="2:86">
      <c r="B772" s="78" t="s">
        <v>473</v>
      </c>
      <c r="C772" s="79" t="s">
        <v>872</v>
      </c>
      <c r="D772" s="80" t="s">
        <v>872</v>
      </c>
      <c r="E772" s="1" t="s">
        <v>4</v>
      </c>
      <c r="F772" s="4">
        <v>23.8</v>
      </c>
      <c r="G772" s="7">
        <v>7</v>
      </c>
      <c r="H772" s="3" t="str">
        <f t="shared" ref="H772:H835" si="31">D772</f>
        <v>2L4X3-1/2X1/2X3/8LLBB</v>
      </c>
      <c r="I772" s="7">
        <v>4</v>
      </c>
      <c r="J772" s="5" t="s">
        <v>5</v>
      </c>
      <c r="K772" s="6" t="s">
        <v>5</v>
      </c>
      <c r="L772" s="6" t="s">
        <v>5</v>
      </c>
      <c r="M772" s="6" t="s">
        <v>5</v>
      </c>
      <c r="N772" s="6" t="s">
        <v>5</v>
      </c>
      <c r="O772" s="5" t="s">
        <v>5</v>
      </c>
      <c r="P772" s="5" t="s">
        <v>5</v>
      </c>
      <c r="Q772" s="7">
        <v>3.5</v>
      </c>
      <c r="R772" s="6" t="s">
        <v>5</v>
      </c>
      <c r="S772" s="6" t="s">
        <v>5</v>
      </c>
      <c r="T772" s="5" t="s">
        <v>5</v>
      </c>
      <c r="U772" s="8" t="s">
        <v>5</v>
      </c>
      <c r="V772" s="6" t="s">
        <v>5</v>
      </c>
      <c r="W772" s="8" t="s">
        <v>5</v>
      </c>
      <c r="X772" s="22">
        <v>0.5</v>
      </c>
      <c r="Y772" s="6" t="s">
        <v>5</v>
      </c>
      <c r="Z772" s="6" t="s">
        <v>5</v>
      </c>
      <c r="AA772" s="6" t="s">
        <v>5</v>
      </c>
      <c r="AB772" s="8" t="s">
        <v>5</v>
      </c>
      <c r="AC772" s="8" t="s">
        <v>5</v>
      </c>
      <c r="AD772" s="6" t="s">
        <v>5</v>
      </c>
      <c r="AE772" s="7">
        <v>1.24</v>
      </c>
      <c r="AF772" s="6" t="s">
        <v>5</v>
      </c>
      <c r="AG772" s="6" t="s">
        <v>5</v>
      </c>
      <c r="AH772" s="22">
        <v>0.5</v>
      </c>
      <c r="AI772" s="6" t="s">
        <v>5</v>
      </c>
      <c r="AJ772" s="7">
        <v>8</v>
      </c>
      <c r="AK772" s="6" t="s">
        <v>5</v>
      </c>
      <c r="AL772" s="6" t="s">
        <v>5</v>
      </c>
      <c r="AM772" s="6" t="s">
        <v>5</v>
      </c>
      <c r="AN772" s="6" t="s">
        <v>5</v>
      </c>
      <c r="AO772" s="4">
        <v>10.6</v>
      </c>
      <c r="AP772" s="7">
        <v>6.92</v>
      </c>
      <c r="AQ772" s="7">
        <v>3.84</v>
      </c>
      <c r="AR772" s="7">
        <v>1.23</v>
      </c>
      <c r="AS772" s="6">
        <v>17.3</v>
      </c>
      <c r="AT772" s="6">
        <v>8.27</v>
      </c>
      <c r="AU772" s="6">
        <v>4.6900000000000004</v>
      </c>
      <c r="AV772" s="7">
        <v>1.57</v>
      </c>
      <c r="AW772" s="6" t="s">
        <v>5</v>
      </c>
      <c r="AX772" s="6" t="s">
        <v>5</v>
      </c>
      <c r="AY772" s="6" t="s">
        <v>5</v>
      </c>
      <c r="AZ772" s="6" t="s">
        <v>5</v>
      </c>
      <c r="BA772" s="6" t="s">
        <v>5</v>
      </c>
      <c r="BB772" s="6" t="s">
        <v>5</v>
      </c>
      <c r="BC772" s="6" t="s">
        <v>5</v>
      </c>
      <c r="BD772" s="6" t="s">
        <v>5</v>
      </c>
      <c r="BE772" s="6" t="s">
        <v>5</v>
      </c>
      <c r="BF772" s="6" t="s">
        <v>5</v>
      </c>
      <c r="BG772" s="6" t="s">
        <v>5</v>
      </c>
      <c r="BH772" s="6" t="s">
        <v>5</v>
      </c>
      <c r="BI772" s="7">
        <v>2.23</v>
      </c>
      <c r="BJ772" s="22">
        <v>0.80200000000000005</v>
      </c>
      <c r="BK772" s="6" t="s">
        <v>5</v>
      </c>
      <c r="BL772" s="2" t="s">
        <v>5</v>
      </c>
      <c r="BM772" s="2" t="s">
        <v>5</v>
      </c>
      <c r="BN772" s="2" t="s">
        <v>5</v>
      </c>
      <c r="BO772" s="2" t="s">
        <v>5</v>
      </c>
      <c r="BP772" s="2" t="s">
        <v>5</v>
      </c>
      <c r="BQ772" s="2" t="s">
        <v>5</v>
      </c>
      <c r="BR772" s="2" t="s">
        <v>5</v>
      </c>
      <c r="BS772" s="2" t="s">
        <v>5</v>
      </c>
      <c r="BT772" s="2" t="s">
        <v>5</v>
      </c>
      <c r="BU772" s="2" t="s">
        <v>5</v>
      </c>
      <c r="BV772" s="2" t="s">
        <v>5</v>
      </c>
      <c r="BW772" s="2" t="s">
        <v>5</v>
      </c>
      <c r="BX772" s="2" t="s">
        <v>5</v>
      </c>
      <c r="BY772" s="25" t="s">
        <v>5</v>
      </c>
      <c r="BZ772" s="25" t="s">
        <v>5</v>
      </c>
      <c r="CA772" s="6" t="s">
        <v>5</v>
      </c>
      <c r="CB772" s="6" t="s">
        <v>5</v>
      </c>
      <c r="CC772" s="6" t="s">
        <v>5</v>
      </c>
      <c r="CD772" s="6" t="s">
        <v>5</v>
      </c>
      <c r="CE772" s="6" t="s">
        <v>5</v>
      </c>
      <c r="CF772" s="16" t="s">
        <v>5</v>
      </c>
      <c r="CG772" s="16" t="s">
        <v>5</v>
      </c>
      <c r="CH772" s="18" t="s">
        <v>5</v>
      </c>
    </row>
    <row r="773" spans="2:86">
      <c r="B773" s="78" t="s">
        <v>473</v>
      </c>
      <c r="C773" s="79" t="s">
        <v>873</v>
      </c>
      <c r="D773" s="80" t="s">
        <v>873</v>
      </c>
      <c r="E773" s="1" t="s">
        <v>4</v>
      </c>
      <c r="F773" s="4">
        <v>23.8</v>
      </c>
      <c r="G773" s="7">
        <v>7</v>
      </c>
      <c r="H773" s="3" t="str">
        <f t="shared" si="31"/>
        <v>2L4X3-1/2X1/2X3/4LLBB</v>
      </c>
      <c r="I773" s="7">
        <v>4</v>
      </c>
      <c r="J773" s="5" t="s">
        <v>5</v>
      </c>
      <c r="K773" s="6" t="s">
        <v>5</v>
      </c>
      <c r="L773" s="6" t="s">
        <v>5</v>
      </c>
      <c r="M773" s="6" t="s">
        <v>5</v>
      </c>
      <c r="N773" s="6" t="s">
        <v>5</v>
      </c>
      <c r="O773" s="5" t="s">
        <v>5</v>
      </c>
      <c r="P773" s="5" t="s">
        <v>5</v>
      </c>
      <c r="Q773" s="7">
        <v>3.5</v>
      </c>
      <c r="R773" s="6" t="s">
        <v>5</v>
      </c>
      <c r="S773" s="6" t="s">
        <v>5</v>
      </c>
      <c r="T773" s="5" t="s">
        <v>5</v>
      </c>
      <c r="U773" s="8" t="s">
        <v>5</v>
      </c>
      <c r="V773" s="6" t="s">
        <v>5</v>
      </c>
      <c r="W773" s="8" t="s">
        <v>5</v>
      </c>
      <c r="X773" s="22">
        <v>0.5</v>
      </c>
      <c r="Y773" s="6" t="s">
        <v>5</v>
      </c>
      <c r="Z773" s="6" t="s">
        <v>5</v>
      </c>
      <c r="AA773" s="6" t="s">
        <v>5</v>
      </c>
      <c r="AB773" s="8" t="s">
        <v>5</v>
      </c>
      <c r="AC773" s="8" t="s">
        <v>5</v>
      </c>
      <c r="AD773" s="6" t="s">
        <v>5</v>
      </c>
      <c r="AE773" s="7">
        <v>1.24</v>
      </c>
      <c r="AF773" s="6" t="s">
        <v>5</v>
      </c>
      <c r="AG773" s="6" t="s">
        <v>5</v>
      </c>
      <c r="AH773" s="22">
        <v>0.5</v>
      </c>
      <c r="AI773" s="6" t="s">
        <v>5</v>
      </c>
      <c r="AJ773" s="7">
        <v>8</v>
      </c>
      <c r="AK773" s="6" t="s">
        <v>5</v>
      </c>
      <c r="AL773" s="6" t="s">
        <v>5</v>
      </c>
      <c r="AM773" s="6" t="s">
        <v>5</v>
      </c>
      <c r="AN773" s="6" t="s">
        <v>5</v>
      </c>
      <c r="AO773" s="4">
        <v>10.6</v>
      </c>
      <c r="AP773" s="7">
        <v>6.92</v>
      </c>
      <c r="AQ773" s="7">
        <v>3.84</v>
      </c>
      <c r="AR773" s="7">
        <v>1.23</v>
      </c>
      <c r="AS773" s="6">
        <v>20.7</v>
      </c>
      <c r="AT773" s="6">
        <v>9.58</v>
      </c>
      <c r="AU773" s="6">
        <v>5.34</v>
      </c>
      <c r="AV773" s="7">
        <v>1.72</v>
      </c>
      <c r="AW773" s="6" t="s">
        <v>5</v>
      </c>
      <c r="AX773" s="6" t="s">
        <v>5</v>
      </c>
      <c r="AY773" s="6" t="s">
        <v>5</v>
      </c>
      <c r="AZ773" s="6" t="s">
        <v>5</v>
      </c>
      <c r="BA773" s="6" t="s">
        <v>5</v>
      </c>
      <c r="BB773" s="6" t="s">
        <v>5</v>
      </c>
      <c r="BC773" s="6" t="s">
        <v>5</v>
      </c>
      <c r="BD773" s="6" t="s">
        <v>5</v>
      </c>
      <c r="BE773" s="6" t="s">
        <v>5</v>
      </c>
      <c r="BF773" s="6" t="s">
        <v>5</v>
      </c>
      <c r="BG773" s="6" t="s">
        <v>5</v>
      </c>
      <c r="BH773" s="6" t="s">
        <v>5</v>
      </c>
      <c r="BI773" s="7">
        <v>2.33</v>
      </c>
      <c r="BJ773" s="22">
        <v>0.81899999999999995</v>
      </c>
      <c r="BK773" s="6" t="s">
        <v>5</v>
      </c>
      <c r="BL773" s="2" t="s">
        <v>5</v>
      </c>
      <c r="BM773" s="2" t="s">
        <v>5</v>
      </c>
      <c r="BN773" s="2" t="s">
        <v>5</v>
      </c>
      <c r="BO773" s="2" t="s">
        <v>5</v>
      </c>
      <c r="BP773" s="2" t="s">
        <v>5</v>
      </c>
      <c r="BQ773" s="2" t="s">
        <v>5</v>
      </c>
      <c r="BR773" s="2" t="s">
        <v>5</v>
      </c>
      <c r="BS773" s="2" t="s">
        <v>5</v>
      </c>
      <c r="BT773" s="2" t="s">
        <v>5</v>
      </c>
      <c r="BU773" s="2" t="s">
        <v>5</v>
      </c>
      <c r="BV773" s="2" t="s">
        <v>5</v>
      </c>
      <c r="BW773" s="2" t="s">
        <v>5</v>
      </c>
      <c r="BX773" s="2" t="s">
        <v>5</v>
      </c>
      <c r="BY773" s="25" t="s">
        <v>5</v>
      </c>
      <c r="BZ773" s="25" t="s">
        <v>5</v>
      </c>
      <c r="CA773" s="6" t="s">
        <v>5</v>
      </c>
      <c r="CB773" s="6" t="s">
        <v>5</v>
      </c>
      <c r="CC773" s="6" t="s">
        <v>5</v>
      </c>
      <c r="CD773" s="6" t="s">
        <v>5</v>
      </c>
      <c r="CE773" s="6" t="s">
        <v>5</v>
      </c>
      <c r="CF773" s="16" t="s">
        <v>5</v>
      </c>
      <c r="CG773" s="16" t="s">
        <v>5</v>
      </c>
      <c r="CH773" s="18" t="s">
        <v>5</v>
      </c>
    </row>
    <row r="774" spans="2:86">
      <c r="B774" s="78" t="s">
        <v>473</v>
      </c>
      <c r="C774" s="79" t="s">
        <v>874</v>
      </c>
      <c r="D774" s="80" t="s">
        <v>874</v>
      </c>
      <c r="E774" s="1" t="s">
        <v>4</v>
      </c>
      <c r="F774" s="4">
        <v>18.2</v>
      </c>
      <c r="G774" s="7">
        <v>5.36</v>
      </c>
      <c r="H774" s="3" t="str">
        <f t="shared" si="31"/>
        <v>2L4X3-1/2X3/8LLBB</v>
      </c>
      <c r="I774" s="7">
        <v>4</v>
      </c>
      <c r="J774" s="5" t="s">
        <v>5</v>
      </c>
      <c r="K774" s="6" t="s">
        <v>5</v>
      </c>
      <c r="L774" s="6" t="s">
        <v>5</v>
      </c>
      <c r="M774" s="6" t="s">
        <v>5</v>
      </c>
      <c r="N774" s="6" t="s">
        <v>5</v>
      </c>
      <c r="O774" s="5" t="s">
        <v>5</v>
      </c>
      <c r="P774" s="5" t="s">
        <v>5</v>
      </c>
      <c r="Q774" s="7">
        <v>3.5</v>
      </c>
      <c r="R774" s="6" t="s">
        <v>5</v>
      </c>
      <c r="S774" s="6" t="s">
        <v>5</v>
      </c>
      <c r="T774" s="5" t="s">
        <v>5</v>
      </c>
      <c r="U774" s="8" t="s">
        <v>5</v>
      </c>
      <c r="V774" s="6" t="s">
        <v>5</v>
      </c>
      <c r="W774" s="8" t="s">
        <v>5</v>
      </c>
      <c r="X774" s="22">
        <v>0.375</v>
      </c>
      <c r="Y774" s="6" t="s">
        <v>5</v>
      </c>
      <c r="Z774" s="6" t="s">
        <v>5</v>
      </c>
      <c r="AA774" s="6" t="s">
        <v>5</v>
      </c>
      <c r="AB774" s="8" t="s">
        <v>5</v>
      </c>
      <c r="AC774" s="8" t="s">
        <v>5</v>
      </c>
      <c r="AD774" s="6" t="s">
        <v>5</v>
      </c>
      <c r="AE774" s="7">
        <v>1.2</v>
      </c>
      <c r="AF774" s="6" t="s">
        <v>5</v>
      </c>
      <c r="AG774" s="6" t="s">
        <v>5</v>
      </c>
      <c r="AH774" s="22">
        <v>0.42699999999999999</v>
      </c>
      <c r="AI774" s="6" t="s">
        <v>5</v>
      </c>
      <c r="AJ774" s="4">
        <v>10.7</v>
      </c>
      <c r="AK774" s="6" t="s">
        <v>5</v>
      </c>
      <c r="AL774" s="6" t="s">
        <v>5</v>
      </c>
      <c r="AM774" s="6" t="s">
        <v>5</v>
      </c>
      <c r="AN774" s="6" t="s">
        <v>5</v>
      </c>
      <c r="AO774" s="7">
        <v>8.3000000000000007</v>
      </c>
      <c r="AP774" s="7">
        <v>5.32</v>
      </c>
      <c r="AQ774" s="7">
        <v>2.96</v>
      </c>
      <c r="AR774" s="7">
        <v>1.25</v>
      </c>
      <c r="AS774" s="6">
        <v>10.8</v>
      </c>
      <c r="AT774" s="6">
        <v>5.08</v>
      </c>
      <c r="AU774" s="6">
        <v>3.09</v>
      </c>
      <c r="AV774" s="7">
        <v>1.42</v>
      </c>
      <c r="AW774" s="6" t="s">
        <v>5</v>
      </c>
      <c r="AX774" s="6" t="s">
        <v>5</v>
      </c>
      <c r="AY774" s="6" t="s">
        <v>5</v>
      </c>
      <c r="AZ774" s="6" t="s">
        <v>5</v>
      </c>
      <c r="BA774" s="6" t="s">
        <v>5</v>
      </c>
      <c r="BB774" s="6" t="s">
        <v>5</v>
      </c>
      <c r="BC774" s="6" t="s">
        <v>5</v>
      </c>
      <c r="BD774" s="6" t="s">
        <v>5</v>
      </c>
      <c r="BE774" s="6" t="s">
        <v>5</v>
      </c>
      <c r="BF774" s="6" t="s">
        <v>5</v>
      </c>
      <c r="BG774" s="6" t="s">
        <v>5</v>
      </c>
      <c r="BH774" s="6" t="s">
        <v>5</v>
      </c>
      <c r="BI774" s="7">
        <v>2.14</v>
      </c>
      <c r="BJ774" s="22">
        <v>0.77800000000000002</v>
      </c>
      <c r="BK774" s="6" t="s">
        <v>5</v>
      </c>
      <c r="BL774" s="2" t="s">
        <v>5</v>
      </c>
      <c r="BM774" s="2" t="s">
        <v>5</v>
      </c>
      <c r="BN774" s="2" t="s">
        <v>5</v>
      </c>
      <c r="BO774" s="2" t="s">
        <v>5</v>
      </c>
      <c r="BP774" s="2" t="s">
        <v>5</v>
      </c>
      <c r="BQ774" s="2" t="s">
        <v>5</v>
      </c>
      <c r="BR774" s="2" t="s">
        <v>5</v>
      </c>
      <c r="BS774" s="2" t="s">
        <v>5</v>
      </c>
      <c r="BT774" s="2" t="s">
        <v>5</v>
      </c>
      <c r="BU774" s="2" t="s">
        <v>5</v>
      </c>
      <c r="BV774" s="2" t="s">
        <v>5</v>
      </c>
      <c r="BW774" s="2" t="s">
        <v>5</v>
      </c>
      <c r="BX774" s="2" t="s">
        <v>5</v>
      </c>
      <c r="BY774" s="25" t="s">
        <v>5</v>
      </c>
      <c r="BZ774" s="25" t="s">
        <v>5</v>
      </c>
      <c r="CA774" s="6" t="s">
        <v>5</v>
      </c>
      <c r="CB774" s="6" t="s">
        <v>5</v>
      </c>
      <c r="CC774" s="6" t="s">
        <v>5</v>
      </c>
      <c r="CD774" s="6" t="s">
        <v>5</v>
      </c>
      <c r="CE774" s="6" t="s">
        <v>5</v>
      </c>
      <c r="CF774" s="16" t="s">
        <v>5</v>
      </c>
      <c r="CG774" s="16" t="s">
        <v>5</v>
      </c>
      <c r="CH774" s="18" t="s">
        <v>5</v>
      </c>
    </row>
    <row r="775" spans="2:86">
      <c r="B775" s="78" t="s">
        <v>473</v>
      </c>
      <c r="C775" s="79" t="s">
        <v>875</v>
      </c>
      <c r="D775" s="80" t="s">
        <v>875</v>
      </c>
      <c r="E775" s="1" t="s">
        <v>4</v>
      </c>
      <c r="F775" s="4">
        <v>18.2</v>
      </c>
      <c r="G775" s="7">
        <v>5.36</v>
      </c>
      <c r="H775" s="3" t="str">
        <f t="shared" si="31"/>
        <v>2L4X3-1/2X3/8X3/8LLBB</v>
      </c>
      <c r="I775" s="7">
        <v>4</v>
      </c>
      <c r="J775" s="5" t="s">
        <v>5</v>
      </c>
      <c r="K775" s="6" t="s">
        <v>5</v>
      </c>
      <c r="L775" s="6" t="s">
        <v>5</v>
      </c>
      <c r="M775" s="6" t="s">
        <v>5</v>
      </c>
      <c r="N775" s="6" t="s">
        <v>5</v>
      </c>
      <c r="O775" s="5" t="s">
        <v>5</v>
      </c>
      <c r="P775" s="5" t="s">
        <v>5</v>
      </c>
      <c r="Q775" s="7">
        <v>3.5</v>
      </c>
      <c r="R775" s="6" t="s">
        <v>5</v>
      </c>
      <c r="S775" s="6" t="s">
        <v>5</v>
      </c>
      <c r="T775" s="5" t="s">
        <v>5</v>
      </c>
      <c r="U775" s="8" t="s">
        <v>5</v>
      </c>
      <c r="V775" s="6" t="s">
        <v>5</v>
      </c>
      <c r="W775" s="8" t="s">
        <v>5</v>
      </c>
      <c r="X775" s="22">
        <v>0.375</v>
      </c>
      <c r="Y775" s="6" t="s">
        <v>5</v>
      </c>
      <c r="Z775" s="6" t="s">
        <v>5</v>
      </c>
      <c r="AA775" s="6" t="s">
        <v>5</v>
      </c>
      <c r="AB775" s="8" t="s">
        <v>5</v>
      </c>
      <c r="AC775" s="8" t="s">
        <v>5</v>
      </c>
      <c r="AD775" s="6" t="s">
        <v>5</v>
      </c>
      <c r="AE775" s="7">
        <v>1.2</v>
      </c>
      <c r="AF775" s="6" t="s">
        <v>5</v>
      </c>
      <c r="AG775" s="6" t="s">
        <v>5</v>
      </c>
      <c r="AH775" s="22">
        <v>0.42699999999999999</v>
      </c>
      <c r="AI775" s="6" t="s">
        <v>5</v>
      </c>
      <c r="AJ775" s="4">
        <v>10.7</v>
      </c>
      <c r="AK775" s="6" t="s">
        <v>5</v>
      </c>
      <c r="AL775" s="6" t="s">
        <v>5</v>
      </c>
      <c r="AM775" s="6" t="s">
        <v>5</v>
      </c>
      <c r="AN775" s="6" t="s">
        <v>5</v>
      </c>
      <c r="AO775" s="7">
        <v>8.3000000000000007</v>
      </c>
      <c r="AP775" s="7">
        <v>5.32</v>
      </c>
      <c r="AQ775" s="7">
        <v>2.96</v>
      </c>
      <c r="AR775" s="7">
        <v>1.25</v>
      </c>
      <c r="AS775" s="6">
        <v>12.9</v>
      </c>
      <c r="AT775" s="6">
        <v>6.08</v>
      </c>
      <c r="AU775" s="7">
        <v>3.5</v>
      </c>
      <c r="AV775" s="7">
        <v>1.55</v>
      </c>
      <c r="AW775" s="6" t="s">
        <v>5</v>
      </c>
      <c r="AX775" s="6" t="s">
        <v>5</v>
      </c>
      <c r="AY775" s="6" t="s">
        <v>5</v>
      </c>
      <c r="AZ775" s="6" t="s">
        <v>5</v>
      </c>
      <c r="BA775" s="6" t="s">
        <v>5</v>
      </c>
      <c r="BB775" s="6" t="s">
        <v>5</v>
      </c>
      <c r="BC775" s="6" t="s">
        <v>5</v>
      </c>
      <c r="BD775" s="6" t="s">
        <v>5</v>
      </c>
      <c r="BE775" s="6" t="s">
        <v>5</v>
      </c>
      <c r="BF775" s="6" t="s">
        <v>5</v>
      </c>
      <c r="BG775" s="6" t="s">
        <v>5</v>
      </c>
      <c r="BH775" s="6" t="s">
        <v>5</v>
      </c>
      <c r="BI775" s="7">
        <v>2.23</v>
      </c>
      <c r="BJ775" s="22">
        <v>0.79500000000000004</v>
      </c>
      <c r="BK775" s="6" t="s">
        <v>5</v>
      </c>
      <c r="BL775" s="2" t="s">
        <v>5</v>
      </c>
      <c r="BM775" s="2" t="s">
        <v>5</v>
      </c>
      <c r="BN775" s="2" t="s">
        <v>5</v>
      </c>
      <c r="BO775" s="2" t="s">
        <v>5</v>
      </c>
      <c r="BP775" s="2" t="s">
        <v>5</v>
      </c>
      <c r="BQ775" s="2" t="s">
        <v>5</v>
      </c>
      <c r="BR775" s="2" t="s">
        <v>5</v>
      </c>
      <c r="BS775" s="2" t="s">
        <v>5</v>
      </c>
      <c r="BT775" s="2" t="s">
        <v>5</v>
      </c>
      <c r="BU775" s="2" t="s">
        <v>5</v>
      </c>
      <c r="BV775" s="2" t="s">
        <v>5</v>
      </c>
      <c r="BW775" s="2" t="s">
        <v>5</v>
      </c>
      <c r="BX775" s="2" t="s">
        <v>5</v>
      </c>
      <c r="BY775" s="25" t="s">
        <v>5</v>
      </c>
      <c r="BZ775" s="25" t="s">
        <v>5</v>
      </c>
      <c r="CA775" s="6" t="s">
        <v>5</v>
      </c>
      <c r="CB775" s="6" t="s">
        <v>5</v>
      </c>
      <c r="CC775" s="6" t="s">
        <v>5</v>
      </c>
      <c r="CD775" s="6" t="s">
        <v>5</v>
      </c>
      <c r="CE775" s="6" t="s">
        <v>5</v>
      </c>
      <c r="CF775" s="16" t="s">
        <v>5</v>
      </c>
      <c r="CG775" s="16" t="s">
        <v>5</v>
      </c>
      <c r="CH775" s="18" t="s">
        <v>5</v>
      </c>
    </row>
    <row r="776" spans="2:86">
      <c r="B776" s="78" t="s">
        <v>473</v>
      </c>
      <c r="C776" s="79" t="s">
        <v>876</v>
      </c>
      <c r="D776" s="80" t="s">
        <v>876</v>
      </c>
      <c r="E776" s="1" t="s">
        <v>4</v>
      </c>
      <c r="F776" s="4">
        <v>18.2</v>
      </c>
      <c r="G776" s="7">
        <v>5.36</v>
      </c>
      <c r="H776" s="3" t="str">
        <f t="shared" si="31"/>
        <v>2L4X3-1/2X3/8X3/4LLBB</v>
      </c>
      <c r="I776" s="7">
        <v>4</v>
      </c>
      <c r="J776" s="5" t="s">
        <v>5</v>
      </c>
      <c r="K776" s="6" t="s">
        <v>5</v>
      </c>
      <c r="L776" s="6" t="s">
        <v>5</v>
      </c>
      <c r="M776" s="6" t="s">
        <v>5</v>
      </c>
      <c r="N776" s="6" t="s">
        <v>5</v>
      </c>
      <c r="O776" s="5" t="s">
        <v>5</v>
      </c>
      <c r="P776" s="5" t="s">
        <v>5</v>
      </c>
      <c r="Q776" s="7">
        <v>3.5</v>
      </c>
      <c r="R776" s="6" t="s">
        <v>5</v>
      </c>
      <c r="S776" s="6" t="s">
        <v>5</v>
      </c>
      <c r="T776" s="5" t="s">
        <v>5</v>
      </c>
      <c r="U776" s="8" t="s">
        <v>5</v>
      </c>
      <c r="V776" s="6" t="s">
        <v>5</v>
      </c>
      <c r="W776" s="8" t="s">
        <v>5</v>
      </c>
      <c r="X776" s="22">
        <v>0.375</v>
      </c>
      <c r="Y776" s="6" t="s">
        <v>5</v>
      </c>
      <c r="Z776" s="6" t="s">
        <v>5</v>
      </c>
      <c r="AA776" s="6" t="s">
        <v>5</v>
      </c>
      <c r="AB776" s="8" t="s">
        <v>5</v>
      </c>
      <c r="AC776" s="8" t="s">
        <v>5</v>
      </c>
      <c r="AD776" s="6" t="s">
        <v>5</v>
      </c>
      <c r="AE776" s="7">
        <v>1.2</v>
      </c>
      <c r="AF776" s="6" t="s">
        <v>5</v>
      </c>
      <c r="AG776" s="6" t="s">
        <v>5</v>
      </c>
      <c r="AH776" s="22">
        <v>0.42699999999999999</v>
      </c>
      <c r="AI776" s="6" t="s">
        <v>5</v>
      </c>
      <c r="AJ776" s="4">
        <v>10.7</v>
      </c>
      <c r="AK776" s="6" t="s">
        <v>5</v>
      </c>
      <c r="AL776" s="6" t="s">
        <v>5</v>
      </c>
      <c r="AM776" s="6" t="s">
        <v>5</v>
      </c>
      <c r="AN776" s="6" t="s">
        <v>5</v>
      </c>
      <c r="AO776" s="7">
        <v>8.3000000000000007</v>
      </c>
      <c r="AP776" s="7">
        <v>5.32</v>
      </c>
      <c r="AQ776" s="7">
        <v>2.96</v>
      </c>
      <c r="AR776" s="7">
        <v>1.25</v>
      </c>
      <c r="AS776" s="6">
        <v>15.3</v>
      </c>
      <c r="AT776" s="6">
        <v>7.09</v>
      </c>
      <c r="AU776" s="6">
        <v>3.95</v>
      </c>
      <c r="AV776" s="7">
        <v>1.69</v>
      </c>
      <c r="AW776" s="6" t="s">
        <v>5</v>
      </c>
      <c r="AX776" s="6" t="s">
        <v>5</v>
      </c>
      <c r="AY776" s="6" t="s">
        <v>5</v>
      </c>
      <c r="AZ776" s="6" t="s">
        <v>5</v>
      </c>
      <c r="BA776" s="6" t="s">
        <v>5</v>
      </c>
      <c r="BB776" s="6" t="s">
        <v>5</v>
      </c>
      <c r="BC776" s="6" t="s">
        <v>5</v>
      </c>
      <c r="BD776" s="6" t="s">
        <v>5</v>
      </c>
      <c r="BE776" s="6" t="s">
        <v>5</v>
      </c>
      <c r="BF776" s="6" t="s">
        <v>5</v>
      </c>
      <c r="BG776" s="6" t="s">
        <v>5</v>
      </c>
      <c r="BH776" s="6" t="s">
        <v>5</v>
      </c>
      <c r="BI776" s="7">
        <v>2.33</v>
      </c>
      <c r="BJ776" s="22">
        <v>0.81299999999999994</v>
      </c>
      <c r="BK776" s="6" t="s">
        <v>5</v>
      </c>
      <c r="BL776" s="2" t="s">
        <v>5</v>
      </c>
      <c r="BM776" s="2" t="s">
        <v>5</v>
      </c>
      <c r="BN776" s="2" t="s">
        <v>5</v>
      </c>
      <c r="BO776" s="2" t="s">
        <v>5</v>
      </c>
      <c r="BP776" s="2" t="s">
        <v>5</v>
      </c>
      <c r="BQ776" s="2" t="s">
        <v>5</v>
      </c>
      <c r="BR776" s="2" t="s">
        <v>5</v>
      </c>
      <c r="BS776" s="2" t="s">
        <v>5</v>
      </c>
      <c r="BT776" s="2" t="s">
        <v>5</v>
      </c>
      <c r="BU776" s="2" t="s">
        <v>5</v>
      </c>
      <c r="BV776" s="2" t="s">
        <v>5</v>
      </c>
      <c r="BW776" s="2" t="s">
        <v>5</v>
      </c>
      <c r="BX776" s="2" t="s">
        <v>5</v>
      </c>
      <c r="BY776" s="25" t="s">
        <v>5</v>
      </c>
      <c r="BZ776" s="25" t="s">
        <v>5</v>
      </c>
      <c r="CA776" s="6" t="s">
        <v>5</v>
      </c>
      <c r="CB776" s="6" t="s">
        <v>5</v>
      </c>
      <c r="CC776" s="6" t="s">
        <v>5</v>
      </c>
      <c r="CD776" s="6" t="s">
        <v>5</v>
      </c>
      <c r="CE776" s="6" t="s">
        <v>5</v>
      </c>
      <c r="CF776" s="16" t="s">
        <v>5</v>
      </c>
      <c r="CG776" s="16" t="s">
        <v>5</v>
      </c>
      <c r="CH776" s="18" t="s">
        <v>5</v>
      </c>
    </row>
    <row r="777" spans="2:86">
      <c r="B777" s="78" t="s">
        <v>473</v>
      </c>
      <c r="C777" s="79" t="s">
        <v>877</v>
      </c>
      <c r="D777" s="80" t="s">
        <v>877</v>
      </c>
      <c r="E777" s="1" t="s">
        <v>4</v>
      </c>
      <c r="F777" s="4">
        <v>15.4</v>
      </c>
      <c r="G777" s="7">
        <v>4.5</v>
      </c>
      <c r="H777" s="3" t="str">
        <f t="shared" si="31"/>
        <v>2L4X3-1/2X5/16LLBB</v>
      </c>
      <c r="I777" s="7">
        <v>4</v>
      </c>
      <c r="J777" s="5" t="s">
        <v>5</v>
      </c>
      <c r="K777" s="6" t="s">
        <v>5</v>
      </c>
      <c r="L777" s="6" t="s">
        <v>5</v>
      </c>
      <c r="M777" s="6" t="s">
        <v>5</v>
      </c>
      <c r="N777" s="6" t="s">
        <v>5</v>
      </c>
      <c r="O777" s="5" t="s">
        <v>5</v>
      </c>
      <c r="P777" s="5" t="s">
        <v>5</v>
      </c>
      <c r="Q777" s="7">
        <v>3.5</v>
      </c>
      <c r="R777" s="6" t="s">
        <v>5</v>
      </c>
      <c r="S777" s="6" t="s">
        <v>5</v>
      </c>
      <c r="T777" s="5" t="s">
        <v>5</v>
      </c>
      <c r="U777" s="8" t="s">
        <v>5</v>
      </c>
      <c r="V777" s="6" t="s">
        <v>5</v>
      </c>
      <c r="W777" s="8" t="s">
        <v>5</v>
      </c>
      <c r="X777" s="22">
        <v>0.313</v>
      </c>
      <c r="Y777" s="6" t="s">
        <v>5</v>
      </c>
      <c r="Z777" s="6" t="s">
        <v>5</v>
      </c>
      <c r="AA777" s="6" t="s">
        <v>5</v>
      </c>
      <c r="AB777" s="8" t="s">
        <v>5</v>
      </c>
      <c r="AC777" s="8" t="s">
        <v>5</v>
      </c>
      <c r="AD777" s="6" t="s">
        <v>5</v>
      </c>
      <c r="AE777" s="7">
        <v>1.17</v>
      </c>
      <c r="AF777" s="6" t="s">
        <v>5</v>
      </c>
      <c r="AG777" s="6" t="s">
        <v>5</v>
      </c>
      <c r="AH777" s="22">
        <v>0.4</v>
      </c>
      <c r="AI777" s="6" t="s">
        <v>5</v>
      </c>
      <c r="AJ777" s="4">
        <v>12.8</v>
      </c>
      <c r="AK777" s="6" t="s">
        <v>5</v>
      </c>
      <c r="AL777" s="6" t="s">
        <v>5</v>
      </c>
      <c r="AM777" s="6" t="s">
        <v>5</v>
      </c>
      <c r="AN777" s="6" t="s">
        <v>5</v>
      </c>
      <c r="AO777" s="7">
        <v>7.06</v>
      </c>
      <c r="AP777" s="7">
        <v>4.4800000000000004</v>
      </c>
      <c r="AQ777" s="7">
        <v>2.5</v>
      </c>
      <c r="AR777" s="7">
        <v>1.25</v>
      </c>
      <c r="AS777" s="6">
        <v>8.82</v>
      </c>
      <c r="AT777" s="6">
        <v>4.1500000000000004</v>
      </c>
      <c r="AU777" s="6">
        <v>2.52</v>
      </c>
      <c r="AV777" s="7">
        <v>1.4</v>
      </c>
      <c r="AW777" s="6" t="s">
        <v>5</v>
      </c>
      <c r="AX777" s="6" t="s">
        <v>5</v>
      </c>
      <c r="AY777" s="6" t="s">
        <v>5</v>
      </c>
      <c r="AZ777" s="6" t="s">
        <v>5</v>
      </c>
      <c r="BA777" s="6" t="s">
        <v>5</v>
      </c>
      <c r="BB777" s="6" t="s">
        <v>5</v>
      </c>
      <c r="BC777" s="6" t="s">
        <v>5</v>
      </c>
      <c r="BD777" s="6" t="s">
        <v>5</v>
      </c>
      <c r="BE777" s="6" t="s">
        <v>5</v>
      </c>
      <c r="BF777" s="6" t="s">
        <v>5</v>
      </c>
      <c r="BG777" s="6" t="s">
        <v>5</v>
      </c>
      <c r="BH777" s="6" t="s">
        <v>5</v>
      </c>
      <c r="BI777" s="7">
        <v>2.14</v>
      </c>
      <c r="BJ777" s="22">
        <v>0.77500000000000002</v>
      </c>
      <c r="BK777" s="6" t="s">
        <v>5</v>
      </c>
      <c r="BL777" s="2" t="s">
        <v>5</v>
      </c>
      <c r="BM777" s="2" t="s">
        <v>5</v>
      </c>
      <c r="BN777" s="2" t="s">
        <v>5</v>
      </c>
      <c r="BO777" s="2" t="s">
        <v>5</v>
      </c>
      <c r="BP777" s="2" t="s">
        <v>5</v>
      </c>
      <c r="BQ777" s="2" t="s">
        <v>5</v>
      </c>
      <c r="BR777" s="2" t="s">
        <v>5</v>
      </c>
      <c r="BS777" s="2" t="s">
        <v>5</v>
      </c>
      <c r="BT777" s="2" t="s">
        <v>5</v>
      </c>
      <c r="BU777" s="2" t="s">
        <v>5</v>
      </c>
      <c r="BV777" s="2" t="s">
        <v>5</v>
      </c>
      <c r="BW777" s="2" t="s">
        <v>5</v>
      </c>
      <c r="BX777" s="2" t="s">
        <v>5</v>
      </c>
      <c r="BY777" s="25" t="s">
        <v>5</v>
      </c>
      <c r="BZ777" s="25" t="s">
        <v>5</v>
      </c>
      <c r="CA777" s="6" t="s">
        <v>5</v>
      </c>
      <c r="CB777" s="6" t="s">
        <v>5</v>
      </c>
      <c r="CC777" s="6" t="s">
        <v>5</v>
      </c>
      <c r="CD777" s="6" t="s">
        <v>5</v>
      </c>
      <c r="CE777" s="6" t="s">
        <v>5</v>
      </c>
      <c r="CF777" s="16" t="s">
        <v>5</v>
      </c>
      <c r="CG777" s="16" t="s">
        <v>5</v>
      </c>
      <c r="CH777" s="18" t="s">
        <v>5</v>
      </c>
    </row>
    <row r="778" spans="2:86">
      <c r="B778" s="78" t="s">
        <v>473</v>
      </c>
      <c r="C778" s="79" t="s">
        <v>878</v>
      </c>
      <c r="D778" s="80" t="s">
        <v>878</v>
      </c>
      <c r="E778" s="1" t="s">
        <v>4</v>
      </c>
      <c r="F778" s="4">
        <v>15.4</v>
      </c>
      <c r="G778" s="7">
        <v>4.5</v>
      </c>
      <c r="H778" s="3" t="str">
        <f t="shared" si="31"/>
        <v>2L4X3-1/2X5/16X3/8LLBB</v>
      </c>
      <c r="I778" s="7">
        <v>4</v>
      </c>
      <c r="J778" s="5" t="s">
        <v>5</v>
      </c>
      <c r="K778" s="6" t="s">
        <v>5</v>
      </c>
      <c r="L778" s="6" t="s">
        <v>5</v>
      </c>
      <c r="M778" s="6" t="s">
        <v>5</v>
      </c>
      <c r="N778" s="6" t="s">
        <v>5</v>
      </c>
      <c r="O778" s="5" t="s">
        <v>5</v>
      </c>
      <c r="P778" s="5" t="s">
        <v>5</v>
      </c>
      <c r="Q778" s="7">
        <v>3.5</v>
      </c>
      <c r="R778" s="6" t="s">
        <v>5</v>
      </c>
      <c r="S778" s="6" t="s">
        <v>5</v>
      </c>
      <c r="T778" s="5" t="s">
        <v>5</v>
      </c>
      <c r="U778" s="8" t="s">
        <v>5</v>
      </c>
      <c r="V778" s="6" t="s">
        <v>5</v>
      </c>
      <c r="W778" s="8" t="s">
        <v>5</v>
      </c>
      <c r="X778" s="22">
        <v>0.313</v>
      </c>
      <c r="Y778" s="6" t="s">
        <v>5</v>
      </c>
      <c r="Z778" s="6" t="s">
        <v>5</v>
      </c>
      <c r="AA778" s="6" t="s">
        <v>5</v>
      </c>
      <c r="AB778" s="8" t="s">
        <v>5</v>
      </c>
      <c r="AC778" s="8" t="s">
        <v>5</v>
      </c>
      <c r="AD778" s="6" t="s">
        <v>5</v>
      </c>
      <c r="AE778" s="7">
        <v>1.17</v>
      </c>
      <c r="AF778" s="6" t="s">
        <v>5</v>
      </c>
      <c r="AG778" s="6" t="s">
        <v>5</v>
      </c>
      <c r="AH778" s="22">
        <v>0.4</v>
      </c>
      <c r="AI778" s="6" t="s">
        <v>5</v>
      </c>
      <c r="AJ778" s="4">
        <v>12.8</v>
      </c>
      <c r="AK778" s="6" t="s">
        <v>5</v>
      </c>
      <c r="AL778" s="6" t="s">
        <v>5</v>
      </c>
      <c r="AM778" s="6" t="s">
        <v>5</v>
      </c>
      <c r="AN778" s="6" t="s">
        <v>5</v>
      </c>
      <c r="AO778" s="7">
        <v>7.06</v>
      </c>
      <c r="AP778" s="7">
        <v>4.4800000000000004</v>
      </c>
      <c r="AQ778" s="7">
        <v>2.5</v>
      </c>
      <c r="AR778" s="7">
        <v>1.25</v>
      </c>
      <c r="AS778" s="6">
        <v>10.5</v>
      </c>
      <c r="AT778" s="7">
        <v>5</v>
      </c>
      <c r="AU778" s="6">
        <v>2.85</v>
      </c>
      <c r="AV778" s="7">
        <v>1.53</v>
      </c>
      <c r="AW778" s="6" t="s">
        <v>5</v>
      </c>
      <c r="AX778" s="6" t="s">
        <v>5</v>
      </c>
      <c r="AY778" s="6" t="s">
        <v>5</v>
      </c>
      <c r="AZ778" s="6" t="s">
        <v>5</v>
      </c>
      <c r="BA778" s="6" t="s">
        <v>5</v>
      </c>
      <c r="BB778" s="6" t="s">
        <v>5</v>
      </c>
      <c r="BC778" s="6" t="s">
        <v>5</v>
      </c>
      <c r="BD778" s="6" t="s">
        <v>5</v>
      </c>
      <c r="BE778" s="6" t="s">
        <v>5</v>
      </c>
      <c r="BF778" s="6" t="s">
        <v>5</v>
      </c>
      <c r="BG778" s="6" t="s">
        <v>5</v>
      </c>
      <c r="BH778" s="6" t="s">
        <v>5</v>
      </c>
      <c r="BI778" s="7">
        <v>2.23</v>
      </c>
      <c r="BJ778" s="22">
        <v>0.79200000000000004</v>
      </c>
      <c r="BK778" s="6" t="s">
        <v>5</v>
      </c>
      <c r="BL778" s="2" t="s">
        <v>5</v>
      </c>
      <c r="BM778" s="2" t="s">
        <v>5</v>
      </c>
      <c r="BN778" s="2" t="s">
        <v>5</v>
      </c>
      <c r="BO778" s="2" t="s">
        <v>5</v>
      </c>
      <c r="BP778" s="2" t="s">
        <v>5</v>
      </c>
      <c r="BQ778" s="2" t="s">
        <v>5</v>
      </c>
      <c r="BR778" s="2" t="s">
        <v>5</v>
      </c>
      <c r="BS778" s="2" t="s">
        <v>5</v>
      </c>
      <c r="BT778" s="2" t="s">
        <v>5</v>
      </c>
      <c r="BU778" s="2" t="s">
        <v>5</v>
      </c>
      <c r="BV778" s="2" t="s">
        <v>5</v>
      </c>
      <c r="BW778" s="2" t="s">
        <v>5</v>
      </c>
      <c r="BX778" s="2" t="s">
        <v>5</v>
      </c>
      <c r="BY778" s="25" t="s">
        <v>5</v>
      </c>
      <c r="BZ778" s="25" t="s">
        <v>5</v>
      </c>
      <c r="CA778" s="6" t="s">
        <v>5</v>
      </c>
      <c r="CB778" s="6" t="s">
        <v>5</v>
      </c>
      <c r="CC778" s="6" t="s">
        <v>5</v>
      </c>
      <c r="CD778" s="6" t="s">
        <v>5</v>
      </c>
      <c r="CE778" s="6" t="s">
        <v>5</v>
      </c>
      <c r="CF778" s="16" t="s">
        <v>5</v>
      </c>
      <c r="CG778" s="16" t="s">
        <v>5</v>
      </c>
      <c r="CH778" s="18" t="s">
        <v>5</v>
      </c>
    </row>
    <row r="779" spans="2:86">
      <c r="B779" s="78" t="s">
        <v>473</v>
      </c>
      <c r="C779" s="79" t="s">
        <v>879</v>
      </c>
      <c r="D779" s="80" t="s">
        <v>879</v>
      </c>
      <c r="E779" s="1" t="s">
        <v>4</v>
      </c>
      <c r="F779" s="4">
        <v>15.4</v>
      </c>
      <c r="G779" s="7">
        <v>4.5</v>
      </c>
      <c r="H779" s="3" t="str">
        <f t="shared" si="31"/>
        <v>2L4X3-1/2X5/16X3/4LLBB</v>
      </c>
      <c r="I779" s="7">
        <v>4</v>
      </c>
      <c r="J779" s="5" t="s">
        <v>5</v>
      </c>
      <c r="K779" s="6" t="s">
        <v>5</v>
      </c>
      <c r="L779" s="6" t="s">
        <v>5</v>
      </c>
      <c r="M779" s="6" t="s">
        <v>5</v>
      </c>
      <c r="N779" s="6" t="s">
        <v>5</v>
      </c>
      <c r="O779" s="5" t="s">
        <v>5</v>
      </c>
      <c r="P779" s="5" t="s">
        <v>5</v>
      </c>
      <c r="Q779" s="7">
        <v>3.5</v>
      </c>
      <c r="R779" s="6" t="s">
        <v>5</v>
      </c>
      <c r="S779" s="6" t="s">
        <v>5</v>
      </c>
      <c r="T779" s="5" t="s">
        <v>5</v>
      </c>
      <c r="U779" s="8" t="s">
        <v>5</v>
      </c>
      <c r="V779" s="6" t="s">
        <v>5</v>
      </c>
      <c r="W779" s="8" t="s">
        <v>5</v>
      </c>
      <c r="X779" s="22">
        <v>0.313</v>
      </c>
      <c r="Y779" s="6" t="s">
        <v>5</v>
      </c>
      <c r="Z779" s="6" t="s">
        <v>5</v>
      </c>
      <c r="AA779" s="6" t="s">
        <v>5</v>
      </c>
      <c r="AB779" s="8" t="s">
        <v>5</v>
      </c>
      <c r="AC779" s="8" t="s">
        <v>5</v>
      </c>
      <c r="AD779" s="6" t="s">
        <v>5</v>
      </c>
      <c r="AE779" s="7">
        <v>1.17</v>
      </c>
      <c r="AF779" s="6" t="s">
        <v>5</v>
      </c>
      <c r="AG779" s="6" t="s">
        <v>5</v>
      </c>
      <c r="AH779" s="22">
        <v>0.4</v>
      </c>
      <c r="AI779" s="6" t="s">
        <v>5</v>
      </c>
      <c r="AJ779" s="4">
        <v>12.8</v>
      </c>
      <c r="AK779" s="6" t="s">
        <v>5</v>
      </c>
      <c r="AL779" s="6" t="s">
        <v>5</v>
      </c>
      <c r="AM779" s="6" t="s">
        <v>5</v>
      </c>
      <c r="AN779" s="6" t="s">
        <v>5</v>
      </c>
      <c r="AO779" s="7">
        <v>7.06</v>
      </c>
      <c r="AP779" s="7">
        <v>4.4800000000000004</v>
      </c>
      <c r="AQ779" s="7">
        <v>2.5</v>
      </c>
      <c r="AR779" s="7">
        <v>1.25</v>
      </c>
      <c r="AS779" s="6">
        <v>12.7</v>
      </c>
      <c r="AT779" s="6">
        <v>5.84</v>
      </c>
      <c r="AU779" s="6">
        <v>3.28</v>
      </c>
      <c r="AV779" s="7">
        <v>1.68</v>
      </c>
      <c r="AW779" s="6" t="s">
        <v>5</v>
      </c>
      <c r="AX779" s="6" t="s">
        <v>5</v>
      </c>
      <c r="AY779" s="6" t="s">
        <v>5</v>
      </c>
      <c r="AZ779" s="6" t="s">
        <v>5</v>
      </c>
      <c r="BA779" s="6" t="s">
        <v>5</v>
      </c>
      <c r="BB779" s="6" t="s">
        <v>5</v>
      </c>
      <c r="BC779" s="6" t="s">
        <v>5</v>
      </c>
      <c r="BD779" s="6" t="s">
        <v>5</v>
      </c>
      <c r="BE779" s="6" t="s">
        <v>5</v>
      </c>
      <c r="BF779" s="6" t="s">
        <v>5</v>
      </c>
      <c r="BG779" s="6" t="s">
        <v>5</v>
      </c>
      <c r="BH779" s="6" t="s">
        <v>5</v>
      </c>
      <c r="BI779" s="7">
        <v>2.33</v>
      </c>
      <c r="BJ779" s="22">
        <v>0.81</v>
      </c>
      <c r="BK779" s="6" t="s">
        <v>5</v>
      </c>
      <c r="BL779" s="2" t="s">
        <v>5</v>
      </c>
      <c r="BM779" s="2" t="s">
        <v>5</v>
      </c>
      <c r="BN779" s="2" t="s">
        <v>5</v>
      </c>
      <c r="BO779" s="2" t="s">
        <v>5</v>
      </c>
      <c r="BP779" s="2" t="s">
        <v>5</v>
      </c>
      <c r="BQ779" s="2" t="s">
        <v>5</v>
      </c>
      <c r="BR779" s="2" t="s">
        <v>5</v>
      </c>
      <c r="BS779" s="2" t="s">
        <v>5</v>
      </c>
      <c r="BT779" s="2" t="s">
        <v>5</v>
      </c>
      <c r="BU779" s="2" t="s">
        <v>5</v>
      </c>
      <c r="BV779" s="2" t="s">
        <v>5</v>
      </c>
      <c r="BW779" s="2" t="s">
        <v>5</v>
      </c>
      <c r="BX779" s="2" t="s">
        <v>5</v>
      </c>
      <c r="BY779" s="25" t="s">
        <v>5</v>
      </c>
      <c r="BZ779" s="25" t="s">
        <v>5</v>
      </c>
      <c r="CA779" s="6" t="s">
        <v>5</v>
      </c>
      <c r="CB779" s="6" t="s">
        <v>5</v>
      </c>
      <c r="CC779" s="6" t="s">
        <v>5</v>
      </c>
      <c r="CD779" s="6" t="s">
        <v>5</v>
      </c>
      <c r="CE779" s="6" t="s">
        <v>5</v>
      </c>
      <c r="CF779" s="16" t="s">
        <v>5</v>
      </c>
      <c r="CG779" s="16" t="s">
        <v>5</v>
      </c>
      <c r="CH779" s="18" t="s">
        <v>5</v>
      </c>
    </row>
    <row r="780" spans="2:86">
      <c r="B780" s="78" t="s">
        <v>473</v>
      </c>
      <c r="C780" s="79" t="s">
        <v>880</v>
      </c>
      <c r="D780" s="80" t="s">
        <v>880</v>
      </c>
      <c r="E780" s="1" t="s">
        <v>4</v>
      </c>
      <c r="F780" s="4">
        <v>12.4</v>
      </c>
      <c r="G780" s="7">
        <v>3.64</v>
      </c>
      <c r="H780" s="3" t="str">
        <f t="shared" si="31"/>
        <v>2L4X3-1/2X1/4LLBB</v>
      </c>
      <c r="I780" s="7">
        <v>4</v>
      </c>
      <c r="J780" s="5" t="s">
        <v>5</v>
      </c>
      <c r="K780" s="6" t="s">
        <v>5</v>
      </c>
      <c r="L780" s="6" t="s">
        <v>5</v>
      </c>
      <c r="M780" s="6" t="s">
        <v>5</v>
      </c>
      <c r="N780" s="6" t="s">
        <v>5</v>
      </c>
      <c r="O780" s="5" t="s">
        <v>5</v>
      </c>
      <c r="P780" s="5" t="s">
        <v>5</v>
      </c>
      <c r="Q780" s="7">
        <v>3.5</v>
      </c>
      <c r="R780" s="6" t="s">
        <v>5</v>
      </c>
      <c r="S780" s="6" t="s">
        <v>5</v>
      </c>
      <c r="T780" s="5" t="s">
        <v>5</v>
      </c>
      <c r="U780" s="8" t="s">
        <v>5</v>
      </c>
      <c r="V780" s="6" t="s">
        <v>5</v>
      </c>
      <c r="W780" s="8" t="s">
        <v>5</v>
      </c>
      <c r="X780" s="22">
        <v>0.25</v>
      </c>
      <c r="Y780" s="6" t="s">
        <v>5</v>
      </c>
      <c r="Z780" s="6" t="s">
        <v>5</v>
      </c>
      <c r="AA780" s="6" t="s">
        <v>5</v>
      </c>
      <c r="AB780" s="8" t="s">
        <v>5</v>
      </c>
      <c r="AC780" s="8" t="s">
        <v>5</v>
      </c>
      <c r="AD780" s="6" t="s">
        <v>5</v>
      </c>
      <c r="AE780" s="7">
        <v>1.1399999999999999</v>
      </c>
      <c r="AF780" s="6" t="s">
        <v>5</v>
      </c>
      <c r="AG780" s="6" t="s">
        <v>5</v>
      </c>
      <c r="AH780" s="22">
        <v>0.36</v>
      </c>
      <c r="AI780" s="6" t="s">
        <v>5</v>
      </c>
      <c r="AJ780" s="4">
        <v>16</v>
      </c>
      <c r="AK780" s="6" t="s">
        <v>5</v>
      </c>
      <c r="AL780" s="6" t="s">
        <v>5</v>
      </c>
      <c r="AM780" s="6" t="s">
        <v>5</v>
      </c>
      <c r="AN780" s="6" t="s">
        <v>5</v>
      </c>
      <c r="AO780" s="7">
        <v>5.78</v>
      </c>
      <c r="AP780" s="7">
        <v>3.62</v>
      </c>
      <c r="AQ780" s="7">
        <v>2.02</v>
      </c>
      <c r="AR780" s="7">
        <v>1.26</v>
      </c>
      <c r="AS780" s="6">
        <v>7.03</v>
      </c>
      <c r="AT780" s="6">
        <v>3.27</v>
      </c>
      <c r="AU780" s="6">
        <v>2.0099999999999998</v>
      </c>
      <c r="AV780" s="7">
        <v>1.39</v>
      </c>
      <c r="AW780" s="6" t="s">
        <v>5</v>
      </c>
      <c r="AX780" s="6" t="s">
        <v>5</v>
      </c>
      <c r="AY780" s="6" t="s">
        <v>5</v>
      </c>
      <c r="AZ780" s="6" t="s">
        <v>5</v>
      </c>
      <c r="BA780" s="6" t="s">
        <v>5</v>
      </c>
      <c r="BB780" s="6" t="s">
        <v>5</v>
      </c>
      <c r="BC780" s="6" t="s">
        <v>5</v>
      </c>
      <c r="BD780" s="6" t="s">
        <v>5</v>
      </c>
      <c r="BE780" s="6" t="s">
        <v>5</v>
      </c>
      <c r="BF780" s="6" t="s">
        <v>5</v>
      </c>
      <c r="BG780" s="6" t="s">
        <v>5</v>
      </c>
      <c r="BH780" s="6" t="s">
        <v>5</v>
      </c>
      <c r="BI780" s="7">
        <v>2.14</v>
      </c>
      <c r="BJ780" s="22">
        <v>0.77300000000000002</v>
      </c>
      <c r="BK780" s="6" t="s">
        <v>5</v>
      </c>
      <c r="BL780" s="2" t="s">
        <v>5</v>
      </c>
      <c r="BM780" s="2" t="s">
        <v>5</v>
      </c>
      <c r="BN780" s="2" t="s">
        <v>5</v>
      </c>
      <c r="BO780" s="2" t="s">
        <v>5</v>
      </c>
      <c r="BP780" s="2" t="s">
        <v>5</v>
      </c>
      <c r="BQ780" s="2" t="s">
        <v>5</v>
      </c>
      <c r="BR780" s="2" t="s">
        <v>5</v>
      </c>
      <c r="BS780" s="2" t="s">
        <v>5</v>
      </c>
      <c r="BT780" s="2" t="s">
        <v>5</v>
      </c>
      <c r="BU780" s="2" t="s">
        <v>5</v>
      </c>
      <c r="BV780" s="2" t="s">
        <v>5</v>
      </c>
      <c r="BW780" s="2" t="s">
        <v>5</v>
      </c>
      <c r="BX780" s="2" t="s">
        <v>5</v>
      </c>
      <c r="BY780" s="25" t="s">
        <v>5</v>
      </c>
      <c r="BZ780" s="25" t="s">
        <v>5</v>
      </c>
      <c r="CA780" s="6" t="s">
        <v>5</v>
      </c>
      <c r="CB780" s="6" t="s">
        <v>5</v>
      </c>
      <c r="CC780" s="6" t="s">
        <v>5</v>
      </c>
      <c r="CD780" s="6" t="s">
        <v>5</v>
      </c>
      <c r="CE780" s="6" t="s">
        <v>5</v>
      </c>
      <c r="CF780" s="16" t="s">
        <v>5</v>
      </c>
      <c r="CG780" s="16" t="s">
        <v>5</v>
      </c>
      <c r="CH780" s="18" t="s">
        <v>5</v>
      </c>
    </row>
    <row r="781" spans="2:86">
      <c r="B781" s="78" t="s">
        <v>473</v>
      </c>
      <c r="C781" s="79" t="s">
        <v>881</v>
      </c>
      <c r="D781" s="80" t="s">
        <v>881</v>
      </c>
      <c r="E781" s="1" t="s">
        <v>4</v>
      </c>
      <c r="F781" s="4">
        <v>12.4</v>
      </c>
      <c r="G781" s="7">
        <v>3.64</v>
      </c>
      <c r="H781" s="3" t="str">
        <f t="shared" si="31"/>
        <v>2L4X3-1/2X1/4X3/8LLBB</v>
      </c>
      <c r="I781" s="7">
        <v>4</v>
      </c>
      <c r="J781" s="5" t="s">
        <v>5</v>
      </c>
      <c r="K781" s="6" t="s">
        <v>5</v>
      </c>
      <c r="L781" s="6" t="s">
        <v>5</v>
      </c>
      <c r="M781" s="6" t="s">
        <v>5</v>
      </c>
      <c r="N781" s="6" t="s">
        <v>5</v>
      </c>
      <c r="O781" s="5" t="s">
        <v>5</v>
      </c>
      <c r="P781" s="5" t="s">
        <v>5</v>
      </c>
      <c r="Q781" s="7">
        <v>3.5</v>
      </c>
      <c r="R781" s="6" t="s">
        <v>5</v>
      </c>
      <c r="S781" s="6" t="s">
        <v>5</v>
      </c>
      <c r="T781" s="5" t="s">
        <v>5</v>
      </c>
      <c r="U781" s="8" t="s">
        <v>5</v>
      </c>
      <c r="V781" s="6" t="s">
        <v>5</v>
      </c>
      <c r="W781" s="8" t="s">
        <v>5</v>
      </c>
      <c r="X781" s="22">
        <v>0.25</v>
      </c>
      <c r="Y781" s="6" t="s">
        <v>5</v>
      </c>
      <c r="Z781" s="6" t="s">
        <v>5</v>
      </c>
      <c r="AA781" s="6" t="s">
        <v>5</v>
      </c>
      <c r="AB781" s="8" t="s">
        <v>5</v>
      </c>
      <c r="AC781" s="8" t="s">
        <v>5</v>
      </c>
      <c r="AD781" s="6" t="s">
        <v>5</v>
      </c>
      <c r="AE781" s="7">
        <v>1.1399999999999999</v>
      </c>
      <c r="AF781" s="6" t="s">
        <v>5</v>
      </c>
      <c r="AG781" s="6" t="s">
        <v>5</v>
      </c>
      <c r="AH781" s="22">
        <v>0.36</v>
      </c>
      <c r="AI781" s="6" t="s">
        <v>5</v>
      </c>
      <c r="AJ781" s="4">
        <v>16</v>
      </c>
      <c r="AK781" s="6" t="s">
        <v>5</v>
      </c>
      <c r="AL781" s="6" t="s">
        <v>5</v>
      </c>
      <c r="AM781" s="6" t="s">
        <v>5</v>
      </c>
      <c r="AN781" s="6" t="s">
        <v>5</v>
      </c>
      <c r="AO781" s="7">
        <v>5.78</v>
      </c>
      <c r="AP781" s="7">
        <v>3.62</v>
      </c>
      <c r="AQ781" s="7">
        <v>2.02</v>
      </c>
      <c r="AR781" s="7">
        <v>1.26</v>
      </c>
      <c r="AS781" s="6">
        <v>8.41</v>
      </c>
      <c r="AT781" s="6">
        <v>3.95</v>
      </c>
      <c r="AU781" s="6">
        <v>2.2799999999999998</v>
      </c>
      <c r="AV781" s="7">
        <v>1.52</v>
      </c>
      <c r="AW781" s="6" t="s">
        <v>5</v>
      </c>
      <c r="AX781" s="6" t="s">
        <v>5</v>
      </c>
      <c r="AY781" s="6" t="s">
        <v>5</v>
      </c>
      <c r="AZ781" s="6" t="s">
        <v>5</v>
      </c>
      <c r="BA781" s="6" t="s">
        <v>5</v>
      </c>
      <c r="BB781" s="6" t="s">
        <v>5</v>
      </c>
      <c r="BC781" s="6" t="s">
        <v>5</v>
      </c>
      <c r="BD781" s="6" t="s">
        <v>5</v>
      </c>
      <c r="BE781" s="6" t="s">
        <v>5</v>
      </c>
      <c r="BF781" s="6" t="s">
        <v>5</v>
      </c>
      <c r="BG781" s="6" t="s">
        <v>5</v>
      </c>
      <c r="BH781" s="6" t="s">
        <v>5</v>
      </c>
      <c r="BI781" s="7">
        <v>2.2200000000000002</v>
      </c>
      <c r="BJ781" s="22">
        <v>0.79</v>
      </c>
      <c r="BK781" s="6" t="s">
        <v>5</v>
      </c>
      <c r="BL781" s="2" t="s">
        <v>5</v>
      </c>
      <c r="BM781" s="2" t="s">
        <v>5</v>
      </c>
      <c r="BN781" s="2" t="s">
        <v>5</v>
      </c>
      <c r="BO781" s="2" t="s">
        <v>5</v>
      </c>
      <c r="BP781" s="2" t="s">
        <v>5</v>
      </c>
      <c r="BQ781" s="2" t="s">
        <v>5</v>
      </c>
      <c r="BR781" s="2" t="s">
        <v>5</v>
      </c>
      <c r="BS781" s="2" t="s">
        <v>5</v>
      </c>
      <c r="BT781" s="2" t="s">
        <v>5</v>
      </c>
      <c r="BU781" s="2" t="s">
        <v>5</v>
      </c>
      <c r="BV781" s="2" t="s">
        <v>5</v>
      </c>
      <c r="BW781" s="2" t="s">
        <v>5</v>
      </c>
      <c r="BX781" s="2" t="s">
        <v>5</v>
      </c>
      <c r="BY781" s="25" t="s">
        <v>5</v>
      </c>
      <c r="BZ781" s="25" t="s">
        <v>5</v>
      </c>
      <c r="CA781" s="6" t="s">
        <v>5</v>
      </c>
      <c r="CB781" s="6" t="s">
        <v>5</v>
      </c>
      <c r="CC781" s="6" t="s">
        <v>5</v>
      </c>
      <c r="CD781" s="6" t="s">
        <v>5</v>
      </c>
      <c r="CE781" s="6" t="s">
        <v>5</v>
      </c>
      <c r="CF781" s="16" t="s">
        <v>5</v>
      </c>
      <c r="CG781" s="16" t="s">
        <v>5</v>
      </c>
      <c r="CH781" s="18" t="s">
        <v>5</v>
      </c>
    </row>
    <row r="782" spans="2:86">
      <c r="B782" s="78" t="s">
        <v>473</v>
      </c>
      <c r="C782" s="79" t="s">
        <v>882</v>
      </c>
      <c r="D782" s="80" t="s">
        <v>882</v>
      </c>
      <c r="E782" s="1" t="s">
        <v>4</v>
      </c>
      <c r="F782" s="4">
        <v>12.4</v>
      </c>
      <c r="G782" s="7">
        <v>3.64</v>
      </c>
      <c r="H782" s="3" t="str">
        <f t="shared" si="31"/>
        <v>2L4X3-1/2X1/4X3/4LLBB</v>
      </c>
      <c r="I782" s="7">
        <v>4</v>
      </c>
      <c r="J782" s="5" t="s">
        <v>5</v>
      </c>
      <c r="K782" s="6" t="s">
        <v>5</v>
      </c>
      <c r="L782" s="6" t="s">
        <v>5</v>
      </c>
      <c r="M782" s="6" t="s">
        <v>5</v>
      </c>
      <c r="N782" s="6" t="s">
        <v>5</v>
      </c>
      <c r="O782" s="5" t="s">
        <v>5</v>
      </c>
      <c r="P782" s="5" t="s">
        <v>5</v>
      </c>
      <c r="Q782" s="7">
        <v>3.5</v>
      </c>
      <c r="R782" s="6" t="s">
        <v>5</v>
      </c>
      <c r="S782" s="6" t="s">
        <v>5</v>
      </c>
      <c r="T782" s="5" t="s">
        <v>5</v>
      </c>
      <c r="U782" s="8" t="s">
        <v>5</v>
      </c>
      <c r="V782" s="6" t="s">
        <v>5</v>
      </c>
      <c r="W782" s="8" t="s">
        <v>5</v>
      </c>
      <c r="X782" s="22">
        <v>0.25</v>
      </c>
      <c r="Y782" s="6" t="s">
        <v>5</v>
      </c>
      <c r="Z782" s="6" t="s">
        <v>5</v>
      </c>
      <c r="AA782" s="6" t="s">
        <v>5</v>
      </c>
      <c r="AB782" s="8" t="s">
        <v>5</v>
      </c>
      <c r="AC782" s="8" t="s">
        <v>5</v>
      </c>
      <c r="AD782" s="6" t="s">
        <v>5</v>
      </c>
      <c r="AE782" s="7">
        <v>1.1399999999999999</v>
      </c>
      <c r="AF782" s="6" t="s">
        <v>5</v>
      </c>
      <c r="AG782" s="6" t="s">
        <v>5</v>
      </c>
      <c r="AH782" s="22">
        <v>0.36</v>
      </c>
      <c r="AI782" s="6" t="s">
        <v>5</v>
      </c>
      <c r="AJ782" s="4">
        <v>16</v>
      </c>
      <c r="AK782" s="6" t="s">
        <v>5</v>
      </c>
      <c r="AL782" s="6" t="s">
        <v>5</v>
      </c>
      <c r="AM782" s="6" t="s">
        <v>5</v>
      </c>
      <c r="AN782" s="6" t="s">
        <v>5</v>
      </c>
      <c r="AO782" s="7">
        <v>5.78</v>
      </c>
      <c r="AP782" s="7">
        <v>3.62</v>
      </c>
      <c r="AQ782" s="7">
        <v>2.02</v>
      </c>
      <c r="AR782" s="7">
        <v>1.26</v>
      </c>
      <c r="AS782" s="4">
        <v>10</v>
      </c>
      <c r="AT782" s="6">
        <v>4.63</v>
      </c>
      <c r="AU782" s="6">
        <v>2.58</v>
      </c>
      <c r="AV782" s="7">
        <v>1.66</v>
      </c>
      <c r="AW782" s="6" t="s">
        <v>5</v>
      </c>
      <c r="AX782" s="6" t="s">
        <v>5</v>
      </c>
      <c r="AY782" s="6" t="s">
        <v>5</v>
      </c>
      <c r="AZ782" s="6" t="s">
        <v>5</v>
      </c>
      <c r="BA782" s="6" t="s">
        <v>5</v>
      </c>
      <c r="BB782" s="6" t="s">
        <v>5</v>
      </c>
      <c r="BC782" s="6" t="s">
        <v>5</v>
      </c>
      <c r="BD782" s="6" t="s">
        <v>5</v>
      </c>
      <c r="BE782" s="6" t="s">
        <v>5</v>
      </c>
      <c r="BF782" s="6" t="s">
        <v>5</v>
      </c>
      <c r="BG782" s="6" t="s">
        <v>5</v>
      </c>
      <c r="BH782" s="6" t="s">
        <v>5</v>
      </c>
      <c r="BI782" s="7">
        <v>2.3199999999999998</v>
      </c>
      <c r="BJ782" s="22">
        <v>0.80700000000000005</v>
      </c>
      <c r="BK782" s="6" t="s">
        <v>5</v>
      </c>
      <c r="BL782" s="2" t="s">
        <v>5</v>
      </c>
      <c r="BM782" s="2" t="s">
        <v>5</v>
      </c>
      <c r="BN782" s="2" t="s">
        <v>5</v>
      </c>
      <c r="BO782" s="2" t="s">
        <v>5</v>
      </c>
      <c r="BP782" s="2" t="s">
        <v>5</v>
      </c>
      <c r="BQ782" s="2" t="s">
        <v>5</v>
      </c>
      <c r="BR782" s="2" t="s">
        <v>5</v>
      </c>
      <c r="BS782" s="2" t="s">
        <v>5</v>
      </c>
      <c r="BT782" s="2" t="s">
        <v>5</v>
      </c>
      <c r="BU782" s="2" t="s">
        <v>5</v>
      </c>
      <c r="BV782" s="2" t="s">
        <v>5</v>
      </c>
      <c r="BW782" s="2" t="s">
        <v>5</v>
      </c>
      <c r="BX782" s="2" t="s">
        <v>5</v>
      </c>
      <c r="BY782" s="25" t="s">
        <v>5</v>
      </c>
      <c r="BZ782" s="25" t="s">
        <v>5</v>
      </c>
      <c r="CA782" s="6" t="s">
        <v>5</v>
      </c>
      <c r="CB782" s="6" t="s">
        <v>5</v>
      </c>
      <c r="CC782" s="6" t="s">
        <v>5</v>
      </c>
      <c r="CD782" s="6" t="s">
        <v>5</v>
      </c>
      <c r="CE782" s="6" t="s">
        <v>5</v>
      </c>
      <c r="CF782" s="16" t="s">
        <v>5</v>
      </c>
      <c r="CG782" s="16" t="s">
        <v>5</v>
      </c>
      <c r="CH782" s="18" t="s">
        <v>5</v>
      </c>
    </row>
    <row r="783" spans="2:86">
      <c r="B783" s="78" t="s">
        <v>473</v>
      </c>
      <c r="C783" s="79" t="s">
        <v>883</v>
      </c>
      <c r="D783" s="80" t="s">
        <v>883</v>
      </c>
      <c r="E783" s="1" t="s">
        <v>4</v>
      </c>
      <c r="F783" s="4">
        <v>27.2</v>
      </c>
      <c r="G783" s="7">
        <v>7.98</v>
      </c>
      <c r="H783" s="3" t="str">
        <f t="shared" si="31"/>
        <v>2L4X3X5/8LLBB</v>
      </c>
      <c r="I783" s="7">
        <v>4</v>
      </c>
      <c r="J783" s="5" t="s">
        <v>5</v>
      </c>
      <c r="K783" s="6" t="s">
        <v>5</v>
      </c>
      <c r="L783" s="6" t="s">
        <v>5</v>
      </c>
      <c r="M783" s="6" t="s">
        <v>5</v>
      </c>
      <c r="N783" s="6" t="s">
        <v>5</v>
      </c>
      <c r="O783" s="5" t="s">
        <v>5</v>
      </c>
      <c r="P783" s="5" t="s">
        <v>5</v>
      </c>
      <c r="Q783" s="7">
        <v>3</v>
      </c>
      <c r="R783" s="6" t="s">
        <v>5</v>
      </c>
      <c r="S783" s="6" t="s">
        <v>5</v>
      </c>
      <c r="T783" s="5" t="s">
        <v>5</v>
      </c>
      <c r="U783" s="8" t="s">
        <v>5</v>
      </c>
      <c r="V783" s="6" t="s">
        <v>5</v>
      </c>
      <c r="W783" s="8" t="s">
        <v>5</v>
      </c>
      <c r="X783" s="22">
        <v>0.625</v>
      </c>
      <c r="Y783" s="6" t="s">
        <v>5</v>
      </c>
      <c r="Z783" s="6" t="s">
        <v>5</v>
      </c>
      <c r="AA783" s="6" t="s">
        <v>5</v>
      </c>
      <c r="AB783" s="8" t="s">
        <v>5</v>
      </c>
      <c r="AC783" s="8" t="s">
        <v>5</v>
      </c>
      <c r="AD783" s="6" t="s">
        <v>5</v>
      </c>
      <c r="AE783" s="7">
        <v>1.37</v>
      </c>
      <c r="AF783" s="6" t="s">
        <v>5</v>
      </c>
      <c r="AG783" s="6" t="s">
        <v>5</v>
      </c>
      <c r="AH783" s="22">
        <v>0.80800000000000005</v>
      </c>
      <c r="AI783" s="6" t="s">
        <v>5</v>
      </c>
      <c r="AJ783" s="7">
        <v>6.4</v>
      </c>
      <c r="AK783" s="6" t="s">
        <v>5</v>
      </c>
      <c r="AL783" s="6" t="s">
        <v>5</v>
      </c>
      <c r="AM783" s="6" t="s">
        <v>5</v>
      </c>
      <c r="AN783" s="6" t="s">
        <v>5</v>
      </c>
      <c r="AO783" s="4">
        <v>12</v>
      </c>
      <c r="AP783" s="7">
        <v>8.16</v>
      </c>
      <c r="AQ783" s="7">
        <v>4.5599999999999996</v>
      </c>
      <c r="AR783" s="7">
        <v>1.23</v>
      </c>
      <c r="AS783" s="6">
        <v>11.7</v>
      </c>
      <c r="AT783" s="6">
        <v>6.92</v>
      </c>
      <c r="AU783" s="7">
        <v>3.9</v>
      </c>
      <c r="AV783" s="7">
        <v>1.21</v>
      </c>
      <c r="AW783" s="6" t="s">
        <v>5</v>
      </c>
      <c r="AX783" s="6" t="s">
        <v>5</v>
      </c>
      <c r="AY783" s="6" t="s">
        <v>5</v>
      </c>
      <c r="AZ783" s="6" t="s">
        <v>5</v>
      </c>
      <c r="BA783" s="6" t="s">
        <v>5</v>
      </c>
      <c r="BB783" s="6" t="s">
        <v>5</v>
      </c>
      <c r="BC783" s="6" t="s">
        <v>5</v>
      </c>
      <c r="BD783" s="6" t="s">
        <v>5</v>
      </c>
      <c r="BE783" s="6" t="s">
        <v>5</v>
      </c>
      <c r="BF783" s="6" t="s">
        <v>5</v>
      </c>
      <c r="BG783" s="6" t="s">
        <v>5</v>
      </c>
      <c r="BH783" s="6" t="s">
        <v>5</v>
      </c>
      <c r="BI783" s="7">
        <v>2.02</v>
      </c>
      <c r="BJ783" s="22">
        <v>0.72799999999999998</v>
      </c>
      <c r="BK783" s="6" t="s">
        <v>5</v>
      </c>
      <c r="BL783" s="2" t="s">
        <v>5</v>
      </c>
      <c r="BM783" s="2" t="s">
        <v>5</v>
      </c>
      <c r="BN783" s="2" t="s">
        <v>5</v>
      </c>
      <c r="BO783" s="2" t="s">
        <v>5</v>
      </c>
      <c r="BP783" s="2" t="s">
        <v>5</v>
      </c>
      <c r="BQ783" s="2" t="s">
        <v>5</v>
      </c>
      <c r="BR783" s="2" t="s">
        <v>5</v>
      </c>
      <c r="BS783" s="2" t="s">
        <v>5</v>
      </c>
      <c r="BT783" s="2" t="s">
        <v>5</v>
      </c>
      <c r="BU783" s="2" t="s">
        <v>5</v>
      </c>
      <c r="BV783" s="2" t="s">
        <v>5</v>
      </c>
      <c r="BW783" s="2" t="s">
        <v>5</v>
      </c>
      <c r="BX783" s="2" t="s">
        <v>5</v>
      </c>
      <c r="BY783" s="25" t="s">
        <v>5</v>
      </c>
      <c r="BZ783" s="25" t="s">
        <v>5</v>
      </c>
      <c r="CA783" s="6" t="s">
        <v>5</v>
      </c>
      <c r="CB783" s="6" t="s">
        <v>5</v>
      </c>
      <c r="CC783" s="6" t="s">
        <v>5</v>
      </c>
      <c r="CD783" s="6" t="s">
        <v>5</v>
      </c>
      <c r="CE783" s="6" t="s">
        <v>5</v>
      </c>
      <c r="CF783" s="16" t="s">
        <v>5</v>
      </c>
      <c r="CG783" s="16" t="s">
        <v>5</v>
      </c>
      <c r="CH783" s="18" t="s">
        <v>5</v>
      </c>
    </row>
    <row r="784" spans="2:86">
      <c r="B784" s="78" t="s">
        <v>473</v>
      </c>
      <c r="C784" s="79" t="s">
        <v>884</v>
      </c>
      <c r="D784" s="80" t="s">
        <v>884</v>
      </c>
      <c r="E784" s="1" t="s">
        <v>4</v>
      </c>
      <c r="F784" s="4">
        <v>27.2</v>
      </c>
      <c r="G784" s="7">
        <v>7.98</v>
      </c>
      <c r="H784" s="3" t="str">
        <f t="shared" si="31"/>
        <v>2L4X3X5/8X3/8LLBB</v>
      </c>
      <c r="I784" s="7">
        <v>4</v>
      </c>
      <c r="J784" s="5" t="s">
        <v>5</v>
      </c>
      <c r="K784" s="6" t="s">
        <v>5</v>
      </c>
      <c r="L784" s="6" t="s">
        <v>5</v>
      </c>
      <c r="M784" s="6" t="s">
        <v>5</v>
      </c>
      <c r="N784" s="6" t="s">
        <v>5</v>
      </c>
      <c r="O784" s="5" t="s">
        <v>5</v>
      </c>
      <c r="P784" s="5" t="s">
        <v>5</v>
      </c>
      <c r="Q784" s="7">
        <v>3</v>
      </c>
      <c r="R784" s="6" t="s">
        <v>5</v>
      </c>
      <c r="S784" s="6" t="s">
        <v>5</v>
      </c>
      <c r="T784" s="5" t="s">
        <v>5</v>
      </c>
      <c r="U784" s="8" t="s">
        <v>5</v>
      </c>
      <c r="V784" s="6" t="s">
        <v>5</v>
      </c>
      <c r="W784" s="8" t="s">
        <v>5</v>
      </c>
      <c r="X784" s="22">
        <v>0.625</v>
      </c>
      <c r="Y784" s="6" t="s">
        <v>5</v>
      </c>
      <c r="Z784" s="6" t="s">
        <v>5</v>
      </c>
      <c r="AA784" s="6" t="s">
        <v>5</v>
      </c>
      <c r="AB784" s="8" t="s">
        <v>5</v>
      </c>
      <c r="AC784" s="8" t="s">
        <v>5</v>
      </c>
      <c r="AD784" s="6" t="s">
        <v>5</v>
      </c>
      <c r="AE784" s="7">
        <v>1.37</v>
      </c>
      <c r="AF784" s="6" t="s">
        <v>5</v>
      </c>
      <c r="AG784" s="6" t="s">
        <v>5</v>
      </c>
      <c r="AH784" s="22">
        <v>0.80800000000000005</v>
      </c>
      <c r="AI784" s="6" t="s">
        <v>5</v>
      </c>
      <c r="AJ784" s="7">
        <v>6.4</v>
      </c>
      <c r="AK784" s="6" t="s">
        <v>5</v>
      </c>
      <c r="AL784" s="6" t="s">
        <v>5</v>
      </c>
      <c r="AM784" s="6" t="s">
        <v>5</v>
      </c>
      <c r="AN784" s="6" t="s">
        <v>5</v>
      </c>
      <c r="AO784" s="4">
        <v>12</v>
      </c>
      <c r="AP784" s="7">
        <v>8.16</v>
      </c>
      <c r="AQ784" s="7">
        <v>4.5599999999999996</v>
      </c>
      <c r="AR784" s="7">
        <v>1.23</v>
      </c>
      <c r="AS784" s="6">
        <v>14.5</v>
      </c>
      <c r="AT784" s="6">
        <v>8.41</v>
      </c>
      <c r="AU784" s="6">
        <v>4.55</v>
      </c>
      <c r="AV784" s="7">
        <v>1.35</v>
      </c>
      <c r="AW784" s="6" t="s">
        <v>5</v>
      </c>
      <c r="AX784" s="6" t="s">
        <v>5</v>
      </c>
      <c r="AY784" s="6" t="s">
        <v>5</v>
      </c>
      <c r="AZ784" s="6" t="s">
        <v>5</v>
      </c>
      <c r="BA784" s="6" t="s">
        <v>5</v>
      </c>
      <c r="BB784" s="6" t="s">
        <v>5</v>
      </c>
      <c r="BC784" s="6" t="s">
        <v>5</v>
      </c>
      <c r="BD784" s="6" t="s">
        <v>5</v>
      </c>
      <c r="BE784" s="6" t="s">
        <v>5</v>
      </c>
      <c r="BF784" s="6" t="s">
        <v>5</v>
      </c>
      <c r="BG784" s="6" t="s">
        <v>5</v>
      </c>
      <c r="BH784" s="6" t="s">
        <v>5</v>
      </c>
      <c r="BI784" s="7">
        <v>2.11</v>
      </c>
      <c r="BJ784" s="22">
        <v>0.75</v>
      </c>
      <c r="BK784" s="6" t="s">
        <v>5</v>
      </c>
      <c r="BL784" s="2" t="s">
        <v>5</v>
      </c>
      <c r="BM784" s="2" t="s">
        <v>5</v>
      </c>
      <c r="BN784" s="2" t="s">
        <v>5</v>
      </c>
      <c r="BO784" s="2" t="s">
        <v>5</v>
      </c>
      <c r="BP784" s="2" t="s">
        <v>5</v>
      </c>
      <c r="BQ784" s="2" t="s">
        <v>5</v>
      </c>
      <c r="BR784" s="2" t="s">
        <v>5</v>
      </c>
      <c r="BS784" s="2" t="s">
        <v>5</v>
      </c>
      <c r="BT784" s="2" t="s">
        <v>5</v>
      </c>
      <c r="BU784" s="2" t="s">
        <v>5</v>
      </c>
      <c r="BV784" s="2" t="s">
        <v>5</v>
      </c>
      <c r="BW784" s="2" t="s">
        <v>5</v>
      </c>
      <c r="BX784" s="2" t="s">
        <v>5</v>
      </c>
      <c r="BY784" s="25" t="s">
        <v>5</v>
      </c>
      <c r="BZ784" s="25" t="s">
        <v>5</v>
      </c>
      <c r="CA784" s="6" t="s">
        <v>5</v>
      </c>
      <c r="CB784" s="6" t="s">
        <v>5</v>
      </c>
      <c r="CC784" s="6" t="s">
        <v>5</v>
      </c>
      <c r="CD784" s="6" t="s">
        <v>5</v>
      </c>
      <c r="CE784" s="6" t="s">
        <v>5</v>
      </c>
      <c r="CF784" s="16" t="s">
        <v>5</v>
      </c>
      <c r="CG784" s="16" t="s">
        <v>5</v>
      </c>
      <c r="CH784" s="18" t="s">
        <v>5</v>
      </c>
    </row>
    <row r="785" spans="2:86">
      <c r="B785" s="78" t="s">
        <v>473</v>
      </c>
      <c r="C785" s="79" t="s">
        <v>885</v>
      </c>
      <c r="D785" s="80" t="s">
        <v>885</v>
      </c>
      <c r="E785" s="1" t="s">
        <v>4</v>
      </c>
      <c r="F785" s="4">
        <v>27.2</v>
      </c>
      <c r="G785" s="7">
        <v>7.98</v>
      </c>
      <c r="H785" s="3" t="str">
        <f t="shared" si="31"/>
        <v>2L4X3X5/8X3/4LLBB</v>
      </c>
      <c r="I785" s="7">
        <v>4</v>
      </c>
      <c r="J785" s="5" t="s">
        <v>5</v>
      </c>
      <c r="K785" s="6" t="s">
        <v>5</v>
      </c>
      <c r="L785" s="6" t="s">
        <v>5</v>
      </c>
      <c r="M785" s="6" t="s">
        <v>5</v>
      </c>
      <c r="N785" s="6" t="s">
        <v>5</v>
      </c>
      <c r="O785" s="5" t="s">
        <v>5</v>
      </c>
      <c r="P785" s="5" t="s">
        <v>5</v>
      </c>
      <c r="Q785" s="7">
        <v>3</v>
      </c>
      <c r="R785" s="6" t="s">
        <v>5</v>
      </c>
      <c r="S785" s="6" t="s">
        <v>5</v>
      </c>
      <c r="T785" s="5" t="s">
        <v>5</v>
      </c>
      <c r="U785" s="8" t="s">
        <v>5</v>
      </c>
      <c r="V785" s="6" t="s">
        <v>5</v>
      </c>
      <c r="W785" s="8" t="s">
        <v>5</v>
      </c>
      <c r="X785" s="22">
        <v>0.625</v>
      </c>
      <c r="Y785" s="6" t="s">
        <v>5</v>
      </c>
      <c r="Z785" s="6" t="s">
        <v>5</v>
      </c>
      <c r="AA785" s="6" t="s">
        <v>5</v>
      </c>
      <c r="AB785" s="8" t="s">
        <v>5</v>
      </c>
      <c r="AC785" s="8" t="s">
        <v>5</v>
      </c>
      <c r="AD785" s="6" t="s">
        <v>5</v>
      </c>
      <c r="AE785" s="7">
        <v>1.37</v>
      </c>
      <c r="AF785" s="6" t="s">
        <v>5</v>
      </c>
      <c r="AG785" s="6" t="s">
        <v>5</v>
      </c>
      <c r="AH785" s="22">
        <v>0.80800000000000005</v>
      </c>
      <c r="AI785" s="6" t="s">
        <v>5</v>
      </c>
      <c r="AJ785" s="7">
        <v>6.4</v>
      </c>
      <c r="AK785" s="6" t="s">
        <v>5</v>
      </c>
      <c r="AL785" s="6" t="s">
        <v>5</v>
      </c>
      <c r="AM785" s="6" t="s">
        <v>5</v>
      </c>
      <c r="AN785" s="6" t="s">
        <v>5</v>
      </c>
      <c r="AO785" s="4">
        <v>12</v>
      </c>
      <c r="AP785" s="7">
        <v>8.16</v>
      </c>
      <c r="AQ785" s="7">
        <v>4.5599999999999996</v>
      </c>
      <c r="AR785" s="7">
        <v>1.23</v>
      </c>
      <c r="AS785" s="4">
        <v>18</v>
      </c>
      <c r="AT785" s="6">
        <v>9.91</v>
      </c>
      <c r="AU785" s="6">
        <v>5.33</v>
      </c>
      <c r="AV785" s="7">
        <v>1.5</v>
      </c>
      <c r="AW785" s="6" t="s">
        <v>5</v>
      </c>
      <c r="AX785" s="6" t="s">
        <v>5</v>
      </c>
      <c r="AY785" s="6" t="s">
        <v>5</v>
      </c>
      <c r="AZ785" s="6" t="s">
        <v>5</v>
      </c>
      <c r="BA785" s="6" t="s">
        <v>5</v>
      </c>
      <c r="BB785" s="6" t="s">
        <v>5</v>
      </c>
      <c r="BC785" s="6" t="s">
        <v>5</v>
      </c>
      <c r="BD785" s="6" t="s">
        <v>5</v>
      </c>
      <c r="BE785" s="6" t="s">
        <v>5</v>
      </c>
      <c r="BF785" s="6" t="s">
        <v>5</v>
      </c>
      <c r="BG785" s="6" t="s">
        <v>5</v>
      </c>
      <c r="BH785" s="6" t="s">
        <v>5</v>
      </c>
      <c r="BI785" s="7">
        <v>2.21</v>
      </c>
      <c r="BJ785" s="22">
        <v>0.77300000000000002</v>
      </c>
      <c r="BK785" s="6" t="s">
        <v>5</v>
      </c>
      <c r="BL785" s="2" t="s">
        <v>5</v>
      </c>
      <c r="BM785" s="2" t="s">
        <v>5</v>
      </c>
      <c r="BN785" s="2" t="s">
        <v>5</v>
      </c>
      <c r="BO785" s="2" t="s">
        <v>5</v>
      </c>
      <c r="BP785" s="2" t="s">
        <v>5</v>
      </c>
      <c r="BQ785" s="2" t="s">
        <v>5</v>
      </c>
      <c r="BR785" s="2" t="s">
        <v>5</v>
      </c>
      <c r="BS785" s="2" t="s">
        <v>5</v>
      </c>
      <c r="BT785" s="2" t="s">
        <v>5</v>
      </c>
      <c r="BU785" s="2" t="s">
        <v>5</v>
      </c>
      <c r="BV785" s="2" t="s">
        <v>5</v>
      </c>
      <c r="BW785" s="2" t="s">
        <v>5</v>
      </c>
      <c r="BX785" s="2" t="s">
        <v>5</v>
      </c>
      <c r="BY785" s="25" t="s">
        <v>5</v>
      </c>
      <c r="BZ785" s="25" t="s">
        <v>5</v>
      </c>
      <c r="CA785" s="6" t="s">
        <v>5</v>
      </c>
      <c r="CB785" s="6" t="s">
        <v>5</v>
      </c>
      <c r="CC785" s="6" t="s">
        <v>5</v>
      </c>
      <c r="CD785" s="6" t="s">
        <v>5</v>
      </c>
      <c r="CE785" s="6" t="s">
        <v>5</v>
      </c>
      <c r="CF785" s="16" t="s">
        <v>5</v>
      </c>
      <c r="CG785" s="16" t="s">
        <v>5</v>
      </c>
      <c r="CH785" s="18" t="s">
        <v>5</v>
      </c>
    </row>
    <row r="786" spans="2:86">
      <c r="B786" s="78" t="s">
        <v>473</v>
      </c>
      <c r="C786" s="79" t="s">
        <v>886</v>
      </c>
      <c r="D786" s="80" t="s">
        <v>886</v>
      </c>
      <c r="E786" s="1" t="s">
        <v>4</v>
      </c>
      <c r="F786" s="4">
        <v>22.2</v>
      </c>
      <c r="G786" s="7">
        <v>6.5</v>
      </c>
      <c r="H786" s="3" t="str">
        <f t="shared" si="31"/>
        <v>2L4X3X1/2LLBB</v>
      </c>
      <c r="I786" s="7">
        <v>4</v>
      </c>
      <c r="J786" s="5" t="s">
        <v>5</v>
      </c>
      <c r="K786" s="6" t="s">
        <v>5</v>
      </c>
      <c r="L786" s="6" t="s">
        <v>5</v>
      </c>
      <c r="M786" s="6" t="s">
        <v>5</v>
      </c>
      <c r="N786" s="6" t="s">
        <v>5</v>
      </c>
      <c r="O786" s="5" t="s">
        <v>5</v>
      </c>
      <c r="P786" s="5" t="s">
        <v>5</v>
      </c>
      <c r="Q786" s="7">
        <v>3</v>
      </c>
      <c r="R786" s="6" t="s">
        <v>5</v>
      </c>
      <c r="S786" s="6" t="s">
        <v>5</v>
      </c>
      <c r="T786" s="5" t="s">
        <v>5</v>
      </c>
      <c r="U786" s="8" t="s">
        <v>5</v>
      </c>
      <c r="V786" s="6" t="s">
        <v>5</v>
      </c>
      <c r="W786" s="8" t="s">
        <v>5</v>
      </c>
      <c r="X786" s="22">
        <v>0.5</v>
      </c>
      <c r="Y786" s="6" t="s">
        <v>5</v>
      </c>
      <c r="Z786" s="6" t="s">
        <v>5</v>
      </c>
      <c r="AA786" s="6" t="s">
        <v>5</v>
      </c>
      <c r="AB786" s="8" t="s">
        <v>5</v>
      </c>
      <c r="AC786" s="8" t="s">
        <v>5</v>
      </c>
      <c r="AD786" s="6" t="s">
        <v>5</v>
      </c>
      <c r="AE786" s="7">
        <v>1.32</v>
      </c>
      <c r="AF786" s="6" t="s">
        <v>5</v>
      </c>
      <c r="AG786" s="6" t="s">
        <v>5</v>
      </c>
      <c r="AH786" s="22">
        <v>0.75</v>
      </c>
      <c r="AI786" s="6" t="s">
        <v>5</v>
      </c>
      <c r="AJ786" s="7">
        <v>8</v>
      </c>
      <c r="AK786" s="6" t="s">
        <v>5</v>
      </c>
      <c r="AL786" s="6" t="s">
        <v>5</v>
      </c>
      <c r="AM786" s="6" t="s">
        <v>5</v>
      </c>
      <c r="AN786" s="6" t="s">
        <v>5</v>
      </c>
      <c r="AO786" s="4">
        <v>10</v>
      </c>
      <c r="AP786" s="7">
        <v>6.72</v>
      </c>
      <c r="AQ786" s="7">
        <v>3.74</v>
      </c>
      <c r="AR786" s="7">
        <v>1.24</v>
      </c>
      <c r="AS786" s="7">
        <v>9.1999999999999993</v>
      </c>
      <c r="AT786" s="6">
        <v>5.34</v>
      </c>
      <c r="AU786" s="6">
        <v>3.07</v>
      </c>
      <c r="AV786" s="7">
        <v>1.19</v>
      </c>
      <c r="AW786" s="6" t="s">
        <v>5</v>
      </c>
      <c r="AX786" s="6" t="s">
        <v>5</v>
      </c>
      <c r="AY786" s="6" t="s">
        <v>5</v>
      </c>
      <c r="AZ786" s="6" t="s">
        <v>5</v>
      </c>
      <c r="BA786" s="6" t="s">
        <v>5</v>
      </c>
      <c r="BB786" s="6" t="s">
        <v>5</v>
      </c>
      <c r="BC786" s="6" t="s">
        <v>5</v>
      </c>
      <c r="BD786" s="6" t="s">
        <v>5</v>
      </c>
      <c r="BE786" s="6" t="s">
        <v>5</v>
      </c>
      <c r="BF786" s="6" t="s">
        <v>5</v>
      </c>
      <c r="BG786" s="6" t="s">
        <v>5</v>
      </c>
      <c r="BH786" s="6" t="s">
        <v>5</v>
      </c>
      <c r="BI786" s="7">
        <v>2.02</v>
      </c>
      <c r="BJ786" s="22">
        <v>0.72099999999999997</v>
      </c>
      <c r="BK786" s="6" t="s">
        <v>5</v>
      </c>
      <c r="BL786" s="2" t="s">
        <v>5</v>
      </c>
      <c r="BM786" s="2" t="s">
        <v>5</v>
      </c>
      <c r="BN786" s="2" t="s">
        <v>5</v>
      </c>
      <c r="BO786" s="2" t="s">
        <v>5</v>
      </c>
      <c r="BP786" s="2" t="s">
        <v>5</v>
      </c>
      <c r="BQ786" s="2" t="s">
        <v>5</v>
      </c>
      <c r="BR786" s="2" t="s">
        <v>5</v>
      </c>
      <c r="BS786" s="2" t="s">
        <v>5</v>
      </c>
      <c r="BT786" s="2" t="s">
        <v>5</v>
      </c>
      <c r="BU786" s="2" t="s">
        <v>5</v>
      </c>
      <c r="BV786" s="2" t="s">
        <v>5</v>
      </c>
      <c r="BW786" s="2" t="s">
        <v>5</v>
      </c>
      <c r="BX786" s="2" t="s">
        <v>5</v>
      </c>
      <c r="BY786" s="25" t="s">
        <v>5</v>
      </c>
      <c r="BZ786" s="25" t="s">
        <v>5</v>
      </c>
      <c r="CA786" s="6" t="s">
        <v>5</v>
      </c>
      <c r="CB786" s="6" t="s">
        <v>5</v>
      </c>
      <c r="CC786" s="6" t="s">
        <v>5</v>
      </c>
      <c r="CD786" s="6" t="s">
        <v>5</v>
      </c>
      <c r="CE786" s="6" t="s">
        <v>5</v>
      </c>
      <c r="CF786" s="16" t="s">
        <v>5</v>
      </c>
      <c r="CG786" s="16" t="s">
        <v>5</v>
      </c>
      <c r="CH786" s="18" t="s">
        <v>5</v>
      </c>
    </row>
    <row r="787" spans="2:86">
      <c r="B787" s="78" t="s">
        <v>473</v>
      </c>
      <c r="C787" s="79" t="s">
        <v>887</v>
      </c>
      <c r="D787" s="80" t="s">
        <v>887</v>
      </c>
      <c r="E787" s="1" t="s">
        <v>4</v>
      </c>
      <c r="F787" s="4">
        <v>22.2</v>
      </c>
      <c r="G787" s="7">
        <v>6.5</v>
      </c>
      <c r="H787" s="3" t="str">
        <f t="shared" si="31"/>
        <v>2L4X3X1/2X3/8LLBB</v>
      </c>
      <c r="I787" s="7">
        <v>4</v>
      </c>
      <c r="J787" s="5" t="s">
        <v>5</v>
      </c>
      <c r="K787" s="6" t="s">
        <v>5</v>
      </c>
      <c r="L787" s="6" t="s">
        <v>5</v>
      </c>
      <c r="M787" s="6" t="s">
        <v>5</v>
      </c>
      <c r="N787" s="6" t="s">
        <v>5</v>
      </c>
      <c r="O787" s="5" t="s">
        <v>5</v>
      </c>
      <c r="P787" s="5" t="s">
        <v>5</v>
      </c>
      <c r="Q787" s="7">
        <v>3</v>
      </c>
      <c r="R787" s="6" t="s">
        <v>5</v>
      </c>
      <c r="S787" s="6" t="s">
        <v>5</v>
      </c>
      <c r="T787" s="5" t="s">
        <v>5</v>
      </c>
      <c r="U787" s="8" t="s">
        <v>5</v>
      </c>
      <c r="V787" s="6" t="s">
        <v>5</v>
      </c>
      <c r="W787" s="8" t="s">
        <v>5</v>
      </c>
      <c r="X787" s="22">
        <v>0.5</v>
      </c>
      <c r="Y787" s="6" t="s">
        <v>5</v>
      </c>
      <c r="Z787" s="6" t="s">
        <v>5</v>
      </c>
      <c r="AA787" s="6" t="s">
        <v>5</v>
      </c>
      <c r="AB787" s="8" t="s">
        <v>5</v>
      </c>
      <c r="AC787" s="8" t="s">
        <v>5</v>
      </c>
      <c r="AD787" s="6" t="s">
        <v>5</v>
      </c>
      <c r="AE787" s="7">
        <v>1.32</v>
      </c>
      <c r="AF787" s="6" t="s">
        <v>5</v>
      </c>
      <c r="AG787" s="6" t="s">
        <v>5</v>
      </c>
      <c r="AH787" s="22">
        <v>0.75</v>
      </c>
      <c r="AI787" s="6" t="s">
        <v>5</v>
      </c>
      <c r="AJ787" s="7">
        <v>8</v>
      </c>
      <c r="AK787" s="6" t="s">
        <v>5</v>
      </c>
      <c r="AL787" s="6" t="s">
        <v>5</v>
      </c>
      <c r="AM787" s="6" t="s">
        <v>5</v>
      </c>
      <c r="AN787" s="6" t="s">
        <v>5</v>
      </c>
      <c r="AO787" s="4">
        <v>10</v>
      </c>
      <c r="AP787" s="7">
        <v>6.72</v>
      </c>
      <c r="AQ787" s="7">
        <v>3.74</v>
      </c>
      <c r="AR787" s="7">
        <v>1.24</v>
      </c>
      <c r="AS787" s="6">
        <v>11.3</v>
      </c>
      <c r="AT787" s="6">
        <v>6.56</v>
      </c>
      <c r="AU787" s="6">
        <v>3.55</v>
      </c>
      <c r="AV787" s="7">
        <v>1.32</v>
      </c>
      <c r="AW787" s="6" t="s">
        <v>5</v>
      </c>
      <c r="AX787" s="6" t="s">
        <v>5</v>
      </c>
      <c r="AY787" s="6" t="s">
        <v>5</v>
      </c>
      <c r="AZ787" s="6" t="s">
        <v>5</v>
      </c>
      <c r="BA787" s="6" t="s">
        <v>5</v>
      </c>
      <c r="BB787" s="6" t="s">
        <v>5</v>
      </c>
      <c r="BC787" s="6" t="s">
        <v>5</v>
      </c>
      <c r="BD787" s="6" t="s">
        <v>5</v>
      </c>
      <c r="BE787" s="6" t="s">
        <v>5</v>
      </c>
      <c r="BF787" s="6" t="s">
        <v>5</v>
      </c>
      <c r="BG787" s="6" t="s">
        <v>5</v>
      </c>
      <c r="BH787" s="6" t="s">
        <v>5</v>
      </c>
      <c r="BI787" s="7">
        <v>2.11</v>
      </c>
      <c r="BJ787" s="22">
        <v>0.74299999999999999</v>
      </c>
      <c r="BK787" s="6" t="s">
        <v>5</v>
      </c>
      <c r="BL787" s="2" t="s">
        <v>5</v>
      </c>
      <c r="BM787" s="2" t="s">
        <v>5</v>
      </c>
      <c r="BN787" s="2" t="s">
        <v>5</v>
      </c>
      <c r="BO787" s="2" t="s">
        <v>5</v>
      </c>
      <c r="BP787" s="2" t="s">
        <v>5</v>
      </c>
      <c r="BQ787" s="2" t="s">
        <v>5</v>
      </c>
      <c r="BR787" s="2" t="s">
        <v>5</v>
      </c>
      <c r="BS787" s="2" t="s">
        <v>5</v>
      </c>
      <c r="BT787" s="2" t="s">
        <v>5</v>
      </c>
      <c r="BU787" s="2" t="s">
        <v>5</v>
      </c>
      <c r="BV787" s="2" t="s">
        <v>5</v>
      </c>
      <c r="BW787" s="2" t="s">
        <v>5</v>
      </c>
      <c r="BX787" s="2" t="s">
        <v>5</v>
      </c>
      <c r="BY787" s="25" t="s">
        <v>5</v>
      </c>
      <c r="BZ787" s="25" t="s">
        <v>5</v>
      </c>
      <c r="CA787" s="6" t="s">
        <v>5</v>
      </c>
      <c r="CB787" s="6" t="s">
        <v>5</v>
      </c>
      <c r="CC787" s="6" t="s">
        <v>5</v>
      </c>
      <c r="CD787" s="6" t="s">
        <v>5</v>
      </c>
      <c r="CE787" s="6" t="s">
        <v>5</v>
      </c>
      <c r="CF787" s="16" t="s">
        <v>5</v>
      </c>
      <c r="CG787" s="16" t="s">
        <v>5</v>
      </c>
      <c r="CH787" s="18" t="s">
        <v>5</v>
      </c>
    </row>
    <row r="788" spans="2:86">
      <c r="B788" s="78" t="s">
        <v>473</v>
      </c>
      <c r="C788" s="79" t="s">
        <v>888</v>
      </c>
      <c r="D788" s="80" t="s">
        <v>888</v>
      </c>
      <c r="E788" s="1" t="s">
        <v>4</v>
      </c>
      <c r="F788" s="4">
        <v>22.2</v>
      </c>
      <c r="G788" s="7">
        <v>6.5</v>
      </c>
      <c r="H788" s="3" t="str">
        <f t="shared" si="31"/>
        <v>2L4X3X1/2X3/4LLBB</v>
      </c>
      <c r="I788" s="7">
        <v>4</v>
      </c>
      <c r="J788" s="5" t="s">
        <v>5</v>
      </c>
      <c r="K788" s="6" t="s">
        <v>5</v>
      </c>
      <c r="L788" s="6" t="s">
        <v>5</v>
      </c>
      <c r="M788" s="6" t="s">
        <v>5</v>
      </c>
      <c r="N788" s="6" t="s">
        <v>5</v>
      </c>
      <c r="O788" s="5" t="s">
        <v>5</v>
      </c>
      <c r="P788" s="5" t="s">
        <v>5</v>
      </c>
      <c r="Q788" s="7">
        <v>3</v>
      </c>
      <c r="R788" s="6" t="s">
        <v>5</v>
      </c>
      <c r="S788" s="6" t="s">
        <v>5</v>
      </c>
      <c r="T788" s="5" t="s">
        <v>5</v>
      </c>
      <c r="U788" s="8" t="s">
        <v>5</v>
      </c>
      <c r="V788" s="6" t="s">
        <v>5</v>
      </c>
      <c r="W788" s="8" t="s">
        <v>5</v>
      </c>
      <c r="X788" s="22">
        <v>0.5</v>
      </c>
      <c r="Y788" s="6" t="s">
        <v>5</v>
      </c>
      <c r="Z788" s="6" t="s">
        <v>5</v>
      </c>
      <c r="AA788" s="6" t="s">
        <v>5</v>
      </c>
      <c r="AB788" s="8" t="s">
        <v>5</v>
      </c>
      <c r="AC788" s="8" t="s">
        <v>5</v>
      </c>
      <c r="AD788" s="6" t="s">
        <v>5</v>
      </c>
      <c r="AE788" s="7">
        <v>1.32</v>
      </c>
      <c r="AF788" s="6" t="s">
        <v>5</v>
      </c>
      <c r="AG788" s="6" t="s">
        <v>5</v>
      </c>
      <c r="AH788" s="22">
        <v>0.75</v>
      </c>
      <c r="AI788" s="6" t="s">
        <v>5</v>
      </c>
      <c r="AJ788" s="7">
        <v>8</v>
      </c>
      <c r="AK788" s="6" t="s">
        <v>5</v>
      </c>
      <c r="AL788" s="6" t="s">
        <v>5</v>
      </c>
      <c r="AM788" s="6" t="s">
        <v>5</v>
      </c>
      <c r="AN788" s="6" t="s">
        <v>5</v>
      </c>
      <c r="AO788" s="4">
        <v>10</v>
      </c>
      <c r="AP788" s="7">
        <v>6.72</v>
      </c>
      <c r="AQ788" s="7">
        <v>3.74</v>
      </c>
      <c r="AR788" s="7">
        <v>1.24</v>
      </c>
      <c r="AS788" s="4">
        <v>14</v>
      </c>
      <c r="AT788" s="6">
        <v>7.78</v>
      </c>
      <c r="AU788" s="6">
        <v>4.1500000000000004</v>
      </c>
      <c r="AV788" s="7">
        <v>1.47</v>
      </c>
      <c r="AW788" s="6" t="s">
        <v>5</v>
      </c>
      <c r="AX788" s="6" t="s">
        <v>5</v>
      </c>
      <c r="AY788" s="6" t="s">
        <v>5</v>
      </c>
      <c r="AZ788" s="6" t="s">
        <v>5</v>
      </c>
      <c r="BA788" s="6" t="s">
        <v>5</v>
      </c>
      <c r="BB788" s="6" t="s">
        <v>5</v>
      </c>
      <c r="BC788" s="6" t="s">
        <v>5</v>
      </c>
      <c r="BD788" s="6" t="s">
        <v>5</v>
      </c>
      <c r="BE788" s="6" t="s">
        <v>5</v>
      </c>
      <c r="BF788" s="6" t="s">
        <v>5</v>
      </c>
      <c r="BG788" s="6" t="s">
        <v>5</v>
      </c>
      <c r="BH788" s="6" t="s">
        <v>5</v>
      </c>
      <c r="BI788" s="7">
        <v>2.2000000000000002</v>
      </c>
      <c r="BJ788" s="22">
        <v>0.76500000000000001</v>
      </c>
      <c r="BK788" s="6" t="s">
        <v>5</v>
      </c>
      <c r="BL788" s="2" t="s">
        <v>5</v>
      </c>
      <c r="BM788" s="2" t="s">
        <v>5</v>
      </c>
      <c r="BN788" s="2" t="s">
        <v>5</v>
      </c>
      <c r="BO788" s="2" t="s">
        <v>5</v>
      </c>
      <c r="BP788" s="2" t="s">
        <v>5</v>
      </c>
      <c r="BQ788" s="2" t="s">
        <v>5</v>
      </c>
      <c r="BR788" s="2" t="s">
        <v>5</v>
      </c>
      <c r="BS788" s="2" t="s">
        <v>5</v>
      </c>
      <c r="BT788" s="2" t="s">
        <v>5</v>
      </c>
      <c r="BU788" s="2" t="s">
        <v>5</v>
      </c>
      <c r="BV788" s="2" t="s">
        <v>5</v>
      </c>
      <c r="BW788" s="2" t="s">
        <v>5</v>
      </c>
      <c r="BX788" s="2" t="s">
        <v>5</v>
      </c>
      <c r="BY788" s="25" t="s">
        <v>5</v>
      </c>
      <c r="BZ788" s="25" t="s">
        <v>5</v>
      </c>
      <c r="CA788" s="6" t="s">
        <v>5</v>
      </c>
      <c r="CB788" s="6" t="s">
        <v>5</v>
      </c>
      <c r="CC788" s="6" t="s">
        <v>5</v>
      </c>
      <c r="CD788" s="6" t="s">
        <v>5</v>
      </c>
      <c r="CE788" s="6" t="s">
        <v>5</v>
      </c>
      <c r="CF788" s="16" t="s">
        <v>5</v>
      </c>
      <c r="CG788" s="16" t="s">
        <v>5</v>
      </c>
      <c r="CH788" s="18" t="s">
        <v>5</v>
      </c>
    </row>
    <row r="789" spans="2:86">
      <c r="B789" s="78" t="s">
        <v>473</v>
      </c>
      <c r="C789" s="79" t="s">
        <v>889</v>
      </c>
      <c r="D789" s="80" t="s">
        <v>889</v>
      </c>
      <c r="E789" s="1" t="s">
        <v>4</v>
      </c>
      <c r="F789" s="4">
        <v>17</v>
      </c>
      <c r="G789" s="7">
        <v>4.9800000000000004</v>
      </c>
      <c r="H789" s="3" t="str">
        <f t="shared" si="31"/>
        <v>2L4X3X3/8LLBB</v>
      </c>
      <c r="I789" s="7">
        <v>4</v>
      </c>
      <c r="J789" s="5" t="s">
        <v>5</v>
      </c>
      <c r="K789" s="6" t="s">
        <v>5</v>
      </c>
      <c r="L789" s="6" t="s">
        <v>5</v>
      </c>
      <c r="M789" s="6" t="s">
        <v>5</v>
      </c>
      <c r="N789" s="6" t="s">
        <v>5</v>
      </c>
      <c r="O789" s="5" t="s">
        <v>5</v>
      </c>
      <c r="P789" s="5" t="s">
        <v>5</v>
      </c>
      <c r="Q789" s="7">
        <v>3</v>
      </c>
      <c r="R789" s="6" t="s">
        <v>5</v>
      </c>
      <c r="S789" s="6" t="s">
        <v>5</v>
      </c>
      <c r="T789" s="5" t="s">
        <v>5</v>
      </c>
      <c r="U789" s="8" t="s">
        <v>5</v>
      </c>
      <c r="V789" s="6" t="s">
        <v>5</v>
      </c>
      <c r="W789" s="8" t="s">
        <v>5</v>
      </c>
      <c r="X789" s="22">
        <v>0.375</v>
      </c>
      <c r="Y789" s="6" t="s">
        <v>5</v>
      </c>
      <c r="Z789" s="6" t="s">
        <v>5</v>
      </c>
      <c r="AA789" s="6" t="s">
        <v>5</v>
      </c>
      <c r="AB789" s="8" t="s">
        <v>5</v>
      </c>
      <c r="AC789" s="8" t="s">
        <v>5</v>
      </c>
      <c r="AD789" s="6" t="s">
        <v>5</v>
      </c>
      <c r="AE789" s="7">
        <v>1.27</v>
      </c>
      <c r="AF789" s="6" t="s">
        <v>5</v>
      </c>
      <c r="AG789" s="6" t="s">
        <v>5</v>
      </c>
      <c r="AH789" s="22">
        <v>0.68</v>
      </c>
      <c r="AI789" s="6" t="s">
        <v>5</v>
      </c>
      <c r="AJ789" s="4">
        <v>10.7</v>
      </c>
      <c r="AK789" s="6" t="s">
        <v>5</v>
      </c>
      <c r="AL789" s="6" t="s">
        <v>5</v>
      </c>
      <c r="AM789" s="6" t="s">
        <v>5</v>
      </c>
      <c r="AN789" s="6" t="s">
        <v>5</v>
      </c>
      <c r="AO789" s="7">
        <v>7.88</v>
      </c>
      <c r="AP789" s="7">
        <v>5.2</v>
      </c>
      <c r="AQ789" s="7">
        <v>2.88</v>
      </c>
      <c r="AR789" s="7">
        <v>1.26</v>
      </c>
      <c r="AS789" s="6">
        <v>6.82</v>
      </c>
      <c r="AT789" s="6">
        <v>3.86</v>
      </c>
      <c r="AU789" s="6">
        <v>2.27</v>
      </c>
      <c r="AV789" s="7">
        <v>1.17</v>
      </c>
      <c r="AW789" s="6" t="s">
        <v>5</v>
      </c>
      <c r="AX789" s="6" t="s">
        <v>5</v>
      </c>
      <c r="AY789" s="6" t="s">
        <v>5</v>
      </c>
      <c r="AZ789" s="6" t="s">
        <v>5</v>
      </c>
      <c r="BA789" s="6" t="s">
        <v>5</v>
      </c>
      <c r="BB789" s="6" t="s">
        <v>5</v>
      </c>
      <c r="BC789" s="6" t="s">
        <v>5</v>
      </c>
      <c r="BD789" s="6" t="s">
        <v>5</v>
      </c>
      <c r="BE789" s="6" t="s">
        <v>5</v>
      </c>
      <c r="BF789" s="6" t="s">
        <v>5</v>
      </c>
      <c r="BG789" s="6" t="s">
        <v>5</v>
      </c>
      <c r="BH789" s="6" t="s">
        <v>5</v>
      </c>
      <c r="BI789" s="7">
        <v>2.0299999999999998</v>
      </c>
      <c r="BJ789" s="22">
        <v>0.71499999999999997</v>
      </c>
      <c r="BK789" s="6" t="s">
        <v>5</v>
      </c>
      <c r="BL789" s="2" t="s">
        <v>5</v>
      </c>
      <c r="BM789" s="2" t="s">
        <v>5</v>
      </c>
      <c r="BN789" s="2" t="s">
        <v>5</v>
      </c>
      <c r="BO789" s="2" t="s">
        <v>5</v>
      </c>
      <c r="BP789" s="2" t="s">
        <v>5</v>
      </c>
      <c r="BQ789" s="2" t="s">
        <v>5</v>
      </c>
      <c r="BR789" s="2" t="s">
        <v>5</v>
      </c>
      <c r="BS789" s="2" t="s">
        <v>5</v>
      </c>
      <c r="BT789" s="2" t="s">
        <v>5</v>
      </c>
      <c r="BU789" s="2" t="s">
        <v>5</v>
      </c>
      <c r="BV789" s="2" t="s">
        <v>5</v>
      </c>
      <c r="BW789" s="2" t="s">
        <v>5</v>
      </c>
      <c r="BX789" s="2" t="s">
        <v>5</v>
      </c>
      <c r="BY789" s="25" t="s">
        <v>5</v>
      </c>
      <c r="BZ789" s="25" t="s">
        <v>5</v>
      </c>
      <c r="CA789" s="6" t="s">
        <v>5</v>
      </c>
      <c r="CB789" s="6" t="s">
        <v>5</v>
      </c>
      <c r="CC789" s="6" t="s">
        <v>5</v>
      </c>
      <c r="CD789" s="6" t="s">
        <v>5</v>
      </c>
      <c r="CE789" s="6" t="s">
        <v>5</v>
      </c>
      <c r="CF789" s="16" t="s">
        <v>5</v>
      </c>
      <c r="CG789" s="16" t="s">
        <v>5</v>
      </c>
      <c r="CH789" s="18" t="s">
        <v>5</v>
      </c>
    </row>
    <row r="790" spans="2:86">
      <c r="B790" s="78" t="s">
        <v>473</v>
      </c>
      <c r="C790" s="79" t="s">
        <v>890</v>
      </c>
      <c r="D790" s="80" t="s">
        <v>890</v>
      </c>
      <c r="E790" s="1" t="s">
        <v>4</v>
      </c>
      <c r="F790" s="4">
        <v>17</v>
      </c>
      <c r="G790" s="7">
        <v>4.9800000000000004</v>
      </c>
      <c r="H790" s="3" t="str">
        <f t="shared" si="31"/>
        <v>2L4X3X3/8X3/8LLBB</v>
      </c>
      <c r="I790" s="7">
        <v>4</v>
      </c>
      <c r="J790" s="5" t="s">
        <v>5</v>
      </c>
      <c r="K790" s="6" t="s">
        <v>5</v>
      </c>
      <c r="L790" s="6" t="s">
        <v>5</v>
      </c>
      <c r="M790" s="6" t="s">
        <v>5</v>
      </c>
      <c r="N790" s="6" t="s">
        <v>5</v>
      </c>
      <c r="O790" s="5" t="s">
        <v>5</v>
      </c>
      <c r="P790" s="5" t="s">
        <v>5</v>
      </c>
      <c r="Q790" s="7">
        <v>3</v>
      </c>
      <c r="R790" s="6" t="s">
        <v>5</v>
      </c>
      <c r="S790" s="6" t="s">
        <v>5</v>
      </c>
      <c r="T790" s="5" t="s">
        <v>5</v>
      </c>
      <c r="U790" s="8" t="s">
        <v>5</v>
      </c>
      <c r="V790" s="6" t="s">
        <v>5</v>
      </c>
      <c r="W790" s="8" t="s">
        <v>5</v>
      </c>
      <c r="X790" s="22">
        <v>0.375</v>
      </c>
      <c r="Y790" s="6" t="s">
        <v>5</v>
      </c>
      <c r="Z790" s="6" t="s">
        <v>5</v>
      </c>
      <c r="AA790" s="6" t="s">
        <v>5</v>
      </c>
      <c r="AB790" s="8" t="s">
        <v>5</v>
      </c>
      <c r="AC790" s="8" t="s">
        <v>5</v>
      </c>
      <c r="AD790" s="6" t="s">
        <v>5</v>
      </c>
      <c r="AE790" s="7">
        <v>1.27</v>
      </c>
      <c r="AF790" s="6" t="s">
        <v>5</v>
      </c>
      <c r="AG790" s="6" t="s">
        <v>5</v>
      </c>
      <c r="AH790" s="22">
        <v>0.68</v>
      </c>
      <c r="AI790" s="6" t="s">
        <v>5</v>
      </c>
      <c r="AJ790" s="4">
        <v>10.7</v>
      </c>
      <c r="AK790" s="6" t="s">
        <v>5</v>
      </c>
      <c r="AL790" s="6" t="s">
        <v>5</v>
      </c>
      <c r="AM790" s="6" t="s">
        <v>5</v>
      </c>
      <c r="AN790" s="6" t="s">
        <v>5</v>
      </c>
      <c r="AO790" s="7">
        <v>7.88</v>
      </c>
      <c r="AP790" s="7">
        <v>5.2</v>
      </c>
      <c r="AQ790" s="7">
        <v>2.88</v>
      </c>
      <c r="AR790" s="7">
        <v>1.26</v>
      </c>
      <c r="AS790" s="6">
        <v>8.42</v>
      </c>
      <c r="AT790" s="6">
        <v>4.79</v>
      </c>
      <c r="AU790" s="6">
        <v>2.64</v>
      </c>
      <c r="AV790" s="7">
        <v>1.3</v>
      </c>
      <c r="AW790" s="6" t="s">
        <v>5</v>
      </c>
      <c r="AX790" s="6" t="s">
        <v>5</v>
      </c>
      <c r="AY790" s="6" t="s">
        <v>5</v>
      </c>
      <c r="AZ790" s="6" t="s">
        <v>5</v>
      </c>
      <c r="BA790" s="6" t="s">
        <v>5</v>
      </c>
      <c r="BB790" s="6" t="s">
        <v>5</v>
      </c>
      <c r="BC790" s="6" t="s">
        <v>5</v>
      </c>
      <c r="BD790" s="6" t="s">
        <v>5</v>
      </c>
      <c r="BE790" s="6" t="s">
        <v>5</v>
      </c>
      <c r="BF790" s="6" t="s">
        <v>5</v>
      </c>
      <c r="BG790" s="6" t="s">
        <v>5</v>
      </c>
      <c r="BH790" s="6" t="s">
        <v>5</v>
      </c>
      <c r="BI790" s="7">
        <v>2.11</v>
      </c>
      <c r="BJ790" s="22">
        <v>0.73599999999999999</v>
      </c>
      <c r="BK790" s="6" t="s">
        <v>5</v>
      </c>
      <c r="BL790" s="2" t="s">
        <v>5</v>
      </c>
      <c r="BM790" s="2" t="s">
        <v>5</v>
      </c>
      <c r="BN790" s="2" t="s">
        <v>5</v>
      </c>
      <c r="BO790" s="2" t="s">
        <v>5</v>
      </c>
      <c r="BP790" s="2" t="s">
        <v>5</v>
      </c>
      <c r="BQ790" s="2" t="s">
        <v>5</v>
      </c>
      <c r="BR790" s="2" t="s">
        <v>5</v>
      </c>
      <c r="BS790" s="2" t="s">
        <v>5</v>
      </c>
      <c r="BT790" s="2" t="s">
        <v>5</v>
      </c>
      <c r="BU790" s="2" t="s">
        <v>5</v>
      </c>
      <c r="BV790" s="2" t="s">
        <v>5</v>
      </c>
      <c r="BW790" s="2" t="s">
        <v>5</v>
      </c>
      <c r="BX790" s="2" t="s">
        <v>5</v>
      </c>
      <c r="BY790" s="25" t="s">
        <v>5</v>
      </c>
      <c r="BZ790" s="25" t="s">
        <v>5</v>
      </c>
      <c r="CA790" s="6" t="s">
        <v>5</v>
      </c>
      <c r="CB790" s="6" t="s">
        <v>5</v>
      </c>
      <c r="CC790" s="6" t="s">
        <v>5</v>
      </c>
      <c r="CD790" s="6" t="s">
        <v>5</v>
      </c>
      <c r="CE790" s="6" t="s">
        <v>5</v>
      </c>
      <c r="CF790" s="16" t="s">
        <v>5</v>
      </c>
      <c r="CG790" s="16" t="s">
        <v>5</v>
      </c>
      <c r="CH790" s="18" t="s">
        <v>5</v>
      </c>
    </row>
    <row r="791" spans="2:86">
      <c r="B791" s="78" t="s">
        <v>473</v>
      </c>
      <c r="C791" s="79" t="s">
        <v>891</v>
      </c>
      <c r="D791" s="80" t="s">
        <v>891</v>
      </c>
      <c r="E791" s="1" t="s">
        <v>4</v>
      </c>
      <c r="F791" s="4">
        <v>17</v>
      </c>
      <c r="G791" s="7">
        <v>4.9800000000000004</v>
      </c>
      <c r="H791" s="3" t="str">
        <f t="shared" si="31"/>
        <v>2L4X3X3/8X3/4LLBB</v>
      </c>
      <c r="I791" s="7">
        <v>4</v>
      </c>
      <c r="J791" s="5" t="s">
        <v>5</v>
      </c>
      <c r="K791" s="6" t="s">
        <v>5</v>
      </c>
      <c r="L791" s="6" t="s">
        <v>5</v>
      </c>
      <c r="M791" s="6" t="s">
        <v>5</v>
      </c>
      <c r="N791" s="6" t="s">
        <v>5</v>
      </c>
      <c r="O791" s="5" t="s">
        <v>5</v>
      </c>
      <c r="P791" s="5" t="s">
        <v>5</v>
      </c>
      <c r="Q791" s="7">
        <v>3</v>
      </c>
      <c r="R791" s="6" t="s">
        <v>5</v>
      </c>
      <c r="S791" s="6" t="s">
        <v>5</v>
      </c>
      <c r="T791" s="5" t="s">
        <v>5</v>
      </c>
      <c r="U791" s="8" t="s">
        <v>5</v>
      </c>
      <c r="V791" s="6" t="s">
        <v>5</v>
      </c>
      <c r="W791" s="8" t="s">
        <v>5</v>
      </c>
      <c r="X791" s="22">
        <v>0.375</v>
      </c>
      <c r="Y791" s="6" t="s">
        <v>5</v>
      </c>
      <c r="Z791" s="6" t="s">
        <v>5</v>
      </c>
      <c r="AA791" s="6" t="s">
        <v>5</v>
      </c>
      <c r="AB791" s="8" t="s">
        <v>5</v>
      </c>
      <c r="AC791" s="8" t="s">
        <v>5</v>
      </c>
      <c r="AD791" s="6" t="s">
        <v>5</v>
      </c>
      <c r="AE791" s="7">
        <v>1.27</v>
      </c>
      <c r="AF791" s="6" t="s">
        <v>5</v>
      </c>
      <c r="AG791" s="6" t="s">
        <v>5</v>
      </c>
      <c r="AH791" s="22">
        <v>0.68</v>
      </c>
      <c r="AI791" s="6" t="s">
        <v>5</v>
      </c>
      <c r="AJ791" s="4">
        <v>10.7</v>
      </c>
      <c r="AK791" s="6" t="s">
        <v>5</v>
      </c>
      <c r="AL791" s="6" t="s">
        <v>5</v>
      </c>
      <c r="AM791" s="6" t="s">
        <v>5</v>
      </c>
      <c r="AN791" s="6" t="s">
        <v>5</v>
      </c>
      <c r="AO791" s="7">
        <v>7.88</v>
      </c>
      <c r="AP791" s="7">
        <v>5.2</v>
      </c>
      <c r="AQ791" s="7">
        <v>2.88</v>
      </c>
      <c r="AR791" s="7">
        <v>1.26</v>
      </c>
      <c r="AS791" s="6">
        <v>10.3</v>
      </c>
      <c r="AT791" s="6">
        <v>5.73</v>
      </c>
      <c r="AU791" s="6">
        <v>3.05</v>
      </c>
      <c r="AV791" s="7">
        <v>1.44</v>
      </c>
      <c r="AW791" s="6" t="s">
        <v>5</v>
      </c>
      <c r="AX791" s="6" t="s">
        <v>5</v>
      </c>
      <c r="AY791" s="6" t="s">
        <v>5</v>
      </c>
      <c r="AZ791" s="6" t="s">
        <v>5</v>
      </c>
      <c r="BA791" s="6" t="s">
        <v>5</v>
      </c>
      <c r="BB791" s="6" t="s">
        <v>5</v>
      </c>
      <c r="BC791" s="6" t="s">
        <v>5</v>
      </c>
      <c r="BD791" s="6" t="s">
        <v>5</v>
      </c>
      <c r="BE791" s="6" t="s">
        <v>5</v>
      </c>
      <c r="BF791" s="6" t="s">
        <v>5</v>
      </c>
      <c r="BG791" s="6" t="s">
        <v>5</v>
      </c>
      <c r="BH791" s="6" t="s">
        <v>5</v>
      </c>
      <c r="BI791" s="7">
        <v>2.2000000000000002</v>
      </c>
      <c r="BJ791" s="22">
        <v>0.75700000000000001</v>
      </c>
      <c r="BK791" s="6" t="s">
        <v>5</v>
      </c>
      <c r="BL791" s="2" t="s">
        <v>5</v>
      </c>
      <c r="BM791" s="2" t="s">
        <v>5</v>
      </c>
      <c r="BN791" s="2" t="s">
        <v>5</v>
      </c>
      <c r="BO791" s="2" t="s">
        <v>5</v>
      </c>
      <c r="BP791" s="2" t="s">
        <v>5</v>
      </c>
      <c r="BQ791" s="2" t="s">
        <v>5</v>
      </c>
      <c r="BR791" s="2" t="s">
        <v>5</v>
      </c>
      <c r="BS791" s="2" t="s">
        <v>5</v>
      </c>
      <c r="BT791" s="2" t="s">
        <v>5</v>
      </c>
      <c r="BU791" s="2" t="s">
        <v>5</v>
      </c>
      <c r="BV791" s="2" t="s">
        <v>5</v>
      </c>
      <c r="BW791" s="2" t="s">
        <v>5</v>
      </c>
      <c r="BX791" s="2" t="s">
        <v>5</v>
      </c>
      <c r="BY791" s="25" t="s">
        <v>5</v>
      </c>
      <c r="BZ791" s="25" t="s">
        <v>5</v>
      </c>
      <c r="CA791" s="6" t="s">
        <v>5</v>
      </c>
      <c r="CB791" s="6" t="s">
        <v>5</v>
      </c>
      <c r="CC791" s="6" t="s">
        <v>5</v>
      </c>
      <c r="CD791" s="6" t="s">
        <v>5</v>
      </c>
      <c r="CE791" s="6" t="s">
        <v>5</v>
      </c>
      <c r="CF791" s="16" t="s">
        <v>5</v>
      </c>
      <c r="CG791" s="16" t="s">
        <v>5</v>
      </c>
      <c r="CH791" s="18" t="s">
        <v>5</v>
      </c>
    </row>
    <row r="792" spans="2:86">
      <c r="B792" s="78" t="s">
        <v>473</v>
      </c>
      <c r="C792" s="79" t="s">
        <v>892</v>
      </c>
      <c r="D792" s="80" t="s">
        <v>892</v>
      </c>
      <c r="E792" s="1" t="s">
        <v>4</v>
      </c>
      <c r="F792" s="4">
        <v>14.4</v>
      </c>
      <c r="G792" s="7">
        <v>4.18</v>
      </c>
      <c r="H792" s="3" t="str">
        <f t="shared" si="31"/>
        <v>2L4X3X5/16LLBB</v>
      </c>
      <c r="I792" s="7">
        <v>4</v>
      </c>
      <c r="J792" s="5" t="s">
        <v>5</v>
      </c>
      <c r="K792" s="6" t="s">
        <v>5</v>
      </c>
      <c r="L792" s="6" t="s">
        <v>5</v>
      </c>
      <c r="M792" s="6" t="s">
        <v>5</v>
      </c>
      <c r="N792" s="6" t="s">
        <v>5</v>
      </c>
      <c r="O792" s="5" t="s">
        <v>5</v>
      </c>
      <c r="P792" s="5" t="s">
        <v>5</v>
      </c>
      <c r="Q792" s="7">
        <v>3</v>
      </c>
      <c r="R792" s="6" t="s">
        <v>5</v>
      </c>
      <c r="S792" s="6" t="s">
        <v>5</v>
      </c>
      <c r="T792" s="5" t="s">
        <v>5</v>
      </c>
      <c r="U792" s="8" t="s">
        <v>5</v>
      </c>
      <c r="V792" s="6" t="s">
        <v>5</v>
      </c>
      <c r="W792" s="8" t="s">
        <v>5</v>
      </c>
      <c r="X792" s="22">
        <v>0.313</v>
      </c>
      <c r="Y792" s="6" t="s">
        <v>5</v>
      </c>
      <c r="Z792" s="6" t="s">
        <v>5</v>
      </c>
      <c r="AA792" s="6" t="s">
        <v>5</v>
      </c>
      <c r="AB792" s="8" t="s">
        <v>5</v>
      </c>
      <c r="AC792" s="8" t="s">
        <v>5</v>
      </c>
      <c r="AD792" s="6" t="s">
        <v>5</v>
      </c>
      <c r="AE792" s="7">
        <v>1.25</v>
      </c>
      <c r="AF792" s="6" t="s">
        <v>5</v>
      </c>
      <c r="AG792" s="6" t="s">
        <v>5</v>
      </c>
      <c r="AH792" s="22">
        <v>0.65600000000000003</v>
      </c>
      <c r="AI792" s="6" t="s">
        <v>5</v>
      </c>
      <c r="AJ792" s="4">
        <v>12.8</v>
      </c>
      <c r="AK792" s="6" t="s">
        <v>5</v>
      </c>
      <c r="AL792" s="6" t="s">
        <v>5</v>
      </c>
      <c r="AM792" s="6" t="s">
        <v>5</v>
      </c>
      <c r="AN792" s="6" t="s">
        <v>5</v>
      </c>
      <c r="AO792" s="7">
        <v>6.72</v>
      </c>
      <c r="AP792" s="7">
        <v>4.38</v>
      </c>
      <c r="AQ792" s="7">
        <v>2.44</v>
      </c>
      <c r="AR792" s="7">
        <v>1.27</v>
      </c>
      <c r="AS792" s="6">
        <v>5.62</v>
      </c>
      <c r="AT792" s="6">
        <v>3.14</v>
      </c>
      <c r="AU792" s="6">
        <v>1.87</v>
      </c>
      <c r="AV792" s="7">
        <v>1.1599999999999999</v>
      </c>
      <c r="AW792" s="6" t="s">
        <v>5</v>
      </c>
      <c r="AX792" s="6" t="s">
        <v>5</v>
      </c>
      <c r="AY792" s="6" t="s">
        <v>5</v>
      </c>
      <c r="AZ792" s="6" t="s">
        <v>5</v>
      </c>
      <c r="BA792" s="6" t="s">
        <v>5</v>
      </c>
      <c r="BB792" s="6" t="s">
        <v>5</v>
      </c>
      <c r="BC792" s="6" t="s">
        <v>5</v>
      </c>
      <c r="BD792" s="6" t="s">
        <v>5</v>
      </c>
      <c r="BE792" s="6" t="s">
        <v>5</v>
      </c>
      <c r="BF792" s="6" t="s">
        <v>5</v>
      </c>
      <c r="BG792" s="6" t="s">
        <v>5</v>
      </c>
      <c r="BH792" s="6" t="s">
        <v>5</v>
      </c>
      <c r="BI792" s="7">
        <v>2.0299999999999998</v>
      </c>
      <c r="BJ792" s="22">
        <v>0.71199999999999997</v>
      </c>
      <c r="BK792" s="6" t="s">
        <v>5</v>
      </c>
      <c r="BL792" s="2" t="s">
        <v>5</v>
      </c>
      <c r="BM792" s="2" t="s">
        <v>5</v>
      </c>
      <c r="BN792" s="2" t="s">
        <v>5</v>
      </c>
      <c r="BO792" s="2" t="s">
        <v>5</v>
      </c>
      <c r="BP792" s="2" t="s">
        <v>5</v>
      </c>
      <c r="BQ792" s="2" t="s">
        <v>5</v>
      </c>
      <c r="BR792" s="2" t="s">
        <v>5</v>
      </c>
      <c r="BS792" s="2" t="s">
        <v>5</v>
      </c>
      <c r="BT792" s="2" t="s">
        <v>5</v>
      </c>
      <c r="BU792" s="2" t="s">
        <v>5</v>
      </c>
      <c r="BV792" s="2" t="s">
        <v>5</v>
      </c>
      <c r="BW792" s="2" t="s">
        <v>5</v>
      </c>
      <c r="BX792" s="2" t="s">
        <v>5</v>
      </c>
      <c r="BY792" s="25" t="s">
        <v>5</v>
      </c>
      <c r="BZ792" s="25" t="s">
        <v>5</v>
      </c>
      <c r="CA792" s="6" t="s">
        <v>5</v>
      </c>
      <c r="CB792" s="6" t="s">
        <v>5</v>
      </c>
      <c r="CC792" s="6" t="s">
        <v>5</v>
      </c>
      <c r="CD792" s="6" t="s">
        <v>5</v>
      </c>
      <c r="CE792" s="6" t="s">
        <v>5</v>
      </c>
      <c r="CF792" s="16" t="s">
        <v>5</v>
      </c>
      <c r="CG792" s="16" t="s">
        <v>5</v>
      </c>
      <c r="CH792" s="18" t="s">
        <v>5</v>
      </c>
    </row>
    <row r="793" spans="2:86">
      <c r="B793" s="78" t="s">
        <v>473</v>
      </c>
      <c r="C793" s="79" t="s">
        <v>893</v>
      </c>
      <c r="D793" s="80" t="s">
        <v>893</v>
      </c>
      <c r="E793" s="1" t="s">
        <v>4</v>
      </c>
      <c r="F793" s="4">
        <v>14.4</v>
      </c>
      <c r="G793" s="7">
        <v>4.18</v>
      </c>
      <c r="H793" s="3" t="str">
        <f t="shared" si="31"/>
        <v>2L4X3X5/16X3/8LLBB</v>
      </c>
      <c r="I793" s="7">
        <v>4</v>
      </c>
      <c r="J793" s="5" t="s">
        <v>5</v>
      </c>
      <c r="K793" s="6" t="s">
        <v>5</v>
      </c>
      <c r="L793" s="6" t="s">
        <v>5</v>
      </c>
      <c r="M793" s="6" t="s">
        <v>5</v>
      </c>
      <c r="N793" s="6" t="s">
        <v>5</v>
      </c>
      <c r="O793" s="5" t="s">
        <v>5</v>
      </c>
      <c r="P793" s="5" t="s">
        <v>5</v>
      </c>
      <c r="Q793" s="7">
        <v>3</v>
      </c>
      <c r="R793" s="6" t="s">
        <v>5</v>
      </c>
      <c r="S793" s="6" t="s">
        <v>5</v>
      </c>
      <c r="T793" s="5" t="s">
        <v>5</v>
      </c>
      <c r="U793" s="8" t="s">
        <v>5</v>
      </c>
      <c r="V793" s="6" t="s">
        <v>5</v>
      </c>
      <c r="W793" s="8" t="s">
        <v>5</v>
      </c>
      <c r="X793" s="22">
        <v>0.313</v>
      </c>
      <c r="Y793" s="6" t="s">
        <v>5</v>
      </c>
      <c r="Z793" s="6" t="s">
        <v>5</v>
      </c>
      <c r="AA793" s="6" t="s">
        <v>5</v>
      </c>
      <c r="AB793" s="8" t="s">
        <v>5</v>
      </c>
      <c r="AC793" s="8" t="s">
        <v>5</v>
      </c>
      <c r="AD793" s="6" t="s">
        <v>5</v>
      </c>
      <c r="AE793" s="7">
        <v>1.25</v>
      </c>
      <c r="AF793" s="6" t="s">
        <v>5</v>
      </c>
      <c r="AG793" s="6" t="s">
        <v>5</v>
      </c>
      <c r="AH793" s="22">
        <v>0.65600000000000003</v>
      </c>
      <c r="AI793" s="6" t="s">
        <v>5</v>
      </c>
      <c r="AJ793" s="4">
        <v>12.8</v>
      </c>
      <c r="AK793" s="6" t="s">
        <v>5</v>
      </c>
      <c r="AL793" s="6" t="s">
        <v>5</v>
      </c>
      <c r="AM793" s="6" t="s">
        <v>5</v>
      </c>
      <c r="AN793" s="6" t="s">
        <v>5</v>
      </c>
      <c r="AO793" s="7">
        <v>6.72</v>
      </c>
      <c r="AP793" s="7">
        <v>4.38</v>
      </c>
      <c r="AQ793" s="7">
        <v>2.44</v>
      </c>
      <c r="AR793" s="7">
        <v>1.27</v>
      </c>
      <c r="AS793" s="6">
        <v>6.96</v>
      </c>
      <c r="AT793" s="6">
        <v>3.92</v>
      </c>
      <c r="AU793" s="6">
        <v>2.1800000000000002</v>
      </c>
      <c r="AV793" s="7">
        <v>1.29</v>
      </c>
      <c r="AW793" s="6" t="s">
        <v>5</v>
      </c>
      <c r="AX793" s="6" t="s">
        <v>5</v>
      </c>
      <c r="AY793" s="6" t="s">
        <v>5</v>
      </c>
      <c r="AZ793" s="6" t="s">
        <v>5</v>
      </c>
      <c r="BA793" s="6" t="s">
        <v>5</v>
      </c>
      <c r="BB793" s="6" t="s">
        <v>5</v>
      </c>
      <c r="BC793" s="6" t="s">
        <v>5</v>
      </c>
      <c r="BD793" s="6" t="s">
        <v>5</v>
      </c>
      <c r="BE793" s="6" t="s">
        <v>5</v>
      </c>
      <c r="BF793" s="6" t="s">
        <v>5</v>
      </c>
      <c r="BG793" s="6" t="s">
        <v>5</v>
      </c>
      <c r="BH793" s="6" t="s">
        <v>5</v>
      </c>
      <c r="BI793" s="7">
        <v>2.11</v>
      </c>
      <c r="BJ793" s="22">
        <v>0.73299999999999998</v>
      </c>
      <c r="BK793" s="6" t="s">
        <v>5</v>
      </c>
      <c r="BL793" s="2" t="s">
        <v>5</v>
      </c>
      <c r="BM793" s="2" t="s">
        <v>5</v>
      </c>
      <c r="BN793" s="2" t="s">
        <v>5</v>
      </c>
      <c r="BO793" s="2" t="s">
        <v>5</v>
      </c>
      <c r="BP793" s="2" t="s">
        <v>5</v>
      </c>
      <c r="BQ793" s="2" t="s">
        <v>5</v>
      </c>
      <c r="BR793" s="2" t="s">
        <v>5</v>
      </c>
      <c r="BS793" s="2" t="s">
        <v>5</v>
      </c>
      <c r="BT793" s="2" t="s">
        <v>5</v>
      </c>
      <c r="BU793" s="2" t="s">
        <v>5</v>
      </c>
      <c r="BV793" s="2" t="s">
        <v>5</v>
      </c>
      <c r="BW793" s="2" t="s">
        <v>5</v>
      </c>
      <c r="BX793" s="2" t="s">
        <v>5</v>
      </c>
      <c r="BY793" s="25" t="s">
        <v>5</v>
      </c>
      <c r="BZ793" s="25" t="s">
        <v>5</v>
      </c>
      <c r="CA793" s="6" t="s">
        <v>5</v>
      </c>
      <c r="CB793" s="6" t="s">
        <v>5</v>
      </c>
      <c r="CC793" s="6" t="s">
        <v>5</v>
      </c>
      <c r="CD793" s="6" t="s">
        <v>5</v>
      </c>
      <c r="CE793" s="6" t="s">
        <v>5</v>
      </c>
      <c r="CF793" s="16" t="s">
        <v>5</v>
      </c>
      <c r="CG793" s="16" t="s">
        <v>5</v>
      </c>
      <c r="CH793" s="18" t="s">
        <v>5</v>
      </c>
    </row>
    <row r="794" spans="2:86">
      <c r="B794" s="78" t="s">
        <v>473</v>
      </c>
      <c r="C794" s="79" t="s">
        <v>894</v>
      </c>
      <c r="D794" s="80" t="s">
        <v>894</v>
      </c>
      <c r="E794" s="1" t="s">
        <v>4</v>
      </c>
      <c r="F794" s="4">
        <v>14.4</v>
      </c>
      <c r="G794" s="7">
        <v>4.18</v>
      </c>
      <c r="H794" s="3" t="str">
        <f t="shared" si="31"/>
        <v>2L4X3X5/16X3/4LLBB</v>
      </c>
      <c r="I794" s="7">
        <v>4</v>
      </c>
      <c r="J794" s="5" t="s">
        <v>5</v>
      </c>
      <c r="K794" s="6" t="s">
        <v>5</v>
      </c>
      <c r="L794" s="6" t="s">
        <v>5</v>
      </c>
      <c r="M794" s="6" t="s">
        <v>5</v>
      </c>
      <c r="N794" s="6" t="s">
        <v>5</v>
      </c>
      <c r="O794" s="5" t="s">
        <v>5</v>
      </c>
      <c r="P794" s="5" t="s">
        <v>5</v>
      </c>
      <c r="Q794" s="7">
        <v>3</v>
      </c>
      <c r="R794" s="6" t="s">
        <v>5</v>
      </c>
      <c r="S794" s="6" t="s">
        <v>5</v>
      </c>
      <c r="T794" s="5" t="s">
        <v>5</v>
      </c>
      <c r="U794" s="8" t="s">
        <v>5</v>
      </c>
      <c r="V794" s="6" t="s">
        <v>5</v>
      </c>
      <c r="W794" s="8" t="s">
        <v>5</v>
      </c>
      <c r="X794" s="22">
        <v>0.313</v>
      </c>
      <c r="Y794" s="6" t="s">
        <v>5</v>
      </c>
      <c r="Z794" s="6" t="s">
        <v>5</v>
      </c>
      <c r="AA794" s="6" t="s">
        <v>5</v>
      </c>
      <c r="AB794" s="8" t="s">
        <v>5</v>
      </c>
      <c r="AC794" s="8" t="s">
        <v>5</v>
      </c>
      <c r="AD794" s="6" t="s">
        <v>5</v>
      </c>
      <c r="AE794" s="7">
        <v>1.25</v>
      </c>
      <c r="AF794" s="6" t="s">
        <v>5</v>
      </c>
      <c r="AG794" s="6" t="s">
        <v>5</v>
      </c>
      <c r="AH794" s="22">
        <v>0.65600000000000003</v>
      </c>
      <c r="AI794" s="6" t="s">
        <v>5</v>
      </c>
      <c r="AJ794" s="4">
        <v>12.8</v>
      </c>
      <c r="AK794" s="6" t="s">
        <v>5</v>
      </c>
      <c r="AL794" s="6" t="s">
        <v>5</v>
      </c>
      <c r="AM794" s="6" t="s">
        <v>5</v>
      </c>
      <c r="AN794" s="6" t="s">
        <v>5</v>
      </c>
      <c r="AO794" s="7">
        <v>6.72</v>
      </c>
      <c r="AP794" s="7">
        <v>4.38</v>
      </c>
      <c r="AQ794" s="7">
        <v>2.44</v>
      </c>
      <c r="AR794" s="7">
        <v>1.27</v>
      </c>
      <c r="AS794" s="6">
        <v>8.5500000000000007</v>
      </c>
      <c r="AT794" s="7">
        <v>4.7</v>
      </c>
      <c r="AU794" s="6">
        <v>2.5299999999999998</v>
      </c>
      <c r="AV794" s="7">
        <v>1.43</v>
      </c>
      <c r="AW794" s="6" t="s">
        <v>5</v>
      </c>
      <c r="AX794" s="6" t="s">
        <v>5</v>
      </c>
      <c r="AY794" s="6" t="s">
        <v>5</v>
      </c>
      <c r="AZ794" s="6" t="s">
        <v>5</v>
      </c>
      <c r="BA794" s="6" t="s">
        <v>5</v>
      </c>
      <c r="BB794" s="6" t="s">
        <v>5</v>
      </c>
      <c r="BC794" s="6" t="s">
        <v>5</v>
      </c>
      <c r="BD794" s="6" t="s">
        <v>5</v>
      </c>
      <c r="BE794" s="6" t="s">
        <v>5</v>
      </c>
      <c r="BF794" s="6" t="s">
        <v>5</v>
      </c>
      <c r="BG794" s="6" t="s">
        <v>5</v>
      </c>
      <c r="BH794" s="6" t="s">
        <v>5</v>
      </c>
      <c r="BI794" s="7">
        <v>2.2000000000000002</v>
      </c>
      <c r="BJ794" s="22">
        <v>0.754</v>
      </c>
      <c r="BK794" s="6" t="s">
        <v>5</v>
      </c>
      <c r="BL794" s="2" t="s">
        <v>5</v>
      </c>
      <c r="BM794" s="2" t="s">
        <v>5</v>
      </c>
      <c r="BN794" s="2" t="s">
        <v>5</v>
      </c>
      <c r="BO794" s="2" t="s">
        <v>5</v>
      </c>
      <c r="BP794" s="2" t="s">
        <v>5</v>
      </c>
      <c r="BQ794" s="2" t="s">
        <v>5</v>
      </c>
      <c r="BR794" s="2" t="s">
        <v>5</v>
      </c>
      <c r="BS794" s="2" t="s">
        <v>5</v>
      </c>
      <c r="BT794" s="2" t="s">
        <v>5</v>
      </c>
      <c r="BU794" s="2" t="s">
        <v>5</v>
      </c>
      <c r="BV794" s="2" t="s">
        <v>5</v>
      </c>
      <c r="BW794" s="2" t="s">
        <v>5</v>
      </c>
      <c r="BX794" s="2" t="s">
        <v>5</v>
      </c>
      <c r="BY794" s="25" t="s">
        <v>5</v>
      </c>
      <c r="BZ794" s="25" t="s">
        <v>5</v>
      </c>
      <c r="CA794" s="6" t="s">
        <v>5</v>
      </c>
      <c r="CB794" s="6" t="s">
        <v>5</v>
      </c>
      <c r="CC794" s="6" t="s">
        <v>5</v>
      </c>
      <c r="CD794" s="6" t="s">
        <v>5</v>
      </c>
      <c r="CE794" s="6" t="s">
        <v>5</v>
      </c>
      <c r="CF794" s="16" t="s">
        <v>5</v>
      </c>
      <c r="CG794" s="16" t="s">
        <v>5</v>
      </c>
      <c r="CH794" s="18" t="s">
        <v>5</v>
      </c>
    </row>
    <row r="795" spans="2:86">
      <c r="B795" s="78" t="s">
        <v>473</v>
      </c>
      <c r="C795" s="79" t="s">
        <v>895</v>
      </c>
      <c r="D795" s="80" t="s">
        <v>895</v>
      </c>
      <c r="E795" s="1" t="s">
        <v>4</v>
      </c>
      <c r="F795" s="4">
        <v>11.6</v>
      </c>
      <c r="G795" s="7">
        <v>3.38</v>
      </c>
      <c r="H795" s="3" t="str">
        <f t="shared" si="31"/>
        <v>2L4X3X1/4LLBB</v>
      </c>
      <c r="I795" s="7">
        <v>4</v>
      </c>
      <c r="J795" s="5" t="s">
        <v>5</v>
      </c>
      <c r="K795" s="6" t="s">
        <v>5</v>
      </c>
      <c r="L795" s="6" t="s">
        <v>5</v>
      </c>
      <c r="M795" s="6" t="s">
        <v>5</v>
      </c>
      <c r="N795" s="6" t="s">
        <v>5</v>
      </c>
      <c r="O795" s="5" t="s">
        <v>5</v>
      </c>
      <c r="P795" s="5" t="s">
        <v>5</v>
      </c>
      <c r="Q795" s="7">
        <v>3</v>
      </c>
      <c r="R795" s="6" t="s">
        <v>5</v>
      </c>
      <c r="S795" s="6" t="s">
        <v>5</v>
      </c>
      <c r="T795" s="5" t="s">
        <v>5</v>
      </c>
      <c r="U795" s="8" t="s">
        <v>5</v>
      </c>
      <c r="V795" s="6" t="s">
        <v>5</v>
      </c>
      <c r="W795" s="8" t="s">
        <v>5</v>
      </c>
      <c r="X795" s="22">
        <v>0.25</v>
      </c>
      <c r="Y795" s="6" t="s">
        <v>5</v>
      </c>
      <c r="Z795" s="6" t="s">
        <v>5</v>
      </c>
      <c r="AA795" s="6" t="s">
        <v>5</v>
      </c>
      <c r="AB795" s="8" t="s">
        <v>5</v>
      </c>
      <c r="AC795" s="8" t="s">
        <v>5</v>
      </c>
      <c r="AD795" s="6" t="s">
        <v>5</v>
      </c>
      <c r="AE795" s="7">
        <v>1.22</v>
      </c>
      <c r="AF795" s="6" t="s">
        <v>5</v>
      </c>
      <c r="AG795" s="6" t="s">
        <v>5</v>
      </c>
      <c r="AH795" s="22">
        <v>0.62</v>
      </c>
      <c r="AI795" s="6" t="s">
        <v>5</v>
      </c>
      <c r="AJ795" s="4">
        <v>16</v>
      </c>
      <c r="AK795" s="6" t="s">
        <v>5</v>
      </c>
      <c r="AL795" s="6" t="s">
        <v>5</v>
      </c>
      <c r="AM795" s="6" t="s">
        <v>5</v>
      </c>
      <c r="AN795" s="6" t="s">
        <v>5</v>
      </c>
      <c r="AO795" s="7">
        <v>5.5</v>
      </c>
      <c r="AP795" s="7">
        <v>3.54</v>
      </c>
      <c r="AQ795" s="7">
        <v>1.98</v>
      </c>
      <c r="AR795" s="7">
        <v>1.27</v>
      </c>
      <c r="AS795" s="6">
        <v>4.47</v>
      </c>
      <c r="AT795" s="6">
        <v>2.4500000000000002</v>
      </c>
      <c r="AU795" s="6">
        <v>1.49</v>
      </c>
      <c r="AV795" s="7">
        <v>1.1499999999999999</v>
      </c>
      <c r="AW795" s="6" t="s">
        <v>5</v>
      </c>
      <c r="AX795" s="6" t="s">
        <v>5</v>
      </c>
      <c r="AY795" s="6" t="s">
        <v>5</v>
      </c>
      <c r="AZ795" s="6" t="s">
        <v>5</v>
      </c>
      <c r="BA795" s="6" t="s">
        <v>5</v>
      </c>
      <c r="BB795" s="6" t="s">
        <v>5</v>
      </c>
      <c r="BC795" s="6" t="s">
        <v>5</v>
      </c>
      <c r="BD795" s="6" t="s">
        <v>5</v>
      </c>
      <c r="BE795" s="6" t="s">
        <v>5</v>
      </c>
      <c r="BF795" s="6" t="s">
        <v>5</v>
      </c>
      <c r="BG795" s="6" t="s">
        <v>5</v>
      </c>
      <c r="BH795" s="6" t="s">
        <v>5</v>
      </c>
      <c r="BI795" s="7">
        <v>2.0299999999999998</v>
      </c>
      <c r="BJ795" s="22">
        <v>0.71</v>
      </c>
      <c r="BK795" s="6" t="s">
        <v>5</v>
      </c>
      <c r="BL795" s="2" t="s">
        <v>5</v>
      </c>
      <c r="BM795" s="2" t="s">
        <v>5</v>
      </c>
      <c r="BN795" s="2" t="s">
        <v>5</v>
      </c>
      <c r="BO795" s="2" t="s">
        <v>5</v>
      </c>
      <c r="BP795" s="2" t="s">
        <v>5</v>
      </c>
      <c r="BQ795" s="2" t="s">
        <v>5</v>
      </c>
      <c r="BR795" s="2" t="s">
        <v>5</v>
      </c>
      <c r="BS795" s="2" t="s">
        <v>5</v>
      </c>
      <c r="BT795" s="2" t="s">
        <v>5</v>
      </c>
      <c r="BU795" s="2" t="s">
        <v>5</v>
      </c>
      <c r="BV795" s="2" t="s">
        <v>5</v>
      </c>
      <c r="BW795" s="2" t="s">
        <v>5</v>
      </c>
      <c r="BX795" s="2" t="s">
        <v>5</v>
      </c>
      <c r="BY795" s="25" t="s">
        <v>5</v>
      </c>
      <c r="BZ795" s="25" t="s">
        <v>5</v>
      </c>
      <c r="CA795" s="6" t="s">
        <v>5</v>
      </c>
      <c r="CB795" s="6" t="s">
        <v>5</v>
      </c>
      <c r="CC795" s="6" t="s">
        <v>5</v>
      </c>
      <c r="CD795" s="6" t="s">
        <v>5</v>
      </c>
      <c r="CE795" s="6" t="s">
        <v>5</v>
      </c>
      <c r="CF795" s="16" t="s">
        <v>5</v>
      </c>
      <c r="CG795" s="16" t="s">
        <v>5</v>
      </c>
      <c r="CH795" s="18" t="s">
        <v>5</v>
      </c>
    </row>
    <row r="796" spans="2:86">
      <c r="B796" s="78" t="s">
        <v>473</v>
      </c>
      <c r="C796" s="79" t="s">
        <v>896</v>
      </c>
      <c r="D796" s="80" t="s">
        <v>896</v>
      </c>
      <c r="E796" s="1" t="s">
        <v>4</v>
      </c>
      <c r="F796" s="4">
        <v>11.6</v>
      </c>
      <c r="G796" s="7">
        <v>3.38</v>
      </c>
      <c r="H796" s="3" t="str">
        <f t="shared" si="31"/>
        <v>2L4X3X1/4X3/8LLBB</v>
      </c>
      <c r="I796" s="7">
        <v>4</v>
      </c>
      <c r="J796" s="5" t="s">
        <v>5</v>
      </c>
      <c r="K796" s="6" t="s">
        <v>5</v>
      </c>
      <c r="L796" s="6" t="s">
        <v>5</v>
      </c>
      <c r="M796" s="6" t="s">
        <v>5</v>
      </c>
      <c r="N796" s="6" t="s">
        <v>5</v>
      </c>
      <c r="O796" s="5" t="s">
        <v>5</v>
      </c>
      <c r="P796" s="5" t="s">
        <v>5</v>
      </c>
      <c r="Q796" s="7">
        <v>3</v>
      </c>
      <c r="R796" s="6" t="s">
        <v>5</v>
      </c>
      <c r="S796" s="6" t="s">
        <v>5</v>
      </c>
      <c r="T796" s="5" t="s">
        <v>5</v>
      </c>
      <c r="U796" s="8" t="s">
        <v>5</v>
      </c>
      <c r="V796" s="6" t="s">
        <v>5</v>
      </c>
      <c r="W796" s="8" t="s">
        <v>5</v>
      </c>
      <c r="X796" s="22">
        <v>0.25</v>
      </c>
      <c r="Y796" s="6" t="s">
        <v>5</v>
      </c>
      <c r="Z796" s="6" t="s">
        <v>5</v>
      </c>
      <c r="AA796" s="6" t="s">
        <v>5</v>
      </c>
      <c r="AB796" s="8" t="s">
        <v>5</v>
      </c>
      <c r="AC796" s="8" t="s">
        <v>5</v>
      </c>
      <c r="AD796" s="6" t="s">
        <v>5</v>
      </c>
      <c r="AE796" s="7">
        <v>1.22</v>
      </c>
      <c r="AF796" s="6" t="s">
        <v>5</v>
      </c>
      <c r="AG796" s="6" t="s">
        <v>5</v>
      </c>
      <c r="AH796" s="22">
        <v>0.62</v>
      </c>
      <c r="AI796" s="6" t="s">
        <v>5</v>
      </c>
      <c r="AJ796" s="4">
        <v>16</v>
      </c>
      <c r="AK796" s="6" t="s">
        <v>5</v>
      </c>
      <c r="AL796" s="6" t="s">
        <v>5</v>
      </c>
      <c r="AM796" s="6" t="s">
        <v>5</v>
      </c>
      <c r="AN796" s="6" t="s">
        <v>5</v>
      </c>
      <c r="AO796" s="7">
        <v>5.5</v>
      </c>
      <c r="AP796" s="7">
        <v>3.54</v>
      </c>
      <c r="AQ796" s="7">
        <v>1.98</v>
      </c>
      <c r="AR796" s="7">
        <v>1.27</v>
      </c>
      <c r="AS796" s="6">
        <v>5.45</v>
      </c>
      <c r="AT796" s="6">
        <v>3.08</v>
      </c>
      <c r="AU796" s="6">
        <v>1.71</v>
      </c>
      <c r="AV796" s="7">
        <v>1.27</v>
      </c>
      <c r="AW796" s="6" t="s">
        <v>5</v>
      </c>
      <c r="AX796" s="6" t="s">
        <v>5</v>
      </c>
      <c r="AY796" s="6" t="s">
        <v>5</v>
      </c>
      <c r="AZ796" s="6" t="s">
        <v>5</v>
      </c>
      <c r="BA796" s="6" t="s">
        <v>5</v>
      </c>
      <c r="BB796" s="6" t="s">
        <v>5</v>
      </c>
      <c r="BC796" s="6" t="s">
        <v>5</v>
      </c>
      <c r="BD796" s="6" t="s">
        <v>5</v>
      </c>
      <c r="BE796" s="6" t="s">
        <v>5</v>
      </c>
      <c r="BF796" s="6" t="s">
        <v>5</v>
      </c>
      <c r="BG796" s="6" t="s">
        <v>5</v>
      </c>
      <c r="BH796" s="6" t="s">
        <v>5</v>
      </c>
      <c r="BI796" s="7">
        <v>2.11</v>
      </c>
      <c r="BJ796" s="22">
        <v>0.73</v>
      </c>
      <c r="BK796" s="6" t="s">
        <v>5</v>
      </c>
      <c r="BL796" s="2" t="s">
        <v>5</v>
      </c>
      <c r="BM796" s="2" t="s">
        <v>5</v>
      </c>
      <c r="BN796" s="2" t="s">
        <v>5</v>
      </c>
      <c r="BO796" s="2" t="s">
        <v>5</v>
      </c>
      <c r="BP796" s="2" t="s">
        <v>5</v>
      </c>
      <c r="BQ796" s="2" t="s">
        <v>5</v>
      </c>
      <c r="BR796" s="2" t="s">
        <v>5</v>
      </c>
      <c r="BS796" s="2" t="s">
        <v>5</v>
      </c>
      <c r="BT796" s="2" t="s">
        <v>5</v>
      </c>
      <c r="BU796" s="2" t="s">
        <v>5</v>
      </c>
      <c r="BV796" s="2" t="s">
        <v>5</v>
      </c>
      <c r="BW796" s="2" t="s">
        <v>5</v>
      </c>
      <c r="BX796" s="2" t="s">
        <v>5</v>
      </c>
      <c r="BY796" s="25" t="s">
        <v>5</v>
      </c>
      <c r="BZ796" s="25" t="s">
        <v>5</v>
      </c>
      <c r="CA796" s="6" t="s">
        <v>5</v>
      </c>
      <c r="CB796" s="6" t="s">
        <v>5</v>
      </c>
      <c r="CC796" s="6" t="s">
        <v>5</v>
      </c>
      <c r="CD796" s="6" t="s">
        <v>5</v>
      </c>
      <c r="CE796" s="6" t="s">
        <v>5</v>
      </c>
      <c r="CF796" s="16" t="s">
        <v>5</v>
      </c>
      <c r="CG796" s="16" t="s">
        <v>5</v>
      </c>
      <c r="CH796" s="18" t="s">
        <v>5</v>
      </c>
    </row>
    <row r="797" spans="2:86">
      <c r="B797" s="78" t="s">
        <v>473</v>
      </c>
      <c r="C797" s="79" t="s">
        <v>897</v>
      </c>
      <c r="D797" s="80" t="s">
        <v>897</v>
      </c>
      <c r="E797" s="1" t="s">
        <v>4</v>
      </c>
      <c r="F797" s="4">
        <v>11.6</v>
      </c>
      <c r="G797" s="7">
        <v>3.38</v>
      </c>
      <c r="H797" s="3" t="str">
        <f t="shared" si="31"/>
        <v>2L4X3X1/4X3/4LLBB</v>
      </c>
      <c r="I797" s="7">
        <v>4</v>
      </c>
      <c r="J797" s="5" t="s">
        <v>5</v>
      </c>
      <c r="K797" s="6" t="s">
        <v>5</v>
      </c>
      <c r="L797" s="6" t="s">
        <v>5</v>
      </c>
      <c r="M797" s="6" t="s">
        <v>5</v>
      </c>
      <c r="N797" s="6" t="s">
        <v>5</v>
      </c>
      <c r="O797" s="5" t="s">
        <v>5</v>
      </c>
      <c r="P797" s="5" t="s">
        <v>5</v>
      </c>
      <c r="Q797" s="7">
        <v>3</v>
      </c>
      <c r="R797" s="6" t="s">
        <v>5</v>
      </c>
      <c r="S797" s="6" t="s">
        <v>5</v>
      </c>
      <c r="T797" s="5" t="s">
        <v>5</v>
      </c>
      <c r="U797" s="8" t="s">
        <v>5</v>
      </c>
      <c r="V797" s="6" t="s">
        <v>5</v>
      </c>
      <c r="W797" s="8" t="s">
        <v>5</v>
      </c>
      <c r="X797" s="22">
        <v>0.25</v>
      </c>
      <c r="Y797" s="6" t="s">
        <v>5</v>
      </c>
      <c r="Z797" s="6" t="s">
        <v>5</v>
      </c>
      <c r="AA797" s="6" t="s">
        <v>5</v>
      </c>
      <c r="AB797" s="8" t="s">
        <v>5</v>
      </c>
      <c r="AC797" s="8" t="s">
        <v>5</v>
      </c>
      <c r="AD797" s="6" t="s">
        <v>5</v>
      </c>
      <c r="AE797" s="7">
        <v>1.22</v>
      </c>
      <c r="AF797" s="6" t="s">
        <v>5</v>
      </c>
      <c r="AG797" s="6" t="s">
        <v>5</v>
      </c>
      <c r="AH797" s="22">
        <v>0.62</v>
      </c>
      <c r="AI797" s="6" t="s">
        <v>5</v>
      </c>
      <c r="AJ797" s="4">
        <v>16</v>
      </c>
      <c r="AK797" s="6" t="s">
        <v>5</v>
      </c>
      <c r="AL797" s="6" t="s">
        <v>5</v>
      </c>
      <c r="AM797" s="6" t="s">
        <v>5</v>
      </c>
      <c r="AN797" s="6" t="s">
        <v>5</v>
      </c>
      <c r="AO797" s="7">
        <v>5.5</v>
      </c>
      <c r="AP797" s="7">
        <v>3.54</v>
      </c>
      <c r="AQ797" s="7">
        <v>1.98</v>
      </c>
      <c r="AR797" s="7">
        <v>1.27</v>
      </c>
      <c r="AS797" s="6">
        <v>6.72</v>
      </c>
      <c r="AT797" s="6">
        <v>3.72</v>
      </c>
      <c r="AU797" s="6">
        <v>1.99</v>
      </c>
      <c r="AV797" s="7">
        <v>1.41</v>
      </c>
      <c r="AW797" s="6" t="s">
        <v>5</v>
      </c>
      <c r="AX797" s="6" t="s">
        <v>5</v>
      </c>
      <c r="AY797" s="6" t="s">
        <v>5</v>
      </c>
      <c r="AZ797" s="6" t="s">
        <v>5</v>
      </c>
      <c r="BA797" s="6" t="s">
        <v>5</v>
      </c>
      <c r="BB797" s="6" t="s">
        <v>5</v>
      </c>
      <c r="BC797" s="6" t="s">
        <v>5</v>
      </c>
      <c r="BD797" s="6" t="s">
        <v>5</v>
      </c>
      <c r="BE797" s="6" t="s">
        <v>5</v>
      </c>
      <c r="BF797" s="6" t="s">
        <v>5</v>
      </c>
      <c r="BG797" s="6" t="s">
        <v>5</v>
      </c>
      <c r="BH797" s="6" t="s">
        <v>5</v>
      </c>
      <c r="BI797" s="7">
        <v>2.2000000000000002</v>
      </c>
      <c r="BJ797" s="22">
        <v>0.751</v>
      </c>
      <c r="BK797" s="6" t="s">
        <v>5</v>
      </c>
      <c r="BL797" s="2" t="s">
        <v>5</v>
      </c>
      <c r="BM797" s="2" t="s">
        <v>5</v>
      </c>
      <c r="BN797" s="2" t="s">
        <v>5</v>
      </c>
      <c r="BO797" s="2" t="s">
        <v>5</v>
      </c>
      <c r="BP797" s="2" t="s">
        <v>5</v>
      </c>
      <c r="BQ797" s="2" t="s">
        <v>5</v>
      </c>
      <c r="BR797" s="2" t="s">
        <v>5</v>
      </c>
      <c r="BS797" s="2" t="s">
        <v>5</v>
      </c>
      <c r="BT797" s="2" t="s">
        <v>5</v>
      </c>
      <c r="BU797" s="2" t="s">
        <v>5</v>
      </c>
      <c r="BV797" s="2" t="s">
        <v>5</v>
      </c>
      <c r="BW797" s="2" t="s">
        <v>5</v>
      </c>
      <c r="BX797" s="2" t="s">
        <v>5</v>
      </c>
      <c r="BY797" s="25" t="s">
        <v>5</v>
      </c>
      <c r="BZ797" s="25" t="s">
        <v>5</v>
      </c>
      <c r="CA797" s="6" t="s">
        <v>5</v>
      </c>
      <c r="CB797" s="6" t="s">
        <v>5</v>
      </c>
      <c r="CC797" s="6" t="s">
        <v>5</v>
      </c>
      <c r="CD797" s="6" t="s">
        <v>5</v>
      </c>
      <c r="CE797" s="6" t="s">
        <v>5</v>
      </c>
      <c r="CF797" s="16" t="s">
        <v>5</v>
      </c>
      <c r="CG797" s="16" t="s">
        <v>5</v>
      </c>
      <c r="CH797" s="18" t="s">
        <v>5</v>
      </c>
    </row>
    <row r="798" spans="2:86">
      <c r="B798" s="78" t="s">
        <v>473</v>
      </c>
      <c r="C798" s="79" t="s">
        <v>898</v>
      </c>
      <c r="D798" s="80" t="s">
        <v>898</v>
      </c>
      <c r="E798" s="1" t="s">
        <v>4</v>
      </c>
      <c r="F798" s="4">
        <v>20.399999999999999</v>
      </c>
      <c r="G798" s="7">
        <v>6.04</v>
      </c>
      <c r="H798" s="3" t="str">
        <f t="shared" si="31"/>
        <v>2L3-1/2X3X1/2LLBB</v>
      </c>
      <c r="I798" s="7">
        <v>3.5</v>
      </c>
      <c r="J798" s="5" t="s">
        <v>5</v>
      </c>
      <c r="K798" s="6" t="s">
        <v>5</v>
      </c>
      <c r="L798" s="6" t="s">
        <v>5</v>
      </c>
      <c r="M798" s="6" t="s">
        <v>5</v>
      </c>
      <c r="N798" s="6" t="s">
        <v>5</v>
      </c>
      <c r="O798" s="5" t="s">
        <v>5</v>
      </c>
      <c r="P798" s="5" t="s">
        <v>5</v>
      </c>
      <c r="Q798" s="7">
        <v>3</v>
      </c>
      <c r="R798" s="6" t="s">
        <v>5</v>
      </c>
      <c r="S798" s="6" t="s">
        <v>5</v>
      </c>
      <c r="T798" s="5" t="s">
        <v>5</v>
      </c>
      <c r="U798" s="8" t="s">
        <v>5</v>
      </c>
      <c r="V798" s="6" t="s">
        <v>5</v>
      </c>
      <c r="W798" s="8" t="s">
        <v>5</v>
      </c>
      <c r="X798" s="22">
        <v>0.5</v>
      </c>
      <c r="Y798" s="6" t="s">
        <v>5</v>
      </c>
      <c r="Z798" s="6" t="s">
        <v>5</v>
      </c>
      <c r="AA798" s="6" t="s">
        <v>5</v>
      </c>
      <c r="AB798" s="8" t="s">
        <v>5</v>
      </c>
      <c r="AC798" s="8" t="s">
        <v>5</v>
      </c>
      <c r="AD798" s="6" t="s">
        <v>5</v>
      </c>
      <c r="AE798" s="7">
        <v>1.1200000000000001</v>
      </c>
      <c r="AF798" s="6" t="s">
        <v>5</v>
      </c>
      <c r="AG798" s="6" t="s">
        <v>5</v>
      </c>
      <c r="AH798" s="22">
        <v>0.48</v>
      </c>
      <c r="AI798" s="6" t="s">
        <v>5</v>
      </c>
      <c r="AJ798" s="7">
        <v>7</v>
      </c>
      <c r="AK798" s="6" t="s">
        <v>5</v>
      </c>
      <c r="AL798" s="6" t="s">
        <v>5</v>
      </c>
      <c r="AM798" s="6" t="s">
        <v>5</v>
      </c>
      <c r="AN798" s="6" t="s">
        <v>5</v>
      </c>
      <c r="AO798" s="7">
        <v>6.9</v>
      </c>
      <c r="AP798" s="7">
        <v>5.22</v>
      </c>
      <c r="AQ798" s="7">
        <v>2.9</v>
      </c>
      <c r="AR798" s="7">
        <v>1.07</v>
      </c>
      <c r="AS798" s="6">
        <v>9.14</v>
      </c>
      <c r="AT798" s="6">
        <v>5.25</v>
      </c>
      <c r="AU798" s="6">
        <v>3.05</v>
      </c>
      <c r="AV798" s="7">
        <v>1.23</v>
      </c>
      <c r="AW798" s="6" t="s">
        <v>5</v>
      </c>
      <c r="AX798" s="6" t="s">
        <v>5</v>
      </c>
      <c r="AY798" s="6" t="s">
        <v>5</v>
      </c>
      <c r="AZ798" s="6" t="s">
        <v>5</v>
      </c>
      <c r="BA798" s="6" t="s">
        <v>5</v>
      </c>
      <c r="BB798" s="6" t="s">
        <v>5</v>
      </c>
      <c r="BC798" s="6" t="s">
        <v>5</v>
      </c>
      <c r="BD798" s="6" t="s">
        <v>5</v>
      </c>
      <c r="BE798" s="6" t="s">
        <v>5</v>
      </c>
      <c r="BF798" s="6" t="s">
        <v>5</v>
      </c>
      <c r="BG798" s="6" t="s">
        <v>5</v>
      </c>
      <c r="BH798" s="6" t="s">
        <v>5</v>
      </c>
      <c r="BI798" s="7">
        <v>1.85</v>
      </c>
      <c r="BJ798" s="22">
        <v>0.78</v>
      </c>
      <c r="BK798" s="6" t="s">
        <v>5</v>
      </c>
      <c r="BL798" s="2" t="s">
        <v>5</v>
      </c>
      <c r="BM798" s="2" t="s">
        <v>5</v>
      </c>
      <c r="BN798" s="2" t="s">
        <v>5</v>
      </c>
      <c r="BO798" s="2" t="s">
        <v>5</v>
      </c>
      <c r="BP798" s="2" t="s">
        <v>5</v>
      </c>
      <c r="BQ798" s="2" t="s">
        <v>5</v>
      </c>
      <c r="BR798" s="2" t="s">
        <v>5</v>
      </c>
      <c r="BS798" s="2" t="s">
        <v>5</v>
      </c>
      <c r="BT798" s="2" t="s">
        <v>5</v>
      </c>
      <c r="BU798" s="2" t="s">
        <v>5</v>
      </c>
      <c r="BV798" s="2" t="s">
        <v>5</v>
      </c>
      <c r="BW798" s="2" t="s">
        <v>5</v>
      </c>
      <c r="BX798" s="2" t="s">
        <v>5</v>
      </c>
      <c r="BY798" s="25" t="s">
        <v>5</v>
      </c>
      <c r="BZ798" s="25" t="s">
        <v>5</v>
      </c>
      <c r="CA798" s="6" t="s">
        <v>5</v>
      </c>
      <c r="CB798" s="6" t="s">
        <v>5</v>
      </c>
      <c r="CC798" s="6" t="s">
        <v>5</v>
      </c>
      <c r="CD798" s="6" t="s">
        <v>5</v>
      </c>
      <c r="CE798" s="6" t="s">
        <v>5</v>
      </c>
      <c r="CF798" s="16" t="s">
        <v>5</v>
      </c>
      <c r="CG798" s="16" t="s">
        <v>5</v>
      </c>
      <c r="CH798" s="18" t="s">
        <v>5</v>
      </c>
    </row>
    <row r="799" spans="2:86">
      <c r="B799" s="78" t="s">
        <v>473</v>
      </c>
      <c r="C799" s="79" t="s">
        <v>899</v>
      </c>
      <c r="D799" s="80" t="s">
        <v>899</v>
      </c>
      <c r="E799" s="1" t="s">
        <v>4</v>
      </c>
      <c r="F799" s="4">
        <v>20.399999999999999</v>
      </c>
      <c r="G799" s="7">
        <v>6.04</v>
      </c>
      <c r="H799" s="3" t="str">
        <f t="shared" si="31"/>
        <v>2L3-1/2X3X1/2X3/8LLBB</v>
      </c>
      <c r="I799" s="7">
        <v>3.5</v>
      </c>
      <c r="J799" s="5" t="s">
        <v>5</v>
      </c>
      <c r="K799" s="6" t="s">
        <v>5</v>
      </c>
      <c r="L799" s="6" t="s">
        <v>5</v>
      </c>
      <c r="M799" s="6" t="s">
        <v>5</v>
      </c>
      <c r="N799" s="6" t="s">
        <v>5</v>
      </c>
      <c r="O799" s="5" t="s">
        <v>5</v>
      </c>
      <c r="P799" s="5" t="s">
        <v>5</v>
      </c>
      <c r="Q799" s="7">
        <v>3</v>
      </c>
      <c r="R799" s="6" t="s">
        <v>5</v>
      </c>
      <c r="S799" s="6" t="s">
        <v>5</v>
      </c>
      <c r="T799" s="5" t="s">
        <v>5</v>
      </c>
      <c r="U799" s="8" t="s">
        <v>5</v>
      </c>
      <c r="V799" s="6" t="s">
        <v>5</v>
      </c>
      <c r="W799" s="8" t="s">
        <v>5</v>
      </c>
      <c r="X799" s="22">
        <v>0.5</v>
      </c>
      <c r="Y799" s="6" t="s">
        <v>5</v>
      </c>
      <c r="Z799" s="6" t="s">
        <v>5</v>
      </c>
      <c r="AA799" s="6" t="s">
        <v>5</v>
      </c>
      <c r="AB799" s="8" t="s">
        <v>5</v>
      </c>
      <c r="AC799" s="8" t="s">
        <v>5</v>
      </c>
      <c r="AD799" s="6" t="s">
        <v>5</v>
      </c>
      <c r="AE799" s="7">
        <v>1.1200000000000001</v>
      </c>
      <c r="AF799" s="6" t="s">
        <v>5</v>
      </c>
      <c r="AG799" s="6" t="s">
        <v>5</v>
      </c>
      <c r="AH799" s="22">
        <v>0.48</v>
      </c>
      <c r="AI799" s="6" t="s">
        <v>5</v>
      </c>
      <c r="AJ799" s="7">
        <v>7</v>
      </c>
      <c r="AK799" s="6" t="s">
        <v>5</v>
      </c>
      <c r="AL799" s="6" t="s">
        <v>5</v>
      </c>
      <c r="AM799" s="6" t="s">
        <v>5</v>
      </c>
      <c r="AN799" s="6" t="s">
        <v>5</v>
      </c>
      <c r="AO799" s="7">
        <v>6.9</v>
      </c>
      <c r="AP799" s="7">
        <v>5.22</v>
      </c>
      <c r="AQ799" s="7">
        <v>2.9</v>
      </c>
      <c r="AR799" s="7">
        <v>1.07</v>
      </c>
      <c r="AS799" s="6">
        <v>11.3</v>
      </c>
      <c r="AT799" s="6">
        <v>6.38</v>
      </c>
      <c r="AU799" s="6">
        <v>3.55</v>
      </c>
      <c r="AV799" s="7">
        <v>1.37</v>
      </c>
      <c r="AW799" s="6" t="s">
        <v>5</v>
      </c>
      <c r="AX799" s="6" t="s">
        <v>5</v>
      </c>
      <c r="AY799" s="6" t="s">
        <v>5</v>
      </c>
      <c r="AZ799" s="6" t="s">
        <v>5</v>
      </c>
      <c r="BA799" s="6" t="s">
        <v>5</v>
      </c>
      <c r="BB799" s="6" t="s">
        <v>5</v>
      </c>
      <c r="BC799" s="6" t="s">
        <v>5</v>
      </c>
      <c r="BD799" s="6" t="s">
        <v>5</v>
      </c>
      <c r="BE799" s="6" t="s">
        <v>5</v>
      </c>
      <c r="BF799" s="6" t="s">
        <v>5</v>
      </c>
      <c r="BG799" s="6" t="s">
        <v>5</v>
      </c>
      <c r="BH799" s="6" t="s">
        <v>5</v>
      </c>
      <c r="BI799" s="7">
        <v>1.94</v>
      </c>
      <c r="BJ799" s="22">
        <v>0.80100000000000005</v>
      </c>
      <c r="BK799" s="6" t="s">
        <v>5</v>
      </c>
      <c r="BL799" s="2" t="s">
        <v>5</v>
      </c>
      <c r="BM799" s="2" t="s">
        <v>5</v>
      </c>
      <c r="BN799" s="2" t="s">
        <v>5</v>
      </c>
      <c r="BO799" s="2" t="s">
        <v>5</v>
      </c>
      <c r="BP799" s="2" t="s">
        <v>5</v>
      </c>
      <c r="BQ799" s="2" t="s">
        <v>5</v>
      </c>
      <c r="BR799" s="2" t="s">
        <v>5</v>
      </c>
      <c r="BS799" s="2" t="s">
        <v>5</v>
      </c>
      <c r="BT799" s="2" t="s">
        <v>5</v>
      </c>
      <c r="BU799" s="2" t="s">
        <v>5</v>
      </c>
      <c r="BV799" s="2" t="s">
        <v>5</v>
      </c>
      <c r="BW799" s="2" t="s">
        <v>5</v>
      </c>
      <c r="BX799" s="2" t="s">
        <v>5</v>
      </c>
      <c r="BY799" s="25" t="s">
        <v>5</v>
      </c>
      <c r="BZ799" s="25" t="s">
        <v>5</v>
      </c>
      <c r="CA799" s="6" t="s">
        <v>5</v>
      </c>
      <c r="CB799" s="6" t="s">
        <v>5</v>
      </c>
      <c r="CC799" s="6" t="s">
        <v>5</v>
      </c>
      <c r="CD799" s="6" t="s">
        <v>5</v>
      </c>
      <c r="CE799" s="6" t="s">
        <v>5</v>
      </c>
      <c r="CF799" s="16" t="s">
        <v>5</v>
      </c>
      <c r="CG799" s="16" t="s">
        <v>5</v>
      </c>
      <c r="CH799" s="18" t="s">
        <v>5</v>
      </c>
    </row>
    <row r="800" spans="2:86">
      <c r="B800" s="78" t="s">
        <v>473</v>
      </c>
      <c r="C800" s="79" t="s">
        <v>900</v>
      </c>
      <c r="D800" s="80" t="s">
        <v>900</v>
      </c>
      <c r="E800" s="1" t="s">
        <v>4</v>
      </c>
      <c r="F800" s="4">
        <v>20.399999999999999</v>
      </c>
      <c r="G800" s="7">
        <v>6.04</v>
      </c>
      <c r="H800" s="3" t="str">
        <f t="shared" si="31"/>
        <v>2L3-1/2X3X1/2X3/4LLBB</v>
      </c>
      <c r="I800" s="7">
        <v>3.5</v>
      </c>
      <c r="J800" s="5" t="s">
        <v>5</v>
      </c>
      <c r="K800" s="6" t="s">
        <v>5</v>
      </c>
      <c r="L800" s="6" t="s">
        <v>5</v>
      </c>
      <c r="M800" s="6" t="s">
        <v>5</v>
      </c>
      <c r="N800" s="6" t="s">
        <v>5</v>
      </c>
      <c r="O800" s="5" t="s">
        <v>5</v>
      </c>
      <c r="P800" s="5" t="s">
        <v>5</v>
      </c>
      <c r="Q800" s="7">
        <v>3</v>
      </c>
      <c r="R800" s="6" t="s">
        <v>5</v>
      </c>
      <c r="S800" s="6" t="s">
        <v>5</v>
      </c>
      <c r="T800" s="5" t="s">
        <v>5</v>
      </c>
      <c r="U800" s="8" t="s">
        <v>5</v>
      </c>
      <c r="V800" s="6" t="s">
        <v>5</v>
      </c>
      <c r="W800" s="8" t="s">
        <v>5</v>
      </c>
      <c r="X800" s="22">
        <v>0.5</v>
      </c>
      <c r="Y800" s="6" t="s">
        <v>5</v>
      </c>
      <c r="Z800" s="6" t="s">
        <v>5</v>
      </c>
      <c r="AA800" s="6" t="s">
        <v>5</v>
      </c>
      <c r="AB800" s="8" t="s">
        <v>5</v>
      </c>
      <c r="AC800" s="8" t="s">
        <v>5</v>
      </c>
      <c r="AD800" s="6" t="s">
        <v>5</v>
      </c>
      <c r="AE800" s="7">
        <v>1.1200000000000001</v>
      </c>
      <c r="AF800" s="6" t="s">
        <v>5</v>
      </c>
      <c r="AG800" s="6" t="s">
        <v>5</v>
      </c>
      <c r="AH800" s="22">
        <v>0.48</v>
      </c>
      <c r="AI800" s="6" t="s">
        <v>5</v>
      </c>
      <c r="AJ800" s="7">
        <v>7</v>
      </c>
      <c r="AK800" s="6" t="s">
        <v>5</v>
      </c>
      <c r="AL800" s="6" t="s">
        <v>5</v>
      </c>
      <c r="AM800" s="6" t="s">
        <v>5</v>
      </c>
      <c r="AN800" s="6" t="s">
        <v>5</v>
      </c>
      <c r="AO800" s="7">
        <v>6.9</v>
      </c>
      <c r="AP800" s="7">
        <v>5.22</v>
      </c>
      <c r="AQ800" s="7">
        <v>2.9</v>
      </c>
      <c r="AR800" s="7">
        <v>1.07</v>
      </c>
      <c r="AS800" s="4">
        <v>14</v>
      </c>
      <c r="AT800" s="6">
        <v>7.51</v>
      </c>
      <c r="AU800" s="6">
        <v>4.1500000000000004</v>
      </c>
      <c r="AV800" s="7">
        <v>1.52</v>
      </c>
      <c r="AW800" s="6" t="s">
        <v>5</v>
      </c>
      <c r="AX800" s="6" t="s">
        <v>5</v>
      </c>
      <c r="AY800" s="6" t="s">
        <v>5</v>
      </c>
      <c r="AZ800" s="6" t="s">
        <v>5</v>
      </c>
      <c r="BA800" s="6" t="s">
        <v>5</v>
      </c>
      <c r="BB800" s="6" t="s">
        <v>5</v>
      </c>
      <c r="BC800" s="6" t="s">
        <v>5</v>
      </c>
      <c r="BD800" s="6" t="s">
        <v>5</v>
      </c>
      <c r="BE800" s="6" t="s">
        <v>5</v>
      </c>
      <c r="BF800" s="6" t="s">
        <v>5</v>
      </c>
      <c r="BG800" s="6" t="s">
        <v>5</v>
      </c>
      <c r="BH800" s="6" t="s">
        <v>5</v>
      </c>
      <c r="BI800" s="7">
        <v>2.0499999999999998</v>
      </c>
      <c r="BJ800" s="22">
        <v>0.82199999999999995</v>
      </c>
      <c r="BK800" s="6" t="s">
        <v>5</v>
      </c>
      <c r="BL800" s="2" t="s">
        <v>5</v>
      </c>
      <c r="BM800" s="2" t="s">
        <v>5</v>
      </c>
      <c r="BN800" s="2" t="s">
        <v>5</v>
      </c>
      <c r="BO800" s="2" t="s">
        <v>5</v>
      </c>
      <c r="BP800" s="2" t="s">
        <v>5</v>
      </c>
      <c r="BQ800" s="2" t="s">
        <v>5</v>
      </c>
      <c r="BR800" s="2" t="s">
        <v>5</v>
      </c>
      <c r="BS800" s="2" t="s">
        <v>5</v>
      </c>
      <c r="BT800" s="2" t="s">
        <v>5</v>
      </c>
      <c r="BU800" s="2" t="s">
        <v>5</v>
      </c>
      <c r="BV800" s="2" t="s">
        <v>5</v>
      </c>
      <c r="BW800" s="2" t="s">
        <v>5</v>
      </c>
      <c r="BX800" s="2" t="s">
        <v>5</v>
      </c>
      <c r="BY800" s="25" t="s">
        <v>5</v>
      </c>
      <c r="BZ800" s="25" t="s">
        <v>5</v>
      </c>
      <c r="CA800" s="6" t="s">
        <v>5</v>
      </c>
      <c r="CB800" s="6" t="s">
        <v>5</v>
      </c>
      <c r="CC800" s="6" t="s">
        <v>5</v>
      </c>
      <c r="CD800" s="6" t="s">
        <v>5</v>
      </c>
      <c r="CE800" s="6" t="s">
        <v>5</v>
      </c>
      <c r="CF800" s="16" t="s">
        <v>5</v>
      </c>
      <c r="CG800" s="16" t="s">
        <v>5</v>
      </c>
      <c r="CH800" s="18" t="s">
        <v>5</v>
      </c>
    </row>
    <row r="801" spans="2:86">
      <c r="B801" s="78" t="s">
        <v>473</v>
      </c>
      <c r="C801" s="79" t="s">
        <v>901</v>
      </c>
      <c r="D801" s="80" t="s">
        <v>901</v>
      </c>
      <c r="E801" s="1" t="s">
        <v>4</v>
      </c>
      <c r="F801" s="4">
        <v>18.2</v>
      </c>
      <c r="G801" s="7">
        <v>5.34</v>
      </c>
      <c r="H801" s="3" t="str">
        <f t="shared" si="31"/>
        <v>2L3-1/2X3X7/16LLBB</v>
      </c>
      <c r="I801" s="7">
        <v>3.5</v>
      </c>
      <c r="J801" s="5" t="s">
        <v>5</v>
      </c>
      <c r="K801" s="6" t="s">
        <v>5</v>
      </c>
      <c r="L801" s="6" t="s">
        <v>5</v>
      </c>
      <c r="M801" s="6" t="s">
        <v>5</v>
      </c>
      <c r="N801" s="6" t="s">
        <v>5</v>
      </c>
      <c r="O801" s="5" t="s">
        <v>5</v>
      </c>
      <c r="P801" s="5" t="s">
        <v>5</v>
      </c>
      <c r="Q801" s="7">
        <v>3</v>
      </c>
      <c r="R801" s="6" t="s">
        <v>5</v>
      </c>
      <c r="S801" s="6" t="s">
        <v>5</v>
      </c>
      <c r="T801" s="5" t="s">
        <v>5</v>
      </c>
      <c r="U801" s="8" t="s">
        <v>5</v>
      </c>
      <c r="V801" s="6" t="s">
        <v>5</v>
      </c>
      <c r="W801" s="8" t="s">
        <v>5</v>
      </c>
      <c r="X801" s="22">
        <v>0.438</v>
      </c>
      <c r="Y801" s="6" t="s">
        <v>5</v>
      </c>
      <c r="Z801" s="6" t="s">
        <v>5</v>
      </c>
      <c r="AA801" s="6" t="s">
        <v>5</v>
      </c>
      <c r="AB801" s="8" t="s">
        <v>5</v>
      </c>
      <c r="AC801" s="8" t="s">
        <v>5</v>
      </c>
      <c r="AD801" s="6" t="s">
        <v>5</v>
      </c>
      <c r="AE801" s="7">
        <v>1.0900000000000001</v>
      </c>
      <c r="AF801" s="6" t="s">
        <v>5</v>
      </c>
      <c r="AG801" s="6" t="s">
        <v>5</v>
      </c>
      <c r="AH801" s="22">
        <v>0.44900000000000001</v>
      </c>
      <c r="AI801" s="6" t="s">
        <v>5</v>
      </c>
      <c r="AJ801" s="7">
        <v>7.99</v>
      </c>
      <c r="AK801" s="6" t="s">
        <v>5</v>
      </c>
      <c r="AL801" s="6" t="s">
        <v>5</v>
      </c>
      <c r="AM801" s="6" t="s">
        <v>5</v>
      </c>
      <c r="AN801" s="6" t="s">
        <v>5</v>
      </c>
      <c r="AO801" s="7">
        <v>6.2</v>
      </c>
      <c r="AP801" s="7">
        <v>4.6399999999999997</v>
      </c>
      <c r="AQ801" s="7">
        <v>2.58</v>
      </c>
      <c r="AR801" s="7">
        <v>1.08</v>
      </c>
      <c r="AS801" s="6">
        <v>7.95</v>
      </c>
      <c r="AT801" s="6">
        <v>4.5199999999999996</v>
      </c>
      <c r="AU801" s="6">
        <v>2.65</v>
      </c>
      <c r="AV801" s="7">
        <v>1.22</v>
      </c>
      <c r="AW801" s="6" t="s">
        <v>5</v>
      </c>
      <c r="AX801" s="6" t="s">
        <v>5</v>
      </c>
      <c r="AY801" s="6" t="s">
        <v>5</v>
      </c>
      <c r="AZ801" s="6" t="s">
        <v>5</v>
      </c>
      <c r="BA801" s="6" t="s">
        <v>5</v>
      </c>
      <c r="BB801" s="6" t="s">
        <v>5</v>
      </c>
      <c r="BC801" s="6" t="s">
        <v>5</v>
      </c>
      <c r="BD801" s="6" t="s">
        <v>5</v>
      </c>
      <c r="BE801" s="6" t="s">
        <v>5</v>
      </c>
      <c r="BF801" s="6" t="s">
        <v>5</v>
      </c>
      <c r="BG801" s="6" t="s">
        <v>5</v>
      </c>
      <c r="BH801" s="6" t="s">
        <v>5</v>
      </c>
      <c r="BI801" s="7">
        <v>1.85</v>
      </c>
      <c r="BJ801" s="22">
        <v>0.77600000000000002</v>
      </c>
      <c r="BK801" s="6" t="s">
        <v>5</v>
      </c>
      <c r="BL801" s="2" t="s">
        <v>5</v>
      </c>
      <c r="BM801" s="2" t="s">
        <v>5</v>
      </c>
      <c r="BN801" s="2" t="s">
        <v>5</v>
      </c>
      <c r="BO801" s="2" t="s">
        <v>5</v>
      </c>
      <c r="BP801" s="2" t="s">
        <v>5</v>
      </c>
      <c r="BQ801" s="2" t="s">
        <v>5</v>
      </c>
      <c r="BR801" s="2" t="s">
        <v>5</v>
      </c>
      <c r="BS801" s="2" t="s">
        <v>5</v>
      </c>
      <c r="BT801" s="2" t="s">
        <v>5</v>
      </c>
      <c r="BU801" s="2" t="s">
        <v>5</v>
      </c>
      <c r="BV801" s="2" t="s">
        <v>5</v>
      </c>
      <c r="BW801" s="2" t="s">
        <v>5</v>
      </c>
      <c r="BX801" s="2" t="s">
        <v>5</v>
      </c>
      <c r="BY801" s="25" t="s">
        <v>5</v>
      </c>
      <c r="BZ801" s="25" t="s">
        <v>5</v>
      </c>
      <c r="CA801" s="6" t="s">
        <v>5</v>
      </c>
      <c r="CB801" s="6" t="s">
        <v>5</v>
      </c>
      <c r="CC801" s="6" t="s">
        <v>5</v>
      </c>
      <c r="CD801" s="6" t="s">
        <v>5</v>
      </c>
      <c r="CE801" s="6" t="s">
        <v>5</v>
      </c>
      <c r="CF801" s="16" t="s">
        <v>5</v>
      </c>
      <c r="CG801" s="16" t="s">
        <v>5</v>
      </c>
      <c r="CH801" s="18" t="s">
        <v>5</v>
      </c>
    </row>
    <row r="802" spans="2:86">
      <c r="B802" s="78" t="s">
        <v>473</v>
      </c>
      <c r="C802" s="79" t="s">
        <v>902</v>
      </c>
      <c r="D802" s="80" t="s">
        <v>902</v>
      </c>
      <c r="E802" s="1" t="s">
        <v>4</v>
      </c>
      <c r="F802" s="4">
        <v>18.2</v>
      </c>
      <c r="G802" s="7">
        <v>5.34</v>
      </c>
      <c r="H802" s="3" t="str">
        <f t="shared" si="31"/>
        <v>2L3-1/2X3X7/16X3/8LLBB</v>
      </c>
      <c r="I802" s="7">
        <v>3.5</v>
      </c>
      <c r="J802" s="5" t="s">
        <v>5</v>
      </c>
      <c r="K802" s="6" t="s">
        <v>5</v>
      </c>
      <c r="L802" s="6" t="s">
        <v>5</v>
      </c>
      <c r="M802" s="6" t="s">
        <v>5</v>
      </c>
      <c r="N802" s="6" t="s">
        <v>5</v>
      </c>
      <c r="O802" s="5" t="s">
        <v>5</v>
      </c>
      <c r="P802" s="5" t="s">
        <v>5</v>
      </c>
      <c r="Q802" s="7">
        <v>3</v>
      </c>
      <c r="R802" s="6" t="s">
        <v>5</v>
      </c>
      <c r="S802" s="6" t="s">
        <v>5</v>
      </c>
      <c r="T802" s="5" t="s">
        <v>5</v>
      </c>
      <c r="U802" s="8" t="s">
        <v>5</v>
      </c>
      <c r="V802" s="6" t="s">
        <v>5</v>
      </c>
      <c r="W802" s="8" t="s">
        <v>5</v>
      </c>
      <c r="X802" s="22">
        <v>0.438</v>
      </c>
      <c r="Y802" s="6" t="s">
        <v>5</v>
      </c>
      <c r="Z802" s="6" t="s">
        <v>5</v>
      </c>
      <c r="AA802" s="6" t="s">
        <v>5</v>
      </c>
      <c r="AB802" s="8" t="s">
        <v>5</v>
      </c>
      <c r="AC802" s="8" t="s">
        <v>5</v>
      </c>
      <c r="AD802" s="6" t="s">
        <v>5</v>
      </c>
      <c r="AE802" s="7">
        <v>1.0900000000000001</v>
      </c>
      <c r="AF802" s="6" t="s">
        <v>5</v>
      </c>
      <c r="AG802" s="6" t="s">
        <v>5</v>
      </c>
      <c r="AH802" s="22">
        <v>0.44900000000000001</v>
      </c>
      <c r="AI802" s="6" t="s">
        <v>5</v>
      </c>
      <c r="AJ802" s="7">
        <v>7.99</v>
      </c>
      <c r="AK802" s="6" t="s">
        <v>5</v>
      </c>
      <c r="AL802" s="6" t="s">
        <v>5</v>
      </c>
      <c r="AM802" s="6" t="s">
        <v>5</v>
      </c>
      <c r="AN802" s="6" t="s">
        <v>5</v>
      </c>
      <c r="AO802" s="7">
        <v>6.2</v>
      </c>
      <c r="AP802" s="7">
        <v>4.6399999999999997</v>
      </c>
      <c r="AQ802" s="7">
        <v>2.58</v>
      </c>
      <c r="AR802" s="7">
        <v>1.08</v>
      </c>
      <c r="AS802" s="6">
        <v>9.8800000000000008</v>
      </c>
      <c r="AT802" s="6">
        <v>5.52</v>
      </c>
      <c r="AU802" s="7">
        <v>3.1</v>
      </c>
      <c r="AV802" s="7">
        <v>1.36</v>
      </c>
      <c r="AW802" s="6" t="s">
        <v>5</v>
      </c>
      <c r="AX802" s="6" t="s">
        <v>5</v>
      </c>
      <c r="AY802" s="6" t="s">
        <v>5</v>
      </c>
      <c r="AZ802" s="6" t="s">
        <v>5</v>
      </c>
      <c r="BA802" s="6" t="s">
        <v>5</v>
      </c>
      <c r="BB802" s="6" t="s">
        <v>5</v>
      </c>
      <c r="BC802" s="6" t="s">
        <v>5</v>
      </c>
      <c r="BD802" s="6" t="s">
        <v>5</v>
      </c>
      <c r="BE802" s="6" t="s">
        <v>5</v>
      </c>
      <c r="BF802" s="6" t="s">
        <v>5</v>
      </c>
      <c r="BG802" s="6" t="s">
        <v>5</v>
      </c>
      <c r="BH802" s="6" t="s">
        <v>5</v>
      </c>
      <c r="BI802" s="7">
        <v>1.94</v>
      </c>
      <c r="BJ802" s="22">
        <v>0.79700000000000004</v>
      </c>
      <c r="BK802" s="6" t="s">
        <v>5</v>
      </c>
      <c r="BL802" s="2" t="s">
        <v>5</v>
      </c>
      <c r="BM802" s="2" t="s">
        <v>5</v>
      </c>
      <c r="BN802" s="2" t="s">
        <v>5</v>
      </c>
      <c r="BO802" s="2" t="s">
        <v>5</v>
      </c>
      <c r="BP802" s="2" t="s">
        <v>5</v>
      </c>
      <c r="BQ802" s="2" t="s">
        <v>5</v>
      </c>
      <c r="BR802" s="2" t="s">
        <v>5</v>
      </c>
      <c r="BS802" s="2" t="s">
        <v>5</v>
      </c>
      <c r="BT802" s="2" t="s">
        <v>5</v>
      </c>
      <c r="BU802" s="2" t="s">
        <v>5</v>
      </c>
      <c r="BV802" s="2" t="s">
        <v>5</v>
      </c>
      <c r="BW802" s="2" t="s">
        <v>5</v>
      </c>
      <c r="BX802" s="2" t="s">
        <v>5</v>
      </c>
      <c r="BY802" s="25" t="s">
        <v>5</v>
      </c>
      <c r="BZ802" s="25" t="s">
        <v>5</v>
      </c>
      <c r="CA802" s="6" t="s">
        <v>5</v>
      </c>
      <c r="CB802" s="6" t="s">
        <v>5</v>
      </c>
      <c r="CC802" s="6" t="s">
        <v>5</v>
      </c>
      <c r="CD802" s="6" t="s">
        <v>5</v>
      </c>
      <c r="CE802" s="6" t="s">
        <v>5</v>
      </c>
      <c r="CF802" s="16" t="s">
        <v>5</v>
      </c>
      <c r="CG802" s="16" t="s">
        <v>5</v>
      </c>
      <c r="CH802" s="18" t="s">
        <v>5</v>
      </c>
    </row>
    <row r="803" spans="2:86">
      <c r="B803" s="78" t="s">
        <v>473</v>
      </c>
      <c r="C803" s="79" t="s">
        <v>903</v>
      </c>
      <c r="D803" s="80" t="s">
        <v>903</v>
      </c>
      <c r="E803" s="1" t="s">
        <v>4</v>
      </c>
      <c r="F803" s="4">
        <v>18.2</v>
      </c>
      <c r="G803" s="7">
        <v>5.34</v>
      </c>
      <c r="H803" s="3" t="str">
        <f t="shared" si="31"/>
        <v>2L3-1/2X3X7/16X3/4LLBB</v>
      </c>
      <c r="I803" s="7">
        <v>3.5</v>
      </c>
      <c r="J803" s="5" t="s">
        <v>5</v>
      </c>
      <c r="K803" s="6" t="s">
        <v>5</v>
      </c>
      <c r="L803" s="6" t="s">
        <v>5</v>
      </c>
      <c r="M803" s="6" t="s">
        <v>5</v>
      </c>
      <c r="N803" s="6" t="s">
        <v>5</v>
      </c>
      <c r="O803" s="5" t="s">
        <v>5</v>
      </c>
      <c r="P803" s="5" t="s">
        <v>5</v>
      </c>
      <c r="Q803" s="7">
        <v>3</v>
      </c>
      <c r="R803" s="6" t="s">
        <v>5</v>
      </c>
      <c r="S803" s="6" t="s">
        <v>5</v>
      </c>
      <c r="T803" s="5" t="s">
        <v>5</v>
      </c>
      <c r="U803" s="8" t="s">
        <v>5</v>
      </c>
      <c r="V803" s="6" t="s">
        <v>5</v>
      </c>
      <c r="W803" s="8" t="s">
        <v>5</v>
      </c>
      <c r="X803" s="22">
        <v>0.438</v>
      </c>
      <c r="Y803" s="6" t="s">
        <v>5</v>
      </c>
      <c r="Z803" s="6" t="s">
        <v>5</v>
      </c>
      <c r="AA803" s="6" t="s">
        <v>5</v>
      </c>
      <c r="AB803" s="8" t="s">
        <v>5</v>
      </c>
      <c r="AC803" s="8" t="s">
        <v>5</v>
      </c>
      <c r="AD803" s="6" t="s">
        <v>5</v>
      </c>
      <c r="AE803" s="7">
        <v>1.0900000000000001</v>
      </c>
      <c r="AF803" s="6" t="s">
        <v>5</v>
      </c>
      <c r="AG803" s="6" t="s">
        <v>5</v>
      </c>
      <c r="AH803" s="22">
        <v>0.44900000000000001</v>
      </c>
      <c r="AI803" s="6" t="s">
        <v>5</v>
      </c>
      <c r="AJ803" s="7">
        <v>7.99</v>
      </c>
      <c r="AK803" s="6" t="s">
        <v>5</v>
      </c>
      <c r="AL803" s="6" t="s">
        <v>5</v>
      </c>
      <c r="AM803" s="6" t="s">
        <v>5</v>
      </c>
      <c r="AN803" s="6" t="s">
        <v>5</v>
      </c>
      <c r="AO803" s="7">
        <v>6.2</v>
      </c>
      <c r="AP803" s="7">
        <v>4.6399999999999997</v>
      </c>
      <c r="AQ803" s="7">
        <v>2.58</v>
      </c>
      <c r="AR803" s="7">
        <v>1.08</v>
      </c>
      <c r="AS803" s="6">
        <v>12.2</v>
      </c>
      <c r="AT803" s="6">
        <v>6.52</v>
      </c>
      <c r="AU803" s="6">
        <v>3.61</v>
      </c>
      <c r="AV803" s="7">
        <v>1.51</v>
      </c>
      <c r="AW803" s="6" t="s">
        <v>5</v>
      </c>
      <c r="AX803" s="6" t="s">
        <v>5</v>
      </c>
      <c r="AY803" s="6" t="s">
        <v>5</v>
      </c>
      <c r="AZ803" s="6" t="s">
        <v>5</v>
      </c>
      <c r="BA803" s="6" t="s">
        <v>5</v>
      </c>
      <c r="BB803" s="6" t="s">
        <v>5</v>
      </c>
      <c r="BC803" s="6" t="s">
        <v>5</v>
      </c>
      <c r="BD803" s="6" t="s">
        <v>5</v>
      </c>
      <c r="BE803" s="6" t="s">
        <v>5</v>
      </c>
      <c r="BF803" s="6" t="s">
        <v>5</v>
      </c>
      <c r="BG803" s="6" t="s">
        <v>5</v>
      </c>
      <c r="BH803" s="6" t="s">
        <v>5</v>
      </c>
      <c r="BI803" s="7">
        <v>2.0499999999999998</v>
      </c>
      <c r="BJ803" s="22">
        <v>0.81799999999999995</v>
      </c>
      <c r="BK803" s="6" t="s">
        <v>5</v>
      </c>
      <c r="BL803" s="2" t="s">
        <v>5</v>
      </c>
      <c r="BM803" s="2" t="s">
        <v>5</v>
      </c>
      <c r="BN803" s="2" t="s">
        <v>5</v>
      </c>
      <c r="BO803" s="2" t="s">
        <v>5</v>
      </c>
      <c r="BP803" s="2" t="s">
        <v>5</v>
      </c>
      <c r="BQ803" s="2" t="s">
        <v>5</v>
      </c>
      <c r="BR803" s="2" t="s">
        <v>5</v>
      </c>
      <c r="BS803" s="2" t="s">
        <v>5</v>
      </c>
      <c r="BT803" s="2" t="s">
        <v>5</v>
      </c>
      <c r="BU803" s="2" t="s">
        <v>5</v>
      </c>
      <c r="BV803" s="2" t="s">
        <v>5</v>
      </c>
      <c r="BW803" s="2" t="s">
        <v>5</v>
      </c>
      <c r="BX803" s="2" t="s">
        <v>5</v>
      </c>
      <c r="BY803" s="25" t="s">
        <v>5</v>
      </c>
      <c r="BZ803" s="25" t="s">
        <v>5</v>
      </c>
      <c r="CA803" s="6" t="s">
        <v>5</v>
      </c>
      <c r="CB803" s="6" t="s">
        <v>5</v>
      </c>
      <c r="CC803" s="6" t="s">
        <v>5</v>
      </c>
      <c r="CD803" s="6" t="s">
        <v>5</v>
      </c>
      <c r="CE803" s="6" t="s">
        <v>5</v>
      </c>
      <c r="CF803" s="16" t="s">
        <v>5</v>
      </c>
      <c r="CG803" s="16" t="s">
        <v>5</v>
      </c>
      <c r="CH803" s="18" t="s">
        <v>5</v>
      </c>
    </row>
    <row r="804" spans="2:86">
      <c r="B804" s="78" t="s">
        <v>473</v>
      </c>
      <c r="C804" s="79" t="s">
        <v>904</v>
      </c>
      <c r="D804" s="80" t="s">
        <v>904</v>
      </c>
      <c r="E804" s="1" t="s">
        <v>4</v>
      </c>
      <c r="F804" s="4">
        <v>15.8</v>
      </c>
      <c r="G804" s="7">
        <v>4.6399999999999997</v>
      </c>
      <c r="H804" s="3" t="str">
        <f t="shared" si="31"/>
        <v>2L3-1/2X3X3/8LLBB</v>
      </c>
      <c r="I804" s="7">
        <v>3.5</v>
      </c>
      <c r="J804" s="5" t="s">
        <v>5</v>
      </c>
      <c r="K804" s="6" t="s">
        <v>5</v>
      </c>
      <c r="L804" s="6" t="s">
        <v>5</v>
      </c>
      <c r="M804" s="6" t="s">
        <v>5</v>
      </c>
      <c r="N804" s="6" t="s">
        <v>5</v>
      </c>
      <c r="O804" s="5" t="s">
        <v>5</v>
      </c>
      <c r="P804" s="5" t="s">
        <v>5</v>
      </c>
      <c r="Q804" s="7">
        <v>3</v>
      </c>
      <c r="R804" s="6" t="s">
        <v>5</v>
      </c>
      <c r="S804" s="6" t="s">
        <v>5</v>
      </c>
      <c r="T804" s="5" t="s">
        <v>5</v>
      </c>
      <c r="U804" s="8" t="s">
        <v>5</v>
      </c>
      <c r="V804" s="6" t="s">
        <v>5</v>
      </c>
      <c r="W804" s="8" t="s">
        <v>5</v>
      </c>
      <c r="X804" s="22">
        <v>0.375</v>
      </c>
      <c r="Y804" s="6" t="s">
        <v>5</v>
      </c>
      <c r="Z804" s="6" t="s">
        <v>5</v>
      </c>
      <c r="AA804" s="6" t="s">
        <v>5</v>
      </c>
      <c r="AB804" s="8" t="s">
        <v>5</v>
      </c>
      <c r="AC804" s="8" t="s">
        <v>5</v>
      </c>
      <c r="AD804" s="6" t="s">
        <v>5</v>
      </c>
      <c r="AE804" s="7">
        <v>1.07</v>
      </c>
      <c r="AF804" s="6" t="s">
        <v>5</v>
      </c>
      <c r="AG804" s="6" t="s">
        <v>5</v>
      </c>
      <c r="AH804" s="22">
        <v>0.40699999999999997</v>
      </c>
      <c r="AI804" s="6" t="s">
        <v>5</v>
      </c>
      <c r="AJ804" s="7">
        <v>9.33</v>
      </c>
      <c r="AK804" s="6" t="s">
        <v>5</v>
      </c>
      <c r="AL804" s="6" t="s">
        <v>5</v>
      </c>
      <c r="AM804" s="6" t="s">
        <v>5</v>
      </c>
      <c r="AN804" s="6" t="s">
        <v>5</v>
      </c>
      <c r="AO804" s="7">
        <v>5.46</v>
      </c>
      <c r="AP804" s="7">
        <v>4.0599999999999996</v>
      </c>
      <c r="AQ804" s="7">
        <v>2.2400000000000002</v>
      </c>
      <c r="AR804" s="7">
        <v>1.0900000000000001</v>
      </c>
      <c r="AS804" s="6">
        <v>6.79</v>
      </c>
      <c r="AT804" s="6">
        <v>3.82</v>
      </c>
      <c r="AU804" s="6">
        <v>2.2599999999999998</v>
      </c>
      <c r="AV804" s="7">
        <v>1.21</v>
      </c>
      <c r="AW804" s="6" t="s">
        <v>5</v>
      </c>
      <c r="AX804" s="6" t="s">
        <v>5</v>
      </c>
      <c r="AY804" s="6" t="s">
        <v>5</v>
      </c>
      <c r="AZ804" s="6" t="s">
        <v>5</v>
      </c>
      <c r="BA804" s="6" t="s">
        <v>5</v>
      </c>
      <c r="BB804" s="6" t="s">
        <v>5</v>
      </c>
      <c r="BC804" s="6" t="s">
        <v>5</v>
      </c>
      <c r="BD804" s="6" t="s">
        <v>5</v>
      </c>
      <c r="BE804" s="6" t="s">
        <v>5</v>
      </c>
      <c r="BF804" s="6" t="s">
        <v>5</v>
      </c>
      <c r="BG804" s="6" t="s">
        <v>5</v>
      </c>
      <c r="BH804" s="6" t="s">
        <v>5</v>
      </c>
      <c r="BI804" s="7">
        <v>1.85</v>
      </c>
      <c r="BJ804" s="22">
        <v>0.77300000000000002</v>
      </c>
      <c r="BK804" s="6" t="s">
        <v>5</v>
      </c>
      <c r="BL804" s="2" t="s">
        <v>5</v>
      </c>
      <c r="BM804" s="2" t="s">
        <v>5</v>
      </c>
      <c r="BN804" s="2" t="s">
        <v>5</v>
      </c>
      <c r="BO804" s="2" t="s">
        <v>5</v>
      </c>
      <c r="BP804" s="2" t="s">
        <v>5</v>
      </c>
      <c r="BQ804" s="2" t="s">
        <v>5</v>
      </c>
      <c r="BR804" s="2" t="s">
        <v>5</v>
      </c>
      <c r="BS804" s="2" t="s">
        <v>5</v>
      </c>
      <c r="BT804" s="2" t="s">
        <v>5</v>
      </c>
      <c r="BU804" s="2" t="s">
        <v>5</v>
      </c>
      <c r="BV804" s="2" t="s">
        <v>5</v>
      </c>
      <c r="BW804" s="2" t="s">
        <v>5</v>
      </c>
      <c r="BX804" s="2" t="s">
        <v>5</v>
      </c>
      <c r="BY804" s="25" t="s">
        <v>5</v>
      </c>
      <c r="BZ804" s="25" t="s">
        <v>5</v>
      </c>
      <c r="CA804" s="6" t="s">
        <v>5</v>
      </c>
      <c r="CB804" s="6" t="s">
        <v>5</v>
      </c>
      <c r="CC804" s="6" t="s">
        <v>5</v>
      </c>
      <c r="CD804" s="6" t="s">
        <v>5</v>
      </c>
      <c r="CE804" s="6" t="s">
        <v>5</v>
      </c>
      <c r="CF804" s="16" t="s">
        <v>5</v>
      </c>
      <c r="CG804" s="16" t="s">
        <v>5</v>
      </c>
      <c r="CH804" s="18" t="s">
        <v>5</v>
      </c>
    </row>
    <row r="805" spans="2:86">
      <c r="B805" s="78" t="s">
        <v>473</v>
      </c>
      <c r="C805" s="79" t="s">
        <v>905</v>
      </c>
      <c r="D805" s="80" t="s">
        <v>905</v>
      </c>
      <c r="E805" s="1" t="s">
        <v>4</v>
      </c>
      <c r="F805" s="4">
        <v>15.8</v>
      </c>
      <c r="G805" s="7">
        <v>4.6399999999999997</v>
      </c>
      <c r="H805" s="3" t="str">
        <f t="shared" si="31"/>
        <v>2L3-1/2X3X3/8X3/8LLBB</v>
      </c>
      <c r="I805" s="7">
        <v>3.5</v>
      </c>
      <c r="J805" s="5" t="s">
        <v>5</v>
      </c>
      <c r="K805" s="6" t="s">
        <v>5</v>
      </c>
      <c r="L805" s="6" t="s">
        <v>5</v>
      </c>
      <c r="M805" s="6" t="s">
        <v>5</v>
      </c>
      <c r="N805" s="6" t="s">
        <v>5</v>
      </c>
      <c r="O805" s="5" t="s">
        <v>5</v>
      </c>
      <c r="P805" s="5" t="s">
        <v>5</v>
      </c>
      <c r="Q805" s="7">
        <v>3</v>
      </c>
      <c r="R805" s="6" t="s">
        <v>5</v>
      </c>
      <c r="S805" s="6" t="s">
        <v>5</v>
      </c>
      <c r="T805" s="5" t="s">
        <v>5</v>
      </c>
      <c r="U805" s="8" t="s">
        <v>5</v>
      </c>
      <c r="V805" s="6" t="s">
        <v>5</v>
      </c>
      <c r="W805" s="8" t="s">
        <v>5</v>
      </c>
      <c r="X805" s="22">
        <v>0.375</v>
      </c>
      <c r="Y805" s="6" t="s">
        <v>5</v>
      </c>
      <c r="Z805" s="6" t="s">
        <v>5</v>
      </c>
      <c r="AA805" s="6" t="s">
        <v>5</v>
      </c>
      <c r="AB805" s="8" t="s">
        <v>5</v>
      </c>
      <c r="AC805" s="8" t="s">
        <v>5</v>
      </c>
      <c r="AD805" s="6" t="s">
        <v>5</v>
      </c>
      <c r="AE805" s="7">
        <v>1.07</v>
      </c>
      <c r="AF805" s="6" t="s">
        <v>5</v>
      </c>
      <c r="AG805" s="6" t="s">
        <v>5</v>
      </c>
      <c r="AH805" s="22">
        <v>0.40699999999999997</v>
      </c>
      <c r="AI805" s="6" t="s">
        <v>5</v>
      </c>
      <c r="AJ805" s="7">
        <v>9.33</v>
      </c>
      <c r="AK805" s="6" t="s">
        <v>5</v>
      </c>
      <c r="AL805" s="6" t="s">
        <v>5</v>
      </c>
      <c r="AM805" s="6" t="s">
        <v>5</v>
      </c>
      <c r="AN805" s="6" t="s">
        <v>5</v>
      </c>
      <c r="AO805" s="7">
        <v>5.46</v>
      </c>
      <c r="AP805" s="7">
        <v>4.0599999999999996</v>
      </c>
      <c r="AQ805" s="7">
        <v>2.2400000000000002</v>
      </c>
      <c r="AR805" s="7">
        <v>1.0900000000000001</v>
      </c>
      <c r="AS805" s="6">
        <v>8.4600000000000009</v>
      </c>
      <c r="AT805" s="6">
        <v>4.6900000000000004</v>
      </c>
      <c r="AU805" s="6">
        <v>2.65</v>
      </c>
      <c r="AV805" s="7">
        <v>1.35</v>
      </c>
      <c r="AW805" s="6" t="s">
        <v>5</v>
      </c>
      <c r="AX805" s="6" t="s">
        <v>5</v>
      </c>
      <c r="AY805" s="6" t="s">
        <v>5</v>
      </c>
      <c r="AZ805" s="6" t="s">
        <v>5</v>
      </c>
      <c r="BA805" s="6" t="s">
        <v>5</v>
      </c>
      <c r="BB805" s="6" t="s">
        <v>5</v>
      </c>
      <c r="BC805" s="6" t="s">
        <v>5</v>
      </c>
      <c r="BD805" s="6" t="s">
        <v>5</v>
      </c>
      <c r="BE805" s="6" t="s">
        <v>5</v>
      </c>
      <c r="BF805" s="6" t="s">
        <v>5</v>
      </c>
      <c r="BG805" s="6" t="s">
        <v>5</v>
      </c>
      <c r="BH805" s="6" t="s">
        <v>5</v>
      </c>
      <c r="BI805" s="7">
        <v>1.94</v>
      </c>
      <c r="BJ805" s="22">
        <v>0.79400000000000004</v>
      </c>
      <c r="BK805" s="6" t="s">
        <v>5</v>
      </c>
      <c r="BL805" s="2" t="s">
        <v>5</v>
      </c>
      <c r="BM805" s="2" t="s">
        <v>5</v>
      </c>
      <c r="BN805" s="2" t="s">
        <v>5</v>
      </c>
      <c r="BO805" s="2" t="s">
        <v>5</v>
      </c>
      <c r="BP805" s="2" t="s">
        <v>5</v>
      </c>
      <c r="BQ805" s="2" t="s">
        <v>5</v>
      </c>
      <c r="BR805" s="2" t="s">
        <v>5</v>
      </c>
      <c r="BS805" s="2" t="s">
        <v>5</v>
      </c>
      <c r="BT805" s="2" t="s">
        <v>5</v>
      </c>
      <c r="BU805" s="2" t="s">
        <v>5</v>
      </c>
      <c r="BV805" s="2" t="s">
        <v>5</v>
      </c>
      <c r="BW805" s="2" t="s">
        <v>5</v>
      </c>
      <c r="BX805" s="2" t="s">
        <v>5</v>
      </c>
      <c r="BY805" s="25" t="s">
        <v>5</v>
      </c>
      <c r="BZ805" s="25" t="s">
        <v>5</v>
      </c>
      <c r="CA805" s="6" t="s">
        <v>5</v>
      </c>
      <c r="CB805" s="6" t="s">
        <v>5</v>
      </c>
      <c r="CC805" s="6" t="s">
        <v>5</v>
      </c>
      <c r="CD805" s="6" t="s">
        <v>5</v>
      </c>
      <c r="CE805" s="6" t="s">
        <v>5</v>
      </c>
      <c r="CF805" s="16" t="s">
        <v>5</v>
      </c>
      <c r="CG805" s="16" t="s">
        <v>5</v>
      </c>
      <c r="CH805" s="18" t="s">
        <v>5</v>
      </c>
    </row>
    <row r="806" spans="2:86">
      <c r="B806" s="78" t="s">
        <v>473</v>
      </c>
      <c r="C806" s="79" t="s">
        <v>906</v>
      </c>
      <c r="D806" s="80" t="s">
        <v>906</v>
      </c>
      <c r="E806" s="1" t="s">
        <v>4</v>
      </c>
      <c r="F806" s="4">
        <v>15.8</v>
      </c>
      <c r="G806" s="7">
        <v>4.6399999999999997</v>
      </c>
      <c r="H806" s="3" t="str">
        <f t="shared" si="31"/>
        <v>2L3-1/2X3X3/8X3/4LLBB</v>
      </c>
      <c r="I806" s="7">
        <v>3.5</v>
      </c>
      <c r="J806" s="5" t="s">
        <v>5</v>
      </c>
      <c r="K806" s="6" t="s">
        <v>5</v>
      </c>
      <c r="L806" s="6" t="s">
        <v>5</v>
      </c>
      <c r="M806" s="6" t="s">
        <v>5</v>
      </c>
      <c r="N806" s="6" t="s">
        <v>5</v>
      </c>
      <c r="O806" s="5" t="s">
        <v>5</v>
      </c>
      <c r="P806" s="5" t="s">
        <v>5</v>
      </c>
      <c r="Q806" s="7">
        <v>3</v>
      </c>
      <c r="R806" s="6" t="s">
        <v>5</v>
      </c>
      <c r="S806" s="6" t="s">
        <v>5</v>
      </c>
      <c r="T806" s="5" t="s">
        <v>5</v>
      </c>
      <c r="U806" s="8" t="s">
        <v>5</v>
      </c>
      <c r="V806" s="6" t="s">
        <v>5</v>
      </c>
      <c r="W806" s="8" t="s">
        <v>5</v>
      </c>
      <c r="X806" s="22">
        <v>0.375</v>
      </c>
      <c r="Y806" s="6" t="s">
        <v>5</v>
      </c>
      <c r="Z806" s="6" t="s">
        <v>5</v>
      </c>
      <c r="AA806" s="6" t="s">
        <v>5</v>
      </c>
      <c r="AB806" s="8" t="s">
        <v>5</v>
      </c>
      <c r="AC806" s="8" t="s">
        <v>5</v>
      </c>
      <c r="AD806" s="6" t="s">
        <v>5</v>
      </c>
      <c r="AE806" s="7">
        <v>1.07</v>
      </c>
      <c r="AF806" s="6" t="s">
        <v>5</v>
      </c>
      <c r="AG806" s="6" t="s">
        <v>5</v>
      </c>
      <c r="AH806" s="22">
        <v>0.40699999999999997</v>
      </c>
      <c r="AI806" s="6" t="s">
        <v>5</v>
      </c>
      <c r="AJ806" s="7">
        <v>9.33</v>
      </c>
      <c r="AK806" s="6" t="s">
        <v>5</v>
      </c>
      <c r="AL806" s="6" t="s">
        <v>5</v>
      </c>
      <c r="AM806" s="6" t="s">
        <v>5</v>
      </c>
      <c r="AN806" s="6" t="s">
        <v>5</v>
      </c>
      <c r="AO806" s="7">
        <v>5.46</v>
      </c>
      <c r="AP806" s="7">
        <v>4.0599999999999996</v>
      </c>
      <c r="AQ806" s="7">
        <v>2.2400000000000002</v>
      </c>
      <c r="AR806" s="7">
        <v>1.0900000000000001</v>
      </c>
      <c r="AS806" s="6">
        <v>10.3</v>
      </c>
      <c r="AT806" s="6">
        <v>5.56</v>
      </c>
      <c r="AU806" s="6">
        <v>3.05</v>
      </c>
      <c r="AV806" s="7">
        <v>1.49</v>
      </c>
      <c r="AW806" s="6" t="s">
        <v>5</v>
      </c>
      <c r="AX806" s="6" t="s">
        <v>5</v>
      </c>
      <c r="AY806" s="6" t="s">
        <v>5</v>
      </c>
      <c r="AZ806" s="6" t="s">
        <v>5</v>
      </c>
      <c r="BA806" s="6" t="s">
        <v>5</v>
      </c>
      <c r="BB806" s="6" t="s">
        <v>5</v>
      </c>
      <c r="BC806" s="6" t="s">
        <v>5</v>
      </c>
      <c r="BD806" s="6" t="s">
        <v>5</v>
      </c>
      <c r="BE806" s="6" t="s">
        <v>5</v>
      </c>
      <c r="BF806" s="6" t="s">
        <v>5</v>
      </c>
      <c r="BG806" s="6" t="s">
        <v>5</v>
      </c>
      <c r="BH806" s="6" t="s">
        <v>5</v>
      </c>
      <c r="BI806" s="7">
        <v>2.0499999999999998</v>
      </c>
      <c r="BJ806" s="22">
        <v>0.81399999999999995</v>
      </c>
      <c r="BK806" s="6" t="s">
        <v>5</v>
      </c>
      <c r="BL806" s="2" t="s">
        <v>5</v>
      </c>
      <c r="BM806" s="2" t="s">
        <v>5</v>
      </c>
      <c r="BN806" s="2" t="s">
        <v>5</v>
      </c>
      <c r="BO806" s="2" t="s">
        <v>5</v>
      </c>
      <c r="BP806" s="2" t="s">
        <v>5</v>
      </c>
      <c r="BQ806" s="2" t="s">
        <v>5</v>
      </c>
      <c r="BR806" s="2" t="s">
        <v>5</v>
      </c>
      <c r="BS806" s="2" t="s">
        <v>5</v>
      </c>
      <c r="BT806" s="2" t="s">
        <v>5</v>
      </c>
      <c r="BU806" s="2" t="s">
        <v>5</v>
      </c>
      <c r="BV806" s="2" t="s">
        <v>5</v>
      </c>
      <c r="BW806" s="2" t="s">
        <v>5</v>
      </c>
      <c r="BX806" s="2" t="s">
        <v>5</v>
      </c>
      <c r="BY806" s="25" t="s">
        <v>5</v>
      </c>
      <c r="BZ806" s="25" t="s">
        <v>5</v>
      </c>
      <c r="CA806" s="6" t="s">
        <v>5</v>
      </c>
      <c r="CB806" s="6" t="s">
        <v>5</v>
      </c>
      <c r="CC806" s="6" t="s">
        <v>5</v>
      </c>
      <c r="CD806" s="6" t="s">
        <v>5</v>
      </c>
      <c r="CE806" s="6" t="s">
        <v>5</v>
      </c>
      <c r="CF806" s="16" t="s">
        <v>5</v>
      </c>
      <c r="CG806" s="16" t="s">
        <v>5</v>
      </c>
      <c r="CH806" s="18" t="s">
        <v>5</v>
      </c>
    </row>
    <row r="807" spans="2:86">
      <c r="B807" s="78" t="s">
        <v>473</v>
      </c>
      <c r="C807" s="79" t="s">
        <v>907</v>
      </c>
      <c r="D807" s="80" t="s">
        <v>907</v>
      </c>
      <c r="E807" s="1" t="s">
        <v>4</v>
      </c>
      <c r="F807" s="4">
        <v>13.2</v>
      </c>
      <c r="G807" s="7">
        <v>3.9</v>
      </c>
      <c r="H807" s="3" t="str">
        <f t="shared" si="31"/>
        <v>2L3-1/2X3X5/16LLBB</v>
      </c>
      <c r="I807" s="7">
        <v>3.5</v>
      </c>
      <c r="J807" s="5" t="s">
        <v>5</v>
      </c>
      <c r="K807" s="6" t="s">
        <v>5</v>
      </c>
      <c r="L807" s="6" t="s">
        <v>5</v>
      </c>
      <c r="M807" s="6" t="s">
        <v>5</v>
      </c>
      <c r="N807" s="6" t="s">
        <v>5</v>
      </c>
      <c r="O807" s="5" t="s">
        <v>5</v>
      </c>
      <c r="P807" s="5" t="s">
        <v>5</v>
      </c>
      <c r="Q807" s="7">
        <v>3</v>
      </c>
      <c r="R807" s="6" t="s">
        <v>5</v>
      </c>
      <c r="S807" s="6" t="s">
        <v>5</v>
      </c>
      <c r="T807" s="5" t="s">
        <v>5</v>
      </c>
      <c r="U807" s="8" t="s">
        <v>5</v>
      </c>
      <c r="V807" s="6" t="s">
        <v>5</v>
      </c>
      <c r="W807" s="8" t="s">
        <v>5</v>
      </c>
      <c r="X807" s="22">
        <v>0.313</v>
      </c>
      <c r="Y807" s="6" t="s">
        <v>5</v>
      </c>
      <c r="Z807" s="6" t="s">
        <v>5</v>
      </c>
      <c r="AA807" s="6" t="s">
        <v>5</v>
      </c>
      <c r="AB807" s="8" t="s">
        <v>5</v>
      </c>
      <c r="AC807" s="8" t="s">
        <v>5</v>
      </c>
      <c r="AD807" s="6" t="s">
        <v>5</v>
      </c>
      <c r="AE807" s="7">
        <v>1.05</v>
      </c>
      <c r="AF807" s="6" t="s">
        <v>5</v>
      </c>
      <c r="AG807" s="6" t="s">
        <v>5</v>
      </c>
      <c r="AH807" s="22">
        <v>0.38</v>
      </c>
      <c r="AI807" s="6" t="s">
        <v>5</v>
      </c>
      <c r="AJ807" s="4">
        <v>11.2</v>
      </c>
      <c r="AK807" s="6" t="s">
        <v>5</v>
      </c>
      <c r="AL807" s="6" t="s">
        <v>5</v>
      </c>
      <c r="AM807" s="6" t="s">
        <v>5</v>
      </c>
      <c r="AN807" s="6" t="s">
        <v>5</v>
      </c>
      <c r="AO807" s="7">
        <v>4.66</v>
      </c>
      <c r="AP807" s="7">
        <v>3.44</v>
      </c>
      <c r="AQ807" s="7">
        <v>1.9</v>
      </c>
      <c r="AR807" s="7">
        <v>1.0900000000000001</v>
      </c>
      <c r="AS807" s="6">
        <v>5.62</v>
      </c>
      <c r="AT807" s="6">
        <v>3.11</v>
      </c>
      <c r="AU807" s="6">
        <v>1.87</v>
      </c>
      <c r="AV807" s="7">
        <v>1.2</v>
      </c>
      <c r="AW807" s="6" t="s">
        <v>5</v>
      </c>
      <c r="AX807" s="6" t="s">
        <v>5</v>
      </c>
      <c r="AY807" s="6" t="s">
        <v>5</v>
      </c>
      <c r="AZ807" s="6" t="s">
        <v>5</v>
      </c>
      <c r="BA807" s="6" t="s">
        <v>5</v>
      </c>
      <c r="BB807" s="6" t="s">
        <v>5</v>
      </c>
      <c r="BC807" s="6" t="s">
        <v>5</v>
      </c>
      <c r="BD807" s="6" t="s">
        <v>5</v>
      </c>
      <c r="BE807" s="6" t="s">
        <v>5</v>
      </c>
      <c r="BF807" s="6" t="s">
        <v>5</v>
      </c>
      <c r="BG807" s="6" t="s">
        <v>5</v>
      </c>
      <c r="BH807" s="6" t="s">
        <v>5</v>
      </c>
      <c r="BI807" s="7">
        <v>1.85</v>
      </c>
      <c r="BJ807" s="22">
        <v>0.77</v>
      </c>
      <c r="BK807" s="6" t="s">
        <v>5</v>
      </c>
      <c r="BL807" s="2" t="s">
        <v>5</v>
      </c>
      <c r="BM807" s="2" t="s">
        <v>5</v>
      </c>
      <c r="BN807" s="2" t="s">
        <v>5</v>
      </c>
      <c r="BO807" s="2" t="s">
        <v>5</v>
      </c>
      <c r="BP807" s="2" t="s">
        <v>5</v>
      </c>
      <c r="BQ807" s="2" t="s">
        <v>5</v>
      </c>
      <c r="BR807" s="2" t="s">
        <v>5</v>
      </c>
      <c r="BS807" s="2" t="s">
        <v>5</v>
      </c>
      <c r="BT807" s="2" t="s">
        <v>5</v>
      </c>
      <c r="BU807" s="2" t="s">
        <v>5</v>
      </c>
      <c r="BV807" s="2" t="s">
        <v>5</v>
      </c>
      <c r="BW807" s="2" t="s">
        <v>5</v>
      </c>
      <c r="BX807" s="2" t="s">
        <v>5</v>
      </c>
      <c r="BY807" s="25" t="s">
        <v>5</v>
      </c>
      <c r="BZ807" s="25" t="s">
        <v>5</v>
      </c>
      <c r="CA807" s="6" t="s">
        <v>5</v>
      </c>
      <c r="CB807" s="6" t="s">
        <v>5</v>
      </c>
      <c r="CC807" s="6" t="s">
        <v>5</v>
      </c>
      <c r="CD807" s="6" t="s">
        <v>5</v>
      </c>
      <c r="CE807" s="6" t="s">
        <v>5</v>
      </c>
      <c r="CF807" s="16" t="s">
        <v>5</v>
      </c>
      <c r="CG807" s="16" t="s">
        <v>5</v>
      </c>
      <c r="CH807" s="18" t="s">
        <v>5</v>
      </c>
    </row>
    <row r="808" spans="2:86">
      <c r="B808" s="78" t="s">
        <v>473</v>
      </c>
      <c r="C808" s="79" t="s">
        <v>908</v>
      </c>
      <c r="D808" s="80" t="s">
        <v>908</v>
      </c>
      <c r="E808" s="1" t="s">
        <v>4</v>
      </c>
      <c r="F808" s="4">
        <v>13.2</v>
      </c>
      <c r="G808" s="7">
        <v>3.9</v>
      </c>
      <c r="H808" s="3" t="str">
        <f t="shared" si="31"/>
        <v>2L3-1/2X3X5/16X3/8LLBB</v>
      </c>
      <c r="I808" s="7">
        <v>3.5</v>
      </c>
      <c r="J808" s="5" t="s">
        <v>5</v>
      </c>
      <c r="K808" s="6" t="s">
        <v>5</v>
      </c>
      <c r="L808" s="6" t="s">
        <v>5</v>
      </c>
      <c r="M808" s="6" t="s">
        <v>5</v>
      </c>
      <c r="N808" s="6" t="s">
        <v>5</v>
      </c>
      <c r="O808" s="5" t="s">
        <v>5</v>
      </c>
      <c r="P808" s="5" t="s">
        <v>5</v>
      </c>
      <c r="Q808" s="7">
        <v>3</v>
      </c>
      <c r="R808" s="6" t="s">
        <v>5</v>
      </c>
      <c r="S808" s="6" t="s">
        <v>5</v>
      </c>
      <c r="T808" s="5" t="s">
        <v>5</v>
      </c>
      <c r="U808" s="8" t="s">
        <v>5</v>
      </c>
      <c r="V808" s="6" t="s">
        <v>5</v>
      </c>
      <c r="W808" s="8" t="s">
        <v>5</v>
      </c>
      <c r="X808" s="22">
        <v>0.313</v>
      </c>
      <c r="Y808" s="6" t="s">
        <v>5</v>
      </c>
      <c r="Z808" s="6" t="s">
        <v>5</v>
      </c>
      <c r="AA808" s="6" t="s">
        <v>5</v>
      </c>
      <c r="AB808" s="8" t="s">
        <v>5</v>
      </c>
      <c r="AC808" s="8" t="s">
        <v>5</v>
      </c>
      <c r="AD808" s="6" t="s">
        <v>5</v>
      </c>
      <c r="AE808" s="7">
        <v>1.05</v>
      </c>
      <c r="AF808" s="6" t="s">
        <v>5</v>
      </c>
      <c r="AG808" s="6" t="s">
        <v>5</v>
      </c>
      <c r="AH808" s="22">
        <v>0.38</v>
      </c>
      <c r="AI808" s="6" t="s">
        <v>5</v>
      </c>
      <c r="AJ808" s="4">
        <v>11.2</v>
      </c>
      <c r="AK808" s="6" t="s">
        <v>5</v>
      </c>
      <c r="AL808" s="6" t="s">
        <v>5</v>
      </c>
      <c r="AM808" s="6" t="s">
        <v>5</v>
      </c>
      <c r="AN808" s="6" t="s">
        <v>5</v>
      </c>
      <c r="AO808" s="7">
        <v>4.66</v>
      </c>
      <c r="AP808" s="7">
        <v>3.44</v>
      </c>
      <c r="AQ808" s="7">
        <v>1.9</v>
      </c>
      <c r="AR808" s="7">
        <v>1.0900000000000001</v>
      </c>
      <c r="AS808" s="7">
        <v>6.9</v>
      </c>
      <c r="AT808" s="6">
        <v>3.84</v>
      </c>
      <c r="AU808" s="6">
        <v>2.16</v>
      </c>
      <c r="AV808" s="7">
        <v>1.33</v>
      </c>
      <c r="AW808" s="6" t="s">
        <v>5</v>
      </c>
      <c r="AX808" s="6" t="s">
        <v>5</v>
      </c>
      <c r="AY808" s="6" t="s">
        <v>5</v>
      </c>
      <c r="AZ808" s="6" t="s">
        <v>5</v>
      </c>
      <c r="BA808" s="6" t="s">
        <v>5</v>
      </c>
      <c r="BB808" s="6" t="s">
        <v>5</v>
      </c>
      <c r="BC808" s="6" t="s">
        <v>5</v>
      </c>
      <c r="BD808" s="6" t="s">
        <v>5</v>
      </c>
      <c r="BE808" s="6" t="s">
        <v>5</v>
      </c>
      <c r="BF808" s="6" t="s">
        <v>5</v>
      </c>
      <c r="BG808" s="6" t="s">
        <v>5</v>
      </c>
      <c r="BH808" s="6" t="s">
        <v>5</v>
      </c>
      <c r="BI808" s="7">
        <v>1.94</v>
      </c>
      <c r="BJ808" s="22">
        <v>0.79</v>
      </c>
      <c r="BK808" s="6" t="s">
        <v>5</v>
      </c>
      <c r="BL808" s="2" t="s">
        <v>5</v>
      </c>
      <c r="BM808" s="2" t="s">
        <v>5</v>
      </c>
      <c r="BN808" s="2" t="s">
        <v>5</v>
      </c>
      <c r="BO808" s="2" t="s">
        <v>5</v>
      </c>
      <c r="BP808" s="2" t="s">
        <v>5</v>
      </c>
      <c r="BQ808" s="2" t="s">
        <v>5</v>
      </c>
      <c r="BR808" s="2" t="s">
        <v>5</v>
      </c>
      <c r="BS808" s="2" t="s">
        <v>5</v>
      </c>
      <c r="BT808" s="2" t="s">
        <v>5</v>
      </c>
      <c r="BU808" s="2" t="s">
        <v>5</v>
      </c>
      <c r="BV808" s="2" t="s">
        <v>5</v>
      </c>
      <c r="BW808" s="2" t="s">
        <v>5</v>
      </c>
      <c r="BX808" s="2" t="s">
        <v>5</v>
      </c>
      <c r="BY808" s="25" t="s">
        <v>5</v>
      </c>
      <c r="BZ808" s="25" t="s">
        <v>5</v>
      </c>
      <c r="CA808" s="6" t="s">
        <v>5</v>
      </c>
      <c r="CB808" s="6" t="s">
        <v>5</v>
      </c>
      <c r="CC808" s="6" t="s">
        <v>5</v>
      </c>
      <c r="CD808" s="6" t="s">
        <v>5</v>
      </c>
      <c r="CE808" s="6" t="s">
        <v>5</v>
      </c>
      <c r="CF808" s="16" t="s">
        <v>5</v>
      </c>
      <c r="CG808" s="16" t="s">
        <v>5</v>
      </c>
      <c r="CH808" s="18" t="s">
        <v>5</v>
      </c>
    </row>
    <row r="809" spans="2:86">
      <c r="B809" s="78" t="s">
        <v>473</v>
      </c>
      <c r="C809" s="79" t="s">
        <v>909</v>
      </c>
      <c r="D809" s="80" t="s">
        <v>909</v>
      </c>
      <c r="E809" s="1" t="s">
        <v>4</v>
      </c>
      <c r="F809" s="4">
        <v>13.2</v>
      </c>
      <c r="G809" s="7">
        <v>3.9</v>
      </c>
      <c r="H809" s="3" t="str">
        <f t="shared" si="31"/>
        <v>2L3-1/2X3X5/16X3/4LLBB</v>
      </c>
      <c r="I809" s="7">
        <v>3.5</v>
      </c>
      <c r="J809" s="5" t="s">
        <v>5</v>
      </c>
      <c r="K809" s="6" t="s">
        <v>5</v>
      </c>
      <c r="L809" s="6" t="s">
        <v>5</v>
      </c>
      <c r="M809" s="6" t="s">
        <v>5</v>
      </c>
      <c r="N809" s="6" t="s">
        <v>5</v>
      </c>
      <c r="O809" s="5" t="s">
        <v>5</v>
      </c>
      <c r="P809" s="5" t="s">
        <v>5</v>
      </c>
      <c r="Q809" s="7">
        <v>3</v>
      </c>
      <c r="R809" s="6" t="s">
        <v>5</v>
      </c>
      <c r="S809" s="6" t="s">
        <v>5</v>
      </c>
      <c r="T809" s="5" t="s">
        <v>5</v>
      </c>
      <c r="U809" s="8" t="s">
        <v>5</v>
      </c>
      <c r="V809" s="6" t="s">
        <v>5</v>
      </c>
      <c r="W809" s="8" t="s">
        <v>5</v>
      </c>
      <c r="X809" s="22">
        <v>0.313</v>
      </c>
      <c r="Y809" s="6" t="s">
        <v>5</v>
      </c>
      <c r="Z809" s="6" t="s">
        <v>5</v>
      </c>
      <c r="AA809" s="6" t="s">
        <v>5</v>
      </c>
      <c r="AB809" s="8" t="s">
        <v>5</v>
      </c>
      <c r="AC809" s="8" t="s">
        <v>5</v>
      </c>
      <c r="AD809" s="6" t="s">
        <v>5</v>
      </c>
      <c r="AE809" s="7">
        <v>1.05</v>
      </c>
      <c r="AF809" s="6" t="s">
        <v>5</v>
      </c>
      <c r="AG809" s="6" t="s">
        <v>5</v>
      </c>
      <c r="AH809" s="22">
        <v>0.38</v>
      </c>
      <c r="AI809" s="6" t="s">
        <v>5</v>
      </c>
      <c r="AJ809" s="4">
        <v>11.2</v>
      </c>
      <c r="AK809" s="6" t="s">
        <v>5</v>
      </c>
      <c r="AL809" s="6" t="s">
        <v>5</v>
      </c>
      <c r="AM809" s="6" t="s">
        <v>5</v>
      </c>
      <c r="AN809" s="6" t="s">
        <v>5</v>
      </c>
      <c r="AO809" s="7">
        <v>4.66</v>
      </c>
      <c r="AP809" s="7">
        <v>3.44</v>
      </c>
      <c r="AQ809" s="7">
        <v>1.9</v>
      </c>
      <c r="AR809" s="7">
        <v>1.0900000000000001</v>
      </c>
      <c r="AS809" s="6">
        <v>8.5399999999999991</v>
      </c>
      <c r="AT809" s="6">
        <v>4.57</v>
      </c>
      <c r="AU809" s="6">
        <v>2.5299999999999998</v>
      </c>
      <c r="AV809" s="7">
        <v>1.48</v>
      </c>
      <c r="AW809" s="6" t="s">
        <v>5</v>
      </c>
      <c r="AX809" s="6" t="s">
        <v>5</v>
      </c>
      <c r="AY809" s="6" t="s">
        <v>5</v>
      </c>
      <c r="AZ809" s="6" t="s">
        <v>5</v>
      </c>
      <c r="BA809" s="6" t="s">
        <v>5</v>
      </c>
      <c r="BB809" s="6" t="s">
        <v>5</v>
      </c>
      <c r="BC809" s="6" t="s">
        <v>5</v>
      </c>
      <c r="BD809" s="6" t="s">
        <v>5</v>
      </c>
      <c r="BE809" s="6" t="s">
        <v>5</v>
      </c>
      <c r="BF809" s="6" t="s">
        <v>5</v>
      </c>
      <c r="BG809" s="6" t="s">
        <v>5</v>
      </c>
      <c r="BH809" s="6" t="s">
        <v>5</v>
      </c>
      <c r="BI809" s="7">
        <v>2.04</v>
      </c>
      <c r="BJ809" s="22">
        <v>0.81100000000000005</v>
      </c>
      <c r="BK809" s="6" t="s">
        <v>5</v>
      </c>
      <c r="BL809" s="2" t="s">
        <v>5</v>
      </c>
      <c r="BM809" s="2" t="s">
        <v>5</v>
      </c>
      <c r="BN809" s="2" t="s">
        <v>5</v>
      </c>
      <c r="BO809" s="2" t="s">
        <v>5</v>
      </c>
      <c r="BP809" s="2" t="s">
        <v>5</v>
      </c>
      <c r="BQ809" s="2" t="s">
        <v>5</v>
      </c>
      <c r="BR809" s="2" t="s">
        <v>5</v>
      </c>
      <c r="BS809" s="2" t="s">
        <v>5</v>
      </c>
      <c r="BT809" s="2" t="s">
        <v>5</v>
      </c>
      <c r="BU809" s="2" t="s">
        <v>5</v>
      </c>
      <c r="BV809" s="2" t="s">
        <v>5</v>
      </c>
      <c r="BW809" s="2" t="s">
        <v>5</v>
      </c>
      <c r="BX809" s="2" t="s">
        <v>5</v>
      </c>
      <c r="BY809" s="25" t="s">
        <v>5</v>
      </c>
      <c r="BZ809" s="25" t="s">
        <v>5</v>
      </c>
      <c r="CA809" s="6" t="s">
        <v>5</v>
      </c>
      <c r="CB809" s="6" t="s">
        <v>5</v>
      </c>
      <c r="CC809" s="6" t="s">
        <v>5</v>
      </c>
      <c r="CD809" s="6" t="s">
        <v>5</v>
      </c>
      <c r="CE809" s="6" t="s">
        <v>5</v>
      </c>
      <c r="CF809" s="16" t="s">
        <v>5</v>
      </c>
      <c r="CG809" s="16" t="s">
        <v>5</v>
      </c>
      <c r="CH809" s="18" t="s">
        <v>5</v>
      </c>
    </row>
    <row r="810" spans="2:86">
      <c r="B810" s="78" t="s">
        <v>473</v>
      </c>
      <c r="C810" s="79" t="s">
        <v>910</v>
      </c>
      <c r="D810" s="80" t="s">
        <v>910</v>
      </c>
      <c r="E810" s="1" t="s">
        <v>4</v>
      </c>
      <c r="F810" s="4">
        <v>10.8</v>
      </c>
      <c r="G810" s="7">
        <v>3.16</v>
      </c>
      <c r="H810" s="3" t="str">
        <f t="shared" si="31"/>
        <v>2L3-1/2X3X1/4LLBB</v>
      </c>
      <c r="I810" s="7">
        <v>3.5</v>
      </c>
      <c r="J810" s="5" t="s">
        <v>5</v>
      </c>
      <c r="K810" s="6" t="s">
        <v>5</v>
      </c>
      <c r="L810" s="6" t="s">
        <v>5</v>
      </c>
      <c r="M810" s="6" t="s">
        <v>5</v>
      </c>
      <c r="N810" s="6" t="s">
        <v>5</v>
      </c>
      <c r="O810" s="5" t="s">
        <v>5</v>
      </c>
      <c r="P810" s="5" t="s">
        <v>5</v>
      </c>
      <c r="Q810" s="7">
        <v>3</v>
      </c>
      <c r="R810" s="6" t="s">
        <v>5</v>
      </c>
      <c r="S810" s="6" t="s">
        <v>5</v>
      </c>
      <c r="T810" s="5" t="s">
        <v>5</v>
      </c>
      <c r="U810" s="8" t="s">
        <v>5</v>
      </c>
      <c r="V810" s="6" t="s">
        <v>5</v>
      </c>
      <c r="W810" s="8" t="s">
        <v>5</v>
      </c>
      <c r="X810" s="22">
        <v>0.25</v>
      </c>
      <c r="Y810" s="6" t="s">
        <v>5</v>
      </c>
      <c r="Z810" s="6" t="s">
        <v>5</v>
      </c>
      <c r="AA810" s="6" t="s">
        <v>5</v>
      </c>
      <c r="AB810" s="8" t="s">
        <v>5</v>
      </c>
      <c r="AC810" s="8" t="s">
        <v>5</v>
      </c>
      <c r="AD810" s="6" t="s">
        <v>5</v>
      </c>
      <c r="AE810" s="7">
        <v>1.02</v>
      </c>
      <c r="AF810" s="6" t="s">
        <v>5</v>
      </c>
      <c r="AG810" s="6" t="s">
        <v>5</v>
      </c>
      <c r="AH810" s="22">
        <v>0.34</v>
      </c>
      <c r="AI810" s="6" t="s">
        <v>5</v>
      </c>
      <c r="AJ810" s="4">
        <v>14</v>
      </c>
      <c r="AK810" s="6" t="s">
        <v>5</v>
      </c>
      <c r="AL810" s="6" t="s">
        <v>5</v>
      </c>
      <c r="AM810" s="6" t="s">
        <v>5</v>
      </c>
      <c r="AN810" s="6" t="s">
        <v>5</v>
      </c>
      <c r="AO810" s="7">
        <v>3.84</v>
      </c>
      <c r="AP810" s="7">
        <v>2.78</v>
      </c>
      <c r="AQ810" s="7">
        <v>1.55</v>
      </c>
      <c r="AR810" s="7">
        <v>1.1000000000000001</v>
      </c>
      <c r="AS810" s="6">
        <v>4.47</v>
      </c>
      <c r="AT810" s="6">
        <v>2.44</v>
      </c>
      <c r="AU810" s="6">
        <v>1.49</v>
      </c>
      <c r="AV810" s="7">
        <v>1.19</v>
      </c>
      <c r="AW810" s="6" t="s">
        <v>5</v>
      </c>
      <c r="AX810" s="6" t="s">
        <v>5</v>
      </c>
      <c r="AY810" s="6" t="s">
        <v>5</v>
      </c>
      <c r="AZ810" s="6" t="s">
        <v>5</v>
      </c>
      <c r="BA810" s="6" t="s">
        <v>5</v>
      </c>
      <c r="BB810" s="6" t="s">
        <v>5</v>
      </c>
      <c r="BC810" s="6" t="s">
        <v>5</v>
      </c>
      <c r="BD810" s="6" t="s">
        <v>5</v>
      </c>
      <c r="BE810" s="6" t="s">
        <v>5</v>
      </c>
      <c r="BF810" s="6" t="s">
        <v>5</v>
      </c>
      <c r="BG810" s="6" t="s">
        <v>5</v>
      </c>
      <c r="BH810" s="6" t="s">
        <v>5</v>
      </c>
      <c r="BI810" s="7">
        <v>1.85</v>
      </c>
      <c r="BJ810" s="22">
        <v>0.76700000000000002</v>
      </c>
      <c r="BK810" s="6" t="s">
        <v>5</v>
      </c>
      <c r="BL810" s="2" t="s">
        <v>5</v>
      </c>
      <c r="BM810" s="2" t="s">
        <v>5</v>
      </c>
      <c r="BN810" s="2" t="s">
        <v>5</v>
      </c>
      <c r="BO810" s="2" t="s">
        <v>5</v>
      </c>
      <c r="BP810" s="2" t="s">
        <v>5</v>
      </c>
      <c r="BQ810" s="2" t="s">
        <v>5</v>
      </c>
      <c r="BR810" s="2" t="s">
        <v>5</v>
      </c>
      <c r="BS810" s="2" t="s">
        <v>5</v>
      </c>
      <c r="BT810" s="2" t="s">
        <v>5</v>
      </c>
      <c r="BU810" s="2" t="s">
        <v>5</v>
      </c>
      <c r="BV810" s="2" t="s">
        <v>5</v>
      </c>
      <c r="BW810" s="2" t="s">
        <v>5</v>
      </c>
      <c r="BX810" s="2" t="s">
        <v>5</v>
      </c>
      <c r="BY810" s="25" t="s">
        <v>5</v>
      </c>
      <c r="BZ810" s="25" t="s">
        <v>5</v>
      </c>
      <c r="CA810" s="6" t="s">
        <v>5</v>
      </c>
      <c r="CB810" s="6" t="s">
        <v>5</v>
      </c>
      <c r="CC810" s="6" t="s">
        <v>5</v>
      </c>
      <c r="CD810" s="6" t="s">
        <v>5</v>
      </c>
      <c r="CE810" s="6" t="s">
        <v>5</v>
      </c>
      <c r="CF810" s="16" t="s">
        <v>5</v>
      </c>
      <c r="CG810" s="16" t="s">
        <v>5</v>
      </c>
      <c r="CH810" s="18" t="s">
        <v>5</v>
      </c>
    </row>
    <row r="811" spans="2:86">
      <c r="B811" s="78" t="s">
        <v>473</v>
      </c>
      <c r="C811" s="79" t="s">
        <v>911</v>
      </c>
      <c r="D811" s="80" t="s">
        <v>911</v>
      </c>
      <c r="E811" s="1" t="s">
        <v>4</v>
      </c>
      <c r="F811" s="4">
        <v>10.8</v>
      </c>
      <c r="G811" s="7">
        <v>3.16</v>
      </c>
      <c r="H811" s="3" t="str">
        <f t="shared" si="31"/>
        <v>2L3-1/2X3X1/4X3/8LLBB</v>
      </c>
      <c r="I811" s="7">
        <v>3.5</v>
      </c>
      <c r="J811" s="5" t="s">
        <v>5</v>
      </c>
      <c r="K811" s="6" t="s">
        <v>5</v>
      </c>
      <c r="L811" s="6" t="s">
        <v>5</v>
      </c>
      <c r="M811" s="6" t="s">
        <v>5</v>
      </c>
      <c r="N811" s="6" t="s">
        <v>5</v>
      </c>
      <c r="O811" s="5" t="s">
        <v>5</v>
      </c>
      <c r="P811" s="5" t="s">
        <v>5</v>
      </c>
      <c r="Q811" s="7">
        <v>3</v>
      </c>
      <c r="R811" s="6" t="s">
        <v>5</v>
      </c>
      <c r="S811" s="6" t="s">
        <v>5</v>
      </c>
      <c r="T811" s="5" t="s">
        <v>5</v>
      </c>
      <c r="U811" s="8" t="s">
        <v>5</v>
      </c>
      <c r="V811" s="6" t="s">
        <v>5</v>
      </c>
      <c r="W811" s="8" t="s">
        <v>5</v>
      </c>
      <c r="X811" s="22">
        <v>0.25</v>
      </c>
      <c r="Y811" s="6" t="s">
        <v>5</v>
      </c>
      <c r="Z811" s="6" t="s">
        <v>5</v>
      </c>
      <c r="AA811" s="6" t="s">
        <v>5</v>
      </c>
      <c r="AB811" s="8" t="s">
        <v>5</v>
      </c>
      <c r="AC811" s="8" t="s">
        <v>5</v>
      </c>
      <c r="AD811" s="6" t="s">
        <v>5</v>
      </c>
      <c r="AE811" s="7">
        <v>1.02</v>
      </c>
      <c r="AF811" s="6" t="s">
        <v>5</v>
      </c>
      <c r="AG811" s="6" t="s">
        <v>5</v>
      </c>
      <c r="AH811" s="22">
        <v>0.34</v>
      </c>
      <c r="AI811" s="6" t="s">
        <v>5</v>
      </c>
      <c r="AJ811" s="4">
        <v>14</v>
      </c>
      <c r="AK811" s="6" t="s">
        <v>5</v>
      </c>
      <c r="AL811" s="6" t="s">
        <v>5</v>
      </c>
      <c r="AM811" s="6" t="s">
        <v>5</v>
      </c>
      <c r="AN811" s="6" t="s">
        <v>5</v>
      </c>
      <c r="AO811" s="7">
        <v>3.84</v>
      </c>
      <c r="AP811" s="7">
        <v>2.78</v>
      </c>
      <c r="AQ811" s="7">
        <v>1.55</v>
      </c>
      <c r="AR811" s="7">
        <v>1.1000000000000001</v>
      </c>
      <c r="AS811" s="6">
        <v>5.51</v>
      </c>
      <c r="AT811" s="6">
        <v>3.04</v>
      </c>
      <c r="AU811" s="6">
        <v>1.73</v>
      </c>
      <c r="AV811" s="7">
        <v>1.32</v>
      </c>
      <c r="AW811" s="6" t="s">
        <v>5</v>
      </c>
      <c r="AX811" s="6" t="s">
        <v>5</v>
      </c>
      <c r="AY811" s="6" t="s">
        <v>5</v>
      </c>
      <c r="AZ811" s="6" t="s">
        <v>5</v>
      </c>
      <c r="BA811" s="6" t="s">
        <v>5</v>
      </c>
      <c r="BB811" s="6" t="s">
        <v>5</v>
      </c>
      <c r="BC811" s="6" t="s">
        <v>5</v>
      </c>
      <c r="BD811" s="6" t="s">
        <v>5</v>
      </c>
      <c r="BE811" s="6" t="s">
        <v>5</v>
      </c>
      <c r="BF811" s="6" t="s">
        <v>5</v>
      </c>
      <c r="BG811" s="6" t="s">
        <v>5</v>
      </c>
      <c r="BH811" s="6" t="s">
        <v>5</v>
      </c>
      <c r="BI811" s="7">
        <v>1.94</v>
      </c>
      <c r="BJ811" s="22">
        <v>0.78700000000000003</v>
      </c>
      <c r="BK811" s="6" t="s">
        <v>5</v>
      </c>
      <c r="BL811" s="2" t="s">
        <v>5</v>
      </c>
      <c r="BM811" s="2" t="s">
        <v>5</v>
      </c>
      <c r="BN811" s="2" t="s">
        <v>5</v>
      </c>
      <c r="BO811" s="2" t="s">
        <v>5</v>
      </c>
      <c r="BP811" s="2" t="s">
        <v>5</v>
      </c>
      <c r="BQ811" s="2" t="s">
        <v>5</v>
      </c>
      <c r="BR811" s="2" t="s">
        <v>5</v>
      </c>
      <c r="BS811" s="2" t="s">
        <v>5</v>
      </c>
      <c r="BT811" s="2" t="s">
        <v>5</v>
      </c>
      <c r="BU811" s="2" t="s">
        <v>5</v>
      </c>
      <c r="BV811" s="2" t="s">
        <v>5</v>
      </c>
      <c r="BW811" s="2" t="s">
        <v>5</v>
      </c>
      <c r="BX811" s="2" t="s">
        <v>5</v>
      </c>
      <c r="BY811" s="25" t="s">
        <v>5</v>
      </c>
      <c r="BZ811" s="25" t="s">
        <v>5</v>
      </c>
      <c r="CA811" s="6" t="s">
        <v>5</v>
      </c>
      <c r="CB811" s="6" t="s">
        <v>5</v>
      </c>
      <c r="CC811" s="6" t="s">
        <v>5</v>
      </c>
      <c r="CD811" s="6" t="s">
        <v>5</v>
      </c>
      <c r="CE811" s="6" t="s">
        <v>5</v>
      </c>
      <c r="CF811" s="16" t="s">
        <v>5</v>
      </c>
      <c r="CG811" s="16" t="s">
        <v>5</v>
      </c>
      <c r="CH811" s="18" t="s">
        <v>5</v>
      </c>
    </row>
    <row r="812" spans="2:86">
      <c r="B812" s="78" t="s">
        <v>473</v>
      </c>
      <c r="C812" s="79" t="s">
        <v>912</v>
      </c>
      <c r="D812" s="80" t="s">
        <v>912</v>
      </c>
      <c r="E812" s="1" t="s">
        <v>4</v>
      </c>
      <c r="F812" s="4">
        <v>10.8</v>
      </c>
      <c r="G812" s="7">
        <v>3.16</v>
      </c>
      <c r="H812" s="3" t="str">
        <f t="shared" si="31"/>
        <v>2L3-1/2X3X1/4X3/4LLBB</v>
      </c>
      <c r="I812" s="7">
        <v>3.5</v>
      </c>
      <c r="J812" s="5" t="s">
        <v>5</v>
      </c>
      <c r="K812" s="6" t="s">
        <v>5</v>
      </c>
      <c r="L812" s="6" t="s">
        <v>5</v>
      </c>
      <c r="M812" s="6" t="s">
        <v>5</v>
      </c>
      <c r="N812" s="6" t="s">
        <v>5</v>
      </c>
      <c r="O812" s="5" t="s">
        <v>5</v>
      </c>
      <c r="P812" s="5" t="s">
        <v>5</v>
      </c>
      <c r="Q812" s="7">
        <v>3</v>
      </c>
      <c r="R812" s="6" t="s">
        <v>5</v>
      </c>
      <c r="S812" s="6" t="s">
        <v>5</v>
      </c>
      <c r="T812" s="5" t="s">
        <v>5</v>
      </c>
      <c r="U812" s="8" t="s">
        <v>5</v>
      </c>
      <c r="V812" s="6" t="s">
        <v>5</v>
      </c>
      <c r="W812" s="8" t="s">
        <v>5</v>
      </c>
      <c r="X812" s="22">
        <v>0.25</v>
      </c>
      <c r="Y812" s="6" t="s">
        <v>5</v>
      </c>
      <c r="Z812" s="6" t="s">
        <v>5</v>
      </c>
      <c r="AA812" s="6" t="s">
        <v>5</v>
      </c>
      <c r="AB812" s="8" t="s">
        <v>5</v>
      </c>
      <c r="AC812" s="8" t="s">
        <v>5</v>
      </c>
      <c r="AD812" s="6" t="s">
        <v>5</v>
      </c>
      <c r="AE812" s="7">
        <v>1.02</v>
      </c>
      <c r="AF812" s="6" t="s">
        <v>5</v>
      </c>
      <c r="AG812" s="6" t="s">
        <v>5</v>
      </c>
      <c r="AH812" s="22">
        <v>0.34</v>
      </c>
      <c r="AI812" s="6" t="s">
        <v>5</v>
      </c>
      <c r="AJ812" s="4">
        <v>14</v>
      </c>
      <c r="AK812" s="6" t="s">
        <v>5</v>
      </c>
      <c r="AL812" s="6" t="s">
        <v>5</v>
      </c>
      <c r="AM812" s="6" t="s">
        <v>5</v>
      </c>
      <c r="AN812" s="6" t="s">
        <v>5</v>
      </c>
      <c r="AO812" s="7">
        <v>3.84</v>
      </c>
      <c r="AP812" s="7">
        <v>2.78</v>
      </c>
      <c r="AQ812" s="7">
        <v>1.55</v>
      </c>
      <c r="AR812" s="7">
        <v>1.1000000000000001</v>
      </c>
      <c r="AS812" s="6">
        <v>6.74</v>
      </c>
      <c r="AT812" s="6">
        <v>3.63</v>
      </c>
      <c r="AU812" s="7">
        <v>2</v>
      </c>
      <c r="AV812" s="7">
        <v>1.46</v>
      </c>
      <c r="AW812" s="6" t="s">
        <v>5</v>
      </c>
      <c r="AX812" s="6" t="s">
        <v>5</v>
      </c>
      <c r="AY812" s="6" t="s">
        <v>5</v>
      </c>
      <c r="AZ812" s="6" t="s">
        <v>5</v>
      </c>
      <c r="BA812" s="6" t="s">
        <v>5</v>
      </c>
      <c r="BB812" s="6" t="s">
        <v>5</v>
      </c>
      <c r="BC812" s="6" t="s">
        <v>5</v>
      </c>
      <c r="BD812" s="6" t="s">
        <v>5</v>
      </c>
      <c r="BE812" s="6" t="s">
        <v>5</v>
      </c>
      <c r="BF812" s="6" t="s">
        <v>5</v>
      </c>
      <c r="BG812" s="6" t="s">
        <v>5</v>
      </c>
      <c r="BH812" s="6" t="s">
        <v>5</v>
      </c>
      <c r="BI812" s="7">
        <v>2.04</v>
      </c>
      <c r="BJ812" s="22">
        <v>0.80700000000000005</v>
      </c>
      <c r="BK812" s="6" t="s">
        <v>5</v>
      </c>
      <c r="BL812" s="2" t="s">
        <v>5</v>
      </c>
      <c r="BM812" s="2" t="s">
        <v>5</v>
      </c>
      <c r="BN812" s="2" t="s">
        <v>5</v>
      </c>
      <c r="BO812" s="2" t="s">
        <v>5</v>
      </c>
      <c r="BP812" s="2" t="s">
        <v>5</v>
      </c>
      <c r="BQ812" s="2" t="s">
        <v>5</v>
      </c>
      <c r="BR812" s="2" t="s">
        <v>5</v>
      </c>
      <c r="BS812" s="2" t="s">
        <v>5</v>
      </c>
      <c r="BT812" s="2" t="s">
        <v>5</v>
      </c>
      <c r="BU812" s="2" t="s">
        <v>5</v>
      </c>
      <c r="BV812" s="2" t="s">
        <v>5</v>
      </c>
      <c r="BW812" s="2" t="s">
        <v>5</v>
      </c>
      <c r="BX812" s="2" t="s">
        <v>5</v>
      </c>
      <c r="BY812" s="25" t="s">
        <v>5</v>
      </c>
      <c r="BZ812" s="25" t="s">
        <v>5</v>
      </c>
      <c r="CA812" s="6" t="s">
        <v>5</v>
      </c>
      <c r="CB812" s="6" t="s">
        <v>5</v>
      </c>
      <c r="CC812" s="6" t="s">
        <v>5</v>
      </c>
      <c r="CD812" s="6" t="s">
        <v>5</v>
      </c>
      <c r="CE812" s="6" t="s">
        <v>5</v>
      </c>
      <c r="CF812" s="16" t="s">
        <v>5</v>
      </c>
      <c r="CG812" s="16" t="s">
        <v>5</v>
      </c>
      <c r="CH812" s="18" t="s">
        <v>5</v>
      </c>
    </row>
    <row r="813" spans="2:86">
      <c r="B813" s="78" t="s">
        <v>473</v>
      </c>
      <c r="C813" s="79" t="s">
        <v>913</v>
      </c>
      <c r="D813" s="80" t="s">
        <v>913</v>
      </c>
      <c r="E813" s="1" t="s">
        <v>4</v>
      </c>
      <c r="F813" s="4">
        <v>18.8</v>
      </c>
      <c r="G813" s="7">
        <v>5.54</v>
      </c>
      <c r="H813" s="3" t="str">
        <f t="shared" si="31"/>
        <v>2L3-1/2X2-1/2X1/2LLBB</v>
      </c>
      <c r="I813" s="7">
        <v>3.5</v>
      </c>
      <c r="J813" s="5" t="s">
        <v>5</v>
      </c>
      <c r="K813" s="6" t="s">
        <v>5</v>
      </c>
      <c r="L813" s="6" t="s">
        <v>5</v>
      </c>
      <c r="M813" s="6" t="s">
        <v>5</v>
      </c>
      <c r="N813" s="6" t="s">
        <v>5</v>
      </c>
      <c r="O813" s="5" t="s">
        <v>5</v>
      </c>
      <c r="P813" s="5" t="s">
        <v>5</v>
      </c>
      <c r="Q813" s="7">
        <v>2.5</v>
      </c>
      <c r="R813" s="6" t="s">
        <v>5</v>
      </c>
      <c r="S813" s="6" t="s">
        <v>5</v>
      </c>
      <c r="T813" s="5" t="s">
        <v>5</v>
      </c>
      <c r="U813" s="8" t="s">
        <v>5</v>
      </c>
      <c r="V813" s="6" t="s">
        <v>5</v>
      </c>
      <c r="W813" s="8" t="s">
        <v>5</v>
      </c>
      <c r="X813" s="22">
        <v>0.5</v>
      </c>
      <c r="Y813" s="6" t="s">
        <v>5</v>
      </c>
      <c r="Z813" s="6" t="s">
        <v>5</v>
      </c>
      <c r="AA813" s="6" t="s">
        <v>5</v>
      </c>
      <c r="AB813" s="8" t="s">
        <v>5</v>
      </c>
      <c r="AC813" s="8" t="s">
        <v>5</v>
      </c>
      <c r="AD813" s="6" t="s">
        <v>5</v>
      </c>
      <c r="AE813" s="7">
        <v>1.2</v>
      </c>
      <c r="AF813" s="6" t="s">
        <v>5</v>
      </c>
      <c r="AG813" s="6" t="s">
        <v>5</v>
      </c>
      <c r="AH813" s="22">
        <v>0.73</v>
      </c>
      <c r="AI813" s="6" t="s">
        <v>5</v>
      </c>
      <c r="AJ813" s="7">
        <v>7</v>
      </c>
      <c r="AK813" s="6" t="s">
        <v>5</v>
      </c>
      <c r="AL813" s="6" t="s">
        <v>5</v>
      </c>
      <c r="AM813" s="6" t="s">
        <v>5</v>
      </c>
      <c r="AN813" s="6" t="s">
        <v>5</v>
      </c>
      <c r="AO813" s="7">
        <v>6.48</v>
      </c>
      <c r="AP813" s="7">
        <v>5.04</v>
      </c>
      <c r="AQ813" s="7">
        <v>2.82</v>
      </c>
      <c r="AR813" s="7">
        <v>1.08</v>
      </c>
      <c r="AS813" s="6">
        <v>5.45</v>
      </c>
      <c r="AT813" s="6">
        <v>3.88</v>
      </c>
      <c r="AU813" s="6">
        <v>2.1800000000000002</v>
      </c>
      <c r="AV813" s="22">
        <v>0.99199999999999999</v>
      </c>
      <c r="AW813" s="6" t="s">
        <v>5</v>
      </c>
      <c r="AX813" s="6" t="s">
        <v>5</v>
      </c>
      <c r="AY813" s="6" t="s">
        <v>5</v>
      </c>
      <c r="AZ813" s="6" t="s">
        <v>5</v>
      </c>
      <c r="BA813" s="6" t="s">
        <v>5</v>
      </c>
      <c r="BB813" s="6" t="s">
        <v>5</v>
      </c>
      <c r="BC813" s="6" t="s">
        <v>5</v>
      </c>
      <c r="BD813" s="6" t="s">
        <v>5</v>
      </c>
      <c r="BE813" s="6" t="s">
        <v>5</v>
      </c>
      <c r="BF813" s="6" t="s">
        <v>5</v>
      </c>
      <c r="BG813" s="6" t="s">
        <v>5</v>
      </c>
      <c r="BH813" s="6" t="s">
        <v>5</v>
      </c>
      <c r="BI813" s="7">
        <v>1.75</v>
      </c>
      <c r="BJ813" s="22">
        <v>0.70599999999999996</v>
      </c>
      <c r="BK813" s="6" t="s">
        <v>5</v>
      </c>
      <c r="BL813" s="2" t="s">
        <v>5</v>
      </c>
      <c r="BM813" s="2" t="s">
        <v>5</v>
      </c>
      <c r="BN813" s="2" t="s">
        <v>5</v>
      </c>
      <c r="BO813" s="2" t="s">
        <v>5</v>
      </c>
      <c r="BP813" s="2" t="s">
        <v>5</v>
      </c>
      <c r="BQ813" s="2" t="s">
        <v>5</v>
      </c>
      <c r="BR813" s="2" t="s">
        <v>5</v>
      </c>
      <c r="BS813" s="2" t="s">
        <v>5</v>
      </c>
      <c r="BT813" s="2" t="s">
        <v>5</v>
      </c>
      <c r="BU813" s="2" t="s">
        <v>5</v>
      </c>
      <c r="BV813" s="2" t="s">
        <v>5</v>
      </c>
      <c r="BW813" s="2" t="s">
        <v>5</v>
      </c>
      <c r="BX813" s="2" t="s">
        <v>5</v>
      </c>
      <c r="BY813" s="25" t="s">
        <v>5</v>
      </c>
      <c r="BZ813" s="25" t="s">
        <v>5</v>
      </c>
      <c r="CA813" s="6" t="s">
        <v>5</v>
      </c>
      <c r="CB813" s="6" t="s">
        <v>5</v>
      </c>
      <c r="CC813" s="6" t="s">
        <v>5</v>
      </c>
      <c r="CD813" s="6" t="s">
        <v>5</v>
      </c>
      <c r="CE813" s="6" t="s">
        <v>5</v>
      </c>
      <c r="CF813" s="16" t="s">
        <v>5</v>
      </c>
      <c r="CG813" s="16" t="s">
        <v>5</v>
      </c>
      <c r="CH813" s="18" t="s">
        <v>5</v>
      </c>
    </row>
    <row r="814" spans="2:86">
      <c r="B814" s="78" t="s">
        <v>473</v>
      </c>
      <c r="C814" s="79" t="s">
        <v>914</v>
      </c>
      <c r="D814" s="80" t="s">
        <v>914</v>
      </c>
      <c r="E814" s="1" t="s">
        <v>4</v>
      </c>
      <c r="F814" s="4">
        <v>18.8</v>
      </c>
      <c r="G814" s="7">
        <v>5.54</v>
      </c>
      <c r="H814" s="3" t="str">
        <f t="shared" si="31"/>
        <v>2L3-1/2X2-1/2X1/2X3/8LLBB</v>
      </c>
      <c r="I814" s="7">
        <v>3.5</v>
      </c>
      <c r="J814" s="5" t="s">
        <v>5</v>
      </c>
      <c r="K814" s="6" t="s">
        <v>5</v>
      </c>
      <c r="L814" s="6" t="s">
        <v>5</v>
      </c>
      <c r="M814" s="6" t="s">
        <v>5</v>
      </c>
      <c r="N814" s="6" t="s">
        <v>5</v>
      </c>
      <c r="O814" s="5" t="s">
        <v>5</v>
      </c>
      <c r="P814" s="5" t="s">
        <v>5</v>
      </c>
      <c r="Q814" s="7">
        <v>2.5</v>
      </c>
      <c r="R814" s="6" t="s">
        <v>5</v>
      </c>
      <c r="S814" s="6" t="s">
        <v>5</v>
      </c>
      <c r="T814" s="5" t="s">
        <v>5</v>
      </c>
      <c r="U814" s="8" t="s">
        <v>5</v>
      </c>
      <c r="V814" s="6" t="s">
        <v>5</v>
      </c>
      <c r="W814" s="8" t="s">
        <v>5</v>
      </c>
      <c r="X814" s="22">
        <v>0.5</v>
      </c>
      <c r="Y814" s="6" t="s">
        <v>5</v>
      </c>
      <c r="Z814" s="6" t="s">
        <v>5</v>
      </c>
      <c r="AA814" s="6" t="s">
        <v>5</v>
      </c>
      <c r="AB814" s="8" t="s">
        <v>5</v>
      </c>
      <c r="AC814" s="8" t="s">
        <v>5</v>
      </c>
      <c r="AD814" s="6" t="s">
        <v>5</v>
      </c>
      <c r="AE814" s="7">
        <v>1.2</v>
      </c>
      <c r="AF814" s="6" t="s">
        <v>5</v>
      </c>
      <c r="AG814" s="6" t="s">
        <v>5</v>
      </c>
      <c r="AH814" s="22">
        <v>0.73</v>
      </c>
      <c r="AI814" s="6" t="s">
        <v>5</v>
      </c>
      <c r="AJ814" s="7">
        <v>7</v>
      </c>
      <c r="AK814" s="6" t="s">
        <v>5</v>
      </c>
      <c r="AL814" s="6" t="s">
        <v>5</v>
      </c>
      <c r="AM814" s="6" t="s">
        <v>5</v>
      </c>
      <c r="AN814" s="6" t="s">
        <v>5</v>
      </c>
      <c r="AO814" s="7">
        <v>6.48</v>
      </c>
      <c r="AP814" s="7">
        <v>5.04</v>
      </c>
      <c r="AQ814" s="7">
        <v>2.82</v>
      </c>
      <c r="AR814" s="7">
        <v>1.08</v>
      </c>
      <c r="AS814" s="6">
        <v>7.07</v>
      </c>
      <c r="AT814" s="6">
        <v>4.92</v>
      </c>
      <c r="AU814" s="6">
        <v>2.63</v>
      </c>
      <c r="AV814" s="7">
        <v>1.1299999999999999</v>
      </c>
      <c r="AW814" s="6" t="s">
        <v>5</v>
      </c>
      <c r="AX814" s="6" t="s">
        <v>5</v>
      </c>
      <c r="AY814" s="6" t="s">
        <v>5</v>
      </c>
      <c r="AZ814" s="6" t="s">
        <v>5</v>
      </c>
      <c r="BA814" s="6" t="s">
        <v>5</v>
      </c>
      <c r="BB814" s="6" t="s">
        <v>5</v>
      </c>
      <c r="BC814" s="6" t="s">
        <v>5</v>
      </c>
      <c r="BD814" s="6" t="s">
        <v>5</v>
      </c>
      <c r="BE814" s="6" t="s">
        <v>5</v>
      </c>
      <c r="BF814" s="6" t="s">
        <v>5</v>
      </c>
      <c r="BG814" s="6" t="s">
        <v>5</v>
      </c>
      <c r="BH814" s="6" t="s">
        <v>5</v>
      </c>
      <c r="BI814" s="7">
        <v>1.83</v>
      </c>
      <c r="BJ814" s="22">
        <v>0.73199999999999998</v>
      </c>
      <c r="BK814" s="6" t="s">
        <v>5</v>
      </c>
      <c r="BL814" s="2" t="s">
        <v>5</v>
      </c>
      <c r="BM814" s="2" t="s">
        <v>5</v>
      </c>
      <c r="BN814" s="2" t="s">
        <v>5</v>
      </c>
      <c r="BO814" s="2" t="s">
        <v>5</v>
      </c>
      <c r="BP814" s="2" t="s">
        <v>5</v>
      </c>
      <c r="BQ814" s="2" t="s">
        <v>5</v>
      </c>
      <c r="BR814" s="2" t="s">
        <v>5</v>
      </c>
      <c r="BS814" s="2" t="s">
        <v>5</v>
      </c>
      <c r="BT814" s="2" t="s">
        <v>5</v>
      </c>
      <c r="BU814" s="2" t="s">
        <v>5</v>
      </c>
      <c r="BV814" s="2" t="s">
        <v>5</v>
      </c>
      <c r="BW814" s="2" t="s">
        <v>5</v>
      </c>
      <c r="BX814" s="2" t="s">
        <v>5</v>
      </c>
      <c r="BY814" s="25" t="s">
        <v>5</v>
      </c>
      <c r="BZ814" s="25" t="s">
        <v>5</v>
      </c>
      <c r="CA814" s="6" t="s">
        <v>5</v>
      </c>
      <c r="CB814" s="6" t="s">
        <v>5</v>
      </c>
      <c r="CC814" s="6" t="s">
        <v>5</v>
      </c>
      <c r="CD814" s="6" t="s">
        <v>5</v>
      </c>
      <c r="CE814" s="6" t="s">
        <v>5</v>
      </c>
      <c r="CF814" s="16" t="s">
        <v>5</v>
      </c>
      <c r="CG814" s="16" t="s">
        <v>5</v>
      </c>
      <c r="CH814" s="18" t="s">
        <v>5</v>
      </c>
    </row>
    <row r="815" spans="2:86">
      <c r="B815" s="78" t="s">
        <v>473</v>
      </c>
      <c r="C815" s="79" t="s">
        <v>915</v>
      </c>
      <c r="D815" s="80" t="s">
        <v>915</v>
      </c>
      <c r="E815" s="1" t="s">
        <v>4</v>
      </c>
      <c r="F815" s="4">
        <v>18.8</v>
      </c>
      <c r="G815" s="7">
        <v>5.54</v>
      </c>
      <c r="H815" s="3" t="str">
        <f t="shared" si="31"/>
        <v>2L3-1/2X2-1/2X1/2X3/4LLBB</v>
      </c>
      <c r="I815" s="7">
        <v>3.5</v>
      </c>
      <c r="J815" s="5" t="s">
        <v>5</v>
      </c>
      <c r="K815" s="6" t="s">
        <v>5</v>
      </c>
      <c r="L815" s="6" t="s">
        <v>5</v>
      </c>
      <c r="M815" s="6" t="s">
        <v>5</v>
      </c>
      <c r="N815" s="6" t="s">
        <v>5</v>
      </c>
      <c r="O815" s="5" t="s">
        <v>5</v>
      </c>
      <c r="P815" s="5" t="s">
        <v>5</v>
      </c>
      <c r="Q815" s="7">
        <v>2.5</v>
      </c>
      <c r="R815" s="6" t="s">
        <v>5</v>
      </c>
      <c r="S815" s="6" t="s">
        <v>5</v>
      </c>
      <c r="T815" s="5" t="s">
        <v>5</v>
      </c>
      <c r="U815" s="8" t="s">
        <v>5</v>
      </c>
      <c r="V815" s="6" t="s">
        <v>5</v>
      </c>
      <c r="W815" s="8" t="s">
        <v>5</v>
      </c>
      <c r="X815" s="22">
        <v>0.5</v>
      </c>
      <c r="Y815" s="6" t="s">
        <v>5</v>
      </c>
      <c r="Z815" s="6" t="s">
        <v>5</v>
      </c>
      <c r="AA815" s="6" t="s">
        <v>5</v>
      </c>
      <c r="AB815" s="8" t="s">
        <v>5</v>
      </c>
      <c r="AC815" s="8" t="s">
        <v>5</v>
      </c>
      <c r="AD815" s="6" t="s">
        <v>5</v>
      </c>
      <c r="AE815" s="7">
        <v>1.2</v>
      </c>
      <c r="AF815" s="6" t="s">
        <v>5</v>
      </c>
      <c r="AG815" s="6" t="s">
        <v>5</v>
      </c>
      <c r="AH815" s="22">
        <v>0.73</v>
      </c>
      <c r="AI815" s="6" t="s">
        <v>5</v>
      </c>
      <c r="AJ815" s="7">
        <v>7</v>
      </c>
      <c r="AK815" s="6" t="s">
        <v>5</v>
      </c>
      <c r="AL815" s="6" t="s">
        <v>5</v>
      </c>
      <c r="AM815" s="6" t="s">
        <v>5</v>
      </c>
      <c r="AN815" s="6" t="s">
        <v>5</v>
      </c>
      <c r="AO815" s="7">
        <v>6.48</v>
      </c>
      <c r="AP815" s="7">
        <v>5.04</v>
      </c>
      <c r="AQ815" s="7">
        <v>2.82</v>
      </c>
      <c r="AR815" s="7">
        <v>1.08</v>
      </c>
      <c r="AS815" s="6">
        <v>9.08</v>
      </c>
      <c r="AT815" s="6">
        <v>5.96</v>
      </c>
      <c r="AU815" s="6">
        <v>3.16</v>
      </c>
      <c r="AV815" s="7">
        <v>1.28</v>
      </c>
      <c r="AW815" s="6" t="s">
        <v>5</v>
      </c>
      <c r="AX815" s="6" t="s">
        <v>5</v>
      </c>
      <c r="AY815" s="6" t="s">
        <v>5</v>
      </c>
      <c r="AZ815" s="6" t="s">
        <v>5</v>
      </c>
      <c r="BA815" s="6" t="s">
        <v>5</v>
      </c>
      <c r="BB815" s="6" t="s">
        <v>5</v>
      </c>
      <c r="BC815" s="6" t="s">
        <v>5</v>
      </c>
      <c r="BD815" s="6" t="s">
        <v>5</v>
      </c>
      <c r="BE815" s="6" t="s">
        <v>5</v>
      </c>
      <c r="BF815" s="6" t="s">
        <v>5</v>
      </c>
      <c r="BG815" s="6" t="s">
        <v>5</v>
      </c>
      <c r="BH815" s="6" t="s">
        <v>5</v>
      </c>
      <c r="BI815" s="7">
        <v>1.93</v>
      </c>
      <c r="BJ815" s="22">
        <v>0.75900000000000001</v>
      </c>
      <c r="BK815" s="6" t="s">
        <v>5</v>
      </c>
      <c r="BL815" s="2" t="s">
        <v>5</v>
      </c>
      <c r="BM815" s="2" t="s">
        <v>5</v>
      </c>
      <c r="BN815" s="2" t="s">
        <v>5</v>
      </c>
      <c r="BO815" s="2" t="s">
        <v>5</v>
      </c>
      <c r="BP815" s="2" t="s">
        <v>5</v>
      </c>
      <c r="BQ815" s="2" t="s">
        <v>5</v>
      </c>
      <c r="BR815" s="2" t="s">
        <v>5</v>
      </c>
      <c r="BS815" s="2" t="s">
        <v>5</v>
      </c>
      <c r="BT815" s="2" t="s">
        <v>5</v>
      </c>
      <c r="BU815" s="2" t="s">
        <v>5</v>
      </c>
      <c r="BV815" s="2" t="s">
        <v>5</v>
      </c>
      <c r="BW815" s="2" t="s">
        <v>5</v>
      </c>
      <c r="BX815" s="2" t="s">
        <v>5</v>
      </c>
      <c r="BY815" s="25" t="s">
        <v>5</v>
      </c>
      <c r="BZ815" s="25" t="s">
        <v>5</v>
      </c>
      <c r="CA815" s="6" t="s">
        <v>5</v>
      </c>
      <c r="CB815" s="6" t="s">
        <v>5</v>
      </c>
      <c r="CC815" s="6" t="s">
        <v>5</v>
      </c>
      <c r="CD815" s="6" t="s">
        <v>5</v>
      </c>
      <c r="CE815" s="6" t="s">
        <v>5</v>
      </c>
      <c r="CF815" s="16" t="s">
        <v>5</v>
      </c>
      <c r="CG815" s="16" t="s">
        <v>5</v>
      </c>
      <c r="CH815" s="18" t="s">
        <v>5</v>
      </c>
    </row>
    <row r="816" spans="2:86">
      <c r="B816" s="78" t="s">
        <v>473</v>
      </c>
      <c r="C816" s="79" t="s">
        <v>916</v>
      </c>
      <c r="D816" s="80" t="s">
        <v>916</v>
      </c>
      <c r="E816" s="1" t="s">
        <v>4</v>
      </c>
      <c r="F816" s="4">
        <v>14.4</v>
      </c>
      <c r="G816" s="7">
        <v>4.24</v>
      </c>
      <c r="H816" s="3" t="str">
        <f t="shared" si="31"/>
        <v>2L3-1/2X2-1/2X3/8LLBB</v>
      </c>
      <c r="I816" s="7">
        <v>3.5</v>
      </c>
      <c r="J816" s="5" t="s">
        <v>5</v>
      </c>
      <c r="K816" s="6" t="s">
        <v>5</v>
      </c>
      <c r="L816" s="6" t="s">
        <v>5</v>
      </c>
      <c r="M816" s="6" t="s">
        <v>5</v>
      </c>
      <c r="N816" s="6" t="s">
        <v>5</v>
      </c>
      <c r="O816" s="5" t="s">
        <v>5</v>
      </c>
      <c r="P816" s="5" t="s">
        <v>5</v>
      </c>
      <c r="Q816" s="7">
        <v>2.5</v>
      </c>
      <c r="R816" s="6" t="s">
        <v>5</v>
      </c>
      <c r="S816" s="6" t="s">
        <v>5</v>
      </c>
      <c r="T816" s="5" t="s">
        <v>5</v>
      </c>
      <c r="U816" s="8" t="s">
        <v>5</v>
      </c>
      <c r="V816" s="6" t="s">
        <v>5</v>
      </c>
      <c r="W816" s="8" t="s">
        <v>5</v>
      </c>
      <c r="X816" s="22">
        <v>0.375</v>
      </c>
      <c r="Y816" s="6" t="s">
        <v>5</v>
      </c>
      <c r="Z816" s="6" t="s">
        <v>5</v>
      </c>
      <c r="AA816" s="6" t="s">
        <v>5</v>
      </c>
      <c r="AB816" s="8" t="s">
        <v>5</v>
      </c>
      <c r="AC816" s="8" t="s">
        <v>5</v>
      </c>
      <c r="AD816" s="6" t="s">
        <v>5</v>
      </c>
      <c r="AE816" s="7">
        <v>1.1499999999999999</v>
      </c>
      <c r="AF816" s="6" t="s">
        <v>5</v>
      </c>
      <c r="AG816" s="6" t="s">
        <v>5</v>
      </c>
      <c r="AH816" s="22">
        <v>0.67300000000000004</v>
      </c>
      <c r="AI816" s="6" t="s">
        <v>5</v>
      </c>
      <c r="AJ816" s="7">
        <v>9.33</v>
      </c>
      <c r="AK816" s="6" t="s">
        <v>5</v>
      </c>
      <c r="AL816" s="6" t="s">
        <v>5</v>
      </c>
      <c r="AM816" s="6" t="s">
        <v>5</v>
      </c>
      <c r="AN816" s="6" t="s">
        <v>5</v>
      </c>
      <c r="AO816" s="7">
        <v>5.12</v>
      </c>
      <c r="AP816" s="7">
        <v>3.92</v>
      </c>
      <c r="AQ816" s="7">
        <v>2.1800000000000002</v>
      </c>
      <c r="AR816" s="7">
        <v>1.1000000000000001</v>
      </c>
      <c r="AS816" s="6">
        <v>3.99</v>
      </c>
      <c r="AT816" s="6">
        <v>2.78</v>
      </c>
      <c r="AU816" s="7">
        <v>1.6</v>
      </c>
      <c r="AV816" s="22">
        <v>0.97</v>
      </c>
      <c r="AW816" s="6" t="s">
        <v>5</v>
      </c>
      <c r="AX816" s="6" t="s">
        <v>5</v>
      </c>
      <c r="AY816" s="6" t="s">
        <v>5</v>
      </c>
      <c r="AZ816" s="6" t="s">
        <v>5</v>
      </c>
      <c r="BA816" s="6" t="s">
        <v>5</v>
      </c>
      <c r="BB816" s="6" t="s">
        <v>5</v>
      </c>
      <c r="BC816" s="6" t="s">
        <v>5</v>
      </c>
      <c r="BD816" s="6" t="s">
        <v>5</v>
      </c>
      <c r="BE816" s="6" t="s">
        <v>5</v>
      </c>
      <c r="BF816" s="6" t="s">
        <v>5</v>
      </c>
      <c r="BG816" s="6" t="s">
        <v>5</v>
      </c>
      <c r="BH816" s="6" t="s">
        <v>5</v>
      </c>
      <c r="BI816" s="7">
        <v>1.75</v>
      </c>
      <c r="BJ816" s="22">
        <v>0.69799999999999995</v>
      </c>
      <c r="BK816" s="6" t="s">
        <v>5</v>
      </c>
      <c r="BL816" s="2" t="s">
        <v>5</v>
      </c>
      <c r="BM816" s="2" t="s">
        <v>5</v>
      </c>
      <c r="BN816" s="2" t="s">
        <v>5</v>
      </c>
      <c r="BO816" s="2" t="s">
        <v>5</v>
      </c>
      <c r="BP816" s="2" t="s">
        <v>5</v>
      </c>
      <c r="BQ816" s="2" t="s">
        <v>5</v>
      </c>
      <c r="BR816" s="2" t="s">
        <v>5</v>
      </c>
      <c r="BS816" s="2" t="s">
        <v>5</v>
      </c>
      <c r="BT816" s="2" t="s">
        <v>5</v>
      </c>
      <c r="BU816" s="2" t="s">
        <v>5</v>
      </c>
      <c r="BV816" s="2" t="s">
        <v>5</v>
      </c>
      <c r="BW816" s="2" t="s">
        <v>5</v>
      </c>
      <c r="BX816" s="2" t="s">
        <v>5</v>
      </c>
      <c r="BY816" s="25" t="s">
        <v>5</v>
      </c>
      <c r="BZ816" s="25" t="s">
        <v>5</v>
      </c>
      <c r="CA816" s="6" t="s">
        <v>5</v>
      </c>
      <c r="CB816" s="6" t="s">
        <v>5</v>
      </c>
      <c r="CC816" s="6" t="s">
        <v>5</v>
      </c>
      <c r="CD816" s="6" t="s">
        <v>5</v>
      </c>
      <c r="CE816" s="6" t="s">
        <v>5</v>
      </c>
      <c r="CF816" s="16" t="s">
        <v>5</v>
      </c>
      <c r="CG816" s="16" t="s">
        <v>5</v>
      </c>
      <c r="CH816" s="18" t="s">
        <v>5</v>
      </c>
    </row>
    <row r="817" spans="2:86">
      <c r="B817" s="78" t="s">
        <v>473</v>
      </c>
      <c r="C817" s="79" t="s">
        <v>917</v>
      </c>
      <c r="D817" s="80" t="s">
        <v>917</v>
      </c>
      <c r="E817" s="1" t="s">
        <v>4</v>
      </c>
      <c r="F817" s="4">
        <v>14.4</v>
      </c>
      <c r="G817" s="7">
        <v>4.24</v>
      </c>
      <c r="H817" s="3" t="str">
        <f t="shared" si="31"/>
        <v>2L3-1/2X2-1/2X3/8X3/8LLBB</v>
      </c>
      <c r="I817" s="7">
        <v>3.5</v>
      </c>
      <c r="J817" s="5" t="s">
        <v>5</v>
      </c>
      <c r="K817" s="6" t="s">
        <v>5</v>
      </c>
      <c r="L817" s="6" t="s">
        <v>5</v>
      </c>
      <c r="M817" s="6" t="s">
        <v>5</v>
      </c>
      <c r="N817" s="6" t="s">
        <v>5</v>
      </c>
      <c r="O817" s="5" t="s">
        <v>5</v>
      </c>
      <c r="P817" s="5" t="s">
        <v>5</v>
      </c>
      <c r="Q817" s="7">
        <v>2.5</v>
      </c>
      <c r="R817" s="6" t="s">
        <v>5</v>
      </c>
      <c r="S817" s="6" t="s">
        <v>5</v>
      </c>
      <c r="T817" s="5" t="s">
        <v>5</v>
      </c>
      <c r="U817" s="8" t="s">
        <v>5</v>
      </c>
      <c r="V817" s="6" t="s">
        <v>5</v>
      </c>
      <c r="W817" s="8" t="s">
        <v>5</v>
      </c>
      <c r="X817" s="22">
        <v>0.375</v>
      </c>
      <c r="Y817" s="6" t="s">
        <v>5</v>
      </c>
      <c r="Z817" s="6" t="s">
        <v>5</v>
      </c>
      <c r="AA817" s="6" t="s">
        <v>5</v>
      </c>
      <c r="AB817" s="8" t="s">
        <v>5</v>
      </c>
      <c r="AC817" s="8" t="s">
        <v>5</v>
      </c>
      <c r="AD817" s="6" t="s">
        <v>5</v>
      </c>
      <c r="AE817" s="7">
        <v>1.1499999999999999</v>
      </c>
      <c r="AF817" s="6" t="s">
        <v>5</v>
      </c>
      <c r="AG817" s="6" t="s">
        <v>5</v>
      </c>
      <c r="AH817" s="22">
        <v>0.67300000000000004</v>
      </c>
      <c r="AI817" s="6" t="s">
        <v>5</v>
      </c>
      <c r="AJ817" s="7">
        <v>9.33</v>
      </c>
      <c r="AK817" s="6" t="s">
        <v>5</v>
      </c>
      <c r="AL817" s="6" t="s">
        <v>5</v>
      </c>
      <c r="AM817" s="6" t="s">
        <v>5</v>
      </c>
      <c r="AN817" s="6" t="s">
        <v>5</v>
      </c>
      <c r="AO817" s="7">
        <v>5.12</v>
      </c>
      <c r="AP817" s="7">
        <v>3.92</v>
      </c>
      <c r="AQ817" s="7">
        <v>2.1800000000000002</v>
      </c>
      <c r="AR817" s="7">
        <v>1.1000000000000001</v>
      </c>
      <c r="AS817" s="6">
        <v>5.22</v>
      </c>
      <c r="AT817" s="6">
        <v>3.57</v>
      </c>
      <c r="AU817" s="6">
        <v>1.94</v>
      </c>
      <c r="AV817" s="7">
        <v>1.1100000000000001</v>
      </c>
      <c r="AW817" s="6" t="s">
        <v>5</v>
      </c>
      <c r="AX817" s="6" t="s">
        <v>5</v>
      </c>
      <c r="AY817" s="6" t="s">
        <v>5</v>
      </c>
      <c r="AZ817" s="6" t="s">
        <v>5</v>
      </c>
      <c r="BA817" s="6" t="s">
        <v>5</v>
      </c>
      <c r="BB817" s="6" t="s">
        <v>5</v>
      </c>
      <c r="BC817" s="6" t="s">
        <v>5</v>
      </c>
      <c r="BD817" s="6" t="s">
        <v>5</v>
      </c>
      <c r="BE817" s="6" t="s">
        <v>5</v>
      </c>
      <c r="BF817" s="6" t="s">
        <v>5</v>
      </c>
      <c r="BG817" s="6" t="s">
        <v>5</v>
      </c>
      <c r="BH817" s="6" t="s">
        <v>5</v>
      </c>
      <c r="BI817" s="7">
        <v>1.83</v>
      </c>
      <c r="BJ817" s="22">
        <v>0.72399999999999998</v>
      </c>
      <c r="BK817" s="6" t="s">
        <v>5</v>
      </c>
      <c r="BL817" s="2" t="s">
        <v>5</v>
      </c>
      <c r="BM817" s="2" t="s">
        <v>5</v>
      </c>
      <c r="BN817" s="2" t="s">
        <v>5</v>
      </c>
      <c r="BO817" s="2" t="s">
        <v>5</v>
      </c>
      <c r="BP817" s="2" t="s">
        <v>5</v>
      </c>
      <c r="BQ817" s="2" t="s">
        <v>5</v>
      </c>
      <c r="BR817" s="2" t="s">
        <v>5</v>
      </c>
      <c r="BS817" s="2" t="s">
        <v>5</v>
      </c>
      <c r="BT817" s="2" t="s">
        <v>5</v>
      </c>
      <c r="BU817" s="2" t="s">
        <v>5</v>
      </c>
      <c r="BV817" s="2" t="s">
        <v>5</v>
      </c>
      <c r="BW817" s="2" t="s">
        <v>5</v>
      </c>
      <c r="BX817" s="2" t="s">
        <v>5</v>
      </c>
      <c r="BY817" s="25" t="s">
        <v>5</v>
      </c>
      <c r="BZ817" s="25" t="s">
        <v>5</v>
      </c>
      <c r="CA817" s="6" t="s">
        <v>5</v>
      </c>
      <c r="CB817" s="6" t="s">
        <v>5</v>
      </c>
      <c r="CC817" s="6" t="s">
        <v>5</v>
      </c>
      <c r="CD817" s="6" t="s">
        <v>5</v>
      </c>
      <c r="CE817" s="6" t="s">
        <v>5</v>
      </c>
      <c r="CF817" s="16" t="s">
        <v>5</v>
      </c>
      <c r="CG817" s="16" t="s">
        <v>5</v>
      </c>
      <c r="CH817" s="18" t="s">
        <v>5</v>
      </c>
    </row>
    <row r="818" spans="2:86">
      <c r="B818" s="78" t="s">
        <v>473</v>
      </c>
      <c r="C818" s="79" t="s">
        <v>918</v>
      </c>
      <c r="D818" s="80" t="s">
        <v>918</v>
      </c>
      <c r="E818" s="1" t="s">
        <v>4</v>
      </c>
      <c r="F818" s="4">
        <v>14.4</v>
      </c>
      <c r="G818" s="7">
        <v>4.24</v>
      </c>
      <c r="H818" s="3" t="str">
        <f t="shared" si="31"/>
        <v>2L3-1/2X2-1/2X3/8X3/4LLBB</v>
      </c>
      <c r="I818" s="7">
        <v>3.5</v>
      </c>
      <c r="J818" s="5" t="s">
        <v>5</v>
      </c>
      <c r="K818" s="6" t="s">
        <v>5</v>
      </c>
      <c r="L818" s="6" t="s">
        <v>5</v>
      </c>
      <c r="M818" s="6" t="s">
        <v>5</v>
      </c>
      <c r="N818" s="6" t="s">
        <v>5</v>
      </c>
      <c r="O818" s="5" t="s">
        <v>5</v>
      </c>
      <c r="P818" s="5" t="s">
        <v>5</v>
      </c>
      <c r="Q818" s="7">
        <v>2.5</v>
      </c>
      <c r="R818" s="6" t="s">
        <v>5</v>
      </c>
      <c r="S818" s="6" t="s">
        <v>5</v>
      </c>
      <c r="T818" s="5" t="s">
        <v>5</v>
      </c>
      <c r="U818" s="8" t="s">
        <v>5</v>
      </c>
      <c r="V818" s="6" t="s">
        <v>5</v>
      </c>
      <c r="W818" s="8" t="s">
        <v>5</v>
      </c>
      <c r="X818" s="22">
        <v>0.375</v>
      </c>
      <c r="Y818" s="6" t="s">
        <v>5</v>
      </c>
      <c r="Z818" s="6" t="s">
        <v>5</v>
      </c>
      <c r="AA818" s="6" t="s">
        <v>5</v>
      </c>
      <c r="AB818" s="8" t="s">
        <v>5</v>
      </c>
      <c r="AC818" s="8" t="s">
        <v>5</v>
      </c>
      <c r="AD818" s="6" t="s">
        <v>5</v>
      </c>
      <c r="AE818" s="7">
        <v>1.1499999999999999</v>
      </c>
      <c r="AF818" s="6" t="s">
        <v>5</v>
      </c>
      <c r="AG818" s="6" t="s">
        <v>5</v>
      </c>
      <c r="AH818" s="22">
        <v>0.67300000000000004</v>
      </c>
      <c r="AI818" s="6" t="s">
        <v>5</v>
      </c>
      <c r="AJ818" s="7">
        <v>9.33</v>
      </c>
      <c r="AK818" s="6" t="s">
        <v>5</v>
      </c>
      <c r="AL818" s="6" t="s">
        <v>5</v>
      </c>
      <c r="AM818" s="6" t="s">
        <v>5</v>
      </c>
      <c r="AN818" s="6" t="s">
        <v>5</v>
      </c>
      <c r="AO818" s="7">
        <v>5.12</v>
      </c>
      <c r="AP818" s="7">
        <v>3.92</v>
      </c>
      <c r="AQ818" s="7">
        <v>2.1800000000000002</v>
      </c>
      <c r="AR818" s="7">
        <v>1.1000000000000001</v>
      </c>
      <c r="AS818" s="6">
        <v>6.63</v>
      </c>
      <c r="AT818" s="6">
        <v>4.37</v>
      </c>
      <c r="AU818" s="6">
        <v>2.31</v>
      </c>
      <c r="AV818" s="7">
        <v>1.25</v>
      </c>
      <c r="AW818" s="6" t="s">
        <v>5</v>
      </c>
      <c r="AX818" s="6" t="s">
        <v>5</v>
      </c>
      <c r="AY818" s="6" t="s">
        <v>5</v>
      </c>
      <c r="AZ818" s="6" t="s">
        <v>5</v>
      </c>
      <c r="BA818" s="6" t="s">
        <v>5</v>
      </c>
      <c r="BB818" s="6" t="s">
        <v>5</v>
      </c>
      <c r="BC818" s="6" t="s">
        <v>5</v>
      </c>
      <c r="BD818" s="6" t="s">
        <v>5</v>
      </c>
      <c r="BE818" s="6" t="s">
        <v>5</v>
      </c>
      <c r="BF818" s="6" t="s">
        <v>5</v>
      </c>
      <c r="BG818" s="6" t="s">
        <v>5</v>
      </c>
      <c r="BH818" s="6" t="s">
        <v>5</v>
      </c>
      <c r="BI818" s="7">
        <v>1.93</v>
      </c>
      <c r="BJ818" s="22">
        <v>0.75</v>
      </c>
      <c r="BK818" s="6" t="s">
        <v>5</v>
      </c>
      <c r="BL818" s="2" t="s">
        <v>5</v>
      </c>
      <c r="BM818" s="2" t="s">
        <v>5</v>
      </c>
      <c r="BN818" s="2" t="s">
        <v>5</v>
      </c>
      <c r="BO818" s="2" t="s">
        <v>5</v>
      </c>
      <c r="BP818" s="2" t="s">
        <v>5</v>
      </c>
      <c r="BQ818" s="2" t="s">
        <v>5</v>
      </c>
      <c r="BR818" s="2" t="s">
        <v>5</v>
      </c>
      <c r="BS818" s="2" t="s">
        <v>5</v>
      </c>
      <c r="BT818" s="2" t="s">
        <v>5</v>
      </c>
      <c r="BU818" s="2" t="s">
        <v>5</v>
      </c>
      <c r="BV818" s="2" t="s">
        <v>5</v>
      </c>
      <c r="BW818" s="2" t="s">
        <v>5</v>
      </c>
      <c r="BX818" s="2" t="s">
        <v>5</v>
      </c>
      <c r="BY818" s="25" t="s">
        <v>5</v>
      </c>
      <c r="BZ818" s="25" t="s">
        <v>5</v>
      </c>
      <c r="CA818" s="6" t="s">
        <v>5</v>
      </c>
      <c r="CB818" s="6" t="s">
        <v>5</v>
      </c>
      <c r="CC818" s="6" t="s">
        <v>5</v>
      </c>
      <c r="CD818" s="6" t="s">
        <v>5</v>
      </c>
      <c r="CE818" s="6" t="s">
        <v>5</v>
      </c>
      <c r="CF818" s="16" t="s">
        <v>5</v>
      </c>
      <c r="CG818" s="16" t="s">
        <v>5</v>
      </c>
      <c r="CH818" s="18" t="s">
        <v>5</v>
      </c>
    </row>
    <row r="819" spans="2:86">
      <c r="B819" s="78" t="s">
        <v>473</v>
      </c>
      <c r="C819" s="79" t="s">
        <v>919</v>
      </c>
      <c r="D819" s="80" t="s">
        <v>919</v>
      </c>
      <c r="E819" s="1" t="s">
        <v>4</v>
      </c>
      <c r="F819" s="4">
        <v>12.2</v>
      </c>
      <c r="G819" s="7">
        <v>3.58</v>
      </c>
      <c r="H819" s="3" t="str">
        <f t="shared" si="31"/>
        <v>2L3-1/2X2-1/2X5/16LLBB</v>
      </c>
      <c r="I819" s="7">
        <v>3.5</v>
      </c>
      <c r="J819" s="5" t="s">
        <v>5</v>
      </c>
      <c r="K819" s="6" t="s">
        <v>5</v>
      </c>
      <c r="L819" s="6" t="s">
        <v>5</v>
      </c>
      <c r="M819" s="6" t="s">
        <v>5</v>
      </c>
      <c r="N819" s="6" t="s">
        <v>5</v>
      </c>
      <c r="O819" s="5" t="s">
        <v>5</v>
      </c>
      <c r="P819" s="5" t="s">
        <v>5</v>
      </c>
      <c r="Q819" s="7">
        <v>2.5</v>
      </c>
      <c r="R819" s="6" t="s">
        <v>5</v>
      </c>
      <c r="S819" s="6" t="s">
        <v>5</v>
      </c>
      <c r="T819" s="5" t="s">
        <v>5</v>
      </c>
      <c r="U819" s="8" t="s">
        <v>5</v>
      </c>
      <c r="V819" s="6" t="s">
        <v>5</v>
      </c>
      <c r="W819" s="8" t="s">
        <v>5</v>
      </c>
      <c r="X819" s="22">
        <v>0.313</v>
      </c>
      <c r="Y819" s="6" t="s">
        <v>5</v>
      </c>
      <c r="Z819" s="6" t="s">
        <v>5</v>
      </c>
      <c r="AA819" s="6" t="s">
        <v>5</v>
      </c>
      <c r="AB819" s="8" t="s">
        <v>5</v>
      </c>
      <c r="AC819" s="8" t="s">
        <v>5</v>
      </c>
      <c r="AD819" s="6" t="s">
        <v>5</v>
      </c>
      <c r="AE819" s="7">
        <v>1.1299999999999999</v>
      </c>
      <c r="AF819" s="6" t="s">
        <v>5</v>
      </c>
      <c r="AG819" s="6" t="s">
        <v>5</v>
      </c>
      <c r="AH819" s="22">
        <v>0.63600000000000001</v>
      </c>
      <c r="AI819" s="6" t="s">
        <v>5</v>
      </c>
      <c r="AJ819" s="4">
        <v>11.2</v>
      </c>
      <c r="AK819" s="6" t="s">
        <v>5</v>
      </c>
      <c r="AL819" s="6" t="s">
        <v>5</v>
      </c>
      <c r="AM819" s="6" t="s">
        <v>5</v>
      </c>
      <c r="AN819" s="6" t="s">
        <v>5</v>
      </c>
      <c r="AO819" s="7">
        <v>4.4000000000000004</v>
      </c>
      <c r="AP819" s="7">
        <v>3.34</v>
      </c>
      <c r="AQ819" s="7">
        <v>1.85</v>
      </c>
      <c r="AR819" s="7">
        <v>1.1100000000000001</v>
      </c>
      <c r="AS819" s="7">
        <v>3.3</v>
      </c>
      <c r="AT819" s="6">
        <v>2.2599999999999998</v>
      </c>
      <c r="AU819" s="6">
        <v>1.32</v>
      </c>
      <c r="AV819" s="22">
        <v>0.96</v>
      </c>
      <c r="AW819" s="6" t="s">
        <v>5</v>
      </c>
      <c r="AX819" s="6" t="s">
        <v>5</v>
      </c>
      <c r="AY819" s="6" t="s">
        <v>5</v>
      </c>
      <c r="AZ819" s="6" t="s">
        <v>5</v>
      </c>
      <c r="BA819" s="6" t="s">
        <v>5</v>
      </c>
      <c r="BB819" s="6" t="s">
        <v>5</v>
      </c>
      <c r="BC819" s="6" t="s">
        <v>5</v>
      </c>
      <c r="BD819" s="6" t="s">
        <v>5</v>
      </c>
      <c r="BE819" s="6" t="s">
        <v>5</v>
      </c>
      <c r="BF819" s="6" t="s">
        <v>5</v>
      </c>
      <c r="BG819" s="6" t="s">
        <v>5</v>
      </c>
      <c r="BH819" s="6" t="s">
        <v>5</v>
      </c>
      <c r="BI819" s="7">
        <v>1.76</v>
      </c>
      <c r="BJ819" s="22">
        <v>0.69499999999999995</v>
      </c>
      <c r="BK819" s="6" t="s">
        <v>5</v>
      </c>
      <c r="BL819" s="2" t="s">
        <v>5</v>
      </c>
      <c r="BM819" s="2" t="s">
        <v>5</v>
      </c>
      <c r="BN819" s="2" t="s">
        <v>5</v>
      </c>
      <c r="BO819" s="2" t="s">
        <v>5</v>
      </c>
      <c r="BP819" s="2" t="s">
        <v>5</v>
      </c>
      <c r="BQ819" s="2" t="s">
        <v>5</v>
      </c>
      <c r="BR819" s="2" t="s">
        <v>5</v>
      </c>
      <c r="BS819" s="2" t="s">
        <v>5</v>
      </c>
      <c r="BT819" s="2" t="s">
        <v>5</v>
      </c>
      <c r="BU819" s="2" t="s">
        <v>5</v>
      </c>
      <c r="BV819" s="2" t="s">
        <v>5</v>
      </c>
      <c r="BW819" s="2" t="s">
        <v>5</v>
      </c>
      <c r="BX819" s="2" t="s">
        <v>5</v>
      </c>
      <c r="BY819" s="25" t="s">
        <v>5</v>
      </c>
      <c r="BZ819" s="25" t="s">
        <v>5</v>
      </c>
      <c r="CA819" s="6" t="s">
        <v>5</v>
      </c>
      <c r="CB819" s="6" t="s">
        <v>5</v>
      </c>
      <c r="CC819" s="6" t="s">
        <v>5</v>
      </c>
      <c r="CD819" s="6" t="s">
        <v>5</v>
      </c>
      <c r="CE819" s="6" t="s">
        <v>5</v>
      </c>
      <c r="CF819" s="16" t="s">
        <v>5</v>
      </c>
      <c r="CG819" s="16" t="s">
        <v>5</v>
      </c>
      <c r="CH819" s="18" t="s">
        <v>5</v>
      </c>
    </row>
    <row r="820" spans="2:86">
      <c r="B820" s="78" t="s">
        <v>473</v>
      </c>
      <c r="C820" s="79" t="s">
        <v>920</v>
      </c>
      <c r="D820" s="80" t="s">
        <v>920</v>
      </c>
      <c r="E820" s="1" t="s">
        <v>4</v>
      </c>
      <c r="F820" s="4">
        <v>12.2</v>
      </c>
      <c r="G820" s="7">
        <v>3.58</v>
      </c>
      <c r="H820" s="3" t="str">
        <f t="shared" si="31"/>
        <v>2L3-1/2X2-1/2X5/16X3/8LLBB</v>
      </c>
      <c r="I820" s="7">
        <v>3.5</v>
      </c>
      <c r="J820" s="5" t="s">
        <v>5</v>
      </c>
      <c r="K820" s="6" t="s">
        <v>5</v>
      </c>
      <c r="L820" s="6" t="s">
        <v>5</v>
      </c>
      <c r="M820" s="6" t="s">
        <v>5</v>
      </c>
      <c r="N820" s="6" t="s">
        <v>5</v>
      </c>
      <c r="O820" s="5" t="s">
        <v>5</v>
      </c>
      <c r="P820" s="5" t="s">
        <v>5</v>
      </c>
      <c r="Q820" s="7">
        <v>2.5</v>
      </c>
      <c r="R820" s="6" t="s">
        <v>5</v>
      </c>
      <c r="S820" s="6" t="s">
        <v>5</v>
      </c>
      <c r="T820" s="5" t="s">
        <v>5</v>
      </c>
      <c r="U820" s="8" t="s">
        <v>5</v>
      </c>
      <c r="V820" s="6" t="s">
        <v>5</v>
      </c>
      <c r="W820" s="8" t="s">
        <v>5</v>
      </c>
      <c r="X820" s="22">
        <v>0.313</v>
      </c>
      <c r="Y820" s="6" t="s">
        <v>5</v>
      </c>
      <c r="Z820" s="6" t="s">
        <v>5</v>
      </c>
      <c r="AA820" s="6" t="s">
        <v>5</v>
      </c>
      <c r="AB820" s="8" t="s">
        <v>5</v>
      </c>
      <c r="AC820" s="8" t="s">
        <v>5</v>
      </c>
      <c r="AD820" s="6" t="s">
        <v>5</v>
      </c>
      <c r="AE820" s="7">
        <v>1.1299999999999999</v>
      </c>
      <c r="AF820" s="6" t="s">
        <v>5</v>
      </c>
      <c r="AG820" s="6" t="s">
        <v>5</v>
      </c>
      <c r="AH820" s="22">
        <v>0.63600000000000001</v>
      </c>
      <c r="AI820" s="6" t="s">
        <v>5</v>
      </c>
      <c r="AJ820" s="4">
        <v>11.2</v>
      </c>
      <c r="AK820" s="6" t="s">
        <v>5</v>
      </c>
      <c r="AL820" s="6" t="s">
        <v>5</v>
      </c>
      <c r="AM820" s="6" t="s">
        <v>5</v>
      </c>
      <c r="AN820" s="6" t="s">
        <v>5</v>
      </c>
      <c r="AO820" s="7">
        <v>4.4000000000000004</v>
      </c>
      <c r="AP820" s="7">
        <v>3.34</v>
      </c>
      <c r="AQ820" s="7">
        <v>1.85</v>
      </c>
      <c r="AR820" s="7">
        <v>1.1100000000000001</v>
      </c>
      <c r="AS820" s="6">
        <v>4.25</v>
      </c>
      <c r="AT820" s="6">
        <v>2.93</v>
      </c>
      <c r="AU820" s="6">
        <v>1.58</v>
      </c>
      <c r="AV820" s="7">
        <v>1.0900000000000001</v>
      </c>
      <c r="AW820" s="6" t="s">
        <v>5</v>
      </c>
      <c r="AX820" s="6" t="s">
        <v>5</v>
      </c>
      <c r="AY820" s="6" t="s">
        <v>5</v>
      </c>
      <c r="AZ820" s="6" t="s">
        <v>5</v>
      </c>
      <c r="BA820" s="6" t="s">
        <v>5</v>
      </c>
      <c r="BB820" s="6" t="s">
        <v>5</v>
      </c>
      <c r="BC820" s="6" t="s">
        <v>5</v>
      </c>
      <c r="BD820" s="6" t="s">
        <v>5</v>
      </c>
      <c r="BE820" s="6" t="s">
        <v>5</v>
      </c>
      <c r="BF820" s="6" t="s">
        <v>5</v>
      </c>
      <c r="BG820" s="6" t="s">
        <v>5</v>
      </c>
      <c r="BH820" s="6" t="s">
        <v>5</v>
      </c>
      <c r="BI820" s="7">
        <v>1.83</v>
      </c>
      <c r="BJ820" s="22">
        <v>0.72</v>
      </c>
      <c r="BK820" s="6" t="s">
        <v>5</v>
      </c>
      <c r="BL820" s="2" t="s">
        <v>5</v>
      </c>
      <c r="BM820" s="2" t="s">
        <v>5</v>
      </c>
      <c r="BN820" s="2" t="s">
        <v>5</v>
      </c>
      <c r="BO820" s="2" t="s">
        <v>5</v>
      </c>
      <c r="BP820" s="2" t="s">
        <v>5</v>
      </c>
      <c r="BQ820" s="2" t="s">
        <v>5</v>
      </c>
      <c r="BR820" s="2" t="s">
        <v>5</v>
      </c>
      <c r="BS820" s="2" t="s">
        <v>5</v>
      </c>
      <c r="BT820" s="2" t="s">
        <v>5</v>
      </c>
      <c r="BU820" s="2" t="s">
        <v>5</v>
      </c>
      <c r="BV820" s="2" t="s">
        <v>5</v>
      </c>
      <c r="BW820" s="2" t="s">
        <v>5</v>
      </c>
      <c r="BX820" s="2" t="s">
        <v>5</v>
      </c>
      <c r="BY820" s="25" t="s">
        <v>5</v>
      </c>
      <c r="BZ820" s="25" t="s">
        <v>5</v>
      </c>
      <c r="CA820" s="6" t="s">
        <v>5</v>
      </c>
      <c r="CB820" s="6" t="s">
        <v>5</v>
      </c>
      <c r="CC820" s="6" t="s">
        <v>5</v>
      </c>
      <c r="CD820" s="6" t="s">
        <v>5</v>
      </c>
      <c r="CE820" s="6" t="s">
        <v>5</v>
      </c>
      <c r="CF820" s="16" t="s">
        <v>5</v>
      </c>
      <c r="CG820" s="16" t="s">
        <v>5</v>
      </c>
      <c r="CH820" s="18" t="s">
        <v>5</v>
      </c>
    </row>
    <row r="821" spans="2:86">
      <c r="B821" s="78" t="s">
        <v>473</v>
      </c>
      <c r="C821" s="79" t="s">
        <v>921</v>
      </c>
      <c r="D821" s="80" t="s">
        <v>921</v>
      </c>
      <c r="E821" s="1" t="s">
        <v>4</v>
      </c>
      <c r="F821" s="4">
        <v>12.2</v>
      </c>
      <c r="G821" s="7">
        <v>3.58</v>
      </c>
      <c r="H821" s="3" t="str">
        <f t="shared" si="31"/>
        <v>2L3-1/2X2-1/2X5/16X3/4LLBB</v>
      </c>
      <c r="I821" s="7">
        <v>3.5</v>
      </c>
      <c r="J821" s="5" t="s">
        <v>5</v>
      </c>
      <c r="K821" s="6" t="s">
        <v>5</v>
      </c>
      <c r="L821" s="6" t="s">
        <v>5</v>
      </c>
      <c r="M821" s="6" t="s">
        <v>5</v>
      </c>
      <c r="N821" s="6" t="s">
        <v>5</v>
      </c>
      <c r="O821" s="5" t="s">
        <v>5</v>
      </c>
      <c r="P821" s="5" t="s">
        <v>5</v>
      </c>
      <c r="Q821" s="7">
        <v>2.5</v>
      </c>
      <c r="R821" s="6" t="s">
        <v>5</v>
      </c>
      <c r="S821" s="6" t="s">
        <v>5</v>
      </c>
      <c r="T821" s="5" t="s">
        <v>5</v>
      </c>
      <c r="U821" s="8" t="s">
        <v>5</v>
      </c>
      <c r="V821" s="6" t="s">
        <v>5</v>
      </c>
      <c r="W821" s="8" t="s">
        <v>5</v>
      </c>
      <c r="X821" s="22">
        <v>0.313</v>
      </c>
      <c r="Y821" s="6" t="s">
        <v>5</v>
      </c>
      <c r="Z821" s="6" t="s">
        <v>5</v>
      </c>
      <c r="AA821" s="6" t="s">
        <v>5</v>
      </c>
      <c r="AB821" s="8" t="s">
        <v>5</v>
      </c>
      <c r="AC821" s="8" t="s">
        <v>5</v>
      </c>
      <c r="AD821" s="6" t="s">
        <v>5</v>
      </c>
      <c r="AE821" s="7">
        <v>1.1299999999999999</v>
      </c>
      <c r="AF821" s="6" t="s">
        <v>5</v>
      </c>
      <c r="AG821" s="6" t="s">
        <v>5</v>
      </c>
      <c r="AH821" s="22">
        <v>0.63600000000000001</v>
      </c>
      <c r="AI821" s="6" t="s">
        <v>5</v>
      </c>
      <c r="AJ821" s="4">
        <v>11.2</v>
      </c>
      <c r="AK821" s="6" t="s">
        <v>5</v>
      </c>
      <c r="AL821" s="6" t="s">
        <v>5</v>
      </c>
      <c r="AM821" s="6" t="s">
        <v>5</v>
      </c>
      <c r="AN821" s="6" t="s">
        <v>5</v>
      </c>
      <c r="AO821" s="7">
        <v>4.4000000000000004</v>
      </c>
      <c r="AP821" s="7">
        <v>3.34</v>
      </c>
      <c r="AQ821" s="7">
        <v>1.85</v>
      </c>
      <c r="AR821" s="7">
        <v>1.1100000000000001</v>
      </c>
      <c r="AS821" s="7">
        <v>5.5</v>
      </c>
      <c r="AT821" s="6">
        <v>3.61</v>
      </c>
      <c r="AU821" s="6">
        <v>1.91</v>
      </c>
      <c r="AV821" s="7">
        <v>1.24</v>
      </c>
      <c r="AW821" s="6" t="s">
        <v>5</v>
      </c>
      <c r="AX821" s="6" t="s">
        <v>5</v>
      </c>
      <c r="AY821" s="6" t="s">
        <v>5</v>
      </c>
      <c r="AZ821" s="6" t="s">
        <v>5</v>
      </c>
      <c r="BA821" s="6" t="s">
        <v>5</v>
      </c>
      <c r="BB821" s="6" t="s">
        <v>5</v>
      </c>
      <c r="BC821" s="6" t="s">
        <v>5</v>
      </c>
      <c r="BD821" s="6" t="s">
        <v>5</v>
      </c>
      <c r="BE821" s="6" t="s">
        <v>5</v>
      </c>
      <c r="BF821" s="6" t="s">
        <v>5</v>
      </c>
      <c r="BG821" s="6" t="s">
        <v>5</v>
      </c>
      <c r="BH821" s="6" t="s">
        <v>5</v>
      </c>
      <c r="BI821" s="7">
        <v>1.92</v>
      </c>
      <c r="BJ821" s="22">
        <v>0.746</v>
      </c>
      <c r="BK821" s="6" t="s">
        <v>5</v>
      </c>
      <c r="BL821" s="2" t="s">
        <v>5</v>
      </c>
      <c r="BM821" s="2" t="s">
        <v>5</v>
      </c>
      <c r="BN821" s="2" t="s">
        <v>5</v>
      </c>
      <c r="BO821" s="2" t="s">
        <v>5</v>
      </c>
      <c r="BP821" s="2" t="s">
        <v>5</v>
      </c>
      <c r="BQ821" s="2" t="s">
        <v>5</v>
      </c>
      <c r="BR821" s="2" t="s">
        <v>5</v>
      </c>
      <c r="BS821" s="2" t="s">
        <v>5</v>
      </c>
      <c r="BT821" s="2" t="s">
        <v>5</v>
      </c>
      <c r="BU821" s="2" t="s">
        <v>5</v>
      </c>
      <c r="BV821" s="2" t="s">
        <v>5</v>
      </c>
      <c r="BW821" s="2" t="s">
        <v>5</v>
      </c>
      <c r="BX821" s="2" t="s">
        <v>5</v>
      </c>
      <c r="BY821" s="25" t="s">
        <v>5</v>
      </c>
      <c r="BZ821" s="25" t="s">
        <v>5</v>
      </c>
      <c r="CA821" s="6" t="s">
        <v>5</v>
      </c>
      <c r="CB821" s="6" t="s">
        <v>5</v>
      </c>
      <c r="CC821" s="6" t="s">
        <v>5</v>
      </c>
      <c r="CD821" s="6" t="s">
        <v>5</v>
      </c>
      <c r="CE821" s="6" t="s">
        <v>5</v>
      </c>
      <c r="CF821" s="16" t="s">
        <v>5</v>
      </c>
      <c r="CG821" s="16" t="s">
        <v>5</v>
      </c>
      <c r="CH821" s="18" t="s">
        <v>5</v>
      </c>
    </row>
    <row r="822" spans="2:86">
      <c r="B822" s="78" t="s">
        <v>473</v>
      </c>
      <c r="C822" s="79" t="s">
        <v>922</v>
      </c>
      <c r="D822" s="80" t="s">
        <v>922</v>
      </c>
      <c r="E822" s="1" t="s">
        <v>4</v>
      </c>
      <c r="F822" s="7">
        <v>9.8000000000000007</v>
      </c>
      <c r="G822" s="7">
        <v>2.9</v>
      </c>
      <c r="H822" s="3" t="str">
        <f t="shared" si="31"/>
        <v>2L3-1/2X2-1/2X1/4LLBB</v>
      </c>
      <c r="I822" s="7">
        <v>3.5</v>
      </c>
      <c r="J822" s="5" t="s">
        <v>5</v>
      </c>
      <c r="K822" s="6" t="s">
        <v>5</v>
      </c>
      <c r="L822" s="6" t="s">
        <v>5</v>
      </c>
      <c r="M822" s="6" t="s">
        <v>5</v>
      </c>
      <c r="N822" s="6" t="s">
        <v>5</v>
      </c>
      <c r="O822" s="5" t="s">
        <v>5</v>
      </c>
      <c r="P822" s="5" t="s">
        <v>5</v>
      </c>
      <c r="Q822" s="7">
        <v>2.5</v>
      </c>
      <c r="R822" s="6" t="s">
        <v>5</v>
      </c>
      <c r="S822" s="6" t="s">
        <v>5</v>
      </c>
      <c r="T822" s="5" t="s">
        <v>5</v>
      </c>
      <c r="U822" s="8" t="s">
        <v>5</v>
      </c>
      <c r="V822" s="6" t="s">
        <v>5</v>
      </c>
      <c r="W822" s="8" t="s">
        <v>5</v>
      </c>
      <c r="X822" s="22">
        <v>0.25</v>
      </c>
      <c r="Y822" s="6" t="s">
        <v>5</v>
      </c>
      <c r="Z822" s="6" t="s">
        <v>5</v>
      </c>
      <c r="AA822" s="6" t="s">
        <v>5</v>
      </c>
      <c r="AB822" s="8" t="s">
        <v>5</v>
      </c>
      <c r="AC822" s="8" t="s">
        <v>5</v>
      </c>
      <c r="AD822" s="6" t="s">
        <v>5</v>
      </c>
      <c r="AE822" s="7">
        <v>1.1000000000000001</v>
      </c>
      <c r="AF822" s="6" t="s">
        <v>5</v>
      </c>
      <c r="AG822" s="6" t="s">
        <v>5</v>
      </c>
      <c r="AH822" s="22">
        <v>0.6</v>
      </c>
      <c r="AI822" s="6" t="s">
        <v>5</v>
      </c>
      <c r="AJ822" s="4">
        <v>14</v>
      </c>
      <c r="AK822" s="6" t="s">
        <v>5</v>
      </c>
      <c r="AL822" s="6" t="s">
        <v>5</v>
      </c>
      <c r="AM822" s="6" t="s">
        <v>5</v>
      </c>
      <c r="AN822" s="6" t="s">
        <v>5</v>
      </c>
      <c r="AO822" s="7">
        <v>3.62</v>
      </c>
      <c r="AP822" s="7">
        <v>2.72</v>
      </c>
      <c r="AQ822" s="7">
        <v>1.51</v>
      </c>
      <c r="AR822" s="7">
        <v>1.1200000000000001</v>
      </c>
      <c r="AS822" s="6">
        <v>2.62</v>
      </c>
      <c r="AT822" s="6">
        <v>1.76</v>
      </c>
      <c r="AU822" s="6">
        <v>1.05</v>
      </c>
      <c r="AV822" s="22">
        <v>0.95</v>
      </c>
      <c r="AW822" s="6" t="s">
        <v>5</v>
      </c>
      <c r="AX822" s="6" t="s">
        <v>5</v>
      </c>
      <c r="AY822" s="6" t="s">
        <v>5</v>
      </c>
      <c r="AZ822" s="6" t="s">
        <v>5</v>
      </c>
      <c r="BA822" s="6" t="s">
        <v>5</v>
      </c>
      <c r="BB822" s="6" t="s">
        <v>5</v>
      </c>
      <c r="BC822" s="6" t="s">
        <v>5</v>
      </c>
      <c r="BD822" s="6" t="s">
        <v>5</v>
      </c>
      <c r="BE822" s="6" t="s">
        <v>5</v>
      </c>
      <c r="BF822" s="6" t="s">
        <v>5</v>
      </c>
      <c r="BG822" s="6" t="s">
        <v>5</v>
      </c>
      <c r="BH822" s="6" t="s">
        <v>5</v>
      </c>
      <c r="BI822" s="7">
        <v>1.76</v>
      </c>
      <c r="BJ822" s="22">
        <v>0.69299999999999995</v>
      </c>
      <c r="BK822" s="6" t="s">
        <v>5</v>
      </c>
      <c r="BL822" s="2" t="s">
        <v>5</v>
      </c>
      <c r="BM822" s="2" t="s">
        <v>5</v>
      </c>
      <c r="BN822" s="2" t="s">
        <v>5</v>
      </c>
      <c r="BO822" s="2" t="s">
        <v>5</v>
      </c>
      <c r="BP822" s="2" t="s">
        <v>5</v>
      </c>
      <c r="BQ822" s="2" t="s">
        <v>5</v>
      </c>
      <c r="BR822" s="2" t="s">
        <v>5</v>
      </c>
      <c r="BS822" s="2" t="s">
        <v>5</v>
      </c>
      <c r="BT822" s="2" t="s">
        <v>5</v>
      </c>
      <c r="BU822" s="2" t="s">
        <v>5</v>
      </c>
      <c r="BV822" s="2" t="s">
        <v>5</v>
      </c>
      <c r="BW822" s="2" t="s">
        <v>5</v>
      </c>
      <c r="BX822" s="2" t="s">
        <v>5</v>
      </c>
      <c r="BY822" s="25" t="s">
        <v>5</v>
      </c>
      <c r="BZ822" s="25" t="s">
        <v>5</v>
      </c>
      <c r="CA822" s="6" t="s">
        <v>5</v>
      </c>
      <c r="CB822" s="6" t="s">
        <v>5</v>
      </c>
      <c r="CC822" s="6" t="s">
        <v>5</v>
      </c>
      <c r="CD822" s="6" t="s">
        <v>5</v>
      </c>
      <c r="CE822" s="6" t="s">
        <v>5</v>
      </c>
      <c r="CF822" s="16" t="s">
        <v>5</v>
      </c>
      <c r="CG822" s="16" t="s">
        <v>5</v>
      </c>
      <c r="CH822" s="18" t="s">
        <v>5</v>
      </c>
    </row>
    <row r="823" spans="2:86">
      <c r="B823" s="78" t="s">
        <v>473</v>
      </c>
      <c r="C823" s="79" t="s">
        <v>923</v>
      </c>
      <c r="D823" s="80" t="s">
        <v>923</v>
      </c>
      <c r="E823" s="1" t="s">
        <v>4</v>
      </c>
      <c r="F823" s="7">
        <v>9.8000000000000007</v>
      </c>
      <c r="G823" s="7">
        <v>2.9</v>
      </c>
      <c r="H823" s="3" t="str">
        <f t="shared" si="31"/>
        <v>2L3-1/2X2-1/2X1/4X3/8LLBB</v>
      </c>
      <c r="I823" s="7">
        <v>3.5</v>
      </c>
      <c r="J823" s="5" t="s">
        <v>5</v>
      </c>
      <c r="K823" s="6" t="s">
        <v>5</v>
      </c>
      <c r="L823" s="6" t="s">
        <v>5</v>
      </c>
      <c r="M823" s="6" t="s">
        <v>5</v>
      </c>
      <c r="N823" s="6" t="s">
        <v>5</v>
      </c>
      <c r="O823" s="5" t="s">
        <v>5</v>
      </c>
      <c r="P823" s="5" t="s">
        <v>5</v>
      </c>
      <c r="Q823" s="7">
        <v>2.5</v>
      </c>
      <c r="R823" s="6" t="s">
        <v>5</v>
      </c>
      <c r="S823" s="6" t="s">
        <v>5</v>
      </c>
      <c r="T823" s="5" t="s">
        <v>5</v>
      </c>
      <c r="U823" s="8" t="s">
        <v>5</v>
      </c>
      <c r="V823" s="6" t="s">
        <v>5</v>
      </c>
      <c r="W823" s="8" t="s">
        <v>5</v>
      </c>
      <c r="X823" s="22">
        <v>0.25</v>
      </c>
      <c r="Y823" s="6" t="s">
        <v>5</v>
      </c>
      <c r="Z823" s="6" t="s">
        <v>5</v>
      </c>
      <c r="AA823" s="6" t="s">
        <v>5</v>
      </c>
      <c r="AB823" s="8" t="s">
        <v>5</v>
      </c>
      <c r="AC823" s="8" t="s">
        <v>5</v>
      </c>
      <c r="AD823" s="6" t="s">
        <v>5</v>
      </c>
      <c r="AE823" s="7">
        <v>1.1000000000000001</v>
      </c>
      <c r="AF823" s="6" t="s">
        <v>5</v>
      </c>
      <c r="AG823" s="6" t="s">
        <v>5</v>
      </c>
      <c r="AH823" s="22">
        <v>0.6</v>
      </c>
      <c r="AI823" s="6" t="s">
        <v>5</v>
      </c>
      <c r="AJ823" s="4">
        <v>14</v>
      </c>
      <c r="AK823" s="6" t="s">
        <v>5</v>
      </c>
      <c r="AL823" s="6" t="s">
        <v>5</v>
      </c>
      <c r="AM823" s="6" t="s">
        <v>5</v>
      </c>
      <c r="AN823" s="6" t="s">
        <v>5</v>
      </c>
      <c r="AO823" s="7">
        <v>3.62</v>
      </c>
      <c r="AP823" s="7">
        <v>2.72</v>
      </c>
      <c r="AQ823" s="7">
        <v>1.51</v>
      </c>
      <c r="AR823" s="7">
        <v>1.1200000000000001</v>
      </c>
      <c r="AS823" s="6">
        <v>3.38</v>
      </c>
      <c r="AT823" s="7">
        <v>2.2999999999999998</v>
      </c>
      <c r="AU823" s="6">
        <v>1.26</v>
      </c>
      <c r="AV823" s="7">
        <v>1.08</v>
      </c>
      <c r="AW823" s="6" t="s">
        <v>5</v>
      </c>
      <c r="AX823" s="6" t="s">
        <v>5</v>
      </c>
      <c r="AY823" s="6" t="s">
        <v>5</v>
      </c>
      <c r="AZ823" s="6" t="s">
        <v>5</v>
      </c>
      <c r="BA823" s="6" t="s">
        <v>5</v>
      </c>
      <c r="BB823" s="6" t="s">
        <v>5</v>
      </c>
      <c r="BC823" s="6" t="s">
        <v>5</v>
      </c>
      <c r="BD823" s="6" t="s">
        <v>5</v>
      </c>
      <c r="BE823" s="6" t="s">
        <v>5</v>
      </c>
      <c r="BF823" s="6" t="s">
        <v>5</v>
      </c>
      <c r="BG823" s="6" t="s">
        <v>5</v>
      </c>
      <c r="BH823" s="6" t="s">
        <v>5</v>
      </c>
      <c r="BI823" s="7">
        <v>1.83</v>
      </c>
      <c r="BJ823" s="22">
        <v>0.71699999999999997</v>
      </c>
      <c r="BK823" s="6" t="s">
        <v>5</v>
      </c>
      <c r="BL823" s="2" t="s">
        <v>5</v>
      </c>
      <c r="BM823" s="2" t="s">
        <v>5</v>
      </c>
      <c r="BN823" s="2" t="s">
        <v>5</v>
      </c>
      <c r="BO823" s="2" t="s">
        <v>5</v>
      </c>
      <c r="BP823" s="2" t="s">
        <v>5</v>
      </c>
      <c r="BQ823" s="2" t="s">
        <v>5</v>
      </c>
      <c r="BR823" s="2" t="s">
        <v>5</v>
      </c>
      <c r="BS823" s="2" t="s">
        <v>5</v>
      </c>
      <c r="BT823" s="2" t="s">
        <v>5</v>
      </c>
      <c r="BU823" s="2" t="s">
        <v>5</v>
      </c>
      <c r="BV823" s="2" t="s">
        <v>5</v>
      </c>
      <c r="BW823" s="2" t="s">
        <v>5</v>
      </c>
      <c r="BX823" s="2" t="s">
        <v>5</v>
      </c>
      <c r="BY823" s="25" t="s">
        <v>5</v>
      </c>
      <c r="BZ823" s="25" t="s">
        <v>5</v>
      </c>
      <c r="CA823" s="6" t="s">
        <v>5</v>
      </c>
      <c r="CB823" s="6" t="s">
        <v>5</v>
      </c>
      <c r="CC823" s="6" t="s">
        <v>5</v>
      </c>
      <c r="CD823" s="6" t="s">
        <v>5</v>
      </c>
      <c r="CE823" s="6" t="s">
        <v>5</v>
      </c>
      <c r="CF823" s="16" t="s">
        <v>5</v>
      </c>
      <c r="CG823" s="16" t="s">
        <v>5</v>
      </c>
      <c r="CH823" s="18" t="s">
        <v>5</v>
      </c>
    </row>
    <row r="824" spans="2:86">
      <c r="B824" s="78" t="s">
        <v>473</v>
      </c>
      <c r="C824" s="79" t="s">
        <v>924</v>
      </c>
      <c r="D824" s="80" t="s">
        <v>924</v>
      </c>
      <c r="E824" s="1" t="s">
        <v>4</v>
      </c>
      <c r="F824" s="7">
        <v>9.8000000000000007</v>
      </c>
      <c r="G824" s="7">
        <v>2.9</v>
      </c>
      <c r="H824" s="3" t="str">
        <f t="shared" si="31"/>
        <v>2L3-1/2X2-1/2X1/4X3/4LLBB</v>
      </c>
      <c r="I824" s="7">
        <v>3.5</v>
      </c>
      <c r="J824" s="5" t="s">
        <v>5</v>
      </c>
      <c r="K824" s="6" t="s">
        <v>5</v>
      </c>
      <c r="L824" s="6" t="s">
        <v>5</v>
      </c>
      <c r="M824" s="6" t="s">
        <v>5</v>
      </c>
      <c r="N824" s="6" t="s">
        <v>5</v>
      </c>
      <c r="O824" s="5" t="s">
        <v>5</v>
      </c>
      <c r="P824" s="5" t="s">
        <v>5</v>
      </c>
      <c r="Q824" s="7">
        <v>2.5</v>
      </c>
      <c r="R824" s="6" t="s">
        <v>5</v>
      </c>
      <c r="S824" s="6" t="s">
        <v>5</v>
      </c>
      <c r="T824" s="5" t="s">
        <v>5</v>
      </c>
      <c r="U824" s="8" t="s">
        <v>5</v>
      </c>
      <c r="V824" s="6" t="s">
        <v>5</v>
      </c>
      <c r="W824" s="8" t="s">
        <v>5</v>
      </c>
      <c r="X824" s="22">
        <v>0.25</v>
      </c>
      <c r="Y824" s="6" t="s">
        <v>5</v>
      </c>
      <c r="Z824" s="6" t="s">
        <v>5</v>
      </c>
      <c r="AA824" s="6" t="s">
        <v>5</v>
      </c>
      <c r="AB824" s="8" t="s">
        <v>5</v>
      </c>
      <c r="AC824" s="8" t="s">
        <v>5</v>
      </c>
      <c r="AD824" s="6" t="s">
        <v>5</v>
      </c>
      <c r="AE824" s="7">
        <v>1.1000000000000001</v>
      </c>
      <c r="AF824" s="6" t="s">
        <v>5</v>
      </c>
      <c r="AG824" s="6" t="s">
        <v>5</v>
      </c>
      <c r="AH824" s="22">
        <v>0.6</v>
      </c>
      <c r="AI824" s="6" t="s">
        <v>5</v>
      </c>
      <c r="AJ824" s="4">
        <v>14</v>
      </c>
      <c r="AK824" s="6" t="s">
        <v>5</v>
      </c>
      <c r="AL824" s="6" t="s">
        <v>5</v>
      </c>
      <c r="AM824" s="6" t="s">
        <v>5</v>
      </c>
      <c r="AN824" s="6" t="s">
        <v>5</v>
      </c>
      <c r="AO824" s="7">
        <v>3.62</v>
      </c>
      <c r="AP824" s="7">
        <v>2.72</v>
      </c>
      <c r="AQ824" s="7">
        <v>1.51</v>
      </c>
      <c r="AR824" s="7">
        <v>1.1200000000000001</v>
      </c>
      <c r="AS824" s="6">
        <v>4.32</v>
      </c>
      <c r="AT824" s="6">
        <v>2.85</v>
      </c>
      <c r="AU824" s="7">
        <v>1.5</v>
      </c>
      <c r="AV824" s="7">
        <v>1.22</v>
      </c>
      <c r="AW824" s="6" t="s">
        <v>5</v>
      </c>
      <c r="AX824" s="6" t="s">
        <v>5</v>
      </c>
      <c r="AY824" s="6" t="s">
        <v>5</v>
      </c>
      <c r="AZ824" s="6" t="s">
        <v>5</v>
      </c>
      <c r="BA824" s="6" t="s">
        <v>5</v>
      </c>
      <c r="BB824" s="6" t="s">
        <v>5</v>
      </c>
      <c r="BC824" s="6" t="s">
        <v>5</v>
      </c>
      <c r="BD824" s="6" t="s">
        <v>5</v>
      </c>
      <c r="BE824" s="6" t="s">
        <v>5</v>
      </c>
      <c r="BF824" s="6" t="s">
        <v>5</v>
      </c>
      <c r="BG824" s="6" t="s">
        <v>5</v>
      </c>
      <c r="BH824" s="6" t="s">
        <v>5</v>
      </c>
      <c r="BI824" s="7">
        <v>1.92</v>
      </c>
      <c r="BJ824" s="22">
        <v>0.74199999999999999</v>
      </c>
      <c r="BK824" s="6" t="s">
        <v>5</v>
      </c>
      <c r="BL824" s="2" t="s">
        <v>5</v>
      </c>
      <c r="BM824" s="2" t="s">
        <v>5</v>
      </c>
      <c r="BN824" s="2" t="s">
        <v>5</v>
      </c>
      <c r="BO824" s="2" t="s">
        <v>5</v>
      </c>
      <c r="BP824" s="2" t="s">
        <v>5</v>
      </c>
      <c r="BQ824" s="2" t="s">
        <v>5</v>
      </c>
      <c r="BR824" s="2" t="s">
        <v>5</v>
      </c>
      <c r="BS824" s="2" t="s">
        <v>5</v>
      </c>
      <c r="BT824" s="2" t="s">
        <v>5</v>
      </c>
      <c r="BU824" s="2" t="s">
        <v>5</v>
      </c>
      <c r="BV824" s="2" t="s">
        <v>5</v>
      </c>
      <c r="BW824" s="2" t="s">
        <v>5</v>
      </c>
      <c r="BX824" s="2" t="s">
        <v>5</v>
      </c>
      <c r="BY824" s="25" t="s">
        <v>5</v>
      </c>
      <c r="BZ824" s="25" t="s">
        <v>5</v>
      </c>
      <c r="CA824" s="6" t="s">
        <v>5</v>
      </c>
      <c r="CB824" s="6" t="s">
        <v>5</v>
      </c>
      <c r="CC824" s="6" t="s">
        <v>5</v>
      </c>
      <c r="CD824" s="6" t="s">
        <v>5</v>
      </c>
      <c r="CE824" s="6" t="s">
        <v>5</v>
      </c>
      <c r="CF824" s="16" t="s">
        <v>5</v>
      </c>
      <c r="CG824" s="16" t="s">
        <v>5</v>
      </c>
      <c r="CH824" s="18" t="s">
        <v>5</v>
      </c>
    </row>
    <row r="825" spans="2:86">
      <c r="B825" s="78" t="s">
        <v>473</v>
      </c>
      <c r="C825" s="79" t="s">
        <v>925</v>
      </c>
      <c r="D825" s="80" t="s">
        <v>925</v>
      </c>
      <c r="E825" s="1" t="s">
        <v>4</v>
      </c>
      <c r="F825" s="4">
        <v>17</v>
      </c>
      <c r="G825" s="7">
        <v>5</v>
      </c>
      <c r="H825" s="3" t="str">
        <f t="shared" si="31"/>
        <v>2L3X2-1/2X1/2LLBB</v>
      </c>
      <c r="I825" s="7">
        <v>3</v>
      </c>
      <c r="J825" s="5" t="s">
        <v>5</v>
      </c>
      <c r="K825" s="6" t="s">
        <v>5</v>
      </c>
      <c r="L825" s="6" t="s">
        <v>5</v>
      </c>
      <c r="M825" s="6" t="s">
        <v>5</v>
      </c>
      <c r="N825" s="6" t="s">
        <v>5</v>
      </c>
      <c r="O825" s="5" t="s">
        <v>5</v>
      </c>
      <c r="P825" s="5" t="s">
        <v>5</v>
      </c>
      <c r="Q825" s="7">
        <v>2.5</v>
      </c>
      <c r="R825" s="6" t="s">
        <v>5</v>
      </c>
      <c r="S825" s="6" t="s">
        <v>5</v>
      </c>
      <c r="T825" s="5" t="s">
        <v>5</v>
      </c>
      <c r="U825" s="8" t="s">
        <v>5</v>
      </c>
      <c r="V825" s="6" t="s">
        <v>5</v>
      </c>
      <c r="W825" s="8" t="s">
        <v>5</v>
      </c>
      <c r="X825" s="22">
        <v>0.5</v>
      </c>
      <c r="Y825" s="6" t="s">
        <v>5</v>
      </c>
      <c r="Z825" s="6" t="s">
        <v>5</v>
      </c>
      <c r="AA825" s="6" t="s">
        <v>5</v>
      </c>
      <c r="AB825" s="8" t="s">
        <v>5</v>
      </c>
      <c r="AC825" s="8" t="s">
        <v>5</v>
      </c>
      <c r="AD825" s="6" t="s">
        <v>5</v>
      </c>
      <c r="AE825" s="22">
        <v>0.995</v>
      </c>
      <c r="AF825" s="6" t="s">
        <v>5</v>
      </c>
      <c r="AG825" s="6" t="s">
        <v>5</v>
      </c>
      <c r="AH825" s="22">
        <v>0.5</v>
      </c>
      <c r="AI825" s="6" t="s">
        <v>5</v>
      </c>
      <c r="AJ825" s="7">
        <v>6</v>
      </c>
      <c r="AK825" s="6" t="s">
        <v>5</v>
      </c>
      <c r="AL825" s="6" t="s">
        <v>5</v>
      </c>
      <c r="AM825" s="6" t="s">
        <v>5</v>
      </c>
      <c r="AN825" s="6" t="s">
        <v>5</v>
      </c>
      <c r="AO825" s="7">
        <v>4.1399999999999997</v>
      </c>
      <c r="AP825" s="7">
        <v>3.72</v>
      </c>
      <c r="AQ825" s="7">
        <v>2.06</v>
      </c>
      <c r="AR825" s="22">
        <v>0.91</v>
      </c>
      <c r="AS825" s="6">
        <v>5.41</v>
      </c>
      <c r="AT825" s="6">
        <v>3.73</v>
      </c>
      <c r="AU825" s="6">
        <v>2.16</v>
      </c>
      <c r="AV825" s="7">
        <v>1.04</v>
      </c>
      <c r="AW825" s="6" t="s">
        <v>5</v>
      </c>
      <c r="AX825" s="6" t="s">
        <v>5</v>
      </c>
      <c r="AY825" s="6" t="s">
        <v>5</v>
      </c>
      <c r="AZ825" s="6" t="s">
        <v>5</v>
      </c>
      <c r="BA825" s="6" t="s">
        <v>5</v>
      </c>
      <c r="BB825" s="6" t="s">
        <v>5</v>
      </c>
      <c r="BC825" s="6" t="s">
        <v>5</v>
      </c>
      <c r="BD825" s="6" t="s">
        <v>5</v>
      </c>
      <c r="BE825" s="6" t="s">
        <v>5</v>
      </c>
      <c r="BF825" s="6" t="s">
        <v>5</v>
      </c>
      <c r="BG825" s="6" t="s">
        <v>5</v>
      </c>
      <c r="BH825" s="6" t="s">
        <v>5</v>
      </c>
      <c r="BI825" s="7">
        <v>1.57</v>
      </c>
      <c r="BJ825" s="22">
        <v>0.77400000000000002</v>
      </c>
      <c r="BK825" s="6" t="s">
        <v>5</v>
      </c>
      <c r="BL825" s="2" t="s">
        <v>5</v>
      </c>
      <c r="BM825" s="2" t="s">
        <v>5</v>
      </c>
      <c r="BN825" s="2" t="s">
        <v>5</v>
      </c>
      <c r="BO825" s="2" t="s">
        <v>5</v>
      </c>
      <c r="BP825" s="2" t="s">
        <v>5</v>
      </c>
      <c r="BQ825" s="2" t="s">
        <v>5</v>
      </c>
      <c r="BR825" s="2" t="s">
        <v>5</v>
      </c>
      <c r="BS825" s="2" t="s">
        <v>5</v>
      </c>
      <c r="BT825" s="2" t="s">
        <v>5</v>
      </c>
      <c r="BU825" s="2" t="s">
        <v>5</v>
      </c>
      <c r="BV825" s="2" t="s">
        <v>5</v>
      </c>
      <c r="BW825" s="2" t="s">
        <v>5</v>
      </c>
      <c r="BX825" s="2" t="s">
        <v>5</v>
      </c>
      <c r="BY825" s="25" t="s">
        <v>5</v>
      </c>
      <c r="BZ825" s="25" t="s">
        <v>5</v>
      </c>
      <c r="CA825" s="6" t="s">
        <v>5</v>
      </c>
      <c r="CB825" s="6" t="s">
        <v>5</v>
      </c>
      <c r="CC825" s="6" t="s">
        <v>5</v>
      </c>
      <c r="CD825" s="6" t="s">
        <v>5</v>
      </c>
      <c r="CE825" s="6" t="s">
        <v>5</v>
      </c>
      <c r="CF825" s="16" t="s">
        <v>5</v>
      </c>
      <c r="CG825" s="16" t="s">
        <v>5</v>
      </c>
      <c r="CH825" s="18" t="s">
        <v>5</v>
      </c>
    </row>
    <row r="826" spans="2:86">
      <c r="B826" s="78" t="s">
        <v>473</v>
      </c>
      <c r="C826" s="79" t="s">
        <v>926</v>
      </c>
      <c r="D826" s="80" t="s">
        <v>926</v>
      </c>
      <c r="E826" s="1" t="s">
        <v>4</v>
      </c>
      <c r="F826" s="4">
        <v>17</v>
      </c>
      <c r="G826" s="7">
        <v>5</v>
      </c>
      <c r="H826" s="3" t="str">
        <f t="shared" si="31"/>
        <v>2L3X2-1/2X1/2X3/8LLBB</v>
      </c>
      <c r="I826" s="7">
        <v>3</v>
      </c>
      <c r="J826" s="5" t="s">
        <v>5</v>
      </c>
      <c r="K826" s="6" t="s">
        <v>5</v>
      </c>
      <c r="L826" s="6" t="s">
        <v>5</v>
      </c>
      <c r="M826" s="6" t="s">
        <v>5</v>
      </c>
      <c r="N826" s="6" t="s">
        <v>5</v>
      </c>
      <c r="O826" s="5" t="s">
        <v>5</v>
      </c>
      <c r="P826" s="5" t="s">
        <v>5</v>
      </c>
      <c r="Q826" s="7">
        <v>2.5</v>
      </c>
      <c r="R826" s="6" t="s">
        <v>5</v>
      </c>
      <c r="S826" s="6" t="s">
        <v>5</v>
      </c>
      <c r="T826" s="5" t="s">
        <v>5</v>
      </c>
      <c r="U826" s="8" t="s">
        <v>5</v>
      </c>
      <c r="V826" s="6" t="s">
        <v>5</v>
      </c>
      <c r="W826" s="8" t="s">
        <v>5</v>
      </c>
      <c r="X826" s="22">
        <v>0.5</v>
      </c>
      <c r="Y826" s="6" t="s">
        <v>5</v>
      </c>
      <c r="Z826" s="6" t="s">
        <v>5</v>
      </c>
      <c r="AA826" s="6" t="s">
        <v>5</v>
      </c>
      <c r="AB826" s="8" t="s">
        <v>5</v>
      </c>
      <c r="AC826" s="8" t="s">
        <v>5</v>
      </c>
      <c r="AD826" s="6" t="s">
        <v>5</v>
      </c>
      <c r="AE826" s="22">
        <v>0.995</v>
      </c>
      <c r="AF826" s="6" t="s">
        <v>5</v>
      </c>
      <c r="AG826" s="6" t="s">
        <v>5</v>
      </c>
      <c r="AH826" s="22">
        <v>0.5</v>
      </c>
      <c r="AI826" s="6" t="s">
        <v>5</v>
      </c>
      <c r="AJ826" s="7">
        <v>6</v>
      </c>
      <c r="AK826" s="6" t="s">
        <v>5</v>
      </c>
      <c r="AL826" s="6" t="s">
        <v>5</v>
      </c>
      <c r="AM826" s="6" t="s">
        <v>5</v>
      </c>
      <c r="AN826" s="6" t="s">
        <v>5</v>
      </c>
      <c r="AO826" s="7">
        <v>4.1399999999999997</v>
      </c>
      <c r="AP826" s="7">
        <v>3.72</v>
      </c>
      <c r="AQ826" s="7">
        <v>2.06</v>
      </c>
      <c r="AR826" s="22">
        <v>0.91</v>
      </c>
      <c r="AS826" s="6">
        <v>6.96</v>
      </c>
      <c r="AT826" s="6">
        <v>4.67</v>
      </c>
      <c r="AU826" s="6">
        <v>2.59</v>
      </c>
      <c r="AV826" s="7">
        <v>1.18</v>
      </c>
      <c r="AW826" s="6" t="s">
        <v>5</v>
      </c>
      <c r="AX826" s="6" t="s">
        <v>5</v>
      </c>
      <c r="AY826" s="6" t="s">
        <v>5</v>
      </c>
      <c r="AZ826" s="6" t="s">
        <v>5</v>
      </c>
      <c r="BA826" s="6" t="s">
        <v>5</v>
      </c>
      <c r="BB826" s="6" t="s">
        <v>5</v>
      </c>
      <c r="BC826" s="6" t="s">
        <v>5</v>
      </c>
      <c r="BD826" s="6" t="s">
        <v>5</v>
      </c>
      <c r="BE826" s="6" t="s">
        <v>5</v>
      </c>
      <c r="BF826" s="6" t="s">
        <v>5</v>
      </c>
      <c r="BG826" s="6" t="s">
        <v>5</v>
      </c>
      <c r="BH826" s="6" t="s">
        <v>5</v>
      </c>
      <c r="BI826" s="7">
        <v>1.66</v>
      </c>
      <c r="BJ826" s="22">
        <v>0.8</v>
      </c>
      <c r="BK826" s="6" t="s">
        <v>5</v>
      </c>
      <c r="BL826" s="2" t="s">
        <v>5</v>
      </c>
      <c r="BM826" s="2" t="s">
        <v>5</v>
      </c>
      <c r="BN826" s="2" t="s">
        <v>5</v>
      </c>
      <c r="BO826" s="2" t="s">
        <v>5</v>
      </c>
      <c r="BP826" s="2" t="s">
        <v>5</v>
      </c>
      <c r="BQ826" s="2" t="s">
        <v>5</v>
      </c>
      <c r="BR826" s="2" t="s">
        <v>5</v>
      </c>
      <c r="BS826" s="2" t="s">
        <v>5</v>
      </c>
      <c r="BT826" s="2" t="s">
        <v>5</v>
      </c>
      <c r="BU826" s="2" t="s">
        <v>5</v>
      </c>
      <c r="BV826" s="2" t="s">
        <v>5</v>
      </c>
      <c r="BW826" s="2" t="s">
        <v>5</v>
      </c>
      <c r="BX826" s="2" t="s">
        <v>5</v>
      </c>
      <c r="BY826" s="25" t="s">
        <v>5</v>
      </c>
      <c r="BZ826" s="25" t="s">
        <v>5</v>
      </c>
      <c r="CA826" s="6" t="s">
        <v>5</v>
      </c>
      <c r="CB826" s="6" t="s">
        <v>5</v>
      </c>
      <c r="CC826" s="6" t="s">
        <v>5</v>
      </c>
      <c r="CD826" s="6" t="s">
        <v>5</v>
      </c>
      <c r="CE826" s="6" t="s">
        <v>5</v>
      </c>
      <c r="CF826" s="16" t="s">
        <v>5</v>
      </c>
      <c r="CG826" s="16" t="s">
        <v>5</v>
      </c>
      <c r="CH826" s="18" t="s">
        <v>5</v>
      </c>
    </row>
    <row r="827" spans="2:86">
      <c r="B827" s="78" t="s">
        <v>473</v>
      </c>
      <c r="C827" s="79" t="s">
        <v>927</v>
      </c>
      <c r="D827" s="80" t="s">
        <v>927</v>
      </c>
      <c r="E827" s="1" t="s">
        <v>4</v>
      </c>
      <c r="F827" s="4">
        <v>17</v>
      </c>
      <c r="G827" s="7">
        <v>5</v>
      </c>
      <c r="H827" s="3" t="str">
        <f t="shared" si="31"/>
        <v>2L3X2-1/2X1/2X3/4LLBB</v>
      </c>
      <c r="I827" s="7">
        <v>3</v>
      </c>
      <c r="J827" s="5" t="s">
        <v>5</v>
      </c>
      <c r="K827" s="6" t="s">
        <v>5</v>
      </c>
      <c r="L827" s="6" t="s">
        <v>5</v>
      </c>
      <c r="M827" s="6" t="s">
        <v>5</v>
      </c>
      <c r="N827" s="6" t="s">
        <v>5</v>
      </c>
      <c r="O827" s="5" t="s">
        <v>5</v>
      </c>
      <c r="P827" s="5" t="s">
        <v>5</v>
      </c>
      <c r="Q827" s="7">
        <v>2.5</v>
      </c>
      <c r="R827" s="6" t="s">
        <v>5</v>
      </c>
      <c r="S827" s="6" t="s">
        <v>5</v>
      </c>
      <c r="T827" s="5" t="s">
        <v>5</v>
      </c>
      <c r="U827" s="8" t="s">
        <v>5</v>
      </c>
      <c r="V827" s="6" t="s">
        <v>5</v>
      </c>
      <c r="W827" s="8" t="s">
        <v>5</v>
      </c>
      <c r="X827" s="22">
        <v>0.5</v>
      </c>
      <c r="Y827" s="6" t="s">
        <v>5</v>
      </c>
      <c r="Z827" s="6" t="s">
        <v>5</v>
      </c>
      <c r="AA827" s="6" t="s">
        <v>5</v>
      </c>
      <c r="AB827" s="8" t="s">
        <v>5</v>
      </c>
      <c r="AC827" s="8" t="s">
        <v>5</v>
      </c>
      <c r="AD827" s="6" t="s">
        <v>5</v>
      </c>
      <c r="AE827" s="22">
        <v>0.995</v>
      </c>
      <c r="AF827" s="6" t="s">
        <v>5</v>
      </c>
      <c r="AG827" s="6" t="s">
        <v>5</v>
      </c>
      <c r="AH827" s="22">
        <v>0.5</v>
      </c>
      <c r="AI827" s="6" t="s">
        <v>5</v>
      </c>
      <c r="AJ827" s="7">
        <v>6</v>
      </c>
      <c r="AK827" s="6" t="s">
        <v>5</v>
      </c>
      <c r="AL827" s="6" t="s">
        <v>5</v>
      </c>
      <c r="AM827" s="6" t="s">
        <v>5</v>
      </c>
      <c r="AN827" s="6" t="s">
        <v>5</v>
      </c>
      <c r="AO827" s="7">
        <v>4.1399999999999997</v>
      </c>
      <c r="AP827" s="7">
        <v>3.72</v>
      </c>
      <c r="AQ827" s="7">
        <v>2.06</v>
      </c>
      <c r="AR827" s="22">
        <v>0.91</v>
      </c>
      <c r="AS827" s="6">
        <v>8.84</v>
      </c>
      <c r="AT827" s="7">
        <v>5.6</v>
      </c>
      <c r="AU827" s="6">
        <v>3.07</v>
      </c>
      <c r="AV827" s="7">
        <v>1.33</v>
      </c>
      <c r="AW827" s="6" t="s">
        <v>5</v>
      </c>
      <c r="AX827" s="6" t="s">
        <v>5</v>
      </c>
      <c r="AY827" s="6" t="s">
        <v>5</v>
      </c>
      <c r="AZ827" s="6" t="s">
        <v>5</v>
      </c>
      <c r="BA827" s="6" t="s">
        <v>5</v>
      </c>
      <c r="BB827" s="6" t="s">
        <v>5</v>
      </c>
      <c r="BC827" s="6" t="s">
        <v>5</v>
      </c>
      <c r="BD827" s="6" t="s">
        <v>5</v>
      </c>
      <c r="BE827" s="6" t="s">
        <v>5</v>
      </c>
      <c r="BF827" s="6" t="s">
        <v>5</v>
      </c>
      <c r="BG827" s="6" t="s">
        <v>5</v>
      </c>
      <c r="BH827" s="6" t="s">
        <v>5</v>
      </c>
      <c r="BI827" s="7">
        <v>1.78</v>
      </c>
      <c r="BJ827" s="22">
        <v>0.82399999999999995</v>
      </c>
      <c r="BK827" s="6" t="s">
        <v>5</v>
      </c>
      <c r="BL827" s="2" t="s">
        <v>5</v>
      </c>
      <c r="BM827" s="2" t="s">
        <v>5</v>
      </c>
      <c r="BN827" s="2" t="s">
        <v>5</v>
      </c>
      <c r="BO827" s="2" t="s">
        <v>5</v>
      </c>
      <c r="BP827" s="2" t="s">
        <v>5</v>
      </c>
      <c r="BQ827" s="2" t="s">
        <v>5</v>
      </c>
      <c r="BR827" s="2" t="s">
        <v>5</v>
      </c>
      <c r="BS827" s="2" t="s">
        <v>5</v>
      </c>
      <c r="BT827" s="2" t="s">
        <v>5</v>
      </c>
      <c r="BU827" s="2" t="s">
        <v>5</v>
      </c>
      <c r="BV827" s="2" t="s">
        <v>5</v>
      </c>
      <c r="BW827" s="2" t="s">
        <v>5</v>
      </c>
      <c r="BX827" s="2" t="s">
        <v>5</v>
      </c>
      <c r="BY827" s="25" t="s">
        <v>5</v>
      </c>
      <c r="BZ827" s="25" t="s">
        <v>5</v>
      </c>
      <c r="CA827" s="6" t="s">
        <v>5</v>
      </c>
      <c r="CB827" s="6" t="s">
        <v>5</v>
      </c>
      <c r="CC827" s="6" t="s">
        <v>5</v>
      </c>
      <c r="CD827" s="6" t="s">
        <v>5</v>
      </c>
      <c r="CE827" s="6" t="s">
        <v>5</v>
      </c>
      <c r="CF827" s="16" t="s">
        <v>5</v>
      </c>
      <c r="CG827" s="16" t="s">
        <v>5</v>
      </c>
      <c r="CH827" s="18" t="s">
        <v>5</v>
      </c>
    </row>
    <row r="828" spans="2:86">
      <c r="B828" s="78" t="s">
        <v>473</v>
      </c>
      <c r="C828" s="79" t="s">
        <v>928</v>
      </c>
      <c r="D828" s="80" t="s">
        <v>928</v>
      </c>
      <c r="E828" s="1" t="s">
        <v>4</v>
      </c>
      <c r="F828" s="4">
        <v>15.2</v>
      </c>
      <c r="G828" s="7">
        <v>4.4400000000000004</v>
      </c>
      <c r="H828" s="3" t="str">
        <f t="shared" si="31"/>
        <v>2L3X2-1/2X7/16LLBB</v>
      </c>
      <c r="I828" s="7">
        <v>3</v>
      </c>
      <c r="J828" s="5" t="s">
        <v>5</v>
      </c>
      <c r="K828" s="6" t="s">
        <v>5</v>
      </c>
      <c r="L828" s="6" t="s">
        <v>5</v>
      </c>
      <c r="M828" s="6" t="s">
        <v>5</v>
      </c>
      <c r="N828" s="6" t="s">
        <v>5</v>
      </c>
      <c r="O828" s="5" t="s">
        <v>5</v>
      </c>
      <c r="P828" s="5" t="s">
        <v>5</v>
      </c>
      <c r="Q828" s="7">
        <v>2.5</v>
      </c>
      <c r="R828" s="6" t="s">
        <v>5</v>
      </c>
      <c r="S828" s="6" t="s">
        <v>5</v>
      </c>
      <c r="T828" s="5" t="s">
        <v>5</v>
      </c>
      <c r="U828" s="8" t="s">
        <v>5</v>
      </c>
      <c r="V828" s="6" t="s">
        <v>5</v>
      </c>
      <c r="W828" s="8" t="s">
        <v>5</v>
      </c>
      <c r="X828" s="22">
        <v>0.438</v>
      </c>
      <c r="Y828" s="6" t="s">
        <v>5</v>
      </c>
      <c r="Z828" s="6" t="s">
        <v>5</v>
      </c>
      <c r="AA828" s="6" t="s">
        <v>5</v>
      </c>
      <c r="AB828" s="8" t="s">
        <v>5</v>
      </c>
      <c r="AC828" s="8" t="s">
        <v>5</v>
      </c>
      <c r="AD828" s="6" t="s">
        <v>5</v>
      </c>
      <c r="AE828" s="22">
        <v>0.97199999999999998</v>
      </c>
      <c r="AF828" s="6" t="s">
        <v>5</v>
      </c>
      <c r="AG828" s="6" t="s">
        <v>5</v>
      </c>
      <c r="AH828" s="22">
        <v>0.46300000000000002</v>
      </c>
      <c r="AI828" s="6" t="s">
        <v>5</v>
      </c>
      <c r="AJ828" s="7">
        <v>6.85</v>
      </c>
      <c r="AK828" s="6" t="s">
        <v>5</v>
      </c>
      <c r="AL828" s="6" t="s">
        <v>5</v>
      </c>
      <c r="AM828" s="6" t="s">
        <v>5</v>
      </c>
      <c r="AN828" s="6" t="s">
        <v>5</v>
      </c>
      <c r="AO828" s="7">
        <v>3.74</v>
      </c>
      <c r="AP828" s="7">
        <v>3.32</v>
      </c>
      <c r="AQ828" s="7">
        <v>1.84</v>
      </c>
      <c r="AR828" s="22">
        <v>0.91700000000000004</v>
      </c>
      <c r="AS828" s="6">
        <v>4.62</v>
      </c>
      <c r="AT828" s="6">
        <v>3.21</v>
      </c>
      <c r="AU828" s="6">
        <v>1.85</v>
      </c>
      <c r="AV828" s="7">
        <v>1.02</v>
      </c>
      <c r="AW828" s="6" t="s">
        <v>5</v>
      </c>
      <c r="AX828" s="6" t="s">
        <v>5</v>
      </c>
      <c r="AY828" s="6" t="s">
        <v>5</v>
      </c>
      <c r="AZ828" s="6" t="s">
        <v>5</v>
      </c>
      <c r="BA828" s="6" t="s">
        <v>5</v>
      </c>
      <c r="BB828" s="6" t="s">
        <v>5</v>
      </c>
      <c r="BC828" s="6" t="s">
        <v>5</v>
      </c>
      <c r="BD828" s="6" t="s">
        <v>5</v>
      </c>
      <c r="BE828" s="6" t="s">
        <v>5</v>
      </c>
      <c r="BF828" s="6" t="s">
        <v>5</v>
      </c>
      <c r="BG828" s="6" t="s">
        <v>5</v>
      </c>
      <c r="BH828" s="6" t="s">
        <v>5</v>
      </c>
      <c r="BI828" s="7">
        <v>1.57</v>
      </c>
      <c r="BJ828" s="22">
        <v>0.76900000000000002</v>
      </c>
      <c r="BK828" s="6" t="s">
        <v>5</v>
      </c>
      <c r="BL828" s="2" t="s">
        <v>5</v>
      </c>
      <c r="BM828" s="2" t="s">
        <v>5</v>
      </c>
      <c r="BN828" s="2" t="s">
        <v>5</v>
      </c>
      <c r="BO828" s="2" t="s">
        <v>5</v>
      </c>
      <c r="BP828" s="2" t="s">
        <v>5</v>
      </c>
      <c r="BQ828" s="2" t="s">
        <v>5</v>
      </c>
      <c r="BR828" s="2" t="s">
        <v>5</v>
      </c>
      <c r="BS828" s="2" t="s">
        <v>5</v>
      </c>
      <c r="BT828" s="2" t="s">
        <v>5</v>
      </c>
      <c r="BU828" s="2" t="s">
        <v>5</v>
      </c>
      <c r="BV828" s="2" t="s">
        <v>5</v>
      </c>
      <c r="BW828" s="2" t="s">
        <v>5</v>
      </c>
      <c r="BX828" s="2" t="s">
        <v>5</v>
      </c>
      <c r="BY828" s="25" t="s">
        <v>5</v>
      </c>
      <c r="BZ828" s="25" t="s">
        <v>5</v>
      </c>
      <c r="CA828" s="6" t="s">
        <v>5</v>
      </c>
      <c r="CB828" s="6" t="s">
        <v>5</v>
      </c>
      <c r="CC828" s="6" t="s">
        <v>5</v>
      </c>
      <c r="CD828" s="6" t="s">
        <v>5</v>
      </c>
      <c r="CE828" s="6" t="s">
        <v>5</v>
      </c>
      <c r="CF828" s="16" t="s">
        <v>5</v>
      </c>
      <c r="CG828" s="16" t="s">
        <v>5</v>
      </c>
      <c r="CH828" s="18" t="s">
        <v>5</v>
      </c>
    </row>
    <row r="829" spans="2:86">
      <c r="B829" s="78" t="s">
        <v>473</v>
      </c>
      <c r="C829" s="79" t="s">
        <v>929</v>
      </c>
      <c r="D829" s="80" t="s">
        <v>929</v>
      </c>
      <c r="E829" s="1" t="s">
        <v>4</v>
      </c>
      <c r="F829" s="4">
        <v>15.2</v>
      </c>
      <c r="G829" s="7">
        <v>4.4400000000000004</v>
      </c>
      <c r="H829" s="3" t="str">
        <f t="shared" si="31"/>
        <v>2L3X2-1/2X7/16X3/8LLBB</v>
      </c>
      <c r="I829" s="7">
        <v>3</v>
      </c>
      <c r="J829" s="5" t="s">
        <v>5</v>
      </c>
      <c r="K829" s="6" t="s">
        <v>5</v>
      </c>
      <c r="L829" s="6" t="s">
        <v>5</v>
      </c>
      <c r="M829" s="6" t="s">
        <v>5</v>
      </c>
      <c r="N829" s="6" t="s">
        <v>5</v>
      </c>
      <c r="O829" s="5" t="s">
        <v>5</v>
      </c>
      <c r="P829" s="5" t="s">
        <v>5</v>
      </c>
      <c r="Q829" s="7">
        <v>2.5</v>
      </c>
      <c r="R829" s="6" t="s">
        <v>5</v>
      </c>
      <c r="S829" s="6" t="s">
        <v>5</v>
      </c>
      <c r="T829" s="5" t="s">
        <v>5</v>
      </c>
      <c r="U829" s="8" t="s">
        <v>5</v>
      </c>
      <c r="V829" s="6" t="s">
        <v>5</v>
      </c>
      <c r="W829" s="8" t="s">
        <v>5</v>
      </c>
      <c r="X829" s="22">
        <v>0.438</v>
      </c>
      <c r="Y829" s="6" t="s">
        <v>5</v>
      </c>
      <c r="Z829" s="6" t="s">
        <v>5</v>
      </c>
      <c r="AA829" s="6" t="s">
        <v>5</v>
      </c>
      <c r="AB829" s="8" t="s">
        <v>5</v>
      </c>
      <c r="AC829" s="8" t="s">
        <v>5</v>
      </c>
      <c r="AD829" s="6" t="s">
        <v>5</v>
      </c>
      <c r="AE829" s="22">
        <v>0.97199999999999998</v>
      </c>
      <c r="AF829" s="6" t="s">
        <v>5</v>
      </c>
      <c r="AG829" s="6" t="s">
        <v>5</v>
      </c>
      <c r="AH829" s="22">
        <v>0.46300000000000002</v>
      </c>
      <c r="AI829" s="6" t="s">
        <v>5</v>
      </c>
      <c r="AJ829" s="7">
        <v>6.85</v>
      </c>
      <c r="AK829" s="6" t="s">
        <v>5</v>
      </c>
      <c r="AL829" s="6" t="s">
        <v>5</v>
      </c>
      <c r="AM829" s="6" t="s">
        <v>5</v>
      </c>
      <c r="AN829" s="6" t="s">
        <v>5</v>
      </c>
      <c r="AO829" s="7">
        <v>3.74</v>
      </c>
      <c r="AP829" s="7">
        <v>3.32</v>
      </c>
      <c r="AQ829" s="7">
        <v>1.84</v>
      </c>
      <c r="AR829" s="22">
        <v>0.91700000000000004</v>
      </c>
      <c r="AS829" s="6">
        <v>5.97</v>
      </c>
      <c r="AT829" s="6">
        <v>4.05</v>
      </c>
      <c r="AU829" s="6">
        <v>2.2200000000000002</v>
      </c>
      <c r="AV829" s="7">
        <v>1.1599999999999999</v>
      </c>
      <c r="AW829" s="6" t="s">
        <v>5</v>
      </c>
      <c r="AX829" s="6" t="s">
        <v>5</v>
      </c>
      <c r="AY829" s="6" t="s">
        <v>5</v>
      </c>
      <c r="AZ829" s="6" t="s">
        <v>5</v>
      </c>
      <c r="BA829" s="6" t="s">
        <v>5</v>
      </c>
      <c r="BB829" s="6" t="s">
        <v>5</v>
      </c>
      <c r="BC829" s="6" t="s">
        <v>5</v>
      </c>
      <c r="BD829" s="6" t="s">
        <v>5</v>
      </c>
      <c r="BE829" s="6" t="s">
        <v>5</v>
      </c>
      <c r="BF829" s="6" t="s">
        <v>5</v>
      </c>
      <c r="BG829" s="6" t="s">
        <v>5</v>
      </c>
      <c r="BH829" s="6" t="s">
        <v>5</v>
      </c>
      <c r="BI829" s="7">
        <v>1.66</v>
      </c>
      <c r="BJ829" s="22">
        <v>0.79500000000000004</v>
      </c>
      <c r="BK829" s="6" t="s">
        <v>5</v>
      </c>
      <c r="BL829" s="2" t="s">
        <v>5</v>
      </c>
      <c r="BM829" s="2" t="s">
        <v>5</v>
      </c>
      <c r="BN829" s="2" t="s">
        <v>5</v>
      </c>
      <c r="BO829" s="2" t="s">
        <v>5</v>
      </c>
      <c r="BP829" s="2" t="s">
        <v>5</v>
      </c>
      <c r="BQ829" s="2" t="s">
        <v>5</v>
      </c>
      <c r="BR829" s="2" t="s">
        <v>5</v>
      </c>
      <c r="BS829" s="2" t="s">
        <v>5</v>
      </c>
      <c r="BT829" s="2" t="s">
        <v>5</v>
      </c>
      <c r="BU829" s="2" t="s">
        <v>5</v>
      </c>
      <c r="BV829" s="2" t="s">
        <v>5</v>
      </c>
      <c r="BW829" s="2" t="s">
        <v>5</v>
      </c>
      <c r="BX829" s="2" t="s">
        <v>5</v>
      </c>
      <c r="BY829" s="25" t="s">
        <v>5</v>
      </c>
      <c r="BZ829" s="25" t="s">
        <v>5</v>
      </c>
      <c r="CA829" s="6" t="s">
        <v>5</v>
      </c>
      <c r="CB829" s="6" t="s">
        <v>5</v>
      </c>
      <c r="CC829" s="6" t="s">
        <v>5</v>
      </c>
      <c r="CD829" s="6" t="s">
        <v>5</v>
      </c>
      <c r="CE829" s="6" t="s">
        <v>5</v>
      </c>
      <c r="CF829" s="16" t="s">
        <v>5</v>
      </c>
      <c r="CG829" s="16" t="s">
        <v>5</v>
      </c>
      <c r="CH829" s="18" t="s">
        <v>5</v>
      </c>
    </row>
    <row r="830" spans="2:86">
      <c r="B830" s="78" t="s">
        <v>473</v>
      </c>
      <c r="C830" s="79" t="s">
        <v>930</v>
      </c>
      <c r="D830" s="80" t="s">
        <v>930</v>
      </c>
      <c r="E830" s="1" t="s">
        <v>4</v>
      </c>
      <c r="F830" s="4">
        <v>15.2</v>
      </c>
      <c r="G830" s="7">
        <v>4.4400000000000004</v>
      </c>
      <c r="H830" s="3" t="str">
        <f t="shared" si="31"/>
        <v>2L3X2-1/2X7/16X3/4LLBB</v>
      </c>
      <c r="I830" s="7">
        <v>3</v>
      </c>
      <c r="J830" s="5" t="s">
        <v>5</v>
      </c>
      <c r="K830" s="6" t="s">
        <v>5</v>
      </c>
      <c r="L830" s="6" t="s">
        <v>5</v>
      </c>
      <c r="M830" s="6" t="s">
        <v>5</v>
      </c>
      <c r="N830" s="6" t="s">
        <v>5</v>
      </c>
      <c r="O830" s="5" t="s">
        <v>5</v>
      </c>
      <c r="P830" s="5" t="s">
        <v>5</v>
      </c>
      <c r="Q830" s="7">
        <v>2.5</v>
      </c>
      <c r="R830" s="6" t="s">
        <v>5</v>
      </c>
      <c r="S830" s="6" t="s">
        <v>5</v>
      </c>
      <c r="T830" s="5" t="s">
        <v>5</v>
      </c>
      <c r="U830" s="8" t="s">
        <v>5</v>
      </c>
      <c r="V830" s="6" t="s">
        <v>5</v>
      </c>
      <c r="W830" s="8" t="s">
        <v>5</v>
      </c>
      <c r="X830" s="22">
        <v>0.438</v>
      </c>
      <c r="Y830" s="6" t="s">
        <v>5</v>
      </c>
      <c r="Z830" s="6" t="s">
        <v>5</v>
      </c>
      <c r="AA830" s="6" t="s">
        <v>5</v>
      </c>
      <c r="AB830" s="8" t="s">
        <v>5</v>
      </c>
      <c r="AC830" s="8" t="s">
        <v>5</v>
      </c>
      <c r="AD830" s="6" t="s">
        <v>5</v>
      </c>
      <c r="AE830" s="22">
        <v>0.97199999999999998</v>
      </c>
      <c r="AF830" s="6" t="s">
        <v>5</v>
      </c>
      <c r="AG830" s="6" t="s">
        <v>5</v>
      </c>
      <c r="AH830" s="22">
        <v>0.46300000000000002</v>
      </c>
      <c r="AI830" s="6" t="s">
        <v>5</v>
      </c>
      <c r="AJ830" s="7">
        <v>6.85</v>
      </c>
      <c r="AK830" s="6" t="s">
        <v>5</v>
      </c>
      <c r="AL830" s="6" t="s">
        <v>5</v>
      </c>
      <c r="AM830" s="6" t="s">
        <v>5</v>
      </c>
      <c r="AN830" s="6" t="s">
        <v>5</v>
      </c>
      <c r="AO830" s="7">
        <v>3.74</v>
      </c>
      <c r="AP830" s="7">
        <v>3.32</v>
      </c>
      <c r="AQ830" s="7">
        <v>1.84</v>
      </c>
      <c r="AR830" s="22">
        <v>0.91700000000000004</v>
      </c>
      <c r="AS830" s="6">
        <v>7.74</v>
      </c>
      <c r="AT830" s="6">
        <v>4.88</v>
      </c>
      <c r="AU830" s="6">
        <v>2.69</v>
      </c>
      <c r="AV830" s="7">
        <v>1.32</v>
      </c>
      <c r="AW830" s="6" t="s">
        <v>5</v>
      </c>
      <c r="AX830" s="6" t="s">
        <v>5</v>
      </c>
      <c r="AY830" s="6" t="s">
        <v>5</v>
      </c>
      <c r="AZ830" s="6" t="s">
        <v>5</v>
      </c>
      <c r="BA830" s="6" t="s">
        <v>5</v>
      </c>
      <c r="BB830" s="6" t="s">
        <v>5</v>
      </c>
      <c r="BC830" s="6" t="s">
        <v>5</v>
      </c>
      <c r="BD830" s="6" t="s">
        <v>5</v>
      </c>
      <c r="BE830" s="6" t="s">
        <v>5</v>
      </c>
      <c r="BF830" s="6" t="s">
        <v>5</v>
      </c>
      <c r="BG830" s="6" t="s">
        <v>5</v>
      </c>
      <c r="BH830" s="6" t="s">
        <v>5</v>
      </c>
      <c r="BI830" s="7">
        <v>1.77</v>
      </c>
      <c r="BJ830" s="22">
        <v>0.81899999999999995</v>
      </c>
      <c r="BK830" s="6" t="s">
        <v>5</v>
      </c>
      <c r="BL830" s="2" t="s">
        <v>5</v>
      </c>
      <c r="BM830" s="2" t="s">
        <v>5</v>
      </c>
      <c r="BN830" s="2" t="s">
        <v>5</v>
      </c>
      <c r="BO830" s="2" t="s">
        <v>5</v>
      </c>
      <c r="BP830" s="2" t="s">
        <v>5</v>
      </c>
      <c r="BQ830" s="2" t="s">
        <v>5</v>
      </c>
      <c r="BR830" s="2" t="s">
        <v>5</v>
      </c>
      <c r="BS830" s="2" t="s">
        <v>5</v>
      </c>
      <c r="BT830" s="2" t="s">
        <v>5</v>
      </c>
      <c r="BU830" s="2" t="s">
        <v>5</v>
      </c>
      <c r="BV830" s="2" t="s">
        <v>5</v>
      </c>
      <c r="BW830" s="2" t="s">
        <v>5</v>
      </c>
      <c r="BX830" s="2" t="s">
        <v>5</v>
      </c>
      <c r="BY830" s="25" t="s">
        <v>5</v>
      </c>
      <c r="BZ830" s="25" t="s">
        <v>5</v>
      </c>
      <c r="CA830" s="6" t="s">
        <v>5</v>
      </c>
      <c r="CB830" s="6" t="s">
        <v>5</v>
      </c>
      <c r="CC830" s="6" t="s">
        <v>5</v>
      </c>
      <c r="CD830" s="6" t="s">
        <v>5</v>
      </c>
      <c r="CE830" s="6" t="s">
        <v>5</v>
      </c>
      <c r="CF830" s="16" t="s">
        <v>5</v>
      </c>
      <c r="CG830" s="16" t="s">
        <v>5</v>
      </c>
      <c r="CH830" s="18" t="s">
        <v>5</v>
      </c>
    </row>
    <row r="831" spans="2:86">
      <c r="B831" s="78" t="s">
        <v>473</v>
      </c>
      <c r="C831" s="79" t="s">
        <v>931</v>
      </c>
      <c r="D831" s="80" t="s">
        <v>931</v>
      </c>
      <c r="E831" s="1" t="s">
        <v>4</v>
      </c>
      <c r="F831" s="4">
        <v>13.2</v>
      </c>
      <c r="G831" s="7">
        <v>3.86</v>
      </c>
      <c r="H831" s="3" t="str">
        <f t="shared" si="31"/>
        <v>2L3X2-1/2X3/8LLBB</v>
      </c>
      <c r="I831" s="7">
        <v>3</v>
      </c>
      <c r="J831" s="5" t="s">
        <v>5</v>
      </c>
      <c r="K831" s="6" t="s">
        <v>5</v>
      </c>
      <c r="L831" s="6" t="s">
        <v>5</v>
      </c>
      <c r="M831" s="6" t="s">
        <v>5</v>
      </c>
      <c r="N831" s="6" t="s">
        <v>5</v>
      </c>
      <c r="O831" s="5" t="s">
        <v>5</v>
      </c>
      <c r="P831" s="5" t="s">
        <v>5</v>
      </c>
      <c r="Q831" s="7">
        <v>2.5</v>
      </c>
      <c r="R831" s="6" t="s">
        <v>5</v>
      </c>
      <c r="S831" s="6" t="s">
        <v>5</v>
      </c>
      <c r="T831" s="5" t="s">
        <v>5</v>
      </c>
      <c r="U831" s="8" t="s">
        <v>5</v>
      </c>
      <c r="V831" s="6" t="s">
        <v>5</v>
      </c>
      <c r="W831" s="8" t="s">
        <v>5</v>
      </c>
      <c r="X831" s="22">
        <v>0.375</v>
      </c>
      <c r="Y831" s="6" t="s">
        <v>5</v>
      </c>
      <c r="Z831" s="6" t="s">
        <v>5</v>
      </c>
      <c r="AA831" s="6" t="s">
        <v>5</v>
      </c>
      <c r="AB831" s="8" t="s">
        <v>5</v>
      </c>
      <c r="AC831" s="8" t="s">
        <v>5</v>
      </c>
      <c r="AD831" s="6" t="s">
        <v>5</v>
      </c>
      <c r="AE831" s="22">
        <v>0.94899999999999995</v>
      </c>
      <c r="AF831" s="6" t="s">
        <v>5</v>
      </c>
      <c r="AG831" s="6" t="s">
        <v>5</v>
      </c>
      <c r="AH831" s="22">
        <v>0.42699999999999999</v>
      </c>
      <c r="AI831" s="6" t="s">
        <v>5</v>
      </c>
      <c r="AJ831" s="7">
        <v>8</v>
      </c>
      <c r="AK831" s="6" t="s">
        <v>5</v>
      </c>
      <c r="AL831" s="6" t="s">
        <v>5</v>
      </c>
      <c r="AM831" s="6" t="s">
        <v>5</v>
      </c>
      <c r="AN831" s="6" t="s">
        <v>5</v>
      </c>
      <c r="AO831" s="7">
        <v>3.3</v>
      </c>
      <c r="AP831" s="7">
        <v>2.9</v>
      </c>
      <c r="AQ831" s="7">
        <v>1.61</v>
      </c>
      <c r="AR831" s="22">
        <v>0.92400000000000004</v>
      </c>
      <c r="AS831" s="6">
        <v>3.94</v>
      </c>
      <c r="AT831" s="6">
        <v>2.71</v>
      </c>
      <c r="AU831" s="6">
        <v>1.58</v>
      </c>
      <c r="AV831" s="7">
        <v>1.01</v>
      </c>
      <c r="AW831" s="6" t="s">
        <v>5</v>
      </c>
      <c r="AX831" s="6" t="s">
        <v>5</v>
      </c>
      <c r="AY831" s="6" t="s">
        <v>5</v>
      </c>
      <c r="AZ831" s="6" t="s">
        <v>5</v>
      </c>
      <c r="BA831" s="6" t="s">
        <v>5</v>
      </c>
      <c r="BB831" s="6" t="s">
        <v>5</v>
      </c>
      <c r="BC831" s="6" t="s">
        <v>5</v>
      </c>
      <c r="BD831" s="6" t="s">
        <v>5</v>
      </c>
      <c r="BE831" s="6" t="s">
        <v>5</v>
      </c>
      <c r="BF831" s="6" t="s">
        <v>5</v>
      </c>
      <c r="BG831" s="6" t="s">
        <v>5</v>
      </c>
      <c r="BH831" s="6" t="s">
        <v>5</v>
      </c>
      <c r="BI831" s="7">
        <v>1.57</v>
      </c>
      <c r="BJ831" s="22">
        <v>0.76400000000000001</v>
      </c>
      <c r="BK831" s="6" t="s">
        <v>5</v>
      </c>
      <c r="BL831" s="2" t="s">
        <v>5</v>
      </c>
      <c r="BM831" s="2" t="s">
        <v>5</v>
      </c>
      <c r="BN831" s="2" t="s">
        <v>5</v>
      </c>
      <c r="BO831" s="2" t="s">
        <v>5</v>
      </c>
      <c r="BP831" s="2" t="s">
        <v>5</v>
      </c>
      <c r="BQ831" s="2" t="s">
        <v>5</v>
      </c>
      <c r="BR831" s="2" t="s">
        <v>5</v>
      </c>
      <c r="BS831" s="2" t="s">
        <v>5</v>
      </c>
      <c r="BT831" s="2" t="s">
        <v>5</v>
      </c>
      <c r="BU831" s="2" t="s">
        <v>5</v>
      </c>
      <c r="BV831" s="2" t="s">
        <v>5</v>
      </c>
      <c r="BW831" s="2" t="s">
        <v>5</v>
      </c>
      <c r="BX831" s="2" t="s">
        <v>5</v>
      </c>
      <c r="BY831" s="25" t="s">
        <v>5</v>
      </c>
      <c r="BZ831" s="25" t="s">
        <v>5</v>
      </c>
      <c r="CA831" s="6" t="s">
        <v>5</v>
      </c>
      <c r="CB831" s="6" t="s">
        <v>5</v>
      </c>
      <c r="CC831" s="6" t="s">
        <v>5</v>
      </c>
      <c r="CD831" s="6" t="s">
        <v>5</v>
      </c>
      <c r="CE831" s="6" t="s">
        <v>5</v>
      </c>
      <c r="CF831" s="16" t="s">
        <v>5</v>
      </c>
      <c r="CG831" s="16" t="s">
        <v>5</v>
      </c>
      <c r="CH831" s="18" t="s">
        <v>5</v>
      </c>
    </row>
    <row r="832" spans="2:86">
      <c r="B832" s="78" t="s">
        <v>473</v>
      </c>
      <c r="C832" s="79" t="s">
        <v>932</v>
      </c>
      <c r="D832" s="80" t="s">
        <v>932</v>
      </c>
      <c r="E832" s="1" t="s">
        <v>4</v>
      </c>
      <c r="F832" s="4">
        <v>13.2</v>
      </c>
      <c r="G832" s="7">
        <v>3.86</v>
      </c>
      <c r="H832" s="3" t="str">
        <f t="shared" si="31"/>
        <v>2L3X2-1/2X3/8X3/8LLBB</v>
      </c>
      <c r="I832" s="7">
        <v>3</v>
      </c>
      <c r="J832" s="5" t="s">
        <v>5</v>
      </c>
      <c r="K832" s="6" t="s">
        <v>5</v>
      </c>
      <c r="L832" s="6" t="s">
        <v>5</v>
      </c>
      <c r="M832" s="6" t="s">
        <v>5</v>
      </c>
      <c r="N832" s="6" t="s">
        <v>5</v>
      </c>
      <c r="O832" s="5" t="s">
        <v>5</v>
      </c>
      <c r="P832" s="5" t="s">
        <v>5</v>
      </c>
      <c r="Q832" s="7">
        <v>2.5</v>
      </c>
      <c r="R832" s="6" t="s">
        <v>5</v>
      </c>
      <c r="S832" s="6" t="s">
        <v>5</v>
      </c>
      <c r="T832" s="5" t="s">
        <v>5</v>
      </c>
      <c r="U832" s="8" t="s">
        <v>5</v>
      </c>
      <c r="V832" s="6" t="s">
        <v>5</v>
      </c>
      <c r="W832" s="8" t="s">
        <v>5</v>
      </c>
      <c r="X832" s="22">
        <v>0.375</v>
      </c>
      <c r="Y832" s="6" t="s">
        <v>5</v>
      </c>
      <c r="Z832" s="6" t="s">
        <v>5</v>
      </c>
      <c r="AA832" s="6" t="s">
        <v>5</v>
      </c>
      <c r="AB832" s="8" t="s">
        <v>5</v>
      </c>
      <c r="AC832" s="8" t="s">
        <v>5</v>
      </c>
      <c r="AD832" s="6" t="s">
        <v>5</v>
      </c>
      <c r="AE832" s="22">
        <v>0.94899999999999995</v>
      </c>
      <c r="AF832" s="6" t="s">
        <v>5</v>
      </c>
      <c r="AG832" s="6" t="s">
        <v>5</v>
      </c>
      <c r="AH832" s="22">
        <v>0.42699999999999999</v>
      </c>
      <c r="AI832" s="6" t="s">
        <v>5</v>
      </c>
      <c r="AJ832" s="7">
        <v>8</v>
      </c>
      <c r="AK832" s="6" t="s">
        <v>5</v>
      </c>
      <c r="AL832" s="6" t="s">
        <v>5</v>
      </c>
      <c r="AM832" s="6" t="s">
        <v>5</v>
      </c>
      <c r="AN832" s="6" t="s">
        <v>5</v>
      </c>
      <c r="AO832" s="7">
        <v>3.3</v>
      </c>
      <c r="AP832" s="7">
        <v>2.9</v>
      </c>
      <c r="AQ832" s="7">
        <v>1.61</v>
      </c>
      <c r="AR832" s="22">
        <v>0.92400000000000004</v>
      </c>
      <c r="AS832" s="7">
        <v>5.0999999999999996</v>
      </c>
      <c r="AT832" s="6">
        <v>3.43</v>
      </c>
      <c r="AU832" s="7">
        <v>1.9</v>
      </c>
      <c r="AV832" s="7">
        <v>1.1499999999999999</v>
      </c>
      <c r="AW832" s="6" t="s">
        <v>5</v>
      </c>
      <c r="AX832" s="6" t="s">
        <v>5</v>
      </c>
      <c r="AY832" s="6" t="s">
        <v>5</v>
      </c>
      <c r="AZ832" s="6" t="s">
        <v>5</v>
      </c>
      <c r="BA832" s="6" t="s">
        <v>5</v>
      </c>
      <c r="BB832" s="6" t="s">
        <v>5</v>
      </c>
      <c r="BC832" s="6" t="s">
        <v>5</v>
      </c>
      <c r="BD832" s="6" t="s">
        <v>5</v>
      </c>
      <c r="BE832" s="6" t="s">
        <v>5</v>
      </c>
      <c r="BF832" s="6" t="s">
        <v>5</v>
      </c>
      <c r="BG832" s="6" t="s">
        <v>5</v>
      </c>
      <c r="BH832" s="6" t="s">
        <v>5</v>
      </c>
      <c r="BI832" s="7">
        <v>1.66</v>
      </c>
      <c r="BJ832" s="22">
        <v>0.79</v>
      </c>
      <c r="BK832" s="6" t="s">
        <v>5</v>
      </c>
      <c r="BL832" s="2" t="s">
        <v>5</v>
      </c>
      <c r="BM832" s="2" t="s">
        <v>5</v>
      </c>
      <c r="BN832" s="2" t="s">
        <v>5</v>
      </c>
      <c r="BO832" s="2" t="s">
        <v>5</v>
      </c>
      <c r="BP832" s="2" t="s">
        <v>5</v>
      </c>
      <c r="BQ832" s="2" t="s">
        <v>5</v>
      </c>
      <c r="BR832" s="2" t="s">
        <v>5</v>
      </c>
      <c r="BS832" s="2" t="s">
        <v>5</v>
      </c>
      <c r="BT832" s="2" t="s">
        <v>5</v>
      </c>
      <c r="BU832" s="2" t="s">
        <v>5</v>
      </c>
      <c r="BV832" s="2" t="s">
        <v>5</v>
      </c>
      <c r="BW832" s="2" t="s">
        <v>5</v>
      </c>
      <c r="BX832" s="2" t="s">
        <v>5</v>
      </c>
      <c r="BY832" s="25" t="s">
        <v>5</v>
      </c>
      <c r="BZ832" s="25" t="s">
        <v>5</v>
      </c>
      <c r="CA832" s="6" t="s">
        <v>5</v>
      </c>
      <c r="CB832" s="6" t="s">
        <v>5</v>
      </c>
      <c r="CC832" s="6" t="s">
        <v>5</v>
      </c>
      <c r="CD832" s="6" t="s">
        <v>5</v>
      </c>
      <c r="CE832" s="6" t="s">
        <v>5</v>
      </c>
      <c r="CF832" s="16" t="s">
        <v>5</v>
      </c>
      <c r="CG832" s="16" t="s">
        <v>5</v>
      </c>
      <c r="CH832" s="18" t="s">
        <v>5</v>
      </c>
    </row>
    <row r="833" spans="2:86">
      <c r="B833" s="78" t="s">
        <v>473</v>
      </c>
      <c r="C833" s="79" t="s">
        <v>933</v>
      </c>
      <c r="D833" s="80" t="s">
        <v>933</v>
      </c>
      <c r="E833" s="1" t="s">
        <v>4</v>
      </c>
      <c r="F833" s="4">
        <v>13.2</v>
      </c>
      <c r="G833" s="7">
        <v>3.86</v>
      </c>
      <c r="H833" s="3" t="str">
        <f t="shared" si="31"/>
        <v>2L3X2-1/2X3/8X3/4LLBB</v>
      </c>
      <c r="I833" s="7">
        <v>3</v>
      </c>
      <c r="J833" s="5" t="s">
        <v>5</v>
      </c>
      <c r="K833" s="6" t="s">
        <v>5</v>
      </c>
      <c r="L833" s="6" t="s">
        <v>5</v>
      </c>
      <c r="M833" s="6" t="s">
        <v>5</v>
      </c>
      <c r="N833" s="6" t="s">
        <v>5</v>
      </c>
      <c r="O833" s="5" t="s">
        <v>5</v>
      </c>
      <c r="P833" s="5" t="s">
        <v>5</v>
      </c>
      <c r="Q833" s="7">
        <v>2.5</v>
      </c>
      <c r="R833" s="6" t="s">
        <v>5</v>
      </c>
      <c r="S833" s="6" t="s">
        <v>5</v>
      </c>
      <c r="T833" s="5" t="s">
        <v>5</v>
      </c>
      <c r="U833" s="8" t="s">
        <v>5</v>
      </c>
      <c r="V833" s="6" t="s">
        <v>5</v>
      </c>
      <c r="W833" s="8" t="s">
        <v>5</v>
      </c>
      <c r="X833" s="22">
        <v>0.375</v>
      </c>
      <c r="Y833" s="6" t="s">
        <v>5</v>
      </c>
      <c r="Z833" s="6" t="s">
        <v>5</v>
      </c>
      <c r="AA833" s="6" t="s">
        <v>5</v>
      </c>
      <c r="AB833" s="8" t="s">
        <v>5</v>
      </c>
      <c r="AC833" s="8" t="s">
        <v>5</v>
      </c>
      <c r="AD833" s="6" t="s">
        <v>5</v>
      </c>
      <c r="AE833" s="22">
        <v>0.94899999999999995</v>
      </c>
      <c r="AF833" s="6" t="s">
        <v>5</v>
      </c>
      <c r="AG833" s="6" t="s">
        <v>5</v>
      </c>
      <c r="AH833" s="22">
        <v>0.42699999999999999</v>
      </c>
      <c r="AI833" s="6" t="s">
        <v>5</v>
      </c>
      <c r="AJ833" s="7">
        <v>8</v>
      </c>
      <c r="AK833" s="6" t="s">
        <v>5</v>
      </c>
      <c r="AL833" s="6" t="s">
        <v>5</v>
      </c>
      <c r="AM833" s="6" t="s">
        <v>5</v>
      </c>
      <c r="AN833" s="6" t="s">
        <v>5</v>
      </c>
      <c r="AO833" s="7">
        <v>3.3</v>
      </c>
      <c r="AP833" s="7">
        <v>2.9</v>
      </c>
      <c r="AQ833" s="7">
        <v>1.61</v>
      </c>
      <c r="AR833" s="22">
        <v>0.92400000000000004</v>
      </c>
      <c r="AS833" s="6">
        <v>6.52</v>
      </c>
      <c r="AT833" s="6">
        <v>4.1500000000000004</v>
      </c>
      <c r="AU833" s="6">
        <v>2.27</v>
      </c>
      <c r="AV833" s="7">
        <v>1.3</v>
      </c>
      <c r="AW833" s="6" t="s">
        <v>5</v>
      </c>
      <c r="AX833" s="6" t="s">
        <v>5</v>
      </c>
      <c r="AY833" s="6" t="s">
        <v>5</v>
      </c>
      <c r="AZ833" s="6" t="s">
        <v>5</v>
      </c>
      <c r="BA833" s="6" t="s">
        <v>5</v>
      </c>
      <c r="BB833" s="6" t="s">
        <v>5</v>
      </c>
      <c r="BC833" s="6" t="s">
        <v>5</v>
      </c>
      <c r="BD833" s="6" t="s">
        <v>5</v>
      </c>
      <c r="BE833" s="6" t="s">
        <v>5</v>
      </c>
      <c r="BF833" s="6" t="s">
        <v>5</v>
      </c>
      <c r="BG833" s="6" t="s">
        <v>5</v>
      </c>
      <c r="BH833" s="6" t="s">
        <v>5</v>
      </c>
      <c r="BI833" s="7">
        <v>1.77</v>
      </c>
      <c r="BJ833" s="22">
        <v>0.81499999999999995</v>
      </c>
      <c r="BK833" s="6" t="s">
        <v>5</v>
      </c>
      <c r="BL833" s="2" t="s">
        <v>5</v>
      </c>
      <c r="BM833" s="2" t="s">
        <v>5</v>
      </c>
      <c r="BN833" s="2" t="s">
        <v>5</v>
      </c>
      <c r="BO833" s="2" t="s">
        <v>5</v>
      </c>
      <c r="BP833" s="2" t="s">
        <v>5</v>
      </c>
      <c r="BQ833" s="2" t="s">
        <v>5</v>
      </c>
      <c r="BR833" s="2" t="s">
        <v>5</v>
      </c>
      <c r="BS833" s="2" t="s">
        <v>5</v>
      </c>
      <c r="BT833" s="2" t="s">
        <v>5</v>
      </c>
      <c r="BU833" s="2" t="s">
        <v>5</v>
      </c>
      <c r="BV833" s="2" t="s">
        <v>5</v>
      </c>
      <c r="BW833" s="2" t="s">
        <v>5</v>
      </c>
      <c r="BX833" s="2" t="s">
        <v>5</v>
      </c>
      <c r="BY833" s="25" t="s">
        <v>5</v>
      </c>
      <c r="BZ833" s="25" t="s">
        <v>5</v>
      </c>
      <c r="CA833" s="6" t="s">
        <v>5</v>
      </c>
      <c r="CB833" s="6" t="s">
        <v>5</v>
      </c>
      <c r="CC833" s="6" t="s">
        <v>5</v>
      </c>
      <c r="CD833" s="6" t="s">
        <v>5</v>
      </c>
      <c r="CE833" s="6" t="s">
        <v>5</v>
      </c>
      <c r="CF833" s="16" t="s">
        <v>5</v>
      </c>
      <c r="CG833" s="16" t="s">
        <v>5</v>
      </c>
      <c r="CH833" s="18" t="s">
        <v>5</v>
      </c>
    </row>
    <row r="834" spans="2:86">
      <c r="B834" s="78" t="s">
        <v>473</v>
      </c>
      <c r="C834" s="79" t="s">
        <v>934</v>
      </c>
      <c r="D834" s="80" t="s">
        <v>934</v>
      </c>
      <c r="E834" s="1" t="s">
        <v>4</v>
      </c>
      <c r="F834" s="4">
        <v>11.2</v>
      </c>
      <c r="G834" s="7">
        <v>3.26</v>
      </c>
      <c r="H834" s="3" t="str">
        <f t="shared" si="31"/>
        <v>2L3X2-1/2X5/16LLBB</v>
      </c>
      <c r="I834" s="7">
        <v>3</v>
      </c>
      <c r="J834" s="5" t="s">
        <v>5</v>
      </c>
      <c r="K834" s="6" t="s">
        <v>5</v>
      </c>
      <c r="L834" s="6" t="s">
        <v>5</v>
      </c>
      <c r="M834" s="6" t="s">
        <v>5</v>
      </c>
      <c r="N834" s="6" t="s">
        <v>5</v>
      </c>
      <c r="O834" s="5" t="s">
        <v>5</v>
      </c>
      <c r="P834" s="5" t="s">
        <v>5</v>
      </c>
      <c r="Q834" s="7">
        <v>2.5</v>
      </c>
      <c r="R834" s="6" t="s">
        <v>5</v>
      </c>
      <c r="S834" s="6" t="s">
        <v>5</v>
      </c>
      <c r="T834" s="5" t="s">
        <v>5</v>
      </c>
      <c r="U834" s="8" t="s">
        <v>5</v>
      </c>
      <c r="V834" s="6" t="s">
        <v>5</v>
      </c>
      <c r="W834" s="8" t="s">
        <v>5</v>
      </c>
      <c r="X834" s="22">
        <v>0.313</v>
      </c>
      <c r="Y834" s="6" t="s">
        <v>5</v>
      </c>
      <c r="Z834" s="6" t="s">
        <v>5</v>
      </c>
      <c r="AA834" s="6" t="s">
        <v>5</v>
      </c>
      <c r="AB834" s="8" t="s">
        <v>5</v>
      </c>
      <c r="AC834" s="8" t="s">
        <v>5</v>
      </c>
      <c r="AD834" s="6" t="s">
        <v>5</v>
      </c>
      <c r="AE834" s="22">
        <v>0.92500000000000004</v>
      </c>
      <c r="AF834" s="6" t="s">
        <v>5</v>
      </c>
      <c r="AG834" s="6" t="s">
        <v>5</v>
      </c>
      <c r="AH834" s="22">
        <v>0.39200000000000002</v>
      </c>
      <c r="AI834" s="6" t="s">
        <v>5</v>
      </c>
      <c r="AJ834" s="7">
        <v>9.58</v>
      </c>
      <c r="AK834" s="6" t="s">
        <v>5</v>
      </c>
      <c r="AL834" s="6" t="s">
        <v>5</v>
      </c>
      <c r="AM834" s="6" t="s">
        <v>5</v>
      </c>
      <c r="AN834" s="6" t="s">
        <v>5</v>
      </c>
      <c r="AO834" s="7">
        <v>2.82</v>
      </c>
      <c r="AP834" s="7">
        <v>2.46</v>
      </c>
      <c r="AQ834" s="7">
        <v>1.36</v>
      </c>
      <c r="AR834" s="22">
        <v>0.93200000000000005</v>
      </c>
      <c r="AS834" s="6">
        <v>3.26</v>
      </c>
      <c r="AT834" s="6">
        <v>2.21</v>
      </c>
      <c r="AU834" s="7">
        <v>1.3</v>
      </c>
      <c r="AV834" s="7">
        <v>1</v>
      </c>
      <c r="AW834" s="6" t="s">
        <v>5</v>
      </c>
      <c r="AX834" s="6" t="s">
        <v>5</v>
      </c>
      <c r="AY834" s="6" t="s">
        <v>5</v>
      </c>
      <c r="AZ834" s="6" t="s">
        <v>5</v>
      </c>
      <c r="BA834" s="6" t="s">
        <v>5</v>
      </c>
      <c r="BB834" s="6" t="s">
        <v>5</v>
      </c>
      <c r="BC834" s="6" t="s">
        <v>5</v>
      </c>
      <c r="BD834" s="6" t="s">
        <v>5</v>
      </c>
      <c r="BE834" s="6" t="s">
        <v>5</v>
      </c>
      <c r="BF834" s="6" t="s">
        <v>5</v>
      </c>
      <c r="BG834" s="6" t="s">
        <v>5</v>
      </c>
      <c r="BH834" s="6" t="s">
        <v>5</v>
      </c>
      <c r="BI834" s="7">
        <v>1.57</v>
      </c>
      <c r="BJ834" s="22">
        <v>0.76</v>
      </c>
      <c r="BK834" s="6" t="s">
        <v>5</v>
      </c>
      <c r="BL834" s="2" t="s">
        <v>5</v>
      </c>
      <c r="BM834" s="2" t="s">
        <v>5</v>
      </c>
      <c r="BN834" s="2" t="s">
        <v>5</v>
      </c>
      <c r="BO834" s="2" t="s">
        <v>5</v>
      </c>
      <c r="BP834" s="2" t="s">
        <v>5</v>
      </c>
      <c r="BQ834" s="2" t="s">
        <v>5</v>
      </c>
      <c r="BR834" s="2" t="s">
        <v>5</v>
      </c>
      <c r="BS834" s="2" t="s">
        <v>5</v>
      </c>
      <c r="BT834" s="2" t="s">
        <v>5</v>
      </c>
      <c r="BU834" s="2" t="s">
        <v>5</v>
      </c>
      <c r="BV834" s="2" t="s">
        <v>5</v>
      </c>
      <c r="BW834" s="2" t="s">
        <v>5</v>
      </c>
      <c r="BX834" s="2" t="s">
        <v>5</v>
      </c>
      <c r="BY834" s="25" t="s">
        <v>5</v>
      </c>
      <c r="BZ834" s="25" t="s">
        <v>5</v>
      </c>
      <c r="CA834" s="6" t="s">
        <v>5</v>
      </c>
      <c r="CB834" s="6" t="s">
        <v>5</v>
      </c>
      <c r="CC834" s="6" t="s">
        <v>5</v>
      </c>
      <c r="CD834" s="6" t="s">
        <v>5</v>
      </c>
      <c r="CE834" s="6" t="s">
        <v>5</v>
      </c>
      <c r="CF834" s="16" t="s">
        <v>5</v>
      </c>
      <c r="CG834" s="16" t="s">
        <v>5</v>
      </c>
      <c r="CH834" s="18" t="s">
        <v>5</v>
      </c>
    </row>
    <row r="835" spans="2:86">
      <c r="B835" s="78" t="s">
        <v>473</v>
      </c>
      <c r="C835" s="79" t="s">
        <v>935</v>
      </c>
      <c r="D835" s="80" t="s">
        <v>935</v>
      </c>
      <c r="E835" s="1" t="s">
        <v>4</v>
      </c>
      <c r="F835" s="4">
        <v>11.2</v>
      </c>
      <c r="G835" s="7">
        <v>3.26</v>
      </c>
      <c r="H835" s="3" t="str">
        <f t="shared" si="31"/>
        <v>2L3X2-1/2X5/16X3/8LLBB</v>
      </c>
      <c r="I835" s="7">
        <v>3</v>
      </c>
      <c r="J835" s="5" t="s">
        <v>5</v>
      </c>
      <c r="K835" s="6" t="s">
        <v>5</v>
      </c>
      <c r="L835" s="6" t="s">
        <v>5</v>
      </c>
      <c r="M835" s="6" t="s">
        <v>5</v>
      </c>
      <c r="N835" s="6" t="s">
        <v>5</v>
      </c>
      <c r="O835" s="5" t="s">
        <v>5</v>
      </c>
      <c r="P835" s="5" t="s">
        <v>5</v>
      </c>
      <c r="Q835" s="7">
        <v>2.5</v>
      </c>
      <c r="R835" s="6" t="s">
        <v>5</v>
      </c>
      <c r="S835" s="6" t="s">
        <v>5</v>
      </c>
      <c r="T835" s="5" t="s">
        <v>5</v>
      </c>
      <c r="U835" s="8" t="s">
        <v>5</v>
      </c>
      <c r="V835" s="6" t="s">
        <v>5</v>
      </c>
      <c r="W835" s="8" t="s">
        <v>5</v>
      </c>
      <c r="X835" s="22">
        <v>0.313</v>
      </c>
      <c r="Y835" s="6" t="s">
        <v>5</v>
      </c>
      <c r="Z835" s="6" t="s">
        <v>5</v>
      </c>
      <c r="AA835" s="6" t="s">
        <v>5</v>
      </c>
      <c r="AB835" s="8" t="s">
        <v>5</v>
      </c>
      <c r="AC835" s="8" t="s">
        <v>5</v>
      </c>
      <c r="AD835" s="6" t="s">
        <v>5</v>
      </c>
      <c r="AE835" s="22">
        <v>0.92500000000000004</v>
      </c>
      <c r="AF835" s="6" t="s">
        <v>5</v>
      </c>
      <c r="AG835" s="6" t="s">
        <v>5</v>
      </c>
      <c r="AH835" s="22">
        <v>0.39200000000000002</v>
      </c>
      <c r="AI835" s="6" t="s">
        <v>5</v>
      </c>
      <c r="AJ835" s="7">
        <v>9.58</v>
      </c>
      <c r="AK835" s="6" t="s">
        <v>5</v>
      </c>
      <c r="AL835" s="6" t="s">
        <v>5</v>
      </c>
      <c r="AM835" s="6" t="s">
        <v>5</v>
      </c>
      <c r="AN835" s="6" t="s">
        <v>5</v>
      </c>
      <c r="AO835" s="7">
        <v>2.82</v>
      </c>
      <c r="AP835" s="7">
        <v>2.46</v>
      </c>
      <c r="AQ835" s="7">
        <v>1.36</v>
      </c>
      <c r="AR835" s="22">
        <v>0.93200000000000005</v>
      </c>
      <c r="AS835" s="6">
        <v>4.24</v>
      </c>
      <c r="AT835" s="6">
        <v>2.82</v>
      </c>
      <c r="AU835" s="6">
        <v>1.58</v>
      </c>
      <c r="AV835" s="7">
        <v>1.1399999999999999</v>
      </c>
      <c r="AW835" s="6" t="s">
        <v>5</v>
      </c>
      <c r="AX835" s="6" t="s">
        <v>5</v>
      </c>
      <c r="AY835" s="6" t="s">
        <v>5</v>
      </c>
      <c r="AZ835" s="6" t="s">
        <v>5</v>
      </c>
      <c r="BA835" s="6" t="s">
        <v>5</v>
      </c>
      <c r="BB835" s="6" t="s">
        <v>5</v>
      </c>
      <c r="BC835" s="6" t="s">
        <v>5</v>
      </c>
      <c r="BD835" s="6" t="s">
        <v>5</v>
      </c>
      <c r="BE835" s="6" t="s">
        <v>5</v>
      </c>
      <c r="BF835" s="6" t="s">
        <v>5</v>
      </c>
      <c r="BG835" s="6" t="s">
        <v>5</v>
      </c>
      <c r="BH835" s="6" t="s">
        <v>5</v>
      </c>
      <c r="BI835" s="7">
        <v>1.66</v>
      </c>
      <c r="BJ835" s="22">
        <v>0.78500000000000003</v>
      </c>
      <c r="BK835" s="6" t="s">
        <v>5</v>
      </c>
      <c r="BL835" s="2" t="s">
        <v>5</v>
      </c>
      <c r="BM835" s="2" t="s">
        <v>5</v>
      </c>
      <c r="BN835" s="2" t="s">
        <v>5</v>
      </c>
      <c r="BO835" s="2" t="s">
        <v>5</v>
      </c>
      <c r="BP835" s="2" t="s">
        <v>5</v>
      </c>
      <c r="BQ835" s="2" t="s">
        <v>5</v>
      </c>
      <c r="BR835" s="2" t="s">
        <v>5</v>
      </c>
      <c r="BS835" s="2" t="s">
        <v>5</v>
      </c>
      <c r="BT835" s="2" t="s">
        <v>5</v>
      </c>
      <c r="BU835" s="2" t="s">
        <v>5</v>
      </c>
      <c r="BV835" s="2" t="s">
        <v>5</v>
      </c>
      <c r="BW835" s="2" t="s">
        <v>5</v>
      </c>
      <c r="BX835" s="2" t="s">
        <v>5</v>
      </c>
      <c r="BY835" s="25" t="s">
        <v>5</v>
      </c>
      <c r="BZ835" s="25" t="s">
        <v>5</v>
      </c>
      <c r="CA835" s="6" t="s">
        <v>5</v>
      </c>
      <c r="CB835" s="6" t="s">
        <v>5</v>
      </c>
      <c r="CC835" s="6" t="s">
        <v>5</v>
      </c>
      <c r="CD835" s="6" t="s">
        <v>5</v>
      </c>
      <c r="CE835" s="6" t="s">
        <v>5</v>
      </c>
      <c r="CF835" s="16" t="s">
        <v>5</v>
      </c>
      <c r="CG835" s="16" t="s">
        <v>5</v>
      </c>
      <c r="CH835" s="18" t="s">
        <v>5</v>
      </c>
    </row>
    <row r="836" spans="2:86">
      <c r="B836" s="78" t="s">
        <v>473</v>
      </c>
      <c r="C836" s="79" t="s">
        <v>936</v>
      </c>
      <c r="D836" s="80" t="s">
        <v>936</v>
      </c>
      <c r="E836" s="1" t="s">
        <v>4</v>
      </c>
      <c r="F836" s="4">
        <v>11.2</v>
      </c>
      <c r="G836" s="7">
        <v>3.26</v>
      </c>
      <c r="H836" s="3" t="str">
        <f t="shared" ref="H836:H899" si="32">D836</f>
        <v>2L3X2-1/2X5/16X3/4LLBB</v>
      </c>
      <c r="I836" s="7">
        <v>3</v>
      </c>
      <c r="J836" s="5" t="s">
        <v>5</v>
      </c>
      <c r="K836" s="6" t="s">
        <v>5</v>
      </c>
      <c r="L836" s="6" t="s">
        <v>5</v>
      </c>
      <c r="M836" s="6" t="s">
        <v>5</v>
      </c>
      <c r="N836" s="6" t="s">
        <v>5</v>
      </c>
      <c r="O836" s="5" t="s">
        <v>5</v>
      </c>
      <c r="P836" s="5" t="s">
        <v>5</v>
      </c>
      <c r="Q836" s="7">
        <v>2.5</v>
      </c>
      <c r="R836" s="6" t="s">
        <v>5</v>
      </c>
      <c r="S836" s="6" t="s">
        <v>5</v>
      </c>
      <c r="T836" s="5" t="s">
        <v>5</v>
      </c>
      <c r="U836" s="8" t="s">
        <v>5</v>
      </c>
      <c r="V836" s="6" t="s">
        <v>5</v>
      </c>
      <c r="W836" s="8" t="s">
        <v>5</v>
      </c>
      <c r="X836" s="22">
        <v>0.313</v>
      </c>
      <c r="Y836" s="6" t="s">
        <v>5</v>
      </c>
      <c r="Z836" s="6" t="s">
        <v>5</v>
      </c>
      <c r="AA836" s="6" t="s">
        <v>5</v>
      </c>
      <c r="AB836" s="8" t="s">
        <v>5</v>
      </c>
      <c r="AC836" s="8" t="s">
        <v>5</v>
      </c>
      <c r="AD836" s="6" t="s">
        <v>5</v>
      </c>
      <c r="AE836" s="22">
        <v>0.92500000000000004</v>
      </c>
      <c r="AF836" s="6" t="s">
        <v>5</v>
      </c>
      <c r="AG836" s="6" t="s">
        <v>5</v>
      </c>
      <c r="AH836" s="22">
        <v>0.39200000000000002</v>
      </c>
      <c r="AI836" s="6" t="s">
        <v>5</v>
      </c>
      <c r="AJ836" s="7">
        <v>9.58</v>
      </c>
      <c r="AK836" s="6" t="s">
        <v>5</v>
      </c>
      <c r="AL836" s="6" t="s">
        <v>5</v>
      </c>
      <c r="AM836" s="6" t="s">
        <v>5</v>
      </c>
      <c r="AN836" s="6" t="s">
        <v>5</v>
      </c>
      <c r="AO836" s="7">
        <v>2.82</v>
      </c>
      <c r="AP836" s="7">
        <v>2.46</v>
      </c>
      <c r="AQ836" s="7">
        <v>1.36</v>
      </c>
      <c r="AR836" s="22">
        <v>0.93200000000000005</v>
      </c>
      <c r="AS836" s="6">
        <v>5.42</v>
      </c>
      <c r="AT836" s="6">
        <v>3.43</v>
      </c>
      <c r="AU836" s="6">
        <v>1.89</v>
      </c>
      <c r="AV836" s="7">
        <v>1.29</v>
      </c>
      <c r="AW836" s="6" t="s">
        <v>5</v>
      </c>
      <c r="AX836" s="6" t="s">
        <v>5</v>
      </c>
      <c r="AY836" s="6" t="s">
        <v>5</v>
      </c>
      <c r="AZ836" s="6" t="s">
        <v>5</v>
      </c>
      <c r="BA836" s="6" t="s">
        <v>5</v>
      </c>
      <c r="BB836" s="6" t="s">
        <v>5</v>
      </c>
      <c r="BC836" s="6" t="s">
        <v>5</v>
      </c>
      <c r="BD836" s="6" t="s">
        <v>5</v>
      </c>
      <c r="BE836" s="6" t="s">
        <v>5</v>
      </c>
      <c r="BF836" s="6" t="s">
        <v>5</v>
      </c>
      <c r="BG836" s="6" t="s">
        <v>5</v>
      </c>
      <c r="BH836" s="6" t="s">
        <v>5</v>
      </c>
      <c r="BI836" s="7">
        <v>1.76</v>
      </c>
      <c r="BJ836" s="22">
        <v>0.81</v>
      </c>
      <c r="BK836" s="6" t="s">
        <v>5</v>
      </c>
      <c r="BL836" s="2" t="s">
        <v>5</v>
      </c>
      <c r="BM836" s="2" t="s">
        <v>5</v>
      </c>
      <c r="BN836" s="2" t="s">
        <v>5</v>
      </c>
      <c r="BO836" s="2" t="s">
        <v>5</v>
      </c>
      <c r="BP836" s="2" t="s">
        <v>5</v>
      </c>
      <c r="BQ836" s="2" t="s">
        <v>5</v>
      </c>
      <c r="BR836" s="2" t="s">
        <v>5</v>
      </c>
      <c r="BS836" s="2" t="s">
        <v>5</v>
      </c>
      <c r="BT836" s="2" t="s">
        <v>5</v>
      </c>
      <c r="BU836" s="2" t="s">
        <v>5</v>
      </c>
      <c r="BV836" s="2" t="s">
        <v>5</v>
      </c>
      <c r="BW836" s="2" t="s">
        <v>5</v>
      </c>
      <c r="BX836" s="2" t="s">
        <v>5</v>
      </c>
      <c r="BY836" s="25" t="s">
        <v>5</v>
      </c>
      <c r="BZ836" s="25" t="s">
        <v>5</v>
      </c>
      <c r="CA836" s="6" t="s">
        <v>5</v>
      </c>
      <c r="CB836" s="6" t="s">
        <v>5</v>
      </c>
      <c r="CC836" s="6" t="s">
        <v>5</v>
      </c>
      <c r="CD836" s="6" t="s">
        <v>5</v>
      </c>
      <c r="CE836" s="6" t="s">
        <v>5</v>
      </c>
      <c r="CF836" s="16" t="s">
        <v>5</v>
      </c>
      <c r="CG836" s="16" t="s">
        <v>5</v>
      </c>
      <c r="CH836" s="18" t="s">
        <v>5</v>
      </c>
    </row>
    <row r="837" spans="2:86">
      <c r="B837" s="78" t="s">
        <v>473</v>
      </c>
      <c r="C837" s="79" t="s">
        <v>937</v>
      </c>
      <c r="D837" s="80" t="s">
        <v>937</v>
      </c>
      <c r="E837" s="1" t="s">
        <v>4</v>
      </c>
      <c r="F837" s="7">
        <v>9</v>
      </c>
      <c r="G837" s="7">
        <v>2.64</v>
      </c>
      <c r="H837" s="3" t="str">
        <f t="shared" si="32"/>
        <v>2L3X2-1/2X1/4LLBB</v>
      </c>
      <c r="I837" s="7">
        <v>3</v>
      </c>
      <c r="J837" s="5" t="s">
        <v>5</v>
      </c>
      <c r="K837" s="6" t="s">
        <v>5</v>
      </c>
      <c r="L837" s="6" t="s">
        <v>5</v>
      </c>
      <c r="M837" s="6" t="s">
        <v>5</v>
      </c>
      <c r="N837" s="6" t="s">
        <v>5</v>
      </c>
      <c r="O837" s="5" t="s">
        <v>5</v>
      </c>
      <c r="P837" s="5" t="s">
        <v>5</v>
      </c>
      <c r="Q837" s="7">
        <v>2.5</v>
      </c>
      <c r="R837" s="6" t="s">
        <v>5</v>
      </c>
      <c r="S837" s="6" t="s">
        <v>5</v>
      </c>
      <c r="T837" s="5" t="s">
        <v>5</v>
      </c>
      <c r="U837" s="8" t="s">
        <v>5</v>
      </c>
      <c r="V837" s="6" t="s">
        <v>5</v>
      </c>
      <c r="W837" s="8" t="s">
        <v>5</v>
      </c>
      <c r="X837" s="22">
        <v>0.25</v>
      </c>
      <c r="Y837" s="6" t="s">
        <v>5</v>
      </c>
      <c r="Z837" s="6" t="s">
        <v>5</v>
      </c>
      <c r="AA837" s="6" t="s">
        <v>5</v>
      </c>
      <c r="AB837" s="8" t="s">
        <v>5</v>
      </c>
      <c r="AC837" s="8" t="s">
        <v>5</v>
      </c>
      <c r="AD837" s="6" t="s">
        <v>5</v>
      </c>
      <c r="AE837" s="22">
        <v>0.9</v>
      </c>
      <c r="AF837" s="6" t="s">
        <v>5</v>
      </c>
      <c r="AG837" s="6" t="s">
        <v>5</v>
      </c>
      <c r="AH837" s="22">
        <v>0.36</v>
      </c>
      <c r="AI837" s="6" t="s">
        <v>5</v>
      </c>
      <c r="AJ837" s="4">
        <v>12</v>
      </c>
      <c r="AK837" s="6" t="s">
        <v>5</v>
      </c>
      <c r="AL837" s="6" t="s">
        <v>5</v>
      </c>
      <c r="AM837" s="6" t="s">
        <v>5</v>
      </c>
      <c r="AN837" s="6" t="s">
        <v>5</v>
      </c>
      <c r="AO837" s="7">
        <v>2.3199999999999998</v>
      </c>
      <c r="AP837" s="7">
        <v>2</v>
      </c>
      <c r="AQ837" s="7">
        <v>1.1100000000000001</v>
      </c>
      <c r="AR837" s="22">
        <v>0.94</v>
      </c>
      <c r="AS837" s="6">
        <v>2.59</v>
      </c>
      <c r="AT837" s="6">
        <v>1.72</v>
      </c>
      <c r="AU837" s="6">
        <v>1.04</v>
      </c>
      <c r="AV837" s="22">
        <v>0.99099999999999999</v>
      </c>
      <c r="AW837" s="6" t="s">
        <v>5</v>
      </c>
      <c r="AX837" s="6" t="s">
        <v>5</v>
      </c>
      <c r="AY837" s="6" t="s">
        <v>5</v>
      </c>
      <c r="AZ837" s="6" t="s">
        <v>5</v>
      </c>
      <c r="BA837" s="6" t="s">
        <v>5</v>
      </c>
      <c r="BB837" s="6" t="s">
        <v>5</v>
      </c>
      <c r="BC837" s="6" t="s">
        <v>5</v>
      </c>
      <c r="BD837" s="6" t="s">
        <v>5</v>
      </c>
      <c r="BE837" s="6" t="s">
        <v>5</v>
      </c>
      <c r="BF837" s="6" t="s">
        <v>5</v>
      </c>
      <c r="BG837" s="6" t="s">
        <v>5</v>
      </c>
      <c r="BH837" s="6" t="s">
        <v>5</v>
      </c>
      <c r="BI837" s="7">
        <v>1.57</v>
      </c>
      <c r="BJ837" s="22">
        <v>0.75600000000000001</v>
      </c>
      <c r="BK837" s="6" t="s">
        <v>5</v>
      </c>
      <c r="BL837" s="2" t="s">
        <v>5</v>
      </c>
      <c r="BM837" s="2" t="s">
        <v>5</v>
      </c>
      <c r="BN837" s="2" t="s">
        <v>5</v>
      </c>
      <c r="BO837" s="2" t="s">
        <v>5</v>
      </c>
      <c r="BP837" s="2" t="s">
        <v>5</v>
      </c>
      <c r="BQ837" s="2" t="s">
        <v>5</v>
      </c>
      <c r="BR837" s="2" t="s">
        <v>5</v>
      </c>
      <c r="BS837" s="2" t="s">
        <v>5</v>
      </c>
      <c r="BT837" s="2" t="s">
        <v>5</v>
      </c>
      <c r="BU837" s="2" t="s">
        <v>5</v>
      </c>
      <c r="BV837" s="2" t="s">
        <v>5</v>
      </c>
      <c r="BW837" s="2" t="s">
        <v>5</v>
      </c>
      <c r="BX837" s="2" t="s">
        <v>5</v>
      </c>
      <c r="BY837" s="25" t="s">
        <v>5</v>
      </c>
      <c r="BZ837" s="25" t="s">
        <v>5</v>
      </c>
      <c r="CA837" s="6" t="s">
        <v>5</v>
      </c>
      <c r="CB837" s="6" t="s">
        <v>5</v>
      </c>
      <c r="CC837" s="6" t="s">
        <v>5</v>
      </c>
      <c r="CD837" s="6" t="s">
        <v>5</v>
      </c>
      <c r="CE837" s="6" t="s">
        <v>5</v>
      </c>
      <c r="CF837" s="16" t="s">
        <v>5</v>
      </c>
      <c r="CG837" s="16" t="s">
        <v>5</v>
      </c>
      <c r="CH837" s="18" t="s">
        <v>5</v>
      </c>
    </row>
    <row r="838" spans="2:86">
      <c r="B838" s="78" t="s">
        <v>473</v>
      </c>
      <c r="C838" s="79" t="s">
        <v>938</v>
      </c>
      <c r="D838" s="80" t="s">
        <v>938</v>
      </c>
      <c r="E838" s="1" t="s">
        <v>4</v>
      </c>
      <c r="F838" s="7">
        <v>9</v>
      </c>
      <c r="G838" s="7">
        <v>2.64</v>
      </c>
      <c r="H838" s="3" t="str">
        <f t="shared" si="32"/>
        <v>2L3X2-1/2X1/4X3/8LLBB</v>
      </c>
      <c r="I838" s="7">
        <v>3</v>
      </c>
      <c r="J838" s="5" t="s">
        <v>5</v>
      </c>
      <c r="K838" s="6" t="s">
        <v>5</v>
      </c>
      <c r="L838" s="6" t="s">
        <v>5</v>
      </c>
      <c r="M838" s="6" t="s">
        <v>5</v>
      </c>
      <c r="N838" s="6" t="s">
        <v>5</v>
      </c>
      <c r="O838" s="5" t="s">
        <v>5</v>
      </c>
      <c r="P838" s="5" t="s">
        <v>5</v>
      </c>
      <c r="Q838" s="7">
        <v>2.5</v>
      </c>
      <c r="R838" s="6" t="s">
        <v>5</v>
      </c>
      <c r="S838" s="6" t="s">
        <v>5</v>
      </c>
      <c r="T838" s="5" t="s">
        <v>5</v>
      </c>
      <c r="U838" s="8" t="s">
        <v>5</v>
      </c>
      <c r="V838" s="6" t="s">
        <v>5</v>
      </c>
      <c r="W838" s="8" t="s">
        <v>5</v>
      </c>
      <c r="X838" s="22">
        <v>0.25</v>
      </c>
      <c r="Y838" s="6" t="s">
        <v>5</v>
      </c>
      <c r="Z838" s="6" t="s">
        <v>5</v>
      </c>
      <c r="AA838" s="6" t="s">
        <v>5</v>
      </c>
      <c r="AB838" s="8" t="s">
        <v>5</v>
      </c>
      <c r="AC838" s="8" t="s">
        <v>5</v>
      </c>
      <c r="AD838" s="6" t="s">
        <v>5</v>
      </c>
      <c r="AE838" s="22">
        <v>0.9</v>
      </c>
      <c r="AF838" s="6" t="s">
        <v>5</v>
      </c>
      <c r="AG838" s="6" t="s">
        <v>5</v>
      </c>
      <c r="AH838" s="22">
        <v>0.36</v>
      </c>
      <c r="AI838" s="6" t="s">
        <v>5</v>
      </c>
      <c r="AJ838" s="4">
        <v>12</v>
      </c>
      <c r="AK838" s="6" t="s">
        <v>5</v>
      </c>
      <c r="AL838" s="6" t="s">
        <v>5</v>
      </c>
      <c r="AM838" s="6" t="s">
        <v>5</v>
      </c>
      <c r="AN838" s="6" t="s">
        <v>5</v>
      </c>
      <c r="AO838" s="7">
        <v>2.3199999999999998</v>
      </c>
      <c r="AP838" s="7">
        <v>2</v>
      </c>
      <c r="AQ838" s="7">
        <v>1.1100000000000001</v>
      </c>
      <c r="AR838" s="22">
        <v>0.94</v>
      </c>
      <c r="AS838" s="6">
        <v>3.31</v>
      </c>
      <c r="AT838" s="6">
        <v>2.2200000000000002</v>
      </c>
      <c r="AU838" s="6">
        <v>1.23</v>
      </c>
      <c r="AV838" s="7">
        <v>1.1200000000000001</v>
      </c>
      <c r="AW838" s="6" t="s">
        <v>5</v>
      </c>
      <c r="AX838" s="6" t="s">
        <v>5</v>
      </c>
      <c r="AY838" s="6" t="s">
        <v>5</v>
      </c>
      <c r="AZ838" s="6" t="s">
        <v>5</v>
      </c>
      <c r="BA838" s="6" t="s">
        <v>5</v>
      </c>
      <c r="BB838" s="6" t="s">
        <v>5</v>
      </c>
      <c r="BC838" s="6" t="s">
        <v>5</v>
      </c>
      <c r="BD838" s="6" t="s">
        <v>5</v>
      </c>
      <c r="BE838" s="6" t="s">
        <v>5</v>
      </c>
      <c r="BF838" s="6" t="s">
        <v>5</v>
      </c>
      <c r="BG838" s="6" t="s">
        <v>5</v>
      </c>
      <c r="BH838" s="6" t="s">
        <v>5</v>
      </c>
      <c r="BI838" s="7">
        <v>1.66</v>
      </c>
      <c r="BJ838" s="22">
        <v>0.78100000000000003</v>
      </c>
      <c r="BK838" s="6" t="s">
        <v>5</v>
      </c>
      <c r="BL838" s="2" t="s">
        <v>5</v>
      </c>
      <c r="BM838" s="2" t="s">
        <v>5</v>
      </c>
      <c r="BN838" s="2" t="s">
        <v>5</v>
      </c>
      <c r="BO838" s="2" t="s">
        <v>5</v>
      </c>
      <c r="BP838" s="2" t="s">
        <v>5</v>
      </c>
      <c r="BQ838" s="2" t="s">
        <v>5</v>
      </c>
      <c r="BR838" s="2" t="s">
        <v>5</v>
      </c>
      <c r="BS838" s="2" t="s">
        <v>5</v>
      </c>
      <c r="BT838" s="2" t="s">
        <v>5</v>
      </c>
      <c r="BU838" s="2" t="s">
        <v>5</v>
      </c>
      <c r="BV838" s="2" t="s">
        <v>5</v>
      </c>
      <c r="BW838" s="2" t="s">
        <v>5</v>
      </c>
      <c r="BX838" s="2" t="s">
        <v>5</v>
      </c>
      <c r="BY838" s="25" t="s">
        <v>5</v>
      </c>
      <c r="BZ838" s="25" t="s">
        <v>5</v>
      </c>
      <c r="CA838" s="6" t="s">
        <v>5</v>
      </c>
      <c r="CB838" s="6" t="s">
        <v>5</v>
      </c>
      <c r="CC838" s="6" t="s">
        <v>5</v>
      </c>
      <c r="CD838" s="6" t="s">
        <v>5</v>
      </c>
      <c r="CE838" s="6" t="s">
        <v>5</v>
      </c>
      <c r="CF838" s="16" t="s">
        <v>5</v>
      </c>
      <c r="CG838" s="16" t="s">
        <v>5</v>
      </c>
      <c r="CH838" s="18" t="s">
        <v>5</v>
      </c>
    </row>
    <row r="839" spans="2:86">
      <c r="B839" s="78" t="s">
        <v>473</v>
      </c>
      <c r="C839" s="79" t="s">
        <v>939</v>
      </c>
      <c r="D839" s="80" t="s">
        <v>939</v>
      </c>
      <c r="E839" s="1" t="s">
        <v>4</v>
      </c>
      <c r="F839" s="7">
        <v>9</v>
      </c>
      <c r="G839" s="7">
        <v>2.64</v>
      </c>
      <c r="H839" s="3" t="str">
        <f t="shared" si="32"/>
        <v>2L3X2-1/2X1/4X3/4LLBB</v>
      </c>
      <c r="I839" s="7">
        <v>3</v>
      </c>
      <c r="J839" s="5" t="s">
        <v>5</v>
      </c>
      <c r="K839" s="6" t="s">
        <v>5</v>
      </c>
      <c r="L839" s="6" t="s">
        <v>5</v>
      </c>
      <c r="M839" s="6" t="s">
        <v>5</v>
      </c>
      <c r="N839" s="6" t="s">
        <v>5</v>
      </c>
      <c r="O839" s="5" t="s">
        <v>5</v>
      </c>
      <c r="P839" s="5" t="s">
        <v>5</v>
      </c>
      <c r="Q839" s="7">
        <v>2.5</v>
      </c>
      <c r="R839" s="6" t="s">
        <v>5</v>
      </c>
      <c r="S839" s="6" t="s">
        <v>5</v>
      </c>
      <c r="T839" s="5" t="s">
        <v>5</v>
      </c>
      <c r="U839" s="8" t="s">
        <v>5</v>
      </c>
      <c r="V839" s="6" t="s">
        <v>5</v>
      </c>
      <c r="W839" s="8" t="s">
        <v>5</v>
      </c>
      <c r="X839" s="22">
        <v>0.25</v>
      </c>
      <c r="Y839" s="6" t="s">
        <v>5</v>
      </c>
      <c r="Z839" s="6" t="s">
        <v>5</v>
      </c>
      <c r="AA839" s="6" t="s">
        <v>5</v>
      </c>
      <c r="AB839" s="8" t="s">
        <v>5</v>
      </c>
      <c r="AC839" s="8" t="s">
        <v>5</v>
      </c>
      <c r="AD839" s="6" t="s">
        <v>5</v>
      </c>
      <c r="AE839" s="22">
        <v>0.9</v>
      </c>
      <c r="AF839" s="6" t="s">
        <v>5</v>
      </c>
      <c r="AG839" s="6" t="s">
        <v>5</v>
      </c>
      <c r="AH839" s="22">
        <v>0.36</v>
      </c>
      <c r="AI839" s="6" t="s">
        <v>5</v>
      </c>
      <c r="AJ839" s="4">
        <v>12</v>
      </c>
      <c r="AK839" s="6" t="s">
        <v>5</v>
      </c>
      <c r="AL839" s="6" t="s">
        <v>5</v>
      </c>
      <c r="AM839" s="6" t="s">
        <v>5</v>
      </c>
      <c r="AN839" s="6" t="s">
        <v>5</v>
      </c>
      <c r="AO839" s="7">
        <v>2.3199999999999998</v>
      </c>
      <c r="AP839" s="7">
        <v>2</v>
      </c>
      <c r="AQ839" s="7">
        <v>1.1100000000000001</v>
      </c>
      <c r="AR839" s="22">
        <v>0.94</v>
      </c>
      <c r="AS839" s="6">
        <v>4.26</v>
      </c>
      <c r="AT839" s="6">
        <v>2.71</v>
      </c>
      <c r="AU839" s="6">
        <v>1.48</v>
      </c>
      <c r="AV839" s="7">
        <v>1.27</v>
      </c>
      <c r="AW839" s="6" t="s">
        <v>5</v>
      </c>
      <c r="AX839" s="6" t="s">
        <v>5</v>
      </c>
      <c r="AY839" s="6" t="s">
        <v>5</v>
      </c>
      <c r="AZ839" s="6" t="s">
        <v>5</v>
      </c>
      <c r="BA839" s="6" t="s">
        <v>5</v>
      </c>
      <c r="BB839" s="6" t="s">
        <v>5</v>
      </c>
      <c r="BC839" s="6" t="s">
        <v>5</v>
      </c>
      <c r="BD839" s="6" t="s">
        <v>5</v>
      </c>
      <c r="BE839" s="6" t="s">
        <v>5</v>
      </c>
      <c r="BF839" s="6" t="s">
        <v>5</v>
      </c>
      <c r="BG839" s="6" t="s">
        <v>5</v>
      </c>
      <c r="BH839" s="6" t="s">
        <v>5</v>
      </c>
      <c r="BI839" s="7">
        <v>1.76</v>
      </c>
      <c r="BJ839" s="22">
        <v>0.80600000000000005</v>
      </c>
      <c r="BK839" s="6" t="s">
        <v>5</v>
      </c>
      <c r="BL839" s="2" t="s">
        <v>5</v>
      </c>
      <c r="BM839" s="2" t="s">
        <v>5</v>
      </c>
      <c r="BN839" s="2" t="s">
        <v>5</v>
      </c>
      <c r="BO839" s="2" t="s">
        <v>5</v>
      </c>
      <c r="BP839" s="2" t="s">
        <v>5</v>
      </c>
      <c r="BQ839" s="2" t="s">
        <v>5</v>
      </c>
      <c r="BR839" s="2" t="s">
        <v>5</v>
      </c>
      <c r="BS839" s="2" t="s">
        <v>5</v>
      </c>
      <c r="BT839" s="2" t="s">
        <v>5</v>
      </c>
      <c r="BU839" s="2" t="s">
        <v>5</v>
      </c>
      <c r="BV839" s="2" t="s">
        <v>5</v>
      </c>
      <c r="BW839" s="2" t="s">
        <v>5</v>
      </c>
      <c r="BX839" s="2" t="s">
        <v>5</v>
      </c>
      <c r="BY839" s="25" t="s">
        <v>5</v>
      </c>
      <c r="BZ839" s="25" t="s">
        <v>5</v>
      </c>
      <c r="CA839" s="6" t="s">
        <v>5</v>
      </c>
      <c r="CB839" s="6" t="s">
        <v>5</v>
      </c>
      <c r="CC839" s="6" t="s">
        <v>5</v>
      </c>
      <c r="CD839" s="6" t="s">
        <v>5</v>
      </c>
      <c r="CE839" s="6" t="s">
        <v>5</v>
      </c>
      <c r="CF839" s="16" t="s">
        <v>5</v>
      </c>
      <c r="CG839" s="16" t="s">
        <v>5</v>
      </c>
      <c r="CH839" s="18" t="s">
        <v>5</v>
      </c>
    </row>
    <row r="840" spans="2:86">
      <c r="B840" s="78" t="s">
        <v>473</v>
      </c>
      <c r="C840" s="79" t="s">
        <v>940</v>
      </c>
      <c r="D840" s="80" t="s">
        <v>940</v>
      </c>
      <c r="E840" s="1" t="s">
        <v>4</v>
      </c>
      <c r="F840" s="7">
        <v>6.78</v>
      </c>
      <c r="G840" s="7">
        <v>2</v>
      </c>
      <c r="H840" s="3" t="str">
        <f t="shared" si="32"/>
        <v>2L3X2-1/2X3/16LLBB</v>
      </c>
      <c r="I840" s="7">
        <v>3</v>
      </c>
      <c r="J840" s="5" t="s">
        <v>5</v>
      </c>
      <c r="K840" s="6" t="s">
        <v>5</v>
      </c>
      <c r="L840" s="6" t="s">
        <v>5</v>
      </c>
      <c r="M840" s="6" t="s">
        <v>5</v>
      </c>
      <c r="N840" s="6" t="s">
        <v>5</v>
      </c>
      <c r="O840" s="5" t="s">
        <v>5</v>
      </c>
      <c r="P840" s="5" t="s">
        <v>5</v>
      </c>
      <c r="Q840" s="7">
        <v>2.5</v>
      </c>
      <c r="R840" s="6" t="s">
        <v>5</v>
      </c>
      <c r="S840" s="6" t="s">
        <v>5</v>
      </c>
      <c r="T840" s="5" t="s">
        <v>5</v>
      </c>
      <c r="U840" s="8" t="s">
        <v>5</v>
      </c>
      <c r="V840" s="6" t="s">
        <v>5</v>
      </c>
      <c r="W840" s="8" t="s">
        <v>5</v>
      </c>
      <c r="X840" s="22">
        <v>0.188</v>
      </c>
      <c r="Y840" s="6" t="s">
        <v>5</v>
      </c>
      <c r="Z840" s="6" t="s">
        <v>5</v>
      </c>
      <c r="AA840" s="6" t="s">
        <v>5</v>
      </c>
      <c r="AB840" s="8" t="s">
        <v>5</v>
      </c>
      <c r="AC840" s="8" t="s">
        <v>5</v>
      </c>
      <c r="AD840" s="6" t="s">
        <v>5</v>
      </c>
      <c r="AE840" s="22">
        <v>0.874</v>
      </c>
      <c r="AF840" s="6" t="s">
        <v>5</v>
      </c>
      <c r="AG840" s="6" t="s">
        <v>5</v>
      </c>
      <c r="AH840" s="22">
        <v>0.33300000000000002</v>
      </c>
      <c r="AI840" s="6" t="s">
        <v>5</v>
      </c>
      <c r="AJ840" s="4">
        <v>16</v>
      </c>
      <c r="AK840" s="6" t="s">
        <v>5</v>
      </c>
      <c r="AL840" s="6" t="s">
        <v>5</v>
      </c>
      <c r="AM840" s="6" t="s">
        <v>5</v>
      </c>
      <c r="AN840" s="6" t="s">
        <v>5</v>
      </c>
      <c r="AO840" s="7">
        <v>1.8</v>
      </c>
      <c r="AP840" s="7">
        <v>1.52</v>
      </c>
      <c r="AQ840" s="22">
        <v>0.84599999999999997</v>
      </c>
      <c r="AR840" s="22">
        <v>0.94700000000000006</v>
      </c>
      <c r="AS840" s="6">
        <v>1.92</v>
      </c>
      <c r="AT840" s="6">
        <v>1.25</v>
      </c>
      <c r="AU840" s="6">
        <v>0.76800000000000002</v>
      </c>
      <c r="AV840" s="22">
        <v>0.98</v>
      </c>
      <c r="AW840" s="6" t="s">
        <v>5</v>
      </c>
      <c r="AX840" s="6" t="s">
        <v>5</v>
      </c>
      <c r="AY840" s="6" t="s">
        <v>5</v>
      </c>
      <c r="AZ840" s="6" t="s">
        <v>5</v>
      </c>
      <c r="BA840" s="6" t="s">
        <v>5</v>
      </c>
      <c r="BB840" s="6" t="s">
        <v>5</v>
      </c>
      <c r="BC840" s="6" t="s">
        <v>5</v>
      </c>
      <c r="BD840" s="6" t="s">
        <v>5</v>
      </c>
      <c r="BE840" s="6" t="s">
        <v>5</v>
      </c>
      <c r="BF840" s="6" t="s">
        <v>5</v>
      </c>
      <c r="BG840" s="6" t="s">
        <v>5</v>
      </c>
      <c r="BH840" s="6" t="s">
        <v>5</v>
      </c>
      <c r="BI840" s="7">
        <v>1.57</v>
      </c>
      <c r="BJ840" s="22">
        <v>0.753</v>
      </c>
      <c r="BK840" s="6" t="s">
        <v>5</v>
      </c>
      <c r="BL840" s="2" t="s">
        <v>5</v>
      </c>
      <c r="BM840" s="2" t="s">
        <v>5</v>
      </c>
      <c r="BN840" s="2" t="s">
        <v>5</v>
      </c>
      <c r="BO840" s="2" t="s">
        <v>5</v>
      </c>
      <c r="BP840" s="2" t="s">
        <v>5</v>
      </c>
      <c r="BQ840" s="2" t="s">
        <v>5</v>
      </c>
      <c r="BR840" s="2" t="s">
        <v>5</v>
      </c>
      <c r="BS840" s="2" t="s">
        <v>5</v>
      </c>
      <c r="BT840" s="2" t="s">
        <v>5</v>
      </c>
      <c r="BU840" s="2" t="s">
        <v>5</v>
      </c>
      <c r="BV840" s="2" t="s">
        <v>5</v>
      </c>
      <c r="BW840" s="2" t="s">
        <v>5</v>
      </c>
      <c r="BX840" s="2" t="s">
        <v>5</v>
      </c>
      <c r="BY840" s="25" t="s">
        <v>5</v>
      </c>
      <c r="BZ840" s="25" t="s">
        <v>5</v>
      </c>
      <c r="CA840" s="6" t="s">
        <v>5</v>
      </c>
      <c r="CB840" s="6" t="s">
        <v>5</v>
      </c>
      <c r="CC840" s="6" t="s">
        <v>5</v>
      </c>
      <c r="CD840" s="6" t="s">
        <v>5</v>
      </c>
      <c r="CE840" s="6" t="s">
        <v>5</v>
      </c>
      <c r="CF840" s="16" t="s">
        <v>5</v>
      </c>
      <c r="CG840" s="16" t="s">
        <v>5</v>
      </c>
      <c r="CH840" s="18" t="s">
        <v>5</v>
      </c>
    </row>
    <row r="841" spans="2:86">
      <c r="B841" s="78" t="s">
        <v>473</v>
      </c>
      <c r="C841" s="79" t="s">
        <v>941</v>
      </c>
      <c r="D841" s="80" t="s">
        <v>941</v>
      </c>
      <c r="E841" s="1" t="s">
        <v>4</v>
      </c>
      <c r="F841" s="7">
        <v>6.78</v>
      </c>
      <c r="G841" s="7">
        <v>2</v>
      </c>
      <c r="H841" s="3" t="str">
        <f t="shared" si="32"/>
        <v>2L3X2-1/2X3/16X3/8LLBB</v>
      </c>
      <c r="I841" s="7">
        <v>3</v>
      </c>
      <c r="J841" s="5" t="s">
        <v>5</v>
      </c>
      <c r="K841" s="6" t="s">
        <v>5</v>
      </c>
      <c r="L841" s="6" t="s">
        <v>5</v>
      </c>
      <c r="M841" s="6" t="s">
        <v>5</v>
      </c>
      <c r="N841" s="6" t="s">
        <v>5</v>
      </c>
      <c r="O841" s="5" t="s">
        <v>5</v>
      </c>
      <c r="P841" s="5" t="s">
        <v>5</v>
      </c>
      <c r="Q841" s="7">
        <v>2.5</v>
      </c>
      <c r="R841" s="6" t="s">
        <v>5</v>
      </c>
      <c r="S841" s="6" t="s">
        <v>5</v>
      </c>
      <c r="T841" s="5" t="s">
        <v>5</v>
      </c>
      <c r="U841" s="8" t="s">
        <v>5</v>
      </c>
      <c r="V841" s="6" t="s">
        <v>5</v>
      </c>
      <c r="W841" s="8" t="s">
        <v>5</v>
      </c>
      <c r="X841" s="22">
        <v>0.188</v>
      </c>
      <c r="Y841" s="6" t="s">
        <v>5</v>
      </c>
      <c r="Z841" s="6" t="s">
        <v>5</v>
      </c>
      <c r="AA841" s="6" t="s">
        <v>5</v>
      </c>
      <c r="AB841" s="8" t="s">
        <v>5</v>
      </c>
      <c r="AC841" s="8" t="s">
        <v>5</v>
      </c>
      <c r="AD841" s="6" t="s">
        <v>5</v>
      </c>
      <c r="AE841" s="22">
        <v>0.874</v>
      </c>
      <c r="AF841" s="6" t="s">
        <v>5</v>
      </c>
      <c r="AG841" s="6" t="s">
        <v>5</v>
      </c>
      <c r="AH841" s="22">
        <v>0.33300000000000002</v>
      </c>
      <c r="AI841" s="6" t="s">
        <v>5</v>
      </c>
      <c r="AJ841" s="4">
        <v>16</v>
      </c>
      <c r="AK841" s="6" t="s">
        <v>5</v>
      </c>
      <c r="AL841" s="6" t="s">
        <v>5</v>
      </c>
      <c r="AM841" s="6" t="s">
        <v>5</v>
      </c>
      <c r="AN841" s="6" t="s">
        <v>5</v>
      </c>
      <c r="AO841" s="7">
        <v>1.8</v>
      </c>
      <c r="AP841" s="7">
        <v>1.52</v>
      </c>
      <c r="AQ841" s="22">
        <v>0.84599999999999997</v>
      </c>
      <c r="AR841" s="22">
        <v>0.94700000000000006</v>
      </c>
      <c r="AS841" s="6">
        <v>2.46</v>
      </c>
      <c r="AT841" s="6">
        <v>1.63</v>
      </c>
      <c r="AU841" s="6">
        <v>0.91500000000000004</v>
      </c>
      <c r="AV841" s="7">
        <v>1.1100000000000001</v>
      </c>
      <c r="AW841" s="6" t="s">
        <v>5</v>
      </c>
      <c r="AX841" s="6" t="s">
        <v>5</v>
      </c>
      <c r="AY841" s="6" t="s">
        <v>5</v>
      </c>
      <c r="AZ841" s="6" t="s">
        <v>5</v>
      </c>
      <c r="BA841" s="6" t="s">
        <v>5</v>
      </c>
      <c r="BB841" s="6" t="s">
        <v>5</v>
      </c>
      <c r="BC841" s="6" t="s">
        <v>5</v>
      </c>
      <c r="BD841" s="6" t="s">
        <v>5</v>
      </c>
      <c r="BE841" s="6" t="s">
        <v>5</v>
      </c>
      <c r="BF841" s="6" t="s">
        <v>5</v>
      </c>
      <c r="BG841" s="6" t="s">
        <v>5</v>
      </c>
      <c r="BH841" s="6" t="s">
        <v>5</v>
      </c>
      <c r="BI841" s="7">
        <v>1.65</v>
      </c>
      <c r="BJ841" s="22">
        <v>0.77800000000000002</v>
      </c>
      <c r="BK841" s="6" t="s">
        <v>5</v>
      </c>
      <c r="BL841" s="2" t="s">
        <v>5</v>
      </c>
      <c r="BM841" s="2" t="s">
        <v>5</v>
      </c>
      <c r="BN841" s="2" t="s">
        <v>5</v>
      </c>
      <c r="BO841" s="2" t="s">
        <v>5</v>
      </c>
      <c r="BP841" s="2" t="s">
        <v>5</v>
      </c>
      <c r="BQ841" s="2" t="s">
        <v>5</v>
      </c>
      <c r="BR841" s="2" t="s">
        <v>5</v>
      </c>
      <c r="BS841" s="2" t="s">
        <v>5</v>
      </c>
      <c r="BT841" s="2" t="s">
        <v>5</v>
      </c>
      <c r="BU841" s="2" t="s">
        <v>5</v>
      </c>
      <c r="BV841" s="2" t="s">
        <v>5</v>
      </c>
      <c r="BW841" s="2" t="s">
        <v>5</v>
      </c>
      <c r="BX841" s="2" t="s">
        <v>5</v>
      </c>
      <c r="BY841" s="25" t="s">
        <v>5</v>
      </c>
      <c r="BZ841" s="25" t="s">
        <v>5</v>
      </c>
      <c r="CA841" s="6" t="s">
        <v>5</v>
      </c>
      <c r="CB841" s="6" t="s">
        <v>5</v>
      </c>
      <c r="CC841" s="6" t="s">
        <v>5</v>
      </c>
      <c r="CD841" s="6" t="s">
        <v>5</v>
      </c>
      <c r="CE841" s="6" t="s">
        <v>5</v>
      </c>
      <c r="CF841" s="16" t="s">
        <v>5</v>
      </c>
      <c r="CG841" s="16" t="s">
        <v>5</v>
      </c>
      <c r="CH841" s="18" t="s">
        <v>5</v>
      </c>
    </row>
    <row r="842" spans="2:86">
      <c r="B842" s="78" t="s">
        <v>473</v>
      </c>
      <c r="C842" s="79" t="s">
        <v>942</v>
      </c>
      <c r="D842" s="80" t="s">
        <v>942</v>
      </c>
      <c r="E842" s="1" t="s">
        <v>4</v>
      </c>
      <c r="F842" s="7">
        <v>6.78</v>
      </c>
      <c r="G842" s="7">
        <v>2</v>
      </c>
      <c r="H842" s="3" t="str">
        <f t="shared" si="32"/>
        <v>2L3X2-1/2X3/16X3/4LLBB</v>
      </c>
      <c r="I842" s="7">
        <v>3</v>
      </c>
      <c r="J842" s="5" t="s">
        <v>5</v>
      </c>
      <c r="K842" s="6" t="s">
        <v>5</v>
      </c>
      <c r="L842" s="6" t="s">
        <v>5</v>
      </c>
      <c r="M842" s="6" t="s">
        <v>5</v>
      </c>
      <c r="N842" s="6" t="s">
        <v>5</v>
      </c>
      <c r="O842" s="5" t="s">
        <v>5</v>
      </c>
      <c r="P842" s="5" t="s">
        <v>5</v>
      </c>
      <c r="Q842" s="7">
        <v>2.5</v>
      </c>
      <c r="R842" s="6" t="s">
        <v>5</v>
      </c>
      <c r="S842" s="6" t="s">
        <v>5</v>
      </c>
      <c r="T842" s="5" t="s">
        <v>5</v>
      </c>
      <c r="U842" s="8" t="s">
        <v>5</v>
      </c>
      <c r="V842" s="6" t="s">
        <v>5</v>
      </c>
      <c r="W842" s="8" t="s">
        <v>5</v>
      </c>
      <c r="X842" s="22">
        <v>0.188</v>
      </c>
      <c r="Y842" s="6" t="s">
        <v>5</v>
      </c>
      <c r="Z842" s="6" t="s">
        <v>5</v>
      </c>
      <c r="AA842" s="6" t="s">
        <v>5</v>
      </c>
      <c r="AB842" s="8" t="s">
        <v>5</v>
      </c>
      <c r="AC842" s="8" t="s">
        <v>5</v>
      </c>
      <c r="AD842" s="6" t="s">
        <v>5</v>
      </c>
      <c r="AE842" s="22">
        <v>0.874</v>
      </c>
      <c r="AF842" s="6" t="s">
        <v>5</v>
      </c>
      <c r="AG842" s="6" t="s">
        <v>5</v>
      </c>
      <c r="AH842" s="22">
        <v>0.33300000000000002</v>
      </c>
      <c r="AI842" s="6" t="s">
        <v>5</v>
      </c>
      <c r="AJ842" s="4">
        <v>16</v>
      </c>
      <c r="AK842" s="6" t="s">
        <v>5</v>
      </c>
      <c r="AL842" s="6" t="s">
        <v>5</v>
      </c>
      <c r="AM842" s="6" t="s">
        <v>5</v>
      </c>
      <c r="AN842" s="6" t="s">
        <v>5</v>
      </c>
      <c r="AO842" s="7">
        <v>1.8</v>
      </c>
      <c r="AP842" s="7">
        <v>1.52</v>
      </c>
      <c r="AQ842" s="22">
        <v>0.84599999999999997</v>
      </c>
      <c r="AR842" s="22">
        <v>0.94700000000000006</v>
      </c>
      <c r="AS842" s="6">
        <v>3.13</v>
      </c>
      <c r="AT842" s="7">
        <v>2</v>
      </c>
      <c r="AU842" s="6">
        <v>1.0900000000000001</v>
      </c>
      <c r="AV842" s="7">
        <v>1.25</v>
      </c>
      <c r="AW842" s="6" t="s">
        <v>5</v>
      </c>
      <c r="AX842" s="6" t="s">
        <v>5</v>
      </c>
      <c r="AY842" s="6" t="s">
        <v>5</v>
      </c>
      <c r="AZ842" s="6" t="s">
        <v>5</v>
      </c>
      <c r="BA842" s="6" t="s">
        <v>5</v>
      </c>
      <c r="BB842" s="6" t="s">
        <v>5</v>
      </c>
      <c r="BC842" s="6" t="s">
        <v>5</v>
      </c>
      <c r="BD842" s="6" t="s">
        <v>5</v>
      </c>
      <c r="BE842" s="6" t="s">
        <v>5</v>
      </c>
      <c r="BF842" s="6" t="s">
        <v>5</v>
      </c>
      <c r="BG842" s="6" t="s">
        <v>5</v>
      </c>
      <c r="BH842" s="6" t="s">
        <v>5</v>
      </c>
      <c r="BI842" s="7">
        <v>1.75</v>
      </c>
      <c r="BJ842" s="22">
        <v>0.80200000000000005</v>
      </c>
      <c r="BK842" s="6" t="s">
        <v>5</v>
      </c>
      <c r="BL842" s="2" t="s">
        <v>5</v>
      </c>
      <c r="BM842" s="2" t="s">
        <v>5</v>
      </c>
      <c r="BN842" s="2" t="s">
        <v>5</v>
      </c>
      <c r="BO842" s="2" t="s">
        <v>5</v>
      </c>
      <c r="BP842" s="2" t="s">
        <v>5</v>
      </c>
      <c r="BQ842" s="2" t="s">
        <v>5</v>
      </c>
      <c r="BR842" s="2" t="s">
        <v>5</v>
      </c>
      <c r="BS842" s="2" t="s">
        <v>5</v>
      </c>
      <c r="BT842" s="2" t="s">
        <v>5</v>
      </c>
      <c r="BU842" s="2" t="s">
        <v>5</v>
      </c>
      <c r="BV842" s="2" t="s">
        <v>5</v>
      </c>
      <c r="BW842" s="2" t="s">
        <v>5</v>
      </c>
      <c r="BX842" s="2" t="s">
        <v>5</v>
      </c>
      <c r="BY842" s="25" t="s">
        <v>5</v>
      </c>
      <c r="BZ842" s="25" t="s">
        <v>5</v>
      </c>
      <c r="CA842" s="6" t="s">
        <v>5</v>
      </c>
      <c r="CB842" s="6" t="s">
        <v>5</v>
      </c>
      <c r="CC842" s="6" t="s">
        <v>5</v>
      </c>
      <c r="CD842" s="6" t="s">
        <v>5</v>
      </c>
      <c r="CE842" s="6" t="s">
        <v>5</v>
      </c>
      <c r="CF842" s="16" t="s">
        <v>5</v>
      </c>
      <c r="CG842" s="16" t="s">
        <v>5</v>
      </c>
      <c r="CH842" s="18" t="s">
        <v>5</v>
      </c>
    </row>
    <row r="843" spans="2:86">
      <c r="B843" s="78" t="s">
        <v>473</v>
      </c>
      <c r="C843" s="79" t="s">
        <v>943</v>
      </c>
      <c r="D843" s="80" t="s">
        <v>943</v>
      </c>
      <c r="E843" s="1" t="s">
        <v>4</v>
      </c>
      <c r="F843" s="4">
        <v>15.4</v>
      </c>
      <c r="G843" s="7">
        <v>4.5199999999999996</v>
      </c>
      <c r="H843" s="3" t="str">
        <f t="shared" si="32"/>
        <v>2L3X2X1/2LLBB</v>
      </c>
      <c r="I843" s="7">
        <v>3</v>
      </c>
      <c r="J843" s="5" t="s">
        <v>5</v>
      </c>
      <c r="K843" s="6" t="s">
        <v>5</v>
      </c>
      <c r="L843" s="6" t="s">
        <v>5</v>
      </c>
      <c r="M843" s="6" t="s">
        <v>5</v>
      </c>
      <c r="N843" s="6" t="s">
        <v>5</v>
      </c>
      <c r="O843" s="5" t="s">
        <v>5</v>
      </c>
      <c r="P843" s="5" t="s">
        <v>5</v>
      </c>
      <c r="Q843" s="7">
        <v>2</v>
      </c>
      <c r="R843" s="6" t="s">
        <v>5</v>
      </c>
      <c r="S843" s="6" t="s">
        <v>5</v>
      </c>
      <c r="T843" s="5" t="s">
        <v>5</v>
      </c>
      <c r="U843" s="8" t="s">
        <v>5</v>
      </c>
      <c r="V843" s="6" t="s">
        <v>5</v>
      </c>
      <c r="W843" s="8" t="s">
        <v>5</v>
      </c>
      <c r="X843" s="22">
        <v>0.5</v>
      </c>
      <c r="Y843" s="6" t="s">
        <v>5</v>
      </c>
      <c r="Z843" s="6" t="s">
        <v>5</v>
      </c>
      <c r="AA843" s="6" t="s">
        <v>5</v>
      </c>
      <c r="AB843" s="8" t="s">
        <v>5</v>
      </c>
      <c r="AC843" s="8" t="s">
        <v>5</v>
      </c>
      <c r="AD843" s="6" t="s">
        <v>5</v>
      </c>
      <c r="AE843" s="7">
        <v>1.08</v>
      </c>
      <c r="AF843" s="6" t="s">
        <v>5</v>
      </c>
      <c r="AG843" s="6" t="s">
        <v>5</v>
      </c>
      <c r="AH843" s="22">
        <v>0.74</v>
      </c>
      <c r="AI843" s="6" t="s">
        <v>5</v>
      </c>
      <c r="AJ843" s="7">
        <v>6</v>
      </c>
      <c r="AK843" s="6" t="s">
        <v>5</v>
      </c>
      <c r="AL843" s="6" t="s">
        <v>5</v>
      </c>
      <c r="AM843" s="6" t="s">
        <v>5</v>
      </c>
      <c r="AN843" s="6" t="s">
        <v>5</v>
      </c>
      <c r="AO843" s="7">
        <v>3.84</v>
      </c>
      <c r="AP843" s="7">
        <v>3.56</v>
      </c>
      <c r="AQ843" s="7">
        <v>2</v>
      </c>
      <c r="AR843" s="22">
        <v>0.92200000000000004</v>
      </c>
      <c r="AS843" s="6">
        <v>2.86</v>
      </c>
      <c r="AT843" s="6">
        <v>2.62</v>
      </c>
      <c r="AU843" s="6">
        <v>1.43</v>
      </c>
      <c r="AV843" s="22">
        <v>0.79500000000000004</v>
      </c>
      <c r="AW843" s="6" t="s">
        <v>5</v>
      </c>
      <c r="AX843" s="6" t="s">
        <v>5</v>
      </c>
      <c r="AY843" s="6" t="s">
        <v>5</v>
      </c>
      <c r="AZ843" s="6" t="s">
        <v>5</v>
      </c>
      <c r="BA843" s="6" t="s">
        <v>5</v>
      </c>
      <c r="BB843" s="6" t="s">
        <v>5</v>
      </c>
      <c r="BC843" s="6" t="s">
        <v>5</v>
      </c>
      <c r="BD843" s="6" t="s">
        <v>5</v>
      </c>
      <c r="BE843" s="6" t="s">
        <v>5</v>
      </c>
      <c r="BF843" s="6" t="s">
        <v>5</v>
      </c>
      <c r="BG843" s="6" t="s">
        <v>5</v>
      </c>
      <c r="BH843" s="6" t="s">
        <v>5</v>
      </c>
      <c r="BI843" s="7">
        <v>1.47</v>
      </c>
      <c r="BJ843" s="22">
        <v>0.68400000000000005</v>
      </c>
      <c r="BK843" s="6" t="s">
        <v>5</v>
      </c>
      <c r="BL843" s="2" t="s">
        <v>5</v>
      </c>
      <c r="BM843" s="2" t="s">
        <v>5</v>
      </c>
      <c r="BN843" s="2" t="s">
        <v>5</v>
      </c>
      <c r="BO843" s="2" t="s">
        <v>5</v>
      </c>
      <c r="BP843" s="2" t="s">
        <v>5</v>
      </c>
      <c r="BQ843" s="2" t="s">
        <v>5</v>
      </c>
      <c r="BR843" s="2" t="s">
        <v>5</v>
      </c>
      <c r="BS843" s="2" t="s">
        <v>5</v>
      </c>
      <c r="BT843" s="2" t="s">
        <v>5</v>
      </c>
      <c r="BU843" s="2" t="s">
        <v>5</v>
      </c>
      <c r="BV843" s="2" t="s">
        <v>5</v>
      </c>
      <c r="BW843" s="2" t="s">
        <v>5</v>
      </c>
      <c r="BX843" s="2" t="s">
        <v>5</v>
      </c>
      <c r="BY843" s="25" t="s">
        <v>5</v>
      </c>
      <c r="BZ843" s="25" t="s">
        <v>5</v>
      </c>
      <c r="CA843" s="6" t="s">
        <v>5</v>
      </c>
      <c r="CB843" s="6" t="s">
        <v>5</v>
      </c>
      <c r="CC843" s="6" t="s">
        <v>5</v>
      </c>
      <c r="CD843" s="6" t="s">
        <v>5</v>
      </c>
      <c r="CE843" s="6" t="s">
        <v>5</v>
      </c>
      <c r="CF843" s="16" t="s">
        <v>5</v>
      </c>
      <c r="CG843" s="16" t="s">
        <v>5</v>
      </c>
      <c r="CH843" s="18" t="s">
        <v>5</v>
      </c>
    </row>
    <row r="844" spans="2:86">
      <c r="B844" s="78" t="s">
        <v>473</v>
      </c>
      <c r="C844" s="79" t="s">
        <v>944</v>
      </c>
      <c r="D844" s="80" t="s">
        <v>944</v>
      </c>
      <c r="E844" s="1" t="s">
        <v>4</v>
      </c>
      <c r="F844" s="4">
        <v>15.4</v>
      </c>
      <c r="G844" s="7">
        <v>4.5199999999999996</v>
      </c>
      <c r="H844" s="3" t="str">
        <f t="shared" si="32"/>
        <v>2L3X2X1/2X3/8LLBB</v>
      </c>
      <c r="I844" s="7">
        <v>3</v>
      </c>
      <c r="J844" s="5" t="s">
        <v>5</v>
      </c>
      <c r="K844" s="6" t="s">
        <v>5</v>
      </c>
      <c r="L844" s="6" t="s">
        <v>5</v>
      </c>
      <c r="M844" s="6" t="s">
        <v>5</v>
      </c>
      <c r="N844" s="6" t="s">
        <v>5</v>
      </c>
      <c r="O844" s="5" t="s">
        <v>5</v>
      </c>
      <c r="P844" s="5" t="s">
        <v>5</v>
      </c>
      <c r="Q844" s="7">
        <v>2</v>
      </c>
      <c r="R844" s="6" t="s">
        <v>5</v>
      </c>
      <c r="S844" s="6" t="s">
        <v>5</v>
      </c>
      <c r="T844" s="5" t="s">
        <v>5</v>
      </c>
      <c r="U844" s="8" t="s">
        <v>5</v>
      </c>
      <c r="V844" s="6" t="s">
        <v>5</v>
      </c>
      <c r="W844" s="8" t="s">
        <v>5</v>
      </c>
      <c r="X844" s="22">
        <v>0.5</v>
      </c>
      <c r="Y844" s="6" t="s">
        <v>5</v>
      </c>
      <c r="Z844" s="6" t="s">
        <v>5</v>
      </c>
      <c r="AA844" s="6" t="s">
        <v>5</v>
      </c>
      <c r="AB844" s="8" t="s">
        <v>5</v>
      </c>
      <c r="AC844" s="8" t="s">
        <v>5</v>
      </c>
      <c r="AD844" s="6" t="s">
        <v>5</v>
      </c>
      <c r="AE844" s="7">
        <v>1.08</v>
      </c>
      <c r="AF844" s="6" t="s">
        <v>5</v>
      </c>
      <c r="AG844" s="6" t="s">
        <v>5</v>
      </c>
      <c r="AH844" s="22">
        <v>0.74</v>
      </c>
      <c r="AI844" s="6" t="s">
        <v>5</v>
      </c>
      <c r="AJ844" s="7">
        <v>6</v>
      </c>
      <c r="AK844" s="6" t="s">
        <v>5</v>
      </c>
      <c r="AL844" s="6" t="s">
        <v>5</v>
      </c>
      <c r="AM844" s="6" t="s">
        <v>5</v>
      </c>
      <c r="AN844" s="6" t="s">
        <v>5</v>
      </c>
      <c r="AO844" s="7">
        <v>3.84</v>
      </c>
      <c r="AP844" s="7">
        <v>3.56</v>
      </c>
      <c r="AQ844" s="7">
        <v>2</v>
      </c>
      <c r="AR844" s="22">
        <v>0.92200000000000004</v>
      </c>
      <c r="AS844" s="6">
        <v>3.99</v>
      </c>
      <c r="AT844" s="6">
        <v>3.47</v>
      </c>
      <c r="AU844" s="6">
        <v>1.82</v>
      </c>
      <c r="AV844" s="22">
        <v>0.94</v>
      </c>
      <c r="AW844" s="6" t="s">
        <v>5</v>
      </c>
      <c r="AX844" s="6" t="s">
        <v>5</v>
      </c>
      <c r="AY844" s="6" t="s">
        <v>5</v>
      </c>
      <c r="AZ844" s="6" t="s">
        <v>5</v>
      </c>
      <c r="BA844" s="6" t="s">
        <v>5</v>
      </c>
      <c r="BB844" s="6" t="s">
        <v>5</v>
      </c>
      <c r="BC844" s="6" t="s">
        <v>5</v>
      </c>
      <c r="BD844" s="6" t="s">
        <v>5</v>
      </c>
      <c r="BE844" s="6" t="s">
        <v>5</v>
      </c>
      <c r="BF844" s="6" t="s">
        <v>5</v>
      </c>
      <c r="BG844" s="6" t="s">
        <v>5</v>
      </c>
      <c r="BH844" s="6" t="s">
        <v>5</v>
      </c>
      <c r="BI844" s="7">
        <v>1.55</v>
      </c>
      <c r="BJ844" s="22">
        <v>0.71699999999999997</v>
      </c>
      <c r="BK844" s="6" t="s">
        <v>5</v>
      </c>
      <c r="BL844" s="2" t="s">
        <v>5</v>
      </c>
      <c r="BM844" s="2" t="s">
        <v>5</v>
      </c>
      <c r="BN844" s="2" t="s">
        <v>5</v>
      </c>
      <c r="BO844" s="2" t="s">
        <v>5</v>
      </c>
      <c r="BP844" s="2" t="s">
        <v>5</v>
      </c>
      <c r="BQ844" s="2" t="s">
        <v>5</v>
      </c>
      <c r="BR844" s="2" t="s">
        <v>5</v>
      </c>
      <c r="BS844" s="2" t="s">
        <v>5</v>
      </c>
      <c r="BT844" s="2" t="s">
        <v>5</v>
      </c>
      <c r="BU844" s="2" t="s">
        <v>5</v>
      </c>
      <c r="BV844" s="2" t="s">
        <v>5</v>
      </c>
      <c r="BW844" s="2" t="s">
        <v>5</v>
      </c>
      <c r="BX844" s="2" t="s">
        <v>5</v>
      </c>
      <c r="BY844" s="25" t="s">
        <v>5</v>
      </c>
      <c r="BZ844" s="25" t="s">
        <v>5</v>
      </c>
      <c r="CA844" s="6" t="s">
        <v>5</v>
      </c>
      <c r="CB844" s="6" t="s">
        <v>5</v>
      </c>
      <c r="CC844" s="6" t="s">
        <v>5</v>
      </c>
      <c r="CD844" s="6" t="s">
        <v>5</v>
      </c>
      <c r="CE844" s="6" t="s">
        <v>5</v>
      </c>
      <c r="CF844" s="16" t="s">
        <v>5</v>
      </c>
      <c r="CG844" s="16" t="s">
        <v>5</v>
      </c>
      <c r="CH844" s="18" t="s">
        <v>5</v>
      </c>
    </row>
    <row r="845" spans="2:86">
      <c r="B845" s="78" t="s">
        <v>473</v>
      </c>
      <c r="C845" s="79" t="s">
        <v>945</v>
      </c>
      <c r="D845" s="80" t="s">
        <v>945</v>
      </c>
      <c r="E845" s="1" t="s">
        <v>4</v>
      </c>
      <c r="F845" s="4">
        <v>15.4</v>
      </c>
      <c r="G845" s="7">
        <v>4.5199999999999996</v>
      </c>
      <c r="H845" s="3" t="str">
        <f t="shared" si="32"/>
        <v>2L3X2X1/2X3/4LLBB</v>
      </c>
      <c r="I845" s="7">
        <v>3</v>
      </c>
      <c r="J845" s="5" t="s">
        <v>5</v>
      </c>
      <c r="K845" s="6" t="s">
        <v>5</v>
      </c>
      <c r="L845" s="6" t="s">
        <v>5</v>
      </c>
      <c r="M845" s="6" t="s">
        <v>5</v>
      </c>
      <c r="N845" s="6" t="s">
        <v>5</v>
      </c>
      <c r="O845" s="5" t="s">
        <v>5</v>
      </c>
      <c r="P845" s="5" t="s">
        <v>5</v>
      </c>
      <c r="Q845" s="7">
        <v>2</v>
      </c>
      <c r="R845" s="6" t="s">
        <v>5</v>
      </c>
      <c r="S845" s="6" t="s">
        <v>5</v>
      </c>
      <c r="T845" s="5" t="s">
        <v>5</v>
      </c>
      <c r="U845" s="8" t="s">
        <v>5</v>
      </c>
      <c r="V845" s="6" t="s">
        <v>5</v>
      </c>
      <c r="W845" s="8" t="s">
        <v>5</v>
      </c>
      <c r="X845" s="22">
        <v>0.5</v>
      </c>
      <c r="Y845" s="6" t="s">
        <v>5</v>
      </c>
      <c r="Z845" s="6" t="s">
        <v>5</v>
      </c>
      <c r="AA845" s="6" t="s">
        <v>5</v>
      </c>
      <c r="AB845" s="8" t="s">
        <v>5</v>
      </c>
      <c r="AC845" s="8" t="s">
        <v>5</v>
      </c>
      <c r="AD845" s="6" t="s">
        <v>5</v>
      </c>
      <c r="AE845" s="7">
        <v>1.08</v>
      </c>
      <c r="AF845" s="6" t="s">
        <v>5</v>
      </c>
      <c r="AG845" s="6" t="s">
        <v>5</v>
      </c>
      <c r="AH845" s="22">
        <v>0.74</v>
      </c>
      <c r="AI845" s="6" t="s">
        <v>5</v>
      </c>
      <c r="AJ845" s="7">
        <v>6</v>
      </c>
      <c r="AK845" s="6" t="s">
        <v>5</v>
      </c>
      <c r="AL845" s="6" t="s">
        <v>5</v>
      </c>
      <c r="AM845" s="6" t="s">
        <v>5</v>
      </c>
      <c r="AN845" s="6" t="s">
        <v>5</v>
      </c>
      <c r="AO845" s="7">
        <v>3.84</v>
      </c>
      <c r="AP845" s="7">
        <v>3.56</v>
      </c>
      <c r="AQ845" s="7">
        <v>2</v>
      </c>
      <c r="AR845" s="22">
        <v>0.92200000000000004</v>
      </c>
      <c r="AS845" s="6">
        <v>5.47</v>
      </c>
      <c r="AT845" s="6">
        <v>4.32</v>
      </c>
      <c r="AU845" s="7">
        <v>2.2999999999999998</v>
      </c>
      <c r="AV845" s="7">
        <v>1.1000000000000001</v>
      </c>
      <c r="AW845" s="6" t="s">
        <v>5</v>
      </c>
      <c r="AX845" s="6" t="s">
        <v>5</v>
      </c>
      <c r="AY845" s="6" t="s">
        <v>5</v>
      </c>
      <c r="AZ845" s="6" t="s">
        <v>5</v>
      </c>
      <c r="BA845" s="6" t="s">
        <v>5</v>
      </c>
      <c r="BB845" s="6" t="s">
        <v>5</v>
      </c>
      <c r="BC845" s="6" t="s">
        <v>5</v>
      </c>
      <c r="BD845" s="6" t="s">
        <v>5</v>
      </c>
      <c r="BE845" s="6" t="s">
        <v>5</v>
      </c>
      <c r="BF845" s="6" t="s">
        <v>5</v>
      </c>
      <c r="BG845" s="6" t="s">
        <v>5</v>
      </c>
      <c r="BH845" s="6" t="s">
        <v>5</v>
      </c>
      <c r="BI845" s="7">
        <v>1.66</v>
      </c>
      <c r="BJ845" s="22">
        <v>0.751</v>
      </c>
      <c r="BK845" s="6" t="s">
        <v>5</v>
      </c>
      <c r="BL845" s="2" t="s">
        <v>5</v>
      </c>
      <c r="BM845" s="2" t="s">
        <v>5</v>
      </c>
      <c r="BN845" s="2" t="s">
        <v>5</v>
      </c>
      <c r="BO845" s="2" t="s">
        <v>5</v>
      </c>
      <c r="BP845" s="2" t="s">
        <v>5</v>
      </c>
      <c r="BQ845" s="2" t="s">
        <v>5</v>
      </c>
      <c r="BR845" s="2" t="s">
        <v>5</v>
      </c>
      <c r="BS845" s="2" t="s">
        <v>5</v>
      </c>
      <c r="BT845" s="2" t="s">
        <v>5</v>
      </c>
      <c r="BU845" s="2" t="s">
        <v>5</v>
      </c>
      <c r="BV845" s="2" t="s">
        <v>5</v>
      </c>
      <c r="BW845" s="2" t="s">
        <v>5</v>
      </c>
      <c r="BX845" s="2" t="s">
        <v>5</v>
      </c>
      <c r="BY845" s="25" t="s">
        <v>5</v>
      </c>
      <c r="BZ845" s="25" t="s">
        <v>5</v>
      </c>
      <c r="CA845" s="6" t="s">
        <v>5</v>
      </c>
      <c r="CB845" s="6" t="s">
        <v>5</v>
      </c>
      <c r="CC845" s="6" t="s">
        <v>5</v>
      </c>
      <c r="CD845" s="6" t="s">
        <v>5</v>
      </c>
      <c r="CE845" s="6" t="s">
        <v>5</v>
      </c>
      <c r="CF845" s="16" t="s">
        <v>5</v>
      </c>
      <c r="CG845" s="16" t="s">
        <v>5</v>
      </c>
      <c r="CH845" s="18" t="s">
        <v>5</v>
      </c>
    </row>
    <row r="846" spans="2:86">
      <c r="B846" s="78" t="s">
        <v>473</v>
      </c>
      <c r="C846" s="79" t="s">
        <v>946</v>
      </c>
      <c r="D846" s="80" t="s">
        <v>946</v>
      </c>
      <c r="E846" s="1" t="s">
        <v>4</v>
      </c>
      <c r="F846" s="4">
        <v>11.8</v>
      </c>
      <c r="G846" s="7">
        <v>3.5</v>
      </c>
      <c r="H846" s="3" t="str">
        <f t="shared" si="32"/>
        <v>2L3X2X3/8LLBB</v>
      </c>
      <c r="I846" s="7">
        <v>3</v>
      </c>
      <c r="J846" s="5" t="s">
        <v>5</v>
      </c>
      <c r="K846" s="6" t="s">
        <v>5</v>
      </c>
      <c r="L846" s="6" t="s">
        <v>5</v>
      </c>
      <c r="M846" s="6" t="s">
        <v>5</v>
      </c>
      <c r="N846" s="6" t="s">
        <v>5</v>
      </c>
      <c r="O846" s="5" t="s">
        <v>5</v>
      </c>
      <c r="P846" s="5" t="s">
        <v>5</v>
      </c>
      <c r="Q846" s="7">
        <v>2</v>
      </c>
      <c r="R846" s="6" t="s">
        <v>5</v>
      </c>
      <c r="S846" s="6" t="s">
        <v>5</v>
      </c>
      <c r="T846" s="5" t="s">
        <v>5</v>
      </c>
      <c r="U846" s="8" t="s">
        <v>5</v>
      </c>
      <c r="V846" s="6" t="s">
        <v>5</v>
      </c>
      <c r="W846" s="8" t="s">
        <v>5</v>
      </c>
      <c r="X846" s="22">
        <v>0.375</v>
      </c>
      <c r="Y846" s="6" t="s">
        <v>5</v>
      </c>
      <c r="Z846" s="6" t="s">
        <v>5</v>
      </c>
      <c r="AA846" s="6" t="s">
        <v>5</v>
      </c>
      <c r="AB846" s="8" t="s">
        <v>5</v>
      </c>
      <c r="AC846" s="8" t="s">
        <v>5</v>
      </c>
      <c r="AD846" s="6" t="s">
        <v>5</v>
      </c>
      <c r="AE846" s="7">
        <v>1.03</v>
      </c>
      <c r="AF846" s="6" t="s">
        <v>5</v>
      </c>
      <c r="AG846" s="6" t="s">
        <v>5</v>
      </c>
      <c r="AH846" s="22">
        <v>0.66700000000000004</v>
      </c>
      <c r="AI846" s="6" t="s">
        <v>5</v>
      </c>
      <c r="AJ846" s="7">
        <v>8</v>
      </c>
      <c r="AK846" s="6" t="s">
        <v>5</v>
      </c>
      <c r="AL846" s="6" t="s">
        <v>5</v>
      </c>
      <c r="AM846" s="6" t="s">
        <v>5</v>
      </c>
      <c r="AN846" s="6" t="s">
        <v>5</v>
      </c>
      <c r="AO846" s="7">
        <v>3.08</v>
      </c>
      <c r="AP846" s="7">
        <v>2.78</v>
      </c>
      <c r="AQ846" s="7">
        <v>1.56</v>
      </c>
      <c r="AR846" s="22">
        <v>0.93700000000000006</v>
      </c>
      <c r="AS846" s="6">
        <v>2.08</v>
      </c>
      <c r="AT846" s="6">
        <v>1.87</v>
      </c>
      <c r="AU846" s="6">
        <v>1.04</v>
      </c>
      <c r="AV846" s="22">
        <v>0.77100000000000002</v>
      </c>
      <c r="AW846" s="6" t="s">
        <v>5</v>
      </c>
      <c r="AX846" s="6" t="s">
        <v>5</v>
      </c>
      <c r="AY846" s="6" t="s">
        <v>5</v>
      </c>
      <c r="AZ846" s="6" t="s">
        <v>5</v>
      </c>
      <c r="BA846" s="6" t="s">
        <v>5</v>
      </c>
      <c r="BB846" s="6" t="s">
        <v>5</v>
      </c>
      <c r="BC846" s="6" t="s">
        <v>5</v>
      </c>
      <c r="BD846" s="6" t="s">
        <v>5</v>
      </c>
      <c r="BE846" s="6" t="s">
        <v>5</v>
      </c>
      <c r="BF846" s="6" t="s">
        <v>5</v>
      </c>
      <c r="BG846" s="6" t="s">
        <v>5</v>
      </c>
      <c r="BH846" s="6" t="s">
        <v>5</v>
      </c>
      <c r="BI846" s="7">
        <v>1.48</v>
      </c>
      <c r="BJ846" s="22">
        <v>0.67500000000000004</v>
      </c>
      <c r="BK846" s="6" t="s">
        <v>5</v>
      </c>
      <c r="BL846" s="2" t="s">
        <v>5</v>
      </c>
      <c r="BM846" s="2" t="s">
        <v>5</v>
      </c>
      <c r="BN846" s="2" t="s">
        <v>5</v>
      </c>
      <c r="BO846" s="2" t="s">
        <v>5</v>
      </c>
      <c r="BP846" s="2" t="s">
        <v>5</v>
      </c>
      <c r="BQ846" s="2" t="s">
        <v>5</v>
      </c>
      <c r="BR846" s="2" t="s">
        <v>5</v>
      </c>
      <c r="BS846" s="2" t="s">
        <v>5</v>
      </c>
      <c r="BT846" s="2" t="s">
        <v>5</v>
      </c>
      <c r="BU846" s="2" t="s">
        <v>5</v>
      </c>
      <c r="BV846" s="2" t="s">
        <v>5</v>
      </c>
      <c r="BW846" s="2" t="s">
        <v>5</v>
      </c>
      <c r="BX846" s="2" t="s">
        <v>5</v>
      </c>
      <c r="BY846" s="25" t="s">
        <v>5</v>
      </c>
      <c r="BZ846" s="25" t="s">
        <v>5</v>
      </c>
      <c r="CA846" s="6" t="s">
        <v>5</v>
      </c>
      <c r="CB846" s="6" t="s">
        <v>5</v>
      </c>
      <c r="CC846" s="6" t="s">
        <v>5</v>
      </c>
      <c r="CD846" s="6" t="s">
        <v>5</v>
      </c>
      <c r="CE846" s="6" t="s">
        <v>5</v>
      </c>
      <c r="CF846" s="16" t="s">
        <v>5</v>
      </c>
      <c r="CG846" s="16" t="s">
        <v>5</v>
      </c>
      <c r="CH846" s="18" t="s">
        <v>5</v>
      </c>
    </row>
    <row r="847" spans="2:86">
      <c r="B847" s="78" t="s">
        <v>473</v>
      </c>
      <c r="C847" s="79" t="s">
        <v>947</v>
      </c>
      <c r="D847" s="80" t="s">
        <v>947</v>
      </c>
      <c r="E847" s="1" t="s">
        <v>4</v>
      </c>
      <c r="F847" s="4">
        <v>11.8</v>
      </c>
      <c r="G847" s="7">
        <v>3.5</v>
      </c>
      <c r="H847" s="3" t="str">
        <f t="shared" si="32"/>
        <v>2L3X2X3/8X3/8LLBB</v>
      </c>
      <c r="I847" s="7">
        <v>3</v>
      </c>
      <c r="J847" s="5" t="s">
        <v>5</v>
      </c>
      <c r="K847" s="6" t="s">
        <v>5</v>
      </c>
      <c r="L847" s="6" t="s">
        <v>5</v>
      </c>
      <c r="M847" s="6" t="s">
        <v>5</v>
      </c>
      <c r="N847" s="6" t="s">
        <v>5</v>
      </c>
      <c r="O847" s="5" t="s">
        <v>5</v>
      </c>
      <c r="P847" s="5" t="s">
        <v>5</v>
      </c>
      <c r="Q847" s="7">
        <v>2</v>
      </c>
      <c r="R847" s="6" t="s">
        <v>5</v>
      </c>
      <c r="S847" s="6" t="s">
        <v>5</v>
      </c>
      <c r="T847" s="5" t="s">
        <v>5</v>
      </c>
      <c r="U847" s="8" t="s">
        <v>5</v>
      </c>
      <c r="V847" s="6" t="s">
        <v>5</v>
      </c>
      <c r="W847" s="8" t="s">
        <v>5</v>
      </c>
      <c r="X847" s="22">
        <v>0.375</v>
      </c>
      <c r="Y847" s="6" t="s">
        <v>5</v>
      </c>
      <c r="Z847" s="6" t="s">
        <v>5</v>
      </c>
      <c r="AA847" s="6" t="s">
        <v>5</v>
      </c>
      <c r="AB847" s="8" t="s">
        <v>5</v>
      </c>
      <c r="AC847" s="8" t="s">
        <v>5</v>
      </c>
      <c r="AD847" s="6" t="s">
        <v>5</v>
      </c>
      <c r="AE847" s="7">
        <v>1.03</v>
      </c>
      <c r="AF847" s="6" t="s">
        <v>5</v>
      </c>
      <c r="AG847" s="6" t="s">
        <v>5</v>
      </c>
      <c r="AH847" s="22">
        <v>0.66700000000000004</v>
      </c>
      <c r="AI847" s="6" t="s">
        <v>5</v>
      </c>
      <c r="AJ847" s="7">
        <v>8</v>
      </c>
      <c r="AK847" s="6" t="s">
        <v>5</v>
      </c>
      <c r="AL847" s="6" t="s">
        <v>5</v>
      </c>
      <c r="AM847" s="6" t="s">
        <v>5</v>
      </c>
      <c r="AN847" s="6" t="s">
        <v>5</v>
      </c>
      <c r="AO847" s="7">
        <v>3.08</v>
      </c>
      <c r="AP847" s="7">
        <v>2.78</v>
      </c>
      <c r="AQ847" s="7">
        <v>1.56</v>
      </c>
      <c r="AR847" s="22">
        <v>0.93700000000000006</v>
      </c>
      <c r="AS847" s="7">
        <v>2.9</v>
      </c>
      <c r="AT847" s="6">
        <v>2.5299999999999998</v>
      </c>
      <c r="AU847" s="6">
        <v>1.33</v>
      </c>
      <c r="AV847" s="22">
        <v>0.91100000000000003</v>
      </c>
      <c r="AW847" s="6" t="s">
        <v>5</v>
      </c>
      <c r="AX847" s="6" t="s">
        <v>5</v>
      </c>
      <c r="AY847" s="6" t="s">
        <v>5</v>
      </c>
      <c r="AZ847" s="6" t="s">
        <v>5</v>
      </c>
      <c r="BA847" s="6" t="s">
        <v>5</v>
      </c>
      <c r="BB847" s="6" t="s">
        <v>5</v>
      </c>
      <c r="BC847" s="6" t="s">
        <v>5</v>
      </c>
      <c r="BD847" s="6" t="s">
        <v>5</v>
      </c>
      <c r="BE847" s="6" t="s">
        <v>5</v>
      </c>
      <c r="BF847" s="6" t="s">
        <v>5</v>
      </c>
      <c r="BG847" s="6" t="s">
        <v>5</v>
      </c>
      <c r="BH847" s="6" t="s">
        <v>5</v>
      </c>
      <c r="BI847" s="7">
        <v>1.55</v>
      </c>
      <c r="BJ847" s="22">
        <v>0.70699999999999996</v>
      </c>
      <c r="BK847" s="6" t="s">
        <v>5</v>
      </c>
      <c r="BL847" s="2" t="s">
        <v>5</v>
      </c>
      <c r="BM847" s="2" t="s">
        <v>5</v>
      </c>
      <c r="BN847" s="2" t="s">
        <v>5</v>
      </c>
      <c r="BO847" s="2" t="s">
        <v>5</v>
      </c>
      <c r="BP847" s="2" t="s">
        <v>5</v>
      </c>
      <c r="BQ847" s="2" t="s">
        <v>5</v>
      </c>
      <c r="BR847" s="2" t="s">
        <v>5</v>
      </c>
      <c r="BS847" s="2" t="s">
        <v>5</v>
      </c>
      <c r="BT847" s="2" t="s">
        <v>5</v>
      </c>
      <c r="BU847" s="2" t="s">
        <v>5</v>
      </c>
      <c r="BV847" s="2" t="s">
        <v>5</v>
      </c>
      <c r="BW847" s="2" t="s">
        <v>5</v>
      </c>
      <c r="BX847" s="2" t="s">
        <v>5</v>
      </c>
      <c r="BY847" s="25" t="s">
        <v>5</v>
      </c>
      <c r="BZ847" s="25" t="s">
        <v>5</v>
      </c>
      <c r="CA847" s="6" t="s">
        <v>5</v>
      </c>
      <c r="CB847" s="6" t="s">
        <v>5</v>
      </c>
      <c r="CC847" s="6" t="s">
        <v>5</v>
      </c>
      <c r="CD847" s="6" t="s">
        <v>5</v>
      </c>
      <c r="CE847" s="6" t="s">
        <v>5</v>
      </c>
      <c r="CF847" s="16" t="s">
        <v>5</v>
      </c>
      <c r="CG847" s="16" t="s">
        <v>5</v>
      </c>
      <c r="CH847" s="18" t="s">
        <v>5</v>
      </c>
    </row>
    <row r="848" spans="2:86">
      <c r="B848" s="78" t="s">
        <v>473</v>
      </c>
      <c r="C848" s="79" t="s">
        <v>948</v>
      </c>
      <c r="D848" s="80" t="s">
        <v>948</v>
      </c>
      <c r="E848" s="1" t="s">
        <v>4</v>
      </c>
      <c r="F848" s="4">
        <v>11.8</v>
      </c>
      <c r="G848" s="7">
        <v>3.5</v>
      </c>
      <c r="H848" s="3" t="str">
        <f t="shared" si="32"/>
        <v>2L3X2X3/8X3/4LLBB</v>
      </c>
      <c r="I848" s="7">
        <v>3</v>
      </c>
      <c r="J848" s="5" t="s">
        <v>5</v>
      </c>
      <c r="K848" s="6" t="s">
        <v>5</v>
      </c>
      <c r="L848" s="6" t="s">
        <v>5</v>
      </c>
      <c r="M848" s="6" t="s">
        <v>5</v>
      </c>
      <c r="N848" s="6" t="s">
        <v>5</v>
      </c>
      <c r="O848" s="5" t="s">
        <v>5</v>
      </c>
      <c r="P848" s="5" t="s">
        <v>5</v>
      </c>
      <c r="Q848" s="7">
        <v>2</v>
      </c>
      <c r="R848" s="6" t="s">
        <v>5</v>
      </c>
      <c r="S848" s="6" t="s">
        <v>5</v>
      </c>
      <c r="T848" s="5" t="s">
        <v>5</v>
      </c>
      <c r="U848" s="8" t="s">
        <v>5</v>
      </c>
      <c r="V848" s="6" t="s">
        <v>5</v>
      </c>
      <c r="W848" s="8" t="s">
        <v>5</v>
      </c>
      <c r="X848" s="22">
        <v>0.375</v>
      </c>
      <c r="Y848" s="6" t="s">
        <v>5</v>
      </c>
      <c r="Z848" s="6" t="s">
        <v>5</v>
      </c>
      <c r="AA848" s="6" t="s">
        <v>5</v>
      </c>
      <c r="AB848" s="8" t="s">
        <v>5</v>
      </c>
      <c r="AC848" s="8" t="s">
        <v>5</v>
      </c>
      <c r="AD848" s="6" t="s">
        <v>5</v>
      </c>
      <c r="AE848" s="7">
        <v>1.03</v>
      </c>
      <c r="AF848" s="6" t="s">
        <v>5</v>
      </c>
      <c r="AG848" s="6" t="s">
        <v>5</v>
      </c>
      <c r="AH848" s="22">
        <v>0.66700000000000004</v>
      </c>
      <c r="AI848" s="6" t="s">
        <v>5</v>
      </c>
      <c r="AJ848" s="7">
        <v>8</v>
      </c>
      <c r="AK848" s="6" t="s">
        <v>5</v>
      </c>
      <c r="AL848" s="6" t="s">
        <v>5</v>
      </c>
      <c r="AM848" s="6" t="s">
        <v>5</v>
      </c>
      <c r="AN848" s="6" t="s">
        <v>5</v>
      </c>
      <c r="AO848" s="7">
        <v>3.08</v>
      </c>
      <c r="AP848" s="7">
        <v>2.78</v>
      </c>
      <c r="AQ848" s="7">
        <v>1.56</v>
      </c>
      <c r="AR848" s="22">
        <v>0.93700000000000006</v>
      </c>
      <c r="AS848" s="6">
        <v>4.01</v>
      </c>
      <c r="AT848" s="6">
        <v>3.18</v>
      </c>
      <c r="AU848" s="6">
        <v>1.69</v>
      </c>
      <c r="AV848" s="7">
        <v>1.07</v>
      </c>
      <c r="AW848" s="6" t="s">
        <v>5</v>
      </c>
      <c r="AX848" s="6" t="s">
        <v>5</v>
      </c>
      <c r="AY848" s="6" t="s">
        <v>5</v>
      </c>
      <c r="AZ848" s="6" t="s">
        <v>5</v>
      </c>
      <c r="BA848" s="6" t="s">
        <v>5</v>
      </c>
      <c r="BB848" s="6" t="s">
        <v>5</v>
      </c>
      <c r="BC848" s="6" t="s">
        <v>5</v>
      </c>
      <c r="BD848" s="6" t="s">
        <v>5</v>
      </c>
      <c r="BE848" s="6" t="s">
        <v>5</v>
      </c>
      <c r="BF848" s="6" t="s">
        <v>5</v>
      </c>
      <c r="BG848" s="6" t="s">
        <v>5</v>
      </c>
      <c r="BH848" s="6" t="s">
        <v>5</v>
      </c>
      <c r="BI848" s="7">
        <v>1.65</v>
      </c>
      <c r="BJ848" s="22">
        <v>0.73899999999999999</v>
      </c>
      <c r="BK848" s="6" t="s">
        <v>5</v>
      </c>
      <c r="BL848" s="2" t="s">
        <v>5</v>
      </c>
      <c r="BM848" s="2" t="s">
        <v>5</v>
      </c>
      <c r="BN848" s="2" t="s">
        <v>5</v>
      </c>
      <c r="BO848" s="2" t="s">
        <v>5</v>
      </c>
      <c r="BP848" s="2" t="s">
        <v>5</v>
      </c>
      <c r="BQ848" s="2" t="s">
        <v>5</v>
      </c>
      <c r="BR848" s="2" t="s">
        <v>5</v>
      </c>
      <c r="BS848" s="2" t="s">
        <v>5</v>
      </c>
      <c r="BT848" s="2" t="s">
        <v>5</v>
      </c>
      <c r="BU848" s="2" t="s">
        <v>5</v>
      </c>
      <c r="BV848" s="2" t="s">
        <v>5</v>
      </c>
      <c r="BW848" s="2" t="s">
        <v>5</v>
      </c>
      <c r="BX848" s="2" t="s">
        <v>5</v>
      </c>
      <c r="BY848" s="25" t="s">
        <v>5</v>
      </c>
      <c r="BZ848" s="25" t="s">
        <v>5</v>
      </c>
      <c r="CA848" s="6" t="s">
        <v>5</v>
      </c>
      <c r="CB848" s="6" t="s">
        <v>5</v>
      </c>
      <c r="CC848" s="6" t="s">
        <v>5</v>
      </c>
      <c r="CD848" s="6" t="s">
        <v>5</v>
      </c>
      <c r="CE848" s="6" t="s">
        <v>5</v>
      </c>
      <c r="CF848" s="16" t="s">
        <v>5</v>
      </c>
      <c r="CG848" s="16" t="s">
        <v>5</v>
      </c>
      <c r="CH848" s="18" t="s">
        <v>5</v>
      </c>
    </row>
    <row r="849" spans="2:86">
      <c r="B849" s="78" t="s">
        <v>473</v>
      </c>
      <c r="C849" s="79" t="s">
        <v>949</v>
      </c>
      <c r="D849" s="80" t="s">
        <v>949</v>
      </c>
      <c r="E849" s="1" t="s">
        <v>4</v>
      </c>
      <c r="F849" s="4">
        <v>10</v>
      </c>
      <c r="G849" s="7">
        <v>2.96</v>
      </c>
      <c r="H849" s="3" t="str">
        <f t="shared" si="32"/>
        <v>2L3X2X5/16LLBB</v>
      </c>
      <c r="I849" s="7">
        <v>3</v>
      </c>
      <c r="J849" s="5" t="s">
        <v>5</v>
      </c>
      <c r="K849" s="6" t="s">
        <v>5</v>
      </c>
      <c r="L849" s="6" t="s">
        <v>5</v>
      </c>
      <c r="M849" s="6" t="s">
        <v>5</v>
      </c>
      <c r="N849" s="6" t="s">
        <v>5</v>
      </c>
      <c r="O849" s="5" t="s">
        <v>5</v>
      </c>
      <c r="P849" s="5" t="s">
        <v>5</v>
      </c>
      <c r="Q849" s="7">
        <v>2</v>
      </c>
      <c r="R849" s="6" t="s">
        <v>5</v>
      </c>
      <c r="S849" s="6" t="s">
        <v>5</v>
      </c>
      <c r="T849" s="5" t="s">
        <v>5</v>
      </c>
      <c r="U849" s="8" t="s">
        <v>5</v>
      </c>
      <c r="V849" s="6" t="s">
        <v>5</v>
      </c>
      <c r="W849" s="8" t="s">
        <v>5</v>
      </c>
      <c r="X849" s="22">
        <v>0.313</v>
      </c>
      <c r="Y849" s="6" t="s">
        <v>5</v>
      </c>
      <c r="Z849" s="6" t="s">
        <v>5</v>
      </c>
      <c r="AA849" s="6" t="s">
        <v>5</v>
      </c>
      <c r="AB849" s="8" t="s">
        <v>5</v>
      </c>
      <c r="AC849" s="8" t="s">
        <v>5</v>
      </c>
      <c r="AD849" s="6" t="s">
        <v>5</v>
      </c>
      <c r="AE849" s="7">
        <v>1.01</v>
      </c>
      <c r="AF849" s="6" t="s">
        <v>5</v>
      </c>
      <c r="AG849" s="6" t="s">
        <v>5</v>
      </c>
      <c r="AH849" s="22">
        <v>0.63200000000000001</v>
      </c>
      <c r="AI849" s="6" t="s">
        <v>5</v>
      </c>
      <c r="AJ849" s="7">
        <v>9.58</v>
      </c>
      <c r="AK849" s="6" t="s">
        <v>5</v>
      </c>
      <c r="AL849" s="6" t="s">
        <v>5</v>
      </c>
      <c r="AM849" s="6" t="s">
        <v>5</v>
      </c>
      <c r="AN849" s="6" t="s">
        <v>5</v>
      </c>
      <c r="AO849" s="7">
        <v>2.64</v>
      </c>
      <c r="AP849" s="7">
        <v>2.38</v>
      </c>
      <c r="AQ849" s="7">
        <v>1.32</v>
      </c>
      <c r="AR849" s="22">
        <v>0.94499999999999995</v>
      </c>
      <c r="AS849" s="6">
        <v>1.71</v>
      </c>
      <c r="AT849" s="6">
        <v>1.51</v>
      </c>
      <c r="AU849" s="6">
        <v>0.85499999999999998</v>
      </c>
      <c r="AV849" s="22">
        <v>0.76</v>
      </c>
      <c r="AW849" s="6" t="s">
        <v>5</v>
      </c>
      <c r="AX849" s="6" t="s">
        <v>5</v>
      </c>
      <c r="AY849" s="6" t="s">
        <v>5</v>
      </c>
      <c r="AZ849" s="6" t="s">
        <v>5</v>
      </c>
      <c r="BA849" s="6" t="s">
        <v>5</v>
      </c>
      <c r="BB849" s="6" t="s">
        <v>5</v>
      </c>
      <c r="BC849" s="6" t="s">
        <v>5</v>
      </c>
      <c r="BD849" s="6" t="s">
        <v>5</v>
      </c>
      <c r="BE849" s="6" t="s">
        <v>5</v>
      </c>
      <c r="BF849" s="6" t="s">
        <v>5</v>
      </c>
      <c r="BG849" s="6" t="s">
        <v>5</v>
      </c>
      <c r="BH849" s="6" t="s">
        <v>5</v>
      </c>
      <c r="BI849" s="7">
        <v>1.48</v>
      </c>
      <c r="BJ849" s="22">
        <v>0.67100000000000004</v>
      </c>
      <c r="BK849" s="6" t="s">
        <v>5</v>
      </c>
      <c r="BL849" s="2" t="s">
        <v>5</v>
      </c>
      <c r="BM849" s="2" t="s">
        <v>5</v>
      </c>
      <c r="BN849" s="2" t="s">
        <v>5</v>
      </c>
      <c r="BO849" s="2" t="s">
        <v>5</v>
      </c>
      <c r="BP849" s="2" t="s">
        <v>5</v>
      </c>
      <c r="BQ849" s="2" t="s">
        <v>5</v>
      </c>
      <c r="BR849" s="2" t="s">
        <v>5</v>
      </c>
      <c r="BS849" s="2" t="s">
        <v>5</v>
      </c>
      <c r="BT849" s="2" t="s">
        <v>5</v>
      </c>
      <c r="BU849" s="2" t="s">
        <v>5</v>
      </c>
      <c r="BV849" s="2" t="s">
        <v>5</v>
      </c>
      <c r="BW849" s="2" t="s">
        <v>5</v>
      </c>
      <c r="BX849" s="2" t="s">
        <v>5</v>
      </c>
      <c r="BY849" s="25" t="s">
        <v>5</v>
      </c>
      <c r="BZ849" s="25" t="s">
        <v>5</v>
      </c>
      <c r="CA849" s="6" t="s">
        <v>5</v>
      </c>
      <c r="CB849" s="6" t="s">
        <v>5</v>
      </c>
      <c r="CC849" s="6" t="s">
        <v>5</v>
      </c>
      <c r="CD849" s="6" t="s">
        <v>5</v>
      </c>
      <c r="CE849" s="6" t="s">
        <v>5</v>
      </c>
      <c r="CF849" s="16" t="s">
        <v>5</v>
      </c>
      <c r="CG849" s="16" t="s">
        <v>5</v>
      </c>
      <c r="CH849" s="18" t="s">
        <v>5</v>
      </c>
    </row>
    <row r="850" spans="2:86">
      <c r="B850" s="78" t="s">
        <v>473</v>
      </c>
      <c r="C850" s="79" t="s">
        <v>950</v>
      </c>
      <c r="D850" s="80" t="s">
        <v>950</v>
      </c>
      <c r="E850" s="1" t="s">
        <v>4</v>
      </c>
      <c r="F850" s="4">
        <v>10</v>
      </c>
      <c r="G850" s="7">
        <v>2.96</v>
      </c>
      <c r="H850" s="3" t="str">
        <f t="shared" si="32"/>
        <v>2L3X2X5/16X3/8LLBB</v>
      </c>
      <c r="I850" s="7">
        <v>3</v>
      </c>
      <c r="J850" s="5" t="s">
        <v>5</v>
      </c>
      <c r="K850" s="6" t="s">
        <v>5</v>
      </c>
      <c r="L850" s="6" t="s">
        <v>5</v>
      </c>
      <c r="M850" s="6" t="s">
        <v>5</v>
      </c>
      <c r="N850" s="6" t="s">
        <v>5</v>
      </c>
      <c r="O850" s="5" t="s">
        <v>5</v>
      </c>
      <c r="P850" s="5" t="s">
        <v>5</v>
      </c>
      <c r="Q850" s="7">
        <v>2</v>
      </c>
      <c r="R850" s="6" t="s">
        <v>5</v>
      </c>
      <c r="S850" s="6" t="s">
        <v>5</v>
      </c>
      <c r="T850" s="5" t="s">
        <v>5</v>
      </c>
      <c r="U850" s="8" t="s">
        <v>5</v>
      </c>
      <c r="V850" s="6" t="s">
        <v>5</v>
      </c>
      <c r="W850" s="8" t="s">
        <v>5</v>
      </c>
      <c r="X850" s="22">
        <v>0.313</v>
      </c>
      <c r="Y850" s="6" t="s">
        <v>5</v>
      </c>
      <c r="Z850" s="6" t="s">
        <v>5</v>
      </c>
      <c r="AA850" s="6" t="s">
        <v>5</v>
      </c>
      <c r="AB850" s="8" t="s">
        <v>5</v>
      </c>
      <c r="AC850" s="8" t="s">
        <v>5</v>
      </c>
      <c r="AD850" s="6" t="s">
        <v>5</v>
      </c>
      <c r="AE850" s="7">
        <v>1.01</v>
      </c>
      <c r="AF850" s="6" t="s">
        <v>5</v>
      </c>
      <c r="AG850" s="6" t="s">
        <v>5</v>
      </c>
      <c r="AH850" s="22">
        <v>0.63200000000000001</v>
      </c>
      <c r="AI850" s="6" t="s">
        <v>5</v>
      </c>
      <c r="AJ850" s="7">
        <v>9.58</v>
      </c>
      <c r="AK850" s="6" t="s">
        <v>5</v>
      </c>
      <c r="AL850" s="6" t="s">
        <v>5</v>
      </c>
      <c r="AM850" s="6" t="s">
        <v>5</v>
      </c>
      <c r="AN850" s="6" t="s">
        <v>5</v>
      </c>
      <c r="AO850" s="7">
        <v>2.64</v>
      </c>
      <c r="AP850" s="7">
        <v>2.38</v>
      </c>
      <c r="AQ850" s="7">
        <v>1.32</v>
      </c>
      <c r="AR850" s="22">
        <v>0.94499999999999995</v>
      </c>
      <c r="AS850" s="6">
        <v>2.38</v>
      </c>
      <c r="AT850" s="6">
        <v>2.0699999999999998</v>
      </c>
      <c r="AU850" s="6">
        <v>1.0900000000000001</v>
      </c>
      <c r="AV850" s="22">
        <v>0.89700000000000002</v>
      </c>
      <c r="AW850" s="6" t="s">
        <v>5</v>
      </c>
      <c r="AX850" s="6" t="s">
        <v>5</v>
      </c>
      <c r="AY850" s="6" t="s">
        <v>5</v>
      </c>
      <c r="AZ850" s="6" t="s">
        <v>5</v>
      </c>
      <c r="BA850" s="6" t="s">
        <v>5</v>
      </c>
      <c r="BB850" s="6" t="s">
        <v>5</v>
      </c>
      <c r="BC850" s="6" t="s">
        <v>5</v>
      </c>
      <c r="BD850" s="6" t="s">
        <v>5</v>
      </c>
      <c r="BE850" s="6" t="s">
        <v>5</v>
      </c>
      <c r="BF850" s="6" t="s">
        <v>5</v>
      </c>
      <c r="BG850" s="6" t="s">
        <v>5</v>
      </c>
      <c r="BH850" s="6" t="s">
        <v>5</v>
      </c>
      <c r="BI850" s="7">
        <v>1.56</v>
      </c>
      <c r="BJ850" s="22">
        <v>0.70199999999999996</v>
      </c>
      <c r="BK850" s="6" t="s">
        <v>5</v>
      </c>
      <c r="BL850" s="2" t="s">
        <v>5</v>
      </c>
      <c r="BM850" s="2" t="s">
        <v>5</v>
      </c>
      <c r="BN850" s="2" t="s">
        <v>5</v>
      </c>
      <c r="BO850" s="2" t="s">
        <v>5</v>
      </c>
      <c r="BP850" s="2" t="s">
        <v>5</v>
      </c>
      <c r="BQ850" s="2" t="s">
        <v>5</v>
      </c>
      <c r="BR850" s="2" t="s">
        <v>5</v>
      </c>
      <c r="BS850" s="2" t="s">
        <v>5</v>
      </c>
      <c r="BT850" s="2" t="s">
        <v>5</v>
      </c>
      <c r="BU850" s="2" t="s">
        <v>5</v>
      </c>
      <c r="BV850" s="2" t="s">
        <v>5</v>
      </c>
      <c r="BW850" s="2" t="s">
        <v>5</v>
      </c>
      <c r="BX850" s="2" t="s">
        <v>5</v>
      </c>
      <c r="BY850" s="25" t="s">
        <v>5</v>
      </c>
      <c r="BZ850" s="25" t="s">
        <v>5</v>
      </c>
      <c r="CA850" s="6" t="s">
        <v>5</v>
      </c>
      <c r="CB850" s="6" t="s">
        <v>5</v>
      </c>
      <c r="CC850" s="6" t="s">
        <v>5</v>
      </c>
      <c r="CD850" s="6" t="s">
        <v>5</v>
      </c>
      <c r="CE850" s="6" t="s">
        <v>5</v>
      </c>
      <c r="CF850" s="16" t="s">
        <v>5</v>
      </c>
      <c r="CG850" s="16" t="s">
        <v>5</v>
      </c>
      <c r="CH850" s="18" t="s">
        <v>5</v>
      </c>
    </row>
    <row r="851" spans="2:86">
      <c r="B851" s="78" t="s">
        <v>473</v>
      </c>
      <c r="C851" s="79" t="s">
        <v>951</v>
      </c>
      <c r="D851" s="80" t="s">
        <v>951</v>
      </c>
      <c r="E851" s="1" t="s">
        <v>4</v>
      </c>
      <c r="F851" s="4">
        <v>10</v>
      </c>
      <c r="G851" s="7">
        <v>2.96</v>
      </c>
      <c r="H851" s="3" t="str">
        <f t="shared" si="32"/>
        <v>2L3X2X5/16X3/4LLBB</v>
      </c>
      <c r="I851" s="7">
        <v>3</v>
      </c>
      <c r="J851" s="5" t="s">
        <v>5</v>
      </c>
      <c r="K851" s="6" t="s">
        <v>5</v>
      </c>
      <c r="L851" s="6" t="s">
        <v>5</v>
      </c>
      <c r="M851" s="6" t="s">
        <v>5</v>
      </c>
      <c r="N851" s="6" t="s">
        <v>5</v>
      </c>
      <c r="O851" s="5" t="s">
        <v>5</v>
      </c>
      <c r="P851" s="5" t="s">
        <v>5</v>
      </c>
      <c r="Q851" s="7">
        <v>2</v>
      </c>
      <c r="R851" s="6" t="s">
        <v>5</v>
      </c>
      <c r="S851" s="6" t="s">
        <v>5</v>
      </c>
      <c r="T851" s="5" t="s">
        <v>5</v>
      </c>
      <c r="U851" s="8" t="s">
        <v>5</v>
      </c>
      <c r="V851" s="6" t="s">
        <v>5</v>
      </c>
      <c r="W851" s="8" t="s">
        <v>5</v>
      </c>
      <c r="X851" s="22">
        <v>0.313</v>
      </c>
      <c r="Y851" s="6" t="s">
        <v>5</v>
      </c>
      <c r="Z851" s="6" t="s">
        <v>5</v>
      </c>
      <c r="AA851" s="6" t="s">
        <v>5</v>
      </c>
      <c r="AB851" s="8" t="s">
        <v>5</v>
      </c>
      <c r="AC851" s="8" t="s">
        <v>5</v>
      </c>
      <c r="AD851" s="6" t="s">
        <v>5</v>
      </c>
      <c r="AE851" s="7">
        <v>1.01</v>
      </c>
      <c r="AF851" s="6" t="s">
        <v>5</v>
      </c>
      <c r="AG851" s="6" t="s">
        <v>5</v>
      </c>
      <c r="AH851" s="22">
        <v>0.63200000000000001</v>
      </c>
      <c r="AI851" s="6" t="s">
        <v>5</v>
      </c>
      <c r="AJ851" s="7">
        <v>9.58</v>
      </c>
      <c r="AK851" s="6" t="s">
        <v>5</v>
      </c>
      <c r="AL851" s="6" t="s">
        <v>5</v>
      </c>
      <c r="AM851" s="6" t="s">
        <v>5</v>
      </c>
      <c r="AN851" s="6" t="s">
        <v>5</v>
      </c>
      <c r="AO851" s="7">
        <v>2.64</v>
      </c>
      <c r="AP851" s="7">
        <v>2.38</v>
      </c>
      <c r="AQ851" s="7">
        <v>1.32</v>
      </c>
      <c r="AR851" s="22">
        <v>0.94499999999999995</v>
      </c>
      <c r="AS851" s="6">
        <v>3.26</v>
      </c>
      <c r="AT851" s="6">
        <v>2.62</v>
      </c>
      <c r="AU851" s="6">
        <v>1.37</v>
      </c>
      <c r="AV851" s="7">
        <v>1.05</v>
      </c>
      <c r="AW851" s="6" t="s">
        <v>5</v>
      </c>
      <c r="AX851" s="6" t="s">
        <v>5</v>
      </c>
      <c r="AY851" s="6" t="s">
        <v>5</v>
      </c>
      <c r="AZ851" s="6" t="s">
        <v>5</v>
      </c>
      <c r="BA851" s="6" t="s">
        <v>5</v>
      </c>
      <c r="BB851" s="6" t="s">
        <v>5</v>
      </c>
      <c r="BC851" s="6" t="s">
        <v>5</v>
      </c>
      <c r="BD851" s="6" t="s">
        <v>5</v>
      </c>
      <c r="BE851" s="6" t="s">
        <v>5</v>
      </c>
      <c r="BF851" s="6" t="s">
        <v>5</v>
      </c>
      <c r="BG851" s="6" t="s">
        <v>5</v>
      </c>
      <c r="BH851" s="6" t="s">
        <v>5</v>
      </c>
      <c r="BI851" s="7">
        <v>1.65</v>
      </c>
      <c r="BJ851" s="22">
        <v>0.73399999999999999</v>
      </c>
      <c r="BK851" s="6" t="s">
        <v>5</v>
      </c>
      <c r="BL851" s="2" t="s">
        <v>5</v>
      </c>
      <c r="BM851" s="2" t="s">
        <v>5</v>
      </c>
      <c r="BN851" s="2" t="s">
        <v>5</v>
      </c>
      <c r="BO851" s="2" t="s">
        <v>5</v>
      </c>
      <c r="BP851" s="2" t="s">
        <v>5</v>
      </c>
      <c r="BQ851" s="2" t="s">
        <v>5</v>
      </c>
      <c r="BR851" s="2" t="s">
        <v>5</v>
      </c>
      <c r="BS851" s="2" t="s">
        <v>5</v>
      </c>
      <c r="BT851" s="2" t="s">
        <v>5</v>
      </c>
      <c r="BU851" s="2" t="s">
        <v>5</v>
      </c>
      <c r="BV851" s="2" t="s">
        <v>5</v>
      </c>
      <c r="BW851" s="2" t="s">
        <v>5</v>
      </c>
      <c r="BX851" s="2" t="s">
        <v>5</v>
      </c>
      <c r="BY851" s="25" t="s">
        <v>5</v>
      </c>
      <c r="BZ851" s="25" t="s">
        <v>5</v>
      </c>
      <c r="CA851" s="6" t="s">
        <v>5</v>
      </c>
      <c r="CB851" s="6" t="s">
        <v>5</v>
      </c>
      <c r="CC851" s="6" t="s">
        <v>5</v>
      </c>
      <c r="CD851" s="6" t="s">
        <v>5</v>
      </c>
      <c r="CE851" s="6" t="s">
        <v>5</v>
      </c>
      <c r="CF851" s="16" t="s">
        <v>5</v>
      </c>
      <c r="CG851" s="16" t="s">
        <v>5</v>
      </c>
      <c r="CH851" s="18" t="s">
        <v>5</v>
      </c>
    </row>
    <row r="852" spans="2:86">
      <c r="B852" s="78" t="s">
        <v>473</v>
      </c>
      <c r="C852" s="79" t="s">
        <v>952</v>
      </c>
      <c r="D852" s="80" t="s">
        <v>952</v>
      </c>
      <c r="E852" s="1" t="s">
        <v>4</v>
      </c>
      <c r="F852" s="7">
        <v>8.1999999999999993</v>
      </c>
      <c r="G852" s="7">
        <v>2.4</v>
      </c>
      <c r="H852" s="3" t="str">
        <f t="shared" si="32"/>
        <v>2L3X2X1/4LLBB</v>
      </c>
      <c r="I852" s="7">
        <v>3</v>
      </c>
      <c r="J852" s="5" t="s">
        <v>5</v>
      </c>
      <c r="K852" s="6" t="s">
        <v>5</v>
      </c>
      <c r="L852" s="6" t="s">
        <v>5</v>
      </c>
      <c r="M852" s="6" t="s">
        <v>5</v>
      </c>
      <c r="N852" s="6" t="s">
        <v>5</v>
      </c>
      <c r="O852" s="5" t="s">
        <v>5</v>
      </c>
      <c r="P852" s="5" t="s">
        <v>5</v>
      </c>
      <c r="Q852" s="7">
        <v>2</v>
      </c>
      <c r="R852" s="6" t="s">
        <v>5</v>
      </c>
      <c r="S852" s="6" t="s">
        <v>5</v>
      </c>
      <c r="T852" s="5" t="s">
        <v>5</v>
      </c>
      <c r="U852" s="8" t="s">
        <v>5</v>
      </c>
      <c r="V852" s="6" t="s">
        <v>5</v>
      </c>
      <c r="W852" s="8" t="s">
        <v>5</v>
      </c>
      <c r="X852" s="22">
        <v>0.25</v>
      </c>
      <c r="Y852" s="6" t="s">
        <v>5</v>
      </c>
      <c r="Z852" s="6" t="s">
        <v>5</v>
      </c>
      <c r="AA852" s="6" t="s">
        <v>5</v>
      </c>
      <c r="AB852" s="8" t="s">
        <v>5</v>
      </c>
      <c r="AC852" s="8" t="s">
        <v>5</v>
      </c>
      <c r="AD852" s="6" t="s">
        <v>5</v>
      </c>
      <c r="AE852" s="22">
        <v>0.98</v>
      </c>
      <c r="AF852" s="6" t="s">
        <v>5</v>
      </c>
      <c r="AG852" s="6" t="s">
        <v>5</v>
      </c>
      <c r="AH852" s="22">
        <v>0.6</v>
      </c>
      <c r="AI852" s="6" t="s">
        <v>5</v>
      </c>
      <c r="AJ852" s="4">
        <v>12</v>
      </c>
      <c r="AK852" s="6" t="s">
        <v>5</v>
      </c>
      <c r="AL852" s="6" t="s">
        <v>5</v>
      </c>
      <c r="AM852" s="6" t="s">
        <v>5</v>
      </c>
      <c r="AN852" s="6" t="s">
        <v>5</v>
      </c>
      <c r="AO852" s="7">
        <v>2.1800000000000002</v>
      </c>
      <c r="AP852" s="7">
        <v>1.94</v>
      </c>
      <c r="AQ852" s="7">
        <v>1.08</v>
      </c>
      <c r="AR852" s="22">
        <v>0.95300000000000007</v>
      </c>
      <c r="AS852" s="6">
        <v>1.35</v>
      </c>
      <c r="AT852" s="6">
        <v>1.17</v>
      </c>
      <c r="AU852" s="6">
        <v>0.67500000000000004</v>
      </c>
      <c r="AV852" s="22">
        <v>0.749</v>
      </c>
      <c r="AW852" s="6" t="s">
        <v>5</v>
      </c>
      <c r="AX852" s="6" t="s">
        <v>5</v>
      </c>
      <c r="AY852" s="6" t="s">
        <v>5</v>
      </c>
      <c r="AZ852" s="6" t="s">
        <v>5</v>
      </c>
      <c r="BA852" s="6" t="s">
        <v>5</v>
      </c>
      <c r="BB852" s="6" t="s">
        <v>5</v>
      </c>
      <c r="BC852" s="6" t="s">
        <v>5</v>
      </c>
      <c r="BD852" s="6" t="s">
        <v>5</v>
      </c>
      <c r="BE852" s="6" t="s">
        <v>5</v>
      </c>
      <c r="BF852" s="6" t="s">
        <v>5</v>
      </c>
      <c r="BG852" s="6" t="s">
        <v>5</v>
      </c>
      <c r="BH852" s="6" t="s">
        <v>5</v>
      </c>
      <c r="BI852" s="7">
        <v>1.48</v>
      </c>
      <c r="BJ852" s="22">
        <v>0.66800000000000004</v>
      </c>
      <c r="BK852" s="6" t="s">
        <v>5</v>
      </c>
      <c r="BL852" s="2" t="s">
        <v>5</v>
      </c>
      <c r="BM852" s="2" t="s">
        <v>5</v>
      </c>
      <c r="BN852" s="2" t="s">
        <v>5</v>
      </c>
      <c r="BO852" s="2" t="s">
        <v>5</v>
      </c>
      <c r="BP852" s="2" t="s">
        <v>5</v>
      </c>
      <c r="BQ852" s="2" t="s">
        <v>5</v>
      </c>
      <c r="BR852" s="2" t="s">
        <v>5</v>
      </c>
      <c r="BS852" s="2" t="s">
        <v>5</v>
      </c>
      <c r="BT852" s="2" t="s">
        <v>5</v>
      </c>
      <c r="BU852" s="2" t="s">
        <v>5</v>
      </c>
      <c r="BV852" s="2" t="s">
        <v>5</v>
      </c>
      <c r="BW852" s="2" t="s">
        <v>5</v>
      </c>
      <c r="BX852" s="2" t="s">
        <v>5</v>
      </c>
      <c r="BY852" s="25" t="s">
        <v>5</v>
      </c>
      <c r="BZ852" s="25" t="s">
        <v>5</v>
      </c>
      <c r="CA852" s="6" t="s">
        <v>5</v>
      </c>
      <c r="CB852" s="6" t="s">
        <v>5</v>
      </c>
      <c r="CC852" s="6" t="s">
        <v>5</v>
      </c>
      <c r="CD852" s="6" t="s">
        <v>5</v>
      </c>
      <c r="CE852" s="6" t="s">
        <v>5</v>
      </c>
      <c r="CF852" s="16" t="s">
        <v>5</v>
      </c>
      <c r="CG852" s="16" t="s">
        <v>5</v>
      </c>
      <c r="CH852" s="18" t="s">
        <v>5</v>
      </c>
    </row>
    <row r="853" spans="2:86">
      <c r="B853" s="78" t="s">
        <v>473</v>
      </c>
      <c r="C853" s="79" t="s">
        <v>953</v>
      </c>
      <c r="D853" s="80" t="s">
        <v>953</v>
      </c>
      <c r="E853" s="1" t="s">
        <v>4</v>
      </c>
      <c r="F853" s="7">
        <v>8.1999999999999993</v>
      </c>
      <c r="G853" s="7">
        <v>2.4</v>
      </c>
      <c r="H853" s="3" t="str">
        <f t="shared" si="32"/>
        <v>2L3X2X1/4X3/8LLBB</v>
      </c>
      <c r="I853" s="7">
        <v>3</v>
      </c>
      <c r="J853" s="5" t="s">
        <v>5</v>
      </c>
      <c r="K853" s="6" t="s">
        <v>5</v>
      </c>
      <c r="L853" s="6" t="s">
        <v>5</v>
      </c>
      <c r="M853" s="6" t="s">
        <v>5</v>
      </c>
      <c r="N853" s="6" t="s">
        <v>5</v>
      </c>
      <c r="O853" s="5" t="s">
        <v>5</v>
      </c>
      <c r="P853" s="5" t="s">
        <v>5</v>
      </c>
      <c r="Q853" s="7">
        <v>2</v>
      </c>
      <c r="R853" s="6" t="s">
        <v>5</v>
      </c>
      <c r="S853" s="6" t="s">
        <v>5</v>
      </c>
      <c r="T853" s="5" t="s">
        <v>5</v>
      </c>
      <c r="U853" s="8" t="s">
        <v>5</v>
      </c>
      <c r="V853" s="6" t="s">
        <v>5</v>
      </c>
      <c r="W853" s="8" t="s">
        <v>5</v>
      </c>
      <c r="X853" s="22">
        <v>0.25</v>
      </c>
      <c r="Y853" s="6" t="s">
        <v>5</v>
      </c>
      <c r="Z853" s="6" t="s">
        <v>5</v>
      </c>
      <c r="AA853" s="6" t="s">
        <v>5</v>
      </c>
      <c r="AB853" s="8" t="s">
        <v>5</v>
      </c>
      <c r="AC853" s="8" t="s">
        <v>5</v>
      </c>
      <c r="AD853" s="6" t="s">
        <v>5</v>
      </c>
      <c r="AE853" s="22">
        <v>0.98</v>
      </c>
      <c r="AF853" s="6" t="s">
        <v>5</v>
      </c>
      <c r="AG853" s="6" t="s">
        <v>5</v>
      </c>
      <c r="AH853" s="22">
        <v>0.6</v>
      </c>
      <c r="AI853" s="6" t="s">
        <v>5</v>
      </c>
      <c r="AJ853" s="4">
        <v>12</v>
      </c>
      <c r="AK853" s="6" t="s">
        <v>5</v>
      </c>
      <c r="AL853" s="6" t="s">
        <v>5</v>
      </c>
      <c r="AM853" s="6" t="s">
        <v>5</v>
      </c>
      <c r="AN853" s="6" t="s">
        <v>5</v>
      </c>
      <c r="AO853" s="7">
        <v>2.1800000000000002</v>
      </c>
      <c r="AP853" s="7">
        <v>1.94</v>
      </c>
      <c r="AQ853" s="7">
        <v>1.08</v>
      </c>
      <c r="AR853" s="22">
        <v>0.95300000000000007</v>
      </c>
      <c r="AS853" s="6">
        <v>1.87</v>
      </c>
      <c r="AT853" s="6">
        <v>1.62</v>
      </c>
      <c r="AU853" s="6">
        <v>0.85499999999999998</v>
      </c>
      <c r="AV853" s="22">
        <v>0.88300000000000001</v>
      </c>
      <c r="AW853" s="6" t="s">
        <v>5</v>
      </c>
      <c r="AX853" s="6" t="s">
        <v>5</v>
      </c>
      <c r="AY853" s="6" t="s">
        <v>5</v>
      </c>
      <c r="AZ853" s="6" t="s">
        <v>5</v>
      </c>
      <c r="BA853" s="6" t="s">
        <v>5</v>
      </c>
      <c r="BB853" s="6" t="s">
        <v>5</v>
      </c>
      <c r="BC853" s="6" t="s">
        <v>5</v>
      </c>
      <c r="BD853" s="6" t="s">
        <v>5</v>
      </c>
      <c r="BE853" s="6" t="s">
        <v>5</v>
      </c>
      <c r="BF853" s="6" t="s">
        <v>5</v>
      </c>
      <c r="BG853" s="6" t="s">
        <v>5</v>
      </c>
      <c r="BH853" s="6" t="s">
        <v>5</v>
      </c>
      <c r="BI853" s="7">
        <v>1.56</v>
      </c>
      <c r="BJ853" s="22">
        <v>0.69799999999999995</v>
      </c>
      <c r="BK853" s="6" t="s">
        <v>5</v>
      </c>
      <c r="BL853" s="2" t="s">
        <v>5</v>
      </c>
      <c r="BM853" s="2" t="s">
        <v>5</v>
      </c>
      <c r="BN853" s="2" t="s">
        <v>5</v>
      </c>
      <c r="BO853" s="2" t="s">
        <v>5</v>
      </c>
      <c r="BP853" s="2" t="s">
        <v>5</v>
      </c>
      <c r="BQ853" s="2" t="s">
        <v>5</v>
      </c>
      <c r="BR853" s="2" t="s">
        <v>5</v>
      </c>
      <c r="BS853" s="2" t="s">
        <v>5</v>
      </c>
      <c r="BT853" s="2" t="s">
        <v>5</v>
      </c>
      <c r="BU853" s="2" t="s">
        <v>5</v>
      </c>
      <c r="BV853" s="2" t="s">
        <v>5</v>
      </c>
      <c r="BW853" s="2" t="s">
        <v>5</v>
      </c>
      <c r="BX853" s="2" t="s">
        <v>5</v>
      </c>
      <c r="BY853" s="25" t="s">
        <v>5</v>
      </c>
      <c r="BZ853" s="25" t="s">
        <v>5</v>
      </c>
      <c r="CA853" s="6" t="s">
        <v>5</v>
      </c>
      <c r="CB853" s="6" t="s">
        <v>5</v>
      </c>
      <c r="CC853" s="6" t="s">
        <v>5</v>
      </c>
      <c r="CD853" s="6" t="s">
        <v>5</v>
      </c>
      <c r="CE853" s="6" t="s">
        <v>5</v>
      </c>
      <c r="CF853" s="16" t="s">
        <v>5</v>
      </c>
      <c r="CG853" s="16" t="s">
        <v>5</v>
      </c>
      <c r="CH853" s="18" t="s">
        <v>5</v>
      </c>
    </row>
    <row r="854" spans="2:86">
      <c r="B854" s="78" t="s">
        <v>473</v>
      </c>
      <c r="C854" s="79" t="s">
        <v>954</v>
      </c>
      <c r="D854" s="80" t="s">
        <v>954</v>
      </c>
      <c r="E854" s="1" t="s">
        <v>4</v>
      </c>
      <c r="F854" s="7">
        <v>8.1999999999999993</v>
      </c>
      <c r="G854" s="7">
        <v>2.4</v>
      </c>
      <c r="H854" s="3" t="str">
        <f t="shared" si="32"/>
        <v>2L3X2X1/4X3/4LLBB</v>
      </c>
      <c r="I854" s="7">
        <v>3</v>
      </c>
      <c r="J854" s="5" t="s">
        <v>5</v>
      </c>
      <c r="K854" s="6" t="s">
        <v>5</v>
      </c>
      <c r="L854" s="6" t="s">
        <v>5</v>
      </c>
      <c r="M854" s="6" t="s">
        <v>5</v>
      </c>
      <c r="N854" s="6" t="s">
        <v>5</v>
      </c>
      <c r="O854" s="5" t="s">
        <v>5</v>
      </c>
      <c r="P854" s="5" t="s">
        <v>5</v>
      </c>
      <c r="Q854" s="7">
        <v>2</v>
      </c>
      <c r="R854" s="6" t="s">
        <v>5</v>
      </c>
      <c r="S854" s="6" t="s">
        <v>5</v>
      </c>
      <c r="T854" s="5" t="s">
        <v>5</v>
      </c>
      <c r="U854" s="8" t="s">
        <v>5</v>
      </c>
      <c r="V854" s="6" t="s">
        <v>5</v>
      </c>
      <c r="W854" s="8" t="s">
        <v>5</v>
      </c>
      <c r="X854" s="22">
        <v>0.25</v>
      </c>
      <c r="Y854" s="6" t="s">
        <v>5</v>
      </c>
      <c r="Z854" s="6" t="s">
        <v>5</v>
      </c>
      <c r="AA854" s="6" t="s">
        <v>5</v>
      </c>
      <c r="AB854" s="8" t="s">
        <v>5</v>
      </c>
      <c r="AC854" s="8" t="s">
        <v>5</v>
      </c>
      <c r="AD854" s="6" t="s">
        <v>5</v>
      </c>
      <c r="AE854" s="22">
        <v>0.98</v>
      </c>
      <c r="AF854" s="6" t="s">
        <v>5</v>
      </c>
      <c r="AG854" s="6" t="s">
        <v>5</v>
      </c>
      <c r="AH854" s="22">
        <v>0.6</v>
      </c>
      <c r="AI854" s="6" t="s">
        <v>5</v>
      </c>
      <c r="AJ854" s="4">
        <v>12</v>
      </c>
      <c r="AK854" s="6" t="s">
        <v>5</v>
      </c>
      <c r="AL854" s="6" t="s">
        <v>5</v>
      </c>
      <c r="AM854" s="6" t="s">
        <v>5</v>
      </c>
      <c r="AN854" s="6" t="s">
        <v>5</v>
      </c>
      <c r="AO854" s="7">
        <v>2.1800000000000002</v>
      </c>
      <c r="AP854" s="7">
        <v>1.94</v>
      </c>
      <c r="AQ854" s="7">
        <v>1.08</v>
      </c>
      <c r="AR854" s="22">
        <v>0.95300000000000007</v>
      </c>
      <c r="AS854" s="6">
        <v>2.5499999999999998</v>
      </c>
      <c r="AT854" s="6">
        <v>2.0699999999999998</v>
      </c>
      <c r="AU854" s="6">
        <v>1.07</v>
      </c>
      <c r="AV854" s="7">
        <v>1.03</v>
      </c>
      <c r="AW854" s="6" t="s">
        <v>5</v>
      </c>
      <c r="AX854" s="6" t="s">
        <v>5</v>
      </c>
      <c r="AY854" s="6" t="s">
        <v>5</v>
      </c>
      <c r="AZ854" s="6" t="s">
        <v>5</v>
      </c>
      <c r="BA854" s="6" t="s">
        <v>5</v>
      </c>
      <c r="BB854" s="6" t="s">
        <v>5</v>
      </c>
      <c r="BC854" s="6" t="s">
        <v>5</v>
      </c>
      <c r="BD854" s="6" t="s">
        <v>5</v>
      </c>
      <c r="BE854" s="6" t="s">
        <v>5</v>
      </c>
      <c r="BF854" s="6" t="s">
        <v>5</v>
      </c>
      <c r="BG854" s="6" t="s">
        <v>5</v>
      </c>
      <c r="BH854" s="6" t="s">
        <v>5</v>
      </c>
      <c r="BI854" s="7">
        <v>1.65</v>
      </c>
      <c r="BJ854" s="22">
        <v>0.73</v>
      </c>
      <c r="BK854" s="6" t="s">
        <v>5</v>
      </c>
      <c r="BL854" s="2" t="s">
        <v>5</v>
      </c>
      <c r="BM854" s="2" t="s">
        <v>5</v>
      </c>
      <c r="BN854" s="2" t="s">
        <v>5</v>
      </c>
      <c r="BO854" s="2" t="s">
        <v>5</v>
      </c>
      <c r="BP854" s="2" t="s">
        <v>5</v>
      </c>
      <c r="BQ854" s="2" t="s">
        <v>5</v>
      </c>
      <c r="BR854" s="2" t="s">
        <v>5</v>
      </c>
      <c r="BS854" s="2" t="s">
        <v>5</v>
      </c>
      <c r="BT854" s="2" t="s">
        <v>5</v>
      </c>
      <c r="BU854" s="2" t="s">
        <v>5</v>
      </c>
      <c r="BV854" s="2" t="s">
        <v>5</v>
      </c>
      <c r="BW854" s="2" t="s">
        <v>5</v>
      </c>
      <c r="BX854" s="2" t="s">
        <v>5</v>
      </c>
      <c r="BY854" s="25" t="s">
        <v>5</v>
      </c>
      <c r="BZ854" s="25" t="s">
        <v>5</v>
      </c>
      <c r="CA854" s="6" t="s">
        <v>5</v>
      </c>
      <c r="CB854" s="6" t="s">
        <v>5</v>
      </c>
      <c r="CC854" s="6" t="s">
        <v>5</v>
      </c>
      <c r="CD854" s="6" t="s">
        <v>5</v>
      </c>
      <c r="CE854" s="6" t="s">
        <v>5</v>
      </c>
      <c r="CF854" s="16" t="s">
        <v>5</v>
      </c>
      <c r="CG854" s="16" t="s">
        <v>5</v>
      </c>
      <c r="CH854" s="18" t="s">
        <v>5</v>
      </c>
    </row>
    <row r="855" spans="2:86">
      <c r="B855" s="78" t="s">
        <v>473</v>
      </c>
      <c r="C855" s="79" t="s">
        <v>955</v>
      </c>
      <c r="D855" s="80" t="s">
        <v>955</v>
      </c>
      <c r="E855" s="1" t="s">
        <v>4</v>
      </c>
      <c r="F855" s="7">
        <v>6.14</v>
      </c>
      <c r="G855" s="7">
        <v>1.83</v>
      </c>
      <c r="H855" s="3" t="str">
        <f t="shared" si="32"/>
        <v>2L3X2X3/16LLBB</v>
      </c>
      <c r="I855" s="7">
        <v>3</v>
      </c>
      <c r="J855" s="5" t="s">
        <v>5</v>
      </c>
      <c r="K855" s="6" t="s">
        <v>5</v>
      </c>
      <c r="L855" s="6" t="s">
        <v>5</v>
      </c>
      <c r="M855" s="6" t="s">
        <v>5</v>
      </c>
      <c r="N855" s="6" t="s">
        <v>5</v>
      </c>
      <c r="O855" s="5" t="s">
        <v>5</v>
      </c>
      <c r="P855" s="5" t="s">
        <v>5</v>
      </c>
      <c r="Q855" s="7">
        <v>2</v>
      </c>
      <c r="R855" s="6" t="s">
        <v>5</v>
      </c>
      <c r="S855" s="6" t="s">
        <v>5</v>
      </c>
      <c r="T855" s="5" t="s">
        <v>5</v>
      </c>
      <c r="U855" s="8" t="s">
        <v>5</v>
      </c>
      <c r="V855" s="6" t="s">
        <v>5</v>
      </c>
      <c r="W855" s="8" t="s">
        <v>5</v>
      </c>
      <c r="X855" s="22">
        <v>0.188</v>
      </c>
      <c r="Y855" s="6" t="s">
        <v>5</v>
      </c>
      <c r="Z855" s="6" t="s">
        <v>5</v>
      </c>
      <c r="AA855" s="6" t="s">
        <v>5</v>
      </c>
      <c r="AB855" s="8" t="s">
        <v>5</v>
      </c>
      <c r="AC855" s="8" t="s">
        <v>5</v>
      </c>
      <c r="AD855" s="6" t="s">
        <v>5</v>
      </c>
      <c r="AE855" s="22">
        <v>0.95199999999999996</v>
      </c>
      <c r="AF855" s="6" t="s">
        <v>5</v>
      </c>
      <c r="AG855" s="6" t="s">
        <v>5</v>
      </c>
      <c r="AH855" s="22">
        <v>0.55500000000000005</v>
      </c>
      <c r="AI855" s="6" t="s">
        <v>5</v>
      </c>
      <c r="AJ855" s="4">
        <v>16</v>
      </c>
      <c r="AK855" s="6" t="s">
        <v>5</v>
      </c>
      <c r="AL855" s="6" t="s">
        <v>5</v>
      </c>
      <c r="AM855" s="6" t="s">
        <v>5</v>
      </c>
      <c r="AN855" s="6" t="s">
        <v>5</v>
      </c>
      <c r="AO855" s="7">
        <v>1.69</v>
      </c>
      <c r="AP855" s="7">
        <v>1.49</v>
      </c>
      <c r="AQ855" s="22">
        <v>0.82799999999999996</v>
      </c>
      <c r="AR855" s="22">
        <v>0.96099999999999997</v>
      </c>
      <c r="AS855" s="6">
        <v>0.999</v>
      </c>
      <c r="AT855" s="6">
        <v>0.84699999999999998</v>
      </c>
      <c r="AU855" s="22">
        <v>0.5</v>
      </c>
      <c r="AV855" s="22">
        <v>0.73899999999999999</v>
      </c>
      <c r="AW855" s="6" t="s">
        <v>5</v>
      </c>
      <c r="AX855" s="6" t="s">
        <v>5</v>
      </c>
      <c r="AY855" s="6" t="s">
        <v>5</v>
      </c>
      <c r="AZ855" s="6" t="s">
        <v>5</v>
      </c>
      <c r="BA855" s="6" t="s">
        <v>5</v>
      </c>
      <c r="BB855" s="6" t="s">
        <v>5</v>
      </c>
      <c r="BC855" s="6" t="s">
        <v>5</v>
      </c>
      <c r="BD855" s="6" t="s">
        <v>5</v>
      </c>
      <c r="BE855" s="6" t="s">
        <v>5</v>
      </c>
      <c r="BF855" s="6" t="s">
        <v>5</v>
      </c>
      <c r="BG855" s="6" t="s">
        <v>5</v>
      </c>
      <c r="BH855" s="6" t="s">
        <v>5</v>
      </c>
      <c r="BI855" s="7">
        <v>1.49</v>
      </c>
      <c r="BJ855" s="22">
        <v>0.66600000000000004</v>
      </c>
      <c r="BK855" s="6" t="s">
        <v>5</v>
      </c>
      <c r="BL855" s="2" t="s">
        <v>5</v>
      </c>
      <c r="BM855" s="2" t="s">
        <v>5</v>
      </c>
      <c r="BN855" s="2" t="s">
        <v>5</v>
      </c>
      <c r="BO855" s="2" t="s">
        <v>5</v>
      </c>
      <c r="BP855" s="2" t="s">
        <v>5</v>
      </c>
      <c r="BQ855" s="2" t="s">
        <v>5</v>
      </c>
      <c r="BR855" s="2" t="s">
        <v>5</v>
      </c>
      <c r="BS855" s="2" t="s">
        <v>5</v>
      </c>
      <c r="BT855" s="2" t="s">
        <v>5</v>
      </c>
      <c r="BU855" s="2" t="s">
        <v>5</v>
      </c>
      <c r="BV855" s="2" t="s">
        <v>5</v>
      </c>
      <c r="BW855" s="2" t="s">
        <v>5</v>
      </c>
      <c r="BX855" s="2" t="s">
        <v>5</v>
      </c>
      <c r="BY855" s="25" t="s">
        <v>5</v>
      </c>
      <c r="BZ855" s="25" t="s">
        <v>5</v>
      </c>
      <c r="CA855" s="6" t="s">
        <v>5</v>
      </c>
      <c r="CB855" s="6" t="s">
        <v>5</v>
      </c>
      <c r="CC855" s="6" t="s">
        <v>5</v>
      </c>
      <c r="CD855" s="6" t="s">
        <v>5</v>
      </c>
      <c r="CE855" s="6" t="s">
        <v>5</v>
      </c>
      <c r="CF855" s="16" t="s">
        <v>5</v>
      </c>
      <c r="CG855" s="16" t="s">
        <v>5</v>
      </c>
      <c r="CH855" s="18" t="s">
        <v>5</v>
      </c>
    </row>
    <row r="856" spans="2:86">
      <c r="B856" s="78" t="s">
        <v>473</v>
      </c>
      <c r="C856" s="79" t="s">
        <v>956</v>
      </c>
      <c r="D856" s="80" t="s">
        <v>956</v>
      </c>
      <c r="E856" s="1" t="s">
        <v>4</v>
      </c>
      <c r="F856" s="7">
        <v>6.14</v>
      </c>
      <c r="G856" s="7">
        <v>1.83</v>
      </c>
      <c r="H856" s="3" t="str">
        <f t="shared" si="32"/>
        <v>2L3X2X3/16X3/8LLBB</v>
      </c>
      <c r="I856" s="7">
        <v>3</v>
      </c>
      <c r="J856" s="5" t="s">
        <v>5</v>
      </c>
      <c r="K856" s="6" t="s">
        <v>5</v>
      </c>
      <c r="L856" s="6" t="s">
        <v>5</v>
      </c>
      <c r="M856" s="6" t="s">
        <v>5</v>
      </c>
      <c r="N856" s="6" t="s">
        <v>5</v>
      </c>
      <c r="O856" s="5" t="s">
        <v>5</v>
      </c>
      <c r="P856" s="5" t="s">
        <v>5</v>
      </c>
      <c r="Q856" s="7">
        <v>2</v>
      </c>
      <c r="R856" s="6" t="s">
        <v>5</v>
      </c>
      <c r="S856" s="6" t="s">
        <v>5</v>
      </c>
      <c r="T856" s="5" t="s">
        <v>5</v>
      </c>
      <c r="U856" s="8" t="s">
        <v>5</v>
      </c>
      <c r="V856" s="6" t="s">
        <v>5</v>
      </c>
      <c r="W856" s="8" t="s">
        <v>5</v>
      </c>
      <c r="X856" s="22">
        <v>0.188</v>
      </c>
      <c r="Y856" s="6" t="s">
        <v>5</v>
      </c>
      <c r="Z856" s="6" t="s">
        <v>5</v>
      </c>
      <c r="AA856" s="6" t="s">
        <v>5</v>
      </c>
      <c r="AB856" s="8" t="s">
        <v>5</v>
      </c>
      <c r="AC856" s="8" t="s">
        <v>5</v>
      </c>
      <c r="AD856" s="6" t="s">
        <v>5</v>
      </c>
      <c r="AE856" s="22">
        <v>0.95199999999999996</v>
      </c>
      <c r="AF856" s="6" t="s">
        <v>5</v>
      </c>
      <c r="AG856" s="6" t="s">
        <v>5</v>
      </c>
      <c r="AH856" s="22">
        <v>0.55500000000000005</v>
      </c>
      <c r="AI856" s="6" t="s">
        <v>5</v>
      </c>
      <c r="AJ856" s="4">
        <v>16</v>
      </c>
      <c r="AK856" s="6" t="s">
        <v>5</v>
      </c>
      <c r="AL856" s="6" t="s">
        <v>5</v>
      </c>
      <c r="AM856" s="6" t="s">
        <v>5</v>
      </c>
      <c r="AN856" s="6" t="s">
        <v>5</v>
      </c>
      <c r="AO856" s="7">
        <v>1.69</v>
      </c>
      <c r="AP856" s="7">
        <v>1.49</v>
      </c>
      <c r="AQ856" s="22">
        <v>0.82799999999999996</v>
      </c>
      <c r="AR856" s="22">
        <v>0.96099999999999997</v>
      </c>
      <c r="AS856" s="6">
        <v>1.38</v>
      </c>
      <c r="AT856" s="6">
        <v>1.19</v>
      </c>
      <c r="AU856" s="6">
        <v>0.63100000000000001</v>
      </c>
      <c r="AV856" s="22">
        <v>0.86899999999999999</v>
      </c>
      <c r="AW856" s="6" t="s">
        <v>5</v>
      </c>
      <c r="AX856" s="6" t="s">
        <v>5</v>
      </c>
      <c r="AY856" s="6" t="s">
        <v>5</v>
      </c>
      <c r="AZ856" s="6" t="s">
        <v>5</v>
      </c>
      <c r="BA856" s="6" t="s">
        <v>5</v>
      </c>
      <c r="BB856" s="6" t="s">
        <v>5</v>
      </c>
      <c r="BC856" s="6" t="s">
        <v>5</v>
      </c>
      <c r="BD856" s="6" t="s">
        <v>5</v>
      </c>
      <c r="BE856" s="6" t="s">
        <v>5</v>
      </c>
      <c r="BF856" s="6" t="s">
        <v>5</v>
      </c>
      <c r="BG856" s="6" t="s">
        <v>5</v>
      </c>
      <c r="BH856" s="6" t="s">
        <v>5</v>
      </c>
      <c r="BI856" s="7">
        <v>1.55</v>
      </c>
      <c r="BJ856" s="22">
        <v>0.69499999999999995</v>
      </c>
      <c r="BK856" s="6" t="s">
        <v>5</v>
      </c>
      <c r="BL856" s="2" t="s">
        <v>5</v>
      </c>
      <c r="BM856" s="2" t="s">
        <v>5</v>
      </c>
      <c r="BN856" s="2" t="s">
        <v>5</v>
      </c>
      <c r="BO856" s="2" t="s">
        <v>5</v>
      </c>
      <c r="BP856" s="2" t="s">
        <v>5</v>
      </c>
      <c r="BQ856" s="2" t="s">
        <v>5</v>
      </c>
      <c r="BR856" s="2" t="s">
        <v>5</v>
      </c>
      <c r="BS856" s="2" t="s">
        <v>5</v>
      </c>
      <c r="BT856" s="2" t="s">
        <v>5</v>
      </c>
      <c r="BU856" s="2" t="s">
        <v>5</v>
      </c>
      <c r="BV856" s="2" t="s">
        <v>5</v>
      </c>
      <c r="BW856" s="2" t="s">
        <v>5</v>
      </c>
      <c r="BX856" s="2" t="s">
        <v>5</v>
      </c>
      <c r="BY856" s="25" t="s">
        <v>5</v>
      </c>
      <c r="BZ856" s="25" t="s">
        <v>5</v>
      </c>
      <c r="CA856" s="6" t="s">
        <v>5</v>
      </c>
      <c r="CB856" s="6" t="s">
        <v>5</v>
      </c>
      <c r="CC856" s="6" t="s">
        <v>5</v>
      </c>
      <c r="CD856" s="6" t="s">
        <v>5</v>
      </c>
      <c r="CE856" s="6" t="s">
        <v>5</v>
      </c>
      <c r="CF856" s="16" t="s">
        <v>5</v>
      </c>
      <c r="CG856" s="16" t="s">
        <v>5</v>
      </c>
      <c r="CH856" s="18" t="s">
        <v>5</v>
      </c>
    </row>
    <row r="857" spans="2:86">
      <c r="B857" s="78" t="s">
        <v>473</v>
      </c>
      <c r="C857" s="79" t="s">
        <v>957</v>
      </c>
      <c r="D857" s="80" t="s">
        <v>957</v>
      </c>
      <c r="E857" s="1" t="s">
        <v>4</v>
      </c>
      <c r="F857" s="7">
        <v>6.14</v>
      </c>
      <c r="G857" s="7">
        <v>1.83</v>
      </c>
      <c r="H857" s="3" t="str">
        <f t="shared" si="32"/>
        <v>2L3X2X3/16X3/4LLBB</v>
      </c>
      <c r="I857" s="7">
        <v>3</v>
      </c>
      <c r="J857" s="5" t="s">
        <v>5</v>
      </c>
      <c r="K857" s="6" t="s">
        <v>5</v>
      </c>
      <c r="L857" s="6" t="s">
        <v>5</v>
      </c>
      <c r="M857" s="6" t="s">
        <v>5</v>
      </c>
      <c r="N857" s="6" t="s">
        <v>5</v>
      </c>
      <c r="O857" s="5" t="s">
        <v>5</v>
      </c>
      <c r="P857" s="5" t="s">
        <v>5</v>
      </c>
      <c r="Q857" s="7">
        <v>2</v>
      </c>
      <c r="R857" s="6" t="s">
        <v>5</v>
      </c>
      <c r="S857" s="6" t="s">
        <v>5</v>
      </c>
      <c r="T857" s="5" t="s">
        <v>5</v>
      </c>
      <c r="U857" s="8" t="s">
        <v>5</v>
      </c>
      <c r="V857" s="6" t="s">
        <v>5</v>
      </c>
      <c r="W857" s="8" t="s">
        <v>5</v>
      </c>
      <c r="X857" s="22">
        <v>0.188</v>
      </c>
      <c r="Y857" s="6" t="s">
        <v>5</v>
      </c>
      <c r="Z857" s="6" t="s">
        <v>5</v>
      </c>
      <c r="AA857" s="6" t="s">
        <v>5</v>
      </c>
      <c r="AB857" s="8" t="s">
        <v>5</v>
      </c>
      <c r="AC857" s="8" t="s">
        <v>5</v>
      </c>
      <c r="AD857" s="6" t="s">
        <v>5</v>
      </c>
      <c r="AE857" s="22">
        <v>0.95199999999999996</v>
      </c>
      <c r="AF857" s="6" t="s">
        <v>5</v>
      </c>
      <c r="AG857" s="6" t="s">
        <v>5</v>
      </c>
      <c r="AH857" s="22">
        <v>0.55500000000000005</v>
      </c>
      <c r="AI857" s="6" t="s">
        <v>5</v>
      </c>
      <c r="AJ857" s="4">
        <v>16</v>
      </c>
      <c r="AK857" s="6" t="s">
        <v>5</v>
      </c>
      <c r="AL857" s="6" t="s">
        <v>5</v>
      </c>
      <c r="AM857" s="6" t="s">
        <v>5</v>
      </c>
      <c r="AN857" s="6" t="s">
        <v>5</v>
      </c>
      <c r="AO857" s="7">
        <v>1.69</v>
      </c>
      <c r="AP857" s="7">
        <v>1.49</v>
      </c>
      <c r="AQ857" s="22">
        <v>0.82799999999999996</v>
      </c>
      <c r="AR857" s="22">
        <v>0.96099999999999997</v>
      </c>
      <c r="AS857" s="7">
        <v>1.9</v>
      </c>
      <c r="AT857" s="6">
        <v>1.54</v>
      </c>
      <c r="AU857" s="22">
        <v>0.8</v>
      </c>
      <c r="AV857" s="7">
        <v>1.02</v>
      </c>
      <c r="AW857" s="6" t="s">
        <v>5</v>
      </c>
      <c r="AX857" s="6" t="s">
        <v>5</v>
      </c>
      <c r="AY857" s="6" t="s">
        <v>5</v>
      </c>
      <c r="AZ857" s="6" t="s">
        <v>5</v>
      </c>
      <c r="BA857" s="6" t="s">
        <v>5</v>
      </c>
      <c r="BB857" s="6" t="s">
        <v>5</v>
      </c>
      <c r="BC857" s="6" t="s">
        <v>5</v>
      </c>
      <c r="BD857" s="6" t="s">
        <v>5</v>
      </c>
      <c r="BE857" s="6" t="s">
        <v>5</v>
      </c>
      <c r="BF857" s="6" t="s">
        <v>5</v>
      </c>
      <c r="BG857" s="6" t="s">
        <v>5</v>
      </c>
      <c r="BH857" s="6" t="s">
        <v>5</v>
      </c>
      <c r="BI857" s="7">
        <v>1.64</v>
      </c>
      <c r="BJ857" s="22">
        <v>0.72599999999999998</v>
      </c>
      <c r="BK857" s="6" t="s">
        <v>5</v>
      </c>
      <c r="BL857" s="2" t="s">
        <v>5</v>
      </c>
      <c r="BM857" s="2" t="s">
        <v>5</v>
      </c>
      <c r="BN857" s="2" t="s">
        <v>5</v>
      </c>
      <c r="BO857" s="2" t="s">
        <v>5</v>
      </c>
      <c r="BP857" s="2" t="s">
        <v>5</v>
      </c>
      <c r="BQ857" s="2" t="s">
        <v>5</v>
      </c>
      <c r="BR857" s="2" t="s">
        <v>5</v>
      </c>
      <c r="BS857" s="2" t="s">
        <v>5</v>
      </c>
      <c r="BT857" s="2" t="s">
        <v>5</v>
      </c>
      <c r="BU857" s="2" t="s">
        <v>5</v>
      </c>
      <c r="BV857" s="2" t="s">
        <v>5</v>
      </c>
      <c r="BW857" s="2" t="s">
        <v>5</v>
      </c>
      <c r="BX857" s="2" t="s">
        <v>5</v>
      </c>
      <c r="BY857" s="25" t="s">
        <v>5</v>
      </c>
      <c r="BZ857" s="25" t="s">
        <v>5</v>
      </c>
      <c r="CA857" s="6" t="s">
        <v>5</v>
      </c>
      <c r="CB857" s="6" t="s">
        <v>5</v>
      </c>
      <c r="CC857" s="6" t="s">
        <v>5</v>
      </c>
      <c r="CD857" s="6" t="s">
        <v>5</v>
      </c>
      <c r="CE857" s="6" t="s">
        <v>5</v>
      </c>
      <c r="CF857" s="16" t="s">
        <v>5</v>
      </c>
      <c r="CG857" s="16" t="s">
        <v>5</v>
      </c>
      <c r="CH857" s="18" t="s">
        <v>5</v>
      </c>
    </row>
    <row r="858" spans="2:86">
      <c r="B858" s="78" t="s">
        <v>473</v>
      </c>
      <c r="C858" s="79" t="s">
        <v>958</v>
      </c>
      <c r="D858" s="80" t="s">
        <v>958</v>
      </c>
      <c r="E858" s="1" t="s">
        <v>4</v>
      </c>
      <c r="F858" s="4">
        <v>10.6</v>
      </c>
      <c r="G858" s="7">
        <v>3.1</v>
      </c>
      <c r="H858" s="3" t="str">
        <f t="shared" si="32"/>
        <v>2L2-1/2X2X3/8LLBB</v>
      </c>
      <c r="I858" s="7">
        <v>2.5</v>
      </c>
      <c r="J858" s="5" t="s">
        <v>5</v>
      </c>
      <c r="K858" s="6" t="s">
        <v>5</v>
      </c>
      <c r="L858" s="6" t="s">
        <v>5</v>
      </c>
      <c r="M858" s="6" t="s">
        <v>5</v>
      </c>
      <c r="N858" s="6" t="s">
        <v>5</v>
      </c>
      <c r="O858" s="5" t="s">
        <v>5</v>
      </c>
      <c r="P858" s="5" t="s">
        <v>5</v>
      </c>
      <c r="Q858" s="7">
        <v>2</v>
      </c>
      <c r="R858" s="6" t="s">
        <v>5</v>
      </c>
      <c r="S858" s="6" t="s">
        <v>5</v>
      </c>
      <c r="T858" s="5" t="s">
        <v>5</v>
      </c>
      <c r="U858" s="8" t="s">
        <v>5</v>
      </c>
      <c r="V858" s="6" t="s">
        <v>5</v>
      </c>
      <c r="W858" s="8" t="s">
        <v>5</v>
      </c>
      <c r="X858" s="22">
        <v>0.375</v>
      </c>
      <c r="Y858" s="6" t="s">
        <v>5</v>
      </c>
      <c r="Z858" s="6" t="s">
        <v>5</v>
      </c>
      <c r="AA858" s="6" t="s">
        <v>5</v>
      </c>
      <c r="AB858" s="8" t="s">
        <v>5</v>
      </c>
      <c r="AC858" s="8" t="s">
        <v>5</v>
      </c>
      <c r="AD858" s="6" t="s">
        <v>5</v>
      </c>
      <c r="AE858" s="22">
        <v>0.82599999999999996</v>
      </c>
      <c r="AF858" s="6" t="s">
        <v>5</v>
      </c>
      <c r="AG858" s="6" t="s">
        <v>5</v>
      </c>
      <c r="AH858" s="22">
        <v>0.433</v>
      </c>
      <c r="AI858" s="6" t="s">
        <v>5</v>
      </c>
      <c r="AJ858" s="7">
        <v>6.67</v>
      </c>
      <c r="AK858" s="6" t="s">
        <v>5</v>
      </c>
      <c r="AL858" s="6" t="s">
        <v>5</v>
      </c>
      <c r="AM858" s="6" t="s">
        <v>5</v>
      </c>
      <c r="AN858" s="6" t="s">
        <v>5</v>
      </c>
      <c r="AO858" s="7">
        <v>1.83</v>
      </c>
      <c r="AP858" s="7">
        <v>1.96</v>
      </c>
      <c r="AQ858" s="7">
        <v>1.0900000000000001</v>
      </c>
      <c r="AR858" s="22">
        <v>0.76600000000000001</v>
      </c>
      <c r="AS858" s="6">
        <v>2.06</v>
      </c>
      <c r="AT858" s="6">
        <v>1.79</v>
      </c>
      <c r="AU858" s="6">
        <v>1.03</v>
      </c>
      <c r="AV858" s="22">
        <v>0.81499999999999995</v>
      </c>
      <c r="AW858" s="6" t="s">
        <v>5</v>
      </c>
      <c r="AX858" s="6" t="s">
        <v>5</v>
      </c>
      <c r="AY858" s="6" t="s">
        <v>5</v>
      </c>
      <c r="AZ858" s="6" t="s">
        <v>5</v>
      </c>
      <c r="BA858" s="6" t="s">
        <v>5</v>
      </c>
      <c r="BB858" s="6" t="s">
        <v>5</v>
      </c>
      <c r="BC858" s="6" t="s">
        <v>5</v>
      </c>
      <c r="BD858" s="6" t="s">
        <v>5</v>
      </c>
      <c r="BE858" s="6" t="s">
        <v>5</v>
      </c>
      <c r="BF858" s="6" t="s">
        <v>5</v>
      </c>
      <c r="BG858" s="6" t="s">
        <v>5</v>
      </c>
      <c r="BH858" s="6" t="s">
        <v>5</v>
      </c>
      <c r="BI858" s="7">
        <v>1.29</v>
      </c>
      <c r="BJ858" s="22">
        <v>0.754</v>
      </c>
      <c r="BK858" s="6" t="s">
        <v>5</v>
      </c>
      <c r="BL858" s="2" t="s">
        <v>5</v>
      </c>
      <c r="BM858" s="2" t="s">
        <v>5</v>
      </c>
      <c r="BN858" s="2" t="s">
        <v>5</v>
      </c>
      <c r="BO858" s="2" t="s">
        <v>5</v>
      </c>
      <c r="BP858" s="2" t="s">
        <v>5</v>
      </c>
      <c r="BQ858" s="2" t="s">
        <v>5</v>
      </c>
      <c r="BR858" s="2" t="s">
        <v>5</v>
      </c>
      <c r="BS858" s="2" t="s">
        <v>5</v>
      </c>
      <c r="BT858" s="2" t="s">
        <v>5</v>
      </c>
      <c r="BU858" s="2" t="s">
        <v>5</v>
      </c>
      <c r="BV858" s="2" t="s">
        <v>5</v>
      </c>
      <c r="BW858" s="2" t="s">
        <v>5</v>
      </c>
      <c r="BX858" s="2" t="s">
        <v>5</v>
      </c>
      <c r="BY858" s="25" t="s">
        <v>5</v>
      </c>
      <c r="BZ858" s="25" t="s">
        <v>5</v>
      </c>
      <c r="CA858" s="6" t="s">
        <v>5</v>
      </c>
      <c r="CB858" s="6" t="s">
        <v>5</v>
      </c>
      <c r="CC858" s="6" t="s">
        <v>5</v>
      </c>
      <c r="CD858" s="6" t="s">
        <v>5</v>
      </c>
      <c r="CE858" s="6" t="s">
        <v>5</v>
      </c>
      <c r="CF858" s="16" t="s">
        <v>5</v>
      </c>
      <c r="CG858" s="16" t="s">
        <v>5</v>
      </c>
      <c r="CH858" s="18" t="s">
        <v>5</v>
      </c>
    </row>
    <row r="859" spans="2:86">
      <c r="B859" s="78" t="s">
        <v>473</v>
      </c>
      <c r="C859" s="79" t="s">
        <v>959</v>
      </c>
      <c r="D859" s="80" t="s">
        <v>959</v>
      </c>
      <c r="E859" s="1" t="s">
        <v>4</v>
      </c>
      <c r="F859" s="4">
        <v>10.6</v>
      </c>
      <c r="G859" s="7">
        <v>3.1</v>
      </c>
      <c r="H859" s="3" t="str">
        <f t="shared" si="32"/>
        <v>2L2-1/2X2X3/8X3/8LLBB</v>
      </c>
      <c r="I859" s="7">
        <v>2.5</v>
      </c>
      <c r="J859" s="5" t="s">
        <v>5</v>
      </c>
      <c r="K859" s="6" t="s">
        <v>5</v>
      </c>
      <c r="L859" s="6" t="s">
        <v>5</v>
      </c>
      <c r="M859" s="6" t="s">
        <v>5</v>
      </c>
      <c r="N859" s="6" t="s">
        <v>5</v>
      </c>
      <c r="O859" s="5" t="s">
        <v>5</v>
      </c>
      <c r="P859" s="5" t="s">
        <v>5</v>
      </c>
      <c r="Q859" s="7">
        <v>2</v>
      </c>
      <c r="R859" s="6" t="s">
        <v>5</v>
      </c>
      <c r="S859" s="6" t="s">
        <v>5</v>
      </c>
      <c r="T859" s="5" t="s">
        <v>5</v>
      </c>
      <c r="U859" s="8" t="s">
        <v>5</v>
      </c>
      <c r="V859" s="6" t="s">
        <v>5</v>
      </c>
      <c r="W859" s="8" t="s">
        <v>5</v>
      </c>
      <c r="X859" s="22">
        <v>0.375</v>
      </c>
      <c r="Y859" s="6" t="s">
        <v>5</v>
      </c>
      <c r="Z859" s="6" t="s">
        <v>5</v>
      </c>
      <c r="AA859" s="6" t="s">
        <v>5</v>
      </c>
      <c r="AB859" s="8" t="s">
        <v>5</v>
      </c>
      <c r="AC859" s="8" t="s">
        <v>5</v>
      </c>
      <c r="AD859" s="6" t="s">
        <v>5</v>
      </c>
      <c r="AE859" s="22">
        <v>0.82599999999999996</v>
      </c>
      <c r="AF859" s="6" t="s">
        <v>5</v>
      </c>
      <c r="AG859" s="6" t="s">
        <v>5</v>
      </c>
      <c r="AH859" s="22">
        <v>0.433</v>
      </c>
      <c r="AI859" s="6" t="s">
        <v>5</v>
      </c>
      <c r="AJ859" s="7">
        <v>6.67</v>
      </c>
      <c r="AK859" s="6" t="s">
        <v>5</v>
      </c>
      <c r="AL859" s="6" t="s">
        <v>5</v>
      </c>
      <c r="AM859" s="6" t="s">
        <v>5</v>
      </c>
      <c r="AN859" s="6" t="s">
        <v>5</v>
      </c>
      <c r="AO859" s="7">
        <v>1.83</v>
      </c>
      <c r="AP859" s="7">
        <v>1.96</v>
      </c>
      <c r="AQ859" s="7">
        <v>1.0900000000000001</v>
      </c>
      <c r="AR859" s="22">
        <v>0.76600000000000001</v>
      </c>
      <c r="AS859" s="6">
        <v>2.84</v>
      </c>
      <c r="AT859" s="6">
        <v>2.37</v>
      </c>
      <c r="AU859" s="7">
        <v>1.3</v>
      </c>
      <c r="AV859" s="22">
        <v>0.95700000000000007</v>
      </c>
      <c r="AW859" s="6" t="s">
        <v>5</v>
      </c>
      <c r="AX859" s="6" t="s">
        <v>5</v>
      </c>
      <c r="AY859" s="6" t="s">
        <v>5</v>
      </c>
      <c r="AZ859" s="6" t="s">
        <v>5</v>
      </c>
      <c r="BA859" s="6" t="s">
        <v>5</v>
      </c>
      <c r="BB859" s="6" t="s">
        <v>5</v>
      </c>
      <c r="BC859" s="6" t="s">
        <v>5</v>
      </c>
      <c r="BD859" s="6" t="s">
        <v>5</v>
      </c>
      <c r="BE859" s="6" t="s">
        <v>5</v>
      </c>
      <c r="BF859" s="6" t="s">
        <v>5</v>
      </c>
      <c r="BG859" s="6" t="s">
        <v>5</v>
      </c>
      <c r="BH859" s="6" t="s">
        <v>5</v>
      </c>
      <c r="BI859" s="7">
        <v>1.38</v>
      </c>
      <c r="BJ859" s="22">
        <v>0.78600000000000003</v>
      </c>
      <c r="BK859" s="6" t="s">
        <v>5</v>
      </c>
      <c r="BL859" s="2" t="s">
        <v>5</v>
      </c>
      <c r="BM859" s="2" t="s">
        <v>5</v>
      </c>
      <c r="BN859" s="2" t="s">
        <v>5</v>
      </c>
      <c r="BO859" s="2" t="s">
        <v>5</v>
      </c>
      <c r="BP859" s="2" t="s">
        <v>5</v>
      </c>
      <c r="BQ859" s="2" t="s">
        <v>5</v>
      </c>
      <c r="BR859" s="2" t="s">
        <v>5</v>
      </c>
      <c r="BS859" s="2" t="s">
        <v>5</v>
      </c>
      <c r="BT859" s="2" t="s">
        <v>5</v>
      </c>
      <c r="BU859" s="2" t="s">
        <v>5</v>
      </c>
      <c r="BV859" s="2" t="s">
        <v>5</v>
      </c>
      <c r="BW859" s="2" t="s">
        <v>5</v>
      </c>
      <c r="BX859" s="2" t="s">
        <v>5</v>
      </c>
      <c r="BY859" s="25" t="s">
        <v>5</v>
      </c>
      <c r="BZ859" s="25" t="s">
        <v>5</v>
      </c>
      <c r="CA859" s="6" t="s">
        <v>5</v>
      </c>
      <c r="CB859" s="6" t="s">
        <v>5</v>
      </c>
      <c r="CC859" s="6" t="s">
        <v>5</v>
      </c>
      <c r="CD859" s="6" t="s">
        <v>5</v>
      </c>
      <c r="CE859" s="6" t="s">
        <v>5</v>
      </c>
      <c r="CF859" s="16" t="s">
        <v>5</v>
      </c>
      <c r="CG859" s="16" t="s">
        <v>5</v>
      </c>
      <c r="CH859" s="18" t="s">
        <v>5</v>
      </c>
    </row>
    <row r="860" spans="2:86">
      <c r="B860" s="78" t="s">
        <v>473</v>
      </c>
      <c r="C860" s="79" t="s">
        <v>960</v>
      </c>
      <c r="D860" s="80" t="s">
        <v>960</v>
      </c>
      <c r="E860" s="1" t="s">
        <v>4</v>
      </c>
      <c r="F860" s="4">
        <v>10.6</v>
      </c>
      <c r="G860" s="7">
        <v>3.1</v>
      </c>
      <c r="H860" s="3" t="str">
        <f t="shared" si="32"/>
        <v>2L2-1/2X2X3/8X3/4LLBB</v>
      </c>
      <c r="I860" s="7">
        <v>2.5</v>
      </c>
      <c r="J860" s="5" t="s">
        <v>5</v>
      </c>
      <c r="K860" s="6" t="s">
        <v>5</v>
      </c>
      <c r="L860" s="6" t="s">
        <v>5</v>
      </c>
      <c r="M860" s="6" t="s">
        <v>5</v>
      </c>
      <c r="N860" s="6" t="s">
        <v>5</v>
      </c>
      <c r="O860" s="5" t="s">
        <v>5</v>
      </c>
      <c r="P860" s="5" t="s">
        <v>5</v>
      </c>
      <c r="Q860" s="7">
        <v>2</v>
      </c>
      <c r="R860" s="6" t="s">
        <v>5</v>
      </c>
      <c r="S860" s="6" t="s">
        <v>5</v>
      </c>
      <c r="T860" s="5" t="s">
        <v>5</v>
      </c>
      <c r="U860" s="8" t="s">
        <v>5</v>
      </c>
      <c r="V860" s="6" t="s">
        <v>5</v>
      </c>
      <c r="W860" s="8" t="s">
        <v>5</v>
      </c>
      <c r="X860" s="22">
        <v>0.375</v>
      </c>
      <c r="Y860" s="6" t="s">
        <v>5</v>
      </c>
      <c r="Z860" s="6" t="s">
        <v>5</v>
      </c>
      <c r="AA860" s="6" t="s">
        <v>5</v>
      </c>
      <c r="AB860" s="8" t="s">
        <v>5</v>
      </c>
      <c r="AC860" s="8" t="s">
        <v>5</v>
      </c>
      <c r="AD860" s="6" t="s">
        <v>5</v>
      </c>
      <c r="AE860" s="22">
        <v>0.82599999999999996</v>
      </c>
      <c r="AF860" s="6" t="s">
        <v>5</v>
      </c>
      <c r="AG860" s="6" t="s">
        <v>5</v>
      </c>
      <c r="AH860" s="22">
        <v>0.433</v>
      </c>
      <c r="AI860" s="6" t="s">
        <v>5</v>
      </c>
      <c r="AJ860" s="7">
        <v>6.67</v>
      </c>
      <c r="AK860" s="6" t="s">
        <v>5</v>
      </c>
      <c r="AL860" s="6" t="s">
        <v>5</v>
      </c>
      <c r="AM860" s="6" t="s">
        <v>5</v>
      </c>
      <c r="AN860" s="6" t="s">
        <v>5</v>
      </c>
      <c r="AO860" s="7">
        <v>1.83</v>
      </c>
      <c r="AP860" s="7">
        <v>1.96</v>
      </c>
      <c r="AQ860" s="7">
        <v>1.0900000000000001</v>
      </c>
      <c r="AR860" s="22">
        <v>0.76600000000000001</v>
      </c>
      <c r="AS860" s="6">
        <v>3.82</v>
      </c>
      <c r="AT860" s="6">
        <v>2.95</v>
      </c>
      <c r="AU860" s="6">
        <v>1.61</v>
      </c>
      <c r="AV860" s="7">
        <v>1.1100000000000001</v>
      </c>
      <c r="AW860" s="6" t="s">
        <v>5</v>
      </c>
      <c r="AX860" s="6" t="s">
        <v>5</v>
      </c>
      <c r="AY860" s="6" t="s">
        <v>5</v>
      </c>
      <c r="AZ860" s="6" t="s">
        <v>5</v>
      </c>
      <c r="BA860" s="6" t="s">
        <v>5</v>
      </c>
      <c r="BB860" s="6" t="s">
        <v>5</v>
      </c>
      <c r="BC860" s="6" t="s">
        <v>5</v>
      </c>
      <c r="BD860" s="6" t="s">
        <v>5</v>
      </c>
      <c r="BE860" s="6" t="s">
        <v>5</v>
      </c>
      <c r="BF860" s="6" t="s">
        <v>5</v>
      </c>
      <c r="BG860" s="6" t="s">
        <v>5</v>
      </c>
      <c r="BH860" s="6" t="s">
        <v>5</v>
      </c>
      <c r="BI860" s="7">
        <v>1.49</v>
      </c>
      <c r="BJ860" s="22">
        <v>0.81699999999999995</v>
      </c>
      <c r="BK860" s="6" t="s">
        <v>5</v>
      </c>
      <c r="BL860" s="2" t="s">
        <v>5</v>
      </c>
      <c r="BM860" s="2" t="s">
        <v>5</v>
      </c>
      <c r="BN860" s="2" t="s">
        <v>5</v>
      </c>
      <c r="BO860" s="2" t="s">
        <v>5</v>
      </c>
      <c r="BP860" s="2" t="s">
        <v>5</v>
      </c>
      <c r="BQ860" s="2" t="s">
        <v>5</v>
      </c>
      <c r="BR860" s="2" t="s">
        <v>5</v>
      </c>
      <c r="BS860" s="2" t="s">
        <v>5</v>
      </c>
      <c r="BT860" s="2" t="s">
        <v>5</v>
      </c>
      <c r="BU860" s="2" t="s">
        <v>5</v>
      </c>
      <c r="BV860" s="2" t="s">
        <v>5</v>
      </c>
      <c r="BW860" s="2" t="s">
        <v>5</v>
      </c>
      <c r="BX860" s="2" t="s">
        <v>5</v>
      </c>
      <c r="BY860" s="25" t="s">
        <v>5</v>
      </c>
      <c r="BZ860" s="25" t="s">
        <v>5</v>
      </c>
      <c r="CA860" s="6" t="s">
        <v>5</v>
      </c>
      <c r="CB860" s="6" t="s">
        <v>5</v>
      </c>
      <c r="CC860" s="6" t="s">
        <v>5</v>
      </c>
      <c r="CD860" s="6" t="s">
        <v>5</v>
      </c>
      <c r="CE860" s="6" t="s">
        <v>5</v>
      </c>
      <c r="CF860" s="16" t="s">
        <v>5</v>
      </c>
      <c r="CG860" s="16" t="s">
        <v>5</v>
      </c>
      <c r="CH860" s="18" t="s">
        <v>5</v>
      </c>
    </row>
    <row r="861" spans="2:86">
      <c r="B861" s="78" t="s">
        <v>473</v>
      </c>
      <c r="C861" s="79" t="s">
        <v>961</v>
      </c>
      <c r="D861" s="80" t="s">
        <v>961</v>
      </c>
      <c r="E861" s="1" t="s">
        <v>4</v>
      </c>
      <c r="F861" s="7">
        <v>9</v>
      </c>
      <c r="G861" s="7">
        <v>2.64</v>
      </c>
      <c r="H861" s="3" t="str">
        <f t="shared" si="32"/>
        <v>2L2-1/2X2X5/16LLBB</v>
      </c>
      <c r="I861" s="7">
        <v>2.5</v>
      </c>
      <c r="J861" s="5" t="s">
        <v>5</v>
      </c>
      <c r="K861" s="6" t="s">
        <v>5</v>
      </c>
      <c r="L861" s="6" t="s">
        <v>5</v>
      </c>
      <c r="M861" s="6" t="s">
        <v>5</v>
      </c>
      <c r="N861" s="6" t="s">
        <v>5</v>
      </c>
      <c r="O861" s="5" t="s">
        <v>5</v>
      </c>
      <c r="P861" s="5" t="s">
        <v>5</v>
      </c>
      <c r="Q861" s="7">
        <v>2</v>
      </c>
      <c r="R861" s="6" t="s">
        <v>5</v>
      </c>
      <c r="S861" s="6" t="s">
        <v>5</v>
      </c>
      <c r="T861" s="5" t="s">
        <v>5</v>
      </c>
      <c r="U861" s="8" t="s">
        <v>5</v>
      </c>
      <c r="V861" s="6" t="s">
        <v>5</v>
      </c>
      <c r="W861" s="8" t="s">
        <v>5</v>
      </c>
      <c r="X861" s="22">
        <v>0.313</v>
      </c>
      <c r="Y861" s="6" t="s">
        <v>5</v>
      </c>
      <c r="Z861" s="6" t="s">
        <v>5</v>
      </c>
      <c r="AA861" s="6" t="s">
        <v>5</v>
      </c>
      <c r="AB861" s="8" t="s">
        <v>5</v>
      </c>
      <c r="AC861" s="8" t="s">
        <v>5</v>
      </c>
      <c r="AD861" s="6" t="s">
        <v>5</v>
      </c>
      <c r="AE861" s="22">
        <v>0.80300000000000005</v>
      </c>
      <c r="AF861" s="6" t="s">
        <v>5</v>
      </c>
      <c r="AG861" s="6" t="s">
        <v>5</v>
      </c>
      <c r="AH861" s="22">
        <v>0.38800000000000001</v>
      </c>
      <c r="AI861" s="6" t="s">
        <v>5</v>
      </c>
      <c r="AJ861" s="7">
        <v>7.99</v>
      </c>
      <c r="AK861" s="6" t="s">
        <v>5</v>
      </c>
      <c r="AL861" s="6" t="s">
        <v>5</v>
      </c>
      <c r="AM861" s="6" t="s">
        <v>5</v>
      </c>
      <c r="AN861" s="6" t="s">
        <v>5</v>
      </c>
      <c r="AO861" s="7">
        <v>1.58</v>
      </c>
      <c r="AP861" s="7">
        <v>1.68</v>
      </c>
      <c r="AQ861" s="22">
        <v>0.93</v>
      </c>
      <c r="AR861" s="22">
        <v>0.77400000000000002</v>
      </c>
      <c r="AS861" s="6">
        <v>1.71</v>
      </c>
      <c r="AT861" s="6">
        <v>1.47</v>
      </c>
      <c r="AU861" s="6">
        <v>0.85499999999999998</v>
      </c>
      <c r="AV861" s="22">
        <v>0.80400000000000005</v>
      </c>
      <c r="AW861" s="6" t="s">
        <v>5</v>
      </c>
      <c r="AX861" s="6" t="s">
        <v>5</v>
      </c>
      <c r="AY861" s="6" t="s">
        <v>5</v>
      </c>
      <c r="AZ861" s="6" t="s">
        <v>5</v>
      </c>
      <c r="BA861" s="6" t="s">
        <v>5</v>
      </c>
      <c r="BB861" s="6" t="s">
        <v>5</v>
      </c>
      <c r="BC861" s="6" t="s">
        <v>5</v>
      </c>
      <c r="BD861" s="6" t="s">
        <v>5</v>
      </c>
      <c r="BE861" s="6" t="s">
        <v>5</v>
      </c>
      <c r="BF861" s="6" t="s">
        <v>5</v>
      </c>
      <c r="BG861" s="6" t="s">
        <v>5</v>
      </c>
      <c r="BH861" s="6" t="s">
        <v>5</v>
      </c>
      <c r="BI861" s="7">
        <v>1.29</v>
      </c>
      <c r="BJ861" s="22">
        <v>0.748</v>
      </c>
      <c r="BK861" s="6" t="s">
        <v>5</v>
      </c>
      <c r="BL861" s="2" t="s">
        <v>5</v>
      </c>
      <c r="BM861" s="2" t="s">
        <v>5</v>
      </c>
      <c r="BN861" s="2" t="s">
        <v>5</v>
      </c>
      <c r="BO861" s="2" t="s">
        <v>5</v>
      </c>
      <c r="BP861" s="2" t="s">
        <v>5</v>
      </c>
      <c r="BQ861" s="2" t="s">
        <v>5</v>
      </c>
      <c r="BR861" s="2" t="s">
        <v>5</v>
      </c>
      <c r="BS861" s="2" t="s">
        <v>5</v>
      </c>
      <c r="BT861" s="2" t="s">
        <v>5</v>
      </c>
      <c r="BU861" s="2" t="s">
        <v>5</v>
      </c>
      <c r="BV861" s="2" t="s">
        <v>5</v>
      </c>
      <c r="BW861" s="2" t="s">
        <v>5</v>
      </c>
      <c r="BX861" s="2" t="s">
        <v>5</v>
      </c>
      <c r="BY861" s="25" t="s">
        <v>5</v>
      </c>
      <c r="BZ861" s="25" t="s">
        <v>5</v>
      </c>
      <c r="CA861" s="6" t="s">
        <v>5</v>
      </c>
      <c r="CB861" s="6" t="s">
        <v>5</v>
      </c>
      <c r="CC861" s="6" t="s">
        <v>5</v>
      </c>
      <c r="CD861" s="6" t="s">
        <v>5</v>
      </c>
      <c r="CE861" s="6" t="s">
        <v>5</v>
      </c>
      <c r="CF861" s="16" t="s">
        <v>5</v>
      </c>
      <c r="CG861" s="16" t="s">
        <v>5</v>
      </c>
      <c r="CH861" s="18" t="s">
        <v>5</v>
      </c>
    </row>
    <row r="862" spans="2:86">
      <c r="B862" s="78" t="s">
        <v>473</v>
      </c>
      <c r="C862" s="79" t="s">
        <v>962</v>
      </c>
      <c r="D862" s="80" t="s">
        <v>962</v>
      </c>
      <c r="E862" s="1" t="s">
        <v>4</v>
      </c>
      <c r="F862" s="7">
        <v>9</v>
      </c>
      <c r="G862" s="7">
        <v>2.64</v>
      </c>
      <c r="H862" s="3" t="str">
        <f t="shared" si="32"/>
        <v>2L2-1/2X2X5/16X3/8LLBB</v>
      </c>
      <c r="I862" s="7">
        <v>2.5</v>
      </c>
      <c r="J862" s="5" t="s">
        <v>5</v>
      </c>
      <c r="K862" s="6" t="s">
        <v>5</v>
      </c>
      <c r="L862" s="6" t="s">
        <v>5</v>
      </c>
      <c r="M862" s="6" t="s">
        <v>5</v>
      </c>
      <c r="N862" s="6" t="s">
        <v>5</v>
      </c>
      <c r="O862" s="5" t="s">
        <v>5</v>
      </c>
      <c r="P862" s="5" t="s">
        <v>5</v>
      </c>
      <c r="Q862" s="7">
        <v>2</v>
      </c>
      <c r="R862" s="6" t="s">
        <v>5</v>
      </c>
      <c r="S862" s="6" t="s">
        <v>5</v>
      </c>
      <c r="T862" s="5" t="s">
        <v>5</v>
      </c>
      <c r="U862" s="8" t="s">
        <v>5</v>
      </c>
      <c r="V862" s="6" t="s">
        <v>5</v>
      </c>
      <c r="W862" s="8" t="s">
        <v>5</v>
      </c>
      <c r="X862" s="22">
        <v>0.313</v>
      </c>
      <c r="Y862" s="6" t="s">
        <v>5</v>
      </c>
      <c r="Z862" s="6" t="s">
        <v>5</v>
      </c>
      <c r="AA862" s="6" t="s">
        <v>5</v>
      </c>
      <c r="AB862" s="8" t="s">
        <v>5</v>
      </c>
      <c r="AC862" s="8" t="s">
        <v>5</v>
      </c>
      <c r="AD862" s="6" t="s">
        <v>5</v>
      </c>
      <c r="AE862" s="22">
        <v>0.80300000000000005</v>
      </c>
      <c r="AF862" s="6" t="s">
        <v>5</v>
      </c>
      <c r="AG862" s="6" t="s">
        <v>5</v>
      </c>
      <c r="AH862" s="22">
        <v>0.38800000000000001</v>
      </c>
      <c r="AI862" s="6" t="s">
        <v>5</v>
      </c>
      <c r="AJ862" s="7">
        <v>7.99</v>
      </c>
      <c r="AK862" s="6" t="s">
        <v>5</v>
      </c>
      <c r="AL862" s="6" t="s">
        <v>5</v>
      </c>
      <c r="AM862" s="6" t="s">
        <v>5</v>
      </c>
      <c r="AN862" s="6" t="s">
        <v>5</v>
      </c>
      <c r="AO862" s="7">
        <v>1.58</v>
      </c>
      <c r="AP862" s="7">
        <v>1.68</v>
      </c>
      <c r="AQ862" s="22">
        <v>0.93</v>
      </c>
      <c r="AR862" s="22">
        <v>0.77400000000000002</v>
      </c>
      <c r="AS862" s="6">
        <v>2.35</v>
      </c>
      <c r="AT862" s="6">
        <v>1.96</v>
      </c>
      <c r="AU862" s="6">
        <v>1.07</v>
      </c>
      <c r="AV862" s="22">
        <v>0.94300000000000006</v>
      </c>
      <c r="AW862" s="6" t="s">
        <v>5</v>
      </c>
      <c r="AX862" s="6" t="s">
        <v>5</v>
      </c>
      <c r="AY862" s="6" t="s">
        <v>5</v>
      </c>
      <c r="AZ862" s="6" t="s">
        <v>5</v>
      </c>
      <c r="BA862" s="6" t="s">
        <v>5</v>
      </c>
      <c r="BB862" s="6" t="s">
        <v>5</v>
      </c>
      <c r="BC862" s="6" t="s">
        <v>5</v>
      </c>
      <c r="BD862" s="6" t="s">
        <v>5</v>
      </c>
      <c r="BE862" s="6" t="s">
        <v>5</v>
      </c>
      <c r="BF862" s="6" t="s">
        <v>5</v>
      </c>
      <c r="BG862" s="6" t="s">
        <v>5</v>
      </c>
      <c r="BH862" s="6" t="s">
        <v>5</v>
      </c>
      <c r="BI862" s="7">
        <v>1.38</v>
      </c>
      <c r="BJ862" s="22">
        <v>0.78100000000000003</v>
      </c>
      <c r="BK862" s="6" t="s">
        <v>5</v>
      </c>
      <c r="BL862" s="2" t="s">
        <v>5</v>
      </c>
      <c r="BM862" s="2" t="s">
        <v>5</v>
      </c>
      <c r="BN862" s="2" t="s">
        <v>5</v>
      </c>
      <c r="BO862" s="2" t="s">
        <v>5</v>
      </c>
      <c r="BP862" s="2" t="s">
        <v>5</v>
      </c>
      <c r="BQ862" s="2" t="s">
        <v>5</v>
      </c>
      <c r="BR862" s="2" t="s">
        <v>5</v>
      </c>
      <c r="BS862" s="2" t="s">
        <v>5</v>
      </c>
      <c r="BT862" s="2" t="s">
        <v>5</v>
      </c>
      <c r="BU862" s="2" t="s">
        <v>5</v>
      </c>
      <c r="BV862" s="2" t="s">
        <v>5</v>
      </c>
      <c r="BW862" s="2" t="s">
        <v>5</v>
      </c>
      <c r="BX862" s="2" t="s">
        <v>5</v>
      </c>
      <c r="BY862" s="25" t="s">
        <v>5</v>
      </c>
      <c r="BZ862" s="25" t="s">
        <v>5</v>
      </c>
      <c r="CA862" s="6" t="s">
        <v>5</v>
      </c>
      <c r="CB862" s="6" t="s">
        <v>5</v>
      </c>
      <c r="CC862" s="6" t="s">
        <v>5</v>
      </c>
      <c r="CD862" s="6" t="s">
        <v>5</v>
      </c>
      <c r="CE862" s="6" t="s">
        <v>5</v>
      </c>
      <c r="CF862" s="16" t="s">
        <v>5</v>
      </c>
      <c r="CG862" s="16" t="s">
        <v>5</v>
      </c>
      <c r="CH862" s="18" t="s">
        <v>5</v>
      </c>
    </row>
    <row r="863" spans="2:86">
      <c r="B863" s="78" t="s">
        <v>473</v>
      </c>
      <c r="C863" s="79" t="s">
        <v>963</v>
      </c>
      <c r="D863" s="80" t="s">
        <v>963</v>
      </c>
      <c r="E863" s="1" t="s">
        <v>4</v>
      </c>
      <c r="F863" s="7">
        <v>9</v>
      </c>
      <c r="G863" s="7">
        <v>2.64</v>
      </c>
      <c r="H863" s="3" t="str">
        <f t="shared" si="32"/>
        <v>2L2-1/2X2X5/16X3/4LLBB</v>
      </c>
      <c r="I863" s="7">
        <v>2.5</v>
      </c>
      <c r="J863" s="5" t="s">
        <v>5</v>
      </c>
      <c r="K863" s="6" t="s">
        <v>5</v>
      </c>
      <c r="L863" s="6" t="s">
        <v>5</v>
      </c>
      <c r="M863" s="6" t="s">
        <v>5</v>
      </c>
      <c r="N863" s="6" t="s">
        <v>5</v>
      </c>
      <c r="O863" s="5" t="s">
        <v>5</v>
      </c>
      <c r="P863" s="5" t="s">
        <v>5</v>
      </c>
      <c r="Q863" s="7">
        <v>2</v>
      </c>
      <c r="R863" s="6" t="s">
        <v>5</v>
      </c>
      <c r="S863" s="6" t="s">
        <v>5</v>
      </c>
      <c r="T863" s="5" t="s">
        <v>5</v>
      </c>
      <c r="U863" s="8" t="s">
        <v>5</v>
      </c>
      <c r="V863" s="6" t="s">
        <v>5</v>
      </c>
      <c r="W863" s="8" t="s">
        <v>5</v>
      </c>
      <c r="X863" s="22">
        <v>0.313</v>
      </c>
      <c r="Y863" s="6" t="s">
        <v>5</v>
      </c>
      <c r="Z863" s="6" t="s">
        <v>5</v>
      </c>
      <c r="AA863" s="6" t="s">
        <v>5</v>
      </c>
      <c r="AB863" s="8" t="s">
        <v>5</v>
      </c>
      <c r="AC863" s="8" t="s">
        <v>5</v>
      </c>
      <c r="AD863" s="6" t="s">
        <v>5</v>
      </c>
      <c r="AE863" s="22">
        <v>0.80300000000000005</v>
      </c>
      <c r="AF863" s="6" t="s">
        <v>5</v>
      </c>
      <c r="AG863" s="6" t="s">
        <v>5</v>
      </c>
      <c r="AH863" s="22">
        <v>0.38800000000000001</v>
      </c>
      <c r="AI863" s="6" t="s">
        <v>5</v>
      </c>
      <c r="AJ863" s="7">
        <v>7.99</v>
      </c>
      <c r="AK863" s="6" t="s">
        <v>5</v>
      </c>
      <c r="AL863" s="6" t="s">
        <v>5</v>
      </c>
      <c r="AM863" s="6" t="s">
        <v>5</v>
      </c>
      <c r="AN863" s="6" t="s">
        <v>5</v>
      </c>
      <c r="AO863" s="7">
        <v>1.58</v>
      </c>
      <c r="AP863" s="7">
        <v>1.68</v>
      </c>
      <c r="AQ863" s="22">
        <v>0.93</v>
      </c>
      <c r="AR863" s="22">
        <v>0.77400000000000002</v>
      </c>
      <c r="AS863" s="6">
        <v>3.19</v>
      </c>
      <c r="AT863" s="6">
        <v>2.46</v>
      </c>
      <c r="AU863" s="6">
        <v>1.34</v>
      </c>
      <c r="AV863" s="7">
        <v>1.1000000000000001</v>
      </c>
      <c r="AW863" s="6" t="s">
        <v>5</v>
      </c>
      <c r="AX863" s="6" t="s">
        <v>5</v>
      </c>
      <c r="AY863" s="6" t="s">
        <v>5</v>
      </c>
      <c r="AZ863" s="6" t="s">
        <v>5</v>
      </c>
      <c r="BA863" s="6" t="s">
        <v>5</v>
      </c>
      <c r="BB863" s="6" t="s">
        <v>5</v>
      </c>
      <c r="BC863" s="6" t="s">
        <v>5</v>
      </c>
      <c r="BD863" s="6" t="s">
        <v>5</v>
      </c>
      <c r="BE863" s="6" t="s">
        <v>5</v>
      </c>
      <c r="BF863" s="6" t="s">
        <v>5</v>
      </c>
      <c r="BG863" s="6" t="s">
        <v>5</v>
      </c>
      <c r="BH863" s="6" t="s">
        <v>5</v>
      </c>
      <c r="BI863" s="7">
        <v>1.49</v>
      </c>
      <c r="BJ863" s="22">
        <v>0.81200000000000006</v>
      </c>
      <c r="BK863" s="6" t="s">
        <v>5</v>
      </c>
      <c r="BL863" s="2" t="s">
        <v>5</v>
      </c>
      <c r="BM863" s="2" t="s">
        <v>5</v>
      </c>
      <c r="BN863" s="2" t="s">
        <v>5</v>
      </c>
      <c r="BO863" s="2" t="s">
        <v>5</v>
      </c>
      <c r="BP863" s="2" t="s">
        <v>5</v>
      </c>
      <c r="BQ863" s="2" t="s">
        <v>5</v>
      </c>
      <c r="BR863" s="2" t="s">
        <v>5</v>
      </c>
      <c r="BS863" s="2" t="s">
        <v>5</v>
      </c>
      <c r="BT863" s="2" t="s">
        <v>5</v>
      </c>
      <c r="BU863" s="2" t="s">
        <v>5</v>
      </c>
      <c r="BV863" s="2" t="s">
        <v>5</v>
      </c>
      <c r="BW863" s="2" t="s">
        <v>5</v>
      </c>
      <c r="BX863" s="2" t="s">
        <v>5</v>
      </c>
      <c r="BY863" s="25" t="s">
        <v>5</v>
      </c>
      <c r="BZ863" s="25" t="s">
        <v>5</v>
      </c>
      <c r="CA863" s="6" t="s">
        <v>5</v>
      </c>
      <c r="CB863" s="6" t="s">
        <v>5</v>
      </c>
      <c r="CC863" s="6" t="s">
        <v>5</v>
      </c>
      <c r="CD863" s="6" t="s">
        <v>5</v>
      </c>
      <c r="CE863" s="6" t="s">
        <v>5</v>
      </c>
      <c r="CF863" s="16" t="s">
        <v>5</v>
      </c>
      <c r="CG863" s="16" t="s">
        <v>5</v>
      </c>
      <c r="CH863" s="18" t="s">
        <v>5</v>
      </c>
    </row>
    <row r="864" spans="2:86">
      <c r="B864" s="78" t="s">
        <v>473</v>
      </c>
      <c r="C864" s="79" t="s">
        <v>964</v>
      </c>
      <c r="D864" s="80" t="s">
        <v>964</v>
      </c>
      <c r="E864" s="1" t="s">
        <v>4</v>
      </c>
      <c r="F864" s="7">
        <v>7.24</v>
      </c>
      <c r="G864" s="7">
        <v>2.14</v>
      </c>
      <c r="H864" s="3" t="str">
        <f t="shared" si="32"/>
        <v>2L2-1/2X2X1/4LLBB</v>
      </c>
      <c r="I864" s="7">
        <v>2.5</v>
      </c>
      <c r="J864" s="5" t="s">
        <v>5</v>
      </c>
      <c r="K864" s="6" t="s">
        <v>5</v>
      </c>
      <c r="L864" s="6" t="s">
        <v>5</v>
      </c>
      <c r="M864" s="6" t="s">
        <v>5</v>
      </c>
      <c r="N864" s="6" t="s">
        <v>5</v>
      </c>
      <c r="O864" s="5" t="s">
        <v>5</v>
      </c>
      <c r="P864" s="5" t="s">
        <v>5</v>
      </c>
      <c r="Q864" s="7">
        <v>2</v>
      </c>
      <c r="R864" s="6" t="s">
        <v>5</v>
      </c>
      <c r="S864" s="6" t="s">
        <v>5</v>
      </c>
      <c r="T864" s="5" t="s">
        <v>5</v>
      </c>
      <c r="U864" s="8" t="s">
        <v>5</v>
      </c>
      <c r="V864" s="6" t="s">
        <v>5</v>
      </c>
      <c r="W864" s="8" t="s">
        <v>5</v>
      </c>
      <c r="X864" s="22">
        <v>0.25</v>
      </c>
      <c r="Y864" s="6" t="s">
        <v>5</v>
      </c>
      <c r="Z864" s="6" t="s">
        <v>5</v>
      </c>
      <c r="AA864" s="6" t="s">
        <v>5</v>
      </c>
      <c r="AB864" s="8" t="s">
        <v>5</v>
      </c>
      <c r="AC864" s="8" t="s">
        <v>5</v>
      </c>
      <c r="AD864" s="6" t="s">
        <v>5</v>
      </c>
      <c r="AE864" s="22">
        <v>0.77900000000000003</v>
      </c>
      <c r="AF864" s="6" t="s">
        <v>5</v>
      </c>
      <c r="AG864" s="6" t="s">
        <v>5</v>
      </c>
      <c r="AH864" s="22">
        <v>0.36</v>
      </c>
      <c r="AI864" s="6" t="s">
        <v>5</v>
      </c>
      <c r="AJ864" s="4">
        <v>10</v>
      </c>
      <c r="AK864" s="6" t="s">
        <v>5</v>
      </c>
      <c r="AL864" s="6" t="s">
        <v>5</v>
      </c>
      <c r="AM864" s="6" t="s">
        <v>5</v>
      </c>
      <c r="AN864" s="6" t="s">
        <v>5</v>
      </c>
      <c r="AO864" s="7">
        <v>1.31</v>
      </c>
      <c r="AP864" s="7">
        <v>1.38</v>
      </c>
      <c r="AQ864" s="22">
        <v>0.76200000000000001</v>
      </c>
      <c r="AR864" s="22">
        <v>0.78200000000000003</v>
      </c>
      <c r="AS864" s="6">
        <v>1.35</v>
      </c>
      <c r="AT864" s="6">
        <v>1.1399999999999999</v>
      </c>
      <c r="AU864" s="6">
        <v>0.67500000000000004</v>
      </c>
      <c r="AV864" s="22">
        <v>0.79400000000000004</v>
      </c>
      <c r="AW864" s="6" t="s">
        <v>5</v>
      </c>
      <c r="AX864" s="6" t="s">
        <v>5</v>
      </c>
      <c r="AY864" s="6" t="s">
        <v>5</v>
      </c>
      <c r="AZ864" s="6" t="s">
        <v>5</v>
      </c>
      <c r="BA864" s="6" t="s">
        <v>5</v>
      </c>
      <c r="BB864" s="6" t="s">
        <v>5</v>
      </c>
      <c r="BC864" s="6" t="s">
        <v>5</v>
      </c>
      <c r="BD864" s="6" t="s">
        <v>5</v>
      </c>
      <c r="BE864" s="6" t="s">
        <v>5</v>
      </c>
      <c r="BF864" s="6" t="s">
        <v>5</v>
      </c>
      <c r="BG864" s="6" t="s">
        <v>5</v>
      </c>
      <c r="BH864" s="6" t="s">
        <v>5</v>
      </c>
      <c r="BI864" s="7">
        <v>1.29</v>
      </c>
      <c r="BJ864" s="22">
        <v>0.74399999999999999</v>
      </c>
      <c r="BK864" s="6" t="s">
        <v>5</v>
      </c>
      <c r="BL864" s="2" t="s">
        <v>5</v>
      </c>
      <c r="BM864" s="2" t="s">
        <v>5</v>
      </c>
      <c r="BN864" s="2" t="s">
        <v>5</v>
      </c>
      <c r="BO864" s="2" t="s">
        <v>5</v>
      </c>
      <c r="BP864" s="2" t="s">
        <v>5</v>
      </c>
      <c r="BQ864" s="2" t="s">
        <v>5</v>
      </c>
      <c r="BR864" s="2" t="s">
        <v>5</v>
      </c>
      <c r="BS864" s="2" t="s">
        <v>5</v>
      </c>
      <c r="BT864" s="2" t="s">
        <v>5</v>
      </c>
      <c r="BU864" s="2" t="s">
        <v>5</v>
      </c>
      <c r="BV864" s="2" t="s">
        <v>5</v>
      </c>
      <c r="BW864" s="2" t="s">
        <v>5</v>
      </c>
      <c r="BX864" s="2" t="s">
        <v>5</v>
      </c>
      <c r="BY864" s="25" t="s">
        <v>5</v>
      </c>
      <c r="BZ864" s="25" t="s">
        <v>5</v>
      </c>
      <c r="CA864" s="6" t="s">
        <v>5</v>
      </c>
      <c r="CB864" s="6" t="s">
        <v>5</v>
      </c>
      <c r="CC864" s="6" t="s">
        <v>5</v>
      </c>
      <c r="CD864" s="6" t="s">
        <v>5</v>
      </c>
      <c r="CE864" s="6" t="s">
        <v>5</v>
      </c>
      <c r="CF864" s="16" t="s">
        <v>5</v>
      </c>
      <c r="CG864" s="16" t="s">
        <v>5</v>
      </c>
      <c r="CH864" s="18" t="s">
        <v>5</v>
      </c>
    </row>
    <row r="865" spans="2:86">
      <c r="B865" s="78" t="s">
        <v>473</v>
      </c>
      <c r="C865" s="79" t="s">
        <v>965</v>
      </c>
      <c r="D865" s="80" t="s">
        <v>965</v>
      </c>
      <c r="E865" s="1" t="s">
        <v>4</v>
      </c>
      <c r="F865" s="7">
        <v>7.24</v>
      </c>
      <c r="G865" s="7">
        <v>2.14</v>
      </c>
      <c r="H865" s="3" t="str">
        <f t="shared" si="32"/>
        <v>2L2-1/2X2X1/4X3/8LLBB</v>
      </c>
      <c r="I865" s="7">
        <v>2.5</v>
      </c>
      <c r="J865" s="5" t="s">
        <v>5</v>
      </c>
      <c r="K865" s="6" t="s">
        <v>5</v>
      </c>
      <c r="L865" s="6" t="s">
        <v>5</v>
      </c>
      <c r="M865" s="6" t="s">
        <v>5</v>
      </c>
      <c r="N865" s="6" t="s">
        <v>5</v>
      </c>
      <c r="O865" s="5" t="s">
        <v>5</v>
      </c>
      <c r="P865" s="5" t="s">
        <v>5</v>
      </c>
      <c r="Q865" s="7">
        <v>2</v>
      </c>
      <c r="R865" s="6" t="s">
        <v>5</v>
      </c>
      <c r="S865" s="6" t="s">
        <v>5</v>
      </c>
      <c r="T865" s="5" t="s">
        <v>5</v>
      </c>
      <c r="U865" s="8" t="s">
        <v>5</v>
      </c>
      <c r="V865" s="6" t="s">
        <v>5</v>
      </c>
      <c r="W865" s="8" t="s">
        <v>5</v>
      </c>
      <c r="X865" s="22">
        <v>0.25</v>
      </c>
      <c r="Y865" s="6" t="s">
        <v>5</v>
      </c>
      <c r="Z865" s="6" t="s">
        <v>5</v>
      </c>
      <c r="AA865" s="6" t="s">
        <v>5</v>
      </c>
      <c r="AB865" s="8" t="s">
        <v>5</v>
      </c>
      <c r="AC865" s="8" t="s">
        <v>5</v>
      </c>
      <c r="AD865" s="6" t="s">
        <v>5</v>
      </c>
      <c r="AE865" s="22">
        <v>0.77900000000000003</v>
      </c>
      <c r="AF865" s="6" t="s">
        <v>5</v>
      </c>
      <c r="AG865" s="6" t="s">
        <v>5</v>
      </c>
      <c r="AH865" s="22">
        <v>0.36</v>
      </c>
      <c r="AI865" s="6" t="s">
        <v>5</v>
      </c>
      <c r="AJ865" s="4">
        <v>10</v>
      </c>
      <c r="AK865" s="6" t="s">
        <v>5</v>
      </c>
      <c r="AL865" s="6" t="s">
        <v>5</v>
      </c>
      <c r="AM865" s="6" t="s">
        <v>5</v>
      </c>
      <c r="AN865" s="6" t="s">
        <v>5</v>
      </c>
      <c r="AO865" s="7">
        <v>1.31</v>
      </c>
      <c r="AP865" s="7">
        <v>1.38</v>
      </c>
      <c r="AQ865" s="22">
        <v>0.76200000000000001</v>
      </c>
      <c r="AR865" s="22">
        <v>0.78200000000000003</v>
      </c>
      <c r="AS865" s="6">
        <v>1.85</v>
      </c>
      <c r="AT865" s="6">
        <v>1.54</v>
      </c>
      <c r="AU865" s="6">
        <v>0.84599999999999997</v>
      </c>
      <c r="AV865" s="22">
        <v>0.93</v>
      </c>
      <c r="AW865" s="6" t="s">
        <v>5</v>
      </c>
      <c r="AX865" s="6" t="s">
        <v>5</v>
      </c>
      <c r="AY865" s="6" t="s">
        <v>5</v>
      </c>
      <c r="AZ865" s="6" t="s">
        <v>5</v>
      </c>
      <c r="BA865" s="6" t="s">
        <v>5</v>
      </c>
      <c r="BB865" s="6" t="s">
        <v>5</v>
      </c>
      <c r="BC865" s="6" t="s">
        <v>5</v>
      </c>
      <c r="BD865" s="6" t="s">
        <v>5</v>
      </c>
      <c r="BE865" s="6" t="s">
        <v>5</v>
      </c>
      <c r="BF865" s="6" t="s">
        <v>5</v>
      </c>
      <c r="BG865" s="6" t="s">
        <v>5</v>
      </c>
      <c r="BH865" s="6" t="s">
        <v>5</v>
      </c>
      <c r="BI865" s="7">
        <v>1.38</v>
      </c>
      <c r="BJ865" s="22">
        <v>0.77500000000000002</v>
      </c>
      <c r="BK865" s="6" t="s">
        <v>5</v>
      </c>
      <c r="BL865" s="2" t="s">
        <v>5</v>
      </c>
      <c r="BM865" s="2" t="s">
        <v>5</v>
      </c>
      <c r="BN865" s="2" t="s">
        <v>5</v>
      </c>
      <c r="BO865" s="2" t="s">
        <v>5</v>
      </c>
      <c r="BP865" s="2" t="s">
        <v>5</v>
      </c>
      <c r="BQ865" s="2" t="s">
        <v>5</v>
      </c>
      <c r="BR865" s="2" t="s">
        <v>5</v>
      </c>
      <c r="BS865" s="2" t="s">
        <v>5</v>
      </c>
      <c r="BT865" s="2" t="s">
        <v>5</v>
      </c>
      <c r="BU865" s="2" t="s">
        <v>5</v>
      </c>
      <c r="BV865" s="2" t="s">
        <v>5</v>
      </c>
      <c r="BW865" s="2" t="s">
        <v>5</v>
      </c>
      <c r="BX865" s="2" t="s">
        <v>5</v>
      </c>
      <c r="BY865" s="25" t="s">
        <v>5</v>
      </c>
      <c r="BZ865" s="25" t="s">
        <v>5</v>
      </c>
      <c r="CA865" s="6" t="s">
        <v>5</v>
      </c>
      <c r="CB865" s="6" t="s">
        <v>5</v>
      </c>
      <c r="CC865" s="6" t="s">
        <v>5</v>
      </c>
      <c r="CD865" s="6" t="s">
        <v>5</v>
      </c>
      <c r="CE865" s="6" t="s">
        <v>5</v>
      </c>
      <c r="CF865" s="16" t="s">
        <v>5</v>
      </c>
      <c r="CG865" s="16" t="s">
        <v>5</v>
      </c>
      <c r="CH865" s="18" t="s">
        <v>5</v>
      </c>
    </row>
    <row r="866" spans="2:86">
      <c r="B866" s="78" t="s">
        <v>473</v>
      </c>
      <c r="C866" s="79" t="s">
        <v>966</v>
      </c>
      <c r="D866" s="80" t="s">
        <v>966</v>
      </c>
      <c r="E866" s="1" t="s">
        <v>4</v>
      </c>
      <c r="F866" s="7">
        <v>7.24</v>
      </c>
      <c r="G866" s="7">
        <v>2.14</v>
      </c>
      <c r="H866" s="3" t="str">
        <f t="shared" si="32"/>
        <v>2L2-1/2X2X1/4X3/4LLBB</v>
      </c>
      <c r="I866" s="7">
        <v>2.5</v>
      </c>
      <c r="J866" s="5" t="s">
        <v>5</v>
      </c>
      <c r="K866" s="6" t="s">
        <v>5</v>
      </c>
      <c r="L866" s="6" t="s">
        <v>5</v>
      </c>
      <c r="M866" s="6" t="s">
        <v>5</v>
      </c>
      <c r="N866" s="6" t="s">
        <v>5</v>
      </c>
      <c r="O866" s="5" t="s">
        <v>5</v>
      </c>
      <c r="P866" s="5" t="s">
        <v>5</v>
      </c>
      <c r="Q866" s="7">
        <v>2</v>
      </c>
      <c r="R866" s="6" t="s">
        <v>5</v>
      </c>
      <c r="S866" s="6" t="s">
        <v>5</v>
      </c>
      <c r="T866" s="5" t="s">
        <v>5</v>
      </c>
      <c r="U866" s="8" t="s">
        <v>5</v>
      </c>
      <c r="V866" s="6" t="s">
        <v>5</v>
      </c>
      <c r="W866" s="8" t="s">
        <v>5</v>
      </c>
      <c r="X866" s="22">
        <v>0.25</v>
      </c>
      <c r="Y866" s="6" t="s">
        <v>5</v>
      </c>
      <c r="Z866" s="6" t="s">
        <v>5</v>
      </c>
      <c r="AA866" s="6" t="s">
        <v>5</v>
      </c>
      <c r="AB866" s="8" t="s">
        <v>5</v>
      </c>
      <c r="AC866" s="8" t="s">
        <v>5</v>
      </c>
      <c r="AD866" s="6" t="s">
        <v>5</v>
      </c>
      <c r="AE866" s="22">
        <v>0.77900000000000003</v>
      </c>
      <c r="AF866" s="6" t="s">
        <v>5</v>
      </c>
      <c r="AG866" s="6" t="s">
        <v>5</v>
      </c>
      <c r="AH866" s="22">
        <v>0.36</v>
      </c>
      <c r="AI866" s="6" t="s">
        <v>5</v>
      </c>
      <c r="AJ866" s="4">
        <v>10</v>
      </c>
      <c r="AK866" s="6" t="s">
        <v>5</v>
      </c>
      <c r="AL866" s="6" t="s">
        <v>5</v>
      </c>
      <c r="AM866" s="6" t="s">
        <v>5</v>
      </c>
      <c r="AN866" s="6" t="s">
        <v>5</v>
      </c>
      <c r="AO866" s="7">
        <v>1.31</v>
      </c>
      <c r="AP866" s="7">
        <v>1.38</v>
      </c>
      <c r="AQ866" s="22">
        <v>0.76200000000000001</v>
      </c>
      <c r="AR866" s="22">
        <v>0.78200000000000003</v>
      </c>
      <c r="AS866" s="7">
        <v>2.5</v>
      </c>
      <c r="AT866" s="6">
        <v>1.94</v>
      </c>
      <c r="AU866" s="6">
        <v>1.05</v>
      </c>
      <c r="AV866" s="7">
        <v>1.08</v>
      </c>
      <c r="AW866" s="6" t="s">
        <v>5</v>
      </c>
      <c r="AX866" s="6" t="s">
        <v>5</v>
      </c>
      <c r="AY866" s="6" t="s">
        <v>5</v>
      </c>
      <c r="AZ866" s="6" t="s">
        <v>5</v>
      </c>
      <c r="BA866" s="6" t="s">
        <v>5</v>
      </c>
      <c r="BB866" s="6" t="s">
        <v>5</v>
      </c>
      <c r="BC866" s="6" t="s">
        <v>5</v>
      </c>
      <c r="BD866" s="6" t="s">
        <v>5</v>
      </c>
      <c r="BE866" s="6" t="s">
        <v>5</v>
      </c>
      <c r="BF866" s="6" t="s">
        <v>5</v>
      </c>
      <c r="BG866" s="6" t="s">
        <v>5</v>
      </c>
      <c r="BH866" s="6" t="s">
        <v>5</v>
      </c>
      <c r="BI866" s="7">
        <v>1.49</v>
      </c>
      <c r="BJ866" s="22">
        <v>0.80600000000000005</v>
      </c>
      <c r="BK866" s="6" t="s">
        <v>5</v>
      </c>
      <c r="BL866" s="2" t="s">
        <v>5</v>
      </c>
      <c r="BM866" s="2" t="s">
        <v>5</v>
      </c>
      <c r="BN866" s="2" t="s">
        <v>5</v>
      </c>
      <c r="BO866" s="2" t="s">
        <v>5</v>
      </c>
      <c r="BP866" s="2" t="s">
        <v>5</v>
      </c>
      <c r="BQ866" s="2" t="s">
        <v>5</v>
      </c>
      <c r="BR866" s="2" t="s">
        <v>5</v>
      </c>
      <c r="BS866" s="2" t="s">
        <v>5</v>
      </c>
      <c r="BT866" s="2" t="s">
        <v>5</v>
      </c>
      <c r="BU866" s="2" t="s">
        <v>5</v>
      </c>
      <c r="BV866" s="2" t="s">
        <v>5</v>
      </c>
      <c r="BW866" s="2" t="s">
        <v>5</v>
      </c>
      <c r="BX866" s="2" t="s">
        <v>5</v>
      </c>
      <c r="BY866" s="25" t="s">
        <v>5</v>
      </c>
      <c r="BZ866" s="25" t="s">
        <v>5</v>
      </c>
      <c r="CA866" s="6" t="s">
        <v>5</v>
      </c>
      <c r="CB866" s="6" t="s">
        <v>5</v>
      </c>
      <c r="CC866" s="6" t="s">
        <v>5</v>
      </c>
      <c r="CD866" s="6" t="s">
        <v>5</v>
      </c>
      <c r="CE866" s="6" t="s">
        <v>5</v>
      </c>
      <c r="CF866" s="16" t="s">
        <v>5</v>
      </c>
      <c r="CG866" s="16" t="s">
        <v>5</v>
      </c>
      <c r="CH866" s="18" t="s">
        <v>5</v>
      </c>
    </row>
    <row r="867" spans="2:86">
      <c r="B867" s="78" t="s">
        <v>473</v>
      </c>
      <c r="C867" s="79" t="s">
        <v>967</v>
      </c>
      <c r="D867" s="80" t="s">
        <v>967</v>
      </c>
      <c r="E867" s="1" t="s">
        <v>4</v>
      </c>
      <c r="F867" s="7">
        <v>5.5</v>
      </c>
      <c r="G867" s="7">
        <v>1.64</v>
      </c>
      <c r="H867" s="3" t="str">
        <f t="shared" si="32"/>
        <v>2L2-1/2X2X3/16LLBB</v>
      </c>
      <c r="I867" s="7">
        <v>2.5</v>
      </c>
      <c r="J867" s="5" t="s">
        <v>5</v>
      </c>
      <c r="K867" s="6" t="s">
        <v>5</v>
      </c>
      <c r="L867" s="6" t="s">
        <v>5</v>
      </c>
      <c r="M867" s="6" t="s">
        <v>5</v>
      </c>
      <c r="N867" s="6" t="s">
        <v>5</v>
      </c>
      <c r="O867" s="5" t="s">
        <v>5</v>
      </c>
      <c r="P867" s="5" t="s">
        <v>5</v>
      </c>
      <c r="Q867" s="7">
        <v>2</v>
      </c>
      <c r="R867" s="6" t="s">
        <v>5</v>
      </c>
      <c r="S867" s="6" t="s">
        <v>5</v>
      </c>
      <c r="T867" s="5" t="s">
        <v>5</v>
      </c>
      <c r="U867" s="8" t="s">
        <v>5</v>
      </c>
      <c r="V867" s="6" t="s">
        <v>5</v>
      </c>
      <c r="W867" s="8" t="s">
        <v>5</v>
      </c>
      <c r="X867" s="22">
        <v>0.188</v>
      </c>
      <c r="Y867" s="6" t="s">
        <v>5</v>
      </c>
      <c r="Z867" s="6" t="s">
        <v>5</v>
      </c>
      <c r="AA867" s="6" t="s">
        <v>5</v>
      </c>
      <c r="AB867" s="8" t="s">
        <v>5</v>
      </c>
      <c r="AC867" s="8" t="s">
        <v>5</v>
      </c>
      <c r="AD867" s="6" t="s">
        <v>5</v>
      </c>
      <c r="AE867" s="22">
        <v>0.754</v>
      </c>
      <c r="AF867" s="6" t="s">
        <v>5</v>
      </c>
      <c r="AG867" s="6" t="s">
        <v>5</v>
      </c>
      <c r="AH867" s="22">
        <v>0.31900000000000001</v>
      </c>
      <c r="AI867" s="6" t="s">
        <v>5</v>
      </c>
      <c r="AJ867" s="4">
        <v>13.3</v>
      </c>
      <c r="AK867" s="6" t="s">
        <v>5</v>
      </c>
      <c r="AL867" s="6" t="s">
        <v>5</v>
      </c>
      <c r="AM867" s="6" t="s">
        <v>5</v>
      </c>
      <c r="AN867" s="6" t="s">
        <v>5</v>
      </c>
      <c r="AO867" s="7">
        <v>1.02</v>
      </c>
      <c r="AP867" s="7">
        <v>1.06</v>
      </c>
      <c r="AQ867" s="22">
        <v>0.58599999999999997</v>
      </c>
      <c r="AR867" s="22">
        <v>0.79</v>
      </c>
      <c r="AS867" s="6">
        <v>1.01</v>
      </c>
      <c r="AT867" s="6">
        <v>0.83099999999999996</v>
      </c>
      <c r="AU867" s="6">
        <v>0.505</v>
      </c>
      <c r="AV867" s="22">
        <v>0.78400000000000003</v>
      </c>
      <c r="AW867" s="6" t="s">
        <v>5</v>
      </c>
      <c r="AX867" s="6" t="s">
        <v>5</v>
      </c>
      <c r="AY867" s="6" t="s">
        <v>5</v>
      </c>
      <c r="AZ867" s="6" t="s">
        <v>5</v>
      </c>
      <c r="BA867" s="6" t="s">
        <v>5</v>
      </c>
      <c r="BB867" s="6" t="s">
        <v>5</v>
      </c>
      <c r="BC867" s="6" t="s">
        <v>5</v>
      </c>
      <c r="BD867" s="6" t="s">
        <v>5</v>
      </c>
      <c r="BE867" s="6" t="s">
        <v>5</v>
      </c>
      <c r="BF867" s="6" t="s">
        <v>5</v>
      </c>
      <c r="BG867" s="6" t="s">
        <v>5</v>
      </c>
      <c r="BH867" s="6" t="s">
        <v>5</v>
      </c>
      <c r="BI867" s="7">
        <v>1.29</v>
      </c>
      <c r="BJ867" s="22">
        <v>0.74</v>
      </c>
      <c r="BK867" s="6" t="s">
        <v>5</v>
      </c>
      <c r="BL867" s="2" t="s">
        <v>5</v>
      </c>
      <c r="BM867" s="2" t="s">
        <v>5</v>
      </c>
      <c r="BN867" s="2" t="s">
        <v>5</v>
      </c>
      <c r="BO867" s="2" t="s">
        <v>5</v>
      </c>
      <c r="BP867" s="2" t="s">
        <v>5</v>
      </c>
      <c r="BQ867" s="2" t="s">
        <v>5</v>
      </c>
      <c r="BR867" s="2" t="s">
        <v>5</v>
      </c>
      <c r="BS867" s="2" t="s">
        <v>5</v>
      </c>
      <c r="BT867" s="2" t="s">
        <v>5</v>
      </c>
      <c r="BU867" s="2" t="s">
        <v>5</v>
      </c>
      <c r="BV867" s="2" t="s">
        <v>5</v>
      </c>
      <c r="BW867" s="2" t="s">
        <v>5</v>
      </c>
      <c r="BX867" s="2" t="s">
        <v>5</v>
      </c>
      <c r="BY867" s="25" t="s">
        <v>5</v>
      </c>
      <c r="BZ867" s="25" t="s">
        <v>5</v>
      </c>
      <c r="CA867" s="6" t="s">
        <v>5</v>
      </c>
      <c r="CB867" s="6" t="s">
        <v>5</v>
      </c>
      <c r="CC867" s="6" t="s">
        <v>5</v>
      </c>
      <c r="CD867" s="6" t="s">
        <v>5</v>
      </c>
      <c r="CE867" s="6" t="s">
        <v>5</v>
      </c>
      <c r="CF867" s="16" t="s">
        <v>5</v>
      </c>
      <c r="CG867" s="16" t="s">
        <v>5</v>
      </c>
      <c r="CH867" s="18" t="s">
        <v>5</v>
      </c>
    </row>
    <row r="868" spans="2:86">
      <c r="B868" s="78" t="s">
        <v>473</v>
      </c>
      <c r="C868" s="79" t="s">
        <v>968</v>
      </c>
      <c r="D868" s="80" t="s">
        <v>968</v>
      </c>
      <c r="E868" s="1" t="s">
        <v>4</v>
      </c>
      <c r="F868" s="7">
        <v>5.5</v>
      </c>
      <c r="G868" s="7">
        <v>1.64</v>
      </c>
      <c r="H868" s="3" t="str">
        <f t="shared" si="32"/>
        <v>2L2-1/2X2X3/16X3/8LLBB</v>
      </c>
      <c r="I868" s="7">
        <v>2.5</v>
      </c>
      <c r="J868" s="5" t="s">
        <v>5</v>
      </c>
      <c r="K868" s="6" t="s">
        <v>5</v>
      </c>
      <c r="L868" s="6" t="s">
        <v>5</v>
      </c>
      <c r="M868" s="6" t="s">
        <v>5</v>
      </c>
      <c r="N868" s="6" t="s">
        <v>5</v>
      </c>
      <c r="O868" s="5" t="s">
        <v>5</v>
      </c>
      <c r="P868" s="5" t="s">
        <v>5</v>
      </c>
      <c r="Q868" s="7">
        <v>2</v>
      </c>
      <c r="R868" s="6" t="s">
        <v>5</v>
      </c>
      <c r="S868" s="6" t="s">
        <v>5</v>
      </c>
      <c r="T868" s="5" t="s">
        <v>5</v>
      </c>
      <c r="U868" s="8" t="s">
        <v>5</v>
      </c>
      <c r="V868" s="6" t="s">
        <v>5</v>
      </c>
      <c r="W868" s="8" t="s">
        <v>5</v>
      </c>
      <c r="X868" s="22">
        <v>0.188</v>
      </c>
      <c r="Y868" s="6" t="s">
        <v>5</v>
      </c>
      <c r="Z868" s="6" t="s">
        <v>5</v>
      </c>
      <c r="AA868" s="6" t="s">
        <v>5</v>
      </c>
      <c r="AB868" s="8" t="s">
        <v>5</v>
      </c>
      <c r="AC868" s="8" t="s">
        <v>5</v>
      </c>
      <c r="AD868" s="6" t="s">
        <v>5</v>
      </c>
      <c r="AE868" s="22">
        <v>0.754</v>
      </c>
      <c r="AF868" s="6" t="s">
        <v>5</v>
      </c>
      <c r="AG868" s="6" t="s">
        <v>5</v>
      </c>
      <c r="AH868" s="22">
        <v>0.31900000000000001</v>
      </c>
      <c r="AI868" s="6" t="s">
        <v>5</v>
      </c>
      <c r="AJ868" s="4">
        <v>13.3</v>
      </c>
      <c r="AK868" s="6" t="s">
        <v>5</v>
      </c>
      <c r="AL868" s="6" t="s">
        <v>5</v>
      </c>
      <c r="AM868" s="6" t="s">
        <v>5</v>
      </c>
      <c r="AN868" s="6" t="s">
        <v>5</v>
      </c>
      <c r="AO868" s="7">
        <v>1.02</v>
      </c>
      <c r="AP868" s="7">
        <v>1.06</v>
      </c>
      <c r="AQ868" s="22">
        <v>0.58599999999999997</v>
      </c>
      <c r="AR868" s="22">
        <v>0.79</v>
      </c>
      <c r="AS868" s="6">
        <v>1.38</v>
      </c>
      <c r="AT868" s="6">
        <v>1.1399999999999999</v>
      </c>
      <c r="AU868" s="6">
        <v>0.63100000000000001</v>
      </c>
      <c r="AV868" s="22">
        <v>0.91600000000000004</v>
      </c>
      <c r="AW868" s="6" t="s">
        <v>5</v>
      </c>
      <c r="AX868" s="6" t="s">
        <v>5</v>
      </c>
      <c r="AY868" s="6" t="s">
        <v>5</v>
      </c>
      <c r="AZ868" s="6" t="s">
        <v>5</v>
      </c>
      <c r="BA868" s="6" t="s">
        <v>5</v>
      </c>
      <c r="BB868" s="6" t="s">
        <v>5</v>
      </c>
      <c r="BC868" s="6" t="s">
        <v>5</v>
      </c>
      <c r="BD868" s="6" t="s">
        <v>5</v>
      </c>
      <c r="BE868" s="6" t="s">
        <v>5</v>
      </c>
      <c r="BF868" s="6" t="s">
        <v>5</v>
      </c>
      <c r="BG868" s="6" t="s">
        <v>5</v>
      </c>
      <c r="BH868" s="6" t="s">
        <v>5</v>
      </c>
      <c r="BI868" s="7">
        <v>1.38</v>
      </c>
      <c r="BJ868" s="22">
        <v>0.77100000000000002</v>
      </c>
      <c r="BK868" s="6" t="s">
        <v>5</v>
      </c>
      <c r="BL868" s="2" t="s">
        <v>5</v>
      </c>
      <c r="BM868" s="2" t="s">
        <v>5</v>
      </c>
      <c r="BN868" s="2" t="s">
        <v>5</v>
      </c>
      <c r="BO868" s="2" t="s">
        <v>5</v>
      </c>
      <c r="BP868" s="2" t="s">
        <v>5</v>
      </c>
      <c r="BQ868" s="2" t="s">
        <v>5</v>
      </c>
      <c r="BR868" s="2" t="s">
        <v>5</v>
      </c>
      <c r="BS868" s="2" t="s">
        <v>5</v>
      </c>
      <c r="BT868" s="2" t="s">
        <v>5</v>
      </c>
      <c r="BU868" s="2" t="s">
        <v>5</v>
      </c>
      <c r="BV868" s="2" t="s">
        <v>5</v>
      </c>
      <c r="BW868" s="2" t="s">
        <v>5</v>
      </c>
      <c r="BX868" s="2" t="s">
        <v>5</v>
      </c>
      <c r="BY868" s="25" t="s">
        <v>5</v>
      </c>
      <c r="BZ868" s="25" t="s">
        <v>5</v>
      </c>
      <c r="CA868" s="6" t="s">
        <v>5</v>
      </c>
      <c r="CB868" s="6" t="s">
        <v>5</v>
      </c>
      <c r="CC868" s="6" t="s">
        <v>5</v>
      </c>
      <c r="CD868" s="6" t="s">
        <v>5</v>
      </c>
      <c r="CE868" s="6" t="s">
        <v>5</v>
      </c>
      <c r="CF868" s="16" t="s">
        <v>5</v>
      </c>
      <c r="CG868" s="16" t="s">
        <v>5</v>
      </c>
      <c r="CH868" s="18" t="s">
        <v>5</v>
      </c>
    </row>
    <row r="869" spans="2:86">
      <c r="B869" s="78" t="s">
        <v>473</v>
      </c>
      <c r="C869" s="79" t="s">
        <v>969</v>
      </c>
      <c r="D869" s="80" t="s">
        <v>969</v>
      </c>
      <c r="E869" s="1" t="s">
        <v>4</v>
      </c>
      <c r="F869" s="7">
        <v>5.5</v>
      </c>
      <c r="G869" s="7">
        <v>1.64</v>
      </c>
      <c r="H869" s="3" t="str">
        <f t="shared" si="32"/>
        <v>2L2-1/2X2X3/16X3/4LLBB</v>
      </c>
      <c r="I869" s="7">
        <v>2.5</v>
      </c>
      <c r="J869" s="5" t="s">
        <v>5</v>
      </c>
      <c r="K869" s="6" t="s">
        <v>5</v>
      </c>
      <c r="L869" s="6" t="s">
        <v>5</v>
      </c>
      <c r="M869" s="6" t="s">
        <v>5</v>
      </c>
      <c r="N869" s="6" t="s">
        <v>5</v>
      </c>
      <c r="O869" s="5" t="s">
        <v>5</v>
      </c>
      <c r="P869" s="5" t="s">
        <v>5</v>
      </c>
      <c r="Q869" s="7">
        <v>2</v>
      </c>
      <c r="R869" s="6" t="s">
        <v>5</v>
      </c>
      <c r="S869" s="6" t="s">
        <v>5</v>
      </c>
      <c r="T869" s="5" t="s">
        <v>5</v>
      </c>
      <c r="U869" s="8" t="s">
        <v>5</v>
      </c>
      <c r="V869" s="6" t="s">
        <v>5</v>
      </c>
      <c r="W869" s="8" t="s">
        <v>5</v>
      </c>
      <c r="X869" s="22">
        <v>0.188</v>
      </c>
      <c r="Y869" s="6" t="s">
        <v>5</v>
      </c>
      <c r="Z869" s="6" t="s">
        <v>5</v>
      </c>
      <c r="AA869" s="6" t="s">
        <v>5</v>
      </c>
      <c r="AB869" s="8" t="s">
        <v>5</v>
      </c>
      <c r="AC869" s="8" t="s">
        <v>5</v>
      </c>
      <c r="AD869" s="6" t="s">
        <v>5</v>
      </c>
      <c r="AE869" s="22">
        <v>0.754</v>
      </c>
      <c r="AF869" s="6" t="s">
        <v>5</v>
      </c>
      <c r="AG869" s="6" t="s">
        <v>5</v>
      </c>
      <c r="AH869" s="22">
        <v>0.31900000000000001</v>
      </c>
      <c r="AI869" s="6" t="s">
        <v>5</v>
      </c>
      <c r="AJ869" s="4">
        <v>13.3</v>
      </c>
      <c r="AK869" s="6" t="s">
        <v>5</v>
      </c>
      <c r="AL869" s="6" t="s">
        <v>5</v>
      </c>
      <c r="AM869" s="6" t="s">
        <v>5</v>
      </c>
      <c r="AN869" s="6" t="s">
        <v>5</v>
      </c>
      <c r="AO869" s="7">
        <v>1.02</v>
      </c>
      <c r="AP869" s="7">
        <v>1.06</v>
      </c>
      <c r="AQ869" s="22">
        <v>0.58599999999999997</v>
      </c>
      <c r="AR869" s="22">
        <v>0.79</v>
      </c>
      <c r="AS869" s="6">
        <v>1.88</v>
      </c>
      <c r="AT869" s="6">
        <v>1.44</v>
      </c>
      <c r="AU869" s="6">
        <v>0.79200000000000004</v>
      </c>
      <c r="AV869" s="7">
        <v>1.07</v>
      </c>
      <c r="AW869" s="6" t="s">
        <v>5</v>
      </c>
      <c r="AX869" s="6" t="s">
        <v>5</v>
      </c>
      <c r="AY869" s="6" t="s">
        <v>5</v>
      </c>
      <c r="AZ869" s="6" t="s">
        <v>5</v>
      </c>
      <c r="BA869" s="6" t="s">
        <v>5</v>
      </c>
      <c r="BB869" s="6" t="s">
        <v>5</v>
      </c>
      <c r="BC869" s="6" t="s">
        <v>5</v>
      </c>
      <c r="BD869" s="6" t="s">
        <v>5</v>
      </c>
      <c r="BE869" s="6" t="s">
        <v>5</v>
      </c>
      <c r="BF869" s="6" t="s">
        <v>5</v>
      </c>
      <c r="BG869" s="6" t="s">
        <v>5</v>
      </c>
      <c r="BH869" s="6" t="s">
        <v>5</v>
      </c>
      <c r="BI869" s="7">
        <v>1.48</v>
      </c>
      <c r="BJ869" s="22">
        <v>0.80100000000000005</v>
      </c>
      <c r="BK869" s="6" t="s">
        <v>5</v>
      </c>
      <c r="BL869" s="2" t="s">
        <v>5</v>
      </c>
      <c r="BM869" s="2" t="s">
        <v>5</v>
      </c>
      <c r="BN869" s="2" t="s">
        <v>5</v>
      </c>
      <c r="BO869" s="2" t="s">
        <v>5</v>
      </c>
      <c r="BP869" s="2" t="s">
        <v>5</v>
      </c>
      <c r="BQ869" s="2" t="s">
        <v>5</v>
      </c>
      <c r="BR869" s="2" t="s">
        <v>5</v>
      </c>
      <c r="BS869" s="2" t="s">
        <v>5</v>
      </c>
      <c r="BT869" s="2" t="s">
        <v>5</v>
      </c>
      <c r="BU869" s="2" t="s">
        <v>5</v>
      </c>
      <c r="BV869" s="2" t="s">
        <v>5</v>
      </c>
      <c r="BW869" s="2" t="s">
        <v>5</v>
      </c>
      <c r="BX869" s="2" t="s">
        <v>5</v>
      </c>
      <c r="BY869" s="25" t="s">
        <v>5</v>
      </c>
      <c r="BZ869" s="25" t="s">
        <v>5</v>
      </c>
      <c r="CA869" s="6" t="s">
        <v>5</v>
      </c>
      <c r="CB869" s="6" t="s">
        <v>5</v>
      </c>
      <c r="CC869" s="6" t="s">
        <v>5</v>
      </c>
      <c r="CD869" s="6" t="s">
        <v>5</v>
      </c>
      <c r="CE869" s="6" t="s">
        <v>5</v>
      </c>
      <c r="CF869" s="16" t="s">
        <v>5</v>
      </c>
      <c r="CG869" s="16" t="s">
        <v>5</v>
      </c>
      <c r="CH869" s="18" t="s">
        <v>5</v>
      </c>
    </row>
    <row r="870" spans="2:86">
      <c r="B870" s="78" t="s">
        <v>473</v>
      </c>
      <c r="C870" s="79" t="s">
        <v>970</v>
      </c>
      <c r="D870" s="80" t="s">
        <v>970</v>
      </c>
      <c r="E870" s="1" t="s">
        <v>4</v>
      </c>
      <c r="F870" s="7">
        <v>6.38</v>
      </c>
      <c r="G870" s="7">
        <v>1.89</v>
      </c>
      <c r="H870" s="3" t="str">
        <f t="shared" si="32"/>
        <v>2L2-1/2X1-1/2X1/4LLBB</v>
      </c>
      <c r="I870" s="7">
        <v>2.5</v>
      </c>
      <c r="J870" s="5" t="s">
        <v>5</v>
      </c>
      <c r="K870" s="6" t="s">
        <v>5</v>
      </c>
      <c r="L870" s="6" t="s">
        <v>5</v>
      </c>
      <c r="M870" s="6" t="s">
        <v>5</v>
      </c>
      <c r="N870" s="6" t="s">
        <v>5</v>
      </c>
      <c r="O870" s="5" t="s">
        <v>5</v>
      </c>
      <c r="P870" s="5" t="s">
        <v>5</v>
      </c>
      <c r="Q870" s="7">
        <v>1.5</v>
      </c>
      <c r="R870" s="6" t="s">
        <v>5</v>
      </c>
      <c r="S870" s="6" t="s">
        <v>5</v>
      </c>
      <c r="T870" s="5" t="s">
        <v>5</v>
      </c>
      <c r="U870" s="8" t="s">
        <v>5</v>
      </c>
      <c r="V870" s="6" t="s">
        <v>5</v>
      </c>
      <c r="W870" s="8" t="s">
        <v>5</v>
      </c>
      <c r="X870" s="22">
        <v>0.25</v>
      </c>
      <c r="Y870" s="6" t="s">
        <v>5</v>
      </c>
      <c r="Z870" s="6" t="s">
        <v>5</v>
      </c>
      <c r="AA870" s="6" t="s">
        <v>5</v>
      </c>
      <c r="AB870" s="8" t="s">
        <v>5</v>
      </c>
      <c r="AC870" s="8" t="s">
        <v>5</v>
      </c>
      <c r="AD870" s="6" t="s">
        <v>5</v>
      </c>
      <c r="AE870" s="22">
        <v>0.86599999999999999</v>
      </c>
      <c r="AF870" s="6" t="s">
        <v>5</v>
      </c>
      <c r="AG870" s="6" t="s">
        <v>5</v>
      </c>
      <c r="AH870" s="22">
        <v>0.60599999999999998</v>
      </c>
      <c r="AI870" s="6" t="s">
        <v>5</v>
      </c>
      <c r="AJ870" s="4">
        <v>10</v>
      </c>
      <c r="AK870" s="6" t="s">
        <v>5</v>
      </c>
      <c r="AL870" s="6" t="s">
        <v>5</v>
      </c>
      <c r="AM870" s="6" t="s">
        <v>5</v>
      </c>
      <c r="AN870" s="6" t="s">
        <v>5</v>
      </c>
      <c r="AO870" s="7">
        <v>1.19</v>
      </c>
      <c r="AP870" s="7">
        <v>1.29</v>
      </c>
      <c r="AQ870" s="22">
        <v>0.72799999999999998</v>
      </c>
      <c r="AR870" s="22">
        <v>0.79</v>
      </c>
      <c r="AS870" s="6">
        <v>0.57399999999999995</v>
      </c>
      <c r="AT870" s="6">
        <v>0.70499999999999996</v>
      </c>
      <c r="AU870" s="6">
        <v>0.38300000000000001</v>
      </c>
      <c r="AV870" s="22">
        <v>0.55100000000000005</v>
      </c>
      <c r="AW870" s="6" t="s">
        <v>5</v>
      </c>
      <c r="AX870" s="6" t="s">
        <v>5</v>
      </c>
      <c r="AY870" s="6" t="s">
        <v>5</v>
      </c>
      <c r="AZ870" s="6" t="s">
        <v>5</v>
      </c>
      <c r="BA870" s="6" t="s">
        <v>5</v>
      </c>
      <c r="BB870" s="6" t="s">
        <v>5</v>
      </c>
      <c r="BC870" s="6" t="s">
        <v>5</v>
      </c>
      <c r="BD870" s="6" t="s">
        <v>5</v>
      </c>
      <c r="BE870" s="6" t="s">
        <v>5</v>
      </c>
      <c r="BF870" s="6" t="s">
        <v>5</v>
      </c>
      <c r="BG870" s="6" t="s">
        <v>5</v>
      </c>
      <c r="BH870" s="6" t="s">
        <v>5</v>
      </c>
      <c r="BI870" s="7">
        <v>1.21</v>
      </c>
      <c r="BJ870" s="22">
        <v>0.629</v>
      </c>
      <c r="BK870" s="6" t="s">
        <v>5</v>
      </c>
      <c r="BL870" s="2" t="s">
        <v>5</v>
      </c>
      <c r="BM870" s="2" t="s">
        <v>5</v>
      </c>
      <c r="BN870" s="2" t="s">
        <v>5</v>
      </c>
      <c r="BO870" s="2" t="s">
        <v>5</v>
      </c>
      <c r="BP870" s="2" t="s">
        <v>5</v>
      </c>
      <c r="BQ870" s="2" t="s">
        <v>5</v>
      </c>
      <c r="BR870" s="2" t="s">
        <v>5</v>
      </c>
      <c r="BS870" s="2" t="s">
        <v>5</v>
      </c>
      <c r="BT870" s="2" t="s">
        <v>5</v>
      </c>
      <c r="BU870" s="2" t="s">
        <v>5</v>
      </c>
      <c r="BV870" s="2" t="s">
        <v>5</v>
      </c>
      <c r="BW870" s="2" t="s">
        <v>5</v>
      </c>
      <c r="BX870" s="2" t="s">
        <v>5</v>
      </c>
      <c r="BY870" s="25" t="s">
        <v>5</v>
      </c>
      <c r="BZ870" s="25" t="s">
        <v>5</v>
      </c>
      <c r="CA870" s="6" t="s">
        <v>5</v>
      </c>
      <c r="CB870" s="6" t="s">
        <v>5</v>
      </c>
      <c r="CC870" s="6" t="s">
        <v>5</v>
      </c>
      <c r="CD870" s="6" t="s">
        <v>5</v>
      </c>
      <c r="CE870" s="6" t="s">
        <v>5</v>
      </c>
      <c r="CF870" s="16" t="s">
        <v>5</v>
      </c>
      <c r="CG870" s="16" t="s">
        <v>5</v>
      </c>
      <c r="CH870" s="18" t="s">
        <v>5</v>
      </c>
    </row>
    <row r="871" spans="2:86">
      <c r="B871" s="78" t="s">
        <v>473</v>
      </c>
      <c r="C871" s="79" t="s">
        <v>971</v>
      </c>
      <c r="D871" s="80" t="s">
        <v>971</v>
      </c>
      <c r="E871" s="1" t="s">
        <v>4</v>
      </c>
      <c r="F871" s="7">
        <v>6.38</v>
      </c>
      <c r="G871" s="7">
        <v>1.89</v>
      </c>
      <c r="H871" s="3" t="str">
        <f t="shared" si="32"/>
        <v>2L2-1/2X1-1/2X1/4X3/8LLBB</v>
      </c>
      <c r="I871" s="7">
        <v>2.5</v>
      </c>
      <c r="J871" s="5" t="s">
        <v>5</v>
      </c>
      <c r="K871" s="6" t="s">
        <v>5</v>
      </c>
      <c r="L871" s="6" t="s">
        <v>5</v>
      </c>
      <c r="M871" s="6" t="s">
        <v>5</v>
      </c>
      <c r="N871" s="6" t="s">
        <v>5</v>
      </c>
      <c r="O871" s="5" t="s">
        <v>5</v>
      </c>
      <c r="P871" s="5" t="s">
        <v>5</v>
      </c>
      <c r="Q871" s="7">
        <v>1.5</v>
      </c>
      <c r="R871" s="6" t="s">
        <v>5</v>
      </c>
      <c r="S871" s="6" t="s">
        <v>5</v>
      </c>
      <c r="T871" s="5" t="s">
        <v>5</v>
      </c>
      <c r="U871" s="8" t="s">
        <v>5</v>
      </c>
      <c r="V871" s="6" t="s">
        <v>5</v>
      </c>
      <c r="W871" s="8" t="s">
        <v>5</v>
      </c>
      <c r="X871" s="22">
        <v>0.25</v>
      </c>
      <c r="Y871" s="6" t="s">
        <v>5</v>
      </c>
      <c r="Z871" s="6" t="s">
        <v>5</v>
      </c>
      <c r="AA871" s="6" t="s">
        <v>5</v>
      </c>
      <c r="AB871" s="8" t="s">
        <v>5</v>
      </c>
      <c r="AC871" s="8" t="s">
        <v>5</v>
      </c>
      <c r="AD871" s="6" t="s">
        <v>5</v>
      </c>
      <c r="AE871" s="22">
        <v>0.86599999999999999</v>
      </c>
      <c r="AF871" s="6" t="s">
        <v>5</v>
      </c>
      <c r="AG871" s="6" t="s">
        <v>5</v>
      </c>
      <c r="AH871" s="22">
        <v>0.60599999999999998</v>
      </c>
      <c r="AI871" s="6" t="s">
        <v>5</v>
      </c>
      <c r="AJ871" s="4">
        <v>10</v>
      </c>
      <c r="AK871" s="6" t="s">
        <v>5</v>
      </c>
      <c r="AL871" s="6" t="s">
        <v>5</v>
      </c>
      <c r="AM871" s="6" t="s">
        <v>5</v>
      </c>
      <c r="AN871" s="6" t="s">
        <v>5</v>
      </c>
      <c r="AO871" s="7">
        <v>1.19</v>
      </c>
      <c r="AP871" s="7">
        <v>1.29</v>
      </c>
      <c r="AQ871" s="22">
        <v>0.72799999999999998</v>
      </c>
      <c r="AR871" s="22">
        <v>0.79</v>
      </c>
      <c r="AS871" s="6">
        <v>0.90200000000000002</v>
      </c>
      <c r="AT871" s="6">
        <v>1.06</v>
      </c>
      <c r="AU871" s="6">
        <v>0.53500000000000003</v>
      </c>
      <c r="AV871" s="22">
        <v>0.69099999999999995</v>
      </c>
      <c r="AW871" s="6" t="s">
        <v>5</v>
      </c>
      <c r="AX871" s="6" t="s">
        <v>5</v>
      </c>
      <c r="AY871" s="6" t="s">
        <v>5</v>
      </c>
      <c r="AZ871" s="6" t="s">
        <v>5</v>
      </c>
      <c r="BA871" s="6" t="s">
        <v>5</v>
      </c>
      <c r="BB871" s="6" t="s">
        <v>5</v>
      </c>
      <c r="BC871" s="6" t="s">
        <v>5</v>
      </c>
      <c r="BD871" s="6" t="s">
        <v>5</v>
      </c>
      <c r="BE871" s="6" t="s">
        <v>5</v>
      </c>
      <c r="BF871" s="6" t="s">
        <v>5</v>
      </c>
      <c r="BG871" s="6" t="s">
        <v>5</v>
      </c>
      <c r="BH871" s="6" t="s">
        <v>5</v>
      </c>
      <c r="BI871" s="7">
        <v>1.28</v>
      </c>
      <c r="BJ871" s="22">
        <v>0.66800000000000004</v>
      </c>
      <c r="BK871" s="6" t="s">
        <v>5</v>
      </c>
      <c r="BL871" s="2" t="s">
        <v>5</v>
      </c>
      <c r="BM871" s="2" t="s">
        <v>5</v>
      </c>
      <c r="BN871" s="2" t="s">
        <v>5</v>
      </c>
      <c r="BO871" s="2" t="s">
        <v>5</v>
      </c>
      <c r="BP871" s="2" t="s">
        <v>5</v>
      </c>
      <c r="BQ871" s="2" t="s">
        <v>5</v>
      </c>
      <c r="BR871" s="2" t="s">
        <v>5</v>
      </c>
      <c r="BS871" s="2" t="s">
        <v>5</v>
      </c>
      <c r="BT871" s="2" t="s">
        <v>5</v>
      </c>
      <c r="BU871" s="2" t="s">
        <v>5</v>
      </c>
      <c r="BV871" s="2" t="s">
        <v>5</v>
      </c>
      <c r="BW871" s="2" t="s">
        <v>5</v>
      </c>
      <c r="BX871" s="2" t="s">
        <v>5</v>
      </c>
      <c r="BY871" s="25" t="s">
        <v>5</v>
      </c>
      <c r="BZ871" s="25" t="s">
        <v>5</v>
      </c>
      <c r="CA871" s="6" t="s">
        <v>5</v>
      </c>
      <c r="CB871" s="6" t="s">
        <v>5</v>
      </c>
      <c r="CC871" s="6" t="s">
        <v>5</v>
      </c>
      <c r="CD871" s="6" t="s">
        <v>5</v>
      </c>
      <c r="CE871" s="6" t="s">
        <v>5</v>
      </c>
      <c r="CF871" s="16" t="s">
        <v>5</v>
      </c>
      <c r="CG871" s="16" t="s">
        <v>5</v>
      </c>
      <c r="CH871" s="18" t="s">
        <v>5</v>
      </c>
    </row>
    <row r="872" spans="2:86">
      <c r="B872" s="78" t="s">
        <v>473</v>
      </c>
      <c r="C872" s="79" t="s">
        <v>972</v>
      </c>
      <c r="D872" s="80" t="s">
        <v>972</v>
      </c>
      <c r="E872" s="1" t="s">
        <v>4</v>
      </c>
      <c r="F872" s="7">
        <v>6.38</v>
      </c>
      <c r="G872" s="7">
        <v>1.89</v>
      </c>
      <c r="H872" s="3" t="str">
        <f t="shared" si="32"/>
        <v>2L2-1/2X1-1/2X1/4X3/4LLBB</v>
      </c>
      <c r="I872" s="7">
        <v>2.5</v>
      </c>
      <c r="J872" s="5" t="s">
        <v>5</v>
      </c>
      <c r="K872" s="6" t="s">
        <v>5</v>
      </c>
      <c r="L872" s="6" t="s">
        <v>5</v>
      </c>
      <c r="M872" s="6" t="s">
        <v>5</v>
      </c>
      <c r="N872" s="6" t="s">
        <v>5</v>
      </c>
      <c r="O872" s="5" t="s">
        <v>5</v>
      </c>
      <c r="P872" s="5" t="s">
        <v>5</v>
      </c>
      <c r="Q872" s="7">
        <v>1.5</v>
      </c>
      <c r="R872" s="6" t="s">
        <v>5</v>
      </c>
      <c r="S872" s="6" t="s">
        <v>5</v>
      </c>
      <c r="T872" s="5" t="s">
        <v>5</v>
      </c>
      <c r="U872" s="8" t="s">
        <v>5</v>
      </c>
      <c r="V872" s="6" t="s">
        <v>5</v>
      </c>
      <c r="W872" s="8" t="s">
        <v>5</v>
      </c>
      <c r="X872" s="22">
        <v>0.25</v>
      </c>
      <c r="Y872" s="6" t="s">
        <v>5</v>
      </c>
      <c r="Z872" s="6" t="s">
        <v>5</v>
      </c>
      <c r="AA872" s="6" t="s">
        <v>5</v>
      </c>
      <c r="AB872" s="8" t="s">
        <v>5</v>
      </c>
      <c r="AC872" s="8" t="s">
        <v>5</v>
      </c>
      <c r="AD872" s="6" t="s">
        <v>5</v>
      </c>
      <c r="AE872" s="22">
        <v>0.86599999999999999</v>
      </c>
      <c r="AF872" s="6" t="s">
        <v>5</v>
      </c>
      <c r="AG872" s="6" t="s">
        <v>5</v>
      </c>
      <c r="AH872" s="22">
        <v>0.60599999999999998</v>
      </c>
      <c r="AI872" s="6" t="s">
        <v>5</v>
      </c>
      <c r="AJ872" s="4">
        <v>10</v>
      </c>
      <c r="AK872" s="6" t="s">
        <v>5</v>
      </c>
      <c r="AL872" s="6" t="s">
        <v>5</v>
      </c>
      <c r="AM872" s="6" t="s">
        <v>5</v>
      </c>
      <c r="AN872" s="6" t="s">
        <v>5</v>
      </c>
      <c r="AO872" s="7">
        <v>1.19</v>
      </c>
      <c r="AP872" s="7">
        <v>1.29</v>
      </c>
      <c r="AQ872" s="22">
        <v>0.72799999999999998</v>
      </c>
      <c r="AR872" s="22">
        <v>0.79</v>
      </c>
      <c r="AS872" s="6">
        <v>1.37</v>
      </c>
      <c r="AT872" s="6">
        <v>1.41</v>
      </c>
      <c r="AU872" s="6">
        <v>0.73099999999999998</v>
      </c>
      <c r="AV872" s="22">
        <v>0.85</v>
      </c>
      <c r="AW872" s="6" t="s">
        <v>5</v>
      </c>
      <c r="AX872" s="6" t="s">
        <v>5</v>
      </c>
      <c r="AY872" s="6" t="s">
        <v>5</v>
      </c>
      <c r="AZ872" s="6" t="s">
        <v>5</v>
      </c>
      <c r="BA872" s="6" t="s">
        <v>5</v>
      </c>
      <c r="BB872" s="6" t="s">
        <v>5</v>
      </c>
      <c r="BC872" s="6" t="s">
        <v>5</v>
      </c>
      <c r="BD872" s="6" t="s">
        <v>5</v>
      </c>
      <c r="BE872" s="6" t="s">
        <v>5</v>
      </c>
      <c r="BF872" s="6" t="s">
        <v>5</v>
      </c>
      <c r="BG872" s="6" t="s">
        <v>5</v>
      </c>
      <c r="BH872" s="6" t="s">
        <v>5</v>
      </c>
      <c r="BI872" s="7">
        <v>1.38</v>
      </c>
      <c r="BJ872" s="22">
        <v>0.71099999999999997</v>
      </c>
      <c r="BK872" s="6" t="s">
        <v>5</v>
      </c>
      <c r="BL872" s="2" t="s">
        <v>5</v>
      </c>
      <c r="BM872" s="2" t="s">
        <v>5</v>
      </c>
      <c r="BN872" s="2" t="s">
        <v>5</v>
      </c>
      <c r="BO872" s="2" t="s">
        <v>5</v>
      </c>
      <c r="BP872" s="2" t="s">
        <v>5</v>
      </c>
      <c r="BQ872" s="2" t="s">
        <v>5</v>
      </c>
      <c r="BR872" s="2" t="s">
        <v>5</v>
      </c>
      <c r="BS872" s="2" t="s">
        <v>5</v>
      </c>
      <c r="BT872" s="2" t="s">
        <v>5</v>
      </c>
      <c r="BU872" s="2" t="s">
        <v>5</v>
      </c>
      <c r="BV872" s="2" t="s">
        <v>5</v>
      </c>
      <c r="BW872" s="2" t="s">
        <v>5</v>
      </c>
      <c r="BX872" s="2" t="s">
        <v>5</v>
      </c>
      <c r="BY872" s="25" t="s">
        <v>5</v>
      </c>
      <c r="BZ872" s="25" t="s">
        <v>5</v>
      </c>
      <c r="CA872" s="6" t="s">
        <v>5</v>
      </c>
      <c r="CB872" s="6" t="s">
        <v>5</v>
      </c>
      <c r="CC872" s="6" t="s">
        <v>5</v>
      </c>
      <c r="CD872" s="6" t="s">
        <v>5</v>
      </c>
      <c r="CE872" s="6" t="s">
        <v>5</v>
      </c>
      <c r="CF872" s="16" t="s">
        <v>5</v>
      </c>
      <c r="CG872" s="16" t="s">
        <v>5</v>
      </c>
      <c r="CH872" s="18" t="s">
        <v>5</v>
      </c>
    </row>
    <row r="873" spans="2:86">
      <c r="B873" s="78" t="s">
        <v>473</v>
      </c>
      <c r="C873" s="79" t="s">
        <v>973</v>
      </c>
      <c r="D873" s="80" t="s">
        <v>973</v>
      </c>
      <c r="E873" s="1" t="s">
        <v>4</v>
      </c>
      <c r="F873" s="7">
        <v>4.88</v>
      </c>
      <c r="G873" s="7">
        <v>1.45</v>
      </c>
      <c r="H873" s="3" t="str">
        <f t="shared" si="32"/>
        <v>2L2-1/2X1-1/2X3/16LLBB</v>
      </c>
      <c r="I873" s="7">
        <v>2.5</v>
      </c>
      <c r="J873" s="5" t="s">
        <v>5</v>
      </c>
      <c r="K873" s="6" t="s">
        <v>5</v>
      </c>
      <c r="L873" s="6" t="s">
        <v>5</v>
      </c>
      <c r="M873" s="6" t="s">
        <v>5</v>
      </c>
      <c r="N873" s="6" t="s">
        <v>5</v>
      </c>
      <c r="O873" s="5" t="s">
        <v>5</v>
      </c>
      <c r="P873" s="5" t="s">
        <v>5</v>
      </c>
      <c r="Q873" s="7">
        <v>1.5</v>
      </c>
      <c r="R873" s="6" t="s">
        <v>5</v>
      </c>
      <c r="S873" s="6" t="s">
        <v>5</v>
      </c>
      <c r="T873" s="5" t="s">
        <v>5</v>
      </c>
      <c r="U873" s="8" t="s">
        <v>5</v>
      </c>
      <c r="V873" s="6" t="s">
        <v>5</v>
      </c>
      <c r="W873" s="8" t="s">
        <v>5</v>
      </c>
      <c r="X873" s="22">
        <v>0.188</v>
      </c>
      <c r="Y873" s="6" t="s">
        <v>5</v>
      </c>
      <c r="Z873" s="6" t="s">
        <v>5</v>
      </c>
      <c r="AA873" s="6" t="s">
        <v>5</v>
      </c>
      <c r="AB873" s="8" t="s">
        <v>5</v>
      </c>
      <c r="AC873" s="8" t="s">
        <v>5</v>
      </c>
      <c r="AD873" s="6" t="s">
        <v>5</v>
      </c>
      <c r="AE873" s="22">
        <v>0.83899999999999997</v>
      </c>
      <c r="AF873" s="6" t="s">
        <v>5</v>
      </c>
      <c r="AG873" s="6" t="s">
        <v>5</v>
      </c>
      <c r="AH873" s="22">
        <v>0.56899999999999995</v>
      </c>
      <c r="AI873" s="6" t="s">
        <v>5</v>
      </c>
      <c r="AJ873" s="4">
        <v>13.3</v>
      </c>
      <c r="AK873" s="6" t="s">
        <v>5</v>
      </c>
      <c r="AL873" s="6" t="s">
        <v>5</v>
      </c>
      <c r="AM873" s="6" t="s">
        <v>5</v>
      </c>
      <c r="AN873" s="6" t="s">
        <v>5</v>
      </c>
      <c r="AO873" s="22">
        <v>0.92800000000000005</v>
      </c>
      <c r="AP873" s="22">
        <v>0.99399999999999999</v>
      </c>
      <c r="AQ873" s="22">
        <v>0.56000000000000005</v>
      </c>
      <c r="AR873" s="22">
        <v>0.8</v>
      </c>
      <c r="AS873" s="22">
        <v>0.42399999999999999</v>
      </c>
      <c r="AT873" s="6">
        <v>0.502</v>
      </c>
      <c r="AU873" s="6">
        <v>0.28299999999999997</v>
      </c>
      <c r="AV873" s="22">
        <v>0.54100000000000004</v>
      </c>
      <c r="AW873" s="6" t="s">
        <v>5</v>
      </c>
      <c r="AX873" s="6" t="s">
        <v>5</v>
      </c>
      <c r="AY873" s="6" t="s">
        <v>5</v>
      </c>
      <c r="AZ873" s="6" t="s">
        <v>5</v>
      </c>
      <c r="BA873" s="6" t="s">
        <v>5</v>
      </c>
      <c r="BB873" s="6" t="s">
        <v>5</v>
      </c>
      <c r="BC873" s="6" t="s">
        <v>5</v>
      </c>
      <c r="BD873" s="6" t="s">
        <v>5</v>
      </c>
      <c r="BE873" s="6" t="s">
        <v>5</v>
      </c>
      <c r="BF873" s="6" t="s">
        <v>5</v>
      </c>
      <c r="BG873" s="6" t="s">
        <v>5</v>
      </c>
      <c r="BH873" s="6" t="s">
        <v>5</v>
      </c>
      <c r="BI873" s="7">
        <v>1.22</v>
      </c>
      <c r="BJ873" s="22">
        <v>0.625</v>
      </c>
      <c r="BK873" s="6" t="s">
        <v>5</v>
      </c>
      <c r="BL873" s="2" t="s">
        <v>5</v>
      </c>
      <c r="BM873" s="2" t="s">
        <v>5</v>
      </c>
      <c r="BN873" s="2" t="s">
        <v>5</v>
      </c>
      <c r="BO873" s="2" t="s">
        <v>5</v>
      </c>
      <c r="BP873" s="2" t="s">
        <v>5</v>
      </c>
      <c r="BQ873" s="2" t="s">
        <v>5</v>
      </c>
      <c r="BR873" s="2" t="s">
        <v>5</v>
      </c>
      <c r="BS873" s="2" t="s">
        <v>5</v>
      </c>
      <c r="BT873" s="2" t="s">
        <v>5</v>
      </c>
      <c r="BU873" s="2" t="s">
        <v>5</v>
      </c>
      <c r="BV873" s="2" t="s">
        <v>5</v>
      </c>
      <c r="BW873" s="2" t="s">
        <v>5</v>
      </c>
      <c r="BX873" s="2" t="s">
        <v>5</v>
      </c>
      <c r="BY873" s="25" t="s">
        <v>5</v>
      </c>
      <c r="BZ873" s="25" t="s">
        <v>5</v>
      </c>
      <c r="CA873" s="6" t="s">
        <v>5</v>
      </c>
      <c r="CB873" s="6" t="s">
        <v>5</v>
      </c>
      <c r="CC873" s="6" t="s">
        <v>5</v>
      </c>
      <c r="CD873" s="6" t="s">
        <v>5</v>
      </c>
      <c r="CE873" s="6" t="s">
        <v>5</v>
      </c>
      <c r="CF873" s="16" t="s">
        <v>5</v>
      </c>
      <c r="CG873" s="16" t="s">
        <v>5</v>
      </c>
      <c r="CH873" s="18" t="s">
        <v>5</v>
      </c>
    </row>
    <row r="874" spans="2:86">
      <c r="B874" s="78" t="s">
        <v>473</v>
      </c>
      <c r="C874" s="79" t="s">
        <v>974</v>
      </c>
      <c r="D874" s="80" t="s">
        <v>974</v>
      </c>
      <c r="E874" s="1" t="s">
        <v>4</v>
      </c>
      <c r="F874" s="7">
        <v>4.88</v>
      </c>
      <c r="G874" s="7">
        <v>1.45</v>
      </c>
      <c r="H874" s="3" t="str">
        <f t="shared" si="32"/>
        <v>2L2-1/2X1-1/2X3/16X3/8LLBB</v>
      </c>
      <c r="I874" s="7">
        <v>2.5</v>
      </c>
      <c r="J874" s="5" t="s">
        <v>5</v>
      </c>
      <c r="K874" s="6" t="s">
        <v>5</v>
      </c>
      <c r="L874" s="6" t="s">
        <v>5</v>
      </c>
      <c r="M874" s="6" t="s">
        <v>5</v>
      </c>
      <c r="N874" s="6" t="s">
        <v>5</v>
      </c>
      <c r="O874" s="5" t="s">
        <v>5</v>
      </c>
      <c r="P874" s="5" t="s">
        <v>5</v>
      </c>
      <c r="Q874" s="7">
        <v>1.5</v>
      </c>
      <c r="R874" s="6" t="s">
        <v>5</v>
      </c>
      <c r="S874" s="6" t="s">
        <v>5</v>
      </c>
      <c r="T874" s="5" t="s">
        <v>5</v>
      </c>
      <c r="U874" s="8" t="s">
        <v>5</v>
      </c>
      <c r="V874" s="6" t="s">
        <v>5</v>
      </c>
      <c r="W874" s="8" t="s">
        <v>5</v>
      </c>
      <c r="X874" s="22">
        <v>0.188</v>
      </c>
      <c r="Y874" s="6" t="s">
        <v>5</v>
      </c>
      <c r="Z874" s="6" t="s">
        <v>5</v>
      </c>
      <c r="AA874" s="6" t="s">
        <v>5</v>
      </c>
      <c r="AB874" s="8" t="s">
        <v>5</v>
      </c>
      <c r="AC874" s="8" t="s">
        <v>5</v>
      </c>
      <c r="AD874" s="6" t="s">
        <v>5</v>
      </c>
      <c r="AE874" s="22">
        <v>0.83899999999999997</v>
      </c>
      <c r="AF874" s="6" t="s">
        <v>5</v>
      </c>
      <c r="AG874" s="6" t="s">
        <v>5</v>
      </c>
      <c r="AH874" s="22">
        <v>0.56899999999999995</v>
      </c>
      <c r="AI874" s="6" t="s">
        <v>5</v>
      </c>
      <c r="AJ874" s="4">
        <v>13.3</v>
      </c>
      <c r="AK874" s="6" t="s">
        <v>5</v>
      </c>
      <c r="AL874" s="6" t="s">
        <v>5</v>
      </c>
      <c r="AM874" s="6" t="s">
        <v>5</v>
      </c>
      <c r="AN874" s="6" t="s">
        <v>5</v>
      </c>
      <c r="AO874" s="22">
        <v>0.92800000000000005</v>
      </c>
      <c r="AP874" s="22">
        <v>0.99399999999999999</v>
      </c>
      <c r="AQ874" s="22">
        <v>0.56000000000000005</v>
      </c>
      <c r="AR874" s="22">
        <v>0.8</v>
      </c>
      <c r="AS874" s="22">
        <v>0.66500000000000004</v>
      </c>
      <c r="AT874" s="6">
        <v>0.77400000000000002</v>
      </c>
      <c r="AU874" s="6">
        <v>0.39400000000000002</v>
      </c>
      <c r="AV874" s="22">
        <v>0.67700000000000005</v>
      </c>
      <c r="AW874" s="6" t="s">
        <v>5</v>
      </c>
      <c r="AX874" s="6" t="s">
        <v>5</v>
      </c>
      <c r="AY874" s="6" t="s">
        <v>5</v>
      </c>
      <c r="AZ874" s="6" t="s">
        <v>5</v>
      </c>
      <c r="BA874" s="6" t="s">
        <v>5</v>
      </c>
      <c r="BB874" s="6" t="s">
        <v>5</v>
      </c>
      <c r="BC874" s="6" t="s">
        <v>5</v>
      </c>
      <c r="BD874" s="6" t="s">
        <v>5</v>
      </c>
      <c r="BE874" s="6" t="s">
        <v>5</v>
      </c>
      <c r="BF874" s="6" t="s">
        <v>5</v>
      </c>
      <c r="BG874" s="6" t="s">
        <v>5</v>
      </c>
      <c r="BH874" s="6" t="s">
        <v>5</v>
      </c>
      <c r="BI874" s="7">
        <v>1.29</v>
      </c>
      <c r="BJ874" s="22">
        <v>0.66200000000000003</v>
      </c>
      <c r="BK874" s="6" t="s">
        <v>5</v>
      </c>
      <c r="BL874" s="2" t="s">
        <v>5</v>
      </c>
      <c r="BM874" s="2" t="s">
        <v>5</v>
      </c>
      <c r="BN874" s="2" t="s">
        <v>5</v>
      </c>
      <c r="BO874" s="2" t="s">
        <v>5</v>
      </c>
      <c r="BP874" s="2" t="s">
        <v>5</v>
      </c>
      <c r="BQ874" s="2" t="s">
        <v>5</v>
      </c>
      <c r="BR874" s="2" t="s">
        <v>5</v>
      </c>
      <c r="BS874" s="2" t="s">
        <v>5</v>
      </c>
      <c r="BT874" s="2" t="s">
        <v>5</v>
      </c>
      <c r="BU874" s="2" t="s">
        <v>5</v>
      </c>
      <c r="BV874" s="2" t="s">
        <v>5</v>
      </c>
      <c r="BW874" s="2" t="s">
        <v>5</v>
      </c>
      <c r="BX874" s="2" t="s">
        <v>5</v>
      </c>
      <c r="BY874" s="25" t="s">
        <v>5</v>
      </c>
      <c r="BZ874" s="25" t="s">
        <v>5</v>
      </c>
      <c r="CA874" s="6" t="s">
        <v>5</v>
      </c>
      <c r="CB874" s="6" t="s">
        <v>5</v>
      </c>
      <c r="CC874" s="6" t="s">
        <v>5</v>
      </c>
      <c r="CD874" s="6" t="s">
        <v>5</v>
      </c>
      <c r="CE874" s="6" t="s">
        <v>5</v>
      </c>
      <c r="CF874" s="16" t="s">
        <v>5</v>
      </c>
      <c r="CG874" s="16" t="s">
        <v>5</v>
      </c>
      <c r="CH874" s="18" t="s">
        <v>5</v>
      </c>
    </row>
    <row r="875" spans="2:86">
      <c r="B875" s="78" t="s">
        <v>473</v>
      </c>
      <c r="C875" s="79" t="s">
        <v>975</v>
      </c>
      <c r="D875" s="80" t="s">
        <v>975</v>
      </c>
      <c r="E875" s="1" t="s">
        <v>4</v>
      </c>
      <c r="F875" s="7">
        <v>4.88</v>
      </c>
      <c r="G875" s="7">
        <v>1.45</v>
      </c>
      <c r="H875" s="3" t="str">
        <f t="shared" si="32"/>
        <v>2L2-1/2X1-1/2X3/16X3/4LLBB</v>
      </c>
      <c r="I875" s="7">
        <v>2.5</v>
      </c>
      <c r="J875" s="5" t="s">
        <v>5</v>
      </c>
      <c r="K875" s="6" t="s">
        <v>5</v>
      </c>
      <c r="L875" s="6" t="s">
        <v>5</v>
      </c>
      <c r="M875" s="6" t="s">
        <v>5</v>
      </c>
      <c r="N875" s="6" t="s">
        <v>5</v>
      </c>
      <c r="O875" s="5" t="s">
        <v>5</v>
      </c>
      <c r="P875" s="5" t="s">
        <v>5</v>
      </c>
      <c r="Q875" s="7">
        <v>1.5</v>
      </c>
      <c r="R875" s="6" t="s">
        <v>5</v>
      </c>
      <c r="S875" s="6" t="s">
        <v>5</v>
      </c>
      <c r="T875" s="5" t="s">
        <v>5</v>
      </c>
      <c r="U875" s="8" t="s">
        <v>5</v>
      </c>
      <c r="V875" s="6" t="s">
        <v>5</v>
      </c>
      <c r="W875" s="8" t="s">
        <v>5</v>
      </c>
      <c r="X875" s="22">
        <v>0.188</v>
      </c>
      <c r="Y875" s="6" t="s">
        <v>5</v>
      </c>
      <c r="Z875" s="6" t="s">
        <v>5</v>
      </c>
      <c r="AA875" s="6" t="s">
        <v>5</v>
      </c>
      <c r="AB875" s="8" t="s">
        <v>5</v>
      </c>
      <c r="AC875" s="8" t="s">
        <v>5</v>
      </c>
      <c r="AD875" s="6" t="s">
        <v>5</v>
      </c>
      <c r="AE875" s="22">
        <v>0.83899999999999997</v>
      </c>
      <c r="AF875" s="6" t="s">
        <v>5</v>
      </c>
      <c r="AG875" s="6" t="s">
        <v>5</v>
      </c>
      <c r="AH875" s="22">
        <v>0.56899999999999995</v>
      </c>
      <c r="AI875" s="6" t="s">
        <v>5</v>
      </c>
      <c r="AJ875" s="4">
        <v>13.3</v>
      </c>
      <c r="AK875" s="6" t="s">
        <v>5</v>
      </c>
      <c r="AL875" s="6" t="s">
        <v>5</v>
      </c>
      <c r="AM875" s="6" t="s">
        <v>5</v>
      </c>
      <c r="AN875" s="6" t="s">
        <v>5</v>
      </c>
      <c r="AO875" s="22">
        <v>0.92800000000000005</v>
      </c>
      <c r="AP875" s="22">
        <v>0.99399999999999999</v>
      </c>
      <c r="AQ875" s="22">
        <v>0.56000000000000005</v>
      </c>
      <c r="AR875" s="22">
        <v>0.8</v>
      </c>
      <c r="AS875" s="6">
        <v>1.01</v>
      </c>
      <c r="AT875" s="6">
        <v>1.05</v>
      </c>
      <c r="AU875" s="6">
        <v>0.53900000000000003</v>
      </c>
      <c r="AV875" s="22">
        <v>0.83299999999999996</v>
      </c>
      <c r="AW875" s="6" t="s">
        <v>5</v>
      </c>
      <c r="AX875" s="6" t="s">
        <v>5</v>
      </c>
      <c r="AY875" s="6" t="s">
        <v>5</v>
      </c>
      <c r="AZ875" s="6" t="s">
        <v>5</v>
      </c>
      <c r="BA875" s="6" t="s">
        <v>5</v>
      </c>
      <c r="BB875" s="6" t="s">
        <v>5</v>
      </c>
      <c r="BC875" s="6" t="s">
        <v>5</v>
      </c>
      <c r="BD875" s="6" t="s">
        <v>5</v>
      </c>
      <c r="BE875" s="6" t="s">
        <v>5</v>
      </c>
      <c r="BF875" s="6" t="s">
        <v>5</v>
      </c>
      <c r="BG875" s="6" t="s">
        <v>5</v>
      </c>
      <c r="BH875" s="6" t="s">
        <v>5</v>
      </c>
      <c r="BI875" s="7">
        <v>1.38</v>
      </c>
      <c r="BJ875" s="22">
        <v>0.70399999999999996</v>
      </c>
      <c r="BK875" s="6" t="s">
        <v>5</v>
      </c>
      <c r="BL875" s="2" t="s">
        <v>5</v>
      </c>
      <c r="BM875" s="2" t="s">
        <v>5</v>
      </c>
      <c r="BN875" s="2" t="s">
        <v>5</v>
      </c>
      <c r="BO875" s="2" t="s">
        <v>5</v>
      </c>
      <c r="BP875" s="2" t="s">
        <v>5</v>
      </c>
      <c r="BQ875" s="2" t="s">
        <v>5</v>
      </c>
      <c r="BR875" s="2" t="s">
        <v>5</v>
      </c>
      <c r="BS875" s="2" t="s">
        <v>5</v>
      </c>
      <c r="BT875" s="2" t="s">
        <v>5</v>
      </c>
      <c r="BU875" s="2" t="s">
        <v>5</v>
      </c>
      <c r="BV875" s="2" t="s">
        <v>5</v>
      </c>
      <c r="BW875" s="2" t="s">
        <v>5</v>
      </c>
      <c r="BX875" s="2" t="s">
        <v>5</v>
      </c>
      <c r="BY875" s="25" t="s">
        <v>5</v>
      </c>
      <c r="BZ875" s="25" t="s">
        <v>5</v>
      </c>
      <c r="CA875" s="6" t="s">
        <v>5</v>
      </c>
      <c r="CB875" s="6" t="s">
        <v>5</v>
      </c>
      <c r="CC875" s="6" t="s">
        <v>5</v>
      </c>
      <c r="CD875" s="6" t="s">
        <v>5</v>
      </c>
      <c r="CE875" s="6" t="s">
        <v>5</v>
      </c>
      <c r="CF875" s="16" t="s">
        <v>5</v>
      </c>
      <c r="CG875" s="16" t="s">
        <v>5</v>
      </c>
      <c r="CH875" s="18" t="s">
        <v>5</v>
      </c>
    </row>
    <row r="876" spans="2:86">
      <c r="B876" s="78" t="s">
        <v>473</v>
      </c>
      <c r="C876" s="79" t="s">
        <v>976</v>
      </c>
      <c r="D876" s="80" t="s">
        <v>976</v>
      </c>
      <c r="E876" s="1" t="s">
        <v>4</v>
      </c>
      <c r="F876" s="4">
        <v>88.4</v>
      </c>
      <c r="G876" s="4">
        <v>26.2</v>
      </c>
      <c r="H876" s="3" t="str">
        <f t="shared" si="32"/>
        <v>2L8X6X1SLBB</v>
      </c>
      <c r="I876" s="7">
        <v>6</v>
      </c>
      <c r="J876" s="5" t="s">
        <v>5</v>
      </c>
      <c r="K876" s="6" t="s">
        <v>5</v>
      </c>
      <c r="L876" s="6" t="s">
        <v>5</v>
      </c>
      <c r="M876" s="6" t="s">
        <v>5</v>
      </c>
      <c r="N876" s="6" t="s">
        <v>5</v>
      </c>
      <c r="O876" s="5" t="s">
        <v>5</v>
      </c>
      <c r="P876" s="5" t="s">
        <v>5</v>
      </c>
      <c r="Q876" s="7">
        <v>8</v>
      </c>
      <c r="R876" s="6" t="s">
        <v>5</v>
      </c>
      <c r="S876" s="6" t="s">
        <v>5</v>
      </c>
      <c r="T876" s="5" t="s">
        <v>5</v>
      </c>
      <c r="U876" s="8" t="s">
        <v>5</v>
      </c>
      <c r="V876" s="6" t="s">
        <v>5</v>
      </c>
      <c r="W876" s="8" t="s">
        <v>5</v>
      </c>
      <c r="X876" s="7">
        <v>1</v>
      </c>
      <c r="Y876" s="6" t="s">
        <v>5</v>
      </c>
      <c r="Z876" s="6" t="s">
        <v>5</v>
      </c>
      <c r="AA876" s="6" t="s">
        <v>5</v>
      </c>
      <c r="AB876" s="8" t="s">
        <v>5</v>
      </c>
      <c r="AC876" s="8" t="s">
        <v>5</v>
      </c>
      <c r="AD876" s="6" t="s">
        <v>5</v>
      </c>
      <c r="AE876" s="7">
        <v>1.65</v>
      </c>
      <c r="AF876" s="6" t="s">
        <v>5</v>
      </c>
      <c r="AG876" s="6" t="s">
        <v>5</v>
      </c>
      <c r="AH876" s="22">
        <v>0.81899999999999995</v>
      </c>
      <c r="AI876" s="6" t="s">
        <v>5</v>
      </c>
      <c r="AJ876" s="7">
        <v>8</v>
      </c>
      <c r="AK876" s="6" t="s">
        <v>5</v>
      </c>
      <c r="AL876" s="6" t="s">
        <v>5</v>
      </c>
      <c r="AM876" s="6" t="s">
        <v>5</v>
      </c>
      <c r="AN876" s="6" t="s">
        <v>5</v>
      </c>
      <c r="AO876" s="4">
        <v>77.599999999999994</v>
      </c>
      <c r="AP876" s="4">
        <v>32.4</v>
      </c>
      <c r="AQ876" s="4">
        <v>17.8</v>
      </c>
      <c r="AR876" s="7">
        <v>1.72</v>
      </c>
      <c r="AS876" s="6">
        <v>345</v>
      </c>
      <c r="AT876" s="6">
        <v>69.400000000000006</v>
      </c>
      <c r="AU876" s="6">
        <v>43.1</v>
      </c>
      <c r="AV876" s="7">
        <v>3.63</v>
      </c>
      <c r="AW876" s="6" t="s">
        <v>5</v>
      </c>
      <c r="AX876" s="6" t="s">
        <v>5</v>
      </c>
      <c r="AY876" s="6" t="s">
        <v>5</v>
      </c>
      <c r="AZ876" s="6" t="s">
        <v>5</v>
      </c>
      <c r="BA876" s="6" t="s">
        <v>5</v>
      </c>
      <c r="BB876" s="6" t="s">
        <v>5</v>
      </c>
      <c r="BC876" s="6" t="s">
        <v>5</v>
      </c>
      <c r="BD876" s="6" t="s">
        <v>5</v>
      </c>
      <c r="BE876" s="6" t="s">
        <v>5</v>
      </c>
      <c r="BF876" s="6" t="s">
        <v>5</v>
      </c>
      <c r="BG876" s="6" t="s">
        <v>5</v>
      </c>
      <c r="BH876" s="6" t="s">
        <v>5</v>
      </c>
      <c r="BI876" s="7">
        <v>4.18</v>
      </c>
      <c r="BJ876" s="22">
        <v>0.92400000000000004</v>
      </c>
      <c r="BK876" s="6" t="s">
        <v>5</v>
      </c>
      <c r="BL876" s="2" t="s">
        <v>5</v>
      </c>
      <c r="BM876" s="2" t="s">
        <v>5</v>
      </c>
      <c r="BN876" s="2" t="s">
        <v>5</v>
      </c>
      <c r="BO876" s="2" t="s">
        <v>5</v>
      </c>
      <c r="BP876" s="2" t="s">
        <v>5</v>
      </c>
      <c r="BQ876" s="2" t="s">
        <v>5</v>
      </c>
      <c r="BR876" s="2" t="s">
        <v>5</v>
      </c>
      <c r="BS876" s="2" t="s">
        <v>5</v>
      </c>
      <c r="BT876" s="2" t="s">
        <v>5</v>
      </c>
      <c r="BU876" s="2" t="s">
        <v>5</v>
      </c>
      <c r="BV876" s="2" t="s">
        <v>5</v>
      </c>
      <c r="BW876" s="2" t="s">
        <v>5</v>
      </c>
      <c r="BX876" s="2" t="s">
        <v>5</v>
      </c>
      <c r="BY876" s="25" t="s">
        <v>5</v>
      </c>
      <c r="BZ876" s="25" t="s">
        <v>5</v>
      </c>
      <c r="CA876" s="6" t="s">
        <v>5</v>
      </c>
      <c r="CB876" s="6" t="s">
        <v>5</v>
      </c>
      <c r="CC876" s="6" t="s">
        <v>5</v>
      </c>
      <c r="CD876" s="6" t="s">
        <v>5</v>
      </c>
      <c r="CE876" s="6" t="s">
        <v>5</v>
      </c>
      <c r="CF876" s="16" t="s">
        <v>5</v>
      </c>
      <c r="CG876" s="16" t="s">
        <v>5</v>
      </c>
      <c r="CH876" s="18" t="s">
        <v>5</v>
      </c>
    </row>
    <row r="877" spans="2:86">
      <c r="B877" s="78" t="s">
        <v>473</v>
      </c>
      <c r="C877" s="79" t="s">
        <v>977</v>
      </c>
      <c r="D877" s="80" t="s">
        <v>977</v>
      </c>
      <c r="E877" s="1" t="s">
        <v>4</v>
      </c>
      <c r="F877" s="4">
        <v>88.4</v>
      </c>
      <c r="G877" s="4">
        <v>26.2</v>
      </c>
      <c r="H877" s="3" t="str">
        <f t="shared" si="32"/>
        <v>2L8X6X1X3/8SLBB</v>
      </c>
      <c r="I877" s="7">
        <v>6</v>
      </c>
      <c r="J877" s="5" t="s">
        <v>5</v>
      </c>
      <c r="K877" s="6" t="s">
        <v>5</v>
      </c>
      <c r="L877" s="6" t="s">
        <v>5</v>
      </c>
      <c r="M877" s="6" t="s">
        <v>5</v>
      </c>
      <c r="N877" s="6" t="s">
        <v>5</v>
      </c>
      <c r="O877" s="5" t="s">
        <v>5</v>
      </c>
      <c r="P877" s="5" t="s">
        <v>5</v>
      </c>
      <c r="Q877" s="7">
        <v>8</v>
      </c>
      <c r="R877" s="6" t="s">
        <v>5</v>
      </c>
      <c r="S877" s="6" t="s">
        <v>5</v>
      </c>
      <c r="T877" s="5" t="s">
        <v>5</v>
      </c>
      <c r="U877" s="8" t="s">
        <v>5</v>
      </c>
      <c r="V877" s="6" t="s">
        <v>5</v>
      </c>
      <c r="W877" s="8" t="s">
        <v>5</v>
      </c>
      <c r="X877" s="7">
        <v>1</v>
      </c>
      <c r="Y877" s="6" t="s">
        <v>5</v>
      </c>
      <c r="Z877" s="6" t="s">
        <v>5</v>
      </c>
      <c r="AA877" s="6" t="s">
        <v>5</v>
      </c>
      <c r="AB877" s="8" t="s">
        <v>5</v>
      </c>
      <c r="AC877" s="8" t="s">
        <v>5</v>
      </c>
      <c r="AD877" s="6" t="s">
        <v>5</v>
      </c>
      <c r="AE877" s="7">
        <v>1.65</v>
      </c>
      <c r="AF877" s="6" t="s">
        <v>5</v>
      </c>
      <c r="AG877" s="6" t="s">
        <v>5</v>
      </c>
      <c r="AH877" s="22">
        <v>0.81899999999999995</v>
      </c>
      <c r="AI877" s="6" t="s">
        <v>5</v>
      </c>
      <c r="AJ877" s="7">
        <v>8</v>
      </c>
      <c r="AK877" s="6" t="s">
        <v>5</v>
      </c>
      <c r="AL877" s="6" t="s">
        <v>5</v>
      </c>
      <c r="AM877" s="6" t="s">
        <v>5</v>
      </c>
      <c r="AN877" s="6" t="s">
        <v>5</v>
      </c>
      <c r="AO877" s="4">
        <v>77.599999999999994</v>
      </c>
      <c r="AP877" s="4">
        <v>32.4</v>
      </c>
      <c r="AQ877" s="4">
        <v>17.8</v>
      </c>
      <c r="AR877" s="7">
        <v>1.72</v>
      </c>
      <c r="AS877" s="6">
        <v>372</v>
      </c>
      <c r="AT877" s="6">
        <v>74.3</v>
      </c>
      <c r="AU877" s="6">
        <v>45.4</v>
      </c>
      <c r="AV877" s="7">
        <v>3.77</v>
      </c>
      <c r="AW877" s="6" t="s">
        <v>5</v>
      </c>
      <c r="AX877" s="6" t="s">
        <v>5</v>
      </c>
      <c r="AY877" s="6" t="s">
        <v>5</v>
      </c>
      <c r="AZ877" s="6" t="s">
        <v>5</v>
      </c>
      <c r="BA877" s="6" t="s">
        <v>5</v>
      </c>
      <c r="BB877" s="6" t="s">
        <v>5</v>
      </c>
      <c r="BC877" s="6" t="s">
        <v>5</v>
      </c>
      <c r="BD877" s="6" t="s">
        <v>5</v>
      </c>
      <c r="BE877" s="6" t="s">
        <v>5</v>
      </c>
      <c r="BF877" s="6" t="s">
        <v>5</v>
      </c>
      <c r="BG877" s="6" t="s">
        <v>5</v>
      </c>
      <c r="BH877" s="6" t="s">
        <v>5</v>
      </c>
      <c r="BI877" s="7">
        <v>4.3</v>
      </c>
      <c r="BJ877" s="22">
        <v>0.92900000000000005</v>
      </c>
      <c r="BK877" s="6" t="s">
        <v>5</v>
      </c>
      <c r="BL877" s="2" t="s">
        <v>5</v>
      </c>
      <c r="BM877" s="2" t="s">
        <v>5</v>
      </c>
      <c r="BN877" s="2" t="s">
        <v>5</v>
      </c>
      <c r="BO877" s="2" t="s">
        <v>5</v>
      </c>
      <c r="BP877" s="2" t="s">
        <v>5</v>
      </c>
      <c r="BQ877" s="2" t="s">
        <v>5</v>
      </c>
      <c r="BR877" s="2" t="s">
        <v>5</v>
      </c>
      <c r="BS877" s="2" t="s">
        <v>5</v>
      </c>
      <c r="BT877" s="2" t="s">
        <v>5</v>
      </c>
      <c r="BU877" s="2" t="s">
        <v>5</v>
      </c>
      <c r="BV877" s="2" t="s">
        <v>5</v>
      </c>
      <c r="BW877" s="2" t="s">
        <v>5</v>
      </c>
      <c r="BX877" s="2" t="s">
        <v>5</v>
      </c>
      <c r="BY877" s="25" t="s">
        <v>5</v>
      </c>
      <c r="BZ877" s="25" t="s">
        <v>5</v>
      </c>
      <c r="CA877" s="6" t="s">
        <v>5</v>
      </c>
      <c r="CB877" s="6" t="s">
        <v>5</v>
      </c>
      <c r="CC877" s="6" t="s">
        <v>5</v>
      </c>
      <c r="CD877" s="6" t="s">
        <v>5</v>
      </c>
      <c r="CE877" s="6" t="s">
        <v>5</v>
      </c>
      <c r="CF877" s="16" t="s">
        <v>5</v>
      </c>
      <c r="CG877" s="16" t="s">
        <v>5</v>
      </c>
      <c r="CH877" s="18" t="s">
        <v>5</v>
      </c>
    </row>
    <row r="878" spans="2:86">
      <c r="B878" s="78" t="s">
        <v>473</v>
      </c>
      <c r="C878" s="79" t="s">
        <v>978</v>
      </c>
      <c r="D878" s="80" t="s">
        <v>978</v>
      </c>
      <c r="E878" s="1" t="s">
        <v>4</v>
      </c>
      <c r="F878" s="4">
        <v>88.4</v>
      </c>
      <c r="G878" s="4">
        <v>26.2</v>
      </c>
      <c r="H878" s="3" t="str">
        <f t="shared" si="32"/>
        <v>2L8X6X1X3/4SLBB</v>
      </c>
      <c r="I878" s="7">
        <v>6</v>
      </c>
      <c r="J878" s="5" t="s">
        <v>5</v>
      </c>
      <c r="K878" s="6" t="s">
        <v>5</v>
      </c>
      <c r="L878" s="6" t="s">
        <v>5</v>
      </c>
      <c r="M878" s="6" t="s">
        <v>5</v>
      </c>
      <c r="N878" s="6" t="s">
        <v>5</v>
      </c>
      <c r="O878" s="5" t="s">
        <v>5</v>
      </c>
      <c r="P878" s="5" t="s">
        <v>5</v>
      </c>
      <c r="Q878" s="7">
        <v>8</v>
      </c>
      <c r="R878" s="6" t="s">
        <v>5</v>
      </c>
      <c r="S878" s="6" t="s">
        <v>5</v>
      </c>
      <c r="T878" s="5" t="s">
        <v>5</v>
      </c>
      <c r="U878" s="8" t="s">
        <v>5</v>
      </c>
      <c r="V878" s="6" t="s">
        <v>5</v>
      </c>
      <c r="W878" s="8" t="s">
        <v>5</v>
      </c>
      <c r="X878" s="7">
        <v>1</v>
      </c>
      <c r="Y878" s="6" t="s">
        <v>5</v>
      </c>
      <c r="Z878" s="6" t="s">
        <v>5</v>
      </c>
      <c r="AA878" s="6" t="s">
        <v>5</v>
      </c>
      <c r="AB878" s="8" t="s">
        <v>5</v>
      </c>
      <c r="AC878" s="8" t="s">
        <v>5</v>
      </c>
      <c r="AD878" s="6" t="s">
        <v>5</v>
      </c>
      <c r="AE878" s="7">
        <v>1.65</v>
      </c>
      <c r="AF878" s="6" t="s">
        <v>5</v>
      </c>
      <c r="AG878" s="6" t="s">
        <v>5</v>
      </c>
      <c r="AH878" s="22">
        <v>0.81899999999999995</v>
      </c>
      <c r="AI878" s="6" t="s">
        <v>5</v>
      </c>
      <c r="AJ878" s="7">
        <v>8</v>
      </c>
      <c r="AK878" s="6" t="s">
        <v>5</v>
      </c>
      <c r="AL878" s="6" t="s">
        <v>5</v>
      </c>
      <c r="AM878" s="6" t="s">
        <v>5</v>
      </c>
      <c r="AN878" s="6" t="s">
        <v>5</v>
      </c>
      <c r="AO878" s="4">
        <v>77.599999999999994</v>
      </c>
      <c r="AP878" s="4">
        <v>32.4</v>
      </c>
      <c r="AQ878" s="4">
        <v>17.8</v>
      </c>
      <c r="AR878" s="7">
        <v>1.72</v>
      </c>
      <c r="AS878" s="6">
        <v>401</v>
      </c>
      <c r="AT878" s="6">
        <v>79.3</v>
      </c>
      <c r="AU878" s="6">
        <v>47.9</v>
      </c>
      <c r="AV878" s="7">
        <v>3.91</v>
      </c>
      <c r="AW878" s="6" t="s">
        <v>5</v>
      </c>
      <c r="AX878" s="6" t="s">
        <v>5</v>
      </c>
      <c r="AY878" s="6" t="s">
        <v>5</v>
      </c>
      <c r="AZ878" s="6" t="s">
        <v>5</v>
      </c>
      <c r="BA878" s="6" t="s">
        <v>5</v>
      </c>
      <c r="BB878" s="6" t="s">
        <v>5</v>
      </c>
      <c r="BC878" s="6" t="s">
        <v>5</v>
      </c>
      <c r="BD878" s="6" t="s">
        <v>5</v>
      </c>
      <c r="BE878" s="6" t="s">
        <v>5</v>
      </c>
      <c r="BF878" s="6" t="s">
        <v>5</v>
      </c>
      <c r="BG878" s="6" t="s">
        <v>5</v>
      </c>
      <c r="BH878" s="6" t="s">
        <v>5</v>
      </c>
      <c r="BI878" s="7">
        <v>4.43</v>
      </c>
      <c r="BJ878" s="22">
        <v>0.93300000000000005</v>
      </c>
      <c r="BK878" s="6" t="s">
        <v>5</v>
      </c>
      <c r="BL878" s="2" t="s">
        <v>5</v>
      </c>
      <c r="BM878" s="2" t="s">
        <v>5</v>
      </c>
      <c r="BN878" s="2" t="s">
        <v>5</v>
      </c>
      <c r="BO878" s="2" t="s">
        <v>5</v>
      </c>
      <c r="BP878" s="2" t="s">
        <v>5</v>
      </c>
      <c r="BQ878" s="2" t="s">
        <v>5</v>
      </c>
      <c r="BR878" s="2" t="s">
        <v>5</v>
      </c>
      <c r="BS878" s="2" t="s">
        <v>5</v>
      </c>
      <c r="BT878" s="2" t="s">
        <v>5</v>
      </c>
      <c r="BU878" s="2" t="s">
        <v>5</v>
      </c>
      <c r="BV878" s="2" t="s">
        <v>5</v>
      </c>
      <c r="BW878" s="2" t="s">
        <v>5</v>
      </c>
      <c r="BX878" s="2" t="s">
        <v>5</v>
      </c>
      <c r="BY878" s="25" t="s">
        <v>5</v>
      </c>
      <c r="BZ878" s="25" t="s">
        <v>5</v>
      </c>
      <c r="CA878" s="6" t="s">
        <v>5</v>
      </c>
      <c r="CB878" s="6" t="s">
        <v>5</v>
      </c>
      <c r="CC878" s="6" t="s">
        <v>5</v>
      </c>
      <c r="CD878" s="6" t="s">
        <v>5</v>
      </c>
      <c r="CE878" s="6" t="s">
        <v>5</v>
      </c>
      <c r="CF878" s="16" t="s">
        <v>5</v>
      </c>
      <c r="CG878" s="16" t="s">
        <v>5</v>
      </c>
      <c r="CH878" s="18" t="s">
        <v>5</v>
      </c>
    </row>
    <row r="879" spans="2:86">
      <c r="B879" s="78" t="s">
        <v>473</v>
      </c>
      <c r="C879" s="79" t="s">
        <v>979</v>
      </c>
      <c r="D879" s="80" t="s">
        <v>979</v>
      </c>
      <c r="E879" s="1" t="s">
        <v>4</v>
      </c>
      <c r="F879" s="4">
        <v>78.2</v>
      </c>
      <c r="G879" s="4">
        <v>23</v>
      </c>
      <c r="H879" s="3" t="str">
        <f t="shared" si="32"/>
        <v>2L8X6X7/8SLBB</v>
      </c>
      <c r="I879" s="7">
        <v>6</v>
      </c>
      <c r="J879" s="5" t="s">
        <v>5</v>
      </c>
      <c r="K879" s="6" t="s">
        <v>5</v>
      </c>
      <c r="L879" s="6" t="s">
        <v>5</v>
      </c>
      <c r="M879" s="6" t="s">
        <v>5</v>
      </c>
      <c r="N879" s="6" t="s">
        <v>5</v>
      </c>
      <c r="O879" s="5" t="s">
        <v>5</v>
      </c>
      <c r="P879" s="5" t="s">
        <v>5</v>
      </c>
      <c r="Q879" s="7">
        <v>8</v>
      </c>
      <c r="R879" s="6" t="s">
        <v>5</v>
      </c>
      <c r="S879" s="6" t="s">
        <v>5</v>
      </c>
      <c r="T879" s="5" t="s">
        <v>5</v>
      </c>
      <c r="U879" s="8" t="s">
        <v>5</v>
      </c>
      <c r="V879" s="6" t="s">
        <v>5</v>
      </c>
      <c r="W879" s="8" t="s">
        <v>5</v>
      </c>
      <c r="X879" s="22">
        <v>0.875</v>
      </c>
      <c r="Y879" s="6" t="s">
        <v>5</v>
      </c>
      <c r="Z879" s="6" t="s">
        <v>5</v>
      </c>
      <c r="AA879" s="6" t="s">
        <v>5</v>
      </c>
      <c r="AB879" s="8" t="s">
        <v>5</v>
      </c>
      <c r="AC879" s="8" t="s">
        <v>5</v>
      </c>
      <c r="AD879" s="6" t="s">
        <v>5</v>
      </c>
      <c r="AE879" s="7">
        <v>1.6</v>
      </c>
      <c r="AF879" s="6" t="s">
        <v>5</v>
      </c>
      <c r="AG879" s="6" t="s">
        <v>5</v>
      </c>
      <c r="AH879" s="22">
        <v>0.71899999999999997</v>
      </c>
      <c r="AI879" s="6" t="s">
        <v>5</v>
      </c>
      <c r="AJ879" s="7">
        <v>9.14</v>
      </c>
      <c r="AK879" s="6" t="s">
        <v>5</v>
      </c>
      <c r="AL879" s="6" t="s">
        <v>5</v>
      </c>
      <c r="AM879" s="6" t="s">
        <v>5</v>
      </c>
      <c r="AN879" s="6" t="s">
        <v>5</v>
      </c>
      <c r="AO879" s="4">
        <v>69.8</v>
      </c>
      <c r="AP879" s="4">
        <v>28.7</v>
      </c>
      <c r="AQ879" s="4">
        <v>15.9</v>
      </c>
      <c r="AR879" s="7">
        <v>1.74</v>
      </c>
      <c r="AS879" s="6">
        <v>300</v>
      </c>
      <c r="AT879" s="6">
        <v>59.8</v>
      </c>
      <c r="AU879" s="6">
        <v>37.5</v>
      </c>
      <c r="AV879" s="7">
        <v>3.61</v>
      </c>
      <c r="AW879" s="6" t="s">
        <v>5</v>
      </c>
      <c r="AX879" s="6" t="s">
        <v>5</v>
      </c>
      <c r="AY879" s="6" t="s">
        <v>5</v>
      </c>
      <c r="AZ879" s="6" t="s">
        <v>5</v>
      </c>
      <c r="BA879" s="6" t="s">
        <v>5</v>
      </c>
      <c r="BB879" s="6" t="s">
        <v>5</v>
      </c>
      <c r="BC879" s="6" t="s">
        <v>5</v>
      </c>
      <c r="BD879" s="6" t="s">
        <v>5</v>
      </c>
      <c r="BE879" s="6" t="s">
        <v>5</v>
      </c>
      <c r="BF879" s="6" t="s">
        <v>5</v>
      </c>
      <c r="BG879" s="6" t="s">
        <v>5</v>
      </c>
      <c r="BH879" s="6" t="s">
        <v>5</v>
      </c>
      <c r="BI879" s="7">
        <v>4.17</v>
      </c>
      <c r="BJ879" s="22">
        <v>0.92200000000000004</v>
      </c>
      <c r="BK879" s="6" t="s">
        <v>5</v>
      </c>
      <c r="BL879" s="2" t="s">
        <v>5</v>
      </c>
      <c r="BM879" s="2" t="s">
        <v>5</v>
      </c>
      <c r="BN879" s="2" t="s">
        <v>5</v>
      </c>
      <c r="BO879" s="2" t="s">
        <v>5</v>
      </c>
      <c r="BP879" s="2" t="s">
        <v>5</v>
      </c>
      <c r="BQ879" s="2" t="s">
        <v>5</v>
      </c>
      <c r="BR879" s="2" t="s">
        <v>5</v>
      </c>
      <c r="BS879" s="2" t="s">
        <v>5</v>
      </c>
      <c r="BT879" s="2" t="s">
        <v>5</v>
      </c>
      <c r="BU879" s="2" t="s">
        <v>5</v>
      </c>
      <c r="BV879" s="2" t="s">
        <v>5</v>
      </c>
      <c r="BW879" s="2" t="s">
        <v>5</v>
      </c>
      <c r="BX879" s="2" t="s">
        <v>5</v>
      </c>
      <c r="BY879" s="25" t="s">
        <v>5</v>
      </c>
      <c r="BZ879" s="25" t="s">
        <v>5</v>
      </c>
      <c r="CA879" s="6" t="s">
        <v>5</v>
      </c>
      <c r="CB879" s="6" t="s">
        <v>5</v>
      </c>
      <c r="CC879" s="6" t="s">
        <v>5</v>
      </c>
      <c r="CD879" s="6" t="s">
        <v>5</v>
      </c>
      <c r="CE879" s="6" t="s">
        <v>5</v>
      </c>
      <c r="CF879" s="16" t="s">
        <v>5</v>
      </c>
      <c r="CG879" s="16" t="s">
        <v>5</v>
      </c>
      <c r="CH879" s="18" t="s">
        <v>5</v>
      </c>
    </row>
    <row r="880" spans="2:86">
      <c r="B880" s="78" t="s">
        <v>473</v>
      </c>
      <c r="C880" s="79" t="s">
        <v>980</v>
      </c>
      <c r="D880" s="80" t="s">
        <v>980</v>
      </c>
      <c r="E880" s="1" t="s">
        <v>4</v>
      </c>
      <c r="F880" s="4">
        <v>78.2</v>
      </c>
      <c r="G880" s="4">
        <v>23</v>
      </c>
      <c r="H880" s="3" t="str">
        <f t="shared" si="32"/>
        <v>2L8X6X7/8X3/8SLBB</v>
      </c>
      <c r="I880" s="7">
        <v>6</v>
      </c>
      <c r="J880" s="5" t="s">
        <v>5</v>
      </c>
      <c r="K880" s="6" t="s">
        <v>5</v>
      </c>
      <c r="L880" s="6" t="s">
        <v>5</v>
      </c>
      <c r="M880" s="6" t="s">
        <v>5</v>
      </c>
      <c r="N880" s="6" t="s">
        <v>5</v>
      </c>
      <c r="O880" s="5" t="s">
        <v>5</v>
      </c>
      <c r="P880" s="5" t="s">
        <v>5</v>
      </c>
      <c r="Q880" s="7">
        <v>8</v>
      </c>
      <c r="R880" s="6" t="s">
        <v>5</v>
      </c>
      <c r="S880" s="6" t="s">
        <v>5</v>
      </c>
      <c r="T880" s="5" t="s">
        <v>5</v>
      </c>
      <c r="U880" s="8" t="s">
        <v>5</v>
      </c>
      <c r="V880" s="6" t="s">
        <v>5</v>
      </c>
      <c r="W880" s="8" t="s">
        <v>5</v>
      </c>
      <c r="X880" s="22">
        <v>0.875</v>
      </c>
      <c r="Y880" s="6" t="s">
        <v>5</v>
      </c>
      <c r="Z880" s="6" t="s">
        <v>5</v>
      </c>
      <c r="AA880" s="6" t="s">
        <v>5</v>
      </c>
      <c r="AB880" s="8" t="s">
        <v>5</v>
      </c>
      <c r="AC880" s="8" t="s">
        <v>5</v>
      </c>
      <c r="AD880" s="6" t="s">
        <v>5</v>
      </c>
      <c r="AE880" s="7">
        <v>1.6</v>
      </c>
      <c r="AF880" s="6" t="s">
        <v>5</v>
      </c>
      <c r="AG880" s="6" t="s">
        <v>5</v>
      </c>
      <c r="AH880" s="22">
        <v>0.71899999999999997</v>
      </c>
      <c r="AI880" s="6" t="s">
        <v>5</v>
      </c>
      <c r="AJ880" s="7">
        <v>9.14</v>
      </c>
      <c r="AK880" s="6" t="s">
        <v>5</v>
      </c>
      <c r="AL880" s="6" t="s">
        <v>5</v>
      </c>
      <c r="AM880" s="6" t="s">
        <v>5</v>
      </c>
      <c r="AN880" s="6" t="s">
        <v>5</v>
      </c>
      <c r="AO880" s="4">
        <v>69.8</v>
      </c>
      <c r="AP880" s="4">
        <v>28.7</v>
      </c>
      <c r="AQ880" s="4">
        <v>15.9</v>
      </c>
      <c r="AR880" s="7">
        <v>1.74</v>
      </c>
      <c r="AS880" s="6">
        <v>323</v>
      </c>
      <c r="AT880" s="6">
        <v>64.099999999999994</v>
      </c>
      <c r="AU880" s="6">
        <v>39.5</v>
      </c>
      <c r="AV880" s="7">
        <v>3.75</v>
      </c>
      <c r="AW880" s="6" t="s">
        <v>5</v>
      </c>
      <c r="AX880" s="6" t="s">
        <v>5</v>
      </c>
      <c r="AY880" s="6" t="s">
        <v>5</v>
      </c>
      <c r="AZ880" s="6" t="s">
        <v>5</v>
      </c>
      <c r="BA880" s="6" t="s">
        <v>5</v>
      </c>
      <c r="BB880" s="6" t="s">
        <v>5</v>
      </c>
      <c r="BC880" s="6" t="s">
        <v>5</v>
      </c>
      <c r="BD880" s="6" t="s">
        <v>5</v>
      </c>
      <c r="BE880" s="6" t="s">
        <v>5</v>
      </c>
      <c r="BF880" s="6" t="s">
        <v>5</v>
      </c>
      <c r="BG880" s="6" t="s">
        <v>5</v>
      </c>
      <c r="BH880" s="6" t="s">
        <v>5</v>
      </c>
      <c r="BI880" s="7">
        <v>4.29</v>
      </c>
      <c r="BJ880" s="22">
        <v>0.92600000000000005</v>
      </c>
      <c r="BK880" s="6" t="s">
        <v>5</v>
      </c>
      <c r="BL880" s="2" t="s">
        <v>5</v>
      </c>
      <c r="BM880" s="2" t="s">
        <v>5</v>
      </c>
      <c r="BN880" s="2" t="s">
        <v>5</v>
      </c>
      <c r="BO880" s="2" t="s">
        <v>5</v>
      </c>
      <c r="BP880" s="2" t="s">
        <v>5</v>
      </c>
      <c r="BQ880" s="2" t="s">
        <v>5</v>
      </c>
      <c r="BR880" s="2" t="s">
        <v>5</v>
      </c>
      <c r="BS880" s="2" t="s">
        <v>5</v>
      </c>
      <c r="BT880" s="2" t="s">
        <v>5</v>
      </c>
      <c r="BU880" s="2" t="s">
        <v>5</v>
      </c>
      <c r="BV880" s="2" t="s">
        <v>5</v>
      </c>
      <c r="BW880" s="2" t="s">
        <v>5</v>
      </c>
      <c r="BX880" s="2" t="s">
        <v>5</v>
      </c>
      <c r="BY880" s="25" t="s">
        <v>5</v>
      </c>
      <c r="BZ880" s="25" t="s">
        <v>5</v>
      </c>
      <c r="CA880" s="6" t="s">
        <v>5</v>
      </c>
      <c r="CB880" s="6" t="s">
        <v>5</v>
      </c>
      <c r="CC880" s="6" t="s">
        <v>5</v>
      </c>
      <c r="CD880" s="6" t="s">
        <v>5</v>
      </c>
      <c r="CE880" s="6" t="s">
        <v>5</v>
      </c>
      <c r="CF880" s="16" t="s">
        <v>5</v>
      </c>
      <c r="CG880" s="16" t="s">
        <v>5</v>
      </c>
      <c r="CH880" s="18" t="s">
        <v>5</v>
      </c>
    </row>
    <row r="881" spans="2:86">
      <c r="B881" s="78" t="s">
        <v>473</v>
      </c>
      <c r="C881" s="79" t="s">
        <v>981</v>
      </c>
      <c r="D881" s="80" t="s">
        <v>981</v>
      </c>
      <c r="E881" s="1" t="s">
        <v>4</v>
      </c>
      <c r="F881" s="4">
        <v>78.2</v>
      </c>
      <c r="G881" s="4">
        <v>23</v>
      </c>
      <c r="H881" s="3" t="str">
        <f t="shared" si="32"/>
        <v>2L8X6X7/8X3/4SLBB</v>
      </c>
      <c r="I881" s="7">
        <v>6</v>
      </c>
      <c r="J881" s="5" t="s">
        <v>5</v>
      </c>
      <c r="K881" s="6" t="s">
        <v>5</v>
      </c>
      <c r="L881" s="6" t="s">
        <v>5</v>
      </c>
      <c r="M881" s="6" t="s">
        <v>5</v>
      </c>
      <c r="N881" s="6" t="s">
        <v>5</v>
      </c>
      <c r="O881" s="5" t="s">
        <v>5</v>
      </c>
      <c r="P881" s="5" t="s">
        <v>5</v>
      </c>
      <c r="Q881" s="7">
        <v>8</v>
      </c>
      <c r="R881" s="6" t="s">
        <v>5</v>
      </c>
      <c r="S881" s="6" t="s">
        <v>5</v>
      </c>
      <c r="T881" s="5" t="s">
        <v>5</v>
      </c>
      <c r="U881" s="8" t="s">
        <v>5</v>
      </c>
      <c r="V881" s="6" t="s">
        <v>5</v>
      </c>
      <c r="W881" s="8" t="s">
        <v>5</v>
      </c>
      <c r="X881" s="22">
        <v>0.875</v>
      </c>
      <c r="Y881" s="6" t="s">
        <v>5</v>
      </c>
      <c r="Z881" s="6" t="s">
        <v>5</v>
      </c>
      <c r="AA881" s="6" t="s">
        <v>5</v>
      </c>
      <c r="AB881" s="8" t="s">
        <v>5</v>
      </c>
      <c r="AC881" s="8" t="s">
        <v>5</v>
      </c>
      <c r="AD881" s="6" t="s">
        <v>5</v>
      </c>
      <c r="AE881" s="7">
        <v>1.6</v>
      </c>
      <c r="AF881" s="6" t="s">
        <v>5</v>
      </c>
      <c r="AG881" s="6" t="s">
        <v>5</v>
      </c>
      <c r="AH881" s="22">
        <v>0.71899999999999997</v>
      </c>
      <c r="AI881" s="6" t="s">
        <v>5</v>
      </c>
      <c r="AJ881" s="7">
        <v>9.14</v>
      </c>
      <c r="AK881" s="6" t="s">
        <v>5</v>
      </c>
      <c r="AL881" s="6" t="s">
        <v>5</v>
      </c>
      <c r="AM881" s="6" t="s">
        <v>5</v>
      </c>
      <c r="AN881" s="6" t="s">
        <v>5</v>
      </c>
      <c r="AO881" s="4">
        <v>69.8</v>
      </c>
      <c r="AP881" s="4">
        <v>28.7</v>
      </c>
      <c r="AQ881" s="4">
        <v>15.9</v>
      </c>
      <c r="AR881" s="7">
        <v>1.74</v>
      </c>
      <c r="AS881" s="6">
        <v>348</v>
      </c>
      <c r="AT881" s="6">
        <v>68.400000000000006</v>
      </c>
      <c r="AU881" s="6">
        <v>41.6</v>
      </c>
      <c r="AV881" s="7">
        <v>3.89</v>
      </c>
      <c r="AW881" s="6" t="s">
        <v>5</v>
      </c>
      <c r="AX881" s="6" t="s">
        <v>5</v>
      </c>
      <c r="AY881" s="6" t="s">
        <v>5</v>
      </c>
      <c r="AZ881" s="6" t="s">
        <v>5</v>
      </c>
      <c r="BA881" s="6" t="s">
        <v>5</v>
      </c>
      <c r="BB881" s="6" t="s">
        <v>5</v>
      </c>
      <c r="BC881" s="6" t="s">
        <v>5</v>
      </c>
      <c r="BD881" s="6" t="s">
        <v>5</v>
      </c>
      <c r="BE881" s="6" t="s">
        <v>5</v>
      </c>
      <c r="BF881" s="6" t="s">
        <v>5</v>
      </c>
      <c r="BG881" s="6" t="s">
        <v>5</v>
      </c>
      <c r="BH881" s="6" t="s">
        <v>5</v>
      </c>
      <c r="BI881" s="7">
        <v>4.42</v>
      </c>
      <c r="BJ881" s="22">
        <v>0.93</v>
      </c>
      <c r="BK881" s="6" t="s">
        <v>5</v>
      </c>
      <c r="BL881" s="2" t="s">
        <v>5</v>
      </c>
      <c r="BM881" s="2" t="s">
        <v>5</v>
      </c>
      <c r="BN881" s="2" t="s">
        <v>5</v>
      </c>
      <c r="BO881" s="2" t="s">
        <v>5</v>
      </c>
      <c r="BP881" s="2" t="s">
        <v>5</v>
      </c>
      <c r="BQ881" s="2" t="s">
        <v>5</v>
      </c>
      <c r="BR881" s="2" t="s">
        <v>5</v>
      </c>
      <c r="BS881" s="2" t="s">
        <v>5</v>
      </c>
      <c r="BT881" s="2" t="s">
        <v>5</v>
      </c>
      <c r="BU881" s="2" t="s">
        <v>5</v>
      </c>
      <c r="BV881" s="2" t="s">
        <v>5</v>
      </c>
      <c r="BW881" s="2" t="s">
        <v>5</v>
      </c>
      <c r="BX881" s="2" t="s">
        <v>5</v>
      </c>
      <c r="BY881" s="25" t="s">
        <v>5</v>
      </c>
      <c r="BZ881" s="25" t="s">
        <v>5</v>
      </c>
      <c r="CA881" s="6" t="s">
        <v>5</v>
      </c>
      <c r="CB881" s="6" t="s">
        <v>5</v>
      </c>
      <c r="CC881" s="6" t="s">
        <v>5</v>
      </c>
      <c r="CD881" s="6" t="s">
        <v>5</v>
      </c>
      <c r="CE881" s="6" t="s">
        <v>5</v>
      </c>
      <c r="CF881" s="16" t="s">
        <v>5</v>
      </c>
      <c r="CG881" s="16" t="s">
        <v>5</v>
      </c>
      <c r="CH881" s="18" t="s">
        <v>5</v>
      </c>
    </row>
    <row r="882" spans="2:86">
      <c r="B882" s="78" t="s">
        <v>473</v>
      </c>
      <c r="C882" s="79" t="s">
        <v>982</v>
      </c>
      <c r="D882" s="80" t="s">
        <v>982</v>
      </c>
      <c r="E882" s="1" t="s">
        <v>4</v>
      </c>
      <c r="F882" s="4">
        <v>67.599999999999994</v>
      </c>
      <c r="G882" s="4">
        <v>20</v>
      </c>
      <c r="H882" s="3" t="str">
        <f t="shared" si="32"/>
        <v>2L8X6X3/4SLBB</v>
      </c>
      <c r="I882" s="7">
        <v>6</v>
      </c>
      <c r="J882" s="5" t="s">
        <v>5</v>
      </c>
      <c r="K882" s="6" t="s">
        <v>5</v>
      </c>
      <c r="L882" s="6" t="s">
        <v>5</v>
      </c>
      <c r="M882" s="6" t="s">
        <v>5</v>
      </c>
      <c r="N882" s="6" t="s">
        <v>5</v>
      </c>
      <c r="O882" s="5" t="s">
        <v>5</v>
      </c>
      <c r="P882" s="5" t="s">
        <v>5</v>
      </c>
      <c r="Q882" s="7">
        <v>8</v>
      </c>
      <c r="R882" s="6" t="s">
        <v>5</v>
      </c>
      <c r="S882" s="6" t="s">
        <v>5</v>
      </c>
      <c r="T882" s="5" t="s">
        <v>5</v>
      </c>
      <c r="U882" s="8" t="s">
        <v>5</v>
      </c>
      <c r="V882" s="6" t="s">
        <v>5</v>
      </c>
      <c r="W882" s="8" t="s">
        <v>5</v>
      </c>
      <c r="X882" s="22">
        <v>0.75</v>
      </c>
      <c r="Y882" s="6" t="s">
        <v>5</v>
      </c>
      <c r="Z882" s="6" t="s">
        <v>5</v>
      </c>
      <c r="AA882" s="6" t="s">
        <v>5</v>
      </c>
      <c r="AB882" s="8" t="s">
        <v>5</v>
      </c>
      <c r="AC882" s="8" t="s">
        <v>5</v>
      </c>
      <c r="AD882" s="6" t="s">
        <v>5</v>
      </c>
      <c r="AE882" s="7">
        <v>1.56</v>
      </c>
      <c r="AF882" s="6" t="s">
        <v>5</v>
      </c>
      <c r="AG882" s="6" t="s">
        <v>5</v>
      </c>
      <c r="AH882" s="22">
        <v>0.624</v>
      </c>
      <c r="AI882" s="6" t="s">
        <v>5</v>
      </c>
      <c r="AJ882" s="4">
        <v>10.7</v>
      </c>
      <c r="AK882" s="6" t="s">
        <v>5</v>
      </c>
      <c r="AL882" s="6" t="s">
        <v>5</v>
      </c>
      <c r="AM882" s="6" t="s">
        <v>5</v>
      </c>
      <c r="AN882" s="6" t="s">
        <v>5</v>
      </c>
      <c r="AO882" s="4">
        <v>61.5</v>
      </c>
      <c r="AP882" s="4">
        <v>24.9</v>
      </c>
      <c r="AQ882" s="4">
        <v>13.8</v>
      </c>
      <c r="AR882" s="7">
        <v>1.75</v>
      </c>
      <c r="AS882" s="6">
        <v>258</v>
      </c>
      <c r="AT882" s="6">
        <v>50.9</v>
      </c>
      <c r="AU882" s="6">
        <v>32.200000000000003</v>
      </c>
      <c r="AV882" s="7">
        <v>3.59</v>
      </c>
      <c r="AW882" s="6" t="s">
        <v>5</v>
      </c>
      <c r="AX882" s="6" t="s">
        <v>5</v>
      </c>
      <c r="AY882" s="6" t="s">
        <v>5</v>
      </c>
      <c r="AZ882" s="6" t="s">
        <v>5</v>
      </c>
      <c r="BA882" s="6" t="s">
        <v>5</v>
      </c>
      <c r="BB882" s="6" t="s">
        <v>5</v>
      </c>
      <c r="BC882" s="6" t="s">
        <v>5</v>
      </c>
      <c r="BD882" s="6" t="s">
        <v>5</v>
      </c>
      <c r="BE882" s="6" t="s">
        <v>5</v>
      </c>
      <c r="BF882" s="6" t="s">
        <v>5</v>
      </c>
      <c r="BG882" s="6" t="s">
        <v>5</v>
      </c>
      <c r="BH882" s="6" t="s">
        <v>5</v>
      </c>
      <c r="BI882" s="7">
        <v>4.17</v>
      </c>
      <c r="BJ882" s="22">
        <v>0.91900000000000004</v>
      </c>
      <c r="BK882" s="6" t="s">
        <v>5</v>
      </c>
      <c r="BL882" s="2" t="s">
        <v>5</v>
      </c>
      <c r="BM882" s="2" t="s">
        <v>5</v>
      </c>
      <c r="BN882" s="2" t="s">
        <v>5</v>
      </c>
      <c r="BO882" s="2" t="s">
        <v>5</v>
      </c>
      <c r="BP882" s="2" t="s">
        <v>5</v>
      </c>
      <c r="BQ882" s="2" t="s">
        <v>5</v>
      </c>
      <c r="BR882" s="2" t="s">
        <v>5</v>
      </c>
      <c r="BS882" s="2" t="s">
        <v>5</v>
      </c>
      <c r="BT882" s="2" t="s">
        <v>5</v>
      </c>
      <c r="BU882" s="2" t="s">
        <v>5</v>
      </c>
      <c r="BV882" s="2" t="s">
        <v>5</v>
      </c>
      <c r="BW882" s="2" t="s">
        <v>5</v>
      </c>
      <c r="BX882" s="2" t="s">
        <v>5</v>
      </c>
      <c r="BY882" s="25" t="s">
        <v>5</v>
      </c>
      <c r="BZ882" s="25" t="s">
        <v>5</v>
      </c>
      <c r="CA882" s="6" t="s">
        <v>5</v>
      </c>
      <c r="CB882" s="6" t="s">
        <v>5</v>
      </c>
      <c r="CC882" s="6" t="s">
        <v>5</v>
      </c>
      <c r="CD882" s="6" t="s">
        <v>5</v>
      </c>
      <c r="CE882" s="6" t="s">
        <v>5</v>
      </c>
      <c r="CF882" s="16" t="s">
        <v>5</v>
      </c>
      <c r="CG882" s="16" t="s">
        <v>5</v>
      </c>
      <c r="CH882" s="18" t="s">
        <v>5</v>
      </c>
    </row>
    <row r="883" spans="2:86">
      <c r="B883" s="78" t="s">
        <v>473</v>
      </c>
      <c r="C883" s="79" t="s">
        <v>983</v>
      </c>
      <c r="D883" s="80" t="s">
        <v>983</v>
      </c>
      <c r="E883" s="1" t="s">
        <v>4</v>
      </c>
      <c r="F883" s="4">
        <v>67.599999999999994</v>
      </c>
      <c r="G883" s="4">
        <v>20</v>
      </c>
      <c r="H883" s="3" t="str">
        <f t="shared" si="32"/>
        <v>2L8X6X3/4X3/8SLBB</v>
      </c>
      <c r="I883" s="7">
        <v>6</v>
      </c>
      <c r="J883" s="5" t="s">
        <v>5</v>
      </c>
      <c r="K883" s="6" t="s">
        <v>5</v>
      </c>
      <c r="L883" s="6" t="s">
        <v>5</v>
      </c>
      <c r="M883" s="6" t="s">
        <v>5</v>
      </c>
      <c r="N883" s="6" t="s">
        <v>5</v>
      </c>
      <c r="O883" s="5" t="s">
        <v>5</v>
      </c>
      <c r="P883" s="5" t="s">
        <v>5</v>
      </c>
      <c r="Q883" s="7">
        <v>8</v>
      </c>
      <c r="R883" s="6" t="s">
        <v>5</v>
      </c>
      <c r="S883" s="6" t="s">
        <v>5</v>
      </c>
      <c r="T883" s="5" t="s">
        <v>5</v>
      </c>
      <c r="U883" s="8" t="s">
        <v>5</v>
      </c>
      <c r="V883" s="6" t="s">
        <v>5</v>
      </c>
      <c r="W883" s="8" t="s">
        <v>5</v>
      </c>
      <c r="X883" s="22">
        <v>0.75</v>
      </c>
      <c r="Y883" s="6" t="s">
        <v>5</v>
      </c>
      <c r="Z883" s="6" t="s">
        <v>5</v>
      </c>
      <c r="AA883" s="6" t="s">
        <v>5</v>
      </c>
      <c r="AB883" s="8" t="s">
        <v>5</v>
      </c>
      <c r="AC883" s="8" t="s">
        <v>5</v>
      </c>
      <c r="AD883" s="6" t="s">
        <v>5</v>
      </c>
      <c r="AE883" s="7">
        <v>1.56</v>
      </c>
      <c r="AF883" s="6" t="s">
        <v>5</v>
      </c>
      <c r="AG883" s="6" t="s">
        <v>5</v>
      </c>
      <c r="AH883" s="22">
        <v>0.624</v>
      </c>
      <c r="AI883" s="6" t="s">
        <v>5</v>
      </c>
      <c r="AJ883" s="4">
        <v>10.7</v>
      </c>
      <c r="AK883" s="6" t="s">
        <v>5</v>
      </c>
      <c r="AL883" s="6" t="s">
        <v>5</v>
      </c>
      <c r="AM883" s="6" t="s">
        <v>5</v>
      </c>
      <c r="AN883" s="6" t="s">
        <v>5</v>
      </c>
      <c r="AO883" s="4">
        <v>61.5</v>
      </c>
      <c r="AP883" s="4">
        <v>24.9</v>
      </c>
      <c r="AQ883" s="4">
        <v>13.8</v>
      </c>
      <c r="AR883" s="7">
        <v>1.75</v>
      </c>
      <c r="AS883" s="6">
        <v>277</v>
      </c>
      <c r="AT883" s="6">
        <v>54.7</v>
      </c>
      <c r="AU883" s="6">
        <v>33.799999999999997</v>
      </c>
      <c r="AV883" s="7">
        <v>3.72</v>
      </c>
      <c r="AW883" s="6" t="s">
        <v>5</v>
      </c>
      <c r="AX883" s="6" t="s">
        <v>5</v>
      </c>
      <c r="AY883" s="6" t="s">
        <v>5</v>
      </c>
      <c r="AZ883" s="6" t="s">
        <v>5</v>
      </c>
      <c r="BA883" s="6" t="s">
        <v>5</v>
      </c>
      <c r="BB883" s="6" t="s">
        <v>5</v>
      </c>
      <c r="BC883" s="6" t="s">
        <v>5</v>
      </c>
      <c r="BD883" s="6" t="s">
        <v>5</v>
      </c>
      <c r="BE883" s="6" t="s">
        <v>5</v>
      </c>
      <c r="BF883" s="6" t="s">
        <v>5</v>
      </c>
      <c r="BG883" s="6" t="s">
        <v>5</v>
      </c>
      <c r="BH883" s="6" t="s">
        <v>5</v>
      </c>
      <c r="BI883" s="7">
        <v>4.28</v>
      </c>
      <c r="BJ883" s="22">
        <v>0.92400000000000004</v>
      </c>
      <c r="BK883" s="6" t="s">
        <v>5</v>
      </c>
      <c r="BL883" s="2" t="s">
        <v>5</v>
      </c>
      <c r="BM883" s="2" t="s">
        <v>5</v>
      </c>
      <c r="BN883" s="2" t="s">
        <v>5</v>
      </c>
      <c r="BO883" s="2" t="s">
        <v>5</v>
      </c>
      <c r="BP883" s="2" t="s">
        <v>5</v>
      </c>
      <c r="BQ883" s="2" t="s">
        <v>5</v>
      </c>
      <c r="BR883" s="2" t="s">
        <v>5</v>
      </c>
      <c r="BS883" s="2" t="s">
        <v>5</v>
      </c>
      <c r="BT883" s="2" t="s">
        <v>5</v>
      </c>
      <c r="BU883" s="2" t="s">
        <v>5</v>
      </c>
      <c r="BV883" s="2" t="s">
        <v>5</v>
      </c>
      <c r="BW883" s="2" t="s">
        <v>5</v>
      </c>
      <c r="BX883" s="2" t="s">
        <v>5</v>
      </c>
      <c r="BY883" s="25" t="s">
        <v>5</v>
      </c>
      <c r="BZ883" s="25" t="s">
        <v>5</v>
      </c>
      <c r="CA883" s="6" t="s">
        <v>5</v>
      </c>
      <c r="CB883" s="6" t="s">
        <v>5</v>
      </c>
      <c r="CC883" s="6" t="s">
        <v>5</v>
      </c>
      <c r="CD883" s="6" t="s">
        <v>5</v>
      </c>
      <c r="CE883" s="6" t="s">
        <v>5</v>
      </c>
      <c r="CF883" s="16" t="s">
        <v>5</v>
      </c>
      <c r="CG883" s="16" t="s">
        <v>5</v>
      </c>
      <c r="CH883" s="18" t="s">
        <v>5</v>
      </c>
    </row>
    <row r="884" spans="2:86">
      <c r="B884" s="78" t="s">
        <v>473</v>
      </c>
      <c r="C884" s="79" t="s">
        <v>984</v>
      </c>
      <c r="D884" s="80" t="s">
        <v>984</v>
      </c>
      <c r="E884" s="1" t="s">
        <v>4</v>
      </c>
      <c r="F884" s="4">
        <v>67.599999999999994</v>
      </c>
      <c r="G884" s="4">
        <v>20</v>
      </c>
      <c r="H884" s="3" t="str">
        <f t="shared" si="32"/>
        <v>2L8X6X3/4X3/4SLBB</v>
      </c>
      <c r="I884" s="7">
        <v>6</v>
      </c>
      <c r="J884" s="5" t="s">
        <v>5</v>
      </c>
      <c r="K884" s="6" t="s">
        <v>5</v>
      </c>
      <c r="L884" s="6" t="s">
        <v>5</v>
      </c>
      <c r="M884" s="6" t="s">
        <v>5</v>
      </c>
      <c r="N884" s="6" t="s">
        <v>5</v>
      </c>
      <c r="O884" s="5" t="s">
        <v>5</v>
      </c>
      <c r="P884" s="5" t="s">
        <v>5</v>
      </c>
      <c r="Q884" s="7">
        <v>8</v>
      </c>
      <c r="R884" s="6" t="s">
        <v>5</v>
      </c>
      <c r="S884" s="6" t="s">
        <v>5</v>
      </c>
      <c r="T884" s="5" t="s">
        <v>5</v>
      </c>
      <c r="U884" s="8" t="s">
        <v>5</v>
      </c>
      <c r="V884" s="6" t="s">
        <v>5</v>
      </c>
      <c r="W884" s="8" t="s">
        <v>5</v>
      </c>
      <c r="X884" s="22">
        <v>0.75</v>
      </c>
      <c r="Y884" s="6" t="s">
        <v>5</v>
      </c>
      <c r="Z884" s="6" t="s">
        <v>5</v>
      </c>
      <c r="AA884" s="6" t="s">
        <v>5</v>
      </c>
      <c r="AB884" s="8" t="s">
        <v>5</v>
      </c>
      <c r="AC884" s="8" t="s">
        <v>5</v>
      </c>
      <c r="AD884" s="6" t="s">
        <v>5</v>
      </c>
      <c r="AE884" s="7">
        <v>1.56</v>
      </c>
      <c r="AF884" s="6" t="s">
        <v>5</v>
      </c>
      <c r="AG884" s="6" t="s">
        <v>5</v>
      </c>
      <c r="AH884" s="22">
        <v>0.624</v>
      </c>
      <c r="AI884" s="6" t="s">
        <v>5</v>
      </c>
      <c r="AJ884" s="4">
        <v>10.7</v>
      </c>
      <c r="AK884" s="6" t="s">
        <v>5</v>
      </c>
      <c r="AL884" s="6" t="s">
        <v>5</v>
      </c>
      <c r="AM884" s="6" t="s">
        <v>5</v>
      </c>
      <c r="AN884" s="6" t="s">
        <v>5</v>
      </c>
      <c r="AO884" s="4">
        <v>61.5</v>
      </c>
      <c r="AP884" s="4">
        <v>24.9</v>
      </c>
      <c r="AQ884" s="4">
        <v>13.8</v>
      </c>
      <c r="AR884" s="7">
        <v>1.75</v>
      </c>
      <c r="AS884" s="6">
        <v>298</v>
      </c>
      <c r="AT884" s="6">
        <v>58.4</v>
      </c>
      <c r="AU884" s="6">
        <v>35.6</v>
      </c>
      <c r="AV884" s="7">
        <v>3.86</v>
      </c>
      <c r="AW884" s="6" t="s">
        <v>5</v>
      </c>
      <c r="AX884" s="6" t="s">
        <v>5</v>
      </c>
      <c r="AY884" s="6" t="s">
        <v>5</v>
      </c>
      <c r="AZ884" s="6" t="s">
        <v>5</v>
      </c>
      <c r="BA884" s="6" t="s">
        <v>5</v>
      </c>
      <c r="BB884" s="6" t="s">
        <v>5</v>
      </c>
      <c r="BC884" s="6" t="s">
        <v>5</v>
      </c>
      <c r="BD884" s="6" t="s">
        <v>5</v>
      </c>
      <c r="BE884" s="6" t="s">
        <v>5</v>
      </c>
      <c r="BF884" s="6" t="s">
        <v>5</v>
      </c>
      <c r="BG884" s="6" t="s">
        <v>5</v>
      </c>
      <c r="BH884" s="6" t="s">
        <v>5</v>
      </c>
      <c r="BI884" s="7">
        <v>4.4000000000000004</v>
      </c>
      <c r="BJ884" s="22">
        <v>0.92800000000000005</v>
      </c>
      <c r="BK884" s="6" t="s">
        <v>5</v>
      </c>
      <c r="BL884" s="2" t="s">
        <v>5</v>
      </c>
      <c r="BM884" s="2" t="s">
        <v>5</v>
      </c>
      <c r="BN884" s="2" t="s">
        <v>5</v>
      </c>
      <c r="BO884" s="2" t="s">
        <v>5</v>
      </c>
      <c r="BP884" s="2" t="s">
        <v>5</v>
      </c>
      <c r="BQ884" s="2" t="s">
        <v>5</v>
      </c>
      <c r="BR884" s="2" t="s">
        <v>5</v>
      </c>
      <c r="BS884" s="2" t="s">
        <v>5</v>
      </c>
      <c r="BT884" s="2" t="s">
        <v>5</v>
      </c>
      <c r="BU884" s="2" t="s">
        <v>5</v>
      </c>
      <c r="BV884" s="2" t="s">
        <v>5</v>
      </c>
      <c r="BW884" s="2" t="s">
        <v>5</v>
      </c>
      <c r="BX884" s="2" t="s">
        <v>5</v>
      </c>
      <c r="BY884" s="25" t="s">
        <v>5</v>
      </c>
      <c r="BZ884" s="25" t="s">
        <v>5</v>
      </c>
      <c r="CA884" s="6" t="s">
        <v>5</v>
      </c>
      <c r="CB884" s="6" t="s">
        <v>5</v>
      </c>
      <c r="CC884" s="6" t="s">
        <v>5</v>
      </c>
      <c r="CD884" s="6" t="s">
        <v>5</v>
      </c>
      <c r="CE884" s="6" t="s">
        <v>5</v>
      </c>
      <c r="CF884" s="16" t="s">
        <v>5</v>
      </c>
      <c r="CG884" s="16" t="s">
        <v>5</v>
      </c>
      <c r="CH884" s="18" t="s">
        <v>5</v>
      </c>
    </row>
    <row r="885" spans="2:86">
      <c r="B885" s="78" t="s">
        <v>473</v>
      </c>
      <c r="C885" s="79" t="s">
        <v>985</v>
      </c>
      <c r="D885" s="80" t="s">
        <v>985</v>
      </c>
      <c r="E885" s="1" t="s">
        <v>4</v>
      </c>
      <c r="F885" s="4">
        <v>57</v>
      </c>
      <c r="G885" s="4">
        <v>16.8</v>
      </c>
      <c r="H885" s="3" t="str">
        <f t="shared" si="32"/>
        <v>2L8X6X5/8SLBB</v>
      </c>
      <c r="I885" s="7">
        <v>6</v>
      </c>
      <c r="J885" s="5" t="s">
        <v>5</v>
      </c>
      <c r="K885" s="6" t="s">
        <v>5</v>
      </c>
      <c r="L885" s="6" t="s">
        <v>5</v>
      </c>
      <c r="M885" s="6" t="s">
        <v>5</v>
      </c>
      <c r="N885" s="6" t="s">
        <v>5</v>
      </c>
      <c r="O885" s="5" t="s">
        <v>5</v>
      </c>
      <c r="P885" s="5" t="s">
        <v>5</v>
      </c>
      <c r="Q885" s="7">
        <v>8</v>
      </c>
      <c r="R885" s="6" t="s">
        <v>5</v>
      </c>
      <c r="S885" s="6" t="s">
        <v>5</v>
      </c>
      <c r="T885" s="5" t="s">
        <v>5</v>
      </c>
      <c r="U885" s="8" t="s">
        <v>5</v>
      </c>
      <c r="V885" s="6" t="s">
        <v>5</v>
      </c>
      <c r="W885" s="8" t="s">
        <v>5</v>
      </c>
      <c r="X885" s="22">
        <v>0.625</v>
      </c>
      <c r="Y885" s="6" t="s">
        <v>5</v>
      </c>
      <c r="Z885" s="6" t="s">
        <v>5</v>
      </c>
      <c r="AA885" s="6" t="s">
        <v>5</v>
      </c>
      <c r="AB885" s="8" t="s">
        <v>5</v>
      </c>
      <c r="AC885" s="8" t="s">
        <v>5</v>
      </c>
      <c r="AD885" s="6" t="s">
        <v>5</v>
      </c>
      <c r="AE885" s="7">
        <v>1.51</v>
      </c>
      <c r="AF885" s="6" t="s">
        <v>5</v>
      </c>
      <c r="AG885" s="6" t="s">
        <v>5</v>
      </c>
      <c r="AH885" s="22">
        <v>0.52600000000000002</v>
      </c>
      <c r="AI885" s="6" t="s">
        <v>5</v>
      </c>
      <c r="AJ885" s="4">
        <v>12.8</v>
      </c>
      <c r="AK885" s="6" t="s">
        <v>5</v>
      </c>
      <c r="AL885" s="6" t="s">
        <v>5</v>
      </c>
      <c r="AM885" s="6" t="s">
        <v>5</v>
      </c>
      <c r="AN885" s="6" t="s">
        <v>5</v>
      </c>
      <c r="AO885" s="4">
        <v>52.8</v>
      </c>
      <c r="AP885" s="4">
        <v>21</v>
      </c>
      <c r="AQ885" s="4">
        <v>11.8</v>
      </c>
      <c r="AR885" s="7">
        <v>1.77</v>
      </c>
      <c r="AS885" s="6">
        <v>214</v>
      </c>
      <c r="AT885" s="4">
        <v>42</v>
      </c>
      <c r="AU885" s="6">
        <v>26.8</v>
      </c>
      <c r="AV885" s="7">
        <v>3.57</v>
      </c>
      <c r="AW885" s="6" t="s">
        <v>5</v>
      </c>
      <c r="AX885" s="6" t="s">
        <v>5</v>
      </c>
      <c r="AY885" s="6" t="s">
        <v>5</v>
      </c>
      <c r="AZ885" s="6" t="s">
        <v>5</v>
      </c>
      <c r="BA885" s="6" t="s">
        <v>5</v>
      </c>
      <c r="BB885" s="6" t="s">
        <v>5</v>
      </c>
      <c r="BC885" s="6" t="s">
        <v>5</v>
      </c>
      <c r="BD885" s="6" t="s">
        <v>5</v>
      </c>
      <c r="BE885" s="6" t="s">
        <v>5</v>
      </c>
      <c r="BF885" s="6" t="s">
        <v>5</v>
      </c>
      <c r="BG885" s="6" t="s">
        <v>5</v>
      </c>
      <c r="BH885" s="6" t="s">
        <v>5</v>
      </c>
      <c r="BI885" s="7">
        <v>4.16</v>
      </c>
      <c r="BJ885" s="22">
        <v>0.91700000000000004</v>
      </c>
      <c r="BK885" s="6" t="s">
        <v>5</v>
      </c>
      <c r="BL885" s="2" t="s">
        <v>5</v>
      </c>
      <c r="BM885" s="2" t="s">
        <v>5</v>
      </c>
      <c r="BN885" s="2" t="s">
        <v>5</v>
      </c>
      <c r="BO885" s="2" t="s">
        <v>5</v>
      </c>
      <c r="BP885" s="2" t="s">
        <v>5</v>
      </c>
      <c r="BQ885" s="2" t="s">
        <v>5</v>
      </c>
      <c r="BR885" s="2" t="s">
        <v>5</v>
      </c>
      <c r="BS885" s="2" t="s">
        <v>5</v>
      </c>
      <c r="BT885" s="2" t="s">
        <v>5</v>
      </c>
      <c r="BU885" s="2" t="s">
        <v>5</v>
      </c>
      <c r="BV885" s="2" t="s">
        <v>5</v>
      </c>
      <c r="BW885" s="2" t="s">
        <v>5</v>
      </c>
      <c r="BX885" s="2" t="s">
        <v>5</v>
      </c>
      <c r="BY885" s="25" t="s">
        <v>5</v>
      </c>
      <c r="BZ885" s="25" t="s">
        <v>5</v>
      </c>
      <c r="CA885" s="6" t="s">
        <v>5</v>
      </c>
      <c r="CB885" s="6" t="s">
        <v>5</v>
      </c>
      <c r="CC885" s="6" t="s">
        <v>5</v>
      </c>
      <c r="CD885" s="6" t="s">
        <v>5</v>
      </c>
      <c r="CE885" s="6" t="s">
        <v>5</v>
      </c>
      <c r="CF885" s="16" t="s">
        <v>5</v>
      </c>
      <c r="CG885" s="16" t="s">
        <v>5</v>
      </c>
      <c r="CH885" s="18" t="s">
        <v>5</v>
      </c>
    </row>
    <row r="886" spans="2:86">
      <c r="B886" s="78" t="s">
        <v>473</v>
      </c>
      <c r="C886" s="79" t="s">
        <v>986</v>
      </c>
      <c r="D886" s="80" t="s">
        <v>986</v>
      </c>
      <c r="E886" s="1" t="s">
        <v>4</v>
      </c>
      <c r="F886" s="4">
        <v>57</v>
      </c>
      <c r="G886" s="4">
        <v>16.8</v>
      </c>
      <c r="H886" s="3" t="str">
        <f t="shared" si="32"/>
        <v>2L8X6X5/8X3/8SLBB</v>
      </c>
      <c r="I886" s="7">
        <v>6</v>
      </c>
      <c r="J886" s="5" t="s">
        <v>5</v>
      </c>
      <c r="K886" s="6" t="s">
        <v>5</v>
      </c>
      <c r="L886" s="6" t="s">
        <v>5</v>
      </c>
      <c r="M886" s="6" t="s">
        <v>5</v>
      </c>
      <c r="N886" s="6" t="s">
        <v>5</v>
      </c>
      <c r="O886" s="5" t="s">
        <v>5</v>
      </c>
      <c r="P886" s="5" t="s">
        <v>5</v>
      </c>
      <c r="Q886" s="7">
        <v>8</v>
      </c>
      <c r="R886" s="6" t="s">
        <v>5</v>
      </c>
      <c r="S886" s="6" t="s">
        <v>5</v>
      </c>
      <c r="T886" s="5" t="s">
        <v>5</v>
      </c>
      <c r="U886" s="8" t="s">
        <v>5</v>
      </c>
      <c r="V886" s="6" t="s">
        <v>5</v>
      </c>
      <c r="W886" s="8" t="s">
        <v>5</v>
      </c>
      <c r="X886" s="22">
        <v>0.625</v>
      </c>
      <c r="Y886" s="6" t="s">
        <v>5</v>
      </c>
      <c r="Z886" s="6" t="s">
        <v>5</v>
      </c>
      <c r="AA886" s="6" t="s">
        <v>5</v>
      </c>
      <c r="AB886" s="8" t="s">
        <v>5</v>
      </c>
      <c r="AC886" s="8" t="s">
        <v>5</v>
      </c>
      <c r="AD886" s="6" t="s">
        <v>5</v>
      </c>
      <c r="AE886" s="7">
        <v>1.51</v>
      </c>
      <c r="AF886" s="6" t="s">
        <v>5</v>
      </c>
      <c r="AG886" s="6" t="s">
        <v>5</v>
      </c>
      <c r="AH886" s="22">
        <v>0.52600000000000002</v>
      </c>
      <c r="AI886" s="6" t="s">
        <v>5</v>
      </c>
      <c r="AJ886" s="4">
        <v>12.8</v>
      </c>
      <c r="AK886" s="6" t="s">
        <v>5</v>
      </c>
      <c r="AL886" s="6" t="s">
        <v>5</v>
      </c>
      <c r="AM886" s="6" t="s">
        <v>5</v>
      </c>
      <c r="AN886" s="6" t="s">
        <v>5</v>
      </c>
      <c r="AO886" s="4">
        <v>52.8</v>
      </c>
      <c r="AP886" s="4">
        <v>21</v>
      </c>
      <c r="AQ886" s="4">
        <v>11.8</v>
      </c>
      <c r="AR886" s="7">
        <v>1.77</v>
      </c>
      <c r="AS886" s="6">
        <v>230</v>
      </c>
      <c r="AT886" s="6">
        <v>45.2</v>
      </c>
      <c r="AU886" s="6">
        <v>28.1</v>
      </c>
      <c r="AV886" s="7">
        <v>3.7</v>
      </c>
      <c r="AW886" s="6" t="s">
        <v>5</v>
      </c>
      <c r="AX886" s="6" t="s">
        <v>5</v>
      </c>
      <c r="AY886" s="6" t="s">
        <v>5</v>
      </c>
      <c r="AZ886" s="6" t="s">
        <v>5</v>
      </c>
      <c r="BA886" s="6" t="s">
        <v>5</v>
      </c>
      <c r="BB886" s="6" t="s">
        <v>5</v>
      </c>
      <c r="BC886" s="6" t="s">
        <v>5</v>
      </c>
      <c r="BD886" s="6" t="s">
        <v>5</v>
      </c>
      <c r="BE886" s="6" t="s">
        <v>5</v>
      </c>
      <c r="BF886" s="6" t="s">
        <v>5</v>
      </c>
      <c r="BG886" s="6" t="s">
        <v>5</v>
      </c>
      <c r="BH886" s="6" t="s">
        <v>5</v>
      </c>
      <c r="BI886" s="7">
        <v>4.2699999999999996</v>
      </c>
      <c r="BJ886" s="22">
        <v>0.92100000000000004</v>
      </c>
      <c r="BK886" s="6" t="s">
        <v>5</v>
      </c>
      <c r="BL886" s="2" t="s">
        <v>5</v>
      </c>
      <c r="BM886" s="2" t="s">
        <v>5</v>
      </c>
      <c r="BN886" s="2" t="s">
        <v>5</v>
      </c>
      <c r="BO886" s="2" t="s">
        <v>5</v>
      </c>
      <c r="BP886" s="2" t="s">
        <v>5</v>
      </c>
      <c r="BQ886" s="2" t="s">
        <v>5</v>
      </c>
      <c r="BR886" s="2" t="s">
        <v>5</v>
      </c>
      <c r="BS886" s="2" t="s">
        <v>5</v>
      </c>
      <c r="BT886" s="2" t="s">
        <v>5</v>
      </c>
      <c r="BU886" s="2" t="s">
        <v>5</v>
      </c>
      <c r="BV886" s="2" t="s">
        <v>5</v>
      </c>
      <c r="BW886" s="2" t="s">
        <v>5</v>
      </c>
      <c r="BX886" s="2" t="s">
        <v>5</v>
      </c>
      <c r="BY886" s="25" t="s">
        <v>5</v>
      </c>
      <c r="BZ886" s="25" t="s">
        <v>5</v>
      </c>
      <c r="CA886" s="6" t="s">
        <v>5</v>
      </c>
      <c r="CB886" s="6" t="s">
        <v>5</v>
      </c>
      <c r="CC886" s="6" t="s">
        <v>5</v>
      </c>
      <c r="CD886" s="6" t="s">
        <v>5</v>
      </c>
      <c r="CE886" s="6" t="s">
        <v>5</v>
      </c>
      <c r="CF886" s="16" t="s">
        <v>5</v>
      </c>
      <c r="CG886" s="16" t="s">
        <v>5</v>
      </c>
      <c r="CH886" s="18" t="s">
        <v>5</v>
      </c>
    </row>
    <row r="887" spans="2:86">
      <c r="B887" s="78" t="s">
        <v>473</v>
      </c>
      <c r="C887" s="79" t="s">
        <v>987</v>
      </c>
      <c r="D887" s="80" t="s">
        <v>987</v>
      </c>
      <c r="E887" s="1" t="s">
        <v>4</v>
      </c>
      <c r="F887" s="4">
        <v>57</v>
      </c>
      <c r="G887" s="4">
        <v>16.8</v>
      </c>
      <c r="H887" s="3" t="str">
        <f t="shared" si="32"/>
        <v>2L8X6X5/8X3/4SLBB</v>
      </c>
      <c r="I887" s="7">
        <v>6</v>
      </c>
      <c r="J887" s="5" t="s">
        <v>5</v>
      </c>
      <c r="K887" s="6" t="s">
        <v>5</v>
      </c>
      <c r="L887" s="6" t="s">
        <v>5</v>
      </c>
      <c r="M887" s="6" t="s">
        <v>5</v>
      </c>
      <c r="N887" s="6" t="s">
        <v>5</v>
      </c>
      <c r="O887" s="5" t="s">
        <v>5</v>
      </c>
      <c r="P887" s="5" t="s">
        <v>5</v>
      </c>
      <c r="Q887" s="7">
        <v>8</v>
      </c>
      <c r="R887" s="6" t="s">
        <v>5</v>
      </c>
      <c r="S887" s="6" t="s">
        <v>5</v>
      </c>
      <c r="T887" s="5" t="s">
        <v>5</v>
      </c>
      <c r="U887" s="8" t="s">
        <v>5</v>
      </c>
      <c r="V887" s="6" t="s">
        <v>5</v>
      </c>
      <c r="W887" s="8" t="s">
        <v>5</v>
      </c>
      <c r="X887" s="22">
        <v>0.625</v>
      </c>
      <c r="Y887" s="6" t="s">
        <v>5</v>
      </c>
      <c r="Z887" s="6" t="s">
        <v>5</v>
      </c>
      <c r="AA887" s="6" t="s">
        <v>5</v>
      </c>
      <c r="AB887" s="8" t="s">
        <v>5</v>
      </c>
      <c r="AC887" s="8" t="s">
        <v>5</v>
      </c>
      <c r="AD887" s="6" t="s">
        <v>5</v>
      </c>
      <c r="AE887" s="7">
        <v>1.51</v>
      </c>
      <c r="AF887" s="6" t="s">
        <v>5</v>
      </c>
      <c r="AG887" s="6" t="s">
        <v>5</v>
      </c>
      <c r="AH887" s="22">
        <v>0.52600000000000002</v>
      </c>
      <c r="AI887" s="6" t="s">
        <v>5</v>
      </c>
      <c r="AJ887" s="4">
        <v>12.8</v>
      </c>
      <c r="AK887" s="6" t="s">
        <v>5</v>
      </c>
      <c r="AL887" s="6" t="s">
        <v>5</v>
      </c>
      <c r="AM887" s="6" t="s">
        <v>5</v>
      </c>
      <c r="AN887" s="6" t="s">
        <v>5</v>
      </c>
      <c r="AO887" s="4">
        <v>52.8</v>
      </c>
      <c r="AP887" s="4">
        <v>21</v>
      </c>
      <c r="AQ887" s="4">
        <v>11.8</v>
      </c>
      <c r="AR887" s="7">
        <v>1.77</v>
      </c>
      <c r="AS887" s="6">
        <v>248</v>
      </c>
      <c r="AT887" s="6">
        <v>48.4</v>
      </c>
      <c r="AU887" s="6">
        <v>29.6</v>
      </c>
      <c r="AV887" s="7">
        <v>3.84</v>
      </c>
      <c r="AW887" s="6" t="s">
        <v>5</v>
      </c>
      <c r="AX887" s="6" t="s">
        <v>5</v>
      </c>
      <c r="AY887" s="6" t="s">
        <v>5</v>
      </c>
      <c r="AZ887" s="6" t="s">
        <v>5</v>
      </c>
      <c r="BA887" s="6" t="s">
        <v>5</v>
      </c>
      <c r="BB887" s="6" t="s">
        <v>5</v>
      </c>
      <c r="BC887" s="6" t="s">
        <v>5</v>
      </c>
      <c r="BD887" s="6" t="s">
        <v>5</v>
      </c>
      <c r="BE887" s="6" t="s">
        <v>5</v>
      </c>
      <c r="BF887" s="6" t="s">
        <v>5</v>
      </c>
      <c r="BG887" s="6" t="s">
        <v>5</v>
      </c>
      <c r="BH887" s="6" t="s">
        <v>5</v>
      </c>
      <c r="BI887" s="7">
        <v>4.3899999999999997</v>
      </c>
      <c r="BJ887" s="22">
        <v>0.92600000000000005</v>
      </c>
      <c r="BK887" s="6" t="s">
        <v>5</v>
      </c>
      <c r="BL887" s="2" t="s">
        <v>5</v>
      </c>
      <c r="BM887" s="2" t="s">
        <v>5</v>
      </c>
      <c r="BN887" s="2" t="s">
        <v>5</v>
      </c>
      <c r="BO887" s="2" t="s">
        <v>5</v>
      </c>
      <c r="BP887" s="2" t="s">
        <v>5</v>
      </c>
      <c r="BQ887" s="2" t="s">
        <v>5</v>
      </c>
      <c r="BR887" s="2" t="s">
        <v>5</v>
      </c>
      <c r="BS887" s="2" t="s">
        <v>5</v>
      </c>
      <c r="BT887" s="2" t="s">
        <v>5</v>
      </c>
      <c r="BU887" s="2" t="s">
        <v>5</v>
      </c>
      <c r="BV887" s="2" t="s">
        <v>5</v>
      </c>
      <c r="BW887" s="2" t="s">
        <v>5</v>
      </c>
      <c r="BX887" s="2" t="s">
        <v>5</v>
      </c>
      <c r="BY887" s="25" t="s">
        <v>5</v>
      </c>
      <c r="BZ887" s="25" t="s">
        <v>5</v>
      </c>
      <c r="CA887" s="6" t="s">
        <v>5</v>
      </c>
      <c r="CB887" s="6" t="s">
        <v>5</v>
      </c>
      <c r="CC887" s="6" t="s">
        <v>5</v>
      </c>
      <c r="CD887" s="6" t="s">
        <v>5</v>
      </c>
      <c r="CE887" s="6" t="s">
        <v>5</v>
      </c>
      <c r="CF887" s="16" t="s">
        <v>5</v>
      </c>
      <c r="CG887" s="16" t="s">
        <v>5</v>
      </c>
      <c r="CH887" s="18" t="s">
        <v>5</v>
      </c>
    </row>
    <row r="888" spans="2:86">
      <c r="B888" s="78" t="s">
        <v>473</v>
      </c>
      <c r="C888" s="79" t="s">
        <v>988</v>
      </c>
      <c r="D888" s="80" t="s">
        <v>988</v>
      </c>
      <c r="E888" s="1" t="s">
        <v>4</v>
      </c>
      <c r="F888" s="4">
        <v>51.4</v>
      </c>
      <c r="G888" s="4">
        <v>15.2</v>
      </c>
      <c r="H888" s="3" t="str">
        <f t="shared" si="32"/>
        <v>2L8X6X9/16SLBB</v>
      </c>
      <c r="I888" s="7">
        <v>6</v>
      </c>
      <c r="J888" s="5" t="s">
        <v>5</v>
      </c>
      <c r="K888" s="6" t="s">
        <v>5</v>
      </c>
      <c r="L888" s="6" t="s">
        <v>5</v>
      </c>
      <c r="M888" s="6" t="s">
        <v>5</v>
      </c>
      <c r="N888" s="6" t="s">
        <v>5</v>
      </c>
      <c r="O888" s="5" t="s">
        <v>5</v>
      </c>
      <c r="P888" s="5" t="s">
        <v>5</v>
      </c>
      <c r="Q888" s="7">
        <v>8</v>
      </c>
      <c r="R888" s="6" t="s">
        <v>5</v>
      </c>
      <c r="S888" s="6" t="s">
        <v>5</v>
      </c>
      <c r="T888" s="5" t="s">
        <v>5</v>
      </c>
      <c r="U888" s="8" t="s">
        <v>5</v>
      </c>
      <c r="V888" s="6" t="s">
        <v>5</v>
      </c>
      <c r="W888" s="8" t="s">
        <v>5</v>
      </c>
      <c r="X888" s="22">
        <v>0.56299999999999994</v>
      </c>
      <c r="Y888" s="6" t="s">
        <v>5</v>
      </c>
      <c r="Z888" s="6" t="s">
        <v>5</v>
      </c>
      <c r="AA888" s="6" t="s">
        <v>5</v>
      </c>
      <c r="AB888" s="8" t="s">
        <v>5</v>
      </c>
      <c r="AC888" s="8" t="s">
        <v>5</v>
      </c>
      <c r="AD888" s="6" t="s">
        <v>5</v>
      </c>
      <c r="AE888" s="7">
        <v>1.49</v>
      </c>
      <c r="AF888" s="6" t="s">
        <v>5</v>
      </c>
      <c r="AG888" s="6" t="s">
        <v>5</v>
      </c>
      <c r="AH888" s="22">
        <v>0.47599999999999998</v>
      </c>
      <c r="AI888" s="6" t="s">
        <v>5</v>
      </c>
      <c r="AJ888" s="4">
        <v>14.2</v>
      </c>
      <c r="AK888" s="6" t="s">
        <v>5</v>
      </c>
      <c r="AL888" s="6" t="s">
        <v>5</v>
      </c>
      <c r="AM888" s="6" t="s">
        <v>5</v>
      </c>
      <c r="AN888" s="6" t="s">
        <v>5</v>
      </c>
      <c r="AO888" s="4">
        <v>48.2</v>
      </c>
      <c r="AP888" s="4">
        <v>19</v>
      </c>
      <c r="AQ888" s="4">
        <v>10.7</v>
      </c>
      <c r="AR888" s="7">
        <v>1.78</v>
      </c>
      <c r="AS888" s="6">
        <v>192</v>
      </c>
      <c r="AT888" s="6">
        <v>37.700000000000003</v>
      </c>
      <c r="AU888" s="4">
        <v>24</v>
      </c>
      <c r="AV888" s="7">
        <v>3.55</v>
      </c>
      <c r="AW888" s="6" t="s">
        <v>5</v>
      </c>
      <c r="AX888" s="6" t="s">
        <v>5</v>
      </c>
      <c r="AY888" s="6" t="s">
        <v>5</v>
      </c>
      <c r="AZ888" s="6" t="s">
        <v>5</v>
      </c>
      <c r="BA888" s="6" t="s">
        <v>5</v>
      </c>
      <c r="BB888" s="6" t="s">
        <v>5</v>
      </c>
      <c r="BC888" s="6" t="s">
        <v>5</v>
      </c>
      <c r="BD888" s="6" t="s">
        <v>5</v>
      </c>
      <c r="BE888" s="6" t="s">
        <v>5</v>
      </c>
      <c r="BF888" s="6" t="s">
        <v>5</v>
      </c>
      <c r="BG888" s="6" t="s">
        <v>5</v>
      </c>
      <c r="BH888" s="6" t="s">
        <v>5</v>
      </c>
      <c r="BI888" s="7">
        <v>4.1500000000000004</v>
      </c>
      <c r="BJ888" s="22">
        <v>0.91600000000000004</v>
      </c>
      <c r="BK888" s="6" t="s">
        <v>5</v>
      </c>
      <c r="BL888" s="2" t="s">
        <v>5</v>
      </c>
      <c r="BM888" s="2" t="s">
        <v>5</v>
      </c>
      <c r="BN888" s="2" t="s">
        <v>5</v>
      </c>
      <c r="BO888" s="2" t="s">
        <v>5</v>
      </c>
      <c r="BP888" s="2" t="s">
        <v>5</v>
      </c>
      <c r="BQ888" s="2" t="s">
        <v>5</v>
      </c>
      <c r="BR888" s="2" t="s">
        <v>5</v>
      </c>
      <c r="BS888" s="2" t="s">
        <v>5</v>
      </c>
      <c r="BT888" s="2" t="s">
        <v>5</v>
      </c>
      <c r="BU888" s="2" t="s">
        <v>5</v>
      </c>
      <c r="BV888" s="2" t="s">
        <v>5</v>
      </c>
      <c r="BW888" s="2" t="s">
        <v>5</v>
      </c>
      <c r="BX888" s="2" t="s">
        <v>5</v>
      </c>
      <c r="BY888" s="25" t="s">
        <v>5</v>
      </c>
      <c r="BZ888" s="25" t="s">
        <v>5</v>
      </c>
      <c r="CA888" s="6" t="s">
        <v>5</v>
      </c>
      <c r="CB888" s="6" t="s">
        <v>5</v>
      </c>
      <c r="CC888" s="6" t="s">
        <v>5</v>
      </c>
      <c r="CD888" s="6" t="s">
        <v>5</v>
      </c>
      <c r="CE888" s="6" t="s">
        <v>5</v>
      </c>
      <c r="CF888" s="16" t="s">
        <v>5</v>
      </c>
      <c r="CG888" s="16" t="s">
        <v>5</v>
      </c>
      <c r="CH888" s="18" t="s">
        <v>5</v>
      </c>
    </row>
    <row r="889" spans="2:86">
      <c r="B889" s="78" t="s">
        <v>473</v>
      </c>
      <c r="C889" s="79" t="s">
        <v>989</v>
      </c>
      <c r="D889" s="80" t="s">
        <v>989</v>
      </c>
      <c r="E889" s="1" t="s">
        <v>4</v>
      </c>
      <c r="F889" s="4">
        <v>51.4</v>
      </c>
      <c r="G889" s="4">
        <v>15.2</v>
      </c>
      <c r="H889" s="3" t="str">
        <f t="shared" si="32"/>
        <v>2L8X6X9/16X3/8SLBB</v>
      </c>
      <c r="I889" s="7">
        <v>6</v>
      </c>
      <c r="J889" s="5" t="s">
        <v>5</v>
      </c>
      <c r="K889" s="6" t="s">
        <v>5</v>
      </c>
      <c r="L889" s="6" t="s">
        <v>5</v>
      </c>
      <c r="M889" s="6" t="s">
        <v>5</v>
      </c>
      <c r="N889" s="6" t="s">
        <v>5</v>
      </c>
      <c r="O889" s="5" t="s">
        <v>5</v>
      </c>
      <c r="P889" s="5" t="s">
        <v>5</v>
      </c>
      <c r="Q889" s="7">
        <v>8</v>
      </c>
      <c r="R889" s="6" t="s">
        <v>5</v>
      </c>
      <c r="S889" s="6" t="s">
        <v>5</v>
      </c>
      <c r="T889" s="5" t="s">
        <v>5</v>
      </c>
      <c r="U889" s="8" t="s">
        <v>5</v>
      </c>
      <c r="V889" s="6" t="s">
        <v>5</v>
      </c>
      <c r="W889" s="8" t="s">
        <v>5</v>
      </c>
      <c r="X889" s="22">
        <v>0.56299999999999994</v>
      </c>
      <c r="Y889" s="6" t="s">
        <v>5</v>
      </c>
      <c r="Z889" s="6" t="s">
        <v>5</v>
      </c>
      <c r="AA889" s="6" t="s">
        <v>5</v>
      </c>
      <c r="AB889" s="8" t="s">
        <v>5</v>
      </c>
      <c r="AC889" s="8" t="s">
        <v>5</v>
      </c>
      <c r="AD889" s="6" t="s">
        <v>5</v>
      </c>
      <c r="AE889" s="7">
        <v>1.49</v>
      </c>
      <c r="AF889" s="6" t="s">
        <v>5</v>
      </c>
      <c r="AG889" s="6" t="s">
        <v>5</v>
      </c>
      <c r="AH889" s="22">
        <v>0.47599999999999998</v>
      </c>
      <c r="AI889" s="6" t="s">
        <v>5</v>
      </c>
      <c r="AJ889" s="4">
        <v>14.2</v>
      </c>
      <c r="AK889" s="6" t="s">
        <v>5</v>
      </c>
      <c r="AL889" s="6" t="s">
        <v>5</v>
      </c>
      <c r="AM889" s="6" t="s">
        <v>5</v>
      </c>
      <c r="AN889" s="6" t="s">
        <v>5</v>
      </c>
      <c r="AO889" s="4">
        <v>48.2</v>
      </c>
      <c r="AP889" s="4">
        <v>19</v>
      </c>
      <c r="AQ889" s="4">
        <v>10.7</v>
      </c>
      <c r="AR889" s="7">
        <v>1.78</v>
      </c>
      <c r="AS889" s="6">
        <v>207</v>
      </c>
      <c r="AT889" s="6">
        <v>40.6</v>
      </c>
      <c r="AU889" s="6">
        <v>25.3</v>
      </c>
      <c r="AV889" s="7">
        <v>3.69</v>
      </c>
      <c r="AW889" s="6" t="s">
        <v>5</v>
      </c>
      <c r="AX889" s="6" t="s">
        <v>5</v>
      </c>
      <c r="AY889" s="6" t="s">
        <v>5</v>
      </c>
      <c r="AZ889" s="6" t="s">
        <v>5</v>
      </c>
      <c r="BA889" s="6" t="s">
        <v>5</v>
      </c>
      <c r="BB889" s="6" t="s">
        <v>5</v>
      </c>
      <c r="BC889" s="6" t="s">
        <v>5</v>
      </c>
      <c r="BD889" s="6" t="s">
        <v>5</v>
      </c>
      <c r="BE889" s="6" t="s">
        <v>5</v>
      </c>
      <c r="BF889" s="6" t="s">
        <v>5</v>
      </c>
      <c r="BG889" s="6" t="s">
        <v>5</v>
      </c>
      <c r="BH889" s="6" t="s">
        <v>5</v>
      </c>
      <c r="BI889" s="7">
        <v>4.2699999999999996</v>
      </c>
      <c r="BJ889" s="22">
        <v>0.92</v>
      </c>
      <c r="BK889" s="6" t="s">
        <v>5</v>
      </c>
      <c r="BL889" s="2" t="s">
        <v>5</v>
      </c>
      <c r="BM889" s="2" t="s">
        <v>5</v>
      </c>
      <c r="BN889" s="2" t="s">
        <v>5</v>
      </c>
      <c r="BO889" s="2" t="s">
        <v>5</v>
      </c>
      <c r="BP889" s="2" t="s">
        <v>5</v>
      </c>
      <c r="BQ889" s="2" t="s">
        <v>5</v>
      </c>
      <c r="BR889" s="2" t="s">
        <v>5</v>
      </c>
      <c r="BS889" s="2" t="s">
        <v>5</v>
      </c>
      <c r="BT889" s="2" t="s">
        <v>5</v>
      </c>
      <c r="BU889" s="2" t="s">
        <v>5</v>
      </c>
      <c r="BV889" s="2" t="s">
        <v>5</v>
      </c>
      <c r="BW889" s="2" t="s">
        <v>5</v>
      </c>
      <c r="BX889" s="2" t="s">
        <v>5</v>
      </c>
      <c r="BY889" s="25" t="s">
        <v>5</v>
      </c>
      <c r="BZ889" s="25" t="s">
        <v>5</v>
      </c>
      <c r="CA889" s="6" t="s">
        <v>5</v>
      </c>
      <c r="CB889" s="6" t="s">
        <v>5</v>
      </c>
      <c r="CC889" s="6" t="s">
        <v>5</v>
      </c>
      <c r="CD889" s="6" t="s">
        <v>5</v>
      </c>
      <c r="CE889" s="6" t="s">
        <v>5</v>
      </c>
      <c r="CF889" s="16" t="s">
        <v>5</v>
      </c>
      <c r="CG889" s="16" t="s">
        <v>5</v>
      </c>
      <c r="CH889" s="18" t="s">
        <v>5</v>
      </c>
    </row>
    <row r="890" spans="2:86">
      <c r="B890" s="78" t="s">
        <v>473</v>
      </c>
      <c r="C890" s="79" t="s">
        <v>990</v>
      </c>
      <c r="D890" s="80" t="s">
        <v>990</v>
      </c>
      <c r="E890" s="1" t="s">
        <v>4</v>
      </c>
      <c r="F890" s="4">
        <v>51.4</v>
      </c>
      <c r="G890" s="4">
        <v>15.2</v>
      </c>
      <c r="H890" s="3" t="str">
        <f t="shared" si="32"/>
        <v>2L8X6X9/16X3/4SLBB</v>
      </c>
      <c r="I890" s="7">
        <v>6</v>
      </c>
      <c r="J890" s="5" t="s">
        <v>5</v>
      </c>
      <c r="K890" s="6" t="s">
        <v>5</v>
      </c>
      <c r="L890" s="6" t="s">
        <v>5</v>
      </c>
      <c r="M890" s="6" t="s">
        <v>5</v>
      </c>
      <c r="N890" s="6" t="s">
        <v>5</v>
      </c>
      <c r="O890" s="5" t="s">
        <v>5</v>
      </c>
      <c r="P890" s="5" t="s">
        <v>5</v>
      </c>
      <c r="Q890" s="7">
        <v>8</v>
      </c>
      <c r="R890" s="6" t="s">
        <v>5</v>
      </c>
      <c r="S890" s="6" t="s">
        <v>5</v>
      </c>
      <c r="T890" s="5" t="s">
        <v>5</v>
      </c>
      <c r="U890" s="8" t="s">
        <v>5</v>
      </c>
      <c r="V890" s="6" t="s">
        <v>5</v>
      </c>
      <c r="W890" s="8" t="s">
        <v>5</v>
      </c>
      <c r="X890" s="22">
        <v>0.56299999999999994</v>
      </c>
      <c r="Y890" s="6" t="s">
        <v>5</v>
      </c>
      <c r="Z890" s="6" t="s">
        <v>5</v>
      </c>
      <c r="AA890" s="6" t="s">
        <v>5</v>
      </c>
      <c r="AB890" s="8" t="s">
        <v>5</v>
      </c>
      <c r="AC890" s="8" t="s">
        <v>5</v>
      </c>
      <c r="AD890" s="6" t="s">
        <v>5</v>
      </c>
      <c r="AE890" s="7">
        <v>1.49</v>
      </c>
      <c r="AF890" s="6" t="s">
        <v>5</v>
      </c>
      <c r="AG890" s="6" t="s">
        <v>5</v>
      </c>
      <c r="AH890" s="22">
        <v>0.47599999999999998</v>
      </c>
      <c r="AI890" s="6" t="s">
        <v>5</v>
      </c>
      <c r="AJ890" s="4">
        <v>14.2</v>
      </c>
      <c r="AK890" s="6" t="s">
        <v>5</v>
      </c>
      <c r="AL890" s="6" t="s">
        <v>5</v>
      </c>
      <c r="AM890" s="6" t="s">
        <v>5</v>
      </c>
      <c r="AN890" s="6" t="s">
        <v>5</v>
      </c>
      <c r="AO890" s="4">
        <v>48.2</v>
      </c>
      <c r="AP890" s="4">
        <v>19</v>
      </c>
      <c r="AQ890" s="4">
        <v>10.7</v>
      </c>
      <c r="AR890" s="7">
        <v>1.78</v>
      </c>
      <c r="AS890" s="6">
        <v>223</v>
      </c>
      <c r="AT890" s="6">
        <v>43.5</v>
      </c>
      <c r="AU890" s="6">
        <v>26.6</v>
      </c>
      <c r="AV890" s="7">
        <v>3.83</v>
      </c>
      <c r="AW890" s="6" t="s">
        <v>5</v>
      </c>
      <c r="AX890" s="6" t="s">
        <v>5</v>
      </c>
      <c r="AY890" s="6" t="s">
        <v>5</v>
      </c>
      <c r="AZ890" s="6" t="s">
        <v>5</v>
      </c>
      <c r="BA890" s="6" t="s">
        <v>5</v>
      </c>
      <c r="BB890" s="6" t="s">
        <v>5</v>
      </c>
      <c r="BC890" s="6" t="s">
        <v>5</v>
      </c>
      <c r="BD890" s="6" t="s">
        <v>5</v>
      </c>
      <c r="BE890" s="6" t="s">
        <v>5</v>
      </c>
      <c r="BF890" s="6" t="s">
        <v>5</v>
      </c>
      <c r="BG890" s="6" t="s">
        <v>5</v>
      </c>
      <c r="BH890" s="6" t="s">
        <v>5</v>
      </c>
      <c r="BI890" s="7">
        <v>4.3899999999999997</v>
      </c>
      <c r="BJ890" s="22">
        <v>0.92400000000000004</v>
      </c>
      <c r="BK890" s="6" t="s">
        <v>5</v>
      </c>
      <c r="BL890" s="2" t="s">
        <v>5</v>
      </c>
      <c r="BM890" s="2" t="s">
        <v>5</v>
      </c>
      <c r="BN890" s="2" t="s">
        <v>5</v>
      </c>
      <c r="BO890" s="2" t="s">
        <v>5</v>
      </c>
      <c r="BP890" s="2" t="s">
        <v>5</v>
      </c>
      <c r="BQ890" s="2" t="s">
        <v>5</v>
      </c>
      <c r="BR890" s="2" t="s">
        <v>5</v>
      </c>
      <c r="BS890" s="2" t="s">
        <v>5</v>
      </c>
      <c r="BT890" s="2" t="s">
        <v>5</v>
      </c>
      <c r="BU890" s="2" t="s">
        <v>5</v>
      </c>
      <c r="BV890" s="2" t="s">
        <v>5</v>
      </c>
      <c r="BW890" s="2" t="s">
        <v>5</v>
      </c>
      <c r="BX890" s="2" t="s">
        <v>5</v>
      </c>
      <c r="BY890" s="25" t="s">
        <v>5</v>
      </c>
      <c r="BZ890" s="25" t="s">
        <v>5</v>
      </c>
      <c r="CA890" s="6" t="s">
        <v>5</v>
      </c>
      <c r="CB890" s="6" t="s">
        <v>5</v>
      </c>
      <c r="CC890" s="6" t="s">
        <v>5</v>
      </c>
      <c r="CD890" s="6" t="s">
        <v>5</v>
      </c>
      <c r="CE890" s="6" t="s">
        <v>5</v>
      </c>
      <c r="CF890" s="16" t="s">
        <v>5</v>
      </c>
      <c r="CG890" s="16" t="s">
        <v>5</v>
      </c>
      <c r="CH890" s="18" t="s">
        <v>5</v>
      </c>
    </row>
    <row r="891" spans="2:86">
      <c r="B891" s="78" t="s">
        <v>473</v>
      </c>
      <c r="C891" s="79" t="s">
        <v>991</v>
      </c>
      <c r="D891" s="80" t="s">
        <v>991</v>
      </c>
      <c r="E891" s="1" t="s">
        <v>4</v>
      </c>
      <c r="F891" s="4">
        <v>46</v>
      </c>
      <c r="G891" s="4">
        <v>13.6</v>
      </c>
      <c r="H891" s="3" t="str">
        <f t="shared" si="32"/>
        <v>2L8X6X1/2SLBB</v>
      </c>
      <c r="I891" s="7">
        <v>6</v>
      </c>
      <c r="J891" s="5" t="s">
        <v>5</v>
      </c>
      <c r="K891" s="6" t="s">
        <v>5</v>
      </c>
      <c r="L891" s="6" t="s">
        <v>5</v>
      </c>
      <c r="M891" s="6" t="s">
        <v>5</v>
      </c>
      <c r="N891" s="6" t="s">
        <v>5</v>
      </c>
      <c r="O891" s="5" t="s">
        <v>5</v>
      </c>
      <c r="P891" s="5" t="s">
        <v>5</v>
      </c>
      <c r="Q891" s="7">
        <v>8</v>
      </c>
      <c r="R891" s="6" t="s">
        <v>5</v>
      </c>
      <c r="S891" s="6" t="s">
        <v>5</v>
      </c>
      <c r="T891" s="5" t="s">
        <v>5</v>
      </c>
      <c r="U891" s="8" t="s">
        <v>5</v>
      </c>
      <c r="V891" s="6" t="s">
        <v>5</v>
      </c>
      <c r="W891" s="8" t="s">
        <v>5</v>
      </c>
      <c r="X891" s="22">
        <v>0.5</v>
      </c>
      <c r="Y891" s="6" t="s">
        <v>5</v>
      </c>
      <c r="Z891" s="6" t="s">
        <v>5</v>
      </c>
      <c r="AA891" s="6" t="s">
        <v>5</v>
      </c>
      <c r="AB891" s="8" t="s">
        <v>5</v>
      </c>
      <c r="AC891" s="8" t="s">
        <v>5</v>
      </c>
      <c r="AD891" s="6" t="s">
        <v>5</v>
      </c>
      <c r="AE891" s="7">
        <v>1.46</v>
      </c>
      <c r="AF891" s="6" t="s">
        <v>5</v>
      </c>
      <c r="AG891" s="6" t="s">
        <v>5</v>
      </c>
      <c r="AH891" s="22">
        <v>0.42499999999999999</v>
      </c>
      <c r="AI891" s="6" t="s">
        <v>5</v>
      </c>
      <c r="AJ891" s="4">
        <v>16</v>
      </c>
      <c r="AK891" s="6" t="s">
        <v>5</v>
      </c>
      <c r="AL891" s="6" t="s">
        <v>5</v>
      </c>
      <c r="AM891" s="6" t="s">
        <v>5</v>
      </c>
      <c r="AN891" s="6" t="s">
        <v>5</v>
      </c>
      <c r="AO891" s="4">
        <v>43.5</v>
      </c>
      <c r="AP891" s="4">
        <v>17</v>
      </c>
      <c r="AQ891" s="7">
        <v>9.58</v>
      </c>
      <c r="AR891" s="7">
        <v>1.79</v>
      </c>
      <c r="AS891" s="6">
        <v>170</v>
      </c>
      <c r="AT891" s="6">
        <v>33.5</v>
      </c>
      <c r="AU891" s="6">
        <v>21.2</v>
      </c>
      <c r="AV891" s="7">
        <v>3.54</v>
      </c>
      <c r="AW891" s="6" t="s">
        <v>5</v>
      </c>
      <c r="AX891" s="6" t="s">
        <v>5</v>
      </c>
      <c r="AY891" s="6" t="s">
        <v>5</v>
      </c>
      <c r="AZ891" s="6" t="s">
        <v>5</v>
      </c>
      <c r="BA891" s="6" t="s">
        <v>5</v>
      </c>
      <c r="BB891" s="6" t="s">
        <v>5</v>
      </c>
      <c r="BC891" s="6" t="s">
        <v>5</v>
      </c>
      <c r="BD891" s="6" t="s">
        <v>5</v>
      </c>
      <c r="BE891" s="6" t="s">
        <v>5</v>
      </c>
      <c r="BF891" s="6" t="s">
        <v>5</v>
      </c>
      <c r="BG891" s="6" t="s">
        <v>5</v>
      </c>
      <c r="BH891" s="6" t="s">
        <v>5</v>
      </c>
      <c r="BI891" s="7">
        <v>4.1500000000000004</v>
      </c>
      <c r="BJ891" s="22">
        <v>0.91500000000000004</v>
      </c>
      <c r="BK891" s="6" t="s">
        <v>5</v>
      </c>
      <c r="BL891" s="2" t="s">
        <v>5</v>
      </c>
      <c r="BM891" s="2" t="s">
        <v>5</v>
      </c>
      <c r="BN891" s="2" t="s">
        <v>5</v>
      </c>
      <c r="BO891" s="2" t="s">
        <v>5</v>
      </c>
      <c r="BP891" s="2" t="s">
        <v>5</v>
      </c>
      <c r="BQ891" s="2" t="s">
        <v>5</v>
      </c>
      <c r="BR891" s="2" t="s">
        <v>5</v>
      </c>
      <c r="BS891" s="2" t="s">
        <v>5</v>
      </c>
      <c r="BT891" s="2" t="s">
        <v>5</v>
      </c>
      <c r="BU891" s="2" t="s">
        <v>5</v>
      </c>
      <c r="BV891" s="2" t="s">
        <v>5</v>
      </c>
      <c r="BW891" s="2" t="s">
        <v>5</v>
      </c>
      <c r="BX891" s="2" t="s">
        <v>5</v>
      </c>
      <c r="BY891" s="25" t="s">
        <v>5</v>
      </c>
      <c r="BZ891" s="25" t="s">
        <v>5</v>
      </c>
      <c r="CA891" s="6" t="s">
        <v>5</v>
      </c>
      <c r="CB891" s="6" t="s">
        <v>5</v>
      </c>
      <c r="CC891" s="6" t="s">
        <v>5</v>
      </c>
      <c r="CD891" s="6" t="s">
        <v>5</v>
      </c>
      <c r="CE891" s="6" t="s">
        <v>5</v>
      </c>
      <c r="CF891" s="16" t="s">
        <v>5</v>
      </c>
      <c r="CG891" s="16" t="s">
        <v>5</v>
      </c>
      <c r="CH891" s="18" t="s">
        <v>5</v>
      </c>
    </row>
    <row r="892" spans="2:86">
      <c r="B892" s="78" t="s">
        <v>473</v>
      </c>
      <c r="C892" s="79" t="s">
        <v>992</v>
      </c>
      <c r="D892" s="80" t="s">
        <v>992</v>
      </c>
      <c r="E892" s="1" t="s">
        <v>4</v>
      </c>
      <c r="F892" s="4">
        <v>46</v>
      </c>
      <c r="G892" s="4">
        <v>13.6</v>
      </c>
      <c r="H892" s="3" t="str">
        <f t="shared" si="32"/>
        <v>2L8X6X1/2X3/8SLBB</v>
      </c>
      <c r="I892" s="7">
        <v>6</v>
      </c>
      <c r="J892" s="5" t="s">
        <v>5</v>
      </c>
      <c r="K892" s="6" t="s">
        <v>5</v>
      </c>
      <c r="L892" s="6" t="s">
        <v>5</v>
      </c>
      <c r="M892" s="6" t="s">
        <v>5</v>
      </c>
      <c r="N892" s="6" t="s">
        <v>5</v>
      </c>
      <c r="O892" s="5" t="s">
        <v>5</v>
      </c>
      <c r="P892" s="5" t="s">
        <v>5</v>
      </c>
      <c r="Q892" s="7">
        <v>8</v>
      </c>
      <c r="R892" s="6" t="s">
        <v>5</v>
      </c>
      <c r="S892" s="6" t="s">
        <v>5</v>
      </c>
      <c r="T892" s="5" t="s">
        <v>5</v>
      </c>
      <c r="U892" s="8" t="s">
        <v>5</v>
      </c>
      <c r="V892" s="6" t="s">
        <v>5</v>
      </c>
      <c r="W892" s="8" t="s">
        <v>5</v>
      </c>
      <c r="X892" s="22">
        <v>0.5</v>
      </c>
      <c r="Y892" s="6" t="s">
        <v>5</v>
      </c>
      <c r="Z892" s="6" t="s">
        <v>5</v>
      </c>
      <c r="AA892" s="6" t="s">
        <v>5</v>
      </c>
      <c r="AB892" s="8" t="s">
        <v>5</v>
      </c>
      <c r="AC892" s="8" t="s">
        <v>5</v>
      </c>
      <c r="AD892" s="6" t="s">
        <v>5</v>
      </c>
      <c r="AE892" s="7">
        <v>1.46</v>
      </c>
      <c r="AF892" s="6" t="s">
        <v>5</v>
      </c>
      <c r="AG892" s="6" t="s">
        <v>5</v>
      </c>
      <c r="AH892" s="22">
        <v>0.42499999999999999</v>
      </c>
      <c r="AI892" s="6" t="s">
        <v>5</v>
      </c>
      <c r="AJ892" s="4">
        <v>16</v>
      </c>
      <c r="AK892" s="6" t="s">
        <v>5</v>
      </c>
      <c r="AL892" s="6" t="s">
        <v>5</v>
      </c>
      <c r="AM892" s="6" t="s">
        <v>5</v>
      </c>
      <c r="AN892" s="6" t="s">
        <v>5</v>
      </c>
      <c r="AO892" s="4">
        <v>43.5</v>
      </c>
      <c r="AP892" s="4">
        <v>17</v>
      </c>
      <c r="AQ892" s="7">
        <v>9.58</v>
      </c>
      <c r="AR892" s="7">
        <v>1.79</v>
      </c>
      <c r="AS892" s="6">
        <v>184</v>
      </c>
      <c r="AT892" s="4">
        <v>36</v>
      </c>
      <c r="AU892" s="6">
        <v>22.5</v>
      </c>
      <c r="AV892" s="7">
        <v>3.68</v>
      </c>
      <c r="AW892" s="6" t="s">
        <v>5</v>
      </c>
      <c r="AX892" s="6" t="s">
        <v>5</v>
      </c>
      <c r="AY892" s="6" t="s">
        <v>5</v>
      </c>
      <c r="AZ892" s="6" t="s">
        <v>5</v>
      </c>
      <c r="BA892" s="6" t="s">
        <v>5</v>
      </c>
      <c r="BB892" s="6" t="s">
        <v>5</v>
      </c>
      <c r="BC892" s="6" t="s">
        <v>5</v>
      </c>
      <c r="BD892" s="6" t="s">
        <v>5</v>
      </c>
      <c r="BE892" s="6" t="s">
        <v>5</v>
      </c>
      <c r="BF892" s="6" t="s">
        <v>5</v>
      </c>
      <c r="BG892" s="6" t="s">
        <v>5</v>
      </c>
      <c r="BH892" s="6" t="s">
        <v>5</v>
      </c>
      <c r="BI892" s="7">
        <v>4.26</v>
      </c>
      <c r="BJ892" s="22">
        <v>0.91900000000000004</v>
      </c>
      <c r="BK892" s="6" t="s">
        <v>5</v>
      </c>
      <c r="BL892" s="2" t="s">
        <v>5</v>
      </c>
      <c r="BM892" s="2" t="s">
        <v>5</v>
      </c>
      <c r="BN892" s="2" t="s">
        <v>5</v>
      </c>
      <c r="BO892" s="2" t="s">
        <v>5</v>
      </c>
      <c r="BP892" s="2" t="s">
        <v>5</v>
      </c>
      <c r="BQ892" s="2" t="s">
        <v>5</v>
      </c>
      <c r="BR892" s="2" t="s">
        <v>5</v>
      </c>
      <c r="BS892" s="2" t="s">
        <v>5</v>
      </c>
      <c r="BT892" s="2" t="s">
        <v>5</v>
      </c>
      <c r="BU892" s="2" t="s">
        <v>5</v>
      </c>
      <c r="BV892" s="2" t="s">
        <v>5</v>
      </c>
      <c r="BW892" s="2" t="s">
        <v>5</v>
      </c>
      <c r="BX892" s="2" t="s">
        <v>5</v>
      </c>
      <c r="BY892" s="25" t="s">
        <v>5</v>
      </c>
      <c r="BZ892" s="25" t="s">
        <v>5</v>
      </c>
      <c r="CA892" s="6" t="s">
        <v>5</v>
      </c>
      <c r="CB892" s="6" t="s">
        <v>5</v>
      </c>
      <c r="CC892" s="6" t="s">
        <v>5</v>
      </c>
      <c r="CD892" s="6" t="s">
        <v>5</v>
      </c>
      <c r="CE892" s="6" t="s">
        <v>5</v>
      </c>
      <c r="CF892" s="16" t="s">
        <v>5</v>
      </c>
      <c r="CG892" s="16" t="s">
        <v>5</v>
      </c>
      <c r="CH892" s="18" t="s">
        <v>5</v>
      </c>
    </row>
    <row r="893" spans="2:86">
      <c r="B893" s="78" t="s">
        <v>473</v>
      </c>
      <c r="C893" s="79" t="s">
        <v>993</v>
      </c>
      <c r="D893" s="80" t="s">
        <v>993</v>
      </c>
      <c r="E893" s="1" t="s">
        <v>4</v>
      </c>
      <c r="F893" s="4">
        <v>46</v>
      </c>
      <c r="G893" s="4">
        <v>13.6</v>
      </c>
      <c r="H893" s="3" t="str">
        <f t="shared" si="32"/>
        <v>2L8X6X1/2X3/4SLBB</v>
      </c>
      <c r="I893" s="7">
        <v>6</v>
      </c>
      <c r="J893" s="5" t="s">
        <v>5</v>
      </c>
      <c r="K893" s="6" t="s">
        <v>5</v>
      </c>
      <c r="L893" s="6" t="s">
        <v>5</v>
      </c>
      <c r="M893" s="6" t="s">
        <v>5</v>
      </c>
      <c r="N893" s="6" t="s">
        <v>5</v>
      </c>
      <c r="O893" s="5" t="s">
        <v>5</v>
      </c>
      <c r="P893" s="5" t="s">
        <v>5</v>
      </c>
      <c r="Q893" s="7">
        <v>8</v>
      </c>
      <c r="R893" s="6" t="s">
        <v>5</v>
      </c>
      <c r="S893" s="6" t="s">
        <v>5</v>
      </c>
      <c r="T893" s="5" t="s">
        <v>5</v>
      </c>
      <c r="U893" s="8" t="s">
        <v>5</v>
      </c>
      <c r="V893" s="6" t="s">
        <v>5</v>
      </c>
      <c r="W893" s="8" t="s">
        <v>5</v>
      </c>
      <c r="X893" s="22">
        <v>0.5</v>
      </c>
      <c r="Y893" s="6" t="s">
        <v>5</v>
      </c>
      <c r="Z893" s="6" t="s">
        <v>5</v>
      </c>
      <c r="AA893" s="6" t="s">
        <v>5</v>
      </c>
      <c r="AB893" s="8" t="s">
        <v>5</v>
      </c>
      <c r="AC893" s="8" t="s">
        <v>5</v>
      </c>
      <c r="AD893" s="6" t="s">
        <v>5</v>
      </c>
      <c r="AE893" s="7">
        <v>1.46</v>
      </c>
      <c r="AF893" s="6" t="s">
        <v>5</v>
      </c>
      <c r="AG893" s="6" t="s">
        <v>5</v>
      </c>
      <c r="AH893" s="22">
        <v>0.42499999999999999</v>
      </c>
      <c r="AI893" s="6" t="s">
        <v>5</v>
      </c>
      <c r="AJ893" s="4">
        <v>16</v>
      </c>
      <c r="AK893" s="6" t="s">
        <v>5</v>
      </c>
      <c r="AL893" s="6" t="s">
        <v>5</v>
      </c>
      <c r="AM893" s="6" t="s">
        <v>5</v>
      </c>
      <c r="AN893" s="6" t="s">
        <v>5</v>
      </c>
      <c r="AO893" s="4">
        <v>43.5</v>
      </c>
      <c r="AP893" s="4">
        <v>17</v>
      </c>
      <c r="AQ893" s="7">
        <v>9.58</v>
      </c>
      <c r="AR893" s="7">
        <v>1.79</v>
      </c>
      <c r="AS893" s="6">
        <v>197</v>
      </c>
      <c r="AT893" s="6">
        <v>38.6</v>
      </c>
      <c r="AU893" s="6">
        <v>23.5</v>
      </c>
      <c r="AV893" s="7">
        <v>3.81</v>
      </c>
      <c r="AW893" s="6" t="s">
        <v>5</v>
      </c>
      <c r="AX893" s="6" t="s">
        <v>5</v>
      </c>
      <c r="AY893" s="6" t="s">
        <v>5</v>
      </c>
      <c r="AZ893" s="6" t="s">
        <v>5</v>
      </c>
      <c r="BA893" s="6" t="s">
        <v>5</v>
      </c>
      <c r="BB893" s="6" t="s">
        <v>5</v>
      </c>
      <c r="BC893" s="6" t="s">
        <v>5</v>
      </c>
      <c r="BD893" s="6" t="s">
        <v>5</v>
      </c>
      <c r="BE893" s="6" t="s">
        <v>5</v>
      </c>
      <c r="BF893" s="6" t="s">
        <v>5</v>
      </c>
      <c r="BG893" s="6" t="s">
        <v>5</v>
      </c>
      <c r="BH893" s="6" t="s">
        <v>5</v>
      </c>
      <c r="BI893" s="7">
        <v>4.38</v>
      </c>
      <c r="BJ893" s="22">
        <v>0.92300000000000004</v>
      </c>
      <c r="BK893" s="6" t="s">
        <v>5</v>
      </c>
      <c r="BL893" s="2" t="s">
        <v>5</v>
      </c>
      <c r="BM893" s="2" t="s">
        <v>5</v>
      </c>
      <c r="BN893" s="2" t="s">
        <v>5</v>
      </c>
      <c r="BO893" s="2" t="s">
        <v>5</v>
      </c>
      <c r="BP893" s="2" t="s">
        <v>5</v>
      </c>
      <c r="BQ893" s="2" t="s">
        <v>5</v>
      </c>
      <c r="BR893" s="2" t="s">
        <v>5</v>
      </c>
      <c r="BS893" s="2" t="s">
        <v>5</v>
      </c>
      <c r="BT893" s="2" t="s">
        <v>5</v>
      </c>
      <c r="BU893" s="2" t="s">
        <v>5</v>
      </c>
      <c r="BV893" s="2" t="s">
        <v>5</v>
      </c>
      <c r="BW893" s="2" t="s">
        <v>5</v>
      </c>
      <c r="BX893" s="2" t="s">
        <v>5</v>
      </c>
      <c r="BY893" s="25" t="s">
        <v>5</v>
      </c>
      <c r="BZ893" s="25" t="s">
        <v>5</v>
      </c>
      <c r="CA893" s="6" t="s">
        <v>5</v>
      </c>
      <c r="CB893" s="6" t="s">
        <v>5</v>
      </c>
      <c r="CC893" s="6" t="s">
        <v>5</v>
      </c>
      <c r="CD893" s="6" t="s">
        <v>5</v>
      </c>
      <c r="CE893" s="6" t="s">
        <v>5</v>
      </c>
      <c r="CF893" s="16" t="s">
        <v>5</v>
      </c>
      <c r="CG893" s="16" t="s">
        <v>5</v>
      </c>
      <c r="CH893" s="18" t="s">
        <v>5</v>
      </c>
    </row>
    <row r="894" spans="2:86">
      <c r="B894" s="78" t="s">
        <v>473</v>
      </c>
      <c r="C894" s="79" t="s">
        <v>994</v>
      </c>
      <c r="D894" s="80" t="s">
        <v>994</v>
      </c>
      <c r="E894" s="1" t="s">
        <v>4</v>
      </c>
      <c r="F894" s="4">
        <v>40.4</v>
      </c>
      <c r="G894" s="4">
        <v>12</v>
      </c>
      <c r="H894" s="3" t="str">
        <f t="shared" si="32"/>
        <v>2L8X6X7/16SLBB</v>
      </c>
      <c r="I894" s="7">
        <v>6</v>
      </c>
      <c r="J894" s="5" t="s">
        <v>5</v>
      </c>
      <c r="K894" s="6" t="s">
        <v>5</v>
      </c>
      <c r="L894" s="6" t="s">
        <v>5</v>
      </c>
      <c r="M894" s="6" t="s">
        <v>5</v>
      </c>
      <c r="N894" s="6" t="s">
        <v>5</v>
      </c>
      <c r="O894" s="5" t="s">
        <v>5</v>
      </c>
      <c r="P894" s="5" t="s">
        <v>5</v>
      </c>
      <c r="Q894" s="7">
        <v>8</v>
      </c>
      <c r="R894" s="6" t="s">
        <v>5</v>
      </c>
      <c r="S894" s="6" t="s">
        <v>5</v>
      </c>
      <c r="T894" s="5" t="s">
        <v>5</v>
      </c>
      <c r="U894" s="8" t="s">
        <v>5</v>
      </c>
      <c r="V894" s="6" t="s">
        <v>5</v>
      </c>
      <c r="W894" s="8" t="s">
        <v>5</v>
      </c>
      <c r="X894" s="22">
        <v>0.438</v>
      </c>
      <c r="Y894" s="6" t="s">
        <v>5</v>
      </c>
      <c r="Z894" s="6" t="s">
        <v>5</v>
      </c>
      <c r="AA894" s="6" t="s">
        <v>5</v>
      </c>
      <c r="AB894" s="8" t="s">
        <v>5</v>
      </c>
      <c r="AC894" s="8" t="s">
        <v>5</v>
      </c>
      <c r="AD894" s="6" t="s">
        <v>5</v>
      </c>
      <c r="AE894" s="7">
        <v>1.44</v>
      </c>
      <c r="AF894" s="6" t="s">
        <v>5</v>
      </c>
      <c r="AG894" s="6" t="s">
        <v>5</v>
      </c>
      <c r="AH894" s="22">
        <v>0.374</v>
      </c>
      <c r="AI894" s="6" t="s">
        <v>5</v>
      </c>
      <c r="AJ894" s="4">
        <v>18.3</v>
      </c>
      <c r="AK894" s="6" t="s">
        <v>5</v>
      </c>
      <c r="AL894" s="6" t="s">
        <v>5</v>
      </c>
      <c r="AM894" s="6" t="s">
        <v>5</v>
      </c>
      <c r="AN894" s="6" t="s">
        <v>5</v>
      </c>
      <c r="AO894" s="4">
        <v>38.6</v>
      </c>
      <c r="AP894" s="4">
        <v>15</v>
      </c>
      <c r="AQ894" s="7">
        <v>8.4600000000000009</v>
      </c>
      <c r="AR894" s="7">
        <v>1.8</v>
      </c>
      <c r="AS894" s="6">
        <v>150</v>
      </c>
      <c r="AT894" s="6">
        <v>29.1</v>
      </c>
      <c r="AU894" s="6">
        <v>18.8</v>
      </c>
      <c r="AV894" s="7">
        <v>3.53</v>
      </c>
      <c r="AW894" s="6" t="s">
        <v>5</v>
      </c>
      <c r="AX894" s="6" t="s">
        <v>5</v>
      </c>
      <c r="AY894" s="6" t="s">
        <v>5</v>
      </c>
      <c r="AZ894" s="6" t="s">
        <v>5</v>
      </c>
      <c r="BA894" s="6" t="s">
        <v>5</v>
      </c>
      <c r="BB894" s="6" t="s">
        <v>5</v>
      </c>
      <c r="BC894" s="6" t="s">
        <v>5</v>
      </c>
      <c r="BD894" s="6" t="s">
        <v>5</v>
      </c>
      <c r="BE894" s="6" t="s">
        <v>5</v>
      </c>
      <c r="BF894" s="6" t="s">
        <v>5</v>
      </c>
      <c r="BG894" s="6" t="s">
        <v>5</v>
      </c>
      <c r="BH894" s="6" t="s">
        <v>5</v>
      </c>
      <c r="BI894" s="7">
        <v>4.1500000000000004</v>
      </c>
      <c r="BJ894" s="22">
        <v>0.91300000000000003</v>
      </c>
      <c r="BK894" s="6" t="s">
        <v>5</v>
      </c>
      <c r="BL894" s="2" t="s">
        <v>5</v>
      </c>
      <c r="BM894" s="2" t="s">
        <v>5</v>
      </c>
      <c r="BN894" s="2" t="s">
        <v>5</v>
      </c>
      <c r="BO894" s="2" t="s">
        <v>5</v>
      </c>
      <c r="BP894" s="2" t="s">
        <v>5</v>
      </c>
      <c r="BQ894" s="2" t="s">
        <v>5</v>
      </c>
      <c r="BR894" s="2" t="s">
        <v>5</v>
      </c>
      <c r="BS894" s="2" t="s">
        <v>5</v>
      </c>
      <c r="BT894" s="2" t="s">
        <v>5</v>
      </c>
      <c r="BU894" s="2" t="s">
        <v>5</v>
      </c>
      <c r="BV894" s="2" t="s">
        <v>5</v>
      </c>
      <c r="BW894" s="2" t="s">
        <v>5</v>
      </c>
      <c r="BX894" s="2" t="s">
        <v>5</v>
      </c>
      <c r="BY894" s="25" t="s">
        <v>5</v>
      </c>
      <c r="BZ894" s="25" t="s">
        <v>5</v>
      </c>
      <c r="CA894" s="6" t="s">
        <v>5</v>
      </c>
      <c r="CB894" s="6" t="s">
        <v>5</v>
      </c>
      <c r="CC894" s="6" t="s">
        <v>5</v>
      </c>
      <c r="CD894" s="6" t="s">
        <v>5</v>
      </c>
      <c r="CE894" s="6" t="s">
        <v>5</v>
      </c>
      <c r="CF894" s="16" t="s">
        <v>5</v>
      </c>
      <c r="CG894" s="16" t="s">
        <v>5</v>
      </c>
      <c r="CH894" s="18" t="s">
        <v>5</v>
      </c>
    </row>
    <row r="895" spans="2:86">
      <c r="B895" s="78" t="s">
        <v>473</v>
      </c>
      <c r="C895" s="79" t="s">
        <v>995</v>
      </c>
      <c r="D895" s="80" t="s">
        <v>995</v>
      </c>
      <c r="E895" s="1" t="s">
        <v>4</v>
      </c>
      <c r="F895" s="4">
        <v>40.4</v>
      </c>
      <c r="G895" s="4">
        <v>12</v>
      </c>
      <c r="H895" s="3" t="str">
        <f t="shared" si="32"/>
        <v>2L8X6X7/16X3/8SLBB</v>
      </c>
      <c r="I895" s="7">
        <v>6</v>
      </c>
      <c r="J895" s="5" t="s">
        <v>5</v>
      </c>
      <c r="K895" s="6" t="s">
        <v>5</v>
      </c>
      <c r="L895" s="6" t="s">
        <v>5</v>
      </c>
      <c r="M895" s="6" t="s">
        <v>5</v>
      </c>
      <c r="N895" s="6" t="s">
        <v>5</v>
      </c>
      <c r="O895" s="5" t="s">
        <v>5</v>
      </c>
      <c r="P895" s="5" t="s">
        <v>5</v>
      </c>
      <c r="Q895" s="7">
        <v>8</v>
      </c>
      <c r="R895" s="6" t="s">
        <v>5</v>
      </c>
      <c r="S895" s="6" t="s">
        <v>5</v>
      </c>
      <c r="T895" s="5" t="s">
        <v>5</v>
      </c>
      <c r="U895" s="8" t="s">
        <v>5</v>
      </c>
      <c r="V895" s="6" t="s">
        <v>5</v>
      </c>
      <c r="W895" s="8" t="s">
        <v>5</v>
      </c>
      <c r="X895" s="22">
        <v>0.438</v>
      </c>
      <c r="Y895" s="6" t="s">
        <v>5</v>
      </c>
      <c r="Z895" s="6" t="s">
        <v>5</v>
      </c>
      <c r="AA895" s="6" t="s">
        <v>5</v>
      </c>
      <c r="AB895" s="8" t="s">
        <v>5</v>
      </c>
      <c r="AC895" s="8" t="s">
        <v>5</v>
      </c>
      <c r="AD895" s="6" t="s">
        <v>5</v>
      </c>
      <c r="AE895" s="7">
        <v>1.44</v>
      </c>
      <c r="AF895" s="6" t="s">
        <v>5</v>
      </c>
      <c r="AG895" s="6" t="s">
        <v>5</v>
      </c>
      <c r="AH895" s="22">
        <v>0.374</v>
      </c>
      <c r="AI895" s="6" t="s">
        <v>5</v>
      </c>
      <c r="AJ895" s="4">
        <v>18.3</v>
      </c>
      <c r="AK895" s="6" t="s">
        <v>5</v>
      </c>
      <c r="AL895" s="6" t="s">
        <v>5</v>
      </c>
      <c r="AM895" s="6" t="s">
        <v>5</v>
      </c>
      <c r="AN895" s="6" t="s">
        <v>5</v>
      </c>
      <c r="AO895" s="4">
        <v>38.6</v>
      </c>
      <c r="AP895" s="4">
        <v>15</v>
      </c>
      <c r="AQ895" s="7">
        <v>8.4600000000000009</v>
      </c>
      <c r="AR895" s="7">
        <v>1.8</v>
      </c>
      <c r="AS895" s="6">
        <v>161</v>
      </c>
      <c r="AT895" s="6">
        <v>31.4</v>
      </c>
      <c r="AU895" s="6">
        <v>19.7</v>
      </c>
      <c r="AV895" s="7">
        <v>3.66</v>
      </c>
      <c r="AW895" s="6" t="s">
        <v>5</v>
      </c>
      <c r="AX895" s="6" t="s">
        <v>5</v>
      </c>
      <c r="AY895" s="6" t="s">
        <v>5</v>
      </c>
      <c r="AZ895" s="6" t="s">
        <v>5</v>
      </c>
      <c r="BA895" s="6" t="s">
        <v>5</v>
      </c>
      <c r="BB895" s="6" t="s">
        <v>5</v>
      </c>
      <c r="BC895" s="6" t="s">
        <v>5</v>
      </c>
      <c r="BD895" s="6" t="s">
        <v>5</v>
      </c>
      <c r="BE895" s="6" t="s">
        <v>5</v>
      </c>
      <c r="BF895" s="6" t="s">
        <v>5</v>
      </c>
      <c r="BG895" s="6" t="s">
        <v>5</v>
      </c>
      <c r="BH895" s="6" t="s">
        <v>5</v>
      </c>
      <c r="BI895" s="7">
        <v>4.26</v>
      </c>
      <c r="BJ895" s="22">
        <v>0.91800000000000004</v>
      </c>
      <c r="BK895" s="6" t="s">
        <v>5</v>
      </c>
      <c r="BL895" s="2" t="s">
        <v>5</v>
      </c>
      <c r="BM895" s="2" t="s">
        <v>5</v>
      </c>
      <c r="BN895" s="2" t="s">
        <v>5</v>
      </c>
      <c r="BO895" s="2" t="s">
        <v>5</v>
      </c>
      <c r="BP895" s="2" t="s">
        <v>5</v>
      </c>
      <c r="BQ895" s="2" t="s">
        <v>5</v>
      </c>
      <c r="BR895" s="2" t="s">
        <v>5</v>
      </c>
      <c r="BS895" s="2" t="s">
        <v>5</v>
      </c>
      <c r="BT895" s="2" t="s">
        <v>5</v>
      </c>
      <c r="BU895" s="2" t="s">
        <v>5</v>
      </c>
      <c r="BV895" s="2" t="s">
        <v>5</v>
      </c>
      <c r="BW895" s="2" t="s">
        <v>5</v>
      </c>
      <c r="BX895" s="2" t="s">
        <v>5</v>
      </c>
      <c r="BY895" s="25" t="s">
        <v>5</v>
      </c>
      <c r="BZ895" s="25" t="s">
        <v>5</v>
      </c>
      <c r="CA895" s="6" t="s">
        <v>5</v>
      </c>
      <c r="CB895" s="6" t="s">
        <v>5</v>
      </c>
      <c r="CC895" s="6" t="s">
        <v>5</v>
      </c>
      <c r="CD895" s="6" t="s">
        <v>5</v>
      </c>
      <c r="CE895" s="6" t="s">
        <v>5</v>
      </c>
      <c r="CF895" s="16" t="s">
        <v>5</v>
      </c>
      <c r="CG895" s="16" t="s">
        <v>5</v>
      </c>
      <c r="CH895" s="18" t="s">
        <v>5</v>
      </c>
    </row>
    <row r="896" spans="2:86">
      <c r="B896" s="78" t="s">
        <v>473</v>
      </c>
      <c r="C896" s="79" t="s">
        <v>996</v>
      </c>
      <c r="D896" s="80" t="s">
        <v>996</v>
      </c>
      <c r="E896" s="1" t="s">
        <v>4</v>
      </c>
      <c r="F896" s="4">
        <v>40.4</v>
      </c>
      <c r="G896" s="4">
        <v>12</v>
      </c>
      <c r="H896" s="3" t="str">
        <f t="shared" si="32"/>
        <v>2L8X6X7/16X3/4SLBB</v>
      </c>
      <c r="I896" s="7">
        <v>6</v>
      </c>
      <c r="J896" s="5" t="s">
        <v>5</v>
      </c>
      <c r="K896" s="6" t="s">
        <v>5</v>
      </c>
      <c r="L896" s="6" t="s">
        <v>5</v>
      </c>
      <c r="M896" s="6" t="s">
        <v>5</v>
      </c>
      <c r="N896" s="6" t="s">
        <v>5</v>
      </c>
      <c r="O896" s="5" t="s">
        <v>5</v>
      </c>
      <c r="P896" s="5" t="s">
        <v>5</v>
      </c>
      <c r="Q896" s="7">
        <v>8</v>
      </c>
      <c r="R896" s="6" t="s">
        <v>5</v>
      </c>
      <c r="S896" s="6" t="s">
        <v>5</v>
      </c>
      <c r="T896" s="5" t="s">
        <v>5</v>
      </c>
      <c r="U896" s="8" t="s">
        <v>5</v>
      </c>
      <c r="V896" s="6" t="s">
        <v>5</v>
      </c>
      <c r="W896" s="8" t="s">
        <v>5</v>
      </c>
      <c r="X896" s="22">
        <v>0.438</v>
      </c>
      <c r="Y896" s="6" t="s">
        <v>5</v>
      </c>
      <c r="Z896" s="6" t="s">
        <v>5</v>
      </c>
      <c r="AA896" s="6" t="s">
        <v>5</v>
      </c>
      <c r="AB896" s="8" t="s">
        <v>5</v>
      </c>
      <c r="AC896" s="8" t="s">
        <v>5</v>
      </c>
      <c r="AD896" s="6" t="s">
        <v>5</v>
      </c>
      <c r="AE896" s="7">
        <v>1.44</v>
      </c>
      <c r="AF896" s="6" t="s">
        <v>5</v>
      </c>
      <c r="AG896" s="6" t="s">
        <v>5</v>
      </c>
      <c r="AH896" s="22">
        <v>0.374</v>
      </c>
      <c r="AI896" s="6" t="s">
        <v>5</v>
      </c>
      <c r="AJ896" s="4">
        <v>18.3</v>
      </c>
      <c r="AK896" s="6" t="s">
        <v>5</v>
      </c>
      <c r="AL896" s="6" t="s">
        <v>5</v>
      </c>
      <c r="AM896" s="6" t="s">
        <v>5</v>
      </c>
      <c r="AN896" s="6" t="s">
        <v>5</v>
      </c>
      <c r="AO896" s="4">
        <v>38.6</v>
      </c>
      <c r="AP896" s="4">
        <v>15</v>
      </c>
      <c r="AQ896" s="7">
        <v>8.4600000000000009</v>
      </c>
      <c r="AR896" s="7">
        <v>1.8</v>
      </c>
      <c r="AS896" s="6">
        <v>173</v>
      </c>
      <c r="AT896" s="6">
        <v>33.6</v>
      </c>
      <c r="AU896" s="6">
        <v>20.7</v>
      </c>
      <c r="AV896" s="7">
        <v>3.8</v>
      </c>
      <c r="AW896" s="6" t="s">
        <v>5</v>
      </c>
      <c r="AX896" s="6" t="s">
        <v>5</v>
      </c>
      <c r="AY896" s="6" t="s">
        <v>5</v>
      </c>
      <c r="AZ896" s="6" t="s">
        <v>5</v>
      </c>
      <c r="BA896" s="6" t="s">
        <v>5</v>
      </c>
      <c r="BB896" s="6" t="s">
        <v>5</v>
      </c>
      <c r="BC896" s="6" t="s">
        <v>5</v>
      </c>
      <c r="BD896" s="6" t="s">
        <v>5</v>
      </c>
      <c r="BE896" s="6" t="s">
        <v>5</v>
      </c>
      <c r="BF896" s="6" t="s">
        <v>5</v>
      </c>
      <c r="BG896" s="6" t="s">
        <v>5</v>
      </c>
      <c r="BH896" s="6" t="s">
        <v>5</v>
      </c>
      <c r="BI896" s="7">
        <v>4.38</v>
      </c>
      <c r="BJ896" s="22">
        <v>0.92200000000000004</v>
      </c>
      <c r="BK896" s="6" t="s">
        <v>5</v>
      </c>
      <c r="BL896" s="2" t="s">
        <v>5</v>
      </c>
      <c r="BM896" s="2" t="s">
        <v>5</v>
      </c>
      <c r="BN896" s="2" t="s">
        <v>5</v>
      </c>
      <c r="BO896" s="2" t="s">
        <v>5</v>
      </c>
      <c r="BP896" s="2" t="s">
        <v>5</v>
      </c>
      <c r="BQ896" s="2" t="s">
        <v>5</v>
      </c>
      <c r="BR896" s="2" t="s">
        <v>5</v>
      </c>
      <c r="BS896" s="2" t="s">
        <v>5</v>
      </c>
      <c r="BT896" s="2" t="s">
        <v>5</v>
      </c>
      <c r="BU896" s="2" t="s">
        <v>5</v>
      </c>
      <c r="BV896" s="2" t="s">
        <v>5</v>
      </c>
      <c r="BW896" s="2" t="s">
        <v>5</v>
      </c>
      <c r="BX896" s="2" t="s">
        <v>5</v>
      </c>
      <c r="BY896" s="25" t="s">
        <v>5</v>
      </c>
      <c r="BZ896" s="25" t="s">
        <v>5</v>
      </c>
      <c r="CA896" s="6" t="s">
        <v>5</v>
      </c>
      <c r="CB896" s="6" t="s">
        <v>5</v>
      </c>
      <c r="CC896" s="6" t="s">
        <v>5</v>
      </c>
      <c r="CD896" s="6" t="s">
        <v>5</v>
      </c>
      <c r="CE896" s="6" t="s">
        <v>5</v>
      </c>
      <c r="CF896" s="16" t="s">
        <v>5</v>
      </c>
      <c r="CG896" s="16" t="s">
        <v>5</v>
      </c>
      <c r="CH896" s="18" t="s">
        <v>5</v>
      </c>
    </row>
    <row r="897" spans="2:86">
      <c r="B897" s="78" t="s">
        <v>473</v>
      </c>
      <c r="C897" s="79" t="s">
        <v>997</v>
      </c>
      <c r="D897" s="80" t="s">
        <v>997</v>
      </c>
      <c r="E897" s="1" t="s">
        <v>4</v>
      </c>
      <c r="F897" s="4">
        <v>74.8</v>
      </c>
      <c r="G897" s="4">
        <v>22.2</v>
      </c>
      <c r="H897" s="3" t="str">
        <f t="shared" si="32"/>
        <v>2L8X4X1SLBB</v>
      </c>
      <c r="I897" s="7">
        <v>4</v>
      </c>
      <c r="J897" s="5" t="s">
        <v>5</v>
      </c>
      <c r="K897" s="6" t="s">
        <v>5</v>
      </c>
      <c r="L897" s="6" t="s">
        <v>5</v>
      </c>
      <c r="M897" s="6" t="s">
        <v>5</v>
      </c>
      <c r="N897" s="6" t="s">
        <v>5</v>
      </c>
      <c r="O897" s="5" t="s">
        <v>5</v>
      </c>
      <c r="P897" s="5" t="s">
        <v>5</v>
      </c>
      <c r="Q897" s="7">
        <v>8</v>
      </c>
      <c r="R897" s="6" t="s">
        <v>5</v>
      </c>
      <c r="S897" s="6" t="s">
        <v>5</v>
      </c>
      <c r="T897" s="5" t="s">
        <v>5</v>
      </c>
      <c r="U897" s="8" t="s">
        <v>5</v>
      </c>
      <c r="V897" s="6" t="s">
        <v>5</v>
      </c>
      <c r="W897" s="8" t="s">
        <v>5</v>
      </c>
      <c r="X897" s="7">
        <v>1</v>
      </c>
      <c r="Y897" s="6" t="s">
        <v>5</v>
      </c>
      <c r="Z897" s="6" t="s">
        <v>5</v>
      </c>
      <c r="AA897" s="6" t="s">
        <v>5</v>
      </c>
      <c r="AB897" s="8" t="s">
        <v>5</v>
      </c>
      <c r="AC897" s="8" t="s">
        <v>5</v>
      </c>
      <c r="AD897" s="6" t="s">
        <v>5</v>
      </c>
      <c r="AE897" s="7">
        <v>1.04</v>
      </c>
      <c r="AF897" s="6" t="s">
        <v>5</v>
      </c>
      <c r="AG897" s="6" t="s">
        <v>5</v>
      </c>
      <c r="AH897" s="22">
        <v>0.69399999999999995</v>
      </c>
      <c r="AI897" s="6" t="s">
        <v>5</v>
      </c>
      <c r="AJ897" s="7">
        <v>8</v>
      </c>
      <c r="AK897" s="6" t="s">
        <v>5</v>
      </c>
      <c r="AL897" s="6" t="s">
        <v>5</v>
      </c>
      <c r="AM897" s="6" t="s">
        <v>5</v>
      </c>
      <c r="AN897" s="6" t="s">
        <v>5</v>
      </c>
      <c r="AO897" s="4">
        <v>23.3</v>
      </c>
      <c r="AP897" s="4">
        <v>15.5</v>
      </c>
      <c r="AQ897" s="7">
        <v>7.87</v>
      </c>
      <c r="AR897" s="7">
        <v>1.03</v>
      </c>
      <c r="AS897" s="6">
        <v>345</v>
      </c>
      <c r="AT897" s="6">
        <v>67.3</v>
      </c>
      <c r="AU897" s="6">
        <v>43.1</v>
      </c>
      <c r="AV897" s="7">
        <v>3.94</v>
      </c>
      <c r="AW897" s="6" t="s">
        <v>5</v>
      </c>
      <c r="AX897" s="6" t="s">
        <v>5</v>
      </c>
      <c r="AY897" s="6" t="s">
        <v>5</v>
      </c>
      <c r="AZ897" s="6" t="s">
        <v>5</v>
      </c>
      <c r="BA897" s="6" t="s">
        <v>5</v>
      </c>
      <c r="BB897" s="6" t="s">
        <v>5</v>
      </c>
      <c r="BC897" s="6" t="s">
        <v>5</v>
      </c>
      <c r="BD897" s="6" t="s">
        <v>5</v>
      </c>
      <c r="BE897" s="6" t="s">
        <v>5</v>
      </c>
      <c r="BF897" s="6" t="s">
        <v>5</v>
      </c>
      <c r="BG897" s="6" t="s">
        <v>5</v>
      </c>
      <c r="BH897" s="6" t="s">
        <v>5</v>
      </c>
      <c r="BI897" s="7">
        <v>4.1100000000000003</v>
      </c>
      <c r="BJ897" s="22">
        <v>0.98299999999999998</v>
      </c>
      <c r="BK897" s="6" t="s">
        <v>5</v>
      </c>
      <c r="BL897" s="2" t="s">
        <v>5</v>
      </c>
      <c r="BM897" s="2" t="s">
        <v>5</v>
      </c>
      <c r="BN897" s="2" t="s">
        <v>5</v>
      </c>
      <c r="BO897" s="2" t="s">
        <v>5</v>
      </c>
      <c r="BP897" s="2" t="s">
        <v>5</v>
      </c>
      <c r="BQ897" s="2" t="s">
        <v>5</v>
      </c>
      <c r="BR897" s="2" t="s">
        <v>5</v>
      </c>
      <c r="BS897" s="2" t="s">
        <v>5</v>
      </c>
      <c r="BT897" s="2" t="s">
        <v>5</v>
      </c>
      <c r="BU897" s="2" t="s">
        <v>5</v>
      </c>
      <c r="BV897" s="2" t="s">
        <v>5</v>
      </c>
      <c r="BW897" s="2" t="s">
        <v>5</v>
      </c>
      <c r="BX897" s="2" t="s">
        <v>5</v>
      </c>
      <c r="BY897" s="25" t="s">
        <v>5</v>
      </c>
      <c r="BZ897" s="25" t="s">
        <v>5</v>
      </c>
      <c r="CA897" s="6" t="s">
        <v>5</v>
      </c>
      <c r="CB897" s="6" t="s">
        <v>5</v>
      </c>
      <c r="CC897" s="6" t="s">
        <v>5</v>
      </c>
      <c r="CD897" s="6" t="s">
        <v>5</v>
      </c>
      <c r="CE897" s="6" t="s">
        <v>5</v>
      </c>
      <c r="CF897" s="16" t="s">
        <v>5</v>
      </c>
      <c r="CG897" s="16" t="s">
        <v>5</v>
      </c>
      <c r="CH897" s="18" t="s">
        <v>5</v>
      </c>
    </row>
    <row r="898" spans="2:86">
      <c r="B898" s="78" t="s">
        <v>473</v>
      </c>
      <c r="C898" s="79" t="s">
        <v>998</v>
      </c>
      <c r="D898" s="80" t="s">
        <v>998</v>
      </c>
      <c r="E898" s="1" t="s">
        <v>4</v>
      </c>
      <c r="F898" s="4">
        <v>74.8</v>
      </c>
      <c r="G898" s="4">
        <v>22.2</v>
      </c>
      <c r="H898" s="3" t="str">
        <f t="shared" si="32"/>
        <v>2L8X4X1X3/8SLBB</v>
      </c>
      <c r="I898" s="7">
        <v>4</v>
      </c>
      <c r="J898" s="5" t="s">
        <v>5</v>
      </c>
      <c r="K898" s="6" t="s">
        <v>5</v>
      </c>
      <c r="L898" s="6" t="s">
        <v>5</v>
      </c>
      <c r="M898" s="6" t="s">
        <v>5</v>
      </c>
      <c r="N898" s="6" t="s">
        <v>5</v>
      </c>
      <c r="O898" s="5" t="s">
        <v>5</v>
      </c>
      <c r="P898" s="5" t="s">
        <v>5</v>
      </c>
      <c r="Q898" s="7">
        <v>8</v>
      </c>
      <c r="R898" s="6" t="s">
        <v>5</v>
      </c>
      <c r="S898" s="6" t="s">
        <v>5</v>
      </c>
      <c r="T898" s="5" t="s">
        <v>5</v>
      </c>
      <c r="U898" s="8" t="s">
        <v>5</v>
      </c>
      <c r="V898" s="6" t="s">
        <v>5</v>
      </c>
      <c r="W898" s="8" t="s">
        <v>5</v>
      </c>
      <c r="X898" s="7">
        <v>1</v>
      </c>
      <c r="Y898" s="6" t="s">
        <v>5</v>
      </c>
      <c r="Z898" s="6" t="s">
        <v>5</v>
      </c>
      <c r="AA898" s="6" t="s">
        <v>5</v>
      </c>
      <c r="AB898" s="8" t="s">
        <v>5</v>
      </c>
      <c r="AC898" s="8" t="s">
        <v>5</v>
      </c>
      <c r="AD898" s="6" t="s">
        <v>5</v>
      </c>
      <c r="AE898" s="7">
        <v>1.04</v>
      </c>
      <c r="AF898" s="6" t="s">
        <v>5</v>
      </c>
      <c r="AG898" s="6" t="s">
        <v>5</v>
      </c>
      <c r="AH898" s="22">
        <v>0.69399999999999995</v>
      </c>
      <c r="AI898" s="6" t="s">
        <v>5</v>
      </c>
      <c r="AJ898" s="7">
        <v>8</v>
      </c>
      <c r="AK898" s="6" t="s">
        <v>5</v>
      </c>
      <c r="AL898" s="6" t="s">
        <v>5</v>
      </c>
      <c r="AM898" s="6" t="s">
        <v>5</v>
      </c>
      <c r="AN898" s="6" t="s">
        <v>5</v>
      </c>
      <c r="AO898" s="4">
        <v>23.3</v>
      </c>
      <c r="AP898" s="4">
        <v>15.5</v>
      </c>
      <c r="AQ898" s="7">
        <v>7.87</v>
      </c>
      <c r="AR898" s="7">
        <v>1.03</v>
      </c>
      <c r="AS898" s="6">
        <v>370</v>
      </c>
      <c r="AT898" s="6">
        <v>71.400000000000006</v>
      </c>
      <c r="AU898" s="6">
        <v>45.2</v>
      </c>
      <c r="AV898" s="7">
        <v>4.08</v>
      </c>
      <c r="AW898" s="6" t="s">
        <v>5</v>
      </c>
      <c r="AX898" s="6" t="s">
        <v>5</v>
      </c>
      <c r="AY898" s="6" t="s">
        <v>5</v>
      </c>
      <c r="AZ898" s="6" t="s">
        <v>5</v>
      </c>
      <c r="BA898" s="6" t="s">
        <v>5</v>
      </c>
      <c r="BB898" s="6" t="s">
        <v>5</v>
      </c>
      <c r="BC898" s="6" t="s">
        <v>5</v>
      </c>
      <c r="BD898" s="6" t="s">
        <v>5</v>
      </c>
      <c r="BE898" s="6" t="s">
        <v>5</v>
      </c>
      <c r="BF898" s="6" t="s">
        <v>5</v>
      </c>
      <c r="BG898" s="6" t="s">
        <v>5</v>
      </c>
      <c r="BH898" s="6" t="s">
        <v>5</v>
      </c>
      <c r="BI898" s="7">
        <v>4.25</v>
      </c>
      <c r="BJ898" s="22">
        <v>0.98399999999999999</v>
      </c>
      <c r="BK898" s="6" t="s">
        <v>5</v>
      </c>
      <c r="BL898" s="2" t="s">
        <v>5</v>
      </c>
      <c r="BM898" s="2" t="s">
        <v>5</v>
      </c>
      <c r="BN898" s="2" t="s">
        <v>5</v>
      </c>
      <c r="BO898" s="2" t="s">
        <v>5</v>
      </c>
      <c r="BP898" s="2" t="s">
        <v>5</v>
      </c>
      <c r="BQ898" s="2" t="s">
        <v>5</v>
      </c>
      <c r="BR898" s="2" t="s">
        <v>5</v>
      </c>
      <c r="BS898" s="2" t="s">
        <v>5</v>
      </c>
      <c r="BT898" s="2" t="s">
        <v>5</v>
      </c>
      <c r="BU898" s="2" t="s">
        <v>5</v>
      </c>
      <c r="BV898" s="2" t="s">
        <v>5</v>
      </c>
      <c r="BW898" s="2" t="s">
        <v>5</v>
      </c>
      <c r="BX898" s="2" t="s">
        <v>5</v>
      </c>
      <c r="BY898" s="25" t="s">
        <v>5</v>
      </c>
      <c r="BZ898" s="25" t="s">
        <v>5</v>
      </c>
      <c r="CA898" s="6" t="s">
        <v>5</v>
      </c>
      <c r="CB898" s="6" t="s">
        <v>5</v>
      </c>
      <c r="CC898" s="6" t="s">
        <v>5</v>
      </c>
      <c r="CD898" s="6" t="s">
        <v>5</v>
      </c>
      <c r="CE898" s="6" t="s">
        <v>5</v>
      </c>
      <c r="CF898" s="16" t="s">
        <v>5</v>
      </c>
      <c r="CG898" s="16" t="s">
        <v>5</v>
      </c>
      <c r="CH898" s="18" t="s">
        <v>5</v>
      </c>
    </row>
    <row r="899" spans="2:86">
      <c r="B899" s="78" t="s">
        <v>473</v>
      </c>
      <c r="C899" s="79" t="s">
        <v>999</v>
      </c>
      <c r="D899" s="80" t="s">
        <v>999</v>
      </c>
      <c r="E899" s="1" t="s">
        <v>4</v>
      </c>
      <c r="F899" s="4">
        <v>74.8</v>
      </c>
      <c r="G899" s="4">
        <v>22.2</v>
      </c>
      <c r="H899" s="3" t="str">
        <f t="shared" si="32"/>
        <v>2L8X4X1X3/4SLBB</v>
      </c>
      <c r="I899" s="7">
        <v>4</v>
      </c>
      <c r="J899" s="5" t="s">
        <v>5</v>
      </c>
      <c r="K899" s="6" t="s">
        <v>5</v>
      </c>
      <c r="L899" s="6" t="s">
        <v>5</v>
      </c>
      <c r="M899" s="6" t="s">
        <v>5</v>
      </c>
      <c r="N899" s="6" t="s">
        <v>5</v>
      </c>
      <c r="O899" s="5" t="s">
        <v>5</v>
      </c>
      <c r="P899" s="5" t="s">
        <v>5</v>
      </c>
      <c r="Q899" s="7">
        <v>8</v>
      </c>
      <c r="R899" s="6" t="s">
        <v>5</v>
      </c>
      <c r="S899" s="6" t="s">
        <v>5</v>
      </c>
      <c r="T899" s="5" t="s">
        <v>5</v>
      </c>
      <c r="U899" s="8" t="s">
        <v>5</v>
      </c>
      <c r="V899" s="6" t="s">
        <v>5</v>
      </c>
      <c r="W899" s="8" t="s">
        <v>5</v>
      </c>
      <c r="X899" s="7">
        <v>1</v>
      </c>
      <c r="Y899" s="6" t="s">
        <v>5</v>
      </c>
      <c r="Z899" s="6" t="s">
        <v>5</v>
      </c>
      <c r="AA899" s="6" t="s">
        <v>5</v>
      </c>
      <c r="AB899" s="8" t="s">
        <v>5</v>
      </c>
      <c r="AC899" s="8" t="s">
        <v>5</v>
      </c>
      <c r="AD899" s="6" t="s">
        <v>5</v>
      </c>
      <c r="AE899" s="7">
        <v>1.04</v>
      </c>
      <c r="AF899" s="6" t="s">
        <v>5</v>
      </c>
      <c r="AG899" s="6" t="s">
        <v>5</v>
      </c>
      <c r="AH899" s="22">
        <v>0.69399999999999995</v>
      </c>
      <c r="AI899" s="6" t="s">
        <v>5</v>
      </c>
      <c r="AJ899" s="7">
        <v>8</v>
      </c>
      <c r="AK899" s="6" t="s">
        <v>5</v>
      </c>
      <c r="AL899" s="6" t="s">
        <v>5</v>
      </c>
      <c r="AM899" s="6" t="s">
        <v>5</v>
      </c>
      <c r="AN899" s="6" t="s">
        <v>5</v>
      </c>
      <c r="AO899" s="4">
        <v>23.3</v>
      </c>
      <c r="AP899" s="4">
        <v>15.5</v>
      </c>
      <c r="AQ899" s="7">
        <v>7.87</v>
      </c>
      <c r="AR899" s="7">
        <v>1.03</v>
      </c>
      <c r="AS899" s="6">
        <v>397</v>
      </c>
      <c r="AT899" s="6">
        <v>75.599999999999994</v>
      </c>
      <c r="AU899" s="6">
        <v>47.4</v>
      </c>
      <c r="AV899" s="7">
        <v>4.2300000000000004</v>
      </c>
      <c r="AW899" s="6" t="s">
        <v>5</v>
      </c>
      <c r="AX899" s="6" t="s">
        <v>5</v>
      </c>
      <c r="AY899" s="6" t="s">
        <v>5</v>
      </c>
      <c r="AZ899" s="6" t="s">
        <v>5</v>
      </c>
      <c r="BA899" s="6" t="s">
        <v>5</v>
      </c>
      <c r="BB899" s="6" t="s">
        <v>5</v>
      </c>
      <c r="BC899" s="6" t="s">
        <v>5</v>
      </c>
      <c r="BD899" s="6" t="s">
        <v>5</v>
      </c>
      <c r="BE899" s="6" t="s">
        <v>5</v>
      </c>
      <c r="BF899" s="6" t="s">
        <v>5</v>
      </c>
      <c r="BG899" s="6" t="s">
        <v>5</v>
      </c>
      <c r="BH899" s="6" t="s">
        <v>5</v>
      </c>
      <c r="BI899" s="7">
        <v>4.3899999999999997</v>
      </c>
      <c r="BJ899" s="22">
        <v>0.98499999999999999</v>
      </c>
      <c r="BK899" s="6" t="s">
        <v>5</v>
      </c>
      <c r="BL899" s="2" t="s">
        <v>5</v>
      </c>
      <c r="BM899" s="2" t="s">
        <v>5</v>
      </c>
      <c r="BN899" s="2" t="s">
        <v>5</v>
      </c>
      <c r="BO899" s="2" t="s">
        <v>5</v>
      </c>
      <c r="BP899" s="2" t="s">
        <v>5</v>
      </c>
      <c r="BQ899" s="2" t="s">
        <v>5</v>
      </c>
      <c r="BR899" s="2" t="s">
        <v>5</v>
      </c>
      <c r="BS899" s="2" t="s">
        <v>5</v>
      </c>
      <c r="BT899" s="2" t="s">
        <v>5</v>
      </c>
      <c r="BU899" s="2" t="s">
        <v>5</v>
      </c>
      <c r="BV899" s="2" t="s">
        <v>5</v>
      </c>
      <c r="BW899" s="2" t="s">
        <v>5</v>
      </c>
      <c r="BX899" s="2" t="s">
        <v>5</v>
      </c>
      <c r="BY899" s="25" t="s">
        <v>5</v>
      </c>
      <c r="BZ899" s="25" t="s">
        <v>5</v>
      </c>
      <c r="CA899" s="6" t="s">
        <v>5</v>
      </c>
      <c r="CB899" s="6" t="s">
        <v>5</v>
      </c>
      <c r="CC899" s="6" t="s">
        <v>5</v>
      </c>
      <c r="CD899" s="6" t="s">
        <v>5</v>
      </c>
      <c r="CE899" s="6" t="s">
        <v>5</v>
      </c>
      <c r="CF899" s="16" t="s">
        <v>5</v>
      </c>
      <c r="CG899" s="16" t="s">
        <v>5</v>
      </c>
      <c r="CH899" s="18" t="s">
        <v>5</v>
      </c>
    </row>
    <row r="900" spans="2:86">
      <c r="B900" s="78" t="s">
        <v>473</v>
      </c>
      <c r="C900" s="79" t="s">
        <v>1000</v>
      </c>
      <c r="D900" s="80" t="s">
        <v>1000</v>
      </c>
      <c r="E900" s="1" t="s">
        <v>4</v>
      </c>
      <c r="F900" s="4">
        <v>66.2</v>
      </c>
      <c r="G900" s="4">
        <v>19.600000000000001</v>
      </c>
      <c r="H900" s="3" t="str">
        <f t="shared" ref="H900:H963" si="33">D900</f>
        <v>2L8X4X7/8SLBB</v>
      </c>
      <c r="I900" s="7">
        <v>4</v>
      </c>
      <c r="J900" s="5" t="s">
        <v>5</v>
      </c>
      <c r="K900" s="6" t="s">
        <v>5</v>
      </c>
      <c r="L900" s="6" t="s">
        <v>5</v>
      </c>
      <c r="M900" s="6" t="s">
        <v>5</v>
      </c>
      <c r="N900" s="6" t="s">
        <v>5</v>
      </c>
      <c r="O900" s="5" t="s">
        <v>5</v>
      </c>
      <c r="P900" s="5" t="s">
        <v>5</v>
      </c>
      <c r="Q900" s="7">
        <v>8</v>
      </c>
      <c r="R900" s="6" t="s">
        <v>5</v>
      </c>
      <c r="S900" s="6" t="s">
        <v>5</v>
      </c>
      <c r="T900" s="5" t="s">
        <v>5</v>
      </c>
      <c r="U900" s="8" t="s">
        <v>5</v>
      </c>
      <c r="V900" s="6" t="s">
        <v>5</v>
      </c>
      <c r="W900" s="8" t="s">
        <v>5</v>
      </c>
      <c r="X900" s="22">
        <v>0.875</v>
      </c>
      <c r="Y900" s="6" t="s">
        <v>5</v>
      </c>
      <c r="Z900" s="6" t="s">
        <v>5</v>
      </c>
      <c r="AA900" s="6" t="s">
        <v>5</v>
      </c>
      <c r="AB900" s="8" t="s">
        <v>5</v>
      </c>
      <c r="AC900" s="8" t="s">
        <v>5</v>
      </c>
      <c r="AD900" s="6" t="s">
        <v>5</v>
      </c>
      <c r="AE900" s="22">
        <v>0.997</v>
      </c>
      <c r="AF900" s="6" t="s">
        <v>5</v>
      </c>
      <c r="AG900" s="6" t="s">
        <v>5</v>
      </c>
      <c r="AH900" s="22">
        <v>0.61199999999999999</v>
      </c>
      <c r="AI900" s="6" t="s">
        <v>5</v>
      </c>
      <c r="AJ900" s="7">
        <v>9.14</v>
      </c>
      <c r="AK900" s="6" t="s">
        <v>5</v>
      </c>
      <c r="AL900" s="6" t="s">
        <v>5</v>
      </c>
      <c r="AM900" s="6" t="s">
        <v>5</v>
      </c>
      <c r="AN900" s="6" t="s">
        <v>5</v>
      </c>
      <c r="AO900" s="4">
        <v>21.1</v>
      </c>
      <c r="AP900" s="4">
        <v>13.5</v>
      </c>
      <c r="AQ900" s="7">
        <v>7.02</v>
      </c>
      <c r="AR900" s="7">
        <v>1.04</v>
      </c>
      <c r="AS900" s="6">
        <v>300</v>
      </c>
      <c r="AT900" s="6">
        <v>58.5</v>
      </c>
      <c r="AU900" s="6">
        <v>37.5</v>
      </c>
      <c r="AV900" s="7">
        <v>3.91</v>
      </c>
      <c r="AW900" s="6" t="s">
        <v>5</v>
      </c>
      <c r="AX900" s="6" t="s">
        <v>5</v>
      </c>
      <c r="AY900" s="6" t="s">
        <v>5</v>
      </c>
      <c r="AZ900" s="6" t="s">
        <v>5</v>
      </c>
      <c r="BA900" s="6" t="s">
        <v>5</v>
      </c>
      <c r="BB900" s="6" t="s">
        <v>5</v>
      </c>
      <c r="BC900" s="6" t="s">
        <v>5</v>
      </c>
      <c r="BD900" s="6" t="s">
        <v>5</v>
      </c>
      <c r="BE900" s="6" t="s">
        <v>5</v>
      </c>
      <c r="BF900" s="6" t="s">
        <v>5</v>
      </c>
      <c r="BG900" s="6" t="s">
        <v>5</v>
      </c>
      <c r="BH900" s="6" t="s">
        <v>5</v>
      </c>
      <c r="BI900" s="7">
        <v>4.09</v>
      </c>
      <c r="BJ900" s="22">
        <v>0.98099999999999998</v>
      </c>
      <c r="BK900" s="6" t="s">
        <v>5</v>
      </c>
      <c r="BL900" s="2" t="s">
        <v>5</v>
      </c>
      <c r="BM900" s="2" t="s">
        <v>5</v>
      </c>
      <c r="BN900" s="2" t="s">
        <v>5</v>
      </c>
      <c r="BO900" s="2" t="s">
        <v>5</v>
      </c>
      <c r="BP900" s="2" t="s">
        <v>5</v>
      </c>
      <c r="BQ900" s="2" t="s">
        <v>5</v>
      </c>
      <c r="BR900" s="2" t="s">
        <v>5</v>
      </c>
      <c r="BS900" s="2" t="s">
        <v>5</v>
      </c>
      <c r="BT900" s="2" t="s">
        <v>5</v>
      </c>
      <c r="BU900" s="2" t="s">
        <v>5</v>
      </c>
      <c r="BV900" s="2" t="s">
        <v>5</v>
      </c>
      <c r="BW900" s="2" t="s">
        <v>5</v>
      </c>
      <c r="BX900" s="2" t="s">
        <v>5</v>
      </c>
      <c r="BY900" s="25" t="s">
        <v>5</v>
      </c>
      <c r="BZ900" s="25" t="s">
        <v>5</v>
      </c>
      <c r="CA900" s="6" t="s">
        <v>5</v>
      </c>
      <c r="CB900" s="6" t="s">
        <v>5</v>
      </c>
      <c r="CC900" s="6" t="s">
        <v>5</v>
      </c>
      <c r="CD900" s="6" t="s">
        <v>5</v>
      </c>
      <c r="CE900" s="6" t="s">
        <v>5</v>
      </c>
      <c r="CF900" s="16" t="s">
        <v>5</v>
      </c>
      <c r="CG900" s="16" t="s">
        <v>5</v>
      </c>
      <c r="CH900" s="18" t="s">
        <v>5</v>
      </c>
    </row>
    <row r="901" spans="2:86">
      <c r="B901" s="78" t="s">
        <v>473</v>
      </c>
      <c r="C901" s="79" t="s">
        <v>1001</v>
      </c>
      <c r="D901" s="80" t="s">
        <v>1001</v>
      </c>
      <c r="E901" s="1" t="s">
        <v>4</v>
      </c>
      <c r="F901" s="4">
        <v>66.2</v>
      </c>
      <c r="G901" s="4">
        <v>19.600000000000001</v>
      </c>
      <c r="H901" s="3" t="str">
        <f t="shared" si="33"/>
        <v>2L8X4X7/8X3/8SLBB</v>
      </c>
      <c r="I901" s="7">
        <v>4</v>
      </c>
      <c r="J901" s="5" t="s">
        <v>5</v>
      </c>
      <c r="K901" s="6" t="s">
        <v>5</v>
      </c>
      <c r="L901" s="6" t="s">
        <v>5</v>
      </c>
      <c r="M901" s="6" t="s">
        <v>5</v>
      </c>
      <c r="N901" s="6" t="s">
        <v>5</v>
      </c>
      <c r="O901" s="5" t="s">
        <v>5</v>
      </c>
      <c r="P901" s="5" t="s">
        <v>5</v>
      </c>
      <c r="Q901" s="7">
        <v>8</v>
      </c>
      <c r="R901" s="6" t="s">
        <v>5</v>
      </c>
      <c r="S901" s="6" t="s">
        <v>5</v>
      </c>
      <c r="T901" s="5" t="s">
        <v>5</v>
      </c>
      <c r="U901" s="8" t="s">
        <v>5</v>
      </c>
      <c r="V901" s="6" t="s">
        <v>5</v>
      </c>
      <c r="W901" s="8" t="s">
        <v>5</v>
      </c>
      <c r="X901" s="22">
        <v>0.875</v>
      </c>
      <c r="Y901" s="6" t="s">
        <v>5</v>
      </c>
      <c r="Z901" s="6" t="s">
        <v>5</v>
      </c>
      <c r="AA901" s="6" t="s">
        <v>5</v>
      </c>
      <c r="AB901" s="8" t="s">
        <v>5</v>
      </c>
      <c r="AC901" s="8" t="s">
        <v>5</v>
      </c>
      <c r="AD901" s="6" t="s">
        <v>5</v>
      </c>
      <c r="AE901" s="22">
        <v>0.997</v>
      </c>
      <c r="AF901" s="6" t="s">
        <v>5</v>
      </c>
      <c r="AG901" s="6" t="s">
        <v>5</v>
      </c>
      <c r="AH901" s="22">
        <v>0.61199999999999999</v>
      </c>
      <c r="AI901" s="6" t="s">
        <v>5</v>
      </c>
      <c r="AJ901" s="7">
        <v>9.14</v>
      </c>
      <c r="AK901" s="6" t="s">
        <v>5</v>
      </c>
      <c r="AL901" s="6" t="s">
        <v>5</v>
      </c>
      <c r="AM901" s="6" t="s">
        <v>5</v>
      </c>
      <c r="AN901" s="6" t="s">
        <v>5</v>
      </c>
      <c r="AO901" s="4">
        <v>21.1</v>
      </c>
      <c r="AP901" s="4">
        <v>13.5</v>
      </c>
      <c r="AQ901" s="7">
        <v>7.02</v>
      </c>
      <c r="AR901" s="7">
        <v>1.04</v>
      </c>
      <c r="AS901" s="6">
        <v>323</v>
      </c>
      <c r="AT901" s="6">
        <v>62.2</v>
      </c>
      <c r="AU901" s="6">
        <v>39.5</v>
      </c>
      <c r="AV901" s="7">
        <v>4.0599999999999996</v>
      </c>
      <c r="AW901" s="6" t="s">
        <v>5</v>
      </c>
      <c r="AX901" s="6" t="s">
        <v>5</v>
      </c>
      <c r="AY901" s="6" t="s">
        <v>5</v>
      </c>
      <c r="AZ901" s="6" t="s">
        <v>5</v>
      </c>
      <c r="BA901" s="6" t="s">
        <v>5</v>
      </c>
      <c r="BB901" s="6" t="s">
        <v>5</v>
      </c>
      <c r="BC901" s="6" t="s">
        <v>5</v>
      </c>
      <c r="BD901" s="6" t="s">
        <v>5</v>
      </c>
      <c r="BE901" s="6" t="s">
        <v>5</v>
      </c>
      <c r="BF901" s="6" t="s">
        <v>5</v>
      </c>
      <c r="BG901" s="6" t="s">
        <v>5</v>
      </c>
      <c r="BH901" s="6" t="s">
        <v>5</v>
      </c>
      <c r="BI901" s="7">
        <v>4.22</v>
      </c>
      <c r="BJ901" s="22">
        <v>0.98199999999999998</v>
      </c>
      <c r="BK901" s="6" t="s">
        <v>5</v>
      </c>
      <c r="BL901" s="2" t="s">
        <v>5</v>
      </c>
      <c r="BM901" s="2" t="s">
        <v>5</v>
      </c>
      <c r="BN901" s="2" t="s">
        <v>5</v>
      </c>
      <c r="BO901" s="2" t="s">
        <v>5</v>
      </c>
      <c r="BP901" s="2" t="s">
        <v>5</v>
      </c>
      <c r="BQ901" s="2" t="s">
        <v>5</v>
      </c>
      <c r="BR901" s="2" t="s">
        <v>5</v>
      </c>
      <c r="BS901" s="2" t="s">
        <v>5</v>
      </c>
      <c r="BT901" s="2" t="s">
        <v>5</v>
      </c>
      <c r="BU901" s="2" t="s">
        <v>5</v>
      </c>
      <c r="BV901" s="2" t="s">
        <v>5</v>
      </c>
      <c r="BW901" s="2" t="s">
        <v>5</v>
      </c>
      <c r="BX901" s="2" t="s">
        <v>5</v>
      </c>
      <c r="BY901" s="25" t="s">
        <v>5</v>
      </c>
      <c r="BZ901" s="25" t="s">
        <v>5</v>
      </c>
      <c r="CA901" s="6" t="s">
        <v>5</v>
      </c>
      <c r="CB901" s="6" t="s">
        <v>5</v>
      </c>
      <c r="CC901" s="6" t="s">
        <v>5</v>
      </c>
      <c r="CD901" s="6" t="s">
        <v>5</v>
      </c>
      <c r="CE901" s="6" t="s">
        <v>5</v>
      </c>
      <c r="CF901" s="16" t="s">
        <v>5</v>
      </c>
      <c r="CG901" s="16" t="s">
        <v>5</v>
      </c>
      <c r="CH901" s="18" t="s">
        <v>5</v>
      </c>
    </row>
    <row r="902" spans="2:86">
      <c r="B902" s="78" t="s">
        <v>473</v>
      </c>
      <c r="C902" s="79" t="s">
        <v>1002</v>
      </c>
      <c r="D902" s="80" t="s">
        <v>1002</v>
      </c>
      <c r="E902" s="1" t="s">
        <v>4</v>
      </c>
      <c r="F902" s="4">
        <v>66.2</v>
      </c>
      <c r="G902" s="4">
        <v>19.600000000000001</v>
      </c>
      <c r="H902" s="3" t="str">
        <f t="shared" si="33"/>
        <v>2L8X4X7/8X3/4SLBB</v>
      </c>
      <c r="I902" s="7">
        <v>4</v>
      </c>
      <c r="J902" s="5" t="s">
        <v>5</v>
      </c>
      <c r="K902" s="6" t="s">
        <v>5</v>
      </c>
      <c r="L902" s="6" t="s">
        <v>5</v>
      </c>
      <c r="M902" s="6" t="s">
        <v>5</v>
      </c>
      <c r="N902" s="6" t="s">
        <v>5</v>
      </c>
      <c r="O902" s="5" t="s">
        <v>5</v>
      </c>
      <c r="P902" s="5" t="s">
        <v>5</v>
      </c>
      <c r="Q902" s="7">
        <v>8</v>
      </c>
      <c r="R902" s="6" t="s">
        <v>5</v>
      </c>
      <c r="S902" s="6" t="s">
        <v>5</v>
      </c>
      <c r="T902" s="5" t="s">
        <v>5</v>
      </c>
      <c r="U902" s="8" t="s">
        <v>5</v>
      </c>
      <c r="V902" s="6" t="s">
        <v>5</v>
      </c>
      <c r="W902" s="8" t="s">
        <v>5</v>
      </c>
      <c r="X902" s="22">
        <v>0.875</v>
      </c>
      <c r="Y902" s="6" t="s">
        <v>5</v>
      </c>
      <c r="Z902" s="6" t="s">
        <v>5</v>
      </c>
      <c r="AA902" s="6" t="s">
        <v>5</v>
      </c>
      <c r="AB902" s="8" t="s">
        <v>5</v>
      </c>
      <c r="AC902" s="8" t="s">
        <v>5</v>
      </c>
      <c r="AD902" s="6" t="s">
        <v>5</v>
      </c>
      <c r="AE902" s="22">
        <v>0.997</v>
      </c>
      <c r="AF902" s="6" t="s">
        <v>5</v>
      </c>
      <c r="AG902" s="6" t="s">
        <v>5</v>
      </c>
      <c r="AH902" s="22">
        <v>0.61199999999999999</v>
      </c>
      <c r="AI902" s="6" t="s">
        <v>5</v>
      </c>
      <c r="AJ902" s="7">
        <v>9.14</v>
      </c>
      <c r="AK902" s="6" t="s">
        <v>5</v>
      </c>
      <c r="AL902" s="6" t="s">
        <v>5</v>
      </c>
      <c r="AM902" s="6" t="s">
        <v>5</v>
      </c>
      <c r="AN902" s="6" t="s">
        <v>5</v>
      </c>
      <c r="AO902" s="4">
        <v>21.1</v>
      </c>
      <c r="AP902" s="4">
        <v>13.5</v>
      </c>
      <c r="AQ902" s="7">
        <v>7.02</v>
      </c>
      <c r="AR902" s="7">
        <v>1.04</v>
      </c>
      <c r="AS902" s="6">
        <v>347</v>
      </c>
      <c r="AT902" s="6">
        <v>65.900000000000006</v>
      </c>
      <c r="AU902" s="6">
        <v>41.4</v>
      </c>
      <c r="AV902" s="7">
        <v>4.21</v>
      </c>
      <c r="AW902" s="6" t="s">
        <v>5</v>
      </c>
      <c r="AX902" s="6" t="s">
        <v>5</v>
      </c>
      <c r="AY902" s="6" t="s">
        <v>5</v>
      </c>
      <c r="AZ902" s="6" t="s">
        <v>5</v>
      </c>
      <c r="BA902" s="6" t="s">
        <v>5</v>
      </c>
      <c r="BB902" s="6" t="s">
        <v>5</v>
      </c>
      <c r="BC902" s="6" t="s">
        <v>5</v>
      </c>
      <c r="BD902" s="6" t="s">
        <v>5</v>
      </c>
      <c r="BE902" s="6" t="s">
        <v>5</v>
      </c>
      <c r="BF902" s="6" t="s">
        <v>5</v>
      </c>
      <c r="BG902" s="6" t="s">
        <v>5</v>
      </c>
      <c r="BH902" s="6" t="s">
        <v>5</v>
      </c>
      <c r="BI902" s="7">
        <v>4.37</v>
      </c>
      <c r="BJ902" s="22">
        <v>0.98399999999999999</v>
      </c>
      <c r="BK902" s="6" t="s">
        <v>5</v>
      </c>
      <c r="BL902" s="2" t="s">
        <v>5</v>
      </c>
      <c r="BM902" s="2" t="s">
        <v>5</v>
      </c>
      <c r="BN902" s="2" t="s">
        <v>5</v>
      </c>
      <c r="BO902" s="2" t="s">
        <v>5</v>
      </c>
      <c r="BP902" s="2" t="s">
        <v>5</v>
      </c>
      <c r="BQ902" s="2" t="s">
        <v>5</v>
      </c>
      <c r="BR902" s="2" t="s">
        <v>5</v>
      </c>
      <c r="BS902" s="2" t="s">
        <v>5</v>
      </c>
      <c r="BT902" s="2" t="s">
        <v>5</v>
      </c>
      <c r="BU902" s="2" t="s">
        <v>5</v>
      </c>
      <c r="BV902" s="2" t="s">
        <v>5</v>
      </c>
      <c r="BW902" s="2" t="s">
        <v>5</v>
      </c>
      <c r="BX902" s="2" t="s">
        <v>5</v>
      </c>
      <c r="BY902" s="25" t="s">
        <v>5</v>
      </c>
      <c r="BZ902" s="25" t="s">
        <v>5</v>
      </c>
      <c r="CA902" s="6" t="s">
        <v>5</v>
      </c>
      <c r="CB902" s="6" t="s">
        <v>5</v>
      </c>
      <c r="CC902" s="6" t="s">
        <v>5</v>
      </c>
      <c r="CD902" s="6" t="s">
        <v>5</v>
      </c>
      <c r="CE902" s="6" t="s">
        <v>5</v>
      </c>
      <c r="CF902" s="16" t="s">
        <v>5</v>
      </c>
      <c r="CG902" s="16" t="s">
        <v>5</v>
      </c>
      <c r="CH902" s="18" t="s">
        <v>5</v>
      </c>
    </row>
    <row r="903" spans="2:86">
      <c r="B903" s="78" t="s">
        <v>473</v>
      </c>
      <c r="C903" s="79" t="s">
        <v>1003</v>
      </c>
      <c r="D903" s="80" t="s">
        <v>1003</v>
      </c>
      <c r="E903" s="1" t="s">
        <v>4</v>
      </c>
      <c r="F903" s="4">
        <v>57.4</v>
      </c>
      <c r="G903" s="4">
        <v>17</v>
      </c>
      <c r="H903" s="3" t="str">
        <f t="shared" si="33"/>
        <v>2L8X4X3/4SLBB</v>
      </c>
      <c r="I903" s="7">
        <v>4</v>
      </c>
      <c r="J903" s="5" t="s">
        <v>5</v>
      </c>
      <c r="K903" s="6" t="s">
        <v>5</v>
      </c>
      <c r="L903" s="6" t="s">
        <v>5</v>
      </c>
      <c r="M903" s="6" t="s">
        <v>5</v>
      </c>
      <c r="N903" s="6" t="s">
        <v>5</v>
      </c>
      <c r="O903" s="5" t="s">
        <v>5</v>
      </c>
      <c r="P903" s="5" t="s">
        <v>5</v>
      </c>
      <c r="Q903" s="7">
        <v>8</v>
      </c>
      <c r="R903" s="6" t="s">
        <v>5</v>
      </c>
      <c r="S903" s="6" t="s">
        <v>5</v>
      </c>
      <c r="T903" s="5" t="s">
        <v>5</v>
      </c>
      <c r="U903" s="8" t="s">
        <v>5</v>
      </c>
      <c r="V903" s="6" t="s">
        <v>5</v>
      </c>
      <c r="W903" s="8" t="s">
        <v>5</v>
      </c>
      <c r="X903" s="22">
        <v>0.75</v>
      </c>
      <c r="Y903" s="6" t="s">
        <v>5</v>
      </c>
      <c r="Z903" s="6" t="s">
        <v>5</v>
      </c>
      <c r="AA903" s="6" t="s">
        <v>5</v>
      </c>
      <c r="AB903" s="8" t="s">
        <v>5</v>
      </c>
      <c r="AC903" s="8" t="s">
        <v>5</v>
      </c>
      <c r="AD903" s="6" t="s">
        <v>5</v>
      </c>
      <c r="AE903" s="22">
        <v>0.94899999999999995</v>
      </c>
      <c r="AF903" s="6" t="s">
        <v>5</v>
      </c>
      <c r="AG903" s="6" t="s">
        <v>5</v>
      </c>
      <c r="AH903" s="22">
        <v>0.53100000000000003</v>
      </c>
      <c r="AI903" s="6" t="s">
        <v>5</v>
      </c>
      <c r="AJ903" s="4">
        <v>10.7</v>
      </c>
      <c r="AK903" s="6" t="s">
        <v>5</v>
      </c>
      <c r="AL903" s="6" t="s">
        <v>5</v>
      </c>
      <c r="AM903" s="6" t="s">
        <v>5</v>
      </c>
      <c r="AN903" s="6" t="s">
        <v>5</v>
      </c>
      <c r="AO903" s="4">
        <v>18.7</v>
      </c>
      <c r="AP903" s="4">
        <v>11.6</v>
      </c>
      <c r="AQ903" s="7">
        <v>6.14</v>
      </c>
      <c r="AR903" s="7">
        <v>1.05</v>
      </c>
      <c r="AS903" s="6">
        <v>257</v>
      </c>
      <c r="AT903" s="6">
        <v>49.9</v>
      </c>
      <c r="AU903" s="6">
        <v>32.1</v>
      </c>
      <c r="AV903" s="7">
        <v>3.89</v>
      </c>
      <c r="AW903" s="6" t="s">
        <v>5</v>
      </c>
      <c r="AX903" s="6" t="s">
        <v>5</v>
      </c>
      <c r="AY903" s="6" t="s">
        <v>5</v>
      </c>
      <c r="AZ903" s="6" t="s">
        <v>5</v>
      </c>
      <c r="BA903" s="6" t="s">
        <v>5</v>
      </c>
      <c r="BB903" s="6" t="s">
        <v>5</v>
      </c>
      <c r="BC903" s="6" t="s">
        <v>5</v>
      </c>
      <c r="BD903" s="6" t="s">
        <v>5</v>
      </c>
      <c r="BE903" s="6" t="s">
        <v>5</v>
      </c>
      <c r="BF903" s="6" t="s">
        <v>5</v>
      </c>
      <c r="BG903" s="6" t="s">
        <v>5</v>
      </c>
      <c r="BH903" s="6" t="s">
        <v>5</v>
      </c>
      <c r="BI903" s="7">
        <v>4.07</v>
      </c>
      <c r="BJ903" s="22">
        <v>0.98</v>
      </c>
      <c r="BK903" s="6" t="s">
        <v>5</v>
      </c>
      <c r="BL903" s="2" t="s">
        <v>5</v>
      </c>
      <c r="BM903" s="2" t="s">
        <v>5</v>
      </c>
      <c r="BN903" s="2" t="s">
        <v>5</v>
      </c>
      <c r="BO903" s="2" t="s">
        <v>5</v>
      </c>
      <c r="BP903" s="2" t="s">
        <v>5</v>
      </c>
      <c r="BQ903" s="2" t="s">
        <v>5</v>
      </c>
      <c r="BR903" s="2" t="s">
        <v>5</v>
      </c>
      <c r="BS903" s="2" t="s">
        <v>5</v>
      </c>
      <c r="BT903" s="2" t="s">
        <v>5</v>
      </c>
      <c r="BU903" s="2" t="s">
        <v>5</v>
      </c>
      <c r="BV903" s="2" t="s">
        <v>5</v>
      </c>
      <c r="BW903" s="2" t="s">
        <v>5</v>
      </c>
      <c r="BX903" s="2" t="s">
        <v>5</v>
      </c>
      <c r="BY903" s="25" t="s">
        <v>5</v>
      </c>
      <c r="BZ903" s="25" t="s">
        <v>5</v>
      </c>
      <c r="CA903" s="6" t="s">
        <v>5</v>
      </c>
      <c r="CB903" s="6" t="s">
        <v>5</v>
      </c>
      <c r="CC903" s="6" t="s">
        <v>5</v>
      </c>
      <c r="CD903" s="6" t="s">
        <v>5</v>
      </c>
      <c r="CE903" s="6" t="s">
        <v>5</v>
      </c>
      <c r="CF903" s="16" t="s">
        <v>5</v>
      </c>
      <c r="CG903" s="16" t="s">
        <v>5</v>
      </c>
      <c r="CH903" s="18" t="s">
        <v>5</v>
      </c>
    </row>
    <row r="904" spans="2:86">
      <c r="B904" s="78" t="s">
        <v>473</v>
      </c>
      <c r="C904" s="79" t="s">
        <v>1004</v>
      </c>
      <c r="D904" s="80" t="s">
        <v>1004</v>
      </c>
      <c r="E904" s="1" t="s">
        <v>4</v>
      </c>
      <c r="F904" s="4">
        <v>57.4</v>
      </c>
      <c r="G904" s="4">
        <v>17</v>
      </c>
      <c r="H904" s="3" t="str">
        <f t="shared" si="33"/>
        <v>2L8X4X3/4X3/8SLBB</v>
      </c>
      <c r="I904" s="7">
        <v>4</v>
      </c>
      <c r="J904" s="5" t="s">
        <v>5</v>
      </c>
      <c r="K904" s="6" t="s">
        <v>5</v>
      </c>
      <c r="L904" s="6" t="s">
        <v>5</v>
      </c>
      <c r="M904" s="6" t="s">
        <v>5</v>
      </c>
      <c r="N904" s="6" t="s">
        <v>5</v>
      </c>
      <c r="O904" s="5" t="s">
        <v>5</v>
      </c>
      <c r="P904" s="5" t="s">
        <v>5</v>
      </c>
      <c r="Q904" s="7">
        <v>8</v>
      </c>
      <c r="R904" s="6" t="s">
        <v>5</v>
      </c>
      <c r="S904" s="6" t="s">
        <v>5</v>
      </c>
      <c r="T904" s="5" t="s">
        <v>5</v>
      </c>
      <c r="U904" s="8" t="s">
        <v>5</v>
      </c>
      <c r="V904" s="6" t="s">
        <v>5</v>
      </c>
      <c r="W904" s="8" t="s">
        <v>5</v>
      </c>
      <c r="X904" s="22">
        <v>0.75</v>
      </c>
      <c r="Y904" s="6" t="s">
        <v>5</v>
      </c>
      <c r="Z904" s="6" t="s">
        <v>5</v>
      </c>
      <c r="AA904" s="6" t="s">
        <v>5</v>
      </c>
      <c r="AB904" s="8" t="s">
        <v>5</v>
      </c>
      <c r="AC904" s="8" t="s">
        <v>5</v>
      </c>
      <c r="AD904" s="6" t="s">
        <v>5</v>
      </c>
      <c r="AE904" s="22">
        <v>0.94899999999999995</v>
      </c>
      <c r="AF904" s="6" t="s">
        <v>5</v>
      </c>
      <c r="AG904" s="6" t="s">
        <v>5</v>
      </c>
      <c r="AH904" s="22">
        <v>0.53100000000000003</v>
      </c>
      <c r="AI904" s="6" t="s">
        <v>5</v>
      </c>
      <c r="AJ904" s="4">
        <v>10.7</v>
      </c>
      <c r="AK904" s="6" t="s">
        <v>5</v>
      </c>
      <c r="AL904" s="6" t="s">
        <v>5</v>
      </c>
      <c r="AM904" s="6" t="s">
        <v>5</v>
      </c>
      <c r="AN904" s="6" t="s">
        <v>5</v>
      </c>
      <c r="AO904" s="4">
        <v>18.7</v>
      </c>
      <c r="AP904" s="4">
        <v>11.6</v>
      </c>
      <c r="AQ904" s="7">
        <v>6.14</v>
      </c>
      <c r="AR904" s="7">
        <v>1.05</v>
      </c>
      <c r="AS904" s="6">
        <v>276</v>
      </c>
      <c r="AT904" s="6">
        <v>53.1</v>
      </c>
      <c r="AU904" s="6">
        <v>33.700000000000003</v>
      </c>
      <c r="AV904" s="7">
        <v>4.03</v>
      </c>
      <c r="AW904" s="6" t="s">
        <v>5</v>
      </c>
      <c r="AX904" s="6" t="s">
        <v>5</v>
      </c>
      <c r="AY904" s="6" t="s">
        <v>5</v>
      </c>
      <c r="AZ904" s="6" t="s">
        <v>5</v>
      </c>
      <c r="BA904" s="6" t="s">
        <v>5</v>
      </c>
      <c r="BB904" s="6" t="s">
        <v>5</v>
      </c>
      <c r="BC904" s="6" t="s">
        <v>5</v>
      </c>
      <c r="BD904" s="6" t="s">
        <v>5</v>
      </c>
      <c r="BE904" s="6" t="s">
        <v>5</v>
      </c>
      <c r="BF904" s="6" t="s">
        <v>5</v>
      </c>
      <c r="BG904" s="6" t="s">
        <v>5</v>
      </c>
      <c r="BH904" s="6" t="s">
        <v>5</v>
      </c>
      <c r="BI904" s="7">
        <v>4.2</v>
      </c>
      <c r="BJ904" s="22">
        <v>0.98099999999999998</v>
      </c>
      <c r="BK904" s="6" t="s">
        <v>5</v>
      </c>
      <c r="BL904" s="2" t="s">
        <v>5</v>
      </c>
      <c r="BM904" s="2" t="s">
        <v>5</v>
      </c>
      <c r="BN904" s="2" t="s">
        <v>5</v>
      </c>
      <c r="BO904" s="2" t="s">
        <v>5</v>
      </c>
      <c r="BP904" s="2" t="s">
        <v>5</v>
      </c>
      <c r="BQ904" s="2" t="s">
        <v>5</v>
      </c>
      <c r="BR904" s="2" t="s">
        <v>5</v>
      </c>
      <c r="BS904" s="2" t="s">
        <v>5</v>
      </c>
      <c r="BT904" s="2" t="s">
        <v>5</v>
      </c>
      <c r="BU904" s="2" t="s">
        <v>5</v>
      </c>
      <c r="BV904" s="2" t="s">
        <v>5</v>
      </c>
      <c r="BW904" s="2" t="s">
        <v>5</v>
      </c>
      <c r="BX904" s="2" t="s">
        <v>5</v>
      </c>
      <c r="BY904" s="25" t="s">
        <v>5</v>
      </c>
      <c r="BZ904" s="25" t="s">
        <v>5</v>
      </c>
      <c r="CA904" s="6" t="s">
        <v>5</v>
      </c>
      <c r="CB904" s="6" t="s">
        <v>5</v>
      </c>
      <c r="CC904" s="6" t="s">
        <v>5</v>
      </c>
      <c r="CD904" s="6" t="s">
        <v>5</v>
      </c>
      <c r="CE904" s="6" t="s">
        <v>5</v>
      </c>
      <c r="CF904" s="16" t="s">
        <v>5</v>
      </c>
      <c r="CG904" s="16" t="s">
        <v>5</v>
      </c>
      <c r="CH904" s="18" t="s">
        <v>5</v>
      </c>
    </row>
    <row r="905" spans="2:86">
      <c r="B905" s="78" t="s">
        <v>473</v>
      </c>
      <c r="C905" s="79" t="s">
        <v>1005</v>
      </c>
      <c r="D905" s="80" t="s">
        <v>1005</v>
      </c>
      <c r="E905" s="1" t="s">
        <v>4</v>
      </c>
      <c r="F905" s="4">
        <v>57.4</v>
      </c>
      <c r="G905" s="4">
        <v>17</v>
      </c>
      <c r="H905" s="3" t="str">
        <f t="shared" si="33"/>
        <v>2L8X4X3/4X3/4SLBB</v>
      </c>
      <c r="I905" s="7">
        <v>4</v>
      </c>
      <c r="J905" s="5" t="s">
        <v>5</v>
      </c>
      <c r="K905" s="6" t="s">
        <v>5</v>
      </c>
      <c r="L905" s="6" t="s">
        <v>5</v>
      </c>
      <c r="M905" s="6" t="s">
        <v>5</v>
      </c>
      <c r="N905" s="6" t="s">
        <v>5</v>
      </c>
      <c r="O905" s="5" t="s">
        <v>5</v>
      </c>
      <c r="P905" s="5" t="s">
        <v>5</v>
      </c>
      <c r="Q905" s="7">
        <v>8</v>
      </c>
      <c r="R905" s="6" t="s">
        <v>5</v>
      </c>
      <c r="S905" s="6" t="s">
        <v>5</v>
      </c>
      <c r="T905" s="5" t="s">
        <v>5</v>
      </c>
      <c r="U905" s="8" t="s">
        <v>5</v>
      </c>
      <c r="V905" s="6" t="s">
        <v>5</v>
      </c>
      <c r="W905" s="8" t="s">
        <v>5</v>
      </c>
      <c r="X905" s="22">
        <v>0.75</v>
      </c>
      <c r="Y905" s="6" t="s">
        <v>5</v>
      </c>
      <c r="Z905" s="6" t="s">
        <v>5</v>
      </c>
      <c r="AA905" s="6" t="s">
        <v>5</v>
      </c>
      <c r="AB905" s="8" t="s">
        <v>5</v>
      </c>
      <c r="AC905" s="8" t="s">
        <v>5</v>
      </c>
      <c r="AD905" s="6" t="s">
        <v>5</v>
      </c>
      <c r="AE905" s="22">
        <v>0.94899999999999995</v>
      </c>
      <c r="AF905" s="6" t="s">
        <v>5</v>
      </c>
      <c r="AG905" s="6" t="s">
        <v>5</v>
      </c>
      <c r="AH905" s="22">
        <v>0.53100000000000003</v>
      </c>
      <c r="AI905" s="6" t="s">
        <v>5</v>
      </c>
      <c r="AJ905" s="4">
        <v>10.7</v>
      </c>
      <c r="AK905" s="6" t="s">
        <v>5</v>
      </c>
      <c r="AL905" s="6" t="s">
        <v>5</v>
      </c>
      <c r="AM905" s="6" t="s">
        <v>5</v>
      </c>
      <c r="AN905" s="6" t="s">
        <v>5</v>
      </c>
      <c r="AO905" s="4">
        <v>18.7</v>
      </c>
      <c r="AP905" s="4">
        <v>11.6</v>
      </c>
      <c r="AQ905" s="7">
        <v>6.14</v>
      </c>
      <c r="AR905" s="7">
        <v>1.05</v>
      </c>
      <c r="AS905" s="6">
        <v>297</v>
      </c>
      <c r="AT905" s="6">
        <v>56.3</v>
      </c>
      <c r="AU905" s="6">
        <v>35.5</v>
      </c>
      <c r="AV905" s="7">
        <v>4.18</v>
      </c>
      <c r="AW905" s="6" t="s">
        <v>5</v>
      </c>
      <c r="AX905" s="6" t="s">
        <v>5</v>
      </c>
      <c r="AY905" s="6" t="s">
        <v>5</v>
      </c>
      <c r="AZ905" s="6" t="s">
        <v>5</v>
      </c>
      <c r="BA905" s="6" t="s">
        <v>5</v>
      </c>
      <c r="BB905" s="6" t="s">
        <v>5</v>
      </c>
      <c r="BC905" s="6" t="s">
        <v>5</v>
      </c>
      <c r="BD905" s="6" t="s">
        <v>5</v>
      </c>
      <c r="BE905" s="6" t="s">
        <v>5</v>
      </c>
      <c r="BF905" s="6" t="s">
        <v>5</v>
      </c>
      <c r="BG905" s="6" t="s">
        <v>5</v>
      </c>
      <c r="BH905" s="6" t="s">
        <v>5</v>
      </c>
      <c r="BI905" s="7">
        <v>4.3499999999999996</v>
      </c>
      <c r="BJ905" s="22">
        <v>0.98299999999999998</v>
      </c>
      <c r="BK905" s="6" t="s">
        <v>5</v>
      </c>
      <c r="BL905" s="2" t="s">
        <v>5</v>
      </c>
      <c r="BM905" s="2" t="s">
        <v>5</v>
      </c>
      <c r="BN905" s="2" t="s">
        <v>5</v>
      </c>
      <c r="BO905" s="2" t="s">
        <v>5</v>
      </c>
      <c r="BP905" s="2" t="s">
        <v>5</v>
      </c>
      <c r="BQ905" s="2" t="s">
        <v>5</v>
      </c>
      <c r="BR905" s="2" t="s">
        <v>5</v>
      </c>
      <c r="BS905" s="2" t="s">
        <v>5</v>
      </c>
      <c r="BT905" s="2" t="s">
        <v>5</v>
      </c>
      <c r="BU905" s="2" t="s">
        <v>5</v>
      </c>
      <c r="BV905" s="2" t="s">
        <v>5</v>
      </c>
      <c r="BW905" s="2" t="s">
        <v>5</v>
      </c>
      <c r="BX905" s="2" t="s">
        <v>5</v>
      </c>
      <c r="BY905" s="25" t="s">
        <v>5</v>
      </c>
      <c r="BZ905" s="25" t="s">
        <v>5</v>
      </c>
      <c r="CA905" s="6" t="s">
        <v>5</v>
      </c>
      <c r="CB905" s="6" t="s">
        <v>5</v>
      </c>
      <c r="CC905" s="6" t="s">
        <v>5</v>
      </c>
      <c r="CD905" s="6" t="s">
        <v>5</v>
      </c>
      <c r="CE905" s="6" t="s">
        <v>5</v>
      </c>
      <c r="CF905" s="16" t="s">
        <v>5</v>
      </c>
      <c r="CG905" s="16" t="s">
        <v>5</v>
      </c>
      <c r="CH905" s="18" t="s">
        <v>5</v>
      </c>
    </row>
    <row r="906" spans="2:86">
      <c r="B906" s="78" t="s">
        <v>473</v>
      </c>
      <c r="C906" s="79" t="s">
        <v>1006</v>
      </c>
      <c r="D906" s="80" t="s">
        <v>1006</v>
      </c>
      <c r="E906" s="1" t="s">
        <v>4</v>
      </c>
      <c r="F906" s="4">
        <v>48.4</v>
      </c>
      <c r="G906" s="4">
        <v>14.3</v>
      </c>
      <c r="H906" s="3" t="str">
        <f t="shared" si="33"/>
        <v>2L8X4X5/8SLBB</v>
      </c>
      <c r="I906" s="7">
        <v>4</v>
      </c>
      <c r="J906" s="5" t="s">
        <v>5</v>
      </c>
      <c r="K906" s="6" t="s">
        <v>5</v>
      </c>
      <c r="L906" s="6" t="s">
        <v>5</v>
      </c>
      <c r="M906" s="6" t="s">
        <v>5</v>
      </c>
      <c r="N906" s="6" t="s">
        <v>5</v>
      </c>
      <c r="O906" s="5" t="s">
        <v>5</v>
      </c>
      <c r="P906" s="5" t="s">
        <v>5</v>
      </c>
      <c r="Q906" s="7">
        <v>8</v>
      </c>
      <c r="R906" s="6" t="s">
        <v>5</v>
      </c>
      <c r="S906" s="6" t="s">
        <v>5</v>
      </c>
      <c r="T906" s="5" t="s">
        <v>5</v>
      </c>
      <c r="U906" s="8" t="s">
        <v>5</v>
      </c>
      <c r="V906" s="6" t="s">
        <v>5</v>
      </c>
      <c r="W906" s="8" t="s">
        <v>5</v>
      </c>
      <c r="X906" s="22">
        <v>0.625</v>
      </c>
      <c r="Y906" s="6" t="s">
        <v>5</v>
      </c>
      <c r="Z906" s="6" t="s">
        <v>5</v>
      </c>
      <c r="AA906" s="6" t="s">
        <v>5</v>
      </c>
      <c r="AB906" s="8" t="s">
        <v>5</v>
      </c>
      <c r="AC906" s="8" t="s">
        <v>5</v>
      </c>
      <c r="AD906" s="6" t="s">
        <v>5</v>
      </c>
      <c r="AE906" s="22">
        <v>0.90200000000000002</v>
      </c>
      <c r="AF906" s="6" t="s">
        <v>5</v>
      </c>
      <c r="AG906" s="6" t="s">
        <v>5</v>
      </c>
      <c r="AH906" s="22">
        <v>0.44800000000000001</v>
      </c>
      <c r="AI906" s="6" t="s">
        <v>5</v>
      </c>
      <c r="AJ906" s="4">
        <v>12.8</v>
      </c>
      <c r="AK906" s="6" t="s">
        <v>5</v>
      </c>
      <c r="AL906" s="6" t="s">
        <v>5</v>
      </c>
      <c r="AM906" s="6" t="s">
        <v>5</v>
      </c>
      <c r="AN906" s="6" t="s">
        <v>5</v>
      </c>
      <c r="AO906" s="4">
        <v>16.2</v>
      </c>
      <c r="AP906" s="7">
        <v>9.73</v>
      </c>
      <c r="AQ906" s="7">
        <v>5.23</v>
      </c>
      <c r="AR906" s="7">
        <v>1.06</v>
      </c>
      <c r="AS906" s="6">
        <v>213</v>
      </c>
      <c r="AT906" s="6">
        <v>41.4</v>
      </c>
      <c r="AU906" s="6">
        <v>26.6</v>
      </c>
      <c r="AV906" s="7">
        <v>3.86</v>
      </c>
      <c r="AW906" s="6" t="s">
        <v>5</v>
      </c>
      <c r="AX906" s="6" t="s">
        <v>5</v>
      </c>
      <c r="AY906" s="6" t="s">
        <v>5</v>
      </c>
      <c r="AZ906" s="6" t="s">
        <v>5</v>
      </c>
      <c r="BA906" s="6" t="s">
        <v>5</v>
      </c>
      <c r="BB906" s="6" t="s">
        <v>5</v>
      </c>
      <c r="BC906" s="6" t="s">
        <v>5</v>
      </c>
      <c r="BD906" s="6" t="s">
        <v>5</v>
      </c>
      <c r="BE906" s="6" t="s">
        <v>5</v>
      </c>
      <c r="BF906" s="6" t="s">
        <v>5</v>
      </c>
      <c r="BG906" s="6" t="s">
        <v>5</v>
      </c>
      <c r="BH906" s="6" t="s">
        <v>5</v>
      </c>
      <c r="BI906" s="7">
        <v>4.05</v>
      </c>
      <c r="BJ906" s="22">
        <v>0.97899999999999998</v>
      </c>
      <c r="BK906" s="6" t="s">
        <v>5</v>
      </c>
      <c r="BL906" s="2" t="s">
        <v>5</v>
      </c>
      <c r="BM906" s="2" t="s">
        <v>5</v>
      </c>
      <c r="BN906" s="2" t="s">
        <v>5</v>
      </c>
      <c r="BO906" s="2" t="s">
        <v>5</v>
      </c>
      <c r="BP906" s="2" t="s">
        <v>5</v>
      </c>
      <c r="BQ906" s="2" t="s">
        <v>5</v>
      </c>
      <c r="BR906" s="2" t="s">
        <v>5</v>
      </c>
      <c r="BS906" s="2" t="s">
        <v>5</v>
      </c>
      <c r="BT906" s="2" t="s">
        <v>5</v>
      </c>
      <c r="BU906" s="2" t="s">
        <v>5</v>
      </c>
      <c r="BV906" s="2" t="s">
        <v>5</v>
      </c>
      <c r="BW906" s="2" t="s">
        <v>5</v>
      </c>
      <c r="BX906" s="2" t="s">
        <v>5</v>
      </c>
      <c r="BY906" s="25" t="s">
        <v>5</v>
      </c>
      <c r="BZ906" s="25" t="s">
        <v>5</v>
      </c>
      <c r="CA906" s="6" t="s">
        <v>5</v>
      </c>
      <c r="CB906" s="6" t="s">
        <v>5</v>
      </c>
      <c r="CC906" s="6" t="s">
        <v>5</v>
      </c>
      <c r="CD906" s="6" t="s">
        <v>5</v>
      </c>
      <c r="CE906" s="6" t="s">
        <v>5</v>
      </c>
      <c r="CF906" s="16" t="s">
        <v>5</v>
      </c>
      <c r="CG906" s="16" t="s">
        <v>5</v>
      </c>
      <c r="CH906" s="18" t="s">
        <v>5</v>
      </c>
    </row>
    <row r="907" spans="2:86">
      <c r="B907" s="78" t="s">
        <v>473</v>
      </c>
      <c r="C907" s="79" t="s">
        <v>1007</v>
      </c>
      <c r="D907" s="80" t="s">
        <v>1007</v>
      </c>
      <c r="E907" s="1" t="s">
        <v>4</v>
      </c>
      <c r="F907" s="4">
        <v>48.4</v>
      </c>
      <c r="G907" s="4">
        <v>14.3</v>
      </c>
      <c r="H907" s="3" t="str">
        <f t="shared" si="33"/>
        <v>2L8X4X5/8X3/8SLBB</v>
      </c>
      <c r="I907" s="7">
        <v>4</v>
      </c>
      <c r="J907" s="5" t="s">
        <v>5</v>
      </c>
      <c r="K907" s="6" t="s">
        <v>5</v>
      </c>
      <c r="L907" s="6" t="s">
        <v>5</v>
      </c>
      <c r="M907" s="6" t="s">
        <v>5</v>
      </c>
      <c r="N907" s="6" t="s">
        <v>5</v>
      </c>
      <c r="O907" s="5" t="s">
        <v>5</v>
      </c>
      <c r="P907" s="5" t="s">
        <v>5</v>
      </c>
      <c r="Q907" s="7">
        <v>8</v>
      </c>
      <c r="R907" s="6" t="s">
        <v>5</v>
      </c>
      <c r="S907" s="6" t="s">
        <v>5</v>
      </c>
      <c r="T907" s="5" t="s">
        <v>5</v>
      </c>
      <c r="U907" s="8" t="s">
        <v>5</v>
      </c>
      <c r="V907" s="6" t="s">
        <v>5</v>
      </c>
      <c r="W907" s="8" t="s">
        <v>5</v>
      </c>
      <c r="X907" s="22">
        <v>0.625</v>
      </c>
      <c r="Y907" s="6" t="s">
        <v>5</v>
      </c>
      <c r="Z907" s="6" t="s">
        <v>5</v>
      </c>
      <c r="AA907" s="6" t="s">
        <v>5</v>
      </c>
      <c r="AB907" s="8" t="s">
        <v>5</v>
      </c>
      <c r="AC907" s="8" t="s">
        <v>5</v>
      </c>
      <c r="AD907" s="6" t="s">
        <v>5</v>
      </c>
      <c r="AE907" s="22">
        <v>0.90200000000000002</v>
      </c>
      <c r="AF907" s="6" t="s">
        <v>5</v>
      </c>
      <c r="AG907" s="6" t="s">
        <v>5</v>
      </c>
      <c r="AH907" s="22">
        <v>0.44800000000000001</v>
      </c>
      <c r="AI907" s="6" t="s">
        <v>5</v>
      </c>
      <c r="AJ907" s="4">
        <v>12.8</v>
      </c>
      <c r="AK907" s="6" t="s">
        <v>5</v>
      </c>
      <c r="AL907" s="6" t="s">
        <v>5</v>
      </c>
      <c r="AM907" s="6" t="s">
        <v>5</v>
      </c>
      <c r="AN907" s="6" t="s">
        <v>5</v>
      </c>
      <c r="AO907" s="4">
        <v>16.2</v>
      </c>
      <c r="AP907" s="7">
        <v>9.73</v>
      </c>
      <c r="AQ907" s="7">
        <v>5.23</v>
      </c>
      <c r="AR907" s="7">
        <v>1.06</v>
      </c>
      <c r="AS907" s="6">
        <v>229</v>
      </c>
      <c r="AT907" s="6">
        <v>44.1</v>
      </c>
      <c r="AU907" s="4">
        <v>28</v>
      </c>
      <c r="AV907" s="7">
        <v>4</v>
      </c>
      <c r="AW907" s="6" t="s">
        <v>5</v>
      </c>
      <c r="AX907" s="6" t="s">
        <v>5</v>
      </c>
      <c r="AY907" s="6" t="s">
        <v>5</v>
      </c>
      <c r="AZ907" s="6" t="s">
        <v>5</v>
      </c>
      <c r="BA907" s="6" t="s">
        <v>5</v>
      </c>
      <c r="BB907" s="6" t="s">
        <v>5</v>
      </c>
      <c r="BC907" s="6" t="s">
        <v>5</v>
      </c>
      <c r="BD907" s="6" t="s">
        <v>5</v>
      </c>
      <c r="BE907" s="6" t="s">
        <v>5</v>
      </c>
      <c r="BF907" s="6" t="s">
        <v>5</v>
      </c>
      <c r="BG907" s="6" t="s">
        <v>5</v>
      </c>
      <c r="BH907" s="6" t="s">
        <v>5</v>
      </c>
      <c r="BI907" s="7">
        <v>4.18</v>
      </c>
      <c r="BJ907" s="22">
        <v>0.98</v>
      </c>
      <c r="BK907" s="6" t="s">
        <v>5</v>
      </c>
      <c r="BL907" s="2" t="s">
        <v>5</v>
      </c>
      <c r="BM907" s="2" t="s">
        <v>5</v>
      </c>
      <c r="BN907" s="2" t="s">
        <v>5</v>
      </c>
      <c r="BO907" s="2" t="s">
        <v>5</v>
      </c>
      <c r="BP907" s="2" t="s">
        <v>5</v>
      </c>
      <c r="BQ907" s="2" t="s">
        <v>5</v>
      </c>
      <c r="BR907" s="2" t="s">
        <v>5</v>
      </c>
      <c r="BS907" s="2" t="s">
        <v>5</v>
      </c>
      <c r="BT907" s="2" t="s">
        <v>5</v>
      </c>
      <c r="BU907" s="2" t="s">
        <v>5</v>
      </c>
      <c r="BV907" s="2" t="s">
        <v>5</v>
      </c>
      <c r="BW907" s="2" t="s">
        <v>5</v>
      </c>
      <c r="BX907" s="2" t="s">
        <v>5</v>
      </c>
      <c r="BY907" s="25" t="s">
        <v>5</v>
      </c>
      <c r="BZ907" s="25" t="s">
        <v>5</v>
      </c>
      <c r="CA907" s="6" t="s">
        <v>5</v>
      </c>
      <c r="CB907" s="6" t="s">
        <v>5</v>
      </c>
      <c r="CC907" s="6" t="s">
        <v>5</v>
      </c>
      <c r="CD907" s="6" t="s">
        <v>5</v>
      </c>
      <c r="CE907" s="6" t="s">
        <v>5</v>
      </c>
      <c r="CF907" s="16" t="s">
        <v>5</v>
      </c>
      <c r="CG907" s="16" t="s">
        <v>5</v>
      </c>
      <c r="CH907" s="18" t="s">
        <v>5</v>
      </c>
    </row>
    <row r="908" spans="2:86">
      <c r="B908" s="78" t="s">
        <v>473</v>
      </c>
      <c r="C908" s="79" t="s">
        <v>1008</v>
      </c>
      <c r="D908" s="80" t="s">
        <v>1008</v>
      </c>
      <c r="E908" s="1" t="s">
        <v>4</v>
      </c>
      <c r="F908" s="4">
        <v>48.4</v>
      </c>
      <c r="G908" s="4">
        <v>14.3</v>
      </c>
      <c r="H908" s="3" t="str">
        <f t="shared" si="33"/>
        <v>2L8X4X5/8X3/4SLBB</v>
      </c>
      <c r="I908" s="7">
        <v>4</v>
      </c>
      <c r="J908" s="5" t="s">
        <v>5</v>
      </c>
      <c r="K908" s="6" t="s">
        <v>5</v>
      </c>
      <c r="L908" s="6" t="s">
        <v>5</v>
      </c>
      <c r="M908" s="6" t="s">
        <v>5</v>
      </c>
      <c r="N908" s="6" t="s">
        <v>5</v>
      </c>
      <c r="O908" s="5" t="s">
        <v>5</v>
      </c>
      <c r="P908" s="5" t="s">
        <v>5</v>
      </c>
      <c r="Q908" s="7">
        <v>8</v>
      </c>
      <c r="R908" s="6" t="s">
        <v>5</v>
      </c>
      <c r="S908" s="6" t="s">
        <v>5</v>
      </c>
      <c r="T908" s="5" t="s">
        <v>5</v>
      </c>
      <c r="U908" s="8" t="s">
        <v>5</v>
      </c>
      <c r="V908" s="6" t="s">
        <v>5</v>
      </c>
      <c r="W908" s="8" t="s">
        <v>5</v>
      </c>
      <c r="X908" s="22">
        <v>0.625</v>
      </c>
      <c r="Y908" s="6" t="s">
        <v>5</v>
      </c>
      <c r="Z908" s="6" t="s">
        <v>5</v>
      </c>
      <c r="AA908" s="6" t="s">
        <v>5</v>
      </c>
      <c r="AB908" s="8" t="s">
        <v>5</v>
      </c>
      <c r="AC908" s="8" t="s">
        <v>5</v>
      </c>
      <c r="AD908" s="6" t="s">
        <v>5</v>
      </c>
      <c r="AE908" s="22">
        <v>0.90200000000000002</v>
      </c>
      <c r="AF908" s="6" t="s">
        <v>5</v>
      </c>
      <c r="AG908" s="6" t="s">
        <v>5</v>
      </c>
      <c r="AH908" s="22">
        <v>0.44800000000000001</v>
      </c>
      <c r="AI908" s="6" t="s">
        <v>5</v>
      </c>
      <c r="AJ908" s="4">
        <v>12.8</v>
      </c>
      <c r="AK908" s="6" t="s">
        <v>5</v>
      </c>
      <c r="AL908" s="6" t="s">
        <v>5</v>
      </c>
      <c r="AM908" s="6" t="s">
        <v>5</v>
      </c>
      <c r="AN908" s="6" t="s">
        <v>5</v>
      </c>
      <c r="AO908" s="4">
        <v>16.2</v>
      </c>
      <c r="AP908" s="7">
        <v>9.73</v>
      </c>
      <c r="AQ908" s="7">
        <v>5.23</v>
      </c>
      <c r="AR908" s="7">
        <v>1.06</v>
      </c>
      <c r="AS908" s="6">
        <v>246</v>
      </c>
      <c r="AT908" s="6">
        <v>46.8</v>
      </c>
      <c r="AU908" s="6">
        <v>29.4</v>
      </c>
      <c r="AV908" s="7">
        <v>4.1500000000000004</v>
      </c>
      <c r="AW908" s="6" t="s">
        <v>5</v>
      </c>
      <c r="AX908" s="6" t="s">
        <v>5</v>
      </c>
      <c r="AY908" s="6" t="s">
        <v>5</v>
      </c>
      <c r="AZ908" s="6" t="s">
        <v>5</v>
      </c>
      <c r="BA908" s="6" t="s">
        <v>5</v>
      </c>
      <c r="BB908" s="6" t="s">
        <v>5</v>
      </c>
      <c r="BC908" s="6" t="s">
        <v>5</v>
      </c>
      <c r="BD908" s="6" t="s">
        <v>5</v>
      </c>
      <c r="BE908" s="6" t="s">
        <v>5</v>
      </c>
      <c r="BF908" s="6" t="s">
        <v>5</v>
      </c>
      <c r="BG908" s="6" t="s">
        <v>5</v>
      </c>
      <c r="BH908" s="6" t="s">
        <v>5</v>
      </c>
      <c r="BI908" s="7">
        <v>4.32</v>
      </c>
      <c r="BJ908" s="22">
        <v>0.98099999999999998</v>
      </c>
      <c r="BK908" s="6" t="s">
        <v>5</v>
      </c>
      <c r="BL908" s="2" t="s">
        <v>5</v>
      </c>
      <c r="BM908" s="2" t="s">
        <v>5</v>
      </c>
      <c r="BN908" s="2" t="s">
        <v>5</v>
      </c>
      <c r="BO908" s="2" t="s">
        <v>5</v>
      </c>
      <c r="BP908" s="2" t="s">
        <v>5</v>
      </c>
      <c r="BQ908" s="2" t="s">
        <v>5</v>
      </c>
      <c r="BR908" s="2" t="s">
        <v>5</v>
      </c>
      <c r="BS908" s="2" t="s">
        <v>5</v>
      </c>
      <c r="BT908" s="2" t="s">
        <v>5</v>
      </c>
      <c r="BU908" s="2" t="s">
        <v>5</v>
      </c>
      <c r="BV908" s="2" t="s">
        <v>5</v>
      </c>
      <c r="BW908" s="2" t="s">
        <v>5</v>
      </c>
      <c r="BX908" s="2" t="s">
        <v>5</v>
      </c>
      <c r="BY908" s="25" t="s">
        <v>5</v>
      </c>
      <c r="BZ908" s="25" t="s">
        <v>5</v>
      </c>
      <c r="CA908" s="6" t="s">
        <v>5</v>
      </c>
      <c r="CB908" s="6" t="s">
        <v>5</v>
      </c>
      <c r="CC908" s="6" t="s">
        <v>5</v>
      </c>
      <c r="CD908" s="6" t="s">
        <v>5</v>
      </c>
      <c r="CE908" s="6" t="s">
        <v>5</v>
      </c>
      <c r="CF908" s="16" t="s">
        <v>5</v>
      </c>
      <c r="CG908" s="16" t="s">
        <v>5</v>
      </c>
      <c r="CH908" s="18" t="s">
        <v>5</v>
      </c>
    </row>
    <row r="909" spans="2:86">
      <c r="B909" s="78" t="s">
        <v>473</v>
      </c>
      <c r="C909" s="79" t="s">
        <v>1009</v>
      </c>
      <c r="D909" s="80" t="s">
        <v>1009</v>
      </c>
      <c r="E909" s="1" t="s">
        <v>4</v>
      </c>
      <c r="F909" s="4">
        <v>43.8</v>
      </c>
      <c r="G909" s="4">
        <v>13</v>
      </c>
      <c r="H909" s="3" t="str">
        <f t="shared" si="33"/>
        <v>2L8X4X9/16SLBB</v>
      </c>
      <c r="I909" s="7">
        <v>4</v>
      </c>
      <c r="J909" s="5" t="s">
        <v>5</v>
      </c>
      <c r="K909" s="6" t="s">
        <v>5</v>
      </c>
      <c r="L909" s="6" t="s">
        <v>5</v>
      </c>
      <c r="M909" s="6" t="s">
        <v>5</v>
      </c>
      <c r="N909" s="6" t="s">
        <v>5</v>
      </c>
      <c r="O909" s="5" t="s">
        <v>5</v>
      </c>
      <c r="P909" s="5" t="s">
        <v>5</v>
      </c>
      <c r="Q909" s="7">
        <v>8</v>
      </c>
      <c r="R909" s="6" t="s">
        <v>5</v>
      </c>
      <c r="S909" s="6" t="s">
        <v>5</v>
      </c>
      <c r="T909" s="5" t="s">
        <v>5</v>
      </c>
      <c r="U909" s="8" t="s">
        <v>5</v>
      </c>
      <c r="V909" s="6" t="s">
        <v>5</v>
      </c>
      <c r="W909" s="8" t="s">
        <v>5</v>
      </c>
      <c r="X909" s="22">
        <v>0.56299999999999994</v>
      </c>
      <c r="Y909" s="6" t="s">
        <v>5</v>
      </c>
      <c r="Z909" s="6" t="s">
        <v>5</v>
      </c>
      <c r="AA909" s="6" t="s">
        <v>5</v>
      </c>
      <c r="AB909" s="8" t="s">
        <v>5</v>
      </c>
      <c r="AC909" s="8" t="s">
        <v>5</v>
      </c>
      <c r="AD909" s="6" t="s">
        <v>5</v>
      </c>
      <c r="AE909" s="22">
        <v>0.878</v>
      </c>
      <c r="AF909" s="6" t="s">
        <v>5</v>
      </c>
      <c r="AG909" s="6" t="s">
        <v>5</v>
      </c>
      <c r="AH909" s="22">
        <v>0.40600000000000003</v>
      </c>
      <c r="AI909" s="6" t="s">
        <v>5</v>
      </c>
      <c r="AJ909" s="4">
        <v>14.2</v>
      </c>
      <c r="AK909" s="6" t="s">
        <v>5</v>
      </c>
      <c r="AL909" s="6" t="s">
        <v>5</v>
      </c>
      <c r="AM909" s="6" t="s">
        <v>5</v>
      </c>
      <c r="AN909" s="6" t="s">
        <v>5</v>
      </c>
      <c r="AO909" s="4">
        <v>14.9</v>
      </c>
      <c r="AP909" s="7">
        <v>8.77</v>
      </c>
      <c r="AQ909" s="7">
        <v>4.7699999999999996</v>
      </c>
      <c r="AR909" s="7">
        <v>1.07</v>
      </c>
      <c r="AS909" s="6">
        <v>193</v>
      </c>
      <c r="AT909" s="6">
        <v>37.1</v>
      </c>
      <c r="AU909" s="6">
        <v>24.1</v>
      </c>
      <c r="AV909" s="7">
        <v>3.85</v>
      </c>
      <c r="AW909" s="6" t="s">
        <v>5</v>
      </c>
      <c r="AX909" s="6" t="s">
        <v>5</v>
      </c>
      <c r="AY909" s="6" t="s">
        <v>5</v>
      </c>
      <c r="AZ909" s="6" t="s">
        <v>5</v>
      </c>
      <c r="BA909" s="6" t="s">
        <v>5</v>
      </c>
      <c r="BB909" s="6" t="s">
        <v>5</v>
      </c>
      <c r="BC909" s="6" t="s">
        <v>5</v>
      </c>
      <c r="BD909" s="6" t="s">
        <v>5</v>
      </c>
      <c r="BE909" s="6" t="s">
        <v>5</v>
      </c>
      <c r="BF909" s="6" t="s">
        <v>5</v>
      </c>
      <c r="BG909" s="6" t="s">
        <v>5</v>
      </c>
      <c r="BH909" s="6" t="s">
        <v>5</v>
      </c>
      <c r="BI909" s="7">
        <v>4.04</v>
      </c>
      <c r="BJ909" s="22">
        <v>0.97799999999999998</v>
      </c>
      <c r="BK909" s="6" t="s">
        <v>5</v>
      </c>
      <c r="BL909" s="2" t="s">
        <v>5</v>
      </c>
      <c r="BM909" s="2" t="s">
        <v>5</v>
      </c>
      <c r="BN909" s="2" t="s">
        <v>5</v>
      </c>
      <c r="BO909" s="2" t="s">
        <v>5</v>
      </c>
      <c r="BP909" s="2" t="s">
        <v>5</v>
      </c>
      <c r="BQ909" s="2" t="s">
        <v>5</v>
      </c>
      <c r="BR909" s="2" t="s">
        <v>5</v>
      </c>
      <c r="BS909" s="2" t="s">
        <v>5</v>
      </c>
      <c r="BT909" s="2" t="s">
        <v>5</v>
      </c>
      <c r="BU909" s="2" t="s">
        <v>5</v>
      </c>
      <c r="BV909" s="2" t="s">
        <v>5</v>
      </c>
      <c r="BW909" s="2" t="s">
        <v>5</v>
      </c>
      <c r="BX909" s="2" t="s">
        <v>5</v>
      </c>
      <c r="BY909" s="25" t="s">
        <v>5</v>
      </c>
      <c r="BZ909" s="25" t="s">
        <v>5</v>
      </c>
      <c r="CA909" s="6" t="s">
        <v>5</v>
      </c>
      <c r="CB909" s="6" t="s">
        <v>5</v>
      </c>
      <c r="CC909" s="6" t="s">
        <v>5</v>
      </c>
      <c r="CD909" s="6" t="s">
        <v>5</v>
      </c>
      <c r="CE909" s="6" t="s">
        <v>5</v>
      </c>
      <c r="CF909" s="16" t="s">
        <v>5</v>
      </c>
      <c r="CG909" s="16" t="s">
        <v>5</v>
      </c>
      <c r="CH909" s="18" t="s">
        <v>5</v>
      </c>
    </row>
    <row r="910" spans="2:86">
      <c r="B910" s="78" t="s">
        <v>473</v>
      </c>
      <c r="C910" s="79" t="s">
        <v>1010</v>
      </c>
      <c r="D910" s="80" t="s">
        <v>1010</v>
      </c>
      <c r="E910" s="1" t="s">
        <v>4</v>
      </c>
      <c r="F910" s="4">
        <v>43.8</v>
      </c>
      <c r="G910" s="4">
        <v>13</v>
      </c>
      <c r="H910" s="3" t="str">
        <f t="shared" si="33"/>
        <v>2L8X4X9/16X3/8SLBB</v>
      </c>
      <c r="I910" s="7">
        <v>4</v>
      </c>
      <c r="J910" s="5" t="s">
        <v>5</v>
      </c>
      <c r="K910" s="6" t="s">
        <v>5</v>
      </c>
      <c r="L910" s="6" t="s">
        <v>5</v>
      </c>
      <c r="M910" s="6" t="s">
        <v>5</v>
      </c>
      <c r="N910" s="6" t="s">
        <v>5</v>
      </c>
      <c r="O910" s="5" t="s">
        <v>5</v>
      </c>
      <c r="P910" s="5" t="s">
        <v>5</v>
      </c>
      <c r="Q910" s="7">
        <v>8</v>
      </c>
      <c r="R910" s="6" t="s">
        <v>5</v>
      </c>
      <c r="S910" s="6" t="s">
        <v>5</v>
      </c>
      <c r="T910" s="5" t="s">
        <v>5</v>
      </c>
      <c r="U910" s="8" t="s">
        <v>5</v>
      </c>
      <c r="V910" s="6" t="s">
        <v>5</v>
      </c>
      <c r="W910" s="8" t="s">
        <v>5</v>
      </c>
      <c r="X910" s="22">
        <v>0.56299999999999994</v>
      </c>
      <c r="Y910" s="6" t="s">
        <v>5</v>
      </c>
      <c r="Z910" s="6" t="s">
        <v>5</v>
      </c>
      <c r="AA910" s="6" t="s">
        <v>5</v>
      </c>
      <c r="AB910" s="8" t="s">
        <v>5</v>
      </c>
      <c r="AC910" s="8" t="s">
        <v>5</v>
      </c>
      <c r="AD910" s="6" t="s">
        <v>5</v>
      </c>
      <c r="AE910" s="22">
        <v>0.878</v>
      </c>
      <c r="AF910" s="6" t="s">
        <v>5</v>
      </c>
      <c r="AG910" s="6" t="s">
        <v>5</v>
      </c>
      <c r="AH910" s="22">
        <v>0.40600000000000003</v>
      </c>
      <c r="AI910" s="6" t="s">
        <v>5</v>
      </c>
      <c r="AJ910" s="4">
        <v>14.2</v>
      </c>
      <c r="AK910" s="6" t="s">
        <v>5</v>
      </c>
      <c r="AL910" s="6" t="s">
        <v>5</v>
      </c>
      <c r="AM910" s="6" t="s">
        <v>5</v>
      </c>
      <c r="AN910" s="6" t="s">
        <v>5</v>
      </c>
      <c r="AO910" s="4">
        <v>14.9</v>
      </c>
      <c r="AP910" s="7">
        <v>8.77</v>
      </c>
      <c r="AQ910" s="7">
        <v>4.7699999999999996</v>
      </c>
      <c r="AR910" s="7">
        <v>1.07</v>
      </c>
      <c r="AS910" s="6">
        <v>207</v>
      </c>
      <c r="AT910" s="6">
        <v>39.6</v>
      </c>
      <c r="AU910" s="6">
        <v>25.3</v>
      </c>
      <c r="AV910" s="7">
        <v>3.99</v>
      </c>
      <c r="AW910" s="6" t="s">
        <v>5</v>
      </c>
      <c r="AX910" s="6" t="s">
        <v>5</v>
      </c>
      <c r="AY910" s="6" t="s">
        <v>5</v>
      </c>
      <c r="AZ910" s="6" t="s">
        <v>5</v>
      </c>
      <c r="BA910" s="6" t="s">
        <v>5</v>
      </c>
      <c r="BB910" s="6" t="s">
        <v>5</v>
      </c>
      <c r="BC910" s="6" t="s">
        <v>5</v>
      </c>
      <c r="BD910" s="6" t="s">
        <v>5</v>
      </c>
      <c r="BE910" s="6" t="s">
        <v>5</v>
      </c>
      <c r="BF910" s="6" t="s">
        <v>5</v>
      </c>
      <c r="BG910" s="6" t="s">
        <v>5</v>
      </c>
      <c r="BH910" s="6" t="s">
        <v>5</v>
      </c>
      <c r="BI910" s="7">
        <v>4.17</v>
      </c>
      <c r="BJ910" s="22">
        <v>0.98</v>
      </c>
      <c r="BK910" s="6" t="s">
        <v>5</v>
      </c>
      <c r="BL910" s="2" t="s">
        <v>5</v>
      </c>
      <c r="BM910" s="2" t="s">
        <v>5</v>
      </c>
      <c r="BN910" s="2" t="s">
        <v>5</v>
      </c>
      <c r="BO910" s="2" t="s">
        <v>5</v>
      </c>
      <c r="BP910" s="2" t="s">
        <v>5</v>
      </c>
      <c r="BQ910" s="2" t="s">
        <v>5</v>
      </c>
      <c r="BR910" s="2" t="s">
        <v>5</v>
      </c>
      <c r="BS910" s="2" t="s">
        <v>5</v>
      </c>
      <c r="BT910" s="2" t="s">
        <v>5</v>
      </c>
      <c r="BU910" s="2" t="s">
        <v>5</v>
      </c>
      <c r="BV910" s="2" t="s">
        <v>5</v>
      </c>
      <c r="BW910" s="2" t="s">
        <v>5</v>
      </c>
      <c r="BX910" s="2" t="s">
        <v>5</v>
      </c>
      <c r="BY910" s="25" t="s">
        <v>5</v>
      </c>
      <c r="BZ910" s="25" t="s">
        <v>5</v>
      </c>
      <c r="CA910" s="6" t="s">
        <v>5</v>
      </c>
      <c r="CB910" s="6" t="s">
        <v>5</v>
      </c>
      <c r="CC910" s="6" t="s">
        <v>5</v>
      </c>
      <c r="CD910" s="6" t="s">
        <v>5</v>
      </c>
      <c r="CE910" s="6" t="s">
        <v>5</v>
      </c>
      <c r="CF910" s="16" t="s">
        <v>5</v>
      </c>
      <c r="CG910" s="16" t="s">
        <v>5</v>
      </c>
      <c r="CH910" s="18" t="s">
        <v>5</v>
      </c>
    </row>
    <row r="911" spans="2:86">
      <c r="B911" s="78" t="s">
        <v>473</v>
      </c>
      <c r="C911" s="79" t="s">
        <v>1011</v>
      </c>
      <c r="D911" s="80" t="s">
        <v>1011</v>
      </c>
      <c r="E911" s="1" t="s">
        <v>4</v>
      </c>
      <c r="F911" s="4">
        <v>43.8</v>
      </c>
      <c r="G911" s="4">
        <v>13</v>
      </c>
      <c r="H911" s="3" t="str">
        <f t="shared" si="33"/>
        <v>2L8X4X9/16X3/4SLBB</v>
      </c>
      <c r="I911" s="7">
        <v>4</v>
      </c>
      <c r="J911" s="5" t="s">
        <v>5</v>
      </c>
      <c r="K911" s="6" t="s">
        <v>5</v>
      </c>
      <c r="L911" s="6" t="s">
        <v>5</v>
      </c>
      <c r="M911" s="6" t="s">
        <v>5</v>
      </c>
      <c r="N911" s="6" t="s">
        <v>5</v>
      </c>
      <c r="O911" s="5" t="s">
        <v>5</v>
      </c>
      <c r="P911" s="5" t="s">
        <v>5</v>
      </c>
      <c r="Q911" s="7">
        <v>8</v>
      </c>
      <c r="R911" s="6" t="s">
        <v>5</v>
      </c>
      <c r="S911" s="6" t="s">
        <v>5</v>
      </c>
      <c r="T911" s="5" t="s">
        <v>5</v>
      </c>
      <c r="U911" s="8" t="s">
        <v>5</v>
      </c>
      <c r="V911" s="6" t="s">
        <v>5</v>
      </c>
      <c r="W911" s="8" t="s">
        <v>5</v>
      </c>
      <c r="X911" s="22">
        <v>0.56299999999999994</v>
      </c>
      <c r="Y911" s="6" t="s">
        <v>5</v>
      </c>
      <c r="Z911" s="6" t="s">
        <v>5</v>
      </c>
      <c r="AA911" s="6" t="s">
        <v>5</v>
      </c>
      <c r="AB911" s="8" t="s">
        <v>5</v>
      </c>
      <c r="AC911" s="8" t="s">
        <v>5</v>
      </c>
      <c r="AD911" s="6" t="s">
        <v>5</v>
      </c>
      <c r="AE911" s="22">
        <v>0.878</v>
      </c>
      <c r="AF911" s="6" t="s">
        <v>5</v>
      </c>
      <c r="AG911" s="6" t="s">
        <v>5</v>
      </c>
      <c r="AH911" s="22">
        <v>0.40600000000000003</v>
      </c>
      <c r="AI911" s="6" t="s">
        <v>5</v>
      </c>
      <c r="AJ911" s="4">
        <v>14.2</v>
      </c>
      <c r="AK911" s="6" t="s">
        <v>5</v>
      </c>
      <c r="AL911" s="6" t="s">
        <v>5</v>
      </c>
      <c r="AM911" s="6" t="s">
        <v>5</v>
      </c>
      <c r="AN911" s="6" t="s">
        <v>5</v>
      </c>
      <c r="AO911" s="4">
        <v>14.9</v>
      </c>
      <c r="AP911" s="7">
        <v>8.77</v>
      </c>
      <c r="AQ911" s="7">
        <v>4.7699999999999996</v>
      </c>
      <c r="AR911" s="7">
        <v>1.07</v>
      </c>
      <c r="AS911" s="6">
        <v>222</v>
      </c>
      <c r="AT911" s="4">
        <v>42</v>
      </c>
      <c r="AU911" s="6">
        <v>26.5</v>
      </c>
      <c r="AV911" s="7">
        <v>4.13</v>
      </c>
      <c r="AW911" s="6" t="s">
        <v>5</v>
      </c>
      <c r="AX911" s="6" t="s">
        <v>5</v>
      </c>
      <c r="AY911" s="6" t="s">
        <v>5</v>
      </c>
      <c r="AZ911" s="6" t="s">
        <v>5</v>
      </c>
      <c r="BA911" s="6" t="s">
        <v>5</v>
      </c>
      <c r="BB911" s="6" t="s">
        <v>5</v>
      </c>
      <c r="BC911" s="6" t="s">
        <v>5</v>
      </c>
      <c r="BD911" s="6" t="s">
        <v>5</v>
      </c>
      <c r="BE911" s="6" t="s">
        <v>5</v>
      </c>
      <c r="BF911" s="6" t="s">
        <v>5</v>
      </c>
      <c r="BG911" s="6" t="s">
        <v>5</v>
      </c>
      <c r="BH911" s="6" t="s">
        <v>5</v>
      </c>
      <c r="BI911" s="7">
        <v>4.3099999999999996</v>
      </c>
      <c r="BJ911" s="22">
        <v>0.98099999999999998</v>
      </c>
      <c r="BK911" s="6" t="s">
        <v>5</v>
      </c>
      <c r="BL911" s="2" t="s">
        <v>5</v>
      </c>
      <c r="BM911" s="2" t="s">
        <v>5</v>
      </c>
      <c r="BN911" s="2" t="s">
        <v>5</v>
      </c>
      <c r="BO911" s="2" t="s">
        <v>5</v>
      </c>
      <c r="BP911" s="2" t="s">
        <v>5</v>
      </c>
      <c r="BQ911" s="2" t="s">
        <v>5</v>
      </c>
      <c r="BR911" s="2" t="s">
        <v>5</v>
      </c>
      <c r="BS911" s="2" t="s">
        <v>5</v>
      </c>
      <c r="BT911" s="2" t="s">
        <v>5</v>
      </c>
      <c r="BU911" s="2" t="s">
        <v>5</v>
      </c>
      <c r="BV911" s="2" t="s">
        <v>5</v>
      </c>
      <c r="BW911" s="2" t="s">
        <v>5</v>
      </c>
      <c r="BX911" s="2" t="s">
        <v>5</v>
      </c>
      <c r="BY911" s="25" t="s">
        <v>5</v>
      </c>
      <c r="BZ911" s="25" t="s">
        <v>5</v>
      </c>
      <c r="CA911" s="6" t="s">
        <v>5</v>
      </c>
      <c r="CB911" s="6" t="s">
        <v>5</v>
      </c>
      <c r="CC911" s="6" t="s">
        <v>5</v>
      </c>
      <c r="CD911" s="6" t="s">
        <v>5</v>
      </c>
      <c r="CE911" s="6" t="s">
        <v>5</v>
      </c>
      <c r="CF911" s="16" t="s">
        <v>5</v>
      </c>
      <c r="CG911" s="16" t="s">
        <v>5</v>
      </c>
      <c r="CH911" s="18" t="s">
        <v>5</v>
      </c>
    </row>
    <row r="912" spans="2:86">
      <c r="B912" s="78" t="s">
        <v>473</v>
      </c>
      <c r="C912" s="79" t="s">
        <v>1012</v>
      </c>
      <c r="D912" s="80" t="s">
        <v>1012</v>
      </c>
      <c r="E912" s="1" t="s">
        <v>4</v>
      </c>
      <c r="F912" s="4">
        <v>39.200000000000003</v>
      </c>
      <c r="G912" s="4">
        <v>11.6</v>
      </c>
      <c r="H912" s="3" t="str">
        <f t="shared" si="33"/>
        <v>2L8X4X1/2SLBB</v>
      </c>
      <c r="I912" s="7">
        <v>4</v>
      </c>
      <c r="J912" s="5" t="s">
        <v>5</v>
      </c>
      <c r="K912" s="6" t="s">
        <v>5</v>
      </c>
      <c r="L912" s="6" t="s">
        <v>5</v>
      </c>
      <c r="M912" s="6" t="s">
        <v>5</v>
      </c>
      <c r="N912" s="6" t="s">
        <v>5</v>
      </c>
      <c r="O912" s="5" t="s">
        <v>5</v>
      </c>
      <c r="P912" s="5" t="s">
        <v>5</v>
      </c>
      <c r="Q912" s="7">
        <v>8</v>
      </c>
      <c r="R912" s="6" t="s">
        <v>5</v>
      </c>
      <c r="S912" s="6" t="s">
        <v>5</v>
      </c>
      <c r="T912" s="5" t="s">
        <v>5</v>
      </c>
      <c r="U912" s="8" t="s">
        <v>5</v>
      </c>
      <c r="V912" s="6" t="s">
        <v>5</v>
      </c>
      <c r="W912" s="8" t="s">
        <v>5</v>
      </c>
      <c r="X912" s="22">
        <v>0.5</v>
      </c>
      <c r="Y912" s="6" t="s">
        <v>5</v>
      </c>
      <c r="Z912" s="6" t="s">
        <v>5</v>
      </c>
      <c r="AA912" s="6" t="s">
        <v>5</v>
      </c>
      <c r="AB912" s="8" t="s">
        <v>5</v>
      </c>
      <c r="AC912" s="8" t="s">
        <v>5</v>
      </c>
      <c r="AD912" s="6" t="s">
        <v>5</v>
      </c>
      <c r="AE912" s="22">
        <v>0.85399999999999998</v>
      </c>
      <c r="AF912" s="6" t="s">
        <v>5</v>
      </c>
      <c r="AG912" s="6" t="s">
        <v>5</v>
      </c>
      <c r="AH912" s="22">
        <v>0.36299999999999999</v>
      </c>
      <c r="AI912" s="6" t="s">
        <v>5</v>
      </c>
      <c r="AJ912" s="4">
        <v>16</v>
      </c>
      <c r="AK912" s="6" t="s">
        <v>5</v>
      </c>
      <c r="AL912" s="6" t="s">
        <v>5</v>
      </c>
      <c r="AM912" s="6" t="s">
        <v>5</v>
      </c>
      <c r="AN912" s="6" t="s">
        <v>5</v>
      </c>
      <c r="AO912" s="4">
        <v>13.5</v>
      </c>
      <c r="AP912" s="7">
        <v>7.81</v>
      </c>
      <c r="AQ912" s="7">
        <v>4.29</v>
      </c>
      <c r="AR912" s="7">
        <v>1.08</v>
      </c>
      <c r="AS912" s="6">
        <v>170</v>
      </c>
      <c r="AT912" s="6">
        <v>32.9</v>
      </c>
      <c r="AU912" s="6">
        <v>21.2</v>
      </c>
      <c r="AV912" s="7">
        <v>3.83</v>
      </c>
      <c r="AW912" s="6" t="s">
        <v>5</v>
      </c>
      <c r="AX912" s="6" t="s">
        <v>5</v>
      </c>
      <c r="AY912" s="6" t="s">
        <v>5</v>
      </c>
      <c r="AZ912" s="6" t="s">
        <v>5</v>
      </c>
      <c r="BA912" s="6" t="s">
        <v>5</v>
      </c>
      <c r="BB912" s="6" t="s">
        <v>5</v>
      </c>
      <c r="BC912" s="6" t="s">
        <v>5</v>
      </c>
      <c r="BD912" s="6" t="s">
        <v>5</v>
      </c>
      <c r="BE912" s="6" t="s">
        <v>5</v>
      </c>
      <c r="BF912" s="6" t="s">
        <v>5</v>
      </c>
      <c r="BG912" s="6" t="s">
        <v>5</v>
      </c>
      <c r="BH912" s="6" t="s">
        <v>5</v>
      </c>
      <c r="BI912" s="7">
        <v>4.03</v>
      </c>
      <c r="BJ912" s="22">
        <v>0.97799999999999998</v>
      </c>
      <c r="BK912" s="6" t="s">
        <v>5</v>
      </c>
      <c r="BL912" s="2" t="s">
        <v>5</v>
      </c>
      <c r="BM912" s="2" t="s">
        <v>5</v>
      </c>
      <c r="BN912" s="2" t="s">
        <v>5</v>
      </c>
      <c r="BO912" s="2" t="s">
        <v>5</v>
      </c>
      <c r="BP912" s="2" t="s">
        <v>5</v>
      </c>
      <c r="BQ912" s="2" t="s">
        <v>5</v>
      </c>
      <c r="BR912" s="2" t="s">
        <v>5</v>
      </c>
      <c r="BS912" s="2" t="s">
        <v>5</v>
      </c>
      <c r="BT912" s="2" t="s">
        <v>5</v>
      </c>
      <c r="BU912" s="2" t="s">
        <v>5</v>
      </c>
      <c r="BV912" s="2" t="s">
        <v>5</v>
      </c>
      <c r="BW912" s="2" t="s">
        <v>5</v>
      </c>
      <c r="BX912" s="2" t="s">
        <v>5</v>
      </c>
      <c r="BY912" s="25" t="s">
        <v>5</v>
      </c>
      <c r="BZ912" s="25" t="s">
        <v>5</v>
      </c>
      <c r="CA912" s="6" t="s">
        <v>5</v>
      </c>
      <c r="CB912" s="6" t="s">
        <v>5</v>
      </c>
      <c r="CC912" s="6" t="s">
        <v>5</v>
      </c>
      <c r="CD912" s="6" t="s">
        <v>5</v>
      </c>
      <c r="CE912" s="6" t="s">
        <v>5</v>
      </c>
      <c r="CF912" s="16" t="s">
        <v>5</v>
      </c>
      <c r="CG912" s="16" t="s">
        <v>5</v>
      </c>
      <c r="CH912" s="18" t="s">
        <v>5</v>
      </c>
    </row>
    <row r="913" spans="2:86">
      <c r="B913" s="78" t="s">
        <v>473</v>
      </c>
      <c r="C913" s="79" t="s">
        <v>1013</v>
      </c>
      <c r="D913" s="80" t="s">
        <v>1013</v>
      </c>
      <c r="E913" s="1" t="s">
        <v>4</v>
      </c>
      <c r="F913" s="4">
        <v>39.200000000000003</v>
      </c>
      <c r="G913" s="4">
        <v>11.6</v>
      </c>
      <c r="H913" s="3" t="str">
        <f t="shared" si="33"/>
        <v>2L8X4X1/2X3/8SLBB</v>
      </c>
      <c r="I913" s="7">
        <v>4</v>
      </c>
      <c r="J913" s="5" t="s">
        <v>5</v>
      </c>
      <c r="K913" s="6" t="s">
        <v>5</v>
      </c>
      <c r="L913" s="6" t="s">
        <v>5</v>
      </c>
      <c r="M913" s="6" t="s">
        <v>5</v>
      </c>
      <c r="N913" s="6" t="s">
        <v>5</v>
      </c>
      <c r="O913" s="5" t="s">
        <v>5</v>
      </c>
      <c r="P913" s="5" t="s">
        <v>5</v>
      </c>
      <c r="Q913" s="7">
        <v>8</v>
      </c>
      <c r="R913" s="6" t="s">
        <v>5</v>
      </c>
      <c r="S913" s="6" t="s">
        <v>5</v>
      </c>
      <c r="T913" s="5" t="s">
        <v>5</v>
      </c>
      <c r="U913" s="8" t="s">
        <v>5</v>
      </c>
      <c r="V913" s="6" t="s">
        <v>5</v>
      </c>
      <c r="W913" s="8" t="s">
        <v>5</v>
      </c>
      <c r="X913" s="22">
        <v>0.5</v>
      </c>
      <c r="Y913" s="6" t="s">
        <v>5</v>
      </c>
      <c r="Z913" s="6" t="s">
        <v>5</v>
      </c>
      <c r="AA913" s="6" t="s">
        <v>5</v>
      </c>
      <c r="AB913" s="8" t="s">
        <v>5</v>
      </c>
      <c r="AC913" s="8" t="s">
        <v>5</v>
      </c>
      <c r="AD913" s="6" t="s">
        <v>5</v>
      </c>
      <c r="AE913" s="22">
        <v>0.85399999999999998</v>
      </c>
      <c r="AF913" s="6" t="s">
        <v>5</v>
      </c>
      <c r="AG913" s="6" t="s">
        <v>5</v>
      </c>
      <c r="AH913" s="22">
        <v>0.36299999999999999</v>
      </c>
      <c r="AI913" s="6" t="s">
        <v>5</v>
      </c>
      <c r="AJ913" s="4">
        <v>16</v>
      </c>
      <c r="AK913" s="6" t="s">
        <v>5</v>
      </c>
      <c r="AL913" s="6" t="s">
        <v>5</v>
      </c>
      <c r="AM913" s="6" t="s">
        <v>5</v>
      </c>
      <c r="AN913" s="6" t="s">
        <v>5</v>
      </c>
      <c r="AO913" s="4">
        <v>13.5</v>
      </c>
      <c r="AP913" s="7">
        <v>7.81</v>
      </c>
      <c r="AQ913" s="7">
        <v>4.29</v>
      </c>
      <c r="AR913" s="7">
        <v>1.08</v>
      </c>
      <c r="AS913" s="6">
        <v>183</v>
      </c>
      <c r="AT913" s="6">
        <v>35.1</v>
      </c>
      <c r="AU913" s="6">
        <v>22.4</v>
      </c>
      <c r="AV913" s="7">
        <v>3.97</v>
      </c>
      <c r="AW913" s="6" t="s">
        <v>5</v>
      </c>
      <c r="AX913" s="6" t="s">
        <v>5</v>
      </c>
      <c r="AY913" s="6" t="s">
        <v>5</v>
      </c>
      <c r="AZ913" s="6" t="s">
        <v>5</v>
      </c>
      <c r="BA913" s="6" t="s">
        <v>5</v>
      </c>
      <c r="BB913" s="6" t="s">
        <v>5</v>
      </c>
      <c r="BC913" s="6" t="s">
        <v>5</v>
      </c>
      <c r="BD913" s="6" t="s">
        <v>5</v>
      </c>
      <c r="BE913" s="6" t="s">
        <v>5</v>
      </c>
      <c r="BF913" s="6" t="s">
        <v>5</v>
      </c>
      <c r="BG913" s="6" t="s">
        <v>5</v>
      </c>
      <c r="BH913" s="6" t="s">
        <v>5</v>
      </c>
      <c r="BI913" s="7">
        <v>4.16</v>
      </c>
      <c r="BJ913" s="22">
        <v>0.97899999999999998</v>
      </c>
      <c r="BK913" s="6" t="s">
        <v>5</v>
      </c>
      <c r="BL913" s="2" t="s">
        <v>5</v>
      </c>
      <c r="BM913" s="2" t="s">
        <v>5</v>
      </c>
      <c r="BN913" s="2" t="s">
        <v>5</v>
      </c>
      <c r="BO913" s="2" t="s">
        <v>5</v>
      </c>
      <c r="BP913" s="2" t="s">
        <v>5</v>
      </c>
      <c r="BQ913" s="2" t="s">
        <v>5</v>
      </c>
      <c r="BR913" s="2" t="s">
        <v>5</v>
      </c>
      <c r="BS913" s="2" t="s">
        <v>5</v>
      </c>
      <c r="BT913" s="2" t="s">
        <v>5</v>
      </c>
      <c r="BU913" s="2" t="s">
        <v>5</v>
      </c>
      <c r="BV913" s="2" t="s">
        <v>5</v>
      </c>
      <c r="BW913" s="2" t="s">
        <v>5</v>
      </c>
      <c r="BX913" s="2" t="s">
        <v>5</v>
      </c>
      <c r="BY913" s="25" t="s">
        <v>5</v>
      </c>
      <c r="BZ913" s="25" t="s">
        <v>5</v>
      </c>
      <c r="CA913" s="6" t="s">
        <v>5</v>
      </c>
      <c r="CB913" s="6" t="s">
        <v>5</v>
      </c>
      <c r="CC913" s="6" t="s">
        <v>5</v>
      </c>
      <c r="CD913" s="6" t="s">
        <v>5</v>
      </c>
      <c r="CE913" s="6" t="s">
        <v>5</v>
      </c>
      <c r="CF913" s="16" t="s">
        <v>5</v>
      </c>
      <c r="CG913" s="16" t="s">
        <v>5</v>
      </c>
      <c r="CH913" s="18" t="s">
        <v>5</v>
      </c>
    </row>
    <row r="914" spans="2:86">
      <c r="B914" s="78" t="s">
        <v>473</v>
      </c>
      <c r="C914" s="79" t="s">
        <v>1014</v>
      </c>
      <c r="D914" s="80" t="s">
        <v>1014</v>
      </c>
      <c r="E914" s="1" t="s">
        <v>4</v>
      </c>
      <c r="F914" s="4">
        <v>39.200000000000003</v>
      </c>
      <c r="G914" s="4">
        <v>11.6</v>
      </c>
      <c r="H914" s="3" t="str">
        <f t="shared" si="33"/>
        <v>2L8X4X1/2X3/4SLBB</v>
      </c>
      <c r="I914" s="7">
        <v>4</v>
      </c>
      <c r="J914" s="5" t="s">
        <v>5</v>
      </c>
      <c r="K914" s="6" t="s">
        <v>5</v>
      </c>
      <c r="L914" s="6" t="s">
        <v>5</v>
      </c>
      <c r="M914" s="6" t="s">
        <v>5</v>
      </c>
      <c r="N914" s="6" t="s">
        <v>5</v>
      </c>
      <c r="O914" s="5" t="s">
        <v>5</v>
      </c>
      <c r="P914" s="5" t="s">
        <v>5</v>
      </c>
      <c r="Q914" s="7">
        <v>8</v>
      </c>
      <c r="R914" s="6" t="s">
        <v>5</v>
      </c>
      <c r="S914" s="6" t="s">
        <v>5</v>
      </c>
      <c r="T914" s="5" t="s">
        <v>5</v>
      </c>
      <c r="U914" s="8" t="s">
        <v>5</v>
      </c>
      <c r="V914" s="6" t="s">
        <v>5</v>
      </c>
      <c r="W914" s="8" t="s">
        <v>5</v>
      </c>
      <c r="X914" s="22">
        <v>0.5</v>
      </c>
      <c r="Y914" s="6" t="s">
        <v>5</v>
      </c>
      <c r="Z914" s="6" t="s">
        <v>5</v>
      </c>
      <c r="AA914" s="6" t="s">
        <v>5</v>
      </c>
      <c r="AB914" s="8" t="s">
        <v>5</v>
      </c>
      <c r="AC914" s="8" t="s">
        <v>5</v>
      </c>
      <c r="AD914" s="6" t="s">
        <v>5</v>
      </c>
      <c r="AE914" s="22">
        <v>0.85399999999999998</v>
      </c>
      <c r="AF914" s="6" t="s">
        <v>5</v>
      </c>
      <c r="AG914" s="6" t="s">
        <v>5</v>
      </c>
      <c r="AH914" s="22">
        <v>0.36299999999999999</v>
      </c>
      <c r="AI914" s="6" t="s">
        <v>5</v>
      </c>
      <c r="AJ914" s="4">
        <v>16</v>
      </c>
      <c r="AK914" s="6" t="s">
        <v>5</v>
      </c>
      <c r="AL914" s="6" t="s">
        <v>5</v>
      </c>
      <c r="AM914" s="6" t="s">
        <v>5</v>
      </c>
      <c r="AN914" s="6" t="s">
        <v>5</v>
      </c>
      <c r="AO914" s="4">
        <v>13.5</v>
      </c>
      <c r="AP914" s="7">
        <v>7.81</v>
      </c>
      <c r="AQ914" s="7">
        <v>4.29</v>
      </c>
      <c r="AR914" s="7">
        <v>1.08</v>
      </c>
      <c r="AS914" s="6">
        <v>197</v>
      </c>
      <c r="AT914" s="6">
        <v>37.299999999999997</v>
      </c>
      <c r="AU914" s="6">
        <v>23.5</v>
      </c>
      <c r="AV914" s="7">
        <v>4.12</v>
      </c>
      <c r="AW914" s="6" t="s">
        <v>5</v>
      </c>
      <c r="AX914" s="6" t="s">
        <v>5</v>
      </c>
      <c r="AY914" s="6" t="s">
        <v>5</v>
      </c>
      <c r="AZ914" s="6" t="s">
        <v>5</v>
      </c>
      <c r="BA914" s="6" t="s">
        <v>5</v>
      </c>
      <c r="BB914" s="6" t="s">
        <v>5</v>
      </c>
      <c r="BC914" s="6" t="s">
        <v>5</v>
      </c>
      <c r="BD914" s="6" t="s">
        <v>5</v>
      </c>
      <c r="BE914" s="6" t="s">
        <v>5</v>
      </c>
      <c r="BF914" s="6" t="s">
        <v>5</v>
      </c>
      <c r="BG914" s="6" t="s">
        <v>5</v>
      </c>
      <c r="BH914" s="6" t="s">
        <v>5</v>
      </c>
      <c r="BI914" s="7">
        <v>4.3</v>
      </c>
      <c r="BJ914" s="22">
        <v>0.98</v>
      </c>
      <c r="BK914" s="6" t="s">
        <v>5</v>
      </c>
      <c r="BL914" s="2" t="s">
        <v>5</v>
      </c>
      <c r="BM914" s="2" t="s">
        <v>5</v>
      </c>
      <c r="BN914" s="2" t="s">
        <v>5</v>
      </c>
      <c r="BO914" s="2" t="s">
        <v>5</v>
      </c>
      <c r="BP914" s="2" t="s">
        <v>5</v>
      </c>
      <c r="BQ914" s="2" t="s">
        <v>5</v>
      </c>
      <c r="BR914" s="2" t="s">
        <v>5</v>
      </c>
      <c r="BS914" s="2" t="s">
        <v>5</v>
      </c>
      <c r="BT914" s="2" t="s">
        <v>5</v>
      </c>
      <c r="BU914" s="2" t="s">
        <v>5</v>
      </c>
      <c r="BV914" s="2" t="s">
        <v>5</v>
      </c>
      <c r="BW914" s="2" t="s">
        <v>5</v>
      </c>
      <c r="BX914" s="2" t="s">
        <v>5</v>
      </c>
      <c r="BY914" s="25" t="s">
        <v>5</v>
      </c>
      <c r="BZ914" s="25" t="s">
        <v>5</v>
      </c>
      <c r="CA914" s="6" t="s">
        <v>5</v>
      </c>
      <c r="CB914" s="6" t="s">
        <v>5</v>
      </c>
      <c r="CC914" s="6" t="s">
        <v>5</v>
      </c>
      <c r="CD914" s="6" t="s">
        <v>5</v>
      </c>
      <c r="CE914" s="6" t="s">
        <v>5</v>
      </c>
      <c r="CF914" s="16" t="s">
        <v>5</v>
      </c>
      <c r="CG914" s="16" t="s">
        <v>5</v>
      </c>
      <c r="CH914" s="18" t="s">
        <v>5</v>
      </c>
    </row>
    <row r="915" spans="2:86">
      <c r="B915" s="78" t="s">
        <v>473</v>
      </c>
      <c r="C915" s="79" t="s">
        <v>1015</v>
      </c>
      <c r="D915" s="80" t="s">
        <v>1015</v>
      </c>
      <c r="E915" s="1" t="s">
        <v>4</v>
      </c>
      <c r="F915" s="4">
        <v>34.4</v>
      </c>
      <c r="G915" s="4">
        <v>10.199999999999999</v>
      </c>
      <c r="H915" s="3" t="str">
        <f t="shared" si="33"/>
        <v>2L8X4X7/16SLBB</v>
      </c>
      <c r="I915" s="7">
        <v>4</v>
      </c>
      <c r="J915" s="5" t="s">
        <v>5</v>
      </c>
      <c r="K915" s="6" t="s">
        <v>5</v>
      </c>
      <c r="L915" s="6" t="s">
        <v>5</v>
      </c>
      <c r="M915" s="6" t="s">
        <v>5</v>
      </c>
      <c r="N915" s="6" t="s">
        <v>5</v>
      </c>
      <c r="O915" s="5" t="s">
        <v>5</v>
      </c>
      <c r="P915" s="5" t="s">
        <v>5</v>
      </c>
      <c r="Q915" s="7">
        <v>8</v>
      </c>
      <c r="R915" s="6" t="s">
        <v>5</v>
      </c>
      <c r="S915" s="6" t="s">
        <v>5</v>
      </c>
      <c r="T915" s="5" t="s">
        <v>5</v>
      </c>
      <c r="U915" s="8" t="s">
        <v>5</v>
      </c>
      <c r="V915" s="6" t="s">
        <v>5</v>
      </c>
      <c r="W915" s="8" t="s">
        <v>5</v>
      </c>
      <c r="X915" s="22">
        <v>0.438</v>
      </c>
      <c r="Y915" s="6" t="s">
        <v>5</v>
      </c>
      <c r="Z915" s="6" t="s">
        <v>5</v>
      </c>
      <c r="AA915" s="6" t="s">
        <v>5</v>
      </c>
      <c r="AB915" s="8" t="s">
        <v>5</v>
      </c>
      <c r="AC915" s="8" t="s">
        <v>5</v>
      </c>
      <c r="AD915" s="6" t="s">
        <v>5</v>
      </c>
      <c r="AE915" s="22">
        <v>0.82899999999999996</v>
      </c>
      <c r="AF915" s="6" t="s">
        <v>5</v>
      </c>
      <c r="AG915" s="6" t="s">
        <v>5</v>
      </c>
      <c r="AH915" s="22">
        <v>0.31900000000000001</v>
      </c>
      <c r="AI915" s="6" t="s">
        <v>5</v>
      </c>
      <c r="AJ915" s="4">
        <v>18.3</v>
      </c>
      <c r="AK915" s="6" t="s">
        <v>5</v>
      </c>
      <c r="AL915" s="6" t="s">
        <v>5</v>
      </c>
      <c r="AM915" s="6" t="s">
        <v>5</v>
      </c>
      <c r="AN915" s="6" t="s">
        <v>5</v>
      </c>
      <c r="AO915" s="4">
        <v>12.1</v>
      </c>
      <c r="AP915" s="7">
        <v>6.85</v>
      </c>
      <c r="AQ915" s="7">
        <v>3.81</v>
      </c>
      <c r="AR915" s="7">
        <v>1.0900000000000001</v>
      </c>
      <c r="AS915" s="6">
        <v>149</v>
      </c>
      <c r="AT915" s="6">
        <v>28.7</v>
      </c>
      <c r="AU915" s="6">
        <v>18.600000000000001</v>
      </c>
      <c r="AV915" s="7">
        <v>3.82</v>
      </c>
      <c r="AW915" s="6" t="s">
        <v>5</v>
      </c>
      <c r="AX915" s="6" t="s">
        <v>5</v>
      </c>
      <c r="AY915" s="6" t="s">
        <v>5</v>
      </c>
      <c r="AZ915" s="6" t="s">
        <v>5</v>
      </c>
      <c r="BA915" s="6" t="s">
        <v>5</v>
      </c>
      <c r="BB915" s="6" t="s">
        <v>5</v>
      </c>
      <c r="BC915" s="6" t="s">
        <v>5</v>
      </c>
      <c r="BD915" s="6" t="s">
        <v>5</v>
      </c>
      <c r="BE915" s="6" t="s">
        <v>5</v>
      </c>
      <c r="BF915" s="6" t="s">
        <v>5</v>
      </c>
      <c r="BG915" s="6" t="s">
        <v>5</v>
      </c>
      <c r="BH915" s="6" t="s">
        <v>5</v>
      </c>
      <c r="BI915" s="7">
        <v>4.0199999999999996</v>
      </c>
      <c r="BJ915" s="22">
        <v>0.97699999999999998</v>
      </c>
      <c r="BK915" s="6" t="s">
        <v>5</v>
      </c>
      <c r="BL915" s="2" t="s">
        <v>5</v>
      </c>
      <c r="BM915" s="2" t="s">
        <v>5</v>
      </c>
      <c r="BN915" s="2" t="s">
        <v>5</v>
      </c>
      <c r="BO915" s="2" t="s">
        <v>5</v>
      </c>
      <c r="BP915" s="2" t="s">
        <v>5</v>
      </c>
      <c r="BQ915" s="2" t="s">
        <v>5</v>
      </c>
      <c r="BR915" s="2" t="s">
        <v>5</v>
      </c>
      <c r="BS915" s="2" t="s">
        <v>5</v>
      </c>
      <c r="BT915" s="2" t="s">
        <v>5</v>
      </c>
      <c r="BU915" s="2" t="s">
        <v>5</v>
      </c>
      <c r="BV915" s="2" t="s">
        <v>5</v>
      </c>
      <c r="BW915" s="2" t="s">
        <v>5</v>
      </c>
      <c r="BX915" s="2" t="s">
        <v>5</v>
      </c>
      <c r="BY915" s="25" t="s">
        <v>5</v>
      </c>
      <c r="BZ915" s="25" t="s">
        <v>5</v>
      </c>
      <c r="CA915" s="6" t="s">
        <v>5</v>
      </c>
      <c r="CB915" s="6" t="s">
        <v>5</v>
      </c>
      <c r="CC915" s="6" t="s">
        <v>5</v>
      </c>
      <c r="CD915" s="6" t="s">
        <v>5</v>
      </c>
      <c r="CE915" s="6" t="s">
        <v>5</v>
      </c>
      <c r="CF915" s="16" t="s">
        <v>5</v>
      </c>
      <c r="CG915" s="16" t="s">
        <v>5</v>
      </c>
      <c r="CH915" s="18" t="s">
        <v>5</v>
      </c>
    </row>
    <row r="916" spans="2:86">
      <c r="B916" s="78" t="s">
        <v>473</v>
      </c>
      <c r="C916" s="79" t="s">
        <v>1016</v>
      </c>
      <c r="D916" s="80" t="s">
        <v>1016</v>
      </c>
      <c r="E916" s="1" t="s">
        <v>4</v>
      </c>
      <c r="F916" s="4">
        <v>34.4</v>
      </c>
      <c r="G916" s="4">
        <v>10.199999999999999</v>
      </c>
      <c r="H916" s="3" t="str">
        <f t="shared" si="33"/>
        <v>2L8X4X7/16X3/8SLBB</v>
      </c>
      <c r="I916" s="7">
        <v>4</v>
      </c>
      <c r="J916" s="5" t="s">
        <v>5</v>
      </c>
      <c r="K916" s="6" t="s">
        <v>5</v>
      </c>
      <c r="L916" s="6" t="s">
        <v>5</v>
      </c>
      <c r="M916" s="6" t="s">
        <v>5</v>
      </c>
      <c r="N916" s="6" t="s">
        <v>5</v>
      </c>
      <c r="O916" s="5" t="s">
        <v>5</v>
      </c>
      <c r="P916" s="5" t="s">
        <v>5</v>
      </c>
      <c r="Q916" s="7">
        <v>8</v>
      </c>
      <c r="R916" s="6" t="s">
        <v>5</v>
      </c>
      <c r="S916" s="6" t="s">
        <v>5</v>
      </c>
      <c r="T916" s="5" t="s">
        <v>5</v>
      </c>
      <c r="U916" s="8" t="s">
        <v>5</v>
      </c>
      <c r="V916" s="6" t="s">
        <v>5</v>
      </c>
      <c r="W916" s="8" t="s">
        <v>5</v>
      </c>
      <c r="X916" s="22">
        <v>0.438</v>
      </c>
      <c r="Y916" s="6" t="s">
        <v>5</v>
      </c>
      <c r="Z916" s="6" t="s">
        <v>5</v>
      </c>
      <c r="AA916" s="6" t="s">
        <v>5</v>
      </c>
      <c r="AB916" s="8" t="s">
        <v>5</v>
      </c>
      <c r="AC916" s="8" t="s">
        <v>5</v>
      </c>
      <c r="AD916" s="6" t="s">
        <v>5</v>
      </c>
      <c r="AE916" s="22">
        <v>0.82899999999999996</v>
      </c>
      <c r="AF916" s="6" t="s">
        <v>5</v>
      </c>
      <c r="AG916" s="6" t="s">
        <v>5</v>
      </c>
      <c r="AH916" s="22">
        <v>0.31900000000000001</v>
      </c>
      <c r="AI916" s="6" t="s">
        <v>5</v>
      </c>
      <c r="AJ916" s="4">
        <v>18.3</v>
      </c>
      <c r="AK916" s="6" t="s">
        <v>5</v>
      </c>
      <c r="AL916" s="6" t="s">
        <v>5</v>
      </c>
      <c r="AM916" s="6" t="s">
        <v>5</v>
      </c>
      <c r="AN916" s="6" t="s">
        <v>5</v>
      </c>
      <c r="AO916" s="4">
        <v>12.1</v>
      </c>
      <c r="AP916" s="7">
        <v>6.85</v>
      </c>
      <c r="AQ916" s="7">
        <v>3.81</v>
      </c>
      <c r="AR916" s="7">
        <v>1.0900000000000001</v>
      </c>
      <c r="AS916" s="6">
        <v>160</v>
      </c>
      <c r="AT916" s="6">
        <v>30.6</v>
      </c>
      <c r="AU916" s="6">
        <v>19.5</v>
      </c>
      <c r="AV916" s="7">
        <v>3.96</v>
      </c>
      <c r="AW916" s="6" t="s">
        <v>5</v>
      </c>
      <c r="AX916" s="6" t="s">
        <v>5</v>
      </c>
      <c r="AY916" s="6" t="s">
        <v>5</v>
      </c>
      <c r="AZ916" s="6" t="s">
        <v>5</v>
      </c>
      <c r="BA916" s="6" t="s">
        <v>5</v>
      </c>
      <c r="BB916" s="6" t="s">
        <v>5</v>
      </c>
      <c r="BC916" s="6" t="s">
        <v>5</v>
      </c>
      <c r="BD916" s="6" t="s">
        <v>5</v>
      </c>
      <c r="BE916" s="6" t="s">
        <v>5</v>
      </c>
      <c r="BF916" s="6" t="s">
        <v>5</v>
      </c>
      <c r="BG916" s="6" t="s">
        <v>5</v>
      </c>
      <c r="BH916" s="6" t="s">
        <v>5</v>
      </c>
      <c r="BI916" s="7">
        <v>4.1500000000000004</v>
      </c>
      <c r="BJ916" s="22">
        <v>0.97799999999999998</v>
      </c>
      <c r="BK916" s="6" t="s">
        <v>5</v>
      </c>
      <c r="BL916" s="2" t="s">
        <v>5</v>
      </c>
      <c r="BM916" s="2" t="s">
        <v>5</v>
      </c>
      <c r="BN916" s="2" t="s">
        <v>5</v>
      </c>
      <c r="BO916" s="2" t="s">
        <v>5</v>
      </c>
      <c r="BP916" s="2" t="s">
        <v>5</v>
      </c>
      <c r="BQ916" s="2" t="s">
        <v>5</v>
      </c>
      <c r="BR916" s="2" t="s">
        <v>5</v>
      </c>
      <c r="BS916" s="2" t="s">
        <v>5</v>
      </c>
      <c r="BT916" s="2" t="s">
        <v>5</v>
      </c>
      <c r="BU916" s="2" t="s">
        <v>5</v>
      </c>
      <c r="BV916" s="2" t="s">
        <v>5</v>
      </c>
      <c r="BW916" s="2" t="s">
        <v>5</v>
      </c>
      <c r="BX916" s="2" t="s">
        <v>5</v>
      </c>
      <c r="BY916" s="25" t="s">
        <v>5</v>
      </c>
      <c r="BZ916" s="25" t="s">
        <v>5</v>
      </c>
      <c r="CA916" s="6" t="s">
        <v>5</v>
      </c>
      <c r="CB916" s="6" t="s">
        <v>5</v>
      </c>
      <c r="CC916" s="6" t="s">
        <v>5</v>
      </c>
      <c r="CD916" s="6" t="s">
        <v>5</v>
      </c>
      <c r="CE916" s="6" t="s">
        <v>5</v>
      </c>
      <c r="CF916" s="16" t="s">
        <v>5</v>
      </c>
      <c r="CG916" s="16" t="s">
        <v>5</v>
      </c>
      <c r="CH916" s="18" t="s">
        <v>5</v>
      </c>
    </row>
    <row r="917" spans="2:86">
      <c r="B917" s="78" t="s">
        <v>473</v>
      </c>
      <c r="C917" s="79" t="s">
        <v>1017</v>
      </c>
      <c r="D917" s="80" t="s">
        <v>1017</v>
      </c>
      <c r="E917" s="1" t="s">
        <v>4</v>
      </c>
      <c r="F917" s="4">
        <v>34.4</v>
      </c>
      <c r="G917" s="4">
        <v>10.199999999999999</v>
      </c>
      <c r="H917" s="3" t="str">
        <f t="shared" si="33"/>
        <v>2L8X4X7/16X3/4SLBB</v>
      </c>
      <c r="I917" s="7">
        <v>4</v>
      </c>
      <c r="J917" s="5" t="s">
        <v>5</v>
      </c>
      <c r="K917" s="6" t="s">
        <v>5</v>
      </c>
      <c r="L917" s="6" t="s">
        <v>5</v>
      </c>
      <c r="M917" s="6" t="s">
        <v>5</v>
      </c>
      <c r="N917" s="6" t="s">
        <v>5</v>
      </c>
      <c r="O917" s="5" t="s">
        <v>5</v>
      </c>
      <c r="P917" s="5" t="s">
        <v>5</v>
      </c>
      <c r="Q917" s="7">
        <v>8</v>
      </c>
      <c r="R917" s="6" t="s">
        <v>5</v>
      </c>
      <c r="S917" s="6" t="s">
        <v>5</v>
      </c>
      <c r="T917" s="5" t="s">
        <v>5</v>
      </c>
      <c r="U917" s="8" t="s">
        <v>5</v>
      </c>
      <c r="V917" s="6" t="s">
        <v>5</v>
      </c>
      <c r="W917" s="8" t="s">
        <v>5</v>
      </c>
      <c r="X917" s="22">
        <v>0.438</v>
      </c>
      <c r="Y917" s="6" t="s">
        <v>5</v>
      </c>
      <c r="Z917" s="6" t="s">
        <v>5</v>
      </c>
      <c r="AA917" s="6" t="s">
        <v>5</v>
      </c>
      <c r="AB917" s="8" t="s">
        <v>5</v>
      </c>
      <c r="AC917" s="8" t="s">
        <v>5</v>
      </c>
      <c r="AD917" s="6" t="s">
        <v>5</v>
      </c>
      <c r="AE917" s="22">
        <v>0.82899999999999996</v>
      </c>
      <c r="AF917" s="6" t="s">
        <v>5</v>
      </c>
      <c r="AG917" s="6" t="s">
        <v>5</v>
      </c>
      <c r="AH917" s="22">
        <v>0.31900000000000001</v>
      </c>
      <c r="AI917" s="6" t="s">
        <v>5</v>
      </c>
      <c r="AJ917" s="4">
        <v>18.3</v>
      </c>
      <c r="AK917" s="6" t="s">
        <v>5</v>
      </c>
      <c r="AL917" s="6" t="s">
        <v>5</v>
      </c>
      <c r="AM917" s="6" t="s">
        <v>5</v>
      </c>
      <c r="AN917" s="6" t="s">
        <v>5</v>
      </c>
      <c r="AO917" s="4">
        <v>12.1</v>
      </c>
      <c r="AP917" s="7">
        <v>6.85</v>
      </c>
      <c r="AQ917" s="7">
        <v>3.81</v>
      </c>
      <c r="AR917" s="7">
        <v>1.0900000000000001</v>
      </c>
      <c r="AS917" s="6">
        <v>171</v>
      </c>
      <c r="AT917" s="6">
        <v>32.6</v>
      </c>
      <c r="AU917" s="6">
        <v>20.399999999999999</v>
      </c>
      <c r="AV917" s="7">
        <v>4.0999999999999996</v>
      </c>
      <c r="AW917" s="6" t="s">
        <v>5</v>
      </c>
      <c r="AX917" s="6" t="s">
        <v>5</v>
      </c>
      <c r="AY917" s="6" t="s">
        <v>5</v>
      </c>
      <c r="AZ917" s="6" t="s">
        <v>5</v>
      </c>
      <c r="BA917" s="6" t="s">
        <v>5</v>
      </c>
      <c r="BB917" s="6" t="s">
        <v>5</v>
      </c>
      <c r="BC917" s="6" t="s">
        <v>5</v>
      </c>
      <c r="BD917" s="6" t="s">
        <v>5</v>
      </c>
      <c r="BE917" s="6" t="s">
        <v>5</v>
      </c>
      <c r="BF917" s="6" t="s">
        <v>5</v>
      </c>
      <c r="BG917" s="6" t="s">
        <v>5</v>
      </c>
      <c r="BH917" s="6" t="s">
        <v>5</v>
      </c>
      <c r="BI917" s="7">
        <v>4.29</v>
      </c>
      <c r="BJ917" s="22">
        <v>0.98</v>
      </c>
      <c r="BK917" s="6" t="s">
        <v>5</v>
      </c>
      <c r="BL917" s="2" t="s">
        <v>5</v>
      </c>
      <c r="BM917" s="2" t="s">
        <v>5</v>
      </c>
      <c r="BN917" s="2" t="s">
        <v>5</v>
      </c>
      <c r="BO917" s="2" t="s">
        <v>5</v>
      </c>
      <c r="BP917" s="2" t="s">
        <v>5</v>
      </c>
      <c r="BQ917" s="2" t="s">
        <v>5</v>
      </c>
      <c r="BR917" s="2" t="s">
        <v>5</v>
      </c>
      <c r="BS917" s="2" t="s">
        <v>5</v>
      </c>
      <c r="BT917" s="2" t="s">
        <v>5</v>
      </c>
      <c r="BU917" s="2" t="s">
        <v>5</v>
      </c>
      <c r="BV917" s="2" t="s">
        <v>5</v>
      </c>
      <c r="BW917" s="2" t="s">
        <v>5</v>
      </c>
      <c r="BX917" s="2" t="s">
        <v>5</v>
      </c>
      <c r="BY917" s="25" t="s">
        <v>5</v>
      </c>
      <c r="BZ917" s="25" t="s">
        <v>5</v>
      </c>
      <c r="CA917" s="6" t="s">
        <v>5</v>
      </c>
      <c r="CB917" s="6" t="s">
        <v>5</v>
      </c>
      <c r="CC917" s="6" t="s">
        <v>5</v>
      </c>
      <c r="CD917" s="6" t="s">
        <v>5</v>
      </c>
      <c r="CE917" s="6" t="s">
        <v>5</v>
      </c>
      <c r="CF917" s="16" t="s">
        <v>5</v>
      </c>
      <c r="CG917" s="16" t="s">
        <v>5</v>
      </c>
      <c r="CH917" s="18" t="s">
        <v>5</v>
      </c>
    </row>
    <row r="918" spans="2:86">
      <c r="B918" s="78" t="s">
        <v>473</v>
      </c>
      <c r="C918" s="79" t="s">
        <v>1018</v>
      </c>
      <c r="D918" s="80" t="s">
        <v>1018</v>
      </c>
      <c r="E918" s="1" t="s">
        <v>4</v>
      </c>
      <c r="F918" s="4">
        <v>52.4</v>
      </c>
      <c r="G918" s="4">
        <v>15.5</v>
      </c>
      <c r="H918" s="3" t="str">
        <f t="shared" si="33"/>
        <v>2L7X4X3/4SLBB</v>
      </c>
      <c r="I918" s="7">
        <v>4</v>
      </c>
      <c r="J918" s="5" t="s">
        <v>5</v>
      </c>
      <c r="K918" s="6" t="s">
        <v>5</v>
      </c>
      <c r="L918" s="6" t="s">
        <v>5</v>
      </c>
      <c r="M918" s="6" t="s">
        <v>5</v>
      </c>
      <c r="N918" s="6" t="s">
        <v>5</v>
      </c>
      <c r="O918" s="5" t="s">
        <v>5</v>
      </c>
      <c r="P918" s="5" t="s">
        <v>5</v>
      </c>
      <c r="Q918" s="7">
        <v>7</v>
      </c>
      <c r="R918" s="6" t="s">
        <v>5</v>
      </c>
      <c r="S918" s="6" t="s">
        <v>5</v>
      </c>
      <c r="T918" s="5" t="s">
        <v>5</v>
      </c>
      <c r="U918" s="8" t="s">
        <v>5</v>
      </c>
      <c r="V918" s="6" t="s">
        <v>5</v>
      </c>
      <c r="W918" s="8" t="s">
        <v>5</v>
      </c>
      <c r="X918" s="22">
        <v>0.75</v>
      </c>
      <c r="Y918" s="6" t="s">
        <v>5</v>
      </c>
      <c r="Z918" s="6" t="s">
        <v>5</v>
      </c>
      <c r="AA918" s="6" t="s">
        <v>5</v>
      </c>
      <c r="AB918" s="8" t="s">
        <v>5</v>
      </c>
      <c r="AC918" s="8" t="s">
        <v>5</v>
      </c>
      <c r="AD918" s="6" t="s">
        <v>5</v>
      </c>
      <c r="AE918" s="7">
        <v>1</v>
      </c>
      <c r="AF918" s="6" t="s">
        <v>5</v>
      </c>
      <c r="AG918" s="6" t="s">
        <v>5</v>
      </c>
      <c r="AH918" s="22">
        <v>0.55300000000000005</v>
      </c>
      <c r="AI918" s="6" t="s">
        <v>5</v>
      </c>
      <c r="AJ918" s="7">
        <v>9.33</v>
      </c>
      <c r="AK918" s="6" t="s">
        <v>5</v>
      </c>
      <c r="AL918" s="6" t="s">
        <v>5</v>
      </c>
      <c r="AM918" s="6" t="s">
        <v>5</v>
      </c>
      <c r="AN918" s="6" t="s">
        <v>5</v>
      </c>
      <c r="AO918" s="4">
        <v>18</v>
      </c>
      <c r="AP918" s="4">
        <v>11.2</v>
      </c>
      <c r="AQ918" s="7">
        <v>6.01</v>
      </c>
      <c r="AR918" s="7">
        <v>1.08</v>
      </c>
      <c r="AS918" s="6">
        <v>173</v>
      </c>
      <c r="AT918" s="6">
        <v>38.700000000000003</v>
      </c>
      <c r="AU918" s="6">
        <v>24.7</v>
      </c>
      <c r="AV918" s="7">
        <v>3.34</v>
      </c>
      <c r="AW918" s="6" t="s">
        <v>5</v>
      </c>
      <c r="AX918" s="6" t="s">
        <v>5</v>
      </c>
      <c r="AY918" s="6" t="s">
        <v>5</v>
      </c>
      <c r="AZ918" s="6" t="s">
        <v>5</v>
      </c>
      <c r="BA918" s="6" t="s">
        <v>5</v>
      </c>
      <c r="BB918" s="6" t="s">
        <v>5</v>
      </c>
      <c r="BC918" s="6" t="s">
        <v>5</v>
      </c>
      <c r="BD918" s="6" t="s">
        <v>5</v>
      </c>
      <c r="BE918" s="6" t="s">
        <v>5</v>
      </c>
      <c r="BF918" s="6" t="s">
        <v>5</v>
      </c>
      <c r="BG918" s="6" t="s">
        <v>5</v>
      </c>
      <c r="BH918" s="6" t="s">
        <v>5</v>
      </c>
      <c r="BI918" s="7">
        <v>3.57</v>
      </c>
      <c r="BJ918" s="22">
        <v>0.96899999999999997</v>
      </c>
      <c r="BK918" s="6" t="s">
        <v>5</v>
      </c>
      <c r="BL918" s="2" t="s">
        <v>5</v>
      </c>
      <c r="BM918" s="2" t="s">
        <v>5</v>
      </c>
      <c r="BN918" s="2" t="s">
        <v>5</v>
      </c>
      <c r="BO918" s="2" t="s">
        <v>5</v>
      </c>
      <c r="BP918" s="2" t="s">
        <v>5</v>
      </c>
      <c r="BQ918" s="2" t="s">
        <v>5</v>
      </c>
      <c r="BR918" s="2" t="s">
        <v>5</v>
      </c>
      <c r="BS918" s="2" t="s">
        <v>5</v>
      </c>
      <c r="BT918" s="2" t="s">
        <v>5</v>
      </c>
      <c r="BU918" s="2" t="s">
        <v>5</v>
      </c>
      <c r="BV918" s="2" t="s">
        <v>5</v>
      </c>
      <c r="BW918" s="2" t="s">
        <v>5</v>
      </c>
      <c r="BX918" s="2" t="s">
        <v>5</v>
      </c>
      <c r="BY918" s="25" t="s">
        <v>5</v>
      </c>
      <c r="BZ918" s="25" t="s">
        <v>5</v>
      </c>
      <c r="CA918" s="6" t="s">
        <v>5</v>
      </c>
      <c r="CB918" s="6" t="s">
        <v>5</v>
      </c>
      <c r="CC918" s="6" t="s">
        <v>5</v>
      </c>
      <c r="CD918" s="6" t="s">
        <v>5</v>
      </c>
      <c r="CE918" s="6" t="s">
        <v>5</v>
      </c>
      <c r="CF918" s="16" t="s">
        <v>5</v>
      </c>
      <c r="CG918" s="16" t="s">
        <v>5</v>
      </c>
      <c r="CH918" s="18" t="s">
        <v>5</v>
      </c>
    </row>
    <row r="919" spans="2:86">
      <c r="B919" s="78" t="s">
        <v>473</v>
      </c>
      <c r="C919" s="79" t="s">
        <v>1019</v>
      </c>
      <c r="D919" s="80" t="s">
        <v>1019</v>
      </c>
      <c r="E919" s="1" t="s">
        <v>4</v>
      </c>
      <c r="F919" s="4">
        <v>52.4</v>
      </c>
      <c r="G919" s="4">
        <v>15.5</v>
      </c>
      <c r="H919" s="3" t="str">
        <f t="shared" si="33"/>
        <v>2L7X4X3/4X3/8SLBB</v>
      </c>
      <c r="I919" s="7">
        <v>4</v>
      </c>
      <c r="J919" s="5" t="s">
        <v>5</v>
      </c>
      <c r="K919" s="6" t="s">
        <v>5</v>
      </c>
      <c r="L919" s="6" t="s">
        <v>5</v>
      </c>
      <c r="M919" s="6" t="s">
        <v>5</v>
      </c>
      <c r="N919" s="6" t="s">
        <v>5</v>
      </c>
      <c r="O919" s="5" t="s">
        <v>5</v>
      </c>
      <c r="P919" s="5" t="s">
        <v>5</v>
      </c>
      <c r="Q919" s="7">
        <v>7</v>
      </c>
      <c r="R919" s="6" t="s">
        <v>5</v>
      </c>
      <c r="S919" s="6" t="s">
        <v>5</v>
      </c>
      <c r="T919" s="5" t="s">
        <v>5</v>
      </c>
      <c r="U919" s="8" t="s">
        <v>5</v>
      </c>
      <c r="V919" s="6" t="s">
        <v>5</v>
      </c>
      <c r="W919" s="8" t="s">
        <v>5</v>
      </c>
      <c r="X919" s="22">
        <v>0.75</v>
      </c>
      <c r="Y919" s="6" t="s">
        <v>5</v>
      </c>
      <c r="Z919" s="6" t="s">
        <v>5</v>
      </c>
      <c r="AA919" s="6" t="s">
        <v>5</v>
      </c>
      <c r="AB919" s="8" t="s">
        <v>5</v>
      </c>
      <c r="AC919" s="8" t="s">
        <v>5</v>
      </c>
      <c r="AD919" s="6" t="s">
        <v>5</v>
      </c>
      <c r="AE919" s="7">
        <v>1</v>
      </c>
      <c r="AF919" s="6" t="s">
        <v>5</v>
      </c>
      <c r="AG919" s="6" t="s">
        <v>5</v>
      </c>
      <c r="AH919" s="22">
        <v>0.55300000000000005</v>
      </c>
      <c r="AI919" s="6" t="s">
        <v>5</v>
      </c>
      <c r="AJ919" s="7">
        <v>9.33</v>
      </c>
      <c r="AK919" s="6" t="s">
        <v>5</v>
      </c>
      <c r="AL919" s="6" t="s">
        <v>5</v>
      </c>
      <c r="AM919" s="6" t="s">
        <v>5</v>
      </c>
      <c r="AN919" s="6" t="s">
        <v>5</v>
      </c>
      <c r="AO919" s="4">
        <v>18</v>
      </c>
      <c r="AP919" s="4">
        <v>11.2</v>
      </c>
      <c r="AQ919" s="7">
        <v>6.01</v>
      </c>
      <c r="AR919" s="7">
        <v>1.08</v>
      </c>
      <c r="AS919" s="6">
        <v>188</v>
      </c>
      <c r="AT919" s="6">
        <v>41.6</v>
      </c>
      <c r="AU919" s="6">
        <v>26.2</v>
      </c>
      <c r="AV919" s="7">
        <v>3.48</v>
      </c>
      <c r="AW919" s="6" t="s">
        <v>5</v>
      </c>
      <c r="AX919" s="6" t="s">
        <v>5</v>
      </c>
      <c r="AY919" s="6" t="s">
        <v>5</v>
      </c>
      <c r="AZ919" s="6" t="s">
        <v>5</v>
      </c>
      <c r="BA919" s="6" t="s">
        <v>5</v>
      </c>
      <c r="BB919" s="6" t="s">
        <v>5</v>
      </c>
      <c r="BC919" s="6" t="s">
        <v>5</v>
      </c>
      <c r="BD919" s="6" t="s">
        <v>5</v>
      </c>
      <c r="BE919" s="6" t="s">
        <v>5</v>
      </c>
      <c r="BF919" s="6" t="s">
        <v>5</v>
      </c>
      <c r="BG919" s="6" t="s">
        <v>5</v>
      </c>
      <c r="BH919" s="6" t="s">
        <v>5</v>
      </c>
      <c r="BI919" s="7">
        <v>3.7</v>
      </c>
      <c r="BJ919" s="22">
        <v>0.97099999999999997</v>
      </c>
      <c r="BK919" s="6" t="s">
        <v>5</v>
      </c>
      <c r="BL919" s="2" t="s">
        <v>5</v>
      </c>
      <c r="BM919" s="2" t="s">
        <v>5</v>
      </c>
      <c r="BN919" s="2" t="s">
        <v>5</v>
      </c>
      <c r="BO919" s="2" t="s">
        <v>5</v>
      </c>
      <c r="BP919" s="2" t="s">
        <v>5</v>
      </c>
      <c r="BQ919" s="2" t="s">
        <v>5</v>
      </c>
      <c r="BR919" s="2" t="s">
        <v>5</v>
      </c>
      <c r="BS919" s="2" t="s">
        <v>5</v>
      </c>
      <c r="BT919" s="2" t="s">
        <v>5</v>
      </c>
      <c r="BU919" s="2" t="s">
        <v>5</v>
      </c>
      <c r="BV919" s="2" t="s">
        <v>5</v>
      </c>
      <c r="BW919" s="2" t="s">
        <v>5</v>
      </c>
      <c r="BX919" s="2" t="s">
        <v>5</v>
      </c>
      <c r="BY919" s="25" t="s">
        <v>5</v>
      </c>
      <c r="BZ919" s="25" t="s">
        <v>5</v>
      </c>
      <c r="CA919" s="6" t="s">
        <v>5</v>
      </c>
      <c r="CB919" s="6" t="s">
        <v>5</v>
      </c>
      <c r="CC919" s="6" t="s">
        <v>5</v>
      </c>
      <c r="CD919" s="6" t="s">
        <v>5</v>
      </c>
      <c r="CE919" s="6" t="s">
        <v>5</v>
      </c>
      <c r="CF919" s="16" t="s">
        <v>5</v>
      </c>
      <c r="CG919" s="16" t="s">
        <v>5</v>
      </c>
      <c r="CH919" s="18" t="s">
        <v>5</v>
      </c>
    </row>
    <row r="920" spans="2:86">
      <c r="B920" s="78" t="s">
        <v>473</v>
      </c>
      <c r="C920" s="79" t="s">
        <v>1020</v>
      </c>
      <c r="D920" s="80" t="s">
        <v>1020</v>
      </c>
      <c r="E920" s="1" t="s">
        <v>4</v>
      </c>
      <c r="F920" s="4">
        <v>52.4</v>
      </c>
      <c r="G920" s="4">
        <v>15.5</v>
      </c>
      <c r="H920" s="3" t="str">
        <f t="shared" si="33"/>
        <v>2L7X4X3/4X3/4SLBB</v>
      </c>
      <c r="I920" s="7">
        <v>4</v>
      </c>
      <c r="J920" s="5" t="s">
        <v>5</v>
      </c>
      <c r="K920" s="6" t="s">
        <v>5</v>
      </c>
      <c r="L920" s="6" t="s">
        <v>5</v>
      </c>
      <c r="M920" s="6" t="s">
        <v>5</v>
      </c>
      <c r="N920" s="6" t="s">
        <v>5</v>
      </c>
      <c r="O920" s="5" t="s">
        <v>5</v>
      </c>
      <c r="P920" s="5" t="s">
        <v>5</v>
      </c>
      <c r="Q920" s="7">
        <v>7</v>
      </c>
      <c r="R920" s="6" t="s">
        <v>5</v>
      </c>
      <c r="S920" s="6" t="s">
        <v>5</v>
      </c>
      <c r="T920" s="5" t="s">
        <v>5</v>
      </c>
      <c r="U920" s="8" t="s">
        <v>5</v>
      </c>
      <c r="V920" s="6" t="s">
        <v>5</v>
      </c>
      <c r="W920" s="8" t="s">
        <v>5</v>
      </c>
      <c r="X920" s="22">
        <v>0.75</v>
      </c>
      <c r="Y920" s="6" t="s">
        <v>5</v>
      </c>
      <c r="Z920" s="6" t="s">
        <v>5</v>
      </c>
      <c r="AA920" s="6" t="s">
        <v>5</v>
      </c>
      <c r="AB920" s="8" t="s">
        <v>5</v>
      </c>
      <c r="AC920" s="8" t="s">
        <v>5</v>
      </c>
      <c r="AD920" s="6" t="s">
        <v>5</v>
      </c>
      <c r="AE920" s="7">
        <v>1</v>
      </c>
      <c r="AF920" s="6" t="s">
        <v>5</v>
      </c>
      <c r="AG920" s="6" t="s">
        <v>5</v>
      </c>
      <c r="AH920" s="22">
        <v>0.55300000000000005</v>
      </c>
      <c r="AI920" s="6" t="s">
        <v>5</v>
      </c>
      <c r="AJ920" s="7">
        <v>9.33</v>
      </c>
      <c r="AK920" s="6" t="s">
        <v>5</v>
      </c>
      <c r="AL920" s="6" t="s">
        <v>5</v>
      </c>
      <c r="AM920" s="6" t="s">
        <v>5</v>
      </c>
      <c r="AN920" s="6" t="s">
        <v>5</v>
      </c>
      <c r="AO920" s="4">
        <v>18</v>
      </c>
      <c r="AP920" s="4">
        <v>11.2</v>
      </c>
      <c r="AQ920" s="7">
        <v>6.01</v>
      </c>
      <c r="AR920" s="7">
        <v>1.08</v>
      </c>
      <c r="AS920" s="6">
        <v>204</v>
      </c>
      <c r="AT920" s="6">
        <v>44.5</v>
      </c>
      <c r="AU920" s="6">
        <v>27.7</v>
      </c>
      <c r="AV920" s="7">
        <v>3.63</v>
      </c>
      <c r="AW920" s="6" t="s">
        <v>5</v>
      </c>
      <c r="AX920" s="6" t="s">
        <v>5</v>
      </c>
      <c r="AY920" s="6" t="s">
        <v>5</v>
      </c>
      <c r="AZ920" s="6" t="s">
        <v>5</v>
      </c>
      <c r="BA920" s="6" t="s">
        <v>5</v>
      </c>
      <c r="BB920" s="6" t="s">
        <v>5</v>
      </c>
      <c r="BC920" s="6" t="s">
        <v>5</v>
      </c>
      <c r="BD920" s="6" t="s">
        <v>5</v>
      </c>
      <c r="BE920" s="6" t="s">
        <v>5</v>
      </c>
      <c r="BF920" s="6" t="s">
        <v>5</v>
      </c>
      <c r="BG920" s="6" t="s">
        <v>5</v>
      </c>
      <c r="BH920" s="6" t="s">
        <v>5</v>
      </c>
      <c r="BI920" s="7">
        <v>3.84</v>
      </c>
      <c r="BJ920" s="22">
        <v>0.97299999999999998</v>
      </c>
      <c r="BK920" s="6" t="s">
        <v>5</v>
      </c>
      <c r="BL920" s="2" t="s">
        <v>5</v>
      </c>
      <c r="BM920" s="2" t="s">
        <v>5</v>
      </c>
      <c r="BN920" s="2" t="s">
        <v>5</v>
      </c>
      <c r="BO920" s="2" t="s">
        <v>5</v>
      </c>
      <c r="BP920" s="2" t="s">
        <v>5</v>
      </c>
      <c r="BQ920" s="2" t="s">
        <v>5</v>
      </c>
      <c r="BR920" s="2" t="s">
        <v>5</v>
      </c>
      <c r="BS920" s="2" t="s">
        <v>5</v>
      </c>
      <c r="BT920" s="2" t="s">
        <v>5</v>
      </c>
      <c r="BU920" s="2" t="s">
        <v>5</v>
      </c>
      <c r="BV920" s="2" t="s">
        <v>5</v>
      </c>
      <c r="BW920" s="2" t="s">
        <v>5</v>
      </c>
      <c r="BX920" s="2" t="s">
        <v>5</v>
      </c>
      <c r="BY920" s="25" t="s">
        <v>5</v>
      </c>
      <c r="BZ920" s="25" t="s">
        <v>5</v>
      </c>
      <c r="CA920" s="6" t="s">
        <v>5</v>
      </c>
      <c r="CB920" s="6" t="s">
        <v>5</v>
      </c>
      <c r="CC920" s="6" t="s">
        <v>5</v>
      </c>
      <c r="CD920" s="6" t="s">
        <v>5</v>
      </c>
      <c r="CE920" s="6" t="s">
        <v>5</v>
      </c>
      <c r="CF920" s="16" t="s">
        <v>5</v>
      </c>
      <c r="CG920" s="16" t="s">
        <v>5</v>
      </c>
      <c r="CH920" s="18" t="s">
        <v>5</v>
      </c>
    </row>
    <row r="921" spans="2:86">
      <c r="B921" s="78" t="s">
        <v>473</v>
      </c>
      <c r="C921" s="79" t="s">
        <v>1021</v>
      </c>
      <c r="D921" s="80" t="s">
        <v>1021</v>
      </c>
      <c r="E921" s="1" t="s">
        <v>4</v>
      </c>
      <c r="F921" s="4">
        <v>44.2</v>
      </c>
      <c r="G921" s="4">
        <v>13</v>
      </c>
      <c r="H921" s="3" t="str">
        <f t="shared" si="33"/>
        <v>2L7X4X5/8SLBB</v>
      </c>
      <c r="I921" s="7">
        <v>4</v>
      </c>
      <c r="J921" s="5" t="s">
        <v>5</v>
      </c>
      <c r="K921" s="6" t="s">
        <v>5</v>
      </c>
      <c r="L921" s="6" t="s">
        <v>5</v>
      </c>
      <c r="M921" s="6" t="s">
        <v>5</v>
      </c>
      <c r="N921" s="6" t="s">
        <v>5</v>
      </c>
      <c r="O921" s="5" t="s">
        <v>5</v>
      </c>
      <c r="P921" s="5" t="s">
        <v>5</v>
      </c>
      <c r="Q921" s="7">
        <v>7</v>
      </c>
      <c r="R921" s="6" t="s">
        <v>5</v>
      </c>
      <c r="S921" s="6" t="s">
        <v>5</v>
      </c>
      <c r="T921" s="5" t="s">
        <v>5</v>
      </c>
      <c r="U921" s="8" t="s">
        <v>5</v>
      </c>
      <c r="V921" s="6" t="s">
        <v>5</v>
      </c>
      <c r="W921" s="8" t="s">
        <v>5</v>
      </c>
      <c r="X921" s="22">
        <v>0.625</v>
      </c>
      <c r="Y921" s="6" t="s">
        <v>5</v>
      </c>
      <c r="Z921" s="6" t="s">
        <v>5</v>
      </c>
      <c r="AA921" s="6" t="s">
        <v>5</v>
      </c>
      <c r="AB921" s="8" t="s">
        <v>5</v>
      </c>
      <c r="AC921" s="8" t="s">
        <v>5</v>
      </c>
      <c r="AD921" s="6" t="s">
        <v>5</v>
      </c>
      <c r="AE921" s="22">
        <v>0.95799999999999996</v>
      </c>
      <c r="AF921" s="6" t="s">
        <v>5</v>
      </c>
      <c r="AG921" s="6" t="s">
        <v>5</v>
      </c>
      <c r="AH921" s="22">
        <v>0.46400000000000002</v>
      </c>
      <c r="AI921" s="6" t="s">
        <v>5</v>
      </c>
      <c r="AJ921" s="4">
        <v>11.2</v>
      </c>
      <c r="AK921" s="6" t="s">
        <v>5</v>
      </c>
      <c r="AL921" s="6" t="s">
        <v>5</v>
      </c>
      <c r="AM921" s="6" t="s">
        <v>5</v>
      </c>
      <c r="AN921" s="6" t="s">
        <v>5</v>
      </c>
      <c r="AO921" s="4">
        <v>15.6</v>
      </c>
      <c r="AP921" s="7">
        <v>9.3800000000000008</v>
      </c>
      <c r="AQ921" s="7">
        <v>5.12</v>
      </c>
      <c r="AR921" s="7">
        <v>1.1000000000000001</v>
      </c>
      <c r="AS921" s="6">
        <v>142</v>
      </c>
      <c r="AT921" s="6">
        <v>31.8</v>
      </c>
      <c r="AU921" s="6">
        <v>20.3</v>
      </c>
      <c r="AV921" s="7">
        <v>3.31</v>
      </c>
      <c r="AW921" s="6" t="s">
        <v>5</v>
      </c>
      <c r="AX921" s="6" t="s">
        <v>5</v>
      </c>
      <c r="AY921" s="6" t="s">
        <v>5</v>
      </c>
      <c r="AZ921" s="6" t="s">
        <v>5</v>
      </c>
      <c r="BA921" s="6" t="s">
        <v>5</v>
      </c>
      <c r="BB921" s="6" t="s">
        <v>5</v>
      </c>
      <c r="BC921" s="6" t="s">
        <v>5</v>
      </c>
      <c r="BD921" s="6" t="s">
        <v>5</v>
      </c>
      <c r="BE921" s="6" t="s">
        <v>5</v>
      </c>
      <c r="BF921" s="6" t="s">
        <v>5</v>
      </c>
      <c r="BG921" s="6" t="s">
        <v>5</v>
      </c>
      <c r="BH921" s="6" t="s">
        <v>5</v>
      </c>
      <c r="BI921" s="7">
        <v>3.55</v>
      </c>
      <c r="BJ921" s="22">
        <v>0.96699999999999997</v>
      </c>
      <c r="BK921" s="6" t="s">
        <v>5</v>
      </c>
      <c r="BL921" s="2" t="s">
        <v>5</v>
      </c>
      <c r="BM921" s="2" t="s">
        <v>5</v>
      </c>
      <c r="BN921" s="2" t="s">
        <v>5</v>
      </c>
      <c r="BO921" s="2" t="s">
        <v>5</v>
      </c>
      <c r="BP921" s="2" t="s">
        <v>5</v>
      </c>
      <c r="BQ921" s="2" t="s">
        <v>5</v>
      </c>
      <c r="BR921" s="2" t="s">
        <v>5</v>
      </c>
      <c r="BS921" s="2" t="s">
        <v>5</v>
      </c>
      <c r="BT921" s="2" t="s">
        <v>5</v>
      </c>
      <c r="BU921" s="2" t="s">
        <v>5</v>
      </c>
      <c r="BV921" s="2" t="s">
        <v>5</v>
      </c>
      <c r="BW921" s="2" t="s">
        <v>5</v>
      </c>
      <c r="BX921" s="2" t="s">
        <v>5</v>
      </c>
      <c r="BY921" s="25" t="s">
        <v>5</v>
      </c>
      <c r="BZ921" s="25" t="s">
        <v>5</v>
      </c>
      <c r="CA921" s="6" t="s">
        <v>5</v>
      </c>
      <c r="CB921" s="6" t="s">
        <v>5</v>
      </c>
      <c r="CC921" s="6" t="s">
        <v>5</v>
      </c>
      <c r="CD921" s="6" t="s">
        <v>5</v>
      </c>
      <c r="CE921" s="6" t="s">
        <v>5</v>
      </c>
      <c r="CF921" s="16" t="s">
        <v>5</v>
      </c>
      <c r="CG921" s="16" t="s">
        <v>5</v>
      </c>
      <c r="CH921" s="18" t="s">
        <v>5</v>
      </c>
    </row>
    <row r="922" spans="2:86">
      <c r="B922" s="78" t="s">
        <v>473</v>
      </c>
      <c r="C922" s="79" t="s">
        <v>1022</v>
      </c>
      <c r="D922" s="80" t="s">
        <v>1022</v>
      </c>
      <c r="E922" s="1" t="s">
        <v>4</v>
      </c>
      <c r="F922" s="4">
        <v>44.2</v>
      </c>
      <c r="G922" s="4">
        <v>13</v>
      </c>
      <c r="H922" s="3" t="str">
        <f t="shared" si="33"/>
        <v>2L7X4X5/8X3/8SLBB</v>
      </c>
      <c r="I922" s="7">
        <v>4</v>
      </c>
      <c r="J922" s="5" t="s">
        <v>5</v>
      </c>
      <c r="K922" s="6" t="s">
        <v>5</v>
      </c>
      <c r="L922" s="6" t="s">
        <v>5</v>
      </c>
      <c r="M922" s="6" t="s">
        <v>5</v>
      </c>
      <c r="N922" s="6" t="s">
        <v>5</v>
      </c>
      <c r="O922" s="5" t="s">
        <v>5</v>
      </c>
      <c r="P922" s="5" t="s">
        <v>5</v>
      </c>
      <c r="Q922" s="7">
        <v>7</v>
      </c>
      <c r="R922" s="6" t="s">
        <v>5</v>
      </c>
      <c r="S922" s="6" t="s">
        <v>5</v>
      </c>
      <c r="T922" s="5" t="s">
        <v>5</v>
      </c>
      <c r="U922" s="8" t="s">
        <v>5</v>
      </c>
      <c r="V922" s="6" t="s">
        <v>5</v>
      </c>
      <c r="W922" s="8" t="s">
        <v>5</v>
      </c>
      <c r="X922" s="22">
        <v>0.625</v>
      </c>
      <c r="Y922" s="6" t="s">
        <v>5</v>
      </c>
      <c r="Z922" s="6" t="s">
        <v>5</v>
      </c>
      <c r="AA922" s="6" t="s">
        <v>5</v>
      </c>
      <c r="AB922" s="8" t="s">
        <v>5</v>
      </c>
      <c r="AC922" s="8" t="s">
        <v>5</v>
      </c>
      <c r="AD922" s="6" t="s">
        <v>5</v>
      </c>
      <c r="AE922" s="22">
        <v>0.95799999999999996</v>
      </c>
      <c r="AF922" s="6" t="s">
        <v>5</v>
      </c>
      <c r="AG922" s="6" t="s">
        <v>5</v>
      </c>
      <c r="AH922" s="22">
        <v>0.46400000000000002</v>
      </c>
      <c r="AI922" s="6" t="s">
        <v>5</v>
      </c>
      <c r="AJ922" s="4">
        <v>11.2</v>
      </c>
      <c r="AK922" s="6" t="s">
        <v>5</v>
      </c>
      <c r="AL922" s="6" t="s">
        <v>5</v>
      </c>
      <c r="AM922" s="6" t="s">
        <v>5</v>
      </c>
      <c r="AN922" s="6" t="s">
        <v>5</v>
      </c>
      <c r="AO922" s="4">
        <v>15.6</v>
      </c>
      <c r="AP922" s="7">
        <v>9.3800000000000008</v>
      </c>
      <c r="AQ922" s="7">
        <v>5.12</v>
      </c>
      <c r="AR922" s="7">
        <v>1.1000000000000001</v>
      </c>
      <c r="AS922" s="6">
        <v>156</v>
      </c>
      <c r="AT922" s="6">
        <v>34.299999999999997</v>
      </c>
      <c r="AU922" s="6">
        <v>21.7</v>
      </c>
      <c r="AV922" s="7">
        <v>3.46</v>
      </c>
      <c r="AW922" s="6" t="s">
        <v>5</v>
      </c>
      <c r="AX922" s="6" t="s">
        <v>5</v>
      </c>
      <c r="AY922" s="6" t="s">
        <v>5</v>
      </c>
      <c r="AZ922" s="6" t="s">
        <v>5</v>
      </c>
      <c r="BA922" s="6" t="s">
        <v>5</v>
      </c>
      <c r="BB922" s="6" t="s">
        <v>5</v>
      </c>
      <c r="BC922" s="6" t="s">
        <v>5</v>
      </c>
      <c r="BD922" s="6" t="s">
        <v>5</v>
      </c>
      <c r="BE922" s="6" t="s">
        <v>5</v>
      </c>
      <c r="BF922" s="6" t="s">
        <v>5</v>
      </c>
      <c r="BG922" s="6" t="s">
        <v>5</v>
      </c>
      <c r="BH922" s="6" t="s">
        <v>5</v>
      </c>
      <c r="BI922" s="7">
        <v>3.68</v>
      </c>
      <c r="BJ922" s="22">
        <v>0.96899999999999997</v>
      </c>
      <c r="BK922" s="6" t="s">
        <v>5</v>
      </c>
      <c r="BL922" s="2" t="s">
        <v>5</v>
      </c>
      <c r="BM922" s="2" t="s">
        <v>5</v>
      </c>
      <c r="BN922" s="2" t="s">
        <v>5</v>
      </c>
      <c r="BO922" s="2" t="s">
        <v>5</v>
      </c>
      <c r="BP922" s="2" t="s">
        <v>5</v>
      </c>
      <c r="BQ922" s="2" t="s">
        <v>5</v>
      </c>
      <c r="BR922" s="2" t="s">
        <v>5</v>
      </c>
      <c r="BS922" s="2" t="s">
        <v>5</v>
      </c>
      <c r="BT922" s="2" t="s">
        <v>5</v>
      </c>
      <c r="BU922" s="2" t="s">
        <v>5</v>
      </c>
      <c r="BV922" s="2" t="s">
        <v>5</v>
      </c>
      <c r="BW922" s="2" t="s">
        <v>5</v>
      </c>
      <c r="BX922" s="2" t="s">
        <v>5</v>
      </c>
      <c r="BY922" s="25" t="s">
        <v>5</v>
      </c>
      <c r="BZ922" s="25" t="s">
        <v>5</v>
      </c>
      <c r="CA922" s="6" t="s">
        <v>5</v>
      </c>
      <c r="CB922" s="6" t="s">
        <v>5</v>
      </c>
      <c r="CC922" s="6" t="s">
        <v>5</v>
      </c>
      <c r="CD922" s="6" t="s">
        <v>5</v>
      </c>
      <c r="CE922" s="6" t="s">
        <v>5</v>
      </c>
      <c r="CF922" s="16" t="s">
        <v>5</v>
      </c>
      <c r="CG922" s="16" t="s">
        <v>5</v>
      </c>
      <c r="CH922" s="18" t="s">
        <v>5</v>
      </c>
    </row>
    <row r="923" spans="2:86">
      <c r="B923" s="78" t="s">
        <v>473</v>
      </c>
      <c r="C923" s="79" t="s">
        <v>1023</v>
      </c>
      <c r="D923" s="80" t="s">
        <v>1023</v>
      </c>
      <c r="E923" s="1" t="s">
        <v>4</v>
      </c>
      <c r="F923" s="4">
        <v>44.2</v>
      </c>
      <c r="G923" s="4">
        <v>13</v>
      </c>
      <c r="H923" s="3" t="str">
        <f t="shared" si="33"/>
        <v>2L7X4X5/8X3/4SLBB</v>
      </c>
      <c r="I923" s="7">
        <v>4</v>
      </c>
      <c r="J923" s="5" t="s">
        <v>5</v>
      </c>
      <c r="K923" s="6" t="s">
        <v>5</v>
      </c>
      <c r="L923" s="6" t="s">
        <v>5</v>
      </c>
      <c r="M923" s="6" t="s">
        <v>5</v>
      </c>
      <c r="N923" s="6" t="s">
        <v>5</v>
      </c>
      <c r="O923" s="5" t="s">
        <v>5</v>
      </c>
      <c r="P923" s="5" t="s">
        <v>5</v>
      </c>
      <c r="Q923" s="7">
        <v>7</v>
      </c>
      <c r="R923" s="6" t="s">
        <v>5</v>
      </c>
      <c r="S923" s="6" t="s">
        <v>5</v>
      </c>
      <c r="T923" s="5" t="s">
        <v>5</v>
      </c>
      <c r="U923" s="8" t="s">
        <v>5</v>
      </c>
      <c r="V923" s="6" t="s">
        <v>5</v>
      </c>
      <c r="W923" s="8" t="s">
        <v>5</v>
      </c>
      <c r="X923" s="22">
        <v>0.625</v>
      </c>
      <c r="Y923" s="6" t="s">
        <v>5</v>
      </c>
      <c r="Z923" s="6" t="s">
        <v>5</v>
      </c>
      <c r="AA923" s="6" t="s">
        <v>5</v>
      </c>
      <c r="AB923" s="8" t="s">
        <v>5</v>
      </c>
      <c r="AC923" s="8" t="s">
        <v>5</v>
      </c>
      <c r="AD923" s="6" t="s">
        <v>5</v>
      </c>
      <c r="AE923" s="22">
        <v>0.95799999999999996</v>
      </c>
      <c r="AF923" s="6" t="s">
        <v>5</v>
      </c>
      <c r="AG923" s="6" t="s">
        <v>5</v>
      </c>
      <c r="AH923" s="22">
        <v>0.46400000000000002</v>
      </c>
      <c r="AI923" s="6" t="s">
        <v>5</v>
      </c>
      <c r="AJ923" s="4">
        <v>11.2</v>
      </c>
      <c r="AK923" s="6" t="s">
        <v>5</v>
      </c>
      <c r="AL923" s="6" t="s">
        <v>5</v>
      </c>
      <c r="AM923" s="6" t="s">
        <v>5</v>
      </c>
      <c r="AN923" s="6" t="s">
        <v>5</v>
      </c>
      <c r="AO923" s="4">
        <v>15.6</v>
      </c>
      <c r="AP923" s="7">
        <v>9.3800000000000008</v>
      </c>
      <c r="AQ923" s="7">
        <v>5.12</v>
      </c>
      <c r="AR923" s="7">
        <v>1.1000000000000001</v>
      </c>
      <c r="AS923" s="6">
        <v>168</v>
      </c>
      <c r="AT923" s="6">
        <v>36.700000000000003</v>
      </c>
      <c r="AU923" s="6">
        <v>22.8</v>
      </c>
      <c r="AV923" s="7">
        <v>3.6</v>
      </c>
      <c r="AW923" s="6" t="s">
        <v>5</v>
      </c>
      <c r="AX923" s="6" t="s">
        <v>5</v>
      </c>
      <c r="AY923" s="6" t="s">
        <v>5</v>
      </c>
      <c r="AZ923" s="6" t="s">
        <v>5</v>
      </c>
      <c r="BA923" s="6" t="s">
        <v>5</v>
      </c>
      <c r="BB923" s="6" t="s">
        <v>5</v>
      </c>
      <c r="BC923" s="6" t="s">
        <v>5</v>
      </c>
      <c r="BD923" s="6" t="s">
        <v>5</v>
      </c>
      <c r="BE923" s="6" t="s">
        <v>5</v>
      </c>
      <c r="BF923" s="6" t="s">
        <v>5</v>
      </c>
      <c r="BG923" s="6" t="s">
        <v>5</v>
      </c>
      <c r="BH923" s="6" t="s">
        <v>5</v>
      </c>
      <c r="BI923" s="7">
        <v>3.82</v>
      </c>
      <c r="BJ923" s="22">
        <v>0.97099999999999997</v>
      </c>
      <c r="BK923" s="6" t="s">
        <v>5</v>
      </c>
      <c r="BL923" s="2" t="s">
        <v>5</v>
      </c>
      <c r="BM923" s="2" t="s">
        <v>5</v>
      </c>
      <c r="BN923" s="2" t="s">
        <v>5</v>
      </c>
      <c r="BO923" s="2" t="s">
        <v>5</v>
      </c>
      <c r="BP923" s="2" t="s">
        <v>5</v>
      </c>
      <c r="BQ923" s="2" t="s">
        <v>5</v>
      </c>
      <c r="BR923" s="2" t="s">
        <v>5</v>
      </c>
      <c r="BS923" s="2" t="s">
        <v>5</v>
      </c>
      <c r="BT923" s="2" t="s">
        <v>5</v>
      </c>
      <c r="BU923" s="2" t="s">
        <v>5</v>
      </c>
      <c r="BV923" s="2" t="s">
        <v>5</v>
      </c>
      <c r="BW923" s="2" t="s">
        <v>5</v>
      </c>
      <c r="BX923" s="2" t="s">
        <v>5</v>
      </c>
      <c r="BY923" s="25" t="s">
        <v>5</v>
      </c>
      <c r="BZ923" s="25" t="s">
        <v>5</v>
      </c>
      <c r="CA923" s="6" t="s">
        <v>5</v>
      </c>
      <c r="CB923" s="6" t="s">
        <v>5</v>
      </c>
      <c r="CC923" s="6" t="s">
        <v>5</v>
      </c>
      <c r="CD923" s="6" t="s">
        <v>5</v>
      </c>
      <c r="CE923" s="6" t="s">
        <v>5</v>
      </c>
      <c r="CF923" s="16" t="s">
        <v>5</v>
      </c>
      <c r="CG923" s="16" t="s">
        <v>5</v>
      </c>
      <c r="CH923" s="18" t="s">
        <v>5</v>
      </c>
    </row>
    <row r="924" spans="2:86">
      <c r="B924" s="78" t="s">
        <v>473</v>
      </c>
      <c r="C924" s="79" t="s">
        <v>1024</v>
      </c>
      <c r="D924" s="80" t="s">
        <v>1024</v>
      </c>
      <c r="E924" s="1" t="s">
        <v>4</v>
      </c>
      <c r="F924" s="4">
        <v>35.799999999999997</v>
      </c>
      <c r="G924" s="4">
        <v>10.5</v>
      </c>
      <c r="H924" s="3" t="str">
        <f t="shared" si="33"/>
        <v>2L7X4X1/2SLBB</v>
      </c>
      <c r="I924" s="7">
        <v>4</v>
      </c>
      <c r="J924" s="5" t="s">
        <v>5</v>
      </c>
      <c r="K924" s="6" t="s">
        <v>5</v>
      </c>
      <c r="L924" s="6" t="s">
        <v>5</v>
      </c>
      <c r="M924" s="6" t="s">
        <v>5</v>
      </c>
      <c r="N924" s="6" t="s">
        <v>5</v>
      </c>
      <c r="O924" s="5" t="s">
        <v>5</v>
      </c>
      <c r="P924" s="5" t="s">
        <v>5</v>
      </c>
      <c r="Q924" s="7">
        <v>7</v>
      </c>
      <c r="R924" s="6" t="s">
        <v>5</v>
      </c>
      <c r="S924" s="6" t="s">
        <v>5</v>
      </c>
      <c r="T924" s="5" t="s">
        <v>5</v>
      </c>
      <c r="U924" s="8" t="s">
        <v>5</v>
      </c>
      <c r="V924" s="6" t="s">
        <v>5</v>
      </c>
      <c r="W924" s="8" t="s">
        <v>5</v>
      </c>
      <c r="X924" s="22">
        <v>0.5</v>
      </c>
      <c r="Y924" s="6" t="s">
        <v>5</v>
      </c>
      <c r="Z924" s="6" t="s">
        <v>5</v>
      </c>
      <c r="AA924" s="6" t="s">
        <v>5</v>
      </c>
      <c r="AB924" s="8" t="s">
        <v>5</v>
      </c>
      <c r="AC924" s="8" t="s">
        <v>5</v>
      </c>
      <c r="AD924" s="6" t="s">
        <v>5</v>
      </c>
      <c r="AE924" s="22">
        <v>0.91</v>
      </c>
      <c r="AF924" s="6" t="s">
        <v>5</v>
      </c>
      <c r="AG924" s="6" t="s">
        <v>5</v>
      </c>
      <c r="AH924" s="22">
        <v>0.376</v>
      </c>
      <c r="AI924" s="6" t="s">
        <v>5</v>
      </c>
      <c r="AJ924" s="4">
        <v>14</v>
      </c>
      <c r="AK924" s="6" t="s">
        <v>5</v>
      </c>
      <c r="AL924" s="6" t="s">
        <v>5</v>
      </c>
      <c r="AM924" s="6" t="s">
        <v>5</v>
      </c>
      <c r="AN924" s="6" t="s">
        <v>5</v>
      </c>
      <c r="AO924" s="4">
        <v>13</v>
      </c>
      <c r="AP924" s="7">
        <v>7.54</v>
      </c>
      <c r="AQ924" s="7">
        <v>4.2</v>
      </c>
      <c r="AR924" s="7">
        <v>1.1100000000000001</v>
      </c>
      <c r="AS924" s="6">
        <v>114</v>
      </c>
      <c r="AT924" s="6">
        <v>25.2</v>
      </c>
      <c r="AU924" s="6">
        <v>16.3</v>
      </c>
      <c r="AV924" s="7">
        <v>3.29</v>
      </c>
      <c r="AW924" s="6" t="s">
        <v>5</v>
      </c>
      <c r="AX924" s="6" t="s">
        <v>5</v>
      </c>
      <c r="AY924" s="6" t="s">
        <v>5</v>
      </c>
      <c r="AZ924" s="6" t="s">
        <v>5</v>
      </c>
      <c r="BA924" s="6" t="s">
        <v>5</v>
      </c>
      <c r="BB924" s="6" t="s">
        <v>5</v>
      </c>
      <c r="BC924" s="6" t="s">
        <v>5</v>
      </c>
      <c r="BD924" s="6" t="s">
        <v>5</v>
      </c>
      <c r="BE924" s="6" t="s">
        <v>5</v>
      </c>
      <c r="BF924" s="6" t="s">
        <v>5</v>
      </c>
      <c r="BG924" s="6" t="s">
        <v>5</v>
      </c>
      <c r="BH924" s="6" t="s">
        <v>5</v>
      </c>
      <c r="BI924" s="7">
        <v>3.53</v>
      </c>
      <c r="BJ924" s="22">
        <v>0.96499999999999997</v>
      </c>
      <c r="BK924" s="6" t="s">
        <v>5</v>
      </c>
      <c r="BL924" s="2" t="s">
        <v>5</v>
      </c>
      <c r="BM924" s="2" t="s">
        <v>5</v>
      </c>
      <c r="BN924" s="2" t="s">
        <v>5</v>
      </c>
      <c r="BO924" s="2" t="s">
        <v>5</v>
      </c>
      <c r="BP924" s="2" t="s">
        <v>5</v>
      </c>
      <c r="BQ924" s="2" t="s">
        <v>5</v>
      </c>
      <c r="BR924" s="2" t="s">
        <v>5</v>
      </c>
      <c r="BS924" s="2" t="s">
        <v>5</v>
      </c>
      <c r="BT924" s="2" t="s">
        <v>5</v>
      </c>
      <c r="BU924" s="2" t="s">
        <v>5</v>
      </c>
      <c r="BV924" s="2" t="s">
        <v>5</v>
      </c>
      <c r="BW924" s="2" t="s">
        <v>5</v>
      </c>
      <c r="BX924" s="2" t="s">
        <v>5</v>
      </c>
      <c r="BY924" s="25" t="s">
        <v>5</v>
      </c>
      <c r="BZ924" s="25" t="s">
        <v>5</v>
      </c>
      <c r="CA924" s="6" t="s">
        <v>5</v>
      </c>
      <c r="CB924" s="6" t="s">
        <v>5</v>
      </c>
      <c r="CC924" s="6" t="s">
        <v>5</v>
      </c>
      <c r="CD924" s="6" t="s">
        <v>5</v>
      </c>
      <c r="CE924" s="6" t="s">
        <v>5</v>
      </c>
      <c r="CF924" s="16" t="s">
        <v>5</v>
      </c>
      <c r="CG924" s="16" t="s">
        <v>5</v>
      </c>
      <c r="CH924" s="18" t="s">
        <v>5</v>
      </c>
    </row>
    <row r="925" spans="2:86">
      <c r="B925" s="78" t="s">
        <v>473</v>
      </c>
      <c r="C925" s="79" t="s">
        <v>1025</v>
      </c>
      <c r="D925" s="80" t="s">
        <v>1025</v>
      </c>
      <c r="E925" s="1" t="s">
        <v>4</v>
      </c>
      <c r="F925" s="4">
        <v>35.799999999999997</v>
      </c>
      <c r="G925" s="4">
        <v>10.5</v>
      </c>
      <c r="H925" s="3" t="str">
        <f t="shared" si="33"/>
        <v>2L7X4X1/2X3/8SLBB</v>
      </c>
      <c r="I925" s="7">
        <v>4</v>
      </c>
      <c r="J925" s="5" t="s">
        <v>5</v>
      </c>
      <c r="K925" s="6" t="s">
        <v>5</v>
      </c>
      <c r="L925" s="6" t="s">
        <v>5</v>
      </c>
      <c r="M925" s="6" t="s">
        <v>5</v>
      </c>
      <c r="N925" s="6" t="s">
        <v>5</v>
      </c>
      <c r="O925" s="5" t="s">
        <v>5</v>
      </c>
      <c r="P925" s="5" t="s">
        <v>5</v>
      </c>
      <c r="Q925" s="7">
        <v>7</v>
      </c>
      <c r="R925" s="6" t="s">
        <v>5</v>
      </c>
      <c r="S925" s="6" t="s">
        <v>5</v>
      </c>
      <c r="T925" s="5" t="s">
        <v>5</v>
      </c>
      <c r="U925" s="8" t="s">
        <v>5</v>
      </c>
      <c r="V925" s="6" t="s">
        <v>5</v>
      </c>
      <c r="W925" s="8" t="s">
        <v>5</v>
      </c>
      <c r="X925" s="22">
        <v>0.5</v>
      </c>
      <c r="Y925" s="6" t="s">
        <v>5</v>
      </c>
      <c r="Z925" s="6" t="s">
        <v>5</v>
      </c>
      <c r="AA925" s="6" t="s">
        <v>5</v>
      </c>
      <c r="AB925" s="8" t="s">
        <v>5</v>
      </c>
      <c r="AC925" s="8" t="s">
        <v>5</v>
      </c>
      <c r="AD925" s="6" t="s">
        <v>5</v>
      </c>
      <c r="AE925" s="22">
        <v>0.91</v>
      </c>
      <c r="AF925" s="6" t="s">
        <v>5</v>
      </c>
      <c r="AG925" s="6" t="s">
        <v>5</v>
      </c>
      <c r="AH925" s="22">
        <v>0.376</v>
      </c>
      <c r="AI925" s="6" t="s">
        <v>5</v>
      </c>
      <c r="AJ925" s="4">
        <v>14</v>
      </c>
      <c r="AK925" s="6" t="s">
        <v>5</v>
      </c>
      <c r="AL925" s="6" t="s">
        <v>5</v>
      </c>
      <c r="AM925" s="6" t="s">
        <v>5</v>
      </c>
      <c r="AN925" s="6" t="s">
        <v>5</v>
      </c>
      <c r="AO925" s="4">
        <v>13</v>
      </c>
      <c r="AP925" s="7">
        <v>7.54</v>
      </c>
      <c r="AQ925" s="7">
        <v>4.2</v>
      </c>
      <c r="AR925" s="7">
        <v>1.1100000000000001</v>
      </c>
      <c r="AS925" s="6">
        <v>124</v>
      </c>
      <c r="AT925" s="6">
        <v>27.2</v>
      </c>
      <c r="AU925" s="6">
        <v>17.3</v>
      </c>
      <c r="AV925" s="7">
        <v>3.43</v>
      </c>
      <c r="AW925" s="6" t="s">
        <v>5</v>
      </c>
      <c r="AX925" s="6" t="s">
        <v>5</v>
      </c>
      <c r="AY925" s="6" t="s">
        <v>5</v>
      </c>
      <c r="AZ925" s="6" t="s">
        <v>5</v>
      </c>
      <c r="BA925" s="6" t="s">
        <v>5</v>
      </c>
      <c r="BB925" s="6" t="s">
        <v>5</v>
      </c>
      <c r="BC925" s="6" t="s">
        <v>5</v>
      </c>
      <c r="BD925" s="6" t="s">
        <v>5</v>
      </c>
      <c r="BE925" s="6" t="s">
        <v>5</v>
      </c>
      <c r="BF925" s="6" t="s">
        <v>5</v>
      </c>
      <c r="BG925" s="6" t="s">
        <v>5</v>
      </c>
      <c r="BH925" s="6" t="s">
        <v>5</v>
      </c>
      <c r="BI925" s="7">
        <v>3.66</v>
      </c>
      <c r="BJ925" s="22">
        <v>0.96799999999999997</v>
      </c>
      <c r="BK925" s="6" t="s">
        <v>5</v>
      </c>
      <c r="BL925" s="2" t="s">
        <v>5</v>
      </c>
      <c r="BM925" s="2" t="s">
        <v>5</v>
      </c>
      <c r="BN925" s="2" t="s">
        <v>5</v>
      </c>
      <c r="BO925" s="2" t="s">
        <v>5</v>
      </c>
      <c r="BP925" s="2" t="s">
        <v>5</v>
      </c>
      <c r="BQ925" s="2" t="s">
        <v>5</v>
      </c>
      <c r="BR925" s="2" t="s">
        <v>5</v>
      </c>
      <c r="BS925" s="2" t="s">
        <v>5</v>
      </c>
      <c r="BT925" s="2" t="s">
        <v>5</v>
      </c>
      <c r="BU925" s="2" t="s">
        <v>5</v>
      </c>
      <c r="BV925" s="2" t="s">
        <v>5</v>
      </c>
      <c r="BW925" s="2" t="s">
        <v>5</v>
      </c>
      <c r="BX925" s="2" t="s">
        <v>5</v>
      </c>
      <c r="BY925" s="25" t="s">
        <v>5</v>
      </c>
      <c r="BZ925" s="25" t="s">
        <v>5</v>
      </c>
      <c r="CA925" s="6" t="s">
        <v>5</v>
      </c>
      <c r="CB925" s="6" t="s">
        <v>5</v>
      </c>
      <c r="CC925" s="6" t="s">
        <v>5</v>
      </c>
      <c r="CD925" s="6" t="s">
        <v>5</v>
      </c>
      <c r="CE925" s="6" t="s">
        <v>5</v>
      </c>
      <c r="CF925" s="16" t="s">
        <v>5</v>
      </c>
      <c r="CG925" s="16" t="s">
        <v>5</v>
      </c>
      <c r="CH925" s="18" t="s">
        <v>5</v>
      </c>
    </row>
    <row r="926" spans="2:86">
      <c r="B926" s="78" t="s">
        <v>473</v>
      </c>
      <c r="C926" s="79" t="s">
        <v>1026</v>
      </c>
      <c r="D926" s="80" t="s">
        <v>1026</v>
      </c>
      <c r="E926" s="1" t="s">
        <v>4</v>
      </c>
      <c r="F926" s="4">
        <v>35.799999999999997</v>
      </c>
      <c r="G926" s="4">
        <v>10.5</v>
      </c>
      <c r="H926" s="3" t="str">
        <f t="shared" si="33"/>
        <v>2L7X4X1/2X3/4SLBB</v>
      </c>
      <c r="I926" s="7">
        <v>4</v>
      </c>
      <c r="J926" s="5" t="s">
        <v>5</v>
      </c>
      <c r="K926" s="6" t="s">
        <v>5</v>
      </c>
      <c r="L926" s="6" t="s">
        <v>5</v>
      </c>
      <c r="M926" s="6" t="s">
        <v>5</v>
      </c>
      <c r="N926" s="6" t="s">
        <v>5</v>
      </c>
      <c r="O926" s="5" t="s">
        <v>5</v>
      </c>
      <c r="P926" s="5" t="s">
        <v>5</v>
      </c>
      <c r="Q926" s="7">
        <v>7</v>
      </c>
      <c r="R926" s="6" t="s">
        <v>5</v>
      </c>
      <c r="S926" s="6" t="s">
        <v>5</v>
      </c>
      <c r="T926" s="5" t="s">
        <v>5</v>
      </c>
      <c r="U926" s="8" t="s">
        <v>5</v>
      </c>
      <c r="V926" s="6" t="s">
        <v>5</v>
      </c>
      <c r="W926" s="8" t="s">
        <v>5</v>
      </c>
      <c r="X926" s="22">
        <v>0.5</v>
      </c>
      <c r="Y926" s="6" t="s">
        <v>5</v>
      </c>
      <c r="Z926" s="6" t="s">
        <v>5</v>
      </c>
      <c r="AA926" s="6" t="s">
        <v>5</v>
      </c>
      <c r="AB926" s="8" t="s">
        <v>5</v>
      </c>
      <c r="AC926" s="8" t="s">
        <v>5</v>
      </c>
      <c r="AD926" s="6" t="s">
        <v>5</v>
      </c>
      <c r="AE926" s="22">
        <v>0.91</v>
      </c>
      <c r="AF926" s="6" t="s">
        <v>5</v>
      </c>
      <c r="AG926" s="6" t="s">
        <v>5</v>
      </c>
      <c r="AH926" s="22">
        <v>0.376</v>
      </c>
      <c r="AI926" s="6" t="s">
        <v>5</v>
      </c>
      <c r="AJ926" s="4">
        <v>14</v>
      </c>
      <c r="AK926" s="6" t="s">
        <v>5</v>
      </c>
      <c r="AL926" s="6" t="s">
        <v>5</v>
      </c>
      <c r="AM926" s="6" t="s">
        <v>5</v>
      </c>
      <c r="AN926" s="6" t="s">
        <v>5</v>
      </c>
      <c r="AO926" s="4">
        <v>13</v>
      </c>
      <c r="AP926" s="7">
        <v>7.54</v>
      </c>
      <c r="AQ926" s="7">
        <v>4.2</v>
      </c>
      <c r="AR926" s="7">
        <v>1.1100000000000001</v>
      </c>
      <c r="AS926" s="6">
        <v>134</v>
      </c>
      <c r="AT926" s="6">
        <v>29.2</v>
      </c>
      <c r="AU926" s="6">
        <v>18.2</v>
      </c>
      <c r="AV926" s="7">
        <v>3.57</v>
      </c>
      <c r="AW926" s="6" t="s">
        <v>5</v>
      </c>
      <c r="AX926" s="6" t="s">
        <v>5</v>
      </c>
      <c r="AY926" s="6" t="s">
        <v>5</v>
      </c>
      <c r="AZ926" s="6" t="s">
        <v>5</v>
      </c>
      <c r="BA926" s="6" t="s">
        <v>5</v>
      </c>
      <c r="BB926" s="6" t="s">
        <v>5</v>
      </c>
      <c r="BC926" s="6" t="s">
        <v>5</v>
      </c>
      <c r="BD926" s="6" t="s">
        <v>5</v>
      </c>
      <c r="BE926" s="6" t="s">
        <v>5</v>
      </c>
      <c r="BF926" s="6" t="s">
        <v>5</v>
      </c>
      <c r="BG926" s="6" t="s">
        <v>5</v>
      </c>
      <c r="BH926" s="6" t="s">
        <v>5</v>
      </c>
      <c r="BI926" s="7">
        <v>3.8</v>
      </c>
      <c r="BJ926" s="22">
        <v>0.97</v>
      </c>
      <c r="BK926" s="6" t="s">
        <v>5</v>
      </c>
      <c r="BL926" s="2" t="s">
        <v>5</v>
      </c>
      <c r="BM926" s="2" t="s">
        <v>5</v>
      </c>
      <c r="BN926" s="2" t="s">
        <v>5</v>
      </c>
      <c r="BO926" s="2" t="s">
        <v>5</v>
      </c>
      <c r="BP926" s="2" t="s">
        <v>5</v>
      </c>
      <c r="BQ926" s="2" t="s">
        <v>5</v>
      </c>
      <c r="BR926" s="2" t="s">
        <v>5</v>
      </c>
      <c r="BS926" s="2" t="s">
        <v>5</v>
      </c>
      <c r="BT926" s="2" t="s">
        <v>5</v>
      </c>
      <c r="BU926" s="2" t="s">
        <v>5</v>
      </c>
      <c r="BV926" s="2" t="s">
        <v>5</v>
      </c>
      <c r="BW926" s="2" t="s">
        <v>5</v>
      </c>
      <c r="BX926" s="2" t="s">
        <v>5</v>
      </c>
      <c r="BY926" s="25" t="s">
        <v>5</v>
      </c>
      <c r="BZ926" s="25" t="s">
        <v>5</v>
      </c>
      <c r="CA926" s="6" t="s">
        <v>5</v>
      </c>
      <c r="CB926" s="6" t="s">
        <v>5</v>
      </c>
      <c r="CC926" s="6" t="s">
        <v>5</v>
      </c>
      <c r="CD926" s="6" t="s">
        <v>5</v>
      </c>
      <c r="CE926" s="6" t="s">
        <v>5</v>
      </c>
      <c r="CF926" s="16" t="s">
        <v>5</v>
      </c>
      <c r="CG926" s="16" t="s">
        <v>5</v>
      </c>
      <c r="CH926" s="18" t="s">
        <v>5</v>
      </c>
    </row>
    <row r="927" spans="2:86">
      <c r="B927" s="78" t="s">
        <v>473</v>
      </c>
      <c r="C927" s="79" t="s">
        <v>1027</v>
      </c>
      <c r="D927" s="80" t="s">
        <v>1027</v>
      </c>
      <c r="E927" s="1" t="s">
        <v>4</v>
      </c>
      <c r="F927" s="4">
        <v>31.4</v>
      </c>
      <c r="G927" s="7">
        <v>9.26</v>
      </c>
      <c r="H927" s="3" t="str">
        <f t="shared" si="33"/>
        <v>2L7X4X7/16SLBB</v>
      </c>
      <c r="I927" s="7">
        <v>4</v>
      </c>
      <c r="J927" s="5" t="s">
        <v>5</v>
      </c>
      <c r="K927" s="6" t="s">
        <v>5</v>
      </c>
      <c r="L927" s="6" t="s">
        <v>5</v>
      </c>
      <c r="M927" s="6" t="s">
        <v>5</v>
      </c>
      <c r="N927" s="6" t="s">
        <v>5</v>
      </c>
      <c r="O927" s="5" t="s">
        <v>5</v>
      </c>
      <c r="P927" s="5" t="s">
        <v>5</v>
      </c>
      <c r="Q927" s="7">
        <v>7</v>
      </c>
      <c r="R927" s="6" t="s">
        <v>5</v>
      </c>
      <c r="S927" s="6" t="s">
        <v>5</v>
      </c>
      <c r="T927" s="5" t="s">
        <v>5</v>
      </c>
      <c r="U927" s="8" t="s">
        <v>5</v>
      </c>
      <c r="V927" s="6" t="s">
        <v>5</v>
      </c>
      <c r="W927" s="8" t="s">
        <v>5</v>
      </c>
      <c r="X927" s="22">
        <v>0.438</v>
      </c>
      <c r="Y927" s="6" t="s">
        <v>5</v>
      </c>
      <c r="Z927" s="6" t="s">
        <v>5</v>
      </c>
      <c r="AA927" s="6" t="s">
        <v>5</v>
      </c>
      <c r="AB927" s="8" t="s">
        <v>5</v>
      </c>
      <c r="AC927" s="8" t="s">
        <v>5</v>
      </c>
      <c r="AD927" s="6" t="s">
        <v>5</v>
      </c>
      <c r="AE927" s="22">
        <v>0.88600000000000001</v>
      </c>
      <c r="AF927" s="6" t="s">
        <v>5</v>
      </c>
      <c r="AG927" s="6" t="s">
        <v>5</v>
      </c>
      <c r="AH927" s="22">
        <v>0.33100000000000002</v>
      </c>
      <c r="AI927" s="6" t="s">
        <v>5</v>
      </c>
      <c r="AJ927" s="4">
        <v>16</v>
      </c>
      <c r="AK927" s="6" t="s">
        <v>5</v>
      </c>
      <c r="AL927" s="6" t="s">
        <v>5</v>
      </c>
      <c r="AM927" s="6" t="s">
        <v>5</v>
      </c>
      <c r="AN927" s="6" t="s">
        <v>5</v>
      </c>
      <c r="AO927" s="4">
        <v>11.6</v>
      </c>
      <c r="AP927" s="7">
        <v>6.61</v>
      </c>
      <c r="AQ927" s="7">
        <v>3.72</v>
      </c>
      <c r="AR927" s="7">
        <v>1.1200000000000001</v>
      </c>
      <c r="AS927" s="6">
        <v>99.6</v>
      </c>
      <c r="AT927" s="4">
        <v>22</v>
      </c>
      <c r="AU927" s="6">
        <v>14.2</v>
      </c>
      <c r="AV927" s="7">
        <v>3.28</v>
      </c>
      <c r="AW927" s="6" t="s">
        <v>5</v>
      </c>
      <c r="AX927" s="6" t="s">
        <v>5</v>
      </c>
      <c r="AY927" s="6" t="s">
        <v>5</v>
      </c>
      <c r="AZ927" s="6" t="s">
        <v>5</v>
      </c>
      <c r="BA927" s="6" t="s">
        <v>5</v>
      </c>
      <c r="BB927" s="6" t="s">
        <v>5</v>
      </c>
      <c r="BC927" s="6" t="s">
        <v>5</v>
      </c>
      <c r="BD927" s="6" t="s">
        <v>5</v>
      </c>
      <c r="BE927" s="6" t="s">
        <v>5</v>
      </c>
      <c r="BF927" s="6" t="s">
        <v>5</v>
      </c>
      <c r="BG927" s="6" t="s">
        <v>5</v>
      </c>
      <c r="BH927" s="6" t="s">
        <v>5</v>
      </c>
      <c r="BI927" s="7">
        <v>3.53</v>
      </c>
      <c r="BJ927" s="22">
        <v>0.96399999999999997</v>
      </c>
      <c r="BK927" s="6" t="s">
        <v>5</v>
      </c>
      <c r="BL927" s="2" t="s">
        <v>5</v>
      </c>
      <c r="BM927" s="2" t="s">
        <v>5</v>
      </c>
      <c r="BN927" s="2" t="s">
        <v>5</v>
      </c>
      <c r="BO927" s="2" t="s">
        <v>5</v>
      </c>
      <c r="BP927" s="2" t="s">
        <v>5</v>
      </c>
      <c r="BQ927" s="2" t="s">
        <v>5</v>
      </c>
      <c r="BR927" s="2" t="s">
        <v>5</v>
      </c>
      <c r="BS927" s="2" t="s">
        <v>5</v>
      </c>
      <c r="BT927" s="2" t="s">
        <v>5</v>
      </c>
      <c r="BU927" s="2" t="s">
        <v>5</v>
      </c>
      <c r="BV927" s="2" t="s">
        <v>5</v>
      </c>
      <c r="BW927" s="2" t="s">
        <v>5</v>
      </c>
      <c r="BX927" s="2" t="s">
        <v>5</v>
      </c>
      <c r="BY927" s="25" t="s">
        <v>5</v>
      </c>
      <c r="BZ927" s="25" t="s">
        <v>5</v>
      </c>
      <c r="CA927" s="6" t="s">
        <v>5</v>
      </c>
      <c r="CB927" s="6" t="s">
        <v>5</v>
      </c>
      <c r="CC927" s="6" t="s">
        <v>5</v>
      </c>
      <c r="CD927" s="6" t="s">
        <v>5</v>
      </c>
      <c r="CE927" s="6" t="s">
        <v>5</v>
      </c>
      <c r="CF927" s="16" t="s">
        <v>5</v>
      </c>
      <c r="CG927" s="16" t="s">
        <v>5</v>
      </c>
      <c r="CH927" s="18" t="s">
        <v>5</v>
      </c>
    </row>
    <row r="928" spans="2:86">
      <c r="B928" s="78" t="s">
        <v>473</v>
      </c>
      <c r="C928" s="79" t="s">
        <v>1028</v>
      </c>
      <c r="D928" s="80" t="s">
        <v>1028</v>
      </c>
      <c r="E928" s="1" t="s">
        <v>4</v>
      </c>
      <c r="F928" s="4">
        <v>31.4</v>
      </c>
      <c r="G928" s="7">
        <v>9.26</v>
      </c>
      <c r="H928" s="3" t="str">
        <f t="shared" si="33"/>
        <v>2L7X4X7/16X3/8SLBB</v>
      </c>
      <c r="I928" s="7">
        <v>4</v>
      </c>
      <c r="J928" s="5" t="s">
        <v>5</v>
      </c>
      <c r="K928" s="6" t="s">
        <v>5</v>
      </c>
      <c r="L928" s="6" t="s">
        <v>5</v>
      </c>
      <c r="M928" s="6" t="s">
        <v>5</v>
      </c>
      <c r="N928" s="6" t="s">
        <v>5</v>
      </c>
      <c r="O928" s="5" t="s">
        <v>5</v>
      </c>
      <c r="P928" s="5" t="s">
        <v>5</v>
      </c>
      <c r="Q928" s="7">
        <v>7</v>
      </c>
      <c r="R928" s="6" t="s">
        <v>5</v>
      </c>
      <c r="S928" s="6" t="s">
        <v>5</v>
      </c>
      <c r="T928" s="5" t="s">
        <v>5</v>
      </c>
      <c r="U928" s="8" t="s">
        <v>5</v>
      </c>
      <c r="V928" s="6" t="s">
        <v>5</v>
      </c>
      <c r="W928" s="8" t="s">
        <v>5</v>
      </c>
      <c r="X928" s="22">
        <v>0.438</v>
      </c>
      <c r="Y928" s="6" t="s">
        <v>5</v>
      </c>
      <c r="Z928" s="6" t="s">
        <v>5</v>
      </c>
      <c r="AA928" s="6" t="s">
        <v>5</v>
      </c>
      <c r="AB928" s="8" t="s">
        <v>5</v>
      </c>
      <c r="AC928" s="8" t="s">
        <v>5</v>
      </c>
      <c r="AD928" s="6" t="s">
        <v>5</v>
      </c>
      <c r="AE928" s="22">
        <v>0.88600000000000001</v>
      </c>
      <c r="AF928" s="6" t="s">
        <v>5</v>
      </c>
      <c r="AG928" s="6" t="s">
        <v>5</v>
      </c>
      <c r="AH928" s="22">
        <v>0.33100000000000002</v>
      </c>
      <c r="AI928" s="6" t="s">
        <v>5</v>
      </c>
      <c r="AJ928" s="4">
        <v>16</v>
      </c>
      <c r="AK928" s="6" t="s">
        <v>5</v>
      </c>
      <c r="AL928" s="6" t="s">
        <v>5</v>
      </c>
      <c r="AM928" s="6" t="s">
        <v>5</v>
      </c>
      <c r="AN928" s="6" t="s">
        <v>5</v>
      </c>
      <c r="AO928" s="4">
        <v>11.6</v>
      </c>
      <c r="AP928" s="7">
        <v>6.61</v>
      </c>
      <c r="AQ928" s="7">
        <v>3.72</v>
      </c>
      <c r="AR928" s="7">
        <v>1.1200000000000001</v>
      </c>
      <c r="AS928" s="6">
        <v>108</v>
      </c>
      <c r="AT928" s="6">
        <v>23.8</v>
      </c>
      <c r="AU928" s="4">
        <v>15</v>
      </c>
      <c r="AV928" s="7">
        <v>3.42</v>
      </c>
      <c r="AW928" s="6" t="s">
        <v>5</v>
      </c>
      <c r="AX928" s="6" t="s">
        <v>5</v>
      </c>
      <c r="AY928" s="6" t="s">
        <v>5</v>
      </c>
      <c r="AZ928" s="6" t="s">
        <v>5</v>
      </c>
      <c r="BA928" s="6" t="s">
        <v>5</v>
      </c>
      <c r="BB928" s="6" t="s">
        <v>5</v>
      </c>
      <c r="BC928" s="6" t="s">
        <v>5</v>
      </c>
      <c r="BD928" s="6" t="s">
        <v>5</v>
      </c>
      <c r="BE928" s="6" t="s">
        <v>5</v>
      </c>
      <c r="BF928" s="6" t="s">
        <v>5</v>
      </c>
      <c r="BG928" s="6" t="s">
        <v>5</v>
      </c>
      <c r="BH928" s="6" t="s">
        <v>5</v>
      </c>
      <c r="BI928" s="7">
        <v>3.66</v>
      </c>
      <c r="BJ928" s="22">
        <v>0.96699999999999997</v>
      </c>
      <c r="BK928" s="6" t="s">
        <v>5</v>
      </c>
      <c r="BL928" s="2" t="s">
        <v>5</v>
      </c>
      <c r="BM928" s="2" t="s">
        <v>5</v>
      </c>
      <c r="BN928" s="2" t="s">
        <v>5</v>
      </c>
      <c r="BO928" s="2" t="s">
        <v>5</v>
      </c>
      <c r="BP928" s="2" t="s">
        <v>5</v>
      </c>
      <c r="BQ928" s="2" t="s">
        <v>5</v>
      </c>
      <c r="BR928" s="2" t="s">
        <v>5</v>
      </c>
      <c r="BS928" s="2" t="s">
        <v>5</v>
      </c>
      <c r="BT928" s="2" t="s">
        <v>5</v>
      </c>
      <c r="BU928" s="2" t="s">
        <v>5</v>
      </c>
      <c r="BV928" s="2" t="s">
        <v>5</v>
      </c>
      <c r="BW928" s="2" t="s">
        <v>5</v>
      </c>
      <c r="BX928" s="2" t="s">
        <v>5</v>
      </c>
      <c r="BY928" s="25" t="s">
        <v>5</v>
      </c>
      <c r="BZ928" s="25" t="s">
        <v>5</v>
      </c>
      <c r="CA928" s="6" t="s">
        <v>5</v>
      </c>
      <c r="CB928" s="6" t="s">
        <v>5</v>
      </c>
      <c r="CC928" s="6" t="s">
        <v>5</v>
      </c>
      <c r="CD928" s="6" t="s">
        <v>5</v>
      </c>
      <c r="CE928" s="6" t="s">
        <v>5</v>
      </c>
      <c r="CF928" s="16" t="s">
        <v>5</v>
      </c>
      <c r="CG928" s="16" t="s">
        <v>5</v>
      </c>
      <c r="CH928" s="18" t="s">
        <v>5</v>
      </c>
    </row>
    <row r="929" spans="2:86">
      <c r="B929" s="78" t="s">
        <v>473</v>
      </c>
      <c r="C929" s="79" t="s">
        <v>1029</v>
      </c>
      <c r="D929" s="80" t="s">
        <v>1029</v>
      </c>
      <c r="E929" s="1" t="s">
        <v>4</v>
      </c>
      <c r="F929" s="4">
        <v>31.4</v>
      </c>
      <c r="G929" s="7">
        <v>9.26</v>
      </c>
      <c r="H929" s="3" t="str">
        <f t="shared" si="33"/>
        <v>2L7X4X7/16X3/4SLBB</v>
      </c>
      <c r="I929" s="7">
        <v>4</v>
      </c>
      <c r="J929" s="5" t="s">
        <v>5</v>
      </c>
      <c r="K929" s="6" t="s">
        <v>5</v>
      </c>
      <c r="L929" s="6" t="s">
        <v>5</v>
      </c>
      <c r="M929" s="6" t="s">
        <v>5</v>
      </c>
      <c r="N929" s="6" t="s">
        <v>5</v>
      </c>
      <c r="O929" s="5" t="s">
        <v>5</v>
      </c>
      <c r="P929" s="5" t="s">
        <v>5</v>
      </c>
      <c r="Q929" s="7">
        <v>7</v>
      </c>
      <c r="R929" s="6" t="s">
        <v>5</v>
      </c>
      <c r="S929" s="6" t="s">
        <v>5</v>
      </c>
      <c r="T929" s="5" t="s">
        <v>5</v>
      </c>
      <c r="U929" s="8" t="s">
        <v>5</v>
      </c>
      <c r="V929" s="6" t="s">
        <v>5</v>
      </c>
      <c r="W929" s="8" t="s">
        <v>5</v>
      </c>
      <c r="X929" s="22">
        <v>0.438</v>
      </c>
      <c r="Y929" s="6" t="s">
        <v>5</v>
      </c>
      <c r="Z929" s="6" t="s">
        <v>5</v>
      </c>
      <c r="AA929" s="6" t="s">
        <v>5</v>
      </c>
      <c r="AB929" s="8" t="s">
        <v>5</v>
      </c>
      <c r="AC929" s="8" t="s">
        <v>5</v>
      </c>
      <c r="AD929" s="6" t="s">
        <v>5</v>
      </c>
      <c r="AE929" s="22">
        <v>0.88600000000000001</v>
      </c>
      <c r="AF929" s="6" t="s">
        <v>5</v>
      </c>
      <c r="AG929" s="6" t="s">
        <v>5</v>
      </c>
      <c r="AH929" s="22">
        <v>0.33100000000000002</v>
      </c>
      <c r="AI929" s="6" t="s">
        <v>5</v>
      </c>
      <c r="AJ929" s="4">
        <v>16</v>
      </c>
      <c r="AK929" s="6" t="s">
        <v>5</v>
      </c>
      <c r="AL929" s="6" t="s">
        <v>5</v>
      </c>
      <c r="AM929" s="6" t="s">
        <v>5</v>
      </c>
      <c r="AN929" s="6" t="s">
        <v>5</v>
      </c>
      <c r="AO929" s="4">
        <v>11.6</v>
      </c>
      <c r="AP929" s="7">
        <v>6.61</v>
      </c>
      <c r="AQ929" s="7">
        <v>3.72</v>
      </c>
      <c r="AR929" s="7">
        <v>1.1200000000000001</v>
      </c>
      <c r="AS929" s="6">
        <v>117</v>
      </c>
      <c r="AT929" s="6">
        <v>25.5</v>
      </c>
      <c r="AU929" s="6">
        <v>15.9</v>
      </c>
      <c r="AV929" s="7">
        <v>3.56</v>
      </c>
      <c r="AW929" s="6" t="s">
        <v>5</v>
      </c>
      <c r="AX929" s="6" t="s">
        <v>5</v>
      </c>
      <c r="AY929" s="6" t="s">
        <v>5</v>
      </c>
      <c r="AZ929" s="6" t="s">
        <v>5</v>
      </c>
      <c r="BA929" s="6" t="s">
        <v>5</v>
      </c>
      <c r="BB929" s="6" t="s">
        <v>5</v>
      </c>
      <c r="BC929" s="6" t="s">
        <v>5</v>
      </c>
      <c r="BD929" s="6" t="s">
        <v>5</v>
      </c>
      <c r="BE929" s="6" t="s">
        <v>5</v>
      </c>
      <c r="BF929" s="6" t="s">
        <v>5</v>
      </c>
      <c r="BG929" s="6" t="s">
        <v>5</v>
      </c>
      <c r="BH929" s="6" t="s">
        <v>5</v>
      </c>
      <c r="BI929" s="7">
        <v>3.79</v>
      </c>
      <c r="BJ929" s="22">
        <v>0.96899999999999997</v>
      </c>
      <c r="BK929" s="6" t="s">
        <v>5</v>
      </c>
      <c r="BL929" s="2" t="s">
        <v>5</v>
      </c>
      <c r="BM929" s="2" t="s">
        <v>5</v>
      </c>
      <c r="BN929" s="2" t="s">
        <v>5</v>
      </c>
      <c r="BO929" s="2" t="s">
        <v>5</v>
      </c>
      <c r="BP929" s="2" t="s">
        <v>5</v>
      </c>
      <c r="BQ929" s="2" t="s">
        <v>5</v>
      </c>
      <c r="BR929" s="2" t="s">
        <v>5</v>
      </c>
      <c r="BS929" s="2" t="s">
        <v>5</v>
      </c>
      <c r="BT929" s="2" t="s">
        <v>5</v>
      </c>
      <c r="BU929" s="2" t="s">
        <v>5</v>
      </c>
      <c r="BV929" s="2" t="s">
        <v>5</v>
      </c>
      <c r="BW929" s="2" t="s">
        <v>5</v>
      </c>
      <c r="BX929" s="2" t="s">
        <v>5</v>
      </c>
      <c r="BY929" s="25" t="s">
        <v>5</v>
      </c>
      <c r="BZ929" s="25" t="s">
        <v>5</v>
      </c>
      <c r="CA929" s="6" t="s">
        <v>5</v>
      </c>
      <c r="CB929" s="6" t="s">
        <v>5</v>
      </c>
      <c r="CC929" s="6" t="s">
        <v>5</v>
      </c>
      <c r="CD929" s="6" t="s">
        <v>5</v>
      </c>
      <c r="CE929" s="6" t="s">
        <v>5</v>
      </c>
      <c r="CF929" s="16" t="s">
        <v>5</v>
      </c>
      <c r="CG929" s="16" t="s">
        <v>5</v>
      </c>
      <c r="CH929" s="18" t="s">
        <v>5</v>
      </c>
    </row>
    <row r="930" spans="2:86">
      <c r="B930" s="78" t="s">
        <v>473</v>
      </c>
      <c r="C930" s="79" t="s">
        <v>1030</v>
      </c>
      <c r="D930" s="80" t="s">
        <v>1030</v>
      </c>
      <c r="E930" s="1" t="s">
        <v>4</v>
      </c>
      <c r="F930" s="4">
        <v>27.2</v>
      </c>
      <c r="G930" s="7">
        <v>8</v>
      </c>
      <c r="H930" s="3" t="str">
        <f t="shared" si="33"/>
        <v>2L7X4X3/8SLBB</v>
      </c>
      <c r="I930" s="7">
        <v>4</v>
      </c>
      <c r="J930" s="5" t="s">
        <v>5</v>
      </c>
      <c r="K930" s="6" t="s">
        <v>5</v>
      </c>
      <c r="L930" s="6" t="s">
        <v>5</v>
      </c>
      <c r="M930" s="6" t="s">
        <v>5</v>
      </c>
      <c r="N930" s="6" t="s">
        <v>5</v>
      </c>
      <c r="O930" s="5" t="s">
        <v>5</v>
      </c>
      <c r="P930" s="5" t="s">
        <v>5</v>
      </c>
      <c r="Q930" s="7">
        <v>7</v>
      </c>
      <c r="R930" s="6" t="s">
        <v>5</v>
      </c>
      <c r="S930" s="6" t="s">
        <v>5</v>
      </c>
      <c r="T930" s="5" t="s">
        <v>5</v>
      </c>
      <c r="U930" s="8" t="s">
        <v>5</v>
      </c>
      <c r="V930" s="6" t="s">
        <v>5</v>
      </c>
      <c r="W930" s="8" t="s">
        <v>5</v>
      </c>
      <c r="X930" s="22">
        <v>0.375</v>
      </c>
      <c r="Y930" s="6" t="s">
        <v>5</v>
      </c>
      <c r="Z930" s="6" t="s">
        <v>5</v>
      </c>
      <c r="AA930" s="6" t="s">
        <v>5</v>
      </c>
      <c r="AB930" s="8" t="s">
        <v>5</v>
      </c>
      <c r="AC930" s="8" t="s">
        <v>5</v>
      </c>
      <c r="AD930" s="6" t="s">
        <v>5</v>
      </c>
      <c r="AE930" s="22">
        <v>0.86099999999999999</v>
      </c>
      <c r="AF930" s="6" t="s">
        <v>5</v>
      </c>
      <c r="AG930" s="6" t="s">
        <v>5</v>
      </c>
      <c r="AH930" s="22">
        <v>0.28599999999999998</v>
      </c>
      <c r="AI930" s="6" t="s">
        <v>5</v>
      </c>
      <c r="AJ930" s="4">
        <v>18.7</v>
      </c>
      <c r="AK930" s="6" t="s">
        <v>5</v>
      </c>
      <c r="AL930" s="6" t="s">
        <v>5</v>
      </c>
      <c r="AM930" s="6" t="s">
        <v>5</v>
      </c>
      <c r="AN930" s="6" t="s">
        <v>5</v>
      </c>
      <c r="AO930" s="4">
        <v>10.1</v>
      </c>
      <c r="AP930" s="7">
        <v>5.68</v>
      </c>
      <c r="AQ930" s="7">
        <v>3.22</v>
      </c>
      <c r="AR930" s="7">
        <v>1.1200000000000001</v>
      </c>
      <c r="AS930" s="4">
        <v>85</v>
      </c>
      <c r="AT930" s="6">
        <v>18.8</v>
      </c>
      <c r="AU930" s="6">
        <v>12.1</v>
      </c>
      <c r="AV930" s="7">
        <v>3.26</v>
      </c>
      <c r="AW930" s="6" t="s">
        <v>5</v>
      </c>
      <c r="AX930" s="6" t="s">
        <v>5</v>
      </c>
      <c r="AY930" s="6" t="s">
        <v>5</v>
      </c>
      <c r="AZ930" s="6" t="s">
        <v>5</v>
      </c>
      <c r="BA930" s="6" t="s">
        <v>5</v>
      </c>
      <c r="BB930" s="6" t="s">
        <v>5</v>
      </c>
      <c r="BC930" s="6" t="s">
        <v>5</v>
      </c>
      <c r="BD930" s="6" t="s">
        <v>5</v>
      </c>
      <c r="BE930" s="6" t="s">
        <v>5</v>
      </c>
      <c r="BF930" s="6" t="s">
        <v>5</v>
      </c>
      <c r="BG930" s="6" t="s">
        <v>5</v>
      </c>
      <c r="BH930" s="6" t="s">
        <v>5</v>
      </c>
      <c r="BI930" s="7">
        <v>3.52</v>
      </c>
      <c r="BJ930" s="22">
        <v>0.96299999999999997</v>
      </c>
      <c r="BK930" s="6" t="s">
        <v>5</v>
      </c>
      <c r="BL930" s="2" t="s">
        <v>5</v>
      </c>
      <c r="BM930" s="2" t="s">
        <v>5</v>
      </c>
      <c r="BN930" s="2" t="s">
        <v>5</v>
      </c>
      <c r="BO930" s="2" t="s">
        <v>5</v>
      </c>
      <c r="BP930" s="2" t="s">
        <v>5</v>
      </c>
      <c r="BQ930" s="2" t="s">
        <v>5</v>
      </c>
      <c r="BR930" s="2" t="s">
        <v>5</v>
      </c>
      <c r="BS930" s="2" t="s">
        <v>5</v>
      </c>
      <c r="BT930" s="2" t="s">
        <v>5</v>
      </c>
      <c r="BU930" s="2" t="s">
        <v>5</v>
      </c>
      <c r="BV930" s="2" t="s">
        <v>5</v>
      </c>
      <c r="BW930" s="2" t="s">
        <v>5</v>
      </c>
      <c r="BX930" s="2" t="s">
        <v>5</v>
      </c>
      <c r="BY930" s="25" t="s">
        <v>5</v>
      </c>
      <c r="BZ930" s="25" t="s">
        <v>5</v>
      </c>
      <c r="CA930" s="6" t="s">
        <v>5</v>
      </c>
      <c r="CB930" s="6" t="s">
        <v>5</v>
      </c>
      <c r="CC930" s="6" t="s">
        <v>5</v>
      </c>
      <c r="CD930" s="6" t="s">
        <v>5</v>
      </c>
      <c r="CE930" s="6" t="s">
        <v>5</v>
      </c>
      <c r="CF930" s="16" t="s">
        <v>5</v>
      </c>
      <c r="CG930" s="16" t="s">
        <v>5</v>
      </c>
      <c r="CH930" s="18" t="s">
        <v>5</v>
      </c>
    </row>
    <row r="931" spans="2:86">
      <c r="B931" s="78" t="s">
        <v>473</v>
      </c>
      <c r="C931" s="79" t="s">
        <v>1031</v>
      </c>
      <c r="D931" s="80" t="s">
        <v>1031</v>
      </c>
      <c r="E931" s="1" t="s">
        <v>4</v>
      </c>
      <c r="F931" s="4">
        <v>27.2</v>
      </c>
      <c r="G931" s="7">
        <v>8</v>
      </c>
      <c r="H931" s="3" t="str">
        <f t="shared" si="33"/>
        <v>2L7X4X3/8X3/8SLBB</v>
      </c>
      <c r="I931" s="7">
        <v>4</v>
      </c>
      <c r="J931" s="5" t="s">
        <v>5</v>
      </c>
      <c r="K931" s="6" t="s">
        <v>5</v>
      </c>
      <c r="L931" s="6" t="s">
        <v>5</v>
      </c>
      <c r="M931" s="6" t="s">
        <v>5</v>
      </c>
      <c r="N931" s="6" t="s">
        <v>5</v>
      </c>
      <c r="O931" s="5" t="s">
        <v>5</v>
      </c>
      <c r="P931" s="5" t="s">
        <v>5</v>
      </c>
      <c r="Q931" s="7">
        <v>7</v>
      </c>
      <c r="R931" s="6" t="s">
        <v>5</v>
      </c>
      <c r="S931" s="6" t="s">
        <v>5</v>
      </c>
      <c r="T931" s="5" t="s">
        <v>5</v>
      </c>
      <c r="U931" s="8" t="s">
        <v>5</v>
      </c>
      <c r="V931" s="6" t="s">
        <v>5</v>
      </c>
      <c r="W931" s="8" t="s">
        <v>5</v>
      </c>
      <c r="X931" s="22">
        <v>0.375</v>
      </c>
      <c r="Y931" s="6" t="s">
        <v>5</v>
      </c>
      <c r="Z931" s="6" t="s">
        <v>5</v>
      </c>
      <c r="AA931" s="6" t="s">
        <v>5</v>
      </c>
      <c r="AB931" s="8" t="s">
        <v>5</v>
      </c>
      <c r="AC931" s="8" t="s">
        <v>5</v>
      </c>
      <c r="AD931" s="6" t="s">
        <v>5</v>
      </c>
      <c r="AE931" s="22">
        <v>0.86099999999999999</v>
      </c>
      <c r="AF931" s="6" t="s">
        <v>5</v>
      </c>
      <c r="AG931" s="6" t="s">
        <v>5</v>
      </c>
      <c r="AH931" s="22">
        <v>0.28599999999999998</v>
      </c>
      <c r="AI931" s="6" t="s">
        <v>5</v>
      </c>
      <c r="AJ931" s="4">
        <v>18.7</v>
      </c>
      <c r="AK931" s="6" t="s">
        <v>5</v>
      </c>
      <c r="AL931" s="6" t="s">
        <v>5</v>
      </c>
      <c r="AM931" s="6" t="s">
        <v>5</v>
      </c>
      <c r="AN931" s="6" t="s">
        <v>5</v>
      </c>
      <c r="AO931" s="4">
        <v>10.1</v>
      </c>
      <c r="AP931" s="7">
        <v>5.68</v>
      </c>
      <c r="AQ931" s="7">
        <v>3.22</v>
      </c>
      <c r="AR931" s="7">
        <v>1.1200000000000001</v>
      </c>
      <c r="AS931" s="6">
        <v>92.5</v>
      </c>
      <c r="AT931" s="6">
        <v>20.3</v>
      </c>
      <c r="AU931" s="6">
        <v>12.9</v>
      </c>
      <c r="AV931" s="7">
        <v>3.4</v>
      </c>
      <c r="AW931" s="6" t="s">
        <v>5</v>
      </c>
      <c r="AX931" s="6" t="s">
        <v>5</v>
      </c>
      <c r="AY931" s="6" t="s">
        <v>5</v>
      </c>
      <c r="AZ931" s="6" t="s">
        <v>5</v>
      </c>
      <c r="BA931" s="6" t="s">
        <v>5</v>
      </c>
      <c r="BB931" s="6" t="s">
        <v>5</v>
      </c>
      <c r="BC931" s="6" t="s">
        <v>5</v>
      </c>
      <c r="BD931" s="6" t="s">
        <v>5</v>
      </c>
      <c r="BE931" s="6" t="s">
        <v>5</v>
      </c>
      <c r="BF931" s="6" t="s">
        <v>5</v>
      </c>
      <c r="BG931" s="6" t="s">
        <v>5</v>
      </c>
      <c r="BH931" s="6" t="s">
        <v>5</v>
      </c>
      <c r="BI931" s="7">
        <v>3.65</v>
      </c>
      <c r="BJ931" s="22">
        <v>0.96599999999999997</v>
      </c>
      <c r="BK931" s="6" t="s">
        <v>5</v>
      </c>
      <c r="BL931" s="2" t="s">
        <v>5</v>
      </c>
      <c r="BM931" s="2" t="s">
        <v>5</v>
      </c>
      <c r="BN931" s="2" t="s">
        <v>5</v>
      </c>
      <c r="BO931" s="2" t="s">
        <v>5</v>
      </c>
      <c r="BP931" s="2" t="s">
        <v>5</v>
      </c>
      <c r="BQ931" s="2" t="s">
        <v>5</v>
      </c>
      <c r="BR931" s="2" t="s">
        <v>5</v>
      </c>
      <c r="BS931" s="2" t="s">
        <v>5</v>
      </c>
      <c r="BT931" s="2" t="s">
        <v>5</v>
      </c>
      <c r="BU931" s="2" t="s">
        <v>5</v>
      </c>
      <c r="BV931" s="2" t="s">
        <v>5</v>
      </c>
      <c r="BW931" s="2" t="s">
        <v>5</v>
      </c>
      <c r="BX931" s="2" t="s">
        <v>5</v>
      </c>
      <c r="BY931" s="25" t="s">
        <v>5</v>
      </c>
      <c r="BZ931" s="25" t="s">
        <v>5</v>
      </c>
      <c r="CA931" s="6" t="s">
        <v>5</v>
      </c>
      <c r="CB931" s="6" t="s">
        <v>5</v>
      </c>
      <c r="CC931" s="6" t="s">
        <v>5</v>
      </c>
      <c r="CD931" s="6" t="s">
        <v>5</v>
      </c>
      <c r="CE931" s="6" t="s">
        <v>5</v>
      </c>
      <c r="CF931" s="16" t="s">
        <v>5</v>
      </c>
      <c r="CG931" s="16" t="s">
        <v>5</v>
      </c>
      <c r="CH931" s="18" t="s">
        <v>5</v>
      </c>
    </row>
    <row r="932" spans="2:86">
      <c r="B932" s="78" t="s">
        <v>473</v>
      </c>
      <c r="C932" s="79" t="s">
        <v>1032</v>
      </c>
      <c r="D932" s="80" t="s">
        <v>1032</v>
      </c>
      <c r="E932" s="1" t="s">
        <v>4</v>
      </c>
      <c r="F932" s="4">
        <v>27.2</v>
      </c>
      <c r="G932" s="7">
        <v>8</v>
      </c>
      <c r="H932" s="3" t="str">
        <f t="shared" si="33"/>
        <v>2L7X4X3/8X3/4SLBB</v>
      </c>
      <c r="I932" s="7">
        <v>4</v>
      </c>
      <c r="J932" s="5" t="s">
        <v>5</v>
      </c>
      <c r="K932" s="6" t="s">
        <v>5</v>
      </c>
      <c r="L932" s="6" t="s">
        <v>5</v>
      </c>
      <c r="M932" s="6" t="s">
        <v>5</v>
      </c>
      <c r="N932" s="6" t="s">
        <v>5</v>
      </c>
      <c r="O932" s="5" t="s">
        <v>5</v>
      </c>
      <c r="P932" s="5" t="s">
        <v>5</v>
      </c>
      <c r="Q932" s="7">
        <v>7</v>
      </c>
      <c r="R932" s="6" t="s">
        <v>5</v>
      </c>
      <c r="S932" s="6" t="s">
        <v>5</v>
      </c>
      <c r="T932" s="5" t="s">
        <v>5</v>
      </c>
      <c r="U932" s="8" t="s">
        <v>5</v>
      </c>
      <c r="V932" s="6" t="s">
        <v>5</v>
      </c>
      <c r="W932" s="8" t="s">
        <v>5</v>
      </c>
      <c r="X932" s="22">
        <v>0.375</v>
      </c>
      <c r="Y932" s="6" t="s">
        <v>5</v>
      </c>
      <c r="Z932" s="6" t="s">
        <v>5</v>
      </c>
      <c r="AA932" s="6" t="s">
        <v>5</v>
      </c>
      <c r="AB932" s="8" t="s">
        <v>5</v>
      </c>
      <c r="AC932" s="8" t="s">
        <v>5</v>
      </c>
      <c r="AD932" s="6" t="s">
        <v>5</v>
      </c>
      <c r="AE932" s="22">
        <v>0.86099999999999999</v>
      </c>
      <c r="AF932" s="6" t="s">
        <v>5</v>
      </c>
      <c r="AG932" s="6" t="s">
        <v>5</v>
      </c>
      <c r="AH932" s="22">
        <v>0.28599999999999998</v>
      </c>
      <c r="AI932" s="6" t="s">
        <v>5</v>
      </c>
      <c r="AJ932" s="4">
        <v>18.7</v>
      </c>
      <c r="AK932" s="6" t="s">
        <v>5</v>
      </c>
      <c r="AL932" s="6" t="s">
        <v>5</v>
      </c>
      <c r="AM932" s="6" t="s">
        <v>5</v>
      </c>
      <c r="AN932" s="6" t="s">
        <v>5</v>
      </c>
      <c r="AO932" s="4">
        <v>10.1</v>
      </c>
      <c r="AP932" s="7">
        <v>5.68</v>
      </c>
      <c r="AQ932" s="7">
        <v>3.22</v>
      </c>
      <c r="AR932" s="7">
        <v>1.1200000000000001</v>
      </c>
      <c r="AS932" s="6">
        <v>100</v>
      </c>
      <c r="AT932" s="6">
        <v>21.8</v>
      </c>
      <c r="AU932" s="6">
        <v>13.6</v>
      </c>
      <c r="AV932" s="7">
        <v>3.54</v>
      </c>
      <c r="AW932" s="6" t="s">
        <v>5</v>
      </c>
      <c r="AX932" s="6" t="s">
        <v>5</v>
      </c>
      <c r="AY932" s="6" t="s">
        <v>5</v>
      </c>
      <c r="AZ932" s="6" t="s">
        <v>5</v>
      </c>
      <c r="BA932" s="6" t="s">
        <v>5</v>
      </c>
      <c r="BB932" s="6" t="s">
        <v>5</v>
      </c>
      <c r="BC932" s="6" t="s">
        <v>5</v>
      </c>
      <c r="BD932" s="6" t="s">
        <v>5</v>
      </c>
      <c r="BE932" s="6" t="s">
        <v>5</v>
      </c>
      <c r="BF932" s="6" t="s">
        <v>5</v>
      </c>
      <c r="BG932" s="6" t="s">
        <v>5</v>
      </c>
      <c r="BH932" s="6" t="s">
        <v>5</v>
      </c>
      <c r="BI932" s="7">
        <v>3.78</v>
      </c>
      <c r="BJ932" s="22">
        <v>0.96799999999999997</v>
      </c>
      <c r="BK932" s="6" t="s">
        <v>5</v>
      </c>
      <c r="BL932" s="2" t="s">
        <v>5</v>
      </c>
      <c r="BM932" s="2" t="s">
        <v>5</v>
      </c>
      <c r="BN932" s="2" t="s">
        <v>5</v>
      </c>
      <c r="BO932" s="2" t="s">
        <v>5</v>
      </c>
      <c r="BP932" s="2" t="s">
        <v>5</v>
      </c>
      <c r="BQ932" s="2" t="s">
        <v>5</v>
      </c>
      <c r="BR932" s="2" t="s">
        <v>5</v>
      </c>
      <c r="BS932" s="2" t="s">
        <v>5</v>
      </c>
      <c r="BT932" s="2" t="s">
        <v>5</v>
      </c>
      <c r="BU932" s="2" t="s">
        <v>5</v>
      </c>
      <c r="BV932" s="2" t="s">
        <v>5</v>
      </c>
      <c r="BW932" s="2" t="s">
        <v>5</v>
      </c>
      <c r="BX932" s="2" t="s">
        <v>5</v>
      </c>
      <c r="BY932" s="25" t="s">
        <v>5</v>
      </c>
      <c r="BZ932" s="25" t="s">
        <v>5</v>
      </c>
      <c r="CA932" s="6" t="s">
        <v>5</v>
      </c>
      <c r="CB932" s="6" t="s">
        <v>5</v>
      </c>
      <c r="CC932" s="6" t="s">
        <v>5</v>
      </c>
      <c r="CD932" s="6" t="s">
        <v>5</v>
      </c>
      <c r="CE932" s="6" t="s">
        <v>5</v>
      </c>
      <c r="CF932" s="16" t="s">
        <v>5</v>
      </c>
      <c r="CG932" s="16" t="s">
        <v>5</v>
      </c>
      <c r="CH932" s="18" t="s">
        <v>5</v>
      </c>
    </row>
    <row r="933" spans="2:86">
      <c r="B933" s="78" t="s">
        <v>473</v>
      </c>
      <c r="C933" s="79" t="s">
        <v>1033</v>
      </c>
      <c r="D933" s="80" t="s">
        <v>1033</v>
      </c>
      <c r="E933" s="1" t="s">
        <v>4</v>
      </c>
      <c r="F933" s="4">
        <v>54.4</v>
      </c>
      <c r="G933" s="4">
        <v>16</v>
      </c>
      <c r="H933" s="3" t="str">
        <f t="shared" si="33"/>
        <v>2L6X4X7/8SLBB</v>
      </c>
      <c r="I933" s="7">
        <v>4</v>
      </c>
      <c r="J933" s="5" t="s">
        <v>5</v>
      </c>
      <c r="K933" s="6" t="s">
        <v>5</v>
      </c>
      <c r="L933" s="6" t="s">
        <v>5</v>
      </c>
      <c r="M933" s="6" t="s">
        <v>5</v>
      </c>
      <c r="N933" s="6" t="s">
        <v>5</v>
      </c>
      <c r="O933" s="5" t="s">
        <v>5</v>
      </c>
      <c r="P933" s="5" t="s">
        <v>5</v>
      </c>
      <c r="Q933" s="7">
        <v>6</v>
      </c>
      <c r="R933" s="6" t="s">
        <v>5</v>
      </c>
      <c r="S933" s="6" t="s">
        <v>5</v>
      </c>
      <c r="T933" s="5" t="s">
        <v>5</v>
      </c>
      <c r="U933" s="8" t="s">
        <v>5</v>
      </c>
      <c r="V933" s="6" t="s">
        <v>5</v>
      </c>
      <c r="W933" s="8" t="s">
        <v>5</v>
      </c>
      <c r="X933" s="22">
        <v>0.875</v>
      </c>
      <c r="Y933" s="6" t="s">
        <v>5</v>
      </c>
      <c r="Z933" s="6" t="s">
        <v>5</v>
      </c>
      <c r="AA933" s="6" t="s">
        <v>5</v>
      </c>
      <c r="AB933" s="8" t="s">
        <v>5</v>
      </c>
      <c r="AC933" s="8" t="s">
        <v>5</v>
      </c>
      <c r="AD933" s="6" t="s">
        <v>5</v>
      </c>
      <c r="AE933" s="7">
        <v>1.1200000000000001</v>
      </c>
      <c r="AF933" s="6" t="s">
        <v>5</v>
      </c>
      <c r="AG933" s="6" t="s">
        <v>5</v>
      </c>
      <c r="AH933" s="22">
        <v>0.66700000000000004</v>
      </c>
      <c r="AI933" s="6" t="s">
        <v>5</v>
      </c>
      <c r="AJ933" s="7">
        <v>6.86</v>
      </c>
      <c r="AK933" s="6" t="s">
        <v>5</v>
      </c>
      <c r="AL933" s="6" t="s">
        <v>5</v>
      </c>
      <c r="AM933" s="6" t="s">
        <v>5</v>
      </c>
      <c r="AN933" s="6" t="s">
        <v>5</v>
      </c>
      <c r="AO933" s="4">
        <v>19.399999999999999</v>
      </c>
      <c r="AP933" s="4">
        <v>12.5</v>
      </c>
      <c r="AQ933" s="7">
        <v>6.74</v>
      </c>
      <c r="AR933" s="7">
        <v>1.1000000000000001</v>
      </c>
      <c r="AS933" s="6">
        <v>127</v>
      </c>
      <c r="AT933" s="6">
        <v>33.9</v>
      </c>
      <c r="AU933" s="6">
        <v>21.2</v>
      </c>
      <c r="AV933" s="7">
        <v>2.82</v>
      </c>
      <c r="AW933" s="6" t="s">
        <v>5</v>
      </c>
      <c r="AX933" s="6" t="s">
        <v>5</v>
      </c>
      <c r="AY933" s="6" t="s">
        <v>5</v>
      </c>
      <c r="AZ933" s="6" t="s">
        <v>5</v>
      </c>
      <c r="BA933" s="6" t="s">
        <v>5</v>
      </c>
      <c r="BB933" s="6" t="s">
        <v>5</v>
      </c>
      <c r="BC933" s="6" t="s">
        <v>5</v>
      </c>
      <c r="BD933" s="6" t="s">
        <v>5</v>
      </c>
      <c r="BE933" s="6" t="s">
        <v>5</v>
      </c>
      <c r="BF933" s="6" t="s">
        <v>5</v>
      </c>
      <c r="BG933" s="6" t="s">
        <v>5</v>
      </c>
      <c r="BH933" s="6" t="s">
        <v>5</v>
      </c>
      <c r="BI933" s="7">
        <v>3.1</v>
      </c>
      <c r="BJ933" s="22">
        <v>0.95199999999999996</v>
      </c>
      <c r="BK933" s="6" t="s">
        <v>5</v>
      </c>
      <c r="BL933" s="2" t="s">
        <v>5</v>
      </c>
      <c r="BM933" s="2" t="s">
        <v>5</v>
      </c>
      <c r="BN933" s="2" t="s">
        <v>5</v>
      </c>
      <c r="BO933" s="2" t="s">
        <v>5</v>
      </c>
      <c r="BP933" s="2" t="s">
        <v>5</v>
      </c>
      <c r="BQ933" s="2" t="s">
        <v>5</v>
      </c>
      <c r="BR933" s="2" t="s">
        <v>5</v>
      </c>
      <c r="BS933" s="2" t="s">
        <v>5</v>
      </c>
      <c r="BT933" s="2" t="s">
        <v>5</v>
      </c>
      <c r="BU933" s="2" t="s">
        <v>5</v>
      </c>
      <c r="BV933" s="2" t="s">
        <v>5</v>
      </c>
      <c r="BW933" s="2" t="s">
        <v>5</v>
      </c>
      <c r="BX933" s="2" t="s">
        <v>5</v>
      </c>
      <c r="BY933" s="25" t="s">
        <v>5</v>
      </c>
      <c r="BZ933" s="25" t="s">
        <v>5</v>
      </c>
      <c r="CA933" s="6" t="s">
        <v>5</v>
      </c>
      <c r="CB933" s="6" t="s">
        <v>5</v>
      </c>
      <c r="CC933" s="6" t="s">
        <v>5</v>
      </c>
      <c r="CD933" s="6" t="s">
        <v>5</v>
      </c>
      <c r="CE933" s="6" t="s">
        <v>5</v>
      </c>
      <c r="CF933" s="16" t="s">
        <v>5</v>
      </c>
      <c r="CG933" s="16" t="s">
        <v>5</v>
      </c>
      <c r="CH933" s="18" t="s">
        <v>5</v>
      </c>
    </row>
    <row r="934" spans="2:86">
      <c r="B934" s="78" t="s">
        <v>473</v>
      </c>
      <c r="C934" s="79" t="s">
        <v>1034</v>
      </c>
      <c r="D934" s="80" t="s">
        <v>1034</v>
      </c>
      <c r="E934" s="1" t="s">
        <v>4</v>
      </c>
      <c r="F934" s="4">
        <v>54.4</v>
      </c>
      <c r="G934" s="4">
        <v>16</v>
      </c>
      <c r="H934" s="3" t="str">
        <f t="shared" si="33"/>
        <v>2L6X4X7/8X3/8SLBB</v>
      </c>
      <c r="I934" s="7">
        <v>4</v>
      </c>
      <c r="J934" s="5" t="s">
        <v>5</v>
      </c>
      <c r="K934" s="6" t="s">
        <v>5</v>
      </c>
      <c r="L934" s="6" t="s">
        <v>5</v>
      </c>
      <c r="M934" s="6" t="s">
        <v>5</v>
      </c>
      <c r="N934" s="6" t="s">
        <v>5</v>
      </c>
      <c r="O934" s="5" t="s">
        <v>5</v>
      </c>
      <c r="P934" s="5" t="s">
        <v>5</v>
      </c>
      <c r="Q934" s="7">
        <v>6</v>
      </c>
      <c r="R934" s="6" t="s">
        <v>5</v>
      </c>
      <c r="S934" s="6" t="s">
        <v>5</v>
      </c>
      <c r="T934" s="5" t="s">
        <v>5</v>
      </c>
      <c r="U934" s="8" t="s">
        <v>5</v>
      </c>
      <c r="V934" s="6" t="s">
        <v>5</v>
      </c>
      <c r="W934" s="8" t="s">
        <v>5</v>
      </c>
      <c r="X934" s="22">
        <v>0.875</v>
      </c>
      <c r="Y934" s="6" t="s">
        <v>5</v>
      </c>
      <c r="Z934" s="6" t="s">
        <v>5</v>
      </c>
      <c r="AA934" s="6" t="s">
        <v>5</v>
      </c>
      <c r="AB934" s="8" t="s">
        <v>5</v>
      </c>
      <c r="AC934" s="8" t="s">
        <v>5</v>
      </c>
      <c r="AD934" s="6" t="s">
        <v>5</v>
      </c>
      <c r="AE934" s="7">
        <v>1.1200000000000001</v>
      </c>
      <c r="AF934" s="6" t="s">
        <v>5</v>
      </c>
      <c r="AG934" s="6" t="s">
        <v>5</v>
      </c>
      <c r="AH934" s="22">
        <v>0.66700000000000004</v>
      </c>
      <c r="AI934" s="6" t="s">
        <v>5</v>
      </c>
      <c r="AJ934" s="7">
        <v>6.86</v>
      </c>
      <c r="AK934" s="6" t="s">
        <v>5</v>
      </c>
      <c r="AL934" s="6" t="s">
        <v>5</v>
      </c>
      <c r="AM934" s="6" t="s">
        <v>5</v>
      </c>
      <c r="AN934" s="6" t="s">
        <v>5</v>
      </c>
      <c r="AO934" s="4">
        <v>19.399999999999999</v>
      </c>
      <c r="AP934" s="4">
        <v>12.5</v>
      </c>
      <c r="AQ934" s="7">
        <v>6.74</v>
      </c>
      <c r="AR934" s="7">
        <v>1.1000000000000001</v>
      </c>
      <c r="AS934" s="6">
        <v>140</v>
      </c>
      <c r="AT934" s="6">
        <v>36.9</v>
      </c>
      <c r="AU934" s="6">
        <v>22.6</v>
      </c>
      <c r="AV934" s="7">
        <v>2.96</v>
      </c>
      <c r="AW934" s="6" t="s">
        <v>5</v>
      </c>
      <c r="AX934" s="6" t="s">
        <v>5</v>
      </c>
      <c r="AY934" s="6" t="s">
        <v>5</v>
      </c>
      <c r="AZ934" s="6" t="s">
        <v>5</v>
      </c>
      <c r="BA934" s="6" t="s">
        <v>5</v>
      </c>
      <c r="BB934" s="6" t="s">
        <v>5</v>
      </c>
      <c r="BC934" s="6" t="s">
        <v>5</v>
      </c>
      <c r="BD934" s="6" t="s">
        <v>5</v>
      </c>
      <c r="BE934" s="6" t="s">
        <v>5</v>
      </c>
      <c r="BF934" s="6" t="s">
        <v>5</v>
      </c>
      <c r="BG934" s="6" t="s">
        <v>5</v>
      </c>
      <c r="BH934" s="6" t="s">
        <v>5</v>
      </c>
      <c r="BI934" s="7">
        <v>3.23</v>
      </c>
      <c r="BJ934" s="22">
        <v>0.95599999999999996</v>
      </c>
      <c r="BK934" s="6" t="s">
        <v>5</v>
      </c>
      <c r="BL934" s="2" t="s">
        <v>5</v>
      </c>
      <c r="BM934" s="2" t="s">
        <v>5</v>
      </c>
      <c r="BN934" s="2" t="s">
        <v>5</v>
      </c>
      <c r="BO934" s="2" t="s">
        <v>5</v>
      </c>
      <c r="BP934" s="2" t="s">
        <v>5</v>
      </c>
      <c r="BQ934" s="2" t="s">
        <v>5</v>
      </c>
      <c r="BR934" s="2" t="s">
        <v>5</v>
      </c>
      <c r="BS934" s="2" t="s">
        <v>5</v>
      </c>
      <c r="BT934" s="2" t="s">
        <v>5</v>
      </c>
      <c r="BU934" s="2" t="s">
        <v>5</v>
      </c>
      <c r="BV934" s="2" t="s">
        <v>5</v>
      </c>
      <c r="BW934" s="2" t="s">
        <v>5</v>
      </c>
      <c r="BX934" s="2" t="s">
        <v>5</v>
      </c>
      <c r="BY934" s="25" t="s">
        <v>5</v>
      </c>
      <c r="BZ934" s="25" t="s">
        <v>5</v>
      </c>
      <c r="CA934" s="6" t="s">
        <v>5</v>
      </c>
      <c r="CB934" s="6" t="s">
        <v>5</v>
      </c>
      <c r="CC934" s="6" t="s">
        <v>5</v>
      </c>
      <c r="CD934" s="6" t="s">
        <v>5</v>
      </c>
      <c r="CE934" s="6" t="s">
        <v>5</v>
      </c>
      <c r="CF934" s="16" t="s">
        <v>5</v>
      </c>
      <c r="CG934" s="16" t="s">
        <v>5</v>
      </c>
      <c r="CH934" s="18" t="s">
        <v>5</v>
      </c>
    </row>
    <row r="935" spans="2:86">
      <c r="B935" s="78" t="s">
        <v>473</v>
      </c>
      <c r="C935" s="79" t="s">
        <v>1035</v>
      </c>
      <c r="D935" s="80" t="s">
        <v>1035</v>
      </c>
      <c r="E935" s="1" t="s">
        <v>4</v>
      </c>
      <c r="F935" s="4">
        <v>54.4</v>
      </c>
      <c r="G935" s="4">
        <v>16</v>
      </c>
      <c r="H935" s="3" t="str">
        <f t="shared" si="33"/>
        <v>2L6X4X7/8X3/4SLBB</v>
      </c>
      <c r="I935" s="7">
        <v>4</v>
      </c>
      <c r="J935" s="5" t="s">
        <v>5</v>
      </c>
      <c r="K935" s="6" t="s">
        <v>5</v>
      </c>
      <c r="L935" s="6" t="s">
        <v>5</v>
      </c>
      <c r="M935" s="6" t="s">
        <v>5</v>
      </c>
      <c r="N935" s="6" t="s">
        <v>5</v>
      </c>
      <c r="O935" s="5" t="s">
        <v>5</v>
      </c>
      <c r="P935" s="5" t="s">
        <v>5</v>
      </c>
      <c r="Q935" s="7">
        <v>6</v>
      </c>
      <c r="R935" s="6" t="s">
        <v>5</v>
      </c>
      <c r="S935" s="6" t="s">
        <v>5</v>
      </c>
      <c r="T935" s="5" t="s">
        <v>5</v>
      </c>
      <c r="U935" s="8" t="s">
        <v>5</v>
      </c>
      <c r="V935" s="6" t="s">
        <v>5</v>
      </c>
      <c r="W935" s="8" t="s">
        <v>5</v>
      </c>
      <c r="X935" s="22">
        <v>0.875</v>
      </c>
      <c r="Y935" s="6" t="s">
        <v>5</v>
      </c>
      <c r="Z935" s="6" t="s">
        <v>5</v>
      </c>
      <c r="AA935" s="6" t="s">
        <v>5</v>
      </c>
      <c r="AB935" s="8" t="s">
        <v>5</v>
      </c>
      <c r="AC935" s="8" t="s">
        <v>5</v>
      </c>
      <c r="AD935" s="6" t="s">
        <v>5</v>
      </c>
      <c r="AE935" s="7">
        <v>1.1200000000000001</v>
      </c>
      <c r="AF935" s="6" t="s">
        <v>5</v>
      </c>
      <c r="AG935" s="6" t="s">
        <v>5</v>
      </c>
      <c r="AH935" s="22">
        <v>0.66700000000000004</v>
      </c>
      <c r="AI935" s="6" t="s">
        <v>5</v>
      </c>
      <c r="AJ935" s="7">
        <v>6.86</v>
      </c>
      <c r="AK935" s="6" t="s">
        <v>5</v>
      </c>
      <c r="AL935" s="6" t="s">
        <v>5</v>
      </c>
      <c r="AM935" s="6" t="s">
        <v>5</v>
      </c>
      <c r="AN935" s="6" t="s">
        <v>5</v>
      </c>
      <c r="AO935" s="4">
        <v>19.399999999999999</v>
      </c>
      <c r="AP935" s="4">
        <v>12.5</v>
      </c>
      <c r="AQ935" s="7">
        <v>6.74</v>
      </c>
      <c r="AR935" s="7">
        <v>1.1000000000000001</v>
      </c>
      <c r="AS935" s="6">
        <v>155</v>
      </c>
      <c r="AT935" s="6">
        <v>39.9</v>
      </c>
      <c r="AU935" s="6">
        <v>24.3</v>
      </c>
      <c r="AV935" s="7">
        <v>3.11</v>
      </c>
      <c r="AW935" s="6" t="s">
        <v>5</v>
      </c>
      <c r="AX935" s="6" t="s">
        <v>5</v>
      </c>
      <c r="AY935" s="6" t="s">
        <v>5</v>
      </c>
      <c r="AZ935" s="6" t="s">
        <v>5</v>
      </c>
      <c r="BA935" s="6" t="s">
        <v>5</v>
      </c>
      <c r="BB935" s="6" t="s">
        <v>5</v>
      </c>
      <c r="BC935" s="6" t="s">
        <v>5</v>
      </c>
      <c r="BD935" s="6" t="s">
        <v>5</v>
      </c>
      <c r="BE935" s="6" t="s">
        <v>5</v>
      </c>
      <c r="BF935" s="6" t="s">
        <v>5</v>
      </c>
      <c r="BG935" s="6" t="s">
        <v>5</v>
      </c>
      <c r="BH935" s="6" t="s">
        <v>5</v>
      </c>
      <c r="BI935" s="7">
        <v>3.37</v>
      </c>
      <c r="BJ935" s="22">
        <v>0.95899999999999996</v>
      </c>
      <c r="BK935" s="6" t="s">
        <v>5</v>
      </c>
      <c r="BL935" s="2" t="s">
        <v>5</v>
      </c>
      <c r="BM935" s="2" t="s">
        <v>5</v>
      </c>
      <c r="BN935" s="2" t="s">
        <v>5</v>
      </c>
      <c r="BO935" s="2" t="s">
        <v>5</v>
      </c>
      <c r="BP935" s="2" t="s">
        <v>5</v>
      </c>
      <c r="BQ935" s="2" t="s">
        <v>5</v>
      </c>
      <c r="BR935" s="2" t="s">
        <v>5</v>
      </c>
      <c r="BS935" s="2" t="s">
        <v>5</v>
      </c>
      <c r="BT935" s="2" t="s">
        <v>5</v>
      </c>
      <c r="BU935" s="2" t="s">
        <v>5</v>
      </c>
      <c r="BV935" s="2" t="s">
        <v>5</v>
      </c>
      <c r="BW935" s="2" t="s">
        <v>5</v>
      </c>
      <c r="BX935" s="2" t="s">
        <v>5</v>
      </c>
      <c r="BY935" s="25" t="s">
        <v>5</v>
      </c>
      <c r="BZ935" s="25" t="s">
        <v>5</v>
      </c>
      <c r="CA935" s="6" t="s">
        <v>5</v>
      </c>
      <c r="CB935" s="6" t="s">
        <v>5</v>
      </c>
      <c r="CC935" s="6" t="s">
        <v>5</v>
      </c>
      <c r="CD935" s="6" t="s">
        <v>5</v>
      </c>
      <c r="CE935" s="6" t="s">
        <v>5</v>
      </c>
      <c r="CF935" s="16" t="s">
        <v>5</v>
      </c>
      <c r="CG935" s="16" t="s">
        <v>5</v>
      </c>
      <c r="CH935" s="18" t="s">
        <v>5</v>
      </c>
    </row>
    <row r="936" spans="2:86">
      <c r="B936" s="78" t="s">
        <v>473</v>
      </c>
      <c r="C936" s="79" t="s">
        <v>1036</v>
      </c>
      <c r="D936" s="80" t="s">
        <v>1036</v>
      </c>
      <c r="E936" s="1" t="s">
        <v>4</v>
      </c>
      <c r="F936" s="4">
        <v>47.2</v>
      </c>
      <c r="G936" s="4">
        <v>13.9</v>
      </c>
      <c r="H936" s="3" t="str">
        <f t="shared" si="33"/>
        <v>2L6X4X3/4SLBB</v>
      </c>
      <c r="I936" s="7">
        <v>4</v>
      </c>
      <c r="J936" s="5" t="s">
        <v>5</v>
      </c>
      <c r="K936" s="6" t="s">
        <v>5</v>
      </c>
      <c r="L936" s="6" t="s">
        <v>5</v>
      </c>
      <c r="M936" s="6" t="s">
        <v>5</v>
      </c>
      <c r="N936" s="6" t="s">
        <v>5</v>
      </c>
      <c r="O936" s="5" t="s">
        <v>5</v>
      </c>
      <c r="P936" s="5" t="s">
        <v>5</v>
      </c>
      <c r="Q936" s="7">
        <v>6</v>
      </c>
      <c r="R936" s="6" t="s">
        <v>5</v>
      </c>
      <c r="S936" s="6" t="s">
        <v>5</v>
      </c>
      <c r="T936" s="5" t="s">
        <v>5</v>
      </c>
      <c r="U936" s="8" t="s">
        <v>5</v>
      </c>
      <c r="V936" s="6" t="s">
        <v>5</v>
      </c>
      <c r="W936" s="8" t="s">
        <v>5</v>
      </c>
      <c r="X936" s="22">
        <v>0.75</v>
      </c>
      <c r="Y936" s="6" t="s">
        <v>5</v>
      </c>
      <c r="Z936" s="6" t="s">
        <v>5</v>
      </c>
      <c r="AA936" s="6" t="s">
        <v>5</v>
      </c>
      <c r="AB936" s="8" t="s">
        <v>5</v>
      </c>
      <c r="AC936" s="8" t="s">
        <v>5</v>
      </c>
      <c r="AD936" s="6" t="s">
        <v>5</v>
      </c>
      <c r="AE936" s="7">
        <v>1.07</v>
      </c>
      <c r="AF936" s="6" t="s">
        <v>5</v>
      </c>
      <c r="AG936" s="6" t="s">
        <v>5</v>
      </c>
      <c r="AH936" s="22">
        <v>0.57799999999999996</v>
      </c>
      <c r="AI936" s="6" t="s">
        <v>5</v>
      </c>
      <c r="AJ936" s="7">
        <v>8</v>
      </c>
      <c r="AK936" s="6" t="s">
        <v>5</v>
      </c>
      <c r="AL936" s="6" t="s">
        <v>5</v>
      </c>
      <c r="AM936" s="6" t="s">
        <v>5</v>
      </c>
      <c r="AN936" s="6" t="s">
        <v>5</v>
      </c>
      <c r="AO936" s="4">
        <v>17.3</v>
      </c>
      <c r="AP936" s="4">
        <v>10.8</v>
      </c>
      <c r="AQ936" s="7">
        <v>5.9</v>
      </c>
      <c r="AR936" s="7">
        <v>1.1200000000000001</v>
      </c>
      <c r="AS936" s="6">
        <v>109</v>
      </c>
      <c r="AT936" s="6">
        <v>28.7</v>
      </c>
      <c r="AU936" s="6">
        <v>18.2</v>
      </c>
      <c r="AV936" s="7">
        <v>2.8</v>
      </c>
      <c r="AW936" s="6" t="s">
        <v>5</v>
      </c>
      <c r="AX936" s="6" t="s">
        <v>5</v>
      </c>
      <c r="AY936" s="6" t="s">
        <v>5</v>
      </c>
      <c r="AZ936" s="6" t="s">
        <v>5</v>
      </c>
      <c r="BA936" s="6" t="s">
        <v>5</v>
      </c>
      <c r="BB936" s="6" t="s">
        <v>5</v>
      </c>
      <c r="BC936" s="6" t="s">
        <v>5</v>
      </c>
      <c r="BD936" s="6" t="s">
        <v>5</v>
      </c>
      <c r="BE936" s="6" t="s">
        <v>5</v>
      </c>
      <c r="BF936" s="6" t="s">
        <v>5</v>
      </c>
      <c r="BG936" s="6" t="s">
        <v>5</v>
      </c>
      <c r="BH936" s="6" t="s">
        <v>5</v>
      </c>
      <c r="BI936" s="7">
        <v>3.09</v>
      </c>
      <c r="BJ936" s="22">
        <v>0.94899999999999995</v>
      </c>
      <c r="BK936" s="6" t="s">
        <v>5</v>
      </c>
      <c r="BL936" s="2" t="s">
        <v>5</v>
      </c>
      <c r="BM936" s="2" t="s">
        <v>5</v>
      </c>
      <c r="BN936" s="2" t="s">
        <v>5</v>
      </c>
      <c r="BO936" s="2" t="s">
        <v>5</v>
      </c>
      <c r="BP936" s="2" t="s">
        <v>5</v>
      </c>
      <c r="BQ936" s="2" t="s">
        <v>5</v>
      </c>
      <c r="BR936" s="2" t="s">
        <v>5</v>
      </c>
      <c r="BS936" s="2" t="s">
        <v>5</v>
      </c>
      <c r="BT936" s="2" t="s">
        <v>5</v>
      </c>
      <c r="BU936" s="2" t="s">
        <v>5</v>
      </c>
      <c r="BV936" s="2" t="s">
        <v>5</v>
      </c>
      <c r="BW936" s="2" t="s">
        <v>5</v>
      </c>
      <c r="BX936" s="2" t="s">
        <v>5</v>
      </c>
      <c r="BY936" s="25" t="s">
        <v>5</v>
      </c>
      <c r="BZ936" s="25" t="s">
        <v>5</v>
      </c>
      <c r="CA936" s="6" t="s">
        <v>5</v>
      </c>
      <c r="CB936" s="6" t="s">
        <v>5</v>
      </c>
      <c r="CC936" s="6" t="s">
        <v>5</v>
      </c>
      <c r="CD936" s="6" t="s">
        <v>5</v>
      </c>
      <c r="CE936" s="6" t="s">
        <v>5</v>
      </c>
      <c r="CF936" s="16" t="s">
        <v>5</v>
      </c>
      <c r="CG936" s="16" t="s">
        <v>5</v>
      </c>
      <c r="CH936" s="18" t="s">
        <v>5</v>
      </c>
    </row>
    <row r="937" spans="2:86">
      <c r="B937" s="78" t="s">
        <v>473</v>
      </c>
      <c r="C937" s="79" t="s">
        <v>1037</v>
      </c>
      <c r="D937" s="80" t="s">
        <v>1037</v>
      </c>
      <c r="E937" s="1" t="s">
        <v>4</v>
      </c>
      <c r="F937" s="4">
        <v>47.2</v>
      </c>
      <c r="G937" s="4">
        <v>13.9</v>
      </c>
      <c r="H937" s="3" t="str">
        <f t="shared" si="33"/>
        <v>2L6X4X3/4X3/8SLBB</v>
      </c>
      <c r="I937" s="7">
        <v>4</v>
      </c>
      <c r="J937" s="5" t="s">
        <v>5</v>
      </c>
      <c r="K937" s="6" t="s">
        <v>5</v>
      </c>
      <c r="L937" s="6" t="s">
        <v>5</v>
      </c>
      <c r="M937" s="6" t="s">
        <v>5</v>
      </c>
      <c r="N937" s="6" t="s">
        <v>5</v>
      </c>
      <c r="O937" s="5" t="s">
        <v>5</v>
      </c>
      <c r="P937" s="5" t="s">
        <v>5</v>
      </c>
      <c r="Q937" s="7">
        <v>6</v>
      </c>
      <c r="R937" s="6" t="s">
        <v>5</v>
      </c>
      <c r="S937" s="6" t="s">
        <v>5</v>
      </c>
      <c r="T937" s="5" t="s">
        <v>5</v>
      </c>
      <c r="U937" s="8" t="s">
        <v>5</v>
      </c>
      <c r="V937" s="6" t="s">
        <v>5</v>
      </c>
      <c r="W937" s="8" t="s">
        <v>5</v>
      </c>
      <c r="X937" s="22">
        <v>0.75</v>
      </c>
      <c r="Y937" s="6" t="s">
        <v>5</v>
      </c>
      <c r="Z937" s="6" t="s">
        <v>5</v>
      </c>
      <c r="AA937" s="6" t="s">
        <v>5</v>
      </c>
      <c r="AB937" s="8" t="s">
        <v>5</v>
      </c>
      <c r="AC937" s="8" t="s">
        <v>5</v>
      </c>
      <c r="AD937" s="6" t="s">
        <v>5</v>
      </c>
      <c r="AE937" s="7">
        <v>1.07</v>
      </c>
      <c r="AF937" s="6" t="s">
        <v>5</v>
      </c>
      <c r="AG937" s="6" t="s">
        <v>5</v>
      </c>
      <c r="AH937" s="22">
        <v>0.57799999999999996</v>
      </c>
      <c r="AI937" s="6" t="s">
        <v>5</v>
      </c>
      <c r="AJ937" s="7">
        <v>8</v>
      </c>
      <c r="AK937" s="6" t="s">
        <v>5</v>
      </c>
      <c r="AL937" s="6" t="s">
        <v>5</v>
      </c>
      <c r="AM937" s="6" t="s">
        <v>5</v>
      </c>
      <c r="AN937" s="6" t="s">
        <v>5</v>
      </c>
      <c r="AO937" s="4">
        <v>17.3</v>
      </c>
      <c r="AP937" s="4">
        <v>10.8</v>
      </c>
      <c r="AQ937" s="7">
        <v>5.9</v>
      </c>
      <c r="AR937" s="7">
        <v>1.1200000000000001</v>
      </c>
      <c r="AS937" s="6">
        <v>120</v>
      </c>
      <c r="AT937" s="6">
        <v>31.3</v>
      </c>
      <c r="AU937" s="6">
        <v>19.399999999999999</v>
      </c>
      <c r="AV937" s="7">
        <v>2.94</v>
      </c>
      <c r="AW937" s="6" t="s">
        <v>5</v>
      </c>
      <c r="AX937" s="6" t="s">
        <v>5</v>
      </c>
      <c r="AY937" s="6" t="s">
        <v>5</v>
      </c>
      <c r="AZ937" s="6" t="s">
        <v>5</v>
      </c>
      <c r="BA937" s="6" t="s">
        <v>5</v>
      </c>
      <c r="BB937" s="6" t="s">
        <v>5</v>
      </c>
      <c r="BC937" s="6" t="s">
        <v>5</v>
      </c>
      <c r="BD937" s="6" t="s">
        <v>5</v>
      </c>
      <c r="BE937" s="6" t="s">
        <v>5</v>
      </c>
      <c r="BF937" s="6" t="s">
        <v>5</v>
      </c>
      <c r="BG937" s="6" t="s">
        <v>5</v>
      </c>
      <c r="BH937" s="6" t="s">
        <v>5</v>
      </c>
      <c r="BI937" s="7">
        <v>3.22</v>
      </c>
      <c r="BJ937" s="22">
        <v>0.95299999999999996</v>
      </c>
      <c r="BK937" s="6" t="s">
        <v>5</v>
      </c>
      <c r="BL937" s="2" t="s">
        <v>5</v>
      </c>
      <c r="BM937" s="2" t="s">
        <v>5</v>
      </c>
      <c r="BN937" s="2" t="s">
        <v>5</v>
      </c>
      <c r="BO937" s="2" t="s">
        <v>5</v>
      </c>
      <c r="BP937" s="2" t="s">
        <v>5</v>
      </c>
      <c r="BQ937" s="2" t="s">
        <v>5</v>
      </c>
      <c r="BR937" s="2" t="s">
        <v>5</v>
      </c>
      <c r="BS937" s="2" t="s">
        <v>5</v>
      </c>
      <c r="BT937" s="2" t="s">
        <v>5</v>
      </c>
      <c r="BU937" s="2" t="s">
        <v>5</v>
      </c>
      <c r="BV937" s="2" t="s">
        <v>5</v>
      </c>
      <c r="BW937" s="2" t="s">
        <v>5</v>
      </c>
      <c r="BX937" s="2" t="s">
        <v>5</v>
      </c>
      <c r="BY937" s="25" t="s">
        <v>5</v>
      </c>
      <c r="BZ937" s="25" t="s">
        <v>5</v>
      </c>
      <c r="CA937" s="6" t="s">
        <v>5</v>
      </c>
      <c r="CB937" s="6" t="s">
        <v>5</v>
      </c>
      <c r="CC937" s="6" t="s">
        <v>5</v>
      </c>
      <c r="CD937" s="6" t="s">
        <v>5</v>
      </c>
      <c r="CE937" s="6" t="s">
        <v>5</v>
      </c>
      <c r="CF937" s="16" t="s">
        <v>5</v>
      </c>
      <c r="CG937" s="16" t="s">
        <v>5</v>
      </c>
      <c r="CH937" s="18" t="s">
        <v>5</v>
      </c>
    </row>
    <row r="938" spans="2:86">
      <c r="B938" s="78" t="s">
        <v>473</v>
      </c>
      <c r="C938" s="79" t="s">
        <v>1038</v>
      </c>
      <c r="D938" s="80" t="s">
        <v>1038</v>
      </c>
      <c r="E938" s="1" t="s">
        <v>4</v>
      </c>
      <c r="F938" s="4">
        <v>47.2</v>
      </c>
      <c r="G938" s="4">
        <v>13.9</v>
      </c>
      <c r="H938" s="3" t="str">
        <f t="shared" si="33"/>
        <v>2L6X4X3/4X3/4SLBB</v>
      </c>
      <c r="I938" s="7">
        <v>4</v>
      </c>
      <c r="J938" s="5" t="s">
        <v>5</v>
      </c>
      <c r="K938" s="6" t="s">
        <v>5</v>
      </c>
      <c r="L938" s="6" t="s">
        <v>5</v>
      </c>
      <c r="M938" s="6" t="s">
        <v>5</v>
      </c>
      <c r="N938" s="6" t="s">
        <v>5</v>
      </c>
      <c r="O938" s="5" t="s">
        <v>5</v>
      </c>
      <c r="P938" s="5" t="s">
        <v>5</v>
      </c>
      <c r="Q938" s="7">
        <v>6</v>
      </c>
      <c r="R938" s="6" t="s">
        <v>5</v>
      </c>
      <c r="S938" s="6" t="s">
        <v>5</v>
      </c>
      <c r="T938" s="5" t="s">
        <v>5</v>
      </c>
      <c r="U938" s="8" t="s">
        <v>5</v>
      </c>
      <c r="V938" s="6" t="s">
        <v>5</v>
      </c>
      <c r="W938" s="8" t="s">
        <v>5</v>
      </c>
      <c r="X938" s="22">
        <v>0.75</v>
      </c>
      <c r="Y938" s="6" t="s">
        <v>5</v>
      </c>
      <c r="Z938" s="6" t="s">
        <v>5</v>
      </c>
      <c r="AA938" s="6" t="s">
        <v>5</v>
      </c>
      <c r="AB938" s="8" t="s">
        <v>5</v>
      </c>
      <c r="AC938" s="8" t="s">
        <v>5</v>
      </c>
      <c r="AD938" s="6" t="s">
        <v>5</v>
      </c>
      <c r="AE938" s="7">
        <v>1.07</v>
      </c>
      <c r="AF938" s="6" t="s">
        <v>5</v>
      </c>
      <c r="AG938" s="6" t="s">
        <v>5</v>
      </c>
      <c r="AH938" s="22">
        <v>0.57799999999999996</v>
      </c>
      <c r="AI938" s="6" t="s">
        <v>5</v>
      </c>
      <c r="AJ938" s="7">
        <v>8</v>
      </c>
      <c r="AK938" s="6" t="s">
        <v>5</v>
      </c>
      <c r="AL938" s="6" t="s">
        <v>5</v>
      </c>
      <c r="AM938" s="6" t="s">
        <v>5</v>
      </c>
      <c r="AN938" s="6" t="s">
        <v>5</v>
      </c>
      <c r="AO938" s="4">
        <v>17.3</v>
      </c>
      <c r="AP938" s="4">
        <v>10.8</v>
      </c>
      <c r="AQ938" s="7">
        <v>5.9</v>
      </c>
      <c r="AR938" s="7">
        <v>1.1200000000000001</v>
      </c>
      <c r="AS938" s="6">
        <v>132</v>
      </c>
      <c r="AT938" s="6">
        <v>33.9</v>
      </c>
      <c r="AU938" s="6">
        <v>20.7</v>
      </c>
      <c r="AV938" s="7">
        <v>3.08</v>
      </c>
      <c r="AW938" s="6" t="s">
        <v>5</v>
      </c>
      <c r="AX938" s="6" t="s">
        <v>5</v>
      </c>
      <c r="AY938" s="6" t="s">
        <v>5</v>
      </c>
      <c r="AZ938" s="6" t="s">
        <v>5</v>
      </c>
      <c r="BA938" s="6" t="s">
        <v>5</v>
      </c>
      <c r="BB938" s="6" t="s">
        <v>5</v>
      </c>
      <c r="BC938" s="6" t="s">
        <v>5</v>
      </c>
      <c r="BD938" s="6" t="s">
        <v>5</v>
      </c>
      <c r="BE938" s="6" t="s">
        <v>5</v>
      </c>
      <c r="BF938" s="6" t="s">
        <v>5</v>
      </c>
      <c r="BG938" s="6" t="s">
        <v>5</v>
      </c>
      <c r="BH938" s="6" t="s">
        <v>5</v>
      </c>
      <c r="BI938" s="7">
        <v>3.35</v>
      </c>
      <c r="BJ938" s="22">
        <v>0.95699999999999996</v>
      </c>
      <c r="BK938" s="6" t="s">
        <v>5</v>
      </c>
      <c r="BL938" s="2" t="s">
        <v>5</v>
      </c>
      <c r="BM938" s="2" t="s">
        <v>5</v>
      </c>
      <c r="BN938" s="2" t="s">
        <v>5</v>
      </c>
      <c r="BO938" s="2" t="s">
        <v>5</v>
      </c>
      <c r="BP938" s="2" t="s">
        <v>5</v>
      </c>
      <c r="BQ938" s="2" t="s">
        <v>5</v>
      </c>
      <c r="BR938" s="2" t="s">
        <v>5</v>
      </c>
      <c r="BS938" s="2" t="s">
        <v>5</v>
      </c>
      <c r="BT938" s="2" t="s">
        <v>5</v>
      </c>
      <c r="BU938" s="2" t="s">
        <v>5</v>
      </c>
      <c r="BV938" s="2" t="s">
        <v>5</v>
      </c>
      <c r="BW938" s="2" t="s">
        <v>5</v>
      </c>
      <c r="BX938" s="2" t="s">
        <v>5</v>
      </c>
      <c r="BY938" s="25" t="s">
        <v>5</v>
      </c>
      <c r="BZ938" s="25" t="s">
        <v>5</v>
      </c>
      <c r="CA938" s="6" t="s">
        <v>5</v>
      </c>
      <c r="CB938" s="6" t="s">
        <v>5</v>
      </c>
      <c r="CC938" s="6" t="s">
        <v>5</v>
      </c>
      <c r="CD938" s="6" t="s">
        <v>5</v>
      </c>
      <c r="CE938" s="6" t="s">
        <v>5</v>
      </c>
      <c r="CF938" s="16" t="s">
        <v>5</v>
      </c>
      <c r="CG938" s="16" t="s">
        <v>5</v>
      </c>
      <c r="CH938" s="18" t="s">
        <v>5</v>
      </c>
    </row>
    <row r="939" spans="2:86">
      <c r="B939" s="78" t="s">
        <v>473</v>
      </c>
      <c r="C939" s="79" t="s">
        <v>1039</v>
      </c>
      <c r="D939" s="80" t="s">
        <v>1039</v>
      </c>
      <c r="E939" s="1" t="s">
        <v>4</v>
      </c>
      <c r="F939" s="4">
        <v>40</v>
      </c>
      <c r="G939" s="4">
        <v>11.7</v>
      </c>
      <c r="H939" s="3" t="str">
        <f t="shared" si="33"/>
        <v>2L6X4X5/8SLBB</v>
      </c>
      <c r="I939" s="7">
        <v>4</v>
      </c>
      <c r="J939" s="5" t="s">
        <v>5</v>
      </c>
      <c r="K939" s="6" t="s">
        <v>5</v>
      </c>
      <c r="L939" s="6" t="s">
        <v>5</v>
      </c>
      <c r="M939" s="6" t="s">
        <v>5</v>
      </c>
      <c r="N939" s="6" t="s">
        <v>5</v>
      </c>
      <c r="O939" s="5" t="s">
        <v>5</v>
      </c>
      <c r="P939" s="5" t="s">
        <v>5</v>
      </c>
      <c r="Q939" s="7">
        <v>6</v>
      </c>
      <c r="R939" s="6" t="s">
        <v>5</v>
      </c>
      <c r="S939" s="6" t="s">
        <v>5</v>
      </c>
      <c r="T939" s="5" t="s">
        <v>5</v>
      </c>
      <c r="U939" s="8" t="s">
        <v>5</v>
      </c>
      <c r="V939" s="6" t="s">
        <v>5</v>
      </c>
      <c r="W939" s="8" t="s">
        <v>5</v>
      </c>
      <c r="X939" s="22">
        <v>0.625</v>
      </c>
      <c r="Y939" s="6" t="s">
        <v>5</v>
      </c>
      <c r="Z939" s="6" t="s">
        <v>5</v>
      </c>
      <c r="AA939" s="6" t="s">
        <v>5</v>
      </c>
      <c r="AB939" s="8" t="s">
        <v>5</v>
      </c>
      <c r="AC939" s="8" t="s">
        <v>5</v>
      </c>
      <c r="AD939" s="6" t="s">
        <v>5</v>
      </c>
      <c r="AE939" s="7">
        <v>1.03</v>
      </c>
      <c r="AF939" s="6" t="s">
        <v>5</v>
      </c>
      <c r="AG939" s="6" t="s">
        <v>5</v>
      </c>
      <c r="AH939" s="22">
        <v>0.48799999999999999</v>
      </c>
      <c r="AI939" s="6" t="s">
        <v>5</v>
      </c>
      <c r="AJ939" s="7">
        <v>9.6</v>
      </c>
      <c r="AK939" s="6" t="s">
        <v>5</v>
      </c>
      <c r="AL939" s="6" t="s">
        <v>5</v>
      </c>
      <c r="AM939" s="6" t="s">
        <v>5</v>
      </c>
      <c r="AN939" s="6" t="s">
        <v>5</v>
      </c>
      <c r="AO939" s="4">
        <v>15</v>
      </c>
      <c r="AP939" s="7">
        <v>9.1300000000000008</v>
      </c>
      <c r="AQ939" s="7">
        <v>5.03</v>
      </c>
      <c r="AR939" s="7">
        <v>1.1299999999999999</v>
      </c>
      <c r="AS939" s="6">
        <v>89.8</v>
      </c>
      <c r="AT939" s="6">
        <v>23.8</v>
      </c>
      <c r="AU939" s="4">
        <v>15</v>
      </c>
      <c r="AV939" s="7">
        <v>2.77</v>
      </c>
      <c r="AW939" s="6" t="s">
        <v>5</v>
      </c>
      <c r="AX939" s="6" t="s">
        <v>5</v>
      </c>
      <c r="AY939" s="6" t="s">
        <v>5</v>
      </c>
      <c r="AZ939" s="6" t="s">
        <v>5</v>
      </c>
      <c r="BA939" s="6" t="s">
        <v>5</v>
      </c>
      <c r="BB939" s="6" t="s">
        <v>5</v>
      </c>
      <c r="BC939" s="6" t="s">
        <v>5</v>
      </c>
      <c r="BD939" s="6" t="s">
        <v>5</v>
      </c>
      <c r="BE939" s="6" t="s">
        <v>5</v>
      </c>
      <c r="BF939" s="6" t="s">
        <v>5</v>
      </c>
      <c r="BG939" s="6" t="s">
        <v>5</v>
      </c>
      <c r="BH939" s="6" t="s">
        <v>5</v>
      </c>
      <c r="BI939" s="7">
        <v>3.08</v>
      </c>
      <c r="BJ939" s="22">
        <v>0.94599999999999995</v>
      </c>
      <c r="BK939" s="6" t="s">
        <v>5</v>
      </c>
      <c r="BL939" s="2" t="s">
        <v>5</v>
      </c>
      <c r="BM939" s="2" t="s">
        <v>5</v>
      </c>
      <c r="BN939" s="2" t="s">
        <v>5</v>
      </c>
      <c r="BO939" s="2" t="s">
        <v>5</v>
      </c>
      <c r="BP939" s="2" t="s">
        <v>5</v>
      </c>
      <c r="BQ939" s="2" t="s">
        <v>5</v>
      </c>
      <c r="BR939" s="2" t="s">
        <v>5</v>
      </c>
      <c r="BS939" s="2" t="s">
        <v>5</v>
      </c>
      <c r="BT939" s="2" t="s">
        <v>5</v>
      </c>
      <c r="BU939" s="2" t="s">
        <v>5</v>
      </c>
      <c r="BV939" s="2" t="s">
        <v>5</v>
      </c>
      <c r="BW939" s="2" t="s">
        <v>5</v>
      </c>
      <c r="BX939" s="2" t="s">
        <v>5</v>
      </c>
      <c r="BY939" s="25" t="s">
        <v>5</v>
      </c>
      <c r="BZ939" s="25" t="s">
        <v>5</v>
      </c>
      <c r="CA939" s="6" t="s">
        <v>5</v>
      </c>
      <c r="CB939" s="6" t="s">
        <v>5</v>
      </c>
      <c r="CC939" s="6" t="s">
        <v>5</v>
      </c>
      <c r="CD939" s="6" t="s">
        <v>5</v>
      </c>
      <c r="CE939" s="6" t="s">
        <v>5</v>
      </c>
      <c r="CF939" s="16" t="s">
        <v>5</v>
      </c>
      <c r="CG939" s="16" t="s">
        <v>5</v>
      </c>
      <c r="CH939" s="18" t="s">
        <v>5</v>
      </c>
    </row>
    <row r="940" spans="2:86">
      <c r="B940" s="78" t="s">
        <v>473</v>
      </c>
      <c r="C940" s="79" t="s">
        <v>1040</v>
      </c>
      <c r="D940" s="80" t="s">
        <v>1040</v>
      </c>
      <c r="E940" s="1" t="s">
        <v>4</v>
      </c>
      <c r="F940" s="4">
        <v>40</v>
      </c>
      <c r="G940" s="4">
        <v>11.7</v>
      </c>
      <c r="H940" s="3" t="str">
        <f t="shared" si="33"/>
        <v>2L6X4X5/8X3/8SLBB</v>
      </c>
      <c r="I940" s="7">
        <v>4</v>
      </c>
      <c r="J940" s="5" t="s">
        <v>5</v>
      </c>
      <c r="K940" s="6" t="s">
        <v>5</v>
      </c>
      <c r="L940" s="6" t="s">
        <v>5</v>
      </c>
      <c r="M940" s="6" t="s">
        <v>5</v>
      </c>
      <c r="N940" s="6" t="s">
        <v>5</v>
      </c>
      <c r="O940" s="5" t="s">
        <v>5</v>
      </c>
      <c r="P940" s="5" t="s">
        <v>5</v>
      </c>
      <c r="Q940" s="7">
        <v>6</v>
      </c>
      <c r="R940" s="6" t="s">
        <v>5</v>
      </c>
      <c r="S940" s="6" t="s">
        <v>5</v>
      </c>
      <c r="T940" s="5" t="s">
        <v>5</v>
      </c>
      <c r="U940" s="8" t="s">
        <v>5</v>
      </c>
      <c r="V940" s="6" t="s">
        <v>5</v>
      </c>
      <c r="W940" s="8" t="s">
        <v>5</v>
      </c>
      <c r="X940" s="22">
        <v>0.625</v>
      </c>
      <c r="Y940" s="6" t="s">
        <v>5</v>
      </c>
      <c r="Z940" s="6" t="s">
        <v>5</v>
      </c>
      <c r="AA940" s="6" t="s">
        <v>5</v>
      </c>
      <c r="AB940" s="8" t="s">
        <v>5</v>
      </c>
      <c r="AC940" s="8" t="s">
        <v>5</v>
      </c>
      <c r="AD940" s="6" t="s">
        <v>5</v>
      </c>
      <c r="AE940" s="7">
        <v>1.03</v>
      </c>
      <c r="AF940" s="6" t="s">
        <v>5</v>
      </c>
      <c r="AG940" s="6" t="s">
        <v>5</v>
      </c>
      <c r="AH940" s="22">
        <v>0.48799999999999999</v>
      </c>
      <c r="AI940" s="6" t="s">
        <v>5</v>
      </c>
      <c r="AJ940" s="7">
        <v>9.6</v>
      </c>
      <c r="AK940" s="6" t="s">
        <v>5</v>
      </c>
      <c r="AL940" s="6" t="s">
        <v>5</v>
      </c>
      <c r="AM940" s="6" t="s">
        <v>5</v>
      </c>
      <c r="AN940" s="6" t="s">
        <v>5</v>
      </c>
      <c r="AO940" s="4">
        <v>15</v>
      </c>
      <c r="AP940" s="7">
        <v>9.1300000000000008</v>
      </c>
      <c r="AQ940" s="7">
        <v>5.03</v>
      </c>
      <c r="AR940" s="7">
        <v>1.1299999999999999</v>
      </c>
      <c r="AS940" s="6">
        <v>99.1</v>
      </c>
      <c r="AT940" s="4">
        <v>26</v>
      </c>
      <c r="AU940" s="4">
        <v>16</v>
      </c>
      <c r="AV940" s="7">
        <v>2.91</v>
      </c>
      <c r="AW940" s="6" t="s">
        <v>5</v>
      </c>
      <c r="AX940" s="6" t="s">
        <v>5</v>
      </c>
      <c r="AY940" s="6" t="s">
        <v>5</v>
      </c>
      <c r="AZ940" s="6" t="s">
        <v>5</v>
      </c>
      <c r="BA940" s="6" t="s">
        <v>5</v>
      </c>
      <c r="BB940" s="6" t="s">
        <v>5</v>
      </c>
      <c r="BC940" s="6" t="s">
        <v>5</v>
      </c>
      <c r="BD940" s="6" t="s">
        <v>5</v>
      </c>
      <c r="BE940" s="6" t="s">
        <v>5</v>
      </c>
      <c r="BF940" s="6" t="s">
        <v>5</v>
      </c>
      <c r="BG940" s="6" t="s">
        <v>5</v>
      </c>
      <c r="BH940" s="6" t="s">
        <v>5</v>
      </c>
      <c r="BI940" s="7">
        <v>3.21</v>
      </c>
      <c r="BJ940" s="22">
        <v>0.95</v>
      </c>
      <c r="BK940" s="6" t="s">
        <v>5</v>
      </c>
      <c r="BL940" s="2" t="s">
        <v>5</v>
      </c>
      <c r="BM940" s="2" t="s">
        <v>5</v>
      </c>
      <c r="BN940" s="2" t="s">
        <v>5</v>
      </c>
      <c r="BO940" s="2" t="s">
        <v>5</v>
      </c>
      <c r="BP940" s="2" t="s">
        <v>5</v>
      </c>
      <c r="BQ940" s="2" t="s">
        <v>5</v>
      </c>
      <c r="BR940" s="2" t="s">
        <v>5</v>
      </c>
      <c r="BS940" s="2" t="s">
        <v>5</v>
      </c>
      <c r="BT940" s="2" t="s">
        <v>5</v>
      </c>
      <c r="BU940" s="2" t="s">
        <v>5</v>
      </c>
      <c r="BV940" s="2" t="s">
        <v>5</v>
      </c>
      <c r="BW940" s="2" t="s">
        <v>5</v>
      </c>
      <c r="BX940" s="2" t="s">
        <v>5</v>
      </c>
      <c r="BY940" s="25" t="s">
        <v>5</v>
      </c>
      <c r="BZ940" s="25" t="s">
        <v>5</v>
      </c>
      <c r="CA940" s="6" t="s">
        <v>5</v>
      </c>
      <c r="CB940" s="6" t="s">
        <v>5</v>
      </c>
      <c r="CC940" s="6" t="s">
        <v>5</v>
      </c>
      <c r="CD940" s="6" t="s">
        <v>5</v>
      </c>
      <c r="CE940" s="6" t="s">
        <v>5</v>
      </c>
      <c r="CF940" s="16" t="s">
        <v>5</v>
      </c>
      <c r="CG940" s="16" t="s">
        <v>5</v>
      </c>
      <c r="CH940" s="18" t="s">
        <v>5</v>
      </c>
    </row>
    <row r="941" spans="2:86">
      <c r="B941" s="78" t="s">
        <v>473</v>
      </c>
      <c r="C941" s="79" t="s">
        <v>1041</v>
      </c>
      <c r="D941" s="80" t="s">
        <v>1041</v>
      </c>
      <c r="E941" s="1" t="s">
        <v>4</v>
      </c>
      <c r="F941" s="4">
        <v>40</v>
      </c>
      <c r="G941" s="4">
        <v>11.7</v>
      </c>
      <c r="H941" s="3" t="str">
        <f t="shared" si="33"/>
        <v>2L6X4X5/8X3/4SLBB</v>
      </c>
      <c r="I941" s="7">
        <v>4</v>
      </c>
      <c r="J941" s="5" t="s">
        <v>5</v>
      </c>
      <c r="K941" s="6" t="s">
        <v>5</v>
      </c>
      <c r="L941" s="6" t="s">
        <v>5</v>
      </c>
      <c r="M941" s="6" t="s">
        <v>5</v>
      </c>
      <c r="N941" s="6" t="s">
        <v>5</v>
      </c>
      <c r="O941" s="5" t="s">
        <v>5</v>
      </c>
      <c r="P941" s="5" t="s">
        <v>5</v>
      </c>
      <c r="Q941" s="7">
        <v>6</v>
      </c>
      <c r="R941" s="6" t="s">
        <v>5</v>
      </c>
      <c r="S941" s="6" t="s">
        <v>5</v>
      </c>
      <c r="T941" s="5" t="s">
        <v>5</v>
      </c>
      <c r="U941" s="8" t="s">
        <v>5</v>
      </c>
      <c r="V941" s="6" t="s">
        <v>5</v>
      </c>
      <c r="W941" s="8" t="s">
        <v>5</v>
      </c>
      <c r="X941" s="22">
        <v>0.625</v>
      </c>
      <c r="Y941" s="6" t="s">
        <v>5</v>
      </c>
      <c r="Z941" s="6" t="s">
        <v>5</v>
      </c>
      <c r="AA941" s="6" t="s">
        <v>5</v>
      </c>
      <c r="AB941" s="8" t="s">
        <v>5</v>
      </c>
      <c r="AC941" s="8" t="s">
        <v>5</v>
      </c>
      <c r="AD941" s="6" t="s">
        <v>5</v>
      </c>
      <c r="AE941" s="7">
        <v>1.03</v>
      </c>
      <c r="AF941" s="6" t="s">
        <v>5</v>
      </c>
      <c r="AG941" s="6" t="s">
        <v>5</v>
      </c>
      <c r="AH941" s="22">
        <v>0.48799999999999999</v>
      </c>
      <c r="AI941" s="6" t="s">
        <v>5</v>
      </c>
      <c r="AJ941" s="7">
        <v>9.6</v>
      </c>
      <c r="AK941" s="6" t="s">
        <v>5</v>
      </c>
      <c r="AL941" s="6" t="s">
        <v>5</v>
      </c>
      <c r="AM941" s="6" t="s">
        <v>5</v>
      </c>
      <c r="AN941" s="6" t="s">
        <v>5</v>
      </c>
      <c r="AO941" s="4">
        <v>15</v>
      </c>
      <c r="AP941" s="7">
        <v>9.1300000000000008</v>
      </c>
      <c r="AQ941" s="7">
        <v>5.03</v>
      </c>
      <c r="AR941" s="7">
        <v>1.1299999999999999</v>
      </c>
      <c r="AS941" s="6">
        <v>110</v>
      </c>
      <c r="AT941" s="6">
        <v>28.2</v>
      </c>
      <c r="AU941" s="6">
        <v>17.3</v>
      </c>
      <c r="AV941" s="7">
        <v>3.06</v>
      </c>
      <c r="AW941" s="6" t="s">
        <v>5</v>
      </c>
      <c r="AX941" s="6" t="s">
        <v>5</v>
      </c>
      <c r="AY941" s="6" t="s">
        <v>5</v>
      </c>
      <c r="AZ941" s="6" t="s">
        <v>5</v>
      </c>
      <c r="BA941" s="6" t="s">
        <v>5</v>
      </c>
      <c r="BB941" s="6" t="s">
        <v>5</v>
      </c>
      <c r="BC941" s="6" t="s">
        <v>5</v>
      </c>
      <c r="BD941" s="6" t="s">
        <v>5</v>
      </c>
      <c r="BE941" s="6" t="s">
        <v>5</v>
      </c>
      <c r="BF941" s="6" t="s">
        <v>5</v>
      </c>
      <c r="BG941" s="6" t="s">
        <v>5</v>
      </c>
      <c r="BH941" s="6" t="s">
        <v>5</v>
      </c>
      <c r="BI941" s="7">
        <v>3.34</v>
      </c>
      <c r="BJ941" s="22">
        <v>0.95399999999999996</v>
      </c>
      <c r="BK941" s="6" t="s">
        <v>5</v>
      </c>
      <c r="BL941" s="2" t="s">
        <v>5</v>
      </c>
      <c r="BM941" s="2" t="s">
        <v>5</v>
      </c>
      <c r="BN941" s="2" t="s">
        <v>5</v>
      </c>
      <c r="BO941" s="2" t="s">
        <v>5</v>
      </c>
      <c r="BP941" s="2" t="s">
        <v>5</v>
      </c>
      <c r="BQ941" s="2" t="s">
        <v>5</v>
      </c>
      <c r="BR941" s="2" t="s">
        <v>5</v>
      </c>
      <c r="BS941" s="2" t="s">
        <v>5</v>
      </c>
      <c r="BT941" s="2" t="s">
        <v>5</v>
      </c>
      <c r="BU941" s="2" t="s">
        <v>5</v>
      </c>
      <c r="BV941" s="2" t="s">
        <v>5</v>
      </c>
      <c r="BW941" s="2" t="s">
        <v>5</v>
      </c>
      <c r="BX941" s="2" t="s">
        <v>5</v>
      </c>
      <c r="BY941" s="25" t="s">
        <v>5</v>
      </c>
      <c r="BZ941" s="25" t="s">
        <v>5</v>
      </c>
      <c r="CA941" s="6" t="s">
        <v>5</v>
      </c>
      <c r="CB941" s="6" t="s">
        <v>5</v>
      </c>
      <c r="CC941" s="6" t="s">
        <v>5</v>
      </c>
      <c r="CD941" s="6" t="s">
        <v>5</v>
      </c>
      <c r="CE941" s="6" t="s">
        <v>5</v>
      </c>
      <c r="CF941" s="16" t="s">
        <v>5</v>
      </c>
      <c r="CG941" s="16" t="s">
        <v>5</v>
      </c>
      <c r="CH941" s="18" t="s">
        <v>5</v>
      </c>
    </row>
    <row r="942" spans="2:86">
      <c r="B942" s="78" t="s">
        <v>473</v>
      </c>
      <c r="C942" s="79" t="s">
        <v>1042</v>
      </c>
      <c r="D942" s="80" t="s">
        <v>1042</v>
      </c>
      <c r="E942" s="1" t="s">
        <v>4</v>
      </c>
      <c r="F942" s="4">
        <v>36.200000000000003</v>
      </c>
      <c r="G942" s="4">
        <v>10.6</v>
      </c>
      <c r="H942" s="3" t="str">
        <f t="shared" si="33"/>
        <v>2L6X4X9/16SLBB</v>
      </c>
      <c r="I942" s="7">
        <v>4</v>
      </c>
      <c r="J942" s="5" t="s">
        <v>5</v>
      </c>
      <c r="K942" s="6" t="s">
        <v>5</v>
      </c>
      <c r="L942" s="6" t="s">
        <v>5</v>
      </c>
      <c r="M942" s="6" t="s">
        <v>5</v>
      </c>
      <c r="N942" s="6" t="s">
        <v>5</v>
      </c>
      <c r="O942" s="5" t="s">
        <v>5</v>
      </c>
      <c r="P942" s="5" t="s">
        <v>5</v>
      </c>
      <c r="Q942" s="7">
        <v>6</v>
      </c>
      <c r="R942" s="6" t="s">
        <v>5</v>
      </c>
      <c r="S942" s="6" t="s">
        <v>5</v>
      </c>
      <c r="T942" s="5" t="s">
        <v>5</v>
      </c>
      <c r="U942" s="8" t="s">
        <v>5</v>
      </c>
      <c r="V942" s="6" t="s">
        <v>5</v>
      </c>
      <c r="W942" s="8" t="s">
        <v>5</v>
      </c>
      <c r="X942" s="22">
        <v>0.56299999999999994</v>
      </c>
      <c r="Y942" s="6" t="s">
        <v>5</v>
      </c>
      <c r="Z942" s="6" t="s">
        <v>5</v>
      </c>
      <c r="AA942" s="6" t="s">
        <v>5</v>
      </c>
      <c r="AB942" s="8" t="s">
        <v>5</v>
      </c>
      <c r="AC942" s="8" t="s">
        <v>5</v>
      </c>
      <c r="AD942" s="6" t="s">
        <v>5</v>
      </c>
      <c r="AE942" s="7">
        <v>1</v>
      </c>
      <c r="AF942" s="6" t="s">
        <v>5</v>
      </c>
      <c r="AG942" s="6" t="s">
        <v>5</v>
      </c>
      <c r="AH942" s="22">
        <v>0.443</v>
      </c>
      <c r="AI942" s="6" t="s">
        <v>5</v>
      </c>
      <c r="AJ942" s="4">
        <v>10.7</v>
      </c>
      <c r="AK942" s="6" t="s">
        <v>5</v>
      </c>
      <c r="AL942" s="6" t="s">
        <v>5</v>
      </c>
      <c r="AM942" s="6" t="s">
        <v>5</v>
      </c>
      <c r="AN942" s="6" t="s">
        <v>5</v>
      </c>
      <c r="AO942" s="4">
        <v>13.7</v>
      </c>
      <c r="AP942" s="7">
        <v>8.26</v>
      </c>
      <c r="AQ942" s="7">
        <v>4.58</v>
      </c>
      <c r="AR942" s="7">
        <v>1.1399999999999999</v>
      </c>
      <c r="AS942" s="6">
        <v>80.7</v>
      </c>
      <c r="AT942" s="6">
        <v>21.2</v>
      </c>
      <c r="AU942" s="6">
        <v>13.4</v>
      </c>
      <c r="AV942" s="7">
        <v>2.76</v>
      </c>
      <c r="AW942" s="6" t="s">
        <v>5</v>
      </c>
      <c r="AX942" s="6" t="s">
        <v>5</v>
      </c>
      <c r="AY942" s="6" t="s">
        <v>5</v>
      </c>
      <c r="AZ942" s="6" t="s">
        <v>5</v>
      </c>
      <c r="BA942" s="6" t="s">
        <v>5</v>
      </c>
      <c r="BB942" s="6" t="s">
        <v>5</v>
      </c>
      <c r="BC942" s="6" t="s">
        <v>5</v>
      </c>
      <c r="BD942" s="6" t="s">
        <v>5</v>
      </c>
      <c r="BE942" s="6" t="s">
        <v>5</v>
      </c>
      <c r="BF942" s="6" t="s">
        <v>5</v>
      </c>
      <c r="BG942" s="6" t="s">
        <v>5</v>
      </c>
      <c r="BH942" s="6" t="s">
        <v>5</v>
      </c>
      <c r="BI942" s="7">
        <v>3.07</v>
      </c>
      <c r="BJ942" s="22">
        <v>0.94499999999999995</v>
      </c>
      <c r="BK942" s="6" t="s">
        <v>5</v>
      </c>
      <c r="BL942" s="2" t="s">
        <v>5</v>
      </c>
      <c r="BM942" s="2" t="s">
        <v>5</v>
      </c>
      <c r="BN942" s="2" t="s">
        <v>5</v>
      </c>
      <c r="BO942" s="2" t="s">
        <v>5</v>
      </c>
      <c r="BP942" s="2" t="s">
        <v>5</v>
      </c>
      <c r="BQ942" s="2" t="s">
        <v>5</v>
      </c>
      <c r="BR942" s="2" t="s">
        <v>5</v>
      </c>
      <c r="BS942" s="2" t="s">
        <v>5</v>
      </c>
      <c r="BT942" s="2" t="s">
        <v>5</v>
      </c>
      <c r="BU942" s="2" t="s">
        <v>5</v>
      </c>
      <c r="BV942" s="2" t="s">
        <v>5</v>
      </c>
      <c r="BW942" s="2" t="s">
        <v>5</v>
      </c>
      <c r="BX942" s="2" t="s">
        <v>5</v>
      </c>
      <c r="BY942" s="25" t="s">
        <v>5</v>
      </c>
      <c r="BZ942" s="25" t="s">
        <v>5</v>
      </c>
      <c r="CA942" s="6" t="s">
        <v>5</v>
      </c>
      <c r="CB942" s="6" t="s">
        <v>5</v>
      </c>
      <c r="CC942" s="6" t="s">
        <v>5</v>
      </c>
      <c r="CD942" s="6" t="s">
        <v>5</v>
      </c>
      <c r="CE942" s="6" t="s">
        <v>5</v>
      </c>
      <c r="CF942" s="16" t="s">
        <v>5</v>
      </c>
      <c r="CG942" s="16" t="s">
        <v>5</v>
      </c>
      <c r="CH942" s="18" t="s">
        <v>5</v>
      </c>
    </row>
    <row r="943" spans="2:86">
      <c r="B943" s="78" t="s">
        <v>473</v>
      </c>
      <c r="C943" s="79" t="s">
        <v>1043</v>
      </c>
      <c r="D943" s="80" t="s">
        <v>1043</v>
      </c>
      <c r="E943" s="1" t="s">
        <v>4</v>
      </c>
      <c r="F943" s="4">
        <v>36.200000000000003</v>
      </c>
      <c r="G943" s="4">
        <v>10.6</v>
      </c>
      <c r="H943" s="3" t="str">
        <f t="shared" si="33"/>
        <v>2L6X4X9/16X3/8SLBB</v>
      </c>
      <c r="I943" s="7">
        <v>4</v>
      </c>
      <c r="J943" s="5" t="s">
        <v>5</v>
      </c>
      <c r="K943" s="6" t="s">
        <v>5</v>
      </c>
      <c r="L943" s="6" t="s">
        <v>5</v>
      </c>
      <c r="M943" s="6" t="s">
        <v>5</v>
      </c>
      <c r="N943" s="6" t="s">
        <v>5</v>
      </c>
      <c r="O943" s="5" t="s">
        <v>5</v>
      </c>
      <c r="P943" s="5" t="s">
        <v>5</v>
      </c>
      <c r="Q943" s="7">
        <v>6</v>
      </c>
      <c r="R943" s="6" t="s">
        <v>5</v>
      </c>
      <c r="S943" s="6" t="s">
        <v>5</v>
      </c>
      <c r="T943" s="5" t="s">
        <v>5</v>
      </c>
      <c r="U943" s="8" t="s">
        <v>5</v>
      </c>
      <c r="V943" s="6" t="s">
        <v>5</v>
      </c>
      <c r="W943" s="8" t="s">
        <v>5</v>
      </c>
      <c r="X943" s="22">
        <v>0.56299999999999994</v>
      </c>
      <c r="Y943" s="6" t="s">
        <v>5</v>
      </c>
      <c r="Z943" s="6" t="s">
        <v>5</v>
      </c>
      <c r="AA943" s="6" t="s">
        <v>5</v>
      </c>
      <c r="AB943" s="8" t="s">
        <v>5</v>
      </c>
      <c r="AC943" s="8" t="s">
        <v>5</v>
      </c>
      <c r="AD943" s="6" t="s">
        <v>5</v>
      </c>
      <c r="AE943" s="7">
        <v>1</v>
      </c>
      <c r="AF943" s="6" t="s">
        <v>5</v>
      </c>
      <c r="AG943" s="6" t="s">
        <v>5</v>
      </c>
      <c r="AH943" s="22">
        <v>0.443</v>
      </c>
      <c r="AI943" s="6" t="s">
        <v>5</v>
      </c>
      <c r="AJ943" s="4">
        <v>10.7</v>
      </c>
      <c r="AK943" s="6" t="s">
        <v>5</v>
      </c>
      <c r="AL943" s="6" t="s">
        <v>5</v>
      </c>
      <c r="AM943" s="6" t="s">
        <v>5</v>
      </c>
      <c r="AN943" s="6" t="s">
        <v>5</v>
      </c>
      <c r="AO943" s="4">
        <v>13.7</v>
      </c>
      <c r="AP943" s="7">
        <v>8.26</v>
      </c>
      <c r="AQ943" s="7">
        <v>4.58</v>
      </c>
      <c r="AR943" s="7">
        <v>1.1399999999999999</v>
      </c>
      <c r="AS943" s="6">
        <v>89.1</v>
      </c>
      <c r="AT943" s="6">
        <v>23.2</v>
      </c>
      <c r="AU943" s="6">
        <v>14.4</v>
      </c>
      <c r="AV943" s="7">
        <v>2.9</v>
      </c>
      <c r="AW943" s="6" t="s">
        <v>5</v>
      </c>
      <c r="AX943" s="6" t="s">
        <v>5</v>
      </c>
      <c r="AY943" s="6" t="s">
        <v>5</v>
      </c>
      <c r="AZ943" s="6" t="s">
        <v>5</v>
      </c>
      <c r="BA943" s="6" t="s">
        <v>5</v>
      </c>
      <c r="BB943" s="6" t="s">
        <v>5</v>
      </c>
      <c r="BC943" s="6" t="s">
        <v>5</v>
      </c>
      <c r="BD943" s="6" t="s">
        <v>5</v>
      </c>
      <c r="BE943" s="6" t="s">
        <v>5</v>
      </c>
      <c r="BF943" s="6" t="s">
        <v>5</v>
      </c>
      <c r="BG943" s="6" t="s">
        <v>5</v>
      </c>
      <c r="BH943" s="6" t="s">
        <v>5</v>
      </c>
      <c r="BI943" s="7">
        <v>3.2</v>
      </c>
      <c r="BJ943" s="22">
        <v>0.94899999999999995</v>
      </c>
      <c r="BK943" s="6" t="s">
        <v>5</v>
      </c>
      <c r="BL943" s="2" t="s">
        <v>5</v>
      </c>
      <c r="BM943" s="2" t="s">
        <v>5</v>
      </c>
      <c r="BN943" s="2" t="s">
        <v>5</v>
      </c>
      <c r="BO943" s="2" t="s">
        <v>5</v>
      </c>
      <c r="BP943" s="2" t="s">
        <v>5</v>
      </c>
      <c r="BQ943" s="2" t="s">
        <v>5</v>
      </c>
      <c r="BR943" s="2" t="s">
        <v>5</v>
      </c>
      <c r="BS943" s="2" t="s">
        <v>5</v>
      </c>
      <c r="BT943" s="2" t="s">
        <v>5</v>
      </c>
      <c r="BU943" s="2" t="s">
        <v>5</v>
      </c>
      <c r="BV943" s="2" t="s">
        <v>5</v>
      </c>
      <c r="BW943" s="2" t="s">
        <v>5</v>
      </c>
      <c r="BX943" s="2" t="s">
        <v>5</v>
      </c>
      <c r="BY943" s="25" t="s">
        <v>5</v>
      </c>
      <c r="BZ943" s="25" t="s">
        <v>5</v>
      </c>
      <c r="CA943" s="6" t="s">
        <v>5</v>
      </c>
      <c r="CB943" s="6" t="s">
        <v>5</v>
      </c>
      <c r="CC943" s="6" t="s">
        <v>5</v>
      </c>
      <c r="CD943" s="6" t="s">
        <v>5</v>
      </c>
      <c r="CE943" s="6" t="s">
        <v>5</v>
      </c>
      <c r="CF943" s="16" t="s">
        <v>5</v>
      </c>
      <c r="CG943" s="16" t="s">
        <v>5</v>
      </c>
      <c r="CH943" s="18" t="s">
        <v>5</v>
      </c>
    </row>
    <row r="944" spans="2:86">
      <c r="B944" s="78" t="s">
        <v>473</v>
      </c>
      <c r="C944" s="79" t="s">
        <v>1044</v>
      </c>
      <c r="D944" s="80" t="s">
        <v>1044</v>
      </c>
      <c r="E944" s="1" t="s">
        <v>4</v>
      </c>
      <c r="F944" s="4">
        <v>36.200000000000003</v>
      </c>
      <c r="G944" s="4">
        <v>10.6</v>
      </c>
      <c r="H944" s="3" t="str">
        <f t="shared" si="33"/>
        <v>2L6X4X9/16X3/4SLBB</v>
      </c>
      <c r="I944" s="7">
        <v>4</v>
      </c>
      <c r="J944" s="5" t="s">
        <v>5</v>
      </c>
      <c r="K944" s="6" t="s">
        <v>5</v>
      </c>
      <c r="L944" s="6" t="s">
        <v>5</v>
      </c>
      <c r="M944" s="6" t="s">
        <v>5</v>
      </c>
      <c r="N944" s="6" t="s">
        <v>5</v>
      </c>
      <c r="O944" s="5" t="s">
        <v>5</v>
      </c>
      <c r="P944" s="5" t="s">
        <v>5</v>
      </c>
      <c r="Q944" s="7">
        <v>6</v>
      </c>
      <c r="R944" s="6" t="s">
        <v>5</v>
      </c>
      <c r="S944" s="6" t="s">
        <v>5</v>
      </c>
      <c r="T944" s="5" t="s">
        <v>5</v>
      </c>
      <c r="U944" s="8" t="s">
        <v>5</v>
      </c>
      <c r="V944" s="6" t="s">
        <v>5</v>
      </c>
      <c r="W944" s="8" t="s">
        <v>5</v>
      </c>
      <c r="X944" s="22">
        <v>0.56299999999999994</v>
      </c>
      <c r="Y944" s="6" t="s">
        <v>5</v>
      </c>
      <c r="Z944" s="6" t="s">
        <v>5</v>
      </c>
      <c r="AA944" s="6" t="s">
        <v>5</v>
      </c>
      <c r="AB944" s="8" t="s">
        <v>5</v>
      </c>
      <c r="AC944" s="8" t="s">
        <v>5</v>
      </c>
      <c r="AD944" s="6" t="s">
        <v>5</v>
      </c>
      <c r="AE944" s="7">
        <v>1</v>
      </c>
      <c r="AF944" s="6" t="s">
        <v>5</v>
      </c>
      <c r="AG944" s="6" t="s">
        <v>5</v>
      </c>
      <c r="AH944" s="22">
        <v>0.443</v>
      </c>
      <c r="AI944" s="6" t="s">
        <v>5</v>
      </c>
      <c r="AJ944" s="4">
        <v>10.7</v>
      </c>
      <c r="AK944" s="6" t="s">
        <v>5</v>
      </c>
      <c r="AL944" s="6" t="s">
        <v>5</v>
      </c>
      <c r="AM944" s="6" t="s">
        <v>5</v>
      </c>
      <c r="AN944" s="6" t="s">
        <v>5</v>
      </c>
      <c r="AO944" s="4">
        <v>13.7</v>
      </c>
      <c r="AP944" s="7">
        <v>8.26</v>
      </c>
      <c r="AQ944" s="7">
        <v>4.58</v>
      </c>
      <c r="AR944" s="7">
        <v>1.1399999999999999</v>
      </c>
      <c r="AS944" s="4">
        <v>98</v>
      </c>
      <c r="AT944" s="6">
        <v>25.2</v>
      </c>
      <c r="AU944" s="6">
        <v>15.4</v>
      </c>
      <c r="AV944" s="7">
        <v>3.04</v>
      </c>
      <c r="AW944" s="6" t="s">
        <v>5</v>
      </c>
      <c r="AX944" s="6" t="s">
        <v>5</v>
      </c>
      <c r="AY944" s="6" t="s">
        <v>5</v>
      </c>
      <c r="AZ944" s="6" t="s">
        <v>5</v>
      </c>
      <c r="BA944" s="6" t="s">
        <v>5</v>
      </c>
      <c r="BB944" s="6" t="s">
        <v>5</v>
      </c>
      <c r="BC944" s="6" t="s">
        <v>5</v>
      </c>
      <c r="BD944" s="6" t="s">
        <v>5</v>
      </c>
      <c r="BE944" s="6" t="s">
        <v>5</v>
      </c>
      <c r="BF944" s="6" t="s">
        <v>5</v>
      </c>
      <c r="BG944" s="6" t="s">
        <v>5</v>
      </c>
      <c r="BH944" s="6" t="s">
        <v>5</v>
      </c>
      <c r="BI944" s="7">
        <v>3.33</v>
      </c>
      <c r="BJ944" s="22">
        <v>0.95299999999999996</v>
      </c>
      <c r="BK944" s="6" t="s">
        <v>5</v>
      </c>
      <c r="BL944" s="2" t="s">
        <v>5</v>
      </c>
      <c r="BM944" s="2" t="s">
        <v>5</v>
      </c>
      <c r="BN944" s="2" t="s">
        <v>5</v>
      </c>
      <c r="BO944" s="2" t="s">
        <v>5</v>
      </c>
      <c r="BP944" s="2" t="s">
        <v>5</v>
      </c>
      <c r="BQ944" s="2" t="s">
        <v>5</v>
      </c>
      <c r="BR944" s="2" t="s">
        <v>5</v>
      </c>
      <c r="BS944" s="2" t="s">
        <v>5</v>
      </c>
      <c r="BT944" s="2" t="s">
        <v>5</v>
      </c>
      <c r="BU944" s="2" t="s">
        <v>5</v>
      </c>
      <c r="BV944" s="2" t="s">
        <v>5</v>
      </c>
      <c r="BW944" s="2" t="s">
        <v>5</v>
      </c>
      <c r="BX944" s="2" t="s">
        <v>5</v>
      </c>
      <c r="BY944" s="25" t="s">
        <v>5</v>
      </c>
      <c r="BZ944" s="25" t="s">
        <v>5</v>
      </c>
      <c r="CA944" s="6" t="s">
        <v>5</v>
      </c>
      <c r="CB944" s="6" t="s">
        <v>5</v>
      </c>
      <c r="CC944" s="6" t="s">
        <v>5</v>
      </c>
      <c r="CD944" s="6" t="s">
        <v>5</v>
      </c>
      <c r="CE944" s="6" t="s">
        <v>5</v>
      </c>
      <c r="CF944" s="16" t="s">
        <v>5</v>
      </c>
      <c r="CG944" s="16" t="s">
        <v>5</v>
      </c>
      <c r="CH944" s="18" t="s">
        <v>5</v>
      </c>
    </row>
    <row r="945" spans="2:86">
      <c r="B945" s="78" t="s">
        <v>473</v>
      </c>
      <c r="C945" s="79" t="s">
        <v>1045</v>
      </c>
      <c r="D945" s="80" t="s">
        <v>1045</v>
      </c>
      <c r="E945" s="1" t="s">
        <v>4</v>
      </c>
      <c r="F945" s="4">
        <v>32.4</v>
      </c>
      <c r="G945" s="7">
        <v>9.5</v>
      </c>
      <c r="H945" s="3" t="str">
        <f t="shared" si="33"/>
        <v>2L6X4X1/2SLBB</v>
      </c>
      <c r="I945" s="7">
        <v>4</v>
      </c>
      <c r="J945" s="5" t="s">
        <v>5</v>
      </c>
      <c r="K945" s="6" t="s">
        <v>5</v>
      </c>
      <c r="L945" s="6" t="s">
        <v>5</v>
      </c>
      <c r="M945" s="6" t="s">
        <v>5</v>
      </c>
      <c r="N945" s="6" t="s">
        <v>5</v>
      </c>
      <c r="O945" s="5" t="s">
        <v>5</v>
      </c>
      <c r="P945" s="5" t="s">
        <v>5</v>
      </c>
      <c r="Q945" s="7">
        <v>6</v>
      </c>
      <c r="R945" s="6" t="s">
        <v>5</v>
      </c>
      <c r="S945" s="6" t="s">
        <v>5</v>
      </c>
      <c r="T945" s="5" t="s">
        <v>5</v>
      </c>
      <c r="U945" s="8" t="s">
        <v>5</v>
      </c>
      <c r="V945" s="6" t="s">
        <v>5</v>
      </c>
      <c r="W945" s="8" t="s">
        <v>5</v>
      </c>
      <c r="X945" s="22">
        <v>0.5</v>
      </c>
      <c r="Y945" s="6" t="s">
        <v>5</v>
      </c>
      <c r="Z945" s="6" t="s">
        <v>5</v>
      </c>
      <c r="AA945" s="6" t="s">
        <v>5</v>
      </c>
      <c r="AB945" s="8" t="s">
        <v>5</v>
      </c>
      <c r="AC945" s="8" t="s">
        <v>5</v>
      </c>
      <c r="AD945" s="6" t="s">
        <v>5</v>
      </c>
      <c r="AE945" s="22">
        <v>0.98099999999999998</v>
      </c>
      <c r="AF945" s="6" t="s">
        <v>5</v>
      </c>
      <c r="AG945" s="6" t="s">
        <v>5</v>
      </c>
      <c r="AH945" s="22">
        <v>0.39600000000000002</v>
      </c>
      <c r="AI945" s="6" t="s">
        <v>5</v>
      </c>
      <c r="AJ945" s="4">
        <v>12</v>
      </c>
      <c r="AK945" s="6" t="s">
        <v>5</v>
      </c>
      <c r="AL945" s="6" t="s">
        <v>5</v>
      </c>
      <c r="AM945" s="6" t="s">
        <v>5</v>
      </c>
      <c r="AN945" s="6" t="s">
        <v>5</v>
      </c>
      <c r="AO945" s="4">
        <v>12.4</v>
      </c>
      <c r="AP945" s="7">
        <v>7.38</v>
      </c>
      <c r="AQ945" s="7">
        <v>4.12</v>
      </c>
      <c r="AR945" s="7">
        <v>1.1399999999999999</v>
      </c>
      <c r="AS945" s="6">
        <v>71.8</v>
      </c>
      <c r="AT945" s="6">
        <v>18.8</v>
      </c>
      <c r="AU945" s="4">
        <v>12</v>
      </c>
      <c r="AV945" s="7">
        <v>2.75</v>
      </c>
      <c r="AW945" s="6" t="s">
        <v>5</v>
      </c>
      <c r="AX945" s="6" t="s">
        <v>5</v>
      </c>
      <c r="AY945" s="6" t="s">
        <v>5</v>
      </c>
      <c r="AZ945" s="6" t="s">
        <v>5</v>
      </c>
      <c r="BA945" s="6" t="s">
        <v>5</v>
      </c>
      <c r="BB945" s="6" t="s">
        <v>5</v>
      </c>
      <c r="BC945" s="6" t="s">
        <v>5</v>
      </c>
      <c r="BD945" s="6" t="s">
        <v>5</v>
      </c>
      <c r="BE945" s="6" t="s">
        <v>5</v>
      </c>
      <c r="BF945" s="6" t="s">
        <v>5</v>
      </c>
      <c r="BG945" s="6" t="s">
        <v>5</v>
      </c>
      <c r="BH945" s="6" t="s">
        <v>5</v>
      </c>
      <c r="BI945" s="7">
        <v>3.07</v>
      </c>
      <c r="BJ945" s="22">
        <v>0.94299999999999995</v>
      </c>
      <c r="BK945" s="6" t="s">
        <v>5</v>
      </c>
      <c r="BL945" s="2" t="s">
        <v>5</v>
      </c>
      <c r="BM945" s="2" t="s">
        <v>5</v>
      </c>
      <c r="BN945" s="2" t="s">
        <v>5</v>
      </c>
      <c r="BO945" s="2" t="s">
        <v>5</v>
      </c>
      <c r="BP945" s="2" t="s">
        <v>5</v>
      </c>
      <c r="BQ945" s="2" t="s">
        <v>5</v>
      </c>
      <c r="BR945" s="2" t="s">
        <v>5</v>
      </c>
      <c r="BS945" s="2" t="s">
        <v>5</v>
      </c>
      <c r="BT945" s="2" t="s">
        <v>5</v>
      </c>
      <c r="BU945" s="2" t="s">
        <v>5</v>
      </c>
      <c r="BV945" s="2" t="s">
        <v>5</v>
      </c>
      <c r="BW945" s="2" t="s">
        <v>5</v>
      </c>
      <c r="BX945" s="2" t="s">
        <v>5</v>
      </c>
      <c r="BY945" s="25" t="s">
        <v>5</v>
      </c>
      <c r="BZ945" s="25" t="s">
        <v>5</v>
      </c>
      <c r="CA945" s="6" t="s">
        <v>5</v>
      </c>
      <c r="CB945" s="6" t="s">
        <v>5</v>
      </c>
      <c r="CC945" s="6" t="s">
        <v>5</v>
      </c>
      <c r="CD945" s="6" t="s">
        <v>5</v>
      </c>
      <c r="CE945" s="6" t="s">
        <v>5</v>
      </c>
      <c r="CF945" s="16" t="s">
        <v>5</v>
      </c>
      <c r="CG945" s="16" t="s">
        <v>5</v>
      </c>
      <c r="CH945" s="18" t="s">
        <v>5</v>
      </c>
    </row>
    <row r="946" spans="2:86">
      <c r="B946" s="78" t="s">
        <v>473</v>
      </c>
      <c r="C946" s="79" t="s">
        <v>1046</v>
      </c>
      <c r="D946" s="80" t="s">
        <v>1046</v>
      </c>
      <c r="E946" s="1" t="s">
        <v>4</v>
      </c>
      <c r="F946" s="4">
        <v>32.4</v>
      </c>
      <c r="G946" s="7">
        <v>9.5</v>
      </c>
      <c r="H946" s="3" t="str">
        <f t="shared" si="33"/>
        <v>2L6X4X1/2X3/8SLBB</v>
      </c>
      <c r="I946" s="7">
        <v>4</v>
      </c>
      <c r="J946" s="5" t="s">
        <v>5</v>
      </c>
      <c r="K946" s="6" t="s">
        <v>5</v>
      </c>
      <c r="L946" s="6" t="s">
        <v>5</v>
      </c>
      <c r="M946" s="6" t="s">
        <v>5</v>
      </c>
      <c r="N946" s="6" t="s">
        <v>5</v>
      </c>
      <c r="O946" s="5" t="s">
        <v>5</v>
      </c>
      <c r="P946" s="5" t="s">
        <v>5</v>
      </c>
      <c r="Q946" s="7">
        <v>6</v>
      </c>
      <c r="R946" s="6" t="s">
        <v>5</v>
      </c>
      <c r="S946" s="6" t="s">
        <v>5</v>
      </c>
      <c r="T946" s="5" t="s">
        <v>5</v>
      </c>
      <c r="U946" s="8" t="s">
        <v>5</v>
      </c>
      <c r="V946" s="6" t="s">
        <v>5</v>
      </c>
      <c r="W946" s="8" t="s">
        <v>5</v>
      </c>
      <c r="X946" s="22">
        <v>0.5</v>
      </c>
      <c r="Y946" s="6" t="s">
        <v>5</v>
      </c>
      <c r="Z946" s="6" t="s">
        <v>5</v>
      </c>
      <c r="AA946" s="6" t="s">
        <v>5</v>
      </c>
      <c r="AB946" s="8" t="s">
        <v>5</v>
      </c>
      <c r="AC946" s="8" t="s">
        <v>5</v>
      </c>
      <c r="AD946" s="6" t="s">
        <v>5</v>
      </c>
      <c r="AE946" s="22">
        <v>0.98099999999999998</v>
      </c>
      <c r="AF946" s="6" t="s">
        <v>5</v>
      </c>
      <c r="AG946" s="6" t="s">
        <v>5</v>
      </c>
      <c r="AH946" s="22">
        <v>0.39600000000000002</v>
      </c>
      <c r="AI946" s="6" t="s">
        <v>5</v>
      </c>
      <c r="AJ946" s="4">
        <v>12</v>
      </c>
      <c r="AK946" s="6" t="s">
        <v>5</v>
      </c>
      <c r="AL946" s="6" t="s">
        <v>5</v>
      </c>
      <c r="AM946" s="6" t="s">
        <v>5</v>
      </c>
      <c r="AN946" s="6" t="s">
        <v>5</v>
      </c>
      <c r="AO946" s="4">
        <v>12.4</v>
      </c>
      <c r="AP946" s="7">
        <v>7.38</v>
      </c>
      <c r="AQ946" s="7">
        <v>4.12</v>
      </c>
      <c r="AR946" s="7">
        <v>1.1399999999999999</v>
      </c>
      <c r="AS946" s="6">
        <v>79.3</v>
      </c>
      <c r="AT946" s="6">
        <v>20.6</v>
      </c>
      <c r="AU946" s="6">
        <v>12.8</v>
      </c>
      <c r="AV946" s="7">
        <v>2.89</v>
      </c>
      <c r="AW946" s="6" t="s">
        <v>5</v>
      </c>
      <c r="AX946" s="6" t="s">
        <v>5</v>
      </c>
      <c r="AY946" s="6" t="s">
        <v>5</v>
      </c>
      <c r="AZ946" s="6" t="s">
        <v>5</v>
      </c>
      <c r="BA946" s="6" t="s">
        <v>5</v>
      </c>
      <c r="BB946" s="6" t="s">
        <v>5</v>
      </c>
      <c r="BC946" s="6" t="s">
        <v>5</v>
      </c>
      <c r="BD946" s="6" t="s">
        <v>5</v>
      </c>
      <c r="BE946" s="6" t="s">
        <v>5</v>
      </c>
      <c r="BF946" s="6" t="s">
        <v>5</v>
      </c>
      <c r="BG946" s="6" t="s">
        <v>5</v>
      </c>
      <c r="BH946" s="6" t="s">
        <v>5</v>
      </c>
      <c r="BI946" s="7">
        <v>3.19</v>
      </c>
      <c r="BJ946" s="22">
        <v>0.94799999999999995</v>
      </c>
      <c r="BK946" s="6" t="s">
        <v>5</v>
      </c>
      <c r="BL946" s="2" t="s">
        <v>5</v>
      </c>
      <c r="BM946" s="2" t="s">
        <v>5</v>
      </c>
      <c r="BN946" s="2" t="s">
        <v>5</v>
      </c>
      <c r="BO946" s="2" t="s">
        <v>5</v>
      </c>
      <c r="BP946" s="2" t="s">
        <v>5</v>
      </c>
      <c r="BQ946" s="2" t="s">
        <v>5</v>
      </c>
      <c r="BR946" s="2" t="s">
        <v>5</v>
      </c>
      <c r="BS946" s="2" t="s">
        <v>5</v>
      </c>
      <c r="BT946" s="2" t="s">
        <v>5</v>
      </c>
      <c r="BU946" s="2" t="s">
        <v>5</v>
      </c>
      <c r="BV946" s="2" t="s">
        <v>5</v>
      </c>
      <c r="BW946" s="2" t="s">
        <v>5</v>
      </c>
      <c r="BX946" s="2" t="s">
        <v>5</v>
      </c>
      <c r="BY946" s="25" t="s">
        <v>5</v>
      </c>
      <c r="BZ946" s="25" t="s">
        <v>5</v>
      </c>
      <c r="CA946" s="6" t="s">
        <v>5</v>
      </c>
      <c r="CB946" s="6" t="s">
        <v>5</v>
      </c>
      <c r="CC946" s="6" t="s">
        <v>5</v>
      </c>
      <c r="CD946" s="6" t="s">
        <v>5</v>
      </c>
      <c r="CE946" s="6" t="s">
        <v>5</v>
      </c>
      <c r="CF946" s="16" t="s">
        <v>5</v>
      </c>
      <c r="CG946" s="16" t="s">
        <v>5</v>
      </c>
      <c r="CH946" s="18" t="s">
        <v>5</v>
      </c>
    </row>
    <row r="947" spans="2:86">
      <c r="B947" s="78" t="s">
        <v>473</v>
      </c>
      <c r="C947" s="79" t="s">
        <v>1047</v>
      </c>
      <c r="D947" s="80" t="s">
        <v>1047</v>
      </c>
      <c r="E947" s="1" t="s">
        <v>4</v>
      </c>
      <c r="F947" s="4">
        <v>32.4</v>
      </c>
      <c r="G947" s="7">
        <v>9.5</v>
      </c>
      <c r="H947" s="3" t="str">
        <f t="shared" si="33"/>
        <v>2L6X4X1/2X3/4SLBB</v>
      </c>
      <c r="I947" s="7">
        <v>4</v>
      </c>
      <c r="J947" s="5" t="s">
        <v>5</v>
      </c>
      <c r="K947" s="6" t="s">
        <v>5</v>
      </c>
      <c r="L947" s="6" t="s">
        <v>5</v>
      </c>
      <c r="M947" s="6" t="s">
        <v>5</v>
      </c>
      <c r="N947" s="6" t="s">
        <v>5</v>
      </c>
      <c r="O947" s="5" t="s">
        <v>5</v>
      </c>
      <c r="P947" s="5" t="s">
        <v>5</v>
      </c>
      <c r="Q947" s="7">
        <v>6</v>
      </c>
      <c r="R947" s="6" t="s">
        <v>5</v>
      </c>
      <c r="S947" s="6" t="s">
        <v>5</v>
      </c>
      <c r="T947" s="5" t="s">
        <v>5</v>
      </c>
      <c r="U947" s="8" t="s">
        <v>5</v>
      </c>
      <c r="V947" s="6" t="s">
        <v>5</v>
      </c>
      <c r="W947" s="8" t="s">
        <v>5</v>
      </c>
      <c r="X947" s="22">
        <v>0.5</v>
      </c>
      <c r="Y947" s="6" t="s">
        <v>5</v>
      </c>
      <c r="Z947" s="6" t="s">
        <v>5</v>
      </c>
      <c r="AA947" s="6" t="s">
        <v>5</v>
      </c>
      <c r="AB947" s="8" t="s">
        <v>5</v>
      </c>
      <c r="AC947" s="8" t="s">
        <v>5</v>
      </c>
      <c r="AD947" s="6" t="s">
        <v>5</v>
      </c>
      <c r="AE947" s="22">
        <v>0.98099999999999998</v>
      </c>
      <c r="AF947" s="6" t="s">
        <v>5</v>
      </c>
      <c r="AG947" s="6" t="s">
        <v>5</v>
      </c>
      <c r="AH947" s="22">
        <v>0.39600000000000002</v>
      </c>
      <c r="AI947" s="6" t="s">
        <v>5</v>
      </c>
      <c r="AJ947" s="4">
        <v>12</v>
      </c>
      <c r="AK947" s="6" t="s">
        <v>5</v>
      </c>
      <c r="AL947" s="6" t="s">
        <v>5</v>
      </c>
      <c r="AM947" s="6" t="s">
        <v>5</v>
      </c>
      <c r="AN947" s="6" t="s">
        <v>5</v>
      </c>
      <c r="AO947" s="4">
        <v>12.4</v>
      </c>
      <c r="AP947" s="7">
        <v>7.38</v>
      </c>
      <c r="AQ947" s="7">
        <v>4.12</v>
      </c>
      <c r="AR947" s="7">
        <v>1.1399999999999999</v>
      </c>
      <c r="AS947" s="6">
        <v>87.2</v>
      </c>
      <c r="AT947" s="6">
        <v>22.4</v>
      </c>
      <c r="AU947" s="6">
        <v>13.7</v>
      </c>
      <c r="AV947" s="7">
        <v>3.03</v>
      </c>
      <c r="AW947" s="6" t="s">
        <v>5</v>
      </c>
      <c r="AX947" s="6" t="s">
        <v>5</v>
      </c>
      <c r="AY947" s="6" t="s">
        <v>5</v>
      </c>
      <c r="AZ947" s="6" t="s">
        <v>5</v>
      </c>
      <c r="BA947" s="6" t="s">
        <v>5</v>
      </c>
      <c r="BB947" s="6" t="s">
        <v>5</v>
      </c>
      <c r="BC947" s="6" t="s">
        <v>5</v>
      </c>
      <c r="BD947" s="6" t="s">
        <v>5</v>
      </c>
      <c r="BE947" s="6" t="s">
        <v>5</v>
      </c>
      <c r="BF947" s="6" t="s">
        <v>5</v>
      </c>
      <c r="BG947" s="6" t="s">
        <v>5</v>
      </c>
      <c r="BH947" s="6" t="s">
        <v>5</v>
      </c>
      <c r="BI947" s="7">
        <v>3.32</v>
      </c>
      <c r="BJ947" s="22">
        <v>0.95199999999999996</v>
      </c>
      <c r="BK947" s="6" t="s">
        <v>5</v>
      </c>
      <c r="BL947" s="2" t="s">
        <v>5</v>
      </c>
      <c r="BM947" s="2" t="s">
        <v>5</v>
      </c>
      <c r="BN947" s="2" t="s">
        <v>5</v>
      </c>
      <c r="BO947" s="2" t="s">
        <v>5</v>
      </c>
      <c r="BP947" s="2" t="s">
        <v>5</v>
      </c>
      <c r="BQ947" s="2" t="s">
        <v>5</v>
      </c>
      <c r="BR947" s="2" t="s">
        <v>5</v>
      </c>
      <c r="BS947" s="2" t="s">
        <v>5</v>
      </c>
      <c r="BT947" s="2" t="s">
        <v>5</v>
      </c>
      <c r="BU947" s="2" t="s">
        <v>5</v>
      </c>
      <c r="BV947" s="2" t="s">
        <v>5</v>
      </c>
      <c r="BW947" s="2" t="s">
        <v>5</v>
      </c>
      <c r="BX947" s="2" t="s">
        <v>5</v>
      </c>
      <c r="BY947" s="25" t="s">
        <v>5</v>
      </c>
      <c r="BZ947" s="25" t="s">
        <v>5</v>
      </c>
      <c r="CA947" s="6" t="s">
        <v>5</v>
      </c>
      <c r="CB947" s="6" t="s">
        <v>5</v>
      </c>
      <c r="CC947" s="6" t="s">
        <v>5</v>
      </c>
      <c r="CD947" s="6" t="s">
        <v>5</v>
      </c>
      <c r="CE947" s="6" t="s">
        <v>5</v>
      </c>
      <c r="CF947" s="16" t="s">
        <v>5</v>
      </c>
      <c r="CG947" s="16" t="s">
        <v>5</v>
      </c>
      <c r="CH947" s="18" t="s">
        <v>5</v>
      </c>
    </row>
    <row r="948" spans="2:86">
      <c r="B948" s="78" t="s">
        <v>473</v>
      </c>
      <c r="C948" s="79" t="s">
        <v>1048</v>
      </c>
      <c r="D948" s="80" t="s">
        <v>1048</v>
      </c>
      <c r="E948" s="1" t="s">
        <v>4</v>
      </c>
      <c r="F948" s="4">
        <v>28.6</v>
      </c>
      <c r="G948" s="7">
        <v>8.36</v>
      </c>
      <c r="H948" s="3" t="str">
        <f t="shared" si="33"/>
        <v>2L6X4X7/16SLBB</v>
      </c>
      <c r="I948" s="7">
        <v>4</v>
      </c>
      <c r="J948" s="5" t="s">
        <v>5</v>
      </c>
      <c r="K948" s="6" t="s">
        <v>5</v>
      </c>
      <c r="L948" s="6" t="s">
        <v>5</v>
      </c>
      <c r="M948" s="6" t="s">
        <v>5</v>
      </c>
      <c r="N948" s="6" t="s">
        <v>5</v>
      </c>
      <c r="O948" s="5" t="s">
        <v>5</v>
      </c>
      <c r="P948" s="5" t="s">
        <v>5</v>
      </c>
      <c r="Q948" s="7">
        <v>6</v>
      </c>
      <c r="R948" s="6" t="s">
        <v>5</v>
      </c>
      <c r="S948" s="6" t="s">
        <v>5</v>
      </c>
      <c r="T948" s="5" t="s">
        <v>5</v>
      </c>
      <c r="U948" s="8" t="s">
        <v>5</v>
      </c>
      <c r="V948" s="6" t="s">
        <v>5</v>
      </c>
      <c r="W948" s="8" t="s">
        <v>5</v>
      </c>
      <c r="X948" s="22">
        <v>0.438</v>
      </c>
      <c r="Y948" s="6" t="s">
        <v>5</v>
      </c>
      <c r="Z948" s="6" t="s">
        <v>5</v>
      </c>
      <c r="AA948" s="6" t="s">
        <v>5</v>
      </c>
      <c r="AB948" s="8" t="s">
        <v>5</v>
      </c>
      <c r="AC948" s="8" t="s">
        <v>5</v>
      </c>
      <c r="AD948" s="6" t="s">
        <v>5</v>
      </c>
      <c r="AE948" s="22">
        <v>0.95699999999999996</v>
      </c>
      <c r="AF948" s="6" t="s">
        <v>5</v>
      </c>
      <c r="AG948" s="6" t="s">
        <v>5</v>
      </c>
      <c r="AH948" s="22">
        <v>0.34799999999999998</v>
      </c>
      <c r="AI948" s="6" t="s">
        <v>5</v>
      </c>
      <c r="AJ948" s="4">
        <v>13.7</v>
      </c>
      <c r="AK948" s="6" t="s">
        <v>5</v>
      </c>
      <c r="AL948" s="6" t="s">
        <v>5</v>
      </c>
      <c r="AM948" s="6" t="s">
        <v>5</v>
      </c>
      <c r="AN948" s="6" t="s">
        <v>5</v>
      </c>
      <c r="AO948" s="4">
        <v>11.1</v>
      </c>
      <c r="AP948" s="7">
        <v>6.49</v>
      </c>
      <c r="AQ948" s="7">
        <v>3.65</v>
      </c>
      <c r="AR948" s="7">
        <v>1.1499999999999999</v>
      </c>
      <c r="AS948" s="6">
        <v>62.8</v>
      </c>
      <c r="AT948" s="6">
        <v>16.3</v>
      </c>
      <c r="AU948" s="6">
        <v>10.5</v>
      </c>
      <c r="AV948" s="7">
        <v>2.74</v>
      </c>
      <c r="AW948" s="6" t="s">
        <v>5</v>
      </c>
      <c r="AX948" s="6" t="s">
        <v>5</v>
      </c>
      <c r="AY948" s="6" t="s">
        <v>5</v>
      </c>
      <c r="AZ948" s="6" t="s">
        <v>5</v>
      </c>
      <c r="BA948" s="6" t="s">
        <v>5</v>
      </c>
      <c r="BB948" s="6" t="s">
        <v>5</v>
      </c>
      <c r="BC948" s="6" t="s">
        <v>5</v>
      </c>
      <c r="BD948" s="6" t="s">
        <v>5</v>
      </c>
      <c r="BE948" s="6" t="s">
        <v>5</v>
      </c>
      <c r="BF948" s="6" t="s">
        <v>5</v>
      </c>
      <c r="BG948" s="6" t="s">
        <v>5</v>
      </c>
      <c r="BH948" s="6" t="s">
        <v>5</v>
      </c>
      <c r="BI948" s="7">
        <v>3.06</v>
      </c>
      <c r="BJ948" s="22">
        <v>0.94199999999999995</v>
      </c>
      <c r="BK948" s="6" t="s">
        <v>5</v>
      </c>
      <c r="BL948" s="2" t="s">
        <v>5</v>
      </c>
      <c r="BM948" s="2" t="s">
        <v>5</v>
      </c>
      <c r="BN948" s="2" t="s">
        <v>5</v>
      </c>
      <c r="BO948" s="2" t="s">
        <v>5</v>
      </c>
      <c r="BP948" s="2" t="s">
        <v>5</v>
      </c>
      <c r="BQ948" s="2" t="s">
        <v>5</v>
      </c>
      <c r="BR948" s="2" t="s">
        <v>5</v>
      </c>
      <c r="BS948" s="2" t="s">
        <v>5</v>
      </c>
      <c r="BT948" s="2" t="s">
        <v>5</v>
      </c>
      <c r="BU948" s="2" t="s">
        <v>5</v>
      </c>
      <c r="BV948" s="2" t="s">
        <v>5</v>
      </c>
      <c r="BW948" s="2" t="s">
        <v>5</v>
      </c>
      <c r="BX948" s="2" t="s">
        <v>5</v>
      </c>
      <c r="BY948" s="25" t="s">
        <v>5</v>
      </c>
      <c r="BZ948" s="25" t="s">
        <v>5</v>
      </c>
      <c r="CA948" s="6" t="s">
        <v>5</v>
      </c>
      <c r="CB948" s="6" t="s">
        <v>5</v>
      </c>
      <c r="CC948" s="6" t="s">
        <v>5</v>
      </c>
      <c r="CD948" s="6" t="s">
        <v>5</v>
      </c>
      <c r="CE948" s="6" t="s">
        <v>5</v>
      </c>
      <c r="CF948" s="16" t="s">
        <v>5</v>
      </c>
      <c r="CG948" s="16" t="s">
        <v>5</v>
      </c>
      <c r="CH948" s="18" t="s">
        <v>5</v>
      </c>
    </row>
    <row r="949" spans="2:86">
      <c r="B949" s="78" t="s">
        <v>473</v>
      </c>
      <c r="C949" s="79" t="s">
        <v>1049</v>
      </c>
      <c r="D949" s="80" t="s">
        <v>1049</v>
      </c>
      <c r="E949" s="1" t="s">
        <v>4</v>
      </c>
      <c r="F949" s="4">
        <v>28.6</v>
      </c>
      <c r="G949" s="7">
        <v>8.36</v>
      </c>
      <c r="H949" s="3" t="str">
        <f t="shared" si="33"/>
        <v>2L6X4X7/16X3/8SLBB</v>
      </c>
      <c r="I949" s="7">
        <v>4</v>
      </c>
      <c r="J949" s="5" t="s">
        <v>5</v>
      </c>
      <c r="K949" s="6" t="s">
        <v>5</v>
      </c>
      <c r="L949" s="6" t="s">
        <v>5</v>
      </c>
      <c r="M949" s="6" t="s">
        <v>5</v>
      </c>
      <c r="N949" s="6" t="s">
        <v>5</v>
      </c>
      <c r="O949" s="5" t="s">
        <v>5</v>
      </c>
      <c r="P949" s="5" t="s">
        <v>5</v>
      </c>
      <c r="Q949" s="7">
        <v>6</v>
      </c>
      <c r="R949" s="6" t="s">
        <v>5</v>
      </c>
      <c r="S949" s="6" t="s">
        <v>5</v>
      </c>
      <c r="T949" s="5" t="s">
        <v>5</v>
      </c>
      <c r="U949" s="8" t="s">
        <v>5</v>
      </c>
      <c r="V949" s="6" t="s">
        <v>5</v>
      </c>
      <c r="W949" s="8" t="s">
        <v>5</v>
      </c>
      <c r="X949" s="22">
        <v>0.438</v>
      </c>
      <c r="Y949" s="6" t="s">
        <v>5</v>
      </c>
      <c r="Z949" s="6" t="s">
        <v>5</v>
      </c>
      <c r="AA949" s="6" t="s">
        <v>5</v>
      </c>
      <c r="AB949" s="8" t="s">
        <v>5</v>
      </c>
      <c r="AC949" s="8" t="s">
        <v>5</v>
      </c>
      <c r="AD949" s="6" t="s">
        <v>5</v>
      </c>
      <c r="AE949" s="22">
        <v>0.95699999999999996</v>
      </c>
      <c r="AF949" s="6" t="s">
        <v>5</v>
      </c>
      <c r="AG949" s="6" t="s">
        <v>5</v>
      </c>
      <c r="AH949" s="22">
        <v>0.34799999999999998</v>
      </c>
      <c r="AI949" s="6" t="s">
        <v>5</v>
      </c>
      <c r="AJ949" s="4">
        <v>13.7</v>
      </c>
      <c r="AK949" s="6" t="s">
        <v>5</v>
      </c>
      <c r="AL949" s="6" t="s">
        <v>5</v>
      </c>
      <c r="AM949" s="6" t="s">
        <v>5</v>
      </c>
      <c r="AN949" s="6" t="s">
        <v>5</v>
      </c>
      <c r="AO949" s="4">
        <v>11.1</v>
      </c>
      <c r="AP949" s="7">
        <v>6.49</v>
      </c>
      <c r="AQ949" s="7">
        <v>3.65</v>
      </c>
      <c r="AR949" s="7">
        <v>1.1499999999999999</v>
      </c>
      <c r="AS949" s="6">
        <v>69.3</v>
      </c>
      <c r="AT949" s="6">
        <v>17.899999999999999</v>
      </c>
      <c r="AU949" s="6">
        <v>11.2</v>
      </c>
      <c r="AV949" s="7">
        <v>2.88</v>
      </c>
      <c r="AW949" s="6" t="s">
        <v>5</v>
      </c>
      <c r="AX949" s="6" t="s">
        <v>5</v>
      </c>
      <c r="AY949" s="6" t="s">
        <v>5</v>
      </c>
      <c r="AZ949" s="6" t="s">
        <v>5</v>
      </c>
      <c r="BA949" s="6" t="s">
        <v>5</v>
      </c>
      <c r="BB949" s="6" t="s">
        <v>5</v>
      </c>
      <c r="BC949" s="6" t="s">
        <v>5</v>
      </c>
      <c r="BD949" s="6" t="s">
        <v>5</v>
      </c>
      <c r="BE949" s="6" t="s">
        <v>5</v>
      </c>
      <c r="BF949" s="6" t="s">
        <v>5</v>
      </c>
      <c r="BG949" s="6" t="s">
        <v>5</v>
      </c>
      <c r="BH949" s="6" t="s">
        <v>5</v>
      </c>
      <c r="BI949" s="7">
        <v>3.19</v>
      </c>
      <c r="BJ949" s="22">
        <v>0.94599999999999995</v>
      </c>
      <c r="BK949" s="6" t="s">
        <v>5</v>
      </c>
      <c r="BL949" s="2" t="s">
        <v>5</v>
      </c>
      <c r="BM949" s="2" t="s">
        <v>5</v>
      </c>
      <c r="BN949" s="2" t="s">
        <v>5</v>
      </c>
      <c r="BO949" s="2" t="s">
        <v>5</v>
      </c>
      <c r="BP949" s="2" t="s">
        <v>5</v>
      </c>
      <c r="BQ949" s="2" t="s">
        <v>5</v>
      </c>
      <c r="BR949" s="2" t="s">
        <v>5</v>
      </c>
      <c r="BS949" s="2" t="s">
        <v>5</v>
      </c>
      <c r="BT949" s="2" t="s">
        <v>5</v>
      </c>
      <c r="BU949" s="2" t="s">
        <v>5</v>
      </c>
      <c r="BV949" s="2" t="s">
        <v>5</v>
      </c>
      <c r="BW949" s="2" t="s">
        <v>5</v>
      </c>
      <c r="BX949" s="2" t="s">
        <v>5</v>
      </c>
      <c r="BY949" s="25" t="s">
        <v>5</v>
      </c>
      <c r="BZ949" s="25" t="s">
        <v>5</v>
      </c>
      <c r="CA949" s="6" t="s">
        <v>5</v>
      </c>
      <c r="CB949" s="6" t="s">
        <v>5</v>
      </c>
      <c r="CC949" s="6" t="s">
        <v>5</v>
      </c>
      <c r="CD949" s="6" t="s">
        <v>5</v>
      </c>
      <c r="CE949" s="6" t="s">
        <v>5</v>
      </c>
      <c r="CF949" s="16" t="s">
        <v>5</v>
      </c>
      <c r="CG949" s="16" t="s">
        <v>5</v>
      </c>
      <c r="CH949" s="18" t="s">
        <v>5</v>
      </c>
    </row>
    <row r="950" spans="2:86">
      <c r="B950" s="78" t="s">
        <v>473</v>
      </c>
      <c r="C950" s="79" t="s">
        <v>1050</v>
      </c>
      <c r="D950" s="80" t="s">
        <v>1050</v>
      </c>
      <c r="E950" s="1" t="s">
        <v>4</v>
      </c>
      <c r="F950" s="4">
        <v>28.6</v>
      </c>
      <c r="G950" s="7">
        <v>8.36</v>
      </c>
      <c r="H950" s="3" t="str">
        <f t="shared" si="33"/>
        <v>2L6X4X7/16X3/4SLBB</v>
      </c>
      <c r="I950" s="7">
        <v>4</v>
      </c>
      <c r="J950" s="5" t="s">
        <v>5</v>
      </c>
      <c r="K950" s="6" t="s">
        <v>5</v>
      </c>
      <c r="L950" s="6" t="s">
        <v>5</v>
      </c>
      <c r="M950" s="6" t="s">
        <v>5</v>
      </c>
      <c r="N950" s="6" t="s">
        <v>5</v>
      </c>
      <c r="O950" s="5" t="s">
        <v>5</v>
      </c>
      <c r="P950" s="5" t="s">
        <v>5</v>
      </c>
      <c r="Q950" s="7">
        <v>6</v>
      </c>
      <c r="R950" s="6" t="s">
        <v>5</v>
      </c>
      <c r="S950" s="6" t="s">
        <v>5</v>
      </c>
      <c r="T950" s="5" t="s">
        <v>5</v>
      </c>
      <c r="U950" s="8" t="s">
        <v>5</v>
      </c>
      <c r="V950" s="6" t="s">
        <v>5</v>
      </c>
      <c r="W950" s="8" t="s">
        <v>5</v>
      </c>
      <c r="X950" s="22">
        <v>0.438</v>
      </c>
      <c r="Y950" s="6" t="s">
        <v>5</v>
      </c>
      <c r="Z950" s="6" t="s">
        <v>5</v>
      </c>
      <c r="AA950" s="6" t="s">
        <v>5</v>
      </c>
      <c r="AB950" s="8" t="s">
        <v>5</v>
      </c>
      <c r="AC950" s="8" t="s">
        <v>5</v>
      </c>
      <c r="AD950" s="6" t="s">
        <v>5</v>
      </c>
      <c r="AE950" s="22">
        <v>0.95699999999999996</v>
      </c>
      <c r="AF950" s="6" t="s">
        <v>5</v>
      </c>
      <c r="AG950" s="6" t="s">
        <v>5</v>
      </c>
      <c r="AH950" s="22">
        <v>0.34799999999999998</v>
      </c>
      <c r="AI950" s="6" t="s">
        <v>5</v>
      </c>
      <c r="AJ950" s="4">
        <v>13.7</v>
      </c>
      <c r="AK950" s="6" t="s">
        <v>5</v>
      </c>
      <c r="AL950" s="6" t="s">
        <v>5</v>
      </c>
      <c r="AM950" s="6" t="s">
        <v>5</v>
      </c>
      <c r="AN950" s="6" t="s">
        <v>5</v>
      </c>
      <c r="AO950" s="4">
        <v>11.1</v>
      </c>
      <c r="AP950" s="7">
        <v>6.49</v>
      </c>
      <c r="AQ950" s="7">
        <v>3.65</v>
      </c>
      <c r="AR950" s="7">
        <v>1.1499999999999999</v>
      </c>
      <c r="AS950" s="6">
        <v>76.2</v>
      </c>
      <c r="AT950" s="6">
        <v>19.399999999999999</v>
      </c>
      <c r="AU950" s="4">
        <v>12</v>
      </c>
      <c r="AV950" s="7">
        <v>3.02</v>
      </c>
      <c r="AW950" s="6" t="s">
        <v>5</v>
      </c>
      <c r="AX950" s="6" t="s">
        <v>5</v>
      </c>
      <c r="AY950" s="6" t="s">
        <v>5</v>
      </c>
      <c r="AZ950" s="6" t="s">
        <v>5</v>
      </c>
      <c r="BA950" s="6" t="s">
        <v>5</v>
      </c>
      <c r="BB950" s="6" t="s">
        <v>5</v>
      </c>
      <c r="BC950" s="6" t="s">
        <v>5</v>
      </c>
      <c r="BD950" s="6" t="s">
        <v>5</v>
      </c>
      <c r="BE950" s="6" t="s">
        <v>5</v>
      </c>
      <c r="BF950" s="6" t="s">
        <v>5</v>
      </c>
      <c r="BG950" s="6" t="s">
        <v>5</v>
      </c>
      <c r="BH950" s="6" t="s">
        <v>5</v>
      </c>
      <c r="BI950" s="7">
        <v>3.31</v>
      </c>
      <c r="BJ950" s="22">
        <v>0.95</v>
      </c>
      <c r="BK950" s="6" t="s">
        <v>5</v>
      </c>
      <c r="BL950" s="2" t="s">
        <v>5</v>
      </c>
      <c r="BM950" s="2" t="s">
        <v>5</v>
      </c>
      <c r="BN950" s="2" t="s">
        <v>5</v>
      </c>
      <c r="BO950" s="2" t="s">
        <v>5</v>
      </c>
      <c r="BP950" s="2" t="s">
        <v>5</v>
      </c>
      <c r="BQ950" s="2" t="s">
        <v>5</v>
      </c>
      <c r="BR950" s="2" t="s">
        <v>5</v>
      </c>
      <c r="BS950" s="2" t="s">
        <v>5</v>
      </c>
      <c r="BT950" s="2" t="s">
        <v>5</v>
      </c>
      <c r="BU950" s="2" t="s">
        <v>5</v>
      </c>
      <c r="BV950" s="2" t="s">
        <v>5</v>
      </c>
      <c r="BW950" s="2" t="s">
        <v>5</v>
      </c>
      <c r="BX950" s="2" t="s">
        <v>5</v>
      </c>
      <c r="BY950" s="25" t="s">
        <v>5</v>
      </c>
      <c r="BZ950" s="25" t="s">
        <v>5</v>
      </c>
      <c r="CA950" s="6" t="s">
        <v>5</v>
      </c>
      <c r="CB950" s="6" t="s">
        <v>5</v>
      </c>
      <c r="CC950" s="6" t="s">
        <v>5</v>
      </c>
      <c r="CD950" s="6" t="s">
        <v>5</v>
      </c>
      <c r="CE950" s="6" t="s">
        <v>5</v>
      </c>
      <c r="CF950" s="16" t="s">
        <v>5</v>
      </c>
      <c r="CG950" s="16" t="s">
        <v>5</v>
      </c>
      <c r="CH950" s="18" t="s">
        <v>5</v>
      </c>
    </row>
    <row r="951" spans="2:86">
      <c r="B951" s="78" t="s">
        <v>473</v>
      </c>
      <c r="C951" s="79" t="s">
        <v>1051</v>
      </c>
      <c r="D951" s="80" t="s">
        <v>1051</v>
      </c>
      <c r="E951" s="1" t="s">
        <v>4</v>
      </c>
      <c r="F951" s="4">
        <v>24.6</v>
      </c>
      <c r="G951" s="7">
        <v>7.22</v>
      </c>
      <c r="H951" s="3" t="str">
        <f t="shared" si="33"/>
        <v>2L6X4X3/8SLBB</v>
      </c>
      <c r="I951" s="7">
        <v>4</v>
      </c>
      <c r="J951" s="5" t="s">
        <v>5</v>
      </c>
      <c r="K951" s="6" t="s">
        <v>5</v>
      </c>
      <c r="L951" s="6" t="s">
        <v>5</v>
      </c>
      <c r="M951" s="6" t="s">
        <v>5</v>
      </c>
      <c r="N951" s="6" t="s">
        <v>5</v>
      </c>
      <c r="O951" s="5" t="s">
        <v>5</v>
      </c>
      <c r="P951" s="5" t="s">
        <v>5</v>
      </c>
      <c r="Q951" s="7">
        <v>6</v>
      </c>
      <c r="R951" s="6" t="s">
        <v>5</v>
      </c>
      <c r="S951" s="6" t="s">
        <v>5</v>
      </c>
      <c r="T951" s="5" t="s">
        <v>5</v>
      </c>
      <c r="U951" s="8" t="s">
        <v>5</v>
      </c>
      <c r="V951" s="6" t="s">
        <v>5</v>
      </c>
      <c r="W951" s="8" t="s">
        <v>5</v>
      </c>
      <c r="X951" s="22">
        <v>0.375</v>
      </c>
      <c r="Y951" s="6" t="s">
        <v>5</v>
      </c>
      <c r="Z951" s="6" t="s">
        <v>5</v>
      </c>
      <c r="AA951" s="6" t="s">
        <v>5</v>
      </c>
      <c r="AB951" s="8" t="s">
        <v>5</v>
      </c>
      <c r="AC951" s="8" t="s">
        <v>5</v>
      </c>
      <c r="AD951" s="6" t="s">
        <v>5</v>
      </c>
      <c r="AE951" s="22">
        <v>0.93300000000000005</v>
      </c>
      <c r="AF951" s="6" t="s">
        <v>5</v>
      </c>
      <c r="AG951" s="6" t="s">
        <v>5</v>
      </c>
      <c r="AH951" s="22">
        <v>0.30099999999999999</v>
      </c>
      <c r="AI951" s="6" t="s">
        <v>5</v>
      </c>
      <c r="AJ951" s="4">
        <v>16</v>
      </c>
      <c r="AK951" s="6" t="s">
        <v>5</v>
      </c>
      <c r="AL951" s="6" t="s">
        <v>5</v>
      </c>
      <c r="AM951" s="6" t="s">
        <v>5</v>
      </c>
      <c r="AN951" s="6" t="s">
        <v>5</v>
      </c>
      <c r="AO951" s="7">
        <v>9.7200000000000006</v>
      </c>
      <c r="AP951" s="7">
        <v>5.58</v>
      </c>
      <c r="AQ951" s="7">
        <v>3.17</v>
      </c>
      <c r="AR951" s="7">
        <v>1.1599999999999999</v>
      </c>
      <c r="AS951" s="6">
        <v>53.8</v>
      </c>
      <c r="AT951" s="6">
        <v>13.9</v>
      </c>
      <c r="AU951" s="6">
        <v>8.9700000000000006</v>
      </c>
      <c r="AV951" s="7">
        <v>2.73</v>
      </c>
      <c r="AW951" s="6" t="s">
        <v>5</v>
      </c>
      <c r="AX951" s="6" t="s">
        <v>5</v>
      </c>
      <c r="AY951" s="6" t="s">
        <v>5</v>
      </c>
      <c r="AZ951" s="6" t="s">
        <v>5</v>
      </c>
      <c r="BA951" s="6" t="s">
        <v>5</v>
      </c>
      <c r="BB951" s="6" t="s">
        <v>5</v>
      </c>
      <c r="BC951" s="6" t="s">
        <v>5</v>
      </c>
      <c r="BD951" s="6" t="s">
        <v>5</v>
      </c>
      <c r="BE951" s="6" t="s">
        <v>5</v>
      </c>
      <c r="BF951" s="6" t="s">
        <v>5</v>
      </c>
      <c r="BG951" s="6" t="s">
        <v>5</v>
      </c>
      <c r="BH951" s="6" t="s">
        <v>5</v>
      </c>
      <c r="BI951" s="7">
        <v>3.06</v>
      </c>
      <c r="BJ951" s="22">
        <v>0.94</v>
      </c>
      <c r="BK951" s="6" t="s">
        <v>5</v>
      </c>
      <c r="BL951" s="2" t="s">
        <v>5</v>
      </c>
      <c r="BM951" s="2" t="s">
        <v>5</v>
      </c>
      <c r="BN951" s="2" t="s">
        <v>5</v>
      </c>
      <c r="BO951" s="2" t="s">
        <v>5</v>
      </c>
      <c r="BP951" s="2" t="s">
        <v>5</v>
      </c>
      <c r="BQ951" s="2" t="s">
        <v>5</v>
      </c>
      <c r="BR951" s="2" t="s">
        <v>5</v>
      </c>
      <c r="BS951" s="2" t="s">
        <v>5</v>
      </c>
      <c r="BT951" s="2" t="s">
        <v>5</v>
      </c>
      <c r="BU951" s="2" t="s">
        <v>5</v>
      </c>
      <c r="BV951" s="2" t="s">
        <v>5</v>
      </c>
      <c r="BW951" s="2" t="s">
        <v>5</v>
      </c>
      <c r="BX951" s="2" t="s">
        <v>5</v>
      </c>
      <c r="BY951" s="25" t="s">
        <v>5</v>
      </c>
      <c r="BZ951" s="25" t="s">
        <v>5</v>
      </c>
      <c r="CA951" s="6" t="s">
        <v>5</v>
      </c>
      <c r="CB951" s="6" t="s">
        <v>5</v>
      </c>
      <c r="CC951" s="6" t="s">
        <v>5</v>
      </c>
      <c r="CD951" s="6" t="s">
        <v>5</v>
      </c>
      <c r="CE951" s="6" t="s">
        <v>5</v>
      </c>
      <c r="CF951" s="16" t="s">
        <v>5</v>
      </c>
      <c r="CG951" s="16" t="s">
        <v>5</v>
      </c>
      <c r="CH951" s="18" t="s">
        <v>5</v>
      </c>
    </row>
    <row r="952" spans="2:86">
      <c r="B952" s="78" t="s">
        <v>473</v>
      </c>
      <c r="C952" s="79" t="s">
        <v>1052</v>
      </c>
      <c r="D952" s="80" t="s">
        <v>1052</v>
      </c>
      <c r="E952" s="1" t="s">
        <v>4</v>
      </c>
      <c r="F952" s="4">
        <v>24.6</v>
      </c>
      <c r="G952" s="7">
        <v>7.22</v>
      </c>
      <c r="H952" s="3" t="str">
        <f t="shared" si="33"/>
        <v>2L6X4X3/8X3/8SLBB</v>
      </c>
      <c r="I952" s="7">
        <v>4</v>
      </c>
      <c r="J952" s="5" t="s">
        <v>5</v>
      </c>
      <c r="K952" s="6" t="s">
        <v>5</v>
      </c>
      <c r="L952" s="6" t="s">
        <v>5</v>
      </c>
      <c r="M952" s="6" t="s">
        <v>5</v>
      </c>
      <c r="N952" s="6" t="s">
        <v>5</v>
      </c>
      <c r="O952" s="5" t="s">
        <v>5</v>
      </c>
      <c r="P952" s="5" t="s">
        <v>5</v>
      </c>
      <c r="Q952" s="7">
        <v>6</v>
      </c>
      <c r="R952" s="6" t="s">
        <v>5</v>
      </c>
      <c r="S952" s="6" t="s">
        <v>5</v>
      </c>
      <c r="T952" s="5" t="s">
        <v>5</v>
      </c>
      <c r="U952" s="8" t="s">
        <v>5</v>
      </c>
      <c r="V952" s="6" t="s">
        <v>5</v>
      </c>
      <c r="W952" s="8" t="s">
        <v>5</v>
      </c>
      <c r="X952" s="22">
        <v>0.375</v>
      </c>
      <c r="Y952" s="6" t="s">
        <v>5</v>
      </c>
      <c r="Z952" s="6" t="s">
        <v>5</v>
      </c>
      <c r="AA952" s="6" t="s">
        <v>5</v>
      </c>
      <c r="AB952" s="8" t="s">
        <v>5</v>
      </c>
      <c r="AC952" s="8" t="s">
        <v>5</v>
      </c>
      <c r="AD952" s="6" t="s">
        <v>5</v>
      </c>
      <c r="AE952" s="22">
        <v>0.93300000000000005</v>
      </c>
      <c r="AF952" s="6" t="s">
        <v>5</v>
      </c>
      <c r="AG952" s="6" t="s">
        <v>5</v>
      </c>
      <c r="AH952" s="22">
        <v>0.30099999999999999</v>
      </c>
      <c r="AI952" s="6" t="s">
        <v>5</v>
      </c>
      <c r="AJ952" s="4">
        <v>16</v>
      </c>
      <c r="AK952" s="6" t="s">
        <v>5</v>
      </c>
      <c r="AL952" s="6" t="s">
        <v>5</v>
      </c>
      <c r="AM952" s="6" t="s">
        <v>5</v>
      </c>
      <c r="AN952" s="6" t="s">
        <v>5</v>
      </c>
      <c r="AO952" s="7">
        <v>9.7200000000000006</v>
      </c>
      <c r="AP952" s="7">
        <v>5.58</v>
      </c>
      <c r="AQ952" s="7">
        <v>3.17</v>
      </c>
      <c r="AR952" s="7">
        <v>1.1599999999999999</v>
      </c>
      <c r="AS952" s="6">
        <v>59.1</v>
      </c>
      <c r="AT952" s="6">
        <v>15.3</v>
      </c>
      <c r="AU952" s="6">
        <v>9.5500000000000007</v>
      </c>
      <c r="AV952" s="7">
        <v>2.86</v>
      </c>
      <c r="AW952" s="6" t="s">
        <v>5</v>
      </c>
      <c r="AX952" s="6" t="s">
        <v>5</v>
      </c>
      <c r="AY952" s="6" t="s">
        <v>5</v>
      </c>
      <c r="AZ952" s="6" t="s">
        <v>5</v>
      </c>
      <c r="BA952" s="6" t="s">
        <v>5</v>
      </c>
      <c r="BB952" s="6" t="s">
        <v>5</v>
      </c>
      <c r="BC952" s="6" t="s">
        <v>5</v>
      </c>
      <c r="BD952" s="6" t="s">
        <v>5</v>
      </c>
      <c r="BE952" s="6" t="s">
        <v>5</v>
      </c>
      <c r="BF952" s="6" t="s">
        <v>5</v>
      </c>
      <c r="BG952" s="6" t="s">
        <v>5</v>
      </c>
      <c r="BH952" s="6" t="s">
        <v>5</v>
      </c>
      <c r="BI952" s="7">
        <v>3.18</v>
      </c>
      <c r="BJ952" s="22">
        <v>0.94499999999999995</v>
      </c>
      <c r="BK952" s="6" t="s">
        <v>5</v>
      </c>
      <c r="BL952" s="2" t="s">
        <v>5</v>
      </c>
      <c r="BM952" s="2" t="s">
        <v>5</v>
      </c>
      <c r="BN952" s="2" t="s">
        <v>5</v>
      </c>
      <c r="BO952" s="2" t="s">
        <v>5</v>
      </c>
      <c r="BP952" s="2" t="s">
        <v>5</v>
      </c>
      <c r="BQ952" s="2" t="s">
        <v>5</v>
      </c>
      <c r="BR952" s="2" t="s">
        <v>5</v>
      </c>
      <c r="BS952" s="2" t="s">
        <v>5</v>
      </c>
      <c r="BT952" s="2" t="s">
        <v>5</v>
      </c>
      <c r="BU952" s="2" t="s">
        <v>5</v>
      </c>
      <c r="BV952" s="2" t="s">
        <v>5</v>
      </c>
      <c r="BW952" s="2" t="s">
        <v>5</v>
      </c>
      <c r="BX952" s="2" t="s">
        <v>5</v>
      </c>
      <c r="BY952" s="25" t="s">
        <v>5</v>
      </c>
      <c r="BZ952" s="25" t="s">
        <v>5</v>
      </c>
      <c r="CA952" s="6" t="s">
        <v>5</v>
      </c>
      <c r="CB952" s="6" t="s">
        <v>5</v>
      </c>
      <c r="CC952" s="6" t="s">
        <v>5</v>
      </c>
      <c r="CD952" s="6" t="s">
        <v>5</v>
      </c>
      <c r="CE952" s="6" t="s">
        <v>5</v>
      </c>
      <c r="CF952" s="16" t="s">
        <v>5</v>
      </c>
      <c r="CG952" s="16" t="s">
        <v>5</v>
      </c>
      <c r="CH952" s="18" t="s">
        <v>5</v>
      </c>
    </row>
    <row r="953" spans="2:86">
      <c r="B953" s="78" t="s">
        <v>473</v>
      </c>
      <c r="C953" s="79" t="s">
        <v>1053</v>
      </c>
      <c r="D953" s="80" t="s">
        <v>1053</v>
      </c>
      <c r="E953" s="1" t="s">
        <v>4</v>
      </c>
      <c r="F953" s="4">
        <v>24.6</v>
      </c>
      <c r="G953" s="7">
        <v>7.22</v>
      </c>
      <c r="H953" s="3" t="str">
        <f t="shared" si="33"/>
        <v>2L6X4X3/8X3/4SLBB</v>
      </c>
      <c r="I953" s="7">
        <v>4</v>
      </c>
      <c r="J953" s="5" t="s">
        <v>5</v>
      </c>
      <c r="K953" s="6" t="s">
        <v>5</v>
      </c>
      <c r="L953" s="6" t="s">
        <v>5</v>
      </c>
      <c r="M953" s="6" t="s">
        <v>5</v>
      </c>
      <c r="N953" s="6" t="s">
        <v>5</v>
      </c>
      <c r="O953" s="5" t="s">
        <v>5</v>
      </c>
      <c r="P953" s="5" t="s">
        <v>5</v>
      </c>
      <c r="Q953" s="7">
        <v>6</v>
      </c>
      <c r="R953" s="6" t="s">
        <v>5</v>
      </c>
      <c r="S953" s="6" t="s">
        <v>5</v>
      </c>
      <c r="T953" s="5" t="s">
        <v>5</v>
      </c>
      <c r="U953" s="8" t="s">
        <v>5</v>
      </c>
      <c r="V953" s="6" t="s">
        <v>5</v>
      </c>
      <c r="W953" s="8" t="s">
        <v>5</v>
      </c>
      <c r="X953" s="22">
        <v>0.375</v>
      </c>
      <c r="Y953" s="6" t="s">
        <v>5</v>
      </c>
      <c r="Z953" s="6" t="s">
        <v>5</v>
      </c>
      <c r="AA953" s="6" t="s">
        <v>5</v>
      </c>
      <c r="AB953" s="8" t="s">
        <v>5</v>
      </c>
      <c r="AC953" s="8" t="s">
        <v>5</v>
      </c>
      <c r="AD953" s="6" t="s">
        <v>5</v>
      </c>
      <c r="AE953" s="22">
        <v>0.93300000000000005</v>
      </c>
      <c r="AF953" s="6" t="s">
        <v>5</v>
      </c>
      <c r="AG953" s="6" t="s">
        <v>5</v>
      </c>
      <c r="AH953" s="22">
        <v>0.30099999999999999</v>
      </c>
      <c r="AI953" s="6" t="s">
        <v>5</v>
      </c>
      <c r="AJ953" s="4">
        <v>16</v>
      </c>
      <c r="AK953" s="6" t="s">
        <v>5</v>
      </c>
      <c r="AL953" s="6" t="s">
        <v>5</v>
      </c>
      <c r="AM953" s="6" t="s">
        <v>5</v>
      </c>
      <c r="AN953" s="6" t="s">
        <v>5</v>
      </c>
      <c r="AO953" s="7">
        <v>9.7200000000000006</v>
      </c>
      <c r="AP953" s="7">
        <v>5.58</v>
      </c>
      <c r="AQ953" s="7">
        <v>3.17</v>
      </c>
      <c r="AR953" s="7">
        <v>1.1599999999999999</v>
      </c>
      <c r="AS953" s="4">
        <v>65</v>
      </c>
      <c r="AT953" s="6">
        <v>16.600000000000001</v>
      </c>
      <c r="AU953" s="6">
        <v>10.199999999999999</v>
      </c>
      <c r="AV953" s="7">
        <v>3</v>
      </c>
      <c r="AW953" s="6" t="s">
        <v>5</v>
      </c>
      <c r="AX953" s="6" t="s">
        <v>5</v>
      </c>
      <c r="AY953" s="6" t="s">
        <v>5</v>
      </c>
      <c r="AZ953" s="6" t="s">
        <v>5</v>
      </c>
      <c r="BA953" s="6" t="s">
        <v>5</v>
      </c>
      <c r="BB953" s="6" t="s">
        <v>5</v>
      </c>
      <c r="BC953" s="6" t="s">
        <v>5</v>
      </c>
      <c r="BD953" s="6" t="s">
        <v>5</v>
      </c>
      <c r="BE953" s="6" t="s">
        <v>5</v>
      </c>
      <c r="BF953" s="6" t="s">
        <v>5</v>
      </c>
      <c r="BG953" s="6" t="s">
        <v>5</v>
      </c>
      <c r="BH953" s="6" t="s">
        <v>5</v>
      </c>
      <c r="BI953" s="7">
        <v>3.31</v>
      </c>
      <c r="BJ953" s="22">
        <v>0.94899999999999995</v>
      </c>
      <c r="BK953" s="6" t="s">
        <v>5</v>
      </c>
      <c r="BL953" s="2" t="s">
        <v>5</v>
      </c>
      <c r="BM953" s="2" t="s">
        <v>5</v>
      </c>
      <c r="BN953" s="2" t="s">
        <v>5</v>
      </c>
      <c r="BO953" s="2" t="s">
        <v>5</v>
      </c>
      <c r="BP953" s="2" t="s">
        <v>5</v>
      </c>
      <c r="BQ953" s="2" t="s">
        <v>5</v>
      </c>
      <c r="BR953" s="2" t="s">
        <v>5</v>
      </c>
      <c r="BS953" s="2" t="s">
        <v>5</v>
      </c>
      <c r="BT953" s="2" t="s">
        <v>5</v>
      </c>
      <c r="BU953" s="2" t="s">
        <v>5</v>
      </c>
      <c r="BV953" s="2" t="s">
        <v>5</v>
      </c>
      <c r="BW953" s="2" t="s">
        <v>5</v>
      </c>
      <c r="BX953" s="2" t="s">
        <v>5</v>
      </c>
      <c r="BY953" s="25" t="s">
        <v>5</v>
      </c>
      <c r="BZ953" s="25" t="s">
        <v>5</v>
      </c>
      <c r="CA953" s="6" t="s">
        <v>5</v>
      </c>
      <c r="CB953" s="6" t="s">
        <v>5</v>
      </c>
      <c r="CC953" s="6" t="s">
        <v>5</v>
      </c>
      <c r="CD953" s="6" t="s">
        <v>5</v>
      </c>
      <c r="CE953" s="6" t="s">
        <v>5</v>
      </c>
      <c r="CF953" s="16" t="s">
        <v>5</v>
      </c>
      <c r="CG953" s="16" t="s">
        <v>5</v>
      </c>
      <c r="CH953" s="18" t="s">
        <v>5</v>
      </c>
    </row>
    <row r="954" spans="2:86">
      <c r="B954" s="78" t="s">
        <v>473</v>
      </c>
      <c r="C954" s="79" t="s">
        <v>1054</v>
      </c>
      <c r="D954" s="80" t="s">
        <v>1054</v>
      </c>
      <c r="E954" s="1" t="s">
        <v>4</v>
      </c>
      <c r="F954" s="4">
        <v>20.6</v>
      </c>
      <c r="G954" s="7">
        <v>6.06</v>
      </c>
      <c r="H954" s="3" t="str">
        <f t="shared" si="33"/>
        <v>2L6X4X5/16SLBB</v>
      </c>
      <c r="I954" s="7">
        <v>4</v>
      </c>
      <c r="J954" s="5" t="s">
        <v>5</v>
      </c>
      <c r="K954" s="6" t="s">
        <v>5</v>
      </c>
      <c r="L954" s="6" t="s">
        <v>5</v>
      </c>
      <c r="M954" s="6" t="s">
        <v>5</v>
      </c>
      <c r="N954" s="6" t="s">
        <v>5</v>
      </c>
      <c r="O954" s="5" t="s">
        <v>5</v>
      </c>
      <c r="P954" s="5" t="s">
        <v>5</v>
      </c>
      <c r="Q954" s="7">
        <v>6</v>
      </c>
      <c r="R954" s="6" t="s">
        <v>5</v>
      </c>
      <c r="S954" s="6" t="s">
        <v>5</v>
      </c>
      <c r="T954" s="5" t="s">
        <v>5</v>
      </c>
      <c r="U954" s="8" t="s">
        <v>5</v>
      </c>
      <c r="V954" s="6" t="s">
        <v>5</v>
      </c>
      <c r="W954" s="8" t="s">
        <v>5</v>
      </c>
      <c r="X954" s="22">
        <v>0.313</v>
      </c>
      <c r="Y954" s="6" t="s">
        <v>5</v>
      </c>
      <c r="Z954" s="6" t="s">
        <v>5</v>
      </c>
      <c r="AA954" s="6" t="s">
        <v>5</v>
      </c>
      <c r="AB954" s="8" t="s">
        <v>5</v>
      </c>
      <c r="AC954" s="8" t="s">
        <v>5</v>
      </c>
      <c r="AD954" s="6" t="s">
        <v>5</v>
      </c>
      <c r="AE954" s="22">
        <v>0.90800000000000003</v>
      </c>
      <c r="AF954" s="6" t="s">
        <v>5</v>
      </c>
      <c r="AG954" s="6" t="s">
        <v>5</v>
      </c>
      <c r="AH954" s="22">
        <v>0.253</v>
      </c>
      <c r="AI954" s="6" t="s">
        <v>5</v>
      </c>
      <c r="AJ954" s="4">
        <v>19.2</v>
      </c>
      <c r="AK954" s="6" t="s">
        <v>5</v>
      </c>
      <c r="AL954" s="6" t="s">
        <v>5</v>
      </c>
      <c r="AM954" s="6" t="s">
        <v>5</v>
      </c>
      <c r="AN954" s="6" t="s">
        <v>5</v>
      </c>
      <c r="AO954" s="7">
        <v>8.26</v>
      </c>
      <c r="AP954" s="7">
        <v>4.67</v>
      </c>
      <c r="AQ954" s="7">
        <v>2.67</v>
      </c>
      <c r="AR954" s="7">
        <v>1.17</v>
      </c>
      <c r="AS954" s="6">
        <v>44.8</v>
      </c>
      <c r="AT954" s="6">
        <v>11.5</v>
      </c>
      <c r="AU954" s="6">
        <v>7.47</v>
      </c>
      <c r="AV954" s="7">
        <v>2.72</v>
      </c>
      <c r="AW954" s="6" t="s">
        <v>5</v>
      </c>
      <c r="AX954" s="6" t="s">
        <v>5</v>
      </c>
      <c r="AY954" s="6" t="s">
        <v>5</v>
      </c>
      <c r="AZ954" s="6" t="s">
        <v>5</v>
      </c>
      <c r="BA954" s="6" t="s">
        <v>5</v>
      </c>
      <c r="BB954" s="6" t="s">
        <v>5</v>
      </c>
      <c r="BC954" s="6" t="s">
        <v>5</v>
      </c>
      <c r="BD954" s="6" t="s">
        <v>5</v>
      </c>
      <c r="BE954" s="6" t="s">
        <v>5</v>
      </c>
      <c r="BF954" s="6" t="s">
        <v>5</v>
      </c>
      <c r="BG954" s="6" t="s">
        <v>5</v>
      </c>
      <c r="BH954" s="6" t="s">
        <v>5</v>
      </c>
      <c r="BI954" s="7">
        <v>3.05</v>
      </c>
      <c r="BJ954" s="22">
        <v>0.93899999999999995</v>
      </c>
      <c r="BK954" s="6" t="s">
        <v>5</v>
      </c>
      <c r="BL954" s="2" t="s">
        <v>5</v>
      </c>
      <c r="BM954" s="2" t="s">
        <v>5</v>
      </c>
      <c r="BN954" s="2" t="s">
        <v>5</v>
      </c>
      <c r="BO954" s="2" t="s">
        <v>5</v>
      </c>
      <c r="BP954" s="2" t="s">
        <v>5</v>
      </c>
      <c r="BQ954" s="2" t="s">
        <v>5</v>
      </c>
      <c r="BR954" s="2" t="s">
        <v>5</v>
      </c>
      <c r="BS954" s="2" t="s">
        <v>5</v>
      </c>
      <c r="BT954" s="2" t="s">
        <v>5</v>
      </c>
      <c r="BU954" s="2" t="s">
        <v>5</v>
      </c>
      <c r="BV954" s="2" t="s">
        <v>5</v>
      </c>
      <c r="BW954" s="2" t="s">
        <v>5</v>
      </c>
      <c r="BX954" s="2" t="s">
        <v>5</v>
      </c>
      <c r="BY954" s="25" t="s">
        <v>5</v>
      </c>
      <c r="BZ954" s="25" t="s">
        <v>5</v>
      </c>
      <c r="CA954" s="6" t="s">
        <v>5</v>
      </c>
      <c r="CB954" s="6" t="s">
        <v>5</v>
      </c>
      <c r="CC954" s="6" t="s">
        <v>5</v>
      </c>
      <c r="CD954" s="6" t="s">
        <v>5</v>
      </c>
      <c r="CE954" s="6" t="s">
        <v>5</v>
      </c>
      <c r="CF954" s="16" t="s">
        <v>5</v>
      </c>
      <c r="CG954" s="16" t="s">
        <v>5</v>
      </c>
      <c r="CH954" s="18" t="s">
        <v>5</v>
      </c>
    </row>
    <row r="955" spans="2:86">
      <c r="B955" s="78" t="s">
        <v>473</v>
      </c>
      <c r="C955" s="79" t="s">
        <v>1055</v>
      </c>
      <c r="D955" s="80" t="s">
        <v>1055</v>
      </c>
      <c r="E955" s="1" t="s">
        <v>4</v>
      </c>
      <c r="F955" s="4">
        <v>20.6</v>
      </c>
      <c r="G955" s="7">
        <v>6.06</v>
      </c>
      <c r="H955" s="3" t="str">
        <f t="shared" si="33"/>
        <v>2L6X4X5/16X3/8SLBB</v>
      </c>
      <c r="I955" s="7">
        <v>4</v>
      </c>
      <c r="J955" s="5" t="s">
        <v>5</v>
      </c>
      <c r="K955" s="6" t="s">
        <v>5</v>
      </c>
      <c r="L955" s="6" t="s">
        <v>5</v>
      </c>
      <c r="M955" s="6" t="s">
        <v>5</v>
      </c>
      <c r="N955" s="6" t="s">
        <v>5</v>
      </c>
      <c r="O955" s="5" t="s">
        <v>5</v>
      </c>
      <c r="P955" s="5" t="s">
        <v>5</v>
      </c>
      <c r="Q955" s="7">
        <v>6</v>
      </c>
      <c r="R955" s="6" t="s">
        <v>5</v>
      </c>
      <c r="S955" s="6" t="s">
        <v>5</v>
      </c>
      <c r="T955" s="5" t="s">
        <v>5</v>
      </c>
      <c r="U955" s="8" t="s">
        <v>5</v>
      </c>
      <c r="V955" s="6" t="s">
        <v>5</v>
      </c>
      <c r="W955" s="8" t="s">
        <v>5</v>
      </c>
      <c r="X955" s="22">
        <v>0.313</v>
      </c>
      <c r="Y955" s="6" t="s">
        <v>5</v>
      </c>
      <c r="Z955" s="6" t="s">
        <v>5</v>
      </c>
      <c r="AA955" s="6" t="s">
        <v>5</v>
      </c>
      <c r="AB955" s="8" t="s">
        <v>5</v>
      </c>
      <c r="AC955" s="8" t="s">
        <v>5</v>
      </c>
      <c r="AD955" s="6" t="s">
        <v>5</v>
      </c>
      <c r="AE955" s="22">
        <v>0.90800000000000003</v>
      </c>
      <c r="AF955" s="6" t="s">
        <v>5</v>
      </c>
      <c r="AG955" s="6" t="s">
        <v>5</v>
      </c>
      <c r="AH955" s="22">
        <v>0.253</v>
      </c>
      <c r="AI955" s="6" t="s">
        <v>5</v>
      </c>
      <c r="AJ955" s="4">
        <v>19.2</v>
      </c>
      <c r="AK955" s="6" t="s">
        <v>5</v>
      </c>
      <c r="AL955" s="6" t="s">
        <v>5</v>
      </c>
      <c r="AM955" s="6" t="s">
        <v>5</v>
      </c>
      <c r="AN955" s="6" t="s">
        <v>5</v>
      </c>
      <c r="AO955" s="7">
        <v>8.26</v>
      </c>
      <c r="AP955" s="7">
        <v>4.67</v>
      </c>
      <c r="AQ955" s="7">
        <v>2.67</v>
      </c>
      <c r="AR955" s="7">
        <v>1.17</v>
      </c>
      <c r="AS955" s="6">
        <v>49.2</v>
      </c>
      <c r="AT955" s="6">
        <v>12.7</v>
      </c>
      <c r="AU955" s="6">
        <v>7.95</v>
      </c>
      <c r="AV955" s="7">
        <v>2.85</v>
      </c>
      <c r="AW955" s="6" t="s">
        <v>5</v>
      </c>
      <c r="AX955" s="6" t="s">
        <v>5</v>
      </c>
      <c r="AY955" s="6" t="s">
        <v>5</v>
      </c>
      <c r="AZ955" s="6" t="s">
        <v>5</v>
      </c>
      <c r="BA955" s="6" t="s">
        <v>5</v>
      </c>
      <c r="BB955" s="6" t="s">
        <v>5</v>
      </c>
      <c r="BC955" s="6" t="s">
        <v>5</v>
      </c>
      <c r="BD955" s="6" t="s">
        <v>5</v>
      </c>
      <c r="BE955" s="6" t="s">
        <v>5</v>
      </c>
      <c r="BF955" s="6" t="s">
        <v>5</v>
      </c>
      <c r="BG955" s="6" t="s">
        <v>5</v>
      </c>
      <c r="BH955" s="6" t="s">
        <v>5</v>
      </c>
      <c r="BI955" s="7">
        <v>3.17</v>
      </c>
      <c r="BJ955" s="22">
        <v>0.94399999999999995</v>
      </c>
      <c r="BK955" s="6" t="s">
        <v>5</v>
      </c>
      <c r="BL955" s="2" t="s">
        <v>5</v>
      </c>
      <c r="BM955" s="2" t="s">
        <v>5</v>
      </c>
      <c r="BN955" s="2" t="s">
        <v>5</v>
      </c>
      <c r="BO955" s="2" t="s">
        <v>5</v>
      </c>
      <c r="BP955" s="2" t="s">
        <v>5</v>
      </c>
      <c r="BQ955" s="2" t="s">
        <v>5</v>
      </c>
      <c r="BR955" s="2" t="s">
        <v>5</v>
      </c>
      <c r="BS955" s="2" t="s">
        <v>5</v>
      </c>
      <c r="BT955" s="2" t="s">
        <v>5</v>
      </c>
      <c r="BU955" s="2" t="s">
        <v>5</v>
      </c>
      <c r="BV955" s="2" t="s">
        <v>5</v>
      </c>
      <c r="BW955" s="2" t="s">
        <v>5</v>
      </c>
      <c r="BX955" s="2" t="s">
        <v>5</v>
      </c>
      <c r="BY955" s="25" t="s">
        <v>5</v>
      </c>
      <c r="BZ955" s="25" t="s">
        <v>5</v>
      </c>
      <c r="CA955" s="6" t="s">
        <v>5</v>
      </c>
      <c r="CB955" s="6" t="s">
        <v>5</v>
      </c>
      <c r="CC955" s="6" t="s">
        <v>5</v>
      </c>
      <c r="CD955" s="6" t="s">
        <v>5</v>
      </c>
      <c r="CE955" s="6" t="s">
        <v>5</v>
      </c>
      <c r="CF955" s="16" t="s">
        <v>5</v>
      </c>
      <c r="CG955" s="16" t="s">
        <v>5</v>
      </c>
      <c r="CH955" s="18" t="s">
        <v>5</v>
      </c>
    </row>
    <row r="956" spans="2:86">
      <c r="B956" s="78" t="s">
        <v>473</v>
      </c>
      <c r="C956" s="79" t="s">
        <v>1056</v>
      </c>
      <c r="D956" s="80" t="s">
        <v>1056</v>
      </c>
      <c r="E956" s="1" t="s">
        <v>4</v>
      </c>
      <c r="F956" s="4">
        <v>20.6</v>
      </c>
      <c r="G956" s="7">
        <v>6.06</v>
      </c>
      <c r="H956" s="3" t="str">
        <f t="shared" si="33"/>
        <v>2L6X4X5/16X3/4SLBB</v>
      </c>
      <c r="I956" s="7">
        <v>4</v>
      </c>
      <c r="J956" s="5" t="s">
        <v>5</v>
      </c>
      <c r="K956" s="6" t="s">
        <v>5</v>
      </c>
      <c r="L956" s="6" t="s">
        <v>5</v>
      </c>
      <c r="M956" s="6" t="s">
        <v>5</v>
      </c>
      <c r="N956" s="6" t="s">
        <v>5</v>
      </c>
      <c r="O956" s="5" t="s">
        <v>5</v>
      </c>
      <c r="P956" s="5" t="s">
        <v>5</v>
      </c>
      <c r="Q956" s="7">
        <v>6</v>
      </c>
      <c r="R956" s="6" t="s">
        <v>5</v>
      </c>
      <c r="S956" s="6" t="s">
        <v>5</v>
      </c>
      <c r="T956" s="5" t="s">
        <v>5</v>
      </c>
      <c r="U956" s="8" t="s">
        <v>5</v>
      </c>
      <c r="V956" s="6" t="s">
        <v>5</v>
      </c>
      <c r="W956" s="8" t="s">
        <v>5</v>
      </c>
      <c r="X956" s="22">
        <v>0.313</v>
      </c>
      <c r="Y956" s="6" t="s">
        <v>5</v>
      </c>
      <c r="Z956" s="6" t="s">
        <v>5</v>
      </c>
      <c r="AA956" s="6" t="s">
        <v>5</v>
      </c>
      <c r="AB956" s="8" t="s">
        <v>5</v>
      </c>
      <c r="AC956" s="8" t="s">
        <v>5</v>
      </c>
      <c r="AD956" s="6" t="s">
        <v>5</v>
      </c>
      <c r="AE956" s="22">
        <v>0.90800000000000003</v>
      </c>
      <c r="AF956" s="6" t="s">
        <v>5</v>
      </c>
      <c r="AG956" s="6" t="s">
        <v>5</v>
      </c>
      <c r="AH956" s="22">
        <v>0.253</v>
      </c>
      <c r="AI956" s="6" t="s">
        <v>5</v>
      </c>
      <c r="AJ956" s="4">
        <v>19.2</v>
      </c>
      <c r="AK956" s="6" t="s">
        <v>5</v>
      </c>
      <c r="AL956" s="6" t="s">
        <v>5</v>
      </c>
      <c r="AM956" s="6" t="s">
        <v>5</v>
      </c>
      <c r="AN956" s="6" t="s">
        <v>5</v>
      </c>
      <c r="AO956" s="7">
        <v>8.26</v>
      </c>
      <c r="AP956" s="7">
        <v>4.67</v>
      </c>
      <c r="AQ956" s="7">
        <v>2.67</v>
      </c>
      <c r="AR956" s="7">
        <v>1.17</v>
      </c>
      <c r="AS956" s="6">
        <v>54.2</v>
      </c>
      <c r="AT956" s="6">
        <v>13.8</v>
      </c>
      <c r="AU956" s="7">
        <v>8.5</v>
      </c>
      <c r="AV956" s="7">
        <v>2.99</v>
      </c>
      <c r="AW956" s="6" t="s">
        <v>5</v>
      </c>
      <c r="AX956" s="6" t="s">
        <v>5</v>
      </c>
      <c r="AY956" s="6" t="s">
        <v>5</v>
      </c>
      <c r="AZ956" s="6" t="s">
        <v>5</v>
      </c>
      <c r="BA956" s="6" t="s">
        <v>5</v>
      </c>
      <c r="BB956" s="6" t="s">
        <v>5</v>
      </c>
      <c r="BC956" s="6" t="s">
        <v>5</v>
      </c>
      <c r="BD956" s="6" t="s">
        <v>5</v>
      </c>
      <c r="BE956" s="6" t="s">
        <v>5</v>
      </c>
      <c r="BF956" s="6" t="s">
        <v>5</v>
      </c>
      <c r="BG956" s="6" t="s">
        <v>5</v>
      </c>
      <c r="BH956" s="6" t="s">
        <v>5</v>
      </c>
      <c r="BI956" s="7">
        <v>3.3</v>
      </c>
      <c r="BJ956" s="22">
        <v>0.94799999999999995</v>
      </c>
      <c r="BK956" s="6" t="s">
        <v>5</v>
      </c>
      <c r="BL956" s="2" t="s">
        <v>5</v>
      </c>
      <c r="BM956" s="2" t="s">
        <v>5</v>
      </c>
      <c r="BN956" s="2" t="s">
        <v>5</v>
      </c>
      <c r="BO956" s="2" t="s">
        <v>5</v>
      </c>
      <c r="BP956" s="2" t="s">
        <v>5</v>
      </c>
      <c r="BQ956" s="2" t="s">
        <v>5</v>
      </c>
      <c r="BR956" s="2" t="s">
        <v>5</v>
      </c>
      <c r="BS956" s="2" t="s">
        <v>5</v>
      </c>
      <c r="BT956" s="2" t="s">
        <v>5</v>
      </c>
      <c r="BU956" s="2" t="s">
        <v>5</v>
      </c>
      <c r="BV956" s="2" t="s">
        <v>5</v>
      </c>
      <c r="BW956" s="2" t="s">
        <v>5</v>
      </c>
      <c r="BX956" s="2" t="s">
        <v>5</v>
      </c>
      <c r="BY956" s="25" t="s">
        <v>5</v>
      </c>
      <c r="BZ956" s="25" t="s">
        <v>5</v>
      </c>
      <c r="CA956" s="6" t="s">
        <v>5</v>
      </c>
      <c r="CB956" s="6" t="s">
        <v>5</v>
      </c>
      <c r="CC956" s="6" t="s">
        <v>5</v>
      </c>
      <c r="CD956" s="6" t="s">
        <v>5</v>
      </c>
      <c r="CE956" s="6" t="s">
        <v>5</v>
      </c>
      <c r="CF956" s="16" t="s">
        <v>5</v>
      </c>
      <c r="CG956" s="16" t="s">
        <v>5</v>
      </c>
      <c r="CH956" s="18" t="s">
        <v>5</v>
      </c>
    </row>
    <row r="957" spans="2:86">
      <c r="B957" s="78" t="s">
        <v>473</v>
      </c>
      <c r="C957" s="79" t="s">
        <v>1057</v>
      </c>
      <c r="D957" s="80" t="s">
        <v>1057</v>
      </c>
      <c r="E957" s="1" t="s">
        <v>4</v>
      </c>
      <c r="F957" s="4">
        <v>30.6</v>
      </c>
      <c r="G957" s="7">
        <v>9</v>
      </c>
      <c r="H957" s="3" t="str">
        <f t="shared" si="33"/>
        <v>2L6X3-1/2X1/2SLBB</v>
      </c>
      <c r="I957" s="7">
        <v>3.5</v>
      </c>
      <c r="J957" s="5" t="s">
        <v>5</v>
      </c>
      <c r="K957" s="6" t="s">
        <v>5</v>
      </c>
      <c r="L957" s="6" t="s">
        <v>5</v>
      </c>
      <c r="M957" s="6" t="s">
        <v>5</v>
      </c>
      <c r="N957" s="6" t="s">
        <v>5</v>
      </c>
      <c r="O957" s="5" t="s">
        <v>5</v>
      </c>
      <c r="P957" s="5" t="s">
        <v>5</v>
      </c>
      <c r="Q957" s="7">
        <v>6</v>
      </c>
      <c r="R957" s="6" t="s">
        <v>5</v>
      </c>
      <c r="S957" s="6" t="s">
        <v>5</v>
      </c>
      <c r="T957" s="5" t="s">
        <v>5</v>
      </c>
      <c r="U957" s="8" t="s">
        <v>5</v>
      </c>
      <c r="V957" s="6" t="s">
        <v>5</v>
      </c>
      <c r="W957" s="8" t="s">
        <v>5</v>
      </c>
      <c r="X957" s="22">
        <v>0.5</v>
      </c>
      <c r="Y957" s="6" t="s">
        <v>5</v>
      </c>
      <c r="Z957" s="6" t="s">
        <v>5</v>
      </c>
      <c r="AA957" s="6" t="s">
        <v>5</v>
      </c>
      <c r="AB957" s="8" t="s">
        <v>5</v>
      </c>
      <c r="AC957" s="8" t="s">
        <v>5</v>
      </c>
      <c r="AD957" s="6" t="s">
        <v>5</v>
      </c>
      <c r="AE957" s="22">
        <v>0.82899999999999996</v>
      </c>
      <c r="AF957" s="6" t="s">
        <v>5</v>
      </c>
      <c r="AG957" s="6" t="s">
        <v>5</v>
      </c>
      <c r="AH957" s="22">
        <v>0.375</v>
      </c>
      <c r="AI957" s="6" t="s">
        <v>5</v>
      </c>
      <c r="AJ957" s="4">
        <v>12</v>
      </c>
      <c r="AK957" s="6" t="s">
        <v>5</v>
      </c>
      <c r="AL957" s="6" t="s">
        <v>5</v>
      </c>
      <c r="AM957" s="6" t="s">
        <v>5</v>
      </c>
      <c r="AN957" s="6" t="s">
        <v>5</v>
      </c>
      <c r="AO957" s="7">
        <v>8.4700000000000006</v>
      </c>
      <c r="AP957" s="7">
        <v>5.77</v>
      </c>
      <c r="AQ957" s="7">
        <v>3.17</v>
      </c>
      <c r="AR957" s="22">
        <v>0.96799999999999997</v>
      </c>
      <c r="AS957" s="6">
        <v>71.599999999999994</v>
      </c>
      <c r="AT957" s="6">
        <v>18.600000000000001</v>
      </c>
      <c r="AU957" s="6">
        <v>11.9</v>
      </c>
      <c r="AV957" s="7">
        <v>2.82</v>
      </c>
      <c r="AW957" s="6" t="s">
        <v>5</v>
      </c>
      <c r="AX957" s="6" t="s">
        <v>5</v>
      </c>
      <c r="AY957" s="6" t="s">
        <v>5</v>
      </c>
      <c r="AZ957" s="6" t="s">
        <v>5</v>
      </c>
      <c r="BA957" s="6" t="s">
        <v>5</v>
      </c>
      <c r="BB957" s="6" t="s">
        <v>5</v>
      </c>
      <c r="BC957" s="6" t="s">
        <v>5</v>
      </c>
      <c r="BD957" s="6" t="s">
        <v>5</v>
      </c>
      <c r="BE957" s="6" t="s">
        <v>5</v>
      </c>
      <c r="BF957" s="6" t="s">
        <v>5</v>
      </c>
      <c r="BG957" s="6" t="s">
        <v>5</v>
      </c>
      <c r="BH957" s="6" t="s">
        <v>5</v>
      </c>
      <c r="BI957" s="7">
        <v>3.04</v>
      </c>
      <c r="BJ957" s="22">
        <v>0.96399999999999997</v>
      </c>
      <c r="BK957" s="6" t="s">
        <v>5</v>
      </c>
      <c r="BL957" s="2" t="s">
        <v>5</v>
      </c>
      <c r="BM957" s="2" t="s">
        <v>5</v>
      </c>
      <c r="BN957" s="2" t="s">
        <v>5</v>
      </c>
      <c r="BO957" s="2" t="s">
        <v>5</v>
      </c>
      <c r="BP957" s="2" t="s">
        <v>5</v>
      </c>
      <c r="BQ957" s="2" t="s">
        <v>5</v>
      </c>
      <c r="BR957" s="2" t="s">
        <v>5</v>
      </c>
      <c r="BS957" s="2" t="s">
        <v>5</v>
      </c>
      <c r="BT957" s="2" t="s">
        <v>5</v>
      </c>
      <c r="BU957" s="2" t="s">
        <v>5</v>
      </c>
      <c r="BV957" s="2" t="s">
        <v>5</v>
      </c>
      <c r="BW957" s="2" t="s">
        <v>5</v>
      </c>
      <c r="BX957" s="2" t="s">
        <v>5</v>
      </c>
      <c r="BY957" s="25" t="s">
        <v>5</v>
      </c>
      <c r="BZ957" s="25" t="s">
        <v>5</v>
      </c>
      <c r="CA957" s="6" t="s">
        <v>5</v>
      </c>
      <c r="CB957" s="6" t="s">
        <v>5</v>
      </c>
      <c r="CC957" s="6" t="s">
        <v>5</v>
      </c>
      <c r="CD957" s="6" t="s">
        <v>5</v>
      </c>
      <c r="CE957" s="6" t="s">
        <v>5</v>
      </c>
      <c r="CF957" s="16" t="s">
        <v>5</v>
      </c>
      <c r="CG957" s="16" t="s">
        <v>5</v>
      </c>
      <c r="CH957" s="18" t="s">
        <v>5</v>
      </c>
    </row>
    <row r="958" spans="2:86">
      <c r="B958" s="78" t="s">
        <v>473</v>
      </c>
      <c r="C958" s="79" t="s">
        <v>1058</v>
      </c>
      <c r="D958" s="80" t="s">
        <v>1058</v>
      </c>
      <c r="E958" s="1" t="s">
        <v>4</v>
      </c>
      <c r="F958" s="4">
        <v>30.6</v>
      </c>
      <c r="G958" s="7">
        <v>9</v>
      </c>
      <c r="H958" s="3" t="str">
        <f t="shared" si="33"/>
        <v>2L6X3-1/2X1/2X3/8SLBB</v>
      </c>
      <c r="I958" s="7">
        <v>3.5</v>
      </c>
      <c r="J958" s="5" t="s">
        <v>5</v>
      </c>
      <c r="K958" s="6" t="s">
        <v>5</v>
      </c>
      <c r="L958" s="6" t="s">
        <v>5</v>
      </c>
      <c r="M958" s="6" t="s">
        <v>5</v>
      </c>
      <c r="N958" s="6" t="s">
        <v>5</v>
      </c>
      <c r="O958" s="5" t="s">
        <v>5</v>
      </c>
      <c r="P958" s="5" t="s">
        <v>5</v>
      </c>
      <c r="Q958" s="7">
        <v>6</v>
      </c>
      <c r="R958" s="6" t="s">
        <v>5</v>
      </c>
      <c r="S958" s="6" t="s">
        <v>5</v>
      </c>
      <c r="T958" s="5" t="s">
        <v>5</v>
      </c>
      <c r="U958" s="8" t="s">
        <v>5</v>
      </c>
      <c r="V958" s="6" t="s">
        <v>5</v>
      </c>
      <c r="W958" s="8" t="s">
        <v>5</v>
      </c>
      <c r="X958" s="22">
        <v>0.5</v>
      </c>
      <c r="Y958" s="6" t="s">
        <v>5</v>
      </c>
      <c r="Z958" s="6" t="s">
        <v>5</v>
      </c>
      <c r="AA958" s="6" t="s">
        <v>5</v>
      </c>
      <c r="AB958" s="8" t="s">
        <v>5</v>
      </c>
      <c r="AC958" s="8" t="s">
        <v>5</v>
      </c>
      <c r="AD958" s="6" t="s">
        <v>5</v>
      </c>
      <c r="AE958" s="22">
        <v>0.82899999999999996</v>
      </c>
      <c r="AF958" s="6" t="s">
        <v>5</v>
      </c>
      <c r="AG958" s="6" t="s">
        <v>5</v>
      </c>
      <c r="AH958" s="22">
        <v>0.375</v>
      </c>
      <c r="AI958" s="6" t="s">
        <v>5</v>
      </c>
      <c r="AJ958" s="4">
        <v>12</v>
      </c>
      <c r="AK958" s="6" t="s">
        <v>5</v>
      </c>
      <c r="AL958" s="6" t="s">
        <v>5</v>
      </c>
      <c r="AM958" s="6" t="s">
        <v>5</v>
      </c>
      <c r="AN958" s="6" t="s">
        <v>5</v>
      </c>
      <c r="AO958" s="7">
        <v>8.4700000000000006</v>
      </c>
      <c r="AP958" s="7">
        <v>5.77</v>
      </c>
      <c r="AQ958" s="7">
        <v>3.17</v>
      </c>
      <c r="AR958" s="22">
        <v>0.96799999999999997</v>
      </c>
      <c r="AS958" s="6">
        <v>78.900000000000006</v>
      </c>
      <c r="AT958" s="6">
        <v>20.3</v>
      </c>
      <c r="AU958" s="6">
        <v>12.8</v>
      </c>
      <c r="AV958" s="7">
        <v>2.96</v>
      </c>
      <c r="AW958" s="6" t="s">
        <v>5</v>
      </c>
      <c r="AX958" s="6" t="s">
        <v>5</v>
      </c>
      <c r="AY958" s="6" t="s">
        <v>5</v>
      </c>
      <c r="AZ958" s="6" t="s">
        <v>5</v>
      </c>
      <c r="BA958" s="6" t="s">
        <v>5</v>
      </c>
      <c r="BB958" s="6" t="s">
        <v>5</v>
      </c>
      <c r="BC958" s="6" t="s">
        <v>5</v>
      </c>
      <c r="BD958" s="6" t="s">
        <v>5</v>
      </c>
      <c r="BE958" s="6" t="s">
        <v>5</v>
      </c>
      <c r="BF958" s="6" t="s">
        <v>5</v>
      </c>
      <c r="BG958" s="6" t="s">
        <v>5</v>
      </c>
      <c r="BH958" s="6" t="s">
        <v>5</v>
      </c>
      <c r="BI958" s="7">
        <v>3.17</v>
      </c>
      <c r="BJ958" s="22">
        <v>0.96699999999999997</v>
      </c>
      <c r="BK958" s="6" t="s">
        <v>5</v>
      </c>
      <c r="BL958" s="2" t="s">
        <v>5</v>
      </c>
      <c r="BM958" s="2" t="s">
        <v>5</v>
      </c>
      <c r="BN958" s="2" t="s">
        <v>5</v>
      </c>
      <c r="BO958" s="2" t="s">
        <v>5</v>
      </c>
      <c r="BP958" s="2" t="s">
        <v>5</v>
      </c>
      <c r="BQ958" s="2" t="s">
        <v>5</v>
      </c>
      <c r="BR958" s="2" t="s">
        <v>5</v>
      </c>
      <c r="BS958" s="2" t="s">
        <v>5</v>
      </c>
      <c r="BT958" s="2" t="s">
        <v>5</v>
      </c>
      <c r="BU958" s="2" t="s">
        <v>5</v>
      </c>
      <c r="BV958" s="2" t="s">
        <v>5</v>
      </c>
      <c r="BW958" s="2" t="s">
        <v>5</v>
      </c>
      <c r="BX958" s="2" t="s">
        <v>5</v>
      </c>
      <c r="BY958" s="25" t="s">
        <v>5</v>
      </c>
      <c r="BZ958" s="25" t="s">
        <v>5</v>
      </c>
      <c r="CA958" s="6" t="s">
        <v>5</v>
      </c>
      <c r="CB958" s="6" t="s">
        <v>5</v>
      </c>
      <c r="CC958" s="6" t="s">
        <v>5</v>
      </c>
      <c r="CD958" s="6" t="s">
        <v>5</v>
      </c>
      <c r="CE958" s="6" t="s">
        <v>5</v>
      </c>
      <c r="CF958" s="16" t="s">
        <v>5</v>
      </c>
      <c r="CG958" s="16" t="s">
        <v>5</v>
      </c>
      <c r="CH958" s="18" t="s">
        <v>5</v>
      </c>
    </row>
    <row r="959" spans="2:86">
      <c r="B959" s="78" t="s">
        <v>473</v>
      </c>
      <c r="C959" s="79" t="s">
        <v>1059</v>
      </c>
      <c r="D959" s="80" t="s">
        <v>1059</v>
      </c>
      <c r="E959" s="1" t="s">
        <v>4</v>
      </c>
      <c r="F959" s="4">
        <v>30.6</v>
      </c>
      <c r="G959" s="7">
        <v>9</v>
      </c>
      <c r="H959" s="3" t="str">
        <f t="shared" si="33"/>
        <v>2L6X3-1/2X1/2X3/4SLBB</v>
      </c>
      <c r="I959" s="7">
        <v>3.5</v>
      </c>
      <c r="J959" s="5" t="s">
        <v>5</v>
      </c>
      <c r="K959" s="6" t="s">
        <v>5</v>
      </c>
      <c r="L959" s="6" t="s">
        <v>5</v>
      </c>
      <c r="M959" s="6" t="s">
        <v>5</v>
      </c>
      <c r="N959" s="6" t="s">
        <v>5</v>
      </c>
      <c r="O959" s="5" t="s">
        <v>5</v>
      </c>
      <c r="P959" s="5" t="s">
        <v>5</v>
      </c>
      <c r="Q959" s="7">
        <v>6</v>
      </c>
      <c r="R959" s="6" t="s">
        <v>5</v>
      </c>
      <c r="S959" s="6" t="s">
        <v>5</v>
      </c>
      <c r="T959" s="5" t="s">
        <v>5</v>
      </c>
      <c r="U959" s="8" t="s">
        <v>5</v>
      </c>
      <c r="V959" s="6" t="s">
        <v>5</v>
      </c>
      <c r="W959" s="8" t="s">
        <v>5</v>
      </c>
      <c r="X959" s="22">
        <v>0.5</v>
      </c>
      <c r="Y959" s="6" t="s">
        <v>5</v>
      </c>
      <c r="Z959" s="6" t="s">
        <v>5</v>
      </c>
      <c r="AA959" s="6" t="s">
        <v>5</v>
      </c>
      <c r="AB959" s="8" t="s">
        <v>5</v>
      </c>
      <c r="AC959" s="8" t="s">
        <v>5</v>
      </c>
      <c r="AD959" s="6" t="s">
        <v>5</v>
      </c>
      <c r="AE959" s="22">
        <v>0.82899999999999996</v>
      </c>
      <c r="AF959" s="6" t="s">
        <v>5</v>
      </c>
      <c r="AG959" s="6" t="s">
        <v>5</v>
      </c>
      <c r="AH959" s="22">
        <v>0.375</v>
      </c>
      <c r="AI959" s="6" t="s">
        <v>5</v>
      </c>
      <c r="AJ959" s="4">
        <v>12</v>
      </c>
      <c r="AK959" s="6" t="s">
        <v>5</v>
      </c>
      <c r="AL959" s="6" t="s">
        <v>5</v>
      </c>
      <c r="AM959" s="6" t="s">
        <v>5</v>
      </c>
      <c r="AN959" s="6" t="s">
        <v>5</v>
      </c>
      <c r="AO959" s="7">
        <v>8.4700000000000006</v>
      </c>
      <c r="AP959" s="7">
        <v>5.77</v>
      </c>
      <c r="AQ959" s="7">
        <v>3.17</v>
      </c>
      <c r="AR959" s="22">
        <v>0.96799999999999997</v>
      </c>
      <c r="AS959" s="4">
        <v>87</v>
      </c>
      <c r="AT959" s="4">
        <v>22</v>
      </c>
      <c r="AU959" s="6">
        <v>13.6</v>
      </c>
      <c r="AV959" s="7">
        <v>3.11</v>
      </c>
      <c r="AW959" s="6" t="s">
        <v>5</v>
      </c>
      <c r="AX959" s="6" t="s">
        <v>5</v>
      </c>
      <c r="AY959" s="6" t="s">
        <v>5</v>
      </c>
      <c r="AZ959" s="6" t="s">
        <v>5</v>
      </c>
      <c r="BA959" s="6" t="s">
        <v>5</v>
      </c>
      <c r="BB959" s="6" t="s">
        <v>5</v>
      </c>
      <c r="BC959" s="6" t="s">
        <v>5</v>
      </c>
      <c r="BD959" s="6" t="s">
        <v>5</v>
      </c>
      <c r="BE959" s="6" t="s">
        <v>5</v>
      </c>
      <c r="BF959" s="6" t="s">
        <v>5</v>
      </c>
      <c r="BG959" s="6" t="s">
        <v>5</v>
      </c>
      <c r="BH959" s="6" t="s">
        <v>5</v>
      </c>
      <c r="BI959" s="7">
        <v>3.31</v>
      </c>
      <c r="BJ959" s="22">
        <v>0.96899999999999997</v>
      </c>
      <c r="BK959" s="6" t="s">
        <v>5</v>
      </c>
      <c r="BL959" s="2" t="s">
        <v>5</v>
      </c>
      <c r="BM959" s="2" t="s">
        <v>5</v>
      </c>
      <c r="BN959" s="2" t="s">
        <v>5</v>
      </c>
      <c r="BO959" s="2" t="s">
        <v>5</v>
      </c>
      <c r="BP959" s="2" t="s">
        <v>5</v>
      </c>
      <c r="BQ959" s="2" t="s">
        <v>5</v>
      </c>
      <c r="BR959" s="2" t="s">
        <v>5</v>
      </c>
      <c r="BS959" s="2" t="s">
        <v>5</v>
      </c>
      <c r="BT959" s="2" t="s">
        <v>5</v>
      </c>
      <c r="BU959" s="2" t="s">
        <v>5</v>
      </c>
      <c r="BV959" s="2" t="s">
        <v>5</v>
      </c>
      <c r="BW959" s="2" t="s">
        <v>5</v>
      </c>
      <c r="BX959" s="2" t="s">
        <v>5</v>
      </c>
      <c r="BY959" s="25" t="s">
        <v>5</v>
      </c>
      <c r="BZ959" s="25" t="s">
        <v>5</v>
      </c>
      <c r="CA959" s="6" t="s">
        <v>5</v>
      </c>
      <c r="CB959" s="6" t="s">
        <v>5</v>
      </c>
      <c r="CC959" s="6" t="s">
        <v>5</v>
      </c>
      <c r="CD959" s="6" t="s">
        <v>5</v>
      </c>
      <c r="CE959" s="6" t="s">
        <v>5</v>
      </c>
      <c r="CF959" s="16" t="s">
        <v>5</v>
      </c>
      <c r="CG959" s="16" t="s">
        <v>5</v>
      </c>
      <c r="CH959" s="18" t="s">
        <v>5</v>
      </c>
    </row>
    <row r="960" spans="2:86">
      <c r="B960" s="78" t="s">
        <v>473</v>
      </c>
      <c r="C960" s="79" t="s">
        <v>1060</v>
      </c>
      <c r="D960" s="80" t="s">
        <v>1060</v>
      </c>
      <c r="E960" s="1" t="s">
        <v>4</v>
      </c>
      <c r="F960" s="4">
        <v>23.4</v>
      </c>
      <c r="G960" s="7">
        <v>6.88</v>
      </c>
      <c r="H960" s="3" t="str">
        <f t="shared" si="33"/>
        <v>2L6X3-1/2X3/8SLBB</v>
      </c>
      <c r="I960" s="7">
        <v>3.5</v>
      </c>
      <c r="J960" s="5" t="s">
        <v>5</v>
      </c>
      <c r="K960" s="6" t="s">
        <v>5</v>
      </c>
      <c r="L960" s="6" t="s">
        <v>5</v>
      </c>
      <c r="M960" s="6" t="s">
        <v>5</v>
      </c>
      <c r="N960" s="6" t="s">
        <v>5</v>
      </c>
      <c r="O960" s="5" t="s">
        <v>5</v>
      </c>
      <c r="P960" s="5" t="s">
        <v>5</v>
      </c>
      <c r="Q960" s="7">
        <v>6</v>
      </c>
      <c r="R960" s="6" t="s">
        <v>5</v>
      </c>
      <c r="S960" s="6" t="s">
        <v>5</v>
      </c>
      <c r="T960" s="5" t="s">
        <v>5</v>
      </c>
      <c r="U960" s="8" t="s">
        <v>5</v>
      </c>
      <c r="V960" s="6" t="s">
        <v>5</v>
      </c>
      <c r="W960" s="8" t="s">
        <v>5</v>
      </c>
      <c r="X960" s="22">
        <v>0.375</v>
      </c>
      <c r="Y960" s="6" t="s">
        <v>5</v>
      </c>
      <c r="Z960" s="6" t="s">
        <v>5</v>
      </c>
      <c r="AA960" s="6" t="s">
        <v>5</v>
      </c>
      <c r="AB960" s="8" t="s">
        <v>5</v>
      </c>
      <c r="AC960" s="8" t="s">
        <v>5</v>
      </c>
      <c r="AD960" s="6" t="s">
        <v>5</v>
      </c>
      <c r="AE960" s="22">
        <v>0.78100000000000003</v>
      </c>
      <c r="AF960" s="6" t="s">
        <v>5</v>
      </c>
      <c r="AG960" s="6" t="s">
        <v>5</v>
      </c>
      <c r="AH960" s="22">
        <v>0.28699999999999998</v>
      </c>
      <c r="AI960" s="6" t="s">
        <v>5</v>
      </c>
      <c r="AJ960" s="4">
        <v>16</v>
      </c>
      <c r="AK960" s="6" t="s">
        <v>5</v>
      </c>
      <c r="AL960" s="6" t="s">
        <v>5</v>
      </c>
      <c r="AM960" s="6" t="s">
        <v>5</v>
      </c>
      <c r="AN960" s="6" t="s">
        <v>5</v>
      </c>
      <c r="AO960" s="7">
        <v>6.65</v>
      </c>
      <c r="AP960" s="7">
        <v>4.3600000000000003</v>
      </c>
      <c r="AQ960" s="7">
        <v>2.4500000000000002</v>
      </c>
      <c r="AR960" s="22">
        <v>0.98399999999999999</v>
      </c>
      <c r="AS960" s="6">
        <v>53.9</v>
      </c>
      <c r="AT960" s="6">
        <v>13.9</v>
      </c>
      <c r="AU960" s="6">
        <v>8.98</v>
      </c>
      <c r="AV960" s="7">
        <v>2.8</v>
      </c>
      <c r="AW960" s="6" t="s">
        <v>5</v>
      </c>
      <c r="AX960" s="6" t="s">
        <v>5</v>
      </c>
      <c r="AY960" s="6" t="s">
        <v>5</v>
      </c>
      <c r="AZ960" s="6" t="s">
        <v>5</v>
      </c>
      <c r="BA960" s="6" t="s">
        <v>5</v>
      </c>
      <c r="BB960" s="6" t="s">
        <v>5</v>
      </c>
      <c r="BC960" s="6" t="s">
        <v>5</v>
      </c>
      <c r="BD960" s="6" t="s">
        <v>5</v>
      </c>
      <c r="BE960" s="6" t="s">
        <v>5</v>
      </c>
      <c r="BF960" s="6" t="s">
        <v>5</v>
      </c>
      <c r="BG960" s="6" t="s">
        <v>5</v>
      </c>
      <c r="BH960" s="6" t="s">
        <v>5</v>
      </c>
      <c r="BI960" s="7">
        <v>3.02</v>
      </c>
      <c r="BJ960" s="22">
        <v>0.96199999999999997</v>
      </c>
      <c r="BK960" s="6" t="s">
        <v>5</v>
      </c>
      <c r="BL960" s="2" t="s">
        <v>5</v>
      </c>
      <c r="BM960" s="2" t="s">
        <v>5</v>
      </c>
      <c r="BN960" s="2" t="s">
        <v>5</v>
      </c>
      <c r="BO960" s="2" t="s">
        <v>5</v>
      </c>
      <c r="BP960" s="2" t="s">
        <v>5</v>
      </c>
      <c r="BQ960" s="2" t="s">
        <v>5</v>
      </c>
      <c r="BR960" s="2" t="s">
        <v>5</v>
      </c>
      <c r="BS960" s="2" t="s">
        <v>5</v>
      </c>
      <c r="BT960" s="2" t="s">
        <v>5</v>
      </c>
      <c r="BU960" s="2" t="s">
        <v>5</v>
      </c>
      <c r="BV960" s="2" t="s">
        <v>5</v>
      </c>
      <c r="BW960" s="2" t="s">
        <v>5</v>
      </c>
      <c r="BX960" s="2" t="s">
        <v>5</v>
      </c>
      <c r="BY960" s="25" t="s">
        <v>5</v>
      </c>
      <c r="BZ960" s="25" t="s">
        <v>5</v>
      </c>
      <c r="CA960" s="6" t="s">
        <v>5</v>
      </c>
      <c r="CB960" s="6" t="s">
        <v>5</v>
      </c>
      <c r="CC960" s="6" t="s">
        <v>5</v>
      </c>
      <c r="CD960" s="6" t="s">
        <v>5</v>
      </c>
      <c r="CE960" s="6" t="s">
        <v>5</v>
      </c>
      <c r="CF960" s="16" t="s">
        <v>5</v>
      </c>
      <c r="CG960" s="16" t="s">
        <v>5</v>
      </c>
      <c r="CH960" s="18" t="s">
        <v>5</v>
      </c>
    </row>
    <row r="961" spans="2:86">
      <c r="B961" s="78" t="s">
        <v>473</v>
      </c>
      <c r="C961" s="79" t="s">
        <v>1061</v>
      </c>
      <c r="D961" s="80" t="s">
        <v>1061</v>
      </c>
      <c r="E961" s="1" t="s">
        <v>4</v>
      </c>
      <c r="F961" s="4">
        <v>23.4</v>
      </c>
      <c r="G961" s="7">
        <v>6.88</v>
      </c>
      <c r="H961" s="3" t="str">
        <f t="shared" si="33"/>
        <v>2L6X3-1/2X3/8X3/8SLBB</v>
      </c>
      <c r="I961" s="7">
        <v>3.5</v>
      </c>
      <c r="J961" s="5" t="s">
        <v>5</v>
      </c>
      <c r="K961" s="6" t="s">
        <v>5</v>
      </c>
      <c r="L961" s="6" t="s">
        <v>5</v>
      </c>
      <c r="M961" s="6" t="s">
        <v>5</v>
      </c>
      <c r="N961" s="6" t="s">
        <v>5</v>
      </c>
      <c r="O961" s="5" t="s">
        <v>5</v>
      </c>
      <c r="P961" s="5" t="s">
        <v>5</v>
      </c>
      <c r="Q961" s="7">
        <v>6</v>
      </c>
      <c r="R961" s="6" t="s">
        <v>5</v>
      </c>
      <c r="S961" s="6" t="s">
        <v>5</v>
      </c>
      <c r="T961" s="5" t="s">
        <v>5</v>
      </c>
      <c r="U961" s="8" t="s">
        <v>5</v>
      </c>
      <c r="V961" s="6" t="s">
        <v>5</v>
      </c>
      <c r="W961" s="8" t="s">
        <v>5</v>
      </c>
      <c r="X961" s="22">
        <v>0.375</v>
      </c>
      <c r="Y961" s="6" t="s">
        <v>5</v>
      </c>
      <c r="Z961" s="6" t="s">
        <v>5</v>
      </c>
      <c r="AA961" s="6" t="s">
        <v>5</v>
      </c>
      <c r="AB961" s="8" t="s">
        <v>5</v>
      </c>
      <c r="AC961" s="8" t="s">
        <v>5</v>
      </c>
      <c r="AD961" s="6" t="s">
        <v>5</v>
      </c>
      <c r="AE961" s="22">
        <v>0.78100000000000003</v>
      </c>
      <c r="AF961" s="6" t="s">
        <v>5</v>
      </c>
      <c r="AG961" s="6" t="s">
        <v>5</v>
      </c>
      <c r="AH961" s="22">
        <v>0.28699999999999998</v>
      </c>
      <c r="AI961" s="6" t="s">
        <v>5</v>
      </c>
      <c r="AJ961" s="4">
        <v>16</v>
      </c>
      <c r="AK961" s="6" t="s">
        <v>5</v>
      </c>
      <c r="AL961" s="6" t="s">
        <v>5</v>
      </c>
      <c r="AM961" s="6" t="s">
        <v>5</v>
      </c>
      <c r="AN961" s="6" t="s">
        <v>5</v>
      </c>
      <c r="AO961" s="7">
        <v>6.65</v>
      </c>
      <c r="AP961" s="7">
        <v>4.3600000000000003</v>
      </c>
      <c r="AQ961" s="7">
        <v>2.4500000000000002</v>
      </c>
      <c r="AR961" s="22">
        <v>0.98399999999999999</v>
      </c>
      <c r="AS961" s="6">
        <v>59.5</v>
      </c>
      <c r="AT961" s="6">
        <v>15.2</v>
      </c>
      <c r="AU961" s="6">
        <v>9.6199999999999992</v>
      </c>
      <c r="AV961" s="7">
        <v>2.94</v>
      </c>
      <c r="AW961" s="6" t="s">
        <v>5</v>
      </c>
      <c r="AX961" s="6" t="s">
        <v>5</v>
      </c>
      <c r="AY961" s="6" t="s">
        <v>5</v>
      </c>
      <c r="AZ961" s="6" t="s">
        <v>5</v>
      </c>
      <c r="BA961" s="6" t="s">
        <v>5</v>
      </c>
      <c r="BB961" s="6" t="s">
        <v>5</v>
      </c>
      <c r="BC961" s="6" t="s">
        <v>5</v>
      </c>
      <c r="BD961" s="6" t="s">
        <v>5</v>
      </c>
      <c r="BE961" s="6" t="s">
        <v>5</v>
      </c>
      <c r="BF961" s="6" t="s">
        <v>5</v>
      </c>
      <c r="BG961" s="6" t="s">
        <v>5</v>
      </c>
      <c r="BH961" s="6" t="s">
        <v>5</v>
      </c>
      <c r="BI961" s="7">
        <v>3.15</v>
      </c>
      <c r="BJ961" s="22">
        <v>0.96499999999999997</v>
      </c>
      <c r="BK961" s="6" t="s">
        <v>5</v>
      </c>
      <c r="BL961" s="2" t="s">
        <v>5</v>
      </c>
      <c r="BM961" s="2" t="s">
        <v>5</v>
      </c>
      <c r="BN961" s="2" t="s">
        <v>5</v>
      </c>
      <c r="BO961" s="2" t="s">
        <v>5</v>
      </c>
      <c r="BP961" s="2" t="s">
        <v>5</v>
      </c>
      <c r="BQ961" s="2" t="s">
        <v>5</v>
      </c>
      <c r="BR961" s="2" t="s">
        <v>5</v>
      </c>
      <c r="BS961" s="2" t="s">
        <v>5</v>
      </c>
      <c r="BT961" s="2" t="s">
        <v>5</v>
      </c>
      <c r="BU961" s="2" t="s">
        <v>5</v>
      </c>
      <c r="BV961" s="2" t="s">
        <v>5</v>
      </c>
      <c r="BW961" s="2" t="s">
        <v>5</v>
      </c>
      <c r="BX961" s="2" t="s">
        <v>5</v>
      </c>
      <c r="BY961" s="25" t="s">
        <v>5</v>
      </c>
      <c r="BZ961" s="25" t="s">
        <v>5</v>
      </c>
      <c r="CA961" s="6" t="s">
        <v>5</v>
      </c>
      <c r="CB961" s="6" t="s">
        <v>5</v>
      </c>
      <c r="CC961" s="6" t="s">
        <v>5</v>
      </c>
      <c r="CD961" s="6" t="s">
        <v>5</v>
      </c>
      <c r="CE961" s="6" t="s">
        <v>5</v>
      </c>
      <c r="CF961" s="16" t="s">
        <v>5</v>
      </c>
      <c r="CG961" s="16" t="s">
        <v>5</v>
      </c>
      <c r="CH961" s="18" t="s">
        <v>5</v>
      </c>
    </row>
    <row r="962" spans="2:86">
      <c r="B962" s="78" t="s">
        <v>473</v>
      </c>
      <c r="C962" s="79" t="s">
        <v>1062</v>
      </c>
      <c r="D962" s="80" t="s">
        <v>1062</v>
      </c>
      <c r="E962" s="1" t="s">
        <v>4</v>
      </c>
      <c r="F962" s="4">
        <v>23.4</v>
      </c>
      <c r="G962" s="7">
        <v>6.88</v>
      </c>
      <c r="H962" s="3" t="str">
        <f t="shared" si="33"/>
        <v>2L6X3-1/2X3/8X3/4SLBB</v>
      </c>
      <c r="I962" s="7">
        <v>3.5</v>
      </c>
      <c r="J962" s="5" t="s">
        <v>5</v>
      </c>
      <c r="K962" s="6" t="s">
        <v>5</v>
      </c>
      <c r="L962" s="6" t="s">
        <v>5</v>
      </c>
      <c r="M962" s="6" t="s">
        <v>5</v>
      </c>
      <c r="N962" s="6" t="s">
        <v>5</v>
      </c>
      <c r="O962" s="5" t="s">
        <v>5</v>
      </c>
      <c r="P962" s="5" t="s">
        <v>5</v>
      </c>
      <c r="Q962" s="7">
        <v>6</v>
      </c>
      <c r="R962" s="6" t="s">
        <v>5</v>
      </c>
      <c r="S962" s="6" t="s">
        <v>5</v>
      </c>
      <c r="T962" s="5" t="s">
        <v>5</v>
      </c>
      <c r="U962" s="8" t="s">
        <v>5</v>
      </c>
      <c r="V962" s="6" t="s">
        <v>5</v>
      </c>
      <c r="W962" s="8" t="s">
        <v>5</v>
      </c>
      <c r="X962" s="22">
        <v>0.375</v>
      </c>
      <c r="Y962" s="6" t="s">
        <v>5</v>
      </c>
      <c r="Z962" s="6" t="s">
        <v>5</v>
      </c>
      <c r="AA962" s="6" t="s">
        <v>5</v>
      </c>
      <c r="AB962" s="8" t="s">
        <v>5</v>
      </c>
      <c r="AC962" s="8" t="s">
        <v>5</v>
      </c>
      <c r="AD962" s="6" t="s">
        <v>5</v>
      </c>
      <c r="AE962" s="22">
        <v>0.78100000000000003</v>
      </c>
      <c r="AF962" s="6" t="s">
        <v>5</v>
      </c>
      <c r="AG962" s="6" t="s">
        <v>5</v>
      </c>
      <c r="AH962" s="22">
        <v>0.28699999999999998</v>
      </c>
      <c r="AI962" s="6" t="s">
        <v>5</v>
      </c>
      <c r="AJ962" s="4">
        <v>16</v>
      </c>
      <c r="AK962" s="6" t="s">
        <v>5</v>
      </c>
      <c r="AL962" s="6" t="s">
        <v>5</v>
      </c>
      <c r="AM962" s="6" t="s">
        <v>5</v>
      </c>
      <c r="AN962" s="6" t="s">
        <v>5</v>
      </c>
      <c r="AO962" s="7">
        <v>6.65</v>
      </c>
      <c r="AP962" s="7">
        <v>4.3600000000000003</v>
      </c>
      <c r="AQ962" s="7">
        <v>2.4500000000000002</v>
      </c>
      <c r="AR962" s="22">
        <v>0.98399999999999999</v>
      </c>
      <c r="AS962" s="6">
        <v>65.3</v>
      </c>
      <c r="AT962" s="6">
        <v>16.5</v>
      </c>
      <c r="AU962" s="6">
        <v>10.199999999999999</v>
      </c>
      <c r="AV962" s="7">
        <v>3.08</v>
      </c>
      <c r="AW962" s="6" t="s">
        <v>5</v>
      </c>
      <c r="AX962" s="6" t="s">
        <v>5</v>
      </c>
      <c r="AY962" s="6" t="s">
        <v>5</v>
      </c>
      <c r="AZ962" s="6" t="s">
        <v>5</v>
      </c>
      <c r="BA962" s="6" t="s">
        <v>5</v>
      </c>
      <c r="BB962" s="6" t="s">
        <v>5</v>
      </c>
      <c r="BC962" s="6" t="s">
        <v>5</v>
      </c>
      <c r="BD962" s="6" t="s">
        <v>5</v>
      </c>
      <c r="BE962" s="6" t="s">
        <v>5</v>
      </c>
      <c r="BF962" s="6" t="s">
        <v>5</v>
      </c>
      <c r="BG962" s="6" t="s">
        <v>5</v>
      </c>
      <c r="BH962" s="6" t="s">
        <v>5</v>
      </c>
      <c r="BI962" s="7">
        <v>3.29</v>
      </c>
      <c r="BJ962" s="22">
        <v>0.96699999999999997</v>
      </c>
      <c r="BK962" s="6" t="s">
        <v>5</v>
      </c>
      <c r="BL962" s="2" t="s">
        <v>5</v>
      </c>
      <c r="BM962" s="2" t="s">
        <v>5</v>
      </c>
      <c r="BN962" s="2" t="s">
        <v>5</v>
      </c>
      <c r="BO962" s="2" t="s">
        <v>5</v>
      </c>
      <c r="BP962" s="2" t="s">
        <v>5</v>
      </c>
      <c r="BQ962" s="2" t="s">
        <v>5</v>
      </c>
      <c r="BR962" s="2" t="s">
        <v>5</v>
      </c>
      <c r="BS962" s="2" t="s">
        <v>5</v>
      </c>
      <c r="BT962" s="2" t="s">
        <v>5</v>
      </c>
      <c r="BU962" s="2" t="s">
        <v>5</v>
      </c>
      <c r="BV962" s="2" t="s">
        <v>5</v>
      </c>
      <c r="BW962" s="2" t="s">
        <v>5</v>
      </c>
      <c r="BX962" s="2" t="s">
        <v>5</v>
      </c>
      <c r="BY962" s="25" t="s">
        <v>5</v>
      </c>
      <c r="BZ962" s="25" t="s">
        <v>5</v>
      </c>
      <c r="CA962" s="6" t="s">
        <v>5</v>
      </c>
      <c r="CB962" s="6" t="s">
        <v>5</v>
      </c>
      <c r="CC962" s="6" t="s">
        <v>5</v>
      </c>
      <c r="CD962" s="6" t="s">
        <v>5</v>
      </c>
      <c r="CE962" s="6" t="s">
        <v>5</v>
      </c>
      <c r="CF962" s="16" t="s">
        <v>5</v>
      </c>
      <c r="CG962" s="16" t="s">
        <v>5</v>
      </c>
      <c r="CH962" s="18" t="s">
        <v>5</v>
      </c>
    </row>
    <row r="963" spans="2:86">
      <c r="B963" s="78" t="s">
        <v>473</v>
      </c>
      <c r="C963" s="79" t="s">
        <v>1063</v>
      </c>
      <c r="D963" s="80" t="s">
        <v>1063</v>
      </c>
      <c r="E963" s="1" t="s">
        <v>4</v>
      </c>
      <c r="F963" s="4">
        <v>19.600000000000001</v>
      </c>
      <c r="G963" s="7">
        <v>5.78</v>
      </c>
      <c r="H963" s="3" t="str">
        <f t="shared" si="33"/>
        <v>2L6X3-1/2X5/16SLBB</v>
      </c>
      <c r="I963" s="7">
        <v>3.5</v>
      </c>
      <c r="J963" s="5" t="s">
        <v>5</v>
      </c>
      <c r="K963" s="6" t="s">
        <v>5</v>
      </c>
      <c r="L963" s="6" t="s">
        <v>5</v>
      </c>
      <c r="M963" s="6" t="s">
        <v>5</v>
      </c>
      <c r="N963" s="6" t="s">
        <v>5</v>
      </c>
      <c r="O963" s="5" t="s">
        <v>5</v>
      </c>
      <c r="P963" s="5" t="s">
        <v>5</v>
      </c>
      <c r="Q963" s="7">
        <v>6</v>
      </c>
      <c r="R963" s="6" t="s">
        <v>5</v>
      </c>
      <c r="S963" s="6" t="s">
        <v>5</v>
      </c>
      <c r="T963" s="5" t="s">
        <v>5</v>
      </c>
      <c r="U963" s="8" t="s">
        <v>5</v>
      </c>
      <c r="V963" s="6" t="s">
        <v>5</v>
      </c>
      <c r="W963" s="8" t="s">
        <v>5</v>
      </c>
      <c r="X963" s="22">
        <v>0.313</v>
      </c>
      <c r="Y963" s="6" t="s">
        <v>5</v>
      </c>
      <c r="Z963" s="6" t="s">
        <v>5</v>
      </c>
      <c r="AA963" s="6" t="s">
        <v>5</v>
      </c>
      <c r="AB963" s="8" t="s">
        <v>5</v>
      </c>
      <c r="AC963" s="8" t="s">
        <v>5</v>
      </c>
      <c r="AD963" s="6" t="s">
        <v>5</v>
      </c>
      <c r="AE963" s="22">
        <v>0.75600000000000001</v>
      </c>
      <c r="AF963" s="6" t="s">
        <v>5</v>
      </c>
      <c r="AG963" s="6" t="s">
        <v>5</v>
      </c>
      <c r="AH963" s="22">
        <v>0.24099999999999999</v>
      </c>
      <c r="AI963" s="6" t="s">
        <v>5</v>
      </c>
      <c r="AJ963" s="4">
        <v>19.2</v>
      </c>
      <c r="AK963" s="6" t="s">
        <v>5</v>
      </c>
      <c r="AL963" s="6" t="s">
        <v>5</v>
      </c>
      <c r="AM963" s="6" t="s">
        <v>5</v>
      </c>
      <c r="AN963" s="6" t="s">
        <v>5</v>
      </c>
      <c r="AO963" s="7">
        <v>5.68</v>
      </c>
      <c r="AP963" s="7">
        <v>3.65</v>
      </c>
      <c r="AQ963" s="7">
        <v>2.0699999999999998</v>
      </c>
      <c r="AR963" s="22">
        <v>0.99099999999999999</v>
      </c>
      <c r="AS963" s="6">
        <v>44.7</v>
      </c>
      <c r="AT963" s="6">
        <v>11.6</v>
      </c>
      <c r="AU963" s="6">
        <v>7.45</v>
      </c>
      <c r="AV963" s="7">
        <v>2.78</v>
      </c>
      <c r="AW963" s="6" t="s">
        <v>5</v>
      </c>
      <c r="AX963" s="6" t="s">
        <v>5</v>
      </c>
      <c r="AY963" s="6" t="s">
        <v>5</v>
      </c>
      <c r="AZ963" s="6" t="s">
        <v>5</v>
      </c>
      <c r="BA963" s="6" t="s">
        <v>5</v>
      </c>
      <c r="BB963" s="6" t="s">
        <v>5</v>
      </c>
      <c r="BC963" s="6" t="s">
        <v>5</v>
      </c>
      <c r="BD963" s="6" t="s">
        <v>5</v>
      </c>
      <c r="BE963" s="6" t="s">
        <v>5</v>
      </c>
      <c r="BF963" s="6" t="s">
        <v>5</v>
      </c>
      <c r="BG963" s="6" t="s">
        <v>5</v>
      </c>
      <c r="BH963" s="6" t="s">
        <v>5</v>
      </c>
      <c r="BI963" s="7">
        <v>3.02</v>
      </c>
      <c r="BJ963" s="22">
        <v>0.96</v>
      </c>
      <c r="BK963" s="6" t="s">
        <v>5</v>
      </c>
      <c r="BL963" s="2" t="s">
        <v>5</v>
      </c>
      <c r="BM963" s="2" t="s">
        <v>5</v>
      </c>
      <c r="BN963" s="2" t="s">
        <v>5</v>
      </c>
      <c r="BO963" s="2" t="s">
        <v>5</v>
      </c>
      <c r="BP963" s="2" t="s">
        <v>5</v>
      </c>
      <c r="BQ963" s="2" t="s">
        <v>5</v>
      </c>
      <c r="BR963" s="2" t="s">
        <v>5</v>
      </c>
      <c r="BS963" s="2" t="s">
        <v>5</v>
      </c>
      <c r="BT963" s="2" t="s">
        <v>5</v>
      </c>
      <c r="BU963" s="2" t="s">
        <v>5</v>
      </c>
      <c r="BV963" s="2" t="s">
        <v>5</v>
      </c>
      <c r="BW963" s="2" t="s">
        <v>5</v>
      </c>
      <c r="BX963" s="2" t="s">
        <v>5</v>
      </c>
      <c r="BY963" s="25" t="s">
        <v>5</v>
      </c>
      <c r="BZ963" s="25" t="s">
        <v>5</v>
      </c>
      <c r="CA963" s="6" t="s">
        <v>5</v>
      </c>
      <c r="CB963" s="6" t="s">
        <v>5</v>
      </c>
      <c r="CC963" s="6" t="s">
        <v>5</v>
      </c>
      <c r="CD963" s="6" t="s">
        <v>5</v>
      </c>
      <c r="CE963" s="6" t="s">
        <v>5</v>
      </c>
      <c r="CF963" s="16" t="s">
        <v>5</v>
      </c>
      <c r="CG963" s="16" t="s">
        <v>5</v>
      </c>
      <c r="CH963" s="18" t="s">
        <v>5</v>
      </c>
    </row>
    <row r="964" spans="2:86">
      <c r="B964" s="78" t="s">
        <v>473</v>
      </c>
      <c r="C964" s="79" t="s">
        <v>1064</v>
      </c>
      <c r="D964" s="80" t="s">
        <v>1064</v>
      </c>
      <c r="E964" s="1" t="s">
        <v>4</v>
      </c>
      <c r="F964" s="4">
        <v>19.600000000000001</v>
      </c>
      <c r="G964" s="7">
        <v>5.78</v>
      </c>
      <c r="H964" s="3" t="str">
        <f t="shared" ref="H964:H1027" si="34">D964</f>
        <v>2L6X3-1/2X5/16X3/8SLBB</v>
      </c>
      <c r="I964" s="7">
        <v>3.5</v>
      </c>
      <c r="J964" s="5" t="s">
        <v>5</v>
      </c>
      <c r="K964" s="6" t="s">
        <v>5</v>
      </c>
      <c r="L964" s="6" t="s">
        <v>5</v>
      </c>
      <c r="M964" s="6" t="s">
        <v>5</v>
      </c>
      <c r="N964" s="6" t="s">
        <v>5</v>
      </c>
      <c r="O964" s="5" t="s">
        <v>5</v>
      </c>
      <c r="P964" s="5" t="s">
        <v>5</v>
      </c>
      <c r="Q964" s="7">
        <v>6</v>
      </c>
      <c r="R964" s="6" t="s">
        <v>5</v>
      </c>
      <c r="S964" s="6" t="s">
        <v>5</v>
      </c>
      <c r="T964" s="5" t="s">
        <v>5</v>
      </c>
      <c r="U964" s="8" t="s">
        <v>5</v>
      </c>
      <c r="V964" s="6" t="s">
        <v>5</v>
      </c>
      <c r="W964" s="8" t="s">
        <v>5</v>
      </c>
      <c r="X964" s="22">
        <v>0.313</v>
      </c>
      <c r="Y964" s="6" t="s">
        <v>5</v>
      </c>
      <c r="Z964" s="6" t="s">
        <v>5</v>
      </c>
      <c r="AA964" s="6" t="s">
        <v>5</v>
      </c>
      <c r="AB964" s="8" t="s">
        <v>5</v>
      </c>
      <c r="AC964" s="8" t="s">
        <v>5</v>
      </c>
      <c r="AD964" s="6" t="s">
        <v>5</v>
      </c>
      <c r="AE964" s="22">
        <v>0.75600000000000001</v>
      </c>
      <c r="AF964" s="6" t="s">
        <v>5</v>
      </c>
      <c r="AG964" s="6" t="s">
        <v>5</v>
      </c>
      <c r="AH964" s="22">
        <v>0.24099999999999999</v>
      </c>
      <c r="AI964" s="6" t="s">
        <v>5</v>
      </c>
      <c r="AJ964" s="4">
        <v>19.2</v>
      </c>
      <c r="AK964" s="6" t="s">
        <v>5</v>
      </c>
      <c r="AL964" s="6" t="s">
        <v>5</v>
      </c>
      <c r="AM964" s="6" t="s">
        <v>5</v>
      </c>
      <c r="AN964" s="6" t="s">
        <v>5</v>
      </c>
      <c r="AO964" s="7">
        <v>5.68</v>
      </c>
      <c r="AP964" s="7">
        <v>3.65</v>
      </c>
      <c r="AQ964" s="7">
        <v>2.0699999999999998</v>
      </c>
      <c r="AR964" s="22">
        <v>0.99099999999999999</v>
      </c>
      <c r="AS964" s="6">
        <v>49.3</v>
      </c>
      <c r="AT964" s="6">
        <v>12.6</v>
      </c>
      <c r="AU964" s="6">
        <v>7.97</v>
      </c>
      <c r="AV964" s="7">
        <v>2.92</v>
      </c>
      <c r="AW964" s="6" t="s">
        <v>5</v>
      </c>
      <c r="AX964" s="6" t="s">
        <v>5</v>
      </c>
      <c r="AY964" s="6" t="s">
        <v>5</v>
      </c>
      <c r="AZ964" s="6" t="s">
        <v>5</v>
      </c>
      <c r="BA964" s="6" t="s">
        <v>5</v>
      </c>
      <c r="BB964" s="6" t="s">
        <v>5</v>
      </c>
      <c r="BC964" s="6" t="s">
        <v>5</v>
      </c>
      <c r="BD964" s="6" t="s">
        <v>5</v>
      </c>
      <c r="BE964" s="6" t="s">
        <v>5</v>
      </c>
      <c r="BF964" s="6" t="s">
        <v>5</v>
      </c>
      <c r="BG964" s="6" t="s">
        <v>5</v>
      </c>
      <c r="BH964" s="6" t="s">
        <v>5</v>
      </c>
      <c r="BI964" s="7">
        <v>3.14</v>
      </c>
      <c r="BJ964" s="22">
        <v>0.96399999999999997</v>
      </c>
      <c r="BK964" s="6" t="s">
        <v>5</v>
      </c>
      <c r="BL964" s="2" t="s">
        <v>5</v>
      </c>
      <c r="BM964" s="2" t="s">
        <v>5</v>
      </c>
      <c r="BN964" s="2" t="s">
        <v>5</v>
      </c>
      <c r="BO964" s="2" t="s">
        <v>5</v>
      </c>
      <c r="BP964" s="2" t="s">
        <v>5</v>
      </c>
      <c r="BQ964" s="2" t="s">
        <v>5</v>
      </c>
      <c r="BR964" s="2" t="s">
        <v>5</v>
      </c>
      <c r="BS964" s="2" t="s">
        <v>5</v>
      </c>
      <c r="BT964" s="2" t="s">
        <v>5</v>
      </c>
      <c r="BU964" s="2" t="s">
        <v>5</v>
      </c>
      <c r="BV964" s="2" t="s">
        <v>5</v>
      </c>
      <c r="BW964" s="2" t="s">
        <v>5</v>
      </c>
      <c r="BX964" s="2" t="s">
        <v>5</v>
      </c>
      <c r="BY964" s="25" t="s">
        <v>5</v>
      </c>
      <c r="BZ964" s="25" t="s">
        <v>5</v>
      </c>
      <c r="CA964" s="6" t="s">
        <v>5</v>
      </c>
      <c r="CB964" s="6" t="s">
        <v>5</v>
      </c>
      <c r="CC964" s="6" t="s">
        <v>5</v>
      </c>
      <c r="CD964" s="6" t="s">
        <v>5</v>
      </c>
      <c r="CE964" s="6" t="s">
        <v>5</v>
      </c>
      <c r="CF964" s="16" t="s">
        <v>5</v>
      </c>
      <c r="CG964" s="16" t="s">
        <v>5</v>
      </c>
      <c r="CH964" s="18" t="s">
        <v>5</v>
      </c>
    </row>
    <row r="965" spans="2:86">
      <c r="B965" s="78" t="s">
        <v>473</v>
      </c>
      <c r="C965" s="79" t="s">
        <v>1065</v>
      </c>
      <c r="D965" s="80" t="s">
        <v>1065</v>
      </c>
      <c r="E965" s="1" t="s">
        <v>4</v>
      </c>
      <c r="F965" s="4">
        <v>19.600000000000001</v>
      </c>
      <c r="G965" s="7">
        <v>5.78</v>
      </c>
      <c r="H965" s="3" t="str">
        <f t="shared" si="34"/>
        <v>2L6X3-1/2X5/16X3/4SLBB</v>
      </c>
      <c r="I965" s="7">
        <v>3.5</v>
      </c>
      <c r="J965" s="5" t="s">
        <v>5</v>
      </c>
      <c r="K965" s="6" t="s">
        <v>5</v>
      </c>
      <c r="L965" s="6" t="s">
        <v>5</v>
      </c>
      <c r="M965" s="6" t="s">
        <v>5</v>
      </c>
      <c r="N965" s="6" t="s">
        <v>5</v>
      </c>
      <c r="O965" s="5" t="s">
        <v>5</v>
      </c>
      <c r="P965" s="5" t="s">
        <v>5</v>
      </c>
      <c r="Q965" s="7">
        <v>6</v>
      </c>
      <c r="R965" s="6" t="s">
        <v>5</v>
      </c>
      <c r="S965" s="6" t="s">
        <v>5</v>
      </c>
      <c r="T965" s="5" t="s">
        <v>5</v>
      </c>
      <c r="U965" s="8" t="s">
        <v>5</v>
      </c>
      <c r="V965" s="6" t="s">
        <v>5</v>
      </c>
      <c r="W965" s="8" t="s">
        <v>5</v>
      </c>
      <c r="X965" s="22">
        <v>0.313</v>
      </c>
      <c r="Y965" s="6" t="s">
        <v>5</v>
      </c>
      <c r="Z965" s="6" t="s">
        <v>5</v>
      </c>
      <c r="AA965" s="6" t="s">
        <v>5</v>
      </c>
      <c r="AB965" s="8" t="s">
        <v>5</v>
      </c>
      <c r="AC965" s="8" t="s">
        <v>5</v>
      </c>
      <c r="AD965" s="6" t="s">
        <v>5</v>
      </c>
      <c r="AE965" s="22">
        <v>0.75600000000000001</v>
      </c>
      <c r="AF965" s="6" t="s">
        <v>5</v>
      </c>
      <c r="AG965" s="6" t="s">
        <v>5</v>
      </c>
      <c r="AH965" s="22">
        <v>0.24099999999999999</v>
      </c>
      <c r="AI965" s="6" t="s">
        <v>5</v>
      </c>
      <c r="AJ965" s="4">
        <v>19.2</v>
      </c>
      <c r="AK965" s="6" t="s">
        <v>5</v>
      </c>
      <c r="AL965" s="6" t="s">
        <v>5</v>
      </c>
      <c r="AM965" s="6" t="s">
        <v>5</v>
      </c>
      <c r="AN965" s="6" t="s">
        <v>5</v>
      </c>
      <c r="AO965" s="7">
        <v>5.68</v>
      </c>
      <c r="AP965" s="7">
        <v>3.65</v>
      </c>
      <c r="AQ965" s="7">
        <v>2.0699999999999998</v>
      </c>
      <c r="AR965" s="22">
        <v>0.99099999999999999</v>
      </c>
      <c r="AS965" s="6">
        <v>54.1</v>
      </c>
      <c r="AT965" s="6">
        <v>13.7</v>
      </c>
      <c r="AU965" s="6">
        <v>8.49</v>
      </c>
      <c r="AV965" s="7">
        <v>3.06</v>
      </c>
      <c r="AW965" s="6" t="s">
        <v>5</v>
      </c>
      <c r="AX965" s="6" t="s">
        <v>5</v>
      </c>
      <c r="AY965" s="6" t="s">
        <v>5</v>
      </c>
      <c r="AZ965" s="6" t="s">
        <v>5</v>
      </c>
      <c r="BA965" s="6" t="s">
        <v>5</v>
      </c>
      <c r="BB965" s="6" t="s">
        <v>5</v>
      </c>
      <c r="BC965" s="6" t="s">
        <v>5</v>
      </c>
      <c r="BD965" s="6" t="s">
        <v>5</v>
      </c>
      <c r="BE965" s="6" t="s">
        <v>5</v>
      </c>
      <c r="BF965" s="6" t="s">
        <v>5</v>
      </c>
      <c r="BG965" s="6" t="s">
        <v>5</v>
      </c>
      <c r="BH965" s="6" t="s">
        <v>5</v>
      </c>
      <c r="BI965" s="7">
        <v>3.28</v>
      </c>
      <c r="BJ965" s="22">
        <v>0.96599999999999997</v>
      </c>
      <c r="BK965" s="6" t="s">
        <v>5</v>
      </c>
      <c r="BL965" s="2" t="s">
        <v>5</v>
      </c>
      <c r="BM965" s="2" t="s">
        <v>5</v>
      </c>
      <c r="BN965" s="2" t="s">
        <v>5</v>
      </c>
      <c r="BO965" s="2" t="s">
        <v>5</v>
      </c>
      <c r="BP965" s="2" t="s">
        <v>5</v>
      </c>
      <c r="BQ965" s="2" t="s">
        <v>5</v>
      </c>
      <c r="BR965" s="2" t="s">
        <v>5</v>
      </c>
      <c r="BS965" s="2" t="s">
        <v>5</v>
      </c>
      <c r="BT965" s="2" t="s">
        <v>5</v>
      </c>
      <c r="BU965" s="2" t="s">
        <v>5</v>
      </c>
      <c r="BV965" s="2" t="s">
        <v>5</v>
      </c>
      <c r="BW965" s="2" t="s">
        <v>5</v>
      </c>
      <c r="BX965" s="2" t="s">
        <v>5</v>
      </c>
      <c r="BY965" s="25" t="s">
        <v>5</v>
      </c>
      <c r="BZ965" s="25" t="s">
        <v>5</v>
      </c>
      <c r="CA965" s="6" t="s">
        <v>5</v>
      </c>
      <c r="CB965" s="6" t="s">
        <v>5</v>
      </c>
      <c r="CC965" s="6" t="s">
        <v>5</v>
      </c>
      <c r="CD965" s="6" t="s">
        <v>5</v>
      </c>
      <c r="CE965" s="6" t="s">
        <v>5</v>
      </c>
      <c r="CF965" s="16" t="s">
        <v>5</v>
      </c>
      <c r="CG965" s="16" t="s">
        <v>5</v>
      </c>
      <c r="CH965" s="18" t="s">
        <v>5</v>
      </c>
    </row>
    <row r="966" spans="2:86">
      <c r="B966" s="78" t="s">
        <v>473</v>
      </c>
      <c r="C966" s="79" t="s">
        <v>1066</v>
      </c>
      <c r="D966" s="80" t="s">
        <v>1066</v>
      </c>
      <c r="E966" s="1" t="s">
        <v>4</v>
      </c>
      <c r="F966" s="4">
        <v>39.6</v>
      </c>
      <c r="G966" s="4">
        <v>11.7</v>
      </c>
      <c r="H966" s="3" t="str">
        <f t="shared" si="34"/>
        <v>2L5X3-1/2X3/4SLBB</v>
      </c>
      <c r="I966" s="7">
        <v>3.5</v>
      </c>
      <c r="J966" s="5" t="s">
        <v>5</v>
      </c>
      <c r="K966" s="6" t="s">
        <v>5</v>
      </c>
      <c r="L966" s="6" t="s">
        <v>5</v>
      </c>
      <c r="M966" s="6" t="s">
        <v>5</v>
      </c>
      <c r="N966" s="6" t="s">
        <v>5</v>
      </c>
      <c r="O966" s="5" t="s">
        <v>5</v>
      </c>
      <c r="P966" s="5" t="s">
        <v>5</v>
      </c>
      <c r="Q966" s="7">
        <v>5</v>
      </c>
      <c r="R966" s="6" t="s">
        <v>5</v>
      </c>
      <c r="S966" s="6" t="s">
        <v>5</v>
      </c>
      <c r="T966" s="5" t="s">
        <v>5</v>
      </c>
      <c r="U966" s="8" t="s">
        <v>5</v>
      </c>
      <c r="V966" s="6" t="s">
        <v>5</v>
      </c>
      <c r="W966" s="8" t="s">
        <v>5</v>
      </c>
      <c r="X966" s="22">
        <v>0.75</v>
      </c>
      <c r="Y966" s="6" t="s">
        <v>5</v>
      </c>
      <c r="Z966" s="6" t="s">
        <v>5</v>
      </c>
      <c r="AA966" s="6" t="s">
        <v>5</v>
      </c>
      <c r="AB966" s="8" t="s">
        <v>5</v>
      </c>
      <c r="AC966" s="8" t="s">
        <v>5</v>
      </c>
      <c r="AD966" s="6" t="s">
        <v>5</v>
      </c>
      <c r="AE966" s="22">
        <v>0.99299999999999999</v>
      </c>
      <c r="AF966" s="6" t="s">
        <v>5</v>
      </c>
      <c r="AG966" s="6" t="s">
        <v>5</v>
      </c>
      <c r="AH966" s="22">
        <v>0.58499999999999996</v>
      </c>
      <c r="AI966" s="6" t="s">
        <v>5</v>
      </c>
      <c r="AJ966" s="7">
        <v>6.67</v>
      </c>
      <c r="AK966" s="6" t="s">
        <v>5</v>
      </c>
      <c r="AL966" s="6" t="s">
        <v>5</v>
      </c>
      <c r="AM966" s="6" t="s">
        <v>5</v>
      </c>
      <c r="AN966" s="6" t="s">
        <v>5</v>
      </c>
      <c r="AO966" s="4">
        <v>11</v>
      </c>
      <c r="AP966" s="7">
        <v>8.1300000000000008</v>
      </c>
      <c r="AQ966" s="7">
        <v>4.4000000000000004</v>
      </c>
      <c r="AR966" s="22">
        <v>0.97399999999999998</v>
      </c>
      <c r="AS966" s="6">
        <v>63.5</v>
      </c>
      <c r="AT966" s="6">
        <v>20.399999999999999</v>
      </c>
      <c r="AU966" s="6">
        <v>12.7</v>
      </c>
      <c r="AV966" s="7">
        <v>2.33</v>
      </c>
      <c r="AW966" s="6" t="s">
        <v>5</v>
      </c>
      <c r="AX966" s="6" t="s">
        <v>5</v>
      </c>
      <c r="AY966" s="6" t="s">
        <v>5</v>
      </c>
      <c r="AZ966" s="6" t="s">
        <v>5</v>
      </c>
      <c r="BA966" s="6" t="s">
        <v>5</v>
      </c>
      <c r="BB966" s="6" t="s">
        <v>5</v>
      </c>
      <c r="BC966" s="6" t="s">
        <v>5</v>
      </c>
      <c r="BD966" s="6" t="s">
        <v>5</v>
      </c>
      <c r="BE966" s="6" t="s">
        <v>5</v>
      </c>
      <c r="BF966" s="6" t="s">
        <v>5</v>
      </c>
      <c r="BG966" s="6" t="s">
        <v>5</v>
      </c>
      <c r="BH966" s="6" t="s">
        <v>5</v>
      </c>
      <c r="BI966" s="7">
        <v>2.6</v>
      </c>
      <c r="BJ966" s="22">
        <v>0.94299999999999995</v>
      </c>
      <c r="BK966" s="6" t="s">
        <v>5</v>
      </c>
      <c r="BL966" s="2" t="s">
        <v>5</v>
      </c>
      <c r="BM966" s="2" t="s">
        <v>5</v>
      </c>
      <c r="BN966" s="2" t="s">
        <v>5</v>
      </c>
      <c r="BO966" s="2" t="s">
        <v>5</v>
      </c>
      <c r="BP966" s="2" t="s">
        <v>5</v>
      </c>
      <c r="BQ966" s="2" t="s">
        <v>5</v>
      </c>
      <c r="BR966" s="2" t="s">
        <v>5</v>
      </c>
      <c r="BS966" s="2" t="s">
        <v>5</v>
      </c>
      <c r="BT966" s="2" t="s">
        <v>5</v>
      </c>
      <c r="BU966" s="2" t="s">
        <v>5</v>
      </c>
      <c r="BV966" s="2" t="s">
        <v>5</v>
      </c>
      <c r="BW966" s="2" t="s">
        <v>5</v>
      </c>
      <c r="BX966" s="2" t="s">
        <v>5</v>
      </c>
      <c r="BY966" s="25" t="s">
        <v>5</v>
      </c>
      <c r="BZ966" s="25" t="s">
        <v>5</v>
      </c>
      <c r="CA966" s="6" t="s">
        <v>5</v>
      </c>
      <c r="CB966" s="6" t="s">
        <v>5</v>
      </c>
      <c r="CC966" s="6" t="s">
        <v>5</v>
      </c>
      <c r="CD966" s="6" t="s">
        <v>5</v>
      </c>
      <c r="CE966" s="6" t="s">
        <v>5</v>
      </c>
      <c r="CF966" s="16" t="s">
        <v>5</v>
      </c>
      <c r="CG966" s="16" t="s">
        <v>5</v>
      </c>
      <c r="CH966" s="18" t="s">
        <v>5</v>
      </c>
    </row>
    <row r="967" spans="2:86">
      <c r="B967" s="78" t="s">
        <v>473</v>
      </c>
      <c r="C967" s="79" t="s">
        <v>1067</v>
      </c>
      <c r="D967" s="80" t="s">
        <v>1067</v>
      </c>
      <c r="E967" s="1" t="s">
        <v>4</v>
      </c>
      <c r="F967" s="4">
        <v>39.6</v>
      </c>
      <c r="G967" s="4">
        <v>11.7</v>
      </c>
      <c r="H967" s="3" t="str">
        <f t="shared" si="34"/>
        <v>2L5X3-1/2X3/4X3/8SLBB</v>
      </c>
      <c r="I967" s="7">
        <v>3.5</v>
      </c>
      <c r="J967" s="5" t="s">
        <v>5</v>
      </c>
      <c r="K967" s="6" t="s">
        <v>5</v>
      </c>
      <c r="L967" s="6" t="s">
        <v>5</v>
      </c>
      <c r="M967" s="6" t="s">
        <v>5</v>
      </c>
      <c r="N967" s="6" t="s">
        <v>5</v>
      </c>
      <c r="O967" s="5" t="s">
        <v>5</v>
      </c>
      <c r="P967" s="5" t="s">
        <v>5</v>
      </c>
      <c r="Q967" s="7">
        <v>5</v>
      </c>
      <c r="R967" s="6" t="s">
        <v>5</v>
      </c>
      <c r="S967" s="6" t="s">
        <v>5</v>
      </c>
      <c r="T967" s="5" t="s">
        <v>5</v>
      </c>
      <c r="U967" s="8" t="s">
        <v>5</v>
      </c>
      <c r="V967" s="6" t="s">
        <v>5</v>
      </c>
      <c r="W967" s="8" t="s">
        <v>5</v>
      </c>
      <c r="X967" s="22">
        <v>0.75</v>
      </c>
      <c r="Y967" s="6" t="s">
        <v>5</v>
      </c>
      <c r="Z967" s="6" t="s">
        <v>5</v>
      </c>
      <c r="AA967" s="6" t="s">
        <v>5</v>
      </c>
      <c r="AB967" s="8" t="s">
        <v>5</v>
      </c>
      <c r="AC967" s="8" t="s">
        <v>5</v>
      </c>
      <c r="AD967" s="6" t="s">
        <v>5</v>
      </c>
      <c r="AE967" s="22">
        <v>0.99299999999999999</v>
      </c>
      <c r="AF967" s="6" t="s">
        <v>5</v>
      </c>
      <c r="AG967" s="6" t="s">
        <v>5</v>
      </c>
      <c r="AH967" s="22">
        <v>0.58499999999999996</v>
      </c>
      <c r="AI967" s="6" t="s">
        <v>5</v>
      </c>
      <c r="AJ967" s="7">
        <v>6.67</v>
      </c>
      <c r="AK967" s="6" t="s">
        <v>5</v>
      </c>
      <c r="AL967" s="6" t="s">
        <v>5</v>
      </c>
      <c r="AM967" s="6" t="s">
        <v>5</v>
      </c>
      <c r="AN967" s="6" t="s">
        <v>5</v>
      </c>
      <c r="AO967" s="4">
        <v>11</v>
      </c>
      <c r="AP967" s="7">
        <v>8.1300000000000008</v>
      </c>
      <c r="AQ967" s="7">
        <v>4.4000000000000004</v>
      </c>
      <c r="AR967" s="22">
        <v>0.97399999999999998</v>
      </c>
      <c r="AS967" s="6">
        <v>71.400000000000006</v>
      </c>
      <c r="AT967" s="6">
        <v>22.6</v>
      </c>
      <c r="AU967" s="6">
        <v>13.8</v>
      </c>
      <c r="AV967" s="7">
        <v>2.4700000000000002</v>
      </c>
      <c r="AW967" s="6" t="s">
        <v>5</v>
      </c>
      <c r="AX967" s="6" t="s">
        <v>5</v>
      </c>
      <c r="AY967" s="6" t="s">
        <v>5</v>
      </c>
      <c r="AZ967" s="6" t="s">
        <v>5</v>
      </c>
      <c r="BA967" s="6" t="s">
        <v>5</v>
      </c>
      <c r="BB967" s="6" t="s">
        <v>5</v>
      </c>
      <c r="BC967" s="6" t="s">
        <v>5</v>
      </c>
      <c r="BD967" s="6" t="s">
        <v>5</v>
      </c>
      <c r="BE967" s="6" t="s">
        <v>5</v>
      </c>
      <c r="BF967" s="6" t="s">
        <v>5</v>
      </c>
      <c r="BG967" s="6" t="s">
        <v>5</v>
      </c>
      <c r="BH967" s="6" t="s">
        <v>5</v>
      </c>
      <c r="BI967" s="7">
        <v>2.73</v>
      </c>
      <c r="BJ967" s="22">
        <v>0.94899999999999995</v>
      </c>
      <c r="BK967" s="6" t="s">
        <v>5</v>
      </c>
      <c r="BL967" s="2" t="s">
        <v>5</v>
      </c>
      <c r="BM967" s="2" t="s">
        <v>5</v>
      </c>
      <c r="BN967" s="2" t="s">
        <v>5</v>
      </c>
      <c r="BO967" s="2" t="s">
        <v>5</v>
      </c>
      <c r="BP967" s="2" t="s">
        <v>5</v>
      </c>
      <c r="BQ967" s="2" t="s">
        <v>5</v>
      </c>
      <c r="BR967" s="2" t="s">
        <v>5</v>
      </c>
      <c r="BS967" s="2" t="s">
        <v>5</v>
      </c>
      <c r="BT967" s="2" t="s">
        <v>5</v>
      </c>
      <c r="BU967" s="2" t="s">
        <v>5</v>
      </c>
      <c r="BV967" s="2" t="s">
        <v>5</v>
      </c>
      <c r="BW967" s="2" t="s">
        <v>5</v>
      </c>
      <c r="BX967" s="2" t="s">
        <v>5</v>
      </c>
      <c r="BY967" s="25" t="s">
        <v>5</v>
      </c>
      <c r="BZ967" s="25" t="s">
        <v>5</v>
      </c>
      <c r="CA967" s="6" t="s">
        <v>5</v>
      </c>
      <c r="CB967" s="6" t="s">
        <v>5</v>
      </c>
      <c r="CC967" s="6" t="s">
        <v>5</v>
      </c>
      <c r="CD967" s="6" t="s">
        <v>5</v>
      </c>
      <c r="CE967" s="6" t="s">
        <v>5</v>
      </c>
      <c r="CF967" s="16" t="s">
        <v>5</v>
      </c>
      <c r="CG967" s="16" t="s">
        <v>5</v>
      </c>
      <c r="CH967" s="18" t="s">
        <v>5</v>
      </c>
    </row>
    <row r="968" spans="2:86">
      <c r="B968" s="78" t="s">
        <v>473</v>
      </c>
      <c r="C968" s="79" t="s">
        <v>1068</v>
      </c>
      <c r="D968" s="80" t="s">
        <v>1068</v>
      </c>
      <c r="E968" s="1" t="s">
        <v>4</v>
      </c>
      <c r="F968" s="4">
        <v>39.6</v>
      </c>
      <c r="G968" s="4">
        <v>11.7</v>
      </c>
      <c r="H968" s="3" t="str">
        <f t="shared" si="34"/>
        <v>2L5X3-1/2X3/4X3/4SLBB</v>
      </c>
      <c r="I968" s="7">
        <v>3.5</v>
      </c>
      <c r="J968" s="5" t="s">
        <v>5</v>
      </c>
      <c r="K968" s="6" t="s">
        <v>5</v>
      </c>
      <c r="L968" s="6" t="s">
        <v>5</v>
      </c>
      <c r="M968" s="6" t="s">
        <v>5</v>
      </c>
      <c r="N968" s="6" t="s">
        <v>5</v>
      </c>
      <c r="O968" s="5" t="s">
        <v>5</v>
      </c>
      <c r="P968" s="5" t="s">
        <v>5</v>
      </c>
      <c r="Q968" s="7">
        <v>5</v>
      </c>
      <c r="R968" s="6" t="s">
        <v>5</v>
      </c>
      <c r="S968" s="6" t="s">
        <v>5</v>
      </c>
      <c r="T968" s="5" t="s">
        <v>5</v>
      </c>
      <c r="U968" s="8" t="s">
        <v>5</v>
      </c>
      <c r="V968" s="6" t="s">
        <v>5</v>
      </c>
      <c r="W968" s="8" t="s">
        <v>5</v>
      </c>
      <c r="X968" s="22">
        <v>0.75</v>
      </c>
      <c r="Y968" s="6" t="s">
        <v>5</v>
      </c>
      <c r="Z968" s="6" t="s">
        <v>5</v>
      </c>
      <c r="AA968" s="6" t="s">
        <v>5</v>
      </c>
      <c r="AB968" s="8" t="s">
        <v>5</v>
      </c>
      <c r="AC968" s="8" t="s">
        <v>5</v>
      </c>
      <c r="AD968" s="6" t="s">
        <v>5</v>
      </c>
      <c r="AE968" s="22">
        <v>0.99299999999999999</v>
      </c>
      <c r="AF968" s="6" t="s">
        <v>5</v>
      </c>
      <c r="AG968" s="6" t="s">
        <v>5</v>
      </c>
      <c r="AH968" s="22">
        <v>0.58499999999999996</v>
      </c>
      <c r="AI968" s="6" t="s">
        <v>5</v>
      </c>
      <c r="AJ968" s="7">
        <v>6.67</v>
      </c>
      <c r="AK968" s="6" t="s">
        <v>5</v>
      </c>
      <c r="AL968" s="6" t="s">
        <v>5</v>
      </c>
      <c r="AM968" s="6" t="s">
        <v>5</v>
      </c>
      <c r="AN968" s="6" t="s">
        <v>5</v>
      </c>
      <c r="AO968" s="4">
        <v>11</v>
      </c>
      <c r="AP968" s="7">
        <v>8.1300000000000008</v>
      </c>
      <c r="AQ968" s="7">
        <v>4.4000000000000004</v>
      </c>
      <c r="AR968" s="22">
        <v>0.97399999999999998</v>
      </c>
      <c r="AS968" s="6">
        <v>80.3</v>
      </c>
      <c r="AT968" s="6">
        <v>24.7</v>
      </c>
      <c r="AU968" s="6">
        <v>14.9</v>
      </c>
      <c r="AV968" s="7">
        <v>2.62</v>
      </c>
      <c r="AW968" s="6" t="s">
        <v>5</v>
      </c>
      <c r="AX968" s="6" t="s">
        <v>5</v>
      </c>
      <c r="AY968" s="6" t="s">
        <v>5</v>
      </c>
      <c r="AZ968" s="6" t="s">
        <v>5</v>
      </c>
      <c r="BA968" s="6" t="s">
        <v>5</v>
      </c>
      <c r="BB968" s="6" t="s">
        <v>5</v>
      </c>
      <c r="BC968" s="6" t="s">
        <v>5</v>
      </c>
      <c r="BD968" s="6" t="s">
        <v>5</v>
      </c>
      <c r="BE968" s="6" t="s">
        <v>5</v>
      </c>
      <c r="BF968" s="6" t="s">
        <v>5</v>
      </c>
      <c r="BG968" s="6" t="s">
        <v>5</v>
      </c>
      <c r="BH968" s="6" t="s">
        <v>5</v>
      </c>
      <c r="BI968" s="7">
        <v>2.86</v>
      </c>
      <c r="BJ968" s="22">
        <v>0.95299999999999996</v>
      </c>
      <c r="BK968" s="6" t="s">
        <v>5</v>
      </c>
      <c r="BL968" s="2" t="s">
        <v>5</v>
      </c>
      <c r="BM968" s="2" t="s">
        <v>5</v>
      </c>
      <c r="BN968" s="2" t="s">
        <v>5</v>
      </c>
      <c r="BO968" s="2" t="s">
        <v>5</v>
      </c>
      <c r="BP968" s="2" t="s">
        <v>5</v>
      </c>
      <c r="BQ968" s="2" t="s">
        <v>5</v>
      </c>
      <c r="BR968" s="2" t="s">
        <v>5</v>
      </c>
      <c r="BS968" s="2" t="s">
        <v>5</v>
      </c>
      <c r="BT968" s="2" t="s">
        <v>5</v>
      </c>
      <c r="BU968" s="2" t="s">
        <v>5</v>
      </c>
      <c r="BV968" s="2" t="s">
        <v>5</v>
      </c>
      <c r="BW968" s="2" t="s">
        <v>5</v>
      </c>
      <c r="BX968" s="2" t="s">
        <v>5</v>
      </c>
      <c r="BY968" s="25" t="s">
        <v>5</v>
      </c>
      <c r="BZ968" s="25" t="s">
        <v>5</v>
      </c>
      <c r="CA968" s="6" t="s">
        <v>5</v>
      </c>
      <c r="CB968" s="6" t="s">
        <v>5</v>
      </c>
      <c r="CC968" s="6" t="s">
        <v>5</v>
      </c>
      <c r="CD968" s="6" t="s">
        <v>5</v>
      </c>
      <c r="CE968" s="6" t="s">
        <v>5</v>
      </c>
      <c r="CF968" s="16" t="s">
        <v>5</v>
      </c>
      <c r="CG968" s="16" t="s">
        <v>5</v>
      </c>
      <c r="CH968" s="18" t="s">
        <v>5</v>
      </c>
    </row>
    <row r="969" spans="2:86">
      <c r="B969" s="78" t="s">
        <v>473</v>
      </c>
      <c r="C969" s="79" t="s">
        <v>1069</v>
      </c>
      <c r="D969" s="80" t="s">
        <v>1069</v>
      </c>
      <c r="E969" s="1" t="s">
        <v>4</v>
      </c>
      <c r="F969" s="4">
        <v>33.6</v>
      </c>
      <c r="G969" s="7">
        <v>9.86</v>
      </c>
      <c r="H969" s="3" t="str">
        <f t="shared" si="34"/>
        <v>2L5X3-1/2X5/8SLBB</v>
      </c>
      <c r="I969" s="7">
        <v>3.5</v>
      </c>
      <c r="J969" s="5" t="s">
        <v>5</v>
      </c>
      <c r="K969" s="6" t="s">
        <v>5</v>
      </c>
      <c r="L969" s="6" t="s">
        <v>5</v>
      </c>
      <c r="M969" s="6" t="s">
        <v>5</v>
      </c>
      <c r="N969" s="6" t="s">
        <v>5</v>
      </c>
      <c r="O969" s="5" t="s">
        <v>5</v>
      </c>
      <c r="P969" s="5" t="s">
        <v>5</v>
      </c>
      <c r="Q969" s="7">
        <v>5</v>
      </c>
      <c r="R969" s="6" t="s">
        <v>5</v>
      </c>
      <c r="S969" s="6" t="s">
        <v>5</v>
      </c>
      <c r="T969" s="5" t="s">
        <v>5</v>
      </c>
      <c r="U969" s="8" t="s">
        <v>5</v>
      </c>
      <c r="V969" s="6" t="s">
        <v>5</v>
      </c>
      <c r="W969" s="8" t="s">
        <v>5</v>
      </c>
      <c r="X969" s="22">
        <v>0.625</v>
      </c>
      <c r="Y969" s="6" t="s">
        <v>5</v>
      </c>
      <c r="Z969" s="6" t="s">
        <v>5</v>
      </c>
      <c r="AA969" s="6" t="s">
        <v>5</v>
      </c>
      <c r="AB969" s="8" t="s">
        <v>5</v>
      </c>
      <c r="AC969" s="8" t="s">
        <v>5</v>
      </c>
      <c r="AD969" s="6" t="s">
        <v>5</v>
      </c>
      <c r="AE969" s="22">
        <v>0.94699999999999995</v>
      </c>
      <c r="AF969" s="6" t="s">
        <v>5</v>
      </c>
      <c r="AG969" s="6" t="s">
        <v>5</v>
      </c>
      <c r="AH969" s="22">
        <v>0.49299999999999999</v>
      </c>
      <c r="AI969" s="6" t="s">
        <v>5</v>
      </c>
      <c r="AJ969" s="7">
        <v>8</v>
      </c>
      <c r="AK969" s="6" t="s">
        <v>5</v>
      </c>
      <c r="AL969" s="6" t="s">
        <v>5</v>
      </c>
      <c r="AM969" s="6" t="s">
        <v>5</v>
      </c>
      <c r="AN969" s="6" t="s">
        <v>5</v>
      </c>
      <c r="AO969" s="7">
        <v>9.6</v>
      </c>
      <c r="AP969" s="7">
        <v>6.87</v>
      </c>
      <c r="AQ969" s="7">
        <v>3.76</v>
      </c>
      <c r="AR969" s="22">
        <v>0.98699999999999999</v>
      </c>
      <c r="AS969" s="6">
        <v>52.2</v>
      </c>
      <c r="AT969" s="6">
        <v>16.7</v>
      </c>
      <c r="AU969" s="6">
        <v>10.4</v>
      </c>
      <c r="AV969" s="7">
        <v>2.2999999999999998</v>
      </c>
      <c r="AW969" s="6" t="s">
        <v>5</v>
      </c>
      <c r="AX969" s="6" t="s">
        <v>5</v>
      </c>
      <c r="AY969" s="6" t="s">
        <v>5</v>
      </c>
      <c r="AZ969" s="6" t="s">
        <v>5</v>
      </c>
      <c r="BA969" s="6" t="s">
        <v>5</v>
      </c>
      <c r="BB969" s="6" t="s">
        <v>5</v>
      </c>
      <c r="BC969" s="6" t="s">
        <v>5</v>
      </c>
      <c r="BD969" s="6" t="s">
        <v>5</v>
      </c>
      <c r="BE969" s="6" t="s">
        <v>5</v>
      </c>
      <c r="BF969" s="6" t="s">
        <v>5</v>
      </c>
      <c r="BG969" s="6" t="s">
        <v>5</v>
      </c>
      <c r="BH969" s="6" t="s">
        <v>5</v>
      </c>
      <c r="BI969" s="7">
        <v>2.59</v>
      </c>
      <c r="BJ969" s="22">
        <v>0.94</v>
      </c>
      <c r="BK969" s="6" t="s">
        <v>5</v>
      </c>
      <c r="BL969" s="2" t="s">
        <v>5</v>
      </c>
      <c r="BM969" s="2" t="s">
        <v>5</v>
      </c>
      <c r="BN969" s="2" t="s">
        <v>5</v>
      </c>
      <c r="BO969" s="2" t="s">
        <v>5</v>
      </c>
      <c r="BP969" s="2" t="s">
        <v>5</v>
      </c>
      <c r="BQ969" s="2" t="s">
        <v>5</v>
      </c>
      <c r="BR969" s="2" t="s">
        <v>5</v>
      </c>
      <c r="BS969" s="2" t="s">
        <v>5</v>
      </c>
      <c r="BT969" s="2" t="s">
        <v>5</v>
      </c>
      <c r="BU969" s="2" t="s">
        <v>5</v>
      </c>
      <c r="BV969" s="2" t="s">
        <v>5</v>
      </c>
      <c r="BW969" s="2" t="s">
        <v>5</v>
      </c>
      <c r="BX969" s="2" t="s">
        <v>5</v>
      </c>
      <c r="BY969" s="25" t="s">
        <v>5</v>
      </c>
      <c r="BZ969" s="25" t="s">
        <v>5</v>
      </c>
      <c r="CA969" s="6" t="s">
        <v>5</v>
      </c>
      <c r="CB969" s="6" t="s">
        <v>5</v>
      </c>
      <c r="CC969" s="6" t="s">
        <v>5</v>
      </c>
      <c r="CD969" s="6" t="s">
        <v>5</v>
      </c>
      <c r="CE969" s="6" t="s">
        <v>5</v>
      </c>
      <c r="CF969" s="16" t="s">
        <v>5</v>
      </c>
      <c r="CG969" s="16" t="s">
        <v>5</v>
      </c>
      <c r="CH969" s="18" t="s">
        <v>5</v>
      </c>
    </row>
    <row r="970" spans="2:86">
      <c r="B970" s="78" t="s">
        <v>473</v>
      </c>
      <c r="C970" s="79" t="s">
        <v>1070</v>
      </c>
      <c r="D970" s="80" t="s">
        <v>1070</v>
      </c>
      <c r="E970" s="1" t="s">
        <v>4</v>
      </c>
      <c r="F970" s="4">
        <v>33.6</v>
      </c>
      <c r="G970" s="7">
        <v>9.86</v>
      </c>
      <c r="H970" s="3" t="str">
        <f t="shared" si="34"/>
        <v>2L5X3-1/2X5/8X3/8SLBB</v>
      </c>
      <c r="I970" s="7">
        <v>3.5</v>
      </c>
      <c r="J970" s="5" t="s">
        <v>5</v>
      </c>
      <c r="K970" s="6" t="s">
        <v>5</v>
      </c>
      <c r="L970" s="6" t="s">
        <v>5</v>
      </c>
      <c r="M970" s="6" t="s">
        <v>5</v>
      </c>
      <c r="N970" s="6" t="s">
        <v>5</v>
      </c>
      <c r="O970" s="5" t="s">
        <v>5</v>
      </c>
      <c r="P970" s="5" t="s">
        <v>5</v>
      </c>
      <c r="Q970" s="7">
        <v>5</v>
      </c>
      <c r="R970" s="6" t="s">
        <v>5</v>
      </c>
      <c r="S970" s="6" t="s">
        <v>5</v>
      </c>
      <c r="T970" s="5" t="s">
        <v>5</v>
      </c>
      <c r="U970" s="8" t="s">
        <v>5</v>
      </c>
      <c r="V970" s="6" t="s">
        <v>5</v>
      </c>
      <c r="W970" s="8" t="s">
        <v>5</v>
      </c>
      <c r="X970" s="22">
        <v>0.625</v>
      </c>
      <c r="Y970" s="6" t="s">
        <v>5</v>
      </c>
      <c r="Z970" s="6" t="s">
        <v>5</v>
      </c>
      <c r="AA970" s="6" t="s">
        <v>5</v>
      </c>
      <c r="AB970" s="8" t="s">
        <v>5</v>
      </c>
      <c r="AC970" s="8" t="s">
        <v>5</v>
      </c>
      <c r="AD970" s="6" t="s">
        <v>5</v>
      </c>
      <c r="AE970" s="22">
        <v>0.94699999999999995</v>
      </c>
      <c r="AF970" s="6" t="s">
        <v>5</v>
      </c>
      <c r="AG970" s="6" t="s">
        <v>5</v>
      </c>
      <c r="AH970" s="22">
        <v>0.49299999999999999</v>
      </c>
      <c r="AI970" s="6" t="s">
        <v>5</v>
      </c>
      <c r="AJ970" s="7">
        <v>8</v>
      </c>
      <c r="AK970" s="6" t="s">
        <v>5</v>
      </c>
      <c r="AL970" s="6" t="s">
        <v>5</v>
      </c>
      <c r="AM970" s="6" t="s">
        <v>5</v>
      </c>
      <c r="AN970" s="6" t="s">
        <v>5</v>
      </c>
      <c r="AO970" s="7">
        <v>9.6</v>
      </c>
      <c r="AP970" s="7">
        <v>6.87</v>
      </c>
      <c r="AQ970" s="7">
        <v>3.76</v>
      </c>
      <c r="AR970" s="22">
        <v>0.98699999999999999</v>
      </c>
      <c r="AS970" s="6">
        <v>59.2</v>
      </c>
      <c r="AT970" s="6">
        <v>18.5</v>
      </c>
      <c r="AU970" s="6">
        <v>11.4</v>
      </c>
      <c r="AV970" s="7">
        <v>2.4500000000000002</v>
      </c>
      <c r="AW970" s="6" t="s">
        <v>5</v>
      </c>
      <c r="AX970" s="6" t="s">
        <v>5</v>
      </c>
      <c r="AY970" s="6" t="s">
        <v>5</v>
      </c>
      <c r="AZ970" s="6" t="s">
        <v>5</v>
      </c>
      <c r="BA970" s="6" t="s">
        <v>5</v>
      </c>
      <c r="BB970" s="6" t="s">
        <v>5</v>
      </c>
      <c r="BC970" s="6" t="s">
        <v>5</v>
      </c>
      <c r="BD970" s="6" t="s">
        <v>5</v>
      </c>
      <c r="BE970" s="6" t="s">
        <v>5</v>
      </c>
      <c r="BF970" s="6" t="s">
        <v>5</v>
      </c>
      <c r="BG970" s="6" t="s">
        <v>5</v>
      </c>
      <c r="BH970" s="6" t="s">
        <v>5</v>
      </c>
      <c r="BI970" s="7">
        <v>2.71</v>
      </c>
      <c r="BJ970" s="22">
        <v>0.94499999999999995</v>
      </c>
      <c r="BK970" s="6" t="s">
        <v>5</v>
      </c>
      <c r="BL970" s="2" t="s">
        <v>5</v>
      </c>
      <c r="BM970" s="2" t="s">
        <v>5</v>
      </c>
      <c r="BN970" s="2" t="s">
        <v>5</v>
      </c>
      <c r="BO970" s="2" t="s">
        <v>5</v>
      </c>
      <c r="BP970" s="2" t="s">
        <v>5</v>
      </c>
      <c r="BQ970" s="2" t="s">
        <v>5</v>
      </c>
      <c r="BR970" s="2" t="s">
        <v>5</v>
      </c>
      <c r="BS970" s="2" t="s">
        <v>5</v>
      </c>
      <c r="BT970" s="2" t="s">
        <v>5</v>
      </c>
      <c r="BU970" s="2" t="s">
        <v>5</v>
      </c>
      <c r="BV970" s="2" t="s">
        <v>5</v>
      </c>
      <c r="BW970" s="2" t="s">
        <v>5</v>
      </c>
      <c r="BX970" s="2" t="s">
        <v>5</v>
      </c>
      <c r="BY970" s="25" t="s">
        <v>5</v>
      </c>
      <c r="BZ970" s="25" t="s">
        <v>5</v>
      </c>
      <c r="CA970" s="6" t="s">
        <v>5</v>
      </c>
      <c r="CB970" s="6" t="s">
        <v>5</v>
      </c>
      <c r="CC970" s="6" t="s">
        <v>5</v>
      </c>
      <c r="CD970" s="6" t="s">
        <v>5</v>
      </c>
      <c r="CE970" s="6" t="s">
        <v>5</v>
      </c>
      <c r="CF970" s="16" t="s">
        <v>5</v>
      </c>
      <c r="CG970" s="16" t="s">
        <v>5</v>
      </c>
      <c r="CH970" s="18" t="s">
        <v>5</v>
      </c>
    </row>
    <row r="971" spans="2:86">
      <c r="B971" s="78" t="s">
        <v>473</v>
      </c>
      <c r="C971" s="79" t="s">
        <v>1071</v>
      </c>
      <c r="D971" s="80" t="s">
        <v>1071</v>
      </c>
      <c r="E971" s="1" t="s">
        <v>4</v>
      </c>
      <c r="F971" s="4">
        <v>33.6</v>
      </c>
      <c r="G971" s="7">
        <v>9.86</v>
      </c>
      <c r="H971" s="3" t="str">
        <f t="shared" si="34"/>
        <v>2L5X3-1/2X5/8X3/4SLBB</v>
      </c>
      <c r="I971" s="7">
        <v>3.5</v>
      </c>
      <c r="J971" s="5" t="s">
        <v>5</v>
      </c>
      <c r="K971" s="6" t="s">
        <v>5</v>
      </c>
      <c r="L971" s="6" t="s">
        <v>5</v>
      </c>
      <c r="M971" s="6" t="s">
        <v>5</v>
      </c>
      <c r="N971" s="6" t="s">
        <v>5</v>
      </c>
      <c r="O971" s="5" t="s">
        <v>5</v>
      </c>
      <c r="P971" s="5" t="s">
        <v>5</v>
      </c>
      <c r="Q971" s="7">
        <v>5</v>
      </c>
      <c r="R971" s="6" t="s">
        <v>5</v>
      </c>
      <c r="S971" s="6" t="s">
        <v>5</v>
      </c>
      <c r="T971" s="5" t="s">
        <v>5</v>
      </c>
      <c r="U971" s="8" t="s">
        <v>5</v>
      </c>
      <c r="V971" s="6" t="s">
        <v>5</v>
      </c>
      <c r="W971" s="8" t="s">
        <v>5</v>
      </c>
      <c r="X971" s="22">
        <v>0.625</v>
      </c>
      <c r="Y971" s="6" t="s">
        <v>5</v>
      </c>
      <c r="Z971" s="6" t="s">
        <v>5</v>
      </c>
      <c r="AA971" s="6" t="s">
        <v>5</v>
      </c>
      <c r="AB971" s="8" t="s">
        <v>5</v>
      </c>
      <c r="AC971" s="8" t="s">
        <v>5</v>
      </c>
      <c r="AD971" s="6" t="s">
        <v>5</v>
      </c>
      <c r="AE971" s="22">
        <v>0.94699999999999995</v>
      </c>
      <c r="AF971" s="6" t="s">
        <v>5</v>
      </c>
      <c r="AG971" s="6" t="s">
        <v>5</v>
      </c>
      <c r="AH971" s="22">
        <v>0.49299999999999999</v>
      </c>
      <c r="AI971" s="6" t="s">
        <v>5</v>
      </c>
      <c r="AJ971" s="7">
        <v>8</v>
      </c>
      <c r="AK971" s="6" t="s">
        <v>5</v>
      </c>
      <c r="AL971" s="6" t="s">
        <v>5</v>
      </c>
      <c r="AM971" s="6" t="s">
        <v>5</v>
      </c>
      <c r="AN971" s="6" t="s">
        <v>5</v>
      </c>
      <c r="AO971" s="7">
        <v>9.6</v>
      </c>
      <c r="AP971" s="7">
        <v>6.87</v>
      </c>
      <c r="AQ971" s="7">
        <v>3.76</v>
      </c>
      <c r="AR971" s="22">
        <v>0.98699999999999999</v>
      </c>
      <c r="AS971" s="6">
        <v>66.099999999999994</v>
      </c>
      <c r="AT971" s="6">
        <v>20.399999999999999</v>
      </c>
      <c r="AU971" s="6">
        <v>12.3</v>
      </c>
      <c r="AV971" s="7">
        <v>2.59</v>
      </c>
      <c r="AW971" s="6" t="s">
        <v>5</v>
      </c>
      <c r="AX971" s="6" t="s">
        <v>5</v>
      </c>
      <c r="AY971" s="6" t="s">
        <v>5</v>
      </c>
      <c r="AZ971" s="6" t="s">
        <v>5</v>
      </c>
      <c r="BA971" s="6" t="s">
        <v>5</v>
      </c>
      <c r="BB971" s="6" t="s">
        <v>5</v>
      </c>
      <c r="BC971" s="6" t="s">
        <v>5</v>
      </c>
      <c r="BD971" s="6" t="s">
        <v>5</v>
      </c>
      <c r="BE971" s="6" t="s">
        <v>5</v>
      </c>
      <c r="BF971" s="6" t="s">
        <v>5</v>
      </c>
      <c r="BG971" s="6" t="s">
        <v>5</v>
      </c>
      <c r="BH971" s="6" t="s">
        <v>5</v>
      </c>
      <c r="BI971" s="7">
        <v>2.85</v>
      </c>
      <c r="BJ971" s="22">
        <v>0.95</v>
      </c>
      <c r="BK971" s="6" t="s">
        <v>5</v>
      </c>
      <c r="BL971" s="2" t="s">
        <v>5</v>
      </c>
      <c r="BM971" s="2" t="s">
        <v>5</v>
      </c>
      <c r="BN971" s="2" t="s">
        <v>5</v>
      </c>
      <c r="BO971" s="2" t="s">
        <v>5</v>
      </c>
      <c r="BP971" s="2" t="s">
        <v>5</v>
      </c>
      <c r="BQ971" s="2" t="s">
        <v>5</v>
      </c>
      <c r="BR971" s="2" t="s">
        <v>5</v>
      </c>
      <c r="BS971" s="2" t="s">
        <v>5</v>
      </c>
      <c r="BT971" s="2" t="s">
        <v>5</v>
      </c>
      <c r="BU971" s="2" t="s">
        <v>5</v>
      </c>
      <c r="BV971" s="2" t="s">
        <v>5</v>
      </c>
      <c r="BW971" s="2" t="s">
        <v>5</v>
      </c>
      <c r="BX971" s="2" t="s">
        <v>5</v>
      </c>
      <c r="BY971" s="25" t="s">
        <v>5</v>
      </c>
      <c r="BZ971" s="25" t="s">
        <v>5</v>
      </c>
      <c r="CA971" s="6" t="s">
        <v>5</v>
      </c>
      <c r="CB971" s="6" t="s">
        <v>5</v>
      </c>
      <c r="CC971" s="6" t="s">
        <v>5</v>
      </c>
      <c r="CD971" s="6" t="s">
        <v>5</v>
      </c>
      <c r="CE971" s="6" t="s">
        <v>5</v>
      </c>
      <c r="CF971" s="16" t="s">
        <v>5</v>
      </c>
      <c r="CG971" s="16" t="s">
        <v>5</v>
      </c>
      <c r="CH971" s="18" t="s">
        <v>5</v>
      </c>
    </row>
    <row r="972" spans="2:86">
      <c r="B972" s="78" t="s">
        <v>473</v>
      </c>
      <c r="C972" s="79" t="s">
        <v>1072</v>
      </c>
      <c r="D972" s="80" t="s">
        <v>1072</v>
      </c>
      <c r="E972" s="1" t="s">
        <v>4</v>
      </c>
      <c r="F972" s="4">
        <v>27.2</v>
      </c>
      <c r="G972" s="7">
        <v>8</v>
      </c>
      <c r="H972" s="3" t="str">
        <f t="shared" si="34"/>
        <v>2L5X3-1/2X1/2SLBB</v>
      </c>
      <c r="I972" s="7">
        <v>3.5</v>
      </c>
      <c r="J972" s="5" t="s">
        <v>5</v>
      </c>
      <c r="K972" s="6" t="s">
        <v>5</v>
      </c>
      <c r="L972" s="6" t="s">
        <v>5</v>
      </c>
      <c r="M972" s="6" t="s">
        <v>5</v>
      </c>
      <c r="N972" s="6" t="s">
        <v>5</v>
      </c>
      <c r="O972" s="5" t="s">
        <v>5</v>
      </c>
      <c r="P972" s="5" t="s">
        <v>5</v>
      </c>
      <c r="Q972" s="7">
        <v>5</v>
      </c>
      <c r="R972" s="6" t="s">
        <v>5</v>
      </c>
      <c r="S972" s="6" t="s">
        <v>5</v>
      </c>
      <c r="T972" s="5" t="s">
        <v>5</v>
      </c>
      <c r="U972" s="8" t="s">
        <v>5</v>
      </c>
      <c r="V972" s="6" t="s">
        <v>5</v>
      </c>
      <c r="W972" s="8" t="s">
        <v>5</v>
      </c>
      <c r="X972" s="22">
        <v>0.5</v>
      </c>
      <c r="Y972" s="6" t="s">
        <v>5</v>
      </c>
      <c r="Z972" s="6" t="s">
        <v>5</v>
      </c>
      <c r="AA972" s="6" t="s">
        <v>5</v>
      </c>
      <c r="AB972" s="8" t="s">
        <v>5</v>
      </c>
      <c r="AC972" s="8" t="s">
        <v>5</v>
      </c>
      <c r="AD972" s="6" t="s">
        <v>5</v>
      </c>
      <c r="AE972" s="22">
        <v>0.90100000000000002</v>
      </c>
      <c r="AF972" s="6" t="s">
        <v>5</v>
      </c>
      <c r="AG972" s="6" t="s">
        <v>5</v>
      </c>
      <c r="AH972" s="22">
        <v>0.4</v>
      </c>
      <c r="AI972" s="6" t="s">
        <v>5</v>
      </c>
      <c r="AJ972" s="4">
        <v>10</v>
      </c>
      <c r="AK972" s="6" t="s">
        <v>5</v>
      </c>
      <c r="AL972" s="6" t="s">
        <v>5</v>
      </c>
      <c r="AM972" s="6" t="s">
        <v>5</v>
      </c>
      <c r="AN972" s="6" t="s">
        <v>5</v>
      </c>
      <c r="AO972" s="7">
        <v>8.0399999999999991</v>
      </c>
      <c r="AP972" s="7">
        <v>5.57</v>
      </c>
      <c r="AQ972" s="7">
        <v>3.09</v>
      </c>
      <c r="AR972" s="7">
        <v>1</v>
      </c>
      <c r="AS972" s="6">
        <v>41.6</v>
      </c>
      <c r="AT972" s="6">
        <v>13.2</v>
      </c>
      <c r="AU972" s="6">
        <v>8.32</v>
      </c>
      <c r="AV972" s="7">
        <v>2.2799999999999998</v>
      </c>
      <c r="AW972" s="6" t="s">
        <v>5</v>
      </c>
      <c r="AX972" s="6" t="s">
        <v>5</v>
      </c>
      <c r="AY972" s="6" t="s">
        <v>5</v>
      </c>
      <c r="AZ972" s="6" t="s">
        <v>5</v>
      </c>
      <c r="BA972" s="6" t="s">
        <v>5</v>
      </c>
      <c r="BB972" s="6" t="s">
        <v>5</v>
      </c>
      <c r="BC972" s="6" t="s">
        <v>5</v>
      </c>
      <c r="BD972" s="6" t="s">
        <v>5</v>
      </c>
      <c r="BE972" s="6" t="s">
        <v>5</v>
      </c>
      <c r="BF972" s="6" t="s">
        <v>5</v>
      </c>
      <c r="BG972" s="6" t="s">
        <v>5</v>
      </c>
      <c r="BH972" s="6" t="s">
        <v>5</v>
      </c>
      <c r="BI972" s="7">
        <v>2.58</v>
      </c>
      <c r="BJ972" s="22">
        <v>0.93600000000000005</v>
      </c>
      <c r="BK972" s="6" t="s">
        <v>5</v>
      </c>
      <c r="BL972" s="2" t="s">
        <v>5</v>
      </c>
      <c r="BM972" s="2" t="s">
        <v>5</v>
      </c>
      <c r="BN972" s="2" t="s">
        <v>5</v>
      </c>
      <c r="BO972" s="2" t="s">
        <v>5</v>
      </c>
      <c r="BP972" s="2" t="s">
        <v>5</v>
      </c>
      <c r="BQ972" s="2" t="s">
        <v>5</v>
      </c>
      <c r="BR972" s="2" t="s">
        <v>5</v>
      </c>
      <c r="BS972" s="2" t="s">
        <v>5</v>
      </c>
      <c r="BT972" s="2" t="s">
        <v>5</v>
      </c>
      <c r="BU972" s="2" t="s">
        <v>5</v>
      </c>
      <c r="BV972" s="2" t="s">
        <v>5</v>
      </c>
      <c r="BW972" s="2" t="s">
        <v>5</v>
      </c>
      <c r="BX972" s="2" t="s">
        <v>5</v>
      </c>
      <c r="BY972" s="25" t="s">
        <v>5</v>
      </c>
      <c r="BZ972" s="25" t="s">
        <v>5</v>
      </c>
      <c r="CA972" s="6" t="s">
        <v>5</v>
      </c>
      <c r="CB972" s="6" t="s">
        <v>5</v>
      </c>
      <c r="CC972" s="6" t="s">
        <v>5</v>
      </c>
      <c r="CD972" s="6" t="s">
        <v>5</v>
      </c>
      <c r="CE972" s="6" t="s">
        <v>5</v>
      </c>
      <c r="CF972" s="16" t="s">
        <v>5</v>
      </c>
      <c r="CG972" s="16" t="s">
        <v>5</v>
      </c>
      <c r="CH972" s="18" t="s">
        <v>5</v>
      </c>
    </row>
    <row r="973" spans="2:86">
      <c r="B973" s="78" t="s">
        <v>473</v>
      </c>
      <c r="C973" s="79" t="s">
        <v>1073</v>
      </c>
      <c r="D973" s="80" t="s">
        <v>1073</v>
      </c>
      <c r="E973" s="1" t="s">
        <v>4</v>
      </c>
      <c r="F973" s="4">
        <v>27.2</v>
      </c>
      <c r="G973" s="7">
        <v>8</v>
      </c>
      <c r="H973" s="3" t="str">
        <f t="shared" si="34"/>
        <v>2L5X3-1/2X1/2X3/8SLBB</v>
      </c>
      <c r="I973" s="7">
        <v>3.5</v>
      </c>
      <c r="J973" s="5" t="s">
        <v>5</v>
      </c>
      <c r="K973" s="6" t="s">
        <v>5</v>
      </c>
      <c r="L973" s="6" t="s">
        <v>5</v>
      </c>
      <c r="M973" s="6" t="s">
        <v>5</v>
      </c>
      <c r="N973" s="6" t="s">
        <v>5</v>
      </c>
      <c r="O973" s="5" t="s">
        <v>5</v>
      </c>
      <c r="P973" s="5" t="s">
        <v>5</v>
      </c>
      <c r="Q973" s="7">
        <v>5</v>
      </c>
      <c r="R973" s="6" t="s">
        <v>5</v>
      </c>
      <c r="S973" s="6" t="s">
        <v>5</v>
      </c>
      <c r="T973" s="5" t="s">
        <v>5</v>
      </c>
      <c r="U973" s="8" t="s">
        <v>5</v>
      </c>
      <c r="V973" s="6" t="s">
        <v>5</v>
      </c>
      <c r="W973" s="8" t="s">
        <v>5</v>
      </c>
      <c r="X973" s="22">
        <v>0.5</v>
      </c>
      <c r="Y973" s="6" t="s">
        <v>5</v>
      </c>
      <c r="Z973" s="6" t="s">
        <v>5</v>
      </c>
      <c r="AA973" s="6" t="s">
        <v>5</v>
      </c>
      <c r="AB973" s="8" t="s">
        <v>5</v>
      </c>
      <c r="AC973" s="8" t="s">
        <v>5</v>
      </c>
      <c r="AD973" s="6" t="s">
        <v>5</v>
      </c>
      <c r="AE973" s="22">
        <v>0.90100000000000002</v>
      </c>
      <c r="AF973" s="6" t="s">
        <v>5</v>
      </c>
      <c r="AG973" s="6" t="s">
        <v>5</v>
      </c>
      <c r="AH973" s="22">
        <v>0.4</v>
      </c>
      <c r="AI973" s="6" t="s">
        <v>5</v>
      </c>
      <c r="AJ973" s="4">
        <v>10</v>
      </c>
      <c r="AK973" s="6" t="s">
        <v>5</v>
      </c>
      <c r="AL973" s="6" t="s">
        <v>5</v>
      </c>
      <c r="AM973" s="6" t="s">
        <v>5</v>
      </c>
      <c r="AN973" s="6" t="s">
        <v>5</v>
      </c>
      <c r="AO973" s="7">
        <v>8.0399999999999991</v>
      </c>
      <c r="AP973" s="7">
        <v>5.57</v>
      </c>
      <c r="AQ973" s="7">
        <v>3.09</v>
      </c>
      <c r="AR973" s="7">
        <v>1</v>
      </c>
      <c r="AS973" s="6">
        <v>46.9</v>
      </c>
      <c r="AT973" s="6">
        <v>14.7</v>
      </c>
      <c r="AU973" s="6">
        <v>9.0399999999999991</v>
      </c>
      <c r="AV973" s="7">
        <v>2.42</v>
      </c>
      <c r="AW973" s="6" t="s">
        <v>5</v>
      </c>
      <c r="AX973" s="6" t="s">
        <v>5</v>
      </c>
      <c r="AY973" s="6" t="s">
        <v>5</v>
      </c>
      <c r="AZ973" s="6" t="s">
        <v>5</v>
      </c>
      <c r="BA973" s="6" t="s">
        <v>5</v>
      </c>
      <c r="BB973" s="6" t="s">
        <v>5</v>
      </c>
      <c r="BC973" s="6" t="s">
        <v>5</v>
      </c>
      <c r="BD973" s="6" t="s">
        <v>5</v>
      </c>
      <c r="BE973" s="6" t="s">
        <v>5</v>
      </c>
      <c r="BF973" s="6" t="s">
        <v>5</v>
      </c>
      <c r="BG973" s="6" t="s">
        <v>5</v>
      </c>
      <c r="BH973" s="6" t="s">
        <v>5</v>
      </c>
      <c r="BI973" s="7">
        <v>2.7</v>
      </c>
      <c r="BJ973" s="22">
        <v>0.94199999999999995</v>
      </c>
      <c r="BK973" s="6" t="s">
        <v>5</v>
      </c>
      <c r="BL973" s="2" t="s">
        <v>5</v>
      </c>
      <c r="BM973" s="2" t="s">
        <v>5</v>
      </c>
      <c r="BN973" s="2" t="s">
        <v>5</v>
      </c>
      <c r="BO973" s="2" t="s">
        <v>5</v>
      </c>
      <c r="BP973" s="2" t="s">
        <v>5</v>
      </c>
      <c r="BQ973" s="2" t="s">
        <v>5</v>
      </c>
      <c r="BR973" s="2" t="s">
        <v>5</v>
      </c>
      <c r="BS973" s="2" t="s">
        <v>5</v>
      </c>
      <c r="BT973" s="2" t="s">
        <v>5</v>
      </c>
      <c r="BU973" s="2" t="s">
        <v>5</v>
      </c>
      <c r="BV973" s="2" t="s">
        <v>5</v>
      </c>
      <c r="BW973" s="2" t="s">
        <v>5</v>
      </c>
      <c r="BX973" s="2" t="s">
        <v>5</v>
      </c>
      <c r="BY973" s="25" t="s">
        <v>5</v>
      </c>
      <c r="BZ973" s="25" t="s">
        <v>5</v>
      </c>
      <c r="CA973" s="6" t="s">
        <v>5</v>
      </c>
      <c r="CB973" s="6" t="s">
        <v>5</v>
      </c>
      <c r="CC973" s="6" t="s">
        <v>5</v>
      </c>
      <c r="CD973" s="6" t="s">
        <v>5</v>
      </c>
      <c r="CE973" s="6" t="s">
        <v>5</v>
      </c>
      <c r="CF973" s="16" t="s">
        <v>5</v>
      </c>
      <c r="CG973" s="16" t="s">
        <v>5</v>
      </c>
      <c r="CH973" s="18" t="s">
        <v>5</v>
      </c>
    </row>
    <row r="974" spans="2:86">
      <c r="B974" s="78" t="s">
        <v>473</v>
      </c>
      <c r="C974" s="79" t="s">
        <v>1074</v>
      </c>
      <c r="D974" s="80" t="s">
        <v>1074</v>
      </c>
      <c r="E974" s="1" t="s">
        <v>4</v>
      </c>
      <c r="F974" s="4">
        <v>27.2</v>
      </c>
      <c r="G974" s="7">
        <v>8</v>
      </c>
      <c r="H974" s="3" t="str">
        <f t="shared" si="34"/>
        <v>2L5X3-1/2X1/2X3/4SLBB</v>
      </c>
      <c r="I974" s="7">
        <v>3.5</v>
      </c>
      <c r="J974" s="5" t="s">
        <v>5</v>
      </c>
      <c r="K974" s="6" t="s">
        <v>5</v>
      </c>
      <c r="L974" s="6" t="s">
        <v>5</v>
      </c>
      <c r="M974" s="6" t="s">
        <v>5</v>
      </c>
      <c r="N974" s="6" t="s">
        <v>5</v>
      </c>
      <c r="O974" s="5" t="s">
        <v>5</v>
      </c>
      <c r="P974" s="5" t="s">
        <v>5</v>
      </c>
      <c r="Q974" s="7">
        <v>5</v>
      </c>
      <c r="R974" s="6" t="s">
        <v>5</v>
      </c>
      <c r="S974" s="6" t="s">
        <v>5</v>
      </c>
      <c r="T974" s="5" t="s">
        <v>5</v>
      </c>
      <c r="U974" s="8" t="s">
        <v>5</v>
      </c>
      <c r="V974" s="6" t="s">
        <v>5</v>
      </c>
      <c r="W974" s="8" t="s">
        <v>5</v>
      </c>
      <c r="X974" s="22">
        <v>0.5</v>
      </c>
      <c r="Y974" s="6" t="s">
        <v>5</v>
      </c>
      <c r="Z974" s="6" t="s">
        <v>5</v>
      </c>
      <c r="AA974" s="6" t="s">
        <v>5</v>
      </c>
      <c r="AB974" s="8" t="s">
        <v>5</v>
      </c>
      <c r="AC974" s="8" t="s">
        <v>5</v>
      </c>
      <c r="AD974" s="6" t="s">
        <v>5</v>
      </c>
      <c r="AE974" s="22">
        <v>0.90100000000000002</v>
      </c>
      <c r="AF974" s="6" t="s">
        <v>5</v>
      </c>
      <c r="AG974" s="6" t="s">
        <v>5</v>
      </c>
      <c r="AH974" s="22">
        <v>0.4</v>
      </c>
      <c r="AI974" s="6" t="s">
        <v>5</v>
      </c>
      <c r="AJ974" s="4">
        <v>10</v>
      </c>
      <c r="AK974" s="6" t="s">
        <v>5</v>
      </c>
      <c r="AL974" s="6" t="s">
        <v>5</v>
      </c>
      <c r="AM974" s="6" t="s">
        <v>5</v>
      </c>
      <c r="AN974" s="6" t="s">
        <v>5</v>
      </c>
      <c r="AO974" s="7">
        <v>8.0399999999999991</v>
      </c>
      <c r="AP974" s="7">
        <v>5.57</v>
      </c>
      <c r="AQ974" s="7">
        <v>3.09</v>
      </c>
      <c r="AR974" s="7">
        <v>1</v>
      </c>
      <c r="AS974" s="6">
        <v>52.8</v>
      </c>
      <c r="AT974" s="6">
        <v>16.2</v>
      </c>
      <c r="AU974" s="6">
        <v>9.82</v>
      </c>
      <c r="AV974" s="7">
        <v>2.57</v>
      </c>
      <c r="AW974" s="6" t="s">
        <v>5</v>
      </c>
      <c r="AX974" s="6" t="s">
        <v>5</v>
      </c>
      <c r="AY974" s="6" t="s">
        <v>5</v>
      </c>
      <c r="AZ974" s="6" t="s">
        <v>5</v>
      </c>
      <c r="BA974" s="6" t="s">
        <v>5</v>
      </c>
      <c r="BB974" s="6" t="s">
        <v>5</v>
      </c>
      <c r="BC974" s="6" t="s">
        <v>5</v>
      </c>
      <c r="BD974" s="6" t="s">
        <v>5</v>
      </c>
      <c r="BE974" s="6" t="s">
        <v>5</v>
      </c>
      <c r="BF974" s="6" t="s">
        <v>5</v>
      </c>
      <c r="BG974" s="6" t="s">
        <v>5</v>
      </c>
      <c r="BH974" s="6" t="s">
        <v>5</v>
      </c>
      <c r="BI974" s="7">
        <v>2.83</v>
      </c>
      <c r="BJ974" s="22">
        <v>0.94699999999999995</v>
      </c>
      <c r="BK974" s="6" t="s">
        <v>5</v>
      </c>
      <c r="BL974" s="2" t="s">
        <v>5</v>
      </c>
      <c r="BM974" s="2" t="s">
        <v>5</v>
      </c>
      <c r="BN974" s="2" t="s">
        <v>5</v>
      </c>
      <c r="BO974" s="2" t="s">
        <v>5</v>
      </c>
      <c r="BP974" s="2" t="s">
        <v>5</v>
      </c>
      <c r="BQ974" s="2" t="s">
        <v>5</v>
      </c>
      <c r="BR974" s="2" t="s">
        <v>5</v>
      </c>
      <c r="BS974" s="2" t="s">
        <v>5</v>
      </c>
      <c r="BT974" s="2" t="s">
        <v>5</v>
      </c>
      <c r="BU974" s="2" t="s">
        <v>5</v>
      </c>
      <c r="BV974" s="2" t="s">
        <v>5</v>
      </c>
      <c r="BW974" s="2" t="s">
        <v>5</v>
      </c>
      <c r="BX974" s="2" t="s">
        <v>5</v>
      </c>
      <c r="BY974" s="25" t="s">
        <v>5</v>
      </c>
      <c r="BZ974" s="25" t="s">
        <v>5</v>
      </c>
      <c r="CA974" s="6" t="s">
        <v>5</v>
      </c>
      <c r="CB974" s="6" t="s">
        <v>5</v>
      </c>
      <c r="CC974" s="6" t="s">
        <v>5</v>
      </c>
      <c r="CD974" s="6" t="s">
        <v>5</v>
      </c>
      <c r="CE974" s="6" t="s">
        <v>5</v>
      </c>
      <c r="CF974" s="16" t="s">
        <v>5</v>
      </c>
      <c r="CG974" s="16" t="s">
        <v>5</v>
      </c>
      <c r="CH974" s="18" t="s">
        <v>5</v>
      </c>
    </row>
    <row r="975" spans="2:86">
      <c r="B975" s="78" t="s">
        <v>473</v>
      </c>
      <c r="C975" s="79" t="s">
        <v>1075</v>
      </c>
      <c r="D975" s="80" t="s">
        <v>1075</v>
      </c>
      <c r="E975" s="1" t="s">
        <v>4</v>
      </c>
      <c r="F975" s="4">
        <v>20.8</v>
      </c>
      <c r="G975" s="7">
        <v>6.1</v>
      </c>
      <c r="H975" s="3" t="str">
        <f t="shared" si="34"/>
        <v>2L5X3-1/2X3/8SLBB</v>
      </c>
      <c r="I975" s="7">
        <v>3.5</v>
      </c>
      <c r="J975" s="5" t="s">
        <v>5</v>
      </c>
      <c r="K975" s="6" t="s">
        <v>5</v>
      </c>
      <c r="L975" s="6" t="s">
        <v>5</v>
      </c>
      <c r="M975" s="6" t="s">
        <v>5</v>
      </c>
      <c r="N975" s="6" t="s">
        <v>5</v>
      </c>
      <c r="O975" s="5" t="s">
        <v>5</v>
      </c>
      <c r="P975" s="5" t="s">
        <v>5</v>
      </c>
      <c r="Q975" s="7">
        <v>5</v>
      </c>
      <c r="R975" s="6" t="s">
        <v>5</v>
      </c>
      <c r="S975" s="6" t="s">
        <v>5</v>
      </c>
      <c r="T975" s="5" t="s">
        <v>5</v>
      </c>
      <c r="U975" s="8" t="s">
        <v>5</v>
      </c>
      <c r="V975" s="6" t="s">
        <v>5</v>
      </c>
      <c r="W975" s="8" t="s">
        <v>5</v>
      </c>
      <c r="X975" s="22">
        <v>0.375</v>
      </c>
      <c r="Y975" s="6" t="s">
        <v>5</v>
      </c>
      <c r="Z975" s="6" t="s">
        <v>5</v>
      </c>
      <c r="AA975" s="6" t="s">
        <v>5</v>
      </c>
      <c r="AB975" s="8" t="s">
        <v>5</v>
      </c>
      <c r="AC975" s="8" t="s">
        <v>5</v>
      </c>
      <c r="AD975" s="6" t="s">
        <v>5</v>
      </c>
      <c r="AE975" s="22">
        <v>0.85399999999999998</v>
      </c>
      <c r="AF975" s="6" t="s">
        <v>5</v>
      </c>
      <c r="AG975" s="6" t="s">
        <v>5</v>
      </c>
      <c r="AH975" s="22">
        <v>0.30499999999999999</v>
      </c>
      <c r="AI975" s="6" t="s">
        <v>5</v>
      </c>
      <c r="AJ975" s="4">
        <v>13.3</v>
      </c>
      <c r="AK975" s="6" t="s">
        <v>5</v>
      </c>
      <c r="AL975" s="6" t="s">
        <v>5</v>
      </c>
      <c r="AM975" s="6" t="s">
        <v>5</v>
      </c>
      <c r="AN975" s="6" t="s">
        <v>5</v>
      </c>
      <c r="AO975" s="7">
        <v>6.31</v>
      </c>
      <c r="AP975" s="7">
        <v>4.2300000000000004</v>
      </c>
      <c r="AQ975" s="7">
        <v>2.38</v>
      </c>
      <c r="AR975" s="7">
        <v>1.02</v>
      </c>
      <c r="AS975" s="6">
        <v>31.2</v>
      </c>
      <c r="AT975" s="6">
        <v>9.76</v>
      </c>
      <c r="AU975" s="6">
        <v>6.24</v>
      </c>
      <c r="AV975" s="7">
        <v>2.2599999999999998</v>
      </c>
      <c r="AW975" s="6" t="s">
        <v>5</v>
      </c>
      <c r="AX975" s="6" t="s">
        <v>5</v>
      </c>
      <c r="AY975" s="6" t="s">
        <v>5</v>
      </c>
      <c r="AZ975" s="6" t="s">
        <v>5</v>
      </c>
      <c r="BA975" s="6" t="s">
        <v>5</v>
      </c>
      <c r="BB975" s="6" t="s">
        <v>5</v>
      </c>
      <c r="BC975" s="6" t="s">
        <v>5</v>
      </c>
      <c r="BD975" s="6" t="s">
        <v>5</v>
      </c>
      <c r="BE975" s="6" t="s">
        <v>5</v>
      </c>
      <c r="BF975" s="6" t="s">
        <v>5</v>
      </c>
      <c r="BG975" s="6" t="s">
        <v>5</v>
      </c>
      <c r="BH975" s="6" t="s">
        <v>5</v>
      </c>
      <c r="BI975" s="7">
        <v>2.56</v>
      </c>
      <c r="BJ975" s="22">
        <v>0.93300000000000005</v>
      </c>
      <c r="BK975" s="6" t="s">
        <v>5</v>
      </c>
      <c r="BL975" s="2" t="s">
        <v>5</v>
      </c>
      <c r="BM975" s="2" t="s">
        <v>5</v>
      </c>
      <c r="BN975" s="2" t="s">
        <v>5</v>
      </c>
      <c r="BO975" s="2" t="s">
        <v>5</v>
      </c>
      <c r="BP975" s="2" t="s">
        <v>5</v>
      </c>
      <c r="BQ975" s="2" t="s">
        <v>5</v>
      </c>
      <c r="BR975" s="2" t="s">
        <v>5</v>
      </c>
      <c r="BS975" s="2" t="s">
        <v>5</v>
      </c>
      <c r="BT975" s="2" t="s">
        <v>5</v>
      </c>
      <c r="BU975" s="2" t="s">
        <v>5</v>
      </c>
      <c r="BV975" s="2" t="s">
        <v>5</v>
      </c>
      <c r="BW975" s="2" t="s">
        <v>5</v>
      </c>
      <c r="BX975" s="2" t="s">
        <v>5</v>
      </c>
      <c r="BY975" s="25" t="s">
        <v>5</v>
      </c>
      <c r="BZ975" s="25" t="s">
        <v>5</v>
      </c>
      <c r="CA975" s="6" t="s">
        <v>5</v>
      </c>
      <c r="CB975" s="6" t="s">
        <v>5</v>
      </c>
      <c r="CC975" s="6" t="s">
        <v>5</v>
      </c>
      <c r="CD975" s="6" t="s">
        <v>5</v>
      </c>
      <c r="CE975" s="6" t="s">
        <v>5</v>
      </c>
      <c r="CF975" s="16" t="s">
        <v>5</v>
      </c>
      <c r="CG975" s="16" t="s">
        <v>5</v>
      </c>
      <c r="CH975" s="18" t="s">
        <v>5</v>
      </c>
    </row>
    <row r="976" spans="2:86">
      <c r="B976" s="78" t="s">
        <v>473</v>
      </c>
      <c r="C976" s="79" t="s">
        <v>1076</v>
      </c>
      <c r="D976" s="80" t="s">
        <v>1076</v>
      </c>
      <c r="E976" s="1" t="s">
        <v>4</v>
      </c>
      <c r="F976" s="4">
        <v>20.8</v>
      </c>
      <c r="G976" s="7">
        <v>6.1</v>
      </c>
      <c r="H976" s="3" t="str">
        <f t="shared" si="34"/>
        <v>2L5X3-1/2X3/8X3/8SLBB</v>
      </c>
      <c r="I976" s="7">
        <v>3.5</v>
      </c>
      <c r="J976" s="5" t="s">
        <v>5</v>
      </c>
      <c r="K976" s="6" t="s">
        <v>5</v>
      </c>
      <c r="L976" s="6" t="s">
        <v>5</v>
      </c>
      <c r="M976" s="6" t="s">
        <v>5</v>
      </c>
      <c r="N976" s="6" t="s">
        <v>5</v>
      </c>
      <c r="O976" s="5" t="s">
        <v>5</v>
      </c>
      <c r="P976" s="5" t="s">
        <v>5</v>
      </c>
      <c r="Q976" s="7">
        <v>5</v>
      </c>
      <c r="R976" s="6" t="s">
        <v>5</v>
      </c>
      <c r="S976" s="6" t="s">
        <v>5</v>
      </c>
      <c r="T976" s="5" t="s">
        <v>5</v>
      </c>
      <c r="U976" s="8" t="s">
        <v>5</v>
      </c>
      <c r="V976" s="6" t="s">
        <v>5</v>
      </c>
      <c r="W976" s="8" t="s">
        <v>5</v>
      </c>
      <c r="X976" s="22">
        <v>0.375</v>
      </c>
      <c r="Y976" s="6" t="s">
        <v>5</v>
      </c>
      <c r="Z976" s="6" t="s">
        <v>5</v>
      </c>
      <c r="AA976" s="6" t="s">
        <v>5</v>
      </c>
      <c r="AB976" s="8" t="s">
        <v>5</v>
      </c>
      <c r="AC976" s="8" t="s">
        <v>5</v>
      </c>
      <c r="AD976" s="6" t="s">
        <v>5</v>
      </c>
      <c r="AE976" s="22">
        <v>0.85399999999999998</v>
      </c>
      <c r="AF976" s="6" t="s">
        <v>5</v>
      </c>
      <c r="AG976" s="6" t="s">
        <v>5</v>
      </c>
      <c r="AH976" s="22">
        <v>0.30499999999999999</v>
      </c>
      <c r="AI976" s="6" t="s">
        <v>5</v>
      </c>
      <c r="AJ976" s="4">
        <v>13.3</v>
      </c>
      <c r="AK976" s="6" t="s">
        <v>5</v>
      </c>
      <c r="AL976" s="6" t="s">
        <v>5</v>
      </c>
      <c r="AM976" s="6" t="s">
        <v>5</v>
      </c>
      <c r="AN976" s="6" t="s">
        <v>5</v>
      </c>
      <c r="AO976" s="7">
        <v>6.31</v>
      </c>
      <c r="AP976" s="7">
        <v>4.2300000000000004</v>
      </c>
      <c r="AQ976" s="7">
        <v>2.38</v>
      </c>
      <c r="AR976" s="7">
        <v>1.02</v>
      </c>
      <c r="AS976" s="6">
        <v>34.799999999999997</v>
      </c>
      <c r="AT976" s="6">
        <v>10.9</v>
      </c>
      <c r="AU976" s="6">
        <v>6.71</v>
      </c>
      <c r="AV976" s="7">
        <v>2.39</v>
      </c>
      <c r="AW976" s="6" t="s">
        <v>5</v>
      </c>
      <c r="AX976" s="6" t="s">
        <v>5</v>
      </c>
      <c r="AY976" s="6" t="s">
        <v>5</v>
      </c>
      <c r="AZ976" s="6" t="s">
        <v>5</v>
      </c>
      <c r="BA976" s="6" t="s">
        <v>5</v>
      </c>
      <c r="BB976" s="6" t="s">
        <v>5</v>
      </c>
      <c r="BC976" s="6" t="s">
        <v>5</v>
      </c>
      <c r="BD976" s="6" t="s">
        <v>5</v>
      </c>
      <c r="BE976" s="6" t="s">
        <v>5</v>
      </c>
      <c r="BF976" s="6" t="s">
        <v>5</v>
      </c>
      <c r="BG976" s="6" t="s">
        <v>5</v>
      </c>
      <c r="BH976" s="6" t="s">
        <v>5</v>
      </c>
      <c r="BI976" s="7">
        <v>2.69</v>
      </c>
      <c r="BJ976" s="22">
        <v>0.93799999999999994</v>
      </c>
      <c r="BK976" s="6" t="s">
        <v>5</v>
      </c>
      <c r="BL976" s="2" t="s">
        <v>5</v>
      </c>
      <c r="BM976" s="2" t="s">
        <v>5</v>
      </c>
      <c r="BN976" s="2" t="s">
        <v>5</v>
      </c>
      <c r="BO976" s="2" t="s">
        <v>5</v>
      </c>
      <c r="BP976" s="2" t="s">
        <v>5</v>
      </c>
      <c r="BQ976" s="2" t="s">
        <v>5</v>
      </c>
      <c r="BR976" s="2" t="s">
        <v>5</v>
      </c>
      <c r="BS976" s="2" t="s">
        <v>5</v>
      </c>
      <c r="BT976" s="2" t="s">
        <v>5</v>
      </c>
      <c r="BU976" s="2" t="s">
        <v>5</v>
      </c>
      <c r="BV976" s="2" t="s">
        <v>5</v>
      </c>
      <c r="BW976" s="2" t="s">
        <v>5</v>
      </c>
      <c r="BX976" s="2" t="s">
        <v>5</v>
      </c>
      <c r="BY976" s="25" t="s">
        <v>5</v>
      </c>
      <c r="BZ976" s="25" t="s">
        <v>5</v>
      </c>
      <c r="CA976" s="6" t="s">
        <v>5</v>
      </c>
      <c r="CB976" s="6" t="s">
        <v>5</v>
      </c>
      <c r="CC976" s="6" t="s">
        <v>5</v>
      </c>
      <c r="CD976" s="6" t="s">
        <v>5</v>
      </c>
      <c r="CE976" s="6" t="s">
        <v>5</v>
      </c>
      <c r="CF976" s="16" t="s">
        <v>5</v>
      </c>
      <c r="CG976" s="16" t="s">
        <v>5</v>
      </c>
      <c r="CH976" s="18" t="s">
        <v>5</v>
      </c>
    </row>
    <row r="977" spans="2:86">
      <c r="B977" s="78" t="s">
        <v>473</v>
      </c>
      <c r="C977" s="79" t="s">
        <v>1077</v>
      </c>
      <c r="D977" s="80" t="s">
        <v>1077</v>
      </c>
      <c r="E977" s="1" t="s">
        <v>4</v>
      </c>
      <c r="F977" s="4">
        <v>20.8</v>
      </c>
      <c r="G977" s="7">
        <v>6.1</v>
      </c>
      <c r="H977" s="3" t="str">
        <f t="shared" si="34"/>
        <v>2L5X3-1/2X3/8X3/4SLBB</v>
      </c>
      <c r="I977" s="7">
        <v>3.5</v>
      </c>
      <c r="J977" s="5" t="s">
        <v>5</v>
      </c>
      <c r="K977" s="6" t="s">
        <v>5</v>
      </c>
      <c r="L977" s="6" t="s">
        <v>5</v>
      </c>
      <c r="M977" s="6" t="s">
        <v>5</v>
      </c>
      <c r="N977" s="6" t="s">
        <v>5</v>
      </c>
      <c r="O977" s="5" t="s">
        <v>5</v>
      </c>
      <c r="P977" s="5" t="s">
        <v>5</v>
      </c>
      <c r="Q977" s="7">
        <v>5</v>
      </c>
      <c r="R977" s="6" t="s">
        <v>5</v>
      </c>
      <c r="S977" s="6" t="s">
        <v>5</v>
      </c>
      <c r="T977" s="5" t="s">
        <v>5</v>
      </c>
      <c r="U977" s="8" t="s">
        <v>5</v>
      </c>
      <c r="V977" s="6" t="s">
        <v>5</v>
      </c>
      <c r="W977" s="8" t="s">
        <v>5</v>
      </c>
      <c r="X977" s="22">
        <v>0.375</v>
      </c>
      <c r="Y977" s="6" t="s">
        <v>5</v>
      </c>
      <c r="Z977" s="6" t="s">
        <v>5</v>
      </c>
      <c r="AA977" s="6" t="s">
        <v>5</v>
      </c>
      <c r="AB977" s="8" t="s">
        <v>5</v>
      </c>
      <c r="AC977" s="8" t="s">
        <v>5</v>
      </c>
      <c r="AD977" s="6" t="s">
        <v>5</v>
      </c>
      <c r="AE977" s="22">
        <v>0.85399999999999998</v>
      </c>
      <c r="AF977" s="6" t="s">
        <v>5</v>
      </c>
      <c r="AG977" s="6" t="s">
        <v>5</v>
      </c>
      <c r="AH977" s="22">
        <v>0.30499999999999999</v>
      </c>
      <c r="AI977" s="6" t="s">
        <v>5</v>
      </c>
      <c r="AJ977" s="4">
        <v>13.3</v>
      </c>
      <c r="AK977" s="6" t="s">
        <v>5</v>
      </c>
      <c r="AL977" s="6" t="s">
        <v>5</v>
      </c>
      <c r="AM977" s="6" t="s">
        <v>5</v>
      </c>
      <c r="AN977" s="6" t="s">
        <v>5</v>
      </c>
      <c r="AO977" s="7">
        <v>6.31</v>
      </c>
      <c r="AP977" s="7">
        <v>4.2300000000000004</v>
      </c>
      <c r="AQ977" s="7">
        <v>2.38</v>
      </c>
      <c r="AR977" s="7">
        <v>1.02</v>
      </c>
      <c r="AS977" s="6">
        <v>39.4</v>
      </c>
      <c r="AT977" s="4">
        <v>12</v>
      </c>
      <c r="AU977" s="6">
        <v>7.33</v>
      </c>
      <c r="AV977" s="7">
        <v>2.54</v>
      </c>
      <c r="AW977" s="6" t="s">
        <v>5</v>
      </c>
      <c r="AX977" s="6" t="s">
        <v>5</v>
      </c>
      <c r="AY977" s="6" t="s">
        <v>5</v>
      </c>
      <c r="AZ977" s="6" t="s">
        <v>5</v>
      </c>
      <c r="BA977" s="6" t="s">
        <v>5</v>
      </c>
      <c r="BB977" s="6" t="s">
        <v>5</v>
      </c>
      <c r="BC977" s="6" t="s">
        <v>5</v>
      </c>
      <c r="BD977" s="6" t="s">
        <v>5</v>
      </c>
      <c r="BE977" s="6" t="s">
        <v>5</v>
      </c>
      <c r="BF977" s="6" t="s">
        <v>5</v>
      </c>
      <c r="BG977" s="6" t="s">
        <v>5</v>
      </c>
      <c r="BH977" s="6" t="s">
        <v>5</v>
      </c>
      <c r="BI977" s="7">
        <v>2.81</v>
      </c>
      <c r="BJ977" s="22">
        <v>0.94399999999999995</v>
      </c>
      <c r="BK977" s="6" t="s">
        <v>5</v>
      </c>
      <c r="BL977" s="2" t="s">
        <v>5</v>
      </c>
      <c r="BM977" s="2" t="s">
        <v>5</v>
      </c>
      <c r="BN977" s="2" t="s">
        <v>5</v>
      </c>
      <c r="BO977" s="2" t="s">
        <v>5</v>
      </c>
      <c r="BP977" s="2" t="s">
        <v>5</v>
      </c>
      <c r="BQ977" s="2" t="s">
        <v>5</v>
      </c>
      <c r="BR977" s="2" t="s">
        <v>5</v>
      </c>
      <c r="BS977" s="2" t="s">
        <v>5</v>
      </c>
      <c r="BT977" s="2" t="s">
        <v>5</v>
      </c>
      <c r="BU977" s="2" t="s">
        <v>5</v>
      </c>
      <c r="BV977" s="2" t="s">
        <v>5</v>
      </c>
      <c r="BW977" s="2" t="s">
        <v>5</v>
      </c>
      <c r="BX977" s="2" t="s">
        <v>5</v>
      </c>
      <c r="BY977" s="25" t="s">
        <v>5</v>
      </c>
      <c r="BZ977" s="25" t="s">
        <v>5</v>
      </c>
      <c r="CA977" s="6" t="s">
        <v>5</v>
      </c>
      <c r="CB977" s="6" t="s">
        <v>5</v>
      </c>
      <c r="CC977" s="6" t="s">
        <v>5</v>
      </c>
      <c r="CD977" s="6" t="s">
        <v>5</v>
      </c>
      <c r="CE977" s="6" t="s">
        <v>5</v>
      </c>
      <c r="CF977" s="16" t="s">
        <v>5</v>
      </c>
      <c r="CG977" s="16" t="s">
        <v>5</v>
      </c>
      <c r="CH977" s="18" t="s">
        <v>5</v>
      </c>
    </row>
    <row r="978" spans="2:86">
      <c r="B978" s="78" t="s">
        <v>473</v>
      </c>
      <c r="C978" s="79" t="s">
        <v>1078</v>
      </c>
      <c r="D978" s="80" t="s">
        <v>1078</v>
      </c>
      <c r="E978" s="1" t="s">
        <v>4</v>
      </c>
      <c r="F978" s="4">
        <v>17.399999999999999</v>
      </c>
      <c r="G978" s="7">
        <v>5.12</v>
      </c>
      <c r="H978" s="3" t="str">
        <f t="shared" si="34"/>
        <v>2L5X3-1/2X5/16SLBB</v>
      </c>
      <c r="I978" s="7">
        <v>3.5</v>
      </c>
      <c r="J978" s="5" t="s">
        <v>5</v>
      </c>
      <c r="K978" s="6" t="s">
        <v>5</v>
      </c>
      <c r="L978" s="6" t="s">
        <v>5</v>
      </c>
      <c r="M978" s="6" t="s">
        <v>5</v>
      </c>
      <c r="N978" s="6" t="s">
        <v>5</v>
      </c>
      <c r="O978" s="5" t="s">
        <v>5</v>
      </c>
      <c r="P978" s="5" t="s">
        <v>5</v>
      </c>
      <c r="Q978" s="7">
        <v>5</v>
      </c>
      <c r="R978" s="6" t="s">
        <v>5</v>
      </c>
      <c r="S978" s="6" t="s">
        <v>5</v>
      </c>
      <c r="T978" s="5" t="s">
        <v>5</v>
      </c>
      <c r="U978" s="8" t="s">
        <v>5</v>
      </c>
      <c r="V978" s="6" t="s">
        <v>5</v>
      </c>
      <c r="W978" s="8" t="s">
        <v>5</v>
      </c>
      <c r="X978" s="22">
        <v>0.313</v>
      </c>
      <c r="Y978" s="6" t="s">
        <v>5</v>
      </c>
      <c r="Z978" s="6" t="s">
        <v>5</v>
      </c>
      <c r="AA978" s="6" t="s">
        <v>5</v>
      </c>
      <c r="AB978" s="8" t="s">
        <v>5</v>
      </c>
      <c r="AC978" s="8" t="s">
        <v>5</v>
      </c>
      <c r="AD978" s="6" t="s">
        <v>5</v>
      </c>
      <c r="AE978" s="22">
        <v>0.82899999999999996</v>
      </c>
      <c r="AF978" s="6" t="s">
        <v>5</v>
      </c>
      <c r="AG978" s="6" t="s">
        <v>5</v>
      </c>
      <c r="AH978" s="22">
        <v>0.25600000000000001</v>
      </c>
      <c r="AI978" s="6" t="s">
        <v>5</v>
      </c>
      <c r="AJ978" s="4">
        <v>16</v>
      </c>
      <c r="AK978" s="6" t="s">
        <v>5</v>
      </c>
      <c r="AL978" s="6" t="s">
        <v>5</v>
      </c>
      <c r="AM978" s="6" t="s">
        <v>5</v>
      </c>
      <c r="AN978" s="6" t="s">
        <v>5</v>
      </c>
      <c r="AO978" s="7">
        <v>5.38</v>
      </c>
      <c r="AP978" s="7">
        <v>3.55</v>
      </c>
      <c r="AQ978" s="7">
        <v>2.0099999999999998</v>
      </c>
      <c r="AR978" s="7">
        <v>1.02</v>
      </c>
      <c r="AS978" s="6">
        <v>25.9</v>
      </c>
      <c r="AT978" s="6">
        <v>8.0399999999999991</v>
      </c>
      <c r="AU978" s="6">
        <v>5.18</v>
      </c>
      <c r="AV978" s="7">
        <v>2.25</v>
      </c>
      <c r="AW978" s="6" t="s">
        <v>5</v>
      </c>
      <c r="AX978" s="6" t="s">
        <v>5</v>
      </c>
      <c r="AY978" s="6" t="s">
        <v>5</v>
      </c>
      <c r="AZ978" s="6" t="s">
        <v>5</v>
      </c>
      <c r="BA978" s="6" t="s">
        <v>5</v>
      </c>
      <c r="BB978" s="6" t="s">
        <v>5</v>
      </c>
      <c r="BC978" s="6" t="s">
        <v>5</v>
      </c>
      <c r="BD978" s="6" t="s">
        <v>5</v>
      </c>
      <c r="BE978" s="6" t="s">
        <v>5</v>
      </c>
      <c r="BF978" s="6" t="s">
        <v>5</v>
      </c>
      <c r="BG978" s="6" t="s">
        <v>5</v>
      </c>
      <c r="BH978" s="6" t="s">
        <v>5</v>
      </c>
      <c r="BI978" s="7">
        <v>2.56</v>
      </c>
      <c r="BJ978" s="22">
        <v>0.93100000000000005</v>
      </c>
      <c r="BK978" s="6" t="s">
        <v>5</v>
      </c>
      <c r="BL978" s="2" t="s">
        <v>5</v>
      </c>
      <c r="BM978" s="2" t="s">
        <v>5</v>
      </c>
      <c r="BN978" s="2" t="s">
        <v>5</v>
      </c>
      <c r="BO978" s="2" t="s">
        <v>5</v>
      </c>
      <c r="BP978" s="2" t="s">
        <v>5</v>
      </c>
      <c r="BQ978" s="2" t="s">
        <v>5</v>
      </c>
      <c r="BR978" s="2" t="s">
        <v>5</v>
      </c>
      <c r="BS978" s="2" t="s">
        <v>5</v>
      </c>
      <c r="BT978" s="2" t="s">
        <v>5</v>
      </c>
      <c r="BU978" s="2" t="s">
        <v>5</v>
      </c>
      <c r="BV978" s="2" t="s">
        <v>5</v>
      </c>
      <c r="BW978" s="2" t="s">
        <v>5</v>
      </c>
      <c r="BX978" s="2" t="s">
        <v>5</v>
      </c>
      <c r="BY978" s="25" t="s">
        <v>5</v>
      </c>
      <c r="BZ978" s="25" t="s">
        <v>5</v>
      </c>
      <c r="CA978" s="6" t="s">
        <v>5</v>
      </c>
      <c r="CB978" s="6" t="s">
        <v>5</v>
      </c>
      <c r="CC978" s="6" t="s">
        <v>5</v>
      </c>
      <c r="CD978" s="6" t="s">
        <v>5</v>
      </c>
      <c r="CE978" s="6" t="s">
        <v>5</v>
      </c>
      <c r="CF978" s="16" t="s">
        <v>5</v>
      </c>
      <c r="CG978" s="16" t="s">
        <v>5</v>
      </c>
      <c r="CH978" s="18" t="s">
        <v>5</v>
      </c>
    </row>
    <row r="979" spans="2:86">
      <c r="B979" s="78" t="s">
        <v>473</v>
      </c>
      <c r="C979" s="79" t="s">
        <v>1079</v>
      </c>
      <c r="D979" s="80" t="s">
        <v>1079</v>
      </c>
      <c r="E979" s="1" t="s">
        <v>4</v>
      </c>
      <c r="F979" s="4">
        <v>17.399999999999999</v>
      </c>
      <c r="G979" s="7">
        <v>5.12</v>
      </c>
      <c r="H979" s="3" t="str">
        <f t="shared" si="34"/>
        <v>2L5X3-1/2X5/16X3/8SLBB</v>
      </c>
      <c r="I979" s="7">
        <v>3.5</v>
      </c>
      <c r="J979" s="5" t="s">
        <v>5</v>
      </c>
      <c r="K979" s="6" t="s">
        <v>5</v>
      </c>
      <c r="L979" s="6" t="s">
        <v>5</v>
      </c>
      <c r="M979" s="6" t="s">
        <v>5</v>
      </c>
      <c r="N979" s="6" t="s">
        <v>5</v>
      </c>
      <c r="O979" s="5" t="s">
        <v>5</v>
      </c>
      <c r="P979" s="5" t="s">
        <v>5</v>
      </c>
      <c r="Q979" s="7">
        <v>5</v>
      </c>
      <c r="R979" s="6" t="s">
        <v>5</v>
      </c>
      <c r="S979" s="6" t="s">
        <v>5</v>
      </c>
      <c r="T979" s="5" t="s">
        <v>5</v>
      </c>
      <c r="U979" s="8" t="s">
        <v>5</v>
      </c>
      <c r="V979" s="6" t="s">
        <v>5</v>
      </c>
      <c r="W979" s="8" t="s">
        <v>5</v>
      </c>
      <c r="X979" s="22">
        <v>0.313</v>
      </c>
      <c r="Y979" s="6" t="s">
        <v>5</v>
      </c>
      <c r="Z979" s="6" t="s">
        <v>5</v>
      </c>
      <c r="AA979" s="6" t="s">
        <v>5</v>
      </c>
      <c r="AB979" s="8" t="s">
        <v>5</v>
      </c>
      <c r="AC979" s="8" t="s">
        <v>5</v>
      </c>
      <c r="AD979" s="6" t="s">
        <v>5</v>
      </c>
      <c r="AE979" s="22">
        <v>0.82899999999999996</v>
      </c>
      <c r="AF979" s="6" t="s">
        <v>5</v>
      </c>
      <c r="AG979" s="6" t="s">
        <v>5</v>
      </c>
      <c r="AH979" s="22">
        <v>0.25600000000000001</v>
      </c>
      <c r="AI979" s="6" t="s">
        <v>5</v>
      </c>
      <c r="AJ979" s="4">
        <v>16</v>
      </c>
      <c r="AK979" s="6" t="s">
        <v>5</v>
      </c>
      <c r="AL979" s="6" t="s">
        <v>5</v>
      </c>
      <c r="AM979" s="6" t="s">
        <v>5</v>
      </c>
      <c r="AN979" s="6" t="s">
        <v>5</v>
      </c>
      <c r="AO979" s="7">
        <v>5.38</v>
      </c>
      <c r="AP979" s="7">
        <v>3.55</v>
      </c>
      <c r="AQ979" s="7">
        <v>2.0099999999999998</v>
      </c>
      <c r="AR979" s="7">
        <v>1.02</v>
      </c>
      <c r="AS979" s="4">
        <v>29</v>
      </c>
      <c r="AT979" s="7">
        <v>9</v>
      </c>
      <c r="AU979" s="6">
        <v>5.59</v>
      </c>
      <c r="AV979" s="7">
        <v>2.38</v>
      </c>
      <c r="AW979" s="6" t="s">
        <v>5</v>
      </c>
      <c r="AX979" s="6" t="s">
        <v>5</v>
      </c>
      <c r="AY979" s="6" t="s">
        <v>5</v>
      </c>
      <c r="AZ979" s="6" t="s">
        <v>5</v>
      </c>
      <c r="BA979" s="6" t="s">
        <v>5</v>
      </c>
      <c r="BB979" s="6" t="s">
        <v>5</v>
      </c>
      <c r="BC979" s="6" t="s">
        <v>5</v>
      </c>
      <c r="BD979" s="6" t="s">
        <v>5</v>
      </c>
      <c r="BE979" s="6" t="s">
        <v>5</v>
      </c>
      <c r="BF979" s="6" t="s">
        <v>5</v>
      </c>
      <c r="BG979" s="6" t="s">
        <v>5</v>
      </c>
      <c r="BH979" s="6" t="s">
        <v>5</v>
      </c>
      <c r="BI979" s="7">
        <v>2.68</v>
      </c>
      <c r="BJ979" s="22">
        <v>0.93700000000000006</v>
      </c>
      <c r="BK979" s="6" t="s">
        <v>5</v>
      </c>
      <c r="BL979" s="2" t="s">
        <v>5</v>
      </c>
      <c r="BM979" s="2" t="s">
        <v>5</v>
      </c>
      <c r="BN979" s="2" t="s">
        <v>5</v>
      </c>
      <c r="BO979" s="2" t="s">
        <v>5</v>
      </c>
      <c r="BP979" s="2" t="s">
        <v>5</v>
      </c>
      <c r="BQ979" s="2" t="s">
        <v>5</v>
      </c>
      <c r="BR979" s="2" t="s">
        <v>5</v>
      </c>
      <c r="BS979" s="2" t="s">
        <v>5</v>
      </c>
      <c r="BT979" s="2" t="s">
        <v>5</v>
      </c>
      <c r="BU979" s="2" t="s">
        <v>5</v>
      </c>
      <c r="BV979" s="2" t="s">
        <v>5</v>
      </c>
      <c r="BW979" s="2" t="s">
        <v>5</v>
      </c>
      <c r="BX979" s="2" t="s">
        <v>5</v>
      </c>
      <c r="BY979" s="25" t="s">
        <v>5</v>
      </c>
      <c r="BZ979" s="25" t="s">
        <v>5</v>
      </c>
      <c r="CA979" s="6" t="s">
        <v>5</v>
      </c>
      <c r="CB979" s="6" t="s">
        <v>5</v>
      </c>
      <c r="CC979" s="6" t="s">
        <v>5</v>
      </c>
      <c r="CD979" s="6" t="s">
        <v>5</v>
      </c>
      <c r="CE979" s="6" t="s">
        <v>5</v>
      </c>
      <c r="CF979" s="16" t="s">
        <v>5</v>
      </c>
      <c r="CG979" s="16" t="s">
        <v>5</v>
      </c>
      <c r="CH979" s="18" t="s">
        <v>5</v>
      </c>
    </row>
    <row r="980" spans="2:86">
      <c r="B980" s="78" t="s">
        <v>473</v>
      </c>
      <c r="C980" s="79" t="s">
        <v>1080</v>
      </c>
      <c r="D980" s="80" t="s">
        <v>1080</v>
      </c>
      <c r="E980" s="1" t="s">
        <v>4</v>
      </c>
      <c r="F980" s="4">
        <v>17.399999999999999</v>
      </c>
      <c r="G980" s="7">
        <v>5.12</v>
      </c>
      <c r="H980" s="3" t="str">
        <f t="shared" si="34"/>
        <v>2L5X3-1/2X5/16X3/4SLBB</v>
      </c>
      <c r="I980" s="7">
        <v>3.5</v>
      </c>
      <c r="J980" s="5" t="s">
        <v>5</v>
      </c>
      <c r="K980" s="6" t="s">
        <v>5</v>
      </c>
      <c r="L980" s="6" t="s">
        <v>5</v>
      </c>
      <c r="M980" s="6" t="s">
        <v>5</v>
      </c>
      <c r="N980" s="6" t="s">
        <v>5</v>
      </c>
      <c r="O980" s="5" t="s">
        <v>5</v>
      </c>
      <c r="P980" s="5" t="s">
        <v>5</v>
      </c>
      <c r="Q980" s="7">
        <v>5</v>
      </c>
      <c r="R980" s="6" t="s">
        <v>5</v>
      </c>
      <c r="S980" s="6" t="s">
        <v>5</v>
      </c>
      <c r="T980" s="5" t="s">
        <v>5</v>
      </c>
      <c r="U980" s="8" t="s">
        <v>5</v>
      </c>
      <c r="V980" s="6" t="s">
        <v>5</v>
      </c>
      <c r="W980" s="8" t="s">
        <v>5</v>
      </c>
      <c r="X980" s="22">
        <v>0.313</v>
      </c>
      <c r="Y980" s="6" t="s">
        <v>5</v>
      </c>
      <c r="Z980" s="6" t="s">
        <v>5</v>
      </c>
      <c r="AA980" s="6" t="s">
        <v>5</v>
      </c>
      <c r="AB980" s="8" t="s">
        <v>5</v>
      </c>
      <c r="AC980" s="8" t="s">
        <v>5</v>
      </c>
      <c r="AD980" s="6" t="s">
        <v>5</v>
      </c>
      <c r="AE980" s="22">
        <v>0.82899999999999996</v>
      </c>
      <c r="AF980" s="6" t="s">
        <v>5</v>
      </c>
      <c r="AG980" s="6" t="s">
        <v>5</v>
      </c>
      <c r="AH980" s="22">
        <v>0.25600000000000001</v>
      </c>
      <c r="AI980" s="6" t="s">
        <v>5</v>
      </c>
      <c r="AJ980" s="4">
        <v>16</v>
      </c>
      <c r="AK980" s="6" t="s">
        <v>5</v>
      </c>
      <c r="AL980" s="6" t="s">
        <v>5</v>
      </c>
      <c r="AM980" s="6" t="s">
        <v>5</v>
      </c>
      <c r="AN980" s="6" t="s">
        <v>5</v>
      </c>
      <c r="AO980" s="7">
        <v>5.38</v>
      </c>
      <c r="AP980" s="7">
        <v>3.55</v>
      </c>
      <c r="AQ980" s="7">
        <v>2.0099999999999998</v>
      </c>
      <c r="AR980" s="7">
        <v>1.02</v>
      </c>
      <c r="AS980" s="6">
        <v>32.5</v>
      </c>
      <c r="AT980" s="6">
        <v>9.9600000000000009</v>
      </c>
      <c r="AU980" s="6">
        <v>6.05</v>
      </c>
      <c r="AV980" s="7">
        <v>2.52</v>
      </c>
      <c r="AW980" s="6" t="s">
        <v>5</v>
      </c>
      <c r="AX980" s="6" t="s">
        <v>5</v>
      </c>
      <c r="AY980" s="6" t="s">
        <v>5</v>
      </c>
      <c r="AZ980" s="6" t="s">
        <v>5</v>
      </c>
      <c r="BA980" s="6" t="s">
        <v>5</v>
      </c>
      <c r="BB980" s="6" t="s">
        <v>5</v>
      </c>
      <c r="BC980" s="6" t="s">
        <v>5</v>
      </c>
      <c r="BD980" s="6" t="s">
        <v>5</v>
      </c>
      <c r="BE980" s="6" t="s">
        <v>5</v>
      </c>
      <c r="BF980" s="6" t="s">
        <v>5</v>
      </c>
      <c r="BG980" s="6" t="s">
        <v>5</v>
      </c>
      <c r="BH980" s="6" t="s">
        <v>5</v>
      </c>
      <c r="BI980" s="7">
        <v>2.81</v>
      </c>
      <c r="BJ980" s="22">
        <v>0.94199999999999995</v>
      </c>
      <c r="BK980" s="6" t="s">
        <v>5</v>
      </c>
      <c r="BL980" s="2" t="s">
        <v>5</v>
      </c>
      <c r="BM980" s="2" t="s">
        <v>5</v>
      </c>
      <c r="BN980" s="2" t="s">
        <v>5</v>
      </c>
      <c r="BO980" s="2" t="s">
        <v>5</v>
      </c>
      <c r="BP980" s="2" t="s">
        <v>5</v>
      </c>
      <c r="BQ980" s="2" t="s">
        <v>5</v>
      </c>
      <c r="BR980" s="2" t="s">
        <v>5</v>
      </c>
      <c r="BS980" s="2" t="s">
        <v>5</v>
      </c>
      <c r="BT980" s="2" t="s">
        <v>5</v>
      </c>
      <c r="BU980" s="2" t="s">
        <v>5</v>
      </c>
      <c r="BV980" s="2" t="s">
        <v>5</v>
      </c>
      <c r="BW980" s="2" t="s">
        <v>5</v>
      </c>
      <c r="BX980" s="2" t="s">
        <v>5</v>
      </c>
      <c r="BY980" s="25" t="s">
        <v>5</v>
      </c>
      <c r="BZ980" s="25" t="s">
        <v>5</v>
      </c>
      <c r="CA980" s="6" t="s">
        <v>5</v>
      </c>
      <c r="CB980" s="6" t="s">
        <v>5</v>
      </c>
      <c r="CC980" s="6" t="s">
        <v>5</v>
      </c>
      <c r="CD980" s="6" t="s">
        <v>5</v>
      </c>
      <c r="CE980" s="6" t="s">
        <v>5</v>
      </c>
      <c r="CF980" s="16" t="s">
        <v>5</v>
      </c>
      <c r="CG980" s="16" t="s">
        <v>5</v>
      </c>
      <c r="CH980" s="18" t="s">
        <v>5</v>
      </c>
    </row>
    <row r="981" spans="2:86">
      <c r="B981" s="78" t="s">
        <v>473</v>
      </c>
      <c r="C981" s="79" t="s">
        <v>1081</v>
      </c>
      <c r="D981" s="80" t="s">
        <v>1081</v>
      </c>
      <c r="E981" s="1" t="s">
        <v>4</v>
      </c>
      <c r="F981" s="4">
        <v>14</v>
      </c>
      <c r="G981" s="7">
        <v>4.1399999999999997</v>
      </c>
      <c r="H981" s="3" t="str">
        <f t="shared" si="34"/>
        <v>2L5X3-1/2X1/4SLBB</v>
      </c>
      <c r="I981" s="7">
        <v>3.5</v>
      </c>
      <c r="J981" s="5" t="s">
        <v>5</v>
      </c>
      <c r="K981" s="6" t="s">
        <v>5</v>
      </c>
      <c r="L981" s="6" t="s">
        <v>5</v>
      </c>
      <c r="M981" s="6" t="s">
        <v>5</v>
      </c>
      <c r="N981" s="6" t="s">
        <v>5</v>
      </c>
      <c r="O981" s="5" t="s">
        <v>5</v>
      </c>
      <c r="P981" s="5" t="s">
        <v>5</v>
      </c>
      <c r="Q981" s="7">
        <v>5</v>
      </c>
      <c r="R981" s="6" t="s">
        <v>5</v>
      </c>
      <c r="S981" s="6" t="s">
        <v>5</v>
      </c>
      <c r="T981" s="5" t="s">
        <v>5</v>
      </c>
      <c r="U981" s="8" t="s">
        <v>5</v>
      </c>
      <c r="V981" s="6" t="s">
        <v>5</v>
      </c>
      <c r="W981" s="8" t="s">
        <v>5</v>
      </c>
      <c r="X981" s="22">
        <v>0.25</v>
      </c>
      <c r="Y981" s="6" t="s">
        <v>5</v>
      </c>
      <c r="Z981" s="6" t="s">
        <v>5</v>
      </c>
      <c r="AA981" s="6" t="s">
        <v>5</v>
      </c>
      <c r="AB981" s="8" t="s">
        <v>5</v>
      </c>
      <c r="AC981" s="8" t="s">
        <v>5</v>
      </c>
      <c r="AD981" s="6" t="s">
        <v>5</v>
      </c>
      <c r="AE981" s="22">
        <v>0.80400000000000005</v>
      </c>
      <c r="AF981" s="6" t="s">
        <v>5</v>
      </c>
      <c r="AG981" s="6" t="s">
        <v>5</v>
      </c>
      <c r="AH981" s="22">
        <v>0.20699999999999999</v>
      </c>
      <c r="AI981" s="6" t="s">
        <v>5</v>
      </c>
      <c r="AJ981" s="4">
        <v>20</v>
      </c>
      <c r="AK981" s="6" t="s">
        <v>5</v>
      </c>
      <c r="AL981" s="6" t="s">
        <v>5</v>
      </c>
      <c r="AM981" s="6" t="s">
        <v>5</v>
      </c>
      <c r="AN981" s="6" t="s">
        <v>5</v>
      </c>
      <c r="AO981" s="7">
        <v>4.4000000000000004</v>
      </c>
      <c r="AP981" s="7">
        <v>2.85</v>
      </c>
      <c r="AQ981" s="7">
        <v>1.63</v>
      </c>
      <c r="AR981" s="7">
        <v>1.03</v>
      </c>
      <c r="AS981" s="6">
        <v>20.6</v>
      </c>
      <c r="AT981" s="6">
        <v>6.42</v>
      </c>
      <c r="AU981" s="6">
        <v>4.12</v>
      </c>
      <c r="AV981" s="7">
        <v>2.23</v>
      </c>
      <c r="AW981" s="6" t="s">
        <v>5</v>
      </c>
      <c r="AX981" s="6" t="s">
        <v>5</v>
      </c>
      <c r="AY981" s="6" t="s">
        <v>5</v>
      </c>
      <c r="AZ981" s="6" t="s">
        <v>5</v>
      </c>
      <c r="BA981" s="6" t="s">
        <v>5</v>
      </c>
      <c r="BB981" s="6" t="s">
        <v>5</v>
      </c>
      <c r="BC981" s="6" t="s">
        <v>5</v>
      </c>
      <c r="BD981" s="6" t="s">
        <v>5</v>
      </c>
      <c r="BE981" s="6" t="s">
        <v>5</v>
      </c>
      <c r="BF981" s="6" t="s">
        <v>5</v>
      </c>
      <c r="BG981" s="6" t="s">
        <v>5</v>
      </c>
      <c r="BH981" s="6" t="s">
        <v>5</v>
      </c>
      <c r="BI981" s="7">
        <v>2.5499999999999998</v>
      </c>
      <c r="BJ981" s="22">
        <v>0.92900000000000005</v>
      </c>
      <c r="BK981" s="6" t="s">
        <v>5</v>
      </c>
      <c r="BL981" s="2" t="s">
        <v>5</v>
      </c>
      <c r="BM981" s="2" t="s">
        <v>5</v>
      </c>
      <c r="BN981" s="2" t="s">
        <v>5</v>
      </c>
      <c r="BO981" s="2" t="s">
        <v>5</v>
      </c>
      <c r="BP981" s="2" t="s">
        <v>5</v>
      </c>
      <c r="BQ981" s="2" t="s">
        <v>5</v>
      </c>
      <c r="BR981" s="2" t="s">
        <v>5</v>
      </c>
      <c r="BS981" s="2" t="s">
        <v>5</v>
      </c>
      <c r="BT981" s="2" t="s">
        <v>5</v>
      </c>
      <c r="BU981" s="2" t="s">
        <v>5</v>
      </c>
      <c r="BV981" s="2" t="s">
        <v>5</v>
      </c>
      <c r="BW981" s="2" t="s">
        <v>5</v>
      </c>
      <c r="BX981" s="2" t="s">
        <v>5</v>
      </c>
      <c r="BY981" s="25" t="s">
        <v>5</v>
      </c>
      <c r="BZ981" s="25" t="s">
        <v>5</v>
      </c>
      <c r="CA981" s="6" t="s">
        <v>5</v>
      </c>
      <c r="CB981" s="6" t="s">
        <v>5</v>
      </c>
      <c r="CC981" s="6" t="s">
        <v>5</v>
      </c>
      <c r="CD981" s="6" t="s">
        <v>5</v>
      </c>
      <c r="CE981" s="6" t="s">
        <v>5</v>
      </c>
      <c r="CF981" s="16" t="s">
        <v>5</v>
      </c>
      <c r="CG981" s="16" t="s">
        <v>5</v>
      </c>
      <c r="CH981" s="18" t="s">
        <v>5</v>
      </c>
    </row>
    <row r="982" spans="2:86">
      <c r="B982" s="78" t="s">
        <v>473</v>
      </c>
      <c r="C982" s="79" t="s">
        <v>1082</v>
      </c>
      <c r="D982" s="80" t="s">
        <v>1082</v>
      </c>
      <c r="E982" s="1" t="s">
        <v>4</v>
      </c>
      <c r="F982" s="4">
        <v>14</v>
      </c>
      <c r="G982" s="7">
        <v>4.1399999999999997</v>
      </c>
      <c r="H982" s="3" t="str">
        <f t="shared" si="34"/>
        <v>2L5X3-1/2X1/4X3/8SLBB</v>
      </c>
      <c r="I982" s="7">
        <v>3.5</v>
      </c>
      <c r="J982" s="5" t="s">
        <v>5</v>
      </c>
      <c r="K982" s="6" t="s">
        <v>5</v>
      </c>
      <c r="L982" s="6" t="s">
        <v>5</v>
      </c>
      <c r="M982" s="6" t="s">
        <v>5</v>
      </c>
      <c r="N982" s="6" t="s">
        <v>5</v>
      </c>
      <c r="O982" s="5" t="s">
        <v>5</v>
      </c>
      <c r="P982" s="5" t="s">
        <v>5</v>
      </c>
      <c r="Q982" s="7">
        <v>5</v>
      </c>
      <c r="R982" s="6" t="s">
        <v>5</v>
      </c>
      <c r="S982" s="6" t="s">
        <v>5</v>
      </c>
      <c r="T982" s="5" t="s">
        <v>5</v>
      </c>
      <c r="U982" s="8" t="s">
        <v>5</v>
      </c>
      <c r="V982" s="6" t="s">
        <v>5</v>
      </c>
      <c r="W982" s="8" t="s">
        <v>5</v>
      </c>
      <c r="X982" s="22">
        <v>0.25</v>
      </c>
      <c r="Y982" s="6" t="s">
        <v>5</v>
      </c>
      <c r="Z982" s="6" t="s">
        <v>5</v>
      </c>
      <c r="AA982" s="6" t="s">
        <v>5</v>
      </c>
      <c r="AB982" s="8" t="s">
        <v>5</v>
      </c>
      <c r="AC982" s="8" t="s">
        <v>5</v>
      </c>
      <c r="AD982" s="6" t="s">
        <v>5</v>
      </c>
      <c r="AE982" s="22">
        <v>0.80400000000000005</v>
      </c>
      <c r="AF982" s="6" t="s">
        <v>5</v>
      </c>
      <c r="AG982" s="6" t="s">
        <v>5</v>
      </c>
      <c r="AH982" s="22">
        <v>0.20699999999999999</v>
      </c>
      <c r="AI982" s="6" t="s">
        <v>5</v>
      </c>
      <c r="AJ982" s="4">
        <v>20</v>
      </c>
      <c r="AK982" s="6" t="s">
        <v>5</v>
      </c>
      <c r="AL982" s="6" t="s">
        <v>5</v>
      </c>
      <c r="AM982" s="6" t="s">
        <v>5</v>
      </c>
      <c r="AN982" s="6" t="s">
        <v>5</v>
      </c>
      <c r="AO982" s="7">
        <v>4.4000000000000004</v>
      </c>
      <c r="AP982" s="7">
        <v>2.85</v>
      </c>
      <c r="AQ982" s="7">
        <v>1.63</v>
      </c>
      <c r="AR982" s="7">
        <v>1.03</v>
      </c>
      <c r="AS982" s="6">
        <v>23.3</v>
      </c>
      <c r="AT982" s="6">
        <v>7.19</v>
      </c>
      <c r="AU982" s="6">
        <v>4.49</v>
      </c>
      <c r="AV982" s="7">
        <v>2.37</v>
      </c>
      <c r="AW982" s="6" t="s">
        <v>5</v>
      </c>
      <c r="AX982" s="6" t="s">
        <v>5</v>
      </c>
      <c r="AY982" s="6" t="s">
        <v>5</v>
      </c>
      <c r="AZ982" s="6" t="s">
        <v>5</v>
      </c>
      <c r="BA982" s="6" t="s">
        <v>5</v>
      </c>
      <c r="BB982" s="6" t="s">
        <v>5</v>
      </c>
      <c r="BC982" s="6" t="s">
        <v>5</v>
      </c>
      <c r="BD982" s="6" t="s">
        <v>5</v>
      </c>
      <c r="BE982" s="6" t="s">
        <v>5</v>
      </c>
      <c r="BF982" s="6" t="s">
        <v>5</v>
      </c>
      <c r="BG982" s="6" t="s">
        <v>5</v>
      </c>
      <c r="BH982" s="6" t="s">
        <v>5</v>
      </c>
      <c r="BI982" s="7">
        <v>2.67</v>
      </c>
      <c r="BJ982" s="22">
        <v>0.93500000000000005</v>
      </c>
      <c r="BK982" s="6" t="s">
        <v>5</v>
      </c>
      <c r="BL982" s="2" t="s">
        <v>5</v>
      </c>
      <c r="BM982" s="2" t="s">
        <v>5</v>
      </c>
      <c r="BN982" s="2" t="s">
        <v>5</v>
      </c>
      <c r="BO982" s="2" t="s">
        <v>5</v>
      </c>
      <c r="BP982" s="2" t="s">
        <v>5</v>
      </c>
      <c r="BQ982" s="2" t="s">
        <v>5</v>
      </c>
      <c r="BR982" s="2" t="s">
        <v>5</v>
      </c>
      <c r="BS982" s="2" t="s">
        <v>5</v>
      </c>
      <c r="BT982" s="2" t="s">
        <v>5</v>
      </c>
      <c r="BU982" s="2" t="s">
        <v>5</v>
      </c>
      <c r="BV982" s="2" t="s">
        <v>5</v>
      </c>
      <c r="BW982" s="2" t="s">
        <v>5</v>
      </c>
      <c r="BX982" s="2" t="s">
        <v>5</v>
      </c>
      <c r="BY982" s="25" t="s">
        <v>5</v>
      </c>
      <c r="BZ982" s="25" t="s">
        <v>5</v>
      </c>
      <c r="CA982" s="6" t="s">
        <v>5</v>
      </c>
      <c r="CB982" s="6" t="s">
        <v>5</v>
      </c>
      <c r="CC982" s="6" t="s">
        <v>5</v>
      </c>
      <c r="CD982" s="6" t="s">
        <v>5</v>
      </c>
      <c r="CE982" s="6" t="s">
        <v>5</v>
      </c>
      <c r="CF982" s="16" t="s">
        <v>5</v>
      </c>
      <c r="CG982" s="16" t="s">
        <v>5</v>
      </c>
      <c r="CH982" s="18" t="s">
        <v>5</v>
      </c>
    </row>
    <row r="983" spans="2:86">
      <c r="B983" s="78" t="s">
        <v>473</v>
      </c>
      <c r="C983" s="79" t="s">
        <v>1083</v>
      </c>
      <c r="D983" s="80" t="s">
        <v>1083</v>
      </c>
      <c r="E983" s="1" t="s">
        <v>4</v>
      </c>
      <c r="F983" s="4">
        <v>14</v>
      </c>
      <c r="G983" s="7">
        <v>4.1399999999999997</v>
      </c>
      <c r="H983" s="3" t="str">
        <f t="shared" si="34"/>
        <v>2L5X3-1/2X1/4X3/4SLBB</v>
      </c>
      <c r="I983" s="7">
        <v>3.5</v>
      </c>
      <c r="J983" s="5" t="s">
        <v>5</v>
      </c>
      <c r="K983" s="6" t="s">
        <v>5</v>
      </c>
      <c r="L983" s="6" t="s">
        <v>5</v>
      </c>
      <c r="M983" s="6" t="s">
        <v>5</v>
      </c>
      <c r="N983" s="6" t="s">
        <v>5</v>
      </c>
      <c r="O983" s="5" t="s">
        <v>5</v>
      </c>
      <c r="P983" s="5" t="s">
        <v>5</v>
      </c>
      <c r="Q983" s="7">
        <v>5</v>
      </c>
      <c r="R983" s="6" t="s">
        <v>5</v>
      </c>
      <c r="S983" s="6" t="s">
        <v>5</v>
      </c>
      <c r="T983" s="5" t="s">
        <v>5</v>
      </c>
      <c r="U983" s="8" t="s">
        <v>5</v>
      </c>
      <c r="V983" s="6" t="s">
        <v>5</v>
      </c>
      <c r="W983" s="8" t="s">
        <v>5</v>
      </c>
      <c r="X983" s="22">
        <v>0.25</v>
      </c>
      <c r="Y983" s="6" t="s">
        <v>5</v>
      </c>
      <c r="Z983" s="6" t="s">
        <v>5</v>
      </c>
      <c r="AA983" s="6" t="s">
        <v>5</v>
      </c>
      <c r="AB983" s="8" t="s">
        <v>5</v>
      </c>
      <c r="AC983" s="8" t="s">
        <v>5</v>
      </c>
      <c r="AD983" s="6" t="s">
        <v>5</v>
      </c>
      <c r="AE983" s="22">
        <v>0.80400000000000005</v>
      </c>
      <c r="AF983" s="6" t="s">
        <v>5</v>
      </c>
      <c r="AG983" s="6" t="s">
        <v>5</v>
      </c>
      <c r="AH983" s="22">
        <v>0.20699999999999999</v>
      </c>
      <c r="AI983" s="6" t="s">
        <v>5</v>
      </c>
      <c r="AJ983" s="4">
        <v>20</v>
      </c>
      <c r="AK983" s="6" t="s">
        <v>5</v>
      </c>
      <c r="AL983" s="6" t="s">
        <v>5</v>
      </c>
      <c r="AM983" s="6" t="s">
        <v>5</v>
      </c>
      <c r="AN983" s="6" t="s">
        <v>5</v>
      </c>
      <c r="AO983" s="7">
        <v>4.4000000000000004</v>
      </c>
      <c r="AP983" s="7">
        <v>2.85</v>
      </c>
      <c r="AQ983" s="7">
        <v>1.63</v>
      </c>
      <c r="AR983" s="7">
        <v>1.03</v>
      </c>
      <c r="AS983" s="6">
        <v>26.1</v>
      </c>
      <c r="AT983" s="6">
        <v>7.97</v>
      </c>
      <c r="AU983" s="6">
        <v>4.8600000000000003</v>
      </c>
      <c r="AV983" s="7">
        <v>2.5099999999999998</v>
      </c>
      <c r="AW983" s="6" t="s">
        <v>5</v>
      </c>
      <c r="AX983" s="6" t="s">
        <v>5</v>
      </c>
      <c r="AY983" s="6" t="s">
        <v>5</v>
      </c>
      <c r="AZ983" s="6" t="s">
        <v>5</v>
      </c>
      <c r="BA983" s="6" t="s">
        <v>5</v>
      </c>
      <c r="BB983" s="6" t="s">
        <v>5</v>
      </c>
      <c r="BC983" s="6" t="s">
        <v>5</v>
      </c>
      <c r="BD983" s="6" t="s">
        <v>5</v>
      </c>
      <c r="BE983" s="6" t="s">
        <v>5</v>
      </c>
      <c r="BF983" s="6" t="s">
        <v>5</v>
      </c>
      <c r="BG983" s="6" t="s">
        <v>5</v>
      </c>
      <c r="BH983" s="6" t="s">
        <v>5</v>
      </c>
      <c r="BI983" s="7">
        <v>2.8</v>
      </c>
      <c r="BJ983" s="22">
        <v>0.94099999999999995</v>
      </c>
      <c r="BK983" s="6" t="s">
        <v>5</v>
      </c>
      <c r="BL983" s="2" t="s">
        <v>5</v>
      </c>
      <c r="BM983" s="2" t="s">
        <v>5</v>
      </c>
      <c r="BN983" s="2" t="s">
        <v>5</v>
      </c>
      <c r="BO983" s="2" t="s">
        <v>5</v>
      </c>
      <c r="BP983" s="2" t="s">
        <v>5</v>
      </c>
      <c r="BQ983" s="2" t="s">
        <v>5</v>
      </c>
      <c r="BR983" s="2" t="s">
        <v>5</v>
      </c>
      <c r="BS983" s="2" t="s">
        <v>5</v>
      </c>
      <c r="BT983" s="2" t="s">
        <v>5</v>
      </c>
      <c r="BU983" s="2" t="s">
        <v>5</v>
      </c>
      <c r="BV983" s="2" t="s">
        <v>5</v>
      </c>
      <c r="BW983" s="2" t="s">
        <v>5</v>
      </c>
      <c r="BX983" s="2" t="s">
        <v>5</v>
      </c>
      <c r="BY983" s="25" t="s">
        <v>5</v>
      </c>
      <c r="BZ983" s="25" t="s">
        <v>5</v>
      </c>
      <c r="CA983" s="6" t="s">
        <v>5</v>
      </c>
      <c r="CB983" s="6" t="s">
        <v>5</v>
      </c>
      <c r="CC983" s="6" t="s">
        <v>5</v>
      </c>
      <c r="CD983" s="6" t="s">
        <v>5</v>
      </c>
      <c r="CE983" s="6" t="s">
        <v>5</v>
      </c>
      <c r="CF983" s="16" t="s">
        <v>5</v>
      </c>
      <c r="CG983" s="16" t="s">
        <v>5</v>
      </c>
      <c r="CH983" s="18" t="s">
        <v>5</v>
      </c>
    </row>
    <row r="984" spans="2:86">
      <c r="B984" s="78" t="s">
        <v>473</v>
      </c>
      <c r="C984" s="79" t="s">
        <v>1084</v>
      </c>
      <c r="D984" s="80" t="s">
        <v>1084</v>
      </c>
      <c r="E984" s="1" t="s">
        <v>4</v>
      </c>
      <c r="F984" s="4">
        <v>25.6</v>
      </c>
      <c r="G984" s="7">
        <v>7.5</v>
      </c>
      <c r="H984" s="3" t="str">
        <f t="shared" si="34"/>
        <v>2L5X3X1/2SLBB</v>
      </c>
      <c r="I984" s="7">
        <v>3</v>
      </c>
      <c r="J984" s="5" t="s">
        <v>5</v>
      </c>
      <c r="K984" s="6" t="s">
        <v>5</v>
      </c>
      <c r="L984" s="6" t="s">
        <v>5</v>
      </c>
      <c r="M984" s="6" t="s">
        <v>5</v>
      </c>
      <c r="N984" s="6" t="s">
        <v>5</v>
      </c>
      <c r="O984" s="5" t="s">
        <v>5</v>
      </c>
      <c r="P984" s="5" t="s">
        <v>5</v>
      </c>
      <c r="Q984" s="7">
        <v>5</v>
      </c>
      <c r="R984" s="6" t="s">
        <v>5</v>
      </c>
      <c r="S984" s="6" t="s">
        <v>5</v>
      </c>
      <c r="T984" s="5" t="s">
        <v>5</v>
      </c>
      <c r="U984" s="8" t="s">
        <v>5</v>
      </c>
      <c r="V984" s="6" t="s">
        <v>5</v>
      </c>
      <c r="W984" s="8" t="s">
        <v>5</v>
      </c>
      <c r="X984" s="22">
        <v>0.5</v>
      </c>
      <c r="Y984" s="6" t="s">
        <v>5</v>
      </c>
      <c r="Z984" s="6" t="s">
        <v>5</v>
      </c>
      <c r="AA984" s="6" t="s">
        <v>5</v>
      </c>
      <c r="AB984" s="8" t="s">
        <v>5</v>
      </c>
      <c r="AC984" s="8" t="s">
        <v>5</v>
      </c>
      <c r="AD984" s="6" t="s">
        <v>5</v>
      </c>
      <c r="AE984" s="22">
        <v>0.746</v>
      </c>
      <c r="AF984" s="6" t="s">
        <v>5</v>
      </c>
      <c r="AG984" s="6" t="s">
        <v>5</v>
      </c>
      <c r="AH984" s="22">
        <v>0.375</v>
      </c>
      <c r="AI984" s="6" t="s">
        <v>5</v>
      </c>
      <c r="AJ984" s="4">
        <v>10</v>
      </c>
      <c r="AK984" s="6" t="s">
        <v>5</v>
      </c>
      <c r="AL984" s="6" t="s">
        <v>5</v>
      </c>
      <c r="AM984" s="6" t="s">
        <v>5</v>
      </c>
      <c r="AN984" s="6" t="s">
        <v>5</v>
      </c>
      <c r="AO984" s="7">
        <v>5.0999999999999996</v>
      </c>
      <c r="AP984" s="7">
        <v>4.1500000000000004</v>
      </c>
      <c r="AQ984" s="7">
        <v>2.2599999999999998</v>
      </c>
      <c r="AR984" s="22">
        <v>0.82400000000000007</v>
      </c>
      <c r="AS984" s="6">
        <v>41.4</v>
      </c>
      <c r="AT984" s="4">
        <v>13</v>
      </c>
      <c r="AU984" s="6">
        <v>8.2799999999999994</v>
      </c>
      <c r="AV984" s="7">
        <v>2.35</v>
      </c>
      <c r="AW984" s="6" t="s">
        <v>5</v>
      </c>
      <c r="AX984" s="6" t="s">
        <v>5</v>
      </c>
      <c r="AY984" s="6" t="s">
        <v>5</v>
      </c>
      <c r="AZ984" s="6" t="s">
        <v>5</v>
      </c>
      <c r="BA984" s="6" t="s">
        <v>5</v>
      </c>
      <c r="BB984" s="6" t="s">
        <v>5</v>
      </c>
      <c r="BC984" s="6" t="s">
        <v>5</v>
      </c>
      <c r="BD984" s="6" t="s">
        <v>5</v>
      </c>
      <c r="BE984" s="6" t="s">
        <v>5</v>
      </c>
      <c r="BF984" s="6" t="s">
        <v>5</v>
      </c>
      <c r="BG984" s="6" t="s">
        <v>5</v>
      </c>
      <c r="BH984" s="6" t="s">
        <v>5</v>
      </c>
      <c r="BI984" s="7">
        <v>2.54</v>
      </c>
      <c r="BJ984" s="22">
        <v>0.96199999999999997</v>
      </c>
      <c r="BK984" s="6" t="s">
        <v>5</v>
      </c>
      <c r="BL984" s="2" t="s">
        <v>5</v>
      </c>
      <c r="BM984" s="2" t="s">
        <v>5</v>
      </c>
      <c r="BN984" s="2" t="s">
        <v>5</v>
      </c>
      <c r="BO984" s="2" t="s">
        <v>5</v>
      </c>
      <c r="BP984" s="2" t="s">
        <v>5</v>
      </c>
      <c r="BQ984" s="2" t="s">
        <v>5</v>
      </c>
      <c r="BR984" s="2" t="s">
        <v>5</v>
      </c>
      <c r="BS984" s="2" t="s">
        <v>5</v>
      </c>
      <c r="BT984" s="2" t="s">
        <v>5</v>
      </c>
      <c r="BU984" s="2" t="s">
        <v>5</v>
      </c>
      <c r="BV984" s="2" t="s">
        <v>5</v>
      </c>
      <c r="BW984" s="2" t="s">
        <v>5</v>
      </c>
      <c r="BX984" s="2" t="s">
        <v>5</v>
      </c>
      <c r="BY984" s="25" t="s">
        <v>5</v>
      </c>
      <c r="BZ984" s="25" t="s">
        <v>5</v>
      </c>
      <c r="CA984" s="6" t="s">
        <v>5</v>
      </c>
      <c r="CB984" s="6" t="s">
        <v>5</v>
      </c>
      <c r="CC984" s="6" t="s">
        <v>5</v>
      </c>
      <c r="CD984" s="6" t="s">
        <v>5</v>
      </c>
      <c r="CE984" s="6" t="s">
        <v>5</v>
      </c>
      <c r="CF984" s="16" t="s">
        <v>5</v>
      </c>
      <c r="CG984" s="16" t="s">
        <v>5</v>
      </c>
      <c r="CH984" s="18" t="s">
        <v>5</v>
      </c>
    </row>
    <row r="985" spans="2:86">
      <c r="B985" s="78" t="s">
        <v>473</v>
      </c>
      <c r="C985" s="79" t="s">
        <v>1085</v>
      </c>
      <c r="D985" s="80" t="s">
        <v>1085</v>
      </c>
      <c r="E985" s="1" t="s">
        <v>4</v>
      </c>
      <c r="F985" s="4">
        <v>25.6</v>
      </c>
      <c r="G985" s="7">
        <v>7.5</v>
      </c>
      <c r="H985" s="3" t="str">
        <f t="shared" si="34"/>
        <v>2L5X3X1/2X3/8SLBB</v>
      </c>
      <c r="I985" s="7">
        <v>3</v>
      </c>
      <c r="J985" s="5" t="s">
        <v>5</v>
      </c>
      <c r="K985" s="6" t="s">
        <v>5</v>
      </c>
      <c r="L985" s="6" t="s">
        <v>5</v>
      </c>
      <c r="M985" s="6" t="s">
        <v>5</v>
      </c>
      <c r="N985" s="6" t="s">
        <v>5</v>
      </c>
      <c r="O985" s="5" t="s">
        <v>5</v>
      </c>
      <c r="P985" s="5" t="s">
        <v>5</v>
      </c>
      <c r="Q985" s="7">
        <v>5</v>
      </c>
      <c r="R985" s="6" t="s">
        <v>5</v>
      </c>
      <c r="S985" s="6" t="s">
        <v>5</v>
      </c>
      <c r="T985" s="5" t="s">
        <v>5</v>
      </c>
      <c r="U985" s="8" t="s">
        <v>5</v>
      </c>
      <c r="V985" s="6" t="s">
        <v>5</v>
      </c>
      <c r="W985" s="8" t="s">
        <v>5</v>
      </c>
      <c r="X985" s="22">
        <v>0.5</v>
      </c>
      <c r="Y985" s="6" t="s">
        <v>5</v>
      </c>
      <c r="Z985" s="6" t="s">
        <v>5</v>
      </c>
      <c r="AA985" s="6" t="s">
        <v>5</v>
      </c>
      <c r="AB985" s="8" t="s">
        <v>5</v>
      </c>
      <c r="AC985" s="8" t="s">
        <v>5</v>
      </c>
      <c r="AD985" s="6" t="s">
        <v>5</v>
      </c>
      <c r="AE985" s="22">
        <v>0.746</v>
      </c>
      <c r="AF985" s="6" t="s">
        <v>5</v>
      </c>
      <c r="AG985" s="6" t="s">
        <v>5</v>
      </c>
      <c r="AH985" s="22">
        <v>0.375</v>
      </c>
      <c r="AI985" s="6" t="s">
        <v>5</v>
      </c>
      <c r="AJ985" s="4">
        <v>10</v>
      </c>
      <c r="AK985" s="6" t="s">
        <v>5</v>
      </c>
      <c r="AL985" s="6" t="s">
        <v>5</v>
      </c>
      <c r="AM985" s="6" t="s">
        <v>5</v>
      </c>
      <c r="AN985" s="6" t="s">
        <v>5</v>
      </c>
      <c r="AO985" s="7">
        <v>5.0999999999999996</v>
      </c>
      <c r="AP985" s="7">
        <v>4.1500000000000004</v>
      </c>
      <c r="AQ985" s="7">
        <v>2.2599999999999998</v>
      </c>
      <c r="AR985" s="22">
        <v>0.82400000000000007</v>
      </c>
      <c r="AS985" s="6">
        <v>46.9</v>
      </c>
      <c r="AT985" s="6">
        <v>14.5</v>
      </c>
      <c r="AU985" s="6">
        <v>9.0399999999999991</v>
      </c>
      <c r="AV985" s="7">
        <v>2.5</v>
      </c>
      <c r="AW985" s="6" t="s">
        <v>5</v>
      </c>
      <c r="AX985" s="6" t="s">
        <v>5</v>
      </c>
      <c r="AY985" s="6" t="s">
        <v>5</v>
      </c>
      <c r="AZ985" s="6" t="s">
        <v>5</v>
      </c>
      <c r="BA985" s="6" t="s">
        <v>5</v>
      </c>
      <c r="BB985" s="6" t="s">
        <v>5</v>
      </c>
      <c r="BC985" s="6" t="s">
        <v>5</v>
      </c>
      <c r="BD985" s="6" t="s">
        <v>5</v>
      </c>
      <c r="BE985" s="6" t="s">
        <v>5</v>
      </c>
      <c r="BF985" s="6" t="s">
        <v>5</v>
      </c>
      <c r="BG985" s="6" t="s">
        <v>5</v>
      </c>
      <c r="BH985" s="6" t="s">
        <v>5</v>
      </c>
      <c r="BI985" s="7">
        <v>2.68</v>
      </c>
      <c r="BJ985" s="22">
        <v>0.96599999999999997</v>
      </c>
      <c r="BK985" s="6" t="s">
        <v>5</v>
      </c>
      <c r="BL985" s="2" t="s">
        <v>5</v>
      </c>
      <c r="BM985" s="2" t="s">
        <v>5</v>
      </c>
      <c r="BN985" s="2" t="s">
        <v>5</v>
      </c>
      <c r="BO985" s="2" t="s">
        <v>5</v>
      </c>
      <c r="BP985" s="2" t="s">
        <v>5</v>
      </c>
      <c r="BQ985" s="2" t="s">
        <v>5</v>
      </c>
      <c r="BR985" s="2" t="s">
        <v>5</v>
      </c>
      <c r="BS985" s="2" t="s">
        <v>5</v>
      </c>
      <c r="BT985" s="2" t="s">
        <v>5</v>
      </c>
      <c r="BU985" s="2" t="s">
        <v>5</v>
      </c>
      <c r="BV985" s="2" t="s">
        <v>5</v>
      </c>
      <c r="BW985" s="2" t="s">
        <v>5</v>
      </c>
      <c r="BX985" s="2" t="s">
        <v>5</v>
      </c>
      <c r="BY985" s="25" t="s">
        <v>5</v>
      </c>
      <c r="BZ985" s="25" t="s">
        <v>5</v>
      </c>
      <c r="CA985" s="6" t="s">
        <v>5</v>
      </c>
      <c r="CB985" s="6" t="s">
        <v>5</v>
      </c>
      <c r="CC985" s="6" t="s">
        <v>5</v>
      </c>
      <c r="CD985" s="6" t="s">
        <v>5</v>
      </c>
      <c r="CE985" s="6" t="s">
        <v>5</v>
      </c>
      <c r="CF985" s="16" t="s">
        <v>5</v>
      </c>
      <c r="CG985" s="16" t="s">
        <v>5</v>
      </c>
      <c r="CH985" s="18" t="s">
        <v>5</v>
      </c>
    </row>
    <row r="986" spans="2:86">
      <c r="B986" s="78" t="s">
        <v>473</v>
      </c>
      <c r="C986" s="79" t="s">
        <v>1086</v>
      </c>
      <c r="D986" s="80" t="s">
        <v>1086</v>
      </c>
      <c r="E986" s="1" t="s">
        <v>4</v>
      </c>
      <c r="F986" s="4">
        <v>25.6</v>
      </c>
      <c r="G986" s="7">
        <v>7.5</v>
      </c>
      <c r="H986" s="3" t="str">
        <f t="shared" si="34"/>
        <v>2L5X3X1/2X3/4SLBB</v>
      </c>
      <c r="I986" s="7">
        <v>3</v>
      </c>
      <c r="J986" s="5" t="s">
        <v>5</v>
      </c>
      <c r="K986" s="6" t="s">
        <v>5</v>
      </c>
      <c r="L986" s="6" t="s">
        <v>5</v>
      </c>
      <c r="M986" s="6" t="s">
        <v>5</v>
      </c>
      <c r="N986" s="6" t="s">
        <v>5</v>
      </c>
      <c r="O986" s="5" t="s">
        <v>5</v>
      </c>
      <c r="P986" s="5" t="s">
        <v>5</v>
      </c>
      <c r="Q986" s="7">
        <v>5</v>
      </c>
      <c r="R986" s="6" t="s">
        <v>5</v>
      </c>
      <c r="S986" s="6" t="s">
        <v>5</v>
      </c>
      <c r="T986" s="5" t="s">
        <v>5</v>
      </c>
      <c r="U986" s="8" t="s">
        <v>5</v>
      </c>
      <c r="V986" s="6" t="s">
        <v>5</v>
      </c>
      <c r="W986" s="8" t="s">
        <v>5</v>
      </c>
      <c r="X986" s="22">
        <v>0.5</v>
      </c>
      <c r="Y986" s="6" t="s">
        <v>5</v>
      </c>
      <c r="Z986" s="6" t="s">
        <v>5</v>
      </c>
      <c r="AA986" s="6" t="s">
        <v>5</v>
      </c>
      <c r="AB986" s="8" t="s">
        <v>5</v>
      </c>
      <c r="AC986" s="8" t="s">
        <v>5</v>
      </c>
      <c r="AD986" s="6" t="s">
        <v>5</v>
      </c>
      <c r="AE986" s="22">
        <v>0.746</v>
      </c>
      <c r="AF986" s="6" t="s">
        <v>5</v>
      </c>
      <c r="AG986" s="6" t="s">
        <v>5</v>
      </c>
      <c r="AH986" s="22">
        <v>0.375</v>
      </c>
      <c r="AI986" s="6" t="s">
        <v>5</v>
      </c>
      <c r="AJ986" s="4">
        <v>10</v>
      </c>
      <c r="AK986" s="6" t="s">
        <v>5</v>
      </c>
      <c r="AL986" s="6" t="s">
        <v>5</v>
      </c>
      <c r="AM986" s="6" t="s">
        <v>5</v>
      </c>
      <c r="AN986" s="6" t="s">
        <v>5</v>
      </c>
      <c r="AO986" s="7">
        <v>5.0999999999999996</v>
      </c>
      <c r="AP986" s="7">
        <v>4.1500000000000004</v>
      </c>
      <c r="AQ986" s="7">
        <v>2.2599999999999998</v>
      </c>
      <c r="AR986" s="22">
        <v>0.82400000000000007</v>
      </c>
      <c r="AS986" s="6">
        <v>52.3</v>
      </c>
      <c r="AT986" s="6">
        <v>15.9</v>
      </c>
      <c r="AU986" s="6">
        <v>9.73</v>
      </c>
      <c r="AV986" s="7">
        <v>2.64</v>
      </c>
      <c r="AW986" s="6" t="s">
        <v>5</v>
      </c>
      <c r="AX986" s="6" t="s">
        <v>5</v>
      </c>
      <c r="AY986" s="6" t="s">
        <v>5</v>
      </c>
      <c r="AZ986" s="6" t="s">
        <v>5</v>
      </c>
      <c r="BA986" s="6" t="s">
        <v>5</v>
      </c>
      <c r="BB986" s="6" t="s">
        <v>5</v>
      </c>
      <c r="BC986" s="6" t="s">
        <v>5</v>
      </c>
      <c r="BD986" s="6" t="s">
        <v>5</v>
      </c>
      <c r="BE986" s="6" t="s">
        <v>5</v>
      </c>
      <c r="BF986" s="6" t="s">
        <v>5</v>
      </c>
      <c r="BG986" s="6" t="s">
        <v>5</v>
      </c>
      <c r="BH986" s="6" t="s">
        <v>5</v>
      </c>
      <c r="BI986" s="7">
        <v>2.81</v>
      </c>
      <c r="BJ986" s="22">
        <v>0.96899999999999997</v>
      </c>
      <c r="BK986" s="6" t="s">
        <v>5</v>
      </c>
      <c r="BL986" s="2" t="s">
        <v>5</v>
      </c>
      <c r="BM986" s="2" t="s">
        <v>5</v>
      </c>
      <c r="BN986" s="2" t="s">
        <v>5</v>
      </c>
      <c r="BO986" s="2" t="s">
        <v>5</v>
      </c>
      <c r="BP986" s="2" t="s">
        <v>5</v>
      </c>
      <c r="BQ986" s="2" t="s">
        <v>5</v>
      </c>
      <c r="BR986" s="2" t="s">
        <v>5</v>
      </c>
      <c r="BS986" s="2" t="s">
        <v>5</v>
      </c>
      <c r="BT986" s="2" t="s">
        <v>5</v>
      </c>
      <c r="BU986" s="2" t="s">
        <v>5</v>
      </c>
      <c r="BV986" s="2" t="s">
        <v>5</v>
      </c>
      <c r="BW986" s="2" t="s">
        <v>5</v>
      </c>
      <c r="BX986" s="2" t="s">
        <v>5</v>
      </c>
      <c r="BY986" s="25" t="s">
        <v>5</v>
      </c>
      <c r="BZ986" s="25" t="s">
        <v>5</v>
      </c>
      <c r="CA986" s="6" t="s">
        <v>5</v>
      </c>
      <c r="CB986" s="6" t="s">
        <v>5</v>
      </c>
      <c r="CC986" s="6" t="s">
        <v>5</v>
      </c>
      <c r="CD986" s="6" t="s">
        <v>5</v>
      </c>
      <c r="CE986" s="6" t="s">
        <v>5</v>
      </c>
      <c r="CF986" s="16" t="s">
        <v>5</v>
      </c>
      <c r="CG986" s="16" t="s">
        <v>5</v>
      </c>
      <c r="CH986" s="18" t="s">
        <v>5</v>
      </c>
    </row>
    <row r="987" spans="2:86">
      <c r="B987" s="78" t="s">
        <v>473</v>
      </c>
      <c r="C987" s="79" t="s">
        <v>1087</v>
      </c>
      <c r="D987" s="80" t="s">
        <v>1087</v>
      </c>
      <c r="E987" s="1" t="s">
        <v>4</v>
      </c>
      <c r="F987" s="4">
        <v>22.6</v>
      </c>
      <c r="G987" s="7">
        <v>6.62</v>
      </c>
      <c r="H987" s="3" t="str">
        <f t="shared" si="34"/>
        <v>2L5X3X7/16SLBB</v>
      </c>
      <c r="I987" s="7">
        <v>3</v>
      </c>
      <c r="J987" s="5" t="s">
        <v>5</v>
      </c>
      <c r="K987" s="6" t="s">
        <v>5</v>
      </c>
      <c r="L987" s="6" t="s">
        <v>5</v>
      </c>
      <c r="M987" s="6" t="s">
        <v>5</v>
      </c>
      <c r="N987" s="6" t="s">
        <v>5</v>
      </c>
      <c r="O987" s="5" t="s">
        <v>5</v>
      </c>
      <c r="P987" s="5" t="s">
        <v>5</v>
      </c>
      <c r="Q987" s="7">
        <v>5</v>
      </c>
      <c r="R987" s="6" t="s">
        <v>5</v>
      </c>
      <c r="S987" s="6" t="s">
        <v>5</v>
      </c>
      <c r="T987" s="5" t="s">
        <v>5</v>
      </c>
      <c r="U987" s="8" t="s">
        <v>5</v>
      </c>
      <c r="V987" s="6" t="s">
        <v>5</v>
      </c>
      <c r="W987" s="8" t="s">
        <v>5</v>
      </c>
      <c r="X987" s="22">
        <v>0.438</v>
      </c>
      <c r="Y987" s="6" t="s">
        <v>5</v>
      </c>
      <c r="Z987" s="6" t="s">
        <v>5</v>
      </c>
      <c r="AA987" s="6" t="s">
        <v>5</v>
      </c>
      <c r="AB987" s="8" t="s">
        <v>5</v>
      </c>
      <c r="AC987" s="8" t="s">
        <v>5</v>
      </c>
      <c r="AD987" s="6" t="s">
        <v>5</v>
      </c>
      <c r="AE987" s="22">
        <v>0.72199999999999998</v>
      </c>
      <c r="AF987" s="6" t="s">
        <v>5</v>
      </c>
      <c r="AG987" s="6" t="s">
        <v>5</v>
      </c>
      <c r="AH987" s="22">
        <v>0.33100000000000002</v>
      </c>
      <c r="AI987" s="6" t="s">
        <v>5</v>
      </c>
      <c r="AJ987" s="4">
        <v>11.4</v>
      </c>
      <c r="AK987" s="6" t="s">
        <v>5</v>
      </c>
      <c r="AL987" s="6" t="s">
        <v>5</v>
      </c>
      <c r="AM987" s="6" t="s">
        <v>5</v>
      </c>
      <c r="AN987" s="6" t="s">
        <v>5</v>
      </c>
      <c r="AO987" s="7">
        <v>4.58</v>
      </c>
      <c r="AP987" s="7">
        <v>3.65</v>
      </c>
      <c r="AQ987" s="7">
        <v>2.0099999999999998</v>
      </c>
      <c r="AR987" s="22">
        <v>0.83100000000000007</v>
      </c>
      <c r="AS987" s="6">
        <v>36.200000000000003</v>
      </c>
      <c r="AT987" s="6">
        <v>11.4</v>
      </c>
      <c r="AU987" s="6">
        <v>7.24</v>
      </c>
      <c r="AV987" s="7">
        <v>2.34</v>
      </c>
      <c r="AW987" s="6" t="s">
        <v>5</v>
      </c>
      <c r="AX987" s="6" t="s">
        <v>5</v>
      </c>
      <c r="AY987" s="6" t="s">
        <v>5</v>
      </c>
      <c r="AZ987" s="6" t="s">
        <v>5</v>
      </c>
      <c r="BA987" s="6" t="s">
        <v>5</v>
      </c>
      <c r="BB987" s="6" t="s">
        <v>5</v>
      </c>
      <c r="BC987" s="6" t="s">
        <v>5</v>
      </c>
      <c r="BD987" s="6" t="s">
        <v>5</v>
      </c>
      <c r="BE987" s="6" t="s">
        <v>5</v>
      </c>
      <c r="BF987" s="6" t="s">
        <v>5</v>
      </c>
      <c r="BG987" s="6" t="s">
        <v>5</v>
      </c>
      <c r="BH987" s="6" t="s">
        <v>5</v>
      </c>
      <c r="BI987" s="7">
        <v>2.54</v>
      </c>
      <c r="BJ987" s="22">
        <v>0.96099999999999997</v>
      </c>
      <c r="BK987" s="6" t="s">
        <v>5</v>
      </c>
      <c r="BL987" s="2" t="s">
        <v>5</v>
      </c>
      <c r="BM987" s="2" t="s">
        <v>5</v>
      </c>
      <c r="BN987" s="2" t="s">
        <v>5</v>
      </c>
      <c r="BO987" s="2" t="s">
        <v>5</v>
      </c>
      <c r="BP987" s="2" t="s">
        <v>5</v>
      </c>
      <c r="BQ987" s="2" t="s">
        <v>5</v>
      </c>
      <c r="BR987" s="2" t="s">
        <v>5</v>
      </c>
      <c r="BS987" s="2" t="s">
        <v>5</v>
      </c>
      <c r="BT987" s="2" t="s">
        <v>5</v>
      </c>
      <c r="BU987" s="2" t="s">
        <v>5</v>
      </c>
      <c r="BV987" s="2" t="s">
        <v>5</v>
      </c>
      <c r="BW987" s="2" t="s">
        <v>5</v>
      </c>
      <c r="BX987" s="2" t="s">
        <v>5</v>
      </c>
      <c r="BY987" s="25" t="s">
        <v>5</v>
      </c>
      <c r="BZ987" s="25" t="s">
        <v>5</v>
      </c>
      <c r="CA987" s="6" t="s">
        <v>5</v>
      </c>
      <c r="CB987" s="6" t="s">
        <v>5</v>
      </c>
      <c r="CC987" s="6" t="s">
        <v>5</v>
      </c>
      <c r="CD987" s="6" t="s">
        <v>5</v>
      </c>
      <c r="CE987" s="6" t="s">
        <v>5</v>
      </c>
      <c r="CF987" s="16" t="s">
        <v>5</v>
      </c>
      <c r="CG987" s="16" t="s">
        <v>5</v>
      </c>
      <c r="CH987" s="18" t="s">
        <v>5</v>
      </c>
    </row>
    <row r="988" spans="2:86">
      <c r="B988" s="78" t="s">
        <v>473</v>
      </c>
      <c r="C988" s="79" t="s">
        <v>1088</v>
      </c>
      <c r="D988" s="80" t="s">
        <v>1088</v>
      </c>
      <c r="E988" s="1" t="s">
        <v>4</v>
      </c>
      <c r="F988" s="4">
        <v>22.6</v>
      </c>
      <c r="G988" s="7">
        <v>6.62</v>
      </c>
      <c r="H988" s="3" t="str">
        <f t="shared" si="34"/>
        <v>2L5X3X7/16X3/8SLBB</v>
      </c>
      <c r="I988" s="7">
        <v>3</v>
      </c>
      <c r="J988" s="5" t="s">
        <v>5</v>
      </c>
      <c r="K988" s="6" t="s">
        <v>5</v>
      </c>
      <c r="L988" s="6" t="s">
        <v>5</v>
      </c>
      <c r="M988" s="6" t="s">
        <v>5</v>
      </c>
      <c r="N988" s="6" t="s">
        <v>5</v>
      </c>
      <c r="O988" s="5" t="s">
        <v>5</v>
      </c>
      <c r="P988" s="5" t="s">
        <v>5</v>
      </c>
      <c r="Q988" s="7">
        <v>5</v>
      </c>
      <c r="R988" s="6" t="s">
        <v>5</v>
      </c>
      <c r="S988" s="6" t="s">
        <v>5</v>
      </c>
      <c r="T988" s="5" t="s">
        <v>5</v>
      </c>
      <c r="U988" s="8" t="s">
        <v>5</v>
      </c>
      <c r="V988" s="6" t="s">
        <v>5</v>
      </c>
      <c r="W988" s="8" t="s">
        <v>5</v>
      </c>
      <c r="X988" s="22">
        <v>0.438</v>
      </c>
      <c r="Y988" s="6" t="s">
        <v>5</v>
      </c>
      <c r="Z988" s="6" t="s">
        <v>5</v>
      </c>
      <c r="AA988" s="6" t="s">
        <v>5</v>
      </c>
      <c r="AB988" s="8" t="s">
        <v>5</v>
      </c>
      <c r="AC988" s="8" t="s">
        <v>5</v>
      </c>
      <c r="AD988" s="6" t="s">
        <v>5</v>
      </c>
      <c r="AE988" s="22">
        <v>0.72199999999999998</v>
      </c>
      <c r="AF988" s="6" t="s">
        <v>5</v>
      </c>
      <c r="AG988" s="6" t="s">
        <v>5</v>
      </c>
      <c r="AH988" s="22">
        <v>0.33100000000000002</v>
      </c>
      <c r="AI988" s="6" t="s">
        <v>5</v>
      </c>
      <c r="AJ988" s="4">
        <v>11.4</v>
      </c>
      <c r="AK988" s="6" t="s">
        <v>5</v>
      </c>
      <c r="AL988" s="6" t="s">
        <v>5</v>
      </c>
      <c r="AM988" s="6" t="s">
        <v>5</v>
      </c>
      <c r="AN988" s="6" t="s">
        <v>5</v>
      </c>
      <c r="AO988" s="7">
        <v>4.58</v>
      </c>
      <c r="AP988" s="7">
        <v>3.65</v>
      </c>
      <c r="AQ988" s="7">
        <v>2.0099999999999998</v>
      </c>
      <c r="AR988" s="22">
        <v>0.83100000000000007</v>
      </c>
      <c r="AS988" s="6">
        <v>40.700000000000003</v>
      </c>
      <c r="AT988" s="6">
        <v>12.6</v>
      </c>
      <c r="AU988" s="6">
        <v>7.85</v>
      </c>
      <c r="AV988" s="7">
        <v>2.48</v>
      </c>
      <c r="AW988" s="6" t="s">
        <v>5</v>
      </c>
      <c r="AX988" s="6" t="s">
        <v>5</v>
      </c>
      <c r="AY988" s="6" t="s">
        <v>5</v>
      </c>
      <c r="AZ988" s="6" t="s">
        <v>5</v>
      </c>
      <c r="BA988" s="6" t="s">
        <v>5</v>
      </c>
      <c r="BB988" s="6" t="s">
        <v>5</v>
      </c>
      <c r="BC988" s="6" t="s">
        <v>5</v>
      </c>
      <c r="BD988" s="6" t="s">
        <v>5</v>
      </c>
      <c r="BE988" s="6" t="s">
        <v>5</v>
      </c>
      <c r="BF988" s="6" t="s">
        <v>5</v>
      </c>
      <c r="BG988" s="6" t="s">
        <v>5</v>
      </c>
      <c r="BH988" s="6" t="s">
        <v>5</v>
      </c>
      <c r="BI988" s="7">
        <v>2.67</v>
      </c>
      <c r="BJ988" s="22">
        <v>0.96399999999999997</v>
      </c>
      <c r="BK988" s="6" t="s">
        <v>5</v>
      </c>
      <c r="BL988" s="2" t="s">
        <v>5</v>
      </c>
      <c r="BM988" s="2" t="s">
        <v>5</v>
      </c>
      <c r="BN988" s="2" t="s">
        <v>5</v>
      </c>
      <c r="BO988" s="2" t="s">
        <v>5</v>
      </c>
      <c r="BP988" s="2" t="s">
        <v>5</v>
      </c>
      <c r="BQ988" s="2" t="s">
        <v>5</v>
      </c>
      <c r="BR988" s="2" t="s">
        <v>5</v>
      </c>
      <c r="BS988" s="2" t="s">
        <v>5</v>
      </c>
      <c r="BT988" s="2" t="s">
        <v>5</v>
      </c>
      <c r="BU988" s="2" t="s">
        <v>5</v>
      </c>
      <c r="BV988" s="2" t="s">
        <v>5</v>
      </c>
      <c r="BW988" s="2" t="s">
        <v>5</v>
      </c>
      <c r="BX988" s="2" t="s">
        <v>5</v>
      </c>
      <c r="BY988" s="25" t="s">
        <v>5</v>
      </c>
      <c r="BZ988" s="25" t="s">
        <v>5</v>
      </c>
      <c r="CA988" s="6" t="s">
        <v>5</v>
      </c>
      <c r="CB988" s="6" t="s">
        <v>5</v>
      </c>
      <c r="CC988" s="6" t="s">
        <v>5</v>
      </c>
      <c r="CD988" s="6" t="s">
        <v>5</v>
      </c>
      <c r="CE988" s="6" t="s">
        <v>5</v>
      </c>
      <c r="CF988" s="16" t="s">
        <v>5</v>
      </c>
      <c r="CG988" s="16" t="s">
        <v>5</v>
      </c>
      <c r="CH988" s="18" t="s">
        <v>5</v>
      </c>
    </row>
    <row r="989" spans="2:86">
      <c r="B989" s="78" t="s">
        <v>473</v>
      </c>
      <c r="C989" s="79" t="s">
        <v>1089</v>
      </c>
      <c r="D989" s="80" t="s">
        <v>1089</v>
      </c>
      <c r="E989" s="1" t="s">
        <v>4</v>
      </c>
      <c r="F989" s="4">
        <v>22.6</v>
      </c>
      <c r="G989" s="7">
        <v>6.62</v>
      </c>
      <c r="H989" s="3" t="str">
        <f t="shared" si="34"/>
        <v>2L5X3X7/16X3/4SLBB</v>
      </c>
      <c r="I989" s="7">
        <v>3</v>
      </c>
      <c r="J989" s="5" t="s">
        <v>5</v>
      </c>
      <c r="K989" s="6" t="s">
        <v>5</v>
      </c>
      <c r="L989" s="6" t="s">
        <v>5</v>
      </c>
      <c r="M989" s="6" t="s">
        <v>5</v>
      </c>
      <c r="N989" s="6" t="s">
        <v>5</v>
      </c>
      <c r="O989" s="5" t="s">
        <v>5</v>
      </c>
      <c r="P989" s="5" t="s">
        <v>5</v>
      </c>
      <c r="Q989" s="7">
        <v>5</v>
      </c>
      <c r="R989" s="6" t="s">
        <v>5</v>
      </c>
      <c r="S989" s="6" t="s">
        <v>5</v>
      </c>
      <c r="T989" s="5" t="s">
        <v>5</v>
      </c>
      <c r="U989" s="8" t="s">
        <v>5</v>
      </c>
      <c r="V989" s="6" t="s">
        <v>5</v>
      </c>
      <c r="W989" s="8" t="s">
        <v>5</v>
      </c>
      <c r="X989" s="22">
        <v>0.438</v>
      </c>
      <c r="Y989" s="6" t="s">
        <v>5</v>
      </c>
      <c r="Z989" s="6" t="s">
        <v>5</v>
      </c>
      <c r="AA989" s="6" t="s">
        <v>5</v>
      </c>
      <c r="AB989" s="8" t="s">
        <v>5</v>
      </c>
      <c r="AC989" s="8" t="s">
        <v>5</v>
      </c>
      <c r="AD989" s="6" t="s">
        <v>5</v>
      </c>
      <c r="AE989" s="22">
        <v>0.72199999999999998</v>
      </c>
      <c r="AF989" s="6" t="s">
        <v>5</v>
      </c>
      <c r="AG989" s="6" t="s">
        <v>5</v>
      </c>
      <c r="AH989" s="22">
        <v>0.33100000000000002</v>
      </c>
      <c r="AI989" s="6" t="s">
        <v>5</v>
      </c>
      <c r="AJ989" s="4">
        <v>11.4</v>
      </c>
      <c r="AK989" s="6" t="s">
        <v>5</v>
      </c>
      <c r="AL989" s="6" t="s">
        <v>5</v>
      </c>
      <c r="AM989" s="6" t="s">
        <v>5</v>
      </c>
      <c r="AN989" s="6" t="s">
        <v>5</v>
      </c>
      <c r="AO989" s="7">
        <v>4.58</v>
      </c>
      <c r="AP989" s="7">
        <v>3.65</v>
      </c>
      <c r="AQ989" s="7">
        <v>2.0099999999999998</v>
      </c>
      <c r="AR989" s="22">
        <v>0.83100000000000007</v>
      </c>
      <c r="AS989" s="6">
        <v>45.8</v>
      </c>
      <c r="AT989" s="6">
        <v>13.9</v>
      </c>
      <c r="AU989" s="6">
        <v>8.52</v>
      </c>
      <c r="AV989" s="7">
        <v>2.63</v>
      </c>
      <c r="AW989" s="6" t="s">
        <v>5</v>
      </c>
      <c r="AX989" s="6" t="s">
        <v>5</v>
      </c>
      <c r="AY989" s="6" t="s">
        <v>5</v>
      </c>
      <c r="AZ989" s="6" t="s">
        <v>5</v>
      </c>
      <c r="BA989" s="6" t="s">
        <v>5</v>
      </c>
      <c r="BB989" s="6" t="s">
        <v>5</v>
      </c>
      <c r="BC989" s="6" t="s">
        <v>5</v>
      </c>
      <c r="BD989" s="6" t="s">
        <v>5</v>
      </c>
      <c r="BE989" s="6" t="s">
        <v>5</v>
      </c>
      <c r="BF989" s="6" t="s">
        <v>5</v>
      </c>
      <c r="BG989" s="6" t="s">
        <v>5</v>
      </c>
      <c r="BH989" s="6" t="s">
        <v>5</v>
      </c>
      <c r="BI989" s="7">
        <v>2.8</v>
      </c>
      <c r="BJ989" s="22">
        <v>0.96799999999999997</v>
      </c>
      <c r="BK989" s="6" t="s">
        <v>5</v>
      </c>
      <c r="BL989" s="2" t="s">
        <v>5</v>
      </c>
      <c r="BM989" s="2" t="s">
        <v>5</v>
      </c>
      <c r="BN989" s="2" t="s">
        <v>5</v>
      </c>
      <c r="BO989" s="2" t="s">
        <v>5</v>
      </c>
      <c r="BP989" s="2" t="s">
        <v>5</v>
      </c>
      <c r="BQ989" s="2" t="s">
        <v>5</v>
      </c>
      <c r="BR989" s="2" t="s">
        <v>5</v>
      </c>
      <c r="BS989" s="2" t="s">
        <v>5</v>
      </c>
      <c r="BT989" s="2" t="s">
        <v>5</v>
      </c>
      <c r="BU989" s="2" t="s">
        <v>5</v>
      </c>
      <c r="BV989" s="2" t="s">
        <v>5</v>
      </c>
      <c r="BW989" s="2" t="s">
        <v>5</v>
      </c>
      <c r="BX989" s="2" t="s">
        <v>5</v>
      </c>
      <c r="BY989" s="25" t="s">
        <v>5</v>
      </c>
      <c r="BZ989" s="25" t="s">
        <v>5</v>
      </c>
      <c r="CA989" s="6" t="s">
        <v>5</v>
      </c>
      <c r="CB989" s="6" t="s">
        <v>5</v>
      </c>
      <c r="CC989" s="6" t="s">
        <v>5</v>
      </c>
      <c r="CD989" s="6" t="s">
        <v>5</v>
      </c>
      <c r="CE989" s="6" t="s">
        <v>5</v>
      </c>
      <c r="CF989" s="16" t="s">
        <v>5</v>
      </c>
      <c r="CG989" s="16" t="s">
        <v>5</v>
      </c>
      <c r="CH989" s="18" t="s">
        <v>5</v>
      </c>
    </row>
    <row r="990" spans="2:86">
      <c r="B990" s="78" t="s">
        <v>473</v>
      </c>
      <c r="C990" s="79" t="s">
        <v>1090</v>
      </c>
      <c r="D990" s="80" t="s">
        <v>1090</v>
      </c>
      <c r="E990" s="1" t="s">
        <v>4</v>
      </c>
      <c r="F990" s="4">
        <v>19.600000000000001</v>
      </c>
      <c r="G990" s="7">
        <v>5.72</v>
      </c>
      <c r="H990" s="3" t="str">
        <f t="shared" si="34"/>
        <v>2L5X3X3/8SLBB</v>
      </c>
      <c r="I990" s="7">
        <v>3</v>
      </c>
      <c r="J990" s="5" t="s">
        <v>5</v>
      </c>
      <c r="K990" s="6" t="s">
        <v>5</v>
      </c>
      <c r="L990" s="6" t="s">
        <v>5</v>
      </c>
      <c r="M990" s="6" t="s">
        <v>5</v>
      </c>
      <c r="N990" s="6" t="s">
        <v>5</v>
      </c>
      <c r="O990" s="5" t="s">
        <v>5</v>
      </c>
      <c r="P990" s="5" t="s">
        <v>5</v>
      </c>
      <c r="Q990" s="7">
        <v>5</v>
      </c>
      <c r="R990" s="6" t="s">
        <v>5</v>
      </c>
      <c r="S990" s="6" t="s">
        <v>5</v>
      </c>
      <c r="T990" s="5" t="s">
        <v>5</v>
      </c>
      <c r="U990" s="8" t="s">
        <v>5</v>
      </c>
      <c r="V990" s="6" t="s">
        <v>5</v>
      </c>
      <c r="W990" s="8" t="s">
        <v>5</v>
      </c>
      <c r="X990" s="22">
        <v>0.375</v>
      </c>
      <c r="Y990" s="6" t="s">
        <v>5</v>
      </c>
      <c r="Z990" s="6" t="s">
        <v>5</v>
      </c>
      <c r="AA990" s="6" t="s">
        <v>5</v>
      </c>
      <c r="AB990" s="8" t="s">
        <v>5</v>
      </c>
      <c r="AC990" s="8" t="s">
        <v>5</v>
      </c>
      <c r="AD990" s="6" t="s">
        <v>5</v>
      </c>
      <c r="AE990" s="22">
        <v>0.69799999999999995</v>
      </c>
      <c r="AF990" s="6" t="s">
        <v>5</v>
      </c>
      <c r="AG990" s="6" t="s">
        <v>5</v>
      </c>
      <c r="AH990" s="22">
        <v>0.28599999999999998</v>
      </c>
      <c r="AI990" s="6" t="s">
        <v>5</v>
      </c>
      <c r="AJ990" s="4">
        <v>13.3</v>
      </c>
      <c r="AK990" s="6" t="s">
        <v>5</v>
      </c>
      <c r="AL990" s="6" t="s">
        <v>5</v>
      </c>
      <c r="AM990" s="6" t="s">
        <v>5</v>
      </c>
      <c r="AN990" s="6" t="s">
        <v>5</v>
      </c>
      <c r="AO990" s="7">
        <v>4.0199999999999996</v>
      </c>
      <c r="AP990" s="7">
        <v>3.14</v>
      </c>
      <c r="AQ990" s="7">
        <v>1.75</v>
      </c>
      <c r="AR990" s="22">
        <v>0.83799999999999997</v>
      </c>
      <c r="AS990" s="6">
        <v>31.1</v>
      </c>
      <c r="AT990" s="6">
        <v>9.67</v>
      </c>
      <c r="AU990" s="6">
        <v>6.22</v>
      </c>
      <c r="AV990" s="7">
        <v>2.33</v>
      </c>
      <c r="AW990" s="6" t="s">
        <v>5</v>
      </c>
      <c r="AX990" s="6" t="s">
        <v>5</v>
      </c>
      <c r="AY990" s="6" t="s">
        <v>5</v>
      </c>
      <c r="AZ990" s="6" t="s">
        <v>5</v>
      </c>
      <c r="BA990" s="6" t="s">
        <v>5</v>
      </c>
      <c r="BB990" s="6" t="s">
        <v>5</v>
      </c>
      <c r="BC990" s="6" t="s">
        <v>5</v>
      </c>
      <c r="BD990" s="6" t="s">
        <v>5</v>
      </c>
      <c r="BE990" s="6" t="s">
        <v>5</v>
      </c>
      <c r="BF990" s="6" t="s">
        <v>5</v>
      </c>
      <c r="BG990" s="6" t="s">
        <v>5</v>
      </c>
      <c r="BH990" s="6" t="s">
        <v>5</v>
      </c>
      <c r="BI990" s="7">
        <v>2.5299999999999998</v>
      </c>
      <c r="BJ990" s="22">
        <v>0.95899999999999996</v>
      </c>
      <c r="BK990" s="6" t="s">
        <v>5</v>
      </c>
      <c r="BL990" s="2" t="s">
        <v>5</v>
      </c>
      <c r="BM990" s="2" t="s">
        <v>5</v>
      </c>
      <c r="BN990" s="2" t="s">
        <v>5</v>
      </c>
      <c r="BO990" s="2" t="s">
        <v>5</v>
      </c>
      <c r="BP990" s="2" t="s">
        <v>5</v>
      </c>
      <c r="BQ990" s="2" t="s">
        <v>5</v>
      </c>
      <c r="BR990" s="2" t="s">
        <v>5</v>
      </c>
      <c r="BS990" s="2" t="s">
        <v>5</v>
      </c>
      <c r="BT990" s="2" t="s">
        <v>5</v>
      </c>
      <c r="BU990" s="2" t="s">
        <v>5</v>
      </c>
      <c r="BV990" s="2" t="s">
        <v>5</v>
      </c>
      <c r="BW990" s="2" t="s">
        <v>5</v>
      </c>
      <c r="BX990" s="2" t="s">
        <v>5</v>
      </c>
      <c r="BY990" s="25" t="s">
        <v>5</v>
      </c>
      <c r="BZ990" s="25" t="s">
        <v>5</v>
      </c>
      <c r="CA990" s="6" t="s">
        <v>5</v>
      </c>
      <c r="CB990" s="6" t="s">
        <v>5</v>
      </c>
      <c r="CC990" s="6" t="s">
        <v>5</v>
      </c>
      <c r="CD990" s="6" t="s">
        <v>5</v>
      </c>
      <c r="CE990" s="6" t="s">
        <v>5</v>
      </c>
      <c r="CF990" s="16" t="s">
        <v>5</v>
      </c>
      <c r="CG990" s="16" t="s">
        <v>5</v>
      </c>
      <c r="CH990" s="18" t="s">
        <v>5</v>
      </c>
    </row>
    <row r="991" spans="2:86">
      <c r="B991" s="78" t="s">
        <v>473</v>
      </c>
      <c r="C991" s="79" t="s">
        <v>1091</v>
      </c>
      <c r="D991" s="80" t="s">
        <v>1091</v>
      </c>
      <c r="E991" s="1" t="s">
        <v>4</v>
      </c>
      <c r="F991" s="4">
        <v>19.600000000000001</v>
      </c>
      <c r="G991" s="7">
        <v>5.72</v>
      </c>
      <c r="H991" s="3" t="str">
        <f t="shared" si="34"/>
        <v>2L5X3X3/8X3/8SLBB</v>
      </c>
      <c r="I991" s="7">
        <v>3</v>
      </c>
      <c r="J991" s="5" t="s">
        <v>5</v>
      </c>
      <c r="K991" s="6" t="s">
        <v>5</v>
      </c>
      <c r="L991" s="6" t="s">
        <v>5</v>
      </c>
      <c r="M991" s="6" t="s">
        <v>5</v>
      </c>
      <c r="N991" s="6" t="s">
        <v>5</v>
      </c>
      <c r="O991" s="5" t="s">
        <v>5</v>
      </c>
      <c r="P991" s="5" t="s">
        <v>5</v>
      </c>
      <c r="Q991" s="7">
        <v>5</v>
      </c>
      <c r="R991" s="6" t="s">
        <v>5</v>
      </c>
      <c r="S991" s="6" t="s">
        <v>5</v>
      </c>
      <c r="T991" s="5" t="s">
        <v>5</v>
      </c>
      <c r="U991" s="8" t="s">
        <v>5</v>
      </c>
      <c r="V991" s="6" t="s">
        <v>5</v>
      </c>
      <c r="W991" s="8" t="s">
        <v>5</v>
      </c>
      <c r="X991" s="22">
        <v>0.375</v>
      </c>
      <c r="Y991" s="6" t="s">
        <v>5</v>
      </c>
      <c r="Z991" s="6" t="s">
        <v>5</v>
      </c>
      <c r="AA991" s="6" t="s">
        <v>5</v>
      </c>
      <c r="AB991" s="8" t="s">
        <v>5</v>
      </c>
      <c r="AC991" s="8" t="s">
        <v>5</v>
      </c>
      <c r="AD991" s="6" t="s">
        <v>5</v>
      </c>
      <c r="AE991" s="22">
        <v>0.69799999999999995</v>
      </c>
      <c r="AF991" s="6" t="s">
        <v>5</v>
      </c>
      <c r="AG991" s="6" t="s">
        <v>5</v>
      </c>
      <c r="AH991" s="22">
        <v>0.28599999999999998</v>
      </c>
      <c r="AI991" s="6" t="s">
        <v>5</v>
      </c>
      <c r="AJ991" s="4">
        <v>13.3</v>
      </c>
      <c r="AK991" s="6" t="s">
        <v>5</v>
      </c>
      <c r="AL991" s="6" t="s">
        <v>5</v>
      </c>
      <c r="AM991" s="6" t="s">
        <v>5</v>
      </c>
      <c r="AN991" s="6" t="s">
        <v>5</v>
      </c>
      <c r="AO991" s="7">
        <v>4.0199999999999996</v>
      </c>
      <c r="AP991" s="7">
        <v>3.14</v>
      </c>
      <c r="AQ991" s="7">
        <v>1.75</v>
      </c>
      <c r="AR991" s="22">
        <v>0.83799999999999997</v>
      </c>
      <c r="AS991" s="6">
        <v>34.9</v>
      </c>
      <c r="AT991" s="6">
        <v>10.7</v>
      </c>
      <c r="AU991" s="6">
        <v>6.73</v>
      </c>
      <c r="AV991" s="7">
        <v>2.4700000000000002</v>
      </c>
      <c r="AW991" s="6" t="s">
        <v>5</v>
      </c>
      <c r="AX991" s="6" t="s">
        <v>5</v>
      </c>
      <c r="AY991" s="6" t="s">
        <v>5</v>
      </c>
      <c r="AZ991" s="6" t="s">
        <v>5</v>
      </c>
      <c r="BA991" s="6" t="s">
        <v>5</v>
      </c>
      <c r="BB991" s="6" t="s">
        <v>5</v>
      </c>
      <c r="BC991" s="6" t="s">
        <v>5</v>
      </c>
      <c r="BD991" s="6" t="s">
        <v>5</v>
      </c>
      <c r="BE991" s="6" t="s">
        <v>5</v>
      </c>
      <c r="BF991" s="6" t="s">
        <v>5</v>
      </c>
      <c r="BG991" s="6" t="s">
        <v>5</v>
      </c>
      <c r="BH991" s="6" t="s">
        <v>5</v>
      </c>
      <c r="BI991" s="7">
        <v>2.66</v>
      </c>
      <c r="BJ991" s="22">
        <v>0.96299999999999997</v>
      </c>
      <c r="BK991" s="6" t="s">
        <v>5</v>
      </c>
      <c r="BL991" s="2" t="s">
        <v>5</v>
      </c>
      <c r="BM991" s="2" t="s">
        <v>5</v>
      </c>
      <c r="BN991" s="2" t="s">
        <v>5</v>
      </c>
      <c r="BO991" s="2" t="s">
        <v>5</v>
      </c>
      <c r="BP991" s="2" t="s">
        <v>5</v>
      </c>
      <c r="BQ991" s="2" t="s">
        <v>5</v>
      </c>
      <c r="BR991" s="2" t="s">
        <v>5</v>
      </c>
      <c r="BS991" s="2" t="s">
        <v>5</v>
      </c>
      <c r="BT991" s="2" t="s">
        <v>5</v>
      </c>
      <c r="BU991" s="2" t="s">
        <v>5</v>
      </c>
      <c r="BV991" s="2" t="s">
        <v>5</v>
      </c>
      <c r="BW991" s="2" t="s">
        <v>5</v>
      </c>
      <c r="BX991" s="2" t="s">
        <v>5</v>
      </c>
      <c r="BY991" s="25" t="s">
        <v>5</v>
      </c>
      <c r="BZ991" s="25" t="s">
        <v>5</v>
      </c>
      <c r="CA991" s="6" t="s">
        <v>5</v>
      </c>
      <c r="CB991" s="6" t="s">
        <v>5</v>
      </c>
      <c r="CC991" s="6" t="s">
        <v>5</v>
      </c>
      <c r="CD991" s="6" t="s">
        <v>5</v>
      </c>
      <c r="CE991" s="6" t="s">
        <v>5</v>
      </c>
      <c r="CF991" s="16" t="s">
        <v>5</v>
      </c>
      <c r="CG991" s="16" t="s">
        <v>5</v>
      </c>
      <c r="CH991" s="18" t="s">
        <v>5</v>
      </c>
    </row>
    <row r="992" spans="2:86">
      <c r="B992" s="78" t="s">
        <v>473</v>
      </c>
      <c r="C992" s="79" t="s">
        <v>1092</v>
      </c>
      <c r="D992" s="80" t="s">
        <v>1092</v>
      </c>
      <c r="E992" s="1" t="s">
        <v>4</v>
      </c>
      <c r="F992" s="4">
        <v>19.600000000000001</v>
      </c>
      <c r="G992" s="7">
        <v>5.72</v>
      </c>
      <c r="H992" s="3" t="str">
        <f t="shared" si="34"/>
        <v>2L5X3X3/8X3/4SLBB</v>
      </c>
      <c r="I992" s="7">
        <v>3</v>
      </c>
      <c r="J992" s="5" t="s">
        <v>5</v>
      </c>
      <c r="K992" s="6" t="s">
        <v>5</v>
      </c>
      <c r="L992" s="6" t="s">
        <v>5</v>
      </c>
      <c r="M992" s="6" t="s">
        <v>5</v>
      </c>
      <c r="N992" s="6" t="s">
        <v>5</v>
      </c>
      <c r="O992" s="5" t="s">
        <v>5</v>
      </c>
      <c r="P992" s="5" t="s">
        <v>5</v>
      </c>
      <c r="Q992" s="7">
        <v>5</v>
      </c>
      <c r="R992" s="6" t="s">
        <v>5</v>
      </c>
      <c r="S992" s="6" t="s">
        <v>5</v>
      </c>
      <c r="T992" s="5" t="s">
        <v>5</v>
      </c>
      <c r="U992" s="8" t="s">
        <v>5</v>
      </c>
      <c r="V992" s="6" t="s">
        <v>5</v>
      </c>
      <c r="W992" s="8" t="s">
        <v>5</v>
      </c>
      <c r="X992" s="22">
        <v>0.375</v>
      </c>
      <c r="Y992" s="6" t="s">
        <v>5</v>
      </c>
      <c r="Z992" s="6" t="s">
        <v>5</v>
      </c>
      <c r="AA992" s="6" t="s">
        <v>5</v>
      </c>
      <c r="AB992" s="8" t="s">
        <v>5</v>
      </c>
      <c r="AC992" s="8" t="s">
        <v>5</v>
      </c>
      <c r="AD992" s="6" t="s">
        <v>5</v>
      </c>
      <c r="AE992" s="22">
        <v>0.69799999999999995</v>
      </c>
      <c r="AF992" s="6" t="s">
        <v>5</v>
      </c>
      <c r="AG992" s="6" t="s">
        <v>5</v>
      </c>
      <c r="AH992" s="22">
        <v>0.28599999999999998</v>
      </c>
      <c r="AI992" s="6" t="s">
        <v>5</v>
      </c>
      <c r="AJ992" s="4">
        <v>13.3</v>
      </c>
      <c r="AK992" s="6" t="s">
        <v>5</v>
      </c>
      <c r="AL992" s="6" t="s">
        <v>5</v>
      </c>
      <c r="AM992" s="6" t="s">
        <v>5</v>
      </c>
      <c r="AN992" s="6" t="s">
        <v>5</v>
      </c>
      <c r="AO992" s="7">
        <v>4.0199999999999996</v>
      </c>
      <c r="AP992" s="7">
        <v>3.14</v>
      </c>
      <c r="AQ992" s="7">
        <v>1.75</v>
      </c>
      <c r="AR992" s="22">
        <v>0.83799999999999997</v>
      </c>
      <c r="AS992" s="6">
        <v>39.299999999999997</v>
      </c>
      <c r="AT992" s="6">
        <v>11.8</v>
      </c>
      <c r="AU992" s="6">
        <v>7.31</v>
      </c>
      <c r="AV992" s="7">
        <v>2.62</v>
      </c>
      <c r="AW992" s="6" t="s">
        <v>5</v>
      </c>
      <c r="AX992" s="6" t="s">
        <v>5</v>
      </c>
      <c r="AY992" s="6" t="s">
        <v>5</v>
      </c>
      <c r="AZ992" s="6" t="s">
        <v>5</v>
      </c>
      <c r="BA992" s="6" t="s">
        <v>5</v>
      </c>
      <c r="BB992" s="6" t="s">
        <v>5</v>
      </c>
      <c r="BC992" s="6" t="s">
        <v>5</v>
      </c>
      <c r="BD992" s="6" t="s">
        <v>5</v>
      </c>
      <c r="BE992" s="6" t="s">
        <v>5</v>
      </c>
      <c r="BF992" s="6" t="s">
        <v>5</v>
      </c>
      <c r="BG992" s="6" t="s">
        <v>5</v>
      </c>
      <c r="BH992" s="6" t="s">
        <v>5</v>
      </c>
      <c r="BI992" s="7">
        <v>2.79</v>
      </c>
      <c r="BJ992" s="22">
        <v>0.96699999999999997</v>
      </c>
      <c r="BK992" s="6" t="s">
        <v>5</v>
      </c>
      <c r="BL992" s="2" t="s">
        <v>5</v>
      </c>
      <c r="BM992" s="2" t="s">
        <v>5</v>
      </c>
      <c r="BN992" s="2" t="s">
        <v>5</v>
      </c>
      <c r="BO992" s="2" t="s">
        <v>5</v>
      </c>
      <c r="BP992" s="2" t="s">
        <v>5</v>
      </c>
      <c r="BQ992" s="2" t="s">
        <v>5</v>
      </c>
      <c r="BR992" s="2" t="s">
        <v>5</v>
      </c>
      <c r="BS992" s="2" t="s">
        <v>5</v>
      </c>
      <c r="BT992" s="2" t="s">
        <v>5</v>
      </c>
      <c r="BU992" s="2" t="s">
        <v>5</v>
      </c>
      <c r="BV992" s="2" t="s">
        <v>5</v>
      </c>
      <c r="BW992" s="2" t="s">
        <v>5</v>
      </c>
      <c r="BX992" s="2" t="s">
        <v>5</v>
      </c>
      <c r="BY992" s="25" t="s">
        <v>5</v>
      </c>
      <c r="BZ992" s="25" t="s">
        <v>5</v>
      </c>
      <c r="CA992" s="6" t="s">
        <v>5</v>
      </c>
      <c r="CB992" s="6" t="s">
        <v>5</v>
      </c>
      <c r="CC992" s="6" t="s">
        <v>5</v>
      </c>
      <c r="CD992" s="6" t="s">
        <v>5</v>
      </c>
      <c r="CE992" s="6" t="s">
        <v>5</v>
      </c>
      <c r="CF992" s="16" t="s">
        <v>5</v>
      </c>
      <c r="CG992" s="16" t="s">
        <v>5</v>
      </c>
      <c r="CH992" s="18" t="s">
        <v>5</v>
      </c>
    </row>
    <row r="993" spans="2:86">
      <c r="B993" s="78" t="s">
        <v>473</v>
      </c>
      <c r="C993" s="79" t="s">
        <v>1093</v>
      </c>
      <c r="D993" s="80" t="s">
        <v>1093</v>
      </c>
      <c r="E993" s="1" t="s">
        <v>4</v>
      </c>
      <c r="F993" s="4">
        <v>16.399999999999999</v>
      </c>
      <c r="G993" s="7">
        <v>4.82</v>
      </c>
      <c r="H993" s="3" t="str">
        <f t="shared" si="34"/>
        <v>2L5X3X5/16SLBB</v>
      </c>
      <c r="I993" s="7">
        <v>3</v>
      </c>
      <c r="J993" s="5" t="s">
        <v>5</v>
      </c>
      <c r="K993" s="6" t="s">
        <v>5</v>
      </c>
      <c r="L993" s="6" t="s">
        <v>5</v>
      </c>
      <c r="M993" s="6" t="s">
        <v>5</v>
      </c>
      <c r="N993" s="6" t="s">
        <v>5</v>
      </c>
      <c r="O993" s="5" t="s">
        <v>5</v>
      </c>
      <c r="P993" s="5" t="s">
        <v>5</v>
      </c>
      <c r="Q993" s="7">
        <v>5</v>
      </c>
      <c r="R993" s="6" t="s">
        <v>5</v>
      </c>
      <c r="S993" s="6" t="s">
        <v>5</v>
      </c>
      <c r="T993" s="5" t="s">
        <v>5</v>
      </c>
      <c r="U993" s="8" t="s">
        <v>5</v>
      </c>
      <c r="V993" s="6" t="s">
        <v>5</v>
      </c>
      <c r="W993" s="8" t="s">
        <v>5</v>
      </c>
      <c r="X993" s="22">
        <v>0.313</v>
      </c>
      <c r="Y993" s="6" t="s">
        <v>5</v>
      </c>
      <c r="Z993" s="6" t="s">
        <v>5</v>
      </c>
      <c r="AA993" s="6" t="s">
        <v>5</v>
      </c>
      <c r="AB993" s="8" t="s">
        <v>5</v>
      </c>
      <c r="AC993" s="8" t="s">
        <v>5</v>
      </c>
      <c r="AD993" s="6" t="s">
        <v>5</v>
      </c>
      <c r="AE993" s="22">
        <v>0.67300000000000004</v>
      </c>
      <c r="AF993" s="6" t="s">
        <v>5</v>
      </c>
      <c r="AG993" s="6" t="s">
        <v>5</v>
      </c>
      <c r="AH993" s="22">
        <v>0.24099999999999999</v>
      </c>
      <c r="AI993" s="6" t="s">
        <v>5</v>
      </c>
      <c r="AJ993" s="4">
        <v>16</v>
      </c>
      <c r="AK993" s="6" t="s">
        <v>5</v>
      </c>
      <c r="AL993" s="6" t="s">
        <v>5</v>
      </c>
      <c r="AM993" s="6" t="s">
        <v>5</v>
      </c>
      <c r="AN993" s="6" t="s">
        <v>5</v>
      </c>
      <c r="AO993" s="7">
        <v>3.44</v>
      </c>
      <c r="AP993" s="7">
        <v>2.62</v>
      </c>
      <c r="AQ993" s="7">
        <v>1.48</v>
      </c>
      <c r="AR993" s="22">
        <v>0.84599999999999997</v>
      </c>
      <c r="AS993" s="6">
        <v>25.9</v>
      </c>
      <c r="AT993" s="6">
        <v>8.0500000000000007</v>
      </c>
      <c r="AU993" s="6">
        <v>5.18</v>
      </c>
      <c r="AV993" s="7">
        <v>2.3199999999999998</v>
      </c>
      <c r="AW993" s="6" t="s">
        <v>5</v>
      </c>
      <c r="AX993" s="6" t="s">
        <v>5</v>
      </c>
      <c r="AY993" s="6" t="s">
        <v>5</v>
      </c>
      <c r="AZ993" s="6" t="s">
        <v>5</v>
      </c>
      <c r="BA993" s="6" t="s">
        <v>5</v>
      </c>
      <c r="BB993" s="6" t="s">
        <v>5</v>
      </c>
      <c r="BC993" s="6" t="s">
        <v>5</v>
      </c>
      <c r="BD993" s="6" t="s">
        <v>5</v>
      </c>
      <c r="BE993" s="6" t="s">
        <v>5</v>
      </c>
      <c r="BF993" s="6" t="s">
        <v>5</v>
      </c>
      <c r="BG993" s="6" t="s">
        <v>5</v>
      </c>
      <c r="BH993" s="6" t="s">
        <v>5</v>
      </c>
      <c r="BI993" s="7">
        <v>2.52</v>
      </c>
      <c r="BJ993" s="22">
        <v>0.95799999999999996</v>
      </c>
      <c r="BK993" s="6" t="s">
        <v>5</v>
      </c>
      <c r="BL993" s="2" t="s">
        <v>5</v>
      </c>
      <c r="BM993" s="2" t="s">
        <v>5</v>
      </c>
      <c r="BN993" s="2" t="s">
        <v>5</v>
      </c>
      <c r="BO993" s="2" t="s">
        <v>5</v>
      </c>
      <c r="BP993" s="2" t="s">
        <v>5</v>
      </c>
      <c r="BQ993" s="2" t="s">
        <v>5</v>
      </c>
      <c r="BR993" s="2" t="s">
        <v>5</v>
      </c>
      <c r="BS993" s="2" t="s">
        <v>5</v>
      </c>
      <c r="BT993" s="2" t="s">
        <v>5</v>
      </c>
      <c r="BU993" s="2" t="s">
        <v>5</v>
      </c>
      <c r="BV993" s="2" t="s">
        <v>5</v>
      </c>
      <c r="BW993" s="2" t="s">
        <v>5</v>
      </c>
      <c r="BX993" s="2" t="s">
        <v>5</v>
      </c>
      <c r="BY993" s="25" t="s">
        <v>5</v>
      </c>
      <c r="BZ993" s="25" t="s">
        <v>5</v>
      </c>
      <c r="CA993" s="6" t="s">
        <v>5</v>
      </c>
      <c r="CB993" s="6" t="s">
        <v>5</v>
      </c>
      <c r="CC993" s="6" t="s">
        <v>5</v>
      </c>
      <c r="CD993" s="6" t="s">
        <v>5</v>
      </c>
      <c r="CE993" s="6" t="s">
        <v>5</v>
      </c>
      <c r="CF993" s="16" t="s">
        <v>5</v>
      </c>
      <c r="CG993" s="16" t="s">
        <v>5</v>
      </c>
      <c r="CH993" s="18" t="s">
        <v>5</v>
      </c>
    </row>
    <row r="994" spans="2:86">
      <c r="B994" s="78" t="s">
        <v>473</v>
      </c>
      <c r="C994" s="79" t="s">
        <v>1094</v>
      </c>
      <c r="D994" s="80" t="s">
        <v>1094</v>
      </c>
      <c r="E994" s="1" t="s">
        <v>4</v>
      </c>
      <c r="F994" s="4">
        <v>16.399999999999999</v>
      </c>
      <c r="G994" s="7">
        <v>4.82</v>
      </c>
      <c r="H994" s="3" t="str">
        <f t="shared" si="34"/>
        <v>2L5X3X5/16X3/8SLBB</v>
      </c>
      <c r="I994" s="7">
        <v>3</v>
      </c>
      <c r="J994" s="5" t="s">
        <v>5</v>
      </c>
      <c r="K994" s="6" t="s">
        <v>5</v>
      </c>
      <c r="L994" s="6" t="s">
        <v>5</v>
      </c>
      <c r="M994" s="6" t="s">
        <v>5</v>
      </c>
      <c r="N994" s="6" t="s">
        <v>5</v>
      </c>
      <c r="O994" s="5" t="s">
        <v>5</v>
      </c>
      <c r="P994" s="5" t="s">
        <v>5</v>
      </c>
      <c r="Q994" s="7">
        <v>5</v>
      </c>
      <c r="R994" s="6" t="s">
        <v>5</v>
      </c>
      <c r="S994" s="6" t="s">
        <v>5</v>
      </c>
      <c r="T994" s="5" t="s">
        <v>5</v>
      </c>
      <c r="U994" s="8" t="s">
        <v>5</v>
      </c>
      <c r="V994" s="6" t="s">
        <v>5</v>
      </c>
      <c r="W994" s="8" t="s">
        <v>5</v>
      </c>
      <c r="X994" s="22">
        <v>0.313</v>
      </c>
      <c r="Y994" s="6" t="s">
        <v>5</v>
      </c>
      <c r="Z994" s="6" t="s">
        <v>5</v>
      </c>
      <c r="AA994" s="6" t="s">
        <v>5</v>
      </c>
      <c r="AB994" s="8" t="s">
        <v>5</v>
      </c>
      <c r="AC994" s="8" t="s">
        <v>5</v>
      </c>
      <c r="AD994" s="6" t="s">
        <v>5</v>
      </c>
      <c r="AE994" s="22">
        <v>0.67300000000000004</v>
      </c>
      <c r="AF994" s="6" t="s">
        <v>5</v>
      </c>
      <c r="AG994" s="6" t="s">
        <v>5</v>
      </c>
      <c r="AH994" s="22">
        <v>0.24099999999999999</v>
      </c>
      <c r="AI994" s="6" t="s">
        <v>5</v>
      </c>
      <c r="AJ994" s="4">
        <v>16</v>
      </c>
      <c r="AK994" s="6" t="s">
        <v>5</v>
      </c>
      <c r="AL994" s="6" t="s">
        <v>5</v>
      </c>
      <c r="AM994" s="6" t="s">
        <v>5</v>
      </c>
      <c r="AN994" s="6" t="s">
        <v>5</v>
      </c>
      <c r="AO994" s="7">
        <v>3.44</v>
      </c>
      <c r="AP994" s="7">
        <v>2.62</v>
      </c>
      <c r="AQ994" s="7">
        <v>1.48</v>
      </c>
      <c r="AR994" s="22">
        <v>0.84599999999999997</v>
      </c>
      <c r="AS994" s="6">
        <v>29.2</v>
      </c>
      <c r="AT994" s="6">
        <v>8.9499999999999993</v>
      </c>
      <c r="AU994" s="6">
        <v>5.63</v>
      </c>
      <c r="AV994" s="7">
        <v>2.46</v>
      </c>
      <c r="AW994" s="6" t="s">
        <v>5</v>
      </c>
      <c r="AX994" s="6" t="s">
        <v>5</v>
      </c>
      <c r="AY994" s="6" t="s">
        <v>5</v>
      </c>
      <c r="AZ994" s="6" t="s">
        <v>5</v>
      </c>
      <c r="BA994" s="6" t="s">
        <v>5</v>
      </c>
      <c r="BB994" s="6" t="s">
        <v>5</v>
      </c>
      <c r="BC994" s="6" t="s">
        <v>5</v>
      </c>
      <c r="BD994" s="6" t="s">
        <v>5</v>
      </c>
      <c r="BE994" s="6" t="s">
        <v>5</v>
      </c>
      <c r="BF994" s="6" t="s">
        <v>5</v>
      </c>
      <c r="BG994" s="6" t="s">
        <v>5</v>
      </c>
      <c r="BH994" s="6" t="s">
        <v>5</v>
      </c>
      <c r="BI994" s="7">
        <v>2.65</v>
      </c>
      <c r="BJ994" s="22">
        <v>0.96199999999999997</v>
      </c>
      <c r="BK994" s="6" t="s">
        <v>5</v>
      </c>
      <c r="BL994" s="2" t="s">
        <v>5</v>
      </c>
      <c r="BM994" s="2" t="s">
        <v>5</v>
      </c>
      <c r="BN994" s="2" t="s">
        <v>5</v>
      </c>
      <c r="BO994" s="2" t="s">
        <v>5</v>
      </c>
      <c r="BP994" s="2" t="s">
        <v>5</v>
      </c>
      <c r="BQ994" s="2" t="s">
        <v>5</v>
      </c>
      <c r="BR994" s="2" t="s">
        <v>5</v>
      </c>
      <c r="BS994" s="2" t="s">
        <v>5</v>
      </c>
      <c r="BT994" s="2" t="s">
        <v>5</v>
      </c>
      <c r="BU994" s="2" t="s">
        <v>5</v>
      </c>
      <c r="BV994" s="2" t="s">
        <v>5</v>
      </c>
      <c r="BW994" s="2" t="s">
        <v>5</v>
      </c>
      <c r="BX994" s="2" t="s">
        <v>5</v>
      </c>
      <c r="BY994" s="25" t="s">
        <v>5</v>
      </c>
      <c r="BZ994" s="25" t="s">
        <v>5</v>
      </c>
      <c r="CA994" s="6" t="s">
        <v>5</v>
      </c>
      <c r="CB994" s="6" t="s">
        <v>5</v>
      </c>
      <c r="CC994" s="6" t="s">
        <v>5</v>
      </c>
      <c r="CD994" s="6" t="s">
        <v>5</v>
      </c>
      <c r="CE994" s="6" t="s">
        <v>5</v>
      </c>
      <c r="CF994" s="16" t="s">
        <v>5</v>
      </c>
      <c r="CG994" s="16" t="s">
        <v>5</v>
      </c>
      <c r="CH994" s="18" t="s">
        <v>5</v>
      </c>
    </row>
    <row r="995" spans="2:86">
      <c r="B995" s="78" t="s">
        <v>473</v>
      </c>
      <c r="C995" s="79" t="s">
        <v>1095</v>
      </c>
      <c r="D995" s="80" t="s">
        <v>1095</v>
      </c>
      <c r="E995" s="1" t="s">
        <v>4</v>
      </c>
      <c r="F995" s="4">
        <v>16.399999999999999</v>
      </c>
      <c r="G995" s="7">
        <v>4.82</v>
      </c>
      <c r="H995" s="3" t="str">
        <f t="shared" si="34"/>
        <v>2L5X3X5/16X3/4SLBB</v>
      </c>
      <c r="I995" s="7">
        <v>3</v>
      </c>
      <c r="J995" s="5" t="s">
        <v>5</v>
      </c>
      <c r="K995" s="6" t="s">
        <v>5</v>
      </c>
      <c r="L995" s="6" t="s">
        <v>5</v>
      </c>
      <c r="M995" s="6" t="s">
        <v>5</v>
      </c>
      <c r="N995" s="6" t="s">
        <v>5</v>
      </c>
      <c r="O995" s="5" t="s">
        <v>5</v>
      </c>
      <c r="P995" s="5" t="s">
        <v>5</v>
      </c>
      <c r="Q995" s="7">
        <v>5</v>
      </c>
      <c r="R995" s="6" t="s">
        <v>5</v>
      </c>
      <c r="S995" s="6" t="s">
        <v>5</v>
      </c>
      <c r="T995" s="5" t="s">
        <v>5</v>
      </c>
      <c r="U995" s="8" t="s">
        <v>5</v>
      </c>
      <c r="V995" s="6" t="s">
        <v>5</v>
      </c>
      <c r="W995" s="8" t="s">
        <v>5</v>
      </c>
      <c r="X995" s="22">
        <v>0.313</v>
      </c>
      <c r="Y995" s="6" t="s">
        <v>5</v>
      </c>
      <c r="Z995" s="6" t="s">
        <v>5</v>
      </c>
      <c r="AA995" s="6" t="s">
        <v>5</v>
      </c>
      <c r="AB995" s="8" t="s">
        <v>5</v>
      </c>
      <c r="AC995" s="8" t="s">
        <v>5</v>
      </c>
      <c r="AD995" s="6" t="s">
        <v>5</v>
      </c>
      <c r="AE995" s="22">
        <v>0.67300000000000004</v>
      </c>
      <c r="AF995" s="6" t="s">
        <v>5</v>
      </c>
      <c r="AG995" s="6" t="s">
        <v>5</v>
      </c>
      <c r="AH995" s="22">
        <v>0.24099999999999999</v>
      </c>
      <c r="AI995" s="6" t="s">
        <v>5</v>
      </c>
      <c r="AJ995" s="4">
        <v>16</v>
      </c>
      <c r="AK995" s="6" t="s">
        <v>5</v>
      </c>
      <c r="AL995" s="6" t="s">
        <v>5</v>
      </c>
      <c r="AM995" s="6" t="s">
        <v>5</v>
      </c>
      <c r="AN995" s="6" t="s">
        <v>5</v>
      </c>
      <c r="AO995" s="7">
        <v>3.44</v>
      </c>
      <c r="AP995" s="7">
        <v>2.62</v>
      </c>
      <c r="AQ995" s="7">
        <v>1.48</v>
      </c>
      <c r="AR995" s="22">
        <v>0.84599999999999997</v>
      </c>
      <c r="AS995" s="6">
        <v>32.6</v>
      </c>
      <c r="AT995" s="6">
        <v>9.86</v>
      </c>
      <c r="AU995" s="6">
        <v>6.07</v>
      </c>
      <c r="AV995" s="7">
        <v>2.6</v>
      </c>
      <c r="AW995" s="6" t="s">
        <v>5</v>
      </c>
      <c r="AX995" s="6" t="s">
        <v>5</v>
      </c>
      <c r="AY995" s="6" t="s">
        <v>5</v>
      </c>
      <c r="AZ995" s="6" t="s">
        <v>5</v>
      </c>
      <c r="BA995" s="6" t="s">
        <v>5</v>
      </c>
      <c r="BB995" s="6" t="s">
        <v>5</v>
      </c>
      <c r="BC995" s="6" t="s">
        <v>5</v>
      </c>
      <c r="BD995" s="6" t="s">
        <v>5</v>
      </c>
      <c r="BE995" s="6" t="s">
        <v>5</v>
      </c>
      <c r="BF995" s="6" t="s">
        <v>5</v>
      </c>
      <c r="BG995" s="6" t="s">
        <v>5</v>
      </c>
      <c r="BH995" s="6" t="s">
        <v>5</v>
      </c>
      <c r="BI995" s="7">
        <v>2.78</v>
      </c>
      <c r="BJ995" s="22">
        <v>0.96499999999999997</v>
      </c>
      <c r="BK995" s="6" t="s">
        <v>5</v>
      </c>
      <c r="BL995" s="2" t="s">
        <v>5</v>
      </c>
      <c r="BM995" s="2" t="s">
        <v>5</v>
      </c>
      <c r="BN995" s="2" t="s">
        <v>5</v>
      </c>
      <c r="BO995" s="2" t="s">
        <v>5</v>
      </c>
      <c r="BP995" s="2" t="s">
        <v>5</v>
      </c>
      <c r="BQ995" s="2" t="s">
        <v>5</v>
      </c>
      <c r="BR995" s="2" t="s">
        <v>5</v>
      </c>
      <c r="BS995" s="2" t="s">
        <v>5</v>
      </c>
      <c r="BT995" s="2" t="s">
        <v>5</v>
      </c>
      <c r="BU995" s="2" t="s">
        <v>5</v>
      </c>
      <c r="BV995" s="2" t="s">
        <v>5</v>
      </c>
      <c r="BW995" s="2" t="s">
        <v>5</v>
      </c>
      <c r="BX995" s="2" t="s">
        <v>5</v>
      </c>
      <c r="BY995" s="25" t="s">
        <v>5</v>
      </c>
      <c r="BZ995" s="25" t="s">
        <v>5</v>
      </c>
      <c r="CA995" s="6" t="s">
        <v>5</v>
      </c>
      <c r="CB995" s="6" t="s">
        <v>5</v>
      </c>
      <c r="CC995" s="6" t="s">
        <v>5</v>
      </c>
      <c r="CD995" s="6" t="s">
        <v>5</v>
      </c>
      <c r="CE995" s="6" t="s">
        <v>5</v>
      </c>
      <c r="CF995" s="16" t="s">
        <v>5</v>
      </c>
      <c r="CG995" s="16" t="s">
        <v>5</v>
      </c>
      <c r="CH995" s="18" t="s">
        <v>5</v>
      </c>
    </row>
    <row r="996" spans="2:86">
      <c r="B996" s="78" t="s">
        <v>473</v>
      </c>
      <c r="C996" s="79" t="s">
        <v>1096</v>
      </c>
      <c r="D996" s="80" t="s">
        <v>1096</v>
      </c>
      <c r="E996" s="1" t="s">
        <v>4</v>
      </c>
      <c r="F996" s="4">
        <v>13.2</v>
      </c>
      <c r="G996" s="7">
        <v>3.88</v>
      </c>
      <c r="H996" s="3" t="str">
        <f t="shared" si="34"/>
        <v>2L5X3X1/4SLBB</v>
      </c>
      <c r="I996" s="7">
        <v>3</v>
      </c>
      <c r="J996" s="5" t="s">
        <v>5</v>
      </c>
      <c r="K996" s="6" t="s">
        <v>5</v>
      </c>
      <c r="L996" s="6" t="s">
        <v>5</v>
      </c>
      <c r="M996" s="6" t="s">
        <v>5</v>
      </c>
      <c r="N996" s="6" t="s">
        <v>5</v>
      </c>
      <c r="O996" s="5" t="s">
        <v>5</v>
      </c>
      <c r="P996" s="5" t="s">
        <v>5</v>
      </c>
      <c r="Q996" s="7">
        <v>5</v>
      </c>
      <c r="R996" s="6" t="s">
        <v>5</v>
      </c>
      <c r="S996" s="6" t="s">
        <v>5</v>
      </c>
      <c r="T996" s="5" t="s">
        <v>5</v>
      </c>
      <c r="U996" s="8" t="s">
        <v>5</v>
      </c>
      <c r="V996" s="6" t="s">
        <v>5</v>
      </c>
      <c r="W996" s="8" t="s">
        <v>5</v>
      </c>
      <c r="X996" s="22">
        <v>0.25</v>
      </c>
      <c r="Y996" s="6" t="s">
        <v>5</v>
      </c>
      <c r="Z996" s="6" t="s">
        <v>5</v>
      </c>
      <c r="AA996" s="6" t="s">
        <v>5</v>
      </c>
      <c r="AB996" s="8" t="s">
        <v>5</v>
      </c>
      <c r="AC996" s="8" t="s">
        <v>5</v>
      </c>
      <c r="AD996" s="6" t="s">
        <v>5</v>
      </c>
      <c r="AE996" s="22">
        <v>0.64800000000000002</v>
      </c>
      <c r="AF996" s="6" t="s">
        <v>5</v>
      </c>
      <c r="AG996" s="6" t="s">
        <v>5</v>
      </c>
      <c r="AH996" s="22">
        <v>0.19400000000000001</v>
      </c>
      <c r="AI996" s="6" t="s">
        <v>5</v>
      </c>
      <c r="AJ996" s="4">
        <v>20</v>
      </c>
      <c r="AK996" s="6" t="s">
        <v>5</v>
      </c>
      <c r="AL996" s="6" t="s">
        <v>5</v>
      </c>
      <c r="AM996" s="6" t="s">
        <v>5</v>
      </c>
      <c r="AN996" s="6" t="s">
        <v>5</v>
      </c>
      <c r="AO996" s="7">
        <v>2.82</v>
      </c>
      <c r="AP996" s="7">
        <v>2.1</v>
      </c>
      <c r="AQ996" s="7">
        <v>1.2</v>
      </c>
      <c r="AR996" s="22">
        <v>0.85299999999999998</v>
      </c>
      <c r="AS996" s="6">
        <v>20.5</v>
      </c>
      <c r="AT996" s="6">
        <v>6.36</v>
      </c>
      <c r="AU996" s="7">
        <v>4.0999999999999996</v>
      </c>
      <c r="AV996" s="7">
        <v>2.2999999999999998</v>
      </c>
      <c r="AW996" s="6" t="s">
        <v>5</v>
      </c>
      <c r="AX996" s="6" t="s">
        <v>5</v>
      </c>
      <c r="AY996" s="6" t="s">
        <v>5</v>
      </c>
      <c r="AZ996" s="6" t="s">
        <v>5</v>
      </c>
      <c r="BA996" s="6" t="s">
        <v>5</v>
      </c>
      <c r="BB996" s="6" t="s">
        <v>5</v>
      </c>
      <c r="BC996" s="6" t="s">
        <v>5</v>
      </c>
      <c r="BD996" s="6" t="s">
        <v>5</v>
      </c>
      <c r="BE996" s="6" t="s">
        <v>5</v>
      </c>
      <c r="BF996" s="6" t="s">
        <v>5</v>
      </c>
      <c r="BG996" s="6" t="s">
        <v>5</v>
      </c>
      <c r="BH996" s="6" t="s">
        <v>5</v>
      </c>
      <c r="BI996" s="7">
        <v>2.5099999999999998</v>
      </c>
      <c r="BJ996" s="22">
        <v>0.95699999999999996</v>
      </c>
      <c r="BK996" s="6" t="s">
        <v>5</v>
      </c>
      <c r="BL996" s="2" t="s">
        <v>5</v>
      </c>
      <c r="BM996" s="2" t="s">
        <v>5</v>
      </c>
      <c r="BN996" s="2" t="s">
        <v>5</v>
      </c>
      <c r="BO996" s="2" t="s">
        <v>5</v>
      </c>
      <c r="BP996" s="2" t="s">
        <v>5</v>
      </c>
      <c r="BQ996" s="2" t="s">
        <v>5</v>
      </c>
      <c r="BR996" s="2" t="s">
        <v>5</v>
      </c>
      <c r="BS996" s="2" t="s">
        <v>5</v>
      </c>
      <c r="BT996" s="2" t="s">
        <v>5</v>
      </c>
      <c r="BU996" s="2" t="s">
        <v>5</v>
      </c>
      <c r="BV996" s="2" t="s">
        <v>5</v>
      </c>
      <c r="BW996" s="2" t="s">
        <v>5</v>
      </c>
      <c r="BX996" s="2" t="s">
        <v>5</v>
      </c>
      <c r="BY996" s="25" t="s">
        <v>5</v>
      </c>
      <c r="BZ996" s="25" t="s">
        <v>5</v>
      </c>
      <c r="CA996" s="6" t="s">
        <v>5</v>
      </c>
      <c r="CB996" s="6" t="s">
        <v>5</v>
      </c>
      <c r="CC996" s="6" t="s">
        <v>5</v>
      </c>
      <c r="CD996" s="6" t="s">
        <v>5</v>
      </c>
      <c r="CE996" s="6" t="s">
        <v>5</v>
      </c>
      <c r="CF996" s="16" t="s">
        <v>5</v>
      </c>
      <c r="CG996" s="16" t="s">
        <v>5</v>
      </c>
      <c r="CH996" s="18" t="s">
        <v>5</v>
      </c>
    </row>
    <row r="997" spans="2:86">
      <c r="B997" s="78" t="s">
        <v>473</v>
      </c>
      <c r="C997" s="79" t="s">
        <v>1097</v>
      </c>
      <c r="D997" s="80" t="s">
        <v>1097</v>
      </c>
      <c r="E997" s="1" t="s">
        <v>4</v>
      </c>
      <c r="F997" s="4">
        <v>13.2</v>
      </c>
      <c r="G997" s="7">
        <v>3.88</v>
      </c>
      <c r="H997" s="3" t="str">
        <f t="shared" si="34"/>
        <v>2L5X3X1/4X3/8SLBB</v>
      </c>
      <c r="I997" s="7">
        <v>3</v>
      </c>
      <c r="J997" s="5" t="s">
        <v>5</v>
      </c>
      <c r="K997" s="6" t="s">
        <v>5</v>
      </c>
      <c r="L997" s="6" t="s">
        <v>5</v>
      </c>
      <c r="M997" s="6" t="s">
        <v>5</v>
      </c>
      <c r="N997" s="6" t="s">
        <v>5</v>
      </c>
      <c r="O997" s="5" t="s">
        <v>5</v>
      </c>
      <c r="P997" s="5" t="s">
        <v>5</v>
      </c>
      <c r="Q997" s="7">
        <v>5</v>
      </c>
      <c r="R997" s="6" t="s">
        <v>5</v>
      </c>
      <c r="S997" s="6" t="s">
        <v>5</v>
      </c>
      <c r="T997" s="5" t="s">
        <v>5</v>
      </c>
      <c r="U997" s="8" t="s">
        <v>5</v>
      </c>
      <c r="V997" s="6" t="s">
        <v>5</v>
      </c>
      <c r="W997" s="8" t="s">
        <v>5</v>
      </c>
      <c r="X997" s="22">
        <v>0.25</v>
      </c>
      <c r="Y997" s="6" t="s">
        <v>5</v>
      </c>
      <c r="Z997" s="6" t="s">
        <v>5</v>
      </c>
      <c r="AA997" s="6" t="s">
        <v>5</v>
      </c>
      <c r="AB997" s="8" t="s">
        <v>5</v>
      </c>
      <c r="AC997" s="8" t="s">
        <v>5</v>
      </c>
      <c r="AD997" s="6" t="s">
        <v>5</v>
      </c>
      <c r="AE997" s="22">
        <v>0.64800000000000002</v>
      </c>
      <c r="AF997" s="6" t="s">
        <v>5</v>
      </c>
      <c r="AG997" s="6" t="s">
        <v>5</v>
      </c>
      <c r="AH997" s="22">
        <v>0.19400000000000001</v>
      </c>
      <c r="AI997" s="6" t="s">
        <v>5</v>
      </c>
      <c r="AJ997" s="4">
        <v>20</v>
      </c>
      <c r="AK997" s="6" t="s">
        <v>5</v>
      </c>
      <c r="AL997" s="6" t="s">
        <v>5</v>
      </c>
      <c r="AM997" s="6" t="s">
        <v>5</v>
      </c>
      <c r="AN997" s="6" t="s">
        <v>5</v>
      </c>
      <c r="AO997" s="7">
        <v>2.82</v>
      </c>
      <c r="AP997" s="7">
        <v>2.1</v>
      </c>
      <c r="AQ997" s="7">
        <v>1.2</v>
      </c>
      <c r="AR997" s="22">
        <v>0.85299999999999998</v>
      </c>
      <c r="AS997" s="6">
        <v>23.1</v>
      </c>
      <c r="AT997" s="6">
        <v>7.09</v>
      </c>
      <c r="AU997" s="6">
        <v>4.45</v>
      </c>
      <c r="AV997" s="7">
        <v>2.44</v>
      </c>
      <c r="AW997" s="6" t="s">
        <v>5</v>
      </c>
      <c r="AX997" s="6" t="s">
        <v>5</v>
      </c>
      <c r="AY997" s="6" t="s">
        <v>5</v>
      </c>
      <c r="AZ997" s="6" t="s">
        <v>5</v>
      </c>
      <c r="BA997" s="6" t="s">
        <v>5</v>
      </c>
      <c r="BB997" s="6" t="s">
        <v>5</v>
      </c>
      <c r="BC997" s="6" t="s">
        <v>5</v>
      </c>
      <c r="BD997" s="6" t="s">
        <v>5</v>
      </c>
      <c r="BE997" s="6" t="s">
        <v>5</v>
      </c>
      <c r="BF997" s="6" t="s">
        <v>5</v>
      </c>
      <c r="BG997" s="6" t="s">
        <v>5</v>
      </c>
      <c r="BH997" s="6" t="s">
        <v>5</v>
      </c>
      <c r="BI997" s="7">
        <v>2.64</v>
      </c>
      <c r="BJ997" s="22">
        <v>0.96099999999999997</v>
      </c>
      <c r="BK997" s="6" t="s">
        <v>5</v>
      </c>
      <c r="BL997" s="2" t="s">
        <v>5</v>
      </c>
      <c r="BM997" s="2" t="s">
        <v>5</v>
      </c>
      <c r="BN997" s="2" t="s">
        <v>5</v>
      </c>
      <c r="BO997" s="2" t="s">
        <v>5</v>
      </c>
      <c r="BP997" s="2" t="s">
        <v>5</v>
      </c>
      <c r="BQ997" s="2" t="s">
        <v>5</v>
      </c>
      <c r="BR997" s="2" t="s">
        <v>5</v>
      </c>
      <c r="BS997" s="2" t="s">
        <v>5</v>
      </c>
      <c r="BT997" s="2" t="s">
        <v>5</v>
      </c>
      <c r="BU997" s="2" t="s">
        <v>5</v>
      </c>
      <c r="BV997" s="2" t="s">
        <v>5</v>
      </c>
      <c r="BW997" s="2" t="s">
        <v>5</v>
      </c>
      <c r="BX997" s="2" t="s">
        <v>5</v>
      </c>
      <c r="BY997" s="25" t="s">
        <v>5</v>
      </c>
      <c r="BZ997" s="25" t="s">
        <v>5</v>
      </c>
      <c r="CA997" s="6" t="s">
        <v>5</v>
      </c>
      <c r="CB997" s="6" t="s">
        <v>5</v>
      </c>
      <c r="CC997" s="6" t="s">
        <v>5</v>
      </c>
      <c r="CD997" s="6" t="s">
        <v>5</v>
      </c>
      <c r="CE997" s="6" t="s">
        <v>5</v>
      </c>
      <c r="CF997" s="16" t="s">
        <v>5</v>
      </c>
      <c r="CG997" s="16" t="s">
        <v>5</v>
      </c>
      <c r="CH997" s="18" t="s">
        <v>5</v>
      </c>
    </row>
    <row r="998" spans="2:86">
      <c r="B998" s="78" t="s">
        <v>473</v>
      </c>
      <c r="C998" s="79" t="s">
        <v>1098</v>
      </c>
      <c r="D998" s="80" t="s">
        <v>1098</v>
      </c>
      <c r="E998" s="1" t="s">
        <v>4</v>
      </c>
      <c r="F998" s="4">
        <v>13.2</v>
      </c>
      <c r="G998" s="7">
        <v>3.88</v>
      </c>
      <c r="H998" s="3" t="str">
        <f t="shared" si="34"/>
        <v>2L5X3X1/4X3/4SLBB</v>
      </c>
      <c r="I998" s="7">
        <v>3</v>
      </c>
      <c r="J998" s="5" t="s">
        <v>5</v>
      </c>
      <c r="K998" s="6" t="s">
        <v>5</v>
      </c>
      <c r="L998" s="6" t="s">
        <v>5</v>
      </c>
      <c r="M998" s="6" t="s">
        <v>5</v>
      </c>
      <c r="N998" s="6" t="s">
        <v>5</v>
      </c>
      <c r="O998" s="5" t="s">
        <v>5</v>
      </c>
      <c r="P998" s="5" t="s">
        <v>5</v>
      </c>
      <c r="Q998" s="7">
        <v>5</v>
      </c>
      <c r="R998" s="6" t="s">
        <v>5</v>
      </c>
      <c r="S998" s="6" t="s">
        <v>5</v>
      </c>
      <c r="T998" s="5" t="s">
        <v>5</v>
      </c>
      <c r="U998" s="8" t="s">
        <v>5</v>
      </c>
      <c r="V998" s="6" t="s">
        <v>5</v>
      </c>
      <c r="W998" s="8" t="s">
        <v>5</v>
      </c>
      <c r="X998" s="22">
        <v>0.25</v>
      </c>
      <c r="Y998" s="6" t="s">
        <v>5</v>
      </c>
      <c r="Z998" s="6" t="s">
        <v>5</v>
      </c>
      <c r="AA998" s="6" t="s">
        <v>5</v>
      </c>
      <c r="AB998" s="8" t="s">
        <v>5</v>
      </c>
      <c r="AC998" s="8" t="s">
        <v>5</v>
      </c>
      <c r="AD998" s="6" t="s">
        <v>5</v>
      </c>
      <c r="AE998" s="22">
        <v>0.64800000000000002</v>
      </c>
      <c r="AF998" s="6" t="s">
        <v>5</v>
      </c>
      <c r="AG998" s="6" t="s">
        <v>5</v>
      </c>
      <c r="AH998" s="22">
        <v>0.19400000000000001</v>
      </c>
      <c r="AI998" s="6" t="s">
        <v>5</v>
      </c>
      <c r="AJ998" s="4">
        <v>20</v>
      </c>
      <c r="AK998" s="6" t="s">
        <v>5</v>
      </c>
      <c r="AL998" s="6" t="s">
        <v>5</v>
      </c>
      <c r="AM998" s="6" t="s">
        <v>5</v>
      </c>
      <c r="AN998" s="6" t="s">
        <v>5</v>
      </c>
      <c r="AO998" s="7">
        <v>2.82</v>
      </c>
      <c r="AP998" s="7">
        <v>2.1</v>
      </c>
      <c r="AQ998" s="7">
        <v>1.2</v>
      </c>
      <c r="AR998" s="22">
        <v>0.85299999999999998</v>
      </c>
      <c r="AS998" s="6">
        <v>25.8</v>
      </c>
      <c r="AT998" s="6">
        <v>7.82</v>
      </c>
      <c r="AU998" s="7">
        <v>4.8</v>
      </c>
      <c r="AV998" s="7">
        <v>2.58</v>
      </c>
      <c r="AW998" s="6" t="s">
        <v>5</v>
      </c>
      <c r="AX998" s="6" t="s">
        <v>5</v>
      </c>
      <c r="AY998" s="6" t="s">
        <v>5</v>
      </c>
      <c r="AZ998" s="6" t="s">
        <v>5</v>
      </c>
      <c r="BA998" s="6" t="s">
        <v>5</v>
      </c>
      <c r="BB998" s="6" t="s">
        <v>5</v>
      </c>
      <c r="BC998" s="6" t="s">
        <v>5</v>
      </c>
      <c r="BD998" s="6" t="s">
        <v>5</v>
      </c>
      <c r="BE998" s="6" t="s">
        <v>5</v>
      </c>
      <c r="BF998" s="6" t="s">
        <v>5</v>
      </c>
      <c r="BG998" s="6" t="s">
        <v>5</v>
      </c>
      <c r="BH998" s="6" t="s">
        <v>5</v>
      </c>
      <c r="BI998" s="7">
        <v>2.77</v>
      </c>
      <c r="BJ998" s="22">
        <v>0.96399999999999997</v>
      </c>
      <c r="BK998" s="6" t="s">
        <v>5</v>
      </c>
      <c r="BL998" s="2" t="s">
        <v>5</v>
      </c>
      <c r="BM998" s="2" t="s">
        <v>5</v>
      </c>
      <c r="BN998" s="2" t="s">
        <v>5</v>
      </c>
      <c r="BO998" s="2" t="s">
        <v>5</v>
      </c>
      <c r="BP998" s="2" t="s">
        <v>5</v>
      </c>
      <c r="BQ998" s="2" t="s">
        <v>5</v>
      </c>
      <c r="BR998" s="2" t="s">
        <v>5</v>
      </c>
      <c r="BS998" s="2" t="s">
        <v>5</v>
      </c>
      <c r="BT998" s="2" t="s">
        <v>5</v>
      </c>
      <c r="BU998" s="2" t="s">
        <v>5</v>
      </c>
      <c r="BV998" s="2" t="s">
        <v>5</v>
      </c>
      <c r="BW998" s="2" t="s">
        <v>5</v>
      </c>
      <c r="BX998" s="2" t="s">
        <v>5</v>
      </c>
      <c r="BY998" s="25" t="s">
        <v>5</v>
      </c>
      <c r="BZ998" s="25" t="s">
        <v>5</v>
      </c>
      <c r="CA998" s="6" t="s">
        <v>5</v>
      </c>
      <c r="CB998" s="6" t="s">
        <v>5</v>
      </c>
      <c r="CC998" s="6" t="s">
        <v>5</v>
      </c>
      <c r="CD998" s="6" t="s">
        <v>5</v>
      </c>
      <c r="CE998" s="6" t="s">
        <v>5</v>
      </c>
      <c r="CF998" s="16" t="s">
        <v>5</v>
      </c>
      <c r="CG998" s="16" t="s">
        <v>5</v>
      </c>
      <c r="CH998" s="18" t="s">
        <v>5</v>
      </c>
    </row>
    <row r="999" spans="2:86">
      <c r="B999" s="78" t="s">
        <v>473</v>
      </c>
      <c r="C999" s="79" t="s">
        <v>1099</v>
      </c>
      <c r="D999" s="80" t="s">
        <v>1099</v>
      </c>
      <c r="E999" s="1" t="s">
        <v>4</v>
      </c>
      <c r="F999" s="4">
        <v>23.8</v>
      </c>
      <c r="G999" s="7">
        <v>7</v>
      </c>
      <c r="H999" s="3" t="str">
        <f t="shared" si="34"/>
        <v>2L4X3-1/2X1/2SLBB</v>
      </c>
      <c r="I999" s="7">
        <v>3.5</v>
      </c>
      <c r="J999" s="5" t="s">
        <v>5</v>
      </c>
      <c r="K999" s="6" t="s">
        <v>5</v>
      </c>
      <c r="L999" s="6" t="s">
        <v>5</v>
      </c>
      <c r="M999" s="6" t="s">
        <v>5</v>
      </c>
      <c r="N999" s="6" t="s">
        <v>5</v>
      </c>
      <c r="O999" s="5" t="s">
        <v>5</v>
      </c>
      <c r="P999" s="5" t="s">
        <v>5</v>
      </c>
      <c r="Q999" s="7">
        <v>4</v>
      </c>
      <c r="R999" s="6" t="s">
        <v>5</v>
      </c>
      <c r="S999" s="6" t="s">
        <v>5</v>
      </c>
      <c r="T999" s="5" t="s">
        <v>5</v>
      </c>
      <c r="U999" s="8" t="s">
        <v>5</v>
      </c>
      <c r="V999" s="6" t="s">
        <v>5</v>
      </c>
      <c r="W999" s="8" t="s">
        <v>5</v>
      </c>
      <c r="X999" s="22">
        <v>0.5</v>
      </c>
      <c r="Y999" s="6" t="s">
        <v>5</v>
      </c>
      <c r="Z999" s="6" t="s">
        <v>5</v>
      </c>
      <c r="AA999" s="6" t="s">
        <v>5</v>
      </c>
      <c r="AB999" s="8" t="s">
        <v>5</v>
      </c>
      <c r="AC999" s="8" t="s">
        <v>5</v>
      </c>
      <c r="AD999" s="6" t="s">
        <v>5</v>
      </c>
      <c r="AE999" s="22">
        <v>0.99399999999999999</v>
      </c>
      <c r="AF999" s="6" t="s">
        <v>5</v>
      </c>
      <c r="AG999" s="6" t="s">
        <v>5</v>
      </c>
      <c r="AH999" s="22">
        <v>0.438</v>
      </c>
      <c r="AI999" s="6" t="s">
        <v>5</v>
      </c>
      <c r="AJ999" s="7">
        <v>8</v>
      </c>
      <c r="AK999" s="6" t="s">
        <v>5</v>
      </c>
      <c r="AL999" s="6" t="s">
        <v>5</v>
      </c>
      <c r="AM999" s="6" t="s">
        <v>5</v>
      </c>
      <c r="AN999" s="6" t="s">
        <v>5</v>
      </c>
      <c r="AO999" s="7">
        <v>7.53</v>
      </c>
      <c r="AP999" s="7">
        <v>5.39</v>
      </c>
      <c r="AQ999" s="7">
        <v>3</v>
      </c>
      <c r="AR999" s="7">
        <v>1.04</v>
      </c>
      <c r="AS999" s="6">
        <v>21.4</v>
      </c>
      <c r="AT999" s="6">
        <v>8.68</v>
      </c>
      <c r="AU999" s="6">
        <v>5.35</v>
      </c>
      <c r="AV999" s="7">
        <v>1.75</v>
      </c>
      <c r="AW999" s="6" t="s">
        <v>5</v>
      </c>
      <c r="AX999" s="6" t="s">
        <v>5</v>
      </c>
      <c r="AY999" s="6" t="s">
        <v>5</v>
      </c>
      <c r="AZ999" s="6" t="s">
        <v>5</v>
      </c>
      <c r="BA999" s="6" t="s">
        <v>5</v>
      </c>
      <c r="BB999" s="6" t="s">
        <v>5</v>
      </c>
      <c r="BC999" s="6" t="s">
        <v>5</v>
      </c>
      <c r="BD999" s="6" t="s">
        <v>5</v>
      </c>
      <c r="BE999" s="6" t="s">
        <v>5</v>
      </c>
      <c r="BF999" s="6" t="s">
        <v>5</v>
      </c>
      <c r="BG999" s="6" t="s">
        <v>5</v>
      </c>
      <c r="BH999" s="6" t="s">
        <v>5</v>
      </c>
      <c r="BI999" s="7">
        <v>2.16</v>
      </c>
      <c r="BJ999" s="22">
        <v>0.88200000000000001</v>
      </c>
      <c r="BK999" s="6" t="s">
        <v>5</v>
      </c>
      <c r="BL999" s="2" t="s">
        <v>5</v>
      </c>
      <c r="BM999" s="2" t="s">
        <v>5</v>
      </c>
      <c r="BN999" s="2" t="s">
        <v>5</v>
      </c>
      <c r="BO999" s="2" t="s">
        <v>5</v>
      </c>
      <c r="BP999" s="2" t="s">
        <v>5</v>
      </c>
      <c r="BQ999" s="2" t="s">
        <v>5</v>
      </c>
      <c r="BR999" s="2" t="s">
        <v>5</v>
      </c>
      <c r="BS999" s="2" t="s">
        <v>5</v>
      </c>
      <c r="BT999" s="2" t="s">
        <v>5</v>
      </c>
      <c r="BU999" s="2" t="s">
        <v>5</v>
      </c>
      <c r="BV999" s="2" t="s">
        <v>5</v>
      </c>
      <c r="BW999" s="2" t="s">
        <v>5</v>
      </c>
      <c r="BX999" s="2" t="s">
        <v>5</v>
      </c>
      <c r="BY999" s="25" t="s">
        <v>5</v>
      </c>
      <c r="BZ999" s="25" t="s">
        <v>5</v>
      </c>
      <c r="CA999" s="6" t="s">
        <v>5</v>
      </c>
      <c r="CB999" s="6" t="s">
        <v>5</v>
      </c>
      <c r="CC999" s="6" t="s">
        <v>5</v>
      </c>
      <c r="CD999" s="6" t="s">
        <v>5</v>
      </c>
      <c r="CE999" s="6" t="s">
        <v>5</v>
      </c>
      <c r="CF999" s="16" t="s">
        <v>5</v>
      </c>
      <c r="CG999" s="16" t="s">
        <v>5</v>
      </c>
      <c r="CH999" s="18" t="s">
        <v>5</v>
      </c>
    </row>
    <row r="1000" spans="2:86">
      <c r="B1000" s="78" t="s">
        <v>473</v>
      </c>
      <c r="C1000" s="79" t="s">
        <v>1100</v>
      </c>
      <c r="D1000" s="80" t="s">
        <v>1100</v>
      </c>
      <c r="E1000" s="1" t="s">
        <v>4</v>
      </c>
      <c r="F1000" s="4">
        <v>23.8</v>
      </c>
      <c r="G1000" s="7">
        <v>7</v>
      </c>
      <c r="H1000" s="3" t="str">
        <f t="shared" si="34"/>
        <v>2L4X3-1/2X1/2X3/8SLBB</v>
      </c>
      <c r="I1000" s="7">
        <v>3.5</v>
      </c>
      <c r="J1000" s="5" t="s">
        <v>5</v>
      </c>
      <c r="K1000" s="6" t="s">
        <v>5</v>
      </c>
      <c r="L1000" s="6" t="s">
        <v>5</v>
      </c>
      <c r="M1000" s="6" t="s">
        <v>5</v>
      </c>
      <c r="N1000" s="6" t="s">
        <v>5</v>
      </c>
      <c r="O1000" s="5" t="s">
        <v>5</v>
      </c>
      <c r="P1000" s="5" t="s">
        <v>5</v>
      </c>
      <c r="Q1000" s="7">
        <v>4</v>
      </c>
      <c r="R1000" s="6" t="s">
        <v>5</v>
      </c>
      <c r="S1000" s="6" t="s">
        <v>5</v>
      </c>
      <c r="T1000" s="5" t="s">
        <v>5</v>
      </c>
      <c r="U1000" s="8" t="s">
        <v>5</v>
      </c>
      <c r="V1000" s="6" t="s">
        <v>5</v>
      </c>
      <c r="W1000" s="8" t="s">
        <v>5</v>
      </c>
      <c r="X1000" s="22">
        <v>0.5</v>
      </c>
      <c r="Y1000" s="6" t="s">
        <v>5</v>
      </c>
      <c r="Z1000" s="6" t="s">
        <v>5</v>
      </c>
      <c r="AA1000" s="6" t="s">
        <v>5</v>
      </c>
      <c r="AB1000" s="8" t="s">
        <v>5</v>
      </c>
      <c r="AC1000" s="8" t="s">
        <v>5</v>
      </c>
      <c r="AD1000" s="6" t="s">
        <v>5</v>
      </c>
      <c r="AE1000" s="22">
        <v>0.99399999999999999</v>
      </c>
      <c r="AF1000" s="6" t="s">
        <v>5</v>
      </c>
      <c r="AG1000" s="6" t="s">
        <v>5</v>
      </c>
      <c r="AH1000" s="22">
        <v>0.438</v>
      </c>
      <c r="AI1000" s="6" t="s">
        <v>5</v>
      </c>
      <c r="AJ1000" s="7">
        <v>8</v>
      </c>
      <c r="AK1000" s="6" t="s">
        <v>5</v>
      </c>
      <c r="AL1000" s="6" t="s">
        <v>5</v>
      </c>
      <c r="AM1000" s="6" t="s">
        <v>5</v>
      </c>
      <c r="AN1000" s="6" t="s">
        <v>5</v>
      </c>
      <c r="AO1000" s="7">
        <v>7.53</v>
      </c>
      <c r="AP1000" s="7">
        <v>5.39</v>
      </c>
      <c r="AQ1000" s="7">
        <v>3</v>
      </c>
      <c r="AR1000" s="7">
        <v>1.04</v>
      </c>
      <c r="AS1000" s="4">
        <v>25</v>
      </c>
      <c r="AT1000" s="6">
        <v>9.99</v>
      </c>
      <c r="AU1000" s="6">
        <v>5.97</v>
      </c>
      <c r="AV1000" s="7">
        <v>1.89</v>
      </c>
      <c r="AW1000" s="6" t="s">
        <v>5</v>
      </c>
      <c r="AX1000" s="6" t="s">
        <v>5</v>
      </c>
      <c r="AY1000" s="6" t="s">
        <v>5</v>
      </c>
      <c r="AZ1000" s="6" t="s">
        <v>5</v>
      </c>
      <c r="BA1000" s="6" t="s">
        <v>5</v>
      </c>
      <c r="BB1000" s="6" t="s">
        <v>5</v>
      </c>
      <c r="BC1000" s="6" t="s">
        <v>5</v>
      </c>
      <c r="BD1000" s="6" t="s">
        <v>5</v>
      </c>
      <c r="BE1000" s="6" t="s">
        <v>5</v>
      </c>
      <c r="BF1000" s="6" t="s">
        <v>5</v>
      </c>
      <c r="BG1000" s="6" t="s">
        <v>5</v>
      </c>
      <c r="BH1000" s="6" t="s">
        <v>5</v>
      </c>
      <c r="BI1000" s="7">
        <v>2.2799999999999998</v>
      </c>
      <c r="BJ1000" s="22">
        <v>0.89300000000000002</v>
      </c>
      <c r="BK1000" s="6" t="s">
        <v>5</v>
      </c>
      <c r="BL1000" s="2" t="s">
        <v>5</v>
      </c>
      <c r="BM1000" s="2" t="s">
        <v>5</v>
      </c>
      <c r="BN1000" s="2" t="s">
        <v>5</v>
      </c>
      <c r="BO1000" s="2" t="s">
        <v>5</v>
      </c>
      <c r="BP1000" s="2" t="s">
        <v>5</v>
      </c>
      <c r="BQ1000" s="2" t="s">
        <v>5</v>
      </c>
      <c r="BR1000" s="2" t="s">
        <v>5</v>
      </c>
      <c r="BS1000" s="2" t="s">
        <v>5</v>
      </c>
      <c r="BT1000" s="2" t="s">
        <v>5</v>
      </c>
      <c r="BU1000" s="2" t="s">
        <v>5</v>
      </c>
      <c r="BV1000" s="2" t="s">
        <v>5</v>
      </c>
      <c r="BW1000" s="2" t="s">
        <v>5</v>
      </c>
      <c r="BX1000" s="2" t="s">
        <v>5</v>
      </c>
      <c r="BY1000" s="25" t="s">
        <v>5</v>
      </c>
      <c r="BZ1000" s="25" t="s">
        <v>5</v>
      </c>
      <c r="CA1000" s="6" t="s">
        <v>5</v>
      </c>
      <c r="CB1000" s="6" t="s">
        <v>5</v>
      </c>
      <c r="CC1000" s="6" t="s">
        <v>5</v>
      </c>
      <c r="CD1000" s="6" t="s">
        <v>5</v>
      </c>
      <c r="CE1000" s="6" t="s">
        <v>5</v>
      </c>
      <c r="CF1000" s="16" t="s">
        <v>5</v>
      </c>
      <c r="CG1000" s="16" t="s">
        <v>5</v>
      </c>
      <c r="CH1000" s="18" t="s">
        <v>5</v>
      </c>
    </row>
    <row r="1001" spans="2:86">
      <c r="B1001" s="78" t="s">
        <v>473</v>
      </c>
      <c r="C1001" s="79" t="s">
        <v>1101</v>
      </c>
      <c r="D1001" s="80" t="s">
        <v>1101</v>
      </c>
      <c r="E1001" s="1" t="s">
        <v>4</v>
      </c>
      <c r="F1001" s="4">
        <v>23.8</v>
      </c>
      <c r="G1001" s="7">
        <v>7</v>
      </c>
      <c r="H1001" s="3" t="str">
        <f t="shared" si="34"/>
        <v>2L4X3-1/2X1/2X3/4SLBB</v>
      </c>
      <c r="I1001" s="7">
        <v>3.5</v>
      </c>
      <c r="J1001" s="5" t="s">
        <v>5</v>
      </c>
      <c r="K1001" s="6" t="s">
        <v>5</v>
      </c>
      <c r="L1001" s="6" t="s">
        <v>5</v>
      </c>
      <c r="M1001" s="6" t="s">
        <v>5</v>
      </c>
      <c r="N1001" s="6" t="s">
        <v>5</v>
      </c>
      <c r="O1001" s="5" t="s">
        <v>5</v>
      </c>
      <c r="P1001" s="5" t="s">
        <v>5</v>
      </c>
      <c r="Q1001" s="7">
        <v>4</v>
      </c>
      <c r="R1001" s="6" t="s">
        <v>5</v>
      </c>
      <c r="S1001" s="6" t="s">
        <v>5</v>
      </c>
      <c r="T1001" s="5" t="s">
        <v>5</v>
      </c>
      <c r="U1001" s="8" t="s">
        <v>5</v>
      </c>
      <c r="V1001" s="6" t="s">
        <v>5</v>
      </c>
      <c r="W1001" s="8" t="s">
        <v>5</v>
      </c>
      <c r="X1001" s="22">
        <v>0.5</v>
      </c>
      <c r="Y1001" s="6" t="s">
        <v>5</v>
      </c>
      <c r="Z1001" s="6" t="s">
        <v>5</v>
      </c>
      <c r="AA1001" s="6" t="s">
        <v>5</v>
      </c>
      <c r="AB1001" s="8" t="s">
        <v>5</v>
      </c>
      <c r="AC1001" s="8" t="s">
        <v>5</v>
      </c>
      <c r="AD1001" s="6" t="s">
        <v>5</v>
      </c>
      <c r="AE1001" s="22">
        <v>0.99399999999999999</v>
      </c>
      <c r="AF1001" s="6" t="s">
        <v>5</v>
      </c>
      <c r="AG1001" s="6" t="s">
        <v>5</v>
      </c>
      <c r="AH1001" s="22">
        <v>0.438</v>
      </c>
      <c r="AI1001" s="6" t="s">
        <v>5</v>
      </c>
      <c r="AJ1001" s="7">
        <v>8</v>
      </c>
      <c r="AK1001" s="6" t="s">
        <v>5</v>
      </c>
      <c r="AL1001" s="6" t="s">
        <v>5</v>
      </c>
      <c r="AM1001" s="6" t="s">
        <v>5</v>
      </c>
      <c r="AN1001" s="6" t="s">
        <v>5</v>
      </c>
      <c r="AO1001" s="7">
        <v>7.53</v>
      </c>
      <c r="AP1001" s="7">
        <v>5.39</v>
      </c>
      <c r="AQ1001" s="7">
        <v>3</v>
      </c>
      <c r="AR1001" s="7">
        <v>1.04</v>
      </c>
      <c r="AS1001" s="6">
        <v>28.8</v>
      </c>
      <c r="AT1001" s="6">
        <v>11.3</v>
      </c>
      <c r="AU1001" s="6">
        <v>6.58</v>
      </c>
      <c r="AV1001" s="7">
        <v>2.0299999999999998</v>
      </c>
      <c r="AW1001" s="6" t="s">
        <v>5</v>
      </c>
      <c r="AX1001" s="6" t="s">
        <v>5</v>
      </c>
      <c r="AY1001" s="6" t="s">
        <v>5</v>
      </c>
      <c r="AZ1001" s="6" t="s">
        <v>5</v>
      </c>
      <c r="BA1001" s="6" t="s">
        <v>5</v>
      </c>
      <c r="BB1001" s="6" t="s">
        <v>5</v>
      </c>
      <c r="BC1001" s="6" t="s">
        <v>5</v>
      </c>
      <c r="BD1001" s="6" t="s">
        <v>5</v>
      </c>
      <c r="BE1001" s="6" t="s">
        <v>5</v>
      </c>
      <c r="BF1001" s="6" t="s">
        <v>5</v>
      </c>
      <c r="BG1001" s="6" t="s">
        <v>5</v>
      </c>
      <c r="BH1001" s="6" t="s">
        <v>5</v>
      </c>
      <c r="BI1001" s="7">
        <v>2.4</v>
      </c>
      <c r="BJ1001" s="22">
        <v>0.90400000000000003</v>
      </c>
      <c r="BK1001" s="6" t="s">
        <v>5</v>
      </c>
      <c r="BL1001" s="2" t="s">
        <v>5</v>
      </c>
      <c r="BM1001" s="2" t="s">
        <v>5</v>
      </c>
      <c r="BN1001" s="2" t="s">
        <v>5</v>
      </c>
      <c r="BO1001" s="2" t="s">
        <v>5</v>
      </c>
      <c r="BP1001" s="2" t="s">
        <v>5</v>
      </c>
      <c r="BQ1001" s="2" t="s">
        <v>5</v>
      </c>
      <c r="BR1001" s="2" t="s">
        <v>5</v>
      </c>
      <c r="BS1001" s="2" t="s">
        <v>5</v>
      </c>
      <c r="BT1001" s="2" t="s">
        <v>5</v>
      </c>
      <c r="BU1001" s="2" t="s">
        <v>5</v>
      </c>
      <c r="BV1001" s="2" t="s">
        <v>5</v>
      </c>
      <c r="BW1001" s="2" t="s">
        <v>5</v>
      </c>
      <c r="BX1001" s="2" t="s">
        <v>5</v>
      </c>
      <c r="BY1001" s="25" t="s">
        <v>5</v>
      </c>
      <c r="BZ1001" s="25" t="s">
        <v>5</v>
      </c>
      <c r="CA1001" s="6" t="s">
        <v>5</v>
      </c>
      <c r="CB1001" s="6" t="s">
        <v>5</v>
      </c>
      <c r="CC1001" s="6" t="s">
        <v>5</v>
      </c>
      <c r="CD1001" s="6" t="s">
        <v>5</v>
      </c>
      <c r="CE1001" s="6" t="s">
        <v>5</v>
      </c>
      <c r="CF1001" s="16" t="s">
        <v>5</v>
      </c>
      <c r="CG1001" s="16" t="s">
        <v>5</v>
      </c>
      <c r="CH1001" s="18" t="s">
        <v>5</v>
      </c>
    </row>
    <row r="1002" spans="2:86">
      <c r="B1002" s="78" t="s">
        <v>473</v>
      </c>
      <c r="C1002" s="79" t="s">
        <v>1102</v>
      </c>
      <c r="D1002" s="80" t="s">
        <v>1102</v>
      </c>
      <c r="E1002" s="1" t="s">
        <v>4</v>
      </c>
      <c r="F1002" s="4">
        <v>18.2</v>
      </c>
      <c r="G1002" s="7">
        <v>5.36</v>
      </c>
      <c r="H1002" s="3" t="str">
        <f t="shared" si="34"/>
        <v>2L4X3-1/2X3/8SLBB</v>
      </c>
      <c r="I1002" s="7">
        <v>3.5</v>
      </c>
      <c r="J1002" s="5" t="s">
        <v>5</v>
      </c>
      <c r="K1002" s="6" t="s">
        <v>5</v>
      </c>
      <c r="L1002" s="6" t="s">
        <v>5</v>
      </c>
      <c r="M1002" s="6" t="s">
        <v>5</v>
      </c>
      <c r="N1002" s="6" t="s">
        <v>5</v>
      </c>
      <c r="O1002" s="5" t="s">
        <v>5</v>
      </c>
      <c r="P1002" s="5" t="s">
        <v>5</v>
      </c>
      <c r="Q1002" s="7">
        <v>4</v>
      </c>
      <c r="R1002" s="6" t="s">
        <v>5</v>
      </c>
      <c r="S1002" s="6" t="s">
        <v>5</v>
      </c>
      <c r="T1002" s="5" t="s">
        <v>5</v>
      </c>
      <c r="U1002" s="8" t="s">
        <v>5</v>
      </c>
      <c r="V1002" s="6" t="s">
        <v>5</v>
      </c>
      <c r="W1002" s="8" t="s">
        <v>5</v>
      </c>
      <c r="X1002" s="22">
        <v>0.375</v>
      </c>
      <c r="Y1002" s="6" t="s">
        <v>5</v>
      </c>
      <c r="Z1002" s="6" t="s">
        <v>5</v>
      </c>
      <c r="AA1002" s="6" t="s">
        <v>5</v>
      </c>
      <c r="AB1002" s="8" t="s">
        <v>5</v>
      </c>
      <c r="AC1002" s="8" t="s">
        <v>5</v>
      </c>
      <c r="AD1002" s="6" t="s">
        <v>5</v>
      </c>
      <c r="AE1002" s="22">
        <v>0.94699999999999995</v>
      </c>
      <c r="AF1002" s="6" t="s">
        <v>5</v>
      </c>
      <c r="AG1002" s="6" t="s">
        <v>5</v>
      </c>
      <c r="AH1002" s="22">
        <v>0.33500000000000002</v>
      </c>
      <c r="AI1002" s="6" t="s">
        <v>5</v>
      </c>
      <c r="AJ1002" s="4">
        <v>10.7</v>
      </c>
      <c r="AK1002" s="6" t="s">
        <v>5</v>
      </c>
      <c r="AL1002" s="6" t="s">
        <v>5</v>
      </c>
      <c r="AM1002" s="6" t="s">
        <v>5</v>
      </c>
      <c r="AN1002" s="6" t="s">
        <v>5</v>
      </c>
      <c r="AO1002" s="7">
        <v>5.92</v>
      </c>
      <c r="AP1002" s="7">
        <v>4.13</v>
      </c>
      <c r="AQ1002" s="7">
        <v>2.3199999999999998</v>
      </c>
      <c r="AR1002" s="7">
        <v>1.05</v>
      </c>
      <c r="AS1002" s="4">
        <v>16</v>
      </c>
      <c r="AT1002" s="6">
        <v>6.43</v>
      </c>
      <c r="AU1002" s="7">
        <v>4</v>
      </c>
      <c r="AV1002" s="7">
        <v>1.73</v>
      </c>
      <c r="AW1002" s="6" t="s">
        <v>5</v>
      </c>
      <c r="AX1002" s="6" t="s">
        <v>5</v>
      </c>
      <c r="AY1002" s="6" t="s">
        <v>5</v>
      </c>
      <c r="AZ1002" s="6" t="s">
        <v>5</v>
      </c>
      <c r="BA1002" s="6" t="s">
        <v>5</v>
      </c>
      <c r="BB1002" s="6" t="s">
        <v>5</v>
      </c>
      <c r="BC1002" s="6" t="s">
        <v>5</v>
      </c>
      <c r="BD1002" s="6" t="s">
        <v>5</v>
      </c>
      <c r="BE1002" s="6" t="s">
        <v>5</v>
      </c>
      <c r="BF1002" s="6" t="s">
        <v>5</v>
      </c>
      <c r="BG1002" s="6" t="s">
        <v>5</v>
      </c>
      <c r="BH1002" s="6" t="s">
        <v>5</v>
      </c>
      <c r="BI1002" s="7">
        <v>2.16</v>
      </c>
      <c r="BJ1002" s="22">
        <v>0.876</v>
      </c>
      <c r="BK1002" s="6" t="s">
        <v>5</v>
      </c>
      <c r="BL1002" s="2" t="s">
        <v>5</v>
      </c>
      <c r="BM1002" s="2" t="s">
        <v>5</v>
      </c>
      <c r="BN1002" s="2" t="s">
        <v>5</v>
      </c>
      <c r="BO1002" s="2" t="s">
        <v>5</v>
      </c>
      <c r="BP1002" s="2" t="s">
        <v>5</v>
      </c>
      <c r="BQ1002" s="2" t="s">
        <v>5</v>
      </c>
      <c r="BR1002" s="2" t="s">
        <v>5</v>
      </c>
      <c r="BS1002" s="2" t="s">
        <v>5</v>
      </c>
      <c r="BT1002" s="2" t="s">
        <v>5</v>
      </c>
      <c r="BU1002" s="2" t="s">
        <v>5</v>
      </c>
      <c r="BV1002" s="2" t="s">
        <v>5</v>
      </c>
      <c r="BW1002" s="2" t="s">
        <v>5</v>
      </c>
      <c r="BX1002" s="2" t="s">
        <v>5</v>
      </c>
      <c r="BY1002" s="25" t="s">
        <v>5</v>
      </c>
      <c r="BZ1002" s="25" t="s">
        <v>5</v>
      </c>
      <c r="CA1002" s="6" t="s">
        <v>5</v>
      </c>
      <c r="CB1002" s="6" t="s">
        <v>5</v>
      </c>
      <c r="CC1002" s="6" t="s">
        <v>5</v>
      </c>
      <c r="CD1002" s="6" t="s">
        <v>5</v>
      </c>
      <c r="CE1002" s="6" t="s">
        <v>5</v>
      </c>
      <c r="CF1002" s="16" t="s">
        <v>5</v>
      </c>
      <c r="CG1002" s="16" t="s">
        <v>5</v>
      </c>
      <c r="CH1002" s="18" t="s">
        <v>5</v>
      </c>
    </row>
    <row r="1003" spans="2:86">
      <c r="B1003" s="78" t="s">
        <v>473</v>
      </c>
      <c r="C1003" s="79" t="s">
        <v>1103</v>
      </c>
      <c r="D1003" s="80" t="s">
        <v>1103</v>
      </c>
      <c r="E1003" s="1" t="s">
        <v>4</v>
      </c>
      <c r="F1003" s="4">
        <v>18.2</v>
      </c>
      <c r="G1003" s="7">
        <v>5.36</v>
      </c>
      <c r="H1003" s="3" t="str">
        <f t="shared" si="34"/>
        <v>2L4X3-1/2X3/8X3/8SLBB</v>
      </c>
      <c r="I1003" s="7">
        <v>3.5</v>
      </c>
      <c r="J1003" s="5" t="s">
        <v>5</v>
      </c>
      <c r="K1003" s="6" t="s">
        <v>5</v>
      </c>
      <c r="L1003" s="6" t="s">
        <v>5</v>
      </c>
      <c r="M1003" s="6" t="s">
        <v>5</v>
      </c>
      <c r="N1003" s="6" t="s">
        <v>5</v>
      </c>
      <c r="O1003" s="5" t="s">
        <v>5</v>
      </c>
      <c r="P1003" s="5" t="s">
        <v>5</v>
      </c>
      <c r="Q1003" s="7">
        <v>4</v>
      </c>
      <c r="R1003" s="6" t="s">
        <v>5</v>
      </c>
      <c r="S1003" s="6" t="s">
        <v>5</v>
      </c>
      <c r="T1003" s="5" t="s">
        <v>5</v>
      </c>
      <c r="U1003" s="8" t="s">
        <v>5</v>
      </c>
      <c r="V1003" s="6" t="s">
        <v>5</v>
      </c>
      <c r="W1003" s="8" t="s">
        <v>5</v>
      </c>
      <c r="X1003" s="22">
        <v>0.375</v>
      </c>
      <c r="Y1003" s="6" t="s">
        <v>5</v>
      </c>
      <c r="Z1003" s="6" t="s">
        <v>5</v>
      </c>
      <c r="AA1003" s="6" t="s">
        <v>5</v>
      </c>
      <c r="AB1003" s="8" t="s">
        <v>5</v>
      </c>
      <c r="AC1003" s="8" t="s">
        <v>5</v>
      </c>
      <c r="AD1003" s="6" t="s">
        <v>5</v>
      </c>
      <c r="AE1003" s="22">
        <v>0.94699999999999995</v>
      </c>
      <c r="AF1003" s="6" t="s">
        <v>5</v>
      </c>
      <c r="AG1003" s="6" t="s">
        <v>5</v>
      </c>
      <c r="AH1003" s="22">
        <v>0.33500000000000002</v>
      </c>
      <c r="AI1003" s="6" t="s">
        <v>5</v>
      </c>
      <c r="AJ1003" s="4">
        <v>10.7</v>
      </c>
      <c r="AK1003" s="6" t="s">
        <v>5</v>
      </c>
      <c r="AL1003" s="6" t="s">
        <v>5</v>
      </c>
      <c r="AM1003" s="6" t="s">
        <v>5</v>
      </c>
      <c r="AN1003" s="6" t="s">
        <v>5</v>
      </c>
      <c r="AO1003" s="7">
        <v>5.92</v>
      </c>
      <c r="AP1003" s="7">
        <v>4.13</v>
      </c>
      <c r="AQ1003" s="7">
        <v>2.3199999999999998</v>
      </c>
      <c r="AR1003" s="7">
        <v>1.05</v>
      </c>
      <c r="AS1003" s="6">
        <v>18.5</v>
      </c>
      <c r="AT1003" s="6">
        <v>7.44</v>
      </c>
      <c r="AU1003" s="6">
        <v>4.42</v>
      </c>
      <c r="AV1003" s="7">
        <v>1.86</v>
      </c>
      <c r="AW1003" s="6" t="s">
        <v>5</v>
      </c>
      <c r="AX1003" s="6" t="s">
        <v>5</v>
      </c>
      <c r="AY1003" s="6" t="s">
        <v>5</v>
      </c>
      <c r="AZ1003" s="6" t="s">
        <v>5</v>
      </c>
      <c r="BA1003" s="6" t="s">
        <v>5</v>
      </c>
      <c r="BB1003" s="6" t="s">
        <v>5</v>
      </c>
      <c r="BC1003" s="6" t="s">
        <v>5</v>
      </c>
      <c r="BD1003" s="6" t="s">
        <v>5</v>
      </c>
      <c r="BE1003" s="6" t="s">
        <v>5</v>
      </c>
      <c r="BF1003" s="6" t="s">
        <v>5</v>
      </c>
      <c r="BG1003" s="6" t="s">
        <v>5</v>
      </c>
      <c r="BH1003" s="6" t="s">
        <v>5</v>
      </c>
      <c r="BI1003" s="7">
        <v>2.27</v>
      </c>
      <c r="BJ1003" s="22">
        <v>0.88800000000000001</v>
      </c>
      <c r="BK1003" s="6" t="s">
        <v>5</v>
      </c>
      <c r="BL1003" s="2" t="s">
        <v>5</v>
      </c>
      <c r="BM1003" s="2" t="s">
        <v>5</v>
      </c>
      <c r="BN1003" s="2" t="s">
        <v>5</v>
      </c>
      <c r="BO1003" s="2" t="s">
        <v>5</v>
      </c>
      <c r="BP1003" s="2" t="s">
        <v>5</v>
      </c>
      <c r="BQ1003" s="2" t="s">
        <v>5</v>
      </c>
      <c r="BR1003" s="2" t="s">
        <v>5</v>
      </c>
      <c r="BS1003" s="2" t="s">
        <v>5</v>
      </c>
      <c r="BT1003" s="2" t="s">
        <v>5</v>
      </c>
      <c r="BU1003" s="2" t="s">
        <v>5</v>
      </c>
      <c r="BV1003" s="2" t="s">
        <v>5</v>
      </c>
      <c r="BW1003" s="2" t="s">
        <v>5</v>
      </c>
      <c r="BX1003" s="2" t="s">
        <v>5</v>
      </c>
      <c r="BY1003" s="25" t="s">
        <v>5</v>
      </c>
      <c r="BZ1003" s="25" t="s">
        <v>5</v>
      </c>
      <c r="CA1003" s="6" t="s">
        <v>5</v>
      </c>
      <c r="CB1003" s="6" t="s">
        <v>5</v>
      </c>
      <c r="CC1003" s="6" t="s">
        <v>5</v>
      </c>
      <c r="CD1003" s="6" t="s">
        <v>5</v>
      </c>
      <c r="CE1003" s="6" t="s">
        <v>5</v>
      </c>
      <c r="CF1003" s="16" t="s">
        <v>5</v>
      </c>
      <c r="CG1003" s="16" t="s">
        <v>5</v>
      </c>
      <c r="CH1003" s="18" t="s">
        <v>5</v>
      </c>
    </row>
    <row r="1004" spans="2:86">
      <c r="B1004" s="78" t="s">
        <v>473</v>
      </c>
      <c r="C1004" s="79" t="s">
        <v>1104</v>
      </c>
      <c r="D1004" s="80" t="s">
        <v>1104</v>
      </c>
      <c r="E1004" s="1" t="s">
        <v>4</v>
      </c>
      <c r="F1004" s="4">
        <v>18.2</v>
      </c>
      <c r="G1004" s="7">
        <v>5.36</v>
      </c>
      <c r="H1004" s="3" t="str">
        <f t="shared" si="34"/>
        <v>2L4X3-1/2X3/8X3/4SLBB</v>
      </c>
      <c r="I1004" s="7">
        <v>3.5</v>
      </c>
      <c r="J1004" s="5" t="s">
        <v>5</v>
      </c>
      <c r="K1004" s="6" t="s">
        <v>5</v>
      </c>
      <c r="L1004" s="6" t="s">
        <v>5</v>
      </c>
      <c r="M1004" s="6" t="s">
        <v>5</v>
      </c>
      <c r="N1004" s="6" t="s">
        <v>5</v>
      </c>
      <c r="O1004" s="5" t="s">
        <v>5</v>
      </c>
      <c r="P1004" s="5" t="s">
        <v>5</v>
      </c>
      <c r="Q1004" s="7">
        <v>4</v>
      </c>
      <c r="R1004" s="6" t="s">
        <v>5</v>
      </c>
      <c r="S1004" s="6" t="s">
        <v>5</v>
      </c>
      <c r="T1004" s="5" t="s">
        <v>5</v>
      </c>
      <c r="U1004" s="8" t="s">
        <v>5</v>
      </c>
      <c r="V1004" s="6" t="s">
        <v>5</v>
      </c>
      <c r="W1004" s="8" t="s">
        <v>5</v>
      </c>
      <c r="X1004" s="22">
        <v>0.375</v>
      </c>
      <c r="Y1004" s="6" t="s">
        <v>5</v>
      </c>
      <c r="Z1004" s="6" t="s">
        <v>5</v>
      </c>
      <c r="AA1004" s="6" t="s">
        <v>5</v>
      </c>
      <c r="AB1004" s="8" t="s">
        <v>5</v>
      </c>
      <c r="AC1004" s="8" t="s">
        <v>5</v>
      </c>
      <c r="AD1004" s="6" t="s">
        <v>5</v>
      </c>
      <c r="AE1004" s="22">
        <v>0.94699999999999995</v>
      </c>
      <c r="AF1004" s="6" t="s">
        <v>5</v>
      </c>
      <c r="AG1004" s="6" t="s">
        <v>5</v>
      </c>
      <c r="AH1004" s="22">
        <v>0.33500000000000002</v>
      </c>
      <c r="AI1004" s="6" t="s">
        <v>5</v>
      </c>
      <c r="AJ1004" s="4">
        <v>10.7</v>
      </c>
      <c r="AK1004" s="6" t="s">
        <v>5</v>
      </c>
      <c r="AL1004" s="6" t="s">
        <v>5</v>
      </c>
      <c r="AM1004" s="6" t="s">
        <v>5</v>
      </c>
      <c r="AN1004" s="6" t="s">
        <v>5</v>
      </c>
      <c r="AO1004" s="7">
        <v>5.92</v>
      </c>
      <c r="AP1004" s="7">
        <v>4.13</v>
      </c>
      <c r="AQ1004" s="7">
        <v>2.3199999999999998</v>
      </c>
      <c r="AR1004" s="7">
        <v>1.05</v>
      </c>
      <c r="AS1004" s="6">
        <v>21.4</v>
      </c>
      <c r="AT1004" s="6">
        <v>8.44</v>
      </c>
      <c r="AU1004" s="6">
        <v>4.8899999999999997</v>
      </c>
      <c r="AV1004" s="7">
        <v>2</v>
      </c>
      <c r="AW1004" s="6" t="s">
        <v>5</v>
      </c>
      <c r="AX1004" s="6" t="s">
        <v>5</v>
      </c>
      <c r="AY1004" s="6" t="s">
        <v>5</v>
      </c>
      <c r="AZ1004" s="6" t="s">
        <v>5</v>
      </c>
      <c r="BA1004" s="6" t="s">
        <v>5</v>
      </c>
      <c r="BB1004" s="6" t="s">
        <v>5</v>
      </c>
      <c r="BC1004" s="6" t="s">
        <v>5</v>
      </c>
      <c r="BD1004" s="6" t="s">
        <v>5</v>
      </c>
      <c r="BE1004" s="6" t="s">
        <v>5</v>
      </c>
      <c r="BF1004" s="6" t="s">
        <v>5</v>
      </c>
      <c r="BG1004" s="6" t="s">
        <v>5</v>
      </c>
      <c r="BH1004" s="6" t="s">
        <v>5</v>
      </c>
      <c r="BI1004" s="7">
        <v>2.39</v>
      </c>
      <c r="BJ1004" s="22">
        <v>0.89900000000000002</v>
      </c>
      <c r="BK1004" s="6" t="s">
        <v>5</v>
      </c>
      <c r="BL1004" s="2" t="s">
        <v>5</v>
      </c>
      <c r="BM1004" s="2" t="s">
        <v>5</v>
      </c>
      <c r="BN1004" s="2" t="s">
        <v>5</v>
      </c>
      <c r="BO1004" s="2" t="s">
        <v>5</v>
      </c>
      <c r="BP1004" s="2" t="s">
        <v>5</v>
      </c>
      <c r="BQ1004" s="2" t="s">
        <v>5</v>
      </c>
      <c r="BR1004" s="2" t="s">
        <v>5</v>
      </c>
      <c r="BS1004" s="2" t="s">
        <v>5</v>
      </c>
      <c r="BT1004" s="2" t="s">
        <v>5</v>
      </c>
      <c r="BU1004" s="2" t="s">
        <v>5</v>
      </c>
      <c r="BV1004" s="2" t="s">
        <v>5</v>
      </c>
      <c r="BW1004" s="2" t="s">
        <v>5</v>
      </c>
      <c r="BX1004" s="2" t="s">
        <v>5</v>
      </c>
      <c r="BY1004" s="25" t="s">
        <v>5</v>
      </c>
      <c r="BZ1004" s="25" t="s">
        <v>5</v>
      </c>
      <c r="CA1004" s="6" t="s">
        <v>5</v>
      </c>
      <c r="CB1004" s="6" t="s">
        <v>5</v>
      </c>
      <c r="CC1004" s="6" t="s">
        <v>5</v>
      </c>
      <c r="CD1004" s="6" t="s">
        <v>5</v>
      </c>
      <c r="CE1004" s="6" t="s">
        <v>5</v>
      </c>
      <c r="CF1004" s="16" t="s">
        <v>5</v>
      </c>
      <c r="CG1004" s="16" t="s">
        <v>5</v>
      </c>
      <c r="CH1004" s="18" t="s">
        <v>5</v>
      </c>
    </row>
    <row r="1005" spans="2:86">
      <c r="B1005" s="78" t="s">
        <v>473</v>
      </c>
      <c r="C1005" s="79" t="s">
        <v>1105</v>
      </c>
      <c r="D1005" s="80" t="s">
        <v>1105</v>
      </c>
      <c r="E1005" s="1" t="s">
        <v>4</v>
      </c>
      <c r="F1005" s="4">
        <v>15.4</v>
      </c>
      <c r="G1005" s="7">
        <v>4.5</v>
      </c>
      <c r="H1005" s="3" t="str">
        <f t="shared" si="34"/>
        <v>2L4X3-1/2X5/16SLBB</v>
      </c>
      <c r="I1005" s="7">
        <v>3.5</v>
      </c>
      <c r="J1005" s="5" t="s">
        <v>5</v>
      </c>
      <c r="K1005" s="6" t="s">
        <v>5</v>
      </c>
      <c r="L1005" s="6" t="s">
        <v>5</v>
      </c>
      <c r="M1005" s="6" t="s">
        <v>5</v>
      </c>
      <c r="N1005" s="6" t="s">
        <v>5</v>
      </c>
      <c r="O1005" s="5" t="s">
        <v>5</v>
      </c>
      <c r="P1005" s="5" t="s">
        <v>5</v>
      </c>
      <c r="Q1005" s="7">
        <v>4</v>
      </c>
      <c r="R1005" s="6" t="s">
        <v>5</v>
      </c>
      <c r="S1005" s="6" t="s">
        <v>5</v>
      </c>
      <c r="T1005" s="5" t="s">
        <v>5</v>
      </c>
      <c r="U1005" s="8" t="s">
        <v>5</v>
      </c>
      <c r="V1005" s="6" t="s">
        <v>5</v>
      </c>
      <c r="W1005" s="8" t="s">
        <v>5</v>
      </c>
      <c r="X1005" s="22">
        <v>0.313</v>
      </c>
      <c r="Y1005" s="6" t="s">
        <v>5</v>
      </c>
      <c r="Z1005" s="6" t="s">
        <v>5</v>
      </c>
      <c r="AA1005" s="6" t="s">
        <v>5</v>
      </c>
      <c r="AB1005" s="8" t="s">
        <v>5</v>
      </c>
      <c r="AC1005" s="8" t="s">
        <v>5</v>
      </c>
      <c r="AD1005" s="6" t="s">
        <v>5</v>
      </c>
      <c r="AE1005" s="22">
        <v>0.92300000000000004</v>
      </c>
      <c r="AF1005" s="6" t="s">
        <v>5</v>
      </c>
      <c r="AG1005" s="6" t="s">
        <v>5</v>
      </c>
      <c r="AH1005" s="22">
        <v>0.28100000000000003</v>
      </c>
      <c r="AI1005" s="6" t="s">
        <v>5</v>
      </c>
      <c r="AJ1005" s="4">
        <v>12.8</v>
      </c>
      <c r="AK1005" s="6" t="s">
        <v>5</v>
      </c>
      <c r="AL1005" s="6" t="s">
        <v>5</v>
      </c>
      <c r="AM1005" s="6" t="s">
        <v>5</v>
      </c>
      <c r="AN1005" s="6" t="s">
        <v>5</v>
      </c>
      <c r="AO1005" s="7">
        <v>5.05</v>
      </c>
      <c r="AP1005" s="7">
        <v>3.48</v>
      </c>
      <c r="AQ1005" s="7">
        <v>1.96</v>
      </c>
      <c r="AR1005" s="7">
        <v>1.06</v>
      </c>
      <c r="AS1005" s="6">
        <v>13.3</v>
      </c>
      <c r="AT1005" s="6">
        <v>5.26</v>
      </c>
      <c r="AU1005" s="6">
        <v>3.32</v>
      </c>
      <c r="AV1005" s="7">
        <v>1.72</v>
      </c>
      <c r="AW1005" s="6" t="s">
        <v>5</v>
      </c>
      <c r="AX1005" s="6" t="s">
        <v>5</v>
      </c>
      <c r="AY1005" s="6" t="s">
        <v>5</v>
      </c>
      <c r="AZ1005" s="6" t="s">
        <v>5</v>
      </c>
      <c r="BA1005" s="6" t="s">
        <v>5</v>
      </c>
      <c r="BB1005" s="6" t="s">
        <v>5</v>
      </c>
      <c r="BC1005" s="6" t="s">
        <v>5</v>
      </c>
      <c r="BD1005" s="6" t="s">
        <v>5</v>
      </c>
      <c r="BE1005" s="6" t="s">
        <v>5</v>
      </c>
      <c r="BF1005" s="6" t="s">
        <v>5</v>
      </c>
      <c r="BG1005" s="6" t="s">
        <v>5</v>
      </c>
      <c r="BH1005" s="6" t="s">
        <v>5</v>
      </c>
      <c r="BI1005" s="7">
        <v>2.16</v>
      </c>
      <c r="BJ1005" s="22">
        <v>0.874</v>
      </c>
      <c r="BK1005" s="6" t="s">
        <v>5</v>
      </c>
      <c r="BL1005" s="2" t="s">
        <v>5</v>
      </c>
      <c r="BM1005" s="2" t="s">
        <v>5</v>
      </c>
      <c r="BN1005" s="2" t="s">
        <v>5</v>
      </c>
      <c r="BO1005" s="2" t="s">
        <v>5</v>
      </c>
      <c r="BP1005" s="2" t="s">
        <v>5</v>
      </c>
      <c r="BQ1005" s="2" t="s">
        <v>5</v>
      </c>
      <c r="BR1005" s="2" t="s">
        <v>5</v>
      </c>
      <c r="BS1005" s="2" t="s">
        <v>5</v>
      </c>
      <c r="BT1005" s="2" t="s">
        <v>5</v>
      </c>
      <c r="BU1005" s="2" t="s">
        <v>5</v>
      </c>
      <c r="BV1005" s="2" t="s">
        <v>5</v>
      </c>
      <c r="BW1005" s="2" t="s">
        <v>5</v>
      </c>
      <c r="BX1005" s="2" t="s">
        <v>5</v>
      </c>
      <c r="BY1005" s="25" t="s">
        <v>5</v>
      </c>
      <c r="BZ1005" s="25" t="s">
        <v>5</v>
      </c>
      <c r="CA1005" s="6" t="s">
        <v>5</v>
      </c>
      <c r="CB1005" s="6" t="s">
        <v>5</v>
      </c>
      <c r="CC1005" s="6" t="s">
        <v>5</v>
      </c>
      <c r="CD1005" s="6" t="s">
        <v>5</v>
      </c>
      <c r="CE1005" s="6" t="s">
        <v>5</v>
      </c>
      <c r="CF1005" s="16" t="s">
        <v>5</v>
      </c>
      <c r="CG1005" s="16" t="s">
        <v>5</v>
      </c>
      <c r="CH1005" s="18" t="s">
        <v>5</v>
      </c>
    </row>
    <row r="1006" spans="2:86">
      <c r="B1006" s="78" t="s">
        <v>473</v>
      </c>
      <c r="C1006" s="79" t="s">
        <v>1106</v>
      </c>
      <c r="D1006" s="80" t="s">
        <v>1106</v>
      </c>
      <c r="E1006" s="1" t="s">
        <v>4</v>
      </c>
      <c r="F1006" s="4">
        <v>15.4</v>
      </c>
      <c r="G1006" s="7">
        <v>4.5</v>
      </c>
      <c r="H1006" s="3" t="str">
        <f t="shared" si="34"/>
        <v>2L4X3-1/2X5/16X3/8SLBB</v>
      </c>
      <c r="I1006" s="7">
        <v>3.5</v>
      </c>
      <c r="J1006" s="5" t="s">
        <v>5</v>
      </c>
      <c r="K1006" s="6" t="s">
        <v>5</v>
      </c>
      <c r="L1006" s="6" t="s">
        <v>5</v>
      </c>
      <c r="M1006" s="6" t="s">
        <v>5</v>
      </c>
      <c r="N1006" s="6" t="s">
        <v>5</v>
      </c>
      <c r="O1006" s="5" t="s">
        <v>5</v>
      </c>
      <c r="P1006" s="5" t="s">
        <v>5</v>
      </c>
      <c r="Q1006" s="7">
        <v>4</v>
      </c>
      <c r="R1006" s="6" t="s">
        <v>5</v>
      </c>
      <c r="S1006" s="6" t="s">
        <v>5</v>
      </c>
      <c r="T1006" s="5" t="s">
        <v>5</v>
      </c>
      <c r="U1006" s="8" t="s">
        <v>5</v>
      </c>
      <c r="V1006" s="6" t="s">
        <v>5</v>
      </c>
      <c r="W1006" s="8" t="s">
        <v>5</v>
      </c>
      <c r="X1006" s="22">
        <v>0.313</v>
      </c>
      <c r="Y1006" s="6" t="s">
        <v>5</v>
      </c>
      <c r="Z1006" s="6" t="s">
        <v>5</v>
      </c>
      <c r="AA1006" s="6" t="s">
        <v>5</v>
      </c>
      <c r="AB1006" s="8" t="s">
        <v>5</v>
      </c>
      <c r="AC1006" s="8" t="s">
        <v>5</v>
      </c>
      <c r="AD1006" s="6" t="s">
        <v>5</v>
      </c>
      <c r="AE1006" s="22">
        <v>0.92300000000000004</v>
      </c>
      <c r="AF1006" s="6" t="s">
        <v>5</v>
      </c>
      <c r="AG1006" s="6" t="s">
        <v>5</v>
      </c>
      <c r="AH1006" s="22">
        <v>0.28100000000000003</v>
      </c>
      <c r="AI1006" s="6" t="s">
        <v>5</v>
      </c>
      <c r="AJ1006" s="4">
        <v>12.8</v>
      </c>
      <c r="AK1006" s="6" t="s">
        <v>5</v>
      </c>
      <c r="AL1006" s="6" t="s">
        <v>5</v>
      </c>
      <c r="AM1006" s="6" t="s">
        <v>5</v>
      </c>
      <c r="AN1006" s="6" t="s">
        <v>5</v>
      </c>
      <c r="AO1006" s="7">
        <v>5.05</v>
      </c>
      <c r="AP1006" s="7">
        <v>3.48</v>
      </c>
      <c r="AQ1006" s="7">
        <v>1.96</v>
      </c>
      <c r="AR1006" s="7">
        <v>1.06</v>
      </c>
      <c r="AS1006" s="6">
        <v>15.4</v>
      </c>
      <c r="AT1006" s="6">
        <v>6.11</v>
      </c>
      <c r="AU1006" s="6">
        <v>3.68</v>
      </c>
      <c r="AV1006" s="7">
        <v>1.85</v>
      </c>
      <c r="AW1006" s="6" t="s">
        <v>5</v>
      </c>
      <c r="AX1006" s="6" t="s">
        <v>5</v>
      </c>
      <c r="AY1006" s="6" t="s">
        <v>5</v>
      </c>
      <c r="AZ1006" s="6" t="s">
        <v>5</v>
      </c>
      <c r="BA1006" s="6" t="s">
        <v>5</v>
      </c>
      <c r="BB1006" s="6" t="s">
        <v>5</v>
      </c>
      <c r="BC1006" s="6" t="s">
        <v>5</v>
      </c>
      <c r="BD1006" s="6" t="s">
        <v>5</v>
      </c>
      <c r="BE1006" s="6" t="s">
        <v>5</v>
      </c>
      <c r="BF1006" s="6" t="s">
        <v>5</v>
      </c>
      <c r="BG1006" s="6" t="s">
        <v>5</v>
      </c>
      <c r="BH1006" s="6" t="s">
        <v>5</v>
      </c>
      <c r="BI1006" s="7">
        <v>2.2599999999999998</v>
      </c>
      <c r="BJ1006" s="22">
        <v>0.88500000000000001</v>
      </c>
      <c r="BK1006" s="6" t="s">
        <v>5</v>
      </c>
      <c r="BL1006" s="2" t="s">
        <v>5</v>
      </c>
      <c r="BM1006" s="2" t="s">
        <v>5</v>
      </c>
      <c r="BN1006" s="2" t="s">
        <v>5</v>
      </c>
      <c r="BO1006" s="2" t="s">
        <v>5</v>
      </c>
      <c r="BP1006" s="2" t="s">
        <v>5</v>
      </c>
      <c r="BQ1006" s="2" t="s">
        <v>5</v>
      </c>
      <c r="BR1006" s="2" t="s">
        <v>5</v>
      </c>
      <c r="BS1006" s="2" t="s">
        <v>5</v>
      </c>
      <c r="BT1006" s="2" t="s">
        <v>5</v>
      </c>
      <c r="BU1006" s="2" t="s">
        <v>5</v>
      </c>
      <c r="BV1006" s="2" t="s">
        <v>5</v>
      </c>
      <c r="BW1006" s="2" t="s">
        <v>5</v>
      </c>
      <c r="BX1006" s="2" t="s">
        <v>5</v>
      </c>
      <c r="BY1006" s="25" t="s">
        <v>5</v>
      </c>
      <c r="BZ1006" s="25" t="s">
        <v>5</v>
      </c>
      <c r="CA1006" s="6" t="s">
        <v>5</v>
      </c>
      <c r="CB1006" s="6" t="s">
        <v>5</v>
      </c>
      <c r="CC1006" s="6" t="s">
        <v>5</v>
      </c>
      <c r="CD1006" s="6" t="s">
        <v>5</v>
      </c>
      <c r="CE1006" s="6" t="s">
        <v>5</v>
      </c>
      <c r="CF1006" s="16" t="s">
        <v>5</v>
      </c>
      <c r="CG1006" s="16" t="s">
        <v>5</v>
      </c>
      <c r="CH1006" s="18" t="s">
        <v>5</v>
      </c>
    </row>
    <row r="1007" spans="2:86">
      <c r="B1007" s="78" t="s">
        <v>473</v>
      </c>
      <c r="C1007" s="79" t="s">
        <v>1107</v>
      </c>
      <c r="D1007" s="80" t="s">
        <v>1107</v>
      </c>
      <c r="E1007" s="1" t="s">
        <v>4</v>
      </c>
      <c r="F1007" s="4">
        <v>15.4</v>
      </c>
      <c r="G1007" s="7">
        <v>4.5</v>
      </c>
      <c r="H1007" s="3" t="str">
        <f t="shared" si="34"/>
        <v>2L4X3-1/2X5/16X3/4SLBB</v>
      </c>
      <c r="I1007" s="7">
        <v>3.5</v>
      </c>
      <c r="J1007" s="5" t="s">
        <v>5</v>
      </c>
      <c r="K1007" s="6" t="s">
        <v>5</v>
      </c>
      <c r="L1007" s="6" t="s">
        <v>5</v>
      </c>
      <c r="M1007" s="6" t="s">
        <v>5</v>
      </c>
      <c r="N1007" s="6" t="s">
        <v>5</v>
      </c>
      <c r="O1007" s="5" t="s">
        <v>5</v>
      </c>
      <c r="P1007" s="5" t="s">
        <v>5</v>
      </c>
      <c r="Q1007" s="7">
        <v>4</v>
      </c>
      <c r="R1007" s="6" t="s">
        <v>5</v>
      </c>
      <c r="S1007" s="6" t="s">
        <v>5</v>
      </c>
      <c r="T1007" s="5" t="s">
        <v>5</v>
      </c>
      <c r="U1007" s="8" t="s">
        <v>5</v>
      </c>
      <c r="V1007" s="6" t="s">
        <v>5</v>
      </c>
      <c r="W1007" s="8" t="s">
        <v>5</v>
      </c>
      <c r="X1007" s="22">
        <v>0.313</v>
      </c>
      <c r="Y1007" s="6" t="s">
        <v>5</v>
      </c>
      <c r="Z1007" s="6" t="s">
        <v>5</v>
      </c>
      <c r="AA1007" s="6" t="s">
        <v>5</v>
      </c>
      <c r="AB1007" s="8" t="s">
        <v>5</v>
      </c>
      <c r="AC1007" s="8" t="s">
        <v>5</v>
      </c>
      <c r="AD1007" s="6" t="s">
        <v>5</v>
      </c>
      <c r="AE1007" s="22">
        <v>0.92300000000000004</v>
      </c>
      <c r="AF1007" s="6" t="s">
        <v>5</v>
      </c>
      <c r="AG1007" s="6" t="s">
        <v>5</v>
      </c>
      <c r="AH1007" s="22">
        <v>0.28100000000000003</v>
      </c>
      <c r="AI1007" s="6" t="s">
        <v>5</v>
      </c>
      <c r="AJ1007" s="4">
        <v>12.8</v>
      </c>
      <c r="AK1007" s="6" t="s">
        <v>5</v>
      </c>
      <c r="AL1007" s="6" t="s">
        <v>5</v>
      </c>
      <c r="AM1007" s="6" t="s">
        <v>5</v>
      </c>
      <c r="AN1007" s="6" t="s">
        <v>5</v>
      </c>
      <c r="AO1007" s="7">
        <v>5.05</v>
      </c>
      <c r="AP1007" s="7">
        <v>3.48</v>
      </c>
      <c r="AQ1007" s="7">
        <v>1.96</v>
      </c>
      <c r="AR1007" s="7">
        <v>1.06</v>
      </c>
      <c r="AS1007" s="6">
        <v>17.8</v>
      </c>
      <c r="AT1007" s="6">
        <v>6.95</v>
      </c>
      <c r="AU1007" s="6">
        <v>4.07</v>
      </c>
      <c r="AV1007" s="7">
        <v>1.99</v>
      </c>
      <c r="AW1007" s="6" t="s">
        <v>5</v>
      </c>
      <c r="AX1007" s="6" t="s">
        <v>5</v>
      </c>
      <c r="AY1007" s="6" t="s">
        <v>5</v>
      </c>
      <c r="AZ1007" s="6" t="s">
        <v>5</v>
      </c>
      <c r="BA1007" s="6" t="s">
        <v>5</v>
      </c>
      <c r="BB1007" s="6" t="s">
        <v>5</v>
      </c>
      <c r="BC1007" s="6" t="s">
        <v>5</v>
      </c>
      <c r="BD1007" s="6" t="s">
        <v>5</v>
      </c>
      <c r="BE1007" s="6" t="s">
        <v>5</v>
      </c>
      <c r="BF1007" s="6" t="s">
        <v>5</v>
      </c>
      <c r="BG1007" s="6" t="s">
        <v>5</v>
      </c>
      <c r="BH1007" s="6" t="s">
        <v>5</v>
      </c>
      <c r="BI1007" s="7">
        <v>2.38</v>
      </c>
      <c r="BJ1007" s="22">
        <v>0.89600000000000002</v>
      </c>
      <c r="BK1007" s="6" t="s">
        <v>5</v>
      </c>
      <c r="BL1007" s="2" t="s">
        <v>5</v>
      </c>
      <c r="BM1007" s="2" t="s">
        <v>5</v>
      </c>
      <c r="BN1007" s="2" t="s">
        <v>5</v>
      </c>
      <c r="BO1007" s="2" t="s">
        <v>5</v>
      </c>
      <c r="BP1007" s="2" t="s">
        <v>5</v>
      </c>
      <c r="BQ1007" s="2" t="s">
        <v>5</v>
      </c>
      <c r="BR1007" s="2" t="s">
        <v>5</v>
      </c>
      <c r="BS1007" s="2" t="s">
        <v>5</v>
      </c>
      <c r="BT1007" s="2" t="s">
        <v>5</v>
      </c>
      <c r="BU1007" s="2" t="s">
        <v>5</v>
      </c>
      <c r="BV1007" s="2" t="s">
        <v>5</v>
      </c>
      <c r="BW1007" s="2" t="s">
        <v>5</v>
      </c>
      <c r="BX1007" s="2" t="s">
        <v>5</v>
      </c>
      <c r="BY1007" s="25" t="s">
        <v>5</v>
      </c>
      <c r="BZ1007" s="25" t="s">
        <v>5</v>
      </c>
      <c r="CA1007" s="6" t="s">
        <v>5</v>
      </c>
      <c r="CB1007" s="6" t="s">
        <v>5</v>
      </c>
      <c r="CC1007" s="6" t="s">
        <v>5</v>
      </c>
      <c r="CD1007" s="6" t="s">
        <v>5</v>
      </c>
      <c r="CE1007" s="6" t="s">
        <v>5</v>
      </c>
      <c r="CF1007" s="16" t="s">
        <v>5</v>
      </c>
      <c r="CG1007" s="16" t="s">
        <v>5</v>
      </c>
      <c r="CH1007" s="18" t="s">
        <v>5</v>
      </c>
    </row>
    <row r="1008" spans="2:86">
      <c r="B1008" s="78" t="s">
        <v>473</v>
      </c>
      <c r="C1008" s="79" t="s">
        <v>1108</v>
      </c>
      <c r="D1008" s="80" t="s">
        <v>1108</v>
      </c>
      <c r="E1008" s="1" t="s">
        <v>4</v>
      </c>
      <c r="F1008" s="4">
        <v>12.4</v>
      </c>
      <c r="G1008" s="7">
        <v>3.64</v>
      </c>
      <c r="H1008" s="3" t="str">
        <f t="shared" si="34"/>
        <v>2L4X3-1/2X1/4SLBB</v>
      </c>
      <c r="I1008" s="7">
        <v>3.5</v>
      </c>
      <c r="J1008" s="5" t="s">
        <v>5</v>
      </c>
      <c r="K1008" s="6" t="s">
        <v>5</v>
      </c>
      <c r="L1008" s="6" t="s">
        <v>5</v>
      </c>
      <c r="M1008" s="6" t="s">
        <v>5</v>
      </c>
      <c r="N1008" s="6" t="s">
        <v>5</v>
      </c>
      <c r="O1008" s="5" t="s">
        <v>5</v>
      </c>
      <c r="P1008" s="5" t="s">
        <v>5</v>
      </c>
      <c r="Q1008" s="7">
        <v>4</v>
      </c>
      <c r="R1008" s="6" t="s">
        <v>5</v>
      </c>
      <c r="S1008" s="6" t="s">
        <v>5</v>
      </c>
      <c r="T1008" s="5" t="s">
        <v>5</v>
      </c>
      <c r="U1008" s="8" t="s">
        <v>5</v>
      </c>
      <c r="V1008" s="6" t="s">
        <v>5</v>
      </c>
      <c r="W1008" s="8" t="s">
        <v>5</v>
      </c>
      <c r="X1008" s="22">
        <v>0.25</v>
      </c>
      <c r="Y1008" s="6" t="s">
        <v>5</v>
      </c>
      <c r="Z1008" s="6" t="s">
        <v>5</v>
      </c>
      <c r="AA1008" s="6" t="s">
        <v>5</v>
      </c>
      <c r="AB1008" s="8" t="s">
        <v>5</v>
      </c>
      <c r="AC1008" s="8" t="s">
        <v>5</v>
      </c>
      <c r="AD1008" s="6" t="s">
        <v>5</v>
      </c>
      <c r="AE1008" s="22">
        <v>0.89700000000000002</v>
      </c>
      <c r="AF1008" s="6" t="s">
        <v>5</v>
      </c>
      <c r="AG1008" s="6" t="s">
        <v>5</v>
      </c>
      <c r="AH1008" s="22">
        <v>0.22800000000000001</v>
      </c>
      <c r="AI1008" s="6" t="s">
        <v>5</v>
      </c>
      <c r="AJ1008" s="4">
        <v>16</v>
      </c>
      <c r="AK1008" s="6" t="s">
        <v>5</v>
      </c>
      <c r="AL1008" s="6" t="s">
        <v>5</v>
      </c>
      <c r="AM1008" s="6" t="s">
        <v>5</v>
      </c>
      <c r="AN1008" s="6" t="s">
        <v>5</v>
      </c>
      <c r="AO1008" s="7">
        <v>4.13</v>
      </c>
      <c r="AP1008" s="7">
        <v>2.8</v>
      </c>
      <c r="AQ1008" s="7">
        <v>1.59</v>
      </c>
      <c r="AR1008" s="7">
        <v>1.07</v>
      </c>
      <c r="AS1008" s="6">
        <v>10.5</v>
      </c>
      <c r="AT1008" s="6">
        <v>4.1500000000000004</v>
      </c>
      <c r="AU1008" s="6">
        <v>2.62</v>
      </c>
      <c r="AV1008" s="7">
        <v>1.7</v>
      </c>
      <c r="AW1008" s="6" t="s">
        <v>5</v>
      </c>
      <c r="AX1008" s="6" t="s">
        <v>5</v>
      </c>
      <c r="AY1008" s="6" t="s">
        <v>5</v>
      </c>
      <c r="AZ1008" s="6" t="s">
        <v>5</v>
      </c>
      <c r="BA1008" s="6" t="s">
        <v>5</v>
      </c>
      <c r="BB1008" s="6" t="s">
        <v>5</v>
      </c>
      <c r="BC1008" s="6" t="s">
        <v>5</v>
      </c>
      <c r="BD1008" s="6" t="s">
        <v>5</v>
      </c>
      <c r="BE1008" s="6" t="s">
        <v>5</v>
      </c>
      <c r="BF1008" s="6" t="s">
        <v>5</v>
      </c>
      <c r="BG1008" s="6" t="s">
        <v>5</v>
      </c>
      <c r="BH1008" s="6" t="s">
        <v>5</v>
      </c>
      <c r="BI1008" s="7">
        <v>2.15</v>
      </c>
      <c r="BJ1008" s="22">
        <v>0.871</v>
      </c>
      <c r="BK1008" s="6" t="s">
        <v>5</v>
      </c>
      <c r="BL1008" s="2" t="s">
        <v>5</v>
      </c>
      <c r="BM1008" s="2" t="s">
        <v>5</v>
      </c>
      <c r="BN1008" s="2" t="s">
        <v>5</v>
      </c>
      <c r="BO1008" s="2" t="s">
        <v>5</v>
      </c>
      <c r="BP1008" s="2" t="s">
        <v>5</v>
      </c>
      <c r="BQ1008" s="2" t="s">
        <v>5</v>
      </c>
      <c r="BR1008" s="2" t="s">
        <v>5</v>
      </c>
      <c r="BS1008" s="2" t="s">
        <v>5</v>
      </c>
      <c r="BT1008" s="2" t="s">
        <v>5</v>
      </c>
      <c r="BU1008" s="2" t="s">
        <v>5</v>
      </c>
      <c r="BV1008" s="2" t="s">
        <v>5</v>
      </c>
      <c r="BW1008" s="2" t="s">
        <v>5</v>
      </c>
      <c r="BX1008" s="2" t="s">
        <v>5</v>
      </c>
      <c r="BY1008" s="25" t="s">
        <v>5</v>
      </c>
      <c r="BZ1008" s="25" t="s">
        <v>5</v>
      </c>
      <c r="CA1008" s="6" t="s">
        <v>5</v>
      </c>
      <c r="CB1008" s="6" t="s">
        <v>5</v>
      </c>
      <c r="CC1008" s="6" t="s">
        <v>5</v>
      </c>
      <c r="CD1008" s="6" t="s">
        <v>5</v>
      </c>
      <c r="CE1008" s="6" t="s">
        <v>5</v>
      </c>
      <c r="CF1008" s="16" t="s">
        <v>5</v>
      </c>
      <c r="CG1008" s="16" t="s">
        <v>5</v>
      </c>
      <c r="CH1008" s="18" t="s">
        <v>5</v>
      </c>
    </row>
    <row r="1009" spans="2:86">
      <c r="B1009" s="78" t="s">
        <v>473</v>
      </c>
      <c r="C1009" s="79" t="s">
        <v>1109</v>
      </c>
      <c r="D1009" s="80" t="s">
        <v>1109</v>
      </c>
      <c r="E1009" s="1" t="s">
        <v>4</v>
      </c>
      <c r="F1009" s="4">
        <v>12.4</v>
      </c>
      <c r="G1009" s="7">
        <v>3.64</v>
      </c>
      <c r="H1009" s="3" t="str">
        <f t="shared" si="34"/>
        <v>2L4X3-1/2X1/4X3/8SLBB</v>
      </c>
      <c r="I1009" s="7">
        <v>3.5</v>
      </c>
      <c r="J1009" s="5" t="s">
        <v>5</v>
      </c>
      <c r="K1009" s="6" t="s">
        <v>5</v>
      </c>
      <c r="L1009" s="6" t="s">
        <v>5</v>
      </c>
      <c r="M1009" s="6" t="s">
        <v>5</v>
      </c>
      <c r="N1009" s="6" t="s">
        <v>5</v>
      </c>
      <c r="O1009" s="5" t="s">
        <v>5</v>
      </c>
      <c r="P1009" s="5" t="s">
        <v>5</v>
      </c>
      <c r="Q1009" s="7">
        <v>4</v>
      </c>
      <c r="R1009" s="6" t="s">
        <v>5</v>
      </c>
      <c r="S1009" s="6" t="s">
        <v>5</v>
      </c>
      <c r="T1009" s="5" t="s">
        <v>5</v>
      </c>
      <c r="U1009" s="8" t="s">
        <v>5</v>
      </c>
      <c r="V1009" s="6" t="s">
        <v>5</v>
      </c>
      <c r="W1009" s="8" t="s">
        <v>5</v>
      </c>
      <c r="X1009" s="22">
        <v>0.25</v>
      </c>
      <c r="Y1009" s="6" t="s">
        <v>5</v>
      </c>
      <c r="Z1009" s="6" t="s">
        <v>5</v>
      </c>
      <c r="AA1009" s="6" t="s">
        <v>5</v>
      </c>
      <c r="AB1009" s="8" t="s">
        <v>5</v>
      </c>
      <c r="AC1009" s="8" t="s">
        <v>5</v>
      </c>
      <c r="AD1009" s="6" t="s">
        <v>5</v>
      </c>
      <c r="AE1009" s="22">
        <v>0.89700000000000002</v>
      </c>
      <c r="AF1009" s="6" t="s">
        <v>5</v>
      </c>
      <c r="AG1009" s="6" t="s">
        <v>5</v>
      </c>
      <c r="AH1009" s="22">
        <v>0.22800000000000001</v>
      </c>
      <c r="AI1009" s="6" t="s">
        <v>5</v>
      </c>
      <c r="AJ1009" s="4">
        <v>16</v>
      </c>
      <c r="AK1009" s="6" t="s">
        <v>5</v>
      </c>
      <c r="AL1009" s="6" t="s">
        <v>5</v>
      </c>
      <c r="AM1009" s="6" t="s">
        <v>5</v>
      </c>
      <c r="AN1009" s="6" t="s">
        <v>5</v>
      </c>
      <c r="AO1009" s="7">
        <v>4.13</v>
      </c>
      <c r="AP1009" s="7">
        <v>2.8</v>
      </c>
      <c r="AQ1009" s="7">
        <v>1.59</v>
      </c>
      <c r="AR1009" s="7">
        <v>1.07</v>
      </c>
      <c r="AS1009" s="6">
        <v>12.2</v>
      </c>
      <c r="AT1009" s="6">
        <v>4.83</v>
      </c>
      <c r="AU1009" s="6">
        <v>2.91</v>
      </c>
      <c r="AV1009" s="7">
        <v>1.83</v>
      </c>
      <c r="AW1009" s="6" t="s">
        <v>5</v>
      </c>
      <c r="AX1009" s="6" t="s">
        <v>5</v>
      </c>
      <c r="AY1009" s="6" t="s">
        <v>5</v>
      </c>
      <c r="AZ1009" s="6" t="s">
        <v>5</v>
      </c>
      <c r="BA1009" s="6" t="s">
        <v>5</v>
      </c>
      <c r="BB1009" s="6" t="s">
        <v>5</v>
      </c>
      <c r="BC1009" s="6" t="s">
        <v>5</v>
      </c>
      <c r="BD1009" s="6" t="s">
        <v>5</v>
      </c>
      <c r="BE1009" s="6" t="s">
        <v>5</v>
      </c>
      <c r="BF1009" s="6" t="s">
        <v>5</v>
      </c>
      <c r="BG1009" s="6" t="s">
        <v>5</v>
      </c>
      <c r="BH1009" s="6" t="s">
        <v>5</v>
      </c>
      <c r="BI1009" s="7">
        <v>2.2599999999999998</v>
      </c>
      <c r="BJ1009" s="22">
        <v>0.88300000000000001</v>
      </c>
      <c r="BK1009" s="6" t="s">
        <v>5</v>
      </c>
      <c r="BL1009" s="2" t="s">
        <v>5</v>
      </c>
      <c r="BM1009" s="2" t="s">
        <v>5</v>
      </c>
      <c r="BN1009" s="2" t="s">
        <v>5</v>
      </c>
      <c r="BO1009" s="2" t="s">
        <v>5</v>
      </c>
      <c r="BP1009" s="2" t="s">
        <v>5</v>
      </c>
      <c r="BQ1009" s="2" t="s">
        <v>5</v>
      </c>
      <c r="BR1009" s="2" t="s">
        <v>5</v>
      </c>
      <c r="BS1009" s="2" t="s">
        <v>5</v>
      </c>
      <c r="BT1009" s="2" t="s">
        <v>5</v>
      </c>
      <c r="BU1009" s="2" t="s">
        <v>5</v>
      </c>
      <c r="BV1009" s="2" t="s">
        <v>5</v>
      </c>
      <c r="BW1009" s="2" t="s">
        <v>5</v>
      </c>
      <c r="BX1009" s="2" t="s">
        <v>5</v>
      </c>
      <c r="BY1009" s="25" t="s">
        <v>5</v>
      </c>
      <c r="BZ1009" s="25" t="s">
        <v>5</v>
      </c>
      <c r="CA1009" s="6" t="s">
        <v>5</v>
      </c>
      <c r="CB1009" s="6" t="s">
        <v>5</v>
      </c>
      <c r="CC1009" s="6" t="s">
        <v>5</v>
      </c>
      <c r="CD1009" s="6" t="s">
        <v>5</v>
      </c>
      <c r="CE1009" s="6" t="s">
        <v>5</v>
      </c>
      <c r="CF1009" s="16" t="s">
        <v>5</v>
      </c>
      <c r="CG1009" s="16" t="s">
        <v>5</v>
      </c>
      <c r="CH1009" s="18" t="s">
        <v>5</v>
      </c>
    </row>
    <row r="1010" spans="2:86">
      <c r="B1010" s="78" t="s">
        <v>473</v>
      </c>
      <c r="C1010" s="79" t="s">
        <v>1110</v>
      </c>
      <c r="D1010" s="80" t="s">
        <v>1110</v>
      </c>
      <c r="E1010" s="1" t="s">
        <v>4</v>
      </c>
      <c r="F1010" s="4">
        <v>12.4</v>
      </c>
      <c r="G1010" s="7">
        <v>3.64</v>
      </c>
      <c r="H1010" s="3" t="str">
        <f t="shared" si="34"/>
        <v>2L4X3-1/2X1/4X3/4SLBB</v>
      </c>
      <c r="I1010" s="7">
        <v>3.5</v>
      </c>
      <c r="J1010" s="5" t="s">
        <v>5</v>
      </c>
      <c r="K1010" s="6" t="s">
        <v>5</v>
      </c>
      <c r="L1010" s="6" t="s">
        <v>5</v>
      </c>
      <c r="M1010" s="6" t="s">
        <v>5</v>
      </c>
      <c r="N1010" s="6" t="s">
        <v>5</v>
      </c>
      <c r="O1010" s="5" t="s">
        <v>5</v>
      </c>
      <c r="P1010" s="5" t="s">
        <v>5</v>
      </c>
      <c r="Q1010" s="7">
        <v>4</v>
      </c>
      <c r="R1010" s="6" t="s">
        <v>5</v>
      </c>
      <c r="S1010" s="6" t="s">
        <v>5</v>
      </c>
      <c r="T1010" s="5" t="s">
        <v>5</v>
      </c>
      <c r="U1010" s="8" t="s">
        <v>5</v>
      </c>
      <c r="V1010" s="6" t="s">
        <v>5</v>
      </c>
      <c r="W1010" s="8" t="s">
        <v>5</v>
      </c>
      <c r="X1010" s="22">
        <v>0.25</v>
      </c>
      <c r="Y1010" s="6" t="s">
        <v>5</v>
      </c>
      <c r="Z1010" s="6" t="s">
        <v>5</v>
      </c>
      <c r="AA1010" s="6" t="s">
        <v>5</v>
      </c>
      <c r="AB1010" s="8" t="s">
        <v>5</v>
      </c>
      <c r="AC1010" s="8" t="s">
        <v>5</v>
      </c>
      <c r="AD1010" s="6" t="s">
        <v>5</v>
      </c>
      <c r="AE1010" s="22">
        <v>0.89700000000000002</v>
      </c>
      <c r="AF1010" s="6" t="s">
        <v>5</v>
      </c>
      <c r="AG1010" s="6" t="s">
        <v>5</v>
      </c>
      <c r="AH1010" s="22">
        <v>0.22800000000000001</v>
      </c>
      <c r="AI1010" s="6" t="s">
        <v>5</v>
      </c>
      <c r="AJ1010" s="4">
        <v>16</v>
      </c>
      <c r="AK1010" s="6" t="s">
        <v>5</v>
      </c>
      <c r="AL1010" s="6" t="s">
        <v>5</v>
      </c>
      <c r="AM1010" s="6" t="s">
        <v>5</v>
      </c>
      <c r="AN1010" s="6" t="s">
        <v>5</v>
      </c>
      <c r="AO1010" s="7">
        <v>4.13</v>
      </c>
      <c r="AP1010" s="7">
        <v>2.8</v>
      </c>
      <c r="AQ1010" s="7">
        <v>1.59</v>
      </c>
      <c r="AR1010" s="7">
        <v>1.07</v>
      </c>
      <c r="AS1010" s="6">
        <v>14.1</v>
      </c>
      <c r="AT1010" s="6">
        <v>5.51</v>
      </c>
      <c r="AU1010" s="6">
        <v>3.22</v>
      </c>
      <c r="AV1010" s="7">
        <v>1.97</v>
      </c>
      <c r="AW1010" s="6" t="s">
        <v>5</v>
      </c>
      <c r="AX1010" s="6" t="s">
        <v>5</v>
      </c>
      <c r="AY1010" s="6" t="s">
        <v>5</v>
      </c>
      <c r="AZ1010" s="6" t="s">
        <v>5</v>
      </c>
      <c r="BA1010" s="6" t="s">
        <v>5</v>
      </c>
      <c r="BB1010" s="6" t="s">
        <v>5</v>
      </c>
      <c r="BC1010" s="6" t="s">
        <v>5</v>
      </c>
      <c r="BD1010" s="6" t="s">
        <v>5</v>
      </c>
      <c r="BE1010" s="6" t="s">
        <v>5</v>
      </c>
      <c r="BF1010" s="6" t="s">
        <v>5</v>
      </c>
      <c r="BG1010" s="6" t="s">
        <v>5</v>
      </c>
      <c r="BH1010" s="6" t="s">
        <v>5</v>
      </c>
      <c r="BI1010" s="7">
        <v>2.37</v>
      </c>
      <c r="BJ1010" s="22">
        <v>0.89400000000000002</v>
      </c>
      <c r="BK1010" s="6" t="s">
        <v>5</v>
      </c>
      <c r="BL1010" s="2" t="s">
        <v>5</v>
      </c>
      <c r="BM1010" s="2" t="s">
        <v>5</v>
      </c>
      <c r="BN1010" s="2" t="s">
        <v>5</v>
      </c>
      <c r="BO1010" s="2" t="s">
        <v>5</v>
      </c>
      <c r="BP1010" s="2" t="s">
        <v>5</v>
      </c>
      <c r="BQ1010" s="2" t="s">
        <v>5</v>
      </c>
      <c r="BR1010" s="2" t="s">
        <v>5</v>
      </c>
      <c r="BS1010" s="2" t="s">
        <v>5</v>
      </c>
      <c r="BT1010" s="2" t="s">
        <v>5</v>
      </c>
      <c r="BU1010" s="2" t="s">
        <v>5</v>
      </c>
      <c r="BV1010" s="2" t="s">
        <v>5</v>
      </c>
      <c r="BW1010" s="2" t="s">
        <v>5</v>
      </c>
      <c r="BX1010" s="2" t="s">
        <v>5</v>
      </c>
      <c r="BY1010" s="25" t="s">
        <v>5</v>
      </c>
      <c r="BZ1010" s="25" t="s">
        <v>5</v>
      </c>
      <c r="CA1010" s="6" t="s">
        <v>5</v>
      </c>
      <c r="CB1010" s="6" t="s">
        <v>5</v>
      </c>
      <c r="CC1010" s="6" t="s">
        <v>5</v>
      </c>
      <c r="CD1010" s="6" t="s">
        <v>5</v>
      </c>
      <c r="CE1010" s="6" t="s">
        <v>5</v>
      </c>
      <c r="CF1010" s="16" t="s">
        <v>5</v>
      </c>
      <c r="CG1010" s="16" t="s">
        <v>5</v>
      </c>
      <c r="CH1010" s="18" t="s">
        <v>5</v>
      </c>
    </row>
    <row r="1011" spans="2:86">
      <c r="B1011" s="78" t="s">
        <v>473</v>
      </c>
      <c r="C1011" s="79" t="s">
        <v>1111</v>
      </c>
      <c r="D1011" s="80" t="s">
        <v>1111</v>
      </c>
      <c r="E1011" s="1" t="s">
        <v>4</v>
      </c>
      <c r="F1011" s="4">
        <v>27.2</v>
      </c>
      <c r="G1011" s="7">
        <v>7.98</v>
      </c>
      <c r="H1011" s="3" t="str">
        <f t="shared" si="34"/>
        <v>2L4X3X5/8SLBB</v>
      </c>
      <c r="I1011" s="7">
        <v>3</v>
      </c>
      <c r="J1011" s="5" t="s">
        <v>5</v>
      </c>
      <c r="K1011" s="6" t="s">
        <v>5</v>
      </c>
      <c r="L1011" s="6" t="s">
        <v>5</v>
      </c>
      <c r="M1011" s="6" t="s">
        <v>5</v>
      </c>
      <c r="N1011" s="6" t="s">
        <v>5</v>
      </c>
      <c r="O1011" s="5" t="s">
        <v>5</v>
      </c>
      <c r="P1011" s="5" t="s">
        <v>5</v>
      </c>
      <c r="Q1011" s="7">
        <v>4</v>
      </c>
      <c r="R1011" s="6" t="s">
        <v>5</v>
      </c>
      <c r="S1011" s="6" t="s">
        <v>5</v>
      </c>
      <c r="T1011" s="5" t="s">
        <v>5</v>
      </c>
      <c r="U1011" s="8" t="s">
        <v>5</v>
      </c>
      <c r="V1011" s="6" t="s">
        <v>5</v>
      </c>
      <c r="W1011" s="8" t="s">
        <v>5</v>
      </c>
      <c r="X1011" s="22">
        <v>0.625</v>
      </c>
      <c r="Y1011" s="6" t="s">
        <v>5</v>
      </c>
      <c r="Z1011" s="6" t="s">
        <v>5</v>
      </c>
      <c r="AA1011" s="6" t="s">
        <v>5</v>
      </c>
      <c r="AB1011" s="8" t="s">
        <v>5</v>
      </c>
      <c r="AC1011" s="8" t="s">
        <v>5</v>
      </c>
      <c r="AD1011" s="6" t="s">
        <v>5</v>
      </c>
      <c r="AE1011" s="22">
        <v>0.86699999999999999</v>
      </c>
      <c r="AF1011" s="6" t="s">
        <v>5</v>
      </c>
      <c r="AG1011" s="6" t="s">
        <v>5</v>
      </c>
      <c r="AH1011" s="22">
        <v>0.499</v>
      </c>
      <c r="AI1011" s="6" t="s">
        <v>5</v>
      </c>
      <c r="AJ1011" s="7">
        <v>6.4</v>
      </c>
      <c r="AK1011" s="6" t="s">
        <v>5</v>
      </c>
      <c r="AL1011" s="6" t="s">
        <v>5</v>
      </c>
      <c r="AM1011" s="6" t="s">
        <v>5</v>
      </c>
      <c r="AN1011" s="6" t="s">
        <v>5</v>
      </c>
      <c r="AO1011" s="7">
        <v>5.7</v>
      </c>
      <c r="AP1011" s="7">
        <v>4.9000000000000004</v>
      </c>
      <c r="AQ1011" s="7">
        <v>2.67</v>
      </c>
      <c r="AR1011" s="22">
        <v>0.84499999999999997</v>
      </c>
      <c r="AS1011" s="4">
        <v>27</v>
      </c>
      <c r="AT1011" s="6">
        <v>10.9</v>
      </c>
      <c r="AU1011" s="6">
        <v>6.75</v>
      </c>
      <c r="AV1011" s="7">
        <v>1.84</v>
      </c>
      <c r="AW1011" s="6" t="s">
        <v>5</v>
      </c>
      <c r="AX1011" s="6" t="s">
        <v>5</v>
      </c>
      <c r="AY1011" s="6" t="s">
        <v>5</v>
      </c>
      <c r="AZ1011" s="6" t="s">
        <v>5</v>
      </c>
      <c r="BA1011" s="6" t="s">
        <v>5</v>
      </c>
      <c r="BB1011" s="6" t="s">
        <v>5</v>
      </c>
      <c r="BC1011" s="6" t="s">
        <v>5</v>
      </c>
      <c r="BD1011" s="6" t="s">
        <v>5</v>
      </c>
      <c r="BE1011" s="6" t="s">
        <v>5</v>
      </c>
      <c r="BF1011" s="6" t="s">
        <v>5</v>
      </c>
      <c r="BG1011" s="6" t="s">
        <v>5</v>
      </c>
      <c r="BH1011" s="6" t="s">
        <v>5</v>
      </c>
      <c r="BI1011" s="7">
        <v>2.1</v>
      </c>
      <c r="BJ1011" s="22">
        <v>0.93</v>
      </c>
      <c r="BK1011" s="6" t="s">
        <v>5</v>
      </c>
      <c r="BL1011" s="2" t="s">
        <v>5</v>
      </c>
      <c r="BM1011" s="2" t="s">
        <v>5</v>
      </c>
      <c r="BN1011" s="2" t="s">
        <v>5</v>
      </c>
      <c r="BO1011" s="2" t="s">
        <v>5</v>
      </c>
      <c r="BP1011" s="2" t="s">
        <v>5</v>
      </c>
      <c r="BQ1011" s="2" t="s">
        <v>5</v>
      </c>
      <c r="BR1011" s="2" t="s">
        <v>5</v>
      </c>
      <c r="BS1011" s="2" t="s">
        <v>5</v>
      </c>
      <c r="BT1011" s="2" t="s">
        <v>5</v>
      </c>
      <c r="BU1011" s="2" t="s">
        <v>5</v>
      </c>
      <c r="BV1011" s="2" t="s">
        <v>5</v>
      </c>
      <c r="BW1011" s="2" t="s">
        <v>5</v>
      </c>
      <c r="BX1011" s="2" t="s">
        <v>5</v>
      </c>
      <c r="BY1011" s="25" t="s">
        <v>5</v>
      </c>
      <c r="BZ1011" s="25" t="s">
        <v>5</v>
      </c>
      <c r="CA1011" s="6" t="s">
        <v>5</v>
      </c>
      <c r="CB1011" s="6" t="s">
        <v>5</v>
      </c>
      <c r="CC1011" s="6" t="s">
        <v>5</v>
      </c>
      <c r="CD1011" s="6" t="s">
        <v>5</v>
      </c>
      <c r="CE1011" s="6" t="s">
        <v>5</v>
      </c>
      <c r="CF1011" s="16" t="s">
        <v>5</v>
      </c>
      <c r="CG1011" s="16" t="s">
        <v>5</v>
      </c>
      <c r="CH1011" s="18" t="s">
        <v>5</v>
      </c>
    </row>
    <row r="1012" spans="2:86">
      <c r="B1012" s="78" t="s">
        <v>473</v>
      </c>
      <c r="C1012" s="79" t="s">
        <v>1112</v>
      </c>
      <c r="D1012" s="80" t="s">
        <v>1112</v>
      </c>
      <c r="E1012" s="1" t="s">
        <v>4</v>
      </c>
      <c r="F1012" s="4">
        <v>27.2</v>
      </c>
      <c r="G1012" s="7">
        <v>7.98</v>
      </c>
      <c r="H1012" s="3" t="str">
        <f t="shared" si="34"/>
        <v>2L4X3X5/8X3/8SLBB</v>
      </c>
      <c r="I1012" s="7">
        <v>3</v>
      </c>
      <c r="J1012" s="5" t="s">
        <v>5</v>
      </c>
      <c r="K1012" s="6" t="s">
        <v>5</v>
      </c>
      <c r="L1012" s="6" t="s">
        <v>5</v>
      </c>
      <c r="M1012" s="6" t="s">
        <v>5</v>
      </c>
      <c r="N1012" s="6" t="s">
        <v>5</v>
      </c>
      <c r="O1012" s="5" t="s">
        <v>5</v>
      </c>
      <c r="P1012" s="5" t="s">
        <v>5</v>
      </c>
      <c r="Q1012" s="7">
        <v>4</v>
      </c>
      <c r="R1012" s="6" t="s">
        <v>5</v>
      </c>
      <c r="S1012" s="6" t="s">
        <v>5</v>
      </c>
      <c r="T1012" s="5" t="s">
        <v>5</v>
      </c>
      <c r="U1012" s="8" t="s">
        <v>5</v>
      </c>
      <c r="V1012" s="6" t="s">
        <v>5</v>
      </c>
      <c r="W1012" s="8" t="s">
        <v>5</v>
      </c>
      <c r="X1012" s="22">
        <v>0.625</v>
      </c>
      <c r="Y1012" s="6" t="s">
        <v>5</v>
      </c>
      <c r="Z1012" s="6" t="s">
        <v>5</v>
      </c>
      <c r="AA1012" s="6" t="s">
        <v>5</v>
      </c>
      <c r="AB1012" s="8" t="s">
        <v>5</v>
      </c>
      <c r="AC1012" s="8" t="s">
        <v>5</v>
      </c>
      <c r="AD1012" s="6" t="s">
        <v>5</v>
      </c>
      <c r="AE1012" s="22">
        <v>0.86699999999999999</v>
      </c>
      <c r="AF1012" s="6" t="s">
        <v>5</v>
      </c>
      <c r="AG1012" s="6" t="s">
        <v>5</v>
      </c>
      <c r="AH1012" s="22">
        <v>0.499</v>
      </c>
      <c r="AI1012" s="6" t="s">
        <v>5</v>
      </c>
      <c r="AJ1012" s="7">
        <v>6.4</v>
      </c>
      <c r="AK1012" s="6" t="s">
        <v>5</v>
      </c>
      <c r="AL1012" s="6" t="s">
        <v>5</v>
      </c>
      <c r="AM1012" s="6" t="s">
        <v>5</v>
      </c>
      <c r="AN1012" s="6" t="s">
        <v>5</v>
      </c>
      <c r="AO1012" s="7">
        <v>5.7</v>
      </c>
      <c r="AP1012" s="7">
        <v>4.9000000000000004</v>
      </c>
      <c r="AQ1012" s="7">
        <v>2.67</v>
      </c>
      <c r="AR1012" s="22">
        <v>0.84499999999999997</v>
      </c>
      <c r="AS1012" s="6">
        <v>31.3</v>
      </c>
      <c r="AT1012" s="6">
        <v>12.4</v>
      </c>
      <c r="AU1012" s="6">
        <v>7.47</v>
      </c>
      <c r="AV1012" s="7">
        <v>1.98</v>
      </c>
      <c r="AW1012" s="6" t="s">
        <v>5</v>
      </c>
      <c r="AX1012" s="6" t="s">
        <v>5</v>
      </c>
      <c r="AY1012" s="6" t="s">
        <v>5</v>
      </c>
      <c r="AZ1012" s="6" t="s">
        <v>5</v>
      </c>
      <c r="BA1012" s="6" t="s">
        <v>5</v>
      </c>
      <c r="BB1012" s="6" t="s">
        <v>5</v>
      </c>
      <c r="BC1012" s="6" t="s">
        <v>5</v>
      </c>
      <c r="BD1012" s="6" t="s">
        <v>5</v>
      </c>
      <c r="BE1012" s="6" t="s">
        <v>5</v>
      </c>
      <c r="BF1012" s="6" t="s">
        <v>5</v>
      </c>
      <c r="BG1012" s="6" t="s">
        <v>5</v>
      </c>
      <c r="BH1012" s="6" t="s">
        <v>5</v>
      </c>
      <c r="BI1012" s="7">
        <v>2.2200000000000002</v>
      </c>
      <c r="BJ1012" s="22">
        <v>0.93799999999999994</v>
      </c>
      <c r="BK1012" s="6" t="s">
        <v>5</v>
      </c>
      <c r="BL1012" s="2" t="s">
        <v>5</v>
      </c>
      <c r="BM1012" s="2" t="s">
        <v>5</v>
      </c>
      <c r="BN1012" s="2" t="s">
        <v>5</v>
      </c>
      <c r="BO1012" s="2" t="s">
        <v>5</v>
      </c>
      <c r="BP1012" s="2" t="s">
        <v>5</v>
      </c>
      <c r="BQ1012" s="2" t="s">
        <v>5</v>
      </c>
      <c r="BR1012" s="2" t="s">
        <v>5</v>
      </c>
      <c r="BS1012" s="2" t="s">
        <v>5</v>
      </c>
      <c r="BT1012" s="2" t="s">
        <v>5</v>
      </c>
      <c r="BU1012" s="2" t="s">
        <v>5</v>
      </c>
      <c r="BV1012" s="2" t="s">
        <v>5</v>
      </c>
      <c r="BW1012" s="2" t="s">
        <v>5</v>
      </c>
      <c r="BX1012" s="2" t="s">
        <v>5</v>
      </c>
      <c r="BY1012" s="25" t="s">
        <v>5</v>
      </c>
      <c r="BZ1012" s="25" t="s">
        <v>5</v>
      </c>
      <c r="CA1012" s="6" t="s">
        <v>5</v>
      </c>
      <c r="CB1012" s="6" t="s">
        <v>5</v>
      </c>
      <c r="CC1012" s="6" t="s">
        <v>5</v>
      </c>
      <c r="CD1012" s="6" t="s">
        <v>5</v>
      </c>
      <c r="CE1012" s="6" t="s">
        <v>5</v>
      </c>
      <c r="CF1012" s="16" t="s">
        <v>5</v>
      </c>
      <c r="CG1012" s="16" t="s">
        <v>5</v>
      </c>
      <c r="CH1012" s="18" t="s">
        <v>5</v>
      </c>
    </row>
    <row r="1013" spans="2:86">
      <c r="B1013" s="78" t="s">
        <v>473</v>
      </c>
      <c r="C1013" s="79" t="s">
        <v>1113</v>
      </c>
      <c r="D1013" s="80" t="s">
        <v>1113</v>
      </c>
      <c r="E1013" s="1" t="s">
        <v>4</v>
      </c>
      <c r="F1013" s="4">
        <v>27.2</v>
      </c>
      <c r="G1013" s="7">
        <v>7.98</v>
      </c>
      <c r="H1013" s="3" t="str">
        <f t="shared" si="34"/>
        <v>2L4X3X5/8X3/4SLBB</v>
      </c>
      <c r="I1013" s="7">
        <v>3</v>
      </c>
      <c r="J1013" s="5" t="s">
        <v>5</v>
      </c>
      <c r="K1013" s="6" t="s">
        <v>5</v>
      </c>
      <c r="L1013" s="6" t="s">
        <v>5</v>
      </c>
      <c r="M1013" s="6" t="s">
        <v>5</v>
      </c>
      <c r="N1013" s="6" t="s">
        <v>5</v>
      </c>
      <c r="O1013" s="5" t="s">
        <v>5</v>
      </c>
      <c r="P1013" s="5" t="s">
        <v>5</v>
      </c>
      <c r="Q1013" s="7">
        <v>4</v>
      </c>
      <c r="R1013" s="6" t="s">
        <v>5</v>
      </c>
      <c r="S1013" s="6" t="s">
        <v>5</v>
      </c>
      <c r="T1013" s="5" t="s">
        <v>5</v>
      </c>
      <c r="U1013" s="8" t="s">
        <v>5</v>
      </c>
      <c r="V1013" s="6" t="s">
        <v>5</v>
      </c>
      <c r="W1013" s="8" t="s">
        <v>5</v>
      </c>
      <c r="X1013" s="22">
        <v>0.625</v>
      </c>
      <c r="Y1013" s="6" t="s">
        <v>5</v>
      </c>
      <c r="Z1013" s="6" t="s">
        <v>5</v>
      </c>
      <c r="AA1013" s="6" t="s">
        <v>5</v>
      </c>
      <c r="AB1013" s="8" t="s">
        <v>5</v>
      </c>
      <c r="AC1013" s="8" t="s">
        <v>5</v>
      </c>
      <c r="AD1013" s="6" t="s">
        <v>5</v>
      </c>
      <c r="AE1013" s="22">
        <v>0.86699999999999999</v>
      </c>
      <c r="AF1013" s="6" t="s">
        <v>5</v>
      </c>
      <c r="AG1013" s="6" t="s">
        <v>5</v>
      </c>
      <c r="AH1013" s="22">
        <v>0.499</v>
      </c>
      <c r="AI1013" s="6" t="s">
        <v>5</v>
      </c>
      <c r="AJ1013" s="7">
        <v>6.4</v>
      </c>
      <c r="AK1013" s="6" t="s">
        <v>5</v>
      </c>
      <c r="AL1013" s="6" t="s">
        <v>5</v>
      </c>
      <c r="AM1013" s="6" t="s">
        <v>5</v>
      </c>
      <c r="AN1013" s="6" t="s">
        <v>5</v>
      </c>
      <c r="AO1013" s="7">
        <v>5.7</v>
      </c>
      <c r="AP1013" s="7">
        <v>4.9000000000000004</v>
      </c>
      <c r="AQ1013" s="7">
        <v>2.67</v>
      </c>
      <c r="AR1013" s="22">
        <v>0.84499999999999997</v>
      </c>
      <c r="AS1013" s="6">
        <v>36.200000000000003</v>
      </c>
      <c r="AT1013" s="6">
        <v>13.9</v>
      </c>
      <c r="AU1013" s="6">
        <v>8.27</v>
      </c>
      <c r="AV1013" s="7">
        <v>2.13</v>
      </c>
      <c r="AW1013" s="6" t="s">
        <v>5</v>
      </c>
      <c r="AX1013" s="6" t="s">
        <v>5</v>
      </c>
      <c r="AY1013" s="6" t="s">
        <v>5</v>
      </c>
      <c r="AZ1013" s="6" t="s">
        <v>5</v>
      </c>
      <c r="BA1013" s="6" t="s">
        <v>5</v>
      </c>
      <c r="BB1013" s="6" t="s">
        <v>5</v>
      </c>
      <c r="BC1013" s="6" t="s">
        <v>5</v>
      </c>
      <c r="BD1013" s="6" t="s">
        <v>5</v>
      </c>
      <c r="BE1013" s="6" t="s">
        <v>5</v>
      </c>
      <c r="BF1013" s="6" t="s">
        <v>5</v>
      </c>
      <c r="BG1013" s="6" t="s">
        <v>5</v>
      </c>
      <c r="BH1013" s="6" t="s">
        <v>5</v>
      </c>
      <c r="BI1013" s="7">
        <v>2.36</v>
      </c>
      <c r="BJ1013" s="22">
        <v>0.94499999999999995</v>
      </c>
      <c r="BK1013" s="6" t="s">
        <v>5</v>
      </c>
      <c r="BL1013" s="2" t="s">
        <v>5</v>
      </c>
      <c r="BM1013" s="2" t="s">
        <v>5</v>
      </c>
      <c r="BN1013" s="2" t="s">
        <v>5</v>
      </c>
      <c r="BO1013" s="2" t="s">
        <v>5</v>
      </c>
      <c r="BP1013" s="2" t="s">
        <v>5</v>
      </c>
      <c r="BQ1013" s="2" t="s">
        <v>5</v>
      </c>
      <c r="BR1013" s="2" t="s">
        <v>5</v>
      </c>
      <c r="BS1013" s="2" t="s">
        <v>5</v>
      </c>
      <c r="BT1013" s="2" t="s">
        <v>5</v>
      </c>
      <c r="BU1013" s="2" t="s">
        <v>5</v>
      </c>
      <c r="BV1013" s="2" t="s">
        <v>5</v>
      </c>
      <c r="BW1013" s="2" t="s">
        <v>5</v>
      </c>
      <c r="BX1013" s="2" t="s">
        <v>5</v>
      </c>
      <c r="BY1013" s="25" t="s">
        <v>5</v>
      </c>
      <c r="BZ1013" s="25" t="s">
        <v>5</v>
      </c>
      <c r="CA1013" s="6" t="s">
        <v>5</v>
      </c>
      <c r="CB1013" s="6" t="s">
        <v>5</v>
      </c>
      <c r="CC1013" s="6" t="s">
        <v>5</v>
      </c>
      <c r="CD1013" s="6" t="s">
        <v>5</v>
      </c>
      <c r="CE1013" s="6" t="s">
        <v>5</v>
      </c>
      <c r="CF1013" s="16" t="s">
        <v>5</v>
      </c>
      <c r="CG1013" s="16" t="s">
        <v>5</v>
      </c>
      <c r="CH1013" s="18" t="s">
        <v>5</v>
      </c>
    </row>
    <row r="1014" spans="2:86">
      <c r="B1014" s="78" t="s">
        <v>473</v>
      </c>
      <c r="C1014" s="79" t="s">
        <v>1114</v>
      </c>
      <c r="D1014" s="80" t="s">
        <v>1114</v>
      </c>
      <c r="E1014" s="1" t="s">
        <v>4</v>
      </c>
      <c r="F1014" s="4">
        <v>22.2</v>
      </c>
      <c r="G1014" s="7">
        <v>6.5</v>
      </c>
      <c r="H1014" s="3" t="str">
        <f t="shared" si="34"/>
        <v>2L4X3X1/2SLBB</v>
      </c>
      <c r="I1014" s="7">
        <v>3</v>
      </c>
      <c r="J1014" s="5" t="s">
        <v>5</v>
      </c>
      <c r="K1014" s="6" t="s">
        <v>5</v>
      </c>
      <c r="L1014" s="6" t="s">
        <v>5</v>
      </c>
      <c r="M1014" s="6" t="s">
        <v>5</v>
      </c>
      <c r="N1014" s="6" t="s">
        <v>5</v>
      </c>
      <c r="O1014" s="5" t="s">
        <v>5</v>
      </c>
      <c r="P1014" s="5" t="s">
        <v>5</v>
      </c>
      <c r="Q1014" s="7">
        <v>4</v>
      </c>
      <c r="R1014" s="6" t="s">
        <v>5</v>
      </c>
      <c r="S1014" s="6" t="s">
        <v>5</v>
      </c>
      <c r="T1014" s="5" t="s">
        <v>5</v>
      </c>
      <c r="U1014" s="8" t="s">
        <v>5</v>
      </c>
      <c r="V1014" s="6" t="s">
        <v>5</v>
      </c>
      <c r="W1014" s="8" t="s">
        <v>5</v>
      </c>
      <c r="X1014" s="22">
        <v>0.5</v>
      </c>
      <c r="Y1014" s="6" t="s">
        <v>5</v>
      </c>
      <c r="Z1014" s="6" t="s">
        <v>5</v>
      </c>
      <c r="AA1014" s="6" t="s">
        <v>5</v>
      </c>
      <c r="AB1014" s="8" t="s">
        <v>5</v>
      </c>
      <c r="AC1014" s="8" t="s">
        <v>5</v>
      </c>
      <c r="AD1014" s="6" t="s">
        <v>5</v>
      </c>
      <c r="AE1014" s="22">
        <v>0.82199999999999995</v>
      </c>
      <c r="AF1014" s="6" t="s">
        <v>5</v>
      </c>
      <c r="AG1014" s="6" t="s">
        <v>5</v>
      </c>
      <c r="AH1014" s="22">
        <v>0.40600000000000003</v>
      </c>
      <c r="AI1014" s="6" t="s">
        <v>5</v>
      </c>
      <c r="AJ1014" s="7">
        <v>8</v>
      </c>
      <c r="AK1014" s="6" t="s">
        <v>5</v>
      </c>
      <c r="AL1014" s="6" t="s">
        <v>5</v>
      </c>
      <c r="AM1014" s="6" t="s">
        <v>5</v>
      </c>
      <c r="AN1014" s="6" t="s">
        <v>5</v>
      </c>
      <c r="AO1014" s="7">
        <v>4.79</v>
      </c>
      <c r="AP1014" s="7">
        <v>3.99</v>
      </c>
      <c r="AQ1014" s="7">
        <v>2.2000000000000002</v>
      </c>
      <c r="AR1014" s="22">
        <v>0.85799999999999998</v>
      </c>
      <c r="AS1014" s="6">
        <v>21.3</v>
      </c>
      <c r="AT1014" s="6">
        <v>8.58</v>
      </c>
      <c r="AU1014" s="6">
        <v>5.32</v>
      </c>
      <c r="AV1014" s="7">
        <v>1.81</v>
      </c>
      <c r="AW1014" s="6" t="s">
        <v>5</v>
      </c>
      <c r="AX1014" s="6" t="s">
        <v>5</v>
      </c>
      <c r="AY1014" s="6" t="s">
        <v>5</v>
      </c>
      <c r="AZ1014" s="6" t="s">
        <v>5</v>
      </c>
      <c r="BA1014" s="6" t="s">
        <v>5</v>
      </c>
      <c r="BB1014" s="6" t="s">
        <v>5</v>
      </c>
      <c r="BC1014" s="6" t="s">
        <v>5</v>
      </c>
      <c r="BD1014" s="6" t="s">
        <v>5</v>
      </c>
      <c r="BE1014" s="6" t="s">
        <v>5</v>
      </c>
      <c r="BF1014" s="6" t="s">
        <v>5</v>
      </c>
      <c r="BG1014" s="6" t="s">
        <v>5</v>
      </c>
      <c r="BH1014" s="6" t="s">
        <v>5</v>
      </c>
      <c r="BI1014" s="7">
        <v>2.09</v>
      </c>
      <c r="BJ1014" s="22">
        <v>0.92500000000000004</v>
      </c>
      <c r="BK1014" s="6" t="s">
        <v>5</v>
      </c>
      <c r="BL1014" s="2" t="s">
        <v>5</v>
      </c>
      <c r="BM1014" s="2" t="s">
        <v>5</v>
      </c>
      <c r="BN1014" s="2" t="s">
        <v>5</v>
      </c>
      <c r="BO1014" s="2" t="s">
        <v>5</v>
      </c>
      <c r="BP1014" s="2" t="s">
        <v>5</v>
      </c>
      <c r="BQ1014" s="2" t="s">
        <v>5</v>
      </c>
      <c r="BR1014" s="2" t="s">
        <v>5</v>
      </c>
      <c r="BS1014" s="2" t="s">
        <v>5</v>
      </c>
      <c r="BT1014" s="2" t="s">
        <v>5</v>
      </c>
      <c r="BU1014" s="2" t="s">
        <v>5</v>
      </c>
      <c r="BV1014" s="2" t="s">
        <v>5</v>
      </c>
      <c r="BW1014" s="2" t="s">
        <v>5</v>
      </c>
      <c r="BX1014" s="2" t="s">
        <v>5</v>
      </c>
      <c r="BY1014" s="25" t="s">
        <v>5</v>
      </c>
      <c r="BZ1014" s="25" t="s">
        <v>5</v>
      </c>
      <c r="CA1014" s="6" t="s">
        <v>5</v>
      </c>
      <c r="CB1014" s="6" t="s">
        <v>5</v>
      </c>
      <c r="CC1014" s="6" t="s">
        <v>5</v>
      </c>
      <c r="CD1014" s="6" t="s">
        <v>5</v>
      </c>
      <c r="CE1014" s="6" t="s">
        <v>5</v>
      </c>
      <c r="CF1014" s="16" t="s">
        <v>5</v>
      </c>
      <c r="CG1014" s="16" t="s">
        <v>5</v>
      </c>
      <c r="CH1014" s="18" t="s">
        <v>5</v>
      </c>
    </row>
    <row r="1015" spans="2:86">
      <c r="B1015" s="78" t="s">
        <v>473</v>
      </c>
      <c r="C1015" s="79" t="s">
        <v>1115</v>
      </c>
      <c r="D1015" s="80" t="s">
        <v>1115</v>
      </c>
      <c r="E1015" s="1" t="s">
        <v>4</v>
      </c>
      <c r="F1015" s="4">
        <v>22.2</v>
      </c>
      <c r="G1015" s="7">
        <v>6.5</v>
      </c>
      <c r="H1015" s="3" t="str">
        <f t="shared" si="34"/>
        <v>2L4X3X1/2X3/8SLBB</v>
      </c>
      <c r="I1015" s="7">
        <v>3</v>
      </c>
      <c r="J1015" s="5" t="s">
        <v>5</v>
      </c>
      <c r="K1015" s="6" t="s">
        <v>5</v>
      </c>
      <c r="L1015" s="6" t="s">
        <v>5</v>
      </c>
      <c r="M1015" s="6" t="s">
        <v>5</v>
      </c>
      <c r="N1015" s="6" t="s">
        <v>5</v>
      </c>
      <c r="O1015" s="5" t="s">
        <v>5</v>
      </c>
      <c r="P1015" s="5" t="s">
        <v>5</v>
      </c>
      <c r="Q1015" s="7">
        <v>4</v>
      </c>
      <c r="R1015" s="6" t="s">
        <v>5</v>
      </c>
      <c r="S1015" s="6" t="s">
        <v>5</v>
      </c>
      <c r="T1015" s="5" t="s">
        <v>5</v>
      </c>
      <c r="U1015" s="8" t="s">
        <v>5</v>
      </c>
      <c r="V1015" s="6" t="s">
        <v>5</v>
      </c>
      <c r="W1015" s="8" t="s">
        <v>5</v>
      </c>
      <c r="X1015" s="22">
        <v>0.5</v>
      </c>
      <c r="Y1015" s="6" t="s">
        <v>5</v>
      </c>
      <c r="Z1015" s="6" t="s">
        <v>5</v>
      </c>
      <c r="AA1015" s="6" t="s">
        <v>5</v>
      </c>
      <c r="AB1015" s="8" t="s">
        <v>5</v>
      </c>
      <c r="AC1015" s="8" t="s">
        <v>5</v>
      </c>
      <c r="AD1015" s="6" t="s">
        <v>5</v>
      </c>
      <c r="AE1015" s="22">
        <v>0.82199999999999995</v>
      </c>
      <c r="AF1015" s="6" t="s">
        <v>5</v>
      </c>
      <c r="AG1015" s="6" t="s">
        <v>5</v>
      </c>
      <c r="AH1015" s="22">
        <v>0.40600000000000003</v>
      </c>
      <c r="AI1015" s="6" t="s">
        <v>5</v>
      </c>
      <c r="AJ1015" s="7">
        <v>8</v>
      </c>
      <c r="AK1015" s="6" t="s">
        <v>5</v>
      </c>
      <c r="AL1015" s="6" t="s">
        <v>5</v>
      </c>
      <c r="AM1015" s="6" t="s">
        <v>5</v>
      </c>
      <c r="AN1015" s="6" t="s">
        <v>5</v>
      </c>
      <c r="AO1015" s="7">
        <v>4.79</v>
      </c>
      <c r="AP1015" s="7">
        <v>3.99</v>
      </c>
      <c r="AQ1015" s="7">
        <v>2.2000000000000002</v>
      </c>
      <c r="AR1015" s="22">
        <v>0.85799999999999998</v>
      </c>
      <c r="AS1015" s="6">
        <v>24.7</v>
      </c>
      <c r="AT1015" s="7">
        <v>9.8000000000000007</v>
      </c>
      <c r="AU1015" s="7">
        <v>5.9</v>
      </c>
      <c r="AV1015" s="7">
        <v>1.95</v>
      </c>
      <c r="AW1015" s="6" t="s">
        <v>5</v>
      </c>
      <c r="AX1015" s="6" t="s">
        <v>5</v>
      </c>
      <c r="AY1015" s="6" t="s">
        <v>5</v>
      </c>
      <c r="AZ1015" s="6" t="s">
        <v>5</v>
      </c>
      <c r="BA1015" s="6" t="s">
        <v>5</v>
      </c>
      <c r="BB1015" s="6" t="s">
        <v>5</v>
      </c>
      <c r="BC1015" s="6" t="s">
        <v>5</v>
      </c>
      <c r="BD1015" s="6" t="s">
        <v>5</v>
      </c>
      <c r="BE1015" s="6" t="s">
        <v>5</v>
      </c>
      <c r="BF1015" s="6" t="s">
        <v>5</v>
      </c>
      <c r="BG1015" s="6" t="s">
        <v>5</v>
      </c>
      <c r="BH1015" s="6" t="s">
        <v>5</v>
      </c>
      <c r="BI1015" s="7">
        <v>2.21</v>
      </c>
      <c r="BJ1015" s="22">
        <v>0.93300000000000005</v>
      </c>
      <c r="BK1015" s="6" t="s">
        <v>5</v>
      </c>
      <c r="BL1015" s="2" t="s">
        <v>5</v>
      </c>
      <c r="BM1015" s="2" t="s">
        <v>5</v>
      </c>
      <c r="BN1015" s="2" t="s">
        <v>5</v>
      </c>
      <c r="BO1015" s="2" t="s">
        <v>5</v>
      </c>
      <c r="BP1015" s="2" t="s">
        <v>5</v>
      </c>
      <c r="BQ1015" s="2" t="s">
        <v>5</v>
      </c>
      <c r="BR1015" s="2" t="s">
        <v>5</v>
      </c>
      <c r="BS1015" s="2" t="s">
        <v>5</v>
      </c>
      <c r="BT1015" s="2" t="s">
        <v>5</v>
      </c>
      <c r="BU1015" s="2" t="s">
        <v>5</v>
      </c>
      <c r="BV1015" s="2" t="s">
        <v>5</v>
      </c>
      <c r="BW1015" s="2" t="s">
        <v>5</v>
      </c>
      <c r="BX1015" s="2" t="s">
        <v>5</v>
      </c>
      <c r="BY1015" s="25" t="s">
        <v>5</v>
      </c>
      <c r="BZ1015" s="25" t="s">
        <v>5</v>
      </c>
      <c r="CA1015" s="6" t="s">
        <v>5</v>
      </c>
      <c r="CB1015" s="6" t="s">
        <v>5</v>
      </c>
      <c r="CC1015" s="6" t="s">
        <v>5</v>
      </c>
      <c r="CD1015" s="6" t="s">
        <v>5</v>
      </c>
      <c r="CE1015" s="6" t="s">
        <v>5</v>
      </c>
      <c r="CF1015" s="16" t="s">
        <v>5</v>
      </c>
      <c r="CG1015" s="16" t="s">
        <v>5</v>
      </c>
      <c r="CH1015" s="18" t="s">
        <v>5</v>
      </c>
    </row>
    <row r="1016" spans="2:86">
      <c r="B1016" s="78" t="s">
        <v>473</v>
      </c>
      <c r="C1016" s="79" t="s">
        <v>1116</v>
      </c>
      <c r="D1016" s="80" t="s">
        <v>1116</v>
      </c>
      <c r="E1016" s="1" t="s">
        <v>4</v>
      </c>
      <c r="F1016" s="4">
        <v>22.2</v>
      </c>
      <c r="G1016" s="7">
        <v>6.5</v>
      </c>
      <c r="H1016" s="3" t="str">
        <f t="shared" si="34"/>
        <v>2L4X3X1/2X3/4SLBB</v>
      </c>
      <c r="I1016" s="7">
        <v>3</v>
      </c>
      <c r="J1016" s="5" t="s">
        <v>5</v>
      </c>
      <c r="K1016" s="6" t="s">
        <v>5</v>
      </c>
      <c r="L1016" s="6" t="s">
        <v>5</v>
      </c>
      <c r="M1016" s="6" t="s">
        <v>5</v>
      </c>
      <c r="N1016" s="6" t="s">
        <v>5</v>
      </c>
      <c r="O1016" s="5" t="s">
        <v>5</v>
      </c>
      <c r="P1016" s="5" t="s">
        <v>5</v>
      </c>
      <c r="Q1016" s="7">
        <v>4</v>
      </c>
      <c r="R1016" s="6" t="s">
        <v>5</v>
      </c>
      <c r="S1016" s="6" t="s">
        <v>5</v>
      </c>
      <c r="T1016" s="5" t="s">
        <v>5</v>
      </c>
      <c r="U1016" s="8" t="s">
        <v>5</v>
      </c>
      <c r="V1016" s="6" t="s">
        <v>5</v>
      </c>
      <c r="W1016" s="8" t="s">
        <v>5</v>
      </c>
      <c r="X1016" s="22">
        <v>0.5</v>
      </c>
      <c r="Y1016" s="6" t="s">
        <v>5</v>
      </c>
      <c r="Z1016" s="6" t="s">
        <v>5</v>
      </c>
      <c r="AA1016" s="6" t="s">
        <v>5</v>
      </c>
      <c r="AB1016" s="8" t="s">
        <v>5</v>
      </c>
      <c r="AC1016" s="8" t="s">
        <v>5</v>
      </c>
      <c r="AD1016" s="6" t="s">
        <v>5</v>
      </c>
      <c r="AE1016" s="22">
        <v>0.82199999999999995</v>
      </c>
      <c r="AF1016" s="6" t="s">
        <v>5</v>
      </c>
      <c r="AG1016" s="6" t="s">
        <v>5</v>
      </c>
      <c r="AH1016" s="22">
        <v>0.40600000000000003</v>
      </c>
      <c r="AI1016" s="6" t="s">
        <v>5</v>
      </c>
      <c r="AJ1016" s="7">
        <v>8</v>
      </c>
      <c r="AK1016" s="6" t="s">
        <v>5</v>
      </c>
      <c r="AL1016" s="6" t="s">
        <v>5</v>
      </c>
      <c r="AM1016" s="6" t="s">
        <v>5</v>
      </c>
      <c r="AN1016" s="6" t="s">
        <v>5</v>
      </c>
      <c r="AO1016" s="7">
        <v>4.79</v>
      </c>
      <c r="AP1016" s="7">
        <v>3.99</v>
      </c>
      <c r="AQ1016" s="7">
        <v>2.2000000000000002</v>
      </c>
      <c r="AR1016" s="22">
        <v>0.85799999999999998</v>
      </c>
      <c r="AS1016" s="6">
        <v>28.7</v>
      </c>
      <c r="AT1016" s="4">
        <v>11</v>
      </c>
      <c r="AU1016" s="6">
        <v>6.56</v>
      </c>
      <c r="AV1016" s="7">
        <v>2.1</v>
      </c>
      <c r="AW1016" s="6" t="s">
        <v>5</v>
      </c>
      <c r="AX1016" s="6" t="s">
        <v>5</v>
      </c>
      <c r="AY1016" s="6" t="s">
        <v>5</v>
      </c>
      <c r="AZ1016" s="6" t="s">
        <v>5</v>
      </c>
      <c r="BA1016" s="6" t="s">
        <v>5</v>
      </c>
      <c r="BB1016" s="6" t="s">
        <v>5</v>
      </c>
      <c r="BC1016" s="6" t="s">
        <v>5</v>
      </c>
      <c r="BD1016" s="6" t="s">
        <v>5</v>
      </c>
      <c r="BE1016" s="6" t="s">
        <v>5</v>
      </c>
      <c r="BF1016" s="6" t="s">
        <v>5</v>
      </c>
      <c r="BG1016" s="6" t="s">
        <v>5</v>
      </c>
      <c r="BH1016" s="6" t="s">
        <v>5</v>
      </c>
      <c r="BI1016" s="7">
        <v>2.34</v>
      </c>
      <c r="BJ1016" s="22">
        <v>0.94</v>
      </c>
      <c r="BK1016" s="6" t="s">
        <v>5</v>
      </c>
      <c r="BL1016" s="2" t="s">
        <v>5</v>
      </c>
      <c r="BM1016" s="2" t="s">
        <v>5</v>
      </c>
      <c r="BN1016" s="2" t="s">
        <v>5</v>
      </c>
      <c r="BO1016" s="2" t="s">
        <v>5</v>
      </c>
      <c r="BP1016" s="2" t="s">
        <v>5</v>
      </c>
      <c r="BQ1016" s="2" t="s">
        <v>5</v>
      </c>
      <c r="BR1016" s="2" t="s">
        <v>5</v>
      </c>
      <c r="BS1016" s="2" t="s">
        <v>5</v>
      </c>
      <c r="BT1016" s="2" t="s">
        <v>5</v>
      </c>
      <c r="BU1016" s="2" t="s">
        <v>5</v>
      </c>
      <c r="BV1016" s="2" t="s">
        <v>5</v>
      </c>
      <c r="BW1016" s="2" t="s">
        <v>5</v>
      </c>
      <c r="BX1016" s="2" t="s">
        <v>5</v>
      </c>
      <c r="BY1016" s="25" t="s">
        <v>5</v>
      </c>
      <c r="BZ1016" s="25" t="s">
        <v>5</v>
      </c>
      <c r="CA1016" s="6" t="s">
        <v>5</v>
      </c>
      <c r="CB1016" s="6" t="s">
        <v>5</v>
      </c>
      <c r="CC1016" s="6" t="s">
        <v>5</v>
      </c>
      <c r="CD1016" s="6" t="s">
        <v>5</v>
      </c>
      <c r="CE1016" s="6" t="s">
        <v>5</v>
      </c>
      <c r="CF1016" s="16" t="s">
        <v>5</v>
      </c>
      <c r="CG1016" s="16" t="s">
        <v>5</v>
      </c>
      <c r="CH1016" s="18" t="s">
        <v>5</v>
      </c>
    </row>
    <row r="1017" spans="2:86">
      <c r="B1017" s="78" t="s">
        <v>473</v>
      </c>
      <c r="C1017" s="79" t="s">
        <v>1117</v>
      </c>
      <c r="D1017" s="80" t="s">
        <v>1117</v>
      </c>
      <c r="E1017" s="1" t="s">
        <v>4</v>
      </c>
      <c r="F1017" s="4">
        <v>17</v>
      </c>
      <c r="G1017" s="7">
        <v>4.9800000000000004</v>
      </c>
      <c r="H1017" s="3" t="str">
        <f t="shared" si="34"/>
        <v>2L4X3X3/8SLBB</v>
      </c>
      <c r="I1017" s="7">
        <v>3</v>
      </c>
      <c r="J1017" s="5" t="s">
        <v>5</v>
      </c>
      <c r="K1017" s="6" t="s">
        <v>5</v>
      </c>
      <c r="L1017" s="6" t="s">
        <v>5</v>
      </c>
      <c r="M1017" s="6" t="s">
        <v>5</v>
      </c>
      <c r="N1017" s="6" t="s">
        <v>5</v>
      </c>
      <c r="O1017" s="5" t="s">
        <v>5</v>
      </c>
      <c r="P1017" s="5" t="s">
        <v>5</v>
      </c>
      <c r="Q1017" s="7">
        <v>4</v>
      </c>
      <c r="R1017" s="6" t="s">
        <v>5</v>
      </c>
      <c r="S1017" s="6" t="s">
        <v>5</v>
      </c>
      <c r="T1017" s="5" t="s">
        <v>5</v>
      </c>
      <c r="U1017" s="8" t="s">
        <v>5</v>
      </c>
      <c r="V1017" s="6" t="s">
        <v>5</v>
      </c>
      <c r="W1017" s="8" t="s">
        <v>5</v>
      </c>
      <c r="X1017" s="22">
        <v>0.375</v>
      </c>
      <c r="Y1017" s="6" t="s">
        <v>5</v>
      </c>
      <c r="Z1017" s="6" t="s">
        <v>5</v>
      </c>
      <c r="AA1017" s="6" t="s">
        <v>5</v>
      </c>
      <c r="AB1017" s="8" t="s">
        <v>5</v>
      </c>
      <c r="AC1017" s="8" t="s">
        <v>5</v>
      </c>
      <c r="AD1017" s="6" t="s">
        <v>5</v>
      </c>
      <c r="AE1017" s="22">
        <v>0.77500000000000002</v>
      </c>
      <c r="AF1017" s="6" t="s">
        <v>5</v>
      </c>
      <c r="AG1017" s="6" t="s">
        <v>5</v>
      </c>
      <c r="AH1017" s="22">
        <v>0.311</v>
      </c>
      <c r="AI1017" s="6" t="s">
        <v>5</v>
      </c>
      <c r="AJ1017" s="4">
        <v>10.7</v>
      </c>
      <c r="AK1017" s="6" t="s">
        <v>5</v>
      </c>
      <c r="AL1017" s="6" t="s">
        <v>5</v>
      </c>
      <c r="AM1017" s="6" t="s">
        <v>5</v>
      </c>
      <c r="AN1017" s="6" t="s">
        <v>5</v>
      </c>
      <c r="AO1017" s="7">
        <v>3.79</v>
      </c>
      <c r="AP1017" s="7">
        <v>3.04</v>
      </c>
      <c r="AQ1017" s="7">
        <v>1.7</v>
      </c>
      <c r="AR1017" s="22">
        <v>0.873</v>
      </c>
      <c r="AS1017" s="4">
        <v>16</v>
      </c>
      <c r="AT1017" s="6">
        <v>6.32</v>
      </c>
      <c r="AU1017" s="7">
        <v>4</v>
      </c>
      <c r="AV1017" s="7">
        <v>1.79</v>
      </c>
      <c r="AW1017" s="6" t="s">
        <v>5</v>
      </c>
      <c r="AX1017" s="6" t="s">
        <v>5</v>
      </c>
      <c r="AY1017" s="6" t="s">
        <v>5</v>
      </c>
      <c r="AZ1017" s="6" t="s">
        <v>5</v>
      </c>
      <c r="BA1017" s="6" t="s">
        <v>5</v>
      </c>
      <c r="BB1017" s="6" t="s">
        <v>5</v>
      </c>
      <c r="BC1017" s="6" t="s">
        <v>5</v>
      </c>
      <c r="BD1017" s="6" t="s">
        <v>5</v>
      </c>
      <c r="BE1017" s="6" t="s">
        <v>5</v>
      </c>
      <c r="BF1017" s="6" t="s">
        <v>5</v>
      </c>
      <c r="BG1017" s="6" t="s">
        <v>5</v>
      </c>
      <c r="BH1017" s="6" t="s">
        <v>5</v>
      </c>
      <c r="BI1017" s="7">
        <v>2.08</v>
      </c>
      <c r="BJ1017" s="22">
        <v>0.92</v>
      </c>
      <c r="BK1017" s="6" t="s">
        <v>5</v>
      </c>
      <c r="BL1017" s="2" t="s">
        <v>5</v>
      </c>
      <c r="BM1017" s="2" t="s">
        <v>5</v>
      </c>
      <c r="BN1017" s="2" t="s">
        <v>5</v>
      </c>
      <c r="BO1017" s="2" t="s">
        <v>5</v>
      </c>
      <c r="BP1017" s="2" t="s">
        <v>5</v>
      </c>
      <c r="BQ1017" s="2" t="s">
        <v>5</v>
      </c>
      <c r="BR1017" s="2" t="s">
        <v>5</v>
      </c>
      <c r="BS1017" s="2" t="s">
        <v>5</v>
      </c>
      <c r="BT1017" s="2" t="s">
        <v>5</v>
      </c>
      <c r="BU1017" s="2" t="s">
        <v>5</v>
      </c>
      <c r="BV1017" s="2" t="s">
        <v>5</v>
      </c>
      <c r="BW1017" s="2" t="s">
        <v>5</v>
      </c>
      <c r="BX1017" s="2" t="s">
        <v>5</v>
      </c>
      <c r="BY1017" s="25" t="s">
        <v>5</v>
      </c>
      <c r="BZ1017" s="25" t="s">
        <v>5</v>
      </c>
      <c r="CA1017" s="6" t="s">
        <v>5</v>
      </c>
      <c r="CB1017" s="6" t="s">
        <v>5</v>
      </c>
      <c r="CC1017" s="6" t="s">
        <v>5</v>
      </c>
      <c r="CD1017" s="6" t="s">
        <v>5</v>
      </c>
      <c r="CE1017" s="6" t="s">
        <v>5</v>
      </c>
      <c r="CF1017" s="16" t="s">
        <v>5</v>
      </c>
      <c r="CG1017" s="16" t="s">
        <v>5</v>
      </c>
      <c r="CH1017" s="18" t="s">
        <v>5</v>
      </c>
    </row>
    <row r="1018" spans="2:86">
      <c r="B1018" s="78" t="s">
        <v>473</v>
      </c>
      <c r="C1018" s="79" t="s">
        <v>1118</v>
      </c>
      <c r="D1018" s="80" t="s">
        <v>1118</v>
      </c>
      <c r="E1018" s="1" t="s">
        <v>4</v>
      </c>
      <c r="F1018" s="4">
        <v>17</v>
      </c>
      <c r="G1018" s="7">
        <v>4.9800000000000004</v>
      </c>
      <c r="H1018" s="3" t="str">
        <f t="shared" si="34"/>
        <v>2L4X3X3/8X3/8SLBB</v>
      </c>
      <c r="I1018" s="7">
        <v>3</v>
      </c>
      <c r="J1018" s="5" t="s">
        <v>5</v>
      </c>
      <c r="K1018" s="6" t="s">
        <v>5</v>
      </c>
      <c r="L1018" s="6" t="s">
        <v>5</v>
      </c>
      <c r="M1018" s="6" t="s">
        <v>5</v>
      </c>
      <c r="N1018" s="6" t="s">
        <v>5</v>
      </c>
      <c r="O1018" s="5" t="s">
        <v>5</v>
      </c>
      <c r="P1018" s="5" t="s">
        <v>5</v>
      </c>
      <c r="Q1018" s="7">
        <v>4</v>
      </c>
      <c r="R1018" s="6" t="s">
        <v>5</v>
      </c>
      <c r="S1018" s="6" t="s">
        <v>5</v>
      </c>
      <c r="T1018" s="5" t="s">
        <v>5</v>
      </c>
      <c r="U1018" s="8" t="s">
        <v>5</v>
      </c>
      <c r="V1018" s="6" t="s">
        <v>5</v>
      </c>
      <c r="W1018" s="8" t="s">
        <v>5</v>
      </c>
      <c r="X1018" s="22">
        <v>0.375</v>
      </c>
      <c r="Y1018" s="6" t="s">
        <v>5</v>
      </c>
      <c r="Z1018" s="6" t="s">
        <v>5</v>
      </c>
      <c r="AA1018" s="6" t="s">
        <v>5</v>
      </c>
      <c r="AB1018" s="8" t="s">
        <v>5</v>
      </c>
      <c r="AC1018" s="8" t="s">
        <v>5</v>
      </c>
      <c r="AD1018" s="6" t="s">
        <v>5</v>
      </c>
      <c r="AE1018" s="22">
        <v>0.77500000000000002</v>
      </c>
      <c r="AF1018" s="6" t="s">
        <v>5</v>
      </c>
      <c r="AG1018" s="6" t="s">
        <v>5</v>
      </c>
      <c r="AH1018" s="22">
        <v>0.311</v>
      </c>
      <c r="AI1018" s="6" t="s">
        <v>5</v>
      </c>
      <c r="AJ1018" s="4">
        <v>10.7</v>
      </c>
      <c r="AK1018" s="6" t="s">
        <v>5</v>
      </c>
      <c r="AL1018" s="6" t="s">
        <v>5</v>
      </c>
      <c r="AM1018" s="6" t="s">
        <v>5</v>
      </c>
      <c r="AN1018" s="6" t="s">
        <v>5</v>
      </c>
      <c r="AO1018" s="7">
        <v>3.79</v>
      </c>
      <c r="AP1018" s="7">
        <v>3.04</v>
      </c>
      <c r="AQ1018" s="7">
        <v>1.7</v>
      </c>
      <c r="AR1018" s="22">
        <v>0.873</v>
      </c>
      <c r="AS1018" s="6">
        <v>18.600000000000001</v>
      </c>
      <c r="AT1018" s="6">
        <v>7.26</v>
      </c>
      <c r="AU1018" s="6">
        <v>4.4400000000000004</v>
      </c>
      <c r="AV1018" s="7">
        <v>1.93</v>
      </c>
      <c r="AW1018" s="6" t="s">
        <v>5</v>
      </c>
      <c r="AX1018" s="6" t="s">
        <v>5</v>
      </c>
      <c r="AY1018" s="6" t="s">
        <v>5</v>
      </c>
      <c r="AZ1018" s="6" t="s">
        <v>5</v>
      </c>
      <c r="BA1018" s="6" t="s">
        <v>5</v>
      </c>
      <c r="BB1018" s="6" t="s">
        <v>5</v>
      </c>
      <c r="BC1018" s="6" t="s">
        <v>5</v>
      </c>
      <c r="BD1018" s="6" t="s">
        <v>5</v>
      </c>
      <c r="BE1018" s="6" t="s">
        <v>5</v>
      </c>
      <c r="BF1018" s="6" t="s">
        <v>5</v>
      </c>
      <c r="BG1018" s="6" t="s">
        <v>5</v>
      </c>
      <c r="BH1018" s="6" t="s">
        <v>5</v>
      </c>
      <c r="BI1018" s="7">
        <v>2.2000000000000002</v>
      </c>
      <c r="BJ1018" s="22">
        <v>0.92800000000000005</v>
      </c>
      <c r="BK1018" s="6" t="s">
        <v>5</v>
      </c>
      <c r="BL1018" s="2" t="s">
        <v>5</v>
      </c>
      <c r="BM1018" s="2" t="s">
        <v>5</v>
      </c>
      <c r="BN1018" s="2" t="s">
        <v>5</v>
      </c>
      <c r="BO1018" s="2" t="s">
        <v>5</v>
      </c>
      <c r="BP1018" s="2" t="s">
        <v>5</v>
      </c>
      <c r="BQ1018" s="2" t="s">
        <v>5</v>
      </c>
      <c r="BR1018" s="2" t="s">
        <v>5</v>
      </c>
      <c r="BS1018" s="2" t="s">
        <v>5</v>
      </c>
      <c r="BT1018" s="2" t="s">
        <v>5</v>
      </c>
      <c r="BU1018" s="2" t="s">
        <v>5</v>
      </c>
      <c r="BV1018" s="2" t="s">
        <v>5</v>
      </c>
      <c r="BW1018" s="2" t="s">
        <v>5</v>
      </c>
      <c r="BX1018" s="2" t="s">
        <v>5</v>
      </c>
      <c r="BY1018" s="25" t="s">
        <v>5</v>
      </c>
      <c r="BZ1018" s="25" t="s">
        <v>5</v>
      </c>
      <c r="CA1018" s="6" t="s">
        <v>5</v>
      </c>
      <c r="CB1018" s="6" t="s">
        <v>5</v>
      </c>
      <c r="CC1018" s="6" t="s">
        <v>5</v>
      </c>
      <c r="CD1018" s="6" t="s">
        <v>5</v>
      </c>
      <c r="CE1018" s="6" t="s">
        <v>5</v>
      </c>
      <c r="CF1018" s="16" t="s">
        <v>5</v>
      </c>
      <c r="CG1018" s="16" t="s">
        <v>5</v>
      </c>
      <c r="CH1018" s="18" t="s">
        <v>5</v>
      </c>
    </row>
    <row r="1019" spans="2:86">
      <c r="B1019" s="78" t="s">
        <v>473</v>
      </c>
      <c r="C1019" s="79" t="s">
        <v>1119</v>
      </c>
      <c r="D1019" s="80" t="s">
        <v>1119</v>
      </c>
      <c r="E1019" s="1" t="s">
        <v>4</v>
      </c>
      <c r="F1019" s="4">
        <v>17</v>
      </c>
      <c r="G1019" s="7">
        <v>4.9800000000000004</v>
      </c>
      <c r="H1019" s="3" t="str">
        <f t="shared" si="34"/>
        <v>2L4X3X3/8X3/4SLBB</v>
      </c>
      <c r="I1019" s="7">
        <v>3</v>
      </c>
      <c r="J1019" s="5" t="s">
        <v>5</v>
      </c>
      <c r="K1019" s="6" t="s">
        <v>5</v>
      </c>
      <c r="L1019" s="6" t="s">
        <v>5</v>
      </c>
      <c r="M1019" s="6" t="s">
        <v>5</v>
      </c>
      <c r="N1019" s="6" t="s">
        <v>5</v>
      </c>
      <c r="O1019" s="5" t="s">
        <v>5</v>
      </c>
      <c r="P1019" s="5" t="s">
        <v>5</v>
      </c>
      <c r="Q1019" s="7">
        <v>4</v>
      </c>
      <c r="R1019" s="6" t="s">
        <v>5</v>
      </c>
      <c r="S1019" s="6" t="s">
        <v>5</v>
      </c>
      <c r="T1019" s="5" t="s">
        <v>5</v>
      </c>
      <c r="U1019" s="8" t="s">
        <v>5</v>
      </c>
      <c r="V1019" s="6" t="s">
        <v>5</v>
      </c>
      <c r="W1019" s="8" t="s">
        <v>5</v>
      </c>
      <c r="X1019" s="22">
        <v>0.375</v>
      </c>
      <c r="Y1019" s="6" t="s">
        <v>5</v>
      </c>
      <c r="Z1019" s="6" t="s">
        <v>5</v>
      </c>
      <c r="AA1019" s="6" t="s">
        <v>5</v>
      </c>
      <c r="AB1019" s="8" t="s">
        <v>5</v>
      </c>
      <c r="AC1019" s="8" t="s">
        <v>5</v>
      </c>
      <c r="AD1019" s="6" t="s">
        <v>5</v>
      </c>
      <c r="AE1019" s="22">
        <v>0.77500000000000002</v>
      </c>
      <c r="AF1019" s="6" t="s">
        <v>5</v>
      </c>
      <c r="AG1019" s="6" t="s">
        <v>5</v>
      </c>
      <c r="AH1019" s="22">
        <v>0.311</v>
      </c>
      <c r="AI1019" s="6" t="s">
        <v>5</v>
      </c>
      <c r="AJ1019" s="4">
        <v>10.7</v>
      </c>
      <c r="AK1019" s="6" t="s">
        <v>5</v>
      </c>
      <c r="AL1019" s="6" t="s">
        <v>5</v>
      </c>
      <c r="AM1019" s="6" t="s">
        <v>5</v>
      </c>
      <c r="AN1019" s="6" t="s">
        <v>5</v>
      </c>
      <c r="AO1019" s="7">
        <v>3.79</v>
      </c>
      <c r="AP1019" s="7">
        <v>3.04</v>
      </c>
      <c r="AQ1019" s="7">
        <v>1.7</v>
      </c>
      <c r="AR1019" s="22">
        <v>0.873</v>
      </c>
      <c r="AS1019" s="6">
        <v>21.3</v>
      </c>
      <c r="AT1019" s="6">
        <v>8.19</v>
      </c>
      <c r="AU1019" s="6">
        <v>4.87</v>
      </c>
      <c r="AV1019" s="7">
        <v>2.0699999999999998</v>
      </c>
      <c r="AW1019" s="6" t="s">
        <v>5</v>
      </c>
      <c r="AX1019" s="6" t="s">
        <v>5</v>
      </c>
      <c r="AY1019" s="6" t="s">
        <v>5</v>
      </c>
      <c r="AZ1019" s="6" t="s">
        <v>5</v>
      </c>
      <c r="BA1019" s="6" t="s">
        <v>5</v>
      </c>
      <c r="BB1019" s="6" t="s">
        <v>5</v>
      </c>
      <c r="BC1019" s="6" t="s">
        <v>5</v>
      </c>
      <c r="BD1019" s="6" t="s">
        <v>5</v>
      </c>
      <c r="BE1019" s="6" t="s">
        <v>5</v>
      </c>
      <c r="BF1019" s="6" t="s">
        <v>5</v>
      </c>
      <c r="BG1019" s="6" t="s">
        <v>5</v>
      </c>
      <c r="BH1019" s="6" t="s">
        <v>5</v>
      </c>
      <c r="BI1019" s="7">
        <v>2.3199999999999998</v>
      </c>
      <c r="BJ1019" s="22">
        <v>0.93600000000000005</v>
      </c>
      <c r="BK1019" s="6" t="s">
        <v>5</v>
      </c>
      <c r="BL1019" s="2" t="s">
        <v>5</v>
      </c>
      <c r="BM1019" s="2" t="s">
        <v>5</v>
      </c>
      <c r="BN1019" s="2" t="s">
        <v>5</v>
      </c>
      <c r="BO1019" s="2" t="s">
        <v>5</v>
      </c>
      <c r="BP1019" s="2" t="s">
        <v>5</v>
      </c>
      <c r="BQ1019" s="2" t="s">
        <v>5</v>
      </c>
      <c r="BR1019" s="2" t="s">
        <v>5</v>
      </c>
      <c r="BS1019" s="2" t="s">
        <v>5</v>
      </c>
      <c r="BT1019" s="2" t="s">
        <v>5</v>
      </c>
      <c r="BU1019" s="2" t="s">
        <v>5</v>
      </c>
      <c r="BV1019" s="2" t="s">
        <v>5</v>
      </c>
      <c r="BW1019" s="2" t="s">
        <v>5</v>
      </c>
      <c r="BX1019" s="2" t="s">
        <v>5</v>
      </c>
      <c r="BY1019" s="25" t="s">
        <v>5</v>
      </c>
      <c r="BZ1019" s="25" t="s">
        <v>5</v>
      </c>
      <c r="CA1019" s="6" t="s">
        <v>5</v>
      </c>
      <c r="CB1019" s="6" t="s">
        <v>5</v>
      </c>
      <c r="CC1019" s="6" t="s">
        <v>5</v>
      </c>
      <c r="CD1019" s="6" t="s">
        <v>5</v>
      </c>
      <c r="CE1019" s="6" t="s">
        <v>5</v>
      </c>
      <c r="CF1019" s="16" t="s">
        <v>5</v>
      </c>
      <c r="CG1019" s="16" t="s">
        <v>5</v>
      </c>
      <c r="CH1019" s="18" t="s">
        <v>5</v>
      </c>
    </row>
    <row r="1020" spans="2:86">
      <c r="B1020" s="78" t="s">
        <v>473</v>
      </c>
      <c r="C1020" s="79" t="s">
        <v>1120</v>
      </c>
      <c r="D1020" s="80" t="s">
        <v>1120</v>
      </c>
      <c r="E1020" s="1" t="s">
        <v>4</v>
      </c>
      <c r="F1020" s="4">
        <v>14.4</v>
      </c>
      <c r="G1020" s="7">
        <v>4.18</v>
      </c>
      <c r="H1020" s="3" t="str">
        <f t="shared" si="34"/>
        <v>2L4X3X5/16SLBB</v>
      </c>
      <c r="I1020" s="7">
        <v>3</v>
      </c>
      <c r="J1020" s="5" t="s">
        <v>5</v>
      </c>
      <c r="K1020" s="6" t="s">
        <v>5</v>
      </c>
      <c r="L1020" s="6" t="s">
        <v>5</v>
      </c>
      <c r="M1020" s="6" t="s">
        <v>5</v>
      </c>
      <c r="N1020" s="6" t="s">
        <v>5</v>
      </c>
      <c r="O1020" s="5" t="s">
        <v>5</v>
      </c>
      <c r="P1020" s="5" t="s">
        <v>5</v>
      </c>
      <c r="Q1020" s="7">
        <v>4</v>
      </c>
      <c r="R1020" s="6" t="s">
        <v>5</v>
      </c>
      <c r="S1020" s="6" t="s">
        <v>5</v>
      </c>
      <c r="T1020" s="5" t="s">
        <v>5</v>
      </c>
      <c r="U1020" s="8" t="s">
        <v>5</v>
      </c>
      <c r="V1020" s="6" t="s">
        <v>5</v>
      </c>
      <c r="W1020" s="8" t="s">
        <v>5</v>
      </c>
      <c r="X1020" s="22">
        <v>0.313</v>
      </c>
      <c r="Y1020" s="6" t="s">
        <v>5</v>
      </c>
      <c r="Z1020" s="6" t="s">
        <v>5</v>
      </c>
      <c r="AA1020" s="6" t="s">
        <v>5</v>
      </c>
      <c r="AB1020" s="8" t="s">
        <v>5</v>
      </c>
      <c r="AC1020" s="8" t="s">
        <v>5</v>
      </c>
      <c r="AD1020" s="6" t="s">
        <v>5</v>
      </c>
      <c r="AE1020" s="22">
        <v>0.75</v>
      </c>
      <c r="AF1020" s="6" t="s">
        <v>5</v>
      </c>
      <c r="AG1020" s="6" t="s">
        <v>5</v>
      </c>
      <c r="AH1020" s="22">
        <v>0.26100000000000001</v>
      </c>
      <c r="AI1020" s="6" t="s">
        <v>5</v>
      </c>
      <c r="AJ1020" s="4">
        <v>12.8</v>
      </c>
      <c r="AK1020" s="6" t="s">
        <v>5</v>
      </c>
      <c r="AL1020" s="6" t="s">
        <v>5</v>
      </c>
      <c r="AM1020" s="6" t="s">
        <v>5</v>
      </c>
      <c r="AN1020" s="6" t="s">
        <v>5</v>
      </c>
      <c r="AO1020" s="7">
        <v>3.24</v>
      </c>
      <c r="AP1020" s="7">
        <v>2.56</v>
      </c>
      <c r="AQ1020" s="7">
        <v>1.44</v>
      </c>
      <c r="AR1020" s="22">
        <v>0.88</v>
      </c>
      <c r="AS1020" s="6">
        <v>13.2</v>
      </c>
      <c r="AT1020" s="6">
        <v>5.22</v>
      </c>
      <c r="AU1020" s="7">
        <v>3.3</v>
      </c>
      <c r="AV1020" s="7">
        <v>1.78</v>
      </c>
      <c r="AW1020" s="6" t="s">
        <v>5</v>
      </c>
      <c r="AX1020" s="6" t="s">
        <v>5</v>
      </c>
      <c r="AY1020" s="6" t="s">
        <v>5</v>
      </c>
      <c r="AZ1020" s="6" t="s">
        <v>5</v>
      </c>
      <c r="BA1020" s="6" t="s">
        <v>5</v>
      </c>
      <c r="BB1020" s="6" t="s">
        <v>5</v>
      </c>
      <c r="BC1020" s="6" t="s">
        <v>5</v>
      </c>
      <c r="BD1020" s="6" t="s">
        <v>5</v>
      </c>
      <c r="BE1020" s="6" t="s">
        <v>5</v>
      </c>
      <c r="BF1020" s="6" t="s">
        <v>5</v>
      </c>
      <c r="BG1020" s="6" t="s">
        <v>5</v>
      </c>
      <c r="BH1020" s="6" t="s">
        <v>5</v>
      </c>
      <c r="BI1020" s="7">
        <v>2.0699999999999998</v>
      </c>
      <c r="BJ1020" s="22">
        <v>0.91800000000000004</v>
      </c>
      <c r="BK1020" s="6" t="s">
        <v>5</v>
      </c>
      <c r="BL1020" s="2" t="s">
        <v>5</v>
      </c>
      <c r="BM1020" s="2" t="s">
        <v>5</v>
      </c>
      <c r="BN1020" s="2" t="s">
        <v>5</v>
      </c>
      <c r="BO1020" s="2" t="s">
        <v>5</v>
      </c>
      <c r="BP1020" s="2" t="s">
        <v>5</v>
      </c>
      <c r="BQ1020" s="2" t="s">
        <v>5</v>
      </c>
      <c r="BR1020" s="2" t="s">
        <v>5</v>
      </c>
      <c r="BS1020" s="2" t="s">
        <v>5</v>
      </c>
      <c r="BT1020" s="2" t="s">
        <v>5</v>
      </c>
      <c r="BU1020" s="2" t="s">
        <v>5</v>
      </c>
      <c r="BV1020" s="2" t="s">
        <v>5</v>
      </c>
      <c r="BW1020" s="2" t="s">
        <v>5</v>
      </c>
      <c r="BX1020" s="2" t="s">
        <v>5</v>
      </c>
      <c r="BY1020" s="25" t="s">
        <v>5</v>
      </c>
      <c r="BZ1020" s="25" t="s">
        <v>5</v>
      </c>
      <c r="CA1020" s="6" t="s">
        <v>5</v>
      </c>
      <c r="CB1020" s="6" t="s">
        <v>5</v>
      </c>
      <c r="CC1020" s="6" t="s">
        <v>5</v>
      </c>
      <c r="CD1020" s="6" t="s">
        <v>5</v>
      </c>
      <c r="CE1020" s="6" t="s">
        <v>5</v>
      </c>
      <c r="CF1020" s="16" t="s">
        <v>5</v>
      </c>
      <c r="CG1020" s="16" t="s">
        <v>5</v>
      </c>
      <c r="CH1020" s="18" t="s">
        <v>5</v>
      </c>
    </row>
    <row r="1021" spans="2:86">
      <c r="B1021" s="78" t="s">
        <v>473</v>
      </c>
      <c r="C1021" s="79" t="s">
        <v>1121</v>
      </c>
      <c r="D1021" s="80" t="s">
        <v>1121</v>
      </c>
      <c r="E1021" s="1" t="s">
        <v>4</v>
      </c>
      <c r="F1021" s="4">
        <v>14.4</v>
      </c>
      <c r="G1021" s="7">
        <v>4.18</v>
      </c>
      <c r="H1021" s="3" t="str">
        <f t="shared" si="34"/>
        <v>2L4X3X5/16X3/8SLBB</v>
      </c>
      <c r="I1021" s="7">
        <v>3</v>
      </c>
      <c r="J1021" s="5" t="s">
        <v>5</v>
      </c>
      <c r="K1021" s="6" t="s">
        <v>5</v>
      </c>
      <c r="L1021" s="6" t="s">
        <v>5</v>
      </c>
      <c r="M1021" s="6" t="s">
        <v>5</v>
      </c>
      <c r="N1021" s="6" t="s">
        <v>5</v>
      </c>
      <c r="O1021" s="5" t="s">
        <v>5</v>
      </c>
      <c r="P1021" s="5" t="s">
        <v>5</v>
      </c>
      <c r="Q1021" s="7">
        <v>4</v>
      </c>
      <c r="R1021" s="6" t="s">
        <v>5</v>
      </c>
      <c r="S1021" s="6" t="s">
        <v>5</v>
      </c>
      <c r="T1021" s="5" t="s">
        <v>5</v>
      </c>
      <c r="U1021" s="8" t="s">
        <v>5</v>
      </c>
      <c r="V1021" s="6" t="s">
        <v>5</v>
      </c>
      <c r="W1021" s="8" t="s">
        <v>5</v>
      </c>
      <c r="X1021" s="22">
        <v>0.313</v>
      </c>
      <c r="Y1021" s="6" t="s">
        <v>5</v>
      </c>
      <c r="Z1021" s="6" t="s">
        <v>5</v>
      </c>
      <c r="AA1021" s="6" t="s">
        <v>5</v>
      </c>
      <c r="AB1021" s="8" t="s">
        <v>5</v>
      </c>
      <c r="AC1021" s="8" t="s">
        <v>5</v>
      </c>
      <c r="AD1021" s="6" t="s">
        <v>5</v>
      </c>
      <c r="AE1021" s="22">
        <v>0.75</v>
      </c>
      <c r="AF1021" s="6" t="s">
        <v>5</v>
      </c>
      <c r="AG1021" s="6" t="s">
        <v>5</v>
      </c>
      <c r="AH1021" s="22">
        <v>0.26100000000000001</v>
      </c>
      <c r="AI1021" s="6" t="s">
        <v>5</v>
      </c>
      <c r="AJ1021" s="4">
        <v>12.8</v>
      </c>
      <c r="AK1021" s="6" t="s">
        <v>5</v>
      </c>
      <c r="AL1021" s="6" t="s">
        <v>5</v>
      </c>
      <c r="AM1021" s="6" t="s">
        <v>5</v>
      </c>
      <c r="AN1021" s="6" t="s">
        <v>5</v>
      </c>
      <c r="AO1021" s="7">
        <v>3.24</v>
      </c>
      <c r="AP1021" s="7">
        <v>2.56</v>
      </c>
      <c r="AQ1021" s="7">
        <v>1.44</v>
      </c>
      <c r="AR1021" s="22">
        <v>0.88</v>
      </c>
      <c r="AS1021" s="6">
        <v>15.2</v>
      </c>
      <c r="AT1021" s="6">
        <v>6.01</v>
      </c>
      <c r="AU1021" s="6">
        <v>3.63</v>
      </c>
      <c r="AV1021" s="7">
        <v>1.91</v>
      </c>
      <c r="AW1021" s="6" t="s">
        <v>5</v>
      </c>
      <c r="AX1021" s="6" t="s">
        <v>5</v>
      </c>
      <c r="AY1021" s="6" t="s">
        <v>5</v>
      </c>
      <c r="AZ1021" s="6" t="s">
        <v>5</v>
      </c>
      <c r="BA1021" s="6" t="s">
        <v>5</v>
      </c>
      <c r="BB1021" s="6" t="s">
        <v>5</v>
      </c>
      <c r="BC1021" s="6" t="s">
        <v>5</v>
      </c>
      <c r="BD1021" s="6" t="s">
        <v>5</v>
      </c>
      <c r="BE1021" s="6" t="s">
        <v>5</v>
      </c>
      <c r="BF1021" s="6" t="s">
        <v>5</v>
      </c>
      <c r="BG1021" s="6" t="s">
        <v>5</v>
      </c>
      <c r="BH1021" s="6" t="s">
        <v>5</v>
      </c>
      <c r="BI1021" s="7">
        <v>2.19</v>
      </c>
      <c r="BJ1021" s="22">
        <v>0.92600000000000005</v>
      </c>
      <c r="BK1021" s="6" t="s">
        <v>5</v>
      </c>
      <c r="BL1021" s="2" t="s">
        <v>5</v>
      </c>
      <c r="BM1021" s="2" t="s">
        <v>5</v>
      </c>
      <c r="BN1021" s="2" t="s">
        <v>5</v>
      </c>
      <c r="BO1021" s="2" t="s">
        <v>5</v>
      </c>
      <c r="BP1021" s="2" t="s">
        <v>5</v>
      </c>
      <c r="BQ1021" s="2" t="s">
        <v>5</v>
      </c>
      <c r="BR1021" s="2" t="s">
        <v>5</v>
      </c>
      <c r="BS1021" s="2" t="s">
        <v>5</v>
      </c>
      <c r="BT1021" s="2" t="s">
        <v>5</v>
      </c>
      <c r="BU1021" s="2" t="s">
        <v>5</v>
      </c>
      <c r="BV1021" s="2" t="s">
        <v>5</v>
      </c>
      <c r="BW1021" s="2" t="s">
        <v>5</v>
      </c>
      <c r="BX1021" s="2" t="s">
        <v>5</v>
      </c>
      <c r="BY1021" s="25" t="s">
        <v>5</v>
      </c>
      <c r="BZ1021" s="25" t="s">
        <v>5</v>
      </c>
      <c r="CA1021" s="6" t="s">
        <v>5</v>
      </c>
      <c r="CB1021" s="6" t="s">
        <v>5</v>
      </c>
      <c r="CC1021" s="6" t="s">
        <v>5</v>
      </c>
      <c r="CD1021" s="6" t="s">
        <v>5</v>
      </c>
      <c r="CE1021" s="6" t="s">
        <v>5</v>
      </c>
      <c r="CF1021" s="16" t="s">
        <v>5</v>
      </c>
      <c r="CG1021" s="16" t="s">
        <v>5</v>
      </c>
      <c r="CH1021" s="18" t="s">
        <v>5</v>
      </c>
    </row>
    <row r="1022" spans="2:86">
      <c r="B1022" s="78" t="s">
        <v>473</v>
      </c>
      <c r="C1022" s="79" t="s">
        <v>1122</v>
      </c>
      <c r="D1022" s="80" t="s">
        <v>1122</v>
      </c>
      <c r="E1022" s="1" t="s">
        <v>4</v>
      </c>
      <c r="F1022" s="4">
        <v>14.4</v>
      </c>
      <c r="G1022" s="7">
        <v>4.18</v>
      </c>
      <c r="H1022" s="3" t="str">
        <f t="shared" si="34"/>
        <v>2L4X3X5/16X3/4SLBB</v>
      </c>
      <c r="I1022" s="7">
        <v>3</v>
      </c>
      <c r="J1022" s="5" t="s">
        <v>5</v>
      </c>
      <c r="K1022" s="6" t="s">
        <v>5</v>
      </c>
      <c r="L1022" s="6" t="s">
        <v>5</v>
      </c>
      <c r="M1022" s="6" t="s">
        <v>5</v>
      </c>
      <c r="N1022" s="6" t="s">
        <v>5</v>
      </c>
      <c r="O1022" s="5" t="s">
        <v>5</v>
      </c>
      <c r="P1022" s="5" t="s">
        <v>5</v>
      </c>
      <c r="Q1022" s="7">
        <v>4</v>
      </c>
      <c r="R1022" s="6" t="s">
        <v>5</v>
      </c>
      <c r="S1022" s="6" t="s">
        <v>5</v>
      </c>
      <c r="T1022" s="5" t="s">
        <v>5</v>
      </c>
      <c r="U1022" s="8" t="s">
        <v>5</v>
      </c>
      <c r="V1022" s="6" t="s">
        <v>5</v>
      </c>
      <c r="W1022" s="8" t="s">
        <v>5</v>
      </c>
      <c r="X1022" s="22">
        <v>0.313</v>
      </c>
      <c r="Y1022" s="6" t="s">
        <v>5</v>
      </c>
      <c r="Z1022" s="6" t="s">
        <v>5</v>
      </c>
      <c r="AA1022" s="6" t="s">
        <v>5</v>
      </c>
      <c r="AB1022" s="8" t="s">
        <v>5</v>
      </c>
      <c r="AC1022" s="8" t="s">
        <v>5</v>
      </c>
      <c r="AD1022" s="6" t="s">
        <v>5</v>
      </c>
      <c r="AE1022" s="22">
        <v>0.75</v>
      </c>
      <c r="AF1022" s="6" t="s">
        <v>5</v>
      </c>
      <c r="AG1022" s="6" t="s">
        <v>5</v>
      </c>
      <c r="AH1022" s="22">
        <v>0.26100000000000001</v>
      </c>
      <c r="AI1022" s="6" t="s">
        <v>5</v>
      </c>
      <c r="AJ1022" s="4">
        <v>12.8</v>
      </c>
      <c r="AK1022" s="6" t="s">
        <v>5</v>
      </c>
      <c r="AL1022" s="6" t="s">
        <v>5</v>
      </c>
      <c r="AM1022" s="6" t="s">
        <v>5</v>
      </c>
      <c r="AN1022" s="6" t="s">
        <v>5</v>
      </c>
      <c r="AO1022" s="7">
        <v>3.24</v>
      </c>
      <c r="AP1022" s="7">
        <v>2.56</v>
      </c>
      <c r="AQ1022" s="7">
        <v>1.44</v>
      </c>
      <c r="AR1022" s="22">
        <v>0.88</v>
      </c>
      <c r="AS1022" s="6">
        <v>17.7</v>
      </c>
      <c r="AT1022" s="6">
        <v>6.79</v>
      </c>
      <c r="AU1022" s="6">
        <v>4.05</v>
      </c>
      <c r="AV1022" s="7">
        <v>2.06</v>
      </c>
      <c r="AW1022" s="6" t="s">
        <v>5</v>
      </c>
      <c r="AX1022" s="6" t="s">
        <v>5</v>
      </c>
      <c r="AY1022" s="6" t="s">
        <v>5</v>
      </c>
      <c r="AZ1022" s="6" t="s">
        <v>5</v>
      </c>
      <c r="BA1022" s="6" t="s">
        <v>5</v>
      </c>
      <c r="BB1022" s="6" t="s">
        <v>5</v>
      </c>
      <c r="BC1022" s="6" t="s">
        <v>5</v>
      </c>
      <c r="BD1022" s="6" t="s">
        <v>5</v>
      </c>
      <c r="BE1022" s="6" t="s">
        <v>5</v>
      </c>
      <c r="BF1022" s="6" t="s">
        <v>5</v>
      </c>
      <c r="BG1022" s="6" t="s">
        <v>5</v>
      </c>
      <c r="BH1022" s="6" t="s">
        <v>5</v>
      </c>
      <c r="BI1022" s="7">
        <v>2.3199999999999998</v>
      </c>
      <c r="BJ1022" s="22">
        <v>0.93400000000000005</v>
      </c>
      <c r="BK1022" s="6" t="s">
        <v>5</v>
      </c>
      <c r="BL1022" s="2" t="s">
        <v>5</v>
      </c>
      <c r="BM1022" s="2" t="s">
        <v>5</v>
      </c>
      <c r="BN1022" s="2" t="s">
        <v>5</v>
      </c>
      <c r="BO1022" s="2" t="s">
        <v>5</v>
      </c>
      <c r="BP1022" s="2" t="s">
        <v>5</v>
      </c>
      <c r="BQ1022" s="2" t="s">
        <v>5</v>
      </c>
      <c r="BR1022" s="2" t="s">
        <v>5</v>
      </c>
      <c r="BS1022" s="2" t="s">
        <v>5</v>
      </c>
      <c r="BT1022" s="2" t="s">
        <v>5</v>
      </c>
      <c r="BU1022" s="2" t="s">
        <v>5</v>
      </c>
      <c r="BV1022" s="2" t="s">
        <v>5</v>
      </c>
      <c r="BW1022" s="2" t="s">
        <v>5</v>
      </c>
      <c r="BX1022" s="2" t="s">
        <v>5</v>
      </c>
      <c r="BY1022" s="25" t="s">
        <v>5</v>
      </c>
      <c r="BZ1022" s="25" t="s">
        <v>5</v>
      </c>
      <c r="CA1022" s="6" t="s">
        <v>5</v>
      </c>
      <c r="CB1022" s="6" t="s">
        <v>5</v>
      </c>
      <c r="CC1022" s="6" t="s">
        <v>5</v>
      </c>
      <c r="CD1022" s="6" t="s">
        <v>5</v>
      </c>
      <c r="CE1022" s="6" t="s">
        <v>5</v>
      </c>
      <c r="CF1022" s="16" t="s">
        <v>5</v>
      </c>
      <c r="CG1022" s="16" t="s">
        <v>5</v>
      </c>
      <c r="CH1022" s="18" t="s">
        <v>5</v>
      </c>
    </row>
    <row r="1023" spans="2:86">
      <c r="B1023" s="78" t="s">
        <v>473</v>
      </c>
      <c r="C1023" s="79" t="s">
        <v>1123</v>
      </c>
      <c r="D1023" s="80" t="s">
        <v>1123</v>
      </c>
      <c r="E1023" s="1" t="s">
        <v>4</v>
      </c>
      <c r="F1023" s="4">
        <v>11.6</v>
      </c>
      <c r="G1023" s="7">
        <v>3.38</v>
      </c>
      <c r="H1023" s="3" t="str">
        <f t="shared" si="34"/>
        <v>2L4X3X1/4SLBB</v>
      </c>
      <c r="I1023" s="7">
        <v>3</v>
      </c>
      <c r="J1023" s="5" t="s">
        <v>5</v>
      </c>
      <c r="K1023" s="6" t="s">
        <v>5</v>
      </c>
      <c r="L1023" s="6" t="s">
        <v>5</v>
      </c>
      <c r="M1023" s="6" t="s">
        <v>5</v>
      </c>
      <c r="N1023" s="6" t="s">
        <v>5</v>
      </c>
      <c r="O1023" s="5" t="s">
        <v>5</v>
      </c>
      <c r="P1023" s="5" t="s">
        <v>5</v>
      </c>
      <c r="Q1023" s="7">
        <v>4</v>
      </c>
      <c r="R1023" s="6" t="s">
        <v>5</v>
      </c>
      <c r="S1023" s="6" t="s">
        <v>5</v>
      </c>
      <c r="T1023" s="5" t="s">
        <v>5</v>
      </c>
      <c r="U1023" s="8" t="s">
        <v>5</v>
      </c>
      <c r="V1023" s="6" t="s">
        <v>5</v>
      </c>
      <c r="W1023" s="8" t="s">
        <v>5</v>
      </c>
      <c r="X1023" s="22">
        <v>0.25</v>
      </c>
      <c r="Y1023" s="6" t="s">
        <v>5</v>
      </c>
      <c r="Z1023" s="6" t="s">
        <v>5</v>
      </c>
      <c r="AA1023" s="6" t="s">
        <v>5</v>
      </c>
      <c r="AB1023" s="8" t="s">
        <v>5</v>
      </c>
      <c r="AC1023" s="8" t="s">
        <v>5</v>
      </c>
      <c r="AD1023" s="6" t="s">
        <v>5</v>
      </c>
      <c r="AE1023" s="22">
        <v>0.72499999999999998</v>
      </c>
      <c r="AF1023" s="6" t="s">
        <v>5</v>
      </c>
      <c r="AG1023" s="6" t="s">
        <v>5</v>
      </c>
      <c r="AH1023" s="22">
        <v>0.21099999999999999</v>
      </c>
      <c r="AI1023" s="6" t="s">
        <v>5</v>
      </c>
      <c r="AJ1023" s="4">
        <v>16</v>
      </c>
      <c r="AK1023" s="6" t="s">
        <v>5</v>
      </c>
      <c r="AL1023" s="6" t="s">
        <v>5</v>
      </c>
      <c r="AM1023" s="6" t="s">
        <v>5</v>
      </c>
      <c r="AN1023" s="6" t="s">
        <v>5</v>
      </c>
      <c r="AO1023" s="7">
        <v>2.66</v>
      </c>
      <c r="AP1023" s="7">
        <v>2.06</v>
      </c>
      <c r="AQ1023" s="7">
        <v>1.17</v>
      </c>
      <c r="AR1023" s="22">
        <v>0.88700000000000001</v>
      </c>
      <c r="AS1023" s="6">
        <v>10.5</v>
      </c>
      <c r="AT1023" s="6">
        <v>4.12</v>
      </c>
      <c r="AU1023" s="6">
        <v>2.62</v>
      </c>
      <c r="AV1023" s="7">
        <v>1.76</v>
      </c>
      <c r="AW1023" s="6" t="s">
        <v>5</v>
      </c>
      <c r="AX1023" s="6" t="s">
        <v>5</v>
      </c>
      <c r="AY1023" s="6" t="s">
        <v>5</v>
      </c>
      <c r="AZ1023" s="6" t="s">
        <v>5</v>
      </c>
      <c r="BA1023" s="6" t="s">
        <v>5</v>
      </c>
      <c r="BB1023" s="6" t="s">
        <v>5</v>
      </c>
      <c r="BC1023" s="6" t="s">
        <v>5</v>
      </c>
      <c r="BD1023" s="6" t="s">
        <v>5</v>
      </c>
      <c r="BE1023" s="6" t="s">
        <v>5</v>
      </c>
      <c r="BF1023" s="6" t="s">
        <v>5</v>
      </c>
      <c r="BG1023" s="6" t="s">
        <v>5</v>
      </c>
      <c r="BH1023" s="6" t="s">
        <v>5</v>
      </c>
      <c r="BI1023" s="7">
        <v>2.06</v>
      </c>
      <c r="BJ1023" s="22">
        <v>0.91500000000000004</v>
      </c>
      <c r="BK1023" s="6" t="s">
        <v>5</v>
      </c>
      <c r="BL1023" s="2" t="s">
        <v>5</v>
      </c>
      <c r="BM1023" s="2" t="s">
        <v>5</v>
      </c>
      <c r="BN1023" s="2" t="s">
        <v>5</v>
      </c>
      <c r="BO1023" s="2" t="s">
        <v>5</v>
      </c>
      <c r="BP1023" s="2" t="s">
        <v>5</v>
      </c>
      <c r="BQ1023" s="2" t="s">
        <v>5</v>
      </c>
      <c r="BR1023" s="2" t="s">
        <v>5</v>
      </c>
      <c r="BS1023" s="2" t="s">
        <v>5</v>
      </c>
      <c r="BT1023" s="2" t="s">
        <v>5</v>
      </c>
      <c r="BU1023" s="2" t="s">
        <v>5</v>
      </c>
      <c r="BV1023" s="2" t="s">
        <v>5</v>
      </c>
      <c r="BW1023" s="2" t="s">
        <v>5</v>
      </c>
      <c r="BX1023" s="2" t="s">
        <v>5</v>
      </c>
      <c r="BY1023" s="25" t="s">
        <v>5</v>
      </c>
      <c r="BZ1023" s="25" t="s">
        <v>5</v>
      </c>
      <c r="CA1023" s="6" t="s">
        <v>5</v>
      </c>
      <c r="CB1023" s="6" t="s">
        <v>5</v>
      </c>
      <c r="CC1023" s="6" t="s">
        <v>5</v>
      </c>
      <c r="CD1023" s="6" t="s">
        <v>5</v>
      </c>
      <c r="CE1023" s="6" t="s">
        <v>5</v>
      </c>
      <c r="CF1023" s="16" t="s">
        <v>5</v>
      </c>
      <c r="CG1023" s="16" t="s">
        <v>5</v>
      </c>
      <c r="CH1023" s="18" t="s">
        <v>5</v>
      </c>
    </row>
    <row r="1024" spans="2:86">
      <c r="B1024" s="78" t="s">
        <v>473</v>
      </c>
      <c r="C1024" s="79" t="s">
        <v>1124</v>
      </c>
      <c r="D1024" s="80" t="s">
        <v>1124</v>
      </c>
      <c r="E1024" s="1" t="s">
        <v>4</v>
      </c>
      <c r="F1024" s="4">
        <v>11.6</v>
      </c>
      <c r="G1024" s="7">
        <v>3.38</v>
      </c>
      <c r="H1024" s="3" t="str">
        <f t="shared" si="34"/>
        <v>2L4X3X1/4X3/8SLBB</v>
      </c>
      <c r="I1024" s="7">
        <v>3</v>
      </c>
      <c r="J1024" s="5" t="s">
        <v>5</v>
      </c>
      <c r="K1024" s="6" t="s">
        <v>5</v>
      </c>
      <c r="L1024" s="6" t="s">
        <v>5</v>
      </c>
      <c r="M1024" s="6" t="s">
        <v>5</v>
      </c>
      <c r="N1024" s="6" t="s">
        <v>5</v>
      </c>
      <c r="O1024" s="5" t="s">
        <v>5</v>
      </c>
      <c r="P1024" s="5" t="s">
        <v>5</v>
      </c>
      <c r="Q1024" s="7">
        <v>4</v>
      </c>
      <c r="R1024" s="6" t="s">
        <v>5</v>
      </c>
      <c r="S1024" s="6" t="s">
        <v>5</v>
      </c>
      <c r="T1024" s="5" t="s">
        <v>5</v>
      </c>
      <c r="U1024" s="8" t="s">
        <v>5</v>
      </c>
      <c r="V1024" s="6" t="s">
        <v>5</v>
      </c>
      <c r="W1024" s="8" t="s">
        <v>5</v>
      </c>
      <c r="X1024" s="22">
        <v>0.25</v>
      </c>
      <c r="Y1024" s="6" t="s">
        <v>5</v>
      </c>
      <c r="Z1024" s="6" t="s">
        <v>5</v>
      </c>
      <c r="AA1024" s="6" t="s">
        <v>5</v>
      </c>
      <c r="AB1024" s="8" t="s">
        <v>5</v>
      </c>
      <c r="AC1024" s="8" t="s">
        <v>5</v>
      </c>
      <c r="AD1024" s="6" t="s">
        <v>5</v>
      </c>
      <c r="AE1024" s="22">
        <v>0.72499999999999998</v>
      </c>
      <c r="AF1024" s="6" t="s">
        <v>5</v>
      </c>
      <c r="AG1024" s="6" t="s">
        <v>5</v>
      </c>
      <c r="AH1024" s="22">
        <v>0.21099999999999999</v>
      </c>
      <c r="AI1024" s="6" t="s">
        <v>5</v>
      </c>
      <c r="AJ1024" s="4">
        <v>16</v>
      </c>
      <c r="AK1024" s="6" t="s">
        <v>5</v>
      </c>
      <c r="AL1024" s="6" t="s">
        <v>5</v>
      </c>
      <c r="AM1024" s="6" t="s">
        <v>5</v>
      </c>
      <c r="AN1024" s="6" t="s">
        <v>5</v>
      </c>
      <c r="AO1024" s="7">
        <v>2.66</v>
      </c>
      <c r="AP1024" s="7">
        <v>2.06</v>
      </c>
      <c r="AQ1024" s="7">
        <v>1.17</v>
      </c>
      <c r="AR1024" s="22">
        <v>0.88700000000000001</v>
      </c>
      <c r="AS1024" s="6">
        <v>12.2</v>
      </c>
      <c r="AT1024" s="6">
        <v>4.76</v>
      </c>
      <c r="AU1024" s="6">
        <v>2.91</v>
      </c>
      <c r="AV1024" s="7">
        <v>1.9</v>
      </c>
      <c r="AW1024" s="6" t="s">
        <v>5</v>
      </c>
      <c r="AX1024" s="6" t="s">
        <v>5</v>
      </c>
      <c r="AY1024" s="6" t="s">
        <v>5</v>
      </c>
      <c r="AZ1024" s="6" t="s">
        <v>5</v>
      </c>
      <c r="BA1024" s="6" t="s">
        <v>5</v>
      </c>
      <c r="BB1024" s="6" t="s">
        <v>5</v>
      </c>
      <c r="BC1024" s="6" t="s">
        <v>5</v>
      </c>
      <c r="BD1024" s="6" t="s">
        <v>5</v>
      </c>
      <c r="BE1024" s="6" t="s">
        <v>5</v>
      </c>
      <c r="BF1024" s="6" t="s">
        <v>5</v>
      </c>
      <c r="BG1024" s="6" t="s">
        <v>5</v>
      </c>
      <c r="BH1024" s="6" t="s">
        <v>5</v>
      </c>
      <c r="BI1024" s="7">
        <v>2.1800000000000002</v>
      </c>
      <c r="BJ1024" s="22">
        <v>0.92400000000000004</v>
      </c>
      <c r="BK1024" s="6" t="s">
        <v>5</v>
      </c>
      <c r="BL1024" s="2" t="s">
        <v>5</v>
      </c>
      <c r="BM1024" s="2" t="s">
        <v>5</v>
      </c>
      <c r="BN1024" s="2" t="s">
        <v>5</v>
      </c>
      <c r="BO1024" s="2" t="s">
        <v>5</v>
      </c>
      <c r="BP1024" s="2" t="s">
        <v>5</v>
      </c>
      <c r="BQ1024" s="2" t="s">
        <v>5</v>
      </c>
      <c r="BR1024" s="2" t="s">
        <v>5</v>
      </c>
      <c r="BS1024" s="2" t="s">
        <v>5</v>
      </c>
      <c r="BT1024" s="2" t="s">
        <v>5</v>
      </c>
      <c r="BU1024" s="2" t="s">
        <v>5</v>
      </c>
      <c r="BV1024" s="2" t="s">
        <v>5</v>
      </c>
      <c r="BW1024" s="2" t="s">
        <v>5</v>
      </c>
      <c r="BX1024" s="2" t="s">
        <v>5</v>
      </c>
      <c r="BY1024" s="25" t="s">
        <v>5</v>
      </c>
      <c r="BZ1024" s="25" t="s">
        <v>5</v>
      </c>
      <c r="CA1024" s="6" t="s">
        <v>5</v>
      </c>
      <c r="CB1024" s="6" t="s">
        <v>5</v>
      </c>
      <c r="CC1024" s="6" t="s">
        <v>5</v>
      </c>
      <c r="CD1024" s="6" t="s">
        <v>5</v>
      </c>
      <c r="CE1024" s="6" t="s">
        <v>5</v>
      </c>
      <c r="CF1024" s="16" t="s">
        <v>5</v>
      </c>
      <c r="CG1024" s="16" t="s">
        <v>5</v>
      </c>
      <c r="CH1024" s="18" t="s">
        <v>5</v>
      </c>
    </row>
    <row r="1025" spans="2:86">
      <c r="B1025" s="78" t="s">
        <v>473</v>
      </c>
      <c r="C1025" s="79" t="s">
        <v>1125</v>
      </c>
      <c r="D1025" s="80" t="s">
        <v>1125</v>
      </c>
      <c r="E1025" s="1" t="s">
        <v>4</v>
      </c>
      <c r="F1025" s="4">
        <v>11.6</v>
      </c>
      <c r="G1025" s="7">
        <v>3.38</v>
      </c>
      <c r="H1025" s="3" t="str">
        <f t="shared" si="34"/>
        <v>2L4X3X1/4X3/4SLBB</v>
      </c>
      <c r="I1025" s="7">
        <v>3</v>
      </c>
      <c r="J1025" s="5" t="s">
        <v>5</v>
      </c>
      <c r="K1025" s="6" t="s">
        <v>5</v>
      </c>
      <c r="L1025" s="6" t="s">
        <v>5</v>
      </c>
      <c r="M1025" s="6" t="s">
        <v>5</v>
      </c>
      <c r="N1025" s="6" t="s">
        <v>5</v>
      </c>
      <c r="O1025" s="5" t="s">
        <v>5</v>
      </c>
      <c r="P1025" s="5" t="s">
        <v>5</v>
      </c>
      <c r="Q1025" s="7">
        <v>4</v>
      </c>
      <c r="R1025" s="6" t="s">
        <v>5</v>
      </c>
      <c r="S1025" s="6" t="s">
        <v>5</v>
      </c>
      <c r="T1025" s="5" t="s">
        <v>5</v>
      </c>
      <c r="U1025" s="8" t="s">
        <v>5</v>
      </c>
      <c r="V1025" s="6" t="s">
        <v>5</v>
      </c>
      <c r="W1025" s="8" t="s">
        <v>5</v>
      </c>
      <c r="X1025" s="22">
        <v>0.25</v>
      </c>
      <c r="Y1025" s="6" t="s">
        <v>5</v>
      </c>
      <c r="Z1025" s="6" t="s">
        <v>5</v>
      </c>
      <c r="AA1025" s="6" t="s">
        <v>5</v>
      </c>
      <c r="AB1025" s="8" t="s">
        <v>5</v>
      </c>
      <c r="AC1025" s="8" t="s">
        <v>5</v>
      </c>
      <c r="AD1025" s="6" t="s">
        <v>5</v>
      </c>
      <c r="AE1025" s="22">
        <v>0.72499999999999998</v>
      </c>
      <c r="AF1025" s="6" t="s">
        <v>5</v>
      </c>
      <c r="AG1025" s="6" t="s">
        <v>5</v>
      </c>
      <c r="AH1025" s="22">
        <v>0.21099999999999999</v>
      </c>
      <c r="AI1025" s="6" t="s">
        <v>5</v>
      </c>
      <c r="AJ1025" s="4">
        <v>16</v>
      </c>
      <c r="AK1025" s="6" t="s">
        <v>5</v>
      </c>
      <c r="AL1025" s="6" t="s">
        <v>5</v>
      </c>
      <c r="AM1025" s="6" t="s">
        <v>5</v>
      </c>
      <c r="AN1025" s="6" t="s">
        <v>5</v>
      </c>
      <c r="AO1025" s="7">
        <v>2.66</v>
      </c>
      <c r="AP1025" s="7">
        <v>2.06</v>
      </c>
      <c r="AQ1025" s="7">
        <v>1.17</v>
      </c>
      <c r="AR1025" s="22">
        <v>0.88700000000000001</v>
      </c>
      <c r="AS1025" s="6">
        <v>14.1</v>
      </c>
      <c r="AT1025" s="6">
        <v>5.39</v>
      </c>
      <c r="AU1025" s="6">
        <v>3.22</v>
      </c>
      <c r="AV1025" s="7">
        <v>2.04</v>
      </c>
      <c r="AW1025" s="6" t="s">
        <v>5</v>
      </c>
      <c r="AX1025" s="6" t="s">
        <v>5</v>
      </c>
      <c r="AY1025" s="6" t="s">
        <v>5</v>
      </c>
      <c r="AZ1025" s="6" t="s">
        <v>5</v>
      </c>
      <c r="BA1025" s="6" t="s">
        <v>5</v>
      </c>
      <c r="BB1025" s="6" t="s">
        <v>5</v>
      </c>
      <c r="BC1025" s="6" t="s">
        <v>5</v>
      </c>
      <c r="BD1025" s="6" t="s">
        <v>5</v>
      </c>
      <c r="BE1025" s="6" t="s">
        <v>5</v>
      </c>
      <c r="BF1025" s="6" t="s">
        <v>5</v>
      </c>
      <c r="BG1025" s="6" t="s">
        <v>5</v>
      </c>
      <c r="BH1025" s="6" t="s">
        <v>5</v>
      </c>
      <c r="BI1025" s="7">
        <v>2.31</v>
      </c>
      <c r="BJ1025" s="22">
        <v>0.93200000000000005</v>
      </c>
      <c r="BK1025" s="6" t="s">
        <v>5</v>
      </c>
      <c r="BL1025" s="2" t="s">
        <v>5</v>
      </c>
      <c r="BM1025" s="2" t="s">
        <v>5</v>
      </c>
      <c r="BN1025" s="2" t="s">
        <v>5</v>
      </c>
      <c r="BO1025" s="2" t="s">
        <v>5</v>
      </c>
      <c r="BP1025" s="2" t="s">
        <v>5</v>
      </c>
      <c r="BQ1025" s="2" t="s">
        <v>5</v>
      </c>
      <c r="BR1025" s="2" t="s">
        <v>5</v>
      </c>
      <c r="BS1025" s="2" t="s">
        <v>5</v>
      </c>
      <c r="BT1025" s="2" t="s">
        <v>5</v>
      </c>
      <c r="BU1025" s="2" t="s">
        <v>5</v>
      </c>
      <c r="BV1025" s="2" t="s">
        <v>5</v>
      </c>
      <c r="BW1025" s="2" t="s">
        <v>5</v>
      </c>
      <c r="BX1025" s="2" t="s">
        <v>5</v>
      </c>
      <c r="BY1025" s="25" t="s">
        <v>5</v>
      </c>
      <c r="BZ1025" s="25" t="s">
        <v>5</v>
      </c>
      <c r="CA1025" s="6" t="s">
        <v>5</v>
      </c>
      <c r="CB1025" s="6" t="s">
        <v>5</v>
      </c>
      <c r="CC1025" s="6" t="s">
        <v>5</v>
      </c>
      <c r="CD1025" s="6" t="s">
        <v>5</v>
      </c>
      <c r="CE1025" s="6" t="s">
        <v>5</v>
      </c>
      <c r="CF1025" s="16" t="s">
        <v>5</v>
      </c>
      <c r="CG1025" s="16" t="s">
        <v>5</v>
      </c>
      <c r="CH1025" s="18" t="s">
        <v>5</v>
      </c>
    </row>
    <row r="1026" spans="2:86">
      <c r="B1026" s="78" t="s">
        <v>473</v>
      </c>
      <c r="C1026" s="79" t="s">
        <v>1126</v>
      </c>
      <c r="D1026" s="80" t="s">
        <v>1126</v>
      </c>
      <c r="E1026" s="1" t="s">
        <v>4</v>
      </c>
      <c r="F1026" s="4">
        <v>20.399999999999999</v>
      </c>
      <c r="G1026" s="7">
        <v>6.04</v>
      </c>
      <c r="H1026" s="3" t="str">
        <f t="shared" si="34"/>
        <v>2L3-1/2X3X1/2SLBB</v>
      </c>
      <c r="I1026" s="7">
        <v>3</v>
      </c>
      <c r="J1026" s="5" t="s">
        <v>5</v>
      </c>
      <c r="K1026" s="6" t="s">
        <v>5</v>
      </c>
      <c r="L1026" s="6" t="s">
        <v>5</v>
      </c>
      <c r="M1026" s="6" t="s">
        <v>5</v>
      </c>
      <c r="N1026" s="6" t="s">
        <v>5</v>
      </c>
      <c r="O1026" s="5" t="s">
        <v>5</v>
      </c>
      <c r="P1026" s="5" t="s">
        <v>5</v>
      </c>
      <c r="Q1026" s="7">
        <v>3.5</v>
      </c>
      <c r="R1026" s="6" t="s">
        <v>5</v>
      </c>
      <c r="S1026" s="6" t="s">
        <v>5</v>
      </c>
      <c r="T1026" s="5" t="s">
        <v>5</v>
      </c>
      <c r="U1026" s="8" t="s">
        <v>5</v>
      </c>
      <c r="V1026" s="6" t="s">
        <v>5</v>
      </c>
      <c r="W1026" s="8" t="s">
        <v>5</v>
      </c>
      <c r="X1026" s="22">
        <v>0.5</v>
      </c>
      <c r="Y1026" s="6" t="s">
        <v>5</v>
      </c>
      <c r="Z1026" s="6" t="s">
        <v>5</v>
      </c>
      <c r="AA1026" s="6" t="s">
        <v>5</v>
      </c>
      <c r="AB1026" s="8" t="s">
        <v>5</v>
      </c>
      <c r="AC1026" s="8" t="s">
        <v>5</v>
      </c>
      <c r="AD1026" s="6" t="s">
        <v>5</v>
      </c>
      <c r="AE1026" s="22">
        <v>0.86899999999999999</v>
      </c>
      <c r="AF1026" s="6" t="s">
        <v>5</v>
      </c>
      <c r="AG1026" s="6" t="s">
        <v>5</v>
      </c>
      <c r="AH1026" s="22">
        <v>0.43099999999999999</v>
      </c>
      <c r="AI1026" s="6" t="s">
        <v>5</v>
      </c>
      <c r="AJ1026" s="7">
        <v>7</v>
      </c>
      <c r="AK1026" s="6" t="s">
        <v>5</v>
      </c>
      <c r="AL1026" s="6" t="s">
        <v>5</v>
      </c>
      <c r="AM1026" s="6" t="s">
        <v>5</v>
      </c>
      <c r="AN1026" s="6" t="s">
        <v>5</v>
      </c>
      <c r="AO1026" s="7">
        <v>4.6500000000000004</v>
      </c>
      <c r="AP1026" s="7">
        <v>3.94</v>
      </c>
      <c r="AQ1026" s="7">
        <v>2.1800000000000002</v>
      </c>
      <c r="AR1026" s="22">
        <v>0.877</v>
      </c>
      <c r="AS1026" s="6">
        <v>14.5</v>
      </c>
      <c r="AT1026" s="6">
        <v>6.76</v>
      </c>
      <c r="AU1026" s="6">
        <v>4.1399999999999997</v>
      </c>
      <c r="AV1026" s="7">
        <v>1.55</v>
      </c>
      <c r="AW1026" s="6" t="s">
        <v>5</v>
      </c>
      <c r="AX1026" s="6" t="s">
        <v>5</v>
      </c>
      <c r="AY1026" s="6" t="s">
        <v>5</v>
      </c>
      <c r="AZ1026" s="6" t="s">
        <v>5</v>
      </c>
      <c r="BA1026" s="6" t="s">
        <v>5</v>
      </c>
      <c r="BB1026" s="6" t="s">
        <v>5</v>
      </c>
      <c r="BC1026" s="6" t="s">
        <v>5</v>
      </c>
      <c r="BD1026" s="6" t="s">
        <v>5</v>
      </c>
      <c r="BE1026" s="6" t="s">
        <v>5</v>
      </c>
      <c r="BF1026" s="6" t="s">
        <v>5</v>
      </c>
      <c r="BG1026" s="6" t="s">
        <v>5</v>
      </c>
      <c r="BH1026" s="6" t="s">
        <v>5</v>
      </c>
      <c r="BI1026" s="7">
        <v>1.88</v>
      </c>
      <c r="BJ1026" s="22">
        <v>0.89200000000000002</v>
      </c>
      <c r="BK1026" s="6" t="s">
        <v>5</v>
      </c>
      <c r="BL1026" s="2" t="s">
        <v>5</v>
      </c>
      <c r="BM1026" s="2" t="s">
        <v>5</v>
      </c>
      <c r="BN1026" s="2" t="s">
        <v>5</v>
      </c>
      <c r="BO1026" s="2" t="s">
        <v>5</v>
      </c>
      <c r="BP1026" s="2" t="s">
        <v>5</v>
      </c>
      <c r="BQ1026" s="2" t="s">
        <v>5</v>
      </c>
      <c r="BR1026" s="2" t="s">
        <v>5</v>
      </c>
      <c r="BS1026" s="2" t="s">
        <v>5</v>
      </c>
      <c r="BT1026" s="2" t="s">
        <v>5</v>
      </c>
      <c r="BU1026" s="2" t="s">
        <v>5</v>
      </c>
      <c r="BV1026" s="2" t="s">
        <v>5</v>
      </c>
      <c r="BW1026" s="2" t="s">
        <v>5</v>
      </c>
      <c r="BX1026" s="2" t="s">
        <v>5</v>
      </c>
      <c r="BY1026" s="25" t="s">
        <v>5</v>
      </c>
      <c r="BZ1026" s="25" t="s">
        <v>5</v>
      </c>
      <c r="CA1026" s="6" t="s">
        <v>5</v>
      </c>
      <c r="CB1026" s="6" t="s">
        <v>5</v>
      </c>
      <c r="CC1026" s="6" t="s">
        <v>5</v>
      </c>
      <c r="CD1026" s="6" t="s">
        <v>5</v>
      </c>
      <c r="CE1026" s="6" t="s">
        <v>5</v>
      </c>
      <c r="CF1026" s="16" t="s">
        <v>5</v>
      </c>
      <c r="CG1026" s="16" t="s">
        <v>5</v>
      </c>
      <c r="CH1026" s="18" t="s">
        <v>5</v>
      </c>
    </row>
    <row r="1027" spans="2:86">
      <c r="B1027" s="78" t="s">
        <v>473</v>
      </c>
      <c r="C1027" s="79" t="s">
        <v>1127</v>
      </c>
      <c r="D1027" s="80" t="s">
        <v>1127</v>
      </c>
      <c r="E1027" s="1" t="s">
        <v>4</v>
      </c>
      <c r="F1027" s="4">
        <v>20.399999999999999</v>
      </c>
      <c r="G1027" s="7">
        <v>6.04</v>
      </c>
      <c r="H1027" s="3" t="str">
        <f t="shared" si="34"/>
        <v>2L3-1/2X3X1/2X3/8SLBB</v>
      </c>
      <c r="I1027" s="7">
        <v>3</v>
      </c>
      <c r="J1027" s="5" t="s">
        <v>5</v>
      </c>
      <c r="K1027" s="6" t="s">
        <v>5</v>
      </c>
      <c r="L1027" s="6" t="s">
        <v>5</v>
      </c>
      <c r="M1027" s="6" t="s">
        <v>5</v>
      </c>
      <c r="N1027" s="6" t="s">
        <v>5</v>
      </c>
      <c r="O1027" s="5" t="s">
        <v>5</v>
      </c>
      <c r="P1027" s="5" t="s">
        <v>5</v>
      </c>
      <c r="Q1027" s="7">
        <v>3.5</v>
      </c>
      <c r="R1027" s="6" t="s">
        <v>5</v>
      </c>
      <c r="S1027" s="6" t="s">
        <v>5</v>
      </c>
      <c r="T1027" s="5" t="s">
        <v>5</v>
      </c>
      <c r="U1027" s="8" t="s">
        <v>5</v>
      </c>
      <c r="V1027" s="6" t="s">
        <v>5</v>
      </c>
      <c r="W1027" s="8" t="s">
        <v>5</v>
      </c>
      <c r="X1027" s="22">
        <v>0.5</v>
      </c>
      <c r="Y1027" s="6" t="s">
        <v>5</v>
      </c>
      <c r="Z1027" s="6" t="s">
        <v>5</v>
      </c>
      <c r="AA1027" s="6" t="s">
        <v>5</v>
      </c>
      <c r="AB1027" s="8" t="s">
        <v>5</v>
      </c>
      <c r="AC1027" s="8" t="s">
        <v>5</v>
      </c>
      <c r="AD1027" s="6" t="s">
        <v>5</v>
      </c>
      <c r="AE1027" s="22">
        <v>0.86899999999999999</v>
      </c>
      <c r="AF1027" s="6" t="s">
        <v>5</v>
      </c>
      <c r="AG1027" s="6" t="s">
        <v>5</v>
      </c>
      <c r="AH1027" s="22">
        <v>0.43099999999999999</v>
      </c>
      <c r="AI1027" s="6" t="s">
        <v>5</v>
      </c>
      <c r="AJ1027" s="7">
        <v>7</v>
      </c>
      <c r="AK1027" s="6" t="s">
        <v>5</v>
      </c>
      <c r="AL1027" s="6" t="s">
        <v>5</v>
      </c>
      <c r="AM1027" s="6" t="s">
        <v>5</v>
      </c>
      <c r="AN1027" s="6" t="s">
        <v>5</v>
      </c>
      <c r="AO1027" s="7">
        <v>4.6500000000000004</v>
      </c>
      <c r="AP1027" s="7">
        <v>3.94</v>
      </c>
      <c r="AQ1027" s="7">
        <v>2.1800000000000002</v>
      </c>
      <c r="AR1027" s="22">
        <v>0.877</v>
      </c>
      <c r="AS1027" s="6">
        <v>17.3</v>
      </c>
      <c r="AT1027" s="7">
        <v>7.9</v>
      </c>
      <c r="AU1027" s="6">
        <v>4.6900000000000004</v>
      </c>
      <c r="AV1027" s="7">
        <v>1.69</v>
      </c>
      <c r="AW1027" s="6" t="s">
        <v>5</v>
      </c>
      <c r="AX1027" s="6" t="s">
        <v>5</v>
      </c>
      <c r="AY1027" s="6" t="s">
        <v>5</v>
      </c>
      <c r="AZ1027" s="6" t="s">
        <v>5</v>
      </c>
      <c r="BA1027" s="6" t="s">
        <v>5</v>
      </c>
      <c r="BB1027" s="6" t="s">
        <v>5</v>
      </c>
      <c r="BC1027" s="6" t="s">
        <v>5</v>
      </c>
      <c r="BD1027" s="6" t="s">
        <v>5</v>
      </c>
      <c r="BE1027" s="6" t="s">
        <v>5</v>
      </c>
      <c r="BF1027" s="6" t="s">
        <v>5</v>
      </c>
      <c r="BG1027" s="6" t="s">
        <v>5</v>
      </c>
      <c r="BH1027" s="6" t="s">
        <v>5</v>
      </c>
      <c r="BI1027" s="7">
        <v>2</v>
      </c>
      <c r="BJ1027" s="22">
        <v>0.90400000000000003</v>
      </c>
      <c r="BK1027" s="6" t="s">
        <v>5</v>
      </c>
      <c r="BL1027" s="2" t="s">
        <v>5</v>
      </c>
      <c r="BM1027" s="2" t="s">
        <v>5</v>
      </c>
      <c r="BN1027" s="2" t="s">
        <v>5</v>
      </c>
      <c r="BO1027" s="2" t="s">
        <v>5</v>
      </c>
      <c r="BP1027" s="2" t="s">
        <v>5</v>
      </c>
      <c r="BQ1027" s="2" t="s">
        <v>5</v>
      </c>
      <c r="BR1027" s="2" t="s">
        <v>5</v>
      </c>
      <c r="BS1027" s="2" t="s">
        <v>5</v>
      </c>
      <c r="BT1027" s="2" t="s">
        <v>5</v>
      </c>
      <c r="BU1027" s="2" t="s">
        <v>5</v>
      </c>
      <c r="BV1027" s="2" t="s">
        <v>5</v>
      </c>
      <c r="BW1027" s="2" t="s">
        <v>5</v>
      </c>
      <c r="BX1027" s="2" t="s">
        <v>5</v>
      </c>
      <c r="BY1027" s="25" t="s">
        <v>5</v>
      </c>
      <c r="BZ1027" s="25" t="s">
        <v>5</v>
      </c>
      <c r="CA1027" s="6" t="s">
        <v>5</v>
      </c>
      <c r="CB1027" s="6" t="s">
        <v>5</v>
      </c>
      <c r="CC1027" s="6" t="s">
        <v>5</v>
      </c>
      <c r="CD1027" s="6" t="s">
        <v>5</v>
      </c>
      <c r="CE1027" s="6" t="s">
        <v>5</v>
      </c>
      <c r="CF1027" s="16" t="s">
        <v>5</v>
      </c>
      <c r="CG1027" s="16" t="s">
        <v>5</v>
      </c>
      <c r="CH1027" s="18" t="s">
        <v>5</v>
      </c>
    </row>
    <row r="1028" spans="2:86">
      <c r="B1028" s="78" t="s">
        <v>473</v>
      </c>
      <c r="C1028" s="79" t="s">
        <v>1128</v>
      </c>
      <c r="D1028" s="80" t="s">
        <v>1128</v>
      </c>
      <c r="E1028" s="1" t="s">
        <v>4</v>
      </c>
      <c r="F1028" s="4">
        <v>20.399999999999999</v>
      </c>
      <c r="G1028" s="7">
        <v>6.04</v>
      </c>
      <c r="H1028" s="3" t="str">
        <f t="shared" ref="H1028:H1091" si="35">D1028</f>
        <v>2L3-1/2X3X1/2X3/4SLBB</v>
      </c>
      <c r="I1028" s="7">
        <v>3</v>
      </c>
      <c r="J1028" s="5" t="s">
        <v>5</v>
      </c>
      <c r="K1028" s="6" t="s">
        <v>5</v>
      </c>
      <c r="L1028" s="6" t="s">
        <v>5</v>
      </c>
      <c r="M1028" s="6" t="s">
        <v>5</v>
      </c>
      <c r="N1028" s="6" t="s">
        <v>5</v>
      </c>
      <c r="O1028" s="5" t="s">
        <v>5</v>
      </c>
      <c r="P1028" s="5" t="s">
        <v>5</v>
      </c>
      <c r="Q1028" s="7">
        <v>3.5</v>
      </c>
      <c r="R1028" s="6" t="s">
        <v>5</v>
      </c>
      <c r="S1028" s="6" t="s">
        <v>5</v>
      </c>
      <c r="T1028" s="5" t="s">
        <v>5</v>
      </c>
      <c r="U1028" s="8" t="s">
        <v>5</v>
      </c>
      <c r="V1028" s="6" t="s">
        <v>5</v>
      </c>
      <c r="W1028" s="8" t="s">
        <v>5</v>
      </c>
      <c r="X1028" s="22">
        <v>0.5</v>
      </c>
      <c r="Y1028" s="6" t="s">
        <v>5</v>
      </c>
      <c r="Z1028" s="6" t="s">
        <v>5</v>
      </c>
      <c r="AA1028" s="6" t="s">
        <v>5</v>
      </c>
      <c r="AB1028" s="8" t="s">
        <v>5</v>
      </c>
      <c r="AC1028" s="8" t="s">
        <v>5</v>
      </c>
      <c r="AD1028" s="6" t="s">
        <v>5</v>
      </c>
      <c r="AE1028" s="22">
        <v>0.86899999999999999</v>
      </c>
      <c r="AF1028" s="6" t="s">
        <v>5</v>
      </c>
      <c r="AG1028" s="6" t="s">
        <v>5</v>
      </c>
      <c r="AH1028" s="22">
        <v>0.43099999999999999</v>
      </c>
      <c r="AI1028" s="6" t="s">
        <v>5</v>
      </c>
      <c r="AJ1028" s="7">
        <v>7</v>
      </c>
      <c r="AK1028" s="6" t="s">
        <v>5</v>
      </c>
      <c r="AL1028" s="6" t="s">
        <v>5</v>
      </c>
      <c r="AM1028" s="6" t="s">
        <v>5</v>
      </c>
      <c r="AN1028" s="6" t="s">
        <v>5</v>
      </c>
      <c r="AO1028" s="7">
        <v>4.6500000000000004</v>
      </c>
      <c r="AP1028" s="7">
        <v>3.94</v>
      </c>
      <c r="AQ1028" s="7">
        <v>2.1800000000000002</v>
      </c>
      <c r="AR1028" s="22">
        <v>0.877</v>
      </c>
      <c r="AS1028" s="6">
        <v>20.399999999999999</v>
      </c>
      <c r="AT1028" s="6">
        <v>9.0299999999999994</v>
      </c>
      <c r="AU1028" s="6">
        <v>5.26</v>
      </c>
      <c r="AV1028" s="7">
        <v>1.84</v>
      </c>
      <c r="AW1028" s="6" t="s">
        <v>5</v>
      </c>
      <c r="AX1028" s="6" t="s">
        <v>5</v>
      </c>
      <c r="AY1028" s="6" t="s">
        <v>5</v>
      </c>
      <c r="AZ1028" s="6" t="s">
        <v>5</v>
      </c>
      <c r="BA1028" s="6" t="s">
        <v>5</v>
      </c>
      <c r="BB1028" s="6" t="s">
        <v>5</v>
      </c>
      <c r="BC1028" s="6" t="s">
        <v>5</v>
      </c>
      <c r="BD1028" s="6" t="s">
        <v>5</v>
      </c>
      <c r="BE1028" s="6" t="s">
        <v>5</v>
      </c>
      <c r="BF1028" s="6" t="s">
        <v>5</v>
      </c>
      <c r="BG1028" s="6" t="s">
        <v>5</v>
      </c>
      <c r="BH1028" s="6" t="s">
        <v>5</v>
      </c>
      <c r="BI1028" s="7">
        <v>2.13</v>
      </c>
      <c r="BJ1028" s="22">
        <v>0.91500000000000004</v>
      </c>
      <c r="BK1028" s="6" t="s">
        <v>5</v>
      </c>
      <c r="BL1028" s="2" t="s">
        <v>5</v>
      </c>
      <c r="BM1028" s="2" t="s">
        <v>5</v>
      </c>
      <c r="BN1028" s="2" t="s">
        <v>5</v>
      </c>
      <c r="BO1028" s="2" t="s">
        <v>5</v>
      </c>
      <c r="BP1028" s="2" t="s">
        <v>5</v>
      </c>
      <c r="BQ1028" s="2" t="s">
        <v>5</v>
      </c>
      <c r="BR1028" s="2" t="s">
        <v>5</v>
      </c>
      <c r="BS1028" s="2" t="s">
        <v>5</v>
      </c>
      <c r="BT1028" s="2" t="s">
        <v>5</v>
      </c>
      <c r="BU1028" s="2" t="s">
        <v>5</v>
      </c>
      <c r="BV1028" s="2" t="s">
        <v>5</v>
      </c>
      <c r="BW1028" s="2" t="s">
        <v>5</v>
      </c>
      <c r="BX1028" s="2" t="s">
        <v>5</v>
      </c>
      <c r="BY1028" s="25" t="s">
        <v>5</v>
      </c>
      <c r="BZ1028" s="25" t="s">
        <v>5</v>
      </c>
      <c r="CA1028" s="6" t="s">
        <v>5</v>
      </c>
      <c r="CB1028" s="6" t="s">
        <v>5</v>
      </c>
      <c r="CC1028" s="6" t="s">
        <v>5</v>
      </c>
      <c r="CD1028" s="6" t="s">
        <v>5</v>
      </c>
      <c r="CE1028" s="6" t="s">
        <v>5</v>
      </c>
      <c r="CF1028" s="16" t="s">
        <v>5</v>
      </c>
      <c r="CG1028" s="16" t="s">
        <v>5</v>
      </c>
      <c r="CH1028" s="18" t="s">
        <v>5</v>
      </c>
    </row>
    <row r="1029" spans="2:86">
      <c r="B1029" s="78" t="s">
        <v>473</v>
      </c>
      <c r="C1029" s="79" t="s">
        <v>1129</v>
      </c>
      <c r="D1029" s="80" t="s">
        <v>1129</v>
      </c>
      <c r="E1029" s="1" t="s">
        <v>4</v>
      </c>
      <c r="F1029" s="4">
        <v>18.2</v>
      </c>
      <c r="G1029" s="7">
        <v>5.34</v>
      </c>
      <c r="H1029" s="3" t="str">
        <f t="shared" si="35"/>
        <v>2L3-1/2X3X7/16SLBB</v>
      </c>
      <c r="I1029" s="7">
        <v>3</v>
      </c>
      <c r="J1029" s="5" t="s">
        <v>5</v>
      </c>
      <c r="K1029" s="6" t="s">
        <v>5</v>
      </c>
      <c r="L1029" s="6" t="s">
        <v>5</v>
      </c>
      <c r="M1029" s="6" t="s">
        <v>5</v>
      </c>
      <c r="N1029" s="6" t="s">
        <v>5</v>
      </c>
      <c r="O1029" s="5" t="s">
        <v>5</v>
      </c>
      <c r="P1029" s="5" t="s">
        <v>5</v>
      </c>
      <c r="Q1029" s="7">
        <v>3.5</v>
      </c>
      <c r="R1029" s="6" t="s">
        <v>5</v>
      </c>
      <c r="S1029" s="6" t="s">
        <v>5</v>
      </c>
      <c r="T1029" s="5" t="s">
        <v>5</v>
      </c>
      <c r="U1029" s="8" t="s">
        <v>5</v>
      </c>
      <c r="V1029" s="6" t="s">
        <v>5</v>
      </c>
      <c r="W1029" s="8" t="s">
        <v>5</v>
      </c>
      <c r="X1029" s="22">
        <v>0.438</v>
      </c>
      <c r="Y1029" s="6" t="s">
        <v>5</v>
      </c>
      <c r="Z1029" s="6" t="s">
        <v>5</v>
      </c>
      <c r="AA1029" s="6" t="s">
        <v>5</v>
      </c>
      <c r="AB1029" s="8" t="s">
        <v>5</v>
      </c>
      <c r="AC1029" s="8" t="s">
        <v>5</v>
      </c>
      <c r="AD1029" s="6" t="s">
        <v>5</v>
      </c>
      <c r="AE1029" s="22">
        <v>0.84599999999999997</v>
      </c>
      <c r="AF1029" s="6" t="s">
        <v>5</v>
      </c>
      <c r="AG1029" s="6" t="s">
        <v>5</v>
      </c>
      <c r="AH1029" s="22">
        <v>0.38100000000000001</v>
      </c>
      <c r="AI1029" s="6" t="s">
        <v>5</v>
      </c>
      <c r="AJ1029" s="7">
        <v>7.99</v>
      </c>
      <c r="AK1029" s="6" t="s">
        <v>5</v>
      </c>
      <c r="AL1029" s="6" t="s">
        <v>5</v>
      </c>
      <c r="AM1029" s="6" t="s">
        <v>5</v>
      </c>
      <c r="AN1029" s="6" t="s">
        <v>5</v>
      </c>
      <c r="AO1029" s="7">
        <v>4.18</v>
      </c>
      <c r="AP1029" s="7">
        <v>3.49</v>
      </c>
      <c r="AQ1029" s="7">
        <v>1.94</v>
      </c>
      <c r="AR1029" s="22">
        <v>0.88500000000000001</v>
      </c>
      <c r="AS1029" s="6">
        <v>12.7</v>
      </c>
      <c r="AT1029" s="6">
        <v>5.82</v>
      </c>
      <c r="AU1029" s="6">
        <v>3.63</v>
      </c>
      <c r="AV1029" s="7">
        <v>1.54</v>
      </c>
      <c r="AW1029" s="6" t="s">
        <v>5</v>
      </c>
      <c r="AX1029" s="6" t="s">
        <v>5</v>
      </c>
      <c r="AY1029" s="6" t="s">
        <v>5</v>
      </c>
      <c r="AZ1029" s="6" t="s">
        <v>5</v>
      </c>
      <c r="BA1029" s="6" t="s">
        <v>5</v>
      </c>
      <c r="BB1029" s="6" t="s">
        <v>5</v>
      </c>
      <c r="BC1029" s="6" t="s">
        <v>5</v>
      </c>
      <c r="BD1029" s="6" t="s">
        <v>5</v>
      </c>
      <c r="BE1029" s="6" t="s">
        <v>5</v>
      </c>
      <c r="BF1029" s="6" t="s">
        <v>5</v>
      </c>
      <c r="BG1029" s="6" t="s">
        <v>5</v>
      </c>
      <c r="BH1029" s="6" t="s">
        <v>5</v>
      </c>
      <c r="BI1029" s="7">
        <v>1.88</v>
      </c>
      <c r="BJ1029" s="22">
        <v>0.88900000000000001</v>
      </c>
      <c r="BK1029" s="6" t="s">
        <v>5</v>
      </c>
      <c r="BL1029" s="2" t="s">
        <v>5</v>
      </c>
      <c r="BM1029" s="2" t="s">
        <v>5</v>
      </c>
      <c r="BN1029" s="2" t="s">
        <v>5</v>
      </c>
      <c r="BO1029" s="2" t="s">
        <v>5</v>
      </c>
      <c r="BP1029" s="2" t="s">
        <v>5</v>
      </c>
      <c r="BQ1029" s="2" t="s">
        <v>5</v>
      </c>
      <c r="BR1029" s="2" t="s">
        <v>5</v>
      </c>
      <c r="BS1029" s="2" t="s">
        <v>5</v>
      </c>
      <c r="BT1029" s="2" t="s">
        <v>5</v>
      </c>
      <c r="BU1029" s="2" t="s">
        <v>5</v>
      </c>
      <c r="BV1029" s="2" t="s">
        <v>5</v>
      </c>
      <c r="BW1029" s="2" t="s">
        <v>5</v>
      </c>
      <c r="BX1029" s="2" t="s">
        <v>5</v>
      </c>
      <c r="BY1029" s="25" t="s">
        <v>5</v>
      </c>
      <c r="BZ1029" s="25" t="s">
        <v>5</v>
      </c>
      <c r="CA1029" s="6" t="s">
        <v>5</v>
      </c>
      <c r="CB1029" s="6" t="s">
        <v>5</v>
      </c>
      <c r="CC1029" s="6" t="s">
        <v>5</v>
      </c>
      <c r="CD1029" s="6" t="s">
        <v>5</v>
      </c>
      <c r="CE1029" s="6" t="s">
        <v>5</v>
      </c>
      <c r="CF1029" s="16" t="s">
        <v>5</v>
      </c>
      <c r="CG1029" s="16" t="s">
        <v>5</v>
      </c>
      <c r="CH1029" s="18" t="s">
        <v>5</v>
      </c>
    </row>
    <row r="1030" spans="2:86">
      <c r="B1030" s="78" t="s">
        <v>473</v>
      </c>
      <c r="C1030" s="79" t="s">
        <v>1130</v>
      </c>
      <c r="D1030" s="80" t="s">
        <v>1130</v>
      </c>
      <c r="E1030" s="1" t="s">
        <v>4</v>
      </c>
      <c r="F1030" s="4">
        <v>18.2</v>
      </c>
      <c r="G1030" s="7">
        <v>5.34</v>
      </c>
      <c r="H1030" s="3" t="str">
        <f t="shared" si="35"/>
        <v>2L3-1/2X3X7/16X3/8SLBB</v>
      </c>
      <c r="I1030" s="7">
        <v>3</v>
      </c>
      <c r="J1030" s="5" t="s">
        <v>5</v>
      </c>
      <c r="K1030" s="6" t="s">
        <v>5</v>
      </c>
      <c r="L1030" s="6" t="s">
        <v>5</v>
      </c>
      <c r="M1030" s="6" t="s">
        <v>5</v>
      </c>
      <c r="N1030" s="6" t="s">
        <v>5</v>
      </c>
      <c r="O1030" s="5" t="s">
        <v>5</v>
      </c>
      <c r="P1030" s="5" t="s">
        <v>5</v>
      </c>
      <c r="Q1030" s="7">
        <v>3.5</v>
      </c>
      <c r="R1030" s="6" t="s">
        <v>5</v>
      </c>
      <c r="S1030" s="6" t="s">
        <v>5</v>
      </c>
      <c r="T1030" s="5" t="s">
        <v>5</v>
      </c>
      <c r="U1030" s="8" t="s">
        <v>5</v>
      </c>
      <c r="V1030" s="6" t="s">
        <v>5</v>
      </c>
      <c r="W1030" s="8" t="s">
        <v>5</v>
      </c>
      <c r="X1030" s="22">
        <v>0.438</v>
      </c>
      <c r="Y1030" s="6" t="s">
        <v>5</v>
      </c>
      <c r="Z1030" s="6" t="s">
        <v>5</v>
      </c>
      <c r="AA1030" s="6" t="s">
        <v>5</v>
      </c>
      <c r="AB1030" s="8" t="s">
        <v>5</v>
      </c>
      <c r="AC1030" s="8" t="s">
        <v>5</v>
      </c>
      <c r="AD1030" s="6" t="s">
        <v>5</v>
      </c>
      <c r="AE1030" s="22">
        <v>0.84599999999999997</v>
      </c>
      <c r="AF1030" s="6" t="s">
        <v>5</v>
      </c>
      <c r="AG1030" s="6" t="s">
        <v>5</v>
      </c>
      <c r="AH1030" s="22">
        <v>0.38100000000000001</v>
      </c>
      <c r="AI1030" s="6" t="s">
        <v>5</v>
      </c>
      <c r="AJ1030" s="7">
        <v>7.99</v>
      </c>
      <c r="AK1030" s="6" t="s">
        <v>5</v>
      </c>
      <c r="AL1030" s="6" t="s">
        <v>5</v>
      </c>
      <c r="AM1030" s="6" t="s">
        <v>5</v>
      </c>
      <c r="AN1030" s="6" t="s">
        <v>5</v>
      </c>
      <c r="AO1030" s="7">
        <v>4.18</v>
      </c>
      <c r="AP1030" s="7">
        <v>3.49</v>
      </c>
      <c r="AQ1030" s="7">
        <v>1.94</v>
      </c>
      <c r="AR1030" s="22">
        <v>0.88500000000000001</v>
      </c>
      <c r="AS1030" s="6">
        <v>14.9</v>
      </c>
      <c r="AT1030" s="6">
        <v>6.82</v>
      </c>
      <c r="AU1030" s="6">
        <v>4.04</v>
      </c>
      <c r="AV1030" s="7">
        <v>1.67</v>
      </c>
      <c r="AW1030" s="6" t="s">
        <v>5</v>
      </c>
      <c r="AX1030" s="6" t="s">
        <v>5</v>
      </c>
      <c r="AY1030" s="6" t="s">
        <v>5</v>
      </c>
      <c r="AZ1030" s="6" t="s">
        <v>5</v>
      </c>
      <c r="BA1030" s="6" t="s">
        <v>5</v>
      </c>
      <c r="BB1030" s="6" t="s">
        <v>5</v>
      </c>
      <c r="BC1030" s="6" t="s">
        <v>5</v>
      </c>
      <c r="BD1030" s="6" t="s">
        <v>5</v>
      </c>
      <c r="BE1030" s="6" t="s">
        <v>5</v>
      </c>
      <c r="BF1030" s="6" t="s">
        <v>5</v>
      </c>
      <c r="BG1030" s="6" t="s">
        <v>5</v>
      </c>
      <c r="BH1030" s="6" t="s">
        <v>5</v>
      </c>
      <c r="BI1030" s="7">
        <v>1.99</v>
      </c>
      <c r="BJ1030" s="22">
        <v>0.90100000000000002</v>
      </c>
      <c r="BK1030" s="6" t="s">
        <v>5</v>
      </c>
      <c r="BL1030" s="2" t="s">
        <v>5</v>
      </c>
      <c r="BM1030" s="2" t="s">
        <v>5</v>
      </c>
      <c r="BN1030" s="2" t="s">
        <v>5</v>
      </c>
      <c r="BO1030" s="2" t="s">
        <v>5</v>
      </c>
      <c r="BP1030" s="2" t="s">
        <v>5</v>
      </c>
      <c r="BQ1030" s="2" t="s">
        <v>5</v>
      </c>
      <c r="BR1030" s="2" t="s">
        <v>5</v>
      </c>
      <c r="BS1030" s="2" t="s">
        <v>5</v>
      </c>
      <c r="BT1030" s="2" t="s">
        <v>5</v>
      </c>
      <c r="BU1030" s="2" t="s">
        <v>5</v>
      </c>
      <c r="BV1030" s="2" t="s">
        <v>5</v>
      </c>
      <c r="BW1030" s="2" t="s">
        <v>5</v>
      </c>
      <c r="BX1030" s="2" t="s">
        <v>5</v>
      </c>
      <c r="BY1030" s="25" t="s">
        <v>5</v>
      </c>
      <c r="BZ1030" s="25" t="s">
        <v>5</v>
      </c>
      <c r="CA1030" s="6" t="s">
        <v>5</v>
      </c>
      <c r="CB1030" s="6" t="s">
        <v>5</v>
      </c>
      <c r="CC1030" s="6" t="s">
        <v>5</v>
      </c>
      <c r="CD1030" s="6" t="s">
        <v>5</v>
      </c>
      <c r="CE1030" s="6" t="s">
        <v>5</v>
      </c>
      <c r="CF1030" s="16" t="s">
        <v>5</v>
      </c>
      <c r="CG1030" s="16" t="s">
        <v>5</v>
      </c>
      <c r="CH1030" s="18" t="s">
        <v>5</v>
      </c>
    </row>
    <row r="1031" spans="2:86">
      <c r="B1031" s="78" t="s">
        <v>473</v>
      </c>
      <c r="C1031" s="79" t="s">
        <v>1131</v>
      </c>
      <c r="D1031" s="80" t="s">
        <v>1131</v>
      </c>
      <c r="E1031" s="1" t="s">
        <v>4</v>
      </c>
      <c r="F1031" s="4">
        <v>18.2</v>
      </c>
      <c r="G1031" s="7">
        <v>5.34</v>
      </c>
      <c r="H1031" s="3" t="str">
        <f t="shared" si="35"/>
        <v>2L3-1/2X3X7/16X3/4SLBB</v>
      </c>
      <c r="I1031" s="7">
        <v>3</v>
      </c>
      <c r="J1031" s="5" t="s">
        <v>5</v>
      </c>
      <c r="K1031" s="6" t="s">
        <v>5</v>
      </c>
      <c r="L1031" s="6" t="s">
        <v>5</v>
      </c>
      <c r="M1031" s="6" t="s">
        <v>5</v>
      </c>
      <c r="N1031" s="6" t="s">
        <v>5</v>
      </c>
      <c r="O1031" s="5" t="s">
        <v>5</v>
      </c>
      <c r="P1031" s="5" t="s">
        <v>5</v>
      </c>
      <c r="Q1031" s="7">
        <v>3.5</v>
      </c>
      <c r="R1031" s="6" t="s">
        <v>5</v>
      </c>
      <c r="S1031" s="6" t="s">
        <v>5</v>
      </c>
      <c r="T1031" s="5" t="s">
        <v>5</v>
      </c>
      <c r="U1031" s="8" t="s">
        <v>5</v>
      </c>
      <c r="V1031" s="6" t="s">
        <v>5</v>
      </c>
      <c r="W1031" s="8" t="s">
        <v>5</v>
      </c>
      <c r="X1031" s="22">
        <v>0.438</v>
      </c>
      <c r="Y1031" s="6" t="s">
        <v>5</v>
      </c>
      <c r="Z1031" s="6" t="s">
        <v>5</v>
      </c>
      <c r="AA1031" s="6" t="s">
        <v>5</v>
      </c>
      <c r="AB1031" s="8" t="s">
        <v>5</v>
      </c>
      <c r="AC1031" s="8" t="s">
        <v>5</v>
      </c>
      <c r="AD1031" s="6" t="s">
        <v>5</v>
      </c>
      <c r="AE1031" s="22">
        <v>0.84599999999999997</v>
      </c>
      <c r="AF1031" s="6" t="s">
        <v>5</v>
      </c>
      <c r="AG1031" s="6" t="s">
        <v>5</v>
      </c>
      <c r="AH1031" s="22">
        <v>0.38100000000000001</v>
      </c>
      <c r="AI1031" s="6" t="s">
        <v>5</v>
      </c>
      <c r="AJ1031" s="7">
        <v>7.99</v>
      </c>
      <c r="AK1031" s="6" t="s">
        <v>5</v>
      </c>
      <c r="AL1031" s="6" t="s">
        <v>5</v>
      </c>
      <c r="AM1031" s="6" t="s">
        <v>5</v>
      </c>
      <c r="AN1031" s="6" t="s">
        <v>5</v>
      </c>
      <c r="AO1031" s="7">
        <v>4.18</v>
      </c>
      <c r="AP1031" s="7">
        <v>3.49</v>
      </c>
      <c r="AQ1031" s="7">
        <v>1.94</v>
      </c>
      <c r="AR1031" s="22">
        <v>0.88500000000000001</v>
      </c>
      <c r="AS1031" s="6">
        <v>17.7</v>
      </c>
      <c r="AT1031" s="6">
        <v>7.82</v>
      </c>
      <c r="AU1031" s="6">
        <v>4.57</v>
      </c>
      <c r="AV1031" s="7">
        <v>1.82</v>
      </c>
      <c r="AW1031" s="6" t="s">
        <v>5</v>
      </c>
      <c r="AX1031" s="6" t="s">
        <v>5</v>
      </c>
      <c r="AY1031" s="6" t="s">
        <v>5</v>
      </c>
      <c r="AZ1031" s="6" t="s">
        <v>5</v>
      </c>
      <c r="BA1031" s="6" t="s">
        <v>5</v>
      </c>
      <c r="BB1031" s="6" t="s">
        <v>5</v>
      </c>
      <c r="BC1031" s="6" t="s">
        <v>5</v>
      </c>
      <c r="BD1031" s="6" t="s">
        <v>5</v>
      </c>
      <c r="BE1031" s="6" t="s">
        <v>5</v>
      </c>
      <c r="BF1031" s="6" t="s">
        <v>5</v>
      </c>
      <c r="BG1031" s="6" t="s">
        <v>5</v>
      </c>
      <c r="BH1031" s="6" t="s">
        <v>5</v>
      </c>
      <c r="BI1031" s="7">
        <v>2.12</v>
      </c>
      <c r="BJ1031" s="22">
        <v>0.91200000000000003</v>
      </c>
      <c r="BK1031" s="6" t="s">
        <v>5</v>
      </c>
      <c r="BL1031" s="2" t="s">
        <v>5</v>
      </c>
      <c r="BM1031" s="2" t="s">
        <v>5</v>
      </c>
      <c r="BN1031" s="2" t="s">
        <v>5</v>
      </c>
      <c r="BO1031" s="2" t="s">
        <v>5</v>
      </c>
      <c r="BP1031" s="2" t="s">
        <v>5</v>
      </c>
      <c r="BQ1031" s="2" t="s">
        <v>5</v>
      </c>
      <c r="BR1031" s="2" t="s">
        <v>5</v>
      </c>
      <c r="BS1031" s="2" t="s">
        <v>5</v>
      </c>
      <c r="BT1031" s="2" t="s">
        <v>5</v>
      </c>
      <c r="BU1031" s="2" t="s">
        <v>5</v>
      </c>
      <c r="BV1031" s="2" t="s">
        <v>5</v>
      </c>
      <c r="BW1031" s="2" t="s">
        <v>5</v>
      </c>
      <c r="BX1031" s="2" t="s">
        <v>5</v>
      </c>
      <c r="BY1031" s="25" t="s">
        <v>5</v>
      </c>
      <c r="BZ1031" s="25" t="s">
        <v>5</v>
      </c>
      <c r="CA1031" s="6" t="s">
        <v>5</v>
      </c>
      <c r="CB1031" s="6" t="s">
        <v>5</v>
      </c>
      <c r="CC1031" s="6" t="s">
        <v>5</v>
      </c>
      <c r="CD1031" s="6" t="s">
        <v>5</v>
      </c>
      <c r="CE1031" s="6" t="s">
        <v>5</v>
      </c>
      <c r="CF1031" s="16" t="s">
        <v>5</v>
      </c>
      <c r="CG1031" s="16" t="s">
        <v>5</v>
      </c>
      <c r="CH1031" s="18" t="s">
        <v>5</v>
      </c>
    </row>
    <row r="1032" spans="2:86">
      <c r="B1032" s="78" t="s">
        <v>473</v>
      </c>
      <c r="C1032" s="79" t="s">
        <v>1132</v>
      </c>
      <c r="D1032" s="80" t="s">
        <v>1132</v>
      </c>
      <c r="E1032" s="1" t="s">
        <v>4</v>
      </c>
      <c r="F1032" s="4">
        <v>15.8</v>
      </c>
      <c r="G1032" s="7">
        <v>4.6399999999999997</v>
      </c>
      <c r="H1032" s="3" t="str">
        <f t="shared" si="35"/>
        <v>2L3-1/2X3X3/8SLBB</v>
      </c>
      <c r="I1032" s="7">
        <v>3</v>
      </c>
      <c r="J1032" s="5" t="s">
        <v>5</v>
      </c>
      <c r="K1032" s="6" t="s">
        <v>5</v>
      </c>
      <c r="L1032" s="6" t="s">
        <v>5</v>
      </c>
      <c r="M1032" s="6" t="s">
        <v>5</v>
      </c>
      <c r="N1032" s="6" t="s">
        <v>5</v>
      </c>
      <c r="O1032" s="5" t="s">
        <v>5</v>
      </c>
      <c r="P1032" s="5" t="s">
        <v>5</v>
      </c>
      <c r="Q1032" s="7">
        <v>3.5</v>
      </c>
      <c r="R1032" s="6" t="s">
        <v>5</v>
      </c>
      <c r="S1032" s="6" t="s">
        <v>5</v>
      </c>
      <c r="T1032" s="5" t="s">
        <v>5</v>
      </c>
      <c r="U1032" s="8" t="s">
        <v>5</v>
      </c>
      <c r="V1032" s="6" t="s">
        <v>5</v>
      </c>
      <c r="W1032" s="8" t="s">
        <v>5</v>
      </c>
      <c r="X1032" s="22">
        <v>0.375</v>
      </c>
      <c r="Y1032" s="6" t="s">
        <v>5</v>
      </c>
      <c r="Z1032" s="6" t="s">
        <v>5</v>
      </c>
      <c r="AA1032" s="6" t="s">
        <v>5</v>
      </c>
      <c r="AB1032" s="8" t="s">
        <v>5</v>
      </c>
      <c r="AC1032" s="8" t="s">
        <v>5</v>
      </c>
      <c r="AD1032" s="6" t="s">
        <v>5</v>
      </c>
      <c r="AE1032" s="22">
        <v>0.82299999999999995</v>
      </c>
      <c r="AF1032" s="6" t="s">
        <v>5</v>
      </c>
      <c r="AG1032" s="6" t="s">
        <v>5</v>
      </c>
      <c r="AH1032" s="22">
        <v>0.33100000000000002</v>
      </c>
      <c r="AI1032" s="6" t="s">
        <v>5</v>
      </c>
      <c r="AJ1032" s="7">
        <v>9.33</v>
      </c>
      <c r="AK1032" s="6" t="s">
        <v>5</v>
      </c>
      <c r="AL1032" s="6" t="s">
        <v>5</v>
      </c>
      <c r="AM1032" s="6" t="s">
        <v>5</v>
      </c>
      <c r="AN1032" s="6" t="s">
        <v>5</v>
      </c>
      <c r="AO1032" s="7">
        <v>3.69</v>
      </c>
      <c r="AP1032" s="7">
        <v>3.04</v>
      </c>
      <c r="AQ1032" s="7">
        <v>1.69</v>
      </c>
      <c r="AR1032" s="22">
        <v>0.89200000000000002</v>
      </c>
      <c r="AS1032" s="6">
        <v>10.7</v>
      </c>
      <c r="AT1032" s="6">
        <v>4.96</v>
      </c>
      <c r="AU1032" s="6">
        <v>3.06</v>
      </c>
      <c r="AV1032" s="7">
        <v>1.52</v>
      </c>
      <c r="AW1032" s="6" t="s">
        <v>5</v>
      </c>
      <c r="AX1032" s="6" t="s">
        <v>5</v>
      </c>
      <c r="AY1032" s="6" t="s">
        <v>5</v>
      </c>
      <c r="AZ1032" s="6" t="s">
        <v>5</v>
      </c>
      <c r="BA1032" s="6" t="s">
        <v>5</v>
      </c>
      <c r="BB1032" s="6" t="s">
        <v>5</v>
      </c>
      <c r="BC1032" s="6" t="s">
        <v>5</v>
      </c>
      <c r="BD1032" s="6" t="s">
        <v>5</v>
      </c>
      <c r="BE1032" s="6" t="s">
        <v>5</v>
      </c>
      <c r="BF1032" s="6" t="s">
        <v>5</v>
      </c>
      <c r="BG1032" s="6" t="s">
        <v>5</v>
      </c>
      <c r="BH1032" s="6" t="s">
        <v>5</v>
      </c>
      <c r="BI1032" s="7">
        <v>1.88</v>
      </c>
      <c r="BJ1032" s="22">
        <v>0.88500000000000001</v>
      </c>
      <c r="BK1032" s="6" t="s">
        <v>5</v>
      </c>
      <c r="BL1032" s="2" t="s">
        <v>5</v>
      </c>
      <c r="BM1032" s="2" t="s">
        <v>5</v>
      </c>
      <c r="BN1032" s="2" t="s">
        <v>5</v>
      </c>
      <c r="BO1032" s="2" t="s">
        <v>5</v>
      </c>
      <c r="BP1032" s="2" t="s">
        <v>5</v>
      </c>
      <c r="BQ1032" s="2" t="s">
        <v>5</v>
      </c>
      <c r="BR1032" s="2" t="s">
        <v>5</v>
      </c>
      <c r="BS1032" s="2" t="s">
        <v>5</v>
      </c>
      <c r="BT1032" s="2" t="s">
        <v>5</v>
      </c>
      <c r="BU1032" s="2" t="s">
        <v>5</v>
      </c>
      <c r="BV1032" s="2" t="s">
        <v>5</v>
      </c>
      <c r="BW1032" s="2" t="s">
        <v>5</v>
      </c>
      <c r="BX1032" s="2" t="s">
        <v>5</v>
      </c>
      <c r="BY1032" s="25" t="s">
        <v>5</v>
      </c>
      <c r="BZ1032" s="25" t="s">
        <v>5</v>
      </c>
      <c r="CA1032" s="6" t="s">
        <v>5</v>
      </c>
      <c r="CB1032" s="6" t="s">
        <v>5</v>
      </c>
      <c r="CC1032" s="6" t="s">
        <v>5</v>
      </c>
      <c r="CD1032" s="6" t="s">
        <v>5</v>
      </c>
      <c r="CE1032" s="6" t="s">
        <v>5</v>
      </c>
      <c r="CF1032" s="16" t="s">
        <v>5</v>
      </c>
      <c r="CG1032" s="16" t="s">
        <v>5</v>
      </c>
      <c r="CH1032" s="18" t="s">
        <v>5</v>
      </c>
    </row>
    <row r="1033" spans="2:86">
      <c r="B1033" s="78" t="s">
        <v>473</v>
      </c>
      <c r="C1033" s="79" t="s">
        <v>1133</v>
      </c>
      <c r="D1033" s="80" t="s">
        <v>1133</v>
      </c>
      <c r="E1033" s="1" t="s">
        <v>4</v>
      </c>
      <c r="F1033" s="4">
        <v>15.8</v>
      </c>
      <c r="G1033" s="7">
        <v>4.6399999999999997</v>
      </c>
      <c r="H1033" s="3" t="str">
        <f t="shared" si="35"/>
        <v>2L3-1/2X3X3/8X3/8SLBB</v>
      </c>
      <c r="I1033" s="7">
        <v>3</v>
      </c>
      <c r="J1033" s="5" t="s">
        <v>5</v>
      </c>
      <c r="K1033" s="6" t="s">
        <v>5</v>
      </c>
      <c r="L1033" s="6" t="s">
        <v>5</v>
      </c>
      <c r="M1033" s="6" t="s">
        <v>5</v>
      </c>
      <c r="N1033" s="6" t="s">
        <v>5</v>
      </c>
      <c r="O1033" s="5" t="s">
        <v>5</v>
      </c>
      <c r="P1033" s="5" t="s">
        <v>5</v>
      </c>
      <c r="Q1033" s="7">
        <v>3.5</v>
      </c>
      <c r="R1033" s="6" t="s">
        <v>5</v>
      </c>
      <c r="S1033" s="6" t="s">
        <v>5</v>
      </c>
      <c r="T1033" s="5" t="s">
        <v>5</v>
      </c>
      <c r="U1033" s="8" t="s">
        <v>5</v>
      </c>
      <c r="V1033" s="6" t="s">
        <v>5</v>
      </c>
      <c r="W1033" s="8" t="s">
        <v>5</v>
      </c>
      <c r="X1033" s="22">
        <v>0.375</v>
      </c>
      <c r="Y1033" s="6" t="s">
        <v>5</v>
      </c>
      <c r="Z1033" s="6" t="s">
        <v>5</v>
      </c>
      <c r="AA1033" s="6" t="s">
        <v>5</v>
      </c>
      <c r="AB1033" s="8" t="s">
        <v>5</v>
      </c>
      <c r="AC1033" s="8" t="s">
        <v>5</v>
      </c>
      <c r="AD1033" s="6" t="s">
        <v>5</v>
      </c>
      <c r="AE1033" s="22">
        <v>0.82299999999999995</v>
      </c>
      <c r="AF1033" s="6" t="s">
        <v>5</v>
      </c>
      <c r="AG1033" s="6" t="s">
        <v>5</v>
      </c>
      <c r="AH1033" s="22">
        <v>0.33100000000000002</v>
      </c>
      <c r="AI1033" s="6" t="s">
        <v>5</v>
      </c>
      <c r="AJ1033" s="7">
        <v>9.33</v>
      </c>
      <c r="AK1033" s="6" t="s">
        <v>5</v>
      </c>
      <c r="AL1033" s="6" t="s">
        <v>5</v>
      </c>
      <c r="AM1033" s="6" t="s">
        <v>5</v>
      </c>
      <c r="AN1033" s="6" t="s">
        <v>5</v>
      </c>
      <c r="AO1033" s="7">
        <v>3.69</v>
      </c>
      <c r="AP1033" s="7">
        <v>3.04</v>
      </c>
      <c r="AQ1033" s="7">
        <v>1.69</v>
      </c>
      <c r="AR1033" s="22">
        <v>0.89200000000000002</v>
      </c>
      <c r="AS1033" s="6">
        <v>12.8</v>
      </c>
      <c r="AT1033" s="6">
        <v>5.83</v>
      </c>
      <c r="AU1033" s="6">
        <v>3.47</v>
      </c>
      <c r="AV1033" s="7">
        <v>1.66</v>
      </c>
      <c r="AW1033" s="6" t="s">
        <v>5</v>
      </c>
      <c r="AX1033" s="6" t="s">
        <v>5</v>
      </c>
      <c r="AY1033" s="6" t="s">
        <v>5</v>
      </c>
      <c r="AZ1033" s="6" t="s">
        <v>5</v>
      </c>
      <c r="BA1033" s="6" t="s">
        <v>5</v>
      </c>
      <c r="BB1033" s="6" t="s">
        <v>5</v>
      </c>
      <c r="BC1033" s="6" t="s">
        <v>5</v>
      </c>
      <c r="BD1033" s="6" t="s">
        <v>5</v>
      </c>
      <c r="BE1033" s="6" t="s">
        <v>5</v>
      </c>
      <c r="BF1033" s="6" t="s">
        <v>5</v>
      </c>
      <c r="BG1033" s="6" t="s">
        <v>5</v>
      </c>
      <c r="BH1033" s="6" t="s">
        <v>5</v>
      </c>
      <c r="BI1033" s="7">
        <v>1.99</v>
      </c>
      <c r="BJ1033" s="22">
        <v>0.89800000000000002</v>
      </c>
      <c r="BK1033" s="6" t="s">
        <v>5</v>
      </c>
      <c r="BL1033" s="2" t="s">
        <v>5</v>
      </c>
      <c r="BM1033" s="2" t="s">
        <v>5</v>
      </c>
      <c r="BN1033" s="2" t="s">
        <v>5</v>
      </c>
      <c r="BO1033" s="2" t="s">
        <v>5</v>
      </c>
      <c r="BP1033" s="2" t="s">
        <v>5</v>
      </c>
      <c r="BQ1033" s="2" t="s">
        <v>5</v>
      </c>
      <c r="BR1033" s="2" t="s">
        <v>5</v>
      </c>
      <c r="BS1033" s="2" t="s">
        <v>5</v>
      </c>
      <c r="BT1033" s="2" t="s">
        <v>5</v>
      </c>
      <c r="BU1033" s="2" t="s">
        <v>5</v>
      </c>
      <c r="BV1033" s="2" t="s">
        <v>5</v>
      </c>
      <c r="BW1033" s="2" t="s">
        <v>5</v>
      </c>
      <c r="BX1033" s="2" t="s">
        <v>5</v>
      </c>
      <c r="BY1033" s="25" t="s">
        <v>5</v>
      </c>
      <c r="BZ1033" s="25" t="s">
        <v>5</v>
      </c>
      <c r="CA1033" s="6" t="s">
        <v>5</v>
      </c>
      <c r="CB1033" s="6" t="s">
        <v>5</v>
      </c>
      <c r="CC1033" s="6" t="s">
        <v>5</v>
      </c>
      <c r="CD1033" s="6" t="s">
        <v>5</v>
      </c>
      <c r="CE1033" s="6" t="s">
        <v>5</v>
      </c>
      <c r="CF1033" s="16" t="s">
        <v>5</v>
      </c>
      <c r="CG1033" s="16" t="s">
        <v>5</v>
      </c>
      <c r="CH1033" s="18" t="s">
        <v>5</v>
      </c>
    </row>
    <row r="1034" spans="2:86">
      <c r="B1034" s="78" t="s">
        <v>473</v>
      </c>
      <c r="C1034" s="79" t="s">
        <v>1134</v>
      </c>
      <c r="D1034" s="80" t="s">
        <v>1134</v>
      </c>
      <c r="E1034" s="1" t="s">
        <v>4</v>
      </c>
      <c r="F1034" s="4">
        <v>15.8</v>
      </c>
      <c r="G1034" s="7">
        <v>4.6399999999999997</v>
      </c>
      <c r="H1034" s="3" t="str">
        <f t="shared" si="35"/>
        <v>2L3-1/2X3X3/8X3/4SLBB</v>
      </c>
      <c r="I1034" s="7">
        <v>3</v>
      </c>
      <c r="J1034" s="5" t="s">
        <v>5</v>
      </c>
      <c r="K1034" s="6" t="s">
        <v>5</v>
      </c>
      <c r="L1034" s="6" t="s">
        <v>5</v>
      </c>
      <c r="M1034" s="6" t="s">
        <v>5</v>
      </c>
      <c r="N1034" s="6" t="s">
        <v>5</v>
      </c>
      <c r="O1034" s="5" t="s">
        <v>5</v>
      </c>
      <c r="P1034" s="5" t="s">
        <v>5</v>
      </c>
      <c r="Q1034" s="7">
        <v>3.5</v>
      </c>
      <c r="R1034" s="6" t="s">
        <v>5</v>
      </c>
      <c r="S1034" s="6" t="s">
        <v>5</v>
      </c>
      <c r="T1034" s="5" t="s">
        <v>5</v>
      </c>
      <c r="U1034" s="8" t="s">
        <v>5</v>
      </c>
      <c r="V1034" s="6" t="s">
        <v>5</v>
      </c>
      <c r="W1034" s="8" t="s">
        <v>5</v>
      </c>
      <c r="X1034" s="22">
        <v>0.375</v>
      </c>
      <c r="Y1034" s="6" t="s">
        <v>5</v>
      </c>
      <c r="Z1034" s="6" t="s">
        <v>5</v>
      </c>
      <c r="AA1034" s="6" t="s">
        <v>5</v>
      </c>
      <c r="AB1034" s="8" t="s">
        <v>5</v>
      </c>
      <c r="AC1034" s="8" t="s">
        <v>5</v>
      </c>
      <c r="AD1034" s="6" t="s">
        <v>5</v>
      </c>
      <c r="AE1034" s="22">
        <v>0.82299999999999995</v>
      </c>
      <c r="AF1034" s="6" t="s">
        <v>5</v>
      </c>
      <c r="AG1034" s="6" t="s">
        <v>5</v>
      </c>
      <c r="AH1034" s="22">
        <v>0.33100000000000002</v>
      </c>
      <c r="AI1034" s="6" t="s">
        <v>5</v>
      </c>
      <c r="AJ1034" s="7">
        <v>9.33</v>
      </c>
      <c r="AK1034" s="6" t="s">
        <v>5</v>
      </c>
      <c r="AL1034" s="6" t="s">
        <v>5</v>
      </c>
      <c r="AM1034" s="6" t="s">
        <v>5</v>
      </c>
      <c r="AN1034" s="6" t="s">
        <v>5</v>
      </c>
      <c r="AO1034" s="7">
        <v>3.69</v>
      </c>
      <c r="AP1034" s="7">
        <v>3.04</v>
      </c>
      <c r="AQ1034" s="7">
        <v>1.69</v>
      </c>
      <c r="AR1034" s="22">
        <v>0.89200000000000002</v>
      </c>
      <c r="AS1034" s="6">
        <v>15.2</v>
      </c>
      <c r="AT1034" s="7">
        <v>6.7</v>
      </c>
      <c r="AU1034" s="6">
        <v>3.92</v>
      </c>
      <c r="AV1034" s="7">
        <v>1.81</v>
      </c>
      <c r="AW1034" s="6" t="s">
        <v>5</v>
      </c>
      <c r="AX1034" s="6" t="s">
        <v>5</v>
      </c>
      <c r="AY1034" s="6" t="s">
        <v>5</v>
      </c>
      <c r="AZ1034" s="6" t="s">
        <v>5</v>
      </c>
      <c r="BA1034" s="6" t="s">
        <v>5</v>
      </c>
      <c r="BB1034" s="6" t="s">
        <v>5</v>
      </c>
      <c r="BC1034" s="6" t="s">
        <v>5</v>
      </c>
      <c r="BD1034" s="6" t="s">
        <v>5</v>
      </c>
      <c r="BE1034" s="6" t="s">
        <v>5</v>
      </c>
      <c r="BF1034" s="6" t="s">
        <v>5</v>
      </c>
      <c r="BG1034" s="6" t="s">
        <v>5</v>
      </c>
      <c r="BH1034" s="6" t="s">
        <v>5</v>
      </c>
      <c r="BI1034" s="7">
        <v>2.11</v>
      </c>
      <c r="BJ1034" s="22">
        <v>0.91</v>
      </c>
      <c r="BK1034" s="6" t="s">
        <v>5</v>
      </c>
      <c r="BL1034" s="2" t="s">
        <v>5</v>
      </c>
      <c r="BM1034" s="2" t="s">
        <v>5</v>
      </c>
      <c r="BN1034" s="2" t="s">
        <v>5</v>
      </c>
      <c r="BO1034" s="2" t="s">
        <v>5</v>
      </c>
      <c r="BP1034" s="2" t="s">
        <v>5</v>
      </c>
      <c r="BQ1034" s="2" t="s">
        <v>5</v>
      </c>
      <c r="BR1034" s="2" t="s">
        <v>5</v>
      </c>
      <c r="BS1034" s="2" t="s">
        <v>5</v>
      </c>
      <c r="BT1034" s="2" t="s">
        <v>5</v>
      </c>
      <c r="BU1034" s="2" t="s">
        <v>5</v>
      </c>
      <c r="BV1034" s="2" t="s">
        <v>5</v>
      </c>
      <c r="BW1034" s="2" t="s">
        <v>5</v>
      </c>
      <c r="BX1034" s="2" t="s">
        <v>5</v>
      </c>
      <c r="BY1034" s="25" t="s">
        <v>5</v>
      </c>
      <c r="BZ1034" s="25" t="s">
        <v>5</v>
      </c>
      <c r="CA1034" s="6" t="s">
        <v>5</v>
      </c>
      <c r="CB1034" s="6" t="s">
        <v>5</v>
      </c>
      <c r="CC1034" s="6" t="s">
        <v>5</v>
      </c>
      <c r="CD1034" s="6" t="s">
        <v>5</v>
      </c>
      <c r="CE1034" s="6" t="s">
        <v>5</v>
      </c>
      <c r="CF1034" s="16" t="s">
        <v>5</v>
      </c>
      <c r="CG1034" s="16" t="s">
        <v>5</v>
      </c>
      <c r="CH1034" s="18" t="s">
        <v>5</v>
      </c>
    </row>
    <row r="1035" spans="2:86">
      <c r="B1035" s="78" t="s">
        <v>473</v>
      </c>
      <c r="C1035" s="79" t="s">
        <v>1135</v>
      </c>
      <c r="D1035" s="80" t="s">
        <v>1135</v>
      </c>
      <c r="E1035" s="1" t="s">
        <v>4</v>
      </c>
      <c r="F1035" s="4">
        <v>13.2</v>
      </c>
      <c r="G1035" s="7">
        <v>3.9</v>
      </c>
      <c r="H1035" s="3" t="str">
        <f t="shared" si="35"/>
        <v>2L3-1/2X3X5/16SLBB</v>
      </c>
      <c r="I1035" s="7">
        <v>3</v>
      </c>
      <c r="J1035" s="5" t="s">
        <v>5</v>
      </c>
      <c r="K1035" s="6" t="s">
        <v>5</v>
      </c>
      <c r="L1035" s="6" t="s">
        <v>5</v>
      </c>
      <c r="M1035" s="6" t="s">
        <v>5</v>
      </c>
      <c r="N1035" s="6" t="s">
        <v>5</v>
      </c>
      <c r="O1035" s="5" t="s">
        <v>5</v>
      </c>
      <c r="P1035" s="5" t="s">
        <v>5</v>
      </c>
      <c r="Q1035" s="7">
        <v>3.5</v>
      </c>
      <c r="R1035" s="6" t="s">
        <v>5</v>
      </c>
      <c r="S1035" s="6" t="s">
        <v>5</v>
      </c>
      <c r="T1035" s="5" t="s">
        <v>5</v>
      </c>
      <c r="U1035" s="8" t="s">
        <v>5</v>
      </c>
      <c r="V1035" s="6" t="s">
        <v>5</v>
      </c>
      <c r="W1035" s="8" t="s">
        <v>5</v>
      </c>
      <c r="X1035" s="22">
        <v>0.313</v>
      </c>
      <c r="Y1035" s="6" t="s">
        <v>5</v>
      </c>
      <c r="Z1035" s="6" t="s">
        <v>5</v>
      </c>
      <c r="AA1035" s="6" t="s">
        <v>5</v>
      </c>
      <c r="AB1035" s="8" t="s">
        <v>5</v>
      </c>
      <c r="AC1035" s="8" t="s">
        <v>5</v>
      </c>
      <c r="AD1035" s="6" t="s">
        <v>5</v>
      </c>
      <c r="AE1035" s="22">
        <v>0.79800000000000004</v>
      </c>
      <c r="AF1035" s="6" t="s">
        <v>5</v>
      </c>
      <c r="AG1035" s="6" t="s">
        <v>5</v>
      </c>
      <c r="AH1035" s="22">
        <v>0.27900000000000003</v>
      </c>
      <c r="AI1035" s="6" t="s">
        <v>5</v>
      </c>
      <c r="AJ1035" s="4">
        <v>11.2</v>
      </c>
      <c r="AK1035" s="6" t="s">
        <v>5</v>
      </c>
      <c r="AL1035" s="6" t="s">
        <v>5</v>
      </c>
      <c r="AM1035" s="6" t="s">
        <v>5</v>
      </c>
      <c r="AN1035" s="6" t="s">
        <v>5</v>
      </c>
      <c r="AO1035" s="7">
        <v>3.16</v>
      </c>
      <c r="AP1035" s="7">
        <v>2.56</v>
      </c>
      <c r="AQ1035" s="7">
        <v>1.44</v>
      </c>
      <c r="AR1035" s="22">
        <v>0.9</v>
      </c>
      <c r="AS1035" s="6">
        <v>8.89</v>
      </c>
      <c r="AT1035" s="7">
        <v>4.0999999999999996</v>
      </c>
      <c r="AU1035" s="6">
        <v>2.54</v>
      </c>
      <c r="AV1035" s="7">
        <v>1.51</v>
      </c>
      <c r="AW1035" s="6" t="s">
        <v>5</v>
      </c>
      <c r="AX1035" s="6" t="s">
        <v>5</v>
      </c>
      <c r="AY1035" s="6" t="s">
        <v>5</v>
      </c>
      <c r="AZ1035" s="6" t="s">
        <v>5</v>
      </c>
      <c r="BA1035" s="6" t="s">
        <v>5</v>
      </c>
      <c r="BB1035" s="6" t="s">
        <v>5</v>
      </c>
      <c r="BC1035" s="6" t="s">
        <v>5</v>
      </c>
      <c r="BD1035" s="6" t="s">
        <v>5</v>
      </c>
      <c r="BE1035" s="6" t="s">
        <v>5</v>
      </c>
      <c r="BF1035" s="6" t="s">
        <v>5</v>
      </c>
      <c r="BG1035" s="6" t="s">
        <v>5</v>
      </c>
      <c r="BH1035" s="6" t="s">
        <v>5</v>
      </c>
      <c r="BI1035" s="7">
        <v>1.87</v>
      </c>
      <c r="BJ1035" s="22">
        <v>0.88300000000000001</v>
      </c>
      <c r="BK1035" s="6" t="s">
        <v>5</v>
      </c>
      <c r="BL1035" s="2" t="s">
        <v>5</v>
      </c>
      <c r="BM1035" s="2" t="s">
        <v>5</v>
      </c>
      <c r="BN1035" s="2" t="s">
        <v>5</v>
      </c>
      <c r="BO1035" s="2" t="s">
        <v>5</v>
      </c>
      <c r="BP1035" s="2" t="s">
        <v>5</v>
      </c>
      <c r="BQ1035" s="2" t="s">
        <v>5</v>
      </c>
      <c r="BR1035" s="2" t="s">
        <v>5</v>
      </c>
      <c r="BS1035" s="2" t="s">
        <v>5</v>
      </c>
      <c r="BT1035" s="2" t="s">
        <v>5</v>
      </c>
      <c r="BU1035" s="2" t="s">
        <v>5</v>
      </c>
      <c r="BV1035" s="2" t="s">
        <v>5</v>
      </c>
      <c r="BW1035" s="2" t="s">
        <v>5</v>
      </c>
      <c r="BX1035" s="2" t="s">
        <v>5</v>
      </c>
      <c r="BY1035" s="25" t="s">
        <v>5</v>
      </c>
      <c r="BZ1035" s="25" t="s">
        <v>5</v>
      </c>
      <c r="CA1035" s="6" t="s">
        <v>5</v>
      </c>
      <c r="CB1035" s="6" t="s">
        <v>5</v>
      </c>
      <c r="CC1035" s="6" t="s">
        <v>5</v>
      </c>
      <c r="CD1035" s="6" t="s">
        <v>5</v>
      </c>
      <c r="CE1035" s="6" t="s">
        <v>5</v>
      </c>
      <c r="CF1035" s="16" t="s">
        <v>5</v>
      </c>
      <c r="CG1035" s="16" t="s">
        <v>5</v>
      </c>
      <c r="CH1035" s="18" t="s">
        <v>5</v>
      </c>
    </row>
    <row r="1036" spans="2:86">
      <c r="B1036" s="78" t="s">
        <v>473</v>
      </c>
      <c r="C1036" s="79" t="s">
        <v>1136</v>
      </c>
      <c r="D1036" s="80" t="s">
        <v>1136</v>
      </c>
      <c r="E1036" s="1" t="s">
        <v>4</v>
      </c>
      <c r="F1036" s="4">
        <v>13.2</v>
      </c>
      <c r="G1036" s="7">
        <v>3.9</v>
      </c>
      <c r="H1036" s="3" t="str">
        <f t="shared" si="35"/>
        <v>2L3-1/2X3X5/16X3/8SLBB</v>
      </c>
      <c r="I1036" s="7">
        <v>3</v>
      </c>
      <c r="J1036" s="5" t="s">
        <v>5</v>
      </c>
      <c r="K1036" s="6" t="s">
        <v>5</v>
      </c>
      <c r="L1036" s="6" t="s">
        <v>5</v>
      </c>
      <c r="M1036" s="6" t="s">
        <v>5</v>
      </c>
      <c r="N1036" s="6" t="s">
        <v>5</v>
      </c>
      <c r="O1036" s="5" t="s">
        <v>5</v>
      </c>
      <c r="P1036" s="5" t="s">
        <v>5</v>
      </c>
      <c r="Q1036" s="7">
        <v>3.5</v>
      </c>
      <c r="R1036" s="6" t="s">
        <v>5</v>
      </c>
      <c r="S1036" s="6" t="s">
        <v>5</v>
      </c>
      <c r="T1036" s="5" t="s">
        <v>5</v>
      </c>
      <c r="U1036" s="8" t="s">
        <v>5</v>
      </c>
      <c r="V1036" s="6" t="s">
        <v>5</v>
      </c>
      <c r="W1036" s="8" t="s">
        <v>5</v>
      </c>
      <c r="X1036" s="22">
        <v>0.313</v>
      </c>
      <c r="Y1036" s="6" t="s">
        <v>5</v>
      </c>
      <c r="Z1036" s="6" t="s">
        <v>5</v>
      </c>
      <c r="AA1036" s="6" t="s">
        <v>5</v>
      </c>
      <c r="AB1036" s="8" t="s">
        <v>5</v>
      </c>
      <c r="AC1036" s="8" t="s">
        <v>5</v>
      </c>
      <c r="AD1036" s="6" t="s">
        <v>5</v>
      </c>
      <c r="AE1036" s="22">
        <v>0.79800000000000004</v>
      </c>
      <c r="AF1036" s="6" t="s">
        <v>5</v>
      </c>
      <c r="AG1036" s="6" t="s">
        <v>5</v>
      </c>
      <c r="AH1036" s="22">
        <v>0.27900000000000003</v>
      </c>
      <c r="AI1036" s="6" t="s">
        <v>5</v>
      </c>
      <c r="AJ1036" s="4">
        <v>11.2</v>
      </c>
      <c r="AK1036" s="6" t="s">
        <v>5</v>
      </c>
      <c r="AL1036" s="6" t="s">
        <v>5</v>
      </c>
      <c r="AM1036" s="6" t="s">
        <v>5</v>
      </c>
      <c r="AN1036" s="6" t="s">
        <v>5</v>
      </c>
      <c r="AO1036" s="7">
        <v>3.16</v>
      </c>
      <c r="AP1036" s="7">
        <v>2.56</v>
      </c>
      <c r="AQ1036" s="7">
        <v>1.44</v>
      </c>
      <c r="AR1036" s="22">
        <v>0.9</v>
      </c>
      <c r="AS1036" s="6">
        <v>10.6</v>
      </c>
      <c r="AT1036" s="6">
        <v>4.83</v>
      </c>
      <c r="AU1036" s="6">
        <v>2.87</v>
      </c>
      <c r="AV1036" s="7">
        <v>1.65</v>
      </c>
      <c r="AW1036" s="6" t="s">
        <v>5</v>
      </c>
      <c r="AX1036" s="6" t="s">
        <v>5</v>
      </c>
      <c r="AY1036" s="6" t="s">
        <v>5</v>
      </c>
      <c r="AZ1036" s="6" t="s">
        <v>5</v>
      </c>
      <c r="BA1036" s="6" t="s">
        <v>5</v>
      </c>
      <c r="BB1036" s="6" t="s">
        <v>5</v>
      </c>
      <c r="BC1036" s="6" t="s">
        <v>5</v>
      </c>
      <c r="BD1036" s="6" t="s">
        <v>5</v>
      </c>
      <c r="BE1036" s="6" t="s">
        <v>5</v>
      </c>
      <c r="BF1036" s="6" t="s">
        <v>5</v>
      </c>
      <c r="BG1036" s="6" t="s">
        <v>5</v>
      </c>
      <c r="BH1036" s="6" t="s">
        <v>5</v>
      </c>
      <c r="BI1036" s="7">
        <v>1.98</v>
      </c>
      <c r="BJ1036" s="22">
        <v>0.89500000000000002</v>
      </c>
      <c r="BK1036" s="6" t="s">
        <v>5</v>
      </c>
      <c r="BL1036" s="2" t="s">
        <v>5</v>
      </c>
      <c r="BM1036" s="2" t="s">
        <v>5</v>
      </c>
      <c r="BN1036" s="2" t="s">
        <v>5</v>
      </c>
      <c r="BO1036" s="2" t="s">
        <v>5</v>
      </c>
      <c r="BP1036" s="2" t="s">
        <v>5</v>
      </c>
      <c r="BQ1036" s="2" t="s">
        <v>5</v>
      </c>
      <c r="BR1036" s="2" t="s">
        <v>5</v>
      </c>
      <c r="BS1036" s="2" t="s">
        <v>5</v>
      </c>
      <c r="BT1036" s="2" t="s">
        <v>5</v>
      </c>
      <c r="BU1036" s="2" t="s">
        <v>5</v>
      </c>
      <c r="BV1036" s="2" t="s">
        <v>5</v>
      </c>
      <c r="BW1036" s="2" t="s">
        <v>5</v>
      </c>
      <c r="BX1036" s="2" t="s">
        <v>5</v>
      </c>
      <c r="BY1036" s="25" t="s">
        <v>5</v>
      </c>
      <c r="BZ1036" s="25" t="s">
        <v>5</v>
      </c>
      <c r="CA1036" s="6" t="s">
        <v>5</v>
      </c>
      <c r="CB1036" s="6" t="s">
        <v>5</v>
      </c>
      <c r="CC1036" s="6" t="s">
        <v>5</v>
      </c>
      <c r="CD1036" s="6" t="s">
        <v>5</v>
      </c>
      <c r="CE1036" s="6" t="s">
        <v>5</v>
      </c>
      <c r="CF1036" s="16" t="s">
        <v>5</v>
      </c>
      <c r="CG1036" s="16" t="s">
        <v>5</v>
      </c>
      <c r="CH1036" s="18" t="s">
        <v>5</v>
      </c>
    </row>
    <row r="1037" spans="2:86">
      <c r="B1037" s="78" t="s">
        <v>473</v>
      </c>
      <c r="C1037" s="79" t="s">
        <v>1137</v>
      </c>
      <c r="D1037" s="80" t="s">
        <v>1137</v>
      </c>
      <c r="E1037" s="1" t="s">
        <v>4</v>
      </c>
      <c r="F1037" s="4">
        <v>13.2</v>
      </c>
      <c r="G1037" s="7">
        <v>3.9</v>
      </c>
      <c r="H1037" s="3" t="str">
        <f t="shared" si="35"/>
        <v>2L3-1/2X3X5/16X3/4SLBB</v>
      </c>
      <c r="I1037" s="7">
        <v>3</v>
      </c>
      <c r="J1037" s="5" t="s">
        <v>5</v>
      </c>
      <c r="K1037" s="6" t="s">
        <v>5</v>
      </c>
      <c r="L1037" s="6" t="s">
        <v>5</v>
      </c>
      <c r="M1037" s="6" t="s">
        <v>5</v>
      </c>
      <c r="N1037" s="6" t="s">
        <v>5</v>
      </c>
      <c r="O1037" s="5" t="s">
        <v>5</v>
      </c>
      <c r="P1037" s="5" t="s">
        <v>5</v>
      </c>
      <c r="Q1037" s="7">
        <v>3.5</v>
      </c>
      <c r="R1037" s="6" t="s">
        <v>5</v>
      </c>
      <c r="S1037" s="6" t="s">
        <v>5</v>
      </c>
      <c r="T1037" s="5" t="s">
        <v>5</v>
      </c>
      <c r="U1037" s="8" t="s">
        <v>5</v>
      </c>
      <c r="V1037" s="6" t="s">
        <v>5</v>
      </c>
      <c r="W1037" s="8" t="s">
        <v>5</v>
      </c>
      <c r="X1037" s="22">
        <v>0.313</v>
      </c>
      <c r="Y1037" s="6" t="s">
        <v>5</v>
      </c>
      <c r="Z1037" s="6" t="s">
        <v>5</v>
      </c>
      <c r="AA1037" s="6" t="s">
        <v>5</v>
      </c>
      <c r="AB1037" s="8" t="s">
        <v>5</v>
      </c>
      <c r="AC1037" s="8" t="s">
        <v>5</v>
      </c>
      <c r="AD1037" s="6" t="s">
        <v>5</v>
      </c>
      <c r="AE1037" s="22">
        <v>0.79800000000000004</v>
      </c>
      <c r="AF1037" s="6" t="s">
        <v>5</v>
      </c>
      <c r="AG1037" s="6" t="s">
        <v>5</v>
      </c>
      <c r="AH1037" s="22">
        <v>0.27900000000000003</v>
      </c>
      <c r="AI1037" s="6" t="s">
        <v>5</v>
      </c>
      <c r="AJ1037" s="4">
        <v>11.2</v>
      </c>
      <c r="AK1037" s="6" t="s">
        <v>5</v>
      </c>
      <c r="AL1037" s="6" t="s">
        <v>5</v>
      </c>
      <c r="AM1037" s="6" t="s">
        <v>5</v>
      </c>
      <c r="AN1037" s="6" t="s">
        <v>5</v>
      </c>
      <c r="AO1037" s="7">
        <v>3.16</v>
      </c>
      <c r="AP1037" s="7">
        <v>2.56</v>
      </c>
      <c r="AQ1037" s="7">
        <v>1.44</v>
      </c>
      <c r="AR1037" s="22">
        <v>0.9</v>
      </c>
      <c r="AS1037" s="6">
        <v>12.5</v>
      </c>
      <c r="AT1037" s="6">
        <v>5.56</v>
      </c>
      <c r="AU1037" s="6">
        <v>3.23</v>
      </c>
      <c r="AV1037" s="7">
        <v>1.79</v>
      </c>
      <c r="AW1037" s="6" t="s">
        <v>5</v>
      </c>
      <c r="AX1037" s="6" t="s">
        <v>5</v>
      </c>
      <c r="AY1037" s="6" t="s">
        <v>5</v>
      </c>
      <c r="AZ1037" s="6" t="s">
        <v>5</v>
      </c>
      <c r="BA1037" s="6" t="s">
        <v>5</v>
      </c>
      <c r="BB1037" s="6" t="s">
        <v>5</v>
      </c>
      <c r="BC1037" s="6" t="s">
        <v>5</v>
      </c>
      <c r="BD1037" s="6" t="s">
        <v>5</v>
      </c>
      <c r="BE1037" s="6" t="s">
        <v>5</v>
      </c>
      <c r="BF1037" s="6" t="s">
        <v>5</v>
      </c>
      <c r="BG1037" s="6" t="s">
        <v>5</v>
      </c>
      <c r="BH1037" s="6" t="s">
        <v>5</v>
      </c>
      <c r="BI1037" s="7">
        <v>2.11</v>
      </c>
      <c r="BJ1037" s="22">
        <v>0.90700000000000003</v>
      </c>
      <c r="BK1037" s="6" t="s">
        <v>5</v>
      </c>
      <c r="BL1037" s="2" t="s">
        <v>5</v>
      </c>
      <c r="BM1037" s="2" t="s">
        <v>5</v>
      </c>
      <c r="BN1037" s="2" t="s">
        <v>5</v>
      </c>
      <c r="BO1037" s="2" t="s">
        <v>5</v>
      </c>
      <c r="BP1037" s="2" t="s">
        <v>5</v>
      </c>
      <c r="BQ1037" s="2" t="s">
        <v>5</v>
      </c>
      <c r="BR1037" s="2" t="s">
        <v>5</v>
      </c>
      <c r="BS1037" s="2" t="s">
        <v>5</v>
      </c>
      <c r="BT1037" s="2" t="s">
        <v>5</v>
      </c>
      <c r="BU1037" s="2" t="s">
        <v>5</v>
      </c>
      <c r="BV1037" s="2" t="s">
        <v>5</v>
      </c>
      <c r="BW1037" s="2" t="s">
        <v>5</v>
      </c>
      <c r="BX1037" s="2" t="s">
        <v>5</v>
      </c>
      <c r="BY1037" s="25" t="s">
        <v>5</v>
      </c>
      <c r="BZ1037" s="25" t="s">
        <v>5</v>
      </c>
      <c r="CA1037" s="6" t="s">
        <v>5</v>
      </c>
      <c r="CB1037" s="6" t="s">
        <v>5</v>
      </c>
      <c r="CC1037" s="6" t="s">
        <v>5</v>
      </c>
      <c r="CD1037" s="6" t="s">
        <v>5</v>
      </c>
      <c r="CE1037" s="6" t="s">
        <v>5</v>
      </c>
      <c r="CF1037" s="16" t="s">
        <v>5</v>
      </c>
      <c r="CG1037" s="16" t="s">
        <v>5</v>
      </c>
      <c r="CH1037" s="18" t="s">
        <v>5</v>
      </c>
    </row>
    <row r="1038" spans="2:86">
      <c r="B1038" s="78" t="s">
        <v>473</v>
      </c>
      <c r="C1038" s="79" t="s">
        <v>1138</v>
      </c>
      <c r="D1038" s="80" t="s">
        <v>1138</v>
      </c>
      <c r="E1038" s="1" t="s">
        <v>4</v>
      </c>
      <c r="F1038" s="4">
        <v>10.8</v>
      </c>
      <c r="G1038" s="7">
        <v>3.16</v>
      </c>
      <c r="H1038" s="3" t="str">
        <f t="shared" si="35"/>
        <v>2L3-1/2X3X1/4SLBB</v>
      </c>
      <c r="I1038" s="7">
        <v>3</v>
      </c>
      <c r="J1038" s="5" t="s">
        <v>5</v>
      </c>
      <c r="K1038" s="6" t="s">
        <v>5</v>
      </c>
      <c r="L1038" s="6" t="s">
        <v>5</v>
      </c>
      <c r="M1038" s="6" t="s">
        <v>5</v>
      </c>
      <c r="N1038" s="6" t="s">
        <v>5</v>
      </c>
      <c r="O1038" s="5" t="s">
        <v>5</v>
      </c>
      <c r="P1038" s="5" t="s">
        <v>5</v>
      </c>
      <c r="Q1038" s="7">
        <v>3.5</v>
      </c>
      <c r="R1038" s="6" t="s">
        <v>5</v>
      </c>
      <c r="S1038" s="6" t="s">
        <v>5</v>
      </c>
      <c r="T1038" s="5" t="s">
        <v>5</v>
      </c>
      <c r="U1038" s="8" t="s">
        <v>5</v>
      </c>
      <c r="V1038" s="6" t="s">
        <v>5</v>
      </c>
      <c r="W1038" s="8" t="s">
        <v>5</v>
      </c>
      <c r="X1038" s="22">
        <v>0.25</v>
      </c>
      <c r="Y1038" s="6" t="s">
        <v>5</v>
      </c>
      <c r="Z1038" s="6" t="s">
        <v>5</v>
      </c>
      <c r="AA1038" s="6" t="s">
        <v>5</v>
      </c>
      <c r="AB1038" s="8" t="s">
        <v>5</v>
      </c>
      <c r="AC1038" s="8" t="s">
        <v>5</v>
      </c>
      <c r="AD1038" s="6" t="s">
        <v>5</v>
      </c>
      <c r="AE1038" s="22">
        <v>0.77300000000000002</v>
      </c>
      <c r="AF1038" s="6" t="s">
        <v>5</v>
      </c>
      <c r="AG1038" s="6" t="s">
        <v>5</v>
      </c>
      <c r="AH1038" s="22">
        <v>0.22600000000000001</v>
      </c>
      <c r="AI1038" s="6" t="s">
        <v>5</v>
      </c>
      <c r="AJ1038" s="4">
        <v>14</v>
      </c>
      <c r="AK1038" s="6" t="s">
        <v>5</v>
      </c>
      <c r="AL1038" s="6" t="s">
        <v>5</v>
      </c>
      <c r="AM1038" s="6" t="s">
        <v>5</v>
      </c>
      <c r="AN1038" s="6" t="s">
        <v>5</v>
      </c>
      <c r="AO1038" s="7">
        <v>2.61</v>
      </c>
      <c r="AP1038" s="7">
        <v>2.08</v>
      </c>
      <c r="AQ1038" s="7">
        <v>1.17</v>
      </c>
      <c r="AR1038" s="22">
        <v>0.90800000000000003</v>
      </c>
      <c r="AS1038" s="6">
        <v>7.11</v>
      </c>
      <c r="AT1038" s="6">
        <v>3.22</v>
      </c>
      <c r="AU1038" s="6">
        <v>2.0299999999999998</v>
      </c>
      <c r="AV1038" s="7">
        <v>1.5</v>
      </c>
      <c r="AW1038" s="6" t="s">
        <v>5</v>
      </c>
      <c r="AX1038" s="6" t="s">
        <v>5</v>
      </c>
      <c r="AY1038" s="6" t="s">
        <v>5</v>
      </c>
      <c r="AZ1038" s="6" t="s">
        <v>5</v>
      </c>
      <c r="BA1038" s="6" t="s">
        <v>5</v>
      </c>
      <c r="BB1038" s="6" t="s">
        <v>5</v>
      </c>
      <c r="BC1038" s="6" t="s">
        <v>5</v>
      </c>
      <c r="BD1038" s="6" t="s">
        <v>5</v>
      </c>
      <c r="BE1038" s="6" t="s">
        <v>5</v>
      </c>
      <c r="BF1038" s="6" t="s">
        <v>5</v>
      </c>
      <c r="BG1038" s="6" t="s">
        <v>5</v>
      </c>
      <c r="BH1038" s="6" t="s">
        <v>5</v>
      </c>
      <c r="BI1038" s="7">
        <v>1.87</v>
      </c>
      <c r="BJ1038" s="22">
        <v>0.88</v>
      </c>
      <c r="BK1038" s="6" t="s">
        <v>5</v>
      </c>
      <c r="BL1038" s="2" t="s">
        <v>5</v>
      </c>
      <c r="BM1038" s="2" t="s">
        <v>5</v>
      </c>
      <c r="BN1038" s="2" t="s">
        <v>5</v>
      </c>
      <c r="BO1038" s="2" t="s">
        <v>5</v>
      </c>
      <c r="BP1038" s="2" t="s">
        <v>5</v>
      </c>
      <c r="BQ1038" s="2" t="s">
        <v>5</v>
      </c>
      <c r="BR1038" s="2" t="s">
        <v>5</v>
      </c>
      <c r="BS1038" s="2" t="s">
        <v>5</v>
      </c>
      <c r="BT1038" s="2" t="s">
        <v>5</v>
      </c>
      <c r="BU1038" s="2" t="s">
        <v>5</v>
      </c>
      <c r="BV1038" s="2" t="s">
        <v>5</v>
      </c>
      <c r="BW1038" s="2" t="s">
        <v>5</v>
      </c>
      <c r="BX1038" s="2" t="s">
        <v>5</v>
      </c>
      <c r="BY1038" s="25" t="s">
        <v>5</v>
      </c>
      <c r="BZ1038" s="25" t="s">
        <v>5</v>
      </c>
      <c r="CA1038" s="6" t="s">
        <v>5</v>
      </c>
      <c r="CB1038" s="6" t="s">
        <v>5</v>
      </c>
      <c r="CC1038" s="6" t="s">
        <v>5</v>
      </c>
      <c r="CD1038" s="6" t="s">
        <v>5</v>
      </c>
      <c r="CE1038" s="6" t="s">
        <v>5</v>
      </c>
      <c r="CF1038" s="16" t="s">
        <v>5</v>
      </c>
      <c r="CG1038" s="16" t="s">
        <v>5</v>
      </c>
      <c r="CH1038" s="18" t="s">
        <v>5</v>
      </c>
    </row>
    <row r="1039" spans="2:86">
      <c r="B1039" s="78" t="s">
        <v>473</v>
      </c>
      <c r="C1039" s="79" t="s">
        <v>1139</v>
      </c>
      <c r="D1039" s="80" t="s">
        <v>1139</v>
      </c>
      <c r="E1039" s="1" t="s">
        <v>4</v>
      </c>
      <c r="F1039" s="4">
        <v>10.8</v>
      </c>
      <c r="G1039" s="7">
        <v>3.16</v>
      </c>
      <c r="H1039" s="3" t="str">
        <f t="shared" si="35"/>
        <v>2L3-1/2X3X1/4X3/8SLBB</v>
      </c>
      <c r="I1039" s="7">
        <v>3</v>
      </c>
      <c r="J1039" s="5" t="s">
        <v>5</v>
      </c>
      <c r="K1039" s="6" t="s">
        <v>5</v>
      </c>
      <c r="L1039" s="6" t="s">
        <v>5</v>
      </c>
      <c r="M1039" s="6" t="s">
        <v>5</v>
      </c>
      <c r="N1039" s="6" t="s">
        <v>5</v>
      </c>
      <c r="O1039" s="5" t="s">
        <v>5</v>
      </c>
      <c r="P1039" s="5" t="s">
        <v>5</v>
      </c>
      <c r="Q1039" s="7">
        <v>3.5</v>
      </c>
      <c r="R1039" s="6" t="s">
        <v>5</v>
      </c>
      <c r="S1039" s="6" t="s">
        <v>5</v>
      </c>
      <c r="T1039" s="5" t="s">
        <v>5</v>
      </c>
      <c r="U1039" s="8" t="s">
        <v>5</v>
      </c>
      <c r="V1039" s="6" t="s">
        <v>5</v>
      </c>
      <c r="W1039" s="8" t="s">
        <v>5</v>
      </c>
      <c r="X1039" s="22">
        <v>0.25</v>
      </c>
      <c r="Y1039" s="6" t="s">
        <v>5</v>
      </c>
      <c r="Z1039" s="6" t="s">
        <v>5</v>
      </c>
      <c r="AA1039" s="6" t="s">
        <v>5</v>
      </c>
      <c r="AB1039" s="8" t="s">
        <v>5</v>
      </c>
      <c r="AC1039" s="8" t="s">
        <v>5</v>
      </c>
      <c r="AD1039" s="6" t="s">
        <v>5</v>
      </c>
      <c r="AE1039" s="22">
        <v>0.77300000000000002</v>
      </c>
      <c r="AF1039" s="6" t="s">
        <v>5</v>
      </c>
      <c r="AG1039" s="6" t="s">
        <v>5</v>
      </c>
      <c r="AH1039" s="22">
        <v>0.22600000000000001</v>
      </c>
      <c r="AI1039" s="6" t="s">
        <v>5</v>
      </c>
      <c r="AJ1039" s="4">
        <v>14</v>
      </c>
      <c r="AK1039" s="6" t="s">
        <v>5</v>
      </c>
      <c r="AL1039" s="6" t="s">
        <v>5</v>
      </c>
      <c r="AM1039" s="6" t="s">
        <v>5</v>
      </c>
      <c r="AN1039" s="6" t="s">
        <v>5</v>
      </c>
      <c r="AO1039" s="7">
        <v>2.61</v>
      </c>
      <c r="AP1039" s="7">
        <v>2.08</v>
      </c>
      <c r="AQ1039" s="7">
        <v>1.17</v>
      </c>
      <c r="AR1039" s="22">
        <v>0.90800000000000003</v>
      </c>
      <c r="AS1039" s="7">
        <v>8.4</v>
      </c>
      <c r="AT1039" s="6">
        <v>3.82</v>
      </c>
      <c r="AU1039" s="6">
        <v>2.2799999999999998</v>
      </c>
      <c r="AV1039" s="7">
        <v>1.63</v>
      </c>
      <c r="AW1039" s="6" t="s">
        <v>5</v>
      </c>
      <c r="AX1039" s="6" t="s">
        <v>5</v>
      </c>
      <c r="AY1039" s="6" t="s">
        <v>5</v>
      </c>
      <c r="AZ1039" s="6" t="s">
        <v>5</v>
      </c>
      <c r="BA1039" s="6" t="s">
        <v>5</v>
      </c>
      <c r="BB1039" s="6" t="s">
        <v>5</v>
      </c>
      <c r="BC1039" s="6" t="s">
        <v>5</v>
      </c>
      <c r="BD1039" s="6" t="s">
        <v>5</v>
      </c>
      <c r="BE1039" s="6" t="s">
        <v>5</v>
      </c>
      <c r="BF1039" s="6" t="s">
        <v>5</v>
      </c>
      <c r="BG1039" s="6" t="s">
        <v>5</v>
      </c>
      <c r="BH1039" s="6" t="s">
        <v>5</v>
      </c>
      <c r="BI1039" s="7">
        <v>1.98</v>
      </c>
      <c r="BJ1039" s="22">
        <v>0.89300000000000002</v>
      </c>
      <c r="BK1039" s="6" t="s">
        <v>5</v>
      </c>
      <c r="BL1039" s="2" t="s">
        <v>5</v>
      </c>
      <c r="BM1039" s="2" t="s">
        <v>5</v>
      </c>
      <c r="BN1039" s="2" t="s">
        <v>5</v>
      </c>
      <c r="BO1039" s="2" t="s">
        <v>5</v>
      </c>
      <c r="BP1039" s="2" t="s">
        <v>5</v>
      </c>
      <c r="BQ1039" s="2" t="s">
        <v>5</v>
      </c>
      <c r="BR1039" s="2" t="s">
        <v>5</v>
      </c>
      <c r="BS1039" s="2" t="s">
        <v>5</v>
      </c>
      <c r="BT1039" s="2" t="s">
        <v>5</v>
      </c>
      <c r="BU1039" s="2" t="s">
        <v>5</v>
      </c>
      <c r="BV1039" s="2" t="s">
        <v>5</v>
      </c>
      <c r="BW1039" s="2" t="s">
        <v>5</v>
      </c>
      <c r="BX1039" s="2" t="s">
        <v>5</v>
      </c>
      <c r="BY1039" s="25" t="s">
        <v>5</v>
      </c>
      <c r="BZ1039" s="25" t="s">
        <v>5</v>
      </c>
      <c r="CA1039" s="6" t="s">
        <v>5</v>
      </c>
      <c r="CB1039" s="6" t="s">
        <v>5</v>
      </c>
      <c r="CC1039" s="6" t="s">
        <v>5</v>
      </c>
      <c r="CD1039" s="6" t="s">
        <v>5</v>
      </c>
      <c r="CE1039" s="6" t="s">
        <v>5</v>
      </c>
      <c r="CF1039" s="16" t="s">
        <v>5</v>
      </c>
      <c r="CG1039" s="16" t="s">
        <v>5</v>
      </c>
      <c r="CH1039" s="18" t="s">
        <v>5</v>
      </c>
    </row>
    <row r="1040" spans="2:86">
      <c r="B1040" s="78" t="s">
        <v>473</v>
      </c>
      <c r="C1040" s="79" t="s">
        <v>1140</v>
      </c>
      <c r="D1040" s="80" t="s">
        <v>1140</v>
      </c>
      <c r="E1040" s="1" t="s">
        <v>4</v>
      </c>
      <c r="F1040" s="4">
        <v>10.8</v>
      </c>
      <c r="G1040" s="7">
        <v>3.16</v>
      </c>
      <c r="H1040" s="3" t="str">
        <f t="shared" si="35"/>
        <v>2L3-1/2X3X1/4X3/4SLBB</v>
      </c>
      <c r="I1040" s="7">
        <v>3</v>
      </c>
      <c r="J1040" s="5" t="s">
        <v>5</v>
      </c>
      <c r="K1040" s="6" t="s">
        <v>5</v>
      </c>
      <c r="L1040" s="6" t="s">
        <v>5</v>
      </c>
      <c r="M1040" s="6" t="s">
        <v>5</v>
      </c>
      <c r="N1040" s="6" t="s">
        <v>5</v>
      </c>
      <c r="O1040" s="5" t="s">
        <v>5</v>
      </c>
      <c r="P1040" s="5" t="s">
        <v>5</v>
      </c>
      <c r="Q1040" s="7">
        <v>3.5</v>
      </c>
      <c r="R1040" s="6" t="s">
        <v>5</v>
      </c>
      <c r="S1040" s="6" t="s">
        <v>5</v>
      </c>
      <c r="T1040" s="5" t="s">
        <v>5</v>
      </c>
      <c r="U1040" s="8" t="s">
        <v>5</v>
      </c>
      <c r="V1040" s="6" t="s">
        <v>5</v>
      </c>
      <c r="W1040" s="8" t="s">
        <v>5</v>
      </c>
      <c r="X1040" s="22">
        <v>0.25</v>
      </c>
      <c r="Y1040" s="6" t="s">
        <v>5</v>
      </c>
      <c r="Z1040" s="6" t="s">
        <v>5</v>
      </c>
      <c r="AA1040" s="6" t="s">
        <v>5</v>
      </c>
      <c r="AB1040" s="8" t="s">
        <v>5</v>
      </c>
      <c r="AC1040" s="8" t="s">
        <v>5</v>
      </c>
      <c r="AD1040" s="6" t="s">
        <v>5</v>
      </c>
      <c r="AE1040" s="22">
        <v>0.77300000000000002</v>
      </c>
      <c r="AF1040" s="6" t="s">
        <v>5</v>
      </c>
      <c r="AG1040" s="6" t="s">
        <v>5</v>
      </c>
      <c r="AH1040" s="22">
        <v>0.22600000000000001</v>
      </c>
      <c r="AI1040" s="6" t="s">
        <v>5</v>
      </c>
      <c r="AJ1040" s="4">
        <v>14</v>
      </c>
      <c r="AK1040" s="6" t="s">
        <v>5</v>
      </c>
      <c r="AL1040" s="6" t="s">
        <v>5</v>
      </c>
      <c r="AM1040" s="6" t="s">
        <v>5</v>
      </c>
      <c r="AN1040" s="6" t="s">
        <v>5</v>
      </c>
      <c r="AO1040" s="7">
        <v>2.61</v>
      </c>
      <c r="AP1040" s="7">
        <v>2.08</v>
      </c>
      <c r="AQ1040" s="7">
        <v>1.17</v>
      </c>
      <c r="AR1040" s="22">
        <v>0.90800000000000003</v>
      </c>
      <c r="AS1040" s="4">
        <v>10</v>
      </c>
      <c r="AT1040" s="6">
        <v>4.41</v>
      </c>
      <c r="AU1040" s="6">
        <v>2.58</v>
      </c>
      <c r="AV1040" s="7">
        <v>1.78</v>
      </c>
      <c r="AW1040" s="6" t="s">
        <v>5</v>
      </c>
      <c r="AX1040" s="6" t="s">
        <v>5</v>
      </c>
      <c r="AY1040" s="6" t="s">
        <v>5</v>
      </c>
      <c r="AZ1040" s="6" t="s">
        <v>5</v>
      </c>
      <c r="BA1040" s="6" t="s">
        <v>5</v>
      </c>
      <c r="BB1040" s="6" t="s">
        <v>5</v>
      </c>
      <c r="BC1040" s="6" t="s">
        <v>5</v>
      </c>
      <c r="BD1040" s="6" t="s">
        <v>5</v>
      </c>
      <c r="BE1040" s="6" t="s">
        <v>5</v>
      </c>
      <c r="BF1040" s="6" t="s">
        <v>5</v>
      </c>
      <c r="BG1040" s="6" t="s">
        <v>5</v>
      </c>
      <c r="BH1040" s="6" t="s">
        <v>5</v>
      </c>
      <c r="BI1040" s="7">
        <v>2.1</v>
      </c>
      <c r="BJ1040" s="22">
        <v>0.90500000000000003</v>
      </c>
      <c r="BK1040" s="6" t="s">
        <v>5</v>
      </c>
      <c r="BL1040" s="2" t="s">
        <v>5</v>
      </c>
      <c r="BM1040" s="2" t="s">
        <v>5</v>
      </c>
      <c r="BN1040" s="2" t="s">
        <v>5</v>
      </c>
      <c r="BO1040" s="2" t="s">
        <v>5</v>
      </c>
      <c r="BP1040" s="2" t="s">
        <v>5</v>
      </c>
      <c r="BQ1040" s="2" t="s">
        <v>5</v>
      </c>
      <c r="BR1040" s="2" t="s">
        <v>5</v>
      </c>
      <c r="BS1040" s="2" t="s">
        <v>5</v>
      </c>
      <c r="BT1040" s="2" t="s">
        <v>5</v>
      </c>
      <c r="BU1040" s="2" t="s">
        <v>5</v>
      </c>
      <c r="BV1040" s="2" t="s">
        <v>5</v>
      </c>
      <c r="BW1040" s="2" t="s">
        <v>5</v>
      </c>
      <c r="BX1040" s="2" t="s">
        <v>5</v>
      </c>
      <c r="BY1040" s="25" t="s">
        <v>5</v>
      </c>
      <c r="BZ1040" s="25" t="s">
        <v>5</v>
      </c>
      <c r="CA1040" s="6" t="s">
        <v>5</v>
      </c>
      <c r="CB1040" s="6" t="s">
        <v>5</v>
      </c>
      <c r="CC1040" s="6" t="s">
        <v>5</v>
      </c>
      <c r="CD1040" s="6" t="s">
        <v>5</v>
      </c>
      <c r="CE1040" s="6" t="s">
        <v>5</v>
      </c>
      <c r="CF1040" s="16" t="s">
        <v>5</v>
      </c>
      <c r="CG1040" s="16" t="s">
        <v>5</v>
      </c>
      <c r="CH1040" s="18" t="s">
        <v>5</v>
      </c>
    </row>
    <row r="1041" spans="2:86">
      <c r="B1041" s="78" t="s">
        <v>473</v>
      </c>
      <c r="C1041" s="79" t="s">
        <v>1141</v>
      </c>
      <c r="D1041" s="80" t="s">
        <v>1141</v>
      </c>
      <c r="E1041" s="1" t="s">
        <v>4</v>
      </c>
      <c r="F1041" s="4">
        <v>18.8</v>
      </c>
      <c r="G1041" s="7">
        <v>5.54</v>
      </c>
      <c r="H1041" s="3" t="str">
        <f t="shared" si="35"/>
        <v>2L3-1/2X2-1/2X1/2SLBB</v>
      </c>
      <c r="I1041" s="7">
        <v>2.5</v>
      </c>
      <c r="J1041" s="5" t="s">
        <v>5</v>
      </c>
      <c r="K1041" s="6" t="s">
        <v>5</v>
      </c>
      <c r="L1041" s="6" t="s">
        <v>5</v>
      </c>
      <c r="M1041" s="6" t="s">
        <v>5</v>
      </c>
      <c r="N1041" s="6" t="s">
        <v>5</v>
      </c>
      <c r="O1041" s="5" t="s">
        <v>5</v>
      </c>
      <c r="P1041" s="5" t="s">
        <v>5</v>
      </c>
      <c r="Q1041" s="7">
        <v>3.5</v>
      </c>
      <c r="R1041" s="6" t="s">
        <v>5</v>
      </c>
      <c r="S1041" s="6" t="s">
        <v>5</v>
      </c>
      <c r="T1041" s="5" t="s">
        <v>5</v>
      </c>
      <c r="U1041" s="8" t="s">
        <v>5</v>
      </c>
      <c r="V1041" s="6" t="s">
        <v>5</v>
      </c>
      <c r="W1041" s="8" t="s">
        <v>5</v>
      </c>
      <c r="X1041" s="22">
        <v>0.5</v>
      </c>
      <c r="Y1041" s="6" t="s">
        <v>5</v>
      </c>
      <c r="Z1041" s="6" t="s">
        <v>5</v>
      </c>
      <c r="AA1041" s="6" t="s">
        <v>5</v>
      </c>
      <c r="AB1041" s="8" t="s">
        <v>5</v>
      </c>
      <c r="AC1041" s="8" t="s">
        <v>5</v>
      </c>
      <c r="AD1041" s="6" t="s">
        <v>5</v>
      </c>
      <c r="AE1041" s="22">
        <v>0.70099999999999996</v>
      </c>
      <c r="AF1041" s="6" t="s">
        <v>5</v>
      </c>
      <c r="AG1041" s="6" t="s">
        <v>5</v>
      </c>
      <c r="AH1041" s="22">
        <v>0.39600000000000002</v>
      </c>
      <c r="AI1041" s="6" t="s">
        <v>5</v>
      </c>
      <c r="AJ1041" s="7">
        <v>7</v>
      </c>
      <c r="AK1041" s="6" t="s">
        <v>5</v>
      </c>
      <c r="AL1041" s="6" t="s">
        <v>5</v>
      </c>
      <c r="AM1041" s="6" t="s">
        <v>5</v>
      </c>
      <c r="AN1041" s="6" t="s">
        <v>5</v>
      </c>
      <c r="AO1041" s="7">
        <v>2.72</v>
      </c>
      <c r="AP1041" s="7">
        <v>2.78</v>
      </c>
      <c r="AQ1041" s="7">
        <v>1.51</v>
      </c>
      <c r="AR1041" s="22">
        <v>0.70100000000000007</v>
      </c>
      <c r="AS1041" s="6">
        <v>14.5</v>
      </c>
      <c r="AT1041" s="6">
        <v>6.65</v>
      </c>
      <c r="AU1041" s="6">
        <v>4.1399999999999997</v>
      </c>
      <c r="AV1041" s="7">
        <v>1.62</v>
      </c>
      <c r="AW1041" s="6" t="s">
        <v>5</v>
      </c>
      <c r="AX1041" s="6" t="s">
        <v>5</v>
      </c>
      <c r="AY1041" s="6" t="s">
        <v>5</v>
      </c>
      <c r="AZ1041" s="6" t="s">
        <v>5</v>
      </c>
      <c r="BA1041" s="6" t="s">
        <v>5</v>
      </c>
      <c r="BB1041" s="6" t="s">
        <v>5</v>
      </c>
      <c r="BC1041" s="6" t="s">
        <v>5</v>
      </c>
      <c r="BD1041" s="6" t="s">
        <v>5</v>
      </c>
      <c r="BE1041" s="6" t="s">
        <v>5</v>
      </c>
      <c r="BF1041" s="6" t="s">
        <v>5</v>
      </c>
      <c r="BG1041" s="6" t="s">
        <v>5</v>
      </c>
      <c r="BH1041" s="6" t="s">
        <v>5</v>
      </c>
      <c r="BI1041" s="7">
        <v>1.82</v>
      </c>
      <c r="BJ1041" s="22">
        <v>0.93799999999999994</v>
      </c>
      <c r="BK1041" s="6" t="s">
        <v>5</v>
      </c>
      <c r="BL1041" s="2" t="s">
        <v>5</v>
      </c>
      <c r="BM1041" s="2" t="s">
        <v>5</v>
      </c>
      <c r="BN1041" s="2" t="s">
        <v>5</v>
      </c>
      <c r="BO1041" s="2" t="s">
        <v>5</v>
      </c>
      <c r="BP1041" s="2" t="s">
        <v>5</v>
      </c>
      <c r="BQ1041" s="2" t="s">
        <v>5</v>
      </c>
      <c r="BR1041" s="2" t="s">
        <v>5</v>
      </c>
      <c r="BS1041" s="2" t="s">
        <v>5</v>
      </c>
      <c r="BT1041" s="2" t="s">
        <v>5</v>
      </c>
      <c r="BU1041" s="2" t="s">
        <v>5</v>
      </c>
      <c r="BV1041" s="2" t="s">
        <v>5</v>
      </c>
      <c r="BW1041" s="2" t="s">
        <v>5</v>
      </c>
      <c r="BX1041" s="2" t="s">
        <v>5</v>
      </c>
      <c r="BY1041" s="25" t="s">
        <v>5</v>
      </c>
      <c r="BZ1041" s="25" t="s">
        <v>5</v>
      </c>
      <c r="CA1041" s="6" t="s">
        <v>5</v>
      </c>
      <c r="CB1041" s="6" t="s">
        <v>5</v>
      </c>
      <c r="CC1041" s="6" t="s">
        <v>5</v>
      </c>
      <c r="CD1041" s="6" t="s">
        <v>5</v>
      </c>
      <c r="CE1041" s="6" t="s">
        <v>5</v>
      </c>
      <c r="CF1041" s="16" t="s">
        <v>5</v>
      </c>
      <c r="CG1041" s="16" t="s">
        <v>5</v>
      </c>
      <c r="CH1041" s="18" t="s">
        <v>5</v>
      </c>
    </row>
    <row r="1042" spans="2:86">
      <c r="B1042" s="78" t="s">
        <v>473</v>
      </c>
      <c r="C1042" s="79" t="s">
        <v>1142</v>
      </c>
      <c r="D1042" s="80" t="s">
        <v>1142</v>
      </c>
      <c r="E1042" s="1" t="s">
        <v>4</v>
      </c>
      <c r="F1042" s="4">
        <v>18.8</v>
      </c>
      <c r="G1042" s="7">
        <v>5.54</v>
      </c>
      <c r="H1042" s="3" t="str">
        <f t="shared" si="35"/>
        <v>2L3-1/2X2-1/2X1/2X3/8SLBB</v>
      </c>
      <c r="I1042" s="7">
        <v>2.5</v>
      </c>
      <c r="J1042" s="5" t="s">
        <v>5</v>
      </c>
      <c r="K1042" s="6" t="s">
        <v>5</v>
      </c>
      <c r="L1042" s="6" t="s">
        <v>5</v>
      </c>
      <c r="M1042" s="6" t="s">
        <v>5</v>
      </c>
      <c r="N1042" s="6" t="s">
        <v>5</v>
      </c>
      <c r="O1042" s="5" t="s">
        <v>5</v>
      </c>
      <c r="P1042" s="5" t="s">
        <v>5</v>
      </c>
      <c r="Q1042" s="7">
        <v>3.5</v>
      </c>
      <c r="R1042" s="6" t="s">
        <v>5</v>
      </c>
      <c r="S1042" s="6" t="s">
        <v>5</v>
      </c>
      <c r="T1042" s="5" t="s">
        <v>5</v>
      </c>
      <c r="U1042" s="8" t="s">
        <v>5</v>
      </c>
      <c r="V1042" s="6" t="s">
        <v>5</v>
      </c>
      <c r="W1042" s="8" t="s">
        <v>5</v>
      </c>
      <c r="X1042" s="22">
        <v>0.5</v>
      </c>
      <c r="Y1042" s="6" t="s">
        <v>5</v>
      </c>
      <c r="Z1042" s="6" t="s">
        <v>5</v>
      </c>
      <c r="AA1042" s="6" t="s">
        <v>5</v>
      </c>
      <c r="AB1042" s="8" t="s">
        <v>5</v>
      </c>
      <c r="AC1042" s="8" t="s">
        <v>5</v>
      </c>
      <c r="AD1042" s="6" t="s">
        <v>5</v>
      </c>
      <c r="AE1042" s="22">
        <v>0.70099999999999996</v>
      </c>
      <c r="AF1042" s="6" t="s">
        <v>5</v>
      </c>
      <c r="AG1042" s="6" t="s">
        <v>5</v>
      </c>
      <c r="AH1042" s="22">
        <v>0.39600000000000002</v>
      </c>
      <c r="AI1042" s="6" t="s">
        <v>5</v>
      </c>
      <c r="AJ1042" s="7">
        <v>7</v>
      </c>
      <c r="AK1042" s="6" t="s">
        <v>5</v>
      </c>
      <c r="AL1042" s="6" t="s">
        <v>5</v>
      </c>
      <c r="AM1042" s="6" t="s">
        <v>5</v>
      </c>
      <c r="AN1042" s="6" t="s">
        <v>5</v>
      </c>
      <c r="AO1042" s="7">
        <v>2.72</v>
      </c>
      <c r="AP1042" s="7">
        <v>2.78</v>
      </c>
      <c r="AQ1042" s="7">
        <v>1.51</v>
      </c>
      <c r="AR1042" s="22">
        <v>0.70100000000000007</v>
      </c>
      <c r="AS1042" s="6">
        <v>17.2</v>
      </c>
      <c r="AT1042" s="6">
        <v>7.69</v>
      </c>
      <c r="AU1042" s="6">
        <v>4.66</v>
      </c>
      <c r="AV1042" s="7">
        <v>1.76</v>
      </c>
      <c r="AW1042" s="6" t="s">
        <v>5</v>
      </c>
      <c r="AX1042" s="6" t="s">
        <v>5</v>
      </c>
      <c r="AY1042" s="6" t="s">
        <v>5</v>
      </c>
      <c r="AZ1042" s="6" t="s">
        <v>5</v>
      </c>
      <c r="BA1042" s="6" t="s">
        <v>5</v>
      </c>
      <c r="BB1042" s="6" t="s">
        <v>5</v>
      </c>
      <c r="BC1042" s="6" t="s">
        <v>5</v>
      </c>
      <c r="BD1042" s="6" t="s">
        <v>5</v>
      </c>
      <c r="BE1042" s="6" t="s">
        <v>5</v>
      </c>
      <c r="BF1042" s="6" t="s">
        <v>5</v>
      </c>
      <c r="BG1042" s="6" t="s">
        <v>5</v>
      </c>
      <c r="BH1042" s="6" t="s">
        <v>5</v>
      </c>
      <c r="BI1042" s="7">
        <v>1.95</v>
      </c>
      <c r="BJ1042" s="22">
        <v>0.94599999999999995</v>
      </c>
      <c r="BK1042" s="6" t="s">
        <v>5</v>
      </c>
      <c r="BL1042" s="2" t="s">
        <v>5</v>
      </c>
      <c r="BM1042" s="2" t="s">
        <v>5</v>
      </c>
      <c r="BN1042" s="2" t="s">
        <v>5</v>
      </c>
      <c r="BO1042" s="2" t="s">
        <v>5</v>
      </c>
      <c r="BP1042" s="2" t="s">
        <v>5</v>
      </c>
      <c r="BQ1042" s="2" t="s">
        <v>5</v>
      </c>
      <c r="BR1042" s="2" t="s">
        <v>5</v>
      </c>
      <c r="BS1042" s="2" t="s">
        <v>5</v>
      </c>
      <c r="BT1042" s="2" t="s">
        <v>5</v>
      </c>
      <c r="BU1042" s="2" t="s">
        <v>5</v>
      </c>
      <c r="BV1042" s="2" t="s">
        <v>5</v>
      </c>
      <c r="BW1042" s="2" t="s">
        <v>5</v>
      </c>
      <c r="BX1042" s="2" t="s">
        <v>5</v>
      </c>
      <c r="BY1042" s="25" t="s">
        <v>5</v>
      </c>
      <c r="BZ1042" s="25" t="s">
        <v>5</v>
      </c>
      <c r="CA1042" s="6" t="s">
        <v>5</v>
      </c>
      <c r="CB1042" s="6" t="s">
        <v>5</v>
      </c>
      <c r="CC1042" s="6" t="s">
        <v>5</v>
      </c>
      <c r="CD1042" s="6" t="s">
        <v>5</v>
      </c>
      <c r="CE1042" s="6" t="s">
        <v>5</v>
      </c>
      <c r="CF1042" s="16" t="s">
        <v>5</v>
      </c>
      <c r="CG1042" s="16" t="s">
        <v>5</v>
      </c>
      <c r="CH1042" s="18" t="s">
        <v>5</v>
      </c>
    </row>
    <row r="1043" spans="2:86">
      <c r="B1043" s="78" t="s">
        <v>473</v>
      </c>
      <c r="C1043" s="79" t="s">
        <v>1143</v>
      </c>
      <c r="D1043" s="80" t="s">
        <v>1143</v>
      </c>
      <c r="E1043" s="1" t="s">
        <v>4</v>
      </c>
      <c r="F1043" s="4">
        <v>18.8</v>
      </c>
      <c r="G1043" s="7">
        <v>5.54</v>
      </c>
      <c r="H1043" s="3" t="str">
        <f t="shared" si="35"/>
        <v>2L3-1/2X2-1/2X1/2X3/4SLBB</v>
      </c>
      <c r="I1043" s="7">
        <v>2.5</v>
      </c>
      <c r="J1043" s="5" t="s">
        <v>5</v>
      </c>
      <c r="K1043" s="6" t="s">
        <v>5</v>
      </c>
      <c r="L1043" s="6" t="s">
        <v>5</v>
      </c>
      <c r="M1043" s="6" t="s">
        <v>5</v>
      </c>
      <c r="N1043" s="6" t="s">
        <v>5</v>
      </c>
      <c r="O1043" s="5" t="s">
        <v>5</v>
      </c>
      <c r="P1043" s="5" t="s">
        <v>5</v>
      </c>
      <c r="Q1043" s="7">
        <v>3.5</v>
      </c>
      <c r="R1043" s="6" t="s">
        <v>5</v>
      </c>
      <c r="S1043" s="6" t="s">
        <v>5</v>
      </c>
      <c r="T1043" s="5" t="s">
        <v>5</v>
      </c>
      <c r="U1043" s="8" t="s">
        <v>5</v>
      </c>
      <c r="V1043" s="6" t="s">
        <v>5</v>
      </c>
      <c r="W1043" s="8" t="s">
        <v>5</v>
      </c>
      <c r="X1043" s="22">
        <v>0.5</v>
      </c>
      <c r="Y1043" s="6" t="s">
        <v>5</v>
      </c>
      <c r="Z1043" s="6" t="s">
        <v>5</v>
      </c>
      <c r="AA1043" s="6" t="s">
        <v>5</v>
      </c>
      <c r="AB1043" s="8" t="s">
        <v>5</v>
      </c>
      <c r="AC1043" s="8" t="s">
        <v>5</v>
      </c>
      <c r="AD1043" s="6" t="s">
        <v>5</v>
      </c>
      <c r="AE1043" s="22">
        <v>0.70099999999999996</v>
      </c>
      <c r="AF1043" s="6" t="s">
        <v>5</v>
      </c>
      <c r="AG1043" s="6" t="s">
        <v>5</v>
      </c>
      <c r="AH1043" s="22">
        <v>0.39600000000000002</v>
      </c>
      <c r="AI1043" s="6" t="s">
        <v>5</v>
      </c>
      <c r="AJ1043" s="7">
        <v>7</v>
      </c>
      <c r="AK1043" s="6" t="s">
        <v>5</v>
      </c>
      <c r="AL1043" s="6" t="s">
        <v>5</v>
      </c>
      <c r="AM1043" s="6" t="s">
        <v>5</v>
      </c>
      <c r="AN1043" s="6" t="s">
        <v>5</v>
      </c>
      <c r="AO1043" s="7">
        <v>2.72</v>
      </c>
      <c r="AP1043" s="7">
        <v>2.78</v>
      </c>
      <c r="AQ1043" s="7">
        <v>1.51</v>
      </c>
      <c r="AR1043" s="22">
        <v>0.70100000000000007</v>
      </c>
      <c r="AS1043" s="6">
        <v>20.2</v>
      </c>
      <c r="AT1043" s="6">
        <v>8.73</v>
      </c>
      <c r="AU1043" s="6">
        <v>5.21</v>
      </c>
      <c r="AV1043" s="7">
        <v>1.91</v>
      </c>
      <c r="AW1043" s="6" t="s">
        <v>5</v>
      </c>
      <c r="AX1043" s="6" t="s">
        <v>5</v>
      </c>
      <c r="AY1043" s="6" t="s">
        <v>5</v>
      </c>
      <c r="AZ1043" s="6" t="s">
        <v>5</v>
      </c>
      <c r="BA1043" s="6" t="s">
        <v>5</v>
      </c>
      <c r="BB1043" s="6" t="s">
        <v>5</v>
      </c>
      <c r="BC1043" s="6" t="s">
        <v>5</v>
      </c>
      <c r="BD1043" s="6" t="s">
        <v>5</v>
      </c>
      <c r="BE1043" s="6" t="s">
        <v>5</v>
      </c>
      <c r="BF1043" s="6" t="s">
        <v>5</v>
      </c>
      <c r="BG1043" s="6" t="s">
        <v>5</v>
      </c>
      <c r="BH1043" s="6" t="s">
        <v>5</v>
      </c>
      <c r="BI1043" s="7">
        <v>2.08</v>
      </c>
      <c r="BJ1043" s="22">
        <v>0.95299999999999996</v>
      </c>
      <c r="BK1043" s="6" t="s">
        <v>5</v>
      </c>
      <c r="BL1043" s="2" t="s">
        <v>5</v>
      </c>
      <c r="BM1043" s="2" t="s">
        <v>5</v>
      </c>
      <c r="BN1043" s="2" t="s">
        <v>5</v>
      </c>
      <c r="BO1043" s="2" t="s">
        <v>5</v>
      </c>
      <c r="BP1043" s="2" t="s">
        <v>5</v>
      </c>
      <c r="BQ1043" s="2" t="s">
        <v>5</v>
      </c>
      <c r="BR1043" s="2" t="s">
        <v>5</v>
      </c>
      <c r="BS1043" s="2" t="s">
        <v>5</v>
      </c>
      <c r="BT1043" s="2" t="s">
        <v>5</v>
      </c>
      <c r="BU1043" s="2" t="s">
        <v>5</v>
      </c>
      <c r="BV1043" s="2" t="s">
        <v>5</v>
      </c>
      <c r="BW1043" s="2" t="s">
        <v>5</v>
      </c>
      <c r="BX1043" s="2" t="s">
        <v>5</v>
      </c>
      <c r="BY1043" s="25" t="s">
        <v>5</v>
      </c>
      <c r="BZ1043" s="25" t="s">
        <v>5</v>
      </c>
      <c r="CA1043" s="6" t="s">
        <v>5</v>
      </c>
      <c r="CB1043" s="6" t="s">
        <v>5</v>
      </c>
      <c r="CC1043" s="6" t="s">
        <v>5</v>
      </c>
      <c r="CD1043" s="6" t="s">
        <v>5</v>
      </c>
      <c r="CE1043" s="6" t="s">
        <v>5</v>
      </c>
      <c r="CF1043" s="16" t="s">
        <v>5</v>
      </c>
      <c r="CG1043" s="16" t="s">
        <v>5</v>
      </c>
      <c r="CH1043" s="18" t="s">
        <v>5</v>
      </c>
    </row>
    <row r="1044" spans="2:86">
      <c r="B1044" s="78" t="s">
        <v>473</v>
      </c>
      <c r="C1044" s="79" t="s">
        <v>1144</v>
      </c>
      <c r="D1044" s="80" t="s">
        <v>1144</v>
      </c>
      <c r="E1044" s="1" t="s">
        <v>4</v>
      </c>
      <c r="F1044" s="4">
        <v>14.4</v>
      </c>
      <c r="G1044" s="7">
        <v>4.24</v>
      </c>
      <c r="H1044" s="3" t="str">
        <f t="shared" si="35"/>
        <v>2L3-1/2X2-1/2X3/8SLBB</v>
      </c>
      <c r="I1044" s="7">
        <v>2.5</v>
      </c>
      <c r="J1044" s="5" t="s">
        <v>5</v>
      </c>
      <c r="K1044" s="6" t="s">
        <v>5</v>
      </c>
      <c r="L1044" s="6" t="s">
        <v>5</v>
      </c>
      <c r="M1044" s="6" t="s">
        <v>5</v>
      </c>
      <c r="N1044" s="6" t="s">
        <v>5</v>
      </c>
      <c r="O1044" s="5" t="s">
        <v>5</v>
      </c>
      <c r="P1044" s="5" t="s">
        <v>5</v>
      </c>
      <c r="Q1044" s="7">
        <v>3.5</v>
      </c>
      <c r="R1044" s="6" t="s">
        <v>5</v>
      </c>
      <c r="S1044" s="6" t="s">
        <v>5</v>
      </c>
      <c r="T1044" s="5" t="s">
        <v>5</v>
      </c>
      <c r="U1044" s="8" t="s">
        <v>5</v>
      </c>
      <c r="V1044" s="6" t="s">
        <v>5</v>
      </c>
      <c r="W1044" s="8" t="s">
        <v>5</v>
      </c>
      <c r="X1044" s="22">
        <v>0.375</v>
      </c>
      <c r="Y1044" s="6" t="s">
        <v>5</v>
      </c>
      <c r="Z1044" s="6" t="s">
        <v>5</v>
      </c>
      <c r="AA1044" s="6" t="s">
        <v>5</v>
      </c>
      <c r="AB1044" s="8" t="s">
        <v>5</v>
      </c>
      <c r="AC1044" s="8" t="s">
        <v>5</v>
      </c>
      <c r="AD1044" s="6" t="s">
        <v>5</v>
      </c>
      <c r="AE1044" s="22">
        <v>0.65500000000000003</v>
      </c>
      <c r="AF1044" s="6" t="s">
        <v>5</v>
      </c>
      <c r="AG1044" s="6" t="s">
        <v>5</v>
      </c>
      <c r="AH1044" s="22">
        <v>0.30299999999999999</v>
      </c>
      <c r="AI1044" s="6" t="s">
        <v>5</v>
      </c>
      <c r="AJ1044" s="7">
        <v>9.33</v>
      </c>
      <c r="AK1044" s="6" t="s">
        <v>5</v>
      </c>
      <c r="AL1044" s="6" t="s">
        <v>5</v>
      </c>
      <c r="AM1044" s="6" t="s">
        <v>5</v>
      </c>
      <c r="AN1044" s="6" t="s">
        <v>5</v>
      </c>
      <c r="AO1044" s="7">
        <v>2.17</v>
      </c>
      <c r="AP1044" s="7">
        <v>2.13</v>
      </c>
      <c r="AQ1044" s="7">
        <v>1.18</v>
      </c>
      <c r="AR1044" s="22">
        <v>0.71599999999999997</v>
      </c>
      <c r="AS1044" s="6">
        <v>10.7</v>
      </c>
      <c r="AT1044" s="6">
        <v>4.88</v>
      </c>
      <c r="AU1044" s="6">
        <v>3.06</v>
      </c>
      <c r="AV1044" s="7">
        <v>1.59</v>
      </c>
      <c r="AW1044" s="6" t="s">
        <v>5</v>
      </c>
      <c r="AX1044" s="6" t="s">
        <v>5</v>
      </c>
      <c r="AY1044" s="6" t="s">
        <v>5</v>
      </c>
      <c r="AZ1044" s="6" t="s">
        <v>5</v>
      </c>
      <c r="BA1044" s="6" t="s">
        <v>5</v>
      </c>
      <c r="BB1044" s="6" t="s">
        <v>5</v>
      </c>
      <c r="BC1044" s="6" t="s">
        <v>5</v>
      </c>
      <c r="BD1044" s="6" t="s">
        <v>5</v>
      </c>
      <c r="BE1044" s="6" t="s">
        <v>5</v>
      </c>
      <c r="BF1044" s="6" t="s">
        <v>5</v>
      </c>
      <c r="BG1044" s="6" t="s">
        <v>5</v>
      </c>
      <c r="BH1044" s="6" t="s">
        <v>5</v>
      </c>
      <c r="BI1044" s="7">
        <v>1.81</v>
      </c>
      <c r="BJ1044" s="22">
        <v>0.93300000000000005</v>
      </c>
      <c r="BK1044" s="6" t="s">
        <v>5</v>
      </c>
      <c r="BL1044" s="2" t="s">
        <v>5</v>
      </c>
      <c r="BM1044" s="2" t="s">
        <v>5</v>
      </c>
      <c r="BN1044" s="2" t="s">
        <v>5</v>
      </c>
      <c r="BO1044" s="2" t="s">
        <v>5</v>
      </c>
      <c r="BP1044" s="2" t="s">
        <v>5</v>
      </c>
      <c r="BQ1044" s="2" t="s">
        <v>5</v>
      </c>
      <c r="BR1044" s="2" t="s">
        <v>5</v>
      </c>
      <c r="BS1044" s="2" t="s">
        <v>5</v>
      </c>
      <c r="BT1044" s="2" t="s">
        <v>5</v>
      </c>
      <c r="BU1044" s="2" t="s">
        <v>5</v>
      </c>
      <c r="BV1044" s="2" t="s">
        <v>5</v>
      </c>
      <c r="BW1044" s="2" t="s">
        <v>5</v>
      </c>
      <c r="BX1044" s="2" t="s">
        <v>5</v>
      </c>
      <c r="BY1044" s="25" t="s">
        <v>5</v>
      </c>
      <c r="BZ1044" s="25" t="s">
        <v>5</v>
      </c>
      <c r="CA1044" s="6" t="s">
        <v>5</v>
      </c>
      <c r="CB1044" s="6" t="s">
        <v>5</v>
      </c>
      <c r="CC1044" s="6" t="s">
        <v>5</v>
      </c>
      <c r="CD1044" s="6" t="s">
        <v>5</v>
      </c>
      <c r="CE1044" s="6" t="s">
        <v>5</v>
      </c>
      <c r="CF1044" s="16" t="s">
        <v>5</v>
      </c>
      <c r="CG1044" s="16" t="s">
        <v>5</v>
      </c>
      <c r="CH1044" s="18" t="s">
        <v>5</v>
      </c>
    </row>
    <row r="1045" spans="2:86">
      <c r="B1045" s="78" t="s">
        <v>473</v>
      </c>
      <c r="C1045" s="79" t="s">
        <v>1145</v>
      </c>
      <c r="D1045" s="80" t="s">
        <v>1145</v>
      </c>
      <c r="E1045" s="1" t="s">
        <v>4</v>
      </c>
      <c r="F1045" s="4">
        <v>14.4</v>
      </c>
      <c r="G1045" s="7">
        <v>4.24</v>
      </c>
      <c r="H1045" s="3" t="str">
        <f t="shared" si="35"/>
        <v>2L3-1/2X2-1/2X3/8X3/8SLBB</v>
      </c>
      <c r="I1045" s="7">
        <v>2.5</v>
      </c>
      <c r="J1045" s="5" t="s">
        <v>5</v>
      </c>
      <c r="K1045" s="6" t="s">
        <v>5</v>
      </c>
      <c r="L1045" s="6" t="s">
        <v>5</v>
      </c>
      <c r="M1045" s="6" t="s">
        <v>5</v>
      </c>
      <c r="N1045" s="6" t="s">
        <v>5</v>
      </c>
      <c r="O1045" s="5" t="s">
        <v>5</v>
      </c>
      <c r="P1045" s="5" t="s">
        <v>5</v>
      </c>
      <c r="Q1045" s="7">
        <v>3.5</v>
      </c>
      <c r="R1045" s="6" t="s">
        <v>5</v>
      </c>
      <c r="S1045" s="6" t="s">
        <v>5</v>
      </c>
      <c r="T1045" s="5" t="s">
        <v>5</v>
      </c>
      <c r="U1045" s="8" t="s">
        <v>5</v>
      </c>
      <c r="V1045" s="6" t="s">
        <v>5</v>
      </c>
      <c r="W1045" s="8" t="s">
        <v>5</v>
      </c>
      <c r="X1045" s="22">
        <v>0.375</v>
      </c>
      <c r="Y1045" s="6" t="s">
        <v>5</v>
      </c>
      <c r="Z1045" s="6" t="s">
        <v>5</v>
      </c>
      <c r="AA1045" s="6" t="s">
        <v>5</v>
      </c>
      <c r="AB1045" s="8" t="s">
        <v>5</v>
      </c>
      <c r="AC1045" s="8" t="s">
        <v>5</v>
      </c>
      <c r="AD1045" s="6" t="s">
        <v>5</v>
      </c>
      <c r="AE1045" s="22">
        <v>0.65500000000000003</v>
      </c>
      <c r="AF1045" s="6" t="s">
        <v>5</v>
      </c>
      <c r="AG1045" s="6" t="s">
        <v>5</v>
      </c>
      <c r="AH1045" s="22">
        <v>0.30299999999999999</v>
      </c>
      <c r="AI1045" s="6" t="s">
        <v>5</v>
      </c>
      <c r="AJ1045" s="7">
        <v>9.33</v>
      </c>
      <c r="AK1045" s="6" t="s">
        <v>5</v>
      </c>
      <c r="AL1045" s="6" t="s">
        <v>5</v>
      </c>
      <c r="AM1045" s="6" t="s">
        <v>5</v>
      </c>
      <c r="AN1045" s="6" t="s">
        <v>5</v>
      </c>
      <c r="AO1045" s="7">
        <v>2.17</v>
      </c>
      <c r="AP1045" s="7">
        <v>2.13</v>
      </c>
      <c r="AQ1045" s="7">
        <v>1.18</v>
      </c>
      <c r="AR1045" s="22">
        <v>0.71599999999999997</v>
      </c>
      <c r="AS1045" s="6">
        <v>12.7</v>
      </c>
      <c r="AT1045" s="6">
        <v>5.67</v>
      </c>
      <c r="AU1045" s="6">
        <v>3.44</v>
      </c>
      <c r="AV1045" s="7">
        <v>1.73</v>
      </c>
      <c r="AW1045" s="6" t="s">
        <v>5</v>
      </c>
      <c r="AX1045" s="6" t="s">
        <v>5</v>
      </c>
      <c r="AY1045" s="6" t="s">
        <v>5</v>
      </c>
      <c r="AZ1045" s="6" t="s">
        <v>5</v>
      </c>
      <c r="BA1045" s="6" t="s">
        <v>5</v>
      </c>
      <c r="BB1045" s="6" t="s">
        <v>5</v>
      </c>
      <c r="BC1045" s="6" t="s">
        <v>5</v>
      </c>
      <c r="BD1045" s="6" t="s">
        <v>5</v>
      </c>
      <c r="BE1045" s="6" t="s">
        <v>5</v>
      </c>
      <c r="BF1045" s="6" t="s">
        <v>5</v>
      </c>
      <c r="BG1045" s="6" t="s">
        <v>5</v>
      </c>
      <c r="BH1045" s="6" t="s">
        <v>5</v>
      </c>
      <c r="BI1045" s="7">
        <v>1.93</v>
      </c>
      <c r="BJ1045" s="22">
        <v>0.94099999999999995</v>
      </c>
      <c r="BK1045" s="6" t="s">
        <v>5</v>
      </c>
      <c r="BL1045" s="2" t="s">
        <v>5</v>
      </c>
      <c r="BM1045" s="2" t="s">
        <v>5</v>
      </c>
      <c r="BN1045" s="2" t="s">
        <v>5</v>
      </c>
      <c r="BO1045" s="2" t="s">
        <v>5</v>
      </c>
      <c r="BP1045" s="2" t="s">
        <v>5</v>
      </c>
      <c r="BQ1045" s="2" t="s">
        <v>5</v>
      </c>
      <c r="BR1045" s="2" t="s">
        <v>5</v>
      </c>
      <c r="BS1045" s="2" t="s">
        <v>5</v>
      </c>
      <c r="BT1045" s="2" t="s">
        <v>5</v>
      </c>
      <c r="BU1045" s="2" t="s">
        <v>5</v>
      </c>
      <c r="BV1045" s="2" t="s">
        <v>5</v>
      </c>
      <c r="BW1045" s="2" t="s">
        <v>5</v>
      </c>
      <c r="BX1045" s="2" t="s">
        <v>5</v>
      </c>
      <c r="BY1045" s="25" t="s">
        <v>5</v>
      </c>
      <c r="BZ1045" s="25" t="s">
        <v>5</v>
      </c>
      <c r="CA1045" s="6" t="s">
        <v>5</v>
      </c>
      <c r="CB1045" s="6" t="s">
        <v>5</v>
      </c>
      <c r="CC1045" s="6" t="s">
        <v>5</v>
      </c>
      <c r="CD1045" s="6" t="s">
        <v>5</v>
      </c>
      <c r="CE1045" s="6" t="s">
        <v>5</v>
      </c>
      <c r="CF1045" s="16" t="s">
        <v>5</v>
      </c>
      <c r="CG1045" s="16" t="s">
        <v>5</v>
      </c>
      <c r="CH1045" s="18" t="s">
        <v>5</v>
      </c>
    </row>
    <row r="1046" spans="2:86">
      <c r="B1046" s="78" t="s">
        <v>473</v>
      </c>
      <c r="C1046" s="79" t="s">
        <v>1146</v>
      </c>
      <c r="D1046" s="80" t="s">
        <v>1146</v>
      </c>
      <c r="E1046" s="1" t="s">
        <v>4</v>
      </c>
      <c r="F1046" s="4">
        <v>14.4</v>
      </c>
      <c r="G1046" s="7">
        <v>4.24</v>
      </c>
      <c r="H1046" s="3" t="str">
        <f t="shared" si="35"/>
        <v>2L3-1/2X2-1/2X3/8X3/4SLBB</v>
      </c>
      <c r="I1046" s="7">
        <v>2.5</v>
      </c>
      <c r="J1046" s="5" t="s">
        <v>5</v>
      </c>
      <c r="K1046" s="6" t="s">
        <v>5</v>
      </c>
      <c r="L1046" s="6" t="s">
        <v>5</v>
      </c>
      <c r="M1046" s="6" t="s">
        <v>5</v>
      </c>
      <c r="N1046" s="6" t="s">
        <v>5</v>
      </c>
      <c r="O1046" s="5" t="s">
        <v>5</v>
      </c>
      <c r="P1046" s="5" t="s">
        <v>5</v>
      </c>
      <c r="Q1046" s="7">
        <v>3.5</v>
      </c>
      <c r="R1046" s="6" t="s">
        <v>5</v>
      </c>
      <c r="S1046" s="6" t="s">
        <v>5</v>
      </c>
      <c r="T1046" s="5" t="s">
        <v>5</v>
      </c>
      <c r="U1046" s="8" t="s">
        <v>5</v>
      </c>
      <c r="V1046" s="6" t="s">
        <v>5</v>
      </c>
      <c r="W1046" s="8" t="s">
        <v>5</v>
      </c>
      <c r="X1046" s="22">
        <v>0.375</v>
      </c>
      <c r="Y1046" s="6" t="s">
        <v>5</v>
      </c>
      <c r="Z1046" s="6" t="s">
        <v>5</v>
      </c>
      <c r="AA1046" s="6" t="s">
        <v>5</v>
      </c>
      <c r="AB1046" s="8" t="s">
        <v>5</v>
      </c>
      <c r="AC1046" s="8" t="s">
        <v>5</v>
      </c>
      <c r="AD1046" s="6" t="s">
        <v>5</v>
      </c>
      <c r="AE1046" s="22">
        <v>0.65500000000000003</v>
      </c>
      <c r="AF1046" s="6" t="s">
        <v>5</v>
      </c>
      <c r="AG1046" s="6" t="s">
        <v>5</v>
      </c>
      <c r="AH1046" s="22">
        <v>0.30299999999999999</v>
      </c>
      <c r="AI1046" s="6" t="s">
        <v>5</v>
      </c>
      <c r="AJ1046" s="7">
        <v>9.33</v>
      </c>
      <c r="AK1046" s="6" t="s">
        <v>5</v>
      </c>
      <c r="AL1046" s="6" t="s">
        <v>5</v>
      </c>
      <c r="AM1046" s="6" t="s">
        <v>5</v>
      </c>
      <c r="AN1046" s="6" t="s">
        <v>5</v>
      </c>
      <c r="AO1046" s="7">
        <v>2.17</v>
      </c>
      <c r="AP1046" s="7">
        <v>2.13</v>
      </c>
      <c r="AQ1046" s="7">
        <v>1.18</v>
      </c>
      <c r="AR1046" s="22">
        <v>0.71599999999999997</v>
      </c>
      <c r="AS1046" s="4">
        <v>15</v>
      </c>
      <c r="AT1046" s="6">
        <v>6.47</v>
      </c>
      <c r="AU1046" s="6">
        <v>3.87</v>
      </c>
      <c r="AV1046" s="7">
        <v>1.88</v>
      </c>
      <c r="AW1046" s="6" t="s">
        <v>5</v>
      </c>
      <c r="AX1046" s="6" t="s">
        <v>5</v>
      </c>
      <c r="AY1046" s="6" t="s">
        <v>5</v>
      </c>
      <c r="AZ1046" s="6" t="s">
        <v>5</v>
      </c>
      <c r="BA1046" s="6" t="s">
        <v>5</v>
      </c>
      <c r="BB1046" s="6" t="s">
        <v>5</v>
      </c>
      <c r="BC1046" s="6" t="s">
        <v>5</v>
      </c>
      <c r="BD1046" s="6" t="s">
        <v>5</v>
      </c>
      <c r="BE1046" s="6" t="s">
        <v>5</v>
      </c>
      <c r="BF1046" s="6" t="s">
        <v>5</v>
      </c>
      <c r="BG1046" s="6" t="s">
        <v>5</v>
      </c>
      <c r="BH1046" s="6" t="s">
        <v>5</v>
      </c>
      <c r="BI1046" s="7">
        <v>2.0699999999999998</v>
      </c>
      <c r="BJ1046" s="22">
        <v>0.94899999999999995</v>
      </c>
      <c r="BK1046" s="6" t="s">
        <v>5</v>
      </c>
      <c r="BL1046" s="2" t="s">
        <v>5</v>
      </c>
      <c r="BM1046" s="2" t="s">
        <v>5</v>
      </c>
      <c r="BN1046" s="2" t="s">
        <v>5</v>
      </c>
      <c r="BO1046" s="2" t="s">
        <v>5</v>
      </c>
      <c r="BP1046" s="2" t="s">
        <v>5</v>
      </c>
      <c r="BQ1046" s="2" t="s">
        <v>5</v>
      </c>
      <c r="BR1046" s="2" t="s">
        <v>5</v>
      </c>
      <c r="BS1046" s="2" t="s">
        <v>5</v>
      </c>
      <c r="BT1046" s="2" t="s">
        <v>5</v>
      </c>
      <c r="BU1046" s="2" t="s">
        <v>5</v>
      </c>
      <c r="BV1046" s="2" t="s">
        <v>5</v>
      </c>
      <c r="BW1046" s="2" t="s">
        <v>5</v>
      </c>
      <c r="BX1046" s="2" t="s">
        <v>5</v>
      </c>
      <c r="BY1046" s="25" t="s">
        <v>5</v>
      </c>
      <c r="BZ1046" s="25" t="s">
        <v>5</v>
      </c>
      <c r="CA1046" s="6" t="s">
        <v>5</v>
      </c>
      <c r="CB1046" s="6" t="s">
        <v>5</v>
      </c>
      <c r="CC1046" s="6" t="s">
        <v>5</v>
      </c>
      <c r="CD1046" s="6" t="s">
        <v>5</v>
      </c>
      <c r="CE1046" s="6" t="s">
        <v>5</v>
      </c>
      <c r="CF1046" s="16" t="s">
        <v>5</v>
      </c>
      <c r="CG1046" s="16" t="s">
        <v>5</v>
      </c>
      <c r="CH1046" s="18" t="s">
        <v>5</v>
      </c>
    </row>
    <row r="1047" spans="2:86">
      <c r="B1047" s="78" t="s">
        <v>473</v>
      </c>
      <c r="C1047" s="79" t="s">
        <v>1147</v>
      </c>
      <c r="D1047" s="80" t="s">
        <v>1147</v>
      </c>
      <c r="E1047" s="1" t="s">
        <v>4</v>
      </c>
      <c r="F1047" s="4">
        <v>12.2</v>
      </c>
      <c r="G1047" s="7">
        <v>3.58</v>
      </c>
      <c r="H1047" s="3" t="str">
        <f t="shared" si="35"/>
        <v>2L3-1/2X2-1/2X5/16SLBB</v>
      </c>
      <c r="I1047" s="7">
        <v>2.5</v>
      </c>
      <c r="J1047" s="5" t="s">
        <v>5</v>
      </c>
      <c r="K1047" s="6" t="s">
        <v>5</v>
      </c>
      <c r="L1047" s="6" t="s">
        <v>5</v>
      </c>
      <c r="M1047" s="6" t="s">
        <v>5</v>
      </c>
      <c r="N1047" s="6" t="s">
        <v>5</v>
      </c>
      <c r="O1047" s="5" t="s">
        <v>5</v>
      </c>
      <c r="P1047" s="5" t="s">
        <v>5</v>
      </c>
      <c r="Q1047" s="7">
        <v>3.5</v>
      </c>
      <c r="R1047" s="6" t="s">
        <v>5</v>
      </c>
      <c r="S1047" s="6" t="s">
        <v>5</v>
      </c>
      <c r="T1047" s="5" t="s">
        <v>5</v>
      </c>
      <c r="U1047" s="8" t="s">
        <v>5</v>
      </c>
      <c r="V1047" s="6" t="s">
        <v>5</v>
      </c>
      <c r="W1047" s="8" t="s">
        <v>5</v>
      </c>
      <c r="X1047" s="22">
        <v>0.313</v>
      </c>
      <c r="Y1047" s="6" t="s">
        <v>5</v>
      </c>
      <c r="Z1047" s="6" t="s">
        <v>5</v>
      </c>
      <c r="AA1047" s="6" t="s">
        <v>5</v>
      </c>
      <c r="AB1047" s="8" t="s">
        <v>5</v>
      </c>
      <c r="AC1047" s="8" t="s">
        <v>5</v>
      </c>
      <c r="AD1047" s="6" t="s">
        <v>5</v>
      </c>
      <c r="AE1047" s="22">
        <v>0.63200000000000001</v>
      </c>
      <c r="AF1047" s="6" t="s">
        <v>5</v>
      </c>
      <c r="AG1047" s="6" t="s">
        <v>5</v>
      </c>
      <c r="AH1047" s="22">
        <v>0.25600000000000001</v>
      </c>
      <c r="AI1047" s="6" t="s">
        <v>5</v>
      </c>
      <c r="AJ1047" s="4">
        <v>11.2</v>
      </c>
      <c r="AK1047" s="6" t="s">
        <v>5</v>
      </c>
      <c r="AL1047" s="6" t="s">
        <v>5</v>
      </c>
      <c r="AM1047" s="6" t="s">
        <v>5</v>
      </c>
      <c r="AN1047" s="6" t="s">
        <v>5</v>
      </c>
      <c r="AO1047" s="7">
        <v>1.87</v>
      </c>
      <c r="AP1047" s="7">
        <v>1.8</v>
      </c>
      <c r="AQ1047" s="7">
        <v>1</v>
      </c>
      <c r="AR1047" s="22">
        <v>0.72299999999999998</v>
      </c>
      <c r="AS1047" s="6">
        <v>8.94</v>
      </c>
      <c r="AT1047" s="6">
        <v>4.05</v>
      </c>
      <c r="AU1047" s="6">
        <v>2.5499999999999998</v>
      </c>
      <c r="AV1047" s="7">
        <v>1.58</v>
      </c>
      <c r="AW1047" s="6" t="s">
        <v>5</v>
      </c>
      <c r="AX1047" s="6" t="s">
        <v>5</v>
      </c>
      <c r="AY1047" s="6" t="s">
        <v>5</v>
      </c>
      <c r="AZ1047" s="6" t="s">
        <v>5</v>
      </c>
      <c r="BA1047" s="6" t="s">
        <v>5</v>
      </c>
      <c r="BB1047" s="6" t="s">
        <v>5</v>
      </c>
      <c r="BC1047" s="6" t="s">
        <v>5</v>
      </c>
      <c r="BD1047" s="6" t="s">
        <v>5</v>
      </c>
      <c r="BE1047" s="6" t="s">
        <v>5</v>
      </c>
      <c r="BF1047" s="6" t="s">
        <v>5</v>
      </c>
      <c r="BG1047" s="6" t="s">
        <v>5</v>
      </c>
      <c r="BH1047" s="6" t="s">
        <v>5</v>
      </c>
      <c r="BI1047" s="7">
        <v>1.8</v>
      </c>
      <c r="BJ1047" s="22">
        <v>0.93</v>
      </c>
      <c r="BK1047" s="6" t="s">
        <v>5</v>
      </c>
      <c r="BL1047" s="2" t="s">
        <v>5</v>
      </c>
      <c r="BM1047" s="2" t="s">
        <v>5</v>
      </c>
      <c r="BN1047" s="2" t="s">
        <v>5</v>
      </c>
      <c r="BO1047" s="2" t="s">
        <v>5</v>
      </c>
      <c r="BP1047" s="2" t="s">
        <v>5</v>
      </c>
      <c r="BQ1047" s="2" t="s">
        <v>5</v>
      </c>
      <c r="BR1047" s="2" t="s">
        <v>5</v>
      </c>
      <c r="BS1047" s="2" t="s">
        <v>5</v>
      </c>
      <c r="BT1047" s="2" t="s">
        <v>5</v>
      </c>
      <c r="BU1047" s="2" t="s">
        <v>5</v>
      </c>
      <c r="BV1047" s="2" t="s">
        <v>5</v>
      </c>
      <c r="BW1047" s="2" t="s">
        <v>5</v>
      </c>
      <c r="BX1047" s="2" t="s">
        <v>5</v>
      </c>
      <c r="BY1047" s="25" t="s">
        <v>5</v>
      </c>
      <c r="BZ1047" s="25" t="s">
        <v>5</v>
      </c>
      <c r="CA1047" s="6" t="s">
        <v>5</v>
      </c>
      <c r="CB1047" s="6" t="s">
        <v>5</v>
      </c>
      <c r="CC1047" s="6" t="s">
        <v>5</v>
      </c>
      <c r="CD1047" s="6" t="s">
        <v>5</v>
      </c>
      <c r="CE1047" s="6" t="s">
        <v>5</v>
      </c>
      <c r="CF1047" s="16" t="s">
        <v>5</v>
      </c>
      <c r="CG1047" s="16" t="s">
        <v>5</v>
      </c>
      <c r="CH1047" s="18" t="s">
        <v>5</v>
      </c>
    </row>
    <row r="1048" spans="2:86">
      <c r="B1048" s="78" t="s">
        <v>473</v>
      </c>
      <c r="C1048" s="79" t="s">
        <v>1148</v>
      </c>
      <c r="D1048" s="80" t="s">
        <v>1148</v>
      </c>
      <c r="E1048" s="1" t="s">
        <v>4</v>
      </c>
      <c r="F1048" s="4">
        <v>12.2</v>
      </c>
      <c r="G1048" s="7">
        <v>3.58</v>
      </c>
      <c r="H1048" s="3" t="str">
        <f t="shared" si="35"/>
        <v>2L3-1/2X2-1/2X5/16X3/8SLBB</v>
      </c>
      <c r="I1048" s="7">
        <v>2.5</v>
      </c>
      <c r="J1048" s="5" t="s">
        <v>5</v>
      </c>
      <c r="K1048" s="6" t="s">
        <v>5</v>
      </c>
      <c r="L1048" s="6" t="s">
        <v>5</v>
      </c>
      <c r="M1048" s="6" t="s">
        <v>5</v>
      </c>
      <c r="N1048" s="6" t="s">
        <v>5</v>
      </c>
      <c r="O1048" s="5" t="s">
        <v>5</v>
      </c>
      <c r="P1048" s="5" t="s">
        <v>5</v>
      </c>
      <c r="Q1048" s="7">
        <v>3.5</v>
      </c>
      <c r="R1048" s="6" t="s">
        <v>5</v>
      </c>
      <c r="S1048" s="6" t="s">
        <v>5</v>
      </c>
      <c r="T1048" s="5" t="s">
        <v>5</v>
      </c>
      <c r="U1048" s="8" t="s">
        <v>5</v>
      </c>
      <c r="V1048" s="6" t="s">
        <v>5</v>
      </c>
      <c r="W1048" s="8" t="s">
        <v>5</v>
      </c>
      <c r="X1048" s="22">
        <v>0.313</v>
      </c>
      <c r="Y1048" s="6" t="s">
        <v>5</v>
      </c>
      <c r="Z1048" s="6" t="s">
        <v>5</v>
      </c>
      <c r="AA1048" s="6" t="s">
        <v>5</v>
      </c>
      <c r="AB1048" s="8" t="s">
        <v>5</v>
      </c>
      <c r="AC1048" s="8" t="s">
        <v>5</v>
      </c>
      <c r="AD1048" s="6" t="s">
        <v>5</v>
      </c>
      <c r="AE1048" s="22">
        <v>0.63200000000000001</v>
      </c>
      <c r="AF1048" s="6" t="s">
        <v>5</v>
      </c>
      <c r="AG1048" s="6" t="s">
        <v>5</v>
      </c>
      <c r="AH1048" s="22">
        <v>0.25600000000000001</v>
      </c>
      <c r="AI1048" s="6" t="s">
        <v>5</v>
      </c>
      <c r="AJ1048" s="4">
        <v>11.2</v>
      </c>
      <c r="AK1048" s="6" t="s">
        <v>5</v>
      </c>
      <c r="AL1048" s="6" t="s">
        <v>5</v>
      </c>
      <c r="AM1048" s="6" t="s">
        <v>5</v>
      </c>
      <c r="AN1048" s="6" t="s">
        <v>5</v>
      </c>
      <c r="AO1048" s="7">
        <v>1.87</v>
      </c>
      <c r="AP1048" s="7">
        <v>1.8</v>
      </c>
      <c r="AQ1048" s="7">
        <v>1</v>
      </c>
      <c r="AR1048" s="22">
        <v>0.72299999999999998</v>
      </c>
      <c r="AS1048" s="6">
        <v>10.6</v>
      </c>
      <c r="AT1048" s="6">
        <v>4.72</v>
      </c>
      <c r="AU1048" s="6">
        <v>2.87</v>
      </c>
      <c r="AV1048" s="7">
        <v>1.72</v>
      </c>
      <c r="AW1048" s="6" t="s">
        <v>5</v>
      </c>
      <c r="AX1048" s="6" t="s">
        <v>5</v>
      </c>
      <c r="AY1048" s="6" t="s">
        <v>5</v>
      </c>
      <c r="AZ1048" s="6" t="s">
        <v>5</v>
      </c>
      <c r="BA1048" s="6" t="s">
        <v>5</v>
      </c>
      <c r="BB1048" s="6" t="s">
        <v>5</v>
      </c>
      <c r="BC1048" s="6" t="s">
        <v>5</v>
      </c>
      <c r="BD1048" s="6" t="s">
        <v>5</v>
      </c>
      <c r="BE1048" s="6" t="s">
        <v>5</v>
      </c>
      <c r="BF1048" s="6" t="s">
        <v>5</v>
      </c>
      <c r="BG1048" s="6" t="s">
        <v>5</v>
      </c>
      <c r="BH1048" s="6" t="s">
        <v>5</v>
      </c>
      <c r="BI1048" s="7">
        <v>1.92</v>
      </c>
      <c r="BJ1048" s="22">
        <v>0.93899999999999995</v>
      </c>
      <c r="BK1048" s="6" t="s">
        <v>5</v>
      </c>
      <c r="BL1048" s="2" t="s">
        <v>5</v>
      </c>
      <c r="BM1048" s="2" t="s">
        <v>5</v>
      </c>
      <c r="BN1048" s="2" t="s">
        <v>5</v>
      </c>
      <c r="BO1048" s="2" t="s">
        <v>5</v>
      </c>
      <c r="BP1048" s="2" t="s">
        <v>5</v>
      </c>
      <c r="BQ1048" s="2" t="s">
        <v>5</v>
      </c>
      <c r="BR1048" s="2" t="s">
        <v>5</v>
      </c>
      <c r="BS1048" s="2" t="s">
        <v>5</v>
      </c>
      <c r="BT1048" s="2" t="s">
        <v>5</v>
      </c>
      <c r="BU1048" s="2" t="s">
        <v>5</v>
      </c>
      <c r="BV1048" s="2" t="s">
        <v>5</v>
      </c>
      <c r="BW1048" s="2" t="s">
        <v>5</v>
      </c>
      <c r="BX1048" s="2" t="s">
        <v>5</v>
      </c>
      <c r="BY1048" s="25" t="s">
        <v>5</v>
      </c>
      <c r="BZ1048" s="25" t="s">
        <v>5</v>
      </c>
      <c r="CA1048" s="6" t="s">
        <v>5</v>
      </c>
      <c r="CB1048" s="6" t="s">
        <v>5</v>
      </c>
      <c r="CC1048" s="6" t="s">
        <v>5</v>
      </c>
      <c r="CD1048" s="6" t="s">
        <v>5</v>
      </c>
      <c r="CE1048" s="6" t="s">
        <v>5</v>
      </c>
      <c r="CF1048" s="16" t="s">
        <v>5</v>
      </c>
      <c r="CG1048" s="16" t="s">
        <v>5</v>
      </c>
      <c r="CH1048" s="18" t="s">
        <v>5</v>
      </c>
    </row>
    <row r="1049" spans="2:86">
      <c r="B1049" s="78" t="s">
        <v>473</v>
      </c>
      <c r="C1049" s="79" t="s">
        <v>1149</v>
      </c>
      <c r="D1049" s="80" t="s">
        <v>1149</v>
      </c>
      <c r="E1049" s="1" t="s">
        <v>4</v>
      </c>
      <c r="F1049" s="4">
        <v>12.2</v>
      </c>
      <c r="G1049" s="7">
        <v>3.58</v>
      </c>
      <c r="H1049" s="3" t="str">
        <f t="shared" si="35"/>
        <v>2L3-1/2X2-1/2X5/16X3/4SLBB</v>
      </c>
      <c r="I1049" s="7">
        <v>2.5</v>
      </c>
      <c r="J1049" s="5" t="s">
        <v>5</v>
      </c>
      <c r="K1049" s="6" t="s">
        <v>5</v>
      </c>
      <c r="L1049" s="6" t="s">
        <v>5</v>
      </c>
      <c r="M1049" s="6" t="s">
        <v>5</v>
      </c>
      <c r="N1049" s="6" t="s">
        <v>5</v>
      </c>
      <c r="O1049" s="5" t="s">
        <v>5</v>
      </c>
      <c r="P1049" s="5" t="s">
        <v>5</v>
      </c>
      <c r="Q1049" s="7">
        <v>3.5</v>
      </c>
      <c r="R1049" s="6" t="s">
        <v>5</v>
      </c>
      <c r="S1049" s="6" t="s">
        <v>5</v>
      </c>
      <c r="T1049" s="5" t="s">
        <v>5</v>
      </c>
      <c r="U1049" s="8" t="s">
        <v>5</v>
      </c>
      <c r="V1049" s="6" t="s">
        <v>5</v>
      </c>
      <c r="W1049" s="8" t="s">
        <v>5</v>
      </c>
      <c r="X1049" s="22">
        <v>0.313</v>
      </c>
      <c r="Y1049" s="6" t="s">
        <v>5</v>
      </c>
      <c r="Z1049" s="6" t="s">
        <v>5</v>
      </c>
      <c r="AA1049" s="6" t="s">
        <v>5</v>
      </c>
      <c r="AB1049" s="8" t="s">
        <v>5</v>
      </c>
      <c r="AC1049" s="8" t="s">
        <v>5</v>
      </c>
      <c r="AD1049" s="6" t="s">
        <v>5</v>
      </c>
      <c r="AE1049" s="22">
        <v>0.63200000000000001</v>
      </c>
      <c r="AF1049" s="6" t="s">
        <v>5</v>
      </c>
      <c r="AG1049" s="6" t="s">
        <v>5</v>
      </c>
      <c r="AH1049" s="22">
        <v>0.25600000000000001</v>
      </c>
      <c r="AI1049" s="6" t="s">
        <v>5</v>
      </c>
      <c r="AJ1049" s="4">
        <v>11.2</v>
      </c>
      <c r="AK1049" s="6" t="s">
        <v>5</v>
      </c>
      <c r="AL1049" s="6" t="s">
        <v>5</v>
      </c>
      <c r="AM1049" s="6" t="s">
        <v>5</v>
      </c>
      <c r="AN1049" s="6" t="s">
        <v>5</v>
      </c>
      <c r="AO1049" s="7">
        <v>1.87</v>
      </c>
      <c r="AP1049" s="7">
        <v>1.8</v>
      </c>
      <c r="AQ1049" s="7">
        <v>1</v>
      </c>
      <c r="AR1049" s="22">
        <v>0.72299999999999998</v>
      </c>
      <c r="AS1049" s="6">
        <v>12.5</v>
      </c>
      <c r="AT1049" s="6">
        <v>5.39</v>
      </c>
      <c r="AU1049" s="6">
        <v>3.23</v>
      </c>
      <c r="AV1049" s="7">
        <v>1.87</v>
      </c>
      <c r="AW1049" s="6" t="s">
        <v>5</v>
      </c>
      <c r="AX1049" s="6" t="s">
        <v>5</v>
      </c>
      <c r="AY1049" s="6" t="s">
        <v>5</v>
      </c>
      <c r="AZ1049" s="6" t="s">
        <v>5</v>
      </c>
      <c r="BA1049" s="6" t="s">
        <v>5</v>
      </c>
      <c r="BB1049" s="6" t="s">
        <v>5</v>
      </c>
      <c r="BC1049" s="6" t="s">
        <v>5</v>
      </c>
      <c r="BD1049" s="6" t="s">
        <v>5</v>
      </c>
      <c r="BE1049" s="6" t="s">
        <v>5</v>
      </c>
      <c r="BF1049" s="6" t="s">
        <v>5</v>
      </c>
      <c r="BG1049" s="6" t="s">
        <v>5</v>
      </c>
      <c r="BH1049" s="6" t="s">
        <v>5</v>
      </c>
      <c r="BI1049" s="7">
        <v>2.06</v>
      </c>
      <c r="BJ1049" s="22">
        <v>0.94699999999999995</v>
      </c>
      <c r="BK1049" s="6" t="s">
        <v>5</v>
      </c>
      <c r="BL1049" s="2" t="s">
        <v>5</v>
      </c>
      <c r="BM1049" s="2" t="s">
        <v>5</v>
      </c>
      <c r="BN1049" s="2" t="s">
        <v>5</v>
      </c>
      <c r="BO1049" s="2" t="s">
        <v>5</v>
      </c>
      <c r="BP1049" s="2" t="s">
        <v>5</v>
      </c>
      <c r="BQ1049" s="2" t="s">
        <v>5</v>
      </c>
      <c r="BR1049" s="2" t="s">
        <v>5</v>
      </c>
      <c r="BS1049" s="2" t="s">
        <v>5</v>
      </c>
      <c r="BT1049" s="2" t="s">
        <v>5</v>
      </c>
      <c r="BU1049" s="2" t="s">
        <v>5</v>
      </c>
      <c r="BV1049" s="2" t="s">
        <v>5</v>
      </c>
      <c r="BW1049" s="2" t="s">
        <v>5</v>
      </c>
      <c r="BX1049" s="2" t="s">
        <v>5</v>
      </c>
      <c r="BY1049" s="25" t="s">
        <v>5</v>
      </c>
      <c r="BZ1049" s="25" t="s">
        <v>5</v>
      </c>
      <c r="CA1049" s="6" t="s">
        <v>5</v>
      </c>
      <c r="CB1049" s="6" t="s">
        <v>5</v>
      </c>
      <c r="CC1049" s="6" t="s">
        <v>5</v>
      </c>
      <c r="CD1049" s="6" t="s">
        <v>5</v>
      </c>
      <c r="CE1049" s="6" t="s">
        <v>5</v>
      </c>
      <c r="CF1049" s="16" t="s">
        <v>5</v>
      </c>
      <c r="CG1049" s="16" t="s">
        <v>5</v>
      </c>
      <c r="CH1049" s="18" t="s">
        <v>5</v>
      </c>
    </row>
    <row r="1050" spans="2:86">
      <c r="B1050" s="78" t="s">
        <v>473</v>
      </c>
      <c r="C1050" s="79" t="s">
        <v>1150</v>
      </c>
      <c r="D1050" s="80" t="s">
        <v>1150</v>
      </c>
      <c r="E1050" s="1" t="s">
        <v>4</v>
      </c>
      <c r="F1050" s="7">
        <v>9.8000000000000007</v>
      </c>
      <c r="G1050" s="7">
        <v>2.9</v>
      </c>
      <c r="H1050" s="3" t="str">
        <f t="shared" si="35"/>
        <v>2L3-1/2X2-1/2X1/4SLBB</v>
      </c>
      <c r="I1050" s="7">
        <v>2.5</v>
      </c>
      <c r="J1050" s="5" t="s">
        <v>5</v>
      </c>
      <c r="K1050" s="6" t="s">
        <v>5</v>
      </c>
      <c r="L1050" s="6" t="s">
        <v>5</v>
      </c>
      <c r="M1050" s="6" t="s">
        <v>5</v>
      </c>
      <c r="N1050" s="6" t="s">
        <v>5</v>
      </c>
      <c r="O1050" s="5" t="s">
        <v>5</v>
      </c>
      <c r="P1050" s="5" t="s">
        <v>5</v>
      </c>
      <c r="Q1050" s="7">
        <v>3.5</v>
      </c>
      <c r="R1050" s="6" t="s">
        <v>5</v>
      </c>
      <c r="S1050" s="6" t="s">
        <v>5</v>
      </c>
      <c r="T1050" s="5" t="s">
        <v>5</v>
      </c>
      <c r="U1050" s="8" t="s">
        <v>5</v>
      </c>
      <c r="V1050" s="6" t="s">
        <v>5</v>
      </c>
      <c r="W1050" s="8" t="s">
        <v>5</v>
      </c>
      <c r="X1050" s="22">
        <v>0.25</v>
      </c>
      <c r="Y1050" s="6" t="s">
        <v>5</v>
      </c>
      <c r="Z1050" s="6" t="s">
        <v>5</v>
      </c>
      <c r="AA1050" s="6" t="s">
        <v>5</v>
      </c>
      <c r="AB1050" s="8" t="s">
        <v>5</v>
      </c>
      <c r="AC1050" s="8" t="s">
        <v>5</v>
      </c>
      <c r="AD1050" s="6" t="s">
        <v>5</v>
      </c>
      <c r="AE1050" s="22">
        <v>0.60699999999999998</v>
      </c>
      <c r="AF1050" s="6" t="s">
        <v>5</v>
      </c>
      <c r="AG1050" s="6" t="s">
        <v>5</v>
      </c>
      <c r="AH1050" s="22">
        <v>0.20699999999999999</v>
      </c>
      <c r="AI1050" s="6" t="s">
        <v>5</v>
      </c>
      <c r="AJ1050" s="4">
        <v>14</v>
      </c>
      <c r="AK1050" s="6" t="s">
        <v>5</v>
      </c>
      <c r="AL1050" s="6" t="s">
        <v>5</v>
      </c>
      <c r="AM1050" s="6" t="s">
        <v>5</v>
      </c>
      <c r="AN1050" s="6" t="s">
        <v>5</v>
      </c>
      <c r="AO1050" s="7">
        <v>1.55</v>
      </c>
      <c r="AP1050" s="7">
        <v>1.46</v>
      </c>
      <c r="AQ1050" s="22">
        <v>0.81899999999999995</v>
      </c>
      <c r="AR1050" s="22">
        <v>0.73099999999999998</v>
      </c>
      <c r="AS1050" s="6">
        <v>7.15</v>
      </c>
      <c r="AT1050" s="6">
        <v>3.19</v>
      </c>
      <c r="AU1050" s="6">
        <v>2.04</v>
      </c>
      <c r="AV1050" s="7">
        <v>1.57</v>
      </c>
      <c r="AW1050" s="6" t="s">
        <v>5</v>
      </c>
      <c r="AX1050" s="6" t="s">
        <v>5</v>
      </c>
      <c r="AY1050" s="6" t="s">
        <v>5</v>
      </c>
      <c r="AZ1050" s="6" t="s">
        <v>5</v>
      </c>
      <c r="BA1050" s="6" t="s">
        <v>5</v>
      </c>
      <c r="BB1050" s="6" t="s">
        <v>5</v>
      </c>
      <c r="BC1050" s="6" t="s">
        <v>5</v>
      </c>
      <c r="BD1050" s="6" t="s">
        <v>5</v>
      </c>
      <c r="BE1050" s="6" t="s">
        <v>5</v>
      </c>
      <c r="BF1050" s="6" t="s">
        <v>5</v>
      </c>
      <c r="BG1050" s="6" t="s">
        <v>5</v>
      </c>
      <c r="BH1050" s="6" t="s">
        <v>5</v>
      </c>
      <c r="BI1050" s="7">
        <v>1.8</v>
      </c>
      <c r="BJ1050" s="22">
        <v>0.92800000000000005</v>
      </c>
      <c r="BK1050" s="6" t="s">
        <v>5</v>
      </c>
      <c r="BL1050" s="2" t="s">
        <v>5</v>
      </c>
      <c r="BM1050" s="2" t="s">
        <v>5</v>
      </c>
      <c r="BN1050" s="2" t="s">
        <v>5</v>
      </c>
      <c r="BO1050" s="2" t="s">
        <v>5</v>
      </c>
      <c r="BP1050" s="2" t="s">
        <v>5</v>
      </c>
      <c r="BQ1050" s="2" t="s">
        <v>5</v>
      </c>
      <c r="BR1050" s="2" t="s">
        <v>5</v>
      </c>
      <c r="BS1050" s="2" t="s">
        <v>5</v>
      </c>
      <c r="BT1050" s="2" t="s">
        <v>5</v>
      </c>
      <c r="BU1050" s="2" t="s">
        <v>5</v>
      </c>
      <c r="BV1050" s="2" t="s">
        <v>5</v>
      </c>
      <c r="BW1050" s="2" t="s">
        <v>5</v>
      </c>
      <c r="BX1050" s="2" t="s">
        <v>5</v>
      </c>
      <c r="BY1050" s="25" t="s">
        <v>5</v>
      </c>
      <c r="BZ1050" s="25" t="s">
        <v>5</v>
      </c>
      <c r="CA1050" s="6" t="s">
        <v>5</v>
      </c>
      <c r="CB1050" s="6" t="s">
        <v>5</v>
      </c>
      <c r="CC1050" s="6" t="s">
        <v>5</v>
      </c>
      <c r="CD1050" s="6" t="s">
        <v>5</v>
      </c>
      <c r="CE1050" s="6" t="s">
        <v>5</v>
      </c>
      <c r="CF1050" s="16" t="s">
        <v>5</v>
      </c>
      <c r="CG1050" s="16" t="s">
        <v>5</v>
      </c>
      <c r="CH1050" s="18" t="s">
        <v>5</v>
      </c>
    </row>
    <row r="1051" spans="2:86">
      <c r="B1051" s="78" t="s">
        <v>473</v>
      </c>
      <c r="C1051" s="79" t="s">
        <v>1151</v>
      </c>
      <c r="D1051" s="80" t="s">
        <v>1151</v>
      </c>
      <c r="E1051" s="1" t="s">
        <v>4</v>
      </c>
      <c r="F1051" s="7">
        <v>9.8000000000000007</v>
      </c>
      <c r="G1051" s="7">
        <v>2.9</v>
      </c>
      <c r="H1051" s="3" t="str">
        <f t="shared" si="35"/>
        <v>2L3-1/2X2-1/2X1/4X3/8SLBB</v>
      </c>
      <c r="I1051" s="7">
        <v>2.5</v>
      </c>
      <c r="J1051" s="5" t="s">
        <v>5</v>
      </c>
      <c r="K1051" s="6" t="s">
        <v>5</v>
      </c>
      <c r="L1051" s="6" t="s">
        <v>5</v>
      </c>
      <c r="M1051" s="6" t="s">
        <v>5</v>
      </c>
      <c r="N1051" s="6" t="s">
        <v>5</v>
      </c>
      <c r="O1051" s="5" t="s">
        <v>5</v>
      </c>
      <c r="P1051" s="5" t="s">
        <v>5</v>
      </c>
      <c r="Q1051" s="7">
        <v>3.5</v>
      </c>
      <c r="R1051" s="6" t="s">
        <v>5</v>
      </c>
      <c r="S1051" s="6" t="s">
        <v>5</v>
      </c>
      <c r="T1051" s="5" t="s">
        <v>5</v>
      </c>
      <c r="U1051" s="8" t="s">
        <v>5</v>
      </c>
      <c r="V1051" s="6" t="s">
        <v>5</v>
      </c>
      <c r="W1051" s="8" t="s">
        <v>5</v>
      </c>
      <c r="X1051" s="22">
        <v>0.25</v>
      </c>
      <c r="Y1051" s="6" t="s">
        <v>5</v>
      </c>
      <c r="Z1051" s="6" t="s">
        <v>5</v>
      </c>
      <c r="AA1051" s="6" t="s">
        <v>5</v>
      </c>
      <c r="AB1051" s="8" t="s">
        <v>5</v>
      </c>
      <c r="AC1051" s="8" t="s">
        <v>5</v>
      </c>
      <c r="AD1051" s="6" t="s">
        <v>5</v>
      </c>
      <c r="AE1051" s="22">
        <v>0.60699999999999998</v>
      </c>
      <c r="AF1051" s="6" t="s">
        <v>5</v>
      </c>
      <c r="AG1051" s="6" t="s">
        <v>5</v>
      </c>
      <c r="AH1051" s="22">
        <v>0.20699999999999999</v>
      </c>
      <c r="AI1051" s="6" t="s">
        <v>5</v>
      </c>
      <c r="AJ1051" s="4">
        <v>14</v>
      </c>
      <c r="AK1051" s="6" t="s">
        <v>5</v>
      </c>
      <c r="AL1051" s="6" t="s">
        <v>5</v>
      </c>
      <c r="AM1051" s="6" t="s">
        <v>5</v>
      </c>
      <c r="AN1051" s="6" t="s">
        <v>5</v>
      </c>
      <c r="AO1051" s="7">
        <v>1.55</v>
      </c>
      <c r="AP1051" s="7">
        <v>1.46</v>
      </c>
      <c r="AQ1051" s="22">
        <v>0.81899999999999995</v>
      </c>
      <c r="AR1051" s="22">
        <v>0.73099999999999998</v>
      </c>
      <c r="AS1051" s="6">
        <v>8.3800000000000008</v>
      </c>
      <c r="AT1051" s="6">
        <v>3.73</v>
      </c>
      <c r="AU1051" s="6">
        <v>2.27</v>
      </c>
      <c r="AV1051" s="7">
        <v>1.7</v>
      </c>
      <c r="AW1051" s="6" t="s">
        <v>5</v>
      </c>
      <c r="AX1051" s="6" t="s">
        <v>5</v>
      </c>
      <c r="AY1051" s="6" t="s">
        <v>5</v>
      </c>
      <c r="AZ1051" s="6" t="s">
        <v>5</v>
      </c>
      <c r="BA1051" s="6" t="s">
        <v>5</v>
      </c>
      <c r="BB1051" s="6" t="s">
        <v>5</v>
      </c>
      <c r="BC1051" s="6" t="s">
        <v>5</v>
      </c>
      <c r="BD1051" s="6" t="s">
        <v>5</v>
      </c>
      <c r="BE1051" s="6" t="s">
        <v>5</v>
      </c>
      <c r="BF1051" s="6" t="s">
        <v>5</v>
      </c>
      <c r="BG1051" s="6" t="s">
        <v>5</v>
      </c>
      <c r="BH1051" s="6" t="s">
        <v>5</v>
      </c>
      <c r="BI1051" s="7">
        <v>1.92</v>
      </c>
      <c r="BJ1051" s="22">
        <v>0.93700000000000006</v>
      </c>
      <c r="BK1051" s="6" t="s">
        <v>5</v>
      </c>
      <c r="BL1051" s="2" t="s">
        <v>5</v>
      </c>
      <c r="BM1051" s="2" t="s">
        <v>5</v>
      </c>
      <c r="BN1051" s="2" t="s">
        <v>5</v>
      </c>
      <c r="BO1051" s="2" t="s">
        <v>5</v>
      </c>
      <c r="BP1051" s="2" t="s">
        <v>5</v>
      </c>
      <c r="BQ1051" s="2" t="s">
        <v>5</v>
      </c>
      <c r="BR1051" s="2" t="s">
        <v>5</v>
      </c>
      <c r="BS1051" s="2" t="s">
        <v>5</v>
      </c>
      <c r="BT1051" s="2" t="s">
        <v>5</v>
      </c>
      <c r="BU1051" s="2" t="s">
        <v>5</v>
      </c>
      <c r="BV1051" s="2" t="s">
        <v>5</v>
      </c>
      <c r="BW1051" s="2" t="s">
        <v>5</v>
      </c>
      <c r="BX1051" s="2" t="s">
        <v>5</v>
      </c>
      <c r="BY1051" s="25" t="s">
        <v>5</v>
      </c>
      <c r="BZ1051" s="25" t="s">
        <v>5</v>
      </c>
      <c r="CA1051" s="6" t="s">
        <v>5</v>
      </c>
      <c r="CB1051" s="6" t="s">
        <v>5</v>
      </c>
      <c r="CC1051" s="6" t="s">
        <v>5</v>
      </c>
      <c r="CD1051" s="6" t="s">
        <v>5</v>
      </c>
      <c r="CE1051" s="6" t="s">
        <v>5</v>
      </c>
      <c r="CF1051" s="16" t="s">
        <v>5</v>
      </c>
      <c r="CG1051" s="16" t="s">
        <v>5</v>
      </c>
      <c r="CH1051" s="18" t="s">
        <v>5</v>
      </c>
    </row>
    <row r="1052" spans="2:86">
      <c r="B1052" s="78" t="s">
        <v>473</v>
      </c>
      <c r="C1052" s="79" t="s">
        <v>1152</v>
      </c>
      <c r="D1052" s="80" t="s">
        <v>1152</v>
      </c>
      <c r="E1052" s="1" t="s">
        <v>4</v>
      </c>
      <c r="F1052" s="7">
        <v>9.8000000000000007</v>
      </c>
      <c r="G1052" s="7">
        <v>2.9</v>
      </c>
      <c r="H1052" s="3" t="str">
        <f t="shared" si="35"/>
        <v>2L3-1/2X2-1/2X1/4X3/4SLBB</v>
      </c>
      <c r="I1052" s="7">
        <v>2.5</v>
      </c>
      <c r="J1052" s="5" t="s">
        <v>5</v>
      </c>
      <c r="K1052" s="6" t="s">
        <v>5</v>
      </c>
      <c r="L1052" s="6" t="s">
        <v>5</v>
      </c>
      <c r="M1052" s="6" t="s">
        <v>5</v>
      </c>
      <c r="N1052" s="6" t="s">
        <v>5</v>
      </c>
      <c r="O1052" s="5" t="s">
        <v>5</v>
      </c>
      <c r="P1052" s="5" t="s">
        <v>5</v>
      </c>
      <c r="Q1052" s="7">
        <v>3.5</v>
      </c>
      <c r="R1052" s="6" t="s">
        <v>5</v>
      </c>
      <c r="S1052" s="6" t="s">
        <v>5</v>
      </c>
      <c r="T1052" s="5" t="s">
        <v>5</v>
      </c>
      <c r="U1052" s="8" t="s">
        <v>5</v>
      </c>
      <c r="V1052" s="6" t="s">
        <v>5</v>
      </c>
      <c r="W1052" s="8" t="s">
        <v>5</v>
      </c>
      <c r="X1052" s="22">
        <v>0.25</v>
      </c>
      <c r="Y1052" s="6" t="s">
        <v>5</v>
      </c>
      <c r="Z1052" s="6" t="s">
        <v>5</v>
      </c>
      <c r="AA1052" s="6" t="s">
        <v>5</v>
      </c>
      <c r="AB1052" s="8" t="s">
        <v>5</v>
      </c>
      <c r="AC1052" s="8" t="s">
        <v>5</v>
      </c>
      <c r="AD1052" s="6" t="s">
        <v>5</v>
      </c>
      <c r="AE1052" s="22">
        <v>0.60699999999999998</v>
      </c>
      <c r="AF1052" s="6" t="s">
        <v>5</v>
      </c>
      <c r="AG1052" s="6" t="s">
        <v>5</v>
      </c>
      <c r="AH1052" s="22">
        <v>0.20699999999999999</v>
      </c>
      <c r="AI1052" s="6" t="s">
        <v>5</v>
      </c>
      <c r="AJ1052" s="4">
        <v>14</v>
      </c>
      <c r="AK1052" s="6" t="s">
        <v>5</v>
      </c>
      <c r="AL1052" s="6" t="s">
        <v>5</v>
      </c>
      <c r="AM1052" s="6" t="s">
        <v>5</v>
      </c>
      <c r="AN1052" s="6" t="s">
        <v>5</v>
      </c>
      <c r="AO1052" s="7">
        <v>1.55</v>
      </c>
      <c r="AP1052" s="7">
        <v>1.46</v>
      </c>
      <c r="AQ1052" s="22">
        <v>0.81899999999999995</v>
      </c>
      <c r="AR1052" s="22">
        <v>0.73099999999999998</v>
      </c>
      <c r="AS1052" s="6">
        <v>9.93</v>
      </c>
      <c r="AT1052" s="6">
        <v>4.28</v>
      </c>
      <c r="AU1052" s="6">
        <v>2.56</v>
      </c>
      <c r="AV1052" s="7">
        <v>1.85</v>
      </c>
      <c r="AW1052" s="6" t="s">
        <v>5</v>
      </c>
      <c r="AX1052" s="6" t="s">
        <v>5</v>
      </c>
      <c r="AY1052" s="6" t="s">
        <v>5</v>
      </c>
      <c r="AZ1052" s="6" t="s">
        <v>5</v>
      </c>
      <c r="BA1052" s="6" t="s">
        <v>5</v>
      </c>
      <c r="BB1052" s="6" t="s">
        <v>5</v>
      </c>
      <c r="BC1052" s="6" t="s">
        <v>5</v>
      </c>
      <c r="BD1052" s="6" t="s">
        <v>5</v>
      </c>
      <c r="BE1052" s="6" t="s">
        <v>5</v>
      </c>
      <c r="BF1052" s="6" t="s">
        <v>5</v>
      </c>
      <c r="BG1052" s="6" t="s">
        <v>5</v>
      </c>
      <c r="BH1052" s="6" t="s">
        <v>5</v>
      </c>
      <c r="BI1052" s="7">
        <v>2.0499999999999998</v>
      </c>
      <c r="BJ1052" s="22">
        <v>0.94399999999999995</v>
      </c>
      <c r="BK1052" s="6" t="s">
        <v>5</v>
      </c>
      <c r="BL1052" s="2" t="s">
        <v>5</v>
      </c>
      <c r="BM1052" s="2" t="s">
        <v>5</v>
      </c>
      <c r="BN1052" s="2" t="s">
        <v>5</v>
      </c>
      <c r="BO1052" s="2" t="s">
        <v>5</v>
      </c>
      <c r="BP1052" s="2" t="s">
        <v>5</v>
      </c>
      <c r="BQ1052" s="2" t="s">
        <v>5</v>
      </c>
      <c r="BR1052" s="2" t="s">
        <v>5</v>
      </c>
      <c r="BS1052" s="2" t="s">
        <v>5</v>
      </c>
      <c r="BT1052" s="2" t="s">
        <v>5</v>
      </c>
      <c r="BU1052" s="2" t="s">
        <v>5</v>
      </c>
      <c r="BV1052" s="2" t="s">
        <v>5</v>
      </c>
      <c r="BW1052" s="2" t="s">
        <v>5</v>
      </c>
      <c r="BX1052" s="2" t="s">
        <v>5</v>
      </c>
      <c r="BY1052" s="25" t="s">
        <v>5</v>
      </c>
      <c r="BZ1052" s="25" t="s">
        <v>5</v>
      </c>
      <c r="CA1052" s="6" t="s">
        <v>5</v>
      </c>
      <c r="CB1052" s="6" t="s">
        <v>5</v>
      </c>
      <c r="CC1052" s="6" t="s">
        <v>5</v>
      </c>
      <c r="CD1052" s="6" t="s">
        <v>5</v>
      </c>
      <c r="CE1052" s="6" t="s">
        <v>5</v>
      </c>
      <c r="CF1052" s="16" t="s">
        <v>5</v>
      </c>
      <c r="CG1052" s="16" t="s">
        <v>5</v>
      </c>
      <c r="CH1052" s="18" t="s">
        <v>5</v>
      </c>
    </row>
    <row r="1053" spans="2:86">
      <c r="B1053" s="78" t="s">
        <v>473</v>
      </c>
      <c r="C1053" s="79" t="s">
        <v>1153</v>
      </c>
      <c r="D1053" s="80" t="s">
        <v>1153</v>
      </c>
      <c r="E1053" s="1" t="s">
        <v>4</v>
      </c>
      <c r="F1053" s="4">
        <v>17</v>
      </c>
      <c r="G1053" s="7">
        <v>5</v>
      </c>
      <c r="H1053" s="3" t="str">
        <f t="shared" si="35"/>
        <v>2L3X2-1/2X1/2SLBB</v>
      </c>
      <c r="I1053" s="7">
        <v>2.5</v>
      </c>
      <c r="J1053" s="5" t="s">
        <v>5</v>
      </c>
      <c r="K1053" s="6" t="s">
        <v>5</v>
      </c>
      <c r="L1053" s="6" t="s">
        <v>5</v>
      </c>
      <c r="M1053" s="6" t="s">
        <v>5</v>
      </c>
      <c r="N1053" s="6" t="s">
        <v>5</v>
      </c>
      <c r="O1053" s="5" t="s">
        <v>5</v>
      </c>
      <c r="P1053" s="5" t="s">
        <v>5</v>
      </c>
      <c r="Q1053" s="7">
        <v>3</v>
      </c>
      <c r="R1053" s="6" t="s">
        <v>5</v>
      </c>
      <c r="S1053" s="6" t="s">
        <v>5</v>
      </c>
      <c r="T1053" s="5" t="s">
        <v>5</v>
      </c>
      <c r="U1053" s="8" t="s">
        <v>5</v>
      </c>
      <c r="V1053" s="6" t="s">
        <v>5</v>
      </c>
      <c r="W1053" s="8" t="s">
        <v>5</v>
      </c>
      <c r="X1053" s="22">
        <v>0.5</v>
      </c>
      <c r="Y1053" s="6" t="s">
        <v>5</v>
      </c>
      <c r="Z1053" s="6" t="s">
        <v>5</v>
      </c>
      <c r="AA1053" s="6" t="s">
        <v>5</v>
      </c>
      <c r="AB1053" s="8" t="s">
        <v>5</v>
      </c>
      <c r="AC1053" s="8" t="s">
        <v>5</v>
      </c>
      <c r="AD1053" s="6" t="s">
        <v>5</v>
      </c>
      <c r="AE1053" s="22">
        <v>0.746</v>
      </c>
      <c r="AF1053" s="6" t="s">
        <v>5</v>
      </c>
      <c r="AG1053" s="6" t="s">
        <v>5</v>
      </c>
      <c r="AH1053" s="22">
        <v>0.41699999999999998</v>
      </c>
      <c r="AI1053" s="6" t="s">
        <v>5</v>
      </c>
      <c r="AJ1053" s="7">
        <v>6</v>
      </c>
      <c r="AK1053" s="6" t="s">
        <v>5</v>
      </c>
      <c r="AL1053" s="6" t="s">
        <v>5</v>
      </c>
      <c r="AM1053" s="6" t="s">
        <v>5</v>
      </c>
      <c r="AN1053" s="6" t="s">
        <v>5</v>
      </c>
      <c r="AO1053" s="7">
        <v>2.58</v>
      </c>
      <c r="AP1053" s="7">
        <v>2.68</v>
      </c>
      <c r="AQ1053" s="7">
        <v>1.47</v>
      </c>
      <c r="AR1053" s="22">
        <v>0.71799999999999997</v>
      </c>
      <c r="AS1053" s="6">
        <v>9.11</v>
      </c>
      <c r="AT1053" s="6">
        <v>4.97</v>
      </c>
      <c r="AU1053" s="6">
        <v>3.04</v>
      </c>
      <c r="AV1053" s="7">
        <v>1.35</v>
      </c>
      <c r="AW1053" s="6" t="s">
        <v>5</v>
      </c>
      <c r="AX1053" s="6" t="s">
        <v>5</v>
      </c>
      <c r="AY1053" s="6" t="s">
        <v>5</v>
      </c>
      <c r="AZ1053" s="6" t="s">
        <v>5</v>
      </c>
      <c r="BA1053" s="6" t="s">
        <v>5</v>
      </c>
      <c r="BB1053" s="6" t="s">
        <v>5</v>
      </c>
      <c r="BC1053" s="6" t="s">
        <v>5</v>
      </c>
      <c r="BD1053" s="6" t="s">
        <v>5</v>
      </c>
      <c r="BE1053" s="6" t="s">
        <v>5</v>
      </c>
      <c r="BF1053" s="6" t="s">
        <v>5</v>
      </c>
      <c r="BG1053" s="6" t="s">
        <v>5</v>
      </c>
      <c r="BH1053" s="6" t="s">
        <v>5</v>
      </c>
      <c r="BI1053" s="7">
        <v>1.61</v>
      </c>
      <c r="BJ1053" s="22">
        <v>0.90500000000000003</v>
      </c>
      <c r="BK1053" s="6" t="s">
        <v>5</v>
      </c>
      <c r="BL1053" s="2" t="s">
        <v>5</v>
      </c>
      <c r="BM1053" s="2" t="s">
        <v>5</v>
      </c>
      <c r="BN1053" s="2" t="s">
        <v>5</v>
      </c>
      <c r="BO1053" s="2" t="s">
        <v>5</v>
      </c>
      <c r="BP1053" s="2" t="s">
        <v>5</v>
      </c>
      <c r="BQ1053" s="2" t="s">
        <v>5</v>
      </c>
      <c r="BR1053" s="2" t="s">
        <v>5</v>
      </c>
      <c r="BS1053" s="2" t="s">
        <v>5</v>
      </c>
      <c r="BT1053" s="2" t="s">
        <v>5</v>
      </c>
      <c r="BU1053" s="2" t="s">
        <v>5</v>
      </c>
      <c r="BV1053" s="2" t="s">
        <v>5</v>
      </c>
      <c r="BW1053" s="2" t="s">
        <v>5</v>
      </c>
      <c r="BX1053" s="2" t="s">
        <v>5</v>
      </c>
      <c r="BY1053" s="25" t="s">
        <v>5</v>
      </c>
      <c r="BZ1053" s="25" t="s">
        <v>5</v>
      </c>
      <c r="CA1053" s="6" t="s">
        <v>5</v>
      </c>
      <c r="CB1053" s="6" t="s">
        <v>5</v>
      </c>
      <c r="CC1053" s="6" t="s">
        <v>5</v>
      </c>
      <c r="CD1053" s="6" t="s">
        <v>5</v>
      </c>
      <c r="CE1053" s="6" t="s">
        <v>5</v>
      </c>
      <c r="CF1053" s="16" t="s">
        <v>5</v>
      </c>
      <c r="CG1053" s="16" t="s">
        <v>5</v>
      </c>
      <c r="CH1053" s="18" t="s">
        <v>5</v>
      </c>
    </row>
    <row r="1054" spans="2:86">
      <c r="B1054" s="78" t="s">
        <v>473</v>
      </c>
      <c r="C1054" s="79" t="s">
        <v>1154</v>
      </c>
      <c r="D1054" s="80" t="s">
        <v>1154</v>
      </c>
      <c r="E1054" s="1" t="s">
        <v>4</v>
      </c>
      <c r="F1054" s="4">
        <v>17</v>
      </c>
      <c r="G1054" s="7">
        <v>5</v>
      </c>
      <c r="H1054" s="3" t="str">
        <f t="shared" si="35"/>
        <v>2L3X2-1/2X1/2X3/8SLBB</v>
      </c>
      <c r="I1054" s="7">
        <v>2.5</v>
      </c>
      <c r="J1054" s="5" t="s">
        <v>5</v>
      </c>
      <c r="K1054" s="6" t="s">
        <v>5</v>
      </c>
      <c r="L1054" s="6" t="s">
        <v>5</v>
      </c>
      <c r="M1054" s="6" t="s">
        <v>5</v>
      </c>
      <c r="N1054" s="6" t="s">
        <v>5</v>
      </c>
      <c r="O1054" s="5" t="s">
        <v>5</v>
      </c>
      <c r="P1054" s="5" t="s">
        <v>5</v>
      </c>
      <c r="Q1054" s="7">
        <v>3</v>
      </c>
      <c r="R1054" s="6" t="s">
        <v>5</v>
      </c>
      <c r="S1054" s="6" t="s">
        <v>5</v>
      </c>
      <c r="T1054" s="5" t="s">
        <v>5</v>
      </c>
      <c r="U1054" s="8" t="s">
        <v>5</v>
      </c>
      <c r="V1054" s="6" t="s">
        <v>5</v>
      </c>
      <c r="W1054" s="8" t="s">
        <v>5</v>
      </c>
      <c r="X1054" s="22">
        <v>0.5</v>
      </c>
      <c r="Y1054" s="6" t="s">
        <v>5</v>
      </c>
      <c r="Z1054" s="6" t="s">
        <v>5</v>
      </c>
      <c r="AA1054" s="6" t="s">
        <v>5</v>
      </c>
      <c r="AB1054" s="8" t="s">
        <v>5</v>
      </c>
      <c r="AC1054" s="8" t="s">
        <v>5</v>
      </c>
      <c r="AD1054" s="6" t="s">
        <v>5</v>
      </c>
      <c r="AE1054" s="22">
        <v>0.746</v>
      </c>
      <c r="AF1054" s="6" t="s">
        <v>5</v>
      </c>
      <c r="AG1054" s="6" t="s">
        <v>5</v>
      </c>
      <c r="AH1054" s="22">
        <v>0.41699999999999998</v>
      </c>
      <c r="AI1054" s="6" t="s">
        <v>5</v>
      </c>
      <c r="AJ1054" s="7">
        <v>6</v>
      </c>
      <c r="AK1054" s="6" t="s">
        <v>5</v>
      </c>
      <c r="AL1054" s="6" t="s">
        <v>5</v>
      </c>
      <c r="AM1054" s="6" t="s">
        <v>5</v>
      </c>
      <c r="AN1054" s="6" t="s">
        <v>5</v>
      </c>
      <c r="AO1054" s="7">
        <v>2.58</v>
      </c>
      <c r="AP1054" s="7">
        <v>2.68</v>
      </c>
      <c r="AQ1054" s="7">
        <v>1.47</v>
      </c>
      <c r="AR1054" s="22">
        <v>0.71799999999999997</v>
      </c>
      <c r="AS1054" s="6">
        <v>11.1</v>
      </c>
      <c r="AT1054" s="6">
        <v>5.91</v>
      </c>
      <c r="AU1054" s="6">
        <v>3.48</v>
      </c>
      <c r="AV1054" s="7">
        <v>1.49</v>
      </c>
      <c r="AW1054" s="6" t="s">
        <v>5</v>
      </c>
      <c r="AX1054" s="6" t="s">
        <v>5</v>
      </c>
      <c r="AY1054" s="6" t="s">
        <v>5</v>
      </c>
      <c r="AZ1054" s="6" t="s">
        <v>5</v>
      </c>
      <c r="BA1054" s="6" t="s">
        <v>5</v>
      </c>
      <c r="BB1054" s="6" t="s">
        <v>5</v>
      </c>
      <c r="BC1054" s="6" t="s">
        <v>5</v>
      </c>
      <c r="BD1054" s="6" t="s">
        <v>5</v>
      </c>
      <c r="BE1054" s="6" t="s">
        <v>5</v>
      </c>
      <c r="BF1054" s="6" t="s">
        <v>5</v>
      </c>
      <c r="BG1054" s="6" t="s">
        <v>5</v>
      </c>
      <c r="BH1054" s="6" t="s">
        <v>5</v>
      </c>
      <c r="BI1054" s="7">
        <v>1.73</v>
      </c>
      <c r="BJ1054" s="22">
        <v>0.91800000000000004</v>
      </c>
      <c r="BK1054" s="6" t="s">
        <v>5</v>
      </c>
      <c r="BL1054" s="2" t="s">
        <v>5</v>
      </c>
      <c r="BM1054" s="2" t="s">
        <v>5</v>
      </c>
      <c r="BN1054" s="2" t="s">
        <v>5</v>
      </c>
      <c r="BO1054" s="2" t="s">
        <v>5</v>
      </c>
      <c r="BP1054" s="2" t="s">
        <v>5</v>
      </c>
      <c r="BQ1054" s="2" t="s">
        <v>5</v>
      </c>
      <c r="BR1054" s="2" t="s">
        <v>5</v>
      </c>
      <c r="BS1054" s="2" t="s">
        <v>5</v>
      </c>
      <c r="BT1054" s="2" t="s">
        <v>5</v>
      </c>
      <c r="BU1054" s="2" t="s">
        <v>5</v>
      </c>
      <c r="BV1054" s="2" t="s">
        <v>5</v>
      </c>
      <c r="BW1054" s="2" t="s">
        <v>5</v>
      </c>
      <c r="BX1054" s="2" t="s">
        <v>5</v>
      </c>
      <c r="BY1054" s="25" t="s">
        <v>5</v>
      </c>
      <c r="BZ1054" s="25" t="s">
        <v>5</v>
      </c>
      <c r="CA1054" s="6" t="s">
        <v>5</v>
      </c>
      <c r="CB1054" s="6" t="s">
        <v>5</v>
      </c>
      <c r="CC1054" s="6" t="s">
        <v>5</v>
      </c>
      <c r="CD1054" s="6" t="s">
        <v>5</v>
      </c>
      <c r="CE1054" s="6" t="s">
        <v>5</v>
      </c>
      <c r="CF1054" s="16" t="s">
        <v>5</v>
      </c>
      <c r="CG1054" s="16" t="s">
        <v>5</v>
      </c>
      <c r="CH1054" s="18" t="s">
        <v>5</v>
      </c>
    </row>
    <row r="1055" spans="2:86">
      <c r="B1055" s="78" t="s">
        <v>473</v>
      </c>
      <c r="C1055" s="79" t="s">
        <v>1155</v>
      </c>
      <c r="D1055" s="80" t="s">
        <v>1155</v>
      </c>
      <c r="E1055" s="1" t="s">
        <v>4</v>
      </c>
      <c r="F1055" s="4">
        <v>17</v>
      </c>
      <c r="G1055" s="7">
        <v>5</v>
      </c>
      <c r="H1055" s="3" t="str">
        <f t="shared" si="35"/>
        <v>2L3X2-1/2X1/2X3/4SLBB</v>
      </c>
      <c r="I1055" s="7">
        <v>2.5</v>
      </c>
      <c r="J1055" s="5" t="s">
        <v>5</v>
      </c>
      <c r="K1055" s="6" t="s">
        <v>5</v>
      </c>
      <c r="L1055" s="6" t="s">
        <v>5</v>
      </c>
      <c r="M1055" s="6" t="s">
        <v>5</v>
      </c>
      <c r="N1055" s="6" t="s">
        <v>5</v>
      </c>
      <c r="O1055" s="5" t="s">
        <v>5</v>
      </c>
      <c r="P1055" s="5" t="s">
        <v>5</v>
      </c>
      <c r="Q1055" s="7">
        <v>3</v>
      </c>
      <c r="R1055" s="6" t="s">
        <v>5</v>
      </c>
      <c r="S1055" s="6" t="s">
        <v>5</v>
      </c>
      <c r="T1055" s="5" t="s">
        <v>5</v>
      </c>
      <c r="U1055" s="8" t="s">
        <v>5</v>
      </c>
      <c r="V1055" s="6" t="s">
        <v>5</v>
      </c>
      <c r="W1055" s="8" t="s">
        <v>5</v>
      </c>
      <c r="X1055" s="22">
        <v>0.5</v>
      </c>
      <c r="Y1055" s="6" t="s">
        <v>5</v>
      </c>
      <c r="Z1055" s="6" t="s">
        <v>5</v>
      </c>
      <c r="AA1055" s="6" t="s">
        <v>5</v>
      </c>
      <c r="AB1055" s="8" t="s">
        <v>5</v>
      </c>
      <c r="AC1055" s="8" t="s">
        <v>5</v>
      </c>
      <c r="AD1055" s="6" t="s">
        <v>5</v>
      </c>
      <c r="AE1055" s="22">
        <v>0.746</v>
      </c>
      <c r="AF1055" s="6" t="s">
        <v>5</v>
      </c>
      <c r="AG1055" s="6" t="s">
        <v>5</v>
      </c>
      <c r="AH1055" s="22">
        <v>0.41699999999999998</v>
      </c>
      <c r="AI1055" s="6" t="s">
        <v>5</v>
      </c>
      <c r="AJ1055" s="7">
        <v>6</v>
      </c>
      <c r="AK1055" s="6" t="s">
        <v>5</v>
      </c>
      <c r="AL1055" s="6" t="s">
        <v>5</v>
      </c>
      <c r="AM1055" s="6" t="s">
        <v>5</v>
      </c>
      <c r="AN1055" s="6" t="s">
        <v>5</v>
      </c>
      <c r="AO1055" s="7">
        <v>2.58</v>
      </c>
      <c r="AP1055" s="7">
        <v>2.68</v>
      </c>
      <c r="AQ1055" s="7">
        <v>1.47</v>
      </c>
      <c r="AR1055" s="22">
        <v>0.71799999999999997</v>
      </c>
      <c r="AS1055" s="6">
        <v>13.4</v>
      </c>
      <c r="AT1055" s="6">
        <v>6.85</v>
      </c>
      <c r="AU1055" s="6">
        <v>3.97</v>
      </c>
      <c r="AV1055" s="7">
        <v>1.64</v>
      </c>
      <c r="AW1055" s="6" t="s">
        <v>5</v>
      </c>
      <c r="AX1055" s="6" t="s">
        <v>5</v>
      </c>
      <c r="AY1055" s="6" t="s">
        <v>5</v>
      </c>
      <c r="AZ1055" s="6" t="s">
        <v>5</v>
      </c>
      <c r="BA1055" s="6" t="s">
        <v>5</v>
      </c>
      <c r="BB1055" s="6" t="s">
        <v>5</v>
      </c>
      <c r="BC1055" s="6" t="s">
        <v>5</v>
      </c>
      <c r="BD1055" s="6" t="s">
        <v>5</v>
      </c>
      <c r="BE1055" s="6" t="s">
        <v>5</v>
      </c>
      <c r="BF1055" s="6" t="s">
        <v>5</v>
      </c>
      <c r="BG1055" s="6" t="s">
        <v>5</v>
      </c>
      <c r="BH1055" s="6" t="s">
        <v>5</v>
      </c>
      <c r="BI1055" s="7">
        <v>1.86</v>
      </c>
      <c r="BJ1055" s="22">
        <v>0.92900000000000005</v>
      </c>
      <c r="BK1055" s="6" t="s">
        <v>5</v>
      </c>
      <c r="BL1055" s="2" t="s">
        <v>5</v>
      </c>
      <c r="BM1055" s="2" t="s">
        <v>5</v>
      </c>
      <c r="BN1055" s="2" t="s">
        <v>5</v>
      </c>
      <c r="BO1055" s="2" t="s">
        <v>5</v>
      </c>
      <c r="BP1055" s="2" t="s">
        <v>5</v>
      </c>
      <c r="BQ1055" s="2" t="s">
        <v>5</v>
      </c>
      <c r="BR1055" s="2" t="s">
        <v>5</v>
      </c>
      <c r="BS1055" s="2" t="s">
        <v>5</v>
      </c>
      <c r="BT1055" s="2" t="s">
        <v>5</v>
      </c>
      <c r="BU1055" s="2" t="s">
        <v>5</v>
      </c>
      <c r="BV1055" s="2" t="s">
        <v>5</v>
      </c>
      <c r="BW1055" s="2" t="s">
        <v>5</v>
      </c>
      <c r="BX1055" s="2" t="s">
        <v>5</v>
      </c>
      <c r="BY1055" s="25" t="s">
        <v>5</v>
      </c>
      <c r="BZ1055" s="25" t="s">
        <v>5</v>
      </c>
      <c r="CA1055" s="6" t="s">
        <v>5</v>
      </c>
      <c r="CB1055" s="6" t="s">
        <v>5</v>
      </c>
      <c r="CC1055" s="6" t="s">
        <v>5</v>
      </c>
      <c r="CD1055" s="6" t="s">
        <v>5</v>
      </c>
      <c r="CE1055" s="6" t="s">
        <v>5</v>
      </c>
      <c r="CF1055" s="16" t="s">
        <v>5</v>
      </c>
      <c r="CG1055" s="16" t="s">
        <v>5</v>
      </c>
      <c r="CH1055" s="18" t="s">
        <v>5</v>
      </c>
    </row>
    <row r="1056" spans="2:86">
      <c r="B1056" s="78" t="s">
        <v>473</v>
      </c>
      <c r="C1056" s="79" t="s">
        <v>1156</v>
      </c>
      <c r="D1056" s="80" t="s">
        <v>1156</v>
      </c>
      <c r="E1056" s="1" t="s">
        <v>4</v>
      </c>
      <c r="F1056" s="4">
        <v>15.2</v>
      </c>
      <c r="G1056" s="7">
        <v>4.4400000000000004</v>
      </c>
      <c r="H1056" s="3" t="str">
        <f t="shared" si="35"/>
        <v>2L3X2-1/2X7/16SLBB</v>
      </c>
      <c r="I1056" s="7">
        <v>2.5</v>
      </c>
      <c r="J1056" s="5" t="s">
        <v>5</v>
      </c>
      <c r="K1056" s="6" t="s">
        <v>5</v>
      </c>
      <c r="L1056" s="6" t="s">
        <v>5</v>
      </c>
      <c r="M1056" s="6" t="s">
        <v>5</v>
      </c>
      <c r="N1056" s="6" t="s">
        <v>5</v>
      </c>
      <c r="O1056" s="5" t="s">
        <v>5</v>
      </c>
      <c r="P1056" s="5" t="s">
        <v>5</v>
      </c>
      <c r="Q1056" s="7">
        <v>3</v>
      </c>
      <c r="R1056" s="6" t="s">
        <v>5</v>
      </c>
      <c r="S1056" s="6" t="s">
        <v>5</v>
      </c>
      <c r="T1056" s="5" t="s">
        <v>5</v>
      </c>
      <c r="U1056" s="8" t="s">
        <v>5</v>
      </c>
      <c r="V1056" s="6" t="s">
        <v>5</v>
      </c>
      <c r="W1056" s="8" t="s">
        <v>5</v>
      </c>
      <c r="X1056" s="22">
        <v>0.438</v>
      </c>
      <c r="Y1056" s="6" t="s">
        <v>5</v>
      </c>
      <c r="Z1056" s="6" t="s">
        <v>5</v>
      </c>
      <c r="AA1056" s="6" t="s">
        <v>5</v>
      </c>
      <c r="AB1056" s="8" t="s">
        <v>5</v>
      </c>
      <c r="AC1056" s="8" t="s">
        <v>5</v>
      </c>
      <c r="AD1056" s="6" t="s">
        <v>5</v>
      </c>
      <c r="AE1056" s="22">
        <v>0.72399999999999998</v>
      </c>
      <c r="AF1056" s="6" t="s">
        <v>5</v>
      </c>
      <c r="AG1056" s="6" t="s">
        <v>5</v>
      </c>
      <c r="AH1056" s="22">
        <v>0.37</v>
      </c>
      <c r="AI1056" s="6" t="s">
        <v>5</v>
      </c>
      <c r="AJ1056" s="7">
        <v>6.85</v>
      </c>
      <c r="AK1056" s="6" t="s">
        <v>5</v>
      </c>
      <c r="AL1056" s="6" t="s">
        <v>5</v>
      </c>
      <c r="AM1056" s="6" t="s">
        <v>5</v>
      </c>
      <c r="AN1056" s="6" t="s">
        <v>5</v>
      </c>
      <c r="AO1056" s="7">
        <v>2.33</v>
      </c>
      <c r="AP1056" s="7">
        <v>2.38</v>
      </c>
      <c r="AQ1056" s="7">
        <v>1.31</v>
      </c>
      <c r="AR1056" s="22">
        <v>0.72399999999999998</v>
      </c>
      <c r="AS1056" s="6">
        <v>7.97</v>
      </c>
      <c r="AT1056" s="6">
        <v>4.32</v>
      </c>
      <c r="AU1056" s="6">
        <v>2.66</v>
      </c>
      <c r="AV1056" s="7">
        <v>1.34</v>
      </c>
      <c r="AW1056" s="6" t="s">
        <v>5</v>
      </c>
      <c r="AX1056" s="6" t="s">
        <v>5</v>
      </c>
      <c r="AY1056" s="6" t="s">
        <v>5</v>
      </c>
      <c r="AZ1056" s="6" t="s">
        <v>5</v>
      </c>
      <c r="BA1056" s="6" t="s">
        <v>5</v>
      </c>
      <c r="BB1056" s="6" t="s">
        <v>5</v>
      </c>
      <c r="BC1056" s="6" t="s">
        <v>5</v>
      </c>
      <c r="BD1056" s="6" t="s">
        <v>5</v>
      </c>
      <c r="BE1056" s="6" t="s">
        <v>5</v>
      </c>
      <c r="BF1056" s="6" t="s">
        <v>5</v>
      </c>
      <c r="BG1056" s="6" t="s">
        <v>5</v>
      </c>
      <c r="BH1056" s="6" t="s">
        <v>5</v>
      </c>
      <c r="BI1056" s="7">
        <v>1.6</v>
      </c>
      <c r="BJ1056" s="22">
        <v>0.90100000000000002</v>
      </c>
      <c r="BK1056" s="6" t="s">
        <v>5</v>
      </c>
      <c r="BL1056" s="2" t="s">
        <v>5</v>
      </c>
      <c r="BM1056" s="2" t="s">
        <v>5</v>
      </c>
      <c r="BN1056" s="2" t="s">
        <v>5</v>
      </c>
      <c r="BO1056" s="2" t="s">
        <v>5</v>
      </c>
      <c r="BP1056" s="2" t="s">
        <v>5</v>
      </c>
      <c r="BQ1056" s="2" t="s">
        <v>5</v>
      </c>
      <c r="BR1056" s="2" t="s">
        <v>5</v>
      </c>
      <c r="BS1056" s="2" t="s">
        <v>5</v>
      </c>
      <c r="BT1056" s="2" t="s">
        <v>5</v>
      </c>
      <c r="BU1056" s="2" t="s">
        <v>5</v>
      </c>
      <c r="BV1056" s="2" t="s">
        <v>5</v>
      </c>
      <c r="BW1056" s="2" t="s">
        <v>5</v>
      </c>
      <c r="BX1056" s="2" t="s">
        <v>5</v>
      </c>
      <c r="BY1056" s="25" t="s">
        <v>5</v>
      </c>
      <c r="BZ1056" s="25" t="s">
        <v>5</v>
      </c>
      <c r="CA1056" s="6" t="s">
        <v>5</v>
      </c>
      <c r="CB1056" s="6" t="s">
        <v>5</v>
      </c>
      <c r="CC1056" s="6" t="s">
        <v>5</v>
      </c>
      <c r="CD1056" s="6" t="s">
        <v>5</v>
      </c>
      <c r="CE1056" s="6" t="s">
        <v>5</v>
      </c>
      <c r="CF1056" s="16" t="s">
        <v>5</v>
      </c>
      <c r="CG1056" s="16" t="s">
        <v>5</v>
      </c>
      <c r="CH1056" s="18" t="s">
        <v>5</v>
      </c>
    </row>
    <row r="1057" spans="2:86">
      <c r="B1057" s="78" t="s">
        <v>473</v>
      </c>
      <c r="C1057" s="79" t="s">
        <v>1157</v>
      </c>
      <c r="D1057" s="80" t="s">
        <v>1157</v>
      </c>
      <c r="E1057" s="1" t="s">
        <v>4</v>
      </c>
      <c r="F1057" s="4">
        <v>15.2</v>
      </c>
      <c r="G1057" s="7">
        <v>4.4400000000000004</v>
      </c>
      <c r="H1057" s="3" t="str">
        <f t="shared" si="35"/>
        <v>2L3X2-1/2X7/16X3/8SLBB</v>
      </c>
      <c r="I1057" s="7">
        <v>2.5</v>
      </c>
      <c r="J1057" s="5" t="s">
        <v>5</v>
      </c>
      <c r="K1057" s="6" t="s">
        <v>5</v>
      </c>
      <c r="L1057" s="6" t="s">
        <v>5</v>
      </c>
      <c r="M1057" s="6" t="s">
        <v>5</v>
      </c>
      <c r="N1057" s="6" t="s">
        <v>5</v>
      </c>
      <c r="O1057" s="5" t="s">
        <v>5</v>
      </c>
      <c r="P1057" s="5" t="s">
        <v>5</v>
      </c>
      <c r="Q1057" s="7">
        <v>3</v>
      </c>
      <c r="R1057" s="6" t="s">
        <v>5</v>
      </c>
      <c r="S1057" s="6" t="s">
        <v>5</v>
      </c>
      <c r="T1057" s="5" t="s">
        <v>5</v>
      </c>
      <c r="U1057" s="8" t="s">
        <v>5</v>
      </c>
      <c r="V1057" s="6" t="s">
        <v>5</v>
      </c>
      <c r="W1057" s="8" t="s">
        <v>5</v>
      </c>
      <c r="X1057" s="22">
        <v>0.438</v>
      </c>
      <c r="Y1057" s="6" t="s">
        <v>5</v>
      </c>
      <c r="Z1057" s="6" t="s">
        <v>5</v>
      </c>
      <c r="AA1057" s="6" t="s">
        <v>5</v>
      </c>
      <c r="AB1057" s="8" t="s">
        <v>5</v>
      </c>
      <c r="AC1057" s="8" t="s">
        <v>5</v>
      </c>
      <c r="AD1057" s="6" t="s">
        <v>5</v>
      </c>
      <c r="AE1057" s="22">
        <v>0.72399999999999998</v>
      </c>
      <c r="AF1057" s="6" t="s">
        <v>5</v>
      </c>
      <c r="AG1057" s="6" t="s">
        <v>5</v>
      </c>
      <c r="AH1057" s="22">
        <v>0.37</v>
      </c>
      <c r="AI1057" s="6" t="s">
        <v>5</v>
      </c>
      <c r="AJ1057" s="7">
        <v>6.85</v>
      </c>
      <c r="AK1057" s="6" t="s">
        <v>5</v>
      </c>
      <c r="AL1057" s="6" t="s">
        <v>5</v>
      </c>
      <c r="AM1057" s="6" t="s">
        <v>5</v>
      </c>
      <c r="AN1057" s="6" t="s">
        <v>5</v>
      </c>
      <c r="AO1057" s="7">
        <v>2.33</v>
      </c>
      <c r="AP1057" s="7">
        <v>2.38</v>
      </c>
      <c r="AQ1057" s="7">
        <v>1.31</v>
      </c>
      <c r="AR1057" s="22">
        <v>0.72399999999999998</v>
      </c>
      <c r="AS1057" s="6">
        <v>9.73</v>
      </c>
      <c r="AT1057" s="6">
        <v>5.15</v>
      </c>
      <c r="AU1057" s="6">
        <v>3.05</v>
      </c>
      <c r="AV1057" s="7">
        <v>1.48</v>
      </c>
      <c r="AW1057" s="6" t="s">
        <v>5</v>
      </c>
      <c r="AX1057" s="6" t="s">
        <v>5</v>
      </c>
      <c r="AY1057" s="6" t="s">
        <v>5</v>
      </c>
      <c r="AZ1057" s="6" t="s">
        <v>5</v>
      </c>
      <c r="BA1057" s="6" t="s">
        <v>5</v>
      </c>
      <c r="BB1057" s="6" t="s">
        <v>5</v>
      </c>
      <c r="BC1057" s="6" t="s">
        <v>5</v>
      </c>
      <c r="BD1057" s="6" t="s">
        <v>5</v>
      </c>
      <c r="BE1057" s="6" t="s">
        <v>5</v>
      </c>
      <c r="BF1057" s="6" t="s">
        <v>5</v>
      </c>
      <c r="BG1057" s="6" t="s">
        <v>5</v>
      </c>
      <c r="BH1057" s="6" t="s">
        <v>5</v>
      </c>
      <c r="BI1057" s="7">
        <v>1.72</v>
      </c>
      <c r="BJ1057" s="22">
        <v>0.91400000000000003</v>
      </c>
      <c r="BK1057" s="6" t="s">
        <v>5</v>
      </c>
      <c r="BL1057" s="2" t="s">
        <v>5</v>
      </c>
      <c r="BM1057" s="2" t="s">
        <v>5</v>
      </c>
      <c r="BN1057" s="2" t="s">
        <v>5</v>
      </c>
      <c r="BO1057" s="2" t="s">
        <v>5</v>
      </c>
      <c r="BP1057" s="2" t="s">
        <v>5</v>
      </c>
      <c r="BQ1057" s="2" t="s">
        <v>5</v>
      </c>
      <c r="BR1057" s="2" t="s">
        <v>5</v>
      </c>
      <c r="BS1057" s="2" t="s">
        <v>5</v>
      </c>
      <c r="BT1057" s="2" t="s">
        <v>5</v>
      </c>
      <c r="BU1057" s="2" t="s">
        <v>5</v>
      </c>
      <c r="BV1057" s="2" t="s">
        <v>5</v>
      </c>
      <c r="BW1057" s="2" t="s">
        <v>5</v>
      </c>
      <c r="BX1057" s="2" t="s">
        <v>5</v>
      </c>
      <c r="BY1057" s="25" t="s">
        <v>5</v>
      </c>
      <c r="BZ1057" s="25" t="s">
        <v>5</v>
      </c>
      <c r="CA1057" s="6" t="s">
        <v>5</v>
      </c>
      <c r="CB1057" s="6" t="s">
        <v>5</v>
      </c>
      <c r="CC1057" s="6" t="s">
        <v>5</v>
      </c>
      <c r="CD1057" s="6" t="s">
        <v>5</v>
      </c>
      <c r="CE1057" s="6" t="s">
        <v>5</v>
      </c>
      <c r="CF1057" s="16" t="s">
        <v>5</v>
      </c>
      <c r="CG1057" s="16" t="s">
        <v>5</v>
      </c>
      <c r="CH1057" s="18" t="s">
        <v>5</v>
      </c>
    </row>
    <row r="1058" spans="2:86">
      <c r="B1058" s="78" t="s">
        <v>473</v>
      </c>
      <c r="C1058" s="79" t="s">
        <v>1158</v>
      </c>
      <c r="D1058" s="80" t="s">
        <v>1158</v>
      </c>
      <c r="E1058" s="1" t="s">
        <v>4</v>
      </c>
      <c r="F1058" s="4">
        <v>15.2</v>
      </c>
      <c r="G1058" s="7">
        <v>4.4400000000000004</v>
      </c>
      <c r="H1058" s="3" t="str">
        <f t="shared" si="35"/>
        <v>2L3X2-1/2X7/16X3/4SLBB</v>
      </c>
      <c r="I1058" s="7">
        <v>2.5</v>
      </c>
      <c r="J1058" s="5" t="s">
        <v>5</v>
      </c>
      <c r="K1058" s="6" t="s">
        <v>5</v>
      </c>
      <c r="L1058" s="6" t="s">
        <v>5</v>
      </c>
      <c r="M1058" s="6" t="s">
        <v>5</v>
      </c>
      <c r="N1058" s="6" t="s">
        <v>5</v>
      </c>
      <c r="O1058" s="5" t="s">
        <v>5</v>
      </c>
      <c r="P1058" s="5" t="s">
        <v>5</v>
      </c>
      <c r="Q1058" s="7">
        <v>3</v>
      </c>
      <c r="R1058" s="6" t="s">
        <v>5</v>
      </c>
      <c r="S1058" s="6" t="s">
        <v>5</v>
      </c>
      <c r="T1058" s="5" t="s">
        <v>5</v>
      </c>
      <c r="U1058" s="8" t="s">
        <v>5</v>
      </c>
      <c r="V1058" s="6" t="s">
        <v>5</v>
      </c>
      <c r="W1058" s="8" t="s">
        <v>5</v>
      </c>
      <c r="X1058" s="22">
        <v>0.438</v>
      </c>
      <c r="Y1058" s="6" t="s">
        <v>5</v>
      </c>
      <c r="Z1058" s="6" t="s">
        <v>5</v>
      </c>
      <c r="AA1058" s="6" t="s">
        <v>5</v>
      </c>
      <c r="AB1058" s="8" t="s">
        <v>5</v>
      </c>
      <c r="AC1058" s="8" t="s">
        <v>5</v>
      </c>
      <c r="AD1058" s="6" t="s">
        <v>5</v>
      </c>
      <c r="AE1058" s="22">
        <v>0.72399999999999998</v>
      </c>
      <c r="AF1058" s="6" t="s">
        <v>5</v>
      </c>
      <c r="AG1058" s="6" t="s">
        <v>5</v>
      </c>
      <c r="AH1058" s="22">
        <v>0.37</v>
      </c>
      <c r="AI1058" s="6" t="s">
        <v>5</v>
      </c>
      <c r="AJ1058" s="7">
        <v>6.85</v>
      </c>
      <c r="AK1058" s="6" t="s">
        <v>5</v>
      </c>
      <c r="AL1058" s="6" t="s">
        <v>5</v>
      </c>
      <c r="AM1058" s="6" t="s">
        <v>5</v>
      </c>
      <c r="AN1058" s="6" t="s">
        <v>5</v>
      </c>
      <c r="AO1058" s="7">
        <v>2.33</v>
      </c>
      <c r="AP1058" s="7">
        <v>2.38</v>
      </c>
      <c r="AQ1058" s="7">
        <v>1.31</v>
      </c>
      <c r="AR1058" s="22">
        <v>0.72399999999999998</v>
      </c>
      <c r="AS1058" s="6">
        <v>11.8</v>
      </c>
      <c r="AT1058" s="6">
        <v>5.98</v>
      </c>
      <c r="AU1058" s="7">
        <v>3.5</v>
      </c>
      <c r="AV1058" s="7">
        <v>1.63</v>
      </c>
      <c r="AW1058" s="6" t="s">
        <v>5</v>
      </c>
      <c r="AX1058" s="6" t="s">
        <v>5</v>
      </c>
      <c r="AY1058" s="6" t="s">
        <v>5</v>
      </c>
      <c r="AZ1058" s="6" t="s">
        <v>5</v>
      </c>
      <c r="BA1058" s="6" t="s">
        <v>5</v>
      </c>
      <c r="BB1058" s="6" t="s">
        <v>5</v>
      </c>
      <c r="BC1058" s="6" t="s">
        <v>5</v>
      </c>
      <c r="BD1058" s="6" t="s">
        <v>5</v>
      </c>
      <c r="BE1058" s="6" t="s">
        <v>5</v>
      </c>
      <c r="BF1058" s="6" t="s">
        <v>5</v>
      </c>
      <c r="BG1058" s="6" t="s">
        <v>5</v>
      </c>
      <c r="BH1058" s="6" t="s">
        <v>5</v>
      </c>
      <c r="BI1058" s="7">
        <v>1.85</v>
      </c>
      <c r="BJ1058" s="22">
        <v>0.92600000000000005</v>
      </c>
      <c r="BK1058" s="6" t="s">
        <v>5</v>
      </c>
      <c r="BL1058" s="2" t="s">
        <v>5</v>
      </c>
      <c r="BM1058" s="2" t="s">
        <v>5</v>
      </c>
      <c r="BN1058" s="2" t="s">
        <v>5</v>
      </c>
      <c r="BO1058" s="2" t="s">
        <v>5</v>
      </c>
      <c r="BP1058" s="2" t="s">
        <v>5</v>
      </c>
      <c r="BQ1058" s="2" t="s">
        <v>5</v>
      </c>
      <c r="BR1058" s="2" t="s">
        <v>5</v>
      </c>
      <c r="BS1058" s="2" t="s">
        <v>5</v>
      </c>
      <c r="BT1058" s="2" t="s">
        <v>5</v>
      </c>
      <c r="BU1058" s="2" t="s">
        <v>5</v>
      </c>
      <c r="BV1058" s="2" t="s">
        <v>5</v>
      </c>
      <c r="BW1058" s="2" t="s">
        <v>5</v>
      </c>
      <c r="BX1058" s="2" t="s">
        <v>5</v>
      </c>
      <c r="BY1058" s="25" t="s">
        <v>5</v>
      </c>
      <c r="BZ1058" s="25" t="s">
        <v>5</v>
      </c>
      <c r="CA1058" s="6" t="s">
        <v>5</v>
      </c>
      <c r="CB1058" s="6" t="s">
        <v>5</v>
      </c>
      <c r="CC1058" s="6" t="s">
        <v>5</v>
      </c>
      <c r="CD1058" s="6" t="s">
        <v>5</v>
      </c>
      <c r="CE1058" s="6" t="s">
        <v>5</v>
      </c>
      <c r="CF1058" s="16" t="s">
        <v>5</v>
      </c>
      <c r="CG1058" s="16" t="s">
        <v>5</v>
      </c>
      <c r="CH1058" s="18" t="s">
        <v>5</v>
      </c>
    </row>
    <row r="1059" spans="2:86">
      <c r="B1059" s="78" t="s">
        <v>473</v>
      </c>
      <c r="C1059" s="79" t="s">
        <v>1159</v>
      </c>
      <c r="D1059" s="80" t="s">
        <v>1159</v>
      </c>
      <c r="E1059" s="1" t="s">
        <v>4</v>
      </c>
      <c r="F1059" s="4">
        <v>13.2</v>
      </c>
      <c r="G1059" s="7">
        <v>3.86</v>
      </c>
      <c r="H1059" s="3" t="str">
        <f t="shared" si="35"/>
        <v>2L3X2-1/2X3/8SLBB</v>
      </c>
      <c r="I1059" s="7">
        <v>2.5</v>
      </c>
      <c r="J1059" s="5" t="s">
        <v>5</v>
      </c>
      <c r="K1059" s="6" t="s">
        <v>5</v>
      </c>
      <c r="L1059" s="6" t="s">
        <v>5</v>
      </c>
      <c r="M1059" s="6" t="s">
        <v>5</v>
      </c>
      <c r="N1059" s="6" t="s">
        <v>5</v>
      </c>
      <c r="O1059" s="5" t="s">
        <v>5</v>
      </c>
      <c r="P1059" s="5" t="s">
        <v>5</v>
      </c>
      <c r="Q1059" s="7">
        <v>3</v>
      </c>
      <c r="R1059" s="6" t="s">
        <v>5</v>
      </c>
      <c r="S1059" s="6" t="s">
        <v>5</v>
      </c>
      <c r="T1059" s="5" t="s">
        <v>5</v>
      </c>
      <c r="U1059" s="8" t="s">
        <v>5</v>
      </c>
      <c r="V1059" s="6" t="s">
        <v>5</v>
      </c>
      <c r="W1059" s="8" t="s">
        <v>5</v>
      </c>
      <c r="X1059" s="22">
        <v>0.375</v>
      </c>
      <c r="Y1059" s="6" t="s">
        <v>5</v>
      </c>
      <c r="Z1059" s="6" t="s">
        <v>5</v>
      </c>
      <c r="AA1059" s="6" t="s">
        <v>5</v>
      </c>
      <c r="AB1059" s="8" t="s">
        <v>5</v>
      </c>
      <c r="AC1059" s="8" t="s">
        <v>5</v>
      </c>
      <c r="AD1059" s="6" t="s">
        <v>5</v>
      </c>
      <c r="AE1059" s="22">
        <v>0.70099999999999996</v>
      </c>
      <c r="AF1059" s="6" t="s">
        <v>5</v>
      </c>
      <c r="AG1059" s="6" t="s">
        <v>5</v>
      </c>
      <c r="AH1059" s="22">
        <v>0.32200000000000001</v>
      </c>
      <c r="AI1059" s="6" t="s">
        <v>5</v>
      </c>
      <c r="AJ1059" s="7">
        <v>8</v>
      </c>
      <c r="AK1059" s="6" t="s">
        <v>5</v>
      </c>
      <c r="AL1059" s="6" t="s">
        <v>5</v>
      </c>
      <c r="AM1059" s="6" t="s">
        <v>5</v>
      </c>
      <c r="AN1059" s="6" t="s">
        <v>5</v>
      </c>
      <c r="AO1059" s="7">
        <v>2.06</v>
      </c>
      <c r="AP1059" s="7">
        <v>2.0699999999999998</v>
      </c>
      <c r="AQ1059" s="7">
        <v>1.1499999999999999</v>
      </c>
      <c r="AR1059" s="22">
        <v>0.73099999999999998</v>
      </c>
      <c r="AS1059" s="6">
        <v>6.73</v>
      </c>
      <c r="AT1059" s="6">
        <v>3.66</v>
      </c>
      <c r="AU1059" s="6">
        <v>2.2400000000000002</v>
      </c>
      <c r="AV1059" s="7">
        <v>1.32</v>
      </c>
      <c r="AW1059" s="6" t="s">
        <v>5</v>
      </c>
      <c r="AX1059" s="6" t="s">
        <v>5</v>
      </c>
      <c r="AY1059" s="6" t="s">
        <v>5</v>
      </c>
      <c r="AZ1059" s="6" t="s">
        <v>5</v>
      </c>
      <c r="BA1059" s="6" t="s">
        <v>5</v>
      </c>
      <c r="BB1059" s="6" t="s">
        <v>5</v>
      </c>
      <c r="BC1059" s="6" t="s">
        <v>5</v>
      </c>
      <c r="BD1059" s="6" t="s">
        <v>5</v>
      </c>
      <c r="BE1059" s="6" t="s">
        <v>5</v>
      </c>
      <c r="BF1059" s="6" t="s">
        <v>5</v>
      </c>
      <c r="BG1059" s="6" t="s">
        <v>5</v>
      </c>
      <c r="BH1059" s="6" t="s">
        <v>5</v>
      </c>
      <c r="BI1059" s="7">
        <v>1.6</v>
      </c>
      <c r="BJ1059" s="22">
        <v>0.89700000000000002</v>
      </c>
      <c r="BK1059" s="6" t="s">
        <v>5</v>
      </c>
      <c r="BL1059" s="2" t="s">
        <v>5</v>
      </c>
      <c r="BM1059" s="2" t="s">
        <v>5</v>
      </c>
      <c r="BN1059" s="2" t="s">
        <v>5</v>
      </c>
      <c r="BO1059" s="2" t="s">
        <v>5</v>
      </c>
      <c r="BP1059" s="2" t="s">
        <v>5</v>
      </c>
      <c r="BQ1059" s="2" t="s">
        <v>5</v>
      </c>
      <c r="BR1059" s="2" t="s">
        <v>5</v>
      </c>
      <c r="BS1059" s="2" t="s">
        <v>5</v>
      </c>
      <c r="BT1059" s="2" t="s">
        <v>5</v>
      </c>
      <c r="BU1059" s="2" t="s">
        <v>5</v>
      </c>
      <c r="BV1059" s="2" t="s">
        <v>5</v>
      </c>
      <c r="BW1059" s="2" t="s">
        <v>5</v>
      </c>
      <c r="BX1059" s="2" t="s">
        <v>5</v>
      </c>
      <c r="BY1059" s="25" t="s">
        <v>5</v>
      </c>
      <c r="BZ1059" s="25" t="s">
        <v>5</v>
      </c>
      <c r="CA1059" s="6" t="s">
        <v>5</v>
      </c>
      <c r="CB1059" s="6" t="s">
        <v>5</v>
      </c>
      <c r="CC1059" s="6" t="s">
        <v>5</v>
      </c>
      <c r="CD1059" s="6" t="s">
        <v>5</v>
      </c>
      <c r="CE1059" s="6" t="s">
        <v>5</v>
      </c>
      <c r="CF1059" s="16" t="s">
        <v>5</v>
      </c>
      <c r="CG1059" s="16" t="s">
        <v>5</v>
      </c>
      <c r="CH1059" s="18" t="s">
        <v>5</v>
      </c>
    </row>
    <row r="1060" spans="2:86">
      <c r="B1060" s="78" t="s">
        <v>473</v>
      </c>
      <c r="C1060" s="79" t="s">
        <v>1160</v>
      </c>
      <c r="D1060" s="80" t="s">
        <v>1160</v>
      </c>
      <c r="E1060" s="1" t="s">
        <v>4</v>
      </c>
      <c r="F1060" s="4">
        <v>13.2</v>
      </c>
      <c r="G1060" s="7">
        <v>3.86</v>
      </c>
      <c r="H1060" s="3" t="str">
        <f t="shared" si="35"/>
        <v>2L3X2-1/2X3/8X3/8SLBB</v>
      </c>
      <c r="I1060" s="7">
        <v>2.5</v>
      </c>
      <c r="J1060" s="5" t="s">
        <v>5</v>
      </c>
      <c r="K1060" s="6" t="s">
        <v>5</v>
      </c>
      <c r="L1060" s="6" t="s">
        <v>5</v>
      </c>
      <c r="M1060" s="6" t="s">
        <v>5</v>
      </c>
      <c r="N1060" s="6" t="s">
        <v>5</v>
      </c>
      <c r="O1060" s="5" t="s">
        <v>5</v>
      </c>
      <c r="P1060" s="5" t="s">
        <v>5</v>
      </c>
      <c r="Q1060" s="7">
        <v>3</v>
      </c>
      <c r="R1060" s="6" t="s">
        <v>5</v>
      </c>
      <c r="S1060" s="6" t="s">
        <v>5</v>
      </c>
      <c r="T1060" s="5" t="s">
        <v>5</v>
      </c>
      <c r="U1060" s="8" t="s">
        <v>5</v>
      </c>
      <c r="V1060" s="6" t="s">
        <v>5</v>
      </c>
      <c r="W1060" s="8" t="s">
        <v>5</v>
      </c>
      <c r="X1060" s="22">
        <v>0.375</v>
      </c>
      <c r="Y1060" s="6" t="s">
        <v>5</v>
      </c>
      <c r="Z1060" s="6" t="s">
        <v>5</v>
      </c>
      <c r="AA1060" s="6" t="s">
        <v>5</v>
      </c>
      <c r="AB1060" s="8" t="s">
        <v>5</v>
      </c>
      <c r="AC1060" s="8" t="s">
        <v>5</v>
      </c>
      <c r="AD1060" s="6" t="s">
        <v>5</v>
      </c>
      <c r="AE1060" s="22">
        <v>0.70099999999999996</v>
      </c>
      <c r="AF1060" s="6" t="s">
        <v>5</v>
      </c>
      <c r="AG1060" s="6" t="s">
        <v>5</v>
      </c>
      <c r="AH1060" s="22">
        <v>0.32200000000000001</v>
      </c>
      <c r="AI1060" s="6" t="s">
        <v>5</v>
      </c>
      <c r="AJ1060" s="7">
        <v>8</v>
      </c>
      <c r="AK1060" s="6" t="s">
        <v>5</v>
      </c>
      <c r="AL1060" s="6" t="s">
        <v>5</v>
      </c>
      <c r="AM1060" s="6" t="s">
        <v>5</v>
      </c>
      <c r="AN1060" s="6" t="s">
        <v>5</v>
      </c>
      <c r="AO1060" s="7">
        <v>2.06</v>
      </c>
      <c r="AP1060" s="7">
        <v>2.0699999999999998</v>
      </c>
      <c r="AQ1060" s="7">
        <v>1.1499999999999999</v>
      </c>
      <c r="AR1060" s="22">
        <v>0.73099999999999998</v>
      </c>
      <c r="AS1060" s="6">
        <v>8.23</v>
      </c>
      <c r="AT1060" s="6">
        <v>4.3899999999999997</v>
      </c>
      <c r="AU1060" s="6">
        <v>2.58</v>
      </c>
      <c r="AV1060" s="7">
        <v>1.46</v>
      </c>
      <c r="AW1060" s="6" t="s">
        <v>5</v>
      </c>
      <c r="AX1060" s="6" t="s">
        <v>5</v>
      </c>
      <c r="AY1060" s="6" t="s">
        <v>5</v>
      </c>
      <c r="AZ1060" s="6" t="s">
        <v>5</v>
      </c>
      <c r="BA1060" s="6" t="s">
        <v>5</v>
      </c>
      <c r="BB1060" s="6" t="s">
        <v>5</v>
      </c>
      <c r="BC1060" s="6" t="s">
        <v>5</v>
      </c>
      <c r="BD1060" s="6" t="s">
        <v>5</v>
      </c>
      <c r="BE1060" s="6" t="s">
        <v>5</v>
      </c>
      <c r="BF1060" s="6" t="s">
        <v>5</v>
      </c>
      <c r="BG1060" s="6" t="s">
        <v>5</v>
      </c>
      <c r="BH1060" s="6" t="s">
        <v>5</v>
      </c>
      <c r="BI1060" s="7">
        <v>1.72</v>
      </c>
      <c r="BJ1060" s="22">
        <v>0.91100000000000003</v>
      </c>
      <c r="BK1060" s="6" t="s">
        <v>5</v>
      </c>
      <c r="BL1060" s="2" t="s">
        <v>5</v>
      </c>
      <c r="BM1060" s="2" t="s">
        <v>5</v>
      </c>
      <c r="BN1060" s="2" t="s">
        <v>5</v>
      </c>
      <c r="BO1060" s="2" t="s">
        <v>5</v>
      </c>
      <c r="BP1060" s="2" t="s">
        <v>5</v>
      </c>
      <c r="BQ1060" s="2" t="s">
        <v>5</v>
      </c>
      <c r="BR1060" s="2" t="s">
        <v>5</v>
      </c>
      <c r="BS1060" s="2" t="s">
        <v>5</v>
      </c>
      <c r="BT1060" s="2" t="s">
        <v>5</v>
      </c>
      <c r="BU1060" s="2" t="s">
        <v>5</v>
      </c>
      <c r="BV1060" s="2" t="s">
        <v>5</v>
      </c>
      <c r="BW1060" s="2" t="s">
        <v>5</v>
      </c>
      <c r="BX1060" s="2" t="s">
        <v>5</v>
      </c>
      <c r="BY1060" s="25" t="s">
        <v>5</v>
      </c>
      <c r="BZ1060" s="25" t="s">
        <v>5</v>
      </c>
      <c r="CA1060" s="6" t="s">
        <v>5</v>
      </c>
      <c r="CB1060" s="6" t="s">
        <v>5</v>
      </c>
      <c r="CC1060" s="6" t="s">
        <v>5</v>
      </c>
      <c r="CD1060" s="6" t="s">
        <v>5</v>
      </c>
      <c r="CE1060" s="6" t="s">
        <v>5</v>
      </c>
      <c r="CF1060" s="16" t="s">
        <v>5</v>
      </c>
      <c r="CG1060" s="16" t="s">
        <v>5</v>
      </c>
      <c r="CH1060" s="18" t="s">
        <v>5</v>
      </c>
    </row>
    <row r="1061" spans="2:86">
      <c r="B1061" s="78" t="s">
        <v>473</v>
      </c>
      <c r="C1061" s="79" t="s">
        <v>1161</v>
      </c>
      <c r="D1061" s="80" t="s">
        <v>1161</v>
      </c>
      <c r="E1061" s="1" t="s">
        <v>4</v>
      </c>
      <c r="F1061" s="4">
        <v>13.2</v>
      </c>
      <c r="G1061" s="7">
        <v>3.86</v>
      </c>
      <c r="H1061" s="3" t="str">
        <f t="shared" si="35"/>
        <v>2L3X2-1/2X3/8X3/4SLBB</v>
      </c>
      <c r="I1061" s="7">
        <v>2.5</v>
      </c>
      <c r="J1061" s="5" t="s">
        <v>5</v>
      </c>
      <c r="K1061" s="6" t="s">
        <v>5</v>
      </c>
      <c r="L1061" s="6" t="s">
        <v>5</v>
      </c>
      <c r="M1061" s="6" t="s">
        <v>5</v>
      </c>
      <c r="N1061" s="6" t="s">
        <v>5</v>
      </c>
      <c r="O1061" s="5" t="s">
        <v>5</v>
      </c>
      <c r="P1061" s="5" t="s">
        <v>5</v>
      </c>
      <c r="Q1061" s="7">
        <v>3</v>
      </c>
      <c r="R1061" s="6" t="s">
        <v>5</v>
      </c>
      <c r="S1061" s="6" t="s">
        <v>5</v>
      </c>
      <c r="T1061" s="5" t="s">
        <v>5</v>
      </c>
      <c r="U1061" s="8" t="s">
        <v>5</v>
      </c>
      <c r="V1061" s="6" t="s">
        <v>5</v>
      </c>
      <c r="W1061" s="8" t="s">
        <v>5</v>
      </c>
      <c r="X1061" s="22">
        <v>0.375</v>
      </c>
      <c r="Y1061" s="6" t="s">
        <v>5</v>
      </c>
      <c r="Z1061" s="6" t="s">
        <v>5</v>
      </c>
      <c r="AA1061" s="6" t="s">
        <v>5</v>
      </c>
      <c r="AB1061" s="8" t="s">
        <v>5</v>
      </c>
      <c r="AC1061" s="8" t="s">
        <v>5</v>
      </c>
      <c r="AD1061" s="6" t="s">
        <v>5</v>
      </c>
      <c r="AE1061" s="22">
        <v>0.70099999999999996</v>
      </c>
      <c r="AF1061" s="6" t="s">
        <v>5</v>
      </c>
      <c r="AG1061" s="6" t="s">
        <v>5</v>
      </c>
      <c r="AH1061" s="22">
        <v>0.32200000000000001</v>
      </c>
      <c r="AI1061" s="6" t="s">
        <v>5</v>
      </c>
      <c r="AJ1061" s="7">
        <v>8</v>
      </c>
      <c r="AK1061" s="6" t="s">
        <v>5</v>
      </c>
      <c r="AL1061" s="6" t="s">
        <v>5</v>
      </c>
      <c r="AM1061" s="6" t="s">
        <v>5</v>
      </c>
      <c r="AN1061" s="6" t="s">
        <v>5</v>
      </c>
      <c r="AO1061" s="7">
        <v>2.06</v>
      </c>
      <c r="AP1061" s="7">
        <v>2.0699999999999998</v>
      </c>
      <c r="AQ1061" s="7">
        <v>1.1499999999999999</v>
      </c>
      <c r="AR1061" s="22">
        <v>0.73099999999999998</v>
      </c>
      <c r="AS1061" s="4">
        <v>10</v>
      </c>
      <c r="AT1061" s="6">
        <v>5.1100000000000003</v>
      </c>
      <c r="AU1061" s="6">
        <v>2.96</v>
      </c>
      <c r="AV1061" s="7">
        <v>1.61</v>
      </c>
      <c r="AW1061" s="6" t="s">
        <v>5</v>
      </c>
      <c r="AX1061" s="6" t="s">
        <v>5</v>
      </c>
      <c r="AY1061" s="6" t="s">
        <v>5</v>
      </c>
      <c r="AZ1061" s="6" t="s">
        <v>5</v>
      </c>
      <c r="BA1061" s="6" t="s">
        <v>5</v>
      </c>
      <c r="BB1061" s="6" t="s">
        <v>5</v>
      </c>
      <c r="BC1061" s="6" t="s">
        <v>5</v>
      </c>
      <c r="BD1061" s="6" t="s">
        <v>5</v>
      </c>
      <c r="BE1061" s="6" t="s">
        <v>5</v>
      </c>
      <c r="BF1061" s="6" t="s">
        <v>5</v>
      </c>
      <c r="BG1061" s="6" t="s">
        <v>5</v>
      </c>
      <c r="BH1061" s="6" t="s">
        <v>5</v>
      </c>
      <c r="BI1061" s="7">
        <v>1.85</v>
      </c>
      <c r="BJ1061" s="22">
        <v>0.92300000000000004</v>
      </c>
      <c r="BK1061" s="6" t="s">
        <v>5</v>
      </c>
      <c r="BL1061" s="2" t="s">
        <v>5</v>
      </c>
      <c r="BM1061" s="2" t="s">
        <v>5</v>
      </c>
      <c r="BN1061" s="2" t="s">
        <v>5</v>
      </c>
      <c r="BO1061" s="2" t="s">
        <v>5</v>
      </c>
      <c r="BP1061" s="2" t="s">
        <v>5</v>
      </c>
      <c r="BQ1061" s="2" t="s">
        <v>5</v>
      </c>
      <c r="BR1061" s="2" t="s">
        <v>5</v>
      </c>
      <c r="BS1061" s="2" t="s">
        <v>5</v>
      </c>
      <c r="BT1061" s="2" t="s">
        <v>5</v>
      </c>
      <c r="BU1061" s="2" t="s">
        <v>5</v>
      </c>
      <c r="BV1061" s="2" t="s">
        <v>5</v>
      </c>
      <c r="BW1061" s="2" t="s">
        <v>5</v>
      </c>
      <c r="BX1061" s="2" t="s">
        <v>5</v>
      </c>
      <c r="BY1061" s="25" t="s">
        <v>5</v>
      </c>
      <c r="BZ1061" s="25" t="s">
        <v>5</v>
      </c>
      <c r="CA1061" s="6" t="s">
        <v>5</v>
      </c>
      <c r="CB1061" s="6" t="s">
        <v>5</v>
      </c>
      <c r="CC1061" s="6" t="s">
        <v>5</v>
      </c>
      <c r="CD1061" s="6" t="s">
        <v>5</v>
      </c>
      <c r="CE1061" s="6" t="s">
        <v>5</v>
      </c>
      <c r="CF1061" s="16" t="s">
        <v>5</v>
      </c>
      <c r="CG1061" s="16" t="s">
        <v>5</v>
      </c>
      <c r="CH1061" s="18" t="s">
        <v>5</v>
      </c>
    </row>
    <row r="1062" spans="2:86">
      <c r="B1062" s="78" t="s">
        <v>473</v>
      </c>
      <c r="C1062" s="79" t="s">
        <v>1162</v>
      </c>
      <c r="D1062" s="80" t="s">
        <v>1162</v>
      </c>
      <c r="E1062" s="1" t="s">
        <v>4</v>
      </c>
      <c r="F1062" s="4">
        <v>11.2</v>
      </c>
      <c r="G1062" s="7">
        <v>3.26</v>
      </c>
      <c r="H1062" s="3" t="str">
        <f t="shared" si="35"/>
        <v>2L3X2-1/2X5/16SLBB</v>
      </c>
      <c r="I1062" s="7">
        <v>2.5</v>
      </c>
      <c r="J1062" s="5" t="s">
        <v>5</v>
      </c>
      <c r="K1062" s="6" t="s">
        <v>5</v>
      </c>
      <c r="L1062" s="6" t="s">
        <v>5</v>
      </c>
      <c r="M1062" s="6" t="s">
        <v>5</v>
      </c>
      <c r="N1062" s="6" t="s">
        <v>5</v>
      </c>
      <c r="O1062" s="5" t="s">
        <v>5</v>
      </c>
      <c r="P1062" s="5" t="s">
        <v>5</v>
      </c>
      <c r="Q1062" s="7">
        <v>3</v>
      </c>
      <c r="R1062" s="6" t="s">
        <v>5</v>
      </c>
      <c r="S1062" s="6" t="s">
        <v>5</v>
      </c>
      <c r="T1062" s="5" t="s">
        <v>5</v>
      </c>
      <c r="U1062" s="8" t="s">
        <v>5</v>
      </c>
      <c r="V1062" s="6" t="s">
        <v>5</v>
      </c>
      <c r="W1062" s="8" t="s">
        <v>5</v>
      </c>
      <c r="X1062" s="22">
        <v>0.313</v>
      </c>
      <c r="Y1062" s="6" t="s">
        <v>5</v>
      </c>
      <c r="Z1062" s="6" t="s">
        <v>5</v>
      </c>
      <c r="AA1062" s="6" t="s">
        <v>5</v>
      </c>
      <c r="AB1062" s="8" t="s">
        <v>5</v>
      </c>
      <c r="AC1062" s="8" t="s">
        <v>5</v>
      </c>
      <c r="AD1062" s="6" t="s">
        <v>5</v>
      </c>
      <c r="AE1062" s="22">
        <v>0.67700000000000005</v>
      </c>
      <c r="AF1062" s="6" t="s">
        <v>5</v>
      </c>
      <c r="AG1062" s="6" t="s">
        <v>5</v>
      </c>
      <c r="AH1062" s="22">
        <v>0.27200000000000002</v>
      </c>
      <c r="AI1062" s="6" t="s">
        <v>5</v>
      </c>
      <c r="AJ1062" s="7">
        <v>9.58</v>
      </c>
      <c r="AK1062" s="6" t="s">
        <v>5</v>
      </c>
      <c r="AL1062" s="6" t="s">
        <v>5</v>
      </c>
      <c r="AM1062" s="6" t="s">
        <v>5</v>
      </c>
      <c r="AN1062" s="6" t="s">
        <v>5</v>
      </c>
      <c r="AO1062" s="7">
        <v>1.78</v>
      </c>
      <c r="AP1062" s="7">
        <v>1.75</v>
      </c>
      <c r="AQ1062" s="22">
        <v>0.97399999999999998</v>
      </c>
      <c r="AR1062" s="22">
        <v>0.73899999999999999</v>
      </c>
      <c r="AS1062" s="6">
        <v>5.59</v>
      </c>
      <c r="AT1062" s="6">
        <v>3.02</v>
      </c>
      <c r="AU1062" s="6">
        <v>1.86</v>
      </c>
      <c r="AV1062" s="7">
        <v>1.31</v>
      </c>
      <c r="AW1062" s="6" t="s">
        <v>5</v>
      </c>
      <c r="AX1062" s="6" t="s">
        <v>5</v>
      </c>
      <c r="AY1062" s="6" t="s">
        <v>5</v>
      </c>
      <c r="AZ1062" s="6" t="s">
        <v>5</v>
      </c>
      <c r="BA1062" s="6" t="s">
        <v>5</v>
      </c>
      <c r="BB1062" s="6" t="s">
        <v>5</v>
      </c>
      <c r="BC1062" s="6" t="s">
        <v>5</v>
      </c>
      <c r="BD1062" s="6" t="s">
        <v>5</v>
      </c>
      <c r="BE1062" s="6" t="s">
        <v>5</v>
      </c>
      <c r="BF1062" s="6" t="s">
        <v>5</v>
      </c>
      <c r="BG1062" s="6" t="s">
        <v>5</v>
      </c>
      <c r="BH1062" s="6" t="s">
        <v>5</v>
      </c>
      <c r="BI1062" s="7">
        <v>1.59</v>
      </c>
      <c r="BJ1062" s="22">
        <v>0.89300000000000002</v>
      </c>
      <c r="BK1062" s="6" t="s">
        <v>5</v>
      </c>
      <c r="BL1062" s="2" t="s">
        <v>5</v>
      </c>
      <c r="BM1062" s="2" t="s">
        <v>5</v>
      </c>
      <c r="BN1062" s="2" t="s">
        <v>5</v>
      </c>
      <c r="BO1062" s="2" t="s">
        <v>5</v>
      </c>
      <c r="BP1062" s="2" t="s">
        <v>5</v>
      </c>
      <c r="BQ1062" s="2" t="s">
        <v>5</v>
      </c>
      <c r="BR1062" s="2" t="s">
        <v>5</v>
      </c>
      <c r="BS1062" s="2" t="s">
        <v>5</v>
      </c>
      <c r="BT1062" s="2" t="s">
        <v>5</v>
      </c>
      <c r="BU1062" s="2" t="s">
        <v>5</v>
      </c>
      <c r="BV1062" s="2" t="s">
        <v>5</v>
      </c>
      <c r="BW1062" s="2" t="s">
        <v>5</v>
      </c>
      <c r="BX1062" s="2" t="s">
        <v>5</v>
      </c>
      <c r="BY1062" s="25" t="s">
        <v>5</v>
      </c>
      <c r="BZ1062" s="25" t="s">
        <v>5</v>
      </c>
      <c r="CA1062" s="6" t="s">
        <v>5</v>
      </c>
      <c r="CB1062" s="6" t="s">
        <v>5</v>
      </c>
      <c r="CC1062" s="6" t="s">
        <v>5</v>
      </c>
      <c r="CD1062" s="6" t="s">
        <v>5</v>
      </c>
      <c r="CE1062" s="6" t="s">
        <v>5</v>
      </c>
      <c r="CF1062" s="16" t="s">
        <v>5</v>
      </c>
      <c r="CG1062" s="16" t="s">
        <v>5</v>
      </c>
      <c r="CH1062" s="18" t="s">
        <v>5</v>
      </c>
    </row>
    <row r="1063" spans="2:86">
      <c r="B1063" s="78" t="s">
        <v>473</v>
      </c>
      <c r="C1063" s="79" t="s">
        <v>1163</v>
      </c>
      <c r="D1063" s="80" t="s">
        <v>1163</v>
      </c>
      <c r="E1063" s="1" t="s">
        <v>4</v>
      </c>
      <c r="F1063" s="4">
        <v>11.2</v>
      </c>
      <c r="G1063" s="7">
        <v>3.26</v>
      </c>
      <c r="H1063" s="3" t="str">
        <f t="shared" si="35"/>
        <v>2L3X2-1/2X5/16X3/8SLBB</v>
      </c>
      <c r="I1063" s="7">
        <v>2.5</v>
      </c>
      <c r="J1063" s="5" t="s">
        <v>5</v>
      </c>
      <c r="K1063" s="6" t="s">
        <v>5</v>
      </c>
      <c r="L1063" s="6" t="s">
        <v>5</v>
      </c>
      <c r="M1063" s="6" t="s">
        <v>5</v>
      </c>
      <c r="N1063" s="6" t="s">
        <v>5</v>
      </c>
      <c r="O1063" s="5" t="s">
        <v>5</v>
      </c>
      <c r="P1063" s="5" t="s">
        <v>5</v>
      </c>
      <c r="Q1063" s="7">
        <v>3</v>
      </c>
      <c r="R1063" s="6" t="s">
        <v>5</v>
      </c>
      <c r="S1063" s="6" t="s">
        <v>5</v>
      </c>
      <c r="T1063" s="5" t="s">
        <v>5</v>
      </c>
      <c r="U1063" s="8" t="s">
        <v>5</v>
      </c>
      <c r="V1063" s="6" t="s">
        <v>5</v>
      </c>
      <c r="W1063" s="8" t="s">
        <v>5</v>
      </c>
      <c r="X1063" s="22">
        <v>0.313</v>
      </c>
      <c r="Y1063" s="6" t="s">
        <v>5</v>
      </c>
      <c r="Z1063" s="6" t="s">
        <v>5</v>
      </c>
      <c r="AA1063" s="6" t="s">
        <v>5</v>
      </c>
      <c r="AB1063" s="8" t="s">
        <v>5</v>
      </c>
      <c r="AC1063" s="8" t="s">
        <v>5</v>
      </c>
      <c r="AD1063" s="6" t="s">
        <v>5</v>
      </c>
      <c r="AE1063" s="22">
        <v>0.67700000000000005</v>
      </c>
      <c r="AF1063" s="6" t="s">
        <v>5</v>
      </c>
      <c r="AG1063" s="6" t="s">
        <v>5</v>
      </c>
      <c r="AH1063" s="22">
        <v>0.27200000000000002</v>
      </c>
      <c r="AI1063" s="6" t="s">
        <v>5</v>
      </c>
      <c r="AJ1063" s="7">
        <v>9.58</v>
      </c>
      <c r="AK1063" s="6" t="s">
        <v>5</v>
      </c>
      <c r="AL1063" s="6" t="s">
        <v>5</v>
      </c>
      <c r="AM1063" s="6" t="s">
        <v>5</v>
      </c>
      <c r="AN1063" s="6" t="s">
        <v>5</v>
      </c>
      <c r="AO1063" s="7">
        <v>1.78</v>
      </c>
      <c r="AP1063" s="7">
        <v>1.75</v>
      </c>
      <c r="AQ1063" s="22">
        <v>0.97399999999999998</v>
      </c>
      <c r="AR1063" s="22">
        <v>0.73899999999999999</v>
      </c>
      <c r="AS1063" s="6">
        <v>6.85</v>
      </c>
      <c r="AT1063" s="6">
        <v>3.63</v>
      </c>
      <c r="AU1063" s="6">
        <v>2.15</v>
      </c>
      <c r="AV1063" s="7">
        <v>1.45</v>
      </c>
      <c r="AW1063" s="6" t="s">
        <v>5</v>
      </c>
      <c r="AX1063" s="6" t="s">
        <v>5</v>
      </c>
      <c r="AY1063" s="6" t="s">
        <v>5</v>
      </c>
      <c r="AZ1063" s="6" t="s">
        <v>5</v>
      </c>
      <c r="BA1063" s="6" t="s">
        <v>5</v>
      </c>
      <c r="BB1063" s="6" t="s">
        <v>5</v>
      </c>
      <c r="BC1063" s="6" t="s">
        <v>5</v>
      </c>
      <c r="BD1063" s="6" t="s">
        <v>5</v>
      </c>
      <c r="BE1063" s="6" t="s">
        <v>5</v>
      </c>
      <c r="BF1063" s="6" t="s">
        <v>5</v>
      </c>
      <c r="BG1063" s="6" t="s">
        <v>5</v>
      </c>
      <c r="BH1063" s="6" t="s">
        <v>5</v>
      </c>
      <c r="BI1063" s="7">
        <v>1.71</v>
      </c>
      <c r="BJ1063" s="22">
        <v>0.90700000000000003</v>
      </c>
      <c r="BK1063" s="6" t="s">
        <v>5</v>
      </c>
      <c r="BL1063" s="2" t="s">
        <v>5</v>
      </c>
      <c r="BM1063" s="2" t="s">
        <v>5</v>
      </c>
      <c r="BN1063" s="2" t="s">
        <v>5</v>
      </c>
      <c r="BO1063" s="2" t="s">
        <v>5</v>
      </c>
      <c r="BP1063" s="2" t="s">
        <v>5</v>
      </c>
      <c r="BQ1063" s="2" t="s">
        <v>5</v>
      </c>
      <c r="BR1063" s="2" t="s">
        <v>5</v>
      </c>
      <c r="BS1063" s="2" t="s">
        <v>5</v>
      </c>
      <c r="BT1063" s="2" t="s">
        <v>5</v>
      </c>
      <c r="BU1063" s="2" t="s">
        <v>5</v>
      </c>
      <c r="BV1063" s="2" t="s">
        <v>5</v>
      </c>
      <c r="BW1063" s="2" t="s">
        <v>5</v>
      </c>
      <c r="BX1063" s="2" t="s">
        <v>5</v>
      </c>
      <c r="BY1063" s="25" t="s">
        <v>5</v>
      </c>
      <c r="BZ1063" s="25" t="s">
        <v>5</v>
      </c>
      <c r="CA1063" s="6" t="s">
        <v>5</v>
      </c>
      <c r="CB1063" s="6" t="s">
        <v>5</v>
      </c>
      <c r="CC1063" s="6" t="s">
        <v>5</v>
      </c>
      <c r="CD1063" s="6" t="s">
        <v>5</v>
      </c>
      <c r="CE1063" s="6" t="s">
        <v>5</v>
      </c>
      <c r="CF1063" s="16" t="s">
        <v>5</v>
      </c>
      <c r="CG1063" s="16" t="s">
        <v>5</v>
      </c>
      <c r="CH1063" s="18" t="s">
        <v>5</v>
      </c>
    </row>
    <row r="1064" spans="2:86">
      <c r="B1064" s="78" t="s">
        <v>473</v>
      </c>
      <c r="C1064" s="79" t="s">
        <v>1164</v>
      </c>
      <c r="D1064" s="80" t="s">
        <v>1164</v>
      </c>
      <c r="E1064" s="1" t="s">
        <v>4</v>
      </c>
      <c r="F1064" s="4">
        <v>11.2</v>
      </c>
      <c r="G1064" s="7">
        <v>3.26</v>
      </c>
      <c r="H1064" s="3" t="str">
        <f t="shared" si="35"/>
        <v>2L3X2-1/2X5/16X3/4SLBB</v>
      </c>
      <c r="I1064" s="7">
        <v>2.5</v>
      </c>
      <c r="J1064" s="5" t="s">
        <v>5</v>
      </c>
      <c r="K1064" s="6" t="s">
        <v>5</v>
      </c>
      <c r="L1064" s="6" t="s">
        <v>5</v>
      </c>
      <c r="M1064" s="6" t="s">
        <v>5</v>
      </c>
      <c r="N1064" s="6" t="s">
        <v>5</v>
      </c>
      <c r="O1064" s="5" t="s">
        <v>5</v>
      </c>
      <c r="P1064" s="5" t="s">
        <v>5</v>
      </c>
      <c r="Q1064" s="7">
        <v>3</v>
      </c>
      <c r="R1064" s="6" t="s">
        <v>5</v>
      </c>
      <c r="S1064" s="6" t="s">
        <v>5</v>
      </c>
      <c r="T1064" s="5" t="s">
        <v>5</v>
      </c>
      <c r="U1064" s="8" t="s">
        <v>5</v>
      </c>
      <c r="V1064" s="6" t="s">
        <v>5</v>
      </c>
      <c r="W1064" s="8" t="s">
        <v>5</v>
      </c>
      <c r="X1064" s="22">
        <v>0.313</v>
      </c>
      <c r="Y1064" s="6" t="s">
        <v>5</v>
      </c>
      <c r="Z1064" s="6" t="s">
        <v>5</v>
      </c>
      <c r="AA1064" s="6" t="s">
        <v>5</v>
      </c>
      <c r="AB1064" s="8" t="s">
        <v>5</v>
      </c>
      <c r="AC1064" s="8" t="s">
        <v>5</v>
      </c>
      <c r="AD1064" s="6" t="s">
        <v>5</v>
      </c>
      <c r="AE1064" s="22">
        <v>0.67700000000000005</v>
      </c>
      <c r="AF1064" s="6" t="s">
        <v>5</v>
      </c>
      <c r="AG1064" s="6" t="s">
        <v>5</v>
      </c>
      <c r="AH1064" s="22">
        <v>0.27200000000000002</v>
      </c>
      <c r="AI1064" s="6" t="s">
        <v>5</v>
      </c>
      <c r="AJ1064" s="7">
        <v>9.58</v>
      </c>
      <c r="AK1064" s="6" t="s">
        <v>5</v>
      </c>
      <c r="AL1064" s="6" t="s">
        <v>5</v>
      </c>
      <c r="AM1064" s="6" t="s">
        <v>5</v>
      </c>
      <c r="AN1064" s="6" t="s">
        <v>5</v>
      </c>
      <c r="AO1064" s="7">
        <v>1.78</v>
      </c>
      <c r="AP1064" s="7">
        <v>1.75</v>
      </c>
      <c r="AQ1064" s="22">
        <v>0.97399999999999998</v>
      </c>
      <c r="AR1064" s="22">
        <v>0.73899999999999999</v>
      </c>
      <c r="AS1064" s="6">
        <v>8.35</v>
      </c>
      <c r="AT1064" s="6">
        <v>4.24</v>
      </c>
      <c r="AU1064" s="6">
        <v>2.4700000000000002</v>
      </c>
      <c r="AV1064" s="7">
        <v>1.6</v>
      </c>
      <c r="AW1064" s="6" t="s">
        <v>5</v>
      </c>
      <c r="AX1064" s="6" t="s">
        <v>5</v>
      </c>
      <c r="AY1064" s="6" t="s">
        <v>5</v>
      </c>
      <c r="AZ1064" s="6" t="s">
        <v>5</v>
      </c>
      <c r="BA1064" s="6" t="s">
        <v>5</v>
      </c>
      <c r="BB1064" s="6" t="s">
        <v>5</v>
      </c>
      <c r="BC1064" s="6" t="s">
        <v>5</v>
      </c>
      <c r="BD1064" s="6" t="s">
        <v>5</v>
      </c>
      <c r="BE1064" s="6" t="s">
        <v>5</v>
      </c>
      <c r="BF1064" s="6" t="s">
        <v>5</v>
      </c>
      <c r="BG1064" s="6" t="s">
        <v>5</v>
      </c>
      <c r="BH1064" s="6" t="s">
        <v>5</v>
      </c>
      <c r="BI1064" s="7">
        <v>1.84</v>
      </c>
      <c r="BJ1064" s="22">
        <v>0.92</v>
      </c>
      <c r="BK1064" s="6" t="s">
        <v>5</v>
      </c>
      <c r="BL1064" s="2" t="s">
        <v>5</v>
      </c>
      <c r="BM1064" s="2" t="s">
        <v>5</v>
      </c>
      <c r="BN1064" s="2" t="s">
        <v>5</v>
      </c>
      <c r="BO1064" s="2" t="s">
        <v>5</v>
      </c>
      <c r="BP1064" s="2" t="s">
        <v>5</v>
      </c>
      <c r="BQ1064" s="2" t="s">
        <v>5</v>
      </c>
      <c r="BR1064" s="2" t="s">
        <v>5</v>
      </c>
      <c r="BS1064" s="2" t="s">
        <v>5</v>
      </c>
      <c r="BT1064" s="2" t="s">
        <v>5</v>
      </c>
      <c r="BU1064" s="2" t="s">
        <v>5</v>
      </c>
      <c r="BV1064" s="2" t="s">
        <v>5</v>
      </c>
      <c r="BW1064" s="2" t="s">
        <v>5</v>
      </c>
      <c r="BX1064" s="2" t="s">
        <v>5</v>
      </c>
      <c r="BY1064" s="25" t="s">
        <v>5</v>
      </c>
      <c r="BZ1064" s="25" t="s">
        <v>5</v>
      </c>
      <c r="CA1064" s="6" t="s">
        <v>5</v>
      </c>
      <c r="CB1064" s="6" t="s">
        <v>5</v>
      </c>
      <c r="CC1064" s="6" t="s">
        <v>5</v>
      </c>
      <c r="CD1064" s="6" t="s">
        <v>5</v>
      </c>
      <c r="CE1064" s="6" t="s">
        <v>5</v>
      </c>
      <c r="CF1064" s="16" t="s">
        <v>5</v>
      </c>
      <c r="CG1064" s="16" t="s">
        <v>5</v>
      </c>
      <c r="CH1064" s="18" t="s">
        <v>5</v>
      </c>
    </row>
    <row r="1065" spans="2:86">
      <c r="B1065" s="78" t="s">
        <v>473</v>
      </c>
      <c r="C1065" s="79" t="s">
        <v>1165</v>
      </c>
      <c r="D1065" s="80" t="s">
        <v>1165</v>
      </c>
      <c r="E1065" s="1" t="s">
        <v>4</v>
      </c>
      <c r="F1065" s="7">
        <v>9</v>
      </c>
      <c r="G1065" s="7">
        <v>2.64</v>
      </c>
      <c r="H1065" s="3" t="str">
        <f t="shared" si="35"/>
        <v>2L3X2-1/2X1/4SLBB</v>
      </c>
      <c r="I1065" s="7">
        <v>2.5</v>
      </c>
      <c r="J1065" s="5" t="s">
        <v>5</v>
      </c>
      <c r="K1065" s="6" t="s">
        <v>5</v>
      </c>
      <c r="L1065" s="6" t="s">
        <v>5</v>
      </c>
      <c r="M1065" s="6" t="s">
        <v>5</v>
      </c>
      <c r="N1065" s="6" t="s">
        <v>5</v>
      </c>
      <c r="O1065" s="5" t="s">
        <v>5</v>
      </c>
      <c r="P1065" s="5" t="s">
        <v>5</v>
      </c>
      <c r="Q1065" s="7">
        <v>3</v>
      </c>
      <c r="R1065" s="6" t="s">
        <v>5</v>
      </c>
      <c r="S1065" s="6" t="s">
        <v>5</v>
      </c>
      <c r="T1065" s="5" t="s">
        <v>5</v>
      </c>
      <c r="U1065" s="8" t="s">
        <v>5</v>
      </c>
      <c r="V1065" s="6" t="s">
        <v>5</v>
      </c>
      <c r="W1065" s="8" t="s">
        <v>5</v>
      </c>
      <c r="X1065" s="22">
        <v>0.25</v>
      </c>
      <c r="Y1065" s="6" t="s">
        <v>5</v>
      </c>
      <c r="Z1065" s="6" t="s">
        <v>5</v>
      </c>
      <c r="AA1065" s="6" t="s">
        <v>5</v>
      </c>
      <c r="AB1065" s="8" t="s">
        <v>5</v>
      </c>
      <c r="AC1065" s="8" t="s">
        <v>5</v>
      </c>
      <c r="AD1065" s="6" t="s">
        <v>5</v>
      </c>
      <c r="AE1065" s="22">
        <v>0.65300000000000002</v>
      </c>
      <c r="AF1065" s="6" t="s">
        <v>5</v>
      </c>
      <c r="AG1065" s="6" t="s">
        <v>5</v>
      </c>
      <c r="AH1065" s="22">
        <v>0.22</v>
      </c>
      <c r="AI1065" s="6" t="s">
        <v>5</v>
      </c>
      <c r="AJ1065" s="4">
        <v>12</v>
      </c>
      <c r="AK1065" s="6" t="s">
        <v>5</v>
      </c>
      <c r="AL1065" s="6" t="s">
        <v>5</v>
      </c>
      <c r="AM1065" s="6" t="s">
        <v>5</v>
      </c>
      <c r="AN1065" s="6" t="s">
        <v>5</v>
      </c>
      <c r="AO1065" s="7">
        <v>1.47</v>
      </c>
      <c r="AP1065" s="7">
        <v>1.41</v>
      </c>
      <c r="AQ1065" s="22">
        <v>0.79400000000000004</v>
      </c>
      <c r="AR1065" s="22">
        <v>0.746</v>
      </c>
      <c r="AS1065" s="6">
        <v>4.46</v>
      </c>
      <c r="AT1065" s="6">
        <v>2.38</v>
      </c>
      <c r="AU1065" s="6">
        <v>1.49</v>
      </c>
      <c r="AV1065" s="7">
        <v>1.3</v>
      </c>
      <c r="AW1065" s="6" t="s">
        <v>5</v>
      </c>
      <c r="AX1065" s="6" t="s">
        <v>5</v>
      </c>
      <c r="AY1065" s="6" t="s">
        <v>5</v>
      </c>
      <c r="AZ1065" s="6" t="s">
        <v>5</v>
      </c>
      <c r="BA1065" s="6" t="s">
        <v>5</v>
      </c>
      <c r="BB1065" s="6" t="s">
        <v>5</v>
      </c>
      <c r="BC1065" s="6" t="s">
        <v>5</v>
      </c>
      <c r="BD1065" s="6" t="s">
        <v>5</v>
      </c>
      <c r="BE1065" s="6" t="s">
        <v>5</v>
      </c>
      <c r="BF1065" s="6" t="s">
        <v>5</v>
      </c>
      <c r="BG1065" s="6" t="s">
        <v>5</v>
      </c>
      <c r="BH1065" s="6" t="s">
        <v>5</v>
      </c>
      <c r="BI1065" s="7">
        <v>1.59</v>
      </c>
      <c r="BJ1065" s="22">
        <v>0.89</v>
      </c>
      <c r="BK1065" s="6" t="s">
        <v>5</v>
      </c>
      <c r="BL1065" s="2" t="s">
        <v>5</v>
      </c>
      <c r="BM1065" s="2" t="s">
        <v>5</v>
      </c>
      <c r="BN1065" s="2" t="s">
        <v>5</v>
      </c>
      <c r="BO1065" s="2" t="s">
        <v>5</v>
      </c>
      <c r="BP1065" s="2" t="s">
        <v>5</v>
      </c>
      <c r="BQ1065" s="2" t="s">
        <v>5</v>
      </c>
      <c r="BR1065" s="2" t="s">
        <v>5</v>
      </c>
      <c r="BS1065" s="2" t="s">
        <v>5</v>
      </c>
      <c r="BT1065" s="2" t="s">
        <v>5</v>
      </c>
      <c r="BU1065" s="2" t="s">
        <v>5</v>
      </c>
      <c r="BV1065" s="2" t="s">
        <v>5</v>
      </c>
      <c r="BW1065" s="2" t="s">
        <v>5</v>
      </c>
      <c r="BX1065" s="2" t="s">
        <v>5</v>
      </c>
      <c r="BY1065" s="25" t="s">
        <v>5</v>
      </c>
      <c r="BZ1065" s="25" t="s">
        <v>5</v>
      </c>
      <c r="CA1065" s="6" t="s">
        <v>5</v>
      </c>
      <c r="CB1065" s="6" t="s">
        <v>5</v>
      </c>
      <c r="CC1065" s="6" t="s">
        <v>5</v>
      </c>
      <c r="CD1065" s="6" t="s">
        <v>5</v>
      </c>
      <c r="CE1065" s="6" t="s">
        <v>5</v>
      </c>
      <c r="CF1065" s="16" t="s">
        <v>5</v>
      </c>
      <c r="CG1065" s="16" t="s">
        <v>5</v>
      </c>
      <c r="CH1065" s="18" t="s">
        <v>5</v>
      </c>
    </row>
    <row r="1066" spans="2:86">
      <c r="B1066" s="78" t="s">
        <v>473</v>
      </c>
      <c r="C1066" s="79" t="s">
        <v>1166</v>
      </c>
      <c r="D1066" s="80" t="s">
        <v>1166</v>
      </c>
      <c r="E1066" s="1" t="s">
        <v>4</v>
      </c>
      <c r="F1066" s="7">
        <v>9</v>
      </c>
      <c r="G1066" s="7">
        <v>2.64</v>
      </c>
      <c r="H1066" s="3" t="str">
        <f t="shared" si="35"/>
        <v>2L3X2-1/2X1/4X3/8SLBB</v>
      </c>
      <c r="I1066" s="7">
        <v>2.5</v>
      </c>
      <c r="J1066" s="5" t="s">
        <v>5</v>
      </c>
      <c r="K1066" s="6" t="s">
        <v>5</v>
      </c>
      <c r="L1066" s="6" t="s">
        <v>5</v>
      </c>
      <c r="M1066" s="6" t="s">
        <v>5</v>
      </c>
      <c r="N1066" s="6" t="s">
        <v>5</v>
      </c>
      <c r="O1066" s="5" t="s">
        <v>5</v>
      </c>
      <c r="P1066" s="5" t="s">
        <v>5</v>
      </c>
      <c r="Q1066" s="7">
        <v>3</v>
      </c>
      <c r="R1066" s="6" t="s">
        <v>5</v>
      </c>
      <c r="S1066" s="6" t="s">
        <v>5</v>
      </c>
      <c r="T1066" s="5" t="s">
        <v>5</v>
      </c>
      <c r="U1066" s="8" t="s">
        <v>5</v>
      </c>
      <c r="V1066" s="6" t="s">
        <v>5</v>
      </c>
      <c r="W1066" s="8" t="s">
        <v>5</v>
      </c>
      <c r="X1066" s="22">
        <v>0.25</v>
      </c>
      <c r="Y1066" s="6" t="s">
        <v>5</v>
      </c>
      <c r="Z1066" s="6" t="s">
        <v>5</v>
      </c>
      <c r="AA1066" s="6" t="s">
        <v>5</v>
      </c>
      <c r="AB1066" s="8" t="s">
        <v>5</v>
      </c>
      <c r="AC1066" s="8" t="s">
        <v>5</v>
      </c>
      <c r="AD1066" s="6" t="s">
        <v>5</v>
      </c>
      <c r="AE1066" s="22">
        <v>0.65300000000000002</v>
      </c>
      <c r="AF1066" s="6" t="s">
        <v>5</v>
      </c>
      <c r="AG1066" s="6" t="s">
        <v>5</v>
      </c>
      <c r="AH1066" s="22">
        <v>0.22</v>
      </c>
      <c r="AI1066" s="6" t="s">
        <v>5</v>
      </c>
      <c r="AJ1066" s="4">
        <v>12</v>
      </c>
      <c r="AK1066" s="6" t="s">
        <v>5</v>
      </c>
      <c r="AL1066" s="6" t="s">
        <v>5</v>
      </c>
      <c r="AM1066" s="6" t="s">
        <v>5</v>
      </c>
      <c r="AN1066" s="6" t="s">
        <v>5</v>
      </c>
      <c r="AO1066" s="7">
        <v>1.47</v>
      </c>
      <c r="AP1066" s="7">
        <v>1.41</v>
      </c>
      <c r="AQ1066" s="22">
        <v>0.79400000000000004</v>
      </c>
      <c r="AR1066" s="22">
        <v>0.746</v>
      </c>
      <c r="AS1066" s="6">
        <v>5.47</v>
      </c>
      <c r="AT1066" s="6">
        <v>2.87</v>
      </c>
      <c r="AU1066" s="6">
        <v>1.72</v>
      </c>
      <c r="AV1066" s="7">
        <v>1.44</v>
      </c>
      <c r="AW1066" s="6" t="s">
        <v>5</v>
      </c>
      <c r="AX1066" s="6" t="s">
        <v>5</v>
      </c>
      <c r="AY1066" s="6" t="s">
        <v>5</v>
      </c>
      <c r="AZ1066" s="6" t="s">
        <v>5</v>
      </c>
      <c r="BA1066" s="6" t="s">
        <v>5</v>
      </c>
      <c r="BB1066" s="6" t="s">
        <v>5</v>
      </c>
      <c r="BC1066" s="6" t="s">
        <v>5</v>
      </c>
      <c r="BD1066" s="6" t="s">
        <v>5</v>
      </c>
      <c r="BE1066" s="6" t="s">
        <v>5</v>
      </c>
      <c r="BF1066" s="6" t="s">
        <v>5</v>
      </c>
      <c r="BG1066" s="6" t="s">
        <v>5</v>
      </c>
      <c r="BH1066" s="6" t="s">
        <v>5</v>
      </c>
      <c r="BI1066" s="7">
        <v>1.7</v>
      </c>
      <c r="BJ1066" s="22">
        <v>0.90400000000000003</v>
      </c>
      <c r="BK1066" s="6" t="s">
        <v>5</v>
      </c>
      <c r="BL1066" s="2" t="s">
        <v>5</v>
      </c>
      <c r="BM1066" s="2" t="s">
        <v>5</v>
      </c>
      <c r="BN1066" s="2" t="s">
        <v>5</v>
      </c>
      <c r="BO1066" s="2" t="s">
        <v>5</v>
      </c>
      <c r="BP1066" s="2" t="s">
        <v>5</v>
      </c>
      <c r="BQ1066" s="2" t="s">
        <v>5</v>
      </c>
      <c r="BR1066" s="2" t="s">
        <v>5</v>
      </c>
      <c r="BS1066" s="2" t="s">
        <v>5</v>
      </c>
      <c r="BT1066" s="2" t="s">
        <v>5</v>
      </c>
      <c r="BU1066" s="2" t="s">
        <v>5</v>
      </c>
      <c r="BV1066" s="2" t="s">
        <v>5</v>
      </c>
      <c r="BW1066" s="2" t="s">
        <v>5</v>
      </c>
      <c r="BX1066" s="2" t="s">
        <v>5</v>
      </c>
      <c r="BY1066" s="25" t="s">
        <v>5</v>
      </c>
      <c r="BZ1066" s="25" t="s">
        <v>5</v>
      </c>
      <c r="CA1066" s="6" t="s">
        <v>5</v>
      </c>
      <c r="CB1066" s="6" t="s">
        <v>5</v>
      </c>
      <c r="CC1066" s="6" t="s">
        <v>5</v>
      </c>
      <c r="CD1066" s="6" t="s">
        <v>5</v>
      </c>
      <c r="CE1066" s="6" t="s">
        <v>5</v>
      </c>
      <c r="CF1066" s="16" t="s">
        <v>5</v>
      </c>
      <c r="CG1066" s="16" t="s">
        <v>5</v>
      </c>
      <c r="CH1066" s="18" t="s">
        <v>5</v>
      </c>
    </row>
    <row r="1067" spans="2:86">
      <c r="B1067" s="78" t="s">
        <v>473</v>
      </c>
      <c r="C1067" s="79" t="s">
        <v>1167</v>
      </c>
      <c r="D1067" s="80" t="s">
        <v>1167</v>
      </c>
      <c r="E1067" s="1" t="s">
        <v>4</v>
      </c>
      <c r="F1067" s="7">
        <v>9</v>
      </c>
      <c r="G1067" s="7">
        <v>2.64</v>
      </c>
      <c r="H1067" s="3" t="str">
        <f t="shared" si="35"/>
        <v>2L3X2-1/2X1/4X3/4SLBB</v>
      </c>
      <c r="I1067" s="7">
        <v>2.5</v>
      </c>
      <c r="J1067" s="5" t="s">
        <v>5</v>
      </c>
      <c r="K1067" s="6" t="s">
        <v>5</v>
      </c>
      <c r="L1067" s="6" t="s">
        <v>5</v>
      </c>
      <c r="M1067" s="6" t="s">
        <v>5</v>
      </c>
      <c r="N1067" s="6" t="s">
        <v>5</v>
      </c>
      <c r="O1067" s="5" t="s">
        <v>5</v>
      </c>
      <c r="P1067" s="5" t="s">
        <v>5</v>
      </c>
      <c r="Q1067" s="7">
        <v>3</v>
      </c>
      <c r="R1067" s="6" t="s">
        <v>5</v>
      </c>
      <c r="S1067" s="6" t="s">
        <v>5</v>
      </c>
      <c r="T1067" s="5" t="s">
        <v>5</v>
      </c>
      <c r="U1067" s="8" t="s">
        <v>5</v>
      </c>
      <c r="V1067" s="6" t="s">
        <v>5</v>
      </c>
      <c r="W1067" s="8" t="s">
        <v>5</v>
      </c>
      <c r="X1067" s="22">
        <v>0.25</v>
      </c>
      <c r="Y1067" s="6" t="s">
        <v>5</v>
      </c>
      <c r="Z1067" s="6" t="s">
        <v>5</v>
      </c>
      <c r="AA1067" s="6" t="s">
        <v>5</v>
      </c>
      <c r="AB1067" s="8" t="s">
        <v>5</v>
      </c>
      <c r="AC1067" s="8" t="s">
        <v>5</v>
      </c>
      <c r="AD1067" s="6" t="s">
        <v>5</v>
      </c>
      <c r="AE1067" s="22">
        <v>0.65300000000000002</v>
      </c>
      <c r="AF1067" s="6" t="s">
        <v>5</v>
      </c>
      <c r="AG1067" s="6" t="s">
        <v>5</v>
      </c>
      <c r="AH1067" s="22">
        <v>0.22</v>
      </c>
      <c r="AI1067" s="6" t="s">
        <v>5</v>
      </c>
      <c r="AJ1067" s="4">
        <v>12</v>
      </c>
      <c r="AK1067" s="6" t="s">
        <v>5</v>
      </c>
      <c r="AL1067" s="6" t="s">
        <v>5</v>
      </c>
      <c r="AM1067" s="6" t="s">
        <v>5</v>
      </c>
      <c r="AN1067" s="6" t="s">
        <v>5</v>
      </c>
      <c r="AO1067" s="7">
        <v>1.47</v>
      </c>
      <c r="AP1067" s="7">
        <v>1.41</v>
      </c>
      <c r="AQ1067" s="22">
        <v>0.79400000000000004</v>
      </c>
      <c r="AR1067" s="22">
        <v>0.746</v>
      </c>
      <c r="AS1067" s="6">
        <v>6.59</v>
      </c>
      <c r="AT1067" s="6">
        <v>3.37</v>
      </c>
      <c r="AU1067" s="6">
        <v>1.95</v>
      </c>
      <c r="AV1067" s="7">
        <v>1.58</v>
      </c>
      <c r="AW1067" s="6" t="s">
        <v>5</v>
      </c>
      <c r="AX1067" s="6" t="s">
        <v>5</v>
      </c>
      <c r="AY1067" s="6" t="s">
        <v>5</v>
      </c>
      <c r="AZ1067" s="6" t="s">
        <v>5</v>
      </c>
      <c r="BA1067" s="6" t="s">
        <v>5</v>
      </c>
      <c r="BB1067" s="6" t="s">
        <v>5</v>
      </c>
      <c r="BC1067" s="6" t="s">
        <v>5</v>
      </c>
      <c r="BD1067" s="6" t="s">
        <v>5</v>
      </c>
      <c r="BE1067" s="6" t="s">
        <v>5</v>
      </c>
      <c r="BF1067" s="6" t="s">
        <v>5</v>
      </c>
      <c r="BG1067" s="6" t="s">
        <v>5</v>
      </c>
      <c r="BH1067" s="6" t="s">
        <v>5</v>
      </c>
      <c r="BI1067" s="7">
        <v>1.83</v>
      </c>
      <c r="BJ1067" s="22">
        <v>0.91700000000000004</v>
      </c>
      <c r="BK1067" s="6" t="s">
        <v>5</v>
      </c>
      <c r="BL1067" s="2" t="s">
        <v>5</v>
      </c>
      <c r="BM1067" s="2" t="s">
        <v>5</v>
      </c>
      <c r="BN1067" s="2" t="s">
        <v>5</v>
      </c>
      <c r="BO1067" s="2" t="s">
        <v>5</v>
      </c>
      <c r="BP1067" s="2" t="s">
        <v>5</v>
      </c>
      <c r="BQ1067" s="2" t="s">
        <v>5</v>
      </c>
      <c r="BR1067" s="2" t="s">
        <v>5</v>
      </c>
      <c r="BS1067" s="2" t="s">
        <v>5</v>
      </c>
      <c r="BT1067" s="2" t="s">
        <v>5</v>
      </c>
      <c r="BU1067" s="2" t="s">
        <v>5</v>
      </c>
      <c r="BV1067" s="2" t="s">
        <v>5</v>
      </c>
      <c r="BW1067" s="2" t="s">
        <v>5</v>
      </c>
      <c r="BX1067" s="2" t="s">
        <v>5</v>
      </c>
      <c r="BY1067" s="25" t="s">
        <v>5</v>
      </c>
      <c r="BZ1067" s="25" t="s">
        <v>5</v>
      </c>
      <c r="CA1067" s="6" t="s">
        <v>5</v>
      </c>
      <c r="CB1067" s="6" t="s">
        <v>5</v>
      </c>
      <c r="CC1067" s="6" t="s">
        <v>5</v>
      </c>
      <c r="CD1067" s="6" t="s">
        <v>5</v>
      </c>
      <c r="CE1067" s="6" t="s">
        <v>5</v>
      </c>
      <c r="CF1067" s="16" t="s">
        <v>5</v>
      </c>
      <c r="CG1067" s="16" t="s">
        <v>5</v>
      </c>
      <c r="CH1067" s="18" t="s">
        <v>5</v>
      </c>
    </row>
    <row r="1068" spans="2:86">
      <c r="B1068" s="78" t="s">
        <v>473</v>
      </c>
      <c r="C1068" s="79" t="s">
        <v>1168</v>
      </c>
      <c r="D1068" s="80" t="s">
        <v>1168</v>
      </c>
      <c r="E1068" s="1" t="s">
        <v>4</v>
      </c>
      <c r="F1068" s="7">
        <v>6.78</v>
      </c>
      <c r="G1068" s="7">
        <v>2</v>
      </c>
      <c r="H1068" s="3" t="str">
        <f t="shared" si="35"/>
        <v>2L3X2-1/2X3/16SLBB</v>
      </c>
      <c r="I1068" s="7">
        <v>2.5</v>
      </c>
      <c r="J1068" s="5" t="s">
        <v>5</v>
      </c>
      <c r="K1068" s="6" t="s">
        <v>5</v>
      </c>
      <c r="L1068" s="6" t="s">
        <v>5</v>
      </c>
      <c r="M1068" s="6" t="s">
        <v>5</v>
      </c>
      <c r="N1068" s="6" t="s">
        <v>5</v>
      </c>
      <c r="O1068" s="5" t="s">
        <v>5</v>
      </c>
      <c r="P1068" s="5" t="s">
        <v>5</v>
      </c>
      <c r="Q1068" s="7">
        <v>3</v>
      </c>
      <c r="R1068" s="6" t="s">
        <v>5</v>
      </c>
      <c r="S1068" s="6" t="s">
        <v>5</v>
      </c>
      <c r="T1068" s="5" t="s">
        <v>5</v>
      </c>
      <c r="U1068" s="8" t="s">
        <v>5</v>
      </c>
      <c r="V1068" s="6" t="s">
        <v>5</v>
      </c>
      <c r="W1068" s="8" t="s">
        <v>5</v>
      </c>
      <c r="X1068" s="22">
        <v>0.188</v>
      </c>
      <c r="Y1068" s="6" t="s">
        <v>5</v>
      </c>
      <c r="Z1068" s="6" t="s">
        <v>5</v>
      </c>
      <c r="AA1068" s="6" t="s">
        <v>5</v>
      </c>
      <c r="AB1068" s="8" t="s">
        <v>5</v>
      </c>
      <c r="AC1068" s="8" t="s">
        <v>5</v>
      </c>
      <c r="AD1068" s="6" t="s">
        <v>5</v>
      </c>
      <c r="AE1068" s="22">
        <v>0.627</v>
      </c>
      <c r="AF1068" s="6" t="s">
        <v>5</v>
      </c>
      <c r="AG1068" s="6" t="s">
        <v>5</v>
      </c>
      <c r="AH1068" s="22">
        <v>0.16700000000000001</v>
      </c>
      <c r="AI1068" s="6" t="s">
        <v>5</v>
      </c>
      <c r="AJ1068" s="4">
        <v>16</v>
      </c>
      <c r="AK1068" s="6" t="s">
        <v>5</v>
      </c>
      <c r="AL1068" s="6" t="s">
        <v>5</v>
      </c>
      <c r="AM1068" s="6" t="s">
        <v>5</v>
      </c>
      <c r="AN1068" s="6" t="s">
        <v>5</v>
      </c>
      <c r="AO1068" s="7">
        <v>1.1399999999999999</v>
      </c>
      <c r="AP1068" s="7">
        <v>1.07</v>
      </c>
      <c r="AQ1068" s="22">
        <v>0.60599999999999998</v>
      </c>
      <c r="AR1068" s="22">
        <v>0.753</v>
      </c>
      <c r="AS1068" s="6">
        <v>3.33</v>
      </c>
      <c r="AT1068" s="6">
        <v>1.75</v>
      </c>
      <c r="AU1068" s="6">
        <v>1.1100000000000001</v>
      </c>
      <c r="AV1068" s="7">
        <v>1.29</v>
      </c>
      <c r="AW1068" s="6" t="s">
        <v>5</v>
      </c>
      <c r="AX1068" s="6" t="s">
        <v>5</v>
      </c>
      <c r="AY1068" s="6" t="s">
        <v>5</v>
      </c>
      <c r="AZ1068" s="6" t="s">
        <v>5</v>
      </c>
      <c r="BA1068" s="6" t="s">
        <v>5</v>
      </c>
      <c r="BB1068" s="6" t="s">
        <v>5</v>
      </c>
      <c r="BC1068" s="6" t="s">
        <v>5</v>
      </c>
      <c r="BD1068" s="6" t="s">
        <v>5</v>
      </c>
      <c r="BE1068" s="6" t="s">
        <v>5</v>
      </c>
      <c r="BF1068" s="6" t="s">
        <v>5</v>
      </c>
      <c r="BG1068" s="6" t="s">
        <v>5</v>
      </c>
      <c r="BH1068" s="6" t="s">
        <v>5</v>
      </c>
      <c r="BI1068" s="7">
        <v>1.58</v>
      </c>
      <c r="BJ1068" s="22">
        <v>0.88700000000000001</v>
      </c>
      <c r="BK1068" s="6" t="s">
        <v>5</v>
      </c>
      <c r="BL1068" s="2" t="s">
        <v>5</v>
      </c>
      <c r="BM1068" s="2" t="s">
        <v>5</v>
      </c>
      <c r="BN1068" s="2" t="s">
        <v>5</v>
      </c>
      <c r="BO1068" s="2" t="s">
        <v>5</v>
      </c>
      <c r="BP1068" s="2" t="s">
        <v>5</v>
      </c>
      <c r="BQ1068" s="2" t="s">
        <v>5</v>
      </c>
      <c r="BR1068" s="2" t="s">
        <v>5</v>
      </c>
      <c r="BS1068" s="2" t="s">
        <v>5</v>
      </c>
      <c r="BT1068" s="2" t="s">
        <v>5</v>
      </c>
      <c r="BU1068" s="2" t="s">
        <v>5</v>
      </c>
      <c r="BV1068" s="2" t="s">
        <v>5</v>
      </c>
      <c r="BW1068" s="2" t="s">
        <v>5</v>
      </c>
      <c r="BX1068" s="2" t="s">
        <v>5</v>
      </c>
      <c r="BY1068" s="25" t="s">
        <v>5</v>
      </c>
      <c r="BZ1068" s="25" t="s">
        <v>5</v>
      </c>
      <c r="CA1068" s="6" t="s">
        <v>5</v>
      </c>
      <c r="CB1068" s="6" t="s">
        <v>5</v>
      </c>
      <c r="CC1068" s="6" t="s">
        <v>5</v>
      </c>
      <c r="CD1068" s="6" t="s">
        <v>5</v>
      </c>
      <c r="CE1068" s="6" t="s">
        <v>5</v>
      </c>
      <c r="CF1068" s="16" t="s">
        <v>5</v>
      </c>
      <c r="CG1068" s="16" t="s">
        <v>5</v>
      </c>
      <c r="CH1068" s="18" t="s">
        <v>5</v>
      </c>
    </row>
    <row r="1069" spans="2:86">
      <c r="B1069" s="78" t="s">
        <v>473</v>
      </c>
      <c r="C1069" s="79" t="s">
        <v>1169</v>
      </c>
      <c r="D1069" s="80" t="s">
        <v>1169</v>
      </c>
      <c r="E1069" s="1" t="s">
        <v>4</v>
      </c>
      <c r="F1069" s="7">
        <v>6.78</v>
      </c>
      <c r="G1069" s="7">
        <v>2</v>
      </c>
      <c r="H1069" s="3" t="str">
        <f t="shared" si="35"/>
        <v>2L3X2-1/2X3/16X3/8SLBB</v>
      </c>
      <c r="I1069" s="7">
        <v>2.5</v>
      </c>
      <c r="J1069" s="5" t="s">
        <v>5</v>
      </c>
      <c r="K1069" s="6" t="s">
        <v>5</v>
      </c>
      <c r="L1069" s="6" t="s">
        <v>5</v>
      </c>
      <c r="M1069" s="6" t="s">
        <v>5</v>
      </c>
      <c r="N1069" s="6" t="s">
        <v>5</v>
      </c>
      <c r="O1069" s="5" t="s">
        <v>5</v>
      </c>
      <c r="P1069" s="5" t="s">
        <v>5</v>
      </c>
      <c r="Q1069" s="7">
        <v>3</v>
      </c>
      <c r="R1069" s="6" t="s">
        <v>5</v>
      </c>
      <c r="S1069" s="6" t="s">
        <v>5</v>
      </c>
      <c r="T1069" s="5" t="s">
        <v>5</v>
      </c>
      <c r="U1069" s="8" t="s">
        <v>5</v>
      </c>
      <c r="V1069" s="6" t="s">
        <v>5</v>
      </c>
      <c r="W1069" s="8" t="s">
        <v>5</v>
      </c>
      <c r="X1069" s="22">
        <v>0.188</v>
      </c>
      <c r="Y1069" s="6" t="s">
        <v>5</v>
      </c>
      <c r="Z1069" s="6" t="s">
        <v>5</v>
      </c>
      <c r="AA1069" s="6" t="s">
        <v>5</v>
      </c>
      <c r="AB1069" s="8" t="s">
        <v>5</v>
      </c>
      <c r="AC1069" s="8" t="s">
        <v>5</v>
      </c>
      <c r="AD1069" s="6" t="s">
        <v>5</v>
      </c>
      <c r="AE1069" s="22">
        <v>0.627</v>
      </c>
      <c r="AF1069" s="6" t="s">
        <v>5</v>
      </c>
      <c r="AG1069" s="6" t="s">
        <v>5</v>
      </c>
      <c r="AH1069" s="22">
        <v>0.16700000000000001</v>
      </c>
      <c r="AI1069" s="6" t="s">
        <v>5</v>
      </c>
      <c r="AJ1069" s="4">
        <v>16</v>
      </c>
      <c r="AK1069" s="6" t="s">
        <v>5</v>
      </c>
      <c r="AL1069" s="6" t="s">
        <v>5</v>
      </c>
      <c r="AM1069" s="6" t="s">
        <v>5</v>
      </c>
      <c r="AN1069" s="6" t="s">
        <v>5</v>
      </c>
      <c r="AO1069" s="7">
        <v>1.1399999999999999</v>
      </c>
      <c r="AP1069" s="7">
        <v>1.07</v>
      </c>
      <c r="AQ1069" s="22">
        <v>0.60599999999999998</v>
      </c>
      <c r="AR1069" s="22">
        <v>0.753</v>
      </c>
      <c r="AS1069" s="6">
        <v>4.03</v>
      </c>
      <c r="AT1069" s="6">
        <v>2.12</v>
      </c>
      <c r="AU1069" s="6">
        <v>1.26</v>
      </c>
      <c r="AV1069" s="7">
        <v>1.42</v>
      </c>
      <c r="AW1069" s="6" t="s">
        <v>5</v>
      </c>
      <c r="AX1069" s="6" t="s">
        <v>5</v>
      </c>
      <c r="AY1069" s="6" t="s">
        <v>5</v>
      </c>
      <c r="AZ1069" s="6" t="s">
        <v>5</v>
      </c>
      <c r="BA1069" s="6" t="s">
        <v>5</v>
      </c>
      <c r="BB1069" s="6" t="s">
        <v>5</v>
      </c>
      <c r="BC1069" s="6" t="s">
        <v>5</v>
      </c>
      <c r="BD1069" s="6" t="s">
        <v>5</v>
      </c>
      <c r="BE1069" s="6" t="s">
        <v>5</v>
      </c>
      <c r="BF1069" s="6" t="s">
        <v>5</v>
      </c>
      <c r="BG1069" s="6" t="s">
        <v>5</v>
      </c>
      <c r="BH1069" s="6" t="s">
        <v>5</v>
      </c>
      <c r="BI1069" s="7">
        <v>1.7</v>
      </c>
      <c r="BJ1069" s="22">
        <v>0.90100000000000002</v>
      </c>
      <c r="BK1069" s="6" t="s">
        <v>5</v>
      </c>
      <c r="BL1069" s="2" t="s">
        <v>5</v>
      </c>
      <c r="BM1069" s="2" t="s">
        <v>5</v>
      </c>
      <c r="BN1069" s="2" t="s">
        <v>5</v>
      </c>
      <c r="BO1069" s="2" t="s">
        <v>5</v>
      </c>
      <c r="BP1069" s="2" t="s">
        <v>5</v>
      </c>
      <c r="BQ1069" s="2" t="s">
        <v>5</v>
      </c>
      <c r="BR1069" s="2" t="s">
        <v>5</v>
      </c>
      <c r="BS1069" s="2" t="s">
        <v>5</v>
      </c>
      <c r="BT1069" s="2" t="s">
        <v>5</v>
      </c>
      <c r="BU1069" s="2" t="s">
        <v>5</v>
      </c>
      <c r="BV1069" s="2" t="s">
        <v>5</v>
      </c>
      <c r="BW1069" s="2" t="s">
        <v>5</v>
      </c>
      <c r="BX1069" s="2" t="s">
        <v>5</v>
      </c>
      <c r="BY1069" s="25" t="s">
        <v>5</v>
      </c>
      <c r="BZ1069" s="25" t="s">
        <v>5</v>
      </c>
      <c r="CA1069" s="6" t="s">
        <v>5</v>
      </c>
      <c r="CB1069" s="6" t="s">
        <v>5</v>
      </c>
      <c r="CC1069" s="6" t="s">
        <v>5</v>
      </c>
      <c r="CD1069" s="6" t="s">
        <v>5</v>
      </c>
      <c r="CE1069" s="6" t="s">
        <v>5</v>
      </c>
      <c r="CF1069" s="16" t="s">
        <v>5</v>
      </c>
      <c r="CG1069" s="16" t="s">
        <v>5</v>
      </c>
      <c r="CH1069" s="18" t="s">
        <v>5</v>
      </c>
    </row>
    <row r="1070" spans="2:86">
      <c r="B1070" s="78" t="s">
        <v>473</v>
      </c>
      <c r="C1070" s="79" t="s">
        <v>1170</v>
      </c>
      <c r="D1070" s="80" t="s">
        <v>1170</v>
      </c>
      <c r="E1070" s="1" t="s">
        <v>4</v>
      </c>
      <c r="F1070" s="7">
        <v>6.78</v>
      </c>
      <c r="G1070" s="7">
        <v>2</v>
      </c>
      <c r="H1070" s="3" t="str">
        <f t="shared" si="35"/>
        <v>2L3X2-1/2X3/16X3/4SLBB</v>
      </c>
      <c r="I1070" s="7">
        <v>2.5</v>
      </c>
      <c r="J1070" s="5" t="s">
        <v>5</v>
      </c>
      <c r="K1070" s="6" t="s">
        <v>5</v>
      </c>
      <c r="L1070" s="6" t="s">
        <v>5</v>
      </c>
      <c r="M1070" s="6" t="s">
        <v>5</v>
      </c>
      <c r="N1070" s="6" t="s">
        <v>5</v>
      </c>
      <c r="O1070" s="5" t="s">
        <v>5</v>
      </c>
      <c r="P1070" s="5" t="s">
        <v>5</v>
      </c>
      <c r="Q1070" s="7">
        <v>3</v>
      </c>
      <c r="R1070" s="6" t="s">
        <v>5</v>
      </c>
      <c r="S1070" s="6" t="s">
        <v>5</v>
      </c>
      <c r="T1070" s="5" t="s">
        <v>5</v>
      </c>
      <c r="U1070" s="8" t="s">
        <v>5</v>
      </c>
      <c r="V1070" s="6" t="s">
        <v>5</v>
      </c>
      <c r="W1070" s="8" t="s">
        <v>5</v>
      </c>
      <c r="X1070" s="22">
        <v>0.188</v>
      </c>
      <c r="Y1070" s="6" t="s">
        <v>5</v>
      </c>
      <c r="Z1070" s="6" t="s">
        <v>5</v>
      </c>
      <c r="AA1070" s="6" t="s">
        <v>5</v>
      </c>
      <c r="AB1070" s="8" t="s">
        <v>5</v>
      </c>
      <c r="AC1070" s="8" t="s">
        <v>5</v>
      </c>
      <c r="AD1070" s="6" t="s">
        <v>5</v>
      </c>
      <c r="AE1070" s="22">
        <v>0.627</v>
      </c>
      <c r="AF1070" s="6" t="s">
        <v>5</v>
      </c>
      <c r="AG1070" s="6" t="s">
        <v>5</v>
      </c>
      <c r="AH1070" s="22">
        <v>0.16700000000000001</v>
      </c>
      <c r="AI1070" s="6" t="s">
        <v>5</v>
      </c>
      <c r="AJ1070" s="4">
        <v>16</v>
      </c>
      <c r="AK1070" s="6" t="s">
        <v>5</v>
      </c>
      <c r="AL1070" s="6" t="s">
        <v>5</v>
      </c>
      <c r="AM1070" s="6" t="s">
        <v>5</v>
      </c>
      <c r="AN1070" s="6" t="s">
        <v>5</v>
      </c>
      <c r="AO1070" s="7">
        <v>1.1399999999999999</v>
      </c>
      <c r="AP1070" s="7">
        <v>1.07</v>
      </c>
      <c r="AQ1070" s="22">
        <v>0.60599999999999998</v>
      </c>
      <c r="AR1070" s="22">
        <v>0.753</v>
      </c>
      <c r="AS1070" s="6">
        <v>4.93</v>
      </c>
      <c r="AT1070" s="7">
        <v>2.5</v>
      </c>
      <c r="AU1070" s="6">
        <v>1.46</v>
      </c>
      <c r="AV1070" s="7">
        <v>1.57</v>
      </c>
      <c r="AW1070" s="6" t="s">
        <v>5</v>
      </c>
      <c r="AX1070" s="6" t="s">
        <v>5</v>
      </c>
      <c r="AY1070" s="6" t="s">
        <v>5</v>
      </c>
      <c r="AZ1070" s="6" t="s">
        <v>5</v>
      </c>
      <c r="BA1070" s="6" t="s">
        <v>5</v>
      </c>
      <c r="BB1070" s="6" t="s">
        <v>5</v>
      </c>
      <c r="BC1070" s="6" t="s">
        <v>5</v>
      </c>
      <c r="BD1070" s="6" t="s">
        <v>5</v>
      </c>
      <c r="BE1070" s="6" t="s">
        <v>5</v>
      </c>
      <c r="BF1070" s="6" t="s">
        <v>5</v>
      </c>
      <c r="BG1070" s="6" t="s">
        <v>5</v>
      </c>
      <c r="BH1070" s="6" t="s">
        <v>5</v>
      </c>
      <c r="BI1070" s="7">
        <v>1.82</v>
      </c>
      <c r="BJ1070" s="22">
        <v>0.91400000000000003</v>
      </c>
      <c r="BK1070" s="6" t="s">
        <v>5</v>
      </c>
      <c r="BL1070" s="2" t="s">
        <v>5</v>
      </c>
      <c r="BM1070" s="2" t="s">
        <v>5</v>
      </c>
      <c r="BN1070" s="2" t="s">
        <v>5</v>
      </c>
      <c r="BO1070" s="2" t="s">
        <v>5</v>
      </c>
      <c r="BP1070" s="2" t="s">
        <v>5</v>
      </c>
      <c r="BQ1070" s="2" t="s">
        <v>5</v>
      </c>
      <c r="BR1070" s="2" t="s">
        <v>5</v>
      </c>
      <c r="BS1070" s="2" t="s">
        <v>5</v>
      </c>
      <c r="BT1070" s="2" t="s">
        <v>5</v>
      </c>
      <c r="BU1070" s="2" t="s">
        <v>5</v>
      </c>
      <c r="BV1070" s="2" t="s">
        <v>5</v>
      </c>
      <c r="BW1070" s="2" t="s">
        <v>5</v>
      </c>
      <c r="BX1070" s="2" t="s">
        <v>5</v>
      </c>
      <c r="BY1070" s="25" t="s">
        <v>5</v>
      </c>
      <c r="BZ1070" s="25" t="s">
        <v>5</v>
      </c>
      <c r="CA1070" s="6" t="s">
        <v>5</v>
      </c>
      <c r="CB1070" s="6" t="s">
        <v>5</v>
      </c>
      <c r="CC1070" s="6" t="s">
        <v>5</v>
      </c>
      <c r="CD1070" s="6" t="s">
        <v>5</v>
      </c>
      <c r="CE1070" s="6" t="s">
        <v>5</v>
      </c>
      <c r="CF1070" s="16" t="s">
        <v>5</v>
      </c>
      <c r="CG1070" s="16" t="s">
        <v>5</v>
      </c>
      <c r="CH1070" s="18" t="s">
        <v>5</v>
      </c>
    </row>
    <row r="1071" spans="2:86">
      <c r="B1071" s="78" t="s">
        <v>473</v>
      </c>
      <c r="C1071" s="79" t="s">
        <v>1171</v>
      </c>
      <c r="D1071" s="80" t="s">
        <v>1171</v>
      </c>
      <c r="E1071" s="1" t="s">
        <v>4</v>
      </c>
      <c r="F1071" s="4">
        <v>15.4</v>
      </c>
      <c r="G1071" s="7">
        <v>4.5199999999999996</v>
      </c>
      <c r="H1071" s="3" t="str">
        <f t="shared" si="35"/>
        <v>2L3X2X1/2SLBB</v>
      </c>
      <c r="I1071" s="7">
        <v>2</v>
      </c>
      <c r="J1071" s="5" t="s">
        <v>5</v>
      </c>
      <c r="K1071" s="6" t="s">
        <v>5</v>
      </c>
      <c r="L1071" s="6" t="s">
        <v>5</v>
      </c>
      <c r="M1071" s="6" t="s">
        <v>5</v>
      </c>
      <c r="N1071" s="6" t="s">
        <v>5</v>
      </c>
      <c r="O1071" s="5" t="s">
        <v>5</v>
      </c>
      <c r="P1071" s="5" t="s">
        <v>5</v>
      </c>
      <c r="Q1071" s="7">
        <v>3</v>
      </c>
      <c r="R1071" s="6" t="s">
        <v>5</v>
      </c>
      <c r="S1071" s="6" t="s">
        <v>5</v>
      </c>
      <c r="T1071" s="5" t="s">
        <v>5</v>
      </c>
      <c r="U1071" s="8" t="s">
        <v>5</v>
      </c>
      <c r="V1071" s="6" t="s">
        <v>5</v>
      </c>
      <c r="W1071" s="8" t="s">
        <v>5</v>
      </c>
      <c r="X1071" s="22">
        <v>0.5</v>
      </c>
      <c r="Y1071" s="6" t="s">
        <v>5</v>
      </c>
      <c r="Z1071" s="6" t="s">
        <v>5</v>
      </c>
      <c r="AA1071" s="6" t="s">
        <v>5</v>
      </c>
      <c r="AB1071" s="8" t="s">
        <v>5</v>
      </c>
      <c r="AC1071" s="8" t="s">
        <v>5</v>
      </c>
      <c r="AD1071" s="6" t="s">
        <v>5</v>
      </c>
      <c r="AE1071" s="22">
        <v>0.57999999999999996</v>
      </c>
      <c r="AF1071" s="6" t="s">
        <v>5</v>
      </c>
      <c r="AG1071" s="6" t="s">
        <v>5</v>
      </c>
      <c r="AH1071" s="22">
        <v>0.377</v>
      </c>
      <c r="AI1071" s="6" t="s">
        <v>5</v>
      </c>
      <c r="AJ1071" s="7">
        <v>6</v>
      </c>
      <c r="AK1071" s="6" t="s">
        <v>5</v>
      </c>
      <c r="AL1071" s="6" t="s">
        <v>5</v>
      </c>
      <c r="AM1071" s="6" t="s">
        <v>5</v>
      </c>
      <c r="AN1071" s="6" t="s">
        <v>5</v>
      </c>
      <c r="AO1071" s="7">
        <v>1.33</v>
      </c>
      <c r="AP1071" s="7">
        <v>1.77</v>
      </c>
      <c r="AQ1071" s="22">
        <v>0.94</v>
      </c>
      <c r="AR1071" s="22">
        <v>0.54300000000000004</v>
      </c>
      <c r="AS1071" s="6">
        <v>9.11</v>
      </c>
      <c r="AT1071" s="6">
        <v>4.88</v>
      </c>
      <c r="AU1071" s="6">
        <v>3.04</v>
      </c>
      <c r="AV1071" s="7">
        <v>1.42</v>
      </c>
      <c r="AW1071" s="6" t="s">
        <v>5</v>
      </c>
      <c r="AX1071" s="6" t="s">
        <v>5</v>
      </c>
      <c r="AY1071" s="6" t="s">
        <v>5</v>
      </c>
      <c r="AZ1071" s="6" t="s">
        <v>5</v>
      </c>
      <c r="BA1071" s="6" t="s">
        <v>5</v>
      </c>
      <c r="BB1071" s="6" t="s">
        <v>5</v>
      </c>
      <c r="BC1071" s="6" t="s">
        <v>5</v>
      </c>
      <c r="BD1071" s="6" t="s">
        <v>5</v>
      </c>
      <c r="BE1071" s="6" t="s">
        <v>5</v>
      </c>
      <c r="BF1071" s="6" t="s">
        <v>5</v>
      </c>
      <c r="BG1071" s="6" t="s">
        <v>5</v>
      </c>
      <c r="BH1071" s="6" t="s">
        <v>5</v>
      </c>
      <c r="BI1071" s="7">
        <v>1.55</v>
      </c>
      <c r="BJ1071" s="22">
        <v>0.95499999999999996</v>
      </c>
      <c r="BK1071" s="6" t="s">
        <v>5</v>
      </c>
      <c r="BL1071" s="2" t="s">
        <v>5</v>
      </c>
      <c r="BM1071" s="2" t="s">
        <v>5</v>
      </c>
      <c r="BN1071" s="2" t="s">
        <v>5</v>
      </c>
      <c r="BO1071" s="2" t="s">
        <v>5</v>
      </c>
      <c r="BP1071" s="2" t="s">
        <v>5</v>
      </c>
      <c r="BQ1071" s="2" t="s">
        <v>5</v>
      </c>
      <c r="BR1071" s="2" t="s">
        <v>5</v>
      </c>
      <c r="BS1071" s="2" t="s">
        <v>5</v>
      </c>
      <c r="BT1071" s="2" t="s">
        <v>5</v>
      </c>
      <c r="BU1071" s="2" t="s">
        <v>5</v>
      </c>
      <c r="BV1071" s="2" t="s">
        <v>5</v>
      </c>
      <c r="BW1071" s="2" t="s">
        <v>5</v>
      </c>
      <c r="BX1071" s="2" t="s">
        <v>5</v>
      </c>
      <c r="BY1071" s="25" t="s">
        <v>5</v>
      </c>
      <c r="BZ1071" s="25" t="s">
        <v>5</v>
      </c>
      <c r="CA1071" s="6" t="s">
        <v>5</v>
      </c>
      <c r="CB1071" s="6" t="s">
        <v>5</v>
      </c>
      <c r="CC1071" s="6" t="s">
        <v>5</v>
      </c>
      <c r="CD1071" s="6" t="s">
        <v>5</v>
      </c>
      <c r="CE1071" s="6" t="s">
        <v>5</v>
      </c>
      <c r="CF1071" s="16" t="s">
        <v>5</v>
      </c>
      <c r="CG1071" s="16" t="s">
        <v>5</v>
      </c>
      <c r="CH1071" s="18" t="s">
        <v>5</v>
      </c>
    </row>
    <row r="1072" spans="2:86">
      <c r="B1072" s="78" t="s">
        <v>473</v>
      </c>
      <c r="C1072" s="79" t="s">
        <v>1172</v>
      </c>
      <c r="D1072" s="80" t="s">
        <v>1172</v>
      </c>
      <c r="E1072" s="1" t="s">
        <v>4</v>
      </c>
      <c r="F1072" s="4">
        <v>15.4</v>
      </c>
      <c r="G1072" s="7">
        <v>4.5199999999999996</v>
      </c>
      <c r="H1072" s="3" t="str">
        <f t="shared" si="35"/>
        <v>2L3X2X1/2X3/8SLBB</v>
      </c>
      <c r="I1072" s="7">
        <v>2</v>
      </c>
      <c r="J1072" s="5" t="s">
        <v>5</v>
      </c>
      <c r="K1072" s="6" t="s">
        <v>5</v>
      </c>
      <c r="L1072" s="6" t="s">
        <v>5</v>
      </c>
      <c r="M1072" s="6" t="s">
        <v>5</v>
      </c>
      <c r="N1072" s="6" t="s">
        <v>5</v>
      </c>
      <c r="O1072" s="5" t="s">
        <v>5</v>
      </c>
      <c r="P1072" s="5" t="s">
        <v>5</v>
      </c>
      <c r="Q1072" s="7">
        <v>3</v>
      </c>
      <c r="R1072" s="6" t="s">
        <v>5</v>
      </c>
      <c r="S1072" s="6" t="s">
        <v>5</v>
      </c>
      <c r="T1072" s="5" t="s">
        <v>5</v>
      </c>
      <c r="U1072" s="8" t="s">
        <v>5</v>
      </c>
      <c r="V1072" s="6" t="s">
        <v>5</v>
      </c>
      <c r="W1072" s="8" t="s">
        <v>5</v>
      </c>
      <c r="X1072" s="22">
        <v>0.5</v>
      </c>
      <c r="Y1072" s="6" t="s">
        <v>5</v>
      </c>
      <c r="Z1072" s="6" t="s">
        <v>5</v>
      </c>
      <c r="AA1072" s="6" t="s">
        <v>5</v>
      </c>
      <c r="AB1072" s="8" t="s">
        <v>5</v>
      </c>
      <c r="AC1072" s="8" t="s">
        <v>5</v>
      </c>
      <c r="AD1072" s="6" t="s">
        <v>5</v>
      </c>
      <c r="AE1072" s="22">
        <v>0.57999999999999996</v>
      </c>
      <c r="AF1072" s="6" t="s">
        <v>5</v>
      </c>
      <c r="AG1072" s="6" t="s">
        <v>5</v>
      </c>
      <c r="AH1072" s="22">
        <v>0.377</v>
      </c>
      <c r="AI1072" s="6" t="s">
        <v>5</v>
      </c>
      <c r="AJ1072" s="7">
        <v>6</v>
      </c>
      <c r="AK1072" s="6" t="s">
        <v>5</v>
      </c>
      <c r="AL1072" s="6" t="s">
        <v>5</v>
      </c>
      <c r="AM1072" s="6" t="s">
        <v>5</v>
      </c>
      <c r="AN1072" s="6" t="s">
        <v>5</v>
      </c>
      <c r="AO1072" s="7">
        <v>1.33</v>
      </c>
      <c r="AP1072" s="7">
        <v>1.77</v>
      </c>
      <c r="AQ1072" s="22">
        <v>0.94</v>
      </c>
      <c r="AR1072" s="22">
        <v>0.54300000000000004</v>
      </c>
      <c r="AS1072" s="4">
        <v>11</v>
      </c>
      <c r="AT1072" s="6">
        <v>5.73</v>
      </c>
      <c r="AU1072" s="6">
        <v>3.45</v>
      </c>
      <c r="AV1072" s="7">
        <v>1.56</v>
      </c>
      <c r="AW1072" s="6" t="s">
        <v>5</v>
      </c>
      <c r="AX1072" s="6" t="s">
        <v>5</v>
      </c>
      <c r="AY1072" s="6" t="s">
        <v>5</v>
      </c>
      <c r="AZ1072" s="6" t="s">
        <v>5</v>
      </c>
      <c r="BA1072" s="6" t="s">
        <v>5</v>
      </c>
      <c r="BB1072" s="6" t="s">
        <v>5</v>
      </c>
      <c r="BC1072" s="6" t="s">
        <v>5</v>
      </c>
      <c r="BD1072" s="6" t="s">
        <v>5</v>
      </c>
      <c r="BE1072" s="6" t="s">
        <v>5</v>
      </c>
      <c r="BF1072" s="6" t="s">
        <v>5</v>
      </c>
      <c r="BG1072" s="6" t="s">
        <v>5</v>
      </c>
      <c r="BH1072" s="6" t="s">
        <v>5</v>
      </c>
      <c r="BI1072" s="7">
        <v>1.69</v>
      </c>
      <c r="BJ1072" s="22">
        <v>0.96199999999999997</v>
      </c>
      <c r="BK1072" s="6" t="s">
        <v>5</v>
      </c>
      <c r="BL1072" s="2" t="s">
        <v>5</v>
      </c>
      <c r="BM1072" s="2" t="s">
        <v>5</v>
      </c>
      <c r="BN1072" s="2" t="s">
        <v>5</v>
      </c>
      <c r="BO1072" s="2" t="s">
        <v>5</v>
      </c>
      <c r="BP1072" s="2" t="s">
        <v>5</v>
      </c>
      <c r="BQ1072" s="2" t="s">
        <v>5</v>
      </c>
      <c r="BR1072" s="2" t="s">
        <v>5</v>
      </c>
      <c r="BS1072" s="2" t="s">
        <v>5</v>
      </c>
      <c r="BT1072" s="2" t="s">
        <v>5</v>
      </c>
      <c r="BU1072" s="2" t="s">
        <v>5</v>
      </c>
      <c r="BV1072" s="2" t="s">
        <v>5</v>
      </c>
      <c r="BW1072" s="2" t="s">
        <v>5</v>
      </c>
      <c r="BX1072" s="2" t="s">
        <v>5</v>
      </c>
      <c r="BY1072" s="25" t="s">
        <v>5</v>
      </c>
      <c r="BZ1072" s="25" t="s">
        <v>5</v>
      </c>
      <c r="CA1072" s="6" t="s">
        <v>5</v>
      </c>
      <c r="CB1072" s="6" t="s">
        <v>5</v>
      </c>
      <c r="CC1072" s="6" t="s">
        <v>5</v>
      </c>
      <c r="CD1072" s="6" t="s">
        <v>5</v>
      </c>
      <c r="CE1072" s="6" t="s">
        <v>5</v>
      </c>
      <c r="CF1072" s="16" t="s">
        <v>5</v>
      </c>
      <c r="CG1072" s="16" t="s">
        <v>5</v>
      </c>
      <c r="CH1072" s="18" t="s">
        <v>5</v>
      </c>
    </row>
    <row r="1073" spans="2:86">
      <c r="B1073" s="78" t="s">
        <v>473</v>
      </c>
      <c r="C1073" s="79" t="s">
        <v>1173</v>
      </c>
      <c r="D1073" s="80" t="s">
        <v>1173</v>
      </c>
      <c r="E1073" s="1" t="s">
        <v>4</v>
      </c>
      <c r="F1073" s="4">
        <v>15.4</v>
      </c>
      <c r="G1073" s="7">
        <v>4.5199999999999996</v>
      </c>
      <c r="H1073" s="3" t="str">
        <f t="shared" si="35"/>
        <v>2L3X2X1/2X3/4SLBB</v>
      </c>
      <c r="I1073" s="7">
        <v>2</v>
      </c>
      <c r="J1073" s="5" t="s">
        <v>5</v>
      </c>
      <c r="K1073" s="6" t="s">
        <v>5</v>
      </c>
      <c r="L1073" s="6" t="s">
        <v>5</v>
      </c>
      <c r="M1073" s="6" t="s">
        <v>5</v>
      </c>
      <c r="N1073" s="6" t="s">
        <v>5</v>
      </c>
      <c r="O1073" s="5" t="s">
        <v>5</v>
      </c>
      <c r="P1073" s="5" t="s">
        <v>5</v>
      </c>
      <c r="Q1073" s="7">
        <v>3</v>
      </c>
      <c r="R1073" s="6" t="s">
        <v>5</v>
      </c>
      <c r="S1073" s="6" t="s">
        <v>5</v>
      </c>
      <c r="T1073" s="5" t="s">
        <v>5</v>
      </c>
      <c r="U1073" s="8" t="s">
        <v>5</v>
      </c>
      <c r="V1073" s="6" t="s">
        <v>5</v>
      </c>
      <c r="W1073" s="8" t="s">
        <v>5</v>
      </c>
      <c r="X1073" s="22">
        <v>0.5</v>
      </c>
      <c r="Y1073" s="6" t="s">
        <v>5</v>
      </c>
      <c r="Z1073" s="6" t="s">
        <v>5</v>
      </c>
      <c r="AA1073" s="6" t="s">
        <v>5</v>
      </c>
      <c r="AB1073" s="8" t="s">
        <v>5</v>
      </c>
      <c r="AC1073" s="8" t="s">
        <v>5</v>
      </c>
      <c r="AD1073" s="6" t="s">
        <v>5</v>
      </c>
      <c r="AE1073" s="22">
        <v>0.57999999999999996</v>
      </c>
      <c r="AF1073" s="6" t="s">
        <v>5</v>
      </c>
      <c r="AG1073" s="6" t="s">
        <v>5</v>
      </c>
      <c r="AH1073" s="22">
        <v>0.377</v>
      </c>
      <c r="AI1073" s="6" t="s">
        <v>5</v>
      </c>
      <c r="AJ1073" s="7">
        <v>6</v>
      </c>
      <c r="AK1073" s="6" t="s">
        <v>5</v>
      </c>
      <c r="AL1073" s="6" t="s">
        <v>5</v>
      </c>
      <c r="AM1073" s="6" t="s">
        <v>5</v>
      </c>
      <c r="AN1073" s="6" t="s">
        <v>5</v>
      </c>
      <c r="AO1073" s="7">
        <v>1.33</v>
      </c>
      <c r="AP1073" s="7">
        <v>1.77</v>
      </c>
      <c r="AQ1073" s="22">
        <v>0.94</v>
      </c>
      <c r="AR1073" s="22">
        <v>0.54300000000000004</v>
      </c>
      <c r="AS1073" s="6">
        <v>13.4</v>
      </c>
      <c r="AT1073" s="6">
        <v>6.58</v>
      </c>
      <c r="AU1073" s="6">
        <v>3.97</v>
      </c>
      <c r="AV1073" s="7">
        <v>1.72</v>
      </c>
      <c r="AW1073" s="6" t="s">
        <v>5</v>
      </c>
      <c r="AX1073" s="6" t="s">
        <v>5</v>
      </c>
      <c r="AY1073" s="6" t="s">
        <v>5</v>
      </c>
      <c r="AZ1073" s="6" t="s">
        <v>5</v>
      </c>
      <c r="BA1073" s="6" t="s">
        <v>5</v>
      </c>
      <c r="BB1073" s="6" t="s">
        <v>5</v>
      </c>
      <c r="BC1073" s="6" t="s">
        <v>5</v>
      </c>
      <c r="BD1073" s="6" t="s">
        <v>5</v>
      </c>
      <c r="BE1073" s="6" t="s">
        <v>5</v>
      </c>
      <c r="BF1073" s="6" t="s">
        <v>5</v>
      </c>
      <c r="BG1073" s="6" t="s">
        <v>5</v>
      </c>
      <c r="BH1073" s="6" t="s">
        <v>5</v>
      </c>
      <c r="BI1073" s="7">
        <v>1.83</v>
      </c>
      <c r="BJ1073" s="22">
        <v>0.96799999999999997</v>
      </c>
      <c r="BK1073" s="6" t="s">
        <v>5</v>
      </c>
      <c r="BL1073" s="2" t="s">
        <v>5</v>
      </c>
      <c r="BM1073" s="2" t="s">
        <v>5</v>
      </c>
      <c r="BN1073" s="2" t="s">
        <v>5</v>
      </c>
      <c r="BO1073" s="2" t="s">
        <v>5</v>
      </c>
      <c r="BP1073" s="2" t="s">
        <v>5</v>
      </c>
      <c r="BQ1073" s="2" t="s">
        <v>5</v>
      </c>
      <c r="BR1073" s="2" t="s">
        <v>5</v>
      </c>
      <c r="BS1073" s="2" t="s">
        <v>5</v>
      </c>
      <c r="BT1073" s="2" t="s">
        <v>5</v>
      </c>
      <c r="BU1073" s="2" t="s">
        <v>5</v>
      </c>
      <c r="BV1073" s="2" t="s">
        <v>5</v>
      </c>
      <c r="BW1073" s="2" t="s">
        <v>5</v>
      </c>
      <c r="BX1073" s="2" t="s">
        <v>5</v>
      </c>
      <c r="BY1073" s="25" t="s">
        <v>5</v>
      </c>
      <c r="BZ1073" s="25" t="s">
        <v>5</v>
      </c>
      <c r="CA1073" s="6" t="s">
        <v>5</v>
      </c>
      <c r="CB1073" s="6" t="s">
        <v>5</v>
      </c>
      <c r="CC1073" s="6" t="s">
        <v>5</v>
      </c>
      <c r="CD1073" s="6" t="s">
        <v>5</v>
      </c>
      <c r="CE1073" s="6" t="s">
        <v>5</v>
      </c>
      <c r="CF1073" s="16" t="s">
        <v>5</v>
      </c>
      <c r="CG1073" s="16" t="s">
        <v>5</v>
      </c>
      <c r="CH1073" s="18" t="s">
        <v>5</v>
      </c>
    </row>
    <row r="1074" spans="2:86">
      <c r="B1074" s="78" t="s">
        <v>473</v>
      </c>
      <c r="C1074" s="79" t="s">
        <v>1174</v>
      </c>
      <c r="D1074" s="80" t="s">
        <v>1174</v>
      </c>
      <c r="E1074" s="1" t="s">
        <v>4</v>
      </c>
      <c r="F1074" s="4">
        <v>11.8</v>
      </c>
      <c r="G1074" s="7">
        <v>3.5</v>
      </c>
      <c r="H1074" s="3" t="str">
        <f t="shared" si="35"/>
        <v>2L3X2X3/8SLBB</v>
      </c>
      <c r="I1074" s="7">
        <v>2</v>
      </c>
      <c r="J1074" s="5" t="s">
        <v>5</v>
      </c>
      <c r="K1074" s="6" t="s">
        <v>5</v>
      </c>
      <c r="L1074" s="6" t="s">
        <v>5</v>
      </c>
      <c r="M1074" s="6" t="s">
        <v>5</v>
      </c>
      <c r="N1074" s="6" t="s">
        <v>5</v>
      </c>
      <c r="O1074" s="5" t="s">
        <v>5</v>
      </c>
      <c r="P1074" s="5" t="s">
        <v>5</v>
      </c>
      <c r="Q1074" s="7">
        <v>3</v>
      </c>
      <c r="R1074" s="6" t="s">
        <v>5</v>
      </c>
      <c r="S1074" s="6" t="s">
        <v>5</v>
      </c>
      <c r="T1074" s="5" t="s">
        <v>5</v>
      </c>
      <c r="U1074" s="8" t="s">
        <v>5</v>
      </c>
      <c r="V1074" s="6" t="s">
        <v>5</v>
      </c>
      <c r="W1074" s="8" t="s">
        <v>5</v>
      </c>
      <c r="X1074" s="22">
        <v>0.375</v>
      </c>
      <c r="Y1074" s="6" t="s">
        <v>5</v>
      </c>
      <c r="Z1074" s="6" t="s">
        <v>5</v>
      </c>
      <c r="AA1074" s="6" t="s">
        <v>5</v>
      </c>
      <c r="AB1074" s="8" t="s">
        <v>5</v>
      </c>
      <c r="AC1074" s="8" t="s">
        <v>5</v>
      </c>
      <c r="AD1074" s="6" t="s">
        <v>5</v>
      </c>
      <c r="AE1074" s="22">
        <v>0.53500000000000003</v>
      </c>
      <c r="AF1074" s="6" t="s">
        <v>5</v>
      </c>
      <c r="AG1074" s="6" t="s">
        <v>5</v>
      </c>
      <c r="AH1074" s="22">
        <v>0.29199999999999998</v>
      </c>
      <c r="AI1074" s="6" t="s">
        <v>5</v>
      </c>
      <c r="AJ1074" s="7">
        <v>8</v>
      </c>
      <c r="AK1074" s="6" t="s">
        <v>5</v>
      </c>
      <c r="AL1074" s="6" t="s">
        <v>5</v>
      </c>
      <c r="AM1074" s="6" t="s">
        <v>5</v>
      </c>
      <c r="AN1074" s="6" t="s">
        <v>5</v>
      </c>
      <c r="AO1074" s="7">
        <v>1.08</v>
      </c>
      <c r="AP1074" s="7">
        <v>1.36</v>
      </c>
      <c r="AQ1074" s="22">
        <v>0.73599999999999999</v>
      </c>
      <c r="AR1074" s="22">
        <v>0.55500000000000005</v>
      </c>
      <c r="AS1074" s="6">
        <v>6.76</v>
      </c>
      <c r="AT1074" s="7">
        <v>3.6</v>
      </c>
      <c r="AU1074" s="6">
        <v>2.25</v>
      </c>
      <c r="AV1074" s="7">
        <v>1.39</v>
      </c>
      <c r="AW1074" s="6" t="s">
        <v>5</v>
      </c>
      <c r="AX1074" s="6" t="s">
        <v>5</v>
      </c>
      <c r="AY1074" s="6" t="s">
        <v>5</v>
      </c>
      <c r="AZ1074" s="6" t="s">
        <v>5</v>
      </c>
      <c r="BA1074" s="6" t="s">
        <v>5</v>
      </c>
      <c r="BB1074" s="6" t="s">
        <v>5</v>
      </c>
      <c r="BC1074" s="6" t="s">
        <v>5</v>
      </c>
      <c r="BD1074" s="6" t="s">
        <v>5</v>
      </c>
      <c r="BE1074" s="6" t="s">
        <v>5</v>
      </c>
      <c r="BF1074" s="6" t="s">
        <v>5</v>
      </c>
      <c r="BG1074" s="6" t="s">
        <v>5</v>
      </c>
      <c r="BH1074" s="6" t="s">
        <v>5</v>
      </c>
      <c r="BI1074" s="7">
        <v>1.54</v>
      </c>
      <c r="BJ1074" s="22">
        <v>0.94899999999999995</v>
      </c>
      <c r="BK1074" s="6" t="s">
        <v>5</v>
      </c>
      <c r="BL1074" s="2" t="s">
        <v>5</v>
      </c>
      <c r="BM1074" s="2" t="s">
        <v>5</v>
      </c>
      <c r="BN1074" s="2" t="s">
        <v>5</v>
      </c>
      <c r="BO1074" s="2" t="s">
        <v>5</v>
      </c>
      <c r="BP1074" s="2" t="s">
        <v>5</v>
      </c>
      <c r="BQ1074" s="2" t="s">
        <v>5</v>
      </c>
      <c r="BR1074" s="2" t="s">
        <v>5</v>
      </c>
      <c r="BS1074" s="2" t="s">
        <v>5</v>
      </c>
      <c r="BT1074" s="2" t="s">
        <v>5</v>
      </c>
      <c r="BU1074" s="2" t="s">
        <v>5</v>
      </c>
      <c r="BV1074" s="2" t="s">
        <v>5</v>
      </c>
      <c r="BW1074" s="2" t="s">
        <v>5</v>
      </c>
      <c r="BX1074" s="2" t="s">
        <v>5</v>
      </c>
      <c r="BY1074" s="25" t="s">
        <v>5</v>
      </c>
      <c r="BZ1074" s="25" t="s">
        <v>5</v>
      </c>
      <c r="CA1074" s="6" t="s">
        <v>5</v>
      </c>
      <c r="CB1074" s="6" t="s">
        <v>5</v>
      </c>
      <c r="CC1074" s="6" t="s">
        <v>5</v>
      </c>
      <c r="CD1074" s="6" t="s">
        <v>5</v>
      </c>
      <c r="CE1074" s="6" t="s">
        <v>5</v>
      </c>
      <c r="CF1074" s="16" t="s">
        <v>5</v>
      </c>
      <c r="CG1074" s="16" t="s">
        <v>5</v>
      </c>
      <c r="CH1074" s="18" t="s">
        <v>5</v>
      </c>
    </row>
    <row r="1075" spans="2:86">
      <c r="B1075" s="78" t="s">
        <v>473</v>
      </c>
      <c r="C1075" s="79" t="s">
        <v>1175</v>
      </c>
      <c r="D1075" s="80" t="s">
        <v>1175</v>
      </c>
      <c r="E1075" s="1" t="s">
        <v>4</v>
      </c>
      <c r="F1075" s="4">
        <v>11.8</v>
      </c>
      <c r="G1075" s="7">
        <v>3.5</v>
      </c>
      <c r="H1075" s="3" t="str">
        <f t="shared" si="35"/>
        <v>2L3X2X3/8X3/8SLBB</v>
      </c>
      <c r="I1075" s="7">
        <v>2</v>
      </c>
      <c r="J1075" s="5" t="s">
        <v>5</v>
      </c>
      <c r="K1075" s="6" t="s">
        <v>5</v>
      </c>
      <c r="L1075" s="6" t="s">
        <v>5</v>
      </c>
      <c r="M1075" s="6" t="s">
        <v>5</v>
      </c>
      <c r="N1075" s="6" t="s">
        <v>5</v>
      </c>
      <c r="O1075" s="5" t="s">
        <v>5</v>
      </c>
      <c r="P1075" s="5" t="s">
        <v>5</v>
      </c>
      <c r="Q1075" s="7">
        <v>3</v>
      </c>
      <c r="R1075" s="6" t="s">
        <v>5</v>
      </c>
      <c r="S1075" s="6" t="s">
        <v>5</v>
      </c>
      <c r="T1075" s="5" t="s">
        <v>5</v>
      </c>
      <c r="U1075" s="8" t="s">
        <v>5</v>
      </c>
      <c r="V1075" s="6" t="s">
        <v>5</v>
      </c>
      <c r="W1075" s="8" t="s">
        <v>5</v>
      </c>
      <c r="X1075" s="22">
        <v>0.375</v>
      </c>
      <c r="Y1075" s="6" t="s">
        <v>5</v>
      </c>
      <c r="Z1075" s="6" t="s">
        <v>5</v>
      </c>
      <c r="AA1075" s="6" t="s">
        <v>5</v>
      </c>
      <c r="AB1075" s="8" t="s">
        <v>5</v>
      </c>
      <c r="AC1075" s="8" t="s">
        <v>5</v>
      </c>
      <c r="AD1075" s="6" t="s">
        <v>5</v>
      </c>
      <c r="AE1075" s="22">
        <v>0.53500000000000003</v>
      </c>
      <c r="AF1075" s="6" t="s">
        <v>5</v>
      </c>
      <c r="AG1075" s="6" t="s">
        <v>5</v>
      </c>
      <c r="AH1075" s="22">
        <v>0.29199999999999998</v>
      </c>
      <c r="AI1075" s="6" t="s">
        <v>5</v>
      </c>
      <c r="AJ1075" s="7">
        <v>8</v>
      </c>
      <c r="AK1075" s="6" t="s">
        <v>5</v>
      </c>
      <c r="AL1075" s="6" t="s">
        <v>5</v>
      </c>
      <c r="AM1075" s="6" t="s">
        <v>5</v>
      </c>
      <c r="AN1075" s="6" t="s">
        <v>5</v>
      </c>
      <c r="AO1075" s="7">
        <v>1.08</v>
      </c>
      <c r="AP1075" s="7">
        <v>1.36</v>
      </c>
      <c r="AQ1075" s="22">
        <v>0.73599999999999999</v>
      </c>
      <c r="AR1075" s="22">
        <v>0.55500000000000005</v>
      </c>
      <c r="AS1075" s="7">
        <v>8.3000000000000007</v>
      </c>
      <c r="AT1075" s="6">
        <v>4.26</v>
      </c>
      <c r="AU1075" s="7">
        <v>2.6</v>
      </c>
      <c r="AV1075" s="7">
        <v>1.54</v>
      </c>
      <c r="AW1075" s="6" t="s">
        <v>5</v>
      </c>
      <c r="AX1075" s="6" t="s">
        <v>5</v>
      </c>
      <c r="AY1075" s="6" t="s">
        <v>5</v>
      </c>
      <c r="AZ1075" s="6" t="s">
        <v>5</v>
      </c>
      <c r="BA1075" s="6" t="s">
        <v>5</v>
      </c>
      <c r="BB1075" s="6" t="s">
        <v>5</v>
      </c>
      <c r="BC1075" s="6" t="s">
        <v>5</v>
      </c>
      <c r="BD1075" s="6" t="s">
        <v>5</v>
      </c>
      <c r="BE1075" s="6" t="s">
        <v>5</v>
      </c>
      <c r="BF1075" s="6" t="s">
        <v>5</v>
      </c>
      <c r="BG1075" s="6" t="s">
        <v>5</v>
      </c>
      <c r="BH1075" s="6" t="s">
        <v>5</v>
      </c>
      <c r="BI1075" s="7">
        <v>1.67</v>
      </c>
      <c r="BJ1075" s="22">
        <v>0.95699999999999996</v>
      </c>
      <c r="BK1075" s="6" t="s">
        <v>5</v>
      </c>
      <c r="BL1075" s="2" t="s">
        <v>5</v>
      </c>
      <c r="BM1075" s="2" t="s">
        <v>5</v>
      </c>
      <c r="BN1075" s="2" t="s">
        <v>5</v>
      </c>
      <c r="BO1075" s="2" t="s">
        <v>5</v>
      </c>
      <c r="BP1075" s="2" t="s">
        <v>5</v>
      </c>
      <c r="BQ1075" s="2" t="s">
        <v>5</v>
      </c>
      <c r="BR1075" s="2" t="s">
        <v>5</v>
      </c>
      <c r="BS1075" s="2" t="s">
        <v>5</v>
      </c>
      <c r="BT1075" s="2" t="s">
        <v>5</v>
      </c>
      <c r="BU1075" s="2" t="s">
        <v>5</v>
      </c>
      <c r="BV1075" s="2" t="s">
        <v>5</v>
      </c>
      <c r="BW1075" s="2" t="s">
        <v>5</v>
      </c>
      <c r="BX1075" s="2" t="s">
        <v>5</v>
      </c>
      <c r="BY1075" s="25" t="s">
        <v>5</v>
      </c>
      <c r="BZ1075" s="25" t="s">
        <v>5</v>
      </c>
      <c r="CA1075" s="6" t="s">
        <v>5</v>
      </c>
      <c r="CB1075" s="6" t="s">
        <v>5</v>
      </c>
      <c r="CC1075" s="6" t="s">
        <v>5</v>
      </c>
      <c r="CD1075" s="6" t="s">
        <v>5</v>
      </c>
      <c r="CE1075" s="6" t="s">
        <v>5</v>
      </c>
      <c r="CF1075" s="16" t="s">
        <v>5</v>
      </c>
      <c r="CG1075" s="16" t="s">
        <v>5</v>
      </c>
      <c r="CH1075" s="18" t="s">
        <v>5</v>
      </c>
    </row>
    <row r="1076" spans="2:86">
      <c r="B1076" s="78" t="s">
        <v>473</v>
      </c>
      <c r="C1076" s="79" t="s">
        <v>1176</v>
      </c>
      <c r="D1076" s="80" t="s">
        <v>1176</v>
      </c>
      <c r="E1076" s="1" t="s">
        <v>4</v>
      </c>
      <c r="F1076" s="4">
        <v>11.8</v>
      </c>
      <c r="G1076" s="7">
        <v>3.5</v>
      </c>
      <c r="H1076" s="3" t="str">
        <f t="shared" si="35"/>
        <v>2L3X2X3/8X3/4SLBB</v>
      </c>
      <c r="I1076" s="7">
        <v>2</v>
      </c>
      <c r="J1076" s="5" t="s">
        <v>5</v>
      </c>
      <c r="K1076" s="6" t="s">
        <v>5</v>
      </c>
      <c r="L1076" s="6" t="s">
        <v>5</v>
      </c>
      <c r="M1076" s="6" t="s">
        <v>5</v>
      </c>
      <c r="N1076" s="6" t="s">
        <v>5</v>
      </c>
      <c r="O1076" s="5" t="s">
        <v>5</v>
      </c>
      <c r="P1076" s="5" t="s">
        <v>5</v>
      </c>
      <c r="Q1076" s="7">
        <v>3</v>
      </c>
      <c r="R1076" s="6" t="s">
        <v>5</v>
      </c>
      <c r="S1076" s="6" t="s">
        <v>5</v>
      </c>
      <c r="T1076" s="5" t="s">
        <v>5</v>
      </c>
      <c r="U1076" s="8" t="s">
        <v>5</v>
      </c>
      <c r="V1076" s="6" t="s">
        <v>5</v>
      </c>
      <c r="W1076" s="8" t="s">
        <v>5</v>
      </c>
      <c r="X1076" s="22">
        <v>0.375</v>
      </c>
      <c r="Y1076" s="6" t="s">
        <v>5</v>
      </c>
      <c r="Z1076" s="6" t="s">
        <v>5</v>
      </c>
      <c r="AA1076" s="6" t="s">
        <v>5</v>
      </c>
      <c r="AB1076" s="8" t="s">
        <v>5</v>
      </c>
      <c r="AC1076" s="8" t="s">
        <v>5</v>
      </c>
      <c r="AD1076" s="6" t="s">
        <v>5</v>
      </c>
      <c r="AE1076" s="22">
        <v>0.53500000000000003</v>
      </c>
      <c r="AF1076" s="6" t="s">
        <v>5</v>
      </c>
      <c r="AG1076" s="6" t="s">
        <v>5</v>
      </c>
      <c r="AH1076" s="22">
        <v>0.29199999999999998</v>
      </c>
      <c r="AI1076" s="6" t="s">
        <v>5</v>
      </c>
      <c r="AJ1076" s="7">
        <v>8</v>
      </c>
      <c r="AK1076" s="6" t="s">
        <v>5</v>
      </c>
      <c r="AL1076" s="6" t="s">
        <v>5</v>
      </c>
      <c r="AM1076" s="6" t="s">
        <v>5</v>
      </c>
      <c r="AN1076" s="6" t="s">
        <v>5</v>
      </c>
      <c r="AO1076" s="7">
        <v>1.08</v>
      </c>
      <c r="AP1076" s="7">
        <v>1.36</v>
      </c>
      <c r="AQ1076" s="22">
        <v>0.73599999999999999</v>
      </c>
      <c r="AR1076" s="22">
        <v>0.55500000000000005</v>
      </c>
      <c r="AS1076" s="4">
        <v>10</v>
      </c>
      <c r="AT1076" s="6">
        <v>4.92</v>
      </c>
      <c r="AU1076" s="6">
        <v>2.96</v>
      </c>
      <c r="AV1076" s="7">
        <v>1.69</v>
      </c>
      <c r="AW1076" s="6" t="s">
        <v>5</v>
      </c>
      <c r="AX1076" s="6" t="s">
        <v>5</v>
      </c>
      <c r="AY1076" s="6" t="s">
        <v>5</v>
      </c>
      <c r="AZ1076" s="6" t="s">
        <v>5</v>
      </c>
      <c r="BA1076" s="6" t="s">
        <v>5</v>
      </c>
      <c r="BB1076" s="6" t="s">
        <v>5</v>
      </c>
      <c r="BC1076" s="6" t="s">
        <v>5</v>
      </c>
      <c r="BD1076" s="6" t="s">
        <v>5</v>
      </c>
      <c r="BE1076" s="6" t="s">
        <v>5</v>
      </c>
      <c r="BF1076" s="6" t="s">
        <v>5</v>
      </c>
      <c r="BG1076" s="6" t="s">
        <v>5</v>
      </c>
      <c r="BH1076" s="6" t="s">
        <v>5</v>
      </c>
      <c r="BI1076" s="7">
        <v>1.81</v>
      </c>
      <c r="BJ1076" s="22">
        <v>0.96299999999999997</v>
      </c>
      <c r="BK1076" s="6" t="s">
        <v>5</v>
      </c>
      <c r="BL1076" s="2" t="s">
        <v>5</v>
      </c>
      <c r="BM1076" s="2" t="s">
        <v>5</v>
      </c>
      <c r="BN1076" s="2" t="s">
        <v>5</v>
      </c>
      <c r="BO1076" s="2" t="s">
        <v>5</v>
      </c>
      <c r="BP1076" s="2" t="s">
        <v>5</v>
      </c>
      <c r="BQ1076" s="2" t="s">
        <v>5</v>
      </c>
      <c r="BR1076" s="2" t="s">
        <v>5</v>
      </c>
      <c r="BS1076" s="2" t="s">
        <v>5</v>
      </c>
      <c r="BT1076" s="2" t="s">
        <v>5</v>
      </c>
      <c r="BU1076" s="2" t="s">
        <v>5</v>
      </c>
      <c r="BV1076" s="2" t="s">
        <v>5</v>
      </c>
      <c r="BW1076" s="2" t="s">
        <v>5</v>
      </c>
      <c r="BX1076" s="2" t="s">
        <v>5</v>
      </c>
      <c r="BY1076" s="25" t="s">
        <v>5</v>
      </c>
      <c r="BZ1076" s="25" t="s">
        <v>5</v>
      </c>
      <c r="CA1076" s="6" t="s">
        <v>5</v>
      </c>
      <c r="CB1076" s="6" t="s">
        <v>5</v>
      </c>
      <c r="CC1076" s="6" t="s">
        <v>5</v>
      </c>
      <c r="CD1076" s="6" t="s">
        <v>5</v>
      </c>
      <c r="CE1076" s="6" t="s">
        <v>5</v>
      </c>
      <c r="CF1076" s="16" t="s">
        <v>5</v>
      </c>
      <c r="CG1076" s="16" t="s">
        <v>5</v>
      </c>
      <c r="CH1076" s="18" t="s">
        <v>5</v>
      </c>
    </row>
    <row r="1077" spans="2:86">
      <c r="B1077" s="78" t="s">
        <v>473</v>
      </c>
      <c r="C1077" s="79" t="s">
        <v>1177</v>
      </c>
      <c r="D1077" s="80" t="s">
        <v>1177</v>
      </c>
      <c r="E1077" s="1" t="s">
        <v>4</v>
      </c>
      <c r="F1077" s="4">
        <v>10</v>
      </c>
      <c r="G1077" s="7">
        <v>2.96</v>
      </c>
      <c r="H1077" s="3" t="str">
        <f t="shared" si="35"/>
        <v>2L3X2X5/16SLBB</v>
      </c>
      <c r="I1077" s="7">
        <v>2</v>
      </c>
      <c r="J1077" s="5" t="s">
        <v>5</v>
      </c>
      <c r="K1077" s="6" t="s">
        <v>5</v>
      </c>
      <c r="L1077" s="6" t="s">
        <v>5</v>
      </c>
      <c r="M1077" s="6" t="s">
        <v>5</v>
      </c>
      <c r="N1077" s="6" t="s">
        <v>5</v>
      </c>
      <c r="O1077" s="5" t="s">
        <v>5</v>
      </c>
      <c r="P1077" s="5" t="s">
        <v>5</v>
      </c>
      <c r="Q1077" s="7">
        <v>3</v>
      </c>
      <c r="R1077" s="6" t="s">
        <v>5</v>
      </c>
      <c r="S1077" s="6" t="s">
        <v>5</v>
      </c>
      <c r="T1077" s="5" t="s">
        <v>5</v>
      </c>
      <c r="U1077" s="8" t="s">
        <v>5</v>
      </c>
      <c r="V1077" s="6" t="s">
        <v>5</v>
      </c>
      <c r="W1077" s="8" t="s">
        <v>5</v>
      </c>
      <c r="X1077" s="22">
        <v>0.313</v>
      </c>
      <c r="Y1077" s="6" t="s">
        <v>5</v>
      </c>
      <c r="Z1077" s="6" t="s">
        <v>5</v>
      </c>
      <c r="AA1077" s="6" t="s">
        <v>5</v>
      </c>
      <c r="AB1077" s="8" t="s">
        <v>5</v>
      </c>
      <c r="AC1077" s="8" t="s">
        <v>5</v>
      </c>
      <c r="AD1077" s="6" t="s">
        <v>5</v>
      </c>
      <c r="AE1077" s="22">
        <v>0.51100000000000001</v>
      </c>
      <c r="AF1077" s="6" t="s">
        <v>5</v>
      </c>
      <c r="AG1077" s="6" t="s">
        <v>5</v>
      </c>
      <c r="AH1077" s="22">
        <v>0.247</v>
      </c>
      <c r="AI1077" s="6" t="s">
        <v>5</v>
      </c>
      <c r="AJ1077" s="7">
        <v>9.58</v>
      </c>
      <c r="AK1077" s="6" t="s">
        <v>5</v>
      </c>
      <c r="AL1077" s="6" t="s">
        <v>5</v>
      </c>
      <c r="AM1077" s="6" t="s">
        <v>5</v>
      </c>
      <c r="AN1077" s="6" t="s">
        <v>5</v>
      </c>
      <c r="AO1077" s="22">
        <v>0.93500000000000005</v>
      </c>
      <c r="AP1077" s="7">
        <v>1.1399999999999999</v>
      </c>
      <c r="AQ1077" s="22">
        <v>0.628</v>
      </c>
      <c r="AR1077" s="22">
        <v>0.56200000000000006</v>
      </c>
      <c r="AS1077" s="6">
        <v>5.64</v>
      </c>
      <c r="AT1077" s="6">
        <v>2.99</v>
      </c>
      <c r="AU1077" s="6">
        <v>1.88</v>
      </c>
      <c r="AV1077" s="7">
        <v>1.38</v>
      </c>
      <c r="AW1077" s="6" t="s">
        <v>5</v>
      </c>
      <c r="AX1077" s="6" t="s">
        <v>5</v>
      </c>
      <c r="AY1077" s="6" t="s">
        <v>5</v>
      </c>
      <c r="AZ1077" s="6" t="s">
        <v>5</v>
      </c>
      <c r="BA1077" s="6" t="s">
        <v>5</v>
      </c>
      <c r="BB1077" s="6" t="s">
        <v>5</v>
      </c>
      <c r="BC1077" s="6" t="s">
        <v>5</v>
      </c>
      <c r="BD1077" s="6" t="s">
        <v>5</v>
      </c>
      <c r="BE1077" s="6" t="s">
        <v>5</v>
      </c>
      <c r="BF1077" s="6" t="s">
        <v>5</v>
      </c>
      <c r="BG1077" s="6" t="s">
        <v>5</v>
      </c>
      <c r="BH1077" s="6" t="s">
        <v>5</v>
      </c>
      <c r="BI1077" s="7">
        <v>1.53</v>
      </c>
      <c r="BJ1077" s="22">
        <v>0.94599999999999995</v>
      </c>
      <c r="BK1077" s="6" t="s">
        <v>5</v>
      </c>
      <c r="BL1077" s="2" t="s">
        <v>5</v>
      </c>
      <c r="BM1077" s="2" t="s">
        <v>5</v>
      </c>
      <c r="BN1077" s="2" t="s">
        <v>5</v>
      </c>
      <c r="BO1077" s="2" t="s">
        <v>5</v>
      </c>
      <c r="BP1077" s="2" t="s">
        <v>5</v>
      </c>
      <c r="BQ1077" s="2" t="s">
        <v>5</v>
      </c>
      <c r="BR1077" s="2" t="s">
        <v>5</v>
      </c>
      <c r="BS1077" s="2" t="s">
        <v>5</v>
      </c>
      <c r="BT1077" s="2" t="s">
        <v>5</v>
      </c>
      <c r="BU1077" s="2" t="s">
        <v>5</v>
      </c>
      <c r="BV1077" s="2" t="s">
        <v>5</v>
      </c>
      <c r="BW1077" s="2" t="s">
        <v>5</v>
      </c>
      <c r="BX1077" s="2" t="s">
        <v>5</v>
      </c>
      <c r="BY1077" s="25" t="s">
        <v>5</v>
      </c>
      <c r="BZ1077" s="25" t="s">
        <v>5</v>
      </c>
      <c r="CA1077" s="6" t="s">
        <v>5</v>
      </c>
      <c r="CB1077" s="6" t="s">
        <v>5</v>
      </c>
      <c r="CC1077" s="6" t="s">
        <v>5</v>
      </c>
      <c r="CD1077" s="6" t="s">
        <v>5</v>
      </c>
      <c r="CE1077" s="6" t="s">
        <v>5</v>
      </c>
      <c r="CF1077" s="16" t="s">
        <v>5</v>
      </c>
      <c r="CG1077" s="16" t="s">
        <v>5</v>
      </c>
      <c r="CH1077" s="18" t="s">
        <v>5</v>
      </c>
    </row>
    <row r="1078" spans="2:86">
      <c r="B1078" s="78" t="s">
        <v>473</v>
      </c>
      <c r="C1078" s="79" t="s">
        <v>1178</v>
      </c>
      <c r="D1078" s="80" t="s">
        <v>1178</v>
      </c>
      <c r="E1078" s="1" t="s">
        <v>4</v>
      </c>
      <c r="F1078" s="4">
        <v>10</v>
      </c>
      <c r="G1078" s="7">
        <v>2.96</v>
      </c>
      <c r="H1078" s="3" t="str">
        <f t="shared" si="35"/>
        <v>2L3X2X5/16X3/8SLBB</v>
      </c>
      <c r="I1078" s="7">
        <v>2</v>
      </c>
      <c r="J1078" s="5" t="s">
        <v>5</v>
      </c>
      <c r="K1078" s="6" t="s">
        <v>5</v>
      </c>
      <c r="L1078" s="6" t="s">
        <v>5</v>
      </c>
      <c r="M1078" s="6" t="s">
        <v>5</v>
      </c>
      <c r="N1078" s="6" t="s">
        <v>5</v>
      </c>
      <c r="O1078" s="5" t="s">
        <v>5</v>
      </c>
      <c r="P1078" s="5" t="s">
        <v>5</v>
      </c>
      <c r="Q1078" s="7">
        <v>3</v>
      </c>
      <c r="R1078" s="6" t="s">
        <v>5</v>
      </c>
      <c r="S1078" s="6" t="s">
        <v>5</v>
      </c>
      <c r="T1078" s="5" t="s">
        <v>5</v>
      </c>
      <c r="U1078" s="8" t="s">
        <v>5</v>
      </c>
      <c r="V1078" s="6" t="s">
        <v>5</v>
      </c>
      <c r="W1078" s="8" t="s">
        <v>5</v>
      </c>
      <c r="X1078" s="22">
        <v>0.313</v>
      </c>
      <c r="Y1078" s="6" t="s">
        <v>5</v>
      </c>
      <c r="Z1078" s="6" t="s">
        <v>5</v>
      </c>
      <c r="AA1078" s="6" t="s">
        <v>5</v>
      </c>
      <c r="AB1078" s="8" t="s">
        <v>5</v>
      </c>
      <c r="AC1078" s="8" t="s">
        <v>5</v>
      </c>
      <c r="AD1078" s="6" t="s">
        <v>5</v>
      </c>
      <c r="AE1078" s="22">
        <v>0.51100000000000001</v>
      </c>
      <c r="AF1078" s="6" t="s">
        <v>5</v>
      </c>
      <c r="AG1078" s="6" t="s">
        <v>5</v>
      </c>
      <c r="AH1078" s="22">
        <v>0.247</v>
      </c>
      <c r="AI1078" s="6" t="s">
        <v>5</v>
      </c>
      <c r="AJ1078" s="7">
        <v>9.58</v>
      </c>
      <c r="AK1078" s="6" t="s">
        <v>5</v>
      </c>
      <c r="AL1078" s="6" t="s">
        <v>5</v>
      </c>
      <c r="AM1078" s="6" t="s">
        <v>5</v>
      </c>
      <c r="AN1078" s="6" t="s">
        <v>5</v>
      </c>
      <c r="AO1078" s="22">
        <v>0.93500000000000005</v>
      </c>
      <c r="AP1078" s="7">
        <v>1.1399999999999999</v>
      </c>
      <c r="AQ1078" s="22">
        <v>0.628</v>
      </c>
      <c r="AR1078" s="22">
        <v>0.56200000000000006</v>
      </c>
      <c r="AS1078" s="6">
        <v>6.84</v>
      </c>
      <c r="AT1078" s="6">
        <v>3.54</v>
      </c>
      <c r="AU1078" s="6">
        <v>2.15</v>
      </c>
      <c r="AV1078" s="7">
        <v>1.52</v>
      </c>
      <c r="AW1078" s="6" t="s">
        <v>5</v>
      </c>
      <c r="AX1078" s="6" t="s">
        <v>5</v>
      </c>
      <c r="AY1078" s="6" t="s">
        <v>5</v>
      </c>
      <c r="AZ1078" s="6" t="s">
        <v>5</v>
      </c>
      <c r="BA1078" s="6" t="s">
        <v>5</v>
      </c>
      <c r="BB1078" s="6" t="s">
        <v>5</v>
      </c>
      <c r="BC1078" s="6" t="s">
        <v>5</v>
      </c>
      <c r="BD1078" s="6" t="s">
        <v>5</v>
      </c>
      <c r="BE1078" s="6" t="s">
        <v>5</v>
      </c>
      <c r="BF1078" s="6" t="s">
        <v>5</v>
      </c>
      <c r="BG1078" s="6" t="s">
        <v>5</v>
      </c>
      <c r="BH1078" s="6" t="s">
        <v>5</v>
      </c>
      <c r="BI1078" s="7">
        <v>1.66</v>
      </c>
      <c r="BJ1078" s="22">
        <v>0.95399999999999996</v>
      </c>
      <c r="BK1078" s="6" t="s">
        <v>5</v>
      </c>
      <c r="BL1078" s="2" t="s">
        <v>5</v>
      </c>
      <c r="BM1078" s="2" t="s">
        <v>5</v>
      </c>
      <c r="BN1078" s="2" t="s">
        <v>5</v>
      </c>
      <c r="BO1078" s="2" t="s">
        <v>5</v>
      </c>
      <c r="BP1078" s="2" t="s">
        <v>5</v>
      </c>
      <c r="BQ1078" s="2" t="s">
        <v>5</v>
      </c>
      <c r="BR1078" s="2" t="s">
        <v>5</v>
      </c>
      <c r="BS1078" s="2" t="s">
        <v>5</v>
      </c>
      <c r="BT1078" s="2" t="s">
        <v>5</v>
      </c>
      <c r="BU1078" s="2" t="s">
        <v>5</v>
      </c>
      <c r="BV1078" s="2" t="s">
        <v>5</v>
      </c>
      <c r="BW1078" s="2" t="s">
        <v>5</v>
      </c>
      <c r="BX1078" s="2" t="s">
        <v>5</v>
      </c>
      <c r="BY1078" s="25" t="s">
        <v>5</v>
      </c>
      <c r="BZ1078" s="25" t="s">
        <v>5</v>
      </c>
      <c r="CA1078" s="6" t="s">
        <v>5</v>
      </c>
      <c r="CB1078" s="6" t="s">
        <v>5</v>
      </c>
      <c r="CC1078" s="6" t="s">
        <v>5</v>
      </c>
      <c r="CD1078" s="6" t="s">
        <v>5</v>
      </c>
      <c r="CE1078" s="6" t="s">
        <v>5</v>
      </c>
      <c r="CF1078" s="16" t="s">
        <v>5</v>
      </c>
      <c r="CG1078" s="16" t="s">
        <v>5</v>
      </c>
      <c r="CH1078" s="18" t="s">
        <v>5</v>
      </c>
    </row>
    <row r="1079" spans="2:86">
      <c r="B1079" s="78" t="s">
        <v>473</v>
      </c>
      <c r="C1079" s="79" t="s">
        <v>1179</v>
      </c>
      <c r="D1079" s="80" t="s">
        <v>1179</v>
      </c>
      <c r="E1079" s="1" t="s">
        <v>4</v>
      </c>
      <c r="F1079" s="4">
        <v>10</v>
      </c>
      <c r="G1079" s="7">
        <v>2.96</v>
      </c>
      <c r="H1079" s="3" t="str">
        <f t="shared" si="35"/>
        <v>2L3X2X5/16X3/4SLBB</v>
      </c>
      <c r="I1079" s="7">
        <v>2</v>
      </c>
      <c r="J1079" s="5" t="s">
        <v>5</v>
      </c>
      <c r="K1079" s="6" t="s">
        <v>5</v>
      </c>
      <c r="L1079" s="6" t="s">
        <v>5</v>
      </c>
      <c r="M1079" s="6" t="s">
        <v>5</v>
      </c>
      <c r="N1079" s="6" t="s">
        <v>5</v>
      </c>
      <c r="O1079" s="5" t="s">
        <v>5</v>
      </c>
      <c r="P1079" s="5" t="s">
        <v>5</v>
      </c>
      <c r="Q1079" s="7">
        <v>3</v>
      </c>
      <c r="R1079" s="6" t="s">
        <v>5</v>
      </c>
      <c r="S1079" s="6" t="s">
        <v>5</v>
      </c>
      <c r="T1079" s="5" t="s">
        <v>5</v>
      </c>
      <c r="U1079" s="8" t="s">
        <v>5</v>
      </c>
      <c r="V1079" s="6" t="s">
        <v>5</v>
      </c>
      <c r="W1079" s="8" t="s">
        <v>5</v>
      </c>
      <c r="X1079" s="22">
        <v>0.313</v>
      </c>
      <c r="Y1079" s="6" t="s">
        <v>5</v>
      </c>
      <c r="Z1079" s="6" t="s">
        <v>5</v>
      </c>
      <c r="AA1079" s="6" t="s">
        <v>5</v>
      </c>
      <c r="AB1079" s="8" t="s">
        <v>5</v>
      </c>
      <c r="AC1079" s="8" t="s">
        <v>5</v>
      </c>
      <c r="AD1079" s="6" t="s">
        <v>5</v>
      </c>
      <c r="AE1079" s="22">
        <v>0.51100000000000001</v>
      </c>
      <c r="AF1079" s="6" t="s">
        <v>5</v>
      </c>
      <c r="AG1079" s="6" t="s">
        <v>5</v>
      </c>
      <c r="AH1079" s="22">
        <v>0.247</v>
      </c>
      <c r="AI1079" s="6" t="s">
        <v>5</v>
      </c>
      <c r="AJ1079" s="7">
        <v>9.58</v>
      </c>
      <c r="AK1079" s="6" t="s">
        <v>5</v>
      </c>
      <c r="AL1079" s="6" t="s">
        <v>5</v>
      </c>
      <c r="AM1079" s="6" t="s">
        <v>5</v>
      </c>
      <c r="AN1079" s="6" t="s">
        <v>5</v>
      </c>
      <c r="AO1079" s="22">
        <v>0.93500000000000005</v>
      </c>
      <c r="AP1079" s="7">
        <v>1.1399999999999999</v>
      </c>
      <c r="AQ1079" s="22">
        <v>0.628</v>
      </c>
      <c r="AR1079" s="22">
        <v>0.56200000000000006</v>
      </c>
      <c r="AS1079" s="6">
        <v>8.26</v>
      </c>
      <c r="AT1079" s="7">
        <v>4.0999999999999996</v>
      </c>
      <c r="AU1079" s="6">
        <v>2.4500000000000002</v>
      </c>
      <c r="AV1079" s="7">
        <v>1.67</v>
      </c>
      <c r="AW1079" s="6" t="s">
        <v>5</v>
      </c>
      <c r="AX1079" s="6" t="s">
        <v>5</v>
      </c>
      <c r="AY1079" s="6" t="s">
        <v>5</v>
      </c>
      <c r="AZ1079" s="6" t="s">
        <v>5</v>
      </c>
      <c r="BA1079" s="6" t="s">
        <v>5</v>
      </c>
      <c r="BB1079" s="6" t="s">
        <v>5</v>
      </c>
      <c r="BC1079" s="6" t="s">
        <v>5</v>
      </c>
      <c r="BD1079" s="6" t="s">
        <v>5</v>
      </c>
      <c r="BE1079" s="6" t="s">
        <v>5</v>
      </c>
      <c r="BF1079" s="6" t="s">
        <v>5</v>
      </c>
      <c r="BG1079" s="6" t="s">
        <v>5</v>
      </c>
      <c r="BH1079" s="6" t="s">
        <v>5</v>
      </c>
      <c r="BI1079" s="7">
        <v>1.8</v>
      </c>
      <c r="BJ1079" s="22">
        <v>0.96099999999999997</v>
      </c>
      <c r="BK1079" s="6" t="s">
        <v>5</v>
      </c>
      <c r="BL1079" s="2" t="s">
        <v>5</v>
      </c>
      <c r="BM1079" s="2" t="s">
        <v>5</v>
      </c>
      <c r="BN1079" s="2" t="s">
        <v>5</v>
      </c>
      <c r="BO1079" s="2" t="s">
        <v>5</v>
      </c>
      <c r="BP1079" s="2" t="s">
        <v>5</v>
      </c>
      <c r="BQ1079" s="2" t="s">
        <v>5</v>
      </c>
      <c r="BR1079" s="2" t="s">
        <v>5</v>
      </c>
      <c r="BS1079" s="2" t="s">
        <v>5</v>
      </c>
      <c r="BT1079" s="2" t="s">
        <v>5</v>
      </c>
      <c r="BU1079" s="2" t="s">
        <v>5</v>
      </c>
      <c r="BV1079" s="2" t="s">
        <v>5</v>
      </c>
      <c r="BW1079" s="2" t="s">
        <v>5</v>
      </c>
      <c r="BX1079" s="2" t="s">
        <v>5</v>
      </c>
      <c r="BY1079" s="25" t="s">
        <v>5</v>
      </c>
      <c r="BZ1079" s="25" t="s">
        <v>5</v>
      </c>
      <c r="CA1079" s="6" t="s">
        <v>5</v>
      </c>
      <c r="CB1079" s="6" t="s">
        <v>5</v>
      </c>
      <c r="CC1079" s="6" t="s">
        <v>5</v>
      </c>
      <c r="CD1079" s="6" t="s">
        <v>5</v>
      </c>
      <c r="CE1079" s="6" t="s">
        <v>5</v>
      </c>
      <c r="CF1079" s="16" t="s">
        <v>5</v>
      </c>
      <c r="CG1079" s="16" t="s">
        <v>5</v>
      </c>
      <c r="CH1079" s="18" t="s">
        <v>5</v>
      </c>
    </row>
    <row r="1080" spans="2:86">
      <c r="B1080" s="78" t="s">
        <v>473</v>
      </c>
      <c r="C1080" s="79" t="s">
        <v>1180</v>
      </c>
      <c r="D1080" s="80" t="s">
        <v>1180</v>
      </c>
      <c r="E1080" s="1" t="s">
        <v>4</v>
      </c>
      <c r="F1080" s="7">
        <v>8.1999999999999993</v>
      </c>
      <c r="G1080" s="7">
        <v>2.4</v>
      </c>
      <c r="H1080" s="3" t="str">
        <f t="shared" si="35"/>
        <v>2L3X2X1/4SLBB</v>
      </c>
      <c r="I1080" s="7">
        <v>2</v>
      </c>
      <c r="J1080" s="5" t="s">
        <v>5</v>
      </c>
      <c r="K1080" s="6" t="s">
        <v>5</v>
      </c>
      <c r="L1080" s="6" t="s">
        <v>5</v>
      </c>
      <c r="M1080" s="6" t="s">
        <v>5</v>
      </c>
      <c r="N1080" s="6" t="s">
        <v>5</v>
      </c>
      <c r="O1080" s="5" t="s">
        <v>5</v>
      </c>
      <c r="P1080" s="5" t="s">
        <v>5</v>
      </c>
      <c r="Q1080" s="7">
        <v>3</v>
      </c>
      <c r="R1080" s="6" t="s">
        <v>5</v>
      </c>
      <c r="S1080" s="6" t="s">
        <v>5</v>
      </c>
      <c r="T1080" s="5" t="s">
        <v>5</v>
      </c>
      <c r="U1080" s="8" t="s">
        <v>5</v>
      </c>
      <c r="V1080" s="6" t="s">
        <v>5</v>
      </c>
      <c r="W1080" s="8" t="s">
        <v>5</v>
      </c>
      <c r="X1080" s="22">
        <v>0.25</v>
      </c>
      <c r="Y1080" s="6" t="s">
        <v>5</v>
      </c>
      <c r="Z1080" s="6" t="s">
        <v>5</v>
      </c>
      <c r="AA1080" s="6" t="s">
        <v>5</v>
      </c>
      <c r="AB1080" s="8" t="s">
        <v>5</v>
      </c>
      <c r="AC1080" s="8" t="s">
        <v>5</v>
      </c>
      <c r="AD1080" s="6" t="s">
        <v>5</v>
      </c>
      <c r="AE1080" s="22">
        <v>0.48699999999999999</v>
      </c>
      <c r="AF1080" s="6" t="s">
        <v>5</v>
      </c>
      <c r="AG1080" s="6" t="s">
        <v>5</v>
      </c>
      <c r="AH1080" s="22">
        <v>0.2</v>
      </c>
      <c r="AI1080" s="6" t="s">
        <v>5</v>
      </c>
      <c r="AJ1080" s="4">
        <v>12</v>
      </c>
      <c r="AK1080" s="6" t="s">
        <v>5</v>
      </c>
      <c r="AL1080" s="6" t="s">
        <v>5</v>
      </c>
      <c r="AM1080" s="6" t="s">
        <v>5</v>
      </c>
      <c r="AN1080" s="6" t="s">
        <v>5</v>
      </c>
      <c r="AO1080" s="22">
        <v>0.77900000000000003</v>
      </c>
      <c r="AP1080" s="22">
        <v>0.92600000000000005</v>
      </c>
      <c r="AQ1080" s="22">
        <v>0.51500000000000001</v>
      </c>
      <c r="AR1080" s="22">
        <v>0.56900000000000006</v>
      </c>
      <c r="AS1080" s="7">
        <v>4.5</v>
      </c>
      <c r="AT1080" s="6">
        <v>2.35</v>
      </c>
      <c r="AU1080" s="7">
        <v>1.5</v>
      </c>
      <c r="AV1080" s="7">
        <v>1.37</v>
      </c>
      <c r="AW1080" s="6" t="s">
        <v>5</v>
      </c>
      <c r="AX1080" s="6" t="s">
        <v>5</v>
      </c>
      <c r="AY1080" s="6" t="s">
        <v>5</v>
      </c>
      <c r="AZ1080" s="6" t="s">
        <v>5</v>
      </c>
      <c r="BA1080" s="6" t="s">
        <v>5</v>
      </c>
      <c r="BB1080" s="6" t="s">
        <v>5</v>
      </c>
      <c r="BC1080" s="6" t="s">
        <v>5</v>
      </c>
      <c r="BD1080" s="6" t="s">
        <v>5</v>
      </c>
      <c r="BE1080" s="6" t="s">
        <v>5</v>
      </c>
      <c r="BF1080" s="6" t="s">
        <v>5</v>
      </c>
      <c r="BG1080" s="6" t="s">
        <v>5</v>
      </c>
      <c r="BH1080" s="6" t="s">
        <v>5</v>
      </c>
      <c r="BI1080" s="7">
        <v>1.52</v>
      </c>
      <c r="BJ1080" s="22">
        <v>0.94399999999999995</v>
      </c>
      <c r="BK1080" s="6" t="s">
        <v>5</v>
      </c>
      <c r="BL1080" s="2" t="s">
        <v>5</v>
      </c>
      <c r="BM1080" s="2" t="s">
        <v>5</v>
      </c>
      <c r="BN1080" s="2" t="s">
        <v>5</v>
      </c>
      <c r="BO1080" s="2" t="s">
        <v>5</v>
      </c>
      <c r="BP1080" s="2" t="s">
        <v>5</v>
      </c>
      <c r="BQ1080" s="2" t="s">
        <v>5</v>
      </c>
      <c r="BR1080" s="2" t="s">
        <v>5</v>
      </c>
      <c r="BS1080" s="2" t="s">
        <v>5</v>
      </c>
      <c r="BT1080" s="2" t="s">
        <v>5</v>
      </c>
      <c r="BU1080" s="2" t="s">
        <v>5</v>
      </c>
      <c r="BV1080" s="2" t="s">
        <v>5</v>
      </c>
      <c r="BW1080" s="2" t="s">
        <v>5</v>
      </c>
      <c r="BX1080" s="2" t="s">
        <v>5</v>
      </c>
      <c r="BY1080" s="25" t="s">
        <v>5</v>
      </c>
      <c r="BZ1080" s="25" t="s">
        <v>5</v>
      </c>
      <c r="CA1080" s="6" t="s">
        <v>5</v>
      </c>
      <c r="CB1080" s="6" t="s">
        <v>5</v>
      </c>
      <c r="CC1080" s="6" t="s">
        <v>5</v>
      </c>
      <c r="CD1080" s="6" t="s">
        <v>5</v>
      </c>
      <c r="CE1080" s="6" t="s">
        <v>5</v>
      </c>
      <c r="CF1080" s="16" t="s">
        <v>5</v>
      </c>
      <c r="CG1080" s="16" t="s">
        <v>5</v>
      </c>
      <c r="CH1080" s="18" t="s">
        <v>5</v>
      </c>
    </row>
    <row r="1081" spans="2:86">
      <c r="B1081" s="78" t="s">
        <v>473</v>
      </c>
      <c r="C1081" s="79" t="s">
        <v>1181</v>
      </c>
      <c r="D1081" s="80" t="s">
        <v>1181</v>
      </c>
      <c r="E1081" s="1" t="s">
        <v>4</v>
      </c>
      <c r="F1081" s="7">
        <v>8.1999999999999993</v>
      </c>
      <c r="G1081" s="7">
        <v>2.4</v>
      </c>
      <c r="H1081" s="3" t="str">
        <f t="shared" si="35"/>
        <v>2L3X2X1/4X3/8SLBB</v>
      </c>
      <c r="I1081" s="7">
        <v>2</v>
      </c>
      <c r="J1081" s="5" t="s">
        <v>5</v>
      </c>
      <c r="K1081" s="6" t="s">
        <v>5</v>
      </c>
      <c r="L1081" s="6" t="s">
        <v>5</v>
      </c>
      <c r="M1081" s="6" t="s">
        <v>5</v>
      </c>
      <c r="N1081" s="6" t="s">
        <v>5</v>
      </c>
      <c r="O1081" s="5" t="s">
        <v>5</v>
      </c>
      <c r="P1081" s="5" t="s">
        <v>5</v>
      </c>
      <c r="Q1081" s="7">
        <v>3</v>
      </c>
      <c r="R1081" s="6" t="s">
        <v>5</v>
      </c>
      <c r="S1081" s="6" t="s">
        <v>5</v>
      </c>
      <c r="T1081" s="5" t="s">
        <v>5</v>
      </c>
      <c r="U1081" s="8" t="s">
        <v>5</v>
      </c>
      <c r="V1081" s="6" t="s">
        <v>5</v>
      </c>
      <c r="W1081" s="8" t="s">
        <v>5</v>
      </c>
      <c r="X1081" s="22">
        <v>0.25</v>
      </c>
      <c r="Y1081" s="6" t="s">
        <v>5</v>
      </c>
      <c r="Z1081" s="6" t="s">
        <v>5</v>
      </c>
      <c r="AA1081" s="6" t="s">
        <v>5</v>
      </c>
      <c r="AB1081" s="8" t="s">
        <v>5</v>
      </c>
      <c r="AC1081" s="8" t="s">
        <v>5</v>
      </c>
      <c r="AD1081" s="6" t="s">
        <v>5</v>
      </c>
      <c r="AE1081" s="22">
        <v>0.48699999999999999</v>
      </c>
      <c r="AF1081" s="6" t="s">
        <v>5</v>
      </c>
      <c r="AG1081" s="6" t="s">
        <v>5</v>
      </c>
      <c r="AH1081" s="22">
        <v>0.2</v>
      </c>
      <c r="AI1081" s="6" t="s">
        <v>5</v>
      </c>
      <c r="AJ1081" s="4">
        <v>12</v>
      </c>
      <c r="AK1081" s="6" t="s">
        <v>5</v>
      </c>
      <c r="AL1081" s="6" t="s">
        <v>5</v>
      </c>
      <c r="AM1081" s="6" t="s">
        <v>5</v>
      </c>
      <c r="AN1081" s="6" t="s">
        <v>5</v>
      </c>
      <c r="AO1081" s="22">
        <v>0.77900000000000003</v>
      </c>
      <c r="AP1081" s="22">
        <v>0.92600000000000005</v>
      </c>
      <c r="AQ1081" s="22">
        <v>0.51500000000000001</v>
      </c>
      <c r="AR1081" s="22">
        <v>0.56900000000000006</v>
      </c>
      <c r="AS1081" s="6">
        <v>5.47</v>
      </c>
      <c r="AT1081" s="7">
        <v>2.8</v>
      </c>
      <c r="AU1081" s="6">
        <v>1.72</v>
      </c>
      <c r="AV1081" s="7">
        <v>1.51</v>
      </c>
      <c r="AW1081" s="6" t="s">
        <v>5</v>
      </c>
      <c r="AX1081" s="6" t="s">
        <v>5</v>
      </c>
      <c r="AY1081" s="6" t="s">
        <v>5</v>
      </c>
      <c r="AZ1081" s="6" t="s">
        <v>5</v>
      </c>
      <c r="BA1081" s="6" t="s">
        <v>5</v>
      </c>
      <c r="BB1081" s="6" t="s">
        <v>5</v>
      </c>
      <c r="BC1081" s="6" t="s">
        <v>5</v>
      </c>
      <c r="BD1081" s="6" t="s">
        <v>5</v>
      </c>
      <c r="BE1081" s="6" t="s">
        <v>5</v>
      </c>
      <c r="BF1081" s="6" t="s">
        <v>5</v>
      </c>
      <c r="BG1081" s="6" t="s">
        <v>5</v>
      </c>
      <c r="BH1081" s="6" t="s">
        <v>5</v>
      </c>
      <c r="BI1081" s="7">
        <v>1.65</v>
      </c>
      <c r="BJ1081" s="22">
        <v>0.95199999999999996</v>
      </c>
      <c r="BK1081" s="6" t="s">
        <v>5</v>
      </c>
      <c r="BL1081" s="2" t="s">
        <v>5</v>
      </c>
      <c r="BM1081" s="2" t="s">
        <v>5</v>
      </c>
      <c r="BN1081" s="2" t="s">
        <v>5</v>
      </c>
      <c r="BO1081" s="2" t="s">
        <v>5</v>
      </c>
      <c r="BP1081" s="2" t="s">
        <v>5</v>
      </c>
      <c r="BQ1081" s="2" t="s">
        <v>5</v>
      </c>
      <c r="BR1081" s="2" t="s">
        <v>5</v>
      </c>
      <c r="BS1081" s="2" t="s">
        <v>5</v>
      </c>
      <c r="BT1081" s="2" t="s">
        <v>5</v>
      </c>
      <c r="BU1081" s="2" t="s">
        <v>5</v>
      </c>
      <c r="BV1081" s="2" t="s">
        <v>5</v>
      </c>
      <c r="BW1081" s="2" t="s">
        <v>5</v>
      </c>
      <c r="BX1081" s="2" t="s">
        <v>5</v>
      </c>
      <c r="BY1081" s="25" t="s">
        <v>5</v>
      </c>
      <c r="BZ1081" s="25" t="s">
        <v>5</v>
      </c>
      <c r="CA1081" s="6" t="s">
        <v>5</v>
      </c>
      <c r="CB1081" s="6" t="s">
        <v>5</v>
      </c>
      <c r="CC1081" s="6" t="s">
        <v>5</v>
      </c>
      <c r="CD1081" s="6" t="s">
        <v>5</v>
      </c>
      <c r="CE1081" s="6" t="s">
        <v>5</v>
      </c>
      <c r="CF1081" s="16" t="s">
        <v>5</v>
      </c>
      <c r="CG1081" s="16" t="s">
        <v>5</v>
      </c>
      <c r="CH1081" s="18" t="s">
        <v>5</v>
      </c>
    </row>
    <row r="1082" spans="2:86">
      <c r="B1082" s="78" t="s">
        <v>473</v>
      </c>
      <c r="C1082" s="79" t="s">
        <v>1182</v>
      </c>
      <c r="D1082" s="80" t="s">
        <v>1182</v>
      </c>
      <c r="E1082" s="1" t="s">
        <v>4</v>
      </c>
      <c r="F1082" s="7">
        <v>8.1999999999999993</v>
      </c>
      <c r="G1082" s="7">
        <v>2.4</v>
      </c>
      <c r="H1082" s="3" t="str">
        <f t="shared" si="35"/>
        <v>2L3X2X1/4X3/4SLBB</v>
      </c>
      <c r="I1082" s="7">
        <v>2</v>
      </c>
      <c r="J1082" s="5" t="s">
        <v>5</v>
      </c>
      <c r="K1082" s="6" t="s">
        <v>5</v>
      </c>
      <c r="L1082" s="6" t="s">
        <v>5</v>
      </c>
      <c r="M1082" s="6" t="s">
        <v>5</v>
      </c>
      <c r="N1082" s="6" t="s">
        <v>5</v>
      </c>
      <c r="O1082" s="5" t="s">
        <v>5</v>
      </c>
      <c r="P1082" s="5" t="s">
        <v>5</v>
      </c>
      <c r="Q1082" s="7">
        <v>3</v>
      </c>
      <c r="R1082" s="6" t="s">
        <v>5</v>
      </c>
      <c r="S1082" s="6" t="s">
        <v>5</v>
      </c>
      <c r="T1082" s="5" t="s">
        <v>5</v>
      </c>
      <c r="U1082" s="8" t="s">
        <v>5</v>
      </c>
      <c r="V1082" s="6" t="s">
        <v>5</v>
      </c>
      <c r="W1082" s="8" t="s">
        <v>5</v>
      </c>
      <c r="X1082" s="22">
        <v>0.25</v>
      </c>
      <c r="Y1082" s="6" t="s">
        <v>5</v>
      </c>
      <c r="Z1082" s="6" t="s">
        <v>5</v>
      </c>
      <c r="AA1082" s="6" t="s">
        <v>5</v>
      </c>
      <c r="AB1082" s="8" t="s">
        <v>5</v>
      </c>
      <c r="AC1082" s="8" t="s">
        <v>5</v>
      </c>
      <c r="AD1082" s="6" t="s">
        <v>5</v>
      </c>
      <c r="AE1082" s="22">
        <v>0.48699999999999999</v>
      </c>
      <c r="AF1082" s="6" t="s">
        <v>5</v>
      </c>
      <c r="AG1082" s="6" t="s">
        <v>5</v>
      </c>
      <c r="AH1082" s="22">
        <v>0.2</v>
      </c>
      <c r="AI1082" s="6" t="s">
        <v>5</v>
      </c>
      <c r="AJ1082" s="4">
        <v>12</v>
      </c>
      <c r="AK1082" s="6" t="s">
        <v>5</v>
      </c>
      <c r="AL1082" s="6" t="s">
        <v>5</v>
      </c>
      <c r="AM1082" s="6" t="s">
        <v>5</v>
      </c>
      <c r="AN1082" s="6" t="s">
        <v>5</v>
      </c>
      <c r="AO1082" s="22">
        <v>0.77900000000000003</v>
      </c>
      <c r="AP1082" s="22">
        <v>0.92600000000000005</v>
      </c>
      <c r="AQ1082" s="22">
        <v>0.51500000000000001</v>
      </c>
      <c r="AR1082" s="22">
        <v>0.56900000000000006</v>
      </c>
      <c r="AS1082" s="6">
        <v>6.61</v>
      </c>
      <c r="AT1082" s="6">
        <v>3.25</v>
      </c>
      <c r="AU1082" s="6">
        <v>1.96</v>
      </c>
      <c r="AV1082" s="7">
        <v>1.66</v>
      </c>
      <c r="AW1082" s="6" t="s">
        <v>5</v>
      </c>
      <c r="AX1082" s="6" t="s">
        <v>5</v>
      </c>
      <c r="AY1082" s="6" t="s">
        <v>5</v>
      </c>
      <c r="AZ1082" s="6" t="s">
        <v>5</v>
      </c>
      <c r="BA1082" s="6" t="s">
        <v>5</v>
      </c>
      <c r="BB1082" s="6" t="s">
        <v>5</v>
      </c>
      <c r="BC1082" s="6" t="s">
        <v>5</v>
      </c>
      <c r="BD1082" s="6" t="s">
        <v>5</v>
      </c>
      <c r="BE1082" s="6" t="s">
        <v>5</v>
      </c>
      <c r="BF1082" s="6" t="s">
        <v>5</v>
      </c>
      <c r="BG1082" s="6" t="s">
        <v>5</v>
      </c>
      <c r="BH1082" s="6" t="s">
        <v>5</v>
      </c>
      <c r="BI1082" s="7">
        <v>1.79</v>
      </c>
      <c r="BJ1082" s="22">
        <v>0.95899999999999996</v>
      </c>
      <c r="BK1082" s="6" t="s">
        <v>5</v>
      </c>
      <c r="BL1082" s="2" t="s">
        <v>5</v>
      </c>
      <c r="BM1082" s="2" t="s">
        <v>5</v>
      </c>
      <c r="BN1082" s="2" t="s">
        <v>5</v>
      </c>
      <c r="BO1082" s="2" t="s">
        <v>5</v>
      </c>
      <c r="BP1082" s="2" t="s">
        <v>5</v>
      </c>
      <c r="BQ1082" s="2" t="s">
        <v>5</v>
      </c>
      <c r="BR1082" s="2" t="s">
        <v>5</v>
      </c>
      <c r="BS1082" s="2" t="s">
        <v>5</v>
      </c>
      <c r="BT1082" s="2" t="s">
        <v>5</v>
      </c>
      <c r="BU1082" s="2" t="s">
        <v>5</v>
      </c>
      <c r="BV1082" s="2" t="s">
        <v>5</v>
      </c>
      <c r="BW1082" s="2" t="s">
        <v>5</v>
      </c>
      <c r="BX1082" s="2" t="s">
        <v>5</v>
      </c>
      <c r="BY1082" s="25" t="s">
        <v>5</v>
      </c>
      <c r="BZ1082" s="25" t="s">
        <v>5</v>
      </c>
      <c r="CA1082" s="6" t="s">
        <v>5</v>
      </c>
      <c r="CB1082" s="6" t="s">
        <v>5</v>
      </c>
      <c r="CC1082" s="6" t="s">
        <v>5</v>
      </c>
      <c r="CD1082" s="6" t="s">
        <v>5</v>
      </c>
      <c r="CE1082" s="6" t="s">
        <v>5</v>
      </c>
      <c r="CF1082" s="16" t="s">
        <v>5</v>
      </c>
      <c r="CG1082" s="16" t="s">
        <v>5</v>
      </c>
      <c r="CH1082" s="18" t="s">
        <v>5</v>
      </c>
    </row>
    <row r="1083" spans="2:86">
      <c r="B1083" s="78" t="s">
        <v>473</v>
      </c>
      <c r="C1083" s="79" t="s">
        <v>1183</v>
      </c>
      <c r="D1083" s="80" t="s">
        <v>1183</v>
      </c>
      <c r="E1083" s="1" t="s">
        <v>4</v>
      </c>
      <c r="F1083" s="7">
        <v>6.14</v>
      </c>
      <c r="G1083" s="7">
        <v>1.83</v>
      </c>
      <c r="H1083" s="3" t="str">
        <f t="shared" si="35"/>
        <v>2L3X2X3/16SLBB</v>
      </c>
      <c r="I1083" s="7">
        <v>2</v>
      </c>
      <c r="J1083" s="5" t="s">
        <v>5</v>
      </c>
      <c r="K1083" s="6" t="s">
        <v>5</v>
      </c>
      <c r="L1083" s="6" t="s">
        <v>5</v>
      </c>
      <c r="M1083" s="6" t="s">
        <v>5</v>
      </c>
      <c r="N1083" s="6" t="s">
        <v>5</v>
      </c>
      <c r="O1083" s="5" t="s">
        <v>5</v>
      </c>
      <c r="P1083" s="5" t="s">
        <v>5</v>
      </c>
      <c r="Q1083" s="7">
        <v>3</v>
      </c>
      <c r="R1083" s="6" t="s">
        <v>5</v>
      </c>
      <c r="S1083" s="6" t="s">
        <v>5</v>
      </c>
      <c r="T1083" s="5" t="s">
        <v>5</v>
      </c>
      <c r="U1083" s="8" t="s">
        <v>5</v>
      </c>
      <c r="V1083" s="6" t="s">
        <v>5</v>
      </c>
      <c r="W1083" s="8" t="s">
        <v>5</v>
      </c>
      <c r="X1083" s="22">
        <v>0.188</v>
      </c>
      <c r="Y1083" s="6" t="s">
        <v>5</v>
      </c>
      <c r="Z1083" s="6" t="s">
        <v>5</v>
      </c>
      <c r="AA1083" s="6" t="s">
        <v>5</v>
      </c>
      <c r="AB1083" s="8" t="s">
        <v>5</v>
      </c>
      <c r="AC1083" s="8" t="s">
        <v>5</v>
      </c>
      <c r="AD1083" s="6" t="s">
        <v>5</v>
      </c>
      <c r="AE1083" s="22">
        <v>0.46200000000000002</v>
      </c>
      <c r="AF1083" s="6" t="s">
        <v>5</v>
      </c>
      <c r="AG1083" s="6" t="s">
        <v>5</v>
      </c>
      <c r="AH1083" s="22">
        <v>0.153</v>
      </c>
      <c r="AI1083" s="6" t="s">
        <v>5</v>
      </c>
      <c r="AJ1083" s="4">
        <v>16</v>
      </c>
      <c r="AK1083" s="6" t="s">
        <v>5</v>
      </c>
      <c r="AL1083" s="6" t="s">
        <v>5</v>
      </c>
      <c r="AM1083" s="6" t="s">
        <v>5</v>
      </c>
      <c r="AN1083" s="6" t="s">
        <v>5</v>
      </c>
      <c r="AO1083" s="22">
        <v>0.61</v>
      </c>
      <c r="AP1083" s="22">
        <v>0.70299999999999996</v>
      </c>
      <c r="AQ1083" s="22">
        <v>0.39600000000000002</v>
      </c>
      <c r="AR1083" s="22">
        <v>0.57699999999999996</v>
      </c>
      <c r="AS1083" s="6">
        <v>3.34</v>
      </c>
      <c r="AT1083" s="6">
        <v>1.75</v>
      </c>
      <c r="AU1083" s="6">
        <v>1.1100000000000001</v>
      </c>
      <c r="AV1083" s="7">
        <v>1.35</v>
      </c>
      <c r="AW1083" s="6" t="s">
        <v>5</v>
      </c>
      <c r="AX1083" s="6" t="s">
        <v>5</v>
      </c>
      <c r="AY1083" s="6" t="s">
        <v>5</v>
      </c>
      <c r="AZ1083" s="6" t="s">
        <v>5</v>
      </c>
      <c r="BA1083" s="6" t="s">
        <v>5</v>
      </c>
      <c r="BB1083" s="6" t="s">
        <v>5</v>
      </c>
      <c r="BC1083" s="6" t="s">
        <v>5</v>
      </c>
      <c r="BD1083" s="6" t="s">
        <v>5</v>
      </c>
      <c r="BE1083" s="6" t="s">
        <v>5</v>
      </c>
      <c r="BF1083" s="6" t="s">
        <v>5</v>
      </c>
      <c r="BG1083" s="6" t="s">
        <v>5</v>
      </c>
      <c r="BH1083" s="6" t="s">
        <v>5</v>
      </c>
      <c r="BI1083" s="7">
        <v>1.52</v>
      </c>
      <c r="BJ1083" s="22">
        <v>0.94099999999999995</v>
      </c>
      <c r="BK1083" s="6" t="s">
        <v>5</v>
      </c>
      <c r="BL1083" s="2" t="s">
        <v>5</v>
      </c>
      <c r="BM1083" s="2" t="s">
        <v>5</v>
      </c>
      <c r="BN1083" s="2" t="s">
        <v>5</v>
      </c>
      <c r="BO1083" s="2" t="s">
        <v>5</v>
      </c>
      <c r="BP1083" s="2" t="s">
        <v>5</v>
      </c>
      <c r="BQ1083" s="2" t="s">
        <v>5</v>
      </c>
      <c r="BR1083" s="2" t="s">
        <v>5</v>
      </c>
      <c r="BS1083" s="2" t="s">
        <v>5</v>
      </c>
      <c r="BT1083" s="2" t="s">
        <v>5</v>
      </c>
      <c r="BU1083" s="2" t="s">
        <v>5</v>
      </c>
      <c r="BV1083" s="2" t="s">
        <v>5</v>
      </c>
      <c r="BW1083" s="2" t="s">
        <v>5</v>
      </c>
      <c r="BX1083" s="2" t="s">
        <v>5</v>
      </c>
      <c r="BY1083" s="25" t="s">
        <v>5</v>
      </c>
      <c r="BZ1083" s="25" t="s">
        <v>5</v>
      </c>
      <c r="CA1083" s="6" t="s">
        <v>5</v>
      </c>
      <c r="CB1083" s="6" t="s">
        <v>5</v>
      </c>
      <c r="CC1083" s="6" t="s">
        <v>5</v>
      </c>
      <c r="CD1083" s="6" t="s">
        <v>5</v>
      </c>
      <c r="CE1083" s="6" t="s">
        <v>5</v>
      </c>
      <c r="CF1083" s="16" t="s">
        <v>5</v>
      </c>
      <c r="CG1083" s="16" t="s">
        <v>5</v>
      </c>
      <c r="CH1083" s="18" t="s">
        <v>5</v>
      </c>
    </row>
    <row r="1084" spans="2:86">
      <c r="B1084" s="78" t="s">
        <v>473</v>
      </c>
      <c r="C1084" s="79" t="s">
        <v>1184</v>
      </c>
      <c r="D1084" s="80" t="s">
        <v>1184</v>
      </c>
      <c r="E1084" s="1" t="s">
        <v>4</v>
      </c>
      <c r="F1084" s="7">
        <v>6.14</v>
      </c>
      <c r="G1084" s="7">
        <v>1.83</v>
      </c>
      <c r="H1084" s="3" t="str">
        <f t="shared" si="35"/>
        <v>2L3X2X3/16X3/8SLBB</v>
      </c>
      <c r="I1084" s="7">
        <v>2</v>
      </c>
      <c r="J1084" s="5" t="s">
        <v>5</v>
      </c>
      <c r="K1084" s="6" t="s">
        <v>5</v>
      </c>
      <c r="L1084" s="6" t="s">
        <v>5</v>
      </c>
      <c r="M1084" s="6" t="s">
        <v>5</v>
      </c>
      <c r="N1084" s="6" t="s">
        <v>5</v>
      </c>
      <c r="O1084" s="5" t="s">
        <v>5</v>
      </c>
      <c r="P1084" s="5" t="s">
        <v>5</v>
      </c>
      <c r="Q1084" s="7">
        <v>3</v>
      </c>
      <c r="R1084" s="6" t="s">
        <v>5</v>
      </c>
      <c r="S1084" s="6" t="s">
        <v>5</v>
      </c>
      <c r="T1084" s="5" t="s">
        <v>5</v>
      </c>
      <c r="U1084" s="8" t="s">
        <v>5</v>
      </c>
      <c r="V1084" s="6" t="s">
        <v>5</v>
      </c>
      <c r="W1084" s="8" t="s">
        <v>5</v>
      </c>
      <c r="X1084" s="22">
        <v>0.188</v>
      </c>
      <c r="Y1084" s="6" t="s">
        <v>5</v>
      </c>
      <c r="Z1084" s="6" t="s">
        <v>5</v>
      </c>
      <c r="AA1084" s="6" t="s">
        <v>5</v>
      </c>
      <c r="AB1084" s="8" t="s">
        <v>5</v>
      </c>
      <c r="AC1084" s="8" t="s">
        <v>5</v>
      </c>
      <c r="AD1084" s="6" t="s">
        <v>5</v>
      </c>
      <c r="AE1084" s="22">
        <v>0.46200000000000002</v>
      </c>
      <c r="AF1084" s="6" t="s">
        <v>5</v>
      </c>
      <c r="AG1084" s="6" t="s">
        <v>5</v>
      </c>
      <c r="AH1084" s="22">
        <v>0.153</v>
      </c>
      <c r="AI1084" s="6" t="s">
        <v>5</v>
      </c>
      <c r="AJ1084" s="4">
        <v>16</v>
      </c>
      <c r="AK1084" s="6" t="s">
        <v>5</v>
      </c>
      <c r="AL1084" s="6" t="s">
        <v>5</v>
      </c>
      <c r="AM1084" s="6" t="s">
        <v>5</v>
      </c>
      <c r="AN1084" s="6" t="s">
        <v>5</v>
      </c>
      <c r="AO1084" s="22">
        <v>0.61</v>
      </c>
      <c r="AP1084" s="22">
        <v>0.70299999999999996</v>
      </c>
      <c r="AQ1084" s="22">
        <v>0.39600000000000002</v>
      </c>
      <c r="AR1084" s="22">
        <v>0.57699999999999996</v>
      </c>
      <c r="AS1084" s="6">
        <v>4.0599999999999996</v>
      </c>
      <c r="AT1084" s="6">
        <v>2.09</v>
      </c>
      <c r="AU1084" s="6">
        <v>1.27</v>
      </c>
      <c r="AV1084" s="7">
        <v>1.49</v>
      </c>
      <c r="AW1084" s="6" t="s">
        <v>5</v>
      </c>
      <c r="AX1084" s="6" t="s">
        <v>5</v>
      </c>
      <c r="AY1084" s="6" t="s">
        <v>5</v>
      </c>
      <c r="AZ1084" s="6" t="s">
        <v>5</v>
      </c>
      <c r="BA1084" s="6" t="s">
        <v>5</v>
      </c>
      <c r="BB1084" s="6" t="s">
        <v>5</v>
      </c>
      <c r="BC1084" s="6" t="s">
        <v>5</v>
      </c>
      <c r="BD1084" s="6" t="s">
        <v>5</v>
      </c>
      <c r="BE1084" s="6" t="s">
        <v>5</v>
      </c>
      <c r="BF1084" s="6" t="s">
        <v>5</v>
      </c>
      <c r="BG1084" s="6" t="s">
        <v>5</v>
      </c>
      <c r="BH1084" s="6" t="s">
        <v>5</v>
      </c>
      <c r="BI1084" s="7">
        <v>1.64</v>
      </c>
      <c r="BJ1084" s="22">
        <v>0.95</v>
      </c>
      <c r="BK1084" s="6" t="s">
        <v>5</v>
      </c>
      <c r="BL1084" s="2" t="s">
        <v>5</v>
      </c>
      <c r="BM1084" s="2" t="s">
        <v>5</v>
      </c>
      <c r="BN1084" s="2" t="s">
        <v>5</v>
      </c>
      <c r="BO1084" s="2" t="s">
        <v>5</v>
      </c>
      <c r="BP1084" s="2" t="s">
        <v>5</v>
      </c>
      <c r="BQ1084" s="2" t="s">
        <v>5</v>
      </c>
      <c r="BR1084" s="2" t="s">
        <v>5</v>
      </c>
      <c r="BS1084" s="2" t="s">
        <v>5</v>
      </c>
      <c r="BT1084" s="2" t="s">
        <v>5</v>
      </c>
      <c r="BU1084" s="2" t="s">
        <v>5</v>
      </c>
      <c r="BV1084" s="2" t="s">
        <v>5</v>
      </c>
      <c r="BW1084" s="2" t="s">
        <v>5</v>
      </c>
      <c r="BX1084" s="2" t="s">
        <v>5</v>
      </c>
      <c r="BY1084" s="25" t="s">
        <v>5</v>
      </c>
      <c r="BZ1084" s="25" t="s">
        <v>5</v>
      </c>
      <c r="CA1084" s="6" t="s">
        <v>5</v>
      </c>
      <c r="CB1084" s="6" t="s">
        <v>5</v>
      </c>
      <c r="CC1084" s="6" t="s">
        <v>5</v>
      </c>
      <c r="CD1084" s="6" t="s">
        <v>5</v>
      </c>
      <c r="CE1084" s="6" t="s">
        <v>5</v>
      </c>
      <c r="CF1084" s="16" t="s">
        <v>5</v>
      </c>
      <c r="CG1084" s="16" t="s">
        <v>5</v>
      </c>
      <c r="CH1084" s="18" t="s">
        <v>5</v>
      </c>
    </row>
    <row r="1085" spans="2:86">
      <c r="B1085" s="78" t="s">
        <v>473</v>
      </c>
      <c r="C1085" s="79" t="s">
        <v>1185</v>
      </c>
      <c r="D1085" s="80" t="s">
        <v>1185</v>
      </c>
      <c r="E1085" s="1" t="s">
        <v>4</v>
      </c>
      <c r="F1085" s="7">
        <v>6.14</v>
      </c>
      <c r="G1085" s="7">
        <v>1.83</v>
      </c>
      <c r="H1085" s="3" t="str">
        <f t="shared" si="35"/>
        <v>2L3X2X3/16X3/4SLBB</v>
      </c>
      <c r="I1085" s="7">
        <v>2</v>
      </c>
      <c r="J1085" s="5" t="s">
        <v>5</v>
      </c>
      <c r="K1085" s="6" t="s">
        <v>5</v>
      </c>
      <c r="L1085" s="6" t="s">
        <v>5</v>
      </c>
      <c r="M1085" s="6" t="s">
        <v>5</v>
      </c>
      <c r="N1085" s="6" t="s">
        <v>5</v>
      </c>
      <c r="O1085" s="5" t="s">
        <v>5</v>
      </c>
      <c r="P1085" s="5" t="s">
        <v>5</v>
      </c>
      <c r="Q1085" s="7">
        <v>3</v>
      </c>
      <c r="R1085" s="6" t="s">
        <v>5</v>
      </c>
      <c r="S1085" s="6" t="s">
        <v>5</v>
      </c>
      <c r="T1085" s="5" t="s">
        <v>5</v>
      </c>
      <c r="U1085" s="8" t="s">
        <v>5</v>
      </c>
      <c r="V1085" s="6" t="s">
        <v>5</v>
      </c>
      <c r="W1085" s="8" t="s">
        <v>5</v>
      </c>
      <c r="X1085" s="22">
        <v>0.188</v>
      </c>
      <c r="Y1085" s="6" t="s">
        <v>5</v>
      </c>
      <c r="Z1085" s="6" t="s">
        <v>5</v>
      </c>
      <c r="AA1085" s="6" t="s">
        <v>5</v>
      </c>
      <c r="AB1085" s="8" t="s">
        <v>5</v>
      </c>
      <c r="AC1085" s="8" t="s">
        <v>5</v>
      </c>
      <c r="AD1085" s="6" t="s">
        <v>5</v>
      </c>
      <c r="AE1085" s="22">
        <v>0.46200000000000002</v>
      </c>
      <c r="AF1085" s="6" t="s">
        <v>5</v>
      </c>
      <c r="AG1085" s="6" t="s">
        <v>5</v>
      </c>
      <c r="AH1085" s="22">
        <v>0.153</v>
      </c>
      <c r="AI1085" s="6" t="s">
        <v>5</v>
      </c>
      <c r="AJ1085" s="4">
        <v>16</v>
      </c>
      <c r="AK1085" s="6" t="s">
        <v>5</v>
      </c>
      <c r="AL1085" s="6" t="s">
        <v>5</v>
      </c>
      <c r="AM1085" s="6" t="s">
        <v>5</v>
      </c>
      <c r="AN1085" s="6" t="s">
        <v>5</v>
      </c>
      <c r="AO1085" s="22">
        <v>0.61</v>
      </c>
      <c r="AP1085" s="22">
        <v>0.70299999999999996</v>
      </c>
      <c r="AQ1085" s="22">
        <v>0.39600000000000002</v>
      </c>
      <c r="AR1085" s="22">
        <v>0.57699999999999996</v>
      </c>
      <c r="AS1085" s="6">
        <v>4.92</v>
      </c>
      <c r="AT1085" s="6">
        <v>2.4300000000000002</v>
      </c>
      <c r="AU1085" s="6">
        <v>1.46</v>
      </c>
      <c r="AV1085" s="7">
        <v>1.64</v>
      </c>
      <c r="AW1085" s="6" t="s">
        <v>5</v>
      </c>
      <c r="AX1085" s="6" t="s">
        <v>5</v>
      </c>
      <c r="AY1085" s="6" t="s">
        <v>5</v>
      </c>
      <c r="AZ1085" s="6" t="s">
        <v>5</v>
      </c>
      <c r="BA1085" s="6" t="s">
        <v>5</v>
      </c>
      <c r="BB1085" s="6" t="s">
        <v>5</v>
      </c>
      <c r="BC1085" s="6" t="s">
        <v>5</v>
      </c>
      <c r="BD1085" s="6" t="s">
        <v>5</v>
      </c>
      <c r="BE1085" s="6" t="s">
        <v>5</v>
      </c>
      <c r="BF1085" s="6" t="s">
        <v>5</v>
      </c>
      <c r="BG1085" s="6" t="s">
        <v>5</v>
      </c>
      <c r="BH1085" s="6" t="s">
        <v>5</v>
      </c>
      <c r="BI1085" s="7">
        <v>1.78</v>
      </c>
      <c r="BJ1085" s="22">
        <v>0.95699999999999996</v>
      </c>
      <c r="BK1085" s="6" t="s">
        <v>5</v>
      </c>
      <c r="BL1085" s="2" t="s">
        <v>5</v>
      </c>
      <c r="BM1085" s="2" t="s">
        <v>5</v>
      </c>
      <c r="BN1085" s="2" t="s">
        <v>5</v>
      </c>
      <c r="BO1085" s="2" t="s">
        <v>5</v>
      </c>
      <c r="BP1085" s="2" t="s">
        <v>5</v>
      </c>
      <c r="BQ1085" s="2" t="s">
        <v>5</v>
      </c>
      <c r="BR1085" s="2" t="s">
        <v>5</v>
      </c>
      <c r="BS1085" s="2" t="s">
        <v>5</v>
      </c>
      <c r="BT1085" s="2" t="s">
        <v>5</v>
      </c>
      <c r="BU1085" s="2" t="s">
        <v>5</v>
      </c>
      <c r="BV1085" s="2" t="s">
        <v>5</v>
      </c>
      <c r="BW1085" s="2" t="s">
        <v>5</v>
      </c>
      <c r="BX1085" s="2" t="s">
        <v>5</v>
      </c>
      <c r="BY1085" s="25" t="s">
        <v>5</v>
      </c>
      <c r="BZ1085" s="25" t="s">
        <v>5</v>
      </c>
      <c r="CA1085" s="6" t="s">
        <v>5</v>
      </c>
      <c r="CB1085" s="6" t="s">
        <v>5</v>
      </c>
      <c r="CC1085" s="6" t="s">
        <v>5</v>
      </c>
      <c r="CD1085" s="6" t="s">
        <v>5</v>
      </c>
      <c r="CE1085" s="6" t="s">
        <v>5</v>
      </c>
      <c r="CF1085" s="16" t="s">
        <v>5</v>
      </c>
      <c r="CG1085" s="16" t="s">
        <v>5</v>
      </c>
      <c r="CH1085" s="18" t="s">
        <v>5</v>
      </c>
    </row>
    <row r="1086" spans="2:86">
      <c r="B1086" s="78" t="s">
        <v>473</v>
      </c>
      <c r="C1086" s="79" t="s">
        <v>1186</v>
      </c>
      <c r="D1086" s="80" t="s">
        <v>1186</v>
      </c>
      <c r="E1086" s="1" t="s">
        <v>4</v>
      </c>
      <c r="F1086" s="4">
        <v>10.6</v>
      </c>
      <c r="G1086" s="7">
        <v>3.1</v>
      </c>
      <c r="H1086" s="3" t="str">
        <f t="shared" si="35"/>
        <v>2L2-1/2X2X3/8SLBB</v>
      </c>
      <c r="I1086" s="7">
        <v>2</v>
      </c>
      <c r="J1086" s="5" t="s">
        <v>5</v>
      </c>
      <c r="K1086" s="6" t="s">
        <v>5</v>
      </c>
      <c r="L1086" s="6" t="s">
        <v>5</v>
      </c>
      <c r="M1086" s="6" t="s">
        <v>5</v>
      </c>
      <c r="N1086" s="6" t="s">
        <v>5</v>
      </c>
      <c r="O1086" s="5" t="s">
        <v>5</v>
      </c>
      <c r="P1086" s="5" t="s">
        <v>5</v>
      </c>
      <c r="Q1086" s="7">
        <v>2.5</v>
      </c>
      <c r="R1086" s="6" t="s">
        <v>5</v>
      </c>
      <c r="S1086" s="6" t="s">
        <v>5</v>
      </c>
      <c r="T1086" s="5" t="s">
        <v>5</v>
      </c>
      <c r="U1086" s="8" t="s">
        <v>5</v>
      </c>
      <c r="V1086" s="6" t="s">
        <v>5</v>
      </c>
      <c r="W1086" s="8" t="s">
        <v>5</v>
      </c>
      <c r="X1086" s="22">
        <v>0.375</v>
      </c>
      <c r="Y1086" s="6" t="s">
        <v>5</v>
      </c>
      <c r="Z1086" s="6" t="s">
        <v>5</v>
      </c>
      <c r="AA1086" s="6" t="s">
        <v>5</v>
      </c>
      <c r="AB1086" s="8" t="s">
        <v>5</v>
      </c>
      <c r="AC1086" s="8" t="s">
        <v>5</v>
      </c>
      <c r="AD1086" s="6" t="s">
        <v>5</v>
      </c>
      <c r="AE1086" s="22">
        <v>0.57799999999999996</v>
      </c>
      <c r="AF1086" s="6" t="s">
        <v>5</v>
      </c>
      <c r="AG1086" s="6" t="s">
        <v>5</v>
      </c>
      <c r="AH1086" s="22">
        <v>0.31</v>
      </c>
      <c r="AI1086" s="6" t="s">
        <v>5</v>
      </c>
      <c r="AJ1086" s="7">
        <v>6.67</v>
      </c>
      <c r="AK1086" s="6" t="s">
        <v>5</v>
      </c>
      <c r="AL1086" s="6" t="s">
        <v>5</v>
      </c>
      <c r="AM1086" s="6" t="s">
        <v>5</v>
      </c>
      <c r="AN1086" s="6" t="s">
        <v>5</v>
      </c>
      <c r="AO1086" s="7">
        <v>1.03</v>
      </c>
      <c r="AP1086" s="7">
        <v>1.31</v>
      </c>
      <c r="AQ1086" s="22">
        <v>0.72199999999999998</v>
      </c>
      <c r="AR1086" s="22">
        <v>0.57400000000000007</v>
      </c>
      <c r="AS1086" s="6">
        <v>3.96</v>
      </c>
      <c r="AT1086" s="6">
        <v>2.56</v>
      </c>
      <c r="AU1086" s="6">
        <v>1.58</v>
      </c>
      <c r="AV1086" s="7">
        <v>1.1299999999999999</v>
      </c>
      <c r="AW1086" s="6" t="s">
        <v>5</v>
      </c>
      <c r="AX1086" s="6" t="s">
        <v>5</v>
      </c>
      <c r="AY1086" s="6" t="s">
        <v>5</v>
      </c>
      <c r="AZ1086" s="6" t="s">
        <v>5</v>
      </c>
      <c r="BA1086" s="6" t="s">
        <v>5</v>
      </c>
      <c r="BB1086" s="6" t="s">
        <v>5</v>
      </c>
      <c r="BC1086" s="6" t="s">
        <v>5</v>
      </c>
      <c r="BD1086" s="6" t="s">
        <v>5</v>
      </c>
      <c r="BE1086" s="6" t="s">
        <v>5</v>
      </c>
      <c r="BF1086" s="6" t="s">
        <v>5</v>
      </c>
      <c r="BG1086" s="6" t="s">
        <v>5</v>
      </c>
      <c r="BH1086" s="6" t="s">
        <v>5</v>
      </c>
      <c r="BI1086" s="7">
        <v>1.32</v>
      </c>
      <c r="BJ1086" s="22">
        <v>0.91300000000000003</v>
      </c>
      <c r="BK1086" s="6" t="s">
        <v>5</v>
      </c>
      <c r="BL1086" s="2" t="s">
        <v>5</v>
      </c>
      <c r="BM1086" s="2" t="s">
        <v>5</v>
      </c>
      <c r="BN1086" s="2" t="s">
        <v>5</v>
      </c>
      <c r="BO1086" s="2" t="s">
        <v>5</v>
      </c>
      <c r="BP1086" s="2" t="s">
        <v>5</v>
      </c>
      <c r="BQ1086" s="2" t="s">
        <v>5</v>
      </c>
      <c r="BR1086" s="2" t="s">
        <v>5</v>
      </c>
      <c r="BS1086" s="2" t="s">
        <v>5</v>
      </c>
      <c r="BT1086" s="2" t="s">
        <v>5</v>
      </c>
      <c r="BU1086" s="2" t="s">
        <v>5</v>
      </c>
      <c r="BV1086" s="2" t="s">
        <v>5</v>
      </c>
      <c r="BW1086" s="2" t="s">
        <v>5</v>
      </c>
      <c r="BX1086" s="2" t="s">
        <v>5</v>
      </c>
      <c r="BY1086" s="25" t="s">
        <v>5</v>
      </c>
      <c r="BZ1086" s="25" t="s">
        <v>5</v>
      </c>
      <c r="CA1086" s="6" t="s">
        <v>5</v>
      </c>
      <c r="CB1086" s="6" t="s">
        <v>5</v>
      </c>
      <c r="CC1086" s="6" t="s">
        <v>5</v>
      </c>
      <c r="CD1086" s="6" t="s">
        <v>5</v>
      </c>
      <c r="CE1086" s="6" t="s">
        <v>5</v>
      </c>
      <c r="CF1086" s="16" t="s">
        <v>5</v>
      </c>
      <c r="CG1086" s="16" t="s">
        <v>5</v>
      </c>
      <c r="CH1086" s="18" t="s">
        <v>5</v>
      </c>
    </row>
    <row r="1087" spans="2:86">
      <c r="B1087" s="78" t="s">
        <v>473</v>
      </c>
      <c r="C1087" s="79" t="s">
        <v>1187</v>
      </c>
      <c r="D1087" s="80" t="s">
        <v>1187</v>
      </c>
      <c r="E1087" s="1" t="s">
        <v>4</v>
      </c>
      <c r="F1087" s="4">
        <v>10.6</v>
      </c>
      <c r="G1087" s="7">
        <v>3.1</v>
      </c>
      <c r="H1087" s="3" t="str">
        <f t="shared" si="35"/>
        <v>2L2-1/2X2X3/8X3/8SLBB</v>
      </c>
      <c r="I1087" s="7">
        <v>2</v>
      </c>
      <c r="J1087" s="5" t="s">
        <v>5</v>
      </c>
      <c r="K1087" s="6" t="s">
        <v>5</v>
      </c>
      <c r="L1087" s="6" t="s">
        <v>5</v>
      </c>
      <c r="M1087" s="6" t="s">
        <v>5</v>
      </c>
      <c r="N1087" s="6" t="s">
        <v>5</v>
      </c>
      <c r="O1087" s="5" t="s">
        <v>5</v>
      </c>
      <c r="P1087" s="5" t="s">
        <v>5</v>
      </c>
      <c r="Q1087" s="7">
        <v>2.5</v>
      </c>
      <c r="R1087" s="6" t="s">
        <v>5</v>
      </c>
      <c r="S1087" s="6" t="s">
        <v>5</v>
      </c>
      <c r="T1087" s="5" t="s">
        <v>5</v>
      </c>
      <c r="U1087" s="8" t="s">
        <v>5</v>
      </c>
      <c r="V1087" s="6" t="s">
        <v>5</v>
      </c>
      <c r="W1087" s="8" t="s">
        <v>5</v>
      </c>
      <c r="X1087" s="22">
        <v>0.375</v>
      </c>
      <c r="Y1087" s="6" t="s">
        <v>5</v>
      </c>
      <c r="Z1087" s="6" t="s">
        <v>5</v>
      </c>
      <c r="AA1087" s="6" t="s">
        <v>5</v>
      </c>
      <c r="AB1087" s="8" t="s">
        <v>5</v>
      </c>
      <c r="AC1087" s="8" t="s">
        <v>5</v>
      </c>
      <c r="AD1087" s="6" t="s">
        <v>5</v>
      </c>
      <c r="AE1087" s="22">
        <v>0.57799999999999996</v>
      </c>
      <c r="AF1087" s="6" t="s">
        <v>5</v>
      </c>
      <c r="AG1087" s="6" t="s">
        <v>5</v>
      </c>
      <c r="AH1087" s="22">
        <v>0.31</v>
      </c>
      <c r="AI1087" s="6" t="s">
        <v>5</v>
      </c>
      <c r="AJ1087" s="7">
        <v>6.67</v>
      </c>
      <c r="AK1087" s="6" t="s">
        <v>5</v>
      </c>
      <c r="AL1087" s="6" t="s">
        <v>5</v>
      </c>
      <c r="AM1087" s="6" t="s">
        <v>5</v>
      </c>
      <c r="AN1087" s="6" t="s">
        <v>5</v>
      </c>
      <c r="AO1087" s="7">
        <v>1.03</v>
      </c>
      <c r="AP1087" s="7">
        <v>1.31</v>
      </c>
      <c r="AQ1087" s="22">
        <v>0.72199999999999998</v>
      </c>
      <c r="AR1087" s="22">
        <v>0.57400000000000007</v>
      </c>
      <c r="AS1087" s="7">
        <v>5</v>
      </c>
      <c r="AT1087" s="6">
        <v>3.14</v>
      </c>
      <c r="AU1087" s="6">
        <v>1.86</v>
      </c>
      <c r="AV1087" s="7">
        <v>1.27</v>
      </c>
      <c r="AW1087" s="6" t="s">
        <v>5</v>
      </c>
      <c r="AX1087" s="6" t="s">
        <v>5</v>
      </c>
      <c r="AY1087" s="6" t="s">
        <v>5</v>
      </c>
      <c r="AZ1087" s="6" t="s">
        <v>5</v>
      </c>
      <c r="BA1087" s="6" t="s">
        <v>5</v>
      </c>
      <c r="BB1087" s="6" t="s">
        <v>5</v>
      </c>
      <c r="BC1087" s="6" t="s">
        <v>5</v>
      </c>
      <c r="BD1087" s="6" t="s">
        <v>5</v>
      </c>
      <c r="BE1087" s="6" t="s">
        <v>5</v>
      </c>
      <c r="BF1087" s="6" t="s">
        <v>5</v>
      </c>
      <c r="BG1087" s="6" t="s">
        <v>5</v>
      </c>
      <c r="BH1087" s="6" t="s">
        <v>5</v>
      </c>
      <c r="BI1087" s="7">
        <v>1.45</v>
      </c>
      <c r="BJ1087" s="22">
        <v>0.92700000000000005</v>
      </c>
      <c r="BK1087" s="6" t="s">
        <v>5</v>
      </c>
      <c r="BL1087" s="2" t="s">
        <v>5</v>
      </c>
      <c r="BM1087" s="2" t="s">
        <v>5</v>
      </c>
      <c r="BN1087" s="2" t="s">
        <v>5</v>
      </c>
      <c r="BO1087" s="2" t="s">
        <v>5</v>
      </c>
      <c r="BP1087" s="2" t="s">
        <v>5</v>
      </c>
      <c r="BQ1087" s="2" t="s">
        <v>5</v>
      </c>
      <c r="BR1087" s="2" t="s">
        <v>5</v>
      </c>
      <c r="BS1087" s="2" t="s">
        <v>5</v>
      </c>
      <c r="BT1087" s="2" t="s">
        <v>5</v>
      </c>
      <c r="BU1087" s="2" t="s">
        <v>5</v>
      </c>
      <c r="BV1087" s="2" t="s">
        <v>5</v>
      </c>
      <c r="BW1087" s="2" t="s">
        <v>5</v>
      </c>
      <c r="BX1087" s="2" t="s">
        <v>5</v>
      </c>
      <c r="BY1087" s="25" t="s">
        <v>5</v>
      </c>
      <c r="BZ1087" s="25" t="s">
        <v>5</v>
      </c>
      <c r="CA1087" s="6" t="s">
        <v>5</v>
      </c>
      <c r="CB1087" s="6" t="s">
        <v>5</v>
      </c>
      <c r="CC1087" s="6" t="s">
        <v>5</v>
      </c>
      <c r="CD1087" s="6" t="s">
        <v>5</v>
      </c>
      <c r="CE1087" s="6" t="s">
        <v>5</v>
      </c>
      <c r="CF1087" s="16" t="s">
        <v>5</v>
      </c>
      <c r="CG1087" s="16" t="s">
        <v>5</v>
      </c>
      <c r="CH1087" s="18" t="s">
        <v>5</v>
      </c>
    </row>
    <row r="1088" spans="2:86">
      <c r="B1088" s="78" t="s">
        <v>473</v>
      </c>
      <c r="C1088" s="79" t="s">
        <v>1188</v>
      </c>
      <c r="D1088" s="80" t="s">
        <v>1188</v>
      </c>
      <c r="E1088" s="1" t="s">
        <v>4</v>
      </c>
      <c r="F1088" s="4">
        <v>10.6</v>
      </c>
      <c r="G1088" s="7">
        <v>3.1</v>
      </c>
      <c r="H1088" s="3" t="str">
        <f t="shared" si="35"/>
        <v>2L2-1/2X2X3/8X3/4SLBB</v>
      </c>
      <c r="I1088" s="7">
        <v>2</v>
      </c>
      <c r="J1088" s="5" t="s">
        <v>5</v>
      </c>
      <c r="K1088" s="6" t="s">
        <v>5</v>
      </c>
      <c r="L1088" s="6" t="s">
        <v>5</v>
      </c>
      <c r="M1088" s="6" t="s">
        <v>5</v>
      </c>
      <c r="N1088" s="6" t="s">
        <v>5</v>
      </c>
      <c r="O1088" s="5" t="s">
        <v>5</v>
      </c>
      <c r="P1088" s="5" t="s">
        <v>5</v>
      </c>
      <c r="Q1088" s="7">
        <v>2.5</v>
      </c>
      <c r="R1088" s="6" t="s">
        <v>5</v>
      </c>
      <c r="S1088" s="6" t="s">
        <v>5</v>
      </c>
      <c r="T1088" s="5" t="s">
        <v>5</v>
      </c>
      <c r="U1088" s="8" t="s">
        <v>5</v>
      </c>
      <c r="V1088" s="6" t="s">
        <v>5</v>
      </c>
      <c r="W1088" s="8" t="s">
        <v>5</v>
      </c>
      <c r="X1088" s="22">
        <v>0.375</v>
      </c>
      <c r="Y1088" s="6" t="s">
        <v>5</v>
      </c>
      <c r="Z1088" s="6" t="s">
        <v>5</v>
      </c>
      <c r="AA1088" s="6" t="s">
        <v>5</v>
      </c>
      <c r="AB1088" s="8" t="s">
        <v>5</v>
      </c>
      <c r="AC1088" s="8" t="s">
        <v>5</v>
      </c>
      <c r="AD1088" s="6" t="s">
        <v>5</v>
      </c>
      <c r="AE1088" s="22">
        <v>0.57799999999999996</v>
      </c>
      <c r="AF1088" s="6" t="s">
        <v>5</v>
      </c>
      <c r="AG1088" s="6" t="s">
        <v>5</v>
      </c>
      <c r="AH1088" s="22">
        <v>0.31</v>
      </c>
      <c r="AI1088" s="6" t="s">
        <v>5</v>
      </c>
      <c r="AJ1088" s="7">
        <v>6.67</v>
      </c>
      <c r="AK1088" s="6" t="s">
        <v>5</v>
      </c>
      <c r="AL1088" s="6" t="s">
        <v>5</v>
      </c>
      <c r="AM1088" s="6" t="s">
        <v>5</v>
      </c>
      <c r="AN1088" s="6" t="s">
        <v>5</v>
      </c>
      <c r="AO1088" s="7">
        <v>1.03</v>
      </c>
      <c r="AP1088" s="7">
        <v>1.31</v>
      </c>
      <c r="AQ1088" s="22">
        <v>0.72199999999999998</v>
      </c>
      <c r="AR1088" s="22">
        <v>0.57400000000000007</v>
      </c>
      <c r="AS1088" s="6">
        <v>6.25</v>
      </c>
      <c r="AT1088" s="6">
        <v>3.72</v>
      </c>
      <c r="AU1088" s="6">
        <v>2.17</v>
      </c>
      <c r="AV1088" s="7">
        <v>1.42</v>
      </c>
      <c r="AW1088" s="6" t="s">
        <v>5</v>
      </c>
      <c r="AX1088" s="6" t="s">
        <v>5</v>
      </c>
      <c r="AY1088" s="6" t="s">
        <v>5</v>
      </c>
      <c r="AZ1088" s="6" t="s">
        <v>5</v>
      </c>
      <c r="BA1088" s="6" t="s">
        <v>5</v>
      </c>
      <c r="BB1088" s="6" t="s">
        <v>5</v>
      </c>
      <c r="BC1088" s="6" t="s">
        <v>5</v>
      </c>
      <c r="BD1088" s="6" t="s">
        <v>5</v>
      </c>
      <c r="BE1088" s="6" t="s">
        <v>5</v>
      </c>
      <c r="BF1088" s="6" t="s">
        <v>5</v>
      </c>
      <c r="BG1088" s="6" t="s">
        <v>5</v>
      </c>
      <c r="BH1088" s="6" t="s">
        <v>5</v>
      </c>
      <c r="BI1088" s="7">
        <v>1.59</v>
      </c>
      <c r="BJ1088" s="22">
        <v>0.93899999999999995</v>
      </c>
      <c r="BK1088" s="6" t="s">
        <v>5</v>
      </c>
      <c r="BL1088" s="2" t="s">
        <v>5</v>
      </c>
      <c r="BM1088" s="2" t="s">
        <v>5</v>
      </c>
      <c r="BN1088" s="2" t="s">
        <v>5</v>
      </c>
      <c r="BO1088" s="2" t="s">
        <v>5</v>
      </c>
      <c r="BP1088" s="2" t="s">
        <v>5</v>
      </c>
      <c r="BQ1088" s="2" t="s">
        <v>5</v>
      </c>
      <c r="BR1088" s="2" t="s">
        <v>5</v>
      </c>
      <c r="BS1088" s="2" t="s">
        <v>5</v>
      </c>
      <c r="BT1088" s="2" t="s">
        <v>5</v>
      </c>
      <c r="BU1088" s="2" t="s">
        <v>5</v>
      </c>
      <c r="BV1088" s="2" t="s">
        <v>5</v>
      </c>
      <c r="BW1088" s="2" t="s">
        <v>5</v>
      </c>
      <c r="BX1088" s="2" t="s">
        <v>5</v>
      </c>
      <c r="BY1088" s="25" t="s">
        <v>5</v>
      </c>
      <c r="BZ1088" s="25" t="s">
        <v>5</v>
      </c>
      <c r="CA1088" s="6" t="s">
        <v>5</v>
      </c>
      <c r="CB1088" s="6" t="s">
        <v>5</v>
      </c>
      <c r="CC1088" s="6" t="s">
        <v>5</v>
      </c>
      <c r="CD1088" s="6" t="s">
        <v>5</v>
      </c>
      <c r="CE1088" s="6" t="s">
        <v>5</v>
      </c>
      <c r="CF1088" s="16" t="s">
        <v>5</v>
      </c>
      <c r="CG1088" s="16" t="s">
        <v>5</v>
      </c>
      <c r="CH1088" s="18" t="s">
        <v>5</v>
      </c>
    </row>
    <row r="1089" spans="2:86">
      <c r="B1089" s="78" t="s">
        <v>473</v>
      </c>
      <c r="C1089" s="79" t="s">
        <v>1189</v>
      </c>
      <c r="D1089" s="80" t="s">
        <v>1189</v>
      </c>
      <c r="E1089" s="1" t="s">
        <v>4</v>
      </c>
      <c r="F1089" s="7">
        <v>9</v>
      </c>
      <c r="G1089" s="7">
        <v>2.64</v>
      </c>
      <c r="H1089" s="3" t="str">
        <f t="shared" si="35"/>
        <v>2L2-1/2X2X5/16SLBB</v>
      </c>
      <c r="I1089" s="7">
        <v>2</v>
      </c>
      <c r="J1089" s="5" t="s">
        <v>5</v>
      </c>
      <c r="K1089" s="6" t="s">
        <v>5</v>
      </c>
      <c r="L1089" s="6" t="s">
        <v>5</v>
      </c>
      <c r="M1089" s="6" t="s">
        <v>5</v>
      </c>
      <c r="N1089" s="6" t="s">
        <v>5</v>
      </c>
      <c r="O1089" s="5" t="s">
        <v>5</v>
      </c>
      <c r="P1089" s="5" t="s">
        <v>5</v>
      </c>
      <c r="Q1089" s="7">
        <v>2.5</v>
      </c>
      <c r="R1089" s="6" t="s">
        <v>5</v>
      </c>
      <c r="S1089" s="6" t="s">
        <v>5</v>
      </c>
      <c r="T1089" s="5" t="s">
        <v>5</v>
      </c>
      <c r="U1089" s="8" t="s">
        <v>5</v>
      </c>
      <c r="V1089" s="6" t="s">
        <v>5</v>
      </c>
      <c r="W1089" s="8" t="s">
        <v>5</v>
      </c>
      <c r="X1089" s="22">
        <v>0.313</v>
      </c>
      <c r="Y1089" s="6" t="s">
        <v>5</v>
      </c>
      <c r="Z1089" s="6" t="s">
        <v>5</v>
      </c>
      <c r="AA1089" s="6" t="s">
        <v>5</v>
      </c>
      <c r="AB1089" s="8" t="s">
        <v>5</v>
      </c>
      <c r="AC1089" s="8" t="s">
        <v>5</v>
      </c>
      <c r="AD1089" s="6" t="s">
        <v>5</v>
      </c>
      <c r="AE1089" s="22">
        <v>0.55500000000000005</v>
      </c>
      <c r="AF1089" s="6" t="s">
        <v>5</v>
      </c>
      <c r="AG1089" s="6" t="s">
        <v>5</v>
      </c>
      <c r="AH1089" s="22">
        <v>0.26400000000000001</v>
      </c>
      <c r="AI1089" s="6" t="s">
        <v>5</v>
      </c>
      <c r="AJ1089" s="7">
        <v>7.99</v>
      </c>
      <c r="AK1089" s="6" t="s">
        <v>5</v>
      </c>
      <c r="AL1089" s="6" t="s">
        <v>5</v>
      </c>
      <c r="AM1089" s="6" t="s">
        <v>5</v>
      </c>
      <c r="AN1089" s="6" t="s">
        <v>5</v>
      </c>
      <c r="AO1089" s="22">
        <v>0.89100000000000001</v>
      </c>
      <c r="AP1089" s="7">
        <v>1.1100000000000001</v>
      </c>
      <c r="AQ1089" s="22">
        <v>0.61699999999999999</v>
      </c>
      <c r="AR1089" s="22">
        <v>0.58099999999999996</v>
      </c>
      <c r="AS1089" s="6">
        <v>3.31</v>
      </c>
      <c r="AT1089" s="6">
        <v>2.12</v>
      </c>
      <c r="AU1089" s="6">
        <v>1.32</v>
      </c>
      <c r="AV1089" s="7">
        <v>1.1200000000000001</v>
      </c>
      <c r="AW1089" s="6" t="s">
        <v>5</v>
      </c>
      <c r="AX1089" s="6" t="s">
        <v>5</v>
      </c>
      <c r="AY1089" s="6" t="s">
        <v>5</v>
      </c>
      <c r="AZ1089" s="6" t="s">
        <v>5</v>
      </c>
      <c r="BA1089" s="6" t="s">
        <v>5</v>
      </c>
      <c r="BB1089" s="6" t="s">
        <v>5</v>
      </c>
      <c r="BC1089" s="6" t="s">
        <v>5</v>
      </c>
      <c r="BD1089" s="6" t="s">
        <v>5</v>
      </c>
      <c r="BE1089" s="6" t="s">
        <v>5</v>
      </c>
      <c r="BF1089" s="6" t="s">
        <v>5</v>
      </c>
      <c r="BG1089" s="6" t="s">
        <v>5</v>
      </c>
      <c r="BH1089" s="6" t="s">
        <v>5</v>
      </c>
      <c r="BI1089" s="7">
        <v>1.32</v>
      </c>
      <c r="BJ1089" s="22">
        <v>0.90900000000000003</v>
      </c>
      <c r="BK1089" s="6" t="s">
        <v>5</v>
      </c>
      <c r="BL1089" s="2" t="s">
        <v>5</v>
      </c>
      <c r="BM1089" s="2" t="s">
        <v>5</v>
      </c>
      <c r="BN1089" s="2" t="s">
        <v>5</v>
      </c>
      <c r="BO1089" s="2" t="s">
        <v>5</v>
      </c>
      <c r="BP1089" s="2" t="s">
        <v>5</v>
      </c>
      <c r="BQ1089" s="2" t="s">
        <v>5</v>
      </c>
      <c r="BR1089" s="2" t="s">
        <v>5</v>
      </c>
      <c r="BS1089" s="2" t="s">
        <v>5</v>
      </c>
      <c r="BT1089" s="2" t="s">
        <v>5</v>
      </c>
      <c r="BU1089" s="2" t="s">
        <v>5</v>
      </c>
      <c r="BV1089" s="2" t="s">
        <v>5</v>
      </c>
      <c r="BW1089" s="2" t="s">
        <v>5</v>
      </c>
      <c r="BX1089" s="2" t="s">
        <v>5</v>
      </c>
      <c r="BY1089" s="25" t="s">
        <v>5</v>
      </c>
      <c r="BZ1089" s="25" t="s">
        <v>5</v>
      </c>
      <c r="CA1089" s="6" t="s">
        <v>5</v>
      </c>
      <c r="CB1089" s="6" t="s">
        <v>5</v>
      </c>
      <c r="CC1089" s="6" t="s">
        <v>5</v>
      </c>
      <c r="CD1089" s="6" t="s">
        <v>5</v>
      </c>
      <c r="CE1089" s="6" t="s">
        <v>5</v>
      </c>
      <c r="CF1089" s="16" t="s">
        <v>5</v>
      </c>
      <c r="CG1089" s="16" t="s">
        <v>5</v>
      </c>
      <c r="CH1089" s="18" t="s">
        <v>5</v>
      </c>
    </row>
    <row r="1090" spans="2:86">
      <c r="B1090" s="78" t="s">
        <v>473</v>
      </c>
      <c r="C1090" s="79" t="s">
        <v>1190</v>
      </c>
      <c r="D1090" s="80" t="s">
        <v>1190</v>
      </c>
      <c r="E1090" s="1" t="s">
        <v>4</v>
      </c>
      <c r="F1090" s="7">
        <v>9</v>
      </c>
      <c r="G1090" s="7">
        <v>2.64</v>
      </c>
      <c r="H1090" s="3" t="str">
        <f t="shared" si="35"/>
        <v>2L2-1/2X2X5/16X3/8SLBB</v>
      </c>
      <c r="I1090" s="7">
        <v>2</v>
      </c>
      <c r="J1090" s="5" t="s">
        <v>5</v>
      </c>
      <c r="K1090" s="6" t="s">
        <v>5</v>
      </c>
      <c r="L1090" s="6" t="s">
        <v>5</v>
      </c>
      <c r="M1090" s="6" t="s">
        <v>5</v>
      </c>
      <c r="N1090" s="6" t="s">
        <v>5</v>
      </c>
      <c r="O1090" s="5" t="s">
        <v>5</v>
      </c>
      <c r="P1090" s="5" t="s">
        <v>5</v>
      </c>
      <c r="Q1090" s="7">
        <v>2.5</v>
      </c>
      <c r="R1090" s="6" t="s">
        <v>5</v>
      </c>
      <c r="S1090" s="6" t="s">
        <v>5</v>
      </c>
      <c r="T1090" s="5" t="s">
        <v>5</v>
      </c>
      <c r="U1090" s="8" t="s">
        <v>5</v>
      </c>
      <c r="V1090" s="6" t="s">
        <v>5</v>
      </c>
      <c r="W1090" s="8" t="s">
        <v>5</v>
      </c>
      <c r="X1090" s="22">
        <v>0.313</v>
      </c>
      <c r="Y1090" s="6" t="s">
        <v>5</v>
      </c>
      <c r="Z1090" s="6" t="s">
        <v>5</v>
      </c>
      <c r="AA1090" s="6" t="s">
        <v>5</v>
      </c>
      <c r="AB1090" s="8" t="s">
        <v>5</v>
      </c>
      <c r="AC1090" s="8" t="s">
        <v>5</v>
      </c>
      <c r="AD1090" s="6" t="s">
        <v>5</v>
      </c>
      <c r="AE1090" s="22">
        <v>0.55500000000000005</v>
      </c>
      <c r="AF1090" s="6" t="s">
        <v>5</v>
      </c>
      <c r="AG1090" s="6" t="s">
        <v>5</v>
      </c>
      <c r="AH1090" s="22">
        <v>0.26400000000000001</v>
      </c>
      <c r="AI1090" s="6" t="s">
        <v>5</v>
      </c>
      <c r="AJ1090" s="7">
        <v>7.99</v>
      </c>
      <c r="AK1090" s="6" t="s">
        <v>5</v>
      </c>
      <c r="AL1090" s="6" t="s">
        <v>5</v>
      </c>
      <c r="AM1090" s="6" t="s">
        <v>5</v>
      </c>
      <c r="AN1090" s="6" t="s">
        <v>5</v>
      </c>
      <c r="AO1090" s="22">
        <v>0.89100000000000001</v>
      </c>
      <c r="AP1090" s="7">
        <v>1.1100000000000001</v>
      </c>
      <c r="AQ1090" s="22">
        <v>0.61699999999999999</v>
      </c>
      <c r="AR1090" s="22">
        <v>0.58099999999999996</v>
      </c>
      <c r="AS1090" s="6">
        <v>4.1900000000000004</v>
      </c>
      <c r="AT1090" s="6">
        <v>2.61</v>
      </c>
      <c r="AU1090" s="6">
        <v>1.56</v>
      </c>
      <c r="AV1090" s="7">
        <v>1.26</v>
      </c>
      <c r="AW1090" s="6" t="s">
        <v>5</v>
      </c>
      <c r="AX1090" s="6" t="s">
        <v>5</v>
      </c>
      <c r="AY1090" s="6" t="s">
        <v>5</v>
      </c>
      <c r="AZ1090" s="6" t="s">
        <v>5</v>
      </c>
      <c r="BA1090" s="6" t="s">
        <v>5</v>
      </c>
      <c r="BB1090" s="6" t="s">
        <v>5</v>
      </c>
      <c r="BC1090" s="6" t="s">
        <v>5</v>
      </c>
      <c r="BD1090" s="6" t="s">
        <v>5</v>
      </c>
      <c r="BE1090" s="6" t="s">
        <v>5</v>
      </c>
      <c r="BF1090" s="6" t="s">
        <v>5</v>
      </c>
      <c r="BG1090" s="6" t="s">
        <v>5</v>
      </c>
      <c r="BH1090" s="6" t="s">
        <v>5</v>
      </c>
      <c r="BI1090" s="7">
        <v>1.44</v>
      </c>
      <c r="BJ1090" s="22">
        <v>0.92300000000000004</v>
      </c>
      <c r="BK1090" s="6" t="s">
        <v>5</v>
      </c>
      <c r="BL1090" s="2" t="s">
        <v>5</v>
      </c>
      <c r="BM1090" s="2" t="s">
        <v>5</v>
      </c>
      <c r="BN1090" s="2" t="s">
        <v>5</v>
      </c>
      <c r="BO1090" s="2" t="s">
        <v>5</v>
      </c>
      <c r="BP1090" s="2" t="s">
        <v>5</v>
      </c>
      <c r="BQ1090" s="2" t="s">
        <v>5</v>
      </c>
      <c r="BR1090" s="2" t="s">
        <v>5</v>
      </c>
      <c r="BS1090" s="2" t="s">
        <v>5</v>
      </c>
      <c r="BT1090" s="2" t="s">
        <v>5</v>
      </c>
      <c r="BU1090" s="2" t="s">
        <v>5</v>
      </c>
      <c r="BV1090" s="2" t="s">
        <v>5</v>
      </c>
      <c r="BW1090" s="2" t="s">
        <v>5</v>
      </c>
      <c r="BX1090" s="2" t="s">
        <v>5</v>
      </c>
      <c r="BY1090" s="25" t="s">
        <v>5</v>
      </c>
      <c r="BZ1090" s="25" t="s">
        <v>5</v>
      </c>
      <c r="CA1090" s="6" t="s">
        <v>5</v>
      </c>
      <c r="CB1090" s="6" t="s">
        <v>5</v>
      </c>
      <c r="CC1090" s="6" t="s">
        <v>5</v>
      </c>
      <c r="CD1090" s="6" t="s">
        <v>5</v>
      </c>
      <c r="CE1090" s="6" t="s">
        <v>5</v>
      </c>
      <c r="CF1090" s="16" t="s">
        <v>5</v>
      </c>
      <c r="CG1090" s="16" t="s">
        <v>5</v>
      </c>
      <c r="CH1090" s="18" t="s">
        <v>5</v>
      </c>
    </row>
    <row r="1091" spans="2:86">
      <c r="B1091" s="78" t="s">
        <v>473</v>
      </c>
      <c r="C1091" s="79" t="s">
        <v>1191</v>
      </c>
      <c r="D1091" s="80" t="s">
        <v>1191</v>
      </c>
      <c r="E1091" s="1" t="s">
        <v>4</v>
      </c>
      <c r="F1091" s="7">
        <v>9</v>
      </c>
      <c r="G1091" s="7">
        <v>2.64</v>
      </c>
      <c r="H1091" s="3" t="str">
        <f t="shared" si="35"/>
        <v>2L2-1/2X2X5/16X3/4SLBB</v>
      </c>
      <c r="I1091" s="7">
        <v>2</v>
      </c>
      <c r="J1091" s="5" t="s">
        <v>5</v>
      </c>
      <c r="K1091" s="6" t="s">
        <v>5</v>
      </c>
      <c r="L1091" s="6" t="s">
        <v>5</v>
      </c>
      <c r="M1091" s="6" t="s">
        <v>5</v>
      </c>
      <c r="N1091" s="6" t="s">
        <v>5</v>
      </c>
      <c r="O1091" s="5" t="s">
        <v>5</v>
      </c>
      <c r="P1091" s="5" t="s">
        <v>5</v>
      </c>
      <c r="Q1091" s="7">
        <v>2.5</v>
      </c>
      <c r="R1091" s="6" t="s">
        <v>5</v>
      </c>
      <c r="S1091" s="6" t="s">
        <v>5</v>
      </c>
      <c r="T1091" s="5" t="s">
        <v>5</v>
      </c>
      <c r="U1091" s="8" t="s">
        <v>5</v>
      </c>
      <c r="V1091" s="6" t="s">
        <v>5</v>
      </c>
      <c r="W1091" s="8" t="s">
        <v>5</v>
      </c>
      <c r="X1091" s="22">
        <v>0.313</v>
      </c>
      <c r="Y1091" s="6" t="s">
        <v>5</v>
      </c>
      <c r="Z1091" s="6" t="s">
        <v>5</v>
      </c>
      <c r="AA1091" s="6" t="s">
        <v>5</v>
      </c>
      <c r="AB1091" s="8" t="s">
        <v>5</v>
      </c>
      <c r="AC1091" s="8" t="s">
        <v>5</v>
      </c>
      <c r="AD1091" s="6" t="s">
        <v>5</v>
      </c>
      <c r="AE1091" s="22">
        <v>0.55500000000000005</v>
      </c>
      <c r="AF1091" s="6" t="s">
        <v>5</v>
      </c>
      <c r="AG1091" s="6" t="s">
        <v>5</v>
      </c>
      <c r="AH1091" s="22">
        <v>0.26400000000000001</v>
      </c>
      <c r="AI1091" s="6" t="s">
        <v>5</v>
      </c>
      <c r="AJ1091" s="7">
        <v>7.99</v>
      </c>
      <c r="AK1091" s="6" t="s">
        <v>5</v>
      </c>
      <c r="AL1091" s="6" t="s">
        <v>5</v>
      </c>
      <c r="AM1091" s="6" t="s">
        <v>5</v>
      </c>
      <c r="AN1091" s="6" t="s">
        <v>5</v>
      </c>
      <c r="AO1091" s="22">
        <v>0.89100000000000001</v>
      </c>
      <c r="AP1091" s="7">
        <v>1.1100000000000001</v>
      </c>
      <c r="AQ1091" s="22">
        <v>0.61699999999999999</v>
      </c>
      <c r="AR1091" s="22">
        <v>0.58099999999999996</v>
      </c>
      <c r="AS1091" s="6">
        <v>5.25</v>
      </c>
      <c r="AT1091" s="6">
        <v>3.11</v>
      </c>
      <c r="AU1091" s="6">
        <v>1.83</v>
      </c>
      <c r="AV1091" s="7">
        <v>1.41</v>
      </c>
      <c r="AW1091" s="6" t="s">
        <v>5</v>
      </c>
      <c r="AX1091" s="6" t="s">
        <v>5</v>
      </c>
      <c r="AY1091" s="6" t="s">
        <v>5</v>
      </c>
      <c r="AZ1091" s="6" t="s">
        <v>5</v>
      </c>
      <c r="BA1091" s="6" t="s">
        <v>5</v>
      </c>
      <c r="BB1091" s="6" t="s">
        <v>5</v>
      </c>
      <c r="BC1091" s="6" t="s">
        <v>5</v>
      </c>
      <c r="BD1091" s="6" t="s">
        <v>5</v>
      </c>
      <c r="BE1091" s="6" t="s">
        <v>5</v>
      </c>
      <c r="BF1091" s="6" t="s">
        <v>5</v>
      </c>
      <c r="BG1091" s="6" t="s">
        <v>5</v>
      </c>
      <c r="BH1091" s="6" t="s">
        <v>5</v>
      </c>
      <c r="BI1091" s="7">
        <v>1.58</v>
      </c>
      <c r="BJ1091" s="22">
        <v>0.93600000000000005</v>
      </c>
      <c r="BK1091" s="6" t="s">
        <v>5</v>
      </c>
      <c r="BL1091" s="2" t="s">
        <v>5</v>
      </c>
      <c r="BM1091" s="2" t="s">
        <v>5</v>
      </c>
      <c r="BN1091" s="2" t="s">
        <v>5</v>
      </c>
      <c r="BO1091" s="2" t="s">
        <v>5</v>
      </c>
      <c r="BP1091" s="2" t="s">
        <v>5</v>
      </c>
      <c r="BQ1091" s="2" t="s">
        <v>5</v>
      </c>
      <c r="BR1091" s="2" t="s">
        <v>5</v>
      </c>
      <c r="BS1091" s="2" t="s">
        <v>5</v>
      </c>
      <c r="BT1091" s="2" t="s">
        <v>5</v>
      </c>
      <c r="BU1091" s="2" t="s">
        <v>5</v>
      </c>
      <c r="BV1091" s="2" t="s">
        <v>5</v>
      </c>
      <c r="BW1091" s="2" t="s">
        <v>5</v>
      </c>
      <c r="BX1091" s="2" t="s">
        <v>5</v>
      </c>
      <c r="BY1091" s="25" t="s">
        <v>5</v>
      </c>
      <c r="BZ1091" s="25" t="s">
        <v>5</v>
      </c>
      <c r="CA1091" s="6" t="s">
        <v>5</v>
      </c>
      <c r="CB1091" s="6" t="s">
        <v>5</v>
      </c>
      <c r="CC1091" s="6" t="s">
        <v>5</v>
      </c>
      <c r="CD1091" s="6" t="s">
        <v>5</v>
      </c>
      <c r="CE1091" s="6" t="s">
        <v>5</v>
      </c>
      <c r="CF1091" s="16" t="s">
        <v>5</v>
      </c>
      <c r="CG1091" s="16" t="s">
        <v>5</v>
      </c>
      <c r="CH1091" s="18" t="s">
        <v>5</v>
      </c>
    </row>
    <row r="1092" spans="2:86">
      <c r="B1092" s="78" t="s">
        <v>473</v>
      </c>
      <c r="C1092" s="79" t="s">
        <v>1192</v>
      </c>
      <c r="D1092" s="80" t="s">
        <v>1192</v>
      </c>
      <c r="E1092" s="1" t="s">
        <v>4</v>
      </c>
      <c r="F1092" s="7">
        <v>7.24</v>
      </c>
      <c r="G1092" s="7">
        <v>2.14</v>
      </c>
      <c r="H1092" s="3" t="str">
        <f t="shared" ref="H1092:H1103" si="36">D1092</f>
        <v>2L2-1/2X2X1/4SLBB</v>
      </c>
      <c r="I1092" s="7">
        <v>2</v>
      </c>
      <c r="J1092" s="5" t="s">
        <v>5</v>
      </c>
      <c r="K1092" s="6" t="s">
        <v>5</v>
      </c>
      <c r="L1092" s="6" t="s">
        <v>5</v>
      </c>
      <c r="M1092" s="6" t="s">
        <v>5</v>
      </c>
      <c r="N1092" s="6" t="s">
        <v>5</v>
      </c>
      <c r="O1092" s="5" t="s">
        <v>5</v>
      </c>
      <c r="P1092" s="5" t="s">
        <v>5</v>
      </c>
      <c r="Q1092" s="7">
        <v>2.5</v>
      </c>
      <c r="R1092" s="6" t="s">
        <v>5</v>
      </c>
      <c r="S1092" s="6" t="s">
        <v>5</v>
      </c>
      <c r="T1092" s="5" t="s">
        <v>5</v>
      </c>
      <c r="U1092" s="8" t="s">
        <v>5</v>
      </c>
      <c r="V1092" s="6" t="s">
        <v>5</v>
      </c>
      <c r="W1092" s="8" t="s">
        <v>5</v>
      </c>
      <c r="X1092" s="22">
        <v>0.25</v>
      </c>
      <c r="Y1092" s="6" t="s">
        <v>5</v>
      </c>
      <c r="Z1092" s="6" t="s">
        <v>5</v>
      </c>
      <c r="AA1092" s="6" t="s">
        <v>5</v>
      </c>
      <c r="AB1092" s="8" t="s">
        <v>5</v>
      </c>
      <c r="AC1092" s="8" t="s">
        <v>5</v>
      </c>
      <c r="AD1092" s="6" t="s">
        <v>5</v>
      </c>
      <c r="AE1092" s="22">
        <v>0.53200000000000003</v>
      </c>
      <c r="AF1092" s="6" t="s">
        <v>5</v>
      </c>
      <c r="AG1092" s="6" t="s">
        <v>5</v>
      </c>
      <c r="AH1092" s="22">
        <v>0.214</v>
      </c>
      <c r="AI1092" s="6" t="s">
        <v>5</v>
      </c>
      <c r="AJ1092" s="4">
        <v>10</v>
      </c>
      <c r="AK1092" s="6" t="s">
        <v>5</v>
      </c>
      <c r="AL1092" s="6" t="s">
        <v>5</v>
      </c>
      <c r="AM1092" s="6" t="s">
        <v>5</v>
      </c>
      <c r="AN1092" s="6" t="s">
        <v>5</v>
      </c>
      <c r="AO1092" s="22">
        <v>0.74399999999999999</v>
      </c>
      <c r="AP1092" s="22">
        <v>0.90900000000000003</v>
      </c>
      <c r="AQ1092" s="22">
        <v>0.50700000000000001</v>
      </c>
      <c r="AR1092" s="22">
        <v>0.58899999999999997</v>
      </c>
      <c r="AS1092" s="6">
        <v>2.59</v>
      </c>
      <c r="AT1092" s="6">
        <v>1.67</v>
      </c>
      <c r="AU1092" s="6">
        <v>1.04</v>
      </c>
      <c r="AV1092" s="7">
        <v>1.1000000000000001</v>
      </c>
      <c r="AW1092" s="6" t="s">
        <v>5</v>
      </c>
      <c r="AX1092" s="6" t="s">
        <v>5</v>
      </c>
      <c r="AY1092" s="6" t="s">
        <v>5</v>
      </c>
      <c r="AZ1092" s="6" t="s">
        <v>5</v>
      </c>
      <c r="BA1092" s="6" t="s">
        <v>5</v>
      </c>
      <c r="BB1092" s="6" t="s">
        <v>5</v>
      </c>
      <c r="BC1092" s="6" t="s">
        <v>5</v>
      </c>
      <c r="BD1092" s="6" t="s">
        <v>5</v>
      </c>
      <c r="BE1092" s="6" t="s">
        <v>5</v>
      </c>
      <c r="BF1092" s="6" t="s">
        <v>5</v>
      </c>
      <c r="BG1092" s="6" t="s">
        <v>5</v>
      </c>
      <c r="BH1092" s="6" t="s">
        <v>5</v>
      </c>
      <c r="BI1092" s="7">
        <v>1.32</v>
      </c>
      <c r="BJ1092" s="22">
        <v>0.90400000000000003</v>
      </c>
      <c r="BK1092" s="6" t="s">
        <v>5</v>
      </c>
      <c r="BL1092" s="2" t="s">
        <v>5</v>
      </c>
      <c r="BM1092" s="2" t="s">
        <v>5</v>
      </c>
      <c r="BN1092" s="2" t="s">
        <v>5</v>
      </c>
      <c r="BO1092" s="2" t="s">
        <v>5</v>
      </c>
      <c r="BP1092" s="2" t="s">
        <v>5</v>
      </c>
      <c r="BQ1092" s="2" t="s">
        <v>5</v>
      </c>
      <c r="BR1092" s="2" t="s">
        <v>5</v>
      </c>
      <c r="BS1092" s="2" t="s">
        <v>5</v>
      </c>
      <c r="BT1092" s="2" t="s">
        <v>5</v>
      </c>
      <c r="BU1092" s="2" t="s">
        <v>5</v>
      </c>
      <c r="BV1092" s="2" t="s">
        <v>5</v>
      </c>
      <c r="BW1092" s="2" t="s">
        <v>5</v>
      </c>
      <c r="BX1092" s="2" t="s">
        <v>5</v>
      </c>
      <c r="BY1092" s="25" t="s">
        <v>5</v>
      </c>
      <c r="BZ1092" s="25" t="s">
        <v>5</v>
      </c>
      <c r="CA1092" s="6" t="s">
        <v>5</v>
      </c>
      <c r="CB1092" s="6" t="s">
        <v>5</v>
      </c>
      <c r="CC1092" s="6" t="s">
        <v>5</v>
      </c>
      <c r="CD1092" s="6" t="s">
        <v>5</v>
      </c>
      <c r="CE1092" s="6" t="s">
        <v>5</v>
      </c>
      <c r="CF1092" s="16" t="s">
        <v>5</v>
      </c>
      <c r="CG1092" s="16" t="s">
        <v>5</v>
      </c>
      <c r="CH1092" s="18" t="s">
        <v>5</v>
      </c>
    </row>
    <row r="1093" spans="2:86">
      <c r="B1093" s="78" t="s">
        <v>473</v>
      </c>
      <c r="C1093" s="79" t="s">
        <v>1193</v>
      </c>
      <c r="D1093" s="80" t="s">
        <v>1193</v>
      </c>
      <c r="E1093" s="1" t="s">
        <v>4</v>
      </c>
      <c r="F1093" s="7">
        <v>7.24</v>
      </c>
      <c r="G1093" s="7">
        <v>2.14</v>
      </c>
      <c r="H1093" s="3" t="str">
        <f t="shared" si="36"/>
        <v>2L2-1/2X2X1/4X3/8SLBB</v>
      </c>
      <c r="I1093" s="7">
        <v>2</v>
      </c>
      <c r="J1093" s="5" t="s">
        <v>5</v>
      </c>
      <c r="K1093" s="6" t="s">
        <v>5</v>
      </c>
      <c r="L1093" s="6" t="s">
        <v>5</v>
      </c>
      <c r="M1093" s="6" t="s">
        <v>5</v>
      </c>
      <c r="N1093" s="6" t="s">
        <v>5</v>
      </c>
      <c r="O1093" s="5" t="s">
        <v>5</v>
      </c>
      <c r="P1093" s="5" t="s">
        <v>5</v>
      </c>
      <c r="Q1093" s="7">
        <v>2.5</v>
      </c>
      <c r="R1093" s="6" t="s">
        <v>5</v>
      </c>
      <c r="S1093" s="6" t="s">
        <v>5</v>
      </c>
      <c r="T1093" s="5" t="s">
        <v>5</v>
      </c>
      <c r="U1093" s="8" t="s">
        <v>5</v>
      </c>
      <c r="V1093" s="6" t="s">
        <v>5</v>
      </c>
      <c r="W1093" s="8" t="s">
        <v>5</v>
      </c>
      <c r="X1093" s="22">
        <v>0.25</v>
      </c>
      <c r="Y1093" s="6" t="s">
        <v>5</v>
      </c>
      <c r="Z1093" s="6" t="s">
        <v>5</v>
      </c>
      <c r="AA1093" s="6" t="s">
        <v>5</v>
      </c>
      <c r="AB1093" s="8" t="s">
        <v>5</v>
      </c>
      <c r="AC1093" s="8" t="s">
        <v>5</v>
      </c>
      <c r="AD1093" s="6" t="s">
        <v>5</v>
      </c>
      <c r="AE1093" s="22">
        <v>0.53200000000000003</v>
      </c>
      <c r="AF1093" s="6" t="s">
        <v>5</v>
      </c>
      <c r="AG1093" s="6" t="s">
        <v>5</v>
      </c>
      <c r="AH1093" s="22">
        <v>0.214</v>
      </c>
      <c r="AI1093" s="6" t="s">
        <v>5</v>
      </c>
      <c r="AJ1093" s="4">
        <v>10</v>
      </c>
      <c r="AK1093" s="6" t="s">
        <v>5</v>
      </c>
      <c r="AL1093" s="6" t="s">
        <v>5</v>
      </c>
      <c r="AM1093" s="6" t="s">
        <v>5</v>
      </c>
      <c r="AN1093" s="6" t="s">
        <v>5</v>
      </c>
      <c r="AO1093" s="22">
        <v>0.74399999999999999</v>
      </c>
      <c r="AP1093" s="22">
        <v>0.90900000000000003</v>
      </c>
      <c r="AQ1093" s="22">
        <v>0.50700000000000001</v>
      </c>
      <c r="AR1093" s="22">
        <v>0.58899999999999997</v>
      </c>
      <c r="AS1093" s="6">
        <v>3.29</v>
      </c>
      <c r="AT1093" s="6">
        <v>2.0699999999999998</v>
      </c>
      <c r="AU1093" s="6">
        <v>1.22</v>
      </c>
      <c r="AV1093" s="7">
        <v>1.24</v>
      </c>
      <c r="AW1093" s="6" t="s">
        <v>5</v>
      </c>
      <c r="AX1093" s="6" t="s">
        <v>5</v>
      </c>
      <c r="AY1093" s="6" t="s">
        <v>5</v>
      </c>
      <c r="AZ1093" s="6" t="s">
        <v>5</v>
      </c>
      <c r="BA1093" s="6" t="s">
        <v>5</v>
      </c>
      <c r="BB1093" s="6" t="s">
        <v>5</v>
      </c>
      <c r="BC1093" s="6" t="s">
        <v>5</v>
      </c>
      <c r="BD1093" s="6" t="s">
        <v>5</v>
      </c>
      <c r="BE1093" s="6" t="s">
        <v>5</v>
      </c>
      <c r="BF1093" s="6" t="s">
        <v>5</v>
      </c>
      <c r="BG1093" s="6" t="s">
        <v>5</v>
      </c>
      <c r="BH1093" s="6" t="s">
        <v>5</v>
      </c>
      <c r="BI1093" s="7">
        <v>1.43</v>
      </c>
      <c r="BJ1093" s="22">
        <v>0.92</v>
      </c>
      <c r="BK1093" s="6" t="s">
        <v>5</v>
      </c>
      <c r="BL1093" s="2" t="s">
        <v>5</v>
      </c>
      <c r="BM1093" s="2" t="s">
        <v>5</v>
      </c>
      <c r="BN1093" s="2" t="s">
        <v>5</v>
      </c>
      <c r="BO1093" s="2" t="s">
        <v>5</v>
      </c>
      <c r="BP1093" s="2" t="s">
        <v>5</v>
      </c>
      <c r="BQ1093" s="2" t="s">
        <v>5</v>
      </c>
      <c r="BR1093" s="2" t="s">
        <v>5</v>
      </c>
      <c r="BS1093" s="2" t="s">
        <v>5</v>
      </c>
      <c r="BT1093" s="2" t="s">
        <v>5</v>
      </c>
      <c r="BU1093" s="2" t="s">
        <v>5</v>
      </c>
      <c r="BV1093" s="2" t="s">
        <v>5</v>
      </c>
      <c r="BW1093" s="2" t="s">
        <v>5</v>
      </c>
      <c r="BX1093" s="2" t="s">
        <v>5</v>
      </c>
      <c r="BY1093" s="25" t="s">
        <v>5</v>
      </c>
      <c r="BZ1093" s="25" t="s">
        <v>5</v>
      </c>
      <c r="CA1093" s="6" t="s">
        <v>5</v>
      </c>
      <c r="CB1093" s="6" t="s">
        <v>5</v>
      </c>
      <c r="CC1093" s="6" t="s">
        <v>5</v>
      </c>
      <c r="CD1093" s="6" t="s">
        <v>5</v>
      </c>
      <c r="CE1093" s="6" t="s">
        <v>5</v>
      </c>
      <c r="CF1093" s="16" t="s">
        <v>5</v>
      </c>
      <c r="CG1093" s="16" t="s">
        <v>5</v>
      </c>
      <c r="CH1093" s="18" t="s">
        <v>5</v>
      </c>
    </row>
    <row r="1094" spans="2:86">
      <c r="B1094" s="78" t="s">
        <v>473</v>
      </c>
      <c r="C1094" s="79" t="s">
        <v>1194</v>
      </c>
      <c r="D1094" s="80" t="s">
        <v>1194</v>
      </c>
      <c r="E1094" s="1" t="s">
        <v>4</v>
      </c>
      <c r="F1094" s="7">
        <v>7.24</v>
      </c>
      <c r="G1094" s="7">
        <v>2.14</v>
      </c>
      <c r="H1094" s="3" t="str">
        <f t="shared" si="36"/>
        <v>2L2-1/2X2X1/4X3/4SLBB</v>
      </c>
      <c r="I1094" s="7">
        <v>2</v>
      </c>
      <c r="J1094" s="5" t="s">
        <v>5</v>
      </c>
      <c r="K1094" s="6" t="s">
        <v>5</v>
      </c>
      <c r="L1094" s="6" t="s">
        <v>5</v>
      </c>
      <c r="M1094" s="6" t="s">
        <v>5</v>
      </c>
      <c r="N1094" s="6" t="s">
        <v>5</v>
      </c>
      <c r="O1094" s="5" t="s">
        <v>5</v>
      </c>
      <c r="P1094" s="5" t="s">
        <v>5</v>
      </c>
      <c r="Q1094" s="7">
        <v>2.5</v>
      </c>
      <c r="R1094" s="6" t="s">
        <v>5</v>
      </c>
      <c r="S1094" s="6" t="s">
        <v>5</v>
      </c>
      <c r="T1094" s="5" t="s">
        <v>5</v>
      </c>
      <c r="U1094" s="8" t="s">
        <v>5</v>
      </c>
      <c r="V1094" s="6" t="s">
        <v>5</v>
      </c>
      <c r="W1094" s="8" t="s">
        <v>5</v>
      </c>
      <c r="X1094" s="22">
        <v>0.25</v>
      </c>
      <c r="Y1094" s="6" t="s">
        <v>5</v>
      </c>
      <c r="Z1094" s="6" t="s">
        <v>5</v>
      </c>
      <c r="AA1094" s="6" t="s">
        <v>5</v>
      </c>
      <c r="AB1094" s="8" t="s">
        <v>5</v>
      </c>
      <c r="AC1094" s="8" t="s">
        <v>5</v>
      </c>
      <c r="AD1094" s="6" t="s">
        <v>5</v>
      </c>
      <c r="AE1094" s="22">
        <v>0.53200000000000003</v>
      </c>
      <c r="AF1094" s="6" t="s">
        <v>5</v>
      </c>
      <c r="AG1094" s="6" t="s">
        <v>5</v>
      </c>
      <c r="AH1094" s="22">
        <v>0.214</v>
      </c>
      <c r="AI1094" s="6" t="s">
        <v>5</v>
      </c>
      <c r="AJ1094" s="4">
        <v>10</v>
      </c>
      <c r="AK1094" s="6" t="s">
        <v>5</v>
      </c>
      <c r="AL1094" s="6" t="s">
        <v>5</v>
      </c>
      <c r="AM1094" s="6" t="s">
        <v>5</v>
      </c>
      <c r="AN1094" s="6" t="s">
        <v>5</v>
      </c>
      <c r="AO1094" s="22">
        <v>0.74399999999999999</v>
      </c>
      <c r="AP1094" s="22">
        <v>0.90900000000000003</v>
      </c>
      <c r="AQ1094" s="22">
        <v>0.50700000000000001</v>
      </c>
      <c r="AR1094" s="22">
        <v>0.58899999999999997</v>
      </c>
      <c r="AS1094" s="6">
        <v>4.13</v>
      </c>
      <c r="AT1094" s="6">
        <v>2.4700000000000002</v>
      </c>
      <c r="AU1094" s="6">
        <v>1.44</v>
      </c>
      <c r="AV1094" s="7">
        <v>1.39</v>
      </c>
      <c r="AW1094" s="6" t="s">
        <v>5</v>
      </c>
      <c r="AX1094" s="6" t="s">
        <v>5</v>
      </c>
      <c r="AY1094" s="6" t="s">
        <v>5</v>
      </c>
      <c r="AZ1094" s="6" t="s">
        <v>5</v>
      </c>
      <c r="BA1094" s="6" t="s">
        <v>5</v>
      </c>
      <c r="BB1094" s="6" t="s">
        <v>5</v>
      </c>
      <c r="BC1094" s="6" t="s">
        <v>5</v>
      </c>
      <c r="BD1094" s="6" t="s">
        <v>5</v>
      </c>
      <c r="BE1094" s="6" t="s">
        <v>5</v>
      </c>
      <c r="BF1094" s="6" t="s">
        <v>5</v>
      </c>
      <c r="BG1094" s="6" t="s">
        <v>5</v>
      </c>
      <c r="BH1094" s="6" t="s">
        <v>5</v>
      </c>
      <c r="BI1094" s="7">
        <v>1.57</v>
      </c>
      <c r="BJ1094" s="22">
        <v>0.93300000000000005</v>
      </c>
      <c r="BK1094" s="6" t="s">
        <v>5</v>
      </c>
      <c r="BL1094" s="2" t="s">
        <v>5</v>
      </c>
      <c r="BM1094" s="2" t="s">
        <v>5</v>
      </c>
      <c r="BN1094" s="2" t="s">
        <v>5</v>
      </c>
      <c r="BO1094" s="2" t="s">
        <v>5</v>
      </c>
      <c r="BP1094" s="2" t="s">
        <v>5</v>
      </c>
      <c r="BQ1094" s="2" t="s">
        <v>5</v>
      </c>
      <c r="BR1094" s="2" t="s">
        <v>5</v>
      </c>
      <c r="BS1094" s="2" t="s">
        <v>5</v>
      </c>
      <c r="BT1094" s="2" t="s">
        <v>5</v>
      </c>
      <c r="BU1094" s="2" t="s">
        <v>5</v>
      </c>
      <c r="BV1094" s="2" t="s">
        <v>5</v>
      </c>
      <c r="BW1094" s="2" t="s">
        <v>5</v>
      </c>
      <c r="BX1094" s="2" t="s">
        <v>5</v>
      </c>
      <c r="BY1094" s="25" t="s">
        <v>5</v>
      </c>
      <c r="BZ1094" s="25" t="s">
        <v>5</v>
      </c>
      <c r="CA1094" s="6" t="s">
        <v>5</v>
      </c>
      <c r="CB1094" s="6" t="s">
        <v>5</v>
      </c>
      <c r="CC1094" s="6" t="s">
        <v>5</v>
      </c>
      <c r="CD1094" s="6" t="s">
        <v>5</v>
      </c>
      <c r="CE1094" s="6" t="s">
        <v>5</v>
      </c>
      <c r="CF1094" s="16" t="s">
        <v>5</v>
      </c>
      <c r="CG1094" s="16" t="s">
        <v>5</v>
      </c>
      <c r="CH1094" s="18" t="s">
        <v>5</v>
      </c>
    </row>
    <row r="1095" spans="2:86">
      <c r="B1095" s="78" t="s">
        <v>473</v>
      </c>
      <c r="C1095" s="79" t="s">
        <v>1195</v>
      </c>
      <c r="D1095" s="80" t="s">
        <v>1195</v>
      </c>
      <c r="E1095" s="1" t="s">
        <v>4</v>
      </c>
      <c r="F1095" s="7">
        <v>5.5</v>
      </c>
      <c r="G1095" s="7">
        <v>1.64</v>
      </c>
      <c r="H1095" s="3" t="str">
        <f t="shared" si="36"/>
        <v>2L2-1/2X2X3/16SLBB</v>
      </c>
      <c r="I1095" s="7">
        <v>2</v>
      </c>
      <c r="J1095" s="5" t="s">
        <v>5</v>
      </c>
      <c r="K1095" s="6" t="s">
        <v>5</v>
      </c>
      <c r="L1095" s="6" t="s">
        <v>5</v>
      </c>
      <c r="M1095" s="6" t="s">
        <v>5</v>
      </c>
      <c r="N1095" s="6" t="s">
        <v>5</v>
      </c>
      <c r="O1095" s="5" t="s">
        <v>5</v>
      </c>
      <c r="P1095" s="5" t="s">
        <v>5</v>
      </c>
      <c r="Q1095" s="7">
        <v>2.5</v>
      </c>
      <c r="R1095" s="6" t="s">
        <v>5</v>
      </c>
      <c r="S1095" s="6" t="s">
        <v>5</v>
      </c>
      <c r="T1095" s="5" t="s">
        <v>5</v>
      </c>
      <c r="U1095" s="8" t="s">
        <v>5</v>
      </c>
      <c r="V1095" s="6" t="s">
        <v>5</v>
      </c>
      <c r="W1095" s="8" t="s">
        <v>5</v>
      </c>
      <c r="X1095" s="22">
        <v>0.188</v>
      </c>
      <c r="Y1095" s="6" t="s">
        <v>5</v>
      </c>
      <c r="Z1095" s="6" t="s">
        <v>5</v>
      </c>
      <c r="AA1095" s="6" t="s">
        <v>5</v>
      </c>
      <c r="AB1095" s="8" t="s">
        <v>5</v>
      </c>
      <c r="AC1095" s="8" t="s">
        <v>5</v>
      </c>
      <c r="AD1095" s="6" t="s">
        <v>5</v>
      </c>
      <c r="AE1095" s="22">
        <v>0.50800000000000001</v>
      </c>
      <c r="AF1095" s="6" t="s">
        <v>5</v>
      </c>
      <c r="AG1095" s="6" t="s">
        <v>5</v>
      </c>
      <c r="AH1095" s="22">
        <v>0.16400000000000001</v>
      </c>
      <c r="AI1095" s="6" t="s">
        <v>5</v>
      </c>
      <c r="AJ1095" s="4">
        <v>13.3</v>
      </c>
      <c r="AK1095" s="6" t="s">
        <v>5</v>
      </c>
      <c r="AL1095" s="6" t="s">
        <v>5</v>
      </c>
      <c r="AM1095" s="6" t="s">
        <v>5</v>
      </c>
      <c r="AN1095" s="6" t="s">
        <v>5</v>
      </c>
      <c r="AO1095" s="22">
        <v>0.58299999999999996</v>
      </c>
      <c r="AP1095" s="22">
        <v>0.69499999999999995</v>
      </c>
      <c r="AQ1095" s="22">
        <v>0.39100000000000001</v>
      </c>
      <c r="AR1095" s="22">
        <v>0.59699999999999998</v>
      </c>
      <c r="AS1095" s="6">
        <v>1.95</v>
      </c>
      <c r="AT1095" s="6">
        <v>1.23</v>
      </c>
      <c r="AU1095" s="22">
        <v>0.78</v>
      </c>
      <c r="AV1095" s="7">
        <v>1.0900000000000001</v>
      </c>
      <c r="AW1095" s="6" t="s">
        <v>5</v>
      </c>
      <c r="AX1095" s="6" t="s">
        <v>5</v>
      </c>
      <c r="AY1095" s="6" t="s">
        <v>5</v>
      </c>
      <c r="AZ1095" s="6" t="s">
        <v>5</v>
      </c>
      <c r="BA1095" s="6" t="s">
        <v>5</v>
      </c>
      <c r="BB1095" s="6" t="s">
        <v>5</v>
      </c>
      <c r="BC1095" s="6" t="s">
        <v>5</v>
      </c>
      <c r="BD1095" s="6" t="s">
        <v>5</v>
      </c>
      <c r="BE1095" s="6" t="s">
        <v>5</v>
      </c>
      <c r="BF1095" s="6" t="s">
        <v>5</v>
      </c>
      <c r="BG1095" s="6" t="s">
        <v>5</v>
      </c>
      <c r="BH1095" s="6" t="s">
        <v>5</v>
      </c>
      <c r="BI1095" s="7">
        <v>1.31</v>
      </c>
      <c r="BJ1095" s="22">
        <v>0.90100000000000002</v>
      </c>
      <c r="BK1095" s="6" t="s">
        <v>5</v>
      </c>
      <c r="BL1095" s="2" t="s">
        <v>5</v>
      </c>
      <c r="BM1095" s="2" t="s">
        <v>5</v>
      </c>
      <c r="BN1095" s="2" t="s">
        <v>5</v>
      </c>
      <c r="BO1095" s="2" t="s">
        <v>5</v>
      </c>
      <c r="BP1095" s="2" t="s">
        <v>5</v>
      </c>
      <c r="BQ1095" s="2" t="s">
        <v>5</v>
      </c>
      <c r="BR1095" s="2" t="s">
        <v>5</v>
      </c>
      <c r="BS1095" s="2" t="s">
        <v>5</v>
      </c>
      <c r="BT1095" s="2" t="s">
        <v>5</v>
      </c>
      <c r="BU1095" s="2" t="s">
        <v>5</v>
      </c>
      <c r="BV1095" s="2" t="s">
        <v>5</v>
      </c>
      <c r="BW1095" s="2" t="s">
        <v>5</v>
      </c>
      <c r="BX1095" s="2" t="s">
        <v>5</v>
      </c>
      <c r="BY1095" s="25" t="s">
        <v>5</v>
      </c>
      <c r="BZ1095" s="25" t="s">
        <v>5</v>
      </c>
      <c r="CA1095" s="6" t="s">
        <v>5</v>
      </c>
      <c r="CB1095" s="6" t="s">
        <v>5</v>
      </c>
      <c r="CC1095" s="6" t="s">
        <v>5</v>
      </c>
      <c r="CD1095" s="6" t="s">
        <v>5</v>
      </c>
      <c r="CE1095" s="6" t="s">
        <v>5</v>
      </c>
      <c r="CF1095" s="16" t="s">
        <v>5</v>
      </c>
      <c r="CG1095" s="16" t="s">
        <v>5</v>
      </c>
      <c r="CH1095" s="18" t="s">
        <v>5</v>
      </c>
    </row>
    <row r="1096" spans="2:86">
      <c r="B1096" s="78" t="s">
        <v>473</v>
      </c>
      <c r="C1096" s="79" t="s">
        <v>1196</v>
      </c>
      <c r="D1096" s="80" t="s">
        <v>1196</v>
      </c>
      <c r="E1096" s="1" t="s">
        <v>4</v>
      </c>
      <c r="F1096" s="7">
        <v>5.5</v>
      </c>
      <c r="G1096" s="7">
        <v>1.64</v>
      </c>
      <c r="H1096" s="3" t="str">
        <f t="shared" si="36"/>
        <v>2L2-1/2X2X3/16X3/8SLBB</v>
      </c>
      <c r="I1096" s="7">
        <v>2</v>
      </c>
      <c r="J1096" s="5" t="s">
        <v>5</v>
      </c>
      <c r="K1096" s="6" t="s">
        <v>5</v>
      </c>
      <c r="L1096" s="6" t="s">
        <v>5</v>
      </c>
      <c r="M1096" s="6" t="s">
        <v>5</v>
      </c>
      <c r="N1096" s="6" t="s">
        <v>5</v>
      </c>
      <c r="O1096" s="5" t="s">
        <v>5</v>
      </c>
      <c r="P1096" s="5" t="s">
        <v>5</v>
      </c>
      <c r="Q1096" s="7">
        <v>2.5</v>
      </c>
      <c r="R1096" s="6" t="s">
        <v>5</v>
      </c>
      <c r="S1096" s="6" t="s">
        <v>5</v>
      </c>
      <c r="T1096" s="5" t="s">
        <v>5</v>
      </c>
      <c r="U1096" s="8" t="s">
        <v>5</v>
      </c>
      <c r="V1096" s="6" t="s">
        <v>5</v>
      </c>
      <c r="W1096" s="8" t="s">
        <v>5</v>
      </c>
      <c r="X1096" s="22">
        <v>0.188</v>
      </c>
      <c r="Y1096" s="6" t="s">
        <v>5</v>
      </c>
      <c r="Z1096" s="6" t="s">
        <v>5</v>
      </c>
      <c r="AA1096" s="6" t="s">
        <v>5</v>
      </c>
      <c r="AB1096" s="8" t="s">
        <v>5</v>
      </c>
      <c r="AC1096" s="8" t="s">
        <v>5</v>
      </c>
      <c r="AD1096" s="6" t="s">
        <v>5</v>
      </c>
      <c r="AE1096" s="22">
        <v>0.50800000000000001</v>
      </c>
      <c r="AF1096" s="6" t="s">
        <v>5</v>
      </c>
      <c r="AG1096" s="6" t="s">
        <v>5</v>
      </c>
      <c r="AH1096" s="22">
        <v>0.16400000000000001</v>
      </c>
      <c r="AI1096" s="6" t="s">
        <v>5</v>
      </c>
      <c r="AJ1096" s="4">
        <v>13.3</v>
      </c>
      <c r="AK1096" s="6" t="s">
        <v>5</v>
      </c>
      <c r="AL1096" s="6" t="s">
        <v>5</v>
      </c>
      <c r="AM1096" s="6" t="s">
        <v>5</v>
      </c>
      <c r="AN1096" s="6" t="s">
        <v>5</v>
      </c>
      <c r="AO1096" s="22">
        <v>0.58299999999999996</v>
      </c>
      <c r="AP1096" s="22">
        <v>0.69499999999999995</v>
      </c>
      <c r="AQ1096" s="22">
        <v>0.39100000000000001</v>
      </c>
      <c r="AR1096" s="22">
        <v>0.59699999999999998</v>
      </c>
      <c r="AS1096" s="6">
        <v>2.48</v>
      </c>
      <c r="AT1096" s="6">
        <v>1.54</v>
      </c>
      <c r="AU1096" s="6">
        <v>0.92300000000000004</v>
      </c>
      <c r="AV1096" s="7">
        <v>1.23</v>
      </c>
      <c r="AW1096" s="6" t="s">
        <v>5</v>
      </c>
      <c r="AX1096" s="6" t="s">
        <v>5</v>
      </c>
      <c r="AY1096" s="6" t="s">
        <v>5</v>
      </c>
      <c r="AZ1096" s="6" t="s">
        <v>5</v>
      </c>
      <c r="BA1096" s="6" t="s">
        <v>5</v>
      </c>
      <c r="BB1096" s="6" t="s">
        <v>5</v>
      </c>
      <c r="BC1096" s="6" t="s">
        <v>5</v>
      </c>
      <c r="BD1096" s="6" t="s">
        <v>5</v>
      </c>
      <c r="BE1096" s="6" t="s">
        <v>5</v>
      </c>
      <c r="BF1096" s="6" t="s">
        <v>5</v>
      </c>
      <c r="BG1096" s="6" t="s">
        <v>5</v>
      </c>
      <c r="BH1096" s="6" t="s">
        <v>5</v>
      </c>
      <c r="BI1096" s="7">
        <v>1.43</v>
      </c>
      <c r="BJ1096" s="22">
        <v>0.91600000000000004</v>
      </c>
      <c r="BK1096" s="6" t="s">
        <v>5</v>
      </c>
      <c r="BL1096" s="2" t="s">
        <v>5</v>
      </c>
      <c r="BM1096" s="2" t="s">
        <v>5</v>
      </c>
      <c r="BN1096" s="2" t="s">
        <v>5</v>
      </c>
      <c r="BO1096" s="2" t="s">
        <v>5</v>
      </c>
      <c r="BP1096" s="2" t="s">
        <v>5</v>
      </c>
      <c r="BQ1096" s="2" t="s">
        <v>5</v>
      </c>
      <c r="BR1096" s="2" t="s">
        <v>5</v>
      </c>
      <c r="BS1096" s="2" t="s">
        <v>5</v>
      </c>
      <c r="BT1096" s="2" t="s">
        <v>5</v>
      </c>
      <c r="BU1096" s="2" t="s">
        <v>5</v>
      </c>
      <c r="BV1096" s="2" t="s">
        <v>5</v>
      </c>
      <c r="BW1096" s="2" t="s">
        <v>5</v>
      </c>
      <c r="BX1096" s="2" t="s">
        <v>5</v>
      </c>
      <c r="BY1096" s="25" t="s">
        <v>5</v>
      </c>
      <c r="BZ1096" s="25" t="s">
        <v>5</v>
      </c>
      <c r="CA1096" s="6" t="s">
        <v>5</v>
      </c>
      <c r="CB1096" s="6" t="s">
        <v>5</v>
      </c>
      <c r="CC1096" s="6" t="s">
        <v>5</v>
      </c>
      <c r="CD1096" s="6" t="s">
        <v>5</v>
      </c>
      <c r="CE1096" s="6" t="s">
        <v>5</v>
      </c>
      <c r="CF1096" s="16" t="s">
        <v>5</v>
      </c>
      <c r="CG1096" s="16" t="s">
        <v>5</v>
      </c>
      <c r="CH1096" s="18" t="s">
        <v>5</v>
      </c>
    </row>
    <row r="1097" spans="2:86">
      <c r="B1097" s="78" t="s">
        <v>473</v>
      </c>
      <c r="C1097" s="79" t="s">
        <v>1197</v>
      </c>
      <c r="D1097" s="80" t="s">
        <v>1197</v>
      </c>
      <c r="E1097" s="1" t="s">
        <v>4</v>
      </c>
      <c r="F1097" s="7">
        <v>5.5</v>
      </c>
      <c r="G1097" s="7">
        <v>1.64</v>
      </c>
      <c r="H1097" s="3" t="str">
        <f t="shared" si="36"/>
        <v>2L2-1/2X2X3/16X3/4SLBB</v>
      </c>
      <c r="I1097" s="7">
        <v>2</v>
      </c>
      <c r="J1097" s="5" t="s">
        <v>5</v>
      </c>
      <c r="K1097" s="6" t="s">
        <v>5</v>
      </c>
      <c r="L1097" s="6" t="s">
        <v>5</v>
      </c>
      <c r="M1097" s="6" t="s">
        <v>5</v>
      </c>
      <c r="N1097" s="6" t="s">
        <v>5</v>
      </c>
      <c r="O1097" s="5" t="s">
        <v>5</v>
      </c>
      <c r="P1097" s="5" t="s">
        <v>5</v>
      </c>
      <c r="Q1097" s="7">
        <v>2.5</v>
      </c>
      <c r="R1097" s="6" t="s">
        <v>5</v>
      </c>
      <c r="S1097" s="6" t="s">
        <v>5</v>
      </c>
      <c r="T1097" s="5" t="s">
        <v>5</v>
      </c>
      <c r="U1097" s="8" t="s">
        <v>5</v>
      </c>
      <c r="V1097" s="6" t="s">
        <v>5</v>
      </c>
      <c r="W1097" s="8" t="s">
        <v>5</v>
      </c>
      <c r="X1097" s="22">
        <v>0.188</v>
      </c>
      <c r="Y1097" s="6" t="s">
        <v>5</v>
      </c>
      <c r="Z1097" s="6" t="s">
        <v>5</v>
      </c>
      <c r="AA1097" s="6" t="s">
        <v>5</v>
      </c>
      <c r="AB1097" s="8" t="s">
        <v>5</v>
      </c>
      <c r="AC1097" s="8" t="s">
        <v>5</v>
      </c>
      <c r="AD1097" s="6" t="s">
        <v>5</v>
      </c>
      <c r="AE1097" s="22">
        <v>0.50800000000000001</v>
      </c>
      <c r="AF1097" s="6" t="s">
        <v>5</v>
      </c>
      <c r="AG1097" s="6" t="s">
        <v>5</v>
      </c>
      <c r="AH1097" s="22">
        <v>0.16400000000000001</v>
      </c>
      <c r="AI1097" s="6" t="s">
        <v>5</v>
      </c>
      <c r="AJ1097" s="4">
        <v>13.3</v>
      </c>
      <c r="AK1097" s="6" t="s">
        <v>5</v>
      </c>
      <c r="AL1097" s="6" t="s">
        <v>5</v>
      </c>
      <c r="AM1097" s="6" t="s">
        <v>5</v>
      </c>
      <c r="AN1097" s="6" t="s">
        <v>5</v>
      </c>
      <c r="AO1097" s="22">
        <v>0.58299999999999996</v>
      </c>
      <c r="AP1097" s="22">
        <v>0.69499999999999995</v>
      </c>
      <c r="AQ1097" s="22">
        <v>0.39100000000000001</v>
      </c>
      <c r="AR1097" s="22">
        <v>0.59699999999999998</v>
      </c>
      <c r="AS1097" s="6">
        <v>3.12</v>
      </c>
      <c r="AT1097" s="6">
        <v>1.85</v>
      </c>
      <c r="AU1097" s="6">
        <v>1.0900000000000001</v>
      </c>
      <c r="AV1097" s="7">
        <v>1.38</v>
      </c>
      <c r="AW1097" s="6" t="s">
        <v>5</v>
      </c>
      <c r="AX1097" s="6" t="s">
        <v>5</v>
      </c>
      <c r="AY1097" s="6" t="s">
        <v>5</v>
      </c>
      <c r="AZ1097" s="6" t="s">
        <v>5</v>
      </c>
      <c r="BA1097" s="6" t="s">
        <v>5</v>
      </c>
      <c r="BB1097" s="6" t="s">
        <v>5</v>
      </c>
      <c r="BC1097" s="6" t="s">
        <v>5</v>
      </c>
      <c r="BD1097" s="6" t="s">
        <v>5</v>
      </c>
      <c r="BE1097" s="6" t="s">
        <v>5</v>
      </c>
      <c r="BF1097" s="6" t="s">
        <v>5</v>
      </c>
      <c r="BG1097" s="6" t="s">
        <v>5</v>
      </c>
      <c r="BH1097" s="6" t="s">
        <v>5</v>
      </c>
      <c r="BI1097" s="7">
        <v>1.56</v>
      </c>
      <c r="BJ1097" s="22">
        <v>0.92900000000000005</v>
      </c>
      <c r="BK1097" s="6" t="s">
        <v>5</v>
      </c>
      <c r="BL1097" s="2" t="s">
        <v>5</v>
      </c>
      <c r="BM1097" s="2" t="s">
        <v>5</v>
      </c>
      <c r="BN1097" s="2" t="s">
        <v>5</v>
      </c>
      <c r="BO1097" s="2" t="s">
        <v>5</v>
      </c>
      <c r="BP1097" s="2" t="s">
        <v>5</v>
      </c>
      <c r="BQ1097" s="2" t="s">
        <v>5</v>
      </c>
      <c r="BR1097" s="2" t="s">
        <v>5</v>
      </c>
      <c r="BS1097" s="2" t="s">
        <v>5</v>
      </c>
      <c r="BT1097" s="2" t="s">
        <v>5</v>
      </c>
      <c r="BU1097" s="2" t="s">
        <v>5</v>
      </c>
      <c r="BV1097" s="2" t="s">
        <v>5</v>
      </c>
      <c r="BW1097" s="2" t="s">
        <v>5</v>
      </c>
      <c r="BX1097" s="2" t="s">
        <v>5</v>
      </c>
      <c r="BY1097" s="25" t="s">
        <v>5</v>
      </c>
      <c r="BZ1097" s="25" t="s">
        <v>5</v>
      </c>
      <c r="CA1097" s="6" t="s">
        <v>5</v>
      </c>
      <c r="CB1097" s="6" t="s">
        <v>5</v>
      </c>
      <c r="CC1097" s="6" t="s">
        <v>5</v>
      </c>
      <c r="CD1097" s="6" t="s">
        <v>5</v>
      </c>
      <c r="CE1097" s="6" t="s">
        <v>5</v>
      </c>
      <c r="CF1097" s="16" t="s">
        <v>5</v>
      </c>
      <c r="CG1097" s="16" t="s">
        <v>5</v>
      </c>
      <c r="CH1097" s="18" t="s">
        <v>5</v>
      </c>
    </row>
    <row r="1098" spans="2:86">
      <c r="B1098" s="78" t="s">
        <v>473</v>
      </c>
      <c r="C1098" s="79" t="s">
        <v>1198</v>
      </c>
      <c r="D1098" s="80" t="s">
        <v>1198</v>
      </c>
      <c r="E1098" s="1" t="s">
        <v>4</v>
      </c>
      <c r="F1098" s="7">
        <v>6.38</v>
      </c>
      <c r="G1098" s="7">
        <v>1.89</v>
      </c>
      <c r="H1098" s="3" t="str">
        <f t="shared" si="36"/>
        <v>2L2-1/2X1-1/2X1/4SLBB</v>
      </c>
      <c r="I1098" s="7">
        <v>1.5</v>
      </c>
      <c r="J1098" s="5" t="s">
        <v>5</v>
      </c>
      <c r="K1098" s="6" t="s">
        <v>5</v>
      </c>
      <c r="L1098" s="6" t="s">
        <v>5</v>
      </c>
      <c r="M1098" s="6" t="s">
        <v>5</v>
      </c>
      <c r="N1098" s="6" t="s">
        <v>5</v>
      </c>
      <c r="O1098" s="5" t="s">
        <v>5</v>
      </c>
      <c r="P1098" s="5" t="s">
        <v>5</v>
      </c>
      <c r="Q1098" s="7">
        <v>2.5</v>
      </c>
      <c r="R1098" s="6" t="s">
        <v>5</v>
      </c>
      <c r="S1098" s="6" t="s">
        <v>5</v>
      </c>
      <c r="T1098" s="5" t="s">
        <v>5</v>
      </c>
      <c r="U1098" s="8" t="s">
        <v>5</v>
      </c>
      <c r="V1098" s="6" t="s">
        <v>5</v>
      </c>
      <c r="W1098" s="8" t="s">
        <v>5</v>
      </c>
      <c r="X1098" s="22">
        <v>0.25</v>
      </c>
      <c r="Y1098" s="6" t="s">
        <v>5</v>
      </c>
      <c r="Z1098" s="6" t="s">
        <v>5</v>
      </c>
      <c r="AA1098" s="6" t="s">
        <v>5</v>
      </c>
      <c r="AB1098" s="8" t="s">
        <v>5</v>
      </c>
      <c r="AC1098" s="8" t="s">
        <v>5</v>
      </c>
      <c r="AD1098" s="6" t="s">
        <v>5</v>
      </c>
      <c r="AE1098" s="22">
        <v>0.372</v>
      </c>
      <c r="AF1098" s="6" t="s">
        <v>5</v>
      </c>
      <c r="AG1098" s="6" t="s">
        <v>5</v>
      </c>
      <c r="AH1098" s="22">
        <v>0.189</v>
      </c>
      <c r="AI1098" s="6" t="s">
        <v>5</v>
      </c>
      <c r="AJ1098" s="4">
        <v>10</v>
      </c>
      <c r="AK1098" s="6" t="s">
        <v>5</v>
      </c>
      <c r="AL1098" s="6" t="s">
        <v>5</v>
      </c>
      <c r="AM1098" s="6" t="s">
        <v>5</v>
      </c>
      <c r="AN1098" s="6" t="s">
        <v>5</v>
      </c>
      <c r="AO1098" s="22">
        <v>0.316</v>
      </c>
      <c r="AP1098" s="7">
        <v>1.1200000000000001</v>
      </c>
      <c r="AQ1098" s="22">
        <v>0.28000000000000003</v>
      </c>
      <c r="AR1098" s="22">
        <v>0.40899999999999997</v>
      </c>
      <c r="AS1098" s="6">
        <v>2.59</v>
      </c>
      <c r="AT1098" s="6">
        <v>1.64</v>
      </c>
      <c r="AU1098" s="6">
        <v>1.04</v>
      </c>
      <c r="AV1098" s="7">
        <v>1.17</v>
      </c>
      <c r="AW1098" s="6" t="s">
        <v>5</v>
      </c>
      <c r="AX1098" s="6" t="s">
        <v>5</v>
      </c>
      <c r="AY1098" s="6" t="s">
        <v>5</v>
      </c>
      <c r="AZ1098" s="6" t="s">
        <v>5</v>
      </c>
      <c r="BA1098" s="6" t="s">
        <v>5</v>
      </c>
      <c r="BB1098" s="6" t="s">
        <v>5</v>
      </c>
      <c r="BC1098" s="6" t="s">
        <v>5</v>
      </c>
      <c r="BD1098" s="6" t="s">
        <v>5</v>
      </c>
      <c r="BE1098" s="6" t="s">
        <v>5</v>
      </c>
      <c r="BF1098" s="6" t="s">
        <v>5</v>
      </c>
      <c r="BG1098" s="6" t="s">
        <v>5</v>
      </c>
      <c r="BH1098" s="6" t="s">
        <v>5</v>
      </c>
      <c r="BI1098" s="7">
        <v>1.264</v>
      </c>
      <c r="BJ1098" s="22">
        <v>0.96199999999999997</v>
      </c>
      <c r="BK1098" s="6" t="s">
        <v>5</v>
      </c>
      <c r="BL1098" s="2" t="s">
        <v>5</v>
      </c>
      <c r="BM1098" s="2" t="s">
        <v>5</v>
      </c>
      <c r="BN1098" s="2" t="s">
        <v>5</v>
      </c>
      <c r="BO1098" s="2" t="s">
        <v>5</v>
      </c>
      <c r="BP1098" s="2" t="s">
        <v>5</v>
      </c>
      <c r="BQ1098" s="2" t="s">
        <v>5</v>
      </c>
      <c r="BR1098" s="2" t="s">
        <v>5</v>
      </c>
      <c r="BS1098" s="2" t="s">
        <v>5</v>
      </c>
      <c r="BT1098" s="2" t="s">
        <v>5</v>
      </c>
      <c r="BU1098" s="2" t="s">
        <v>5</v>
      </c>
      <c r="BV1098" s="2" t="s">
        <v>5</v>
      </c>
      <c r="BW1098" s="2" t="s">
        <v>5</v>
      </c>
      <c r="BX1098" s="2" t="s">
        <v>5</v>
      </c>
      <c r="BY1098" s="25" t="s">
        <v>5</v>
      </c>
      <c r="BZ1098" s="25" t="s">
        <v>5</v>
      </c>
      <c r="CA1098" s="6" t="s">
        <v>5</v>
      </c>
      <c r="CB1098" s="6" t="s">
        <v>5</v>
      </c>
      <c r="CC1098" s="6" t="s">
        <v>5</v>
      </c>
      <c r="CD1098" s="6" t="s">
        <v>5</v>
      </c>
      <c r="CE1098" s="6" t="s">
        <v>5</v>
      </c>
      <c r="CF1098" s="16" t="s">
        <v>5</v>
      </c>
      <c r="CG1098" s="16" t="s">
        <v>5</v>
      </c>
      <c r="CH1098" s="18" t="s">
        <v>5</v>
      </c>
    </row>
    <row r="1099" spans="2:86">
      <c r="B1099" s="78" t="s">
        <v>473</v>
      </c>
      <c r="C1099" s="79" t="s">
        <v>1199</v>
      </c>
      <c r="D1099" s="80" t="s">
        <v>1199</v>
      </c>
      <c r="E1099" s="1" t="s">
        <v>4</v>
      </c>
      <c r="F1099" s="7">
        <v>6.38</v>
      </c>
      <c r="G1099" s="7">
        <v>1.89</v>
      </c>
      <c r="H1099" s="3" t="str">
        <f t="shared" si="36"/>
        <v>2L2-1/2X1-1/2X1/4X3/8SLBB</v>
      </c>
      <c r="I1099" s="7">
        <v>1.5</v>
      </c>
      <c r="J1099" s="5" t="s">
        <v>5</v>
      </c>
      <c r="K1099" s="6" t="s">
        <v>5</v>
      </c>
      <c r="L1099" s="6" t="s">
        <v>5</v>
      </c>
      <c r="M1099" s="6" t="s">
        <v>5</v>
      </c>
      <c r="N1099" s="6" t="s">
        <v>5</v>
      </c>
      <c r="O1099" s="5" t="s">
        <v>5</v>
      </c>
      <c r="P1099" s="5" t="s">
        <v>5</v>
      </c>
      <c r="Q1099" s="7">
        <v>2.5</v>
      </c>
      <c r="R1099" s="6" t="s">
        <v>5</v>
      </c>
      <c r="S1099" s="6" t="s">
        <v>5</v>
      </c>
      <c r="T1099" s="5" t="s">
        <v>5</v>
      </c>
      <c r="U1099" s="8" t="s">
        <v>5</v>
      </c>
      <c r="V1099" s="6" t="s">
        <v>5</v>
      </c>
      <c r="W1099" s="8" t="s">
        <v>5</v>
      </c>
      <c r="X1099" s="22">
        <v>0.25</v>
      </c>
      <c r="Y1099" s="6" t="s">
        <v>5</v>
      </c>
      <c r="Z1099" s="6" t="s">
        <v>5</v>
      </c>
      <c r="AA1099" s="6" t="s">
        <v>5</v>
      </c>
      <c r="AB1099" s="8" t="s">
        <v>5</v>
      </c>
      <c r="AC1099" s="8" t="s">
        <v>5</v>
      </c>
      <c r="AD1099" s="6" t="s">
        <v>5</v>
      </c>
      <c r="AE1099" s="22">
        <v>0.372</v>
      </c>
      <c r="AF1099" s="6" t="s">
        <v>5</v>
      </c>
      <c r="AG1099" s="6" t="s">
        <v>5</v>
      </c>
      <c r="AH1099" s="22">
        <v>0.189</v>
      </c>
      <c r="AI1099" s="6" t="s">
        <v>5</v>
      </c>
      <c r="AJ1099" s="4">
        <v>10</v>
      </c>
      <c r="AK1099" s="6" t="s">
        <v>5</v>
      </c>
      <c r="AL1099" s="6" t="s">
        <v>5</v>
      </c>
      <c r="AM1099" s="6" t="s">
        <v>5</v>
      </c>
      <c r="AN1099" s="6" t="s">
        <v>5</v>
      </c>
      <c r="AO1099" s="22">
        <v>0.316</v>
      </c>
      <c r="AP1099" s="7">
        <v>1.1200000000000001</v>
      </c>
      <c r="AQ1099" s="22">
        <v>0.28000000000000003</v>
      </c>
      <c r="AR1099" s="22">
        <v>0.40899999999999997</v>
      </c>
      <c r="AS1099" s="6">
        <v>3.29</v>
      </c>
      <c r="AT1099" s="7">
        <v>2</v>
      </c>
      <c r="AU1099" s="6">
        <v>1.22</v>
      </c>
      <c r="AV1099" s="7">
        <v>1.32</v>
      </c>
      <c r="AW1099" s="6" t="s">
        <v>5</v>
      </c>
      <c r="AX1099" s="6" t="s">
        <v>5</v>
      </c>
      <c r="AY1099" s="6" t="s">
        <v>5</v>
      </c>
      <c r="AZ1099" s="6" t="s">
        <v>5</v>
      </c>
      <c r="BA1099" s="6" t="s">
        <v>5</v>
      </c>
      <c r="BB1099" s="6" t="s">
        <v>5</v>
      </c>
      <c r="BC1099" s="6" t="s">
        <v>5</v>
      </c>
      <c r="BD1099" s="6" t="s">
        <v>5</v>
      </c>
      <c r="BE1099" s="6" t="s">
        <v>5</v>
      </c>
      <c r="BF1099" s="6" t="s">
        <v>5</v>
      </c>
      <c r="BG1099" s="6" t="s">
        <v>5</v>
      </c>
      <c r="BH1099" s="6" t="s">
        <v>5</v>
      </c>
      <c r="BI1099" s="7">
        <v>1.399</v>
      </c>
      <c r="BJ1099" s="22">
        <v>0.96899999999999997</v>
      </c>
      <c r="BK1099" s="6" t="s">
        <v>5</v>
      </c>
      <c r="BL1099" s="2" t="s">
        <v>5</v>
      </c>
      <c r="BM1099" s="2" t="s">
        <v>5</v>
      </c>
      <c r="BN1099" s="2" t="s">
        <v>5</v>
      </c>
      <c r="BO1099" s="2" t="s">
        <v>5</v>
      </c>
      <c r="BP1099" s="2" t="s">
        <v>5</v>
      </c>
      <c r="BQ1099" s="2" t="s">
        <v>5</v>
      </c>
      <c r="BR1099" s="2" t="s">
        <v>5</v>
      </c>
      <c r="BS1099" s="2" t="s">
        <v>5</v>
      </c>
      <c r="BT1099" s="2" t="s">
        <v>5</v>
      </c>
      <c r="BU1099" s="2" t="s">
        <v>5</v>
      </c>
      <c r="BV1099" s="2" t="s">
        <v>5</v>
      </c>
      <c r="BW1099" s="2" t="s">
        <v>5</v>
      </c>
      <c r="BX1099" s="2" t="s">
        <v>5</v>
      </c>
      <c r="BY1099" s="25" t="s">
        <v>5</v>
      </c>
      <c r="BZ1099" s="25" t="s">
        <v>5</v>
      </c>
      <c r="CA1099" s="6" t="s">
        <v>5</v>
      </c>
      <c r="CB1099" s="6" t="s">
        <v>5</v>
      </c>
      <c r="CC1099" s="6" t="s">
        <v>5</v>
      </c>
      <c r="CD1099" s="6" t="s">
        <v>5</v>
      </c>
      <c r="CE1099" s="6" t="s">
        <v>5</v>
      </c>
      <c r="CF1099" s="16" t="s">
        <v>5</v>
      </c>
      <c r="CG1099" s="16" t="s">
        <v>5</v>
      </c>
      <c r="CH1099" s="18" t="s">
        <v>5</v>
      </c>
    </row>
    <row r="1100" spans="2:86">
      <c r="B1100" s="78" t="s">
        <v>473</v>
      </c>
      <c r="C1100" s="79" t="s">
        <v>1200</v>
      </c>
      <c r="D1100" s="80" t="s">
        <v>1200</v>
      </c>
      <c r="E1100" s="1" t="s">
        <v>4</v>
      </c>
      <c r="F1100" s="7">
        <v>6.38</v>
      </c>
      <c r="G1100" s="7">
        <v>1.89</v>
      </c>
      <c r="H1100" s="3" t="str">
        <f t="shared" si="36"/>
        <v>2L2-1/2X1-1/2X1/4X3/4SLBB</v>
      </c>
      <c r="I1100" s="7">
        <v>1.5</v>
      </c>
      <c r="J1100" s="5" t="s">
        <v>5</v>
      </c>
      <c r="K1100" s="6" t="s">
        <v>5</v>
      </c>
      <c r="L1100" s="6" t="s">
        <v>5</v>
      </c>
      <c r="M1100" s="6" t="s">
        <v>5</v>
      </c>
      <c r="N1100" s="6" t="s">
        <v>5</v>
      </c>
      <c r="O1100" s="5" t="s">
        <v>5</v>
      </c>
      <c r="P1100" s="5" t="s">
        <v>5</v>
      </c>
      <c r="Q1100" s="7">
        <v>2.5</v>
      </c>
      <c r="R1100" s="6" t="s">
        <v>5</v>
      </c>
      <c r="S1100" s="6" t="s">
        <v>5</v>
      </c>
      <c r="T1100" s="5" t="s">
        <v>5</v>
      </c>
      <c r="U1100" s="8" t="s">
        <v>5</v>
      </c>
      <c r="V1100" s="6" t="s">
        <v>5</v>
      </c>
      <c r="W1100" s="8" t="s">
        <v>5</v>
      </c>
      <c r="X1100" s="22">
        <v>0.25</v>
      </c>
      <c r="Y1100" s="6" t="s">
        <v>5</v>
      </c>
      <c r="Z1100" s="6" t="s">
        <v>5</v>
      </c>
      <c r="AA1100" s="6" t="s">
        <v>5</v>
      </c>
      <c r="AB1100" s="8" t="s">
        <v>5</v>
      </c>
      <c r="AC1100" s="8" t="s">
        <v>5</v>
      </c>
      <c r="AD1100" s="6" t="s">
        <v>5</v>
      </c>
      <c r="AE1100" s="22">
        <v>0.372</v>
      </c>
      <c r="AF1100" s="6" t="s">
        <v>5</v>
      </c>
      <c r="AG1100" s="6" t="s">
        <v>5</v>
      </c>
      <c r="AH1100" s="22">
        <v>0.189</v>
      </c>
      <c r="AI1100" s="6" t="s">
        <v>5</v>
      </c>
      <c r="AJ1100" s="4">
        <v>10</v>
      </c>
      <c r="AK1100" s="6" t="s">
        <v>5</v>
      </c>
      <c r="AL1100" s="6" t="s">
        <v>5</v>
      </c>
      <c r="AM1100" s="6" t="s">
        <v>5</v>
      </c>
      <c r="AN1100" s="6" t="s">
        <v>5</v>
      </c>
      <c r="AO1100" s="22">
        <v>0.316</v>
      </c>
      <c r="AP1100" s="7">
        <v>1.1200000000000001</v>
      </c>
      <c r="AQ1100" s="22">
        <v>0.28000000000000003</v>
      </c>
      <c r="AR1100" s="22">
        <v>0.40899999999999997</v>
      </c>
      <c r="AS1100" s="6">
        <v>4.08</v>
      </c>
      <c r="AT1100" s="6">
        <v>2.35</v>
      </c>
      <c r="AU1100" s="6">
        <v>1.42</v>
      </c>
      <c r="AV1100" s="7">
        <v>1.47</v>
      </c>
      <c r="AW1100" s="6" t="s">
        <v>5</v>
      </c>
      <c r="AX1100" s="6" t="s">
        <v>5</v>
      </c>
      <c r="AY1100" s="6" t="s">
        <v>5</v>
      </c>
      <c r="AZ1100" s="6" t="s">
        <v>5</v>
      </c>
      <c r="BA1100" s="6" t="s">
        <v>5</v>
      </c>
      <c r="BB1100" s="6" t="s">
        <v>5</v>
      </c>
      <c r="BC1100" s="6" t="s">
        <v>5</v>
      </c>
      <c r="BD1100" s="6" t="s">
        <v>5</v>
      </c>
      <c r="BE1100" s="6" t="s">
        <v>5</v>
      </c>
      <c r="BF1100" s="6" t="s">
        <v>5</v>
      </c>
      <c r="BG1100" s="6" t="s">
        <v>5</v>
      </c>
      <c r="BH1100" s="6" t="s">
        <v>5</v>
      </c>
      <c r="BI1100" s="7">
        <v>1.5449999999999999</v>
      </c>
      <c r="BJ1100" s="22">
        <v>0.97499999999999998</v>
      </c>
      <c r="BK1100" s="6" t="s">
        <v>5</v>
      </c>
      <c r="BL1100" s="2" t="s">
        <v>5</v>
      </c>
      <c r="BM1100" s="2" t="s">
        <v>5</v>
      </c>
      <c r="BN1100" s="2" t="s">
        <v>5</v>
      </c>
      <c r="BO1100" s="2" t="s">
        <v>5</v>
      </c>
      <c r="BP1100" s="2" t="s">
        <v>5</v>
      </c>
      <c r="BQ1100" s="2" t="s">
        <v>5</v>
      </c>
      <c r="BR1100" s="2" t="s">
        <v>5</v>
      </c>
      <c r="BS1100" s="2" t="s">
        <v>5</v>
      </c>
      <c r="BT1100" s="2" t="s">
        <v>5</v>
      </c>
      <c r="BU1100" s="2" t="s">
        <v>5</v>
      </c>
      <c r="BV1100" s="2" t="s">
        <v>5</v>
      </c>
      <c r="BW1100" s="2" t="s">
        <v>5</v>
      </c>
      <c r="BX1100" s="2" t="s">
        <v>5</v>
      </c>
      <c r="BY1100" s="25" t="s">
        <v>5</v>
      </c>
      <c r="BZ1100" s="25" t="s">
        <v>5</v>
      </c>
      <c r="CA1100" s="6" t="s">
        <v>5</v>
      </c>
      <c r="CB1100" s="6" t="s">
        <v>5</v>
      </c>
      <c r="CC1100" s="6" t="s">
        <v>5</v>
      </c>
      <c r="CD1100" s="6" t="s">
        <v>5</v>
      </c>
      <c r="CE1100" s="6" t="s">
        <v>5</v>
      </c>
      <c r="CF1100" s="16" t="s">
        <v>5</v>
      </c>
      <c r="CG1100" s="16" t="s">
        <v>5</v>
      </c>
      <c r="CH1100" s="18" t="s">
        <v>5</v>
      </c>
    </row>
    <row r="1101" spans="2:86">
      <c r="B1101" s="78" t="s">
        <v>473</v>
      </c>
      <c r="C1101" s="79" t="s">
        <v>1201</v>
      </c>
      <c r="D1101" s="80" t="s">
        <v>1201</v>
      </c>
      <c r="E1101" s="1" t="s">
        <v>4</v>
      </c>
      <c r="F1101" s="7">
        <v>4.88</v>
      </c>
      <c r="G1101" s="7">
        <v>1.45</v>
      </c>
      <c r="H1101" s="3" t="str">
        <f t="shared" si="36"/>
        <v>2L2-1/2X1-1/2X3/16SLBB</v>
      </c>
      <c r="I1101" s="7">
        <v>1.5</v>
      </c>
      <c r="J1101" s="5" t="s">
        <v>5</v>
      </c>
      <c r="K1101" s="6" t="s">
        <v>5</v>
      </c>
      <c r="L1101" s="6" t="s">
        <v>5</v>
      </c>
      <c r="M1101" s="6" t="s">
        <v>5</v>
      </c>
      <c r="N1101" s="6" t="s">
        <v>5</v>
      </c>
      <c r="O1101" s="5" t="s">
        <v>5</v>
      </c>
      <c r="P1101" s="5" t="s">
        <v>5</v>
      </c>
      <c r="Q1101" s="7">
        <v>2.5</v>
      </c>
      <c r="R1101" s="6" t="s">
        <v>5</v>
      </c>
      <c r="S1101" s="6" t="s">
        <v>5</v>
      </c>
      <c r="T1101" s="5" t="s">
        <v>5</v>
      </c>
      <c r="U1101" s="8" t="s">
        <v>5</v>
      </c>
      <c r="V1101" s="6" t="s">
        <v>5</v>
      </c>
      <c r="W1101" s="8" t="s">
        <v>5</v>
      </c>
      <c r="X1101" s="22">
        <v>0.188</v>
      </c>
      <c r="Y1101" s="6" t="s">
        <v>5</v>
      </c>
      <c r="Z1101" s="6" t="s">
        <v>5</v>
      </c>
      <c r="AA1101" s="6" t="s">
        <v>5</v>
      </c>
      <c r="AB1101" s="8" t="s">
        <v>5</v>
      </c>
      <c r="AC1101" s="8" t="s">
        <v>5</v>
      </c>
      <c r="AD1101" s="6" t="s">
        <v>5</v>
      </c>
      <c r="AE1101" s="22">
        <v>0.34699999999999998</v>
      </c>
      <c r="AF1101" s="6" t="s">
        <v>5</v>
      </c>
      <c r="AG1101" s="6" t="s">
        <v>5</v>
      </c>
      <c r="AH1101" s="22">
        <v>0.14499999999999999</v>
      </c>
      <c r="AI1101" s="6" t="s">
        <v>5</v>
      </c>
      <c r="AJ1101" s="4">
        <v>13.3</v>
      </c>
      <c r="AK1101" s="6" t="s">
        <v>5</v>
      </c>
      <c r="AL1101" s="6" t="s">
        <v>5</v>
      </c>
      <c r="AM1101" s="6" t="s">
        <v>5</v>
      </c>
      <c r="AN1101" s="6" t="s">
        <v>5</v>
      </c>
      <c r="AO1101" s="22">
        <v>0.249</v>
      </c>
      <c r="AP1101" s="22">
        <v>0.82</v>
      </c>
      <c r="AQ1101" s="22">
        <v>0.216</v>
      </c>
      <c r="AR1101" s="22">
        <v>0.41599999999999998</v>
      </c>
      <c r="AS1101" s="6">
        <v>1.95</v>
      </c>
      <c r="AT1101" s="6">
        <v>1.21</v>
      </c>
      <c r="AU1101" s="22">
        <v>0.78</v>
      </c>
      <c r="AV1101" s="7">
        <v>1.1599999999999999</v>
      </c>
      <c r="AW1101" s="6" t="s">
        <v>5</v>
      </c>
      <c r="AX1101" s="6" t="s">
        <v>5</v>
      </c>
      <c r="AY1101" s="6" t="s">
        <v>5</v>
      </c>
      <c r="AZ1101" s="6" t="s">
        <v>5</v>
      </c>
      <c r="BA1101" s="6" t="s">
        <v>5</v>
      </c>
      <c r="BB1101" s="6" t="s">
        <v>5</v>
      </c>
      <c r="BC1101" s="6" t="s">
        <v>5</v>
      </c>
      <c r="BD1101" s="6" t="s">
        <v>5</v>
      </c>
      <c r="BE1101" s="6" t="s">
        <v>5</v>
      </c>
      <c r="BF1101" s="6" t="s">
        <v>5</v>
      </c>
      <c r="BG1101" s="6" t="s">
        <v>5</v>
      </c>
      <c r="BH1101" s="6" t="s">
        <v>5</v>
      </c>
      <c r="BI1101" s="7">
        <v>1.258</v>
      </c>
      <c r="BJ1101" s="22">
        <v>0.95899999999999996</v>
      </c>
      <c r="BK1101" s="6" t="s">
        <v>5</v>
      </c>
      <c r="BL1101" s="2" t="s">
        <v>5</v>
      </c>
      <c r="BM1101" s="2" t="s">
        <v>5</v>
      </c>
      <c r="BN1101" s="2" t="s">
        <v>5</v>
      </c>
      <c r="BO1101" s="2" t="s">
        <v>5</v>
      </c>
      <c r="BP1101" s="2" t="s">
        <v>5</v>
      </c>
      <c r="BQ1101" s="2" t="s">
        <v>5</v>
      </c>
      <c r="BR1101" s="2" t="s">
        <v>5</v>
      </c>
      <c r="BS1101" s="2" t="s">
        <v>5</v>
      </c>
      <c r="BT1101" s="2" t="s">
        <v>5</v>
      </c>
      <c r="BU1101" s="2" t="s">
        <v>5</v>
      </c>
      <c r="BV1101" s="2" t="s">
        <v>5</v>
      </c>
      <c r="BW1101" s="2" t="s">
        <v>5</v>
      </c>
      <c r="BX1101" s="2" t="s">
        <v>5</v>
      </c>
      <c r="BY1101" s="25" t="s">
        <v>5</v>
      </c>
      <c r="BZ1101" s="25" t="s">
        <v>5</v>
      </c>
      <c r="CA1101" s="6" t="s">
        <v>5</v>
      </c>
      <c r="CB1101" s="6" t="s">
        <v>5</v>
      </c>
      <c r="CC1101" s="6" t="s">
        <v>5</v>
      </c>
      <c r="CD1101" s="6" t="s">
        <v>5</v>
      </c>
      <c r="CE1101" s="6" t="s">
        <v>5</v>
      </c>
      <c r="CF1101" s="16" t="s">
        <v>5</v>
      </c>
      <c r="CG1101" s="16" t="s">
        <v>5</v>
      </c>
      <c r="CH1101" s="18" t="s">
        <v>5</v>
      </c>
    </row>
    <row r="1102" spans="2:86">
      <c r="B1102" s="78" t="s">
        <v>473</v>
      </c>
      <c r="C1102" s="79" t="s">
        <v>1202</v>
      </c>
      <c r="D1102" s="80" t="s">
        <v>1202</v>
      </c>
      <c r="E1102" s="1" t="s">
        <v>4</v>
      </c>
      <c r="F1102" s="7">
        <v>4.88</v>
      </c>
      <c r="G1102" s="7">
        <v>1.45</v>
      </c>
      <c r="H1102" s="3" t="str">
        <f t="shared" si="36"/>
        <v>2L2-1/2X1-1/2X3/16X3/8SLBB</v>
      </c>
      <c r="I1102" s="7">
        <v>1.5</v>
      </c>
      <c r="J1102" s="5" t="s">
        <v>5</v>
      </c>
      <c r="K1102" s="6" t="s">
        <v>5</v>
      </c>
      <c r="L1102" s="6" t="s">
        <v>5</v>
      </c>
      <c r="M1102" s="6" t="s">
        <v>5</v>
      </c>
      <c r="N1102" s="6" t="s">
        <v>5</v>
      </c>
      <c r="O1102" s="5" t="s">
        <v>5</v>
      </c>
      <c r="P1102" s="5" t="s">
        <v>5</v>
      </c>
      <c r="Q1102" s="7">
        <v>2.5</v>
      </c>
      <c r="R1102" s="6" t="s">
        <v>5</v>
      </c>
      <c r="S1102" s="6" t="s">
        <v>5</v>
      </c>
      <c r="T1102" s="5" t="s">
        <v>5</v>
      </c>
      <c r="U1102" s="8" t="s">
        <v>5</v>
      </c>
      <c r="V1102" s="6" t="s">
        <v>5</v>
      </c>
      <c r="W1102" s="8" t="s">
        <v>5</v>
      </c>
      <c r="X1102" s="22">
        <v>0.188</v>
      </c>
      <c r="Y1102" s="6" t="s">
        <v>5</v>
      </c>
      <c r="Z1102" s="6" t="s">
        <v>5</v>
      </c>
      <c r="AA1102" s="6" t="s">
        <v>5</v>
      </c>
      <c r="AB1102" s="8" t="s">
        <v>5</v>
      </c>
      <c r="AC1102" s="8" t="s">
        <v>5</v>
      </c>
      <c r="AD1102" s="6" t="s">
        <v>5</v>
      </c>
      <c r="AE1102" s="22">
        <v>0.34699999999999998</v>
      </c>
      <c r="AF1102" s="6" t="s">
        <v>5</v>
      </c>
      <c r="AG1102" s="6" t="s">
        <v>5</v>
      </c>
      <c r="AH1102" s="22">
        <v>0.14499999999999999</v>
      </c>
      <c r="AI1102" s="6" t="s">
        <v>5</v>
      </c>
      <c r="AJ1102" s="4">
        <v>13.3</v>
      </c>
      <c r="AK1102" s="6" t="s">
        <v>5</v>
      </c>
      <c r="AL1102" s="6" t="s">
        <v>5</v>
      </c>
      <c r="AM1102" s="6" t="s">
        <v>5</v>
      </c>
      <c r="AN1102" s="6" t="s">
        <v>5</v>
      </c>
      <c r="AO1102" s="22">
        <v>0.249</v>
      </c>
      <c r="AP1102" s="22">
        <v>0.82</v>
      </c>
      <c r="AQ1102" s="22">
        <v>0.216</v>
      </c>
      <c r="AR1102" s="22">
        <v>0.41599999999999998</v>
      </c>
      <c r="AS1102" s="6">
        <v>2.4500000000000002</v>
      </c>
      <c r="AT1102" s="6">
        <v>1.49</v>
      </c>
      <c r="AU1102" s="6">
        <v>0.91200000000000003</v>
      </c>
      <c r="AV1102" s="7">
        <v>1.3</v>
      </c>
      <c r="AW1102" s="6" t="s">
        <v>5</v>
      </c>
      <c r="AX1102" s="6" t="s">
        <v>5</v>
      </c>
      <c r="AY1102" s="6" t="s">
        <v>5</v>
      </c>
      <c r="AZ1102" s="6" t="s">
        <v>5</v>
      </c>
      <c r="BA1102" s="6" t="s">
        <v>5</v>
      </c>
      <c r="BB1102" s="6" t="s">
        <v>5</v>
      </c>
      <c r="BC1102" s="6" t="s">
        <v>5</v>
      </c>
      <c r="BD1102" s="6" t="s">
        <v>5</v>
      </c>
      <c r="BE1102" s="6" t="s">
        <v>5</v>
      </c>
      <c r="BF1102" s="6" t="s">
        <v>5</v>
      </c>
      <c r="BG1102" s="6" t="s">
        <v>5</v>
      </c>
      <c r="BH1102" s="6" t="s">
        <v>5</v>
      </c>
      <c r="BI1102" s="7">
        <v>1.39</v>
      </c>
      <c r="BJ1102" s="22">
        <v>0.96699999999999997</v>
      </c>
      <c r="BK1102" s="6" t="s">
        <v>5</v>
      </c>
      <c r="BL1102" s="2" t="s">
        <v>5</v>
      </c>
      <c r="BM1102" s="2" t="s">
        <v>5</v>
      </c>
      <c r="BN1102" s="2" t="s">
        <v>5</v>
      </c>
      <c r="BO1102" s="2" t="s">
        <v>5</v>
      </c>
      <c r="BP1102" s="2" t="s">
        <v>5</v>
      </c>
      <c r="BQ1102" s="2" t="s">
        <v>5</v>
      </c>
      <c r="BR1102" s="2" t="s">
        <v>5</v>
      </c>
      <c r="BS1102" s="2" t="s">
        <v>5</v>
      </c>
      <c r="BT1102" s="2" t="s">
        <v>5</v>
      </c>
      <c r="BU1102" s="2" t="s">
        <v>5</v>
      </c>
      <c r="BV1102" s="2" t="s">
        <v>5</v>
      </c>
      <c r="BW1102" s="2" t="s">
        <v>5</v>
      </c>
      <c r="BX1102" s="2" t="s">
        <v>5</v>
      </c>
      <c r="BY1102" s="25" t="s">
        <v>5</v>
      </c>
      <c r="BZ1102" s="25" t="s">
        <v>5</v>
      </c>
      <c r="CA1102" s="6" t="s">
        <v>5</v>
      </c>
      <c r="CB1102" s="6" t="s">
        <v>5</v>
      </c>
      <c r="CC1102" s="6" t="s">
        <v>5</v>
      </c>
      <c r="CD1102" s="6" t="s">
        <v>5</v>
      </c>
      <c r="CE1102" s="6" t="s">
        <v>5</v>
      </c>
      <c r="CF1102" s="16" t="s">
        <v>5</v>
      </c>
      <c r="CG1102" s="16" t="s">
        <v>5</v>
      </c>
      <c r="CH1102" s="18" t="s">
        <v>5</v>
      </c>
    </row>
    <row r="1103" spans="2:86" ht="14.4" thickBot="1">
      <c r="B1103" s="81" t="s">
        <v>473</v>
      </c>
      <c r="C1103" s="82" t="s">
        <v>1203</v>
      </c>
      <c r="D1103" s="83" t="s">
        <v>1203</v>
      </c>
      <c r="E1103" s="42" t="s">
        <v>4</v>
      </c>
      <c r="F1103" s="43">
        <v>4.88</v>
      </c>
      <c r="G1103" s="43">
        <v>1.45</v>
      </c>
      <c r="H1103" s="44" t="str">
        <f t="shared" si="36"/>
        <v>2L2-1/2X1-1/2X3/16X3/4SLBB</v>
      </c>
      <c r="I1103" s="43">
        <v>1.5</v>
      </c>
      <c r="J1103" s="45" t="s">
        <v>5</v>
      </c>
      <c r="K1103" s="46" t="s">
        <v>5</v>
      </c>
      <c r="L1103" s="46" t="s">
        <v>5</v>
      </c>
      <c r="M1103" s="46" t="s">
        <v>5</v>
      </c>
      <c r="N1103" s="46" t="s">
        <v>5</v>
      </c>
      <c r="O1103" s="45" t="s">
        <v>5</v>
      </c>
      <c r="P1103" s="45" t="s">
        <v>5</v>
      </c>
      <c r="Q1103" s="43">
        <v>2.5</v>
      </c>
      <c r="R1103" s="46" t="s">
        <v>5</v>
      </c>
      <c r="S1103" s="46" t="s">
        <v>5</v>
      </c>
      <c r="T1103" s="45" t="s">
        <v>5</v>
      </c>
      <c r="U1103" s="47" t="s">
        <v>5</v>
      </c>
      <c r="V1103" s="46" t="s">
        <v>5</v>
      </c>
      <c r="W1103" s="47" t="s">
        <v>5</v>
      </c>
      <c r="X1103" s="48">
        <v>0.188</v>
      </c>
      <c r="Y1103" s="46" t="s">
        <v>5</v>
      </c>
      <c r="Z1103" s="46" t="s">
        <v>5</v>
      </c>
      <c r="AA1103" s="46" t="s">
        <v>5</v>
      </c>
      <c r="AB1103" s="47" t="s">
        <v>5</v>
      </c>
      <c r="AC1103" s="47" t="s">
        <v>5</v>
      </c>
      <c r="AD1103" s="46" t="s">
        <v>5</v>
      </c>
      <c r="AE1103" s="48">
        <v>0.34699999999999998</v>
      </c>
      <c r="AF1103" s="46" t="s">
        <v>5</v>
      </c>
      <c r="AG1103" s="46" t="s">
        <v>5</v>
      </c>
      <c r="AH1103" s="48">
        <v>0.14499999999999999</v>
      </c>
      <c r="AI1103" s="46" t="s">
        <v>5</v>
      </c>
      <c r="AJ1103" s="49">
        <v>13.3</v>
      </c>
      <c r="AK1103" s="46" t="s">
        <v>5</v>
      </c>
      <c r="AL1103" s="46" t="s">
        <v>5</v>
      </c>
      <c r="AM1103" s="46" t="s">
        <v>5</v>
      </c>
      <c r="AN1103" s="46" t="s">
        <v>5</v>
      </c>
      <c r="AO1103" s="48">
        <v>0.249</v>
      </c>
      <c r="AP1103" s="48">
        <v>0.82</v>
      </c>
      <c r="AQ1103" s="48">
        <v>0.216</v>
      </c>
      <c r="AR1103" s="48">
        <v>0.41599999999999998</v>
      </c>
      <c r="AS1103" s="46">
        <v>3.09</v>
      </c>
      <c r="AT1103" s="46">
        <v>1.76</v>
      </c>
      <c r="AU1103" s="46">
        <v>1.07</v>
      </c>
      <c r="AV1103" s="43">
        <v>1.46</v>
      </c>
      <c r="AW1103" s="46" t="s">
        <v>5</v>
      </c>
      <c r="AX1103" s="46" t="s">
        <v>5</v>
      </c>
      <c r="AY1103" s="46" t="s">
        <v>5</v>
      </c>
      <c r="AZ1103" s="46" t="s">
        <v>5</v>
      </c>
      <c r="BA1103" s="46" t="s">
        <v>5</v>
      </c>
      <c r="BB1103" s="46" t="s">
        <v>5</v>
      </c>
      <c r="BC1103" s="46" t="s">
        <v>5</v>
      </c>
      <c r="BD1103" s="46" t="s">
        <v>5</v>
      </c>
      <c r="BE1103" s="46" t="s">
        <v>5</v>
      </c>
      <c r="BF1103" s="46" t="s">
        <v>5</v>
      </c>
      <c r="BG1103" s="46" t="s">
        <v>5</v>
      </c>
      <c r="BH1103" s="46" t="s">
        <v>5</v>
      </c>
      <c r="BI1103" s="43">
        <v>1.534</v>
      </c>
      <c r="BJ1103" s="48">
        <v>0.97299999999999998</v>
      </c>
      <c r="BK1103" s="46" t="s">
        <v>5</v>
      </c>
      <c r="BL1103" s="50" t="s">
        <v>5</v>
      </c>
      <c r="BM1103" s="50" t="s">
        <v>5</v>
      </c>
      <c r="BN1103" s="50" t="s">
        <v>5</v>
      </c>
      <c r="BO1103" s="50" t="s">
        <v>5</v>
      </c>
      <c r="BP1103" s="50" t="s">
        <v>5</v>
      </c>
      <c r="BQ1103" s="50" t="s">
        <v>5</v>
      </c>
      <c r="BR1103" s="50" t="s">
        <v>5</v>
      </c>
      <c r="BS1103" s="50" t="s">
        <v>5</v>
      </c>
      <c r="BT1103" s="50" t="s">
        <v>5</v>
      </c>
      <c r="BU1103" s="50" t="s">
        <v>5</v>
      </c>
      <c r="BV1103" s="50" t="s">
        <v>5</v>
      </c>
      <c r="BW1103" s="50" t="s">
        <v>5</v>
      </c>
      <c r="BX1103" s="50" t="s">
        <v>5</v>
      </c>
      <c r="BY1103" s="51" t="s">
        <v>5</v>
      </c>
      <c r="BZ1103" s="51" t="s">
        <v>5</v>
      </c>
      <c r="CA1103" s="46" t="s">
        <v>5</v>
      </c>
      <c r="CB1103" s="46" t="s">
        <v>5</v>
      </c>
      <c r="CC1103" s="46" t="s">
        <v>5</v>
      </c>
      <c r="CD1103" s="46" t="s">
        <v>5</v>
      </c>
      <c r="CE1103" s="46" t="s">
        <v>5</v>
      </c>
      <c r="CF1103" s="52" t="s">
        <v>5</v>
      </c>
      <c r="CG1103" s="52" t="s">
        <v>5</v>
      </c>
      <c r="CH1103" s="53" t="s">
        <v>5</v>
      </c>
    </row>
  </sheetData>
  <mergeCells count="50">
    <mergeCell ref="DH2:DO2"/>
    <mergeCell ref="DQ2:DX2"/>
    <mergeCell ref="CP83:CQ83"/>
    <mergeCell ref="CM91:CN91"/>
    <mergeCell ref="CP76:CQ76"/>
    <mergeCell ref="CP75:CQ75"/>
    <mergeCell ref="CP74:CQ74"/>
    <mergeCell ref="CM2:CN2"/>
    <mergeCell ref="CP80:CQ80"/>
    <mergeCell ref="CL52:CN52"/>
    <mergeCell ref="CL66:CQ66"/>
    <mergeCell ref="CP67:CQ67"/>
    <mergeCell ref="CP68:CQ68"/>
    <mergeCell ref="CP69:CQ69"/>
    <mergeCell ref="CP71:CQ71"/>
    <mergeCell ref="CP72:CQ72"/>
    <mergeCell ref="CL80:CM80"/>
    <mergeCell ref="CP73:CQ73"/>
    <mergeCell ref="CP70:CQ70"/>
    <mergeCell ref="EN6:EN7"/>
    <mergeCell ref="EO6:EO7"/>
    <mergeCell ref="CM40:CN40"/>
    <mergeCell ref="CM41:CN41"/>
    <mergeCell ref="CL44:CN44"/>
    <mergeCell ref="CL39:CN39"/>
    <mergeCell ref="CL3:CL16"/>
    <mergeCell ref="EF6:EF7"/>
    <mergeCell ref="DZ6:DZ7"/>
    <mergeCell ref="EA6:EA7"/>
    <mergeCell ref="EB6:EB7"/>
    <mergeCell ref="EC6:EC7"/>
    <mergeCell ref="ED6:ED7"/>
    <mergeCell ref="EE6:EE7"/>
    <mergeCell ref="CL17:CL35"/>
    <mergeCell ref="EP6:EP7"/>
    <mergeCell ref="EQ6:EQ7"/>
    <mergeCell ref="EW3:EX4"/>
    <mergeCell ref="ER6:ER7"/>
    <mergeCell ref="ES6:ES7"/>
    <mergeCell ref="ET6:ET7"/>
    <mergeCell ref="EU6:EU7"/>
    <mergeCell ref="DZ3:EU4"/>
    <mergeCell ref="DZ5:EU5"/>
    <mergeCell ref="EL6:EL7"/>
    <mergeCell ref="EG6:EG7"/>
    <mergeCell ref="EH6:EH7"/>
    <mergeCell ref="EI6:EI7"/>
    <mergeCell ref="EJ6:EJ7"/>
    <mergeCell ref="EK6:EK7"/>
    <mergeCell ref="EM6:EM7"/>
  </mergeCells>
  <dataValidations disablePrompts="1" count="1">
    <dataValidation allowBlank="1" showInputMessage="1" showErrorMessage="1" prompt="All tension members whre the tension load is transitted directly to each of cross-sectional elements by fasteners or welds." sqref="CL46 CP45" xr:uid="{3F3AC100-FB1F-4C8B-838F-E5270EC9A17D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54E5-B274-4F5F-B444-8D4646AABCFC}">
  <dimension ref="B3:BV47"/>
  <sheetViews>
    <sheetView topLeftCell="A6" zoomScale="68" zoomScaleNormal="58" workbookViewId="0">
      <selection activeCell="I15" sqref="I15:L15"/>
    </sheetView>
  </sheetViews>
  <sheetFormatPr defaultRowHeight="13.8"/>
  <cols>
    <col min="1" max="2" width="8.88671875" style="167"/>
    <col min="3" max="3" width="11.77734375" style="167" customWidth="1"/>
    <col min="4" max="4" width="13.33203125" style="167" customWidth="1"/>
    <col min="5" max="5" width="17.77734375" style="167" customWidth="1"/>
    <col min="6" max="6" width="8.88671875" style="167"/>
    <col min="7" max="7" width="10.33203125" style="167" customWidth="1"/>
    <col min="8" max="8" width="8.88671875" style="167"/>
    <col min="9" max="9" width="10.44140625" style="167" customWidth="1"/>
    <col min="10" max="10" width="8.88671875" style="167" customWidth="1"/>
    <col min="11" max="11" width="7.77734375" style="167" customWidth="1"/>
    <col min="12" max="15" width="8.88671875" style="167"/>
    <col min="16" max="16" width="13.21875" style="167" customWidth="1"/>
    <col min="17" max="17" width="8.88671875" style="167"/>
    <col min="18" max="18" width="12.21875" style="167" customWidth="1"/>
    <col min="19" max="19" width="13.33203125" style="167" customWidth="1"/>
    <col min="20" max="20" width="8.88671875" style="167"/>
    <col min="21" max="21" width="8.33203125" style="167" customWidth="1"/>
    <col min="22" max="22" width="12.33203125" style="167" customWidth="1"/>
    <col min="23" max="23" width="8.88671875" style="167"/>
    <col min="24" max="27" width="10.88671875" style="167" customWidth="1"/>
    <col min="28" max="28" width="15.6640625" style="167" customWidth="1"/>
    <col min="29" max="30" width="10.88671875" style="167" customWidth="1"/>
    <col min="31" max="31" width="12.109375" style="167" customWidth="1"/>
    <col min="32" max="33" width="12.44140625" style="167" customWidth="1"/>
    <col min="34" max="34" width="13.6640625" style="167" customWidth="1"/>
    <col min="35" max="35" width="15.88671875" style="167" customWidth="1"/>
    <col min="36" max="38" width="8.88671875" style="167"/>
    <col min="39" max="39" width="12" style="167" customWidth="1"/>
    <col min="40" max="41" width="8.88671875" style="167"/>
    <col min="42" max="42" width="10.5546875" style="167" customWidth="1"/>
    <col min="43" max="43" width="10.6640625" style="167" customWidth="1"/>
    <col min="44" max="44" width="10.109375" style="167" customWidth="1"/>
    <col min="45" max="45" width="10.5546875" style="167" customWidth="1"/>
    <col min="46" max="16384" width="8.88671875" style="167"/>
  </cols>
  <sheetData>
    <row r="3" spans="3:74" ht="15" customHeight="1" thickBot="1"/>
    <row r="4" spans="3:74" ht="24" customHeight="1" thickTop="1" thickBot="1">
      <c r="C4" s="671" t="s">
        <v>1983</v>
      </c>
      <c r="D4" s="672"/>
      <c r="E4" s="672"/>
      <c r="F4" s="672"/>
      <c r="G4" s="672"/>
      <c r="H4" s="672"/>
      <c r="I4" s="672"/>
      <c r="J4" s="672"/>
      <c r="K4" s="672"/>
      <c r="L4" s="673"/>
      <c r="M4" s="125"/>
      <c r="N4" s="609" t="s">
        <v>543</v>
      </c>
      <c r="O4" s="677"/>
      <c r="P4" s="677"/>
      <c r="Q4" s="677"/>
      <c r="R4" s="677"/>
      <c r="S4" s="677"/>
      <c r="T4" s="677"/>
      <c r="U4" s="677"/>
      <c r="V4" s="677"/>
      <c r="W4" s="677"/>
      <c r="X4" s="178"/>
      <c r="Y4" s="125"/>
      <c r="Z4" s="753" t="s">
        <v>2016</v>
      </c>
      <c r="AA4" s="754"/>
      <c r="AB4" s="754"/>
      <c r="AC4" s="754"/>
      <c r="AD4" s="754"/>
      <c r="AE4" s="754"/>
      <c r="AF4" s="754"/>
      <c r="AG4" s="754"/>
      <c r="AH4" s="754"/>
      <c r="AI4" s="755"/>
    </row>
    <row r="5" spans="3:74" ht="18" customHeight="1" thickTop="1" thickBot="1">
      <c r="C5" s="674"/>
      <c r="D5" s="675"/>
      <c r="E5" s="675"/>
      <c r="F5" s="675"/>
      <c r="G5" s="675"/>
      <c r="H5" s="675"/>
      <c r="I5" s="675"/>
      <c r="J5" s="675"/>
      <c r="K5" s="675"/>
      <c r="L5" s="676"/>
      <c r="M5" s="125"/>
      <c r="N5" s="623" t="s">
        <v>552</v>
      </c>
      <c r="O5" s="624"/>
      <c r="P5" s="678"/>
      <c r="Q5" s="639">
        <v>3</v>
      </c>
      <c r="R5" s="580"/>
      <c r="S5" s="580"/>
      <c r="T5" s="679" t="s">
        <v>562</v>
      </c>
      <c r="U5" s="638"/>
      <c r="V5" s="638"/>
      <c r="W5" s="598"/>
      <c r="X5" s="178"/>
      <c r="Y5" s="125"/>
      <c r="Z5" s="709"/>
      <c r="AA5" s="709"/>
      <c r="AB5" s="709"/>
      <c r="AC5" s="709"/>
      <c r="AD5" s="709"/>
      <c r="AE5" s="709"/>
      <c r="AF5" s="709"/>
      <c r="AG5" s="709"/>
      <c r="AH5" s="709"/>
      <c r="AI5" s="710"/>
    </row>
    <row r="6" spans="3:74" ht="18" customHeight="1" thickTop="1" thickBot="1">
      <c r="C6" s="681"/>
      <c r="D6" s="682"/>
      <c r="E6" s="682"/>
      <c r="F6" s="682"/>
      <c r="G6" s="682"/>
      <c r="H6" s="682"/>
      <c r="I6" s="682"/>
      <c r="J6" s="682"/>
      <c r="K6" s="682"/>
      <c r="L6" s="683"/>
      <c r="M6" s="125"/>
      <c r="N6" s="684" t="s">
        <v>551</v>
      </c>
      <c r="O6" s="573"/>
      <c r="P6" s="573"/>
      <c r="Q6" s="685">
        <v>5</v>
      </c>
      <c r="R6" s="686"/>
      <c r="S6" s="686"/>
      <c r="T6" s="680"/>
      <c r="U6" s="577"/>
      <c r="V6" s="577"/>
      <c r="W6" s="651"/>
      <c r="X6" s="178"/>
      <c r="Y6" s="125"/>
      <c r="Z6" s="555" t="s">
        <v>1553</v>
      </c>
      <c r="AA6" s="553"/>
      <c r="AB6" s="553"/>
      <c r="AC6" s="553"/>
      <c r="AD6" s="556"/>
      <c r="AE6" s="783" t="s">
        <v>1587</v>
      </c>
      <c r="AF6" s="784"/>
      <c r="AG6" s="685" t="s">
        <v>1542</v>
      </c>
      <c r="AH6" s="785"/>
      <c r="AI6" s="199"/>
    </row>
    <row r="7" spans="3:74" ht="15" thickTop="1" thickBot="1">
      <c r="C7" s="687" t="s">
        <v>1984</v>
      </c>
      <c r="D7" s="688"/>
      <c r="E7" s="688"/>
      <c r="F7" s="688"/>
      <c r="G7" s="688"/>
      <c r="H7" s="688"/>
      <c r="I7" s="688"/>
      <c r="J7" s="688"/>
      <c r="K7" s="688"/>
      <c r="L7" s="689"/>
      <c r="M7" s="125"/>
      <c r="N7" s="690" t="s">
        <v>553</v>
      </c>
      <c r="O7" s="577"/>
      <c r="P7" s="577"/>
      <c r="Q7" s="685">
        <v>2</v>
      </c>
      <c r="R7" s="686"/>
      <c r="S7" s="686"/>
      <c r="T7" s="691">
        <v>8</v>
      </c>
      <c r="U7" s="692"/>
      <c r="V7" s="692"/>
      <c r="W7" s="693"/>
      <c r="X7" s="178"/>
      <c r="Y7" s="125"/>
      <c r="Z7" s="756" t="s">
        <v>1902</v>
      </c>
      <c r="AA7" s="757"/>
      <c r="AB7" s="758">
        <v>10</v>
      </c>
      <c r="AC7" s="640"/>
      <c r="AD7" s="202"/>
      <c r="AE7" s="759" t="s">
        <v>536</v>
      </c>
      <c r="AF7" s="760"/>
      <c r="AG7" s="763" t="s">
        <v>494</v>
      </c>
      <c r="AH7" s="764"/>
      <c r="AI7" s="198"/>
    </row>
    <row r="8" spans="3:74" ht="15" thickTop="1" thickBot="1">
      <c r="C8" s="695" t="s">
        <v>1985</v>
      </c>
      <c r="D8" s="696"/>
      <c r="E8" s="696"/>
      <c r="F8" s="696"/>
      <c r="G8" s="697"/>
      <c r="H8" s="190"/>
      <c r="I8" s="698" t="s">
        <v>1238</v>
      </c>
      <c r="J8" s="698"/>
      <c r="K8" s="698"/>
      <c r="L8" s="699"/>
      <c r="M8" s="125"/>
      <c r="N8" s="628" t="s">
        <v>558</v>
      </c>
      <c r="O8" s="646"/>
      <c r="P8" s="629"/>
      <c r="Q8" s="647">
        <v>2</v>
      </c>
      <c r="R8" s="700"/>
      <c r="S8" s="648"/>
      <c r="T8" s="539"/>
      <c r="U8" s="694"/>
      <c r="V8" s="694"/>
      <c r="W8" s="540"/>
      <c r="X8" s="178"/>
      <c r="Y8" s="125"/>
      <c r="Z8" s="767" t="s">
        <v>1903</v>
      </c>
      <c r="AA8" s="767"/>
      <c r="AB8" s="768">
        <v>20</v>
      </c>
      <c r="AC8" s="768"/>
      <c r="AD8" s="197"/>
      <c r="AE8" s="761"/>
      <c r="AF8" s="762"/>
      <c r="AG8" s="765"/>
      <c r="AH8" s="766"/>
      <c r="AI8" s="198"/>
    </row>
    <row r="9" spans="3:74" ht="21" customHeight="1" thickTop="1" thickBot="1">
      <c r="C9" s="597" t="s">
        <v>1544</v>
      </c>
      <c r="D9" s="632"/>
      <c r="E9" s="607" t="s">
        <v>465</v>
      </c>
      <c r="F9" s="607"/>
      <c r="G9" s="608"/>
      <c r="H9" s="214"/>
      <c r="I9" s="714" t="s">
        <v>1579</v>
      </c>
      <c r="J9" s="715"/>
      <c r="K9" s="716"/>
      <c r="L9" s="239" t="s">
        <v>1542</v>
      </c>
      <c r="M9" s="125"/>
      <c r="N9" s="665"/>
      <c r="O9" s="666"/>
      <c r="P9" s="666"/>
      <c r="Q9" s="666"/>
      <c r="R9" s="666"/>
      <c r="S9" s="666"/>
      <c r="T9" s="666"/>
      <c r="U9" s="666"/>
      <c r="V9" s="666"/>
      <c r="W9" s="667"/>
      <c r="X9" s="178"/>
      <c r="Y9" s="125"/>
      <c r="Z9" s="618"/>
      <c r="AA9" s="618"/>
      <c r="AB9" s="618"/>
      <c r="AC9" s="196"/>
      <c r="AD9" s="197"/>
      <c r="AE9" s="706" t="s">
        <v>537</v>
      </c>
      <c r="AF9" s="717"/>
      <c r="AG9" s="584">
        <f>VLOOKUP($AG$7,'[1]Database 1'!CL3:CO35,3,FALSE)</f>
        <v>50</v>
      </c>
      <c r="AH9" s="576"/>
      <c r="AI9" s="198"/>
      <c r="BV9" s="167" t="s">
        <v>1542</v>
      </c>
    </row>
    <row r="10" spans="3:74" ht="19.8" customHeight="1" thickTop="1" thickBot="1">
      <c r="C10" s="605"/>
      <c r="D10" s="606"/>
      <c r="E10" s="607"/>
      <c r="F10" s="607"/>
      <c r="G10" s="608"/>
      <c r="H10" s="191"/>
      <c r="I10" s="570"/>
      <c r="J10" s="570"/>
      <c r="K10" s="570"/>
      <c r="L10" s="571"/>
      <c r="N10" s="668"/>
      <c r="O10" s="618"/>
      <c r="P10" s="669"/>
      <c r="Q10" s="660" t="s">
        <v>554</v>
      </c>
      <c r="R10" s="661"/>
      <c r="S10" s="670" t="s">
        <v>550</v>
      </c>
      <c r="T10" s="661"/>
      <c r="U10" s="711" t="s">
        <v>481</v>
      </c>
      <c r="V10" s="661"/>
      <c r="W10" s="701"/>
      <c r="X10" s="178"/>
      <c r="Y10" s="125"/>
      <c r="Z10" s="718" t="s">
        <v>557</v>
      </c>
      <c r="AA10" s="719"/>
      <c r="AB10" s="179" t="s">
        <v>555</v>
      </c>
      <c r="AC10" s="180" t="s">
        <v>556</v>
      </c>
      <c r="AD10" s="197"/>
      <c r="AE10" s="720" t="s">
        <v>538</v>
      </c>
      <c r="AF10" s="721"/>
      <c r="AG10" s="722">
        <f>VLOOKUP($AG$7,'[1]Database 1'!CL3:CO35,4,FALSE)</f>
        <v>65</v>
      </c>
      <c r="AH10" s="723"/>
      <c r="AI10" s="198"/>
      <c r="BV10" s="167" t="s">
        <v>1541</v>
      </c>
    </row>
    <row r="11" spans="3:74" ht="20.399999999999999" customHeight="1" thickTop="1" thickBot="1">
      <c r="C11" s="628" t="s">
        <v>1545</v>
      </c>
      <c r="D11" s="646"/>
      <c r="E11" s="658">
        <f>VLOOKUP(E9,'[2]Database 1'!$C$2:$W$1102,21,FALSE)</f>
        <v>0.42499999999999999</v>
      </c>
      <c r="F11" s="557"/>
      <c r="G11" s="558"/>
      <c r="H11" s="191"/>
      <c r="I11" s="662" t="s">
        <v>2017</v>
      </c>
      <c r="J11" s="663"/>
      <c r="K11" s="663"/>
      <c r="L11" s="664"/>
      <c r="N11" s="668"/>
      <c r="O11" s="572" t="s">
        <v>548</v>
      </c>
      <c r="P11" s="573"/>
      <c r="Q11" s="639">
        <v>8</v>
      </c>
      <c r="R11" s="640"/>
      <c r="S11" s="704">
        <f>$Q$11*$E$11</f>
        <v>3.4</v>
      </c>
      <c r="T11" s="705"/>
      <c r="U11" s="704">
        <f>$S$11-((($Q$6*$W$15)-(0.5))*$E$11)</f>
        <v>1.4875</v>
      </c>
      <c r="V11" s="705"/>
      <c r="W11" s="702"/>
      <c r="X11" s="178"/>
      <c r="Y11" s="125"/>
      <c r="Z11" s="718" t="s">
        <v>1986</v>
      </c>
      <c r="AA11" s="719"/>
      <c r="AB11" s="251">
        <v>0.875</v>
      </c>
      <c r="AC11" s="781">
        <f>IF($AB$11&gt;0,$AB$11+(1/8),$AB$12+(1/16))</f>
        <v>1</v>
      </c>
      <c r="AD11" s="197"/>
      <c r="AE11" s="197"/>
      <c r="AF11" s="197"/>
      <c r="AG11" s="197"/>
      <c r="AH11" s="197"/>
      <c r="AI11" s="198"/>
    </row>
    <row r="12" spans="3:74" ht="18.600000000000001" customHeight="1" thickTop="1" thickBot="1">
      <c r="C12" s="567"/>
      <c r="D12" s="568"/>
      <c r="E12" s="568"/>
      <c r="F12" s="568"/>
      <c r="G12" s="569"/>
      <c r="H12" s="215"/>
      <c r="I12" s="654">
        <f>IF(L9="LRFD",(0.9)*E20*E23,E20*E23/1.67)</f>
        <v>87.48</v>
      </c>
      <c r="J12" s="655"/>
      <c r="K12" s="655"/>
      <c r="L12" s="656"/>
      <c r="N12" s="668"/>
      <c r="O12" s="657" t="s">
        <v>549</v>
      </c>
      <c r="P12" s="646"/>
      <c r="Q12" s="647">
        <v>4</v>
      </c>
      <c r="R12" s="648"/>
      <c r="S12" s="658">
        <f>$Q$12*$E$11</f>
        <v>1.7</v>
      </c>
      <c r="T12" s="659"/>
      <c r="U12" s="658">
        <f>$S$12-($Q$15*$W$15*($Q$5-IF($Q$15=1,0.5,1)))</f>
        <v>-0.8</v>
      </c>
      <c r="V12" s="659"/>
      <c r="W12" s="703"/>
      <c r="X12" s="178"/>
      <c r="Y12" s="125"/>
      <c r="Z12" s="786" t="s">
        <v>1987</v>
      </c>
      <c r="AA12" s="717"/>
      <c r="AB12" s="252">
        <v>0</v>
      </c>
      <c r="AC12" s="782"/>
      <c r="AD12" s="197"/>
      <c r="AE12" s="706" t="s">
        <v>1904</v>
      </c>
      <c r="AF12" s="707"/>
      <c r="AG12" s="708"/>
      <c r="AH12" s="242">
        <v>15</v>
      </c>
      <c r="AI12" s="198"/>
    </row>
    <row r="13" spans="3:74" ht="19.2" customHeight="1" thickTop="1" thickBot="1">
      <c r="C13" s="541" t="s">
        <v>557</v>
      </c>
      <c r="D13" s="542"/>
      <c r="E13" s="635" t="s">
        <v>555</v>
      </c>
      <c r="F13" s="636"/>
      <c r="G13" s="166" t="s">
        <v>556</v>
      </c>
      <c r="H13" s="193"/>
      <c r="I13" s="652"/>
      <c r="J13" s="652"/>
      <c r="K13" s="652"/>
      <c r="L13" s="653"/>
      <c r="N13" s="637"/>
      <c r="O13" s="568"/>
      <c r="P13" s="568"/>
      <c r="Q13" s="568"/>
      <c r="R13" s="568"/>
      <c r="S13" s="568"/>
      <c r="T13" s="568"/>
      <c r="U13" s="568"/>
      <c r="V13" s="568"/>
      <c r="W13" s="200"/>
      <c r="X13" s="178"/>
      <c r="Y13" s="125"/>
      <c r="Z13" s="197"/>
      <c r="AA13" s="197"/>
      <c r="AB13" s="197"/>
      <c r="AC13" s="196"/>
      <c r="AD13" s="197"/>
      <c r="AE13" s="197"/>
      <c r="AF13" s="197"/>
      <c r="AG13" s="197"/>
      <c r="AH13" s="197"/>
      <c r="AI13" s="198"/>
    </row>
    <row r="14" spans="3:74" ht="16.8" thickTop="1" thickBot="1">
      <c r="C14" s="597" t="s">
        <v>1986</v>
      </c>
      <c r="D14" s="638"/>
      <c r="E14" s="639">
        <v>1</v>
      </c>
      <c r="F14" s="640"/>
      <c r="G14" s="641">
        <f>IF(E14&gt;0,E14+(1/8),E15+(1/16))</f>
        <v>1.125</v>
      </c>
      <c r="H14" s="192"/>
      <c r="I14" s="541" t="s">
        <v>1547</v>
      </c>
      <c r="J14" s="550"/>
      <c r="K14" s="550"/>
      <c r="L14" s="544"/>
      <c r="N14" s="582" t="s">
        <v>547</v>
      </c>
      <c r="O14" s="583"/>
      <c r="P14" s="606"/>
      <c r="Q14" s="643" t="s">
        <v>545</v>
      </c>
      <c r="R14" s="643"/>
      <c r="S14" s="643"/>
      <c r="T14" s="644" t="s">
        <v>557</v>
      </c>
      <c r="U14" s="645"/>
      <c r="V14" s="219" t="s">
        <v>555</v>
      </c>
      <c r="W14" s="463" t="s">
        <v>556</v>
      </c>
      <c r="X14" s="178"/>
      <c r="Y14" s="125"/>
      <c r="Z14" s="555" t="s">
        <v>2042</v>
      </c>
      <c r="AA14" s="553"/>
      <c r="AB14" s="553"/>
      <c r="AC14" s="553"/>
      <c r="AD14" s="553"/>
      <c r="AE14" s="553"/>
      <c r="AF14" s="553"/>
      <c r="AG14" s="553"/>
      <c r="AH14" s="553"/>
      <c r="AI14" s="556"/>
    </row>
    <row r="15" spans="3:74" ht="19.2" customHeight="1" thickTop="1" thickBot="1">
      <c r="C15" s="628" t="s">
        <v>1987</v>
      </c>
      <c r="D15" s="646"/>
      <c r="E15" s="647">
        <v>0</v>
      </c>
      <c r="F15" s="648"/>
      <c r="G15" s="642"/>
      <c r="H15" s="191"/>
      <c r="I15" s="589">
        <f>IF(L9="LRFD",0.75*E21*E24*E27,E21*E24*E27/2)</f>
        <v>75.85312500000002</v>
      </c>
      <c r="J15" s="590"/>
      <c r="K15" s="590"/>
      <c r="L15" s="591"/>
      <c r="N15" s="572" t="s">
        <v>544</v>
      </c>
      <c r="O15" s="573"/>
      <c r="P15" s="574"/>
      <c r="Q15" s="649">
        <f>VLOOKUP($Q$14,'[2]Database 1'!$CK$43:$CM$44,3,FALSE)</f>
        <v>1</v>
      </c>
      <c r="R15" s="649"/>
      <c r="S15" s="650"/>
      <c r="T15" s="577" t="s">
        <v>1988</v>
      </c>
      <c r="U15" s="651"/>
      <c r="V15" s="237">
        <v>0.875</v>
      </c>
      <c r="W15" s="587">
        <f>IF(V15&gt;0,V15+(1/8),V16+(1/16))</f>
        <v>1</v>
      </c>
      <c r="X15" s="178"/>
      <c r="Y15" s="125"/>
      <c r="Z15" s="769"/>
      <c r="AA15" s="770"/>
      <c r="AB15" s="770"/>
      <c r="AC15" s="770"/>
      <c r="AD15" s="770"/>
      <c r="AE15" s="203"/>
      <c r="AF15" s="771" t="s">
        <v>560</v>
      </c>
      <c r="AG15" s="772"/>
      <c r="AH15" s="775" t="s">
        <v>540</v>
      </c>
      <c r="AI15" s="776"/>
    </row>
    <row r="16" spans="3:74" ht="19.2" customHeight="1" thickTop="1" thickBot="1">
      <c r="C16" s="567"/>
      <c r="D16" s="568"/>
      <c r="E16" s="568"/>
      <c r="F16" s="568"/>
      <c r="G16" s="569"/>
      <c r="H16" s="191"/>
      <c r="I16" s="570"/>
      <c r="J16" s="570"/>
      <c r="K16" s="570"/>
      <c r="L16" s="571"/>
      <c r="N16" s="572" t="s">
        <v>1989</v>
      </c>
      <c r="O16" s="573"/>
      <c r="P16" s="574"/>
      <c r="Q16" s="575">
        <f>MIN(0.6*$E$21*$U$11,0.6*$E$20*$S$11)</f>
        <v>51.765000000000001</v>
      </c>
      <c r="R16" s="575"/>
      <c r="S16" s="576"/>
      <c r="T16" s="577" t="s">
        <v>1990</v>
      </c>
      <c r="U16" s="577"/>
      <c r="V16" s="242">
        <v>0</v>
      </c>
      <c r="W16" s="588"/>
      <c r="X16" s="178"/>
      <c r="Y16" s="125"/>
      <c r="Z16" s="777" t="s">
        <v>1912</v>
      </c>
      <c r="AA16" s="777"/>
      <c r="AB16" s="778"/>
      <c r="AC16" s="254">
        <f>IF($AG$6="LRFD",(1.2*$AB$7)+(1.6*$AB$8),$AB$7+$AB$8)</f>
        <v>44</v>
      </c>
      <c r="AD16" s="255" t="s">
        <v>1870</v>
      </c>
      <c r="AE16" s="201"/>
      <c r="AF16" s="773"/>
      <c r="AG16" s="774"/>
      <c r="AH16" s="779">
        <v>0.6</v>
      </c>
      <c r="AI16" s="780"/>
    </row>
    <row r="17" spans="2:38" ht="16.8" customHeight="1" thickTop="1" thickBot="1">
      <c r="C17" s="578" t="s">
        <v>539</v>
      </c>
      <c r="D17" s="579"/>
      <c r="E17" s="580">
        <v>2</v>
      </c>
      <c r="F17" s="580"/>
      <c r="G17" s="581"/>
      <c r="H17" s="193"/>
      <c r="I17" s="541" t="s">
        <v>1548</v>
      </c>
      <c r="J17" s="550"/>
      <c r="K17" s="550"/>
      <c r="L17" s="544"/>
      <c r="N17" s="582" t="s">
        <v>1991</v>
      </c>
      <c r="O17" s="583"/>
      <c r="P17" s="583"/>
      <c r="Q17" s="584">
        <f>$Q$15*$E$21*$U$12</f>
        <v>-46.400000000000006</v>
      </c>
      <c r="R17" s="575"/>
      <c r="S17" s="576"/>
      <c r="T17" s="585"/>
      <c r="U17" s="585"/>
      <c r="V17" s="586"/>
      <c r="W17" s="586"/>
      <c r="X17" s="178"/>
      <c r="Y17" s="125"/>
      <c r="Z17" s="197"/>
      <c r="AA17" s="197"/>
      <c r="AB17" s="197"/>
      <c r="AC17" s="196"/>
      <c r="AD17" s="197"/>
      <c r="AE17" s="197"/>
      <c r="AF17" s="197"/>
      <c r="AG17" s="197"/>
      <c r="AH17" s="197"/>
      <c r="AI17" s="198"/>
    </row>
    <row r="18" spans="2:38" ht="18.600000000000001" customHeight="1" thickTop="1" thickBot="1">
      <c r="C18" s="603" t="s">
        <v>536</v>
      </c>
      <c r="D18" s="604"/>
      <c r="E18" s="607" t="s">
        <v>483</v>
      </c>
      <c r="F18" s="607"/>
      <c r="G18" s="608"/>
      <c r="H18" s="191"/>
      <c r="I18" s="633">
        <f>IF(L9="LRFD",0.75*(Q16+Q17),(Q16+Q17)/2)</f>
        <v>4.0237499999999962</v>
      </c>
      <c r="J18" s="634"/>
      <c r="K18" s="634"/>
      <c r="L18" s="634"/>
      <c r="M18" s="178"/>
      <c r="N18" s="586"/>
      <c r="O18" s="586"/>
      <c r="P18" s="586"/>
      <c r="Q18" s="586"/>
      <c r="R18" s="586"/>
      <c r="S18" s="586"/>
      <c r="T18" s="585"/>
      <c r="U18" s="585"/>
      <c r="V18" s="585"/>
      <c r="W18" s="585"/>
      <c r="X18" s="178"/>
      <c r="Y18" s="125"/>
      <c r="Z18" s="745" t="s">
        <v>1905</v>
      </c>
      <c r="AA18" s="746"/>
      <c r="AB18" s="746"/>
      <c r="AC18" s="746"/>
      <c r="AD18" s="747"/>
      <c r="AE18" s="543" t="s">
        <v>1906</v>
      </c>
      <c r="AF18" s="550"/>
      <c r="AG18" s="550"/>
      <c r="AH18" s="550"/>
      <c r="AI18" s="544"/>
    </row>
    <row r="19" spans="2:38" ht="20.399999999999999" customHeight="1" thickTop="1" thickBot="1">
      <c r="C19" s="605"/>
      <c r="D19" s="606"/>
      <c r="E19" s="607"/>
      <c r="F19" s="607"/>
      <c r="G19" s="608"/>
      <c r="H19" s="191"/>
      <c r="I19" s="652"/>
      <c r="J19" s="652"/>
      <c r="K19" s="652"/>
      <c r="L19" s="653"/>
      <c r="M19" s="125"/>
      <c r="N19" s="609" t="s">
        <v>1543</v>
      </c>
      <c r="O19" s="610"/>
      <c r="P19" s="610"/>
      <c r="Q19" s="610"/>
      <c r="R19" s="610"/>
      <c r="S19" s="610"/>
      <c r="T19" s="610"/>
      <c r="U19" s="610"/>
      <c r="V19" s="610"/>
      <c r="W19" s="610"/>
      <c r="X19" s="178"/>
      <c r="Y19" s="125"/>
      <c r="Z19" s="734" t="s">
        <v>2043</v>
      </c>
      <c r="AA19" s="734"/>
      <c r="AB19" s="735"/>
      <c r="AC19" s="732">
        <f>IF($AH$19&gt;($AC$16)/(0.9*AG9),$AH$19/0.8,($AC$16)/(0.9*AG9))</f>
        <v>1.8803418803418803</v>
      </c>
      <c r="AD19" s="464"/>
      <c r="AE19" s="736" t="s">
        <v>2044</v>
      </c>
      <c r="AF19" s="734"/>
      <c r="AG19" s="735"/>
      <c r="AH19" s="728">
        <f>$AC$16/(0.75*$AG$10*$AH$16)</f>
        <v>1.5042735042735043</v>
      </c>
      <c r="AI19" s="729"/>
      <c r="AL19"/>
    </row>
    <row r="20" spans="2:38" ht="20.399999999999999" customHeight="1" thickTop="1" thickBot="1">
      <c r="C20" s="611" t="s">
        <v>537</v>
      </c>
      <c r="D20" s="612"/>
      <c r="E20" s="584">
        <f>VLOOKUP(E18,'[2]Database 1'!$CL$3:$CO$36,3,FALSE)</f>
        <v>36</v>
      </c>
      <c r="F20" s="575"/>
      <c r="G20" s="613"/>
      <c r="H20" s="192"/>
      <c r="I20" s="550" t="s">
        <v>2061</v>
      </c>
      <c r="J20" s="550"/>
      <c r="K20" s="550"/>
      <c r="L20" s="544"/>
      <c r="M20" s="125"/>
      <c r="N20" s="614"/>
      <c r="O20" s="615"/>
      <c r="P20" s="615"/>
      <c r="Q20" s="615"/>
      <c r="R20" s="616"/>
      <c r="S20" s="218" t="s">
        <v>1992</v>
      </c>
      <c r="T20" s="219">
        <v>1</v>
      </c>
      <c r="U20" s="219">
        <v>2</v>
      </c>
      <c r="V20" s="185">
        <v>3</v>
      </c>
      <c r="W20" s="220">
        <v>4</v>
      </c>
      <c r="X20" s="178"/>
      <c r="Y20" s="125"/>
      <c r="Z20" s="734"/>
      <c r="AA20" s="734"/>
      <c r="AB20" s="735"/>
      <c r="AC20" s="733"/>
      <c r="AD20" s="197"/>
      <c r="AE20" s="737"/>
      <c r="AF20" s="738"/>
      <c r="AG20" s="739"/>
      <c r="AH20" s="730"/>
      <c r="AI20" s="731"/>
    </row>
    <row r="21" spans="2:38" ht="17.399999999999999" thickTop="1" thickBot="1">
      <c r="C21" s="620" t="s">
        <v>538</v>
      </c>
      <c r="D21" s="621"/>
      <c r="E21" s="557">
        <f>VLOOKUP(E18,'[2]Database 1'!$CL$3:$CO$36,4,FALSE)</f>
        <v>58</v>
      </c>
      <c r="F21" s="557"/>
      <c r="G21" s="558"/>
      <c r="H21" s="193"/>
      <c r="I21" s="545">
        <f>MIN(I12,I15,I18)</f>
        <v>4.0237499999999962</v>
      </c>
      <c r="J21" s="622"/>
      <c r="K21" s="622"/>
      <c r="L21" s="547"/>
      <c r="M21" s="125"/>
      <c r="N21" s="617"/>
      <c r="O21" s="618"/>
      <c r="P21" s="618"/>
      <c r="Q21" s="618"/>
      <c r="R21" s="618"/>
      <c r="S21" s="217" t="s">
        <v>1994</v>
      </c>
      <c r="T21" s="243">
        <f>$E$23</f>
        <v>2.7</v>
      </c>
      <c r="U21" s="243">
        <f t="shared" ref="U21:W21" si="0">$E$23</f>
        <v>2.7</v>
      </c>
      <c r="V21" s="243">
        <f t="shared" si="0"/>
        <v>2.7</v>
      </c>
      <c r="W21" s="244">
        <f t="shared" si="0"/>
        <v>2.7</v>
      </c>
      <c r="Z21" s="740" t="s">
        <v>1907</v>
      </c>
      <c r="AA21" s="741"/>
      <c r="AB21" s="742"/>
      <c r="AC21" s="245">
        <f>($AH$12*12)/300</f>
        <v>0.6</v>
      </c>
      <c r="AD21" s="197"/>
      <c r="AE21" s="197"/>
      <c r="AF21" s="197"/>
      <c r="AG21" s="197"/>
      <c r="AH21" s="197"/>
      <c r="AI21" s="198"/>
    </row>
    <row r="22" spans="2:38" ht="17.399999999999999" thickTop="1" thickBot="1">
      <c r="C22" s="567"/>
      <c r="D22" s="568"/>
      <c r="E22" s="568"/>
      <c r="F22" s="568"/>
      <c r="G22" s="569"/>
      <c r="H22" s="191"/>
      <c r="I22" s="197"/>
      <c r="J22" s="197"/>
      <c r="K22" s="197"/>
      <c r="L22" s="198"/>
      <c r="M22" s="125"/>
      <c r="N22" s="617"/>
      <c r="O22" s="618"/>
      <c r="P22" s="618"/>
      <c r="Q22" s="618"/>
      <c r="R22" s="618"/>
      <c r="S22" s="181" t="s">
        <v>1995</v>
      </c>
      <c r="T22" s="245">
        <f>T21-($G$14*$E$11*$T$23)</f>
        <v>1.2656250000000002</v>
      </c>
      <c r="U22" s="245">
        <f>U21-($G$14*$E$11*$E$17)</f>
        <v>1.7437500000000004</v>
      </c>
      <c r="V22" s="245">
        <f t="shared" ref="V22:W22" si="1">V21-($G$14*$E$11*$E$17)</f>
        <v>1.7437500000000004</v>
      </c>
      <c r="W22" s="246">
        <f t="shared" si="1"/>
        <v>1.7437500000000004</v>
      </c>
      <c r="Y22" s="125"/>
      <c r="Z22" s="200"/>
      <c r="AA22" s="200"/>
      <c r="AB22" s="200"/>
      <c r="AC22" s="200"/>
      <c r="AD22" s="618"/>
      <c r="AE22" s="618"/>
      <c r="AF22" s="197"/>
      <c r="AG22" s="197"/>
      <c r="AH22" s="197"/>
      <c r="AI22" s="198"/>
    </row>
    <row r="23" spans="2:38" ht="21.6" thickTop="1" thickBot="1">
      <c r="C23" s="623" t="s">
        <v>1996</v>
      </c>
      <c r="D23" s="624"/>
      <c r="E23" s="625">
        <f>VLOOKUP(E9,'[2]Database 1'!B2:$F$1102,5,FALSE)</f>
        <v>2.7</v>
      </c>
      <c r="F23" s="626"/>
      <c r="G23" s="627"/>
      <c r="H23" s="192"/>
      <c r="I23" s="541" t="s">
        <v>2059</v>
      </c>
      <c r="J23" s="542"/>
      <c r="K23" s="543" t="s">
        <v>2060</v>
      </c>
      <c r="L23" s="544"/>
      <c r="M23" s="125"/>
      <c r="N23" s="617"/>
      <c r="O23" s="618"/>
      <c r="P23" s="618"/>
      <c r="Q23" s="618"/>
      <c r="R23" s="618"/>
      <c r="S23" s="182" t="s">
        <v>1997</v>
      </c>
      <c r="T23" s="247">
        <v>3</v>
      </c>
      <c r="U23" s="247">
        <v>0</v>
      </c>
      <c r="V23" s="247">
        <v>0</v>
      </c>
      <c r="W23" s="248">
        <v>0</v>
      </c>
      <c r="Y23" s="125"/>
      <c r="Z23" s="551" t="s">
        <v>1908</v>
      </c>
      <c r="AA23" s="552"/>
      <c r="AB23" s="552"/>
      <c r="AC23" s="552"/>
      <c r="AD23" s="552"/>
      <c r="AE23" s="552"/>
      <c r="AF23" s="552"/>
      <c r="AG23" s="553"/>
      <c r="AH23" s="553"/>
      <c r="AI23" s="554"/>
    </row>
    <row r="24" spans="2:38" ht="21" thickTop="1" thickBot="1">
      <c r="C24" s="628" t="s">
        <v>563</v>
      </c>
      <c r="D24" s="629"/>
      <c r="E24" s="630">
        <f>MIN($E$23-($E$17*G14*E11),T39)</f>
        <v>1.7437500000000004</v>
      </c>
      <c r="F24" s="630"/>
      <c r="G24" s="631"/>
      <c r="H24" s="191"/>
      <c r="I24" s="545">
        <f>I21/(1.2+1.6*E30)</f>
        <v>0.52944078947368367</v>
      </c>
      <c r="J24" s="546"/>
      <c r="K24" s="545">
        <f>I24/E30</f>
        <v>0.13236019736842092</v>
      </c>
      <c r="L24" s="547"/>
      <c r="M24" s="125"/>
      <c r="N24" s="617"/>
      <c r="O24" s="618"/>
      <c r="P24" s="618"/>
      <c r="Q24" s="618"/>
      <c r="R24" s="618"/>
      <c r="S24" s="181" t="s">
        <v>1998</v>
      </c>
      <c r="T24" s="242">
        <v>4</v>
      </c>
      <c r="U24" s="242">
        <v>0</v>
      </c>
      <c r="V24" s="242"/>
      <c r="W24" s="249"/>
      <c r="Y24" s="125"/>
      <c r="Z24" s="466" t="s">
        <v>1909</v>
      </c>
      <c r="AA24" s="743" t="s">
        <v>1557</v>
      </c>
      <c r="AB24" s="744"/>
      <c r="AC24" s="219" t="s">
        <v>1994</v>
      </c>
      <c r="AD24" s="219" t="s">
        <v>1910</v>
      </c>
      <c r="AE24" s="471" t="s">
        <v>2039</v>
      </c>
      <c r="AF24" s="185" t="s">
        <v>2040</v>
      </c>
      <c r="AG24" s="751" t="s">
        <v>2041</v>
      </c>
      <c r="AH24" s="752"/>
      <c r="AI24" s="468" t="s">
        <v>1911</v>
      </c>
    </row>
    <row r="25" spans="2:38" ht="21.6" customHeight="1" thickTop="1" thickBot="1">
      <c r="C25" s="567"/>
      <c r="D25" s="568"/>
      <c r="E25" s="568"/>
      <c r="F25" s="568"/>
      <c r="G25" s="569"/>
      <c r="H25" s="191"/>
      <c r="I25" s="197"/>
      <c r="J25" s="197"/>
      <c r="K25" s="197"/>
      <c r="L25" s="198"/>
      <c r="M25" s="125"/>
      <c r="N25" s="617"/>
      <c r="O25" s="618"/>
      <c r="P25" s="618"/>
      <c r="Q25" s="618"/>
      <c r="R25" s="618"/>
      <c r="S25" s="183" t="s">
        <v>1999</v>
      </c>
      <c r="T25" s="247">
        <v>2</v>
      </c>
      <c r="U25" s="247">
        <v>0</v>
      </c>
      <c r="V25" s="247"/>
      <c r="W25" s="248"/>
      <c r="Y25" s="125"/>
      <c r="Z25" s="467" t="s">
        <v>7</v>
      </c>
      <c r="AA25" s="592" t="str">
        <f>INDEX(Lnew,MATCH($AC$19,Lag,-1))</f>
        <v>L4X4X1/4</v>
      </c>
      <c r="AB25" s="593"/>
      <c r="AC25" s="469">
        <f>VLOOKUP(AA25,'[1]Database 1'!C2:F138,4,FALSE)</f>
        <v>1.93</v>
      </c>
      <c r="AD25" s="243">
        <f>VLOOKUP(AA25,'[1]Database 1'!G2:W138,17,FALSE)</f>
        <v>0.25</v>
      </c>
      <c r="AE25" s="472">
        <f>VLOOKUP($AA$25,'[1]Database 1'!G2:AV138,41,FALSE)</f>
        <v>1.25</v>
      </c>
      <c r="AF25" s="253">
        <f>AD25*$AC$11</f>
        <v>0.25</v>
      </c>
      <c r="AG25" s="750">
        <f>$AH$19+AF25</f>
        <v>1.7542735042735043</v>
      </c>
      <c r="AH25" s="723"/>
      <c r="AI25" s="473" t="str">
        <f>IF('Database 1'!CM92+'Database 1'!CN92=2,"SAFE","UNSAFE")</f>
        <v>SAFE</v>
      </c>
    </row>
    <row r="26" spans="2:38" ht="20.399999999999999" customHeight="1" thickTop="1" thickBot="1">
      <c r="C26" s="597" t="s">
        <v>2000</v>
      </c>
      <c r="D26" s="632"/>
      <c r="E26" s="565" t="s">
        <v>542</v>
      </c>
      <c r="F26" s="565"/>
      <c r="G26" s="566"/>
      <c r="H26" s="302"/>
      <c r="I26" s="541" t="s">
        <v>1993</v>
      </c>
      <c r="J26" s="550"/>
      <c r="K26" s="550"/>
      <c r="L26" s="544"/>
      <c r="M26" s="125"/>
      <c r="N26" s="617"/>
      <c r="O26" s="618"/>
      <c r="P26" s="618"/>
      <c r="Q26" s="618"/>
      <c r="R26" s="618"/>
      <c r="S26" s="181" t="s">
        <v>2004</v>
      </c>
      <c r="T26" s="245">
        <f>IF(T25=0,"",(T24*T24*$E$11/(4*T25)))</f>
        <v>0.85</v>
      </c>
      <c r="U26" s="245" t="str">
        <f t="shared" ref="U26:W26" si="2">IF(U25=0,"",(U24*U24*$E$11/(4*U25)))</f>
        <v/>
      </c>
      <c r="V26" s="245" t="str">
        <f t="shared" si="2"/>
        <v/>
      </c>
      <c r="W26" s="246" t="str">
        <f t="shared" si="2"/>
        <v/>
      </c>
      <c r="Y26" s="125"/>
      <c r="Z26" s="241" t="s">
        <v>145</v>
      </c>
      <c r="AA26" s="594" t="str">
        <f>INDEX(WTnew,MATCH($AC$19,AgWT,-1))</f>
        <v>WT2X6.5</v>
      </c>
      <c r="AB26" s="595"/>
      <c r="AC26" s="245">
        <f>VLOOKUP(AA26,'[1]Database 1'!C139:F421,4,FALSE)</f>
        <v>1.91</v>
      </c>
      <c r="AD26" s="245">
        <f>VLOOKUP(AA26,'[1]Database 1'!G139:AN421,15,FALSE)</f>
        <v>0.34499999999999997</v>
      </c>
      <c r="AE26" s="245">
        <f>VLOOKUP(AA26,'Database 1'!D140:AV422,45,FALSE)</f>
        <v>1</v>
      </c>
      <c r="AF26" s="238">
        <f>AD26*$AC$11</f>
        <v>0.34499999999999997</v>
      </c>
      <c r="AG26" s="596">
        <f>$AH$19+AF26</f>
        <v>1.8492735042735042</v>
      </c>
      <c r="AH26" s="576"/>
      <c r="AI26" s="473" t="str">
        <f>IF('Database 1'!CM93+'Database 1'!CN93=2,"SAFE","UNSAFE")</f>
        <v>SAFE</v>
      </c>
    </row>
    <row r="27" spans="2:38" ht="22.8" customHeight="1" thickTop="1" thickBot="1">
      <c r="C27" s="535"/>
      <c r="D27" s="536"/>
      <c r="E27" s="557">
        <f>VLOOKUP(E26,'[2]Database 1'!$CK$48:$CM$51,3,FALSE)</f>
        <v>1</v>
      </c>
      <c r="F27" s="557"/>
      <c r="G27" s="558"/>
      <c r="H27" s="302"/>
      <c r="I27" s="548">
        <f>IF(L9="lrfd",1.2*I24+1.6*K24,I24+K24)</f>
        <v>0.84710526315789392</v>
      </c>
      <c r="J27" s="549"/>
      <c r="K27" s="549"/>
      <c r="L27" s="549"/>
      <c r="M27" s="465"/>
      <c r="N27" s="618"/>
      <c r="O27" s="618"/>
      <c r="P27" s="618"/>
      <c r="Q27" s="618"/>
      <c r="R27" s="618"/>
      <c r="S27" s="181" t="s">
        <v>2006</v>
      </c>
      <c r="T27" s="242">
        <v>5</v>
      </c>
      <c r="U27" s="242"/>
      <c r="V27" s="242">
        <v>0</v>
      </c>
      <c r="W27" s="249"/>
      <c r="Y27" s="125"/>
      <c r="Z27" s="241" t="s">
        <v>429</v>
      </c>
      <c r="AA27" s="594" t="str">
        <f>INDEX(MTnew,MATCH($AC$19,MTag,-1))</f>
        <v>MT2.5X9.45</v>
      </c>
      <c r="AB27" s="595"/>
      <c r="AC27" s="245">
        <f>VLOOKUP(AA27,'Database 1'!D423:G436,4,FALSE)</f>
        <v>2.78</v>
      </c>
      <c r="AD27" s="245">
        <f>VLOOKUP(AA27,'Database 1'!D423:X436,21,FALSE)</f>
        <v>0.41599999999999998</v>
      </c>
      <c r="AE27" s="245">
        <f>VLOOKUP(AA27,'Database 1'!D423:AV436,45,FALSE)</f>
        <v>1.26</v>
      </c>
      <c r="AF27" s="238">
        <f>AD27*$AC$11</f>
        <v>0.41599999999999998</v>
      </c>
      <c r="AG27" s="596">
        <f>$AH$19+AF27</f>
        <v>1.9202735042735042</v>
      </c>
      <c r="AH27" s="576"/>
      <c r="AI27" s="473" t="str">
        <f>IF('Database 1'!CM94+'Database 1'!CN94=2,"SAFE","UNSAFE")</f>
        <v>SAFE</v>
      </c>
    </row>
    <row r="28" spans="2:38" ht="17.399999999999999" thickTop="1" thickBot="1">
      <c r="B28" s="125"/>
      <c r="C28" s="223"/>
      <c r="D28" s="189"/>
      <c r="E28" s="189"/>
      <c r="F28" s="200"/>
      <c r="G28" s="199"/>
      <c r="H28" s="200"/>
      <c r="I28" s="200"/>
      <c r="J28" s="200"/>
      <c r="K28" s="200"/>
      <c r="L28" s="305"/>
      <c r="M28" s="125"/>
      <c r="N28" s="617"/>
      <c r="O28" s="618"/>
      <c r="P28" s="618"/>
      <c r="Q28" s="618"/>
      <c r="R28" s="618"/>
      <c r="S28" s="183" t="s">
        <v>2007</v>
      </c>
      <c r="T28" s="247">
        <v>2</v>
      </c>
      <c r="U28" s="247"/>
      <c r="V28" s="247">
        <v>0</v>
      </c>
      <c r="W28" s="248"/>
      <c r="Y28" s="125"/>
      <c r="Z28" s="241" t="s">
        <v>444</v>
      </c>
      <c r="AA28" s="594" t="str">
        <f>INDEX(STnew,MATCH($AC$19,AgST,-1))</f>
        <v>ST3X8.6</v>
      </c>
      <c r="AB28" s="595"/>
      <c r="AC28" s="245">
        <f>VLOOKUP(AA28,'[1]Database 1'!C436:F463,4,FALSE)</f>
        <v>2.5299999999999998</v>
      </c>
      <c r="AD28" s="245">
        <f>VLOOKUP(AA28,'[1]Database 1'!C436:U463,19,FALSE)</f>
        <v>0.35899999999999999</v>
      </c>
      <c r="AE28" s="245">
        <f>VLOOKUP(AA28,'[1]Database 1'!C436:AU463,45,FALSE)</f>
        <v>0.67300000000000004</v>
      </c>
      <c r="AF28" s="238">
        <f>AD28*$AC$11</f>
        <v>0.35899999999999999</v>
      </c>
      <c r="AG28" s="596">
        <f>$AH$19+AF28</f>
        <v>1.8632735042735042</v>
      </c>
      <c r="AH28" s="576"/>
      <c r="AI28" s="473" t="str">
        <f>IF('Database 1'!CM95+'Database 1'!CN95=2,"SAFE","UNSAFE")</f>
        <v>SAFE</v>
      </c>
    </row>
    <row r="29" spans="2:38" ht="17.399999999999999" thickTop="1" thickBot="1">
      <c r="B29" s="125"/>
      <c r="C29" s="597" t="s">
        <v>2001</v>
      </c>
      <c r="D29" s="598"/>
      <c r="E29" s="461" t="s">
        <v>2002</v>
      </c>
      <c r="F29" s="537" t="s">
        <v>2003</v>
      </c>
      <c r="G29" s="538"/>
      <c r="H29" s="200"/>
      <c r="I29" s="200"/>
      <c r="J29" s="200"/>
      <c r="K29" s="200"/>
      <c r="L29" s="199"/>
      <c r="M29" s="125"/>
      <c r="N29" s="617"/>
      <c r="O29" s="618"/>
      <c r="P29" s="618"/>
      <c r="Q29" s="618"/>
      <c r="R29" s="618"/>
      <c r="S29" s="181" t="s">
        <v>2008</v>
      </c>
      <c r="T29" s="245">
        <f>IF(T28=0,"",(T27*T27*$E$11/(4*T28)))</f>
        <v>1.328125</v>
      </c>
      <c r="U29" s="245" t="str">
        <f t="shared" ref="U29:W29" si="3">IF(U28=0,"",(U27*U27*$E$11/(4*U28)))</f>
        <v/>
      </c>
      <c r="V29" s="245" t="str">
        <f t="shared" si="3"/>
        <v/>
      </c>
      <c r="W29" s="246" t="str">
        <f t="shared" si="3"/>
        <v/>
      </c>
      <c r="Y29" s="125"/>
      <c r="Z29" s="258" t="s">
        <v>473</v>
      </c>
      <c r="AA29" s="748" t="str">
        <f>INDEX(DAnew,MATCH($AC$19,AgDA,-1))</f>
        <v>2L2X2X1/4</v>
      </c>
      <c r="AB29" s="749"/>
      <c r="AC29" s="470">
        <f>VLOOKUP(AA29,'[1]Database 1'!C464:F646,4,FALSE)</f>
        <v>1.89</v>
      </c>
      <c r="AD29" s="470">
        <f>(VLOOKUP(AA29,'[1]Database 1'!C464:W646,21,FALSE))*2</f>
        <v>0.5</v>
      </c>
      <c r="AE29" s="470">
        <f>VLOOKUP(AA29,'[1]Database 1'!G464:AU646,37,FALSE)</f>
        <v>0.60499999999999998</v>
      </c>
      <c r="AF29" s="257">
        <f>AD29*$AC$11</f>
        <v>0.5</v>
      </c>
      <c r="AG29" s="750">
        <f>$AH$19+AF29</f>
        <v>2.0042735042735043</v>
      </c>
      <c r="AH29" s="723"/>
      <c r="AI29" s="473" t="str">
        <f>IF('Database 1'!CM96+'Database 1'!CN96=2,"SAFE","UNSAFE")</f>
        <v>UNSAFE</v>
      </c>
    </row>
    <row r="30" spans="2:38" ht="17.399999999999999" thickTop="1" thickBot="1">
      <c r="B30" s="125"/>
      <c r="C30" s="535" t="s">
        <v>2005</v>
      </c>
      <c r="D30" s="536"/>
      <c r="E30" s="462">
        <v>4</v>
      </c>
      <c r="F30" s="539">
        <v>1</v>
      </c>
      <c r="G30" s="540"/>
      <c r="H30" s="200"/>
      <c r="I30" s="200"/>
      <c r="J30" s="200"/>
      <c r="K30" s="200"/>
      <c r="L30" s="199"/>
      <c r="M30" s="125"/>
      <c r="N30" s="617"/>
      <c r="O30" s="618"/>
      <c r="P30" s="618"/>
      <c r="Q30" s="618"/>
      <c r="R30" s="618"/>
      <c r="S30" s="181" t="s">
        <v>2009</v>
      </c>
      <c r="T30" s="247">
        <v>0</v>
      </c>
      <c r="U30" s="247"/>
      <c r="V30" s="247"/>
      <c r="W30" s="248">
        <v>0</v>
      </c>
    </row>
    <row r="31" spans="2:38" ht="17.399999999999999" thickTop="1" thickBot="1">
      <c r="B31" s="125"/>
      <c r="C31" s="303"/>
      <c r="D31" s="195"/>
      <c r="E31" s="226"/>
      <c r="F31" s="306"/>
      <c r="G31" s="226"/>
      <c r="H31" s="226"/>
      <c r="I31" s="226"/>
      <c r="J31" s="226"/>
      <c r="K31" s="226"/>
      <c r="L31" s="278"/>
      <c r="M31" s="125"/>
      <c r="N31" s="617"/>
      <c r="O31" s="618"/>
      <c r="P31" s="618"/>
      <c r="Q31" s="618"/>
      <c r="R31" s="618"/>
      <c r="S31" s="183" t="s">
        <v>2010</v>
      </c>
      <c r="T31" s="250">
        <v>0</v>
      </c>
      <c r="U31" s="242"/>
      <c r="V31" s="242"/>
      <c r="W31" s="249">
        <v>0</v>
      </c>
    </row>
    <row r="32" spans="2:38" ht="17.399999999999999" thickTop="1" thickBot="1">
      <c r="D32" s="304"/>
      <c r="M32" s="125"/>
      <c r="N32" s="617"/>
      <c r="O32" s="618"/>
      <c r="P32" s="618"/>
      <c r="Q32" s="618"/>
      <c r="R32" s="618"/>
      <c r="S32" s="181" t="s">
        <v>2011</v>
      </c>
      <c r="T32" s="245" t="str">
        <f>IF(T31=0,"",(T30*T30*$E$11/(4*T31)))</f>
        <v/>
      </c>
      <c r="U32" s="243" t="str">
        <f t="shared" ref="U32:W32" si="4">IF(U31=0,"",(U30*U30*$E$11/(4*U31)))</f>
        <v/>
      </c>
      <c r="V32" s="243" t="str">
        <f t="shared" si="4"/>
        <v/>
      </c>
      <c r="W32" s="244" t="str">
        <f t="shared" si="4"/>
        <v/>
      </c>
    </row>
    <row r="33" spans="3:35" ht="16.8" thickBot="1">
      <c r="M33" s="125"/>
      <c r="N33" s="617"/>
      <c r="O33" s="618"/>
      <c r="P33" s="618"/>
      <c r="Q33" s="618"/>
      <c r="R33" s="618"/>
      <c r="S33" s="181" t="s">
        <v>2012</v>
      </c>
      <c r="T33" s="247">
        <v>0</v>
      </c>
      <c r="U33" s="242"/>
      <c r="V33" s="242"/>
      <c r="W33" s="249">
        <v>0</v>
      </c>
      <c r="Z33" s="724" t="s">
        <v>1923</v>
      </c>
      <c r="AA33" s="725"/>
      <c r="AB33" s="563" t="s">
        <v>2038</v>
      </c>
      <c r="AC33" s="564"/>
      <c r="AD33" s="564"/>
      <c r="AE33" s="564"/>
      <c r="AF33" s="564"/>
      <c r="AG33" s="564"/>
      <c r="AH33" s="564"/>
      <c r="AI33" s="564"/>
    </row>
    <row r="34" spans="3:35" ht="16.8" customHeight="1" thickBot="1">
      <c r="C34" s="559" t="s">
        <v>1923</v>
      </c>
      <c r="D34" s="560"/>
      <c r="E34" s="563" t="s">
        <v>2038</v>
      </c>
      <c r="F34" s="564"/>
      <c r="G34" s="564"/>
      <c r="H34" s="564"/>
      <c r="I34" s="564"/>
      <c r="J34" s="564"/>
      <c r="K34" s="564"/>
      <c r="L34" s="564"/>
      <c r="M34" s="125"/>
      <c r="N34" s="617"/>
      <c r="O34" s="618"/>
      <c r="P34" s="618"/>
      <c r="Q34" s="618"/>
      <c r="R34" s="618"/>
      <c r="S34" s="183" t="s">
        <v>2013</v>
      </c>
      <c r="T34" s="242">
        <v>0</v>
      </c>
      <c r="U34" s="247"/>
      <c r="V34" s="247"/>
      <c r="W34" s="248">
        <v>0</v>
      </c>
      <c r="Z34" s="726"/>
      <c r="AA34" s="727"/>
      <c r="AB34" s="564"/>
      <c r="AC34" s="564"/>
      <c r="AD34" s="564"/>
      <c r="AE34" s="564"/>
      <c r="AF34" s="564"/>
      <c r="AG34" s="564"/>
      <c r="AH34" s="564"/>
      <c r="AI34" s="564"/>
    </row>
    <row r="35" spans="3:35" ht="16.8" customHeight="1" thickBot="1">
      <c r="C35" s="561"/>
      <c r="D35" s="562"/>
      <c r="E35" s="564"/>
      <c r="F35" s="564"/>
      <c r="G35" s="564"/>
      <c r="H35" s="564"/>
      <c r="I35" s="564"/>
      <c r="J35" s="564"/>
      <c r="K35" s="564"/>
      <c r="L35" s="564"/>
      <c r="M35" s="125"/>
      <c r="N35" s="617"/>
      <c r="O35" s="618"/>
      <c r="P35" s="618"/>
      <c r="Q35" s="618"/>
      <c r="R35" s="618"/>
      <c r="S35" s="181" t="s">
        <v>2014</v>
      </c>
      <c r="T35" s="243" t="str">
        <f>IF(T34=0,"",(T33*T33*$E$11/(4*T34)))</f>
        <v/>
      </c>
      <c r="U35" s="245" t="str">
        <f t="shared" ref="U35:W35" si="5">IF(U34=0,"",(U33*U33*$E$11/(4*U34)))</f>
        <v/>
      </c>
      <c r="V35" s="245" t="str">
        <f t="shared" si="5"/>
        <v/>
      </c>
      <c r="W35" s="246" t="str">
        <f t="shared" si="5"/>
        <v/>
      </c>
    </row>
    <row r="36" spans="3:35" ht="16.8" thickBot="1">
      <c r="M36" s="125"/>
      <c r="N36" s="617"/>
      <c r="O36" s="618"/>
      <c r="P36" s="618"/>
      <c r="Q36" s="618"/>
      <c r="R36" s="618"/>
      <c r="S36" s="181" t="s">
        <v>2015</v>
      </c>
      <c r="T36" s="245">
        <f>SUM(T26,T29,T32,T35)</f>
        <v>2.1781250000000001</v>
      </c>
      <c r="U36" s="245">
        <f t="shared" ref="U36:W36" si="6">SUM(U26,U29,U32,U35)</f>
        <v>0</v>
      </c>
      <c r="V36" s="245">
        <f t="shared" si="6"/>
        <v>0</v>
      </c>
      <c r="W36" s="246">
        <f t="shared" si="6"/>
        <v>0</v>
      </c>
    </row>
    <row r="37" spans="3:35">
      <c r="M37" s="125"/>
      <c r="N37" s="617"/>
      <c r="O37" s="618"/>
      <c r="P37" s="618"/>
      <c r="Q37" s="618"/>
      <c r="R37" s="618"/>
      <c r="S37" s="599" t="s">
        <v>564</v>
      </c>
      <c r="T37" s="601">
        <f>T22+T36</f>
        <v>3.4437500000000005</v>
      </c>
      <c r="U37" s="601" t="str">
        <f>IF(U23=0,"",U22+U36)</f>
        <v/>
      </c>
      <c r="V37" s="601" t="str">
        <f>IF(V23=0,"",V22+V36)</f>
        <v/>
      </c>
      <c r="W37" s="602" t="str">
        <f>IF(W23=0,"",W22+W36)</f>
        <v/>
      </c>
    </row>
    <row r="38" spans="3:35" ht="14.4" thickBot="1">
      <c r="M38" s="125"/>
      <c r="N38" s="617"/>
      <c r="O38" s="618"/>
      <c r="P38" s="618"/>
      <c r="Q38" s="618"/>
      <c r="R38" s="618"/>
      <c r="S38" s="600"/>
      <c r="T38" s="601"/>
      <c r="U38" s="601"/>
      <c r="V38" s="601"/>
      <c r="W38" s="602"/>
    </row>
    <row r="39" spans="3:35" ht="17.399999999999999" thickTop="1" thickBot="1">
      <c r="M39" s="125"/>
      <c r="N39" s="619"/>
      <c r="O39" s="586"/>
      <c r="P39" s="586"/>
      <c r="Q39" s="586"/>
      <c r="R39" s="586"/>
      <c r="S39" s="301" t="s">
        <v>1995</v>
      </c>
      <c r="T39" s="712">
        <f>MIN(T37,U37,V37,W37)</f>
        <v>3.4437500000000005</v>
      </c>
      <c r="U39" s="712"/>
      <c r="V39" s="712"/>
      <c r="W39" s="713"/>
    </row>
    <row r="40" spans="3:35" ht="14.4" thickTop="1"/>
    <row r="45" spans="3:35" ht="30" customHeight="1"/>
    <row r="46" spans="3:35" ht="40.200000000000003" customHeight="1"/>
    <row r="47" spans="3:35" ht="26.4" customHeight="1"/>
  </sheetData>
  <mergeCells count="160">
    <mergeCell ref="AG28:AH28"/>
    <mergeCell ref="AA29:AB29"/>
    <mergeCell ref="AG29:AH29"/>
    <mergeCell ref="AG24:AH24"/>
    <mergeCell ref="AG25:AH25"/>
    <mergeCell ref="Z4:AI4"/>
    <mergeCell ref="Z6:AD6"/>
    <mergeCell ref="Z7:AA7"/>
    <mergeCell ref="AB7:AC7"/>
    <mergeCell ref="AE7:AF8"/>
    <mergeCell ref="AG7:AH8"/>
    <mergeCell ref="Z8:AA8"/>
    <mergeCell ref="AB8:AC8"/>
    <mergeCell ref="Z15:AB15"/>
    <mergeCell ref="AC15:AD15"/>
    <mergeCell ref="AF15:AG16"/>
    <mergeCell ref="AH15:AI15"/>
    <mergeCell ref="Z16:AB16"/>
    <mergeCell ref="AH16:AI16"/>
    <mergeCell ref="Z11:AA11"/>
    <mergeCell ref="AC11:AC12"/>
    <mergeCell ref="AE6:AF6"/>
    <mergeCell ref="AG6:AH6"/>
    <mergeCell ref="Z12:AA12"/>
    <mergeCell ref="AE12:AG12"/>
    <mergeCell ref="Z5:AI5"/>
    <mergeCell ref="U10:V10"/>
    <mergeCell ref="T39:W39"/>
    <mergeCell ref="I9:K9"/>
    <mergeCell ref="Z9:AB9"/>
    <mergeCell ref="AE9:AF9"/>
    <mergeCell ref="AG9:AH9"/>
    <mergeCell ref="Z10:AA10"/>
    <mergeCell ref="AE10:AF10"/>
    <mergeCell ref="AG10:AH10"/>
    <mergeCell ref="Z33:AA34"/>
    <mergeCell ref="AB33:AI34"/>
    <mergeCell ref="AH19:AI20"/>
    <mergeCell ref="I19:L19"/>
    <mergeCell ref="AC19:AC20"/>
    <mergeCell ref="Z19:AB20"/>
    <mergeCell ref="AE19:AG20"/>
    <mergeCell ref="Z21:AB21"/>
    <mergeCell ref="AD22:AE22"/>
    <mergeCell ref="AA24:AB24"/>
    <mergeCell ref="Z18:AD18"/>
    <mergeCell ref="AE18:AI18"/>
    <mergeCell ref="AA27:AB27"/>
    <mergeCell ref="AG27:AH27"/>
    <mergeCell ref="C4:L5"/>
    <mergeCell ref="N4:W4"/>
    <mergeCell ref="N5:P5"/>
    <mergeCell ref="Q5:S5"/>
    <mergeCell ref="T5:W6"/>
    <mergeCell ref="C6:L6"/>
    <mergeCell ref="N6:P6"/>
    <mergeCell ref="Q6:S6"/>
    <mergeCell ref="C7:L7"/>
    <mergeCell ref="N7:P7"/>
    <mergeCell ref="Q7:S7"/>
    <mergeCell ref="T7:W8"/>
    <mergeCell ref="C8:G8"/>
    <mergeCell ref="I8:L8"/>
    <mergeCell ref="N8:P8"/>
    <mergeCell ref="Q8:S8"/>
    <mergeCell ref="W10:W12"/>
    <mergeCell ref="C11:D11"/>
    <mergeCell ref="E11:G11"/>
    <mergeCell ref="O11:P11"/>
    <mergeCell ref="Q11:R11"/>
    <mergeCell ref="S11:T11"/>
    <mergeCell ref="U11:V11"/>
    <mergeCell ref="C12:G12"/>
    <mergeCell ref="I12:L12"/>
    <mergeCell ref="O12:P12"/>
    <mergeCell ref="Q12:R12"/>
    <mergeCell ref="S12:T12"/>
    <mergeCell ref="U12:V12"/>
    <mergeCell ref="C9:D10"/>
    <mergeCell ref="E9:G10"/>
    <mergeCell ref="Q10:R10"/>
    <mergeCell ref="I11:L11"/>
    <mergeCell ref="I10:L10"/>
    <mergeCell ref="N9:W9"/>
    <mergeCell ref="N10:N12"/>
    <mergeCell ref="O10:P10"/>
    <mergeCell ref="S10:T10"/>
    <mergeCell ref="C13:D13"/>
    <mergeCell ref="E13:F13"/>
    <mergeCell ref="I14:L14"/>
    <mergeCell ref="N13:V13"/>
    <mergeCell ref="C14:D14"/>
    <mergeCell ref="E14:F14"/>
    <mergeCell ref="G14:G15"/>
    <mergeCell ref="N14:P14"/>
    <mergeCell ref="Q14:S14"/>
    <mergeCell ref="T14:U14"/>
    <mergeCell ref="C15:D15"/>
    <mergeCell ref="E15:F15"/>
    <mergeCell ref="N15:P15"/>
    <mergeCell ref="Q15:S15"/>
    <mergeCell ref="T15:U15"/>
    <mergeCell ref="I13:L13"/>
    <mergeCell ref="S37:S38"/>
    <mergeCell ref="T37:T38"/>
    <mergeCell ref="U37:U38"/>
    <mergeCell ref="V37:V38"/>
    <mergeCell ref="W37:W38"/>
    <mergeCell ref="C18:D19"/>
    <mergeCell ref="E18:G19"/>
    <mergeCell ref="N18:W18"/>
    <mergeCell ref="N19:W19"/>
    <mergeCell ref="C20:D20"/>
    <mergeCell ref="E20:G20"/>
    <mergeCell ref="I20:L20"/>
    <mergeCell ref="N20:R39"/>
    <mergeCell ref="C21:D21"/>
    <mergeCell ref="E21:G21"/>
    <mergeCell ref="I21:L21"/>
    <mergeCell ref="C22:G22"/>
    <mergeCell ref="C23:D23"/>
    <mergeCell ref="E23:G23"/>
    <mergeCell ref="C24:D24"/>
    <mergeCell ref="E24:G24"/>
    <mergeCell ref="C25:G25"/>
    <mergeCell ref="C26:D27"/>
    <mergeCell ref="I18:L18"/>
    <mergeCell ref="Z23:AI23"/>
    <mergeCell ref="Z14:AI14"/>
    <mergeCell ref="E27:G27"/>
    <mergeCell ref="C34:D35"/>
    <mergeCell ref="E34:L35"/>
    <mergeCell ref="E26:G26"/>
    <mergeCell ref="C16:G16"/>
    <mergeCell ref="I16:L16"/>
    <mergeCell ref="N16:P16"/>
    <mergeCell ref="Q16:S16"/>
    <mergeCell ref="T16:U16"/>
    <mergeCell ref="C17:D17"/>
    <mergeCell ref="E17:G17"/>
    <mergeCell ref="I17:L17"/>
    <mergeCell ref="N17:P17"/>
    <mergeCell ref="Q17:S17"/>
    <mergeCell ref="T17:W17"/>
    <mergeCell ref="W15:W16"/>
    <mergeCell ref="I15:L15"/>
    <mergeCell ref="AA25:AB25"/>
    <mergeCell ref="AA26:AB26"/>
    <mergeCell ref="AG26:AH26"/>
    <mergeCell ref="AA28:AB28"/>
    <mergeCell ref="C29:D29"/>
    <mergeCell ref="C30:D30"/>
    <mergeCell ref="F29:G29"/>
    <mergeCell ref="F30:G30"/>
    <mergeCell ref="I23:J23"/>
    <mergeCell ref="K23:L23"/>
    <mergeCell ref="I24:J24"/>
    <mergeCell ref="K24:L24"/>
    <mergeCell ref="I27:L27"/>
    <mergeCell ref="I26:L26"/>
  </mergeCells>
  <conditionalFormatting sqref="AI25:AI29">
    <cfRule type="containsText" dxfId="5" priority="1" operator="containsText" text="UNSAFE">
      <formula>NOT(ISERROR(SEARCH("UNSAFE",AI25)))</formula>
    </cfRule>
    <cfRule type="containsText" dxfId="4" priority="2" operator="containsText" text="SAFE">
      <formula>NOT(ISERROR(SEARCH("SAFE",AI25)))</formula>
    </cfRule>
    <cfRule type="containsText" dxfId="3" priority="3" operator="containsText" text="SAFE">
      <formula>NOT(ISERROR(SEARCH("SAFE",AI25)))</formula>
    </cfRule>
    <cfRule type="containsText" dxfId="2" priority="4" operator="containsText" text="SAFE">
      <formula>NOT(ISERROR(SEARCH("SAFE",AI25)))</formula>
    </cfRule>
    <cfRule type="containsText" priority="5" operator="containsText" text="SAFE">
      <formula>NOT(ISERROR(SEARCH("SAFE",AI25)))</formula>
    </cfRule>
  </conditionalFormatting>
  <dataValidations xWindow="569" yWindow="378" count="7">
    <dataValidation allowBlank="1" showInputMessage="1" showErrorMessage="1" prompt="Insert only one value for either bolt or hole diameter. Enter Zero of this field is not applicable." sqref="AB11:AB12" xr:uid="{5B4231AF-606D-4B64-B61A-E1854DDAECCD}"/>
    <dataValidation allowBlank="1" showInputMessage="1" showErrorMessage="1" prompt="The thickness used in this section is the flange thickness, assuming that the bolt is connected to the flange that causes critical tension capacity. " sqref="AD26" xr:uid="{A48D7777-CBCA-4942-8681-C82B9EE0F426}"/>
    <dataValidation type="decimal" allowBlank="1" showInputMessage="1" showErrorMessage="1" prompt="The value of U is assumed to be 0.6 for a more conservative answer." sqref="AH16:AI16" xr:uid="{6118D781-3339-426D-84D6-FB094203EE22}">
      <formula1>0.6</formula1>
      <formula2>0.6</formula2>
    </dataValidation>
    <dataValidation allowBlank="1" showInputMessage="1" showErrorMessage="1" prompt="Input the desired Live load." sqref="AB8:AC8" xr:uid="{9FFC3917-7A0F-43FA-9722-F0002F2118C8}"/>
    <dataValidation allowBlank="1" showInputMessage="1" showErrorMessage="1" prompt="Input the desired Dead Load." sqref="AB7:AC7" xr:uid="{A240DF1F-E6FF-4D03-BDD6-5B5E3F3A6B6D}"/>
    <dataValidation allowBlank="1" showInputMessage="1" showErrorMessage="1" prompt="If Shear Lag Factor is unidentified, assume Case 8a (U=0.8)." sqref="AF15:AG16" xr:uid="{F439FDB8-0E36-4B1E-9589-CB4031D3B95F}"/>
    <dataValidation type="list" allowBlank="1" showInputMessage="1" showErrorMessage="1" sqref="L9" xr:uid="{A791EF83-D285-442E-977E-9C9E54C05B70}">
      <formula1>$BV$9:$BV$10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xWindow="569" yWindow="378" count="5">
        <x14:dataValidation type="list" allowBlank="1" showInputMessage="1" showErrorMessage="1" xr:uid="{62D97E0D-2A2A-44A1-804B-24488915A108}">
          <x14:formula1>
            <xm:f>'Database 1'!$CM$3:$CM$36</xm:f>
          </x14:formula1>
          <xm:sqref>AG7:AH8 E18:G19</xm:sqref>
        </x14:dataValidation>
        <x14:dataValidation type="list" allowBlank="1" showInputMessage="1" showErrorMessage="1" xr:uid="{734D458D-ACFB-4A2B-A4AB-CABFE3C9D066}">
          <x14:formula1>
            <xm:f>'Database 1'!$C$3:$C$1103</xm:f>
          </x14:formula1>
          <xm:sqref>E9:G10</xm:sqref>
        </x14:dataValidation>
        <x14:dataValidation type="list" allowBlank="1" showInputMessage="1" showErrorMessage="1" xr:uid="{4857C25C-FE38-49AE-BFFF-04D5CE3276FD}">
          <x14:formula1>
            <xm:f>'Database 1'!$CL$46:$CL$49</xm:f>
          </x14:formula1>
          <xm:sqref>E26:G26</xm:sqref>
        </x14:dataValidation>
        <x14:dataValidation type="list" allowBlank="1" showInputMessage="1" showErrorMessage="1" xr:uid="{018B8D8B-AF09-4A72-9BC1-A9A3647474BC}">
          <x14:formula1>
            <xm:f>'Database 1'!$CL$40:$CL$41</xm:f>
          </x14:formula1>
          <xm:sqref>Q14:S14</xm:sqref>
        </x14:dataValidation>
        <x14:dataValidation type="list" allowBlank="1" showInputMessage="1" showErrorMessage="1" xr:uid="{54985CFD-A06D-4805-B360-7519A12CA698}">
          <x14:formula1>
            <xm:f>'Database 1'!$CP$40:$CP$41</xm:f>
          </x14:formula1>
          <xm:sqref>AG6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C732-1C33-4B02-9265-61D60B75ECD9}">
  <dimension ref="A1:BH170"/>
  <sheetViews>
    <sheetView zoomScale="84" zoomScaleNormal="53" workbookViewId="0">
      <selection activeCell="BA49" sqref="BA49"/>
    </sheetView>
  </sheetViews>
  <sheetFormatPr defaultRowHeight="14.4"/>
  <cols>
    <col min="4" max="4" width="17.21875" customWidth="1"/>
    <col min="5" max="5" width="11.88671875" customWidth="1"/>
    <col min="6" max="6" width="28.33203125" customWidth="1"/>
    <col min="7" max="7" width="10.5546875" customWidth="1"/>
    <col min="8" max="8" width="11.44140625" customWidth="1"/>
    <col min="9" max="9" width="11.21875" customWidth="1"/>
    <col min="14" max="14" width="9" bestFit="1" customWidth="1"/>
    <col min="15" max="15" width="15.77734375" customWidth="1"/>
    <col min="16" max="16" width="9" bestFit="1" customWidth="1"/>
    <col min="17" max="17" width="13.6640625" customWidth="1"/>
    <col min="18" max="18" width="12.6640625" bestFit="1" customWidth="1"/>
    <col min="19" max="20" width="9" bestFit="1" customWidth="1"/>
    <col min="21" max="21" width="12.109375" customWidth="1"/>
    <col min="22" max="22" width="18.44140625" customWidth="1"/>
    <col min="23" max="23" width="11.5546875" customWidth="1"/>
    <col min="24" max="25" width="9" bestFit="1" customWidth="1"/>
    <col min="26" max="26" width="20.109375" customWidth="1"/>
    <col min="27" max="27" width="9" bestFit="1" customWidth="1"/>
    <col min="28" max="28" width="16.77734375" customWidth="1"/>
    <col min="29" max="29" width="23.5546875" customWidth="1"/>
    <col min="30" max="30" width="23.44140625" customWidth="1"/>
    <col min="35" max="35" width="14.44140625" customWidth="1"/>
    <col min="37" max="37" width="14.44140625" bestFit="1" customWidth="1"/>
    <col min="43" max="43" width="16" bestFit="1" customWidth="1"/>
    <col min="47" max="47" width="19.21875" customWidth="1"/>
    <col min="48" max="48" width="8.88671875" customWidth="1"/>
    <col min="51" max="51" width="18.109375" customWidth="1"/>
    <col min="52" max="52" width="11.6640625" bestFit="1" customWidth="1"/>
    <col min="55" max="55" width="18.77734375" bestFit="1" customWidth="1"/>
    <col min="56" max="56" width="18.33203125" bestFit="1" customWidth="1"/>
    <col min="58" max="58" width="19.88671875" bestFit="1" customWidth="1"/>
  </cols>
  <sheetData>
    <row r="1" spans="1:59">
      <c r="A1" s="299"/>
      <c r="B1" s="299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</row>
    <row r="2" spans="1:59">
      <c r="A2" s="299"/>
      <c r="B2" s="299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</row>
    <row r="3" spans="1:59" ht="15" thickBot="1">
      <c r="A3" s="299"/>
      <c r="B3" s="299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</row>
    <row r="4" spans="1:59" ht="18" customHeight="1" thickTop="1" thickBot="1">
      <c r="A4" s="299"/>
      <c r="B4" s="300"/>
      <c r="C4" s="1082" t="s">
        <v>1838</v>
      </c>
      <c r="D4" s="1083"/>
      <c r="E4" s="1083"/>
      <c r="F4" s="1083"/>
      <c r="G4" s="1083"/>
      <c r="H4" s="1083"/>
      <c r="I4" s="1083"/>
      <c r="J4" s="1083"/>
      <c r="K4" s="1083"/>
      <c r="L4" s="1084"/>
      <c r="M4" s="124"/>
      <c r="N4" s="687" t="s">
        <v>1839</v>
      </c>
      <c r="O4" s="1017"/>
      <c r="P4" s="1017"/>
      <c r="Q4" s="1017"/>
      <c r="R4" s="1017"/>
      <c r="S4" s="1017"/>
      <c r="T4" s="1017"/>
      <c r="U4" s="1017"/>
      <c r="V4" s="1017"/>
      <c r="W4" s="1018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</row>
    <row r="5" spans="1:59" ht="18" customHeight="1" thickTop="1" thickBot="1">
      <c r="A5" s="299"/>
      <c r="B5" s="300"/>
      <c r="C5" s="1085"/>
      <c r="D5" s="1085"/>
      <c r="E5" s="1085"/>
      <c r="F5" s="1085"/>
      <c r="G5" s="1085"/>
      <c r="H5" s="1085"/>
      <c r="I5" s="1085"/>
      <c r="J5" s="1085"/>
      <c r="K5" s="1085"/>
      <c r="L5" s="1086"/>
      <c r="M5" s="124"/>
      <c r="N5" s="859" t="s">
        <v>1840</v>
      </c>
      <c r="O5" s="860"/>
      <c r="P5" s="861"/>
      <c r="Q5" s="1060" t="s">
        <v>1841</v>
      </c>
      <c r="R5" s="860"/>
      <c r="S5" s="861"/>
      <c r="T5" s="1060" t="s">
        <v>1842</v>
      </c>
      <c r="U5" s="1087"/>
      <c r="V5" s="860" t="s">
        <v>1843</v>
      </c>
      <c r="W5" s="109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</row>
    <row r="6" spans="1:59" ht="15.6" thickTop="1" thickBot="1">
      <c r="A6" s="299"/>
      <c r="B6" s="300"/>
      <c r="C6" s="1005"/>
      <c r="D6" s="1006"/>
      <c r="E6" s="1006"/>
      <c r="F6" s="1006"/>
      <c r="G6" s="1006"/>
      <c r="H6" s="1006"/>
      <c r="I6" s="1006"/>
      <c r="J6" s="1006"/>
      <c r="K6" s="1006"/>
      <c r="L6" s="1007"/>
      <c r="M6" s="124"/>
      <c r="N6" s="1061" t="s">
        <v>1845</v>
      </c>
      <c r="O6" s="1062"/>
      <c r="P6" s="1063"/>
      <c r="Q6" s="1064" t="s">
        <v>1847</v>
      </c>
      <c r="R6" s="1065"/>
      <c r="S6" s="1066"/>
      <c r="T6" s="1088"/>
      <c r="U6" s="1089"/>
      <c r="V6" s="1091"/>
      <c r="W6" s="1092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</row>
    <row r="7" spans="1:59" ht="15.6" thickTop="1" thickBot="1">
      <c r="A7" s="299"/>
      <c r="B7" s="300"/>
      <c r="C7" s="1016" t="s">
        <v>1913</v>
      </c>
      <c r="D7" s="1017"/>
      <c r="E7" s="1017"/>
      <c r="F7" s="1017"/>
      <c r="G7" s="1017"/>
      <c r="H7" s="1017"/>
      <c r="I7" s="1017"/>
      <c r="J7" s="1017"/>
      <c r="K7" s="1017"/>
      <c r="L7" s="1018"/>
      <c r="M7" s="288"/>
      <c r="N7" s="821" t="s">
        <v>1844</v>
      </c>
      <c r="O7" s="843">
        <f>$K$39</f>
        <v>24</v>
      </c>
      <c r="P7" s="844"/>
      <c r="Q7" s="1020" t="s">
        <v>1846</v>
      </c>
      <c r="R7" s="1067">
        <f>$F$17</f>
        <v>5.15</v>
      </c>
      <c r="S7" s="1068"/>
      <c r="T7" s="847" t="s">
        <v>1848</v>
      </c>
      <c r="U7" s="1009">
        <f>($O$7*12)/R7</f>
        <v>55.922330097087375</v>
      </c>
      <c r="V7" s="1011">
        <f>MAX($U$7:$U$14)</f>
        <v>92.307692307692307</v>
      </c>
      <c r="W7" s="1012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G7" s="120"/>
    </row>
    <row r="8" spans="1:59" ht="15.6" thickTop="1" thickBot="1">
      <c r="A8" s="299"/>
      <c r="B8" s="300"/>
      <c r="C8" s="860" t="s">
        <v>1849</v>
      </c>
      <c r="D8" s="1093"/>
      <c r="E8" s="1093"/>
      <c r="F8" s="1093"/>
      <c r="G8" s="1093"/>
      <c r="H8" s="1093"/>
      <c r="I8" s="1093"/>
      <c r="J8" s="1093"/>
      <c r="K8" s="1093"/>
      <c r="L8" s="1094"/>
      <c r="M8" s="124"/>
      <c r="N8" s="1019"/>
      <c r="O8" s="845"/>
      <c r="P8" s="846"/>
      <c r="Q8" s="1021"/>
      <c r="R8" s="1069"/>
      <c r="S8" s="1070"/>
      <c r="T8" s="1008"/>
      <c r="U8" s="1010"/>
      <c r="V8" s="1013"/>
      <c r="W8" s="1012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0"/>
      <c r="BG8" s="120"/>
    </row>
    <row r="9" spans="1:59">
      <c r="A9" s="299"/>
      <c r="B9" s="300"/>
      <c r="C9" s="1100" t="s">
        <v>1850</v>
      </c>
      <c r="D9" s="1100"/>
      <c r="E9" s="1101"/>
      <c r="F9" s="692" t="s">
        <v>1471</v>
      </c>
      <c r="G9" s="1104"/>
      <c r="H9" s="1104"/>
      <c r="I9" s="1104"/>
      <c r="J9" s="1104"/>
      <c r="K9" s="1104"/>
      <c r="L9" s="1105"/>
      <c r="M9" s="124"/>
      <c r="N9" s="854" t="s">
        <v>1851</v>
      </c>
      <c r="O9" s="843">
        <f>$K$41</f>
        <v>15</v>
      </c>
      <c r="P9" s="844"/>
      <c r="Q9" s="1020" t="s">
        <v>1852</v>
      </c>
      <c r="R9" s="1073">
        <f>$F$18</f>
        <v>1.95</v>
      </c>
      <c r="S9" s="1074"/>
      <c r="T9" s="847" t="s">
        <v>1853</v>
      </c>
      <c r="U9" s="1097">
        <f>($O$9*12)/R9</f>
        <v>92.307692307692307</v>
      </c>
      <c r="V9" s="1013"/>
      <c r="W9" s="1012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</row>
    <row r="10" spans="1:59" ht="15" thickBot="1">
      <c r="A10" s="299"/>
      <c r="B10" s="300"/>
      <c r="C10" s="1102"/>
      <c r="D10" s="1102"/>
      <c r="E10" s="1103"/>
      <c r="F10" s="1106"/>
      <c r="G10" s="1106"/>
      <c r="H10" s="1106"/>
      <c r="I10" s="1106"/>
      <c r="J10" s="1106"/>
      <c r="K10" s="1106"/>
      <c r="L10" s="1107"/>
      <c r="M10" s="124"/>
      <c r="N10" s="1108"/>
      <c r="O10" s="830"/>
      <c r="P10" s="831"/>
      <c r="Q10" s="1080"/>
      <c r="R10" s="1073"/>
      <c r="S10" s="1074"/>
      <c r="T10" s="1095"/>
      <c r="U10" s="1098"/>
      <c r="V10" s="1013"/>
      <c r="W10" s="1012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</row>
    <row r="11" spans="1:59">
      <c r="A11" s="299"/>
      <c r="B11" s="300"/>
      <c r="C11" s="1100" t="s">
        <v>1854</v>
      </c>
      <c r="D11" s="1110"/>
      <c r="E11" s="1111"/>
      <c r="F11" s="843">
        <v>29000</v>
      </c>
      <c r="G11" s="878"/>
      <c r="H11" s="878"/>
      <c r="I11" s="878"/>
      <c r="J11" s="878"/>
      <c r="K11" s="878"/>
      <c r="L11" s="1077" t="s">
        <v>1855</v>
      </c>
      <c r="M11" s="124"/>
      <c r="N11" s="1108"/>
      <c r="O11" s="830"/>
      <c r="P11" s="831"/>
      <c r="Q11" s="1080"/>
      <c r="R11" s="1073"/>
      <c r="S11" s="1074"/>
      <c r="T11" s="1095"/>
      <c r="U11" s="1098"/>
      <c r="V11" s="1013"/>
      <c r="W11" s="1012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</row>
    <row r="12" spans="1:59" ht="15" thickBot="1">
      <c r="A12" s="299"/>
      <c r="B12" s="300"/>
      <c r="C12" s="1112"/>
      <c r="D12" s="1041"/>
      <c r="E12" s="1113"/>
      <c r="F12" s="845"/>
      <c r="G12" s="880"/>
      <c r="H12" s="880"/>
      <c r="I12" s="880"/>
      <c r="J12" s="880"/>
      <c r="K12" s="880"/>
      <c r="L12" s="1078"/>
      <c r="M12" s="124"/>
      <c r="N12" s="1108"/>
      <c r="O12" s="830"/>
      <c r="P12" s="831"/>
      <c r="Q12" s="1080"/>
      <c r="R12" s="1073"/>
      <c r="S12" s="1074"/>
      <c r="T12" s="1095"/>
      <c r="U12" s="1098"/>
      <c r="V12" s="1013"/>
      <c r="W12" s="1012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</row>
    <row r="13" spans="1:59" ht="15" thickBot="1">
      <c r="A13" s="299"/>
      <c r="B13" s="300"/>
      <c r="C13" s="1100" t="s">
        <v>1856</v>
      </c>
      <c r="D13" s="1110"/>
      <c r="E13" s="1111"/>
      <c r="F13" s="691" t="s">
        <v>1540</v>
      </c>
      <c r="G13" s="1195"/>
      <c r="H13" s="1198" t="s">
        <v>1914</v>
      </c>
      <c r="I13" s="1111"/>
      <c r="J13" s="1079">
        <f>VLOOKUP($F$13,'[2]Database 1'!CL3:$CO$36,3,FALSE)</f>
        <v>100</v>
      </c>
      <c r="K13" s="972"/>
      <c r="L13" s="282" t="s">
        <v>1855</v>
      </c>
      <c r="M13" s="124"/>
      <c r="N13" s="1108"/>
      <c r="O13" s="830"/>
      <c r="P13" s="831"/>
      <c r="Q13" s="1080"/>
      <c r="R13" s="1073"/>
      <c r="S13" s="1074"/>
      <c r="T13" s="1095"/>
      <c r="U13" s="1098"/>
      <c r="V13" s="1013"/>
      <c r="W13" s="1012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</row>
    <row r="14" spans="1:59" ht="15" thickBot="1">
      <c r="A14" s="299"/>
      <c r="B14" s="300"/>
      <c r="C14" s="1112"/>
      <c r="D14" s="1041"/>
      <c r="E14" s="1113"/>
      <c r="F14" s="1196"/>
      <c r="G14" s="1197"/>
      <c r="H14" s="1199" t="s">
        <v>1915</v>
      </c>
      <c r="I14" s="1182"/>
      <c r="J14" s="1079" t="str">
        <f>VLOOKUP($F$13,'[2]Database 1'!$CL$3:$CO$36,4,FALSE)</f>
        <v>NA</v>
      </c>
      <c r="K14" s="972"/>
      <c r="L14" s="284" t="s">
        <v>1855</v>
      </c>
      <c r="M14" s="124"/>
      <c r="N14" s="1109"/>
      <c r="O14" s="1071"/>
      <c r="P14" s="1072"/>
      <c r="Q14" s="1081"/>
      <c r="R14" s="1075"/>
      <c r="S14" s="1076"/>
      <c r="T14" s="1096"/>
      <c r="U14" s="1099"/>
      <c r="V14" s="1014"/>
      <c r="W14" s="1015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</row>
    <row r="15" spans="1:59" ht="15" thickBot="1">
      <c r="A15" s="299"/>
      <c r="B15" s="300"/>
      <c r="C15" s="1100" t="s">
        <v>1916</v>
      </c>
      <c r="D15" s="1110"/>
      <c r="E15" s="1111"/>
      <c r="F15" s="1206">
        <f>VLOOKUP($F$9,'[2]Database 1'!$DZ$6:$EB$288,3,FALSE)</f>
        <v>13.1</v>
      </c>
      <c r="G15" s="1206"/>
      <c r="H15" s="1206"/>
      <c r="I15" s="1206"/>
      <c r="J15" s="1206"/>
      <c r="K15" s="1206"/>
      <c r="L15" s="1207" t="s">
        <v>1859</v>
      </c>
      <c r="M15" s="124"/>
      <c r="N15" s="1205"/>
      <c r="O15" s="1131"/>
      <c r="P15" s="1131"/>
      <c r="Q15" s="1131"/>
      <c r="R15" s="1131"/>
      <c r="S15" s="1131"/>
      <c r="T15" s="1131"/>
      <c r="U15" s="1131"/>
      <c r="V15" s="1131"/>
      <c r="W15" s="1132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</row>
    <row r="16" spans="1:59" ht="15.6" thickTop="1" thickBot="1">
      <c r="A16" s="299"/>
      <c r="B16" s="300"/>
      <c r="C16" s="1112"/>
      <c r="D16" s="1041"/>
      <c r="E16" s="1113"/>
      <c r="F16" s="1206"/>
      <c r="G16" s="1206"/>
      <c r="H16" s="1206"/>
      <c r="I16" s="1206"/>
      <c r="J16" s="1206"/>
      <c r="K16" s="1206"/>
      <c r="L16" s="1207"/>
      <c r="M16" s="121"/>
      <c r="N16" s="687" t="s">
        <v>1860</v>
      </c>
      <c r="O16" s="1017"/>
      <c r="P16" s="1017"/>
      <c r="Q16" s="1017"/>
      <c r="R16" s="1017"/>
      <c r="S16" s="1017"/>
      <c r="T16" s="1017"/>
      <c r="U16" s="1017"/>
      <c r="V16" s="1017"/>
      <c r="W16" s="1018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20"/>
    </row>
    <row r="17" spans="1:59" ht="15.6" thickTop="1" thickBot="1">
      <c r="A17" s="299"/>
      <c r="B17" s="300"/>
      <c r="C17" s="1100" t="s">
        <v>1861</v>
      </c>
      <c r="D17" s="1111"/>
      <c r="E17" s="281" t="s">
        <v>1917</v>
      </c>
      <c r="F17" s="1146">
        <f>VLOOKUP($F$9,'[2]Database 1'!$DZ$6:$ET$288,17,FALSE)</f>
        <v>5.15</v>
      </c>
      <c r="G17" s="1011"/>
      <c r="H17" s="1011"/>
      <c r="I17" s="1011"/>
      <c r="J17" s="1011"/>
      <c r="K17" s="1147"/>
      <c r="L17" s="283" t="s">
        <v>1847</v>
      </c>
      <c r="M17" s="124"/>
      <c r="N17" s="1200" t="s">
        <v>1862</v>
      </c>
      <c r="O17" s="1201"/>
      <c r="P17" s="1201"/>
      <c r="Q17" s="1201"/>
      <c r="R17" s="1201"/>
      <c r="S17" s="1201"/>
      <c r="T17" s="1201"/>
      <c r="U17" s="1201"/>
      <c r="V17" s="1201"/>
      <c r="W17" s="1202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0"/>
      <c r="BF17" s="120"/>
      <c r="BG17" s="120"/>
    </row>
    <row r="18" spans="1:59" ht="15" thickBot="1">
      <c r="A18" s="299"/>
      <c r="B18" s="300"/>
      <c r="C18" s="1112"/>
      <c r="D18" s="1113"/>
      <c r="E18" s="280" t="s">
        <v>1918</v>
      </c>
      <c r="F18" s="843">
        <f>VLOOKUP($F$9,'[2]Database 1'!$DZ$6:$ET$288,21,FALSE)</f>
        <v>1.95</v>
      </c>
      <c r="G18" s="878"/>
      <c r="H18" s="878"/>
      <c r="I18" s="878"/>
      <c r="J18" s="878"/>
      <c r="K18" s="844"/>
      <c r="L18" s="284" t="s">
        <v>1847</v>
      </c>
      <c r="M18" s="121"/>
      <c r="N18" s="961" t="s">
        <v>1866</v>
      </c>
      <c r="O18" s="1110"/>
      <c r="P18" s="1111"/>
      <c r="Q18" s="1183">
        <f>((PI()^2)*$F$11)/($V$7^2)</f>
        <v>33.590924423429819</v>
      </c>
      <c r="R18" s="1183"/>
      <c r="S18" s="1183"/>
      <c r="T18" s="1183"/>
      <c r="U18" s="1097"/>
      <c r="V18" s="1121" t="s">
        <v>1855</v>
      </c>
      <c r="W18" s="811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  <c r="BF18" s="120"/>
      <c r="BG18" s="120"/>
    </row>
    <row r="19" spans="1:59" ht="15" thickBot="1">
      <c r="A19" s="299"/>
      <c r="B19" s="300"/>
      <c r="C19" s="1203" t="s">
        <v>1864</v>
      </c>
      <c r="D19" s="1204"/>
      <c r="E19" s="1136"/>
      <c r="F19" s="843">
        <f>VLOOKUP($F$9,'[2]Database 1'!$DZ$6:$EM$288,13,FALSE)</f>
        <v>7</v>
      </c>
      <c r="G19" s="878"/>
      <c r="H19" s="878"/>
      <c r="I19" s="878"/>
      <c r="J19" s="878"/>
      <c r="K19" s="844"/>
      <c r="L19" s="291"/>
      <c r="M19" s="121"/>
      <c r="N19" s="1180"/>
      <c r="O19" s="1181"/>
      <c r="P19" s="1182"/>
      <c r="Q19" s="1185"/>
      <c r="R19" s="1185"/>
      <c r="S19" s="1185"/>
      <c r="T19" s="1185"/>
      <c r="U19" s="1186"/>
      <c r="V19" s="810"/>
      <c r="W19" s="811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0"/>
      <c r="BF19" s="120"/>
      <c r="BG19" s="120"/>
    </row>
    <row r="20" spans="1:59" ht="15" thickBot="1">
      <c r="A20" s="299"/>
      <c r="B20" s="300"/>
      <c r="C20" s="1189" t="s">
        <v>1865</v>
      </c>
      <c r="D20" s="1190"/>
      <c r="E20" s="1191"/>
      <c r="F20" s="1192">
        <f>VLOOKUP($F$9,'[2]Database 1'!$DZ$6:$EM$288,14,FALSE)</f>
        <v>29.6</v>
      </c>
      <c r="G20" s="1193"/>
      <c r="H20" s="1193"/>
      <c r="I20" s="1193"/>
      <c r="J20" s="1193"/>
      <c r="K20" s="1194"/>
      <c r="L20" s="292"/>
      <c r="M20" s="121"/>
      <c r="N20" s="1040" t="s">
        <v>1863</v>
      </c>
      <c r="O20" s="1041"/>
      <c r="P20" s="1113"/>
      <c r="Q20" s="1140">
        <f>4.71*(SQRT($F$11/$J$13))</f>
        <v>80.20840978351336</v>
      </c>
      <c r="R20" s="1183"/>
      <c r="S20" s="1183"/>
      <c r="T20" s="1183"/>
      <c r="U20" s="1097"/>
      <c r="V20" s="1172" t="s">
        <v>484</v>
      </c>
      <c r="W20" s="1173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120"/>
      <c r="BG20" s="120"/>
    </row>
    <row r="21" spans="1:59" ht="15.6" thickTop="1" thickBot="1">
      <c r="A21" s="299"/>
      <c r="B21" s="300"/>
      <c r="C21" s="1130"/>
      <c r="D21" s="1131"/>
      <c r="E21" s="1131"/>
      <c r="F21" s="1131"/>
      <c r="G21" s="1131"/>
      <c r="H21" s="1131"/>
      <c r="I21" s="1131"/>
      <c r="J21" s="1131"/>
      <c r="K21" s="1131"/>
      <c r="L21" s="1176"/>
      <c r="M21" s="121"/>
      <c r="N21" s="1116"/>
      <c r="O21" s="1041"/>
      <c r="P21" s="1113"/>
      <c r="Q21" s="1146"/>
      <c r="R21" s="1011"/>
      <c r="S21" s="1011"/>
      <c r="T21" s="1011"/>
      <c r="U21" s="1147"/>
      <c r="V21" s="1174"/>
      <c r="W21" s="1175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120"/>
      <c r="BG21" s="120"/>
    </row>
    <row r="22" spans="1:59" ht="15.6" thickTop="1" thickBot="1">
      <c r="A22" s="299"/>
      <c r="B22" s="300"/>
      <c r="C22" s="1177" t="s">
        <v>1867</v>
      </c>
      <c r="D22" s="1178"/>
      <c r="E22" s="1178"/>
      <c r="F22" s="1178"/>
      <c r="G22" s="1178"/>
      <c r="H22" s="1178"/>
      <c r="I22" s="1178"/>
      <c r="J22" s="1178"/>
      <c r="K22" s="1178"/>
      <c r="L22" s="1179"/>
      <c r="M22" s="124"/>
      <c r="N22" s="961" t="s">
        <v>1868</v>
      </c>
      <c r="O22" s="1110"/>
      <c r="P22" s="1111"/>
      <c r="Q22" s="1140">
        <f>_xlfn.IFS($G$28="Slender","N/A",$G$34="Slender","N/A",$V$7&lt;=$Q$20,((0.658^($J$13/$Q$18))*$J$13),$V$7&gt;$Q$20,(0.877*$Q$18))</f>
        <v>29.45924071934795</v>
      </c>
      <c r="R22" s="1183"/>
      <c r="S22" s="1183"/>
      <c r="T22" s="1183"/>
      <c r="U22" s="1097"/>
      <c r="V22" s="1048" t="s">
        <v>1855</v>
      </c>
      <c r="W22" s="1049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120"/>
      <c r="BG22" s="120"/>
    </row>
    <row r="23" spans="1:59" ht="15.6" thickTop="1" thickBot="1">
      <c r="A23" s="299"/>
      <c r="B23" s="300"/>
      <c r="C23" s="1033" t="s">
        <v>1869</v>
      </c>
      <c r="D23" s="1058"/>
      <c r="E23" s="1058"/>
      <c r="F23" s="1058"/>
      <c r="G23" s="1058"/>
      <c r="H23" s="1058"/>
      <c r="I23" s="1058"/>
      <c r="J23" s="1058"/>
      <c r="K23" s="1058"/>
      <c r="L23" s="1188"/>
      <c r="M23" s="124"/>
      <c r="N23" s="1180"/>
      <c r="O23" s="1181"/>
      <c r="P23" s="1182"/>
      <c r="Q23" s="1184"/>
      <c r="R23" s="1185"/>
      <c r="S23" s="1185"/>
      <c r="T23" s="1185"/>
      <c r="U23" s="1186"/>
      <c r="V23" s="1187"/>
      <c r="W23" s="811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120"/>
      <c r="BG23" s="120"/>
    </row>
    <row r="24" spans="1:59" ht="15" thickBot="1">
      <c r="A24" s="299"/>
      <c r="B24" s="300"/>
      <c r="C24" s="1035" t="s">
        <v>1919</v>
      </c>
      <c r="D24" s="1036"/>
      <c r="E24" s="1036"/>
      <c r="F24" s="1036"/>
      <c r="G24" s="1036"/>
      <c r="H24" s="1036"/>
      <c r="I24" s="1036"/>
      <c r="J24" s="1036"/>
      <c r="K24" s="1036"/>
      <c r="L24" s="1037"/>
      <c r="M24" s="124"/>
      <c r="N24" s="1040" t="s">
        <v>1920</v>
      </c>
      <c r="O24" s="1041"/>
      <c r="P24" s="1113"/>
      <c r="Q24" s="1146">
        <f>$F$15*$Q$22</f>
        <v>385.91605342345815</v>
      </c>
      <c r="R24" s="1011"/>
      <c r="S24" s="1011"/>
      <c r="T24" s="1011"/>
      <c r="U24" s="1147"/>
      <c r="V24" s="1048" t="s">
        <v>1870</v>
      </c>
      <c r="W24" s="1049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0"/>
      <c r="BF24" s="120"/>
      <c r="BG24" s="120"/>
    </row>
    <row r="25" spans="1:59" ht="15" thickBot="1">
      <c r="A25" s="299"/>
      <c r="B25" s="300"/>
      <c r="C25" s="1152"/>
      <c r="D25" s="1123"/>
      <c r="E25" s="1135" t="s">
        <v>1871</v>
      </c>
      <c r="F25" s="1136"/>
      <c r="G25" s="843">
        <f>$F$19</f>
        <v>7</v>
      </c>
      <c r="H25" s="1128"/>
      <c r="I25" s="1129"/>
      <c r="J25" s="1155"/>
      <c r="K25" s="1156"/>
      <c r="L25" s="1157"/>
      <c r="M25" s="124"/>
      <c r="N25" s="1143"/>
      <c r="O25" s="1144"/>
      <c r="P25" s="1145"/>
      <c r="Q25" s="1148"/>
      <c r="R25" s="1149"/>
      <c r="S25" s="1149"/>
      <c r="T25" s="1149"/>
      <c r="U25" s="1150"/>
      <c r="V25" s="1151"/>
      <c r="W25" s="796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0"/>
      <c r="BF25" s="120"/>
      <c r="BG25" s="120"/>
    </row>
    <row r="26" spans="1:59" ht="15.6" thickTop="1" thickBot="1">
      <c r="A26" s="299"/>
      <c r="B26" s="300"/>
      <c r="C26" s="1124"/>
      <c r="D26" s="1125"/>
      <c r="E26" s="1102" t="s">
        <v>1872</v>
      </c>
      <c r="F26" s="1113"/>
      <c r="G26" s="1140">
        <f>0.38*(SQRT($F$11/$J$13))</f>
        <v>6.4711668190520335</v>
      </c>
      <c r="H26" s="1141"/>
      <c r="I26" s="1142"/>
      <c r="J26" s="1158"/>
      <c r="K26" s="1131"/>
      <c r="L26" s="1132"/>
      <c r="M26" s="124"/>
      <c r="N26" s="1162"/>
      <c r="O26" s="1163"/>
      <c r="P26" s="1163"/>
      <c r="Q26" s="1163"/>
      <c r="R26" s="1163"/>
      <c r="S26" s="1163"/>
      <c r="T26" s="1163"/>
      <c r="U26" s="1163"/>
      <c r="V26" s="1163"/>
      <c r="W26" s="1164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0"/>
      <c r="BF26" s="120"/>
      <c r="BG26" s="120"/>
    </row>
    <row r="27" spans="1:59" ht="15.6" thickTop="1" thickBot="1">
      <c r="A27" s="299"/>
      <c r="B27" s="300"/>
      <c r="C27" s="1124"/>
      <c r="D27" s="1125"/>
      <c r="E27" s="1135" t="s">
        <v>1873</v>
      </c>
      <c r="F27" s="1136"/>
      <c r="G27" s="1137">
        <f>1*SQRT($F$11/$J$13)</f>
        <v>17.029386365926403</v>
      </c>
      <c r="H27" s="1138"/>
      <c r="I27" s="1139"/>
      <c r="J27" s="1158"/>
      <c r="K27" s="1131"/>
      <c r="L27" s="1132"/>
      <c r="M27" s="124"/>
      <c r="N27" s="687" t="s">
        <v>1874</v>
      </c>
      <c r="O27" s="1165"/>
      <c r="P27" s="1165"/>
      <c r="Q27" s="1165"/>
      <c r="R27" s="1165"/>
      <c r="S27" s="1165"/>
      <c r="T27" s="1165"/>
      <c r="U27" s="1165"/>
      <c r="V27" s="1165"/>
      <c r="W27" s="1166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120"/>
      <c r="BG27" s="120"/>
    </row>
    <row r="28" spans="1:59" ht="18" thickTop="1" thickBot="1">
      <c r="A28" s="299"/>
      <c r="B28" s="300"/>
      <c r="C28" s="1153"/>
      <c r="D28" s="1154"/>
      <c r="E28" s="1167" t="s">
        <v>1875</v>
      </c>
      <c r="F28" s="1168"/>
      <c r="G28" s="1169" t="str">
        <f>IF($G$26 &gt;$F$19, "Compact Flange", IF(AND($F$19 &gt;$G$26, $F$19 &lt; $G$27), "Non-Compact Flange", IF($F$19 &gt; $G$27, "Slender Flange", "")))</f>
        <v>Non-Compact Flange</v>
      </c>
      <c r="H28" s="1170"/>
      <c r="I28" s="1171"/>
      <c r="J28" s="1159"/>
      <c r="K28" s="1160"/>
      <c r="L28" s="1161"/>
      <c r="M28" s="124"/>
      <c r="N28" s="1057" t="str">
        <f>$F$9</f>
        <v>W12X45</v>
      </c>
      <c r="O28" s="1058"/>
      <c r="P28" s="1058"/>
      <c r="Q28" s="1058"/>
      <c r="R28" s="1058"/>
      <c r="S28" s="1058"/>
      <c r="T28" s="1058"/>
      <c r="U28" s="1058"/>
      <c r="V28" s="1058"/>
      <c r="W28" s="1059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120"/>
      <c r="BG28" s="120"/>
    </row>
    <row r="29" spans="1:59" ht="15" thickBot="1">
      <c r="A29" s="299"/>
      <c r="B29" s="300"/>
      <c r="C29" s="859" t="s">
        <v>1876</v>
      </c>
      <c r="D29" s="1093"/>
      <c r="E29" s="1093"/>
      <c r="F29" s="1093"/>
      <c r="G29" s="1093"/>
      <c r="H29" s="1093"/>
      <c r="I29" s="1093"/>
      <c r="J29" s="1093"/>
      <c r="K29" s="1093"/>
      <c r="L29" s="1090"/>
      <c r="M29" s="124"/>
      <c r="N29" s="1114" t="s">
        <v>1877</v>
      </c>
      <c r="O29" s="1036"/>
      <c r="P29" s="1036"/>
      <c r="Q29" s="1036"/>
      <c r="R29" s="1036"/>
      <c r="S29" s="1036"/>
      <c r="T29" s="1036"/>
      <c r="U29" s="1036"/>
      <c r="V29" s="1036"/>
      <c r="W29" s="1037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120"/>
      <c r="BG29" s="120"/>
    </row>
    <row r="30" spans="1:59" ht="15" thickBot="1">
      <c r="A30" s="299"/>
      <c r="B30" s="300"/>
      <c r="C30" s="1115" t="s">
        <v>1921</v>
      </c>
      <c r="D30" s="1036"/>
      <c r="E30" s="1036"/>
      <c r="F30" s="1036"/>
      <c r="G30" s="1036"/>
      <c r="H30" s="1036"/>
      <c r="I30" s="1036"/>
      <c r="J30" s="1036"/>
      <c r="K30" s="1036"/>
      <c r="L30" s="1037"/>
      <c r="M30" s="124"/>
      <c r="N30" s="1040" t="s">
        <v>1878</v>
      </c>
      <c r="O30" s="1041"/>
      <c r="P30" s="1041"/>
      <c r="Q30" s="1044">
        <f>0.9*$Q$24</f>
        <v>347.32444808111234</v>
      </c>
      <c r="R30" s="1045"/>
      <c r="S30" s="1045"/>
      <c r="T30" s="1045"/>
      <c r="U30" s="1117"/>
      <c r="V30" s="1121" t="s">
        <v>1870</v>
      </c>
      <c r="W30" s="811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120"/>
      <c r="BG30" s="120"/>
    </row>
    <row r="31" spans="1:59" ht="15" thickBot="1">
      <c r="A31" s="299"/>
      <c r="B31" s="300"/>
      <c r="C31" s="1122"/>
      <c r="D31" s="1123"/>
      <c r="E31" s="1100" t="s">
        <v>1879</v>
      </c>
      <c r="F31" s="1111"/>
      <c r="G31" s="878">
        <f>$F$20</f>
        <v>29.6</v>
      </c>
      <c r="H31" s="1128"/>
      <c r="I31" s="1129"/>
      <c r="J31" s="1130"/>
      <c r="K31" s="1131"/>
      <c r="L31" s="1132"/>
      <c r="M31" s="124"/>
      <c r="N31" s="1116"/>
      <c r="O31" s="1041"/>
      <c r="P31" s="1041"/>
      <c r="Q31" s="1118"/>
      <c r="R31" s="1119"/>
      <c r="S31" s="1119"/>
      <c r="T31" s="1119"/>
      <c r="U31" s="1120"/>
      <c r="V31" s="810"/>
      <c r="W31" s="811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0"/>
      <c r="BF31" s="120"/>
      <c r="BG31" s="120"/>
    </row>
    <row r="32" spans="1:59" ht="15" thickBot="1">
      <c r="A32" s="299"/>
      <c r="B32" s="300"/>
      <c r="C32" s="1124"/>
      <c r="D32" s="1125"/>
      <c r="E32" s="1135" t="s">
        <v>1880</v>
      </c>
      <c r="F32" s="1136"/>
      <c r="G32" s="1137">
        <f>3.76*(SQRT($F$11/$J$13))</f>
        <v>64.030492735883271</v>
      </c>
      <c r="H32" s="1138"/>
      <c r="I32" s="1139"/>
      <c r="J32" s="1131"/>
      <c r="K32" s="1131"/>
      <c r="L32" s="1132"/>
      <c r="M32" s="124"/>
      <c r="N32" s="1114" t="s">
        <v>1881</v>
      </c>
      <c r="O32" s="1036"/>
      <c r="P32" s="1036"/>
      <c r="Q32" s="1036"/>
      <c r="R32" s="1036"/>
      <c r="S32" s="1036"/>
      <c r="T32" s="1036"/>
      <c r="U32" s="1036"/>
      <c r="V32" s="1036"/>
      <c r="W32" s="1037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</row>
    <row r="33" spans="1:59" ht="15" thickBot="1">
      <c r="A33" s="299"/>
      <c r="B33" s="300"/>
      <c r="C33" s="1124"/>
      <c r="D33" s="1125"/>
      <c r="E33" s="1102" t="s">
        <v>1882</v>
      </c>
      <c r="F33" s="1113"/>
      <c r="G33" s="1140">
        <f>5.7*(SQRT($F$11/$J$13))</f>
        <v>97.067502285780492</v>
      </c>
      <c r="H33" s="1141"/>
      <c r="I33" s="1142"/>
      <c r="J33" s="1131"/>
      <c r="K33" s="1131"/>
      <c r="L33" s="1132"/>
      <c r="M33" s="124"/>
      <c r="N33" s="1040" t="s">
        <v>1883</v>
      </c>
      <c r="O33" s="1041"/>
      <c r="P33" s="1041"/>
      <c r="Q33" s="1044">
        <f>$Q$24/1.67</f>
        <v>231.0874571397953</v>
      </c>
      <c r="R33" s="1045"/>
      <c r="S33" s="1045"/>
      <c r="T33" s="1045"/>
      <c r="U33" s="1045"/>
      <c r="V33" s="1048" t="s">
        <v>1870</v>
      </c>
      <c r="W33" s="1049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0"/>
      <c r="BF33" s="120"/>
      <c r="BG33" s="120"/>
    </row>
    <row r="34" spans="1:59" ht="15" thickBot="1">
      <c r="A34" s="299"/>
      <c r="B34" s="300"/>
      <c r="C34" s="1126"/>
      <c r="D34" s="1127"/>
      <c r="E34" s="1052" t="s">
        <v>1875</v>
      </c>
      <c r="F34" s="1053"/>
      <c r="G34" s="1054" t="str">
        <f>_xlfn.IFS($F$20&lt;=$G$32,"Compact Flange",$G$32&lt;$F$20&lt;$G$33,"Non-compact Flange",$F$20&gt;$G$33,"Slender")</f>
        <v>Compact Flange</v>
      </c>
      <c r="H34" s="1055"/>
      <c r="I34" s="1056"/>
      <c r="J34" s="1133"/>
      <c r="K34" s="1133"/>
      <c r="L34" s="1134"/>
      <c r="M34" s="124"/>
      <c r="N34" s="1042"/>
      <c r="O34" s="1043"/>
      <c r="P34" s="1043"/>
      <c r="Q34" s="1046"/>
      <c r="R34" s="1047"/>
      <c r="S34" s="1047"/>
      <c r="T34" s="1047"/>
      <c r="U34" s="1047"/>
      <c r="V34" s="1050"/>
      <c r="W34" s="1051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120"/>
      <c r="BG34" s="120"/>
    </row>
    <row r="35" spans="1:59" ht="15.6" thickTop="1" thickBot="1">
      <c r="A35" s="299"/>
      <c r="B35" s="300"/>
      <c r="C35" s="1027"/>
      <c r="D35" s="1028"/>
      <c r="E35" s="1028"/>
      <c r="F35" s="1028"/>
      <c r="G35" s="1028"/>
      <c r="H35" s="1028"/>
      <c r="I35" s="1028"/>
      <c r="J35" s="1028"/>
      <c r="K35" s="1028"/>
      <c r="L35" s="1029"/>
      <c r="M35" s="120"/>
      <c r="N35" s="120"/>
      <c r="O35" s="120"/>
      <c r="P35" s="120"/>
      <c r="Q35" s="122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120"/>
      <c r="BG35" s="120"/>
    </row>
    <row r="36" spans="1:59" ht="15.6" thickTop="1" thickBot="1">
      <c r="A36" s="299"/>
      <c r="B36" s="300"/>
      <c r="C36" s="687" t="s">
        <v>1884</v>
      </c>
      <c r="D36" s="1016"/>
      <c r="E36" s="1016"/>
      <c r="F36" s="1016"/>
      <c r="G36" s="1016"/>
      <c r="H36" s="1016"/>
      <c r="I36" s="1016"/>
      <c r="J36" s="1016"/>
      <c r="K36" s="1016"/>
      <c r="L36" s="1030"/>
      <c r="M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120"/>
      <c r="BG36" s="120"/>
    </row>
    <row r="37" spans="1:59" ht="15.6" thickTop="1" thickBot="1">
      <c r="A37" s="299"/>
      <c r="B37" s="300"/>
      <c r="C37" s="1038" t="s">
        <v>1885</v>
      </c>
      <c r="D37" s="1033"/>
      <c r="E37" s="1039"/>
      <c r="F37" s="860" t="s">
        <v>1886</v>
      </c>
      <c r="G37" s="861"/>
      <c r="H37" s="1031" t="s">
        <v>1922</v>
      </c>
      <c r="I37" s="1032"/>
      <c r="J37" s="1033" t="s">
        <v>1840</v>
      </c>
      <c r="K37" s="1033"/>
      <c r="L37" s="1034"/>
      <c r="M37" s="120"/>
      <c r="N37" s="1022" t="s">
        <v>1923</v>
      </c>
      <c r="O37" s="1023"/>
      <c r="P37" s="820" t="s">
        <v>2038</v>
      </c>
      <c r="Q37" s="1026"/>
      <c r="R37" s="1026"/>
      <c r="S37" s="1026"/>
      <c r="T37" s="1026"/>
      <c r="U37" s="1026"/>
      <c r="V37" s="1026"/>
      <c r="W37" s="1026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120"/>
      <c r="BG37" s="120"/>
    </row>
    <row r="38" spans="1:59" ht="15" thickBot="1">
      <c r="A38" s="299"/>
      <c r="B38" s="300"/>
      <c r="C38" s="873" t="s">
        <v>1925</v>
      </c>
      <c r="D38" s="874"/>
      <c r="E38" s="863"/>
      <c r="F38" s="286" t="s">
        <v>1887</v>
      </c>
      <c r="G38" s="287" t="s">
        <v>1539</v>
      </c>
      <c r="H38" s="864"/>
      <c r="I38" s="865"/>
      <c r="J38" s="860" t="s">
        <v>1845</v>
      </c>
      <c r="K38" s="860"/>
      <c r="L38" s="866"/>
      <c r="M38" s="120"/>
      <c r="N38" s="1024"/>
      <c r="O38" s="1025"/>
      <c r="P38" s="1026"/>
      <c r="Q38" s="1026"/>
      <c r="R38" s="1026"/>
      <c r="S38" s="1026"/>
      <c r="T38" s="1026"/>
      <c r="U38" s="1026"/>
      <c r="V38" s="1026"/>
      <c r="W38" s="1026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0"/>
      <c r="AX38" s="120"/>
      <c r="AY38" s="120"/>
      <c r="AZ38" s="120"/>
      <c r="BA38" s="120"/>
      <c r="BB38" s="120"/>
      <c r="BC38" s="120"/>
      <c r="BD38" s="120"/>
      <c r="BE38" s="120"/>
      <c r="BF38" s="120"/>
      <c r="BG38" s="120"/>
    </row>
    <row r="39" spans="1:59">
      <c r="A39" s="299"/>
      <c r="B39" s="300"/>
      <c r="C39" s="821" t="s">
        <v>1926</v>
      </c>
      <c r="D39" s="691">
        <v>30</v>
      </c>
      <c r="E39" s="855"/>
      <c r="F39" s="826" t="s">
        <v>1889</v>
      </c>
      <c r="G39" s="844">
        <f>VLOOKUP($F$39,'[2]Database 1'!EW5:$EX$11,2,FALSE)</f>
        <v>0.8</v>
      </c>
      <c r="H39" s="843">
        <f>$D$39*$G$39</f>
        <v>24</v>
      </c>
      <c r="I39" s="844"/>
      <c r="J39" s="1000" t="s">
        <v>1844</v>
      </c>
      <c r="K39" s="878">
        <f>$H$39</f>
        <v>24</v>
      </c>
      <c r="L39" s="879"/>
      <c r="M39" s="120"/>
      <c r="N39" s="123"/>
      <c r="O39" s="123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0"/>
      <c r="AX39" s="120"/>
      <c r="AY39" s="120"/>
      <c r="AZ39" s="120"/>
      <c r="BA39" s="120"/>
      <c r="BB39" s="120"/>
      <c r="BC39" s="120"/>
      <c r="BD39" s="120"/>
      <c r="BE39" s="120"/>
      <c r="BF39" s="120"/>
      <c r="BG39" s="120"/>
    </row>
    <row r="40" spans="1:59" ht="15" thickBot="1">
      <c r="A40" s="299"/>
      <c r="B40" s="300"/>
      <c r="C40" s="839"/>
      <c r="D40" s="856"/>
      <c r="E40" s="857"/>
      <c r="F40" s="840"/>
      <c r="G40" s="846"/>
      <c r="H40" s="845"/>
      <c r="I40" s="846"/>
      <c r="J40" s="1001"/>
      <c r="K40" s="880"/>
      <c r="L40" s="881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0"/>
      <c r="AX40" s="120"/>
      <c r="AY40" s="120"/>
      <c r="AZ40" s="120"/>
      <c r="BA40" s="120"/>
      <c r="BB40" s="120"/>
      <c r="BC40" s="120"/>
      <c r="BD40" s="120"/>
      <c r="BE40" s="120"/>
      <c r="BF40" s="120"/>
      <c r="BG40" s="120"/>
    </row>
    <row r="41" spans="1:59">
      <c r="A41" s="299"/>
      <c r="B41" s="300"/>
      <c r="C41" s="854" t="s">
        <v>1927</v>
      </c>
      <c r="D41" s="823">
        <v>15</v>
      </c>
      <c r="E41" s="824"/>
      <c r="F41" s="826" t="s">
        <v>1890</v>
      </c>
      <c r="G41" s="841">
        <f>VLOOKUP($F$41,'[2]Database 1'!$EW$5:$EX$11,2,FALSE)</f>
        <v>1</v>
      </c>
      <c r="H41" s="843">
        <f>$D$41*$G$41</f>
        <v>15</v>
      </c>
      <c r="I41" s="844"/>
      <c r="J41" s="1002" t="s">
        <v>1851</v>
      </c>
      <c r="K41" s="850">
        <f>MAX($H$41:$H$46)</f>
        <v>15</v>
      </c>
      <c r="L41" s="851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120"/>
      <c r="BG41" s="120"/>
    </row>
    <row r="42" spans="1:59" ht="15" thickBot="1">
      <c r="A42" s="299"/>
      <c r="B42" s="300"/>
      <c r="C42" s="854"/>
      <c r="D42" s="856"/>
      <c r="E42" s="857"/>
      <c r="F42" s="840"/>
      <c r="G42" s="842"/>
      <c r="H42" s="845"/>
      <c r="I42" s="846"/>
      <c r="J42" s="1003"/>
      <c r="K42" s="850"/>
      <c r="L42" s="851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120"/>
      <c r="BG42" s="120"/>
    </row>
    <row r="43" spans="1:59">
      <c r="A43" s="299"/>
      <c r="B43" s="299"/>
      <c r="C43" s="821" t="s">
        <v>1928</v>
      </c>
      <c r="D43" s="691">
        <v>15</v>
      </c>
      <c r="E43" s="855"/>
      <c r="F43" s="858" t="s">
        <v>1890</v>
      </c>
      <c r="G43" s="828">
        <f>VLOOKUP($F$43,'[2]Database 1'!$EW$5:$EX$11,2,FALSE)</f>
        <v>1</v>
      </c>
      <c r="H43" s="830">
        <f>$D$43*$G$43</f>
        <v>15</v>
      </c>
      <c r="I43" s="831"/>
      <c r="J43" s="1003"/>
      <c r="K43" s="850"/>
      <c r="L43" s="851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120"/>
      <c r="BG43" s="120"/>
    </row>
    <row r="44" spans="1:59" ht="15" thickBot="1">
      <c r="A44" s="299"/>
      <c r="B44" s="299"/>
      <c r="C44" s="854"/>
      <c r="D44" s="856"/>
      <c r="E44" s="857"/>
      <c r="F44" s="858"/>
      <c r="G44" s="828"/>
      <c r="H44" s="830"/>
      <c r="I44" s="831"/>
      <c r="J44" s="1003"/>
      <c r="K44" s="850"/>
      <c r="L44" s="851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120"/>
      <c r="BG44" s="120"/>
    </row>
    <row r="45" spans="1:59">
      <c r="A45" s="299"/>
      <c r="B45" s="299"/>
      <c r="C45" s="821" t="s">
        <v>1929</v>
      </c>
      <c r="D45" s="823">
        <v>0</v>
      </c>
      <c r="E45" s="824"/>
      <c r="F45" s="826" t="s">
        <v>1893</v>
      </c>
      <c r="G45" s="841">
        <f>VLOOKUP($F$45,'[2]Database 1'!$EW$5:$EX$11,2,FALSE)</f>
        <v>2.1</v>
      </c>
      <c r="H45" s="843">
        <f>$D$45*$G$45</f>
        <v>0</v>
      </c>
      <c r="I45" s="844"/>
      <c r="J45" s="1003"/>
      <c r="K45" s="850"/>
      <c r="L45" s="851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</row>
    <row r="46" spans="1:59" ht="15" thickBot="1">
      <c r="A46" s="299"/>
      <c r="B46" s="299"/>
      <c r="C46" s="822"/>
      <c r="D46" s="539"/>
      <c r="E46" s="825"/>
      <c r="F46" s="827"/>
      <c r="G46" s="829"/>
      <c r="H46" s="830"/>
      <c r="I46" s="831"/>
      <c r="J46" s="1004"/>
      <c r="K46" s="852"/>
      <c r="L46" s="853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0"/>
      <c r="AX46" s="120"/>
      <c r="AY46" s="120"/>
      <c r="AZ46" s="120"/>
      <c r="BA46" s="120"/>
      <c r="BB46" s="120"/>
      <c r="BC46" s="120"/>
      <c r="BD46" s="120"/>
      <c r="BE46" s="120"/>
      <c r="BF46" s="120"/>
      <c r="BG46" s="120"/>
    </row>
    <row r="47" spans="1:59" ht="15" thickTop="1">
      <c r="A47" s="299"/>
      <c r="B47" s="299"/>
      <c r="C47" s="120"/>
      <c r="D47" s="120"/>
      <c r="E47" s="120"/>
      <c r="F47" s="120"/>
      <c r="G47" s="120"/>
      <c r="H47" s="122"/>
      <c r="I47" s="122"/>
      <c r="J47" s="122"/>
      <c r="K47" s="122"/>
      <c r="L47" s="122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</row>
    <row r="48" spans="1:59">
      <c r="A48" s="299"/>
      <c r="B48" s="299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120"/>
      <c r="BG48" s="120"/>
    </row>
    <row r="49" spans="1:60">
      <c r="A49" s="299"/>
      <c r="B49" s="299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</row>
    <row r="50" spans="1:60" ht="15" thickBot="1">
      <c r="A50" s="299"/>
      <c r="B50" s="299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</row>
    <row r="51" spans="1:60" ht="15.6" thickTop="1" thickBot="1">
      <c r="A51" s="299"/>
      <c r="B51" s="299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4"/>
      <c r="AI51" s="978" t="s">
        <v>1930</v>
      </c>
      <c r="AJ51" s="979"/>
      <c r="AK51" s="979"/>
      <c r="AL51" s="979"/>
      <c r="AM51" s="979"/>
      <c r="AN51" s="979"/>
      <c r="AO51" s="979"/>
      <c r="AP51" s="979"/>
      <c r="AQ51" s="979"/>
      <c r="AR51" s="979"/>
      <c r="AS51" s="979"/>
      <c r="AT51" s="979"/>
      <c r="AU51" s="979"/>
      <c r="AV51" s="979"/>
      <c r="AW51" s="979"/>
      <c r="AX51" s="979"/>
      <c r="AY51" s="979"/>
      <c r="AZ51" s="979"/>
      <c r="BA51" s="979"/>
      <c r="BB51" s="979"/>
      <c r="BC51" s="979"/>
      <c r="BD51" s="979"/>
      <c r="BE51" s="979"/>
      <c r="BF51" s="979"/>
      <c r="BG51" s="980"/>
      <c r="BH51" s="279"/>
    </row>
    <row r="52" spans="1:60" ht="15.6" thickTop="1" thickBot="1">
      <c r="A52" s="299"/>
      <c r="B52" s="299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4"/>
      <c r="AI52" s="978"/>
      <c r="AJ52" s="979"/>
      <c r="AK52" s="979"/>
      <c r="AL52" s="979"/>
      <c r="AM52" s="979"/>
      <c r="AN52" s="979"/>
      <c r="AO52" s="979"/>
      <c r="AP52" s="979"/>
      <c r="AQ52" s="979"/>
      <c r="AR52" s="979"/>
      <c r="AS52" s="979"/>
      <c r="AT52" s="979"/>
      <c r="AU52" s="979"/>
      <c r="AV52" s="979"/>
      <c r="AW52" s="979"/>
      <c r="AX52" s="979"/>
      <c r="AY52" s="979"/>
      <c r="AZ52" s="979"/>
      <c r="BA52" s="979"/>
      <c r="BB52" s="979"/>
      <c r="BC52" s="979"/>
      <c r="BD52" s="979"/>
      <c r="BE52" s="979"/>
      <c r="BF52" s="979"/>
      <c r="BG52" s="980"/>
      <c r="BH52" s="279"/>
    </row>
    <row r="53" spans="1:60" ht="19.8" customHeight="1" thickTop="1" thickBot="1">
      <c r="A53" s="299"/>
      <c r="B53" s="300"/>
      <c r="C53" s="671" t="s">
        <v>1931</v>
      </c>
      <c r="D53" s="981"/>
      <c r="E53" s="981"/>
      <c r="F53" s="981"/>
      <c r="G53" s="981"/>
      <c r="H53" s="981"/>
      <c r="I53" s="981"/>
      <c r="J53" s="981"/>
      <c r="K53" s="981"/>
      <c r="L53" s="982"/>
      <c r="M53" s="125"/>
      <c r="N53" s="915" t="s">
        <v>1932</v>
      </c>
      <c r="O53" s="916"/>
      <c r="P53" s="916"/>
      <c r="Q53" s="916"/>
      <c r="R53" s="916"/>
      <c r="S53" s="916"/>
      <c r="T53" s="916"/>
      <c r="U53" s="916"/>
      <c r="V53" s="916"/>
      <c r="W53" s="916"/>
      <c r="X53" s="916"/>
      <c r="Y53" s="916"/>
      <c r="Z53" s="916"/>
      <c r="AA53" s="916"/>
      <c r="AB53" s="916"/>
      <c r="AC53" s="916"/>
      <c r="AD53" s="916"/>
      <c r="AE53" s="120"/>
      <c r="AF53" s="120"/>
      <c r="AG53" s="120"/>
      <c r="AH53" s="124"/>
      <c r="AI53" s="986" t="s">
        <v>1933</v>
      </c>
      <c r="AJ53" s="987"/>
      <c r="AK53" s="987"/>
      <c r="AL53" s="987"/>
      <c r="AM53" s="987"/>
      <c r="AN53" s="987"/>
      <c r="AO53" s="987"/>
      <c r="AP53" s="987"/>
      <c r="AQ53" s="987"/>
      <c r="AR53" s="987"/>
      <c r="AS53" s="987"/>
      <c r="AT53" s="987"/>
      <c r="AU53" s="987"/>
      <c r="AV53" s="987"/>
      <c r="AW53" s="987"/>
      <c r="AX53" s="987"/>
      <c r="AY53" s="987"/>
      <c r="AZ53" s="987"/>
      <c r="BA53" s="987"/>
      <c r="BB53" s="987"/>
      <c r="BC53" s="987"/>
      <c r="BD53" s="987"/>
      <c r="BE53" s="987"/>
      <c r="BF53" s="987"/>
      <c r="BG53" s="987"/>
      <c r="BH53" s="279"/>
    </row>
    <row r="54" spans="1:60" ht="19.8" customHeight="1" thickTop="1" thickBot="1">
      <c r="A54" s="299"/>
      <c r="B54" s="300"/>
      <c r="C54" s="983"/>
      <c r="D54" s="984"/>
      <c r="E54" s="984"/>
      <c r="F54" s="984"/>
      <c r="G54" s="984"/>
      <c r="H54" s="984"/>
      <c r="I54" s="984"/>
      <c r="J54" s="984"/>
      <c r="K54" s="984"/>
      <c r="L54" s="985"/>
      <c r="M54" s="126"/>
      <c r="N54" s="923" t="s">
        <v>1934</v>
      </c>
      <c r="O54" s="925" t="s">
        <v>1935</v>
      </c>
      <c r="P54" s="925" t="s">
        <v>1936</v>
      </c>
      <c r="Q54" s="925" t="s">
        <v>1937</v>
      </c>
      <c r="R54" s="925" t="s">
        <v>1938</v>
      </c>
      <c r="S54" s="927" t="s">
        <v>1939</v>
      </c>
      <c r="T54" s="928"/>
      <c r="U54" s="928"/>
      <c r="V54" s="928"/>
      <c r="W54" s="928"/>
      <c r="X54" s="928"/>
      <c r="Y54" s="928"/>
      <c r="Z54" s="928"/>
      <c r="AA54" s="925" t="s">
        <v>1940</v>
      </c>
      <c r="AB54" s="925" t="s">
        <v>1941</v>
      </c>
      <c r="AC54" s="925" t="s">
        <v>1942</v>
      </c>
      <c r="AD54" s="128" t="s">
        <v>1911</v>
      </c>
      <c r="AE54" s="120"/>
      <c r="AF54" s="120"/>
      <c r="AG54" s="120"/>
      <c r="AH54" s="124"/>
      <c r="AI54" s="812" t="s">
        <v>1933</v>
      </c>
      <c r="AJ54" s="988" t="s">
        <v>1936</v>
      </c>
      <c r="AK54" s="991" t="s">
        <v>1937</v>
      </c>
      <c r="AL54" s="991" t="s">
        <v>1609</v>
      </c>
      <c r="AM54" s="991" t="s">
        <v>1613</v>
      </c>
      <c r="AN54" s="994" t="s">
        <v>1943</v>
      </c>
      <c r="AO54" s="994" t="s">
        <v>1944</v>
      </c>
      <c r="AP54" s="994" t="s">
        <v>1945</v>
      </c>
      <c r="AQ54" s="1408" t="s">
        <v>2063</v>
      </c>
      <c r="AR54" s="814" t="s">
        <v>1947</v>
      </c>
      <c r="AS54" s="815"/>
      <c r="AT54" s="815"/>
      <c r="AU54" s="815"/>
      <c r="AV54" s="815"/>
      <c r="AW54" s="815"/>
      <c r="AX54" s="815"/>
      <c r="AY54" s="815"/>
      <c r="AZ54" s="997" t="s">
        <v>1948</v>
      </c>
      <c r="BA54" s="998"/>
      <c r="BB54" s="998"/>
      <c r="BC54" s="999"/>
      <c r="BD54" s="814" t="s">
        <v>1949</v>
      </c>
      <c r="BE54" s="815"/>
      <c r="BF54" s="815"/>
      <c r="BG54" s="975"/>
      <c r="BH54" s="279"/>
    </row>
    <row r="55" spans="1:60" ht="15.6" thickTop="1" thickBot="1">
      <c r="A55" s="299"/>
      <c r="B55" s="300"/>
      <c r="C55" s="567"/>
      <c r="D55" s="568"/>
      <c r="E55" s="568"/>
      <c r="F55" s="568"/>
      <c r="G55" s="568"/>
      <c r="H55" s="568"/>
      <c r="I55" s="568"/>
      <c r="J55" s="568"/>
      <c r="K55" s="568"/>
      <c r="L55" s="569"/>
      <c r="M55" s="126"/>
      <c r="N55" s="924"/>
      <c r="O55" s="926"/>
      <c r="P55" s="926"/>
      <c r="Q55" s="926"/>
      <c r="R55" s="926"/>
      <c r="S55" s="929" t="s">
        <v>1950</v>
      </c>
      <c r="T55" s="930"/>
      <c r="U55" s="930"/>
      <c r="V55" s="930"/>
      <c r="W55" s="929" t="s">
        <v>1951</v>
      </c>
      <c r="X55" s="930"/>
      <c r="Y55" s="930"/>
      <c r="Z55" s="930"/>
      <c r="AA55" s="926"/>
      <c r="AB55" s="926"/>
      <c r="AC55" s="926"/>
      <c r="AD55" s="931" t="s">
        <v>1952</v>
      </c>
      <c r="AE55" s="120"/>
      <c r="AF55" s="120"/>
      <c r="AG55" s="120"/>
      <c r="AH55" s="124"/>
      <c r="AI55" s="798"/>
      <c r="AJ55" s="989"/>
      <c r="AK55" s="992"/>
      <c r="AL55" s="992"/>
      <c r="AM55" s="992"/>
      <c r="AN55" s="995"/>
      <c r="AO55" s="995"/>
      <c r="AP55" s="995"/>
      <c r="AQ55" s="992"/>
      <c r="AR55" s="805" t="s">
        <v>1950</v>
      </c>
      <c r="AS55" s="806"/>
      <c r="AT55" s="806"/>
      <c r="AU55" s="806"/>
      <c r="AV55" s="805" t="s">
        <v>1951</v>
      </c>
      <c r="AW55" s="806"/>
      <c r="AX55" s="806"/>
      <c r="AY55" s="806"/>
      <c r="AZ55" s="807" t="s">
        <v>1953</v>
      </c>
      <c r="BA55" s="803" t="s">
        <v>1954</v>
      </c>
      <c r="BB55" s="803" t="s">
        <v>1940</v>
      </c>
      <c r="BC55" s="789" t="s">
        <v>1941</v>
      </c>
      <c r="BD55" s="129" t="s">
        <v>1542</v>
      </c>
      <c r="BE55" s="787" t="s">
        <v>1934</v>
      </c>
      <c r="BF55" s="129" t="s">
        <v>1541</v>
      </c>
      <c r="BG55" s="976" t="s">
        <v>1934</v>
      </c>
      <c r="BH55" s="279"/>
    </row>
    <row r="56" spans="1:60" ht="15.6" thickTop="1" thickBot="1">
      <c r="A56" s="299"/>
      <c r="B56" s="300"/>
      <c r="C56" s="813" t="s">
        <v>1913</v>
      </c>
      <c r="D56" s="903"/>
      <c r="E56" s="903"/>
      <c r="F56" s="903"/>
      <c r="G56" s="903"/>
      <c r="H56" s="903"/>
      <c r="I56" s="903"/>
      <c r="J56" s="903"/>
      <c r="K56" s="903"/>
      <c r="L56" s="903"/>
      <c r="M56" s="126"/>
      <c r="N56" s="924"/>
      <c r="O56" s="926"/>
      <c r="P56" s="926"/>
      <c r="Q56" s="926"/>
      <c r="R56" s="926"/>
      <c r="S56" s="127" t="s">
        <v>1955</v>
      </c>
      <c r="T56" s="127" t="s">
        <v>1956</v>
      </c>
      <c r="U56" s="127" t="s">
        <v>1957</v>
      </c>
      <c r="V56" s="131" t="s">
        <v>1911</v>
      </c>
      <c r="W56" s="127" t="s">
        <v>1958</v>
      </c>
      <c r="X56" s="127" t="s">
        <v>1959</v>
      </c>
      <c r="Y56" s="132" t="s">
        <v>1960</v>
      </c>
      <c r="Z56" s="133" t="s">
        <v>1911</v>
      </c>
      <c r="AA56" s="926"/>
      <c r="AB56" s="926"/>
      <c r="AC56" s="926"/>
      <c r="AD56" s="932"/>
      <c r="AE56" s="120"/>
      <c r="AF56" s="120"/>
      <c r="AG56" s="120"/>
      <c r="AH56" s="124"/>
      <c r="AI56" s="798"/>
      <c r="AJ56" s="990"/>
      <c r="AK56" s="993"/>
      <c r="AL56" s="993"/>
      <c r="AM56" s="993"/>
      <c r="AN56" s="996"/>
      <c r="AO56" s="996"/>
      <c r="AP56" s="996"/>
      <c r="AQ56" s="993"/>
      <c r="AR56" s="130" t="s">
        <v>1955</v>
      </c>
      <c r="AS56" s="134" t="s">
        <v>1956</v>
      </c>
      <c r="AT56" s="134" t="s">
        <v>1957</v>
      </c>
      <c r="AU56" s="135" t="s">
        <v>1911</v>
      </c>
      <c r="AV56" s="130" t="s">
        <v>1958</v>
      </c>
      <c r="AW56" s="134" t="s">
        <v>1959</v>
      </c>
      <c r="AX56" s="134" t="s">
        <v>1960</v>
      </c>
      <c r="AY56" s="135" t="s">
        <v>1911</v>
      </c>
      <c r="AZ56" s="808"/>
      <c r="BA56" s="808"/>
      <c r="BB56" s="808"/>
      <c r="BC56" s="789"/>
      <c r="BD56" s="130" t="s">
        <v>1961</v>
      </c>
      <c r="BE56" s="790"/>
      <c r="BF56" s="130" t="s">
        <v>1962</v>
      </c>
      <c r="BG56" s="977"/>
      <c r="BH56" s="279"/>
    </row>
    <row r="57" spans="1:60" ht="15" thickTop="1">
      <c r="A57" s="299"/>
      <c r="B57" s="300"/>
      <c r="C57" s="950" t="s">
        <v>1854</v>
      </c>
      <c r="D57" s="951"/>
      <c r="E57" s="952"/>
      <c r="F57" s="956">
        <v>29000</v>
      </c>
      <c r="G57" s="957"/>
      <c r="H57" s="957"/>
      <c r="I57" s="957"/>
      <c r="J57" s="957"/>
      <c r="K57" s="958"/>
      <c r="L57" s="959" t="s">
        <v>1855</v>
      </c>
      <c r="M57" s="126"/>
      <c r="N57" s="136">
        <f>_xlfn.RANK.EQ($Q57,$Q$57:$Q$60,1)+COUNTIFS($Q$57:$Q$60,Q57,$AC$57:$AC$60,"&gt;"&amp;AC57)</f>
        <v>4</v>
      </c>
      <c r="O57" s="293" t="str">
        <f>INDEX(AI57:AI94,MATCH(1,BE57:BE94,0))</f>
        <v>W14X43</v>
      </c>
      <c r="P57" s="294">
        <f>VLOOKUP($O$57, $AI$57:$BG$94,2,FALSE)</f>
        <v>12.6</v>
      </c>
      <c r="Q57" s="294">
        <f>VLOOKUP($O$57, $AI$57:$BG$94,3,FALSE)</f>
        <v>43</v>
      </c>
      <c r="R57" s="295">
        <f>VLOOKUP($O$57, $AI$57:$BG$94,9,FALSE)</f>
        <v>88.8888888888889</v>
      </c>
      <c r="S57" s="294">
        <f>VLOOKUP($O$57, $AI$57:$BG$94,10,FALSE)</f>
        <v>7.54</v>
      </c>
      <c r="T57" s="295">
        <f>VLOOKUP($O$57, $AI$57:$BG$94,11,FALSE)</f>
        <v>10.938268340359652</v>
      </c>
      <c r="U57" s="295">
        <f>VLOOKUP($O$57, $AI$57:$BG$94,12,FALSE)</f>
        <v>28.784916685156979</v>
      </c>
      <c r="V57" s="137" t="str">
        <f>VLOOKUP($O$57, $AI$57:$BG$94,13,FALSE)</f>
        <v>COMPACT</v>
      </c>
      <c r="W57" s="294">
        <f>VLOOKUP($O$57, $AI$57:$BG$94,14,FALSE)</f>
        <v>37.4</v>
      </c>
      <c r="X57" s="295">
        <f>VLOOKUP($O$57, $AI$57:$BG$94,15,FALSE)</f>
        <v>108.23128673619024</v>
      </c>
      <c r="Y57" s="295">
        <f>VLOOKUP($O$57, $AI$57:$BG$94,16,FALSE)</f>
        <v>164.07402510539478</v>
      </c>
      <c r="Z57" s="137" t="str">
        <f>VLOOKUP($O$57, $AI$57:$BG$94,17,FALSE)</f>
        <v>COMPACT</v>
      </c>
      <c r="AA57" s="295">
        <f>VLOOKUP($O$57, $AI$57:$BG$94,20,FALSE)</f>
        <v>23.358159591784062</v>
      </c>
      <c r="AB57" s="295">
        <f>VLOOKUP($O$57, $AI$57:$BG$94,21,FALSE)</f>
        <v>294.31281085647919</v>
      </c>
      <c r="AC57" s="295">
        <f>VLOOKUP($O$57, $AI$57:$BG$94,22,FALSE)</f>
        <v>264.88152977083126</v>
      </c>
      <c r="AD57" s="138" t="str">
        <f>IF(AC57&gt;$J$68,"SAFE!","UNSAFE!")</f>
        <v>SAFE!</v>
      </c>
      <c r="AE57" s="120"/>
      <c r="AF57" s="120"/>
      <c r="AG57" s="120"/>
      <c r="AH57" s="124"/>
      <c r="AI57" s="139" t="s">
        <v>1251</v>
      </c>
      <c r="AJ57" s="140">
        <v>257</v>
      </c>
      <c r="AK57" s="140">
        <v>873</v>
      </c>
      <c r="AL57" s="140">
        <v>8.39</v>
      </c>
      <c r="AM57" s="140">
        <v>4.9000000000000004</v>
      </c>
      <c r="AN57" s="141">
        <f t="shared" ref="AN57:AN94" si="0">AL57/AM57</f>
        <v>1.7122448979591838</v>
      </c>
      <c r="AO57" s="141">
        <f>($K$79*12)/AL57</f>
        <v>17.163289630512512</v>
      </c>
      <c r="AP57" s="141">
        <f>($K$81*12)/AM57</f>
        <v>34.285714285714285</v>
      </c>
      <c r="AQ57" s="141">
        <f>MAX(AO57:AP57)</f>
        <v>34.285714285714285</v>
      </c>
      <c r="AR57" s="140">
        <v>1.71</v>
      </c>
      <c r="AS57" s="142">
        <f>0.38*SQRT($F$57/$J$59)</f>
        <v>10.938268340359652</v>
      </c>
      <c r="AT57" s="142">
        <f>1*SQRT($F$57/$J$59)</f>
        <v>28.784916685156979</v>
      </c>
      <c r="AU57" s="143" t="str">
        <f>IF(AS57 &gt;AR57, "COMPACT", IF(AND(AR57 &gt;AS57, AR57 &lt; AT57), "NON-COMPACT", IF(AR57 &gt; AT57, "SLENDER", "")))</f>
        <v>COMPACT</v>
      </c>
      <c r="AV57" s="140">
        <v>2.89</v>
      </c>
      <c r="AW57" s="144">
        <f>3.76*SQRT($F$57/$J$59)</f>
        <v>108.23128673619024</v>
      </c>
      <c r="AX57" s="142">
        <f>5.7*SQRT($F$57/$J$59)</f>
        <v>164.07402510539478</v>
      </c>
      <c r="AY57" s="143" t="str">
        <f>IF(AW57 &gt;AV57, "COMPACT", IF(AND(AV57 &gt;AW57, AV57 &lt; AX57), "NON-COMPACT", IF(AV57 &gt; AX57, "SLENDER", "")))</f>
        <v>COMPACT</v>
      </c>
      <c r="AZ57" s="141">
        <f>4.71*SQRT($F$57/$J$59)</f>
        <v>135.57695758708937</v>
      </c>
      <c r="BA57" s="141">
        <f>((PI()^2)*$F$57)/(AQ57^2)</f>
        <v>243.48451135326351</v>
      </c>
      <c r="BB57" s="141">
        <f>_xlfn.IFS(AU57="Slender","N/A",AY57="Slender","N/A",AQ57&lt;=AZ57,((0.658^($J$59/BA57))*$J$59),AQ57&gt;AZ57,(0.877*BA57))</f>
        <v>32.956318194871102</v>
      </c>
      <c r="BC57" s="141">
        <f>AJ57*BB57</f>
        <v>8469.7737760818727</v>
      </c>
      <c r="BD57" s="141">
        <f>0.9*BC57</f>
        <v>7622.7963984736853</v>
      </c>
      <c r="BE57" s="143">
        <f>COUNTIFS($BD$57:$BD$94,"&gt;="&amp;$J$68)</f>
        <v>33</v>
      </c>
      <c r="BF57" s="145">
        <f>BC57/1.67</f>
        <v>5071.7208240011214</v>
      </c>
      <c r="BG57" s="143">
        <f>COUNTIFS($BF$57:$BF$94,"&gt;="&amp;$F$73)</f>
        <v>33</v>
      </c>
      <c r="BH57" s="279"/>
    </row>
    <row r="58" spans="1:60" ht="15" thickBot="1">
      <c r="A58" s="299"/>
      <c r="B58" s="300"/>
      <c r="C58" s="953"/>
      <c r="D58" s="954"/>
      <c r="E58" s="955"/>
      <c r="F58" s="845"/>
      <c r="G58" s="880"/>
      <c r="H58" s="880"/>
      <c r="I58" s="880"/>
      <c r="J58" s="880"/>
      <c r="K58" s="846"/>
      <c r="L58" s="960"/>
      <c r="M58" s="126"/>
      <c r="N58" s="136">
        <f>_xlfn.RANK.EQ($Q58,$Q$57:$Q$60,1)+COUNTIFS($Q$57:$Q$60,Q58,$AC$57:$AC$60,"&gt;"&amp;AC58)</f>
        <v>3</v>
      </c>
      <c r="O58" s="293" t="str">
        <f>INDEX(AI100:AI128,MATCH(1,BE100:BE128,0))</f>
        <v>W12X40</v>
      </c>
      <c r="P58" s="294">
        <f>VLOOKUP($O$58, $AI$100:$BG$128,2,FALSE)</f>
        <v>11.7</v>
      </c>
      <c r="Q58" s="294">
        <f>VLOOKUP($O$58, $AI$100:$BG$128,3,FALSE)</f>
        <v>40</v>
      </c>
      <c r="R58" s="294">
        <f>VLOOKUP($O$58, $AI$100:$BG$128,9,FALSE)</f>
        <v>86.597938144329902</v>
      </c>
      <c r="S58" s="294">
        <f>VLOOKUP($O$58, $AI$100:$BG$128,10,FALSE)</f>
        <v>7.77</v>
      </c>
      <c r="T58" s="295">
        <f>VLOOKUP($O$58, $AI$100:$BG$128,11,FALSE)</f>
        <v>10.938268340359652</v>
      </c>
      <c r="U58" s="295">
        <f>VLOOKUP($O$58, $AI$100:$BG$128,12,FALSE)</f>
        <v>28.784916685156979</v>
      </c>
      <c r="V58" s="137" t="str">
        <f>VLOOKUP($O$58, $AI$100:$BG$128,13,FALSE)</f>
        <v>COMPACT</v>
      </c>
      <c r="W58" s="294">
        <f>VLOOKUP($O$58, $AI$100:$BG$128,14,FALSE)</f>
        <v>33.6</v>
      </c>
      <c r="X58" s="295">
        <f>VLOOKUP($O$58, AI100:BG128,15,FALSE)</f>
        <v>108.23128673619024</v>
      </c>
      <c r="Y58" s="295">
        <f>VLOOKUP($O$58, $AI$100:$BG$128,16,FALSE)</f>
        <v>164.07402510539478</v>
      </c>
      <c r="Z58" s="137" t="str">
        <f>VLOOKUP($O$58, $AI$100:$BG$128,17,FALSE)</f>
        <v>COMPACT</v>
      </c>
      <c r="AA58" s="295">
        <f>VLOOKUP($O$58, $AI$100:$BG$128,20,FALSE)</f>
        <v>23.84377534276566</v>
      </c>
      <c r="AB58" s="295">
        <f>VLOOKUP($O$58, $AI$100:$BG$128,21,FALSE)</f>
        <v>278.97217151035818</v>
      </c>
      <c r="AC58" s="295">
        <f>VLOOKUP($O$58, $AI$100:$BG$128,22,FALSE)</f>
        <v>251.07495435932236</v>
      </c>
      <c r="AD58" s="138" t="str">
        <f t="shared" ref="AD58:AD60" si="1">IF(AC58&gt;$J$68,"SAFE!","UNSAFE!")</f>
        <v>SAFE!</v>
      </c>
      <c r="AE58" s="120"/>
      <c r="AF58" s="120"/>
      <c r="AG58" s="120"/>
      <c r="AH58" s="124"/>
      <c r="AI58" s="139" t="s">
        <v>1255</v>
      </c>
      <c r="AJ58" s="140">
        <v>238</v>
      </c>
      <c r="AK58" s="140">
        <v>808</v>
      </c>
      <c r="AL58" s="140">
        <v>8.17</v>
      </c>
      <c r="AM58" s="140">
        <v>4.83</v>
      </c>
      <c r="AN58" s="141">
        <f t="shared" si="0"/>
        <v>1.691511387163561</v>
      </c>
      <c r="AO58" s="141">
        <f t="shared" ref="AO58:AO94" si="2">($K$79*12)/AL58</f>
        <v>17.625458996328028</v>
      </c>
      <c r="AP58" s="141">
        <f t="shared" ref="AP58:AP94" si="3">($K$81*12)/AM58</f>
        <v>34.782608695652172</v>
      </c>
      <c r="AQ58" s="141">
        <f t="shared" ref="AQ58:AQ94" si="4">MAX(AO58:AP58)</f>
        <v>34.782608695652172</v>
      </c>
      <c r="AR58" s="140">
        <v>1.82</v>
      </c>
      <c r="AS58" s="142">
        <f t="shared" ref="AS58:AS94" si="5">0.38*SQRT($F$57/$J$59)</f>
        <v>10.938268340359652</v>
      </c>
      <c r="AT58" s="142">
        <f t="shared" ref="AT58:AT94" si="6">1*SQRT($F$57/$J$59)</f>
        <v>28.784916685156979</v>
      </c>
      <c r="AU58" s="143" t="str">
        <f t="shared" ref="AU58:AU94" si="7">IF(AS58 &gt;AR58, "COMPACT", IF(AND(AR58 &gt;AS58, AR58 &lt; AT58), "NON-COMPACT", IF(AR58 &gt; AT58, "SLENDER", "")))</f>
        <v>COMPACT</v>
      </c>
      <c r="AV58" s="140">
        <v>3.04</v>
      </c>
      <c r="AW58" s="144">
        <f t="shared" ref="AW58:AW94" si="8">3.76*SQRT($F$57/$J$59)</f>
        <v>108.23128673619024</v>
      </c>
      <c r="AX58" s="142">
        <f t="shared" ref="AX58:AX94" si="9">5.7*SQRT($F$57/$J$59)</f>
        <v>164.07402510539478</v>
      </c>
      <c r="AY58" s="143" t="str">
        <f t="shared" ref="AY58:AY94" si="10">IF(AW58 &gt;AV58, "COMPACT", IF(AND(AV58 &gt;AW58, AV58 &lt; AX58), "NON-COMPACT", IF(AV58 &gt; AX58, "SLENDER", "")))</f>
        <v>COMPACT</v>
      </c>
      <c r="AZ58" s="141">
        <f t="shared" ref="AZ58:AZ94" si="11">4.71*SQRT($F$57/$J$59)</f>
        <v>135.57695758708937</v>
      </c>
      <c r="BA58" s="141">
        <f>((PI()^2)*$F$57)/(AQ58^2)</f>
        <v>236.57750174548724</v>
      </c>
      <c r="BB58" s="141">
        <f t="shared" ref="BB58:BB94" si="12">_xlfn.IFS(AU58="Slender","N/A",AY58="Slender","N/A",AQ58&lt;=AZ58,((0.658^($J$59/BA58))*$J$59),AQ58&gt;AZ58,(0.877*BA58))</f>
        <v>32.898479518855183</v>
      </c>
      <c r="BC58" s="141">
        <f t="shared" ref="BC58:BC94" si="13">AJ58*BB58</f>
        <v>7829.8381254875339</v>
      </c>
      <c r="BD58" s="141">
        <f t="shared" ref="BD58:BD94" si="14">0.9*BC58</f>
        <v>7046.8543129387808</v>
      </c>
      <c r="BE58" s="143">
        <f>COUNTIFS($BD$58:$BD$94,"&gt;="&amp;$J$68)</f>
        <v>32</v>
      </c>
      <c r="BF58" s="145">
        <f t="shared" ref="BF58:BF94" si="15">BC58/1.67</f>
        <v>4688.52582364523</v>
      </c>
      <c r="BG58" s="143">
        <f>COUNTIFS($BF$58:$BF$94,"&gt;="&amp;$F$73)</f>
        <v>32</v>
      </c>
      <c r="BH58" s="279"/>
    </row>
    <row r="59" spans="1:60" ht="15" thickBot="1">
      <c r="A59" s="299"/>
      <c r="B59" s="300"/>
      <c r="C59" s="961" t="s">
        <v>1856</v>
      </c>
      <c r="D59" s="962"/>
      <c r="E59" s="963"/>
      <c r="F59" s="691" t="s">
        <v>535</v>
      </c>
      <c r="G59" s="967"/>
      <c r="H59" s="970" t="s">
        <v>1857</v>
      </c>
      <c r="I59" s="963"/>
      <c r="J59" s="971">
        <f>VLOOKUP($F$59,'[2]Database 1'!$CL$3:$CO$36,3,FALSE)</f>
        <v>35</v>
      </c>
      <c r="K59" s="972"/>
      <c r="L59" s="289" t="s">
        <v>1855</v>
      </c>
      <c r="M59" s="126"/>
      <c r="N59" s="136">
        <f t="shared" ref="N59:N60" si="16">_xlfn.RANK.EQ($Q59,$Q$57:$Q$60,1)+COUNTIFS($Q$57:$Q$60,Q59,$AC$57:$AC$60,"&gt;"&amp;AC59)</f>
        <v>1</v>
      </c>
      <c r="O59" s="293" t="str">
        <f>INDEX(AI134:AI151,MATCH(1,BE134:BE151,0))</f>
        <v>W10X39</v>
      </c>
      <c r="P59" s="294">
        <f>VLOOKUP($O$59, $AI$134:$BG$151,2,FALSE)</f>
        <v>11.5</v>
      </c>
      <c r="Q59" s="294">
        <f>VLOOKUP($O$59, $AI$134:$BG$151,3,FALSE)</f>
        <v>39</v>
      </c>
      <c r="R59" s="295">
        <f>VLOOKUP($O$59, $AI$134:$BG$151,9,FALSE)</f>
        <v>84.848484848484844</v>
      </c>
      <c r="S59" s="294">
        <f>VLOOKUP($O$59, $AI$134:$BG$151,10,FALSE)</f>
        <v>7.53</v>
      </c>
      <c r="T59" s="295">
        <f>VLOOKUP($O$59, $AI$134:$BG$151,11,FALSE)</f>
        <v>10.938268340359652</v>
      </c>
      <c r="U59" s="295">
        <f>VLOOKUP($O$59, $AI$134:$BG$151,12,FALSE)</f>
        <v>28.784916685156979</v>
      </c>
      <c r="V59" s="137" t="str">
        <f>VLOOKUP($O$59, $AI$134:$BG$151,13,FALSE)</f>
        <v>COMPACT</v>
      </c>
      <c r="W59" s="294">
        <f>VLOOKUP($O$59, $AI$134:$BG$151,14,FALSE)</f>
        <v>25</v>
      </c>
      <c r="X59" s="295">
        <f>VLOOKUP($O$59, $AI$134:$BG$151,15,FALSE)</f>
        <v>108.23128673619024</v>
      </c>
      <c r="Y59" s="295">
        <f>VLOOKUP($O$59, $AI$134:$BG$151,16,FALSE)</f>
        <v>164.07402510539478</v>
      </c>
      <c r="Z59" s="137" t="str">
        <f>VLOOKUP($O$59, $AI$134:$BG$151,17,FALSE)</f>
        <v>COMPACT</v>
      </c>
      <c r="AA59" s="295">
        <f>VLOOKUP($O$59, $AI$134:$BG$151,20,FALSE)</f>
        <v>24.212635371316694</v>
      </c>
      <c r="AB59" s="295">
        <f>VLOOKUP($O$59, $AI$134:$BG$151,21,FALSE)</f>
        <v>278.445306770142</v>
      </c>
      <c r="AC59" s="295">
        <f>VLOOKUP($O$59, $AI$134:$BG$151,22,FALSE)</f>
        <v>250.60077609312779</v>
      </c>
      <c r="AD59" s="138" t="str">
        <f>IF(AC59&gt;$J$68,"SAFE!","UNSAFE!")</f>
        <v>SAFE!</v>
      </c>
      <c r="AE59" s="120"/>
      <c r="AF59" s="120"/>
      <c r="AG59" s="120"/>
      <c r="AH59" s="124"/>
      <c r="AI59" s="139" t="s">
        <v>1260</v>
      </c>
      <c r="AJ59" s="140">
        <v>215</v>
      </c>
      <c r="AK59" s="140">
        <v>730</v>
      </c>
      <c r="AL59" s="140">
        <v>8.17</v>
      </c>
      <c r="AM59" s="140">
        <v>4.6900000000000004</v>
      </c>
      <c r="AN59" s="141">
        <f t="shared" si="0"/>
        <v>1.7420042643923239</v>
      </c>
      <c r="AO59" s="141">
        <f t="shared" si="2"/>
        <v>17.625458996328028</v>
      </c>
      <c r="AP59" s="141">
        <f t="shared" si="3"/>
        <v>35.820895522388057</v>
      </c>
      <c r="AQ59" s="141">
        <f t="shared" si="4"/>
        <v>35.820895522388057</v>
      </c>
      <c r="AR59" s="140">
        <v>1.82</v>
      </c>
      <c r="AS59" s="142">
        <f t="shared" si="5"/>
        <v>10.938268340359652</v>
      </c>
      <c r="AT59" s="142">
        <f t="shared" si="6"/>
        <v>28.784916685156979</v>
      </c>
      <c r="AU59" s="143" t="str">
        <f t="shared" si="7"/>
        <v>COMPACT</v>
      </c>
      <c r="AV59" s="140">
        <v>3.71</v>
      </c>
      <c r="AW59" s="144">
        <f t="shared" si="8"/>
        <v>108.23128673619024</v>
      </c>
      <c r="AX59" s="142">
        <f t="shared" si="9"/>
        <v>164.07402510539478</v>
      </c>
      <c r="AY59" s="143" t="str">
        <f t="shared" si="10"/>
        <v>COMPACT</v>
      </c>
      <c r="AZ59" s="141">
        <f t="shared" si="11"/>
        <v>135.57695758708937</v>
      </c>
      <c r="BA59" s="141">
        <f>((PI()^2)*$F$57)/(AQ59^2)</f>
        <v>223.06162682955102</v>
      </c>
      <c r="BB59" s="141">
        <f t="shared" si="12"/>
        <v>32.775276044350989</v>
      </c>
      <c r="BC59" s="141">
        <f t="shared" si="13"/>
        <v>7046.6843495354624</v>
      </c>
      <c r="BD59" s="141">
        <f t="shared" si="14"/>
        <v>6342.0159145819161</v>
      </c>
      <c r="BE59" s="143">
        <f>COUNTIFS($BD$59:$BD$94,"&gt;="&amp;$J$68)</f>
        <v>31</v>
      </c>
      <c r="BF59" s="145">
        <f t="shared" si="15"/>
        <v>4219.5714667877019</v>
      </c>
      <c r="BG59" s="143">
        <f>COUNTIFS($BF$59:$BF$94,"&gt;="&amp;$F$73)</f>
        <v>31</v>
      </c>
      <c r="BH59" s="279"/>
    </row>
    <row r="60" spans="1:60" ht="15" thickBot="1">
      <c r="A60" s="299"/>
      <c r="B60" s="300"/>
      <c r="C60" s="964"/>
      <c r="D60" s="965"/>
      <c r="E60" s="966"/>
      <c r="F60" s="968"/>
      <c r="G60" s="969"/>
      <c r="H60" s="973" t="s">
        <v>1858</v>
      </c>
      <c r="I60" s="974"/>
      <c r="J60" s="971">
        <f>VLOOKUP($F$59,'[2]Database 1'!$CL$3:$CO$36,4,FALSE)</f>
        <v>60</v>
      </c>
      <c r="K60" s="972"/>
      <c r="L60" s="290" t="s">
        <v>1855</v>
      </c>
      <c r="M60" s="165"/>
      <c r="N60" s="146">
        <f t="shared" si="16"/>
        <v>2</v>
      </c>
      <c r="O60" s="296" t="str">
        <f>INDEX(AI157:AI169,MATCH(1,BE157:BE169,0))</f>
        <v>W8X40</v>
      </c>
      <c r="P60" s="297">
        <f>VLOOKUP($O$60, $AI$157:$BG$169,2,FALSE)</f>
        <v>11.7</v>
      </c>
      <c r="Q60" s="297">
        <f>VLOOKUP($O$60, $AI$157:$BG$169,3,FALSE)</f>
        <v>40</v>
      </c>
      <c r="R60" s="298">
        <f>VLOOKUP($O$60, $AI$157:$BG$169,9,FALSE)</f>
        <v>82.35294117647058</v>
      </c>
      <c r="S60" s="297">
        <f>VLOOKUP($O$60, $AI$157:$BG$169,10,FALSE)</f>
        <v>7.21</v>
      </c>
      <c r="T60" s="298">
        <f>VLOOKUP($O$60, $AI$157:$BG$169,11,FALSE)</f>
        <v>10.938268340359652</v>
      </c>
      <c r="U60" s="298">
        <f>VLOOKUP($O$60, $AI$157:$BG$169,12,FALSE)</f>
        <v>28.784916685156979</v>
      </c>
      <c r="V60" s="147" t="str">
        <f>VLOOKUP($O$60, $AI$157:$BG$169,13,FALSE)</f>
        <v>COMPACT</v>
      </c>
      <c r="W60" s="297">
        <f>VLOOKUP($O$60, $AI$157:$BG$169,14,FALSE)</f>
        <v>17.600000000000001</v>
      </c>
      <c r="X60" s="298">
        <f>VLOOKUP($O$60, $AI$157:$BG$169,15,FALSE)</f>
        <v>108.23128673619024</v>
      </c>
      <c r="Y60" s="298">
        <f>VLOOKUP($O$60, $AI$157:$BG$169,16,FALSE)</f>
        <v>164.07402510539478</v>
      </c>
      <c r="Z60" s="147" t="str">
        <f>VLOOKUP($O$60, $AI$157:$BG$169,17,FALSE)</f>
        <v>COMPACT</v>
      </c>
      <c r="AA60" s="298">
        <f>VLOOKUP($O$60, $AI$157:$BG$169,20,FALSE)</f>
        <v>24.735285312333652</v>
      </c>
      <c r="AB60" s="298">
        <f>VLOOKUP($O$60, $AI$157:$BG$169,21,FALSE)</f>
        <v>289.40283815430371</v>
      </c>
      <c r="AC60" s="298">
        <f>VLOOKUP($O$60, $AI$157:$BG$169,22,FALSE)</f>
        <v>260.46255433887336</v>
      </c>
      <c r="AD60" s="148" t="str">
        <f t="shared" si="1"/>
        <v>SAFE!</v>
      </c>
      <c r="AE60" s="120"/>
      <c r="AF60" s="120"/>
      <c r="AG60" s="120"/>
      <c r="AH60" s="124"/>
      <c r="AI60" s="139" t="s">
        <v>1265</v>
      </c>
      <c r="AJ60" s="140">
        <v>196</v>
      </c>
      <c r="AK60" s="140">
        <v>665</v>
      </c>
      <c r="AL60" s="140">
        <v>7.98</v>
      </c>
      <c r="AM60" s="140">
        <v>4.62</v>
      </c>
      <c r="AN60" s="141">
        <f t="shared" si="0"/>
        <v>1.7272727272727273</v>
      </c>
      <c r="AO60" s="141">
        <f t="shared" si="2"/>
        <v>18.045112781954888</v>
      </c>
      <c r="AP60" s="141">
        <f t="shared" si="3"/>
        <v>36.36363636363636</v>
      </c>
      <c r="AQ60" s="141">
        <f t="shared" si="4"/>
        <v>36.36363636363636</v>
      </c>
      <c r="AR60" s="140">
        <v>1.95</v>
      </c>
      <c r="AS60" s="142">
        <f t="shared" si="5"/>
        <v>10.938268340359652</v>
      </c>
      <c r="AT60" s="142">
        <f t="shared" si="6"/>
        <v>28.784916685156979</v>
      </c>
      <c r="AU60" s="143" t="str">
        <f t="shared" si="7"/>
        <v>COMPACT</v>
      </c>
      <c r="AV60" s="140">
        <v>4.03</v>
      </c>
      <c r="AW60" s="144">
        <f t="shared" si="8"/>
        <v>108.23128673619024</v>
      </c>
      <c r="AX60" s="142">
        <f t="shared" si="9"/>
        <v>164.07402510539478</v>
      </c>
      <c r="AY60" s="143" t="str">
        <f t="shared" si="10"/>
        <v>COMPACT</v>
      </c>
      <c r="AZ60" s="141">
        <f t="shared" si="11"/>
        <v>135.57695758708937</v>
      </c>
      <c r="BA60" s="141">
        <f t="shared" ref="BA60:BA94" si="17">((PI()^2)*$F$57)/(AQ60^2)</f>
        <v>216.45276152139104</v>
      </c>
      <c r="BB60" s="141">
        <f t="shared" si="12"/>
        <v>32.709621367775391</v>
      </c>
      <c r="BC60" s="141">
        <f t="shared" si="13"/>
        <v>6411.0857880839767</v>
      </c>
      <c r="BD60" s="141">
        <f t="shared" si="14"/>
        <v>5769.9772092755793</v>
      </c>
      <c r="BE60" s="143">
        <f>COUNTIFS($BD$60:$BD$94,"&gt;="&amp;$J$68)</f>
        <v>30</v>
      </c>
      <c r="BF60" s="145">
        <f t="shared" si="15"/>
        <v>3838.9735257987886</v>
      </c>
      <c r="BG60" s="143">
        <f>COUNTIFS($BF$60:$BF$94,"&gt;="&amp;$F$73)</f>
        <v>30</v>
      </c>
      <c r="BH60" s="279"/>
    </row>
    <row r="61" spans="1:60" ht="15" thickTop="1">
      <c r="A61" s="299"/>
      <c r="B61" s="300"/>
      <c r="C61" s="917" t="s">
        <v>1963</v>
      </c>
      <c r="D61" s="933"/>
      <c r="E61" s="934"/>
      <c r="F61" s="691">
        <v>13</v>
      </c>
      <c r="G61" s="692"/>
      <c r="H61" s="692"/>
      <c r="I61" s="692"/>
      <c r="J61" s="692"/>
      <c r="K61" s="855"/>
      <c r="L61" s="935" t="s">
        <v>1870</v>
      </c>
      <c r="M61" s="126"/>
      <c r="N61" s="937"/>
      <c r="O61" s="938"/>
      <c r="P61" s="938"/>
      <c r="Q61" s="938"/>
      <c r="R61" s="938"/>
      <c r="S61" s="938"/>
      <c r="T61" s="938"/>
      <c r="U61" s="938"/>
      <c r="V61" s="938"/>
      <c r="W61" s="938"/>
      <c r="X61" s="938"/>
      <c r="Y61" s="938"/>
      <c r="Z61" s="938"/>
      <c r="AA61" s="938"/>
      <c r="AB61" s="938"/>
      <c r="AC61" s="938"/>
      <c r="AD61" s="939"/>
      <c r="AE61" s="120"/>
      <c r="AF61" s="120"/>
      <c r="AG61" s="120"/>
      <c r="AH61" s="124"/>
      <c r="AI61" s="139" t="s">
        <v>1275</v>
      </c>
      <c r="AJ61" s="140">
        <v>178</v>
      </c>
      <c r="AK61" s="140">
        <v>605</v>
      </c>
      <c r="AL61" s="140">
        <v>7.8</v>
      </c>
      <c r="AM61" s="140">
        <v>4.55</v>
      </c>
      <c r="AN61" s="141">
        <f t="shared" si="0"/>
        <v>1.7142857142857144</v>
      </c>
      <c r="AO61" s="141">
        <f t="shared" si="2"/>
        <v>18.461538461538463</v>
      </c>
      <c r="AP61" s="141">
        <f t="shared" si="3"/>
        <v>36.923076923076927</v>
      </c>
      <c r="AQ61" s="141">
        <f t="shared" si="4"/>
        <v>36.923076923076927</v>
      </c>
      <c r="AR61" s="140">
        <v>2.09</v>
      </c>
      <c r="AS61" s="142">
        <f t="shared" si="5"/>
        <v>10.938268340359652</v>
      </c>
      <c r="AT61" s="142">
        <f t="shared" si="6"/>
        <v>28.784916685156979</v>
      </c>
      <c r="AU61" s="143" t="str">
        <f t="shared" si="7"/>
        <v>COMPACT</v>
      </c>
      <c r="AV61" s="140">
        <v>4.3899999999999997</v>
      </c>
      <c r="AW61" s="144">
        <f t="shared" si="8"/>
        <v>108.23128673619024</v>
      </c>
      <c r="AX61" s="142">
        <f t="shared" si="9"/>
        <v>164.07402510539478</v>
      </c>
      <c r="AY61" s="143" t="str">
        <f t="shared" si="10"/>
        <v>COMPACT</v>
      </c>
      <c r="AZ61" s="141">
        <f t="shared" si="11"/>
        <v>135.57695758708937</v>
      </c>
      <c r="BA61" s="141">
        <f t="shared" si="17"/>
        <v>209.94327764643631</v>
      </c>
      <c r="BB61" s="141">
        <f t="shared" si="12"/>
        <v>32.641054055169327</v>
      </c>
      <c r="BC61" s="141">
        <f t="shared" si="13"/>
        <v>5810.1076218201406</v>
      </c>
      <c r="BD61" s="141">
        <f t="shared" si="14"/>
        <v>5229.0968596381263</v>
      </c>
      <c r="BE61" s="143">
        <f>COUNTIFS($BD$61:$BD$94,"&gt;="&amp;$J$68)</f>
        <v>29</v>
      </c>
      <c r="BF61" s="145">
        <f t="shared" si="15"/>
        <v>3479.1063603713419</v>
      </c>
      <c r="BG61" s="143">
        <f>COUNTIFS($BF$61:$BF$94,"&gt;="&amp;$F$73)</f>
        <v>29</v>
      </c>
      <c r="BH61" s="279"/>
    </row>
    <row r="62" spans="1:60" ht="15" thickBot="1">
      <c r="A62" s="299"/>
      <c r="B62" s="300"/>
      <c r="C62" s="917"/>
      <c r="D62" s="933"/>
      <c r="E62" s="934"/>
      <c r="F62" s="823"/>
      <c r="G62" s="607"/>
      <c r="H62" s="607"/>
      <c r="I62" s="607"/>
      <c r="J62" s="607"/>
      <c r="K62" s="824"/>
      <c r="L62" s="936"/>
      <c r="M62" s="126"/>
      <c r="N62" s="940" t="s">
        <v>1964</v>
      </c>
      <c r="O62" s="941"/>
      <c r="P62" s="941"/>
      <c r="Q62" s="941"/>
      <c r="R62" s="941"/>
      <c r="S62" s="941"/>
      <c r="T62" s="941"/>
      <c r="U62" s="941"/>
      <c r="V62" s="941"/>
      <c r="W62" s="941"/>
      <c r="X62" s="941"/>
      <c r="Y62" s="941"/>
      <c r="Z62" s="941"/>
      <c r="AA62" s="941"/>
      <c r="AB62" s="941"/>
      <c r="AC62" s="941"/>
      <c r="AD62" s="942"/>
      <c r="AE62" s="120"/>
      <c r="AF62" s="120"/>
      <c r="AG62" s="120"/>
      <c r="AH62" s="124"/>
      <c r="AI62" s="139" t="s">
        <v>1285</v>
      </c>
      <c r="AJ62" s="140">
        <v>162</v>
      </c>
      <c r="AK62" s="140">
        <v>550</v>
      </c>
      <c r="AL62" s="140">
        <v>7.63</v>
      </c>
      <c r="AM62" s="140">
        <v>4.49</v>
      </c>
      <c r="AN62" s="141">
        <f t="shared" si="0"/>
        <v>1.6993318485523383</v>
      </c>
      <c r="AO62" s="141">
        <f t="shared" si="2"/>
        <v>18.872870249017037</v>
      </c>
      <c r="AP62" s="141">
        <f t="shared" si="3"/>
        <v>37.416481069042312</v>
      </c>
      <c r="AQ62" s="141">
        <f t="shared" si="4"/>
        <v>37.416481069042312</v>
      </c>
      <c r="AR62" s="140">
        <v>2.25</v>
      </c>
      <c r="AS62" s="142">
        <f t="shared" si="5"/>
        <v>10.938268340359652</v>
      </c>
      <c r="AT62" s="142">
        <f t="shared" si="6"/>
        <v>28.784916685156979</v>
      </c>
      <c r="AU62" s="143" t="str">
        <f t="shared" si="7"/>
        <v>COMPACT</v>
      </c>
      <c r="AV62" s="140">
        <v>4.79</v>
      </c>
      <c r="AW62" s="144">
        <f t="shared" si="8"/>
        <v>108.23128673619024</v>
      </c>
      <c r="AX62" s="142">
        <f t="shared" si="9"/>
        <v>164.07402510539478</v>
      </c>
      <c r="AY62" s="143" t="str">
        <f t="shared" si="10"/>
        <v>COMPACT</v>
      </c>
      <c r="AZ62" s="141">
        <f t="shared" si="11"/>
        <v>135.57695758708937</v>
      </c>
      <c r="BA62" s="141">
        <f t="shared" si="17"/>
        <v>204.44281954739392</v>
      </c>
      <c r="BB62" s="141">
        <f t="shared" si="12"/>
        <v>32.57983348664775</v>
      </c>
      <c r="BC62" s="141">
        <f t="shared" si="13"/>
        <v>5277.9330248369351</v>
      </c>
      <c r="BD62" s="141">
        <f t="shared" si="14"/>
        <v>4750.1397223532422</v>
      </c>
      <c r="BE62" s="143">
        <f>COUNTIFS($BD$62:$BD$94,"&gt;="&amp;$J$68)</f>
        <v>28</v>
      </c>
      <c r="BF62" s="145">
        <f t="shared" si="15"/>
        <v>3160.4389370281051</v>
      </c>
      <c r="BG62" s="143">
        <f>COUNTIFS($BF$62:$BF$94,"&gt;="&amp;$F$73)</f>
        <v>28</v>
      </c>
      <c r="BH62" s="279"/>
    </row>
    <row r="63" spans="1:60" ht="15" thickTop="1">
      <c r="A63" s="299"/>
      <c r="B63" s="300"/>
      <c r="C63" s="890" t="s">
        <v>1965</v>
      </c>
      <c r="D63" s="891"/>
      <c r="E63" s="892"/>
      <c r="F63" s="691">
        <v>145</v>
      </c>
      <c r="G63" s="692"/>
      <c r="H63" s="692"/>
      <c r="I63" s="692"/>
      <c r="J63" s="692"/>
      <c r="K63" s="855"/>
      <c r="L63" s="935" t="s">
        <v>1870</v>
      </c>
      <c r="M63" s="149"/>
      <c r="N63" s="944" t="str">
        <f>VLOOKUP(1,N57:Q60,2,FALSE)</f>
        <v>W10X39</v>
      </c>
      <c r="O63" s="945"/>
      <c r="P63" s="945"/>
      <c r="Q63" s="945"/>
      <c r="R63" s="945"/>
      <c r="S63" s="945"/>
      <c r="T63" s="945"/>
      <c r="U63" s="945"/>
      <c r="V63" s="945"/>
      <c r="W63" s="945"/>
      <c r="X63" s="945"/>
      <c r="Y63" s="945"/>
      <c r="Z63" s="945"/>
      <c r="AA63" s="945"/>
      <c r="AB63" s="945"/>
      <c r="AC63" s="945"/>
      <c r="AD63" s="946"/>
      <c r="AE63" s="120"/>
      <c r="AF63" s="120"/>
      <c r="AG63" s="120"/>
      <c r="AH63" s="124"/>
      <c r="AI63" s="139" t="s">
        <v>1294</v>
      </c>
      <c r="AJ63" s="140">
        <v>147</v>
      </c>
      <c r="AK63" s="140">
        <v>500</v>
      </c>
      <c r="AL63" s="140">
        <v>7.48</v>
      </c>
      <c r="AM63" s="140">
        <v>4.43</v>
      </c>
      <c r="AN63" s="141">
        <f t="shared" si="0"/>
        <v>1.6884875846501131</v>
      </c>
      <c r="AO63" s="141">
        <f t="shared" si="2"/>
        <v>19.251336898395721</v>
      </c>
      <c r="AP63" s="141">
        <f t="shared" si="3"/>
        <v>37.92325056433409</v>
      </c>
      <c r="AQ63" s="141">
        <f t="shared" si="4"/>
        <v>37.92325056433409</v>
      </c>
      <c r="AR63" s="140">
        <v>2.4300000000000002</v>
      </c>
      <c r="AS63" s="142">
        <f t="shared" si="5"/>
        <v>10.938268340359652</v>
      </c>
      <c r="AT63" s="142">
        <f t="shared" si="6"/>
        <v>28.784916685156979</v>
      </c>
      <c r="AU63" s="143" t="str">
        <f t="shared" si="7"/>
        <v>COMPACT</v>
      </c>
      <c r="AV63" s="140">
        <v>5.21</v>
      </c>
      <c r="AW63" s="144">
        <f t="shared" si="8"/>
        <v>108.23128673619024</v>
      </c>
      <c r="AX63" s="142">
        <f t="shared" si="9"/>
        <v>164.07402510539478</v>
      </c>
      <c r="AY63" s="143" t="str">
        <f t="shared" si="10"/>
        <v>COMPACT</v>
      </c>
      <c r="AZ63" s="141">
        <f t="shared" si="11"/>
        <v>135.57695758708937</v>
      </c>
      <c r="BA63" s="141">
        <f t="shared" si="17"/>
        <v>199.01537637886963</v>
      </c>
      <c r="BB63" s="141">
        <f t="shared" si="12"/>
        <v>32.516230554389296</v>
      </c>
      <c r="BC63" s="141">
        <f t="shared" si="13"/>
        <v>4779.8858914952261</v>
      </c>
      <c r="BD63" s="141">
        <f t="shared" si="14"/>
        <v>4301.8973023457038</v>
      </c>
      <c r="BE63" s="143">
        <f>COUNTIFS($BD$63:$BD$94,"&gt;="&amp;$J$68)</f>
        <v>27</v>
      </c>
      <c r="BF63" s="145">
        <f t="shared" si="15"/>
        <v>2862.2071206558239</v>
      </c>
      <c r="BG63" s="143">
        <f>COUNTIFS($BF$63:$BF$94,"&gt;="&amp;$F$73)</f>
        <v>27</v>
      </c>
      <c r="BH63" s="279"/>
    </row>
    <row r="64" spans="1:60" ht="15" thickBot="1">
      <c r="A64" s="299"/>
      <c r="B64" s="300"/>
      <c r="C64" s="893"/>
      <c r="D64" s="894"/>
      <c r="E64" s="895"/>
      <c r="F64" s="539"/>
      <c r="G64" s="694"/>
      <c r="H64" s="694"/>
      <c r="I64" s="694"/>
      <c r="J64" s="694"/>
      <c r="K64" s="825"/>
      <c r="L64" s="943"/>
      <c r="M64" s="149"/>
      <c r="N64" s="947"/>
      <c r="O64" s="948"/>
      <c r="P64" s="948"/>
      <c r="Q64" s="948"/>
      <c r="R64" s="948"/>
      <c r="S64" s="948"/>
      <c r="T64" s="948"/>
      <c r="U64" s="948"/>
      <c r="V64" s="948"/>
      <c r="W64" s="948"/>
      <c r="X64" s="948"/>
      <c r="Y64" s="948"/>
      <c r="Z64" s="948"/>
      <c r="AA64" s="948"/>
      <c r="AB64" s="948"/>
      <c r="AC64" s="948"/>
      <c r="AD64" s="949"/>
      <c r="AE64" s="120"/>
      <c r="AF64" s="120"/>
      <c r="AG64" s="120"/>
      <c r="AH64" s="124"/>
      <c r="AI64" s="139" t="s">
        <v>1307</v>
      </c>
      <c r="AJ64" s="140">
        <v>134</v>
      </c>
      <c r="AK64" s="140">
        <v>455</v>
      </c>
      <c r="AL64" s="140">
        <v>7.33</v>
      </c>
      <c r="AM64" s="140">
        <v>4.38</v>
      </c>
      <c r="AN64" s="141">
        <f t="shared" si="0"/>
        <v>1.6735159817351599</v>
      </c>
      <c r="AO64" s="141">
        <f t="shared" si="2"/>
        <v>19.645293315143245</v>
      </c>
      <c r="AP64" s="141">
        <f t="shared" si="3"/>
        <v>38.356164383561648</v>
      </c>
      <c r="AQ64" s="141">
        <f t="shared" si="4"/>
        <v>38.356164383561648</v>
      </c>
      <c r="AR64" s="140">
        <v>2.62</v>
      </c>
      <c r="AS64" s="142">
        <f t="shared" si="5"/>
        <v>10.938268340359652</v>
      </c>
      <c r="AT64" s="142">
        <f t="shared" si="6"/>
        <v>28.784916685156979</v>
      </c>
      <c r="AU64" s="143" t="str">
        <f t="shared" si="7"/>
        <v>COMPACT</v>
      </c>
      <c r="AV64" s="140">
        <v>5.66</v>
      </c>
      <c r="AW64" s="144">
        <f t="shared" si="8"/>
        <v>108.23128673619024</v>
      </c>
      <c r="AX64" s="142">
        <f t="shared" si="9"/>
        <v>164.07402510539478</v>
      </c>
      <c r="AY64" s="143" t="str">
        <f t="shared" si="10"/>
        <v>COMPACT</v>
      </c>
      <c r="AZ64" s="141">
        <f t="shared" si="11"/>
        <v>135.57695758708937</v>
      </c>
      <c r="BA64" s="141">
        <f t="shared" si="17"/>
        <v>194.548282365912</v>
      </c>
      <c r="BB64" s="141">
        <f t="shared" si="12"/>
        <v>32.461319467000905</v>
      </c>
      <c r="BC64" s="141">
        <f t="shared" si="13"/>
        <v>4349.8168085781217</v>
      </c>
      <c r="BD64" s="141">
        <f t="shared" si="14"/>
        <v>3914.8351277203096</v>
      </c>
      <c r="BE64" s="143">
        <f>COUNTIFS($BD$64:$BD$94,"&gt;="&amp;$J$68)</f>
        <v>26</v>
      </c>
      <c r="BF64" s="145">
        <f t="shared" si="15"/>
        <v>2604.6807236994741</v>
      </c>
      <c r="BG64" s="143">
        <f>COUNTIFS($BF$64:$BF$94,"&gt;="&amp;$F$73)</f>
        <v>26</v>
      </c>
      <c r="BH64" s="279"/>
    </row>
    <row r="65" spans="1:60" ht="15.6" thickTop="1" thickBot="1">
      <c r="A65" s="299"/>
      <c r="B65" s="300"/>
      <c r="C65" s="907"/>
      <c r="D65" s="908"/>
      <c r="E65" s="908"/>
      <c r="F65" s="908"/>
      <c r="G65" s="908"/>
      <c r="H65" s="908"/>
      <c r="I65" s="908"/>
      <c r="J65" s="908"/>
      <c r="K65" s="908"/>
      <c r="L65" s="909"/>
      <c r="M65" s="149"/>
      <c r="N65" s="910"/>
      <c r="O65" s="910"/>
      <c r="P65" s="910"/>
      <c r="Q65" s="910"/>
      <c r="R65" s="910"/>
      <c r="S65" s="910"/>
      <c r="T65" s="910"/>
      <c r="U65" s="910"/>
      <c r="V65" s="910"/>
      <c r="W65" s="910"/>
      <c r="X65" s="910"/>
      <c r="Y65" s="910"/>
      <c r="Z65" s="910"/>
      <c r="AA65" s="910"/>
      <c r="AB65" s="910"/>
      <c r="AC65" s="910"/>
      <c r="AD65" s="910"/>
      <c r="AE65" s="120"/>
      <c r="AF65" s="120"/>
      <c r="AG65" s="120"/>
      <c r="AH65" s="124"/>
      <c r="AI65" s="139" t="s">
        <v>1311</v>
      </c>
      <c r="AJ65" s="140">
        <v>125</v>
      </c>
      <c r="AK65" s="140">
        <v>426</v>
      </c>
      <c r="AL65" s="140">
        <v>7.26</v>
      </c>
      <c r="AM65" s="140">
        <v>4.34</v>
      </c>
      <c r="AN65" s="141">
        <f t="shared" si="0"/>
        <v>1.6728110599078341</v>
      </c>
      <c r="AO65" s="141">
        <f t="shared" si="2"/>
        <v>19.834710743801654</v>
      </c>
      <c r="AP65" s="141">
        <f t="shared" si="3"/>
        <v>38.70967741935484</v>
      </c>
      <c r="AQ65" s="141">
        <f t="shared" si="4"/>
        <v>38.70967741935484</v>
      </c>
      <c r="AR65" s="140">
        <v>2.75</v>
      </c>
      <c r="AS65" s="142">
        <f t="shared" si="5"/>
        <v>10.938268340359652</v>
      </c>
      <c r="AT65" s="142">
        <f t="shared" si="6"/>
        <v>28.784916685156979</v>
      </c>
      <c r="AU65" s="143" t="str">
        <f t="shared" si="7"/>
        <v>COMPACT</v>
      </c>
      <c r="AV65" s="140">
        <v>6.08</v>
      </c>
      <c r="AW65" s="144">
        <f t="shared" si="8"/>
        <v>108.23128673619024</v>
      </c>
      <c r="AX65" s="142">
        <f t="shared" si="9"/>
        <v>164.07402510539478</v>
      </c>
      <c r="AY65" s="143" t="str">
        <f t="shared" si="10"/>
        <v>COMPACT</v>
      </c>
      <c r="AZ65" s="141">
        <f t="shared" si="11"/>
        <v>135.57695758708937</v>
      </c>
      <c r="BA65" s="141">
        <f t="shared" si="17"/>
        <v>191.01111462080505</v>
      </c>
      <c r="BB65" s="141">
        <f t="shared" si="12"/>
        <v>32.416087155398138</v>
      </c>
      <c r="BC65" s="141">
        <f t="shared" si="13"/>
        <v>4052.0108944247672</v>
      </c>
      <c r="BD65" s="141">
        <f t="shared" si="14"/>
        <v>3646.8098049822906</v>
      </c>
      <c r="BE65" s="143">
        <f>COUNTIFS($BD$65:$BD$94,"&gt;="&amp;$J$68)</f>
        <v>25</v>
      </c>
      <c r="BF65" s="145">
        <f t="shared" si="15"/>
        <v>2426.3538289968669</v>
      </c>
      <c r="BG65" s="143">
        <f>COUNTIFS($BF$65:$BF$94,"&gt;="&amp;$F$73)</f>
        <v>25</v>
      </c>
      <c r="BH65" s="279"/>
    </row>
    <row r="66" spans="1:60" ht="15.6" thickTop="1" thickBot="1">
      <c r="A66" s="299"/>
      <c r="B66" s="300"/>
      <c r="C66" s="609" t="s">
        <v>1966</v>
      </c>
      <c r="D66" s="677"/>
      <c r="E66" s="677"/>
      <c r="F66" s="677"/>
      <c r="G66" s="677"/>
      <c r="H66" s="677"/>
      <c r="I66" s="677"/>
      <c r="J66" s="677"/>
      <c r="K66" s="677"/>
      <c r="L66" s="911"/>
      <c r="M66" s="149"/>
      <c r="N66" s="910"/>
      <c r="O66" s="910"/>
      <c r="P66" s="910"/>
      <c r="Q66" s="910"/>
      <c r="R66" s="910"/>
      <c r="S66" s="910"/>
      <c r="T66" s="910"/>
      <c r="U66" s="910"/>
      <c r="V66" s="910"/>
      <c r="W66" s="910"/>
      <c r="X66" s="910"/>
      <c r="Y66" s="910"/>
      <c r="Z66" s="910"/>
      <c r="AA66" s="910"/>
      <c r="AB66" s="910"/>
      <c r="AC66" s="910"/>
      <c r="AD66" s="910"/>
      <c r="AE66" s="120"/>
      <c r="AF66" s="120"/>
      <c r="AG66" s="120"/>
      <c r="AH66" s="124"/>
      <c r="AI66" s="139" t="s">
        <v>1317</v>
      </c>
      <c r="AJ66" s="140">
        <v>117</v>
      </c>
      <c r="AK66" s="140">
        <v>398</v>
      </c>
      <c r="AL66" s="140">
        <v>7.16</v>
      </c>
      <c r="AM66" s="140">
        <v>4.3099999999999996</v>
      </c>
      <c r="AN66" s="141">
        <f t="shared" si="0"/>
        <v>1.6612529002320187</v>
      </c>
      <c r="AO66" s="141">
        <f t="shared" si="2"/>
        <v>20.11173184357542</v>
      </c>
      <c r="AP66" s="141">
        <f t="shared" si="3"/>
        <v>38.97911832946636</v>
      </c>
      <c r="AQ66" s="141">
        <f t="shared" si="4"/>
        <v>38.97911832946636</v>
      </c>
      <c r="AR66" s="140">
        <v>2.92</v>
      </c>
      <c r="AS66" s="142">
        <f t="shared" si="5"/>
        <v>10.938268340359652</v>
      </c>
      <c r="AT66" s="142">
        <f t="shared" si="6"/>
        <v>28.784916685156979</v>
      </c>
      <c r="AU66" s="143" t="str">
        <f t="shared" si="7"/>
        <v>COMPACT</v>
      </c>
      <c r="AV66" s="140">
        <v>6.44</v>
      </c>
      <c r="AW66" s="144">
        <f t="shared" si="8"/>
        <v>108.23128673619024</v>
      </c>
      <c r="AX66" s="142">
        <f t="shared" si="9"/>
        <v>164.07402510539478</v>
      </c>
      <c r="AY66" s="143" t="str">
        <f t="shared" si="10"/>
        <v>COMPACT</v>
      </c>
      <c r="AZ66" s="141">
        <f t="shared" si="11"/>
        <v>135.57695758708937</v>
      </c>
      <c r="BA66" s="141">
        <f t="shared" si="17"/>
        <v>188.379534833376</v>
      </c>
      <c r="BB66" s="141">
        <f t="shared" si="12"/>
        <v>32.381376093407425</v>
      </c>
      <c r="BC66" s="141">
        <f t="shared" si="13"/>
        <v>3788.6210029286685</v>
      </c>
      <c r="BD66" s="141">
        <f t="shared" si="14"/>
        <v>3409.7589026358019</v>
      </c>
      <c r="BE66" s="143">
        <f>COUNTIFS($BD$66:$BD$94,"&gt;="&amp;$J$68)</f>
        <v>24</v>
      </c>
      <c r="BF66" s="145">
        <f t="shared" si="15"/>
        <v>2268.6353310950112</v>
      </c>
      <c r="BG66" s="143">
        <f>COUNTIFS($BF$66:$BF$94,"&gt;="&amp;$F$73)</f>
        <v>24</v>
      </c>
      <c r="BH66" s="279"/>
    </row>
    <row r="67" spans="1:60" ht="19.8" customHeight="1" thickTop="1" thickBot="1">
      <c r="A67" s="299"/>
      <c r="B67" s="300"/>
      <c r="C67" s="912" t="s">
        <v>1967</v>
      </c>
      <c r="D67" s="913"/>
      <c r="E67" s="913"/>
      <c r="F67" s="913"/>
      <c r="G67" s="913"/>
      <c r="H67" s="913"/>
      <c r="I67" s="913"/>
      <c r="J67" s="913"/>
      <c r="K67" s="913"/>
      <c r="L67" s="914"/>
      <c r="M67" s="149"/>
      <c r="N67" s="915" t="s">
        <v>1968</v>
      </c>
      <c r="O67" s="916"/>
      <c r="P67" s="916"/>
      <c r="Q67" s="916"/>
      <c r="R67" s="916"/>
      <c r="S67" s="916"/>
      <c r="T67" s="916"/>
      <c r="U67" s="916"/>
      <c r="V67" s="916"/>
      <c r="W67" s="916"/>
      <c r="X67" s="916"/>
      <c r="Y67" s="916"/>
      <c r="Z67" s="916"/>
      <c r="AA67" s="916"/>
      <c r="AB67" s="916"/>
      <c r="AC67" s="916"/>
      <c r="AD67" s="916"/>
      <c r="AE67" s="120"/>
      <c r="AF67" s="120"/>
      <c r="AG67" s="120"/>
      <c r="AH67" s="124"/>
      <c r="AI67" s="139" t="s">
        <v>1326</v>
      </c>
      <c r="AJ67" s="140">
        <v>109</v>
      </c>
      <c r="AK67" s="140">
        <v>370</v>
      </c>
      <c r="AL67" s="140">
        <v>7.07</v>
      </c>
      <c r="AM67" s="140">
        <v>4.2699999999999996</v>
      </c>
      <c r="AN67" s="141">
        <f t="shared" si="0"/>
        <v>1.6557377049180331</v>
      </c>
      <c r="AO67" s="141">
        <f t="shared" si="2"/>
        <v>20.367751060820368</v>
      </c>
      <c r="AP67" s="141">
        <f t="shared" si="3"/>
        <v>39.344262295081968</v>
      </c>
      <c r="AQ67" s="141">
        <f t="shared" si="4"/>
        <v>39.344262295081968</v>
      </c>
      <c r="AR67" s="140">
        <v>3.1</v>
      </c>
      <c r="AS67" s="142">
        <f t="shared" si="5"/>
        <v>10.938268340359652</v>
      </c>
      <c r="AT67" s="142">
        <f t="shared" si="6"/>
        <v>28.784916685156979</v>
      </c>
      <c r="AU67" s="143" t="str">
        <f t="shared" si="7"/>
        <v>COMPACT</v>
      </c>
      <c r="AV67" s="140">
        <v>6.89</v>
      </c>
      <c r="AW67" s="144">
        <f t="shared" si="8"/>
        <v>108.23128673619024</v>
      </c>
      <c r="AX67" s="142">
        <f t="shared" si="9"/>
        <v>164.07402510539478</v>
      </c>
      <c r="AY67" s="143" t="str">
        <f t="shared" si="10"/>
        <v>COMPACT</v>
      </c>
      <c r="AZ67" s="141">
        <f t="shared" si="11"/>
        <v>135.57695758708937</v>
      </c>
      <c r="BA67" s="141">
        <f t="shared" si="17"/>
        <v>184.89915647867213</v>
      </c>
      <c r="BB67" s="141">
        <f t="shared" si="12"/>
        <v>32.334011801858786</v>
      </c>
      <c r="BC67" s="141">
        <f t="shared" si="13"/>
        <v>3524.4072864026075</v>
      </c>
      <c r="BD67" s="141">
        <f t="shared" si="14"/>
        <v>3171.9665577623468</v>
      </c>
      <c r="BE67" s="143">
        <f>COUNTIFS($BD$67:$BD$94,"&gt;="&amp;$J$68)</f>
        <v>23</v>
      </c>
      <c r="BF67" s="145">
        <f t="shared" si="15"/>
        <v>2110.4235247919805</v>
      </c>
      <c r="BG67" s="143">
        <f>COUNTIFS($BF$67:$BF$94,"&gt;="&amp;$F$73)</f>
        <v>23</v>
      </c>
      <c r="BH67" s="279"/>
    </row>
    <row r="68" spans="1:60" ht="15.6" thickTop="1" thickBot="1">
      <c r="A68" s="299"/>
      <c r="B68" s="300"/>
      <c r="C68" s="917" t="s">
        <v>1969</v>
      </c>
      <c r="D68" s="577"/>
      <c r="E68" s="918"/>
      <c r="F68" s="884">
        <f>1.4*$F$61</f>
        <v>18.2</v>
      </c>
      <c r="G68" s="650"/>
      <c r="H68" s="886" t="s">
        <v>1870</v>
      </c>
      <c r="I68" s="921" t="s">
        <v>1970</v>
      </c>
      <c r="J68" s="882">
        <f>MAX($F$68:$G$71)</f>
        <v>247.6</v>
      </c>
      <c r="K68" s="883"/>
      <c r="L68" s="922" t="s">
        <v>1870</v>
      </c>
      <c r="M68" s="149"/>
      <c r="N68" s="923" t="s">
        <v>1934</v>
      </c>
      <c r="O68" s="925" t="s">
        <v>1935</v>
      </c>
      <c r="P68" s="925" t="s">
        <v>1936</v>
      </c>
      <c r="Q68" s="925" t="s">
        <v>1937</v>
      </c>
      <c r="R68" s="925" t="s">
        <v>1938</v>
      </c>
      <c r="S68" s="927" t="s">
        <v>1939</v>
      </c>
      <c r="T68" s="928"/>
      <c r="U68" s="928"/>
      <c r="V68" s="928"/>
      <c r="W68" s="928"/>
      <c r="X68" s="928"/>
      <c r="Y68" s="928"/>
      <c r="Z68" s="928"/>
      <c r="AA68" s="925" t="s">
        <v>1940</v>
      </c>
      <c r="AB68" s="925" t="s">
        <v>1941</v>
      </c>
      <c r="AC68" s="925" t="s">
        <v>1971</v>
      </c>
      <c r="AD68" s="128" t="s">
        <v>1911</v>
      </c>
      <c r="AE68" s="120"/>
      <c r="AF68" s="120"/>
      <c r="AG68" s="120"/>
      <c r="AH68" s="124"/>
      <c r="AI68" s="139" t="s">
        <v>1333</v>
      </c>
      <c r="AJ68" s="140">
        <v>101</v>
      </c>
      <c r="AK68" s="140">
        <v>342</v>
      </c>
      <c r="AL68" s="140">
        <v>6.98</v>
      </c>
      <c r="AM68" s="140">
        <v>4.24</v>
      </c>
      <c r="AN68" s="141">
        <f t="shared" si="0"/>
        <v>1.6462264150943395</v>
      </c>
      <c r="AO68" s="141">
        <f t="shared" si="2"/>
        <v>20.630372492836674</v>
      </c>
      <c r="AP68" s="141">
        <f t="shared" si="3"/>
        <v>39.622641509433961</v>
      </c>
      <c r="AQ68" s="141">
        <f t="shared" si="4"/>
        <v>39.622641509433961</v>
      </c>
      <c r="AR68" s="140">
        <v>3.31</v>
      </c>
      <c r="AS68" s="142">
        <f t="shared" si="5"/>
        <v>10.938268340359652</v>
      </c>
      <c r="AT68" s="142">
        <f t="shared" si="6"/>
        <v>28.784916685156979</v>
      </c>
      <c r="AU68" s="143" t="str">
        <f t="shared" si="7"/>
        <v>COMPACT</v>
      </c>
      <c r="AV68" s="140">
        <v>7.41</v>
      </c>
      <c r="AW68" s="144">
        <f t="shared" si="8"/>
        <v>108.23128673619024</v>
      </c>
      <c r="AX68" s="142">
        <f t="shared" si="9"/>
        <v>164.07402510539478</v>
      </c>
      <c r="AY68" s="143" t="str">
        <f t="shared" si="10"/>
        <v>COMPACT</v>
      </c>
      <c r="AZ68" s="141">
        <f t="shared" si="11"/>
        <v>135.57695758708937</v>
      </c>
      <c r="BA68" s="141">
        <f t="shared" si="17"/>
        <v>182.31016873404539</v>
      </c>
      <c r="BB68" s="141">
        <f t="shared" si="12"/>
        <v>32.297652526329287</v>
      </c>
      <c r="BC68" s="141">
        <f t="shared" si="13"/>
        <v>3262.0629051592582</v>
      </c>
      <c r="BD68" s="141">
        <f t="shared" si="14"/>
        <v>2935.8566146433323</v>
      </c>
      <c r="BE68" s="143">
        <f>COUNTIFS($BD$68:$BD$94,"&gt;="&amp;$J$68)</f>
        <v>22</v>
      </c>
      <c r="BF68" s="145">
        <f t="shared" si="15"/>
        <v>1953.3310809336876</v>
      </c>
      <c r="BG68" s="143">
        <f>COUNTIFS($BF$68:$BF$94,"&gt;="&amp;$F$73)</f>
        <v>22</v>
      </c>
      <c r="BH68" s="279"/>
    </row>
    <row r="69" spans="1:60" ht="15.6" thickTop="1" thickBot="1">
      <c r="A69" s="299"/>
      <c r="B69" s="300"/>
      <c r="C69" s="605"/>
      <c r="D69" s="583"/>
      <c r="E69" s="606"/>
      <c r="F69" s="919"/>
      <c r="G69" s="723"/>
      <c r="H69" s="920"/>
      <c r="I69" s="921"/>
      <c r="J69" s="884"/>
      <c r="K69" s="650"/>
      <c r="L69" s="922"/>
      <c r="M69" s="149"/>
      <c r="N69" s="924"/>
      <c r="O69" s="926"/>
      <c r="P69" s="926"/>
      <c r="Q69" s="926"/>
      <c r="R69" s="926"/>
      <c r="S69" s="929" t="s">
        <v>1950</v>
      </c>
      <c r="T69" s="930"/>
      <c r="U69" s="930"/>
      <c r="V69" s="930"/>
      <c r="W69" s="929" t="s">
        <v>1951</v>
      </c>
      <c r="X69" s="930"/>
      <c r="Y69" s="930"/>
      <c r="Z69" s="930"/>
      <c r="AA69" s="926"/>
      <c r="AB69" s="926"/>
      <c r="AC69" s="926"/>
      <c r="AD69" s="931" t="s">
        <v>1972</v>
      </c>
      <c r="AE69" s="120"/>
      <c r="AF69" s="120"/>
      <c r="AG69" s="120"/>
      <c r="AH69" s="124"/>
      <c r="AI69" s="139" t="s">
        <v>1342</v>
      </c>
      <c r="AJ69" s="140">
        <v>91.4</v>
      </c>
      <c r="AK69" s="140">
        <v>311</v>
      </c>
      <c r="AL69" s="140">
        <v>6.88</v>
      </c>
      <c r="AM69" s="140">
        <v>4.2</v>
      </c>
      <c r="AN69" s="141">
        <f t="shared" si="0"/>
        <v>1.638095238095238</v>
      </c>
      <c r="AO69" s="141">
        <f t="shared" si="2"/>
        <v>20.930232558139537</v>
      </c>
      <c r="AP69" s="141">
        <f t="shared" si="3"/>
        <v>40</v>
      </c>
      <c r="AQ69" s="141">
        <f t="shared" si="4"/>
        <v>40</v>
      </c>
      <c r="AR69" s="140">
        <v>3.59</v>
      </c>
      <c r="AS69" s="142">
        <f t="shared" si="5"/>
        <v>10.938268340359652</v>
      </c>
      <c r="AT69" s="142">
        <f t="shared" si="6"/>
        <v>28.784916685156979</v>
      </c>
      <c r="AU69" s="143" t="str">
        <f t="shared" si="7"/>
        <v>COMPACT</v>
      </c>
      <c r="AV69" s="140">
        <v>8.09</v>
      </c>
      <c r="AW69" s="144">
        <f t="shared" si="8"/>
        <v>108.23128673619024</v>
      </c>
      <c r="AX69" s="142">
        <f t="shared" si="9"/>
        <v>164.07402510539478</v>
      </c>
      <c r="AY69" s="143" t="str">
        <f t="shared" si="10"/>
        <v>COMPACT</v>
      </c>
      <c r="AZ69" s="141">
        <f t="shared" si="11"/>
        <v>135.57695758708937</v>
      </c>
      <c r="BA69" s="141">
        <f t="shared" si="17"/>
        <v>178.8865797697446</v>
      </c>
      <c r="BB69" s="141">
        <f t="shared" si="12"/>
        <v>32.248022354327873</v>
      </c>
      <c r="BC69" s="141">
        <f t="shared" si="13"/>
        <v>2947.4692431855678</v>
      </c>
      <c r="BD69" s="141">
        <f t="shared" si="14"/>
        <v>2652.7223188670109</v>
      </c>
      <c r="BE69" s="143">
        <f>COUNTIFS($BD$69:$BD$94,"&gt;="&amp;$J$68)</f>
        <v>21</v>
      </c>
      <c r="BF69" s="145">
        <f t="shared" si="15"/>
        <v>1764.9516426260886</v>
      </c>
      <c r="BG69" s="143">
        <f>COUNTIFS($BF$69:$BF$94,"&gt;="&amp;$F$73)</f>
        <v>21</v>
      </c>
      <c r="BH69" s="279"/>
    </row>
    <row r="70" spans="1:60" ht="15.6" thickTop="1" thickBot="1">
      <c r="A70" s="299"/>
      <c r="B70" s="300"/>
      <c r="C70" s="917" t="s">
        <v>1973</v>
      </c>
      <c r="D70" s="577"/>
      <c r="E70" s="918"/>
      <c r="F70" s="882">
        <f>(1.2*F61)+(1.6*$F$63)</f>
        <v>247.6</v>
      </c>
      <c r="G70" s="883"/>
      <c r="H70" s="885" t="s">
        <v>1870</v>
      </c>
      <c r="I70" s="921"/>
      <c r="J70" s="884"/>
      <c r="K70" s="650"/>
      <c r="L70" s="922"/>
      <c r="M70" s="149"/>
      <c r="N70" s="924"/>
      <c r="O70" s="926"/>
      <c r="P70" s="926"/>
      <c r="Q70" s="926"/>
      <c r="R70" s="926"/>
      <c r="S70" s="127" t="s">
        <v>1955</v>
      </c>
      <c r="T70" s="127" t="s">
        <v>1956</v>
      </c>
      <c r="U70" s="127" t="s">
        <v>1957</v>
      </c>
      <c r="V70" s="128" t="s">
        <v>1911</v>
      </c>
      <c r="W70" s="127" t="s">
        <v>1958</v>
      </c>
      <c r="X70" s="127" t="s">
        <v>1959</v>
      </c>
      <c r="Y70" s="132" t="s">
        <v>1960</v>
      </c>
      <c r="Z70" s="133" t="s">
        <v>1911</v>
      </c>
      <c r="AA70" s="926"/>
      <c r="AB70" s="926"/>
      <c r="AC70" s="926"/>
      <c r="AD70" s="932"/>
      <c r="AE70" s="120"/>
      <c r="AF70" s="120"/>
      <c r="AG70" s="120"/>
      <c r="AH70" s="124"/>
      <c r="AI70" s="139" t="s">
        <v>1351</v>
      </c>
      <c r="AJ70" s="140">
        <v>83.3</v>
      </c>
      <c r="AK70" s="140">
        <v>283</v>
      </c>
      <c r="AL70" s="140">
        <v>6.79</v>
      </c>
      <c r="AM70" s="140">
        <v>4.17</v>
      </c>
      <c r="AN70" s="141">
        <f t="shared" si="0"/>
        <v>1.6282973621103118</v>
      </c>
      <c r="AO70" s="141">
        <f t="shared" si="2"/>
        <v>21.207658321060382</v>
      </c>
      <c r="AP70" s="141">
        <f t="shared" si="3"/>
        <v>40.28776978417266</v>
      </c>
      <c r="AQ70" s="141">
        <f t="shared" si="4"/>
        <v>40.28776978417266</v>
      </c>
      <c r="AR70" s="140">
        <v>3.89</v>
      </c>
      <c r="AS70" s="142">
        <f t="shared" si="5"/>
        <v>10.938268340359652</v>
      </c>
      <c r="AT70" s="142">
        <f t="shared" si="6"/>
        <v>28.784916685156979</v>
      </c>
      <c r="AU70" s="143" t="str">
        <f t="shared" si="7"/>
        <v>COMPACT</v>
      </c>
      <c r="AV70" s="140">
        <v>8.84</v>
      </c>
      <c r="AW70" s="144">
        <f t="shared" si="8"/>
        <v>108.23128673619024</v>
      </c>
      <c r="AX70" s="142">
        <f t="shared" si="9"/>
        <v>164.07402510539478</v>
      </c>
      <c r="AY70" s="143" t="str">
        <f t="shared" si="10"/>
        <v>COMPACT</v>
      </c>
      <c r="AZ70" s="141">
        <f t="shared" si="11"/>
        <v>135.57695758708937</v>
      </c>
      <c r="BA70" s="141">
        <f t="shared" si="17"/>
        <v>176.34018406792021</v>
      </c>
      <c r="BB70" s="141">
        <f t="shared" si="12"/>
        <v>32.209910601640971</v>
      </c>
      <c r="BC70" s="141">
        <f t="shared" si="13"/>
        <v>2683.0855531166926</v>
      </c>
      <c r="BD70" s="141">
        <f t="shared" si="14"/>
        <v>2414.7769978050233</v>
      </c>
      <c r="BE70" s="143">
        <f>COUNTIFS($BD$70:$BD$94,"&gt;="&amp;$J$68)</f>
        <v>20</v>
      </c>
      <c r="BF70" s="145">
        <f t="shared" si="15"/>
        <v>1606.6380557584987</v>
      </c>
      <c r="BG70" s="143">
        <f>COUNTIFS($BF$70:$BF$94,"&gt;="&amp;$F$73)</f>
        <v>20</v>
      </c>
      <c r="BH70" s="279"/>
    </row>
    <row r="71" spans="1:60" ht="15.6" thickTop="1" thickBot="1">
      <c r="A71" s="299"/>
      <c r="B71" s="300"/>
      <c r="C71" s="690"/>
      <c r="D71" s="577"/>
      <c r="E71" s="918"/>
      <c r="F71" s="884"/>
      <c r="G71" s="650"/>
      <c r="H71" s="886"/>
      <c r="I71" s="921"/>
      <c r="J71" s="919"/>
      <c r="K71" s="723"/>
      <c r="L71" s="922"/>
      <c r="M71" s="149"/>
      <c r="N71" s="150">
        <f>_xlfn.RANK.EQ($Q71,$Q$71:$Q$74,1)+COUNTIFS($Q$71:$Q$74,Q71,$AC$71:$AC$74,"&gt;"&amp;AC71)</f>
        <v>4</v>
      </c>
      <c r="O71" s="293" t="str">
        <f>INDEX(AI57:AI94,MATCH(1,BG57:BG94,0))</f>
        <v>W14X43</v>
      </c>
      <c r="P71" s="294">
        <f>VLOOKUP($O$71, AI57:BG94,2,FALSE)</f>
        <v>12.6</v>
      </c>
      <c r="Q71" s="294">
        <f>VLOOKUP($O$71, AI57:BG94,3,FALSE)</f>
        <v>43</v>
      </c>
      <c r="R71" s="295">
        <f>VLOOKUP($O$71, AI57:BG94,9,FALSE)</f>
        <v>88.8888888888889</v>
      </c>
      <c r="S71" s="294">
        <f>VLOOKUP($O$71, AI57:BG94,10,FALSE)</f>
        <v>7.54</v>
      </c>
      <c r="T71" s="295">
        <f>VLOOKUP($O$71, AI57:BG94,11,FALSE)</f>
        <v>10.938268340359652</v>
      </c>
      <c r="U71" s="295">
        <f>VLOOKUP($O$71, AI57:BG94,12,FALSE)</f>
        <v>28.784916685156979</v>
      </c>
      <c r="V71" s="137" t="str">
        <f>VLOOKUP($O$71, AI57:BG94,13,FALSE)</f>
        <v>COMPACT</v>
      </c>
      <c r="W71" s="294">
        <f>VLOOKUP($O$71, AI57:BG94,14,FALSE)</f>
        <v>37.4</v>
      </c>
      <c r="X71" s="295">
        <f>VLOOKUP($O$71, AI57:BG94,15,FALSE)</f>
        <v>108.23128673619024</v>
      </c>
      <c r="Y71" s="295">
        <f>VLOOKUP($O$71, AI57:BG94,16,FALSE)</f>
        <v>164.07402510539478</v>
      </c>
      <c r="Z71" s="137" t="str">
        <f>VLOOKUP($O$71, AI57:BG94,17,FALSE)</f>
        <v>COMPACT</v>
      </c>
      <c r="AA71" s="295">
        <f>VLOOKUP($O$71, AI57:BG94,20,FALSE)</f>
        <v>23.358159591784062</v>
      </c>
      <c r="AB71" s="295">
        <f>VLOOKUP($O$71, AI57:BG94,21,FALSE)</f>
        <v>294.31281085647919</v>
      </c>
      <c r="AC71" s="295">
        <f>VLOOKUP($O$71, AI57:BG94,24,FALSE)</f>
        <v>176.23521608172408</v>
      </c>
      <c r="AD71" s="151" t="str">
        <f>IF(AC71&gt;$F$73,"SAFE!","UNSAFE!")</f>
        <v>SAFE!</v>
      </c>
      <c r="AE71" s="120"/>
      <c r="AF71" s="120"/>
      <c r="AG71" s="120"/>
      <c r="AH71" s="124"/>
      <c r="AI71" s="139" t="s">
        <v>1360</v>
      </c>
      <c r="AJ71" s="140">
        <v>75.599999999999994</v>
      </c>
      <c r="AK71" s="140">
        <v>257</v>
      </c>
      <c r="AL71" s="140">
        <v>6.71</v>
      </c>
      <c r="AM71" s="140">
        <v>4.13</v>
      </c>
      <c r="AN71" s="141">
        <f t="shared" si="0"/>
        <v>1.6246973365617434</v>
      </c>
      <c r="AO71" s="141">
        <f t="shared" si="2"/>
        <v>21.460506706408346</v>
      </c>
      <c r="AP71" s="141">
        <f t="shared" si="3"/>
        <v>40.677966101694913</v>
      </c>
      <c r="AQ71" s="141">
        <f t="shared" si="4"/>
        <v>40.677966101694913</v>
      </c>
      <c r="AR71" s="140">
        <v>4.2300000000000004</v>
      </c>
      <c r="AS71" s="142">
        <f t="shared" si="5"/>
        <v>10.938268340359652</v>
      </c>
      <c r="AT71" s="142">
        <f t="shared" si="6"/>
        <v>28.784916685156979</v>
      </c>
      <c r="AU71" s="143" t="str">
        <f t="shared" si="7"/>
        <v>COMPACT</v>
      </c>
      <c r="AV71" s="140">
        <v>9.7100000000000009</v>
      </c>
      <c r="AW71" s="144">
        <f t="shared" si="8"/>
        <v>108.23128673619024</v>
      </c>
      <c r="AX71" s="142">
        <f t="shared" si="9"/>
        <v>164.07402510539478</v>
      </c>
      <c r="AY71" s="143" t="str">
        <f t="shared" si="10"/>
        <v>COMPACT</v>
      </c>
      <c r="AZ71" s="141">
        <f t="shared" si="11"/>
        <v>135.57695758708937</v>
      </c>
      <c r="BA71" s="141">
        <f t="shared" si="17"/>
        <v>172.97338449402253</v>
      </c>
      <c r="BB71" s="141">
        <f t="shared" si="12"/>
        <v>32.157870170280539</v>
      </c>
      <c r="BC71" s="141">
        <f t="shared" si="13"/>
        <v>2431.1349848732084</v>
      </c>
      <c r="BD71" s="141">
        <f t="shared" si="14"/>
        <v>2188.0214863858878</v>
      </c>
      <c r="BE71" s="143">
        <f>COUNTIFS($BD$71:$BD$94,"&gt;="&amp;$J$68)</f>
        <v>19</v>
      </c>
      <c r="BF71" s="145">
        <f t="shared" si="15"/>
        <v>1455.7694520198854</v>
      </c>
      <c r="BG71" s="143">
        <f>COUNTIFS($BF$71:$BF$94,"&gt;="&amp;$F$73)</f>
        <v>19</v>
      </c>
      <c r="BH71" s="279"/>
    </row>
    <row r="72" spans="1:60" ht="15" thickBot="1">
      <c r="A72" s="299"/>
      <c r="B72" s="300"/>
      <c r="C72" s="887" t="s">
        <v>1974</v>
      </c>
      <c r="D72" s="888"/>
      <c r="E72" s="888"/>
      <c r="F72" s="888"/>
      <c r="G72" s="888"/>
      <c r="H72" s="888"/>
      <c r="I72" s="888"/>
      <c r="J72" s="888"/>
      <c r="K72" s="888"/>
      <c r="L72" s="889"/>
      <c r="M72" s="149"/>
      <c r="N72" s="150">
        <f t="shared" ref="N72:N74" si="18">_xlfn.RANK.EQ($Q72,$Q$71:$Q$74,1)+COUNTIFS($Q$71:$Q$74,Q72,$AC$71:$AC$74,"&gt;"&amp;AC72)</f>
        <v>3</v>
      </c>
      <c r="O72" s="293" t="str">
        <f>INDEX(AI100:AI128,MATCH(1,BG100:BG128,0))</f>
        <v>W12X40</v>
      </c>
      <c r="P72" s="294">
        <f>VLOOKUP($O$72, AI100:BG128,2,FALSE)</f>
        <v>11.7</v>
      </c>
      <c r="Q72" s="294">
        <f>VLOOKUP($O$72, AI114:BG142,3,FALSE)</f>
        <v>40</v>
      </c>
      <c r="R72" s="294">
        <f>VLOOKUP($O$72, AI114:BG142,9,FALSE)</f>
        <v>86.597938144329902</v>
      </c>
      <c r="S72" s="294">
        <f>VLOOKUP($O$72, AI114:BG142,10,FALSE)</f>
        <v>7.77</v>
      </c>
      <c r="T72" s="295">
        <f>VLOOKUP($O$72, AI114:BG142,11,FALSE)</f>
        <v>10.938268340359652</v>
      </c>
      <c r="U72" s="295">
        <f>VLOOKUP($O$72, AI114:BG142,12,FALSE)</f>
        <v>28.784916685156979</v>
      </c>
      <c r="V72" s="137" t="str">
        <f>VLOOKUP($O$72, AI114:BG142,13,FALSE)</f>
        <v>COMPACT</v>
      </c>
      <c r="W72" s="294">
        <f>VLOOKUP($O$72, AI114:BG142,14,FALSE)</f>
        <v>33.6</v>
      </c>
      <c r="X72" s="295">
        <f>VLOOKUP($O$72, AI114:BG142,15,FALSE)</f>
        <v>108.23128673619024</v>
      </c>
      <c r="Y72" s="295">
        <f>VLOOKUP($O$72, AI114:BG142,16,FALSE)</f>
        <v>164.07402510539478</v>
      </c>
      <c r="Z72" s="137" t="str">
        <f>VLOOKUP($O$72, AI114:BG142,17,FALSE)</f>
        <v>COMPACT</v>
      </c>
      <c r="AA72" s="295">
        <f>VLOOKUP($O$72, AI114:BG142,20,FALSE)</f>
        <v>23.84377534276566</v>
      </c>
      <c r="AB72" s="295">
        <f>VLOOKUP($O$72, AI114:BG142,21,FALSE)</f>
        <v>278.97217151035818</v>
      </c>
      <c r="AC72" s="295">
        <f>VLOOKUP($O$72, AI100:BG128,24,FALSE)</f>
        <v>167.04920449722047</v>
      </c>
      <c r="AD72" s="151" t="str">
        <f t="shared" ref="AD72:AD74" si="19">IF(AC72&gt;$F$73,"SAFE!","UNSAFE!")</f>
        <v>SAFE!</v>
      </c>
      <c r="AE72" s="120"/>
      <c r="AF72" s="120"/>
      <c r="AG72" s="120"/>
      <c r="AH72" s="124"/>
      <c r="AI72" s="139" t="s">
        <v>1368</v>
      </c>
      <c r="AJ72" s="140">
        <v>68.5</v>
      </c>
      <c r="AK72" s="140">
        <v>233</v>
      </c>
      <c r="AL72" s="140">
        <v>6.63</v>
      </c>
      <c r="AM72" s="140">
        <v>4.0999999999999996</v>
      </c>
      <c r="AN72" s="141">
        <f t="shared" si="0"/>
        <v>1.6170731707317074</v>
      </c>
      <c r="AO72" s="141">
        <f t="shared" si="2"/>
        <v>21.719457013574662</v>
      </c>
      <c r="AP72" s="141">
        <f t="shared" si="3"/>
        <v>40.975609756097562</v>
      </c>
      <c r="AQ72" s="141">
        <f t="shared" si="4"/>
        <v>40.975609756097562</v>
      </c>
      <c r="AR72" s="140">
        <v>4.62</v>
      </c>
      <c r="AS72" s="142">
        <f t="shared" si="5"/>
        <v>10.938268340359652</v>
      </c>
      <c r="AT72" s="142">
        <f t="shared" si="6"/>
        <v>28.784916685156979</v>
      </c>
      <c r="AU72" s="143" t="str">
        <f t="shared" si="7"/>
        <v>COMPACT</v>
      </c>
      <c r="AV72" s="140">
        <v>10.7</v>
      </c>
      <c r="AW72" s="144">
        <f t="shared" si="8"/>
        <v>108.23128673619024</v>
      </c>
      <c r="AX72" s="142">
        <f t="shared" si="9"/>
        <v>164.07402510539478</v>
      </c>
      <c r="AY72" s="143" t="str">
        <f t="shared" si="10"/>
        <v>COMPACT</v>
      </c>
      <c r="AZ72" s="141">
        <f t="shared" si="11"/>
        <v>135.57695758708937</v>
      </c>
      <c r="BA72" s="141">
        <f t="shared" si="17"/>
        <v>170.46958083500036</v>
      </c>
      <c r="BB72" s="141">
        <f t="shared" si="12"/>
        <v>32.117893461356267</v>
      </c>
      <c r="BC72" s="141">
        <f t="shared" si="13"/>
        <v>2200.0757021029044</v>
      </c>
      <c r="BD72" s="141">
        <f t="shared" si="14"/>
        <v>1980.068131892614</v>
      </c>
      <c r="BE72" s="143">
        <f>COUNTIFS($BD$72:$BD$94,"&gt;="&amp;$J$68)</f>
        <v>18</v>
      </c>
      <c r="BF72" s="145">
        <f t="shared" si="15"/>
        <v>1317.4106000616196</v>
      </c>
      <c r="BG72" s="143">
        <f>COUNTIFS($BF$72:$BF$94,"&gt;="&amp;$F$73)</f>
        <v>18</v>
      </c>
      <c r="BH72" s="279"/>
    </row>
    <row r="73" spans="1:60">
      <c r="A73" s="299"/>
      <c r="B73" s="300"/>
      <c r="C73" s="890" t="s">
        <v>1975</v>
      </c>
      <c r="D73" s="891"/>
      <c r="E73" s="892"/>
      <c r="F73" s="896">
        <f>$F$61+$F$63</f>
        <v>158</v>
      </c>
      <c r="G73" s="896"/>
      <c r="H73" s="896"/>
      <c r="I73" s="896"/>
      <c r="J73" s="896"/>
      <c r="K73" s="896"/>
      <c r="L73" s="898" t="s">
        <v>1870</v>
      </c>
      <c r="M73" s="149"/>
      <c r="N73" s="150">
        <f t="shared" si="18"/>
        <v>1</v>
      </c>
      <c r="O73" s="293" t="str">
        <f>INDEX(AI134:AI151,MATCH(1,BG134:BG151,0))</f>
        <v>W10X39</v>
      </c>
      <c r="P73" s="294">
        <f>VLOOKUP($O$73, $AI$134:$BG$151,2,FALSE)</f>
        <v>11.5</v>
      </c>
      <c r="Q73" s="294">
        <f>VLOOKUP($O$73, $AI$134:$BG$151,3,FALSE)</f>
        <v>39</v>
      </c>
      <c r="R73" s="295">
        <f>VLOOKUP($O$73, $AI$134:$BG$151,9,FALSE)</f>
        <v>84.848484848484844</v>
      </c>
      <c r="S73" s="294">
        <f>VLOOKUP($O$73, $AI$134:$BG$151,10,FALSE)</f>
        <v>7.53</v>
      </c>
      <c r="T73" s="295">
        <f>VLOOKUP($O$73, $AI$134:$BG$151,11,FALSE)</f>
        <v>10.938268340359652</v>
      </c>
      <c r="U73" s="295">
        <f>VLOOKUP($O$73, $AI$134:$BG$151,12,FALSE)</f>
        <v>28.784916685156979</v>
      </c>
      <c r="V73" s="137" t="str">
        <f>VLOOKUP($O$73, $AI$134:$BG$151,13,FALSE)</f>
        <v>COMPACT</v>
      </c>
      <c r="W73" s="294">
        <f>VLOOKUP($O$73, $AI$134:$BG$151,14,FALSE)</f>
        <v>25</v>
      </c>
      <c r="X73" s="295">
        <f>VLOOKUP($O$73, $AI$134:$BG$151,15,FALSE)</f>
        <v>108.23128673619024</v>
      </c>
      <c r="Y73" s="295">
        <f>VLOOKUP($O$73, $AI$134:$BG$151,16,FALSE)</f>
        <v>164.07402510539478</v>
      </c>
      <c r="Z73" s="137" t="str">
        <f>VLOOKUP($O$73, $AI$134:$BG$151,17,FALSE)</f>
        <v>COMPACT</v>
      </c>
      <c r="AA73" s="295">
        <f>VLOOKUP($O$73, $AI$134:$BG$151,20,FALSE)</f>
        <v>24.212635371316694</v>
      </c>
      <c r="AB73" s="295">
        <f>VLOOKUP($O$73, $AI$134:$BG$151,21,FALSE)</f>
        <v>278.445306770142</v>
      </c>
      <c r="AC73" s="295">
        <f>VLOOKUP($O$73, $AI$134:$BG$151,24,FALSE)</f>
        <v>166.73371662882755</v>
      </c>
      <c r="AD73" s="151" t="str">
        <f t="shared" si="19"/>
        <v>SAFE!</v>
      </c>
      <c r="AE73" s="120"/>
      <c r="AF73" s="120"/>
      <c r="AG73" s="120"/>
      <c r="AH73" s="124"/>
      <c r="AI73" s="139" t="s">
        <v>1376</v>
      </c>
      <c r="AJ73" s="140">
        <v>62</v>
      </c>
      <c r="AK73" s="140">
        <v>211</v>
      </c>
      <c r="AL73" s="140">
        <v>6.55</v>
      </c>
      <c r="AM73" s="140">
        <v>4.07</v>
      </c>
      <c r="AN73" s="141">
        <f t="shared" si="0"/>
        <v>1.6093366093366093</v>
      </c>
      <c r="AO73" s="141">
        <f t="shared" si="2"/>
        <v>21.984732824427482</v>
      </c>
      <c r="AP73" s="141">
        <f t="shared" si="3"/>
        <v>41.277641277641273</v>
      </c>
      <c r="AQ73" s="141">
        <f t="shared" si="4"/>
        <v>41.277641277641273</v>
      </c>
      <c r="AR73" s="140">
        <v>5.0599999999999996</v>
      </c>
      <c r="AS73" s="142">
        <f t="shared" si="5"/>
        <v>10.938268340359652</v>
      </c>
      <c r="AT73" s="142">
        <f t="shared" si="6"/>
        <v>28.784916685156979</v>
      </c>
      <c r="AU73" s="143" t="str">
        <f t="shared" si="7"/>
        <v>COMPACT</v>
      </c>
      <c r="AV73" s="140">
        <v>11.6</v>
      </c>
      <c r="AW73" s="144">
        <f t="shared" si="8"/>
        <v>108.23128673619024</v>
      </c>
      <c r="AX73" s="142">
        <f t="shared" si="9"/>
        <v>164.07402510539478</v>
      </c>
      <c r="AY73" s="143" t="str">
        <f t="shared" si="10"/>
        <v>COMPACT</v>
      </c>
      <c r="AZ73" s="141">
        <f t="shared" si="11"/>
        <v>135.57695758708937</v>
      </c>
      <c r="BA73" s="141">
        <f t="shared" si="17"/>
        <v>167.98403090860791</v>
      </c>
      <c r="BB73" s="141">
        <f t="shared" si="12"/>
        <v>32.077080855398194</v>
      </c>
      <c r="BC73" s="141">
        <f t="shared" si="13"/>
        <v>1988.779013034688</v>
      </c>
      <c r="BD73" s="141">
        <f t="shared" si="14"/>
        <v>1789.9011117312193</v>
      </c>
      <c r="BE73" s="143">
        <f>COUNTIFS($BD$73:$BD$94,"&gt;="&amp;$J$68)</f>
        <v>17</v>
      </c>
      <c r="BF73" s="145">
        <f t="shared" si="15"/>
        <v>1190.8856365477175</v>
      </c>
      <c r="BG73" s="143">
        <f>COUNTIFS($BF$73:$BF$94,"&gt;="&amp;$F$73)</f>
        <v>17</v>
      </c>
      <c r="BH73" s="279"/>
    </row>
    <row r="74" spans="1:60" ht="15" thickBot="1">
      <c r="A74" s="299"/>
      <c r="B74" s="300"/>
      <c r="C74" s="893"/>
      <c r="D74" s="894"/>
      <c r="E74" s="895"/>
      <c r="F74" s="897"/>
      <c r="G74" s="897"/>
      <c r="H74" s="897"/>
      <c r="I74" s="897"/>
      <c r="J74" s="897"/>
      <c r="K74" s="897"/>
      <c r="L74" s="899"/>
      <c r="M74" s="149"/>
      <c r="N74" s="152">
        <f t="shared" si="18"/>
        <v>2</v>
      </c>
      <c r="O74" s="296" t="str">
        <f>INDEX(AI157:AI169,MATCH(1,BG157:BG169,0))</f>
        <v>W8X40</v>
      </c>
      <c r="P74" s="297">
        <f>VLOOKUP($O$74, $AI$157:$BG$169,2,FALSE)</f>
        <v>11.7</v>
      </c>
      <c r="Q74" s="297">
        <f>VLOOKUP($O$74, $AI$157:$BG$169,3,FALSE)</f>
        <v>40</v>
      </c>
      <c r="R74" s="298">
        <f>VLOOKUP($O$74, $AI$157:$BG$169,9,FALSE)</f>
        <v>82.35294117647058</v>
      </c>
      <c r="S74" s="297">
        <f>VLOOKUP($O$74, $AI$157:$BG$169,10,FALSE)</f>
        <v>7.21</v>
      </c>
      <c r="T74" s="298">
        <f>VLOOKUP($O$74, $AI$157:$BG$169,11,FALSE)</f>
        <v>10.938268340359652</v>
      </c>
      <c r="U74" s="298">
        <f>VLOOKUP($O$74, $AI$157:$BG$169,12,FALSE)</f>
        <v>28.784916685156979</v>
      </c>
      <c r="V74" s="147" t="str">
        <f>VLOOKUP($O$74, $AI$157:$BG$169,13,FALSE)</f>
        <v>COMPACT</v>
      </c>
      <c r="W74" s="297">
        <f>VLOOKUP($O$74, $AI$157:$BG$169,14,FALSE)</f>
        <v>17.600000000000001</v>
      </c>
      <c r="X74" s="298">
        <f>VLOOKUP($O$74, $AI$157:$BG$169,15,FALSE)</f>
        <v>108.23128673619024</v>
      </c>
      <c r="Y74" s="298">
        <f>VLOOKUP($O$74, $AI$157:$BG$169,16,FALSE)</f>
        <v>164.07402510539478</v>
      </c>
      <c r="Z74" s="147" t="str">
        <f>VLOOKUP($O$74, $AI$157:$BG$169,17,FALSE)</f>
        <v>COMPACT</v>
      </c>
      <c r="AA74" s="298">
        <f>VLOOKUP($O$74, $AI$157:$BG$169,20,FALSE)</f>
        <v>24.735285312333652</v>
      </c>
      <c r="AB74" s="298">
        <f>VLOOKUP($O$74, $AI$157:$BG$169,21,FALSE)</f>
        <v>289.40283815430371</v>
      </c>
      <c r="AC74" s="298">
        <f>VLOOKUP($O$74, $AI$157:$BG$169,24,FALSE)</f>
        <v>173.29511266724774</v>
      </c>
      <c r="AD74" s="153" t="str">
        <f t="shared" si="19"/>
        <v>SAFE!</v>
      </c>
      <c r="AE74" s="120"/>
      <c r="AF74" s="120"/>
      <c r="AG74" s="120"/>
      <c r="AH74" s="124"/>
      <c r="AI74" s="139" t="s">
        <v>1382</v>
      </c>
      <c r="AJ74" s="140">
        <v>56.8</v>
      </c>
      <c r="AK74" s="140">
        <v>193</v>
      </c>
      <c r="AL74" s="140">
        <v>6.5</v>
      </c>
      <c r="AM74" s="140">
        <v>4.05</v>
      </c>
      <c r="AN74" s="141">
        <f t="shared" si="0"/>
        <v>1.6049382716049383</v>
      </c>
      <c r="AO74" s="141">
        <f t="shared" si="2"/>
        <v>22.153846153846153</v>
      </c>
      <c r="AP74" s="141">
        <f t="shared" si="3"/>
        <v>41.481481481481481</v>
      </c>
      <c r="AQ74" s="141">
        <f t="shared" si="4"/>
        <v>41.481481481481481</v>
      </c>
      <c r="AR74" s="140">
        <v>5.45</v>
      </c>
      <c r="AS74" s="142">
        <f t="shared" si="5"/>
        <v>10.938268340359652</v>
      </c>
      <c r="AT74" s="142">
        <f t="shared" si="6"/>
        <v>28.784916685156979</v>
      </c>
      <c r="AU74" s="143" t="str">
        <f t="shared" si="7"/>
        <v>COMPACT</v>
      </c>
      <c r="AV74" s="140">
        <v>12.8</v>
      </c>
      <c r="AW74" s="144">
        <f t="shared" si="8"/>
        <v>108.23128673619024</v>
      </c>
      <c r="AX74" s="142">
        <f t="shared" si="9"/>
        <v>164.07402510539478</v>
      </c>
      <c r="AY74" s="143" t="str">
        <f t="shared" si="10"/>
        <v>COMPACT</v>
      </c>
      <c r="AZ74" s="141">
        <f t="shared" si="11"/>
        <v>135.57695758708937</v>
      </c>
      <c r="BA74" s="141">
        <f t="shared" si="17"/>
        <v>166.33713858691814</v>
      </c>
      <c r="BB74" s="141">
        <f t="shared" si="12"/>
        <v>32.0493967117594</v>
      </c>
      <c r="BC74" s="141">
        <f t="shared" si="13"/>
        <v>1820.4057332279338</v>
      </c>
      <c r="BD74" s="141">
        <f t="shared" si="14"/>
        <v>1638.3651599051404</v>
      </c>
      <c r="BE74" s="143">
        <f>COUNTIFS($BD$74:$BD$94,"&gt;="&amp;$J$68)</f>
        <v>16</v>
      </c>
      <c r="BF74" s="145">
        <f t="shared" si="15"/>
        <v>1090.0633133101401</v>
      </c>
      <c r="BG74" s="143">
        <f>COUNTIFS($BF$74:$BF$94,"&gt;="&amp;$F$73)</f>
        <v>16</v>
      </c>
      <c r="BH74" s="279"/>
    </row>
    <row r="75" spans="1:60" ht="15.6" thickTop="1" thickBot="1">
      <c r="A75" s="299"/>
      <c r="B75" s="300"/>
      <c r="C75" s="567"/>
      <c r="D75" s="568"/>
      <c r="E75" s="568"/>
      <c r="F75" s="568"/>
      <c r="G75" s="568"/>
      <c r="H75" s="568"/>
      <c r="I75" s="568"/>
      <c r="J75" s="568"/>
      <c r="K75" s="568"/>
      <c r="L75" s="569"/>
      <c r="M75" s="126"/>
      <c r="N75" s="900"/>
      <c r="O75" s="901"/>
      <c r="P75" s="901"/>
      <c r="Q75" s="901"/>
      <c r="R75" s="901"/>
      <c r="S75" s="901"/>
      <c r="T75" s="901"/>
      <c r="U75" s="901"/>
      <c r="V75" s="901"/>
      <c r="W75" s="901"/>
      <c r="X75" s="901"/>
      <c r="Y75" s="901"/>
      <c r="Z75" s="901"/>
      <c r="AA75" s="901"/>
      <c r="AB75" s="901"/>
      <c r="AC75" s="901"/>
      <c r="AD75" s="902"/>
      <c r="AE75" s="120"/>
      <c r="AF75" s="120"/>
      <c r="AG75" s="120"/>
      <c r="AH75" s="124"/>
      <c r="AI75" s="139" t="s">
        <v>1389</v>
      </c>
      <c r="AJ75" s="140">
        <v>51.8</v>
      </c>
      <c r="AK75" s="140">
        <v>176</v>
      </c>
      <c r="AL75" s="140">
        <v>6.43</v>
      </c>
      <c r="AM75" s="140">
        <v>4.0199999999999996</v>
      </c>
      <c r="AN75" s="141">
        <f t="shared" si="0"/>
        <v>1.599502487562189</v>
      </c>
      <c r="AO75" s="141">
        <f t="shared" si="2"/>
        <v>22.3950233281493</v>
      </c>
      <c r="AP75" s="141">
        <f t="shared" si="3"/>
        <v>41.791044776119406</v>
      </c>
      <c r="AQ75" s="141">
        <f t="shared" si="4"/>
        <v>41.791044776119406</v>
      </c>
      <c r="AR75" s="140">
        <v>5.97</v>
      </c>
      <c r="AS75" s="142">
        <f t="shared" si="5"/>
        <v>10.938268340359652</v>
      </c>
      <c r="AT75" s="142">
        <f t="shared" si="6"/>
        <v>28.784916685156979</v>
      </c>
      <c r="AU75" s="143" t="str">
        <f t="shared" si="7"/>
        <v>COMPACT</v>
      </c>
      <c r="AV75" s="140">
        <v>13.7</v>
      </c>
      <c r="AW75" s="144">
        <f t="shared" si="8"/>
        <v>108.23128673619024</v>
      </c>
      <c r="AX75" s="142">
        <f t="shared" si="9"/>
        <v>164.07402510539478</v>
      </c>
      <c r="AY75" s="143" t="str">
        <f t="shared" si="10"/>
        <v>COMPACT</v>
      </c>
      <c r="AZ75" s="141">
        <f t="shared" si="11"/>
        <v>135.57695758708937</v>
      </c>
      <c r="BA75" s="141">
        <f t="shared" si="17"/>
        <v>163.88201154824151</v>
      </c>
      <c r="BB75" s="141">
        <f t="shared" si="12"/>
        <v>32.007139328584429</v>
      </c>
      <c r="BC75" s="141">
        <f t="shared" si="13"/>
        <v>1657.9698172206733</v>
      </c>
      <c r="BD75" s="141">
        <f t="shared" si="14"/>
        <v>1492.172835498606</v>
      </c>
      <c r="BE75" s="143">
        <f>COUNTIFS($BD$75:$BD$94,"&gt;="&amp;$J$68)</f>
        <v>15</v>
      </c>
      <c r="BF75" s="145">
        <f t="shared" si="15"/>
        <v>992.79629773693023</v>
      </c>
      <c r="BG75" s="143">
        <f>COUNTIFS($BF$75:$BF$94,"&gt;="&amp;$F$73)</f>
        <v>15</v>
      </c>
      <c r="BH75" s="279"/>
    </row>
    <row r="76" spans="1:60" ht="15.6" thickTop="1" thickBot="1">
      <c r="A76" s="299"/>
      <c r="B76" s="300"/>
      <c r="C76" s="813" t="s">
        <v>1884</v>
      </c>
      <c r="D76" s="903"/>
      <c r="E76" s="903"/>
      <c r="F76" s="903"/>
      <c r="G76" s="903"/>
      <c r="H76" s="903"/>
      <c r="I76" s="903"/>
      <c r="J76" s="903"/>
      <c r="K76" s="903"/>
      <c r="L76" s="903"/>
      <c r="M76" s="126"/>
      <c r="N76" s="904" t="s">
        <v>1976</v>
      </c>
      <c r="O76" s="905"/>
      <c r="P76" s="905"/>
      <c r="Q76" s="905"/>
      <c r="R76" s="905"/>
      <c r="S76" s="905"/>
      <c r="T76" s="905"/>
      <c r="U76" s="905"/>
      <c r="V76" s="905"/>
      <c r="W76" s="905"/>
      <c r="X76" s="905"/>
      <c r="Y76" s="905"/>
      <c r="Z76" s="905"/>
      <c r="AA76" s="905"/>
      <c r="AB76" s="905"/>
      <c r="AC76" s="905"/>
      <c r="AD76" s="906"/>
      <c r="AE76" s="120"/>
      <c r="AF76" s="120"/>
      <c r="AG76" s="120"/>
      <c r="AH76" s="124"/>
      <c r="AI76" s="139" t="s">
        <v>1396</v>
      </c>
      <c r="AJ76" s="140">
        <v>46.7</v>
      </c>
      <c r="AK76" s="140">
        <v>159</v>
      </c>
      <c r="AL76" s="140">
        <v>6.38</v>
      </c>
      <c r="AM76" s="140">
        <v>4</v>
      </c>
      <c r="AN76" s="141">
        <f t="shared" si="0"/>
        <v>1.595</v>
      </c>
      <c r="AO76" s="141">
        <f t="shared" si="2"/>
        <v>22.570532915360502</v>
      </c>
      <c r="AP76" s="141">
        <f t="shared" si="3"/>
        <v>42</v>
      </c>
      <c r="AQ76" s="141">
        <f t="shared" si="4"/>
        <v>42</v>
      </c>
      <c r="AR76" s="140">
        <v>6.54</v>
      </c>
      <c r="AS76" s="142">
        <f t="shared" si="5"/>
        <v>10.938268340359652</v>
      </c>
      <c r="AT76" s="142">
        <f t="shared" si="6"/>
        <v>28.784916685156979</v>
      </c>
      <c r="AU76" s="143" t="str">
        <f t="shared" si="7"/>
        <v>COMPACT</v>
      </c>
      <c r="AV76" s="140">
        <v>15.3</v>
      </c>
      <c r="AW76" s="144">
        <f t="shared" si="8"/>
        <v>108.23128673619024</v>
      </c>
      <c r="AX76" s="142">
        <f t="shared" si="9"/>
        <v>164.07402510539478</v>
      </c>
      <c r="AY76" s="143" t="str">
        <f t="shared" si="10"/>
        <v>COMPACT</v>
      </c>
      <c r="AZ76" s="141">
        <f t="shared" si="11"/>
        <v>135.57695758708937</v>
      </c>
      <c r="BA76" s="141">
        <f t="shared" si="17"/>
        <v>162.25540115169579</v>
      </c>
      <c r="BB76" s="141">
        <f t="shared" si="12"/>
        <v>31.978469761812313</v>
      </c>
      <c r="BC76" s="141">
        <f t="shared" si="13"/>
        <v>1493.394537876635</v>
      </c>
      <c r="BD76" s="141">
        <f t="shared" si="14"/>
        <v>1344.0550840889716</v>
      </c>
      <c r="BE76" s="143">
        <f>COUNTIFS($BD$76:$BD$94,"&gt;="&amp;$J$68)</f>
        <v>14</v>
      </c>
      <c r="BF76" s="145">
        <f t="shared" si="15"/>
        <v>894.24822627343417</v>
      </c>
      <c r="BG76" s="143">
        <f>COUNTIFS($BF$76:$BF$94,"&gt;="&amp;$F$73)</f>
        <v>14</v>
      </c>
      <c r="BH76" s="279"/>
    </row>
    <row r="77" spans="1:60" ht="15.6" thickTop="1" thickBot="1">
      <c r="A77" s="299"/>
      <c r="B77" s="300"/>
      <c r="C77" s="859" t="s">
        <v>1885</v>
      </c>
      <c r="D77" s="860"/>
      <c r="E77" s="861"/>
      <c r="F77" s="862" t="s">
        <v>1886</v>
      </c>
      <c r="G77" s="863"/>
      <c r="H77" s="864" t="s">
        <v>1977</v>
      </c>
      <c r="I77" s="865"/>
      <c r="J77" s="860" t="s">
        <v>1840</v>
      </c>
      <c r="K77" s="860"/>
      <c r="L77" s="866"/>
      <c r="M77" s="126"/>
      <c r="N77" s="867" t="str">
        <f>VLOOKUP(1,N71:Q74,2,FALSE)</f>
        <v>W10X39</v>
      </c>
      <c r="O77" s="868"/>
      <c r="P77" s="868"/>
      <c r="Q77" s="868"/>
      <c r="R77" s="868"/>
      <c r="S77" s="868"/>
      <c r="T77" s="868"/>
      <c r="U77" s="868"/>
      <c r="V77" s="868"/>
      <c r="W77" s="868"/>
      <c r="X77" s="868"/>
      <c r="Y77" s="868"/>
      <c r="Z77" s="868"/>
      <c r="AA77" s="868"/>
      <c r="AB77" s="868"/>
      <c r="AC77" s="868"/>
      <c r="AD77" s="869"/>
      <c r="AE77" s="120"/>
      <c r="AF77" s="120"/>
      <c r="AG77" s="120"/>
      <c r="AH77" s="124"/>
      <c r="AI77" s="139" t="s">
        <v>1403</v>
      </c>
      <c r="AJ77" s="140">
        <v>42.7</v>
      </c>
      <c r="AK77" s="140">
        <v>145</v>
      </c>
      <c r="AL77" s="140">
        <v>6.33</v>
      </c>
      <c r="AM77" s="140">
        <v>3.98</v>
      </c>
      <c r="AN77" s="141">
        <f t="shared" si="0"/>
        <v>1.5904522613065326</v>
      </c>
      <c r="AO77" s="141">
        <f t="shared" si="2"/>
        <v>22.748815165876778</v>
      </c>
      <c r="AP77" s="141">
        <f t="shared" si="3"/>
        <v>42.211055276381913</v>
      </c>
      <c r="AQ77" s="141">
        <f t="shared" si="4"/>
        <v>42.211055276381913</v>
      </c>
      <c r="AR77" s="140">
        <v>7.11</v>
      </c>
      <c r="AS77" s="142">
        <f t="shared" si="5"/>
        <v>10.938268340359652</v>
      </c>
      <c r="AT77" s="142">
        <f t="shared" si="6"/>
        <v>28.784916685156979</v>
      </c>
      <c r="AU77" s="143" t="str">
        <f t="shared" si="7"/>
        <v>COMPACT</v>
      </c>
      <c r="AV77" s="140">
        <v>16.8</v>
      </c>
      <c r="AW77" s="144">
        <f t="shared" si="8"/>
        <v>108.23128673619024</v>
      </c>
      <c r="AX77" s="142">
        <f t="shared" si="9"/>
        <v>164.07402510539478</v>
      </c>
      <c r="AY77" s="143" t="str">
        <f t="shared" si="10"/>
        <v>COMPACT</v>
      </c>
      <c r="AZ77" s="141">
        <f t="shared" si="11"/>
        <v>135.57695758708937</v>
      </c>
      <c r="BA77" s="141">
        <f t="shared" si="17"/>
        <v>160.6369035252076</v>
      </c>
      <c r="BB77" s="141">
        <f t="shared" si="12"/>
        <v>31.949393170476302</v>
      </c>
      <c r="BC77" s="141">
        <f t="shared" si="13"/>
        <v>1364.2390883793382</v>
      </c>
      <c r="BD77" s="141">
        <f t="shared" si="14"/>
        <v>1227.8151795414044</v>
      </c>
      <c r="BE77" s="143">
        <f>COUNTIFS($BD$77:$BD$94,"&gt;="&amp;$J$68)</f>
        <v>13</v>
      </c>
      <c r="BF77" s="145">
        <f t="shared" si="15"/>
        <v>816.90963376008278</v>
      </c>
      <c r="BG77" s="143">
        <f>COUNTIFS($BF$77:$BF$94,"&gt;="&amp;$F$73)</f>
        <v>13</v>
      </c>
      <c r="BH77" s="279"/>
    </row>
    <row r="78" spans="1:60" ht="15" thickBot="1">
      <c r="A78" s="299"/>
      <c r="B78" s="300"/>
      <c r="C78" s="873" t="s">
        <v>1845</v>
      </c>
      <c r="D78" s="874"/>
      <c r="E78" s="863"/>
      <c r="F78" s="285" t="s">
        <v>1887</v>
      </c>
      <c r="G78" s="286" t="s">
        <v>1539</v>
      </c>
      <c r="H78" s="875" t="s">
        <v>1845</v>
      </c>
      <c r="I78" s="876"/>
      <c r="J78" s="860" t="s">
        <v>1845</v>
      </c>
      <c r="K78" s="860"/>
      <c r="L78" s="866"/>
      <c r="M78" s="149"/>
      <c r="N78" s="870"/>
      <c r="O78" s="871"/>
      <c r="P78" s="871"/>
      <c r="Q78" s="871"/>
      <c r="R78" s="871"/>
      <c r="S78" s="871"/>
      <c r="T78" s="871"/>
      <c r="U78" s="871"/>
      <c r="V78" s="871"/>
      <c r="W78" s="871"/>
      <c r="X78" s="871"/>
      <c r="Y78" s="871"/>
      <c r="Z78" s="871"/>
      <c r="AA78" s="871"/>
      <c r="AB78" s="871"/>
      <c r="AC78" s="871"/>
      <c r="AD78" s="872"/>
      <c r="AE78" s="120"/>
      <c r="AF78" s="120"/>
      <c r="AG78" s="120"/>
      <c r="AH78" s="124"/>
      <c r="AI78" s="139" t="s">
        <v>1408</v>
      </c>
      <c r="AJ78" s="140">
        <v>38.799999999999997</v>
      </c>
      <c r="AK78" s="140">
        <v>132</v>
      </c>
      <c r="AL78" s="140">
        <v>6.28</v>
      </c>
      <c r="AM78" s="140">
        <v>3.76</v>
      </c>
      <c r="AN78" s="141">
        <f t="shared" si="0"/>
        <v>1.6702127659574471</v>
      </c>
      <c r="AO78" s="141">
        <f t="shared" si="2"/>
        <v>22.929936305732483</v>
      </c>
      <c r="AP78" s="141">
        <f t="shared" si="3"/>
        <v>44.680851063829792</v>
      </c>
      <c r="AQ78" s="141">
        <f t="shared" si="4"/>
        <v>44.680851063829792</v>
      </c>
      <c r="AR78" s="140">
        <v>7.15</v>
      </c>
      <c r="AS78" s="142">
        <f t="shared" si="5"/>
        <v>10.938268340359652</v>
      </c>
      <c r="AT78" s="142">
        <f t="shared" si="6"/>
        <v>28.784916685156979</v>
      </c>
      <c r="AU78" s="143" t="str">
        <f t="shared" si="7"/>
        <v>COMPACT</v>
      </c>
      <c r="AV78" s="140">
        <v>17.7</v>
      </c>
      <c r="AW78" s="144">
        <f t="shared" si="8"/>
        <v>108.23128673619024</v>
      </c>
      <c r="AX78" s="142">
        <f t="shared" si="9"/>
        <v>164.07402510539478</v>
      </c>
      <c r="AY78" s="143" t="str">
        <f t="shared" si="10"/>
        <v>COMPACT</v>
      </c>
      <c r="AZ78" s="141">
        <f t="shared" si="11"/>
        <v>135.57695758708937</v>
      </c>
      <c r="BA78" s="141">
        <f t="shared" si="17"/>
        <v>143.36887245763836</v>
      </c>
      <c r="BB78" s="141">
        <f t="shared" si="12"/>
        <v>31.600383032452473</v>
      </c>
      <c r="BC78" s="141">
        <f t="shared" si="13"/>
        <v>1226.0948616591559</v>
      </c>
      <c r="BD78" s="141">
        <f t="shared" si="14"/>
        <v>1103.4853754932403</v>
      </c>
      <c r="BE78" s="143">
        <f>COUNTIFS($BD$78:$BD$94,"&gt;="&amp;$J$68)</f>
        <v>12</v>
      </c>
      <c r="BF78" s="145">
        <f t="shared" si="15"/>
        <v>734.1885399156622</v>
      </c>
      <c r="BG78" s="143">
        <f>COUNTIFS($BF$78:$BF$94,"&gt;="&amp;$F$73)</f>
        <v>12</v>
      </c>
      <c r="BH78" s="279"/>
    </row>
    <row r="79" spans="1:60">
      <c r="A79" s="299"/>
      <c r="B79" s="300"/>
      <c r="C79" s="854" t="s">
        <v>1926</v>
      </c>
      <c r="D79" s="823">
        <v>12</v>
      </c>
      <c r="E79" s="824"/>
      <c r="F79" s="826" t="s">
        <v>1890</v>
      </c>
      <c r="G79" s="844">
        <f>VLOOKUP($F$79,'[2]Database 1'!$EW$5:$EX$11,2,FALSE)</f>
        <v>1</v>
      </c>
      <c r="H79" s="843">
        <f>$D$79*$G$79</f>
        <v>12</v>
      </c>
      <c r="I79" s="844"/>
      <c r="J79" s="847" t="s">
        <v>1844</v>
      </c>
      <c r="K79" s="878">
        <f>$H$79</f>
        <v>12</v>
      </c>
      <c r="L79" s="879"/>
      <c r="M79" s="149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4"/>
      <c r="AI79" s="139" t="s">
        <v>1413</v>
      </c>
      <c r="AJ79" s="140">
        <v>35.299999999999997</v>
      </c>
      <c r="AK79" s="140">
        <v>120</v>
      </c>
      <c r="AL79" s="140">
        <v>6.24</v>
      </c>
      <c r="AM79" s="140">
        <v>3.74</v>
      </c>
      <c r="AN79" s="141">
        <f t="shared" si="0"/>
        <v>1.6684491978609626</v>
      </c>
      <c r="AO79" s="141">
        <f t="shared" si="2"/>
        <v>23.076923076923077</v>
      </c>
      <c r="AP79" s="141">
        <f t="shared" si="3"/>
        <v>44.919786096256679</v>
      </c>
      <c r="AQ79" s="141">
        <f t="shared" si="4"/>
        <v>44.919786096256679</v>
      </c>
      <c r="AR79" s="140">
        <v>7.8</v>
      </c>
      <c r="AS79" s="142">
        <f t="shared" si="5"/>
        <v>10.938268340359652</v>
      </c>
      <c r="AT79" s="142">
        <f t="shared" si="6"/>
        <v>28.784916685156979</v>
      </c>
      <c r="AU79" s="143" t="str">
        <f t="shared" si="7"/>
        <v>COMPACT</v>
      </c>
      <c r="AV79" s="140">
        <v>19.3</v>
      </c>
      <c r="AW79" s="144">
        <f t="shared" si="8"/>
        <v>108.23128673619024</v>
      </c>
      <c r="AX79" s="142">
        <f t="shared" si="9"/>
        <v>164.07402510539478</v>
      </c>
      <c r="AY79" s="143" t="str">
        <f t="shared" si="10"/>
        <v>COMPACT</v>
      </c>
      <c r="AZ79" s="141">
        <f t="shared" si="11"/>
        <v>135.57695758708937</v>
      </c>
      <c r="BA79" s="141">
        <f t="shared" si="17"/>
        <v>141.84772807184129</v>
      </c>
      <c r="BB79" s="141">
        <f t="shared" si="12"/>
        <v>31.565776079133528</v>
      </c>
      <c r="BC79" s="141">
        <f t="shared" si="13"/>
        <v>1114.2718955934135</v>
      </c>
      <c r="BD79" s="141">
        <f t="shared" si="14"/>
        <v>1002.8447060340723</v>
      </c>
      <c r="BE79" s="143">
        <f>COUNTIFS($BD$79:$BD$94,"&gt;="&amp;$J$68)</f>
        <v>11</v>
      </c>
      <c r="BF79" s="145">
        <f t="shared" si="15"/>
        <v>667.22867999605603</v>
      </c>
      <c r="BG79" s="143">
        <f>COUNTIFS($BF$79:$BF$94,"&gt;="&amp;$F$73)</f>
        <v>11</v>
      </c>
      <c r="BH79" s="279"/>
    </row>
    <row r="80" spans="1:60" ht="15" thickBot="1">
      <c r="A80" s="299"/>
      <c r="B80" s="300"/>
      <c r="C80" s="839"/>
      <c r="D80" s="856"/>
      <c r="E80" s="857"/>
      <c r="F80" s="840"/>
      <c r="G80" s="846"/>
      <c r="H80" s="845"/>
      <c r="I80" s="846"/>
      <c r="J80" s="877"/>
      <c r="K80" s="880"/>
      <c r="L80" s="881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20"/>
      <c r="AD80" s="120"/>
      <c r="AE80" s="120"/>
      <c r="AF80" s="120"/>
      <c r="AG80" s="120"/>
      <c r="AH80" s="124"/>
      <c r="AI80" s="139" t="s">
        <v>1418</v>
      </c>
      <c r="AJ80" s="140">
        <v>32</v>
      </c>
      <c r="AK80" s="140">
        <v>109</v>
      </c>
      <c r="AL80" s="140">
        <v>6.22</v>
      </c>
      <c r="AM80" s="140">
        <v>3.73</v>
      </c>
      <c r="AN80" s="141">
        <f t="shared" si="0"/>
        <v>1.6675603217158177</v>
      </c>
      <c r="AO80" s="141">
        <f t="shared" si="2"/>
        <v>23.15112540192926</v>
      </c>
      <c r="AP80" s="141">
        <f t="shared" si="3"/>
        <v>45.040214477211798</v>
      </c>
      <c r="AQ80" s="141">
        <f t="shared" si="4"/>
        <v>45.040214477211798</v>
      </c>
      <c r="AR80" s="140">
        <v>8.49</v>
      </c>
      <c r="AS80" s="142">
        <f t="shared" si="5"/>
        <v>10.938268340359652</v>
      </c>
      <c r="AT80" s="142">
        <f t="shared" si="6"/>
        <v>28.784916685156979</v>
      </c>
      <c r="AU80" s="143" t="str">
        <f t="shared" si="7"/>
        <v>COMPACT</v>
      </c>
      <c r="AV80" s="140">
        <v>21.7</v>
      </c>
      <c r="AW80" s="144">
        <f t="shared" si="8"/>
        <v>108.23128673619024</v>
      </c>
      <c r="AX80" s="142">
        <f t="shared" si="9"/>
        <v>164.07402510539478</v>
      </c>
      <c r="AY80" s="143" t="str">
        <f t="shared" si="10"/>
        <v>COMPACT</v>
      </c>
      <c r="AZ80" s="141">
        <f t="shared" si="11"/>
        <v>135.57695758708937</v>
      </c>
      <c r="BA80" s="141">
        <f t="shared" si="17"/>
        <v>141.09019816771425</v>
      </c>
      <c r="BB80" s="141">
        <f t="shared" si="12"/>
        <v>31.548277919445354</v>
      </c>
      <c r="BC80" s="141">
        <f t="shared" si="13"/>
        <v>1009.5448934222513</v>
      </c>
      <c r="BD80" s="141">
        <f t="shared" si="14"/>
        <v>908.59040408002625</v>
      </c>
      <c r="BE80" s="143">
        <f>COUNTIFS($BD$80:$BD$94,"&gt;="&amp;$J$68)</f>
        <v>10</v>
      </c>
      <c r="BF80" s="145">
        <f t="shared" si="15"/>
        <v>604.51790025284515</v>
      </c>
      <c r="BG80" s="143">
        <f>COUNTIFS($BF$80:$BF$94,"&gt;="&amp;$F$73)</f>
        <v>10</v>
      </c>
      <c r="BH80" s="279"/>
    </row>
    <row r="81" spans="1:60">
      <c r="A81" s="299"/>
      <c r="B81" s="300"/>
      <c r="C81" s="821" t="s">
        <v>1927</v>
      </c>
      <c r="D81" s="823">
        <v>14</v>
      </c>
      <c r="E81" s="824"/>
      <c r="F81" s="826" t="s">
        <v>1890</v>
      </c>
      <c r="G81" s="841">
        <f>VLOOKUP($F$81,'[2]Database 1'!$EW$5:$EX$11,2,FALSE)</f>
        <v>1</v>
      </c>
      <c r="H81" s="843">
        <f>$D$81*$G$81</f>
        <v>14</v>
      </c>
      <c r="I81" s="844"/>
      <c r="J81" s="847" t="s">
        <v>1851</v>
      </c>
      <c r="K81" s="850">
        <f>MAX($H$81:$H$86)</f>
        <v>14</v>
      </c>
      <c r="L81" s="851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20"/>
      <c r="AD81" s="120"/>
      <c r="AE81" s="120"/>
      <c r="AF81" s="120"/>
      <c r="AG81" s="120"/>
      <c r="AH81" s="124"/>
      <c r="AI81" s="139" t="s">
        <v>1423</v>
      </c>
      <c r="AJ81" s="140">
        <v>29.1</v>
      </c>
      <c r="AK81" s="140">
        <v>99</v>
      </c>
      <c r="AL81" s="140">
        <v>6.17</v>
      </c>
      <c r="AM81" s="140">
        <v>3.71</v>
      </c>
      <c r="AN81" s="141">
        <f t="shared" si="0"/>
        <v>1.6630727762803235</v>
      </c>
      <c r="AO81" s="141">
        <f t="shared" si="2"/>
        <v>23.338735818476501</v>
      </c>
      <c r="AP81" s="141">
        <f t="shared" si="3"/>
        <v>45.283018867924525</v>
      </c>
      <c r="AQ81" s="141">
        <f t="shared" si="4"/>
        <v>45.283018867924525</v>
      </c>
      <c r="AR81" s="140">
        <v>9.34</v>
      </c>
      <c r="AS81" s="142">
        <f t="shared" si="5"/>
        <v>10.938268340359652</v>
      </c>
      <c r="AT81" s="142">
        <f t="shared" si="6"/>
        <v>28.784916685156979</v>
      </c>
      <c r="AU81" s="143" t="str">
        <f t="shared" si="7"/>
        <v>COMPACT</v>
      </c>
      <c r="AV81" s="140">
        <v>23.5</v>
      </c>
      <c r="AW81" s="144">
        <f t="shared" si="8"/>
        <v>108.23128673619024</v>
      </c>
      <c r="AX81" s="142">
        <f t="shared" si="9"/>
        <v>164.07402510539478</v>
      </c>
      <c r="AY81" s="143" t="str">
        <f t="shared" si="10"/>
        <v>COMPACT</v>
      </c>
      <c r="AZ81" s="141">
        <f t="shared" si="11"/>
        <v>135.57695758708937</v>
      </c>
      <c r="BA81" s="141">
        <f t="shared" si="17"/>
        <v>139.58122293700353</v>
      </c>
      <c r="BB81" s="141">
        <f t="shared" si="12"/>
        <v>31.512885849805627</v>
      </c>
      <c r="BC81" s="141">
        <f t="shared" si="13"/>
        <v>917.02497822934379</v>
      </c>
      <c r="BD81" s="141">
        <f t="shared" si="14"/>
        <v>825.32248040640945</v>
      </c>
      <c r="BE81" s="143">
        <f>COUNTIFS($BD$81:$BD$94,"&gt;="&amp;$J$68)</f>
        <v>9</v>
      </c>
      <c r="BF81" s="145">
        <f t="shared" si="15"/>
        <v>549.11675343074478</v>
      </c>
      <c r="BG81" s="143">
        <f>COUNTIFS($BF$81:$BF$94,"&gt;="&amp;$F$73)</f>
        <v>9</v>
      </c>
      <c r="BH81" s="279"/>
    </row>
    <row r="82" spans="1:60" ht="15" thickBot="1">
      <c r="A82" s="299"/>
      <c r="B82" s="300"/>
      <c r="C82" s="839"/>
      <c r="D82" s="823"/>
      <c r="E82" s="824"/>
      <c r="F82" s="840"/>
      <c r="G82" s="842"/>
      <c r="H82" s="845"/>
      <c r="I82" s="846"/>
      <c r="J82" s="848"/>
      <c r="K82" s="850"/>
      <c r="L82" s="851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20"/>
      <c r="AD82" s="120"/>
      <c r="AE82" s="120"/>
      <c r="AF82" s="120"/>
      <c r="AG82" s="120"/>
      <c r="AH82" s="124"/>
      <c r="AI82" s="139" t="s">
        <v>1428</v>
      </c>
      <c r="AJ82" s="140">
        <v>26.5</v>
      </c>
      <c r="AK82" s="140">
        <v>90</v>
      </c>
      <c r="AL82" s="140">
        <v>6.14</v>
      </c>
      <c r="AM82" s="140">
        <v>3.7</v>
      </c>
      <c r="AN82" s="141">
        <f t="shared" si="0"/>
        <v>1.6594594594594594</v>
      </c>
      <c r="AO82" s="141">
        <f t="shared" si="2"/>
        <v>23.452768729641694</v>
      </c>
      <c r="AP82" s="141">
        <f t="shared" si="3"/>
        <v>45.405405405405403</v>
      </c>
      <c r="AQ82" s="141">
        <f t="shared" si="4"/>
        <v>45.405405405405403</v>
      </c>
      <c r="AR82" s="140">
        <v>10.199999999999999</v>
      </c>
      <c r="AS82" s="142">
        <f t="shared" si="5"/>
        <v>10.938268340359652</v>
      </c>
      <c r="AT82" s="142">
        <f t="shared" si="6"/>
        <v>28.784916685156979</v>
      </c>
      <c r="AU82" s="143" t="str">
        <f t="shared" si="7"/>
        <v>COMPACT</v>
      </c>
      <c r="AV82" s="140">
        <v>25.9</v>
      </c>
      <c r="AW82" s="144">
        <f t="shared" si="8"/>
        <v>108.23128673619024</v>
      </c>
      <c r="AX82" s="142">
        <f t="shared" si="9"/>
        <v>164.07402510539478</v>
      </c>
      <c r="AY82" s="143" t="str">
        <f t="shared" si="10"/>
        <v>COMPACT</v>
      </c>
      <c r="AZ82" s="141">
        <f t="shared" si="11"/>
        <v>135.57695758708937</v>
      </c>
      <c r="BA82" s="141">
        <f t="shared" si="17"/>
        <v>138.82977761041971</v>
      </c>
      <c r="BB82" s="141">
        <f t="shared" si="12"/>
        <v>31.49498934015444</v>
      </c>
      <c r="BC82" s="141">
        <f t="shared" si="13"/>
        <v>834.61721751409266</v>
      </c>
      <c r="BD82" s="141">
        <f t="shared" si="14"/>
        <v>751.15549576268336</v>
      </c>
      <c r="BE82" s="143">
        <f>COUNTIFS($BD$82:$BD$94,"&gt;="&amp;$J$68)</f>
        <v>8</v>
      </c>
      <c r="BF82" s="145">
        <f t="shared" si="15"/>
        <v>499.77078893059445</v>
      </c>
      <c r="BG82" s="143">
        <f>COUNTIFS($BF$82:$BF$94,"&gt;="&amp;$F$73)</f>
        <v>8</v>
      </c>
      <c r="BH82" s="279"/>
    </row>
    <row r="83" spans="1:60" ht="15" thickBot="1">
      <c r="A83" s="299"/>
      <c r="B83" s="300"/>
      <c r="C83" s="854" t="s">
        <v>1928</v>
      </c>
      <c r="D83" s="691">
        <v>14</v>
      </c>
      <c r="E83" s="855"/>
      <c r="F83" s="858" t="s">
        <v>1890</v>
      </c>
      <c r="G83" s="841">
        <f>VLOOKUP($F$83,'[2]Database 1'!$EW$5:$EX$11,2,FALSE)</f>
        <v>1</v>
      </c>
      <c r="H83" s="843">
        <f>$D$83*$G$83</f>
        <v>14</v>
      </c>
      <c r="I83" s="844"/>
      <c r="J83" s="848"/>
      <c r="K83" s="850"/>
      <c r="L83" s="851"/>
      <c r="M83" s="149"/>
      <c r="N83" s="819" t="s">
        <v>1923</v>
      </c>
      <c r="O83" s="819"/>
      <c r="P83" s="819"/>
      <c r="Q83" s="819"/>
      <c r="R83" s="819"/>
      <c r="S83" s="819"/>
      <c r="T83" s="820" t="s">
        <v>1924</v>
      </c>
      <c r="U83" s="820"/>
      <c r="V83" s="820"/>
      <c r="W83" s="820"/>
      <c r="X83" s="820"/>
      <c r="Y83" s="820"/>
      <c r="Z83" s="820"/>
      <c r="AA83" s="820"/>
      <c r="AB83" s="820"/>
      <c r="AC83" s="820"/>
      <c r="AD83" s="820"/>
      <c r="AE83" s="120"/>
      <c r="AF83" s="120"/>
      <c r="AG83" s="120"/>
      <c r="AH83" s="124"/>
      <c r="AI83" s="139" t="s">
        <v>1435</v>
      </c>
      <c r="AJ83" s="140">
        <v>24</v>
      </c>
      <c r="AK83" s="140">
        <v>82</v>
      </c>
      <c r="AL83" s="140">
        <v>6.05</v>
      </c>
      <c r="AM83" s="140">
        <v>2.48</v>
      </c>
      <c r="AN83" s="141">
        <f t="shared" si="0"/>
        <v>2.439516129032258</v>
      </c>
      <c r="AO83" s="141">
        <f t="shared" si="2"/>
        <v>23.801652892561986</v>
      </c>
      <c r="AP83" s="141">
        <f t="shared" si="3"/>
        <v>67.741935483870975</v>
      </c>
      <c r="AQ83" s="141">
        <f t="shared" si="4"/>
        <v>67.741935483870975</v>
      </c>
      <c r="AR83" s="140">
        <v>5.92</v>
      </c>
      <c r="AS83" s="142">
        <f t="shared" si="5"/>
        <v>10.938268340359652</v>
      </c>
      <c r="AT83" s="142">
        <f t="shared" si="6"/>
        <v>28.784916685156979</v>
      </c>
      <c r="AU83" s="143" t="str">
        <f t="shared" si="7"/>
        <v>COMPACT</v>
      </c>
      <c r="AV83" s="140">
        <v>22.4</v>
      </c>
      <c r="AW83" s="144">
        <f t="shared" si="8"/>
        <v>108.23128673619024</v>
      </c>
      <c r="AX83" s="142">
        <f t="shared" si="9"/>
        <v>164.07402510539478</v>
      </c>
      <c r="AY83" s="143" t="str">
        <f t="shared" si="10"/>
        <v>COMPACT</v>
      </c>
      <c r="AZ83" s="141">
        <f t="shared" si="11"/>
        <v>135.57695758708937</v>
      </c>
      <c r="BA83" s="141">
        <f t="shared" si="17"/>
        <v>62.370976202711844</v>
      </c>
      <c r="BB83" s="141">
        <f t="shared" si="12"/>
        <v>27.67349232857811</v>
      </c>
      <c r="BC83" s="141">
        <f t="shared" si="13"/>
        <v>664.16381588587467</v>
      </c>
      <c r="BD83" s="141">
        <f t="shared" si="14"/>
        <v>597.74743429728721</v>
      </c>
      <c r="BE83" s="143">
        <f>COUNTIFS($BD$83:$BD$94,"&gt;="&amp;$J$68)</f>
        <v>7</v>
      </c>
      <c r="BF83" s="145">
        <f t="shared" si="15"/>
        <v>397.70288376399685</v>
      </c>
      <c r="BG83" s="143">
        <f>COUNTIFS($BF$83:$BF$94,"&gt;="&amp;$F$73)</f>
        <v>7</v>
      </c>
      <c r="BH83" s="279"/>
    </row>
    <row r="84" spans="1:60" ht="15" thickBot="1">
      <c r="A84" s="299"/>
      <c r="B84" s="300"/>
      <c r="C84" s="854"/>
      <c r="D84" s="856"/>
      <c r="E84" s="857"/>
      <c r="F84" s="840"/>
      <c r="G84" s="842"/>
      <c r="H84" s="845"/>
      <c r="I84" s="846"/>
      <c r="J84" s="848"/>
      <c r="K84" s="850"/>
      <c r="L84" s="851"/>
      <c r="M84" s="149"/>
      <c r="N84" s="819"/>
      <c r="O84" s="819"/>
      <c r="P84" s="819"/>
      <c r="Q84" s="819"/>
      <c r="R84" s="819"/>
      <c r="S84" s="819"/>
      <c r="T84" s="820"/>
      <c r="U84" s="820"/>
      <c r="V84" s="820"/>
      <c r="W84" s="820"/>
      <c r="X84" s="820"/>
      <c r="Y84" s="820"/>
      <c r="Z84" s="820"/>
      <c r="AA84" s="820"/>
      <c r="AB84" s="820"/>
      <c r="AC84" s="820"/>
      <c r="AD84" s="820"/>
      <c r="AE84" s="120"/>
      <c r="AF84" s="120"/>
      <c r="AG84" s="120"/>
      <c r="AH84" s="124"/>
      <c r="AI84" s="139" t="s">
        <v>1442</v>
      </c>
      <c r="AJ84" s="140">
        <v>21.8</v>
      </c>
      <c r="AK84" s="140">
        <v>74</v>
      </c>
      <c r="AL84" s="140">
        <v>6.04</v>
      </c>
      <c r="AM84" s="140">
        <v>2.48</v>
      </c>
      <c r="AN84" s="141">
        <f t="shared" si="0"/>
        <v>2.435483870967742</v>
      </c>
      <c r="AO84" s="141">
        <f t="shared" si="2"/>
        <v>23.841059602649008</v>
      </c>
      <c r="AP84" s="141">
        <f t="shared" si="3"/>
        <v>67.741935483870975</v>
      </c>
      <c r="AQ84" s="141">
        <f t="shared" si="4"/>
        <v>67.741935483870975</v>
      </c>
      <c r="AR84" s="140">
        <v>6.41</v>
      </c>
      <c r="AS84" s="142">
        <f t="shared" si="5"/>
        <v>10.938268340359652</v>
      </c>
      <c r="AT84" s="142">
        <f t="shared" si="6"/>
        <v>28.784916685156979</v>
      </c>
      <c r="AU84" s="143" t="str">
        <f t="shared" si="7"/>
        <v>COMPACT</v>
      </c>
      <c r="AV84" s="140">
        <v>25.4</v>
      </c>
      <c r="AW84" s="144">
        <f t="shared" si="8"/>
        <v>108.23128673619024</v>
      </c>
      <c r="AX84" s="142">
        <f t="shared" si="9"/>
        <v>164.07402510539478</v>
      </c>
      <c r="AY84" s="143" t="str">
        <f t="shared" si="10"/>
        <v>COMPACT</v>
      </c>
      <c r="AZ84" s="141">
        <f t="shared" si="11"/>
        <v>135.57695758708937</v>
      </c>
      <c r="BA84" s="141">
        <f t="shared" si="17"/>
        <v>62.370976202711844</v>
      </c>
      <c r="BB84" s="141">
        <f t="shared" si="12"/>
        <v>27.67349232857811</v>
      </c>
      <c r="BC84" s="141">
        <f t="shared" si="13"/>
        <v>603.28213276300278</v>
      </c>
      <c r="BD84" s="141">
        <f t="shared" si="14"/>
        <v>542.95391948670249</v>
      </c>
      <c r="BE84" s="143">
        <f>COUNTIFS($BD$84:$BD$94,"&gt;="&amp;$J$68)</f>
        <v>6</v>
      </c>
      <c r="BF84" s="145">
        <f t="shared" si="15"/>
        <v>361.24678608563045</v>
      </c>
      <c r="BG84" s="143">
        <f>COUNTIFS($BF$84:$BF$94,"&gt;="&amp;$F$73)</f>
        <v>6</v>
      </c>
      <c r="BH84" s="279"/>
    </row>
    <row r="85" spans="1:60">
      <c r="A85" s="299"/>
      <c r="B85" s="300"/>
      <c r="C85" s="821" t="s">
        <v>1929</v>
      </c>
      <c r="D85" s="823">
        <v>0</v>
      </c>
      <c r="E85" s="824"/>
      <c r="F85" s="826" t="s">
        <v>1893</v>
      </c>
      <c r="G85" s="828">
        <f>VLOOKUP($F$85,'[2]Database 1'!$EW$5:$EX$11,2,FALSE)</f>
        <v>2.1</v>
      </c>
      <c r="H85" s="830">
        <f>$D$85*$G$85</f>
        <v>0</v>
      </c>
      <c r="I85" s="831"/>
      <c r="J85" s="848"/>
      <c r="K85" s="850"/>
      <c r="L85" s="851"/>
      <c r="M85" s="149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4"/>
      <c r="AI85" s="139" t="s">
        <v>1445</v>
      </c>
      <c r="AJ85" s="140">
        <v>20</v>
      </c>
      <c r="AK85" s="140">
        <v>68</v>
      </c>
      <c r="AL85" s="140">
        <v>6.01</v>
      </c>
      <c r="AM85" s="140">
        <v>2.46</v>
      </c>
      <c r="AN85" s="141">
        <f t="shared" si="0"/>
        <v>2.4430894308943087</v>
      </c>
      <c r="AO85" s="141">
        <f t="shared" si="2"/>
        <v>23.960066555740433</v>
      </c>
      <c r="AP85" s="141">
        <f t="shared" si="3"/>
        <v>68.292682926829272</v>
      </c>
      <c r="AQ85" s="141">
        <f t="shared" si="4"/>
        <v>68.292682926829272</v>
      </c>
      <c r="AR85" s="140">
        <v>6.97</v>
      </c>
      <c r="AS85" s="142">
        <f t="shared" si="5"/>
        <v>10.938268340359652</v>
      </c>
      <c r="AT85" s="142">
        <f t="shared" si="6"/>
        <v>28.784916685156979</v>
      </c>
      <c r="AU85" s="143" t="str">
        <f t="shared" si="7"/>
        <v>COMPACT</v>
      </c>
      <c r="AV85" s="140">
        <v>27.5</v>
      </c>
      <c r="AW85" s="144">
        <f t="shared" si="8"/>
        <v>108.23128673619024</v>
      </c>
      <c r="AX85" s="142">
        <f t="shared" si="9"/>
        <v>164.07402510539478</v>
      </c>
      <c r="AY85" s="143" t="str">
        <f t="shared" si="10"/>
        <v>COMPACT</v>
      </c>
      <c r="AZ85" s="141">
        <f t="shared" si="11"/>
        <v>135.57695758708937</v>
      </c>
      <c r="BA85" s="141">
        <f t="shared" si="17"/>
        <v>61.369049100600137</v>
      </c>
      <c r="BB85" s="141">
        <f t="shared" si="12"/>
        <v>27.567578783855303</v>
      </c>
      <c r="BC85" s="141">
        <f t="shared" si="13"/>
        <v>551.3515756771061</v>
      </c>
      <c r="BD85" s="141">
        <f t="shared" si="14"/>
        <v>496.21641810939548</v>
      </c>
      <c r="BE85" s="143">
        <f>COUNTIFS($BD$85:$BD$94,"&gt;="&amp;$J$68)</f>
        <v>5</v>
      </c>
      <c r="BF85" s="145">
        <f t="shared" si="15"/>
        <v>330.15064411802763</v>
      </c>
      <c r="BG85" s="143">
        <f>COUNTIFS($BF$85:$BF$94,"&gt;="&amp;$F$73)</f>
        <v>5</v>
      </c>
      <c r="BH85" s="279"/>
    </row>
    <row r="86" spans="1:60" ht="15" thickBot="1">
      <c r="A86" s="299"/>
      <c r="B86" s="300"/>
      <c r="C86" s="822"/>
      <c r="D86" s="539"/>
      <c r="E86" s="825"/>
      <c r="F86" s="827"/>
      <c r="G86" s="829"/>
      <c r="H86" s="832"/>
      <c r="I86" s="833"/>
      <c r="J86" s="849"/>
      <c r="K86" s="852"/>
      <c r="L86" s="853"/>
      <c r="M86" s="149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4"/>
      <c r="AI86" s="139" t="s">
        <v>1450</v>
      </c>
      <c r="AJ86" s="140">
        <v>17.899999999999999</v>
      </c>
      <c r="AK86" s="140">
        <v>61</v>
      </c>
      <c r="AL86" s="140">
        <v>5.98</v>
      </c>
      <c r="AM86" s="140">
        <v>2.4500000000000002</v>
      </c>
      <c r="AN86" s="141">
        <f t="shared" si="0"/>
        <v>2.4408163265306122</v>
      </c>
      <c r="AO86" s="141">
        <f t="shared" si="2"/>
        <v>24.080267558528426</v>
      </c>
      <c r="AP86" s="141">
        <f t="shared" si="3"/>
        <v>68.571428571428569</v>
      </c>
      <c r="AQ86" s="141">
        <f t="shared" si="4"/>
        <v>68.571428571428569</v>
      </c>
      <c r="AR86" s="140">
        <v>7.75</v>
      </c>
      <c r="AS86" s="142">
        <f t="shared" si="5"/>
        <v>10.938268340359652</v>
      </c>
      <c r="AT86" s="142">
        <f t="shared" si="6"/>
        <v>28.784916685156979</v>
      </c>
      <c r="AU86" s="143" t="str">
        <f t="shared" si="7"/>
        <v>COMPACT</v>
      </c>
      <c r="AV86" s="140">
        <v>30.4</v>
      </c>
      <c r="AW86" s="144">
        <f t="shared" si="8"/>
        <v>108.23128673619024</v>
      </c>
      <c r="AX86" s="142">
        <f t="shared" si="9"/>
        <v>164.07402510539478</v>
      </c>
      <c r="AY86" s="143" t="str">
        <f t="shared" si="10"/>
        <v>COMPACT</v>
      </c>
      <c r="AZ86" s="141">
        <f t="shared" si="11"/>
        <v>135.57695758708937</v>
      </c>
      <c r="BA86" s="141">
        <f t="shared" si="17"/>
        <v>60.871127838315878</v>
      </c>
      <c r="BB86" s="141">
        <f t="shared" si="12"/>
        <v>27.513802551694898</v>
      </c>
      <c r="BC86" s="141">
        <f t="shared" si="13"/>
        <v>492.49706567533866</v>
      </c>
      <c r="BD86" s="141">
        <f t="shared" si="14"/>
        <v>443.24735910780481</v>
      </c>
      <c r="BE86" s="143">
        <f>COUNTIFS($BD$86:$BD$94,"&gt;="&amp;$J$68)</f>
        <v>4</v>
      </c>
      <c r="BF86" s="145">
        <f t="shared" si="15"/>
        <v>294.90842256008307</v>
      </c>
      <c r="BG86" s="143">
        <f>COUNTIFS($BF$86:$BF$94,"&gt;="&amp;$F$73)</f>
        <v>4</v>
      </c>
      <c r="BH86" s="279"/>
    </row>
    <row r="87" spans="1:60" ht="15" thickTop="1">
      <c r="A87" s="299"/>
      <c r="B87" s="29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4"/>
      <c r="AI87" s="139" t="s">
        <v>1457</v>
      </c>
      <c r="AJ87" s="140">
        <v>15.6</v>
      </c>
      <c r="AK87" s="140">
        <v>53</v>
      </c>
      <c r="AL87" s="140">
        <v>5.89</v>
      </c>
      <c r="AM87" s="140">
        <v>1.92</v>
      </c>
      <c r="AN87" s="141">
        <f t="shared" si="0"/>
        <v>3.0677083333333335</v>
      </c>
      <c r="AO87" s="141">
        <f t="shared" si="2"/>
        <v>24.448217317487266</v>
      </c>
      <c r="AP87" s="141">
        <f t="shared" si="3"/>
        <v>87.5</v>
      </c>
      <c r="AQ87" s="141">
        <f t="shared" si="4"/>
        <v>87.5</v>
      </c>
      <c r="AR87" s="140">
        <v>6.11</v>
      </c>
      <c r="AS87" s="142">
        <f t="shared" si="5"/>
        <v>10.938268340359652</v>
      </c>
      <c r="AT87" s="142">
        <f t="shared" si="6"/>
        <v>28.784916685156979</v>
      </c>
      <c r="AU87" s="143" t="str">
        <f t="shared" si="7"/>
        <v>COMPACT</v>
      </c>
      <c r="AV87" s="140">
        <v>30.9</v>
      </c>
      <c r="AW87" s="144">
        <f t="shared" si="8"/>
        <v>108.23128673619024</v>
      </c>
      <c r="AX87" s="142">
        <f t="shared" si="9"/>
        <v>164.07402510539478</v>
      </c>
      <c r="AY87" s="143" t="str">
        <f t="shared" si="10"/>
        <v>COMPACT</v>
      </c>
      <c r="AZ87" s="141">
        <f t="shared" si="11"/>
        <v>135.57695758708937</v>
      </c>
      <c r="BA87" s="141">
        <f t="shared" si="17"/>
        <v>37.38364442535071</v>
      </c>
      <c r="BB87" s="141">
        <f t="shared" si="12"/>
        <v>23.652887304129301</v>
      </c>
      <c r="BC87" s="141">
        <f t="shared" si="13"/>
        <v>368.98504194441711</v>
      </c>
      <c r="BD87" s="141">
        <f t="shared" si="14"/>
        <v>332.08653774997538</v>
      </c>
      <c r="BE87" s="143">
        <f>COUNTIFS($BD$87:$BD$94,"&gt;="&amp;$J$68)</f>
        <v>3</v>
      </c>
      <c r="BF87" s="145">
        <f t="shared" si="15"/>
        <v>220.94912691282462</v>
      </c>
      <c r="BG87" s="143">
        <f>COUNTIFS($BF$87:$BF$94,"&gt;="&amp;$F$73)</f>
        <v>3</v>
      </c>
      <c r="BH87" s="279"/>
    </row>
    <row r="88" spans="1:60">
      <c r="A88" s="299"/>
      <c r="B88" s="29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  <c r="AC88" s="120"/>
      <c r="AD88" s="120"/>
      <c r="AE88" s="120"/>
      <c r="AF88" s="120"/>
      <c r="AG88" s="120"/>
      <c r="AH88" s="124"/>
      <c r="AI88" s="139" t="s">
        <v>1462</v>
      </c>
      <c r="AJ88" s="140">
        <v>14.1</v>
      </c>
      <c r="AK88" s="140">
        <v>48</v>
      </c>
      <c r="AL88" s="140">
        <v>5.85</v>
      </c>
      <c r="AM88" s="140">
        <v>1.91</v>
      </c>
      <c r="AN88" s="141">
        <f t="shared" si="0"/>
        <v>3.0628272251308899</v>
      </c>
      <c r="AO88" s="141">
        <f t="shared" si="2"/>
        <v>24.615384615384617</v>
      </c>
      <c r="AP88" s="141">
        <f t="shared" si="3"/>
        <v>87.958115183246079</v>
      </c>
      <c r="AQ88" s="141">
        <f t="shared" si="4"/>
        <v>87.958115183246079</v>
      </c>
      <c r="AR88" s="140">
        <v>6.75</v>
      </c>
      <c r="AS88" s="142">
        <f t="shared" si="5"/>
        <v>10.938268340359652</v>
      </c>
      <c r="AT88" s="142">
        <f t="shared" si="6"/>
        <v>28.784916685156979</v>
      </c>
      <c r="AU88" s="143" t="str">
        <f t="shared" si="7"/>
        <v>COMPACT</v>
      </c>
      <c r="AV88" s="140">
        <v>33.6</v>
      </c>
      <c r="AW88" s="144">
        <f t="shared" si="8"/>
        <v>108.23128673619024</v>
      </c>
      <c r="AX88" s="142">
        <f t="shared" si="9"/>
        <v>164.07402510539478</v>
      </c>
      <c r="AY88" s="143" t="str">
        <f t="shared" si="10"/>
        <v>COMPACT</v>
      </c>
      <c r="AZ88" s="141">
        <f t="shared" si="11"/>
        <v>135.57695758708937</v>
      </c>
      <c r="BA88" s="141">
        <f t="shared" si="17"/>
        <v>36.995245558843834</v>
      </c>
      <c r="BB88" s="141">
        <f t="shared" si="12"/>
        <v>23.55577879763463</v>
      </c>
      <c r="BC88" s="141">
        <f t="shared" si="13"/>
        <v>332.13648104664827</v>
      </c>
      <c r="BD88" s="141">
        <f t="shared" si="14"/>
        <v>298.92283294198347</v>
      </c>
      <c r="BE88" s="143">
        <f>COUNTIFS($BD$88:$BD$94,"&gt;="&amp;$J$68)</f>
        <v>2</v>
      </c>
      <c r="BF88" s="145">
        <f t="shared" si="15"/>
        <v>198.88412038721455</v>
      </c>
      <c r="BG88" s="143">
        <f>COUNTIFS($BF$88:$BF$94,"&gt;="&amp;$F$73)</f>
        <v>2</v>
      </c>
      <c r="BH88" s="279"/>
    </row>
    <row r="89" spans="1:60">
      <c r="A89" s="299"/>
      <c r="B89" s="29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20"/>
      <c r="AD89" s="120"/>
      <c r="AE89" s="120"/>
      <c r="AF89" s="120"/>
      <c r="AG89" s="120"/>
      <c r="AH89" s="124"/>
      <c r="AI89" s="139" t="s">
        <v>1468</v>
      </c>
      <c r="AJ89" s="140">
        <v>12.6</v>
      </c>
      <c r="AK89" s="140">
        <v>43</v>
      </c>
      <c r="AL89" s="140">
        <v>5.82</v>
      </c>
      <c r="AM89" s="140">
        <v>1.89</v>
      </c>
      <c r="AN89" s="141">
        <f t="shared" si="0"/>
        <v>3.0793650793650795</v>
      </c>
      <c r="AO89" s="141">
        <f t="shared" si="2"/>
        <v>24.742268041237111</v>
      </c>
      <c r="AP89" s="141">
        <f t="shared" si="3"/>
        <v>88.8888888888889</v>
      </c>
      <c r="AQ89" s="141">
        <f t="shared" si="4"/>
        <v>88.8888888888889</v>
      </c>
      <c r="AR89" s="140">
        <v>7.54</v>
      </c>
      <c r="AS89" s="142">
        <f t="shared" si="5"/>
        <v>10.938268340359652</v>
      </c>
      <c r="AT89" s="142">
        <f t="shared" si="6"/>
        <v>28.784916685156979</v>
      </c>
      <c r="AU89" s="143" t="str">
        <f t="shared" si="7"/>
        <v>COMPACT</v>
      </c>
      <c r="AV89" s="140">
        <v>37.4</v>
      </c>
      <c r="AW89" s="144">
        <f t="shared" si="8"/>
        <v>108.23128673619024</v>
      </c>
      <c r="AX89" s="142">
        <f t="shared" si="9"/>
        <v>164.07402510539478</v>
      </c>
      <c r="AY89" s="143" t="str">
        <f t="shared" si="10"/>
        <v>COMPACT</v>
      </c>
      <c r="AZ89" s="141">
        <f t="shared" si="11"/>
        <v>135.57695758708937</v>
      </c>
      <c r="BA89" s="141">
        <f t="shared" si="17"/>
        <v>36.224532403373274</v>
      </c>
      <c r="BB89" s="141">
        <f t="shared" si="12"/>
        <v>23.358159591784062</v>
      </c>
      <c r="BC89" s="141">
        <f t="shared" si="13"/>
        <v>294.31281085647919</v>
      </c>
      <c r="BD89" s="141">
        <f t="shared" si="14"/>
        <v>264.88152977083126</v>
      </c>
      <c r="BE89" s="143">
        <f>COUNTIFS($BD$89:$BD$94,"&gt;="&amp;$J$68)</f>
        <v>1</v>
      </c>
      <c r="BF89" s="145">
        <f t="shared" si="15"/>
        <v>176.23521608172408</v>
      </c>
      <c r="BG89" s="143">
        <f>COUNTIFS($BF$89:$BF$94,"&gt;="&amp;$F$73)</f>
        <v>1</v>
      </c>
      <c r="BH89" s="279"/>
    </row>
    <row r="90" spans="1:60">
      <c r="A90" s="299"/>
      <c r="B90" s="29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20"/>
      <c r="AD90" s="120"/>
      <c r="AE90" s="120"/>
      <c r="AF90" s="120"/>
      <c r="AG90" s="120"/>
      <c r="AH90" s="124"/>
      <c r="AI90" s="139" t="s">
        <v>1473</v>
      </c>
      <c r="AJ90" s="140">
        <v>11.2</v>
      </c>
      <c r="AK90" s="140">
        <v>38</v>
      </c>
      <c r="AL90" s="140">
        <v>5.87</v>
      </c>
      <c r="AM90" s="140">
        <v>1.55</v>
      </c>
      <c r="AN90" s="141">
        <f t="shared" si="0"/>
        <v>3.7870967741935484</v>
      </c>
      <c r="AO90" s="141">
        <f t="shared" si="2"/>
        <v>24.531516183986373</v>
      </c>
      <c r="AP90" s="141">
        <f t="shared" si="3"/>
        <v>108.38709677419355</v>
      </c>
      <c r="AQ90" s="141">
        <f t="shared" si="4"/>
        <v>108.38709677419355</v>
      </c>
      <c r="AR90" s="140">
        <v>6.57</v>
      </c>
      <c r="AS90" s="142">
        <f t="shared" si="5"/>
        <v>10.938268340359652</v>
      </c>
      <c r="AT90" s="142">
        <f t="shared" si="6"/>
        <v>28.784916685156979</v>
      </c>
      <c r="AU90" s="143" t="str">
        <f t="shared" si="7"/>
        <v>COMPACT</v>
      </c>
      <c r="AV90" s="140">
        <v>39.6</v>
      </c>
      <c r="AW90" s="144">
        <f t="shared" si="8"/>
        <v>108.23128673619024</v>
      </c>
      <c r="AX90" s="142">
        <f t="shared" si="9"/>
        <v>164.07402510539478</v>
      </c>
      <c r="AY90" s="143" t="str">
        <f t="shared" si="10"/>
        <v>COMPACT</v>
      </c>
      <c r="AZ90" s="141">
        <f t="shared" si="11"/>
        <v>135.57695758708937</v>
      </c>
      <c r="BA90" s="141">
        <f t="shared" si="17"/>
        <v>24.363662579184318</v>
      </c>
      <c r="BB90" s="141">
        <f t="shared" si="12"/>
        <v>19.183931401658022</v>
      </c>
      <c r="BC90" s="141">
        <f t="shared" si="13"/>
        <v>214.86003169856983</v>
      </c>
      <c r="BD90" s="141">
        <f t="shared" si="14"/>
        <v>193.37402852871284</v>
      </c>
      <c r="BE90" s="143">
        <f>COUNTIFS($BD$90:$BD$94,"&gt;="&amp;$J$68)</f>
        <v>0</v>
      </c>
      <c r="BF90" s="145">
        <f t="shared" si="15"/>
        <v>128.65870161591008</v>
      </c>
      <c r="BG90" s="143">
        <f>COUNTIFS($BF$90:$BF$94,"&gt;="&amp;$F$73)</f>
        <v>0</v>
      </c>
      <c r="BH90" s="279"/>
    </row>
    <row r="91" spans="1:60">
      <c r="A91" s="299"/>
      <c r="B91" s="29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20"/>
      <c r="AD91" s="120"/>
      <c r="AE91" s="120"/>
      <c r="AF91" s="120"/>
      <c r="AG91" s="120"/>
      <c r="AH91" s="124"/>
      <c r="AI91" s="139" t="s">
        <v>1478</v>
      </c>
      <c r="AJ91" s="140">
        <v>10</v>
      </c>
      <c r="AK91" s="140">
        <v>34</v>
      </c>
      <c r="AL91" s="140">
        <v>5.83</v>
      </c>
      <c r="AM91" s="140">
        <v>1.53</v>
      </c>
      <c r="AN91" s="141">
        <f t="shared" si="0"/>
        <v>3.8104575163398691</v>
      </c>
      <c r="AO91" s="141">
        <f t="shared" si="2"/>
        <v>24.69982847341338</v>
      </c>
      <c r="AP91" s="141">
        <f t="shared" si="3"/>
        <v>109.80392156862744</v>
      </c>
      <c r="AQ91" s="141">
        <f t="shared" si="4"/>
        <v>109.80392156862744</v>
      </c>
      <c r="AR91" s="140">
        <v>7.41</v>
      </c>
      <c r="AS91" s="142">
        <f t="shared" si="5"/>
        <v>10.938268340359652</v>
      </c>
      <c r="AT91" s="142">
        <f t="shared" si="6"/>
        <v>28.784916685156979</v>
      </c>
      <c r="AU91" s="143" t="str">
        <f t="shared" si="7"/>
        <v>COMPACT</v>
      </c>
      <c r="AV91" s="140">
        <v>43.1</v>
      </c>
      <c r="AW91" s="144">
        <f t="shared" si="8"/>
        <v>108.23128673619024</v>
      </c>
      <c r="AX91" s="142">
        <f t="shared" si="9"/>
        <v>164.07402510539478</v>
      </c>
      <c r="AY91" s="143" t="str">
        <f t="shared" si="10"/>
        <v>COMPACT</v>
      </c>
      <c r="AZ91" s="141">
        <f t="shared" si="11"/>
        <v>135.57695758708937</v>
      </c>
      <c r="BA91" s="141">
        <f t="shared" si="17"/>
        <v>23.738979284750293</v>
      </c>
      <c r="BB91" s="141">
        <f t="shared" si="12"/>
        <v>18.882785200757542</v>
      </c>
      <c r="BC91" s="141">
        <f t="shared" si="13"/>
        <v>188.82785200757542</v>
      </c>
      <c r="BD91" s="141">
        <f t="shared" si="14"/>
        <v>169.94506680681789</v>
      </c>
      <c r="BE91" s="143">
        <f>COUNTIFS($BD$91:$BD$94,"&gt;="&amp;$J$68)</f>
        <v>0</v>
      </c>
      <c r="BF91" s="145">
        <f t="shared" si="15"/>
        <v>113.07057006441642</v>
      </c>
      <c r="BG91" s="143">
        <f>COUNTIFS($BF$91:$BF$94,"&gt;="&amp;$F$73)</f>
        <v>0</v>
      </c>
      <c r="BH91" s="279"/>
    </row>
    <row r="92" spans="1:60">
      <c r="A92" s="299"/>
      <c r="B92" s="29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20"/>
      <c r="AD92" s="120"/>
      <c r="AE92" s="120"/>
      <c r="AF92" s="120"/>
      <c r="AG92" s="120"/>
      <c r="AH92" s="124"/>
      <c r="AI92" s="139" t="s">
        <v>1482</v>
      </c>
      <c r="AJ92" s="140">
        <v>8.85</v>
      </c>
      <c r="AK92" s="140">
        <v>30</v>
      </c>
      <c r="AL92" s="140">
        <v>5.73</v>
      </c>
      <c r="AM92" s="140">
        <v>1.49</v>
      </c>
      <c r="AN92" s="141">
        <f t="shared" si="0"/>
        <v>3.8456375838926178</v>
      </c>
      <c r="AO92" s="141">
        <f t="shared" si="2"/>
        <v>25.130890052356019</v>
      </c>
      <c r="AP92" s="141">
        <f t="shared" si="3"/>
        <v>112.75167785234899</v>
      </c>
      <c r="AQ92" s="141">
        <f t="shared" si="4"/>
        <v>112.75167785234899</v>
      </c>
      <c r="AR92" s="140">
        <v>8.74</v>
      </c>
      <c r="AS92" s="142">
        <f t="shared" si="5"/>
        <v>10.938268340359652</v>
      </c>
      <c r="AT92" s="142">
        <f t="shared" si="6"/>
        <v>28.784916685156979</v>
      </c>
      <c r="AU92" s="143" t="str">
        <f t="shared" si="7"/>
        <v>COMPACT</v>
      </c>
      <c r="AV92" s="140">
        <v>45.4</v>
      </c>
      <c r="AW92" s="144">
        <f t="shared" si="8"/>
        <v>108.23128673619024</v>
      </c>
      <c r="AX92" s="142">
        <f t="shared" si="9"/>
        <v>164.07402510539478</v>
      </c>
      <c r="AY92" s="143" t="str">
        <f t="shared" si="10"/>
        <v>COMPACT</v>
      </c>
      <c r="AZ92" s="141">
        <f t="shared" si="11"/>
        <v>135.57695758708937</v>
      </c>
      <c r="BA92" s="141">
        <f t="shared" si="17"/>
        <v>22.513951006054992</v>
      </c>
      <c r="BB92" s="141">
        <f t="shared" si="12"/>
        <v>18.2592753710144</v>
      </c>
      <c r="BC92" s="141">
        <f t="shared" si="13"/>
        <v>161.59458703347744</v>
      </c>
      <c r="BD92" s="141">
        <f t="shared" si="14"/>
        <v>145.43512833012969</v>
      </c>
      <c r="BE92" s="143">
        <f>COUNTIFS($BD$92:$BD$94,"&gt;="&amp;$J$68)</f>
        <v>0</v>
      </c>
      <c r="BF92" s="145">
        <f t="shared" si="15"/>
        <v>96.763225768549361</v>
      </c>
      <c r="BG92" s="143">
        <f>COUNTIFS($BF$92:$BF$94,"&gt;="&amp;$F$73)</f>
        <v>0</v>
      </c>
      <c r="BH92" s="279"/>
    </row>
    <row r="93" spans="1:60">
      <c r="A93" s="299"/>
      <c r="B93" s="29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20"/>
      <c r="AD93" s="120"/>
      <c r="AE93" s="120"/>
      <c r="AF93" s="120"/>
      <c r="AG93" s="120"/>
      <c r="AH93" s="124"/>
      <c r="AI93" s="139" t="s">
        <v>1486</v>
      </c>
      <c r="AJ93" s="140">
        <v>7.69</v>
      </c>
      <c r="AK93" s="140">
        <v>26</v>
      </c>
      <c r="AL93" s="140">
        <v>5.65</v>
      </c>
      <c r="AM93" s="140">
        <v>1.08</v>
      </c>
      <c r="AN93" s="141">
        <f t="shared" si="0"/>
        <v>5.2314814814814818</v>
      </c>
      <c r="AO93" s="141">
        <f t="shared" si="2"/>
        <v>25.486725663716811</v>
      </c>
      <c r="AP93" s="141">
        <f t="shared" si="3"/>
        <v>155.55555555555554</v>
      </c>
      <c r="AQ93" s="141">
        <f t="shared" si="4"/>
        <v>155.55555555555554</v>
      </c>
      <c r="AR93" s="140">
        <v>5.98</v>
      </c>
      <c r="AS93" s="142">
        <f t="shared" si="5"/>
        <v>10.938268340359652</v>
      </c>
      <c r="AT93" s="142">
        <f t="shared" si="6"/>
        <v>28.784916685156979</v>
      </c>
      <c r="AU93" s="143" t="str">
        <f t="shared" si="7"/>
        <v>COMPACT</v>
      </c>
      <c r="AV93" s="140">
        <v>48.1</v>
      </c>
      <c r="AW93" s="144">
        <f t="shared" si="8"/>
        <v>108.23128673619024</v>
      </c>
      <c r="AX93" s="142">
        <f t="shared" si="9"/>
        <v>164.07402510539478</v>
      </c>
      <c r="AY93" s="143" t="str">
        <f t="shared" si="10"/>
        <v>COMPACT</v>
      </c>
      <c r="AZ93" s="141">
        <f t="shared" si="11"/>
        <v>135.57695758708937</v>
      </c>
      <c r="BA93" s="141">
        <f t="shared" si="17"/>
        <v>11.828418743958624</v>
      </c>
      <c r="BB93" s="141">
        <f t="shared" si="12"/>
        <v>10.373523238451712</v>
      </c>
      <c r="BC93" s="141">
        <f t="shared" si="13"/>
        <v>79.772393703693666</v>
      </c>
      <c r="BD93" s="141">
        <f t="shared" si="14"/>
        <v>71.795154333324305</v>
      </c>
      <c r="BE93" s="143">
        <f>COUNTIFS($BD$93:$BD$94,"&gt;="&amp;$J$68)</f>
        <v>0</v>
      </c>
      <c r="BF93" s="145">
        <f t="shared" si="15"/>
        <v>47.767900421373454</v>
      </c>
      <c r="BG93" s="143">
        <f>COUNTIFS($BF$93:$BF$94,"&gt;="&amp;$F$73)</f>
        <v>0</v>
      </c>
      <c r="BH93" s="279"/>
    </row>
    <row r="94" spans="1:60" ht="15" thickBot="1">
      <c r="A94" s="299"/>
      <c r="B94" s="29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20"/>
      <c r="AD94" s="120"/>
      <c r="AE94" s="120"/>
      <c r="AF94" s="120"/>
      <c r="AG94" s="120"/>
      <c r="AH94" s="124"/>
      <c r="AI94" s="139" t="s">
        <v>1492</v>
      </c>
      <c r="AJ94" s="140">
        <v>6.49</v>
      </c>
      <c r="AK94" s="140">
        <v>22</v>
      </c>
      <c r="AL94" s="140">
        <v>5.54</v>
      </c>
      <c r="AM94" s="140">
        <v>1.04</v>
      </c>
      <c r="AN94" s="141">
        <f t="shared" si="0"/>
        <v>5.3269230769230766</v>
      </c>
      <c r="AO94" s="141">
        <f t="shared" si="2"/>
        <v>25.992779783393502</v>
      </c>
      <c r="AP94" s="141">
        <f t="shared" si="3"/>
        <v>161.53846153846152</v>
      </c>
      <c r="AQ94" s="141">
        <f t="shared" si="4"/>
        <v>161.53846153846152</v>
      </c>
      <c r="AR94" s="140">
        <v>7.46</v>
      </c>
      <c r="AS94" s="142">
        <f t="shared" si="5"/>
        <v>10.938268340359652</v>
      </c>
      <c r="AT94" s="142">
        <f t="shared" si="6"/>
        <v>28.784916685156979</v>
      </c>
      <c r="AU94" s="143" t="str">
        <f t="shared" si="7"/>
        <v>COMPACT</v>
      </c>
      <c r="AV94" s="140">
        <v>53.3</v>
      </c>
      <c r="AW94" s="144">
        <f t="shared" si="8"/>
        <v>108.23128673619024</v>
      </c>
      <c r="AX94" s="142">
        <f t="shared" si="9"/>
        <v>164.07402510539478</v>
      </c>
      <c r="AY94" s="143" t="str">
        <f t="shared" si="10"/>
        <v>COMPACT</v>
      </c>
      <c r="AZ94" s="141">
        <f t="shared" si="11"/>
        <v>135.57695758708937</v>
      </c>
      <c r="BA94" s="141">
        <f t="shared" si="17"/>
        <v>10.968465117854636</v>
      </c>
      <c r="BB94" s="141">
        <f t="shared" si="12"/>
        <v>9.6193439083585162</v>
      </c>
      <c r="BC94" s="141">
        <f t="shared" si="13"/>
        <v>62.42954196524677</v>
      </c>
      <c r="BD94" s="141">
        <f t="shared" si="14"/>
        <v>56.186587768722092</v>
      </c>
      <c r="BE94" s="143">
        <f>COUNTIFS($BD$94,"&gt;="&amp;$J$68)</f>
        <v>0</v>
      </c>
      <c r="BF94" s="145">
        <f t="shared" si="15"/>
        <v>37.382959260626812</v>
      </c>
      <c r="BG94" s="143">
        <f>COUNTIFS($BF$94,"&gt;="&amp;$F$73)</f>
        <v>0</v>
      </c>
      <c r="BH94" s="279"/>
    </row>
    <row r="95" spans="1:60" ht="15" thickTop="1">
      <c r="A95" s="299"/>
      <c r="B95" s="29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20"/>
      <c r="AD95" s="120"/>
      <c r="AE95" s="120"/>
      <c r="AF95" s="120"/>
      <c r="AG95" s="120"/>
      <c r="AH95" s="124"/>
      <c r="AI95" s="834" t="s">
        <v>1978</v>
      </c>
      <c r="AJ95" s="835"/>
      <c r="AK95" s="835"/>
      <c r="AL95" s="835"/>
      <c r="AM95" s="835"/>
      <c r="AN95" s="835"/>
      <c r="AO95" s="835"/>
      <c r="AP95" s="835"/>
      <c r="AQ95" s="835"/>
      <c r="AR95" s="835"/>
      <c r="AS95" s="835"/>
      <c r="AT95" s="835"/>
      <c r="AU95" s="835"/>
      <c r="AV95" s="835"/>
      <c r="AW95" s="835"/>
      <c r="AX95" s="835"/>
      <c r="AY95" s="835"/>
      <c r="AZ95" s="835"/>
      <c r="BA95" s="835"/>
      <c r="BB95" s="835"/>
      <c r="BC95" s="835"/>
      <c r="BD95" s="835"/>
      <c r="BE95" s="835"/>
      <c r="BF95" s="835"/>
      <c r="BG95" s="835"/>
      <c r="BH95" s="279"/>
    </row>
    <row r="96" spans="1:60" ht="15" thickBot="1">
      <c r="A96" s="299"/>
      <c r="B96" s="29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20"/>
      <c r="AD96" s="120"/>
      <c r="AE96" s="120"/>
      <c r="AF96" s="120"/>
      <c r="AG96" s="120"/>
      <c r="AH96" s="124"/>
      <c r="AI96" s="836"/>
      <c r="AJ96" s="837"/>
      <c r="AK96" s="837"/>
      <c r="AL96" s="837"/>
      <c r="AM96" s="837"/>
      <c r="AN96" s="837"/>
      <c r="AO96" s="837"/>
      <c r="AP96" s="837"/>
      <c r="AQ96" s="837"/>
      <c r="AR96" s="837"/>
      <c r="AS96" s="837"/>
      <c r="AT96" s="837"/>
      <c r="AU96" s="837"/>
      <c r="AV96" s="837"/>
      <c r="AW96" s="837"/>
      <c r="AX96" s="837"/>
      <c r="AY96" s="837"/>
      <c r="AZ96" s="837"/>
      <c r="BA96" s="837"/>
      <c r="BB96" s="837"/>
      <c r="BC96" s="837"/>
      <c r="BD96" s="837"/>
      <c r="BE96" s="837"/>
      <c r="BF96" s="837"/>
      <c r="BG96" s="838"/>
    </row>
    <row r="97" spans="1:59" ht="15.6" thickTop="1" thickBot="1">
      <c r="A97" s="299"/>
      <c r="B97" s="29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120"/>
      <c r="AD97" s="120"/>
      <c r="AE97" s="120"/>
      <c r="AF97" s="120"/>
      <c r="AG97" s="120"/>
      <c r="AH97" s="124"/>
      <c r="AI97" s="812" t="s">
        <v>1978</v>
      </c>
      <c r="AJ97" s="813"/>
      <c r="AK97" s="813"/>
      <c r="AL97" s="813"/>
      <c r="AM97" s="813"/>
      <c r="AN97" s="813"/>
      <c r="AO97" s="813"/>
      <c r="AP97" s="813"/>
      <c r="AQ97" s="813"/>
      <c r="AR97" s="814" t="s">
        <v>1947</v>
      </c>
      <c r="AS97" s="815"/>
      <c r="AT97" s="815"/>
      <c r="AU97" s="815"/>
      <c r="AV97" s="815"/>
      <c r="AW97" s="815"/>
      <c r="AX97" s="815"/>
      <c r="AY97" s="815"/>
      <c r="AZ97" s="814" t="s">
        <v>1979</v>
      </c>
      <c r="BA97" s="815"/>
      <c r="BB97" s="815"/>
      <c r="BC97" s="154"/>
      <c r="BD97" s="816" t="s">
        <v>1949</v>
      </c>
      <c r="BE97" s="817"/>
      <c r="BF97" s="817"/>
      <c r="BG97" s="818"/>
    </row>
    <row r="98" spans="1:59" ht="15.6" thickTop="1" thickBot="1">
      <c r="A98" s="299"/>
      <c r="B98" s="29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20"/>
      <c r="AD98" s="120"/>
      <c r="AE98" s="120"/>
      <c r="AF98" s="120"/>
      <c r="AG98" s="120"/>
      <c r="AH98" s="124"/>
      <c r="AI98" s="798"/>
      <c r="AJ98" s="802" t="s">
        <v>1936</v>
      </c>
      <c r="AK98" s="803" t="s">
        <v>1937</v>
      </c>
      <c r="AL98" s="803" t="s">
        <v>1609</v>
      </c>
      <c r="AM98" s="803" t="s">
        <v>1613</v>
      </c>
      <c r="AN98" s="804" t="s">
        <v>1943</v>
      </c>
      <c r="AO98" s="804" t="s">
        <v>1944</v>
      </c>
      <c r="AP98" s="804" t="s">
        <v>1945</v>
      </c>
      <c r="AQ98" s="803" t="s">
        <v>1946</v>
      </c>
      <c r="AR98" s="805" t="s">
        <v>1950</v>
      </c>
      <c r="AS98" s="806"/>
      <c r="AT98" s="806"/>
      <c r="AU98" s="806"/>
      <c r="AV98" s="805" t="s">
        <v>1951</v>
      </c>
      <c r="AW98" s="806"/>
      <c r="AX98" s="806"/>
      <c r="AY98" s="806"/>
      <c r="AZ98" s="807" t="s">
        <v>1953</v>
      </c>
      <c r="BA98" s="803" t="s">
        <v>1954</v>
      </c>
      <c r="BB98" s="803" t="s">
        <v>1940</v>
      </c>
      <c r="BC98" s="789" t="s">
        <v>1941</v>
      </c>
      <c r="BD98" s="129" t="s">
        <v>1542</v>
      </c>
      <c r="BE98" s="787" t="s">
        <v>1934</v>
      </c>
      <c r="BF98" s="129" t="s">
        <v>1541</v>
      </c>
      <c r="BG98" s="787" t="s">
        <v>1934</v>
      </c>
    </row>
    <row r="99" spans="1:59" ht="15.6" thickTop="1" thickBot="1">
      <c r="A99" s="299"/>
      <c r="B99" s="29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  <c r="AC99" s="120"/>
      <c r="AD99" s="120"/>
      <c r="AE99" s="120"/>
      <c r="AF99" s="120"/>
      <c r="AG99" s="120"/>
      <c r="AH99" s="124"/>
      <c r="AI99" s="798"/>
      <c r="AJ99" s="802"/>
      <c r="AK99" s="803"/>
      <c r="AL99" s="803"/>
      <c r="AM99" s="803"/>
      <c r="AN99" s="804"/>
      <c r="AO99" s="804"/>
      <c r="AP99" s="804"/>
      <c r="AQ99" s="803"/>
      <c r="AR99" s="130" t="s">
        <v>1955</v>
      </c>
      <c r="AS99" s="134" t="s">
        <v>1956</v>
      </c>
      <c r="AT99" s="134" t="s">
        <v>1957</v>
      </c>
      <c r="AU99" s="135" t="s">
        <v>1911</v>
      </c>
      <c r="AV99" s="130" t="s">
        <v>1958</v>
      </c>
      <c r="AW99" s="134" t="s">
        <v>1959</v>
      </c>
      <c r="AX99" s="134" t="s">
        <v>1960</v>
      </c>
      <c r="AY99" s="135" t="s">
        <v>1911</v>
      </c>
      <c r="AZ99" s="808"/>
      <c r="BA99" s="808"/>
      <c r="BB99" s="808"/>
      <c r="BC99" s="789"/>
      <c r="BD99" s="130" t="s">
        <v>1961</v>
      </c>
      <c r="BE99" s="790"/>
      <c r="BF99" s="130" t="s">
        <v>1962</v>
      </c>
      <c r="BG99" s="788"/>
    </row>
    <row r="100" spans="1:59" ht="15" thickTop="1">
      <c r="A100" s="299"/>
      <c r="B100" s="29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20"/>
      <c r="AD100" s="120"/>
      <c r="AE100" s="120"/>
      <c r="AF100" s="120"/>
      <c r="AG100" s="120"/>
      <c r="AH100" s="124"/>
      <c r="AI100" s="139" t="s">
        <v>1343</v>
      </c>
      <c r="AJ100" s="140">
        <v>98.9</v>
      </c>
      <c r="AK100" s="140">
        <v>336</v>
      </c>
      <c r="AL100" s="140">
        <v>6.41</v>
      </c>
      <c r="AM100" s="140">
        <v>3.47</v>
      </c>
      <c r="AN100" s="145">
        <f>AL100/AM100</f>
        <v>1.8472622478386167</v>
      </c>
      <c r="AO100" s="141">
        <f>($K$79*12)/AL100</f>
        <v>22.464898595943836</v>
      </c>
      <c r="AP100" s="141">
        <f>($K$81*12)/AM100</f>
        <v>48.414985590778095</v>
      </c>
      <c r="AQ100" s="141">
        <f t="shared" ref="AQ100:AQ128" si="20">MAX(AO100:AP100)</f>
        <v>48.414985590778095</v>
      </c>
      <c r="AR100" s="140">
        <v>2.2599999999999998</v>
      </c>
      <c r="AS100" s="142">
        <f>0.38*SQRT($F$57/$J$59)</f>
        <v>10.938268340359652</v>
      </c>
      <c r="AT100" s="155">
        <f>1*SQRT($F$57/$J$59)</f>
        <v>28.784916685156979</v>
      </c>
      <c r="AU100" s="143" t="str">
        <f>IF(AS100 &gt;AR100, "COMPACT", IF(AND(AR100 &gt;AS100, AR100 &lt; AT100), "NON-COMPACT", IF(AR100 &gt; AT100, "SLENDER", "")))</f>
        <v>COMPACT</v>
      </c>
      <c r="AV100" s="140">
        <v>5.47</v>
      </c>
      <c r="AW100" s="155">
        <f>3.76*SQRT($F$57/$J$59)</f>
        <v>108.23128673619024</v>
      </c>
      <c r="AX100" s="155">
        <f>5.7*SQRT($F$57/$J$59)</f>
        <v>164.07402510539478</v>
      </c>
      <c r="AY100" s="143" t="str">
        <f>IF(AW100 &gt;AV100, "COMPACT", IF(AND(AV100 &gt;AW100, AV100 &lt; AX100), "NON-COMPACT", IF(AV100 &gt; AX100, "SLENDER", "")))</f>
        <v>COMPACT</v>
      </c>
      <c r="AZ100" s="145">
        <f>4.71*SQRT($F$57/$J$59)</f>
        <v>135.57695758708937</v>
      </c>
      <c r="BA100" s="145">
        <f>((PI()^2)*$F$57)/(AQ100^2)</f>
        <v>122.10631623296588</v>
      </c>
      <c r="BB100" s="145">
        <f>_xlfn.IFS(AU100="Slender","N/A",AY100="Slender","N/A",AQ100&lt;=AZ100,((0.658^($J$59/BA100))*$J$59),AQ100&gt;AZ100,(0.877*BA100))</f>
        <v>31.043104004955936</v>
      </c>
      <c r="BC100" s="145">
        <f t="shared" ref="BC100:BC128" si="21">AJ100*BB100</f>
        <v>3070.1629860901421</v>
      </c>
      <c r="BD100" s="145">
        <f>0.9*BC100</f>
        <v>2763.1466874811281</v>
      </c>
      <c r="BE100" s="143">
        <f>COUNTIFS($BD$100:$BD$128,"&gt;="&amp;$J$68)</f>
        <v>22</v>
      </c>
      <c r="BF100" s="145">
        <f>BC100/1.67</f>
        <v>1838.4209497545762</v>
      </c>
      <c r="BG100" s="156">
        <f>COUNTIFS($BF$100:$BF$128,"&gt;="&amp;$F$73)</f>
        <v>22</v>
      </c>
    </row>
    <row r="101" spans="1:59">
      <c r="A101" s="299"/>
      <c r="B101" s="29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  <c r="AC101" s="120"/>
      <c r="AD101" s="120"/>
      <c r="AE101" s="120"/>
      <c r="AF101" s="120"/>
      <c r="AG101" s="120"/>
      <c r="AH101" s="124"/>
      <c r="AI101" s="139" t="s">
        <v>1352</v>
      </c>
      <c r="AJ101" s="140">
        <v>89.5</v>
      </c>
      <c r="AK101" s="140">
        <v>305</v>
      </c>
      <c r="AL101" s="140">
        <v>6.29</v>
      </c>
      <c r="AM101" s="140">
        <v>3.42</v>
      </c>
      <c r="AN101" s="145">
        <f t="shared" ref="AN101:AN128" si="22">AL101/AM101</f>
        <v>1.8391812865497077</v>
      </c>
      <c r="AO101" s="141">
        <f t="shared" ref="AO101:AO128" si="23">($K$79*12)/AL101</f>
        <v>22.893481717011127</v>
      </c>
      <c r="AP101" s="141">
        <f t="shared" ref="AP101:AP128" si="24">($K$81*12)/AM101</f>
        <v>49.122807017543863</v>
      </c>
      <c r="AQ101" s="141">
        <f t="shared" si="20"/>
        <v>49.122807017543863</v>
      </c>
      <c r="AR101" s="140">
        <v>2.4500000000000002</v>
      </c>
      <c r="AS101" s="142">
        <f t="shared" ref="AS101:AS128" si="25">0.38*SQRT($F$57/$J$59)</f>
        <v>10.938268340359652</v>
      </c>
      <c r="AT101" s="155">
        <f t="shared" ref="AT101:AT128" si="26">1*SQRT($F$57/$J$59)</f>
        <v>28.784916685156979</v>
      </c>
      <c r="AU101" s="143" t="str">
        <f t="shared" ref="AU101:AU128" si="27">IF(AS101 &gt;AR101, "COMPACT", IF(AND(AR101 &gt;AS101, AR101 &lt; AT101), "NON-COMPACT", IF(AR101 &gt; AT101, "SLENDER", "")))</f>
        <v>COMPACT</v>
      </c>
      <c r="AV101" s="140">
        <v>5.98</v>
      </c>
      <c r="AW101" s="155">
        <f t="shared" ref="AW101:AW128" si="28">3.76*SQRT($F$57/$J$59)</f>
        <v>108.23128673619024</v>
      </c>
      <c r="AX101" s="155">
        <f t="shared" ref="AX101:AX128" si="29">5.7*SQRT($F$57/$J$59)</f>
        <v>164.07402510539478</v>
      </c>
      <c r="AY101" s="143" t="str">
        <f t="shared" ref="AY101:AY128" si="30">IF(AW101 &gt;AV101, "COMPACT", IF(AND(AV101 &gt;AW101, AV101 &lt; AX101), "NON-COMPACT", IF(AV101 &gt; AX101, "SLENDER", "")))</f>
        <v>COMPACT</v>
      </c>
      <c r="AZ101" s="145">
        <f t="shared" ref="AZ101:AZ128" si="31">4.71*SQRT($F$57/$J$59)</f>
        <v>135.57695758708937</v>
      </c>
      <c r="BA101" s="145">
        <f t="shared" ref="BA101:BA128" si="32">((PI()^2)*$F$57)/(AQ101^2)</f>
        <v>118.6127546269184</v>
      </c>
      <c r="BB101" s="145">
        <f t="shared" ref="BB101:BB128" si="33">_xlfn.IFS(AU101="Slender","N/A",AY101="Slender","N/A",AQ101&lt;=AZ101,((0.658^($J$59/BA101))*$J$59),AQ101&gt;AZ101,(0.877*BA101))</f>
        <v>30.933604363959308</v>
      </c>
      <c r="BC101" s="145">
        <f t="shared" si="21"/>
        <v>2768.5575905743581</v>
      </c>
      <c r="BD101" s="145">
        <f t="shared" ref="BD101:BD128" si="34">0.9*BC101</f>
        <v>2491.7018315169225</v>
      </c>
      <c r="BE101" s="143">
        <f>COUNTIFS($BD$101:$BD$128,"&gt;="&amp;$J$68)</f>
        <v>21</v>
      </c>
      <c r="BF101" s="145">
        <f t="shared" ref="BF101:BF128" si="35">BC101/1.67</f>
        <v>1657.8189165115916</v>
      </c>
      <c r="BG101" s="156">
        <f>COUNTIFS($BF$101:$BF$128,"&gt;="&amp;$F$73)</f>
        <v>21</v>
      </c>
    </row>
    <row r="102" spans="1:59">
      <c r="A102" s="299"/>
      <c r="B102" s="29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  <c r="AC102" s="120"/>
      <c r="AD102" s="120"/>
      <c r="AE102" s="120"/>
      <c r="AF102" s="120"/>
      <c r="AG102" s="120"/>
      <c r="AH102" s="124"/>
      <c r="AI102" s="139" t="s">
        <v>1361</v>
      </c>
      <c r="AJ102" s="140">
        <v>81.900000000000006</v>
      </c>
      <c r="AK102" s="140">
        <v>279</v>
      </c>
      <c r="AL102" s="140">
        <v>6.16</v>
      </c>
      <c r="AM102" s="140">
        <v>3.38</v>
      </c>
      <c r="AN102" s="145">
        <f t="shared" si="22"/>
        <v>1.8224852071005919</v>
      </c>
      <c r="AO102" s="141">
        <f t="shared" si="23"/>
        <v>23.376623376623375</v>
      </c>
      <c r="AP102" s="141">
        <f t="shared" si="24"/>
        <v>49.704142011834321</v>
      </c>
      <c r="AQ102" s="141">
        <f t="shared" si="20"/>
        <v>49.704142011834321</v>
      </c>
      <c r="AR102" s="140">
        <v>2.66</v>
      </c>
      <c r="AS102" s="142">
        <f t="shared" si="25"/>
        <v>10.938268340359652</v>
      </c>
      <c r="AT102" s="155">
        <f t="shared" si="26"/>
        <v>28.784916685156979</v>
      </c>
      <c r="AU102" s="143" t="str">
        <f t="shared" si="27"/>
        <v>COMPACT</v>
      </c>
      <c r="AV102" s="140">
        <v>6.35</v>
      </c>
      <c r="AW102" s="155">
        <f t="shared" si="28"/>
        <v>108.23128673619024</v>
      </c>
      <c r="AX102" s="155">
        <f t="shared" si="29"/>
        <v>164.07402510539478</v>
      </c>
      <c r="AY102" s="143" t="str">
        <f t="shared" si="30"/>
        <v>COMPACT</v>
      </c>
      <c r="AZ102" s="145">
        <f t="shared" si="31"/>
        <v>135.57695758708937</v>
      </c>
      <c r="BA102" s="145">
        <f t="shared" si="32"/>
        <v>115.85441280733959</v>
      </c>
      <c r="BB102" s="145">
        <f t="shared" si="33"/>
        <v>30.842777979501701</v>
      </c>
      <c r="BC102" s="145">
        <f t="shared" si="21"/>
        <v>2526.0235165211893</v>
      </c>
      <c r="BD102" s="145">
        <f t="shared" si="34"/>
        <v>2273.4211648690703</v>
      </c>
      <c r="BE102" s="143">
        <f>COUNTIFS($BD$102:$BD$128,"&gt;="&amp;$J$68)</f>
        <v>20</v>
      </c>
      <c r="BF102" s="145">
        <f t="shared" si="35"/>
        <v>1512.5889320486165</v>
      </c>
      <c r="BG102" s="156">
        <f>COUNTIFS($BF$102:$BF$128,"&gt;="&amp;$F$73)</f>
        <v>20</v>
      </c>
    </row>
    <row r="103" spans="1:59">
      <c r="A103" s="299"/>
      <c r="B103" s="29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  <c r="AC103" s="120"/>
      <c r="AD103" s="120"/>
      <c r="AE103" s="120"/>
      <c r="AF103" s="120"/>
      <c r="AG103" s="120"/>
      <c r="AH103" s="124"/>
      <c r="AI103" s="139" t="s">
        <v>1370</v>
      </c>
      <c r="AJ103" s="140">
        <v>74.099999999999994</v>
      </c>
      <c r="AK103" s="140">
        <v>252</v>
      </c>
      <c r="AL103" s="140">
        <v>6.06</v>
      </c>
      <c r="AM103" s="140">
        <v>3.34</v>
      </c>
      <c r="AN103" s="145">
        <f t="shared" si="22"/>
        <v>1.8143712574850299</v>
      </c>
      <c r="AO103" s="141">
        <f t="shared" si="23"/>
        <v>23.762376237623762</v>
      </c>
      <c r="AP103" s="141">
        <f t="shared" si="24"/>
        <v>50.299401197604794</v>
      </c>
      <c r="AQ103" s="141">
        <f t="shared" si="20"/>
        <v>50.299401197604794</v>
      </c>
      <c r="AR103" s="140">
        <v>2.89</v>
      </c>
      <c r="AS103" s="142">
        <f t="shared" si="25"/>
        <v>10.938268340359652</v>
      </c>
      <c r="AT103" s="155">
        <f t="shared" si="26"/>
        <v>28.784916685156979</v>
      </c>
      <c r="AU103" s="143" t="str">
        <f t="shared" si="27"/>
        <v>COMPACT</v>
      </c>
      <c r="AV103" s="140">
        <v>6.96</v>
      </c>
      <c r="AW103" s="155">
        <f t="shared" si="28"/>
        <v>108.23128673619024</v>
      </c>
      <c r="AX103" s="155">
        <f t="shared" si="29"/>
        <v>164.07402510539478</v>
      </c>
      <c r="AY103" s="143" t="str">
        <f t="shared" si="30"/>
        <v>COMPACT</v>
      </c>
      <c r="AZ103" s="145">
        <f t="shared" si="31"/>
        <v>135.57695758708937</v>
      </c>
      <c r="BA103" s="145">
        <f t="shared" si="32"/>
        <v>113.12852206799107</v>
      </c>
      <c r="BB103" s="145">
        <f t="shared" si="33"/>
        <v>30.748950173791485</v>
      </c>
      <c r="BC103" s="145">
        <f t="shared" si="21"/>
        <v>2278.4972078779488</v>
      </c>
      <c r="BD103" s="145">
        <f t="shared" si="34"/>
        <v>2050.6474870901538</v>
      </c>
      <c r="BE103" s="143">
        <f>COUNTIFS($BD$103:$BD$128,"&gt;="&amp;$J$68)</f>
        <v>19</v>
      </c>
      <c r="BF103" s="145">
        <f t="shared" si="35"/>
        <v>1364.369585555658</v>
      </c>
      <c r="BG103" s="156">
        <f>COUNTIFS($BF$103:$BF$128,"&gt;="&amp;$F$73)</f>
        <v>19</v>
      </c>
    </row>
    <row r="104" spans="1:59">
      <c r="A104" s="299"/>
      <c r="B104" s="29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120"/>
      <c r="AD104" s="120"/>
      <c r="AE104" s="120"/>
      <c r="AF104" s="120"/>
      <c r="AG104" s="120"/>
      <c r="AH104" s="124"/>
      <c r="AI104" s="139" t="s">
        <v>1377</v>
      </c>
      <c r="AJ104" s="140">
        <v>67.7</v>
      </c>
      <c r="AK104" s="140">
        <v>230</v>
      </c>
      <c r="AL104" s="140">
        <v>5.97</v>
      </c>
      <c r="AM104" s="140">
        <v>3.31</v>
      </c>
      <c r="AN104" s="145">
        <f t="shared" si="22"/>
        <v>1.8036253776435045</v>
      </c>
      <c r="AO104" s="141">
        <f t="shared" si="23"/>
        <v>24.120603015075378</v>
      </c>
      <c r="AP104" s="141">
        <f t="shared" si="24"/>
        <v>50.755287009063444</v>
      </c>
      <c r="AQ104" s="141">
        <f t="shared" si="20"/>
        <v>50.755287009063444</v>
      </c>
      <c r="AR104" s="140">
        <v>3.11</v>
      </c>
      <c r="AS104" s="142">
        <f t="shared" si="25"/>
        <v>10.938268340359652</v>
      </c>
      <c r="AT104" s="155">
        <f t="shared" si="26"/>
        <v>28.784916685156979</v>
      </c>
      <c r="AU104" s="143" t="str">
        <f t="shared" si="27"/>
        <v>COMPACT</v>
      </c>
      <c r="AV104" s="140">
        <v>7.56</v>
      </c>
      <c r="AW104" s="155">
        <f t="shared" si="28"/>
        <v>108.23128673619024</v>
      </c>
      <c r="AX104" s="155">
        <f t="shared" si="29"/>
        <v>164.07402510539478</v>
      </c>
      <c r="AY104" s="143" t="str">
        <f t="shared" si="30"/>
        <v>COMPACT</v>
      </c>
      <c r="AZ104" s="145">
        <f t="shared" si="31"/>
        <v>135.57695758708937</v>
      </c>
      <c r="BA104" s="145">
        <f t="shared" si="32"/>
        <v>111.10540003488089</v>
      </c>
      <c r="BB104" s="145">
        <f t="shared" si="33"/>
        <v>30.676531773660408</v>
      </c>
      <c r="BC104" s="145">
        <f t="shared" si="21"/>
        <v>2076.8012010768098</v>
      </c>
      <c r="BD104" s="145">
        <f t="shared" si="34"/>
        <v>1869.1210809691288</v>
      </c>
      <c r="BE104" s="143">
        <f>COUNTIFS($BD$104:$BD$128,"&gt;="&amp;$J$68)</f>
        <v>18</v>
      </c>
      <c r="BF104" s="145">
        <f t="shared" si="35"/>
        <v>1243.5935335789281</v>
      </c>
      <c r="BG104" s="156">
        <f>COUNTIFS($BF$104:$BF$128,"&gt;="&amp;$F$73)</f>
        <v>18</v>
      </c>
    </row>
    <row r="105" spans="1:59">
      <c r="A105" s="299"/>
      <c r="B105" s="29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20"/>
      <c r="AD105" s="120"/>
      <c r="AE105" s="120"/>
      <c r="AF105" s="120"/>
      <c r="AG105" s="120"/>
      <c r="AH105" s="124"/>
      <c r="AI105" s="139" t="s">
        <v>1383</v>
      </c>
      <c r="AJ105" s="140">
        <v>61.8</v>
      </c>
      <c r="AK105" s="140">
        <v>210</v>
      </c>
      <c r="AL105" s="140">
        <v>5.89</v>
      </c>
      <c r="AM105" s="140">
        <v>3.28</v>
      </c>
      <c r="AN105" s="145">
        <f t="shared" si="22"/>
        <v>1.7957317073170731</v>
      </c>
      <c r="AO105" s="141">
        <f t="shared" si="23"/>
        <v>24.448217317487266</v>
      </c>
      <c r="AP105" s="141">
        <f t="shared" si="24"/>
        <v>51.219512195121958</v>
      </c>
      <c r="AQ105" s="141">
        <f t="shared" si="20"/>
        <v>51.219512195121958</v>
      </c>
      <c r="AR105" s="140">
        <v>3.37</v>
      </c>
      <c r="AS105" s="142">
        <f t="shared" si="25"/>
        <v>10.938268340359652</v>
      </c>
      <c r="AT105" s="155">
        <f t="shared" si="26"/>
        <v>28.784916685156979</v>
      </c>
      <c r="AU105" s="143" t="str">
        <f t="shared" si="27"/>
        <v>COMPACT</v>
      </c>
      <c r="AV105" s="140">
        <v>8.23</v>
      </c>
      <c r="AW105" s="155">
        <f t="shared" si="28"/>
        <v>108.23128673619024</v>
      </c>
      <c r="AX105" s="155">
        <f t="shared" si="29"/>
        <v>164.07402510539478</v>
      </c>
      <c r="AY105" s="143" t="str">
        <f t="shared" si="30"/>
        <v>COMPACT</v>
      </c>
      <c r="AZ105" s="145">
        <f t="shared" si="31"/>
        <v>135.57695758708937</v>
      </c>
      <c r="BA105" s="145">
        <f t="shared" si="32"/>
        <v>109.10053173440022</v>
      </c>
      <c r="BB105" s="145">
        <f t="shared" si="33"/>
        <v>30.602294878708616</v>
      </c>
      <c r="BC105" s="145">
        <f t="shared" si="21"/>
        <v>1891.2218235041923</v>
      </c>
      <c r="BD105" s="145">
        <f t="shared" si="34"/>
        <v>1702.0996411537731</v>
      </c>
      <c r="BE105" s="143">
        <f>COUNTIFS($BD$105:$BD$128,"&gt;="&amp;$J$68)</f>
        <v>17</v>
      </c>
      <c r="BF105" s="145">
        <f t="shared" si="35"/>
        <v>1132.4681577869417</v>
      </c>
      <c r="BG105" s="156">
        <f>COUNTIFS($BF$105:$BF$128,"&gt;="&amp;$F$73)</f>
        <v>17</v>
      </c>
    </row>
    <row r="106" spans="1:59">
      <c r="A106" s="299"/>
      <c r="B106" s="29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  <c r="AC106" s="120"/>
      <c r="AD106" s="120"/>
      <c r="AE106" s="120"/>
      <c r="AF106" s="120"/>
      <c r="AG106" s="120"/>
      <c r="AH106" s="124"/>
      <c r="AI106" s="139" t="s">
        <v>1391</v>
      </c>
      <c r="AJ106" s="140">
        <v>56</v>
      </c>
      <c r="AK106" s="140">
        <v>190</v>
      </c>
      <c r="AL106" s="140">
        <v>5.82</v>
      </c>
      <c r="AM106" s="140">
        <v>3.25</v>
      </c>
      <c r="AN106" s="145">
        <f t="shared" si="22"/>
        <v>1.7907692307692309</v>
      </c>
      <c r="AO106" s="141">
        <f t="shared" si="23"/>
        <v>24.742268041237111</v>
      </c>
      <c r="AP106" s="141">
        <f t="shared" si="24"/>
        <v>51.692307692307693</v>
      </c>
      <c r="AQ106" s="141">
        <f t="shared" si="20"/>
        <v>51.692307692307693</v>
      </c>
      <c r="AR106" s="140">
        <v>3.65</v>
      </c>
      <c r="AS106" s="142">
        <f t="shared" si="25"/>
        <v>10.938268340359652</v>
      </c>
      <c r="AT106" s="155">
        <f t="shared" si="26"/>
        <v>28.784916685156979</v>
      </c>
      <c r="AU106" s="143" t="str">
        <f t="shared" si="27"/>
        <v>COMPACT</v>
      </c>
      <c r="AV106" s="140">
        <v>9.16</v>
      </c>
      <c r="AW106" s="155">
        <f t="shared" si="28"/>
        <v>108.23128673619024</v>
      </c>
      <c r="AX106" s="155">
        <f t="shared" si="29"/>
        <v>164.07402510539478</v>
      </c>
      <c r="AY106" s="143" t="str">
        <f t="shared" si="30"/>
        <v>COMPACT</v>
      </c>
      <c r="AZ106" s="145">
        <f t="shared" si="31"/>
        <v>135.57695758708937</v>
      </c>
      <c r="BA106" s="145">
        <f t="shared" si="32"/>
        <v>107.11391716654916</v>
      </c>
      <c r="BB106" s="145">
        <f t="shared" si="33"/>
        <v>30.526179933679408</v>
      </c>
      <c r="BC106" s="145">
        <f t="shared" si="21"/>
        <v>1709.4660762860469</v>
      </c>
      <c r="BD106" s="145">
        <f t="shared" si="34"/>
        <v>1538.5194686574423</v>
      </c>
      <c r="BE106" s="143">
        <f>COUNTIFS($BD$106:$BD$128,"&gt;="&amp;$J$68)</f>
        <v>16</v>
      </c>
      <c r="BF106" s="145">
        <f t="shared" si="35"/>
        <v>1023.6323810096089</v>
      </c>
      <c r="BG106" s="156">
        <f>COUNTIFS($BF$106:$BF$128,"&gt;="&amp;$F$73)</f>
        <v>16</v>
      </c>
    </row>
    <row r="107" spans="1:59">
      <c r="A107" s="299"/>
      <c r="B107" s="29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  <c r="AC107" s="120"/>
      <c r="AD107" s="120"/>
      <c r="AE107" s="120"/>
      <c r="AF107" s="120"/>
      <c r="AG107" s="120"/>
      <c r="AH107" s="124"/>
      <c r="AI107" s="139" t="s">
        <v>1401</v>
      </c>
      <c r="AJ107" s="140">
        <v>50</v>
      </c>
      <c r="AK107" s="140">
        <v>170</v>
      </c>
      <c r="AL107" s="140">
        <v>5.74</v>
      </c>
      <c r="AM107" s="140">
        <v>3.22</v>
      </c>
      <c r="AN107" s="145">
        <f t="shared" si="22"/>
        <v>1.7826086956521738</v>
      </c>
      <c r="AO107" s="141">
        <f t="shared" si="23"/>
        <v>25.087108013937282</v>
      </c>
      <c r="AP107" s="141">
        <f t="shared" si="24"/>
        <v>52.173913043478258</v>
      </c>
      <c r="AQ107" s="141">
        <f t="shared" si="20"/>
        <v>52.173913043478258</v>
      </c>
      <c r="AR107" s="140">
        <v>4.03</v>
      </c>
      <c r="AS107" s="142">
        <f t="shared" si="25"/>
        <v>10.938268340359652</v>
      </c>
      <c r="AT107" s="155">
        <f t="shared" si="26"/>
        <v>28.784916685156979</v>
      </c>
      <c r="AU107" s="143" t="str">
        <f t="shared" si="27"/>
        <v>COMPACT</v>
      </c>
      <c r="AV107" s="140">
        <v>10.1</v>
      </c>
      <c r="AW107" s="155">
        <f t="shared" si="28"/>
        <v>108.23128673619024</v>
      </c>
      <c r="AX107" s="155">
        <f t="shared" si="29"/>
        <v>164.07402510539478</v>
      </c>
      <c r="AY107" s="143" t="str">
        <f t="shared" si="30"/>
        <v>COMPACT</v>
      </c>
      <c r="AZ107" s="145">
        <f t="shared" si="31"/>
        <v>135.57695758708937</v>
      </c>
      <c r="BA107" s="145">
        <f t="shared" si="32"/>
        <v>105.14555633132767</v>
      </c>
      <c r="BB107" s="145">
        <f t="shared" si="33"/>
        <v>30.448125016523207</v>
      </c>
      <c r="BC107" s="145">
        <f t="shared" si="21"/>
        <v>1522.4062508261604</v>
      </c>
      <c r="BD107" s="145">
        <f t="shared" si="34"/>
        <v>1370.1656257435445</v>
      </c>
      <c r="BE107" s="143">
        <f>COUNTIFS($BD$107:$BD$128,"&gt;="&amp;$J$68)</f>
        <v>15</v>
      </c>
      <c r="BF107" s="145">
        <f t="shared" si="35"/>
        <v>911.62050947674277</v>
      </c>
      <c r="BG107" s="156">
        <f>COUNTIFS($BF$107:$BF$128,"&gt;="&amp;$F$73)</f>
        <v>15</v>
      </c>
    </row>
    <row r="108" spans="1:59">
      <c r="A108" s="299"/>
      <c r="B108" s="29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120"/>
      <c r="AD108" s="120"/>
      <c r="AE108" s="120"/>
      <c r="AF108" s="120"/>
      <c r="AG108" s="120"/>
      <c r="AH108" s="124"/>
      <c r="AI108" s="139" t="s">
        <v>1407</v>
      </c>
      <c r="AJ108" s="140">
        <v>44.7</v>
      </c>
      <c r="AK108" s="140">
        <v>152</v>
      </c>
      <c r="AL108" s="140">
        <v>5.66</v>
      </c>
      <c r="AM108" s="140">
        <v>3.19</v>
      </c>
      <c r="AN108" s="145">
        <f t="shared" si="22"/>
        <v>1.7742946708463951</v>
      </c>
      <c r="AO108" s="141">
        <f t="shared" si="23"/>
        <v>25.441696113074205</v>
      </c>
      <c r="AP108" s="141">
        <f t="shared" si="24"/>
        <v>52.664576802507838</v>
      </c>
      <c r="AQ108" s="141">
        <f t="shared" si="20"/>
        <v>52.664576802507838</v>
      </c>
      <c r="AR108" s="140">
        <v>4.46</v>
      </c>
      <c r="AS108" s="142">
        <f t="shared" si="25"/>
        <v>10.938268340359652</v>
      </c>
      <c r="AT108" s="155">
        <f t="shared" si="26"/>
        <v>28.784916685156979</v>
      </c>
      <c r="AU108" s="143" t="str">
        <f t="shared" si="27"/>
        <v>COMPACT</v>
      </c>
      <c r="AV108" s="140">
        <v>11.2</v>
      </c>
      <c r="AW108" s="155">
        <f t="shared" si="28"/>
        <v>108.23128673619024</v>
      </c>
      <c r="AX108" s="155">
        <f t="shared" si="29"/>
        <v>164.07402510539478</v>
      </c>
      <c r="AY108" s="143" t="str">
        <f t="shared" si="30"/>
        <v>COMPACT</v>
      </c>
      <c r="AZ108" s="145">
        <f t="shared" si="31"/>
        <v>135.57695758708937</v>
      </c>
      <c r="BA108" s="145">
        <f t="shared" si="32"/>
        <v>103.19544922873571</v>
      </c>
      <c r="BB108" s="145">
        <f t="shared" si="33"/>
        <v>30.368065730239866</v>
      </c>
      <c r="BC108" s="145">
        <f t="shared" si="21"/>
        <v>1357.452538141722</v>
      </c>
      <c r="BD108" s="145">
        <f t="shared" si="34"/>
        <v>1221.7072843275498</v>
      </c>
      <c r="BE108" s="143">
        <f>COUNTIFS($BD$108:$BD$128,"&gt;="&amp;$J$68)</f>
        <v>14</v>
      </c>
      <c r="BF108" s="145">
        <f t="shared" si="35"/>
        <v>812.84583122258812</v>
      </c>
      <c r="BG108" s="156">
        <f>COUNTIFS($BF$108:$BF$128,"&gt;="&amp;$F$73)</f>
        <v>14</v>
      </c>
    </row>
    <row r="109" spans="1:59">
      <c r="A109" s="299"/>
      <c r="B109" s="29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  <c r="AC109" s="120"/>
      <c r="AD109" s="120"/>
      <c r="AE109" s="120"/>
      <c r="AF109" s="120"/>
      <c r="AG109" s="120"/>
      <c r="AH109" s="124"/>
      <c r="AI109" s="139" t="s">
        <v>1412</v>
      </c>
      <c r="AJ109" s="140">
        <v>39.9</v>
      </c>
      <c r="AK109" s="140">
        <v>136</v>
      </c>
      <c r="AL109" s="140">
        <v>5.58</v>
      </c>
      <c r="AM109" s="140">
        <v>3.16</v>
      </c>
      <c r="AN109" s="145">
        <f t="shared" si="22"/>
        <v>1.7658227848101264</v>
      </c>
      <c r="AO109" s="141">
        <f t="shared" si="23"/>
        <v>25.806451612903224</v>
      </c>
      <c r="AP109" s="141">
        <f t="shared" si="24"/>
        <v>53.164556962025316</v>
      </c>
      <c r="AQ109" s="141">
        <f t="shared" si="20"/>
        <v>53.164556962025316</v>
      </c>
      <c r="AR109" s="140">
        <v>4.96</v>
      </c>
      <c r="AS109" s="142">
        <f t="shared" si="25"/>
        <v>10.938268340359652</v>
      </c>
      <c r="AT109" s="155">
        <f t="shared" si="26"/>
        <v>28.784916685156979</v>
      </c>
      <c r="AU109" s="143" t="str">
        <f t="shared" si="27"/>
        <v>COMPACT</v>
      </c>
      <c r="AV109" s="140">
        <v>12.3</v>
      </c>
      <c r="AW109" s="155">
        <f t="shared" si="28"/>
        <v>108.23128673619024</v>
      </c>
      <c r="AX109" s="155">
        <f t="shared" si="29"/>
        <v>164.07402510539478</v>
      </c>
      <c r="AY109" s="143" t="str">
        <f t="shared" si="30"/>
        <v>COMPACT</v>
      </c>
      <c r="AZ109" s="145">
        <f t="shared" si="31"/>
        <v>135.57695758708937</v>
      </c>
      <c r="BA109" s="145">
        <f t="shared" si="32"/>
        <v>101.26359585877334</v>
      </c>
      <c r="BB109" s="145">
        <f t="shared" si="33"/>
        <v>30.285935089330344</v>
      </c>
      <c r="BC109" s="145">
        <f t="shared" si="21"/>
        <v>1208.4088100642807</v>
      </c>
      <c r="BD109" s="145">
        <f t="shared" si="34"/>
        <v>1087.5679290578528</v>
      </c>
      <c r="BE109" s="143">
        <f>COUNTIFS($BD$109:$BD$128,"&gt;="&amp;$J$68)</f>
        <v>13</v>
      </c>
      <c r="BF109" s="145">
        <f t="shared" si="35"/>
        <v>723.59808985885081</v>
      </c>
      <c r="BG109" s="156">
        <f>COUNTIFS($BF$109:$BF$128,"&gt;="&amp;$F$73)</f>
        <v>13</v>
      </c>
    </row>
    <row r="110" spans="1:59">
      <c r="A110" s="299"/>
      <c r="B110" s="29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20"/>
      <c r="AD110" s="120"/>
      <c r="AE110" s="120"/>
      <c r="AF110" s="120"/>
      <c r="AG110" s="120"/>
      <c r="AH110" s="124"/>
      <c r="AI110" s="139" t="s">
        <v>1420</v>
      </c>
      <c r="AJ110" s="140">
        <v>35.200000000000003</v>
      </c>
      <c r="AK110" s="140">
        <v>120</v>
      </c>
      <c r="AL110" s="140">
        <v>5.51</v>
      </c>
      <c r="AM110" s="140">
        <v>3.13</v>
      </c>
      <c r="AN110" s="145">
        <f t="shared" si="22"/>
        <v>1.7603833865814695</v>
      </c>
      <c r="AO110" s="141">
        <f t="shared" si="23"/>
        <v>26.134301270417424</v>
      </c>
      <c r="AP110" s="141">
        <f t="shared" si="24"/>
        <v>53.674121405750803</v>
      </c>
      <c r="AQ110" s="141">
        <f t="shared" si="20"/>
        <v>53.674121405750803</v>
      </c>
      <c r="AR110" s="140">
        <v>5.57</v>
      </c>
      <c r="AS110" s="142">
        <f t="shared" si="25"/>
        <v>10.938268340359652</v>
      </c>
      <c r="AT110" s="155">
        <f t="shared" si="26"/>
        <v>28.784916685156979</v>
      </c>
      <c r="AU110" s="143" t="str">
        <f t="shared" si="27"/>
        <v>COMPACT</v>
      </c>
      <c r="AV110" s="140">
        <v>13.7</v>
      </c>
      <c r="AW110" s="155">
        <f t="shared" si="28"/>
        <v>108.23128673619024</v>
      </c>
      <c r="AX110" s="155">
        <f t="shared" si="29"/>
        <v>164.07402510539478</v>
      </c>
      <c r="AY110" s="143" t="str">
        <f t="shared" si="30"/>
        <v>COMPACT</v>
      </c>
      <c r="AZ110" s="145">
        <f t="shared" si="31"/>
        <v>135.57695758708937</v>
      </c>
      <c r="BA110" s="145">
        <f t="shared" si="32"/>
        <v>99.349996221440506</v>
      </c>
      <c r="BB110" s="145">
        <f t="shared" si="33"/>
        <v>30.20166340058633</v>
      </c>
      <c r="BC110" s="145">
        <f t="shared" si="21"/>
        <v>1063.0985517006388</v>
      </c>
      <c r="BD110" s="145">
        <f t="shared" si="34"/>
        <v>956.78869653057495</v>
      </c>
      <c r="BE110" s="143">
        <f>COUNTIFS($BD$110:$BD$128,"&gt;="&amp;$J$68)</f>
        <v>12</v>
      </c>
      <c r="BF110" s="145">
        <f t="shared" si="35"/>
        <v>636.585959102179</v>
      </c>
      <c r="BG110" s="156">
        <f>COUNTIFS($BF$110:$BF$128,"&gt;="&amp;$F$73)</f>
        <v>12</v>
      </c>
    </row>
    <row r="111" spans="1:59">
      <c r="A111" s="299"/>
      <c r="B111" s="29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  <c r="AC111" s="120"/>
      <c r="AD111" s="120"/>
      <c r="AE111" s="120"/>
      <c r="AF111" s="120"/>
      <c r="AG111" s="120"/>
      <c r="AH111" s="124"/>
      <c r="AI111" s="139" t="s">
        <v>1425</v>
      </c>
      <c r="AJ111" s="140">
        <v>31.2</v>
      </c>
      <c r="AK111" s="140">
        <v>106</v>
      </c>
      <c r="AL111" s="140">
        <v>5.47</v>
      </c>
      <c r="AM111" s="140">
        <v>3.11</v>
      </c>
      <c r="AN111" s="145">
        <f t="shared" si="22"/>
        <v>1.7588424437299035</v>
      </c>
      <c r="AO111" s="141">
        <f t="shared" si="23"/>
        <v>26.325411334552104</v>
      </c>
      <c r="AP111" s="141">
        <f t="shared" si="24"/>
        <v>54.019292604501608</v>
      </c>
      <c r="AQ111" s="141">
        <f t="shared" si="20"/>
        <v>54.019292604501608</v>
      </c>
      <c r="AR111" s="140">
        <v>6.17</v>
      </c>
      <c r="AS111" s="142">
        <f t="shared" si="25"/>
        <v>10.938268340359652</v>
      </c>
      <c r="AT111" s="155">
        <f t="shared" si="26"/>
        <v>28.784916685156979</v>
      </c>
      <c r="AU111" s="143" t="str">
        <f t="shared" si="27"/>
        <v>COMPACT</v>
      </c>
      <c r="AV111" s="140">
        <v>15.9</v>
      </c>
      <c r="AW111" s="155">
        <f t="shared" si="28"/>
        <v>108.23128673619024</v>
      </c>
      <c r="AX111" s="155">
        <f t="shared" si="29"/>
        <v>164.07402510539478</v>
      </c>
      <c r="AY111" s="143" t="str">
        <f t="shared" si="30"/>
        <v>COMPACT</v>
      </c>
      <c r="AZ111" s="145">
        <f t="shared" si="31"/>
        <v>135.57695758708937</v>
      </c>
      <c r="BA111" s="145">
        <f t="shared" si="32"/>
        <v>98.084404092457291</v>
      </c>
      <c r="BB111" s="145">
        <f t="shared" si="33"/>
        <v>30.144257108894131</v>
      </c>
      <c r="BC111" s="145">
        <f t="shared" si="21"/>
        <v>940.50082179749688</v>
      </c>
      <c r="BD111" s="145">
        <f t="shared" si="34"/>
        <v>846.45073961774722</v>
      </c>
      <c r="BE111" s="143">
        <f>COUNTIFS($BD$111:$BD$128,"&gt;="&amp;$J$68)</f>
        <v>11</v>
      </c>
      <c r="BF111" s="145">
        <f t="shared" si="35"/>
        <v>563.17414478892033</v>
      </c>
      <c r="BG111" s="156">
        <f>COUNTIFS($BF$111:$BF$128,"&gt;="&amp;$F$73)</f>
        <v>11</v>
      </c>
    </row>
    <row r="112" spans="1:59">
      <c r="A112" s="299"/>
      <c r="B112" s="29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120"/>
      <c r="AD112" s="120"/>
      <c r="AE112" s="120"/>
      <c r="AF112" s="120"/>
      <c r="AG112" s="120"/>
      <c r="AH112" s="124"/>
      <c r="AI112" s="139" t="s">
        <v>1431</v>
      </c>
      <c r="AJ112" s="140">
        <v>28.2</v>
      </c>
      <c r="AK112" s="140">
        <v>96</v>
      </c>
      <c r="AL112" s="140">
        <v>5.44</v>
      </c>
      <c r="AM112" s="140">
        <v>3.09</v>
      </c>
      <c r="AN112" s="145">
        <f t="shared" si="22"/>
        <v>1.760517799352751</v>
      </c>
      <c r="AO112" s="141">
        <f t="shared" si="23"/>
        <v>26.470588235294116</v>
      </c>
      <c r="AP112" s="141">
        <f t="shared" si="24"/>
        <v>54.368932038834956</v>
      </c>
      <c r="AQ112" s="141">
        <f t="shared" si="20"/>
        <v>54.368932038834956</v>
      </c>
      <c r="AR112" s="140">
        <v>6.76</v>
      </c>
      <c r="AS112" s="142">
        <f t="shared" si="25"/>
        <v>10.938268340359652</v>
      </c>
      <c r="AT112" s="155">
        <f t="shared" si="26"/>
        <v>28.784916685156979</v>
      </c>
      <c r="AU112" s="143" t="str">
        <f t="shared" si="27"/>
        <v>COMPACT</v>
      </c>
      <c r="AV112" s="140">
        <v>17.7</v>
      </c>
      <c r="AW112" s="155">
        <f t="shared" si="28"/>
        <v>108.23128673619024</v>
      </c>
      <c r="AX112" s="155">
        <f t="shared" si="29"/>
        <v>164.07402510539478</v>
      </c>
      <c r="AY112" s="143" t="str">
        <f t="shared" si="30"/>
        <v>COMPACT</v>
      </c>
      <c r="AZ112" s="145">
        <f t="shared" si="31"/>
        <v>135.57695758708937</v>
      </c>
      <c r="BA112" s="145">
        <f t="shared" si="32"/>
        <v>96.826924733531641</v>
      </c>
      <c r="BB112" s="145">
        <f t="shared" si="33"/>
        <v>30.08584485203048</v>
      </c>
      <c r="BC112" s="145">
        <f t="shared" si="21"/>
        <v>848.42082482725948</v>
      </c>
      <c r="BD112" s="145">
        <f t="shared" si="34"/>
        <v>763.57874234453357</v>
      </c>
      <c r="BE112" s="143">
        <f>COUNTIFS($BD$112:$BD$128,"&gt;="&amp;$J$68)</f>
        <v>10</v>
      </c>
      <c r="BF112" s="145">
        <f t="shared" si="35"/>
        <v>508.03642205225123</v>
      </c>
      <c r="BG112" s="156">
        <f>COUNTIFS($BF$112:$BF$128,"&gt;="&amp;$F$73)</f>
        <v>10</v>
      </c>
    </row>
    <row r="113" spans="1:59">
      <c r="A113" s="299"/>
      <c r="B113" s="29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20"/>
      <c r="AD113" s="120"/>
      <c r="AE113" s="120"/>
      <c r="AF113" s="120"/>
      <c r="AG113" s="120"/>
      <c r="AH113" s="124"/>
      <c r="AI113" s="139" t="s">
        <v>1438</v>
      </c>
      <c r="AJ113" s="140">
        <v>25.6</v>
      </c>
      <c r="AK113" s="140">
        <v>87</v>
      </c>
      <c r="AL113" s="140">
        <v>5.38</v>
      </c>
      <c r="AM113" s="140">
        <v>3.07</v>
      </c>
      <c r="AN113" s="145">
        <f t="shared" si="22"/>
        <v>1.7524429967426711</v>
      </c>
      <c r="AO113" s="141">
        <f t="shared" si="23"/>
        <v>26.765799256505577</v>
      </c>
      <c r="AP113" s="141">
        <f t="shared" si="24"/>
        <v>54.723127035830622</v>
      </c>
      <c r="AQ113" s="141">
        <f t="shared" si="20"/>
        <v>54.723127035830622</v>
      </c>
      <c r="AR113" s="140">
        <v>7.48</v>
      </c>
      <c r="AS113" s="142">
        <f t="shared" si="25"/>
        <v>10.938268340359652</v>
      </c>
      <c r="AT113" s="155">
        <f t="shared" si="26"/>
        <v>28.784916685156979</v>
      </c>
      <c r="AU113" s="143" t="str">
        <f t="shared" si="27"/>
        <v>COMPACT</v>
      </c>
      <c r="AV113" s="140">
        <v>18.899999999999999</v>
      </c>
      <c r="AW113" s="155">
        <f t="shared" si="28"/>
        <v>108.23128673619024</v>
      </c>
      <c r="AX113" s="155">
        <f t="shared" si="29"/>
        <v>164.07402510539478</v>
      </c>
      <c r="AY113" s="143" t="str">
        <f t="shared" si="30"/>
        <v>COMPACT</v>
      </c>
      <c r="AZ113" s="145">
        <f t="shared" si="31"/>
        <v>135.57695758708937</v>
      </c>
      <c r="BA113" s="145">
        <f t="shared" si="32"/>
        <v>95.577558144663584</v>
      </c>
      <c r="BB113" s="145">
        <f t="shared" si="33"/>
        <v>30.026403811046187</v>
      </c>
      <c r="BC113" s="145">
        <f t="shared" si="21"/>
        <v>768.67593756278245</v>
      </c>
      <c r="BD113" s="145">
        <f t="shared" si="34"/>
        <v>691.80834380650424</v>
      </c>
      <c r="BE113" s="143">
        <f>COUNTIFS($BD$113:$BD$128,"&gt;="&amp;$J$68)</f>
        <v>9</v>
      </c>
      <c r="BF113" s="145">
        <f t="shared" si="35"/>
        <v>460.28499255256435</v>
      </c>
      <c r="BG113" s="156">
        <f>COUNTIFS($BF$113:$BF$128,"&gt;="&amp;$F$73)</f>
        <v>9</v>
      </c>
    </row>
    <row r="114" spans="1:59">
      <c r="A114" s="299"/>
      <c r="B114" s="29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20"/>
      <c r="AD114" s="120"/>
      <c r="AE114" s="120"/>
      <c r="AF114" s="120"/>
      <c r="AG114" s="120"/>
      <c r="AH114" s="124"/>
      <c r="AI114" s="139" t="s">
        <v>1444</v>
      </c>
      <c r="AJ114" s="140">
        <v>23.2</v>
      </c>
      <c r="AK114" s="140">
        <v>79</v>
      </c>
      <c r="AL114" s="140">
        <v>5.34</v>
      </c>
      <c r="AM114" s="140">
        <v>3.05</v>
      </c>
      <c r="AN114" s="145">
        <f t="shared" si="22"/>
        <v>1.7508196721311475</v>
      </c>
      <c r="AO114" s="141">
        <f t="shared" si="23"/>
        <v>26.966292134831463</v>
      </c>
      <c r="AP114" s="141">
        <f t="shared" si="24"/>
        <v>55.081967213114758</v>
      </c>
      <c r="AQ114" s="141">
        <f t="shared" si="20"/>
        <v>55.081967213114758</v>
      </c>
      <c r="AR114" s="140">
        <v>8.2200000000000006</v>
      </c>
      <c r="AS114" s="142">
        <f t="shared" si="25"/>
        <v>10.938268340359652</v>
      </c>
      <c r="AT114" s="155">
        <f t="shared" si="26"/>
        <v>28.784916685156979</v>
      </c>
      <c r="AU114" s="143" t="str">
        <f t="shared" si="27"/>
        <v>COMPACT</v>
      </c>
      <c r="AV114" s="140">
        <v>20.7</v>
      </c>
      <c r="AW114" s="155">
        <f t="shared" si="28"/>
        <v>108.23128673619024</v>
      </c>
      <c r="AX114" s="155">
        <f t="shared" si="29"/>
        <v>164.07402510539478</v>
      </c>
      <c r="AY114" s="143" t="str">
        <f t="shared" si="30"/>
        <v>COMPACT</v>
      </c>
      <c r="AZ114" s="145">
        <f t="shared" si="31"/>
        <v>135.57695758708937</v>
      </c>
      <c r="BA114" s="145">
        <f t="shared" si="32"/>
        <v>94.336304325853106</v>
      </c>
      <c r="BB114" s="145">
        <f t="shared" si="33"/>
        <v>29.965910544959925</v>
      </c>
      <c r="BC114" s="145">
        <f t="shared" si="21"/>
        <v>695.20912464307025</v>
      </c>
      <c r="BD114" s="145">
        <f t="shared" si="34"/>
        <v>625.68821217876325</v>
      </c>
      <c r="BE114" s="143">
        <f>COUNTIFS($BD$114:$BD$128,"&gt;="&amp;$J$68)</f>
        <v>8</v>
      </c>
      <c r="BF114" s="145">
        <f t="shared" si="35"/>
        <v>416.29288900782655</v>
      </c>
      <c r="BG114" s="156">
        <f>COUNTIFS($BF$114:$BF$128,"&gt;="&amp;$F$73)</f>
        <v>8</v>
      </c>
    </row>
    <row r="115" spans="1:59">
      <c r="A115" s="299"/>
      <c r="B115" s="29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20"/>
      <c r="AD115" s="120"/>
      <c r="AE115" s="120"/>
      <c r="AF115" s="120"/>
      <c r="AG115" s="120"/>
      <c r="AH115" s="124"/>
      <c r="AI115" s="139" t="s">
        <v>1448</v>
      </c>
      <c r="AJ115" s="140">
        <v>21.1</v>
      </c>
      <c r="AK115" s="140">
        <v>72</v>
      </c>
      <c r="AL115" s="140">
        <v>5.31</v>
      </c>
      <c r="AM115" s="140">
        <v>3.04</v>
      </c>
      <c r="AN115" s="145">
        <f t="shared" si="22"/>
        <v>1.7467105263157894</v>
      </c>
      <c r="AO115" s="141">
        <f t="shared" si="23"/>
        <v>27.118644067796613</v>
      </c>
      <c r="AP115" s="141">
        <f t="shared" si="24"/>
        <v>55.263157894736842</v>
      </c>
      <c r="AQ115" s="141">
        <f t="shared" si="20"/>
        <v>55.263157894736842</v>
      </c>
      <c r="AR115" s="140">
        <v>8.99</v>
      </c>
      <c r="AS115" s="142">
        <f t="shared" si="25"/>
        <v>10.938268340359652</v>
      </c>
      <c r="AT115" s="155">
        <f t="shared" si="26"/>
        <v>28.784916685156979</v>
      </c>
      <c r="AU115" s="143" t="str">
        <f t="shared" si="27"/>
        <v>COMPACT</v>
      </c>
      <c r="AV115" s="140">
        <v>22.6</v>
      </c>
      <c r="AW115" s="155">
        <f t="shared" si="28"/>
        <v>108.23128673619024</v>
      </c>
      <c r="AX115" s="155">
        <f t="shared" si="29"/>
        <v>164.07402510539478</v>
      </c>
      <c r="AY115" s="143" t="str">
        <f t="shared" si="30"/>
        <v>COMPACT</v>
      </c>
      <c r="AZ115" s="145">
        <f t="shared" si="31"/>
        <v>135.57695758708937</v>
      </c>
      <c r="BA115" s="145">
        <f t="shared" si="32"/>
        <v>93.718719705219485</v>
      </c>
      <c r="BB115" s="145">
        <f t="shared" si="33"/>
        <v>29.9352618273935</v>
      </c>
      <c r="BC115" s="145">
        <f t="shared" si="21"/>
        <v>631.63402455800292</v>
      </c>
      <c r="BD115" s="145">
        <f t="shared" si="34"/>
        <v>568.4706221022027</v>
      </c>
      <c r="BE115" s="143">
        <f>COUNTIFS($BD$115:$BD$128,"&gt;="&amp;$J$68)</f>
        <v>7</v>
      </c>
      <c r="BF115" s="145">
        <f t="shared" si="35"/>
        <v>378.22396680119937</v>
      </c>
      <c r="BG115" s="156">
        <f>COUNTIFS($BF$115:$BF$128,"&gt;="&amp;$F$73)</f>
        <v>7</v>
      </c>
    </row>
    <row r="116" spans="1:59">
      <c r="A116" s="299"/>
      <c r="B116" s="29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120"/>
      <c r="AD116" s="120"/>
      <c r="AE116" s="120"/>
      <c r="AF116" s="120"/>
      <c r="AG116" s="120"/>
      <c r="AH116" s="124"/>
      <c r="AI116" s="139" t="s">
        <v>1522</v>
      </c>
      <c r="AJ116" s="140">
        <v>19.100000000000001</v>
      </c>
      <c r="AK116" s="140">
        <v>65</v>
      </c>
      <c r="AL116" s="140">
        <v>5.28</v>
      </c>
      <c r="AM116" s="140">
        <v>3.02</v>
      </c>
      <c r="AN116" s="145">
        <f t="shared" si="22"/>
        <v>1.7483443708609272</v>
      </c>
      <c r="AO116" s="141">
        <f t="shared" si="23"/>
        <v>27.27272727272727</v>
      </c>
      <c r="AP116" s="141">
        <f t="shared" si="24"/>
        <v>55.629139072847678</v>
      </c>
      <c r="AQ116" s="141">
        <f t="shared" si="20"/>
        <v>55.629139072847678</v>
      </c>
      <c r="AR116" s="140">
        <v>9.92</v>
      </c>
      <c r="AS116" s="142">
        <f t="shared" si="25"/>
        <v>10.938268340359652</v>
      </c>
      <c r="AT116" s="155">
        <f t="shared" si="26"/>
        <v>28.784916685156979</v>
      </c>
      <c r="AU116" s="143" t="str">
        <f t="shared" si="27"/>
        <v>COMPACT</v>
      </c>
      <c r="AV116" s="140">
        <v>24.9</v>
      </c>
      <c r="AW116" s="155">
        <f t="shared" si="28"/>
        <v>108.23128673619024</v>
      </c>
      <c r="AX116" s="155">
        <f t="shared" si="29"/>
        <v>164.07402510539478</v>
      </c>
      <c r="AY116" s="143" t="str">
        <f t="shared" si="30"/>
        <v>COMPACT</v>
      </c>
      <c r="AZ116" s="145">
        <f t="shared" si="31"/>
        <v>135.57695758708937</v>
      </c>
      <c r="BA116" s="145">
        <f t="shared" si="32"/>
        <v>92.48963504149539</v>
      </c>
      <c r="BB116" s="145">
        <f t="shared" si="33"/>
        <v>29.873144863670952</v>
      </c>
      <c r="BC116" s="145">
        <f t="shared" si="21"/>
        <v>570.57706689611518</v>
      </c>
      <c r="BD116" s="145">
        <f t="shared" si="34"/>
        <v>513.51936020650373</v>
      </c>
      <c r="BE116" s="143">
        <f>COUNTIFS($BD$116:$BD$128,"&gt;="&amp;$J$68)</f>
        <v>6</v>
      </c>
      <c r="BF116" s="145">
        <f t="shared" si="35"/>
        <v>341.66291430905102</v>
      </c>
      <c r="BG116" s="156">
        <f>COUNTIFS($BF$116:$BF$128,"&gt;="&amp;$F$73)</f>
        <v>6</v>
      </c>
    </row>
    <row r="117" spans="1:59">
      <c r="A117" s="299"/>
      <c r="B117" s="29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120"/>
      <c r="AD117" s="120"/>
      <c r="AE117" s="120"/>
      <c r="AF117" s="120"/>
      <c r="AG117" s="120"/>
      <c r="AH117" s="124"/>
      <c r="AI117" s="139" t="s">
        <v>1458</v>
      </c>
      <c r="AJ117" s="140">
        <v>17</v>
      </c>
      <c r="AK117" s="140">
        <v>58</v>
      </c>
      <c r="AL117" s="140">
        <v>5.28</v>
      </c>
      <c r="AM117" s="140">
        <v>2.5099999999999998</v>
      </c>
      <c r="AN117" s="145">
        <f t="shared" si="22"/>
        <v>2.1035856573705183</v>
      </c>
      <c r="AO117" s="141">
        <f t="shared" si="23"/>
        <v>27.27272727272727</v>
      </c>
      <c r="AP117" s="141">
        <f t="shared" si="24"/>
        <v>66.932270916334673</v>
      </c>
      <c r="AQ117" s="141">
        <f t="shared" si="20"/>
        <v>66.932270916334673</v>
      </c>
      <c r="AR117" s="140">
        <v>7.82</v>
      </c>
      <c r="AS117" s="142">
        <f t="shared" si="25"/>
        <v>10.938268340359652</v>
      </c>
      <c r="AT117" s="155">
        <f t="shared" si="26"/>
        <v>28.784916685156979</v>
      </c>
      <c r="AU117" s="143" t="str">
        <f t="shared" si="27"/>
        <v>COMPACT</v>
      </c>
      <c r="AV117" s="140">
        <v>27</v>
      </c>
      <c r="AW117" s="155">
        <f t="shared" si="28"/>
        <v>108.23128673619024</v>
      </c>
      <c r="AX117" s="155">
        <f t="shared" si="29"/>
        <v>164.07402510539478</v>
      </c>
      <c r="AY117" s="143" t="str">
        <f t="shared" si="30"/>
        <v>COMPACT</v>
      </c>
      <c r="AZ117" s="145">
        <f t="shared" si="31"/>
        <v>135.57695758708937</v>
      </c>
      <c r="BA117" s="145">
        <f t="shared" si="32"/>
        <v>63.889078299737385</v>
      </c>
      <c r="BB117" s="145">
        <f t="shared" si="33"/>
        <v>27.828368279783408</v>
      </c>
      <c r="BC117" s="145">
        <f t="shared" si="21"/>
        <v>473.08226075631796</v>
      </c>
      <c r="BD117" s="145">
        <f t="shared" si="34"/>
        <v>425.77403468068616</v>
      </c>
      <c r="BE117" s="143">
        <f>COUNTIFS($BD$117:$BD$128,"&gt;="&amp;$J$68)</f>
        <v>5</v>
      </c>
      <c r="BF117" s="145">
        <f t="shared" si="35"/>
        <v>283.28279087204669</v>
      </c>
      <c r="BG117" s="156">
        <f>COUNTIFS($BF$117:$BF$128,"&gt;="&amp;$F$73)</f>
        <v>5</v>
      </c>
    </row>
    <row r="118" spans="1:59">
      <c r="A118" s="299"/>
      <c r="B118" s="29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  <c r="AC118" s="120"/>
      <c r="AD118" s="120"/>
      <c r="AE118" s="120"/>
      <c r="AF118" s="120"/>
      <c r="AG118" s="120"/>
      <c r="AH118" s="124"/>
      <c r="AI118" s="139" t="s">
        <v>1463</v>
      </c>
      <c r="AJ118" s="140">
        <v>15.6</v>
      </c>
      <c r="AK118" s="140">
        <v>53</v>
      </c>
      <c r="AL118" s="140">
        <v>5.23</v>
      </c>
      <c r="AM118" s="140">
        <v>2.48</v>
      </c>
      <c r="AN118" s="145">
        <f t="shared" si="22"/>
        <v>2.1088709677419355</v>
      </c>
      <c r="AO118" s="141">
        <f t="shared" si="23"/>
        <v>27.53346080305927</v>
      </c>
      <c r="AP118" s="141">
        <f t="shared" si="24"/>
        <v>67.741935483870975</v>
      </c>
      <c r="AQ118" s="141">
        <f t="shared" si="20"/>
        <v>67.741935483870975</v>
      </c>
      <c r="AR118" s="140">
        <v>8.69</v>
      </c>
      <c r="AS118" s="142">
        <f t="shared" si="25"/>
        <v>10.938268340359652</v>
      </c>
      <c r="AT118" s="155">
        <f t="shared" si="26"/>
        <v>28.784916685156979</v>
      </c>
      <c r="AU118" s="143" t="str">
        <f t="shared" si="27"/>
        <v>COMPACT</v>
      </c>
      <c r="AV118" s="140">
        <v>28.1</v>
      </c>
      <c r="AW118" s="155">
        <f t="shared" si="28"/>
        <v>108.23128673619024</v>
      </c>
      <c r="AX118" s="155">
        <f t="shared" si="29"/>
        <v>164.07402510539478</v>
      </c>
      <c r="AY118" s="143" t="str">
        <f t="shared" si="30"/>
        <v>COMPACT</v>
      </c>
      <c r="AZ118" s="145">
        <f t="shared" si="31"/>
        <v>135.57695758708937</v>
      </c>
      <c r="BA118" s="145">
        <f t="shared" si="32"/>
        <v>62.370976202711844</v>
      </c>
      <c r="BB118" s="145">
        <f t="shared" si="33"/>
        <v>27.67349232857811</v>
      </c>
      <c r="BC118" s="145">
        <f t="shared" si="21"/>
        <v>431.70648032581852</v>
      </c>
      <c r="BD118" s="145">
        <f t="shared" si="34"/>
        <v>388.53583229323669</v>
      </c>
      <c r="BE118" s="143">
        <f>COUNTIFS($BD$118:$BD$128,"&gt;="&amp;$J$68)</f>
        <v>4</v>
      </c>
      <c r="BF118" s="145">
        <f t="shared" si="35"/>
        <v>258.50687444659792</v>
      </c>
      <c r="BG118" s="156">
        <f>COUNTIFS($BF$118:$BF$128,"&gt;="&amp;$F$73)</f>
        <v>4</v>
      </c>
    </row>
    <row r="119" spans="1:59">
      <c r="A119" s="299"/>
      <c r="B119" s="29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  <c r="AC119" s="120"/>
      <c r="AD119" s="120"/>
      <c r="AE119" s="120"/>
      <c r="AF119" s="120"/>
      <c r="AG119" s="120"/>
      <c r="AH119" s="124"/>
      <c r="AI119" s="139" t="s">
        <v>1466</v>
      </c>
      <c r="AJ119" s="140">
        <v>14.6</v>
      </c>
      <c r="AK119" s="140">
        <v>50</v>
      </c>
      <c r="AL119" s="140">
        <v>5.18</v>
      </c>
      <c r="AM119" s="140">
        <v>1.96</v>
      </c>
      <c r="AN119" s="145">
        <f t="shared" si="22"/>
        <v>2.6428571428571428</v>
      </c>
      <c r="AO119" s="141">
        <f t="shared" si="23"/>
        <v>27.799227799227801</v>
      </c>
      <c r="AP119" s="141">
        <f t="shared" si="24"/>
        <v>85.714285714285722</v>
      </c>
      <c r="AQ119" s="141">
        <f t="shared" si="20"/>
        <v>85.714285714285722</v>
      </c>
      <c r="AR119" s="140">
        <v>6.31</v>
      </c>
      <c r="AS119" s="142">
        <f t="shared" si="25"/>
        <v>10.938268340359652</v>
      </c>
      <c r="AT119" s="155">
        <f t="shared" si="26"/>
        <v>28.784916685156979</v>
      </c>
      <c r="AU119" s="143" t="str">
        <f t="shared" si="27"/>
        <v>COMPACT</v>
      </c>
      <c r="AV119" s="140">
        <v>26.8</v>
      </c>
      <c r="AW119" s="155">
        <f t="shared" si="28"/>
        <v>108.23128673619024</v>
      </c>
      <c r="AX119" s="155">
        <f t="shared" si="29"/>
        <v>164.07402510539478</v>
      </c>
      <c r="AY119" s="143" t="str">
        <f t="shared" si="30"/>
        <v>COMPACT</v>
      </c>
      <c r="AZ119" s="145">
        <f t="shared" si="31"/>
        <v>135.57695758708937</v>
      </c>
      <c r="BA119" s="145">
        <f t="shared" si="32"/>
        <v>38.957521816522153</v>
      </c>
      <c r="BB119" s="145">
        <f t="shared" si="33"/>
        <v>24.030320492985055</v>
      </c>
      <c r="BC119" s="145">
        <f t="shared" si="21"/>
        <v>350.84267919758179</v>
      </c>
      <c r="BD119" s="145">
        <f t="shared" si="34"/>
        <v>315.7584112778236</v>
      </c>
      <c r="BE119" s="143">
        <f>COUNTIFS($BD$119:$BD$128,"&gt;="&amp;$J$68)</f>
        <v>3</v>
      </c>
      <c r="BF119" s="145">
        <f t="shared" si="35"/>
        <v>210.08543664525857</v>
      </c>
      <c r="BG119" s="156">
        <f>COUNTIFS($BF$119:$BF$128,"&gt;="&amp;$F$73)</f>
        <v>3</v>
      </c>
    </row>
    <row r="120" spans="1:59">
      <c r="A120" s="299"/>
      <c r="B120" s="29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  <c r="AC120" s="120"/>
      <c r="AD120" s="120"/>
      <c r="AE120" s="120"/>
      <c r="AF120" s="120"/>
      <c r="AG120" s="120"/>
      <c r="AH120" s="124"/>
      <c r="AI120" s="139" t="s">
        <v>1471</v>
      </c>
      <c r="AJ120" s="140">
        <v>13.1</v>
      </c>
      <c r="AK120" s="140">
        <v>45</v>
      </c>
      <c r="AL120" s="140">
        <v>5.15</v>
      </c>
      <c r="AM120" s="140">
        <v>1.95</v>
      </c>
      <c r="AN120" s="145">
        <f t="shared" si="22"/>
        <v>2.6410256410256414</v>
      </c>
      <c r="AO120" s="141">
        <f t="shared" si="23"/>
        <v>27.961165048543688</v>
      </c>
      <c r="AP120" s="141">
        <f t="shared" si="24"/>
        <v>86.15384615384616</v>
      </c>
      <c r="AQ120" s="141">
        <f t="shared" si="20"/>
        <v>86.15384615384616</v>
      </c>
      <c r="AR120" s="140">
        <v>7</v>
      </c>
      <c r="AS120" s="142">
        <f t="shared" si="25"/>
        <v>10.938268340359652</v>
      </c>
      <c r="AT120" s="155">
        <f t="shared" si="26"/>
        <v>28.784916685156979</v>
      </c>
      <c r="AU120" s="143" t="str">
        <f t="shared" si="27"/>
        <v>COMPACT</v>
      </c>
      <c r="AV120" s="140">
        <v>29.6</v>
      </c>
      <c r="AW120" s="155">
        <f t="shared" si="28"/>
        <v>108.23128673619024</v>
      </c>
      <c r="AX120" s="155">
        <f t="shared" si="29"/>
        <v>164.07402510539478</v>
      </c>
      <c r="AY120" s="143" t="str">
        <f t="shared" si="30"/>
        <v>COMPACT</v>
      </c>
      <c r="AZ120" s="145">
        <f t="shared" si="31"/>
        <v>135.57695758708937</v>
      </c>
      <c r="BA120" s="145">
        <f t="shared" si="32"/>
        <v>38.561010179957698</v>
      </c>
      <c r="BB120" s="145">
        <f t="shared" si="33"/>
        <v>23.93758367924644</v>
      </c>
      <c r="BC120" s="145">
        <f t="shared" si="21"/>
        <v>313.58234619812833</v>
      </c>
      <c r="BD120" s="145">
        <f t="shared" si="34"/>
        <v>282.2241115783155</v>
      </c>
      <c r="BE120" s="143">
        <f>COUNTIFS($BD$120:$BD$128,"&gt;="&amp;$J$68)</f>
        <v>2</v>
      </c>
      <c r="BF120" s="145">
        <f t="shared" si="35"/>
        <v>187.77385999887926</v>
      </c>
      <c r="BG120" s="156">
        <f>COUNTIFS($BF$120:$BF$128,"&gt;="&amp;$F$73)</f>
        <v>2</v>
      </c>
    </row>
    <row r="121" spans="1:59">
      <c r="A121" s="299"/>
      <c r="B121" s="29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  <c r="AC121" s="120"/>
      <c r="AD121" s="120"/>
      <c r="AE121" s="120"/>
      <c r="AF121" s="120"/>
      <c r="AG121" s="120"/>
      <c r="AH121" s="124"/>
      <c r="AI121" s="139" t="s">
        <v>1476</v>
      </c>
      <c r="AJ121" s="140">
        <v>11.7</v>
      </c>
      <c r="AK121" s="140">
        <v>40</v>
      </c>
      <c r="AL121" s="140">
        <v>5.13</v>
      </c>
      <c r="AM121" s="140">
        <v>1.94</v>
      </c>
      <c r="AN121" s="145">
        <f t="shared" si="22"/>
        <v>2.6443298969072164</v>
      </c>
      <c r="AO121" s="141">
        <f t="shared" si="23"/>
        <v>28.070175438596493</v>
      </c>
      <c r="AP121" s="141">
        <f t="shared" si="24"/>
        <v>86.597938144329902</v>
      </c>
      <c r="AQ121" s="141">
        <f t="shared" si="20"/>
        <v>86.597938144329902</v>
      </c>
      <c r="AR121" s="140">
        <v>7.77</v>
      </c>
      <c r="AS121" s="142">
        <f t="shared" si="25"/>
        <v>10.938268340359652</v>
      </c>
      <c r="AT121" s="155">
        <f t="shared" si="26"/>
        <v>28.784916685156979</v>
      </c>
      <c r="AU121" s="143" t="str">
        <f t="shared" si="27"/>
        <v>COMPACT</v>
      </c>
      <c r="AV121" s="140">
        <v>33.6</v>
      </c>
      <c r="AW121" s="155">
        <f t="shared" si="28"/>
        <v>108.23128673619024</v>
      </c>
      <c r="AX121" s="155">
        <f t="shared" si="29"/>
        <v>164.07402510539478</v>
      </c>
      <c r="AY121" s="143" t="str">
        <f t="shared" si="30"/>
        <v>COMPACT</v>
      </c>
      <c r="AZ121" s="145">
        <f t="shared" si="31"/>
        <v>135.57695758708937</v>
      </c>
      <c r="BA121" s="145">
        <f t="shared" si="32"/>
        <v>38.166526735907638</v>
      </c>
      <c r="BB121" s="145">
        <f t="shared" si="33"/>
        <v>23.84377534276566</v>
      </c>
      <c r="BC121" s="145">
        <f t="shared" si="21"/>
        <v>278.97217151035818</v>
      </c>
      <c r="BD121" s="145">
        <f t="shared" si="34"/>
        <v>251.07495435932236</v>
      </c>
      <c r="BE121" s="143">
        <f>COUNTIFS($BD$121:$BD$128,"&gt;="&amp;$J$68)</f>
        <v>1</v>
      </c>
      <c r="BF121" s="145">
        <f t="shared" si="35"/>
        <v>167.04920449722047</v>
      </c>
      <c r="BG121" s="156">
        <f>COUNTIFS($BF$121:$BF$128,"&gt;="&amp;$F$73)</f>
        <v>1</v>
      </c>
    </row>
    <row r="122" spans="1:59">
      <c r="A122" s="299"/>
      <c r="B122" s="29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20"/>
      <c r="AD122" s="120"/>
      <c r="AE122" s="120"/>
      <c r="AF122" s="120"/>
      <c r="AG122" s="120"/>
      <c r="AH122" s="124"/>
      <c r="AI122" s="139" t="s">
        <v>1480</v>
      </c>
      <c r="AJ122" s="140">
        <v>10.3</v>
      </c>
      <c r="AK122" s="140">
        <v>35</v>
      </c>
      <c r="AL122" s="140">
        <v>5.25</v>
      </c>
      <c r="AM122" s="140">
        <v>1.54</v>
      </c>
      <c r="AN122" s="145">
        <f t="shared" si="22"/>
        <v>3.4090909090909092</v>
      </c>
      <c r="AO122" s="141">
        <f t="shared" si="23"/>
        <v>27.428571428571427</v>
      </c>
      <c r="AP122" s="141">
        <f t="shared" si="24"/>
        <v>109.09090909090909</v>
      </c>
      <c r="AQ122" s="141">
        <f t="shared" si="20"/>
        <v>109.09090909090909</v>
      </c>
      <c r="AR122" s="140">
        <v>6.31</v>
      </c>
      <c r="AS122" s="142">
        <f t="shared" si="25"/>
        <v>10.938268340359652</v>
      </c>
      <c r="AT122" s="155">
        <f t="shared" si="26"/>
        <v>28.784916685156979</v>
      </c>
      <c r="AU122" s="143" t="str">
        <f t="shared" si="27"/>
        <v>COMPACT</v>
      </c>
      <c r="AV122" s="140">
        <v>36.200000000000003</v>
      </c>
      <c r="AW122" s="155">
        <f t="shared" si="28"/>
        <v>108.23128673619024</v>
      </c>
      <c r="AX122" s="155">
        <f t="shared" si="29"/>
        <v>164.07402510539478</v>
      </c>
      <c r="AY122" s="143" t="str">
        <f t="shared" si="30"/>
        <v>COMPACT</v>
      </c>
      <c r="AZ122" s="145">
        <f t="shared" si="31"/>
        <v>135.57695758708937</v>
      </c>
      <c r="BA122" s="145">
        <f t="shared" si="32"/>
        <v>24.050306835710106</v>
      </c>
      <c r="BB122" s="145">
        <f t="shared" si="33"/>
        <v>19.034229340889677</v>
      </c>
      <c r="BC122" s="145">
        <f t="shared" si="21"/>
        <v>196.05256221116369</v>
      </c>
      <c r="BD122" s="145">
        <f t="shared" si="34"/>
        <v>176.44730599004731</v>
      </c>
      <c r="BE122" s="143">
        <f>COUNTIFS($BD$122:$BD$128,"&gt;="&amp;$J$68)</f>
        <v>0</v>
      </c>
      <c r="BF122" s="145">
        <f t="shared" si="35"/>
        <v>117.39674383902017</v>
      </c>
      <c r="BG122" s="156">
        <f>COUNTIFS($BF$122:$BF$128,"&gt;="&amp;$F$73)</f>
        <v>0</v>
      </c>
    </row>
    <row r="123" spans="1:59">
      <c r="A123" s="299"/>
      <c r="B123" s="29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20"/>
      <c r="AD123" s="120"/>
      <c r="AE123" s="120"/>
      <c r="AF123" s="120"/>
      <c r="AG123" s="120"/>
      <c r="AH123" s="124"/>
      <c r="AI123" s="139" t="s">
        <v>1485</v>
      </c>
      <c r="AJ123" s="140">
        <v>8.7899999999999991</v>
      </c>
      <c r="AK123" s="140">
        <v>30</v>
      </c>
      <c r="AL123" s="140">
        <v>5.21</v>
      </c>
      <c r="AM123" s="140">
        <v>1.52</v>
      </c>
      <c r="AN123" s="145">
        <f t="shared" si="22"/>
        <v>3.4276315789473681</v>
      </c>
      <c r="AO123" s="141">
        <f t="shared" si="23"/>
        <v>27.63915547024952</v>
      </c>
      <c r="AP123" s="141">
        <f t="shared" si="24"/>
        <v>110.52631578947368</v>
      </c>
      <c r="AQ123" s="141">
        <f t="shared" si="20"/>
        <v>110.52631578947368</v>
      </c>
      <c r="AR123" s="140">
        <v>7.41</v>
      </c>
      <c r="AS123" s="142">
        <f t="shared" si="25"/>
        <v>10.938268340359652</v>
      </c>
      <c r="AT123" s="155">
        <f t="shared" si="26"/>
        <v>28.784916685156979</v>
      </c>
      <c r="AU123" s="143" t="str">
        <f t="shared" si="27"/>
        <v>COMPACT</v>
      </c>
      <c r="AV123" s="140">
        <v>41.8</v>
      </c>
      <c r="AW123" s="155">
        <f t="shared" si="28"/>
        <v>108.23128673619024</v>
      </c>
      <c r="AX123" s="155">
        <f t="shared" si="29"/>
        <v>164.07402510539478</v>
      </c>
      <c r="AY123" s="143" t="str">
        <f t="shared" si="30"/>
        <v>COMPACT</v>
      </c>
      <c r="AZ123" s="145">
        <f t="shared" si="31"/>
        <v>135.57695758708937</v>
      </c>
      <c r="BA123" s="145">
        <f t="shared" si="32"/>
        <v>23.429679926304871</v>
      </c>
      <c r="BB123" s="145">
        <f t="shared" si="33"/>
        <v>18.7295831226836</v>
      </c>
      <c r="BC123" s="145">
        <f t="shared" si="21"/>
        <v>164.63303564838884</v>
      </c>
      <c r="BD123" s="145">
        <f t="shared" si="34"/>
        <v>148.16973208354997</v>
      </c>
      <c r="BE123" s="143">
        <f>COUNTIFS($BD$123:$BD$128,"&gt;="&amp;$J$68)</f>
        <v>0</v>
      </c>
      <c r="BF123" s="145">
        <f t="shared" si="35"/>
        <v>98.582656076879545</v>
      </c>
      <c r="BG123" s="156">
        <f>COUNTIFS($BF$123:$BF$128,"&gt;="&amp;$F$73)</f>
        <v>0</v>
      </c>
    </row>
    <row r="124" spans="1:59">
      <c r="A124" s="299"/>
      <c r="B124" s="29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  <c r="AC124" s="120"/>
      <c r="AD124" s="120"/>
      <c r="AE124" s="120"/>
      <c r="AF124" s="120"/>
      <c r="AG124" s="120"/>
      <c r="AH124" s="124"/>
      <c r="AI124" s="139" t="s">
        <v>1489</v>
      </c>
      <c r="AJ124" s="140">
        <v>7.65</v>
      </c>
      <c r="AK124" s="140">
        <v>26</v>
      </c>
      <c r="AL124" s="140">
        <v>5.17</v>
      </c>
      <c r="AM124" s="140">
        <v>1.51</v>
      </c>
      <c r="AN124" s="145">
        <f t="shared" si="22"/>
        <v>3.423841059602649</v>
      </c>
      <c r="AO124" s="141">
        <f t="shared" si="23"/>
        <v>27.852998065764023</v>
      </c>
      <c r="AP124" s="141">
        <f t="shared" si="24"/>
        <v>111.25827814569536</v>
      </c>
      <c r="AQ124" s="141">
        <f t="shared" si="20"/>
        <v>111.25827814569536</v>
      </c>
      <c r="AR124" s="140">
        <v>8.5399999999999991</v>
      </c>
      <c r="AS124" s="142">
        <f t="shared" si="25"/>
        <v>10.938268340359652</v>
      </c>
      <c r="AT124" s="155">
        <f t="shared" si="26"/>
        <v>28.784916685156979</v>
      </c>
      <c r="AU124" s="143" t="str">
        <f t="shared" si="27"/>
        <v>COMPACT</v>
      </c>
      <c r="AV124" s="140">
        <v>47.2</v>
      </c>
      <c r="AW124" s="155">
        <f t="shared" si="28"/>
        <v>108.23128673619024</v>
      </c>
      <c r="AX124" s="155">
        <f t="shared" si="29"/>
        <v>164.07402510539478</v>
      </c>
      <c r="AY124" s="143" t="str">
        <f t="shared" si="30"/>
        <v>COMPACT</v>
      </c>
      <c r="AZ124" s="145">
        <f t="shared" si="31"/>
        <v>135.57695758708937</v>
      </c>
      <c r="BA124" s="145">
        <f t="shared" si="32"/>
        <v>23.122408760373848</v>
      </c>
      <c r="BB124" s="145">
        <f t="shared" si="33"/>
        <v>18.574607547240955</v>
      </c>
      <c r="BC124" s="145">
        <f t="shared" si="21"/>
        <v>142.09574773639332</v>
      </c>
      <c r="BD124" s="145">
        <f t="shared" si="34"/>
        <v>127.88617296275399</v>
      </c>
      <c r="BE124" s="143">
        <f>COUNTIFS($BD$124:$BD$128,"&gt;="&amp;$J$68)</f>
        <v>0</v>
      </c>
      <c r="BF124" s="145">
        <f t="shared" si="35"/>
        <v>85.087274093648702</v>
      </c>
      <c r="BG124" s="156">
        <f>COUNTIFS($BF$124:$BF$128,"&gt;="&amp;$F$73)</f>
        <v>0</v>
      </c>
    </row>
    <row r="125" spans="1:59">
      <c r="A125" s="299"/>
      <c r="B125" s="29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  <c r="AC125" s="120"/>
      <c r="AD125" s="120"/>
      <c r="AE125" s="120"/>
      <c r="AF125" s="120"/>
      <c r="AG125" s="120"/>
      <c r="AH125" s="124"/>
      <c r="AI125" s="139" t="s">
        <v>1495</v>
      </c>
      <c r="AJ125" s="140">
        <v>6.48</v>
      </c>
      <c r="AK125" s="140">
        <v>22</v>
      </c>
      <c r="AL125" s="140">
        <v>4.91</v>
      </c>
      <c r="AM125" s="140">
        <v>0.84799999999999998</v>
      </c>
      <c r="AN125" s="145">
        <f t="shared" si="22"/>
        <v>5.7900943396226419</v>
      </c>
      <c r="AO125" s="141">
        <f t="shared" si="23"/>
        <v>29.327902240325866</v>
      </c>
      <c r="AP125" s="141">
        <f t="shared" si="24"/>
        <v>198.11320754716982</v>
      </c>
      <c r="AQ125" s="141">
        <f t="shared" si="20"/>
        <v>198.11320754716982</v>
      </c>
      <c r="AR125" s="140">
        <v>4.74</v>
      </c>
      <c r="AS125" s="142">
        <f t="shared" si="25"/>
        <v>10.938268340359652</v>
      </c>
      <c r="AT125" s="155">
        <f t="shared" si="26"/>
        <v>28.784916685156979</v>
      </c>
      <c r="AU125" s="143" t="str">
        <f t="shared" si="27"/>
        <v>COMPACT</v>
      </c>
      <c r="AV125" s="140">
        <v>41.8</v>
      </c>
      <c r="AW125" s="155">
        <f t="shared" si="28"/>
        <v>108.23128673619024</v>
      </c>
      <c r="AX125" s="155">
        <f t="shared" si="29"/>
        <v>164.07402510539478</v>
      </c>
      <c r="AY125" s="143" t="str">
        <f t="shared" si="30"/>
        <v>COMPACT</v>
      </c>
      <c r="AZ125" s="145">
        <f t="shared" si="31"/>
        <v>135.57695758708937</v>
      </c>
      <c r="BA125" s="145">
        <f t="shared" si="32"/>
        <v>7.292406749361815</v>
      </c>
      <c r="BB125" s="145">
        <f t="shared" si="33"/>
        <v>6.3954407191903115</v>
      </c>
      <c r="BC125" s="145">
        <f t="shared" si="21"/>
        <v>41.44245586035322</v>
      </c>
      <c r="BD125" s="145">
        <f t="shared" si="34"/>
        <v>37.298210274317903</v>
      </c>
      <c r="BE125" s="143">
        <f>COUNTIFS($BD$125:$BD$128,"&gt;="&amp;$J$68)</f>
        <v>0</v>
      </c>
      <c r="BF125" s="145">
        <f t="shared" si="35"/>
        <v>24.815841832546841</v>
      </c>
      <c r="BG125" s="156">
        <f>COUNTIFS($BF$125:$BF$128,"&gt;="&amp;$F$73)</f>
        <v>0</v>
      </c>
    </row>
    <row r="126" spans="1:59">
      <c r="A126" s="299"/>
      <c r="B126" s="29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  <c r="AC126" s="120"/>
      <c r="AD126" s="120"/>
      <c r="AE126" s="120"/>
      <c r="AF126" s="120"/>
      <c r="AG126" s="120"/>
      <c r="AH126" s="124"/>
      <c r="AI126" s="139" t="s">
        <v>1498</v>
      </c>
      <c r="AJ126" s="140">
        <v>5.57</v>
      </c>
      <c r="AK126" s="140">
        <v>19</v>
      </c>
      <c r="AL126" s="140">
        <v>4.82</v>
      </c>
      <c r="AM126" s="140">
        <v>0.82199999999999995</v>
      </c>
      <c r="AN126" s="145">
        <f t="shared" si="22"/>
        <v>5.8637469586374706</v>
      </c>
      <c r="AO126" s="141">
        <f t="shared" si="23"/>
        <v>29.875518672199167</v>
      </c>
      <c r="AP126" s="141">
        <f t="shared" si="24"/>
        <v>204.37956204379563</v>
      </c>
      <c r="AQ126" s="141">
        <f t="shared" si="20"/>
        <v>204.37956204379563</v>
      </c>
      <c r="AR126" s="140">
        <v>5.72</v>
      </c>
      <c r="AS126" s="142">
        <f t="shared" si="25"/>
        <v>10.938268340359652</v>
      </c>
      <c r="AT126" s="155">
        <f t="shared" si="26"/>
        <v>28.784916685156979</v>
      </c>
      <c r="AU126" s="143" t="str">
        <f t="shared" si="27"/>
        <v>COMPACT</v>
      </c>
      <c r="AV126" s="140">
        <v>46.2</v>
      </c>
      <c r="AW126" s="155">
        <f t="shared" si="28"/>
        <v>108.23128673619024</v>
      </c>
      <c r="AX126" s="155">
        <f t="shared" si="29"/>
        <v>164.07402510539478</v>
      </c>
      <c r="AY126" s="143" t="str">
        <f t="shared" si="30"/>
        <v>COMPACT</v>
      </c>
      <c r="AZ126" s="145">
        <f t="shared" si="31"/>
        <v>135.57695758708937</v>
      </c>
      <c r="BA126" s="145">
        <f t="shared" si="32"/>
        <v>6.8520861544864005</v>
      </c>
      <c r="BB126" s="145">
        <f t="shared" si="33"/>
        <v>6.0092795574845734</v>
      </c>
      <c r="BC126" s="145">
        <f t="shared" si="21"/>
        <v>33.471687135189079</v>
      </c>
      <c r="BD126" s="145">
        <f t="shared" si="34"/>
        <v>30.124518421670171</v>
      </c>
      <c r="BE126" s="143">
        <f>COUNTIFS($BD$126:$BD$128,"&gt;="&amp;$J$68)</f>
        <v>0</v>
      </c>
      <c r="BF126" s="145">
        <f t="shared" si="35"/>
        <v>20.042926428256933</v>
      </c>
      <c r="BG126" s="156">
        <f>COUNTIFS($BF$126:$BF$128,"&gt;="&amp;$F$73)</f>
        <v>0</v>
      </c>
    </row>
    <row r="127" spans="1:59">
      <c r="A127" s="299"/>
      <c r="B127" s="29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  <c r="AC127" s="120"/>
      <c r="AD127" s="120"/>
      <c r="AE127" s="120"/>
      <c r="AF127" s="120"/>
      <c r="AG127" s="120"/>
      <c r="AH127" s="124"/>
      <c r="AI127" s="139" t="s">
        <v>1502</v>
      </c>
      <c r="AJ127" s="140">
        <v>4.71</v>
      </c>
      <c r="AK127" s="140">
        <v>16</v>
      </c>
      <c r="AL127" s="140">
        <v>4.67</v>
      </c>
      <c r="AM127" s="140">
        <v>0.77300000000000002</v>
      </c>
      <c r="AN127" s="145">
        <f t="shared" si="22"/>
        <v>6.0413971539456659</v>
      </c>
      <c r="AO127" s="141">
        <f t="shared" si="23"/>
        <v>30.835117773019274</v>
      </c>
      <c r="AP127" s="141">
        <f t="shared" si="24"/>
        <v>217.33505821474773</v>
      </c>
      <c r="AQ127" s="141">
        <f t="shared" si="20"/>
        <v>217.33505821474773</v>
      </c>
      <c r="AR127" s="140">
        <v>7.53</v>
      </c>
      <c r="AS127" s="142">
        <f t="shared" si="25"/>
        <v>10.938268340359652</v>
      </c>
      <c r="AT127" s="155">
        <f t="shared" si="26"/>
        <v>28.784916685156979</v>
      </c>
      <c r="AU127" s="143" t="str">
        <f t="shared" si="27"/>
        <v>COMPACT</v>
      </c>
      <c r="AV127" s="140">
        <v>49.4</v>
      </c>
      <c r="AW127" s="155">
        <f t="shared" si="28"/>
        <v>108.23128673619024</v>
      </c>
      <c r="AX127" s="155">
        <f t="shared" si="29"/>
        <v>164.07402510539478</v>
      </c>
      <c r="AY127" s="143" t="str">
        <f t="shared" si="30"/>
        <v>COMPACT</v>
      </c>
      <c r="AZ127" s="145">
        <f t="shared" si="31"/>
        <v>135.57695758708937</v>
      </c>
      <c r="BA127" s="145">
        <f t="shared" si="32"/>
        <v>6.0595192246732275</v>
      </c>
      <c r="BB127" s="145">
        <f t="shared" si="33"/>
        <v>5.3141983600384206</v>
      </c>
      <c r="BC127" s="145">
        <f t="shared" si="21"/>
        <v>25.029874275780962</v>
      </c>
      <c r="BD127" s="145">
        <f t="shared" si="34"/>
        <v>22.526886848202867</v>
      </c>
      <c r="BE127" s="143">
        <f>COUNTIFS($BD$127:$BD$128,"&gt;="&amp;$J$68)</f>
        <v>0</v>
      </c>
      <c r="BF127" s="145">
        <f t="shared" si="35"/>
        <v>14.987948668132313</v>
      </c>
      <c r="BG127" s="156">
        <f>COUNTIFS($BF$127:$BF$128,"&gt;="&amp;$F$73)</f>
        <v>0</v>
      </c>
    </row>
    <row r="128" spans="1:59" ht="15" thickBot="1">
      <c r="A128" s="299"/>
      <c r="B128" s="29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120"/>
      <c r="AD128" s="120"/>
      <c r="AE128" s="120"/>
      <c r="AF128" s="120"/>
      <c r="AG128" s="120"/>
      <c r="AH128" s="124"/>
      <c r="AI128" s="157" t="s">
        <v>1504</v>
      </c>
      <c r="AJ128" s="140">
        <v>4.16</v>
      </c>
      <c r="AK128" s="140">
        <v>14</v>
      </c>
      <c r="AL128" s="140">
        <v>4.62</v>
      </c>
      <c r="AM128" s="140">
        <v>0.753</v>
      </c>
      <c r="AN128" s="145">
        <f t="shared" si="22"/>
        <v>6.1354581673306772</v>
      </c>
      <c r="AO128" s="141">
        <f t="shared" si="23"/>
        <v>31.168831168831169</v>
      </c>
      <c r="AP128" s="141">
        <f t="shared" si="24"/>
        <v>223.10756972111554</v>
      </c>
      <c r="AQ128" s="141">
        <f t="shared" si="20"/>
        <v>223.10756972111554</v>
      </c>
      <c r="AR128" s="140">
        <v>8.82</v>
      </c>
      <c r="AS128" s="142">
        <f t="shared" si="25"/>
        <v>10.938268340359652</v>
      </c>
      <c r="AT128" s="155">
        <f t="shared" si="26"/>
        <v>28.784916685156979</v>
      </c>
      <c r="AU128" s="143" t="str">
        <f t="shared" si="27"/>
        <v>COMPACT</v>
      </c>
      <c r="AV128" s="140">
        <v>54.3</v>
      </c>
      <c r="AW128" s="155">
        <f t="shared" si="28"/>
        <v>108.23128673619024</v>
      </c>
      <c r="AX128" s="155">
        <f t="shared" si="29"/>
        <v>164.07402510539478</v>
      </c>
      <c r="AY128" s="143" t="str">
        <f t="shared" si="30"/>
        <v>COMPACT</v>
      </c>
      <c r="AZ128" s="145">
        <f t="shared" si="31"/>
        <v>135.57695758708937</v>
      </c>
      <c r="BA128" s="145">
        <f t="shared" si="32"/>
        <v>5.7500170469763665</v>
      </c>
      <c r="BB128" s="145">
        <f t="shared" si="33"/>
        <v>5.0427649501982739</v>
      </c>
      <c r="BC128" s="145">
        <f t="shared" si="21"/>
        <v>20.977902192824821</v>
      </c>
      <c r="BD128" s="145">
        <f t="shared" si="34"/>
        <v>18.880111973542341</v>
      </c>
      <c r="BE128" s="143">
        <f>COUNTIFS($BD$128,"&gt;="&amp;$J$68)</f>
        <v>0</v>
      </c>
      <c r="BF128" s="145">
        <f t="shared" si="35"/>
        <v>12.561618079535821</v>
      </c>
      <c r="BG128" s="158">
        <f>COUNTIFS($BF$128,"&gt;="&amp;$F$73)</f>
        <v>0</v>
      </c>
    </row>
    <row r="129" spans="1:59" ht="15" thickTop="1">
      <c r="A129" s="299"/>
      <c r="B129" s="29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  <c r="AC129" s="120"/>
      <c r="AD129" s="120"/>
      <c r="AE129" s="120"/>
      <c r="AF129" s="120"/>
      <c r="AG129" s="120"/>
      <c r="AH129" s="124"/>
      <c r="AI129" s="791" t="s">
        <v>1980</v>
      </c>
      <c r="AJ129" s="792"/>
      <c r="AK129" s="792"/>
      <c r="AL129" s="792"/>
      <c r="AM129" s="792"/>
      <c r="AN129" s="792"/>
      <c r="AO129" s="792"/>
      <c r="AP129" s="792"/>
      <c r="AQ129" s="792"/>
      <c r="AR129" s="792"/>
      <c r="AS129" s="792"/>
      <c r="AT129" s="792"/>
      <c r="AU129" s="792"/>
      <c r="AV129" s="792"/>
      <c r="AW129" s="792"/>
      <c r="AX129" s="792"/>
      <c r="AY129" s="792"/>
      <c r="AZ129" s="792"/>
      <c r="BA129" s="792"/>
      <c r="BB129" s="792"/>
      <c r="BC129" s="792"/>
      <c r="BD129" s="792"/>
      <c r="BE129" s="792"/>
      <c r="BF129" s="792"/>
      <c r="BG129" s="793"/>
    </row>
    <row r="130" spans="1:59" ht="15" thickBot="1">
      <c r="A130" s="299"/>
      <c r="B130" s="29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  <c r="AC130" s="120"/>
      <c r="AD130" s="120"/>
      <c r="AE130" s="120"/>
      <c r="AF130" s="120"/>
      <c r="AG130" s="120"/>
      <c r="AH130" s="124"/>
      <c r="AI130" s="809"/>
      <c r="AJ130" s="810"/>
      <c r="AK130" s="810"/>
      <c r="AL130" s="810"/>
      <c r="AM130" s="810"/>
      <c r="AN130" s="810"/>
      <c r="AO130" s="810"/>
      <c r="AP130" s="810"/>
      <c r="AQ130" s="810"/>
      <c r="AR130" s="810"/>
      <c r="AS130" s="810"/>
      <c r="AT130" s="810"/>
      <c r="AU130" s="810"/>
      <c r="AV130" s="810"/>
      <c r="AW130" s="810"/>
      <c r="AX130" s="810"/>
      <c r="AY130" s="810"/>
      <c r="AZ130" s="810"/>
      <c r="BA130" s="810"/>
      <c r="BB130" s="810"/>
      <c r="BC130" s="810"/>
      <c r="BD130" s="810"/>
      <c r="BE130" s="810"/>
      <c r="BF130" s="810"/>
      <c r="BG130" s="811"/>
    </row>
    <row r="131" spans="1:59" ht="15.6" thickTop="1" thickBot="1">
      <c r="A131" s="299"/>
      <c r="B131" s="29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  <c r="AC131" s="120"/>
      <c r="AD131" s="120"/>
      <c r="AE131" s="120"/>
      <c r="AF131" s="120"/>
      <c r="AG131" s="120"/>
      <c r="AH131" s="124"/>
      <c r="AI131" s="812" t="s">
        <v>1980</v>
      </c>
      <c r="AJ131" s="813"/>
      <c r="AK131" s="813"/>
      <c r="AL131" s="813"/>
      <c r="AM131" s="813"/>
      <c r="AN131" s="813"/>
      <c r="AO131" s="813"/>
      <c r="AP131" s="813"/>
      <c r="AQ131" s="813"/>
      <c r="AR131" s="814" t="s">
        <v>1947</v>
      </c>
      <c r="AS131" s="815"/>
      <c r="AT131" s="815"/>
      <c r="AU131" s="815"/>
      <c r="AV131" s="815"/>
      <c r="AW131" s="815"/>
      <c r="AX131" s="815"/>
      <c r="AY131" s="815"/>
      <c r="AZ131" s="814" t="s">
        <v>1979</v>
      </c>
      <c r="BA131" s="815"/>
      <c r="BB131" s="815"/>
      <c r="BC131" s="154"/>
      <c r="BD131" s="816" t="s">
        <v>1949</v>
      </c>
      <c r="BE131" s="817"/>
      <c r="BF131" s="817"/>
      <c r="BG131" s="818"/>
    </row>
    <row r="132" spans="1:59" ht="15.6" thickTop="1" thickBot="1">
      <c r="A132" s="299"/>
      <c r="B132" s="29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  <c r="AC132" s="120"/>
      <c r="AD132" s="120"/>
      <c r="AE132" s="120"/>
      <c r="AF132" s="120"/>
      <c r="AG132" s="120"/>
      <c r="AH132" s="124"/>
      <c r="AI132" s="798"/>
      <c r="AJ132" s="802" t="s">
        <v>1936</v>
      </c>
      <c r="AK132" s="803" t="s">
        <v>1937</v>
      </c>
      <c r="AL132" s="803" t="s">
        <v>1609</v>
      </c>
      <c r="AM132" s="803" t="s">
        <v>1613</v>
      </c>
      <c r="AN132" s="804" t="s">
        <v>1943</v>
      </c>
      <c r="AO132" s="804" t="s">
        <v>1944</v>
      </c>
      <c r="AP132" s="804" t="s">
        <v>1945</v>
      </c>
      <c r="AQ132" s="803" t="s">
        <v>1946</v>
      </c>
      <c r="AR132" s="805" t="s">
        <v>1950</v>
      </c>
      <c r="AS132" s="806"/>
      <c r="AT132" s="806"/>
      <c r="AU132" s="806"/>
      <c r="AV132" s="805" t="s">
        <v>1951</v>
      </c>
      <c r="AW132" s="806"/>
      <c r="AX132" s="806"/>
      <c r="AY132" s="806"/>
      <c r="AZ132" s="807" t="s">
        <v>1953</v>
      </c>
      <c r="BA132" s="803" t="s">
        <v>1954</v>
      </c>
      <c r="BB132" s="803" t="s">
        <v>1940</v>
      </c>
      <c r="BC132" s="789" t="s">
        <v>1941</v>
      </c>
      <c r="BD132" s="129" t="s">
        <v>1542</v>
      </c>
      <c r="BE132" s="787" t="s">
        <v>1934</v>
      </c>
      <c r="BF132" s="129" t="s">
        <v>1541</v>
      </c>
      <c r="BG132" s="787" t="s">
        <v>1934</v>
      </c>
    </row>
    <row r="133" spans="1:59" ht="15.6" thickTop="1" thickBot="1">
      <c r="A133" s="299"/>
      <c r="B133" s="29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  <c r="AC133" s="120"/>
      <c r="AD133" s="120"/>
      <c r="AE133" s="120"/>
      <c r="AF133" s="120"/>
      <c r="AG133" s="120"/>
      <c r="AH133" s="124"/>
      <c r="AI133" s="798"/>
      <c r="AJ133" s="802"/>
      <c r="AK133" s="803"/>
      <c r="AL133" s="803"/>
      <c r="AM133" s="803"/>
      <c r="AN133" s="804"/>
      <c r="AO133" s="804"/>
      <c r="AP133" s="804"/>
      <c r="AQ133" s="803"/>
      <c r="AR133" s="130" t="s">
        <v>1955</v>
      </c>
      <c r="AS133" s="134" t="s">
        <v>1956</v>
      </c>
      <c r="AT133" s="134" t="s">
        <v>1957</v>
      </c>
      <c r="AU133" s="135" t="s">
        <v>1911</v>
      </c>
      <c r="AV133" s="130" t="s">
        <v>1958</v>
      </c>
      <c r="AW133" s="134" t="s">
        <v>1959</v>
      </c>
      <c r="AX133" s="134" t="s">
        <v>1960</v>
      </c>
      <c r="AY133" s="135" t="s">
        <v>1911</v>
      </c>
      <c r="AZ133" s="808"/>
      <c r="BA133" s="808"/>
      <c r="BB133" s="808"/>
      <c r="BC133" s="789"/>
      <c r="BD133" s="130" t="s">
        <v>1961</v>
      </c>
      <c r="BE133" s="790"/>
      <c r="BF133" s="130" t="s">
        <v>1962</v>
      </c>
      <c r="BG133" s="788"/>
    </row>
    <row r="134" spans="1:59" ht="15" thickTop="1">
      <c r="A134" s="299"/>
      <c r="B134" s="29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  <c r="AC134" s="120"/>
      <c r="AD134" s="120"/>
      <c r="AE134" s="120"/>
      <c r="AF134" s="120"/>
      <c r="AG134" s="120"/>
      <c r="AH134" s="124"/>
      <c r="AI134" s="139" t="s">
        <v>1432</v>
      </c>
      <c r="AJ134" s="140">
        <v>32.9</v>
      </c>
      <c r="AK134" s="140">
        <v>112</v>
      </c>
      <c r="AL134" s="140">
        <v>4.66</v>
      </c>
      <c r="AM134" s="140">
        <v>2.68</v>
      </c>
      <c r="AN134" s="145">
        <f t="shared" ref="AN134:AN151" si="36">AL134/AM134</f>
        <v>1.7388059701492538</v>
      </c>
      <c r="AO134" s="145">
        <f>($K$79*12)/AL134</f>
        <v>30.901287553648068</v>
      </c>
      <c r="AP134" s="145">
        <f>($K$81*12)/AM134</f>
        <v>62.686567164179102</v>
      </c>
      <c r="AQ134" s="145">
        <f t="shared" ref="AQ134:AQ151" si="37">MAX(AO134:AP134)</f>
        <v>62.686567164179102</v>
      </c>
      <c r="AR134" s="140">
        <v>4.17</v>
      </c>
      <c r="AS134" s="155">
        <f>0.38*SQRT($F$57/$J$59)</f>
        <v>10.938268340359652</v>
      </c>
      <c r="AT134" s="155">
        <f>1*SQRT($F$57/$J$59)</f>
        <v>28.784916685156979</v>
      </c>
      <c r="AU134" s="143" t="str">
        <f>IF(AS134 &gt;AR134, "COMPACT", IF(AND(AR134 &gt;AS134, AR134 &lt; AT134), "NON-COMPACT", IF(AR134 &gt; AT134, "SLENDER", "")))</f>
        <v>COMPACT</v>
      </c>
      <c r="AV134" s="140">
        <v>10.4</v>
      </c>
      <c r="AW134" s="155">
        <f>3.76*SQRT($F$57/$J$59)</f>
        <v>108.23128673619024</v>
      </c>
      <c r="AX134" s="155">
        <f>5.7*SQRT($F$57/$J$59)</f>
        <v>164.07402510539478</v>
      </c>
      <c r="AY134" s="143" t="str">
        <f>IF(AW134 &gt;AV134, "COMPACT", IF(AND(AV134 &gt;AW134, AV134 &lt; AX134), "NON-COMPACT", IF(AV134 &gt; AX134, "SLENDER", "")))</f>
        <v>COMPACT</v>
      </c>
      <c r="AZ134" s="145">
        <f>4.71*SQRT($F$57/$J$59)</f>
        <v>135.57695758708937</v>
      </c>
      <c r="BA134" s="145">
        <f>((PI()^2)*$F$57)/(AQ134^2)</f>
        <v>72.836449576996245</v>
      </c>
      <c r="BB134" s="145">
        <f>_xlfn.IFS(AU134="Slender","N/A",AY134="Slender","N/A",AQ134&lt;=AZ134,((0.658^($J$59/BA134))*$J$59),AQ134&gt;AZ134,(0.877*BA134))</f>
        <v>28.623344681726607</v>
      </c>
      <c r="BC134" s="145">
        <f t="shared" ref="BC134:BC151" si="38">AJ134*BB134</f>
        <v>941.70804002880539</v>
      </c>
      <c r="BD134" s="145">
        <f t="shared" ref="BD134:BD151" si="39">0.9*BC134</f>
        <v>847.53723602592481</v>
      </c>
      <c r="BE134" s="143">
        <f>COUNTIFS($BD$134:$BD$151,"&gt;="&amp;$J$68)</f>
        <v>10</v>
      </c>
      <c r="BF134" s="145">
        <f t="shared" ref="BF134:BF151" si="40">BC134/1.67</f>
        <v>563.89702995736855</v>
      </c>
      <c r="BG134" s="160">
        <f>COUNTIFS($BF$134:$BF$151,"&gt;="&amp;$F$73)</f>
        <v>10</v>
      </c>
    </row>
    <row r="135" spans="1:59">
      <c r="A135" s="299"/>
      <c r="B135" s="29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  <c r="AC135" s="120"/>
      <c r="AD135" s="120"/>
      <c r="AE135" s="120"/>
      <c r="AF135" s="120"/>
      <c r="AG135" s="120"/>
      <c r="AH135" s="124"/>
      <c r="AI135" s="139" t="s">
        <v>1440</v>
      </c>
      <c r="AJ135" s="140">
        <v>29.3</v>
      </c>
      <c r="AK135" s="140">
        <v>100</v>
      </c>
      <c r="AL135" s="140">
        <v>4.5999999999999996</v>
      </c>
      <c r="AM135" s="140">
        <v>2.65</v>
      </c>
      <c r="AN135" s="145">
        <f t="shared" si="36"/>
        <v>1.7358490566037734</v>
      </c>
      <c r="AO135" s="145">
        <f t="shared" ref="AO135:AO151" si="41">($K$79*12)/AL135</f>
        <v>31.304347826086961</v>
      </c>
      <c r="AP135" s="145">
        <f t="shared" ref="AP135:AP151" si="42">($K$81*12)/AM135</f>
        <v>63.39622641509434</v>
      </c>
      <c r="AQ135" s="145">
        <f t="shared" si="37"/>
        <v>63.39622641509434</v>
      </c>
      <c r="AR135" s="140">
        <v>4.62</v>
      </c>
      <c r="AS135" s="155">
        <f t="shared" ref="AS135:AS151" si="43">0.38*SQRT($F$57/$J$59)</f>
        <v>10.938268340359652</v>
      </c>
      <c r="AT135" s="155">
        <f t="shared" ref="AT135:AT151" si="44">1*SQRT($F$57/$J$59)</f>
        <v>28.784916685156979</v>
      </c>
      <c r="AU135" s="143" t="str">
        <f t="shared" ref="AU135:AU150" si="45">IF(AS135 &gt;AR135, "COMPACT", IF(AND(AR135 &gt;AS135, AR135 &lt; AT135), "NON-COMPACT", IF(AR135 &gt; AT135, "SLENDER", "")))</f>
        <v>COMPACT</v>
      </c>
      <c r="AV135" s="140">
        <v>11.6</v>
      </c>
      <c r="AW135" s="155">
        <f t="shared" ref="AW135:AW151" si="46">3.76*SQRT($F$57/$J$59)</f>
        <v>108.23128673619024</v>
      </c>
      <c r="AX135" s="155">
        <f t="shared" ref="AX135:AX151" si="47">5.7*SQRT($F$57/$J$59)</f>
        <v>164.07402510539478</v>
      </c>
      <c r="AY135" s="143" t="str">
        <f t="shared" ref="AY135:AY151" si="48">IF(AW135 &gt;AV135, "COMPACT", IF(AND(AV135 &gt;AW135, AV135 &lt; AX135), "NON-COMPACT", IF(AV135 &gt; AX135, "SLENDER", "")))</f>
        <v>COMPACT</v>
      </c>
      <c r="AZ135" s="145">
        <f t="shared" ref="AZ135:AZ151" si="49">4.71*SQRT($F$57/$J$59)</f>
        <v>135.57695758708937</v>
      </c>
      <c r="BA135" s="145">
        <f t="shared" ref="BA135:BA150" si="50">((PI()^2)*$F$57)/(AQ135^2)</f>
        <v>71.214909661736471</v>
      </c>
      <c r="BB135" s="145">
        <f t="shared" ref="BB135:BB151" si="51">_xlfn.IFS(AU135="Slender","N/A",AY135="Slender","N/A",AQ135&lt;=AZ135,((0.658^($J$59/BA135))*$J$59),AQ135&gt;AZ135,(0.877*BA135))</f>
        <v>28.492562065621506</v>
      </c>
      <c r="BC135" s="145">
        <f t="shared" si="38"/>
        <v>834.83206852271019</v>
      </c>
      <c r="BD135" s="145">
        <f t="shared" si="39"/>
        <v>751.34886167043919</v>
      </c>
      <c r="BE135" s="143">
        <f>COUNTIFS($BD$135:$BD$151,"&gt;="&amp;$J$68)</f>
        <v>9</v>
      </c>
      <c r="BF135" s="145">
        <f t="shared" si="40"/>
        <v>499.89944222916779</v>
      </c>
      <c r="BG135" s="156">
        <f>COUNTIFS($BF$135:$BF$151,"&gt;="&amp;$F$73)</f>
        <v>9</v>
      </c>
    </row>
    <row r="136" spans="1:59">
      <c r="A136" s="299"/>
      <c r="B136" s="29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  <c r="AC136" s="120"/>
      <c r="AD136" s="120"/>
      <c r="AE136" s="120"/>
      <c r="AF136" s="120"/>
      <c r="AG136" s="120"/>
      <c r="AH136" s="124"/>
      <c r="AI136" s="139" t="s">
        <v>1446</v>
      </c>
      <c r="AJ136" s="140">
        <v>26</v>
      </c>
      <c r="AK136" s="140">
        <v>88</v>
      </c>
      <c r="AL136" s="140">
        <v>4.54</v>
      </c>
      <c r="AM136" s="140">
        <v>2.63</v>
      </c>
      <c r="AN136" s="145">
        <f t="shared" si="36"/>
        <v>1.726235741444867</v>
      </c>
      <c r="AO136" s="145">
        <f t="shared" si="41"/>
        <v>31.718061674008812</v>
      </c>
      <c r="AP136" s="145">
        <f t="shared" si="42"/>
        <v>63.878326996197721</v>
      </c>
      <c r="AQ136" s="145">
        <f t="shared" si="37"/>
        <v>63.878326996197721</v>
      </c>
      <c r="AR136" s="140">
        <v>5.18</v>
      </c>
      <c r="AS136" s="155">
        <f t="shared" si="43"/>
        <v>10.938268340359652</v>
      </c>
      <c r="AT136" s="155">
        <f t="shared" si="44"/>
        <v>28.784916685156979</v>
      </c>
      <c r="AU136" s="143" t="str">
        <f t="shared" si="45"/>
        <v>COMPACT</v>
      </c>
      <c r="AV136" s="140">
        <v>13</v>
      </c>
      <c r="AW136" s="155">
        <f t="shared" si="46"/>
        <v>108.23128673619024</v>
      </c>
      <c r="AX136" s="155">
        <f t="shared" si="47"/>
        <v>164.07402510539478</v>
      </c>
      <c r="AY136" s="143" t="str">
        <f t="shared" si="48"/>
        <v>COMPACT</v>
      </c>
      <c r="AZ136" s="145">
        <f t="shared" si="49"/>
        <v>135.57695758708937</v>
      </c>
      <c r="BA136" s="145">
        <f t="shared" si="50"/>
        <v>70.144024014135283</v>
      </c>
      <c r="BB136" s="145">
        <f t="shared" si="51"/>
        <v>28.403221853799192</v>
      </c>
      <c r="BC136" s="145">
        <f t="shared" si="38"/>
        <v>738.48376819877899</v>
      </c>
      <c r="BD136" s="145">
        <f t="shared" si="39"/>
        <v>664.63539137890109</v>
      </c>
      <c r="BE136" s="143">
        <f>COUNTIFS($BD$136:$BD$151,"&gt;="&amp;$J$68)</f>
        <v>8</v>
      </c>
      <c r="BF136" s="145">
        <f t="shared" si="40"/>
        <v>442.20584922082577</v>
      </c>
      <c r="BG136" s="156">
        <f>COUNTIFS($BF$136:$BF$151,"&gt;="&amp;$F$73)</f>
        <v>8</v>
      </c>
    </row>
    <row r="137" spans="1:59">
      <c r="A137" s="299"/>
      <c r="B137" s="29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  <c r="AC137" s="120"/>
      <c r="AD137" s="120"/>
      <c r="AE137" s="120"/>
      <c r="AF137" s="120"/>
      <c r="AG137" s="120"/>
      <c r="AH137" s="124"/>
      <c r="AI137" s="139" t="s">
        <v>1452</v>
      </c>
      <c r="AJ137" s="140">
        <v>22.7</v>
      </c>
      <c r="AK137" s="140">
        <v>77</v>
      </c>
      <c r="AL137" s="140">
        <v>4.49</v>
      </c>
      <c r="AM137" s="140">
        <v>2.6</v>
      </c>
      <c r="AN137" s="145">
        <f t="shared" si="36"/>
        <v>1.726923076923077</v>
      </c>
      <c r="AO137" s="145">
        <f t="shared" si="41"/>
        <v>32.071269487750556</v>
      </c>
      <c r="AP137" s="145">
        <f t="shared" si="42"/>
        <v>64.615384615384613</v>
      </c>
      <c r="AQ137" s="145">
        <f t="shared" si="37"/>
        <v>64.615384615384613</v>
      </c>
      <c r="AR137" s="140">
        <v>5.86</v>
      </c>
      <c r="AS137" s="155">
        <f t="shared" si="43"/>
        <v>10.938268340359652</v>
      </c>
      <c r="AT137" s="155">
        <f t="shared" si="44"/>
        <v>28.784916685156979</v>
      </c>
      <c r="AU137" s="143" t="str">
        <f t="shared" si="45"/>
        <v>COMPACT</v>
      </c>
      <c r="AV137" s="140">
        <v>14.8</v>
      </c>
      <c r="AW137" s="155">
        <f t="shared" si="46"/>
        <v>108.23128673619024</v>
      </c>
      <c r="AX137" s="155">
        <f t="shared" si="47"/>
        <v>164.07402510539478</v>
      </c>
      <c r="AY137" s="143" t="str">
        <f t="shared" si="48"/>
        <v>COMPACT</v>
      </c>
      <c r="AZ137" s="145">
        <f t="shared" si="49"/>
        <v>135.57695758708937</v>
      </c>
      <c r="BA137" s="145">
        <f t="shared" si="50"/>
        <v>68.552906986591481</v>
      </c>
      <c r="BB137" s="145">
        <f t="shared" si="51"/>
        <v>28.265875614596148</v>
      </c>
      <c r="BC137" s="145">
        <f t="shared" si="38"/>
        <v>641.63537645133249</v>
      </c>
      <c r="BD137" s="145">
        <f t="shared" si="39"/>
        <v>577.47183880619923</v>
      </c>
      <c r="BE137" s="143">
        <f>COUNTIFS($BD$137:$BD$151,"&gt;="&amp;$J$68)</f>
        <v>7</v>
      </c>
      <c r="BF137" s="145">
        <f t="shared" si="40"/>
        <v>384.21280027025898</v>
      </c>
      <c r="BG137" s="156">
        <f>COUNTIFS($BF$137:$BF$151,"&gt;="&amp;$F$73)</f>
        <v>7</v>
      </c>
    </row>
    <row r="138" spans="1:59">
      <c r="A138" s="299"/>
      <c r="B138" s="29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  <c r="AC138" s="120"/>
      <c r="AD138" s="120"/>
      <c r="AE138" s="120"/>
      <c r="AF138" s="120"/>
      <c r="AG138" s="120"/>
      <c r="AH138" s="124"/>
      <c r="AI138" s="139" t="s">
        <v>1459</v>
      </c>
      <c r="AJ138" s="140">
        <v>19.899999999999999</v>
      </c>
      <c r="AK138" s="140">
        <v>68</v>
      </c>
      <c r="AL138" s="140">
        <v>4.4400000000000004</v>
      </c>
      <c r="AM138" s="140">
        <v>2.59</v>
      </c>
      <c r="AN138" s="145">
        <f t="shared" si="36"/>
        <v>1.7142857142857146</v>
      </c>
      <c r="AO138" s="145">
        <f t="shared" si="41"/>
        <v>32.432432432432428</v>
      </c>
      <c r="AP138" s="145">
        <f t="shared" si="42"/>
        <v>64.86486486486487</v>
      </c>
      <c r="AQ138" s="145">
        <f t="shared" si="37"/>
        <v>64.86486486486487</v>
      </c>
      <c r="AR138" s="140">
        <v>6.58</v>
      </c>
      <c r="AS138" s="155">
        <f t="shared" si="43"/>
        <v>10.938268340359652</v>
      </c>
      <c r="AT138" s="155">
        <f t="shared" si="44"/>
        <v>28.784916685156979</v>
      </c>
      <c r="AU138" s="143" t="str">
        <f t="shared" si="45"/>
        <v>COMPACT</v>
      </c>
      <c r="AV138" s="140">
        <v>16.7</v>
      </c>
      <c r="AW138" s="155">
        <f t="shared" si="46"/>
        <v>108.23128673619024</v>
      </c>
      <c r="AX138" s="155">
        <f t="shared" si="47"/>
        <v>164.07402510539478</v>
      </c>
      <c r="AY138" s="143" t="str">
        <f t="shared" si="48"/>
        <v>COMPACT</v>
      </c>
      <c r="AZ138" s="145">
        <f t="shared" si="49"/>
        <v>135.57695758708937</v>
      </c>
      <c r="BA138" s="145">
        <f t="shared" si="50"/>
        <v>68.026591029105646</v>
      </c>
      <c r="BB138" s="145">
        <f t="shared" si="51"/>
        <v>28.219181603337788</v>
      </c>
      <c r="BC138" s="145">
        <f t="shared" si="38"/>
        <v>561.56171390642191</v>
      </c>
      <c r="BD138" s="145">
        <f t="shared" si="39"/>
        <v>505.40554251577976</v>
      </c>
      <c r="BE138" s="143">
        <f>COUNTIFS($BD$138:$BD$151,"&gt;="&amp;$J$68)</f>
        <v>6</v>
      </c>
      <c r="BF138" s="145">
        <f t="shared" si="40"/>
        <v>336.26449934516285</v>
      </c>
      <c r="BG138" s="156">
        <f>COUNTIFS($BF$138:$BF$151,"&gt;="&amp;$F$73)</f>
        <v>6</v>
      </c>
    </row>
    <row r="139" spans="1:59">
      <c r="A139" s="299"/>
      <c r="B139" s="29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20"/>
      <c r="AD139" s="120"/>
      <c r="AE139" s="120"/>
      <c r="AF139" s="120"/>
      <c r="AG139" s="120"/>
      <c r="AH139" s="124"/>
      <c r="AI139" s="139" t="s">
        <v>1464</v>
      </c>
      <c r="AJ139" s="140">
        <v>17.7</v>
      </c>
      <c r="AK139" s="140">
        <v>60</v>
      </c>
      <c r="AL139" s="140">
        <v>4.3899999999999997</v>
      </c>
      <c r="AM139" s="140">
        <v>2.57</v>
      </c>
      <c r="AN139" s="145">
        <f t="shared" si="36"/>
        <v>1.7081712062256809</v>
      </c>
      <c r="AO139" s="145">
        <f t="shared" si="41"/>
        <v>32.801822323462417</v>
      </c>
      <c r="AP139" s="145">
        <f t="shared" si="42"/>
        <v>65.36964980544748</v>
      </c>
      <c r="AQ139" s="145">
        <f t="shared" si="37"/>
        <v>65.36964980544748</v>
      </c>
      <c r="AR139" s="140">
        <v>7.41</v>
      </c>
      <c r="AS139" s="155">
        <f t="shared" si="43"/>
        <v>10.938268340359652</v>
      </c>
      <c r="AT139" s="155">
        <f t="shared" si="44"/>
        <v>28.784916685156979</v>
      </c>
      <c r="AU139" s="143" t="str">
        <f t="shared" si="45"/>
        <v>COMPACT</v>
      </c>
      <c r="AV139" s="140">
        <v>18.7</v>
      </c>
      <c r="AW139" s="155">
        <f t="shared" si="46"/>
        <v>108.23128673619024</v>
      </c>
      <c r="AX139" s="155">
        <f t="shared" si="47"/>
        <v>164.07402510539478</v>
      </c>
      <c r="AY139" s="143" t="str">
        <f t="shared" si="48"/>
        <v>COMPACT</v>
      </c>
      <c r="AZ139" s="145">
        <f t="shared" si="49"/>
        <v>135.57695758708937</v>
      </c>
      <c r="BA139" s="145">
        <f t="shared" si="50"/>
        <v>66.980043691677196</v>
      </c>
      <c r="BB139" s="145">
        <f t="shared" si="51"/>
        <v>28.124391178222734</v>
      </c>
      <c r="BC139" s="145">
        <f t="shared" si="38"/>
        <v>497.80172385454239</v>
      </c>
      <c r="BD139" s="145">
        <f t="shared" si="39"/>
        <v>448.02155146908814</v>
      </c>
      <c r="BE139" s="143">
        <f>COUNTIFS($BD$139:$BD$151,"&gt;="&amp;$J$68)</f>
        <v>5</v>
      </c>
      <c r="BF139" s="145">
        <f t="shared" si="40"/>
        <v>298.08486458355833</v>
      </c>
      <c r="BG139" s="156">
        <f>COUNTIFS($BF$139:$BF$151,"&gt;="&amp;$F$73)</f>
        <v>5</v>
      </c>
    </row>
    <row r="140" spans="1:59">
      <c r="A140" s="299"/>
      <c r="B140" s="29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20"/>
      <c r="AD140" s="120"/>
      <c r="AE140" s="120"/>
      <c r="AF140" s="120"/>
      <c r="AG140" s="120"/>
      <c r="AH140" s="124"/>
      <c r="AI140" s="139" t="s">
        <v>1469</v>
      </c>
      <c r="AJ140" s="140">
        <v>15.8</v>
      </c>
      <c r="AK140" s="140">
        <v>54</v>
      </c>
      <c r="AL140" s="140">
        <v>4.37</v>
      </c>
      <c r="AM140" s="140">
        <v>2.56</v>
      </c>
      <c r="AN140" s="145">
        <f t="shared" si="36"/>
        <v>1.70703125</v>
      </c>
      <c r="AO140" s="145">
        <f t="shared" si="41"/>
        <v>32.951945080091534</v>
      </c>
      <c r="AP140" s="145">
        <f t="shared" si="42"/>
        <v>65.625</v>
      </c>
      <c r="AQ140" s="145">
        <f t="shared" si="37"/>
        <v>65.625</v>
      </c>
      <c r="AR140" s="140">
        <v>8.15</v>
      </c>
      <c r="AS140" s="155">
        <f t="shared" si="43"/>
        <v>10.938268340359652</v>
      </c>
      <c r="AT140" s="155">
        <f t="shared" si="44"/>
        <v>28.784916685156979</v>
      </c>
      <c r="AU140" s="143" t="str">
        <f t="shared" si="45"/>
        <v>COMPACT</v>
      </c>
      <c r="AV140" s="140">
        <v>21.2</v>
      </c>
      <c r="AW140" s="155">
        <f t="shared" si="46"/>
        <v>108.23128673619024</v>
      </c>
      <c r="AX140" s="155">
        <f t="shared" si="47"/>
        <v>164.07402510539478</v>
      </c>
      <c r="AY140" s="143" t="str">
        <f t="shared" si="48"/>
        <v>COMPACT</v>
      </c>
      <c r="AZ140" s="145">
        <f t="shared" si="49"/>
        <v>135.57695758708937</v>
      </c>
      <c r="BA140" s="145">
        <f t="shared" si="50"/>
        <v>66.459812311734595</v>
      </c>
      <c r="BB140" s="145">
        <f t="shared" si="51"/>
        <v>28.076282969922257</v>
      </c>
      <c r="BC140" s="145">
        <f t="shared" si="38"/>
        <v>443.60527092477167</v>
      </c>
      <c r="BD140" s="145">
        <f t="shared" si="39"/>
        <v>399.24474383229449</v>
      </c>
      <c r="BE140" s="143">
        <f>COUNTIFS($BD$140:$BD$151,"&gt;="&amp;$J$68)</f>
        <v>4</v>
      </c>
      <c r="BF140" s="145">
        <f t="shared" si="40"/>
        <v>265.63189875734832</v>
      </c>
      <c r="BG140" s="156">
        <f>COUNTIFS($BF$140:$BF$151,"&gt;="&amp;$F$73)</f>
        <v>4</v>
      </c>
    </row>
    <row r="141" spans="1:59">
      <c r="A141" s="299"/>
      <c r="B141" s="29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20"/>
      <c r="AD141" s="120"/>
      <c r="AE141" s="120"/>
      <c r="AF141" s="120"/>
      <c r="AG141" s="120"/>
      <c r="AH141" s="124"/>
      <c r="AI141" s="139" t="s">
        <v>1474</v>
      </c>
      <c r="AJ141" s="140">
        <v>14.4</v>
      </c>
      <c r="AK141" s="140">
        <v>49</v>
      </c>
      <c r="AL141" s="140">
        <v>4.3499999999999996</v>
      </c>
      <c r="AM141" s="140">
        <v>2.54</v>
      </c>
      <c r="AN141" s="145">
        <f t="shared" si="36"/>
        <v>1.7125984251968502</v>
      </c>
      <c r="AO141" s="145">
        <f t="shared" si="41"/>
        <v>33.103448275862071</v>
      </c>
      <c r="AP141" s="145">
        <f t="shared" si="42"/>
        <v>66.141732283464563</v>
      </c>
      <c r="AQ141" s="145">
        <f t="shared" si="37"/>
        <v>66.141732283464563</v>
      </c>
      <c r="AR141" s="140">
        <v>8.93</v>
      </c>
      <c r="AS141" s="155">
        <f t="shared" si="43"/>
        <v>10.938268340359652</v>
      </c>
      <c r="AT141" s="155">
        <f t="shared" si="44"/>
        <v>28.784916685156979</v>
      </c>
      <c r="AU141" s="143" t="str">
        <f t="shared" si="45"/>
        <v>COMPACT</v>
      </c>
      <c r="AV141" s="140">
        <v>23.1</v>
      </c>
      <c r="AW141" s="155">
        <f t="shared" si="46"/>
        <v>108.23128673619024</v>
      </c>
      <c r="AX141" s="155">
        <f t="shared" si="47"/>
        <v>164.07402510539478</v>
      </c>
      <c r="AY141" s="143" t="str">
        <f t="shared" si="48"/>
        <v>COMPACT</v>
      </c>
      <c r="AZ141" s="145">
        <f t="shared" si="49"/>
        <v>135.57695758708937</v>
      </c>
      <c r="BA141" s="145">
        <f t="shared" si="50"/>
        <v>65.425434129392542</v>
      </c>
      <c r="BB141" s="145">
        <f t="shared" si="51"/>
        <v>27.978610431399098</v>
      </c>
      <c r="BC141" s="145">
        <f t="shared" si="38"/>
        <v>402.89199021214699</v>
      </c>
      <c r="BD141" s="145">
        <f t="shared" si="39"/>
        <v>362.60279119093229</v>
      </c>
      <c r="BE141" s="143">
        <f>COUNTIFS($BD$141:$BD$151,"&gt;="&amp;$J$68)</f>
        <v>3</v>
      </c>
      <c r="BF141" s="145">
        <f t="shared" si="40"/>
        <v>241.25268874978863</v>
      </c>
      <c r="BG141" s="156">
        <f>COUNTIFS($BF$141:$BF$151,"&gt;="&amp;$F$73)</f>
        <v>3</v>
      </c>
    </row>
    <row r="142" spans="1:59">
      <c r="A142" s="299"/>
      <c r="B142" s="29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20"/>
      <c r="AD142" s="120"/>
      <c r="AE142" s="120"/>
      <c r="AF142" s="120"/>
      <c r="AG142" s="120"/>
      <c r="AH142" s="124"/>
      <c r="AI142" s="139" t="s">
        <v>1477</v>
      </c>
      <c r="AJ142" s="140">
        <v>13.3</v>
      </c>
      <c r="AK142" s="140">
        <v>45</v>
      </c>
      <c r="AL142" s="140">
        <v>4.32</v>
      </c>
      <c r="AM142" s="140">
        <v>2.0099999999999998</v>
      </c>
      <c r="AN142" s="145">
        <f t="shared" si="36"/>
        <v>2.149253731343284</v>
      </c>
      <c r="AO142" s="145">
        <f t="shared" si="41"/>
        <v>33.333333333333329</v>
      </c>
      <c r="AP142" s="145">
        <f t="shared" si="42"/>
        <v>83.582089552238813</v>
      </c>
      <c r="AQ142" s="145">
        <f t="shared" si="37"/>
        <v>83.582089552238813</v>
      </c>
      <c r="AR142" s="140">
        <v>6.47</v>
      </c>
      <c r="AS142" s="155">
        <f t="shared" si="43"/>
        <v>10.938268340359652</v>
      </c>
      <c r="AT142" s="155">
        <f t="shared" si="44"/>
        <v>28.784916685156979</v>
      </c>
      <c r="AU142" s="143" t="str">
        <f t="shared" si="45"/>
        <v>COMPACT</v>
      </c>
      <c r="AV142" s="140">
        <v>22.5</v>
      </c>
      <c r="AW142" s="155">
        <f t="shared" si="46"/>
        <v>108.23128673619024</v>
      </c>
      <c r="AX142" s="155">
        <f t="shared" si="47"/>
        <v>164.07402510539478</v>
      </c>
      <c r="AY142" s="143" t="str">
        <f t="shared" si="48"/>
        <v>COMPACT</v>
      </c>
      <c r="AZ142" s="145">
        <f t="shared" si="49"/>
        <v>135.57695758708937</v>
      </c>
      <c r="BA142" s="145">
        <f t="shared" si="50"/>
        <v>40.970502887060377</v>
      </c>
      <c r="BB142" s="145">
        <f t="shared" si="51"/>
        <v>24.478415843324939</v>
      </c>
      <c r="BC142" s="145">
        <f t="shared" si="38"/>
        <v>325.56293071622173</v>
      </c>
      <c r="BD142" s="145">
        <f t="shared" si="39"/>
        <v>293.00663764459955</v>
      </c>
      <c r="BE142" s="143">
        <f>COUNTIFS($BD$142:$BD$151,"&gt;="&amp;$J$68)</f>
        <v>2</v>
      </c>
      <c r="BF142" s="145">
        <f t="shared" si="40"/>
        <v>194.94786270432439</v>
      </c>
      <c r="BG142" s="156">
        <f>COUNTIFS($BF$142:$BF$151,"&gt;="&amp;$F$73)</f>
        <v>2</v>
      </c>
    </row>
    <row r="143" spans="1:59">
      <c r="A143" s="299"/>
      <c r="B143" s="29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20"/>
      <c r="AD143" s="120"/>
      <c r="AE143" s="120"/>
      <c r="AF143" s="120"/>
      <c r="AG143" s="120"/>
      <c r="AH143" s="124"/>
      <c r="AI143" s="139" t="s">
        <v>1483</v>
      </c>
      <c r="AJ143" s="140">
        <v>11.5</v>
      </c>
      <c r="AK143" s="140">
        <v>39</v>
      </c>
      <c r="AL143" s="140">
        <v>4.2699999999999996</v>
      </c>
      <c r="AM143" s="140">
        <v>1.98</v>
      </c>
      <c r="AN143" s="145">
        <f t="shared" si="36"/>
        <v>2.1565656565656566</v>
      </c>
      <c r="AO143" s="145">
        <f t="shared" si="41"/>
        <v>33.723653395784545</v>
      </c>
      <c r="AP143" s="145">
        <f t="shared" si="42"/>
        <v>84.848484848484844</v>
      </c>
      <c r="AQ143" s="145">
        <f t="shared" si="37"/>
        <v>84.848484848484844</v>
      </c>
      <c r="AR143" s="140">
        <v>7.53</v>
      </c>
      <c r="AS143" s="155">
        <f t="shared" si="43"/>
        <v>10.938268340359652</v>
      </c>
      <c r="AT143" s="155">
        <f t="shared" si="44"/>
        <v>28.784916685156979</v>
      </c>
      <c r="AU143" s="143" t="str">
        <f t="shared" si="45"/>
        <v>COMPACT</v>
      </c>
      <c r="AV143" s="140">
        <v>25</v>
      </c>
      <c r="AW143" s="155">
        <f t="shared" si="46"/>
        <v>108.23128673619024</v>
      </c>
      <c r="AX143" s="155">
        <f t="shared" si="47"/>
        <v>164.07402510539478</v>
      </c>
      <c r="AY143" s="143" t="str">
        <f t="shared" si="48"/>
        <v>COMPACT</v>
      </c>
      <c r="AZ143" s="145">
        <f t="shared" si="49"/>
        <v>135.57695758708937</v>
      </c>
      <c r="BA143" s="145">
        <f t="shared" si="50"/>
        <v>39.756629667194268</v>
      </c>
      <c r="BB143" s="145">
        <f t="shared" si="51"/>
        <v>24.212635371316694</v>
      </c>
      <c r="BC143" s="145">
        <f t="shared" si="38"/>
        <v>278.445306770142</v>
      </c>
      <c r="BD143" s="145">
        <f t="shared" si="39"/>
        <v>250.60077609312779</v>
      </c>
      <c r="BE143" s="143">
        <f>COUNTIFS($BD$143:$BD$151,"&gt;="&amp;$J$68)</f>
        <v>1</v>
      </c>
      <c r="BF143" s="145">
        <f t="shared" si="40"/>
        <v>166.73371662882755</v>
      </c>
      <c r="BG143" s="156">
        <f>COUNTIFS($BF$143:$BF$151,"&gt;="&amp;$F$73)</f>
        <v>1</v>
      </c>
    </row>
    <row r="144" spans="1:59">
      <c r="A144" s="299"/>
      <c r="B144" s="29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20"/>
      <c r="AD144" s="120"/>
      <c r="AE144" s="120"/>
      <c r="AF144" s="120"/>
      <c r="AG144" s="120"/>
      <c r="AH144" s="124"/>
      <c r="AI144" s="139" t="s">
        <v>1488</v>
      </c>
      <c r="AJ144" s="140">
        <v>9.7100000000000009</v>
      </c>
      <c r="AK144" s="140">
        <v>33</v>
      </c>
      <c r="AL144" s="140">
        <v>4.1900000000000004</v>
      </c>
      <c r="AM144" s="140">
        <v>1.94</v>
      </c>
      <c r="AN144" s="145">
        <f t="shared" si="36"/>
        <v>2.15979381443299</v>
      </c>
      <c r="AO144" s="145">
        <f t="shared" si="41"/>
        <v>34.367541766109781</v>
      </c>
      <c r="AP144" s="145">
        <f t="shared" si="42"/>
        <v>86.597938144329902</v>
      </c>
      <c r="AQ144" s="145">
        <f t="shared" si="37"/>
        <v>86.597938144329902</v>
      </c>
      <c r="AR144" s="140">
        <v>9.15</v>
      </c>
      <c r="AS144" s="155">
        <f t="shared" si="43"/>
        <v>10.938268340359652</v>
      </c>
      <c r="AT144" s="155">
        <f t="shared" si="44"/>
        <v>28.784916685156979</v>
      </c>
      <c r="AU144" s="143" t="str">
        <f t="shared" si="45"/>
        <v>COMPACT</v>
      </c>
      <c r="AV144" s="140">
        <v>27.1</v>
      </c>
      <c r="AW144" s="155">
        <f t="shared" si="46"/>
        <v>108.23128673619024</v>
      </c>
      <c r="AX144" s="155">
        <f t="shared" si="47"/>
        <v>164.07402510539478</v>
      </c>
      <c r="AY144" s="143" t="str">
        <f t="shared" si="48"/>
        <v>COMPACT</v>
      </c>
      <c r="AZ144" s="145">
        <f t="shared" si="49"/>
        <v>135.57695758708937</v>
      </c>
      <c r="BA144" s="145">
        <f t="shared" si="50"/>
        <v>38.166526735907638</v>
      </c>
      <c r="BB144" s="145">
        <f t="shared" si="51"/>
        <v>23.84377534276566</v>
      </c>
      <c r="BC144" s="145">
        <f t="shared" si="38"/>
        <v>231.52305857825459</v>
      </c>
      <c r="BD144" s="145">
        <f t="shared" si="39"/>
        <v>208.37075272042912</v>
      </c>
      <c r="BE144" s="143">
        <f>COUNTIFS($BD$144:$BD$151,"&gt;="&amp;$J$68)</f>
        <v>0</v>
      </c>
      <c r="BF144" s="145">
        <f t="shared" si="40"/>
        <v>138.63656202290696</v>
      </c>
      <c r="BG144" s="156">
        <f>COUNTIFS($BF$144:$BF$151,"&gt;="&amp;$F$73)</f>
        <v>0</v>
      </c>
    </row>
    <row r="145" spans="1:59">
      <c r="A145" s="299"/>
      <c r="B145" s="29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20"/>
      <c r="AD145" s="120"/>
      <c r="AE145" s="120"/>
      <c r="AF145" s="120"/>
      <c r="AG145" s="120"/>
      <c r="AH145" s="124"/>
      <c r="AI145" s="139" t="s">
        <v>1490</v>
      </c>
      <c r="AJ145" s="140">
        <v>8.84</v>
      </c>
      <c r="AK145" s="140">
        <v>30</v>
      </c>
      <c r="AL145" s="140">
        <v>4.38</v>
      </c>
      <c r="AM145" s="140">
        <v>1.37</v>
      </c>
      <c r="AN145" s="145">
        <f t="shared" si="36"/>
        <v>3.1970802919708028</v>
      </c>
      <c r="AO145" s="145">
        <f t="shared" si="41"/>
        <v>32.876712328767127</v>
      </c>
      <c r="AP145" s="145">
        <f t="shared" si="42"/>
        <v>122.62773722627736</v>
      </c>
      <c r="AQ145" s="145">
        <f t="shared" si="37"/>
        <v>122.62773722627736</v>
      </c>
      <c r="AR145" s="140">
        <v>5.7</v>
      </c>
      <c r="AS145" s="155">
        <f t="shared" si="43"/>
        <v>10.938268340359652</v>
      </c>
      <c r="AT145" s="155">
        <f t="shared" si="44"/>
        <v>28.784916685156979</v>
      </c>
      <c r="AU145" s="143" t="str">
        <f t="shared" si="45"/>
        <v>COMPACT</v>
      </c>
      <c r="AV145" s="140">
        <v>29.5</v>
      </c>
      <c r="AW145" s="155">
        <f t="shared" si="46"/>
        <v>108.23128673619024</v>
      </c>
      <c r="AX145" s="155">
        <f t="shared" si="47"/>
        <v>164.07402510539478</v>
      </c>
      <c r="AY145" s="143" t="str">
        <f t="shared" si="48"/>
        <v>COMPACT</v>
      </c>
      <c r="AZ145" s="145">
        <f t="shared" si="49"/>
        <v>135.57695758708937</v>
      </c>
      <c r="BA145" s="145">
        <f t="shared" si="50"/>
        <v>19.033572651351115</v>
      </c>
      <c r="BB145" s="145">
        <f t="shared" si="51"/>
        <v>16.211068138486834</v>
      </c>
      <c r="BC145" s="145">
        <f t="shared" si="38"/>
        <v>143.30584234422361</v>
      </c>
      <c r="BD145" s="145">
        <f t="shared" si="39"/>
        <v>128.97525810980125</v>
      </c>
      <c r="BE145" s="143">
        <f>COUNTIFS($BD$146:$BD$151,"&gt;="&amp;$J$68)</f>
        <v>0</v>
      </c>
      <c r="BF145" s="145">
        <f t="shared" si="40"/>
        <v>85.811881643247673</v>
      </c>
      <c r="BG145" s="156">
        <f>COUNTIFS($BF$145:$BF$151,"&gt;="&amp;$F$73)</f>
        <v>0</v>
      </c>
    </row>
    <row r="146" spans="1:59">
      <c r="A146" s="299"/>
      <c r="B146" s="29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20"/>
      <c r="AD146" s="120"/>
      <c r="AE146" s="120"/>
      <c r="AF146" s="120"/>
      <c r="AG146" s="120"/>
      <c r="AH146" s="124"/>
      <c r="AI146" s="139" t="s">
        <v>1493</v>
      </c>
      <c r="AJ146" s="140">
        <v>7.61</v>
      </c>
      <c r="AK146" s="140">
        <v>26</v>
      </c>
      <c r="AL146" s="140">
        <v>4.3499999999999996</v>
      </c>
      <c r="AM146" s="140">
        <v>1.36</v>
      </c>
      <c r="AN146" s="145">
        <f t="shared" si="36"/>
        <v>3.1985294117647052</v>
      </c>
      <c r="AO146" s="145">
        <f t="shared" si="41"/>
        <v>33.103448275862071</v>
      </c>
      <c r="AP146" s="145">
        <f t="shared" si="42"/>
        <v>123.52941176470587</v>
      </c>
      <c r="AQ146" s="145">
        <f t="shared" si="37"/>
        <v>123.52941176470587</v>
      </c>
      <c r="AR146" s="140">
        <v>6.56</v>
      </c>
      <c r="AS146" s="155">
        <f t="shared" si="43"/>
        <v>10.938268340359652</v>
      </c>
      <c r="AT146" s="155">
        <f t="shared" si="44"/>
        <v>28.784916685156979</v>
      </c>
      <c r="AU146" s="143" t="str">
        <f t="shared" si="45"/>
        <v>COMPACT</v>
      </c>
      <c r="AV146" s="140">
        <v>34</v>
      </c>
      <c r="AW146" s="155">
        <f t="shared" si="46"/>
        <v>108.23128673619024</v>
      </c>
      <c r="AX146" s="155">
        <f t="shared" si="47"/>
        <v>164.07402510539478</v>
      </c>
      <c r="AY146" s="143" t="str">
        <f t="shared" si="48"/>
        <v>COMPACT</v>
      </c>
      <c r="AZ146" s="145">
        <f t="shared" si="49"/>
        <v>135.57695758708937</v>
      </c>
      <c r="BA146" s="145">
        <f t="shared" si="50"/>
        <v>18.756724373136038</v>
      </c>
      <c r="BB146" s="145">
        <f t="shared" si="51"/>
        <v>16.027951658951945</v>
      </c>
      <c r="BC146" s="145">
        <f t="shared" si="38"/>
        <v>121.97271212462431</v>
      </c>
      <c r="BD146" s="145">
        <f t="shared" si="39"/>
        <v>109.77544091216188</v>
      </c>
      <c r="BE146" s="143">
        <f>COUNTIFS($BD$146:$BD$151,"&gt;="&amp;$J$68)</f>
        <v>0</v>
      </c>
      <c r="BF146" s="145">
        <f t="shared" si="40"/>
        <v>73.037552170433727</v>
      </c>
      <c r="BG146" s="156">
        <f>COUNTIFS($BF$146:$BF$151,"&gt;="&amp;$F$73)</f>
        <v>0</v>
      </c>
    </row>
    <row r="147" spans="1:59">
      <c r="A147" s="299"/>
      <c r="B147" s="29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20"/>
      <c r="AD147" s="120"/>
      <c r="AE147" s="120"/>
      <c r="AF147" s="120"/>
      <c r="AG147" s="120"/>
      <c r="AH147" s="124"/>
      <c r="AI147" s="139" t="s">
        <v>1497</v>
      </c>
      <c r="AJ147" s="140">
        <v>6.49</v>
      </c>
      <c r="AK147" s="140">
        <v>22</v>
      </c>
      <c r="AL147" s="140">
        <v>4.2699999999999996</v>
      </c>
      <c r="AM147" s="140">
        <v>1.33</v>
      </c>
      <c r="AN147" s="145">
        <f t="shared" si="36"/>
        <v>3.210526315789473</v>
      </c>
      <c r="AO147" s="145">
        <f t="shared" si="41"/>
        <v>33.723653395784545</v>
      </c>
      <c r="AP147" s="145">
        <f t="shared" si="42"/>
        <v>126.31578947368421</v>
      </c>
      <c r="AQ147" s="145">
        <f t="shared" si="37"/>
        <v>126.31578947368421</v>
      </c>
      <c r="AR147" s="140">
        <v>7.99</v>
      </c>
      <c r="AS147" s="155">
        <f t="shared" si="43"/>
        <v>10.938268340359652</v>
      </c>
      <c r="AT147" s="155">
        <f t="shared" si="44"/>
        <v>28.784916685156979</v>
      </c>
      <c r="AU147" s="143" t="str">
        <f t="shared" si="45"/>
        <v>COMPACT</v>
      </c>
      <c r="AV147" s="140">
        <v>36.9</v>
      </c>
      <c r="AW147" s="155">
        <f t="shared" si="46"/>
        <v>108.23128673619024</v>
      </c>
      <c r="AX147" s="155">
        <f t="shared" si="47"/>
        <v>164.07402510539478</v>
      </c>
      <c r="AY147" s="143" t="str">
        <f t="shared" si="48"/>
        <v>COMPACT</v>
      </c>
      <c r="AZ147" s="145">
        <f t="shared" si="49"/>
        <v>135.57695758708937</v>
      </c>
      <c r="BA147" s="145">
        <f t="shared" si="50"/>
        <v>17.938348693577169</v>
      </c>
      <c r="BB147" s="145">
        <f t="shared" si="51"/>
        <v>15.466912966356752</v>
      </c>
      <c r="BC147" s="145">
        <f t="shared" si="38"/>
        <v>100.38026515165532</v>
      </c>
      <c r="BD147" s="145">
        <f t="shared" si="39"/>
        <v>90.342238636489796</v>
      </c>
      <c r="BE147" s="143">
        <f>COUNTIFS($BD$147:$BD$151,"&gt;="&amp;$J$68)</f>
        <v>0</v>
      </c>
      <c r="BF147" s="145">
        <f t="shared" si="40"/>
        <v>60.107943204584025</v>
      </c>
      <c r="BG147" s="156">
        <f>COUNTIFS($BF$147:$BF$151,"&gt;="&amp;$F$73)</f>
        <v>0</v>
      </c>
    </row>
    <row r="148" spans="1:59">
      <c r="A148" s="299"/>
      <c r="B148" s="29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20"/>
      <c r="AD148" s="120"/>
      <c r="AE148" s="120"/>
      <c r="AF148" s="120"/>
      <c r="AG148" s="120"/>
      <c r="AH148" s="124"/>
      <c r="AI148" s="139" t="s">
        <v>1500</v>
      </c>
      <c r="AJ148" s="140">
        <v>5.62</v>
      </c>
      <c r="AK148" s="140">
        <v>19</v>
      </c>
      <c r="AL148" s="140">
        <v>4.1399999999999997</v>
      </c>
      <c r="AM148" s="140">
        <v>0.874</v>
      </c>
      <c r="AN148" s="145">
        <f t="shared" si="36"/>
        <v>4.7368421052631575</v>
      </c>
      <c r="AO148" s="145">
        <f t="shared" si="41"/>
        <v>34.782608695652179</v>
      </c>
      <c r="AP148" s="145">
        <f t="shared" si="42"/>
        <v>192.21967963386729</v>
      </c>
      <c r="AQ148" s="145">
        <f t="shared" si="37"/>
        <v>192.21967963386729</v>
      </c>
      <c r="AR148" s="140">
        <v>5.09</v>
      </c>
      <c r="AS148" s="155">
        <f t="shared" si="43"/>
        <v>10.938268340359652</v>
      </c>
      <c r="AT148" s="155">
        <f t="shared" si="44"/>
        <v>28.784916685156979</v>
      </c>
      <c r="AU148" s="143" t="str">
        <f t="shared" si="45"/>
        <v>COMPACT</v>
      </c>
      <c r="AV148" s="140">
        <v>35.4</v>
      </c>
      <c r="AW148" s="155">
        <f t="shared" si="46"/>
        <v>108.23128673619024</v>
      </c>
      <c r="AX148" s="155">
        <f t="shared" si="47"/>
        <v>164.07402510539478</v>
      </c>
      <c r="AY148" s="143" t="str">
        <f t="shared" si="48"/>
        <v>COMPACT</v>
      </c>
      <c r="AZ148" s="145">
        <f t="shared" si="49"/>
        <v>135.57695758708937</v>
      </c>
      <c r="BA148" s="145">
        <f t="shared" si="50"/>
        <v>7.746437925634547</v>
      </c>
      <c r="BB148" s="145">
        <f t="shared" si="51"/>
        <v>6.7936260607814978</v>
      </c>
      <c r="BC148" s="145">
        <f t="shared" si="38"/>
        <v>38.180178461592021</v>
      </c>
      <c r="BD148" s="145">
        <f t="shared" si="39"/>
        <v>34.362160615432821</v>
      </c>
      <c r="BE148" s="143">
        <f>COUNTIFS($BD$148:$BD$151,"&gt;="&amp;$J$68)</f>
        <v>0</v>
      </c>
      <c r="BF148" s="145">
        <f t="shared" si="40"/>
        <v>22.862382312330553</v>
      </c>
      <c r="BG148" s="156">
        <f>COUNTIFS($BF$148:$BF$151,"&gt;="&amp;$F$73)</f>
        <v>0</v>
      </c>
    </row>
    <row r="149" spans="1:59">
      <c r="A149" s="299"/>
      <c r="B149" s="299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  <c r="AG149" s="120"/>
      <c r="AH149" s="124"/>
      <c r="AI149" s="139" t="s">
        <v>1503</v>
      </c>
      <c r="AJ149" s="140">
        <v>4.99</v>
      </c>
      <c r="AK149" s="140">
        <v>17</v>
      </c>
      <c r="AL149" s="140">
        <v>4.05</v>
      </c>
      <c r="AM149" s="140">
        <v>0.84499999999999997</v>
      </c>
      <c r="AN149" s="145">
        <f t="shared" si="36"/>
        <v>4.7928994082840237</v>
      </c>
      <c r="AO149" s="145">
        <f t="shared" si="41"/>
        <v>35.555555555555557</v>
      </c>
      <c r="AP149" s="145">
        <f t="shared" si="42"/>
        <v>198.81656804733728</v>
      </c>
      <c r="AQ149" s="145">
        <f t="shared" si="37"/>
        <v>198.81656804733728</v>
      </c>
      <c r="AR149" s="140">
        <v>6.08</v>
      </c>
      <c r="AS149" s="155">
        <f t="shared" si="43"/>
        <v>10.938268340359652</v>
      </c>
      <c r="AT149" s="155">
        <f t="shared" si="44"/>
        <v>28.784916685156979</v>
      </c>
      <c r="AU149" s="143" t="str">
        <f t="shared" si="45"/>
        <v>COMPACT</v>
      </c>
      <c r="AV149" s="140">
        <v>36.9</v>
      </c>
      <c r="AW149" s="155">
        <f t="shared" si="46"/>
        <v>108.23128673619024</v>
      </c>
      <c r="AX149" s="155">
        <f t="shared" si="47"/>
        <v>164.07402510539478</v>
      </c>
      <c r="AY149" s="143" t="str">
        <f t="shared" si="48"/>
        <v>COMPACT</v>
      </c>
      <c r="AZ149" s="145">
        <f t="shared" si="49"/>
        <v>135.57695758708937</v>
      </c>
      <c r="BA149" s="145">
        <f t="shared" si="50"/>
        <v>7.2409008004587241</v>
      </c>
      <c r="BB149" s="145">
        <f t="shared" si="51"/>
        <v>6.3502700020023006</v>
      </c>
      <c r="BC149" s="145">
        <f t="shared" si="38"/>
        <v>31.687847309991483</v>
      </c>
      <c r="BD149" s="145">
        <f t="shared" si="39"/>
        <v>28.519062578992337</v>
      </c>
      <c r="BE149" s="143">
        <f>COUNTIFS($BD$149:$BD$151,"&gt;="&amp;$J$68)</f>
        <v>0</v>
      </c>
      <c r="BF149" s="145">
        <f t="shared" si="40"/>
        <v>18.974758868258373</v>
      </c>
      <c r="BG149" s="156">
        <f>COUNTIFS($BF$149:$BF$151,"&gt;="&amp;$F$73)</f>
        <v>0</v>
      </c>
    </row>
    <row r="150" spans="1:59">
      <c r="A150" s="299"/>
      <c r="B150" s="299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4"/>
      <c r="AI150" s="139" t="s">
        <v>1506</v>
      </c>
      <c r="AJ150" s="140">
        <v>4.41</v>
      </c>
      <c r="AK150" s="140">
        <v>15</v>
      </c>
      <c r="AL150" s="140">
        <v>3.95</v>
      </c>
      <c r="AM150" s="140">
        <v>0.81</v>
      </c>
      <c r="AN150" s="145">
        <f t="shared" si="36"/>
        <v>4.8765432098765435</v>
      </c>
      <c r="AO150" s="145">
        <f t="shared" si="41"/>
        <v>36.455696202531641</v>
      </c>
      <c r="AP150" s="145">
        <f t="shared" si="42"/>
        <v>207.40740740740739</v>
      </c>
      <c r="AQ150" s="145">
        <f t="shared" si="37"/>
        <v>207.40740740740739</v>
      </c>
      <c r="AR150" s="140">
        <v>7.41</v>
      </c>
      <c r="AS150" s="155">
        <f t="shared" si="43"/>
        <v>10.938268340359652</v>
      </c>
      <c r="AT150" s="155">
        <f t="shared" si="44"/>
        <v>28.784916685156979</v>
      </c>
      <c r="AU150" s="143" t="str">
        <f t="shared" si="45"/>
        <v>COMPACT</v>
      </c>
      <c r="AV150" s="140">
        <v>38.5</v>
      </c>
      <c r="AW150" s="155">
        <f t="shared" si="46"/>
        <v>108.23128673619024</v>
      </c>
      <c r="AX150" s="155">
        <f t="shared" si="47"/>
        <v>164.07402510539478</v>
      </c>
      <c r="AY150" s="143" t="str">
        <f t="shared" si="48"/>
        <v>COMPACT</v>
      </c>
      <c r="AZ150" s="145">
        <f t="shared" si="49"/>
        <v>135.57695758708937</v>
      </c>
      <c r="BA150" s="145">
        <f t="shared" si="50"/>
        <v>6.6534855434767257</v>
      </c>
      <c r="BB150" s="145">
        <f t="shared" si="51"/>
        <v>5.8351068216290889</v>
      </c>
      <c r="BC150" s="145">
        <f t="shared" si="38"/>
        <v>25.732821083384284</v>
      </c>
      <c r="BD150" s="145">
        <f t="shared" si="39"/>
        <v>23.159538975045855</v>
      </c>
      <c r="BE150" s="143">
        <f>COUNTIFS($BD$150:$BD$151,"&gt;="&amp;$J$68)</f>
        <v>0</v>
      </c>
      <c r="BF150" s="145">
        <f t="shared" si="40"/>
        <v>15.40887490023011</v>
      </c>
      <c r="BG150" s="156">
        <f>COUNTIFS($BF$150:$BF$151,"&gt;="&amp;$F$73)</f>
        <v>0</v>
      </c>
    </row>
    <row r="151" spans="1:59" ht="15" thickBot="1">
      <c r="A151" s="299"/>
      <c r="B151" s="299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4"/>
      <c r="AI151" s="139" t="s">
        <v>1508</v>
      </c>
      <c r="AJ151" s="140">
        <v>3.54</v>
      </c>
      <c r="AK151" s="140">
        <v>12</v>
      </c>
      <c r="AL151" s="140">
        <v>3.9</v>
      </c>
      <c r="AM151" s="140">
        <v>0.78500000000000003</v>
      </c>
      <c r="AN151" s="145">
        <f t="shared" si="36"/>
        <v>4.968152866242038</v>
      </c>
      <c r="AO151" s="145">
        <f t="shared" si="41"/>
        <v>36.923076923076927</v>
      </c>
      <c r="AP151" s="145">
        <f t="shared" si="42"/>
        <v>214.01273885350318</v>
      </c>
      <c r="AQ151" s="145">
        <f t="shared" si="37"/>
        <v>214.01273885350318</v>
      </c>
      <c r="AR151" s="140">
        <v>9.43</v>
      </c>
      <c r="AS151" s="155">
        <f t="shared" si="43"/>
        <v>10.938268340359652</v>
      </c>
      <c r="AT151" s="155">
        <f t="shared" si="44"/>
        <v>28.784916685156979</v>
      </c>
      <c r="AU151" s="143" t="str">
        <f>IF(AS151 &gt;AR151, "COMPACT", IF(AND(AR151 &gt;AS151, AR151 &lt; AT151), "NON-COMPACT", IF(AR151 &gt; AT151, "SLENDER", "")))</f>
        <v>COMPACT</v>
      </c>
      <c r="AV151" s="140">
        <v>46.6</v>
      </c>
      <c r="AW151" s="155">
        <f t="shared" si="46"/>
        <v>108.23128673619024</v>
      </c>
      <c r="AX151" s="155">
        <f t="shared" si="47"/>
        <v>164.07402510539478</v>
      </c>
      <c r="AY151" s="143" t="str">
        <f t="shared" si="48"/>
        <v>COMPACT</v>
      </c>
      <c r="AZ151" s="145">
        <f t="shared" si="49"/>
        <v>135.57695758708937</v>
      </c>
      <c r="BA151" s="145">
        <f>((PI()^2)*$F$57)/(AQ151^2)</f>
        <v>6.249114660918984</v>
      </c>
      <c r="BB151" s="145">
        <f t="shared" si="51"/>
        <v>5.4804735576259489</v>
      </c>
      <c r="BC151" s="145">
        <f t="shared" si="38"/>
        <v>19.400876393995858</v>
      </c>
      <c r="BD151" s="145">
        <f t="shared" si="39"/>
        <v>17.460788754596273</v>
      </c>
      <c r="BE151" s="143">
        <f>COUNTIFS($BD$151,"&gt;="&amp;$J$68)</f>
        <v>0</v>
      </c>
      <c r="BF151" s="145">
        <f t="shared" si="40"/>
        <v>11.617291253889736</v>
      </c>
      <c r="BG151" s="158">
        <f>COUNTIFS($BF$151,"&gt;="&amp;$F$73)</f>
        <v>0</v>
      </c>
    </row>
    <row r="152" spans="1:59" ht="15" thickTop="1">
      <c r="A152" s="299"/>
      <c r="B152" s="299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  <c r="AE152" s="120"/>
      <c r="AF152" s="120"/>
      <c r="AG152" s="120"/>
      <c r="AH152" s="124"/>
      <c r="AI152" s="791" t="s">
        <v>1981</v>
      </c>
      <c r="AJ152" s="792"/>
      <c r="AK152" s="792"/>
      <c r="AL152" s="792"/>
      <c r="AM152" s="792"/>
      <c r="AN152" s="792"/>
      <c r="AO152" s="792"/>
      <c r="AP152" s="792"/>
      <c r="AQ152" s="792"/>
      <c r="AR152" s="792"/>
      <c r="AS152" s="792"/>
      <c r="AT152" s="792"/>
      <c r="AU152" s="792"/>
      <c r="AV152" s="792"/>
      <c r="AW152" s="792"/>
      <c r="AX152" s="792"/>
      <c r="AY152" s="792"/>
      <c r="AZ152" s="792"/>
      <c r="BA152" s="792"/>
      <c r="BB152" s="792"/>
      <c r="BC152" s="792"/>
      <c r="BD152" s="792"/>
      <c r="BE152" s="792"/>
      <c r="BF152" s="792"/>
      <c r="BG152" s="793"/>
    </row>
    <row r="153" spans="1:59" ht="15" thickBot="1">
      <c r="A153" s="299"/>
      <c r="B153" s="299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0"/>
      <c r="AD153" s="120"/>
      <c r="AE153" s="120"/>
      <c r="AF153" s="120"/>
      <c r="AG153" s="120"/>
      <c r="AH153" s="120"/>
      <c r="AI153" s="794"/>
      <c r="AJ153" s="795"/>
      <c r="AK153" s="795"/>
      <c r="AL153" s="795"/>
      <c r="AM153" s="795"/>
      <c r="AN153" s="795"/>
      <c r="AO153" s="795"/>
      <c r="AP153" s="795"/>
      <c r="AQ153" s="795"/>
      <c r="AR153" s="795"/>
      <c r="AS153" s="795"/>
      <c r="AT153" s="795"/>
      <c r="AU153" s="795"/>
      <c r="AV153" s="795"/>
      <c r="AW153" s="795"/>
      <c r="AX153" s="795"/>
      <c r="AY153" s="795"/>
      <c r="AZ153" s="795"/>
      <c r="BA153" s="795"/>
      <c r="BB153" s="795"/>
      <c r="BC153" s="795"/>
      <c r="BD153" s="795"/>
      <c r="BE153" s="795"/>
      <c r="BF153" s="795"/>
      <c r="BG153" s="796"/>
    </row>
    <row r="154" spans="1:59" ht="15.6" thickTop="1" thickBot="1">
      <c r="A154" s="299"/>
      <c r="B154" s="299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  <c r="AE154" s="120"/>
      <c r="AF154" s="120"/>
      <c r="AG154" s="120"/>
      <c r="AH154" s="124"/>
      <c r="AI154" s="797" t="s">
        <v>1981</v>
      </c>
      <c r="AJ154" s="799"/>
      <c r="AK154" s="799"/>
      <c r="AL154" s="799"/>
      <c r="AM154" s="799"/>
      <c r="AN154" s="799"/>
      <c r="AO154" s="799"/>
      <c r="AP154" s="799"/>
      <c r="AQ154" s="799"/>
      <c r="AR154" s="800" t="s">
        <v>1947</v>
      </c>
      <c r="AS154" s="801"/>
      <c r="AT154" s="801"/>
      <c r="AU154" s="801"/>
      <c r="AV154" s="801"/>
      <c r="AW154" s="801"/>
      <c r="AX154" s="801"/>
      <c r="AY154" s="801"/>
      <c r="AZ154" s="800" t="s">
        <v>1979</v>
      </c>
      <c r="BA154" s="801"/>
      <c r="BB154" s="801"/>
      <c r="BC154" s="159"/>
      <c r="BD154" s="800" t="s">
        <v>1949</v>
      </c>
      <c r="BE154" s="801"/>
      <c r="BF154" s="801"/>
      <c r="BG154" s="801"/>
    </row>
    <row r="155" spans="1:59" ht="15.6" thickTop="1" thickBot="1">
      <c r="A155" s="299"/>
      <c r="B155" s="299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4"/>
      <c r="AI155" s="798"/>
      <c r="AJ155" s="802" t="s">
        <v>1936</v>
      </c>
      <c r="AK155" s="803" t="s">
        <v>1937</v>
      </c>
      <c r="AL155" s="803" t="s">
        <v>1609</v>
      </c>
      <c r="AM155" s="803" t="s">
        <v>1613</v>
      </c>
      <c r="AN155" s="804" t="s">
        <v>1943</v>
      </c>
      <c r="AO155" s="804" t="s">
        <v>1944</v>
      </c>
      <c r="AP155" s="804" t="s">
        <v>1945</v>
      </c>
      <c r="AQ155" s="803" t="s">
        <v>1946</v>
      </c>
      <c r="AR155" s="805" t="s">
        <v>1950</v>
      </c>
      <c r="AS155" s="806"/>
      <c r="AT155" s="806"/>
      <c r="AU155" s="806"/>
      <c r="AV155" s="805" t="s">
        <v>1951</v>
      </c>
      <c r="AW155" s="806"/>
      <c r="AX155" s="806"/>
      <c r="AY155" s="806"/>
      <c r="AZ155" s="807" t="s">
        <v>1953</v>
      </c>
      <c r="BA155" s="803" t="s">
        <v>1954</v>
      </c>
      <c r="BB155" s="803" t="s">
        <v>1940</v>
      </c>
      <c r="BC155" s="789" t="s">
        <v>1941</v>
      </c>
      <c r="BD155" s="129" t="s">
        <v>1542</v>
      </c>
      <c r="BE155" s="787" t="s">
        <v>1934</v>
      </c>
      <c r="BF155" s="129" t="s">
        <v>1541</v>
      </c>
      <c r="BG155" s="787" t="s">
        <v>1934</v>
      </c>
    </row>
    <row r="156" spans="1:59" ht="15.6" thickTop="1" thickBot="1">
      <c r="A156" s="299"/>
      <c r="B156" s="299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0"/>
      <c r="AD156" s="120"/>
      <c r="AE156" s="120"/>
      <c r="AF156" s="120"/>
      <c r="AG156" s="120"/>
      <c r="AH156" s="124"/>
      <c r="AI156" s="798"/>
      <c r="AJ156" s="802"/>
      <c r="AK156" s="803"/>
      <c r="AL156" s="803"/>
      <c r="AM156" s="803"/>
      <c r="AN156" s="804"/>
      <c r="AO156" s="804"/>
      <c r="AP156" s="804"/>
      <c r="AQ156" s="803"/>
      <c r="AR156" s="130" t="s">
        <v>1955</v>
      </c>
      <c r="AS156" s="134" t="s">
        <v>1956</v>
      </c>
      <c r="AT156" s="134" t="s">
        <v>1957</v>
      </c>
      <c r="AU156" s="135" t="s">
        <v>1911</v>
      </c>
      <c r="AV156" s="130" t="s">
        <v>1958</v>
      </c>
      <c r="AW156" s="134" t="s">
        <v>1959</v>
      </c>
      <c r="AX156" s="134" t="s">
        <v>1960</v>
      </c>
      <c r="AY156" s="135" t="s">
        <v>1911</v>
      </c>
      <c r="AZ156" s="808"/>
      <c r="BA156" s="808"/>
      <c r="BB156" s="808"/>
      <c r="BC156" s="789"/>
      <c r="BD156" s="130" t="s">
        <v>1961</v>
      </c>
      <c r="BE156" s="790"/>
      <c r="BF156" s="130" t="s">
        <v>1962</v>
      </c>
      <c r="BG156" s="788"/>
    </row>
    <row r="157" spans="1:59" ht="15" thickTop="1">
      <c r="A157" s="299"/>
      <c r="B157" s="299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  <c r="AE157" s="120"/>
      <c r="AF157" s="120"/>
      <c r="AG157" s="120"/>
      <c r="AH157" s="124"/>
      <c r="AI157" s="139" t="s">
        <v>1467</v>
      </c>
      <c r="AJ157" s="140">
        <v>19.7</v>
      </c>
      <c r="AK157" s="140">
        <v>67</v>
      </c>
      <c r="AL157" s="140">
        <v>3.72</v>
      </c>
      <c r="AM157" s="140">
        <v>2.12</v>
      </c>
      <c r="AN157" s="145">
        <f t="shared" ref="AN157:AN169" si="52">AL157/AM157</f>
        <v>1.7547169811320755</v>
      </c>
      <c r="AO157" s="145">
        <f>($K$79*12)/AL157</f>
        <v>38.70967741935484</v>
      </c>
      <c r="AP157" s="145">
        <f>($K$81*12)/AM157</f>
        <v>79.245283018867923</v>
      </c>
      <c r="AQ157" s="145">
        <f t="shared" ref="AQ157:AQ169" si="53">MAX(AO157:AP157)</f>
        <v>79.245283018867923</v>
      </c>
      <c r="AR157" s="140">
        <v>4.43</v>
      </c>
      <c r="AS157" s="155">
        <f>0.38*SQRT($F$57/$J$59)</f>
        <v>10.938268340359652</v>
      </c>
      <c r="AT157" s="155">
        <f>1*SQRT($F$57/$J$59)</f>
        <v>28.784916685156979</v>
      </c>
      <c r="AU157" s="143" t="str">
        <f>IF(AS157 &gt;AR157, "COMPACT", IF(AND(AR157 &gt;AS157, AR157 &lt; AT157), "NON-COMPACT", IF(AR157 &gt; AT157, "SLENDER", "")))</f>
        <v>COMPACT</v>
      </c>
      <c r="AV157" s="140">
        <v>11.1</v>
      </c>
      <c r="AW157" s="155">
        <f>3.76*SQRT($F$57/$J$59)</f>
        <v>108.23128673619024</v>
      </c>
      <c r="AX157" s="155">
        <f>5.7*SQRT($F$57/$J$59)</f>
        <v>164.07402510539478</v>
      </c>
      <c r="AY157" s="143" t="str">
        <f>IF(AW157 &gt;AV157, "COMPACT", IF(AND(AV157 &gt;AW157, AV157 &lt; AX157), "NON-COMPACT", IF(AV157 &gt; AX157, "SLENDER", "")))</f>
        <v>COMPACT</v>
      </c>
      <c r="AZ157" s="145">
        <f>4.71*SQRT($F$57/$J$59)</f>
        <v>135.57695758708937</v>
      </c>
      <c r="BA157" s="145">
        <f>((PI()^2)*$F$57)/(AQ157^2)</f>
        <v>45.577542183511348</v>
      </c>
      <c r="BB157" s="145">
        <f>_xlfn.IFS(AU157="Slender","N/A",AY157="Slender","N/A",AQ157&lt;=AZ157,((0.658^($J$59/BA157))*$J$59),AQ157&gt;AZ157,(0.877*BA157))</f>
        <v>25.379303449920268</v>
      </c>
      <c r="BC157" s="145">
        <f>AJ157*BB157</f>
        <v>499.97227796342929</v>
      </c>
      <c r="BD157" s="145">
        <f>0.9*BC157</f>
        <v>449.97505016708635</v>
      </c>
      <c r="BE157" s="143">
        <f>COUNTIFS($BD$157:$BD$169,"&gt;="&amp;$J$68)</f>
        <v>4</v>
      </c>
      <c r="BF157" s="145">
        <f t="shared" ref="BF157:BF169" si="54">BC157/1.67</f>
        <v>299.38459758289179</v>
      </c>
      <c r="BG157" s="160">
        <f>COUNTIFS($BF$157:$BF$169,"&gt;="&amp;$F$73)</f>
        <v>4</v>
      </c>
    </row>
    <row r="158" spans="1:59">
      <c r="A158" s="299"/>
      <c r="B158" s="299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  <c r="AC158" s="120"/>
      <c r="AD158" s="120"/>
      <c r="AE158" s="120"/>
      <c r="AF158" s="120"/>
      <c r="AG158" s="120"/>
      <c r="AH158" s="124"/>
      <c r="AI158" s="139" t="s">
        <v>1475</v>
      </c>
      <c r="AJ158" s="140">
        <v>17.100000000000001</v>
      </c>
      <c r="AK158" s="140">
        <v>58</v>
      </c>
      <c r="AL158" s="140">
        <v>3.65</v>
      </c>
      <c r="AM158" s="140">
        <v>2.1</v>
      </c>
      <c r="AN158" s="145">
        <f t="shared" si="52"/>
        <v>1.7380952380952379</v>
      </c>
      <c r="AO158" s="145">
        <f t="shared" ref="AO158:AO169" si="55">($K$79*12)/AL158</f>
        <v>39.452054794520549</v>
      </c>
      <c r="AP158" s="145">
        <f t="shared" ref="AP158:AP169" si="56">($K$81*12)/AM158</f>
        <v>80</v>
      </c>
      <c r="AQ158" s="145">
        <f t="shared" si="53"/>
        <v>80</v>
      </c>
      <c r="AR158" s="140">
        <v>5.07</v>
      </c>
      <c r="AS158" s="155">
        <f t="shared" ref="AS158:AS168" si="57">0.38*SQRT($F$57/$J$59)</f>
        <v>10.938268340359652</v>
      </c>
      <c r="AT158" s="155">
        <f t="shared" ref="AT158:AT168" si="58">1*SQRT($F$57/$J$59)</f>
        <v>28.784916685156979</v>
      </c>
      <c r="AU158" s="143" t="str">
        <f t="shared" ref="AU158:AU169" si="59">IF(AS158 &gt;AR158, "COMPACT", IF(AND(AR158 &gt;AS158, AR158 &lt; AT158), "NON-COMPACT", IF(AR158 &gt; AT158, "SLENDER", "")))</f>
        <v>COMPACT</v>
      </c>
      <c r="AV158" s="140">
        <v>12.4</v>
      </c>
      <c r="AW158" s="155">
        <f t="shared" ref="AW158:AW169" si="60">3.76*SQRT($F$57/$J$59)</f>
        <v>108.23128673619024</v>
      </c>
      <c r="AX158" s="155">
        <f t="shared" ref="AX158:AX169" si="61">5.7*SQRT($F$57/$J$59)</f>
        <v>164.07402510539478</v>
      </c>
      <c r="AY158" s="143" t="str">
        <f t="shared" ref="AY158:AY169" si="62">IF(AW158 &gt;AV158, "COMPACT", IF(AND(AV158 &gt;AW158, AV158 &lt; AX158), "NON-COMPACT", IF(AV158 &gt; AX158, "SLENDER", "")))</f>
        <v>COMPACT</v>
      </c>
      <c r="AZ158" s="145">
        <f t="shared" ref="AZ158:AZ169" si="63">4.71*SQRT($F$57/$J$59)</f>
        <v>135.57695758708937</v>
      </c>
      <c r="BA158" s="145">
        <f t="shared" ref="BA158:BA169" si="64">((PI()^2)*$F$57)/(AQ158^2)</f>
        <v>44.72164494243615</v>
      </c>
      <c r="BB158" s="145">
        <f t="shared" ref="BB158:BB169" si="65">_xlfn.IFS(AU158="Slender","N/A",AY158="Slender","N/A",AQ158&lt;=AZ158,((0.658^($J$59/BA158))*$J$59),AQ158&gt;AZ158,(0.877*BA158))</f>
        <v>25.22366627227364</v>
      </c>
      <c r="BC158" s="145">
        <f t="shared" ref="BC158:BC169" si="66">AJ158*BB158</f>
        <v>431.32469325587925</v>
      </c>
      <c r="BD158" s="145">
        <f t="shared" ref="BD158:BD169" si="67">0.9*BC158</f>
        <v>388.19222393029133</v>
      </c>
      <c r="BE158" s="143">
        <f>COUNTIFS($BD$158:$BD$169,"&gt;="&amp;$J$68)</f>
        <v>3</v>
      </c>
      <c r="BF158" s="145">
        <f t="shared" si="54"/>
        <v>258.27825943465825</v>
      </c>
      <c r="BG158" s="156">
        <f>COUNTIFS($BF$158:$BF$169,"&gt;="&amp;$F$73)</f>
        <v>3</v>
      </c>
    </row>
    <row r="159" spans="1:59">
      <c r="A159" s="299"/>
      <c r="B159" s="299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  <c r="AC159" s="120"/>
      <c r="AD159" s="120"/>
      <c r="AE159" s="120"/>
      <c r="AF159" s="120"/>
      <c r="AG159" s="120"/>
      <c r="AH159" s="124"/>
      <c r="AI159" s="139" t="s">
        <v>1481</v>
      </c>
      <c r="AJ159" s="140">
        <v>14.1</v>
      </c>
      <c r="AK159" s="140">
        <v>48</v>
      </c>
      <c r="AL159" s="140">
        <v>3.61</v>
      </c>
      <c r="AM159" s="140">
        <v>2.08</v>
      </c>
      <c r="AN159" s="145">
        <f t="shared" si="52"/>
        <v>1.7355769230769229</v>
      </c>
      <c r="AO159" s="145">
        <f t="shared" si="55"/>
        <v>39.88919667590028</v>
      </c>
      <c r="AP159" s="145">
        <f t="shared" si="56"/>
        <v>80.769230769230759</v>
      </c>
      <c r="AQ159" s="145">
        <f t="shared" si="53"/>
        <v>80.769230769230759</v>
      </c>
      <c r="AR159" s="140">
        <v>5.92</v>
      </c>
      <c r="AS159" s="155">
        <f t="shared" si="57"/>
        <v>10.938268340359652</v>
      </c>
      <c r="AT159" s="155">
        <f t="shared" si="58"/>
        <v>28.784916685156979</v>
      </c>
      <c r="AU159" s="143" t="str">
        <f t="shared" si="59"/>
        <v>COMPACT</v>
      </c>
      <c r="AV159" s="140">
        <v>15.9</v>
      </c>
      <c r="AW159" s="155">
        <f t="shared" si="60"/>
        <v>108.23128673619024</v>
      </c>
      <c r="AX159" s="155">
        <f t="shared" si="61"/>
        <v>164.07402510539478</v>
      </c>
      <c r="AY159" s="143" t="str">
        <f t="shared" si="62"/>
        <v>COMPACT</v>
      </c>
      <c r="AZ159" s="145">
        <f t="shared" si="63"/>
        <v>135.57695758708937</v>
      </c>
      <c r="BA159" s="145">
        <f t="shared" si="64"/>
        <v>43.873860471418546</v>
      </c>
      <c r="BB159" s="145">
        <f t="shared" si="65"/>
        <v>25.064514284615964</v>
      </c>
      <c r="BC159" s="145">
        <f t="shared" si="66"/>
        <v>353.4096514130851</v>
      </c>
      <c r="BD159" s="145">
        <f t="shared" si="67"/>
        <v>318.06868627177658</v>
      </c>
      <c r="BE159" s="143">
        <f>COUNTIFS($BD$159:$BD$169,"&gt;="&amp;$J$68)</f>
        <v>2</v>
      </c>
      <c r="BF159" s="145">
        <f t="shared" si="54"/>
        <v>211.62254575633838</v>
      </c>
      <c r="BG159" s="156">
        <f>COUNTIFS($BF$159:$BF$169,"&gt;="&amp;$F$73)</f>
        <v>2</v>
      </c>
    </row>
    <row r="160" spans="1:59">
      <c r="A160" s="299"/>
      <c r="B160" s="299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0"/>
      <c r="AD160" s="120"/>
      <c r="AE160" s="120"/>
      <c r="AF160" s="120"/>
      <c r="AG160" s="120"/>
      <c r="AH160" s="124"/>
      <c r="AI160" s="139" t="s">
        <v>1487</v>
      </c>
      <c r="AJ160" s="140">
        <v>11.7</v>
      </c>
      <c r="AK160" s="140">
        <v>40</v>
      </c>
      <c r="AL160" s="140">
        <v>3.53</v>
      </c>
      <c r="AM160" s="140">
        <v>2.04</v>
      </c>
      <c r="AN160" s="145">
        <f t="shared" si="52"/>
        <v>1.7303921568627449</v>
      </c>
      <c r="AO160" s="145">
        <f t="shared" si="55"/>
        <v>40.793201133144478</v>
      </c>
      <c r="AP160" s="145">
        <f t="shared" si="56"/>
        <v>82.35294117647058</v>
      </c>
      <c r="AQ160" s="145">
        <f t="shared" si="53"/>
        <v>82.35294117647058</v>
      </c>
      <c r="AR160" s="140">
        <v>7.21</v>
      </c>
      <c r="AS160" s="155">
        <f t="shared" si="57"/>
        <v>10.938268340359652</v>
      </c>
      <c r="AT160" s="155">
        <f t="shared" si="58"/>
        <v>28.784916685156979</v>
      </c>
      <c r="AU160" s="143" t="str">
        <f t="shared" si="59"/>
        <v>COMPACT</v>
      </c>
      <c r="AV160" s="140">
        <v>17.600000000000001</v>
      </c>
      <c r="AW160" s="155">
        <f t="shared" si="60"/>
        <v>108.23128673619024</v>
      </c>
      <c r="AX160" s="155">
        <f t="shared" si="61"/>
        <v>164.07402510539478</v>
      </c>
      <c r="AY160" s="143" t="str">
        <f t="shared" si="62"/>
        <v>COMPACT</v>
      </c>
      <c r="AZ160" s="145">
        <f t="shared" si="63"/>
        <v>135.57695758708937</v>
      </c>
      <c r="BA160" s="145">
        <f t="shared" si="64"/>
        <v>42.202629839556081</v>
      </c>
      <c r="BB160" s="145">
        <f t="shared" si="65"/>
        <v>24.735285312333652</v>
      </c>
      <c r="BC160" s="145">
        <f t="shared" si="66"/>
        <v>289.40283815430371</v>
      </c>
      <c r="BD160" s="145">
        <f t="shared" si="67"/>
        <v>260.46255433887336</v>
      </c>
      <c r="BE160" s="143">
        <f>COUNTIFS($BD$160:$BD$169,"&gt;="&amp;$J$68)</f>
        <v>1</v>
      </c>
      <c r="BF160" s="145">
        <f t="shared" si="54"/>
        <v>173.29511266724774</v>
      </c>
      <c r="BG160" s="156">
        <f>COUNTIFS($BF$160:$BF$169,"&gt;="&amp;$F$73)</f>
        <v>1</v>
      </c>
    </row>
    <row r="161" spans="1:59">
      <c r="A161" s="299"/>
      <c r="B161" s="299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  <c r="AE161" s="120"/>
      <c r="AF161" s="120"/>
      <c r="AG161" s="120"/>
      <c r="AH161" s="124"/>
      <c r="AI161" s="139" t="s">
        <v>1491</v>
      </c>
      <c r="AJ161" s="140">
        <v>10.3</v>
      </c>
      <c r="AK161" s="140">
        <v>35</v>
      </c>
      <c r="AL161" s="140">
        <v>3.51</v>
      </c>
      <c r="AM161" s="140">
        <v>2.0299999999999998</v>
      </c>
      <c r="AN161" s="145">
        <f t="shared" si="52"/>
        <v>1.729064039408867</v>
      </c>
      <c r="AO161" s="145">
        <f t="shared" si="55"/>
        <v>41.025641025641029</v>
      </c>
      <c r="AP161" s="145">
        <f t="shared" si="56"/>
        <v>82.758620689655174</v>
      </c>
      <c r="AQ161" s="145">
        <f t="shared" si="53"/>
        <v>82.758620689655174</v>
      </c>
      <c r="AR161" s="140">
        <v>8.1</v>
      </c>
      <c r="AS161" s="155">
        <f t="shared" si="57"/>
        <v>10.938268340359652</v>
      </c>
      <c r="AT161" s="155">
        <f t="shared" si="58"/>
        <v>28.784916685156979</v>
      </c>
      <c r="AU161" s="143" t="str">
        <f t="shared" si="59"/>
        <v>COMPACT</v>
      </c>
      <c r="AV161" s="140">
        <v>20.5</v>
      </c>
      <c r="AW161" s="155">
        <f t="shared" si="60"/>
        <v>108.23128673619024</v>
      </c>
      <c r="AX161" s="155">
        <f t="shared" si="61"/>
        <v>164.07402510539478</v>
      </c>
      <c r="AY161" s="143" t="str">
        <f t="shared" si="62"/>
        <v>COMPACT</v>
      </c>
      <c r="AZ161" s="145">
        <f t="shared" si="63"/>
        <v>135.57695758708937</v>
      </c>
      <c r="BA161" s="145">
        <f t="shared" si="64"/>
        <v>41.789892662876447</v>
      </c>
      <c r="BB161" s="145">
        <f t="shared" si="65"/>
        <v>24.650630575991507</v>
      </c>
      <c r="BC161" s="145">
        <f t="shared" si="66"/>
        <v>253.90149493271252</v>
      </c>
      <c r="BD161" s="145">
        <f t="shared" si="67"/>
        <v>228.51134543944127</v>
      </c>
      <c r="BE161" s="143">
        <f>COUNTIFS($BD$161:$BD$169,"&gt;="&amp;$J$68)</f>
        <v>0</v>
      </c>
      <c r="BF161" s="145">
        <f t="shared" si="54"/>
        <v>152.03682331300152</v>
      </c>
      <c r="BG161" s="156">
        <f>COUNTIFS($BF$161:$BF$169,"&gt;="&amp;$F$73)</f>
        <v>0</v>
      </c>
    </row>
    <row r="162" spans="1:59">
      <c r="A162" s="299"/>
      <c r="B162" s="299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  <c r="AE162" s="120"/>
      <c r="AF162" s="120"/>
      <c r="AG162" s="120"/>
      <c r="AH162" s="124"/>
      <c r="AI162" s="139" t="s">
        <v>1494</v>
      </c>
      <c r="AJ162" s="140">
        <v>9.1300000000000008</v>
      </c>
      <c r="AK162" s="140">
        <v>31</v>
      </c>
      <c r="AL162" s="140">
        <v>3.47</v>
      </c>
      <c r="AM162" s="140">
        <v>2.02</v>
      </c>
      <c r="AN162" s="145">
        <f t="shared" si="52"/>
        <v>1.7178217821782178</v>
      </c>
      <c r="AO162" s="145">
        <f t="shared" si="55"/>
        <v>41.498559077809794</v>
      </c>
      <c r="AP162" s="145">
        <f t="shared" si="56"/>
        <v>83.168316831683171</v>
      </c>
      <c r="AQ162" s="145">
        <f t="shared" si="53"/>
        <v>83.168316831683171</v>
      </c>
      <c r="AR162" s="140">
        <v>9.19</v>
      </c>
      <c r="AS162" s="155">
        <f t="shared" si="57"/>
        <v>10.938268340359652</v>
      </c>
      <c r="AT162" s="155">
        <f t="shared" si="58"/>
        <v>28.784916685156979</v>
      </c>
      <c r="AU162" s="143" t="str">
        <f t="shared" si="59"/>
        <v>COMPACT</v>
      </c>
      <c r="AV162" s="140">
        <v>22.3</v>
      </c>
      <c r="AW162" s="155">
        <f t="shared" si="60"/>
        <v>108.23128673619024</v>
      </c>
      <c r="AX162" s="155">
        <f t="shared" si="61"/>
        <v>164.07402510539478</v>
      </c>
      <c r="AY162" s="143" t="str">
        <f t="shared" si="62"/>
        <v>COMPACT</v>
      </c>
      <c r="AZ162" s="145">
        <f t="shared" si="63"/>
        <v>135.57695758708937</v>
      </c>
      <c r="BA162" s="145">
        <f t="shared" si="64"/>
        <v>41.379183678711215</v>
      </c>
      <c r="BB162" s="145">
        <f t="shared" si="65"/>
        <v>24.565011703690033</v>
      </c>
      <c r="BC162" s="145">
        <f t="shared" si="66"/>
        <v>224.27855685469001</v>
      </c>
      <c r="BD162" s="145">
        <f t="shared" si="67"/>
        <v>201.85070116922103</v>
      </c>
      <c r="BE162" s="143">
        <f>COUNTIFS($BD$162:$BD$169,"&gt;="&amp;$J$68)</f>
        <v>0</v>
      </c>
      <c r="BF162" s="145">
        <f t="shared" si="54"/>
        <v>134.29853703873653</v>
      </c>
      <c r="BG162" s="156">
        <f>COUNTIFS($BF$162:$BF$169,"&gt;="&amp;$F$73)</f>
        <v>0</v>
      </c>
    </row>
    <row r="163" spans="1:59">
      <c r="A163" s="299"/>
      <c r="B163" s="299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0"/>
      <c r="AD163" s="120"/>
      <c r="AE163" s="120"/>
      <c r="AF163" s="120"/>
      <c r="AG163" s="120"/>
      <c r="AH163" s="124"/>
      <c r="AI163" s="139" t="s">
        <v>1496</v>
      </c>
      <c r="AJ163" s="140">
        <v>8.25</v>
      </c>
      <c r="AK163" s="140">
        <v>28</v>
      </c>
      <c r="AL163" s="140">
        <v>3.45</v>
      </c>
      <c r="AM163" s="140">
        <v>1.62</v>
      </c>
      <c r="AN163" s="145">
        <f t="shared" si="52"/>
        <v>2.1296296296296298</v>
      </c>
      <c r="AO163" s="145">
        <f t="shared" si="55"/>
        <v>41.739130434782609</v>
      </c>
      <c r="AP163" s="145">
        <f t="shared" si="56"/>
        <v>103.7037037037037</v>
      </c>
      <c r="AQ163" s="145">
        <f t="shared" si="53"/>
        <v>103.7037037037037</v>
      </c>
      <c r="AR163" s="140">
        <v>7.03</v>
      </c>
      <c r="AS163" s="155">
        <f t="shared" si="57"/>
        <v>10.938268340359652</v>
      </c>
      <c r="AT163" s="155">
        <f t="shared" si="58"/>
        <v>28.784916685156979</v>
      </c>
      <c r="AU163" s="143" t="str">
        <f t="shared" si="59"/>
        <v>COMPACT</v>
      </c>
      <c r="AV163" s="140">
        <v>22.3</v>
      </c>
      <c r="AW163" s="155">
        <f t="shared" si="60"/>
        <v>108.23128673619024</v>
      </c>
      <c r="AX163" s="155">
        <f t="shared" si="61"/>
        <v>164.07402510539478</v>
      </c>
      <c r="AY163" s="143" t="str">
        <f t="shared" si="62"/>
        <v>COMPACT</v>
      </c>
      <c r="AZ163" s="145">
        <f t="shared" si="63"/>
        <v>135.57695758708937</v>
      </c>
      <c r="BA163" s="145">
        <f t="shared" si="64"/>
        <v>26.613942173906903</v>
      </c>
      <c r="BB163" s="145">
        <f t="shared" si="65"/>
        <v>20.184448389786397</v>
      </c>
      <c r="BC163" s="145">
        <f t="shared" si="66"/>
        <v>166.52169921573778</v>
      </c>
      <c r="BD163" s="145">
        <f t="shared" si="67"/>
        <v>149.86952929416401</v>
      </c>
      <c r="BE163" s="143">
        <f>COUNTIFS($BD$163:$BD$169,"&gt;="&amp;$J$68)</f>
        <v>0</v>
      </c>
      <c r="BF163" s="145">
        <f t="shared" si="54"/>
        <v>99.713592344753167</v>
      </c>
      <c r="BG163" s="156">
        <f>COUNTIFS($BF$163:$BF$169,"&gt;="&amp;$F$73)</f>
        <v>0</v>
      </c>
    </row>
    <row r="164" spans="1:59">
      <c r="A164" s="299"/>
      <c r="B164" s="299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  <c r="AC164" s="120"/>
      <c r="AD164" s="120"/>
      <c r="AE164" s="120"/>
      <c r="AF164" s="120"/>
      <c r="AG164" s="120"/>
      <c r="AH164" s="124"/>
      <c r="AI164" s="139" t="s">
        <v>1499</v>
      </c>
      <c r="AJ164" s="140">
        <v>7.08</v>
      </c>
      <c r="AK164" s="140">
        <v>24</v>
      </c>
      <c r="AL164" s="140">
        <v>3.42</v>
      </c>
      <c r="AM164" s="140">
        <v>1.61</v>
      </c>
      <c r="AN164" s="145">
        <f t="shared" si="52"/>
        <v>2.1242236024844718</v>
      </c>
      <c r="AO164" s="145">
        <f t="shared" si="55"/>
        <v>42.10526315789474</v>
      </c>
      <c r="AP164" s="145">
        <f t="shared" si="56"/>
        <v>104.34782608695652</v>
      </c>
      <c r="AQ164" s="145">
        <f t="shared" si="53"/>
        <v>104.34782608695652</v>
      </c>
      <c r="AR164" s="140">
        <v>8.1199999999999992</v>
      </c>
      <c r="AS164" s="155">
        <f t="shared" si="57"/>
        <v>10.938268340359652</v>
      </c>
      <c r="AT164" s="155">
        <f t="shared" si="58"/>
        <v>28.784916685156979</v>
      </c>
      <c r="AU164" s="143" t="str">
        <f t="shared" si="59"/>
        <v>COMPACT</v>
      </c>
      <c r="AV164" s="140">
        <v>25.9</v>
      </c>
      <c r="AW164" s="155">
        <f t="shared" si="60"/>
        <v>108.23128673619024</v>
      </c>
      <c r="AX164" s="155">
        <f t="shared" si="61"/>
        <v>164.07402510539478</v>
      </c>
      <c r="AY164" s="143" t="str">
        <f t="shared" si="62"/>
        <v>COMPACT</v>
      </c>
      <c r="AZ164" s="145">
        <f t="shared" si="63"/>
        <v>135.57695758708937</v>
      </c>
      <c r="BA164" s="145">
        <f t="shared" si="64"/>
        <v>26.286389082831917</v>
      </c>
      <c r="BB164" s="145">
        <f t="shared" si="65"/>
        <v>20.046478077162966</v>
      </c>
      <c r="BC164" s="145">
        <f t="shared" si="66"/>
        <v>141.9290647863138</v>
      </c>
      <c r="BD164" s="145">
        <f t="shared" si="67"/>
        <v>127.73615830768243</v>
      </c>
      <c r="BE164" s="143">
        <f>COUNTIFS($BD$164:$BD$169,"&gt;="&amp;$J$68)</f>
        <v>0</v>
      </c>
      <c r="BF164" s="145">
        <f t="shared" si="54"/>
        <v>84.98746394390048</v>
      </c>
      <c r="BG164" s="156">
        <f>COUNTIFS($BF$164:$BF$169,"&gt;="&amp;$F$73)</f>
        <v>0</v>
      </c>
    </row>
    <row r="165" spans="1:59">
      <c r="A165" s="299"/>
      <c r="B165" s="299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  <c r="AC165" s="120"/>
      <c r="AD165" s="120"/>
      <c r="AE165" s="120"/>
      <c r="AF165" s="120"/>
      <c r="AG165" s="120"/>
      <c r="AH165" s="124"/>
      <c r="AI165" s="139" t="s">
        <v>1501</v>
      </c>
      <c r="AJ165" s="140">
        <v>6.16</v>
      </c>
      <c r="AK165" s="140">
        <v>21</v>
      </c>
      <c r="AL165" s="140">
        <v>3.49</v>
      </c>
      <c r="AM165" s="140">
        <v>1.26</v>
      </c>
      <c r="AN165" s="145">
        <f t="shared" si="52"/>
        <v>2.7698412698412698</v>
      </c>
      <c r="AO165" s="145">
        <f t="shared" si="55"/>
        <v>41.260744985673348</v>
      </c>
      <c r="AP165" s="145">
        <f t="shared" si="56"/>
        <v>133.33333333333334</v>
      </c>
      <c r="AQ165" s="145">
        <f t="shared" si="53"/>
        <v>133.33333333333334</v>
      </c>
      <c r="AR165" s="140">
        <v>6.59</v>
      </c>
      <c r="AS165" s="155">
        <f t="shared" si="57"/>
        <v>10.938268340359652</v>
      </c>
      <c r="AT165" s="155">
        <f t="shared" si="58"/>
        <v>28.784916685156979</v>
      </c>
      <c r="AU165" s="143" t="str">
        <f t="shared" si="59"/>
        <v>COMPACT</v>
      </c>
      <c r="AV165" s="140">
        <v>27.5</v>
      </c>
      <c r="AW165" s="155">
        <f t="shared" si="60"/>
        <v>108.23128673619024</v>
      </c>
      <c r="AX165" s="155">
        <f t="shared" si="61"/>
        <v>164.07402510539478</v>
      </c>
      <c r="AY165" s="143" t="str">
        <f t="shared" si="62"/>
        <v>COMPACT</v>
      </c>
      <c r="AZ165" s="145">
        <f t="shared" si="63"/>
        <v>135.57695758708937</v>
      </c>
      <c r="BA165" s="145">
        <f t="shared" si="64"/>
        <v>16.09979217927701</v>
      </c>
      <c r="BB165" s="145">
        <f t="shared" si="65"/>
        <v>14.089703131171506</v>
      </c>
      <c r="BC165" s="145">
        <f t="shared" si="66"/>
        <v>86.792571288016475</v>
      </c>
      <c r="BD165" s="145">
        <f t="shared" si="67"/>
        <v>78.113314159214823</v>
      </c>
      <c r="BE165" s="143">
        <f>COUNTIFS($BD$165:$BD$169,"&gt;="&amp;$J$68)</f>
        <v>0</v>
      </c>
      <c r="BF165" s="145">
        <f t="shared" si="54"/>
        <v>51.971599573662566</v>
      </c>
      <c r="BG165" s="156">
        <f>COUNTIFS($BF$165:$BF$169,"&gt;="&amp;$F$73)</f>
        <v>0</v>
      </c>
    </row>
    <row r="166" spans="1:59">
      <c r="A166" s="299"/>
      <c r="B166" s="299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0"/>
      <c r="AD166" s="120"/>
      <c r="AE166" s="120"/>
      <c r="AF166" s="120"/>
      <c r="AG166" s="120"/>
      <c r="AH166" s="124"/>
      <c r="AI166" s="139" t="s">
        <v>1505</v>
      </c>
      <c r="AJ166" s="140">
        <v>5.26</v>
      </c>
      <c r="AK166" s="140">
        <v>18</v>
      </c>
      <c r="AL166" s="140">
        <v>3.43</v>
      </c>
      <c r="AM166" s="140">
        <v>1.23</v>
      </c>
      <c r="AN166" s="145">
        <f t="shared" si="52"/>
        <v>2.7886178861788617</v>
      </c>
      <c r="AO166" s="145">
        <f t="shared" si="55"/>
        <v>41.982507288629733</v>
      </c>
      <c r="AP166" s="145">
        <f t="shared" si="56"/>
        <v>136.58536585365854</v>
      </c>
      <c r="AQ166" s="145">
        <f t="shared" si="53"/>
        <v>136.58536585365854</v>
      </c>
      <c r="AR166" s="140">
        <v>7.95</v>
      </c>
      <c r="AS166" s="155">
        <f t="shared" si="57"/>
        <v>10.938268340359652</v>
      </c>
      <c r="AT166" s="155">
        <f t="shared" si="58"/>
        <v>28.784916685156979</v>
      </c>
      <c r="AU166" s="143" t="str">
        <f t="shared" si="59"/>
        <v>COMPACT</v>
      </c>
      <c r="AV166" s="140">
        <v>29.9</v>
      </c>
      <c r="AW166" s="155">
        <f t="shared" si="60"/>
        <v>108.23128673619024</v>
      </c>
      <c r="AX166" s="155">
        <f t="shared" si="61"/>
        <v>164.07402510539478</v>
      </c>
      <c r="AY166" s="143" t="str">
        <f t="shared" si="62"/>
        <v>COMPACT</v>
      </c>
      <c r="AZ166" s="145">
        <f t="shared" si="63"/>
        <v>135.57695758708937</v>
      </c>
      <c r="BA166" s="145">
        <f t="shared" si="64"/>
        <v>15.342262275150034</v>
      </c>
      <c r="BB166" s="145">
        <f t="shared" si="65"/>
        <v>13.455164015306581</v>
      </c>
      <c r="BC166" s="145">
        <f t="shared" si="66"/>
        <v>70.774162720512606</v>
      </c>
      <c r="BD166" s="145">
        <f t="shared" si="67"/>
        <v>63.696746448461347</v>
      </c>
      <c r="BE166" s="143">
        <f>COUNTIFS($BD$166:$BD$169,"&gt;="&amp;$J$68)</f>
        <v>0</v>
      </c>
      <c r="BF166" s="145">
        <f t="shared" si="54"/>
        <v>42.379738155995575</v>
      </c>
      <c r="BG166" s="156">
        <f>COUNTIFS($BF$166:$BF$169,"&gt;="&amp;$F$73)</f>
        <v>0</v>
      </c>
    </row>
    <row r="167" spans="1:59">
      <c r="A167" s="299"/>
      <c r="B167" s="299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  <c r="AB167" s="120"/>
      <c r="AC167" s="120"/>
      <c r="AD167" s="120"/>
      <c r="AE167" s="120"/>
      <c r="AF167" s="120"/>
      <c r="AG167" s="120"/>
      <c r="AH167" s="124"/>
      <c r="AI167" s="139" t="s">
        <v>1507</v>
      </c>
      <c r="AJ167" s="140">
        <v>4.4400000000000004</v>
      </c>
      <c r="AK167" s="140">
        <v>15</v>
      </c>
      <c r="AL167" s="140">
        <v>3.29</v>
      </c>
      <c r="AM167" s="140">
        <v>0.876</v>
      </c>
      <c r="AN167" s="145">
        <f t="shared" si="52"/>
        <v>3.7557077625570776</v>
      </c>
      <c r="AO167" s="145">
        <f t="shared" si="55"/>
        <v>43.768996960486319</v>
      </c>
      <c r="AP167" s="145">
        <f t="shared" si="56"/>
        <v>191.78082191780823</v>
      </c>
      <c r="AQ167" s="145">
        <f t="shared" si="53"/>
        <v>191.78082191780823</v>
      </c>
      <c r="AR167" s="140">
        <v>6.37</v>
      </c>
      <c r="AS167" s="155">
        <f t="shared" si="57"/>
        <v>10.938268340359652</v>
      </c>
      <c r="AT167" s="155">
        <f t="shared" si="58"/>
        <v>28.784916685156979</v>
      </c>
      <c r="AU167" s="143" t="str">
        <f t="shared" si="59"/>
        <v>COMPACT</v>
      </c>
      <c r="AV167" s="140">
        <v>28.1</v>
      </c>
      <c r="AW167" s="155">
        <f t="shared" si="60"/>
        <v>108.23128673619024</v>
      </c>
      <c r="AX167" s="155">
        <f t="shared" si="61"/>
        <v>164.07402510539478</v>
      </c>
      <c r="AY167" s="143" t="str">
        <f t="shared" si="62"/>
        <v>COMPACT</v>
      </c>
      <c r="AZ167" s="145">
        <f t="shared" si="63"/>
        <v>135.57695758708937</v>
      </c>
      <c r="BA167" s="145">
        <f t="shared" si="64"/>
        <v>7.7819312946364816</v>
      </c>
      <c r="BB167" s="145">
        <f t="shared" si="65"/>
        <v>6.8247537453961939</v>
      </c>
      <c r="BC167" s="145">
        <f t="shared" si="66"/>
        <v>30.301906629559102</v>
      </c>
      <c r="BD167" s="145">
        <f t="shared" si="67"/>
        <v>27.271715966603193</v>
      </c>
      <c r="BE167" s="143">
        <f>COUNTIFS($BD$167:$BD$169,"&gt;="&amp;$J$68)</f>
        <v>0</v>
      </c>
      <c r="BF167" s="145">
        <f t="shared" si="54"/>
        <v>18.144854269197069</v>
      </c>
      <c r="BG167" s="156">
        <f>COUNTIFS($BF$167:$BF$169,"&gt;="&amp;$F$73)</f>
        <v>0</v>
      </c>
    </row>
    <row r="168" spans="1:59">
      <c r="A168" s="299"/>
      <c r="B168" s="299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  <c r="AC168" s="120"/>
      <c r="AD168" s="120"/>
      <c r="AE168" s="120"/>
      <c r="AF168" s="120"/>
      <c r="AG168" s="120"/>
      <c r="AH168" s="124"/>
      <c r="AI168" s="139" t="s">
        <v>1509</v>
      </c>
      <c r="AJ168" s="140">
        <v>3.84</v>
      </c>
      <c r="AK168" s="140">
        <v>13</v>
      </c>
      <c r="AL168" s="140">
        <v>3.21</v>
      </c>
      <c r="AM168" s="140">
        <v>0.84299999999999997</v>
      </c>
      <c r="AN168" s="145">
        <f t="shared" si="52"/>
        <v>3.8078291814946619</v>
      </c>
      <c r="AO168" s="145">
        <f t="shared" si="55"/>
        <v>44.859813084112147</v>
      </c>
      <c r="AP168" s="145">
        <f t="shared" si="56"/>
        <v>199.28825622775801</v>
      </c>
      <c r="AQ168" s="145">
        <f t="shared" si="53"/>
        <v>199.28825622775801</v>
      </c>
      <c r="AR168" s="140">
        <v>7.84</v>
      </c>
      <c r="AS168" s="155">
        <f t="shared" si="57"/>
        <v>10.938268340359652</v>
      </c>
      <c r="AT168" s="155">
        <f t="shared" si="58"/>
        <v>28.784916685156979</v>
      </c>
      <c r="AU168" s="143" t="str">
        <f t="shared" si="59"/>
        <v>COMPACT</v>
      </c>
      <c r="AV168" s="140">
        <v>29.9</v>
      </c>
      <c r="AW168" s="155">
        <f t="shared" si="60"/>
        <v>108.23128673619024</v>
      </c>
      <c r="AX168" s="155">
        <f t="shared" si="61"/>
        <v>164.07402510539478</v>
      </c>
      <c r="AY168" s="143" t="str">
        <f t="shared" si="62"/>
        <v>COMPACT</v>
      </c>
      <c r="AZ168" s="145">
        <f t="shared" si="63"/>
        <v>135.57695758708937</v>
      </c>
      <c r="BA168" s="145">
        <f t="shared" si="64"/>
        <v>7.2066649108157161</v>
      </c>
      <c r="BB168" s="145">
        <f t="shared" si="65"/>
        <v>6.320245126785383</v>
      </c>
      <c r="BC168" s="145">
        <f t="shared" si="66"/>
        <v>24.269741286855869</v>
      </c>
      <c r="BD168" s="145">
        <f t="shared" si="67"/>
        <v>21.842767158170282</v>
      </c>
      <c r="BE168" s="143">
        <f>COUNTIFS($BD$168:$BD$169,"&gt;="&amp;$J$68)</f>
        <v>0</v>
      </c>
      <c r="BF168" s="145">
        <f t="shared" si="54"/>
        <v>14.532779213686149</v>
      </c>
      <c r="BG168" s="156">
        <f>COUNTIFS($BF$168:$BF$169,"&gt;="&amp;$F$73)</f>
        <v>0</v>
      </c>
    </row>
    <row r="169" spans="1:59" ht="15" thickBot="1">
      <c r="A169" s="299"/>
      <c r="B169" s="299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  <c r="AC169" s="120"/>
      <c r="AD169" s="120"/>
      <c r="AE169" s="120"/>
      <c r="AF169" s="120"/>
      <c r="AG169" s="120"/>
      <c r="AH169" s="124"/>
      <c r="AI169" s="157" t="s">
        <v>1510</v>
      </c>
      <c r="AJ169" s="161">
        <v>2.96</v>
      </c>
      <c r="AK169" s="161">
        <v>10</v>
      </c>
      <c r="AL169" s="161">
        <v>3.22</v>
      </c>
      <c r="AM169" s="161">
        <v>0.84099999999999997</v>
      </c>
      <c r="AN169" s="162">
        <f t="shared" si="52"/>
        <v>3.8287752675386448</v>
      </c>
      <c r="AO169" s="162">
        <f t="shared" si="55"/>
        <v>44.720496894409933</v>
      </c>
      <c r="AP169" s="162">
        <f t="shared" si="56"/>
        <v>199.76218787158146</v>
      </c>
      <c r="AQ169" s="162">
        <f t="shared" si="53"/>
        <v>199.76218787158146</v>
      </c>
      <c r="AR169" s="161">
        <v>9.61</v>
      </c>
      <c r="AS169" s="163">
        <f>0.38*SQRT($F$57/$J$59)</f>
        <v>10.938268340359652</v>
      </c>
      <c r="AT169" s="163">
        <f>1*SQRT($F$57/$J$59)</f>
        <v>28.784916685156979</v>
      </c>
      <c r="AU169" s="164" t="str">
        <f t="shared" si="59"/>
        <v>COMPACT</v>
      </c>
      <c r="AV169" s="161">
        <v>40.5</v>
      </c>
      <c r="AW169" s="163">
        <f t="shared" si="60"/>
        <v>108.23128673619024</v>
      </c>
      <c r="AX169" s="163">
        <f t="shared" si="61"/>
        <v>164.07402510539478</v>
      </c>
      <c r="AY169" s="164" t="str">
        <f t="shared" si="62"/>
        <v>COMPACT</v>
      </c>
      <c r="AZ169" s="162">
        <f t="shared" si="63"/>
        <v>135.57695758708937</v>
      </c>
      <c r="BA169" s="162">
        <f t="shared" si="64"/>
        <v>7.1725101488732843</v>
      </c>
      <c r="BB169" s="162">
        <f t="shared" si="65"/>
        <v>6.2902914005618706</v>
      </c>
      <c r="BC169" s="162">
        <f t="shared" si="66"/>
        <v>18.619262545663137</v>
      </c>
      <c r="BD169" s="162">
        <f t="shared" si="67"/>
        <v>16.757336291096824</v>
      </c>
      <c r="BE169" s="164">
        <f>COUNTIFS($BD$169,"&gt;="&amp;$J$68)</f>
        <v>0</v>
      </c>
      <c r="BF169" s="162">
        <f t="shared" si="54"/>
        <v>11.149259009379124</v>
      </c>
      <c r="BG169" s="158">
        <f>COUNTIFS($BF$169,"&gt;="&amp;$F$73)</f>
        <v>0</v>
      </c>
    </row>
    <row r="170" spans="1:59" ht="15" thickTop="1"/>
  </sheetData>
  <mergeCells count="321">
    <mergeCell ref="C13:E14"/>
    <mergeCell ref="F13:G14"/>
    <mergeCell ref="H13:I13"/>
    <mergeCell ref="H14:I14"/>
    <mergeCell ref="C17:D18"/>
    <mergeCell ref="N17:W17"/>
    <mergeCell ref="N18:P19"/>
    <mergeCell ref="Q18:U19"/>
    <mergeCell ref="V18:W19"/>
    <mergeCell ref="C19:E19"/>
    <mergeCell ref="C15:E16"/>
    <mergeCell ref="N15:W15"/>
    <mergeCell ref="N16:W16"/>
    <mergeCell ref="F15:K16"/>
    <mergeCell ref="L15:L16"/>
    <mergeCell ref="F17:K17"/>
    <mergeCell ref="F18:K18"/>
    <mergeCell ref="F19:K19"/>
    <mergeCell ref="V20:W21"/>
    <mergeCell ref="C21:L21"/>
    <mergeCell ref="C22:L22"/>
    <mergeCell ref="N22:P23"/>
    <mergeCell ref="Q22:U23"/>
    <mergeCell ref="V22:W23"/>
    <mergeCell ref="C23:L23"/>
    <mergeCell ref="C20:E20"/>
    <mergeCell ref="N20:P21"/>
    <mergeCell ref="Q20:U21"/>
    <mergeCell ref="F20:K20"/>
    <mergeCell ref="N24:P25"/>
    <mergeCell ref="Q24:U25"/>
    <mergeCell ref="V24:W25"/>
    <mergeCell ref="C25:D28"/>
    <mergeCell ref="E25:F25"/>
    <mergeCell ref="G25:I25"/>
    <mergeCell ref="J25:L28"/>
    <mergeCell ref="E26:F26"/>
    <mergeCell ref="G26:I26"/>
    <mergeCell ref="N26:W26"/>
    <mergeCell ref="E27:F27"/>
    <mergeCell ref="G27:I27"/>
    <mergeCell ref="N27:W27"/>
    <mergeCell ref="E28:F28"/>
    <mergeCell ref="G28:I28"/>
    <mergeCell ref="C29:L29"/>
    <mergeCell ref="N29:W29"/>
    <mergeCell ref="C30:L30"/>
    <mergeCell ref="N30:P31"/>
    <mergeCell ref="Q30:U31"/>
    <mergeCell ref="V30:W31"/>
    <mergeCell ref="C31:D34"/>
    <mergeCell ref="E31:F31"/>
    <mergeCell ref="G31:I31"/>
    <mergeCell ref="J31:L34"/>
    <mergeCell ref="E32:F32"/>
    <mergeCell ref="G32:I32"/>
    <mergeCell ref="N32:W32"/>
    <mergeCell ref="E33:F33"/>
    <mergeCell ref="G33:I33"/>
    <mergeCell ref="N5:P5"/>
    <mergeCell ref="Q5:S5"/>
    <mergeCell ref="N6:P6"/>
    <mergeCell ref="Q6:S6"/>
    <mergeCell ref="O7:P8"/>
    <mergeCell ref="R7:S8"/>
    <mergeCell ref="O9:P14"/>
    <mergeCell ref="R9:S14"/>
    <mergeCell ref="F11:K12"/>
    <mergeCell ref="L11:L12"/>
    <mergeCell ref="J13:K13"/>
    <mergeCell ref="J14:K14"/>
    <mergeCell ref="Q9:Q14"/>
    <mergeCell ref="C4:L5"/>
    <mergeCell ref="N4:W4"/>
    <mergeCell ref="T5:U6"/>
    <mergeCell ref="V5:W6"/>
    <mergeCell ref="C8:L8"/>
    <mergeCell ref="T9:T14"/>
    <mergeCell ref="U9:U14"/>
    <mergeCell ref="C9:E10"/>
    <mergeCell ref="F9:L10"/>
    <mergeCell ref="N9:N14"/>
    <mergeCell ref="C11:E12"/>
    <mergeCell ref="C6:L6"/>
    <mergeCell ref="T7:T8"/>
    <mergeCell ref="U7:U8"/>
    <mergeCell ref="V7:W14"/>
    <mergeCell ref="C7:L7"/>
    <mergeCell ref="N7:N8"/>
    <mergeCell ref="Q7:Q8"/>
    <mergeCell ref="N37:O38"/>
    <mergeCell ref="P37:W38"/>
    <mergeCell ref="C38:E38"/>
    <mergeCell ref="J38:L38"/>
    <mergeCell ref="C35:L35"/>
    <mergeCell ref="C36:L36"/>
    <mergeCell ref="F37:G37"/>
    <mergeCell ref="H37:I38"/>
    <mergeCell ref="J37:L37"/>
    <mergeCell ref="C24:L24"/>
    <mergeCell ref="C37:E37"/>
    <mergeCell ref="N33:P34"/>
    <mergeCell ref="Q33:U34"/>
    <mergeCell ref="V33:W34"/>
    <mergeCell ref="E34:F34"/>
    <mergeCell ref="G34:I34"/>
    <mergeCell ref="N28:W28"/>
    <mergeCell ref="K39:L40"/>
    <mergeCell ref="D41:E42"/>
    <mergeCell ref="H41:I42"/>
    <mergeCell ref="K41:L46"/>
    <mergeCell ref="D43:E44"/>
    <mergeCell ref="H43:I44"/>
    <mergeCell ref="D45:E46"/>
    <mergeCell ref="H45:I46"/>
    <mergeCell ref="C41:C42"/>
    <mergeCell ref="F41:F42"/>
    <mergeCell ref="G41:G42"/>
    <mergeCell ref="J39:J40"/>
    <mergeCell ref="C45:C46"/>
    <mergeCell ref="F45:F46"/>
    <mergeCell ref="G45:G46"/>
    <mergeCell ref="C43:C44"/>
    <mergeCell ref="F43:F44"/>
    <mergeCell ref="G43:G44"/>
    <mergeCell ref="J41:J46"/>
    <mergeCell ref="C39:C40"/>
    <mergeCell ref="F39:F40"/>
    <mergeCell ref="G39:G40"/>
    <mergeCell ref="D39:E40"/>
    <mergeCell ref="H39:I40"/>
    <mergeCell ref="AI51:BG52"/>
    <mergeCell ref="C53:L54"/>
    <mergeCell ref="N53:AD53"/>
    <mergeCell ref="AI53:BG53"/>
    <mergeCell ref="N54:N56"/>
    <mergeCell ref="O54:O56"/>
    <mergeCell ref="P54:P56"/>
    <mergeCell ref="Q54:Q56"/>
    <mergeCell ref="R54:R56"/>
    <mergeCell ref="S54:Z54"/>
    <mergeCell ref="AA54:AA56"/>
    <mergeCell ref="AB54:AB56"/>
    <mergeCell ref="AC54:AC56"/>
    <mergeCell ref="AI54:AI56"/>
    <mergeCell ref="AJ54:AJ56"/>
    <mergeCell ref="AK54:AK56"/>
    <mergeCell ref="AL54:AL56"/>
    <mergeCell ref="AM54:AM56"/>
    <mergeCell ref="AN54:AN56"/>
    <mergeCell ref="AO54:AO56"/>
    <mergeCell ref="AP54:AP56"/>
    <mergeCell ref="AQ54:AQ56"/>
    <mergeCell ref="AR54:AY54"/>
    <mergeCell ref="AZ54:BC54"/>
    <mergeCell ref="BD54:BG54"/>
    <mergeCell ref="C55:L55"/>
    <mergeCell ref="S55:V55"/>
    <mergeCell ref="W55:Z55"/>
    <mergeCell ref="AD55:AD56"/>
    <mergeCell ref="AR55:AU55"/>
    <mergeCell ref="AV55:AY55"/>
    <mergeCell ref="AZ55:AZ56"/>
    <mergeCell ref="BA55:BA56"/>
    <mergeCell ref="BB55:BB56"/>
    <mergeCell ref="BC55:BC56"/>
    <mergeCell ref="BE55:BE56"/>
    <mergeCell ref="BG55:BG56"/>
    <mergeCell ref="C56:L56"/>
    <mergeCell ref="C57:E58"/>
    <mergeCell ref="F57:K58"/>
    <mergeCell ref="L57:L58"/>
    <mergeCell ref="C59:E60"/>
    <mergeCell ref="F59:G60"/>
    <mergeCell ref="H59:I59"/>
    <mergeCell ref="J59:K59"/>
    <mergeCell ref="H60:I60"/>
    <mergeCell ref="J60:K60"/>
    <mergeCell ref="C61:E62"/>
    <mergeCell ref="F61:K62"/>
    <mergeCell ref="L61:L62"/>
    <mergeCell ref="N61:AD61"/>
    <mergeCell ref="N62:AD62"/>
    <mergeCell ref="C63:E64"/>
    <mergeCell ref="F63:K64"/>
    <mergeCell ref="L63:L64"/>
    <mergeCell ref="N63:AD64"/>
    <mergeCell ref="C65:L65"/>
    <mergeCell ref="N65:AD66"/>
    <mergeCell ref="C66:L66"/>
    <mergeCell ref="C67:L67"/>
    <mergeCell ref="N67:AD67"/>
    <mergeCell ref="C68:E69"/>
    <mergeCell ref="F68:G69"/>
    <mergeCell ref="H68:H69"/>
    <mergeCell ref="I68:I71"/>
    <mergeCell ref="J68:K71"/>
    <mergeCell ref="L68:L71"/>
    <mergeCell ref="N68:N70"/>
    <mergeCell ref="O68:O70"/>
    <mergeCell ref="P68:P70"/>
    <mergeCell ref="Q68:Q70"/>
    <mergeCell ref="R68:R70"/>
    <mergeCell ref="S68:Z68"/>
    <mergeCell ref="AA68:AA70"/>
    <mergeCell ref="AB68:AB70"/>
    <mergeCell ref="AC68:AC70"/>
    <mergeCell ref="S69:V69"/>
    <mergeCell ref="W69:Z69"/>
    <mergeCell ref="AD69:AD70"/>
    <mergeCell ref="C70:E71"/>
    <mergeCell ref="F70:G71"/>
    <mergeCell ref="H70:H71"/>
    <mergeCell ref="C72:L72"/>
    <mergeCell ref="C73:E74"/>
    <mergeCell ref="F73:K74"/>
    <mergeCell ref="L73:L74"/>
    <mergeCell ref="C75:L75"/>
    <mergeCell ref="N75:AD75"/>
    <mergeCell ref="C76:L76"/>
    <mergeCell ref="N76:AD76"/>
    <mergeCell ref="C77:E77"/>
    <mergeCell ref="F77:G77"/>
    <mergeCell ref="H77:I77"/>
    <mergeCell ref="J77:L77"/>
    <mergeCell ref="N77:AD78"/>
    <mergeCell ref="C78:E78"/>
    <mergeCell ref="H78:I78"/>
    <mergeCell ref="J78:L78"/>
    <mergeCell ref="C79:C80"/>
    <mergeCell ref="D79:E80"/>
    <mergeCell ref="F79:F80"/>
    <mergeCell ref="G79:G80"/>
    <mergeCell ref="H79:I80"/>
    <mergeCell ref="J79:J80"/>
    <mergeCell ref="K79:L80"/>
    <mergeCell ref="AZ98:AZ99"/>
    <mergeCell ref="C81:C82"/>
    <mergeCell ref="D81:E82"/>
    <mergeCell ref="F81:F82"/>
    <mergeCell ref="G81:G82"/>
    <mergeCell ref="H81:I82"/>
    <mergeCell ref="J81:J86"/>
    <mergeCell ref="K81:L86"/>
    <mergeCell ref="C83:C84"/>
    <mergeCell ref="D83:E84"/>
    <mergeCell ref="F83:F84"/>
    <mergeCell ref="G83:G84"/>
    <mergeCell ref="H83:I84"/>
    <mergeCell ref="BB132:BB133"/>
    <mergeCell ref="N83:S84"/>
    <mergeCell ref="T83:AD84"/>
    <mergeCell ref="C85:C86"/>
    <mergeCell ref="D85:E86"/>
    <mergeCell ref="F85:F86"/>
    <mergeCell ref="G85:G86"/>
    <mergeCell ref="H85:I86"/>
    <mergeCell ref="AI95:BG96"/>
    <mergeCell ref="AI97:AI99"/>
    <mergeCell ref="AJ97:AQ97"/>
    <mergeCell ref="AR97:AY97"/>
    <mergeCell ref="AZ97:BB97"/>
    <mergeCell ref="BD97:BG97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U98"/>
    <mergeCell ref="AV98:AY98"/>
    <mergeCell ref="BE155:BE156"/>
    <mergeCell ref="BA98:BA99"/>
    <mergeCell ref="BB98:BB99"/>
    <mergeCell ref="BC98:BC99"/>
    <mergeCell ref="BE98:BE99"/>
    <mergeCell ref="BG98:BG99"/>
    <mergeCell ref="AI129:BG130"/>
    <mergeCell ref="AI131:AI133"/>
    <mergeCell ref="AJ131:AQ131"/>
    <mergeCell ref="AR131:AY131"/>
    <mergeCell ref="AZ131:BB131"/>
    <mergeCell ref="BD131:BG131"/>
    <mergeCell ref="AJ132:AJ133"/>
    <mergeCell ref="AK132:AK133"/>
    <mergeCell ref="AL132:AL133"/>
    <mergeCell ref="AM132:AM133"/>
    <mergeCell ref="AN132:AN133"/>
    <mergeCell ref="AO132:AO133"/>
    <mergeCell ref="AP132:AP133"/>
    <mergeCell ref="AQ132:AQ133"/>
    <mergeCell ref="AR132:AU132"/>
    <mergeCell ref="AV132:AY132"/>
    <mergeCell ref="AZ132:AZ133"/>
    <mergeCell ref="BA132:BA133"/>
    <mergeCell ref="BG155:BG156"/>
    <mergeCell ref="BC132:BC133"/>
    <mergeCell ref="BE132:BE133"/>
    <mergeCell ref="BG132:BG133"/>
    <mergeCell ref="AI152:BG153"/>
    <mergeCell ref="AI154:AI156"/>
    <mergeCell ref="AJ154:AQ154"/>
    <mergeCell ref="AR154:AY154"/>
    <mergeCell ref="AZ154:BB154"/>
    <mergeCell ref="BD154:BG154"/>
    <mergeCell ref="AJ155:AJ156"/>
    <mergeCell ref="AK155:AK156"/>
    <mergeCell ref="AL155:AL156"/>
    <mergeCell ref="AM155:AM156"/>
    <mergeCell ref="AN155:AN156"/>
    <mergeCell ref="AO155:AO156"/>
    <mergeCell ref="AP155:AP156"/>
    <mergeCell ref="AQ155:AQ156"/>
    <mergeCell ref="AR155:AU155"/>
    <mergeCell ref="AV155:AY155"/>
    <mergeCell ref="AZ155:AZ156"/>
    <mergeCell ref="BA155:BA156"/>
    <mergeCell ref="BB155:BB156"/>
    <mergeCell ref="BC155:BC15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9EB191A-3DC4-4032-A214-125C89135CE4}">
          <x14:formula1>
            <xm:f>'Database 1'!$CM$3:$CM$36</xm:f>
          </x14:formula1>
          <xm:sqref>F59:G60 F13:G14</xm:sqref>
        </x14:dataValidation>
        <x14:dataValidation type="list" allowBlank="1" showInputMessage="1" showErrorMessage="1" xr:uid="{CD71E5EB-DD9D-4F0B-AE8B-A70A11ED2F34}">
          <x14:formula1>
            <xm:f>'Database 1'!$DZ$8:$DZ$290</xm:f>
          </x14:formula1>
          <xm:sqref>F9:L10</xm:sqref>
        </x14:dataValidation>
        <x14:dataValidation type="list" allowBlank="1" showInputMessage="1" showErrorMessage="1" xr:uid="{DAF2E0F0-CB08-4C93-ABEC-5E2F4BD37751}">
          <x14:formula1>
            <xm:f>'Database 1'!$EW$7:$EW$13</xm:f>
          </x14:formula1>
          <xm:sqref>F39:F46 F79:F86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F6B2-F7A5-459E-8B33-6B17C810A205}">
  <dimension ref="A2:AJ74"/>
  <sheetViews>
    <sheetView tabSelected="1" zoomScale="69" zoomScaleNormal="69" workbookViewId="0">
      <selection activeCell="S22" sqref="S22"/>
    </sheetView>
  </sheetViews>
  <sheetFormatPr defaultRowHeight="13.8"/>
  <cols>
    <col min="1" max="2" width="8.88671875" style="167"/>
    <col min="3" max="3" width="11" style="167" customWidth="1"/>
    <col min="4" max="4" width="11.109375" style="167" bestFit="1" customWidth="1"/>
    <col min="5" max="5" width="10.5546875" style="167" customWidth="1"/>
    <col min="6" max="6" width="12.109375" style="167" customWidth="1"/>
    <col min="7" max="7" width="8.88671875" style="167"/>
    <col min="8" max="8" width="10.21875" style="167" customWidth="1"/>
    <col min="9" max="9" width="10.77734375" style="167" customWidth="1"/>
    <col min="10" max="10" width="17.109375" style="167" customWidth="1"/>
    <col min="11" max="11" width="8.88671875" style="167"/>
    <col min="12" max="12" width="13.88671875" style="167" customWidth="1"/>
    <col min="13" max="14" width="8.88671875" style="167"/>
    <col min="15" max="15" width="11" style="167" customWidth="1"/>
    <col min="16" max="16" width="15.33203125" style="167" customWidth="1"/>
    <col min="17" max="17" width="12" style="167" customWidth="1"/>
    <col min="18" max="18" width="12.6640625" style="167" customWidth="1"/>
    <col min="19" max="19" width="10.33203125" style="167" customWidth="1"/>
    <col min="20" max="21" width="8.88671875" style="167"/>
    <col min="22" max="27" width="8.88671875" style="167" customWidth="1"/>
    <col min="28" max="28" width="8.88671875" style="167"/>
    <col min="29" max="29" width="8.88671875" style="167" customWidth="1"/>
    <col min="30" max="30" width="17.109375" style="167" customWidth="1"/>
    <col min="31" max="31" width="10.33203125" style="167" customWidth="1"/>
    <col min="32" max="32" width="8.33203125" style="167" customWidth="1"/>
    <col min="33" max="33" width="8.88671875" style="167"/>
    <col min="34" max="34" width="8.88671875" style="167" customWidth="1"/>
    <col min="35" max="16384" width="8.88671875" style="167"/>
  </cols>
  <sheetData>
    <row r="2" spans="1:36" ht="28.8" customHeight="1">
      <c r="B2" s="1255" t="s">
        <v>1982</v>
      </c>
      <c r="C2" s="1255"/>
      <c r="D2" s="1255"/>
      <c r="E2" s="1255"/>
      <c r="F2" s="1255"/>
      <c r="G2" s="1255"/>
      <c r="H2" s="1255"/>
      <c r="I2" s="1255"/>
      <c r="J2" s="1255"/>
      <c r="K2" s="1255"/>
      <c r="L2" s="1255"/>
      <c r="M2" s="1255"/>
      <c r="N2" s="1255"/>
      <c r="O2" s="1255"/>
      <c r="P2" s="1255"/>
      <c r="Q2" s="1255"/>
      <c r="R2" s="1255"/>
      <c r="S2" s="1255"/>
    </row>
    <row r="3" spans="1:36" ht="15" customHeight="1" thickBot="1"/>
    <row r="4" spans="1:36" ht="19.2" customHeight="1" thickTop="1" thickBot="1">
      <c r="A4" s="125"/>
      <c r="B4" s="551" t="s">
        <v>1568</v>
      </c>
      <c r="C4" s="552"/>
      <c r="D4" s="552"/>
      <c r="E4" s="552"/>
      <c r="F4" s="554"/>
      <c r="G4" s="125"/>
      <c r="H4" s="552" t="s">
        <v>1565</v>
      </c>
      <c r="I4" s="552"/>
      <c r="J4" s="552"/>
      <c r="K4" s="552"/>
      <c r="L4" s="552"/>
      <c r="M4" s="554"/>
      <c r="O4" s="555" t="s">
        <v>1552</v>
      </c>
      <c r="P4" s="553"/>
      <c r="Q4" s="553"/>
      <c r="R4" s="553"/>
      <c r="S4" s="556"/>
    </row>
    <row r="5" spans="1:36" ht="15" customHeight="1" thickTop="1" thickBot="1">
      <c r="A5" s="125"/>
      <c r="B5" s="933" t="s">
        <v>1549</v>
      </c>
      <c r="C5" s="934"/>
      <c r="D5" s="1295" t="s">
        <v>1380</v>
      </c>
      <c r="E5" s="1296"/>
      <c r="F5" s="1297"/>
      <c r="G5" s="125"/>
      <c r="H5" s="1309" t="s">
        <v>1549</v>
      </c>
      <c r="I5" s="1310"/>
      <c r="J5" s="1303" t="s">
        <v>1454</v>
      </c>
      <c r="K5" s="1304"/>
      <c r="L5" s="1305"/>
      <c r="M5" s="194"/>
      <c r="O5" s="1224" t="s">
        <v>1549</v>
      </c>
      <c r="P5" s="1225"/>
      <c r="Q5" s="1303" t="s">
        <v>1454</v>
      </c>
      <c r="R5" s="1304"/>
      <c r="S5" s="1305"/>
      <c r="AE5" s="170"/>
      <c r="AF5" s="170"/>
      <c r="AG5" s="170"/>
      <c r="AH5" s="170"/>
      <c r="AI5" s="170"/>
      <c r="AJ5" s="170"/>
    </row>
    <row r="6" spans="1:36" ht="15" customHeight="1" thickTop="1" thickBot="1">
      <c r="A6" s="125"/>
      <c r="B6" s="1294"/>
      <c r="C6" s="1227"/>
      <c r="D6" s="1222"/>
      <c r="E6" s="1298"/>
      <c r="F6" s="1299"/>
      <c r="G6" s="125"/>
      <c r="H6" s="1309"/>
      <c r="I6" s="1310"/>
      <c r="J6" s="1306"/>
      <c r="K6" s="1307"/>
      <c r="L6" s="1308"/>
      <c r="M6" s="199"/>
      <c r="O6" s="893"/>
      <c r="P6" s="895"/>
      <c r="Q6" s="1306"/>
      <c r="R6" s="1307"/>
      <c r="S6" s="1308"/>
    </row>
    <row r="7" spans="1:36" ht="14.4" thickBot="1">
      <c r="A7" s="125"/>
      <c r="B7" s="200"/>
      <c r="C7" s="200"/>
      <c r="D7" s="200"/>
      <c r="E7" s="200"/>
      <c r="F7" s="213"/>
      <c r="G7" s="125"/>
      <c r="H7" s="225"/>
      <c r="I7" s="200"/>
      <c r="J7" s="200"/>
      <c r="K7" s="226"/>
      <c r="L7" s="200"/>
      <c r="M7" s="199"/>
      <c r="O7" s="191"/>
      <c r="P7" s="200"/>
      <c r="Q7" s="200"/>
      <c r="R7" s="265"/>
      <c r="S7" s="199"/>
    </row>
    <row r="8" spans="1:36" ht="19.2" thickTop="1" thickBot="1">
      <c r="A8" s="125"/>
      <c r="B8" s="891" t="s">
        <v>536</v>
      </c>
      <c r="C8" s="892"/>
      <c r="D8" s="210" t="s">
        <v>2019</v>
      </c>
      <c r="E8" s="584">
        <f>VLOOKUP($B$10,'Database 1'!$CM$3:$CO$36,3,FALSE)</f>
        <v>36</v>
      </c>
      <c r="F8" s="613"/>
      <c r="G8" s="125"/>
      <c r="H8" s="1224" t="s">
        <v>536</v>
      </c>
      <c r="I8" s="1225"/>
      <c r="J8" s="204"/>
      <c r="K8" s="200"/>
      <c r="L8" s="221"/>
      <c r="M8" s="194"/>
      <c r="O8" s="214"/>
      <c r="P8" s="1326" t="s">
        <v>1551</v>
      </c>
      <c r="Q8" s="1327"/>
      <c r="R8" s="1335">
        <v>35</v>
      </c>
      <c r="S8" s="1336"/>
    </row>
    <row r="9" spans="1:36" ht="16.8" thickBot="1">
      <c r="A9" s="125"/>
      <c r="B9" s="1294"/>
      <c r="C9" s="1227"/>
      <c r="D9" s="208" t="s">
        <v>2020</v>
      </c>
      <c r="E9" s="1281">
        <f>VLOOKUP(D5,'Database 1'!$DH$4:$DN$286,7,FALSE)</f>
        <v>370</v>
      </c>
      <c r="F9" s="1282"/>
      <c r="G9" s="125"/>
      <c r="H9" s="1226"/>
      <c r="I9" s="1227"/>
      <c r="J9" s="231" t="s">
        <v>2049</v>
      </c>
      <c r="K9" s="1311">
        <f>VLOOKUP(H10,'Database 1'!$CM$3:$CO$36,3,FALSE)</f>
        <v>36</v>
      </c>
      <c r="L9" s="1312"/>
      <c r="M9" s="199"/>
      <c r="O9" s="1328" t="s">
        <v>1571</v>
      </c>
      <c r="P9" s="1329"/>
      <c r="Q9" s="1330"/>
      <c r="R9" s="1335">
        <v>1</v>
      </c>
      <c r="S9" s="1336"/>
    </row>
    <row r="10" spans="1:36" ht="18" thickBot="1">
      <c r="A10" s="125"/>
      <c r="B10" s="1351" t="s">
        <v>483</v>
      </c>
      <c r="C10" s="1352"/>
      <c r="D10" s="209" t="s">
        <v>2021</v>
      </c>
      <c r="E10" s="1283">
        <f>VLOOKUP(D5,'Database 1'!$DH$4:$DO$286,8,FALSE)</f>
        <v>329</v>
      </c>
      <c r="F10" s="1284"/>
      <c r="G10" s="125"/>
      <c r="H10" s="1361" t="s">
        <v>483</v>
      </c>
      <c r="I10" s="1352"/>
      <c r="J10" s="232" t="s">
        <v>1</v>
      </c>
      <c r="K10" s="575">
        <f>VLOOKUP(J5,'Database 1'!$DH$4:$DJ$286,3,FALSE)</f>
        <v>20.7</v>
      </c>
      <c r="L10" s="576"/>
      <c r="M10" s="199"/>
      <c r="O10" s="214"/>
      <c r="P10" s="1331" t="s">
        <v>2022</v>
      </c>
      <c r="Q10" s="1332"/>
      <c r="R10" s="1337">
        <f>VLOOKUP(Q5,'Database 1'!$DQ$4:$DS$286,3,FALSE)</f>
        <v>843</v>
      </c>
      <c r="S10" s="1338"/>
    </row>
    <row r="11" spans="1:36" ht="16.8" thickBot="1">
      <c r="A11" s="125"/>
      <c r="B11" s="1353"/>
      <c r="C11" s="1354"/>
      <c r="D11" s="1300" t="s">
        <v>1569</v>
      </c>
      <c r="E11" s="1301"/>
      <c r="F11" s="1302"/>
      <c r="G11" s="125"/>
      <c r="H11" s="1362"/>
      <c r="I11" s="1363"/>
      <c r="J11" s="232" t="s">
        <v>2023</v>
      </c>
      <c r="K11" s="575">
        <f>VLOOKUP(J5,'Database 1'!$DH$4:$DK$286,4,FALSE)</f>
        <v>0.35</v>
      </c>
      <c r="L11" s="576"/>
      <c r="M11" s="199"/>
      <c r="O11" s="1333" t="s">
        <v>2055</v>
      </c>
      <c r="P11" s="1334"/>
      <c r="Q11" s="1334"/>
      <c r="R11" s="1339">
        <f>R8/360</f>
        <v>9.7222222222222224E-2</v>
      </c>
      <c r="S11" s="1340"/>
    </row>
    <row r="12" spans="1:36" ht="16.2" customHeight="1" thickBot="1">
      <c r="A12" s="125"/>
      <c r="B12" s="211" t="s">
        <v>2052</v>
      </c>
      <c r="C12" s="171">
        <f>VLOOKUP(D5,'Database 1'!$DH$4:$DM$286,6,FALSE)</f>
        <v>6.7</v>
      </c>
      <c r="D12" s="1285" t="str">
        <f>IF(C12&lt;C13,"Compact Section",IF(C12&gt;C14,"Slender Section","Non-Compact Section"))</f>
        <v>Compact Section</v>
      </c>
      <c r="E12" s="1286"/>
      <c r="F12" s="1287"/>
      <c r="G12" s="125"/>
      <c r="H12" s="1364"/>
      <c r="I12" s="1354"/>
      <c r="J12" s="233" t="s">
        <v>2024</v>
      </c>
      <c r="K12" s="575">
        <f>VLOOKUP(J5,'Database 1'!$DH$4:'Database 1'!$DL$286,5,FALSE)</f>
        <v>53.6</v>
      </c>
      <c r="L12" s="576"/>
      <c r="M12" s="216"/>
      <c r="O12" s="191"/>
      <c r="P12" s="200"/>
      <c r="Q12" s="200"/>
      <c r="R12" s="200"/>
      <c r="S12" s="199"/>
    </row>
    <row r="13" spans="1:36" ht="16.2" customHeight="1" thickTop="1" thickBot="1">
      <c r="A13" s="125"/>
      <c r="B13" s="212" t="s">
        <v>2053</v>
      </c>
      <c r="C13" s="172">
        <f>0.38*(SQRT(29000/E8))</f>
        <v>10.785278031753387</v>
      </c>
      <c r="D13" s="1288"/>
      <c r="E13" s="1289"/>
      <c r="F13" s="1290"/>
      <c r="G13" s="125"/>
      <c r="H13" s="200"/>
      <c r="I13" s="230"/>
      <c r="J13" s="233" t="s">
        <v>2036</v>
      </c>
      <c r="K13" s="1311">
        <f>K10*K11</f>
        <v>7.2449999999999992</v>
      </c>
      <c r="L13" s="1312"/>
      <c r="M13" s="199"/>
      <c r="O13" s="1372" t="s">
        <v>2037</v>
      </c>
      <c r="P13" s="1373"/>
      <c r="Q13" s="1210" t="s">
        <v>1561</v>
      </c>
      <c r="R13" s="1211"/>
      <c r="S13" s="199"/>
    </row>
    <row r="14" spans="1:36" ht="21" customHeight="1" thickBot="1">
      <c r="A14" s="125"/>
      <c r="B14" s="211" t="s">
        <v>2054</v>
      </c>
      <c r="C14" s="173">
        <f>1*(SQRT(29000/E8))</f>
        <v>28.382310609877337</v>
      </c>
      <c r="D14" s="1291"/>
      <c r="E14" s="1292"/>
      <c r="F14" s="1293"/>
      <c r="G14" s="125"/>
      <c r="H14" s="222"/>
      <c r="I14" s="222"/>
      <c r="J14" s="234" t="s">
        <v>2047</v>
      </c>
      <c r="K14" s="1313">
        <f>2.24*SQRT(29000/K9)</f>
        <v>63.576375766125238</v>
      </c>
      <c r="L14" s="1314"/>
      <c r="M14" s="199"/>
      <c r="O14" s="917" t="s">
        <v>2051</v>
      </c>
      <c r="P14" s="934"/>
      <c r="Q14" s="1341">
        <f>(5/384)*R9*R8^4/((29000*R10)*(12^2)*(1/12)^3)</f>
        <v>9.5910605084468456E-3</v>
      </c>
      <c r="R14" s="1342"/>
      <c r="S14" s="1208" t="str">
        <f>IF(R11&gt;Q14,"SAFE","UNSAFE")</f>
        <v>SAFE</v>
      </c>
    </row>
    <row r="15" spans="1:36" ht="18.600000000000001" customHeight="1" thickBot="1">
      <c r="A15" s="125"/>
      <c r="B15" s="205"/>
      <c r="C15" s="200"/>
      <c r="D15" s="206"/>
      <c r="E15" s="206"/>
      <c r="F15" s="227"/>
      <c r="G15" s="125"/>
      <c r="H15" s="200"/>
      <c r="I15" s="200"/>
      <c r="J15" s="235" t="s">
        <v>2048</v>
      </c>
      <c r="K15" s="1313">
        <f>1.1*SQRT(J19*29000/K9)</f>
        <v>69.81125347041916</v>
      </c>
      <c r="L15" s="1314"/>
      <c r="M15" s="199"/>
      <c r="O15" s="893"/>
      <c r="P15" s="895"/>
      <c r="Q15" s="1343"/>
      <c r="R15" s="1344"/>
      <c r="S15" s="1209"/>
    </row>
    <row r="16" spans="1:36" ht="20.399999999999999" customHeight="1" thickTop="1" thickBot="1">
      <c r="A16" s="125"/>
      <c r="B16" s="1369" t="s">
        <v>1570</v>
      </c>
      <c r="C16" s="1370"/>
      <c r="D16" s="1370"/>
      <c r="E16" s="1370"/>
      <c r="F16" s="1371"/>
      <c r="G16" s="125"/>
      <c r="H16" s="200"/>
      <c r="I16" s="200"/>
      <c r="J16" s="236" t="s">
        <v>2050</v>
      </c>
      <c r="K16" s="1313">
        <f>1.37*SQRT(J19*29000/K9)</f>
        <v>86.946742958612958</v>
      </c>
      <c r="L16" s="1314"/>
      <c r="M16" s="199"/>
    </row>
    <row r="17" spans="1:13" ht="15" customHeight="1" thickTop="1" thickBot="1">
      <c r="A17" s="125"/>
      <c r="B17" s="933" t="s">
        <v>2026</v>
      </c>
      <c r="C17" s="934"/>
      <c r="D17" s="1374">
        <f>IF(C12&lt;C13,0.9*E8*E9*(1/12),IF(C12&gt;C14,((0.9^2)*29000*(4/SQRT(K12))*E10/(C12^2))*(1/12),(1/12)*0.9*(E8*E9-((E8*E9)-0.7*E8*E10)*((C12-C13)/(C14-C13)))))</f>
        <v>999</v>
      </c>
      <c r="E17" s="1375"/>
      <c r="F17" s="1376"/>
      <c r="G17" s="125"/>
      <c r="H17" s="200"/>
      <c r="I17" s="200"/>
      <c r="J17" s="226"/>
      <c r="K17" s="200"/>
      <c r="L17" s="200"/>
      <c r="M17" s="199"/>
    </row>
    <row r="18" spans="1:13" ht="15" customHeight="1" thickTop="1" thickBot="1">
      <c r="A18" s="125"/>
      <c r="B18" s="1294"/>
      <c r="C18" s="1227"/>
      <c r="D18" s="1266"/>
      <c r="E18" s="1377"/>
      <c r="F18" s="1267"/>
      <c r="G18" s="125"/>
      <c r="H18" s="662" t="s">
        <v>1572</v>
      </c>
      <c r="I18" s="664"/>
      <c r="J18" s="186" t="s">
        <v>2025</v>
      </c>
      <c r="K18" s="1358" t="s">
        <v>1575</v>
      </c>
      <c r="L18" s="1359"/>
      <c r="M18" s="1360"/>
    </row>
    <row r="19" spans="1:13" ht="15.6" customHeight="1" thickTop="1" thickBot="1">
      <c r="A19" s="125"/>
      <c r="B19" s="890" t="s">
        <v>2027</v>
      </c>
      <c r="C19" s="892"/>
      <c r="D19" s="1345">
        <f>IF(C13&gt;C12,(1/1.67)*E8*E9*(1/12),(1/1.67)*(1/12)*(E8*E9-((E8*E9)-0.7*E8*E10)*((C12-C13)/(C14-C13))))</f>
        <v>664.67065868263467</v>
      </c>
      <c r="E19" s="1346"/>
      <c r="F19" s="1347"/>
      <c r="G19" s="125"/>
      <c r="H19" s="607" t="s">
        <v>1538</v>
      </c>
      <c r="I19" s="824"/>
      <c r="J19" s="601">
        <f>IF(H19="Unstiffened",IF(K12&lt;260,5,"_"),IF((M19/M20)&gt;3,5,(5+(5/(M19/M20)^2))))</f>
        <v>5</v>
      </c>
      <c r="K19" s="1365" t="s">
        <v>1574</v>
      </c>
      <c r="L19" s="1366"/>
      <c r="M19" s="264">
        <v>10</v>
      </c>
    </row>
    <row r="20" spans="1:13" ht="17.399999999999999" customHeight="1" thickBot="1">
      <c r="A20" s="125"/>
      <c r="B20" s="893"/>
      <c r="C20" s="895"/>
      <c r="D20" s="1348"/>
      <c r="E20" s="1349"/>
      <c r="F20" s="1350"/>
      <c r="G20" s="125"/>
      <c r="H20" s="607"/>
      <c r="I20" s="824"/>
      <c r="J20" s="601"/>
      <c r="K20" s="1367" t="s">
        <v>1573</v>
      </c>
      <c r="L20" s="1368"/>
      <c r="M20" s="239">
        <v>8</v>
      </c>
    </row>
    <row r="21" spans="1:13" ht="22.2" customHeight="1" thickTop="1" thickBot="1">
      <c r="G21" s="125"/>
      <c r="H21" s="1355" t="s">
        <v>2028</v>
      </c>
      <c r="I21" s="1356"/>
      <c r="J21" s="1356"/>
      <c r="K21" s="1356"/>
      <c r="L21" s="1356"/>
      <c r="M21" s="1357"/>
    </row>
    <row r="22" spans="1:13" ht="21" customHeight="1" thickTop="1" thickBot="1">
      <c r="G22" s="125"/>
      <c r="H22" s="228" t="s">
        <v>1566</v>
      </c>
      <c r="I22" s="228" t="s">
        <v>2029</v>
      </c>
      <c r="J22" s="229" t="s">
        <v>2030</v>
      </c>
      <c r="K22" s="228" t="s">
        <v>2031</v>
      </c>
      <c r="L22" s="184" t="s">
        <v>2032</v>
      </c>
      <c r="M22" s="1278" t="s">
        <v>2018</v>
      </c>
    </row>
    <row r="23" spans="1:13" ht="18.600000000000001" customHeight="1" thickTop="1" thickBot="1">
      <c r="B23" s="1212" t="s">
        <v>2056</v>
      </c>
      <c r="C23" s="1212"/>
      <c r="D23" s="1212"/>
      <c r="E23" s="1212"/>
      <c r="F23" s="1212"/>
      <c r="G23" s="125"/>
      <c r="H23" s="260">
        <v>1</v>
      </c>
      <c r="I23" s="259">
        <f>IF(K12&lt;=2.24*SQRT(29000/K9),1,0)</f>
        <v>1</v>
      </c>
      <c r="J23" s="259">
        <f>IF(I23=1,1,"_")</f>
        <v>1</v>
      </c>
      <c r="K23" s="261">
        <v>1</v>
      </c>
      <c r="L23" s="240">
        <v>1.5</v>
      </c>
      <c r="M23" s="1279"/>
    </row>
    <row r="24" spans="1:13" ht="20.399999999999999" customHeight="1" thickBot="1">
      <c r="G24" s="125"/>
      <c r="H24" s="256" t="s">
        <v>1576</v>
      </c>
      <c r="I24" s="262">
        <f>IF(I23=0,IF(K12&lt;=1.1*SQRT(J19*29000/K9),1,0),0)</f>
        <v>0</v>
      </c>
      <c r="J24" s="1380" t="str">
        <f>IF(MAX(I24:I26)&gt;0,MAX(I24:I26),"_")</f>
        <v>_</v>
      </c>
      <c r="K24" s="1382">
        <v>0.9</v>
      </c>
      <c r="L24" s="896">
        <v>1.67</v>
      </c>
      <c r="M24" s="1279"/>
    </row>
    <row r="25" spans="1:13" ht="21.6" customHeight="1" thickBot="1">
      <c r="G25" s="125"/>
      <c r="H25" s="256" t="s">
        <v>1577</v>
      </c>
      <c r="I25" s="262">
        <f>IF(I23=1,0,IF(I24=1,0,IF(K12&gt;1.37*SQRT(J19*29000/K9),0,1.1*SQRT(J19*29000/K9)/K12)))</f>
        <v>0</v>
      </c>
      <c r="J25" s="1381"/>
      <c r="K25" s="601"/>
      <c r="L25" s="649"/>
      <c r="M25" s="1279"/>
    </row>
    <row r="26" spans="1:13" ht="16.8" customHeight="1" thickBot="1">
      <c r="G26" s="125"/>
      <c r="H26" s="256" t="s">
        <v>1578</v>
      </c>
      <c r="I26" s="263">
        <f>IF(I23=1,0,IF(I24=1,0,IF(I25&gt;0,0,IF(K12&gt;1.37*SQRT(J19*29000/K9),1.51*29000*J19/((K12^2)*K9),0))))</f>
        <v>0</v>
      </c>
      <c r="J26" s="1381"/>
      <c r="K26" s="601"/>
      <c r="L26" s="649"/>
      <c r="M26" s="1280"/>
    </row>
    <row r="27" spans="1:13" ht="18" customHeight="1" thickTop="1" thickBot="1">
      <c r="G27" s="125"/>
      <c r="H27" s="223"/>
      <c r="I27" s="189"/>
      <c r="J27" s="189"/>
      <c r="K27" s="189"/>
      <c r="L27" s="189"/>
      <c r="M27" s="224"/>
    </row>
    <row r="28" spans="1:13" ht="20.399999999999999" customHeight="1" thickTop="1">
      <c r="G28" s="125"/>
      <c r="H28" s="1272" t="s">
        <v>1570</v>
      </c>
      <c r="I28" s="1273"/>
      <c r="J28" s="1224" t="s">
        <v>2033</v>
      </c>
      <c r="K28" s="1225"/>
      <c r="L28" s="1264">
        <f>IF(I23=1,K23*0.6*K9*K13*J23,K24*0.6*K9*K13*J24)</f>
        <v>156.49199999999996</v>
      </c>
      <c r="M28" s="1265"/>
    </row>
    <row r="29" spans="1:13" ht="13.2" customHeight="1" thickBot="1">
      <c r="G29" s="125"/>
      <c r="H29" s="1274"/>
      <c r="I29" s="1275"/>
      <c r="J29" s="1226"/>
      <c r="K29" s="1227"/>
      <c r="L29" s="1266"/>
      <c r="M29" s="1267"/>
    </row>
    <row r="30" spans="1:13" ht="15" customHeight="1">
      <c r="G30" s="125"/>
      <c r="H30" s="1274"/>
      <c r="I30" s="1275"/>
      <c r="J30" s="890" t="s">
        <v>2034</v>
      </c>
      <c r="K30" s="892"/>
      <c r="L30" s="1268">
        <f>IF(I23=1,(1/L23)*0.6*K9*K13*J23,(1/L24)*0.6*K9*K13*J24)</f>
        <v>104.32799999999997</v>
      </c>
      <c r="M30" s="1269"/>
    </row>
    <row r="31" spans="1:13" ht="15.6" customHeight="1" thickBot="1">
      <c r="G31" s="125"/>
      <c r="H31" s="1276"/>
      <c r="I31" s="1277"/>
      <c r="J31" s="893"/>
      <c r="K31" s="895"/>
      <c r="L31" s="1270"/>
      <c r="M31" s="1271"/>
    </row>
    <row r="32" spans="1:13" ht="16.2" customHeight="1" thickTop="1"/>
    <row r="33" spans="5:15" ht="20.399999999999999" customHeight="1"/>
    <row r="34" spans="5:15" ht="18" customHeight="1"/>
    <row r="36" spans="5:15" ht="15" customHeight="1"/>
    <row r="37" spans="5:15" ht="10.8" customHeight="1" thickBot="1"/>
    <row r="38" spans="5:15" ht="33.6" customHeight="1" thickTop="1" thickBot="1">
      <c r="E38" s="125"/>
      <c r="F38" s="753" t="s">
        <v>1583</v>
      </c>
      <c r="G38" s="753"/>
      <c r="H38" s="753"/>
      <c r="I38" s="753"/>
      <c r="J38" s="753"/>
      <c r="K38" s="753"/>
      <c r="L38" s="753"/>
      <c r="M38" s="753"/>
      <c r="N38" s="753"/>
      <c r="O38" s="1256"/>
    </row>
    <row r="39" spans="5:15" ht="15" customHeight="1" thickTop="1" thickBot="1">
      <c r="E39" s="125"/>
      <c r="F39" s="567"/>
      <c r="G39" s="568"/>
      <c r="H39" s="568"/>
      <c r="I39" s="568"/>
      <c r="J39" s="568"/>
      <c r="K39" s="568"/>
      <c r="L39" s="568"/>
      <c r="M39" s="568"/>
      <c r="N39" s="568"/>
      <c r="O39" s="569"/>
    </row>
    <row r="40" spans="5:15" ht="19.2" customHeight="1" thickTop="1" thickBot="1">
      <c r="E40" s="125"/>
      <c r="F40" s="1387" t="s">
        <v>1553</v>
      </c>
      <c r="G40" s="1388"/>
      <c r="H40" s="1388"/>
      <c r="I40" s="1388"/>
      <c r="J40" s="1388"/>
      <c r="K40" s="1257" t="s">
        <v>1579</v>
      </c>
      <c r="L40" s="1258"/>
      <c r="M40" s="1259"/>
      <c r="N40" s="1262" t="s">
        <v>1542</v>
      </c>
      <c r="O40" s="1263"/>
    </row>
    <row r="41" spans="5:15" ht="18.600000000000001" customHeight="1" thickTop="1" thickBot="1">
      <c r="E41" s="125"/>
      <c r="F41" s="1216" t="s">
        <v>1554</v>
      </c>
      <c r="G41" s="1217"/>
      <c r="H41" s="856">
        <v>0.8</v>
      </c>
      <c r="I41" s="857"/>
      <c r="J41" s="200"/>
      <c r="K41" s="1213" t="s">
        <v>1580</v>
      </c>
      <c r="L41" s="1260"/>
      <c r="M41" s="1261"/>
      <c r="N41" s="254">
        <f>IF(N40="LRFD",1.2*H41+1.6*H42,H41+H42)</f>
        <v>4.16</v>
      </c>
      <c r="O41" s="275" t="s">
        <v>1555</v>
      </c>
    </row>
    <row r="42" spans="5:15" ht="16.2" customHeight="1" thickBot="1">
      <c r="E42" s="125"/>
      <c r="F42" s="1216" t="s">
        <v>1556</v>
      </c>
      <c r="G42" s="1217"/>
      <c r="H42" s="685">
        <v>2</v>
      </c>
      <c r="I42" s="785"/>
      <c r="J42" s="200"/>
      <c r="K42" s="267"/>
      <c r="L42" s="197"/>
      <c r="M42" s="200"/>
      <c r="N42" s="197"/>
      <c r="O42" s="198"/>
    </row>
    <row r="43" spans="5:15" ht="14.4" customHeight="1" thickBot="1">
      <c r="E43" s="125"/>
      <c r="F43" s="271"/>
      <c r="G43" s="271"/>
      <c r="H43" s="200"/>
      <c r="I43" s="200"/>
      <c r="J43" s="200"/>
      <c r="K43" s="200"/>
      <c r="L43" s="200"/>
      <c r="M43" s="200"/>
      <c r="N43" s="200"/>
      <c r="O43" s="274"/>
    </row>
    <row r="44" spans="5:15" ht="19.8" customHeight="1" thickBot="1">
      <c r="E44" s="125"/>
      <c r="F44" s="1218" t="s">
        <v>536</v>
      </c>
      <c r="G44" s="1219"/>
      <c r="H44" s="1220" t="s">
        <v>483</v>
      </c>
      <c r="I44" s="1221"/>
      <c r="J44" s="200"/>
      <c r="K44" s="1378" t="s">
        <v>2019</v>
      </c>
      <c r="L44" s="1379"/>
      <c r="M44" s="200"/>
      <c r="N44" s="1213" t="s">
        <v>1551</v>
      </c>
      <c r="O44" s="1214"/>
    </row>
    <row r="45" spans="5:15" ht="16.2" customHeight="1" thickBot="1">
      <c r="E45" s="125"/>
      <c r="F45" s="1218"/>
      <c r="G45" s="1219"/>
      <c r="H45" s="1222"/>
      <c r="I45" s="1223"/>
      <c r="J45" s="200"/>
      <c r="K45" s="584">
        <f>VLOOKUP(H44,'Database 1'!CM3:CO36,3,FALSE)</f>
        <v>36</v>
      </c>
      <c r="L45" s="576"/>
      <c r="M45" s="200"/>
      <c r="N45" s="685">
        <v>35</v>
      </c>
      <c r="O45" s="1215"/>
    </row>
    <row r="46" spans="5:15" ht="15" customHeight="1">
      <c r="E46" s="125"/>
      <c r="F46" s="200"/>
      <c r="G46" s="200"/>
      <c r="H46" s="200"/>
      <c r="I46" s="200"/>
      <c r="J46" s="200"/>
      <c r="K46" s="200"/>
      <c r="L46" s="200"/>
      <c r="M46" s="200"/>
      <c r="N46" s="200"/>
      <c r="O46" s="199"/>
    </row>
    <row r="47" spans="5:15" ht="14.4" thickBot="1">
      <c r="E47" s="125"/>
      <c r="F47" s="266"/>
      <c r="G47" s="266"/>
      <c r="H47" s="266"/>
      <c r="I47" s="266"/>
      <c r="J47" s="266"/>
      <c r="K47" s="226"/>
      <c r="L47" s="226"/>
      <c r="M47" s="226"/>
      <c r="N47" s="226"/>
      <c r="O47" s="278"/>
    </row>
    <row r="48" spans="5:15" ht="21.6" customHeight="1" thickTop="1" thickBot="1">
      <c r="E48" s="125"/>
      <c r="F48" s="1252" t="s">
        <v>1567</v>
      </c>
      <c r="G48" s="1253"/>
      <c r="H48" s="1253"/>
      <c r="I48" s="1253"/>
      <c r="J48" s="1254"/>
      <c r="K48" s="1396" t="s">
        <v>1557</v>
      </c>
      <c r="L48" s="1397"/>
      <c r="M48" s="1390" t="str">
        <f>INDEX(lightest,MATCH(H50,WZx,-1))</f>
        <v>W27X84</v>
      </c>
      <c r="N48" s="1391"/>
      <c r="O48" s="1392"/>
    </row>
    <row r="49" spans="5:15" ht="19.8" customHeight="1" thickTop="1" thickBot="1">
      <c r="E49" s="125"/>
      <c r="F49" s="1404" t="s">
        <v>2057</v>
      </c>
      <c r="G49" s="1405"/>
      <c r="H49" s="919">
        <f>(N41*(N45^2))/8</f>
        <v>637</v>
      </c>
      <c r="I49" s="723"/>
      <c r="J49" s="270"/>
      <c r="K49" s="1396"/>
      <c r="L49" s="1397"/>
      <c r="M49" s="1393"/>
      <c r="N49" s="1394"/>
      <c r="O49" s="1395"/>
    </row>
    <row r="50" spans="5:15" ht="19.2" customHeight="1" thickBot="1">
      <c r="E50" s="125"/>
      <c r="F50" s="1406" t="s">
        <v>2035</v>
      </c>
      <c r="G50" s="1407"/>
      <c r="H50" s="750">
        <f>IF(N40="LRFD",12*H49/(0.9*K45),12*H49*1.67/K45)</f>
        <v>235.92592592592592</v>
      </c>
      <c r="I50" s="1389"/>
      <c r="J50" s="207"/>
      <c r="K50" s="268" t="s">
        <v>2035</v>
      </c>
      <c r="L50" s="269"/>
      <c r="M50" s="584">
        <f>VLOOKUP(M48,'Database 1'!DT4:DW70,4,FALSE)</f>
        <v>244</v>
      </c>
      <c r="N50" s="575"/>
      <c r="O50" s="613"/>
    </row>
    <row r="51" spans="5:15" ht="25.8" customHeight="1" thickBot="1">
      <c r="E51" s="125"/>
      <c r="F51" s="200"/>
      <c r="G51" s="200"/>
      <c r="H51" s="200"/>
      <c r="I51" s="200"/>
      <c r="J51" s="200"/>
      <c r="K51" s="200"/>
      <c r="L51" s="226"/>
      <c r="M51" s="226"/>
      <c r="N51" s="226"/>
      <c r="O51" s="278"/>
    </row>
    <row r="52" spans="5:15" ht="19.8" customHeight="1" thickTop="1" thickBot="1">
      <c r="E52" s="125"/>
      <c r="F52" s="541" t="s">
        <v>2045</v>
      </c>
      <c r="G52" s="550"/>
      <c r="H52" s="550"/>
      <c r="I52" s="550"/>
      <c r="J52" s="544"/>
      <c r="K52" s="277"/>
      <c r="L52" s="200"/>
      <c r="M52" s="200"/>
      <c r="N52" s="200"/>
      <c r="O52" s="274"/>
    </row>
    <row r="53" spans="5:15" ht="21" customHeight="1" thickTop="1" thickBot="1">
      <c r="E53" s="125"/>
      <c r="F53" s="1383" t="s">
        <v>1558</v>
      </c>
      <c r="G53" s="1384"/>
      <c r="H53" s="1384"/>
      <c r="I53" s="1384"/>
      <c r="J53" s="1384"/>
      <c r="K53" s="1396" t="s">
        <v>1557</v>
      </c>
      <c r="L53" s="1397"/>
      <c r="M53" s="1398" t="str">
        <f>INDEX(lightest,MATCH(I54,Ix,-1))</f>
        <v>W24X76</v>
      </c>
      <c r="N53" s="1399"/>
      <c r="O53" s="1400"/>
    </row>
    <row r="54" spans="5:15" ht="23.4" customHeight="1" thickBot="1">
      <c r="E54" s="125"/>
      <c r="F54" s="200"/>
      <c r="G54" s="272" t="s">
        <v>2058</v>
      </c>
      <c r="H54" s="272"/>
      <c r="I54" s="1385">
        <f>(1800*H42*(N45^3)*(12^2)/(384*29000))</f>
        <v>1995.905172413793</v>
      </c>
      <c r="J54" s="1386"/>
      <c r="K54" s="1396"/>
      <c r="L54" s="1397"/>
      <c r="M54" s="1401"/>
      <c r="N54" s="1402"/>
      <c r="O54" s="1403"/>
    </row>
    <row r="55" spans="5:15" ht="18.600000000000001" customHeight="1" thickBot="1">
      <c r="E55" s="125"/>
      <c r="F55" s="200"/>
      <c r="G55" s="200"/>
      <c r="H55" s="200"/>
      <c r="I55" s="200"/>
      <c r="J55" s="200"/>
      <c r="K55" s="268" t="s">
        <v>2035</v>
      </c>
      <c r="L55" s="273"/>
      <c r="M55" s="1337">
        <f>VLOOKUP(M53,'[1]Database 1'!$DS$3:$DV$69,4,FALSE)</f>
        <v>200</v>
      </c>
      <c r="N55" s="1311"/>
      <c r="O55" s="1338"/>
    </row>
    <row r="56" spans="5:15" ht="16.8" customHeight="1" thickBot="1">
      <c r="E56" s="125"/>
      <c r="F56" s="200"/>
      <c r="G56" s="200"/>
      <c r="H56" s="200"/>
      <c r="I56" s="200"/>
      <c r="J56" s="200"/>
      <c r="K56" s="200"/>
      <c r="L56" s="200"/>
      <c r="M56" s="200"/>
      <c r="N56" s="200"/>
      <c r="O56" s="199"/>
    </row>
    <row r="57" spans="5:15" ht="21" customHeight="1" thickTop="1" thickBot="1">
      <c r="E57" s="125"/>
      <c r="F57" s="541" t="s">
        <v>1559</v>
      </c>
      <c r="G57" s="550"/>
      <c r="H57" s="550"/>
      <c r="I57" s="550"/>
      <c r="J57" s="550"/>
      <c r="K57" s="276"/>
      <c r="L57" s="200"/>
      <c r="M57" s="200"/>
      <c r="N57" s="200"/>
      <c r="O57" s="274"/>
    </row>
    <row r="58" spans="5:15" ht="18" customHeight="1" thickTop="1" thickBot="1">
      <c r="E58" s="125"/>
      <c r="F58" s="1315" t="s">
        <v>1560</v>
      </c>
      <c r="G58" s="1316"/>
      <c r="H58" s="934" t="s">
        <v>2020</v>
      </c>
      <c r="I58" s="1319" t="s">
        <v>1561</v>
      </c>
      <c r="J58" s="1320"/>
      <c r="K58" s="1321"/>
      <c r="L58" s="1321"/>
      <c r="M58" s="1321"/>
      <c r="N58" s="1322"/>
      <c r="O58" s="1240" t="s">
        <v>1582</v>
      </c>
    </row>
    <row r="59" spans="5:15" ht="19.2" customHeight="1" thickBot="1">
      <c r="E59" s="125"/>
      <c r="F59" s="1317"/>
      <c r="G59" s="1318"/>
      <c r="H59" s="1294"/>
      <c r="I59" s="1213" t="s">
        <v>1562</v>
      </c>
      <c r="J59" s="1261"/>
      <c r="K59" s="1213" t="s">
        <v>1563</v>
      </c>
      <c r="L59" s="1261"/>
      <c r="M59" s="1213" t="s">
        <v>1581</v>
      </c>
      <c r="N59" s="1261"/>
      <c r="O59" s="1241"/>
    </row>
    <row r="60" spans="5:15" ht="14.4" customHeight="1">
      <c r="E60" s="125"/>
      <c r="F60" s="1243" t="str">
        <f>IF(M55&gt;M50,M53,M48)</f>
        <v>W27X84</v>
      </c>
      <c r="G60" s="1244"/>
      <c r="H60" s="896">
        <f>MAX(M50,M55)</f>
        <v>244</v>
      </c>
      <c r="I60" s="1228">
        <f>(IF(N40="ASD",(H41+(VLOOKUP(F60,'Database 1'!DT4:DV70,3,FALSE))/1000)+H42,1.2*(H41+((VLOOKUP(F60,'Database 1'!DT4:DV70,3,FALSE))/1000))+1.6*H42))*(N45^2)/8</f>
        <v>652.43499999999995</v>
      </c>
      <c r="J60" s="1229"/>
      <c r="K60" s="1232">
        <f>(IF(N40="ASD",(H41+(VLOOKUP(F60,'Database 1'!DT4:DV70,3,FALSE))/1000)+H42,1.2*(H41+((VLOOKUP(F60,'Database 1'!DT4:DV70,3,FALSE))/1000))+1.6*H42))*(N45)/2</f>
        <v>74.563999999999993</v>
      </c>
      <c r="L60" s="1233"/>
      <c r="M60" s="1232">
        <f>(5/384)*(H42)*(N45^4)/((29000)*(1/12)*(VLOOKUP(F60,'Database 1'!DT4:DX70,5,FALSE)))</f>
        <v>5.6738694797338184E-3</v>
      </c>
      <c r="N60" s="1236"/>
      <c r="O60" s="1249" t="str">
        <f>IF(I63&gt;=I60,IF(K63&gt;=K60,IF(M63&gt;=M60,"SAFE","UNSAFE"),"UNSAFE"),"UNSAFE")</f>
        <v>SAFE</v>
      </c>
    </row>
    <row r="61" spans="5:15" ht="15" customHeight="1" thickBot="1">
      <c r="E61" s="125"/>
      <c r="F61" s="1245"/>
      <c r="G61" s="1246"/>
      <c r="H61" s="649"/>
      <c r="I61" s="1324"/>
      <c r="J61" s="1325"/>
      <c r="K61" s="1237"/>
      <c r="L61" s="1242"/>
      <c r="M61" s="1237"/>
      <c r="N61" s="1238"/>
      <c r="O61" s="1250"/>
    </row>
    <row r="62" spans="5:15" ht="17.399999999999999" customHeight="1" thickBot="1">
      <c r="E62" s="125"/>
      <c r="F62" s="1245"/>
      <c r="G62" s="1246"/>
      <c r="H62" s="649"/>
      <c r="I62" s="1323" t="s">
        <v>1564</v>
      </c>
      <c r="J62" s="1321"/>
      <c r="K62" s="1321"/>
      <c r="L62" s="1321"/>
      <c r="M62" s="1321"/>
      <c r="N62" s="1322"/>
      <c r="O62" s="1250"/>
    </row>
    <row r="63" spans="5:15" ht="14.4" customHeight="1">
      <c r="E63" s="125"/>
      <c r="F63" s="1245"/>
      <c r="G63" s="1246"/>
      <c r="H63" s="649"/>
      <c r="I63" s="1228">
        <f>IF(N40="LRFD",0.9*K45*H60*(1/12),K45*H60*(1/12)/1.67)</f>
        <v>658.8</v>
      </c>
      <c r="J63" s="1229"/>
      <c r="K63" s="1232">
        <f>IF(N40="LRFD",L28,L30)</f>
        <v>156.49199999999996</v>
      </c>
      <c r="L63" s="1233"/>
      <c r="M63" s="1232">
        <f>N45/360</f>
        <v>9.7222222222222224E-2</v>
      </c>
      <c r="N63" s="1236"/>
      <c r="O63" s="1250"/>
    </row>
    <row r="64" spans="5:15" ht="15" customHeight="1" thickBot="1">
      <c r="E64" s="125"/>
      <c r="F64" s="1247"/>
      <c r="G64" s="1248"/>
      <c r="H64" s="897"/>
      <c r="I64" s="1230"/>
      <c r="J64" s="1231"/>
      <c r="K64" s="1234"/>
      <c r="L64" s="1235"/>
      <c r="M64" s="1234"/>
      <c r="N64" s="1239"/>
      <c r="O64" s="1251"/>
    </row>
    <row r="65" spans="6:16" ht="14.4" thickTop="1"/>
    <row r="66" spans="6:16" ht="8.4" customHeight="1" thickBot="1"/>
    <row r="67" spans="6:16" ht="9" customHeight="1" thickBot="1">
      <c r="F67" s="1212" t="s">
        <v>2046</v>
      </c>
      <c r="G67" s="1212"/>
      <c r="H67" s="1212"/>
      <c r="I67" s="1212"/>
      <c r="J67" s="1212"/>
      <c r="K67" s="1212"/>
      <c r="L67" s="1212"/>
      <c r="M67" s="1212"/>
      <c r="N67" s="1212"/>
      <c r="O67" s="1212"/>
    </row>
    <row r="68" spans="6:16" ht="8.4" customHeight="1" thickBot="1">
      <c r="F68" s="1212"/>
      <c r="G68" s="1212"/>
      <c r="H68" s="1212"/>
      <c r="I68" s="1212"/>
      <c r="J68" s="1212"/>
      <c r="K68" s="1212"/>
      <c r="L68" s="1212"/>
      <c r="M68" s="1212"/>
      <c r="N68" s="1212"/>
      <c r="O68" s="1212"/>
    </row>
    <row r="70" spans="6:16" ht="14.4" customHeight="1">
      <c r="F70"/>
      <c r="G70"/>
      <c r="H70"/>
      <c r="I70"/>
      <c r="J70"/>
      <c r="K70"/>
      <c r="L70"/>
      <c r="M70"/>
      <c r="N70"/>
      <c r="O70"/>
      <c r="P70"/>
    </row>
    <row r="71" spans="6:16" ht="14.4" customHeight="1">
      <c r="F71"/>
      <c r="G71"/>
      <c r="H71"/>
      <c r="I71"/>
      <c r="J71"/>
      <c r="K71"/>
      <c r="L71"/>
      <c r="M71"/>
      <c r="N71"/>
      <c r="O71"/>
      <c r="P71"/>
    </row>
    <row r="72" spans="6:16" ht="14.4" customHeight="1">
      <c r="F72"/>
      <c r="G72"/>
      <c r="H72"/>
      <c r="I72"/>
      <c r="J72"/>
      <c r="K72"/>
      <c r="L72"/>
      <c r="M72"/>
      <c r="N72"/>
      <c r="O72"/>
      <c r="P72"/>
    </row>
    <row r="73" spans="6:16" ht="14.4">
      <c r="F73"/>
      <c r="G73"/>
      <c r="H73"/>
      <c r="I73"/>
      <c r="J73"/>
      <c r="K73"/>
      <c r="L73"/>
      <c r="M73"/>
      <c r="N73"/>
      <c r="O73"/>
      <c r="P73"/>
    </row>
    <row r="74" spans="6:16" ht="14.4">
      <c r="F74"/>
      <c r="G74"/>
      <c r="H74"/>
      <c r="I74"/>
      <c r="J74"/>
      <c r="K74"/>
      <c r="L74"/>
      <c r="M74"/>
      <c r="N74"/>
      <c r="O74"/>
      <c r="P74"/>
    </row>
  </sheetData>
  <mergeCells count="111">
    <mergeCell ref="K44:L44"/>
    <mergeCell ref="K45:L45"/>
    <mergeCell ref="F39:O39"/>
    <mergeCell ref="B23:F23"/>
    <mergeCell ref="J24:J26"/>
    <mergeCell ref="L24:L26"/>
    <mergeCell ref="K24:K26"/>
    <mergeCell ref="M55:O55"/>
    <mergeCell ref="F53:J53"/>
    <mergeCell ref="I54:J54"/>
    <mergeCell ref="F40:J40"/>
    <mergeCell ref="H50:I50"/>
    <mergeCell ref="M48:O49"/>
    <mergeCell ref="K48:L49"/>
    <mergeCell ref="M50:O50"/>
    <mergeCell ref="F52:J52"/>
    <mergeCell ref="M53:O54"/>
    <mergeCell ref="K53:L54"/>
    <mergeCell ref="F49:G49"/>
    <mergeCell ref="F50:G50"/>
    <mergeCell ref="Q14:R15"/>
    <mergeCell ref="B19:C20"/>
    <mergeCell ref="D19:F20"/>
    <mergeCell ref="B10:C11"/>
    <mergeCell ref="H21:M21"/>
    <mergeCell ref="K13:L13"/>
    <mergeCell ref="K14:L14"/>
    <mergeCell ref="K18:M18"/>
    <mergeCell ref="H18:I18"/>
    <mergeCell ref="H10:I12"/>
    <mergeCell ref="K10:L10"/>
    <mergeCell ref="K11:L11"/>
    <mergeCell ref="K12:L12"/>
    <mergeCell ref="K19:L19"/>
    <mergeCell ref="K20:L20"/>
    <mergeCell ref="H19:I20"/>
    <mergeCell ref="J19:J20"/>
    <mergeCell ref="B17:C18"/>
    <mergeCell ref="B16:F16"/>
    <mergeCell ref="O13:P13"/>
    <mergeCell ref="K16:L16"/>
    <mergeCell ref="D17:F18"/>
    <mergeCell ref="O4:S4"/>
    <mergeCell ref="O5:P6"/>
    <mergeCell ref="Q5:S6"/>
    <mergeCell ref="P8:Q8"/>
    <mergeCell ref="O9:Q9"/>
    <mergeCell ref="P10:Q10"/>
    <mergeCell ref="O11:Q11"/>
    <mergeCell ref="R8:S8"/>
    <mergeCell ref="R9:S9"/>
    <mergeCell ref="R10:S10"/>
    <mergeCell ref="R11:S11"/>
    <mergeCell ref="F57:J57"/>
    <mergeCell ref="F58:G59"/>
    <mergeCell ref="I59:J59"/>
    <mergeCell ref="I58:N58"/>
    <mergeCell ref="I62:N62"/>
    <mergeCell ref="K59:L59"/>
    <mergeCell ref="M59:N59"/>
    <mergeCell ref="I60:J61"/>
    <mergeCell ref="H60:H64"/>
    <mergeCell ref="H58:H59"/>
    <mergeCell ref="B2:S2"/>
    <mergeCell ref="F38:O38"/>
    <mergeCell ref="K40:M40"/>
    <mergeCell ref="K41:M41"/>
    <mergeCell ref="N40:O40"/>
    <mergeCell ref="L28:M29"/>
    <mergeCell ref="L30:M31"/>
    <mergeCell ref="H28:I31"/>
    <mergeCell ref="M22:M26"/>
    <mergeCell ref="E9:F9"/>
    <mergeCell ref="E10:F10"/>
    <mergeCell ref="D12:F14"/>
    <mergeCell ref="B4:F4"/>
    <mergeCell ref="B5:C6"/>
    <mergeCell ref="D5:F6"/>
    <mergeCell ref="B8:C9"/>
    <mergeCell ref="E8:F8"/>
    <mergeCell ref="D11:F11"/>
    <mergeCell ref="H4:M4"/>
    <mergeCell ref="J5:L6"/>
    <mergeCell ref="H5:I6"/>
    <mergeCell ref="H8:I9"/>
    <mergeCell ref="K9:L9"/>
    <mergeCell ref="K15:L15"/>
    <mergeCell ref="S14:S15"/>
    <mergeCell ref="Q13:R13"/>
    <mergeCell ref="O14:P15"/>
    <mergeCell ref="F67:O68"/>
    <mergeCell ref="N44:O44"/>
    <mergeCell ref="N45:O45"/>
    <mergeCell ref="F41:G41"/>
    <mergeCell ref="F42:G42"/>
    <mergeCell ref="H41:I41"/>
    <mergeCell ref="H42:I42"/>
    <mergeCell ref="F44:G45"/>
    <mergeCell ref="H44:I45"/>
    <mergeCell ref="J28:K29"/>
    <mergeCell ref="J30:K31"/>
    <mergeCell ref="I63:J64"/>
    <mergeCell ref="K63:L64"/>
    <mergeCell ref="M60:N61"/>
    <mergeCell ref="M63:N64"/>
    <mergeCell ref="O58:O59"/>
    <mergeCell ref="K60:L61"/>
    <mergeCell ref="F60:G64"/>
    <mergeCell ref="O60:O64"/>
    <mergeCell ref="F48:J48"/>
    <mergeCell ref="H49:I49"/>
  </mergeCells>
  <conditionalFormatting sqref="O60">
    <cfRule type="containsText" dxfId="1" priority="1" operator="containsText" text="UNSAFE">
      <formula>NOT(ISERROR(SEARCH("UNSAFE",O60)))</formula>
    </cfRule>
    <cfRule type="containsText" dxfId="0" priority="2" operator="containsText" text="SAFE">
      <formula>NOT(ISERROR(SEARCH("SAFE",O60)))</formula>
    </cfRule>
  </conditionalFormatting>
  <dataValidations count="2">
    <dataValidation allowBlank="1" showInputMessage="1" showErrorMessage="1" prompt="Input the desired Dead Load." sqref="H41" xr:uid="{1B30BB26-B5B9-4206-9F5A-36F1C92E1658}"/>
    <dataValidation allowBlank="1" showInputMessage="1" showErrorMessage="1" prompt="Input the desired Live load." sqref="H42" xr:uid="{877A6DD5-19F3-4531-9D10-E9A8DAA5D4B6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CED3023-8257-4061-9B4D-CA45987A79C8}">
          <x14:formula1>
            <xm:f>'Database 1'!$DH$4:$DH$286</xm:f>
          </x14:formula1>
          <xm:sqref>D5:F6 J5:L6 Q5:S6</xm:sqref>
        </x14:dataValidation>
        <x14:dataValidation type="list" allowBlank="1" showInputMessage="1" showErrorMessage="1" xr:uid="{F9EAD3BD-B5ED-43FC-9B98-AD128CD071FF}">
          <x14:formula1>
            <xm:f>'Database 1'!$CM$141:$CM$142</xm:f>
          </x14:formula1>
          <xm:sqref>H19</xm:sqref>
        </x14:dataValidation>
        <x14:dataValidation type="list" allowBlank="1" showInputMessage="1" showErrorMessage="1" xr:uid="{B2C4E936-63C9-41BA-A2C5-F1170F77C4DD}">
          <x14:formula1>
            <xm:f>'Database 1'!$CM$3:$CM$36</xm:f>
          </x14:formula1>
          <xm:sqref>B10:C11 H44 H10:I12</xm:sqref>
        </x14:dataValidation>
        <x14:dataValidation type="list" allowBlank="1" showInputMessage="1" showErrorMessage="1" xr:uid="{35662683-B340-46B2-90E1-3D357D400E57}">
          <x14:formula1>
            <xm:f>'Database 1'!$CP$40:$CP$41</xm:f>
          </x14:formula1>
          <xm:sqref>N40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28</vt:i4>
      </vt:variant>
    </vt:vector>
  </HeadingPairs>
  <TitlesOfParts>
    <vt:vector size="32" baseType="lpstr">
      <vt:lpstr>Database 1</vt:lpstr>
      <vt:lpstr>Tension Analysis &amp; Design</vt:lpstr>
      <vt:lpstr> Compression Analysis &amp; Design</vt:lpstr>
      <vt:lpstr>Bending, Shear, and Deflection</vt:lpstr>
      <vt:lpstr>Ag</vt:lpstr>
      <vt:lpstr>AgDA</vt:lpstr>
      <vt:lpstr>Agmt</vt:lpstr>
      <vt:lpstr>AgST</vt:lpstr>
      <vt:lpstr>AgWT</vt:lpstr>
      <vt:lpstr>Angle_Ag</vt:lpstr>
      <vt:lpstr>angles</vt:lpstr>
      <vt:lpstr>DA</vt:lpstr>
      <vt:lpstr>Daag</vt:lpstr>
      <vt:lpstr>DAnew</vt:lpstr>
      <vt:lpstr>Ix</vt:lpstr>
      <vt:lpstr>Lag</vt:lpstr>
      <vt:lpstr>Lnew</vt:lpstr>
      <vt:lpstr>MT</vt:lpstr>
      <vt:lpstr>MTag</vt:lpstr>
      <vt:lpstr>MTnew</vt:lpstr>
      <vt:lpstr>'Database 1'!Print_Area</vt:lpstr>
      <vt:lpstr>'Database 1'!Print_Titles</vt:lpstr>
      <vt:lpstr>rxWT</vt:lpstr>
      <vt:lpstr>ryWT</vt:lpstr>
      <vt:lpstr>ST</vt:lpstr>
      <vt:lpstr>Stag</vt:lpstr>
      <vt:lpstr>STnew</vt:lpstr>
      <vt:lpstr>Wlightest</vt:lpstr>
      <vt:lpstr>WT</vt:lpstr>
      <vt:lpstr>Wtag</vt:lpstr>
      <vt:lpstr>WTnew</vt:lpstr>
      <vt:lpstr>WZx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Martin</dc:creator>
  <cp:lastModifiedBy>Jason N. Miña</cp:lastModifiedBy>
  <cp:lastPrinted>2017-11-30T17:33:07Z</cp:lastPrinted>
  <dcterms:created xsi:type="dcterms:W3CDTF">2015-09-04T13:23:10Z</dcterms:created>
  <dcterms:modified xsi:type="dcterms:W3CDTF">2025-04-03T06:00:38Z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2025-04-03T06:00:38Z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7bd5cd56-731f-4f67-9a0c-8300fe3ee30a</vt:lpwstr>
  </property>
  <property fmtid="{D5CDD505-2E9C-101B-9397-08002B2CF9AE}" pid="7" name="MSIP_Label_defa4170-0d19-0005-0004-bc88714345d2_ActionId">
    <vt:lpwstr>ca21c897-afc8-430f-a4cf-ee868eb9e639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